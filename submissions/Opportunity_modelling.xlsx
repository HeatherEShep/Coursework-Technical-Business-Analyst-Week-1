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keholder notes" sheetId="1" r:id="rId5"/>
    <sheet state="visible" name="Delinquent accounts" sheetId="2" r:id="rId6"/>
    <sheet state="visible" name="Recovery activity tracker" sheetId="3" r:id="rId7"/>
    <sheet state="visible" name="Stakeholder Evidence" sheetId="4" r:id="rId8"/>
    <sheet state="visible" name="JTBD Analysis" sheetId="5" r:id="rId9"/>
    <sheet state="visible" name="Task Breakdown" sheetId="6" r:id="rId10"/>
    <sheet state="visible" name="Assumptions" sheetId="7" r:id="rId11"/>
    <sheet state="visible" name="Baseline metrics" sheetId="8" r:id="rId12"/>
    <sheet state="visible" name="Opportunities" sheetId="9" r:id="rId13"/>
    <sheet state="visible" name="Calculations" sheetId="10" r:id="rId14"/>
    <sheet state="visible" name="ROI Summary" sheetId="11" r:id="rId15"/>
  </sheets>
  <definedNames/>
  <calcPr/>
</workbook>
</file>

<file path=xl/sharedStrings.xml><?xml version="1.0" encoding="utf-8"?>
<sst xmlns="http://schemas.openxmlformats.org/spreadsheetml/2006/main" count="108405" uniqueCount="26619">
  <si>
    <t>Stakeholder</t>
  </si>
  <si>
    <t>note_id</t>
  </si>
  <si>
    <t>Quote or Observation</t>
  </si>
  <si>
    <t>Theme</t>
  </si>
  <si>
    <t>Business Impact</t>
  </si>
  <si>
    <t>Confidence Level</t>
  </si>
  <si>
    <t>Amina Rahman (Compliance Liaison)</t>
  </si>
  <si>
    <t>Customers respond well when they have control and transparency about what they owe.</t>
  </si>
  <si>
    <t>Customer friction</t>
  </si>
  <si>
    <t>Transparent balance presentation increases voluntary settlements and lowers inbound support call volume.</t>
  </si>
  <si>
    <t>High</t>
  </si>
  <si>
    <t>Daniel Okoye (Finance Business Partner)</t>
  </si>
  <si>
    <t>Customers call back three times because they do not remember what they were told on the first call.</t>
  </si>
  <si>
    <t>Repeat inbound calls inflate handling costs and extend the average resolution cycle time.</t>
  </si>
  <si>
    <t>stakeholder_name</t>
  </si>
  <si>
    <t>Tracy Field (Systems Administrator)</t>
  </si>
  <si>
    <t>Some customers will do anything if given the chance to manage this themselves.</t>
  </si>
  <si>
    <t>Lack of digital self-service tools forces willing payers into high-cost manual agent channels.</t>
  </si>
  <si>
    <t>Kimberley Richards-Stokes (Service Design Lead)</t>
  </si>
  <si>
    <t>Some customers will never use a portal no matter how good it is, and we need to plan for that.</t>
  </si>
  <si>
    <t>stakeholder_role</t>
  </si>
  <si>
    <t>Channel strategy must preserve assisted support options for digitally excluded or resistant customers.</t>
  </si>
  <si>
    <t>Eleanor Clark (Service Design Lead)</t>
  </si>
  <si>
    <t>Most customers do not even know they can pay online; they think they have to call.</t>
  </si>
  <si>
    <t>Low digital channel awareness drives unnecessary telephone queues and inflates operational expenses.</t>
  </si>
  <si>
    <t>quote_or_observation</t>
  </si>
  <si>
    <t>Robert Quinn (Process Improvement Lead)</t>
  </si>
  <si>
    <t>Customers get transferred between departments and have to repeat their entire situation each time.</t>
  </si>
  <si>
    <t>Inter-departmental handoffs frustrate customers, lowering satisfaction and escalating complaint risk.</t>
  </si>
  <si>
    <t>Diana White (Collections Representative)</t>
  </si>
  <si>
    <t>Assigned Theme</t>
  </si>
  <si>
    <t>We are exposed to complaint risk because customers cannot track what we have told them.</t>
  </si>
  <si>
    <t>Absence of customer-visible confirmation logs invites payment disputes and ombudsman escalations.</t>
  </si>
  <si>
    <t>Dr Lynda Smith (Operations Analyst)</t>
  </si>
  <si>
    <t>Customers would pay more readily if they understood exactly what they owe and could see options.</t>
  </si>
  <si>
    <t>Providing transparent balance breakdowns and flexible installment options accelerates payment velocity.</t>
  </si>
  <si>
    <t>Tracy Field (Compliance Liaison)</t>
  </si>
  <si>
    <t>SN-001</t>
  </si>
  <si>
    <t>If the portal works, it will work because it gives customers control, not because it is fancier.</t>
  </si>
  <si>
    <t>Customer empowerment and autonomy serve as the primary behavioral drivers for digital debt resolution.</t>
  </si>
  <si>
    <t>The portal could work brilliantly for the 40% of customers who want to resolve this themselves.</t>
  </si>
  <si>
    <t>Diverting 40% of routine cases to self-service unlocks major frontline capacity for complex arrears.</t>
  </si>
  <si>
    <t>Thomas Wright (Operations Manager)</t>
  </si>
  <si>
    <t>Amina Rahman</t>
  </si>
  <si>
    <t>Focusing on user autonomy over aesthetic complexity ensures higher self-service adoption.</t>
  </si>
  <si>
    <t>Simon Burns (Compliance Liaison)</t>
  </si>
  <si>
    <t>Self-directed portal workflows capture motivated debtors rapidly and at minimal operational cost.</t>
  </si>
  <si>
    <t>Compliance Liaison</t>
  </si>
  <si>
    <t>The portal would be great, but what happens when someone disputes the balance?</t>
  </si>
  <si>
    <t>Dispute resolution mechanisms must be embedded into digital portals to prevent process bottlenecks.</t>
  </si>
  <si>
    <t>Priya Nair (Operations Manager)</t>
  </si>
  <si>
    <t>Simple cases that could be resolved in minutes take days because they get stuck in the wrong queue.</t>
  </si>
  <si>
    <t>Delayed or missed follow-up</t>
  </si>
  <si>
    <t>Queue misrouting delays debt resolution and artificially inflates work-in-progress inventory.</t>
  </si>
  <si>
    <t>Lawrence Bennett (Finance Analyst)</t>
  </si>
  <si>
    <t>We have cases sitting in 'awaiting callback' status for months because the promised date was never recorded.</t>
  </si>
  <si>
    <t>Unrecorded callback dates cause accounts to stall indefinitely, impairing debt collection yield.</t>
  </si>
  <si>
    <t>Dr Louis Sinclair (Service Design Lead)</t>
  </si>
  <si>
    <t>We have more accounts in the system than our representatives can possibly contact in a reasonable timeframe.</t>
  </si>
  <si>
    <t>Severe queue backlogs mean aged accounts pass the statute or optimal recovery window without contact.</t>
  </si>
  <si>
    <t>Barry Skinner (Operations Analyst)</t>
  </si>
  <si>
    <t>Straightforward cases get delayed because they are queued behind complex ones with no priority logic.</t>
  </si>
  <si>
    <t>Lack of dynamic case triage delays easy collections and drives up overall resolution cycle times.</t>
  </si>
  <si>
    <t>Daniel Farmer (Finance Analyst)</t>
  </si>
  <si>
    <t>We lose customers because the recovery process is so slow they lose faith we will ever resolve it.</t>
  </si>
  <si>
    <t>Protracted collection timelines increase customer drop-off, eroding customer lifetime value.</t>
  </si>
  <si>
    <t>account_id</t>
  </si>
  <si>
    <t>We could recover an extra 5% of balances if we just contacted people at the right time.</t>
  </si>
  <si>
    <t>Optimizing outreach timing directly recaptures an estimated 5% in uncollected balance recovery.</t>
  </si>
  <si>
    <t>SN-002</t>
  </si>
  <si>
    <t>Catherine Frost (Data Analyst)</t>
  </si>
  <si>
    <t>We lose at least 20% of follow-ups because they fall between shifts and no one owns the handoff.</t>
  </si>
  <si>
    <t>Unowned shift handovers cause 20% follow-up leakage, directly depressing cash collections.</t>
  </si>
  <si>
    <t>customer_id</t>
  </si>
  <si>
    <t>Amina Rahman (Head of Debt Recovery Operations)</t>
  </si>
  <si>
    <t>The contact strategy is reactive—we contact people only when collections escalates them.</t>
  </si>
  <si>
    <t>Daniel Okoye</t>
  </si>
  <si>
    <t>Reactive outreach leads to higher default rates compared to proactive early intervention models.</t>
  </si>
  <si>
    <t>customer_name</t>
  </si>
  <si>
    <t>Lawrence Bennett (Collections Representative)</t>
  </si>
  <si>
    <t>If we can reduce the time between identifying a payment opportunity and making contact, we win.</t>
  </si>
  <si>
    <t>Minimizing outreach latency significantly increases payment promise conversion rates.</t>
  </si>
  <si>
    <t>Finance Business Partner</t>
  </si>
  <si>
    <t>Cases get stuck in 'pending callback' status indefinitely because the callback date is never enforced.</t>
  </si>
  <si>
    <t>Lack of automated callback enforcement traps high volumes of debtor accounts in dormant queues.</t>
  </si>
  <si>
    <t>Sylvia Turner (Operations Analyst)</t>
  </si>
  <si>
    <t>Complex and simple cases get mixed together in the same queue, which slows everything down.</t>
  </si>
  <si>
    <t>Homogeneous queues slow operational throughput and misallocate specialist attention.</t>
  </si>
  <si>
    <t>Dr Laura Roberts (Compliance Liaison)</t>
  </si>
  <si>
    <t>We are losing money on cases that fall through the cracks between systems.</t>
  </si>
  <si>
    <t>product_type</t>
  </si>
  <si>
    <t>Cross-system data gaps cause dropped accounts, leading directly to unrecovered write-offs.</t>
  </si>
  <si>
    <t>delinquency_stage</t>
  </si>
  <si>
    <t>Cases pile up on Fridays because no one wants to open new ones before the weekend.</t>
  </si>
  <si>
    <t>Weekly cyclical backlogs delay case momentum and extend overall debt aging by several days.</t>
  </si>
  <si>
    <t>Medium</t>
  </si>
  <si>
    <t>Clare Willis (Service Design Lead)</t>
  </si>
  <si>
    <t>SN-003</t>
  </si>
  <si>
    <t>days_past_due</t>
  </si>
  <si>
    <t>We reach out to customers in a random order rather than any strategic sequence.</t>
  </si>
  <si>
    <t>Random contact sequencing fails to maximize recovery on high-propensity debtor accounts.</t>
  </si>
  <si>
    <t>overdue_amount</t>
  </si>
  <si>
    <t>Priya Nair</t>
  </si>
  <si>
    <t>Priya Nair (Product Manager)</t>
  </si>
  <si>
    <t>Absence of value-tiered contact prioritization leaves high-yield debts uncollected.</t>
  </si>
  <si>
    <t>total_balance</t>
  </si>
  <si>
    <t>Operations Manager</t>
  </si>
  <si>
    <t>We are treating urgent cases and routine cases the same way, which is why everything feels urgent.</t>
  </si>
  <si>
    <t>risk_flag</t>
  </si>
  <si>
    <t>Failure to prioritize urgent cases creates chronic operational thrash and misses critical deadlines.</t>
  </si>
  <si>
    <t>current_status</t>
  </si>
  <si>
    <t>Disjointed shift transitions drop one in five scheduled follow-ups, reducing cash realization.</t>
  </si>
  <si>
    <t>email</t>
  </si>
  <si>
    <t>Unmonitored callback queues stall account progress and delay cash receipts across recovery cycles.</t>
  </si>
  <si>
    <t>mobile_phone</t>
  </si>
  <si>
    <t>Mr Dale Jackson (Collections Representative)</t>
  </si>
  <si>
    <t>Lack of data-driven contact sequencing lowers outreach yield and extends case processing times.</t>
  </si>
  <si>
    <t>postcode</t>
  </si>
  <si>
    <t>Mr Philip Stone (Service Design Lead)</t>
  </si>
  <si>
    <t>A single customer can have five separate records in the system from different entry points.</t>
  </si>
  <si>
    <t>Duplicated work</t>
  </si>
  <si>
    <t>Siloed customer records duplicate agent effort and fragment debtor interaction histories.</t>
  </si>
  <si>
    <t>SN-004</t>
  </si>
  <si>
    <t>last_contact_channel</t>
  </si>
  <si>
    <t>Christopher Richards (Collections Representative)</t>
  </si>
  <si>
    <t>self_service_candidate</t>
  </si>
  <si>
    <t>The collections database does not sync with the email tracker, so representatives often re-contact customers who were already promised callbacks.</t>
  </si>
  <si>
    <t>Gareth Evans</t>
  </si>
  <si>
    <t>Desynchronized trackers lead to redundant outreach, wasting agent hours and aggravating customers.</t>
  </si>
  <si>
    <t>created_date</t>
  </si>
  <si>
    <t>Ronald Rees (Collections Representative)</t>
  </si>
  <si>
    <t>New representatives take two weeks longer to reach productivity because they have to learn the spreadsheet system.</t>
  </si>
  <si>
    <t>Complex manual spreadsheet processes lengthen onboarding time by two weeks per new hire.</t>
  </si>
  <si>
    <t>Senior Collections Team Leader</t>
  </si>
  <si>
    <t>ACC-10001</t>
  </si>
  <si>
    <t>The spreadsheet is now two hundred sheets thick and no one knows what half of them do.</t>
  </si>
  <si>
    <t>Bloated workbook architecture introduces severe maintenance risk and duplicate manual tracking.</t>
  </si>
  <si>
    <t>Leadership approved the roadmap five years ago and never came back to debt recovery.</t>
  </si>
  <si>
    <t>Karl Lewis-Warren (Operations Analyst)</t>
  </si>
  <si>
    <t>CUST-50001</t>
  </si>
  <si>
    <t>Representatives spend time proving what they did rather than doing more work.</t>
  </si>
  <si>
    <t>Defensive logging overhead consumes productive collections time, reducing net recoveries.</t>
  </si>
  <si>
    <t>Naomi Clarke</t>
  </si>
  <si>
    <t>Customers go through the contact process multiple times because we have no way to prevent re-contact.</t>
  </si>
  <si>
    <t>Change resistance or distrust</t>
  </si>
  <si>
    <t>credit_card</t>
  </si>
  <si>
    <t>Inability to suppress recent contacts wastes call center capacity and damages customer trust.</t>
  </si>
  <si>
    <t>early</t>
  </si>
  <si>
    <t>The biggest win will be when representatives stop checking whether work was already done.</t>
  </si>
  <si>
    <t>Automating contact verification reclaims substantial frontline hours for direct customer resolution.</t>
  </si>
  <si>
    <t>SN-005</t>
  </si>
  <si>
    <t>Every new tool we add makes the job harder because it adds another place where data can get out of sync.</t>
  </si>
  <si>
    <t>Fragmented tooling multiplies manual reconciliation points and exacerbates data divergence.</t>
  </si>
  <si>
    <t>Mr Martyn Akhtar (Operations Analyst)</t>
  </si>
  <si>
    <t>Tracy Field</t>
  </si>
  <si>
    <t>I cannot tell which customers have already been contacted this month without manually checking three different sheets.</t>
  </si>
  <si>
    <t>Manual multi-sheet cross-checking drains analytical capacity and causes duplicate customer contacts.</t>
  </si>
  <si>
    <t>We are paying representatives to hunt for information that should already be on the screen.</t>
  </si>
  <si>
    <t>Manual information hunting inflates average handle time and drives up total cost per case.</t>
  </si>
  <si>
    <t>I spend more time reading notes from other representatives than I spend actually calling customers.</t>
  </si>
  <si>
    <t>Unstructured, verbose note-taking consumes agent capacity that should be spent on debt negotiation.</t>
  </si>
  <si>
    <t>N</t>
  </si>
  <si>
    <t>Daniel Okoye (Finance &amp; Compliance Director)</t>
  </si>
  <si>
    <t>plan_requested</t>
  </si>
  <si>
    <t>samuel11@example.net</t>
  </si>
  <si>
    <t>Every status update in the old system requires manual re-keying into the spreadsheet.</t>
  </si>
  <si>
    <t>Manual re-keying between legacy software and spreadsheets wastes hundreds of staff hours and introduces typos.</t>
  </si>
  <si>
    <t>Ms Andrea Lamb (Collections Representative)</t>
  </si>
  <si>
    <t>The data quality is so poor that we stopped running management reports altogether.</t>
  </si>
  <si>
    <t>Lack of confidence in the numbers</t>
  </si>
  <si>
    <t>Complete lack of reliable management data leaves leadership unable to govern recovery operations.</t>
  </si>
  <si>
    <t>Systems Administrator</t>
  </si>
  <si>
    <t>No one can tell me how much the current workarounds are costing us because the cost is hidden.</t>
  </si>
  <si>
    <t>Unquantified workaround costs conceal operational inefficiency and distort technology ROI calculations.</t>
  </si>
  <si>
    <t>DD6H 8ZY</t>
  </si>
  <si>
    <t>Reporting takes so long that by the time we see the numbers, they are already out of date.</t>
  </si>
  <si>
    <t>letter</t>
  </si>
  <si>
    <t>Lagging reporting cycles impede timely operational intervention, allowing bad debt to age unchecked.</t>
  </si>
  <si>
    <t>Y</t>
  </si>
  <si>
    <t>Sylvia Turner (Operations Manager)</t>
  </si>
  <si>
    <t>Leadership wants the financial case to include upside from better customer retention, but I do not think that is real.</t>
  </si>
  <si>
    <t>Speculative business case assumptions risk setting unrealistic post-implementation targets.</t>
  </si>
  <si>
    <t>The finance team cannot forecast recovery revenue because they do not trust the activity data.</t>
  </si>
  <si>
    <t>activity_id</t>
  </si>
  <si>
    <t>Unreliable operational logs impair corporate cash flow forecasting and balance sheet provisions.</t>
  </si>
  <si>
    <t>The finance team will ask for proof that this is not just shifting cost from operations to lost recovery.</t>
  </si>
  <si>
    <t>SN-006</t>
  </si>
  <si>
    <t>Business justification requires auditable proof that digital channels do not depress debt recovery rates.</t>
  </si>
  <si>
    <t>Peter Chambers (Customer Service Lead)</t>
  </si>
  <si>
    <t>The value case needs to account for the fact that some recoveries will take longer with self-service.</t>
  </si>
  <si>
    <t>Cash timing expectations must adjust for extended self-service payment plan durations.</t>
  </si>
  <si>
    <t>Sylvia Turner</t>
  </si>
  <si>
    <t>Managers need a clear view of whether self-service actually reduces workload.</t>
  </si>
  <si>
    <t>activity_date</t>
  </si>
  <si>
    <t>Operations Analyst</t>
  </si>
  <si>
    <t>ACC-10002</t>
  </si>
  <si>
    <t>Lack of operational telemetry prevents leadership from verifying actual efficiency gains.</t>
  </si>
  <si>
    <t>The spreadsheet workaround cost us five hundred thousand pounds in lost recovery last year.</t>
  </si>
  <si>
    <t>activity_type</t>
  </si>
  <si>
    <t>CUST-50002</t>
  </si>
  <si>
    <t>Manual spreadsheet errors and omissions directly resulted in £500k in unrecovered financial losses.</t>
  </si>
  <si>
    <t>We have no way to tell whether a customer is genuinely unable to pay or simply avoiding contact.</t>
  </si>
  <si>
    <t>Dr Cameron Osborne</t>
  </si>
  <si>
    <t>Every month the finance team has to reconcile our activity count with the database, and they never match.</t>
  </si>
  <si>
    <t>performed_by</t>
  </si>
  <si>
    <t>Chronic database-finance reconciliation discrepancies consume days of senior analyst time each month.</t>
  </si>
  <si>
    <t>personal_loan</t>
  </si>
  <si>
    <t>source_system</t>
  </si>
  <si>
    <t>Poor account-status visibility</t>
  </si>
  <si>
    <t>Inability to distinguish hardship from avoidance prevents deployment of appropriate recovery strategies.</t>
  </si>
  <si>
    <t>late</t>
  </si>
  <si>
    <t>Andrea Hunt (Operations Manager)</t>
  </si>
  <si>
    <t>outcome_code</t>
  </si>
  <si>
    <t>The audit trail is scattered across email, spreadsheets, and the legacy database, making compliance reviews a nightmare.</t>
  </si>
  <si>
    <t>Fragmented record-keeping exposes the organization to major regulatory compliance sanctions.</t>
  </si>
  <si>
    <t>Stewart Howell (Operations Analyst)</t>
  </si>
  <si>
    <t>next_follow_up_date</t>
  </si>
  <si>
    <t>SN-007</t>
  </si>
  <si>
    <t>We cannot tell whether a case failed because of process breakdown or deliberate non-compliance.</t>
  </si>
  <si>
    <t>Lack of diagnostic visibility prevents management from fixing broken processes versus policing compliance.</t>
  </si>
  <si>
    <t>minutes_spent</t>
  </si>
  <si>
    <t>A case marked 'resolved' in one system might be 'in progress' in another.</t>
  </si>
  <si>
    <t>Lawrence Bennett</t>
  </si>
  <si>
    <t>Contradictory system statuses lead to wrongful collections activity and severe compliance breaches.</t>
  </si>
  <si>
    <t>duplicate_check_flag</t>
  </si>
  <si>
    <t>Katherine Taylor-Evans (Finance Analyst)</t>
  </si>
  <si>
    <t>We have never measured how often a case comes back because we have no way to track it.</t>
  </si>
  <si>
    <t>Finance Analyst</t>
  </si>
  <si>
    <t>Awaiting Follow Up</t>
  </si>
  <si>
    <t>Unmonitored account recidivism obscures true case resolution rates and repeat handling costs.</t>
  </si>
  <si>
    <t>ACT-00001</t>
  </si>
  <si>
    <t>Gareth Evans (Operations Analyst)</t>
  </si>
  <si>
    <t>The first contact with a customer is often not optimised because we do not know their full history.</t>
  </si>
  <si>
    <t>kathleenmann@example.net</t>
  </si>
  <si>
    <t>Missing customer interaction history impairs negotiation quality and extends call durations.</t>
  </si>
  <si>
    <t>We do not have a way to identify which cases are straightforward versus which require specialist handling.</t>
  </si>
  <si>
    <t>W3 3NH</t>
  </si>
  <si>
    <t>Absence of case complexity flags leads to inefficient assignment and delayed resolutions.</t>
  </si>
  <si>
    <t>Jennifer Hayes (Systems Administrator)</t>
  </si>
  <si>
    <t>We cannot tell whether a case failed because the representative made a mistake or because the customer is genuinely unable to pay.</t>
  </si>
  <si>
    <t>Confounding agent errors with debtor insolvency distorts operational performance assessments.</t>
  </si>
  <si>
    <t>SN-008</t>
  </si>
  <si>
    <t>status_check</t>
  </si>
  <si>
    <t>If a customer pays even a small amount, the whole case gets reclassified and we lose months of history.</t>
  </si>
  <si>
    <t>Premature status reclassification erases critical audit and payment progression history.</t>
  </si>
  <si>
    <t>Andrea Hunt</t>
  </si>
  <si>
    <t>representative_38</t>
  </si>
  <si>
    <t>We have no way to distinguish between a case that is progressing normally and one that is stalled.</t>
  </si>
  <si>
    <t>Inability to identify stalled accounts delays intervention, causing overdue debt to age out.</t>
  </si>
  <si>
    <t>spreadsheet</t>
  </si>
  <si>
    <t>Andrea Hunt (Finance Analyst)</t>
  </si>
  <si>
    <t>Status updates do not capture why a case changed state, only that it did.</t>
  </si>
  <si>
    <t>ACC-10003</t>
  </si>
  <si>
    <t>Absence of status change rationale impedes process diagnostics and root-cause analytics.</t>
  </si>
  <si>
    <t>next_action_unclear</t>
  </si>
  <si>
    <t>CUST-50003</t>
  </si>
  <si>
    <t>Jacqueline Norris (Operations Analyst)</t>
  </si>
  <si>
    <t>Audit trails across multiple systems make it nearly impossible to demonstrate what happened to a case.</t>
  </si>
  <si>
    <t>Multi-system audit fragmentation makes defending regulatory disputes extraordinarily difficult.</t>
  </si>
  <si>
    <t/>
  </si>
  <si>
    <t>Heather Chapman</t>
  </si>
  <si>
    <t>Stewart Howell</t>
  </si>
  <si>
    <t>Cases involving vulnerable customers are not flagged differently from routine cases.</t>
  </si>
  <si>
    <t>Failure to identify vulnerable debtors creates critical regulatory exposure under consumer duty rules.</t>
  </si>
  <si>
    <t>The activity log does not distinguish between actual contact and failed contact attempts.</t>
  </si>
  <si>
    <t>Muddled activity metrics provide a false picture of actual customer engagement levels.</t>
  </si>
  <si>
    <t>Gareth Evans (Senior Collections Team Leader)</t>
  </si>
  <si>
    <t>Lack of case triage wastes specialist skills on routine files and delays complex recovery.</t>
  </si>
  <si>
    <t>No one has visibility of what is actually in the pipeline or how long cases typically take.</t>
  </si>
  <si>
    <t>Total pipeline opacity undermines accurate revenue projections and resource planning.</t>
  </si>
  <si>
    <t>There is no standard definition of what each status actually means across the team.</t>
  </si>
  <si>
    <t>Ambiguous status terminology creates operational inconsistency across operational teams.</t>
  </si>
  <si>
    <t>Peter Chambers</t>
  </si>
  <si>
    <t>We have no visibility into why cases are failing; we only know that they do.</t>
  </si>
  <si>
    <t>SN-009</t>
  </si>
  <si>
    <t>kathleenmorton@example.net</t>
  </si>
  <si>
    <t>Lack of failure-reason data prevents root-cause fixes and inflates debt write-off volumes.</t>
  </si>
  <si>
    <t>I can see that work is happening, but I cannot see whether it is the right work.</t>
  </si>
  <si>
    <t>Inability to track work efficacy leads to wasted effort on low-yield collection tasks.</t>
  </si>
  <si>
    <t>ACT-00002</t>
  </si>
  <si>
    <t>Kimberley Richards-Stokes</t>
  </si>
  <si>
    <t>CW15 2GJ</t>
  </si>
  <si>
    <t>Reclassification data loss creates operational blind spots and disrupts ongoing collection strategies.</t>
  </si>
  <si>
    <t>phone</t>
  </si>
  <si>
    <t>Service Design Lead</t>
  </si>
  <si>
    <t>Sarah Mitchell (Collections Representative)</t>
  </si>
  <si>
    <t>Conflicting status understandings distort queue reporting and lead to mismanaged accounts.</t>
  </si>
  <si>
    <t>Veronica Cole (Compliance Officer)</t>
  </si>
  <si>
    <t>The current system treats payment promises the same as payment confirmations, which creates confusion.</t>
  </si>
  <si>
    <t>manual_plan_note</t>
  </si>
  <si>
    <t>Equating payment promises to confirmed funds distorts recovery forecasts and confuses agents.</t>
  </si>
  <si>
    <t>representative_48</t>
  </si>
  <si>
    <t>Different representatives use different status codes, which makes reporting meaningless.</t>
  </si>
  <si>
    <t>ACC-10004</t>
  </si>
  <si>
    <t>Inconsistent agent coding degrades enterprise data integrity and invalidates executive reporting.</t>
  </si>
  <si>
    <t>CUST-50004</t>
  </si>
  <si>
    <t>Unmeasured case recurrence blinds management to ineffective first-contact resolution policies.</t>
  </si>
  <si>
    <t>viewed_status</t>
  </si>
  <si>
    <t>Rachael Butler-Bryant</t>
  </si>
  <si>
    <t>Blurring promised vs received payments creates false sense of collection security and auditing flaws.</t>
  </si>
  <si>
    <t>SN-010</t>
  </si>
  <si>
    <t>mid</t>
  </si>
  <si>
    <t>Long-term strategic abandonment leads to outdated processes and entrenched frontline skepticism.</t>
  </si>
  <si>
    <t>Mr Philip Stone</t>
  </si>
  <si>
    <t>Mathew Barlow-Knight (Collections Representative)</t>
  </si>
  <si>
    <t>Most of our experienced representatives have learned workarounds that make them faster than any official process.</t>
  </si>
  <si>
    <t>Relying on informal workarounds undermines process compliance and institutional resilience.</t>
  </si>
  <si>
    <t>The old system was designed for half the volume we handle now, and it shows.</t>
  </si>
  <si>
    <t>Legacy systems buckling under scaled volumes degrade frontline morale and increase errors.</t>
  </si>
  <si>
    <t>Some representatives have been doing this for so long they are faster than the system, and they will resist change.</t>
  </si>
  <si>
    <t>ACT-00003</t>
  </si>
  <si>
    <t>Veteran staff resistance threatens new software adoption without targeted change incentives.</t>
  </si>
  <si>
    <t>email_sent</t>
  </si>
  <si>
    <t>I cannot recommend automating anything until I see that it will not create new compliance risks.</t>
  </si>
  <si>
    <t>Risk aversion slows innovation, requiring verifiable compliance guardrails in automation.</t>
  </si>
  <si>
    <t>With over 100,000 accounts, we cannot manage this manually any longer, yet that is exactly what we are doing.</t>
  </si>
  <si>
    <t>Manual handling across 100k+ accounts creates an unsustainable, high-risk operational bottleneck.</t>
  </si>
  <si>
    <t>Rebecca Davis (Compliance Liaison)</t>
  </si>
  <si>
    <t>The database was designed for a tenth of the volume we handle now, and performance degrades as we approach month-end.</t>
  </si>
  <si>
    <t>SN-011</t>
  </si>
  <si>
    <t>representative_32</t>
  </si>
  <si>
    <t>System slowdowns during peak month-end cycles threaten compliance deadlines and recovery targets.</t>
  </si>
  <si>
    <t>The scale of the problem means that even small improvements in efficiency multiply significantly.</t>
  </si>
  <si>
    <t>B5D 7FE</t>
  </si>
  <si>
    <t>Large case volumes mean marginal workflow automations deliver massive cumulative financial ROI.</t>
  </si>
  <si>
    <t>Christopher Richards</t>
  </si>
  <si>
    <t>promise_to_pay</t>
  </si>
  <si>
    <t>We need to fix the fundamentals before we can build anything new on top.</t>
  </si>
  <si>
    <t>Deploying modern tools on flawed operational foundations risks compounding systemic failures.</t>
  </si>
  <si>
    <t>Collections Representative</t>
  </si>
  <si>
    <t>If self-service reduces representative workload, that headcount saving needs to be real, not theoretical.</t>
  </si>
  <si>
    <t>Financial governance requires verifiable capacity savings to justify capital expenditure.</t>
  </si>
  <si>
    <t>Representatives are ready for better tools; they are tired of workarounds.</t>
  </si>
  <si>
    <t>Frontline burnout from manual workarounds creates high receptivity to intuitive modern tools.</t>
  </si>
  <si>
    <t>The database cannot handle the complexity of modern lending products and customer situations.</t>
  </si>
  <si>
    <t>ACC-10005</t>
  </si>
  <si>
    <t>Architectural limitations restrict product diversification and generate heavy operational friction.</t>
  </si>
  <si>
    <t>CUST-50005</t>
  </si>
  <si>
    <t>We cannot automate the decision about whether a customer is genuinely in hardship or just dodging contact.</t>
  </si>
  <si>
    <t>Nuanced vulnerability assessments require human empathy and discretion to protect vulnerable debtors.</t>
  </si>
  <si>
    <t>William Bryant-Webb</t>
  </si>
  <si>
    <t>We need to measure whether this is better before we commit to rolling it out.</t>
  </si>
  <si>
    <t>Controlled pilot metrics are necessary to mitigate risk and achieve compliance sign-off.</t>
  </si>
  <si>
    <t>Representatives see solutions that the system does not allow them to implement.</t>
  </si>
  <si>
    <t>Overly rigid software prevents agents from executing practical, customer-agreed settlements.</t>
  </si>
  <si>
    <t>We have edge cases involving hardship, vulnerability, and regulatory forbearance that need human judgment.</t>
  </si>
  <si>
    <t>Hardship rules demand human judgment to prevent regulatory enforcement penalties.</t>
  </si>
  <si>
    <t>Some cases must stay representative-led because risk and specialist rules still apply.</t>
  </si>
  <si>
    <t>Complex debt portfolios require high-touch human handling rather than automated routing.</t>
  </si>
  <si>
    <t>ACT-00004</t>
  </si>
  <si>
    <t>This will work only if we address the underlying broken process, not just add a layer on top.</t>
  </si>
  <si>
    <t>Superficial digitization without underlying process re-engineering fails to fix root issues.</t>
  </si>
  <si>
    <t>James Morrison (Quality Assurance Lead)</t>
  </si>
  <si>
    <t>Rigid workflows block representatives from creating pragmatic, compliant repayment solutions.</t>
  </si>
  <si>
    <t>SN-012</t>
  </si>
  <si>
    <t>The compliance team says they cannot approve anything until they see the future process mapped out.</t>
  </si>
  <si>
    <t>Formal future-state process mapping is mandatory to pass regulatory compliance sign-offs.</t>
  </si>
  <si>
    <t>legal_watch</t>
  </si>
  <si>
    <t>The 20-year-old system was built for a different business model entirely.</t>
  </si>
  <si>
    <t>Ms Andrea Lamb</t>
  </si>
  <si>
    <t>Antiquated infrastructure cannot support current consumer credit standards and customer expectations.</t>
  </si>
  <si>
    <t>gerald93@example.org</t>
  </si>
  <si>
    <t>The details matter more than the vision here.</t>
  </si>
  <si>
    <t>Granular process mechanics determine operational success far more than high-level strategies.</t>
  </si>
  <si>
    <t>L3 8ZB</t>
  </si>
  <si>
    <t>representative_08</t>
  </si>
  <si>
    <t>We lose good people because they get frustrated managing around the system instead of managing cases.</t>
  </si>
  <si>
    <t>Frustrating tool limitations accelerate agent attrition and increase organizational replacement costs.</t>
  </si>
  <si>
    <t>Experienced representatives are faster because they have memorised workarounds that should not be necessary.</t>
  </si>
  <si>
    <t>no_reply</t>
  </si>
  <si>
    <t>Workaround-dependent operations create massive knowledge transfer barriers and operational fragility.</t>
  </si>
  <si>
    <t>If we do not invest in this, we will keep losing good representatives to frustration.</t>
  </si>
  <si>
    <t>Failure to upgrade tools drives ongoing talent attrition, depleting skilled frontline capacity.</t>
  </si>
  <si>
    <t>ACC-10006</t>
  </si>
  <si>
    <t>Self-service works well for straightforward cases, but we need to be honest about which ones those are.</t>
  </si>
  <si>
    <t>Clear segmentation criteria are essential to prevent misrouting complex debtors into dead-ends.</t>
  </si>
  <si>
    <t>SN-013</t>
  </si>
  <si>
    <t>CUST-50006</t>
  </si>
  <si>
    <t>Success looks different depending on who you ask.</t>
  </si>
  <si>
    <t>Conflicting departmental priorities threaten project alignment without clear shared metrics.</t>
  </si>
  <si>
    <t>Robin Morris</t>
  </si>
  <si>
    <t>Mathew Barlow-Knight</t>
  </si>
  <si>
    <t>Representatives are afraid to try new things because they were burned by the last system update.</t>
  </si>
  <si>
    <t>auto_finance</t>
  </si>
  <si>
    <t>Past rollout scars cause risk aversion, necessitating extensive change management and support.</t>
  </si>
  <si>
    <t>ACT-00005</t>
  </si>
  <si>
    <t>The legacy system was designed before online banking and mobile payments were common.</t>
  </si>
  <si>
    <t>Obsolete banking rails prevent frictionless modern digital payments, depressing recovery rates.</t>
  </si>
  <si>
    <t>We are treating this as a technology problem when some of it is a process problem.</t>
  </si>
  <si>
    <t>Technology upgrades will underperform unless accompanied by comprehensive operational redesign.</t>
  </si>
  <si>
    <t>Some teams will embrace it immediately and others will resist until forced.</t>
  </si>
  <si>
    <t>escalation</t>
  </si>
  <si>
    <t>Disparate adoption speeds require structured leadership reinforcement and tailored coaching.</t>
  </si>
  <si>
    <t>new_delinquency</t>
  </si>
  <si>
    <t>representative_28</t>
  </si>
  <si>
    <t>Unstandardized workarounds hinder the adoption of scalable, enterprise software solutions.</t>
  </si>
  <si>
    <t>saramason@example.com</t>
  </si>
  <si>
    <t>SN-014</t>
  </si>
  <si>
    <t>The best representatives are being held back by process rather than enabled by it.</t>
  </si>
  <si>
    <t>Clunky legacy processes bottleneck high-performing staff, capping overall department output.</t>
  </si>
  <si>
    <t>TF8Y 4WY</t>
  </si>
  <si>
    <t>Kimberley Richards-Stokes (Compliance Liaison)</t>
  </si>
  <si>
    <t>Foundational technical debt prevents the department from scaling to modern caseload demands.</t>
  </si>
  <si>
    <t>Christopher Richards-Smith (Collections Representative)</t>
  </si>
  <si>
    <t>Representatives are afraid of the portal because they think it will take away their job, not because it won't work.</t>
  </si>
  <si>
    <t>Automation anxiety triggers covert resistance, demanding clear communication on role elevation.</t>
  </si>
  <si>
    <t>Mismatched cross-functional expectations risk project friction without unified KPI definitions.</t>
  </si>
  <si>
    <t>ACC-10007</t>
  </si>
  <si>
    <t>ACT-00006</t>
  </si>
  <si>
    <t>Frontline demand for modern tools provides an active catalyst for rapid user adoption.</t>
  </si>
  <si>
    <t>CUST-50007</t>
  </si>
  <si>
    <t>Dr Reece Rose</t>
  </si>
  <si>
    <t>Widespread workaround culture introduces compliance variance and masks systemic workflow flaws.</t>
  </si>
  <si>
    <t>If unsupported cases come back with no context, representatives will reject the portal.</t>
  </si>
  <si>
    <t>Inadequate escalation handover context causes agent pushback against digital channel tools.</t>
  </si>
  <si>
    <t>SN-015</t>
  </si>
  <si>
    <t>call_attempt</t>
  </si>
  <si>
    <t>representative_05</t>
  </si>
  <si>
    <t>Historical deployment failures necessitate rigorous user testing to earn user trust.</t>
  </si>
  <si>
    <t>Years of delayed investment breed frontline cynicism regarding leadership commitments.</t>
  </si>
  <si>
    <t>Informal workarounds hinder standard operating procedures and create single-point dependencies.</t>
  </si>
  <si>
    <t>promise_due</t>
  </si>
  <si>
    <t>Underinvestment in tooling leads directly to agent burnout, high turnover, and recruitment costs.</t>
  </si>
  <si>
    <t>reedshannon@example.net</t>
  </si>
  <si>
    <t>System inflexibility blocks viable customer payment arrangements, reducing net recoveries.</t>
  </si>
  <si>
    <t>G0E 2BQ</t>
  </si>
  <si>
    <t>Ongoing failure to modernize operations damages staff retention and elevates operating costs.</t>
  </si>
  <si>
    <t>sms</t>
  </si>
  <si>
    <t>SN-016</t>
  </si>
  <si>
    <t>Regulatory forbearance cases necessitate expert human discretion over automated rules.</t>
  </si>
  <si>
    <t>ACT-00007</t>
  </si>
  <si>
    <t>Our representatives are creative and adaptable; they will find ways to use the portal effectively.</t>
  </si>
  <si>
    <t>Mr Dale Jackson</t>
  </si>
  <si>
    <t>Staff adaptability offers a strong foundation for successful digital change management.</t>
  </si>
  <si>
    <t>ACC-10008</t>
  </si>
  <si>
    <t>CUST-50008</t>
  </si>
  <si>
    <t>spreadsheet_reconcile</t>
  </si>
  <si>
    <t>Dorothy Bell</t>
  </si>
  <si>
    <t>representative_04</t>
  </si>
  <si>
    <t>legacy_db</t>
  </si>
  <si>
    <t>SN-017</t>
  </si>
  <si>
    <t>Eleanor Clark</t>
  </si>
  <si>
    <t>manual_follow_up</t>
  </si>
  <si>
    <t>longpaul@example.com</t>
  </si>
  <si>
    <t>BD0A 0LF</t>
  </si>
  <si>
    <t>ACT-00008</t>
  </si>
  <si>
    <t>SN-018</t>
  </si>
  <si>
    <t>ACC-10009</t>
  </si>
  <si>
    <t>Daniel Farmer</t>
  </si>
  <si>
    <t>CUST-50009</t>
  </si>
  <si>
    <t>representative_25</t>
  </si>
  <si>
    <t>Dr Connor Thomas</t>
  </si>
  <si>
    <t>awaiting_review</t>
  </si>
  <si>
    <t>SN-019</t>
  </si>
  <si>
    <t>ACT-00009</t>
  </si>
  <si>
    <t>sinclairanne@example.com</t>
  </si>
  <si>
    <t>KY4P 3UH</t>
  </si>
  <si>
    <t>Mr Martyn Akhtar</t>
  </si>
  <si>
    <t>updated_row</t>
  </si>
  <si>
    <t>ACC-10010</t>
  </si>
  <si>
    <t>CUST-50010</t>
  </si>
  <si>
    <t>Mr Alex Taylor</t>
  </si>
  <si>
    <t>ACT-00010</t>
  </si>
  <si>
    <t>SN-020</t>
  </si>
  <si>
    <t>Ronald Rees</t>
  </si>
  <si>
    <t>no_response_cycle</t>
  </si>
  <si>
    <t>representative_49</t>
  </si>
  <si>
    <t>alanperkins@example.org</t>
  </si>
  <si>
    <t>CO9N 5YB</t>
  </si>
  <si>
    <t>SN-021</t>
  </si>
  <si>
    <t>Clare Willis</t>
  </si>
  <si>
    <t>ACC-10011</t>
  </si>
  <si>
    <t>ACT-00011</t>
  </si>
  <si>
    <t>CUST-50011</t>
  </si>
  <si>
    <t>Dr Kathleen Ward</t>
  </si>
  <si>
    <t>representative_09</t>
  </si>
  <si>
    <t>SN-022</t>
  </si>
  <si>
    <t>left_message</t>
  </si>
  <si>
    <t>Rebecca Davis</t>
  </si>
  <si>
    <t>awaiting_follow_up</t>
  </si>
  <si>
    <t>jonescarolyn@example.com</t>
  </si>
  <si>
    <t>B1 8YZ</t>
  </si>
  <si>
    <t>ACT-00012</t>
  </si>
  <si>
    <t>SN-023</t>
  </si>
  <si>
    <t>ACC-10012</t>
  </si>
  <si>
    <t>Dr Louis Sinclair</t>
  </si>
  <si>
    <t>CUST-50012</t>
  </si>
  <si>
    <t>Donald Donnelly</t>
  </si>
  <si>
    <t>ACT-00013</t>
  </si>
  <si>
    <t>SN-024</t>
  </si>
  <si>
    <t>gerardrowe@example.net</t>
  </si>
  <si>
    <t>Dr Laura Roberts</t>
  </si>
  <si>
    <t>CB0P 1DP</t>
  </si>
  <si>
    <t>JTBD ID</t>
  </si>
  <si>
    <t>sent_to_specialist</t>
  </si>
  <si>
    <t>SN-025</t>
  </si>
  <si>
    <t>Actor</t>
  </si>
  <si>
    <t>ACC-10013</t>
  </si>
  <si>
    <t>Dr Lynda Smith</t>
  </si>
  <si>
    <t>Statement</t>
  </si>
  <si>
    <t>CUST-50013</t>
  </si>
  <si>
    <t>Evidence Link</t>
  </si>
  <si>
    <t>Portal Relevance</t>
  </si>
  <si>
    <t>Mrs Shannon James</t>
  </si>
  <si>
    <t>Frequency of Evidence</t>
  </si>
  <si>
    <t>Business Impact Rank</t>
  </si>
  <si>
    <t>ACT-00014</t>
  </si>
  <si>
    <t>Portal Relevance Rank</t>
  </si>
  <si>
    <t>Overall Priority</t>
  </si>
  <si>
    <t>SN-026</t>
  </si>
  <si>
    <t>JTBD-01</t>
  </si>
  <si>
    <t>Katherine Taylor-Evans</t>
  </si>
  <si>
    <t>representative_06</t>
  </si>
  <si>
    <t>Customer</t>
  </si>
  <si>
    <t>pcoates@example.org</t>
  </si>
  <si>
    <t>When I need to resolve an outstanding balance, I want to see exactly what I owe and the options available, so I can choose a manageable way to pay.</t>
  </si>
  <si>
    <t>Dr Lynda Smith (Operations Analyst): "Customers would pay more readily if they understood exactly what they owe and could see options."</t>
  </si>
  <si>
    <t>S1H 5SZ</t>
  </si>
  <si>
    <t>Shows clear balance details and enables customers to set up manageable payment plans directly online.</t>
  </si>
  <si>
    <t>SN-027</t>
  </si>
  <si>
    <t>Karl Lewis-Warren</t>
  </si>
  <si>
    <t>ACT-00015</t>
  </si>
  <si>
    <t>ACC-10014</t>
  </si>
  <si>
    <t>JTBD-02</t>
  </si>
  <si>
    <t>CUST-50014</t>
  </si>
  <si>
    <t>When my case moves between departments, I want my history and previous conversations to follow me, so I do not have to explain my situation again.</t>
  </si>
  <si>
    <t>Robert Quinn (Process Improvement Lead): "Customers get transferred between departments and have to repeat their entire situation each time."</t>
  </si>
  <si>
    <t>Brett Singh</t>
  </si>
  <si>
    <t>Maintains a shared history across departments so customers never have to repeat their situation when transferred.</t>
  </si>
  <si>
    <t>JTBD-03</t>
  </si>
  <si>
    <t>Collections representative</t>
  </si>
  <si>
    <t>When I pick up a case, I want to see recent contacts and promised callbacks in one reliable place, so I can follow through without duplicating outreach.</t>
  </si>
  <si>
    <t>Christopher Richards (Collections Representative): "The collections database does not sync with the email tracker, so representatives often re-contact customers who were already promised callbacks."</t>
  </si>
  <si>
    <t>Syncs customer online actions and payment promises into staff records to prevent duplicate outreach.</t>
  </si>
  <si>
    <t>SN-028</t>
  </si>
  <si>
    <t>JTBD-04</t>
  </si>
  <si>
    <t>Operations manager</t>
  </si>
  <si>
    <t>When new cases enter the workflow, I want them routed according to their needs and complexity, so straightforward cases are not delayed behind cases requiring specialist handling.</t>
  </si>
  <si>
    <t>Priya Nair (Operations Manager): "Simple cases that could be resolved in minutes take days because they get stuck in the wrong queue."</t>
  </si>
  <si>
    <t>Handles routine payments online, freeing staff queues to focus on complex cases needing specialist help.</t>
  </si>
  <si>
    <t>Diana White</t>
  </si>
  <si>
    <t>JTBD-05</t>
  </si>
  <si>
    <t>When I need an update on my account, I want to see a clear record of past conversations, actions, and next steps, so I can check my progress without calling for information I have already been given.</t>
  </si>
  <si>
    <t>danielsrosemary@example.com</t>
  </si>
  <si>
    <t>Diana White: "We are exposed to complaint risk because customers cannot track what we have told them." &amp; Daniel Okoye</t>
  </si>
  <si>
    <t>Provides an account dashboard with payment history and agreed plans so customers can check progress without calling.</t>
  </si>
  <si>
    <t>W0D 4YQ</t>
  </si>
  <si>
    <t>JTBD-06</t>
  </si>
  <si>
    <t>Finance analyst</t>
  </si>
  <si>
    <t>When forecasting recovery revenue, I want timely, reliable activity data, so I can produce forecasts with confidence.</t>
  </si>
  <si>
    <t>Daniel Farmer (Finance Analyst): "The finance team cannot forecast recovery revenue because they do not trust the activity data."</t>
  </si>
  <si>
    <t>Captures accurate transaction and payment records to provide reliable data for financial forecasting.</t>
  </si>
  <si>
    <t>Low</t>
  </si>
  <si>
    <t>JTBD-07</t>
  </si>
  <si>
    <t>ACT-00016</t>
  </si>
  <si>
    <t>When reviewing a case, I want its audit trail available in one place, so I can demonstrate what happened without reconciling scattered records.</t>
  </si>
  <si>
    <t>Andrea Hunt (Operations Manager): "The audit trail is scattered across email, spreadsheets, and the legacy database, making compliance reviews a nightmare."</t>
  </si>
  <si>
    <t>Creates a single, clear record of all account actions and agreements for straightforward compliance audits.</t>
  </si>
  <si>
    <t>SN-029</t>
  </si>
  <si>
    <t>JTBD-08</t>
  </si>
  <si>
    <t>When I believe my balance is incorrect, I want a clear way to raise and track a dispute, so I can get the issue reviewed before being asked to pay.</t>
  </si>
  <si>
    <t>Barry Skinner</t>
  </si>
  <si>
    <t>Simon Burns (Compliance Liaison): "The portal would be great, but what happens when someone disputes the balance?"</t>
  </si>
  <si>
    <t>Allows customers to submit disputes, upload documents, and pause collections while issues are reviewed.</t>
  </si>
  <si>
    <t>ACC-10015</t>
  </si>
  <si>
    <t>CUST-50015</t>
  </si>
  <si>
    <t>representative_36</t>
  </si>
  <si>
    <t>JTBD-09</t>
  </si>
  <si>
    <t>Mr Bernard Smith</t>
  </si>
  <si>
    <t>When I promise a customer a callback, I want the due date recorded and surfaced to the right person, so the customer is not left waiting and the case keeps moving.</t>
  </si>
  <si>
    <t>Dr Louis Sinclair (Service Design Lead): "Cases get stuck in 'pending callback' status indefinitely because the callback date is never enforced."</t>
  </si>
  <si>
    <t>Lets customers book callback times that sync directly to staff schedules to ensure timely follow-ups.</t>
  </si>
  <si>
    <t>JTBD-10</t>
  </si>
  <si>
    <t>Customer service representative</t>
  </si>
  <si>
    <t>SN-030</t>
  </si>
  <si>
    <t>When a customer may be experiencing hardship or vulnerability, I want to assess their circumstances with appropriate discretion, so they receive support that fits their situation rather than an unsuitable automated decision.</t>
  </si>
  <si>
    <t>Jacqueline Norris</t>
  </si>
  <si>
    <t>specialist_review</t>
  </si>
  <si>
    <t>Peter Chambers (Customer Service Lead): "We cannot automate the decision about whether a customer is genuinely in hardship or just dodging contact."</t>
  </si>
  <si>
    <t>jlewis@example.net</t>
  </si>
  <si>
    <t>Spots signs of financial hardship or vulnerability and immediately routes customers to specialist support.</t>
  </si>
  <si>
    <t>ACT-00017</t>
  </si>
  <si>
    <t>G6D 3FW</t>
  </si>
  <si>
    <t>representative_33</t>
  </si>
  <si>
    <t>SN-031</t>
  </si>
  <si>
    <t>Job</t>
  </si>
  <si>
    <t>ACC-10016</t>
  </si>
  <si>
    <t>CUST-50016</t>
  </si>
  <si>
    <t>Sarah Hall</t>
  </si>
  <si>
    <t>Strategic Role</t>
  </si>
  <si>
    <t>Why It’s in the Top 3</t>
  </si>
  <si>
    <t>**JTBD-01** *(Balance &amp; Plan)*</t>
  </si>
  <si>
    <t>ACT-00018</t>
  </si>
  <si>
    <t>**The Front Door**</t>
  </si>
  <si>
    <t>SN-032</t>
  </si>
  <si>
    <t>email sent</t>
  </si>
  <si>
    <t>Gives the 40% of straightforward customers total transparency and the ability to self-serve immediately.</t>
  </si>
  <si>
    <t>conor42@example.com</t>
  </si>
  <si>
    <t>**JTBD-04** *(Smart Triage)*</t>
  </si>
  <si>
    <t>E0H 8RB</t>
  </si>
  <si>
    <t>**The Operational Core**</t>
  </si>
  <si>
    <t>Unblocks staff queues by separating simple routine arrears from complex debt.</t>
  </si>
  <si>
    <t>**JTBD-10** *(Vulnerability Off-Ramp)*</t>
  </si>
  <si>
    <t>**The Safety Shield**</t>
  </si>
  <si>
    <t>ACC-10017</t>
  </si>
  <si>
    <t>CUST-50017</t>
  </si>
  <si>
    <t>Ensures regulatory compliance and protects vulnerable debtors by routing them straight to human specialists.</t>
  </si>
  <si>
    <t>Eric Barry</t>
  </si>
  <si>
    <t>ACT-00019</t>
  </si>
  <si>
    <t>SN-033</t>
  </si>
  <si>
    <t>representative_30</t>
  </si>
  <si>
    <t>brian76@example.net</t>
  </si>
  <si>
    <t>CF49 3TP</t>
  </si>
  <si>
    <t>SN-034</t>
  </si>
  <si>
    <t>ACC-10018</t>
  </si>
  <si>
    <t>CUST-50018</t>
  </si>
  <si>
    <t>ACT-00020</t>
  </si>
  <si>
    <t>Ben Lane</t>
  </si>
  <si>
    <t>representative_27</t>
  </si>
  <si>
    <t>SN-035</t>
  </si>
  <si>
    <t>kellygeraldine@example.net</t>
  </si>
  <si>
    <t>DH3 8PE</t>
  </si>
  <si>
    <t>SN-036</t>
  </si>
  <si>
    <t>ACT-00021</t>
  </si>
  <si>
    <t>Robert Quinn</t>
  </si>
  <si>
    <t>Process Improvement Lead</t>
  </si>
  <si>
    <t>ACC-10019</t>
  </si>
  <si>
    <t>CUST-50019</t>
  </si>
  <si>
    <t>representative_07</t>
  </si>
  <si>
    <t>Emma Wyatt</t>
  </si>
  <si>
    <t>SN-037</t>
  </si>
  <si>
    <t>ACT-00022</t>
  </si>
  <si>
    <t>ehughes@example.com</t>
  </si>
  <si>
    <t>G3T 4FX</t>
  </si>
  <si>
    <t>representative_35</t>
  </si>
  <si>
    <t>ACC-10020</t>
  </si>
  <si>
    <t>CUST-50020</t>
  </si>
  <si>
    <t>SN-038</t>
  </si>
  <si>
    <t>Mrs Karen Brennan</t>
  </si>
  <si>
    <t>ACT-00023</t>
  </si>
  <si>
    <t>SN-039</t>
  </si>
  <si>
    <t>nknight@example.org</t>
  </si>
  <si>
    <t>Simon Burns</t>
  </si>
  <si>
    <t>IM31 8GQ</t>
  </si>
  <si>
    <t>ACT-00024</t>
  </si>
  <si>
    <t>ACC-10021</t>
  </si>
  <si>
    <t>CUST-50021</t>
  </si>
  <si>
    <t>SN-040</t>
  </si>
  <si>
    <t>Mark Wood-Smith</t>
  </si>
  <si>
    <t>Catherine Frost</t>
  </si>
  <si>
    <t>Data Analyst</t>
  </si>
  <si>
    <t>SN-041</t>
  </si>
  <si>
    <t>damian46@example.com</t>
  </si>
  <si>
    <t>ACT-00025</t>
  </si>
  <si>
    <t>Task Name</t>
  </si>
  <si>
    <t>TF44 3QF</t>
  </si>
  <si>
    <t>Customer Service Lead</t>
  </si>
  <si>
    <t>Task Count</t>
  </si>
  <si>
    <t>representative_34</t>
  </si>
  <si>
    <t>Total Minutes</t>
  </si>
  <si>
    <t>ACC-10022</t>
  </si>
  <si>
    <t>Average Minutes</t>
  </si>
  <si>
    <t>Calculation &amp; Origin</t>
  </si>
  <si>
    <t>CUST-50022</t>
  </si>
  <si>
    <t>SN-042</t>
  </si>
  <si>
    <t>Mr Jay Ferguson</t>
  </si>
  <si>
    <t>Jennifer Hayes</t>
  </si>
  <si>
    <t>ACT-00026</t>
  </si>
  <si>
    <t>barbararowley@example.org</t>
  </si>
  <si>
    <t>SN-043</t>
  </si>
  <si>
    <t>representative_22</t>
  </si>
  <si>
    <t>SE4M 4UQ</t>
  </si>
  <si>
    <t>ACC-10023</t>
  </si>
  <si>
    <t>CUST-50023</t>
  </si>
  <si>
    <t>Mrs Beverley Riley</t>
  </si>
  <si>
    <t>SN-044</t>
  </si>
  <si>
    <t>ACT-00027</t>
  </si>
  <si>
    <t>sms_reminder</t>
  </si>
  <si>
    <t>Aggregated from Recovery activity tracker: Task Count = COUNTIF(activity_type,"call_attempt"); Total Mins = SUMIF(activity_type,"call_attempt",minutes_spent); Avg = 15,312 / 1,397 = 11.0 mins.</t>
  </si>
  <si>
    <t>kdavies@example.org</t>
  </si>
  <si>
    <t>B1T 2TJ</t>
  </si>
  <si>
    <t>ACT-00028</t>
  </si>
  <si>
    <t>ACC-10024</t>
  </si>
  <si>
    <t>CUST-50024</t>
  </si>
  <si>
    <t>Aggregated from Recovery activity tracker: Task Count = COUNTIF(activity_type,"email_sent"); Total Mins = SUMIF(activity_type,"email_sent",minutes_spent); Avg = 7,580 / 1,382 = 5.5 mins.</t>
  </si>
  <si>
    <t>Marilyn Glover-Mills</t>
  </si>
  <si>
    <t>SN-045</t>
  </si>
  <si>
    <t>representative_01</t>
  </si>
  <si>
    <t>Head of Debt Recovery Operations</t>
  </si>
  <si>
    <t>isaunders@example.org</t>
  </si>
  <si>
    <t>Aggregated from Recovery activity tracker: Task Count = COUNTIF(activity_type,"escalation"); Total Mins = SUMIF(activity_type,"escalation",minutes_spent); Avg = 12,025 / 1,423 = 8.5 mins.</t>
  </si>
  <si>
    <t>SN-046</t>
  </si>
  <si>
    <t>N11 3NJ</t>
  </si>
  <si>
    <t>ACT-00029</t>
  </si>
  <si>
    <t>ACC-10025</t>
  </si>
  <si>
    <t>representative_40</t>
  </si>
  <si>
    <t>Aggregated from Recovery activity tracker: Task Count = COUNTIF(activity_type,"manual_plan_note"); Total Mins = SUMIF(activity_type,"manual_plan_note",minutes_spent); Avg = 10,554 / 1,405 = 7.5 mins.</t>
  </si>
  <si>
    <t>CUST-50025</t>
  </si>
  <si>
    <t>Adam Morris-Lewis</t>
  </si>
  <si>
    <t>SN-047</t>
  </si>
  <si>
    <t>ACT-00030</t>
  </si>
  <si>
    <t>Aggregated from Recovery activity tracker: Task Count = COUNTIF(activity_type,"sms_reminder"); Total Mins = SUMIF(activity_type,"sms_reminder",minutes_spent); Avg = 4,285 / 1,425 = 3.0 mins.</t>
  </si>
  <si>
    <t>SN-048</t>
  </si>
  <si>
    <t>KY8 3BL</t>
  </si>
  <si>
    <t>representative_51</t>
  </si>
  <si>
    <t>ACC-10026</t>
  </si>
  <si>
    <t>CUST-50026</t>
  </si>
  <si>
    <t>Aggregated from Recovery activity tracker: Task Count = COUNTIF(activity_type,"spreadsheet_reconcile"); Total Mins = SUMIF(activity_type,"spreadsheet_reconcile",minutes_spent); Avg = 13,123 / 1,458 = 9.0 mins. Baseline source for B-03 and OP-06.</t>
  </si>
  <si>
    <t>Yvonne Preston</t>
  </si>
  <si>
    <t>SN-049</t>
  </si>
  <si>
    <t>ACT-00031</t>
  </si>
  <si>
    <t>Aggregated from Recovery activity tracker: Task Count = COUNTIF(activity_type,"status_check"); Total Mins = SUMIF(activity_type,"status_check",minutes_spent); Avg = 6,347 / 1,400 = 4.5 mins. Sourced as balance inquiry baseline for assumption FA-24 and opportunity OP-01 (404 annualized hours saved).</t>
  </si>
  <si>
    <t>Total / Portfolio Average</t>
  </si>
  <si>
    <t>omorgan@example.org</t>
  </si>
  <si>
    <t>SN-050</t>
  </si>
  <si>
    <t>LD5 4RB</t>
  </si>
  <si>
    <t>representative_53</t>
  </si>
  <si>
    <t>ACC-10027</t>
  </si>
  <si>
    <t>Portfolio total across all logged recovery records: Count = SUM(B2:B8) (9,890 tasks); Total Mins = SUM(C2:C8) (69,226 mins); Portfolio Weighted Average = 69,226 / 9,890 = 7.0 mins (Assumption FA-16).</t>
  </si>
  <si>
    <t>SN-051</t>
  </si>
  <si>
    <t>CUST-50027</t>
  </si>
  <si>
    <t>ACT-00032</t>
  </si>
  <si>
    <t>Nathan Bird</t>
  </si>
  <si>
    <t>SN-052</t>
  </si>
  <si>
    <t>kevinwilliams@example.net</t>
  </si>
  <si>
    <t>M90 4QU</t>
  </si>
  <si>
    <t>ACT-00033</t>
  </si>
  <si>
    <t>ACC-10028</t>
  </si>
  <si>
    <t>SN-053</t>
  </si>
  <si>
    <t>CUST-50028</t>
  </si>
  <si>
    <t>Eric Fowler</t>
  </si>
  <si>
    <t>representative_16</t>
  </si>
  <si>
    <t>SN-054</t>
  </si>
  <si>
    <t>jonesemma@example.com</t>
  </si>
  <si>
    <t>JE82 2ZX</t>
  </si>
  <si>
    <t>ACT-00034</t>
  </si>
  <si>
    <t>SN-055</t>
  </si>
  <si>
    <t>ACC-10029</t>
  </si>
  <si>
    <t>representative_43</t>
  </si>
  <si>
    <t>CUST-50029</t>
  </si>
  <si>
    <t>Hannah Metcalfe</t>
  </si>
  <si>
    <t>ACT-00035</t>
  </si>
  <si>
    <t>SN-056</t>
  </si>
  <si>
    <t>abdul90@example.net</t>
  </si>
  <si>
    <t>B5 1BW</t>
  </si>
  <si>
    <t>ACC-10030</t>
  </si>
  <si>
    <t>SN-057</t>
  </si>
  <si>
    <t>CUST-50030</t>
  </si>
  <si>
    <t>Anna Mason-West</t>
  </si>
  <si>
    <t>ACT-00036</t>
  </si>
  <si>
    <t>assumption_id</t>
  </si>
  <si>
    <t>DH12 7LP</t>
  </si>
  <si>
    <t>assumption_name</t>
  </si>
  <si>
    <t>SN-058</t>
  </si>
  <si>
    <t>value</t>
  </si>
  <si>
    <t>unit</t>
  </si>
  <si>
    <t>ACC-10031</t>
  </si>
  <si>
    <t>ACT-00037</t>
  </si>
  <si>
    <t>source</t>
  </si>
  <si>
    <t>CUST-50031</t>
  </si>
  <si>
    <t>confidence_level</t>
  </si>
  <si>
    <t>Naomi Smith</t>
  </si>
  <si>
    <t>notes</t>
  </si>
  <si>
    <t>SN-059</t>
  </si>
  <si>
    <t>James Morrison</t>
  </si>
  <si>
    <t>FA-01</t>
  </si>
  <si>
    <t>Quality Assurance Lead</t>
  </si>
  <si>
    <t>representative_hourly_cost</t>
  </si>
  <si>
    <t>juliapugh@example.org</t>
  </si>
  <si>
    <t>ACT-00038</t>
  </si>
  <si>
    <t>S9 4GW</t>
  </si>
  <si>
    <t>SN-060</t>
  </si>
  <si>
    <t>GBP</t>
  </si>
  <si>
    <t>Finance workbook</t>
  </si>
  <si>
    <t>SN-061</t>
  </si>
  <si>
    <t>representative_42</t>
  </si>
  <si>
    <t>ACC-10032</t>
  </si>
  <si>
    <t>CUST-50032</t>
  </si>
  <si>
    <t>Susan Hamilton</t>
  </si>
  <si>
    <t>Blended representative hourly cost</t>
  </si>
  <si>
    <t>Sourced from Finance workbook and HR payroll models; represents the standard fully loaded representative wage (£22/hr) including employment taxes and facility overhead.</t>
  </si>
  <si>
    <t>SN-062</t>
  </si>
  <si>
    <t>ACT-00039</t>
  </si>
  <si>
    <t>jbailey@example.org</t>
  </si>
  <si>
    <t>SN-063</t>
  </si>
  <si>
    <t>S96 0ZX</t>
  </si>
  <si>
    <t>FA-02</t>
  </si>
  <si>
    <t>representative_24</t>
  </si>
  <si>
    <t>working_days_per_month</t>
  </si>
  <si>
    <t>SN-064</t>
  </si>
  <si>
    <t>ACC-10033</t>
  </si>
  <si>
    <t>days</t>
  </si>
  <si>
    <t>CUST-50033</t>
  </si>
  <si>
    <t>Geoffrey Jones-Hughes</t>
  </si>
  <si>
    <t>ACT-00040</t>
  </si>
  <si>
    <t>SN-065</t>
  </si>
  <si>
    <t>Used for admin calculations</t>
  </si>
  <si>
    <t>Sourced from Finance operational calendar; calculated as standard 252 annual working days divided by 12 months = 21 average working days per month.</t>
  </si>
  <si>
    <t>representative_50</t>
  </si>
  <si>
    <t>marc98@example.com</t>
  </si>
  <si>
    <t>CT0 8XX</t>
  </si>
  <si>
    <t>FA-03</t>
  </si>
  <si>
    <t>SN-066</t>
  </si>
  <si>
    <t>straightforward_case_share</t>
  </si>
  <si>
    <t>ratio</t>
  </si>
  <si>
    <t>ACC-10034</t>
  </si>
  <si>
    <t>ACT-00041</t>
  </si>
  <si>
    <t>Operations estimate</t>
  </si>
  <si>
    <t>CUST-50034</t>
  </si>
  <si>
    <t>SN-067</t>
  </si>
  <si>
    <t>Brian Gibson-Graham</t>
  </si>
  <si>
    <t>Suitable for rules-driven self-service</t>
  </si>
  <si>
    <t>representative_39</t>
  </si>
  <si>
    <t>Sourced from Operations leadership estimate and stakeholder interviews (SN-082, SN-099); represents the estimated 38% proportion of delinquent cases eligible for automated/self-service deflection.</t>
  </si>
  <si>
    <t>SN-068</t>
  </si>
  <si>
    <t>ellie60@example.net</t>
  </si>
  <si>
    <t>FA-04</t>
  </si>
  <si>
    <t>avg_straightforward_case_minutes</t>
  </si>
  <si>
    <t>CA0 2JZ</t>
  </si>
  <si>
    <t>ACT-00042</t>
  </si>
  <si>
    <t>SN-069</t>
  </si>
  <si>
    <t>minutes</t>
  </si>
  <si>
    <t>Operations leadership</t>
  </si>
  <si>
    <t>ACC-10035</t>
  </si>
  <si>
    <t>Current case handling time</t>
  </si>
  <si>
    <t>CUST-50035</t>
  </si>
  <si>
    <t>Kerry Smith</t>
  </si>
  <si>
    <t>SN-070</t>
  </si>
  <si>
    <t>Sourced from Operations leadership time-and-motion study; represents the current baseline handling duration (18 mins) for manual representative handling of routine arrears inquiries.</t>
  </si>
  <si>
    <t>ACT-00043</t>
  </si>
  <si>
    <t>FA-05</t>
  </si>
  <si>
    <t>target_straightforward_case_minutes</t>
  </si>
  <si>
    <t>SN-071</t>
  </si>
  <si>
    <t>representative_18</t>
  </si>
  <si>
    <t>G3 0UA</t>
  </si>
  <si>
    <t>Operations target</t>
  </si>
  <si>
    <t>SN-072</t>
  </si>
  <si>
    <t>ACC-10036</t>
  </si>
  <si>
    <t>ACT-00044</t>
  </si>
  <si>
    <t>Target after automation support</t>
  </si>
  <si>
    <t>CUST-50036</t>
  </si>
  <si>
    <t>Target set by Operations leadership; assumes digital self-service balance viewing and automated routing reduce representative handling time by 8 minutes down to 10 minutes per case.</t>
  </si>
  <si>
    <t>Dr Stephen Ward</t>
  </si>
  <si>
    <t>FA-06</t>
  </si>
  <si>
    <t>SN-073</t>
  </si>
  <si>
    <t>missed_follow_up_rate</t>
  </si>
  <si>
    <t>joshua29@example.net</t>
  </si>
  <si>
    <t>ACT-00045</t>
  </si>
  <si>
    <t>Activity tracker analysis</t>
  </si>
  <si>
    <t>B9 1SJ</t>
  </si>
  <si>
    <t>Indicative rate of missed or delayed follow-up</t>
  </si>
  <si>
    <t>Derived from Recovery activity tracker log analysis (~14.8% unassigned follow-up dates) and operational benchmarks; reflects estimated rate of missed or delayed follow-ups.</t>
  </si>
  <si>
    <t>SN-074</t>
  </si>
  <si>
    <t>ACC-10037</t>
  </si>
  <si>
    <t>CUST-50037</t>
  </si>
  <si>
    <t>Elliot Miah</t>
  </si>
  <si>
    <t>FA-07</t>
  </si>
  <si>
    <t>recovery_uplift_for_plan_selection</t>
  </si>
  <si>
    <t>ACT-00046</t>
  </si>
  <si>
    <t>SN-075</t>
  </si>
  <si>
    <t>Finance estimate</t>
  </si>
  <si>
    <t>Test in sensitivity analysis</t>
  </si>
  <si>
    <t>kelly50@example.com</t>
  </si>
  <si>
    <t>representative_19</t>
  </si>
  <si>
    <t>Modeled in Finance sensitivity analysis; represents an estimated 4.0% recovery rate uplift on delinquent balances when debtors select structured self-serve payment plans.</t>
  </si>
  <si>
    <t>N27 7TQ</t>
  </si>
  <si>
    <t>FA-08</t>
  </si>
  <si>
    <t>recovery_uplift_for_promise_capture</t>
  </si>
  <si>
    <t>ACC-10038</t>
  </si>
  <si>
    <t>CUST-50038</t>
  </si>
  <si>
    <t>ACT-00047</t>
  </si>
  <si>
    <t>Julie Norris</t>
  </si>
  <si>
    <t>SN-076</t>
  </si>
  <si>
    <t>Scenario based</t>
  </si>
  <si>
    <t>Modeled in Finance scenario analysis; represents an estimated 2.5% recovery rate uplift achieved via immediate digital capture and automated confirmation of promises to pay.</t>
  </si>
  <si>
    <t>FA-09</t>
  </si>
  <si>
    <t>monthly_recovery_baseline</t>
  </si>
  <si>
    <t>nwallace@example.net</t>
  </si>
  <si>
    <t>S01 4YF</t>
  </si>
  <si>
    <t>ACT-00048</t>
  </si>
  <si>
    <t>Baseline monthly recoveries</t>
  </si>
  <si>
    <t>Sourced directly from Finance monthly management accounts; reflects baseline gross collections of £8.0M per month (£96M annualized) across delinquent debt operations.</t>
  </si>
  <si>
    <t>ACC-10039</t>
  </si>
  <si>
    <t>CUST-50039</t>
  </si>
  <si>
    <t>FA-10</t>
  </si>
  <si>
    <t>representative_46</t>
  </si>
  <si>
    <t>Patricia Cartwright-Phillips</t>
  </si>
  <si>
    <t>implementation_cost_low_complexity</t>
  </si>
  <si>
    <t>Product delivery estimate</t>
  </si>
  <si>
    <t>Starter figure</t>
  </si>
  <si>
    <t>Sourced from Product delivery engineering estimates; standard capex cost (£45,000) for low-complexity portal modules (e.g., balance views, reminder dispatch).</t>
  </si>
  <si>
    <t>ACT-00049</t>
  </si>
  <si>
    <t>owenkathryn@example.org</t>
  </si>
  <si>
    <t>FA-11</t>
  </si>
  <si>
    <t>B0W 4TH</t>
  </si>
  <si>
    <t>implementation_cost_medium_complexity</t>
  </si>
  <si>
    <t>representative_21</t>
  </si>
  <si>
    <t>ACC-10040</t>
  </si>
  <si>
    <t>Sourced from Product delivery engineering estimates; standard capex cost (£85,000) for medium-complexity integrations (e.g., plan selection engines, routing logic).</t>
  </si>
  <si>
    <t>CUST-50040</t>
  </si>
  <si>
    <t>Debra Smith</t>
  </si>
  <si>
    <t>FA-12</t>
  </si>
  <si>
    <t>ACT-00050</t>
  </si>
  <si>
    <t>total_delinquent_balance</t>
  </si>
  <si>
    <t>Delinquent accounts</t>
  </si>
  <si>
    <t>B6A 7RQ</t>
  </si>
  <si>
    <t>Total portfolio delinquent balance (£3.05M overdue; £940 avg overdue)</t>
  </si>
  <si>
    <t>Calculated as =SUM(DelinquentAccounts[total_balance]) across all 3,246 customer records in Delinquent accounts tab (£26,559,358.36 total delinquent balance).</t>
  </si>
  <si>
    <t>ACT-00051</t>
  </si>
  <si>
    <t>ACC-10041</t>
  </si>
  <si>
    <t>CUST-50041</t>
  </si>
  <si>
    <t>FA-13</t>
  </si>
  <si>
    <t>Jay Henderson</t>
  </si>
  <si>
    <t>self_service_candidate_share</t>
  </si>
  <si>
    <t>2,507 of 3,246 delinquent accounts suitable for self-service portal</t>
  </si>
  <si>
    <t>Calculated as =COUNTIF(DelinquentAccounts[self_service_candidate],"Y")/COUNTA(DelinquentAccounts[account_id]) (2,507 candidates / 3,246 accounts = 77.23%).</t>
  </si>
  <si>
    <t>FA-14</t>
  </si>
  <si>
    <t>joanford@example.net</t>
  </si>
  <si>
    <t>digital_contactability_rate</t>
  </si>
  <si>
    <t>SN-077</t>
  </si>
  <si>
    <t>S0 7WA</t>
  </si>
  <si>
    <t>ACT-00052</t>
  </si>
  <si>
    <t>3,237 of 3,246 accounts with email or mobile phone contact on record</t>
  </si>
  <si>
    <t>ACC-10042</t>
  </si>
  <si>
    <t>Calculated from Delinquent accounts tab as total accounts with valid email or mobile phone contact on file divided by 3,246 accounts (3,237 / 3,246 = 99.72%).</t>
  </si>
  <si>
    <t>CUST-50042</t>
  </si>
  <si>
    <t>Arthur West</t>
  </si>
  <si>
    <t>FA-15</t>
  </si>
  <si>
    <t>SN-078</t>
  </si>
  <si>
    <t>duplicate_activity_flag_rate</t>
  </si>
  <si>
    <t>Product Manager</t>
  </si>
  <si>
    <t>Recovery activity tracker</t>
  </si>
  <si>
    <t>ACT-00053</t>
  </si>
  <si>
    <t>2,020 of 9,890 logged recovery activities flagged as duplicate entries</t>
  </si>
  <si>
    <t>Calculated from Recovery activity tracker as =COUNTIF(AccountActivities[duplicate_check_flag],"Y")/COUNTA(AccountActivities[activity_id]) (2,020 / 9,890 = 20.42%).</t>
  </si>
  <si>
    <t>gwright@example.org</t>
  </si>
  <si>
    <t>SN-079</t>
  </si>
  <si>
    <t>HP84 2HL</t>
  </si>
  <si>
    <t>FA-16</t>
  </si>
  <si>
    <t>avg_activity_duration_minutes</t>
  </si>
  <si>
    <t>ACC-10043</t>
  </si>
  <si>
    <t>SN-080</t>
  </si>
  <si>
    <t>Average handling time per activity across 9,890 logged activities</t>
  </si>
  <si>
    <t>ACT-00054</t>
  </si>
  <si>
    <t>Calculated from Recovery activity tracker as =AVERAGE(AccountActivities[minutes_spent]) (69,226 total minutes / 9,890 logged activities = 6.9996 mins, rounded to 7).</t>
  </si>
  <si>
    <t>CUST-50043</t>
  </si>
  <si>
    <t>Declan Smith</t>
  </si>
  <si>
    <t>FA-17</t>
  </si>
  <si>
    <t>SN-081</t>
  </si>
  <si>
    <t>total_overdue_balance</t>
  </si>
  <si>
    <t>SN-082</t>
  </si>
  <si>
    <t>ACT-00055</t>
  </si>
  <si>
    <t>josephine96@example.com</t>
  </si>
  <si>
    <t>Sarah Mitchell</t>
  </si>
  <si>
    <t>CT63 9UQ</t>
  </si>
  <si>
    <t>representative_54</t>
  </si>
  <si>
    <t>Total overdue balance across all delinquent accounts (£3.05M)</t>
  </si>
  <si>
    <t>SN-083</t>
  </si>
  <si>
    <t>Calculated as =SUM(DelinquentAccounts[overdue_amount]) across all 3,246 customer records in Delinquent accounts tab (= £3,052,004.20).</t>
  </si>
  <si>
    <t>ACC-10044</t>
  </si>
  <si>
    <t>CUST-50044</t>
  </si>
  <si>
    <t>Dr Tracey Williams</t>
  </si>
  <si>
    <t>FA-18</t>
  </si>
  <si>
    <t>ACT-00056</t>
  </si>
  <si>
    <t>SN-084</t>
  </si>
  <si>
    <t>Thomas Wright</t>
  </si>
  <si>
    <t>avg_overdue_balance</t>
  </si>
  <si>
    <t>SN-085</t>
  </si>
  <si>
    <t>grace34@example.org</t>
  </si>
  <si>
    <t>B4 1WD</t>
  </si>
  <si>
    <t>Average overdue balance per delinquent account (£940.24)</t>
  </si>
  <si>
    <t>ACT-00057</t>
  </si>
  <si>
    <t>Calculated as Total Overdue Balance (£3,052,004.20) divided by 3,246 delinquent accounts (= £940.24 average overdue per account).</t>
  </si>
  <si>
    <t>SN-086</t>
  </si>
  <si>
    <t>ACC-10045</t>
  </si>
  <si>
    <t>CUST-50045</t>
  </si>
  <si>
    <t>FA-19</t>
  </si>
  <si>
    <t>Paige Macdonald</t>
  </si>
  <si>
    <t>recovery_uplift_timely_outreach</t>
  </si>
  <si>
    <t>SN-087</t>
  </si>
  <si>
    <t>Stakeholder observation</t>
  </si>
  <si>
    <t>SN-088</t>
  </si>
  <si>
    <t>Estimated recovery uplift from timely customer outreach (5%)</t>
  </si>
  <si>
    <t>Sourced directly from stakeholder evidence note SN-033 (Compliance Liaison observation: potential 5% additional balance recovery through timely customer outreach).</t>
  </si>
  <si>
    <t>ACT-00058</t>
  </si>
  <si>
    <t>deborah76@example.org</t>
  </si>
  <si>
    <t>SN-089</t>
  </si>
  <si>
    <t>FA-20</t>
  </si>
  <si>
    <t>shift_handoff_loss_rate</t>
  </si>
  <si>
    <t>BH9P 1QA</t>
  </si>
  <si>
    <t>SN-090</t>
  </si>
  <si>
    <t>Estimated follow-up loss between shifts due to unowned handoffs (20%)</t>
  </si>
  <si>
    <t>Sourced directly from stakeholder evidence notes SN-040 and SN-105 (Data Analyst &amp; Rep observations: 20% of follow-ups lost between unowned shift handoffs).</t>
  </si>
  <si>
    <t>ACC-10046</t>
  </si>
  <si>
    <t>FA-21</t>
  </si>
  <si>
    <t>CUST-50046</t>
  </si>
  <si>
    <t>SN-091</t>
  </si>
  <si>
    <t>contact_verification_annual_hours_saved</t>
  </si>
  <si>
    <t>Dr Anne Khan</t>
  </si>
  <si>
    <t>hours</t>
  </si>
  <si>
    <t>SN-092</t>
  </si>
  <si>
    <t>ACT-00059</t>
  </si>
  <si>
    <t>Annual representative hours saved through contact detail verification (OP-02)</t>
  </si>
  <si>
    <t>Sourced from Opportunities table (OP-02) and operational assessment; represents 240 annual representative hours saved through automated contact detail confirmation and updates.</t>
  </si>
  <si>
    <t>SN-093</t>
  </si>
  <si>
    <t>FA-22</t>
  </si>
  <si>
    <t>twhitehead@example.com</t>
  </si>
  <si>
    <t>delivery_timeline_weeks</t>
  </si>
  <si>
    <t>N57 8PX</t>
  </si>
  <si>
    <t>weeks</t>
  </si>
  <si>
    <t>SN-094</t>
  </si>
  <si>
    <t>Product delivery planning</t>
  </si>
  <si>
    <t>16-week delivery roadmap (four 2-week agile sprints, hardening, and phased rollout)</t>
  </si>
  <si>
    <t>ACC-10047</t>
  </si>
  <si>
    <t>SN-095</t>
  </si>
  <si>
    <t>Sourced from Product delivery planning; represents a 16-week delivery roadmap comprising four 2-week agile sprints, hardening, and phased rollout.</t>
  </si>
  <si>
    <t>CUST-50047</t>
  </si>
  <si>
    <t>Mr Declan Wright</t>
  </si>
  <si>
    <t>ACT-00060</t>
  </si>
  <si>
    <t>FA-23</t>
  </si>
  <si>
    <t>SN-096</t>
  </si>
  <si>
    <t>revenue_straightforward_case_share</t>
  </si>
  <si>
    <t>SN-097</t>
  </si>
  <si>
    <t>Christopher Richards-Smith</t>
  </si>
  <si>
    <t>pcraig@example.com</t>
  </si>
  <si>
    <t>Straightforward case share applied to revenue calculations</t>
  </si>
  <si>
    <t>Sourced from FA-03 (38% straightforward case share); applied as eligible case proportion to model revenue uplifts for digital promise capture (OP-03) and payment-plan selection (OP-04).</t>
  </si>
  <si>
    <t>SN-098</t>
  </si>
  <si>
    <t>JE5W 5AX</t>
  </si>
  <si>
    <t>ACT-00061</t>
  </si>
  <si>
    <t>FA-24</t>
  </si>
  <si>
    <t>balance_inquiry_annual_hours_saved</t>
  </si>
  <si>
    <t>SN-099</t>
  </si>
  <si>
    <t>ACC-10048</t>
  </si>
  <si>
    <t>CUST-50048</t>
  </si>
  <si>
    <t>representative_15</t>
  </si>
  <si>
    <t>SN-100</t>
  </si>
  <si>
    <t>Liam Whittaker</t>
  </si>
  <si>
    <t>SN-101</t>
  </si>
  <si>
    <t>Recovery activity tracker &amp; Task Breakdown</t>
  </si>
  <si>
    <t>ACT-00062</t>
  </si>
  <si>
    <t>davisondiane@example.com</t>
  </si>
  <si>
    <t>Annual representative hours spent on routine balance inquiries (status checks)</t>
  </si>
  <si>
    <t>BB59 4AP</t>
  </si>
  <si>
    <t>Derived from Recovery activity tracker status_check volume (1,400 activities, 6,347 mins across 66 tracking days; Task Breakdown row 8). Annualized as: 6,347 mins / 60 / 66 days * 21 days/mo (FA-02) * 12 mos = 404 annual hours saved for OP-01, replacing prior straightforward case assumption.</t>
  </si>
  <si>
    <t>SN-102</t>
  </si>
  <si>
    <t>ACC-10049</t>
  </si>
  <si>
    <t>SN-103</t>
  </si>
  <si>
    <t>CUST-50049</t>
  </si>
  <si>
    <t>Brandon Murphy</t>
  </si>
  <si>
    <t>SN-104</t>
  </si>
  <si>
    <t>ACT-00063</t>
  </si>
  <si>
    <t>tclarke@example.com</t>
  </si>
  <si>
    <t>SN-105</t>
  </si>
  <si>
    <t>LD8 3FH</t>
  </si>
  <si>
    <t>representative_29</t>
  </si>
  <si>
    <t>ACC-10050</t>
  </si>
  <si>
    <t>CUST-50050</t>
  </si>
  <si>
    <t>SN-106</t>
  </si>
  <si>
    <t>Ms Kim Patel</t>
  </si>
  <si>
    <t>ACT-00064</t>
  </si>
  <si>
    <t>SN-107</t>
  </si>
  <si>
    <t>woodstracey@example.com</t>
  </si>
  <si>
    <t>M90 3FP</t>
  </si>
  <si>
    <t>SN-108</t>
  </si>
  <si>
    <t>ACC-10051</t>
  </si>
  <si>
    <t>CUST-50051</t>
  </si>
  <si>
    <t>Luke Jones-Little</t>
  </si>
  <si>
    <t>ACT-00065</t>
  </si>
  <si>
    <t>SN-109</t>
  </si>
  <si>
    <t>representative_20</t>
  </si>
  <si>
    <t>SN-110</t>
  </si>
  <si>
    <t>fgallagher@example.com</t>
  </si>
  <si>
    <t>SN-111</t>
  </si>
  <si>
    <t>SM38 3RJ</t>
  </si>
  <si>
    <t>Finance &amp; Compliance Director</t>
  </si>
  <si>
    <t>ACT-00066</t>
  </si>
  <si>
    <t>SN-112</t>
  </si>
  <si>
    <t>Veronica Cole</t>
  </si>
  <si>
    <t>Compliance Officer</t>
  </si>
  <si>
    <t>ACC-10052</t>
  </si>
  <si>
    <t>CUST-50052</t>
  </si>
  <si>
    <t>Kerry Williams</t>
  </si>
  <si>
    <t>SN-113</t>
  </si>
  <si>
    <t>ACT-00067</t>
  </si>
  <si>
    <t>SN-114</t>
  </si>
  <si>
    <t>jonesanna@example.com</t>
  </si>
  <si>
    <t>M7 3XY</t>
  </si>
  <si>
    <t>SN-115</t>
  </si>
  <si>
    <t>ACC-10053</t>
  </si>
  <si>
    <t>CUST-50053</t>
  </si>
  <si>
    <t>James Roberts</t>
  </si>
  <si>
    <t>ACT-00068</t>
  </si>
  <si>
    <t>SN-116</t>
  </si>
  <si>
    <t>gillianstevens@example.org</t>
  </si>
  <si>
    <t>SN-117</t>
  </si>
  <si>
    <t>JE96 6BA</t>
  </si>
  <si>
    <t>SN-118</t>
  </si>
  <si>
    <t>ACT-00069</t>
  </si>
  <si>
    <t>ACC-10054</t>
  </si>
  <si>
    <t>CUST-50054</t>
  </si>
  <si>
    <t>SN-119</t>
  </si>
  <si>
    <t>representative_44</t>
  </si>
  <si>
    <t>Christopher Johnson</t>
  </si>
  <si>
    <t>SN-120</t>
  </si>
  <si>
    <t>metric_id</t>
  </si>
  <si>
    <t>SN-121</t>
  </si>
  <si>
    <t>ACT-00070</t>
  </si>
  <si>
    <t>shawdenise@example.org</t>
  </si>
  <si>
    <t>metric_name</t>
  </si>
  <si>
    <t>W4A 9LN</t>
  </si>
  <si>
    <t>SN-122</t>
  </si>
  <si>
    <t>current_value</t>
  </si>
  <si>
    <t>SN-123</t>
  </si>
  <si>
    <t>ACC-10055</t>
  </si>
  <si>
    <t>CUST-50055</t>
  </si>
  <si>
    <t>Cameron Phillips</t>
  </si>
  <si>
    <t>SN-124</t>
  </si>
  <si>
    <t>ACT-00071</t>
  </si>
  <si>
    <t>B-01</t>
  </si>
  <si>
    <t>SN-125</t>
  </si>
  <si>
    <t>total_delinquent_account_volume</t>
  </si>
  <si>
    <t>representative_31</t>
  </si>
  <si>
    <t>SN-126</t>
  </si>
  <si>
    <t>marcthomas@example.org</t>
  </si>
  <si>
    <t>ACT-00072</t>
  </si>
  <si>
    <t>KW6M 6JD</t>
  </si>
  <si>
    <t>accounts</t>
  </si>
  <si>
    <t>Delinquent accounts extract</t>
  </si>
  <si>
    <t>ACC-10056</t>
  </si>
  <si>
    <t>Total active delinquent accounts identified from the delinquent accounts extract (ACC-10001 to ACC-13246)</t>
  </si>
  <si>
    <t>CUST-50056</t>
  </si>
  <si>
    <t>Miss Shannon Hunter</t>
  </si>
  <si>
    <t>Calculated as =COUNTA(DelinquentAccounts[account_id]) across the Delinquent accounts tab (ACC-10001 through ACC-13246), totaling 3,246 unique active delinquent accounts.</t>
  </si>
  <si>
    <t>B-02</t>
  </si>
  <si>
    <t>likely_straightforward_case_volume</t>
  </si>
  <si>
    <t>ACT-00073</t>
  </si>
  <si>
    <t>gilliandixon@example.com</t>
  </si>
  <si>
    <t>B13 0HG</t>
  </si>
  <si>
    <t>cases/month</t>
  </si>
  <si>
    <t>Delinquent accounts &amp; Assumptions (FA-03)</t>
  </si>
  <si>
    <t>ACC-10057</t>
  </si>
  <si>
    <t>Estimated monthly straightforward cases based on 38% straightforward case share (FA-03) applied to delinquent accounts</t>
  </si>
  <si>
    <t>CUST-50057</t>
  </si>
  <si>
    <t>Calculated as =ROUND(B-01 * FA-03) (3,246 delinquent accounts * 38% straightforward case share = 1,233 monthly cases eligible for self-service deflection).</t>
  </si>
  <si>
    <t>B-03</t>
  </si>
  <si>
    <t>Stephen Ford</t>
  </si>
  <si>
    <t>admin_hours_spent_on_manual_work</t>
  </si>
  <si>
    <t>ACT-00074</t>
  </si>
  <si>
    <t>representative_03</t>
  </si>
  <si>
    <t>pelliott@example.org</t>
  </si>
  <si>
    <t>hours/day</t>
  </si>
  <si>
    <t>CT2P 6EH</t>
  </si>
  <si>
    <t>Recovery activity tracker &amp; Assumptions (FA-02)</t>
  </si>
  <si>
    <t>Daily representative hours lost to spreadsheet reconciliation (~218.7 hrs total across 66 tracking days)</t>
  </si>
  <si>
    <t>Calculated from Recovery activity tracker: 13,123 total minutes spent on 'spreadsheet_reconcile' (218.72 hours) divided across 66 tracking days = 3.31 representative hours per working day.</t>
  </si>
  <si>
    <t>B-04</t>
  </si>
  <si>
    <t>ACC-10058</t>
  </si>
  <si>
    <t>CUST-50058</t>
  </si>
  <si>
    <t>ACT-00075</t>
  </si>
  <si>
    <t>Ms Carolyn Page</t>
  </si>
  <si>
    <t>Activity tracker analysis (FA-06)</t>
  </si>
  <si>
    <t>Indicative baseline rate of missed or delayed follow-ups (FA-06; 14.8% unassigned follow-up dates in activity tracker)</t>
  </si>
  <si>
    <t>Sourced directly from Assumption FA-06; baseline operational benchmark of unassigned or delayed follow-up schedules identified in activity tracking logs (~14.0%).</t>
  </si>
  <si>
    <t>B-05</t>
  </si>
  <si>
    <t>current_handling_effort_per_straightforward_case</t>
  </si>
  <si>
    <t>terrylewis@example.org</t>
  </si>
  <si>
    <t>G6D 1GG</t>
  </si>
  <si>
    <t>ACT-00076</t>
  </si>
  <si>
    <t>minutes/case</t>
  </si>
  <si>
    <t>Operations leadership (FA-04)</t>
  </si>
  <si>
    <t>Baseline handling time per straightforward case prior to automation (FA-04)</t>
  </si>
  <si>
    <t>Sourced directly from Assumption FA-04; operations leadership baseline time-and-motion figure for end-to-end handling of routine arrears inquiries (18 mins/case).</t>
  </si>
  <si>
    <t>ACC-10059</t>
  </si>
  <si>
    <t>B-06</t>
  </si>
  <si>
    <t>CUST-50059</t>
  </si>
  <si>
    <t>monthly_straightforward_case_handling_effort_hours</t>
  </si>
  <si>
    <t>Deborah Mistry-Taylor</t>
  </si>
  <si>
    <t>ACT-00077</t>
  </si>
  <si>
    <t>hours/month</t>
  </si>
  <si>
    <t>Calculated from B-02 and B-05</t>
  </si>
  <si>
    <t>phillip23@example.net</t>
  </si>
  <si>
    <t>opportunity_id</t>
  </si>
  <si>
    <t>Total monthly staff handling effort devoted to straightforward delinquent cases (1,233 cases * 18 mins / 60)</t>
  </si>
  <si>
    <t>W87 3QQ</t>
  </si>
  <si>
    <t>Calculated as =(B-02 * B-05) / 60; (1,233 straightforward monthly cases * 18 minutes handling time) / 60 minutes = 369.9 representative handling hours per month.</t>
  </si>
  <si>
    <t>B-07</t>
  </si>
  <si>
    <t>opportunity_name</t>
  </si>
  <si>
    <t>monthly_admin_hours_lost_to_reconciliation</t>
  </si>
  <si>
    <t>description</t>
  </si>
  <si>
    <t>implementation_cost</t>
  </si>
  <si>
    <t>annual_hours_saved</t>
  </si>
  <si>
    <t>annual_cost_saved</t>
  </si>
  <si>
    <t>ACC-10060</t>
  </si>
  <si>
    <t>annual_revenue_uplift</t>
  </si>
  <si>
    <t>CUST-50060</t>
  </si>
  <si>
    <t>soft_benefit_note</t>
  </si>
  <si>
    <t>Calculated from B-03 &amp; Assumptions (FA-02)</t>
  </si>
  <si>
    <t>ACT-00078</t>
  </si>
  <si>
    <t>Deborah Barber</t>
  </si>
  <si>
    <t>priority_rank</t>
  </si>
  <si>
    <t>Monthly administrative hours lost to manual reconciliation across 21 working days per month (FA-02)</t>
  </si>
  <si>
    <t>Calculated as =B-03 * FA-02; 3.31 daily admin reconciliation hours * 21 working days per month (FA-02) = 69.51 monthly representative hours lost to reconciliation.</t>
  </si>
  <si>
    <t>B-08</t>
  </si>
  <si>
    <t>total_monthly_manual_effort_hours</t>
  </si>
  <si>
    <t>OP-01</t>
  </si>
  <si>
    <t>self-serve balance and arrears view</t>
  </si>
  <si>
    <t>callum36@example.net</t>
  </si>
  <si>
    <t>Enables customers to view current balances, arrears breakdown, and statement history online, deflecting routine inbound queries.</t>
  </si>
  <si>
    <t>Calculated from B-06 and B-07</t>
  </si>
  <si>
    <t>CT4 8SW</t>
  </si>
  <si>
    <t>ACT-00079</t>
  </si>
  <si>
    <t>Combined baseline monthly operational effort from handling straightforward cases and manual reconciliation</t>
  </si>
  <si>
    <t>Calculated as =B-06 + B-07; 369.9 case handling hours + 69.5 manual reconciliation hours = 439.4 total monthly hours of manual operational effort targeted for automation.</t>
  </si>
  <si>
    <t>ACC-10061</t>
  </si>
  <si>
    <t>CUST-50061</t>
  </si>
  <si>
    <t>Sharon Palmer</t>
  </si>
  <si>
    <t>ACT-00080</t>
  </si>
  <si>
    <t>jessica71@example.org</t>
  </si>
  <si>
    <t>Empowers customers with transparent balance information, reducing call anxiety and inbound dispute volume.</t>
  </si>
  <si>
    <t>S9G 5HQ</t>
  </si>
  <si>
    <t>Implementation cost from FA-10 (£45k); Hours saved (404 hrs/yr) = (6,347 mins / 60 / 66 tracking days) * 252 working days/yr = 403.9 ≈ 404 hrs/yr (annualized from 1,400 status checks under FA-24); Cost saved = 404 hrs * £22/hr (FA-01) = £8,888. Lineage from notes SN-001, SN-065, SN-082.</t>
  </si>
  <si>
    <t>OP-02</t>
  </si>
  <si>
    <t>ACC-10062</t>
  </si>
  <si>
    <t>contact detail confirmation or update request</t>
  </si>
  <si>
    <t>CUST-50062</t>
  </si>
  <si>
    <t>ACT-00081</t>
  </si>
  <si>
    <t>Elliot Warren</t>
  </si>
  <si>
    <t>Allows customers to confirm and update their contact details online, preventing lost outreach and mail returns.</t>
  </si>
  <si>
    <t>new delinquency</t>
  </si>
  <si>
    <t>jtaylor@example.net</t>
  </si>
  <si>
    <t>Maintains high digital contactability (99.7%) and reduces regulatory risk from outdated customer records.</t>
  </si>
  <si>
    <t>N7U 9WT</t>
  </si>
  <si>
    <t>ACT-00082</t>
  </si>
  <si>
    <t>Implementation cost from FA-10 (£45k); Hours saved (240 hrs/yr) = 20 hrs/mo * 12 mos (~0.95 hrs/day across 252 working days, FA-21) avoiding manual address/phone verification; Cost saved = 240 hrs * £22/hr (FA-01) = £5,280. Lineage from contactability data (FA-14: 99.7%) and note SN-088.</t>
  </si>
  <si>
    <t>OP-03</t>
  </si>
  <si>
    <t>digital promise-to-pay capture</t>
  </si>
  <si>
    <t>ACC-10063</t>
  </si>
  <si>
    <t>CUST-50063</t>
  </si>
  <si>
    <t>Captures digital payment promises and scheduled payment dates online without requiring live agent intervention.</t>
  </si>
  <si>
    <t>Jonathan Fleming</t>
  </si>
  <si>
    <t>representative_56</t>
  </si>
  <si>
    <t>ACT-00083</t>
  </si>
  <si>
    <t>osbornegemma@example.net</t>
  </si>
  <si>
    <t>G57 3LZ</t>
  </si>
  <si>
    <t>ACC-10064</t>
  </si>
  <si>
    <t>CUST-50064</t>
  </si>
  <si>
    <t>Mr Gary Fletcher</t>
  </si>
  <si>
    <t>ACT-00084</t>
  </si>
  <si>
    <t>Secures prompt customer payment commitments and establishes clear behavioral accountability early in arrears.</t>
  </si>
  <si>
    <t>Opportunity ID</t>
  </si>
  <si>
    <t>damiencole@example.com</t>
  </si>
  <si>
    <t>Opportunity Name</t>
  </si>
  <si>
    <t>Implementation cost from FA-10 (£45k); Hours saved (360 hrs/yr) = 30 hrs/mo * 12 mos (~1.43 hrs/day across 252 working days) by deflecting routine payment promise calls; Cost saved = 360 hrs * £22/hr (FA-01) = £7,920; Revenue uplift = £8.0M baseline * 12 mos * 2.5% promise capture uplift * 38% straightforward case share (FA-08, FA-09, FA-23) = £912,000. Lineage: SN-112, SN-126.</t>
  </si>
  <si>
    <t>NG43 7RE</t>
  </si>
  <si>
    <t>Implementation Cost</t>
  </si>
  <si>
    <t>OP-04</t>
  </si>
  <si>
    <t>Annual Cost Saved</t>
  </si>
  <si>
    <t>Annual Revenue Uplift</t>
  </si>
  <si>
    <t>Annual Total Benefit</t>
  </si>
  <si>
    <t>eligible payment-plan selection</t>
  </si>
  <si>
    <t>Net Benefit</t>
  </si>
  <si>
    <t>ROI Percentage</t>
  </si>
  <si>
    <t>Payback Months</t>
  </si>
  <si>
    <t>Calculation Formula</t>
  </si>
  <si>
    <t>Presents eligible self-service installment plans and payment schedules tailored to customer arrears balance.</t>
  </si>
  <si>
    <t>ACT-00085</t>
  </si>
  <si>
    <t>ACC-10065</t>
  </si>
  <si>
    <t>CUST-50065</t>
  </si>
  <si>
    <t>Dr Hollie Martin</t>
  </si>
  <si>
    <t>jporter@example.net</t>
  </si>
  <si>
    <t>ACT-00086</t>
  </si>
  <si>
    <t>JE5E 7DW</t>
  </si>
  <si>
    <t>representative_41</t>
  </si>
  <si>
    <t>ACC-10066</t>
  </si>
  <si>
    <t>CUST-50066</t>
  </si>
  <si>
    <t>Mr Eric Edwards</t>
  </si>
  <si>
    <t>Drives sustainable debt rehabilitation through manageable terms while preserving agent capacity for complex cases.</t>
  </si>
  <si>
    <t>ACT-00087</t>
  </si>
  <si>
    <t>leewendy@example.net</t>
  </si>
  <si>
    <t>representative_23</t>
  </si>
  <si>
    <t>Implementation cost from FA-11 (£85k); Hours saved (986 hrs/yr) = 1,233 straightforward cases/mo (B-02) * 8 mins saved/case (18 min baseline FA-04 - 10 min target FA-05) * 50% portal self-service adoption * 12 mos / 60 = 986.4 ≈ 986 hrs/yr; Cost saved = 986 hrs * £22/hr (FA-01) = £21,692; Revenue uplift = £8.0M baseline * 12 mos * 4.0% plan selection uplift * 38% straightforward case share (FA-07, FA-09, FA-23) = £1,459,200. Lineage: SN-001, SN-065.</t>
  </si>
  <si>
    <t>G7 6AB</t>
  </si>
  <si>
    <t>OP-05</t>
  </si>
  <si>
    <t>Total Benefit = Cost Saved + Revenue Uplift; Net Benefit = Total Benefit - Implementation Cost; ROI = Net Benefit / Implementation Cost; Payback = Implementation Cost / (Total Benefit / 12)</t>
  </si>
  <si>
    <t>rules-based routing to representatives</t>
  </si>
  <si>
    <t>ACC-10067</t>
  </si>
  <si>
    <t>ACT-00088</t>
  </si>
  <si>
    <t>CUST-50067</t>
  </si>
  <si>
    <t>Triages cases using predefined rules to direct routine accounts to self-service and route complex or vulnerable debt to specialists.</t>
  </si>
  <si>
    <t>Sophie King</t>
  </si>
  <si>
    <t>andrewssuzanne@example.com</t>
  </si>
  <si>
    <t>G3 9PX</t>
  </si>
  <si>
    <t>ACT-00089</t>
  </si>
  <si>
    <t>ACC-10068</t>
  </si>
  <si>
    <t>Unblocks frontline queues, accelerates straightforward resolution, and protects vulnerable debtors with specialist care.</t>
  </si>
  <si>
    <t>representative_52</t>
  </si>
  <si>
    <t>CUST-50068</t>
  </si>
  <si>
    <t>Douglas Wright</t>
  </si>
  <si>
    <t>Implementation cost from FA-11 (£85k); Hours saved (650 hrs/yr) = ~54.2 hrs/mo (~2.58 hrs/day across 252 working days) from automated queue triage and deflection of straightforward cases (FA-03); Cost saved = 650 hrs * £22/hr (FA-01) = £14,300. Lineage from queue friction notes SN-003, SN-029, SN-039, SN-057, SN-079, SN-100.</t>
  </si>
  <si>
    <t>OP-06</t>
  </si>
  <si>
    <t>portal interaction history for representatives</t>
  </si>
  <si>
    <t>ACT-00090</t>
  </si>
  <si>
    <t>Provides representatives with a unified log of customer portal actions, payment agreements, and communication history.</t>
  </si>
  <si>
    <t>hughwalker@example.net</t>
  </si>
  <si>
    <t>S6 8QZ</t>
  </si>
  <si>
    <t>ACC-10069</t>
  </si>
  <si>
    <t>CUST-50069</t>
  </si>
  <si>
    <t>Albert Smith</t>
  </si>
  <si>
    <t>ACT-00091</t>
  </si>
  <si>
    <t>representative_14</t>
  </si>
  <si>
    <t>Eliminates monthly manual spreadsheet reconciliation, prevents duplicate outreach, and provides a clear audit trail.</t>
  </si>
  <si>
    <t>milesamelia@example.org</t>
  </si>
  <si>
    <t>BR3Y 9JL</t>
  </si>
  <si>
    <t>ACT-00092</t>
  </si>
  <si>
    <t>Implementation cost from FA-10 (£45k); Hours saved (834 hrs/yr) = 69.5 hrs/mo * 12 mos (from 3.31 hrs/day * 21 days/mo, B-03, B-07; eliminates 13,123 mins of reconciliation across 66 tracking days); Cost saved = 834 hrs * £22/hr (FA-01) = £18,348. Lineage: SN-008, SN-011, SN-025, SN-038, SN-123.</t>
  </si>
  <si>
    <t>OP-07</t>
  </si>
  <si>
    <t>ACC-10070</t>
  </si>
  <si>
    <t>CUST-50070</t>
  </si>
  <si>
    <t>automated follow-up reminders</t>
  </si>
  <si>
    <t>Bryan Stevens-Smart</t>
  </si>
  <si>
    <t>Dispatches automated multi-channel SMS and email reminders for upcoming payment due dates, callbacks, and broken promises.</t>
  </si>
  <si>
    <t>gordonharrison@example.com</t>
  </si>
  <si>
    <t>Portfolio Total</t>
  </si>
  <si>
    <t>ACT-00093</t>
  </si>
  <si>
    <t>CW2 1DT</t>
  </si>
  <si>
    <t>All Opportunities Rollup</t>
  </si>
  <si>
    <t>ACC-10071</t>
  </si>
  <si>
    <t>CUST-50071</t>
  </si>
  <si>
    <t>Directly addresses the 14% missed follow-up rate, prevents shift handoff drops, and improves promise-kept rates.</t>
  </si>
  <si>
    <t>Janet Potter</t>
  </si>
  <si>
    <t>Portfolio totals and aggregate weighted metrics (Net Benefit = Total Benefit - Total Cost; Overall ROI = Net Benefit / Total Cost; Portfolio Payback = Total Cost / (Total Benefit / 12))</t>
  </si>
  <si>
    <t>Implementation cost from FA-10 (£45k); Hours saved (420 hrs/yr) = 35 hrs/mo * 12 mos (~1.67 hrs/day across 252 working days) from automating SMS/email notification workflows; Cost saved = 420 hrs * £22/hr (FA-01) = £9,240. Lineage: resolves 14% missed follow-up rate (FA-06, B-04) and 20% shift handoff loss (FA-20, SN-040, SN-105).</t>
  </si>
  <si>
    <t>ACT-00094</t>
  </si>
  <si>
    <t>uwilson@example.com</t>
  </si>
  <si>
    <t>KT42 1PG</t>
  </si>
  <si>
    <t>ACC-10072</t>
  </si>
  <si>
    <t>CUST-50072</t>
  </si>
  <si>
    <t>Joseph Gough</t>
  </si>
  <si>
    <t>ACT-00095</t>
  </si>
  <si>
    <t>jamesjulie@example.net</t>
  </si>
  <si>
    <t>PR0A 2HU</t>
  </si>
  <si>
    <t>ACC-10073</t>
  </si>
  <si>
    <t>CUST-50073</t>
  </si>
  <si>
    <t>ACT-00096</t>
  </si>
  <si>
    <t>Hollie Owen</t>
  </si>
  <si>
    <t>total_benefit</t>
  </si>
  <si>
    <t>net_benefit</t>
  </si>
  <si>
    <t>roi_percent</t>
  </si>
  <si>
    <t>payback_months</t>
  </si>
  <si>
    <t>effort_score</t>
  </si>
  <si>
    <t>frederick66@example.net</t>
  </si>
  <si>
    <t>E0C 0LY</t>
  </si>
  <si>
    <t>recommendation_note</t>
  </si>
  <si>
    <t>ACT-00097</t>
  </si>
  <si>
    <t>ACC-10074</t>
  </si>
  <si>
    <t>CUST-50074</t>
  </si>
  <si>
    <t>Jake Lewis-Akhtar</t>
  </si>
  <si>
    <t>wmoran@example.org</t>
  </si>
  <si>
    <t>ACT-00098</t>
  </si>
  <si>
    <t>W8T 6QW</t>
  </si>
  <si>
    <t>ACC-10075</t>
  </si>
  <si>
    <t>CUST-50075</t>
  </si>
  <si>
    <t>Paul Pritchard-Phillips</t>
  </si>
  <si>
    <t>ACT-00099</t>
  </si>
  <si>
    <t>woodgerard@example.net</t>
  </si>
  <si>
    <t>DH0 3PU</t>
  </si>
  <si>
    <t>ACC-10076</t>
  </si>
  <si>
    <t>CUST-50076</t>
  </si>
  <si>
    <t>Terence Atkinson</t>
  </si>
  <si>
    <t>ACT-00100</t>
  </si>
  <si>
    <t>Core Week 2 Scope: Foundational self-service balance &amp; arrears view (JTBD-01); transparent debt visibility drives customer engagement.</t>
  </si>
  <si>
    <t>gjohnson@example.com</t>
  </si>
  <si>
    <t>E68 7YS</t>
  </si>
  <si>
    <t>ACT-00101</t>
  </si>
  <si>
    <t>ACC-10077</t>
  </si>
  <si>
    <t>CUST-50077</t>
  </si>
  <si>
    <t>Dr Louise Smith</t>
  </si>
  <si>
    <t>burkemathew@example.org</t>
  </si>
  <si>
    <t>S28 4XP</t>
  </si>
  <si>
    <t>ACT-00102</t>
  </si>
  <si>
    <t>ACC-10078</t>
  </si>
  <si>
    <t>CUST-50078</t>
  </si>
  <si>
    <t>Secondary / Fast-follow: Contact detail updates maintain 99.7% contactability and eliminate mail returns; low effort bundle for Week 2.</t>
  </si>
  <si>
    <t>Russell Walker</t>
  </si>
  <si>
    <t>ACT-00103</t>
  </si>
  <si>
    <t>representative_47</t>
  </si>
  <si>
    <t>clarkdennis@example.net</t>
  </si>
  <si>
    <t>PO1 8EA</t>
  </si>
  <si>
    <t>ACT-00104</t>
  </si>
  <si>
    <t>ACC-10079</t>
  </si>
  <si>
    <t>CUST-50079</t>
  </si>
  <si>
    <t>Mr Robert Davies</t>
  </si>
  <si>
    <t>ACT-00105</t>
  </si>
  <si>
    <t>paul61@example.org</t>
  </si>
  <si>
    <t>EC0 4XP</t>
  </si>
  <si>
    <t>Essential Week 2 Scope: Top ROI quick win (£912k revenue uplift, 0.6 mo payback); captures digital payment promises early in delinquency.</t>
  </si>
  <si>
    <t>ACC-10080</t>
  </si>
  <si>
    <t>CUST-50080</t>
  </si>
  <si>
    <t>Douglas Rowe</t>
  </si>
  <si>
    <t>ACT-00106</t>
  </si>
  <si>
    <t>qhancock@example.org</t>
  </si>
  <si>
    <t>IM9 4HZ</t>
  </si>
  <si>
    <t>Primary Week 2 Priority: Highest monetary return (£1.46M revenue uplift, £1.40M net benefit); self-service installment plan selection.</t>
  </si>
  <si>
    <t>ACC-10081</t>
  </si>
  <si>
    <t>ACT-00107</t>
  </si>
  <si>
    <t>CUST-50081</t>
  </si>
  <si>
    <t>Dr Stewart Clements</t>
  </si>
  <si>
    <t>patricia86@example.net</t>
  </si>
  <si>
    <t>Essential Week 2 Scope: Operational backbone &amp; triage safety shield (JTBD-04/10); routes routine cases to portal and vulnerable debt to specialists.</t>
  </si>
  <si>
    <t>NR8B 8JR</t>
  </si>
  <si>
    <t>ACT-00108</t>
  </si>
  <si>
    <t>ACC-10082</t>
  </si>
  <si>
    <t>CUST-50082</t>
  </si>
  <si>
    <t>Simon Jackson</t>
  </si>
  <si>
    <t>wayne50@example.org</t>
  </si>
  <si>
    <t>Deferred Post-Week 2: Unifies staff portal interaction history (834 hrs saved); deploy after core debtor-facing portal features.</t>
  </si>
  <si>
    <t>ACT-00109</t>
  </si>
  <si>
    <t>M21 4WX</t>
  </si>
  <si>
    <t>ACC-10083</t>
  </si>
  <si>
    <t>CUST-50083</t>
  </si>
  <si>
    <t>Sara Morris</t>
  </si>
  <si>
    <t>Sprint 2 Follow-on: Automated reminders targeting 14% missed follow-up rate; activate once digital promise workflows are live.</t>
  </si>
  <si>
    <t>ACT-00110</t>
  </si>
  <si>
    <t>liamthorpe@example.org</t>
  </si>
  <si>
    <t>N5 4GZ</t>
  </si>
  <si>
    <t>ACC-10084</t>
  </si>
  <si>
    <t>CUST-50084</t>
  </si>
  <si>
    <t>Miss Amanda Wright</t>
  </si>
  <si>
    <t>ACT-00111</t>
  </si>
  <si>
    <t>Blended (Total £395k)</t>
  </si>
  <si>
    <t>High / Medium</t>
  </si>
  <si>
    <t>Portfolio Recommendation: Prioritize OP-01, OP-03, OP-04, and OP-05 for Week 2 core scope to capture 97%+ of portfolio financial return.</t>
  </si>
  <si>
    <t>CONSERVATIVE SCENARIO (30% Lower Revenue Uplift, 20% Lower Operational Time Savings)</t>
  </si>
  <si>
    <t>reeceflynn@example.org</t>
  </si>
  <si>
    <t>scenario_note</t>
  </si>
  <si>
    <t>NG53 1FJ</t>
  </si>
  <si>
    <t>ACC-10085</t>
  </si>
  <si>
    <t>CUST-50085</t>
  </si>
  <si>
    <t>ACT-00112</t>
  </si>
  <si>
    <t>Bryan Thomas</t>
  </si>
  <si>
    <t>rhaynes@example.com</t>
  </si>
  <si>
    <t>BB05 2HS</t>
  </si>
  <si>
    <t>ACT-00113</t>
  </si>
  <si>
    <t>ACC-10086</t>
  </si>
  <si>
    <t>CUST-50086</t>
  </si>
  <si>
    <t>Lucy Phillips</t>
  </si>
  <si>
    <t>Deflection volume drops 20%; annual savings reduce to £7.1k, extending payback to 76.0 months.</t>
  </si>
  <si>
    <t>bakerfiona@example.net</t>
  </si>
  <si>
    <t>ACT-00114</t>
  </si>
  <si>
    <t>PA6A 9SD</t>
  </si>
  <si>
    <t>ACC-10087</t>
  </si>
  <si>
    <t>CUST-50087</t>
  </si>
  <si>
    <t>Melissa Ball</t>
  </si>
  <si>
    <t>Customer self-service adoption drops 20%; annual savings reduce to £4.2k, extending payback to 127.8 months.</t>
  </si>
  <si>
    <t>ACT-00115</t>
  </si>
  <si>
    <t>dalesaunders@example.org</t>
  </si>
  <si>
    <t>AL4 2EW</t>
  </si>
  <si>
    <t>ACC-10088</t>
  </si>
  <si>
    <t>CUST-50088</t>
  </si>
  <si>
    <t>Bradley Hall</t>
  </si>
  <si>
    <t>30% lower promise recovery yield; still delivers £644.7k total benefit, £599.7k net benefit, and 0.8 mo payback.</t>
  </si>
  <si>
    <t>ACT-00116</t>
  </si>
  <si>
    <t>wayne47@example.org</t>
  </si>
  <si>
    <t>DL41 3LP</t>
  </si>
  <si>
    <t>ACT-00117</t>
  </si>
  <si>
    <t>ACC-10089</t>
  </si>
  <si>
    <t>30% lower payment plan recovery yield; still produces £1.04M total benefit, £953.8k net benefit, and 1.0 mo payback.</t>
  </si>
  <si>
    <t>CUST-50089</t>
  </si>
  <si>
    <t>Katie Pearson</t>
  </si>
  <si>
    <t>wallallan@example.net</t>
  </si>
  <si>
    <t>N9D 2WL</t>
  </si>
  <si>
    <t>Routine triage deflection drops 20%; annual savings reduce to £11.4k, extending payback to 89.2 months.</t>
  </si>
  <si>
    <t>ACT-00118</t>
  </si>
  <si>
    <t>ACC-10090</t>
  </si>
  <si>
    <t>CUST-50090</t>
  </si>
  <si>
    <t>Roy Marshall-Newman</t>
  </si>
  <si>
    <t>linda51@example.org</t>
  </si>
  <si>
    <t>Reconciliation inquiry savings drop 20%; annual savings reduce to £14.7k, extending payback to 36.8 months.</t>
  </si>
  <si>
    <t>B0 4WR</t>
  </si>
  <si>
    <t>ACT-00119</t>
  </si>
  <si>
    <t>ACC-10091</t>
  </si>
  <si>
    <t>CUST-50091</t>
  </si>
  <si>
    <t>Maria Harding-Reid</t>
  </si>
  <si>
    <t>Follow-up reminder efficiency drops 20%; annual savings reduce to £7.4k, extending payback to 73.1 months.</t>
  </si>
  <si>
    <t>Conservative Case Rollup (-30% Revenue, -20% Cost Savings)</t>
  </si>
  <si>
    <t>ACT-00120</t>
  </si>
  <si>
    <t>jodierees@example.net</t>
  </si>
  <si>
    <t>W3S 7TL</t>
  </si>
  <si>
    <t>ACC-10092</t>
  </si>
  <si>
    <t>CUST-50092</t>
  </si>
  <si>
    <t>Caroline Yates-Harrison</t>
  </si>
  <si>
    <t>ACT-00121</t>
  </si>
  <si>
    <t>Conservative Stress Test</t>
  </si>
  <si>
    <t>Stress-tested portfolio remains exceptionally viable with £1.33M net benefit, 337% ROI, and 2.8 mo payback.</t>
  </si>
  <si>
    <t>OPTIMISTIC SCENARIO (30% Higher Recovery Uplift, 20% Higher Operational Time Savings)</t>
  </si>
  <si>
    <t>M2B 6DH</t>
  </si>
  <si>
    <t>ACC-10093</t>
  </si>
  <si>
    <t>CUST-50093</t>
  </si>
  <si>
    <t>Mr Brandon Begum</t>
  </si>
  <si>
    <t>ACT-00122</t>
  </si>
  <si>
    <t>mgriffiths@example.com</t>
  </si>
  <si>
    <t>WN8 8EU</t>
  </si>
  <si>
    <t>ACT-00123</t>
  </si>
  <si>
    <t>ACC-10094</t>
  </si>
  <si>
    <t>CUST-50094</t>
  </si>
  <si>
    <t>Julie Harris-Ashton</t>
  </si>
  <si>
    <t>Expanded self-service adoption yields £10.7k annual savings (+20%), accelerating payback to 50.6 months.</t>
  </si>
  <si>
    <t>ACT-00124</t>
  </si>
  <si>
    <t>zporter@example.com</t>
  </si>
  <si>
    <t>L1 0YG</t>
  </si>
  <si>
    <t>ACC-10095</t>
  </si>
  <si>
    <t>CUST-50095</t>
  </si>
  <si>
    <t>Mr Jonathan Hilton</t>
  </si>
  <si>
    <t>High portal engagement lifts automated contact updates to £6.3k annual savings (+20%), shortening payback to 85.2 months.</t>
  </si>
  <si>
    <t>ACT-00125</t>
  </si>
  <si>
    <t>hollie59@example.org</t>
  </si>
  <si>
    <t>representative_37</t>
  </si>
  <si>
    <t>PE7 4PU</t>
  </si>
  <si>
    <t>ACT-00126</t>
  </si>
  <si>
    <t>ACC-10096</t>
  </si>
  <si>
    <t>CUST-50096</t>
  </si>
  <si>
    <t>Samuel Allen</t>
  </si>
  <si>
    <t>30% higher promise conversion lifts total benefit to £1.20M and net benefit to £1.15M, achieving payback in 0.5 months.</t>
  </si>
  <si>
    <t>ricedarren@example.org</t>
  </si>
  <si>
    <t>ACT-00127</t>
  </si>
  <si>
    <t>L94 2XJ</t>
  </si>
  <si>
    <t>ACC-10097</t>
  </si>
  <si>
    <t>CUST-50097</t>
  </si>
  <si>
    <t>Ms Carol Smith</t>
  </si>
  <si>
    <t>30% higher plan adoption drives massive £1.92M total benefit and £1.84M net benefit, achieving payback in 0.5 months.</t>
  </si>
  <si>
    <t>ACT-00128</t>
  </si>
  <si>
    <t>christopherbutler@example.org</t>
  </si>
  <si>
    <t>N2H 7JP</t>
  </si>
  <si>
    <t>ACC-10098</t>
  </si>
  <si>
    <t>CUST-50098</t>
  </si>
  <si>
    <t>Josephine Burton-Atkinson</t>
  </si>
  <si>
    <t>Enhanced automated triage deflects more routine queries, generating £17.2k annual savings and 59.4 month payback.</t>
  </si>
  <si>
    <t>ACT-00129</t>
  </si>
  <si>
    <t>sallysutton@example.com</t>
  </si>
  <si>
    <t>PR7 8EX</t>
  </si>
  <si>
    <t>ACT-00130</t>
  </si>
  <si>
    <t>Broad portal usage maximizes staff interaction lookup savings to £22.0k annually, reducing payback to 24.5 months.</t>
  </si>
  <si>
    <t>ACC-10099</t>
  </si>
  <si>
    <t>CUST-50099</t>
  </si>
  <si>
    <t>Bradley Griffin</t>
  </si>
  <si>
    <t>representative_57</t>
  </si>
  <si>
    <t>dorothywillis@example.net</t>
  </si>
  <si>
    <t>KY9 3DS</t>
  </si>
  <si>
    <t>ACT-00131</t>
  </si>
  <si>
    <t>High reminder engagement lifts staff capacity recovery to £11.1k annual savings, shortening payback to 48.7 months.</t>
  </si>
  <si>
    <t>Optimistic Case Rollup (+30% Revenue, +20% Cost Savings)</t>
  </si>
  <si>
    <t>representative_26</t>
  </si>
  <si>
    <t>ACC-10100</t>
  </si>
  <si>
    <t>CUST-50100</t>
  </si>
  <si>
    <t>Gerard Johnson-King</t>
  </si>
  <si>
    <t>bdavies@example.net</t>
  </si>
  <si>
    <t>ACT-00132</t>
  </si>
  <si>
    <t>Optimistic Upside</t>
  </si>
  <si>
    <t>Exceptional upside: Accelerated digital adoption delivers £3.19M total benefit, £2.79M net benefit, 707% ROI, and 1.5 mo payback.</t>
  </si>
  <si>
    <t>SG4 5SD</t>
  </si>
  <si>
    <t>ACC-10101</t>
  </si>
  <si>
    <t>CUST-50101</t>
  </si>
  <si>
    <t>Dr Ryan Miller</t>
  </si>
  <si>
    <t>ACT-00133</t>
  </si>
  <si>
    <t>DN28 4UP</t>
  </si>
  <si>
    <t>ACC-10102</t>
  </si>
  <si>
    <t>CUST-50102</t>
  </si>
  <si>
    <t>ACT-00134</t>
  </si>
  <si>
    <t>Simon Hutchinson</t>
  </si>
  <si>
    <t>representative_11</t>
  </si>
  <si>
    <t>qgallagher@example.net</t>
  </si>
  <si>
    <t>ACT-00135</t>
  </si>
  <si>
    <t>B9 7RY</t>
  </si>
  <si>
    <t>ACC-10103</t>
  </si>
  <si>
    <t>CUST-50103</t>
  </si>
  <si>
    <t>Amber Jones-Hartley</t>
  </si>
  <si>
    <t>ACT-00136</t>
  </si>
  <si>
    <t>bradleyadrian@example.net</t>
  </si>
  <si>
    <t>W8 8WG</t>
  </si>
  <si>
    <t>ACC-10104</t>
  </si>
  <si>
    <t>CUST-50104</t>
  </si>
  <si>
    <t>Ms Margaret Norton</t>
  </si>
  <si>
    <t>ACT-00137</t>
  </si>
  <si>
    <t>manual follow up</t>
  </si>
  <si>
    <t>ashleighlowe@example.org</t>
  </si>
  <si>
    <t>M80 9JN</t>
  </si>
  <si>
    <t>ACC-10105</t>
  </si>
  <si>
    <t>ACT-00138</t>
  </si>
  <si>
    <t>CUST-50105</t>
  </si>
  <si>
    <t>Leanne Noble</t>
  </si>
  <si>
    <t>hellis@example.com</t>
  </si>
  <si>
    <t>N07 5HZ</t>
  </si>
  <si>
    <t>ACT-00139</t>
  </si>
  <si>
    <t>ACC-10106</t>
  </si>
  <si>
    <t>CUST-50106</t>
  </si>
  <si>
    <t>Dominic Spencer-Smith</t>
  </si>
  <si>
    <t>turnbulljodie@example.net</t>
  </si>
  <si>
    <t>ACT-00140</t>
  </si>
  <si>
    <t>N6G 5RY</t>
  </si>
  <si>
    <t>representative_58</t>
  </si>
  <si>
    <t>ACC-10107</t>
  </si>
  <si>
    <t>CUST-50107</t>
  </si>
  <si>
    <t>Ms Ellie Osborne</t>
  </si>
  <si>
    <t>ACT-00141</t>
  </si>
  <si>
    <t>bryan31@example.com</t>
  </si>
  <si>
    <t>L4 1WF</t>
  </si>
  <si>
    <t>ACC-10108</t>
  </si>
  <si>
    <t>CUST-50108</t>
  </si>
  <si>
    <t>Miss Victoria Matthews</t>
  </si>
  <si>
    <t>ACT-00142</t>
  </si>
  <si>
    <t>francesgill@example.org</t>
  </si>
  <si>
    <t>S7 4WG</t>
  </si>
  <si>
    <t>ACT-00143</t>
  </si>
  <si>
    <t>ACC-10109</t>
  </si>
  <si>
    <t>CUST-50109</t>
  </si>
  <si>
    <t>Raymond Wright-Parry</t>
  </si>
  <si>
    <t>rosekaty@example.com</t>
  </si>
  <si>
    <t>L98 1HY</t>
  </si>
  <si>
    <t>ACT-00144</t>
  </si>
  <si>
    <t>ACC-10110</t>
  </si>
  <si>
    <t>CUST-50110</t>
  </si>
  <si>
    <t>Dr Scott Pearce</t>
  </si>
  <si>
    <t>ACT-00145</t>
  </si>
  <si>
    <t>hendersonsophie@example.org</t>
  </si>
  <si>
    <t>EN5 8DB</t>
  </si>
  <si>
    <t>representative_02</t>
  </si>
  <si>
    <t>ACC-10111</t>
  </si>
  <si>
    <t>CUST-50111</t>
  </si>
  <si>
    <t>Dr Antony Parry</t>
  </si>
  <si>
    <t>ACT-00146</t>
  </si>
  <si>
    <t>DT6 5LH</t>
  </si>
  <si>
    <t>ACC-10112</t>
  </si>
  <si>
    <t>CUST-50112</t>
  </si>
  <si>
    <t>Elizabeth Gibson</t>
  </si>
  <si>
    <t>ACT-00147</t>
  </si>
  <si>
    <t>kwebster@example.org</t>
  </si>
  <si>
    <t>CB17 7WW</t>
  </si>
  <si>
    <t>ACT-00148</t>
  </si>
  <si>
    <t>ACC-10113</t>
  </si>
  <si>
    <t>CUST-50113</t>
  </si>
  <si>
    <t>Dr Neil Gough</t>
  </si>
  <si>
    <t>williamsmichelle@example.net</t>
  </si>
  <si>
    <t>ACT-00149</t>
  </si>
  <si>
    <t>M74 4DY</t>
  </si>
  <si>
    <t>ACC-10114</t>
  </si>
  <si>
    <t>CUST-50114</t>
  </si>
  <si>
    <t>Gregory Dobson</t>
  </si>
  <si>
    <t>ACT-00150</t>
  </si>
  <si>
    <t>antony05@example.com</t>
  </si>
  <si>
    <t>N49 3PU</t>
  </si>
  <si>
    <t>ACC-10115</t>
  </si>
  <si>
    <t>CUST-50115</t>
  </si>
  <si>
    <t>Mrs Shannon Johnson</t>
  </si>
  <si>
    <t>ACT-00151</t>
  </si>
  <si>
    <t>gsmith@example.net</t>
  </si>
  <si>
    <t>G7A 3AQ</t>
  </si>
  <si>
    <t>ACC-10116</t>
  </si>
  <si>
    <t>CUST-50116</t>
  </si>
  <si>
    <t>ACT-00152</t>
  </si>
  <si>
    <t>Dr Terence Austin</t>
  </si>
  <si>
    <t>julia34@example.net</t>
  </si>
  <si>
    <t>NN2W 4XS</t>
  </si>
  <si>
    <t>ACT-00153</t>
  </si>
  <si>
    <t>ACC-10117</t>
  </si>
  <si>
    <t>CUST-50117</t>
  </si>
  <si>
    <t>Miss Kathleen Perry</t>
  </si>
  <si>
    <t>gwilliams@example.net</t>
  </si>
  <si>
    <t>ACT-00154</t>
  </si>
  <si>
    <t>BB2N 3PN</t>
  </si>
  <si>
    <t>ACC-10118</t>
  </si>
  <si>
    <t>CUST-50118</t>
  </si>
  <si>
    <t>Grace Jones</t>
  </si>
  <si>
    <t>ACT-00155</t>
  </si>
  <si>
    <t>simpsonsamuel@example.org</t>
  </si>
  <si>
    <t>FY6M 6JT</t>
  </si>
  <si>
    <t>ACT-00156</t>
  </si>
  <si>
    <t>ACC-10119</t>
  </si>
  <si>
    <t>CUST-50119</t>
  </si>
  <si>
    <t>Marie Ward</t>
  </si>
  <si>
    <t>laustin@example.net</t>
  </si>
  <si>
    <t>L97 4UQ</t>
  </si>
  <si>
    <t>ACT-00157</t>
  </si>
  <si>
    <t>ACC-10120</t>
  </si>
  <si>
    <t>CUST-50120</t>
  </si>
  <si>
    <t>Joanne Wright</t>
  </si>
  <si>
    <t>ACT-00158</t>
  </si>
  <si>
    <t>welchkeith@example.net</t>
  </si>
  <si>
    <t>E30 8GN</t>
  </si>
  <si>
    <t>ACC-10121</t>
  </si>
  <si>
    <t>ACT-00159</t>
  </si>
  <si>
    <t>CUST-50121</t>
  </si>
  <si>
    <t>Mandy Patel</t>
  </si>
  <si>
    <t>promise due</t>
  </si>
  <si>
    <t>apickering@example.net</t>
  </si>
  <si>
    <t>N8 7ZJ</t>
  </si>
  <si>
    <t>ACT-00160</t>
  </si>
  <si>
    <t>ACC-10122</t>
  </si>
  <si>
    <t>CUST-50122</t>
  </si>
  <si>
    <t>Peter Hunt-Hunter</t>
  </si>
  <si>
    <t>representative_13</t>
  </si>
  <si>
    <t>jeremysmith@example.com</t>
  </si>
  <si>
    <t>ACT-00161</t>
  </si>
  <si>
    <t>L3D 8YR</t>
  </si>
  <si>
    <t>ACC-10123</t>
  </si>
  <si>
    <t>CUST-50123</t>
  </si>
  <si>
    <t>Hollie Clarke</t>
  </si>
  <si>
    <t>ACT-00162</t>
  </si>
  <si>
    <t>twilliams@example.org</t>
  </si>
  <si>
    <t>G5G 8QU</t>
  </si>
  <si>
    <t>ACC-10124</t>
  </si>
  <si>
    <t>CUST-50124</t>
  </si>
  <si>
    <t>Dr Sophie Ball</t>
  </si>
  <si>
    <t>ACT-00163</t>
  </si>
  <si>
    <t>beverley67@example.org</t>
  </si>
  <si>
    <t>BD2E 8SJ</t>
  </si>
  <si>
    <t>ACC-10125</t>
  </si>
  <si>
    <t>CUST-50125</t>
  </si>
  <si>
    <t>ACT-00164</t>
  </si>
  <si>
    <t>Mrs Georgia Flynn</t>
  </si>
  <si>
    <t>representative_10</t>
  </si>
  <si>
    <t>julian12@example.com</t>
  </si>
  <si>
    <t>G2A 8ZF</t>
  </si>
  <si>
    <t>ACT-00165</t>
  </si>
  <si>
    <t>ACC-10126</t>
  </si>
  <si>
    <t>CUST-50126</t>
  </si>
  <si>
    <t>Dr Jeffrey Hill</t>
  </si>
  <si>
    <t>ACT-00166</t>
  </si>
  <si>
    <t>wburns@example.net</t>
  </si>
  <si>
    <t>L75 4ZL</t>
  </si>
  <si>
    <t>ACC-10127</t>
  </si>
  <si>
    <t>CUST-50127</t>
  </si>
  <si>
    <t>Steven Hunt</t>
  </si>
  <si>
    <t>ACT-00167</t>
  </si>
  <si>
    <t>plan requested</t>
  </si>
  <si>
    <t>elliotmccarthy@example.com</t>
  </si>
  <si>
    <t>HR9B 9XJ</t>
  </si>
  <si>
    <t>ACC-10128</t>
  </si>
  <si>
    <t>CUST-50128</t>
  </si>
  <si>
    <t>Miss Grace Burton</t>
  </si>
  <si>
    <t>ACT-00168</t>
  </si>
  <si>
    <t>representative_17</t>
  </si>
  <si>
    <t>warneralan@example.org</t>
  </si>
  <si>
    <t>B51 0LW</t>
  </si>
  <si>
    <t>ACT-00169</t>
  </si>
  <si>
    <t>ACC-10129</t>
  </si>
  <si>
    <t>CUST-50129</t>
  </si>
  <si>
    <t>Sean Walters-Harris</t>
  </si>
  <si>
    <t>wmiah@example.net</t>
  </si>
  <si>
    <t>ACT-00170</t>
  </si>
  <si>
    <t>L1 7DH</t>
  </si>
  <si>
    <t>ACC-10130</t>
  </si>
  <si>
    <t>CUST-50130</t>
  </si>
  <si>
    <t>Miss Alice Johnson</t>
  </si>
  <si>
    <t>ACT-00171</t>
  </si>
  <si>
    <t>vincentcole@example.org</t>
  </si>
  <si>
    <t>N1D 2AQ</t>
  </si>
  <si>
    <t>ACT-00172</t>
  </si>
  <si>
    <t>ACC-10131</t>
  </si>
  <si>
    <t>CUST-50131</t>
  </si>
  <si>
    <t>Miss Jade Simmons</t>
  </si>
  <si>
    <t>francis75@example.net</t>
  </si>
  <si>
    <t>HG3R 6HR</t>
  </si>
  <si>
    <t>ACT-00173</t>
  </si>
  <si>
    <t>ACC-10132</t>
  </si>
  <si>
    <t>CUST-50132</t>
  </si>
  <si>
    <t>Iain Bates</t>
  </si>
  <si>
    <t>ACT-00174</t>
  </si>
  <si>
    <t>bethanbentley@example.org</t>
  </si>
  <si>
    <t>E5C 7SR</t>
  </si>
  <si>
    <t>ACC-10133</t>
  </si>
  <si>
    <t>CUST-50133</t>
  </si>
  <si>
    <t>Raymond Lee-Collins</t>
  </si>
  <si>
    <t>ACT-00175</t>
  </si>
  <si>
    <t>keithholmes@example.net</t>
  </si>
  <si>
    <t>CW07 0EU</t>
  </si>
  <si>
    <t>ACT-00176</t>
  </si>
  <si>
    <t>ACC-10134</t>
  </si>
  <si>
    <t>CUST-50134</t>
  </si>
  <si>
    <t>Dr Gordon Donnelly</t>
  </si>
  <si>
    <t>julie45@example.net</t>
  </si>
  <si>
    <t>ACT-00177</t>
  </si>
  <si>
    <t>CB57 2AD</t>
  </si>
  <si>
    <t>ACC-10135</t>
  </si>
  <si>
    <t>CUST-50135</t>
  </si>
  <si>
    <t>Leonard Young</t>
  </si>
  <si>
    <t>ACT-00178</t>
  </si>
  <si>
    <t>awaiting follow up</t>
  </si>
  <si>
    <t>bethancooke@example.org</t>
  </si>
  <si>
    <t>N12 9RL</t>
  </si>
  <si>
    <t>ACC-10136</t>
  </si>
  <si>
    <t>CUST-50136</t>
  </si>
  <si>
    <t>Trevor Turner</t>
  </si>
  <si>
    <t>ACT-00179</t>
  </si>
  <si>
    <t>annapotter@example.com</t>
  </si>
  <si>
    <t>E4C 1BY</t>
  </si>
  <si>
    <t>ACC-10137</t>
  </si>
  <si>
    <t>ACT-00180</t>
  </si>
  <si>
    <t>CUST-50137</t>
  </si>
  <si>
    <t>Dr Joanna Smith</t>
  </si>
  <si>
    <t>tonyhughes@example.net</t>
  </si>
  <si>
    <t>TA0 3QA</t>
  </si>
  <si>
    <t>ACT-00181</t>
  </si>
  <si>
    <t>ACC-10138</t>
  </si>
  <si>
    <t>CUST-50138</t>
  </si>
  <si>
    <t>Louise Mills</t>
  </si>
  <si>
    <t>ACT-00182</t>
  </si>
  <si>
    <t>aimee43@example.net</t>
  </si>
  <si>
    <t>N3F 3FB</t>
  </si>
  <si>
    <t>ACC-10139</t>
  </si>
  <si>
    <t>CUST-50139</t>
  </si>
  <si>
    <t>Karl Jackson</t>
  </si>
  <si>
    <t>ACT-00183</t>
  </si>
  <si>
    <t>karlwright@example.com</t>
  </si>
  <si>
    <t>NR8H 8FY</t>
  </si>
  <si>
    <t>ACC-10140</t>
  </si>
  <si>
    <t>CUST-50140</t>
  </si>
  <si>
    <t>ACT-00184</t>
  </si>
  <si>
    <t>Mitchell Jenkins</t>
  </si>
  <si>
    <t>valeriesteele@example.net</t>
  </si>
  <si>
    <t>KW8Y 7HG</t>
  </si>
  <si>
    <t>ACT-00185</t>
  </si>
  <si>
    <t>ACC-10141</t>
  </si>
  <si>
    <t>CUST-50141</t>
  </si>
  <si>
    <t>Mr Jay Richards</t>
  </si>
  <si>
    <t>ACT-00186</t>
  </si>
  <si>
    <t>clementsliam@example.net</t>
  </si>
  <si>
    <t>M9 4ZL</t>
  </si>
  <si>
    <t>ACC-10142</t>
  </si>
  <si>
    <t>CUST-50142</t>
  </si>
  <si>
    <t>Allan Hope</t>
  </si>
  <si>
    <t>ACT-00187</t>
  </si>
  <si>
    <t>timothy48@example.org</t>
  </si>
  <si>
    <t>E82 9UZ</t>
  </si>
  <si>
    <t>ACT-00188</t>
  </si>
  <si>
    <t>ACC-10143</t>
  </si>
  <si>
    <t>CUST-50143</t>
  </si>
  <si>
    <t>Ms Heather Daly</t>
  </si>
  <si>
    <t>leigh52@example.com</t>
  </si>
  <si>
    <t>WV2M 8ED</t>
  </si>
  <si>
    <t>ACT-00189</t>
  </si>
  <si>
    <t>ACC-10144</t>
  </si>
  <si>
    <t>CUST-50144</t>
  </si>
  <si>
    <t>Lynne Allen</t>
  </si>
  <si>
    <t>reececlayton@example.net</t>
  </si>
  <si>
    <t>ACT-00190</t>
  </si>
  <si>
    <t>IM9 7TE</t>
  </si>
  <si>
    <t>ACC-10145</t>
  </si>
  <si>
    <t>CUST-50145</t>
  </si>
  <si>
    <t>Stephen Parsons</t>
  </si>
  <si>
    <t>ACT-00191</t>
  </si>
  <si>
    <t>baileysam@example.net</t>
  </si>
  <si>
    <t>G51 2HX</t>
  </si>
  <si>
    <t>ACC-10146</t>
  </si>
  <si>
    <t>CUST-50146</t>
  </si>
  <si>
    <t>ACT-00192</t>
  </si>
  <si>
    <t>Dr Francis Brown</t>
  </si>
  <si>
    <t>stuartferguson@example.net</t>
  </si>
  <si>
    <t>HP6R 8HY</t>
  </si>
  <si>
    <t>ACT-00193</t>
  </si>
  <si>
    <t>ACC-10147</t>
  </si>
  <si>
    <t>CUST-50147</t>
  </si>
  <si>
    <t>Miss Janet Wilson</t>
  </si>
  <si>
    <t>ACT-00194</t>
  </si>
  <si>
    <t>pauline34@example.org</t>
  </si>
  <si>
    <t>G7 9QT</t>
  </si>
  <si>
    <t>ACC-10148</t>
  </si>
  <si>
    <t>CUST-50148</t>
  </si>
  <si>
    <t>Tina Fox</t>
  </si>
  <si>
    <t>ACT-00195</t>
  </si>
  <si>
    <t>hodgsonnigel@example.net</t>
  </si>
  <si>
    <t>DG3 5TD</t>
  </si>
  <si>
    <t>ACT-00196</t>
  </si>
  <si>
    <t>ACC-10149</t>
  </si>
  <si>
    <t>CUST-50149</t>
  </si>
  <si>
    <t>Mrs Holly Phillips</t>
  </si>
  <si>
    <t>ACT-00197</t>
  </si>
  <si>
    <t>bthompson@example.com</t>
  </si>
  <si>
    <t>B4T 6FE</t>
  </si>
  <si>
    <t>ACC-10150</t>
  </si>
  <si>
    <t>CUST-50150</t>
  </si>
  <si>
    <t>Hazel Watkins</t>
  </si>
  <si>
    <t>ACT-00198</t>
  </si>
  <si>
    <t>parkinsonrosie@example.org</t>
  </si>
  <si>
    <t>NR11 0QP</t>
  </si>
  <si>
    <t>ACT-00199</t>
  </si>
  <si>
    <t>ACC-10151</t>
  </si>
  <si>
    <t>CUST-50151</t>
  </si>
  <si>
    <t>Jonathan Green</t>
  </si>
  <si>
    <t>ACT-00200</t>
  </si>
  <si>
    <t>godfreybrenda@example.com</t>
  </si>
  <si>
    <t>SG4P 6TX</t>
  </si>
  <si>
    <t>ACT-00201</t>
  </si>
  <si>
    <t>ACC-10152</t>
  </si>
  <si>
    <t>CUST-50152</t>
  </si>
  <si>
    <t>Dawn Graham</t>
  </si>
  <si>
    <t>ACT-00202</t>
  </si>
  <si>
    <t>shobbs@example.org</t>
  </si>
  <si>
    <t>M4C 0YW</t>
  </si>
  <si>
    <t>ACC-10153</t>
  </si>
  <si>
    <t>CUST-50153</t>
  </si>
  <si>
    <t>ACT-00203</t>
  </si>
  <si>
    <t>Dr Dylan Young</t>
  </si>
  <si>
    <t>tom65@example.com</t>
  </si>
  <si>
    <t>SP7N 8LA</t>
  </si>
  <si>
    <t>ACT-00204</t>
  </si>
  <si>
    <t>ACC-10154</t>
  </si>
  <si>
    <t>CUST-50154</t>
  </si>
  <si>
    <t>Mr Martin Hodgson</t>
  </si>
  <si>
    <t>ACT-00205</t>
  </si>
  <si>
    <t>stephaniewilson@example.org</t>
  </si>
  <si>
    <t>TS75 8BW</t>
  </si>
  <si>
    <t>ACC-10155</t>
  </si>
  <si>
    <t>ACT-00206</t>
  </si>
  <si>
    <t>CUST-50155</t>
  </si>
  <si>
    <t>Kenneth Marshall</t>
  </si>
  <si>
    <t>thomaswilliams@example.org</t>
  </si>
  <si>
    <t>ACT-00207</t>
  </si>
  <si>
    <t>KA2 7RL</t>
  </si>
  <si>
    <t>ACC-10156</t>
  </si>
  <si>
    <t>CUST-50156</t>
  </si>
  <si>
    <t>Mr William Manning</t>
  </si>
  <si>
    <t>ACT-00208</t>
  </si>
  <si>
    <t>conorashton@example.net</t>
  </si>
  <si>
    <t>B3 8LR</t>
  </si>
  <si>
    <t>ACT-00209</t>
  </si>
  <si>
    <t>ACC-10157</t>
  </si>
  <si>
    <t>CUST-50157</t>
  </si>
  <si>
    <t>Roy Connor</t>
  </si>
  <si>
    <t>ACT-00210</t>
  </si>
  <si>
    <t>nicole73@example.com</t>
  </si>
  <si>
    <t>FK2 1UY</t>
  </si>
  <si>
    <t>ACC-10158</t>
  </si>
  <si>
    <t>CUST-50158</t>
  </si>
  <si>
    <t>Bethany Willis</t>
  </si>
  <si>
    <t>ACT-00211</t>
  </si>
  <si>
    <t>howardholly@example.net</t>
  </si>
  <si>
    <t>TN7Y 4NX</t>
  </si>
  <si>
    <t>ACC-10159</t>
  </si>
  <si>
    <t>CUST-50159</t>
  </si>
  <si>
    <t>ACT-00212</t>
  </si>
  <si>
    <t>Stephanie Houghton-James</t>
  </si>
  <si>
    <t>bethany22@example.org</t>
  </si>
  <si>
    <t>S65 7DN</t>
  </si>
  <si>
    <t>ACT-00213</t>
  </si>
  <si>
    <t>ACC-10160</t>
  </si>
  <si>
    <t>CUST-50160</t>
  </si>
  <si>
    <t>Dr Conor Weston</t>
  </si>
  <si>
    <t>ACT-00214</t>
  </si>
  <si>
    <t>damien90@example.net</t>
  </si>
  <si>
    <t>M7 2TS</t>
  </si>
  <si>
    <t>ACC-10161</t>
  </si>
  <si>
    <t>ACT-00215</t>
  </si>
  <si>
    <t>CUST-50161</t>
  </si>
  <si>
    <t>Carolyn Newman</t>
  </si>
  <si>
    <t>E6 3WH</t>
  </si>
  <si>
    <t>ACT-00216</t>
  </si>
  <si>
    <t>ACC-10162</t>
  </si>
  <si>
    <t>CUST-50162</t>
  </si>
  <si>
    <t>Stacey Marsh</t>
  </si>
  <si>
    <t>ACT-00217</t>
  </si>
  <si>
    <t>ihall@example.net</t>
  </si>
  <si>
    <t>B72 0EQ</t>
  </si>
  <si>
    <t>ACC-10163</t>
  </si>
  <si>
    <t>CUST-50163</t>
  </si>
  <si>
    <t>Simon Williams</t>
  </si>
  <si>
    <t>ACT-00218</t>
  </si>
  <si>
    <t>howardjordan@example.net</t>
  </si>
  <si>
    <t>G72 8FN</t>
  </si>
  <si>
    <t>representative_55</t>
  </si>
  <si>
    <t>ACC-10164</t>
  </si>
  <si>
    <t>CUST-50164</t>
  </si>
  <si>
    <t>Bruce Singh</t>
  </si>
  <si>
    <t>ACT-00219</t>
  </si>
  <si>
    <t>estewart@example.org</t>
  </si>
  <si>
    <t>IV60 7JZ</t>
  </si>
  <si>
    <t>ACC-10165</t>
  </si>
  <si>
    <t>CUST-50165</t>
  </si>
  <si>
    <t>ACT-00220</t>
  </si>
  <si>
    <t>Nicola O'Neill</t>
  </si>
  <si>
    <t>hannahhughes@example.net</t>
  </si>
  <si>
    <t>W9 3HQ</t>
  </si>
  <si>
    <t>ACT-00221</t>
  </si>
  <si>
    <t>ACC-10166</t>
  </si>
  <si>
    <t>CUST-50166</t>
  </si>
  <si>
    <t>Abbie Owen-Jackson</t>
  </si>
  <si>
    <t>ndavey@example.org</t>
  </si>
  <si>
    <t>ACT-00222</t>
  </si>
  <si>
    <t>S0 8WT</t>
  </si>
  <si>
    <t>ACC-10167</t>
  </si>
  <si>
    <t>CUST-50167</t>
  </si>
  <si>
    <t>Mr Joshua Hart</t>
  </si>
  <si>
    <t>ACT-00223</t>
  </si>
  <si>
    <t>spencerlewis@example.net</t>
  </si>
  <si>
    <t>N33 9AS</t>
  </si>
  <si>
    <t>ACC-10168</t>
  </si>
  <si>
    <t>CUST-50168</t>
  </si>
  <si>
    <t>Timothy Hall-Franklin</t>
  </si>
  <si>
    <t>ACT-00224</t>
  </si>
  <si>
    <t>smithmichelle@example.com</t>
  </si>
  <si>
    <t>PO6V 9UL</t>
  </si>
  <si>
    <t>ACT-00225</t>
  </si>
  <si>
    <t>ACC-10169</t>
  </si>
  <si>
    <t>CUST-50169</t>
  </si>
  <si>
    <t>Emily Robson-Hall</t>
  </si>
  <si>
    <t>zhoughton@example.com</t>
  </si>
  <si>
    <t>ACT-00226</t>
  </si>
  <si>
    <t>N3D 3BT</t>
  </si>
  <si>
    <t>ACC-10170</t>
  </si>
  <si>
    <t>CUST-50170</t>
  </si>
  <si>
    <t>Francis Wells</t>
  </si>
  <si>
    <t>ACT-00227</t>
  </si>
  <si>
    <t>jonesruth@example.org</t>
  </si>
  <si>
    <t>S84 0YS</t>
  </si>
  <si>
    <t>ACC-10171</t>
  </si>
  <si>
    <t>CUST-50171</t>
  </si>
  <si>
    <t>ACT-00228</t>
  </si>
  <si>
    <t>Nicole Summers</t>
  </si>
  <si>
    <t>christinepowell@example.com</t>
  </si>
  <si>
    <t>ACT-00229</t>
  </si>
  <si>
    <t>G6T 2RE</t>
  </si>
  <si>
    <t>ACC-10172</t>
  </si>
  <si>
    <t>CUST-50172</t>
  </si>
  <si>
    <t>Alexander Burton</t>
  </si>
  <si>
    <t>ACT-00230</t>
  </si>
  <si>
    <t>carolbentley@example.net</t>
  </si>
  <si>
    <t>M3 0ND</t>
  </si>
  <si>
    <t>ACT-00231</t>
  </si>
  <si>
    <t>ACC-10173</t>
  </si>
  <si>
    <t>CUST-50173</t>
  </si>
  <si>
    <t>Jessica Jones</t>
  </si>
  <si>
    <t>ACT-00232</t>
  </si>
  <si>
    <t>declan32@example.net</t>
  </si>
  <si>
    <t>KW1 7HF</t>
  </si>
  <si>
    <t>ACC-10174</t>
  </si>
  <si>
    <t>CUST-50174</t>
  </si>
  <si>
    <t>Leah Wells</t>
  </si>
  <si>
    <t>ACT-00233</t>
  </si>
  <si>
    <t>katytaylor@example.com</t>
  </si>
  <si>
    <t>N2 0BS</t>
  </si>
  <si>
    <t>ACC-10175</t>
  </si>
  <si>
    <t>CUST-50175</t>
  </si>
  <si>
    <t>Conor Taylor-Moore</t>
  </si>
  <si>
    <t>ACT-00234</t>
  </si>
  <si>
    <t>joycetaylor@example.org</t>
  </si>
  <si>
    <t>E8D 7RT</t>
  </si>
  <si>
    <t>ACC-10176</t>
  </si>
  <si>
    <t>CUST-50176</t>
  </si>
  <si>
    <t>Ms Dawn Begum</t>
  </si>
  <si>
    <t>ACT-00235</t>
  </si>
  <si>
    <t>rhyspollard@example.net</t>
  </si>
  <si>
    <t>BA4M 5GS</t>
  </si>
  <si>
    <t>ACT-00236</t>
  </si>
  <si>
    <t>ACC-10177</t>
  </si>
  <si>
    <t>CUST-50177</t>
  </si>
  <si>
    <t>Alexander King</t>
  </si>
  <si>
    <t>daveysharon@example.org</t>
  </si>
  <si>
    <t>ACT-00237</t>
  </si>
  <si>
    <t>BS14 7QQ</t>
  </si>
  <si>
    <t>ACC-10178</t>
  </si>
  <si>
    <t>CUST-50178</t>
  </si>
  <si>
    <t>Linda Gould</t>
  </si>
  <si>
    <t>ACT-00238</t>
  </si>
  <si>
    <t>pwilliams@example.org</t>
  </si>
  <si>
    <t>L7 6PF</t>
  </si>
  <si>
    <t>ACC-10179</t>
  </si>
  <si>
    <t>CUST-50179</t>
  </si>
  <si>
    <t>Cheryl Sutton</t>
  </si>
  <si>
    <t>ACT-00239</t>
  </si>
  <si>
    <t>garrygray@example.com</t>
  </si>
  <si>
    <t>FK5 7LF</t>
  </si>
  <si>
    <t>ACT-00240</t>
  </si>
  <si>
    <t>ACC-10180</t>
  </si>
  <si>
    <t>CUST-50180</t>
  </si>
  <si>
    <t>Marcus Jennings</t>
  </si>
  <si>
    <t>judith20@example.org</t>
  </si>
  <si>
    <t>ACT-00241</t>
  </si>
  <si>
    <t>L05 3XB</t>
  </si>
  <si>
    <t>ACC-10181</t>
  </si>
  <si>
    <t>CUST-50181</t>
  </si>
  <si>
    <t>Bruce Hodgson</t>
  </si>
  <si>
    <t>louis16@example.com</t>
  </si>
  <si>
    <t>ACT-00242</t>
  </si>
  <si>
    <t>N5H 0DE</t>
  </si>
  <si>
    <t>ACC-10182</t>
  </si>
  <si>
    <t>CUST-50182</t>
  </si>
  <si>
    <t>Jenna James-Clark</t>
  </si>
  <si>
    <t>ACT-00243</t>
  </si>
  <si>
    <t>M8 0GA</t>
  </si>
  <si>
    <t>ACC-10183</t>
  </si>
  <si>
    <t>CUST-50183</t>
  </si>
  <si>
    <t>Susan Chapman</t>
  </si>
  <si>
    <t>ACT-00244</t>
  </si>
  <si>
    <t>grayjennifer@example.org</t>
  </si>
  <si>
    <t>M9J 5QU</t>
  </si>
  <si>
    <t>ACT-00245</t>
  </si>
  <si>
    <t>ACC-10184</t>
  </si>
  <si>
    <t>CUST-50184</t>
  </si>
  <si>
    <t>Dennis Ellis</t>
  </si>
  <si>
    <t>elliotknowles@example.net</t>
  </si>
  <si>
    <t>N54 8WB</t>
  </si>
  <si>
    <t>ACT-00246</t>
  </si>
  <si>
    <t>ACC-10185</t>
  </si>
  <si>
    <t>CUST-50185</t>
  </si>
  <si>
    <t>Nicholas Parker</t>
  </si>
  <si>
    <t>dominic55@example.org</t>
  </si>
  <si>
    <t>ACT-00247</t>
  </si>
  <si>
    <t>G8 3WU</t>
  </si>
  <si>
    <t>ACC-10186</t>
  </si>
  <si>
    <t>CUST-50186</t>
  </si>
  <si>
    <t>Ms Sian Ward</t>
  </si>
  <si>
    <t>ACT-00248</t>
  </si>
  <si>
    <t>B4 1FL</t>
  </si>
  <si>
    <t>ACC-10187</t>
  </si>
  <si>
    <t>CUST-50187</t>
  </si>
  <si>
    <t>Mrs Lorraine Gill</t>
  </si>
  <si>
    <t>ACT-00249</t>
  </si>
  <si>
    <t>vturnbull@example.net</t>
  </si>
  <si>
    <t>SW03 0UE</t>
  </si>
  <si>
    <t>ACT-00250</t>
  </si>
  <si>
    <t>ACC-10188</t>
  </si>
  <si>
    <t>CUST-50188</t>
  </si>
  <si>
    <t>Hayley Wright-Frost</t>
  </si>
  <si>
    <t>vanessa15@example.com</t>
  </si>
  <si>
    <t>ACT-00251</t>
  </si>
  <si>
    <t>N56 5BH</t>
  </si>
  <si>
    <t>ACC-10189</t>
  </si>
  <si>
    <t>CUST-50189</t>
  </si>
  <si>
    <t>Stanley Hunter</t>
  </si>
  <si>
    <t>ACT-00252</t>
  </si>
  <si>
    <t>sbegum@example.org</t>
  </si>
  <si>
    <t>L7B 6AQ</t>
  </si>
  <si>
    <t>ACC-10190</t>
  </si>
  <si>
    <t>CUST-50190</t>
  </si>
  <si>
    <t>Christian Jones</t>
  </si>
  <si>
    <t>ACT-00253</t>
  </si>
  <si>
    <t>N74 6ZQ</t>
  </si>
  <si>
    <t>ACT-00254</t>
  </si>
  <si>
    <t>ACC-10191</t>
  </si>
  <si>
    <t>CUST-50191</t>
  </si>
  <si>
    <t>Dr Abigail Williams</t>
  </si>
  <si>
    <t>ehawkins@example.org</t>
  </si>
  <si>
    <t>N1 6PB</t>
  </si>
  <si>
    <t>ACT-00255</t>
  </si>
  <si>
    <t>ACC-10192</t>
  </si>
  <si>
    <t>CUST-50192</t>
  </si>
  <si>
    <t>Dean Perkins</t>
  </si>
  <si>
    <t>ACT-00256</t>
  </si>
  <si>
    <t>katysmith@example.org</t>
  </si>
  <si>
    <t>W4 3JJ</t>
  </si>
  <si>
    <t>ACC-10193</t>
  </si>
  <si>
    <t>CUST-50193</t>
  </si>
  <si>
    <t>Dr Abigail Whitehouse</t>
  </si>
  <si>
    <t>ACT-00257</t>
  </si>
  <si>
    <t>damienking@example.org</t>
  </si>
  <si>
    <t>E5U 0LY</t>
  </si>
  <si>
    <t>ACT-00258</t>
  </si>
  <si>
    <t>ACC-10194</t>
  </si>
  <si>
    <t>CUST-50194</t>
  </si>
  <si>
    <t>Steven Owen</t>
  </si>
  <si>
    <t>martinrhys@example.net</t>
  </si>
  <si>
    <t>M29 4DQ</t>
  </si>
  <si>
    <t>ACT-00259</t>
  </si>
  <si>
    <t>ACC-10195</t>
  </si>
  <si>
    <t>CUST-50195</t>
  </si>
  <si>
    <t>Kevin Wright</t>
  </si>
  <si>
    <t>ACT-00260</t>
  </si>
  <si>
    <t>alexlloyd@example.com</t>
  </si>
  <si>
    <t>B5E 0AE</t>
  </si>
  <si>
    <t>ACC-10196</t>
  </si>
  <si>
    <t>CUST-50196</t>
  </si>
  <si>
    <t>Duncan Lloyd</t>
  </si>
  <si>
    <t>ACT-00261</t>
  </si>
  <si>
    <t>evanssean@example.com</t>
  </si>
  <si>
    <t>SK4M 8XR</t>
  </si>
  <si>
    <t>ACC-10197</t>
  </si>
  <si>
    <t>ACT-00262</t>
  </si>
  <si>
    <t>CUST-50197</t>
  </si>
  <si>
    <t>Justin Clayton</t>
  </si>
  <si>
    <t>dayann@example.org</t>
  </si>
  <si>
    <t>RH5P 7JR</t>
  </si>
  <si>
    <t>ACT-00263</t>
  </si>
  <si>
    <t>ACC-10198</t>
  </si>
  <si>
    <t>CUST-50198</t>
  </si>
  <si>
    <t>Adrian Saunders</t>
  </si>
  <si>
    <t>harrisonfiona@example.org</t>
  </si>
  <si>
    <t>ACT-00264</t>
  </si>
  <si>
    <t>B92 2DF</t>
  </si>
  <si>
    <t>ACC-10199</t>
  </si>
  <si>
    <t>CUST-50199</t>
  </si>
  <si>
    <t>Dr Hazel Crawford</t>
  </si>
  <si>
    <t>ACT-00265</t>
  </si>
  <si>
    <t>joemitchell@example.com</t>
  </si>
  <si>
    <t>W5 7BP</t>
  </si>
  <si>
    <t>ACT-00266</t>
  </si>
  <si>
    <t>ACC-10200</t>
  </si>
  <si>
    <t>CUST-50200</t>
  </si>
  <si>
    <t>Mark Haynes</t>
  </si>
  <si>
    <t>ACT-00267</t>
  </si>
  <si>
    <t>wardstuart@example.org</t>
  </si>
  <si>
    <t>S79 5PX</t>
  </si>
  <si>
    <t>ACC-10201</t>
  </si>
  <si>
    <t>ACT-00268</t>
  </si>
  <si>
    <t>CUST-50201</t>
  </si>
  <si>
    <t>Kathryn Davies</t>
  </si>
  <si>
    <t>wrightmichelle@example.net</t>
  </si>
  <si>
    <t>SW1 0BE</t>
  </si>
  <si>
    <t>ACT-00269</t>
  </si>
  <si>
    <t>ACC-10202</t>
  </si>
  <si>
    <t>CUST-50202</t>
  </si>
  <si>
    <t>Adrian Kemp</t>
  </si>
  <si>
    <t>kellyedwards@example.org</t>
  </si>
  <si>
    <t>ACT-00270</t>
  </si>
  <si>
    <t>W89 1SW</t>
  </si>
  <si>
    <t>ACC-10203</t>
  </si>
  <si>
    <t>CUST-50203</t>
  </si>
  <si>
    <t>Emma Hooper</t>
  </si>
  <si>
    <t>ACT-00271</t>
  </si>
  <si>
    <t>dylan40@example.org</t>
  </si>
  <si>
    <t>S4C 7YS</t>
  </si>
  <si>
    <t>ACC-10204</t>
  </si>
  <si>
    <t>CUST-50204</t>
  </si>
  <si>
    <t>Hollie Bull</t>
  </si>
  <si>
    <t>ACT-00272</t>
  </si>
  <si>
    <t>tinabrown@example.net</t>
  </si>
  <si>
    <t>L4 4NJ</t>
  </si>
  <si>
    <t>ACC-10205</t>
  </si>
  <si>
    <t>ACT-00273</t>
  </si>
  <si>
    <t>CUST-50205</t>
  </si>
  <si>
    <t>Abbie Godfrey</t>
  </si>
  <si>
    <t>garywillis@example.org</t>
  </si>
  <si>
    <t>BB7 2TE</t>
  </si>
  <si>
    <t>ACT-00274</t>
  </si>
  <si>
    <t>ACC-10206</t>
  </si>
  <si>
    <t>CUST-50206</t>
  </si>
  <si>
    <t>Glen Dunn</t>
  </si>
  <si>
    <t>natalie72@example.net</t>
  </si>
  <si>
    <t>DN43 3DR</t>
  </si>
  <si>
    <t>ACT-00275</t>
  </si>
  <si>
    <t>ACC-10207</t>
  </si>
  <si>
    <t>CUST-50207</t>
  </si>
  <si>
    <t>Abigail Alexander</t>
  </si>
  <si>
    <t>jill83@example.org</t>
  </si>
  <si>
    <t>ACT-00276</t>
  </si>
  <si>
    <t>SG15 0ZF</t>
  </si>
  <si>
    <t>ACC-10208</t>
  </si>
  <si>
    <t>CUST-50208</t>
  </si>
  <si>
    <t>Sharon Woodward</t>
  </si>
  <si>
    <t>ACT-00277</t>
  </si>
  <si>
    <t>leeellie@example.com</t>
  </si>
  <si>
    <t>L8 6SN</t>
  </si>
  <si>
    <t>ACT-00278</t>
  </si>
  <si>
    <t>ACC-10209</t>
  </si>
  <si>
    <t>CUST-50209</t>
  </si>
  <si>
    <t>Mary Smith</t>
  </si>
  <si>
    <t>ACT-00279</t>
  </si>
  <si>
    <t>jessica31@example.com</t>
  </si>
  <si>
    <t>E78 3XY</t>
  </si>
  <si>
    <t>ACC-10210</t>
  </si>
  <si>
    <t>CUST-50210</t>
  </si>
  <si>
    <t>Nathan Webster</t>
  </si>
  <si>
    <t>ACT-00280</t>
  </si>
  <si>
    <t>nholmes@example.net</t>
  </si>
  <si>
    <t>LD7A 6XE</t>
  </si>
  <si>
    <t>ACC-10211</t>
  </si>
  <si>
    <t>CUST-50211</t>
  </si>
  <si>
    <t>ACT-00281</t>
  </si>
  <si>
    <t>Miss Catherine Bell</t>
  </si>
  <si>
    <t>mitchelldonna@example.net</t>
  </si>
  <si>
    <t>W0 2BS</t>
  </si>
  <si>
    <t>ACT-00282</t>
  </si>
  <si>
    <t>ACC-10212</t>
  </si>
  <si>
    <t>CUST-50212</t>
  </si>
  <si>
    <t>Michael Daniels</t>
  </si>
  <si>
    <t>ACT-00283</t>
  </si>
  <si>
    <t>thomasjake@example.org</t>
  </si>
  <si>
    <t>M06 1JG</t>
  </si>
  <si>
    <t>ACC-10213</t>
  </si>
  <si>
    <t>CUST-50213</t>
  </si>
  <si>
    <t>Ms Carole Ellis</t>
  </si>
  <si>
    <t>ACT-00284</t>
  </si>
  <si>
    <t>zoebrooks@example.org</t>
  </si>
  <si>
    <t>TF50 4JP</t>
  </si>
  <si>
    <t>ACC-10214</t>
  </si>
  <si>
    <t>CUST-50214</t>
  </si>
  <si>
    <t>Dr Reece West</t>
  </si>
  <si>
    <t>ACT-00285</t>
  </si>
  <si>
    <t>kjohnson@example.org</t>
  </si>
  <si>
    <t>N2J 5SR</t>
  </si>
  <si>
    <t>ACT-00286</t>
  </si>
  <si>
    <t>ACC-10215</t>
  </si>
  <si>
    <t>CUST-50215</t>
  </si>
  <si>
    <t>Hazel Wright</t>
  </si>
  <si>
    <t>ACT-00287</t>
  </si>
  <si>
    <t>uanderson@example.com</t>
  </si>
  <si>
    <t>W0U 5JF</t>
  </si>
  <si>
    <t>ACC-10216</t>
  </si>
  <si>
    <t>CUST-50216</t>
  </si>
  <si>
    <t>Dr David Humphreys</t>
  </si>
  <si>
    <t>ACT-00288</t>
  </si>
  <si>
    <t>dmorgan@example.com</t>
  </si>
  <si>
    <t>S15 6HR</t>
  </si>
  <si>
    <t>ACT-00289</t>
  </si>
  <si>
    <t>ACC-10217</t>
  </si>
  <si>
    <t>CUST-50217</t>
  </si>
  <si>
    <t>Kimberley Barker</t>
  </si>
  <si>
    <t>daviesjames@example.net</t>
  </si>
  <si>
    <t>ACT-00290</t>
  </si>
  <si>
    <t>SG2 1ZT</t>
  </si>
  <si>
    <t>ACC-10218</t>
  </si>
  <si>
    <t>CUST-50218</t>
  </si>
  <si>
    <t>Stephen Walsh-Sutton</t>
  </si>
  <si>
    <t>ACT-00291</t>
  </si>
  <si>
    <t>zdavies@example.org</t>
  </si>
  <si>
    <t>HD42 8ZP</t>
  </si>
  <si>
    <t>ACT-00292</t>
  </si>
  <si>
    <t>ACC-10219</t>
  </si>
  <si>
    <t>CUST-50219</t>
  </si>
  <si>
    <t>Mr Terence Long</t>
  </si>
  <si>
    <t>melanie68@example.net</t>
  </si>
  <si>
    <t>ACT-00293</t>
  </si>
  <si>
    <t>EN71 0HT</t>
  </si>
  <si>
    <t>ACC-10220</t>
  </si>
  <si>
    <t>CUST-50220</t>
  </si>
  <si>
    <t>Paige Taylor</t>
  </si>
  <si>
    <t>ACT-00294</t>
  </si>
  <si>
    <t>TD7E 5JS</t>
  </si>
  <si>
    <t>ACC-10221</t>
  </si>
  <si>
    <t>CUST-50221</t>
  </si>
  <si>
    <t>Zoe Thomas</t>
  </si>
  <si>
    <t>ACT-00295</t>
  </si>
  <si>
    <t>ywhite@example.com</t>
  </si>
  <si>
    <t>DL62 4XR</t>
  </si>
  <si>
    <t>ACT-00296</t>
  </si>
  <si>
    <t>ACC-10222</t>
  </si>
  <si>
    <t>CUST-50222</t>
  </si>
  <si>
    <t>Charlie Jones</t>
  </si>
  <si>
    <t>wward@example.net</t>
  </si>
  <si>
    <t>ACT-00297</t>
  </si>
  <si>
    <t>S0E 0TJ</t>
  </si>
  <si>
    <t>ACC-10223</t>
  </si>
  <si>
    <t>CUST-50223</t>
  </si>
  <si>
    <t>Luke Williams</t>
  </si>
  <si>
    <t>ACT-00298</t>
  </si>
  <si>
    <t>harryshaw@example.com</t>
  </si>
  <si>
    <t>L72 0TS</t>
  </si>
  <si>
    <t>ACC-10224</t>
  </si>
  <si>
    <t>CUST-50224</t>
  </si>
  <si>
    <t>Kate Ellis</t>
  </si>
  <si>
    <t>ACT-00299</t>
  </si>
  <si>
    <t>amycoleman@example.com</t>
  </si>
  <si>
    <t>B6 6FP</t>
  </si>
  <si>
    <t>ACT-00300</t>
  </si>
  <si>
    <t>ACC-10225</t>
  </si>
  <si>
    <t>CUST-50225</t>
  </si>
  <si>
    <t>Graeme Hart</t>
  </si>
  <si>
    <t>pgreen@example.org</t>
  </si>
  <si>
    <t>ACT-00301</t>
  </si>
  <si>
    <t>N89 1PS</t>
  </si>
  <si>
    <t>ACC-10226</t>
  </si>
  <si>
    <t>CUST-50226</t>
  </si>
  <si>
    <t>Nicola Cooper</t>
  </si>
  <si>
    <t>ACT-00302</t>
  </si>
  <si>
    <t>naomi93@example.com</t>
  </si>
  <si>
    <t>B32 3NT</t>
  </si>
  <si>
    <t>representative_12</t>
  </si>
  <si>
    <t>ACC-10227</t>
  </si>
  <si>
    <t>CUST-50227</t>
  </si>
  <si>
    <t>Ashleigh Richardson-Simpson</t>
  </si>
  <si>
    <t>ACT-00303</t>
  </si>
  <si>
    <t>phillipsfrancesca@example.net</t>
  </si>
  <si>
    <t>W4 4AL</t>
  </si>
  <si>
    <t>ACT-00304</t>
  </si>
  <si>
    <t>ACC-10228</t>
  </si>
  <si>
    <t>CUST-50228</t>
  </si>
  <si>
    <t>Jill Chambers</t>
  </si>
  <si>
    <t>ACT-00305</t>
  </si>
  <si>
    <t>webstermolly@example.com</t>
  </si>
  <si>
    <t>HS7W 6ZH</t>
  </si>
  <si>
    <t>ACC-10229</t>
  </si>
  <si>
    <t>CUST-50229</t>
  </si>
  <si>
    <t>ACT-00306</t>
  </si>
  <si>
    <t>Joseph Moran</t>
  </si>
  <si>
    <t>ricky39@example.com</t>
  </si>
  <si>
    <t>ACT-00307</t>
  </si>
  <si>
    <t>AL4B 7EL</t>
  </si>
  <si>
    <t>ACC-10230</t>
  </si>
  <si>
    <t>CUST-50230</t>
  </si>
  <si>
    <t>Ellie Green-Robinson</t>
  </si>
  <si>
    <t>ACT-00308</t>
  </si>
  <si>
    <t>edwardgardner@example.org</t>
  </si>
  <si>
    <t>G3B 0DG</t>
  </si>
  <si>
    <t>ACC-10231</t>
  </si>
  <si>
    <t>CUST-50231</t>
  </si>
  <si>
    <t>ACT-00309</t>
  </si>
  <si>
    <t>Shirley Harding-Harris</t>
  </si>
  <si>
    <t>richardsonsandra@example.com</t>
  </si>
  <si>
    <t>RM5B 4PR</t>
  </si>
  <si>
    <t>ACT-00310</t>
  </si>
  <si>
    <t>ACC-10232</t>
  </si>
  <si>
    <t>CUST-50232</t>
  </si>
  <si>
    <t>Francis Hobbs</t>
  </si>
  <si>
    <t>ACT-00311</t>
  </si>
  <si>
    <t>abbottalan@example.com</t>
  </si>
  <si>
    <t>HU3E 6AX</t>
  </si>
  <si>
    <t>ACC-10233</t>
  </si>
  <si>
    <t>CUST-50233</t>
  </si>
  <si>
    <t>Anthony Jones</t>
  </si>
  <si>
    <t>ACT-00312</t>
  </si>
  <si>
    <t>yslater@example.net</t>
  </si>
  <si>
    <t>ME5 3RT</t>
  </si>
  <si>
    <t>ACC-10234</t>
  </si>
  <si>
    <t>CUST-50234</t>
  </si>
  <si>
    <t>ACT-00313</t>
  </si>
  <si>
    <t>Stuart Porter</t>
  </si>
  <si>
    <t>ashley53@example.org</t>
  </si>
  <si>
    <t>N14 3AN</t>
  </si>
  <si>
    <t>ACT-00314</t>
  </si>
  <si>
    <t>ACC-10235</t>
  </si>
  <si>
    <t>CUST-50235</t>
  </si>
  <si>
    <t>Dr Peter Gough</t>
  </si>
  <si>
    <t>ACT-00315</t>
  </si>
  <si>
    <t>maureen58@example.net</t>
  </si>
  <si>
    <t>WV0Y 8TZ</t>
  </si>
  <si>
    <t>ACC-10236</t>
  </si>
  <si>
    <t>CUST-50236</t>
  </si>
  <si>
    <t>Frances Wilson-Allen</t>
  </si>
  <si>
    <t>ACT-00316</t>
  </si>
  <si>
    <t>franciswood@example.com</t>
  </si>
  <si>
    <t>DE88 1ZJ</t>
  </si>
  <si>
    <t>ACT-00317</t>
  </si>
  <si>
    <t>ACC-10237</t>
  </si>
  <si>
    <t>CUST-50237</t>
  </si>
  <si>
    <t>Lawrence Bentley-Law</t>
  </si>
  <si>
    <t>ACT-00318</t>
  </si>
  <si>
    <t>fowen@example.net</t>
  </si>
  <si>
    <t>E2B 9PF</t>
  </si>
  <si>
    <t>ACC-10238</t>
  </si>
  <si>
    <t>CUST-50238</t>
  </si>
  <si>
    <t>Jasmine Newman</t>
  </si>
  <si>
    <t>ACT-00319</t>
  </si>
  <si>
    <t>albert96@example.net</t>
  </si>
  <si>
    <t>RM7M 5EA</t>
  </si>
  <si>
    <t>ACC-10239</t>
  </si>
  <si>
    <t>CUST-50239</t>
  </si>
  <si>
    <t>Charlene Leonard</t>
  </si>
  <si>
    <t>ACT-00320</t>
  </si>
  <si>
    <t>hazel85@example.org</t>
  </si>
  <si>
    <t>M0 6BA</t>
  </si>
  <si>
    <t>ACC-10240</t>
  </si>
  <si>
    <t>ACT-00321</t>
  </si>
  <si>
    <t>CUST-50240</t>
  </si>
  <si>
    <t>Miss Karen Rogers</t>
  </si>
  <si>
    <t>carllowe@example.com</t>
  </si>
  <si>
    <t>B8T 7YR</t>
  </si>
  <si>
    <t>ACT-00322</t>
  </si>
  <si>
    <t>ACC-10241</t>
  </si>
  <si>
    <t>CUST-50241</t>
  </si>
  <si>
    <t>Mr Clifford Moore</t>
  </si>
  <si>
    <t>ACT-00323</t>
  </si>
  <si>
    <t>oliviasimpson@example.org</t>
  </si>
  <si>
    <t>N4W 7TZ</t>
  </si>
  <si>
    <t>ACC-10242</t>
  </si>
  <si>
    <t>CUST-50242</t>
  </si>
  <si>
    <t>Judith Potts</t>
  </si>
  <si>
    <t>ACT-00324</t>
  </si>
  <si>
    <t>leonardarnold@example.net</t>
  </si>
  <si>
    <t>JE6P 6EY</t>
  </si>
  <si>
    <t>ACC-10243</t>
  </si>
  <si>
    <t>CUST-50243</t>
  </si>
  <si>
    <t>ACT-00325</t>
  </si>
  <si>
    <t>Dr Colin Phillips</t>
  </si>
  <si>
    <t>maxsmith@example.net</t>
  </si>
  <si>
    <t>CM3M 9QG</t>
  </si>
  <si>
    <t>ACT-00326</t>
  </si>
  <si>
    <t>ACC-10244</t>
  </si>
  <si>
    <t>CUST-50244</t>
  </si>
  <si>
    <t>Owen Clayton-Cox</t>
  </si>
  <si>
    <t>S55 3QJ</t>
  </si>
  <si>
    <t>ACT-00327</t>
  </si>
  <si>
    <t>ACC-10245</t>
  </si>
  <si>
    <t>CUST-50245</t>
  </si>
  <si>
    <t>Elizabeth Dean-Holland</t>
  </si>
  <si>
    <t>ACT-00328</t>
  </si>
  <si>
    <t>georgebernard@example.net</t>
  </si>
  <si>
    <t>G95 5ST</t>
  </si>
  <si>
    <t>ACC-10246</t>
  </si>
  <si>
    <t>CUST-50246</t>
  </si>
  <si>
    <t>ACT-00329</t>
  </si>
  <si>
    <t>twalton@example.net</t>
  </si>
  <si>
    <t>ACT-00330</t>
  </si>
  <si>
    <t>N6K 0QF</t>
  </si>
  <si>
    <t>ACC-10247</t>
  </si>
  <si>
    <t>CUST-50247</t>
  </si>
  <si>
    <t>Mr Guy Miller</t>
  </si>
  <si>
    <t>ACT-00331</t>
  </si>
  <si>
    <t>frederick62@example.net</t>
  </si>
  <si>
    <t>B8K 3QR</t>
  </si>
  <si>
    <t>ACT-00332</t>
  </si>
  <si>
    <t>ACC-10248</t>
  </si>
  <si>
    <t>CUST-50248</t>
  </si>
  <si>
    <t>Mitchell Middleton</t>
  </si>
  <si>
    <t>no response cycle</t>
  </si>
  <si>
    <t>kayleighpugh@example.org</t>
  </si>
  <si>
    <t>ACT-00333</t>
  </si>
  <si>
    <t>L36 5YD</t>
  </si>
  <si>
    <t>ACC-10249</t>
  </si>
  <si>
    <t>CUST-50249</t>
  </si>
  <si>
    <t>Natalie Moran</t>
  </si>
  <si>
    <t>ACT-00334</t>
  </si>
  <si>
    <t>gibsonben@example.com</t>
  </si>
  <si>
    <t>SA9Y 8BF</t>
  </si>
  <si>
    <t>ACC-10250</t>
  </si>
  <si>
    <t>CUST-50250</t>
  </si>
  <si>
    <t>ACT-00335</t>
  </si>
  <si>
    <t>Leslie Jones</t>
  </si>
  <si>
    <t>howardkay@example.org</t>
  </si>
  <si>
    <t>S9C 0AY</t>
  </si>
  <si>
    <t>ACT-00336</t>
  </si>
  <si>
    <t>ACC-10251</t>
  </si>
  <si>
    <t>CUST-50251</t>
  </si>
  <si>
    <t>Janice Lloyd</t>
  </si>
  <si>
    <t>ACT-00337</t>
  </si>
  <si>
    <t>michelle29@example.net</t>
  </si>
  <si>
    <t>PH7H 9TZ</t>
  </si>
  <si>
    <t>ACC-10252</t>
  </si>
  <si>
    <t>CUST-50252</t>
  </si>
  <si>
    <t>Georgina Kelly</t>
  </si>
  <si>
    <t>ACT-00338</t>
  </si>
  <si>
    <t>francescabowen@example.net</t>
  </si>
  <si>
    <t>S91 1RN</t>
  </si>
  <si>
    <t>ACC-10253</t>
  </si>
  <si>
    <t>CUST-50253</t>
  </si>
  <si>
    <t>Joel Moore</t>
  </si>
  <si>
    <t>ACT-00339</t>
  </si>
  <si>
    <t>ben21@example.org</t>
  </si>
  <si>
    <t>ACT-00340</t>
  </si>
  <si>
    <t>HS5H 1XJ</t>
  </si>
  <si>
    <t>ACC-10254</t>
  </si>
  <si>
    <t>CUST-50254</t>
  </si>
  <si>
    <t>Stephanie Bennett-Hamilton</t>
  </si>
  <si>
    <t>ACT-00341</t>
  </si>
  <si>
    <t>walkernorman@example.net</t>
  </si>
  <si>
    <t>W92 8UF</t>
  </si>
  <si>
    <t>ACC-10255</t>
  </si>
  <si>
    <t>CUST-50255</t>
  </si>
  <si>
    <t>ACT-00342</t>
  </si>
  <si>
    <t>Mrs Kayleigh Smith</t>
  </si>
  <si>
    <t>owenlucas@example.org</t>
  </si>
  <si>
    <t>M0 9TH</t>
  </si>
  <si>
    <t>ACT-00343</t>
  </si>
  <si>
    <t>ACC-10256</t>
  </si>
  <si>
    <t>CUST-50256</t>
  </si>
  <si>
    <t>Abdul Hill</t>
  </si>
  <si>
    <t>ureid@example.net</t>
  </si>
  <si>
    <t>ACT-00344</t>
  </si>
  <si>
    <t>TA1B 9XW</t>
  </si>
  <si>
    <t>ACC-10257</t>
  </si>
  <si>
    <t>CUST-50257</t>
  </si>
  <si>
    <t>Robin Hilton-Harrison</t>
  </si>
  <si>
    <t>ACT-00345</t>
  </si>
  <si>
    <t>paularose@example.com</t>
  </si>
  <si>
    <t>G79 7SN</t>
  </si>
  <si>
    <t>ACC-10258</t>
  </si>
  <si>
    <t>CUST-50258</t>
  </si>
  <si>
    <t>Elliot Miller</t>
  </si>
  <si>
    <t>ACT-00346</t>
  </si>
  <si>
    <t>jake01@example.com</t>
  </si>
  <si>
    <t>BA7W 6UU</t>
  </si>
  <si>
    <t>ACT-00347</t>
  </si>
  <si>
    <t>ACC-10259</t>
  </si>
  <si>
    <t>CUST-50259</t>
  </si>
  <si>
    <t>Brenda Brady</t>
  </si>
  <si>
    <t>kwilliams@example.net</t>
  </si>
  <si>
    <t>AB06 8BF</t>
  </si>
  <si>
    <t>ACT-00348</t>
  </si>
  <si>
    <t>ACC-10260</t>
  </si>
  <si>
    <t>CUST-50260</t>
  </si>
  <si>
    <t>Mr Frederick Shaw</t>
  </si>
  <si>
    <t>ACT-00349</t>
  </si>
  <si>
    <t>FK38 5TP</t>
  </si>
  <si>
    <t>ACT-00350</t>
  </si>
  <si>
    <t>ACC-10261</t>
  </si>
  <si>
    <t>CUST-50261</t>
  </si>
  <si>
    <t>Ms Rosie Bennett</t>
  </si>
  <si>
    <t>ACT-00351</t>
  </si>
  <si>
    <t>greenmarie@example.com</t>
  </si>
  <si>
    <t>CR1 7DD</t>
  </si>
  <si>
    <t>ACC-10262</t>
  </si>
  <si>
    <t>CUST-50262</t>
  </si>
  <si>
    <t>Mr Gary Adams</t>
  </si>
  <si>
    <t>ACT-00352</t>
  </si>
  <si>
    <t>hodgsonlindsey@example.com</t>
  </si>
  <si>
    <t>W1J 9XA</t>
  </si>
  <si>
    <t>ACC-10263</t>
  </si>
  <si>
    <t>CUST-50263</t>
  </si>
  <si>
    <t>Mr Samuel Ball</t>
  </si>
  <si>
    <t>ACT-00353</t>
  </si>
  <si>
    <t>pearcecharlene@example.org</t>
  </si>
  <si>
    <t>M5E 0QZ</t>
  </si>
  <si>
    <t>ACC-10264</t>
  </si>
  <si>
    <t>CUST-50264</t>
  </si>
  <si>
    <t>Katherine Craig</t>
  </si>
  <si>
    <t>ACT-00354</t>
  </si>
  <si>
    <t>arobinson@example.net</t>
  </si>
  <si>
    <t>TR07 2JU</t>
  </si>
  <si>
    <t>ACC-10265</t>
  </si>
  <si>
    <t>ACT-00355</t>
  </si>
  <si>
    <t>CUST-50265</t>
  </si>
  <si>
    <t>Mr Gavin Byrne</t>
  </si>
  <si>
    <t>G5F 3GJ</t>
  </si>
  <si>
    <t>ACT-00356</t>
  </si>
  <si>
    <t>ACC-10266</t>
  </si>
  <si>
    <t>CUST-50266</t>
  </si>
  <si>
    <t>Oliver Walker</t>
  </si>
  <si>
    <t>clarkkayleigh@example.com</t>
  </si>
  <si>
    <t>ACT-00357</t>
  </si>
  <si>
    <t>L6U 1LN</t>
  </si>
  <si>
    <t>ACC-10267</t>
  </si>
  <si>
    <t>CUST-50267</t>
  </si>
  <si>
    <t>Billy Perkins-Robinson</t>
  </si>
  <si>
    <t>ACT-00358</t>
  </si>
  <si>
    <t>L1S 2JE</t>
  </si>
  <si>
    <t>ACC-10268</t>
  </si>
  <si>
    <t>CUST-50268</t>
  </si>
  <si>
    <t>Dawn Nash</t>
  </si>
  <si>
    <t>ACT-00359</t>
  </si>
  <si>
    <t>charlene35@example.com</t>
  </si>
  <si>
    <t>N7 1FQ</t>
  </si>
  <si>
    <t>ACT-00360</t>
  </si>
  <si>
    <t>ACC-10269</t>
  </si>
  <si>
    <t>CUST-50269</t>
  </si>
  <si>
    <t>Lee Davies-Lane</t>
  </si>
  <si>
    <t>leahhorton@example.org</t>
  </si>
  <si>
    <t>ACT-00361</t>
  </si>
  <si>
    <t>LN2B 7GS</t>
  </si>
  <si>
    <t>ACC-10270</t>
  </si>
  <si>
    <t>CUST-50270</t>
  </si>
  <si>
    <t>Aaron Black-Pearson</t>
  </si>
  <si>
    <t>ACT-00362</t>
  </si>
  <si>
    <t>holliehall@example.com</t>
  </si>
  <si>
    <t>SL03 2YL</t>
  </si>
  <si>
    <t>ACC-10271</t>
  </si>
  <si>
    <t>CUST-50271</t>
  </si>
  <si>
    <t>Ruth Jarvis</t>
  </si>
  <si>
    <t>ACT-00363</t>
  </si>
  <si>
    <t>danny86@example.com</t>
  </si>
  <si>
    <t>DY3 6TN</t>
  </si>
  <si>
    <t>ACT-00364</t>
  </si>
  <si>
    <t>ACC-10272</t>
  </si>
  <si>
    <t>CUST-50272</t>
  </si>
  <si>
    <t>Mr Barry Mason</t>
  </si>
  <si>
    <t>derekrichardson@example.com</t>
  </si>
  <si>
    <t>ACT-00365</t>
  </si>
  <si>
    <t>S0 0XT</t>
  </si>
  <si>
    <t>ACC-10273</t>
  </si>
  <si>
    <t>CUST-50273</t>
  </si>
  <si>
    <t>Glen Begum</t>
  </si>
  <si>
    <t>ACT-00366</t>
  </si>
  <si>
    <t>thorpeellie@example.org</t>
  </si>
  <si>
    <t>FK2 6RH</t>
  </si>
  <si>
    <t>ACC-10274</t>
  </si>
  <si>
    <t>CUST-50274</t>
  </si>
  <si>
    <t>Ms Donna Blake</t>
  </si>
  <si>
    <t>ACT-00367</t>
  </si>
  <si>
    <t>billy80@example.net</t>
  </si>
  <si>
    <t>TQ22 9WF</t>
  </si>
  <si>
    <t>ACC-10275</t>
  </si>
  <si>
    <t>ACT-00368</t>
  </si>
  <si>
    <t>CUST-50275</t>
  </si>
  <si>
    <t>Grace Hurst</t>
  </si>
  <si>
    <t>GL0 3JE</t>
  </si>
  <si>
    <t>ACT-00369</t>
  </si>
  <si>
    <t>ACC-10276</t>
  </si>
  <si>
    <t>CUST-50276</t>
  </si>
  <si>
    <t>Declan Clarke</t>
  </si>
  <si>
    <t>rebecca65@example.com</t>
  </si>
  <si>
    <t>ACT-00370</t>
  </si>
  <si>
    <t>TW9B 8FH</t>
  </si>
  <si>
    <t>ACC-10277</t>
  </si>
  <si>
    <t>CUST-50277</t>
  </si>
  <si>
    <t>Andrew Wright</t>
  </si>
  <si>
    <t>ACT-00371</t>
  </si>
  <si>
    <t>jake10@example.com</t>
  </si>
  <si>
    <t>N2H 1NP</t>
  </si>
  <si>
    <t>ACC-10278</t>
  </si>
  <si>
    <t>CUST-50278</t>
  </si>
  <si>
    <t>Reece Griffiths</t>
  </si>
  <si>
    <t>ACT-00372</t>
  </si>
  <si>
    <t>fgriffiths@example.com</t>
  </si>
  <si>
    <t>S0 2FB</t>
  </si>
  <si>
    <t>ACC-10279</t>
  </si>
  <si>
    <t>CUST-50279</t>
  </si>
  <si>
    <t>Sean Bryant</t>
  </si>
  <si>
    <t>ACT-00373</t>
  </si>
  <si>
    <t>leigh16@example.org</t>
  </si>
  <si>
    <t>BN3 8SL</t>
  </si>
  <si>
    <t>ACT-00374</t>
  </si>
  <si>
    <t>ACC-10280</t>
  </si>
  <si>
    <t>CUST-50280</t>
  </si>
  <si>
    <t>Mr Shane Watkins</t>
  </si>
  <si>
    <t>timothy17@example.com</t>
  </si>
  <si>
    <t>ACT-00375</t>
  </si>
  <si>
    <t>E15 9AG</t>
  </si>
  <si>
    <t>ACC-10281</t>
  </si>
  <si>
    <t>CUST-50281</t>
  </si>
  <si>
    <t>Matthew May</t>
  </si>
  <si>
    <t>ACT-00376</t>
  </si>
  <si>
    <t>dalehenderson@example.org</t>
  </si>
  <si>
    <t>N7 7UE</t>
  </si>
  <si>
    <t>ACC-10282</t>
  </si>
  <si>
    <t>CUST-50282</t>
  </si>
  <si>
    <t>ACT-00377</t>
  </si>
  <si>
    <t>Dr Kathryn Fraser</t>
  </si>
  <si>
    <t>shancock@example.org</t>
  </si>
  <si>
    <t>L35 5DP</t>
  </si>
  <si>
    <t>ACT-00378</t>
  </si>
  <si>
    <t>ACC-10283</t>
  </si>
  <si>
    <t>CUST-50283</t>
  </si>
  <si>
    <t>Jodie Riley</t>
  </si>
  <si>
    <t>greenemily@example.org</t>
  </si>
  <si>
    <t>ACT-00379</t>
  </si>
  <si>
    <t>BR96 3XP</t>
  </si>
  <si>
    <t>ACC-10284</t>
  </si>
  <si>
    <t>CUST-50284</t>
  </si>
  <si>
    <t>Raymond Owens</t>
  </si>
  <si>
    <t>ACT-00380</t>
  </si>
  <si>
    <t>hallnigel@example.com</t>
  </si>
  <si>
    <t>TF3M 9DT</t>
  </si>
  <si>
    <t>ACC-10285</t>
  </si>
  <si>
    <t>CUST-50285</t>
  </si>
  <si>
    <t>Sarah Davies</t>
  </si>
  <si>
    <t>ACT-00381</t>
  </si>
  <si>
    <t>darren16@example.net</t>
  </si>
  <si>
    <t>G8C 5RE</t>
  </si>
  <si>
    <t>ACC-10286</t>
  </si>
  <si>
    <t>CUST-50286</t>
  </si>
  <si>
    <t>Dr Naomi Brady</t>
  </si>
  <si>
    <t>ACT-00382</t>
  </si>
  <si>
    <t>owenben@example.org</t>
  </si>
  <si>
    <t>W5F 7RL</t>
  </si>
  <si>
    <t>ACC-10287</t>
  </si>
  <si>
    <t>CUST-50287</t>
  </si>
  <si>
    <t>ACT-00383</t>
  </si>
  <si>
    <t>Dr Liam Johnson</t>
  </si>
  <si>
    <t>jessica99@example.org</t>
  </si>
  <si>
    <t>B28 2WF</t>
  </si>
  <si>
    <t>ACT-00384</t>
  </si>
  <si>
    <t>ACC-10288</t>
  </si>
  <si>
    <t>CUST-50288</t>
  </si>
  <si>
    <t>Dr Samantha Powell</t>
  </si>
  <si>
    <t>ACT-00385</t>
  </si>
  <si>
    <t>tdavey@example.com</t>
  </si>
  <si>
    <t>B2T 2DG</t>
  </si>
  <si>
    <t>ACC-10289</t>
  </si>
  <si>
    <t>CUST-50289</t>
  </si>
  <si>
    <t>Dr Leslie Hardy</t>
  </si>
  <si>
    <t>ACT-00386</t>
  </si>
  <si>
    <t>lawrence56@example.org</t>
  </si>
  <si>
    <t>BA7 9SY</t>
  </si>
  <si>
    <t>ACC-10290</t>
  </si>
  <si>
    <t>ACT-00387</t>
  </si>
  <si>
    <t>CUST-50290</t>
  </si>
  <si>
    <t>Mr Gordon Brown</t>
  </si>
  <si>
    <t>grobinson@example.org</t>
  </si>
  <si>
    <t>ACT-00388</t>
  </si>
  <si>
    <t>YO4 9UE</t>
  </si>
  <si>
    <t>ACC-10291</t>
  </si>
  <si>
    <t>CUST-50291</t>
  </si>
  <si>
    <t>Peter King-Stokes</t>
  </si>
  <si>
    <t>ACT-00389</t>
  </si>
  <si>
    <t>steventaylor@example.com</t>
  </si>
  <si>
    <t>CB8 1GF</t>
  </si>
  <si>
    <t>ACC-10292</t>
  </si>
  <si>
    <t>CUST-50292</t>
  </si>
  <si>
    <t>Miss Hilary Davis</t>
  </si>
  <si>
    <t>ACT-00390</t>
  </si>
  <si>
    <t>stephennash@example.org</t>
  </si>
  <si>
    <t>KT30 8JF</t>
  </si>
  <si>
    <t>ACT-00391</t>
  </si>
  <si>
    <t>ACC-10293</t>
  </si>
  <si>
    <t>CUST-50293</t>
  </si>
  <si>
    <t>Mohamed Price</t>
  </si>
  <si>
    <t>neilbirch@example.org</t>
  </si>
  <si>
    <t>ACT-00392</t>
  </si>
  <si>
    <t>TA4H 9JA</t>
  </si>
  <si>
    <t>ACC-10294</t>
  </si>
  <si>
    <t>CUST-50294</t>
  </si>
  <si>
    <t>Elliott Hammond</t>
  </si>
  <si>
    <t>ACT-00393</t>
  </si>
  <si>
    <t>mileshannah@example.com</t>
  </si>
  <si>
    <t>L6 2PF</t>
  </si>
  <si>
    <t>ACC-10295</t>
  </si>
  <si>
    <t>ACT-00394</t>
  </si>
  <si>
    <t>CUST-50295</t>
  </si>
  <si>
    <t>Amy Mason</t>
  </si>
  <si>
    <t>ryan35@example.org</t>
  </si>
  <si>
    <t>BA0E 6FD</t>
  </si>
  <si>
    <t>ACT-00395</t>
  </si>
  <si>
    <t>ACC-10296</t>
  </si>
  <si>
    <t>CUST-50296</t>
  </si>
  <si>
    <t>Mr Malcolm Richards</t>
  </si>
  <si>
    <t>phillip02@example.net</t>
  </si>
  <si>
    <t>DG70 6TE</t>
  </si>
  <si>
    <t>ACT-00396</t>
  </si>
  <si>
    <t>ACC-10297</t>
  </si>
  <si>
    <t>CUST-50297</t>
  </si>
  <si>
    <t>Mr Jacob Dyer</t>
  </si>
  <si>
    <t>joankirby@example.net</t>
  </si>
  <si>
    <t>IP89 0JN</t>
  </si>
  <si>
    <t>ACT-00397</t>
  </si>
  <si>
    <t>ACC-10298</t>
  </si>
  <si>
    <t>CUST-50298</t>
  </si>
  <si>
    <t>Abdul Evans</t>
  </si>
  <si>
    <t>ACT-00398</t>
  </si>
  <si>
    <t>CR3B 2GU</t>
  </si>
  <si>
    <t>ACC-10299</t>
  </si>
  <si>
    <t>CUST-50299</t>
  </si>
  <si>
    <t>Ms Amy Wood</t>
  </si>
  <si>
    <t>ACT-00399</t>
  </si>
  <si>
    <t>leeterry@example.net</t>
  </si>
  <si>
    <t>S27 3BD</t>
  </si>
  <si>
    <t>ACT-00400</t>
  </si>
  <si>
    <t>ACC-10300</t>
  </si>
  <si>
    <t>CUST-50300</t>
  </si>
  <si>
    <t>Lucy Roberts-Hamilton</t>
  </si>
  <si>
    <t>callum93@example.org</t>
  </si>
  <si>
    <t>ACT-00401</t>
  </si>
  <si>
    <t>CO1X 8JD</t>
  </si>
  <si>
    <t>ACC-10301</t>
  </si>
  <si>
    <t>CUST-50301</t>
  </si>
  <si>
    <t>Diana Bennett</t>
  </si>
  <si>
    <t>ACT-00402</t>
  </si>
  <si>
    <t>jillrowley@example.com</t>
  </si>
  <si>
    <t>B9 8QJ</t>
  </si>
  <si>
    <t>ACT-00403</t>
  </si>
  <si>
    <t>ACC-10302</t>
  </si>
  <si>
    <t>CUST-50302</t>
  </si>
  <si>
    <t>Donna Campbell</t>
  </si>
  <si>
    <t>katie76@example.com</t>
  </si>
  <si>
    <t>ACT-00404</t>
  </si>
  <si>
    <t>TF8R 6FG</t>
  </si>
  <si>
    <t>ACC-10303</t>
  </si>
  <si>
    <t>CUST-50303</t>
  </si>
  <si>
    <t>Paige Doyle</t>
  </si>
  <si>
    <t>ACT-00405</t>
  </si>
  <si>
    <t>colliermohamed@example.net</t>
  </si>
  <si>
    <t>IM6 2XD</t>
  </si>
  <si>
    <t>ACC-10304</t>
  </si>
  <si>
    <t>CUST-50304</t>
  </si>
  <si>
    <t>ACT-00406</t>
  </si>
  <si>
    <t>Wayne Hanson</t>
  </si>
  <si>
    <t>PL2 2EE</t>
  </si>
  <si>
    <t>ACT-00407</t>
  </si>
  <si>
    <t>ACC-10305</t>
  </si>
  <si>
    <t>CUST-50305</t>
  </si>
  <si>
    <t>Mr Christian Taylor</t>
  </si>
  <si>
    <t>ACT-00408</t>
  </si>
  <si>
    <t>KT99 9HH</t>
  </si>
  <si>
    <t>ACC-10306</t>
  </si>
  <si>
    <t>CUST-50306</t>
  </si>
  <si>
    <t>Naomi Taylor</t>
  </si>
  <si>
    <t>ACT-00409</t>
  </si>
  <si>
    <t>naomi98@example.org</t>
  </si>
  <si>
    <t>N5 8SH</t>
  </si>
  <si>
    <t>ACC-10307</t>
  </si>
  <si>
    <t>CUST-50307</t>
  </si>
  <si>
    <t>Helen Lee</t>
  </si>
  <si>
    <t>ACT-00410</t>
  </si>
  <si>
    <t>russell26@example.org</t>
  </si>
  <si>
    <t>M1 6NU</t>
  </si>
  <si>
    <t>ACC-10308</t>
  </si>
  <si>
    <t>ACT-00411</t>
  </si>
  <si>
    <t>CUST-50308</t>
  </si>
  <si>
    <t>Wendy Davies</t>
  </si>
  <si>
    <t>ckelly@example.net</t>
  </si>
  <si>
    <t>W8 5TS</t>
  </si>
  <si>
    <t>ACT-00412</t>
  </si>
  <si>
    <t>ACC-10309</t>
  </si>
  <si>
    <t>CUST-50309</t>
  </si>
  <si>
    <t>Gary Hall-Jenkins</t>
  </si>
  <si>
    <t>representative_45</t>
  </si>
  <si>
    <t>tom74@example.org</t>
  </si>
  <si>
    <t>ACT-00413</t>
  </si>
  <si>
    <t>SK1 0DD</t>
  </si>
  <si>
    <t>ACC-10310</t>
  </si>
  <si>
    <t>CUST-50310</t>
  </si>
  <si>
    <t>Naomi Townsend-Holt</t>
  </si>
  <si>
    <t>melissasimpson@example.net</t>
  </si>
  <si>
    <t>ACT-00414</t>
  </si>
  <si>
    <t>N85 1GG</t>
  </si>
  <si>
    <t>ACC-10311</t>
  </si>
  <si>
    <t>CUST-50311</t>
  </si>
  <si>
    <t>Craig Morrison</t>
  </si>
  <si>
    <t>ACT-00415</t>
  </si>
  <si>
    <t>leannekhan@example.org</t>
  </si>
  <si>
    <t>HR9 0YR</t>
  </si>
  <si>
    <t>ACT-00416</t>
  </si>
  <si>
    <t>ACC-10312</t>
  </si>
  <si>
    <t>CUST-50312</t>
  </si>
  <si>
    <t>Kathleen McDonald</t>
  </si>
  <si>
    <t>tfuller@example.net</t>
  </si>
  <si>
    <t>ACT-00417</t>
  </si>
  <si>
    <t>LN1 2WF</t>
  </si>
  <si>
    <t>ACC-10313</t>
  </si>
  <si>
    <t>CUST-50313</t>
  </si>
  <si>
    <t>Dr Jamie Dunn</t>
  </si>
  <si>
    <t>ACT-00418</t>
  </si>
  <si>
    <t>kim28@example.org</t>
  </si>
  <si>
    <t>N7F 0RN</t>
  </si>
  <si>
    <t>ACC-10314</t>
  </si>
  <si>
    <t>CUST-50314</t>
  </si>
  <si>
    <t>Dr Eric Knight</t>
  </si>
  <si>
    <t>ACT-00419</t>
  </si>
  <si>
    <t>freemandamian@example.com</t>
  </si>
  <si>
    <t>N1 0BP</t>
  </si>
  <si>
    <t>ACT-00420</t>
  </si>
  <si>
    <t>ACC-10315</t>
  </si>
  <si>
    <t>CUST-50315</t>
  </si>
  <si>
    <t>Julian Smith</t>
  </si>
  <si>
    <t>josephine52@example.org</t>
  </si>
  <si>
    <t>ACT-00421</t>
  </si>
  <si>
    <t>CF91 4JU</t>
  </si>
  <si>
    <t>ACC-10316</t>
  </si>
  <si>
    <t>CUST-50316</t>
  </si>
  <si>
    <t>Carolyn Berry</t>
  </si>
  <si>
    <t>ACT-00422</t>
  </si>
  <si>
    <t>louiscollins@example.org</t>
  </si>
  <si>
    <t>S37 5RN</t>
  </si>
  <si>
    <t>ACC-10317</t>
  </si>
  <si>
    <t>CUST-50317</t>
  </si>
  <si>
    <t>Dr Toby Brown</t>
  </si>
  <si>
    <t>ACT-00423</t>
  </si>
  <si>
    <t>leslie96@example.org</t>
  </si>
  <si>
    <t>M49 1LE</t>
  </si>
  <si>
    <t>ACT-00424</t>
  </si>
  <si>
    <t>ACC-10318</t>
  </si>
  <si>
    <t>CUST-50318</t>
  </si>
  <si>
    <t>Dr George Edwards</t>
  </si>
  <si>
    <t>ywall@example.org</t>
  </si>
  <si>
    <t>IG25 8ZP</t>
  </si>
  <si>
    <t>ACT-00425</t>
  </si>
  <si>
    <t>ACC-10319</t>
  </si>
  <si>
    <t>CUST-50319</t>
  </si>
  <si>
    <t>Kieran James</t>
  </si>
  <si>
    <t>alyons@example.net</t>
  </si>
  <si>
    <t>ACT-00426</t>
  </si>
  <si>
    <t>SY7 9HB</t>
  </si>
  <si>
    <t>ACC-10320</t>
  </si>
  <si>
    <t>CUST-50320</t>
  </si>
  <si>
    <t>Martin Woods</t>
  </si>
  <si>
    <t>ACT-00427</t>
  </si>
  <si>
    <t>donna18@example.org</t>
  </si>
  <si>
    <t>E6K 1UX</t>
  </si>
  <si>
    <t>ACC-10321</t>
  </si>
  <si>
    <t>CUST-50321</t>
  </si>
  <si>
    <t>ACT-00428</t>
  </si>
  <si>
    <t>Deborah Gregory</t>
  </si>
  <si>
    <t>luke74@example.com</t>
  </si>
  <si>
    <t>CO2M 4QA</t>
  </si>
  <si>
    <t>ACT-00429</t>
  </si>
  <si>
    <t>ACC-10322</t>
  </si>
  <si>
    <t>CUST-50322</t>
  </si>
  <si>
    <t>Connor Ellis-Williams</t>
  </si>
  <si>
    <t>barry06@example.org</t>
  </si>
  <si>
    <t>ACT-00430</t>
  </si>
  <si>
    <t>W83 0HS</t>
  </si>
  <si>
    <t>ACC-10323</t>
  </si>
  <si>
    <t>CUST-50323</t>
  </si>
  <si>
    <t>Dr Raymond Smith</t>
  </si>
  <si>
    <t>ACT-00431</t>
  </si>
  <si>
    <t>charlene88@example.net</t>
  </si>
  <si>
    <t>E5H 7PQ</t>
  </si>
  <si>
    <t>ACC-10324</t>
  </si>
  <si>
    <t>CUST-50324</t>
  </si>
  <si>
    <t>Eileen Wall</t>
  </si>
  <si>
    <t>ACT-00432</t>
  </si>
  <si>
    <t>meganpatterson@example.com</t>
  </si>
  <si>
    <t>S2 3ZT</t>
  </si>
  <si>
    <t>ACT-00433</t>
  </si>
  <si>
    <t>ACC-10325</t>
  </si>
  <si>
    <t>CUST-50325</t>
  </si>
  <si>
    <t>Samuel Walters-Wallis</t>
  </si>
  <si>
    <t>clare42@example.org</t>
  </si>
  <si>
    <t>KY9P 5DE</t>
  </si>
  <si>
    <t>ACT-00434</t>
  </si>
  <si>
    <t>ACC-10326</t>
  </si>
  <si>
    <t>CUST-50326</t>
  </si>
  <si>
    <t>Mrs Rachael Taylor</t>
  </si>
  <si>
    <t>ACT-00435</t>
  </si>
  <si>
    <t>aking@example.org</t>
  </si>
  <si>
    <t>S27 8ZR</t>
  </si>
  <si>
    <t>ACC-10327</t>
  </si>
  <si>
    <t>CUST-50327</t>
  </si>
  <si>
    <t>Miss Shannon Walker</t>
  </si>
  <si>
    <t>ACT-00436</t>
  </si>
  <si>
    <t>doyleclare@example.org</t>
  </si>
  <si>
    <t>NR0 1YG</t>
  </si>
  <si>
    <t>ACC-10328</t>
  </si>
  <si>
    <t>CUST-50328</t>
  </si>
  <si>
    <t>ACT-00437</t>
  </si>
  <si>
    <t>Louis Smith</t>
  </si>
  <si>
    <t>gavin11@example.org</t>
  </si>
  <si>
    <t>PL0B 5SS</t>
  </si>
  <si>
    <t>ACT-00438</t>
  </si>
  <si>
    <t>ACC-10329</t>
  </si>
  <si>
    <t>CUST-50329</t>
  </si>
  <si>
    <t>Holly Sykes</t>
  </si>
  <si>
    <t>rmcdonald@example.org</t>
  </si>
  <si>
    <t>ACT-00439</t>
  </si>
  <si>
    <t>S3 7EY</t>
  </si>
  <si>
    <t>ACC-10330</t>
  </si>
  <si>
    <t>CUST-50330</t>
  </si>
  <si>
    <t>Miss Angela James</t>
  </si>
  <si>
    <t>ACT-00440</t>
  </si>
  <si>
    <t>keithball@example.net</t>
  </si>
  <si>
    <t>E8 2FR</t>
  </si>
  <si>
    <t>ACC-10331</t>
  </si>
  <si>
    <t>ACT-00441</t>
  </si>
  <si>
    <t>CUST-50331</t>
  </si>
  <si>
    <t>Molly Thompson-Mitchell</t>
  </si>
  <si>
    <t>mhunt@example.org</t>
  </si>
  <si>
    <t>G8 4FY</t>
  </si>
  <si>
    <t>ACT-00442</t>
  </si>
  <si>
    <t>ACC-10332</t>
  </si>
  <si>
    <t>CUST-50332</t>
  </si>
  <si>
    <t>Mohammad Lewis</t>
  </si>
  <si>
    <t>nstevenson@example.org</t>
  </si>
  <si>
    <t>E86 1HD</t>
  </si>
  <si>
    <t>ACT-00443</t>
  </si>
  <si>
    <t>ACC-10333</t>
  </si>
  <si>
    <t>CUST-50333</t>
  </si>
  <si>
    <t>Reece Fuller</t>
  </si>
  <si>
    <t>ACT-00444</t>
  </si>
  <si>
    <t>jameshewitt@example.net</t>
  </si>
  <si>
    <t>IP5Y 6SB</t>
  </si>
  <si>
    <t>ACC-10334</t>
  </si>
  <si>
    <t>CUST-50334</t>
  </si>
  <si>
    <t>Thomas Collins</t>
  </si>
  <si>
    <t>ACT-00445</t>
  </si>
  <si>
    <t>amandasimpson@example.net</t>
  </si>
  <si>
    <t>G81 4SU</t>
  </si>
  <si>
    <t>ACC-10335</t>
  </si>
  <si>
    <t>CUST-50335</t>
  </si>
  <si>
    <t>Marcus Shaw</t>
  </si>
  <si>
    <t>ACT-00446</t>
  </si>
  <si>
    <t>annstewart@example.com</t>
  </si>
  <si>
    <t>B7 5JX</t>
  </si>
  <si>
    <t>ACT-00447</t>
  </si>
  <si>
    <t>ACC-10336</t>
  </si>
  <si>
    <t>CUST-50336</t>
  </si>
  <si>
    <t>Joe Jackson</t>
  </si>
  <si>
    <t>sarahgriffiths@example.net</t>
  </si>
  <si>
    <t>G1 9AR</t>
  </si>
  <si>
    <t>ACT-00448</t>
  </si>
  <si>
    <t>ACC-10337</t>
  </si>
  <si>
    <t>CUST-50337</t>
  </si>
  <si>
    <t>Dr Rhys Grant</t>
  </si>
  <si>
    <t>cooperjustin@example.net</t>
  </si>
  <si>
    <t>ACT-00449</t>
  </si>
  <si>
    <t>L0S 7PU</t>
  </si>
  <si>
    <t>ACC-10338</t>
  </si>
  <si>
    <t>CUST-50338</t>
  </si>
  <si>
    <t>Mrs Leanne Berry</t>
  </si>
  <si>
    <t>ACT-00450</t>
  </si>
  <si>
    <t>spencerian@example.net</t>
  </si>
  <si>
    <t>N4K 0DX</t>
  </si>
  <si>
    <t>ACC-10339</t>
  </si>
  <si>
    <t>CUST-50339</t>
  </si>
  <si>
    <t>Mr Leonard Brady</t>
  </si>
  <si>
    <t>ACT-00451</t>
  </si>
  <si>
    <t>jennifer28@example.com</t>
  </si>
  <si>
    <t>DN4M 1XX</t>
  </si>
  <si>
    <t>ACC-10340</t>
  </si>
  <si>
    <t>CUST-50340</t>
  </si>
  <si>
    <t>Dominic Green</t>
  </si>
  <si>
    <t>ACT-00452</t>
  </si>
  <si>
    <t>damienkelly@example.com</t>
  </si>
  <si>
    <t>G6W 1XN</t>
  </si>
  <si>
    <t>ACT-00453</t>
  </si>
  <si>
    <t>ACC-10341</t>
  </si>
  <si>
    <t>CUST-50341</t>
  </si>
  <si>
    <t>Colin Swift-Pratt</t>
  </si>
  <si>
    <t>abrown@example.org</t>
  </si>
  <si>
    <t>S1S 5EX</t>
  </si>
  <si>
    <t>ACT-00454</t>
  </si>
  <si>
    <t>ACC-10342</t>
  </si>
  <si>
    <t>CUST-50342</t>
  </si>
  <si>
    <t>Joseph Lee-Williams</t>
  </si>
  <si>
    <t>inorton@example.com</t>
  </si>
  <si>
    <t>ACT-00455</t>
  </si>
  <si>
    <t>HU71 0DQ</t>
  </si>
  <si>
    <t>ACC-10343</t>
  </si>
  <si>
    <t>CUST-50343</t>
  </si>
  <si>
    <t>Leslie Sutton</t>
  </si>
  <si>
    <t>ACT-00456</t>
  </si>
  <si>
    <t>jayatkinson@example.org</t>
  </si>
  <si>
    <t>SS21 5DW</t>
  </si>
  <si>
    <t>ACT-00457</t>
  </si>
  <si>
    <t>ACC-10344</t>
  </si>
  <si>
    <t>CUST-50344</t>
  </si>
  <si>
    <t>Miss Patricia Walton</t>
  </si>
  <si>
    <t>ACT-00458</t>
  </si>
  <si>
    <t>westleon@example.com</t>
  </si>
  <si>
    <t>ME7 4QB</t>
  </si>
  <si>
    <t>ACC-10345</t>
  </si>
  <si>
    <t>CUST-50345</t>
  </si>
  <si>
    <t>Mrs Nicola Jackson</t>
  </si>
  <si>
    <t>ACT-00459</t>
  </si>
  <si>
    <t>eric11@example.com</t>
  </si>
  <si>
    <t>M9C 3SE</t>
  </si>
  <si>
    <t>ACC-10346</t>
  </si>
  <si>
    <t>CUST-50346</t>
  </si>
  <si>
    <t>Terence Clayton</t>
  </si>
  <si>
    <t>ACT-00460</t>
  </si>
  <si>
    <t>WF46 2AB</t>
  </si>
  <si>
    <t>ACT-00461</t>
  </si>
  <si>
    <t>ACC-10347</t>
  </si>
  <si>
    <t>CUST-50347</t>
  </si>
  <si>
    <t>Mrs Victoria Green</t>
  </si>
  <si>
    <t>suzanne59@example.com</t>
  </si>
  <si>
    <t>TA7P 8AS</t>
  </si>
  <si>
    <t>ACT-00462</t>
  </si>
  <si>
    <t>ACC-10348</t>
  </si>
  <si>
    <t>CUST-50348</t>
  </si>
  <si>
    <t>Robin Smith</t>
  </si>
  <si>
    <t>ACT-00463</t>
  </si>
  <si>
    <t>WD4V 4YD</t>
  </si>
  <si>
    <t>ACC-10349</t>
  </si>
  <si>
    <t>CUST-50349</t>
  </si>
  <si>
    <t>Gillian George</t>
  </si>
  <si>
    <t>ACT-00464</t>
  </si>
  <si>
    <t>williamsanne@example.org</t>
  </si>
  <si>
    <t>L41 2SX</t>
  </si>
  <si>
    <t>ACC-10350</t>
  </si>
  <si>
    <t>CUST-50350</t>
  </si>
  <si>
    <t>Dr Daniel Andrews</t>
  </si>
  <si>
    <t>ACT-00465</t>
  </si>
  <si>
    <t>phunt@example.com</t>
  </si>
  <si>
    <t>M9 2AE</t>
  </si>
  <si>
    <t>ACC-10351</t>
  </si>
  <si>
    <t>CUST-50351</t>
  </si>
  <si>
    <t>ACT-00466</t>
  </si>
  <si>
    <t>Sylvia Jones</t>
  </si>
  <si>
    <t>deniswilson@example.org</t>
  </si>
  <si>
    <t>PA7A 7RU</t>
  </si>
  <si>
    <t>ACT-00467</t>
  </si>
  <si>
    <t>ACC-10352</t>
  </si>
  <si>
    <t>CUST-50352</t>
  </si>
  <si>
    <t>Dr Wayne Kirk</t>
  </si>
  <si>
    <t>ACT-00468</t>
  </si>
  <si>
    <t>jcarpenter@example.com</t>
  </si>
  <si>
    <t>W1 0BX</t>
  </si>
  <si>
    <t>ACC-10353</t>
  </si>
  <si>
    <t>CUST-50353</t>
  </si>
  <si>
    <t>Jenna Cox</t>
  </si>
  <si>
    <t>ACT-00469</t>
  </si>
  <si>
    <t>martin56@example.org</t>
  </si>
  <si>
    <t>SE4 0LW</t>
  </si>
  <si>
    <t>ACT-00470</t>
  </si>
  <si>
    <t>ACC-10354</t>
  </si>
  <si>
    <t>CUST-50354</t>
  </si>
  <si>
    <t>Lynda Chapman-Thomson</t>
  </si>
  <si>
    <t>hilary57@example.com</t>
  </si>
  <si>
    <t>ACT-00471</t>
  </si>
  <si>
    <t>RM84 1SF</t>
  </si>
  <si>
    <t>ACC-10355</t>
  </si>
  <si>
    <t>CUST-50355</t>
  </si>
  <si>
    <t>Joanna Green</t>
  </si>
  <si>
    <t>ACT-00472</t>
  </si>
  <si>
    <t>sskinner@example.net</t>
  </si>
  <si>
    <t>WV3P 3AX</t>
  </si>
  <si>
    <t>ACC-10356</t>
  </si>
  <si>
    <t>ACT-00473</t>
  </si>
  <si>
    <t>CUST-50356</t>
  </si>
  <si>
    <t>Mr Glenn Lane</t>
  </si>
  <si>
    <t>lgilbert@example.net</t>
  </si>
  <si>
    <t>LS89 6AW</t>
  </si>
  <si>
    <t>ACT-00474</t>
  </si>
  <si>
    <t>ACC-10357</t>
  </si>
  <si>
    <t>CUST-50357</t>
  </si>
  <si>
    <t>Gail Walker</t>
  </si>
  <si>
    <t>ACT-00475</t>
  </si>
  <si>
    <t>gbrown@example.org</t>
  </si>
  <si>
    <t>RH27 1EQ</t>
  </si>
  <si>
    <t>ACC-10358</t>
  </si>
  <si>
    <t>CUST-50358</t>
  </si>
  <si>
    <t>Caroline Mitchell</t>
  </si>
  <si>
    <t>ACT-00476</t>
  </si>
  <si>
    <t>marion38@example.org</t>
  </si>
  <si>
    <t>S2D 8ET</t>
  </si>
  <si>
    <t>ACC-10359</t>
  </si>
  <si>
    <t>ACT-00477</t>
  </si>
  <si>
    <t>CUST-50359</t>
  </si>
  <si>
    <t>Abbie Holland</t>
  </si>
  <si>
    <t>hiltonadam@example.com</t>
  </si>
  <si>
    <t>W64 5WT</t>
  </si>
  <si>
    <t>ACT-00478</t>
  </si>
  <si>
    <t>ACC-10360</t>
  </si>
  <si>
    <t>CUST-50360</t>
  </si>
  <si>
    <t>Norman Hughes</t>
  </si>
  <si>
    <t>marcgreen@example.net</t>
  </si>
  <si>
    <t>ACT-00479</t>
  </si>
  <si>
    <t>B7 7NH</t>
  </si>
  <si>
    <t>ACC-10361</t>
  </si>
  <si>
    <t>CUST-50361</t>
  </si>
  <si>
    <t>Kathryn Lee-Allen</t>
  </si>
  <si>
    <t>ACT-00480</t>
  </si>
  <si>
    <t>jackreed@example.com</t>
  </si>
  <si>
    <t>CT0E 1AR</t>
  </si>
  <si>
    <t>ACC-10362</t>
  </si>
  <si>
    <t>CUST-50362</t>
  </si>
  <si>
    <t>Jacob Bird</t>
  </si>
  <si>
    <t>ACT-00481</t>
  </si>
  <si>
    <t>gharding@example.net</t>
  </si>
  <si>
    <t>ZE66 4NQ</t>
  </si>
  <si>
    <t>ACC-10363</t>
  </si>
  <si>
    <t>CUST-50363</t>
  </si>
  <si>
    <t>Mrs Margaret Moore</t>
  </si>
  <si>
    <t>ACT-00482</t>
  </si>
  <si>
    <t>olivia53@example.net</t>
  </si>
  <si>
    <t>N25 9UD</t>
  </si>
  <si>
    <t>ACC-10364</t>
  </si>
  <si>
    <t>CUST-50364</t>
  </si>
  <si>
    <t>ACT-00483</t>
  </si>
  <si>
    <t>Dr Jack O'Brien</t>
  </si>
  <si>
    <t>lindseystewart@example.com</t>
  </si>
  <si>
    <t>HD3X 3JA</t>
  </si>
  <si>
    <t>ACT-00484</t>
  </si>
  <si>
    <t>ACC-10365</t>
  </si>
  <si>
    <t>CUST-50365</t>
  </si>
  <si>
    <t>Ms Judith Brown</t>
  </si>
  <si>
    <t>kmurphy@example.net</t>
  </si>
  <si>
    <t>ACT-00485</t>
  </si>
  <si>
    <t>LL1R 6LD</t>
  </si>
  <si>
    <t>ACC-10366</t>
  </si>
  <si>
    <t>CUST-50366</t>
  </si>
  <si>
    <t>Maureen Chambers</t>
  </si>
  <si>
    <t>ACT-00486</t>
  </si>
  <si>
    <t>roseeleanor@example.org</t>
  </si>
  <si>
    <t>NP35 5QQ</t>
  </si>
  <si>
    <t>ACT-00487</t>
  </si>
  <si>
    <t>ACC-10367</t>
  </si>
  <si>
    <t>CUST-50367</t>
  </si>
  <si>
    <t>Amanda Marshall</t>
  </si>
  <si>
    <t>ACT-00488</t>
  </si>
  <si>
    <t>katefox@example.com</t>
  </si>
  <si>
    <t>TF39 0SU</t>
  </si>
  <si>
    <t>ACC-10368</t>
  </si>
  <si>
    <t>CUST-50368</t>
  </si>
  <si>
    <t>Hazel Brown</t>
  </si>
  <si>
    <t>ACT-00489</t>
  </si>
  <si>
    <t>williamsabdul@example.net</t>
  </si>
  <si>
    <t>PH7Y 4WP</t>
  </si>
  <si>
    <t>ACC-10369</t>
  </si>
  <si>
    <t>CUST-50369</t>
  </si>
  <si>
    <t>Mitchell Powell</t>
  </si>
  <si>
    <t>ACT-00490</t>
  </si>
  <si>
    <t>paul70@example.org</t>
  </si>
  <si>
    <t>N41 4HR</t>
  </si>
  <si>
    <t>ACC-10370</t>
  </si>
  <si>
    <t>CUST-50370</t>
  </si>
  <si>
    <t>ACT-00491</t>
  </si>
  <si>
    <t>Leanne Read</t>
  </si>
  <si>
    <t>karldavies@example.org</t>
  </si>
  <si>
    <t>M4 6EF</t>
  </si>
  <si>
    <t>ACT-00492</t>
  </si>
  <si>
    <t>ACC-10371</t>
  </si>
  <si>
    <t>CUST-50371</t>
  </si>
  <si>
    <t>Donald Wood-Jackson</t>
  </si>
  <si>
    <t>xbarnes@example.org</t>
  </si>
  <si>
    <t>HG3 5FU</t>
  </si>
  <si>
    <t>ACT-00493</t>
  </si>
  <si>
    <t>ACC-10372</t>
  </si>
  <si>
    <t>CUST-50372</t>
  </si>
  <si>
    <t>Rachel Brown-Chapman</t>
  </si>
  <si>
    <t>toby29@example.com</t>
  </si>
  <si>
    <t>ACT-00494</t>
  </si>
  <si>
    <t>B6C 8EY</t>
  </si>
  <si>
    <t>ACC-10373</t>
  </si>
  <si>
    <t>CUST-50373</t>
  </si>
  <si>
    <t>Susan Jackson</t>
  </si>
  <si>
    <t>dale83@example.org</t>
  </si>
  <si>
    <t>DT5 1EQ</t>
  </si>
  <si>
    <t>ACC-10374</t>
  </si>
  <si>
    <t>ACT-00495</t>
  </si>
  <si>
    <t>CUST-50374</t>
  </si>
  <si>
    <t>Dr Brandon Stevens</t>
  </si>
  <si>
    <t>bentleymichael@example.org</t>
  </si>
  <si>
    <t>SP15 5UY</t>
  </si>
  <si>
    <t>ACT-00496</t>
  </si>
  <si>
    <t>ACC-10375</t>
  </si>
  <si>
    <t>CUST-50375</t>
  </si>
  <si>
    <t>Irene Adams</t>
  </si>
  <si>
    <t>raymondsingh@example.com</t>
  </si>
  <si>
    <t>LL5A 3AQ</t>
  </si>
  <si>
    <t>ACT-00497</t>
  </si>
  <si>
    <t>ACC-10376</t>
  </si>
  <si>
    <t>CUST-50376</t>
  </si>
  <si>
    <t>Mrs Naomi Kaur</t>
  </si>
  <si>
    <t>S77 2AL</t>
  </si>
  <si>
    <t>ACT-00498</t>
  </si>
  <si>
    <t>ACC-10377</t>
  </si>
  <si>
    <t>CUST-50377</t>
  </si>
  <si>
    <t>Karl Roberts</t>
  </si>
  <si>
    <t>lauraford@example.net</t>
  </si>
  <si>
    <t>E0 5JU</t>
  </si>
  <si>
    <t>ACT-00499</t>
  </si>
  <si>
    <t>ACC-10378</t>
  </si>
  <si>
    <t>CUST-50378</t>
  </si>
  <si>
    <t>Adam Harrison</t>
  </si>
  <si>
    <t>ACT-00500</t>
  </si>
  <si>
    <t>G28 3LL</t>
  </si>
  <si>
    <t>ACC-10379</t>
  </si>
  <si>
    <t>CUST-50379</t>
  </si>
  <si>
    <t>Ronald Read</t>
  </si>
  <si>
    <t>ACT-00501</t>
  </si>
  <si>
    <t>HA63 6TZ</t>
  </si>
  <si>
    <t>ACC-10380</t>
  </si>
  <si>
    <t>CUST-50380</t>
  </si>
  <si>
    <t>Ms Julia Summers</t>
  </si>
  <si>
    <t>ACT-00502</t>
  </si>
  <si>
    <t>KW21 2UN</t>
  </si>
  <si>
    <t>ACC-10381</t>
  </si>
  <si>
    <t>ACT-00503</t>
  </si>
  <si>
    <t>CUST-50381</t>
  </si>
  <si>
    <t>Kerry Russell</t>
  </si>
  <si>
    <t>E0 4BE</t>
  </si>
  <si>
    <t>ACC-10382</t>
  </si>
  <si>
    <t>ACT-00504</t>
  </si>
  <si>
    <t>CUST-50382</t>
  </si>
  <si>
    <t>Gail Scott</t>
  </si>
  <si>
    <t>nicolaslater@example.org</t>
  </si>
  <si>
    <t>BT3 2LE</t>
  </si>
  <si>
    <t>ACT-00505</t>
  </si>
  <si>
    <t>ACC-10383</t>
  </si>
  <si>
    <t>CUST-50383</t>
  </si>
  <si>
    <t>Heather Lee</t>
  </si>
  <si>
    <t>xwhitehead@example.net</t>
  </si>
  <si>
    <t>E0 0TD</t>
  </si>
  <si>
    <t>ACT-00506</t>
  </si>
  <si>
    <t>ACC-10384</t>
  </si>
  <si>
    <t>CUST-50384</t>
  </si>
  <si>
    <t>Samuel Kent-Harvey</t>
  </si>
  <si>
    <t>ppollard@example.net</t>
  </si>
  <si>
    <t>ACT-00507</t>
  </si>
  <si>
    <t>KW9V 8ZT</t>
  </si>
  <si>
    <t>ACC-10385</t>
  </si>
  <si>
    <t>CUST-50385</t>
  </si>
  <si>
    <t>Abigail Brown</t>
  </si>
  <si>
    <t>ACT-00508</t>
  </si>
  <si>
    <t>damien68@example.net</t>
  </si>
  <si>
    <t>S2 1EZ</t>
  </si>
  <si>
    <t>ACC-10386</t>
  </si>
  <si>
    <t>CUST-50386</t>
  </si>
  <si>
    <t>Michelle Patel</t>
  </si>
  <si>
    <t>ACT-00509</t>
  </si>
  <si>
    <t>ACT-00510</t>
  </si>
  <si>
    <t>paul26@example.net</t>
  </si>
  <si>
    <t>HP21 5SQ</t>
  </si>
  <si>
    <t>ACC-10387</t>
  </si>
  <si>
    <t>CUST-50387</t>
  </si>
  <si>
    <t>Luke Robinson-Brown</t>
  </si>
  <si>
    <t>ACT-00511</t>
  </si>
  <si>
    <t>elliepotts@example.com</t>
  </si>
  <si>
    <t>E3K 3HR</t>
  </si>
  <si>
    <t>ACC-10388</t>
  </si>
  <si>
    <t>ACT-00512</t>
  </si>
  <si>
    <t>CUST-50388</t>
  </si>
  <si>
    <t>Mr Jordan Lewis</t>
  </si>
  <si>
    <t>gobrien@example.com</t>
  </si>
  <si>
    <t>EN4 5LT</t>
  </si>
  <si>
    <t>ACT-00513</t>
  </si>
  <si>
    <t>ACC-10389</t>
  </si>
  <si>
    <t>CUST-50389</t>
  </si>
  <si>
    <t>Dr Chelsea Hill</t>
  </si>
  <si>
    <t>hbrown@example.net</t>
  </si>
  <si>
    <t>ACT-00514</t>
  </si>
  <si>
    <t>G9 2RS</t>
  </si>
  <si>
    <t>ACC-10390</t>
  </si>
  <si>
    <t>CUST-50390</t>
  </si>
  <si>
    <t>Alexander Wallace-Jones</t>
  </si>
  <si>
    <t>ACT-00515</t>
  </si>
  <si>
    <t>knightcharlene@example.org</t>
  </si>
  <si>
    <t>SL3 6WQ</t>
  </si>
  <si>
    <t>ACC-10391</t>
  </si>
  <si>
    <t>CUST-50391</t>
  </si>
  <si>
    <t>Wendy Baker</t>
  </si>
  <si>
    <t>ACT-00516</t>
  </si>
  <si>
    <t>dward@example.com</t>
  </si>
  <si>
    <t>N3 7ZN</t>
  </si>
  <si>
    <t>ACC-10392</t>
  </si>
  <si>
    <t>CUST-50392</t>
  </si>
  <si>
    <t>ACT-00517</t>
  </si>
  <si>
    <t>Dr Keith Whitehead</t>
  </si>
  <si>
    <t>pcunningham@example.com</t>
  </si>
  <si>
    <t>OL8 4UL</t>
  </si>
  <si>
    <t>ACC-10393</t>
  </si>
  <si>
    <t>CUST-50393</t>
  </si>
  <si>
    <t>ACT-00518</t>
  </si>
  <si>
    <t>Darren Shah</t>
  </si>
  <si>
    <t>jonesian@example.org</t>
  </si>
  <si>
    <t>M94 9ZF</t>
  </si>
  <si>
    <t>ACT-00519</t>
  </si>
  <si>
    <t>ACC-10394</t>
  </si>
  <si>
    <t>CUST-50394</t>
  </si>
  <si>
    <t>Maria Fletcher-Jones</t>
  </si>
  <si>
    <t>vcox@example.org</t>
  </si>
  <si>
    <t>G67 5HS</t>
  </si>
  <si>
    <t>ACT-00520</t>
  </si>
  <si>
    <t>ACC-10395</t>
  </si>
  <si>
    <t>CUST-50395</t>
  </si>
  <si>
    <t>Marion Jones-Fox</t>
  </si>
  <si>
    <t>justingardner@example.com</t>
  </si>
  <si>
    <t>CR73 3SN</t>
  </si>
  <si>
    <t>ACT-00521</t>
  </si>
  <si>
    <t>ACC-10396</t>
  </si>
  <si>
    <t>CUST-50396</t>
  </si>
  <si>
    <t>Jordan Marsh</t>
  </si>
  <si>
    <t>ACT-00522</t>
  </si>
  <si>
    <t>fergusonmary@example.com</t>
  </si>
  <si>
    <t>RM8N 7AH</t>
  </si>
  <si>
    <t>ACC-10397</t>
  </si>
  <si>
    <t>CUST-50397</t>
  </si>
  <si>
    <t>Beverley Robson</t>
  </si>
  <si>
    <t>ACT-00523</t>
  </si>
  <si>
    <t>sophiemoore@example.org</t>
  </si>
  <si>
    <t>W2 4NF</t>
  </si>
  <si>
    <t>ACC-10398</t>
  </si>
  <si>
    <t>CUST-50398</t>
  </si>
  <si>
    <t>ACT-00524</t>
  </si>
  <si>
    <t>Angela Lyons</t>
  </si>
  <si>
    <t>dorothy52@example.com</t>
  </si>
  <si>
    <t>ML3E 4DX</t>
  </si>
  <si>
    <t>ACT-00525</t>
  </si>
  <si>
    <t>ACC-10399</t>
  </si>
  <si>
    <t>CUST-50399</t>
  </si>
  <si>
    <t>Miss Tina Patterson</t>
  </si>
  <si>
    <t>lvincent@example.org</t>
  </si>
  <si>
    <t>ACT-00526</t>
  </si>
  <si>
    <t>M71 8JT</t>
  </si>
  <si>
    <t>ACC-10400</t>
  </si>
  <si>
    <t>CUST-50400</t>
  </si>
  <si>
    <t>Claire Allen-Bowen</t>
  </si>
  <si>
    <t>ACT-00527</t>
  </si>
  <si>
    <t>andrewtaylor@example.org</t>
  </si>
  <si>
    <t>B7 1ZW</t>
  </si>
  <si>
    <t>ACC-10401</t>
  </si>
  <si>
    <t>CUST-50401</t>
  </si>
  <si>
    <t>ACT-00528</t>
  </si>
  <si>
    <t>Charles May</t>
  </si>
  <si>
    <t>brucecarole@example.net</t>
  </si>
  <si>
    <t>NG09 3HB</t>
  </si>
  <si>
    <t>ACT-00529</t>
  </si>
  <si>
    <t>ACC-10402</t>
  </si>
  <si>
    <t>CUST-50402</t>
  </si>
  <si>
    <t>Ms Deborah Robson</t>
  </si>
  <si>
    <t>ACT-00530</t>
  </si>
  <si>
    <t>L2S 0EL</t>
  </si>
  <si>
    <t>ACC-10403</t>
  </si>
  <si>
    <t>CUST-50403</t>
  </si>
  <si>
    <t>Sylvia Evans</t>
  </si>
  <si>
    <t>ACT-00531</t>
  </si>
  <si>
    <t>joel54@example.org</t>
  </si>
  <si>
    <t>SM7M 6QD</t>
  </si>
  <si>
    <t>ACC-10404</t>
  </si>
  <si>
    <t>CUST-50404</t>
  </si>
  <si>
    <t>Dr Ashley Cox</t>
  </si>
  <si>
    <t>ACT-00532</t>
  </si>
  <si>
    <t>wellselaine@example.net</t>
  </si>
  <si>
    <t>B5 7XS</t>
  </si>
  <si>
    <t>ACT-00533</t>
  </si>
  <si>
    <t>ACC-10405</t>
  </si>
  <si>
    <t>CUST-50405</t>
  </si>
  <si>
    <t>Lisa Houghton</t>
  </si>
  <si>
    <t>ACT-00534</t>
  </si>
  <si>
    <t>dhilton@example.com</t>
  </si>
  <si>
    <t>B9 7DR</t>
  </si>
  <si>
    <t>ACT-00535</t>
  </si>
  <si>
    <t>ACC-10406</t>
  </si>
  <si>
    <t>CUST-50406</t>
  </si>
  <si>
    <t>Angela Francis</t>
  </si>
  <si>
    <t>ACT-00536</t>
  </si>
  <si>
    <t>wilkinsonjake@example.net</t>
  </si>
  <si>
    <t>NG59 8PD</t>
  </si>
  <si>
    <t>ACC-10407</t>
  </si>
  <si>
    <t>CUST-50407</t>
  </si>
  <si>
    <t>Ms Laura Jones</t>
  </si>
  <si>
    <t>ACT-00537</t>
  </si>
  <si>
    <t>fyoung@example.org</t>
  </si>
  <si>
    <t>L84 9QF</t>
  </si>
  <si>
    <t>ACC-10408</t>
  </si>
  <si>
    <t>CUST-50408</t>
  </si>
  <si>
    <t>Mohamed Kirk</t>
  </si>
  <si>
    <t>ACT-00538</t>
  </si>
  <si>
    <t>qroberts@example.net</t>
  </si>
  <si>
    <t>DY3X 4DY</t>
  </si>
  <si>
    <t>ACT-00539</t>
  </si>
  <si>
    <t>ACC-10409</t>
  </si>
  <si>
    <t>CUST-50409</t>
  </si>
  <si>
    <t>Jeffrey Coles</t>
  </si>
  <si>
    <t>haywardjasmine@example.org</t>
  </si>
  <si>
    <t>ACT-00540</t>
  </si>
  <si>
    <t>ACT-00541</t>
  </si>
  <si>
    <t>ACT-00542</t>
  </si>
  <si>
    <t>ACT-00543</t>
  </si>
  <si>
    <t>N3 0YL</t>
  </si>
  <si>
    <t>ACT-00544</t>
  </si>
  <si>
    <t>ACC-10410</t>
  </si>
  <si>
    <t>CUST-50410</t>
  </si>
  <si>
    <t>Abbie Pearce</t>
  </si>
  <si>
    <t>gallagherkenneth@example.org</t>
  </si>
  <si>
    <t>ACT-00545</t>
  </si>
  <si>
    <t>BB0P 8LZ</t>
  </si>
  <si>
    <t>ACC-10411</t>
  </si>
  <si>
    <t>CUST-50411</t>
  </si>
  <si>
    <t>Elizabeth Brookes</t>
  </si>
  <si>
    <t>ACT-00546</t>
  </si>
  <si>
    <t>armstrongjasmine@example.net</t>
  </si>
  <si>
    <t>LU4A 8DE</t>
  </si>
  <si>
    <t>ACC-10412</t>
  </si>
  <si>
    <t>CUST-50412</t>
  </si>
  <si>
    <t>Grace Wood</t>
  </si>
  <si>
    <t>ACT-00547</t>
  </si>
  <si>
    <t>leannewoodward@example.com</t>
  </si>
  <si>
    <t>SN4M 4GB</t>
  </si>
  <si>
    <t>ACC-10413</t>
  </si>
  <si>
    <t>CUST-50413</t>
  </si>
  <si>
    <t>Ashleigh Young</t>
  </si>
  <si>
    <t>ACT-00548</t>
  </si>
  <si>
    <t>stephenrichards@example.com</t>
  </si>
  <si>
    <t>CR0 9WG</t>
  </si>
  <si>
    <t>ACC-10414</t>
  </si>
  <si>
    <t>CUST-50414</t>
  </si>
  <si>
    <t>Alex Moore</t>
  </si>
  <si>
    <t>ACT-00549</t>
  </si>
  <si>
    <t>tfitzgerald@example.com</t>
  </si>
  <si>
    <t>PL0 3UJ</t>
  </si>
  <si>
    <t>ACC-10415</t>
  </si>
  <si>
    <t>CUST-50415</t>
  </si>
  <si>
    <t>Katherine Lloyd-Clarke</t>
  </si>
  <si>
    <t>ACT-00550</t>
  </si>
  <si>
    <t>fmyers@example.net</t>
  </si>
  <si>
    <t>NG9 7NE</t>
  </si>
  <si>
    <t>ACC-10416</t>
  </si>
  <si>
    <t>CUST-50416</t>
  </si>
  <si>
    <t>Mohamed Ellis</t>
  </si>
  <si>
    <t>ACT-00551</t>
  </si>
  <si>
    <t>suzannerobinson@example.net</t>
  </si>
  <si>
    <t>M9 0WH</t>
  </si>
  <si>
    <t>ACT-00552</t>
  </si>
  <si>
    <t>ACC-10417</t>
  </si>
  <si>
    <t>CUST-50417</t>
  </si>
  <si>
    <t>Ms Emma Kay</t>
  </si>
  <si>
    <t>ACT-00553</t>
  </si>
  <si>
    <t>kayleighhargreaves@example.com</t>
  </si>
  <si>
    <t>S51 2GT</t>
  </si>
  <si>
    <t>ACT-00554</t>
  </si>
  <si>
    <t>ACC-10418</t>
  </si>
  <si>
    <t>CUST-50418</t>
  </si>
  <si>
    <t>Alexander Brown</t>
  </si>
  <si>
    <t>ACT-00555</t>
  </si>
  <si>
    <t>wilkinsonarthur@example.org</t>
  </si>
  <si>
    <t>BD1A 7QQ</t>
  </si>
  <si>
    <t>ACT-00556</t>
  </si>
  <si>
    <t>ACC-10419</t>
  </si>
  <si>
    <t>CUST-50419</t>
  </si>
  <si>
    <t>Reece Cooper</t>
  </si>
  <si>
    <t>ACT-00557</t>
  </si>
  <si>
    <t>youngholly@example.net</t>
  </si>
  <si>
    <t>SP80 0FL</t>
  </si>
  <si>
    <t>ACT-00558</t>
  </si>
  <si>
    <t>ACC-10420</t>
  </si>
  <si>
    <t>CUST-50420</t>
  </si>
  <si>
    <t>Mr Terry Foster</t>
  </si>
  <si>
    <t>ACT-00559</t>
  </si>
  <si>
    <t>leanne50@example.net</t>
  </si>
  <si>
    <t>W5E 8DE</t>
  </si>
  <si>
    <t>ACC-10421</t>
  </si>
  <si>
    <t>CUST-50421</t>
  </si>
  <si>
    <t>Mrs Sandra Bibi</t>
  </si>
  <si>
    <t>ACT-00560</t>
  </si>
  <si>
    <t>ACT-00561</t>
  </si>
  <si>
    <t>shunt@example.com</t>
  </si>
  <si>
    <t>CR5R 2RA</t>
  </si>
  <si>
    <t>ACC-10422</t>
  </si>
  <si>
    <t>CUST-50422</t>
  </si>
  <si>
    <t>ACT-00562</t>
  </si>
  <si>
    <t>Ryan Brown-Payne</t>
  </si>
  <si>
    <t>guygill@example.com</t>
  </si>
  <si>
    <t>NE3 9FR</t>
  </si>
  <si>
    <t>ACT-00563</t>
  </si>
  <si>
    <t>ACC-10423</t>
  </si>
  <si>
    <t>CUST-50423</t>
  </si>
  <si>
    <t>Dr Graeme Armstrong</t>
  </si>
  <si>
    <t>ijohnston@example.org</t>
  </si>
  <si>
    <t>ACT-00564</t>
  </si>
  <si>
    <t>M68 6DZ</t>
  </si>
  <si>
    <t>ACC-10424</t>
  </si>
  <si>
    <t>CUST-50424</t>
  </si>
  <si>
    <t>Katherine Watkins</t>
  </si>
  <si>
    <t>ACT-00565</t>
  </si>
  <si>
    <t>gary78@example.com</t>
  </si>
  <si>
    <t>SM1Y 4JY</t>
  </si>
  <si>
    <t>ACT-00566</t>
  </si>
  <si>
    <t>ACC-10425</t>
  </si>
  <si>
    <t>CUST-50425</t>
  </si>
  <si>
    <t>Dr Duncan Day</t>
  </si>
  <si>
    <t>jayjones@example.net</t>
  </si>
  <si>
    <t>ACT-00567</t>
  </si>
  <si>
    <t>M77 0UH</t>
  </si>
  <si>
    <t>ACC-10426</t>
  </si>
  <si>
    <t>CUST-50426</t>
  </si>
  <si>
    <t>Ian Atkinson</t>
  </si>
  <si>
    <t>ACT-00568</t>
  </si>
  <si>
    <t>neil68@example.org</t>
  </si>
  <si>
    <t>N12 8AN</t>
  </si>
  <si>
    <t>ACT-00569</t>
  </si>
  <si>
    <t>ACC-10427</t>
  </si>
  <si>
    <t>CUST-50427</t>
  </si>
  <si>
    <t>Albert Stewart</t>
  </si>
  <si>
    <t>reece08@example.org</t>
  </si>
  <si>
    <t>ACT-00570</t>
  </si>
  <si>
    <t>E5S 6WQ</t>
  </si>
  <si>
    <t>ACC-10428</t>
  </si>
  <si>
    <t>CUST-50428</t>
  </si>
  <si>
    <t>Henry Riley-Hawkins</t>
  </si>
  <si>
    <t>singhkenneth@example.com</t>
  </si>
  <si>
    <t>SO8Y 9PN</t>
  </si>
  <si>
    <t>ACC-10429</t>
  </si>
  <si>
    <t>CUST-50429</t>
  </si>
  <si>
    <t>ACT-00571</t>
  </si>
  <si>
    <t>Ms Naomi Lewis</t>
  </si>
  <si>
    <t>ritamiller@example.org</t>
  </si>
  <si>
    <t>S0 7NB</t>
  </si>
  <si>
    <t>ACT-00572</t>
  </si>
  <si>
    <t>ACC-10430</t>
  </si>
  <si>
    <t>CUST-50430</t>
  </si>
  <si>
    <t>Donald Noble-Fleming</t>
  </si>
  <si>
    <t>ACT-00573</t>
  </si>
  <si>
    <t>vaughankate@example.com</t>
  </si>
  <si>
    <t>EC53 9ES</t>
  </si>
  <si>
    <t>ACT-00574</t>
  </si>
  <si>
    <t>ACC-10431</t>
  </si>
  <si>
    <t>CUST-50431</t>
  </si>
  <si>
    <t>Mr Callum Morgan</t>
  </si>
  <si>
    <t>ACT-00575</t>
  </si>
  <si>
    <t>hazel99@example.org</t>
  </si>
  <si>
    <t>B82 5NQ</t>
  </si>
  <si>
    <t>ACC-10432</t>
  </si>
  <si>
    <t>CUST-50432</t>
  </si>
  <si>
    <t>Carol Taylor</t>
  </si>
  <si>
    <t>ACT-00576</t>
  </si>
  <si>
    <t>rogersgraham@example.org</t>
  </si>
  <si>
    <t>SM9 3XZ</t>
  </si>
  <si>
    <t>ACT-00577</t>
  </si>
  <si>
    <t>ACC-10433</t>
  </si>
  <si>
    <t>CUST-50433</t>
  </si>
  <si>
    <t>Lynn Roberts</t>
  </si>
  <si>
    <t>ACT-00578</t>
  </si>
  <si>
    <t>browndamian@example.org</t>
  </si>
  <si>
    <t>IV2 9UW</t>
  </si>
  <si>
    <t>ACC-10434</t>
  </si>
  <si>
    <t>CUST-50434</t>
  </si>
  <si>
    <t>ACT-00579</t>
  </si>
  <si>
    <t>Kirsty Turner</t>
  </si>
  <si>
    <t>okhan@example.net</t>
  </si>
  <si>
    <t>SR2 9GZ</t>
  </si>
  <si>
    <t>ACT-00580</t>
  </si>
  <si>
    <t>ACC-10435</t>
  </si>
  <si>
    <t>CUST-50435</t>
  </si>
  <si>
    <t>Caroline Brown</t>
  </si>
  <si>
    <t>ACT-00581</t>
  </si>
  <si>
    <t>tsmith@example.net</t>
  </si>
  <si>
    <t>M39 8XJ</t>
  </si>
  <si>
    <t>ACC-10436</t>
  </si>
  <si>
    <t>CUST-50436</t>
  </si>
  <si>
    <t>Nathan Talbot</t>
  </si>
  <si>
    <t>ACT-00582</t>
  </si>
  <si>
    <t>gmiller@example.org</t>
  </si>
  <si>
    <t>SY3A 3QY</t>
  </si>
  <si>
    <t>ACC-10437</t>
  </si>
  <si>
    <t>ACT-00583</t>
  </si>
  <si>
    <t>CUST-50437</t>
  </si>
  <si>
    <t>Rita Birch</t>
  </si>
  <si>
    <t>mariesutton@example.com</t>
  </si>
  <si>
    <t>G57 6JT</t>
  </si>
  <si>
    <t>ACT-00584</t>
  </si>
  <si>
    <t>ACC-10438</t>
  </si>
  <si>
    <t>CUST-50438</t>
  </si>
  <si>
    <t>Leigh Baldwin</t>
  </si>
  <si>
    <t>traceygraham@example.com</t>
  </si>
  <si>
    <t>ACT-00585</t>
  </si>
  <si>
    <t>G34 2AD</t>
  </si>
  <si>
    <t>ACC-10439</t>
  </si>
  <si>
    <t>CUST-50439</t>
  </si>
  <si>
    <t>Norman Taylor</t>
  </si>
  <si>
    <t>nicolaweston@example.org</t>
  </si>
  <si>
    <t>ACT-00586</t>
  </si>
  <si>
    <t>L90 7FH</t>
  </si>
  <si>
    <t>ACC-10440</t>
  </si>
  <si>
    <t>CUST-50440</t>
  </si>
  <si>
    <t>Maureen Jones</t>
  </si>
  <si>
    <t>ACT-00587</t>
  </si>
  <si>
    <t>amy35@example.com</t>
  </si>
  <si>
    <t>SK5 0BW</t>
  </si>
  <si>
    <t>ACC-10441</t>
  </si>
  <si>
    <t>CUST-50441</t>
  </si>
  <si>
    <t>Joel Daniels</t>
  </si>
  <si>
    <t>ACT-00588</t>
  </si>
  <si>
    <t>ydavis@example.com</t>
  </si>
  <si>
    <t>ZE7 7ZP</t>
  </si>
  <si>
    <t>ACC-10442</t>
  </si>
  <si>
    <t>CUST-50442</t>
  </si>
  <si>
    <t>Carole Duffy</t>
  </si>
  <si>
    <t>ACT-00589</t>
  </si>
  <si>
    <t>ngregory@example.org</t>
  </si>
  <si>
    <t>M7E 1TF</t>
  </si>
  <si>
    <t>ACC-10443</t>
  </si>
  <si>
    <t>ACT-00590</t>
  </si>
  <si>
    <t>CUST-50443</t>
  </si>
  <si>
    <t>Robert Clarke</t>
  </si>
  <si>
    <t>BT9H 4DR</t>
  </si>
  <si>
    <t>ACT-00591</t>
  </si>
  <si>
    <t>ACC-10444</t>
  </si>
  <si>
    <t>CUST-50444</t>
  </si>
  <si>
    <t>Norman Clarke-Lee</t>
  </si>
  <si>
    <t>csullivan@example.com</t>
  </si>
  <si>
    <t>ZE5 4JR</t>
  </si>
  <si>
    <t>ACT-00592</t>
  </si>
  <si>
    <t>ACC-10445</t>
  </si>
  <si>
    <t>CUST-50445</t>
  </si>
  <si>
    <t>Mark Burton</t>
  </si>
  <si>
    <t>ACT-00593</t>
  </si>
  <si>
    <t>ewilson@example.com</t>
  </si>
  <si>
    <t>L5D 5BF</t>
  </si>
  <si>
    <t>ACC-10446</t>
  </si>
  <si>
    <t>CUST-50446</t>
  </si>
  <si>
    <t>Gary Hopkins-Miller</t>
  </si>
  <si>
    <t>ACT-00594</t>
  </si>
  <si>
    <t>CM3 2AE</t>
  </si>
  <si>
    <t>ACC-10447</t>
  </si>
  <si>
    <t>CUST-50447</t>
  </si>
  <si>
    <t>Tina Clarke</t>
  </si>
  <si>
    <t>ACT-00595</t>
  </si>
  <si>
    <t>xellis@example.net</t>
  </si>
  <si>
    <t>FY32 7FU</t>
  </si>
  <si>
    <t>ACT-00596</t>
  </si>
  <si>
    <t>ACC-10448</t>
  </si>
  <si>
    <t>CUST-50448</t>
  </si>
  <si>
    <t>Claire Evans-Brown</t>
  </si>
  <si>
    <t>burnsbrenda@example.net</t>
  </si>
  <si>
    <t>ACT-00597</t>
  </si>
  <si>
    <t>M08 3JQ</t>
  </si>
  <si>
    <t>ACC-10449</t>
  </si>
  <si>
    <t>CUST-50449</t>
  </si>
  <si>
    <t>Kyle Brady</t>
  </si>
  <si>
    <t>ACT-00598</t>
  </si>
  <si>
    <t>jonescallum@example.org</t>
  </si>
  <si>
    <t>L34 2FL</t>
  </si>
  <si>
    <t>ACT-00599</t>
  </si>
  <si>
    <t>ACC-10450</t>
  </si>
  <si>
    <t>CUST-50450</t>
  </si>
  <si>
    <t>Dr Fiona Smith</t>
  </si>
  <si>
    <t>ACT-00600</t>
  </si>
  <si>
    <t>gillianford@example.net</t>
  </si>
  <si>
    <t>M1W 8HG</t>
  </si>
  <si>
    <t>ACC-10451</t>
  </si>
  <si>
    <t>ACT-00601</t>
  </si>
  <si>
    <t>CUST-50451</t>
  </si>
  <si>
    <t>Mrs Nicola Thorpe</t>
  </si>
  <si>
    <t>declanwebb@example.com</t>
  </si>
  <si>
    <t>N42 6XB</t>
  </si>
  <si>
    <t>ACT-00602</t>
  </si>
  <si>
    <t>ACC-10452</t>
  </si>
  <si>
    <t>CUST-50452</t>
  </si>
  <si>
    <t>Tracy Reynolds</t>
  </si>
  <si>
    <t>ACT-00603</t>
  </si>
  <si>
    <t>rogersmith@example.com</t>
  </si>
  <si>
    <t>M3 0FL</t>
  </si>
  <si>
    <t>ACC-10453</t>
  </si>
  <si>
    <t>CUST-50453</t>
  </si>
  <si>
    <t>Mr Colin Jenkins</t>
  </si>
  <si>
    <t>ACT-00604</t>
  </si>
  <si>
    <t>henrybryant@example.net</t>
  </si>
  <si>
    <t>NE5 2NW</t>
  </si>
  <si>
    <t>ACT-00605</t>
  </si>
  <si>
    <t>ACC-10454</t>
  </si>
  <si>
    <t>CUST-50454</t>
  </si>
  <si>
    <t>Amelia Davies</t>
  </si>
  <si>
    <t>balljoshua@example.com</t>
  </si>
  <si>
    <t>ACT-00606</t>
  </si>
  <si>
    <t>W7T 0RG</t>
  </si>
  <si>
    <t>ACC-10455</t>
  </si>
  <si>
    <t>CUST-50455</t>
  </si>
  <si>
    <t>Elizabeth Allan</t>
  </si>
  <si>
    <t>ACT-00607</t>
  </si>
  <si>
    <t>xwilson@example.com</t>
  </si>
  <si>
    <t>M3 5XN</t>
  </si>
  <si>
    <t>ACC-10456</t>
  </si>
  <si>
    <t>CUST-50456</t>
  </si>
  <si>
    <t>Lorraine Greenwood</t>
  </si>
  <si>
    <t>cartwrightconnor@example.net</t>
  </si>
  <si>
    <t>ACT-00608</t>
  </si>
  <si>
    <t>GU68 5JP</t>
  </si>
  <si>
    <t>ACC-10457</t>
  </si>
  <si>
    <t>CUST-50457</t>
  </si>
  <si>
    <t>Emily Hamilton</t>
  </si>
  <si>
    <t>taylorvalerie@example.net</t>
  </si>
  <si>
    <t>DT7V 0AR</t>
  </si>
  <si>
    <t>ACC-10458</t>
  </si>
  <si>
    <t>CUST-50458</t>
  </si>
  <si>
    <t>Shirley Freeman</t>
  </si>
  <si>
    <t>ACT-00609</t>
  </si>
  <si>
    <t>aaron79@example.com</t>
  </si>
  <si>
    <t>KW5 1JQ</t>
  </si>
  <si>
    <t>ACC-10459</t>
  </si>
  <si>
    <t>CUST-50459</t>
  </si>
  <si>
    <t>Elaine Harris</t>
  </si>
  <si>
    <t>ACT-00610</t>
  </si>
  <si>
    <t>paynemaria@example.com</t>
  </si>
  <si>
    <t>S6 2FU</t>
  </si>
  <si>
    <t>ACT-00611</t>
  </si>
  <si>
    <t>ACC-10460</t>
  </si>
  <si>
    <t>CUST-50460</t>
  </si>
  <si>
    <t>Zoe Morris</t>
  </si>
  <si>
    <t>josephine98@example.net</t>
  </si>
  <si>
    <t>IG4 4JE</t>
  </si>
  <si>
    <t>ACT-00612</t>
  </si>
  <si>
    <t>ACC-10461</t>
  </si>
  <si>
    <t>CUST-50461</t>
  </si>
  <si>
    <t>Gerald Burgess-Morris</t>
  </si>
  <si>
    <t>ACT-00613</t>
  </si>
  <si>
    <t>ajohnson@example.com</t>
  </si>
  <si>
    <t>E99 6FE</t>
  </si>
  <si>
    <t>ACT-00614</t>
  </si>
  <si>
    <t>ACC-10462</t>
  </si>
  <si>
    <t>CUST-50462</t>
  </si>
  <si>
    <t>Dr Stanley Thornton</t>
  </si>
  <si>
    <t>ACT-00615</t>
  </si>
  <si>
    <t>ebradley@example.org</t>
  </si>
  <si>
    <t>JE96 7JH</t>
  </si>
  <si>
    <t>ACC-10463</t>
  </si>
  <si>
    <t>CUST-50463</t>
  </si>
  <si>
    <t>ACT-00616</t>
  </si>
  <si>
    <t>Thomas Shah</t>
  </si>
  <si>
    <t>morrisonabigail@example.org</t>
  </si>
  <si>
    <t>M3W 6JY</t>
  </si>
  <si>
    <t>ACT-00617</t>
  </si>
  <si>
    <t>ACC-10464</t>
  </si>
  <si>
    <t>CUST-50464</t>
  </si>
  <si>
    <t>Dr Antony Sanders</t>
  </si>
  <si>
    <t>ACT-00618</t>
  </si>
  <si>
    <t>xharding@example.org</t>
  </si>
  <si>
    <t>W6 5QU</t>
  </si>
  <si>
    <t>ACC-10465</t>
  </si>
  <si>
    <t>CUST-50465</t>
  </si>
  <si>
    <t>Mr Glenn Saunders</t>
  </si>
  <si>
    <t>ACT-00619</t>
  </si>
  <si>
    <t>bclarke@example.com</t>
  </si>
  <si>
    <t>PA4E 8XL</t>
  </si>
  <si>
    <t>ACT-00620</t>
  </si>
  <si>
    <t>ACC-10466</t>
  </si>
  <si>
    <t>CUST-50466</t>
  </si>
  <si>
    <t>Miss Amanda Mitchell</t>
  </si>
  <si>
    <t>iscott@example.com</t>
  </si>
  <si>
    <t>ACT-00621</t>
  </si>
  <si>
    <t>PO5 2HN</t>
  </si>
  <si>
    <t>ACC-10467</t>
  </si>
  <si>
    <t>CUST-50467</t>
  </si>
  <si>
    <t>ACT-00622</t>
  </si>
  <si>
    <t>Diane Lee</t>
  </si>
  <si>
    <t>ACT-00623</t>
  </si>
  <si>
    <t>banksjanet@example.org</t>
  </si>
  <si>
    <t>S4J 1PD</t>
  </si>
  <si>
    <t>ACC-10468</t>
  </si>
  <si>
    <t>CUST-50468</t>
  </si>
  <si>
    <t>ACT-00624</t>
  </si>
  <si>
    <t>Dr Denis Williams</t>
  </si>
  <si>
    <t>powellphilip@example.com</t>
  </si>
  <si>
    <t>SR3B 6ET</t>
  </si>
  <si>
    <t>ACT-00625</t>
  </si>
  <si>
    <t>ACC-10469</t>
  </si>
  <si>
    <t>CUST-50469</t>
  </si>
  <si>
    <t>Natasha Stone</t>
  </si>
  <si>
    <t>ACT-00626</t>
  </si>
  <si>
    <t>adavies@example.org</t>
  </si>
  <si>
    <t>B3C 8RW</t>
  </si>
  <si>
    <t>ACT-00627</t>
  </si>
  <si>
    <t>ACC-10470</t>
  </si>
  <si>
    <t>CUST-50470</t>
  </si>
  <si>
    <t>Jeremy Blake</t>
  </si>
  <si>
    <t>jonesgeorgina@example.org</t>
  </si>
  <si>
    <t>SM94 5WA</t>
  </si>
  <si>
    <t>ACT-00628</t>
  </si>
  <si>
    <t>ACC-10471</t>
  </si>
  <si>
    <t>CUST-50471</t>
  </si>
  <si>
    <t>Miss Amber Lynch</t>
  </si>
  <si>
    <t>julie46@example.net</t>
  </si>
  <si>
    <t>N3 2ST</t>
  </si>
  <si>
    <t>ACT-00629</t>
  </si>
  <si>
    <t>ACC-10472</t>
  </si>
  <si>
    <t>CUST-50472</t>
  </si>
  <si>
    <t>Luke Poole-Booth</t>
  </si>
  <si>
    <t>ACT-00630</t>
  </si>
  <si>
    <t>mohammedowen@example.com</t>
  </si>
  <si>
    <t>S8H 1WF</t>
  </si>
  <si>
    <t>ACC-10473</t>
  </si>
  <si>
    <t>CUST-50473</t>
  </si>
  <si>
    <t>Leon Riley</t>
  </si>
  <si>
    <t>ACT-00631</t>
  </si>
  <si>
    <t>dawsonmichelle@example.com</t>
  </si>
  <si>
    <t>N8K 1NZ</t>
  </si>
  <si>
    <t>ACC-10474</t>
  </si>
  <si>
    <t>ACT-00632</t>
  </si>
  <si>
    <t>CUST-50474</t>
  </si>
  <si>
    <t>Dr Leonard Stokes</t>
  </si>
  <si>
    <t>igould@example.net</t>
  </si>
  <si>
    <t>B17 5GE</t>
  </si>
  <si>
    <t>ACT-00633</t>
  </si>
  <si>
    <t>ACC-10475</t>
  </si>
  <si>
    <t>CUST-50475</t>
  </si>
  <si>
    <t>Callum Bentley</t>
  </si>
  <si>
    <t>ACT-00634</t>
  </si>
  <si>
    <t>bernard86@example.com</t>
  </si>
  <si>
    <t>SN7 2WT</t>
  </si>
  <si>
    <t>ACC-10476</t>
  </si>
  <si>
    <t>CUST-50476</t>
  </si>
  <si>
    <t>Sarah Kaur-Davies</t>
  </si>
  <si>
    <t>ACT-00635</t>
  </si>
  <si>
    <t>L6 6ZB</t>
  </si>
  <si>
    <t>ACC-10477</t>
  </si>
  <si>
    <t>CUST-50477</t>
  </si>
  <si>
    <t>Mr Callum Bennett</t>
  </si>
  <si>
    <t>ACT-00636</t>
  </si>
  <si>
    <t>kimmoore@example.net</t>
  </si>
  <si>
    <t>BT4R 9PG</t>
  </si>
  <si>
    <t>ACC-10478</t>
  </si>
  <si>
    <t>CUST-50478</t>
  </si>
  <si>
    <t>Mandy Bailey</t>
  </si>
  <si>
    <t>ACT-00637</t>
  </si>
  <si>
    <t>obarnes@example.net</t>
  </si>
  <si>
    <t>CA6W 2SY</t>
  </si>
  <si>
    <t>ACC-10479</t>
  </si>
  <si>
    <t>ACT-00638</t>
  </si>
  <si>
    <t>CUST-50479</t>
  </si>
  <si>
    <t>Dr Molly Short</t>
  </si>
  <si>
    <t>parkerjoanna@example.com</t>
  </si>
  <si>
    <t>SP68 4AP</t>
  </si>
  <si>
    <t>ACT-00639</t>
  </si>
  <si>
    <t>ACC-10480</t>
  </si>
  <si>
    <t>CUST-50480</t>
  </si>
  <si>
    <t>Lydia Kaur</t>
  </si>
  <si>
    <t>ACT-00640</t>
  </si>
  <si>
    <t>kimberleyingram@example.org</t>
  </si>
  <si>
    <t>KY11 7ZX</t>
  </si>
  <si>
    <t>ACC-10481</t>
  </si>
  <si>
    <t>ACT-00641</t>
  </si>
  <si>
    <t>CUST-50481</t>
  </si>
  <si>
    <t>Alison Stokes</t>
  </si>
  <si>
    <t>hwhite@example.net</t>
  </si>
  <si>
    <t>WR59 7AH</t>
  </si>
  <si>
    <t>ACT-00642</t>
  </si>
  <si>
    <t>ACC-10482</t>
  </si>
  <si>
    <t>CUST-50482</t>
  </si>
  <si>
    <t>Gemma Cartwright</t>
  </si>
  <si>
    <t>pwood@example.com</t>
  </si>
  <si>
    <t>ACT-00643</t>
  </si>
  <si>
    <t>G6K 1TH</t>
  </si>
  <si>
    <t>ACC-10483</t>
  </si>
  <si>
    <t>CUST-50483</t>
  </si>
  <si>
    <t>Russell Adams-Herbert</t>
  </si>
  <si>
    <t>ACT-00644</t>
  </si>
  <si>
    <t>rosemarysullivan@example.com</t>
  </si>
  <si>
    <t>L3U 6XU</t>
  </si>
  <si>
    <t>ACC-10484</t>
  </si>
  <si>
    <t>CUST-50484</t>
  </si>
  <si>
    <t>ACT-00645</t>
  </si>
  <si>
    <t>Natasha Gallagher</t>
  </si>
  <si>
    <t>janesaunders@example.org</t>
  </si>
  <si>
    <t>BH08 4RT</t>
  </si>
  <si>
    <t>ACT-00646</t>
  </si>
  <si>
    <t>ACC-10485</t>
  </si>
  <si>
    <t>CUST-50485</t>
  </si>
  <si>
    <t>Bradley Bartlett</t>
  </si>
  <si>
    <t>kathleen17@example.org</t>
  </si>
  <si>
    <t>BR9 8PF</t>
  </si>
  <si>
    <t>ACT-00647</t>
  </si>
  <si>
    <t>ACC-10486</t>
  </si>
  <si>
    <t>CUST-50486</t>
  </si>
  <si>
    <t>Geoffrey Walsh-Williams</t>
  </si>
  <si>
    <t>ACT-00648</t>
  </si>
  <si>
    <t>butlermichelle@example.com</t>
  </si>
  <si>
    <t>N5 9ZE</t>
  </si>
  <si>
    <t>ACC-10487</t>
  </si>
  <si>
    <t>CUST-50487</t>
  </si>
  <si>
    <t>Frances Jones</t>
  </si>
  <si>
    <t>ACT-00649</t>
  </si>
  <si>
    <t>bakerstanley@example.net</t>
  </si>
  <si>
    <t>WN7A 3UD</t>
  </si>
  <si>
    <t>ACC-10488</t>
  </si>
  <si>
    <t>CUST-50488</t>
  </si>
  <si>
    <t>Megan Khan</t>
  </si>
  <si>
    <t>ACT-00650</t>
  </si>
  <si>
    <t>denise06@example.net</t>
  </si>
  <si>
    <t>SN53 5LF</t>
  </si>
  <si>
    <t>ACC-10489</t>
  </si>
  <si>
    <t>CUST-50489</t>
  </si>
  <si>
    <t>Dr Benjamin Tyler</t>
  </si>
  <si>
    <t>ACT-00651</t>
  </si>
  <si>
    <t>robert54@example.org</t>
  </si>
  <si>
    <t>CO3 0YP</t>
  </si>
  <si>
    <t>ACC-10490</t>
  </si>
  <si>
    <t>CUST-50490</t>
  </si>
  <si>
    <t>Mrs Joanne Barker</t>
  </si>
  <si>
    <t>ACT-00652</t>
  </si>
  <si>
    <t>terence10@example.net</t>
  </si>
  <si>
    <t>G5 1UH</t>
  </si>
  <si>
    <t>ACT-00653</t>
  </si>
  <si>
    <t>ACC-10491</t>
  </si>
  <si>
    <t>CUST-50491</t>
  </si>
  <si>
    <t>Dominic Barton</t>
  </si>
  <si>
    <t>ACT-00654</t>
  </si>
  <si>
    <t>glenwilliams@example.com</t>
  </si>
  <si>
    <t>W1T 6QQ</t>
  </si>
  <si>
    <t>ACC-10492</t>
  </si>
  <si>
    <t>CUST-50492</t>
  </si>
  <si>
    <t>Dr Albert Woodward</t>
  </si>
  <si>
    <t>ACT-00655</t>
  </si>
  <si>
    <t>parryjemma@example.net</t>
  </si>
  <si>
    <t>CV44 6QP</t>
  </si>
  <si>
    <t>No</t>
  </si>
  <si>
    <t>ACT-00656</t>
  </si>
  <si>
    <t>ACC-10493</t>
  </si>
  <si>
    <t>CUST-50493</t>
  </si>
  <si>
    <t>David Newman-Anderson</t>
  </si>
  <si>
    <t>ACT-00657</t>
  </si>
  <si>
    <t>gcox@example.net</t>
  </si>
  <si>
    <t>L2 3UY</t>
  </si>
  <si>
    <t>ACC-10494</t>
  </si>
  <si>
    <t>CUST-50494</t>
  </si>
  <si>
    <t>Steven Brooks</t>
  </si>
  <si>
    <t>ACT-00658</t>
  </si>
  <si>
    <t>L5T 8XL</t>
  </si>
  <si>
    <t>ACC-10495</t>
  </si>
  <si>
    <t>CUST-50495</t>
  </si>
  <si>
    <t>Glenn Brooks</t>
  </si>
  <si>
    <t>ACT-00659</t>
  </si>
  <si>
    <t>pkemp@example.org</t>
  </si>
  <si>
    <t>ACT-00660</t>
  </si>
  <si>
    <t>E6A 3BH</t>
  </si>
  <si>
    <t>ACC-10496</t>
  </si>
  <si>
    <t>CUST-50496</t>
  </si>
  <si>
    <t>ACT-00661</t>
  </si>
  <si>
    <t>Katy Reid-Jones</t>
  </si>
  <si>
    <t>ACT-00662</t>
  </si>
  <si>
    <t>reesjoyce@example.net</t>
  </si>
  <si>
    <t>L4 7WW</t>
  </si>
  <si>
    <t>ACT-00663</t>
  </si>
  <si>
    <t>ACC-10497</t>
  </si>
  <si>
    <t>CUST-50497</t>
  </si>
  <si>
    <t>Valerie Clarke</t>
  </si>
  <si>
    <t>vanessa86@example.net</t>
  </si>
  <si>
    <t>ACT-00664</t>
  </si>
  <si>
    <t>CW0 0QR</t>
  </si>
  <si>
    <t>ACC-10498</t>
  </si>
  <si>
    <t>CUST-50498</t>
  </si>
  <si>
    <t>Eileen Watkins</t>
  </si>
  <si>
    <t>ACT-00665</t>
  </si>
  <si>
    <t>karl41@example.net</t>
  </si>
  <si>
    <t>HD8R 7ZX</t>
  </si>
  <si>
    <t>ACT-00666</t>
  </si>
  <si>
    <t>ACC-10499</t>
  </si>
  <si>
    <t>CUST-50499</t>
  </si>
  <si>
    <t>Mr Alexander Craig</t>
  </si>
  <si>
    <t>ACT-00667</t>
  </si>
  <si>
    <t>kingsamuel@example.org</t>
  </si>
  <si>
    <t>ZE85 2TP</t>
  </si>
  <si>
    <t>ACT-00668</t>
  </si>
  <si>
    <t>ACC-10500</t>
  </si>
  <si>
    <t>CUST-50500</t>
  </si>
  <si>
    <t>Louise Green-Lowe</t>
  </si>
  <si>
    <t>ACT-00669</t>
  </si>
  <si>
    <t>emma75@example.net</t>
  </si>
  <si>
    <t>DT9 6QQ</t>
  </si>
  <si>
    <t>ACC-10501</t>
  </si>
  <si>
    <t>CUST-50501</t>
  </si>
  <si>
    <t>Elliot Evans</t>
  </si>
  <si>
    <t>ACT-00670</t>
  </si>
  <si>
    <t>hannah94@example.org</t>
  </si>
  <si>
    <t>ACT-00671</t>
  </si>
  <si>
    <t>E4 2EA</t>
  </si>
  <si>
    <t>ACC-10502</t>
  </si>
  <si>
    <t>CUST-50502</t>
  </si>
  <si>
    <t>Mohammed Gibson</t>
  </si>
  <si>
    <t>ACT-00672</t>
  </si>
  <si>
    <t>hmoore@example.org</t>
  </si>
  <si>
    <t>M0U 0JG</t>
  </si>
  <si>
    <t>ACT-00673</t>
  </si>
  <si>
    <t>ACC-10503</t>
  </si>
  <si>
    <t>CUST-50503</t>
  </si>
  <si>
    <t>Mr Brian Foster</t>
  </si>
  <si>
    <t>ACT-00674</t>
  </si>
  <si>
    <t>M6 5FF</t>
  </si>
  <si>
    <t>ACC-10504</t>
  </si>
  <si>
    <t>CUST-50504</t>
  </si>
  <si>
    <t>Katherine White</t>
  </si>
  <si>
    <t>ACT-00675</t>
  </si>
  <si>
    <t>terencetaylor@example.net</t>
  </si>
  <si>
    <t>WS7W 5LY</t>
  </si>
  <si>
    <t>ACT-00676</t>
  </si>
  <si>
    <t>ACC-10505</t>
  </si>
  <si>
    <t>CUST-50505</t>
  </si>
  <si>
    <t>Julie Stephens</t>
  </si>
  <si>
    <t>claire50@example.org</t>
  </si>
  <si>
    <t>ACT-00677</t>
  </si>
  <si>
    <t>WR34 9HQ</t>
  </si>
  <si>
    <t>ACC-10506</t>
  </si>
  <si>
    <t>CUST-50506</t>
  </si>
  <si>
    <t>ACT-00678</t>
  </si>
  <si>
    <t>Tracy Burke</t>
  </si>
  <si>
    <t>natasha77@example.com</t>
  </si>
  <si>
    <t>ACT-00679</t>
  </si>
  <si>
    <t>BT9 5JB</t>
  </si>
  <si>
    <t>ACC-10507</t>
  </si>
  <si>
    <t>CUST-50507</t>
  </si>
  <si>
    <t>Shannon Green</t>
  </si>
  <si>
    <t>ACT-00680</t>
  </si>
  <si>
    <t>ekent@example.org</t>
  </si>
  <si>
    <t>YO4 7DF</t>
  </si>
  <si>
    <t>ACT-00681</t>
  </si>
  <si>
    <t>ACC-10508</t>
  </si>
  <si>
    <t>CUST-50508</t>
  </si>
  <si>
    <t>Ms Hilary Peacock</t>
  </si>
  <si>
    <t>ACT-00682</t>
  </si>
  <si>
    <t>nataliephillips@example.org</t>
  </si>
  <si>
    <t>ME2 6ZS</t>
  </si>
  <si>
    <t>ACT-00683</t>
  </si>
  <si>
    <t>ACC-10509</t>
  </si>
  <si>
    <t>CUST-50509</t>
  </si>
  <si>
    <t>Miss Grace Franklin</t>
  </si>
  <si>
    <t>ACT-00684</t>
  </si>
  <si>
    <t>LS1 4QG</t>
  </si>
  <si>
    <t>ACC-10510</t>
  </si>
  <si>
    <t>CUST-50510</t>
  </si>
  <si>
    <t>Dr Charlotte Roberts</t>
  </si>
  <si>
    <t>ACT-00685</t>
  </si>
  <si>
    <t>valeriebennett@example.org</t>
  </si>
  <si>
    <t>S2T 6XN</t>
  </si>
  <si>
    <t>ACT-00686</t>
  </si>
  <si>
    <t>ACC-10511</t>
  </si>
  <si>
    <t>CUST-50511</t>
  </si>
  <si>
    <t>Kelly Walker</t>
  </si>
  <si>
    <t>ACT-00687</t>
  </si>
  <si>
    <t>dmorgan@example.org</t>
  </si>
  <si>
    <t>RM64 3HG</t>
  </si>
  <si>
    <t>ACC-10512</t>
  </si>
  <si>
    <t>CUST-50512</t>
  </si>
  <si>
    <t>Dr Callum Jones</t>
  </si>
  <si>
    <t>ACT-00688</t>
  </si>
  <si>
    <t>jonathancook@example.com</t>
  </si>
  <si>
    <t>E86 5HT</t>
  </si>
  <si>
    <t>ACT-00689</t>
  </si>
  <si>
    <t>ACC-10513</t>
  </si>
  <si>
    <t>CUST-50513</t>
  </si>
  <si>
    <t>Miss Alexandra Preston</t>
  </si>
  <si>
    <t>carolyn40@example.org</t>
  </si>
  <si>
    <t>ACT-00690</t>
  </si>
  <si>
    <t>N5U 6GJ</t>
  </si>
  <si>
    <t>ACC-10514</t>
  </si>
  <si>
    <t>CUST-50514</t>
  </si>
  <si>
    <t>Dr Nathan Lawrence</t>
  </si>
  <si>
    <t>patrick69@example.org</t>
  </si>
  <si>
    <t>ACT-00691</t>
  </si>
  <si>
    <t>LD2 4UH</t>
  </si>
  <si>
    <t>ACC-10515</t>
  </si>
  <si>
    <t>CUST-50515</t>
  </si>
  <si>
    <t>Miss Tina Wilkinson</t>
  </si>
  <si>
    <t>ACT-00692</t>
  </si>
  <si>
    <t>vlamb@example.net</t>
  </si>
  <si>
    <t>ACT-00693</t>
  </si>
  <si>
    <t>L85 6FS</t>
  </si>
  <si>
    <t>ACT-00694</t>
  </si>
  <si>
    <t>ACC-10516</t>
  </si>
  <si>
    <t>CUST-50516</t>
  </si>
  <si>
    <t>Miss Kate Lloyd</t>
  </si>
  <si>
    <t>ACT-00695</t>
  </si>
  <si>
    <t>lhope@example.net</t>
  </si>
  <si>
    <t>G4E 3WN</t>
  </si>
  <si>
    <t>ACC-10517</t>
  </si>
  <si>
    <t>CUST-50517</t>
  </si>
  <si>
    <t>ACT-00696</t>
  </si>
  <si>
    <t>Beverley Jones</t>
  </si>
  <si>
    <t>wmyers@example.org</t>
  </si>
  <si>
    <t>ACT-00697</t>
  </si>
  <si>
    <t>W7 8HH</t>
  </si>
  <si>
    <t>ACC-10518</t>
  </si>
  <si>
    <t>CUST-50518</t>
  </si>
  <si>
    <t>Gareth Wilson</t>
  </si>
  <si>
    <t>ACT-00698</t>
  </si>
  <si>
    <t>thorntonjoel@example.org</t>
  </si>
  <si>
    <t>IM6 9DF</t>
  </si>
  <si>
    <t>ACC-10519</t>
  </si>
  <si>
    <t>ACT-00699</t>
  </si>
  <si>
    <t>CUST-50519</t>
  </si>
  <si>
    <t>Ashley Pearson</t>
  </si>
  <si>
    <t>zlong@example.com</t>
  </si>
  <si>
    <t>G0B 9TB</t>
  </si>
  <si>
    <t>ACT-00700</t>
  </si>
  <si>
    <t>ACC-10520</t>
  </si>
  <si>
    <t>CUST-50520</t>
  </si>
  <si>
    <t>Naomi Williams</t>
  </si>
  <si>
    <t>nwhite@example.org</t>
  </si>
  <si>
    <t>LE7 3YW</t>
  </si>
  <si>
    <t>ACT-00701</t>
  </si>
  <si>
    <t>ACC-10521</t>
  </si>
  <si>
    <t>CUST-50521</t>
  </si>
  <si>
    <t>Jay Gibson-Jones</t>
  </si>
  <si>
    <t>ACT-00702</t>
  </si>
  <si>
    <t>kathrynbaker@example.org</t>
  </si>
  <si>
    <t>G1 9AP</t>
  </si>
  <si>
    <t>ACC-10522</t>
  </si>
  <si>
    <t>CUST-50522</t>
  </si>
  <si>
    <t>Gerald Kent-Wright</t>
  </si>
  <si>
    <t>ACT-00703</t>
  </si>
  <si>
    <t>clive62@example.com</t>
  </si>
  <si>
    <t>SS3Y 4QX</t>
  </si>
  <si>
    <t>ACC-10523</t>
  </si>
  <si>
    <t>CUST-50523</t>
  </si>
  <si>
    <t>Paula Shepherd</t>
  </si>
  <si>
    <t>ACT-00704</t>
  </si>
  <si>
    <t>sam99@example.org</t>
  </si>
  <si>
    <t>CT8B 5SL</t>
  </si>
  <si>
    <t>ACC-10524</t>
  </si>
  <si>
    <t>CUST-50524</t>
  </si>
  <si>
    <t>ACT-00705</t>
  </si>
  <si>
    <t>Elizabeth Taylor</t>
  </si>
  <si>
    <t>kevinarmstrong@example.net</t>
  </si>
  <si>
    <t>M18 5YJ</t>
  </si>
  <si>
    <t>ACT-00706</t>
  </si>
  <si>
    <t>ACC-10525</t>
  </si>
  <si>
    <t>CUST-50525</t>
  </si>
  <si>
    <t>Dr Amanda Cook</t>
  </si>
  <si>
    <t>ACT-00707</t>
  </si>
  <si>
    <t>teresa00@example.com</t>
  </si>
  <si>
    <t>M0S 5AP</t>
  </si>
  <si>
    <t>ACT-00708</t>
  </si>
  <si>
    <t>ACC-10526</t>
  </si>
  <si>
    <t>CUST-50526</t>
  </si>
  <si>
    <t>Lewis Harvey</t>
  </si>
  <si>
    <t>ACT-00709</t>
  </si>
  <si>
    <t>E5E 3TE</t>
  </si>
  <si>
    <t>ACT-00710</t>
  </si>
  <si>
    <t>ACC-10527</t>
  </si>
  <si>
    <t>CUST-50527</t>
  </si>
  <si>
    <t>Dr Deborah Blackburn</t>
  </si>
  <si>
    <t>ACT-00711</t>
  </si>
  <si>
    <t>alandavis@example.net</t>
  </si>
  <si>
    <t>RG1 1NW</t>
  </si>
  <si>
    <t>ACC-10528</t>
  </si>
  <si>
    <t>CUST-50528</t>
  </si>
  <si>
    <t>Miss Shannon Perry</t>
  </si>
  <si>
    <t>ACT-00712</t>
  </si>
  <si>
    <t>rbrown@example.net</t>
  </si>
  <si>
    <t>CM8 5HN</t>
  </si>
  <si>
    <t>ACC-10529</t>
  </si>
  <si>
    <t>ACT-00713</t>
  </si>
  <si>
    <t>CUST-50529</t>
  </si>
  <si>
    <t>Mrs Danielle Murray</t>
  </si>
  <si>
    <t>victorhowells@example.com</t>
  </si>
  <si>
    <t>ACT-00714</t>
  </si>
  <si>
    <t>W93 9TP</t>
  </si>
  <si>
    <t>ACC-10530</t>
  </si>
  <si>
    <t>CUST-50530</t>
  </si>
  <si>
    <t>Luke Johnson</t>
  </si>
  <si>
    <t>ACT-00715</t>
  </si>
  <si>
    <t>L2 8XA</t>
  </si>
  <si>
    <t>ACT-00716</t>
  </si>
  <si>
    <t>ACC-10531</t>
  </si>
  <si>
    <t>CUST-50531</t>
  </si>
  <si>
    <t>John Clarke</t>
  </si>
  <si>
    <t>stephanie81@example.org</t>
  </si>
  <si>
    <t>ACT-00717</t>
  </si>
  <si>
    <t>W13 1HE</t>
  </si>
  <si>
    <t>ACC-10532</t>
  </si>
  <si>
    <t>CUST-50532</t>
  </si>
  <si>
    <t>Dr Suzanne Mistry</t>
  </si>
  <si>
    <t>ACT-00718</t>
  </si>
  <si>
    <t>msmith@example.net</t>
  </si>
  <si>
    <t>W4G 5DH</t>
  </si>
  <si>
    <t>ACT-00719</t>
  </si>
  <si>
    <t>ACC-10533</t>
  </si>
  <si>
    <t>CUST-50533</t>
  </si>
  <si>
    <t>Dawn Hodgson</t>
  </si>
  <si>
    <t>saundersbenjamin@example.org</t>
  </si>
  <si>
    <t>ACT-00720</t>
  </si>
  <si>
    <t>WD5 3FT</t>
  </si>
  <si>
    <t>ACC-10534</t>
  </si>
  <si>
    <t>CUST-50534</t>
  </si>
  <si>
    <t>Jordan Newton</t>
  </si>
  <si>
    <t>knighttracey@example.com</t>
  </si>
  <si>
    <t>ACT-00721</t>
  </si>
  <si>
    <t>IG3R 6QQ</t>
  </si>
  <si>
    <t>ACC-10535</t>
  </si>
  <si>
    <t>CUST-50535</t>
  </si>
  <si>
    <t>Dr Lydia Hardy</t>
  </si>
  <si>
    <t>ACT-00722</t>
  </si>
  <si>
    <t>cwinter@example.com</t>
  </si>
  <si>
    <t>W2 3LH</t>
  </si>
  <si>
    <t>ACC-10536</t>
  </si>
  <si>
    <t>CUST-50536</t>
  </si>
  <si>
    <t>George Hall</t>
  </si>
  <si>
    <t>bryantdiane@example.net</t>
  </si>
  <si>
    <t>RM3W 7YZ</t>
  </si>
  <si>
    <t>ACT-00723</t>
  </si>
  <si>
    <t>ACC-10537</t>
  </si>
  <si>
    <t>CUST-50537</t>
  </si>
  <si>
    <t>Cheryl Thomas</t>
  </si>
  <si>
    <t>ACT-00724</t>
  </si>
  <si>
    <t>greenjoyce@example.org</t>
  </si>
  <si>
    <t>E5 6AN</t>
  </si>
  <si>
    <t>ACC-10538</t>
  </si>
  <si>
    <t>CUST-50538</t>
  </si>
  <si>
    <t>Amanda Woodward</t>
  </si>
  <si>
    <t>ACT-00725</t>
  </si>
  <si>
    <t>brucebond@example.org</t>
  </si>
  <si>
    <t>G1 2GD</t>
  </si>
  <si>
    <t>ACT-00726</t>
  </si>
  <si>
    <t>ACC-10539</t>
  </si>
  <si>
    <t>CUST-50539</t>
  </si>
  <si>
    <t>Frances Smith</t>
  </si>
  <si>
    <t>david43@example.com</t>
  </si>
  <si>
    <t>ACT-00727</t>
  </si>
  <si>
    <t>HX82 4YU</t>
  </si>
  <si>
    <t>ACC-10540</t>
  </si>
  <si>
    <t>CUST-50540</t>
  </si>
  <si>
    <t>Jamie Chamberlain</t>
  </si>
  <si>
    <t>ACT-00728</t>
  </si>
  <si>
    <t>phillip18@example.net</t>
  </si>
  <si>
    <t>NG9Y 1BU</t>
  </si>
  <si>
    <t>ACC-10541</t>
  </si>
  <si>
    <t>CUST-50541</t>
  </si>
  <si>
    <t>Brett Phillips</t>
  </si>
  <si>
    <t>ACT-00729</t>
  </si>
  <si>
    <t>lawrence18@example.org</t>
  </si>
  <si>
    <t>S3A 5QL</t>
  </si>
  <si>
    <t>ACC-10542</t>
  </si>
  <si>
    <t>ACT-00730</t>
  </si>
  <si>
    <t>CUST-50542</t>
  </si>
  <si>
    <t>Hazel Parkin</t>
  </si>
  <si>
    <t>wshaw@example.com</t>
  </si>
  <si>
    <t>TR05 8UH</t>
  </si>
  <si>
    <t>ACT-00731</t>
  </si>
  <si>
    <t>ACC-10543</t>
  </si>
  <si>
    <t>CUST-50543</t>
  </si>
  <si>
    <t>Ms Lynda Humphries</t>
  </si>
  <si>
    <t>ACT-00732</t>
  </si>
  <si>
    <t>pattersonandrew@example.net</t>
  </si>
  <si>
    <t>PR29 4GQ</t>
  </si>
  <si>
    <t>ACC-10544</t>
  </si>
  <si>
    <t>ACT-00733</t>
  </si>
  <si>
    <t>CUST-50544</t>
  </si>
  <si>
    <t>Gail Smith</t>
  </si>
  <si>
    <t>ocarr@example.com</t>
  </si>
  <si>
    <t>TR5P 7NE</t>
  </si>
  <si>
    <t>ACT-00734</t>
  </si>
  <si>
    <t>ACC-10545</t>
  </si>
  <si>
    <t>CUST-50545</t>
  </si>
  <si>
    <t>Hugh Jones</t>
  </si>
  <si>
    <t>joan55@example.com</t>
  </si>
  <si>
    <t>ACT-00735</t>
  </si>
  <si>
    <t>KY0 6BS</t>
  </si>
  <si>
    <t>ACC-10546</t>
  </si>
  <si>
    <t>CUST-50546</t>
  </si>
  <si>
    <t>Adam Smith</t>
  </si>
  <si>
    <t>G5 4QL</t>
  </si>
  <si>
    <t>ACT-00736</t>
  </si>
  <si>
    <t>ACC-10547</t>
  </si>
  <si>
    <t>CUST-50547</t>
  </si>
  <si>
    <t>Mitchell Davis</t>
  </si>
  <si>
    <t>ACT-00737</t>
  </si>
  <si>
    <t>bdavis@example.com</t>
  </si>
  <si>
    <t>NR91 1XY</t>
  </si>
  <si>
    <t>ACC-10548</t>
  </si>
  <si>
    <t>CUST-50548</t>
  </si>
  <si>
    <t>Suzanne Howe</t>
  </si>
  <si>
    <t>ACT-00738</t>
  </si>
  <si>
    <t>harrisemma@example.net</t>
  </si>
  <si>
    <t>HX5 1RA</t>
  </si>
  <si>
    <t>ACC-10549</t>
  </si>
  <si>
    <t>CUST-50549</t>
  </si>
  <si>
    <t>Mrs Lydia O'Neill</t>
  </si>
  <si>
    <t>ACT-00739</t>
  </si>
  <si>
    <t>frederick53@example.net</t>
  </si>
  <si>
    <t>B7 7WG</t>
  </si>
  <si>
    <t>ACC-10550</t>
  </si>
  <si>
    <t>CUST-50550</t>
  </si>
  <si>
    <t>Eric Potter</t>
  </si>
  <si>
    <t>ACT-00740</t>
  </si>
  <si>
    <t>qdavidson@example.org</t>
  </si>
  <si>
    <t>B3U 8TP</t>
  </si>
  <si>
    <t>ACT-00741</t>
  </si>
  <si>
    <t>ACC-10551</t>
  </si>
  <si>
    <t>CUST-50551</t>
  </si>
  <si>
    <t>Joanne Goddard</t>
  </si>
  <si>
    <t>turnergareth@example.org</t>
  </si>
  <si>
    <t>E1 8PD</t>
  </si>
  <si>
    <t>ACT-00742</t>
  </si>
  <si>
    <t>ACC-10552</t>
  </si>
  <si>
    <t>CUST-50552</t>
  </si>
  <si>
    <t>Natasha King</t>
  </si>
  <si>
    <t>edwardbird@example.net</t>
  </si>
  <si>
    <t>N5B 7YF</t>
  </si>
  <si>
    <t>ACT-00743</t>
  </si>
  <si>
    <t>ACC-10553</t>
  </si>
  <si>
    <t>CUST-50553</t>
  </si>
  <si>
    <t>Frank Jones</t>
  </si>
  <si>
    <t>ACT-00744</t>
  </si>
  <si>
    <t>PH1E 0FY</t>
  </si>
  <si>
    <t>ACC-10554</t>
  </si>
  <si>
    <t>CUST-50554</t>
  </si>
  <si>
    <t>Dr Stacey Lee</t>
  </si>
  <si>
    <t>ACT-00745</t>
  </si>
  <si>
    <t>joel85@example.com</t>
  </si>
  <si>
    <t>EH2 3JY</t>
  </si>
  <si>
    <t>ACC-10555</t>
  </si>
  <si>
    <t>CUST-50555</t>
  </si>
  <si>
    <t>Dr Gavin Slater</t>
  </si>
  <si>
    <t>ACT-00746</t>
  </si>
  <si>
    <t>hbrown@example.org</t>
  </si>
  <si>
    <t>SR7 4FU</t>
  </si>
  <si>
    <t>ACT-00747</t>
  </si>
  <si>
    <t>ACC-10556</t>
  </si>
  <si>
    <t>CUST-50556</t>
  </si>
  <si>
    <t>Barbara Schofield</t>
  </si>
  <si>
    <t>dianadean@example.org</t>
  </si>
  <si>
    <t>ACT-00748</t>
  </si>
  <si>
    <t>HG6 3FN</t>
  </si>
  <si>
    <t>ACC-10557</t>
  </si>
  <si>
    <t>CUST-50557</t>
  </si>
  <si>
    <t>Charlene Nicholson-Martin</t>
  </si>
  <si>
    <t>ACT-00749</t>
  </si>
  <si>
    <t>barnesgail@example.net</t>
  </si>
  <si>
    <t>WA9 7DZ</t>
  </si>
  <si>
    <t>ACT-00750</t>
  </si>
  <si>
    <t>ACC-10558</t>
  </si>
  <si>
    <t>CUST-50558</t>
  </si>
  <si>
    <t>Harry Brown</t>
  </si>
  <si>
    <t>shannonjones@example.net</t>
  </si>
  <si>
    <t>L5B 3FP</t>
  </si>
  <si>
    <t>ACT-00751</t>
  </si>
  <si>
    <t>ACC-10559</t>
  </si>
  <si>
    <t>CUST-50559</t>
  </si>
  <si>
    <t>Dr Russell Bishop</t>
  </si>
  <si>
    <t>maryclark@example.net</t>
  </si>
  <si>
    <t>ACT-00752</t>
  </si>
  <si>
    <t>S32 7GY</t>
  </si>
  <si>
    <t>ACC-10560</t>
  </si>
  <si>
    <t>CUST-50560</t>
  </si>
  <si>
    <t>Alison Richards</t>
  </si>
  <si>
    <t>ACT-00753</t>
  </si>
  <si>
    <t>glenwright@example.org</t>
  </si>
  <si>
    <t>HU23 3JD</t>
  </si>
  <si>
    <t>ACC-10561</t>
  </si>
  <si>
    <t>CUST-50561</t>
  </si>
  <si>
    <t>Jemma Ali</t>
  </si>
  <si>
    <t>ACT-00754</t>
  </si>
  <si>
    <t>dennis52@example.com</t>
  </si>
  <si>
    <t>GU70 2EP</t>
  </si>
  <si>
    <t>ACC-10562</t>
  </si>
  <si>
    <t>CUST-50562</t>
  </si>
  <si>
    <t>Mr Christopher Parker</t>
  </si>
  <si>
    <t>ACT-00755</t>
  </si>
  <si>
    <t>kirstyjenkins@example.net</t>
  </si>
  <si>
    <t>E6 1QZ</t>
  </si>
  <si>
    <t>ACC-10563</t>
  </si>
  <si>
    <t>CUST-50563</t>
  </si>
  <si>
    <t>Leslie Turnbull</t>
  </si>
  <si>
    <t>ACT-00756</t>
  </si>
  <si>
    <t>helen15@example.net</t>
  </si>
  <si>
    <t>L52 5SP</t>
  </si>
  <si>
    <t>ACT-00757</t>
  </si>
  <si>
    <t>ACC-10564</t>
  </si>
  <si>
    <t>CUST-50564</t>
  </si>
  <si>
    <t>Jasmine Hammond</t>
  </si>
  <si>
    <t>bethanynewton@example.net</t>
  </si>
  <si>
    <t>ACT-00758</t>
  </si>
  <si>
    <t>G4F 7FU</t>
  </si>
  <si>
    <t>ACC-10565</t>
  </si>
  <si>
    <t>CUST-50565</t>
  </si>
  <si>
    <t>Graeme Brookes-Burns</t>
  </si>
  <si>
    <t>ACT-00759</t>
  </si>
  <si>
    <t>lawleonard@example.org</t>
  </si>
  <si>
    <t>ML01 5AJ</t>
  </si>
  <si>
    <t>ACC-10566</t>
  </si>
  <si>
    <t>CUST-50566</t>
  </si>
  <si>
    <t>Bethan Martin-Richardson</t>
  </si>
  <si>
    <t>ACT-00760</t>
  </si>
  <si>
    <t>tcharlton@example.org</t>
  </si>
  <si>
    <t>ML2 5WS</t>
  </si>
  <si>
    <t>ACC-10567</t>
  </si>
  <si>
    <t>CUST-50567</t>
  </si>
  <si>
    <t>Georgina Harrison</t>
  </si>
  <si>
    <t>turnermartin@example.org</t>
  </si>
  <si>
    <t>CV1 6DW</t>
  </si>
  <si>
    <t>ACT-00761</t>
  </si>
  <si>
    <t>ACC-10568</t>
  </si>
  <si>
    <t>CUST-50568</t>
  </si>
  <si>
    <t>Colin Brown</t>
  </si>
  <si>
    <t>longshannon@example.net</t>
  </si>
  <si>
    <t>L1D 6JG</t>
  </si>
  <si>
    <t>ACT-00762</t>
  </si>
  <si>
    <t>ACC-10569</t>
  </si>
  <si>
    <t>CUST-50569</t>
  </si>
  <si>
    <t>Jack Hart</t>
  </si>
  <si>
    <t>pgarner@example.net</t>
  </si>
  <si>
    <t>S29 7RA</t>
  </si>
  <si>
    <t>ACT-00763</t>
  </si>
  <si>
    <t>ACC-10570</t>
  </si>
  <si>
    <t>CUST-50570</t>
  </si>
  <si>
    <t>Miss Amy Gray</t>
  </si>
  <si>
    <t>ACT-00764</t>
  </si>
  <si>
    <t>paulabrown@example.org</t>
  </si>
  <si>
    <t>B25 2EP</t>
  </si>
  <si>
    <t>ACT-00765</t>
  </si>
  <si>
    <t>ACT-00766</t>
  </si>
  <si>
    <t>ACT-00767</t>
  </si>
  <si>
    <t>ACT-00768</t>
  </si>
  <si>
    <t>ACC-10571</t>
  </si>
  <si>
    <t>CUST-50571</t>
  </si>
  <si>
    <t>Diana Barker</t>
  </si>
  <si>
    <t>jenna53@example.org</t>
  </si>
  <si>
    <t>ACT-00769</t>
  </si>
  <si>
    <t>N70 4UG</t>
  </si>
  <si>
    <t>ACC-10572</t>
  </si>
  <si>
    <t>CUST-50572</t>
  </si>
  <si>
    <t>Jake Manning</t>
  </si>
  <si>
    <t>ACT-00770</t>
  </si>
  <si>
    <t>marie08@example.com</t>
  </si>
  <si>
    <t>HU6 2LX</t>
  </si>
  <si>
    <t>ACC-10573</t>
  </si>
  <si>
    <t>CUST-50573</t>
  </si>
  <si>
    <t>Mandy Naylor</t>
  </si>
  <si>
    <t>ACT-00771</t>
  </si>
  <si>
    <t>wayne35@example.org</t>
  </si>
  <si>
    <t>LA9 3NH</t>
  </si>
  <si>
    <t>ACC-10574</t>
  </si>
  <si>
    <t>CUST-50574</t>
  </si>
  <si>
    <t>Derek Porter</t>
  </si>
  <si>
    <t>pbarrett@example.net</t>
  </si>
  <si>
    <t>ACT-00772</t>
  </si>
  <si>
    <t>W6 7SZ</t>
  </si>
  <si>
    <t>ACC-10575</t>
  </si>
  <si>
    <t>CUST-50575</t>
  </si>
  <si>
    <t>Shaun Kirk</t>
  </si>
  <si>
    <t>brian67@example.org</t>
  </si>
  <si>
    <t>M4 1EJ</t>
  </si>
  <si>
    <t>ACT-00773</t>
  </si>
  <si>
    <t>ACC-10576</t>
  </si>
  <si>
    <t>CUST-50576</t>
  </si>
  <si>
    <t>Chloe Saunders</t>
  </si>
  <si>
    <t>ACT-00774</t>
  </si>
  <si>
    <t>alex39@example.com</t>
  </si>
  <si>
    <t>NE4P 1WR</t>
  </si>
  <si>
    <t>ACC-10577</t>
  </si>
  <si>
    <t>CUST-50577</t>
  </si>
  <si>
    <t>Nicola Bartlett</t>
  </si>
  <si>
    <t>ACT-00775</t>
  </si>
  <si>
    <t>harrisleonard@example.org</t>
  </si>
  <si>
    <t>DN06 7QH</t>
  </si>
  <si>
    <t>ACC-10578</t>
  </si>
  <si>
    <t>ACT-00776</t>
  </si>
  <si>
    <t>CUST-50578</t>
  </si>
  <si>
    <t>Katherine Simpson-Holmes</t>
  </si>
  <si>
    <t>woodpaul@example.com</t>
  </si>
  <si>
    <t>HS5 4GG</t>
  </si>
  <si>
    <t>ACC-10579</t>
  </si>
  <si>
    <t>CUST-50579</t>
  </si>
  <si>
    <t>Mrs Carly Jackson</t>
  </si>
  <si>
    <t>ACT-00777</t>
  </si>
  <si>
    <t>griffingeorge@example.net</t>
  </si>
  <si>
    <t>M3 2GY</t>
  </si>
  <si>
    <t>ACC-10580</t>
  </si>
  <si>
    <t>CUST-50580</t>
  </si>
  <si>
    <t>Scott Cunningham-Evans</t>
  </si>
  <si>
    <t>keithtaylor@example.net</t>
  </si>
  <si>
    <t>WV26 3JE</t>
  </si>
  <si>
    <t>ACT-00778</t>
  </si>
  <si>
    <t>ACC-10581</t>
  </si>
  <si>
    <t>CUST-50581</t>
  </si>
  <si>
    <t>Shannon Pickering-Bowen</t>
  </si>
  <si>
    <t>oliverkatie@example.com</t>
  </si>
  <si>
    <t>ACT-00779</t>
  </si>
  <si>
    <t>B4K 9BZ</t>
  </si>
  <si>
    <t>ACC-10582</t>
  </si>
  <si>
    <t>CUST-50582</t>
  </si>
  <si>
    <t>Stephen Dean-Wallace</t>
  </si>
  <si>
    <t>joshuarhodes@example.net</t>
  </si>
  <si>
    <t>L7J 3GW</t>
  </si>
  <si>
    <t>ACT-00780</t>
  </si>
  <si>
    <t>ACC-10583</t>
  </si>
  <si>
    <t>CUST-50583</t>
  </si>
  <si>
    <t>Elliott Banks</t>
  </si>
  <si>
    <t>lowehoward@example.org</t>
  </si>
  <si>
    <t>WD8 8YY</t>
  </si>
  <si>
    <t>ACC-10584</t>
  </si>
  <si>
    <t>CUST-50584</t>
  </si>
  <si>
    <t>Ms Rachel Barlow</t>
  </si>
  <si>
    <t>ACT-00781</t>
  </si>
  <si>
    <t>jillblackburn@example.com</t>
  </si>
  <si>
    <t>ME27 1XT</t>
  </si>
  <si>
    <t>ACC-10585</t>
  </si>
  <si>
    <t>CUST-50585</t>
  </si>
  <si>
    <t>Angela Smith</t>
  </si>
  <si>
    <t>ACT-00782</t>
  </si>
  <si>
    <t>josh56@example.org</t>
  </si>
  <si>
    <t>M5T 0QQ</t>
  </si>
  <si>
    <t>ACC-10586</t>
  </si>
  <si>
    <t>CUST-50586</t>
  </si>
  <si>
    <t>Roger Bishop</t>
  </si>
  <si>
    <t>bhowarth@example.org</t>
  </si>
  <si>
    <t>B32 0HL</t>
  </si>
  <si>
    <t>ACT-00783</t>
  </si>
  <si>
    <t>ACC-10587</t>
  </si>
  <si>
    <t>CUST-50587</t>
  </si>
  <si>
    <t>Reece Hancock</t>
  </si>
  <si>
    <t>yellis@example.net</t>
  </si>
  <si>
    <t>PH95 3FJ</t>
  </si>
  <si>
    <t>ACT-00784</t>
  </si>
  <si>
    <t>ACC-10588</t>
  </si>
  <si>
    <t>CUST-50588</t>
  </si>
  <si>
    <t>Justin Haynes-Fox</t>
  </si>
  <si>
    <t>marianheath@example.com</t>
  </si>
  <si>
    <t>EC7 4FA</t>
  </si>
  <si>
    <t>ACT-00785</t>
  </si>
  <si>
    <t>ACC-10589</t>
  </si>
  <si>
    <t>CUST-50589</t>
  </si>
  <si>
    <t>Denise Begum-Thomas</t>
  </si>
  <si>
    <t>joseph63@example.net</t>
  </si>
  <si>
    <t>GL27 9WF</t>
  </si>
  <si>
    <t>ACT-00786</t>
  </si>
  <si>
    <t>ACC-10590</t>
  </si>
  <si>
    <t>CUST-50590</t>
  </si>
  <si>
    <t>Charlie Smith</t>
  </si>
  <si>
    <t>hollieevans@example.net</t>
  </si>
  <si>
    <t>BN1 8YQ</t>
  </si>
  <si>
    <t>ACT-00787</t>
  </si>
  <si>
    <t>ACC-10591</t>
  </si>
  <si>
    <t>CUST-50591</t>
  </si>
  <si>
    <t>Rachael Bartlett-Bennett</t>
  </si>
  <si>
    <t>ACT-00788</t>
  </si>
  <si>
    <t>lesliefisher@example.org</t>
  </si>
  <si>
    <t>S93 0TH</t>
  </si>
  <si>
    <t>ACC-10592</t>
  </si>
  <si>
    <t>CUST-50592</t>
  </si>
  <si>
    <t>Joel Rogers</t>
  </si>
  <si>
    <t>ACT-00789</t>
  </si>
  <si>
    <t>norrismargaret@example.org</t>
  </si>
  <si>
    <t>SG1 9AD</t>
  </si>
  <si>
    <t>ACC-10593</t>
  </si>
  <si>
    <t>CUST-50593</t>
  </si>
  <si>
    <t>Leanne Richards</t>
  </si>
  <si>
    <t>ACT-00790</t>
  </si>
  <si>
    <t>lee57@example.com</t>
  </si>
  <si>
    <t>E19 0RR</t>
  </si>
  <si>
    <t>ACT-00791</t>
  </si>
  <si>
    <t>ACC-10594</t>
  </si>
  <si>
    <t>CUST-50594</t>
  </si>
  <si>
    <t>Justin Brown-Shepherd</t>
  </si>
  <si>
    <t>vwalker@example.com</t>
  </si>
  <si>
    <t>ACT-00792</t>
  </si>
  <si>
    <t>E5D 6JB</t>
  </si>
  <si>
    <t>ACC-10595</t>
  </si>
  <si>
    <t>CUST-50595</t>
  </si>
  <si>
    <t>Helen Davies</t>
  </si>
  <si>
    <t>ACT-00793</t>
  </si>
  <si>
    <t>ashleigh98@example.net</t>
  </si>
  <si>
    <t>CT13 4TG</t>
  </si>
  <si>
    <t>ACC-10596</t>
  </si>
  <si>
    <t>CUST-50596</t>
  </si>
  <si>
    <t>Mrs Judith Kaur</t>
  </si>
  <si>
    <t>ACT-00794</t>
  </si>
  <si>
    <t>clarktracy@example.com</t>
  </si>
  <si>
    <t>KY5W 4PH</t>
  </si>
  <si>
    <t>ACC-10597</t>
  </si>
  <si>
    <t>CUST-50597</t>
  </si>
  <si>
    <t>Hannah Dickinson</t>
  </si>
  <si>
    <t>ACT-00795</t>
  </si>
  <si>
    <t>anna86@example.net</t>
  </si>
  <si>
    <t>TR7W 7HF</t>
  </si>
  <si>
    <t>ACT-00796</t>
  </si>
  <si>
    <t>ACC-10598</t>
  </si>
  <si>
    <t>CUST-50598</t>
  </si>
  <si>
    <t>Dylan Akhtar</t>
  </si>
  <si>
    <t>hannah37@example.org</t>
  </si>
  <si>
    <t>ACT-00797</t>
  </si>
  <si>
    <t>GL6A 4WP</t>
  </si>
  <si>
    <t>ACC-10599</t>
  </si>
  <si>
    <t>CUST-50599</t>
  </si>
  <si>
    <t>Bernard Martin</t>
  </si>
  <si>
    <t>ACT-00798</t>
  </si>
  <si>
    <t>RM39 2SZ</t>
  </si>
  <si>
    <t>ACC-10600</t>
  </si>
  <si>
    <t>CUST-50600</t>
  </si>
  <si>
    <t>Jane Allan-Wilson</t>
  </si>
  <si>
    <t>legal watch</t>
  </si>
  <si>
    <t>ACT-00799</t>
  </si>
  <si>
    <t>ebrown@example.com</t>
  </si>
  <si>
    <t>PO41 3ZP</t>
  </si>
  <si>
    <t>ACC-10601</t>
  </si>
  <si>
    <t>CUST-50601</t>
  </si>
  <si>
    <t>Kathryn Dickinson</t>
  </si>
  <si>
    <t>ACT-00800</t>
  </si>
  <si>
    <t>michellegray@example.com</t>
  </si>
  <si>
    <t>WV2 7AD</t>
  </si>
  <si>
    <t>ACT-00801</t>
  </si>
  <si>
    <t>ACC-10602</t>
  </si>
  <si>
    <t>CUST-50602</t>
  </si>
  <si>
    <t>Leanne Carpenter</t>
  </si>
  <si>
    <t>ACT-00802</t>
  </si>
  <si>
    <t>simon74@example.com</t>
  </si>
  <si>
    <t>E5H 8YH</t>
  </si>
  <si>
    <t>ACC-10603</t>
  </si>
  <si>
    <t>ACT-00803</t>
  </si>
  <si>
    <t>CUST-50603</t>
  </si>
  <si>
    <t>Toby Ford-Morgan</t>
  </si>
  <si>
    <t>jayneberry@example.net</t>
  </si>
  <si>
    <t>ACT-00804</t>
  </si>
  <si>
    <t>B14 6NJ</t>
  </si>
  <si>
    <t>ACC-10604</t>
  </si>
  <si>
    <t>CUST-50604</t>
  </si>
  <si>
    <t>Dawn Glover-Morris</t>
  </si>
  <si>
    <t>rogerjones@example.net</t>
  </si>
  <si>
    <t>ACT-00805</t>
  </si>
  <si>
    <t>CF5 1HD</t>
  </si>
  <si>
    <t>ACC-10605</t>
  </si>
  <si>
    <t>CUST-50605</t>
  </si>
  <si>
    <t>Trevor Walker</t>
  </si>
  <si>
    <t>hazel79@example.com</t>
  </si>
  <si>
    <t>TW79 6LJ</t>
  </si>
  <si>
    <t>ACT-00806</t>
  </si>
  <si>
    <t>ACC-10606</t>
  </si>
  <si>
    <t>CUST-50606</t>
  </si>
  <si>
    <t>Neil Curtis</t>
  </si>
  <si>
    <t>paulferguson@example.com</t>
  </si>
  <si>
    <t>G3A 8DA</t>
  </si>
  <si>
    <t>ACC-10607</t>
  </si>
  <si>
    <t>CUST-50607</t>
  </si>
  <si>
    <t>David Henry</t>
  </si>
  <si>
    <t>ACT-00807</t>
  </si>
  <si>
    <t>hollie95@example.net</t>
  </si>
  <si>
    <t>E5C 6TY</t>
  </si>
  <si>
    <t>ACT-00808</t>
  </si>
  <si>
    <t>ACC-10608</t>
  </si>
  <si>
    <t>CUST-50608</t>
  </si>
  <si>
    <t>Bruce Wilson-Allen</t>
  </si>
  <si>
    <t>qthompson@example.net</t>
  </si>
  <si>
    <t>B6 9GG</t>
  </si>
  <si>
    <t>ACT-00809</t>
  </si>
  <si>
    <t>ACC-10609</t>
  </si>
  <si>
    <t>CUST-50609</t>
  </si>
  <si>
    <t>Natasha Smith-Jordan</t>
  </si>
  <si>
    <t>elliottpaul@example.com</t>
  </si>
  <si>
    <t>L3 6SB</t>
  </si>
  <si>
    <t>ACT-00810</t>
  </si>
  <si>
    <t>ACC-10610</t>
  </si>
  <si>
    <t>CUST-50610</t>
  </si>
  <si>
    <t>Lauren Murphy</t>
  </si>
  <si>
    <t>iwilkinson@example.net</t>
  </si>
  <si>
    <t>N0 2PN</t>
  </si>
  <si>
    <t>ACT-00811</t>
  </si>
  <si>
    <t>ACC-10611</t>
  </si>
  <si>
    <t>CUST-50611</t>
  </si>
  <si>
    <t>Adrian Short</t>
  </si>
  <si>
    <t>KA0W 9BN</t>
  </si>
  <si>
    <t>ACT-00812</t>
  </si>
  <si>
    <t>ACC-10612</t>
  </si>
  <si>
    <t>CUST-50612</t>
  </si>
  <si>
    <t>Leigh Thompson</t>
  </si>
  <si>
    <t>ACT-00813</t>
  </si>
  <si>
    <t>DY5 1TS</t>
  </si>
  <si>
    <t>ACC-10613</t>
  </si>
  <si>
    <t>CUST-50613</t>
  </si>
  <si>
    <t>Amanda Patterson</t>
  </si>
  <si>
    <t>ACT-00814</t>
  </si>
  <si>
    <t>cchambers@example.org</t>
  </si>
  <si>
    <t>CM34 6JE</t>
  </si>
  <si>
    <t>ACC-10614</t>
  </si>
  <si>
    <t>CUST-50614</t>
  </si>
  <si>
    <t>Francis Smith</t>
  </si>
  <si>
    <t>ACT-00815</t>
  </si>
  <si>
    <t>bentleyelliot@example.com</t>
  </si>
  <si>
    <t>M5 3RR</t>
  </si>
  <si>
    <t>ACC-10615</t>
  </si>
  <si>
    <t>ACT-00816</t>
  </si>
  <si>
    <t>CUST-50615</t>
  </si>
  <si>
    <t>Lorraine Moore-Nolan</t>
  </si>
  <si>
    <t>brucedonna@example.com</t>
  </si>
  <si>
    <t>S95 4SL</t>
  </si>
  <si>
    <t>ACT-00817</t>
  </si>
  <si>
    <t>ACC-10616</t>
  </si>
  <si>
    <t>CUST-50616</t>
  </si>
  <si>
    <t>Henry Wells-Mills</t>
  </si>
  <si>
    <t>ysims@example.org</t>
  </si>
  <si>
    <t>TF9B 1NY</t>
  </si>
  <si>
    <t>ACC-10617</t>
  </si>
  <si>
    <t>CUST-50617</t>
  </si>
  <si>
    <t>ACT-00818</t>
  </si>
  <si>
    <t>Bernard Holt</t>
  </si>
  <si>
    <t>francis47@example.org</t>
  </si>
  <si>
    <t>E35 7QU</t>
  </si>
  <si>
    <t>ACT-00819</t>
  </si>
  <si>
    <t>ACC-10618</t>
  </si>
  <si>
    <t>CUST-50618</t>
  </si>
  <si>
    <t>Leigh George</t>
  </si>
  <si>
    <t>uhunter@example.org</t>
  </si>
  <si>
    <t>LA7R 6JH</t>
  </si>
  <si>
    <t>ACT-00820</t>
  </si>
  <si>
    <t>ACC-10619</t>
  </si>
  <si>
    <t>CUST-50619</t>
  </si>
  <si>
    <t>Declan Patel</t>
  </si>
  <si>
    <t>ACT-00821</t>
  </si>
  <si>
    <t>ugrant@example.org</t>
  </si>
  <si>
    <t>G5G 2SF</t>
  </si>
  <si>
    <t>ACC-10620</t>
  </si>
  <si>
    <t>CUST-50620</t>
  </si>
  <si>
    <t>ACT-00822</t>
  </si>
  <si>
    <t>Dr Bradley Elliott</t>
  </si>
  <si>
    <t>jill01@example.org</t>
  </si>
  <si>
    <t>G14 8DD</t>
  </si>
  <si>
    <t>ACT-00823</t>
  </si>
  <si>
    <t>ACC-10621</t>
  </si>
  <si>
    <t>CUST-50621</t>
  </si>
  <si>
    <t>Mr Gary Harrison</t>
  </si>
  <si>
    <t>ACT-00824</t>
  </si>
  <si>
    <t>palmersuzanne@example.com</t>
  </si>
  <si>
    <t>G65 2JP</t>
  </si>
  <si>
    <t>ACC-10622</t>
  </si>
  <si>
    <t>CUST-50622</t>
  </si>
  <si>
    <t>Miss Alexandra Wallis</t>
  </si>
  <si>
    <t>ACT-00825</t>
  </si>
  <si>
    <t>albert62@example.org</t>
  </si>
  <si>
    <t>PE8W 2FU</t>
  </si>
  <si>
    <t>ACT-00826</t>
  </si>
  <si>
    <t>ACC-10623</t>
  </si>
  <si>
    <t>CUST-50623</t>
  </si>
  <si>
    <t>Joyce Blake</t>
  </si>
  <si>
    <t>kempglenn@example.org</t>
  </si>
  <si>
    <t>ACT-00827</t>
  </si>
  <si>
    <t>M13 1YH</t>
  </si>
  <si>
    <t>ACC-10624</t>
  </si>
  <si>
    <t>CUST-50624</t>
  </si>
  <si>
    <t>Gareth Davey</t>
  </si>
  <si>
    <t>ACT-00828</t>
  </si>
  <si>
    <t>fsmith@example.net</t>
  </si>
  <si>
    <t>G9 7BL</t>
  </si>
  <si>
    <t>ACT-00829</t>
  </si>
  <si>
    <t>ACC-10625</t>
  </si>
  <si>
    <t>CUST-50625</t>
  </si>
  <si>
    <t>Jane Jones</t>
  </si>
  <si>
    <t>debramills@example.net</t>
  </si>
  <si>
    <t>ACT-00830</t>
  </si>
  <si>
    <t>W98 0HP</t>
  </si>
  <si>
    <t>ACC-10626</t>
  </si>
  <si>
    <t>CUST-50626</t>
  </si>
  <si>
    <t>Geoffrey Wood</t>
  </si>
  <si>
    <t>ACT-00831</t>
  </si>
  <si>
    <t>ACT-00832</t>
  </si>
  <si>
    <t>samantha12@example.com</t>
  </si>
  <si>
    <t>L98 0LR</t>
  </si>
  <si>
    <t>ACC-10627</t>
  </si>
  <si>
    <t>CUST-50627</t>
  </si>
  <si>
    <t>John Kirk-Lee</t>
  </si>
  <si>
    <t>ACT-00833</t>
  </si>
  <si>
    <t>andersondiana@example.com</t>
  </si>
  <si>
    <t>W79 7AL</t>
  </si>
  <si>
    <t>ACT-00834</t>
  </si>
  <si>
    <t>ACC-10628</t>
  </si>
  <si>
    <t>CUST-50628</t>
  </si>
  <si>
    <t>Megan Nicholson</t>
  </si>
  <si>
    <t>ACT-00835</t>
  </si>
  <si>
    <t>ejones@example.org</t>
  </si>
  <si>
    <t>M1W 9JL</t>
  </si>
  <si>
    <t>ACC-10629</t>
  </si>
  <si>
    <t>ACT-00836</t>
  </si>
  <si>
    <t>CUST-50629</t>
  </si>
  <si>
    <t>Dr Christine Sullivan</t>
  </si>
  <si>
    <t>fallen@example.org</t>
  </si>
  <si>
    <t>ACT-00837</t>
  </si>
  <si>
    <t>W05 0TJ</t>
  </si>
  <si>
    <t>ACC-10630</t>
  </si>
  <si>
    <t>CUST-50630</t>
  </si>
  <si>
    <t>Maureen Kelly</t>
  </si>
  <si>
    <t>ACT-00838</t>
  </si>
  <si>
    <t>mooregraham@example.net</t>
  </si>
  <si>
    <t>G63 8AF</t>
  </si>
  <si>
    <t>ACT-00839</t>
  </si>
  <si>
    <t>ACC-10631</t>
  </si>
  <si>
    <t>CUST-50631</t>
  </si>
  <si>
    <t>Lydia Robinson</t>
  </si>
  <si>
    <t>ACT-00840</t>
  </si>
  <si>
    <t>cbaker@example.com</t>
  </si>
  <si>
    <t>RM6 1LF</t>
  </si>
  <si>
    <t>ACC-10632</t>
  </si>
  <si>
    <t>CUST-50632</t>
  </si>
  <si>
    <t>ACT-00841</t>
  </si>
  <si>
    <t>Robin Reed-Hughes</t>
  </si>
  <si>
    <t>oliviaclark@example.com</t>
  </si>
  <si>
    <t>BB56 1SH</t>
  </si>
  <si>
    <t>ACT-00842</t>
  </si>
  <si>
    <t>ACC-10633</t>
  </si>
  <si>
    <t>CUST-50633</t>
  </si>
  <si>
    <t>Andrew Mahmood</t>
  </si>
  <si>
    <t>ACT-00843</t>
  </si>
  <si>
    <t>parkerjoel@example.net</t>
  </si>
  <si>
    <t>SY8X 6YN</t>
  </si>
  <si>
    <t>ACT-00844</t>
  </si>
  <si>
    <t>ACC-10634</t>
  </si>
  <si>
    <t>CUST-50634</t>
  </si>
  <si>
    <t>Liam Mann</t>
  </si>
  <si>
    <t>ACT-00845</t>
  </si>
  <si>
    <t>lucyrandall@example.net</t>
  </si>
  <si>
    <t>M4 5RY</t>
  </si>
  <si>
    <t>ACC-10635</t>
  </si>
  <si>
    <t>CUST-50635</t>
  </si>
  <si>
    <t>ACT-00846</t>
  </si>
  <si>
    <t>Melanie Carpenter</t>
  </si>
  <si>
    <t>wayne41@example.org</t>
  </si>
  <si>
    <t>WS47 9UQ</t>
  </si>
  <si>
    <t>ACT-00847</t>
  </si>
  <si>
    <t>ACC-10636</t>
  </si>
  <si>
    <t>CUST-50636</t>
  </si>
  <si>
    <t>Sara Gilbert</t>
  </si>
  <si>
    <t>ACT-00848</t>
  </si>
  <si>
    <t>alanberry@example.net</t>
  </si>
  <si>
    <t>L42 1ZF</t>
  </si>
  <si>
    <t>ACT-00849</t>
  </si>
  <si>
    <t>ACC-10637</t>
  </si>
  <si>
    <t>CUST-50637</t>
  </si>
  <si>
    <t>Joyce Jennings-Wright</t>
  </si>
  <si>
    <t>E2 9WW</t>
  </si>
  <si>
    <t>ACT-00850</t>
  </si>
  <si>
    <t>ACC-10638</t>
  </si>
  <si>
    <t>CUST-50638</t>
  </si>
  <si>
    <t>Lynn Taylor-Brown</t>
  </si>
  <si>
    <t>ACT-00851</t>
  </si>
  <si>
    <t>jade02@example.net</t>
  </si>
  <si>
    <t>G1W 1SH</t>
  </si>
  <si>
    <t>ACC-10639</t>
  </si>
  <si>
    <t>ACT-00852</t>
  </si>
  <si>
    <t>CUST-50639</t>
  </si>
  <si>
    <t>Miss Marian Doherty</t>
  </si>
  <si>
    <t>joel31@example.net</t>
  </si>
  <si>
    <t>ACT-00853</t>
  </si>
  <si>
    <t>E7U 9BL</t>
  </si>
  <si>
    <t>ACC-10640</t>
  </si>
  <si>
    <t>CUST-50640</t>
  </si>
  <si>
    <t>Ms Marilyn Smith</t>
  </si>
  <si>
    <t>ACT-00854</t>
  </si>
  <si>
    <t>frasergeorge@example.com</t>
  </si>
  <si>
    <t>TF38 5QG</t>
  </si>
  <si>
    <t>ACT-00855</t>
  </si>
  <si>
    <t>ACC-10641</t>
  </si>
  <si>
    <t>CUST-50641</t>
  </si>
  <si>
    <t>Ms Claire Davies</t>
  </si>
  <si>
    <t>rachaelthompson@example.net</t>
  </si>
  <si>
    <t>W0A 5DQ</t>
  </si>
  <si>
    <t>ACC-10642</t>
  </si>
  <si>
    <t>ACT-00856</t>
  </si>
  <si>
    <t>CUST-50642</t>
  </si>
  <si>
    <t>Dr Abdul Murray</t>
  </si>
  <si>
    <t>roger08@example.com</t>
  </si>
  <si>
    <t>ACT-00857</t>
  </si>
  <si>
    <t>SA21 2WX</t>
  </si>
  <si>
    <t>ACC-10643</t>
  </si>
  <si>
    <t>CUST-50643</t>
  </si>
  <si>
    <t>Kimberley Fletcher</t>
  </si>
  <si>
    <t>ACT-00858</t>
  </si>
  <si>
    <t>hollyquinn@example.org</t>
  </si>
  <si>
    <t>YO8 8UR</t>
  </si>
  <si>
    <t>ACT-00859</t>
  </si>
  <si>
    <t>ACC-10644</t>
  </si>
  <si>
    <t>CUST-50644</t>
  </si>
  <si>
    <t>Miss Carolyn Rogers</t>
  </si>
  <si>
    <t>helen83@example.net</t>
  </si>
  <si>
    <t>BH56 4DD</t>
  </si>
  <si>
    <t>ACT-00860</t>
  </si>
  <si>
    <t>ACC-10645</t>
  </si>
  <si>
    <t>CUST-50645</t>
  </si>
  <si>
    <t>Wayne Baker-Williams</t>
  </si>
  <si>
    <t>ACT-00861</t>
  </si>
  <si>
    <t>hughhicks@example.net</t>
  </si>
  <si>
    <t>W99 6XQ</t>
  </si>
  <si>
    <t>ACC-10646</t>
  </si>
  <si>
    <t>CUST-50646</t>
  </si>
  <si>
    <t>Christian Murphy-White</t>
  </si>
  <si>
    <t>ACT-00862</t>
  </si>
  <si>
    <t>dominic92@example.com</t>
  </si>
  <si>
    <t>B1 6UJ</t>
  </si>
  <si>
    <t>ACC-10647</t>
  </si>
  <si>
    <t>CUST-50647</t>
  </si>
  <si>
    <t>Mathew Steele</t>
  </si>
  <si>
    <t>ACT-00863</t>
  </si>
  <si>
    <t>hillkathryn@example.com</t>
  </si>
  <si>
    <t>EH14 6AB</t>
  </si>
  <si>
    <t>ACC-10648</t>
  </si>
  <si>
    <t>CUST-50648</t>
  </si>
  <si>
    <t>Joshua Ford</t>
  </si>
  <si>
    <t>ACT-00864</t>
  </si>
  <si>
    <t>graham59@example.org</t>
  </si>
  <si>
    <t>HP39 9PU</t>
  </si>
  <si>
    <t>ACC-10649</t>
  </si>
  <si>
    <t>CUST-50649</t>
  </si>
  <si>
    <t>Suzanne Rose</t>
  </si>
  <si>
    <t>ACT-00865</t>
  </si>
  <si>
    <t>christianbell@example.net</t>
  </si>
  <si>
    <t>NN03 0NA</t>
  </si>
  <si>
    <t>ACT-00866</t>
  </si>
  <si>
    <t>ACC-10650</t>
  </si>
  <si>
    <t>CUST-50650</t>
  </si>
  <si>
    <t>Dr Jamie Hughes</t>
  </si>
  <si>
    <t>ACT-00867</t>
  </si>
  <si>
    <t>zjohn@example.net</t>
  </si>
  <si>
    <t>CO2 1UJ</t>
  </si>
  <si>
    <t>ACC-10651</t>
  </si>
  <si>
    <t>ACT-00868</t>
  </si>
  <si>
    <t>CUST-50651</t>
  </si>
  <si>
    <t>Pauline Cooper</t>
  </si>
  <si>
    <t>paulathompson@example.org</t>
  </si>
  <si>
    <t>S44 1JW</t>
  </si>
  <si>
    <t>ACT-00869</t>
  </si>
  <si>
    <t>ACC-10652</t>
  </si>
  <si>
    <t>CUST-50652</t>
  </si>
  <si>
    <t>Debra Clarke</t>
  </si>
  <si>
    <t>ACT-00870</t>
  </si>
  <si>
    <t>harveyaimee@example.com</t>
  </si>
  <si>
    <t>LU0W 2TZ</t>
  </si>
  <si>
    <t>ACC-10653</t>
  </si>
  <si>
    <t>CUST-50653</t>
  </si>
  <si>
    <t>Alison Hill</t>
  </si>
  <si>
    <t>ACT-00871</t>
  </si>
  <si>
    <t>charlottemartin@example.org</t>
  </si>
  <si>
    <t>L7 5AL</t>
  </si>
  <si>
    <t>ACT-00872</t>
  </si>
  <si>
    <t>ACC-10654</t>
  </si>
  <si>
    <t>CUST-50654</t>
  </si>
  <si>
    <t>Kevin Anderson</t>
  </si>
  <si>
    <t>ACT-00873</t>
  </si>
  <si>
    <t>B1B 4DL</t>
  </si>
  <si>
    <t>ACT-00874</t>
  </si>
  <si>
    <t>ACC-10655</t>
  </si>
  <si>
    <t>CUST-50655</t>
  </si>
  <si>
    <t>Catherine Daniels</t>
  </si>
  <si>
    <t>ACT-00875</t>
  </si>
  <si>
    <t>henryclifford@example.com</t>
  </si>
  <si>
    <t>B4E 6LS</t>
  </si>
  <si>
    <t>ACC-10656</t>
  </si>
  <si>
    <t>ACT-00876</t>
  </si>
  <si>
    <t>CUST-50656</t>
  </si>
  <si>
    <t>Joseph Wells</t>
  </si>
  <si>
    <t>ACT-00877</t>
  </si>
  <si>
    <t>tomlinsonjodie@example.net</t>
  </si>
  <si>
    <t>CT7E 1NY</t>
  </si>
  <si>
    <t>ACC-10657</t>
  </si>
  <si>
    <t>ACT-00878</t>
  </si>
  <si>
    <t>CUST-50657</t>
  </si>
  <si>
    <t>Damian Curtis-Bruce</t>
  </si>
  <si>
    <t>leslie84@example.com</t>
  </si>
  <si>
    <t>ACT-00879</t>
  </si>
  <si>
    <t>W1 0BQ</t>
  </si>
  <si>
    <t>ACC-10658</t>
  </si>
  <si>
    <t>ACT-00880</t>
  </si>
  <si>
    <t>CUST-50658</t>
  </si>
  <si>
    <t>Dr Rebecca Allen</t>
  </si>
  <si>
    <t>ACT-00881</t>
  </si>
  <si>
    <t>gillian05@example.net</t>
  </si>
  <si>
    <t>W43 8RP</t>
  </si>
  <si>
    <t>ACC-10659</t>
  </si>
  <si>
    <t>ACT-00882</t>
  </si>
  <si>
    <t>CUST-50659</t>
  </si>
  <si>
    <t>Ms Ellie Bradley</t>
  </si>
  <si>
    <t>ACT-00883</t>
  </si>
  <si>
    <t>grahamwright@example.net</t>
  </si>
  <si>
    <t>L4 2ED</t>
  </si>
  <si>
    <t>ACC-10660</t>
  </si>
  <si>
    <t>ACT-00884</t>
  </si>
  <si>
    <t>CUST-50660</t>
  </si>
  <si>
    <t>Cheryl Kelly</t>
  </si>
  <si>
    <t>ACT-00885</t>
  </si>
  <si>
    <t>parmstrong@example.net</t>
  </si>
  <si>
    <t>AB4M 0BB</t>
  </si>
  <si>
    <t>ACC-10661</t>
  </si>
  <si>
    <t>ACT-00886</t>
  </si>
  <si>
    <t>CUST-50661</t>
  </si>
  <si>
    <t>ACT-00887</t>
  </si>
  <si>
    <t>mjenkins@example.org</t>
  </si>
  <si>
    <t>DY5H 8BR</t>
  </si>
  <si>
    <t>ACC-10662</t>
  </si>
  <si>
    <t>CUST-50662</t>
  </si>
  <si>
    <t>ACT-00888</t>
  </si>
  <si>
    <t>Mr Gerard Pearce</t>
  </si>
  <si>
    <t>dfoster@example.net</t>
  </si>
  <si>
    <t>ACT-00889</t>
  </si>
  <si>
    <t>WD5B 3RJ</t>
  </si>
  <si>
    <t>ACC-10663</t>
  </si>
  <si>
    <t>CUST-50663</t>
  </si>
  <si>
    <t>Vanessa Talbot</t>
  </si>
  <si>
    <t>ACT-00890</t>
  </si>
  <si>
    <t>lisa81@example.com</t>
  </si>
  <si>
    <t>EH53 1YH</t>
  </si>
  <si>
    <t>ACT-00891</t>
  </si>
  <si>
    <t>ACC-10664</t>
  </si>
  <si>
    <t>CUST-50664</t>
  </si>
  <si>
    <t>Mrs Hazel Walker</t>
  </si>
  <si>
    <t>ACT-00892</t>
  </si>
  <si>
    <t>claire90@example.net</t>
  </si>
  <si>
    <t>E91 5JY</t>
  </si>
  <si>
    <t>ACC-10665</t>
  </si>
  <si>
    <t>CUST-50665</t>
  </si>
  <si>
    <t>Stacey Thomas</t>
  </si>
  <si>
    <t>ACT-00893</t>
  </si>
  <si>
    <t>shane01@example.com</t>
  </si>
  <si>
    <t>M80 6SY</t>
  </si>
  <si>
    <t>ACT-00894</t>
  </si>
  <si>
    <t>ACC-10666</t>
  </si>
  <si>
    <t>CUST-50666</t>
  </si>
  <si>
    <t>Dr Shaun Hurst</t>
  </si>
  <si>
    <t>paulamorton@example.com</t>
  </si>
  <si>
    <t>L9T 0PW</t>
  </si>
  <si>
    <t>ACT-00895</t>
  </si>
  <si>
    <t>ACC-10667</t>
  </si>
  <si>
    <t>CUST-50667</t>
  </si>
  <si>
    <t>Peter Scott</t>
  </si>
  <si>
    <t>ACT-00896</t>
  </si>
  <si>
    <t>charlotte85@example.org</t>
  </si>
  <si>
    <t>N2 7WN</t>
  </si>
  <si>
    <t>ACC-10668</t>
  </si>
  <si>
    <t>CUST-50668</t>
  </si>
  <si>
    <t>ACT-00897</t>
  </si>
  <si>
    <t>Kathleen Green</t>
  </si>
  <si>
    <t>newmanjosephine@example.org</t>
  </si>
  <si>
    <t>NR30 0BQ</t>
  </si>
  <si>
    <t>ACT-00898</t>
  </si>
  <si>
    <t>ACC-10669</t>
  </si>
  <si>
    <t>CUST-50669</t>
  </si>
  <si>
    <t>Dr Denis Hughes</t>
  </si>
  <si>
    <t>barbarawalton@example.net</t>
  </si>
  <si>
    <t>ACT-00899</t>
  </si>
  <si>
    <t>SY2 0YA</t>
  </si>
  <si>
    <t>ACC-10670</t>
  </si>
  <si>
    <t>CUST-50670</t>
  </si>
  <si>
    <t>Miss Joan Charlton</t>
  </si>
  <si>
    <t>ACT-00900</t>
  </si>
  <si>
    <t>joelfield@example.org</t>
  </si>
  <si>
    <t>SP9P 7GP</t>
  </si>
  <si>
    <t>ACT-00901</t>
  </si>
  <si>
    <t>ACC-10671</t>
  </si>
  <si>
    <t>CUST-50671</t>
  </si>
  <si>
    <t>Mr Brandon Clayton</t>
  </si>
  <si>
    <t>grahamgrant@example.com</t>
  </si>
  <si>
    <t>ACT-00902</t>
  </si>
  <si>
    <t>N3G 2XG</t>
  </si>
  <si>
    <t>ACC-10672</t>
  </si>
  <si>
    <t>CUST-50672</t>
  </si>
  <si>
    <t>Miss Joyce Vaughan</t>
  </si>
  <si>
    <t>ACT-00903</t>
  </si>
  <si>
    <t>kellyashleigh@example.com</t>
  </si>
  <si>
    <t>G27 9AZ</t>
  </si>
  <si>
    <t>ACT-00904</t>
  </si>
  <si>
    <t>ACC-10673</t>
  </si>
  <si>
    <t>CUST-50673</t>
  </si>
  <si>
    <t>Carly Curtis</t>
  </si>
  <si>
    <t>harriet48@example.com</t>
  </si>
  <si>
    <t>DD06 4JS</t>
  </si>
  <si>
    <t>ACT-00905</t>
  </si>
  <si>
    <t>ACC-10674</t>
  </si>
  <si>
    <t>CUST-50674</t>
  </si>
  <si>
    <t>Janet Allen-Quinn</t>
  </si>
  <si>
    <t>justinstewart@example.org</t>
  </si>
  <si>
    <t>HA3 5PT</t>
  </si>
  <si>
    <t>ACT-00906</t>
  </si>
  <si>
    <t>ACC-10675</t>
  </si>
  <si>
    <t>CUST-50675</t>
  </si>
  <si>
    <t>Ms Barbara Cox</t>
  </si>
  <si>
    <t>arees@example.net</t>
  </si>
  <si>
    <t>HU6 1TW</t>
  </si>
  <si>
    <t>ACT-00907</t>
  </si>
  <si>
    <t>ACC-10676</t>
  </si>
  <si>
    <t>CUST-50676</t>
  </si>
  <si>
    <t>Mr Antony McCarthy</t>
  </si>
  <si>
    <t>GL4V 9BE</t>
  </si>
  <si>
    <t>ACT-00908</t>
  </si>
  <si>
    <t>ACC-10677</t>
  </si>
  <si>
    <t>CUST-50677</t>
  </si>
  <si>
    <t>Sarah Newton</t>
  </si>
  <si>
    <t>hussainvalerie@example.net</t>
  </si>
  <si>
    <t>G72 5YZ</t>
  </si>
  <si>
    <t>ACC-10678</t>
  </si>
  <si>
    <t>CUST-50678</t>
  </si>
  <si>
    <t>ACT-00909</t>
  </si>
  <si>
    <t>Iain Wright-Lowe</t>
  </si>
  <si>
    <t>tracey37@example.com</t>
  </si>
  <si>
    <t>N4 5AE</t>
  </si>
  <si>
    <t>ACC-10679</t>
  </si>
  <si>
    <t>CUST-50679</t>
  </si>
  <si>
    <t>Dr Jacob Andrews</t>
  </si>
  <si>
    <t>rwatson@example.com</t>
  </si>
  <si>
    <t>ACT-00910</t>
  </si>
  <si>
    <t>NE4 9NW</t>
  </si>
  <si>
    <t>ACC-10680</t>
  </si>
  <si>
    <t>CUST-50680</t>
  </si>
  <si>
    <t>Lesley Woods</t>
  </si>
  <si>
    <t>ACT-00911</t>
  </si>
  <si>
    <t>angelaconway@example.com</t>
  </si>
  <si>
    <t>SY2 8TE</t>
  </si>
  <si>
    <t>ACC-10681</t>
  </si>
  <si>
    <t>CUST-50681</t>
  </si>
  <si>
    <t>Kerry Walker-Anderson</t>
  </si>
  <si>
    <t>ACT-00912</t>
  </si>
  <si>
    <t>johnsonmelissa@example.com</t>
  </si>
  <si>
    <t>HD8V 6AU</t>
  </si>
  <si>
    <t>ACT-00913</t>
  </si>
  <si>
    <t>ACC-10682</t>
  </si>
  <si>
    <t>CUST-50682</t>
  </si>
  <si>
    <t>Brian Smith-Henderson</t>
  </si>
  <si>
    <t>zsmith@example.org</t>
  </si>
  <si>
    <t>ACT-00914</t>
  </si>
  <si>
    <t>WC8 7WL</t>
  </si>
  <si>
    <t>ACC-10683</t>
  </si>
  <si>
    <t>CUST-50683</t>
  </si>
  <si>
    <t>Mrs Maureen Ford</t>
  </si>
  <si>
    <t>ACT-00915</t>
  </si>
  <si>
    <t>derek10@example.net</t>
  </si>
  <si>
    <t>PA80 4NL</t>
  </si>
  <si>
    <t>ACC-10684</t>
  </si>
  <si>
    <t>CUST-50684</t>
  </si>
  <si>
    <t>Karen Smith</t>
  </si>
  <si>
    <t>ACT-00916</t>
  </si>
  <si>
    <t>josephinebaker@example.com</t>
  </si>
  <si>
    <t>MK94 2WN</t>
  </si>
  <si>
    <t>ACC-10685</t>
  </si>
  <si>
    <t>CUST-50685</t>
  </si>
  <si>
    <t>Jeffrey Hughes</t>
  </si>
  <si>
    <t>ACT-00917</t>
  </si>
  <si>
    <t>joshhamilton@example.org</t>
  </si>
  <si>
    <t>SE16 5RU</t>
  </si>
  <si>
    <t>ACC-10686</t>
  </si>
  <si>
    <t>CUST-50686</t>
  </si>
  <si>
    <t>Dr Duncan Khan</t>
  </si>
  <si>
    <t>ACT-00918</t>
  </si>
  <si>
    <t>mark34@example.com</t>
  </si>
  <si>
    <t>E10 9ET</t>
  </si>
  <si>
    <t>ACC-10687</t>
  </si>
  <si>
    <t>CUST-50687</t>
  </si>
  <si>
    <t>Dr Joseph Sharpe</t>
  </si>
  <si>
    <t>ACT-00919</t>
  </si>
  <si>
    <t>garry42@example.org</t>
  </si>
  <si>
    <t>ZE6X 4TJ</t>
  </si>
  <si>
    <t>ACC-10688</t>
  </si>
  <si>
    <t>CUST-50688</t>
  </si>
  <si>
    <t>Grace Hunt-King</t>
  </si>
  <si>
    <t>ACT-00920</t>
  </si>
  <si>
    <t>julian82@example.com</t>
  </si>
  <si>
    <t>N2 7JN</t>
  </si>
  <si>
    <t>ACC-10689</t>
  </si>
  <si>
    <t>CUST-50689</t>
  </si>
  <si>
    <t>Kathleen Webster</t>
  </si>
  <si>
    <t>ACT-00921</t>
  </si>
  <si>
    <t>armstrongcameron@example.net</t>
  </si>
  <si>
    <t>W44 9HW</t>
  </si>
  <si>
    <t>ACC-10690</t>
  </si>
  <si>
    <t>CUST-50690</t>
  </si>
  <si>
    <t>Samantha Davidson</t>
  </si>
  <si>
    <t>ACT-00922</t>
  </si>
  <si>
    <t>L80 4HS</t>
  </si>
  <si>
    <t>ACC-10691</t>
  </si>
  <si>
    <t>CUST-50691</t>
  </si>
  <si>
    <t>Jayne Howell</t>
  </si>
  <si>
    <t>ACT-00923</t>
  </si>
  <si>
    <t>jdunn@example.org</t>
  </si>
  <si>
    <t>M3 0SU</t>
  </si>
  <si>
    <t>ACC-10692</t>
  </si>
  <si>
    <t>CUST-50692</t>
  </si>
  <si>
    <t>Diana O'Sullivan</t>
  </si>
  <si>
    <t>ACT-00924</t>
  </si>
  <si>
    <t>usmith@example.com</t>
  </si>
  <si>
    <t>N3 2YG</t>
  </si>
  <si>
    <t>ACC-10693</t>
  </si>
  <si>
    <t>CUST-50693</t>
  </si>
  <si>
    <t>Christopher Parry</t>
  </si>
  <si>
    <t>daveyvanessa@example.net</t>
  </si>
  <si>
    <t>ST43 0PF</t>
  </si>
  <si>
    <t>ACT-00925</t>
  </si>
  <si>
    <t>ACC-10694</t>
  </si>
  <si>
    <t>CUST-50694</t>
  </si>
  <si>
    <t>Mathew Evans-Kelly</t>
  </si>
  <si>
    <t>mkaur@example.com</t>
  </si>
  <si>
    <t>S0T 1DL</t>
  </si>
  <si>
    <t>ACT-00926</t>
  </si>
  <si>
    <t>ACC-10695</t>
  </si>
  <si>
    <t>CUST-50695</t>
  </si>
  <si>
    <t>Dr Cameron Cooper</t>
  </si>
  <si>
    <t>ACT-00927</t>
  </si>
  <si>
    <t>jacksongerald@example.org</t>
  </si>
  <si>
    <t>E3F 0EJ</t>
  </si>
  <si>
    <t>ACC-10696</t>
  </si>
  <si>
    <t>CUST-50696</t>
  </si>
  <si>
    <t>Sophie Cartwright</t>
  </si>
  <si>
    <t>ACT-00928</t>
  </si>
  <si>
    <t>gail92@example.com</t>
  </si>
  <si>
    <t>HR9 9HT</t>
  </si>
  <si>
    <t>ACT-00929</t>
  </si>
  <si>
    <t>ACC-10697</t>
  </si>
  <si>
    <t>CUST-50697</t>
  </si>
  <si>
    <t>Conor Hopkins</t>
  </si>
  <si>
    <t>ACT-00930</t>
  </si>
  <si>
    <t>ACT-00931</t>
  </si>
  <si>
    <t>newmanharry@example.net</t>
  </si>
  <si>
    <t>CA7 4QQ</t>
  </si>
  <si>
    <t>ACT-00932</t>
  </si>
  <si>
    <t>ACC-10698</t>
  </si>
  <si>
    <t>CUST-50698</t>
  </si>
  <si>
    <t>Barry Field</t>
  </si>
  <si>
    <t>ACT-00933</t>
  </si>
  <si>
    <t>grobinson@example.net</t>
  </si>
  <si>
    <t>WN7X 0FJ</t>
  </si>
  <si>
    <t>ACT-00934</t>
  </si>
  <si>
    <t>ACC-10699</t>
  </si>
  <si>
    <t>CUST-50699</t>
  </si>
  <si>
    <t>Eleanor McLean</t>
  </si>
  <si>
    <t>ACT-00935</t>
  </si>
  <si>
    <t>brennannicholas@example.net</t>
  </si>
  <si>
    <t>EX3R 0NB</t>
  </si>
  <si>
    <t>ACT-00936</t>
  </si>
  <si>
    <t>ACC-10700</t>
  </si>
  <si>
    <t>CUST-50700</t>
  </si>
  <si>
    <t>Ashley Wilson</t>
  </si>
  <si>
    <t>ACT-00937</t>
  </si>
  <si>
    <t>harrisongerard@example.org</t>
  </si>
  <si>
    <t>CW32 6BF</t>
  </si>
  <si>
    <t>ACC-10701</t>
  </si>
  <si>
    <t>CUST-50701</t>
  </si>
  <si>
    <t>Owen Pearce-Davey</t>
  </si>
  <si>
    <t>ACT-00938</t>
  </si>
  <si>
    <t>bruce22@example.org</t>
  </si>
  <si>
    <t>N72 6XT</t>
  </si>
  <si>
    <t>ACT-00939</t>
  </si>
  <si>
    <t>ACC-10702</t>
  </si>
  <si>
    <t>CUST-50702</t>
  </si>
  <si>
    <t>Brian Winter</t>
  </si>
  <si>
    <t>yevans@example.org</t>
  </si>
  <si>
    <t>ACT-00940</t>
  </si>
  <si>
    <t>BN66 9PL</t>
  </si>
  <si>
    <t>ACC-10703</t>
  </si>
  <si>
    <t>CUST-50703</t>
  </si>
  <si>
    <t>Mrs Stephanie Gallagher</t>
  </si>
  <si>
    <t>ACT-00941</t>
  </si>
  <si>
    <t>georgiajohnson@example.com</t>
  </si>
  <si>
    <t>HP6B 6EB</t>
  </si>
  <si>
    <t>ACT-00942</t>
  </si>
  <si>
    <t>ACC-10704</t>
  </si>
  <si>
    <t>CUST-50704</t>
  </si>
  <si>
    <t>Dr Graeme Robinson</t>
  </si>
  <si>
    <t>ACT-00943</t>
  </si>
  <si>
    <t>carole89@example.net</t>
  </si>
  <si>
    <t>OL8 1XT</t>
  </si>
  <si>
    <t>ACT-00944</t>
  </si>
  <si>
    <t>ACC-10705</t>
  </si>
  <si>
    <t>CUST-50705</t>
  </si>
  <si>
    <t>Dr Emily Hill</t>
  </si>
  <si>
    <t>ACT-00945</t>
  </si>
  <si>
    <t>annaobrien@example.org</t>
  </si>
  <si>
    <t>B43 3AP</t>
  </si>
  <si>
    <t>ACC-10706</t>
  </si>
  <si>
    <t>CUST-50706</t>
  </si>
  <si>
    <t>Karen Wallace-Wells</t>
  </si>
  <si>
    <t>ACT-00946</t>
  </si>
  <si>
    <t>wcoates@example.net</t>
  </si>
  <si>
    <t>M17 0JD</t>
  </si>
  <si>
    <t>ACC-10707</t>
  </si>
  <si>
    <t>CUST-50707</t>
  </si>
  <si>
    <t>ACT-00947</t>
  </si>
  <si>
    <t>Alan Smith-Parkinson</t>
  </si>
  <si>
    <t>NR7 0HU</t>
  </si>
  <si>
    <t>ACT-00948</t>
  </si>
  <si>
    <t>ACC-10708</t>
  </si>
  <si>
    <t>CUST-50708</t>
  </si>
  <si>
    <t>Dr Stanley Thompson</t>
  </si>
  <si>
    <t>ACT-00949</t>
  </si>
  <si>
    <t>morrisonadrian@example.com</t>
  </si>
  <si>
    <t>E02 5UH</t>
  </si>
  <si>
    <t>ACC-10709</t>
  </si>
  <si>
    <t>CUST-50709</t>
  </si>
  <si>
    <t>Ms Beth Smith</t>
  </si>
  <si>
    <t>ACT-00950</t>
  </si>
  <si>
    <t>cosullivan@example.com</t>
  </si>
  <si>
    <t>TW6N 3QJ</t>
  </si>
  <si>
    <t>ACT-00951</t>
  </si>
  <si>
    <t>ACC-10710</t>
  </si>
  <si>
    <t>CUST-50710</t>
  </si>
  <si>
    <t>Sara Middleton</t>
  </si>
  <si>
    <t>frances40@example.com</t>
  </si>
  <si>
    <t>ACT-00952</t>
  </si>
  <si>
    <t>BR7 5DL</t>
  </si>
  <si>
    <t>ACC-10711</t>
  </si>
  <si>
    <t>CUST-50711</t>
  </si>
  <si>
    <t>Barry Clayton</t>
  </si>
  <si>
    <t>ACT-00953</t>
  </si>
  <si>
    <t>rogerclarke@example.com</t>
  </si>
  <si>
    <t>E6B 3FT</t>
  </si>
  <si>
    <t>ACC-10712</t>
  </si>
  <si>
    <t>ACT-00954</t>
  </si>
  <si>
    <t>CUST-50712</t>
  </si>
  <si>
    <t>Dr Howard Holland</t>
  </si>
  <si>
    <t>lwood@example.net</t>
  </si>
  <si>
    <t>ACT-00955</t>
  </si>
  <si>
    <t>EC5 3ZF</t>
  </si>
  <si>
    <t>ACC-10713</t>
  </si>
  <si>
    <t>CUST-50713</t>
  </si>
  <si>
    <t>Lawrence Brown</t>
  </si>
  <si>
    <t>ACT-00956</t>
  </si>
  <si>
    <t>geoffrey93@example.net</t>
  </si>
  <si>
    <t>B0F 7EA</t>
  </si>
  <si>
    <t>ACC-10714</t>
  </si>
  <si>
    <t>CUST-50714</t>
  </si>
  <si>
    <t>Ms Joan Hughes</t>
  </si>
  <si>
    <t>ACT-00957</t>
  </si>
  <si>
    <t>amber06@example.com</t>
  </si>
  <si>
    <t>HD0R 8DS</t>
  </si>
  <si>
    <t>ACC-10715</t>
  </si>
  <si>
    <t>ACT-00958</t>
  </si>
  <si>
    <t>CUST-50715</t>
  </si>
  <si>
    <t>Mrs Marion Davies</t>
  </si>
  <si>
    <t>ACT-00959</t>
  </si>
  <si>
    <t>harrisraymond@example.net</t>
  </si>
  <si>
    <t>S50 9UF</t>
  </si>
  <si>
    <t>ACT-00960</t>
  </si>
  <si>
    <t>ACC-10716</t>
  </si>
  <si>
    <t>CUST-50716</t>
  </si>
  <si>
    <t>Gerard Thomas</t>
  </si>
  <si>
    <t>sheila73@example.net</t>
  </si>
  <si>
    <t>SL6 3XL</t>
  </si>
  <si>
    <t>ACT-00961</t>
  </si>
  <si>
    <t>ACC-10717</t>
  </si>
  <si>
    <t>CUST-50717</t>
  </si>
  <si>
    <t>Dr Emma Smith</t>
  </si>
  <si>
    <t>nathan82@example.net</t>
  </si>
  <si>
    <t>ACT-00962</t>
  </si>
  <si>
    <t>W6A 6RZ</t>
  </si>
  <si>
    <t>ACC-10718</t>
  </si>
  <si>
    <t>CUST-50718</t>
  </si>
  <si>
    <t>Dr Dylan Nixon</t>
  </si>
  <si>
    <t>ACT-00963</t>
  </si>
  <si>
    <t>geraldlewis@example.com</t>
  </si>
  <si>
    <t>E2 3TZ</t>
  </si>
  <si>
    <t>ACC-10719</t>
  </si>
  <si>
    <t>CUST-50719</t>
  </si>
  <si>
    <t>Mr Gerald Adams</t>
  </si>
  <si>
    <t>ACT-00964</t>
  </si>
  <si>
    <t>L35 1QB</t>
  </si>
  <si>
    <t>ACC-10720</t>
  </si>
  <si>
    <t>CUST-50720</t>
  </si>
  <si>
    <t>Gemma Jones-Cox</t>
  </si>
  <si>
    <t>ACT-00965</t>
  </si>
  <si>
    <t>fwilliams@example.com</t>
  </si>
  <si>
    <t>DD4V 5RH</t>
  </si>
  <si>
    <t>ACT-00966</t>
  </si>
  <si>
    <t>ACC-10721</t>
  </si>
  <si>
    <t>CUST-50721</t>
  </si>
  <si>
    <t>Declan Clark</t>
  </si>
  <si>
    <t>ACT-00967</t>
  </si>
  <si>
    <t>elainebirch@example.net</t>
  </si>
  <si>
    <t>NN98 6LR</t>
  </si>
  <si>
    <t>ACT-00968</t>
  </si>
  <si>
    <t>ACC-10722</t>
  </si>
  <si>
    <t>CUST-50722</t>
  </si>
  <si>
    <t>Justin Haynes-Kemp</t>
  </si>
  <si>
    <t>ACT-00969</t>
  </si>
  <si>
    <t>edwardsdonald@example.net</t>
  </si>
  <si>
    <t>B47 2JR</t>
  </si>
  <si>
    <t>ACT-00970</t>
  </si>
  <si>
    <t>ACC-10723</t>
  </si>
  <si>
    <t>CUST-50723</t>
  </si>
  <si>
    <t>Dr Sian Jackson</t>
  </si>
  <si>
    <t>ACT-00971</t>
  </si>
  <si>
    <t>lbrooks@example.net</t>
  </si>
  <si>
    <t>BT3N 4PW</t>
  </si>
  <si>
    <t>ACT-00972</t>
  </si>
  <si>
    <t>ACC-10724</t>
  </si>
  <si>
    <t>CUST-50724</t>
  </si>
  <si>
    <t>Mr Raymond Morgan</t>
  </si>
  <si>
    <t>ACT-00973</t>
  </si>
  <si>
    <t>M60 7FQ</t>
  </si>
  <si>
    <t>ACT-00974</t>
  </si>
  <si>
    <t>ACC-10725</t>
  </si>
  <si>
    <t>CUST-50725</t>
  </si>
  <si>
    <t>Andrea Robinson</t>
  </si>
  <si>
    <t>ACT-00975</t>
  </si>
  <si>
    <t>edwardsdean@example.org</t>
  </si>
  <si>
    <t>ACT-00976</t>
  </si>
  <si>
    <t>M1 2JQ</t>
  </si>
  <si>
    <t>ACC-10726</t>
  </si>
  <si>
    <t>ACT-00977</t>
  </si>
  <si>
    <t>CUST-50726</t>
  </si>
  <si>
    <t>Carol Baker</t>
  </si>
  <si>
    <t>ACT-00978</t>
  </si>
  <si>
    <t>dennisyates@example.org</t>
  </si>
  <si>
    <t>S6U 4FY</t>
  </si>
  <si>
    <t>ACT-00979</t>
  </si>
  <si>
    <t>ACC-10727</t>
  </si>
  <si>
    <t>CUST-50727</t>
  </si>
  <si>
    <t>ACT-00980</t>
  </si>
  <si>
    <t>Toby Chapman</t>
  </si>
  <si>
    <t>ACT-00981</t>
  </si>
  <si>
    <t>glennsmith@example.com</t>
  </si>
  <si>
    <t>OX7 4NX</t>
  </si>
  <si>
    <t>ACT-00982</t>
  </si>
  <si>
    <t>ACC-10728</t>
  </si>
  <si>
    <t>CUST-50728</t>
  </si>
  <si>
    <t>Mr Bryan Hayes</t>
  </si>
  <si>
    <t>ACT-00983</t>
  </si>
  <si>
    <t>julia38@example.com</t>
  </si>
  <si>
    <t>TS89 6DU</t>
  </si>
  <si>
    <t>ACT-00984</t>
  </si>
  <si>
    <t>ACC-10729</t>
  </si>
  <si>
    <t>CUST-50729</t>
  </si>
  <si>
    <t>Cameron Lees</t>
  </si>
  <si>
    <t>ACT-00985</t>
  </si>
  <si>
    <t>ACT-00986</t>
  </si>
  <si>
    <t>alison22@example.net</t>
  </si>
  <si>
    <t>DY5 7EJ</t>
  </si>
  <si>
    <t>ACC-10730</t>
  </si>
  <si>
    <t>CUST-50730</t>
  </si>
  <si>
    <t>ACT-00987</t>
  </si>
  <si>
    <t>Leanne Parkin-Hall</t>
  </si>
  <si>
    <t>ACT-00988</t>
  </si>
  <si>
    <t>reynoldscolin@example.com</t>
  </si>
  <si>
    <t>E53 5HJ</t>
  </si>
  <si>
    <t>ACT-00989</t>
  </si>
  <si>
    <t>ACC-10731</t>
  </si>
  <si>
    <t>CUST-50731</t>
  </si>
  <si>
    <t>Elliot Ford</t>
  </si>
  <si>
    <t>ACT-00990</t>
  </si>
  <si>
    <t>taylorlesley@example.net</t>
  </si>
  <si>
    <t>L9 9QT</t>
  </si>
  <si>
    <t>ACT-00991</t>
  </si>
  <si>
    <t>ACC-10732</t>
  </si>
  <si>
    <t>CUST-50732</t>
  </si>
  <si>
    <t>Nigel Smith</t>
  </si>
  <si>
    <t>ACT-00992</t>
  </si>
  <si>
    <t>kirstyparkes@example.net</t>
  </si>
  <si>
    <t>PO3 2TB</t>
  </si>
  <si>
    <t>ACT-00993</t>
  </si>
  <si>
    <t>ACC-10733</t>
  </si>
  <si>
    <t>CUST-50733</t>
  </si>
  <si>
    <t>Mr Toby Foster</t>
  </si>
  <si>
    <t>ACT-00994</t>
  </si>
  <si>
    <t>gavin00@example.com</t>
  </si>
  <si>
    <t>S1 0GN</t>
  </si>
  <si>
    <t>ACC-10734</t>
  </si>
  <si>
    <t>CUST-50734</t>
  </si>
  <si>
    <t>Jeremy Coleman</t>
  </si>
  <si>
    <t>ACT-00995</t>
  </si>
  <si>
    <t>reece12@example.org</t>
  </si>
  <si>
    <t>B75 9ZF</t>
  </si>
  <si>
    <t>ACC-10735</t>
  </si>
  <si>
    <t>CUST-50735</t>
  </si>
  <si>
    <t>ACT-00996</t>
  </si>
  <si>
    <t>Sylvia Taylor</t>
  </si>
  <si>
    <t>ACT-00997</t>
  </si>
  <si>
    <t>gknight@example.com</t>
  </si>
  <si>
    <t>IP3H 6NT</t>
  </si>
  <si>
    <t>ACT-00998</t>
  </si>
  <si>
    <t>ACC-10736</t>
  </si>
  <si>
    <t>CUST-50736</t>
  </si>
  <si>
    <t>Sandra Taylor</t>
  </si>
  <si>
    <t>ACT-00999</t>
  </si>
  <si>
    <t>dclarke@example.com</t>
  </si>
  <si>
    <t>TW7 6TG</t>
  </si>
  <si>
    <t>ACC-10737</t>
  </si>
  <si>
    <t>CUST-50737</t>
  </si>
  <si>
    <t>Mr Luke Williams</t>
  </si>
  <si>
    <t>ACT-01000</t>
  </si>
  <si>
    <t>maureen04@example.com</t>
  </si>
  <si>
    <t>M7 6YQ</t>
  </si>
  <si>
    <t>ACC-10738</t>
  </si>
  <si>
    <t>CUST-50738</t>
  </si>
  <si>
    <t>Damian Bailey</t>
  </si>
  <si>
    <t>alexander27@example.com</t>
  </si>
  <si>
    <t>ACT-01001</t>
  </si>
  <si>
    <t>EX7 4SS</t>
  </si>
  <si>
    <t>ACC-10739</t>
  </si>
  <si>
    <t>CUST-50739</t>
  </si>
  <si>
    <t>Geraldine Brown</t>
  </si>
  <si>
    <t>alexander87@example.com</t>
  </si>
  <si>
    <t>ACT-01002</t>
  </si>
  <si>
    <t>KA7 1TD</t>
  </si>
  <si>
    <t>ACC-10740</t>
  </si>
  <si>
    <t>CUST-50740</t>
  </si>
  <si>
    <t>Charles Morrison-Page</t>
  </si>
  <si>
    <t>smithmatthew@example.org</t>
  </si>
  <si>
    <t>N8S 8ZN</t>
  </si>
  <si>
    <t>ACT-01003</t>
  </si>
  <si>
    <t>ACC-10741</t>
  </si>
  <si>
    <t>CUST-50741</t>
  </si>
  <si>
    <t>Amy Pritchard</t>
  </si>
  <si>
    <t>stephen57@example.com</t>
  </si>
  <si>
    <t>ACT-01004</t>
  </si>
  <si>
    <t>WS8R 1GS</t>
  </si>
  <si>
    <t>ACC-10742</t>
  </si>
  <si>
    <t>CUST-50742</t>
  </si>
  <si>
    <t>Michelle Ferguson</t>
  </si>
  <si>
    <t>ACT-01005</t>
  </si>
  <si>
    <t>kathleenjones@example.org</t>
  </si>
  <si>
    <t>B1 7XF</t>
  </si>
  <si>
    <t>ACC-10743</t>
  </si>
  <si>
    <t>ACT-01006</t>
  </si>
  <si>
    <t>CUST-50743</t>
  </si>
  <si>
    <t>Gary Davis-Jackson</t>
  </si>
  <si>
    <t>barberclifford@example.com</t>
  </si>
  <si>
    <t>S43 2LU</t>
  </si>
  <si>
    <t>ACT-01007</t>
  </si>
  <si>
    <t>ACC-10744</t>
  </si>
  <si>
    <t>CUST-50744</t>
  </si>
  <si>
    <t>Mathew Mistry</t>
  </si>
  <si>
    <t>ACT-01008</t>
  </si>
  <si>
    <t>tjones@example.com</t>
  </si>
  <si>
    <t>DT4M 0GD</t>
  </si>
  <si>
    <t>ACT-01009</t>
  </si>
  <si>
    <t>ACC-10745</t>
  </si>
  <si>
    <t>CUST-50745</t>
  </si>
  <si>
    <t>Dr Timothy Dean</t>
  </si>
  <si>
    <t>yriley@example.net</t>
  </si>
  <si>
    <t>G5E 2GP</t>
  </si>
  <si>
    <t>ACT-01010</t>
  </si>
  <si>
    <t>ACC-10746</t>
  </si>
  <si>
    <t>CUST-50746</t>
  </si>
  <si>
    <t>Martyn Harris</t>
  </si>
  <si>
    <t>ACT-01011</t>
  </si>
  <si>
    <t>joanadams@example.com</t>
  </si>
  <si>
    <t>WA5E 1DZ</t>
  </si>
  <si>
    <t>ACC-10747</t>
  </si>
  <si>
    <t>CUST-50747</t>
  </si>
  <si>
    <t>ACT-01012</t>
  </si>
  <si>
    <t>Emma Jones-Carroll</t>
  </si>
  <si>
    <t>kerryhill@example.net</t>
  </si>
  <si>
    <t>EX8R 9WT</t>
  </si>
  <si>
    <t>ACT-01013</t>
  </si>
  <si>
    <t>ACC-10748</t>
  </si>
  <si>
    <t>CUST-50748</t>
  </si>
  <si>
    <t>Paul West-Jones</t>
  </si>
  <si>
    <t>colinstanley@example.com</t>
  </si>
  <si>
    <t>ACT-01014</t>
  </si>
  <si>
    <t>G47 0ST</t>
  </si>
  <si>
    <t>ACC-10749</t>
  </si>
  <si>
    <t>CUST-50749</t>
  </si>
  <si>
    <t>Bernard Harvey</t>
  </si>
  <si>
    <t>howelljustin@example.com</t>
  </si>
  <si>
    <t>G4 6BW</t>
  </si>
  <si>
    <t>ACT-01015</t>
  </si>
  <si>
    <t>ACC-10750</t>
  </si>
  <si>
    <t>CUST-50750</t>
  </si>
  <si>
    <t>Dr Bethan Faulkner</t>
  </si>
  <si>
    <t>ACT-01016</t>
  </si>
  <si>
    <t>benjamincrawford@example.org</t>
  </si>
  <si>
    <t>AL4V 7UQ</t>
  </si>
  <si>
    <t>ACT-01017</t>
  </si>
  <si>
    <t>ACC-10751</t>
  </si>
  <si>
    <t>CUST-50751</t>
  </si>
  <si>
    <t>Luke Davies</t>
  </si>
  <si>
    <t>sianjones@example.org</t>
  </si>
  <si>
    <t>ACT-01018</t>
  </si>
  <si>
    <t>SN3 2XU</t>
  </si>
  <si>
    <t>ACC-10752</t>
  </si>
  <si>
    <t>CUST-50752</t>
  </si>
  <si>
    <t>Dr Shannon Lambert</t>
  </si>
  <si>
    <t>ACT-01019</t>
  </si>
  <si>
    <t>qstephenson@example.net</t>
  </si>
  <si>
    <t>E0 8WB</t>
  </si>
  <si>
    <t>ACC-10753</t>
  </si>
  <si>
    <t>CUST-50753</t>
  </si>
  <si>
    <t>ACT-01020</t>
  </si>
  <si>
    <t>Miss Janet Walsh</t>
  </si>
  <si>
    <t>scampbell@example.org</t>
  </si>
  <si>
    <t>N8 3TR</t>
  </si>
  <si>
    <t>ACT-01021</t>
  </si>
  <si>
    <t>ACC-10754</t>
  </si>
  <si>
    <t>CUST-50754</t>
  </si>
  <si>
    <t>Katherine Foster</t>
  </si>
  <si>
    <t>owenslydia@example.com</t>
  </si>
  <si>
    <t>ACT-01022</t>
  </si>
  <si>
    <t>L6S 5AJ</t>
  </si>
  <si>
    <t>ACC-10755</t>
  </si>
  <si>
    <t>CUST-50755</t>
  </si>
  <si>
    <t>Dr Jacob Johnson</t>
  </si>
  <si>
    <t>ACT-01023</t>
  </si>
  <si>
    <t>mohammed38@example.net</t>
  </si>
  <si>
    <t>HS1 6HN</t>
  </si>
  <si>
    <t>ACT-01024</t>
  </si>
  <si>
    <t>ACC-10756</t>
  </si>
  <si>
    <t>CUST-50756</t>
  </si>
  <si>
    <t>Elliott Marshall</t>
  </si>
  <si>
    <t>TA82 2WF</t>
  </si>
  <si>
    <t>ACT-01025</t>
  </si>
  <si>
    <t>ACC-10757</t>
  </si>
  <si>
    <t>CUST-50757</t>
  </si>
  <si>
    <t>Joseph Lyons</t>
  </si>
  <si>
    <t>ACT-01026</t>
  </si>
  <si>
    <t>jonesvanessa@example.com</t>
  </si>
  <si>
    <t>DA0 8PH</t>
  </si>
  <si>
    <t>ACC-10758</t>
  </si>
  <si>
    <t>CUST-50758</t>
  </si>
  <si>
    <t>Miss Kimberley Marsh</t>
  </si>
  <si>
    <t>ACT-01027</t>
  </si>
  <si>
    <t>eleanor49@example.org</t>
  </si>
  <si>
    <t>NP90 3RR</t>
  </si>
  <si>
    <t>ACT-01028</t>
  </si>
  <si>
    <t>ACC-10759</t>
  </si>
  <si>
    <t>CUST-50759</t>
  </si>
  <si>
    <t>Naomi Rogers</t>
  </si>
  <si>
    <t>ACT-01029</t>
  </si>
  <si>
    <t>W2 8EE</t>
  </si>
  <si>
    <t>ACC-10760</t>
  </si>
  <si>
    <t>CUST-50760</t>
  </si>
  <si>
    <t>Jayne Freeman</t>
  </si>
  <si>
    <t>ACT-01030</t>
  </si>
  <si>
    <t>BH8Y 5FZ</t>
  </si>
  <si>
    <t>ACC-10761</t>
  </si>
  <si>
    <t>CUST-50761</t>
  </si>
  <si>
    <t>Georgia Peters</t>
  </si>
  <si>
    <t>ACT-01031</t>
  </si>
  <si>
    <t>connorpope@example.com</t>
  </si>
  <si>
    <t>L4E 5LW</t>
  </si>
  <si>
    <t>ACC-10762</t>
  </si>
  <si>
    <t>CUST-50762</t>
  </si>
  <si>
    <t>Dr Lynda Francis</t>
  </si>
  <si>
    <t>ACT-01032</t>
  </si>
  <si>
    <t>llloyd@example.net</t>
  </si>
  <si>
    <t>SY8 0EE</t>
  </si>
  <si>
    <t>ACT-01033</t>
  </si>
  <si>
    <t>ACC-10763</t>
  </si>
  <si>
    <t>CUST-50763</t>
  </si>
  <si>
    <t>Dr Tracy Vincent</t>
  </si>
  <si>
    <t>donna18@example.net</t>
  </si>
  <si>
    <t>SN1 1DH</t>
  </si>
  <si>
    <t>ACT-01034</t>
  </si>
  <si>
    <t>ACC-10764</t>
  </si>
  <si>
    <t>CUST-50764</t>
  </si>
  <si>
    <t>Heather Evans</t>
  </si>
  <si>
    <t>ACT-01035</t>
  </si>
  <si>
    <t>ipatel@example.org</t>
  </si>
  <si>
    <t>CH28 4EH</t>
  </si>
  <si>
    <t>ACC-10765</t>
  </si>
  <si>
    <t>CUST-50765</t>
  </si>
  <si>
    <t>Steven Cox</t>
  </si>
  <si>
    <t>ACT-01036</t>
  </si>
  <si>
    <t>mkelly@example.net</t>
  </si>
  <si>
    <t>L0G 1TP</t>
  </si>
  <si>
    <t>ACC-10766</t>
  </si>
  <si>
    <t>ACT-01037</t>
  </si>
  <si>
    <t>CUST-50766</t>
  </si>
  <si>
    <t>Anna Mitchell</t>
  </si>
  <si>
    <t>simonjohnson@example.org</t>
  </si>
  <si>
    <t>E7H 0PR</t>
  </si>
  <si>
    <t>ACT-01038</t>
  </si>
  <si>
    <t>ACC-10767</t>
  </si>
  <si>
    <t>CUST-50767</t>
  </si>
  <si>
    <t>Dr Marion Wyatt</t>
  </si>
  <si>
    <t>ACT-01039</t>
  </si>
  <si>
    <t>N1W 4ZS</t>
  </si>
  <si>
    <t>ACC-10768</t>
  </si>
  <si>
    <t>CUST-50768</t>
  </si>
  <si>
    <t>Hollie Chapman</t>
  </si>
  <si>
    <t>ACT-01040</t>
  </si>
  <si>
    <t>nathanwilson@example.net</t>
  </si>
  <si>
    <t>B0D 7YG</t>
  </si>
  <si>
    <t>ACT-01041</t>
  </si>
  <si>
    <t>ACC-10769</t>
  </si>
  <si>
    <t>CUST-50769</t>
  </si>
  <si>
    <t>Jordan Gill-Webb</t>
  </si>
  <si>
    <t>clarkenorman@example.org</t>
  </si>
  <si>
    <t>OL9P 9NR</t>
  </si>
  <si>
    <t>ACT-01042</t>
  </si>
  <si>
    <t>ACC-10770</t>
  </si>
  <si>
    <t>CUST-50770</t>
  </si>
  <si>
    <t>Chloe Hughes</t>
  </si>
  <si>
    <t>ACT-01043</t>
  </si>
  <si>
    <t>cbarrett@example.net</t>
  </si>
  <si>
    <t>ACT-01044</t>
  </si>
  <si>
    <t>N4 7QN</t>
  </si>
  <si>
    <t>ACT-01045</t>
  </si>
  <si>
    <t>ACC-10771</t>
  </si>
  <si>
    <t>CUST-50771</t>
  </si>
  <si>
    <t>Hilary Jones</t>
  </si>
  <si>
    <t>ACT-01046</t>
  </si>
  <si>
    <t>nrussell@example.com</t>
  </si>
  <si>
    <t>ACT-01047</t>
  </si>
  <si>
    <t>KA59 1SQ</t>
  </si>
  <si>
    <t>ACC-10772</t>
  </si>
  <si>
    <t>ACT-01048</t>
  </si>
  <si>
    <t>CUST-50772</t>
  </si>
  <si>
    <t>Ms Molly Miller</t>
  </si>
  <si>
    <t>andrea14@example.net</t>
  </si>
  <si>
    <t>ACT-01049</t>
  </si>
  <si>
    <t>N03 7DE</t>
  </si>
  <si>
    <t>ACC-10773</t>
  </si>
  <si>
    <t>CUST-50773</t>
  </si>
  <si>
    <t>ACT-01050</t>
  </si>
  <si>
    <t>Debra Stevenson</t>
  </si>
  <si>
    <t>ACT-01051</t>
  </si>
  <si>
    <t>readjamie@example.net</t>
  </si>
  <si>
    <t>TR4 1ER</t>
  </si>
  <si>
    <t>ACT-01052</t>
  </si>
  <si>
    <t>ACC-10774</t>
  </si>
  <si>
    <t>CUST-50774</t>
  </si>
  <si>
    <t>Mr William Hill</t>
  </si>
  <si>
    <t>norman84@example.org</t>
  </si>
  <si>
    <t>B8W 3AU</t>
  </si>
  <si>
    <t>ACT-01053</t>
  </si>
  <si>
    <t>ACC-10775</t>
  </si>
  <si>
    <t>CUST-50775</t>
  </si>
  <si>
    <t>Josephine Lewis</t>
  </si>
  <si>
    <t>ACT-01054</t>
  </si>
  <si>
    <t>clarkangela@example.net</t>
  </si>
  <si>
    <t>SL7H 1ZT</t>
  </si>
  <si>
    <t>ACC-10776</t>
  </si>
  <si>
    <t>CUST-50776</t>
  </si>
  <si>
    <t>Natalie Booth</t>
  </si>
  <si>
    <t>ACT-01055</t>
  </si>
  <si>
    <t>xbanks@example.net</t>
  </si>
  <si>
    <t>M15 4HS</t>
  </si>
  <si>
    <t>ACT-01056</t>
  </si>
  <si>
    <t>ACC-10777</t>
  </si>
  <si>
    <t>CUST-50777</t>
  </si>
  <si>
    <t>ACT-01057</t>
  </si>
  <si>
    <t>sjohnston@example.com</t>
  </si>
  <si>
    <t>HR9V 3RY</t>
  </si>
  <si>
    <t>ACT-01058</t>
  </si>
  <si>
    <t>ACC-10778</t>
  </si>
  <si>
    <t>CUST-50778</t>
  </si>
  <si>
    <t>Mr Aaron Taylor</t>
  </si>
  <si>
    <t>woodsjacob@example.net</t>
  </si>
  <si>
    <t>ACT-01059</t>
  </si>
  <si>
    <t>N9F 7XL</t>
  </si>
  <si>
    <t>ACC-10779</t>
  </si>
  <si>
    <t>CUST-50779</t>
  </si>
  <si>
    <t>ACT-01060</t>
  </si>
  <si>
    <t>Diane Gill</t>
  </si>
  <si>
    <t>ACT-01061</t>
  </si>
  <si>
    <t>rwright@example.org</t>
  </si>
  <si>
    <t>AL9 3HZ</t>
  </si>
  <si>
    <t>ACT-01062</t>
  </si>
  <si>
    <t>ACC-10780</t>
  </si>
  <si>
    <t>CUST-50780</t>
  </si>
  <si>
    <t>Miss Sara Humphreys</t>
  </si>
  <si>
    <t>ACT-01063</t>
  </si>
  <si>
    <t>yvonnegoodwin@example.com</t>
  </si>
  <si>
    <t>ACT-01064</t>
  </si>
  <si>
    <t>S7 7WB</t>
  </si>
  <si>
    <t>ACC-10781</t>
  </si>
  <si>
    <t>CUST-50781</t>
  </si>
  <si>
    <t>ACT-01065</t>
  </si>
  <si>
    <t>Garry Collins-Stanley</t>
  </si>
  <si>
    <t>ACT-01066</t>
  </si>
  <si>
    <t>rsingh@example.net</t>
  </si>
  <si>
    <t>IG8 6FW</t>
  </si>
  <si>
    <t>ACT-01067</t>
  </si>
  <si>
    <t>ACC-10782</t>
  </si>
  <si>
    <t>CUST-50782</t>
  </si>
  <si>
    <t>Sarah Wallace-Hussain</t>
  </si>
  <si>
    <t>ACT-01068</t>
  </si>
  <si>
    <t>andrewspaige@example.net</t>
  </si>
  <si>
    <t>ACT-01069</t>
  </si>
  <si>
    <t>S6 1YX</t>
  </si>
  <si>
    <t>ACC-10783</t>
  </si>
  <si>
    <t>ACT-01070</t>
  </si>
  <si>
    <t>CUST-50783</t>
  </si>
  <si>
    <t>Maurice Williams</t>
  </si>
  <si>
    <t>ACT-01071</t>
  </si>
  <si>
    <t>egriffiths@example.net</t>
  </si>
  <si>
    <t>B2D 9NW</t>
  </si>
  <si>
    <t>ACT-01072</t>
  </si>
  <si>
    <t>ACC-10784</t>
  </si>
  <si>
    <t>CUST-50784</t>
  </si>
  <si>
    <t>Melissa Hunter-Smith</t>
  </si>
  <si>
    <t>ericwilson@example.com</t>
  </si>
  <si>
    <t>M41 0JB</t>
  </si>
  <si>
    <t>ACT-01073</t>
  </si>
  <si>
    <t>ACC-10785</t>
  </si>
  <si>
    <t>CUST-50785</t>
  </si>
  <si>
    <t>Ms Gillian White</t>
  </si>
  <si>
    <t>helen35@example.com</t>
  </si>
  <si>
    <t>ACT-01074</t>
  </si>
  <si>
    <t>ZE2 3DZ</t>
  </si>
  <si>
    <t>ACC-10786</t>
  </si>
  <si>
    <t>CUST-50786</t>
  </si>
  <si>
    <t>Dr Chelsea Hall</t>
  </si>
  <si>
    <t>jacksonmelanie@example.org</t>
  </si>
  <si>
    <t>ACT-01075</t>
  </si>
  <si>
    <t>L42 4DZ</t>
  </si>
  <si>
    <t>ACC-10787</t>
  </si>
  <si>
    <t>CUST-50787</t>
  </si>
  <si>
    <t>Gary Harris-Hudson</t>
  </si>
  <si>
    <t>ACT-01076</t>
  </si>
  <si>
    <t>klee@example.com</t>
  </si>
  <si>
    <t>GY01 9HS</t>
  </si>
  <si>
    <t>ACT-01077</t>
  </si>
  <si>
    <t>ACC-10788</t>
  </si>
  <si>
    <t>CUST-50788</t>
  </si>
  <si>
    <t>Allan Thompson</t>
  </si>
  <si>
    <t>ACT-01078</t>
  </si>
  <si>
    <t>hayleydixon@example.net</t>
  </si>
  <si>
    <t>ACT-01079</t>
  </si>
  <si>
    <t>M3 7FH</t>
  </si>
  <si>
    <t>ACC-10789</t>
  </si>
  <si>
    <t>CUST-50789</t>
  </si>
  <si>
    <t>ACT-01080</t>
  </si>
  <si>
    <t>Marion Akhtar</t>
  </si>
  <si>
    <t>ACT-01081</t>
  </si>
  <si>
    <t>greenpaula@example.net</t>
  </si>
  <si>
    <t>M3 5UP</t>
  </si>
  <si>
    <t>ACC-10790</t>
  </si>
  <si>
    <t>CUST-50790</t>
  </si>
  <si>
    <t>ACT-01082</t>
  </si>
  <si>
    <t>Mr Clive Akhtar</t>
  </si>
  <si>
    <t>ACT-01083</t>
  </si>
  <si>
    <t>brownarthur@example.com</t>
  </si>
  <si>
    <t>BD5 7TP</t>
  </si>
  <si>
    <t>ACT-01084</t>
  </si>
  <si>
    <t>ACC-10791</t>
  </si>
  <si>
    <t>CUST-50791</t>
  </si>
  <si>
    <t>Hannah Stanley</t>
  </si>
  <si>
    <t>ACT-01085</t>
  </si>
  <si>
    <t>mandy59@example.com</t>
  </si>
  <si>
    <t>ACT-01086</t>
  </si>
  <si>
    <t>SA87 9ZG</t>
  </si>
  <si>
    <t>ACT-01087</t>
  </si>
  <si>
    <t>ACC-10792</t>
  </si>
  <si>
    <t>CUST-50792</t>
  </si>
  <si>
    <t>Jade Chapman</t>
  </si>
  <si>
    <t>ACT-01088</t>
  </si>
  <si>
    <t>mariondixon@example.com</t>
  </si>
  <si>
    <t>ZE65 9YP</t>
  </si>
  <si>
    <t>ACT-01089</t>
  </si>
  <si>
    <t>ACC-10793</t>
  </si>
  <si>
    <t>CUST-50793</t>
  </si>
  <si>
    <t>Elliot Potts</t>
  </si>
  <si>
    <t>ACT-01090</t>
  </si>
  <si>
    <t>nlane@example.org</t>
  </si>
  <si>
    <t>ACT-01091</t>
  </si>
  <si>
    <t>TA4V 4GL</t>
  </si>
  <si>
    <t>ACC-10794</t>
  </si>
  <si>
    <t>ACT-01092</t>
  </si>
  <si>
    <t>CUST-50794</t>
  </si>
  <si>
    <t>Duncan Rose</t>
  </si>
  <si>
    <t>ACT-01093</t>
  </si>
  <si>
    <t>daviescharlie@example.com</t>
  </si>
  <si>
    <t>G2 4WU</t>
  </si>
  <si>
    <t>ACT-01094</t>
  </si>
  <si>
    <t>ACC-10795</t>
  </si>
  <si>
    <t>CUST-50795</t>
  </si>
  <si>
    <t>Jemma Scott</t>
  </si>
  <si>
    <t>ACT-01095</t>
  </si>
  <si>
    <t>pcarroll@example.net</t>
  </si>
  <si>
    <t>ACT-01096</t>
  </si>
  <si>
    <t>L8 2HB</t>
  </si>
  <si>
    <t>ACC-10796</t>
  </si>
  <si>
    <t>ACT-01097</t>
  </si>
  <si>
    <t>CUST-50796</t>
  </si>
  <si>
    <t>Joanna Hughes</t>
  </si>
  <si>
    <t>ACT-01098</t>
  </si>
  <si>
    <t>frankbarker@example.org</t>
  </si>
  <si>
    <t>W3 9FH</t>
  </si>
  <si>
    <t>ACT-01099</t>
  </si>
  <si>
    <t>ACC-10797</t>
  </si>
  <si>
    <t>CUST-50797</t>
  </si>
  <si>
    <t>Mr Jeffrey Pope</t>
  </si>
  <si>
    <t>ACT-01100</t>
  </si>
  <si>
    <t>leonardsheppard@example.com</t>
  </si>
  <si>
    <t>UB1Y 1AG</t>
  </si>
  <si>
    <t>ACT-01101</t>
  </si>
  <si>
    <t>ACC-10798</t>
  </si>
  <si>
    <t>CUST-50798</t>
  </si>
  <si>
    <t>ACT-01102</t>
  </si>
  <si>
    <t>Denis Naylor</t>
  </si>
  <si>
    <t>gkirby@example.org</t>
  </si>
  <si>
    <t>ACT-01103</t>
  </si>
  <si>
    <t>S44 5YA</t>
  </si>
  <si>
    <t>ACC-10799</t>
  </si>
  <si>
    <t>CUST-50799</t>
  </si>
  <si>
    <t>ACT-01104</t>
  </si>
  <si>
    <t>Stuart Williams-Mitchell</t>
  </si>
  <si>
    <t>ACT-01105</t>
  </si>
  <si>
    <t>bishopjake@example.org</t>
  </si>
  <si>
    <t>S1W 1JS</t>
  </si>
  <si>
    <t>ACT-01106</t>
  </si>
  <si>
    <t>ACC-10800</t>
  </si>
  <si>
    <t>CUST-50800</t>
  </si>
  <si>
    <t>Mark Smith</t>
  </si>
  <si>
    <t>ACT-01107</t>
  </si>
  <si>
    <t>hthompson@example.com</t>
  </si>
  <si>
    <t>ACT-01108</t>
  </si>
  <si>
    <t>E2E 8SS</t>
  </si>
  <si>
    <t>ACC-10801</t>
  </si>
  <si>
    <t>ACT-01109</t>
  </si>
  <si>
    <t>CUST-50801</t>
  </si>
  <si>
    <t>Dr Steven Martin</t>
  </si>
  <si>
    <t>ACT-01110</t>
  </si>
  <si>
    <t>rward@example.org</t>
  </si>
  <si>
    <t>DA2A 5FF</t>
  </si>
  <si>
    <t>ACT-01111</t>
  </si>
  <si>
    <t>ACC-10802</t>
  </si>
  <si>
    <t>CUST-50802</t>
  </si>
  <si>
    <t>Dylan Ali</t>
  </si>
  <si>
    <t>ACT-01112</t>
  </si>
  <si>
    <t>snicholson@example.net</t>
  </si>
  <si>
    <t>E0 4FA</t>
  </si>
  <si>
    <t>ACT-01113</t>
  </si>
  <si>
    <t>ACC-10803</t>
  </si>
  <si>
    <t>CUST-50803</t>
  </si>
  <si>
    <t>Jodie Kelly</t>
  </si>
  <si>
    <t>ACT-01114</t>
  </si>
  <si>
    <t>ian35@example.org</t>
  </si>
  <si>
    <t>GL47 9EU</t>
  </si>
  <si>
    <t>ACT-01115</t>
  </si>
  <si>
    <t>ACC-10804</t>
  </si>
  <si>
    <t>CUST-50804</t>
  </si>
  <si>
    <t>ACT-01116</t>
  </si>
  <si>
    <t>Bradley Marshall</t>
  </si>
  <si>
    <t>ACT-01117</t>
  </si>
  <si>
    <t>vhamilton@example.com</t>
  </si>
  <si>
    <t>LA0A 2HG</t>
  </si>
  <si>
    <t>ACT-01118</t>
  </si>
  <si>
    <t>ACC-10805</t>
  </si>
  <si>
    <t>CUST-50805</t>
  </si>
  <si>
    <t>Miss Annette Mahmood</t>
  </si>
  <si>
    <t>ACT-01119</t>
  </si>
  <si>
    <t>valerie72@example.net</t>
  </si>
  <si>
    <t>ACT-01120</t>
  </si>
  <si>
    <t>S8 7SX</t>
  </si>
  <si>
    <t>ACC-10806</t>
  </si>
  <si>
    <t>ACT-01121</t>
  </si>
  <si>
    <t>CUST-50806</t>
  </si>
  <si>
    <t>Mr Vincent Foster</t>
  </si>
  <si>
    <t>ACT-01122</t>
  </si>
  <si>
    <t>colingregory@example.com</t>
  </si>
  <si>
    <t>ZE5 5FB</t>
  </si>
  <si>
    <t>ACT-01123</t>
  </si>
  <si>
    <t>ACC-10807</t>
  </si>
  <si>
    <t>CUST-50807</t>
  </si>
  <si>
    <t>Dr Nigel Arnold</t>
  </si>
  <si>
    <t>ACT-01124</t>
  </si>
  <si>
    <t>neil32@example.net</t>
  </si>
  <si>
    <t>ACT-01125</t>
  </si>
  <si>
    <t>SN9 9XY</t>
  </si>
  <si>
    <t>ACT-01126</t>
  </si>
  <si>
    <t>ACC-10808</t>
  </si>
  <si>
    <t>CUST-50808</t>
  </si>
  <si>
    <t>Dr Clifford Anderson</t>
  </si>
  <si>
    <t>ACT-01127</t>
  </si>
  <si>
    <t>PO7 4AE</t>
  </si>
  <si>
    <t>ACC-10809</t>
  </si>
  <si>
    <t>CUST-50809</t>
  </si>
  <si>
    <t>Damian Allen</t>
  </si>
  <si>
    <t>ACT-01128</t>
  </si>
  <si>
    <t>samuelwood@example.com</t>
  </si>
  <si>
    <t>G2 3LG</t>
  </si>
  <si>
    <t>ACC-10810</t>
  </si>
  <si>
    <t>ACT-01129</t>
  </si>
  <si>
    <t>CUST-50810</t>
  </si>
  <si>
    <t>Nathan Watson</t>
  </si>
  <si>
    <t>daviesnigel@example.org</t>
  </si>
  <si>
    <t>ACT-01130</t>
  </si>
  <si>
    <t>M51 3XA</t>
  </si>
  <si>
    <t>ACC-10811</t>
  </si>
  <si>
    <t>CUST-50811</t>
  </si>
  <si>
    <t>Mr Sam Stewart</t>
  </si>
  <si>
    <t>ACT-01131</t>
  </si>
  <si>
    <t>annettewilliams@example.net</t>
  </si>
  <si>
    <t>IM19 9FY</t>
  </si>
  <si>
    <t>ACT-01132</t>
  </si>
  <si>
    <t>ACC-10812</t>
  </si>
  <si>
    <t>CUST-50812</t>
  </si>
  <si>
    <t>Hazel Walker</t>
  </si>
  <si>
    <t>marshalljessica@example.org</t>
  </si>
  <si>
    <t>G4E 4PS</t>
  </si>
  <si>
    <t>ACT-01133</t>
  </si>
  <si>
    <t>ACC-10813</t>
  </si>
  <si>
    <t>CUST-50813</t>
  </si>
  <si>
    <t>Jennifer Williamson</t>
  </si>
  <si>
    <t>ACT-01134</t>
  </si>
  <si>
    <t>amandamorris@example.com</t>
  </si>
  <si>
    <t>S1C 9GD</t>
  </si>
  <si>
    <t>ACC-10814</t>
  </si>
  <si>
    <t>CUST-50814</t>
  </si>
  <si>
    <t>Joyce Atkinson</t>
  </si>
  <si>
    <t>ACT-01135</t>
  </si>
  <si>
    <t>pbriggs@example.org</t>
  </si>
  <si>
    <t>RH6B 6BP</t>
  </si>
  <si>
    <t>ACT-01136</t>
  </si>
  <si>
    <t>ACC-10815</t>
  </si>
  <si>
    <t>CUST-50815</t>
  </si>
  <si>
    <t>Emma Murray</t>
  </si>
  <si>
    <t>ronaldfowler@example.net</t>
  </si>
  <si>
    <t>ACT-01137</t>
  </si>
  <si>
    <t>PE1B 8ZH</t>
  </si>
  <si>
    <t>ACC-10816</t>
  </si>
  <si>
    <t>CUST-50816</t>
  </si>
  <si>
    <t>Mary Johnson</t>
  </si>
  <si>
    <t>ACT-01138</t>
  </si>
  <si>
    <t>bbutler@example.com</t>
  </si>
  <si>
    <t>L6F 1YH</t>
  </si>
  <si>
    <t>ACC-10817</t>
  </si>
  <si>
    <t>ACT-01139</t>
  </si>
  <si>
    <t>CUST-50817</t>
  </si>
  <si>
    <t>Martin Jones</t>
  </si>
  <si>
    <t>yphillips@example.org</t>
  </si>
  <si>
    <t>SY8 0LT</t>
  </si>
  <si>
    <t>ACC-10818</t>
  </si>
  <si>
    <t>CUST-50818</t>
  </si>
  <si>
    <t>Marcus Palmer</t>
  </si>
  <si>
    <t>ACT-01140</t>
  </si>
  <si>
    <t>fnolan@example.com</t>
  </si>
  <si>
    <t>L1C 8AS</t>
  </si>
  <si>
    <t>ACC-10819</t>
  </si>
  <si>
    <t>CUST-50819</t>
  </si>
  <si>
    <t>ACT-01141</t>
  </si>
  <si>
    <t>Glenn Lyons</t>
  </si>
  <si>
    <t>dennis54@example.net</t>
  </si>
  <si>
    <t>SK34 9FN</t>
  </si>
  <si>
    <t>ACT-01142</t>
  </si>
  <si>
    <t>ACC-10820</t>
  </si>
  <si>
    <t>CUST-50820</t>
  </si>
  <si>
    <t>Glen Thornton</t>
  </si>
  <si>
    <t>ACT-01143</t>
  </si>
  <si>
    <t>bbaker@example.com</t>
  </si>
  <si>
    <t>SS12 3TP</t>
  </si>
  <si>
    <t>ACC-10821</t>
  </si>
  <si>
    <t>CUST-50821</t>
  </si>
  <si>
    <t>ACT-01144</t>
  </si>
  <si>
    <t>Dr Sam Dunn</t>
  </si>
  <si>
    <t>oliverhawkins@example.com</t>
  </si>
  <si>
    <t>IP5 5EE</t>
  </si>
  <si>
    <t>ACT-01145</t>
  </si>
  <si>
    <t>ACC-10822</t>
  </si>
  <si>
    <t>CUST-50822</t>
  </si>
  <si>
    <t>Martin Sutton</t>
  </si>
  <si>
    <t>graeme25@example.org</t>
  </si>
  <si>
    <t>MK7 1DE</t>
  </si>
  <si>
    <t>ACT-01146</t>
  </si>
  <si>
    <t>ACC-10823</t>
  </si>
  <si>
    <t>CUST-50823</t>
  </si>
  <si>
    <t>Carl May</t>
  </si>
  <si>
    <t>ACT-01147</t>
  </si>
  <si>
    <t>carolinewilliams@example.net</t>
  </si>
  <si>
    <t>ACT-01148</t>
  </si>
  <si>
    <t>CF6 2RF</t>
  </si>
  <si>
    <t>ACC-10824</t>
  </si>
  <si>
    <t>CUST-50824</t>
  </si>
  <si>
    <t>Deborah Wilkinson</t>
  </si>
  <si>
    <t>ACT-01149</t>
  </si>
  <si>
    <t>ben61@example.org</t>
  </si>
  <si>
    <t>N0F 4YW</t>
  </si>
  <si>
    <t>ACC-10825</t>
  </si>
  <si>
    <t>CUST-50825</t>
  </si>
  <si>
    <t>Martyn Martin</t>
  </si>
  <si>
    <t>ACT-01150</t>
  </si>
  <si>
    <t>clarkemartin@example.net</t>
  </si>
  <si>
    <t>WN32 9PT</t>
  </si>
  <si>
    <t>ACT-01151</t>
  </si>
  <si>
    <t>ACC-10826</t>
  </si>
  <si>
    <t>CUST-50826</t>
  </si>
  <si>
    <t>Mrs Lindsey Potts</t>
  </si>
  <si>
    <t>ACT-01152</t>
  </si>
  <si>
    <t>wmorgan@example.org</t>
  </si>
  <si>
    <t>G2 2AW</t>
  </si>
  <si>
    <t>ACC-10827</t>
  </si>
  <si>
    <t>CUST-50827</t>
  </si>
  <si>
    <t>Claire Bray</t>
  </si>
  <si>
    <t>ACT-01153</t>
  </si>
  <si>
    <t>vwest@example.com</t>
  </si>
  <si>
    <t>WC0 4TQ</t>
  </si>
  <si>
    <t>ACC-10828</t>
  </si>
  <si>
    <t>CUST-50828</t>
  </si>
  <si>
    <t>Mr Alexander Banks</t>
  </si>
  <si>
    <t>ACT-01154</t>
  </si>
  <si>
    <t>nicolawyatt@example.net</t>
  </si>
  <si>
    <t>EC51 0SA</t>
  </si>
  <si>
    <t>ACC-10829</t>
  </si>
  <si>
    <t>ACT-01155</t>
  </si>
  <si>
    <t>CUST-50829</t>
  </si>
  <si>
    <t>Rebecca Miah</t>
  </si>
  <si>
    <t>dsmith@example.net</t>
  </si>
  <si>
    <t>B5B 6WU</t>
  </si>
  <si>
    <t>ACT-01156</t>
  </si>
  <si>
    <t>ACC-10830</t>
  </si>
  <si>
    <t>CUST-50830</t>
  </si>
  <si>
    <t>Dr Ann Begum</t>
  </si>
  <si>
    <t>ACT-01157</t>
  </si>
  <si>
    <t>ubailey@example.com</t>
  </si>
  <si>
    <t>N11 1ND</t>
  </si>
  <si>
    <t>ACC-10831</t>
  </si>
  <si>
    <t>CUST-50831</t>
  </si>
  <si>
    <t>Joe Collier</t>
  </si>
  <si>
    <t>ACT-01158</t>
  </si>
  <si>
    <t>kieran63@example.net</t>
  </si>
  <si>
    <t>SW0 7DH</t>
  </si>
  <si>
    <t>ACC-10832</t>
  </si>
  <si>
    <t>CUST-50832</t>
  </si>
  <si>
    <t>Kathleen Dickinson</t>
  </si>
  <si>
    <t>vholland@example.org</t>
  </si>
  <si>
    <t>TD0V 4ZA</t>
  </si>
  <si>
    <t>ACT-01159</t>
  </si>
  <si>
    <t>ACC-10833</t>
  </si>
  <si>
    <t>CUST-50833</t>
  </si>
  <si>
    <t>Dr Michael Spencer</t>
  </si>
  <si>
    <t>clifford62@example.com</t>
  </si>
  <si>
    <t>M8U 3GS</t>
  </si>
  <si>
    <t>ACT-01160</t>
  </si>
  <si>
    <t>ACC-10834</t>
  </si>
  <si>
    <t>CUST-50834</t>
  </si>
  <si>
    <t>Keith Williams-Jackson</t>
  </si>
  <si>
    <t>ACT-01161</t>
  </si>
  <si>
    <t>deanlee@example.org</t>
  </si>
  <si>
    <t>LS88 0GS</t>
  </si>
  <si>
    <t>ACC-10835</t>
  </si>
  <si>
    <t>CUST-50835</t>
  </si>
  <si>
    <t>Miss Victoria Hooper</t>
  </si>
  <si>
    <t>ACT-01162</t>
  </si>
  <si>
    <t>russellcarter@example.net</t>
  </si>
  <si>
    <t>G0C 9UX</t>
  </si>
  <si>
    <t>ACT-01163</t>
  </si>
  <si>
    <t>ACC-10836</t>
  </si>
  <si>
    <t>CUST-50836</t>
  </si>
  <si>
    <t>Dr Abdul Ross</t>
  </si>
  <si>
    <t>ACT-01164</t>
  </si>
  <si>
    <t>fwatson@example.com</t>
  </si>
  <si>
    <t>ML6V 5UF</t>
  </si>
  <si>
    <t>ACC-10837</t>
  </si>
  <si>
    <t>CUST-50837</t>
  </si>
  <si>
    <t>Callum Cooper-Webster</t>
  </si>
  <si>
    <t>ACT-01165</t>
  </si>
  <si>
    <t>russell68@example.org</t>
  </si>
  <si>
    <t>SP1 7AU</t>
  </si>
  <si>
    <t>ACC-10838</t>
  </si>
  <si>
    <t>CUST-50838</t>
  </si>
  <si>
    <t>Stephanie Nelson</t>
  </si>
  <si>
    <t>alberthall@example.net</t>
  </si>
  <si>
    <t>JE0 9UU</t>
  </si>
  <si>
    <t>ACT-01166</t>
  </si>
  <si>
    <t>ACC-10839</t>
  </si>
  <si>
    <t>CUST-50839</t>
  </si>
  <si>
    <t>Louise Arnold</t>
  </si>
  <si>
    <t>graemewood@example.net</t>
  </si>
  <si>
    <t>L8 7NG</t>
  </si>
  <si>
    <t>ACC-10840</t>
  </si>
  <si>
    <t>CUST-50840</t>
  </si>
  <si>
    <t>Diana Jones</t>
  </si>
  <si>
    <t>ACT-01167</t>
  </si>
  <si>
    <t>leontaylor@example.com</t>
  </si>
  <si>
    <t>L8G 9WL</t>
  </si>
  <si>
    <t>ACC-10841</t>
  </si>
  <si>
    <t>CUST-50841</t>
  </si>
  <si>
    <t>Barbara Brookes</t>
  </si>
  <si>
    <t>ACT-01168</t>
  </si>
  <si>
    <t>olong@example.net</t>
  </si>
  <si>
    <t>WV3 8JE</t>
  </si>
  <si>
    <t>ACC-10842</t>
  </si>
  <si>
    <t>CUST-50842</t>
  </si>
  <si>
    <t>Alexander Kelly</t>
  </si>
  <si>
    <t>ACT-01169</t>
  </si>
  <si>
    <t>jake85@example.net</t>
  </si>
  <si>
    <t>N4D 1ZJ</t>
  </si>
  <si>
    <t>ACC-10843</t>
  </si>
  <si>
    <t>CUST-50843</t>
  </si>
  <si>
    <t>Samuel Thomas</t>
  </si>
  <si>
    <t>ACT-01170</t>
  </si>
  <si>
    <t>ehussain@example.org</t>
  </si>
  <si>
    <t>G81 1PJ</t>
  </si>
  <si>
    <t>ACC-10844</t>
  </si>
  <si>
    <t>CUST-50844</t>
  </si>
  <si>
    <t>Martyn Storey</t>
  </si>
  <si>
    <t>ACT-01171</t>
  </si>
  <si>
    <t>harrisjoanna@example.org</t>
  </si>
  <si>
    <t>G2 0HY</t>
  </si>
  <si>
    <t>ACT-01172</t>
  </si>
  <si>
    <t>ACC-10845</t>
  </si>
  <si>
    <t>CUST-50845</t>
  </si>
  <si>
    <t>Mr Martin Ferguson</t>
  </si>
  <si>
    <t>ACT-01173</t>
  </si>
  <si>
    <t>ACT-01174</t>
  </si>
  <si>
    <t>gail85@example.com</t>
  </si>
  <si>
    <t>BN35 1NR</t>
  </si>
  <si>
    <t>ACT-01175</t>
  </si>
  <si>
    <t>ACC-10846</t>
  </si>
  <si>
    <t>CUST-50846</t>
  </si>
  <si>
    <t>Gregory Davison</t>
  </si>
  <si>
    <t>ACT-01176</t>
  </si>
  <si>
    <t>abennett@example.org</t>
  </si>
  <si>
    <t>IP0X 0WG</t>
  </si>
  <si>
    <t>ACT-01177</t>
  </si>
  <si>
    <t>ACC-10847</t>
  </si>
  <si>
    <t>CUST-50847</t>
  </si>
  <si>
    <t>Mr Dale Cartwright</t>
  </si>
  <si>
    <t>ACT-01178</t>
  </si>
  <si>
    <t>ACT-01179</t>
  </si>
  <si>
    <t>fionagardiner@example.net</t>
  </si>
  <si>
    <t>NE6H 3XH</t>
  </si>
  <si>
    <t>ACT-01180</t>
  </si>
  <si>
    <t>ACC-10848</t>
  </si>
  <si>
    <t>CUST-50848</t>
  </si>
  <si>
    <t>Kathryn Rose</t>
  </si>
  <si>
    <t>ACT-01181</t>
  </si>
  <si>
    <t>sgreen@example.org</t>
  </si>
  <si>
    <t>L43 8FW</t>
  </si>
  <si>
    <t>ACT-01182</t>
  </si>
  <si>
    <t>ACC-10849</t>
  </si>
  <si>
    <t>CUST-50849</t>
  </si>
  <si>
    <t>ACT-01183</t>
  </si>
  <si>
    <t>Emma Metcalfe</t>
  </si>
  <si>
    <t>ACT-01184</t>
  </si>
  <si>
    <t>owhite@example.org</t>
  </si>
  <si>
    <t>G5E 1LH</t>
  </si>
  <si>
    <t>ACT-01185</t>
  </si>
  <si>
    <t>ACC-10850</t>
  </si>
  <si>
    <t>CUST-50850</t>
  </si>
  <si>
    <t>Emma Marshall</t>
  </si>
  <si>
    <t>ACT-01186</t>
  </si>
  <si>
    <t>rowen@example.net</t>
  </si>
  <si>
    <t>N1 8NS</t>
  </si>
  <si>
    <t>ACT-01187</t>
  </si>
  <si>
    <t>ACC-10851</t>
  </si>
  <si>
    <t>CUST-50851</t>
  </si>
  <si>
    <t>Tony Evans</t>
  </si>
  <si>
    <t>ACT-01188</t>
  </si>
  <si>
    <t>ACT-01189</t>
  </si>
  <si>
    <t>hillscott@example.com</t>
  </si>
  <si>
    <t>WC0 2QY</t>
  </si>
  <si>
    <t>ACC-10852</t>
  </si>
  <si>
    <t>CUST-50852</t>
  </si>
  <si>
    <t>Dr Callum Taylor</t>
  </si>
  <si>
    <t>ACT-01190</t>
  </si>
  <si>
    <t>ACT-01191</t>
  </si>
  <si>
    <t>wilkinsbarry@example.net</t>
  </si>
  <si>
    <t>AB87 7QY</t>
  </si>
  <si>
    <t>ACT-01192</t>
  </si>
  <si>
    <t>ACC-10853</t>
  </si>
  <si>
    <t>CUST-50853</t>
  </si>
  <si>
    <t>Hayley Payne</t>
  </si>
  <si>
    <t>ACT-01193</t>
  </si>
  <si>
    <t>PE30 3TJ</t>
  </si>
  <si>
    <t>ACT-01194</t>
  </si>
  <si>
    <t>ACC-10854</t>
  </si>
  <si>
    <t>CUST-50854</t>
  </si>
  <si>
    <t>Dr Debra Mills</t>
  </si>
  <si>
    <t>ACT-01195</t>
  </si>
  <si>
    <t>henryfry@example.com</t>
  </si>
  <si>
    <t>ACT-01196</t>
  </si>
  <si>
    <t>WD66 6HH</t>
  </si>
  <si>
    <t>ACC-10855</t>
  </si>
  <si>
    <t>CUST-50855</t>
  </si>
  <si>
    <t>ACT-01197</t>
  </si>
  <si>
    <t>Brenda Fox</t>
  </si>
  <si>
    <t>ACT-01198</t>
  </si>
  <si>
    <t>cameronbrandon@example.com</t>
  </si>
  <si>
    <t>B5F 7LX</t>
  </si>
  <si>
    <t>ACT-01199</t>
  </si>
  <si>
    <t>ACC-10856</t>
  </si>
  <si>
    <t>CUST-50856</t>
  </si>
  <si>
    <t>Charlotte Collier</t>
  </si>
  <si>
    <t>abrowne@example.com</t>
  </si>
  <si>
    <t>PR82 5FS</t>
  </si>
  <si>
    <t>ACT-01200</t>
  </si>
  <si>
    <t>Yes</t>
  </si>
  <si>
    <t>ACC-10857</t>
  </si>
  <si>
    <t>CUST-50857</t>
  </si>
  <si>
    <t>Gillian Davies</t>
  </si>
  <si>
    <t>ACT-01201</t>
  </si>
  <si>
    <t>preid@example.org</t>
  </si>
  <si>
    <t>E59 4DX</t>
  </si>
  <si>
    <t>ACC-10858</t>
  </si>
  <si>
    <t>CUST-50858</t>
  </si>
  <si>
    <t>Marilyn Metcalfe</t>
  </si>
  <si>
    <t>ACT-01202</t>
  </si>
  <si>
    <t>hobbselliot@example.com</t>
  </si>
  <si>
    <t>G77 8PE</t>
  </si>
  <si>
    <t>ACC-10859</t>
  </si>
  <si>
    <t>CUST-50859</t>
  </si>
  <si>
    <t>Andrea Gould</t>
  </si>
  <si>
    <t>ACT-01203</t>
  </si>
  <si>
    <t>S73 1WJ</t>
  </si>
  <si>
    <t>ACT-01204</t>
  </si>
  <si>
    <t>ACC-10860</t>
  </si>
  <si>
    <t>CUST-50860</t>
  </si>
  <si>
    <t>Ms Kelly Reid</t>
  </si>
  <si>
    <t>ACT-01205</t>
  </si>
  <si>
    <t>bethany81@example.org</t>
  </si>
  <si>
    <t>LU65 4TS</t>
  </si>
  <si>
    <t>ACC-10861</t>
  </si>
  <si>
    <t>ACT-01206</t>
  </si>
  <si>
    <t>CUST-50861</t>
  </si>
  <si>
    <t>Dr Sam Roberts</t>
  </si>
  <si>
    <t>ACT-01207</t>
  </si>
  <si>
    <t>lynne47@example.org</t>
  </si>
  <si>
    <t>BS9 1LR</t>
  </si>
  <si>
    <t>ACT-01208</t>
  </si>
  <si>
    <t>ACC-10862</t>
  </si>
  <si>
    <t>CUST-50862</t>
  </si>
  <si>
    <t>Mr Raymond Kennedy</t>
  </si>
  <si>
    <t>ACT-01209</t>
  </si>
  <si>
    <t>nichollsdorothy@example.org</t>
  </si>
  <si>
    <t>ACT-01210</t>
  </si>
  <si>
    <t>LS1 2WL</t>
  </si>
  <si>
    <t>ACT-01211</t>
  </si>
  <si>
    <t>ACC-10863</t>
  </si>
  <si>
    <t>CUST-50863</t>
  </si>
  <si>
    <t>Duncan Lee</t>
  </si>
  <si>
    <t>ACT-01212</t>
  </si>
  <si>
    <t>joe41@example.org</t>
  </si>
  <si>
    <t>B7 2HS</t>
  </si>
  <si>
    <t>ACT-01213</t>
  </si>
  <si>
    <t>ACC-10864</t>
  </si>
  <si>
    <t>CUST-50864</t>
  </si>
  <si>
    <t>Mr Alan Dawson</t>
  </si>
  <si>
    <t>ACT-01214</t>
  </si>
  <si>
    <t>evanscarly@example.net</t>
  </si>
  <si>
    <t>ACT-01215</t>
  </si>
  <si>
    <t>W79 9LB</t>
  </si>
  <si>
    <t>ACC-10865</t>
  </si>
  <si>
    <t>CUST-50865</t>
  </si>
  <si>
    <t>Mr Roy Cooke</t>
  </si>
  <si>
    <t>ACT-01216</t>
  </si>
  <si>
    <t>ACT-01217</t>
  </si>
  <si>
    <t>fmiddleton@example.net</t>
  </si>
  <si>
    <t>HA6A 3GQ</t>
  </si>
  <si>
    <t>ACT-01218</t>
  </si>
  <si>
    <t>ACC-10866</t>
  </si>
  <si>
    <t>CUST-50866</t>
  </si>
  <si>
    <t>Miss Marion White</t>
  </si>
  <si>
    <t>ACT-01219</t>
  </si>
  <si>
    <t>lydiawatts@example.net</t>
  </si>
  <si>
    <t>CW8H 2UR</t>
  </si>
  <si>
    <t>ACT-01220</t>
  </si>
  <si>
    <t>ACC-10867</t>
  </si>
  <si>
    <t>CUST-50867</t>
  </si>
  <si>
    <t>Martin Russell</t>
  </si>
  <si>
    <t>ACT-01221</t>
  </si>
  <si>
    <t>ACT-01222</t>
  </si>
  <si>
    <t>beverley13@example.org</t>
  </si>
  <si>
    <t>PH8E 5LF</t>
  </si>
  <si>
    <t>ACC-10868</t>
  </si>
  <si>
    <t>ACT-01223</t>
  </si>
  <si>
    <t>CUST-50868</t>
  </si>
  <si>
    <t>Jenna Perry</t>
  </si>
  <si>
    <t>ACT-01224</t>
  </si>
  <si>
    <t>louisvincent@example.com</t>
  </si>
  <si>
    <t>GL7 6GQ</t>
  </si>
  <si>
    <t>ACT-01225</t>
  </si>
  <si>
    <t>ACC-10869</t>
  </si>
  <si>
    <t>CUST-50869</t>
  </si>
  <si>
    <t>ACT-01226</t>
  </si>
  <si>
    <t>Patrick Lloyd</t>
  </si>
  <si>
    <t>ACT-01227</t>
  </si>
  <si>
    <t>jarvisrhys@example.net</t>
  </si>
  <si>
    <t>HA24 1EN</t>
  </si>
  <si>
    <t>ACC-10870</t>
  </si>
  <si>
    <t>CUST-50870</t>
  </si>
  <si>
    <t>Henry Harrison</t>
  </si>
  <si>
    <t>ACT-01228</t>
  </si>
  <si>
    <t>jamieowen@example.org</t>
  </si>
  <si>
    <t>L8 2EH</t>
  </si>
  <si>
    <t>ACT-01229</t>
  </si>
  <si>
    <t>ACC-10871</t>
  </si>
  <si>
    <t>CUST-50871</t>
  </si>
  <si>
    <t>Robin Dixon</t>
  </si>
  <si>
    <t>ACT-01230</t>
  </si>
  <si>
    <t>B2 1PG</t>
  </si>
  <si>
    <t>ACC-10872</t>
  </si>
  <si>
    <t>CUST-50872</t>
  </si>
  <si>
    <t>Jayne Thompson</t>
  </si>
  <si>
    <t>ACT-01231</t>
  </si>
  <si>
    <t>urussell@example.com</t>
  </si>
  <si>
    <t>LE8 7ZS</t>
  </si>
  <si>
    <t>ACT-01232</t>
  </si>
  <si>
    <t>ACC-10873</t>
  </si>
  <si>
    <t>CUST-50873</t>
  </si>
  <si>
    <t>Ms Paige Sullivan</t>
  </si>
  <si>
    <t>ACT-01233</t>
  </si>
  <si>
    <t>vparker@example.net</t>
  </si>
  <si>
    <t>B9 0TR</t>
  </si>
  <si>
    <t>ACC-10874</t>
  </si>
  <si>
    <t>ACT-01234</t>
  </si>
  <si>
    <t>CUST-50874</t>
  </si>
  <si>
    <t>Gail Davies</t>
  </si>
  <si>
    <t>ACT-01235</t>
  </si>
  <si>
    <t>thill@example.net</t>
  </si>
  <si>
    <t>L41 9YJ</t>
  </si>
  <si>
    <t>ACT-01236</t>
  </si>
  <si>
    <t>ACC-10875</t>
  </si>
  <si>
    <t>CUST-50875</t>
  </si>
  <si>
    <t>Anthony Cameron</t>
  </si>
  <si>
    <t>udawson@example.net</t>
  </si>
  <si>
    <t>ACT-01237</t>
  </si>
  <si>
    <t>SP60 0DY</t>
  </si>
  <si>
    <t>ACC-10876</t>
  </si>
  <si>
    <t>CUST-50876</t>
  </si>
  <si>
    <t>Dr Ruth Davey</t>
  </si>
  <si>
    <t>ACT-01238</t>
  </si>
  <si>
    <t>CA87 0XA</t>
  </si>
  <si>
    <t>ACC-10877</t>
  </si>
  <si>
    <t>ACT-01239</t>
  </si>
  <si>
    <t>CUST-50877</t>
  </si>
  <si>
    <t>Mrs Vanessa Barlow</t>
  </si>
  <si>
    <t>asmith@example.net</t>
  </si>
  <si>
    <t>WS7 2WH</t>
  </si>
  <si>
    <t>ACT-01240</t>
  </si>
  <si>
    <t>ACC-10878</t>
  </si>
  <si>
    <t>CUST-50878</t>
  </si>
  <si>
    <t>Irene Wright</t>
  </si>
  <si>
    <t>ACT-01241</t>
  </si>
  <si>
    <t>fedwards@example.org</t>
  </si>
  <si>
    <t>DT8 7ZQ</t>
  </si>
  <si>
    <t>ACC-10879</t>
  </si>
  <si>
    <t>ACT-01242</t>
  </si>
  <si>
    <t>CUST-50879</t>
  </si>
  <si>
    <t>Chelsea Hopkins</t>
  </si>
  <si>
    <t>robinahmed@example.com</t>
  </si>
  <si>
    <t>ACT-01243</t>
  </si>
  <si>
    <t>TF23 7SR</t>
  </si>
  <si>
    <t>ACC-10880</t>
  </si>
  <si>
    <t>CUST-50880</t>
  </si>
  <si>
    <t>Edward Griffiths</t>
  </si>
  <si>
    <t>ACT-01244</t>
  </si>
  <si>
    <t>rahmankyle@example.org</t>
  </si>
  <si>
    <t>CH0V 5NU</t>
  </si>
  <si>
    <t>ACT-01245</t>
  </si>
  <si>
    <t>ACC-10881</t>
  </si>
  <si>
    <t>CUST-50881</t>
  </si>
  <si>
    <t>Katherine Osborne-Watson</t>
  </si>
  <si>
    <t>taylorkeith@example.com</t>
  </si>
  <si>
    <t>ACT-01246</t>
  </si>
  <si>
    <t>BB1 7BX</t>
  </si>
  <si>
    <t>ACC-10882</t>
  </si>
  <si>
    <t>CUST-50882</t>
  </si>
  <si>
    <t>Kelly Gill</t>
  </si>
  <si>
    <t>ACT-01247</t>
  </si>
  <si>
    <t>prestondorothy@example.com</t>
  </si>
  <si>
    <t>W0K 2UY</t>
  </si>
  <si>
    <t>ACC-10883</t>
  </si>
  <si>
    <t>CUST-50883</t>
  </si>
  <si>
    <t>Dr Justin Davis</t>
  </si>
  <si>
    <t>ACT-01248</t>
  </si>
  <si>
    <t>jhurst@example.com</t>
  </si>
  <si>
    <t>N48 5PW</t>
  </si>
  <si>
    <t>ACT-01249</t>
  </si>
  <si>
    <t>ACC-10884</t>
  </si>
  <si>
    <t>CUST-50884</t>
  </si>
  <si>
    <t>Duncan Brennan</t>
  </si>
  <si>
    <t>whitehousefrances@example.org</t>
  </si>
  <si>
    <t>ACT-01250</t>
  </si>
  <si>
    <t>W73 7EG</t>
  </si>
  <si>
    <t>ACC-10885</t>
  </si>
  <si>
    <t>CUST-50885</t>
  </si>
  <si>
    <t>Julian Skinner-Holmes</t>
  </si>
  <si>
    <t>vwoods@example.net</t>
  </si>
  <si>
    <t>AB48 2TL</t>
  </si>
  <si>
    <t>ACC-10886</t>
  </si>
  <si>
    <t>ACT-01251</t>
  </si>
  <si>
    <t>CUST-50886</t>
  </si>
  <si>
    <t>Frederick Thompson</t>
  </si>
  <si>
    <t>ellierowe@example.com</t>
  </si>
  <si>
    <t>S59 1YX</t>
  </si>
  <si>
    <t>ACT-01252</t>
  </si>
  <si>
    <t>ACC-10887</t>
  </si>
  <si>
    <t>CUST-50887</t>
  </si>
  <si>
    <t>Mr Robin Tomlinson</t>
  </si>
  <si>
    <t>ACT-01253</t>
  </si>
  <si>
    <t>kerry41@example.com</t>
  </si>
  <si>
    <t>M51 2PG</t>
  </si>
  <si>
    <t>ACC-10888</t>
  </si>
  <si>
    <t>CUST-50888</t>
  </si>
  <si>
    <t>Helen Campbell-Collins</t>
  </si>
  <si>
    <t>ACT-01254</t>
  </si>
  <si>
    <t>hchambers@example.net</t>
  </si>
  <si>
    <t>WV8 7DN</t>
  </si>
  <si>
    <t>ACT-01255</t>
  </si>
  <si>
    <t>ACC-10889</t>
  </si>
  <si>
    <t>CUST-50889</t>
  </si>
  <si>
    <t>Andrew Hussain</t>
  </si>
  <si>
    <t>mitchellward@example.org</t>
  </si>
  <si>
    <t>ACT-01256</t>
  </si>
  <si>
    <t>RM8B 1WJ</t>
  </si>
  <si>
    <t>ACC-10890</t>
  </si>
  <si>
    <t>CUST-50890</t>
  </si>
  <si>
    <t>Mr Alex Gardner</t>
  </si>
  <si>
    <t>ACT-01257</t>
  </si>
  <si>
    <t>mitchelltracey@example.net</t>
  </si>
  <si>
    <t>EH4 2WP</t>
  </si>
  <si>
    <t>ACC-10891</t>
  </si>
  <si>
    <t>CUST-50891</t>
  </si>
  <si>
    <t>ACT-01258</t>
  </si>
  <si>
    <t>Oliver Fuller</t>
  </si>
  <si>
    <t>zevans@example.net</t>
  </si>
  <si>
    <t>G0S 9JA</t>
  </si>
  <si>
    <t>ACT-01259</t>
  </si>
  <si>
    <t>ACC-10892</t>
  </si>
  <si>
    <t>CUST-50892</t>
  </si>
  <si>
    <t>Thomas Khan</t>
  </si>
  <si>
    <t>ncarroll@example.org</t>
  </si>
  <si>
    <t>RM3A 3EW</t>
  </si>
  <si>
    <t>ACC-10893</t>
  </si>
  <si>
    <t>CUST-50893</t>
  </si>
  <si>
    <t>ACT-01260</t>
  </si>
  <si>
    <t>Max Hall-George</t>
  </si>
  <si>
    <t>oparsons@example.com</t>
  </si>
  <si>
    <t>NG02 6GF</t>
  </si>
  <si>
    <t>ACT-01261</t>
  </si>
  <si>
    <t>ACC-10894</t>
  </si>
  <si>
    <t>CUST-50894</t>
  </si>
  <si>
    <t>Ms Rosemary Mitchell</t>
  </si>
  <si>
    <t>ACT-01262</t>
  </si>
  <si>
    <t>craigpatterson@example.com</t>
  </si>
  <si>
    <t>M9 8NP</t>
  </si>
  <si>
    <t>ACC-10895</t>
  </si>
  <si>
    <t>CUST-50895</t>
  </si>
  <si>
    <t>Georgia Pearson</t>
  </si>
  <si>
    <t>ACT-01263</t>
  </si>
  <si>
    <t>M88 1TX</t>
  </si>
  <si>
    <t>ACT-01264</t>
  </si>
  <si>
    <t>ACC-10896</t>
  </si>
  <si>
    <t>CUST-50896</t>
  </si>
  <si>
    <t>Jay Herbert-Williams</t>
  </si>
  <si>
    <t>ACT-01265</t>
  </si>
  <si>
    <t>harrietheath@example.com</t>
  </si>
  <si>
    <t>M26 0LY</t>
  </si>
  <si>
    <t>ACC-10897</t>
  </si>
  <si>
    <t>CUST-50897</t>
  </si>
  <si>
    <t>Jake White-Ross</t>
  </si>
  <si>
    <t>ACT-01266</t>
  </si>
  <si>
    <t>lynne07@example.org</t>
  </si>
  <si>
    <t>G9H 2BW</t>
  </si>
  <si>
    <t>ACT-01267</t>
  </si>
  <si>
    <t>ACC-10898</t>
  </si>
  <si>
    <t>CUST-50898</t>
  </si>
  <si>
    <t>Lisa Brown</t>
  </si>
  <si>
    <t>rmorgan@example.org</t>
  </si>
  <si>
    <t>ACT-01268</t>
  </si>
  <si>
    <t>E9A 8DE</t>
  </si>
  <si>
    <t>ACC-10899</t>
  </si>
  <si>
    <t>CUST-50899</t>
  </si>
  <si>
    <t>Louise Williams</t>
  </si>
  <si>
    <t>ACT-01269</t>
  </si>
  <si>
    <t>vdawson@example.org</t>
  </si>
  <si>
    <t>S51 2XH</t>
  </si>
  <si>
    <t>ACC-10900</t>
  </si>
  <si>
    <t>ACT-01270</t>
  </si>
  <si>
    <t>CUST-50900</t>
  </si>
  <si>
    <t>Liam Hargreaves</t>
  </si>
  <si>
    <t>aaron06@example.net</t>
  </si>
  <si>
    <t>W7D 0ZY</t>
  </si>
  <si>
    <t>ACT-01271</t>
  </si>
  <si>
    <t>ACC-10901</t>
  </si>
  <si>
    <t>CUST-50901</t>
  </si>
  <si>
    <t>Mitchell Hamilton</t>
  </si>
  <si>
    <t>ACT-01272</t>
  </si>
  <si>
    <t>joanna51@example.net</t>
  </si>
  <si>
    <t>SO03 0GZ</t>
  </si>
  <si>
    <t>ACC-10902</t>
  </si>
  <si>
    <t>CUST-50902</t>
  </si>
  <si>
    <t>Miss Carolyn Goodwin</t>
  </si>
  <si>
    <t>ACT-01273</t>
  </si>
  <si>
    <t>ysmith@example.net</t>
  </si>
  <si>
    <t>W25 5UY</t>
  </si>
  <si>
    <t>ACT-01274</t>
  </si>
  <si>
    <t>ACC-10903</t>
  </si>
  <si>
    <t>CUST-50903</t>
  </si>
  <si>
    <t>Benjamin Saunders</t>
  </si>
  <si>
    <t>ACT-01275</t>
  </si>
  <si>
    <t>hilltracey@example.com</t>
  </si>
  <si>
    <t>S3 5ZG</t>
  </si>
  <si>
    <t>ACC-10904</t>
  </si>
  <si>
    <t>ACT-01276</t>
  </si>
  <si>
    <t>CUST-50904</t>
  </si>
  <si>
    <t>Dr Glenn Turner</t>
  </si>
  <si>
    <t>jennifermiller@example.org</t>
  </si>
  <si>
    <t>B7 7AX</t>
  </si>
  <si>
    <t>ACT-01277</t>
  </si>
  <si>
    <t>ACC-10905</t>
  </si>
  <si>
    <t>CUST-50905</t>
  </si>
  <si>
    <t>Glen Smith-Jenkins</t>
  </si>
  <si>
    <t>ACT-01278</t>
  </si>
  <si>
    <t>RG4E 2AU</t>
  </si>
  <si>
    <t>ACC-10906</t>
  </si>
  <si>
    <t>CUST-50906</t>
  </si>
  <si>
    <t>Eileen Hall</t>
  </si>
  <si>
    <t>warneredward@example.com</t>
  </si>
  <si>
    <t>WV9 9BT</t>
  </si>
  <si>
    <t>ACT-01279</t>
  </si>
  <si>
    <t>ACC-10907</t>
  </si>
  <si>
    <t>CUST-50907</t>
  </si>
  <si>
    <t>Mr Arthur Finch</t>
  </si>
  <si>
    <t>ACT-01280</t>
  </si>
  <si>
    <t>psimpson@example.net</t>
  </si>
  <si>
    <t>AL6E 9XY</t>
  </si>
  <si>
    <t>ACC-10908</t>
  </si>
  <si>
    <t>CUST-50908</t>
  </si>
  <si>
    <t>Mr Adam Simpson</t>
  </si>
  <si>
    <t>ACT-01281</t>
  </si>
  <si>
    <t>graham57@example.org</t>
  </si>
  <si>
    <t>SL8X 4ZP</t>
  </si>
  <si>
    <t>ACC-10909</t>
  </si>
  <si>
    <t>ACT-01282</t>
  </si>
  <si>
    <t>CUST-50909</t>
  </si>
  <si>
    <t>Dr Marc Lane</t>
  </si>
  <si>
    <t>lgraham@example.com</t>
  </si>
  <si>
    <t>B9 3ZN</t>
  </si>
  <si>
    <t>ACT-01283</t>
  </si>
  <si>
    <t>ACC-10910</t>
  </si>
  <si>
    <t>CUST-50910</t>
  </si>
  <si>
    <t>Michelle Sanders</t>
  </si>
  <si>
    <t>ACT-01284</t>
  </si>
  <si>
    <t>karlthomas@example.com</t>
  </si>
  <si>
    <t>ACT-01285</t>
  </si>
  <si>
    <t>S8 2AL</t>
  </si>
  <si>
    <t>ACC-10911</t>
  </si>
  <si>
    <t>CUST-50911</t>
  </si>
  <si>
    <t>Charlie Kaur</t>
  </si>
  <si>
    <t>ACT-01286</t>
  </si>
  <si>
    <t>butlerjason@example.net</t>
  </si>
  <si>
    <t>DT63 6YN</t>
  </si>
  <si>
    <t>ACT-01287</t>
  </si>
  <si>
    <t>ACC-10912</t>
  </si>
  <si>
    <t>CUST-50912</t>
  </si>
  <si>
    <t>Hazel Scott</t>
  </si>
  <si>
    <t>ACT-01288</t>
  </si>
  <si>
    <t>cperkins@example.com</t>
  </si>
  <si>
    <t>KY1A 3JR</t>
  </si>
  <si>
    <t>ACT-01289</t>
  </si>
  <si>
    <t>ACC-10913</t>
  </si>
  <si>
    <t>CUST-50913</t>
  </si>
  <si>
    <t>Judith Burgess</t>
  </si>
  <si>
    <t>ACT-01290</t>
  </si>
  <si>
    <t>perkinsryan@example.org</t>
  </si>
  <si>
    <t>ACT-01291</t>
  </si>
  <si>
    <t>WD18 5SX</t>
  </si>
  <si>
    <t>ACC-10914</t>
  </si>
  <si>
    <t>ACT-01292</t>
  </si>
  <si>
    <t>CUST-50914</t>
  </si>
  <si>
    <t>Dr Terry Bird</t>
  </si>
  <si>
    <t>yatesstuart@example.com</t>
  </si>
  <si>
    <t>N4U 8ZS</t>
  </si>
  <si>
    <t>ACT-01293</t>
  </si>
  <si>
    <t>ACC-10915</t>
  </si>
  <si>
    <t>CUST-50915</t>
  </si>
  <si>
    <t>Raymond Williams-Davison</t>
  </si>
  <si>
    <t>ACT-01294</t>
  </si>
  <si>
    <t>xlees@example.com</t>
  </si>
  <si>
    <t>G7 9ZR</t>
  </si>
  <si>
    <t>ACC-10916</t>
  </si>
  <si>
    <t>CUST-50916</t>
  </si>
  <si>
    <t>Grace Murphy</t>
  </si>
  <si>
    <t>rjohnson@example.net</t>
  </si>
  <si>
    <t>HX6 9YZ</t>
  </si>
  <si>
    <t>ACC-10917</t>
  </si>
  <si>
    <t>CUST-50917</t>
  </si>
  <si>
    <t>Annette Roberts</t>
  </si>
  <si>
    <t>ACT-01295</t>
  </si>
  <si>
    <t>sweston@example.org</t>
  </si>
  <si>
    <t>HU15 6PS</t>
  </si>
  <si>
    <t>ACC-10918</t>
  </si>
  <si>
    <t>CUST-50918</t>
  </si>
  <si>
    <t>Donna Moss</t>
  </si>
  <si>
    <t>ACT-01296</t>
  </si>
  <si>
    <t>simpsonjennifer@example.org</t>
  </si>
  <si>
    <t>L3H 2JQ</t>
  </si>
  <si>
    <t>ACC-10919</t>
  </si>
  <si>
    <t>CUST-50919</t>
  </si>
  <si>
    <t>Justin Schofield-Walker</t>
  </si>
  <si>
    <t>ACT-01297</t>
  </si>
  <si>
    <t>harrisontony@example.org</t>
  </si>
  <si>
    <t>WA7A 1FE</t>
  </si>
  <si>
    <t>ACC-10920</t>
  </si>
  <si>
    <t>CUST-50920</t>
  </si>
  <si>
    <t>Dr Daniel Sharpe</t>
  </si>
  <si>
    <t>ACT-01298</t>
  </si>
  <si>
    <t>marshallhollie@example.org</t>
  </si>
  <si>
    <t>B94 1YQ</t>
  </si>
  <si>
    <t>ACC-10921</t>
  </si>
  <si>
    <t>CUST-50921</t>
  </si>
  <si>
    <t>Danielle Johnston</t>
  </si>
  <si>
    <t>ACT-01299</t>
  </si>
  <si>
    <t>aaronmatthews@example.org</t>
  </si>
  <si>
    <t>S7W 3YF</t>
  </si>
  <si>
    <t>ACC-10922</t>
  </si>
  <si>
    <t>CUST-50922</t>
  </si>
  <si>
    <t>Diana Cole</t>
  </si>
  <si>
    <t>ruthyoung@example.org</t>
  </si>
  <si>
    <t>EC9 3XU</t>
  </si>
  <si>
    <t>ACT-01300</t>
  </si>
  <si>
    <t>ACC-10923</t>
  </si>
  <si>
    <t>CUST-50923</t>
  </si>
  <si>
    <t>Jeffrey Cooke</t>
  </si>
  <si>
    <t>rhicks@example.org</t>
  </si>
  <si>
    <t>E1U 4UT</t>
  </si>
  <si>
    <t>ACC-10924</t>
  </si>
  <si>
    <t>ACT-01301</t>
  </si>
  <si>
    <t>CUST-50924</t>
  </si>
  <si>
    <t>Jill Shaw</t>
  </si>
  <si>
    <t>kaurmary@example.org</t>
  </si>
  <si>
    <t>TR6B 7DW</t>
  </si>
  <si>
    <t>ACC-10925</t>
  </si>
  <si>
    <t>CUST-50925</t>
  </si>
  <si>
    <t>Marian Murphy</t>
  </si>
  <si>
    <t>ACT-01302</t>
  </si>
  <si>
    <t>jwilson@example.net</t>
  </si>
  <si>
    <t>HA9E 1UR</t>
  </si>
  <si>
    <t>ACC-10926</t>
  </si>
  <si>
    <t>CUST-50926</t>
  </si>
  <si>
    <t>Leah Jackson-Williams</t>
  </si>
  <si>
    <t>ACT-01303</t>
  </si>
  <si>
    <t>ajones@example.com</t>
  </si>
  <si>
    <t>DH8A 0NH</t>
  </si>
  <si>
    <t>ACC-10927</t>
  </si>
  <si>
    <t>CUST-50927</t>
  </si>
  <si>
    <t>Daniel Bibi</t>
  </si>
  <si>
    <t>robert26@example.net</t>
  </si>
  <si>
    <t>RH5 0XG</t>
  </si>
  <si>
    <t>ACC-10928</t>
  </si>
  <si>
    <t>CUST-50928</t>
  </si>
  <si>
    <t>Debra Fleming-Hughes</t>
  </si>
  <si>
    <t>ACT-01304</t>
  </si>
  <si>
    <t>garry08@example.org</t>
  </si>
  <si>
    <t>WC7 2PF</t>
  </si>
  <si>
    <t>ACC-10929</t>
  </si>
  <si>
    <t>CUST-50929</t>
  </si>
  <si>
    <t>Anne Grant-Brown</t>
  </si>
  <si>
    <t>williamsgemma@example.org</t>
  </si>
  <si>
    <t>ACT-01305</t>
  </si>
  <si>
    <t>LL99 8RS</t>
  </si>
  <si>
    <t>ACC-10930</t>
  </si>
  <si>
    <t>CUST-50930</t>
  </si>
  <si>
    <t>Mr Owen Campbell</t>
  </si>
  <si>
    <t>jordanrees@example.org</t>
  </si>
  <si>
    <t>DE6 9ZN</t>
  </si>
  <si>
    <t>ACT-01306</t>
  </si>
  <si>
    <t>ACC-10931</t>
  </si>
  <si>
    <t>CUST-50931</t>
  </si>
  <si>
    <t>Fiona O'Brien</t>
  </si>
  <si>
    <t>terence43@example.com</t>
  </si>
  <si>
    <t>S5 2XR</t>
  </si>
  <si>
    <t>ACC-10932</t>
  </si>
  <si>
    <t>CUST-50932</t>
  </si>
  <si>
    <t>Cameron Turner</t>
  </si>
  <si>
    <t>ACT-01307</t>
  </si>
  <si>
    <t>joannaroberts@example.org</t>
  </si>
  <si>
    <t>W8 6QT</t>
  </si>
  <si>
    <t>ACC-10933</t>
  </si>
  <si>
    <t>CUST-50933</t>
  </si>
  <si>
    <t>Joseph White</t>
  </si>
  <si>
    <t>marionwilliams@example.net</t>
  </si>
  <si>
    <t>W46 2ZF</t>
  </si>
  <si>
    <t>ACT-01308</t>
  </si>
  <si>
    <t>ACC-10934</t>
  </si>
  <si>
    <t>CUST-50934</t>
  </si>
  <si>
    <t>Sharon Griffin-Johnson</t>
  </si>
  <si>
    <t>clifford91@example.com</t>
  </si>
  <si>
    <t>L7T 9LL</t>
  </si>
  <si>
    <t>ACC-10935</t>
  </si>
  <si>
    <t>CUST-50935</t>
  </si>
  <si>
    <t>Dr Garry Roberts</t>
  </si>
  <si>
    <t>ACT-01309</t>
  </si>
  <si>
    <t>vmartin@example.com</t>
  </si>
  <si>
    <t>G9G 8GX</t>
  </si>
  <si>
    <t>ACC-10936</t>
  </si>
  <si>
    <t>CUST-50936</t>
  </si>
  <si>
    <t>Bryan Gardner</t>
  </si>
  <si>
    <t>ACT-01310</t>
  </si>
  <si>
    <t>clarkjill@example.org</t>
  </si>
  <si>
    <t>TS9 6XW</t>
  </si>
  <si>
    <t>ACC-10937</t>
  </si>
  <si>
    <t>CUST-50937</t>
  </si>
  <si>
    <t>Ms Jennifer Brooks</t>
  </si>
  <si>
    <t>mollywatts@example.org</t>
  </si>
  <si>
    <t>NW5 3GE</t>
  </si>
  <si>
    <t>ACT-01311</t>
  </si>
  <si>
    <t>ACC-10938</t>
  </si>
  <si>
    <t>CUST-50938</t>
  </si>
  <si>
    <t>Dr Barry Nelson</t>
  </si>
  <si>
    <t>geraldwalker@example.org</t>
  </si>
  <si>
    <t>W6W 7YE</t>
  </si>
  <si>
    <t>ACC-10939</t>
  </si>
  <si>
    <t>CUST-50939</t>
  </si>
  <si>
    <t>Patrick Matthews-Smith</t>
  </si>
  <si>
    <t>ACT-01312</t>
  </si>
  <si>
    <t>emma71@example.net</t>
  </si>
  <si>
    <t>E6T 9GL</t>
  </si>
  <si>
    <t>ACC-10940</t>
  </si>
  <si>
    <t>CUST-50940</t>
  </si>
  <si>
    <t>ACT-01313</t>
  </si>
  <si>
    <t>frank88@example.org</t>
  </si>
  <si>
    <t>W5J 5FT</t>
  </si>
  <si>
    <t>ACC-10941</t>
  </si>
  <si>
    <t>CUST-50941</t>
  </si>
  <si>
    <t>Mr Stanley Jones</t>
  </si>
  <si>
    <t>njones@example.org</t>
  </si>
  <si>
    <t>BS3 6YR</t>
  </si>
  <si>
    <t>ACT-01314</t>
  </si>
  <si>
    <t>ACC-10942</t>
  </si>
  <si>
    <t>CUST-50942</t>
  </si>
  <si>
    <t>Craig Horton-Burton</t>
  </si>
  <si>
    <t>roy71@example.org</t>
  </si>
  <si>
    <t>S47 2WJ</t>
  </si>
  <si>
    <t>ACC-10943</t>
  </si>
  <si>
    <t>CUST-50943</t>
  </si>
  <si>
    <t>Maurice Hewitt</t>
  </si>
  <si>
    <t>ACT-01315</t>
  </si>
  <si>
    <t>rrichardson@example.net</t>
  </si>
  <si>
    <t>N91 1RR</t>
  </si>
  <si>
    <t>ACC-10944</t>
  </si>
  <si>
    <t>CUST-50944</t>
  </si>
  <si>
    <t>Rebecca Kaur-Nicholls</t>
  </si>
  <si>
    <t>bdavis@example.net</t>
  </si>
  <si>
    <t>ACT-01316</t>
  </si>
  <si>
    <t>W81 1ZD</t>
  </si>
  <si>
    <t>ACC-10945</t>
  </si>
  <si>
    <t>CUST-50945</t>
  </si>
  <si>
    <t>Elaine Robinson-Jones</t>
  </si>
  <si>
    <t>zmoore@example.com</t>
  </si>
  <si>
    <t>W1T 4PS</t>
  </si>
  <si>
    <t>ACC-10946</t>
  </si>
  <si>
    <t>ACT-01317</t>
  </si>
  <si>
    <t>CUST-50946</t>
  </si>
  <si>
    <t>John Barnes</t>
  </si>
  <si>
    <t>TN2H 4HL</t>
  </si>
  <si>
    <t>ACC-10947</t>
  </si>
  <si>
    <t>CUST-50947</t>
  </si>
  <si>
    <t>Nicholas Sharp-Taylor</t>
  </si>
  <si>
    <t>ACT-01318</t>
  </si>
  <si>
    <t>connorfleming@example.net</t>
  </si>
  <si>
    <t>N0U 7ZU</t>
  </si>
  <si>
    <t>ACC-10948</t>
  </si>
  <si>
    <t>CUST-50948</t>
  </si>
  <si>
    <t>Brett Hart-Powell</t>
  </si>
  <si>
    <t>ACT-01319</t>
  </si>
  <si>
    <t>tinathorpe@example.org</t>
  </si>
  <si>
    <t>HD1M 4RW</t>
  </si>
  <si>
    <t>ACC-10949</t>
  </si>
  <si>
    <t>CUST-50949</t>
  </si>
  <si>
    <t>Dr Melanie Clarke</t>
  </si>
  <si>
    <t>ACT-01320</t>
  </si>
  <si>
    <t>patelchristian@example.com</t>
  </si>
  <si>
    <t>N9C 6QD</t>
  </si>
  <si>
    <t>ACC-10950</t>
  </si>
  <si>
    <t>CUST-50950</t>
  </si>
  <si>
    <t>Mr Bryan Barrett</t>
  </si>
  <si>
    <t>dennis84@example.net</t>
  </si>
  <si>
    <t>ACT-01321</t>
  </si>
  <si>
    <t>CA8 7PQ</t>
  </si>
  <si>
    <t>ACC-10951</t>
  </si>
  <si>
    <t>CUST-50951</t>
  </si>
  <si>
    <t>Miss Natasha Mann</t>
  </si>
  <si>
    <t>kim12@example.org</t>
  </si>
  <si>
    <t>WR1V 7EP</t>
  </si>
  <si>
    <t>ACC-10952</t>
  </si>
  <si>
    <t>CUST-50952</t>
  </si>
  <si>
    <t>ACT-01322</t>
  </si>
  <si>
    <t>Mr Ashley Potter</t>
  </si>
  <si>
    <t>lewisleonard@example.org</t>
  </si>
  <si>
    <t>B36 1DP</t>
  </si>
  <si>
    <t>ACC-10953</t>
  </si>
  <si>
    <t>CUST-50953</t>
  </si>
  <si>
    <t>John Perry</t>
  </si>
  <si>
    <t>ACT-01323</t>
  </si>
  <si>
    <t>trevor96@example.net</t>
  </si>
  <si>
    <t>N2S 5ET</t>
  </si>
  <si>
    <t>ACC-10954</t>
  </si>
  <si>
    <t>CUST-50954</t>
  </si>
  <si>
    <t>Brenda Peacock</t>
  </si>
  <si>
    <t>jacqueline81@example.com</t>
  </si>
  <si>
    <t>N9D 5QE</t>
  </si>
  <si>
    <t>ACT-01324</t>
  </si>
  <si>
    <t>ACC-10955</t>
  </si>
  <si>
    <t>CUST-50955</t>
  </si>
  <si>
    <t>Mrs Susan Glover</t>
  </si>
  <si>
    <t>ACT-01325</t>
  </si>
  <si>
    <t>hollandthomas@example.com</t>
  </si>
  <si>
    <t>IM85 2SW</t>
  </si>
  <si>
    <t>ACC-10956</t>
  </si>
  <si>
    <t>ACT-01326</t>
  </si>
  <si>
    <t>CUST-50956</t>
  </si>
  <si>
    <t>Alex Howard</t>
  </si>
  <si>
    <t>andersonwilliam@example.org</t>
  </si>
  <si>
    <t>G5 5AW</t>
  </si>
  <si>
    <t>ACT-01327</t>
  </si>
  <si>
    <t>ACC-10957</t>
  </si>
  <si>
    <t>CUST-50957</t>
  </si>
  <si>
    <t>Declan O'Neill</t>
  </si>
  <si>
    <t>ACT-01328</t>
  </si>
  <si>
    <t>samanthaknight@example.org</t>
  </si>
  <si>
    <t>E48 1BD</t>
  </si>
  <si>
    <t>ACC-10958</t>
  </si>
  <si>
    <t>CUST-50958</t>
  </si>
  <si>
    <t>Mohammad Carey</t>
  </si>
  <si>
    <t>ACT-01329</t>
  </si>
  <si>
    <t>powelljulian@example.com</t>
  </si>
  <si>
    <t>M34 5XQ</t>
  </si>
  <si>
    <t>ACT-01330</t>
  </si>
  <si>
    <t>ACC-10959</t>
  </si>
  <si>
    <t>CUST-50959</t>
  </si>
  <si>
    <t>Shirley Foster</t>
  </si>
  <si>
    <t>ACT-01331</t>
  </si>
  <si>
    <t>B34 9BP</t>
  </si>
  <si>
    <t>ACC-10960</t>
  </si>
  <si>
    <t>CUST-50960</t>
  </si>
  <si>
    <t>Dr Tony Davis</t>
  </si>
  <si>
    <t>ACT-01332</t>
  </si>
  <si>
    <t>nigelnolan@example.net</t>
  </si>
  <si>
    <t>S3A 5GH</t>
  </si>
  <si>
    <t>ACT-01333</t>
  </si>
  <si>
    <t>ACC-10961</t>
  </si>
  <si>
    <t>CUST-50961</t>
  </si>
  <si>
    <t>Brett Harrison</t>
  </si>
  <si>
    <t>hcartwright@example.org</t>
  </si>
  <si>
    <t>ACT-01334</t>
  </si>
  <si>
    <t>B7T 3RP</t>
  </si>
  <si>
    <t>ACC-10962</t>
  </si>
  <si>
    <t>CUST-50962</t>
  </si>
  <si>
    <t>Owen Lee-Ball</t>
  </si>
  <si>
    <t>ACT-01335</t>
  </si>
  <si>
    <t>heather29@example.com</t>
  </si>
  <si>
    <t>LU6W 2JS</t>
  </si>
  <si>
    <t>ACC-10963</t>
  </si>
  <si>
    <t>ACT-01336</t>
  </si>
  <si>
    <t>CUST-50963</t>
  </si>
  <si>
    <t>Mr Donald Jones</t>
  </si>
  <si>
    <t>gregory62@example.org</t>
  </si>
  <si>
    <t>B47 6GZ</t>
  </si>
  <si>
    <t>ACT-01337</t>
  </si>
  <si>
    <t>ACC-10964</t>
  </si>
  <si>
    <t>CUST-50964</t>
  </si>
  <si>
    <t>Alan Goodwin</t>
  </si>
  <si>
    <t>ACT-01338</t>
  </si>
  <si>
    <t>guyroberts@example.org</t>
  </si>
  <si>
    <t>S4E 7DR</t>
  </si>
  <si>
    <t>ACC-10965</t>
  </si>
  <si>
    <t>CUST-50965</t>
  </si>
  <si>
    <t>Tracey Stewart</t>
  </si>
  <si>
    <t>ACT-01339</t>
  </si>
  <si>
    <t>llord@example.com</t>
  </si>
  <si>
    <t>G66 1RE</t>
  </si>
  <si>
    <t>ACT-01340</t>
  </si>
  <si>
    <t>ACC-10966</t>
  </si>
  <si>
    <t>CUST-50966</t>
  </si>
  <si>
    <t>Mrs Ellie Cooper</t>
  </si>
  <si>
    <t>iain96@example.org</t>
  </si>
  <si>
    <t>ACT-01341</t>
  </si>
  <si>
    <t>DT6E 2LE</t>
  </si>
  <si>
    <t>ACC-10967</t>
  </si>
  <si>
    <t>CUST-50967</t>
  </si>
  <si>
    <t>Clare Jones</t>
  </si>
  <si>
    <t>ACT-01342</t>
  </si>
  <si>
    <t>williamsholly@example.org</t>
  </si>
  <si>
    <t>N53 7SL</t>
  </si>
  <si>
    <t>ACC-10968</t>
  </si>
  <si>
    <t>ACT-01343</t>
  </si>
  <si>
    <t>CUST-50968</t>
  </si>
  <si>
    <t>Glen Duffy</t>
  </si>
  <si>
    <t>owilson@example.net</t>
  </si>
  <si>
    <t>L8 3YW</t>
  </si>
  <si>
    <t>ACT-01344</t>
  </si>
  <si>
    <t>ACC-10969</t>
  </si>
  <si>
    <t>CUST-50969</t>
  </si>
  <si>
    <t>Daniel Ward</t>
  </si>
  <si>
    <t>ACT-01345</t>
  </si>
  <si>
    <t>lee84@example.com</t>
  </si>
  <si>
    <t>N79 3AB</t>
  </si>
  <si>
    <t>ACC-10970</t>
  </si>
  <si>
    <t>ACT-01346</t>
  </si>
  <si>
    <t>CUST-50970</t>
  </si>
  <si>
    <t>Sara Bryan</t>
  </si>
  <si>
    <t>bullsylvia@example.net</t>
  </si>
  <si>
    <t>CA1 4EU</t>
  </si>
  <si>
    <t>ACT-01347</t>
  </si>
  <si>
    <t>ACC-10971</t>
  </si>
  <si>
    <t>CUST-50971</t>
  </si>
  <si>
    <t>Dylan Humphreys-Foster</t>
  </si>
  <si>
    <t>ACT-01348</t>
  </si>
  <si>
    <t>michelle65@example.org</t>
  </si>
  <si>
    <t>WR5E 8HG</t>
  </si>
  <si>
    <t>ACC-10972</t>
  </si>
  <si>
    <t>CUST-50972</t>
  </si>
  <si>
    <t>Diane Clayton</t>
  </si>
  <si>
    <t>ACT-01349</t>
  </si>
  <si>
    <t>robinsondawn@example.com</t>
  </si>
  <si>
    <t>DT95 3QU</t>
  </si>
  <si>
    <t>ACT-01350</t>
  </si>
  <si>
    <t>ACC-10973</t>
  </si>
  <si>
    <t>CUST-50973</t>
  </si>
  <si>
    <t>Dr Chelsea Palmer</t>
  </si>
  <si>
    <t>katefoster@example.net</t>
  </si>
  <si>
    <t>ACT-01351</t>
  </si>
  <si>
    <t>B73 4NJ</t>
  </si>
  <si>
    <t>ACC-10974</t>
  </si>
  <si>
    <t>CUST-50974</t>
  </si>
  <si>
    <t>Sheila Jennings</t>
  </si>
  <si>
    <t>ACT-01352</t>
  </si>
  <si>
    <t>achambers@example.org</t>
  </si>
  <si>
    <t>DY9X 7DF</t>
  </si>
  <si>
    <t>ACC-10975</t>
  </si>
  <si>
    <t>ACT-01353</t>
  </si>
  <si>
    <t>CUST-50975</t>
  </si>
  <si>
    <t>Alan Shah</t>
  </si>
  <si>
    <t>jeffreywilliams@example.com</t>
  </si>
  <si>
    <t>BH22 3DR</t>
  </si>
  <si>
    <t>ACT-01354</t>
  </si>
  <si>
    <t>ACC-10976</t>
  </si>
  <si>
    <t>CUST-50976</t>
  </si>
  <si>
    <t>Stephen Kelly</t>
  </si>
  <si>
    <t>ACT-01355</t>
  </si>
  <si>
    <t>anthonyvincent@example.net</t>
  </si>
  <si>
    <t>B04 7RR</t>
  </si>
  <si>
    <t>ACC-10977</t>
  </si>
  <si>
    <t>CUST-50977</t>
  </si>
  <si>
    <t>Dr Bruce Phillips</t>
  </si>
  <si>
    <t>ACT-01356</t>
  </si>
  <si>
    <t>martyn65@example.net</t>
  </si>
  <si>
    <t>ACT-01357</t>
  </si>
  <si>
    <t>E97 6SH</t>
  </si>
  <si>
    <t>ACC-10978</t>
  </si>
  <si>
    <t>ACT-01358</t>
  </si>
  <si>
    <t>CUST-50978</t>
  </si>
  <si>
    <t>Brett Green</t>
  </si>
  <si>
    <t>roger59@example.net</t>
  </si>
  <si>
    <t>E3J 8UR</t>
  </si>
  <si>
    <t>ACC-10979</t>
  </si>
  <si>
    <t>CUST-50979</t>
  </si>
  <si>
    <t>ACT-01359</t>
  </si>
  <si>
    <t>Kayleigh Wilson-Allen</t>
  </si>
  <si>
    <t>melanie57@example.com</t>
  </si>
  <si>
    <t>G18 9GB</t>
  </si>
  <si>
    <t>ACT-01360</t>
  </si>
  <si>
    <t>ACC-10980</t>
  </si>
  <si>
    <t>CUST-50980</t>
  </si>
  <si>
    <t>Robert Walton</t>
  </si>
  <si>
    <t>ACT-01361</t>
  </si>
  <si>
    <t>vanessalawrence@example.com</t>
  </si>
  <si>
    <t>SE9E 8HU</t>
  </si>
  <si>
    <t>ACC-10981</t>
  </si>
  <si>
    <t>CUST-50981</t>
  </si>
  <si>
    <t>Paula Sanderson-Moran</t>
  </si>
  <si>
    <t>ACT-01362</t>
  </si>
  <si>
    <t>ipayne@example.org</t>
  </si>
  <si>
    <t>DH8Y 6LA</t>
  </si>
  <si>
    <t>ACT-01363</t>
  </si>
  <si>
    <t>ACC-10982</t>
  </si>
  <si>
    <t>CUST-50982</t>
  </si>
  <si>
    <t>Dr Zoe Powell</t>
  </si>
  <si>
    <t>alexandergreen@example.com</t>
  </si>
  <si>
    <t>ACT-01364</t>
  </si>
  <si>
    <t>M8 8LA</t>
  </si>
  <si>
    <t>ACC-10983</t>
  </si>
  <si>
    <t>CUST-50983</t>
  </si>
  <si>
    <t>Teresa Brookes-Cox</t>
  </si>
  <si>
    <t>ACT-01365</t>
  </si>
  <si>
    <t>janetfuller@example.net</t>
  </si>
  <si>
    <t>NE10 2WL</t>
  </si>
  <si>
    <t>ACC-10984</t>
  </si>
  <si>
    <t>CUST-50984</t>
  </si>
  <si>
    <t>Maureen Williamson</t>
  </si>
  <si>
    <t>ACT-01366</t>
  </si>
  <si>
    <t>xharper@example.com</t>
  </si>
  <si>
    <t>W1B 2AS</t>
  </si>
  <si>
    <t>ACC-10985</t>
  </si>
  <si>
    <t>ACT-01367</t>
  </si>
  <si>
    <t>CUST-50985</t>
  </si>
  <si>
    <t>Dr Toby Powell</t>
  </si>
  <si>
    <t>susan81@example.net</t>
  </si>
  <si>
    <t>M8 2GP</t>
  </si>
  <si>
    <t>ACT-01368</t>
  </si>
  <si>
    <t>ACC-10986</t>
  </si>
  <si>
    <t>CUST-50986</t>
  </si>
  <si>
    <t>Rachael Porter</t>
  </si>
  <si>
    <t>ACT-01369</t>
  </si>
  <si>
    <t>richardsvanessa@example.org</t>
  </si>
  <si>
    <t>BL7H 8AT</t>
  </si>
  <si>
    <t>ACC-10987</t>
  </si>
  <si>
    <t>CUST-50987</t>
  </si>
  <si>
    <t>Vanessa Graham</t>
  </si>
  <si>
    <t>ACT-01370</t>
  </si>
  <si>
    <t>mcollins@example.com</t>
  </si>
  <si>
    <t>S75 6WE</t>
  </si>
  <si>
    <t>ACC-10988</t>
  </si>
  <si>
    <t>ACT-01371</t>
  </si>
  <si>
    <t>CUST-50988</t>
  </si>
  <si>
    <t>Clifford Hussain</t>
  </si>
  <si>
    <t>mathew09@example.net</t>
  </si>
  <si>
    <t>SA84 4QQ</t>
  </si>
  <si>
    <t>ACT-01372</t>
  </si>
  <si>
    <t>ACC-10989</t>
  </si>
  <si>
    <t>CUST-50989</t>
  </si>
  <si>
    <t>Mr Patrick Edwards</t>
  </si>
  <si>
    <t>ACT-01373</t>
  </si>
  <si>
    <t>LU9Y 2DT</t>
  </si>
  <si>
    <t>ACC-10990</t>
  </si>
  <si>
    <t>CUST-50990</t>
  </si>
  <si>
    <t>Miss Mandy Birch</t>
  </si>
  <si>
    <t>ACT-01374</t>
  </si>
  <si>
    <t>melissametcalfe@example.org</t>
  </si>
  <si>
    <t>ACT-01375</t>
  </si>
  <si>
    <t>E2G 2HS</t>
  </si>
  <si>
    <t>ACC-10991</t>
  </si>
  <si>
    <t>CUST-50991</t>
  </si>
  <si>
    <t>Guy Wyatt-Richardson</t>
  </si>
  <si>
    <t>ACT-01376</t>
  </si>
  <si>
    <t>tracy72@example.net</t>
  </si>
  <si>
    <t>E0A 6UE</t>
  </si>
  <si>
    <t>ACT-01377</t>
  </si>
  <si>
    <t>ACC-10992</t>
  </si>
  <si>
    <t>CUST-50992</t>
  </si>
  <si>
    <t>Derek Davison</t>
  </si>
  <si>
    <t>ACT-01378</t>
  </si>
  <si>
    <t>emma29@example.org</t>
  </si>
  <si>
    <t>E7B 7AY</t>
  </si>
  <si>
    <t>ACC-10993</t>
  </si>
  <si>
    <t>CUST-50993</t>
  </si>
  <si>
    <t>James Kelly</t>
  </si>
  <si>
    <t>ACT-01379</t>
  </si>
  <si>
    <t>keith01@example.net</t>
  </si>
  <si>
    <t>SO0A 9DS</t>
  </si>
  <si>
    <t>ACC-10994</t>
  </si>
  <si>
    <t>CUST-50994</t>
  </si>
  <si>
    <t>Mathew Jackson-Wright</t>
  </si>
  <si>
    <t>ACT-01380</t>
  </si>
  <si>
    <t>marshallpamela@example.net</t>
  </si>
  <si>
    <t>M7E 9EQ</t>
  </si>
  <si>
    <t>ACC-10995</t>
  </si>
  <si>
    <t>ACT-01381</t>
  </si>
  <si>
    <t>CUST-50995</t>
  </si>
  <si>
    <t>Amanda Shepherd-Jones</t>
  </si>
  <si>
    <t>haynesgary@example.com</t>
  </si>
  <si>
    <t>G39 2ZB</t>
  </si>
  <si>
    <t>ACT-01382</t>
  </si>
  <si>
    <t>ACC-10996</t>
  </si>
  <si>
    <t>CUST-50996</t>
  </si>
  <si>
    <t>Miss Holly Green</t>
  </si>
  <si>
    <t>ACT-01383</t>
  </si>
  <si>
    <t>ambermann@example.net</t>
  </si>
  <si>
    <t>S3K 8YA</t>
  </si>
  <si>
    <t>ACC-10997</t>
  </si>
  <si>
    <t>CUST-50997</t>
  </si>
  <si>
    <t>Samantha Campbell</t>
  </si>
  <si>
    <t>ACT-01384</t>
  </si>
  <si>
    <t>xrobinson@example.org</t>
  </si>
  <si>
    <t>WN9X 3GJ</t>
  </si>
  <si>
    <t>ACT-01385</t>
  </si>
  <si>
    <t>ACC-10998</t>
  </si>
  <si>
    <t>CUST-50998</t>
  </si>
  <si>
    <t>Mr Scott Dean</t>
  </si>
  <si>
    <t>osbornejustin@example.net</t>
  </si>
  <si>
    <t>B90 8EQ</t>
  </si>
  <si>
    <t>ACT-01386</t>
  </si>
  <si>
    <t>ACC-10999</t>
  </si>
  <si>
    <t>CUST-50999</t>
  </si>
  <si>
    <t>Alan Chapman</t>
  </si>
  <si>
    <t>ACT-01387</t>
  </si>
  <si>
    <t>andrea18@example.com</t>
  </si>
  <si>
    <t>TS25 6NY</t>
  </si>
  <si>
    <t>ACC-11000</t>
  </si>
  <si>
    <t>CUST-51000</t>
  </si>
  <si>
    <t>Kirsty Begum</t>
  </si>
  <si>
    <t>ACT-01388</t>
  </si>
  <si>
    <t>cooperlouise@example.com</t>
  </si>
  <si>
    <t>G6T 6NT</t>
  </si>
  <si>
    <t>ACT-01389</t>
  </si>
  <si>
    <t>ACC-11001</t>
  </si>
  <si>
    <t>CUST-51001</t>
  </si>
  <si>
    <t>Ashley Brown</t>
  </si>
  <si>
    <t>ACT-01390</t>
  </si>
  <si>
    <t>tstevens@example.com</t>
  </si>
  <si>
    <t>WD4 2LE</t>
  </si>
  <si>
    <t>ACC-11002</t>
  </si>
  <si>
    <t>CUST-51002</t>
  </si>
  <si>
    <t>Mary Edwards</t>
  </si>
  <si>
    <t>ACT-01391</t>
  </si>
  <si>
    <t>reidashley@example.org</t>
  </si>
  <si>
    <t>PL4R 3WT</t>
  </si>
  <si>
    <t>ACC-11003</t>
  </si>
  <si>
    <t>CUST-51003</t>
  </si>
  <si>
    <t>ACT-01392</t>
  </si>
  <si>
    <t>Ms Jade Harrison</t>
  </si>
  <si>
    <t>leslie39@example.org</t>
  </si>
  <si>
    <t>CA4 4ZE</t>
  </si>
  <si>
    <t>ACT-01393</t>
  </si>
  <si>
    <t>ACC-11004</t>
  </si>
  <si>
    <t>CUST-51004</t>
  </si>
  <si>
    <t>Dr Jeremy Rahman</t>
  </si>
  <si>
    <t>ACT-01394</t>
  </si>
  <si>
    <t>gshah@example.org</t>
  </si>
  <si>
    <t>BS20 6XA</t>
  </si>
  <si>
    <t>ACC-11005</t>
  </si>
  <si>
    <t>CUST-51005</t>
  </si>
  <si>
    <t>Mr Thomas Butler</t>
  </si>
  <si>
    <t>ACT-01395</t>
  </si>
  <si>
    <t>chapmansian@example.net</t>
  </si>
  <si>
    <t>BN7B 6PN</t>
  </si>
  <si>
    <t>ACT-01396</t>
  </si>
  <si>
    <t>ACC-11006</t>
  </si>
  <si>
    <t>CUST-51006</t>
  </si>
  <si>
    <t>Andrea Mann</t>
  </si>
  <si>
    <t>ACT-01397</t>
  </si>
  <si>
    <t>hmartin@example.com</t>
  </si>
  <si>
    <t>ACT-01398</t>
  </si>
  <si>
    <t>E7T 5DW</t>
  </si>
  <si>
    <t>ACC-11007</t>
  </si>
  <si>
    <t>ACT-01399</t>
  </si>
  <si>
    <t>CUST-51007</t>
  </si>
  <si>
    <t>Ms Chelsea Taylor</t>
  </si>
  <si>
    <t>ricky74@example.org</t>
  </si>
  <si>
    <t>ACT-01400</t>
  </si>
  <si>
    <t>NR49 1RX</t>
  </si>
  <si>
    <t>ACC-11008</t>
  </si>
  <si>
    <t>CUST-51008</t>
  </si>
  <si>
    <t>ACT-01401</t>
  </si>
  <si>
    <t>Karen Reynolds</t>
  </si>
  <si>
    <t>clarkjodie@example.net</t>
  </si>
  <si>
    <t>TA9 2PA</t>
  </si>
  <si>
    <t>ACC-11009</t>
  </si>
  <si>
    <t>CUST-51009</t>
  </si>
  <si>
    <t>Mrs Paula Watson</t>
  </si>
  <si>
    <t>ACT-01402</t>
  </si>
  <si>
    <t>acole@example.org</t>
  </si>
  <si>
    <t>W3 6DQ</t>
  </si>
  <si>
    <t>ACT-01403</t>
  </si>
  <si>
    <t>ACC-11010</t>
  </si>
  <si>
    <t>CUST-51010</t>
  </si>
  <si>
    <t>Emily Evans</t>
  </si>
  <si>
    <t>wardroy@example.com</t>
  </si>
  <si>
    <t>ACT-01404</t>
  </si>
  <si>
    <t>FK8 1EH</t>
  </si>
  <si>
    <t>ACC-11011</t>
  </si>
  <si>
    <t>CUST-51011</t>
  </si>
  <si>
    <t>Clare Wilson</t>
  </si>
  <si>
    <t>ACT-01405</t>
  </si>
  <si>
    <t>deborah31@example.com</t>
  </si>
  <si>
    <t>L2U 0PW</t>
  </si>
  <si>
    <t>ACC-11012</t>
  </si>
  <si>
    <t>CUST-51012</t>
  </si>
  <si>
    <t>Clare Thompson</t>
  </si>
  <si>
    <t>ACT-01406</t>
  </si>
  <si>
    <t>terencesmith@example.org</t>
  </si>
  <si>
    <t>G2H 0JJ</t>
  </si>
  <si>
    <t>ACT-01407</t>
  </si>
  <si>
    <t>ACC-11013</t>
  </si>
  <si>
    <t>CUST-51013</t>
  </si>
  <si>
    <t>Mrs Maureen Holmes</t>
  </si>
  <si>
    <t>ACT-01408</t>
  </si>
  <si>
    <t>arogers@example.com</t>
  </si>
  <si>
    <t>SR23 2EN</t>
  </si>
  <si>
    <t>ACC-11014</t>
  </si>
  <si>
    <t>CUST-51014</t>
  </si>
  <si>
    <t>Henry Fletcher</t>
  </si>
  <si>
    <t>ACT-01409</t>
  </si>
  <si>
    <t>nhiggins@example.net</t>
  </si>
  <si>
    <t>L42 9LE</t>
  </si>
  <si>
    <t>ACT-01410</t>
  </si>
  <si>
    <t>ACC-11015</t>
  </si>
  <si>
    <t>CUST-51015</t>
  </si>
  <si>
    <t>Yvonne Webster</t>
  </si>
  <si>
    <t>jenna25@example.net</t>
  </si>
  <si>
    <t>ACT-01411</t>
  </si>
  <si>
    <t>TN32 2EH</t>
  </si>
  <si>
    <t>ACC-11016</t>
  </si>
  <si>
    <t>CUST-51016</t>
  </si>
  <si>
    <t>Mr Stephen Reid</t>
  </si>
  <si>
    <t>ACT-01412</t>
  </si>
  <si>
    <t>anna67@example.org</t>
  </si>
  <si>
    <t>CV1 4FU</t>
  </si>
  <si>
    <t>ACC-11017</t>
  </si>
  <si>
    <t>CUST-51017</t>
  </si>
  <si>
    <t>Roger Simpson</t>
  </si>
  <si>
    <t>ACT-01413</t>
  </si>
  <si>
    <t>daviescheryl@example.org</t>
  </si>
  <si>
    <t>N5A 7RP</t>
  </si>
  <si>
    <t>ACC-11018</t>
  </si>
  <si>
    <t>CUST-51018</t>
  </si>
  <si>
    <t>Dr Matthew Lewis</t>
  </si>
  <si>
    <t>ACT-01414</t>
  </si>
  <si>
    <t>mfitzgerald@example.net</t>
  </si>
  <si>
    <t>PH5 0ZY</t>
  </si>
  <si>
    <t>ACC-11019</t>
  </si>
  <si>
    <t>CUST-51019</t>
  </si>
  <si>
    <t>Dr Danny Hughes</t>
  </si>
  <si>
    <t>ACT-01415</t>
  </si>
  <si>
    <t>beth30@example.com</t>
  </si>
  <si>
    <t>SA4A 5XR</t>
  </si>
  <si>
    <t>ACT-01416</t>
  </si>
  <si>
    <t>ACC-11020</t>
  </si>
  <si>
    <t>CUST-51020</t>
  </si>
  <si>
    <t>Declan Foster</t>
  </si>
  <si>
    <t>reesjordan@example.org</t>
  </si>
  <si>
    <t>BA84 3HN</t>
  </si>
  <si>
    <t>ACT-01417</t>
  </si>
  <si>
    <t>ACC-11021</t>
  </si>
  <si>
    <t>CUST-51021</t>
  </si>
  <si>
    <t>Denise Hudson-Davidson</t>
  </si>
  <si>
    <t>ruth14@example.org</t>
  </si>
  <si>
    <t>B28 0FT</t>
  </si>
  <si>
    <t>ACT-01418</t>
  </si>
  <si>
    <t>ACC-11022</t>
  </si>
  <si>
    <t>CUST-51022</t>
  </si>
  <si>
    <t>Adam Morton-Khan</t>
  </si>
  <si>
    <t>rebecca63@example.org</t>
  </si>
  <si>
    <t>FY78 2UH</t>
  </si>
  <si>
    <t>ACT-01419</t>
  </si>
  <si>
    <t>ACC-11023</t>
  </si>
  <si>
    <t>CUST-51023</t>
  </si>
  <si>
    <t>Dr Elliott Wilson</t>
  </si>
  <si>
    <t>alexander23@example.com</t>
  </si>
  <si>
    <t>W57 3EE</t>
  </si>
  <si>
    <t>ACT-01420</t>
  </si>
  <si>
    <t>ACC-11024</t>
  </si>
  <si>
    <t>CUST-51024</t>
  </si>
  <si>
    <t>Mohammad Green-Hamilton</t>
  </si>
  <si>
    <t>abigailwatkins@example.org</t>
  </si>
  <si>
    <t>G53 0HQ</t>
  </si>
  <si>
    <t>ACC-11025</t>
  </si>
  <si>
    <t>CUST-51025</t>
  </si>
  <si>
    <t>Ricky Hill</t>
  </si>
  <si>
    <t>ACT-01421</t>
  </si>
  <si>
    <t>geraldcox@example.com</t>
  </si>
  <si>
    <t>JE8 0JD</t>
  </si>
  <si>
    <t>ACT-01422</t>
  </si>
  <si>
    <t>ACC-11026</t>
  </si>
  <si>
    <t>CUST-51026</t>
  </si>
  <si>
    <t>Mrs Brenda Hardy</t>
  </si>
  <si>
    <t>ACT-01423</t>
  </si>
  <si>
    <t>kaursteven@example.com</t>
  </si>
  <si>
    <t>M8 0SD</t>
  </si>
  <si>
    <t>ACT-01424</t>
  </si>
  <si>
    <t>ACC-11027</t>
  </si>
  <si>
    <t>CUST-51027</t>
  </si>
  <si>
    <t>Beverley Kelly</t>
  </si>
  <si>
    <t>ACT-01425</t>
  </si>
  <si>
    <t>holly81@example.com</t>
  </si>
  <si>
    <t>SR2 7JF</t>
  </si>
  <si>
    <t>ACC-11028</t>
  </si>
  <si>
    <t>CUST-51028</t>
  </si>
  <si>
    <t>Barbara Jones-Young</t>
  </si>
  <si>
    <t>ywright@example.com</t>
  </si>
  <si>
    <t>ACT-01426</t>
  </si>
  <si>
    <t>L1C 9AE</t>
  </si>
  <si>
    <t>ACC-11029</t>
  </si>
  <si>
    <t>CUST-51029</t>
  </si>
  <si>
    <t>Roger Hobbs</t>
  </si>
  <si>
    <t>peternelson@example.net</t>
  </si>
  <si>
    <t>B2 9FF</t>
  </si>
  <si>
    <t>ACT-01427</t>
  </si>
  <si>
    <t>ACC-11030</t>
  </si>
  <si>
    <t>CUST-51030</t>
  </si>
  <si>
    <t>Andrew Coles</t>
  </si>
  <si>
    <t>hazelskinner@example.net</t>
  </si>
  <si>
    <t>BH3 1RX</t>
  </si>
  <si>
    <t>ACT-01428</t>
  </si>
  <si>
    <t>ACC-11031</t>
  </si>
  <si>
    <t>CUST-51031</t>
  </si>
  <si>
    <t>Miss Carly Herbert</t>
  </si>
  <si>
    <t>rileylinda@example.com</t>
  </si>
  <si>
    <t>SL94 0NF</t>
  </si>
  <si>
    <t>ACC-11032</t>
  </si>
  <si>
    <t>CUST-51032</t>
  </si>
  <si>
    <t>ACT-01429</t>
  </si>
  <si>
    <t>bellmartin@example.com</t>
  </si>
  <si>
    <t>HS45 3AD</t>
  </si>
  <si>
    <t>ACC-11033</t>
  </si>
  <si>
    <t>CUST-51033</t>
  </si>
  <si>
    <t>Dr Barry Young</t>
  </si>
  <si>
    <t>ACT-01430</t>
  </si>
  <si>
    <t>conor76@example.com</t>
  </si>
  <si>
    <t>NR4 3EQ</t>
  </si>
  <si>
    <t>ACC-11034</t>
  </si>
  <si>
    <t>CUST-51034</t>
  </si>
  <si>
    <t>Miss Clare Hill</t>
  </si>
  <si>
    <t>ACT-01431</t>
  </si>
  <si>
    <t>harriet09@example.com</t>
  </si>
  <si>
    <t>DT98 4SH</t>
  </si>
  <si>
    <t>ACC-11035</t>
  </si>
  <si>
    <t>CUST-51035</t>
  </si>
  <si>
    <t>ACT-01432</t>
  </si>
  <si>
    <t>Karl Martin</t>
  </si>
  <si>
    <t>TQ49 6BP</t>
  </si>
  <si>
    <t>ACT-01433</t>
  </si>
  <si>
    <t>ACC-11036</t>
  </si>
  <si>
    <t>CUST-51036</t>
  </si>
  <si>
    <t>Emily O'Connor</t>
  </si>
  <si>
    <t>ACT-01434</t>
  </si>
  <si>
    <t>imorgan@example.org</t>
  </si>
  <si>
    <t>KY9H 6EF</t>
  </si>
  <si>
    <t>ACC-11037</t>
  </si>
  <si>
    <t>CUST-51037</t>
  </si>
  <si>
    <t>Mrs Margaret Lee</t>
  </si>
  <si>
    <t>ACT-01435</t>
  </si>
  <si>
    <t>sheila31@example.org</t>
  </si>
  <si>
    <t>DE49 6EL</t>
  </si>
  <si>
    <t>ACT-01436</t>
  </si>
  <si>
    <t>ACC-11038</t>
  </si>
  <si>
    <t>CUST-51038</t>
  </si>
  <si>
    <t>Dr Ricky Brooks</t>
  </si>
  <si>
    <t>ACT-01437</t>
  </si>
  <si>
    <t>ufield@example.com</t>
  </si>
  <si>
    <t>OX5N 4WN</t>
  </si>
  <si>
    <t>ACC-11039</t>
  </si>
  <si>
    <t>ACT-01438</t>
  </si>
  <si>
    <t>CUST-51039</t>
  </si>
  <si>
    <t>Dr Emma Hobbs</t>
  </si>
  <si>
    <t>joel74@example.com</t>
  </si>
  <si>
    <t>GU8 6DD</t>
  </si>
  <si>
    <t>ACT-01439</t>
  </si>
  <si>
    <t>ACC-11040</t>
  </si>
  <si>
    <t>CUST-51040</t>
  </si>
  <si>
    <t>Rachel Williams</t>
  </si>
  <si>
    <t>ACT-01440</t>
  </si>
  <si>
    <t>E48 1YJ</t>
  </si>
  <si>
    <t>ACC-11041</t>
  </si>
  <si>
    <t>CUST-51041</t>
  </si>
  <si>
    <t>Georgina Wilson-Boyle</t>
  </si>
  <si>
    <t>ACT-01441</t>
  </si>
  <si>
    <t>vrichardson@example.net</t>
  </si>
  <si>
    <t>CM5A 2FZ</t>
  </si>
  <si>
    <t>ACC-11042</t>
  </si>
  <si>
    <t>ACT-01442</t>
  </si>
  <si>
    <t>CUST-51042</t>
  </si>
  <si>
    <t>Paige Long</t>
  </si>
  <si>
    <t>ACT-01443</t>
  </si>
  <si>
    <t>gkhan@example.org</t>
  </si>
  <si>
    <t>EX6 5XA</t>
  </si>
  <si>
    <t>ACC-11043</t>
  </si>
  <si>
    <t>CUST-51043</t>
  </si>
  <si>
    <t>Benjamin Wright-Bradley</t>
  </si>
  <si>
    <t>ACT-01444</t>
  </si>
  <si>
    <t>mohammad32@example.org</t>
  </si>
  <si>
    <t>E2 8BF</t>
  </si>
  <si>
    <t>ACC-11044</t>
  </si>
  <si>
    <t>CUST-51044</t>
  </si>
  <si>
    <t>Jacob Jackson</t>
  </si>
  <si>
    <t>ACT-01445</t>
  </si>
  <si>
    <t>lawrenceglen@example.net</t>
  </si>
  <si>
    <t>M4A 2AP</t>
  </si>
  <si>
    <t>ACT-01446</t>
  </si>
  <si>
    <t>ACC-11045</t>
  </si>
  <si>
    <t>CUST-51045</t>
  </si>
  <si>
    <t>Michelle Ahmed</t>
  </si>
  <si>
    <t>ACT-01447</t>
  </si>
  <si>
    <t>tnewton@example.net</t>
  </si>
  <si>
    <t>G15 7YT</t>
  </si>
  <si>
    <t>ACC-11046</t>
  </si>
  <si>
    <t>CUST-51046</t>
  </si>
  <si>
    <t>Graham Hunt</t>
  </si>
  <si>
    <t>ACT-01448</t>
  </si>
  <si>
    <t>marian29@example.org</t>
  </si>
  <si>
    <t>M2A 7DH</t>
  </si>
  <si>
    <t>ACT-01449</t>
  </si>
  <si>
    <t>ACC-11047</t>
  </si>
  <si>
    <t>CUST-51047</t>
  </si>
  <si>
    <t>Jill Walton</t>
  </si>
  <si>
    <t>ACT-01450</t>
  </si>
  <si>
    <t>taylorjoe@example.com</t>
  </si>
  <si>
    <t>W87 3AF</t>
  </si>
  <si>
    <t>ACT-01451</t>
  </si>
  <si>
    <t>ACC-11048</t>
  </si>
  <si>
    <t>CUST-51048</t>
  </si>
  <si>
    <t>Benjamin Rowe-Spencer</t>
  </si>
  <si>
    <t>cameron37@example.org</t>
  </si>
  <si>
    <t>ACT-01452</t>
  </si>
  <si>
    <t>NE28 2UD</t>
  </si>
  <si>
    <t>ACC-11049</t>
  </si>
  <si>
    <t>CUST-51049</t>
  </si>
  <si>
    <t>Natasha Parkin</t>
  </si>
  <si>
    <t>ACT-01453</t>
  </si>
  <si>
    <t>carrollelliott@example.net</t>
  </si>
  <si>
    <t>BH8 0UX</t>
  </si>
  <si>
    <t>ACC-11050</t>
  </si>
  <si>
    <t>ACT-01454</t>
  </si>
  <si>
    <t>CUST-51050</t>
  </si>
  <si>
    <t>Raymond Pearce</t>
  </si>
  <si>
    <t>kayleighgough@example.com</t>
  </si>
  <si>
    <t>IP0P 7NE</t>
  </si>
  <si>
    <t>ACT-01455</t>
  </si>
  <si>
    <t>ACC-11051</t>
  </si>
  <si>
    <t>CUST-51051</t>
  </si>
  <si>
    <t>Elliot Smith</t>
  </si>
  <si>
    <t>ACT-01456</t>
  </si>
  <si>
    <t>richardsroger@example.com</t>
  </si>
  <si>
    <t>TD0 0UL</t>
  </si>
  <si>
    <t>ACC-11052</t>
  </si>
  <si>
    <t>CUST-51052</t>
  </si>
  <si>
    <t>Eric Owens</t>
  </si>
  <si>
    <t>ACT-01457</t>
  </si>
  <si>
    <t>vlewis@example.net</t>
  </si>
  <si>
    <t>CO3B 7DW</t>
  </si>
  <si>
    <t>ACC-11053</t>
  </si>
  <si>
    <t>ACT-01458</t>
  </si>
  <si>
    <t>CUST-51053</t>
  </si>
  <si>
    <t>Leslie Hill</t>
  </si>
  <si>
    <t>paige68@example.net</t>
  </si>
  <si>
    <t>GU69 2RH</t>
  </si>
  <si>
    <t>ACT-01459</t>
  </si>
  <si>
    <t>ACC-11054</t>
  </si>
  <si>
    <t>CUST-51054</t>
  </si>
  <si>
    <t>Phillip Turner</t>
  </si>
  <si>
    <t>ACT-01460</t>
  </si>
  <si>
    <t>robinsonmaureen@example.net</t>
  </si>
  <si>
    <t>W3 6JD</t>
  </si>
  <si>
    <t>ACC-11055</t>
  </si>
  <si>
    <t>CUST-51055</t>
  </si>
  <si>
    <t>ACT-01461</t>
  </si>
  <si>
    <t>Natasha Cunningham</t>
  </si>
  <si>
    <t>ACT-01462</t>
  </si>
  <si>
    <t>L6 6BD</t>
  </si>
  <si>
    <t>ACC-11056</t>
  </si>
  <si>
    <t>CUST-51056</t>
  </si>
  <si>
    <t>Ms Ruth Rose</t>
  </si>
  <si>
    <t>ACT-01463</t>
  </si>
  <si>
    <t>alice84@example.org</t>
  </si>
  <si>
    <t>B3J 3TP</t>
  </si>
  <si>
    <t>ACT-01464</t>
  </si>
  <si>
    <t>ACC-11057</t>
  </si>
  <si>
    <t>CUST-51057</t>
  </si>
  <si>
    <t>Richard Roberts-Simpson</t>
  </si>
  <si>
    <t>ACT-01465</t>
  </si>
  <si>
    <t>whiteheadrosie@example.net</t>
  </si>
  <si>
    <t>M8W 0QH</t>
  </si>
  <si>
    <t>ACC-11058</t>
  </si>
  <si>
    <t>CUST-51058</t>
  </si>
  <si>
    <t>Mohammed Hall</t>
  </si>
  <si>
    <t>ACT-01466</t>
  </si>
  <si>
    <t>G19 3YE</t>
  </si>
  <si>
    <t>ACT-01467</t>
  </si>
  <si>
    <t>ACC-11059</t>
  </si>
  <si>
    <t>CUST-51059</t>
  </si>
  <si>
    <t>Ben Bradshaw</t>
  </si>
  <si>
    <t>ACT-01468</t>
  </si>
  <si>
    <t>cherylevans@example.com</t>
  </si>
  <si>
    <t>W4K 0TT</t>
  </si>
  <si>
    <t>ACC-11060</t>
  </si>
  <si>
    <t>CUST-51060</t>
  </si>
  <si>
    <t>Frederick Richards</t>
  </si>
  <si>
    <t>ACT-01469</t>
  </si>
  <si>
    <t>jameschelsea@example.com</t>
  </si>
  <si>
    <t>N8 5GE</t>
  </si>
  <si>
    <t>ACC-11061</t>
  </si>
  <si>
    <t>CUST-51061</t>
  </si>
  <si>
    <t>Mark Moss</t>
  </si>
  <si>
    <t>ACT-01470</t>
  </si>
  <si>
    <t>walkermandy@example.org</t>
  </si>
  <si>
    <t>M93 2QB</t>
  </si>
  <si>
    <t>ACT-01471</t>
  </si>
  <si>
    <t>ACC-11062</t>
  </si>
  <si>
    <t>CUST-51062</t>
  </si>
  <si>
    <t>Gemma Gray</t>
  </si>
  <si>
    <t>ACT-01472</t>
  </si>
  <si>
    <t>talbotphillip@example.com</t>
  </si>
  <si>
    <t>L4F 4GF</t>
  </si>
  <si>
    <t>ACT-01473</t>
  </si>
  <si>
    <t>ACC-11063</t>
  </si>
  <si>
    <t>CUST-51063</t>
  </si>
  <si>
    <t>Danielle Hodgson</t>
  </si>
  <si>
    <t>ACT-01474</t>
  </si>
  <si>
    <t>kate12@example.net</t>
  </si>
  <si>
    <t>ACT-01475</t>
  </si>
  <si>
    <t>W8 5GH</t>
  </si>
  <si>
    <t>ACC-11064</t>
  </si>
  <si>
    <t>CUST-51064</t>
  </si>
  <si>
    <t>Miss Jessica Whitehead</t>
  </si>
  <si>
    <t>ACT-01476</t>
  </si>
  <si>
    <t>gillian23@example.com</t>
  </si>
  <si>
    <t>BB7 9ES</t>
  </si>
  <si>
    <t>ACC-11065</t>
  </si>
  <si>
    <t>ACT-01477</t>
  </si>
  <si>
    <t>CUST-51065</t>
  </si>
  <si>
    <t>Dr Dominic Pope</t>
  </si>
  <si>
    <t>dixonchloe@example.net</t>
  </si>
  <si>
    <t>M6 1RA</t>
  </si>
  <si>
    <t>ACT-01478</t>
  </si>
  <si>
    <t>ACC-11066</t>
  </si>
  <si>
    <t>CUST-51066</t>
  </si>
  <si>
    <t>Martin Kaur</t>
  </si>
  <si>
    <t>ACT-01479</t>
  </si>
  <si>
    <t>E8 6LP</t>
  </si>
  <si>
    <t>ACC-11067</t>
  </si>
  <si>
    <t>CUST-51067</t>
  </si>
  <si>
    <t>Dr Carole Walker</t>
  </si>
  <si>
    <t>ACT-01480</t>
  </si>
  <si>
    <t>trevormorris@example.org</t>
  </si>
  <si>
    <t>W1 3WZ</t>
  </si>
  <si>
    <t>ACC-11068</t>
  </si>
  <si>
    <t>ACT-01481</t>
  </si>
  <si>
    <t>CUST-51068</t>
  </si>
  <si>
    <t>Mrs Amber Sutton</t>
  </si>
  <si>
    <t>mwilliams@example.com</t>
  </si>
  <si>
    <t>WF54 7GA</t>
  </si>
  <si>
    <t>ACT-01482</t>
  </si>
  <si>
    <t>ACC-11069</t>
  </si>
  <si>
    <t>CUST-51069</t>
  </si>
  <si>
    <t>Katie May</t>
  </si>
  <si>
    <t>ACT-01483</t>
  </si>
  <si>
    <t>W6S 3RJ</t>
  </si>
  <si>
    <t>ACT-01484</t>
  </si>
  <si>
    <t>ACC-11070</t>
  </si>
  <si>
    <t>CUST-51070</t>
  </si>
  <si>
    <t>Victor Baker</t>
  </si>
  <si>
    <t>ACT-01485</t>
  </si>
  <si>
    <t>brooksroger@example.net</t>
  </si>
  <si>
    <t>LU7Y 3HF</t>
  </si>
  <si>
    <t>ACT-01486</t>
  </si>
  <si>
    <t>ACC-11071</t>
  </si>
  <si>
    <t>CUST-51071</t>
  </si>
  <si>
    <t>Ashley Ball</t>
  </si>
  <si>
    <t>sjones@example.org</t>
  </si>
  <si>
    <t>E20 9ZP</t>
  </si>
  <si>
    <t>ACT-01487</t>
  </si>
  <si>
    <t>ACC-11072</t>
  </si>
  <si>
    <t>CUST-51072</t>
  </si>
  <si>
    <t>Mandy White-Chambers</t>
  </si>
  <si>
    <t>nicholas67@example.org</t>
  </si>
  <si>
    <t>ACT-01488</t>
  </si>
  <si>
    <t>WN10 1UP</t>
  </si>
  <si>
    <t>ACC-11073</t>
  </si>
  <si>
    <t>CUST-51073</t>
  </si>
  <si>
    <t>Rosie Robson</t>
  </si>
  <si>
    <t>ACT-01489</t>
  </si>
  <si>
    <t>L37 0ZB</t>
  </si>
  <si>
    <t>ACT-01490</t>
  </si>
  <si>
    <t>ACC-11074</t>
  </si>
  <si>
    <t>CUST-51074</t>
  </si>
  <si>
    <t>Denise Thomas</t>
  </si>
  <si>
    <t>yburton@example.com</t>
  </si>
  <si>
    <t>SY2 6LX</t>
  </si>
  <si>
    <t>ACT-01491</t>
  </si>
  <si>
    <t>ACC-11075</t>
  </si>
  <si>
    <t>CUST-51075</t>
  </si>
  <si>
    <t>Jordan Miles</t>
  </si>
  <si>
    <t>ACT-01492</t>
  </si>
  <si>
    <t>beverleyfoster@example.org</t>
  </si>
  <si>
    <t>HS2N 2DY</t>
  </si>
  <si>
    <t>ACC-11076</t>
  </si>
  <si>
    <t>CUST-51076</t>
  </si>
  <si>
    <t>Joyce Bentley</t>
  </si>
  <si>
    <t>ACT-01493</t>
  </si>
  <si>
    <t>jennifer92@example.net</t>
  </si>
  <si>
    <t>CA0 7LB</t>
  </si>
  <si>
    <t>ACC-11077</t>
  </si>
  <si>
    <t>ACT-01494</t>
  </si>
  <si>
    <t>CUST-51077</t>
  </si>
  <si>
    <t>Dr Thomas Parker</t>
  </si>
  <si>
    <t>imartin@example.org</t>
  </si>
  <si>
    <t>DL2W 2FF</t>
  </si>
  <si>
    <t>ACT-01495</t>
  </si>
  <si>
    <t>ACC-11078</t>
  </si>
  <si>
    <t>CUST-51078</t>
  </si>
  <si>
    <t>Joshua Wilkinson-Parry</t>
  </si>
  <si>
    <t>ACT-01496</t>
  </si>
  <si>
    <t>barbarabradley@example.com</t>
  </si>
  <si>
    <t>M35 5WS</t>
  </si>
  <si>
    <t>ACT-01497</t>
  </si>
  <si>
    <t>ACC-11079</t>
  </si>
  <si>
    <t>CUST-51079</t>
  </si>
  <si>
    <t>Charlotte Jones-Hawkins</t>
  </si>
  <si>
    <t>ACT-01498</t>
  </si>
  <si>
    <t>gerald22@example.com</t>
  </si>
  <si>
    <t>PR5 4TA</t>
  </si>
  <si>
    <t>ACC-11080</t>
  </si>
  <si>
    <t>CUST-51080</t>
  </si>
  <si>
    <t>Mrs Hayley Griffiths</t>
  </si>
  <si>
    <t>ACT-01499</t>
  </si>
  <si>
    <t>stonenicola@example.net</t>
  </si>
  <si>
    <t>L32 1UY</t>
  </si>
  <si>
    <t>ACT-01500</t>
  </si>
  <si>
    <t>ACC-11081</t>
  </si>
  <si>
    <t>CUST-51081</t>
  </si>
  <si>
    <t>Annette Ellis-Thomas</t>
  </si>
  <si>
    <t>ACT-01501</t>
  </si>
  <si>
    <t>ericnorman@example.net</t>
  </si>
  <si>
    <t>S9 1XH</t>
  </si>
  <si>
    <t>ACC-11082</t>
  </si>
  <si>
    <t>CUST-51082</t>
  </si>
  <si>
    <t>Allan Myers</t>
  </si>
  <si>
    <t>ACT-01502</t>
  </si>
  <si>
    <t>lisa15@example.net</t>
  </si>
  <si>
    <t>B8S 5SS</t>
  </si>
  <si>
    <t>ACT-01503</t>
  </si>
  <si>
    <t>ACC-11083</t>
  </si>
  <si>
    <t>CUST-51083</t>
  </si>
  <si>
    <t>Mohammed Martin</t>
  </si>
  <si>
    <t>ACT-01504</t>
  </si>
  <si>
    <t>neilgriffin@example.org</t>
  </si>
  <si>
    <t>OL3 0GW</t>
  </si>
  <si>
    <t>ACC-11084</t>
  </si>
  <si>
    <t>CUST-51084</t>
  </si>
  <si>
    <t>Anthony Wallace</t>
  </si>
  <si>
    <t>ACT-01505</t>
  </si>
  <si>
    <t>bethbutler@example.org</t>
  </si>
  <si>
    <t>S7 9ZE</t>
  </si>
  <si>
    <t>ACT-01506</t>
  </si>
  <si>
    <t>ACC-11085</t>
  </si>
  <si>
    <t>CUST-51085</t>
  </si>
  <si>
    <t>Miss Karen Campbell</t>
  </si>
  <si>
    <t>ACT-01507</t>
  </si>
  <si>
    <t>nicolacurtis@example.com</t>
  </si>
  <si>
    <t>N5 9NZ</t>
  </si>
  <si>
    <t>ACT-01508</t>
  </si>
  <si>
    <t>ACC-11086</t>
  </si>
  <si>
    <t>CUST-51086</t>
  </si>
  <si>
    <t>Simon Knowles-Wilson</t>
  </si>
  <si>
    <t>ACT-01509</t>
  </si>
  <si>
    <t>westsamantha@example.org</t>
  </si>
  <si>
    <t>CR5B 4DA</t>
  </si>
  <si>
    <t>ACC-11087</t>
  </si>
  <si>
    <t>ACT-01510</t>
  </si>
  <si>
    <t>CUST-51087</t>
  </si>
  <si>
    <t>Sharon Fox-Morgan</t>
  </si>
  <si>
    <t>ACT-01511</t>
  </si>
  <si>
    <t>saunderslynne@example.net</t>
  </si>
  <si>
    <t>N7 7YG</t>
  </si>
  <si>
    <t>ACC-11088</t>
  </si>
  <si>
    <t>CUST-51088</t>
  </si>
  <si>
    <t>Miss Rosemary Gray</t>
  </si>
  <si>
    <t>berrygeorgia@example.org</t>
  </si>
  <si>
    <t>ACT-01512</t>
  </si>
  <si>
    <t>KY1X 1ZW</t>
  </si>
  <si>
    <t>ACC-11089</t>
  </si>
  <si>
    <t>CUST-51089</t>
  </si>
  <si>
    <t>Mr Tom Dixon</t>
  </si>
  <si>
    <t>malcolm28@example.net</t>
  </si>
  <si>
    <t>ACT-01513</t>
  </si>
  <si>
    <t>TR49 3SW</t>
  </si>
  <si>
    <t>ACC-11090</t>
  </si>
  <si>
    <t>CUST-51090</t>
  </si>
  <si>
    <t>Mohammad Williams-Francis</t>
  </si>
  <si>
    <t>ACT-01514</t>
  </si>
  <si>
    <t>ACT-01515</t>
  </si>
  <si>
    <t>wpearce@example.com</t>
  </si>
  <si>
    <t>NG7P 2YJ</t>
  </si>
  <si>
    <t>ACT-01516</t>
  </si>
  <si>
    <t>ACC-11091</t>
  </si>
  <si>
    <t>CUST-51091</t>
  </si>
  <si>
    <t>Gregory Swift</t>
  </si>
  <si>
    <t>ACT-01517</t>
  </si>
  <si>
    <t>carolyn17@example.org</t>
  </si>
  <si>
    <t>CW9N 8QD</t>
  </si>
  <si>
    <t>ACT-01518</t>
  </si>
  <si>
    <t>ACC-11092</t>
  </si>
  <si>
    <t>CUST-51092</t>
  </si>
  <si>
    <t>Conor Edwards</t>
  </si>
  <si>
    <t>ACT-01519</t>
  </si>
  <si>
    <t>GL8 4BZ</t>
  </si>
  <si>
    <t>ACT-01520</t>
  </si>
  <si>
    <t>ACC-11093</t>
  </si>
  <si>
    <t>CUST-51093</t>
  </si>
  <si>
    <t>Mr Richard McLean</t>
  </si>
  <si>
    <t>ACT-01521</t>
  </si>
  <si>
    <t>hilaryhunt@example.com</t>
  </si>
  <si>
    <t>DT9Y 4UD</t>
  </si>
  <si>
    <t>ACT-01522</t>
  </si>
  <si>
    <t>ACC-11094</t>
  </si>
  <si>
    <t>CUST-51094</t>
  </si>
  <si>
    <t>George Spencer</t>
  </si>
  <si>
    <t>ACT-01523</t>
  </si>
  <si>
    <t>ACT-01524</t>
  </si>
  <si>
    <t>valerietaylor@example.org</t>
  </si>
  <si>
    <t>E4 6XJ</t>
  </si>
  <si>
    <t>ACT-01525</t>
  </si>
  <si>
    <t>ACC-11095</t>
  </si>
  <si>
    <t>CUST-51095</t>
  </si>
  <si>
    <t>Melanie Walker</t>
  </si>
  <si>
    <t>ACT-01526</t>
  </si>
  <si>
    <t>ACT-01527</t>
  </si>
  <si>
    <t>graemejenkins@example.net</t>
  </si>
  <si>
    <t>BH30 5XF</t>
  </si>
  <si>
    <t>ACT-01528</t>
  </si>
  <si>
    <t>ACC-11096</t>
  </si>
  <si>
    <t>CUST-51096</t>
  </si>
  <si>
    <t>Mathew Spencer-Robinson</t>
  </si>
  <si>
    <t>ACT-01529</t>
  </si>
  <si>
    <t>ACT-01530</t>
  </si>
  <si>
    <t>stephenpearson@example.org</t>
  </si>
  <si>
    <t>L1 9ZH</t>
  </si>
  <si>
    <t>ACT-01531</t>
  </si>
  <si>
    <t>ACC-11097</t>
  </si>
  <si>
    <t>CUST-51097</t>
  </si>
  <si>
    <t>Shane Brown</t>
  </si>
  <si>
    <t>ACT-01532</t>
  </si>
  <si>
    <t>ACT-01533</t>
  </si>
  <si>
    <t>danielrichardson@example.net</t>
  </si>
  <si>
    <t>FK60 6PR</t>
  </si>
  <si>
    <t>ACT-01534</t>
  </si>
  <si>
    <t>ACC-11098</t>
  </si>
  <si>
    <t>CUST-51098</t>
  </si>
  <si>
    <t>Toby Robinson</t>
  </si>
  <si>
    <t>ACT-01535</t>
  </si>
  <si>
    <t>ACT-01536</t>
  </si>
  <si>
    <t>LD87 0ZG</t>
  </si>
  <si>
    <t>ACT-01537</t>
  </si>
  <si>
    <t>ACC-11099</t>
  </si>
  <si>
    <t>CUST-51099</t>
  </si>
  <si>
    <t>Allan Carpenter</t>
  </si>
  <si>
    <t>ACT-01538</t>
  </si>
  <si>
    <t>mcox@example.net</t>
  </si>
  <si>
    <t>ACT-01539</t>
  </si>
  <si>
    <t>W0 4GF</t>
  </si>
  <si>
    <t>ACT-01540</t>
  </si>
  <si>
    <t>ACC-11100</t>
  </si>
  <si>
    <t>CUST-51100</t>
  </si>
  <si>
    <t>Christopher Hyde-Webb</t>
  </si>
  <si>
    <t>ACT-01541</t>
  </si>
  <si>
    <t>sally98@example.net</t>
  </si>
  <si>
    <t>ACT-01542</t>
  </si>
  <si>
    <t>W30 3HZ</t>
  </si>
  <si>
    <t>ACC-11101</t>
  </si>
  <si>
    <t>ACT-01543</t>
  </si>
  <si>
    <t>CUST-51101</t>
  </si>
  <si>
    <t>Ryan Bailey</t>
  </si>
  <si>
    <t>armstronglinda@example.net</t>
  </si>
  <si>
    <t>ACT-01544</t>
  </si>
  <si>
    <t>WV5B 9QP</t>
  </si>
  <si>
    <t>ACT-01545</t>
  </si>
  <si>
    <t>ACC-11102</t>
  </si>
  <si>
    <t>CUST-51102</t>
  </si>
  <si>
    <t>Danny Jennings-Hart</t>
  </si>
  <si>
    <t>ACT-01546</t>
  </si>
  <si>
    <t>ACT-01547</t>
  </si>
  <si>
    <t>evansguy@example.org</t>
  </si>
  <si>
    <t>S6S 3ZD</t>
  </si>
  <si>
    <t>ACT-01548</t>
  </si>
  <si>
    <t>ACC-11103</t>
  </si>
  <si>
    <t>CUST-51103</t>
  </si>
  <si>
    <t>Joe Moran</t>
  </si>
  <si>
    <t>ACT-01549</t>
  </si>
  <si>
    <t>evansirene@example.net</t>
  </si>
  <si>
    <t>IV2Y 9YZ</t>
  </si>
  <si>
    <t>ACT-01550</t>
  </si>
  <si>
    <t>ACC-11104</t>
  </si>
  <si>
    <t>CUST-51104</t>
  </si>
  <si>
    <t>Mohamed Bradley</t>
  </si>
  <si>
    <t>ACT-01551</t>
  </si>
  <si>
    <t>pmoore@example.net</t>
  </si>
  <si>
    <t>TQ74 1LL</t>
  </si>
  <si>
    <t>ACC-11105</t>
  </si>
  <si>
    <t>CUST-51105</t>
  </si>
  <si>
    <t>ACT-01552</t>
  </si>
  <si>
    <t>Mr Antony West</t>
  </si>
  <si>
    <t>josephine09@example.net</t>
  </si>
  <si>
    <t>N86 9TB</t>
  </si>
  <si>
    <t>ACT-01553</t>
  </si>
  <si>
    <t>ACC-11106</t>
  </si>
  <si>
    <t>CUST-51106</t>
  </si>
  <si>
    <t>Eileen Wallace</t>
  </si>
  <si>
    <t>ACT-01554</t>
  </si>
  <si>
    <t>gardnerbruce@example.net</t>
  </si>
  <si>
    <t>S79 9JH</t>
  </si>
  <si>
    <t>ACC-11107</t>
  </si>
  <si>
    <t>CUST-51107</t>
  </si>
  <si>
    <t>Mr Patrick Law</t>
  </si>
  <si>
    <t>ACT-01555</t>
  </si>
  <si>
    <t>simon94@example.com</t>
  </si>
  <si>
    <t>S84 5JE</t>
  </si>
  <si>
    <t>ACC-11108</t>
  </si>
  <si>
    <t>CUST-51108</t>
  </si>
  <si>
    <t>ACT-01556</t>
  </si>
  <si>
    <t>Frank Flynn</t>
  </si>
  <si>
    <t>shawgeraldine@example.com</t>
  </si>
  <si>
    <t>TW5A 4XL</t>
  </si>
  <si>
    <t>ACT-01557</t>
  </si>
  <si>
    <t>ACC-11109</t>
  </si>
  <si>
    <t>CUST-51109</t>
  </si>
  <si>
    <t>Mr Gerald Thorpe</t>
  </si>
  <si>
    <t>ACT-01558</t>
  </si>
  <si>
    <t>bsmith@example.com</t>
  </si>
  <si>
    <t>WD2 1RP</t>
  </si>
  <si>
    <t>ACT-01559</t>
  </si>
  <si>
    <t>ACC-11110</t>
  </si>
  <si>
    <t>CUST-51110</t>
  </si>
  <si>
    <t>Mr Graeme Baker</t>
  </si>
  <si>
    <t>ACT-01560</t>
  </si>
  <si>
    <t>julia39@example.com</t>
  </si>
  <si>
    <t>W2W 1ZS</t>
  </si>
  <si>
    <t>ACT-01561</t>
  </si>
  <si>
    <t>ACC-11111</t>
  </si>
  <si>
    <t>CUST-51111</t>
  </si>
  <si>
    <t>Mrs Stacey Harris</t>
  </si>
  <si>
    <t>ACT-01562</t>
  </si>
  <si>
    <t>barkerfrancesca@example.net</t>
  </si>
  <si>
    <t>L1 0AB</t>
  </si>
  <si>
    <t>ACC-11112</t>
  </si>
  <si>
    <t>ACT-01563</t>
  </si>
  <si>
    <t>CUST-51112</t>
  </si>
  <si>
    <t>Mohamed Lee</t>
  </si>
  <si>
    <t>leetina@example.org</t>
  </si>
  <si>
    <t>N7A 7AS</t>
  </si>
  <si>
    <t>ACC-11113</t>
  </si>
  <si>
    <t>CUST-51113</t>
  </si>
  <si>
    <t>Mark Glover-Coates</t>
  </si>
  <si>
    <t>ACT-01564</t>
  </si>
  <si>
    <t>hilary07@example.net</t>
  </si>
  <si>
    <t>BS82 4JY</t>
  </si>
  <si>
    <t>ACT-01565</t>
  </si>
  <si>
    <t>ACC-11114</t>
  </si>
  <si>
    <t>CUST-51114</t>
  </si>
  <si>
    <t>Mitchell Gibson</t>
  </si>
  <si>
    <t>ACT-01566</t>
  </si>
  <si>
    <t>bblake@example.org</t>
  </si>
  <si>
    <t>S1 4FB</t>
  </si>
  <si>
    <t>ACC-11115</t>
  </si>
  <si>
    <t>CUST-51115</t>
  </si>
  <si>
    <t>ACT-01567</t>
  </si>
  <si>
    <t>Carole Martin</t>
  </si>
  <si>
    <t>smithkim@example.com</t>
  </si>
  <si>
    <t>BH3 6ZA</t>
  </si>
  <si>
    <t>ACT-01568</t>
  </si>
  <si>
    <t>ACC-11116</t>
  </si>
  <si>
    <t>CUST-51116</t>
  </si>
  <si>
    <t>Amelia Williams</t>
  </si>
  <si>
    <t>ACT-01569</t>
  </si>
  <si>
    <t>wcarter@example.org</t>
  </si>
  <si>
    <t>LS0N 8RT</t>
  </si>
  <si>
    <t>ACC-11117</t>
  </si>
  <si>
    <t>ACT-01570</t>
  </si>
  <si>
    <t>CUST-51117</t>
  </si>
  <si>
    <t>Abdul Sharp-Jones</t>
  </si>
  <si>
    <t>richard99@example.com</t>
  </si>
  <si>
    <t>ST0H 5ZJ</t>
  </si>
  <si>
    <t>ACT-01571</t>
  </si>
  <si>
    <t>ACC-11118</t>
  </si>
  <si>
    <t>CUST-51118</t>
  </si>
  <si>
    <t>Richard Moss-Rogers</t>
  </si>
  <si>
    <t>ACT-01572</t>
  </si>
  <si>
    <t>jamie34@example.net</t>
  </si>
  <si>
    <t>B2 1XE</t>
  </si>
  <si>
    <t>ACC-11119</t>
  </si>
  <si>
    <t>CUST-51119</t>
  </si>
  <si>
    <t>ACT-01573</t>
  </si>
  <si>
    <t>Timothy Savage</t>
  </si>
  <si>
    <t>gmorgan@example.com</t>
  </si>
  <si>
    <t>M8 4SF</t>
  </si>
  <si>
    <t>ACT-01574</t>
  </si>
  <si>
    <t>ACC-11120</t>
  </si>
  <si>
    <t>CUST-51120</t>
  </si>
  <si>
    <t>Miss Andrea Allen</t>
  </si>
  <si>
    <t>ACT-01575</t>
  </si>
  <si>
    <t>qclayton@example.net</t>
  </si>
  <si>
    <t>WS1 5SY</t>
  </si>
  <si>
    <t>ACC-11121</t>
  </si>
  <si>
    <t>ACT-01576</t>
  </si>
  <si>
    <t>CUST-51121</t>
  </si>
  <si>
    <t>Hollie Thompson</t>
  </si>
  <si>
    <t>YO0E 4SJ</t>
  </si>
  <si>
    <t>ACT-01577</t>
  </si>
  <si>
    <t>ACC-11122</t>
  </si>
  <si>
    <t>CUST-51122</t>
  </si>
  <si>
    <t>Dr Olivia Reynolds</t>
  </si>
  <si>
    <t>ACT-01578</t>
  </si>
  <si>
    <t>barbarashepherd@example.org</t>
  </si>
  <si>
    <t>W83 3DE</t>
  </si>
  <si>
    <t>ACC-11123</t>
  </si>
  <si>
    <t>CUST-51123</t>
  </si>
  <si>
    <t>Ronald Warner</t>
  </si>
  <si>
    <t>ACT-01579</t>
  </si>
  <si>
    <t>john88@example.org</t>
  </si>
  <si>
    <t>HP6 5UW</t>
  </si>
  <si>
    <t>ACT-01580</t>
  </si>
  <si>
    <t>ACC-11124</t>
  </si>
  <si>
    <t>CUST-51124</t>
  </si>
  <si>
    <t>Irene Matthews-Sinclair</t>
  </si>
  <si>
    <t>ACT-01581</t>
  </si>
  <si>
    <t>smithchloe@example.net</t>
  </si>
  <si>
    <t>L1A 4YA</t>
  </si>
  <si>
    <t>ACC-11125</t>
  </si>
  <si>
    <t>CUST-51125</t>
  </si>
  <si>
    <t>Zoe Ali</t>
  </si>
  <si>
    <t>ACT-01582</t>
  </si>
  <si>
    <t>lloydjonathan@example.org</t>
  </si>
  <si>
    <t>B1H 9ZS</t>
  </si>
  <si>
    <t>ACT-01583</t>
  </si>
  <si>
    <t>ACC-11126</t>
  </si>
  <si>
    <t>CUST-51126</t>
  </si>
  <si>
    <t>Mr Charles Sinclair</t>
  </si>
  <si>
    <t>dalykeith@example.org</t>
  </si>
  <si>
    <t>ACT-01584</t>
  </si>
  <si>
    <t>W97 1NP</t>
  </si>
  <si>
    <t>ACC-11127</t>
  </si>
  <si>
    <t>CUST-51127</t>
  </si>
  <si>
    <t>Dr Marie Singh</t>
  </si>
  <si>
    <t>ACT-01585</t>
  </si>
  <si>
    <t>zkhan@example.net</t>
  </si>
  <si>
    <t>OL5 2NP</t>
  </si>
  <si>
    <t>ACT-01586</t>
  </si>
  <si>
    <t>ACC-11128</t>
  </si>
  <si>
    <t>CUST-51128</t>
  </si>
  <si>
    <t>Ricky Begum-Allen</t>
  </si>
  <si>
    <t>ACT-01587</t>
  </si>
  <si>
    <t>sean42@example.net</t>
  </si>
  <si>
    <t>W3 7EG</t>
  </si>
  <si>
    <t>ACC-11129</t>
  </si>
  <si>
    <t>CUST-51129</t>
  </si>
  <si>
    <t>Robert Stephens</t>
  </si>
  <si>
    <t>ACT-01588</t>
  </si>
  <si>
    <t>bethanyrobinson@example.com</t>
  </si>
  <si>
    <t>W71 5UG</t>
  </si>
  <si>
    <t>ACT-01589</t>
  </si>
  <si>
    <t>ACC-11130</t>
  </si>
  <si>
    <t>CUST-51130</t>
  </si>
  <si>
    <t>Rachael Greenwood-Clarke</t>
  </si>
  <si>
    <t>ACT-01590</t>
  </si>
  <si>
    <t>ystephens@example.com</t>
  </si>
  <si>
    <t>G1H 6GQ</t>
  </si>
  <si>
    <t>ACC-11131</t>
  </si>
  <si>
    <t>ACT-01591</t>
  </si>
  <si>
    <t>CUST-51131</t>
  </si>
  <si>
    <t>Terence Barnett-Waters</t>
  </si>
  <si>
    <t>kieran37@example.net</t>
  </si>
  <si>
    <t>ACT-01592</t>
  </si>
  <si>
    <t>E8J 9EG</t>
  </si>
  <si>
    <t>ACC-11132</t>
  </si>
  <si>
    <t>CUST-51132</t>
  </si>
  <si>
    <t>Vincent Harrison</t>
  </si>
  <si>
    <t>ACT-01593</t>
  </si>
  <si>
    <t>hollyiqbal@example.org</t>
  </si>
  <si>
    <t>PO0E 7HS</t>
  </si>
  <si>
    <t>ACT-01594</t>
  </si>
  <si>
    <t>ACC-11133</t>
  </si>
  <si>
    <t>CUST-51133</t>
  </si>
  <si>
    <t>Marion Johnson</t>
  </si>
  <si>
    <t>charlene25@example.org</t>
  </si>
  <si>
    <t>TD5X 0BN</t>
  </si>
  <si>
    <t>ACT-01595</t>
  </si>
  <si>
    <t>ACC-11134</t>
  </si>
  <si>
    <t>CUST-51134</t>
  </si>
  <si>
    <t>Sandra Bray</t>
  </si>
  <si>
    <t>ACT-01596</t>
  </si>
  <si>
    <t>jennajones@example.org</t>
  </si>
  <si>
    <t>N7U 3EN</t>
  </si>
  <si>
    <t>ACC-11135</t>
  </si>
  <si>
    <t>CUST-51135</t>
  </si>
  <si>
    <t>Mr Iain Davies</t>
  </si>
  <si>
    <t>ACT-01597</t>
  </si>
  <si>
    <t>clarknathan@example.net</t>
  </si>
  <si>
    <t>G70 3GA</t>
  </si>
  <si>
    <t>ACT-01598</t>
  </si>
  <si>
    <t>ACC-11136</t>
  </si>
  <si>
    <t>CUST-51136</t>
  </si>
  <si>
    <t>Dr Clifford Frost</t>
  </si>
  <si>
    <t>gemmagray@example.net</t>
  </si>
  <si>
    <t>ACT-01599</t>
  </si>
  <si>
    <t>IV4 1GA</t>
  </si>
  <si>
    <t>ACC-11137</t>
  </si>
  <si>
    <t>CUST-51137</t>
  </si>
  <si>
    <t>Hollie Atkins</t>
  </si>
  <si>
    <t>ACT-01600</t>
  </si>
  <si>
    <t>gregorymohamed@example.net</t>
  </si>
  <si>
    <t>S7 2YR</t>
  </si>
  <si>
    <t>ACC-11138</t>
  </si>
  <si>
    <t>CUST-51138</t>
  </si>
  <si>
    <t>Mr Bernard Whitehead</t>
  </si>
  <si>
    <t>ACT-01601</t>
  </si>
  <si>
    <t>hwalker@example.org</t>
  </si>
  <si>
    <t>S0E 1NR</t>
  </si>
  <si>
    <t>ACT-01602</t>
  </si>
  <si>
    <t>ACC-11139</t>
  </si>
  <si>
    <t>CUST-51139</t>
  </si>
  <si>
    <t>Kim Weston</t>
  </si>
  <si>
    <t>ACT-01603</t>
  </si>
  <si>
    <t>mariathomas@example.net</t>
  </si>
  <si>
    <t>W0 8RU</t>
  </si>
  <si>
    <t>ACC-11140</t>
  </si>
  <si>
    <t>CUST-51140</t>
  </si>
  <si>
    <t>Dr Kim Lee</t>
  </si>
  <si>
    <t>ACT-01604</t>
  </si>
  <si>
    <t>ssmith@example.net</t>
  </si>
  <si>
    <t>L42 8ND</t>
  </si>
  <si>
    <t>ACT-01605</t>
  </si>
  <si>
    <t>ACC-11141</t>
  </si>
  <si>
    <t>CUST-51141</t>
  </si>
  <si>
    <t>Helen Jennings</t>
  </si>
  <si>
    <t>ACT-01606</t>
  </si>
  <si>
    <t>abbiehoughton@example.org</t>
  </si>
  <si>
    <t>L71 3FU</t>
  </si>
  <si>
    <t>ACT-01607</t>
  </si>
  <si>
    <t>ACC-11142</t>
  </si>
  <si>
    <t>CUST-51142</t>
  </si>
  <si>
    <t>Henry Alexander</t>
  </si>
  <si>
    <t>ACT-01608</t>
  </si>
  <si>
    <t>june92@example.org</t>
  </si>
  <si>
    <t>EX4R 5DA</t>
  </si>
  <si>
    <t>ACC-11143</t>
  </si>
  <si>
    <t>ACT-01609</t>
  </si>
  <si>
    <t>CUST-51143</t>
  </si>
  <si>
    <t>Dominic Moore-Griffin</t>
  </si>
  <si>
    <t>davidmoore@example.org</t>
  </si>
  <si>
    <t>ACT-01610</t>
  </si>
  <si>
    <t>M7 5ZG</t>
  </si>
  <si>
    <t>ACC-11144</t>
  </si>
  <si>
    <t>CUST-51144</t>
  </si>
  <si>
    <t>Aimee Hill</t>
  </si>
  <si>
    <t>ACT-01611</t>
  </si>
  <si>
    <t>youngbrenda@example.net</t>
  </si>
  <si>
    <t>B6B 0ES</t>
  </si>
  <si>
    <t>ACC-11145</t>
  </si>
  <si>
    <t>ACT-01612</t>
  </si>
  <si>
    <t>CUST-51145</t>
  </si>
  <si>
    <t>Charlene Kay</t>
  </si>
  <si>
    <t>qthorpe@example.com</t>
  </si>
  <si>
    <t>TF3H 6QS</t>
  </si>
  <si>
    <t>ACT-01613</t>
  </si>
  <si>
    <t>ACC-11146</t>
  </si>
  <si>
    <t>CUST-51146</t>
  </si>
  <si>
    <t>Owen Bryant-Hutchinson</t>
  </si>
  <si>
    <t>ACT-01614</t>
  </si>
  <si>
    <t>phillipsdawn@example.net</t>
  </si>
  <si>
    <t>N1 0QW</t>
  </si>
  <si>
    <t>ACC-11147</t>
  </si>
  <si>
    <t>CUST-51147</t>
  </si>
  <si>
    <t>Chloe Scott</t>
  </si>
  <si>
    <t>ACT-01615</t>
  </si>
  <si>
    <t>victor50@example.org</t>
  </si>
  <si>
    <t>TQ0 6QN</t>
  </si>
  <si>
    <t>ACT-01616</t>
  </si>
  <si>
    <t>ACC-11148</t>
  </si>
  <si>
    <t>CUST-51148</t>
  </si>
  <si>
    <t>Patrick Farrell</t>
  </si>
  <si>
    <t>ACT-01617</t>
  </si>
  <si>
    <t>pjohnson@example.org</t>
  </si>
  <si>
    <t>N36 7TR</t>
  </si>
  <si>
    <t>ACC-11149</t>
  </si>
  <si>
    <t>CUST-51149</t>
  </si>
  <si>
    <t>Jane Smith</t>
  </si>
  <si>
    <t>ACT-01618</t>
  </si>
  <si>
    <t>vsims@example.net</t>
  </si>
  <si>
    <t>E47 3NT</t>
  </si>
  <si>
    <t>ACT-01619</t>
  </si>
  <si>
    <t>ACC-11150</t>
  </si>
  <si>
    <t>CUST-51150</t>
  </si>
  <si>
    <t>Dorothy Allen</t>
  </si>
  <si>
    <t>kerry63@example.org</t>
  </si>
  <si>
    <t>WS9 5HU</t>
  </si>
  <si>
    <t>ACT-01620</t>
  </si>
  <si>
    <t>ACC-11151</t>
  </si>
  <si>
    <t>CUST-51151</t>
  </si>
  <si>
    <t>Dr Justin Morris</t>
  </si>
  <si>
    <t>rhys87@example.net</t>
  </si>
  <si>
    <t>ACT-01621</t>
  </si>
  <si>
    <t>G94 1RW</t>
  </si>
  <si>
    <t>ACC-11152</t>
  </si>
  <si>
    <t>CUST-51152</t>
  </si>
  <si>
    <t>Ashley Lamb</t>
  </si>
  <si>
    <t>ACT-01622</t>
  </si>
  <si>
    <t>josephwallace@example.net</t>
  </si>
  <si>
    <t>N3 6SE</t>
  </si>
  <si>
    <t>ACC-11153</t>
  </si>
  <si>
    <t>ACT-01623</t>
  </si>
  <si>
    <t>CUST-51153</t>
  </si>
  <si>
    <t>Mohamed Begum</t>
  </si>
  <si>
    <t>donnadouglas@example.com</t>
  </si>
  <si>
    <t>WN0 6BB</t>
  </si>
  <si>
    <t>ACT-01624</t>
  </si>
  <si>
    <t>ACC-11154</t>
  </si>
  <si>
    <t>CUST-51154</t>
  </si>
  <si>
    <t>Edward Baxter</t>
  </si>
  <si>
    <t>ACT-01625</t>
  </si>
  <si>
    <t>bjones@example.net</t>
  </si>
  <si>
    <t>S8 6NG</t>
  </si>
  <si>
    <t>ACC-11155</t>
  </si>
  <si>
    <t>CUST-51155</t>
  </si>
  <si>
    <t>Carolyn Little-Dunn</t>
  </si>
  <si>
    <t>ACT-01626</t>
  </si>
  <si>
    <t>jaynemoss@example.net</t>
  </si>
  <si>
    <t>M99 4FB</t>
  </si>
  <si>
    <t>ACC-11156</t>
  </si>
  <si>
    <t>ACT-01627</t>
  </si>
  <si>
    <t>CUST-51156</t>
  </si>
  <si>
    <t>Tracy Ahmed</t>
  </si>
  <si>
    <t>catherine67@example.org</t>
  </si>
  <si>
    <t>W5F 4LG</t>
  </si>
  <si>
    <t>ACT-01628</t>
  </si>
  <si>
    <t>ACC-11157</t>
  </si>
  <si>
    <t>CUST-51157</t>
  </si>
  <si>
    <t>Lee Baldwin</t>
  </si>
  <si>
    <t>ACT-01629</t>
  </si>
  <si>
    <t>millerfrancis@example.org</t>
  </si>
  <si>
    <t>L1E 3NL</t>
  </si>
  <si>
    <t>ACC-11158</t>
  </si>
  <si>
    <t>CUST-51158</t>
  </si>
  <si>
    <t>Adrian Baker</t>
  </si>
  <si>
    <t>ACT-01630</t>
  </si>
  <si>
    <t>bernard78@example.com</t>
  </si>
  <si>
    <t>WS38 1HA</t>
  </si>
  <si>
    <t>ACT-01631</t>
  </si>
  <si>
    <t>ACC-11159</t>
  </si>
  <si>
    <t>CUST-51159</t>
  </si>
  <si>
    <t>Mrs Sheila Collins</t>
  </si>
  <si>
    <t>benjaminberry@example.com</t>
  </si>
  <si>
    <t>E4F 9UX</t>
  </si>
  <si>
    <t>ACT-01632</t>
  </si>
  <si>
    <t>ACC-11160</t>
  </si>
  <si>
    <t>CUST-51160</t>
  </si>
  <si>
    <t>Mitchell Kelly</t>
  </si>
  <si>
    <t>dale23@example.com</t>
  </si>
  <si>
    <t>ACT-01633</t>
  </si>
  <si>
    <t>SS16 4RD</t>
  </si>
  <si>
    <t>ACC-11161</t>
  </si>
  <si>
    <t>CUST-51161</t>
  </si>
  <si>
    <t>Peter Hall</t>
  </si>
  <si>
    <t>kate91@example.org</t>
  </si>
  <si>
    <t>G03 3WH</t>
  </si>
  <si>
    <t>ACC-11162</t>
  </si>
  <si>
    <t>CUST-51162</t>
  </si>
  <si>
    <t>ACT-01634</t>
  </si>
  <si>
    <t>Dr Ashleigh Allen</t>
  </si>
  <si>
    <t>stanleyjoseph@example.org</t>
  </si>
  <si>
    <t>BS93 0WZ</t>
  </si>
  <si>
    <t>ACC-11163</t>
  </si>
  <si>
    <t>CUST-51163</t>
  </si>
  <si>
    <t>Michael Mistry</t>
  </si>
  <si>
    <t>ACT-01635</t>
  </si>
  <si>
    <t>yfoster@example.com</t>
  </si>
  <si>
    <t>N2 0UE</t>
  </si>
  <si>
    <t>ACC-11164</t>
  </si>
  <si>
    <t>CUST-51164</t>
  </si>
  <si>
    <t>Deborah Bryant</t>
  </si>
  <si>
    <t>jennakelly@example.org</t>
  </si>
  <si>
    <t>S9 8EF</t>
  </si>
  <si>
    <t>ACT-01636</t>
  </si>
  <si>
    <t>ACC-11165</t>
  </si>
  <si>
    <t>CUST-51165</t>
  </si>
  <si>
    <t>Gordon Stone</t>
  </si>
  <si>
    <t>rclarke@example.net</t>
  </si>
  <si>
    <t>E9K 6SN</t>
  </si>
  <si>
    <t>ACC-11166</t>
  </si>
  <si>
    <t>ACT-01637</t>
  </si>
  <si>
    <t>CUST-51166</t>
  </si>
  <si>
    <t>Tracey Edwards</t>
  </si>
  <si>
    <t>bakersian@example.org</t>
  </si>
  <si>
    <t>L0C 9YB</t>
  </si>
  <si>
    <t>ACC-11167</t>
  </si>
  <si>
    <t>CUST-51167</t>
  </si>
  <si>
    <t>Martyn Kay</t>
  </si>
  <si>
    <t>ACT-01638</t>
  </si>
  <si>
    <t>wmccarthy@example.org</t>
  </si>
  <si>
    <t>SN8 6EF</t>
  </si>
  <si>
    <t>ACC-11168</t>
  </si>
  <si>
    <t>CUST-51168</t>
  </si>
  <si>
    <t>Ms Hilary Knight</t>
  </si>
  <si>
    <t>ACT-01639</t>
  </si>
  <si>
    <t>knightnigel@example.org</t>
  </si>
  <si>
    <t>PL38 5PF</t>
  </si>
  <si>
    <t>ACC-11169</t>
  </si>
  <si>
    <t>CUST-51169</t>
  </si>
  <si>
    <t>Terry McKenzie</t>
  </si>
  <si>
    <t>fthompson@example.org</t>
  </si>
  <si>
    <t>LS2N 5FN</t>
  </si>
  <si>
    <t>ACT-01640</t>
  </si>
  <si>
    <t>ACC-11170</t>
  </si>
  <si>
    <t>CUST-51170</t>
  </si>
  <si>
    <t>Lee Williams</t>
  </si>
  <si>
    <t>william30@example.com</t>
  </si>
  <si>
    <t>W29 0JT</t>
  </si>
  <si>
    <t>ACC-11171</t>
  </si>
  <si>
    <t>ACT-01641</t>
  </si>
  <si>
    <t>CUST-51171</t>
  </si>
  <si>
    <t>Norman Payne</t>
  </si>
  <si>
    <t>davieshilary@example.org</t>
  </si>
  <si>
    <t>N62 2ZB</t>
  </si>
  <si>
    <t>ACC-11172</t>
  </si>
  <si>
    <t>CUST-51172</t>
  </si>
  <si>
    <t>Ms Paige Butler</t>
  </si>
  <si>
    <t>ACT-01642</t>
  </si>
  <si>
    <t>taylormichael@example.net</t>
  </si>
  <si>
    <t>G9A 3ZG</t>
  </si>
  <si>
    <t>ACC-11173</t>
  </si>
  <si>
    <t>CUST-51173</t>
  </si>
  <si>
    <t>Philip Farmer</t>
  </si>
  <si>
    <t>whiteheadolivia@example.com</t>
  </si>
  <si>
    <t>M5J 2YT</t>
  </si>
  <si>
    <t>ACC-11174</t>
  </si>
  <si>
    <t>CUST-51174</t>
  </si>
  <si>
    <t>Ms Sara Hudson</t>
  </si>
  <si>
    <t>ACT-01643</t>
  </si>
  <si>
    <t>josh79@example.org</t>
  </si>
  <si>
    <t>W2W 6EE</t>
  </si>
  <si>
    <t>ACC-11175</t>
  </si>
  <si>
    <t>CUST-51175</t>
  </si>
  <si>
    <t>Stacey Jones</t>
  </si>
  <si>
    <t>ACT-01644</t>
  </si>
  <si>
    <t>pjones@example.com</t>
  </si>
  <si>
    <t>W0 9TH</t>
  </si>
  <si>
    <t>ACC-11176</t>
  </si>
  <si>
    <t>CUST-51176</t>
  </si>
  <si>
    <t>Timothy Wright-Doherty</t>
  </si>
  <si>
    <t>ACT-01645</t>
  </si>
  <si>
    <t>marydawson@example.com</t>
  </si>
  <si>
    <t>NN4X 9AN</t>
  </si>
  <si>
    <t>ACC-11177</t>
  </si>
  <si>
    <t>CUST-51177</t>
  </si>
  <si>
    <t>Dr Hannah Miller</t>
  </si>
  <si>
    <t>ACT-01646</t>
  </si>
  <si>
    <t>tbaldwin@example.com</t>
  </si>
  <si>
    <t>TW4 3NY</t>
  </si>
  <si>
    <t>ACC-11178</t>
  </si>
  <si>
    <t>CUST-51178</t>
  </si>
  <si>
    <t>Rhys Brown-Bradley</t>
  </si>
  <si>
    <t>ACT-01647</t>
  </si>
  <si>
    <t>darrenmartin@example.net</t>
  </si>
  <si>
    <t>G69 7PH</t>
  </si>
  <si>
    <t>ACC-11179</t>
  </si>
  <si>
    <t>ACT-01648</t>
  </si>
  <si>
    <t>CUST-51179</t>
  </si>
  <si>
    <t>Oliver Taylor</t>
  </si>
  <si>
    <t>alexanderknowles@example.com</t>
  </si>
  <si>
    <t>EH4X 4XN</t>
  </si>
  <si>
    <t>ACT-01649</t>
  </si>
  <si>
    <t>ACC-11180</t>
  </si>
  <si>
    <t>CUST-51180</t>
  </si>
  <si>
    <t>Vanessa Hill</t>
  </si>
  <si>
    <t>csmith@example.org</t>
  </si>
  <si>
    <t>HX3M 5WY</t>
  </si>
  <si>
    <t>ACT-01650</t>
  </si>
  <si>
    <t>ACC-11181</t>
  </si>
  <si>
    <t>CUST-51181</t>
  </si>
  <si>
    <t>Dr Joel Sanderson</t>
  </si>
  <si>
    <t>prattvincent@example.org</t>
  </si>
  <si>
    <t>LS43 9NZ</t>
  </si>
  <si>
    <t>ACC-11182</t>
  </si>
  <si>
    <t>CUST-51182</t>
  </si>
  <si>
    <t>Mrs Naomi Jones</t>
  </si>
  <si>
    <t>ACT-01651</t>
  </si>
  <si>
    <t>michelle88@example.org</t>
  </si>
  <si>
    <t>N4 4QZ</t>
  </si>
  <si>
    <t>ACC-11183</t>
  </si>
  <si>
    <t>CUST-51183</t>
  </si>
  <si>
    <t>Terence Smith</t>
  </si>
  <si>
    <t>ACT-01652</t>
  </si>
  <si>
    <t>alicerichards@example.com</t>
  </si>
  <si>
    <t>PA53 8HP</t>
  </si>
  <si>
    <t>ACC-11184</t>
  </si>
  <si>
    <t>CUST-51184</t>
  </si>
  <si>
    <t>Howard Adams</t>
  </si>
  <si>
    <t>katylawson@example.net</t>
  </si>
  <si>
    <t>ACT-01653</t>
  </si>
  <si>
    <t>L01 9HJ</t>
  </si>
  <si>
    <t>ACC-11185</t>
  </si>
  <si>
    <t>CUST-51185</t>
  </si>
  <si>
    <t>Aimee Green</t>
  </si>
  <si>
    <t>marianbird@example.com</t>
  </si>
  <si>
    <t>L46 3BT</t>
  </si>
  <si>
    <t>ACT-01654</t>
  </si>
  <si>
    <t>ACC-11186</t>
  </si>
  <si>
    <t>CUST-51186</t>
  </si>
  <si>
    <t>LL0Y 9ZA</t>
  </si>
  <si>
    <t>ACC-11187</t>
  </si>
  <si>
    <t>CUST-51187</t>
  </si>
  <si>
    <t>Miss Margaret Fraser</t>
  </si>
  <si>
    <t>ACT-01655</t>
  </si>
  <si>
    <t>cbull@example.com</t>
  </si>
  <si>
    <t>M63 0YU</t>
  </si>
  <si>
    <t>ACC-11188</t>
  </si>
  <si>
    <t>CUST-51188</t>
  </si>
  <si>
    <t>Diana Allen</t>
  </si>
  <si>
    <t>ACT-01656</t>
  </si>
  <si>
    <t>northsamuel@example.com</t>
  </si>
  <si>
    <t>N5 1BE</t>
  </si>
  <si>
    <t>ACC-11189</t>
  </si>
  <si>
    <t>ACT-01657</t>
  </si>
  <si>
    <t>CUST-51189</t>
  </si>
  <si>
    <t>Cheryl Barnett</t>
  </si>
  <si>
    <t>valeriecoleman@example.org</t>
  </si>
  <si>
    <t>HP4X 9SL</t>
  </si>
  <si>
    <t>ACT-01658</t>
  </si>
  <si>
    <t>ACC-11190</t>
  </si>
  <si>
    <t>CUST-51190</t>
  </si>
  <si>
    <t>Marie Moore</t>
  </si>
  <si>
    <t>sylvia95@example.net</t>
  </si>
  <si>
    <t>ACT-01659</t>
  </si>
  <si>
    <t>NE2W 9EW</t>
  </si>
  <si>
    <t>ACC-11191</t>
  </si>
  <si>
    <t>CUST-51191</t>
  </si>
  <si>
    <t>Kim James</t>
  </si>
  <si>
    <t>malcolmwatson@example.com</t>
  </si>
  <si>
    <t>NP87 0LE</t>
  </si>
  <si>
    <t>ACT-01660</t>
  </si>
  <si>
    <t>ACC-11192</t>
  </si>
  <si>
    <t>CUST-51192</t>
  </si>
  <si>
    <t>Neil Hall</t>
  </si>
  <si>
    <t>leedanny@example.net</t>
  </si>
  <si>
    <t>ACT-01661</t>
  </si>
  <si>
    <t>KW4 4QQ</t>
  </si>
  <si>
    <t>ACC-11193</t>
  </si>
  <si>
    <t>CUST-51193</t>
  </si>
  <si>
    <t>Malcolm Welch</t>
  </si>
  <si>
    <t>TR8Y 2DT</t>
  </si>
  <si>
    <t>ACT-01662</t>
  </si>
  <si>
    <t>ACC-11194</t>
  </si>
  <si>
    <t>CUST-51194</t>
  </si>
  <si>
    <t>Dale Wong</t>
  </si>
  <si>
    <t>chandleramy@example.net</t>
  </si>
  <si>
    <t>E03 6HU</t>
  </si>
  <si>
    <t>ACC-11195</t>
  </si>
  <si>
    <t>ACT-01663</t>
  </si>
  <si>
    <t>CUST-51195</t>
  </si>
  <si>
    <t>Mr Declan Bennett</t>
  </si>
  <si>
    <t>rogersbarry@example.org</t>
  </si>
  <si>
    <t>L73 4RB</t>
  </si>
  <si>
    <t>ACC-11196</t>
  </si>
  <si>
    <t>CUST-51196</t>
  </si>
  <si>
    <t>Leigh Lamb</t>
  </si>
  <si>
    <t>ACT-01664</t>
  </si>
  <si>
    <t>houghtonshaun@example.com</t>
  </si>
  <si>
    <t>E1W 0LB</t>
  </si>
  <si>
    <t>ACC-11197</t>
  </si>
  <si>
    <t>CUST-51197</t>
  </si>
  <si>
    <t>Mohamed Allen</t>
  </si>
  <si>
    <t>ACT-01665</t>
  </si>
  <si>
    <t>leonardhaynes@example.org</t>
  </si>
  <si>
    <t>PR2V 3NT</t>
  </si>
  <si>
    <t>ACC-11198</t>
  </si>
  <si>
    <t>CUST-51198</t>
  </si>
  <si>
    <t>Miss Mandy Fletcher</t>
  </si>
  <si>
    <t>jbenson@example.net</t>
  </si>
  <si>
    <t>E1J 1LD</t>
  </si>
  <si>
    <t>ACT-01666</t>
  </si>
  <si>
    <t>ACC-11199</t>
  </si>
  <si>
    <t>CUST-51199</t>
  </si>
  <si>
    <t>Shannon Taylor</t>
  </si>
  <si>
    <t>abigail82@example.net</t>
  </si>
  <si>
    <t>E0E 3UN</t>
  </si>
  <si>
    <t>ACC-11200</t>
  </si>
  <si>
    <t>CUST-51200</t>
  </si>
  <si>
    <t>ACT-01667</t>
  </si>
  <si>
    <t>Sam Singh</t>
  </si>
  <si>
    <t>denis42@example.org</t>
  </si>
  <si>
    <t>S1C 2ZB</t>
  </si>
  <si>
    <t>ACC-11201</t>
  </si>
  <si>
    <t>CUST-51201</t>
  </si>
  <si>
    <t>Jemma Bevan-McDonald</t>
  </si>
  <si>
    <t>ACT-01668</t>
  </si>
  <si>
    <t>hjohnson@example.com</t>
  </si>
  <si>
    <t>LU6 0DS</t>
  </si>
  <si>
    <t>ACC-11202</t>
  </si>
  <si>
    <t>CUST-51202</t>
  </si>
  <si>
    <t>Mr Oliver Jones</t>
  </si>
  <si>
    <t>hartsean@example.com</t>
  </si>
  <si>
    <t>ACT-01669</t>
  </si>
  <si>
    <t>S3 3QX</t>
  </si>
  <si>
    <t>ACC-11203</t>
  </si>
  <si>
    <t>CUST-51203</t>
  </si>
  <si>
    <t>Paige Williams-Kennedy</t>
  </si>
  <si>
    <t>connortownsend@example.org</t>
  </si>
  <si>
    <t>M96 2UZ</t>
  </si>
  <si>
    <t>ACT-01670</t>
  </si>
  <si>
    <t>ACC-11204</t>
  </si>
  <si>
    <t>CUST-51204</t>
  </si>
  <si>
    <t>Maureen Cole-Howard</t>
  </si>
  <si>
    <t>joanna91@example.net</t>
  </si>
  <si>
    <t>ZE82 8LL</t>
  </si>
  <si>
    <t>ACC-11205</t>
  </si>
  <si>
    <t>CUST-51205</t>
  </si>
  <si>
    <t>Dr Teresa Johnson</t>
  </si>
  <si>
    <t>ACT-01671</t>
  </si>
  <si>
    <t>wallen@example.net</t>
  </si>
  <si>
    <t>W92 1QH</t>
  </si>
  <si>
    <t>ACC-11206</t>
  </si>
  <si>
    <t>CUST-51206</t>
  </si>
  <si>
    <t>Donna Hunt</t>
  </si>
  <si>
    <t>gford@example.org</t>
  </si>
  <si>
    <t>N90 7PB</t>
  </si>
  <si>
    <t>ACT-01672</t>
  </si>
  <si>
    <t>ACC-11207</t>
  </si>
  <si>
    <t>CUST-51207</t>
  </si>
  <si>
    <t>Glenn Harrison-Watson</t>
  </si>
  <si>
    <t>caroline75@example.org</t>
  </si>
  <si>
    <t>DY34 0EU</t>
  </si>
  <si>
    <t>ACT-01673</t>
  </si>
  <si>
    <t>ACC-11208</t>
  </si>
  <si>
    <t>CUST-51208</t>
  </si>
  <si>
    <t>Miss Heather Webster</t>
  </si>
  <si>
    <t>joseph17@example.net</t>
  </si>
  <si>
    <t>NG7 4YB</t>
  </si>
  <si>
    <t>ACC-11209</t>
  </si>
  <si>
    <t>CUST-51209</t>
  </si>
  <si>
    <t>Mr Sam Hughes</t>
  </si>
  <si>
    <t>ACT-01674</t>
  </si>
  <si>
    <t>teresa98@example.org</t>
  </si>
  <si>
    <t>LS2 2AQ</t>
  </si>
  <si>
    <t>ACC-11210</t>
  </si>
  <si>
    <t>CUST-51210</t>
  </si>
  <si>
    <t>Harriet Brown</t>
  </si>
  <si>
    <t>ACT-01675</t>
  </si>
  <si>
    <t>mitchelljean@example.org</t>
  </si>
  <si>
    <t>M7G 6GA</t>
  </si>
  <si>
    <t>ACC-11211</t>
  </si>
  <si>
    <t>CUST-51211</t>
  </si>
  <si>
    <t>Dr Ruth Jones</t>
  </si>
  <si>
    <t>stephen22@example.org</t>
  </si>
  <si>
    <t>ACT-01676</t>
  </si>
  <si>
    <t>B2B 2AF</t>
  </si>
  <si>
    <t>ACC-11212</t>
  </si>
  <si>
    <t>CUST-51212</t>
  </si>
  <si>
    <t>Amber King</t>
  </si>
  <si>
    <t>kim41@example.com</t>
  </si>
  <si>
    <t>CT5H 8QW</t>
  </si>
  <si>
    <t>ACT-01677</t>
  </si>
  <si>
    <t>ACC-11213</t>
  </si>
  <si>
    <t>CUST-51213</t>
  </si>
  <si>
    <t>Dr Bernard Parry</t>
  </si>
  <si>
    <t>hawkinseric@example.com</t>
  </si>
  <si>
    <t>HP8B 1HJ</t>
  </si>
  <si>
    <t>ACC-11214</t>
  </si>
  <si>
    <t>ACT-01678</t>
  </si>
  <si>
    <t>CUST-51214</t>
  </si>
  <si>
    <t>Ms Leah Francis</t>
  </si>
  <si>
    <t>gailfuller@example.org</t>
  </si>
  <si>
    <t>SE0 7WP</t>
  </si>
  <si>
    <t>ACT-01679</t>
  </si>
  <si>
    <t>ACC-11215</t>
  </si>
  <si>
    <t>CUST-51215</t>
  </si>
  <si>
    <t>Victoria Palmer</t>
  </si>
  <si>
    <t>ACT-01680</t>
  </si>
  <si>
    <t>ricky98@example.com</t>
  </si>
  <si>
    <t>M8 9HT</t>
  </si>
  <si>
    <t>ACC-11216</t>
  </si>
  <si>
    <t>ACT-01681</t>
  </si>
  <si>
    <t>CUST-51216</t>
  </si>
  <si>
    <t>Aaron White-King</t>
  </si>
  <si>
    <t>brenda17@example.com</t>
  </si>
  <si>
    <t>E82 8QN</t>
  </si>
  <si>
    <t>ACC-11217</t>
  </si>
  <si>
    <t>CUST-51217</t>
  </si>
  <si>
    <t>Norman Wong</t>
  </si>
  <si>
    <t>ACT-01682</t>
  </si>
  <si>
    <t>dawn78@example.net</t>
  </si>
  <si>
    <t>S1W 5YX</t>
  </si>
  <si>
    <t>ACC-11218</t>
  </si>
  <si>
    <t>ACT-01683</t>
  </si>
  <si>
    <t>CUST-51218</t>
  </si>
  <si>
    <t>Dr Joseph Evans</t>
  </si>
  <si>
    <t>hazelclark@example.net</t>
  </si>
  <si>
    <t>L94 5HE</t>
  </si>
  <si>
    <t>ACT-01684</t>
  </si>
  <si>
    <t>ACC-11219</t>
  </si>
  <si>
    <t>CUST-51219</t>
  </si>
  <si>
    <t>Russell Clements</t>
  </si>
  <si>
    <t>jkhan@example.net</t>
  </si>
  <si>
    <t>S11 7LX</t>
  </si>
  <si>
    <t>ACT-01685</t>
  </si>
  <si>
    <t>ACC-11220</t>
  </si>
  <si>
    <t>CUST-51220</t>
  </si>
  <si>
    <t>Dr Leigh Joyce</t>
  </si>
  <si>
    <t>maxpatel@example.org</t>
  </si>
  <si>
    <t>L99 5NG</t>
  </si>
  <si>
    <t>ACT-01686</t>
  </si>
  <si>
    <t>ACC-11221</t>
  </si>
  <si>
    <t>CUST-51221</t>
  </si>
  <si>
    <t>Dr Martin Jones</t>
  </si>
  <si>
    <t>clarkeshannon@example.com</t>
  </si>
  <si>
    <t>YO49 0DJ</t>
  </si>
  <si>
    <t>ACC-11222</t>
  </si>
  <si>
    <t>CUST-51222</t>
  </si>
  <si>
    <t>Shane Bryant-Barrett</t>
  </si>
  <si>
    <t>ACT-01687</t>
  </si>
  <si>
    <t>lynnewalker@example.net</t>
  </si>
  <si>
    <t>S51 4HZ</t>
  </si>
  <si>
    <t>ACT-01688</t>
  </si>
  <si>
    <t>ACC-11223</t>
  </si>
  <si>
    <t>CUST-51223</t>
  </si>
  <si>
    <t>Benjamin Butler</t>
  </si>
  <si>
    <t>ACT-01689</t>
  </si>
  <si>
    <t>morristom@example.com</t>
  </si>
  <si>
    <t>N4U 2NX</t>
  </si>
  <si>
    <t>ACC-11224</t>
  </si>
  <si>
    <t>CUST-51224</t>
  </si>
  <si>
    <t>Lucy Lee-Armstrong</t>
  </si>
  <si>
    <t>ACT-01690</t>
  </si>
  <si>
    <t>charlenedean@example.org</t>
  </si>
  <si>
    <t>BS5P 2QF</t>
  </si>
  <si>
    <t>ACT-01691</t>
  </si>
  <si>
    <t>ACC-11225</t>
  </si>
  <si>
    <t>CUST-51225</t>
  </si>
  <si>
    <t>Anthony Sutton</t>
  </si>
  <si>
    <t>ACT-01692</t>
  </si>
  <si>
    <t>alitina@example.com</t>
  </si>
  <si>
    <t>S4E 3HH</t>
  </si>
  <si>
    <t>ACC-11226</t>
  </si>
  <si>
    <t>CUST-51226</t>
  </si>
  <si>
    <t>Miss Katy Brooks</t>
  </si>
  <si>
    <t>ACT-01693</t>
  </si>
  <si>
    <t>dannyhall@example.org</t>
  </si>
  <si>
    <t>SK0 7QF</t>
  </si>
  <si>
    <t>ACC-11227</t>
  </si>
  <si>
    <t>CUST-51227</t>
  </si>
  <si>
    <t>Roger Smith</t>
  </si>
  <si>
    <t>ACT-01694</t>
  </si>
  <si>
    <t>lynn64@example.net</t>
  </si>
  <si>
    <t>FK13 5QH</t>
  </si>
  <si>
    <t>ACC-11228</t>
  </si>
  <si>
    <t>CUST-51228</t>
  </si>
  <si>
    <t>Mr Charles Lucas</t>
  </si>
  <si>
    <t>mgregory@example.com</t>
  </si>
  <si>
    <t>ACT-01695</t>
  </si>
  <si>
    <t>B6F 4RW</t>
  </si>
  <si>
    <t>ACC-11229</t>
  </si>
  <si>
    <t>CUST-51229</t>
  </si>
  <si>
    <t>Rosie Green</t>
  </si>
  <si>
    <t>zriley@example.org</t>
  </si>
  <si>
    <t>M5F 8QN</t>
  </si>
  <si>
    <t>ACT-01696</t>
  </si>
  <si>
    <t>ACC-11230</t>
  </si>
  <si>
    <t>CUST-51230</t>
  </si>
  <si>
    <t>Stewart Blake</t>
  </si>
  <si>
    <t>hannah86@example.net</t>
  </si>
  <si>
    <t>S8J 1ER</t>
  </si>
  <si>
    <t>ACC-11231</t>
  </si>
  <si>
    <t>CUST-51231</t>
  </si>
  <si>
    <t>ACT-01697</t>
  </si>
  <si>
    <t>Paula Hutchinson</t>
  </si>
  <si>
    <t>jenniferwhite@example.org</t>
  </si>
  <si>
    <t>L9 7BD</t>
  </si>
  <si>
    <t>ACC-11232</t>
  </si>
  <si>
    <t>CUST-51232</t>
  </si>
  <si>
    <t>Jean Harvey</t>
  </si>
  <si>
    <t>ACT-01698</t>
  </si>
  <si>
    <t>lharris@example.net</t>
  </si>
  <si>
    <t>CT04 8RW</t>
  </si>
  <si>
    <t>ACC-11233</t>
  </si>
  <si>
    <t>CUST-51233</t>
  </si>
  <si>
    <t>Carolyn Green-Bradley</t>
  </si>
  <si>
    <t>ACT-01699</t>
  </si>
  <si>
    <t>kforster@example.org</t>
  </si>
  <si>
    <t>CV6Y 1PN</t>
  </si>
  <si>
    <t>ACC-11234</t>
  </si>
  <si>
    <t>CUST-51234</t>
  </si>
  <si>
    <t>ACT-01700</t>
  </si>
  <si>
    <t>Helen Khan</t>
  </si>
  <si>
    <t>fostersarah@example.org</t>
  </si>
  <si>
    <t>G4 1NP</t>
  </si>
  <si>
    <t>ACC-11235</t>
  </si>
  <si>
    <t>CUST-51235</t>
  </si>
  <si>
    <t>ACT-01701</t>
  </si>
  <si>
    <t>Lynda Clarke</t>
  </si>
  <si>
    <t>xweston@example.com</t>
  </si>
  <si>
    <t>KY61 4AX</t>
  </si>
  <si>
    <t>ACC-11236</t>
  </si>
  <si>
    <t>CUST-51236</t>
  </si>
  <si>
    <t>Ann Jordan-Williams</t>
  </si>
  <si>
    <t>ACT-01702</t>
  </si>
  <si>
    <t>xmorgan@example.com</t>
  </si>
  <si>
    <t>G58 2NP</t>
  </si>
  <si>
    <t>ACC-11237</t>
  </si>
  <si>
    <t>CUST-51237</t>
  </si>
  <si>
    <t>Gerard Williams</t>
  </si>
  <si>
    <t>ACT-01703</t>
  </si>
  <si>
    <t>gparker@example.com</t>
  </si>
  <si>
    <t>OX7 2TZ</t>
  </si>
  <si>
    <t>ACT-01704</t>
  </si>
  <si>
    <t>ACC-11238</t>
  </si>
  <si>
    <t>CUST-51238</t>
  </si>
  <si>
    <t>Ms Natalie Dodd</t>
  </si>
  <si>
    <t>gardnerann@example.org</t>
  </si>
  <si>
    <t>B67 3PP</t>
  </si>
  <si>
    <t>ACT-01705</t>
  </si>
  <si>
    <t>ACC-11239</t>
  </si>
  <si>
    <t>CUST-51239</t>
  </si>
  <si>
    <t>Kim Allen</t>
  </si>
  <si>
    <t>frances25@example.net</t>
  </si>
  <si>
    <t>HD1B 8NG</t>
  </si>
  <si>
    <t>ACT-01706</t>
  </si>
  <si>
    <t>ACC-11240</t>
  </si>
  <si>
    <t>CUST-51240</t>
  </si>
  <si>
    <t>Alexander Jenkins-Smith</t>
  </si>
  <si>
    <t>rebeccalane@example.net</t>
  </si>
  <si>
    <t>SY8 1RN</t>
  </si>
  <si>
    <t>ACC-11241</t>
  </si>
  <si>
    <t>CUST-51241</t>
  </si>
  <si>
    <t>Dr Robert Wells</t>
  </si>
  <si>
    <t>ACT-01707</t>
  </si>
  <si>
    <t>max14@example.net</t>
  </si>
  <si>
    <t>G0B 4ZU</t>
  </si>
  <si>
    <t>ACC-11242</t>
  </si>
  <si>
    <t>CUST-51242</t>
  </si>
  <si>
    <t>Sylvia Pratt</t>
  </si>
  <si>
    <t>rosemaryriley@example.org</t>
  </si>
  <si>
    <t>B5 2ND</t>
  </si>
  <si>
    <t>ACT-01708</t>
  </si>
  <si>
    <t>ACC-11243</t>
  </si>
  <si>
    <t>CUST-51243</t>
  </si>
  <si>
    <t>Joyce Mills</t>
  </si>
  <si>
    <t>newtonharry@example.com</t>
  </si>
  <si>
    <t>CB70 5FB</t>
  </si>
  <si>
    <t>ACT-01709</t>
  </si>
  <si>
    <t>ACC-11244</t>
  </si>
  <si>
    <t>CUST-51244</t>
  </si>
  <si>
    <t>Francesca Wright</t>
  </si>
  <si>
    <t>johnsonjoe@example.org</t>
  </si>
  <si>
    <t>DT58 6FL</t>
  </si>
  <si>
    <t>ACC-11245</t>
  </si>
  <si>
    <t>CUST-51245</t>
  </si>
  <si>
    <t>Alice Tyler</t>
  </si>
  <si>
    <t>ACT-01710</t>
  </si>
  <si>
    <t>thomasmandy@example.org</t>
  </si>
  <si>
    <t>FK5 4QZ</t>
  </si>
  <si>
    <t>ACC-11246</t>
  </si>
  <si>
    <t>CUST-51246</t>
  </si>
  <si>
    <t>Gavin Parry</t>
  </si>
  <si>
    <t>ACT-01711</t>
  </si>
  <si>
    <t>barbarasteele@example.org</t>
  </si>
  <si>
    <t>KA5 6WY</t>
  </si>
  <si>
    <t>ACC-11247</t>
  </si>
  <si>
    <t>CUST-51247</t>
  </si>
  <si>
    <t>Hugh Roberts</t>
  </si>
  <si>
    <t>ACT-01712</t>
  </si>
  <si>
    <t>justin24@example.net</t>
  </si>
  <si>
    <t>KW7V 7ZF</t>
  </si>
  <si>
    <t>ACC-11248</t>
  </si>
  <si>
    <t>CUST-51248</t>
  </si>
  <si>
    <t>Gerald Henderson</t>
  </si>
  <si>
    <t>pearcescott@example.net</t>
  </si>
  <si>
    <t>M5 8EN</t>
  </si>
  <si>
    <t>ACC-11249</t>
  </si>
  <si>
    <t>ACT-01713</t>
  </si>
  <si>
    <t>CUST-51249</t>
  </si>
  <si>
    <t>Henry Richardson</t>
  </si>
  <si>
    <t>anncollins@example.org</t>
  </si>
  <si>
    <t>B7 4PS</t>
  </si>
  <si>
    <t>ACC-11250</t>
  </si>
  <si>
    <t>CUST-51250</t>
  </si>
  <si>
    <t>Dr Joel Phillips</t>
  </si>
  <si>
    <t>ACT-01714</t>
  </si>
  <si>
    <t>bcross@example.org</t>
  </si>
  <si>
    <t>N45 4JP</t>
  </si>
  <si>
    <t>ACC-11251</t>
  </si>
  <si>
    <t>CUST-51251</t>
  </si>
  <si>
    <t>Joanna Davidson</t>
  </si>
  <si>
    <t>deniseevans@example.com</t>
  </si>
  <si>
    <t>ACT-01715</t>
  </si>
  <si>
    <t>SG04 2TF</t>
  </si>
  <si>
    <t>ACC-11252</t>
  </si>
  <si>
    <t>CUST-51252</t>
  </si>
  <si>
    <t>Ms Joyce Davis</t>
  </si>
  <si>
    <t>sylviapearce@example.net</t>
  </si>
  <si>
    <t>N3G 4TB</t>
  </si>
  <si>
    <t>ACT-01716</t>
  </si>
  <si>
    <t>ACC-11253</t>
  </si>
  <si>
    <t>CUST-51253</t>
  </si>
  <si>
    <t>David Glover</t>
  </si>
  <si>
    <t>tonydavies@example.net</t>
  </si>
  <si>
    <t>PR8B 2QU</t>
  </si>
  <si>
    <t>ACC-11254</t>
  </si>
  <si>
    <t>CUST-51254</t>
  </si>
  <si>
    <t>ACT-01717</t>
  </si>
  <si>
    <t>Sally Oliver</t>
  </si>
  <si>
    <t>mroberts@example.org</t>
  </si>
  <si>
    <t>BN87 4DY</t>
  </si>
  <si>
    <t>ACC-11255</t>
  </si>
  <si>
    <t>CUST-51255</t>
  </si>
  <si>
    <t>Mr Jeffrey Patel</t>
  </si>
  <si>
    <t>ACT-01718</t>
  </si>
  <si>
    <t>jonessamantha@example.net</t>
  </si>
  <si>
    <t>L5 4TQ</t>
  </si>
  <si>
    <t>ACC-11256</t>
  </si>
  <si>
    <t>CUST-51256</t>
  </si>
  <si>
    <t>Mr Phillip Cross</t>
  </si>
  <si>
    <t>ACT-01719</t>
  </si>
  <si>
    <t>godfreymaureen@example.org</t>
  </si>
  <si>
    <t>B36 8JL</t>
  </si>
  <si>
    <t>ACC-11257</t>
  </si>
  <si>
    <t>CUST-51257</t>
  </si>
  <si>
    <t>Lynda Ross</t>
  </si>
  <si>
    <t>ACT-01720</t>
  </si>
  <si>
    <t>lorrainejones@example.com</t>
  </si>
  <si>
    <t>HP0P 0JZ</t>
  </si>
  <si>
    <t>ACC-11258</t>
  </si>
  <si>
    <t>CUST-51258</t>
  </si>
  <si>
    <t>Jennifer Bibi</t>
  </si>
  <si>
    <t>ACT-01721</t>
  </si>
  <si>
    <t>paigestewart@example.org</t>
  </si>
  <si>
    <t>HX0M 8LF</t>
  </si>
  <si>
    <t>ACC-11259</t>
  </si>
  <si>
    <t>CUST-51259</t>
  </si>
  <si>
    <t>Howard Atkinson</t>
  </si>
  <si>
    <t>rebeccagray@example.net</t>
  </si>
  <si>
    <t>PA2 9NY</t>
  </si>
  <si>
    <t>ACC-11260</t>
  </si>
  <si>
    <t>CUST-51260</t>
  </si>
  <si>
    <t>ACT-01722</t>
  </si>
  <si>
    <t>Jeffrey Graham</t>
  </si>
  <si>
    <t>angelacarroll@example.org</t>
  </si>
  <si>
    <t>B7T 6NY</t>
  </si>
  <si>
    <t>ACC-11261</t>
  </si>
  <si>
    <t>CUST-51261</t>
  </si>
  <si>
    <t>Dr Robin Martin</t>
  </si>
  <si>
    <t>ACT-01723</t>
  </si>
  <si>
    <t>pdavis@example.org</t>
  </si>
  <si>
    <t>B9 5BD</t>
  </si>
  <si>
    <t>ACC-11262</t>
  </si>
  <si>
    <t>CUST-51262</t>
  </si>
  <si>
    <t>Charles Wood-Roberts</t>
  </si>
  <si>
    <t>ACT-01724</t>
  </si>
  <si>
    <t>linda48@example.com</t>
  </si>
  <si>
    <t>W0U 0RE</t>
  </si>
  <si>
    <t>ACT-01725</t>
  </si>
  <si>
    <t>ACC-11263</t>
  </si>
  <si>
    <t>CUST-51263</t>
  </si>
  <si>
    <t>Declan Allen</t>
  </si>
  <si>
    <t>egallagher@example.org</t>
  </si>
  <si>
    <t>ACT-01726</t>
  </si>
  <si>
    <t>BR9P 9UH</t>
  </si>
  <si>
    <t>ACC-11264</t>
  </si>
  <si>
    <t>CUST-51264</t>
  </si>
  <si>
    <t>Ms Pauline Foster</t>
  </si>
  <si>
    <t>ACT-01727</t>
  </si>
  <si>
    <t>darren63@example.com</t>
  </si>
  <si>
    <t>HU3Y 9BF</t>
  </si>
  <si>
    <t>ACC-11265</t>
  </si>
  <si>
    <t>CUST-51265</t>
  </si>
  <si>
    <t>ACT-01728</t>
  </si>
  <si>
    <t>Miss Leanne Jones</t>
  </si>
  <si>
    <t>thomasmarilyn@example.com</t>
  </si>
  <si>
    <t>NP93 0SP</t>
  </si>
  <si>
    <t>ACC-11266</t>
  </si>
  <si>
    <t>ACT-01729</t>
  </si>
  <si>
    <t>CUST-51266</t>
  </si>
  <si>
    <t>Rosie Douglas</t>
  </si>
  <si>
    <t>ML73 7QU</t>
  </si>
  <si>
    <t>ACT-01730</t>
  </si>
  <si>
    <t>ACC-11267</t>
  </si>
  <si>
    <t>CUST-51267</t>
  </si>
  <si>
    <t>Dr Maurice Donnelly</t>
  </si>
  <si>
    <t>ncarpenter@example.com</t>
  </si>
  <si>
    <t>ACT-01731</t>
  </si>
  <si>
    <t>CV7W 9XT</t>
  </si>
  <si>
    <t>ACC-11268</t>
  </si>
  <si>
    <t>CUST-51268</t>
  </si>
  <si>
    <t>Dr Tom Hughes</t>
  </si>
  <si>
    <t>ACT-01732</t>
  </si>
  <si>
    <t>janicerichardson@example.com</t>
  </si>
  <si>
    <t>B7 1XW</t>
  </si>
  <si>
    <t>ACT-01733</t>
  </si>
  <si>
    <t>ACC-11269</t>
  </si>
  <si>
    <t>CUST-51269</t>
  </si>
  <si>
    <t>Zoe Smith</t>
  </si>
  <si>
    <t>ACT-01734</t>
  </si>
  <si>
    <t>ACT-01735</t>
  </si>
  <si>
    <t>CV7 7EP</t>
  </si>
  <si>
    <t>ACT-01736</t>
  </si>
  <si>
    <t>ACC-11270</t>
  </si>
  <si>
    <t>CUST-51270</t>
  </si>
  <si>
    <t>Dr Tom Wong</t>
  </si>
  <si>
    <t>ACT-01737</t>
  </si>
  <si>
    <t>maria77@example.com</t>
  </si>
  <si>
    <t>CB7E 0AH</t>
  </si>
  <si>
    <t>ACC-11271</t>
  </si>
  <si>
    <t>CUST-51271</t>
  </si>
  <si>
    <t>ACT-01738</t>
  </si>
  <si>
    <t>Mr Jason Patel</t>
  </si>
  <si>
    <t>glensingh@example.net</t>
  </si>
  <si>
    <t>ACT-01739</t>
  </si>
  <si>
    <t>B31 1GU</t>
  </si>
  <si>
    <t>ACC-11272</t>
  </si>
  <si>
    <t>CUST-51272</t>
  </si>
  <si>
    <t>Luke Kelly-Hopkins</t>
  </si>
  <si>
    <t>ACT-01740</t>
  </si>
  <si>
    <t>vincent07@example.org</t>
  </si>
  <si>
    <t>NR5A 9TT</t>
  </si>
  <si>
    <t>ACT-01741</t>
  </si>
  <si>
    <t>ACC-11273</t>
  </si>
  <si>
    <t>CUST-51273</t>
  </si>
  <si>
    <t>Julian Law</t>
  </si>
  <si>
    <t>ACT-01742</t>
  </si>
  <si>
    <t>alijames@example.org</t>
  </si>
  <si>
    <t>S79 9AA</t>
  </si>
  <si>
    <t>ACT-01743</t>
  </si>
  <si>
    <t>ACC-11274</t>
  </si>
  <si>
    <t>CUST-51274</t>
  </si>
  <si>
    <t>Lindsey Jenkins-Ball</t>
  </si>
  <si>
    <t>ACT-01744</t>
  </si>
  <si>
    <t>wrightandrea@example.net</t>
  </si>
  <si>
    <t>W13 5BT</t>
  </si>
  <si>
    <t>ACC-11275</t>
  </si>
  <si>
    <t>CUST-51275</t>
  </si>
  <si>
    <t>Dr Mark Burke</t>
  </si>
  <si>
    <t>ACT-01745</t>
  </si>
  <si>
    <t>samuelmurphy@example.net</t>
  </si>
  <si>
    <t>PE11 3EL</t>
  </si>
  <si>
    <t>ACT-01746</t>
  </si>
  <si>
    <t>ACC-11276</t>
  </si>
  <si>
    <t>CUST-51276</t>
  </si>
  <si>
    <t>Louise Martin-Lloyd</t>
  </si>
  <si>
    <t>woodsdenis@example.net</t>
  </si>
  <si>
    <t>ACT-01747</t>
  </si>
  <si>
    <t>G7F 2AT</t>
  </si>
  <si>
    <t>ACC-11277</t>
  </si>
  <si>
    <t>CUST-51277</t>
  </si>
  <si>
    <t>Denise Hunt-Morgan</t>
  </si>
  <si>
    <t>ACT-01748</t>
  </si>
  <si>
    <t>TW00 6QU</t>
  </si>
  <si>
    <t>ACC-11278</t>
  </si>
  <si>
    <t>CUST-51278</t>
  </si>
  <si>
    <t>Ms Jean Sinclair</t>
  </si>
  <si>
    <t>ACT-01749</t>
  </si>
  <si>
    <t>brownnaomi@example.net</t>
  </si>
  <si>
    <t>WR42 7NX</t>
  </si>
  <si>
    <t>ACC-11279</t>
  </si>
  <si>
    <t>CUST-51279</t>
  </si>
  <si>
    <t>ACT-01750</t>
  </si>
  <si>
    <t>Ms Lindsey Wood</t>
  </si>
  <si>
    <t>abigail95@example.com</t>
  </si>
  <si>
    <t>M81 6LD</t>
  </si>
  <si>
    <t>ACT-01751</t>
  </si>
  <si>
    <t>ACC-11280</t>
  </si>
  <si>
    <t>CUST-51280</t>
  </si>
  <si>
    <t>Peter Sheppard</t>
  </si>
  <si>
    <t>ACT-01752</t>
  </si>
  <si>
    <t>vcook@example.net</t>
  </si>
  <si>
    <t>L7 7JX</t>
  </si>
  <si>
    <t>ACT-01753</t>
  </si>
  <si>
    <t>ACC-11281</t>
  </si>
  <si>
    <t>CUST-51281</t>
  </si>
  <si>
    <t>Jack Bell</t>
  </si>
  <si>
    <t>ACT-01754</t>
  </si>
  <si>
    <t>kparkinson@example.org</t>
  </si>
  <si>
    <t>ACT-01755</t>
  </si>
  <si>
    <t>L91 5AY</t>
  </si>
  <si>
    <t>ACC-11282</t>
  </si>
  <si>
    <t>ACT-01756</t>
  </si>
  <si>
    <t>CUST-51282</t>
  </si>
  <si>
    <t>Natasha Murphy</t>
  </si>
  <si>
    <t>ACT-01757</t>
  </si>
  <si>
    <t>abbiehawkins@example.org</t>
  </si>
  <si>
    <t>W0 8WJ</t>
  </si>
  <si>
    <t>ACT-01758</t>
  </si>
  <si>
    <t>ACC-11283</t>
  </si>
  <si>
    <t>CUST-51283</t>
  </si>
  <si>
    <t>Ms Abigail Watson</t>
  </si>
  <si>
    <t>ACT-01759</t>
  </si>
  <si>
    <t>neil34@example.net</t>
  </si>
  <si>
    <t>SG40 1HX</t>
  </si>
  <si>
    <t>ACT-01760</t>
  </si>
  <si>
    <t>ACC-11284</t>
  </si>
  <si>
    <t>CUST-51284</t>
  </si>
  <si>
    <t>Maurice Thompson</t>
  </si>
  <si>
    <t>ACT-01761</t>
  </si>
  <si>
    <t>ruthwright@example.org</t>
  </si>
  <si>
    <t>RH4B 3BF</t>
  </si>
  <si>
    <t>ACT-01762</t>
  </si>
  <si>
    <t>ACC-11285</t>
  </si>
  <si>
    <t>CUST-51285</t>
  </si>
  <si>
    <t>Ms Kimberley Saunders</t>
  </si>
  <si>
    <t>ACT-01763</t>
  </si>
  <si>
    <t>fjenkins@example.net</t>
  </si>
  <si>
    <t>PA5 3RF</t>
  </si>
  <si>
    <t>ACC-11286</t>
  </si>
  <si>
    <t>CUST-51286</t>
  </si>
  <si>
    <t>Kyle Martin</t>
  </si>
  <si>
    <t>ACT-01764</t>
  </si>
  <si>
    <t>palmergavin@example.net</t>
  </si>
  <si>
    <t>DT2R 6DZ</t>
  </si>
  <si>
    <t>ACC-11287</t>
  </si>
  <si>
    <t>ACT-01765</t>
  </si>
  <si>
    <t>CUST-51287</t>
  </si>
  <si>
    <t>Ms Leanne Gregory</t>
  </si>
  <si>
    <t>ryangeraldine@example.com</t>
  </si>
  <si>
    <t>N13 4ED</t>
  </si>
  <si>
    <t>ACT-01766</t>
  </si>
  <si>
    <t>ACC-11288</t>
  </si>
  <si>
    <t>CUST-51288</t>
  </si>
  <si>
    <t>Mrs Paige Storey</t>
  </si>
  <si>
    <t>ACT-01767</t>
  </si>
  <si>
    <t>anthony45@example.org</t>
  </si>
  <si>
    <t>G8 2SN</t>
  </si>
  <si>
    <t>ACC-11289</t>
  </si>
  <si>
    <t>CUST-51289</t>
  </si>
  <si>
    <t>Robert Townsend</t>
  </si>
  <si>
    <t>ACT-01768</t>
  </si>
  <si>
    <t>jodiegrant@example.com</t>
  </si>
  <si>
    <t>ACT-01769</t>
  </si>
  <si>
    <t>HS8A 4AD</t>
  </si>
  <si>
    <t>ACC-11290</t>
  </si>
  <si>
    <t>CUST-51290</t>
  </si>
  <si>
    <t>Jeremy Kent-Reed</t>
  </si>
  <si>
    <t>ACT-01770</t>
  </si>
  <si>
    <t>hhughes@example.com</t>
  </si>
  <si>
    <t>EX5 3UE</t>
  </si>
  <si>
    <t>ACC-11291</t>
  </si>
  <si>
    <t>ACT-01771</t>
  </si>
  <si>
    <t>CUST-51291</t>
  </si>
  <si>
    <t>Peter James-Collins</t>
  </si>
  <si>
    <t>W04 8RJ</t>
  </si>
  <si>
    <t>ACT-01772</t>
  </si>
  <si>
    <t>ACC-11292</t>
  </si>
  <si>
    <t>CUST-51292</t>
  </si>
  <si>
    <t>Melissa Mistry</t>
  </si>
  <si>
    <t>ACT-01773</t>
  </si>
  <si>
    <t>jacksonalexander@example.org</t>
  </si>
  <si>
    <t>CF3B 9FG</t>
  </si>
  <si>
    <t>ACC-11293</t>
  </si>
  <si>
    <t>CUST-51293</t>
  </si>
  <si>
    <t>Terry Ashton</t>
  </si>
  <si>
    <t>ACT-01774</t>
  </si>
  <si>
    <t>tgray@example.org</t>
  </si>
  <si>
    <t>W0 9WS</t>
  </si>
  <si>
    <t>ACT-01775</t>
  </si>
  <si>
    <t>ACC-11294</t>
  </si>
  <si>
    <t>CUST-51294</t>
  </si>
  <si>
    <t>Arthur Cook-Mills</t>
  </si>
  <si>
    <t>ACT-01776</t>
  </si>
  <si>
    <t>ygregory@example.net</t>
  </si>
  <si>
    <t>RM7H 1HG</t>
  </si>
  <si>
    <t>ACC-11295</t>
  </si>
  <si>
    <t>ACT-01777</t>
  </si>
  <si>
    <t>CUST-51295</t>
  </si>
  <si>
    <t>Lynne Morgan-Davies</t>
  </si>
  <si>
    <t>cwoodward@example.net</t>
  </si>
  <si>
    <t>LD1H 7FX</t>
  </si>
  <si>
    <t>ACT-01778</t>
  </si>
  <si>
    <t>ACC-11296</t>
  </si>
  <si>
    <t>CUST-51296</t>
  </si>
  <si>
    <t>Allan Harding</t>
  </si>
  <si>
    <t>darren83@example.com</t>
  </si>
  <si>
    <t>ACT-01779</t>
  </si>
  <si>
    <t>B89 4XF</t>
  </si>
  <si>
    <t>ACC-11297</t>
  </si>
  <si>
    <t>CUST-51297</t>
  </si>
  <si>
    <t>Georgina Wilson</t>
  </si>
  <si>
    <t>ACT-01780</t>
  </si>
  <si>
    <t>thorpethomas@example.net</t>
  </si>
  <si>
    <t>LA0 8UR</t>
  </si>
  <si>
    <t>ACC-11298</t>
  </si>
  <si>
    <t>ACT-01781</t>
  </si>
  <si>
    <t>CUST-51298</t>
  </si>
  <si>
    <t>Eleanor Mills-Dickinson</t>
  </si>
  <si>
    <t>ACT-01782</t>
  </si>
  <si>
    <t>damienbrooks@example.com</t>
  </si>
  <si>
    <t>L3K 8QD</t>
  </si>
  <si>
    <t>ACC-11299</t>
  </si>
  <si>
    <t>CUST-51299</t>
  </si>
  <si>
    <t>Kathryn Simpson</t>
  </si>
  <si>
    <t>ACT-01783</t>
  </si>
  <si>
    <t>craigmartin@example.org</t>
  </si>
  <si>
    <t>GY0 9XU</t>
  </si>
  <si>
    <t>ACT-01784</t>
  </si>
  <si>
    <t>ACC-11300</t>
  </si>
  <si>
    <t>CUST-51300</t>
  </si>
  <si>
    <t>Wendy Russell</t>
  </si>
  <si>
    <t>ACT-01785</t>
  </si>
  <si>
    <t>HA3H 5UF</t>
  </si>
  <si>
    <t>ACT-01786</t>
  </si>
  <si>
    <t>ACC-11301</t>
  </si>
  <si>
    <t>CUST-51301</t>
  </si>
  <si>
    <t>Dr Leigh Daly</t>
  </si>
  <si>
    <t>ACT-01787</t>
  </si>
  <si>
    <t>holly31@example.org</t>
  </si>
  <si>
    <t>DH3W 2LQ</t>
  </si>
  <si>
    <t>ACT-01788</t>
  </si>
  <si>
    <t>ACC-11302</t>
  </si>
  <si>
    <t>CUST-51302</t>
  </si>
  <si>
    <t>Colin Schofield</t>
  </si>
  <si>
    <t>ACT-01789</t>
  </si>
  <si>
    <t>david81@example.net</t>
  </si>
  <si>
    <t>LL1P 9PJ</t>
  </si>
  <si>
    <t>ACT-01790</t>
  </si>
  <si>
    <t>ACC-11303</t>
  </si>
  <si>
    <t>CUST-51303</t>
  </si>
  <si>
    <t>Duncan Faulkner</t>
  </si>
  <si>
    <t>ACT-01791</t>
  </si>
  <si>
    <t>maureencampbell@example.net</t>
  </si>
  <si>
    <t>L88 3BU</t>
  </si>
  <si>
    <t>ACC-11304</t>
  </si>
  <si>
    <t>CUST-51304</t>
  </si>
  <si>
    <t>ACT-01792</t>
  </si>
  <si>
    <t>Connor Thompson-Sims</t>
  </si>
  <si>
    <t>bethstorey@example.net</t>
  </si>
  <si>
    <t>ACT-01793</t>
  </si>
  <si>
    <t>E52 8QG</t>
  </si>
  <si>
    <t>ACC-11305</t>
  </si>
  <si>
    <t>CUST-51305</t>
  </si>
  <si>
    <t>Kerry Webb</t>
  </si>
  <si>
    <t>ACT-01794</t>
  </si>
  <si>
    <t>ncarter@example.net</t>
  </si>
  <si>
    <t>E93 4FU</t>
  </si>
  <si>
    <t>ACT-01795</t>
  </si>
  <si>
    <t>ACC-11306</t>
  </si>
  <si>
    <t>CUST-51306</t>
  </si>
  <si>
    <t>Pamela Harvey</t>
  </si>
  <si>
    <t>ACT-01796</t>
  </si>
  <si>
    <t>daviesfrancis@example.org</t>
  </si>
  <si>
    <t>PA1 1FG</t>
  </si>
  <si>
    <t>ACT-01797</t>
  </si>
  <si>
    <t>ACC-11307</t>
  </si>
  <si>
    <t>CUST-51307</t>
  </si>
  <si>
    <t>Mark Atkinson</t>
  </si>
  <si>
    <t>ACT-01798</t>
  </si>
  <si>
    <t>BH1R 4QA</t>
  </si>
  <si>
    <t>ACT-01799</t>
  </si>
  <si>
    <t>ACC-11308</t>
  </si>
  <si>
    <t>CUST-51308</t>
  </si>
  <si>
    <t>Thomas Tucker</t>
  </si>
  <si>
    <t>ostewart@example.org</t>
  </si>
  <si>
    <t>B5 8XQ</t>
  </si>
  <si>
    <t>ACT-01800</t>
  </si>
  <si>
    <t>ACC-11309</t>
  </si>
  <si>
    <t>CUST-51309</t>
  </si>
  <si>
    <t>Jasmine Bird</t>
  </si>
  <si>
    <t>ACT-01801</t>
  </si>
  <si>
    <t>tomlinsonkaty@example.com</t>
  </si>
  <si>
    <t>KA33 3UH</t>
  </si>
  <si>
    <t>ACC-11310</t>
  </si>
  <si>
    <t>CUST-51310</t>
  </si>
  <si>
    <t>Mr Louis Dale</t>
  </si>
  <si>
    <t>ACT-01802</t>
  </si>
  <si>
    <t>thompsonalbert@example.net</t>
  </si>
  <si>
    <t>BD12 3WD</t>
  </si>
  <si>
    <t>ACC-11311</t>
  </si>
  <si>
    <t>CUST-51311</t>
  </si>
  <si>
    <t>Elaine Barton</t>
  </si>
  <si>
    <t>xmason@example.net</t>
  </si>
  <si>
    <t>ACT-01803</t>
  </si>
  <si>
    <t>L8W 7XX</t>
  </si>
  <si>
    <t>ACC-11312</t>
  </si>
  <si>
    <t>CUST-51312</t>
  </si>
  <si>
    <t>Victoria Davies</t>
  </si>
  <si>
    <t>ACT-01804</t>
  </si>
  <si>
    <t>JE2 0QF</t>
  </si>
  <si>
    <t>ACC-11313</t>
  </si>
  <si>
    <t>CUST-51313</t>
  </si>
  <si>
    <t>Derek Quinn</t>
  </si>
  <si>
    <t>ACT-01805</t>
  </si>
  <si>
    <t>burkeconnor@example.com</t>
  </si>
  <si>
    <t>JE9M 8RT</t>
  </si>
  <si>
    <t>ACT-01806</t>
  </si>
  <si>
    <t>ACC-11314</t>
  </si>
  <si>
    <t>CUST-51314</t>
  </si>
  <si>
    <t>Jenna Moore</t>
  </si>
  <si>
    <t>shawlouis@example.org</t>
  </si>
  <si>
    <t>LN0 5BY</t>
  </si>
  <si>
    <t>ACT-01807</t>
  </si>
  <si>
    <t>ACC-11315</t>
  </si>
  <si>
    <t>CUST-51315</t>
  </si>
  <si>
    <t>Cheryl Pearce</t>
  </si>
  <si>
    <t>ACT-01808</t>
  </si>
  <si>
    <t>joan09@example.com</t>
  </si>
  <si>
    <t>WD62 7GU</t>
  </si>
  <si>
    <t>ACC-11316</t>
  </si>
  <si>
    <t>CUST-51316</t>
  </si>
  <si>
    <t>Ricky Smith</t>
  </si>
  <si>
    <t>ACT-01809</t>
  </si>
  <si>
    <t>debragilbert@example.com</t>
  </si>
  <si>
    <t>M60 2FX</t>
  </si>
  <si>
    <t>ACT-01810</t>
  </si>
  <si>
    <t>ACC-11317</t>
  </si>
  <si>
    <t>CUST-51317</t>
  </si>
  <si>
    <t>Ms Debra Ward</t>
  </si>
  <si>
    <t>neilstewart@example.net</t>
  </si>
  <si>
    <t>ACT-01811</t>
  </si>
  <si>
    <t>N64 5NB</t>
  </si>
  <si>
    <t>ACC-11318</t>
  </si>
  <si>
    <t>CUST-51318</t>
  </si>
  <si>
    <t>Ms Christine Murray</t>
  </si>
  <si>
    <t>ACT-01812</t>
  </si>
  <si>
    <t>S85 6ZR</t>
  </si>
  <si>
    <t>ACT-01813</t>
  </si>
  <si>
    <t>ACC-11319</t>
  </si>
  <si>
    <t>CUST-51319</t>
  </si>
  <si>
    <t>Kim Bird</t>
  </si>
  <si>
    <t>ACT-01814</t>
  </si>
  <si>
    <t>kgregory@example.net</t>
  </si>
  <si>
    <t>W1 8RR</t>
  </si>
  <si>
    <t>ACT-01815</t>
  </si>
  <si>
    <t>ACC-11320</t>
  </si>
  <si>
    <t>CUST-51320</t>
  </si>
  <si>
    <t>Annette Hill</t>
  </si>
  <si>
    <t>ACT-01816</t>
  </si>
  <si>
    <t>levans@example.org</t>
  </si>
  <si>
    <t>M5 4WN</t>
  </si>
  <si>
    <t>ACT-01817</t>
  </si>
  <si>
    <t>ACC-11321</t>
  </si>
  <si>
    <t>CUST-51321</t>
  </si>
  <si>
    <t>Glenn White</t>
  </si>
  <si>
    <t>stuartcarter@example.com</t>
  </si>
  <si>
    <t>OX1 7ZP</t>
  </si>
  <si>
    <t>ACT-01818</t>
  </si>
  <si>
    <t>ACC-11322</t>
  </si>
  <si>
    <t>CUST-51322</t>
  </si>
  <si>
    <t>Luke Rees</t>
  </si>
  <si>
    <t>ywatts@example.org</t>
  </si>
  <si>
    <t>LD2B 1EG</t>
  </si>
  <si>
    <t>ACT-01819</t>
  </si>
  <si>
    <t>ACC-11323</t>
  </si>
  <si>
    <t>CUST-51323</t>
  </si>
  <si>
    <t>Chloe Clarke</t>
  </si>
  <si>
    <t>bellkieran@example.net</t>
  </si>
  <si>
    <t>ACT-01820</t>
  </si>
  <si>
    <t>HS5H 0FE</t>
  </si>
  <si>
    <t>ACC-11324</t>
  </si>
  <si>
    <t>CUST-51324</t>
  </si>
  <si>
    <t>Miss Carol Bartlett</t>
  </si>
  <si>
    <t>ACT-01821</t>
  </si>
  <si>
    <t>fatkinson@example.com</t>
  </si>
  <si>
    <t>CH8 2XJ</t>
  </si>
  <si>
    <t>ACC-11325</t>
  </si>
  <si>
    <t>CUST-51325</t>
  </si>
  <si>
    <t>ACT-01822</t>
  </si>
  <si>
    <t>Ellie Morgan</t>
  </si>
  <si>
    <t>stuarthopkins@example.net</t>
  </si>
  <si>
    <t>SA0 5LG</t>
  </si>
  <si>
    <t>ACT-01823</t>
  </si>
  <si>
    <t>ACC-11326</t>
  </si>
  <si>
    <t>CUST-51326</t>
  </si>
  <si>
    <t>Miss Bethany Davis</t>
  </si>
  <si>
    <t>ACT-01824</t>
  </si>
  <si>
    <t>francesca36@example.org</t>
  </si>
  <si>
    <t>CW4X 0NJ</t>
  </si>
  <si>
    <t>ACC-11327</t>
  </si>
  <si>
    <t>CUST-51327</t>
  </si>
  <si>
    <t>Bethany Evans</t>
  </si>
  <si>
    <t>ACT-01825</t>
  </si>
  <si>
    <t>stephaniewilliams@example.com</t>
  </si>
  <si>
    <t>KW64 5GN</t>
  </si>
  <si>
    <t>ACT-01826</t>
  </si>
  <si>
    <t>ACC-11328</t>
  </si>
  <si>
    <t>CUST-51328</t>
  </si>
  <si>
    <t>Jenna Ward</t>
  </si>
  <si>
    <t>ACT-01827</t>
  </si>
  <si>
    <t>smithjill@example.org</t>
  </si>
  <si>
    <t>WD86 8WQ</t>
  </si>
  <si>
    <t>ACC-11329</t>
  </si>
  <si>
    <t>CUST-51329</t>
  </si>
  <si>
    <t>Dr Alexander Potter</t>
  </si>
  <si>
    <t>ACT-01828</t>
  </si>
  <si>
    <t>cstokes@example.org</t>
  </si>
  <si>
    <t>M4 8BE</t>
  </si>
  <si>
    <t>ACC-11330</t>
  </si>
  <si>
    <t>CUST-51330</t>
  </si>
  <si>
    <t>ACT-01829</t>
  </si>
  <si>
    <t>Roger Gardiner</t>
  </si>
  <si>
    <t>tspencer@example.net</t>
  </si>
  <si>
    <t>BR40 2JF</t>
  </si>
  <si>
    <t>ACT-01830</t>
  </si>
  <si>
    <t>ACC-11331</t>
  </si>
  <si>
    <t>CUST-51331</t>
  </si>
  <si>
    <t>Ashleigh Hill</t>
  </si>
  <si>
    <t>ACT-01831</t>
  </si>
  <si>
    <t>johneileen@example.net</t>
  </si>
  <si>
    <t>ACT-01832</t>
  </si>
  <si>
    <t>HA60 8FD</t>
  </si>
  <si>
    <t>ACT-01833</t>
  </si>
  <si>
    <t>ACC-11332</t>
  </si>
  <si>
    <t>CUST-51332</t>
  </si>
  <si>
    <t>Vincent Goddard-Smith</t>
  </si>
  <si>
    <t>ACT-01834</t>
  </si>
  <si>
    <t>garyjones@example.com</t>
  </si>
  <si>
    <t>ACT-01835</t>
  </si>
  <si>
    <t>W4D 8PX</t>
  </si>
  <si>
    <t>ACC-11333</t>
  </si>
  <si>
    <t>CUST-51333</t>
  </si>
  <si>
    <t>Elliot Williams</t>
  </si>
  <si>
    <t>ACT-01836</t>
  </si>
  <si>
    <t>jasmine92@example.org</t>
  </si>
  <si>
    <t>DH51 1PL</t>
  </si>
  <si>
    <t>ACC-11334</t>
  </si>
  <si>
    <t>CUST-51334</t>
  </si>
  <si>
    <t>Vanessa Reeves</t>
  </si>
  <si>
    <t>ACT-01837</t>
  </si>
  <si>
    <t>lbegum@example.net</t>
  </si>
  <si>
    <t>DA7W 9AE</t>
  </si>
  <si>
    <t>ACC-11335</t>
  </si>
  <si>
    <t>CUST-51335</t>
  </si>
  <si>
    <t>Nicole Davies</t>
  </si>
  <si>
    <t>ACT-01838</t>
  </si>
  <si>
    <t>gavin05@example.org</t>
  </si>
  <si>
    <t>N4J 6FW</t>
  </si>
  <si>
    <t>ACC-11336</t>
  </si>
  <si>
    <t>ACT-01839</t>
  </si>
  <si>
    <t>CUST-51336</t>
  </si>
  <si>
    <t>Stuart Ali</t>
  </si>
  <si>
    <t>gary27@example.net</t>
  </si>
  <si>
    <t>W7 5EL</t>
  </si>
  <si>
    <t>ACT-01840</t>
  </si>
  <si>
    <t>ACC-11337</t>
  </si>
  <si>
    <t>CUST-51337</t>
  </si>
  <si>
    <t>Kathryn Johnson</t>
  </si>
  <si>
    <t>carole02@example.net</t>
  </si>
  <si>
    <t>ACT-01841</t>
  </si>
  <si>
    <t>HX7B 5BL</t>
  </si>
  <si>
    <t>ACC-11338</t>
  </si>
  <si>
    <t>CUST-51338</t>
  </si>
  <si>
    <t>ACT-01842</t>
  </si>
  <si>
    <t>Dr Martyn Jones</t>
  </si>
  <si>
    <t>gary44@example.org</t>
  </si>
  <si>
    <t>SE4M 4ER</t>
  </si>
  <si>
    <t>ACT-01843</t>
  </si>
  <si>
    <t>ACC-11339</t>
  </si>
  <si>
    <t>CUST-51339</t>
  </si>
  <si>
    <t>Mr Derek Hall</t>
  </si>
  <si>
    <t>ACT-01844</t>
  </si>
  <si>
    <t>jaybutler@example.net</t>
  </si>
  <si>
    <t>WF77 5HZ</t>
  </si>
  <si>
    <t>ACC-11340</t>
  </si>
  <si>
    <t>CUST-51340</t>
  </si>
  <si>
    <t>Joyce Jackson</t>
  </si>
  <si>
    <t>xmiller@example.com</t>
  </si>
  <si>
    <t>NW7 2UH</t>
  </si>
  <si>
    <t>ACT-01845</t>
  </si>
  <si>
    <t>ACC-11341</t>
  </si>
  <si>
    <t>CUST-51341</t>
  </si>
  <si>
    <t>Vanessa Macdonald</t>
  </si>
  <si>
    <t>ACT-01846</t>
  </si>
  <si>
    <t>ACT-01847</t>
  </si>
  <si>
    <t>oholden@example.net</t>
  </si>
  <si>
    <t>EN48 1HY</t>
  </si>
  <si>
    <t>ACC-11342</t>
  </si>
  <si>
    <t>ACT-01848</t>
  </si>
  <si>
    <t>CUST-51342</t>
  </si>
  <si>
    <t>Bruce Bolton</t>
  </si>
  <si>
    <t>ACT-01849</t>
  </si>
  <si>
    <t>udouglas@example.org</t>
  </si>
  <si>
    <t>TR2N 7BN</t>
  </si>
  <si>
    <t>ACC-11343</t>
  </si>
  <si>
    <t>ACT-01850</t>
  </si>
  <si>
    <t>CUST-51343</t>
  </si>
  <si>
    <t>Gillian Powell</t>
  </si>
  <si>
    <t>ACT-01851</t>
  </si>
  <si>
    <t>westonemma@example.com</t>
  </si>
  <si>
    <t>TQ8 6SH</t>
  </si>
  <si>
    <t>ACC-11344</t>
  </si>
  <si>
    <t>ACT-01852</t>
  </si>
  <si>
    <t>CUST-51344</t>
  </si>
  <si>
    <t>Alan Clayton</t>
  </si>
  <si>
    <t>xcampbell@example.net</t>
  </si>
  <si>
    <t>ACT-01853</t>
  </si>
  <si>
    <t>EN1 4TA</t>
  </si>
  <si>
    <t>ACC-11345</t>
  </si>
  <si>
    <t>CUST-51345</t>
  </si>
  <si>
    <t>ACT-01854</t>
  </si>
  <si>
    <t>Craig Patterson</t>
  </si>
  <si>
    <t>ACT-01855</t>
  </si>
  <si>
    <t>callumgough@example.net</t>
  </si>
  <si>
    <t>N7G 8FX</t>
  </si>
  <si>
    <t>ACT-01856</t>
  </si>
  <si>
    <t>ACC-11346</t>
  </si>
  <si>
    <t>CUST-51346</t>
  </si>
  <si>
    <t>ACT-01857</t>
  </si>
  <si>
    <t>Ruth Reynolds</t>
  </si>
  <si>
    <t>ACT-01858</t>
  </si>
  <si>
    <t>tyoung@example.net</t>
  </si>
  <si>
    <t>M8 7BW</t>
  </si>
  <si>
    <t>ACC-11347</t>
  </si>
  <si>
    <t>ACT-01859</t>
  </si>
  <si>
    <t>CUST-51347</t>
  </si>
  <si>
    <t>Roger Collins</t>
  </si>
  <si>
    <t>jeremypayne@example.org</t>
  </si>
  <si>
    <t>ACT-01860</t>
  </si>
  <si>
    <t>GY8Y 9ZH</t>
  </si>
  <si>
    <t>ACC-11348</t>
  </si>
  <si>
    <t>CUST-51348</t>
  </si>
  <si>
    <t>Dr Matthew Coates</t>
  </si>
  <si>
    <t>ACT-01861</t>
  </si>
  <si>
    <t>nanderson@example.net</t>
  </si>
  <si>
    <t>E3 0NG</t>
  </si>
  <si>
    <t>ACC-11349</t>
  </si>
  <si>
    <t>ACT-01862</t>
  </si>
  <si>
    <t>CUST-51349</t>
  </si>
  <si>
    <t>Diane Potts-Phillips</t>
  </si>
  <si>
    <t>ejones@example.com</t>
  </si>
  <si>
    <t>RM90 0ET</t>
  </si>
  <si>
    <t>ACT-01863</t>
  </si>
  <si>
    <t>ACC-11350</t>
  </si>
  <si>
    <t>CUST-51350</t>
  </si>
  <si>
    <t>Thomas Long</t>
  </si>
  <si>
    <t>ACT-01864</t>
  </si>
  <si>
    <t>charlesmorrison@example.com</t>
  </si>
  <si>
    <t>KT82 7YW</t>
  </si>
  <si>
    <t>ACC-11351</t>
  </si>
  <si>
    <t>CUST-51351</t>
  </si>
  <si>
    <t>Barbara Newman</t>
  </si>
  <si>
    <t>ACT-01865</t>
  </si>
  <si>
    <t>nicolashaw@example.net</t>
  </si>
  <si>
    <t>FY11 8BZ</t>
  </si>
  <si>
    <t>ACT-01866</t>
  </si>
  <si>
    <t>ACC-11352</t>
  </si>
  <si>
    <t>CUST-51352</t>
  </si>
  <si>
    <t>Holly Bell</t>
  </si>
  <si>
    <t>ACT-01867</t>
  </si>
  <si>
    <t>david48@example.com</t>
  </si>
  <si>
    <t>IM2 6EA</t>
  </si>
  <si>
    <t>ACC-11353</t>
  </si>
  <si>
    <t>CUST-51353</t>
  </si>
  <si>
    <t>Alexander Chadwick</t>
  </si>
  <si>
    <t>ACT-01868</t>
  </si>
  <si>
    <t>S6F 1BU</t>
  </si>
  <si>
    <t>ACT-01869</t>
  </si>
  <si>
    <t>ACC-11354</t>
  </si>
  <si>
    <t>CUST-51354</t>
  </si>
  <si>
    <t>Dr Beth Barker</t>
  </si>
  <si>
    <t>ACT-01870</t>
  </si>
  <si>
    <t>TS4E 3LW</t>
  </si>
  <si>
    <t>ACC-11355</t>
  </si>
  <si>
    <t>CUST-51355</t>
  </si>
  <si>
    <t>Carole Johnson-Mason</t>
  </si>
  <si>
    <t>DN2 3LS</t>
  </si>
  <si>
    <t>ACT-01871</t>
  </si>
  <si>
    <t>ACC-11356</t>
  </si>
  <si>
    <t>CUST-51356</t>
  </si>
  <si>
    <t>Dr Derek Bailey</t>
  </si>
  <si>
    <t>ACT-01872</t>
  </si>
  <si>
    <t>qlloyd@example.org</t>
  </si>
  <si>
    <t>M52 7BL</t>
  </si>
  <si>
    <t>ACT-01873</t>
  </si>
  <si>
    <t>ACC-11357</t>
  </si>
  <si>
    <t>CUST-51357</t>
  </si>
  <si>
    <t>Dr Glen Robinson</t>
  </si>
  <si>
    <t>ACT-01874</t>
  </si>
  <si>
    <t>eleanor48@example.org</t>
  </si>
  <si>
    <t>N8W 1ZE</t>
  </si>
  <si>
    <t>ACC-11358</t>
  </si>
  <si>
    <t>ACT-01875</t>
  </si>
  <si>
    <t>CUST-51358</t>
  </si>
  <si>
    <t>Ms Ruth Lambert</t>
  </si>
  <si>
    <t>daviesbrett@example.org</t>
  </si>
  <si>
    <t>G45 1HY</t>
  </si>
  <si>
    <t>ACT-01876</t>
  </si>
  <si>
    <t>ACC-11359</t>
  </si>
  <si>
    <t>CUST-51359</t>
  </si>
  <si>
    <t>John Lewis</t>
  </si>
  <si>
    <t>ACT-01877</t>
  </si>
  <si>
    <t>dianawhittaker@example.com</t>
  </si>
  <si>
    <t>CR67 3LJ</t>
  </si>
  <si>
    <t>ACC-11360</t>
  </si>
  <si>
    <t>CUST-51360</t>
  </si>
  <si>
    <t>ACT-01878</t>
  </si>
  <si>
    <t>Elizabeth Matthews</t>
  </si>
  <si>
    <t>wevans@example.net</t>
  </si>
  <si>
    <t>YO9R 1TL</t>
  </si>
  <si>
    <t>ACT-01879</t>
  </si>
  <si>
    <t>ACC-11361</t>
  </si>
  <si>
    <t>CUST-51361</t>
  </si>
  <si>
    <t>Dr Francesca Sanderson</t>
  </si>
  <si>
    <t>ACT-01880</t>
  </si>
  <si>
    <t>igraham@example.com</t>
  </si>
  <si>
    <t>OX10 4FD</t>
  </si>
  <si>
    <t>ACC-11362</t>
  </si>
  <si>
    <t>CUST-51362</t>
  </si>
  <si>
    <t>Sheila Green</t>
  </si>
  <si>
    <t>ACT-01881</t>
  </si>
  <si>
    <t>nnicholson@example.net</t>
  </si>
  <si>
    <t>LA3R 2QX</t>
  </si>
  <si>
    <t>ACT-01882</t>
  </si>
  <si>
    <t>ACC-11363</t>
  </si>
  <si>
    <t>CUST-51363</t>
  </si>
  <si>
    <t>Russell Patel</t>
  </si>
  <si>
    <t>ACT-01883</t>
  </si>
  <si>
    <t>maria77@example.net</t>
  </si>
  <si>
    <t>S06 8ZT</t>
  </si>
  <si>
    <t>ACC-11364</t>
  </si>
  <si>
    <t>CUST-51364</t>
  </si>
  <si>
    <t>Elaine Morley</t>
  </si>
  <si>
    <t>ACT-01884</t>
  </si>
  <si>
    <t>pschofield@example.org</t>
  </si>
  <si>
    <t>IV15 8BF</t>
  </si>
  <si>
    <t>ACT-01885</t>
  </si>
  <si>
    <t>ACC-11365</t>
  </si>
  <si>
    <t>CUST-51365</t>
  </si>
  <si>
    <t>Josh Smith</t>
  </si>
  <si>
    <t>edwardssara@example.com</t>
  </si>
  <si>
    <t>ACT-01886</t>
  </si>
  <si>
    <t>B8S 9WL</t>
  </si>
  <si>
    <t>ACC-11366</t>
  </si>
  <si>
    <t>CUST-51366</t>
  </si>
  <si>
    <t>Mrs Paige Williams</t>
  </si>
  <si>
    <t>ACT-01887</t>
  </si>
  <si>
    <t>woodross@example.net</t>
  </si>
  <si>
    <t>SO1 5DT</t>
  </si>
  <si>
    <t>ACC-11367</t>
  </si>
  <si>
    <t>CUST-51367</t>
  </si>
  <si>
    <t>Louise Davey-O'Neill</t>
  </si>
  <si>
    <t>ACT-01888</t>
  </si>
  <si>
    <t>parsonszoe@example.org</t>
  </si>
  <si>
    <t>G5G 5AD</t>
  </si>
  <si>
    <t>ACC-11368</t>
  </si>
  <si>
    <t>CUST-51368</t>
  </si>
  <si>
    <t>Terence Barnett</t>
  </si>
  <si>
    <t>ACT-01889</t>
  </si>
  <si>
    <t>fletchergeorgia@example.net</t>
  </si>
  <si>
    <t>UB35 1NY</t>
  </si>
  <si>
    <t>ACC-11369</t>
  </si>
  <si>
    <t>CUST-51369</t>
  </si>
  <si>
    <t>Leanne Jones</t>
  </si>
  <si>
    <t>ACT-01890</t>
  </si>
  <si>
    <t>alexandra63@example.org</t>
  </si>
  <si>
    <t>B78 3YW</t>
  </si>
  <si>
    <t>ACC-11370</t>
  </si>
  <si>
    <t>ACT-01891</t>
  </si>
  <si>
    <t>CUST-51370</t>
  </si>
  <si>
    <t>Edward Barnes</t>
  </si>
  <si>
    <t>andrewwoods@example.net</t>
  </si>
  <si>
    <t>ACT-01892</t>
  </si>
  <si>
    <t>B39 0QP</t>
  </si>
  <si>
    <t>ACC-11371</t>
  </si>
  <si>
    <t>ACT-01893</t>
  </si>
  <si>
    <t>CUST-51371</t>
  </si>
  <si>
    <t>Graham Bishop</t>
  </si>
  <si>
    <t>ACT-01894</t>
  </si>
  <si>
    <t>colinharris@example.com</t>
  </si>
  <si>
    <t>M98 8JE</t>
  </si>
  <si>
    <t>ACT-01895</t>
  </si>
  <si>
    <t>ACC-11372</t>
  </si>
  <si>
    <t>CUST-51372</t>
  </si>
  <si>
    <t>Clive Hill</t>
  </si>
  <si>
    <t>ACT-01896</t>
  </si>
  <si>
    <t>ACT-01897</t>
  </si>
  <si>
    <t>hilaryhope@example.net</t>
  </si>
  <si>
    <t>M9B 7ZS</t>
  </si>
  <si>
    <t>ACT-01898</t>
  </si>
  <si>
    <t>ACC-11373</t>
  </si>
  <si>
    <t>CUST-51373</t>
  </si>
  <si>
    <t>Dr Joshua Noble</t>
  </si>
  <si>
    <t>ACT-01899</t>
  </si>
  <si>
    <t>colemandiana@example.com</t>
  </si>
  <si>
    <t>KT1P 9XL</t>
  </si>
  <si>
    <t>ACT-01900</t>
  </si>
  <si>
    <t>ACC-11374</t>
  </si>
  <si>
    <t>CUST-51374</t>
  </si>
  <si>
    <t>Josephine Kelly</t>
  </si>
  <si>
    <t>ACT-01901</t>
  </si>
  <si>
    <t>ACT-01902</t>
  </si>
  <si>
    <t>lorrainemurray@example.com</t>
  </si>
  <si>
    <t>B2H 9AF</t>
  </si>
  <si>
    <t>ACC-11375</t>
  </si>
  <si>
    <t>CUST-51375</t>
  </si>
  <si>
    <t>Sandra Hill</t>
  </si>
  <si>
    <t>ACT-01903</t>
  </si>
  <si>
    <t>lindseyhunt@example.net</t>
  </si>
  <si>
    <t>SP5 1SA</t>
  </si>
  <si>
    <t>ACT-01904</t>
  </si>
  <si>
    <t>ACC-11376</t>
  </si>
  <si>
    <t>CUST-51376</t>
  </si>
  <si>
    <t>Mr Josh Iqbal</t>
  </si>
  <si>
    <t>deborahjohnson@example.com</t>
  </si>
  <si>
    <t>E72 1YJ</t>
  </si>
  <si>
    <t>ACC-11377</t>
  </si>
  <si>
    <t>ACT-01905</t>
  </si>
  <si>
    <t>CUST-51377</t>
  </si>
  <si>
    <t>Eleanor Hall</t>
  </si>
  <si>
    <t>CV5P 8NU</t>
  </si>
  <si>
    <t>ACC-11378</t>
  </si>
  <si>
    <t>CUST-51378</t>
  </si>
  <si>
    <t>Dr Tony Miller</t>
  </si>
  <si>
    <t>ACT-01906</t>
  </si>
  <si>
    <t>allanyoung@example.net</t>
  </si>
  <si>
    <t>N52 3YR</t>
  </si>
  <si>
    <t>ACC-11379</t>
  </si>
  <si>
    <t>CUST-51379</t>
  </si>
  <si>
    <t>Dr Michelle Dawson</t>
  </si>
  <si>
    <t>ACT-01907</t>
  </si>
  <si>
    <t>evansdarren@example.com</t>
  </si>
  <si>
    <t>B5 6AZ</t>
  </si>
  <si>
    <t>ACC-11380</t>
  </si>
  <si>
    <t>ACT-01908</t>
  </si>
  <si>
    <t>CUST-51380</t>
  </si>
  <si>
    <t>Reece Bradshaw</t>
  </si>
  <si>
    <t>ACT-01909</t>
  </si>
  <si>
    <t>christiansmith@example.com</t>
  </si>
  <si>
    <t>E63 0LL</t>
  </si>
  <si>
    <t>ACC-11381</t>
  </si>
  <si>
    <t>CUST-51381</t>
  </si>
  <si>
    <t>Louis Jenkins-Johnston</t>
  </si>
  <si>
    <t>ACT-01910</t>
  </si>
  <si>
    <t>suzannehayward@example.net</t>
  </si>
  <si>
    <t>E39 7WG</t>
  </si>
  <si>
    <t>ACT-01911</t>
  </si>
  <si>
    <t>ACC-11382</t>
  </si>
  <si>
    <t>CUST-51382</t>
  </si>
  <si>
    <t>Ms Kim Allen</t>
  </si>
  <si>
    <t>woodconor@example.net</t>
  </si>
  <si>
    <t>B5D 7XS</t>
  </si>
  <si>
    <t>ACT-01912</t>
  </si>
  <si>
    <t>ACC-11383</t>
  </si>
  <si>
    <t>CUST-51383</t>
  </si>
  <si>
    <t>ACT-01913</t>
  </si>
  <si>
    <t>Bruce Rees-Lewis</t>
  </si>
  <si>
    <t>ACT-01914</t>
  </si>
  <si>
    <t>ddavies@example.org</t>
  </si>
  <si>
    <t>M87 6DS</t>
  </si>
  <si>
    <t>ACT-01915</t>
  </si>
  <si>
    <t>ACC-11384</t>
  </si>
  <si>
    <t>CUST-51384</t>
  </si>
  <si>
    <t>Dr Alex Rahman</t>
  </si>
  <si>
    <t>ACT-01916</t>
  </si>
  <si>
    <t>billybrown@example.com</t>
  </si>
  <si>
    <t>B30 2BX</t>
  </si>
  <si>
    <t>ACT-01917</t>
  </si>
  <si>
    <t>ACC-11385</t>
  </si>
  <si>
    <t>CUST-51385</t>
  </si>
  <si>
    <t>Daniel Clark-Dixon</t>
  </si>
  <si>
    <t>ACT-01918</t>
  </si>
  <si>
    <t>ACT-01919</t>
  </si>
  <si>
    <t>charltonshirley@example.org</t>
  </si>
  <si>
    <t>N8F 5DS</t>
  </si>
  <si>
    <t>ACC-11386</t>
  </si>
  <si>
    <t>ACT-01920</t>
  </si>
  <si>
    <t>CUST-51386</t>
  </si>
  <si>
    <t>Kieran Simpson</t>
  </si>
  <si>
    <t>ACT-01921</t>
  </si>
  <si>
    <t>kellydeborah@example.org</t>
  </si>
  <si>
    <t>G9F 9BD</t>
  </si>
  <si>
    <t>ACT-01922</t>
  </si>
  <si>
    <t>ACC-11387</t>
  </si>
  <si>
    <t>CUST-51387</t>
  </si>
  <si>
    <t>Angela Thorpe-Peacock</t>
  </si>
  <si>
    <t>ACT-01923</t>
  </si>
  <si>
    <t>chapmanjulian@example.com</t>
  </si>
  <si>
    <t>DL0X 0UD</t>
  </si>
  <si>
    <t>ACC-11388</t>
  </si>
  <si>
    <t>CUST-51388</t>
  </si>
  <si>
    <t>ACT-01924</t>
  </si>
  <si>
    <t>Clare Day</t>
  </si>
  <si>
    <t>liamhaynes@example.com</t>
  </si>
  <si>
    <t>PE2W 0LZ</t>
  </si>
  <si>
    <t>ACT-01925</t>
  </si>
  <si>
    <t>ACC-11389</t>
  </si>
  <si>
    <t>CUST-51389</t>
  </si>
  <si>
    <t>Marie Smith-Mason</t>
  </si>
  <si>
    <t>ACT-01926</t>
  </si>
  <si>
    <t>thomasford@example.net</t>
  </si>
  <si>
    <t>DD7N 3GF</t>
  </si>
  <si>
    <t>ACC-11390</t>
  </si>
  <si>
    <t>CUST-51390</t>
  </si>
  <si>
    <t>Gerard Wood</t>
  </si>
  <si>
    <t>ACT-01927</t>
  </si>
  <si>
    <t>burnsjulian@example.org</t>
  </si>
  <si>
    <t>N8 8JR</t>
  </si>
  <si>
    <t>ACT-01928</t>
  </si>
  <si>
    <t>ACC-11391</t>
  </si>
  <si>
    <t>CUST-51391</t>
  </si>
  <si>
    <t>Miss Joan Lane</t>
  </si>
  <si>
    <t>ACT-01929</t>
  </si>
  <si>
    <t>glenhughes@example.net</t>
  </si>
  <si>
    <t>GU3 9UZ</t>
  </si>
  <si>
    <t>ACT-01930</t>
  </si>
  <si>
    <t>ACC-11392</t>
  </si>
  <si>
    <t>CUST-51392</t>
  </si>
  <si>
    <t>Guy Wilson</t>
  </si>
  <si>
    <t>ACT-01931</t>
  </si>
  <si>
    <t>sylviaallen@example.org</t>
  </si>
  <si>
    <t>L8S 7FR</t>
  </si>
  <si>
    <t>ACC-11393</t>
  </si>
  <si>
    <t>CUST-51393</t>
  </si>
  <si>
    <t>Mr Jamie Stephens</t>
  </si>
  <si>
    <t>ACT-01932</t>
  </si>
  <si>
    <t>mohamed73@example.org</t>
  </si>
  <si>
    <t>E37 4UW</t>
  </si>
  <si>
    <t>ACT-01933</t>
  </si>
  <si>
    <t>ACC-11394</t>
  </si>
  <si>
    <t>CUST-51394</t>
  </si>
  <si>
    <t>Lorraine Fox</t>
  </si>
  <si>
    <t>brett63@example.org</t>
  </si>
  <si>
    <t>ACT-01934</t>
  </si>
  <si>
    <t>E0G 7XJ</t>
  </si>
  <si>
    <t>ACC-11395</t>
  </si>
  <si>
    <t>CUST-51395</t>
  </si>
  <si>
    <t>Sophie Pritchard</t>
  </si>
  <si>
    <t>ACT-01935</t>
  </si>
  <si>
    <t>lawrencethomas@example.org</t>
  </si>
  <si>
    <t>M9 6RU</t>
  </si>
  <si>
    <t>ACC-11396</t>
  </si>
  <si>
    <t>ACT-01936</t>
  </si>
  <si>
    <t>CUST-51396</t>
  </si>
  <si>
    <t>Miss Janice Evans</t>
  </si>
  <si>
    <t>kierankelly@example.net</t>
  </si>
  <si>
    <t>SN2Y 7SW</t>
  </si>
  <si>
    <t>ACT-01937</t>
  </si>
  <si>
    <t>ACC-11397</t>
  </si>
  <si>
    <t>CUST-51397</t>
  </si>
  <si>
    <t>Carly Quinn-Lloyd</t>
  </si>
  <si>
    <t>ACT-01938</t>
  </si>
  <si>
    <t>marion23@example.net</t>
  </si>
  <si>
    <t>HA2A 3LE</t>
  </si>
  <si>
    <t>ACC-11398</t>
  </si>
  <si>
    <t>CUST-51398</t>
  </si>
  <si>
    <t>ACT-01939</t>
  </si>
  <si>
    <t>Reece Murray</t>
  </si>
  <si>
    <t>leanne07@example.com</t>
  </si>
  <si>
    <t>N8T 7YP</t>
  </si>
  <si>
    <t>ACT-01940</t>
  </si>
  <si>
    <t>ACC-11399</t>
  </si>
  <si>
    <t>CUST-51399</t>
  </si>
  <si>
    <t>Marilyn French</t>
  </si>
  <si>
    <t>ACT-01941</t>
  </si>
  <si>
    <t>woodclifford@example.org</t>
  </si>
  <si>
    <t>M8 2EA</t>
  </si>
  <si>
    <t>ACC-11400</t>
  </si>
  <si>
    <t>CUST-51400</t>
  </si>
  <si>
    <t>Tom Burke</t>
  </si>
  <si>
    <t>ACT-01942</t>
  </si>
  <si>
    <t>geraldine34@example.com</t>
  </si>
  <si>
    <t>E3U 2DL</t>
  </si>
  <si>
    <t>ACT-01943</t>
  </si>
  <si>
    <t>ACC-11401</t>
  </si>
  <si>
    <t>CUST-51401</t>
  </si>
  <si>
    <t>Louise Hawkins</t>
  </si>
  <si>
    <t>dannywright@example.net</t>
  </si>
  <si>
    <t>M1 6ZQ</t>
  </si>
  <si>
    <t>ACT-01944</t>
  </si>
  <si>
    <t>ACC-11402</t>
  </si>
  <si>
    <t>CUST-51402</t>
  </si>
  <si>
    <t>Yvonne Marsh</t>
  </si>
  <si>
    <t>ACT-01945</t>
  </si>
  <si>
    <t>hussainreece@example.com</t>
  </si>
  <si>
    <t>G9 6EA</t>
  </si>
  <si>
    <t>ACT-01946</t>
  </si>
  <si>
    <t>ACC-11403</t>
  </si>
  <si>
    <t>CUST-51403</t>
  </si>
  <si>
    <t>Mr Raymond Walker</t>
  </si>
  <si>
    <t>ACT-01947</t>
  </si>
  <si>
    <t>warrenmichael@example.org</t>
  </si>
  <si>
    <t>E91 8XY</t>
  </si>
  <si>
    <t>ACC-11404</t>
  </si>
  <si>
    <t>CUST-51404</t>
  </si>
  <si>
    <t>Michelle Jackson</t>
  </si>
  <si>
    <t>ACT-01948</t>
  </si>
  <si>
    <t>ywilliams@example.net</t>
  </si>
  <si>
    <t>DY4P 2JD</t>
  </si>
  <si>
    <t>ACT-01949</t>
  </si>
  <si>
    <t>ACC-11405</t>
  </si>
  <si>
    <t>CUST-51405</t>
  </si>
  <si>
    <t>Dr Jeremy Pearson</t>
  </si>
  <si>
    <t>tuckermohamed@example.net</t>
  </si>
  <si>
    <t>CF2 6SA</t>
  </si>
  <si>
    <t>ACT-01950</t>
  </si>
  <si>
    <t>ACC-11406</t>
  </si>
  <si>
    <t>CUST-51406</t>
  </si>
  <si>
    <t>Richard Jarvis</t>
  </si>
  <si>
    <t>ACT-01951</t>
  </si>
  <si>
    <t>taylorkieran@example.org</t>
  </si>
  <si>
    <t>E5C 5UB</t>
  </si>
  <si>
    <t>ACC-11407</t>
  </si>
  <si>
    <t>CUST-51407</t>
  </si>
  <si>
    <t>Mr Owen Thomas</t>
  </si>
  <si>
    <t>ACT-01952</t>
  </si>
  <si>
    <t>bharper@example.com</t>
  </si>
  <si>
    <t>TW40 8ZS</t>
  </si>
  <si>
    <t>ACT-01953</t>
  </si>
  <si>
    <t>ACC-11408</t>
  </si>
  <si>
    <t>CUST-51408</t>
  </si>
  <si>
    <t>Victoria Allen-Lynch</t>
  </si>
  <si>
    <t>charlie34@example.net</t>
  </si>
  <si>
    <t>ACT-01954</t>
  </si>
  <si>
    <t>SK01 4YW</t>
  </si>
  <si>
    <t>ACC-11409</t>
  </si>
  <si>
    <t>CUST-51409</t>
  </si>
  <si>
    <t>Mrs Carole Dyer</t>
  </si>
  <si>
    <t>ACT-01955</t>
  </si>
  <si>
    <t>alex76@example.net</t>
  </si>
  <si>
    <t>SO4B 6XL</t>
  </si>
  <si>
    <t>ACC-11410</t>
  </si>
  <si>
    <t>ACT-01956</t>
  </si>
  <si>
    <t>CUST-51410</t>
  </si>
  <si>
    <t>Iain Rogers</t>
  </si>
  <si>
    <t>stephenali@example.org</t>
  </si>
  <si>
    <t>L4 5DE</t>
  </si>
  <si>
    <t>ACT-01957</t>
  </si>
  <si>
    <t>ACC-11411</t>
  </si>
  <si>
    <t>CUST-51411</t>
  </si>
  <si>
    <t>Dr Benjamin Roberts</t>
  </si>
  <si>
    <t>ACT-01958</t>
  </si>
  <si>
    <t>nwalsh@example.org</t>
  </si>
  <si>
    <t>WA7 7SY</t>
  </si>
  <si>
    <t>ACC-11412</t>
  </si>
  <si>
    <t>CUST-51412</t>
  </si>
  <si>
    <t>Lauren James</t>
  </si>
  <si>
    <t>ACT-01959</t>
  </si>
  <si>
    <t>colepamela@example.org</t>
  </si>
  <si>
    <t>S0T 7PN</t>
  </si>
  <si>
    <t>ACC-11413</t>
  </si>
  <si>
    <t>ACT-01960</t>
  </si>
  <si>
    <t>CUST-51413</t>
  </si>
  <si>
    <t>Abdul Thomas</t>
  </si>
  <si>
    <t>allenyvonne@example.org</t>
  </si>
  <si>
    <t>ACT-01961</t>
  </si>
  <si>
    <t>W61 0JU</t>
  </si>
  <si>
    <t>ACC-11414</t>
  </si>
  <si>
    <t>CUST-51414</t>
  </si>
  <si>
    <t>Edward Williams</t>
  </si>
  <si>
    <t>ACT-01962</t>
  </si>
  <si>
    <t>louiseshah@example.org</t>
  </si>
  <si>
    <t>PH9 4ZE</t>
  </si>
  <si>
    <t>ACC-11415</t>
  </si>
  <si>
    <t>CUST-51415</t>
  </si>
  <si>
    <t>ACT-01963</t>
  </si>
  <si>
    <t>Mrs Jodie Henderson</t>
  </si>
  <si>
    <t>ACT-01964</t>
  </si>
  <si>
    <t>pearcejoyce@example.com</t>
  </si>
  <si>
    <t>M2 2ZF</t>
  </si>
  <si>
    <t>ACC-11416</t>
  </si>
  <si>
    <t>CUST-51416</t>
  </si>
  <si>
    <t>Pamela Morris</t>
  </si>
  <si>
    <t>ACT-01965</t>
  </si>
  <si>
    <t>shanecollins@example.com</t>
  </si>
  <si>
    <t>FY1 3SX</t>
  </si>
  <si>
    <t>ACT-01966</t>
  </si>
  <si>
    <t>ACC-11417</t>
  </si>
  <si>
    <t>CUST-51417</t>
  </si>
  <si>
    <t>Miss Nicole Law</t>
  </si>
  <si>
    <t>ACT-01967</t>
  </si>
  <si>
    <t>bryan59@example.org</t>
  </si>
  <si>
    <t>KT5H 3RU</t>
  </si>
  <si>
    <t>ACC-11418</t>
  </si>
  <si>
    <t>CUST-51418</t>
  </si>
  <si>
    <t>Dr Elizabeth Reed</t>
  </si>
  <si>
    <t>ACT-01968</t>
  </si>
  <si>
    <t>jonesmargaret@example.com</t>
  </si>
  <si>
    <t>BN2 3NR</t>
  </si>
  <si>
    <t>ACT-01969</t>
  </si>
  <si>
    <t>ACC-11419</t>
  </si>
  <si>
    <t>CUST-51419</t>
  </si>
  <si>
    <t>Mr Gordon Jackson</t>
  </si>
  <si>
    <t>lbirch@example.net</t>
  </si>
  <si>
    <t>ACT-01970</t>
  </si>
  <si>
    <t>KA9 1RN</t>
  </si>
  <si>
    <t>ACC-11420</t>
  </si>
  <si>
    <t>CUST-51420</t>
  </si>
  <si>
    <t>ACT-01971</t>
  </si>
  <si>
    <t>Charles Adams-Chamberlain</t>
  </si>
  <si>
    <t>dorothyhilton@example.net</t>
  </si>
  <si>
    <t>ACT-01972</t>
  </si>
  <si>
    <t>HA42 8GA</t>
  </si>
  <si>
    <t>ACC-11421</t>
  </si>
  <si>
    <t>CUST-51421</t>
  </si>
  <si>
    <t>Joanne Morris</t>
  </si>
  <si>
    <t>ACT-01973</t>
  </si>
  <si>
    <t>welliott@example.com</t>
  </si>
  <si>
    <t>E6G 9EZ</t>
  </si>
  <si>
    <t>ACC-11422</t>
  </si>
  <si>
    <t>ACT-01974</t>
  </si>
  <si>
    <t>CUST-51422</t>
  </si>
  <si>
    <t>Teresa Jennings-Harvey</t>
  </si>
  <si>
    <t>S5H 6YS</t>
  </si>
  <si>
    <t>ACT-01975</t>
  </si>
  <si>
    <t>ACC-11423</t>
  </si>
  <si>
    <t>CUST-51423</t>
  </si>
  <si>
    <t>ACT-01976</t>
  </si>
  <si>
    <t>abigailowen@example.net</t>
  </si>
  <si>
    <t>PA8M 6PQ</t>
  </si>
  <si>
    <t>ACC-11424</t>
  </si>
  <si>
    <t>CUST-51424</t>
  </si>
  <si>
    <t>Thomas Wells</t>
  </si>
  <si>
    <t>ACT-01977</t>
  </si>
  <si>
    <t>jeremy80@example.net</t>
  </si>
  <si>
    <t>EH5B 8ZJ</t>
  </si>
  <si>
    <t>ACT-01978</t>
  </si>
  <si>
    <t>ACC-11425</t>
  </si>
  <si>
    <t>CUST-51425</t>
  </si>
  <si>
    <t>Miss Abbie Knight</t>
  </si>
  <si>
    <t>johnsonbryan@example.com</t>
  </si>
  <si>
    <t>ACT-01979</t>
  </si>
  <si>
    <t>KA15 7DZ</t>
  </si>
  <si>
    <t>ACC-11426</t>
  </si>
  <si>
    <t>CUST-51426</t>
  </si>
  <si>
    <t>ACT-01980</t>
  </si>
  <si>
    <t>rashton@example.com</t>
  </si>
  <si>
    <t>DL2W 4SB</t>
  </si>
  <si>
    <t>ACC-11427</t>
  </si>
  <si>
    <t>CUST-51427</t>
  </si>
  <si>
    <t>Katie Poole</t>
  </si>
  <si>
    <t>ACT-01981</t>
  </si>
  <si>
    <t>uwinter@example.com</t>
  </si>
  <si>
    <t>SG35 1GL</t>
  </si>
  <si>
    <t>ACC-11428</t>
  </si>
  <si>
    <t>ACT-01982</t>
  </si>
  <si>
    <t>CUST-51428</t>
  </si>
  <si>
    <t>Dr Antony Thompson</t>
  </si>
  <si>
    <t>swaters@example.net</t>
  </si>
  <si>
    <t>KW1 5EQ</t>
  </si>
  <si>
    <t>ACT-01983</t>
  </si>
  <si>
    <t>ACC-11429</t>
  </si>
  <si>
    <t>CUST-51429</t>
  </si>
  <si>
    <t>Miss Hilary Baker</t>
  </si>
  <si>
    <t>ACT-01984</t>
  </si>
  <si>
    <t>james58@example.org</t>
  </si>
  <si>
    <t>TF2 6RB</t>
  </si>
  <si>
    <t>ACC-11430</t>
  </si>
  <si>
    <t>CUST-51430</t>
  </si>
  <si>
    <t>Fiona Phillips</t>
  </si>
  <si>
    <t>ACT-01985</t>
  </si>
  <si>
    <t>stevensanderson@example.org</t>
  </si>
  <si>
    <t>SL7 3AX</t>
  </si>
  <si>
    <t>ACT-01986</t>
  </si>
  <si>
    <t>ACC-11431</t>
  </si>
  <si>
    <t>CUST-51431</t>
  </si>
  <si>
    <t>Marion Johnson-Thomas</t>
  </si>
  <si>
    <t>evanscaroline@example.net</t>
  </si>
  <si>
    <t>W0C 1JD</t>
  </si>
  <si>
    <t>ACT-01987</t>
  </si>
  <si>
    <t>ACC-11432</t>
  </si>
  <si>
    <t>CUST-51432</t>
  </si>
  <si>
    <t>Robin Hughes</t>
  </si>
  <si>
    <t>alex54@example.net</t>
  </si>
  <si>
    <t>ACT-01988</t>
  </si>
  <si>
    <t>YO08 2RA</t>
  </si>
  <si>
    <t>ACC-11433</t>
  </si>
  <si>
    <t>CUST-51433</t>
  </si>
  <si>
    <t>Miss Katy Martin</t>
  </si>
  <si>
    <t>ACT-01989</t>
  </si>
  <si>
    <t>julia06@example.net</t>
  </si>
  <si>
    <t>TW7X 2RF</t>
  </si>
  <si>
    <t>ACC-11434</t>
  </si>
  <si>
    <t>CUST-51434</t>
  </si>
  <si>
    <t>ACT-01990</t>
  </si>
  <si>
    <t>Mr Gregory Wright</t>
  </si>
  <si>
    <t>katebarrett@example.com</t>
  </si>
  <si>
    <t>TN8W 8PT</t>
  </si>
  <si>
    <t>ACT-01991</t>
  </si>
  <si>
    <t>ACC-11435</t>
  </si>
  <si>
    <t>CUST-51435</t>
  </si>
  <si>
    <t>Dr Sam Rose</t>
  </si>
  <si>
    <t>ACT-01992</t>
  </si>
  <si>
    <t>matthew81@example.net</t>
  </si>
  <si>
    <t>PR8V 1QX</t>
  </si>
  <si>
    <t>ACC-11436</t>
  </si>
  <si>
    <t>CUST-51436</t>
  </si>
  <si>
    <t>Fiona Hughes</t>
  </si>
  <si>
    <t>ACT-01993</t>
  </si>
  <si>
    <t>bryanlee@example.com</t>
  </si>
  <si>
    <t>HR41 0LZ</t>
  </si>
  <si>
    <t>ACC-11437</t>
  </si>
  <si>
    <t>CUST-51437</t>
  </si>
  <si>
    <t>Angela Graham</t>
  </si>
  <si>
    <t>ACT-01994</t>
  </si>
  <si>
    <t>cdunn@example.net</t>
  </si>
  <si>
    <t>WD6 2GU</t>
  </si>
  <si>
    <t>ACT-01995</t>
  </si>
  <si>
    <t>ACC-11438</t>
  </si>
  <si>
    <t>CUST-51438</t>
  </si>
  <si>
    <t>Leon Taylor</t>
  </si>
  <si>
    <t>ACT-01996</t>
  </si>
  <si>
    <t>ballterry@example.org</t>
  </si>
  <si>
    <t>M7 2UL</t>
  </si>
  <si>
    <t>ACC-11439</t>
  </si>
  <si>
    <t>ACT-01997</t>
  </si>
  <si>
    <t>CUST-51439</t>
  </si>
  <si>
    <t>Amelia Williams-Young</t>
  </si>
  <si>
    <t>rwilliams@example.org</t>
  </si>
  <si>
    <t>W6 2TP</t>
  </si>
  <si>
    <t>ACT-01998</t>
  </si>
  <si>
    <t>ACC-11440</t>
  </si>
  <si>
    <t>CUST-51440</t>
  </si>
  <si>
    <t>Hilary Carpenter</t>
  </si>
  <si>
    <t>ACT-01999</t>
  </si>
  <si>
    <t>joel48@example.org</t>
  </si>
  <si>
    <t>L49 0JW</t>
  </si>
  <si>
    <t>ACC-11441</t>
  </si>
  <si>
    <t>CUST-51441</t>
  </si>
  <si>
    <t>Sally Smith-Kelly</t>
  </si>
  <si>
    <t>ACT-02000</t>
  </si>
  <si>
    <t>nwilliams@example.net</t>
  </si>
  <si>
    <t>MK40 0BF</t>
  </si>
  <si>
    <t>ACT-02001</t>
  </si>
  <si>
    <t>ACC-11442</t>
  </si>
  <si>
    <t>CUST-51442</t>
  </si>
  <si>
    <t>Nicola Williams</t>
  </si>
  <si>
    <t>ACT-02002</t>
  </si>
  <si>
    <t>turneralan@example.net</t>
  </si>
  <si>
    <t>E0G 8DU</t>
  </si>
  <si>
    <t>ACC-11443</t>
  </si>
  <si>
    <t>CUST-51443</t>
  </si>
  <si>
    <t>Matthew Russell</t>
  </si>
  <si>
    <t>ACT-02003</t>
  </si>
  <si>
    <t>jameswatkins@example.com</t>
  </si>
  <si>
    <t>N5 0GG</t>
  </si>
  <si>
    <t>ACT-02004</t>
  </si>
  <si>
    <t>ACC-11444</t>
  </si>
  <si>
    <t>CUST-51444</t>
  </si>
  <si>
    <t>Kirsty Rahman-Scott</t>
  </si>
  <si>
    <t>victoriagrant@example.org</t>
  </si>
  <si>
    <t>OX82 2DJ</t>
  </si>
  <si>
    <t>ACT-02005</t>
  </si>
  <si>
    <t>ACC-11445</t>
  </si>
  <si>
    <t>CUST-51445</t>
  </si>
  <si>
    <t>Charlie Stewart</t>
  </si>
  <si>
    <t>ACT-02006</t>
  </si>
  <si>
    <t>melaniebishop@example.com</t>
  </si>
  <si>
    <t>DL9H 4ZD</t>
  </si>
  <si>
    <t>ACC-11446</t>
  </si>
  <si>
    <t>CUST-51446</t>
  </si>
  <si>
    <t>Derek Hicks</t>
  </si>
  <si>
    <t>ACT-02007</t>
  </si>
  <si>
    <t>diane20@example.com</t>
  </si>
  <si>
    <t>G3 0LQ</t>
  </si>
  <si>
    <t>ACT-02008</t>
  </si>
  <si>
    <t>ACC-11447</t>
  </si>
  <si>
    <t>CUST-51447</t>
  </si>
  <si>
    <t>Mr Ross Hussain</t>
  </si>
  <si>
    <t>johnsonstuart@example.org</t>
  </si>
  <si>
    <t>ACT-02009</t>
  </si>
  <si>
    <t>PR0 2UF</t>
  </si>
  <si>
    <t>ACC-11448</t>
  </si>
  <si>
    <t>CUST-51448</t>
  </si>
  <si>
    <t>Shannon Burton</t>
  </si>
  <si>
    <t>ACT-02010</t>
  </si>
  <si>
    <t>arthur72@example.com</t>
  </si>
  <si>
    <t>E29 4WD</t>
  </si>
  <si>
    <t>ACC-11449</t>
  </si>
  <si>
    <t>CUST-51449</t>
  </si>
  <si>
    <t>Amanda Jones</t>
  </si>
  <si>
    <t>ACT-02011</t>
  </si>
  <si>
    <t>lyndawatson@example.org</t>
  </si>
  <si>
    <t>N67 3UZ</t>
  </si>
  <si>
    <t>ACT-02012</t>
  </si>
  <si>
    <t>ACC-11450</t>
  </si>
  <si>
    <t>CUST-51450</t>
  </si>
  <si>
    <t>Edward Wyatt</t>
  </si>
  <si>
    <t>melissa47@example.com</t>
  </si>
  <si>
    <t>ACT-02013</t>
  </si>
  <si>
    <t>G9 5JZ</t>
  </si>
  <si>
    <t>ACT-02014</t>
  </si>
  <si>
    <t>ACC-11451</t>
  </si>
  <si>
    <t>CUST-51451</t>
  </si>
  <si>
    <t>Mr Kevin Robertson</t>
  </si>
  <si>
    <t>ACT-02015</t>
  </si>
  <si>
    <t>joannasmith@example.net</t>
  </si>
  <si>
    <t>IP70 2DS</t>
  </si>
  <si>
    <t>ACC-11452</t>
  </si>
  <si>
    <t>CUST-51452</t>
  </si>
  <si>
    <t>ACT-02016</t>
  </si>
  <si>
    <t>Ms Mary Reid</t>
  </si>
  <si>
    <t>stevenskim@example.com</t>
  </si>
  <si>
    <t>ACT-02017</t>
  </si>
  <si>
    <t>TQ3 1US</t>
  </si>
  <si>
    <t>ACC-11453</t>
  </si>
  <si>
    <t>CUST-51453</t>
  </si>
  <si>
    <t>Darren Kelly</t>
  </si>
  <si>
    <t>ACT-02018</t>
  </si>
  <si>
    <t>nwhite@example.com</t>
  </si>
  <si>
    <t>E3 8NN</t>
  </si>
  <si>
    <t>ACC-11454</t>
  </si>
  <si>
    <t>ACT-02019</t>
  </si>
  <si>
    <t>CUST-51454</t>
  </si>
  <si>
    <t>Malcolm Taylor</t>
  </si>
  <si>
    <t>mauriceosborne@example.org</t>
  </si>
  <si>
    <t>ACT-02020</t>
  </si>
  <si>
    <t>E24 0TG</t>
  </si>
  <si>
    <t>ACC-11455</t>
  </si>
  <si>
    <t>CUST-51455</t>
  </si>
  <si>
    <t>William Chapman-Davies</t>
  </si>
  <si>
    <t>ACT-02021</t>
  </si>
  <si>
    <t>harrisonmartin@example.org</t>
  </si>
  <si>
    <t>NG0R 5ZN</t>
  </si>
  <si>
    <t>ACC-11456</t>
  </si>
  <si>
    <t>CUST-51456</t>
  </si>
  <si>
    <t>Henry Pollard-James</t>
  </si>
  <si>
    <t>ACT-02022</t>
  </si>
  <si>
    <t>emmakhan@example.com</t>
  </si>
  <si>
    <t>L4D 5HD</t>
  </si>
  <si>
    <t>ACT-02023</t>
  </si>
  <si>
    <t>ACC-11457</t>
  </si>
  <si>
    <t>CUST-51457</t>
  </si>
  <si>
    <t>Kenneth Lucas</t>
  </si>
  <si>
    <t>ACT-02024</t>
  </si>
  <si>
    <t>arthurmurray@example.com</t>
  </si>
  <si>
    <t>PH2B 7AT</t>
  </si>
  <si>
    <t>ACC-11458</t>
  </si>
  <si>
    <t>CUST-51458</t>
  </si>
  <si>
    <t>ACT-02025</t>
  </si>
  <si>
    <t>Carolyn Smith</t>
  </si>
  <si>
    <t>carlymorgan@example.com</t>
  </si>
  <si>
    <t>WR9 1FQ</t>
  </si>
  <si>
    <t>ACT-02026</t>
  </si>
  <si>
    <t>ACC-11459</t>
  </si>
  <si>
    <t>CUST-51459</t>
  </si>
  <si>
    <t>Craig Marshall</t>
  </si>
  <si>
    <t>ACT-02027</t>
  </si>
  <si>
    <t>wayne34@example.net</t>
  </si>
  <si>
    <t>CM08 5TW</t>
  </si>
  <si>
    <t>ACC-11460</t>
  </si>
  <si>
    <t>CUST-51460</t>
  </si>
  <si>
    <t>Darren Patel</t>
  </si>
  <si>
    <t>ACT-02028</t>
  </si>
  <si>
    <t>jsmart@example.org</t>
  </si>
  <si>
    <t>M2 1PA</t>
  </si>
  <si>
    <t>ACT-02029</t>
  </si>
  <si>
    <t>ACC-11461</t>
  </si>
  <si>
    <t>CUST-51461</t>
  </si>
  <si>
    <t>Mr Brett Jones</t>
  </si>
  <si>
    <t>staceychamberlain@example.net</t>
  </si>
  <si>
    <t>CH4 0FE</t>
  </si>
  <si>
    <t>ACT-02030</t>
  </si>
  <si>
    <t>ACC-11462</t>
  </si>
  <si>
    <t>CUST-51462</t>
  </si>
  <si>
    <t>Hannah Burton</t>
  </si>
  <si>
    <t>eevans@example.org</t>
  </si>
  <si>
    <t>W3A 6TY</t>
  </si>
  <si>
    <t>ACT-02031</t>
  </si>
  <si>
    <t>ACC-11463</t>
  </si>
  <si>
    <t>CUST-51463</t>
  </si>
  <si>
    <t>Ms Anna Foster</t>
  </si>
  <si>
    <t>ACT-02032</t>
  </si>
  <si>
    <t>thomascarl@example.com</t>
  </si>
  <si>
    <t>G4T 0LD</t>
  </si>
  <si>
    <t>ACC-11464</t>
  </si>
  <si>
    <t>CUST-51464</t>
  </si>
  <si>
    <t>ACT-02033</t>
  </si>
  <si>
    <t>Ms Geraldine Dawson</t>
  </si>
  <si>
    <t>linda88@example.net</t>
  </si>
  <si>
    <t>BR70 9HR</t>
  </si>
  <si>
    <t>ACT-02034</t>
  </si>
  <si>
    <t>ACC-11465</t>
  </si>
  <si>
    <t>CUST-51465</t>
  </si>
  <si>
    <t>Mr Kyle King</t>
  </si>
  <si>
    <t>ACT-02035</t>
  </si>
  <si>
    <t>westbernard@example.net</t>
  </si>
  <si>
    <t>B1 8BL</t>
  </si>
  <si>
    <t>ACC-11466</t>
  </si>
  <si>
    <t>CUST-51466</t>
  </si>
  <si>
    <t>Mr Ross Foster</t>
  </si>
  <si>
    <t>ACT-02036</t>
  </si>
  <si>
    <t>jacksondorothy@example.org</t>
  </si>
  <si>
    <t>HG9B 5WY</t>
  </si>
  <si>
    <t>ACT-02037</t>
  </si>
  <si>
    <t>ACC-11467</t>
  </si>
  <si>
    <t>CUST-51467</t>
  </si>
  <si>
    <t>Arthur Jones</t>
  </si>
  <si>
    <t>richardsonamber@example.net</t>
  </si>
  <si>
    <t>ACT-02038</t>
  </si>
  <si>
    <t>S4 9HQ</t>
  </si>
  <si>
    <t>ACC-11468</t>
  </si>
  <si>
    <t>CUST-51468</t>
  </si>
  <si>
    <t>George Curtis</t>
  </si>
  <si>
    <t>ACT-02039</t>
  </si>
  <si>
    <t>hansonnaomi@example.org</t>
  </si>
  <si>
    <t>S90 7UG</t>
  </si>
  <si>
    <t>ACT-02040</t>
  </si>
  <si>
    <t>ACC-11469</t>
  </si>
  <si>
    <t>CUST-51469</t>
  </si>
  <si>
    <t>Hazel Lawson</t>
  </si>
  <si>
    <t>ACT-02041</t>
  </si>
  <si>
    <t>tony45@example.net</t>
  </si>
  <si>
    <t>B05 9HQ</t>
  </si>
  <si>
    <t>ACC-11470</t>
  </si>
  <si>
    <t>CUST-51470</t>
  </si>
  <si>
    <t>Ben Hammond</t>
  </si>
  <si>
    <t>ACT-02042</t>
  </si>
  <si>
    <t>emoran@example.org</t>
  </si>
  <si>
    <t>DE67 5XA</t>
  </si>
  <si>
    <t>ACT-02043</t>
  </si>
  <si>
    <t>ACC-11471</t>
  </si>
  <si>
    <t>CUST-51471</t>
  </si>
  <si>
    <t>Arthur Cross</t>
  </si>
  <si>
    <t>ACT-02044</t>
  </si>
  <si>
    <t>hhancock@example.org</t>
  </si>
  <si>
    <t>HU2P 5GX</t>
  </si>
  <si>
    <t>ACC-11472</t>
  </si>
  <si>
    <t>CUST-51472</t>
  </si>
  <si>
    <t>Holly Buckley</t>
  </si>
  <si>
    <t>ACT-02045</t>
  </si>
  <si>
    <t>hudsoncatherine@example.net</t>
  </si>
  <si>
    <t>TA4 2TW</t>
  </si>
  <si>
    <t>ACT-02046</t>
  </si>
  <si>
    <t>ACC-11473</t>
  </si>
  <si>
    <t>CUST-51473</t>
  </si>
  <si>
    <t>Denis Smith</t>
  </si>
  <si>
    <t>ACT-02047</t>
  </si>
  <si>
    <t>owenmorley@example.net</t>
  </si>
  <si>
    <t>PR58 6UL</t>
  </si>
  <si>
    <t>ACC-11474</t>
  </si>
  <si>
    <t>CUST-51474</t>
  </si>
  <si>
    <t>ACT-02048</t>
  </si>
  <si>
    <t>leannehowe@example.com</t>
  </si>
  <si>
    <t>SG6 2DH</t>
  </si>
  <si>
    <t>ACT-02049</t>
  </si>
  <si>
    <t>ACC-11475</t>
  </si>
  <si>
    <t>CUST-51475</t>
  </si>
  <si>
    <t>Tony Atkins-Duffy</t>
  </si>
  <si>
    <t>daviesjanice@example.net</t>
  </si>
  <si>
    <t>ACT-02050</t>
  </si>
  <si>
    <t>CH2 7FF</t>
  </si>
  <si>
    <t>ACC-11476</t>
  </si>
  <si>
    <t>CUST-51476</t>
  </si>
  <si>
    <t>Miss June Young</t>
  </si>
  <si>
    <t>ACT-02051</t>
  </si>
  <si>
    <t>eoliver@example.net</t>
  </si>
  <si>
    <t>AB2E 3ZT</t>
  </si>
  <si>
    <t>ACC-11477</t>
  </si>
  <si>
    <t>ACT-02052</t>
  </si>
  <si>
    <t>CUST-51477</t>
  </si>
  <si>
    <t>Heather Wheeler-Marshall</t>
  </si>
  <si>
    <t>grahamsmith@example.net</t>
  </si>
  <si>
    <t>LA13 8EU</t>
  </si>
  <si>
    <t>ACT-02053</t>
  </si>
  <si>
    <t>ACC-11478</t>
  </si>
  <si>
    <t>CUST-51478</t>
  </si>
  <si>
    <t>Guy Hunt</t>
  </si>
  <si>
    <t>ACT-02054</t>
  </si>
  <si>
    <t>M2 2XY</t>
  </si>
  <si>
    <t>ACC-11479</t>
  </si>
  <si>
    <t>CUST-51479</t>
  </si>
  <si>
    <t>ACT-02055</t>
  </si>
  <si>
    <t>Stewart Vaughan</t>
  </si>
  <si>
    <t>nathancarter@example.com</t>
  </si>
  <si>
    <t>HS66 7QU</t>
  </si>
  <si>
    <t>ACT-02056</t>
  </si>
  <si>
    <t>ACC-11480</t>
  </si>
  <si>
    <t>CUST-51480</t>
  </si>
  <si>
    <t>Ian Robinson</t>
  </si>
  <si>
    <t>ACT-02057</t>
  </si>
  <si>
    <t>S32 2NY</t>
  </si>
  <si>
    <t>ACC-11481</t>
  </si>
  <si>
    <t>CUST-51481</t>
  </si>
  <si>
    <t>Harriet Martin</t>
  </si>
  <si>
    <t>ACT-02058</t>
  </si>
  <si>
    <t>hallclaire@example.net</t>
  </si>
  <si>
    <t>W08 8TD</t>
  </si>
  <si>
    <t>ACT-02059</t>
  </si>
  <si>
    <t>ACC-11482</t>
  </si>
  <si>
    <t>CUST-51482</t>
  </si>
  <si>
    <t>Craig Matthews</t>
  </si>
  <si>
    <t>ACT-02060</t>
  </si>
  <si>
    <t>garryfrancis@example.org</t>
  </si>
  <si>
    <t>L6G 0AY</t>
  </si>
  <si>
    <t>ACC-11483</t>
  </si>
  <si>
    <t>CUST-51483</t>
  </si>
  <si>
    <t>William Rice</t>
  </si>
  <si>
    <t>ACT-02061</t>
  </si>
  <si>
    <t>smitholivia@example.net</t>
  </si>
  <si>
    <t>GU0X 3PY</t>
  </si>
  <si>
    <t>ACT-02062</t>
  </si>
  <si>
    <t>ACC-11484</t>
  </si>
  <si>
    <t>CUST-51484</t>
  </si>
  <si>
    <t>Vincent Morris</t>
  </si>
  <si>
    <t>joneswayne@example.com</t>
  </si>
  <si>
    <t>ACT-02063</t>
  </si>
  <si>
    <t>FY4E 0SD</t>
  </si>
  <si>
    <t>ACC-11485</t>
  </si>
  <si>
    <t>CUST-51485</t>
  </si>
  <si>
    <t>Ms Paige Ellis</t>
  </si>
  <si>
    <t>ACT-02064</t>
  </si>
  <si>
    <t>simmonsconnor@example.net</t>
  </si>
  <si>
    <t>HX8 0QU</t>
  </si>
  <si>
    <t>ACT-02065</t>
  </si>
  <si>
    <t>ACC-11486</t>
  </si>
  <si>
    <t>CUST-51486</t>
  </si>
  <si>
    <t>Natasha Taylor</t>
  </si>
  <si>
    <t>kenneth03@example.org</t>
  </si>
  <si>
    <t>ACT-02066</t>
  </si>
  <si>
    <t>PE0R 1EE</t>
  </si>
  <si>
    <t>ACC-11487</t>
  </si>
  <si>
    <t>CUST-51487</t>
  </si>
  <si>
    <t>Pauline Robinson</t>
  </si>
  <si>
    <t>ACT-02067</t>
  </si>
  <si>
    <t>xjames@example.com</t>
  </si>
  <si>
    <t>SG5 2YQ</t>
  </si>
  <si>
    <t>ACC-11488</t>
  </si>
  <si>
    <t>ACT-02068</t>
  </si>
  <si>
    <t>CUST-51488</t>
  </si>
  <si>
    <t>Dr Leon Smith</t>
  </si>
  <si>
    <t>jacob57@example.net</t>
  </si>
  <si>
    <t>S7J 6NU</t>
  </si>
  <si>
    <t>ACT-02069</t>
  </si>
  <si>
    <t>ACC-11489</t>
  </si>
  <si>
    <t>CUST-51489</t>
  </si>
  <si>
    <t>Clare Adams-Bailey</t>
  </si>
  <si>
    <t>ACT-02070</t>
  </si>
  <si>
    <t>ageorge@example.com</t>
  </si>
  <si>
    <t>M56 9LN</t>
  </si>
  <si>
    <t>ACC-11490</t>
  </si>
  <si>
    <t>CUST-51490</t>
  </si>
  <si>
    <t>Shaun Walsh</t>
  </si>
  <si>
    <t>ACT-02071</t>
  </si>
  <si>
    <t>jill94@example.net</t>
  </si>
  <si>
    <t>IV9 8EA</t>
  </si>
  <si>
    <t>ACT-02072</t>
  </si>
  <si>
    <t>ACC-11491</t>
  </si>
  <si>
    <t>CUST-51491</t>
  </si>
  <si>
    <t>ACT-02073</t>
  </si>
  <si>
    <t>Mr Shaun Stone</t>
  </si>
  <si>
    <t>ACT-02074</t>
  </si>
  <si>
    <t>woodcharles@example.com</t>
  </si>
  <si>
    <t>S49 9BD</t>
  </si>
  <si>
    <t>ACT-02075</t>
  </si>
  <si>
    <t>ACC-11492</t>
  </si>
  <si>
    <t>CUST-51492</t>
  </si>
  <si>
    <t>Denise Bradshaw</t>
  </si>
  <si>
    <t>ACT-02076</t>
  </si>
  <si>
    <t>ACT-02077</t>
  </si>
  <si>
    <t>rowleydiane@example.net</t>
  </si>
  <si>
    <t>L7 0EH</t>
  </si>
  <si>
    <t>ACT-02078</t>
  </si>
  <si>
    <t>ACC-11493</t>
  </si>
  <si>
    <t>CUST-51493</t>
  </si>
  <si>
    <t>Cheryl Peters</t>
  </si>
  <si>
    <t>ACT-02079</t>
  </si>
  <si>
    <t>diane49@example.org</t>
  </si>
  <si>
    <t>E7 2PU</t>
  </si>
  <si>
    <t>ACT-02080</t>
  </si>
  <si>
    <t>ACC-11494</t>
  </si>
  <si>
    <t>CUST-51494</t>
  </si>
  <si>
    <t>ACT-02081</t>
  </si>
  <si>
    <t>Lynda Abbott</t>
  </si>
  <si>
    <t>charleneedwards@example.org</t>
  </si>
  <si>
    <t>L8H 2QA</t>
  </si>
  <si>
    <t>ACT-02082</t>
  </si>
  <si>
    <t>ACC-11495</t>
  </si>
  <si>
    <t>CUST-51495</t>
  </si>
  <si>
    <t>Jill Davidson-Harding</t>
  </si>
  <si>
    <t>ACT-02083</t>
  </si>
  <si>
    <t>frank84@example.com</t>
  </si>
  <si>
    <t>G00 6QY</t>
  </si>
  <si>
    <t>ACT-02084</t>
  </si>
  <si>
    <t>ACC-11496</t>
  </si>
  <si>
    <t>CUST-51496</t>
  </si>
  <si>
    <t>ACT-02085</t>
  </si>
  <si>
    <t>Janet Fisher</t>
  </si>
  <si>
    <t>powellchristine@example.net</t>
  </si>
  <si>
    <t>E2 5SW</t>
  </si>
  <si>
    <t>ACT-02086</t>
  </si>
  <si>
    <t>ACC-11497</t>
  </si>
  <si>
    <t>CUST-51497</t>
  </si>
  <si>
    <t>Wayne Storey</t>
  </si>
  <si>
    <t>ACT-02087</t>
  </si>
  <si>
    <t>dylan02@example.net</t>
  </si>
  <si>
    <t>W04 5XD</t>
  </si>
  <si>
    <t>ACT-02088</t>
  </si>
  <si>
    <t>ACC-11498</t>
  </si>
  <si>
    <t>CUST-51498</t>
  </si>
  <si>
    <t>Denise Parker</t>
  </si>
  <si>
    <t>ewatson@example.net</t>
  </si>
  <si>
    <t>SY8 5SG</t>
  </si>
  <si>
    <t>ACT-02089</t>
  </si>
  <si>
    <t>ACC-11499</t>
  </si>
  <si>
    <t>CUST-51499</t>
  </si>
  <si>
    <t>Sophie Miller</t>
  </si>
  <si>
    <t>jason24@example.com</t>
  </si>
  <si>
    <t>ACT-02090</t>
  </si>
  <si>
    <t>N44 5WL</t>
  </si>
  <si>
    <t>ACC-11500</t>
  </si>
  <si>
    <t>CUST-51500</t>
  </si>
  <si>
    <t>Guy Cooper</t>
  </si>
  <si>
    <t>ACT-02091</t>
  </si>
  <si>
    <t>janiceboyle@example.com</t>
  </si>
  <si>
    <t>S4T 6RB</t>
  </si>
  <si>
    <t>ACC-11501</t>
  </si>
  <si>
    <t>CUST-51501</t>
  </si>
  <si>
    <t>ACT-02092</t>
  </si>
  <si>
    <t>Joanne Lee</t>
  </si>
  <si>
    <t>georgia84@example.com</t>
  </si>
  <si>
    <t>CB0 6QQ</t>
  </si>
  <si>
    <t>ACT-02093</t>
  </si>
  <si>
    <t>ACC-11502</t>
  </si>
  <si>
    <t>CUST-51502</t>
  </si>
  <si>
    <t>Dorothy Holloway</t>
  </si>
  <si>
    <t>ACT-02094</t>
  </si>
  <si>
    <t>lynda71@example.com</t>
  </si>
  <si>
    <t>IM2R 1GU</t>
  </si>
  <si>
    <t>ACC-11503</t>
  </si>
  <si>
    <t>ACT-02095</t>
  </si>
  <si>
    <t>CUST-51503</t>
  </si>
  <si>
    <t>Alice Wall</t>
  </si>
  <si>
    <t>marshallemma@example.org</t>
  </si>
  <si>
    <t>OL1 8WP</t>
  </si>
  <si>
    <t>ACT-02096</t>
  </si>
  <si>
    <t>ACC-11504</t>
  </si>
  <si>
    <t>CUST-51504</t>
  </si>
  <si>
    <t>Dr Gemma Cox</t>
  </si>
  <si>
    <t>ACT-02097</t>
  </si>
  <si>
    <t>gareth24@example.net</t>
  </si>
  <si>
    <t>B45 5TT</t>
  </si>
  <si>
    <t>ACC-11505</t>
  </si>
  <si>
    <t>ACT-02098</t>
  </si>
  <si>
    <t>CUST-51505</t>
  </si>
  <si>
    <t>Miss Yvonne Carter</t>
  </si>
  <si>
    <t>ACT-02099</t>
  </si>
  <si>
    <t>umitchell@example.com</t>
  </si>
  <si>
    <t>L8U 4FS</t>
  </si>
  <si>
    <t>ACC-11506</t>
  </si>
  <si>
    <t>CUST-51506</t>
  </si>
  <si>
    <t>Jayne Mason-Bennett</t>
  </si>
  <si>
    <t>ACT-02100</t>
  </si>
  <si>
    <t>hannahhyde@example.com</t>
  </si>
  <si>
    <t>DD79 3FZ</t>
  </si>
  <si>
    <t>ACT-02101</t>
  </si>
  <si>
    <t>ACC-11507</t>
  </si>
  <si>
    <t>CUST-51507</t>
  </si>
  <si>
    <t>Lydia Clarke</t>
  </si>
  <si>
    <t>pritchardmark@example.net</t>
  </si>
  <si>
    <t>S9K 5HH</t>
  </si>
  <si>
    <t>ACC-11508</t>
  </si>
  <si>
    <t>CUST-51508</t>
  </si>
  <si>
    <t>ACT-02102</t>
  </si>
  <si>
    <t>Mr Reece Carter</t>
  </si>
  <si>
    <t>hardingdennis@example.org</t>
  </si>
  <si>
    <t>EH4V 3RH</t>
  </si>
  <si>
    <t>ACC-11509</t>
  </si>
  <si>
    <t>CUST-51509</t>
  </si>
  <si>
    <t>Mr Damian Talbot</t>
  </si>
  <si>
    <t>ACT-02103</t>
  </si>
  <si>
    <t>holtjulia@example.com</t>
  </si>
  <si>
    <t>B3K 4EY</t>
  </si>
  <si>
    <t>ACC-11510</t>
  </si>
  <si>
    <t>CUST-51510</t>
  </si>
  <si>
    <t>Katherine Wood</t>
  </si>
  <si>
    <t>sally95@example.net</t>
  </si>
  <si>
    <t>G2B 8ZF</t>
  </si>
  <si>
    <t>ACC-11511</t>
  </si>
  <si>
    <t>CUST-51511</t>
  </si>
  <si>
    <t>ACT-02104</t>
  </si>
  <si>
    <t>Darren Savage</t>
  </si>
  <si>
    <t>fkelly@example.net</t>
  </si>
  <si>
    <t>M7C 3WA</t>
  </si>
  <si>
    <t>ACC-11512</t>
  </si>
  <si>
    <t>CUST-51512</t>
  </si>
  <si>
    <t>Kerry Harrison</t>
  </si>
  <si>
    <t>ACT-02105</t>
  </si>
  <si>
    <t>rhodesdarren@example.net</t>
  </si>
  <si>
    <t>PH70 4UJ</t>
  </si>
  <si>
    <t>ACC-11513</t>
  </si>
  <si>
    <t>CUST-51513</t>
  </si>
  <si>
    <t>Jonathan Miller</t>
  </si>
  <si>
    <t>ACT-02106</t>
  </si>
  <si>
    <t>rosiegiles@example.org</t>
  </si>
  <si>
    <t>BB9 4GF</t>
  </si>
  <si>
    <t>ACC-11514</t>
  </si>
  <si>
    <t>CUST-51514</t>
  </si>
  <si>
    <t>Daniel Evans</t>
  </si>
  <si>
    <t>ACT-02107</t>
  </si>
  <si>
    <t>rwilkinson@example.com</t>
  </si>
  <si>
    <t>EN2B 3BE</t>
  </si>
  <si>
    <t>ACC-11515</t>
  </si>
  <si>
    <t>ACT-02108</t>
  </si>
  <si>
    <t>CUST-51515</t>
  </si>
  <si>
    <t>Frederick James</t>
  </si>
  <si>
    <t>colechloe@example.net</t>
  </si>
  <si>
    <t>S39 3PB</t>
  </si>
  <si>
    <t>ACT-02109</t>
  </si>
  <si>
    <t>ACC-11516</t>
  </si>
  <si>
    <t>CUST-51516</t>
  </si>
  <si>
    <t>Mandy Pope</t>
  </si>
  <si>
    <t>ACT-02110</t>
  </si>
  <si>
    <t>joshsharpe@example.org</t>
  </si>
  <si>
    <t>CM97 5SR</t>
  </si>
  <si>
    <t>ACC-11517</t>
  </si>
  <si>
    <t>CUST-51517</t>
  </si>
  <si>
    <t>Miss Donna Campbell</t>
  </si>
  <si>
    <t>ACT-02111</t>
  </si>
  <si>
    <t>maryhodgson@example.org</t>
  </si>
  <si>
    <t>HA0H 1BZ</t>
  </si>
  <si>
    <t>ACT-02112</t>
  </si>
  <si>
    <t>ACC-11518</t>
  </si>
  <si>
    <t>CUST-51518</t>
  </si>
  <si>
    <t>Christine Hughes</t>
  </si>
  <si>
    <t>ptaylor@example.net</t>
  </si>
  <si>
    <t>CV6M 8BX</t>
  </si>
  <si>
    <t>ACC-11519</t>
  </si>
  <si>
    <t>CUST-51519</t>
  </si>
  <si>
    <t>Dr Neil Byrne</t>
  </si>
  <si>
    <t>ACT-02113</t>
  </si>
  <si>
    <t>bchadwick@example.net</t>
  </si>
  <si>
    <t>CT71 4FD</t>
  </si>
  <si>
    <t>ACC-11520</t>
  </si>
  <si>
    <t>CUST-51520</t>
  </si>
  <si>
    <t>Mrs Emma Banks</t>
  </si>
  <si>
    <t>kyle59@example.com</t>
  </si>
  <si>
    <t>ACT-02114</t>
  </si>
  <si>
    <t>B91 6XG</t>
  </si>
  <si>
    <t>ACC-11521</t>
  </si>
  <si>
    <t>CUST-51521</t>
  </si>
  <si>
    <t>Joel Jones</t>
  </si>
  <si>
    <t>alexblackburn@example.com</t>
  </si>
  <si>
    <t>M2 4ST</t>
  </si>
  <si>
    <t>ACC-11522</t>
  </si>
  <si>
    <t>ACT-02115</t>
  </si>
  <si>
    <t>CUST-51522</t>
  </si>
  <si>
    <t>Dawn Robertson</t>
  </si>
  <si>
    <t>HR40 2HP</t>
  </si>
  <si>
    <t>ACT-02116</t>
  </si>
  <si>
    <t>ACC-11523</t>
  </si>
  <si>
    <t>CUST-51523</t>
  </si>
  <si>
    <t>Dr Karen Browne</t>
  </si>
  <si>
    <t>fbrown@example.org</t>
  </si>
  <si>
    <t>ACT-02117</t>
  </si>
  <si>
    <t>N7H 6SD</t>
  </si>
  <si>
    <t>ACC-11524</t>
  </si>
  <si>
    <t>CUST-51524</t>
  </si>
  <si>
    <t>Christine Moore</t>
  </si>
  <si>
    <t>ACT-02118</t>
  </si>
  <si>
    <t>sian36@example.org</t>
  </si>
  <si>
    <t>DL7 3AT</t>
  </si>
  <si>
    <t>ACT-02119</t>
  </si>
  <si>
    <t>ACC-11525</t>
  </si>
  <si>
    <t>CUST-51525</t>
  </si>
  <si>
    <t>Mr Tom Thomas</t>
  </si>
  <si>
    <t>ACT-02120</t>
  </si>
  <si>
    <t>margaret14@example.org</t>
  </si>
  <si>
    <t>W4F 8GL</t>
  </si>
  <si>
    <t>ACC-11526</t>
  </si>
  <si>
    <t>CUST-51526</t>
  </si>
  <si>
    <t>ACT-02121</t>
  </si>
  <si>
    <t>Miss Emily Thomson</t>
  </si>
  <si>
    <t>aimee18@example.org</t>
  </si>
  <si>
    <t>DN2V 5XS</t>
  </si>
  <si>
    <t>ACC-11527</t>
  </si>
  <si>
    <t>ACT-02122</t>
  </si>
  <si>
    <t>CUST-51527</t>
  </si>
  <si>
    <t>Kirsty Hudson</t>
  </si>
  <si>
    <t>justinrobinson@example.net</t>
  </si>
  <si>
    <t>S4 8EA</t>
  </si>
  <si>
    <t>ACT-02123</t>
  </si>
  <si>
    <t>ACC-11528</t>
  </si>
  <si>
    <t>CUST-51528</t>
  </si>
  <si>
    <t>Rhys Baker</t>
  </si>
  <si>
    <t>ACT-02124</t>
  </si>
  <si>
    <t>guy76@example.com</t>
  </si>
  <si>
    <t>SW4A 3BG</t>
  </si>
  <si>
    <t>ACC-11529</t>
  </si>
  <si>
    <t>CUST-51529</t>
  </si>
  <si>
    <t>Abigail Hudson</t>
  </si>
  <si>
    <t>ACT-02125</t>
  </si>
  <si>
    <t>mariaturner@example.com</t>
  </si>
  <si>
    <t>N1G 4QJ</t>
  </si>
  <si>
    <t>ACC-11530</t>
  </si>
  <si>
    <t>ACT-02126</t>
  </si>
  <si>
    <t>CUST-51530</t>
  </si>
  <si>
    <t>Declan Jackson</t>
  </si>
  <si>
    <t>justinmurphy@example.com</t>
  </si>
  <si>
    <t>ACT-02127</t>
  </si>
  <si>
    <t>EH11 3EF</t>
  </si>
  <si>
    <t>ACC-11531</t>
  </si>
  <si>
    <t>CUST-51531</t>
  </si>
  <si>
    <t>Lynda Allen</t>
  </si>
  <si>
    <t>ACT-02128</t>
  </si>
  <si>
    <t>murraysheila@example.net</t>
  </si>
  <si>
    <t>G7K 7EQ</t>
  </si>
  <si>
    <t>ACC-11532</t>
  </si>
  <si>
    <t>ACT-02129</t>
  </si>
  <si>
    <t>CUST-51532</t>
  </si>
  <si>
    <t>Claire Naylor</t>
  </si>
  <si>
    <t>fsaunders@example.net</t>
  </si>
  <si>
    <t>DG9 5BZ</t>
  </si>
  <si>
    <t>ACT-02130</t>
  </si>
  <si>
    <t>ACC-11533</t>
  </si>
  <si>
    <t>CUST-51533</t>
  </si>
  <si>
    <t>Kimberley Bailey</t>
  </si>
  <si>
    <t>ACT-02131</t>
  </si>
  <si>
    <t>martinsharon@example.org</t>
  </si>
  <si>
    <t>W4A 3EU</t>
  </si>
  <si>
    <t>ACC-11534</t>
  </si>
  <si>
    <t>CUST-51534</t>
  </si>
  <si>
    <t>Graham Parker</t>
  </si>
  <si>
    <t>ACT-02132</t>
  </si>
  <si>
    <t>jill71@example.org</t>
  </si>
  <si>
    <t>DY38 1FP</t>
  </si>
  <si>
    <t>ACT-02133</t>
  </si>
  <si>
    <t>ACC-11535</t>
  </si>
  <si>
    <t>CUST-51535</t>
  </si>
  <si>
    <t>Mr Maurice Bentley</t>
  </si>
  <si>
    <t>hpage@example.com</t>
  </si>
  <si>
    <t>TS9 3RU</t>
  </si>
  <si>
    <t>ACT-02134</t>
  </si>
  <si>
    <t>ACC-11536</t>
  </si>
  <si>
    <t>CUST-51536</t>
  </si>
  <si>
    <t>Carly Freeman</t>
  </si>
  <si>
    <t>gregorymorgan@example.net</t>
  </si>
  <si>
    <t>HA42 8RQ</t>
  </si>
  <si>
    <t>ACC-11537</t>
  </si>
  <si>
    <t>CUST-51537</t>
  </si>
  <si>
    <t>Miss Geraldine Smith</t>
  </si>
  <si>
    <t>ACT-02135</t>
  </si>
  <si>
    <t>owen46@example.org</t>
  </si>
  <si>
    <t>EH2R 5YR</t>
  </si>
  <si>
    <t>ACC-11538</t>
  </si>
  <si>
    <t>CUST-51538</t>
  </si>
  <si>
    <t>ACT-02136</t>
  </si>
  <si>
    <t>Geraldine Clarke</t>
  </si>
  <si>
    <t>carly97@example.net</t>
  </si>
  <si>
    <t>SA82 9GS</t>
  </si>
  <si>
    <t>ACT-02137</t>
  </si>
  <si>
    <t>ACC-11539</t>
  </si>
  <si>
    <t>CUST-51539</t>
  </si>
  <si>
    <t>Diane Benson</t>
  </si>
  <si>
    <t>ACT-02138</t>
  </si>
  <si>
    <t>jamie11@example.com</t>
  </si>
  <si>
    <t>L39 2AD</t>
  </si>
  <si>
    <t>ACC-11540</t>
  </si>
  <si>
    <t>CUST-51540</t>
  </si>
  <si>
    <t>Mr Gerard Phillips</t>
  </si>
  <si>
    <t>ACT-02139</t>
  </si>
  <si>
    <t>mohammedmoore@example.org</t>
  </si>
  <si>
    <t>SM0 8PN</t>
  </si>
  <si>
    <t>ACT-02140</t>
  </si>
  <si>
    <t>ACC-11541</t>
  </si>
  <si>
    <t>CUST-51541</t>
  </si>
  <si>
    <t>Yvonne Farrell-O'Donnell</t>
  </si>
  <si>
    <t>ACT-02141</t>
  </si>
  <si>
    <t>johnsonkim@example.net</t>
  </si>
  <si>
    <t>E2 3EP</t>
  </si>
  <si>
    <t>ACC-11542</t>
  </si>
  <si>
    <t>CUST-51542</t>
  </si>
  <si>
    <t>Miss Marian Yates</t>
  </si>
  <si>
    <t>ACT-02142</t>
  </si>
  <si>
    <t>morrisonkevin@example.net</t>
  </si>
  <si>
    <t>B9B 4HD</t>
  </si>
  <si>
    <t>ACT-02143</t>
  </si>
  <si>
    <t>ACC-11543</t>
  </si>
  <si>
    <t>CUST-51543</t>
  </si>
  <si>
    <t>Diane Ahmed</t>
  </si>
  <si>
    <t>bondtracey@example.net</t>
  </si>
  <si>
    <t>KA83 0HE</t>
  </si>
  <si>
    <t>ACT-02144</t>
  </si>
  <si>
    <t>ACC-11544</t>
  </si>
  <si>
    <t>CUST-51544</t>
  </si>
  <si>
    <t>Jenna Adams</t>
  </si>
  <si>
    <t>sandersonlydia@example.net</t>
  </si>
  <si>
    <t>S23 3BW</t>
  </si>
  <si>
    <t>ACT-02145</t>
  </si>
  <si>
    <t>ACC-11545</t>
  </si>
  <si>
    <t>CUST-51545</t>
  </si>
  <si>
    <t>Dr Shane Lane</t>
  </si>
  <si>
    <t>ACT-02146</t>
  </si>
  <si>
    <t>williamslindsey@example.net</t>
  </si>
  <si>
    <t>SS63 5BN</t>
  </si>
  <si>
    <t>ACC-11546</t>
  </si>
  <si>
    <t>CUST-51546</t>
  </si>
  <si>
    <t>Scott Rice</t>
  </si>
  <si>
    <t>ACT-02147</t>
  </si>
  <si>
    <t>qwells@example.com</t>
  </si>
  <si>
    <t>EC67 8EW</t>
  </si>
  <si>
    <t>ACC-11547</t>
  </si>
  <si>
    <t>CUST-51547</t>
  </si>
  <si>
    <t>ACT-02148</t>
  </si>
  <si>
    <t>Abigail Young</t>
  </si>
  <si>
    <t>S4D 7EX</t>
  </si>
  <si>
    <t>ACT-02149</t>
  </si>
  <si>
    <t>ACC-11548</t>
  </si>
  <si>
    <t>CUST-51548</t>
  </si>
  <si>
    <t>Matthew Archer</t>
  </si>
  <si>
    <t>ACT-02150</t>
  </si>
  <si>
    <t>aimeehewitt@example.org</t>
  </si>
  <si>
    <t>ACT-02151</t>
  </si>
  <si>
    <t>SP7 4AX</t>
  </si>
  <si>
    <t>ACC-11549</t>
  </si>
  <si>
    <t>CUST-51549</t>
  </si>
  <si>
    <t>Marion Walsh</t>
  </si>
  <si>
    <t>ACT-02152</t>
  </si>
  <si>
    <t>gbell@example.org</t>
  </si>
  <si>
    <t>PL05 0EQ</t>
  </si>
  <si>
    <t>ACC-11550</t>
  </si>
  <si>
    <t>ACT-02153</t>
  </si>
  <si>
    <t>CUST-51550</t>
  </si>
  <si>
    <t>Mr Max Evans</t>
  </si>
  <si>
    <t>gilljoanne@example.com</t>
  </si>
  <si>
    <t>EN74 2HR</t>
  </si>
  <si>
    <t>ACT-02154</t>
  </si>
  <si>
    <t>ACC-11551</t>
  </si>
  <si>
    <t>CUST-51551</t>
  </si>
  <si>
    <t>Luke O'Sullivan</t>
  </si>
  <si>
    <t>ACT-02155</t>
  </si>
  <si>
    <t>bryanrita@example.org</t>
  </si>
  <si>
    <t>M1D 1AF</t>
  </si>
  <si>
    <t>ACC-11552</t>
  </si>
  <si>
    <t>CUST-51552</t>
  </si>
  <si>
    <t>Leigh Perry</t>
  </si>
  <si>
    <t>zwood@example.net</t>
  </si>
  <si>
    <t>SN31 2LF</t>
  </si>
  <si>
    <t>ACT-02156</t>
  </si>
  <si>
    <t>ACC-11553</t>
  </si>
  <si>
    <t>CUST-51553</t>
  </si>
  <si>
    <t>Max Wood-Williams</t>
  </si>
  <si>
    <t>traceydavis@example.org</t>
  </si>
  <si>
    <t>W94 9ZJ</t>
  </si>
  <si>
    <t>ACT-02157</t>
  </si>
  <si>
    <t>ACC-11554</t>
  </si>
  <si>
    <t>CUST-51554</t>
  </si>
  <si>
    <t>David Stephenson-Griffiths</t>
  </si>
  <si>
    <t>halljustin@example.com</t>
  </si>
  <si>
    <t>ACT-02158</t>
  </si>
  <si>
    <t>PR07 0AY</t>
  </si>
  <si>
    <t>ACC-11555</t>
  </si>
  <si>
    <t>CUST-51555</t>
  </si>
  <si>
    <t>Charles Mitchell-Matthews</t>
  </si>
  <si>
    <t>ACT-02159</t>
  </si>
  <si>
    <t>birdguy@example.com</t>
  </si>
  <si>
    <t>CA8P 9AT</t>
  </si>
  <si>
    <t>ACT-02160</t>
  </si>
  <si>
    <t>ACC-11556</t>
  </si>
  <si>
    <t>CUST-51556</t>
  </si>
  <si>
    <t>Linda Francis</t>
  </si>
  <si>
    <t>ACT-02161</t>
  </si>
  <si>
    <t>vwalton@example.net</t>
  </si>
  <si>
    <t>PE6 8BT</t>
  </si>
  <si>
    <t>ACT-02162</t>
  </si>
  <si>
    <t>ACC-11557</t>
  </si>
  <si>
    <t>CUST-51557</t>
  </si>
  <si>
    <t>Lauren Harvey</t>
  </si>
  <si>
    <t>katyoneill@example.net</t>
  </si>
  <si>
    <t>S8 7ZU</t>
  </si>
  <si>
    <t>ACT-02163</t>
  </si>
  <si>
    <t>ACC-11558</t>
  </si>
  <si>
    <t>CUST-51558</t>
  </si>
  <si>
    <t>Irene Holland</t>
  </si>
  <si>
    <t>jackholden@example.com</t>
  </si>
  <si>
    <t>ACT-02164</t>
  </si>
  <si>
    <t>B1 9JG</t>
  </si>
  <si>
    <t>ACC-11559</t>
  </si>
  <si>
    <t>CUST-51559</t>
  </si>
  <si>
    <t>Tracy Brooks-Thompson</t>
  </si>
  <si>
    <t>ACT-02165</t>
  </si>
  <si>
    <t>mwright@example.net</t>
  </si>
  <si>
    <t>S7 2LS</t>
  </si>
  <si>
    <t>ACC-11560</t>
  </si>
  <si>
    <t>ACT-02166</t>
  </si>
  <si>
    <t>CUST-51560</t>
  </si>
  <si>
    <t>Elaine Simpson-Marsh</t>
  </si>
  <si>
    <t>vberry@example.net</t>
  </si>
  <si>
    <t>ACT-02167</t>
  </si>
  <si>
    <t>EC2Y 2HP</t>
  </si>
  <si>
    <t>ACC-11561</t>
  </si>
  <si>
    <t>CUST-51561</t>
  </si>
  <si>
    <t>Dr Victor King</t>
  </si>
  <si>
    <t>ACT-02168</t>
  </si>
  <si>
    <t>WV95 0WG</t>
  </si>
  <si>
    <t>ACC-11562</t>
  </si>
  <si>
    <t>ACT-02169</t>
  </si>
  <si>
    <t>CUST-51562</t>
  </si>
  <si>
    <t>Valerie Edwards</t>
  </si>
  <si>
    <t>dylanbaker@example.com</t>
  </si>
  <si>
    <t>ACT-02170</t>
  </si>
  <si>
    <t>W4 6BG</t>
  </si>
  <si>
    <t>ACC-11563</t>
  </si>
  <si>
    <t>CUST-51563</t>
  </si>
  <si>
    <t>Stephen Lyons</t>
  </si>
  <si>
    <t>ACT-02171</t>
  </si>
  <si>
    <t>mark91@example.org</t>
  </si>
  <si>
    <t>M5W 2QJ</t>
  </si>
  <si>
    <t>ACT-02172</t>
  </si>
  <si>
    <t>ACC-11564</t>
  </si>
  <si>
    <t>CUST-51564</t>
  </si>
  <si>
    <t>Lee Scott-Barker</t>
  </si>
  <si>
    <t>ACT-02173</t>
  </si>
  <si>
    <t>mohammedlyons@example.com</t>
  </si>
  <si>
    <t>NR5N 9FP</t>
  </si>
  <si>
    <t>ACC-11565</t>
  </si>
  <si>
    <t>CUST-51565</t>
  </si>
  <si>
    <t>ACT-02174</t>
  </si>
  <si>
    <t>Adam Stevenson</t>
  </si>
  <si>
    <t>williamsaimee@example.net</t>
  </si>
  <si>
    <t>WN4P 9ZW</t>
  </si>
  <si>
    <t>ACT-02175</t>
  </si>
  <si>
    <t>ACC-11566</t>
  </si>
  <si>
    <t>CUST-51566</t>
  </si>
  <si>
    <t>Miss Katie Scott</t>
  </si>
  <si>
    <t>xpatel@example.org</t>
  </si>
  <si>
    <t>SR3M 4SL</t>
  </si>
  <si>
    <t>ACC-11567</t>
  </si>
  <si>
    <t>ACT-02176</t>
  </si>
  <si>
    <t>CUST-51567</t>
  </si>
  <si>
    <t>Dr Roy Foster</t>
  </si>
  <si>
    <t>ACT-02177</t>
  </si>
  <si>
    <t>coxsamantha@example.com</t>
  </si>
  <si>
    <t>LD51 6PZ</t>
  </si>
  <si>
    <t>ACT-02178</t>
  </si>
  <si>
    <t>ACC-11568</t>
  </si>
  <si>
    <t>CUST-51568</t>
  </si>
  <si>
    <t>Dr Henry Watson</t>
  </si>
  <si>
    <t>maxbradley@example.com</t>
  </si>
  <si>
    <t>ACT-02179</t>
  </si>
  <si>
    <t>E4 4NH</t>
  </si>
  <si>
    <t>ACC-11569</t>
  </si>
  <si>
    <t>CUST-51569</t>
  </si>
  <si>
    <t>Roger Donnelly</t>
  </si>
  <si>
    <t>ACT-02180</t>
  </si>
  <si>
    <t>kerrypayne@example.org</t>
  </si>
  <si>
    <t>DA4B 6PX</t>
  </si>
  <si>
    <t>ACC-11570</t>
  </si>
  <si>
    <t>CUST-51570</t>
  </si>
  <si>
    <t>Hilary Taylor</t>
  </si>
  <si>
    <t>ACT-02181</t>
  </si>
  <si>
    <t>ML9 6JG</t>
  </si>
  <si>
    <t>ACC-11571</t>
  </si>
  <si>
    <t>CUST-51571</t>
  </si>
  <si>
    <t>Francesca Cartwright</t>
  </si>
  <si>
    <t>ACT-02182</t>
  </si>
  <si>
    <t>gavin08@example.com</t>
  </si>
  <si>
    <t>B4 4SP</t>
  </si>
  <si>
    <t>ACT-02183</t>
  </si>
  <si>
    <t>ACC-11572</t>
  </si>
  <si>
    <t>CUST-51572</t>
  </si>
  <si>
    <t>Lauren Butler</t>
  </si>
  <si>
    <t>ACT-02184</t>
  </si>
  <si>
    <t>jeffrey79@example.org</t>
  </si>
  <si>
    <t>E25 7UT</t>
  </si>
  <si>
    <t>ACC-11573</t>
  </si>
  <si>
    <t>ACT-02185</t>
  </si>
  <si>
    <t>CUST-51573</t>
  </si>
  <si>
    <t>Suzanne Edwards</t>
  </si>
  <si>
    <t>vthompson@example.org</t>
  </si>
  <si>
    <t>N49 8HY</t>
  </si>
  <si>
    <t>ACT-02186</t>
  </si>
  <si>
    <t>ACC-11574</t>
  </si>
  <si>
    <t>CUST-51574</t>
  </si>
  <si>
    <t>Lynn Thompson</t>
  </si>
  <si>
    <t>ACT-02187</t>
  </si>
  <si>
    <t>dmartin@example.net</t>
  </si>
  <si>
    <t>S9K 6FR</t>
  </si>
  <si>
    <t>ACC-11575</t>
  </si>
  <si>
    <t>CUST-51575</t>
  </si>
  <si>
    <t>Annette Thomas-White</t>
  </si>
  <si>
    <t>ACT-02188</t>
  </si>
  <si>
    <t>nthornton@example.com</t>
  </si>
  <si>
    <t>W5U 5GB</t>
  </si>
  <si>
    <t>ACT-02189</t>
  </si>
  <si>
    <t>ACC-11576</t>
  </si>
  <si>
    <t>CUST-51576</t>
  </si>
  <si>
    <t>Ms Lynn Allen</t>
  </si>
  <si>
    <t>paigeprice@example.com</t>
  </si>
  <si>
    <t>ACT-02190</t>
  </si>
  <si>
    <t>W0E 6QB</t>
  </si>
  <si>
    <t>ACC-11577</t>
  </si>
  <si>
    <t>CUST-51577</t>
  </si>
  <si>
    <t>Sara White-Wilson</t>
  </si>
  <si>
    <t>ACT-02191</t>
  </si>
  <si>
    <t>claresingh@example.org</t>
  </si>
  <si>
    <t>UB8H 1DS</t>
  </si>
  <si>
    <t>ACC-11578</t>
  </si>
  <si>
    <t>ACT-02192</t>
  </si>
  <si>
    <t>CUST-51578</t>
  </si>
  <si>
    <t>Irene Morris</t>
  </si>
  <si>
    <t>ACT-02193</t>
  </si>
  <si>
    <t>S5K 3WJ</t>
  </si>
  <si>
    <t>ACC-11579</t>
  </si>
  <si>
    <t>CUST-51579</t>
  </si>
  <si>
    <t>Barbara Gough</t>
  </si>
  <si>
    <t>ACT-02194</t>
  </si>
  <si>
    <t>xwong@example.org</t>
  </si>
  <si>
    <t>E2T 0NX</t>
  </si>
  <si>
    <t>ACT-02195</t>
  </si>
  <si>
    <t>ACC-11580</t>
  </si>
  <si>
    <t>CUST-51580</t>
  </si>
  <si>
    <t>Elizabeth Francis-Jones</t>
  </si>
  <si>
    <t>pkelly@example.org</t>
  </si>
  <si>
    <t>ACT-02196</t>
  </si>
  <si>
    <t>SN9M 9QW</t>
  </si>
  <si>
    <t>ACC-11581</t>
  </si>
  <si>
    <t>CUST-51581</t>
  </si>
  <si>
    <t>Dr Anthony Owen</t>
  </si>
  <si>
    <t>ACT-02197</t>
  </si>
  <si>
    <t>olivia65@example.net</t>
  </si>
  <si>
    <t>LN9 3FB</t>
  </si>
  <si>
    <t>ACT-02198</t>
  </si>
  <si>
    <t>ACC-11582</t>
  </si>
  <si>
    <t>CUST-51582</t>
  </si>
  <si>
    <t>Maria Powell</t>
  </si>
  <si>
    <t>chamberlainkayleigh@example.net</t>
  </si>
  <si>
    <t>ACT-02199</t>
  </si>
  <si>
    <t>HR07 4SZ</t>
  </si>
  <si>
    <t>ACC-11583</t>
  </si>
  <si>
    <t>CUST-51583</t>
  </si>
  <si>
    <t>Mr Gordon Jones</t>
  </si>
  <si>
    <t>ACT-02200</t>
  </si>
  <si>
    <t>andrewwilliams@example.com</t>
  </si>
  <si>
    <t>ACT-02201</t>
  </si>
  <si>
    <t>S1 6BP</t>
  </si>
  <si>
    <t>ACC-11584</t>
  </si>
  <si>
    <t>CUST-51584</t>
  </si>
  <si>
    <t>Ms Annette Smith</t>
  </si>
  <si>
    <t>ACT-02202</t>
  </si>
  <si>
    <t>derek18@example.net</t>
  </si>
  <si>
    <t>RG5M 0XL</t>
  </si>
  <si>
    <t>ACC-11585</t>
  </si>
  <si>
    <t>CUST-51585</t>
  </si>
  <si>
    <t>Miss Julie Edwards</t>
  </si>
  <si>
    <t>ACT-02203</t>
  </si>
  <si>
    <t>dean29@example.net</t>
  </si>
  <si>
    <t>MK8N 5SL</t>
  </si>
  <si>
    <t>ACC-11586</t>
  </si>
  <si>
    <t>CUST-51586</t>
  </si>
  <si>
    <t>ACT-02204</t>
  </si>
  <si>
    <t>Mrs Catherine Wright</t>
  </si>
  <si>
    <t>benwinter@example.net</t>
  </si>
  <si>
    <t>BH2Y 7WH</t>
  </si>
  <si>
    <t>ACT-02205</t>
  </si>
  <si>
    <t>ACC-11587</t>
  </si>
  <si>
    <t>CUST-51587</t>
  </si>
  <si>
    <t>Benjamin Williams</t>
  </si>
  <si>
    <t>ACT-02206</t>
  </si>
  <si>
    <t>stewart72@example.net</t>
  </si>
  <si>
    <t>W6B 9GY</t>
  </si>
  <si>
    <t>ACC-11588</t>
  </si>
  <si>
    <t>CUST-51588</t>
  </si>
  <si>
    <t>Scott Gray-Ali</t>
  </si>
  <si>
    <t>ACT-02207</t>
  </si>
  <si>
    <t>ACT-02208</t>
  </si>
  <si>
    <t>pateldamian@example.net</t>
  </si>
  <si>
    <t>W5H 3AN</t>
  </si>
  <si>
    <t>ACC-11589</t>
  </si>
  <si>
    <t>CUST-51589</t>
  </si>
  <si>
    <t>ACT-02209</t>
  </si>
  <si>
    <t>Mr Sam Smith</t>
  </si>
  <si>
    <t>suzannethompson@example.net</t>
  </si>
  <si>
    <t>SG34 9BU</t>
  </si>
  <si>
    <t>ACT-02210</t>
  </si>
  <si>
    <t>ACC-11590</t>
  </si>
  <si>
    <t>CUST-51590</t>
  </si>
  <si>
    <t>Declan Butler-Hale</t>
  </si>
  <si>
    <t>ACT-02211</t>
  </si>
  <si>
    <t>fleminggail@example.net</t>
  </si>
  <si>
    <t>TR8N 5QL</t>
  </si>
  <si>
    <t>ACC-11591</t>
  </si>
  <si>
    <t>ACT-02212</t>
  </si>
  <si>
    <t>CUST-51591</t>
  </si>
  <si>
    <t>Dr Rosie Thomas</t>
  </si>
  <si>
    <t>whiteamelia@example.org</t>
  </si>
  <si>
    <t>ACT-02213</t>
  </si>
  <si>
    <t>E0 8AP</t>
  </si>
  <si>
    <t>ACC-11592</t>
  </si>
  <si>
    <t>CUST-51592</t>
  </si>
  <si>
    <t>Dr Lisa Smith</t>
  </si>
  <si>
    <t>ACT-02214</t>
  </si>
  <si>
    <t>aspencer@example.com</t>
  </si>
  <si>
    <t>S26 0NN</t>
  </si>
  <si>
    <t>ACC-11593</t>
  </si>
  <si>
    <t>ACT-02215</t>
  </si>
  <si>
    <t>CUST-51593</t>
  </si>
  <si>
    <t>Patrick Shaw</t>
  </si>
  <si>
    <t>francischarlene@example.org</t>
  </si>
  <si>
    <t>L5 0JQ</t>
  </si>
  <si>
    <t>ACT-02216</t>
  </si>
  <si>
    <t>ACC-11594</t>
  </si>
  <si>
    <t>CUST-51594</t>
  </si>
  <si>
    <t>Claire Dixon</t>
  </si>
  <si>
    <t>ACT-02217</t>
  </si>
  <si>
    <t>wendyhughes@example.org</t>
  </si>
  <si>
    <t>B8 0FR</t>
  </si>
  <si>
    <t>ACC-11595</t>
  </si>
  <si>
    <t>ACT-02218</t>
  </si>
  <si>
    <t>CUST-51595</t>
  </si>
  <si>
    <t>Marie Payne</t>
  </si>
  <si>
    <t>sharon57@example.com</t>
  </si>
  <si>
    <t>N86 1WQ</t>
  </si>
  <si>
    <t>ACT-02219</t>
  </si>
  <si>
    <t>ACC-11596</t>
  </si>
  <si>
    <t>CUST-51596</t>
  </si>
  <si>
    <t>Pauline Smith</t>
  </si>
  <si>
    <t>ACT-02220</t>
  </si>
  <si>
    <t>willisdavid@example.net</t>
  </si>
  <si>
    <t>SS0Y 4PE</t>
  </si>
  <si>
    <t>ACC-11597</t>
  </si>
  <si>
    <t>CUST-51597</t>
  </si>
  <si>
    <t>Hugh Lowe</t>
  </si>
  <si>
    <t>ACT-02221</t>
  </si>
  <si>
    <t>tgoodwin@example.org</t>
  </si>
  <si>
    <t>N83 8FW</t>
  </si>
  <si>
    <t>ACC-11598</t>
  </si>
  <si>
    <t>CUST-51598</t>
  </si>
  <si>
    <t>ACT-02222</t>
  </si>
  <si>
    <t>Pamela Barlow</t>
  </si>
  <si>
    <t>eallen@example.net</t>
  </si>
  <si>
    <t>B4U 7NW</t>
  </si>
  <si>
    <t>ACT-02223</t>
  </si>
  <si>
    <t>ACC-11599</t>
  </si>
  <si>
    <t>CUST-51599</t>
  </si>
  <si>
    <t>Mrs Georgina Bates</t>
  </si>
  <si>
    <t>ACT-02224</t>
  </si>
  <si>
    <t>crossmartin@example.net</t>
  </si>
  <si>
    <t>B6S 8QD</t>
  </si>
  <si>
    <t>ACC-11600</t>
  </si>
  <si>
    <t>CUST-51600</t>
  </si>
  <si>
    <t>Abdul Yates-Hughes</t>
  </si>
  <si>
    <t>ACT-02225</t>
  </si>
  <si>
    <t>sandrajohnson@example.net</t>
  </si>
  <si>
    <t>W0B 7ZF</t>
  </si>
  <si>
    <t>ACT-02226</t>
  </si>
  <si>
    <t>ACC-11601</t>
  </si>
  <si>
    <t>CUST-51601</t>
  </si>
  <si>
    <t>Ben Wallace</t>
  </si>
  <si>
    <t>ACT-02227</t>
  </si>
  <si>
    <t>hprice@example.net</t>
  </si>
  <si>
    <t>N06 1WH</t>
  </si>
  <si>
    <t>ACC-11602</t>
  </si>
  <si>
    <t>CUST-51602</t>
  </si>
  <si>
    <t>Mr Dylan Clark</t>
  </si>
  <si>
    <t>ACT-02228</t>
  </si>
  <si>
    <t>jason50@example.net</t>
  </si>
  <si>
    <t>RG51 7XY</t>
  </si>
  <si>
    <t>ACC-11603</t>
  </si>
  <si>
    <t>CUST-51603</t>
  </si>
  <si>
    <t>ACT-02229</t>
  </si>
  <si>
    <t>Mr Albert Martin</t>
  </si>
  <si>
    <t>vgoddard@example.com</t>
  </si>
  <si>
    <t>KW5V 6EF</t>
  </si>
  <si>
    <t>ACT-02230</t>
  </si>
  <si>
    <t>ACC-11604</t>
  </si>
  <si>
    <t>CUST-51604</t>
  </si>
  <si>
    <t>Ellie Griffiths</t>
  </si>
  <si>
    <t>jonesannette@example.com</t>
  </si>
  <si>
    <t>W3 9BZ</t>
  </si>
  <si>
    <t>ACT-02231</t>
  </si>
  <si>
    <t>ACC-11605</t>
  </si>
  <si>
    <t>CUST-51605</t>
  </si>
  <si>
    <t>Christine Wong</t>
  </si>
  <si>
    <t>bethany19@example.net</t>
  </si>
  <si>
    <t>E66 3EB</t>
  </si>
  <si>
    <t>ACC-11606</t>
  </si>
  <si>
    <t>CUST-51606</t>
  </si>
  <si>
    <t>Brian Jenkins</t>
  </si>
  <si>
    <t>ACT-02232</t>
  </si>
  <si>
    <t>frankbooth@example.com</t>
  </si>
  <si>
    <t>ACT-02233</t>
  </si>
  <si>
    <t>IM0N 3DD</t>
  </si>
  <si>
    <t>ACC-11607</t>
  </si>
  <si>
    <t>CUST-51607</t>
  </si>
  <si>
    <t>Dr Jeremy Daniels</t>
  </si>
  <si>
    <t>ACT-02234</t>
  </si>
  <si>
    <t>randalltracy@example.org</t>
  </si>
  <si>
    <t>W67 3PE</t>
  </si>
  <si>
    <t>ACC-11608</t>
  </si>
  <si>
    <t>CUST-51608</t>
  </si>
  <si>
    <t>Dr Tina Parry</t>
  </si>
  <si>
    <t>ACT-02235</t>
  </si>
  <si>
    <t>hussainashleigh@example.com</t>
  </si>
  <si>
    <t>GY3A 6SL</t>
  </si>
  <si>
    <t>ACC-11609</t>
  </si>
  <si>
    <t>CUST-51609</t>
  </si>
  <si>
    <t>ACT-02236</t>
  </si>
  <si>
    <t>Abdul Simpson</t>
  </si>
  <si>
    <t>eileen93@example.org</t>
  </si>
  <si>
    <t>BN2Y 7XG</t>
  </si>
  <si>
    <t>ACT-02237</t>
  </si>
  <si>
    <t>ACC-11610</t>
  </si>
  <si>
    <t>CUST-51610</t>
  </si>
  <si>
    <t>Emma Thompson</t>
  </si>
  <si>
    <t>ACT-02238</t>
  </si>
  <si>
    <t>louise91@example.net</t>
  </si>
  <si>
    <t>WD7 5HB</t>
  </si>
  <si>
    <t>ACC-11611</t>
  </si>
  <si>
    <t>CUST-51611</t>
  </si>
  <si>
    <t>Susan Hall</t>
  </si>
  <si>
    <t>ACT-02239</t>
  </si>
  <si>
    <t>jordanking@example.org</t>
  </si>
  <si>
    <t>ACT-02240</t>
  </si>
  <si>
    <t>G4T 5LQ</t>
  </si>
  <si>
    <t>ACC-11612</t>
  </si>
  <si>
    <t>CUST-51612</t>
  </si>
  <si>
    <t>Miss Clare Robinson</t>
  </si>
  <si>
    <t>ACT-02241</t>
  </si>
  <si>
    <t>wrightmaria@example.net</t>
  </si>
  <si>
    <t>CM9 1RG</t>
  </si>
  <si>
    <t>ACC-11613</t>
  </si>
  <si>
    <t>CUST-51613</t>
  </si>
  <si>
    <t>Joshua Evans</t>
  </si>
  <si>
    <t>ACT-02242</t>
  </si>
  <si>
    <t>palmerpaige@example.com</t>
  </si>
  <si>
    <t>N77 3XY</t>
  </si>
  <si>
    <t>ACT-02243</t>
  </si>
  <si>
    <t>ACC-11614</t>
  </si>
  <si>
    <t>CUST-51614</t>
  </si>
  <si>
    <t>Mrs Stephanie Ford</t>
  </si>
  <si>
    <t>jennifer29@example.org</t>
  </si>
  <si>
    <t>ACT-02244</t>
  </si>
  <si>
    <t>YO49 0XE</t>
  </si>
  <si>
    <t>ACC-11615</t>
  </si>
  <si>
    <t>CUST-51615</t>
  </si>
  <si>
    <t>Laura Williamson</t>
  </si>
  <si>
    <t>leah45@example.org</t>
  </si>
  <si>
    <t>ACT-02245</t>
  </si>
  <si>
    <t>B51 7XJ</t>
  </si>
  <si>
    <t>ACC-11616</t>
  </si>
  <si>
    <t>CUST-51616</t>
  </si>
  <si>
    <t>ACT-02246</t>
  </si>
  <si>
    <t>bellmolly@example.net</t>
  </si>
  <si>
    <t>N7K 0PL</t>
  </si>
  <si>
    <t>ACC-11617</t>
  </si>
  <si>
    <t>CUST-51617</t>
  </si>
  <si>
    <t>ACT-02247</t>
  </si>
  <si>
    <t>Dr Wayne Cooper</t>
  </si>
  <si>
    <t>mauricelittle@example.org</t>
  </si>
  <si>
    <t>L30 2LY</t>
  </si>
  <si>
    <t>ACT-02248</t>
  </si>
  <si>
    <t>ACC-11618</t>
  </si>
  <si>
    <t>CUST-51618</t>
  </si>
  <si>
    <t>Gavin Pugh</t>
  </si>
  <si>
    <t>ACT-02249</t>
  </si>
  <si>
    <t>shirleygreen@example.net</t>
  </si>
  <si>
    <t>AL5Y 8DT</t>
  </si>
  <si>
    <t>ACC-11619</t>
  </si>
  <si>
    <t>CUST-51619</t>
  </si>
  <si>
    <t>Heather Rees</t>
  </si>
  <si>
    <t>ACT-02250</t>
  </si>
  <si>
    <t>billy23@example.org</t>
  </si>
  <si>
    <t>TD4 6XX</t>
  </si>
  <si>
    <t>ACT-02251</t>
  </si>
  <si>
    <t>ACC-11620</t>
  </si>
  <si>
    <t>CUST-51620</t>
  </si>
  <si>
    <t>Mr Matthew Ward</t>
  </si>
  <si>
    <t>dickinsonandrew@example.net</t>
  </si>
  <si>
    <t>ACT-02252</t>
  </si>
  <si>
    <t>N7W 9ZY</t>
  </si>
  <si>
    <t>ACC-11621</t>
  </si>
  <si>
    <t>CUST-51621</t>
  </si>
  <si>
    <t>Garry Johnson-Mills</t>
  </si>
  <si>
    <t>ACT-02253</t>
  </si>
  <si>
    <t>sam43@example.net</t>
  </si>
  <si>
    <t>N14 6UQ</t>
  </si>
  <si>
    <t>ACT-02254</t>
  </si>
  <si>
    <t>ACC-11622</t>
  </si>
  <si>
    <t>CUST-51622</t>
  </si>
  <si>
    <t>Gordon Morgan</t>
  </si>
  <si>
    <t>ACT-02255</t>
  </si>
  <si>
    <t>shaungiles@example.org</t>
  </si>
  <si>
    <t>B9 2EA</t>
  </si>
  <si>
    <t>ACC-11623</t>
  </si>
  <si>
    <t>CUST-51623</t>
  </si>
  <si>
    <t>Lucy Little-Moore</t>
  </si>
  <si>
    <t>ACT-02256</t>
  </si>
  <si>
    <t>edward03@example.com</t>
  </si>
  <si>
    <t>L3T 8PJ</t>
  </si>
  <si>
    <t>ACT-02257</t>
  </si>
  <si>
    <t>ACC-11624</t>
  </si>
  <si>
    <t>CUST-51624</t>
  </si>
  <si>
    <t>Chloe Dawson</t>
  </si>
  <si>
    <t>M18 5BU</t>
  </si>
  <si>
    <t>ACT-02258</t>
  </si>
  <si>
    <t>ACC-11625</t>
  </si>
  <si>
    <t>CUST-51625</t>
  </si>
  <si>
    <t>Carolyn Gibbons</t>
  </si>
  <si>
    <t>ACT-02259</t>
  </si>
  <si>
    <t>gfarrell@example.net</t>
  </si>
  <si>
    <t>M30 5SH</t>
  </si>
  <si>
    <t>ACC-11626</t>
  </si>
  <si>
    <t>CUST-51626</t>
  </si>
  <si>
    <t>Dale Perkins</t>
  </si>
  <si>
    <t>ACT-02260</t>
  </si>
  <si>
    <t>chloe90@example.org</t>
  </si>
  <si>
    <t>W30 3LY</t>
  </si>
  <si>
    <t>ACC-11627</t>
  </si>
  <si>
    <t>ACT-02261</t>
  </si>
  <si>
    <t>CUST-51627</t>
  </si>
  <si>
    <t>Alexandra Faulkner</t>
  </si>
  <si>
    <t>williamcarter@example.org</t>
  </si>
  <si>
    <t>ACT-02262</t>
  </si>
  <si>
    <t>L98 4NG</t>
  </si>
  <si>
    <t>ACC-11628</t>
  </si>
  <si>
    <t>CUST-51628</t>
  </si>
  <si>
    <t>Anne Begum</t>
  </si>
  <si>
    <t>ACT-02263</t>
  </si>
  <si>
    <t>holliewatson@example.org</t>
  </si>
  <si>
    <t>SK1H 5WB</t>
  </si>
  <si>
    <t>ACT-02264</t>
  </si>
  <si>
    <t>ACC-11629</t>
  </si>
  <si>
    <t>CUST-51629</t>
  </si>
  <si>
    <t>Lydia Bird-Edwards</t>
  </si>
  <si>
    <t>jsteele@example.net</t>
  </si>
  <si>
    <t>PA17 2UQ</t>
  </si>
  <si>
    <t>ACT-02265</t>
  </si>
  <si>
    <t>ACC-11630</t>
  </si>
  <si>
    <t>CUST-51630</t>
  </si>
  <si>
    <t>Sarah Ellis</t>
  </si>
  <si>
    <t>ACT-02266</t>
  </si>
  <si>
    <t>masonjoshua@example.net</t>
  </si>
  <si>
    <t>B93 9WU</t>
  </si>
  <si>
    <t>ACC-11631</t>
  </si>
  <si>
    <t>CUST-51631</t>
  </si>
  <si>
    <t>ACT-02267</t>
  </si>
  <si>
    <t>Ms Wendy Clarke</t>
  </si>
  <si>
    <t>ACT-02268</t>
  </si>
  <si>
    <t>rosescott@example.net</t>
  </si>
  <si>
    <t>B6 3WZ</t>
  </si>
  <si>
    <t>ACT-02269</t>
  </si>
  <si>
    <t>ACC-11632</t>
  </si>
  <si>
    <t>CUST-51632</t>
  </si>
  <si>
    <t>Bethan Green</t>
  </si>
  <si>
    <t>ACT-02270</t>
  </si>
  <si>
    <t>gellis@example.org</t>
  </si>
  <si>
    <t>ACT-02271</t>
  </si>
  <si>
    <t>B62 9AF</t>
  </si>
  <si>
    <t>ACC-11633</t>
  </si>
  <si>
    <t>ACT-02272</t>
  </si>
  <si>
    <t>CUST-51633</t>
  </si>
  <si>
    <t>Mr Mohammad Rees</t>
  </si>
  <si>
    <t>ryanjordan@example.org</t>
  </si>
  <si>
    <t>ACT-02273</t>
  </si>
  <si>
    <t>B7D 0LZ</t>
  </si>
  <si>
    <t>ACC-11634</t>
  </si>
  <si>
    <t>CUST-51634</t>
  </si>
  <si>
    <t>Joshua White</t>
  </si>
  <si>
    <t>ACT-02274</t>
  </si>
  <si>
    <t>ibrown@example.org</t>
  </si>
  <si>
    <t>PA5Y 2NS</t>
  </si>
  <si>
    <t>ACC-11635</t>
  </si>
  <si>
    <t>ACT-02275</t>
  </si>
  <si>
    <t>CUST-51635</t>
  </si>
  <si>
    <t>Megan Anderson</t>
  </si>
  <si>
    <t>grahamjenna@example.org</t>
  </si>
  <si>
    <t>ACT-02276</t>
  </si>
  <si>
    <t>N6 1FS</t>
  </si>
  <si>
    <t>ACC-11636</t>
  </si>
  <si>
    <t>CUST-51636</t>
  </si>
  <si>
    <t>Miss Tracey Campbell</t>
  </si>
  <si>
    <t>ACT-02277</t>
  </si>
  <si>
    <t>roy16@example.org</t>
  </si>
  <si>
    <t>CT86 3RD</t>
  </si>
  <si>
    <t>ACC-11637</t>
  </si>
  <si>
    <t>ACT-02278</t>
  </si>
  <si>
    <t>CUST-51637</t>
  </si>
  <si>
    <t>Jayne Harvey</t>
  </si>
  <si>
    <t>qowen@example.net</t>
  </si>
  <si>
    <t>L49 7RJ</t>
  </si>
  <si>
    <t>ACT-02279</t>
  </si>
  <si>
    <t>ACC-11638</t>
  </si>
  <si>
    <t>CUST-51638</t>
  </si>
  <si>
    <t>Ms Melissa King</t>
  </si>
  <si>
    <t>ACT-02280</t>
  </si>
  <si>
    <t>fraserharry@example.net</t>
  </si>
  <si>
    <t>CV2 4YQ</t>
  </si>
  <si>
    <t>ACT-02281</t>
  </si>
  <si>
    <t>ACC-11639</t>
  </si>
  <si>
    <t>CUST-51639</t>
  </si>
  <si>
    <t>Lewis Stokes</t>
  </si>
  <si>
    <t>ACT-02282</t>
  </si>
  <si>
    <t>dmiller@example.com</t>
  </si>
  <si>
    <t>B3 1ZU</t>
  </si>
  <si>
    <t>ACT-02283</t>
  </si>
  <si>
    <t>ACC-11640</t>
  </si>
  <si>
    <t>CUST-51640</t>
  </si>
  <si>
    <t>Mr Jonathan Russell</t>
  </si>
  <si>
    <t>ACT-02284</t>
  </si>
  <si>
    <t>qreynolds@example.org</t>
  </si>
  <si>
    <t>WD9N 4JE</t>
  </si>
  <si>
    <t>ACC-11641</t>
  </si>
  <si>
    <t>CUST-51641</t>
  </si>
  <si>
    <t>ACT-02285</t>
  </si>
  <si>
    <t>Miss Abbie Kaur</t>
  </si>
  <si>
    <t>jamesgraham@example.org</t>
  </si>
  <si>
    <t>DG3Y 1SB</t>
  </si>
  <si>
    <t>ACT-02286</t>
  </si>
  <si>
    <t>ACC-11642</t>
  </si>
  <si>
    <t>CUST-51642</t>
  </si>
  <si>
    <t>Mr Gerard Ford</t>
  </si>
  <si>
    <t>ACT-02287</t>
  </si>
  <si>
    <t>juliagoddard@example.net</t>
  </si>
  <si>
    <t>DL1H 6FR</t>
  </si>
  <si>
    <t>ACC-11643</t>
  </si>
  <si>
    <t>CUST-51643</t>
  </si>
  <si>
    <t>ACT-02288</t>
  </si>
  <si>
    <t>Danny O'Connor-Hall</t>
  </si>
  <si>
    <t>dale28@example.com</t>
  </si>
  <si>
    <t>OX2 8BF</t>
  </si>
  <si>
    <t>ACT-02289</t>
  </si>
  <si>
    <t>ACC-11644</t>
  </si>
  <si>
    <t>CUST-51644</t>
  </si>
  <si>
    <t>Mohamed Green</t>
  </si>
  <si>
    <t>ACT-02290</t>
  </si>
  <si>
    <t>ACT-02291</t>
  </si>
  <si>
    <t>melanie21@example.net</t>
  </si>
  <si>
    <t>CT46 0ZS</t>
  </si>
  <si>
    <t>ACT-02292</t>
  </si>
  <si>
    <t>ACC-11645</t>
  </si>
  <si>
    <t>CUST-51645</t>
  </si>
  <si>
    <t>Gerald Harris</t>
  </si>
  <si>
    <t>ACT-02293</t>
  </si>
  <si>
    <t>ffitzgerald@example.org</t>
  </si>
  <si>
    <t>B3K 7ER</t>
  </si>
  <si>
    <t>ACT-02294</t>
  </si>
  <si>
    <t>ACC-11646</t>
  </si>
  <si>
    <t>CUST-51646</t>
  </si>
  <si>
    <t>ACT-02295</t>
  </si>
  <si>
    <t>Dr Kenneth Fisher</t>
  </si>
  <si>
    <t>lewis32@example.net</t>
  </si>
  <si>
    <t>E1D 4AT</t>
  </si>
  <si>
    <t>ACT-02296</t>
  </si>
  <si>
    <t>ACC-11647</t>
  </si>
  <si>
    <t>CUST-51647</t>
  </si>
  <si>
    <t>Valerie Scott-Walker</t>
  </si>
  <si>
    <t>ACT-02297</t>
  </si>
  <si>
    <t>karl00@example.org</t>
  </si>
  <si>
    <t>BH0 6ZU</t>
  </si>
  <si>
    <t>ACT-02298</t>
  </si>
  <si>
    <t>ACC-11648</t>
  </si>
  <si>
    <t>CUST-51648</t>
  </si>
  <si>
    <t>Claire Hayes</t>
  </si>
  <si>
    <t>ACT-02299</t>
  </si>
  <si>
    <t>victoria57@example.com</t>
  </si>
  <si>
    <t>BR9 4RY</t>
  </si>
  <si>
    <t>ACT-02300</t>
  </si>
  <si>
    <t>ACC-11649</t>
  </si>
  <si>
    <t>CUST-51649</t>
  </si>
  <si>
    <t>ACT-02301</t>
  </si>
  <si>
    <t>Hazel Williams</t>
  </si>
  <si>
    <t>emmagray@example.net</t>
  </si>
  <si>
    <t>ACT-02302</t>
  </si>
  <si>
    <t>N93 6ZS</t>
  </si>
  <si>
    <t>ACC-11650</t>
  </si>
  <si>
    <t>ACT-02303</t>
  </si>
  <si>
    <t>CUST-51650</t>
  </si>
  <si>
    <t>Aimee Phillips</t>
  </si>
  <si>
    <t>ACT-02304</t>
  </si>
  <si>
    <t>greenmargaret@example.com</t>
  </si>
  <si>
    <t>S17 1EX</t>
  </si>
  <si>
    <t>ACT-02305</t>
  </si>
  <si>
    <t>ACC-11651</t>
  </si>
  <si>
    <t>CUST-51651</t>
  </si>
  <si>
    <t>Dr Irene Jones</t>
  </si>
  <si>
    <t>ACT-02306</t>
  </si>
  <si>
    <t>pbirch@example.org</t>
  </si>
  <si>
    <t>SP6P 9ER</t>
  </si>
  <si>
    <t>ACT-02307</t>
  </si>
  <si>
    <t>ACC-11652</t>
  </si>
  <si>
    <t>CUST-51652</t>
  </si>
  <si>
    <t>ACT-02308</t>
  </si>
  <si>
    <t>Hayley Preston</t>
  </si>
  <si>
    <t>ACT-02309</t>
  </si>
  <si>
    <t>alexandraglover@example.org</t>
  </si>
  <si>
    <t>S4 7AP</t>
  </si>
  <si>
    <t>ACT-02310</t>
  </si>
  <si>
    <t>ACC-11653</t>
  </si>
  <si>
    <t>CUST-51653</t>
  </si>
  <si>
    <t>Wayne Clarke</t>
  </si>
  <si>
    <t>ACT-02311</t>
  </si>
  <si>
    <t>ACT-02312</t>
  </si>
  <si>
    <t>dominic08@example.org</t>
  </si>
  <si>
    <t>TS6 3XZ</t>
  </si>
  <si>
    <t>ACT-02313</t>
  </si>
  <si>
    <t>ACC-11654</t>
  </si>
  <si>
    <t>CUST-51654</t>
  </si>
  <si>
    <t>Dr Dylan Moss</t>
  </si>
  <si>
    <t>ACT-02314</t>
  </si>
  <si>
    <t>BS4Y 7LE</t>
  </si>
  <si>
    <t>ACT-02315</t>
  </si>
  <si>
    <t>ACC-11655</t>
  </si>
  <si>
    <t>ACT-02316</t>
  </si>
  <si>
    <t>CUST-51655</t>
  </si>
  <si>
    <t>Lindsey Ross</t>
  </si>
  <si>
    <t>xdavis@example.com</t>
  </si>
  <si>
    <t>WV1Y 2TF</t>
  </si>
  <si>
    <t>ACT-02317</t>
  </si>
  <si>
    <t>ACC-11656</t>
  </si>
  <si>
    <t>CUST-51656</t>
  </si>
  <si>
    <t>Denise Jordan-Dawson</t>
  </si>
  <si>
    <t>ACT-02318</t>
  </si>
  <si>
    <t>benbaker@example.net</t>
  </si>
  <si>
    <t>RG7M 6BG</t>
  </si>
  <si>
    <t>ACC-11657</t>
  </si>
  <si>
    <t>CUST-51657</t>
  </si>
  <si>
    <t>ACT-02319</t>
  </si>
  <si>
    <t>Dylan O'Donnell</t>
  </si>
  <si>
    <t>hmorris@example.org</t>
  </si>
  <si>
    <t>TQ7 3JS</t>
  </si>
  <si>
    <t>ACT-02320</t>
  </si>
  <si>
    <t>ACC-11658</t>
  </si>
  <si>
    <t>CUST-51658</t>
  </si>
  <si>
    <t>Stephanie Hodgson</t>
  </si>
  <si>
    <t>nicolelyons@example.com</t>
  </si>
  <si>
    <t>ACT-02321</t>
  </si>
  <si>
    <t>L0 7JN</t>
  </si>
  <si>
    <t>ACC-11659</t>
  </si>
  <si>
    <t>CUST-51659</t>
  </si>
  <si>
    <t>Emily Roberts</t>
  </si>
  <si>
    <t>ACT-02322</t>
  </si>
  <si>
    <t>WR52 3NL</t>
  </si>
  <si>
    <t>ACT-02323</t>
  </si>
  <si>
    <t>ACC-11660</t>
  </si>
  <si>
    <t>CUST-51660</t>
  </si>
  <si>
    <t>Holly Gibbs</t>
  </si>
  <si>
    <t>mreynolds@example.com</t>
  </si>
  <si>
    <t>ACT-02324</t>
  </si>
  <si>
    <t>SK1Y 8PT</t>
  </si>
  <si>
    <t>ACC-11661</t>
  </si>
  <si>
    <t>CUST-51661</t>
  </si>
  <si>
    <t>Sheila Wilkinson</t>
  </si>
  <si>
    <t>ACT-02325</t>
  </si>
  <si>
    <t>scottmarian@example.org</t>
  </si>
  <si>
    <t>L15 3HH</t>
  </si>
  <si>
    <t>ACC-11662</t>
  </si>
  <si>
    <t>ACT-02326</t>
  </si>
  <si>
    <t>CUST-51662</t>
  </si>
  <si>
    <t>Mrs Hilary Leonard</t>
  </si>
  <si>
    <t>chenderson@example.net</t>
  </si>
  <si>
    <t>S57 1XY</t>
  </si>
  <si>
    <t>ACT-02327</t>
  </si>
  <si>
    <t>ACC-11663</t>
  </si>
  <si>
    <t>CUST-51663</t>
  </si>
  <si>
    <t>Mr Duncan Evans</t>
  </si>
  <si>
    <t>jackrees@example.net</t>
  </si>
  <si>
    <t>ACT-02328</t>
  </si>
  <si>
    <t>N3 7RH</t>
  </si>
  <si>
    <t>ACC-11664</t>
  </si>
  <si>
    <t>CUST-51664</t>
  </si>
  <si>
    <t>Vanessa Dixon</t>
  </si>
  <si>
    <t>ACT-02329</t>
  </si>
  <si>
    <t>ashleigh38@example.net</t>
  </si>
  <si>
    <t>DD68 9NS</t>
  </si>
  <si>
    <t>ACC-11665</t>
  </si>
  <si>
    <t>CUST-51665</t>
  </si>
  <si>
    <t>Dr Irene Richards</t>
  </si>
  <si>
    <t>ACT-02330</t>
  </si>
  <si>
    <t>jacobfowler@example.org</t>
  </si>
  <si>
    <t>M2H 8DA</t>
  </si>
  <si>
    <t>ACT-02331</t>
  </si>
  <si>
    <t>ACC-11666</t>
  </si>
  <si>
    <t>CUST-51666</t>
  </si>
  <si>
    <t>Rachael Gill</t>
  </si>
  <si>
    <t>ACT-02332</t>
  </si>
  <si>
    <t>L5 2TQ</t>
  </si>
  <si>
    <t>ACC-11667</t>
  </si>
  <si>
    <t>CUST-51667</t>
  </si>
  <si>
    <t>Gregory Marsh</t>
  </si>
  <si>
    <t>ACT-02333</t>
  </si>
  <si>
    <t>S4G 9ZJ</t>
  </si>
  <si>
    <t>ACC-11668</t>
  </si>
  <si>
    <t>CUST-51668</t>
  </si>
  <si>
    <t>Gavin Jackson</t>
  </si>
  <si>
    <t>fowlerrobert@example.com</t>
  </si>
  <si>
    <t>ACT-02334</t>
  </si>
  <si>
    <t>S81 5ZU</t>
  </si>
  <si>
    <t>ACC-11669</t>
  </si>
  <si>
    <t>CUST-51669</t>
  </si>
  <si>
    <t>Gemma French</t>
  </si>
  <si>
    <t>ACT-02335</t>
  </si>
  <si>
    <t>schofieldkarl@example.org</t>
  </si>
  <si>
    <t>SA8M 6FD</t>
  </si>
  <si>
    <t>ACC-11670</t>
  </si>
  <si>
    <t>CUST-51670</t>
  </si>
  <si>
    <t>Dr Amelia Rose</t>
  </si>
  <si>
    <t>ACT-02336</t>
  </si>
  <si>
    <t>fisherdenise@example.com</t>
  </si>
  <si>
    <t>L0U 0AF</t>
  </si>
  <si>
    <t>ACC-11671</t>
  </si>
  <si>
    <t>ACT-02337</t>
  </si>
  <si>
    <t>CUST-51671</t>
  </si>
  <si>
    <t>Marcus Hardy</t>
  </si>
  <si>
    <t>tdavies@example.org</t>
  </si>
  <si>
    <t>B5B 4FR</t>
  </si>
  <si>
    <t>ACT-02338</t>
  </si>
  <si>
    <t>ACC-11672</t>
  </si>
  <si>
    <t>CUST-51672</t>
  </si>
  <si>
    <t>Leah Smith</t>
  </si>
  <si>
    <t>ACT-02339</t>
  </si>
  <si>
    <t>owencharlene@example.com</t>
  </si>
  <si>
    <t>CR6 5SP</t>
  </si>
  <si>
    <t>ACC-11673</t>
  </si>
  <si>
    <t>CUST-51673</t>
  </si>
  <si>
    <t>Mrs Natalie Wood</t>
  </si>
  <si>
    <t>kbryant@example.org</t>
  </si>
  <si>
    <t>HP3 8ES</t>
  </si>
  <si>
    <t>ACT-02340</t>
  </si>
  <si>
    <t>ACC-11674</t>
  </si>
  <si>
    <t>CUST-51674</t>
  </si>
  <si>
    <t>Carolyn Jones</t>
  </si>
  <si>
    <t>ACT-02341</t>
  </si>
  <si>
    <t>bradleyfarrell@example.org</t>
  </si>
  <si>
    <t>N5T 2AJ</t>
  </si>
  <si>
    <t>ACC-11675</t>
  </si>
  <si>
    <t>ACT-02342</t>
  </si>
  <si>
    <t>CUST-51675</t>
  </si>
  <si>
    <t>Matthew Davison-Francis</t>
  </si>
  <si>
    <t>birdalexander@example.org</t>
  </si>
  <si>
    <t>E1D 3ZZ</t>
  </si>
  <si>
    <t>ACT-02343</t>
  </si>
  <si>
    <t>ACC-11676</t>
  </si>
  <si>
    <t>CUST-51676</t>
  </si>
  <si>
    <t>Leslie Norris</t>
  </si>
  <si>
    <t>guy36@example.net</t>
  </si>
  <si>
    <t>N67 3NZ</t>
  </si>
  <si>
    <t>ACT-02344</t>
  </si>
  <si>
    <t>ACC-11677</t>
  </si>
  <si>
    <t>CUST-51677</t>
  </si>
  <si>
    <t>Miss Katie Pearson</t>
  </si>
  <si>
    <t>gavinhiggins@example.net</t>
  </si>
  <si>
    <t>HP2 7LF</t>
  </si>
  <si>
    <t>ACC-11678</t>
  </si>
  <si>
    <t>CUST-51678</t>
  </si>
  <si>
    <t>Dr Georgia Baker</t>
  </si>
  <si>
    <t>ACT-02345</t>
  </si>
  <si>
    <t>williamsjune@example.com</t>
  </si>
  <si>
    <t>G15 5HL</t>
  </si>
  <si>
    <t>ACT-02346</t>
  </si>
  <si>
    <t>ACC-11679</t>
  </si>
  <si>
    <t>CUST-51679</t>
  </si>
  <si>
    <t>Mr Timothy Vincent</t>
  </si>
  <si>
    <t>ACT-02347</t>
  </si>
  <si>
    <t>ACT-02348</t>
  </si>
  <si>
    <t>josephine29@example.net</t>
  </si>
  <si>
    <t>B0 7AA</t>
  </si>
  <si>
    <t>ACT-02349</t>
  </si>
  <si>
    <t>ACC-11680</t>
  </si>
  <si>
    <t>CUST-51680</t>
  </si>
  <si>
    <t>Ms Josephine Walters</t>
  </si>
  <si>
    <t>ACT-02350</t>
  </si>
  <si>
    <t>ACT-02351</t>
  </si>
  <si>
    <t>pparker@example.org</t>
  </si>
  <si>
    <t>BT8N 0UF</t>
  </si>
  <si>
    <t>ACT-02352</t>
  </si>
  <si>
    <t>ACC-11681</t>
  </si>
  <si>
    <t>CUST-51681</t>
  </si>
  <si>
    <t>Ms Rosie Gould</t>
  </si>
  <si>
    <t>ACT-02353</t>
  </si>
  <si>
    <t>jason66@example.org</t>
  </si>
  <si>
    <t>E4U 6ZY</t>
  </si>
  <si>
    <t>ACT-02354</t>
  </si>
  <si>
    <t>ACC-11682</t>
  </si>
  <si>
    <t>CUST-51682</t>
  </si>
  <si>
    <t>Dr Melissa Hussain</t>
  </si>
  <si>
    <t>ACT-02355</t>
  </si>
  <si>
    <t>ashley97@example.net</t>
  </si>
  <si>
    <t>KW0B 3FA</t>
  </si>
  <si>
    <t>ACC-11683</t>
  </si>
  <si>
    <t>ACT-02356</t>
  </si>
  <si>
    <t>CUST-51683</t>
  </si>
  <si>
    <t>Kerry Evans</t>
  </si>
  <si>
    <t>ACT-02357</t>
  </si>
  <si>
    <t>lewis42@example.com</t>
  </si>
  <si>
    <t>N7W 7WS</t>
  </si>
  <si>
    <t>ACT-02358</t>
  </si>
  <si>
    <t>ACC-11684</t>
  </si>
  <si>
    <t>CUST-51684</t>
  </si>
  <si>
    <t>Mr James Smith</t>
  </si>
  <si>
    <t>ACT-02359</t>
  </si>
  <si>
    <t>eadams@example.net</t>
  </si>
  <si>
    <t>W5 6SJ</t>
  </si>
  <si>
    <t>ACC-11685</t>
  </si>
  <si>
    <t>ACT-02360</t>
  </si>
  <si>
    <t>CUST-51685</t>
  </si>
  <si>
    <t>Marcus Webster-Cooper</t>
  </si>
  <si>
    <t>gail85@example.net</t>
  </si>
  <si>
    <t>B5F 5HU</t>
  </si>
  <si>
    <t>ACT-02361</t>
  </si>
  <si>
    <t>ACC-11686</t>
  </si>
  <si>
    <t>CUST-51686</t>
  </si>
  <si>
    <t>Bradley Jones-Webster</t>
  </si>
  <si>
    <t>kate99@example.net</t>
  </si>
  <si>
    <t>GY8 8XA</t>
  </si>
  <si>
    <t>ACT-02362</t>
  </si>
  <si>
    <t>ACC-11687</t>
  </si>
  <si>
    <t>CUST-51687</t>
  </si>
  <si>
    <t>Amber Rogers</t>
  </si>
  <si>
    <t>ACT-02363</t>
  </si>
  <si>
    <t>connor54@example.com</t>
  </si>
  <si>
    <t>DL85 9QB</t>
  </si>
  <si>
    <t>ACC-11688</t>
  </si>
  <si>
    <t>CUST-51688</t>
  </si>
  <si>
    <t>Kimberley Humphries</t>
  </si>
  <si>
    <t>ACT-02364</t>
  </si>
  <si>
    <t>paigehicks@example.com</t>
  </si>
  <si>
    <t>WF6W 7YU</t>
  </si>
  <si>
    <t>ACC-11689</t>
  </si>
  <si>
    <t>CUST-51689</t>
  </si>
  <si>
    <t>ACT-02365</t>
  </si>
  <si>
    <t>Shannon Rice</t>
  </si>
  <si>
    <t>sarahpeters@example.com</t>
  </si>
  <si>
    <t>M2H 7YF</t>
  </si>
  <si>
    <t>ACT-02366</t>
  </si>
  <si>
    <t>ACC-11690</t>
  </si>
  <si>
    <t>CUST-51690</t>
  </si>
  <si>
    <t>Timothy Jones</t>
  </si>
  <si>
    <t>shirley75@example.com</t>
  </si>
  <si>
    <t>G6 6DB</t>
  </si>
  <si>
    <t>ACT-02367</t>
  </si>
  <si>
    <t>ACC-11691</t>
  </si>
  <si>
    <t>CUST-51691</t>
  </si>
  <si>
    <t>Mohammed Yates-Mills</t>
  </si>
  <si>
    <t>guycook@example.net</t>
  </si>
  <si>
    <t>WA05 8DB</t>
  </si>
  <si>
    <t>ACC-11692</t>
  </si>
  <si>
    <t>CUST-51692</t>
  </si>
  <si>
    <t>Carl Carter</t>
  </si>
  <si>
    <t>ACT-02368</t>
  </si>
  <si>
    <t>phillipsnicholas@example.org</t>
  </si>
  <si>
    <t>RH44 4ZW</t>
  </si>
  <si>
    <t>ACC-11693</t>
  </si>
  <si>
    <t>CUST-51693</t>
  </si>
  <si>
    <t>Hugh Griffiths-Tomlinson</t>
  </si>
  <si>
    <t>ACT-02369</t>
  </si>
  <si>
    <t>allan94@example.org</t>
  </si>
  <si>
    <t>M7B 2JE</t>
  </si>
  <si>
    <t>ACT-02370</t>
  </si>
  <si>
    <t>ACC-11694</t>
  </si>
  <si>
    <t>CUST-51694</t>
  </si>
  <si>
    <t>Ms Leah Allen</t>
  </si>
  <si>
    <t>gerald93@example.net</t>
  </si>
  <si>
    <t>ACT-02371</t>
  </si>
  <si>
    <t>W7K 5DH</t>
  </si>
  <si>
    <t>ACC-11695</t>
  </si>
  <si>
    <t>CUST-51695</t>
  </si>
  <si>
    <t>Anna Scott</t>
  </si>
  <si>
    <t>ACT-02372</t>
  </si>
  <si>
    <t>jonesalexander@example.com</t>
  </si>
  <si>
    <t>N9 3LJ</t>
  </si>
  <si>
    <t>ACC-11696</t>
  </si>
  <si>
    <t>CUST-51696</t>
  </si>
  <si>
    <t>Leigh Rahman</t>
  </si>
  <si>
    <t>ACT-02373</t>
  </si>
  <si>
    <t>fordjohn@example.com</t>
  </si>
  <si>
    <t>G2K 2XR</t>
  </si>
  <si>
    <t>ACT-02374</t>
  </si>
  <si>
    <t>ACC-11697</t>
  </si>
  <si>
    <t>CUST-51697</t>
  </si>
  <si>
    <t>ACT-02375</t>
  </si>
  <si>
    <t>Denis Williams</t>
  </si>
  <si>
    <t>ACT-02376</t>
  </si>
  <si>
    <t>walkerjonathan@example.org</t>
  </si>
  <si>
    <t>SA7 8SW</t>
  </si>
  <si>
    <t>ACT-02377</t>
  </si>
  <si>
    <t>ACC-11698</t>
  </si>
  <si>
    <t>CUST-51698</t>
  </si>
  <si>
    <t>Jasmine Mason</t>
  </si>
  <si>
    <t>ACT-02378</t>
  </si>
  <si>
    <t>jasonmann@example.org</t>
  </si>
  <si>
    <t>CM92 3TR</t>
  </si>
  <si>
    <t>ACT-02379</t>
  </si>
  <si>
    <t>ACC-11699</t>
  </si>
  <si>
    <t>CUST-51699</t>
  </si>
  <si>
    <t>ACT-02380</t>
  </si>
  <si>
    <t>Vincent Oliver</t>
  </si>
  <si>
    <t>ACT-02381</t>
  </si>
  <si>
    <t>patelbarry@example.org</t>
  </si>
  <si>
    <t>SP3H 4SH</t>
  </si>
  <si>
    <t>ACC-11700</t>
  </si>
  <si>
    <t>ACT-02382</t>
  </si>
  <si>
    <t>CUST-51700</t>
  </si>
  <si>
    <t>Jane Pugh</t>
  </si>
  <si>
    <t>ACT-02383</t>
  </si>
  <si>
    <t>N6 0TU</t>
  </si>
  <si>
    <t>ACC-11701</t>
  </si>
  <si>
    <t>CUST-51701</t>
  </si>
  <si>
    <t>Bethany Cox</t>
  </si>
  <si>
    <t>ACT-02384</t>
  </si>
  <si>
    <t>ldavis@example.org</t>
  </si>
  <si>
    <t>B0 8LU</t>
  </si>
  <si>
    <t>ACC-11702</t>
  </si>
  <si>
    <t>ACT-02385</t>
  </si>
  <si>
    <t>CUST-51702</t>
  </si>
  <si>
    <t>Frank Thompson</t>
  </si>
  <si>
    <t>mauricewilliams@example.org</t>
  </si>
  <si>
    <t>ACT-02386</t>
  </si>
  <si>
    <t>SP0R 8XF</t>
  </si>
  <si>
    <t>ACC-11703</t>
  </si>
  <si>
    <t>CUST-51703</t>
  </si>
  <si>
    <t>Patrick Jones</t>
  </si>
  <si>
    <t>ACT-02387</t>
  </si>
  <si>
    <t>jarvisbarry@example.org</t>
  </si>
  <si>
    <t>M8H 3NF</t>
  </si>
  <si>
    <t>ACC-11704</t>
  </si>
  <si>
    <t>CUST-51704</t>
  </si>
  <si>
    <t>ACT-02388</t>
  </si>
  <si>
    <t>Dr Natalie Scott</t>
  </si>
  <si>
    <t>elizabeth73@example.net</t>
  </si>
  <si>
    <t>LL0W 8YH</t>
  </si>
  <si>
    <t>ACT-02389</t>
  </si>
  <si>
    <t>ACC-11705</t>
  </si>
  <si>
    <t>CUST-51705</t>
  </si>
  <si>
    <t>Mr Ashley Edwards</t>
  </si>
  <si>
    <t>ACT-02390</t>
  </si>
  <si>
    <t>rfraser@example.com</t>
  </si>
  <si>
    <t>ME40 4EZ</t>
  </si>
  <si>
    <t>ACC-11706</t>
  </si>
  <si>
    <t>CUST-51706</t>
  </si>
  <si>
    <t>Lydia Harris</t>
  </si>
  <si>
    <t>ACT-02391</t>
  </si>
  <si>
    <t>anndavison@example.net</t>
  </si>
  <si>
    <t>SR90 8HA</t>
  </si>
  <si>
    <t>ACT-02392</t>
  </si>
  <si>
    <t>ACC-11707</t>
  </si>
  <si>
    <t>CUST-51707</t>
  </si>
  <si>
    <t>Diane Fletcher</t>
  </si>
  <si>
    <t>ACT-02393</t>
  </si>
  <si>
    <t>dannybrown@example.com</t>
  </si>
  <si>
    <t>G7C 9GG</t>
  </si>
  <si>
    <t>ACC-11708</t>
  </si>
  <si>
    <t>CUST-51708</t>
  </si>
  <si>
    <t>Janet Marsden-Bennett</t>
  </si>
  <si>
    <t>ACT-02394</t>
  </si>
  <si>
    <t>uharvey@example.net</t>
  </si>
  <si>
    <t>LN2 8JF</t>
  </si>
  <si>
    <t>ACT-02395</t>
  </si>
  <si>
    <t>ACC-11709</t>
  </si>
  <si>
    <t>CUST-51709</t>
  </si>
  <si>
    <t>Maureen Gray</t>
  </si>
  <si>
    <t>paul20@example.com</t>
  </si>
  <si>
    <t>N2W 3FZ</t>
  </si>
  <si>
    <t>ACT-02396</t>
  </si>
  <si>
    <t>ACC-11710</t>
  </si>
  <si>
    <t>CUST-51710</t>
  </si>
  <si>
    <t>Dr Gary Hamilton</t>
  </si>
  <si>
    <t>geraldine21@example.net</t>
  </si>
  <si>
    <t>CH1V 5FH</t>
  </si>
  <si>
    <t>ACC-11711</t>
  </si>
  <si>
    <t>ACT-02397</t>
  </si>
  <si>
    <t>CUST-51711</t>
  </si>
  <si>
    <t>Samantha Lewis</t>
  </si>
  <si>
    <t>ACT-02398</t>
  </si>
  <si>
    <t>CW4 5UT</t>
  </si>
  <si>
    <t>ACC-11712</t>
  </si>
  <si>
    <t>CUST-51712</t>
  </si>
  <si>
    <t>David Smith</t>
  </si>
  <si>
    <t>ACT-02399</t>
  </si>
  <si>
    <t>alexclarke@example.net</t>
  </si>
  <si>
    <t>CV6 3LR</t>
  </si>
  <si>
    <t>ACT-02400</t>
  </si>
  <si>
    <t>ACC-11713</t>
  </si>
  <si>
    <t>CUST-51713</t>
  </si>
  <si>
    <t>Damien Barrett</t>
  </si>
  <si>
    <t>louise35@example.net</t>
  </si>
  <si>
    <t>ACT-02401</t>
  </si>
  <si>
    <t>B5 1GN</t>
  </si>
  <si>
    <t>ACC-11714</t>
  </si>
  <si>
    <t>CUST-51714</t>
  </si>
  <si>
    <t>Dr Peter Turner</t>
  </si>
  <si>
    <t>ACT-02402</t>
  </si>
  <si>
    <t>william49@example.org</t>
  </si>
  <si>
    <t>PA05 0NS</t>
  </si>
  <si>
    <t>ACT-02403</t>
  </si>
  <si>
    <t>ACC-11715</t>
  </si>
  <si>
    <t>CUST-51715</t>
  </si>
  <si>
    <t>Bernard Robinson-Williams</t>
  </si>
  <si>
    <t>brownliam@example.org</t>
  </si>
  <si>
    <t>ACT-02404</t>
  </si>
  <si>
    <t>M4 5LD</t>
  </si>
  <si>
    <t>ACC-11716</t>
  </si>
  <si>
    <t>CUST-51716</t>
  </si>
  <si>
    <t>Beverley Forster</t>
  </si>
  <si>
    <t>ACT-02405</t>
  </si>
  <si>
    <t>sharon25@example.org</t>
  </si>
  <si>
    <t>ML2 1EE</t>
  </si>
  <si>
    <t>ACT-02406</t>
  </si>
  <si>
    <t>ACC-11717</t>
  </si>
  <si>
    <t>CUST-51717</t>
  </si>
  <si>
    <t>Caroline Collier-Knowles</t>
  </si>
  <si>
    <t>victoriakelly@example.com</t>
  </si>
  <si>
    <t>ACT-02407</t>
  </si>
  <si>
    <t>NR59 1XW</t>
  </si>
  <si>
    <t>ACC-11718</t>
  </si>
  <si>
    <t>CUST-51718</t>
  </si>
  <si>
    <t>Joyce Smith-Stone</t>
  </si>
  <si>
    <t>ACT-02408</t>
  </si>
  <si>
    <t>KA60 0BQ</t>
  </si>
  <si>
    <t>ACT-02409</t>
  </si>
  <si>
    <t>ACC-11719</t>
  </si>
  <si>
    <t>CUST-51719</t>
  </si>
  <si>
    <t>Frank Singh</t>
  </si>
  <si>
    <t>ACT-02410</t>
  </si>
  <si>
    <t>kdavey@example.org</t>
  </si>
  <si>
    <t>IP2 7HY</t>
  </si>
  <si>
    <t>ACT-02411</t>
  </si>
  <si>
    <t>ACC-11720</t>
  </si>
  <si>
    <t>CUST-51720</t>
  </si>
  <si>
    <t>Dr Allan Day</t>
  </si>
  <si>
    <t>ACT-02412</t>
  </si>
  <si>
    <t>E3 4RJ</t>
  </si>
  <si>
    <t>ACT-02413</t>
  </si>
  <si>
    <t>ACC-11721</t>
  </si>
  <si>
    <t>CUST-51721</t>
  </si>
  <si>
    <t>Terence Elliott</t>
  </si>
  <si>
    <t>raymondkirby@example.net</t>
  </si>
  <si>
    <t>ACT-02414</t>
  </si>
  <si>
    <t>M1K 3RL</t>
  </si>
  <si>
    <t>ACC-11722</t>
  </si>
  <si>
    <t>CUST-51722</t>
  </si>
  <si>
    <t>Mrs Jean Smith</t>
  </si>
  <si>
    <t>ACT-02415</t>
  </si>
  <si>
    <t>S9 5AT</t>
  </si>
  <si>
    <t>ACC-11723</t>
  </si>
  <si>
    <t>CUST-51723</t>
  </si>
  <si>
    <t>ACT-02416</t>
  </si>
  <si>
    <t>Dr Melissa Jones</t>
  </si>
  <si>
    <t>elewis@example.org</t>
  </si>
  <si>
    <t>HR0V 4WB</t>
  </si>
  <si>
    <t>ACT-02417</t>
  </si>
  <si>
    <t>ACC-11724</t>
  </si>
  <si>
    <t>CUST-51724</t>
  </si>
  <si>
    <t>Miss Susan Hart</t>
  </si>
  <si>
    <t>ACT-02418</t>
  </si>
  <si>
    <t>turnerchristian@example.net</t>
  </si>
  <si>
    <t>IG21 6FL</t>
  </si>
  <si>
    <t>ACC-11725</t>
  </si>
  <si>
    <t>CUST-51725</t>
  </si>
  <si>
    <t>ACT-02419</t>
  </si>
  <si>
    <t>Jade Browne</t>
  </si>
  <si>
    <t>neilheath@example.net</t>
  </si>
  <si>
    <t>E9J 8SQ</t>
  </si>
  <si>
    <t>ACC-11726</t>
  </si>
  <si>
    <t>CUST-51726</t>
  </si>
  <si>
    <t>Mr Benjamin Whitehouse</t>
  </si>
  <si>
    <t>ACT-02420</t>
  </si>
  <si>
    <t>martinsian@example.net</t>
  </si>
  <si>
    <t>L3 1LX</t>
  </si>
  <si>
    <t>ACC-11727</t>
  </si>
  <si>
    <t>CUST-51727</t>
  </si>
  <si>
    <t>ACT-02421</t>
  </si>
  <si>
    <t>Samantha Webster-May</t>
  </si>
  <si>
    <t>fjohnson@example.net</t>
  </si>
  <si>
    <t>N2 7LE</t>
  </si>
  <si>
    <t>ACT-02422</t>
  </si>
  <si>
    <t>ACC-11728</t>
  </si>
  <si>
    <t>CUST-51728</t>
  </si>
  <si>
    <t>Lorraine Shah</t>
  </si>
  <si>
    <t>ACT-02423</t>
  </si>
  <si>
    <t>sarah86@example.org</t>
  </si>
  <si>
    <t>ACT-02424</t>
  </si>
  <si>
    <t>BT11 6HW</t>
  </si>
  <si>
    <t>ACC-11729</t>
  </si>
  <si>
    <t>CUST-51729</t>
  </si>
  <si>
    <t>Sharon Williams-Ahmed</t>
  </si>
  <si>
    <t>ACT-02425</t>
  </si>
  <si>
    <t>djackson@example.net</t>
  </si>
  <si>
    <t>G07 5TJ</t>
  </si>
  <si>
    <t>ACC-11730</t>
  </si>
  <si>
    <t>CUST-51730</t>
  </si>
  <si>
    <t>ACT-02426</t>
  </si>
  <si>
    <t>Jemma Page</t>
  </si>
  <si>
    <t>ACT-02427</t>
  </si>
  <si>
    <t>laura73@example.com</t>
  </si>
  <si>
    <t>WV82 7YE</t>
  </si>
  <si>
    <t>ACC-11731</t>
  </si>
  <si>
    <t>ACT-02428</t>
  </si>
  <si>
    <t>CUST-51731</t>
  </si>
  <si>
    <t>Ruth Phillips</t>
  </si>
  <si>
    <t>clairedavies@example.net</t>
  </si>
  <si>
    <t>L4 7RW</t>
  </si>
  <si>
    <t>ACC-11732</t>
  </si>
  <si>
    <t>ACT-02429</t>
  </si>
  <si>
    <t>CUST-51732</t>
  </si>
  <si>
    <t>Gemma Kay</t>
  </si>
  <si>
    <t>lking@example.com</t>
  </si>
  <si>
    <t>B89 9ES</t>
  </si>
  <si>
    <t>ACT-02430</t>
  </si>
  <si>
    <t>ACC-11733</t>
  </si>
  <si>
    <t>CUST-51733</t>
  </si>
  <si>
    <t>Jennifer Barnes-Lloyd</t>
  </si>
  <si>
    <t>qmay@example.net</t>
  </si>
  <si>
    <t>ACT-02431</t>
  </si>
  <si>
    <t>E0H 2AL</t>
  </si>
  <si>
    <t>ACC-11734</t>
  </si>
  <si>
    <t>CUST-51734</t>
  </si>
  <si>
    <t>Ricky Chapman</t>
  </si>
  <si>
    <t>ACT-02432</t>
  </si>
  <si>
    <t>jayne21@example.org</t>
  </si>
  <si>
    <t>B47 4QF</t>
  </si>
  <si>
    <t>ACC-11735</t>
  </si>
  <si>
    <t>CUST-51735</t>
  </si>
  <si>
    <t>Danny Bailey</t>
  </si>
  <si>
    <t>ACT-02433</t>
  </si>
  <si>
    <t>fionarose@example.com</t>
  </si>
  <si>
    <t>L0 6BA</t>
  </si>
  <si>
    <t>ACC-11736</t>
  </si>
  <si>
    <t>CUST-51736</t>
  </si>
  <si>
    <t>Mrs Lesley Vaughan</t>
  </si>
  <si>
    <t>nelsonscott@example.com</t>
  </si>
  <si>
    <t>ACT-02434</t>
  </si>
  <si>
    <t>ZE59 0GD</t>
  </si>
  <si>
    <t>ACC-11737</t>
  </si>
  <si>
    <t>CUST-51737</t>
  </si>
  <si>
    <t>Leah Bryant</t>
  </si>
  <si>
    <t>hannahadams@example.com</t>
  </si>
  <si>
    <t>ACT-02435</t>
  </si>
  <si>
    <t>GY9A 4HU</t>
  </si>
  <si>
    <t>ACC-11738</t>
  </si>
  <si>
    <t>CUST-51738</t>
  </si>
  <si>
    <t>Luke Roberts</t>
  </si>
  <si>
    <t>kylesmith@example.org</t>
  </si>
  <si>
    <t>ACT-02436</t>
  </si>
  <si>
    <t>TR1M 5LN</t>
  </si>
  <si>
    <t>ACC-11739</t>
  </si>
  <si>
    <t>CUST-51739</t>
  </si>
  <si>
    <t>Eric Storey</t>
  </si>
  <si>
    <t>ACT-02437</t>
  </si>
  <si>
    <t>clive64@example.com</t>
  </si>
  <si>
    <t>DH35 9UY</t>
  </si>
  <si>
    <t>ACC-11740</t>
  </si>
  <si>
    <t>CUST-51740</t>
  </si>
  <si>
    <t>Sylvia Little-Bull</t>
  </si>
  <si>
    <t>ACT-02438</t>
  </si>
  <si>
    <t>robertsonmartin@example.org</t>
  </si>
  <si>
    <t>LS2 7BZ</t>
  </si>
  <si>
    <t>ACT-02439</t>
  </si>
  <si>
    <t>ACC-11741</t>
  </si>
  <si>
    <t>CUST-51741</t>
  </si>
  <si>
    <t>Ms Debra Patel</t>
  </si>
  <si>
    <t>edwardscharlene@example.com</t>
  </si>
  <si>
    <t>B3 3JG</t>
  </si>
  <si>
    <t>ACT-02440</t>
  </si>
  <si>
    <t>ACC-11742</t>
  </si>
  <si>
    <t>CUST-51742</t>
  </si>
  <si>
    <t>Mrs Sandra Baker</t>
  </si>
  <si>
    <t>xallen@example.com</t>
  </si>
  <si>
    <t>DD43 8LX</t>
  </si>
  <si>
    <t>ACC-11743</t>
  </si>
  <si>
    <t>ACT-02441</t>
  </si>
  <si>
    <t>CUST-51743</t>
  </si>
  <si>
    <t>Neil Akhtar</t>
  </si>
  <si>
    <t>wooddylan@example.org</t>
  </si>
  <si>
    <t>W1 2TZ</t>
  </si>
  <si>
    <t>ACC-11744</t>
  </si>
  <si>
    <t>CUST-51744</t>
  </si>
  <si>
    <t>Paul Sheppard</t>
  </si>
  <si>
    <t>ian17@example.com</t>
  </si>
  <si>
    <t>ACT-02442</t>
  </si>
  <si>
    <t>CM63 4XA</t>
  </si>
  <si>
    <t>ACC-11745</t>
  </si>
  <si>
    <t>CUST-51745</t>
  </si>
  <si>
    <t>Paul Smith-Hawkins</t>
  </si>
  <si>
    <t>jacksonkatherine@example.org</t>
  </si>
  <si>
    <t>SW8P 5WG</t>
  </si>
  <si>
    <t>ACC-11746</t>
  </si>
  <si>
    <t>ACT-02443</t>
  </si>
  <si>
    <t>CUST-51746</t>
  </si>
  <si>
    <t>Kenneth Woods</t>
  </si>
  <si>
    <t>simpsonlawrence@example.net</t>
  </si>
  <si>
    <t>CM6 8RL</t>
  </si>
  <si>
    <t>ACC-11747</t>
  </si>
  <si>
    <t>CUST-51747</t>
  </si>
  <si>
    <t>Damien Ryan</t>
  </si>
  <si>
    <t>CV9 7HW</t>
  </si>
  <si>
    <t>ACT-02444</t>
  </si>
  <si>
    <t>ACC-11748</t>
  </si>
  <si>
    <t>CUST-51748</t>
  </si>
  <si>
    <t>Shaun Newton</t>
  </si>
  <si>
    <t>lydia93@example.net</t>
  </si>
  <si>
    <t>TD90 3YP</t>
  </si>
  <si>
    <t>ACC-11749</t>
  </si>
  <si>
    <t>CUST-51749</t>
  </si>
  <si>
    <t>Amelia Newton</t>
  </si>
  <si>
    <t>leonard68@example.com</t>
  </si>
  <si>
    <t>ACT-02445</t>
  </si>
  <si>
    <t>E30 1JA</t>
  </si>
  <si>
    <t>ACC-11750</t>
  </si>
  <si>
    <t>CUST-51750</t>
  </si>
  <si>
    <t>Dr Laura Brown</t>
  </si>
  <si>
    <t>robinsonharriet@example.net</t>
  </si>
  <si>
    <t>CH5 8YZ</t>
  </si>
  <si>
    <t>ACC-11751</t>
  </si>
  <si>
    <t>ACT-02446</t>
  </si>
  <si>
    <t>CUST-51751</t>
  </si>
  <si>
    <t>Dr Mohammad Simpson</t>
  </si>
  <si>
    <t>kchambers@example.net</t>
  </si>
  <si>
    <t>M26 1TP</t>
  </si>
  <si>
    <t>ACC-11752</t>
  </si>
  <si>
    <t>CUST-51752</t>
  </si>
  <si>
    <t>Abbie Dunn</t>
  </si>
  <si>
    <t>ACT-02447</t>
  </si>
  <si>
    <t>cbryant@example.com</t>
  </si>
  <si>
    <t>KW2 9DP</t>
  </si>
  <si>
    <t>ACC-11753</t>
  </si>
  <si>
    <t>CUST-51753</t>
  </si>
  <si>
    <t>Miss Molly Osborne</t>
  </si>
  <si>
    <t>thomasmurray@example.net</t>
  </si>
  <si>
    <t>N3H 4EW</t>
  </si>
  <si>
    <t>ACT-02448</t>
  </si>
  <si>
    <t>ACC-11754</t>
  </si>
  <si>
    <t>CUST-51754</t>
  </si>
  <si>
    <t>Sheila Norman</t>
  </si>
  <si>
    <t>mmoss@example.org</t>
  </si>
  <si>
    <t>SL0 6LB</t>
  </si>
  <si>
    <t>ACT-02449</t>
  </si>
  <si>
    <t>ACC-11755</t>
  </si>
  <si>
    <t>CUST-51755</t>
  </si>
  <si>
    <t>Mr Robert Patel</t>
  </si>
  <si>
    <t>yvonne53@example.net</t>
  </si>
  <si>
    <t>HD4X 0UZ</t>
  </si>
  <si>
    <t>ACT-02450</t>
  </si>
  <si>
    <t>ACC-11756</t>
  </si>
  <si>
    <t>CUST-51756</t>
  </si>
  <si>
    <t>Gavin Price-Hussain</t>
  </si>
  <si>
    <t>ACT-02451</t>
  </si>
  <si>
    <t>rogersanne@example.com</t>
  </si>
  <si>
    <t>SS3 1HP</t>
  </si>
  <si>
    <t>ACC-11757</t>
  </si>
  <si>
    <t>CUST-51757</t>
  </si>
  <si>
    <t>Vanessa Hawkins</t>
  </si>
  <si>
    <t>ACT-02452</t>
  </si>
  <si>
    <t>hcarter@example.org</t>
  </si>
  <si>
    <t>GY0 3NX</t>
  </si>
  <si>
    <t>ACC-11758</t>
  </si>
  <si>
    <t>ACT-02453</t>
  </si>
  <si>
    <t>CUST-51758</t>
  </si>
  <si>
    <t>Mohammad Richards-West</t>
  </si>
  <si>
    <t>vrobinson@example.com</t>
  </si>
  <si>
    <t>TD86 0DU</t>
  </si>
  <si>
    <t>ACT-02454</t>
  </si>
  <si>
    <t>ACC-11759</t>
  </si>
  <si>
    <t>CUST-51759</t>
  </si>
  <si>
    <t>Kieran Ryan-Daly</t>
  </si>
  <si>
    <t>rachel76@example.org</t>
  </si>
  <si>
    <t>B0D 5WT</t>
  </si>
  <si>
    <t>ACT-02455</t>
  </si>
  <si>
    <t>ACC-11760</t>
  </si>
  <si>
    <t>CUST-51760</t>
  </si>
  <si>
    <t>Max Griffiths</t>
  </si>
  <si>
    <t>rosie36@example.org</t>
  </si>
  <si>
    <t>EX7 1ST</t>
  </si>
  <si>
    <t>ACC-11761</t>
  </si>
  <si>
    <t>CUST-51761</t>
  </si>
  <si>
    <t>ACT-02456</t>
  </si>
  <si>
    <t>Donald Ahmed</t>
  </si>
  <si>
    <t>smithmohamed@example.org</t>
  </si>
  <si>
    <t>S5W 3UU</t>
  </si>
  <si>
    <t>ACC-11762</t>
  </si>
  <si>
    <t>CUST-51762</t>
  </si>
  <si>
    <t>Kenneth Cook</t>
  </si>
  <si>
    <t>ACT-02457</t>
  </si>
  <si>
    <t>hayley64@example.org</t>
  </si>
  <si>
    <t>EN0 8EW</t>
  </si>
  <si>
    <t>ACC-11763</t>
  </si>
  <si>
    <t>CUST-51763</t>
  </si>
  <si>
    <t>Dr Brandon Glover</t>
  </si>
  <si>
    <t>ijennings@example.net</t>
  </si>
  <si>
    <t>B5U 2ED</t>
  </si>
  <si>
    <t>ACC-11764</t>
  </si>
  <si>
    <t>CUST-51764</t>
  </si>
  <si>
    <t>ACT-02458</t>
  </si>
  <si>
    <t>Francesca Bennett</t>
  </si>
  <si>
    <t>osborneroy@example.com</t>
  </si>
  <si>
    <t>G1G 9DN</t>
  </si>
  <si>
    <t>ACC-11765</t>
  </si>
  <si>
    <t>CUST-51765</t>
  </si>
  <si>
    <t>Abigail Green</t>
  </si>
  <si>
    <t>ACT-02459</t>
  </si>
  <si>
    <t>sarahpope@example.org</t>
  </si>
  <si>
    <t>L3A 9RJ</t>
  </si>
  <si>
    <t>ACC-11766</t>
  </si>
  <si>
    <t>CUST-51766</t>
  </si>
  <si>
    <t>Connor Barlow</t>
  </si>
  <si>
    <t>gregorybrown@example.com</t>
  </si>
  <si>
    <t>M9 6GD</t>
  </si>
  <si>
    <t>ACC-11767</t>
  </si>
  <si>
    <t>CUST-51767</t>
  </si>
  <si>
    <t>Malcolm Evans</t>
  </si>
  <si>
    <t>ACT-02460</t>
  </si>
  <si>
    <t>curtisian@example.net</t>
  </si>
  <si>
    <t>N4G 1LD</t>
  </si>
  <si>
    <t>ACC-11768</t>
  </si>
  <si>
    <t>CUST-51768</t>
  </si>
  <si>
    <t>Lauren French-Bevan</t>
  </si>
  <si>
    <t>ACT-02461</t>
  </si>
  <si>
    <t>sheilaholland@example.org</t>
  </si>
  <si>
    <t>RH1E 5YL</t>
  </si>
  <si>
    <t>ACC-11769</t>
  </si>
  <si>
    <t>CUST-51769</t>
  </si>
  <si>
    <t>Dr John Cox</t>
  </si>
  <si>
    <t>ACT-02462</t>
  </si>
  <si>
    <t>robinsonguy@example.org</t>
  </si>
  <si>
    <t>S0F 6QR</t>
  </si>
  <si>
    <t>ACC-11770</t>
  </si>
  <si>
    <t>CUST-51770</t>
  </si>
  <si>
    <t>Ms Molly Osborne</t>
  </si>
  <si>
    <t>helenscott@example.net</t>
  </si>
  <si>
    <t>ACT-02463</t>
  </si>
  <si>
    <t>IM9 0WW</t>
  </si>
  <si>
    <t>ACC-11771</t>
  </si>
  <si>
    <t>CUST-51771</t>
  </si>
  <si>
    <t>Suzanne Parker-Smith</t>
  </si>
  <si>
    <t>ACT-02464</t>
  </si>
  <si>
    <t>johnstone@example.com</t>
  </si>
  <si>
    <t>SP0 8TH</t>
  </si>
  <si>
    <t>ACC-11772</t>
  </si>
  <si>
    <t>CUST-51772</t>
  </si>
  <si>
    <t>Kirsty Davies</t>
  </si>
  <si>
    <t>ACT-02465</t>
  </si>
  <si>
    <t>liambrown@example.net</t>
  </si>
  <si>
    <t>DL2N 4YQ</t>
  </si>
  <si>
    <t>ACC-11773</t>
  </si>
  <si>
    <t>CUST-51773</t>
  </si>
  <si>
    <t>ACT-02466</t>
  </si>
  <si>
    <t>Katherine Foster-Short</t>
  </si>
  <si>
    <t>vsmith@example.org</t>
  </si>
  <si>
    <t>L6F 0RJ</t>
  </si>
  <si>
    <t>ACC-11774</t>
  </si>
  <si>
    <t>CUST-51774</t>
  </si>
  <si>
    <t>Allan Robinson</t>
  </si>
  <si>
    <t>ACT-02467</t>
  </si>
  <si>
    <t>bhill@example.net</t>
  </si>
  <si>
    <t>B9A 8HB</t>
  </si>
  <si>
    <t>ACC-11775</t>
  </si>
  <si>
    <t>CUST-51775</t>
  </si>
  <si>
    <t>Mr Gary Gordon</t>
  </si>
  <si>
    <t>ACT-02468</t>
  </si>
  <si>
    <t>lorrainewatson@example.net</t>
  </si>
  <si>
    <t>L5 1NH</t>
  </si>
  <si>
    <t>ACC-11776</t>
  </si>
  <si>
    <t>CUST-51776</t>
  </si>
  <si>
    <t>Lynda Doherty</t>
  </si>
  <si>
    <t>ACT-02469</t>
  </si>
  <si>
    <t>paige52@example.com</t>
  </si>
  <si>
    <t>LS34 2RL</t>
  </si>
  <si>
    <t>ACC-11777</t>
  </si>
  <si>
    <t>CUST-51777</t>
  </si>
  <si>
    <t>Anna Jones</t>
  </si>
  <si>
    <t>ACT-02470</t>
  </si>
  <si>
    <t>guy96@example.com</t>
  </si>
  <si>
    <t>YO8N 1YR</t>
  </si>
  <si>
    <t>ACC-11778</t>
  </si>
  <si>
    <t>CUST-51778</t>
  </si>
  <si>
    <t>ACT-02471</t>
  </si>
  <si>
    <t>Bruce Howell</t>
  </si>
  <si>
    <t>bethanoneill@example.org</t>
  </si>
  <si>
    <t>YO40 3DL</t>
  </si>
  <si>
    <t>ACC-11779</t>
  </si>
  <si>
    <t>CUST-51779</t>
  </si>
  <si>
    <t>Mrs Debra Wright</t>
  </si>
  <si>
    <t>ACT-02472</t>
  </si>
  <si>
    <t>smithclare@example.com</t>
  </si>
  <si>
    <t>W8 6QW</t>
  </si>
  <si>
    <t>ACT-02473</t>
  </si>
  <si>
    <t>ACC-11780</t>
  </si>
  <si>
    <t>CUST-51780</t>
  </si>
  <si>
    <t>Donna Townsend-Walker</t>
  </si>
  <si>
    <t>ACT-02474</t>
  </si>
  <si>
    <t>SP9H 5TH</t>
  </si>
  <si>
    <t>ACC-11781</t>
  </si>
  <si>
    <t>CUST-51781</t>
  </si>
  <si>
    <t>Lesley Ryan</t>
  </si>
  <si>
    <t>ACT-02475</t>
  </si>
  <si>
    <t>ikhan@example.com</t>
  </si>
  <si>
    <t>DH1 4TN</t>
  </si>
  <si>
    <t>ACC-11782</t>
  </si>
  <si>
    <t>CUST-51782</t>
  </si>
  <si>
    <t>ACT-02476</t>
  </si>
  <si>
    <t>Melissa Williams</t>
  </si>
  <si>
    <t>beth13@example.org</t>
  </si>
  <si>
    <t>HD1R 8GN</t>
  </si>
  <si>
    <t>ACT-02477</t>
  </si>
  <si>
    <t>ACC-11783</t>
  </si>
  <si>
    <t>CUST-51783</t>
  </si>
  <si>
    <t>Dr Raymond Read</t>
  </si>
  <si>
    <t>ACT-02478</t>
  </si>
  <si>
    <t>wrightmathew@example.net</t>
  </si>
  <si>
    <t>G12 6NX</t>
  </si>
  <si>
    <t>ACT-02479</t>
  </si>
  <si>
    <t>ACC-11784</t>
  </si>
  <si>
    <t>CUST-51784</t>
  </si>
  <si>
    <t>Miss Alice Morley</t>
  </si>
  <si>
    <t>ACT-02480</t>
  </si>
  <si>
    <t>hwatson@example.org</t>
  </si>
  <si>
    <t>ACT-02481</t>
  </si>
  <si>
    <t>S2 8DB</t>
  </si>
  <si>
    <t>ACC-11785</t>
  </si>
  <si>
    <t>CUST-51785</t>
  </si>
  <si>
    <t>Danielle Robertson-Taylor</t>
  </si>
  <si>
    <t>ACT-02482</t>
  </si>
  <si>
    <t>G0 7BU</t>
  </si>
  <si>
    <t>ACC-11786</t>
  </si>
  <si>
    <t>CUST-51786</t>
  </si>
  <si>
    <t>ACT-02483</t>
  </si>
  <si>
    <t>Brenda Hamilton</t>
  </si>
  <si>
    <t>katherine23@example.com</t>
  </si>
  <si>
    <t>BD4V 8PB</t>
  </si>
  <si>
    <t>ACT-02484</t>
  </si>
  <si>
    <t>ACC-11787</t>
  </si>
  <si>
    <t>CUST-51787</t>
  </si>
  <si>
    <t>Tracy Harvey</t>
  </si>
  <si>
    <t>ACT-02485</t>
  </si>
  <si>
    <t>nicolerussell@example.org</t>
  </si>
  <si>
    <t>L3 0ES</t>
  </si>
  <si>
    <t>ACC-11788</t>
  </si>
  <si>
    <t>CUST-51788</t>
  </si>
  <si>
    <t>Mr Nicholas Schofield</t>
  </si>
  <si>
    <t>ACT-02486</t>
  </si>
  <si>
    <t>scooke@example.com</t>
  </si>
  <si>
    <t>FY92 9YB</t>
  </si>
  <si>
    <t>ACT-02487</t>
  </si>
  <si>
    <t>ACC-11789</t>
  </si>
  <si>
    <t>CUST-51789</t>
  </si>
  <si>
    <t>Miss Louise Smith</t>
  </si>
  <si>
    <t>ACT-02488</t>
  </si>
  <si>
    <t>jacksonsian@example.com</t>
  </si>
  <si>
    <t>LS91 4UH</t>
  </si>
  <si>
    <t>ACC-11790</t>
  </si>
  <si>
    <t>CUST-51790</t>
  </si>
  <si>
    <t>Mrs Leah Lynch</t>
  </si>
  <si>
    <t>ACT-02489</t>
  </si>
  <si>
    <t>mgreen@example.com</t>
  </si>
  <si>
    <t>ACT-02490</t>
  </si>
  <si>
    <t>L5 5UT</t>
  </si>
  <si>
    <t>ACC-11791</t>
  </si>
  <si>
    <t>CUST-51791</t>
  </si>
  <si>
    <t>Beth Barnett</t>
  </si>
  <si>
    <t>ACT-02491</t>
  </si>
  <si>
    <t>jameskathryn@example.com</t>
  </si>
  <si>
    <t>E7 9UJ</t>
  </si>
  <si>
    <t>ACT-02492</t>
  </si>
  <si>
    <t>ACC-11792</t>
  </si>
  <si>
    <t>CUST-51792</t>
  </si>
  <si>
    <t>Dr Cheryl Hall</t>
  </si>
  <si>
    <t>william11@example.org</t>
  </si>
  <si>
    <t>M6 1EW</t>
  </si>
  <si>
    <t>ACT-02493</t>
  </si>
  <si>
    <t>ACC-11793</t>
  </si>
  <si>
    <t>CUST-51793</t>
  </si>
  <si>
    <t>Jacob Richardson</t>
  </si>
  <si>
    <t>jack01@example.org</t>
  </si>
  <si>
    <t>ACT-02494</t>
  </si>
  <si>
    <t>M49 4JR</t>
  </si>
  <si>
    <t>ACC-11794</t>
  </si>
  <si>
    <t>CUST-51794</t>
  </si>
  <si>
    <t>Luke Wood</t>
  </si>
  <si>
    <t>ACT-02495</t>
  </si>
  <si>
    <t>ufry@example.com</t>
  </si>
  <si>
    <t>L92 7LW</t>
  </si>
  <si>
    <t>ACT-02496</t>
  </si>
  <si>
    <t>ACC-11795</t>
  </si>
  <si>
    <t>CUST-51795</t>
  </si>
  <si>
    <t>Gerard Singh</t>
  </si>
  <si>
    <t>ACT-02497</t>
  </si>
  <si>
    <t>plewis@example.net</t>
  </si>
  <si>
    <t>DT9Y 4WX</t>
  </si>
  <si>
    <t>ACC-11796</t>
  </si>
  <si>
    <t>CUST-51796</t>
  </si>
  <si>
    <t>Dr Richard Taylor</t>
  </si>
  <si>
    <t>ACT-02498</t>
  </si>
  <si>
    <t>abdul04@example.org</t>
  </si>
  <si>
    <t>BS6 2YX</t>
  </si>
  <si>
    <t>ACC-11797</t>
  </si>
  <si>
    <t>CUST-51797</t>
  </si>
  <si>
    <t>ACT-02499</t>
  </si>
  <si>
    <t>Ian Palmer</t>
  </si>
  <si>
    <t>kathrynsingh@example.net</t>
  </si>
  <si>
    <t>B8U 9LD</t>
  </si>
  <si>
    <t>ACT-02500</t>
  </si>
  <si>
    <t>ACC-11798</t>
  </si>
  <si>
    <t>CUST-51798</t>
  </si>
  <si>
    <t>Michael Jones</t>
  </si>
  <si>
    <t>joshua27@example.net</t>
  </si>
  <si>
    <t>ACT-02501</t>
  </si>
  <si>
    <t>M82 9YG</t>
  </si>
  <si>
    <t>ACC-11799</t>
  </si>
  <si>
    <t>CUST-51799</t>
  </si>
  <si>
    <t>Dr Philip Lewis</t>
  </si>
  <si>
    <t>ACT-02502</t>
  </si>
  <si>
    <t>jessicaknight@example.net</t>
  </si>
  <si>
    <t>NW4X 0NY</t>
  </si>
  <si>
    <t>ACC-11800</t>
  </si>
  <si>
    <t>CUST-51800</t>
  </si>
  <si>
    <t>Ms Marilyn Hughes</t>
  </si>
  <si>
    <t>ACT-02503</t>
  </si>
  <si>
    <t>B0K 7LE</t>
  </si>
  <si>
    <t>ACT-02504</t>
  </si>
  <si>
    <t>ACC-11801</t>
  </si>
  <si>
    <t>CUST-51801</t>
  </si>
  <si>
    <t>Claire Williams</t>
  </si>
  <si>
    <t>carolgiles@example.com</t>
  </si>
  <si>
    <t>AL0 5EA</t>
  </si>
  <si>
    <t>ACT-02505</t>
  </si>
  <si>
    <t>ACC-11802</t>
  </si>
  <si>
    <t>CUST-51802</t>
  </si>
  <si>
    <t>Sam Walsh</t>
  </si>
  <si>
    <t>lesley91@example.org</t>
  </si>
  <si>
    <t>ACT-02506</t>
  </si>
  <si>
    <t>WD7X 1UP</t>
  </si>
  <si>
    <t>ACC-11803</t>
  </si>
  <si>
    <t>CUST-51803</t>
  </si>
  <si>
    <t>Antony Page</t>
  </si>
  <si>
    <t>ACT-02507</t>
  </si>
  <si>
    <t>cmccarthy@example.com</t>
  </si>
  <si>
    <t>W72 2AL</t>
  </si>
  <si>
    <t>ACC-11804</t>
  </si>
  <si>
    <t>CUST-51804</t>
  </si>
  <si>
    <t>Amanda Baker</t>
  </si>
  <si>
    <t>ACT-02508</t>
  </si>
  <si>
    <t>frank47@example.net</t>
  </si>
  <si>
    <t>W21 9HD</t>
  </si>
  <si>
    <t>ACT-02509</t>
  </si>
  <si>
    <t>ACC-11805</t>
  </si>
  <si>
    <t>CUST-51805</t>
  </si>
  <si>
    <t>Carolyn Pritchard</t>
  </si>
  <si>
    <t>nigeldyer@example.org</t>
  </si>
  <si>
    <t>DG3H 6AB</t>
  </si>
  <si>
    <t>ACT-02510</t>
  </si>
  <si>
    <t>ACC-11806</t>
  </si>
  <si>
    <t>CUST-51806</t>
  </si>
  <si>
    <t>Lynda Hammond-Williamson</t>
  </si>
  <si>
    <t>ACT-02511</t>
  </si>
  <si>
    <t>marianlloyd@example.com</t>
  </si>
  <si>
    <t>LE55 8WY</t>
  </si>
  <si>
    <t>ACC-11807</t>
  </si>
  <si>
    <t>CUST-51807</t>
  </si>
  <si>
    <t>ACT-02512</t>
  </si>
  <si>
    <t>Danny Woodward</t>
  </si>
  <si>
    <t>ACT-02513</t>
  </si>
  <si>
    <t>kkirby@example.com</t>
  </si>
  <si>
    <t>DA3 8JX</t>
  </si>
  <si>
    <t>ACT-02514</t>
  </si>
  <si>
    <t>ACC-11808</t>
  </si>
  <si>
    <t>CUST-51808</t>
  </si>
  <si>
    <t>Holly Fox</t>
  </si>
  <si>
    <t>ACT-02515</t>
  </si>
  <si>
    <t>lucydawson@example.net</t>
  </si>
  <si>
    <t>KY39 2EQ</t>
  </si>
  <si>
    <t>ACC-11809</t>
  </si>
  <si>
    <t>CUST-51809</t>
  </si>
  <si>
    <t>Mr Lawrence Thomas</t>
  </si>
  <si>
    <t>wedwards@example.net</t>
  </si>
  <si>
    <t>BH2W 6TZ</t>
  </si>
  <si>
    <t>ACT-02516</t>
  </si>
  <si>
    <t>ACC-11810</t>
  </si>
  <si>
    <t>CUST-51810</t>
  </si>
  <si>
    <t>Alison Hughes</t>
  </si>
  <si>
    <t>ACT-02517</t>
  </si>
  <si>
    <t>janice74@example.net</t>
  </si>
  <si>
    <t>G8 2ET</t>
  </si>
  <si>
    <t>ACT-02518</t>
  </si>
  <si>
    <t>ACC-11811</t>
  </si>
  <si>
    <t>CUST-51811</t>
  </si>
  <si>
    <t>Tracy Green</t>
  </si>
  <si>
    <t>richarddavidson@example.org</t>
  </si>
  <si>
    <t>ACT-02519</t>
  </si>
  <si>
    <t>SN0R 6SU</t>
  </si>
  <si>
    <t>ACC-11812</t>
  </si>
  <si>
    <t>CUST-51812</t>
  </si>
  <si>
    <t>Nicola White</t>
  </si>
  <si>
    <t>ACT-02520</t>
  </si>
  <si>
    <t>edwardsharriet@example.org</t>
  </si>
  <si>
    <t>KW28 9QR</t>
  </si>
  <si>
    <t>ACC-11813</t>
  </si>
  <si>
    <t>CUST-51813</t>
  </si>
  <si>
    <t>Mr Edward Davies</t>
  </si>
  <si>
    <t>ACT-02521</t>
  </si>
  <si>
    <t>dabbott@example.org</t>
  </si>
  <si>
    <t>M28 1FD</t>
  </si>
  <si>
    <t>ACC-11814</t>
  </si>
  <si>
    <t>CUST-51814</t>
  </si>
  <si>
    <t>Sally Henderson</t>
  </si>
  <si>
    <t>johnsonleigh@example.org</t>
  </si>
  <si>
    <t>MK92 4GW</t>
  </si>
  <si>
    <t>ACT-02522</t>
  </si>
  <si>
    <t>ACC-11815</t>
  </si>
  <si>
    <t>CUST-51815</t>
  </si>
  <si>
    <t>Terry Brooks</t>
  </si>
  <si>
    <t>zbarnett@example.net</t>
  </si>
  <si>
    <t>BA7 9LE</t>
  </si>
  <si>
    <t>ACC-11816</t>
  </si>
  <si>
    <t>CUST-51816</t>
  </si>
  <si>
    <t>Dr Gerard Smith</t>
  </si>
  <si>
    <t>ACT-02523</t>
  </si>
  <si>
    <t>jacquelinegray@example.com</t>
  </si>
  <si>
    <t>HD9 6JR</t>
  </si>
  <si>
    <t>ACC-11817</t>
  </si>
  <si>
    <t>CUST-51817</t>
  </si>
  <si>
    <t>Marie Ali</t>
  </si>
  <si>
    <t>ACT-02524</t>
  </si>
  <si>
    <t>LA6A 0YX</t>
  </si>
  <si>
    <t>ACC-11818</t>
  </si>
  <si>
    <t>CUST-51818</t>
  </si>
  <si>
    <t>Miss Hazel White</t>
  </si>
  <si>
    <t>ACT-02525</t>
  </si>
  <si>
    <t>leebaker@example.com</t>
  </si>
  <si>
    <t>BR4 9UH</t>
  </si>
  <si>
    <t>ACT-02526</t>
  </si>
  <si>
    <t>ACC-11819</t>
  </si>
  <si>
    <t>CUST-51819</t>
  </si>
  <si>
    <t>Dr Stephanie Phillips</t>
  </si>
  <si>
    <t>ACT-02527</t>
  </si>
  <si>
    <t>iporter@example.org</t>
  </si>
  <si>
    <t>S6K 7AX</t>
  </si>
  <si>
    <t>ACC-11820</t>
  </si>
  <si>
    <t>ACT-02528</t>
  </si>
  <si>
    <t>CUST-51820</t>
  </si>
  <si>
    <t>Dr Kathryn Brown</t>
  </si>
  <si>
    <t>nataliejones@example.net</t>
  </si>
  <si>
    <t>E32 8DX</t>
  </si>
  <si>
    <t>ACT-02529</t>
  </si>
  <si>
    <t>ACC-11821</t>
  </si>
  <si>
    <t>CUST-51821</t>
  </si>
  <si>
    <t>Mohammad Scott</t>
  </si>
  <si>
    <t>mathew19@example.org</t>
  </si>
  <si>
    <t>BR6 9ED</t>
  </si>
  <si>
    <t>ACT-02530</t>
  </si>
  <si>
    <t>ACC-11822</t>
  </si>
  <si>
    <t>CUST-51822</t>
  </si>
  <si>
    <t>Dr Mitchell Lewis</t>
  </si>
  <si>
    <t>ACT-02531</t>
  </si>
  <si>
    <t>christopherbarnett@example.net</t>
  </si>
  <si>
    <t>S67 4SZ</t>
  </si>
  <si>
    <t>ACC-11823</t>
  </si>
  <si>
    <t>CUST-51823</t>
  </si>
  <si>
    <t>Kyle Wilson</t>
  </si>
  <si>
    <t>ACT-02532</t>
  </si>
  <si>
    <t>jackwade@example.com</t>
  </si>
  <si>
    <t>B5W 7UF</t>
  </si>
  <si>
    <t>ACT-02533</t>
  </si>
  <si>
    <t>ACC-11824</t>
  </si>
  <si>
    <t>CUST-51824</t>
  </si>
  <si>
    <t>Miss Donna Hunter</t>
  </si>
  <si>
    <t>ACT-02534</t>
  </si>
  <si>
    <t>carly03@example.org</t>
  </si>
  <si>
    <t>DY7R 3SS</t>
  </si>
  <si>
    <t>ACC-11825</t>
  </si>
  <si>
    <t>CUST-51825</t>
  </si>
  <si>
    <t>Janice Holt</t>
  </si>
  <si>
    <t>alexrees@example.org</t>
  </si>
  <si>
    <t>ACT-02535</t>
  </si>
  <si>
    <t>DT7H 8AE</t>
  </si>
  <si>
    <t>ACC-11826</t>
  </si>
  <si>
    <t>CUST-51826</t>
  </si>
  <si>
    <t>Hugh May</t>
  </si>
  <si>
    <t>ACT-02536</t>
  </si>
  <si>
    <t>peter60@example.com</t>
  </si>
  <si>
    <t>L57 7NX</t>
  </si>
  <si>
    <t>ACC-11827</t>
  </si>
  <si>
    <t>CUST-51827</t>
  </si>
  <si>
    <t>ACT-02537</t>
  </si>
  <si>
    <t>Mr Ross Hughes</t>
  </si>
  <si>
    <t>phillipsryan@example.com</t>
  </si>
  <si>
    <t>ACT-02538</t>
  </si>
  <si>
    <t>G48 9TQ</t>
  </si>
  <si>
    <t>ACC-11828</t>
  </si>
  <si>
    <t>CUST-51828</t>
  </si>
  <si>
    <t>Toby Lees-Ferguson</t>
  </si>
  <si>
    <t>ACT-02539</t>
  </si>
  <si>
    <t>kirkantony@example.com</t>
  </si>
  <si>
    <t>S11 2ZY</t>
  </si>
  <si>
    <t>ACT-02540</t>
  </si>
  <si>
    <t>ACC-11829</t>
  </si>
  <si>
    <t>CUST-51829</t>
  </si>
  <si>
    <t>Gary Carter</t>
  </si>
  <si>
    <t>parkinsonjulian@example.org</t>
  </si>
  <si>
    <t>M2 1ZN</t>
  </si>
  <si>
    <t>ACT-02541</t>
  </si>
  <si>
    <t>ACC-11830</t>
  </si>
  <si>
    <t>CUST-51830</t>
  </si>
  <si>
    <t>Dominic Scott</t>
  </si>
  <si>
    <t>ACT-02542</t>
  </si>
  <si>
    <t>pknight@example.net</t>
  </si>
  <si>
    <t>N17 3QB</t>
  </si>
  <si>
    <t>ACT-02543</t>
  </si>
  <si>
    <t>ACC-11831</t>
  </si>
  <si>
    <t>CUST-51831</t>
  </si>
  <si>
    <t>Peter Mason</t>
  </si>
  <si>
    <t>ACT-02544</t>
  </si>
  <si>
    <t>williamsgrace@example.com</t>
  </si>
  <si>
    <t>CF2 3XS</t>
  </si>
  <si>
    <t>ACT-02545</t>
  </si>
  <si>
    <t>ACC-11832</t>
  </si>
  <si>
    <t>CUST-51832</t>
  </si>
  <si>
    <t>Miss Beth Short</t>
  </si>
  <si>
    <t>ACT-02546</t>
  </si>
  <si>
    <t>martinlaw@example.com</t>
  </si>
  <si>
    <t>PL1 2GR</t>
  </si>
  <si>
    <t>ACT-02547</t>
  </si>
  <si>
    <t>ACC-11833</t>
  </si>
  <si>
    <t>CUST-51833</t>
  </si>
  <si>
    <t>Ruth Evans</t>
  </si>
  <si>
    <t>ACT-02548</t>
  </si>
  <si>
    <t>rosie70@example.net</t>
  </si>
  <si>
    <t>B4G 4YH</t>
  </si>
  <si>
    <t>ACT-02549</t>
  </si>
  <si>
    <t>ACC-11834</t>
  </si>
  <si>
    <t>CUST-51834</t>
  </si>
  <si>
    <t>Ms Amanda Cross</t>
  </si>
  <si>
    <t>ACT-02550</t>
  </si>
  <si>
    <t>sgreen@example.net</t>
  </si>
  <si>
    <t>CB65 0DQ</t>
  </si>
  <si>
    <t>ACT-02551</t>
  </si>
  <si>
    <t>ACC-11835</t>
  </si>
  <si>
    <t>CUST-51835</t>
  </si>
  <si>
    <t>Diane Williams</t>
  </si>
  <si>
    <t>ACT-02552</t>
  </si>
  <si>
    <t>lee63@example.com</t>
  </si>
  <si>
    <t>S9 9TT</t>
  </si>
  <si>
    <t>ACC-11836</t>
  </si>
  <si>
    <t>CUST-51836</t>
  </si>
  <si>
    <t>Ms Margaret Richards</t>
  </si>
  <si>
    <t>ACT-02553</t>
  </si>
  <si>
    <t>stokessylvia@example.net</t>
  </si>
  <si>
    <t>ACT-02554</t>
  </si>
  <si>
    <t>IP48 8FL</t>
  </si>
  <si>
    <t>ACC-11837</t>
  </si>
  <si>
    <t>CUST-51837</t>
  </si>
  <si>
    <t>Gary Marshall</t>
  </si>
  <si>
    <t>ACT-02555</t>
  </si>
  <si>
    <t>chapmangeorgina@example.net</t>
  </si>
  <si>
    <t>BB1 6EY</t>
  </si>
  <si>
    <t>ACT-02556</t>
  </si>
  <si>
    <t>ACC-11838</t>
  </si>
  <si>
    <t>CUST-51838</t>
  </si>
  <si>
    <t>Mr Colin Taylor</t>
  </si>
  <si>
    <t>moorejoseph@example.net</t>
  </si>
  <si>
    <t>ML63 4FA</t>
  </si>
  <si>
    <t>ACT-02557</t>
  </si>
  <si>
    <t>ACC-11839</t>
  </si>
  <si>
    <t>CUST-51839</t>
  </si>
  <si>
    <t>Janet Shaw</t>
  </si>
  <si>
    <t>michaelrichards@example.org</t>
  </si>
  <si>
    <t>KA4 3ZB</t>
  </si>
  <si>
    <t>ACC-11840</t>
  </si>
  <si>
    <t>CUST-51840</t>
  </si>
  <si>
    <t>Abigail Byrne</t>
  </si>
  <si>
    <t>ACT-02558</t>
  </si>
  <si>
    <t>freemankirsty@example.com</t>
  </si>
  <si>
    <t>N5W 3BX</t>
  </si>
  <si>
    <t>ACC-11841</t>
  </si>
  <si>
    <t>CUST-51841</t>
  </si>
  <si>
    <t>Miss Diane Daly</t>
  </si>
  <si>
    <t>ACT-02559</t>
  </si>
  <si>
    <t>davidburgess@example.org</t>
  </si>
  <si>
    <t>WF9 5TY</t>
  </si>
  <si>
    <t>ACT-02560</t>
  </si>
  <si>
    <t>ACC-11842</t>
  </si>
  <si>
    <t>CUST-51842</t>
  </si>
  <si>
    <t>Joanna Vincent</t>
  </si>
  <si>
    <t>ACT-02561</t>
  </si>
  <si>
    <t>pshah@example.com</t>
  </si>
  <si>
    <t>M8A 5XT</t>
  </si>
  <si>
    <t>ACC-11843</t>
  </si>
  <si>
    <t>ACT-02562</t>
  </si>
  <si>
    <t>CUST-51843</t>
  </si>
  <si>
    <t>Oliver Sims</t>
  </si>
  <si>
    <t>ACT-02563</t>
  </si>
  <si>
    <t>lisafoster@example.org</t>
  </si>
  <si>
    <t>N14 0AP</t>
  </si>
  <si>
    <t>ACT-02564</t>
  </si>
  <si>
    <t>ACC-11844</t>
  </si>
  <si>
    <t>CUST-51844</t>
  </si>
  <si>
    <t>Thomas Howard</t>
  </si>
  <si>
    <t>ACT-02565</t>
  </si>
  <si>
    <t>ACT-02566</t>
  </si>
  <si>
    <t>ygriffiths@example.com</t>
  </si>
  <si>
    <t>SP32 6PA</t>
  </si>
  <si>
    <t>ACC-11845</t>
  </si>
  <si>
    <t>CUST-51845</t>
  </si>
  <si>
    <t>William Bradshaw</t>
  </si>
  <si>
    <t>ACT-02567</t>
  </si>
  <si>
    <t>mitchelldorothy@example.net</t>
  </si>
  <si>
    <t>BT7 5XL</t>
  </si>
  <si>
    <t>ACC-11846</t>
  </si>
  <si>
    <t>CUST-51846</t>
  </si>
  <si>
    <t>Steven Price</t>
  </si>
  <si>
    <t>ACT-02568</t>
  </si>
  <si>
    <t>ojohnston@example.org</t>
  </si>
  <si>
    <t>L3 0NT</t>
  </si>
  <si>
    <t>ACT-02569</t>
  </si>
  <si>
    <t>ACC-11847</t>
  </si>
  <si>
    <t>CUST-51847</t>
  </si>
  <si>
    <t>Dr Jean Walters</t>
  </si>
  <si>
    <t>ACT-02570</t>
  </si>
  <si>
    <t>katherinewalker@example.com</t>
  </si>
  <si>
    <t>N1A 3GU</t>
  </si>
  <si>
    <t>ACC-11848</t>
  </si>
  <si>
    <t>CUST-51848</t>
  </si>
  <si>
    <t>Dr Stephen Williams</t>
  </si>
  <si>
    <t>ACT-02571</t>
  </si>
  <si>
    <t>ystone@example.net</t>
  </si>
  <si>
    <t>S6 7SR</t>
  </si>
  <si>
    <t>ACC-11849</t>
  </si>
  <si>
    <t>CUST-51849</t>
  </si>
  <si>
    <t>Jacqueline Simpson</t>
  </si>
  <si>
    <t>ACT-02572</t>
  </si>
  <si>
    <t>shaunatkinson@example.com</t>
  </si>
  <si>
    <t>L33 7YG</t>
  </si>
  <si>
    <t>ACT-02573</t>
  </si>
  <si>
    <t>ACC-11850</t>
  </si>
  <si>
    <t>CUST-51850</t>
  </si>
  <si>
    <t>Gemma Bruce</t>
  </si>
  <si>
    <t>ACT-02574</t>
  </si>
  <si>
    <t>stephaniemartin@example.org</t>
  </si>
  <si>
    <t>WC4 9TU</t>
  </si>
  <si>
    <t>ACC-11851</t>
  </si>
  <si>
    <t>CUST-51851</t>
  </si>
  <si>
    <t>Mr William Brown</t>
  </si>
  <si>
    <t>ACT-02575</t>
  </si>
  <si>
    <t>rebecca14@example.net</t>
  </si>
  <si>
    <t>N7 0LX</t>
  </si>
  <si>
    <t>ACT-02576</t>
  </si>
  <si>
    <t>ACC-11852</t>
  </si>
  <si>
    <t>CUST-51852</t>
  </si>
  <si>
    <t>Charlene Richards</t>
  </si>
  <si>
    <t>leigh79@example.org</t>
  </si>
  <si>
    <t>ACT-02577</t>
  </si>
  <si>
    <t>W0K 1WA</t>
  </si>
  <si>
    <t>ACC-11853</t>
  </si>
  <si>
    <t>CUST-51853</t>
  </si>
  <si>
    <t>Jenna Jackson</t>
  </si>
  <si>
    <t>ACT-02578</t>
  </si>
  <si>
    <t>jacob95@example.org</t>
  </si>
  <si>
    <t>WN53 5QF</t>
  </si>
  <si>
    <t>ACC-11854</t>
  </si>
  <si>
    <t>ACT-02579</t>
  </si>
  <si>
    <t>CUST-51854</t>
  </si>
  <si>
    <t>anthony79@example.com</t>
  </si>
  <si>
    <t>ACT-02580</t>
  </si>
  <si>
    <t>W42 1FW</t>
  </si>
  <si>
    <t>ACC-11855</t>
  </si>
  <si>
    <t>CUST-51855</t>
  </si>
  <si>
    <t>ACT-02581</t>
  </si>
  <si>
    <t>Maureen Brown</t>
  </si>
  <si>
    <t>timothy16@example.com</t>
  </si>
  <si>
    <t>ML2N 6YT</t>
  </si>
  <si>
    <t>ACC-11856</t>
  </si>
  <si>
    <t>ACT-02582</t>
  </si>
  <si>
    <t>CUST-51856</t>
  </si>
  <si>
    <t>Miss Joanna Wright</t>
  </si>
  <si>
    <t>duncan06@example.com</t>
  </si>
  <si>
    <t>SY3 4ZY</t>
  </si>
  <si>
    <t>ACT-02583</t>
  </si>
  <si>
    <t>ACC-11857</t>
  </si>
  <si>
    <t>CUST-51857</t>
  </si>
  <si>
    <t>Joseph Davies</t>
  </si>
  <si>
    <t>ACT-02584</t>
  </si>
  <si>
    <t>joechambers@example.net</t>
  </si>
  <si>
    <t>NR93 1ZN</t>
  </si>
  <si>
    <t>ACC-11858</t>
  </si>
  <si>
    <t>CUST-51858</t>
  </si>
  <si>
    <t>Mr Lawrence Watkins</t>
  </si>
  <si>
    <t>ACT-02585</t>
  </si>
  <si>
    <t>qfitzgerald@example.org</t>
  </si>
  <si>
    <t>L3S 7XN</t>
  </si>
  <si>
    <t>ACC-11859</t>
  </si>
  <si>
    <t>CUST-51859</t>
  </si>
  <si>
    <t>Wendy Quinn</t>
  </si>
  <si>
    <t>ACT-02586</t>
  </si>
  <si>
    <t>qroberts@example.com</t>
  </si>
  <si>
    <t>N62 8LU</t>
  </si>
  <si>
    <t>ACT-02587</t>
  </si>
  <si>
    <t>ACC-11860</t>
  </si>
  <si>
    <t>CUST-51860</t>
  </si>
  <si>
    <t>William Rogers</t>
  </si>
  <si>
    <t>ACT-02588</t>
  </si>
  <si>
    <t>gward@example.com</t>
  </si>
  <si>
    <t>PO3W 9JW</t>
  </si>
  <si>
    <t>ACC-11861</t>
  </si>
  <si>
    <t>CUST-51861</t>
  </si>
  <si>
    <t>Carly Burrows</t>
  </si>
  <si>
    <t>ACT-02589</t>
  </si>
  <si>
    <t>joneskimberley@example.com</t>
  </si>
  <si>
    <t>LS7 3HS</t>
  </si>
  <si>
    <t>ACT-02590</t>
  </si>
  <si>
    <t>ACC-11862</t>
  </si>
  <si>
    <t>CUST-51862</t>
  </si>
  <si>
    <t>Dr Dawn Kemp</t>
  </si>
  <si>
    <t>antony26@example.org</t>
  </si>
  <si>
    <t>ACT-02591</t>
  </si>
  <si>
    <t>WS5 0YD</t>
  </si>
  <si>
    <t>ACC-11863</t>
  </si>
  <si>
    <t>CUST-51863</t>
  </si>
  <si>
    <t>Alexandra Smith</t>
  </si>
  <si>
    <t>ACT-02592</t>
  </si>
  <si>
    <t>harrisdamian@example.org</t>
  </si>
  <si>
    <t>B06 9DG</t>
  </si>
  <si>
    <t>ACC-11864</t>
  </si>
  <si>
    <t>CUST-51864</t>
  </si>
  <si>
    <t>ACT-02593</t>
  </si>
  <si>
    <t>Dr Henry Slater</t>
  </si>
  <si>
    <t>PA6 3AY</t>
  </si>
  <si>
    <t>ACT-02594</t>
  </si>
  <si>
    <t>ACC-11865</t>
  </si>
  <si>
    <t>CUST-51865</t>
  </si>
  <si>
    <t>Steven Bartlett</t>
  </si>
  <si>
    <t>ACT-02595</t>
  </si>
  <si>
    <t>reesnicole@example.net</t>
  </si>
  <si>
    <t>HU8P 0AT</t>
  </si>
  <si>
    <t>ACC-11866</t>
  </si>
  <si>
    <t>CUST-51866</t>
  </si>
  <si>
    <t>Ellie Burgess-Jennings</t>
  </si>
  <si>
    <t>ACT-02596</t>
  </si>
  <si>
    <t>daviesmartyn@example.net</t>
  </si>
  <si>
    <t>LS5A 6NJ</t>
  </si>
  <si>
    <t>ACT-02597</t>
  </si>
  <si>
    <t>ACC-11867</t>
  </si>
  <si>
    <t>CUST-51867</t>
  </si>
  <si>
    <t>Kathryn Young</t>
  </si>
  <si>
    <t>S20 3TX</t>
  </si>
  <si>
    <t>ACT-02598</t>
  </si>
  <si>
    <t>ACC-11868</t>
  </si>
  <si>
    <t>CUST-51868</t>
  </si>
  <si>
    <t>Dr Christopher Martin</t>
  </si>
  <si>
    <t>ACT-02599</t>
  </si>
  <si>
    <t>S7 3AU</t>
  </si>
  <si>
    <t>ACC-11869</t>
  </si>
  <si>
    <t>CUST-51869</t>
  </si>
  <si>
    <t>Dr Karl Martin</t>
  </si>
  <si>
    <t>ACT-02600</t>
  </si>
  <si>
    <t>tscott@example.com</t>
  </si>
  <si>
    <t>S22 5PA</t>
  </si>
  <si>
    <t>ACC-11870</t>
  </si>
  <si>
    <t>CUST-51870</t>
  </si>
  <si>
    <t>ACT-02601</t>
  </si>
  <si>
    <t>Mr Frank Willis</t>
  </si>
  <si>
    <t>suzanne59@example.org</t>
  </si>
  <si>
    <t>N4A 0DB</t>
  </si>
  <si>
    <t>ACT-02602</t>
  </si>
  <si>
    <t>ACC-11871</t>
  </si>
  <si>
    <t>CUST-51871</t>
  </si>
  <si>
    <t>Molly Humphreys</t>
  </si>
  <si>
    <t>ACT-02603</t>
  </si>
  <si>
    <t>halljasmine@example.org</t>
  </si>
  <si>
    <t>GU5Y 4YG</t>
  </si>
  <si>
    <t>ACC-11872</t>
  </si>
  <si>
    <t>CUST-51872</t>
  </si>
  <si>
    <t>Cheryl Brookes</t>
  </si>
  <si>
    <t>ACT-02604</t>
  </si>
  <si>
    <t>hughhardy@example.net</t>
  </si>
  <si>
    <t>TN4 6QG</t>
  </si>
  <si>
    <t>ACT-02605</t>
  </si>
  <si>
    <t>ACC-11873</t>
  </si>
  <si>
    <t>CUST-51873</t>
  </si>
  <si>
    <t>Philip Franklin</t>
  </si>
  <si>
    <t>ACT-02606</t>
  </si>
  <si>
    <t>debra32@example.net</t>
  </si>
  <si>
    <t>WR2 5YW</t>
  </si>
  <si>
    <t>ACC-11874</t>
  </si>
  <si>
    <t>CUST-51874</t>
  </si>
  <si>
    <t>Pauline Thomas</t>
  </si>
  <si>
    <t>ACT-02607</t>
  </si>
  <si>
    <t>henry90@example.com</t>
  </si>
  <si>
    <t>M7D 3AJ</t>
  </si>
  <si>
    <t>ACT-02608</t>
  </si>
  <si>
    <t>ACC-11875</t>
  </si>
  <si>
    <t>CUST-51875</t>
  </si>
  <si>
    <t>Hugh Francis</t>
  </si>
  <si>
    <t>kbrown@example.net</t>
  </si>
  <si>
    <t>ACT-02609</t>
  </si>
  <si>
    <t>S85 3PN</t>
  </si>
  <si>
    <t>ACC-11876</t>
  </si>
  <si>
    <t>CUST-51876</t>
  </si>
  <si>
    <t>Susan Farmer-Walton</t>
  </si>
  <si>
    <t>ACT-02610</t>
  </si>
  <si>
    <t>singhjay@example.com</t>
  </si>
  <si>
    <t>S70 8GW</t>
  </si>
  <si>
    <t>ACT-02611</t>
  </si>
  <si>
    <t>ACC-11877</t>
  </si>
  <si>
    <t>CUST-51877</t>
  </si>
  <si>
    <t>Ms Michelle Burns</t>
  </si>
  <si>
    <t>heatherpeters@example.net</t>
  </si>
  <si>
    <t>ACT-02612</t>
  </si>
  <si>
    <t>L6T 6HD</t>
  </si>
  <si>
    <t>ACC-11878</t>
  </si>
  <si>
    <t>CUST-51878</t>
  </si>
  <si>
    <t>Mr Leslie Barnett</t>
  </si>
  <si>
    <t>ACT-02613</t>
  </si>
  <si>
    <t>andrew12@example.net</t>
  </si>
  <si>
    <t>S7 7FT</t>
  </si>
  <si>
    <t>ACT-02614</t>
  </si>
  <si>
    <t>ACC-11879</t>
  </si>
  <si>
    <t>CUST-51879</t>
  </si>
  <si>
    <t>Marie Hall</t>
  </si>
  <si>
    <t>andrewsliam@example.net</t>
  </si>
  <si>
    <t>ACT-02615</t>
  </si>
  <si>
    <t>G4W 7ED</t>
  </si>
  <si>
    <t>ACC-11880</t>
  </si>
  <si>
    <t>CUST-51880</t>
  </si>
  <si>
    <t>Sam Jones</t>
  </si>
  <si>
    <t>ACT-02616</t>
  </si>
  <si>
    <t>martinjoan@example.org</t>
  </si>
  <si>
    <t>DH1H 7ZT</t>
  </si>
  <si>
    <t>ACC-11881</t>
  </si>
  <si>
    <t>CUST-51881</t>
  </si>
  <si>
    <t>ACT-02617</t>
  </si>
  <si>
    <t>Miss Joanna Daniels</t>
  </si>
  <si>
    <t>debrastone@example.org</t>
  </si>
  <si>
    <t>LU26 8GP</t>
  </si>
  <si>
    <t>ACT-02618</t>
  </si>
  <si>
    <t>ACC-11882</t>
  </si>
  <si>
    <t>CUST-51882</t>
  </si>
  <si>
    <t>Dr Matthew Jones</t>
  </si>
  <si>
    <t>fisherclare@example.org</t>
  </si>
  <si>
    <t>ACT-02619</t>
  </si>
  <si>
    <t>PH1 0SH</t>
  </si>
  <si>
    <t>ACC-11883</t>
  </si>
  <si>
    <t>CUST-51883</t>
  </si>
  <si>
    <t>Mrs Deborah Jones</t>
  </si>
  <si>
    <t>ACT-02620</t>
  </si>
  <si>
    <t>lindsey61@example.net</t>
  </si>
  <si>
    <t>BT7 9DP</t>
  </si>
  <si>
    <t>ACC-11884</t>
  </si>
  <si>
    <t>CUST-51884</t>
  </si>
  <si>
    <t>Victor O'Sullivan</t>
  </si>
  <si>
    <t>ACT-02621</t>
  </si>
  <si>
    <t>chall@example.net</t>
  </si>
  <si>
    <t>NE7 4BY</t>
  </si>
  <si>
    <t>ACC-11885</t>
  </si>
  <si>
    <t>ACT-02622</t>
  </si>
  <si>
    <t>CUST-51885</t>
  </si>
  <si>
    <t>Olivia Ball-Hammond</t>
  </si>
  <si>
    <t>tking@example.com</t>
  </si>
  <si>
    <t>G63 9YN</t>
  </si>
  <si>
    <t>ACT-02623</t>
  </si>
  <si>
    <t>ACC-11886</t>
  </si>
  <si>
    <t>CUST-51886</t>
  </si>
  <si>
    <t>Albert Smith-Walker</t>
  </si>
  <si>
    <t>ACT-02624</t>
  </si>
  <si>
    <t>danny73@example.net</t>
  </si>
  <si>
    <t>KY4E 6QA</t>
  </si>
  <si>
    <t>ACC-11887</t>
  </si>
  <si>
    <t>CUST-51887</t>
  </si>
  <si>
    <t>ACT-02625</t>
  </si>
  <si>
    <t>Mrs Lynne Fry</t>
  </si>
  <si>
    <t>ACT-02626</t>
  </si>
  <si>
    <t>jill97@example.org</t>
  </si>
  <si>
    <t>E7 9RY</t>
  </si>
  <si>
    <t>ACC-11888</t>
  </si>
  <si>
    <t>CUST-51888</t>
  </si>
  <si>
    <t>Heather Rowley-Poole</t>
  </si>
  <si>
    <t>ACT-02627</t>
  </si>
  <si>
    <t>carrdarren@example.org</t>
  </si>
  <si>
    <t>BH10 8UJ</t>
  </si>
  <si>
    <t>ACC-11889</t>
  </si>
  <si>
    <t>CUST-51889</t>
  </si>
  <si>
    <t>ACT-02628</t>
  </si>
  <si>
    <t>Mr Mohamed Foster</t>
  </si>
  <si>
    <t>ewebb@example.net</t>
  </si>
  <si>
    <t>B0 3WE</t>
  </si>
  <si>
    <t>ACT-02629</t>
  </si>
  <si>
    <t>ACC-11890</t>
  </si>
  <si>
    <t>CUST-51890</t>
  </si>
  <si>
    <t>Jill Pearson</t>
  </si>
  <si>
    <t>ACT-02630</t>
  </si>
  <si>
    <t>pauldixon@example.net</t>
  </si>
  <si>
    <t>L7C 8JP</t>
  </si>
  <si>
    <t>ACC-11891</t>
  </si>
  <si>
    <t>CUST-51891</t>
  </si>
  <si>
    <t>Linda Brooks</t>
  </si>
  <si>
    <t>ACT-02631</t>
  </si>
  <si>
    <t>harrisonsamantha@example.net</t>
  </si>
  <si>
    <t>RH89 5WW</t>
  </si>
  <si>
    <t>ACT-02632</t>
  </si>
  <si>
    <t>ACC-11892</t>
  </si>
  <si>
    <t>CUST-51892</t>
  </si>
  <si>
    <t>Dr Marc Wilson</t>
  </si>
  <si>
    <t>cwood@example.com</t>
  </si>
  <si>
    <t>ACT-02633</t>
  </si>
  <si>
    <t>SP28 2JY</t>
  </si>
  <si>
    <t>ACC-11893</t>
  </si>
  <si>
    <t>CUST-51893</t>
  </si>
  <si>
    <t>Suzanne Lees</t>
  </si>
  <si>
    <t>ACT-02634</t>
  </si>
  <si>
    <t>hillkathryn@example.net</t>
  </si>
  <si>
    <t>G3A 1TP</t>
  </si>
  <si>
    <t>ACC-11894</t>
  </si>
  <si>
    <t>CUST-51894</t>
  </si>
  <si>
    <t>Miss Linda Stone</t>
  </si>
  <si>
    <t>ACT-02635</t>
  </si>
  <si>
    <t>emily48@example.org</t>
  </si>
  <si>
    <t>G9 5DQ</t>
  </si>
  <si>
    <t>ACC-11895</t>
  </si>
  <si>
    <t>ACT-02636</t>
  </si>
  <si>
    <t>CUST-51895</t>
  </si>
  <si>
    <t>Naomi Hodgson</t>
  </si>
  <si>
    <t>steven85@example.org</t>
  </si>
  <si>
    <t>ACT-02637</t>
  </si>
  <si>
    <t>B56 8AB</t>
  </si>
  <si>
    <t>ACC-11896</t>
  </si>
  <si>
    <t>CUST-51896</t>
  </si>
  <si>
    <t>Miss Kirsty Mahmood</t>
  </si>
  <si>
    <t>ACT-02638</t>
  </si>
  <si>
    <t>kjackson@example.net</t>
  </si>
  <si>
    <t>DH45 1UP</t>
  </si>
  <si>
    <t>ACT-02639</t>
  </si>
  <si>
    <t>ACC-11897</t>
  </si>
  <si>
    <t>CUST-51897</t>
  </si>
  <si>
    <t>Duncan Smith</t>
  </si>
  <si>
    <t>ACT-02640</t>
  </si>
  <si>
    <t>julie13@example.com</t>
  </si>
  <si>
    <t>ACT-02641</t>
  </si>
  <si>
    <t>M9 8HN</t>
  </si>
  <si>
    <t>ACC-11898</t>
  </si>
  <si>
    <t>CUST-51898</t>
  </si>
  <si>
    <t>ACT-02642</t>
  </si>
  <si>
    <t>Stewart Clark</t>
  </si>
  <si>
    <t>parrygeorgina@example.org</t>
  </si>
  <si>
    <t>ACT-02643</t>
  </si>
  <si>
    <t>W3K 1AT</t>
  </si>
  <si>
    <t>ACC-11899</t>
  </si>
  <si>
    <t>CUST-51899</t>
  </si>
  <si>
    <t>Mr Mathew Potts</t>
  </si>
  <si>
    <t>ACT-02644</t>
  </si>
  <si>
    <t>ilewis@example.com</t>
  </si>
  <si>
    <t>TR3 5NJ</t>
  </si>
  <si>
    <t>ACT-02645</t>
  </si>
  <si>
    <t>ACC-11900</t>
  </si>
  <si>
    <t>CUST-51900</t>
  </si>
  <si>
    <t>Nicholas Morris</t>
  </si>
  <si>
    <t>lpalmer@example.net</t>
  </si>
  <si>
    <t>ACT-02646</t>
  </si>
  <si>
    <t>WF16 3BT</t>
  </si>
  <si>
    <t>ACC-11901</t>
  </si>
  <si>
    <t>CUST-51901</t>
  </si>
  <si>
    <t>Dr Stewart Harrison</t>
  </si>
  <si>
    <t>ACT-02647</t>
  </si>
  <si>
    <t>maurice59@example.net</t>
  </si>
  <si>
    <t>ZE7 2RB</t>
  </si>
  <si>
    <t>ACT-02648</t>
  </si>
  <si>
    <t>ACC-11902</t>
  </si>
  <si>
    <t>CUST-51902</t>
  </si>
  <si>
    <t>Keith Davies</t>
  </si>
  <si>
    <t>ACT-02649</t>
  </si>
  <si>
    <t>simonjones@example.net</t>
  </si>
  <si>
    <t>TR2V 5YA</t>
  </si>
  <si>
    <t>ACC-11903</t>
  </si>
  <si>
    <t>CUST-51903</t>
  </si>
  <si>
    <t>Dr Craig Little</t>
  </si>
  <si>
    <t>ACT-02650</t>
  </si>
  <si>
    <t>reedsharon@example.com</t>
  </si>
  <si>
    <t>NR8E 6UY</t>
  </si>
  <si>
    <t>ACT-02651</t>
  </si>
  <si>
    <t>ACC-11904</t>
  </si>
  <si>
    <t>CUST-51904</t>
  </si>
  <si>
    <t>Ms Hannah Parry</t>
  </si>
  <si>
    <t>eileen44@example.com</t>
  </si>
  <si>
    <t>ACT-02652</t>
  </si>
  <si>
    <t>N7 3XQ</t>
  </si>
  <si>
    <t>ACC-11905</t>
  </si>
  <si>
    <t>CUST-51905</t>
  </si>
  <si>
    <t>Paula Sharp</t>
  </si>
  <si>
    <t>ACT-02653</t>
  </si>
  <si>
    <t>robinsonjason@example.com</t>
  </si>
  <si>
    <t>W2 8AE</t>
  </si>
  <si>
    <t>ACC-11906</t>
  </si>
  <si>
    <t>ACT-02654</t>
  </si>
  <si>
    <t>CUST-51906</t>
  </si>
  <si>
    <t>henryhill@example.net</t>
  </si>
  <si>
    <t>ACT-02655</t>
  </si>
  <si>
    <t>WR42 0GX</t>
  </si>
  <si>
    <t>ACC-11907</t>
  </si>
  <si>
    <t>CUST-51907</t>
  </si>
  <si>
    <t>Jordan Hodgson</t>
  </si>
  <si>
    <t>ACT-02656</t>
  </si>
  <si>
    <t>HX8 2SF</t>
  </si>
  <si>
    <t>ACC-11908</t>
  </si>
  <si>
    <t>CUST-51908</t>
  </si>
  <si>
    <t>ACT-02657</t>
  </si>
  <si>
    <t>Mrs Debra Lyons</t>
  </si>
  <si>
    <t>uquinn@example.org</t>
  </si>
  <si>
    <t>IG1X 6BP</t>
  </si>
  <si>
    <t>ACT-02658</t>
  </si>
  <si>
    <t>ACC-11909</t>
  </si>
  <si>
    <t>CUST-51909</t>
  </si>
  <si>
    <t>Kate Rogers</t>
  </si>
  <si>
    <t>ACT-02659</t>
  </si>
  <si>
    <t>qjames@example.org</t>
  </si>
  <si>
    <t>HA7E 4EY</t>
  </si>
  <si>
    <t>ACC-11910</t>
  </si>
  <si>
    <t>CUST-51910</t>
  </si>
  <si>
    <t>Sean Birch</t>
  </si>
  <si>
    <t>ACT-02660</t>
  </si>
  <si>
    <t>usheppard@example.com</t>
  </si>
  <si>
    <t>G0 0TF</t>
  </si>
  <si>
    <t>ACT-02661</t>
  </si>
  <si>
    <t>ACC-11911</t>
  </si>
  <si>
    <t>CUST-51911</t>
  </si>
  <si>
    <t>Mr Adam Evans</t>
  </si>
  <si>
    <t>ACT-02662</t>
  </si>
  <si>
    <t>darnold@example.org</t>
  </si>
  <si>
    <t>E05 1BL</t>
  </si>
  <si>
    <t>ACC-11912</t>
  </si>
  <si>
    <t>CUST-51912</t>
  </si>
  <si>
    <t>Mrs Sophie Smith</t>
  </si>
  <si>
    <t>ACT-02663</t>
  </si>
  <si>
    <t>ashleighthompson@example.org</t>
  </si>
  <si>
    <t>WR0 7ZY</t>
  </si>
  <si>
    <t>ACT-02664</t>
  </si>
  <si>
    <t>ACC-11913</t>
  </si>
  <si>
    <t>CUST-51913</t>
  </si>
  <si>
    <t>Mr Carl Marshall</t>
  </si>
  <si>
    <t>mohamed70@example.org</t>
  </si>
  <si>
    <t>ACT-02665</t>
  </si>
  <si>
    <t>BB74 6GH</t>
  </si>
  <si>
    <t>ACC-11914</t>
  </si>
  <si>
    <t>CUST-51914</t>
  </si>
  <si>
    <t>Dr Jasmine Higgins</t>
  </si>
  <si>
    <t>ACT-02666</t>
  </si>
  <si>
    <t>coxhannah@example.net</t>
  </si>
  <si>
    <t>N8 4PS</t>
  </si>
  <si>
    <t>ACC-11915</t>
  </si>
  <si>
    <t>CUST-51915</t>
  </si>
  <si>
    <t>ACT-02667</t>
  </si>
  <si>
    <t>Ann Stevens</t>
  </si>
  <si>
    <t>ashleygreenwood@example.com</t>
  </si>
  <si>
    <t>ACT-02668</t>
  </si>
  <si>
    <t>DT9 6WZ</t>
  </si>
  <si>
    <t>ACT-02669</t>
  </si>
  <si>
    <t>ACC-11916</t>
  </si>
  <si>
    <t>CUST-51916</t>
  </si>
  <si>
    <t>William Jennings-Smith</t>
  </si>
  <si>
    <t>ACT-02670</t>
  </si>
  <si>
    <t>robinslater@example.net</t>
  </si>
  <si>
    <t>G07 2TT</t>
  </si>
  <si>
    <t>ACT-02671</t>
  </si>
  <si>
    <t>ACC-11917</t>
  </si>
  <si>
    <t>CUST-51917</t>
  </si>
  <si>
    <t>Dr Louis Morgan</t>
  </si>
  <si>
    <t>ACT-02672</t>
  </si>
  <si>
    <t>qclark@example.com</t>
  </si>
  <si>
    <t>EH97 0XW</t>
  </si>
  <si>
    <t>ACT-02673</t>
  </si>
  <si>
    <t>ACC-11918</t>
  </si>
  <si>
    <t>CUST-51918</t>
  </si>
  <si>
    <t>Hugh Woods</t>
  </si>
  <si>
    <t>ACT-02674</t>
  </si>
  <si>
    <t>hayleygreen@example.net</t>
  </si>
  <si>
    <t>M6 4EF</t>
  </si>
  <si>
    <t>ACT-02675</t>
  </si>
  <si>
    <t>ACC-11919</t>
  </si>
  <si>
    <t>CUST-51919</t>
  </si>
  <si>
    <t>Elizabeth Perry-Thompson</t>
  </si>
  <si>
    <t>maurice89@example.net</t>
  </si>
  <si>
    <t>ACT-02676</t>
  </si>
  <si>
    <t>IV0 5XG</t>
  </si>
  <si>
    <t>ACC-11920</t>
  </si>
  <si>
    <t>CUST-51920</t>
  </si>
  <si>
    <t>Iain Dawson</t>
  </si>
  <si>
    <t>ACT-02677</t>
  </si>
  <si>
    <t>hazel00@example.org</t>
  </si>
  <si>
    <t>M4T 7TL</t>
  </si>
  <si>
    <t>ACT-02678</t>
  </si>
  <si>
    <t>ACC-11921</t>
  </si>
  <si>
    <t>CUST-51921</t>
  </si>
  <si>
    <t>Hazel Murphy</t>
  </si>
  <si>
    <t>ACT-02679</t>
  </si>
  <si>
    <t>hsmith@example.net</t>
  </si>
  <si>
    <t>LD7P 2AD</t>
  </si>
  <si>
    <t>ACC-11922</t>
  </si>
  <si>
    <t>CUST-51922</t>
  </si>
  <si>
    <t>Dr Danielle Collins</t>
  </si>
  <si>
    <t>ACT-02680</t>
  </si>
  <si>
    <t>susan60@example.net</t>
  </si>
  <si>
    <t>G91 6XY</t>
  </si>
  <si>
    <t>ACT-02681</t>
  </si>
  <si>
    <t>ACC-11923</t>
  </si>
  <si>
    <t>CUST-51923</t>
  </si>
  <si>
    <t>Craig Edwards</t>
  </si>
  <si>
    <t>connor14@example.net</t>
  </si>
  <si>
    <t>ACT-02682</t>
  </si>
  <si>
    <t>S4F 6HY</t>
  </si>
  <si>
    <t>ACC-11924</t>
  </si>
  <si>
    <t>CUST-51924</t>
  </si>
  <si>
    <t>Raymond Parsons</t>
  </si>
  <si>
    <t>ACT-02683</t>
  </si>
  <si>
    <t>steven97@example.org</t>
  </si>
  <si>
    <t>M8 6LY</t>
  </si>
  <si>
    <t>ACC-11925</t>
  </si>
  <si>
    <t>ACT-02684</t>
  </si>
  <si>
    <t>CUST-51925</t>
  </si>
  <si>
    <t>Maureen Lane-Patel</t>
  </si>
  <si>
    <t>joanne60@example.com</t>
  </si>
  <si>
    <t>ACT-02685</t>
  </si>
  <si>
    <t>WC9M 5DU</t>
  </si>
  <si>
    <t>ACC-11926</t>
  </si>
  <si>
    <t>CUST-51926</t>
  </si>
  <si>
    <t>Jill Davis</t>
  </si>
  <si>
    <t>ACT-02686</t>
  </si>
  <si>
    <t>clare74@example.org</t>
  </si>
  <si>
    <t>TQ5 4LA</t>
  </si>
  <si>
    <t>ACC-11927</t>
  </si>
  <si>
    <t>CUST-51927</t>
  </si>
  <si>
    <t>ACT-02687</t>
  </si>
  <si>
    <t>Jenna Ahmed</t>
  </si>
  <si>
    <t>cchapman@example.com</t>
  </si>
  <si>
    <t>M6 3RX</t>
  </si>
  <si>
    <t>ACT-02688</t>
  </si>
  <si>
    <t>ACC-11928</t>
  </si>
  <si>
    <t>CUST-51928</t>
  </si>
  <si>
    <t>Thomas Ward-Martin</t>
  </si>
  <si>
    <t>ACT-02689</t>
  </si>
  <si>
    <t>lewisbradley@example.com</t>
  </si>
  <si>
    <t>M04 2NB</t>
  </si>
  <si>
    <t>ACT-02690</t>
  </si>
  <si>
    <t>ACC-11929</t>
  </si>
  <si>
    <t>CUST-51929</t>
  </si>
  <si>
    <t>Howard Webster</t>
  </si>
  <si>
    <t>ACT-02691</t>
  </si>
  <si>
    <t>WS35 3AT</t>
  </si>
  <si>
    <t>ACC-11930</t>
  </si>
  <si>
    <t>CUST-51930</t>
  </si>
  <si>
    <t>Denis Brown</t>
  </si>
  <si>
    <t>ACT-02692</t>
  </si>
  <si>
    <t>ACT-02693</t>
  </si>
  <si>
    <t>btaylor@example.org</t>
  </si>
  <si>
    <t>IM08 2RL</t>
  </si>
  <si>
    <t>ACT-02694</t>
  </si>
  <si>
    <t>ACC-11931</t>
  </si>
  <si>
    <t>CUST-51931</t>
  </si>
  <si>
    <t>Lorraine Harvey-Taylor</t>
  </si>
  <si>
    <t>ACT-02695</t>
  </si>
  <si>
    <t>kingstanley@example.net</t>
  </si>
  <si>
    <t>DY4X 7AJ</t>
  </si>
  <si>
    <t>ACT-02696</t>
  </si>
  <si>
    <t>ACC-11932</t>
  </si>
  <si>
    <t>CUST-51932</t>
  </si>
  <si>
    <t>Frederick Hale</t>
  </si>
  <si>
    <t>ACT-02697</t>
  </si>
  <si>
    <t>wardjanice@example.com</t>
  </si>
  <si>
    <t>N02 7HN</t>
  </si>
  <si>
    <t>ACT-02698</t>
  </si>
  <si>
    <t>ACC-11933</t>
  </si>
  <si>
    <t>CUST-51933</t>
  </si>
  <si>
    <t>Brenda Hayward</t>
  </si>
  <si>
    <t>ACT-02699</t>
  </si>
  <si>
    <t>roy46@example.net</t>
  </si>
  <si>
    <t>BN2A 7TH</t>
  </si>
  <si>
    <t>ACC-11934</t>
  </si>
  <si>
    <t>CUST-51934</t>
  </si>
  <si>
    <t>Mr Tony Patel</t>
  </si>
  <si>
    <t>birdkarl@example.net</t>
  </si>
  <si>
    <t>CB1 7LA</t>
  </si>
  <si>
    <t>ACC-11935</t>
  </si>
  <si>
    <t>CUST-51935</t>
  </si>
  <si>
    <t>ACT-02700</t>
  </si>
  <si>
    <t>Neil Williams</t>
  </si>
  <si>
    <t>billyparker@example.org</t>
  </si>
  <si>
    <t>G7T 8HF</t>
  </si>
  <si>
    <t>ACC-11936</t>
  </si>
  <si>
    <t>CUST-51936</t>
  </si>
  <si>
    <t>Connor Jackson-Barrett</t>
  </si>
  <si>
    <t>urichards@example.org</t>
  </si>
  <si>
    <t>ACT-02701</t>
  </si>
  <si>
    <t>WA6 8GT</t>
  </si>
  <si>
    <t>ACC-11937</t>
  </si>
  <si>
    <t>CUST-51937</t>
  </si>
  <si>
    <t>Mr Karl Hewitt</t>
  </si>
  <si>
    <t>ACT-02702</t>
  </si>
  <si>
    <t>hussaingraeme@example.org</t>
  </si>
  <si>
    <t>BA3 9WD</t>
  </si>
  <si>
    <t>ACC-11938</t>
  </si>
  <si>
    <t>CUST-51938</t>
  </si>
  <si>
    <t>Tracey Williams-Woods</t>
  </si>
  <si>
    <t>ACT-02703</t>
  </si>
  <si>
    <t>eleanortaylor@example.org</t>
  </si>
  <si>
    <t>UB6 5JJ</t>
  </si>
  <si>
    <t>ACT-02704</t>
  </si>
  <si>
    <t>ACC-11939</t>
  </si>
  <si>
    <t>CUST-51939</t>
  </si>
  <si>
    <t>Abbie Reeves</t>
  </si>
  <si>
    <t>hopkinsmalcolm@example.com</t>
  </si>
  <si>
    <t>LA5V 1UJ</t>
  </si>
  <si>
    <t>ACT-02705</t>
  </si>
  <si>
    <t>ACC-11940</t>
  </si>
  <si>
    <t>CUST-51940</t>
  </si>
  <si>
    <t>Amy Webb</t>
  </si>
  <si>
    <t>ACT-02706</t>
  </si>
  <si>
    <t>adrianwilkinson@example.com</t>
  </si>
  <si>
    <t>M4 0BY</t>
  </si>
  <si>
    <t>ACC-11941</t>
  </si>
  <si>
    <t>CUST-51941</t>
  </si>
  <si>
    <t>Bethany Sullivan</t>
  </si>
  <si>
    <t>ACT-02707</t>
  </si>
  <si>
    <t>vpalmer@example.org</t>
  </si>
  <si>
    <t>E6A 6AA</t>
  </si>
  <si>
    <t>ACC-11942</t>
  </si>
  <si>
    <t>CUST-51942</t>
  </si>
  <si>
    <t>Damien Brown-Parker</t>
  </si>
  <si>
    <t>ACT-02708</t>
  </si>
  <si>
    <t>gillian35@example.com</t>
  </si>
  <si>
    <t>LE9 6GE</t>
  </si>
  <si>
    <t>ACC-11943</t>
  </si>
  <si>
    <t>CUST-51943</t>
  </si>
  <si>
    <t>Dr Toby Lees</t>
  </si>
  <si>
    <t>ACT-02709</t>
  </si>
  <si>
    <t>donaldarnold@example.org</t>
  </si>
  <si>
    <t>AL9 9DS</t>
  </si>
  <si>
    <t>ACC-11944</t>
  </si>
  <si>
    <t>CUST-51944</t>
  </si>
  <si>
    <t>Brett Williamson</t>
  </si>
  <si>
    <t>ACT-02710</t>
  </si>
  <si>
    <t>amanda98@example.net</t>
  </si>
  <si>
    <t>E3S 3YW</t>
  </si>
  <si>
    <t>ACT-02711</t>
  </si>
  <si>
    <t>ACC-11945</t>
  </si>
  <si>
    <t>CUST-51945</t>
  </si>
  <si>
    <t>Mrs Geraldine Thompson</t>
  </si>
  <si>
    <t>robinsonsally@example.com</t>
  </si>
  <si>
    <t>CF1E 7TY</t>
  </si>
  <si>
    <t>ACT-02712</t>
  </si>
  <si>
    <t>ACC-11946</t>
  </si>
  <si>
    <t>CUST-51946</t>
  </si>
  <si>
    <t>Stacey O'Neill</t>
  </si>
  <si>
    <t>hayley22@example.org</t>
  </si>
  <si>
    <t>ACT-02713</t>
  </si>
  <si>
    <t>E9 9TA</t>
  </si>
  <si>
    <t>ACC-11947</t>
  </si>
  <si>
    <t>CUST-51947</t>
  </si>
  <si>
    <t>Shannon Cox</t>
  </si>
  <si>
    <t>ACT-02714</t>
  </si>
  <si>
    <t>callumfisher@example.com</t>
  </si>
  <si>
    <t>HA25 1FW</t>
  </si>
  <si>
    <t>ACC-11948</t>
  </si>
  <si>
    <t>ACT-02715</t>
  </si>
  <si>
    <t>CUST-51948</t>
  </si>
  <si>
    <t>Kathryn Dean</t>
  </si>
  <si>
    <t>ACT-02716</t>
  </si>
  <si>
    <t>graeme24@example.org</t>
  </si>
  <si>
    <t>BS37 3ZP</t>
  </si>
  <si>
    <t>ACC-11949</t>
  </si>
  <si>
    <t>CUST-51949</t>
  </si>
  <si>
    <t>Mrs Diane Lewis</t>
  </si>
  <si>
    <t>ACT-02717</t>
  </si>
  <si>
    <t>natashacunningham@example.net</t>
  </si>
  <si>
    <t>G6 3FP</t>
  </si>
  <si>
    <t>ACC-11950</t>
  </si>
  <si>
    <t>CUST-51950</t>
  </si>
  <si>
    <t>Beverley Pope</t>
  </si>
  <si>
    <t>ACT-02718</t>
  </si>
  <si>
    <t>amberreynolds@example.org</t>
  </si>
  <si>
    <t>LU04 4EU</t>
  </si>
  <si>
    <t>ACC-11951</t>
  </si>
  <si>
    <t>CUST-51951</t>
  </si>
  <si>
    <t>ACT-02719</t>
  </si>
  <si>
    <t>Max Thompson</t>
  </si>
  <si>
    <t>pughmaria@example.com</t>
  </si>
  <si>
    <t>W90 2DE</t>
  </si>
  <si>
    <t>ACT-02720</t>
  </si>
  <si>
    <t>ACC-11952</t>
  </si>
  <si>
    <t>CUST-51952</t>
  </si>
  <si>
    <t>Antony Walker</t>
  </si>
  <si>
    <t>ACT-02721</t>
  </si>
  <si>
    <t>pamela78@example.net</t>
  </si>
  <si>
    <t>B32 6XE</t>
  </si>
  <si>
    <t>ACC-11953</t>
  </si>
  <si>
    <t>CUST-51953</t>
  </si>
  <si>
    <t>Dr Edward Shaw</t>
  </si>
  <si>
    <t>ACT-02722</t>
  </si>
  <si>
    <t>ACT-02723</t>
  </si>
  <si>
    <t>hchan@example.org</t>
  </si>
  <si>
    <t>ST3 9XS</t>
  </si>
  <si>
    <t>ACC-11954</t>
  </si>
  <si>
    <t>CUST-51954</t>
  </si>
  <si>
    <t>Jason Harvey</t>
  </si>
  <si>
    <t>ACT-02724</t>
  </si>
  <si>
    <t>juliepatterson@example.org</t>
  </si>
  <si>
    <t>JE84 8FH</t>
  </si>
  <si>
    <t>ACT-02725</t>
  </si>
  <si>
    <t>ACC-11955</t>
  </si>
  <si>
    <t>CUST-51955</t>
  </si>
  <si>
    <t>Louise Harrison</t>
  </si>
  <si>
    <t>ACT-02726</t>
  </si>
  <si>
    <t>joannejones@example.net</t>
  </si>
  <si>
    <t>TD71 7BJ</t>
  </si>
  <si>
    <t>ACT-02727</t>
  </si>
  <si>
    <t>ACC-11956</t>
  </si>
  <si>
    <t>CUST-51956</t>
  </si>
  <si>
    <t>Duncan Donnelly</t>
  </si>
  <si>
    <t>pclayton@example.com</t>
  </si>
  <si>
    <t>ACT-02728</t>
  </si>
  <si>
    <t>LA1 6EF</t>
  </si>
  <si>
    <t>ACC-11957</t>
  </si>
  <si>
    <t>CUST-51957</t>
  </si>
  <si>
    <t>Kevin Warren</t>
  </si>
  <si>
    <t>ACT-02729</t>
  </si>
  <si>
    <t>xfreeman@example.com</t>
  </si>
  <si>
    <t>B15 9TD</t>
  </si>
  <si>
    <t>ACC-11958</t>
  </si>
  <si>
    <t>ACT-02730</t>
  </si>
  <si>
    <t>CUST-51958</t>
  </si>
  <si>
    <t>Donna Williams</t>
  </si>
  <si>
    <t>richardsonrosemary@example.com</t>
  </si>
  <si>
    <t>ACT-02731</t>
  </si>
  <si>
    <t>JE3 8BA</t>
  </si>
  <si>
    <t>ACC-11959</t>
  </si>
  <si>
    <t>CUST-51959</t>
  </si>
  <si>
    <t>Kerry Palmer</t>
  </si>
  <si>
    <t>ACT-02732</t>
  </si>
  <si>
    <t>gwilkins@example.com</t>
  </si>
  <si>
    <t>GL4H 0QJ</t>
  </si>
  <si>
    <t>ACC-11960</t>
  </si>
  <si>
    <t>CUST-51960</t>
  </si>
  <si>
    <t>Caroline Gordon-King</t>
  </si>
  <si>
    <t>ACT-02733</t>
  </si>
  <si>
    <t>patricia64@example.com</t>
  </si>
  <si>
    <t>B64 0EX</t>
  </si>
  <si>
    <t>ACT-02734</t>
  </si>
  <si>
    <t>ACC-11961</t>
  </si>
  <si>
    <t>CUST-51961</t>
  </si>
  <si>
    <t>Raymond Graham</t>
  </si>
  <si>
    <t>melissawoods@example.com</t>
  </si>
  <si>
    <t>ACT-02735</t>
  </si>
  <si>
    <t>SG35 6XA</t>
  </si>
  <si>
    <t>ACC-11962</t>
  </si>
  <si>
    <t>CUST-51962</t>
  </si>
  <si>
    <t>Martyn Johnston</t>
  </si>
  <si>
    <t>ACT-02736</t>
  </si>
  <si>
    <t>staceystone@example.com</t>
  </si>
  <si>
    <t>W2 9SZ</t>
  </si>
  <si>
    <t>ACC-11963</t>
  </si>
  <si>
    <t>ACT-02737</t>
  </si>
  <si>
    <t>CUST-51963</t>
  </si>
  <si>
    <t>Mrs Lauren Cunningham</t>
  </si>
  <si>
    <t>wintervanessa@example.com</t>
  </si>
  <si>
    <t>CB1 4FJ</t>
  </si>
  <si>
    <t>ACT-02738</t>
  </si>
  <si>
    <t>ACC-11964</t>
  </si>
  <si>
    <t>CUST-51964</t>
  </si>
  <si>
    <t>Katie Begum</t>
  </si>
  <si>
    <t>ACT-02739</t>
  </si>
  <si>
    <t>helenaustin@example.org</t>
  </si>
  <si>
    <t>N0F 2YY</t>
  </si>
  <si>
    <t>ACC-11965</t>
  </si>
  <si>
    <t>CUST-51965</t>
  </si>
  <si>
    <t>ACT-02740</t>
  </si>
  <si>
    <t>Aimee Thompson-Brown</t>
  </si>
  <si>
    <t>barkerclifford@example.net</t>
  </si>
  <si>
    <t>S50 1RL</t>
  </si>
  <si>
    <t>ACT-02741</t>
  </si>
  <si>
    <t>ACC-11966</t>
  </si>
  <si>
    <t>CUST-51966</t>
  </si>
  <si>
    <t>Jake George</t>
  </si>
  <si>
    <t>ACT-02742</t>
  </si>
  <si>
    <t>harristom@example.net</t>
  </si>
  <si>
    <t>GL1B 6NL</t>
  </si>
  <si>
    <t>ACC-11967</t>
  </si>
  <si>
    <t>CUST-51967</t>
  </si>
  <si>
    <t>Pauline Elliott</t>
  </si>
  <si>
    <t>ACT-02743</t>
  </si>
  <si>
    <t>chill@example.com</t>
  </si>
  <si>
    <t>PR95 7UB</t>
  </si>
  <si>
    <t>ACT-02744</t>
  </si>
  <si>
    <t>ACC-11968</t>
  </si>
  <si>
    <t>CUST-51968</t>
  </si>
  <si>
    <t>Mr Simon Evans</t>
  </si>
  <si>
    <t>holmesgregory@example.com</t>
  </si>
  <si>
    <t>ACT-02745</t>
  </si>
  <si>
    <t>E2 0YX</t>
  </si>
  <si>
    <t>ACC-11969</t>
  </si>
  <si>
    <t>CUST-51969</t>
  </si>
  <si>
    <t>Gordon Rowley</t>
  </si>
  <si>
    <t>ACT-02746</t>
  </si>
  <si>
    <t>karen40@example.org</t>
  </si>
  <si>
    <t>WV87 6HS</t>
  </si>
  <si>
    <t>ACT-02747</t>
  </si>
  <si>
    <t>ACC-11970</t>
  </si>
  <si>
    <t>CUST-51970</t>
  </si>
  <si>
    <t>Tracy Ford</t>
  </si>
  <si>
    <t>smithmaureen@example.org</t>
  </si>
  <si>
    <t>ACT-02748</t>
  </si>
  <si>
    <t>S1C 5JD</t>
  </si>
  <si>
    <t>ACC-11971</t>
  </si>
  <si>
    <t>CUST-51971</t>
  </si>
  <si>
    <t>Mohammad Walker</t>
  </si>
  <si>
    <t>ACT-02749</t>
  </si>
  <si>
    <t>nhunt@example.org</t>
  </si>
  <si>
    <t>E9 5JY</t>
  </si>
  <si>
    <t>ACT-02750</t>
  </si>
  <si>
    <t>ACC-11972</t>
  </si>
  <si>
    <t>CUST-51972</t>
  </si>
  <si>
    <t>Kathleen Taylor</t>
  </si>
  <si>
    <t>liamholden@example.com</t>
  </si>
  <si>
    <t>SS7 6TG</t>
  </si>
  <si>
    <t>ACT-02751</t>
  </si>
  <si>
    <t>ACC-11973</t>
  </si>
  <si>
    <t>CUST-51973</t>
  </si>
  <si>
    <t>Martin Harris-Warren</t>
  </si>
  <si>
    <t>ACT-02752</t>
  </si>
  <si>
    <t>paul87@example.org</t>
  </si>
  <si>
    <t>W9 8TP</t>
  </si>
  <si>
    <t>ACC-11974</t>
  </si>
  <si>
    <t>ACT-02753</t>
  </si>
  <si>
    <t>CUST-51974</t>
  </si>
  <si>
    <t>Mrs Kimberley Lamb</t>
  </si>
  <si>
    <t>jay19@example.org</t>
  </si>
  <si>
    <t>ACT-02754</t>
  </si>
  <si>
    <t>B0K 3YN</t>
  </si>
  <si>
    <t>ACC-11975</t>
  </si>
  <si>
    <t>CUST-51975</t>
  </si>
  <si>
    <t>Mr Scott Brown</t>
  </si>
  <si>
    <t>ACT-02755</t>
  </si>
  <si>
    <t>kirsty52@example.net</t>
  </si>
  <si>
    <t>M8 5TT</t>
  </si>
  <si>
    <t>ACC-11976</t>
  </si>
  <si>
    <t>CUST-51976</t>
  </si>
  <si>
    <t>June Jones</t>
  </si>
  <si>
    <t>ACT-02756</t>
  </si>
  <si>
    <t>dorothy62@example.net</t>
  </si>
  <si>
    <t>B6 7NT</t>
  </si>
  <si>
    <t>ACT-02757</t>
  </si>
  <si>
    <t>ACC-11977</t>
  </si>
  <si>
    <t>CUST-51977</t>
  </si>
  <si>
    <t>Grace Sharpe</t>
  </si>
  <si>
    <t>charlie07@example.com</t>
  </si>
  <si>
    <t>ACT-02758</t>
  </si>
  <si>
    <t>B3B 5RL</t>
  </si>
  <si>
    <t>ACC-11978</t>
  </si>
  <si>
    <t>CUST-51978</t>
  </si>
  <si>
    <t>Frances Miller-Adams</t>
  </si>
  <si>
    <t>ACT-02759</t>
  </si>
  <si>
    <t>mbennett@example.com</t>
  </si>
  <si>
    <t>JE7 5YY</t>
  </si>
  <si>
    <t>ACT-02760</t>
  </si>
  <si>
    <t>ACC-11979</t>
  </si>
  <si>
    <t>CUST-51979</t>
  </si>
  <si>
    <t>Mr Graeme Lewis</t>
  </si>
  <si>
    <t>ACT-02761</t>
  </si>
  <si>
    <t>maureenthompson@example.org</t>
  </si>
  <si>
    <t>E43 0WR</t>
  </si>
  <si>
    <t>ACC-11980</t>
  </si>
  <si>
    <t>CUST-51980</t>
  </si>
  <si>
    <t>Ben Martin</t>
  </si>
  <si>
    <t>ACT-02762</t>
  </si>
  <si>
    <t>mohammadjackson@example.net</t>
  </si>
  <si>
    <t>G2U 4HB</t>
  </si>
  <si>
    <t>ACC-11981</t>
  </si>
  <si>
    <t>CUST-51981</t>
  </si>
  <si>
    <t>Elaine Rowe</t>
  </si>
  <si>
    <t>ACT-02763</t>
  </si>
  <si>
    <t>barrygreenwood@example.net</t>
  </si>
  <si>
    <t>LA7 5TD</t>
  </si>
  <si>
    <t>ACC-11982</t>
  </si>
  <si>
    <t>CUST-51982</t>
  </si>
  <si>
    <t>Leah Parker</t>
  </si>
  <si>
    <t>ACT-02764</t>
  </si>
  <si>
    <t>tobythompson@example.com</t>
  </si>
  <si>
    <t>E30 3BH</t>
  </si>
  <si>
    <t>ACT-02765</t>
  </si>
  <si>
    <t>ACC-11983</t>
  </si>
  <si>
    <t>CUST-51983</t>
  </si>
  <si>
    <t>Mr Rhys Smith</t>
  </si>
  <si>
    <t>ACT-02766</t>
  </si>
  <si>
    <t>G77 3PG</t>
  </si>
  <si>
    <t>ACC-11984</t>
  </si>
  <si>
    <t>CUST-51984</t>
  </si>
  <si>
    <t>Kimberley Gray</t>
  </si>
  <si>
    <t>ACT-02767</t>
  </si>
  <si>
    <t>rherbert@example.com</t>
  </si>
  <si>
    <t>BH1 6YS</t>
  </si>
  <si>
    <t>ACT-02768</t>
  </si>
  <si>
    <t>ACC-11985</t>
  </si>
  <si>
    <t>CUST-51985</t>
  </si>
  <si>
    <t>Miss Megan Reeves</t>
  </si>
  <si>
    <t>ACT-02769</t>
  </si>
  <si>
    <t>vconnolly@example.com</t>
  </si>
  <si>
    <t>BA51 1DJ</t>
  </si>
  <si>
    <t>ACT-02770</t>
  </si>
  <si>
    <t>ACC-11986</t>
  </si>
  <si>
    <t>CUST-51986</t>
  </si>
  <si>
    <t>Ms Sian Knight</t>
  </si>
  <si>
    <t>ACT-02771</t>
  </si>
  <si>
    <t>jack11@example.net</t>
  </si>
  <si>
    <t>W18 9FH</t>
  </si>
  <si>
    <t>ACC-11987</t>
  </si>
  <si>
    <t>CUST-51987</t>
  </si>
  <si>
    <t>Luke Lewis</t>
  </si>
  <si>
    <t>ACT-02772</t>
  </si>
  <si>
    <t>bethanbolton@example.net</t>
  </si>
  <si>
    <t>S9 4HQ</t>
  </si>
  <si>
    <t>ACC-11988</t>
  </si>
  <si>
    <t>CUST-51988</t>
  </si>
  <si>
    <t>Heather Lambert</t>
  </si>
  <si>
    <t>ACT-02773</t>
  </si>
  <si>
    <t>katiescott@example.org</t>
  </si>
  <si>
    <t>G21 7TX</t>
  </si>
  <si>
    <t>ACC-11989</t>
  </si>
  <si>
    <t>CUST-51989</t>
  </si>
  <si>
    <t>Sarah Lloyd</t>
  </si>
  <si>
    <t>ACT-02774</t>
  </si>
  <si>
    <t>L19 1PZ</t>
  </si>
  <si>
    <t>ACC-11990</t>
  </si>
  <si>
    <t>CUST-51990</t>
  </si>
  <si>
    <t>Jayne Burns-Moore</t>
  </si>
  <si>
    <t>ACT-02775</t>
  </si>
  <si>
    <t>EH4V 7PQ</t>
  </si>
  <si>
    <t>ACC-11991</t>
  </si>
  <si>
    <t>CUST-51991</t>
  </si>
  <si>
    <t>Jay Jones</t>
  </si>
  <si>
    <t>bdavies@example.org</t>
  </si>
  <si>
    <t>G58 7SH</t>
  </si>
  <si>
    <t>ACT-02776</t>
  </si>
  <si>
    <t>ACC-11992</t>
  </si>
  <si>
    <t>CUST-51992</t>
  </si>
  <si>
    <t>Mr Gerard Hughes</t>
  </si>
  <si>
    <t>kylesaunders@example.net</t>
  </si>
  <si>
    <t>N3G 9ET</t>
  </si>
  <si>
    <t>ACC-11993</t>
  </si>
  <si>
    <t>CUST-51993</t>
  </si>
  <si>
    <t>ACT-02777</t>
  </si>
  <si>
    <t>Phillip Begum</t>
  </si>
  <si>
    <t>OL6 8ND</t>
  </si>
  <si>
    <t>ACC-11994</t>
  </si>
  <si>
    <t>CUST-51994</t>
  </si>
  <si>
    <t>Miss Lisa Atkins</t>
  </si>
  <si>
    <t>ACT-02778</t>
  </si>
  <si>
    <t>lawrence62@example.net</t>
  </si>
  <si>
    <t>LU5 0ET</t>
  </si>
  <si>
    <t>ACT-02779</t>
  </si>
  <si>
    <t>ACC-11995</t>
  </si>
  <si>
    <t>CUST-51995</t>
  </si>
  <si>
    <t>Lewis Parker</t>
  </si>
  <si>
    <t>ACT-02780</t>
  </si>
  <si>
    <t>wheelerconnor@example.org</t>
  </si>
  <si>
    <t>TW1A 9RH</t>
  </si>
  <si>
    <t>ACC-11996</t>
  </si>
  <si>
    <t>CUST-51996</t>
  </si>
  <si>
    <t>Douglas Allan</t>
  </si>
  <si>
    <t>ACT-02781</t>
  </si>
  <si>
    <t>barberalison@example.net</t>
  </si>
  <si>
    <t>ACT-02782</t>
  </si>
  <si>
    <t>N85 3AX</t>
  </si>
  <si>
    <t>ACC-11997</t>
  </si>
  <si>
    <t>CUST-51997</t>
  </si>
  <si>
    <t>ACT-02783</t>
  </si>
  <si>
    <t>Martin Williams-Bentley</t>
  </si>
  <si>
    <t>ritabrown@example.org</t>
  </si>
  <si>
    <t>NW3 2FW</t>
  </si>
  <si>
    <t>ACT-02784</t>
  </si>
  <si>
    <t>ACC-11998</t>
  </si>
  <si>
    <t>CUST-51998</t>
  </si>
  <si>
    <t>Abigail Bond</t>
  </si>
  <si>
    <t>ACT-02785</t>
  </si>
  <si>
    <t>moneill@example.com</t>
  </si>
  <si>
    <t>B5 0YX</t>
  </si>
  <si>
    <t>ACC-11999</t>
  </si>
  <si>
    <t>CUST-51999</t>
  </si>
  <si>
    <t>ACT-02786</t>
  </si>
  <si>
    <t>Mr Ronald Carter</t>
  </si>
  <si>
    <t>ACT-02787</t>
  </si>
  <si>
    <t>williamsjennifer@example.net</t>
  </si>
  <si>
    <t>DD00 2HE</t>
  </si>
  <si>
    <t>ACT-02788</t>
  </si>
  <si>
    <t>ACC-12000</t>
  </si>
  <si>
    <t>CUST-52000</t>
  </si>
  <si>
    <t>Pauline Cunningham</t>
  </si>
  <si>
    <t>ACT-02789</t>
  </si>
  <si>
    <t>haynesmaureen@example.com</t>
  </si>
  <si>
    <t>ACT-02790</t>
  </si>
  <si>
    <t>S8 2NF</t>
  </si>
  <si>
    <t>ACT-02791</t>
  </si>
  <si>
    <t>ACC-12001</t>
  </si>
  <si>
    <t>CUST-52001</t>
  </si>
  <si>
    <t>Lindsey Haynes</t>
  </si>
  <si>
    <t>ACT-02792</t>
  </si>
  <si>
    <t>wdaniels@example.com</t>
  </si>
  <si>
    <t>S4T 0YF</t>
  </si>
  <si>
    <t>ACT-02793</t>
  </si>
  <si>
    <t>ACC-12002</t>
  </si>
  <si>
    <t>CUST-52002</t>
  </si>
  <si>
    <t>ACT-02794</t>
  </si>
  <si>
    <t>Brenda Miller</t>
  </si>
  <si>
    <t>ACT-02795</t>
  </si>
  <si>
    <t>alan81@example.org</t>
  </si>
  <si>
    <t>CW5 5PS</t>
  </si>
  <si>
    <t>ACT-02796</t>
  </si>
  <si>
    <t>ACC-12003</t>
  </si>
  <si>
    <t>CUST-52003</t>
  </si>
  <si>
    <t>Gerald Davis</t>
  </si>
  <si>
    <t>ACT-02797</t>
  </si>
  <si>
    <t>karenchapman@example.com</t>
  </si>
  <si>
    <t>NG4W 9NL</t>
  </si>
  <si>
    <t>ACT-02798</t>
  </si>
  <si>
    <t>ACC-12004</t>
  </si>
  <si>
    <t>CUST-52004</t>
  </si>
  <si>
    <t>Angela Gray</t>
  </si>
  <si>
    <t>ACT-02799</t>
  </si>
  <si>
    <t>ACT-02800</t>
  </si>
  <si>
    <t>sharon68@example.net</t>
  </si>
  <si>
    <t>N36 4GD</t>
  </si>
  <si>
    <t>ACC-12005</t>
  </si>
  <si>
    <t>ACT-02801</t>
  </si>
  <si>
    <t>CUST-52005</t>
  </si>
  <si>
    <t>Toby Harris</t>
  </si>
  <si>
    <t>ACT-02802</t>
  </si>
  <si>
    <t>thorpevincent@example.org</t>
  </si>
  <si>
    <t>S15 1WQ</t>
  </si>
  <si>
    <t>ACC-12006</t>
  </si>
  <si>
    <t>ACT-02803</t>
  </si>
  <si>
    <t>CUST-52006</t>
  </si>
  <si>
    <t>Mr Guy Clarke</t>
  </si>
  <si>
    <t>williamsanthony@example.org</t>
  </si>
  <si>
    <t>ACT-02804</t>
  </si>
  <si>
    <t>LL7 5YB</t>
  </si>
  <si>
    <t>ACC-12007</t>
  </si>
  <si>
    <t>ACT-02805</t>
  </si>
  <si>
    <t>CUST-52007</t>
  </si>
  <si>
    <t>Mr Cameron Gallagher</t>
  </si>
  <si>
    <t>ACT-02806</t>
  </si>
  <si>
    <t>eileen14@example.org</t>
  </si>
  <si>
    <t>KW6A 9LF</t>
  </si>
  <si>
    <t>ACT-02807</t>
  </si>
  <si>
    <t>ACC-12008</t>
  </si>
  <si>
    <t>CUST-52008</t>
  </si>
  <si>
    <t>Leslie Fry</t>
  </si>
  <si>
    <t>ACT-02808</t>
  </si>
  <si>
    <t>kirstyturner@example.net</t>
  </si>
  <si>
    <t>ACT-02809</t>
  </si>
  <si>
    <t>E9 8DN</t>
  </si>
  <si>
    <t>ACT-02810</t>
  </si>
  <si>
    <t>ACC-12009</t>
  </si>
  <si>
    <t>CUST-52009</t>
  </si>
  <si>
    <t>Dr Daniel Thompson</t>
  </si>
  <si>
    <t>ACT-02811</t>
  </si>
  <si>
    <t>gemmajackson@example.net</t>
  </si>
  <si>
    <t>ACT-02812</t>
  </si>
  <si>
    <t>W7K 1FP</t>
  </si>
  <si>
    <t>ACC-12010</t>
  </si>
  <si>
    <t>ACT-02813</t>
  </si>
  <si>
    <t>CUST-52010</t>
  </si>
  <si>
    <t>Dr Stanley Holmes</t>
  </si>
  <si>
    <t>ACT-02814</t>
  </si>
  <si>
    <t>hlawrence@example.com</t>
  </si>
  <si>
    <t>FY4 7FU</t>
  </si>
  <si>
    <t>ACT-02815</t>
  </si>
  <si>
    <t>ACC-12011</t>
  </si>
  <si>
    <t>CUST-52011</t>
  </si>
  <si>
    <t>Gavin Marshall</t>
  </si>
  <si>
    <t>ACT-02816</t>
  </si>
  <si>
    <t>alexrobson@example.org</t>
  </si>
  <si>
    <t>B9C 1NQ</t>
  </si>
  <si>
    <t>ACC-12012</t>
  </si>
  <si>
    <t>ACT-02817</t>
  </si>
  <si>
    <t>CUST-52012</t>
  </si>
  <si>
    <t>Kayleigh Coles</t>
  </si>
  <si>
    <t>vwalker@example.net</t>
  </si>
  <si>
    <t>B3 2NP</t>
  </si>
  <si>
    <t>ACT-02818</t>
  </si>
  <si>
    <t>ACC-12013</t>
  </si>
  <si>
    <t>CUST-52013</t>
  </si>
  <si>
    <t>Leslie Wilkinson</t>
  </si>
  <si>
    <t>ACT-02819</t>
  </si>
  <si>
    <t>howardyoung@example.org</t>
  </si>
  <si>
    <t>S9 9AD</t>
  </si>
  <si>
    <t>ACC-12014</t>
  </si>
  <si>
    <t>CUST-52014</t>
  </si>
  <si>
    <t>Dr Cameron Stone</t>
  </si>
  <si>
    <t>ACT-02820</t>
  </si>
  <si>
    <t>bthomas@example.org</t>
  </si>
  <si>
    <t>HD5E 9BN</t>
  </si>
  <si>
    <t>ACC-12015</t>
  </si>
  <si>
    <t>ACT-02821</t>
  </si>
  <si>
    <t>CUST-52015</t>
  </si>
  <si>
    <t>John Francis</t>
  </si>
  <si>
    <t>paullaw@example.com</t>
  </si>
  <si>
    <t>B64 0TG</t>
  </si>
  <si>
    <t>ACT-02822</t>
  </si>
  <si>
    <t>ACC-12016</t>
  </si>
  <si>
    <t>CUST-52016</t>
  </si>
  <si>
    <t>Joel Knight-Jackson</t>
  </si>
  <si>
    <t>woodstanley@example.com</t>
  </si>
  <si>
    <t>ME63 0BY</t>
  </si>
  <si>
    <t>ACT-02823</t>
  </si>
  <si>
    <t>ACC-12017</t>
  </si>
  <si>
    <t>CUST-52017</t>
  </si>
  <si>
    <t>Malcolm Nicholson</t>
  </si>
  <si>
    <t>ACT-02824</t>
  </si>
  <si>
    <t>gemmalynch@example.com</t>
  </si>
  <si>
    <t>WC49 9SW</t>
  </si>
  <si>
    <t>ACC-12018</t>
  </si>
  <si>
    <t>CUST-52018</t>
  </si>
  <si>
    <t>ACT-02825</t>
  </si>
  <si>
    <t>Dr Dorothy Burton</t>
  </si>
  <si>
    <t>northbrett@example.org</t>
  </si>
  <si>
    <t>M2S 4PE</t>
  </si>
  <si>
    <t>ACT-02826</t>
  </si>
  <si>
    <t>ACC-12019</t>
  </si>
  <si>
    <t>CUST-52019</t>
  </si>
  <si>
    <t>Adrian Brooks</t>
  </si>
  <si>
    <t>ACT-02827</t>
  </si>
  <si>
    <t>williamsmohammad@example.com</t>
  </si>
  <si>
    <t>RM5 2WR</t>
  </si>
  <si>
    <t>ACC-12020</t>
  </si>
  <si>
    <t>CUST-52020</t>
  </si>
  <si>
    <t>Tina Thomas</t>
  </si>
  <si>
    <t>ACT-02828</t>
  </si>
  <si>
    <t>S24 9XT</t>
  </si>
  <si>
    <t>ACT-02829</t>
  </si>
  <si>
    <t>ACC-12021</t>
  </si>
  <si>
    <t>CUST-52021</t>
  </si>
  <si>
    <t>Darren Evans</t>
  </si>
  <si>
    <t>ACT-02830</t>
  </si>
  <si>
    <t>hardingalexander@example.com</t>
  </si>
  <si>
    <t>W4S 9LU</t>
  </si>
  <si>
    <t>ACC-12022</t>
  </si>
  <si>
    <t>CUST-52022</t>
  </si>
  <si>
    <t>Mr Dennis Wright</t>
  </si>
  <si>
    <t>ACT-02831</t>
  </si>
  <si>
    <t>sheilahill@example.com</t>
  </si>
  <si>
    <t>HD07 0XA</t>
  </si>
  <si>
    <t>ACC-12023</t>
  </si>
  <si>
    <t>ACT-02832</t>
  </si>
  <si>
    <t>CUST-52023</t>
  </si>
  <si>
    <t>Malcolm Grant</t>
  </si>
  <si>
    <t>ssmith@example.org</t>
  </si>
  <si>
    <t>W27 4DZ</t>
  </si>
  <si>
    <t>ACT-02833</t>
  </si>
  <si>
    <t>ACC-12024</t>
  </si>
  <si>
    <t>CUST-52024</t>
  </si>
  <si>
    <t>Charlie Bailey-Hall</t>
  </si>
  <si>
    <t>ACT-02834</t>
  </si>
  <si>
    <t>wmason@example.net</t>
  </si>
  <si>
    <t>B1 1BH</t>
  </si>
  <si>
    <t>ACC-12025</t>
  </si>
  <si>
    <t>CUST-52025</t>
  </si>
  <si>
    <t>Jeffrey Fitzgerald-Evans</t>
  </si>
  <si>
    <t>ACT-02835</t>
  </si>
  <si>
    <t>bradley85@example.net</t>
  </si>
  <si>
    <t>G96 4FE</t>
  </si>
  <si>
    <t>ACT-02836</t>
  </si>
  <si>
    <t>ACC-12026</t>
  </si>
  <si>
    <t>CUST-52026</t>
  </si>
  <si>
    <t>Robert Pritchard-Jackson</t>
  </si>
  <si>
    <t>brennandominic@example.net</t>
  </si>
  <si>
    <t>CR0 2TJ</t>
  </si>
  <si>
    <t>ACT-02837</t>
  </si>
  <si>
    <t>ACC-12027</t>
  </si>
  <si>
    <t>CUST-52027</t>
  </si>
  <si>
    <t>Antony Wood-Dale</t>
  </si>
  <si>
    <t>ACT-02838</t>
  </si>
  <si>
    <t>andrea42@example.net</t>
  </si>
  <si>
    <t>IM0 7RD</t>
  </si>
  <si>
    <t>ACT-02839</t>
  </si>
  <si>
    <t>ACC-12028</t>
  </si>
  <si>
    <t>CUST-52028</t>
  </si>
  <si>
    <t>Michael Kaur</t>
  </si>
  <si>
    <t>johnsonheather@example.org</t>
  </si>
  <si>
    <t>ACT-02840</t>
  </si>
  <si>
    <t>OX7 5EG</t>
  </si>
  <si>
    <t>ACC-12029</t>
  </si>
  <si>
    <t>CUST-52029</t>
  </si>
  <si>
    <t>Marilyn Gray-Lamb</t>
  </si>
  <si>
    <t>ACT-02841</t>
  </si>
  <si>
    <t>skinnerkimberley@example.com</t>
  </si>
  <si>
    <t>CR8 2AJ</t>
  </si>
  <si>
    <t>ACC-12030</t>
  </si>
  <si>
    <t>CUST-52030</t>
  </si>
  <si>
    <t>Mrs Francesca Kaur</t>
  </si>
  <si>
    <t>ACT-02842</t>
  </si>
  <si>
    <t>ACT-02843</t>
  </si>
  <si>
    <t>M1G 2UE</t>
  </si>
  <si>
    <t>ACC-12031</t>
  </si>
  <si>
    <t>ACT-02844</t>
  </si>
  <si>
    <t>CUST-52031</t>
  </si>
  <si>
    <t>Jordan Jennings-Thompson</t>
  </si>
  <si>
    <t>ACT-02845</t>
  </si>
  <si>
    <t>beverley47@example.org</t>
  </si>
  <si>
    <t>SM94 1WN</t>
  </si>
  <si>
    <t>ACT-02846</t>
  </si>
  <si>
    <t>ACC-12032</t>
  </si>
  <si>
    <t>CUST-52032</t>
  </si>
  <si>
    <t>Graeme Kirby</t>
  </si>
  <si>
    <t>shaunball@example.org</t>
  </si>
  <si>
    <t>SR2X 2AL</t>
  </si>
  <si>
    <t>ACT-02847</t>
  </si>
  <si>
    <t>ACC-12033</t>
  </si>
  <si>
    <t>CUST-52033</t>
  </si>
  <si>
    <t>Charlotte Hopkins-Manning</t>
  </si>
  <si>
    <t>ACT-02848</t>
  </si>
  <si>
    <t>frederick78@example.org</t>
  </si>
  <si>
    <t>W36 2XW</t>
  </si>
  <si>
    <t>ACC-12034</t>
  </si>
  <si>
    <t>CUST-52034</t>
  </si>
  <si>
    <t>Trevor Ahmed-Smith</t>
  </si>
  <si>
    <t>ACT-02849</t>
  </si>
  <si>
    <t>kathleen09@example.org</t>
  </si>
  <si>
    <t>OL76 3PQ</t>
  </si>
  <si>
    <t>ACT-02850</t>
  </si>
  <si>
    <t>ACC-12035</t>
  </si>
  <si>
    <t>CUST-52035</t>
  </si>
  <si>
    <t>Amelia Poole</t>
  </si>
  <si>
    <t>ACT-02851</t>
  </si>
  <si>
    <t>valeriewilkins@example.org</t>
  </si>
  <si>
    <t>M12 9NF</t>
  </si>
  <si>
    <t>ACT-02852</t>
  </si>
  <si>
    <t>ACC-12036</t>
  </si>
  <si>
    <t>CUST-52036</t>
  </si>
  <si>
    <t>Dr Norman Farrell</t>
  </si>
  <si>
    <t>chanvincent@example.com</t>
  </si>
  <si>
    <t>ACT-02853</t>
  </si>
  <si>
    <t>WA2 1WP</t>
  </si>
  <si>
    <t>ACC-12037</t>
  </si>
  <si>
    <t>CUST-52037</t>
  </si>
  <si>
    <t>Jay Barnes-Storey</t>
  </si>
  <si>
    <t>ACT-02854</t>
  </si>
  <si>
    <t>stuart39@example.com</t>
  </si>
  <si>
    <t>PE7 5HU</t>
  </si>
  <si>
    <t>ACC-12038</t>
  </si>
  <si>
    <t>ACT-02855</t>
  </si>
  <si>
    <t>CUST-52038</t>
  </si>
  <si>
    <t>Nigel Jones</t>
  </si>
  <si>
    <t>nashsarah@example.net</t>
  </si>
  <si>
    <t>NR4 3YG</t>
  </si>
  <si>
    <t>ACT-02856</t>
  </si>
  <si>
    <t>ACC-12039</t>
  </si>
  <si>
    <t>CUST-52039</t>
  </si>
  <si>
    <t>Mrs Zoe Boyle</t>
  </si>
  <si>
    <t>jennasinclair@example.com</t>
  </si>
  <si>
    <t>N75 0RW</t>
  </si>
  <si>
    <t>ACT-02857</t>
  </si>
  <si>
    <t>ACC-12040</t>
  </si>
  <si>
    <t>CUST-52040</t>
  </si>
  <si>
    <t>Mr Mohammad Ferguson</t>
  </si>
  <si>
    <t>ACT-02858</t>
  </si>
  <si>
    <t>westleon@example.org</t>
  </si>
  <si>
    <t>E4 7SS</t>
  </si>
  <si>
    <t>ACC-12041</t>
  </si>
  <si>
    <t>CUST-52041</t>
  </si>
  <si>
    <t>Jenna Dean-Spencer</t>
  </si>
  <si>
    <t>ACT-02859</t>
  </si>
  <si>
    <t>lpeacock@example.org</t>
  </si>
  <si>
    <t>AB83 6ZN</t>
  </si>
  <si>
    <t>ACT-02860</t>
  </si>
  <si>
    <t>ACC-12042</t>
  </si>
  <si>
    <t>CUST-52042</t>
  </si>
  <si>
    <t>Joanne Jones</t>
  </si>
  <si>
    <t>ACT-02861</t>
  </si>
  <si>
    <t>judith76@example.com</t>
  </si>
  <si>
    <t>NP67 8YW</t>
  </si>
  <si>
    <t>ACC-12043</t>
  </si>
  <si>
    <t>CUST-52043</t>
  </si>
  <si>
    <t>ACT-02862</t>
  </si>
  <si>
    <t>Mr Allan Green</t>
  </si>
  <si>
    <t>qbarlow@example.com</t>
  </si>
  <si>
    <t>W81 2ZH</t>
  </si>
  <si>
    <t>ACT-02863</t>
  </si>
  <si>
    <t>ACC-12044</t>
  </si>
  <si>
    <t>CUST-52044</t>
  </si>
  <si>
    <t>Edward Jones</t>
  </si>
  <si>
    <t>ACT-02864</t>
  </si>
  <si>
    <t>craigcarr@example.com</t>
  </si>
  <si>
    <t>WA0H 6HA</t>
  </si>
  <si>
    <t>ACC-12045</t>
  </si>
  <si>
    <t>CUST-52045</t>
  </si>
  <si>
    <t>Frances Phillips</t>
  </si>
  <si>
    <t>ACT-02865</t>
  </si>
  <si>
    <t>zgreen@example.org</t>
  </si>
  <si>
    <t>SE4 4JR</t>
  </si>
  <si>
    <t>ACT-02866</t>
  </si>
  <si>
    <t>ACC-12046</t>
  </si>
  <si>
    <t>CUST-52046</t>
  </si>
  <si>
    <t>Alan Harvey</t>
  </si>
  <si>
    <t>ACT-02867</t>
  </si>
  <si>
    <t>fullerhenry@example.net</t>
  </si>
  <si>
    <t>B0 5HD</t>
  </si>
  <si>
    <t>ACC-12047</t>
  </si>
  <si>
    <t>CUST-52047</t>
  </si>
  <si>
    <t>Jonathan Parker</t>
  </si>
  <si>
    <t>ACT-02868</t>
  </si>
  <si>
    <t>glenndavies@example.com</t>
  </si>
  <si>
    <t>E4 3AS</t>
  </si>
  <si>
    <t>ACT-02869</t>
  </si>
  <si>
    <t>ACC-12048</t>
  </si>
  <si>
    <t>CUST-52048</t>
  </si>
  <si>
    <t>Andrew Griffiths</t>
  </si>
  <si>
    <t>shawgail@example.net</t>
  </si>
  <si>
    <t>M6U 8HU</t>
  </si>
  <si>
    <t>ACT-02870</t>
  </si>
  <si>
    <t>ACC-12049</t>
  </si>
  <si>
    <t>CUST-52049</t>
  </si>
  <si>
    <t>Cheryl Sullivan</t>
  </si>
  <si>
    <t>ACT-02871</t>
  </si>
  <si>
    <t>annettetaylor@example.org</t>
  </si>
  <si>
    <t>NN15 6FE</t>
  </si>
  <si>
    <t>ACC-12050</t>
  </si>
  <si>
    <t>CUST-52050</t>
  </si>
  <si>
    <t>ACT-02872</t>
  </si>
  <si>
    <t>Lewis Sanders</t>
  </si>
  <si>
    <t>rossleonard@example.org</t>
  </si>
  <si>
    <t>N73 4JE</t>
  </si>
  <si>
    <t>ACT-02873</t>
  </si>
  <si>
    <t>ACC-12051</t>
  </si>
  <si>
    <t>CUST-52051</t>
  </si>
  <si>
    <t>Miss Andrea Jennings</t>
  </si>
  <si>
    <t>ACT-02874</t>
  </si>
  <si>
    <t>bakerdanielle@example.com</t>
  </si>
  <si>
    <t>B19 9FW</t>
  </si>
  <si>
    <t>ACC-12052</t>
  </si>
  <si>
    <t>CUST-52052</t>
  </si>
  <si>
    <t>ACT-02875</t>
  </si>
  <si>
    <t>Peter Lewis</t>
  </si>
  <si>
    <t>barnescarole@example.org</t>
  </si>
  <si>
    <t>B44 8BP</t>
  </si>
  <si>
    <t>ACT-02876</t>
  </si>
  <si>
    <t>ACC-12053</t>
  </si>
  <si>
    <t>CUST-52053</t>
  </si>
  <si>
    <t>Rachel Buckley-Hughes</t>
  </si>
  <si>
    <t>ACT-02877</t>
  </si>
  <si>
    <t>watsonjoseph@example.net</t>
  </si>
  <si>
    <t>WC5Y 7JB</t>
  </si>
  <si>
    <t>ACC-12054</t>
  </si>
  <si>
    <t>CUST-52054</t>
  </si>
  <si>
    <t>Dr Gemma Johnson</t>
  </si>
  <si>
    <t>ACT-02878</t>
  </si>
  <si>
    <t>rkhan@example.org</t>
  </si>
  <si>
    <t>M21 3RZ</t>
  </si>
  <si>
    <t>ACT-02879</t>
  </si>
  <si>
    <t>ACC-12055</t>
  </si>
  <si>
    <t>CUST-52055</t>
  </si>
  <si>
    <t>Hollie Cooper</t>
  </si>
  <si>
    <t>cunninghamsally@example.com</t>
  </si>
  <si>
    <t>RG5Y 0ZG</t>
  </si>
  <si>
    <t>ACT-02880</t>
  </si>
  <si>
    <t>ACC-12056</t>
  </si>
  <si>
    <t>CUST-52056</t>
  </si>
  <si>
    <t>Clare Nelson-Holden</t>
  </si>
  <si>
    <t>ACT-02881</t>
  </si>
  <si>
    <t>geraldine79@example.net</t>
  </si>
  <si>
    <t>SP8W 7DD</t>
  </si>
  <si>
    <t>ACC-12057</t>
  </si>
  <si>
    <t>CUST-52057</t>
  </si>
  <si>
    <t>Wayne Martin</t>
  </si>
  <si>
    <t>ACT-02882</t>
  </si>
  <si>
    <t>ACT-02883</t>
  </si>
  <si>
    <t>woodsadrian@example.org</t>
  </si>
  <si>
    <t>N0 7EX</t>
  </si>
  <si>
    <t>ACC-12058</t>
  </si>
  <si>
    <t>CUST-52058</t>
  </si>
  <si>
    <t>ACT-02884</t>
  </si>
  <si>
    <t>Dale Lloyd</t>
  </si>
  <si>
    <t>jack65@example.org</t>
  </si>
  <si>
    <t>MK6A 8BG</t>
  </si>
  <si>
    <t>ACT-02885</t>
  </si>
  <si>
    <t>ACC-12059</t>
  </si>
  <si>
    <t>CUST-52059</t>
  </si>
  <si>
    <t>Mrs Andrea Wood</t>
  </si>
  <si>
    <t>ACT-02886</t>
  </si>
  <si>
    <t>leewells@example.com</t>
  </si>
  <si>
    <t>NP0 6JH</t>
  </si>
  <si>
    <t>ACC-12060</t>
  </si>
  <si>
    <t>CUST-52060</t>
  </si>
  <si>
    <t>Dr Janice Burns</t>
  </si>
  <si>
    <t>ACT-02887</t>
  </si>
  <si>
    <t>woodwardmarcus@example.com</t>
  </si>
  <si>
    <t>E91 0SW</t>
  </si>
  <si>
    <t>ACT-02888</t>
  </si>
  <si>
    <t>ACC-12061</t>
  </si>
  <si>
    <t>CUST-52061</t>
  </si>
  <si>
    <t>Dr Connor Watts</t>
  </si>
  <si>
    <t>ACT-02889</t>
  </si>
  <si>
    <t>garry07@example.net</t>
  </si>
  <si>
    <t>HR9 5XB</t>
  </si>
  <si>
    <t>ACT-02890</t>
  </si>
  <si>
    <t>ACC-12062</t>
  </si>
  <si>
    <t>CUST-52062</t>
  </si>
  <si>
    <t>Tracey Lowe</t>
  </si>
  <si>
    <t>ACT-02891</t>
  </si>
  <si>
    <t>garethbarber@example.org</t>
  </si>
  <si>
    <t>N7 9EF</t>
  </si>
  <si>
    <t>ACT-02892</t>
  </si>
  <si>
    <t>ACC-12063</t>
  </si>
  <si>
    <t>CUST-52063</t>
  </si>
  <si>
    <t>Dr Michael King</t>
  </si>
  <si>
    <t>guyjennings@example.com</t>
  </si>
  <si>
    <t>SE4 8YB</t>
  </si>
  <si>
    <t>ACT-02893</t>
  </si>
  <si>
    <t>ACC-12064</t>
  </si>
  <si>
    <t>CUST-52064</t>
  </si>
  <si>
    <t>Lisa Dodd</t>
  </si>
  <si>
    <t>howardneil@example.com</t>
  </si>
  <si>
    <t>E52 4XG</t>
  </si>
  <si>
    <t>ACC-12065</t>
  </si>
  <si>
    <t>ACT-02894</t>
  </si>
  <si>
    <t>CUST-52065</t>
  </si>
  <si>
    <t>Jasmine Parker</t>
  </si>
  <si>
    <t>darcher@example.org</t>
  </si>
  <si>
    <t>N0 4UW</t>
  </si>
  <si>
    <t>ACC-12066</t>
  </si>
  <si>
    <t>CUST-52066</t>
  </si>
  <si>
    <t>Miss Kerry Parker</t>
  </si>
  <si>
    <t>waltongerald@example.com</t>
  </si>
  <si>
    <t>ACT-02895</t>
  </si>
  <si>
    <t>OX2 0TF</t>
  </si>
  <si>
    <t>ACC-12067</t>
  </si>
  <si>
    <t>CUST-52067</t>
  </si>
  <si>
    <t>Dr Denis Harris</t>
  </si>
  <si>
    <t>ACT-02896</t>
  </si>
  <si>
    <t>mwalton@example.net</t>
  </si>
  <si>
    <t>TQ6 5UR</t>
  </si>
  <si>
    <t>ACT-02897</t>
  </si>
  <si>
    <t>ACC-12068</t>
  </si>
  <si>
    <t>CUST-52068</t>
  </si>
  <si>
    <t>Samantha Warner</t>
  </si>
  <si>
    <t>ACT-02898</t>
  </si>
  <si>
    <t>fwood@example.org</t>
  </si>
  <si>
    <t>S63 3GH</t>
  </si>
  <si>
    <t>ACC-12069</t>
  </si>
  <si>
    <t>CUST-52069</t>
  </si>
  <si>
    <t>ACT-02899</t>
  </si>
  <si>
    <t>Michael Page-Gregory</t>
  </si>
  <si>
    <t>roy36@example.org</t>
  </si>
  <si>
    <t>S6H 1TA</t>
  </si>
  <si>
    <t>ACT-02900</t>
  </si>
  <si>
    <t>ACC-12070</t>
  </si>
  <si>
    <t>CUST-52070</t>
  </si>
  <si>
    <t>Charles Whitehouse</t>
  </si>
  <si>
    <t>ACT-02901</t>
  </si>
  <si>
    <t>qmarsh@example.net</t>
  </si>
  <si>
    <t>BA10 6YX</t>
  </si>
  <si>
    <t>ACC-12071</t>
  </si>
  <si>
    <t>ACT-02902</t>
  </si>
  <si>
    <t>CUST-52071</t>
  </si>
  <si>
    <t>Patricia Pearce</t>
  </si>
  <si>
    <t>ACT-02903</t>
  </si>
  <si>
    <t>kate43@example.net</t>
  </si>
  <si>
    <t>M7D 5GE</t>
  </si>
  <si>
    <t>ACC-12072</t>
  </si>
  <si>
    <t>CUST-52072</t>
  </si>
  <si>
    <t>Christine Morgan</t>
  </si>
  <si>
    <t>ACT-02904</t>
  </si>
  <si>
    <t>junelewis@example.org</t>
  </si>
  <si>
    <t>DD3B 9FW</t>
  </si>
  <si>
    <t>ACT-02905</t>
  </si>
  <si>
    <t>ACC-12073</t>
  </si>
  <si>
    <t>CUST-52073</t>
  </si>
  <si>
    <t>Mrs Ellie Cartwright</t>
  </si>
  <si>
    <t>ACT-02906</t>
  </si>
  <si>
    <t>sianthorpe@example.com</t>
  </si>
  <si>
    <t>L05 8NH</t>
  </si>
  <si>
    <t>ACC-12074</t>
  </si>
  <si>
    <t>CUST-52074</t>
  </si>
  <si>
    <t>Mrs Sandra Hunt</t>
  </si>
  <si>
    <t>ACT-02907</t>
  </si>
  <si>
    <t>hargreavessara@example.org</t>
  </si>
  <si>
    <t>N3E 0HE</t>
  </si>
  <si>
    <t>ACT-02908</t>
  </si>
  <si>
    <t>ACC-12075</t>
  </si>
  <si>
    <t>CUST-52075</t>
  </si>
  <si>
    <t>Sharon Barton</t>
  </si>
  <si>
    <t>maria91@example.com</t>
  </si>
  <si>
    <t>WV9X 2TG</t>
  </si>
  <si>
    <t>ACT-02909</t>
  </si>
  <si>
    <t>ACC-12076</t>
  </si>
  <si>
    <t>CUST-52076</t>
  </si>
  <si>
    <t>Gerard Davis</t>
  </si>
  <si>
    <t>anna20@example.com</t>
  </si>
  <si>
    <t>CH99 0SX</t>
  </si>
  <si>
    <t>ACC-12077</t>
  </si>
  <si>
    <t>CUST-52077</t>
  </si>
  <si>
    <t>Mrs Hilary Kemp</t>
  </si>
  <si>
    <t>ACT-02910</t>
  </si>
  <si>
    <t>johnhunter@example.com</t>
  </si>
  <si>
    <t>FY4 2EP</t>
  </si>
  <si>
    <t>ACC-12078</t>
  </si>
  <si>
    <t>CUST-52078</t>
  </si>
  <si>
    <t>Abbie Kerr-Howard</t>
  </si>
  <si>
    <t>ACT-02911</t>
  </si>
  <si>
    <t>shawhenry@example.org</t>
  </si>
  <si>
    <t>TA1 3EX</t>
  </si>
  <si>
    <t>ACC-12079</t>
  </si>
  <si>
    <t>CUST-52079</t>
  </si>
  <si>
    <t>Maureen Townsend</t>
  </si>
  <si>
    <t>shanestewart@example.net</t>
  </si>
  <si>
    <t>B2E 4PU</t>
  </si>
  <si>
    <t>ACT-02912</t>
  </si>
  <si>
    <t>ACC-12080</t>
  </si>
  <si>
    <t>CUST-52080</t>
  </si>
  <si>
    <t>Leslie Norman</t>
  </si>
  <si>
    <t>harrisdeborah@example.net</t>
  </si>
  <si>
    <t>E1 3QX</t>
  </si>
  <si>
    <t>ACC-12081</t>
  </si>
  <si>
    <t>CUST-52081</t>
  </si>
  <si>
    <t>Mrs Lynda Harris</t>
  </si>
  <si>
    <t>ACT-02913</t>
  </si>
  <si>
    <t>conordavies@example.com</t>
  </si>
  <si>
    <t>DH22 8SB</t>
  </si>
  <si>
    <t>ACC-12082</t>
  </si>
  <si>
    <t>CUST-52082</t>
  </si>
  <si>
    <t>Leon Smith</t>
  </si>
  <si>
    <t>ACT-02914</t>
  </si>
  <si>
    <t>howard54@example.com</t>
  </si>
  <si>
    <t>N2 8TZ</t>
  </si>
  <si>
    <t>ACC-12083</t>
  </si>
  <si>
    <t>CUST-52083</t>
  </si>
  <si>
    <t>Dr Joanna Gilbert</t>
  </si>
  <si>
    <t>xobrien@example.org</t>
  </si>
  <si>
    <t>S75 4YJ</t>
  </si>
  <si>
    <t>ACT-02915</t>
  </si>
  <si>
    <t>ACC-12084</t>
  </si>
  <si>
    <t>CUST-52084</t>
  </si>
  <si>
    <t>Edward James</t>
  </si>
  <si>
    <t>jennawong@example.com</t>
  </si>
  <si>
    <t>UB5A 9LL</t>
  </si>
  <si>
    <t>ACC-12085</t>
  </si>
  <si>
    <t>CUST-52085</t>
  </si>
  <si>
    <t>ACT-02916</t>
  </si>
  <si>
    <t>qthomas@example.org</t>
  </si>
  <si>
    <t>OX44 8EZ</t>
  </si>
  <si>
    <t>ACT-02917</t>
  </si>
  <si>
    <t>ACC-12086</t>
  </si>
  <si>
    <t>CUST-52086</t>
  </si>
  <si>
    <t>Jemma Watson-Hall</t>
  </si>
  <si>
    <t>ACT-02918</t>
  </si>
  <si>
    <t>brenda76@example.net</t>
  </si>
  <si>
    <t>B37 9TS</t>
  </si>
  <si>
    <t>ACC-12087</t>
  </si>
  <si>
    <t>CUST-52087</t>
  </si>
  <si>
    <t>Mrs Cheryl Leach</t>
  </si>
  <si>
    <t>ACT-02919</t>
  </si>
  <si>
    <t>morrismalcolm@example.net</t>
  </si>
  <si>
    <t>N38 5SL</t>
  </si>
  <si>
    <t>ACT-02920</t>
  </si>
  <si>
    <t>ACC-12088</t>
  </si>
  <si>
    <t>CUST-52088</t>
  </si>
  <si>
    <t>Dorothy Edwards</t>
  </si>
  <si>
    <t>ACT-02921</t>
  </si>
  <si>
    <t>alison42@example.org</t>
  </si>
  <si>
    <t>W43 9RY</t>
  </si>
  <si>
    <t>ACT-02922</t>
  </si>
  <si>
    <t>ACC-12089</t>
  </si>
  <si>
    <t>CUST-52089</t>
  </si>
  <si>
    <t>Miss Kathryn Lane</t>
  </si>
  <si>
    <t>ACT-02923</t>
  </si>
  <si>
    <t>dylanmann@example.net</t>
  </si>
  <si>
    <t>E7 7YA</t>
  </si>
  <si>
    <t>ACT-02924</t>
  </si>
  <si>
    <t>ACC-12090</t>
  </si>
  <si>
    <t>CUST-52090</t>
  </si>
  <si>
    <t>Dr Jacqueline Greenwood</t>
  </si>
  <si>
    <t>ACT-02925</t>
  </si>
  <si>
    <t>brandonpowell@example.net</t>
  </si>
  <si>
    <t>E6B 0LS</t>
  </si>
  <si>
    <t>ACC-12091</t>
  </si>
  <si>
    <t>CUST-52091</t>
  </si>
  <si>
    <t>Mr Dominic O'Connor</t>
  </si>
  <si>
    <t>ACT-02926</t>
  </si>
  <si>
    <t>johnsonrobert@example.org</t>
  </si>
  <si>
    <t>G06 3SQ</t>
  </si>
  <si>
    <t>ACT-02927</t>
  </si>
  <si>
    <t>ACC-12092</t>
  </si>
  <si>
    <t>CUST-52092</t>
  </si>
  <si>
    <t>Mrs Pauline Scott</t>
  </si>
  <si>
    <t>ACT-02928</t>
  </si>
  <si>
    <t>poolejade@example.com</t>
  </si>
  <si>
    <t>B9A 8UL</t>
  </si>
  <si>
    <t>ACT-02929</t>
  </si>
  <si>
    <t>ACC-12093</t>
  </si>
  <si>
    <t>CUST-52093</t>
  </si>
  <si>
    <t>Clive Wright</t>
  </si>
  <si>
    <t>ACT-02930</t>
  </si>
  <si>
    <t>hardingemma@example.org</t>
  </si>
  <si>
    <t>L9E 5ZW</t>
  </si>
  <si>
    <t>ACT-02931</t>
  </si>
  <si>
    <t>ACC-12094</t>
  </si>
  <si>
    <t>CUST-52094</t>
  </si>
  <si>
    <t>Emma Fisher</t>
  </si>
  <si>
    <t>ACT-02932</t>
  </si>
  <si>
    <t>junehoward@example.com</t>
  </si>
  <si>
    <t>ACT-02933</t>
  </si>
  <si>
    <t>L0U 5DY</t>
  </si>
  <si>
    <t>ACC-12095</t>
  </si>
  <si>
    <t>CUST-52095</t>
  </si>
  <si>
    <t>Graham Ward</t>
  </si>
  <si>
    <t>ACT-02934</t>
  </si>
  <si>
    <t>gordonaustin@example.org</t>
  </si>
  <si>
    <t>PR45 6AZ</t>
  </si>
  <si>
    <t>ACC-12096</t>
  </si>
  <si>
    <t>CUST-52096</t>
  </si>
  <si>
    <t>ACT-02935</t>
  </si>
  <si>
    <t>Samantha Morris</t>
  </si>
  <si>
    <t>coxjulian@example.net</t>
  </si>
  <si>
    <t>YO37 8DY</t>
  </si>
  <si>
    <t>ACT-02936</t>
  </si>
  <si>
    <t>ACC-12097</t>
  </si>
  <si>
    <t>CUST-52097</t>
  </si>
  <si>
    <t>Dr Tom Brown</t>
  </si>
  <si>
    <t>ACT-02937</t>
  </si>
  <si>
    <t>annettemitchell@example.org</t>
  </si>
  <si>
    <t>E89 7EB</t>
  </si>
  <si>
    <t>ACT-02938</t>
  </si>
  <si>
    <t>ACC-12098</t>
  </si>
  <si>
    <t>CUST-52098</t>
  </si>
  <si>
    <t>Denis Cooper</t>
  </si>
  <si>
    <t>ACT-02939</t>
  </si>
  <si>
    <t>harry04@example.net</t>
  </si>
  <si>
    <t>ACT-02940</t>
  </si>
  <si>
    <t>CR9V 6SB</t>
  </si>
  <si>
    <t>ACC-12099</t>
  </si>
  <si>
    <t>CUST-52099</t>
  </si>
  <si>
    <t>Tracy Lee</t>
  </si>
  <si>
    <t>ACT-02941</t>
  </si>
  <si>
    <t>megansmith@example.com</t>
  </si>
  <si>
    <t>PL78 2LB</t>
  </si>
  <si>
    <t>ACC-12100</t>
  </si>
  <si>
    <t>ACT-02942</t>
  </si>
  <si>
    <t>CUST-52100</t>
  </si>
  <si>
    <t>Sheila Anderson</t>
  </si>
  <si>
    <t>louishumphreys@example.net</t>
  </si>
  <si>
    <t>G2F 5GF</t>
  </si>
  <si>
    <t>ACT-02943</t>
  </si>
  <si>
    <t>ACC-12101</t>
  </si>
  <si>
    <t>CUST-52101</t>
  </si>
  <si>
    <t>Gerald Gray</t>
  </si>
  <si>
    <t>ACT-02944</t>
  </si>
  <si>
    <t>lawrence07@example.com</t>
  </si>
  <si>
    <t>CO3 9US</t>
  </si>
  <si>
    <t>ACT-02945</t>
  </si>
  <si>
    <t>ACC-12102</t>
  </si>
  <si>
    <t>CUST-52102</t>
  </si>
  <si>
    <t>Stewart Cooper</t>
  </si>
  <si>
    <t>amelia47@example.com</t>
  </si>
  <si>
    <t>ACT-02946</t>
  </si>
  <si>
    <t>IG7A 3WQ</t>
  </si>
  <si>
    <t>ACC-12103</t>
  </si>
  <si>
    <t>CUST-52103</t>
  </si>
  <si>
    <t>Joshua Davies</t>
  </si>
  <si>
    <t>ACT-02947</t>
  </si>
  <si>
    <t>harry83@example.org</t>
  </si>
  <si>
    <t>G3 9LN</t>
  </si>
  <si>
    <t>ACC-12104</t>
  </si>
  <si>
    <t>ACT-02948</t>
  </si>
  <si>
    <t>CUST-52104</t>
  </si>
  <si>
    <t>Mr Mohamed Riley</t>
  </si>
  <si>
    <t>jeanhaynes@example.org</t>
  </si>
  <si>
    <t>E5 2ZT</t>
  </si>
  <si>
    <t>ACT-02949</t>
  </si>
  <si>
    <t>ACC-12105</t>
  </si>
  <si>
    <t>CUST-52105</t>
  </si>
  <si>
    <t>Joshua Burke</t>
  </si>
  <si>
    <t>louiseriley@example.com</t>
  </si>
  <si>
    <t>ACT-02950</t>
  </si>
  <si>
    <t>CF7 8WH</t>
  </si>
  <si>
    <t>ACC-12106</t>
  </si>
  <si>
    <t>CUST-52106</t>
  </si>
  <si>
    <t>Mr Robert Stewart</t>
  </si>
  <si>
    <t>ACT-02951</t>
  </si>
  <si>
    <t>justin25@example.net</t>
  </si>
  <si>
    <t>EN0 7WB</t>
  </si>
  <si>
    <t>ACC-12107</t>
  </si>
  <si>
    <t>CUST-52107</t>
  </si>
  <si>
    <t>ACT-02952</t>
  </si>
  <si>
    <t>Rosemary Smith</t>
  </si>
  <si>
    <t>aaustin@example.org</t>
  </si>
  <si>
    <t>E11 1NN</t>
  </si>
  <si>
    <t>ACT-02953</t>
  </si>
  <si>
    <t>ACC-12108</t>
  </si>
  <si>
    <t>CUST-52108</t>
  </si>
  <si>
    <t>Mr Ross Ellis</t>
  </si>
  <si>
    <t>ACT-02954</t>
  </si>
  <si>
    <t>laurenrichards@example.com</t>
  </si>
  <si>
    <t>IG23 9NH</t>
  </si>
  <si>
    <t>ACT-02955</t>
  </si>
  <si>
    <t>ACC-12109</t>
  </si>
  <si>
    <t>CUST-52109</t>
  </si>
  <si>
    <t>Dr Helen Lawrence</t>
  </si>
  <si>
    <t>ACT-02956</t>
  </si>
  <si>
    <t>james59@example.org</t>
  </si>
  <si>
    <t>M98 3XT</t>
  </si>
  <si>
    <t>ACT-02957</t>
  </si>
  <si>
    <t>ACC-12110</t>
  </si>
  <si>
    <t>CUST-52110</t>
  </si>
  <si>
    <t>Wendy Middleton-Saunders</t>
  </si>
  <si>
    <t>ACT-02958</t>
  </si>
  <si>
    <t>meganpatel@example.com</t>
  </si>
  <si>
    <t>ACT-02959</t>
  </si>
  <si>
    <t>KT2H 2YH</t>
  </si>
  <si>
    <t>ACC-12111</t>
  </si>
  <si>
    <t>ACT-02960</t>
  </si>
  <si>
    <t>CUST-52111</t>
  </si>
  <si>
    <t>Joan Jones</t>
  </si>
  <si>
    <t>ACT-02961</t>
  </si>
  <si>
    <t>rachelbrennan@example.com</t>
  </si>
  <si>
    <t>IG55 1HA</t>
  </si>
  <si>
    <t>ACT-02962</t>
  </si>
  <si>
    <t>ACC-12112</t>
  </si>
  <si>
    <t>CUST-52112</t>
  </si>
  <si>
    <t>Lynda Murray-Bell</t>
  </si>
  <si>
    <t>mariadunn@example.com</t>
  </si>
  <si>
    <t>ACT-02963</t>
  </si>
  <si>
    <t>PA7P 4UT</t>
  </si>
  <si>
    <t>ACC-12113</t>
  </si>
  <si>
    <t>CUST-52113</t>
  </si>
  <si>
    <t>Paul Price</t>
  </si>
  <si>
    <t>ACT-02964</t>
  </si>
  <si>
    <t>ross28@example.org</t>
  </si>
  <si>
    <t>KT0 2XP</t>
  </si>
  <si>
    <t>ACT-02965</t>
  </si>
  <si>
    <t>ACC-12114</t>
  </si>
  <si>
    <t>CUST-52114</t>
  </si>
  <si>
    <t>Joshua Edwards</t>
  </si>
  <si>
    <t>ACT-02966</t>
  </si>
  <si>
    <t>mmills@example.net</t>
  </si>
  <si>
    <t>S2 2WW</t>
  </si>
  <si>
    <t>ACC-12115</t>
  </si>
  <si>
    <t>CUST-52115</t>
  </si>
  <si>
    <t>Kathryn Atkinson</t>
  </si>
  <si>
    <t>ACT-02967</t>
  </si>
  <si>
    <t>cartwrightjay@example.net</t>
  </si>
  <si>
    <t>WS55 3YT</t>
  </si>
  <si>
    <t>ACT-02968</t>
  </si>
  <si>
    <t>ACC-12116</t>
  </si>
  <si>
    <t>CUST-52116</t>
  </si>
  <si>
    <t>Arthur Phillips</t>
  </si>
  <si>
    <t>ACT-02969</t>
  </si>
  <si>
    <t>grantlucy@example.net</t>
  </si>
  <si>
    <t>DT73 5QN</t>
  </si>
  <si>
    <t>ACC-12117</t>
  </si>
  <si>
    <t>CUST-52117</t>
  </si>
  <si>
    <t>ACT-02970</t>
  </si>
  <si>
    <t>Abbie Chambers</t>
  </si>
  <si>
    <t>llewis@example.net</t>
  </si>
  <si>
    <t>GU0B 5LF</t>
  </si>
  <si>
    <t>ACT-02971</t>
  </si>
  <si>
    <t>ACC-12118</t>
  </si>
  <si>
    <t>CUST-52118</t>
  </si>
  <si>
    <t>Lesley Edwards</t>
  </si>
  <si>
    <t>ACT-02972</t>
  </si>
  <si>
    <t>jamieporter@example.org</t>
  </si>
  <si>
    <t>SM5 9TU</t>
  </si>
  <si>
    <t>ACC-12119</t>
  </si>
  <si>
    <t>CUST-52119</t>
  </si>
  <si>
    <t>Rachel Robertson</t>
  </si>
  <si>
    <t>ACT-02973</t>
  </si>
  <si>
    <t>rogerrobinson@example.org</t>
  </si>
  <si>
    <t>FY5E 9JN</t>
  </si>
  <si>
    <t>ACT-02974</t>
  </si>
  <si>
    <t>ACC-12120</t>
  </si>
  <si>
    <t>CUST-52120</t>
  </si>
  <si>
    <t>Jake Mason</t>
  </si>
  <si>
    <t>ACT-02975</t>
  </si>
  <si>
    <t>qandrews@example.net</t>
  </si>
  <si>
    <t>EN6H 0JD</t>
  </si>
  <si>
    <t>ACC-12121</t>
  </si>
  <si>
    <t>CUST-52121</t>
  </si>
  <si>
    <t>Judith Taylor</t>
  </si>
  <si>
    <t>ACT-02976</t>
  </si>
  <si>
    <t>smithelizabeth@example.com</t>
  </si>
  <si>
    <t>E26 4HA</t>
  </si>
  <si>
    <t>ACT-02977</t>
  </si>
  <si>
    <t>ACC-12122</t>
  </si>
  <si>
    <t>CUST-52122</t>
  </si>
  <si>
    <t>Dr Shane Young</t>
  </si>
  <si>
    <t>ACT-02978</t>
  </si>
  <si>
    <t>jonesashley@example.net</t>
  </si>
  <si>
    <t>M41 3FQ</t>
  </si>
  <si>
    <t>ACT-02979</t>
  </si>
  <si>
    <t>ACC-12123</t>
  </si>
  <si>
    <t>CUST-52123</t>
  </si>
  <si>
    <t>Jacob Smith</t>
  </si>
  <si>
    <t>maykayleigh@example.net</t>
  </si>
  <si>
    <t>JE3 8SZ</t>
  </si>
  <si>
    <t>ACT-02980</t>
  </si>
  <si>
    <t>ACC-12124</t>
  </si>
  <si>
    <t>CUST-52124</t>
  </si>
  <si>
    <t>Dr Sharon Morley</t>
  </si>
  <si>
    <t>clive07@example.com</t>
  </si>
  <si>
    <t>S27 7AH</t>
  </si>
  <si>
    <t>ACT-02981</t>
  </si>
  <si>
    <t>ACC-12125</t>
  </si>
  <si>
    <t>CUST-52125</t>
  </si>
  <si>
    <t>Eileen Lawrence</t>
  </si>
  <si>
    <t>harperheather@example.com</t>
  </si>
  <si>
    <t>ACT-02982</t>
  </si>
  <si>
    <t>SO0R 0QB</t>
  </si>
  <si>
    <t>ACC-12126</t>
  </si>
  <si>
    <t>CUST-52126</t>
  </si>
  <si>
    <t>Dr Joanne Preston</t>
  </si>
  <si>
    <t>ACT-02983</t>
  </si>
  <si>
    <t>stanleytaylor@example.com</t>
  </si>
  <si>
    <t>S3 2JD</t>
  </si>
  <si>
    <t>ACT-02984</t>
  </si>
  <si>
    <t>ACC-12127</t>
  </si>
  <si>
    <t>CUST-52127</t>
  </si>
  <si>
    <t>Rosie Baldwin-Begum</t>
  </si>
  <si>
    <t>stevenseileen@example.org</t>
  </si>
  <si>
    <t>ACT-02985</t>
  </si>
  <si>
    <t>GU22 8ZE</t>
  </si>
  <si>
    <t>ACC-12128</t>
  </si>
  <si>
    <t>CUST-52128</t>
  </si>
  <si>
    <t>Ellie Williamson</t>
  </si>
  <si>
    <t>ACT-02986</t>
  </si>
  <si>
    <t>christopherjohn@example.net</t>
  </si>
  <si>
    <t>CT67 8QY</t>
  </si>
  <si>
    <t>ACC-12129</t>
  </si>
  <si>
    <t>ACT-02987</t>
  </si>
  <si>
    <t>CUST-52129</t>
  </si>
  <si>
    <t>Sandra Barton</t>
  </si>
  <si>
    <t>brettmitchell@example.com</t>
  </si>
  <si>
    <t>L5 9RW</t>
  </si>
  <si>
    <t>ACT-02988</t>
  </si>
  <si>
    <t>ACC-12130</t>
  </si>
  <si>
    <t>CUST-52130</t>
  </si>
  <si>
    <t>Allan Smith</t>
  </si>
  <si>
    <t>ACT-02989</t>
  </si>
  <si>
    <t>gareth14@example.org</t>
  </si>
  <si>
    <t>S9B 2RQ</t>
  </si>
  <si>
    <t>ACC-12131</t>
  </si>
  <si>
    <t>CUST-52131</t>
  </si>
  <si>
    <t>Mr Christopher Khan</t>
  </si>
  <si>
    <t>ACT-02990</t>
  </si>
  <si>
    <t>lauren12@example.com</t>
  </si>
  <si>
    <t>CR17 4ZP</t>
  </si>
  <si>
    <t>ACC-12132</t>
  </si>
  <si>
    <t>CUST-52132</t>
  </si>
  <si>
    <t>Kenneth Ali</t>
  </si>
  <si>
    <t>ACT-02991</t>
  </si>
  <si>
    <t>joshyoung@example.org</t>
  </si>
  <si>
    <t>TA38 8XB</t>
  </si>
  <si>
    <t>ACC-12133</t>
  </si>
  <si>
    <t>CUST-52133</t>
  </si>
  <si>
    <t>Louise Kerr</t>
  </si>
  <si>
    <t>christianlynch@example.com</t>
  </si>
  <si>
    <t>ACT-02992</t>
  </si>
  <si>
    <t>S02 7SS</t>
  </si>
  <si>
    <t>ACC-12134</t>
  </si>
  <si>
    <t>ACT-02993</t>
  </si>
  <si>
    <t>CUST-52134</t>
  </si>
  <si>
    <t>Mr Trevor Kay</t>
  </si>
  <si>
    <t>ACT-02994</t>
  </si>
  <si>
    <t>pateldennis@example.net</t>
  </si>
  <si>
    <t>W7 5JE</t>
  </si>
  <si>
    <t>ACC-12135</t>
  </si>
  <si>
    <t>CUST-52135</t>
  </si>
  <si>
    <t>ACT-02995</t>
  </si>
  <si>
    <t>Dr Jeremy Roberts</t>
  </si>
  <si>
    <t>gknight@example.org</t>
  </si>
  <si>
    <t>CA2 5QS</t>
  </si>
  <si>
    <t>ACT-02996</t>
  </si>
  <si>
    <t>ACC-12136</t>
  </si>
  <si>
    <t>CUST-52136</t>
  </si>
  <si>
    <t>ACT-02997</t>
  </si>
  <si>
    <t>Nigel Palmer</t>
  </si>
  <si>
    <t>ACT-02998</t>
  </si>
  <si>
    <t>hharris@example.net</t>
  </si>
  <si>
    <t>FK6 0AH</t>
  </si>
  <si>
    <t>ACT-02999</t>
  </si>
  <si>
    <t>ACC-12137</t>
  </si>
  <si>
    <t>CUST-52137</t>
  </si>
  <si>
    <t>Megan John-Davidson</t>
  </si>
  <si>
    <t>ACT-03000</t>
  </si>
  <si>
    <t>ACT-03001</t>
  </si>
  <si>
    <t>hannahthomas@example.com</t>
  </si>
  <si>
    <t>G5A 5ZS</t>
  </si>
  <si>
    <t>ACT-03002</t>
  </si>
  <si>
    <t>ACC-12138</t>
  </si>
  <si>
    <t>CUST-52138</t>
  </si>
  <si>
    <t>Craig Lewis</t>
  </si>
  <si>
    <t>ACT-03003</t>
  </si>
  <si>
    <t>swiftolivia@example.org</t>
  </si>
  <si>
    <t>ACT-03004</t>
  </si>
  <si>
    <t>DT0 8ZP</t>
  </si>
  <si>
    <t>ACC-12139</t>
  </si>
  <si>
    <t>CUST-52139</t>
  </si>
  <si>
    <t>Dr Jake Miah</t>
  </si>
  <si>
    <t>ACT-03005</t>
  </si>
  <si>
    <t>darrencarter@example.org</t>
  </si>
  <si>
    <t>CA2X 9JP</t>
  </si>
  <si>
    <t>ACT-03006</t>
  </si>
  <si>
    <t>ACC-12140</t>
  </si>
  <si>
    <t>CUST-52140</t>
  </si>
  <si>
    <t>Jodie Clark-Khan</t>
  </si>
  <si>
    <t>ACT-03007</t>
  </si>
  <si>
    <t>specialist review</t>
  </si>
  <si>
    <t>jeffrey12@example.net</t>
  </si>
  <si>
    <t>B88 1YU</t>
  </si>
  <si>
    <t>ACT-03008</t>
  </si>
  <si>
    <t>ACC-12141</t>
  </si>
  <si>
    <t>CUST-52141</t>
  </si>
  <si>
    <t>Elliott Chambers</t>
  </si>
  <si>
    <t>whurst@example.org</t>
  </si>
  <si>
    <t>ACT-03009</t>
  </si>
  <si>
    <t>G4 9HR</t>
  </si>
  <si>
    <t>ACC-12142</t>
  </si>
  <si>
    <t>CUST-52142</t>
  </si>
  <si>
    <t>Dr Terence Welch</t>
  </si>
  <si>
    <t>ACT-03010</t>
  </si>
  <si>
    <t>sbarry@example.org</t>
  </si>
  <si>
    <t>DH5V 5UB</t>
  </si>
  <si>
    <t>ACC-12143</t>
  </si>
  <si>
    <t>CUST-52143</t>
  </si>
  <si>
    <t>Janice Doherty</t>
  </si>
  <si>
    <t>ACT-03011</t>
  </si>
  <si>
    <t>stephenjones@example.net</t>
  </si>
  <si>
    <t>G1 5JY</t>
  </si>
  <si>
    <t>ACT-03012</t>
  </si>
  <si>
    <t>ACC-12144</t>
  </si>
  <si>
    <t>CUST-52144</t>
  </si>
  <si>
    <t>Kayleigh Wood-Bailey</t>
  </si>
  <si>
    <t>ubarton@example.net</t>
  </si>
  <si>
    <t>ACT-03013</t>
  </si>
  <si>
    <t>G8 6YA</t>
  </si>
  <si>
    <t>ACC-12145</t>
  </si>
  <si>
    <t>CUST-52145</t>
  </si>
  <si>
    <t>Valerie Joyce</t>
  </si>
  <si>
    <t>ACT-03014</t>
  </si>
  <si>
    <t>marion27@example.net</t>
  </si>
  <si>
    <t>SE8A 0FW</t>
  </si>
  <si>
    <t>ACC-12146</t>
  </si>
  <si>
    <t>CUST-52146</t>
  </si>
  <si>
    <t>ACT-03015</t>
  </si>
  <si>
    <t>Dr Colin Lyons</t>
  </si>
  <si>
    <t>jacksonjane@example.com</t>
  </si>
  <si>
    <t>TW12 1YH</t>
  </si>
  <si>
    <t>ACT-03016</t>
  </si>
  <si>
    <t>ACC-12147</t>
  </si>
  <si>
    <t>CUST-52147</t>
  </si>
  <si>
    <t>Dr Rachael Anderson</t>
  </si>
  <si>
    <t>ACT-03017</t>
  </si>
  <si>
    <t>L9J 6BP</t>
  </si>
  <si>
    <t>ACC-12148</t>
  </si>
  <si>
    <t>CUST-52148</t>
  </si>
  <si>
    <t>Steven Ward</t>
  </si>
  <si>
    <t>ACT-03018</t>
  </si>
  <si>
    <t>butchersandra@example.net</t>
  </si>
  <si>
    <t>B65 0WH</t>
  </si>
  <si>
    <t>ACT-03019</t>
  </si>
  <si>
    <t>ACC-12149</t>
  </si>
  <si>
    <t>CUST-52149</t>
  </si>
  <si>
    <t>Sian Savage</t>
  </si>
  <si>
    <t>glen76@example.net</t>
  </si>
  <si>
    <t>ACT-03020</t>
  </si>
  <si>
    <t>WR17 5FL</t>
  </si>
  <si>
    <t>ACC-12150</t>
  </si>
  <si>
    <t>CUST-52150</t>
  </si>
  <si>
    <t>Mr Bruce Phillips</t>
  </si>
  <si>
    <t>ACT-03021</t>
  </si>
  <si>
    <t>woodwardscott@example.net</t>
  </si>
  <si>
    <t>E23 0WP</t>
  </si>
  <si>
    <t>ACT-03022</t>
  </si>
  <si>
    <t>ACC-12151</t>
  </si>
  <si>
    <t>CUST-52151</t>
  </si>
  <si>
    <t>Clare Chandler</t>
  </si>
  <si>
    <t>leonard38@example.com</t>
  </si>
  <si>
    <t>ACT-03023</t>
  </si>
  <si>
    <t>N02 9GU</t>
  </si>
  <si>
    <t>ACC-12152</t>
  </si>
  <si>
    <t>CUST-52152</t>
  </si>
  <si>
    <t>Dr Aimee Abbott</t>
  </si>
  <si>
    <t>ACT-03024</t>
  </si>
  <si>
    <t>tsmith@example.com</t>
  </si>
  <si>
    <t>AL6 2JN</t>
  </si>
  <si>
    <t>ACT-03025</t>
  </si>
  <si>
    <t>ACC-12153</t>
  </si>
  <si>
    <t>CUST-52153</t>
  </si>
  <si>
    <t>Dr Olivia Kelly</t>
  </si>
  <si>
    <t>butchercarl@example.com</t>
  </si>
  <si>
    <t>N68 6RZ</t>
  </si>
  <si>
    <t>ACT-03026</t>
  </si>
  <si>
    <t>ACC-12154</t>
  </si>
  <si>
    <t>CUST-52154</t>
  </si>
  <si>
    <t>Dr Carole Bennett</t>
  </si>
  <si>
    <t>ACT-03027</t>
  </si>
  <si>
    <t>daniel34@example.org</t>
  </si>
  <si>
    <t>B5 9BQ</t>
  </si>
  <si>
    <t>ACT-03028</t>
  </si>
  <si>
    <t>ACC-12155</t>
  </si>
  <si>
    <t>CUST-52155</t>
  </si>
  <si>
    <t>ACT-03029</t>
  </si>
  <si>
    <t>readnigel@example.net</t>
  </si>
  <si>
    <t>W97 6YT</t>
  </si>
  <si>
    <t>ACC-12156</t>
  </si>
  <si>
    <t>CUST-52156</t>
  </si>
  <si>
    <t>ACT-03030</t>
  </si>
  <si>
    <t>Alexander Cole</t>
  </si>
  <si>
    <t>marion97@example.net</t>
  </si>
  <si>
    <t>NG5 7XW</t>
  </si>
  <si>
    <t>ACT-03031</t>
  </si>
  <si>
    <t>ACC-12157</t>
  </si>
  <si>
    <t>CUST-52157</t>
  </si>
  <si>
    <t>Kevin Dickinson</t>
  </si>
  <si>
    <t>jill87@example.org</t>
  </si>
  <si>
    <t>ACT-03032</t>
  </si>
  <si>
    <t>L1 8WF</t>
  </si>
  <si>
    <t>ACC-12158</t>
  </si>
  <si>
    <t>CUST-52158</t>
  </si>
  <si>
    <t>Mr Colin Rogers</t>
  </si>
  <si>
    <t>ACT-03033</t>
  </si>
  <si>
    <t>irenehall@example.net</t>
  </si>
  <si>
    <t>BA0 5LD</t>
  </si>
  <si>
    <t>ACC-12159</t>
  </si>
  <si>
    <t>CUST-52159</t>
  </si>
  <si>
    <t>Mr Josh Wright</t>
  </si>
  <si>
    <t>ACT-03034</t>
  </si>
  <si>
    <t>harrychamberlain@example.net</t>
  </si>
  <si>
    <t>E9 9HF</t>
  </si>
  <si>
    <t>ACT-03035</t>
  </si>
  <si>
    <t>ACC-12160</t>
  </si>
  <si>
    <t>CUST-52160</t>
  </si>
  <si>
    <t>Mr Allan Myers</t>
  </si>
  <si>
    <t>thompsonjames@example.org</t>
  </si>
  <si>
    <t>ACT-03036</t>
  </si>
  <si>
    <t>M68 9LJ</t>
  </si>
  <si>
    <t>ACC-12161</t>
  </si>
  <si>
    <t>CUST-52161</t>
  </si>
  <si>
    <t>Duncan Adams-Lawrence</t>
  </si>
  <si>
    <t>ACT-03037</t>
  </si>
  <si>
    <t>jbevan@example.net</t>
  </si>
  <si>
    <t>N4 9ZS</t>
  </si>
  <si>
    <t>ACT-03038</t>
  </si>
  <si>
    <t>ACC-12162</t>
  </si>
  <si>
    <t>CUST-52162</t>
  </si>
  <si>
    <t>Joanne Holt</t>
  </si>
  <si>
    <t>douglasmoore@example.com</t>
  </si>
  <si>
    <t>W1S 3AS</t>
  </si>
  <si>
    <t>ACT-03039</t>
  </si>
  <si>
    <t>ACC-12163</t>
  </si>
  <si>
    <t>CUST-52163</t>
  </si>
  <si>
    <t>Conor Barnes</t>
  </si>
  <si>
    <t>ACT-03040</t>
  </si>
  <si>
    <t>vbrown@example.net</t>
  </si>
  <si>
    <t>LD8N 1PE</t>
  </si>
  <si>
    <t>ACC-12164</t>
  </si>
  <si>
    <t>CUST-52164</t>
  </si>
  <si>
    <t>Mr Callum Rees</t>
  </si>
  <si>
    <t>ACT-03041</t>
  </si>
  <si>
    <t>nbutcher@example.net</t>
  </si>
  <si>
    <t>BH4M 4NN</t>
  </si>
  <si>
    <t>ACC-12165</t>
  </si>
  <si>
    <t>ACT-03042</t>
  </si>
  <si>
    <t>CUST-52165</t>
  </si>
  <si>
    <t>Dr Dennis Shepherd</t>
  </si>
  <si>
    <t>ACT-03043</t>
  </si>
  <si>
    <t>seanadams@example.org</t>
  </si>
  <si>
    <t>DT3 4ZP</t>
  </si>
  <si>
    <t>ACC-12166</t>
  </si>
  <si>
    <t>CUST-52166</t>
  </si>
  <si>
    <t>Dr Trevor Edwards</t>
  </si>
  <si>
    <t>ACT-03044</t>
  </si>
  <si>
    <t>gerard35@example.net</t>
  </si>
  <si>
    <t>FK2 4NY</t>
  </si>
  <si>
    <t>ACT-03045</t>
  </si>
  <si>
    <t>ACC-12167</t>
  </si>
  <si>
    <t>CUST-52167</t>
  </si>
  <si>
    <t>Joe Akhtar</t>
  </si>
  <si>
    <t>jacqueline45@example.com</t>
  </si>
  <si>
    <t>ACT-03046</t>
  </si>
  <si>
    <t>M56 5LA</t>
  </si>
  <si>
    <t>ACC-12168</t>
  </si>
  <si>
    <t>CUST-52168</t>
  </si>
  <si>
    <t>Shannon Green-Howell</t>
  </si>
  <si>
    <t>chelseaanderson@example.net</t>
  </si>
  <si>
    <t>ACT-03047</t>
  </si>
  <si>
    <t>S48 6LR</t>
  </si>
  <si>
    <t>ACC-12169</t>
  </si>
  <si>
    <t>CUST-52169</t>
  </si>
  <si>
    <t>Megan Perry</t>
  </si>
  <si>
    <t>ACT-03048</t>
  </si>
  <si>
    <t>xjennings@example.net</t>
  </si>
  <si>
    <t>E1E 7RE</t>
  </si>
  <si>
    <t>ACT-03049</t>
  </si>
  <si>
    <t>ACC-12170</t>
  </si>
  <si>
    <t>CUST-52170</t>
  </si>
  <si>
    <t>Dr Kenneth Browne</t>
  </si>
  <si>
    <t>ACT-03050</t>
  </si>
  <si>
    <t>sharrison@example.net</t>
  </si>
  <si>
    <t>PH90 6ZW</t>
  </si>
  <si>
    <t>ACC-12171</t>
  </si>
  <si>
    <t>CUST-52171</t>
  </si>
  <si>
    <t>Luke Marsden</t>
  </si>
  <si>
    <t>ACT-03051</t>
  </si>
  <si>
    <t>rachel54@example.com</t>
  </si>
  <si>
    <t>M2 8GJ</t>
  </si>
  <si>
    <t>ACC-12172</t>
  </si>
  <si>
    <t>CUST-52172</t>
  </si>
  <si>
    <t>Shane Stone</t>
  </si>
  <si>
    <t>ACT-03052</t>
  </si>
  <si>
    <t>webbannette@example.org</t>
  </si>
  <si>
    <t>ACT-03053</t>
  </si>
  <si>
    <t>DA1B 4RA</t>
  </si>
  <si>
    <t>ACC-12173</t>
  </si>
  <si>
    <t>CUST-52173</t>
  </si>
  <si>
    <t>Glen Armstrong-Butler</t>
  </si>
  <si>
    <t>katherine05@example.org</t>
  </si>
  <si>
    <t>ACT-03054</t>
  </si>
  <si>
    <t>HS7 2LF</t>
  </si>
  <si>
    <t>ACC-12174</t>
  </si>
  <si>
    <t>CUST-52174</t>
  </si>
  <si>
    <t>Jeremy Jenkins</t>
  </si>
  <si>
    <t>ACT-03055</t>
  </si>
  <si>
    <t>N6 6SJ</t>
  </si>
  <si>
    <t>ACC-12175</t>
  </si>
  <si>
    <t>CUST-52175</t>
  </si>
  <si>
    <t>ACT-03056</t>
  </si>
  <si>
    <t>Dr Jacqueline Hudson</t>
  </si>
  <si>
    <t>wshaw@example.org</t>
  </si>
  <si>
    <t>WS27 9GX</t>
  </si>
  <si>
    <t>ACT-03057</t>
  </si>
  <si>
    <t>ACC-12176</t>
  </si>
  <si>
    <t>CUST-52176</t>
  </si>
  <si>
    <t>Dr Amber Simpson</t>
  </si>
  <si>
    <t>ACT-03058</t>
  </si>
  <si>
    <t>ncollins@example.org</t>
  </si>
  <si>
    <t>HA0P 4TA</t>
  </si>
  <si>
    <t>ACC-12177</t>
  </si>
  <si>
    <t>CUST-52177</t>
  </si>
  <si>
    <t>Lorraine Lowe</t>
  </si>
  <si>
    <t>ACT-03059</t>
  </si>
  <si>
    <t>neilwright@example.org</t>
  </si>
  <si>
    <t>CM9P 5XF</t>
  </si>
  <si>
    <t>ACC-12178</t>
  </si>
  <si>
    <t>ACT-03060</t>
  </si>
  <si>
    <t>CUST-52178</t>
  </si>
  <si>
    <t>Mrs Jodie Hill</t>
  </si>
  <si>
    <t>lawrenceduncan@example.com</t>
  </si>
  <si>
    <t>PH4B 9HA</t>
  </si>
  <si>
    <t>ACT-03061</t>
  </si>
  <si>
    <t>ACC-12179</t>
  </si>
  <si>
    <t>CUST-52179</t>
  </si>
  <si>
    <t>Mr Neil Allen</t>
  </si>
  <si>
    <t>ACT-03062</t>
  </si>
  <si>
    <t>jayjackson@example.org</t>
  </si>
  <si>
    <t>S5 0RD</t>
  </si>
  <si>
    <t>ACC-12180</t>
  </si>
  <si>
    <t>CUST-52180</t>
  </si>
  <si>
    <t>Dr Declan Clark</t>
  </si>
  <si>
    <t>ACT-03063</t>
  </si>
  <si>
    <t>CO7 1TE</t>
  </si>
  <si>
    <t>ACT-03064</t>
  </si>
  <si>
    <t>ACC-12181</t>
  </si>
  <si>
    <t>CUST-52181</t>
  </si>
  <si>
    <t>Mr Mohamed Jones</t>
  </si>
  <si>
    <t>ACT-03065</t>
  </si>
  <si>
    <t>emilykhan@example.org</t>
  </si>
  <si>
    <t>KT4Y 9RJ</t>
  </si>
  <si>
    <t>ACC-12182</t>
  </si>
  <si>
    <t>CUST-52182</t>
  </si>
  <si>
    <t>Josephine Holland-Hurst</t>
  </si>
  <si>
    <t>ACT-03066</t>
  </si>
  <si>
    <t>timothyparkes@example.org</t>
  </si>
  <si>
    <t>M7 3PX</t>
  </si>
  <si>
    <t>ACT-03067</t>
  </si>
  <si>
    <t>ACC-12183</t>
  </si>
  <si>
    <t>CUST-52183</t>
  </si>
  <si>
    <t>Beth Bates-Williams</t>
  </si>
  <si>
    <t>ACT-03068</t>
  </si>
  <si>
    <t>CT27 3FY</t>
  </si>
  <si>
    <t>ACC-12184</t>
  </si>
  <si>
    <t>CUST-52184</t>
  </si>
  <si>
    <t>Gerard Smith</t>
  </si>
  <si>
    <t>ACT-03069</t>
  </si>
  <si>
    <t>teresaphillips@example.net</t>
  </si>
  <si>
    <t>FY6 8GR</t>
  </si>
  <si>
    <t>ACT-03070</t>
  </si>
  <si>
    <t>ACC-12185</t>
  </si>
  <si>
    <t>CUST-52185</t>
  </si>
  <si>
    <t>Ashley Williams</t>
  </si>
  <si>
    <t>ACT-03071</t>
  </si>
  <si>
    <t>ACT-03072</t>
  </si>
  <si>
    <t>DT1 9GR</t>
  </si>
  <si>
    <t>ACC-12186</t>
  </si>
  <si>
    <t>ACT-03073</t>
  </si>
  <si>
    <t>CUST-52186</t>
  </si>
  <si>
    <t>Edward Cook</t>
  </si>
  <si>
    <t>ACT-03074</t>
  </si>
  <si>
    <t>julianwalker@example.com</t>
  </si>
  <si>
    <t>DY3 9TA</t>
  </si>
  <si>
    <t>ACT-03075</t>
  </si>
  <si>
    <t>ACC-12187</t>
  </si>
  <si>
    <t>CUST-52187</t>
  </si>
  <si>
    <t>Ian Jackson</t>
  </si>
  <si>
    <t>ACT-03076</t>
  </si>
  <si>
    <t>cliffordrichardson@example.com</t>
  </si>
  <si>
    <t>ST5M 4GJ</t>
  </si>
  <si>
    <t>ACC-12188</t>
  </si>
  <si>
    <t>CUST-52188</t>
  </si>
  <si>
    <t>ACT-03077</t>
  </si>
  <si>
    <t>abbieherbert@example.org</t>
  </si>
  <si>
    <t>N4 0NZ</t>
  </si>
  <si>
    <t>ACT-03078</t>
  </si>
  <si>
    <t>ACC-12189</t>
  </si>
  <si>
    <t>CUST-52189</t>
  </si>
  <si>
    <t>Gary Adams</t>
  </si>
  <si>
    <t>ACT-03079</t>
  </si>
  <si>
    <t>elliott83@example.net</t>
  </si>
  <si>
    <t>G6J 8LT</t>
  </si>
  <si>
    <t>ACC-12190</t>
  </si>
  <si>
    <t>ACT-03080</t>
  </si>
  <si>
    <t>CUST-52190</t>
  </si>
  <si>
    <t>Mrs Jean Riley</t>
  </si>
  <si>
    <t>ACT-03081</t>
  </si>
  <si>
    <t>debraedwards@example.net</t>
  </si>
  <si>
    <t>W1 0UL</t>
  </si>
  <si>
    <t>ACC-12191</t>
  </si>
  <si>
    <t>ACT-03082</t>
  </si>
  <si>
    <t>CUST-52191</t>
  </si>
  <si>
    <t>Nigel Hodgson-Hewitt</t>
  </si>
  <si>
    <t>natalie72@example.com</t>
  </si>
  <si>
    <t>ACT-03083</t>
  </si>
  <si>
    <t>SS26 2HU</t>
  </si>
  <si>
    <t>ACC-12192</t>
  </si>
  <si>
    <t>CUST-52192</t>
  </si>
  <si>
    <t>Margaret Carter</t>
  </si>
  <si>
    <t>ACT-03084</t>
  </si>
  <si>
    <t>carolyn07@example.net</t>
  </si>
  <si>
    <t>WS2 3DE</t>
  </si>
  <si>
    <t>ACT-03085</t>
  </si>
  <si>
    <t>ACC-12193</t>
  </si>
  <si>
    <t>CUST-52193</t>
  </si>
  <si>
    <t>Beverley Khan</t>
  </si>
  <si>
    <t>ACT-03086</t>
  </si>
  <si>
    <t>thomaskerr@example.com</t>
  </si>
  <si>
    <t>EH19 2AA</t>
  </si>
  <si>
    <t>ACC-12194</t>
  </si>
  <si>
    <t>CUST-52194</t>
  </si>
  <si>
    <t>William Woods</t>
  </si>
  <si>
    <t>ACT-03087</t>
  </si>
  <si>
    <t>ypotter@example.org</t>
  </si>
  <si>
    <t>ACT-03088</t>
  </si>
  <si>
    <t>LN8 3DA</t>
  </si>
  <si>
    <t>ACC-12195</t>
  </si>
  <si>
    <t>CUST-52195</t>
  </si>
  <si>
    <t>Lynne Frost-Andrews</t>
  </si>
  <si>
    <t>janetwells@example.com</t>
  </si>
  <si>
    <t>N3 8SU</t>
  </si>
  <si>
    <t>ACT-03089</t>
  </si>
  <si>
    <t>ACC-12196</t>
  </si>
  <si>
    <t>CUST-52196</t>
  </si>
  <si>
    <t>Jeremy Davidson-Wilson</t>
  </si>
  <si>
    <t>jacksonharriet@example.org</t>
  </si>
  <si>
    <t>W6 4DP</t>
  </si>
  <si>
    <t>ACC-12197</t>
  </si>
  <si>
    <t>CUST-52197</t>
  </si>
  <si>
    <t>ACT-03090</t>
  </si>
  <si>
    <t>Joshua Robson</t>
  </si>
  <si>
    <t>jessica74@example.org</t>
  </si>
  <si>
    <t>WD8 8XZ</t>
  </si>
  <si>
    <t>ACC-12198</t>
  </si>
  <si>
    <t>CUST-52198</t>
  </si>
  <si>
    <t>Jill Morris-King</t>
  </si>
  <si>
    <t>ACT-03091</t>
  </si>
  <si>
    <t>cartermartin@example.com</t>
  </si>
  <si>
    <t>L2 2BX</t>
  </si>
  <si>
    <t>ACC-12199</t>
  </si>
  <si>
    <t>CUST-52199</t>
  </si>
  <si>
    <t>Miss Stephanie Hammond</t>
  </si>
  <si>
    <t>jenkinsgerald@example.com</t>
  </si>
  <si>
    <t>BL0H 9SF</t>
  </si>
  <si>
    <t>ACC-12200</t>
  </si>
  <si>
    <t>ACT-03092</t>
  </si>
  <si>
    <t>CUST-52200</t>
  </si>
  <si>
    <t>Chloe Smith-Ward</t>
  </si>
  <si>
    <t>sullivanjoshua@example.com</t>
  </si>
  <si>
    <t>GU4 1ZE</t>
  </si>
  <si>
    <t>ACC-12201</t>
  </si>
  <si>
    <t>CUST-52201</t>
  </si>
  <si>
    <t>Mr Barry Taylor</t>
  </si>
  <si>
    <t>ACT-03093</t>
  </si>
  <si>
    <t>dclarke@example.org</t>
  </si>
  <si>
    <t>M9A 1NL</t>
  </si>
  <si>
    <t>ACC-12202</t>
  </si>
  <si>
    <t>CUST-52202</t>
  </si>
  <si>
    <t>Timothy Jones-Sharpe</t>
  </si>
  <si>
    <t>ACT-03094</t>
  </si>
  <si>
    <t>kempscott@example.net</t>
  </si>
  <si>
    <t>E6 2JF</t>
  </si>
  <si>
    <t>ACC-12203</t>
  </si>
  <si>
    <t>ACT-03095</t>
  </si>
  <si>
    <t>CUST-52203</t>
  </si>
  <si>
    <t>Nicole Thornton</t>
  </si>
  <si>
    <t>ACT-03096</t>
  </si>
  <si>
    <t>coxkirsty@example.net</t>
  </si>
  <si>
    <t>BT4X 1BH</t>
  </si>
  <si>
    <t>ACC-12204</t>
  </si>
  <si>
    <t>ACT-03097</t>
  </si>
  <si>
    <t>CUST-52204</t>
  </si>
  <si>
    <t>Miss Victoria Gordon</t>
  </si>
  <si>
    <t>glen48@example.net</t>
  </si>
  <si>
    <t>ACT-03098</t>
  </si>
  <si>
    <t>B4D 9FF</t>
  </si>
  <si>
    <t>ACC-12205</t>
  </si>
  <si>
    <t>CUST-52205</t>
  </si>
  <si>
    <t>Dr Raymond Roberts</t>
  </si>
  <si>
    <t>ACT-03099</t>
  </si>
  <si>
    <t>brownrita@example.org</t>
  </si>
  <si>
    <t>M2U 8GH</t>
  </si>
  <si>
    <t>ACC-12206</t>
  </si>
  <si>
    <t>CUST-52206</t>
  </si>
  <si>
    <t>ACT-03100</t>
  </si>
  <si>
    <t>Shaun Morrison</t>
  </si>
  <si>
    <t>jeffrey00@example.org</t>
  </si>
  <si>
    <t>TA4 8FJ</t>
  </si>
  <si>
    <t>ACT-03101</t>
  </si>
  <si>
    <t>ACC-12207</t>
  </si>
  <si>
    <t>CUST-52207</t>
  </si>
  <si>
    <t>Sylvia Osborne</t>
  </si>
  <si>
    <t>ACT-03102</t>
  </si>
  <si>
    <t>rachelsanders@example.net</t>
  </si>
  <si>
    <t>PR7B 7HS</t>
  </si>
  <si>
    <t>ACC-12208</t>
  </si>
  <si>
    <t>ACT-03103</t>
  </si>
  <si>
    <t>CUST-52208</t>
  </si>
  <si>
    <t>Rebecca Kirk</t>
  </si>
  <si>
    <t>ACT-03104</t>
  </si>
  <si>
    <t>dixonjudith@example.org</t>
  </si>
  <si>
    <t>G9J 2AR</t>
  </si>
  <si>
    <t>ACC-12209</t>
  </si>
  <si>
    <t>CUST-52209</t>
  </si>
  <si>
    <t>ACT-03105</t>
  </si>
  <si>
    <t>Mr Bernard Barnes</t>
  </si>
  <si>
    <t>bknight@example.net</t>
  </si>
  <si>
    <t>E8B 4AF</t>
  </si>
  <si>
    <t>ACT-03106</t>
  </si>
  <si>
    <t>ACC-12210</t>
  </si>
  <si>
    <t>CUST-52210</t>
  </si>
  <si>
    <t>Jade Lord</t>
  </si>
  <si>
    <t>ACT-03107</t>
  </si>
  <si>
    <t>mgough@example.org</t>
  </si>
  <si>
    <t>N7U 5GH</t>
  </si>
  <si>
    <t>ACC-12211</t>
  </si>
  <si>
    <t>CUST-52211</t>
  </si>
  <si>
    <t>Danielle Cooper-White</t>
  </si>
  <si>
    <t>ACT-03108</t>
  </si>
  <si>
    <t>nelsonwayne@example.net</t>
  </si>
  <si>
    <t>M9C 8SL</t>
  </si>
  <si>
    <t>ACT-03109</t>
  </si>
  <si>
    <t>ACC-12212</t>
  </si>
  <si>
    <t>CUST-52212</t>
  </si>
  <si>
    <t>Mr Marc Wilkinson</t>
  </si>
  <si>
    <t>medwards@example.net</t>
  </si>
  <si>
    <t>ACT-03110</t>
  </si>
  <si>
    <t>BN02 1EP</t>
  </si>
  <si>
    <t>ACC-12213</t>
  </si>
  <si>
    <t>CUST-52213</t>
  </si>
  <si>
    <t>Daniel Warren</t>
  </si>
  <si>
    <t>ACT-03111</t>
  </si>
  <si>
    <t>nwalsh@example.net</t>
  </si>
  <si>
    <t>HP00 8AG</t>
  </si>
  <si>
    <t>ACC-12214</t>
  </si>
  <si>
    <t>CUST-52214</t>
  </si>
  <si>
    <t>Mrs Zoe Turner</t>
  </si>
  <si>
    <t>ACT-03112</t>
  </si>
  <si>
    <t>xsmith@example.com</t>
  </si>
  <si>
    <t>RH7 7UE</t>
  </si>
  <si>
    <t>ACT-03113</t>
  </si>
  <si>
    <t>ACC-12215</t>
  </si>
  <si>
    <t>CUST-52215</t>
  </si>
  <si>
    <t>Jordan Holmes</t>
  </si>
  <si>
    <t>ACT-03114</t>
  </si>
  <si>
    <t>fobrien@example.com</t>
  </si>
  <si>
    <t>E4W 9TR</t>
  </si>
  <si>
    <t>ACC-12216</t>
  </si>
  <si>
    <t>CUST-52216</t>
  </si>
  <si>
    <t>Ms Teresa Hall</t>
  </si>
  <si>
    <t>keith54@example.com</t>
  </si>
  <si>
    <t>G75 4NP</t>
  </si>
  <si>
    <t>ACT-03115</t>
  </si>
  <si>
    <t>ACC-12217</t>
  </si>
  <si>
    <t>CUST-52217</t>
  </si>
  <si>
    <t>Katy Griffin</t>
  </si>
  <si>
    <t>fionarichards@example.org</t>
  </si>
  <si>
    <t>NE6R 5NN</t>
  </si>
  <si>
    <t>ACT-03116</t>
  </si>
  <si>
    <t>ACC-12218</t>
  </si>
  <si>
    <t>CUST-52218</t>
  </si>
  <si>
    <t>Mr Roy Johnson</t>
  </si>
  <si>
    <t>jasongrant@example.com</t>
  </si>
  <si>
    <t>S95 1BJ</t>
  </si>
  <si>
    <t>ACT-03117</t>
  </si>
  <si>
    <t>ACC-12219</t>
  </si>
  <si>
    <t>CUST-52219</t>
  </si>
  <si>
    <t>Philip Jones</t>
  </si>
  <si>
    <t>ACT-03118</t>
  </si>
  <si>
    <t>ACT-03119</t>
  </si>
  <si>
    <t>watkinsbrenda@example.com</t>
  </si>
  <si>
    <t>G1 7BY</t>
  </si>
  <si>
    <t>ACC-12220</t>
  </si>
  <si>
    <t>CUST-52220</t>
  </si>
  <si>
    <t>Dr Lauren Kemp</t>
  </si>
  <si>
    <t>ACT-03120</t>
  </si>
  <si>
    <t>dharrison@example.com</t>
  </si>
  <si>
    <t>NG5B 6TF</t>
  </si>
  <si>
    <t>ACC-12221</t>
  </si>
  <si>
    <t>CUST-52221</t>
  </si>
  <si>
    <t>ACT-03121</t>
  </si>
  <si>
    <t>Toby Law</t>
  </si>
  <si>
    <t>ACT-03122</t>
  </si>
  <si>
    <t>geraldinepowell@example.net</t>
  </si>
  <si>
    <t>E4 5BY</t>
  </si>
  <si>
    <t>ACC-12222</t>
  </si>
  <si>
    <t>CUST-52222</t>
  </si>
  <si>
    <t>Dr Damien Brown</t>
  </si>
  <si>
    <t>ACT-03123</t>
  </si>
  <si>
    <t>georginaelliott@example.com</t>
  </si>
  <si>
    <t>L5A 1FT</t>
  </si>
  <si>
    <t>ACC-12223</t>
  </si>
  <si>
    <t>CUST-52223</t>
  </si>
  <si>
    <t>John Owen</t>
  </si>
  <si>
    <t>ACT-03124</t>
  </si>
  <si>
    <t>zparker@example.org</t>
  </si>
  <si>
    <t>N8H 4BL</t>
  </si>
  <si>
    <t>ACT-03125</t>
  </si>
  <si>
    <t>ACC-12224</t>
  </si>
  <si>
    <t>CUST-52224</t>
  </si>
  <si>
    <t>Guy Adams-Price</t>
  </si>
  <si>
    <t>ACT-03126</t>
  </si>
  <si>
    <t>jarviseleanor@example.org</t>
  </si>
  <si>
    <t>SN0 2QY</t>
  </si>
  <si>
    <t>ACC-12225</t>
  </si>
  <si>
    <t>CUST-52225</t>
  </si>
  <si>
    <t>Miss Victoria Smith</t>
  </si>
  <si>
    <t>ACT-03127</t>
  </si>
  <si>
    <t>leehayes@example.net</t>
  </si>
  <si>
    <t>M44 7HJ</t>
  </si>
  <si>
    <t>ACC-12226</t>
  </si>
  <si>
    <t>CUST-52226</t>
  </si>
  <si>
    <t>Rhys McDonald</t>
  </si>
  <si>
    <t>ACT-03128</t>
  </si>
  <si>
    <t>dhurst@example.com</t>
  </si>
  <si>
    <t>KT05 3UX</t>
  </si>
  <si>
    <t>ACC-12227</t>
  </si>
  <si>
    <t>CUST-52227</t>
  </si>
  <si>
    <t>Russell Williams</t>
  </si>
  <si>
    <t>btalbot@example.net</t>
  </si>
  <si>
    <t>ACT-03129</t>
  </si>
  <si>
    <t>SW1N 7EN</t>
  </si>
  <si>
    <t>ACC-12228</t>
  </si>
  <si>
    <t>CUST-52228</t>
  </si>
  <si>
    <t>William Mistry</t>
  </si>
  <si>
    <t>lydia06@example.org</t>
  </si>
  <si>
    <t>L6 8LW</t>
  </si>
  <si>
    <t>ACC-12229</t>
  </si>
  <si>
    <t>CUST-52229</t>
  </si>
  <si>
    <t>Thomas Wilkinson-Yates</t>
  </si>
  <si>
    <t>ACT-03130</t>
  </si>
  <si>
    <t>middletonjanice@example.com</t>
  </si>
  <si>
    <t>DH2 3LG</t>
  </si>
  <si>
    <t>ACC-12230</t>
  </si>
  <si>
    <t>ACT-03131</t>
  </si>
  <si>
    <t>CUST-52230</t>
  </si>
  <si>
    <t>Aaron Wilson-Hunt</t>
  </si>
  <si>
    <t>ACT-03132</t>
  </si>
  <si>
    <t>connorspencer@example.org</t>
  </si>
  <si>
    <t>JE2 1AX</t>
  </si>
  <si>
    <t>ACT-03133</t>
  </si>
  <si>
    <t>ACC-12231</t>
  </si>
  <si>
    <t>CUST-52231</t>
  </si>
  <si>
    <t>Gerald Thompson</t>
  </si>
  <si>
    <t>ACT-03134</t>
  </si>
  <si>
    <t>annette86@example.com</t>
  </si>
  <si>
    <t>ACT-03135</t>
  </si>
  <si>
    <t>BS89 6AF</t>
  </si>
  <si>
    <t>ACC-12232</t>
  </si>
  <si>
    <t>CUST-52232</t>
  </si>
  <si>
    <t>Marian Powell</t>
  </si>
  <si>
    <t>ACT-03136</t>
  </si>
  <si>
    <t>youngabigail@example.net</t>
  </si>
  <si>
    <t>CO51 1LD</t>
  </si>
  <si>
    <t>ACC-12233</t>
  </si>
  <si>
    <t>CUST-52233</t>
  </si>
  <si>
    <t>ACT-03137</t>
  </si>
  <si>
    <t>Stuart Lloyd</t>
  </si>
  <si>
    <t>gregory67@example.net</t>
  </si>
  <si>
    <t>TS4 9FD</t>
  </si>
  <si>
    <t>ACT-03138</t>
  </si>
  <si>
    <t>ACC-12234</t>
  </si>
  <si>
    <t>CUST-52234</t>
  </si>
  <si>
    <t>Philip Henderson</t>
  </si>
  <si>
    <t>ACT-03139</t>
  </si>
  <si>
    <t>parkeralan@example.com</t>
  </si>
  <si>
    <t>PL2 9PD</t>
  </si>
  <si>
    <t>ACT-03140</t>
  </si>
  <si>
    <t>ACC-12235</t>
  </si>
  <si>
    <t>CUST-52235</t>
  </si>
  <si>
    <t>Miss Teresa Taylor</t>
  </si>
  <si>
    <t>ACT-03141</t>
  </si>
  <si>
    <t>ejackson@example.org</t>
  </si>
  <si>
    <t>CR46 2EU</t>
  </si>
  <si>
    <t>ACT-03142</t>
  </si>
  <si>
    <t>ACC-12236</t>
  </si>
  <si>
    <t>CUST-52236</t>
  </si>
  <si>
    <t>Mrs Lynne Saunders</t>
  </si>
  <si>
    <t>ACT-03143</t>
  </si>
  <si>
    <t>ACT-03144</t>
  </si>
  <si>
    <t>CM9 1RU</t>
  </si>
  <si>
    <t>ACC-12237</t>
  </si>
  <si>
    <t>CUST-52237</t>
  </si>
  <si>
    <t>ACT-03145</t>
  </si>
  <si>
    <t>Ms Abbie Ward</t>
  </si>
  <si>
    <t>ACT-03146</t>
  </si>
  <si>
    <t>rosemary71@example.net</t>
  </si>
  <si>
    <t>S57 7HW</t>
  </si>
  <si>
    <t>ACC-12238</t>
  </si>
  <si>
    <t>CUST-52238</t>
  </si>
  <si>
    <t>Dr Alexander Mellor</t>
  </si>
  <si>
    <t>ACT-03147</t>
  </si>
  <si>
    <t>cmiller@example.net</t>
  </si>
  <si>
    <t>G1W 9XP</t>
  </si>
  <si>
    <t>ACT-03148</t>
  </si>
  <si>
    <t>ACC-12239</t>
  </si>
  <si>
    <t>CUST-52239</t>
  </si>
  <si>
    <t>Martyn Baldwin</t>
  </si>
  <si>
    <t>ACT-03149</t>
  </si>
  <si>
    <t>jenniferclark@example.net</t>
  </si>
  <si>
    <t>CM3 7FQ</t>
  </si>
  <si>
    <t>ACC-12240</t>
  </si>
  <si>
    <t>CUST-52240</t>
  </si>
  <si>
    <t>Arthur Turner</t>
  </si>
  <si>
    <t>ACT-03150</t>
  </si>
  <si>
    <t>itaylor@example.net</t>
  </si>
  <si>
    <t>B9 8DJ</t>
  </si>
  <si>
    <t>ACC-12241</t>
  </si>
  <si>
    <t>CUST-52241</t>
  </si>
  <si>
    <t>ACT-03151</t>
  </si>
  <si>
    <t>Judith Dale</t>
  </si>
  <si>
    <t>kieranlamb@example.com</t>
  </si>
  <si>
    <t>G0 8PX</t>
  </si>
  <si>
    <t>ACT-03152</t>
  </si>
  <si>
    <t>ACC-12242</t>
  </si>
  <si>
    <t>CUST-52242</t>
  </si>
  <si>
    <t>Georgina Walker</t>
  </si>
  <si>
    <t>ACT-03153</t>
  </si>
  <si>
    <t>martyn30@example.com</t>
  </si>
  <si>
    <t>B9E 5YB</t>
  </si>
  <si>
    <t>ACC-12243</t>
  </si>
  <si>
    <t>CUST-52243</t>
  </si>
  <si>
    <t>Kayleigh White</t>
  </si>
  <si>
    <t>ACT-03154</t>
  </si>
  <si>
    <t>halederek@example.net</t>
  </si>
  <si>
    <t>W3H 1WQ</t>
  </si>
  <si>
    <t>ACT-03155</t>
  </si>
  <si>
    <t>ACC-12244</t>
  </si>
  <si>
    <t>CUST-52244</t>
  </si>
  <si>
    <t>Darren Simpson</t>
  </si>
  <si>
    <t>ACT-03156</t>
  </si>
  <si>
    <t>hazel74@example.com</t>
  </si>
  <si>
    <t>M8 3AA</t>
  </si>
  <si>
    <t>ACC-12245</t>
  </si>
  <si>
    <t>CUST-52245</t>
  </si>
  <si>
    <t>Mohammed Todd</t>
  </si>
  <si>
    <t>ACT-03157</t>
  </si>
  <si>
    <t>ybennett@example.com</t>
  </si>
  <si>
    <t>PE0 8AU</t>
  </si>
  <si>
    <t>ACC-12246</t>
  </si>
  <si>
    <t>CUST-52246</t>
  </si>
  <si>
    <t>Grace Austin</t>
  </si>
  <si>
    <t>ACT-03158</t>
  </si>
  <si>
    <t>edwardscarole@example.net</t>
  </si>
  <si>
    <t>CT32 6ZP</t>
  </si>
  <si>
    <t>ACC-12247</t>
  </si>
  <si>
    <t>ACT-03159</t>
  </si>
  <si>
    <t>CUST-52247</t>
  </si>
  <si>
    <t>Mr Anthony Akhtar</t>
  </si>
  <si>
    <t>joanjones@example.net</t>
  </si>
  <si>
    <t>B34 3XX</t>
  </si>
  <si>
    <t>ACT-03160</t>
  </si>
  <si>
    <t>ACC-12248</t>
  </si>
  <si>
    <t>CUST-52248</t>
  </si>
  <si>
    <t>Jayne Wright</t>
  </si>
  <si>
    <t>ACT-03161</t>
  </si>
  <si>
    <t>kerryedwards@example.net</t>
  </si>
  <si>
    <t>FY52 3LX</t>
  </si>
  <si>
    <t>ACC-12249</t>
  </si>
  <si>
    <t>ACT-03162</t>
  </si>
  <si>
    <t>CUST-52249</t>
  </si>
  <si>
    <t>Mrs Rosie Williams</t>
  </si>
  <si>
    <t>ACT-03163</t>
  </si>
  <si>
    <t>kimberleybryan@example.org</t>
  </si>
  <si>
    <t>CO7X 0GZ</t>
  </si>
  <si>
    <t>ACT-03164</t>
  </si>
  <si>
    <t>ACC-12250</t>
  </si>
  <si>
    <t>CUST-52250</t>
  </si>
  <si>
    <t>Abdul Murphy</t>
  </si>
  <si>
    <t>stevenbennett@example.org</t>
  </si>
  <si>
    <t>ACT-03165</t>
  </si>
  <si>
    <t>W35 5TE</t>
  </si>
  <si>
    <t>ACC-12251</t>
  </si>
  <si>
    <t>CUST-52251</t>
  </si>
  <si>
    <t>Lydia Clark</t>
  </si>
  <si>
    <t>ACT-03166</t>
  </si>
  <si>
    <t>jessica42@example.net</t>
  </si>
  <si>
    <t>G59 6TL</t>
  </si>
  <si>
    <t>ACT-03167</t>
  </si>
  <si>
    <t>ACC-12252</t>
  </si>
  <si>
    <t>CUST-52252</t>
  </si>
  <si>
    <t>Amy Turner-Law</t>
  </si>
  <si>
    <t>ACT-03168</t>
  </si>
  <si>
    <t>wcoleman@example.com</t>
  </si>
  <si>
    <t>W6D 3HW</t>
  </si>
  <si>
    <t>ACC-12253</t>
  </si>
  <si>
    <t>CUST-52253</t>
  </si>
  <si>
    <t>Yvonne Barker</t>
  </si>
  <si>
    <t>ACT-03169</t>
  </si>
  <si>
    <t>neil03@example.org</t>
  </si>
  <si>
    <t>WR76 1FF</t>
  </si>
  <si>
    <t>ACC-12254</t>
  </si>
  <si>
    <t>CUST-52254</t>
  </si>
  <si>
    <t>Sarah Savage</t>
  </si>
  <si>
    <t>ACT-03170</t>
  </si>
  <si>
    <t>tobybaker@example.net</t>
  </si>
  <si>
    <t>HA9A 2HB</t>
  </si>
  <si>
    <t>ACC-12255</t>
  </si>
  <si>
    <t>ACT-03171</t>
  </si>
  <si>
    <t>CUST-52255</t>
  </si>
  <si>
    <t>Victoria Jones-Moran</t>
  </si>
  <si>
    <t>yvonne51@example.org</t>
  </si>
  <si>
    <t>E87 4FZ</t>
  </si>
  <si>
    <t>ACT-03172</t>
  </si>
  <si>
    <t>ACC-12256</t>
  </si>
  <si>
    <t>CUST-52256</t>
  </si>
  <si>
    <t>Margaret Herbert</t>
  </si>
  <si>
    <t>kingleon@example.org</t>
  </si>
  <si>
    <t>ACT-03173</t>
  </si>
  <si>
    <t>E4G 8JA</t>
  </si>
  <si>
    <t>ACC-12257</t>
  </si>
  <si>
    <t>CUST-52257</t>
  </si>
  <si>
    <t>Dr Josephine Duncan</t>
  </si>
  <si>
    <t>ACT-03174</t>
  </si>
  <si>
    <t>jasontaylor@example.net</t>
  </si>
  <si>
    <t>BB14 9HN</t>
  </si>
  <si>
    <t>ACT-03175</t>
  </si>
  <si>
    <t>ACC-12258</t>
  </si>
  <si>
    <t>CUST-52258</t>
  </si>
  <si>
    <t>Leigh Riley</t>
  </si>
  <si>
    <t>tracy08@example.com</t>
  </si>
  <si>
    <t>ACT-03176</t>
  </si>
  <si>
    <t>BL7R 8HY</t>
  </si>
  <si>
    <t>ACC-12259</t>
  </si>
  <si>
    <t>CUST-52259</t>
  </si>
  <si>
    <t>Sandra Roberts</t>
  </si>
  <si>
    <t>ACT-03177</t>
  </si>
  <si>
    <t>abduljones@example.org</t>
  </si>
  <si>
    <t>BD79 0BB</t>
  </si>
  <si>
    <t>ACC-12260</t>
  </si>
  <si>
    <t>CUST-52260</t>
  </si>
  <si>
    <t>Rita Carey-George</t>
  </si>
  <si>
    <t>ACT-03178</t>
  </si>
  <si>
    <t>whitejake@example.net</t>
  </si>
  <si>
    <t>GL65 7HA</t>
  </si>
  <si>
    <t>ACT-03179</t>
  </si>
  <si>
    <t>ACC-12261</t>
  </si>
  <si>
    <t>CUST-52261</t>
  </si>
  <si>
    <t>Ms Brenda Hart</t>
  </si>
  <si>
    <t>brandon50@example.net</t>
  </si>
  <si>
    <t>ACT-03180</t>
  </si>
  <si>
    <t>M0 1HS</t>
  </si>
  <si>
    <t>ACC-12262</t>
  </si>
  <si>
    <t>CUST-52262</t>
  </si>
  <si>
    <t>Anna Bird</t>
  </si>
  <si>
    <t>ACT-03181</t>
  </si>
  <si>
    <t>KW2R 0EN</t>
  </si>
  <si>
    <t>ACC-12263</t>
  </si>
  <si>
    <t>CUST-52263</t>
  </si>
  <si>
    <t>Miss Abigail Forster</t>
  </si>
  <si>
    <t>ACT-03182</t>
  </si>
  <si>
    <t>raymond75@example.com</t>
  </si>
  <si>
    <t>B4 4HP</t>
  </si>
  <si>
    <t>ACC-12264</t>
  </si>
  <si>
    <t>CUST-52264</t>
  </si>
  <si>
    <t>Natasha Thornton-Fry</t>
  </si>
  <si>
    <t>ACT-03183</t>
  </si>
  <si>
    <t>jonesrachael@example.net</t>
  </si>
  <si>
    <t>L1W 2TW</t>
  </si>
  <si>
    <t>ACC-12265</t>
  </si>
  <si>
    <t>CUST-52265</t>
  </si>
  <si>
    <t>Mathew Allen</t>
  </si>
  <si>
    <t>ACT-03184</t>
  </si>
  <si>
    <t>dperry@example.net</t>
  </si>
  <si>
    <t>SY2H 0AF</t>
  </si>
  <si>
    <t>ACT-03185</t>
  </si>
  <si>
    <t>ACC-12266</t>
  </si>
  <si>
    <t>CUST-52266</t>
  </si>
  <si>
    <t>Brandon Marshall</t>
  </si>
  <si>
    <t>ACT-03186</t>
  </si>
  <si>
    <t>jonesabdul@example.com</t>
  </si>
  <si>
    <t>L1J 3AW</t>
  </si>
  <si>
    <t>ACT-03187</t>
  </si>
  <si>
    <t>ACC-12267</t>
  </si>
  <si>
    <t>CUST-52267</t>
  </si>
  <si>
    <t>Carol Pugh</t>
  </si>
  <si>
    <t>ACT-03188</t>
  </si>
  <si>
    <t>craigmiller@example.org</t>
  </si>
  <si>
    <t>S4B 7RH</t>
  </si>
  <si>
    <t>ACT-03189</t>
  </si>
  <si>
    <t>ACC-12268</t>
  </si>
  <si>
    <t>CUST-52268</t>
  </si>
  <si>
    <t>Lindsey Frost</t>
  </si>
  <si>
    <t>ACT-03190</t>
  </si>
  <si>
    <t>joshuahowe@example.org</t>
  </si>
  <si>
    <t>CV66 8GT</t>
  </si>
  <si>
    <t>ACC-12269</t>
  </si>
  <si>
    <t>CUST-52269</t>
  </si>
  <si>
    <t>ACT-03191</t>
  </si>
  <si>
    <t>Clive Williams</t>
  </si>
  <si>
    <t>jaynorman@example.com</t>
  </si>
  <si>
    <t>SL8V 0NA</t>
  </si>
  <si>
    <t>ACT-03192</t>
  </si>
  <si>
    <t>ACC-12270</t>
  </si>
  <si>
    <t>CUST-52270</t>
  </si>
  <si>
    <t>Joseph Mills</t>
  </si>
  <si>
    <t>ACT-03193</t>
  </si>
  <si>
    <t>ACT-03194</t>
  </si>
  <si>
    <t>roger56@example.net</t>
  </si>
  <si>
    <t>B5U 1YG</t>
  </si>
  <si>
    <t>ACT-03195</t>
  </si>
  <si>
    <t>ACC-12271</t>
  </si>
  <si>
    <t>CUST-52271</t>
  </si>
  <si>
    <t>Billy Haynes</t>
  </si>
  <si>
    <t>ACT-03196</t>
  </si>
  <si>
    <t>ghamilton@example.org</t>
  </si>
  <si>
    <t>ACT-03197</t>
  </si>
  <si>
    <t>W9 5YH</t>
  </si>
  <si>
    <t>ACT-03198</t>
  </si>
  <si>
    <t>ACC-12272</t>
  </si>
  <si>
    <t>CUST-52272</t>
  </si>
  <si>
    <t>Alison White</t>
  </si>
  <si>
    <t>ACT-03199</t>
  </si>
  <si>
    <t>kieran08@example.org</t>
  </si>
  <si>
    <t>L77 4FU</t>
  </si>
  <si>
    <t>ACT-03200</t>
  </si>
  <si>
    <t>ACC-12273</t>
  </si>
  <si>
    <t>CUST-52273</t>
  </si>
  <si>
    <t>ACT-03201</t>
  </si>
  <si>
    <t>Jason Ward</t>
  </si>
  <si>
    <t>ACT-03202</t>
  </si>
  <si>
    <t>lturner@example.org</t>
  </si>
  <si>
    <t>EC51 4UX</t>
  </si>
  <si>
    <t>ACT-03203</t>
  </si>
  <si>
    <t>ACC-12274</t>
  </si>
  <si>
    <t>CUST-52274</t>
  </si>
  <si>
    <t>Patricia Houghton</t>
  </si>
  <si>
    <t>ACT-03204</t>
  </si>
  <si>
    <t>ACT-03205</t>
  </si>
  <si>
    <t>amandawood@example.org</t>
  </si>
  <si>
    <t>SO1 1ZP</t>
  </si>
  <si>
    <t>ACT-03206</t>
  </si>
  <si>
    <t>ACC-12275</t>
  </si>
  <si>
    <t>CUST-52275</t>
  </si>
  <si>
    <t>Margaret Sykes</t>
  </si>
  <si>
    <t>ACT-03207</t>
  </si>
  <si>
    <t>meganmoore@example.org</t>
  </si>
  <si>
    <t>ACT-03208</t>
  </si>
  <si>
    <t>L93 0RE</t>
  </si>
  <si>
    <t>ACC-12276</t>
  </si>
  <si>
    <t>ACT-03209</t>
  </si>
  <si>
    <t>CUST-52276</t>
  </si>
  <si>
    <t>Arthur White</t>
  </si>
  <si>
    <t>ACT-03210</t>
  </si>
  <si>
    <t>mariebradshaw@example.com</t>
  </si>
  <si>
    <t>G5T 3HU</t>
  </si>
  <si>
    <t>ACT-03211</t>
  </si>
  <si>
    <t>ACC-12277</t>
  </si>
  <si>
    <t>CUST-52277</t>
  </si>
  <si>
    <t>Maria Richardson</t>
  </si>
  <si>
    <t>ACT-03212</t>
  </si>
  <si>
    <t>derekward@example.net</t>
  </si>
  <si>
    <t>ACT-03213</t>
  </si>
  <si>
    <t>HG83 9TG</t>
  </si>
  <si>
    <t>ACT-03214</t>
  </si>
  <si>
    <t>ACC-12278</t>
  </si>
  <si>
    <t>CUST-52278</t>
  </si>
  <si>
    <t>Sheila Clark</t>
  </si>
  <si>
    <t>ACT-03215</t>
  </si>
  <si>
    <t>carol92@example.com</t>
  </si>
  <si>
    <t>E8 8YU</t>
  </si>
  <si>
    <t>ACT-03216</t>
  </si>
  <si>
    <t>ACC-12279</t>
  </si>
  <si>
    <t>CUST-52279</t>
  </si>
  <si>
    <t>Mr Malcolm Potts</t>
  </si>
  <si>
    <t>ACT-03217</t>
  </si>
  <si>
    <t>clive05@example.net</t>
  </si>
  <si>
    <t>N4 5HA</t>
  </si>
  <si>
    <t>ACC-12280</t>
  </si>
  <si>
    <t>CUST-52280</t>
  </si>
  <si>
    <t>ACT-03218</t>
  </si>
  <si>
    <t>Zoe Kerr</t>
  </si>
  <si>
    <t>alexander22@example.net</t>
  </si>
  <si>
    <t>KA1 4GE</t>
  </si>
  <si>
    <t>ACT-03219</t>
  </si>
  <si>
    <t>ACC-12281</t>
  </si>
  <si>
    <t>CUST-52281</t>
  </si>
  <si>
    <t>Sylvia Davis</t>
  </si>
  <si>
    <t>ACT-03220</t>
  </si>
  <si>
    <t>cooperjade@example.net</t>
  </si>
  <si>
    <t>IM59 1JJ</t>
  </si>
  <si>
    <t>ACT-03221</t>
  </si>
  <si>
    <t>ACC-12282</t>
  </si>
  <si>
    <t>CUST-52282</t>
  </si>
  <si>
    <t>Miss Carole Thomas</t>
  </si>
  <si>
    <t>ACT-03222</t>
  </si>
  <si>
    <t>knewman@example.net</t>
  </si>
  <si>
    <t>AB7 4BA</t>
  </si>
  <si>
    <t>ACC-12283</t>
  </si>
  <si>
    <t>CUST-52283</t>
  </si>
  <si>
    <t>Dr Samantha Dean</t>
  </si>
  <si>
    <t>ACT-03223</t>
  </si>
  <si>
    <t>christine24@example.com</t>
  </si>
  <si>
    <t>ACT-03224</t>
  </si>
  <si>
    <t>SR75 5GB</t>
  </si>
  <si>
    <t>ACC-12284</t>
  </si>
  <si>
    <t>CUST-52284</t>
  </si>
  <si>
    <t>Ryan Murray-Hill</t>
  </si>
  <si>
    <t>ACT-03225</t>
  </si>
  <si>
    <t>ACT-03226</t>
  </si>
  <si>
    <t>victor19@example.org</t>
  </si>
  <si>
    <t>SY5H 3GT</t>
  </si>
  <si>
    <t>ACT-03227</t>
  </si>
  <si>
    <t>ACC-12285</t>
  </si>
  <si>
    <t>CUST-52285</t>
  </si>
  <si>
    <t>Gregory Roberts-Sullivan</t>
  </si>
  <si>
    <t>ACT-03228</t>
  </si>
  <si>
    <t>cameronjohnson@example.net</t>
  </si>
  <si>
    <t>ACT-03229</t>
  </si>
  <si>
    <t>NR86 0HX</t>
  </si>
  <si>
    <t>ACC-12286</t>
  </si>
  <si>
    <t>ACT-03230</t>
  </si>
  <si>
    <t>CUST-52286</t>
  </si>
  <si>
    <t>Ms Judith Hunt</t>
  </si>
  <si>
    <t>ACT-03231</t>
  </si>
  <si>
    <t>KW6V 0SF</t>
  </si>
  <si>
    <t>ACT-03232</t>
  </si>
  <si>
    <t>ACC-12287</t>
  </si>
  <si>
    <t>CUST-52287</t>
  </si>
  <si>
    <t>Jane Baker</t>
  </si>
  <si>
    <t>ACT-03233</t>
  </si>
  <si>
    <t>mfuller@example.org</t>
  </si>
  <si>
    <t>CH5V 2ZB</t>
  </si>
  <si>
    <t>ACT-03234</t>
  </si>
  <si>
    <t>ACC-12288</t>
  </si>
  <si>
    <t>CUST-52288</t>
  </si>
  <si>
    <t>Ms Deborah Thompson</t>
  </si>
  <si>
    <t>rosemary62@example.org</t>
  </si>
  <si>
    <t>ACT-03235</t>
  </si>
  <si>
    <t>LS19 5RT</t>
  </si>
  <si>
    <t>ACC-12289</t>
  </si>
  <si>
    <t>CUST-52289</t>
  </si>
  <si>
    <t>Susan Hanson</t>
  </si>
  <si>
    <t>ACT-03236</t>
  </si>
  <si>
    <t>mauriceedwards@example.net</t>
  </si>
  <si>
    <t>SE4V 1GF</t>
  </si>
  <si>
    <t>ACT-03237</t>
  </si>
  <si>
    <t>ACC-12290</t>
  </si>
  <si>
    <t>CUST-52290</t>
  </si>
  <si>
    <t>Pauline Thorpe-Fox</t>
  </si>
  <si>
    <t>ACT-03238</t>
  </si>
  <si>
    <t>W19 4DA</t>
  </si>
  <si>
    <t>ACC-12291</t>
  </si>
  <si>
    <t>ACT-03239</t>
  </si>
  <si>
    <t>CUST-52291</t>
  </si>
  <si>
    <t>jonathancarter@example.com</t>
  </si>
  <si>
    <t>N7D 4FP</t>
  </si>
  <si>
    <t>ACT-03240</t>
  </si>
  <si>
    <t>ACC-12292</t>
  </si>
  <si>
    <t>CUST-52292</t>
  </si>
  <si>
    <t>Pauline Williams</t>
  </si>
  <si>
    <t>ACT-03241</t>
  </si>
  <si>
    <t>scottlorraine@example.net</t>
  </si>
  <si>
    <t>BR24 4AR</t>
  </si>
  <si>
    <t>ACC-12293</t>
  </si>
  <si>
    <t>CUST-52293</t>
  </si>
  <si>
    <t>ACT-03242</t>
  </si>
  <si>
    <t>Amy Green-Browne</t>
  </si>
  <si>
    <t>taylorstacey@example.org</t>
  </si>
  <si>
    <t>L8 5PY</t>
  </si>
  <si>
    <t>ACT-03243</t>
  </si>
  <si>
    <t>ACC-12294</t>
  </si>
  <si>
    <t>CUST-52294</t>
  </si>
  <si>
    <t>Howard James</t>
  </si>
  <si>
    <t>ACT-03244</t>
  </si>
  <si>
    <t>christopher64@example.org</t>
  </si>
  <si>
    <t>B58 2JR</t>
  </si>
  <si>
    <t>ACT-03245</t>
  </si>
  <si>
    <t>ACC-12295</t>
  </si>
  <si>
    <t>CUST-52295</t>
  </si>
  <si>
    <t>Mr Reece Haynes</t>
  </si>
  <si>
    <t>mauricebegum@example.net</t>
  </si>
  <si>
    <t>E5F 3RY</t>
  </si>
  <si>
    <t>ACT-03246</t>
  </si>
  <si>
    <t>ACC-12296</t>
  </si>
  <si>
    <t>CUST-52296</t>
  </si>
  <si>
    <t>Mrs Ashleigh Fraser</t>
  </si>
  <si>
    <t>ACT-03247</t>
  </si>
  <si>
    <t>HX4P 5EL</t>
  </si>
  <si>
    <t>ACC-12297</t>
  </si>
  <si>
    <t>CUST-52297</t>
  </si>
  <si>
    <t>ACT-03248</t>
  </si>
  <si>
    <t>Hilary Wright</t>
  </si>
  <si>
    <t>ACT-03249</t>
  </si>
  <si>
    <t>francismaureen@example.net</t>
  </si>
  <si>
    <t>EC5 2ZY</t>
  </si>
  <si>
    <t>ACT-03250</t>
  </si>
  <si>
    <t>ACC-12298</t>
  </si>
  <si>
    <t>CUST-52298</t>
  </si>
  <si>
    <t>Vanessa Rees</t>
  </si>
  <si>
    <t>ACT-03251</t>
  </si>
  <si>
    <t>ACT-03252</t>
  </si>
  <si>
    <t>gclements@example.org</t>
  </si>
  <si>
    <t>B9F 8XQ</t>
  </si>
  <si>
    <t>ACT-03253</t>
  </si>
  <si>
    <t>ACC-12299</t>
  </si>
  <si>
    <t>CUST-52299</t>
  </si>
  <si>
    <t>Dr Mohamed Ward</t>
  </si>
  <si>
    <t>ACT-03254</t>
  </si>
  <si>
    <t>ACT-03255</t>
  </si>
  <si>
    <t>andersonfrances@example.net</t>
  </si>
  <si>
    <t>S68 5FG</t>
  </si>
  <si>
    <t>ACC-12300</t>
  </si>
  <si>
    <t>ACT-03256</t>
  </si>
  <si>
    <t>CUST-52300</t>
  </si>
  <si>
    <t>Dennis Kemp</t>
  </si>
  <si>
    <t>ACT-03257</t>
  </si>
  <si>
    <t>ggriffin@example.net</t>
  </si>
  <si>
    <t>WV0H 0GQ</t>
  </si>
  <si>
    <t>ACT-03258</t>
  </si>
  <si>
    <t>ACC-12301</t>
  </si>
  <si>
    <t>CUST-52301</t>
  </si>
  <si>
    <t>Patricia Gordon</t>
  </si>
  <si>
    <t>ACT-03259</t>
  </si>
  <si>
    <t>brianjones@example.org</t>
  </si>
  <si>
    <t>G5 2LS</t>
  </si>
  <si>
    <t>ACT-03260</t>
  </si>
  <si>
    <t>ACC-12302</t>
  </si>
  <si>
    <t>CUST-52302</t>
  </si>
  <si>
    <t>Dr George Kaur</t>
  </si>
  <si>
    <t>ACT-03261</t>
  </si>
  <si>
    <t>ACT-03262</t>
  </si>
  <si>
    <t>kyleheath@example.org</t>
  </si>
  <si>
    <t>ACT-03263</t>
  </si>
  <si>
    <t>L60 0AL</t>
  </si>
  <si>
    <t>ACC-12303</t>
  </si>
  <si>
    <t>ACT-03264</t>
  </si>
  <si>
    <t>CUST-52303</t>
  </si>
  <si>
    <t>Dr Charlotte Griffiths</t>
  </si>
  <si>
    <t>ACT-03265</t>
  </si>
  <si>
    <t>owenmarc@example.com</t>
  </si>
  <si>
    <t>ACT-03266</t>
  </si>
  <si>
    <t>RG3 9ES</t>
  </si>
  <si>
    <t>ACC-12304</t>
  </si>
  <si>
    <t>CUST-52304</t>
  </si>
  <si>
    <t>Dr Toby Kennedy</t>
  </si>
  <si>
    <t>ACT-03267</t>
  </si>
  <si>
    <t>ACT-03268</t>
  </si>
  <si>
    <t>martyn02@example.net</t>
  </si>
  <si>
    <t>G8 5RE</t>
  </si>
  <si>
    <t>ACT-03269</t>
  </si>
  <si>
    <t>ACC-12305</t>
  </si>
  <si>
    <t>CUST-52305</t>
  </si>
  <si>
    <t>Mathew Graham</t>
  </si>
  <si>
    <t>ACT-03270</t>
  </si>
  <si>
    <t>alice77@example.com</t>
  </si>
  <si>
    <t>ACT-03271</t>
  </si>
  <si>
    <t>G4 5FG</t>
  </si>
  <si>
    <t>ACC-12306</t>
  </si>
  <si>
    <t>ACT-03272</t>
  </si>
  <si>
    <t>CUST-52306</t>
  </si>
  <si>
    <t>Carl Wright</t>
  </si>
  <si>
    <t>ACT-03273</t>
  </si>
  <si>
    <t>ilowe@example.net</t>
  </si>
  <si>
    <t>CM0 7GQ</t>
  </si>
  <si>
    <t>ACT-03274</t>
  </si>
  <si>
    <t>ACC-12307</t>
  </si>
  <si>
    <t>CUST-52307</t>
  </si>
  <si>
    <t>Nicola Jones</t>
  </si>
  <si>
    <t>ACT-03275</t>
  </si>
  <si>
    <t>ACT-03276</t>
  </si>
  <si>
    <t>cliffordcampbell@example.org</t>
  </si>
  <si>
    <t>W5D 5BH</t>
  </si>
  <si>
    <t>ACT-03277</t>
  </si>
  <si>
    <t>ACC-12308</t>
  </si>
  <si>
    <t>CUST-52308</t>
  </si>
  <si>
    <t>Mr Gregory Smart</t>
  </si>
  <si>
    <t>ACT-03278</t>
  </si>
  <si>
    <t>lydia56@example.com</t>
  </si>
  <si>
    <t>SS11 0YX</t>
  </si>
  <si>
    <t>ACT-03279</t>
  </si>
  <si>
    <t>ACC-12309</t>
  </si>
  <si>
    <t>CUST-52309</t>
  </si>
  <si>
    <t>Conor Fox-Noble</t>
  </si>
  <si>
    <t>ACT-03280</t>
  </si>
  <si>
    <t>ACT-03281</t>
  </si>
  <si>
    <t>jonesaimee@example.org</t>
  </si>
  <si>
    <t>W8 4YE</t>
  </si>
  <si>
    <t>ACT-03282</t>
  </si>
  <si>
    <t>ACC-12310</t>
  </si>
  <si>
    <t>CUST-52310</t>
  </si>
  <si>
    <t>Ms Amber Jones</t>
  </si>
  <si>
    <t>ACT-03283</t>
  </si>
  <si>
    <t>pearsoneleanor@example.net</t>
  </si>
  <si>
    <t>ACT-03284</t>
  </si>
  <si>
    <t>BN8 2QR</t>
  </si>
  <si>
    <t>ACC-12311</t>
  </si>
  <si>
    <t>CUST-52311</t>
  </si>
  <si>
    <t>ACT-03285</t>
  </si>
  <si>
    <t>Joel Slater</t>
  </si>
  <si>
    <t>ACT-03286</t>
  </si>
  <si>
    <t>fthomas@example.org</t>
  </si>
  <si>
    <t>M09 7AG</t>
  </si>
  <si>
    <t>ACC-12312</t>
  </si>
  <si>
    <t>CUST-52312</t>
  </si>
  <si>
    <t>ACT-03287</t>
  </si>
  <si>
    <t>Brian Gardner</t>
  </si>
  <si>
    <t>websterluke@example.com</t>
  </si>
  <si>
    <t>ACT-03288</t>
  </si>
  <si>
    <t>G3G 2GF</t>
  </si>
  <si>
    <t>ACC-12313</t>
  </si>
  <si>
    <t>CUST-52313</t>
  </si>
  <si>
    <t>Jennifer Williams</t>
  </si>
  <si>
    <t>ACT-03289</t>
  </si>
  <si>
    <t>qhill@example.net</t>
  </si>
  <si>
    <t>ACT-03290</t>
  </si>
  <si>
    <t>CO34 3BG</t>
  </si>
  <si>
    <t>ACC-12314</t>
  </si>
  <si>
    <t>CUST-52314</t>
  </si>
  <si>
    <t>Shannon Lane</t>
  </si>
  <si>
    <t>ACT-03291</t>
  </si>
  <si>
    <t>rosemaryevans@example.org</t>
  </si>
  <si>
    <t>G49 2UL</t>
  </si>
  <si>
    <t>ACT-03292</t>
  </si>
  <si>
    <t>ACC-12315</t>
  </si>
  <si>
    <t>CUST-52315</t>
  </si>
  <si>
    <t>Miss Georgina Phillips</t>
  </si>
  <si>
    <t>ACT-03293</t>
  </si>
  <si>
    <t>rnorris@example.org</t>
  </si>
  <si>
    <t>ACT-03294</t>
  </si>
  <si>
    <t>S8 0GD</t>
  </si>
  <si>
    <t>ACC-12316</t>
  </si>
  <si>
    <t>ACT-03295</t>
  </si>
  <si>
    <t>CUST-52316</t>
  </si>
  <si>
    <t>Glen Whittaker</t>
  </si>
  <si>
    <t>ACT-03296</t>
  </si>
  <si>
    <t>neilbailey@example.net</t>
  </si>
  <si>
    <t>ACT-03297</t>
  </si>
  <si>
    <t>G6E 8AS</t>
  </si>
  <si>
    <t>ACC-12317</t>
  </si>
  <si>
    <t>CUST-52317</t>
  </si>
  <si>
    <t>Carolyn Ward</t>
  </si>
  <si>
    <t>ACT-03298</t>
  </si>
  <si>
    <t>proberts@example.net</t>
  </si>
  <si>
    <t>SW95 3SN</t>
  </si>
  <si>
    <t>ACT-03299</t>
  </si>
  <si>
    <t>ACC-12318</t>
  </si>
  <si>
    <t>CUST-52318</t>
  </si>
  <si>
    <t>Peter Blackburn</t>
  </si>
  <si>
    <t>ACT-03300</t>
  </si>
  <si>
    <t>victoriabyrne@example.com</t>
  </si>
  <si>
    <t>ACT-03301</t>
  </si>
  <si>
    <t>N4 9LJ</t>
  </si>
  <si>
    <t>ACC-12319</t>
  </si>
  <si>
    <t>CUST-52319</t>
  </si>
  <si>
    <t>ACT-03302</t>
  </si>
  <si>
    <t>Martyn Khan-Fleming</t>
  </si>
  <si>
    <t>ACT-03303</t>
  </si>
  <si>
    <t>danielperry@example.net</t>
  </si>
  <si>
    <t>E30 7WG</t>
  </si>
  <si>
    <t>ACT-03304</t>
  </si>
  <si>
    <t>ACC-12320</t>
  </si>
  <si>
    <t>CUST-52320</t>
  </si>
  <si>
    <t>Samantha Ahmed</t>
  </si>
  <si>
    <t>ACT-03305</t>
  </si>
  <si>
    <t>ACT-03306</t>
  </si>
  <si>
    <t>amanda21@example.org</t>
  </si>
  <si>
    <t>OX1 2BP</t>
  </si>
  <si>
    <t>ACT-03307</t>
  </si>
  <si>
    <t>ACC-12321</t>
  </si>
  <si>
    <t>CUST-52321</t>
  </si>
  <si>
    <t>Leigh Thomson</t>
  </si>
  <si>
    <t>ACT-03308</t>
  </si>
  <si>
    <t>ACT-03309</t>
  </si>
  <si>
    <t>S9 6TY</t>
  </si>
  <si>
    <t>ACC-12322</t>
  </si>
  <si>
    <t>ACT-03310</t>
  </si>
  <si>
    <t>CUST-52322</t>
  </si>
  <si>
    <t>Marion Wells</t>
  </si>
  <si>
    <t>ACT-03311</t>
  </si>
  <si>
    <t>amberdean@example.com</t>
  </si>
  <si>
    <t>TS0M 3RY</t>
  </si>
  <si>
    <t>ACT-03312</t>
  </si>
  <si>
    <t>ACC-12323</t>
  </si>
  <si>
    <t>CUST-52323</t>
  </si>
  <si>
    <t>Rachel Willis</t>
  </si>
  <si>
    <t>ACT-03313</t>
  </si>
  <si>
    <t>geraldinedavis@example.com</t>
  </si>
  <si>
    <t>ACT-03314</t>
  </si>
  <si>
    <t>EH8 5XN</t>
  </si>
  <si>
    <t>ACT-03315</t>
  </si>
  <si>
    <t>ACC-12324</t>
  </si>
  <si>
    <t>CUST-52324</t>
  </si>
  <si>
    <t>Sam Smith</t>
  </si>
  <si>
    <t>ACT-03316</t>
  </si>
  <si>
    <t>ashleyandrews@example.org</t>
  </si>
  <si>
    <t>B0A 2YU</t>
  </si>
  <si>
    <t>ACT-03317</t>
  </si>
  <si>
    <t>ACC-12325</t>
  </si>
  <si>
    <t>CUST-52325</t>
  </si>
  <si>
    <t>Neil Leonard</t>
  </si>
  <si>
    <t>ACT-03318</t>
  </si>
  <si>
    <t>holly94@example.org</t>
  </si>
  <si>
    <t>S4T 2ER</t>
  </si>
  <si>
    <t>ACT-03319</t>
  </si>
  <si>
    <t>ACC-12326</t>
  </si>
  <si>
    <t>CUST-52326</t>
  </si>
  <si>
    <t>Laura Sims</t>
  </si>
  <si>
    <t>ACT-03320</t>
  </si>
  <si>
    <t>beverleypeters@example.com</t>
  </si>
  <si>
    <t>E91 1BN</t>
  </si>
  <si>
    <t>ACC-12327</t>
  </si>
  <si>
    <t>CUST-52327</t>
  </si>
  <si>
    <t>ACT-03321</t>
  </si>
  <si>
    <t>Dr Steven Cartwright</t>
  </si>
  <si>
    <t>ACT-03322</t>
  </si>
  <si>
    <t>obarrett@example.org</t>
  </si>
  <si>
    <t>N79 7ZR</t>
  </si>
  <si>
    <t>ACT-03323</t>
  </si>
  <si>
    <t>ACC-12328</t>
  </si>
  <si>
    <t>CUST-52328</t>
  </si>
  <si>
    <t>Ms Kelly Martin</t>
  </si>
  <si>
    <t>ACT-03324</t>
  </si>
  <si>
    <t>ydavison@example.org</t>
  </si>
  <si>
    <t>ACT-03325</t>
  </si>
  <si>
    <t>TW9 5RS</t>
  </si>
  <si>
    <t>ACC-12329</t>
  </si>
  <si>
    <t>CUST-52329</t>
  </si>
  <si>
    <t>Ruth Ali</t>
  </si>
  <si>
    <t>ACT-03326</t>
  </si>
  <si>
    <t>janet37@example.com</t>
  </si>
  <si>
    <t>ACT-03327</t>
  </si>
  <si>
    <t>TQ1 7WS</t>
  </si>
  <si>
    <t>ACT-03328</t>
  </si>
  <si>
    <t>ACC-12330</t>
  </si>
  <si>
    <t>CUST-52330</t>
  </si>
  <si>
    <t>Brett Bibi</t>
  </si>
  <si>
    <t>brendashah@example.net</t>
  </si>
  <si>
    <t>ACT-03329</t>
  </si>
  <si>
    <t>DY5 0QR</t>
  </si>
  <si>
    <t>ACC-12331</t>
  </si>
  <si>
    <t>CUST-52331</t>
  </si>
  <si>
    <t>Colin Carr</t>
  </si>
  <si>
    <t>ACT-03330</t>
  </si>
  <si>
    <t>clive79@example.com</t>
  </si>
  <si>
    <t>RM38 1PH</t>
  </si>
  <si>
    <t>ACT-03331</t>
  </si>
  <si>
    <t>ACC-12332</t>
  </si>
  <si>
    <t>CUST-52332</t>
  </si>
  <si>
    <t>Andrew Kennedy</t>
  </si>
  <si>
    <t>ACT-03332</t>
  </si>
  <si>
    <t>shanefrancis@example.net</t>
  </si>
  <si>
    <t>W3W 2EY</t>
  </si>
  <si>
    <t>ACC-12333</t>
  </si>
  <si>
    <t>CUST-52333</t>
  </si>
  <si>
    <t>Charlene James-Thompson</t>
  </si>
  <si>
    <t>ACT-03333</t>
  </si>
  <si>
    <t>raymond04@example.com</t>
  </si>
  <si>
    <t>M1 0LL</t>
  </si>
  <si>
    <t>ACT-03334</t>
  </si>
  <si>
    <t>ACC-12334</t>
  </si>
  <si>
    <t>CUST-52334</t>
  </si>
  <si>
    <t>Ms Emily Cooper</t>
  </si>
  <si>
    <t>ACT-03335</t>
  </si>
  <si>
    <t>ohodgson@example.com</t>
  </si>
  <si>
    <t>HU1R 3FT</t>
  </si>
  <si>
    <t>ACC-12335</t>
  </si>
  <si>
    <t>CUST-52335</t>
  </si>
  <si>
    <t>ACT-03336</t>
  </si>
  <si>
    <t>Martin Heath</t>
  </si>
  <si>
    <t>rebecca57@example.net</t>
  </si>
  <si>
    <t>G7 6EJ</t>
  </si>
  <si>
    <t>ACC-12336</t>
  </si>
  <si>
    <t>CUST-52336</t>
  </si>
  <si>
    <t>Fiona Howells-Smith</t>
  </si>
  <si>
    <t>ACT-03337</t>
  </si>
  <si>
    <t>conorcooper@example.net</t>
  </si>
  <si>
    <t>WN39 9FT</t>
  </si>
  <si>
    <t>ACT-03338</t>
  </si>
  <si>
    <t>ACC-12337</t>
  </si>
  <si>
    <t>CUST-52337</t>
  </si>
  <si>
    <t>Toby Stevens</t>
  </si>
  <si>
    <t>simon98@example.com</t>
  </si>
  <si>
    <t>SY7 7PH</t>
  </si>
  <si>
    <t>ACT-03339</t>
  </si>
  <si>
    <t>ACC-12338</t>
  </si>
  <si>
    <t>CUST-52338</t>
  </si>
  <si>
    <t>Dr Patrick Swift</t>
  </si>
  <si>
    <t>tony22@example.org</t>
  </si>
  <si>
    <t>W9 8HJ</t>
  </si>
  <si>
    <t>ACT-03340</t>
  </si>
  <si>
    <t>ACC-12339</t>
  </si>
  <si>
    <t>CUST-52339</t>
  </si>
  <si>
    <t>Chloe Roberts</t>
  </si>
  <si>
    <t>brownoliver@example.net</t>
  </si>
  <si>
    <t>L5T 0DE</t>
  </si>
  <si>
    <t>ACT-03341</t>
  </si>
  <si>
    <t>ACC-12340</t>
  </si>
  <si>
    <t>CUST-52340</t>
  </si>
  <si>
    <t>Mitchell Davies-Bowen</t>
  </si>
  <si>
    <t>ACT-03342</t>
  </si>
  <si>
    <t>wdavies@example.com</t>
  </si>
  <si>
    <t>E75 5GZ</t>
  </si>
  <si>
    <t>ACC-12341</t>
  </si>
  <si>
    <t>CUST-52341</t>
  </si>
  <si>
    <t>Mrs Marion Donnelly</t>
  </si>
  <si>
    <t>ACT-03343</t>
  </si>
  <si>
    <t>greenhenry@example.org</t>
  </si>
  <si>
    <t>EX2 5NB</t>
  </si>
  <si>
    <t>ACC-12342</t>
  </si>
  <si>
    <t>CUST-52342</t>
  </si>
  <si>
    <t>Miss Georgia Hardy</t>
  </si>
  <si>
    <t>ACT-03344</t>
  </si>
  <si>
    <t>FY87 2ZT</t>
  </si>
  <si>
    <t>ACT-03345</t>
  </si>
  <si>
    <t>ACC-12343</t>
  </si>
  <si>
    <t>CUST-52343</t>
  </si>
  <si>
    <t>Valerie Smith-Hicks</t>
  </si>
  <si>
    <t>ACT-03346</t>
  </si>
  <si>
    <t>mhenry@example.net</t>
  </si>
  <si>
    <t>LN4 8FW</t>
  </si>
  <si>
    <t>ACT-03347</t>
  </si>
  <si>
    <t>ACC-12344</t>
  </si>
  <si>
    <t>CUST-52344</t>
  </si>
  <si>
    <t>Katherine Quinn</t>
  </si>
  <si>
    <t>barrettanthony@example.net</t>
  </si>
  <si>
    <t>E39 5QL</t>
  </si>
  <si>
    <t>ACT-03348</t>
  </si>
  <si>
    <t>ACC-12345</t>
  </si>
  <si>
    <t>CUST-52345</t>
  </si>
  <si>
    <t>Melissa Khan</t>
  </si>
  <si>
    <t>ACT-03349</t>
  </si>
  <si>
    <t>ashleyfrost@example.com</t>
  </si>
  <si>
    <t>ME2M 7GE</t>
  </si>
  <si>
    <t>ACC-12346</t>
  </si>
  <si>
    <t>CUST-52346</t>
  </si>
  <si>
    <t>Karl Smith</t>
  </si>
  <si>
    <t>ACT-03350</t>
  </si>
  <si>
    <t>juliehooper@example.org</t>
  </si>
  <si>
    <t>W5G 6QD</t>
  </si>
  <si>
    <t>ACC-12347</t>
  </si>
  <si>
    <t>CUST-52347</t>
  </si>
  <si>
    <t>Suzanne Edwards-Cooke</t>
  </si>
  <si>
    <t>ACT-03351</t>
  </si>
  <si>
    <t>lyndadavison@example.org</t>
  </si>
  <si>
    <t>N18 5FJ</t>
  </si>
  <si>
    <t>ACC-12348</t>
  </si>
  <si>
    <t>CUST-52348</t>
  </si>
  <si>
    <t>ACT-03352</t>
  </si>
  <si>
    <t>William Knight</t>
  </si>
  <si>
    <t>williamsroy@example.net</t>
  </si>
  <si>
    <t>B8S 6QT</t>
  </si>
  <si>
    <t>ACT-03353</t>
  </si>
  <si>
    <t>ACC-12349</t>
  </si>
  <si>
    <t>CUST-52349</t>
  </si>
  <si>
    <t>Suzanne Allen-Holden</t>
  </si>
  <si>
    <t>ACT-03354</t>
  </si>
  <si>
    <t>max19@example.com</t>
  </si>
  <si>
    <t>SA33 4QX</t>
  </si>
  <si>
    <t>ACC-12350</t>
  </si>
  <si>
    <t>ACT-03355</t>
  </si>
  <si>
    <t>CUST-52350</t>
  </si>
  <si>
    <t>Miss Kimberley Thompson</t>
  </si>
  <si>
    <t>wrighttracey@example.com</t>
  </si>
  <si>
    <t>N6B 2SP</t>
  </si>
  <si>
    <t>ACT-03356</t>
  </si>
  <si>
    <t>ACC-12351</t>
  </si>
  <si>
    <t>CUST-52351</t>
  </si>
  <si>
    <t>Dr Maurice Black</t>
  </si>
  <si>
    <t>ACT-03357</t>
  </si>
  <si>
    <t>xhart@example.com</t>
  </si>
  <si>
    <t>DL1A 7XD</t>
  </si>
  <si>
    <t>ACC-12352</t>
  </si>
  <si>
    <t>CUST-52352</t>
  </si>
  <si>
    <t>ACT-03358</t>
  </si>
  <si>
    <t>Annette Gardner</t>
  </si>
  <si>
    <t>BL55 7XP</t>
  </si>
  <si>
    <t>ACT-03359</t>
  </si>
  <si>
    <t>ACC-12353</t>
  </si>
  <si>
    <t>CUST-52353</t>
  </si>
  <si>
    <t>Mrs Zoe Barker</t>
  </si>
  <si>
    <t>ACT-03360</t>
  </si>
  <si>
    <t>wellsdeborah@example.com</t>
  </si>
  <si>
    <t>DA7V 9FH</t>
  </si>
  <si>
    <t>ACT-03361</t>
  </si>
  <si>
    <t>ACC-12354</t>
  </si>
  <si>
    <t>CUST-52354</t>
  </si>
  <si>
    <t>ACT-03362</t>
  </si>
  <si>
    <t>Joel Thornton</t>
  </si>
  <si>
    <t>ACT-03363</t>
  </si>
  <si>
    <t>dgray@example.net</t>
  </si>
  <si>
    <t>TS4N 7RT</t>
  </si>
  <si>
    <t>ACT-03364</t>
  </si>
  <si>
    <t>ACC-12355</t>
  </si>
  <si>
    <t>CUST-52355</t>
  </si>
  <si>
    <t>Chelsea Green</t>
  </si>
  <si>
    <t>ACT-03365</t>
  </si>
  <si>
    <t>ACT-03366</t>
  </si>
  <si>
    <t>obrienmartin@example.org</t>
  </si>
  <si>
    <t>PH0A 6RT</t>
  </si>
  <si>
    <t>ACT-03367</t>
  </si>
  <si>
    <t>ACC-12356</t>
  </si>
  <si>
    <t>CUST-52356</t>
  </si>
  <si>
    <t>Andrew Howard-Butler</t>
  </si>
  <si>
    <t>ACT-03368</t>
  </si>
  <si>
    <t>ACT-03369</t>
  </si>
  <si>
    <t>bullleon@example.com</t>
  </si>
  <si>
    <t>E6F 6EP</t>
  </si>
  <si>
    <t>ACT-03370</t>
  </si>
  <si>
    <t>ACC-12357</t>
  </si>
  <si>
    <t>CUST-52357</t>
  </si>
  <si>
    <t>Dr Elaine Brown</t>
  </si>
  <si>
    <t>ACT-03371</t>
  </si>
  <si>
    <t>lukecox@example.net</t>
  </si>
  <si>
    <t>ACT-03372</t>
  </si>
  <si>
    <t>TQ8A 2JH</t>
  </si>
  <si>
    <t>ACT-03373</t>
  </si>
  <si>
    <t>ACC-12358</t>
  </si>
  <si>
    <t>CUST-52358</t>
  </si>
  <si>
    <t>Francis White-Dunn</t>
  </si>
  <si>
    <t>ACT-03374</t>
  </si>
  <si>
    <t>hlawson@example.org</t>
  </si>
  <si>
    <t>B2K 6FA</t>
  </si>
  <si>
    <t>ACC-12359</t>
  </si>
  <si>
    <t>ACT-03375</t>
  </si>
  <si>
    <t>CUST-52359</t>
  </si>
  <si>
    <t>Mrs Hilary Bradshaw</t>
  </si>
  <si>
    <t>CT06 9JZ</t>
  </si>
  <si>
    <t>ACT-03376</t>
  </si>
  <si>
    <t>ACC-12360</t>
  </si>
  <si>
    <t>CUST-52360</t>
  </si>
  <si>
    <t>Abbie Rowe</t>
  </si>
  <si>
    <t>ACT-03377</t>
  </si>
  <si>
    <t>adriansaunders@example.com</t>
  </si>
  <si>
    <t>GU96 6FA</t>
  </si>
  <si>
    <t>ACC-12361</t>
  </si>
  <si>
    <t>CUST-52361</t>
  </si>
  <si>
    <t>Danielle Woods</t>
  </si>
  <si>
    <t>ACT-03378</t>
  </si>
  <si>
    <t>fgray@example.net</t>
  </si>
  <si>
    <t>B6 1SF</t>
  </si>
  <si>
    <t>ACC-12362</t>
  </si>
  <si>
    <t>ACT-03379</t>
  </si>
  <si>
    <t>CUST-52362</t>
  </si>
  <si>
    <t>Frances Brown</t>
  </si>
  <si>
    <t>kathleenthompson@example.com</t>
  </si>
  <si>
    <t>LU6W 7WQ</t>
  </si>
  <si>
    <t>ACC-12363</t>
  </si>
  <si>
    <t>ACT-03380</t>
  </si>
  <si>
    <t>CUST-52363</t>
  </si>
  <si>
    <t>Anne Hale</t>
  </si>
  <si>
    <t>OL2 2JJ</t>
  </si>
  <si>
    <t>ACT-03381</t>
  </si>
  <si>
    <t>ACC-12364</t>
  </si>
  <si>
    <t>CUST-52364</t>
  </si>
  <si>
    <t>Alan Stokes</t>
  </si>
  <si>
    <t>ACT-03382</t>
  </si>
  <si>
    <t>carolinepearce@example.com</t>
  </si>
  <si>
    <t>CF60 6WZ</t>
  </si>
  <si>
    <t>ACC-12365</t>
  </si>
  <si>
    <t>CUST-52365</t>
  </si>
  <si>
    <t>Elizabeth Hart-Williams</t>
  </si>
  <si>
    <t>sean40@example.com</t>
  </si>
  <si>
    <t>ACT-03383</t>
  </si>
  <si>
    <t>TR4 2UQ</t>
  </si>
  <si>
    <t>ACC-12366</t>
  </si>
  <si>
    <t>CUST-52366</t>
  </si>
  <si>
    <t>Charlotte Davies-Kerr</t>
  </si>
  <si>
    <t>ACT-03384</t>
  </si>
  <si>
    <t>G4C 4BZ</t>
  </si>
  <si>
    <t>ACC-12367</t>
  </si>
  <si>
    <t>CUST-52367</t>
  </si>
  <si>
    <t>Dr Brian Stewart</t>
  </si>
  <si>
    <t>ACT-03385</t>
  </si>
  <si>
    <t>zsmith@example.com</t>
  </si>
  <si>
    <t>BR8X 6SH</t>
  </si>
  <si>
    <t>ACT-03386</t>
  </si>
  <si>
    <t>ACC-12368</t>
  </si>
  <si>
    <t>CUST-52368</t>
  </si>
  <si>
    <t>Kyle McCarthy</t>
  </si>
  <si>
    <t>ACT-03387</t>
  </si>
  <si>
    <t>N9 4HW</t>
  </si>
  <si>
    <t>ACC-12369</t>
  </si>
  <si>
    <t>ACT-03388</t>
  </si>
  <si>
    <t>CUST-52369</t>
  </si>
  <si>
    <t>Carole Holloway</t>
  </si>
  <si>
    <t>ACT-03389</t>
  </si>
  <si>
    <t>griffithsjemma@example.com</t>
  </si>
  <si>
    <t>DN6 9FQ</t>
  </si>
  <si>
    <t>ACT-03390</t>
  </si>
  <si>
    <t>ACC-12370</t>
  </si>
  <si>
    <t>CUST-52370</t>
  </si>
  <si>
    <t>Jennifer Ahmed</t>
  </si>
  <si>
    <t>huntjean@example.net</t>
  </si>
  <si>
    <t>ACT-03391</t>
  </si>
  <si>
    <t>BH5 2TB</t>
  </si>
  <si>
    <t>ACC-12371</t>
  </si>
  <si>
    <t>CUST-52371</t>
  </si>
  <si>
    <t>Sylvia Fuller</t>
  </si>
  <si>
    <t>ACT-03392</t>
  </si>
  <si>
    <t>mauricecole@example.net</t>
  </si>
  <si>
    <t>N60 4XS</t>
  </si>
  <si>
    <t>ACC-12372</t>
  </si>
  <si>
    <t>ACT-03393</t>
  </si>
  <si>
    <t>CUST-52372</t>
  </si>
  <si>
    <t>Mrs Alice Robinson</t>
  </si>
  <si>
    <t>kathryn72@example.com</t>
  </si>
  <si>
    <t>ACT-03394</t>
  </si>
  <si>
    <t>WV2 6HN</t>
  </si>
  <si>
    <t>ACC-12373</t>
  </si>
  <si>
    <t>CUST-52373</t>
  </si>
  <si>
    <t>Miss Naomi Barber</t>
  </si>
  <si>
    <t>ACT-03395</t>
  </si>
  <si>
    <t>graeme04@example.com</t>
  </si>
  <si>
    <t>G1 7NA</t>
  </si>
  <si>
    <t>ACC-12374</t>
  </si>
  <si>
    <t>ACT-03396</t>
  </si>
  <si>
    <t>CUST-52374</t>
  </si>
  <si>
    <t>Dr Gordon Harper</t>
  </si>
  <si>
    <t>lcameron@example.net</t>
  </si>
  <si>
    <t>M01 6WB</t>
  </si>
  <si>
    <t>ACT-03397</t>
  </si>
  <si>
    <t>ACC-12375</t>
  </si>
  <si>
    <t>CUST-52375</t>
  </si>
  <si>
    <t>Geoffrey Taylor-O'Neill</t>
  </si>
  <si>
    <t>ACT-03398</t>
  </si>
  <si>
    <t>BB89 4AS</t>
  </si>
  <si>
    <t>ACC-12376</t>
  </si>
  <si>
    <t>CUST-52376</t>
  </si>
  <si>
    <t>Jane Davies</t>
  </si>
  <si>
    <t>ACT-03399</t>
  </si>
  <si>
    <t>vdavis@example.net</t>
  </si>
  <si>
    <t>UB4 3UY</t>
  </si>
  <si>
    <t>ACC-12377</t>
  </si>
  <si>
    <t>CUST-52377</t>
  </si>
  <si>
    <t>ACT-03400</t>
  </si>
  <si>
    <t>Kelly Richards</t>
  </si>
  <si>
    <t>kim61@example.com</t>
  </si>
  <si>
    <t>SS9X 2WP</t>
  </si>
  <si>
    <t>ACT-03401</t>
  </si>
  <si>
    <t>ACC-12378</t>
  </si>
  <si>
    <t>CUST-52378</t>
  </si>
  <si>
    <t>Helen Yates</t>
  </si>
  <si>
    <t>ACT-03402</t>
  </si>
  <si>
    <t>bryanevans@example.org</t>
  </si>
  <si>
    <t>ACT-03403</t>
  </si>
  <si>
    <t>HD7 4HQ</t>
  </si>
  <si>
    <t>ACC-12379</t>
  </si>
  <si>
    <t>CUST-52379</t>
  </si>
  <si>
    <t>Dorothy Lewis</t>
  </si>
  <si>
    <t>ACT-03404</t>
  </si>
  <si>
    <t>oneillhilary@example.com</t>
  </si>
  <si>
    <t>W08 1YD</t>
  </si>
  <si>
    <t>ACC-12380</t>
  </si>
  <si>
    <t>CUST-52380</t>
  </si>
  <si>
    <t>Kyle Rhodes-Smith</t>
  </si>
  <si>
    <t>collinsdaniel@example.com</t>
  </si>
  <si>
    <t>ACT-03405</t>
  </si>
  <si>
    <t>PO2 0PH</t>
  </si>
  <si>
    <t>ACC-12381</t>
  </si>
  <si>
    <t>CUST-52381</t>
  </si>
  <si>
    <t>Kate Patterson</t>
  </si>
  <si>
    <t>uharris@example.org</t>
  </si>
  <si>
    <t>ACT-03406</t>
  </si>
  <si>
    <t>N4U 6AD</t>
  </si>
  <si>
    <t>ACC-12382</t>
  </si>
  <si>
    <t>CUST-52382</t>
  </si>
  <si>
    <t>Dr Irene Wilkinson</t>
  </si>
  <si>
    <t>ACT-03407</t>
  </si>
  <si>
    <t>rachaelnixon@example.net</t>
  </si>
  <si>
    <t>B5 2JF</t>
  </si>
  <si>
    <t>ACT-03408</t>
  </si>
  <si>
    <t>ACC-12383</t>
  </si>
  <si>
    <t>CUST-52383</t>
  </si>
  <si>
    <t>Dr Daniel Cooper</t>
  </si>
  <si>
    <t>ACT-03409</t>
  </si>
  <si>
    <t>yhunter@example.net</t>
  </si>
  <si>
    <t>SR10 5HS</t>
  </si>
  <si>
    <t>ACC-12384</t>
  </si>
  <si>
    <t>CUST-52384</t>
  </si>
  <si>
    <t>Jordan Wright</t>
  </si>
  <si>
    <t>ACT-03410</t>
  </si>
  <si>
    <t>cookethomas@example.net</t>
  </si>
  <si>
    <t>ZE0 8EG</t>
  </si>
  <si>
    <t>ACT-03411</t>
  </si>
  <si>
    <t>ACC-12385</t>
  </si>
  <si>
    <t>CUST-52385</t>
  </si>
  <si>
    <t>Mrs Jayne King</t>
  </si>
  <si>
    <t>ACT-03412</t>
  </si>
  <si>
    <t>hallchelsea@example.com</t>
  </si>
  <si>
    <t>BB7B 8NF</t>
  </si>
  <si>
    <t>ACT-03413</t>
  </si>
  <si>
    <t>ACC-12386</t>
  </si>
  <si>
    <t>CUST-52386</t>
  </si>
  <si>
    <t>Marilyn Powell</t>
  </si>
  <si>
    <t>ACT-03414</t>
  </si>
  <si>
    <t>alexandra80@example.com</t>
  </si>
  <si>
    <t>PR84 4XF</t>
  </si>
  <si>
    <t>ACC-12387</t>
  </si>
  <si>
    <t>CUST-52387</t>
  </si>
  <si>
    <t>Geoffrey Walker</t>
  </si>
  <si>
    <t>ACT-03415</t>
  </si>
  <si>
    <t>manncraig@example.com</t>
  </si>
  <si>
    <t>SG0 7UR</t>
  </si>
  <si>
    <t>ACC-12388</t>
  </si>
  <si>
    <t>ACT-03416</t>
  </si>
  <si>
    <t>CUST-52388</t>
  </si>
  <si>
    <t>Jake Richardson-Patel</t>
  </si>
  <si>
    <t>G80 0BS</t>
  </si>
  <si>
    <t>ACC-12389</t>
  </si>
  <si>
    <t>CUST-52389</t>
  </si>
  <si>
    <t>Miss Samantha Phillips</t>
  </si>
  <si>
    <t>ACT-03417</t>
  </si>
  <si>
    <t>kbutler@example.com</t>
  </si>
  <si>
    <t>DN6E 4WH</t>
  </si>
  <si>
    <t>ACC-12390</t>
  </si>
  <si>
    <t>CUST-52390</t>
  </si>
  <si>
    <t>Mark Goodwin</t>
  </si>
  <si>
    <t>ACT-03418</t>
  </si>
  <si>
    <t>mgregory@example.net</t>
  </si>
  <si>
    <t>GY29 5LR</t>
  </si>
  <si>
    <t>ACC-12391</t>
  </si>
  <si>
    <t>CUST-52391</t>
  </si>
  <si>
    <t>Mr Raymond Chambers</t>
  </si>
  <si>
    <t>ssharpe@example.org</t>
  </si>
  <si>
    <t>ACT-03419</t>
  </si>
  <si>
    <t>W7U 4YE</t>
  </si>
  <si>
    <t>ACC-12392</t>
  </si>
  <si>
    <t>CUST-52392</t>
  </si>
  <si>
    <t>Gareth Berry</t>
  </si>
  <si>
    <t>joe55@example.org</t>
  </si>
  <si>
    <t>N8 7WW</t>
  </si>
  <si>
    <t>ACT-03420</t>
  </si>
  <si>
    <t>ACC-12393</t>
  </si>
  <si>
    <t>CUST-52393</t>
  </si>
  <si>
    <t>Karen Cross</t>
  </si>
  <si>
    <t>shanemitchell@example.net</t>
  </si>
  <si>
    <t>M7C 1YX</t>
  </si>
  <si>
    <t>ACC-12394</t>
  </si>
  <si>
    <t>CUST-52394</t>
  </si>
  <si>
    <t>Jack McKenzie</t>
  </si>
  <si>
    <t>ACT-03421</t>
  </si>
  <si>
    <t>patellisa@example.org</t>
  </si>
  <si>
    <t>M9S 7LT</t>
  </si>
  <si>
    <t>ACC-12395</t>
  </si>
  <si>
    <t>CUST-52395</t>
  </si>
  <si>
    <t>Richard Smith</t>
  </si>
  <si>
    <t>ACT-03422</t>
  </si>
  <si>
    <t>ulee@example.org</t>
  </si>
  <si>
    <t>B47 8DS</t>
  </si>
  <si>
    <t>ACC-12396</t>
  </si>
  <si>
    <t>CUST-52396</t>
  </si>
  <si>
    <t>Mr Malcolm Mellor</t>
  </si>
  <si>
    <t>kimwarren@example.org</t>
  </si>
  <si>
    <t>NR03 7SA</t>
  </si>
  <si>
    <t>ACT-03423</t>
  </si>
  <si>
    <t>ACC-12397</t>
  </si>
  <si>
    <t>CUST-52397</t>
  </si>
  <si>
    <t>Donald Parsons</t>
  </si>
  <si>
    <t>wallen@example.com</t>
  </si>
  <si>
    <t>NP63 1SX</t>
  </si>
  <si>
    <t>ACT-03424</t>
  </si>
  <si>
    <t>ACC-12398</t>
  </si>
  <si>
    <t>CUST-52398</t>
  </si>
  <si>
    <t>Mary Peters</t>
  </si>
  <si>
    <t>danny64@example.org</t>
  </si>
  <si>
    <t>GU24 4PX</t>
  </si>
  <si>
    <t>ACC-12399</t>
  </si>
  <si>
    <t>CUST-52399</t>
  </si>
  <si>
    <t>Gregory Thomas</t>
  </si>
  <si>
    <t>ACT-03425</t>
  </si>
  <si>
    <t>mjones@example.com</t>
  </si>
  <si>
    <t>GL1 0XB</t>
  </si>
  <si>
    <t>ACC-12400</t>
  </si>
  <si>
    <t>CUST-52400</t>
  </si>
  <si>
    <t>Ross Robinson</t>
  </si>
  <si>
    <t>sarahsmith@example.net</t>
  </si>
  <si>
    <t>ACT-03426</t>
  </si>
  <si>
    <t>HU60 3RH</t>
  </si>
  <si>
    <t>ACC-12401</t>
  </si>
  <si>
    <t>CUST-52401</t>
  </si>
  <si>
    <t>Dr Adam Taylor</t>
  </si>
  <si>
    <t>williamsrosie@example.com</t>
  </si>
  <si>
    <t>ACT-03427</t>
  </si>
  <si>
    <t>S8T 2HQ</t>
  </si>
  <si>
    <t>ACC-12402</t>
  </si>
  <si>
    <t>CUST-52402</t>
  </si>
  <si>
    <t>Stanley Rees-Stone</t>
  </si>
  <si>
    <t>ACT-03428</t>
  </si>
  <si>
    <t>SS2 9NU</t>
  </si>
  <si>
    <t>ACC-12403</t>
  </si>
  <si>
    <t>CUST-52403</t>
  </si>
  <si>
    <t>ACT-03429</t>
  </si>
  <si>
    <t>Phillip Thompson</t>
  </si>
  <si>
    <t>andrewsmartin@example.com</t>
  </si>
  <si>
    <t>ACT-03430</t>
  </si>
  <si>
    <t>CB3 1RU</t>
  </si>
  <si>
    <t>ACC-12404</t>
  </si>
  <si>
    <t>CUST-52404</t>
  </si>
  <si>
    <t>Dr Vanessa Hughes</t>
  </si>
  <si>
    <t>ACT-03431</t>
  </si>
  <si>
    <t>elliottking@example.org</t>
  </si>
  <si>
    <t>SA77 9LU</t>
  </si>
  <si>
    <t>ACT-03432</t>
  </si>
  <si>
    <t>ACC-12405</t>
  </si>
  <si>
    <t>CUST-52405</t>
  </si>
  <si>
    <t>Abdul Godfrey-Harvey</t>
  </si>
  <si>
    <t>amelia88@example.org</t>
  </si>
  <si>
    <t>W87 1BA</t>
  </si>
  <si>
    <t>ACT-03433</t>
  </si>
  <si>
    <t>ACC-12406</t>
  </si>
  <si>
    <t>CUST-52406</t>
  </si>
  <si>
    <t>Jeffrey Dunn</t>
  </si>
  <si>
    <t>ACT-03434</t>
  </si>
  <si>
    <t>wendybond@example.net</t>
  </si>
  <si>
    <t>W33 6XQ</t>
  </si>
  <si>
    <t>ACT-03435</t>
  </si>
  <si>
    <t>ACC-12407</t>
  </si>
  <si>
    <t>CUST-52407</t>
  </si>
  <si>
    <t>Shane Preston</t>
  </si>
  <si>
    <t>ACT-03436</t>
  </si>
  <si>
    <t>mohamed82@example.org</t>
  </si>
  <si>
    <t>L06 4BB</t>
  </si>
  <si>
    <t>ACC-12408</t>
  </si>
  <si>
    <t>CUST-52408</t>
  </si>
  <si>
    <t>Dr Neil Graham</t>
  </si>
  <si>
    <t>ACT-03437</t>
  </si>
  <si>
    <t>G5T 8XE</t>
  </si>
  <si>
    <t>ACC-12409</t>
  </si>
  <si>
    <t>CUST-52409</t>
  </si>
  <si>
    <t>Molly Nicholson</t>
  </si>
  <si>
    <t>ACT-03438</t>
  </si>
  <si>
    <t>RM2 1AY</t>
  </si>
  <si>
    <t>ACT-03439</t>
  </si>
  <si>
    <t>ACC-12410</t>
  </si>
  <si>
    <t>CUST-52410</t>
  </si>
  <si>
    <t>Cameron Cooper</t>
  </si>
  <si>
    <t>ACT-03440</t>
  </si>
  <si>
    <t>jasmine79@example.org</t>
  </si>
  <si>
    <t>L35 3TY</t>
  </si>
  <si>
    <t>ACC-12411</t>
  </si>
  <si>
    <t>CUST-52411</t>
  </si>
  <si>
    <t>Hannah Savage</t>
  </si>
  <si>
    <t>ACT-03441</t>
  </si>
  <si>
    <t>grace45@example.org</t>
  </si>
  <si>
    <t>E5D 1AL</t>
  </si>
  <si>
    <t>ACT-03442</t>
  </si>
  <si>
    <t>ACC-12412</t>
  </si>
  <si>
    <t>CUST-52412</t>
  </si>
  <si>
    <t>Mr Phillip Taylor</t>
  </si>
  <si>
    <t>jenkinsjean@example.org</t>
  </si>
  <si>
    <t>L36 9XB</t>
  </si>
  <si>
    <t>ACT-03443</t>
  </si>
  <si>
    <t>ACC-12413</t>
  </si>
  <si>
    <t>CUST-52413</t>
  </si>
  <si>
    <t>Patricia Jones-Turner</t>
  </si>
  <si>
    <t>ACT-03444</t>
  </si>
  <si>
    <t>saraharrison@example.com</t>
  </si>
  <si>
    <t>HX5H 9QY</t>
  </si>
  <si>
    <t>ACC-12414</t>
  </si>
  <si>
    <t>CUST-52414</t>
  </si>
  <si>
    <t>Jemma Howe</t>
  </si>
  <si>
    <t>ACT-03445</t>
  </si>
  <si>
    <t>stanleybradley@example.com</t>
  </si>
  <si>
    <t>G33 0GJ</t>
  </si>
  <si>
    <t>ACT-03446</t>
  </si>
  <si>
    <t>ACC-12415</t>
  </si>
  <si>
    <t>CUST-52415</t>
  </si>
  <si>
    <t>Stewart Shah</t>
  </si>
  <si>
    <t>ACT-03447</t>
  </si>
  <si>
    <t>B7B 2FE</t>
  </si>
  <si>
    <t>ACC-12416</t>
  </si>
  <si>
    <t>CUST-52416</t>
  </si>
  <si>
    <t>ACT-03448</t>
  </si>
  <si>
    <t>Sian Brown</t>
  </si>
  <si>
    <t>amycarey@example.net</t>
  </si>
  <si>
    <t>LU57 6YH</t>
  </si>
  <si>
    <t>ACT-03449</t>
  </si>
  <si>
    <t>ACC-12417</t>
  </si>
  <si>
    <t>CUST-52417</t>
  </si>
  <si>
    <t>Owen Glover</t>
  </si>
  <si>
    <t>ACT-03450</t>
  </si>
  <si>
    <t>abigailsimpson@example.net</t>
  </si>
  <si>
    <t>B2 9SL</t>
  </si>
  <si>
    <t>ACC-12418</t>
  </si>
  <si>
    <t>CUST-52418</t>
  </si>
  <si>
    <t>Ruth Jones</t>
  </si>
  <si>
    <t>ACT-03451</t>
  </si>
  <si>
    <t>williamsrachael@example.org</t>
  </si>
  <si>
    <t>G5A 4AS</t>
  </si>
  <si>
    <t>ACC-12419</t>
  </si>
  <si>
    <t>CUST-52419</t>
  </si>
  <si>
    <t>Mrs Brenda Leonard</t>
  </si>
  <si>
    <t>ACT-03452</t>
  </si>
  <si>
    <t>patrick96@example.net</t>
  </si>
  <si>
    <t>G5 1ZT</t>
  </si>
  <si>
    <t>ACT-03453</t>
  </si>
  <si>
    <t>ACC-12420</t>
  </si>
  <si>
    <t>CUST-52420</t>
  </si>
  <si>
    <t>Josephine Carey-Moss</t>
  </si>
  <si>
    <t>ACT-03454</t>
  </si>
  <si>
    <t>geoffrey88@example.org</t>
  </si>
  <si>
    <t>B43 0ER</t>
  </si>
  <si>
    <t>ACC-12421</t>
  </si>
  <si>
    <t>ACT-03455</t>
  </si>
  <si>
    <t>CUST-52421</t>
  </si>
  <si>
    <t>Arthur Ellis</t>
  </si>
  <si>
    <t>harrisaimee@example.com</t>
  </si>
  <si>
    <t>G1 2PL</t>
  </si>
  <si>
    <t>ACT-03456</t>
  </si>
  <si>
    <t>ACC-12422</t>
  </si>
  <si>
    <t>CUST-52422</t>
  </si>
  <si>
    <t>June Taylor</t>
  </si>
  <si>
    <t>ACT-03457</t>
  </si>
  <si>
    <t>martingarry@example.net</t>
  </si>
  <si>
    <t>B4H 2JU</t>
  </si>
  <si>
    <t>ACC-12423</t>
  </si>
  <si>
    <t>CUST-52423</t>
  </si>
  <si>
    <t>Diana Thorpe-Roberts</t>
  </si>
  <si>
    <t>ACT-03458</t>
  </si>
  <si>
    <t>guy32@example.net</t>
  </si>
  <si>
    <t>N12 2BU</t>
  </si>
  <si>
    <t>ACT-03459</t>
  </si>
  <si>
    <t>ACC-12424</t>
  </si>
  <si>
    <t>CUST-52424</t>
  </si>
  <si>
    <t>Eileen Willis</t>
  </si>
  <si>
    <t>ACT-03460</t>
  </si>
  <si>
    <t>ohughes@example.com</t>
  </si>
  <si>
    <t>M4C 9PH</t>
  </si>
  <si>
    <t>ACT-03461</t>
  </si>
  <si>
    <t>ACC-12425</t>
  </si>
  <si>
    <t>CUST-52425</t>
  </si>
  <si>
    <t>Stanley Robinson-Allen</t>
  </si>
  <si>
    <t>wlawrence@example.com</t>
  </si>
  <si>
    <t>ACT-03462</t>
  </si>
  <si>
    <t>SA0H 9XG</t>
  </si>
  <si>
    <t>ACC-12426</t>
  </si>
  <si>
    <t>CUST-52426</t>
  </si>
  <si>
    <t>Jenna Houghton-Moss</t>
  </si>
  <si>
    <t>ACT-03463</t>
  </si>
  <si>
    <t>qbutler@example.org</t>
  </si>
  <si>
    <t>LN4 2PR</t>
  </si>
  <si>
    <t>ACC-12427</t>
  </si>
  <si>
    <t>CUST-52427</t>
  </si>
  <si>
    <t>ACT-03464</t>
  </si>
  <si>
    <t>Mr Robert Ward</t>
  </si>
  <si>
    <t>smarshall@example.org</t>
  </si>
  <si>
    <t>TW29 9ES</t>
  </si>
  <si>
    <t>ACT-03465</t>
  </si>
  <si>
    <t>ACC-12428</t>
  </si>
  <si>
    <t>CUST-52428</t>
  </si>
  <si>
    <t>Danny Roberts</t>
  </si>
  <si>
    <t>ACT-03466</t>
  </si>
  <si>
    <t>ben99@example.com</t>
  </si>
  <si>
    <t>B0T 0JL</t>
  </si>
  <si>
    <t>ACC-12429</t>
  </si>
  <si>
    <t>CUST-52429</t>
  </si>
  <si>
    <t>Dr Mitchell Gray</t>
  </si>
  <si>
    <t>tina32@example.com</t>
  </si>
  <si>
    <t>ACT-03467</t>
  </si>
  <si>
    <t>BD8 0PA</t>
  </si>
  <si>
    <t>ACC-12430</t>
  </si>
  <si>
    <t>CUST-52430</t>
  </si>
  <si>
    <t>Diana Kaur</t>
  </si>
  <si>
    <t>ACT-03468</t>
  </si>
  <si>
    <t>carolinegraham@example.com</t>
  </si>
  <si>
    <t>NW2A 1HJ</t>
  </si>
  <si>
    <t>ACC-12431</t>
  </si>
  <si>
    <t>CUST-52431</t>
  </si>
  <si>
    <t>Kayleigh Morris</t>
  </si>
  <si>
    <t>ACT-03469</t>
  </si>
  <si>
    <t>samuelarmstrong@example.com</t>
  </si>
  <si>
    <t>SG6M 0ZH</t>
  </si>
  <si>
    <t>ACT-03470</t>
  </si>
  <si>
    <t>ACC-12432</t>
  </si>
  <si>
    <t>CUST-52432</t>
  </si>
  <si>
    <t>Dr Alex Carter</t>
  </si>
  <si>
    <t>alice69@example.com</t>
  </si>
  <si>
    <t>ACT-03471</t>
  </si>
  <si>
    <t>L7 6UR</t>
  </si>
  <si>
    <t>ACC-12433</t>
  </si>
  <si>
    <t>CUST-52433</t>
  </si>
  <si>
    <t>Brandon Wilson</t>
  </si>
  <si>
    <t>ACT-03472</t>
  </si>
  <si>
    <t>cliffordparkinson@example.org</t>
  </si>
  <si>
    <t>MK8E 2DN</t>
  </si>
  <si>
    <t>ACC-12434</t>
  </si>
  <si>
    <t>CUST-52434</t>
  </si>
  <si>
    <t>Sian Hussain</t>
  </si>
  <si>
    <t>ACT-03473</t>
  </si>
  <si>
    <t>fmarsden@example.com</t>
  </si>
  <si>
    <t>W9G 5BL</t>
  </si>
  <si>
    <t>ACT-03474</t>
  </si>
  <si>
    <t>ACC-12435</t>
  </si>
  <si>
    <t>CUST-52435</t>
  </si>
  <si>
    <t>Nicholas Hart</t>
  </si>
  <si>
    <t>ACT-03475</t>
  </si>
  <si>
    <t>xpearce@example.org</t>
  </si>
  <si>
    <t>W53 3FT</t>
  </si>
  <si>
    <t>ACC-12436</t>
  </si>
  <si>
    <t>CUST-52436</t>
  </si>
  <si>
    <t>Mr Denis Bennett</t>
  </si>
  <si>
    <t>ACT-03476</t>
  </si>
  <si>
    <t>oparry@example.org</t>
  </si>
  <si>
    <t>GL77 9HS</t>
  </si>
  <si>
    <t>ACT-03477</t>
  </si>
  <si>
    <t>ACC-12437</t>
  </si>
  <si>
    <t>CUST-52437</t>
  </si>
  <si>
    <t>Stuart Hewitt</t>
  </si>
  <si>
    <t>ACT-03478</t>
  </si>
  <si>
    <t>zgreen@example.com</t>
  </si>
  <si>
    <t>E2E 7ET</t>
  </si>
  <si>
    <t>ACC-12438</t>
  </si>
  <si>
    <t>CUST-52438</t>
  </si>
  <si>
    <t>ACT-03479</t>
  </si>
  <si>
    <t>Dr Arthur Allen</t>
  </si>
  <si>
    <t>morrisjamie@example.net</t>
  </si>
  <si>
    <t>E8G 8LS</t>
  </si>
  <si>
    <t>ACT-03480</t>
  </si>
  <si>
    <t>ACC-12439</t>
  </si>
  <si>
    <t>CUST-52439</t>
  </si>
  <si>
    <t>Callum Perry</t>
  </si>
  <si>
    <t>ACT-03481</t>
  </si>
  <si>
    <t>john65@example.com</t>
  </si>
  <si>
    <t>DA50 5TG</t>
  </si>
  <si>
    <t>ACC-12440</t>
  </si>
  <si>
    <t>CUST-52440</t>
  </si>
  <si>
    <t>ACT-03482</t>
  </si>
  <si>
    <t>Rachael Benson</t>
  </si>
  <si>
    <t>davieskenneth@example.org</t>
  </si>
  <si>
    <t>DH9 8YB</t>
  </si>
  <si>
    <t>ACT-03483</t>
  </si>
  <si>
    <t>ACC-12441</t>
  </si>
  <si>
    <t>CUST-52441</t>
  </si>
  <si>
    <t>Bethan Hicks</t>
  </si>
  <si>
    <t>ggray@example.com</t>
  </si>
  <si>
    <t>ACT-03484</t>
  </si>
  <si>
    <t>N89 7XH</t>
  </si>
  <si>
    <t>ACC-12442</t>
  </si>
  <si>
    <t>CUST-52442</t>
  </si>
  <si>
    <t>Melissa Allen</t>
  </si>
  <si>
    <t>ACT-03485</t>
  </si>
  <si>
    <t>hdixon@example.net</t>
  </si>
  <si>
    <t>W0W 5XH</t>
  </si>
  <si>
    <t>ACC-12443</t>
  </si>
  <si>
    <t>CUST-52443</t>
  </si>
  <si>
    <t>ACT-03486</t>
  </si>
  <si>
    <t>Christopher Clayton</t>
  </si>
  <si>
    <t>williamsnicola@example.net</t>
  </si>
  <si>
    <t>L6 6JB</t>
  </si>
  <si>
    <t>ACT-03487</t>
  </si>
  <si>
    <t>ACC-12444</t>
  </si>
  <si>
    <t>CUST-52444</t>
  </si>
  <si>
    <t>Kirsty Bailey</t>
  </si>
  <si>
    <t>ACT-03488</t>
  </si>
  <si>
    <t>iainmatthews@example.com</t>
  </si>
  <si>
    <t>W2 4WY</t>
  </si>
  <si>
    <t>ACT-03489</t>
  </si>
  <si>
    <t>ACC-12445</t>
  </si>
  <si>
    <t>CUST-52445</t>
  </si>
  <si>
    <t>Lydia Buckley</t>
  </si>
  <si>
    <t>michaelprice@example.net</t>
  </si>
  <si>
    <t>LN7E 1HN</t>
  </si>
  <si>
    <t>ACT-03490</t>
  </si>
  <si>
    <t>ACC-12446</t>
  </si>
  <si>
    <t>CUST-52446</t>
  </si>
  <si>
    <t>Miss Joanne Tyler</t>
  </si>
  <si>
    <t>geraldcooper@example.net</t>
  </si>
  <si>
    <t>DE8 7HS</t>
  </si>
  <si>
    <t>ACT-03491</t>
  </si>
  <si>
    <t>ACC-12447</t>
  </si>
  <si>
    <t>CUST-52447</t>
  </si>
  <si>
    <t>Marion Charlton</t>
  </si>
  <si>
    <t>ACT-03492</t>
  </si>
  <si>
    <t>vmorris@example.org</t>
  </si>
  <si>
    <t>B47 4JW</t>
  </si>
  <si>
    <t>ACC-12448</t>
  </si>
  <si>
    <t>CUST-52448</t>
  </si>
  <si>
    <t>Gordon Lee</t>
  </si>
  <si>
    <t>ACT-03493</t>
  </si>
  <si>
    <t>ukhan@example.com</t>
  </si>
  <si>
    <t>LN2M 7NB</t>
  </si>
  <si>
    <t>ACC-12449</t>
  </si>
  <si>
    <t>CUST-52449</t>
  </si>
  <si>
    <t>Dr Oliver Jones</t>
  </si>
  <si>
    <t>jaynemartin@example.net</t>
  </si>
  <si>
    <t>ACT-03494</t>
  </si>
  <si>
    <t>JE32 0SA</t>
  </si>
  <si>
    <t>ACC-12450</t>
  </si>
  <si>
    <t>CUST-52450</t>
  </si>
  <si>
    <t>Lynn Frost</t>
  </si>
  <si>
    <t>kenneth15@example.org</t>
  </si>
  <si>
    <t>W70 8AF</t>
  </si>
  <si>
    <t>ACT-03495</t>
  </si>
  <si>
    <t>ACC-12451</t>
  </si>
  <si>
    <t>CUST-52451</t>
  </si>
  <si>
    <t>Martin Davies</t>
  </si>
  <si>
    <t>barry30@example.net</t>
  </si>
  <si>
    <t>N48 7QN</t>
  </si>
  <si>
    <t>ACC-12452</t>
  </si>
  <si>
    <t>CUST-52452</t>
  </si>
  <si>
    <t>Antony Lamb</t>
  </si>
  <si>
    <t>ACT-03496</t>
  </si>
  <si>
    <t>timothymurray@example.com</t>
  </si>
  <si>
    <t>AB92 8YB</t>
  </si>
  <si>
    <t>ACC-12453</t>
  </si>
  <si>
    <t>CUST-52453</t>
  </si>
  <si>
    <t>Roy Smith-Clark</t>
  </si>
  <si>
    <t>owenmellor@example.com</t>
  </si>
  <si>
    <t>DT8 3WE</t>
  </si>
  <si>
    <t>ACT-03497</t>
  </si>
  <si>
    <t>ACC-12454</t>
  </si>
  <si>
    <t>CUST-52454</t>
  </si>
  <si>
    <t>Rosemary Jones</t>
  </si>
  <si>
    <t>dannywhite@example.net</t>
  </si>
  <si>
    <t>N3 5HB</t>
  </si>
  <si>
    <t>ACC-12455</t>
  </si>
  <si>
    <t>CUST-52455</t>
  </si>
  <si>
    <t>Karl Hall</t>
  </si>
  <si>
    <t>hugheskeith@example.org</t>
  </si>
  <si>
    <t>ACT-03498</t>
  </si>
  <si>
    <t>G6J 0YA</t>
  </si>
  <si>
    <t>ACC-12456</t>
  </si>
  <si>
    <t>CUST-52456</t>
  </si>
  <si>
    <t>Nicholas Cole</t>
  </si>
  <si>
    <t>N5S 6GL</t>
  </si>
  <si>
    <t>ACT-03499</t>
  </si>
  <si>
    <t>ACC-12457</t>
  </si>
  <si>
    <t>CUST-52457</t>
  </si>
  <si>
    <t>Jack Rowe</t>
  </si>
  <si>
    <t>hayleysmith@example.org</t>
  </si>
  <si>
    <t>CR5E 1DQ</t>
  </si>
  <si>
    <t>ACT-03500</t>
  </si>
  <si>
    <t>ACC-12458</t>
  </si>
  <si>
    <t>CUST-52458</t>
  </si>
  <si>
    <t>Kenneth Gregory</t>
  </si>
  <si>
    <t>ACT-03501</t>
  </si>
  <si>
    <t>louiseharris@example.net</t>
  </si>
  <si>
    <t>HU6R 4JB</t>
  </si>
  <si>
    <t>ACC-12459</t>
  </si>
  <si>
    <t>CUST-52459</t>
  </si>
  <si>
    <t>ACT-03502</t>
  </si>
  <si>
    <t>Cameron Fraser</t>
  </si>
  <si>
    <t>ACT-03503</t>
  </si>
  <si>
    <t>howardgardner@example.net</t>
  </si>
  <si>
    <t>PR5A 8PS</t>
  </si>
  <si>
    <t>ACT-03504</t>
  </si>
  <si>
    <t>ACC-12460</t>
  </si>
  <si>
    <t>CUST-52460</t>
  </si>
  <si>
    <t>ACT-03505</t>
  </si>
  <si>
    <t>Gerald Collins-Cameron</t>
  </si>
  <si>
    <t>natashachandler@example.org</t>
  </si>
  <si>
    <t>NR17 5JJ</t>
  </si>
  <si>
    <t>ACT-03506</t>
  </si>
  <si>
    <t>ACC-12461</t>
  </si>
  <si>
    <t>CUST-52461</t>
  </si>
  <si>
    <t>Jean Thomas</t>
  </si>
  <si>
    <t>ross17@example.com</t>
  </si>
  <si>
    <t>ACT-03507</t>
  </si>
  <si>
    <t>PO4X 1YE</t>
  </si>
  <si>
    <t>ACC-12462</t>
  </si>
  <si>
    <t>CUST-52462</t>
  </si>
  <si>
    <t>Dr Barbara Wade</t>
  </si>
  <si>
    <t>ACT-03508</t>
  </si>
  <si>
    <t>LN5 2RR</t>
  </si>
  <si>
    <t>ACC-12463</t>
  </si>
  <si>
    <t>CUST-52463</t>
  </si>
  <si>
    <t>ACT-03509</t>
  </si>
  <si>
    <t>Sean Burke</t>
  </si>
  <si>
    <t>hollie88@example.com</t>
  </si>
  <si>
    <t>TN1M 2NJ</t>
  </si>
  <si>
    <t>ACT-03510</t>
  </si>
  <si>
    <t>ACC-12464</t>
  </si>
  <si>
    <t>CUST-52464</t>
  </si>
  <si>
    <t>Mr Max Bennett</t>
  </si>
  <si>
    <t>ACT-03511</t>
  </si>
  <si>
    <t>townsendalex@example.org</t>
  </si>
  <si>
    <t>B9A 6GG</t>
  </si>
  <si>
    <t>ACC-12465</t>
  </si>
  <si>
    <t>CUST-52465</t>
  </si>
  <si>
    <t>Mr Alex Humphreys</t>
  </si>
  <si>
    <t>ACT-03512</t>
  </si>
  <si>
    <t>harveyeileen@example.net</t>
  </si>
  <si>
    <t>M34 9FH</t>
  </si>
  <si>
    <t>ACT-03513</t>
  </si>
  <si>
    <t>ACC-12466</t>
  </si>
  <si>
    <t>CUST-52466</t>
  </si>
  <si>
    <t>Benjamin Holland</t>
  </si>
  <si>
    <t>ACT-03514</t>
  </si>
  <si>
    <t>rachelellis@example.net</t>
  </si>
  <si>
    <t>KW9P 2AT</t>
  </si>
  <si>
    <t>ACT-03515</t>
  </si>
  <si>
    <t>ACC-12467</t>
  </si>
  <si>
    <t>CUST-52467</t>
  </si>
  <si>
    <t>Marilyn Bradley</t>
  </si>
  <si>
    <t>ACT-03516</t>
  </si>
  <si>
    <t>hydesuzanne@example.com</t>
  </si>
  <si>
    <t>CA3Y 2FR</t>
  </si>
  <si>
    <t>ACC-12468</t>
  </si>
  <si>
    <t>CUST-52468</t>
  </si>
  <si>
    <t>Miss Julia Page</t>
  </si>
  <si>
    <t>ACT-03517</t>
  </si>
  <si>
    <t>nicolefrench@example.net</t>
  </si>
  <si>
    <t>LD90 9AS</t>
  </si>
  <si>
    <t>ACT-03518</t>
  </si>
  <si>
    <t>ACC-12469</t>
  </si>
  <si>
    <t>CUST-52469</t>
  </si>
  <si>
    <t>Georgia Davies</t>
  </si>
  <si>
    <t>alan35@example.com</t>
  </si>
  <si>
    <t>ACT-03519</t>
  </si>
  <si>
    <t>S81 7JF</t>
  </si>
  <si>
    <t>ACC-12470</t>
  </si>
  <si>
    <t>CUST-52470</t>
  </si>
  <si>
    <t>Barry Mahmood</t>
  </si>
  <si>
    <t>ACT-03520</t>
  </si>
  <si>
    <t>barrettgeraldine@example.com</t>
  </si>
  <si>
    <t>M82 6LF</t>
  </si>
  <si>
    <t>ACT-03521</t>
  </si>
  <si>
    <t>ACC-12471</t>
  </si>
  <si>
    <t>CUST-52471</t>
  </si>
  <si>
    <t>Marc Goodwin-Bull</t>
  </si>
  <si>
    <t>rachaelhanson@example.org</t>
  </si>
  <si>
    <t>E9 2WZ</t>
  </si>
  <si>
    <t>ACT-03522</t>
  </si>
  <si>
    <t>ACC-12472</t>
  </si>
  <si>
    <t>CUST-52472</t>
  </si>
  <si>
    <t>Luke Stephenson</t>
  </si>
  <si>
    <t>marianjones@example.com</t>
  </si>
  <si>
    <t>ACT-03523</t>
  </si>
  <si>
    <t>M3D 6DT</t>
  </si>
  <si>
    <t>ACC-12473</t>
  </si>
  <si>
    <t>CUST-52473</t>
  </si>
  <si>
    <t>Ben Grant</t>
  </si>
  <si>
    <t>ACT-03524</t>
  </si>
  <si>
    <t>joshua40@example.com</t>
  </si>
  <si>
    <t>TW3W 2AU</t>
  </si>
  <si>
    <t>ACC-12474</t>
  </si>
  <si>
    <t>CUST-52474</t>
  </si>
  <si>
    <t>ACT-03525</t>
  </si>
  <si>
    <t>Dr Clare Robinson</t>
  </si>
  <si>
    <t>bryan39@example.net</t>
  </si>
  <si>
    <t>S3B 9PZ</t>
  </si>
  <si>
    <t>ACT-03526</t>
  </si>
  <si>
    <t>ACC-12475</t>
  </si>
  <si>
    <t>CUST-52475</t>
  </si>
  <si>
    <t>Victoria Butcher</t>
  </si>
  <si>
    <t>ACT-03527</t>
  </si>
  <si>
    <t>hollie96@example.com</t>
  </si>
  <si>
    <t>W7B 1DD</t>
  </si>
  <si>
    <t>ACC-12476</t>
  </si>
  <si>
    <t>CUST-52476</t>
  </si>
  <si>
    <t>Mr Conor Lucas</t>
  </si>
  <si>
    <t>ACT-03528</t>
  </si>
  <si>
    <t>katythomas@example.org</t>
  </si>
  <si>
    <t>G6 6GQ</t>
  </si>
  <si>
    <t>ACC-12477</t>
  </si>
  <si>
    <t>ACT-03529</t>
  </si>
  <si>
    <t>CUST-52477</t>
  </si>
  <si>
    <t>Carole Walters</t>
  </si>
  <si>
    <t>geraldinemartin@example.net</t>
  </si>
  <si>
    <t>ST8 3EP</t>
  </si>
  <si>
    <t>ACT-03530</t>
  </si>
  <si>
    <t>ACC-12478</t>
  </si>
  <si>
    <t>CUST-52478</t>
  </si>
  <si>
    <t>Miss Diane Higgins</t>
  </si>
  <si>
    <t>ACT-03531</t>
  </si>
  <si>
    <t>debra89@example.net</t>
  </si>
  <si>
    <t>G45 9DN</t>
  </si>
  <si>
    <t>ACC-12479</t>
  </si>
  <si>
    <t>CUST-52479</t>
  </si>
  <si>
    <t>ACT-03532</t>
  </si>
  <si>
    <t>Jeremy Brown</t>
  </si>
  <si>
    <t>EC60 3ZJ</t>
  </si>
  <si>
    <t>ACT-03533</t>
  </si>
  <si>
    <t>ACC-12480</t>
  </si>
  <si>
    <t>CUST-52480</t>
  </si>
  <si>
    <t>Harriet Lawrence</t>
  </si>
  <si>
    <t>ACT-03534</t>
  </si>
  <si>
    <t>damienwhite@example.org</t>
  </si>
  <si>
    <t>W1 1AX</t>
  </si>
  <si>
    <t>ACT-03535</t>
  </si>
  <si>
    <t>ACC-12481</t>
  </si>
  <si>
    <t>CUST-52481</t>
  </si>
  <si>
    <t>Ms Pauline Jones</t>
  </si>
  <si>
    <t>ACT-03536</t>
  </si>
  <si>
    <t>janicerichards@example.org</t>
  </si>
  <si>
    <t>AL0V 5JW</t>
  </si>
  <si>
    <t>ACT-03537</t>
  </si>
  <si>
    <t>ACC-12482</t>
  </si>
  <si>
    <t>CUST-52482</t>
  </si>
  <si>
    <t>Samantha Baldwin</t>
  </si>
  <si>
    <t>ACT-03538</t>
  </si>
  <si>
    <t>uburton@example.org</t>
  </si>
  <si>
    <t>KA1A 5EH</t>
  </si>
  <si>
    <t>ACC-12483</t>
  </si>
  <si>
    <t>ACT-03539</t>
  </si>
  <si>
    <t>CUST-52483</t>
  </si>
  <si>
    <t>Dr Lewis Sanders</t>
  </si>
  <si>
    <t>hussainkaty@example.org</t>
  </si>
  <si>
    <t>RM5E 3BD</t>
  </si>
  <si>
    <t>ACT-03540</t>
  </si>
  <si>
    <t>ACC-12484</t>
  </si>
  <si>
    <t>CUST-52484</t>
  </si>
  <si>
    <t>Allan Howells</t>
  </si>
  <si>
    <t>ACT-03541</t>
  </si>
  <si>
    <t>N58 0PB</t>
  </si>
  <si>
    <t>ACT-03542</t>
  </si>
  <si>
    <t>ACC-12485</t>
  </si>
  <si>
    <t>CUST-52485</t>
  </si>
  <si>
    <t>William Foster</t>
  </si>
  <si>
    <t>naomi85@example.net</t>
  </si>
  <si>
    <t>ACT-03543</t>
  </si>
  <si>
    <t>L7S 9LJ</t>
  </si>
  <si>
    <t>ACC-12486</t>
  </si>
  <si>
    <t>CUST-52486</t>
  </si>
  <si>
    <t>Leigh Walker</t>
  </si>
  <si>
    <t>ACT-03544</t>
  </si>
  <si>
    <t>dknowles@example.org</t>
  </si>
  <si>
    <t>CA54 4SU</t>
  </si>
  <si>
    <t>ACC-12487</t>
  </si>
  <si>
    <t>CUST-52487</t>
  </si>
  <si>
    <t>ACT-03545</t>
  </si>
  <si>
    <t>Lucy Gilbert</t>
  </si>
  <si>
    <t>smithmarion@example.org</t>
  </si>
  <si>
    <t>S59 6LF</t>
  </si>
  <si>
    <t>ACT-03546</t>
  </si>
  <si>
    <t>ACC-12488</t>
  </si>
  <si>
    <t>CUST-52488</t>
  </si>
  <si>
    <t>Mr Jonathan Singh</t>
  </si>
  <si>
    <t>ACT-03547</t>
  </si>
  <si>
    <t>vincent00@example.net</t>
  </si>
  <si>
    <t>M5 0AZ</t>
  </si>
  <si>
    <t>ACC-12489</t>
  </si>
  <si>
    <t>CUST-52489</t>
  </si>
  <si>
    <t>Graham Williams</t>
  </si>
  <si>
    <t>ACT-03548</t>
  </si>
  <si>
    <t>TF4 9ZH</t>
  </si>
  <si>
    <t>ACT-03549</t>
  </si>
  <si>
    <t>ACC-12490</t>
  </si>
  <si>
    <t>CUST-52490</t>
  </si>
  <si>
    <t>Wendy Stewart-Wells</t>
  </si>
  <si>
    <t>jenniferharris@example.org</t>
  </si>
  <si>
    <t>ACT-03550</t>
  </si>
  <si>
    <t>S4 1ST</t>
  </si>
  <si>
    <t>ACC-12491</t>
  </si>
  <si>
    <t>CUST-52491</t>
  </si>
  <si>
    <t>ACT-03551</t>
  </si>
  <si>
    <t>duncanabdul@example.com</t>
  </si>
  <si>
    <t>W59 2AB</t>
  </si>
  <si>
    <t>ACC-12492</t>
  </si>
  <si>
    <t>CUST-52492</t>
  </si>
  <si>
    <t>Joanna Stokes</t>
  </si>
  <si>
    <t>tmorgan@example.net</t>
  </si>
  <si>
    <t>ACT-03552</t>
  </si>
  <si>
    <t>M1S 2BF</t>
  </si>
  <si>
    <t>ACC-12493</t>
  </si>
  <si>
    <t>CUST-52493</t>
  </si>
  <si>
    <t>Mr Samuel Walker</t>
  </si>
  <si>
    <t>ACT-03553</t>
  </si>
  <si>
    <t>bethfox@example.org</t>
  </si>
  <si>
    <t>E82 8JA</t>
  </si>
  <si>
    <t>ACC-12494</t>
  </si>
  <si>
    <t>CUST-52494</t>
  </si>
  <si>
    <t>ACT-03554</t>
  </si>
  <si>
    <t>Robert Wright</t>
  </si>
  <si>
    <t>yallen@example.com</t>
  </si>
  <si>
    <t>G7F 0WP</t>
  </si>
  <si>
    <t>ACT-03555</t>
  </si>
  <si>
    <t>ACC-12495</t>
  </si>
  <si>
    <t>CUST-52495</t>
  </si>
  <si>
    <t>Nigel Brown</t>
  </si>
  <si>
    <t>ACT-03556</t>
  </si>
  <si>
    <t>hhurst@example.org</t>
  </si>
  <si>
    <t>ME40 4HR</t>
  </si>
  <si>
    <t>ACC-12496</t>
  </si>
  <si>
    <t>CUST-52496</t>
  </si>
  <si>
    <t>Jenna Hunt</t>
  </si>
  <si>
    <t>ACT-03557</t>
  </si>
  <si>
    <t>kowen@example.net</t>
  </si>
  <si>
    <t>G4W 7QD</t>
  </si>
  <si>
    <t>ACT-03558</t>
  </si>
  <si>
    <t>ACC-12497</t>
  </si>
  <si>
    <t>CUST-52497</t>
  </si>
  <si>
    <t>Mr Bryan Cook</t>
  </si>
  <si>
    <t>cunninghamadam@example.net</t>
  </si>
  <si>
    <t>DL2 0WY</t>
  </si>
  <si>
    <t>ACT-03559</t>
  </si>
  <si>
    <t>ACC-12498</t>
  </si>
  <si>
    <t>CUST-52498</t>
  </si>
  <si>
    <t>Denis Mitchell</t>
  </si>
  <si>
    <t>gallaghergraham@example.net</t>
  </si>
  <si>
    <t>ACT-03560</t>
  </si>
  <si>
    <t>BL2B 5ZB</t>
  </si>
  <si>
    <t>ACC-12499</t>
  </si>
  <si>
    <t>CUST-52499</t>
  </si>
  <si>
    <t>Sally Ryan</t>
  </si>
  <si>
    <t>ACT-03561</t>
  </si>
  <si>
    <t>robingibson@example.com</t>
  </si>
  <si>
    <t>RH4A 1EY</t>
  </si>
  <si>
    <t>ACC-12500</t>
  </si>
  <si>
    <t>CUST-52500</t>
  </si>
  <si>
    <t>ACT-03562</t>
  </si>
  <si>
    <t>Terence Bell</t>
  </si>
  <si>
    <t>yward@example.com</t>
  </si>
  <si>
    <t>B60 5HA</t>
  </si>
  <si>
    <t>ACT-03563</t>
  </si>
  <si>
    <t>ACC-12501</t>
  </si>
  <si>
    <t>CUST-52501</t>
  </si>
  <si>
    <t>Mr Damian Davis</t>
  </si>
  <si>
    <t>ACT-03564</t>
  </si>
  <si>
    <t>greenleslie@example.com</t>
  </si>
  <si>
    <t>B5S 6HY</t>
  </si>
  <si>
    <t>ACC-12502</t>
  </si>
  <si>
    <t>CUST-52502</t>
  </si>
  <si>
    <t>ACT-03565</t>
  </si>
  <si>
    <t>Mrs Carolyn White</t>
  </si>
  <si>
    <t>ACT-03566</t>
  </si>
  <si>
    <t>pritchardhilary@example.org</t>
  </si>
  <si>
    <t>M7 9YF</t>
  </si>
  <si>
    <t>ACC-12503</t>
  </si>
  <si>
    <t>CUST-52503</t>
  </si>
  <si>
    <t>Miss Claire Thomas</t>
  </si>
  <si>
    <t>ACT-03567</t>
  </si>
  <si>
    <t>katie41@example.com</t>
  </si>
  <si>
    <t>S92 1HE</t>
  </si>
  <si>
    <t>ACT-03568</t>
  </si>
  <si>
    <t>ACC-12504</t>
  </si>
  <si>
    <t>CUST-52504</t>
  </si>
  <si>
    <t>Judith Power</t>
  </si>
  <si>
    <t>ACT-03569</t>
  </si>
  <si>
    <t>W3U 0FR</t>
  </si>
  <si>
    <t>ACC-12505</t>
  </si>
  <si>
    <t>CUST-52505</t>
  </si>
  <si>
    <t>Ms Jenna Wood</t>
  </si>
  <si>
    <t>ACT-03570</t>
  </si>
  <si>
    <t>lewisdebra@example.net</t>
  </si>
  <si>
    <t>S0G 7SY</t>
  </si>
  <si>
    <t>ACT-03571</t>
  </si>
  <si>
    <t>ACC-12506</t>
  </si>
  <si>
    <t>CUST-52506</t>
  </si>
  <si>
    <t>William Francis</t>
  </si>
  <si>
    <t>kbarton@example.com</t>
  </si>
  <si>
    <t>M5 1QA</t>
  </si>
  <si>
    <t>ACC-12507</t>
  </si>
  <si>
    <t>CUST-52507</t>
  </si>
  <si>
    <t>ACT-03572</t>
  </si>
  <si>
    <t>Sean Read</t>
  </si>
  <si>
    <t>waltonbilly@example.org</t>
  </si>
  <si>
    <t>BS0 4GN</t>
  </si>
  <si>
    <t>ACT-03573</t>
  </si>
  <si>
    <t>ACC-12508</t>
  </si>
  <si>
    <t>CUST-52508</t>
  </si>
  <si>
    <t>Diane Thomas-Lawson</t>
  </si>
  <si>
    <t>ACT-03574</t>
  </si>
  <si>
    <t>bradley62@example.net</t>
  </si>
  <si>
    <t>N62 6AU</t>
  </si>
  <si>
    <t>ACC-12509</t>
  </si>
  <si>
    <t>CUST-52509</t>
  </si>
  <si>
    <t>Margaret Forster</t>
  </si>
  <si>
    <t>ACT-03575</t>
  </si>
  <si>
    <t>simon79@example.org</t>
  </si>
  <si>
    <t>L20 0PU</t>
  </si>
  <si>
    <t>ACT-03576</t>
  </si>
  <si>
    <t>ACC-12510</t>
  </si>
  <si>
    <t>CUST-52510</t>
  </si>
  <si>
    <t>Jacqueline Gibson</t>
  </si>
  <si>
    <t>ACT-03577</t>
  </si>
  <si>
    <t>henry72@example.net</t>
  </si>
  <si>
    <t>N7 9TH</t>
  </si>
  <si>
    <t>ACT-03578</t>
  </si>
  <si>
    <t>ACC-12511</t>
  </si>
  <si>
    <t>CUST-52511</t>
  </si>
  <si>
    <t>Mandy Payne</t>
  </si>
  <si>
    <t>ACT-03579</t>
  </si>
  <si>
    <t>qwatson@example.com</t>
  </si>
  <si>
    <t>ST0 7SP</t>
  </si>
  <si>
    <t>ACC-12512</t>
  </si>
  <si>
    <t>CUST-52512</t>
  </si>
  <si>
    <t>ACT-03580</t>
  </si>
  <si>
    <t>Hugh Taylor</t>
  </si>
  <si>
    <t>shortjoel@example.com</t>
  </si>
  <si>
    <t>EH7 7YR</t>
  </si>
  <si>
    <t>ACT-03581</t>
  </si>
  <si>
    <t>ACC-12513</t>
  </si>
  <si>
    <t>CUST-52513</t>
  </si>
  <si>
    <t>Miss Kayleigh Morgan</t>
  </si>
  <si>
    <t>ACT-03582</t>
  </si>
  <si>
    <t>stephensonelliot@example.com</t>
  </si>
  <si>
    <t>DH9 2NH</t>
  </si>
  <si>
    <t>ACC-12514</t>
  </si>
  <si>
    <t>CUST-52514</t>
  </si>
  <si>
    <t>ACT-03583</t>
  </si>
  <si>
    <t>Simon Browne</t>
  </si>
  <si>
    <t>wryan@example.com</t>
  </si>
  <si>
    <t>TA81 4PZ</t>
  </si>
  <si>
    <t>ACT-03584</t>
  </si>
  <si>
    <t>ACC-12515</t>
  </si>
  <si>
    <t>CUST-52515</t>
  </si>
  <si>
    <t>Dr Jeffrey Humphreys</t>
  </si>
  <si>
    <t>ACT-03585</t>
  </si>
  <si>
    <t>guyhunter@example.com</t>
  </si>
  <si>
    <t>S0 8LL</t>
  </si>
  <si>
    <t>ACC-12516</t>
  </si>
  <si>
    <t>CUST-52516</t>
  </si>
  <si>
    <t>Deborah Taylor</t>
  </si>
  <si>
    <t>ACT-03586</t>
  </si>
  <si>
    <t>swilliams@example.com</t>
  </si>
  <si>
    <t>N2T 3UQ</t>
  </si>
  <si>
    <t>ACT-03587</t>
  </si>
  <si>
    <t>ACC-12517</t>
  </si>
  <si>
    <t>CUST-52517</t>
  </si>
  <si>
    <t>Charlene Davies</t>
  </si>
  <si>
    <t>ACT-03588</t>
  </si>
  <si>
    <t>imiles@example.org</t>
  </si>
  <si>
    <t>G22 2NL</t>
  </si>
  <si>
    <t>ACC-12518</t>
  </si>
  <si>
    <t>CUST-52518</t>
  </si>
  <si>
    <t>Kenneth Marsh</t>
  </si>
  <si>
    <t>ACT-03589</t>
  </si>
  <si>
    <t>vhanson@example.net</t>
  </si>
  <si>
    <t>M9 5AJ</t>
  </si>
  <si>
    <t>ACT-03590</t>
  </si>
  <si>
    <t>ACC-12519</t>
  </si>
  <si>
    <t>CUST-52519</t>
  </si>
  <si>
    <t>Christian Chapman-Taylor</t>
  </si>
  <si>
    <t>ACT-03591</t>
  </si>
  <si>
    <t>adamskatie@example.com</t>
  </si>
  <si>
    <t>L9A 9QJ</t>
  </si>
  <si>
    <t>ACC-12520</t>
  </si>
  <si>
    <t>CUST-52520</t>
  </si>
  <si>
    <t>Hazel Hart</t>
  </si>
  <si>
    <t>ACT-03592</t>
  </si>
  <si>
    <t>bblackburn@example.com</t>
  </si>
  <si>
    <t>B5U 0NA</t>
  </si>
  <si>
    <t>ACT-03593</t>
  </si>
  <si>
    <t>ACC-12521</t>
  </si>
  <si>
    <t>CUST-52521</t>
  </si>
  <si>
    <t>Jayne Ward</t>
  </si>
  <si>
    <t>marie29@example.net</t>
  </si>
  <si>
    <t>ACT-03594</t>
  </si>
  <si>
    <t>DY4B 9XR</t>
  </si>
  <si>
    <t>ACC-12522</t>
  </si>
  <si>
    <t>CUST-52522</t>
  </si>
  <si>
    <t>Sheila Birch</t>
  </si>
  <si>
    <t>ACT-03595</t>
  </si>
  <si>
    <t>hartcallum@example.net</t>
  </si>
  <si>
    <t>TF0 6BW</t>
  </si>
  <si>
    <t>ACC-12523</t>
  </si>
  <si>
    <t>CUST-52523</t>
  </si>
  <si>
    <t>Danielle Williams</t>
  </si>
  <si>
    <t>ACT-03596</t>
  </si>
  <si>
    <t>carl61@example.org</t>
  </si>
  <si>
    <t>ACT-03597</t>
  </si>
  <si>
    <t>SS74 7DR</t>
  </si>
  <si>
    <t>ACT-03598</t>
  </si>
  <si>
    <t>ACC-12524</t>
  </si>
  <si>
    <t>CUST-52524</t>
  </si>
  <si>
    <t>Lynda Manning</t>
  </si>
  <si>
    <t>ACT-03599</t>
  </si>
  <si>
    <t>cunninghamjane@example.org</t>
  </si>
  <si>
    <t>N1 9AY</t>
  </si>
  <si>
    <t>ACC-12525</t>
  </si>
  <si>
    <t>ACT-03600</t>
  </si>
  <si>
    <t>CUST-52525</t>
  </si>
  <si>
    <t>Jean Connolly</t>
  </si>
  <si>
    <t>joneslindsey@example.com</t>
  </si>
  <si>
    <t>ACT-03601</t>
  </si>
  <si>
    <t>E6 2JL</t>
  </si>
  <si>
    <t>ACC-12526</t>
  </si>
  <si>
    <t>CUST-52526</t>
  </si>
  <si>
    <t>Dr Gregory Collins</t>
  </si>
  <si>
    <t>ACT-03602</t>
  </si>
  <si>
    <t>owatson@example.org</t>
  </si>
  <si>
    <t>W2 6DG</t>
  </si>
  <si>
    <t>ACT-03603</t>
  </si>
  <si>
    <t>ACC-12527</t>
  </si>
  <si>
    <t>CUST-52527</t>
  </si>
  <si>
    <t>Katy Skinner</t>
  </si>
  <si>
    <t>braybarbara@example.org</t>
  </si>
  <si>
    <t>ACT-03604</t>
  </si>
  <si>
    <t>G6T 6XF</t>
  </si>
  <si>
    <t>ACC-12528</t>
  </si>
  <si>
    <t>CUST-52528</t>
  </si>
  <si>
    <t>Dean Allen-Wilson</t>
  </si>
  <si>
    <t>ACT-03605</t>
  </si>
  <si>
    <t>chelsea29@example.net</t>
  </si>
  <si>
    <t>S8W 1NN</t>
  </si>
  <si>
    <t>ACT-03606</t>
  </si>
  <si>
    <t>ACC-12529</t>
  </si>
  <si>
    <t>CUST-52529</t>
  </si>
  <si>
    <t>Andrea Swift</t>
  </si>
  <si>
    <t>ACT-03607</t>
  </si>
  <si>
    <t>L5 3LR</t>
  </si>
  <si>
    <t>ACC-12530</t>
  </si>
  <si>
    <t>CUST-52530</t>
  </si>
  <si>
    <t>Sara Phillips</t>
  </si>
  <si>
    <t>ACT-03608</t>
  </si>
  <si>
    <t>clifford88@example.net</t>
  </si>
  <si>
    <t>G7E 2AT</t>
  </si>
  <si>
    <t>ACC-12531</t>
  </si>
  <si>
    <t>ACT-03609</t>
  </si>
  <si>
    <t>CUST-52531</t>
  </si>
  <si>
    <t>Lisa Hall</t>
  </si>
  <si>
    <t>inash@example.com</t>
  </si>
  <si>
    <t>ACT-03610</t>
  </si>
  <si>
    <t>E65 1EQ</t>
  </si>
  <si>
    <t>ACC-12532</t>
  </si>
  <si>
    <t>CUST-52532</t>
  </si>
  <si>
    <t>Rita Henderson</t>
  </si>
  <si>
    <t>ACT-03611</t>
  </si>
  <si>
    <t>PH5Y 9AE</t>
  </si>
  <si>
    <t>ACT-03612</t>
  </si>
  <si>
    <t>ACC-12533</t>
  </si>
  <si>
    <t>CUST-52533</t>
  </si>
  <si>
    <t>Dr Oliver Buckley</t>
  </si>
  <si>
    <t>ACT-03613</t>
  </si>
  <si>
    <t>znixon@example.org</t>
  </si>
  <si>
    <t>E2 4WS</t>
  </si>
  <si>
    <t>ACC-12534</t>
  </si>
  <si>
    <t>CUST-52534</t>
  </si>
  <si>
    <t>ACT-03614</t>
  </si>
  <si>
    <t>Mr Gerald Smith</t>
  </si>
  <si>
    <t>wdale@example.com</t>
  </si>
  <si>
    <t>GY3R 5EQ</t>
  </si>
  <si>
    <t>ACT-03615</t>
  </si>
  <si>
    <t>ACC-12535</t>
  </si>
  <si>
    <t>CUST-52535</t>
  </si>
  <si>
    <t>Leonard Robinson-Wood</t>
  </si>
  <si>
    <t>ACT-03616</t>
  </si>
  <si>
    <t>jadechambers@example.net</t>
  </si>
  <si>
    <t>HA1Y 5HN</t>
  </si>
  <si>
    <t>ACC-12536</t>
  </si>
  <si>
    <t>CUST-52536</t>
  </si>
  <si>
    <t>ACT-03617</t>
  </si>
  <si>
    <t>Ms Marie Thompson</t>
  </si>
  <si>
    <t>tgill@example.com</t>
  </si>
  <si>
    <t>S03 1SF</t>
  </si>
  <si>
    <t>ACT-03618</t>
  </si>
  <si>
    <t>ACC-12537</t>
  </si>
  <si>
    <t>CUST-52537</t>
  </si>
  <si>
    <t>Catherine Lee</t>
  </si>
  <si>
    <t>ACT-03619</t>
  </si>
  <si>
    <t>barry55@example.org</t>
  </si>
  <si>
    <t>LD4R 2JU</t>
  </si>
  <si>
    <t>ACT-03620</t>
  </si>
  <si>
    <t>ACC-12538</t>
  </si>
  <si>
    <t>CUST-52538</t>
  </si>
  <si>
    <t>Chloe Palmer</t>
  </si>
  <si>
    <t>gemmaholmes@example.net</t>
  </si>
  <si>
    <t>ACT-03621</t>
  </si>
  <si>
    <t>HP6 7TF</t>
  </si>
  <si>
    <t>ACC-12539</t>
  </si>
  <si>
    <t>CUST-52539</t>
  </si>
  <si>
    <t>Zoe Baker-Francis</t>
  </si>
  <si>
    <t>ACT-03622</t>
  </si>
  <si>
    <t>mariacarter@example.com</t>
  </si>
  <si>
    <t>HG8R 5QA</t>
  </si>
  <si>
    <t>ACC-12540</t>
  </si>
  <si>
    <t>ACT-03623</t>
  </si>
  <si>
    <t>CUST-52540</t>
  </si>
  <si>
    <t>Jill Howard</t>
  </si>
  <si>
    <t>zmason@example.net</t>
  </si>
  <si>
    <t>ACT-03624</t>
  </si>
  <si>
    <t>N0 7HP</t>
  </si>
  <si>
    <t>ACC-12541</t>
  </si>
  <si>
    <t>CUST-52541</t>
  </si>
  <si>
    <t>Dr Brett Pearson</t>
  </si>
  <si>
    <t>gthomas@example.org</t>
  </si>
  <si>
    <t>ACT-03625</t>
  </si>
  <si>
    <t>N0 7AP</t>
  </si>
  <si>
    <t>ACC-12542</t>
  </si>
  <si>
    <t>CUST-52542</t>
  </si>
  <si>
    <t>Mr Daniel Dennis</t>
  </si>
  <si>
    <t>ACT-03626</t>
  </si>
  <si>
    <t>owatts@example.org</t>
  </si>
  <si>
    <t>M3 5NR</t>
  </si>
  <si>
    <t>ACC-12543</t>
  </si>
  <si>
    <t>CUST-52543</t>
  </si>
  <si>
    <t>ACT-03627</t>
  </si>
  <si>
    <t>Mrs Denise West</t>
  </si>
  <si>
    <t>elee@example.org</t>
  </si>
  <si>
    <t>SE2 9BY</t>
  </si>
  <si>
    <t>ACT-03628</t>
  </si>
  <si>
    <t>ACC-12544</t>
  </si>
  <si>
    <t>CUST-52544</t>
  </si>
  <si>
    <t>Iain Jordan</t>
  </si>
  <si>
    <t>ACT-03629</t>
  </si>
  <si>
    <t>charlene09@example.com</t>
  </si>
  <si>
    <t>W8 5QP</t>
  </si>
  <si>
    <t>ACC-12545</t>
  </si>
  <si>
    <t>ACT-03630</t>
  </si>
  <si>
    <t>CUST-52545</t>
  </si>
  <si>
    <t>Alan Dawson-Pope</t>
  </si>
  <si>
    <t>vjohnson@example.net</t>
  </si>
  <si>
    <t>L01 2RL</t>
  </si>
  <si>
    <t>ACT-03631</t>
  </si>
  <si>
    <t>ACC-12546</t>
  </si>
  <si>
    <t>CUST-52546</t>
  </si>
  <si>
    <t>Dr Maria Martin</t>
  </si>
  <si>
    <t>ACT-03632</t>
  </si>
  <si>
    <t>hannah36@example.com</t>
  </si>
  <si>
    <t>S5U 6PY</t>
  </si>
  <si>
    <t>ACC-12547</t>
  </si>
  <si>
    <t>CUST-52547</t>
  </si>
  <si>
    <t>ACT-03633</t>
  </si>
  <si>
    <t>Susan Weston-Hobbs</t>
  </si>
  <si>
    <t>dominic73@example.com</t>
  </si>
  <si>
    <t>HX42 4HY</t>
  </si>
  <si>
    <t>ACT-03634</t>
  </si>
  <si>
    <t>ACC-12548</t>
  </si>
  <si>
    <t>CUST-52548</t>
  </si>
  <si>
    <t>Gerard Short</t>
  </si>
  <si>
    <t>ACT-03635</t>
  </si>
  <si>
    <t>joseph16@example.com</t>
  </si>
  <si>
    <t>CH5M 1NN</t>
  </si>
  <si>
    <t>ACC-12549</t>
  </si>
  <si>
    <t>CUST-52549</t>
  </si>
  <si>
    <t>ACT-03636</t>
  </si>
  <si>
    <t>Laura Clark</t>
  </si>
  <si>
    <t>barbersamantha@example.org</t>
  </si>
  <si>
    <t>AL2 5FP</t>
  </si>
  <si>
    <t>ACT-03637</t>
  </si>
  <si>
    <t>ACC-12550</t>
  </si>
  <si>
    <t>CUST-52550</t>
  </si>
  <si>
    <t>Jay Tucker</t>
  </si>
  <si>
    <t>ACT-03638</t>
  </si>
  <si>
    <t>derekherbert@example.net</t>
  </si>
  <si>
    <t>DD54 3JN</t>
  </si>
  <si>
    <t>ACC-12551</t>
  </si>
  <si>
    <t>CUST-52551</t>
  </si>
  <si>
    <t>Dean Gardner</t>
  </si>
  <si>
    <t>ACT-03639</t>
  </si>
  <si>
    <t>julie67@example.net</t>
  </si>
  <si>
    <t>ACT-03640</t>
  </si>
  <si>
    <t>BR2 1PJ</t>
  </si>
  <si>
    <t>ACC-12552</t>
  </si>
  <si>
    <t>CUST-52552</t>
  </si>
  <si>
    <t>Caroline Carroll</t>
  </si>
  <si>
    <t>ACT-03641</t>
  </si>
  <si>
    <t>wcooper@example.net</t>
  </si>
  <si>
    <t>S35 0PJ</t>
  </si>
  <si>
    <t>ACT-03642</t>
  </si>
  <si>
    <t>ACC-12553</t>
  </si>
  <si>
    <t>CUST-52553</t>
  </si>
  <si>
    <t>Barbara Phillips</t>
  </si>
  <si>
    <t>julieholmes@example.org</t>
  </si>
  <si>
    <t>ACT-03643</t>
  </si>
  <si>
    <t>N10 7JA</t>
  </si>
  <si>
    <t>ACC-12554</t>
  </si>
  <si>
    <t>CUST-52554</t>
  </si>
  <si>
    <t>Kimberley Brown</t>
  </si>
  <si>
    <t>ACT-03644</t>
  </si>
  <si>
    <t>jennajones@example.net</t>
  </si>
  <si>
    <t>B2 4US</t>
  </si>
  <si>
    <t>ACC-12555</t>
  </si>
  <si>
    <t>CUST-52555</t>
  </si>
  <si>
    <t>ACT-03645</t>
  </si>
  <si>
    <t>Dr Aimee Robinson</t>
  </si>
  <si>
    <t>fmclean@example.net</t>
  </si>
  <si>
    <t>N0 1YJ</t>
  </si>
  <si>
    <t>ACT-03646</t>
  </si>
  <si>
    <t>ACC-12556</t>
  </si>
  <si>
    <t>CUST-52556</t>
  </si>
  <si>
    <t>Harriet Phillips</t>
  </si>
  <si>
    <t>ACT-03647</t>
  </si>
  <si>
    <t>dylanpalmer@example.com</t>
  </si>
  <si>
    <t>E32 0SD</t>
  </si>
  <si>
    <t>ACT-03648</t>
  </si>
  <si>
    <t>ACC-12557</t>
  </si>
  <si>
    <t>CUST-52557</t>
  </si>
  <si>
    <t>Dr Martin Hall</t>
  </si>
  <si>
    <t>roseraymond@example.org</t>
  </si>
  <si>
    <t>ACT-03649</t>
  </si>
  <si>
    <t>M37 6WD</t>
  </si>
  <si>
    <t>ACC-12558</t>
  </si>
  <si>
    <t>CUST-52558</t>
  </si>
  <si>
    <t>Dr Dale Ashton</t>
  </si>
  <si>
    <t>ACT-03650</t>
  </si>
  <si>
    <t>helenbarnett@example.net</t>
  </si>
  <si>
    <t>PL32 4PT</t>
  </si>
  <si>
    <t>ACT-03651</t>
  </si>
  <si>
    <t>ACC-12559</t>
  </si>
  <si>
    <t>CUST-52559</t>
  </si>
  <si>
    <t>Dr Christopher Nixon</t>
  </si>
  <si>
    <t>nolansam@example.org</t>
  </si>
  <si>
    <t>ACT-03652</t>
  </si>
  <si>
    <t>LA3 7SA</t>
  </si>
  <si>
    <t>ACC-12560</t>
  </si>
  <si>
    <t>CUST-52560</t>
  </si>
  <si>
    <t>Alison Wilkinson</t>
  </si>
  <si>
    <t>ACT-03653</t>
  </si>
  <si>
    <t>tomhardy@example.com</t>
  </si>
  <si>
    <t>ACT-03654</t>
  </si>
  <si>
    <t>DA8 4PD</t>
  </si>
  <si>
    <t>ACC-12561</t>
  </si>
  <si>
    <t>ACT-03655</t>
  </si>
  <si>
    <t>CUST-52561</t>
  </si>
  <si>
    <t>William Hunt</t>
  </si>
  <si>
    <t>knightshaun@example.com</t>
  </si>
  <si>
    <t>ACT-03656</t>
  </si>
  <si>
    <t>M47 8UW</t>
  </si>
  <si>
    <t>ACC-12562</t>
  </si>
  <si>
    <t>ACT-03657</t>
  </si>
  <si>
    <t>CUST-52562</t>
  </si>
  <si>
    <t>Nathan Payne-Williams</t>
  </si>
  <si>
    <t>ogregory@example.com</t>
  </si>
  <si>
    <t>L9 1YP</t>
  </si>
  <si>
    <t>ACT-03658</t>
  </si>
  <si>
    <t>ACC-12563</t>
  </si>
  <si>
    <t>CUST-52563</t>
  </si>
  <si>
    <t>Mrs Kelly Craig</t>
  </si>
  <si>
    <t>ACT-03659</t>
  </si>
  <si>
    <t>abigailmccarthy@example.org</t>
  </si>
  <si>
    <t>BN9 6GT</t>
  </si>
  <si>
    <t>ACC-12564</t>
  </si>
  <si>
    <t>CUST-52564</t>
  </si>
  <si>
    <t>Caroline Foster</t>
  </si>
  <si>
    <t>ACT-03660</t>
  </si>
  <si>
    <t>liam46@example.org</t>
  </si>
  <si>
    <t>PA6B 1AP</t>
  </si>
  <si>
    <t>ACT-03661</t>
  </si>
  <si>
    <t>ACC-12565</t>
  </si>
  <si>
    <t>CUST-52565</t>
  </si>
  <si>
    <t>Anne Ryan</t>
  </si>
  <si>
    <t>watsonpaula@example.net</t>
  </si>
  <si>
    <t>ACT-03662</t>
  </si>
  <si>
    <t>S51 1AY</t>
  </si>
  <si>
    <t>ACC-12566</t>
  </si>
  <si>
    <t>CUST-52566</t>
  </si>
  <si>
    <t>Edward Hodgson</t>
  </si>
  <si>
    <t>ACT-03663</t>
  </si>
  <si>
    <t>pearcenigel@example.net</t>
  </si>
  <si>
    <t>CW2E 7HF</t>
  </si>
  <si>
    <t>ACT-03664</t>
  </si>
  <si>
    <t>ACC-12567</t>
  </si>
  <si>
    <t>CUST-52567</t>
  </si>
  <si>
    <t>Gregory Edwards</t>
  </si>
  <si>
    <t>cliffordwilson@example.com</t>
  </si>
  <si>
    <t>ACT-03665</t>
  </si>
  <si>
    <t>L84 8EN</t>
  </si>
  <si>
    <t>ACC-12568</t>
  </si>
  <si>
    <t>CUST-52568</t>
  </si>
  <si>
    <t>Elliott Shepherd</t>
  </si>
  <si>
    <t>ACT-03666</t>
  </si>
  <si>
    <t>pcross@example.org</t>
  </si>
  <si>
    <t>S8 1JN</t>
  </si>
  <si>
    <t>ACC-12569</t>
  </si>
  <si>
    <t>CUST-52569</t>
  </si>
  <si>
    <t>ACT-03667</t>
  </si>
  <si>
    <t>Marian King</t>
  </si>
  <si>
    <t>harrismartin@example.com</t>
  </si>
  <si>
    <t>M0J 7YT</t>
  </si>
  <si>
    <t>ACT-03668</t>
  </si>
  <si>
    <t>ACC-12570</t>
  </si>
  <si>
    <t>CUST-52570</t>
  </si>
  <si>
    <t>Jill Jordan</t>
  </si>
  <si>
    <t>ACT-03669</t>
  </si>
  <si>
    <t>evansyvonne@example.org</t>
  </si>
  <si>
    <t>G48 8ZD</t>
  </si>
  <si>
    <t>ACC-12571</t>
  </si>
  <si>
    <t>CUST-52571</t>
  </si>
  <si>
    <t>Dean Kelly</t>
  </si>
  <si>
    <t>ACT-03670</t>
  </si>
  <si>
    <t>brownehelen@example.net</t>
  </si>
  <si>
    <t>ACT-03671</t>
  </si>
  <si>
    <t>SE6E 2RP</t>
  </si>
  <si>
    <t>ACC-12572</t>
  </si>
  <si>
    <t>ACT-03672</t>
  </si>
  <si>
    <t>CUST-52572</t>
  </si>
  <si>
    <t>Jake Walters</t>
  </si>
  <si>
    <t>ACT-03673</t>
  </si>
  <si>
    <t>janice93@example.net</t>
  </si>
  <si>
    <t>HU7 2UJ</t>
  </si>
  <si>
    <t>ACT-03674</t>
  </si>
  <si>
    <t>ACC-12573</t>
  </si>
  <si>
    <t>CUST-52573</t>
  </si>
  <si>
    <t>Keith Joyce</t>
  </si>
  <si>
    <t>ACT-03675</t>
  </si>
  <si>
    <t>cookdenise@example.org</t>
  </si>
  <si>
    <t>NR1P 3TD</t>
  </si>
  <si>
    <t>ACC-12574</t>
  </si>
  <si>
    <t>ACT-03676</t>
  </si>
  <si>
    <t>CUST-52574</t>
  </si>
  <si>
    <t>Mandy Bentley</t>
  </si>
  <si>
    <t>brownhenry@example.com</t>
  </si>
  <si>
    <t>ACT-03677</t>
  </si>
  <si>
    <t>WC1 3AP</t>
  </si>
  <si>
    <t>ACC-12575</t>
  </si>
  <si>
    <t>CUST-52575</t>
  </si>
  <si>
    <t>Dr Danielle Powell</t>
  </si>
  <si>
    <t>ACT-03678</t>
  </si>
  <si>
    <t>M8 6EW</t>
  </si>
  <si>
    <t>ACC-12576</t>
  </si>
  <si>
    <t>CUST-52576</t>
  </si>
  <si>
    <t>Liam Newman</t>
  </si>
  <si>
    <t>ACT-03679</t>
  </si>
  <si>
    <t>katherineroberts@example.org</t>
  </si>
  <si>
    <t>N8H 3QW</t>
  </si>
  <si>
    <t>ACC-12577</t>
  </si>
  <si>
    <t>CUST-52577</t>
  </si>
  <si>
    <t>Samantha Edwards</t>
  </si>
  <si>
    <t>ACT-03680</t>
  </si>
  <si>
    <t>justinadams@example.com</t>
  </si>
  <si>
    <t>G25 3GY</t>
  </si>
  <si>
    <t>ACT-03681</t>
  </si>
  <si>
    <t>ACC-12578</t>
  </si>
  <si>
    <t>CUST-52578</t>
  </si>
  <si>
    <t>Joan Fuller</t>
  </si>
  <si>
    <t>ACT-03682</t>
  </si>
  <si>
    <t>zoe36@example.com</t>
  </si>
  <si>
    <t>G62 3NA</t>
  </si>
  <si>
    <t>ACC-12579</t>
  </si>
  <si>
    <t>CUST-52579</t>
  </si>
  <si>
    <t>Nicola Atkinson</t>
  </si>
  <si>
    <t>ACT-03683</t>
  </si>
  <si>
    <t>goodwinhannah@example.org</t>
  </si>
  <si>
    <t>B8H 1NB</t>
  </si>
  <si>
    <t>ACT-03684</t>
  </si>
  <si>
    <t>ACC-12580</t>
  </si>
  <si>
    <t>CUST-52580</t>
  </si>
  <si>
    <t>Mr James Matthews</t>
  </si>
  <si>
    <t>ACT-03685</t>
  </si>
  <si>
    <t>donaldturner@example.net</t>
  </si>
  <si>
    <t>TS92 5WH</t>
  </si>
  <si>
    <t>ACT-03686</t>
  </si>
  <si>
    <t>ACC-12581</t>
  </si>
  <si>
    <t>CUST-52581</t>
  </si>
  <si>
    <t>Ryan Turnbull</t>
  </si>
  <si>
    <t>ACT-03687</t>
  </si>
  <si>
    <t>chandlerrosemary@example.net</t>
  </si>
  <si>
    <t>DA3R 5AS</t>
  </si>
  <si>
    <t>ACC-12582</t>
  </si>
  <si>
    <t>CUST-52582</t>
  </si>
  <si>
    <t>Rhys Freeman</t>
  </si>
  <si>
    <t>ACT-03688</t>
  </si>
  <si>
    <t>holtarthur@example.org</t>
  </si>
  <si>
    <t>G0A 7PH</t>
  </si>
  <si>
    <t>ACC-12583</t>
  </si>
  <si>
    <t>CUST-52583</t>
  </si>
  <si>
    <t>Ian Thompson</t>
  </si>
  <si>
    <t>ACT-03689</t>
  </si>
  <si>
    <t>mistryallan@example.net</t>
  </si>
  <si>
    <t>DG98 6ZN</t>
  </si>
  <si>
    <t>ACC-12584</t>
  </si>
  <si>
    <t>CUST-52584</t>
  </si>
  <si>
    <t>Jacqueline Watson</t>
  </si>
  <si>
    <t>ACT-03690</t>
  </si>
  <si>
    <t>hughessean@example.org</t>
  </si>
  <si>
    <t>M6 9EL</t>
  </si>
  <si>
    <t>ACC-12585</t>
  </si>
  <si>
    <t>CUST-52585</t>
  </si>
  <si>
    <t>Charlie White</t>
  </si>
  <si>
    <t>geraldine62@example.com</t>
  </si>
  <si>
    <t>ACT-03691</t>
  </si>
  <si>
    <t>N3 3RR</t>
  </si>
  <si>
    <t>ACC-12586</t>
  </si>
  <si>
    <t>CUST-52586</t>
  </si>
  <si>
    <t>Miss Angela Fleming</t>
  </si>
  <si>
    <t>ACT-03692</t>
  </si>
  <si>
    <t>rickycooper@example.com</t>
  </si>
  <si>
    <t>G6E 0TA</t>
  </si>
  <si>
    <t>ACC-12587</t>
  </si>
  <si>
    <t>CUST-52587</t>
  </si>
  <si>
    <t>Dr Alexander Peters</t>
  </si>
  <si>
    <t>sara44@example.org</t>
  </si>
  <si>
    <t>ACT-03693</t>
  </si>
  <si>
    <t>W9U 6TF</t>
  </si>
  <si>
    <t>ACC-12588</t>
  </si>
  <si>
    <t>CUST-52588</t>
  </si>
  <si>
    <t>Miss Deborah Stewart</t>
  </si>
  <si>
    <t>wbuckley@example.org</t>
  </si>
  <si>
    <t>E2 4RU</t>
  </si>
  <si>
    <t>ACT-03694</t>
  </si>
  <si>
    <t>ACC-12589</t>
  </si>
  <si>
    <t>CUST-52589</t>
  </si>
  <si>
    <t>Yvonne Young</t>
  </si>
  <si>
    <t>joeharris@example.org</t>
  </si>
  <si>
    <t>S8 8DU</t>
  </si>
  <si>
    <t>ACT-03695</t>
  </si>
  <si>
    <t>ACC-12590</t>
  </si>
  <si>
    <t>CUST-52590</t>
  </si>
  <si>
    <t>Alison Knight</t>
  </si>
  <si>
    <t>ACT-03696</t>
  </si>
  <si>
    <t>G3E 7TE</t>
  </si>
  <si>
    <t>ACC-12591</t>
  </si>
  <si>
    <t>CUST-52591</t>
  </si>
  <si>
    <t>ACT-03697</t>
  </si>
  <si>
    <t>Dr Katy Macdonald</t>
  </si>
  <si>
    <t>duncanphillips@example.com</t>
  </si>
  <si>
    <t>G3 8PZ</t>
  </si>
  <si>
    <t>ACT-03698</t>
  </si>
  <si>
    <t>ACC-12592</t>
  </si>
  <si>
    <t>CUST-52592</t>
  </si>
  <si>
    <t>Eric Price-O'Neill</t>
  </si>
  <si>
    <t>ACT-03699</t>
  </si>
  <si>
    <t>kjames@example.net</t>
  </si>
  <si>
    <t>IM72 4SD</t>
  </si>
  <si>
    <t>ACC-12593</t>
  </si>
  <si>
    <t>CUST-52593</t>
  </si>
  <si>
    <t>ACT-03700</t>
  </si>
  <si>
    <t>Ricky Lewis</t>
  </si>
  <si>
    <t>gavin01@example.com</t>
  </si>
  <si>
    <t>ACT-03701</t>
  </si>
  <si>
    <t>BA00 4TF</t>
  </si>
  <si>
    <t>ACC-12594</t>
  </si>
  <si>
    <t>CUST-52594</t>
  </si>
  <si>
    <t>Ross Rees</t>
  </si>
  <si>
    <t>ACT-03702</t>
  </si>
  <si>
    <t>davidwalsh@example.net</t>
  </si>
  <si>
    <t>N0 2HQ</t>
  </si>
  <si>
    <t>ACT-03703</t>
  </si>
  <si>
    <t>ACC-12595</t>
  </si>
  <si>
    <t>CUST-52595</t>
  </si>
  <si>
    <t>Howard Begum-Thomas</t>
  </si>
  <si>
    <t>mitchellbrian@example.com</t>
  </si>
  <si>
    <t>ACT-03704</t>
  </si>
  <si>
    <t>S9G 3DY</t>
  </si>
  <si>
    <t>ACC-12596</t>
  </si>
  <si>
    <t>CUST-52596</t>
  </si>
  <si>
    <t>Rebecca Smith</t>
  </si>
  <si>
    <t>ACT-03705</t>
  </si>
  <si>
    <t>joseph64@example.com</t>
  </si>
  <si>
    <t>N5 5FE</t>
  </si>
  <si>
    <t>ACT-03706</t>
  </si>
  <si>
    <t>ACC-12597</t>
  </si>
  <si>
    <t>CUST-52597</t>
  </si>
  <si>
    <t>Dr Sean Tomlinson</t>
  </si>
  <si>
    <t>ACT-03707</t>
  </si>
  <si>
    <t>xwilliams@example.com</t>
  </si>
  <si>
    <t>GL8 2FN</t>
  </si>
  <si>
    <t>ACT-03708</t>
  </si>
  <si>
    <t>ACC-12598</t>
  </si>
  <si>
    <t>CUST-52598</t>
  </si>
  <si>
    <t>Gail Price-Hart</t>
  </si>
  <si>
    <t>holdengeoffrey@example.org</t>
  </si>
  <si>
    <t>ACT-03709</t>
  </si>
  <si>
    <t>KW04 8RA</t>
  </si>
  <si>
    <t>ACC-12599</t>
  </si>
  <si>
    <t>CUST-52599</t>
  </si>
  <si>
    <t>Jean Horton-Howell</t>
  </si>
  <si>
    <t>ACT-03710</t>
  </si>
  <si>
    <t>annettewatson@example.com</t>
  </si>
  <si>
    <t>N33 0AF</t>
  </si>
  <si>
    <t>ACC-12600</t>
  </si>
  <si>
    <t>CUST-52600</t>
  </si>
  <si>
    <t>Dr Lewis Chapman</t>
  </si>
  <si>
    <t>ACT-03711</t>
  </si>
  <si>
    <t>frederick81@example.com</t>
  </si>
  <si>
    <t>S1F 4XX</t>
  </si>
  <si>
    <t>ACT-03712</t>
  </si>
  <si>
    <t>ACC-12601</t>
  </si>
  <si>
    <t>CUST-52601</t>
  </si>
  <si>
    <t>Henry Elliott-Jones</t>
  </si>
  <si>
    <t>ACT-03713</t>
  </si>
  <si>
    <t>RG52 9ET</t>
  </si>
  <si>
    <t>ACC-12602</t>
  </si>
  <si>
    <t>CUST-52602</t>
  </si>
  <si>
    <t>ACT-03714</t>
  </si>
  <si>
    <t>Dr Marian Green</t>
  </si>
  <si>
    <t>vsutton@example.net</t>
  </si>
  <si>
    <t>GL2 9ZX</t>
  </si>
  <si>
    <t>ACT-03715</t>
  </si>
  <si>
    <t>ACC-12603</t>
  </si>
  <si>
    <t>CUST-52603</t>
  </si>
  <si>
    <t>Mr Gerard Armstrong</t>
  </si>
  <si>
    <t>ACT-03716</t>
  </si>
  <si>
    <t>lesley71@example.net</t>
  </si>
  <si>
    <t>S3H 5RB</t>
  </si>
  <si>
    <t>ACC-12604</t>
  </si>
  <si>
    <t>CUST-52604</t>
  </si>
  <si>
    <t>Liam Smith</t>
  </si>
  <si>
    <t>ACT-03717</t>
  </si>
  <si>
    <t>gthompson@example.com</t>
  </si>
  <si>
    <t>BD3X 1WZ</t>
  </si>
  <si>
    <t>ACC-12605</t>
  </si>
  <si>
    <t>CUST-52605</t>
  </si>
  <si>
    <t>Chelsea Thompson-Smith</t>
  </si>
  <si>
    <t>elliekhan@example.net</t>
  </si>
  <si>
    <t>NR9 4RD</t>
  </si>
  <si>
    <t>ACT-03718</t>
  </si>
  <si>
    <t>ACC-12606</t>
  </si>
  <si>
    <t>CUST-52606</t>
  </si>
  <si>
    <t>Adrian Davies-Metcalfe</t>
  </si>
  <si>
    <t>gail72@example.org</t>
  </si>
  <si>
    <t>N97 1YU</t>
  </si>
  <si>
    <t>ACC-12607</t>
  </si>
  <si>
    <t>ACT-03719</t>
  </si>
  <si>
    <t>CUST-52607</t>
  </si>
  <si>
    <t>Ross Stephens</t>
  </si>
  <si>
    <t>melissareid@example.net</t>
  </si>
  <si>
    <t>W8 1QS</t>
  </si>
  <si>
    <t>ACC-12608</t>
  </si>
  <si>
    <t>ACT-03720</t>
  </si>
  <si>
    <t>CUST-52608</t>
  </si>
  <si>
    <t>Frederick Perry</t>
  </si>
  <si>
    <t>bhaynes@example.com</t>
  </si>
  <si>
    <t>B0F 0YE</t>
  </si>
  <si>
    <t>ACC-12609</t>
  </si>
  <si>
    <t>CUST-52609</t>
  </si>
  <si>
    <t>Dr Garry Parker</t>
  </si>
  <si>
    <t>ACT-03721</t>
  </si>
  <si>
    <t>mooremarion@example.org</t>
  </si>
  <si>
    <t>HU9H 4HS</t>
  </si>
  <si>
    <t>ACC-12610</t>
  </si>
  <si>
    <t>CUST-52610</t>
  </si>
  <si>
    <t>Graeme Barker</t>
  </si>
  <si>
    <t>ACT-03722</t>
  </si>
  <si>
    <t>matthew05@example.com</t>
  </si>
  <si>
    <t>HX1W 9UA</t>
  </si>
  <si>
    <t>ACT-03723</t>
  </si>
  <si>
    <t>ACC-12611</t>
  </si>
  <si>
    <t>CUST-52611</t>
  </si>
  <si>
    <t>Mr Jonathan Warren</t>
  </si>
  <si>
    <t>stewartkennedy@example.com</t>
  </si>
  <si>
    <t>ACT-03724</t>
  </si>
  <si>
    <t>GL9E 3ZJ</t>
  </si>
  <si>
    <t>ACC-12612</t>
  </si>
  <si>
    <t>CUST-52612</t>
  </si>
  <si>
    <t>Ms Amber Knight</t>
  </si>
  <si>
    <t>ACT-03725</t>
  </si>
  <si>
    <t>wendy84@example.com</t>
  </si>
  <si>
    <t>E9 1HG</t>
  </si>
  <si>
    <t>ACC-12613</t>
  </si>
  <si>
    <t>CUST-52613</t>
  </si>
  <si>
    <t>Kayleigh Reynolds</t>
  </si>
  <si>
    <t>ACT-03726</t>
  </si>
  <si>
    <t>williamsadam@example.net</t>
  </si>
  <si>
    <t>LN21 0FG</t>
  </si>
  <si>
    <t>ACC-12614</t>
  </si>
  <si>
    <t>ACT-03727</t>
  </si>
  <si>
    <t>CUST-52614</t>
  </si>
  <si>
    <t>Miss Helen Palmer</t>
  </si>
  <si>
    <t>sinclairdaniel@example.com</t>
  </si>
  <si>
    <t>W8 1BL</t>
  </si>
  <si>
    <t>ACT-03728</t>
  </si>
  <si>
    <t>ACC-12615</t>
  </si>
  <si>
    <t>CUST-52615</t>
  </si>
  <si>
    <t>ACT-03729</t>
  </si>
  <si>
    <t>normanyoung@example.org</t>
  </si>
  <si>
    <t>DL6E 7WJ</t>
  </si>
  <si>
    <t>ACC-12616</t>
  </si>
  <si>
    <t>CUST-52616</t>
  </si>
  <si>
    <t>ACT-03730</t>
  </si>
  <si>
    <t>Cameron Young-Patel</t>
  </si>
  <si>
    <t>matthew46@example.net</t>
  </si>
  <si>
    <t>YO50 8UW</t>
  </si>
  <si>
    <t>ACT-03731</t>
  </si>
  <si>
    <t>ACC-12617</t>
  </si>
  <si>
    <t>CUST-52617</t>
  </si>
  <si>
    <t>Zoe Roberts</t>
  </si>
  <si>
    <t>ACT-03732</t>
  </si>
  <si>
    <t>kellyjodie@example.net</t>
  </si>
  <si>
    <t>WV8W 8BA</t>
  </si>
  <si>
    <t>ACC-12618</t>
  </si>
  <si>
    <t>ACT-03733</t>
  </si>
  <si>
    <t>CUST-52618</t>
  </si>
  <si>
    <t>Miss Christine Hunt</t>
  </si>
  <si>
    <t>dianacurtis@example.com</t>
  </si>
  <si>
    <t>ACT-03734</t>
  </si>
  <si>
    <t>CO1 4NP</t>
  </si>
  <si>
    <t>ACC-12619</t>
  </si>
  <si>
    <t>CUST-52619</t>
  </si>
  <si>
    <t>Tracey Fleming</t>
  </si>
  <si>
    <t>ACT-03735</t>
  </si>
  <si>
    <t>rachelharrison@example.net</t>
  </si>
  <si>
    <t>ACT-03736</t>
  </si>
  <si>
    <t>NR3 2FZ</t>
  </si>
  <si>
    <t>ACC-12620</t>
  </si>
  <si>
    <t>CUST-52620</t>
  </si>
  <si>
    <t>Katy Smith-Young</t>
  </si>
  <si>
    <t>ACT-03737</t>
  </si>
  <si>
    <t>qturner@example.net</t>
  </si>
  <si>
    <t>G30 9BY</t>
  </si>
  <si>
    <t>ACC-12621</t>
  </si>
  <si>
    <t>ACT-03738</t>
  </si>
  <si>
    <t>CUST-52621</t>
  </si>
  <si>
    <t>owen34@example.org</t>
  </si>
  <si>
    <t>ACT-03739</t>
  </si>
  <si>
    <t>SN0 0WX</t>
  </si>
  <si>
    <t>ACC-12622</t>
  </si>
  <si>
    <t>CUST-52622</t>
  </si>
  <si>
    <t>Naomi Gilbert</t>
  </si>
  <si>
    <t>ACT-03740</t>
  </si>
  <si>
    <t>charles78@example.com</t>
  </si>
  <si>
    <t>FY4 5GP</t>
  </si>
  <si>
    <t>ACC-12623</t>
  </si>
  <si>
    <t>ACT-03741</t>
  </si>
  <si>
    <t>CUST-52623</t>
  </si>
  <si>
    <t>Joseph Williams</t>
  </si>
  <si>
    <t>robsonmary@example.com</t>
  </si>
  <si>
    <t>ACT-03742</t>
  </si>
  <si>
    <t>B45 8TD</t>
  </si>
  <si>
    <t>ACC-12624</t>
  </si>
  <si>
    <t>CUST-52624</t>
  </si>
  <si>
    <t>Dr Martin Davies</t>
  </si>
  <si>
    <t>ACT-03743</t>
  </si>
  <si>
    <t>martinluke@example.com</t>
  </si>
  <si>
    <t>BD7X 9DF</t>
  </si>
  <si>
    <t>ACC-12625</t>
  </si>
  <si>
    <t>CUST-52625</t>
  </si>
  <si>
    <t>ACT-03744</t>
  </si>
  <si>
    <t>Iain Smith</t>
  </si>
  <si>
    <t>lowen@example.com</t>
  </si>
  <si>
    <t>L5F 1JE</t>
  </si>
  <si>
    <t>ACT-03745</t>
  </si>
  <si>
    <t>ACC-12626</t>
  </si>
  <si>
    <t>CUST-52626</t>
  </si>
  <si>
    <t>Anthony Summers-Bentley</t>
  </si>
  <si>
    <t>ACT-03746</t>
  </si>
  <si>
    <t>adamsjoel@example.org</t>
  </si>
  <si>
    <t>S23 3JW</t>
  </si>
  <si>
    <t>ACC-12627</t>
  </si>
  <si>
    <t>ACT-03747</t>
  </si>
  <si>
    <t>CUST-52627</t>
  </si>
  <si>
    <t>Claire Smith</t>
  </si>
  <si>
    <t>ghall@example.net</t>
  </si>
  <si>
    <t>ACT-03748</t>
  </si>
  <si>
    <t>SR0R 7JF</t>
  </si>
  <si>
    <t>ACC-12628</t>
  </si>
  <si>
    <t>CUST-52628</t>
  </si>
  <si>
    <t>Ms Chloe Palmer</t>
  </si>
  <si>
    <t>emiah@example.net</t>
  </si>
  <si>
    <t>ACT-03749</t>
  </si>
  <si>
    <t>BR1 1NJ</t>
  </si>
  <si>
    <t>ACC-12629</t>
  </si>
  <si>
    <t>CUST-52629</t>
  </si>
  <si>
    <t>Melissa Smith</t>
  </si>
  <si>
    <t>ACT-03750</t>
  </si>
  <si>
    <t>fleminggeorge@example.net</t>
  </si>
  <si>
    <t>IM66 9YZ</t>
  </si>
  <si>
    <t>ACT-03751</t>
  </si>
  <si>
    <t>ACC-12630</t>
  </si>
  <si>
    <t>CUST-52630</t>
  </si>
  <si>
    <t>Ms Lauren Scott</t>
  </si>
  <si>
    <t>ACT-03752</t>
  </si>
  <si>
    <t>dawsonolivia@example.org</t>
  </si>
  <si>
    <t>M8 3RQ</t>
  </si>
  <si>
    <t>ACT-03753</t>
  </si>
  <si>
    <t>ACC-12631</t>
  </si>
  <si>
    <t>CUST-52631</t>
  </si>
  <si>
    <t>Dr Aimee Austin</t>
  </si>
  <si>
    <t>ACT-03754</t>
  </si>
  <si>
    <t>robertphillips@example.org</t>
  </si>
  <si>
    <t>W4 9XY</t>
  </si>
  <si>
    <t>ACT-03755</t>
  </si>
  <si>
    <t>ACC-12632</t>
  </si>
  <si>
    <t>CUST-52632</t>
  </si>
  <si>
    <t>Leonard Hayes</t>
  </si>
  <si>
    <t>ACT-03756</t>
  </si>
  <si>
    <t>heatherwalker@example.net</t>
  </si>
  <si>
    <t>B34 2AS</t>
  </si>
  <si>
    <t>ACC-12633</t>
  </si>
  <si>
    <t>ACT-03757</t>
  </si>
  <si>
    <t>CUST-52633</t>
  </si>
  <si>
    <t>Chloe Matthews</t>
  </si>
  <si>
    <t>CR3H 3EX</t>
  </si>
  <si>
    <t>ACT-03758</t>
  </si>
  <si>
    <t>ACC-12634</t>
  </si>
  <si>
    <t>CUST-52634</t>
  </si>
  <si>
    <t>Tracy Norman</t>
  </si>
  <si>
    <t>ACT-03759</t>
  </si>
  <si>
    <t>howarthclive@example.org</t>
  </si>
  <si>
    <t>W15 7EE</t>
  </si>
  <si>
    <t>ACC-12635</t>
  </si>
  <si>
    <t>CUST-52635</t>
  </si>
  <si>
    <t>Geoffrey Thomas</t>
  </si>
  <si>
    <t>ACT-03760</t>
  </si>
  <si>
    <t>igraham@example.net</t>
  </si>
  <si>
    <t>JE2B 2DW</t>
  </si>
  <si>
    <t>ACT-03761</t>
  </si>
  <si>
    <t>ACC-12636</t>
  </si>
  <si>
    <t>CUST-52636</t>
  </si>
  <si>
    <t>Leigh Dean-Khan</t>
  </si>
  <si>
    <t>lesley57@example.com</t>
  </si>
  <si>
    <t>ACT-03762</t>
  </si>
  <si>
    <t>E5S 4BU</t>
  </si>
  <si>
    <t>ACC-12637</t>
  </si>
  <si>
    <t>CUST-52637</t>
  </si>
  <si>
    <t>Nicola Sharp</t>
  </si>
  <si>
    <t>ACT-03763</t>
  </si>
  <si>
    <t>joanbailey@example.org</t>
  </si>
  <si>
    <t>KA20 4EQ</t>
  </si>
  <si>
    <t>ACT-03764</t>
  </si>
  <si>
    <t>ACC-12638</t>
  </si>
  <si>
    <t>CUST-52638</t>
  </si>
  <si>
    <t>Jordan Bennett</t>
  </si>
  <si>
    <t>jparsons@example.net</t>
  </si>
  <si>
    <t>ACT-03765</t>
  </si>
  <si>
    <t>E9E 2XX</t>
  </si>
  <si>
    <t>ACC-12639</t>
  </si>
  <si>
    <t>CUST-52639</t>
  </si>
  <si>
    <t>Judith Parkes</t>
  </si>
  <si>
    <t>ACT-03766</t>
  </si>
  <si>
    <t>zoecook@example.net</t>
  </si>
  <si>
    <t>LU9 9ZD</t>
  </si>
  <si>
    <t>ACT-03767</t>
  </si>
  <si>
    <t>ACC-12640</t>
  </si>
  <si>
    <t>CUST-52640</t>
  </si>
  <si>
    <t>Ms Naomi Johnson</t>
  </si>
  <si>
    <t>julianwebster@example.org</t>
  </si>
  <si>
    <t>DA2P 7HL</t>
  </si>
  <si>
    <t>ACT-03768</t>
  </si>
  <si>
    <t>ACC-12641</t>
  </si>
  <si>
    <t>CUST-52641</t>
  </si>
  <si>
    <t>Alexander Lloyd</t>
  </si>
  <si>
    <t>yvonnehale@example.org</t>
  </si>
  <si>
    <t>ACT-03769</t>
  </si>
  <si>
    <t>SN95 9WN</t>
  </si>
  <si>
    <t>ACC-12642</t>
  </si>
  <si>
    <t>CUST-52642</t>
  </si>
  <si>
    <t>David Harrison</t>
  </si>
  <si>
    <t>ACT-03770</t>
  </si>
  <si>
    <t>lordcarl@example.net</t>
  </si>
  <si>
    <t>LE26 9LB</t>
  </si>
  <si>
    <t>ACT-03771</t>
  </si>
  <si>
    <t>ACC-12643</t>
  </si>
  <si>
    <t>CUST-52643</t>
  </si>
  <si>
    <t>Justin Byrne</t>
  </si>
  <si>
    <t>holmesalice@example.org</t>
  </si>
  <si>
    <t>ACT-03772</t>
  </si>
  <si>
    <t>SY23 5QX</t>
  </si>
  <si>
    <t>ACC-12644</t>
  </si>
  <si>
    <t>CUST-52644</t>
  </si>
  <si>
    <t>Danny Robinson-Mann</t>
  </si>
  <si>
    <t>ACT-03773</t>
  </si>
  <si>
    <t>mollyjordan@example.org</t>
  </si>
  <si>
    <t>W3 2RU</t>
  </si>
  <si>
    <t>ACC-12645</t>
  </si>
  <si>
    <t>CUST-52645</t>
  </si>
  <si>
    <t>Dr Louis Fraser</t>
  </si>
  <si>
    <t>ACT-03774</t>
  </si>
  <si>
    <t>greed@example.com</t>
  </si>
  <si>
    <t>NP5 2FH</t>
  </si>
  <si>
    <t>ACT-03775</t>
  </si>
  <si>
    <t>ACC-12646</t>
  </si>
  <si>
    <t>CUST-52646</t>
  </si>
  <si>
    <t>Gregory Wood</t>
  </si>
  <si>
    <t>ACT-03776</t>
  </si>
  <si>
    <t>eowens@example.net</t>
  </si>
  <si>
    <t>NE04 1GQ</t>
  </si>
  <si>
    <t>ACT-03777</t>
  </si>
  <si>
    <t>ACC-12647</t>
  </si>
  <si>
    <t>CUST-52647</t>
  </si>
  <si>
    <t>Owen Green</t>
  </si>
  <si>
    <t>ACT-03778</t>
  </si>
  <si>
    <t>ACT-03779</t>
  </si>
  <si>
    <t>dennis99@example.org</t>
  </si>
  <si>
    <t>KA4A 2YW</t>
  </si>
  <si>
    <t>ACC-12648</t>
  </si>
  <si>
    <t>CUST-52648</t>
  </si>
  <si>
    <t>Derek Holmes</t>
  </si>
  <si>
    <t>ACT-03780</t>
  </si>
  <si>
    <t>jmoss@example.com</t>
  </si>
  <si>
    <t>L07 7BT</t>
  </si>
  <si>
    <t>ACT-03781</t>
  </si>
  <si>
    <t>ACC-12649</t>
  </si>
  <si>
    <t>CUST-52649</t>
  </si>
  <si>
    <t>Charlene Webb</t>
  </si>
  <si>
    <t>ACT-03782</t>
  </si>
  <si>
    <t>oliverburke@example.com</t>
  </si>
  <si>
    <t>E9G 2WL</t>
  </si>
  <si>
    <t>ACC-12650</t>
  </si>
  <si>
    <t>CUST-52650</t>
  </si>
  <si>
    <t>Andrea Davis</t>
  </si>
  <si>
    <t>ACT-03783</t>
  </si>
  <si>
    <t>carl36@example.org</t>
  </si>
  <si>
    <t>E4 5ET</t>
  </si>
  <si>
    <t>ACC-12651</t>
  </si>
  <si>
    <t>CUST-52651</t>
  </si>
  <si>
    <t>ACT-03784</t>
  </si>
  <si>
    <t>Dr Hannah Martin</t>
  </si>
  <si>
    <t>glenn98@example.com</t>
  </si>
  <si>
    <t>N2 5GD</t>
  </si>
  <si>
    <t>ACC-12652</t>
  </si>
  <si>
    <t>CUST-52652</t>
  </si>
  <si>
    <t>Dr Ben Davies</t>
  </si>
  <si>
    <t>ACT-03785</t>
  </si>
  <si>
    <t>jeffrey00@example.net</t>
  </si>
  <si>
    <t>B1 3GL</t>
  </si>
  <si>
    <t>ACT-03786</t>
  </si>
  <si>
    <t>ACC-12653</t>
  </si>
  <si>
    <t>CUST-52653</t>
  </si>
  <si>
    <t>Dr Bradley Williams</t>
  </si>
  <si>
    <t>ACT-03787</t>
  </si>
  <si>
    <t>G0 5XA</t>
  </si>
  <si>
    <t>ACT-03788</t>
  </si>
  <si>
    <t>ACC-12654</t>
  </si>
  <si>
    <t>CUST-52654</t>
  </si>
  <si>
    <t>Miss Joan Knight</t>
  </si>
  <si>
    <t>ACT-03789</t>
  </si>
  <si>
    <t>ruthholmes@example.com</t>
  </si>
  <si>
    <t>E7G 8PE</t>
  </si>
  <si>
    <t>ACC-12655</t>
  </si>
  <si>
    <t>CUST-52655</t>
  </si>
  <si>
    <t>Henry Owens</t>
  </si>
  <si>
    <t>ACT-03790</t>
  </si>
  <si>
    <t>hudsonjayne@example.org</t>
  </si>
  <si>
    <t>E2 0JS</t>
  </si>
  <si>
    <t>ACC-12656</t>
  </si>
  <si>
    <t>CUST-52656</t>
  </si>
  <si>
    <t>Hilary Day</t>
  </si>
  <si>
    <t>ACT-03791</t>
  </si>
  <si>
    <t>mollyhughes@example.com</t>
  </si>
  <si>
    <t>W1 9QX</t>
  </si>
  <si>
    <t>ACC-12657</t>
  </si>
  <si>
    <t>CUST-52657</t>
  </si>
  <si>
    <t>Mr Maurice Hill</t>
  </si>
  <si>
    <t>louise30@example.org</t>
  </si>
  <si>
    <t>G97 6YS</t>
  </si>
  <si>
    <t>ACT-03792</t>
  </si>
  <si>
    <t>ACC-12658</t>
  </si>
  <si>
    <t>CUST-52658</t>
  </si>
  <si>
    <t>Joan Smith</t>
  </si>
  <si>
    <t>ACT-03793</t>
  </si>
  <si>
    <t>natalieporter@example.net</t>
  </si>
  <si>
    <t>TQ2 7AU</t>
  </si>
  <si>
    <t>ACC-12659</t>
  </si>
  <si>
    <t>CUST-52659</t>
  </si>
  <si>
    <t>Mr Kieran Hayward</t>
  </si>
  <si>
    <t>ACT-03794</t>
  </si>
  <si>
    <t>uwalters@example.com</t>
  </si>
  <si>
    <t>M79 4RX</t>
  </si>
  <si>
    <t>ACT-03795</t>
  </si>
  <si>
    <t>ACC-12660</t>
  </si>
  <si>
    <t>CUST-52660</t>
  </si>
  <si>
    <t>Naomi Sharpe</t>
  </si>
  <si>
    <t>ACT-03796</t>
  </si>
  <si>
    <t>woodsmarilyn@example.com</t>
  </si>
  <si>
    <t>L81 5FP</t>
  </si>
  <si>
    <t>ACT-03797</t>
  </si>
  <si>
    <t>ACC-12661</t>
  </si>
  <si>
    <t>CUST-52661</t>
  </si>
  <si>
    <t>Kenneth Berry</t>
  </si>
  <si>
    <t>janice47@example.com</t>
  </si>
  <si>
    <t>ACT-03798</t>
  </si>
  <si>
    <t>CR69 8PU</t>
  </si>
  <si>
    <t>ACC-12662</t>
  </si>
  <si>
    <t>CUST-52662</t>
  </si>
  <si>
    <t>Luke Ward</t>
  </si>
  <si>
    <t>ACT-03799</t>
  </si>
  <si>
    <t>WR22 1FD</t>
  </si>
  <si>
    <t>ACT-03800</t>
  </si>
  <si>
    <t>ACC-12663</t>
  </si>
  <si>
    <t>CUST-52663</t>
  </si>
  <si>
    <t>Sara Turner</t>
  </si>
  <si>
    <t>ifisher@example.com</t>
  </si>
  <si>
    <t>ACT-03801</t>
  </si>
  <si>
    <t>DG3E 5JG</t>
  </si>
  <si>
    <t>ACC-12664</t>
  </si>
  <si>
    <t>CUST-52664</t>
  </si>
  <si>
    <t>Harry Mistry</t>
  </si>
  <si>
    <t>ACT-03802</t>
  </si>
  <si>
    <t>jadeprice@example.com</t>
  </si>
  <si>
    <t>E9C 8SY</t>
  </si>
  <si>
    <t>ACC-12665</t>
  </si>
  <si>
    <t>CUST-52665</t>
  </si>
  <si>
    <t>Jonathan Davies</t>
  </si>
  <si>
    <t>ACT-03803</t>
  </si>
  <si>
    <t>joneskim@example.org</t>
  </si>
  <si>
    <t>N2 3TT</t>
  </si>
  <si>
    <t>ACT-03804</t>
  </si>
  <si>
    <t>ACC-12666</t>
  </si>
  <si>
    <t>CUST-52666</t>
  </si>
  <si>
    <t>Harriet Barker-Oliver</t>
  </si>
  <si>
    <t>hayleywhite@example.net</t>
  </si>
  <si>
    <t>M1S 7ZE</t>
  </si>
  <si>
    <t>ACT-03805</t>
  </si>
  <si>
    <t>ACC-12667</t>
  </si>
  <si>
    <t>CUST-52667</t>
  </si>
  <si>
    <t>Brenda Ward</t>
  </si>
  <si>
    <t>ACT-03806</t>
  </si>
  <si>
    <t>victorryan@example.net</t>
  </si>
  <si>
    <t>IV35 8QW</t>
  </si>
  <si>
    <t>ACT-03807</t>
  </si>
  <si>
    <t>ACC-12668</t>
  </si>
  <si>
    <t>CUST-52668</t>
  </si>
  <si>
    <t>Mrs Kayleigh Thomson</t>
  </si>
  <si>
    <t>ACT-03808</t>
  </si>
  <si>
    <t>sheppardnorman@example.org</t>
  </si>
  <si>
    <t>ACT-03809</t>
  </si>
  <si>
    <t>IG7V 4FN</t>
  </si>
  <si>
    <t>ACC-12669</t>
  </si>
  <si>
    <t>ACT-03810</t>
  </si>
  <si>
    <t>CUST-52669</t>
  </si>
  <si>
    <t>Michael Bailey</t>
  </si>
  <si>
    <t>ACT-03811</t>
  </si>
  <si>
    <t>maykaren@example.net</t>
  </si>
  <si>
    <t>KW3 7ZU</t>
  </si>
  <si>
    <t>ACT-03812</t>
  </si>
  <si>
    <t>ACC-12670</t>
  </si>
  <si>
    <t>CUST-52670</t>
  </si>
  <si>
    <t>Timothy Hanson-Hunt</t>
  </si>
  <si>
    <t>ACT-03813</t>
  </si>
  <si>
    <t>thomasrita@example.net</t>
  </si>
  <si>
    <t>ACT-03814</t>
  </si>
  <si>
    <t>S7K 4RB</t>
  </si>
  <si>
    <t>ACC-12671</t>
  </si>
  <si>
    <t>CUST-52671</t>
  </si>
  <si>
    <t>Matthew Abbott</t>
  </si>
  <si>
    <t>ACT-03815</t>
  </si>
  <si>
    <t>ACT-03816</t>
  </si>
  <si>
    <t>allenmaria@example.com</t>
  </si>
  <si>
    <t>M4 2LT</t>
  </si>
  <si>
    <t>ACC-12672</t>
  </si>
  <si>
    <t>CUST-52672</t>
  </si>
  <si>
    <t>Marian Rowe</t>
  </si>
  <si>
    <t>ACT-03817</t>
  </si>
  <si>
    <t>ronaldpearson@example.org</t>
  </si>
  <si>
    <t>LE92 5LW</t>
  </si>
  <si>
    <t>ACT-03818</t>
  </si>
  <si>
    <t>ACC-12673</t>
  </si>
  <si>
    <t>CUST-52673</t>
  </si>
  <si>
    <t>Dean Nicholson</t>
  </si>
  <si>
    <t>pbibi@example.net</t>
  </si>
  <si>
    <t>ACT-03819</t>
  </si>
  <si>
    <t>M8 5QD</t>
  </si>
  <si>
    <t>ACC-12674</t>
  </si>
  <si>
    <t>CUST-52674</t>
  </si>
  <si>
    <t>Geoffrey Walton</t>
  </si>
  <si>
    <t>joelmorris@example.net</t>
  </si>
  <si>
    <t>ACT-03820</t>
  </si>
  <si>
    <t>SN5V 2WL</t>
  </si>
  <si>
    <t>ACC-12675</t>
  </si>
  <si>
    <t>CUST-52675</t>
  </si>
  <si>
    <t>Janet Parry-Lee</t>
  </si>
  <si>
    <t>ACT-03821</t>
  </si>
  <si>
    <t>murraystacey@example.net</t>
  </si>
  <si>
    <t>KW53 8EQ</t>
  </si>
  <si>
    <t>ACT-03822</t>
  </si>
  <si>
    <t>ACC-12676</t>
  </si>
  <si>
    <t>CUST-52676</t>
  </si>
  <si>
    <t>Christine Stephens-Wood</t>
  </si>
  <si>
    <t>nroberts@example.org</t>
  </si>
  <si>
    <t>ACT-03823</t>
  </si>
  <si>
    <t>N4 9SW</t>
  </si>
  <si>
    <t>ACC-12677</t>
  </si>
  <si>
    <t>CUST-52677</t>
  </si>
  <si>
    <t>Eleanor Johnson</t>
  </si>
  <si>
    <t>ACT-03824</t>
  </si>
  <si>
    <t>youngfrank@example.com</t>
  </si>
  <si>
    <t>W0 3DD</t>
  </si>
  <si>
    <t>ACC-12678</t>
  </si>
  <si>
    <t>CUST-52678</t>
  </si>
  <si>
    <t>ACT-03825</t>
  </si>
  <si>
    <t>Ruth Thorpe</t>
  </si>
  <si>
    <t>denisscott@example.net</t>
  </si>
  <si>
    <t>N1 6PL</t>
  </si>
  <si>
    <t>ACT-03826</t>
  </si>
  <si>
    <t>ACC-12679</t>
  </si>
  <si>
    <t>CUST-52679</t>
  </si>
  <si>
    <t>Dr Diane Robinson</t>
  </si>
  <si>
    <t>ACT-03827</t>
  </si>
  <si>
    <t>jmurphy@example.com</t>
  </si>
  <si>
    <t>SR5X 4FE</t>
  </si>
  <si>
    <t>ACC-12680</t>
  </si>
  <si>
    <t>CUST-52680</t>
  </si>
  <si>
    <t>Dr Matthew Cox</t>
  </si>
  <si>
    <t>ACT-03828</t>
  </si>
  <si>
    <t>ujones@example.org</t>
  </si>
  <si>
    <t>S57 1TX</t>
  </si>
  <si>
    <t>ACC-12681</t>
  </si>
  <si>
    <t>CUST-52681</t>
  </si>
  <si>
    <t>Molly Brookes</t>
  </si>
  <si>
    <t>ACT-03829</t>
  </si>
  <si>
    <t>HX38 9FS</t>
  </si>
  <si>
    <t>ACC-12682</t>
  </si>
  <si>
    <t>ACT-03830</t>
  </si>
  <si>
    <t>CUST-52682</t>
  </si>
  <si>
    <t>Shirley Howell</t>
  </si>
  <si>
    <t>chloeharrison@example.com</t>
  </si>
  <si>
    <t>ACT-03831</t>
  </si>
  <si>
    <t>LL7 9NB</t>
  </si>
  <si>
    <t>ACC-12683</t>
  </si>
  <si>
    <t>CUST-52683</t>
  </si>
  <si>
    <t>Dr Alan Thompson</t>
  </si>
  <si>
    <t>ACT-03832</t>
  </si>
  <si>
    <t>uadams@example.com</t>
  </si>
  <si>
    <t>NE3X 9BE</t>
  </si>
  <si>
    <t>ACT-03833</t>
  </si>
  <si>
    <t>ACC-12684</t>
  </si>
  <si>
    <t>CUST-52684</t>
  </si>
  <si>
    <t>Miss Barbara Sullivan</t>
  </si>
  <si>
    <t>ACT-03834</t>
  </si>
  <si>
    <t>oliverevans@example.org</t>
  </si>
  <si>
    <t>E5 4YY</t>
  </si>
  <si>
    <t>ACT-03835</t>
  </si>
  <si>
    <t>ACC-12685</t>
  </si>
  <si>
    <t>CUST-52685</t>
  </si>
  <si>
    <t>Mr Aaron Lewis</t>
  </si>
  <si>
    <t>ACT-03836</t>
  </si>
  <si>
    <t>shane12@example.com</t>
  </si>
  <si>
    <t>W0E 4YF</t>
  </si>
  <si>
    <t>ACT-03837</t>
  </si>
  <si>
    <t>ACC-12686</t>
  </si>
  <si>
    <t>CUST-52686</t>
  </si>
  <si>
    <t>Ms Anna Hall</t>
  </si>
  <si>
    <t>ACT-03838</t>
  </si>
  <si>
    <t>jasminetaylor@example.net</t>
  </si>
  <si>
    <t>M5E 3FS</t>
  </si>
  <si>
    <t>ACT-03839</t>
  </si>
  <si>
    <t>ACC-12687</t>
  </si>
  <si>
    <t>CUST-52687</t>
  </si>
  <si>
    <t>Mrs Bethany Glover</t>
  </si>
  <si>
    <t>ACT-03840</t>
  </si>
  <si>
    <t>lesley52@example.com</t>
  </si>
  <si>
    <t>G2S 9YN</t>
  </si>
  <si>
    <t>ACT-03841</t>
  </si>
  <si>
    <t>ACC-12688</t>
  </si>
  <si>
    <t>CUST-52688</t>
  </si>
  <si>
    <t>Mrs Abbie Thompson</t>
  </si>
  <si>
    <t>phillipsmargaret@example.org</t>
  </si>
  <si>
    <t>G8 6YR</t>
  </si>
  <si>
    <t>ACC-12689</t>
  </si>
  <si>
    <t>CUST-52689</t>
  </si>
  <si>
    <t>ACT-03842</t>
  </si>
  <si>
    <t>Victor Bowen</t>
  </si>
  <si>
    <t>ydavies@example.com</t>
  </si>
  <si>
    <t>HU0 6JU</t>
  </si>
  <si>
    <t>ACC-12690</t>
  </si>
  <si>
    <t>CUST-52690</t>
  </si>
  <si>
    <t>Stuart Taylor</t>
  </si>
  <si>
    <t>ACT-03843</t>
  </si>
  <si>
    <t>neil52@example.net</t>
  </si>
  <si>
    <t>DL1 3BW</t>
  </si>
  <si>
    <t>ACC-12691</t>
  </si>
  <si>
    <t>CUST-52691</t>
  </si>
  <si>
    <t>Carly Parker</t>
  </si>
  <si>
    <t>eknight@example.com</t>
  </si>
  <si>
    <t>ACT-03844</t>
  </si>
  <si>
    <t>CR8H 0PT</t>
  </si>
  <si>
    <t>ACC-12692</t>
  </si>
  <si>
    <t>CUST-52692</t>
  </si>
  <si>
    <t>Martyn Ali</t>
  </si>
  <si>
    <t>ACT-03845</t>
  </si>
  <si>
    <t>abigail51@example.net</t>
  </si>
  <si>
    <t>CH52 8AG</t>
  </si>
  <si>
    <t>ACC-12693</t>
  </si>
  <si>
    <t>CUST-52693</t>
  </si>
  <si>
    <t>Owen Jarvis</t>
  </si>
  <si>
    <t>ACT-03846</t>
  </si>
  <si>
    <t>daviesjessica@example.com</t>
  </si>
  <si>
    <t>N12 9SA</t>
  </si>
  <si>
    <t>ACT-03847</t>
  </si>
  <si>
    <t>ACC-12694</t>
  </si>
  <si>
    <t>CUST-52694</t>
  </si>
  <si>
    <t>Miss Janet Warren</t>
  </si>
  <si>
    <t>mariehowell@example.com</t>
  </si>
  <si>
    <t>IV15 5LH</t>
  </si>
  <si>
    <t>ACT-03848</t>
  </si>
  <si>
    <t>ACC-12695</t>
  </si>
  <si>
    <t>CUST-52695</t>
  </si>
  <si>
    <t>Dr Donald Wilson</t>
  </si>
  <si>
    <t>karen58@example.org</t>
  </si>
  <si>
    <t>HU89 6JB</t>
  </si>
  <si>
    <t>ACC-12696</t>
  </si>
  <si>
    <t>CUST-52696</t>
  </si>
  <si>
    <t>Francesca Dennis</t>
  </si>
  <si>
    <t>ACT-03849</t>
  </si>
  <si>
    <t>hwilliams@example.org</t>
  </si>
  <si>
    <t>M80 9AW</t>
  </si>
  <si>
    <t>ACC-12697</t>
  </si>
  <si>
    <t>CUST-52697</t>
  </si>
  <si>
    <t>Gail Cooper</t>
  </si>
  <si>
    <t>ACT-03850</t>
  </si>
  <si>
    <t>beverleyharris@example.com</t>
  </si>
  <si>
    <t>KA81 9AR</t>
  </si>
  <si>
    <t>ACC-12698</t>
  </si>
  <si>
    <t>CUST-52698</t>
  </si>
  <si>
    <t>Luke Lambert-Norman</t>
  </si>
  <si>
    <t>ACT-03851</t>
  </si>
  <si>
    <t>roywong@example.net</t>
  </si>
  <si>
    <t>M18 2GX</t>
  </si>
  <si>
    <t>ACC-12699</t>
  </si>
  <si>
    <t>CUST-52699</t>
  </si>
  <si>
    <t>Mr Harry Patel</t>
  </si>
  <si>
    <t>ACT-03852</t>
  </si>
  <si>
    <t>marshallsean@example.com</t>
  </si>
  <si>
    <t>M35 0HY</t>
  </si>
  <si>
    <t>ACC-12700</t>
  </si>
  <si>
    <t>ACT-03853</t>
  </si>
  <si>
    <t>CUST-52700</t>
  </si>
  <si>
    <t>Cameron Berry</t>
  </si>
  <si>
    <t>grahamlambert@example.net</t>
  </si>
  <si>
    <t>S8 0WZ</t>
  </si>
  <si>
    <t>ACT-03854</t>
  </si>
  <si>
    <t>ACC-12701</t>
  </si>
  <si>
    <t>CUST-52701</t>
  </si>
  <si>
    <t>Mr Ronald Jones</t>
  </si>
  <si>
    <t>dhicks@example.net</t>
  </si>
  <si>
    <t>HX2 5QP</t>
  </si>
  <si>
    <t>ACT-03855</t>
  </si>
  <si>
    <t>ACC-12702</t>
  </si>
  <si>
    <t>CUST-52702</t>
  </si>
  <si>
    <t>Lynne Campbell</t>
  </si>
  <si>
    <t>doddsophie@example.org</t>
  </si>
  <si>
    <t>KY1R 9RN</t>
  </si>
  <si>
    <t>ACT-03856</t>
  </si>
  <si>
    <t>ACC-12703</t>
  </si>
  <si>
    <t>CUST-52703</t>
  </si>
  <si>
    <t>Alice Carroll</t>
  </si>
  <si>
    <t>ACT-03857</t>
  </si>
  <si>
    <t>thompsonjeremy@example.net</t>
  </si>
  <si>
    <t>LA50 5GD</t>
  </si>
  <si>
    <t>ACT-03858</t>
  </si>
  <si>
    <t>ACC-12704</t>
  </si>
  <si>
    <t>CUST-52704</t>
  </si>
  <si>
    <t>Sheila Jones</t>
  </si>
  <si>
    <t>ACT-03859</t>
  </si>
  <si>
    <t>zoeparsons@example.org</t>
  </si>
  <si>
    <t>B4E 9HT</t>
  </si>
  <si>
    <t>ACT-03860</t>
  </si>
  <si>
    <t>ACC-12705</t>
  </si>
  <si>
    <t>CUST-52705</t>
  </si>
  <si>
    <t>Christopher Jones</t>
  </si>
  <si>
    <t>ACT-03861</t>
  </si>
  <si>
    <t>alexander10@example.org</t>
  </si>
  <si>
    <t>BA7Y 3XH</t>
  </si>
  <si>
    <t>ACT-03862</t>
  </si>
  <si>
    <t>ACC-12706</t>
  </si>
  <si>
    <t>CUST-52706</t>
  </si>
  <si>
    <t>Kathleen Kelly-Mitchell</t>
  </si>
  <si>
    <t>ACT-03863</t>
  </si>
  <si>
    <t>smithjamie@example.org</t>
  </si>
  <si>
    <t>ACT-03864</t>
  </si>
  <si>
    <t>CA1Y 4LT</t>
  </si>
  <si>
    <t>ACC-12707</t>
  </si>
  <si>
    <t>CUST-52707</t>
  </si>
  <si>
    <t>ACT-03865</t>
  </si>
  <si>
    <t>Miss Gemma Harris</t>
  </si>
  <si>
    <t>vfrancis@example.net</t>
  </si>
  <si>
    <t>ACT-03866</t>
  </si>
  <si>
    <t>FY21 0HB</t>
  </si>
  <si>
    <t>ACC-12708</t>
  </si>
  <si>
    <t>CUST-52708</t>
  </si>
  <si>
    <t>Karl Whitehead</t>
  </si>
  <si>
    <t>ACT-03867</t>
  </si>
  <si>
    <t>roger41@example.net</t>
  </si>
  <si>
    <t>ACT-03868</t>
  </si>
  <si>
    <t>BH7E 3PY</t>
  </si>
  <si>
    <t>ACC-12709</t>
  </si>
  <si>
    <t>CUST-52709</t>
  </si>
  <si>
    <t>Dr Harry Peacock</t>
  </si>
  <si>
    <t>ACT-03869</t>
  </si>
  <si>
    <t>wfleming@example.com</t>
  </si>
  <si>
    <t>ACT-03870</t>
  </si>
  <si>
    <t>WR9N 2FS</t>
  </si>
  <si>
    <t>ACC-12710</t>
  </si>
  <si>
    <t>CUST-52710</t>
  </si>
  <si>
    <t>Ms Holly Page</t>
  </si>
  <si>
    <t>ACT-03871</t>
  </si>
  <si>
    <t>bibibethany@example.com</t>
  </si>
  <si>
    <t>WF8R 9AP</t>
  </si>
  <si>
    <t>ACC-12711</t>
  </si>
  <si>
    <t>CUST-52711</t>
  </si>
  <si>
    <t>Carol Allen</t>
  </si>
  <si>
    <t>hurstsandra@example.net</t>
  </si>
  <si>
    <t>L09 6DA</t>
  </si>
  <si>
    <t>ACT-03872</t>
  </si>
  <si>
    <t>ACC-12712</t>
  </si>
  <si>
    <t>CUST-52712</t>
  </si>
  <si>
    <t>Miss Hayley Phillips</t>
  </si>
  <si>
    <t>S08 4TP</t>
  </si>
  <si>
    <t>ACC-12713</t>
  </si>
  <si>
    <t>CUST-52713</t>
  </si>
  <si>
    <t>ACT-03873</t>
  </si>
  <si>
    <t>Gavin Gould</t>
  </si>
  <si>
    <t>xwalker@example.com</t>
  </si>
  <si>
    <t>WR93 1AD</t>
  </si>
  <si>
    <t>ACC-12714</t>
  </si>
  <si>
    <t>CUST-52714</t>
  </si>
  <si>
    <t>Joel Barker-Allen</t>
  </si>
  <si>
    <t>ACT-03874</t>
  </si>
  <si>
    <t>russellheath@example.org</t>
  </si>
  <si>
    <t>W3F 4FP</t>
  </si>
  <si>
    <t>ACT-03875</t>
  </si>
  <si>
    <t>ACC-12715</t>
  </si>
  <si>
    <t>CUST-52715</t>
  </si>
  <si>
    <t>Leah Holland-Brookes</t>
  </si>
  <si>
    <t>ACT-03876</t>
  </si>
  <si>
    <t>yateslindsey@example.org</t>
  </si>
  <si>
    <t>M9 3YZ</t>
  </si>
  <si>
    <t>ACC-12716</t>
  </si>
  <si>
    <t>CUST-52716</t>
  </si>
  <si>
    <t>Karen Mistry</t>
  </si>
  <si>
    <t>franciswilliams@example.org</t>
  </si>
  <si>
    <t>MK0 9BX</t>
  </si>
  <si>
    <t>ACT-03877</t>
  </si>
  <si>
    <t>ACC-12717</t>
  </si>
  <si>
    <t>CUST-52717</t>
  </si>
  <si>
    <t>Gerald Anderson</t>
  </si>
  <si>
    <t>darren91@example.com</t>
  </si>
  <si>
    <t>ACT-03878</t>
  </si>
  <si>
    <t>BT56 7WJ</t>
  </si>
  <si>
    <t>ACC-12718</t>
  </si>
  <si>
    <t>CUST-52718</t>
  </si>
  <si>
    <t>Mrs Suzanne Cox</t>
  </si>
  <si>
    <t>lewis39@example.net</t>
  </si>
  <si>
    <t>LE0M 9PG</t>
  </si>
  <si>
    <t>ACT-03879</t>
  </si>
  <si>
    <t>ACC-12719</t>
  </si>
  <si>
    <t>CUST-52719</t>
  </si>
  <si>
    <t>Lauren Richards-Bray</t>
  </si>
  <si>
    <t>johnsonfrederick@example.org</t>
  </si>
  <si>
    <t>BN07 2SY</t>
  </si>
  <si>
    <t>ACT-03880</t>
  </si>
  <si>
    <t>ACC-12720</t>
  </si>
  <si>
    <t>CUST-52720</t>
  </si>
  <si>
    <t>Dr Julian Holt</t>
  </si>
  <si>
    <t>ACT-03881</t>
  </si>
  <si>
    <t>emily85@example.net</t>
  </si>
  <si>
    <t>S1U 4RJ</t>
  </si>
  <si>
    <t>ACC-12721</t>
  </si>
  <si>
    <t>CUST-52721</t>
  </si>
  <si>
    <t>Kevin Bell</t>
  </si>
  <si>
    <t>ACT-03882</t>
  </si>
  <si>
    <t>morrissian@example.org</t>
  </si>
  <si>
    <t>B37 0EU</t>
  </si>
  <si>
    <t>ACT-03883</t>
  </si>
  <si>
    <t>ACC-12722</t>
  </si>
  <si>
    <t>CUST-52722</t>
  </si>
  <si>
    <t>Natasha Patel</t>
  </si>
  <si>
    <t>ACT-03884</t>
  </si>
  <si>
    <t>slaterfrank@example.net</t>
  </si>
  <si>
    <t>ACC-12723</t>
  </si>
  <si>
    <t>CUST-52723</t>
  </si>
  <si>
    <t>Victor Hartley</t>
  </si>
  <si>
    <t>sarashah@example.org</t>
  </si>
  <si>
    <t>TN2 0HG</t>
  </si>
  <si>
    <t>ACT-03885</t>
  </si>
  <si>
    <t>ACC-12724</t>
  </si>
  <si>
    <t>CUST-52724</t>
  </si>
  <si>
    <t>Hugh Potts</t>
  </si>
  <si>
    <t>ACT-03886</t>
  </si>
  <si>
    <t>E2 8SZ</t>
  </si>
  <si>
    <t>ACC-12725</t>
  </si>
  <si>
    <t>CUST-52725</t>
  </si>
  <si>
    <t>Owen Smith</t>
  </si>
  <si>
    <t>ACT-03887</t>
  </si>
  <si>
    <t>B4U 5BL</t>
  </si>
  <si>
    <t>ACT-03888</t>
  </si>
  <si>
    <t>ACC-12726</t>
  </si>
  <si>
    <t>CUST-52726</t>
  </si>
  <si>
    <t>Ian Morrison</t>
  </si>
  <si>
    <t>williamsmalcolm@example.net</t>
  </si>
  <si>
    <t>AB9A 1HN</t>
  </si>
  <si>
    <t>ACT-03889</t>
  </si>
  <si>
    <t>ACC-12727</t>
  </si>
  <si>
    <t>CUST-52727</t>
  </si>
  <si>
    <t>Mrs Jasmine Murray</t>
  </si>
  <si>
    <t>ACT-03890</t>
  </si>
  <si>
    <t>colin79@example.com</t>
  </si>
  <si>
    <t>TW93 8NN</t>
  </si>
  <si>
    <t>ACC-12728</t>
  </si>
  <si>
    <t>CUST-52728</t>
  </si>
  <si>
    <t>ACT-03891</t>
  </si>
  <si>
    <t>Dr Trevor Perry</t>
  </si>
  <si>
    <t>samantha00@example.net</t>
  </si>
  <si>
    <t>L8G 2QL</t>
  </si>
  <si>
    <t>ACT-03892</t>
  </si>
  <si>
    <t>ACC-12729</t>
  </si>
  <si>
    <t>CUST-52729</t>
  </si>
  <si>
    <t>Ms Maria Webster</t>
  </si>
  <si>
    <t>ACT-03893</t>
  </si>
  <si>
    <t>gregoryclaire@example.org</t>
  </si>
  <si>
    <t>B3C 3HY</t>
  </si>
  <si>
    <t>ACT-03894</t>
  </si>
  <si>
    <t>ACC-12730</t>
  </si>
  <si>
    <t>CUST-52730</t>
  </si>
  <si>
    <t>Donald Kent</t>
  </si>
  <si>
    <t>ACT-03895</t>
  </si>
  <si>
    <t>reynoldsvincent@example.com</t>
  </si>
  <si>
    <t>N25 9HB</t>
  </si>
  <si>
    <t>ACC-12731</t>
  </si>
  <si>
    <t>CUST-52731</t>
  </si>
  <si>
    <t>Sean Barker</t>
  </si>
  <si>
    <t>ACT-03896</t>
  </si>
  <si>
    <t>dean87@example.com</t>
  </si>
  <si>
    <t>E8E 9LL</t>
  </si>
  <si>
    <t>ACT-03897</t>
  </si>
  <si>
    <t>ACC-12732</t>
  </si>
  <si>
    <t>CUST-52732</t>
  </si>
  <si>
    <t>Christian Shaw-Bryan</t>
  </si>
  <si>
    <t>ACT-03898</t>
  </si>
  <si>
    <t>dylan33@example.net</t>
  </si>
  <si>
    <t>E5 2UG</t>
  </si>
  <si>
    <t>ACC-12733</t>
  </si>
  <si>
    <t>CUST-52733</t>
  </si>
  <si>
    <t>Declan Francis</t>
  </si>
  <si>
    <t>ACT-03899</t>
  </si>
  <si>
    <t>glengraham@example.com</t>
  </si>
  <si>
    <t>ACT-03900</t>
  </si>
  <si>
    <t>M39 0SN</t>
  </si>
  <si>
    <t>ACT-03901</t>
  </si>
  <si>
    <t>ACC-12734</t>
  </si>
  <si>
    <t>CUST-52734</t>
  </si>
  <si>
    <t>ACT-03902</t>
  </si>
  <si>
    <t>dennisgoodwin@example.org</t>
  </si>
  <si>
    <t>BS89 3SA</t>
  </si>
  <si>
    <t>ACC-12735</t>
  </si>
  <si>
    <t>CUST-52735</t>
  </si>
  <si>
    <t>Terence Walker</t>
  </si>
  <si>
    <t>ACT-03903</t>
  </si>
  <si>
    <t>owensmartyn@example.com</t>
  </si>
  <si>
    <t>DT02 0NY</t>
  </si>
  <si>
    <t>ACT-03904</t>
  </si>
  <si>
    <t>ACC-12736</t>
  </si>
  <si>
    <t>CUST-52736</t>
  </si>
  <si>
    <t>Stuart Gregory</t>
  </si>
  <si>
    <t>ACT-03905</t>
  </si>
  <si>
    <t>tomwalker@example.com</t>
  </si>
  <si>
    <t>HR01 8LJ</t>
  </si>
  <si>
    <t>ACC-12737</t>
  </si>
  <si>
    <t>CUST-52737</t>
  </si>
  <si>
    <t>ACT-03906</t>
  </si>
  <si>
    <t>Leslie Warren</t>
  </si>
  <si>
    <t>khowarth@example.net</t>
  </si>
  <si>
    <t>CB8B 0RS</t>
  </si>
  <si>
    <t>ACT-03907</t>
  </si>
  <si>
    <t>ACC-12738</t>
  </si>
  <si>
    <t>CUST-52738</t>
  </si>
  <si>
    <t>Denise Kirk-Mills</t>
  </si>
  <si>
    <t>ACT-03908</t>
  </si>
  <si>
    <t>hsmart@example.net</t>
  </si>
  <si>
    <t>BA9X 2WF</t>
  </si>
  <si>
    <t>ACT-03909</t>
  </si>
  <si>
    <t>ACC-12739</t>
  </si>
  <si>
    <t>CUST-52739</t>
  </si>
  <si>
    <t>Benjamin Clark</t>
  </si>
  <si>
    <t>ACT-03910</t>
  </si>
  <si>
    <t>russellsmith@example.org</t>
  </si>
  <si>
    <t>NN90 0TD</t>
  </si>
  <si>
    <t>ACC-12740</t>
  </si>
  <si>
    <t>CUST-52740</t>
  </si>
  <si>
    <t>Mr James Jackson</t>
  </si>
  <si>
    <t>vgreen@example.org</t>
  </si>
  <si>
    <t>ACT-03911</t>
  </si>
  <si>
    <t>SR8 1GE</t>
  </si>
  <si>
    <t>ACC-12741</t>
  </si>
  <si>
    <t>CUST-52741</t>
  </si>
  <si>
    <t>Hollie O'Brien</t>
  </si>
  <si>
    <t>hsykes@example.net</t>
  </si>
  <si>
    <t>G91 9PH</t>
  </si>
  <si>
    <t>ACT-03912</t>
  </si>
  <si>
    <t>ACC-12742</t>
  </si>
  <si>
    <t>CUST-52742</t>
  </si>
  <si>
    <t>Karen Bishop</t>
  </si>
  <si>
    <t>turnernigel@example.com</t>
  </si>
  <si>
    <t>ACT-03913</t>
  </si>
  <si>
    <t>AL9 1SJ</t>
  </si>
  <si>
    <t>ACC-12743</t>
  </si>
  <si>
    <t>CUST-52743</t>
  </si>
  <si>
    <t>Philip Jenkins</t>
  </si>
  <si>
    <t>ACT-03914</t>
  </si>
  <si>
    <t>jay44@example.net</t>
  </si>
  <si>
    <t>B7D 3JG</t>
  </si>
  <si>
    <t>ACT-03915</t>
  </si>
  <si>
    <t>ACC-12744</t>
  </si>
  <si>
    <t>CUST-52744</t>
  </si>
  <si>
    <t>Anne Hayes</t>
  </si>
  <si>
    <t>qnelson@example.com</t>
  </si>
  <si>
    <t>ACT-03916</t>
  </si>
  <si>
    <t>S32 5US</t>
  </si>
  <si>
    <t>ACC-12745</t>
  </si>
  <si>
    <t>CUST-52745</t>
  </si>
  <si>
    <t>Declan Howard</t>
  </si>
  <si>
    <t>ACT-03917</t>
  </si>
  <si>
    <t>gevans@example.com</t>
  </si>
  <si>
    <t>G5J 1GN</t>
  </si>
  <si>
    <t>ACC-12746</t>
  </si>
  <si>
    <t>ACT-03918</t>
  </si>
  <si>
    <t>CUST-52746</t>
  </si>
  <si>
    <t>Mr Josh Phillips</t>
  </si>
  <si>
    <t>jenniferball@example.net</t>
  </si>
  <si>
    <t>SR4 9WT</t>
  </si>
  <si>
    <t>ACT-03919</t>
  </si>
  <si>
    <t>ACC-12747</t>
  </si>
  <si>
    <t>CUST-52747</t>
  </si>
  <si>
    <t>Mr Anthony Warren</t>
  </si>
  <si>
    <t>ACT-03920</t>
  </si>
  <si>
    <t>katherine01@example.org</t>
  </si>
  <si>
    <t>BS8 3EU</t>
  </si>
  <si>
    <t>ACC-12748</t>
  </si>
  <si>
    <t>CUST-52748</t>
  </si>
  <si>
    <t>Margaret Dunn</t>
  </si>
  <si>
    <t>carolerandall@example.org</t>
  </si>
  <si>
    <t>BS74 3EA</t>
  </si>
  <si>
    <t>ACC-12749</t>
  </si>
  <si>
    <t>ACT-03921</t>
  </si>
  <si>
    <t>CUST-52749</t>
  </si>
  <si>
    <t>Hazel Johnston-Gregory</t>
  </si>
  <si>
    <t>mauricetaylor@example.net</t>
  </si>
  <si>
    <t>HS6 5QN</t>
  </si>
  <si>
    <t>ACC-12750</t>
  </si>
  <si>
    <t>CUST-52750</t>
  </si>
  <si>
    <t>Andrew Parker</t>
  </si>
  <si>
    <t>lburton@example.org</t>
  </si>
  <si>
    <t>ACT-03922</t>
  </si>
  <si>
    <t>SO8P 4LJ</t>
  </si>
  <si>
    <t>ACC-12751</t>
  </si>
  <si>
    <t>CUST-52751</t>
  </si>
  <si>
    <t>Russell Perry-Wall</t>
  </si>
  <si>
    <t>walkerfrank@example.org</t>
  </si>
  <si>
    <t>E99 9DL</t>
  </si>
  <si>
    <t>ACC-12752</t>
  </si>
  <si>
    <t>CUST-52752</t>
  </si>
  <si>
    <t>Georgia Webb</t>
  </si>
  <si>
    <t>ACT-03923</t>
  </si>
  <si>
    <t>CM6 5LW</t>
  </si>
  <si>
    <t>ACT-03924</t>
  </si>
  <si>
    <t>ACC-12753</t>
  </si>
  <si>
    <t>CUST-52753</t>
  </si>
  <si>
    <t>Shannon Stevenson</t>
  </si>
  <si>
    <t>ACT-03925</t>
  </si>
  <si>
    <t>wpoole@example.org</t>
  </si>
  <si>
    <t>E20 7BH</t>
  </si>
  <si>
    <t>ACC-12754</t>
  </si>
  <si>
    <t>CUST-52754</t>
  </si>
  <si>
    <t>Caroline Kelly</t>
  </si>
  <si>
    <t>ACT-03926</t>
  </si>
  <si>
    <t>ebell@example.net</t>
  </si>
  <si>
    <t>SW3 6SH</t>
  </si>
  <si>
    <t>ACC-12755</t>
  </si>
  <si>
    <t>ACT-03927</t>
  </si>
  <si>
    <t>CUST-52755</t>
  </si>
  <si>
    <t>Leslie Henderson</t>
  </si>
  <si>
    <t>ACT-03928</t>
  </si>
  <si>
    <t>barbara84@example.org</t>
  </si>
  <si>
    <t>G91 2DQ</t>
  </si>
  <si>
    <t>ACC-12756</t>
  </si>
  <si>
    <t>CUST-52756</t>
  </si>
  <si>
    <t>Miss Jessica Cox</t>
  </si>
  <si>
    <t>ACT-03929</t>
  </si>
  <si>
    <t>cookeclaire@example.org</t>
  </si>
  <si>
    <t>ACT-03930</t>
  </si>
  <si>
    <t>E6J 8TU</t>
  </si>
  <si>
    <t>ACT-03931</t>
  </si>
  <si>
    <t>ACC-12757</t>
  </si>
  <si>
    <t>CUST-52757</t>
  </si>
  <si>
    <t>Mr Dominic Riley</t>
  </si>
  <si>
    <t>ihill@example.org</t>
  </si>
  <si>
    <t>ACT-03932</t>
  </si>
  <si>
    <t>DA7P 3XS</t>
  </si>
  <si>
    <t>ACC-12758</t>
  </si>
  <si>
    <t>CUST-52758</t>
  </si>
  <si>
    <t>Craig Poole</t>
  </si>
  <si>
    <t>ACT-03933</t>
  </si>
  <si>
    <t>rileysarah@example.org</t>
  </si>
  <si>
    <t>E1G 1ZN</t>
  </si>
  <si>
    <t>ACT-03934</t>
  </si>
  <si>
    <t>ACC-12759</t>
  </si>
  <si>
    <t>CUST-52759</t>
  </si>
  <si>
    <t>Mr Dylan Perkins</t>
  </si>
  <si>
    <t>charlie66@example.com</t>
  </si>
  <si>
    <t>S9 7SL</t>
  </si>
  <si>
    <t>ACT-03935</t>
  </si>
  <si>
    <t>ACC-12760</t>
  </si>
  <si>
    <t>CUST-52760</t>
  </si>
  <si>
    <t>Jemma Cook</t>
  </si>
  <si>
    <t>ACT-03936</t>
  </si>
  <si>
    <t>jgreen@example.net</t>
  </si>
  <si>
    <t>DE0 3PY</t>
  </si>
  <si>
    <t>ACC-12761</t>
  </si>
  <si>
    <t>CUST-52761</t>
  </si>
  <si>
    <t>Bernard Scott-Jones</t>
  </si>
  <si>
    <t>ACT-03937</t>
  </si>
  <si>
    <t>fosterjoseph@example.org</t>
  </si>
  <si>
    <t>ML1Y 3FY</t>
  </si>
  <si>
    <t>ACT-03938</t>
  </si>
  <si>
    <t>ACC-12762</t>
  </si>
  <si>
    <t>CUST-52762</t>
  </si>
  <si>
    <t>Norman Burke</t>
  </si>
  <si>
    <t>carolynharvey@example.org</t>
  </si>
  <si>
    <t>ACT-03939</t>
  </si>
  <si>
    <t>B82 9YX</t>
  </si>
  <si>
    <t>ACC-12763</t>
  </si>
  <si>
    <t>CUST-52763</t>
  </si>
  <si>
    <t>Tom Turner</t>
  </si>
  <si>
    <t>ACT-03940</t>
  </si>
  <si>
    <t>lwilliams@example.org</t>
  </si>
  <si>
    <t>SW3 0UU</t>
  </si>
  <si>
    <t>ACC-12764</t>
  </si>
  <si>
    <t>ACT-03941</t>
  </si>
  <si>
    <t>CUST-52764</t>
  </si>
  <si>
    <t>Diane Moore</t>
  </si>
  <si>
    <t>robinsonpamela@example.org</t>
  </si>
  <si>
    <t>L06 2UD</t>
  </si>
  <si>
    <t>ACT-03942</t>
  </si>
  <si>
    <t>ACC-12765</t>
  </si>
  <si>
    <t>CUST-52765</t>
  </si>
  <si>
    <t>Olivia Collins-Richards</t>
  </si>
  <si>
    <t>ACT-03943</t>
  </si>
  <si>
    <t>paulrichards@example.org</t>
  </si>
  <si>
    <t>S4K 0AE</t>
  </si>
  <si>
    <t>ACC-12766</t>
  </si>
  <si>
    <t>CUST-52766</t>
  </si>
  <si>
    <t>Leonard Allan</t>
  </si>
  <si>
    <t>ACT-03944</t>
  </si>
  <si>
    <t>N0 6SJ</t>
  </si>
  <si>
    <t>ACC-12767</t>
  </si>
  <si>
    <t>CUST-52767</t>
  </si>
  <si>
    <t>Ms Kimberley Marshall</t>
  </si>
  <si>
    <t>antonylawson@example.com</t>
  </si>
  <si>
    <t>M4K 4XF</t>
  </si>
  <si>
    <t>ACT-03945</t>
  </si>
  <si>
    <t>ACC-12768</t>
  </si>
  <si>
    <t>CUST-52768</t>
  </si>
  <si>
    <t>Nigel Walters</t>
  </si>
  <si>
    <t>ashley08@example.net</t>
  </si>
  <si>
    <t>E2 4XB</t>
  </si>
  <si>
    <t>ACC-12769</t>
  </si>
  <si>
    <t>ACT-03946</t>
  </si>
  <si>
    <t>CUST-52769</t>
  </si>
  <si>
    <t>Dr Leon Watson</t>
  </si>
  <si>
    <t>cpowell@example.com</t>
  </si>
  <si>
    <t>HA72 7JF</t>
  </si>
  <si>
    <t>ACC-12770</t>
  </si>
  <si>
    <t>ACT-03947</t>
  </si>
  <si>
    <t>CUST-52770</t>
  </si>
  <si>
    <t>Timothy Barker-Hanson</t>
  </si>
  <si>
    <t>ydavies@example.net</t>
  </si>
  <si>
    <t>CW11 9GZ</t>
  </si>
  <si>
    <t>ACT-03948</t>
  </si>
  <si>
    <t>ACC-12771</t>
  </si>
  <si>
    <t>CUST-52771</t>
  </si>
  <si>
    <t>Sandra Parker</t>
  </si>
  <si>
    <t>adavison@example.com</t>
  </si>
  <si>
    <t>S3T 4PR</t>
  </si>
  <si>
    <t>ACC-12772</t>
  </si>
  <si>
    <t>CUST-52772</t>
  </si>
  <si>
    <t>Mrs Carly Nelson</t>
  </si>
  <si>
    <t>ACT-03949</t>
  </si>
  <si>
    <t>douglasdeborah@example.net</t>
  </si>
  <si>
    <t>E4D 4WB</t>
  </si>
  <si>
    <t>ACC-12773</t>
  </si>
  <si>
    <t>CUST-52773</t>
  </si>
  <si>
    <t>Miss Lynn Brown</t>
  </si>
  <si>
    <t>ACT-03950</t>
  </si>
  <si>
    <t>woodsteven@example.org</t>
  </si>
  <si>
    <t>NN4E 9QU</t>
  </si>
  <si>
    <t>ACC-12774</t>
  </si>
  <si>
    <t>CUST-52774</t>
  </si>
  <si>
    <t>Jane Harrison-Hall</t>
  </si>
  <si>
    <t>ACT-03951</t>
  </si>
  <si>
    <t>brooksderek@example.net</t>
  </si>
  <si>
    <t>WV41 5GG</t>
  </si>
  <si>
    <t>ACC-12775</t>
  </si>
  <si>
    <t>CUST-52775</t>
  </si>
  <si>
    <t>Tony Kaur-Ford</t>
  </si>
  <si>
    <t>ACT-03952</t>
  </si>
  <si>
    <t>fthornton@example.org</t>
  </si>
  <si>
    <t>CF8P 2JR</t>
  </si>
  <si>
    <t>ACC-12776</t>
  </si>
  <si>
    <t>CUST-52776</t>
  </si>
  <si>
    <t>Elizabeth Fraser</t>
  </si>
  <si>
    <t>gillian81@example.net</t>
  </si>
  <si>
    <t>ACT-03953</t>
  </si>
  <si>
    <t>RM5Y 8TU</t>
  </si>
  <si>
    <t>ACC-12777</t>
  </si>
  <si>
    <t>CUST-52777</t>
  </si>
  <si>
    <t>Shane Nicholls</t>
  </si>
  <si>
    <t>wlewis@example.net</t>
  </si>
  <si>
    <t>TS25 9XU</t>
  </si>
  <si>
    <t>ACT-03954</t>
  </si>
  <si>
    <t>ACC-12778</t>
  </si>
  <si>
    <t>CUST-52778</t>
  </si>
  <si>
    <t>Jake Ellis</t>
  </si>
  <si>
    <t>mooredanielle@example.net</t>
  </si>
  <si>
    <t>ACT-03955</t>
  </si>
  <si>
    <t>WF64 2HH</t>
  </si>
  <si>
    <t>ACC-12779</t>
  </si>
  <si>
    <t>ACT-03956</t>
  </si>
  <si>
    <t>CUST-52779</t>
  </si>
  <si>
    <t>Georgia Watkins</t>
  </si>
  <si>
    <t>jamie51@example.org</t>
  </si>
  <si>
    <t>N98 2JE</t>
  </si>
  <si>
    <t>ACT-03957</t>
  </si>
  <si>
    <t>ACC-12780</t>
  </si>
  <si>
    <t>CUST-52780</t>
  </si>
  <si>
    <t>Dr Kenneth Power</t>
  </si>
  <si>
    <t>clarehoward@example.com</t>
  </si>
  <si>
    <t>G8 3GY</t>
  </si>
  <si>
    <t>ACC-12781</t>
  </si>
  <si>
    <t>CUST-52781</t>
  </si>
  <si>
    <t>ACT-03958</t>
  </si>
  <si>
    <t>Holly Oliver</t>
  </si>
  <si>
    <t>M55 8GS</t>
  </si>
  <si>
    <t>ACC-12782</t>
  </si>
  <si>
    <t>CUST-52782</t>
  </si>
  <si>
    <t>Mark Dean</t>
  </si>
  <si>
    <t>ACT-03959</t>
  </si>
  <si>
    <t>robertchapman@example.net</t>
  </si>
  <si>
    <t>S9J 5AQ</t>
  </si>
  <si>
    <t>ACC-12783</t>
  </si>
  <si>
    <t>CUST-52783</t>
  </si>
  <si>
    <t>Lucy Ali</t>
  </si>
  <si>
    <t>ACT-03960</t>
  </si>
  <si>
    <t>timothy91@example.net</t>
  </si>
  <si>
    <t>GY1 6JY</t>
  </si>
  <si>
    <t>ACC-12784</t>
  </si>
  <si>
    <t>CUST-52784</t>
  </si>
  <si>
    <t>Victor White-Abbott</t>
  </si>
  <si>
    <t>xobrien@example.net</t>
  </si>
  <si>
    <t>S2T 8SQ</t>
  </si>
  <si>
    <t>ACC-12785</t>
  </si>
  <si>
    <t>ACT-03961</t>
  </si>
  <si>
    <t>CUST-52785</t>
  </si>
  <si>
    <t>Mrs Tracy Jones</t>
  </si>
  <si>
    <t>dhumphries@example.com</t>
  </si>
  <si>
    <t>L8 7YW</t>
  </si>
  <si>
    <t>ACC-12786</t>
  </si>
  <si>
    <t>CUST-52786</t>
  </si>
  <si>
    <t>Mr Luke Pearce</t>
  </si>
  <si>
    <t>ACT-03962</t>
  </si>
  <si>
    <t>adriangreen@example.com</t>
  </si>
  <si>
    <t>N35 1GF</t>
  </si>
  <si>
    <t>ACT-03963</t>
  </si>
  <si>
    <t>ACC-12787</t>
  </si>
  <si>
    <t>CUST-52787</t>
  </si>
  <si>
    <t>Hannah King</t>
  </si>
  <si>
    <t>ACT-03964</t>
  </si>
  <si>
    <t>DL7H 8TL</t>
  </si>
  <si>
    <t>ACC-12788</t>
  </si>
  <si>
    <t>CUST-52788</t>
  </si>
  <si>
    <t>Daniel Short</t>
  </si>
  <si>
    <t>ACT-03965</t>
  </si>
  <si>
    <t>barbara23@example.net</t>
  </si>
  <si>
    <t>N19 9RN</t>
  </si>
  <si>
    <t>ACT-03966</t>
  </si>
  <si>
    <t>ACC-12789</t>
  </si>
  <si>
    <t>CUST-52789</t>
  </si>
  <si>
    <t>Carole O'Connor</t>
  </si>
  <si>
    <t>wrightabbie@example.net</t>
  </si>
  <si>
    <t>ACT-03967</t>
  </si>
  <si>
    <t>DH6V 7FN</t>
  </si>
  <si>
    <t>ACC-12790</t>
  </si>
  <si>
    <t>CUST-52790</t>
  </si>
  <si>
    <t>Simon Gibbs</t>
  </si>
  <si>
    <t>ACT-03968</t>
  </si>
  <si>
    <t>odonnellalan@example.com</t>
  </si>
  <si>
    <t>CH4A 1XD</t>
  </si>
  <si>
    <t>ACC-12791</t>
  </si>
  <si>
    <t>CUST-52791</t>
  </si>
  <si>
    <t>ACT-03969</t>
  </si>
  <si>
    <t>Damian Clark</t>
  </si>
  <si>
    <t>gregorythomas@example.org</t>
  </si>
  <si>
    <t>DL0 3RJ</t>
  </si>
  <si>
    <t>ACT-03970</t>
  </si>
  <si>
    <t>ACC-12792</t>
  </si>
  <si>
    <t>CUST-52792</t>
  </si>
  <si>
    <t>Billy Jones-Austin</t>
  </si>
  <si>
    <t>ACT-03971</t>
  </si>
  <si>
    <t>wrightshane@example.org</t>
  </si>
  <si>
    <t>N67 2RL</t>
  </si>
  <si>
    <t>ACC-12793</t>
  </si>
  <si>
    <t>CUST-52793</t>
  </si>
  <si>
    <t>Danielle Rose</t>
  </si>
  <si>
    <t>ACT-03972</t>
  </si>
  <si>
    <t>robertbegum@example.org</t>
  </si>
  <si>
    <t>L1U 3JA</t>
  </si>
  <si>
    <t>ACT-03973</t>
  </si>
  <si>
    <t>ACC-12794</t>
  </si>
  <si>
    <t>CUST-52794</t>
  </si>
  <si>
    <t>Ms Kelly Wright</t>
  </si>
  <si>
    <t>ACT-03974</t>
  </si>
  <si>
    <t>lesliethompson@example.com</t>
  </si>
  <si>
    <t>HX90 1AN</t>
  </si>
  <si>
    <t>ACT-03975</t>
  </si>
  <si>
    <t>ACC-12795</t>
  </si>
  <si>
    <t>CUST-52795</t>
  </si>
  <si>
    <t>ACT-03976</t>
  </si>
  <si>
    <t>Jodie Bradshaw-Campbell</t>
  </si>
  <si>
    <t>peterhall@example.org</t>
  </si>
  <si>
    <t>M0T 8SX</t>
  </si>
  <si>
    <t>ACT-03977</t>
  </si>
  <si>
    <t>ACC-12796</t>
  </si>
  <si>
    <t>CUST-52796</t>
  </si>
  <si>
    <t>Miss Sandra Johnson</t>
  </si>
  <si>
    <t>hilary81@example.com</t>
  </si>
  <si>
    <t>TR19 0EB</t>
  </si>
  <si>
    <t>ACC-12797</t>
  </si>
  <si>
    <t>CUST-52797</t>
  </si>
  <si>
    <t>ACT-03978</t>
  </si>
  <si>
    <t>Mandy Jones</t>
  </si>
  <si>
    <t>qmoore@example.org</t>
  </si>
  <si>
    <t>M5 9UX</t>
  </si>
  <si>
    <t>ACC-12798</t>
  </si>
  <si>
    <t>CUST-52798</t>
  </si>
  <si>
    <t>Barry Fraser</t>
  </si>
  <si>
    <t>ACT-03979</t>
  </si>
  <si>
    <t>lesliejames@example.com</t>
  </si>
  <si>
    <t>TN68 4WG</t>
  </si>
  <si>
    <t>ACC-12799</t>
  </si>
  <si>
    <t>CUST-52799</t>
  </si>
  <si>
    <t>Lesley Bailey</t>
  </si>
  <si>
    <t>ACT-03980</t>
  </si>
  <si>
    <t>fbrown@example.com</t>
  </si>
  <si>
    <t>BA7Y 5UJ</t>
  </si>
  <si>
    <t>ACC-12800</t>
  </si>
  <si>
    <t>CUST-52800</t>
  </si>
  <si>
    <t>Ryan Gray-Fisher</t>
  </si>
  <si>
    <t>ACT-03981</t>
  </si>
  <si>
    <t>meganallen@example.net</t>
  </si>
  <si>
    <t>SK7 9UE</t>
  </si>
  <si>
    <t>ACC-12801</t>
  </si>
  <si>
    <t>CUST-52801</t>
  </si>
  <si>
    <t>Joseph Mitchell</t>
  </si>
  <si>
    <t>ACT-03982</t>
  </si>
  <si>
    <t>meganmitchell@example.com</t>
  </si>
  <si>
    <t>TQ0R 1GJ</t>
  </si>
  <si>
    <t>ACC-12802</t>
  </si>
  <si>
    <t>CUST-52802</t>
  </si>
  <si>
    <t>Mr Joseph Nicholls</t>
  </si>
  <si>
    <t>ACT-03983</t>
  </si>
  <si>
    <t>dbrooks@example.net</t>
  </si>
  <si>
    <t>TW73 7NL</t>
  </si>
  <si>
    <t>ACC-12803</t>
  </si>
  <si>
    <t>CUST-52803</t>
  </si>
  <si>
    <t>Dr Stephen Kaur</t>
  </si>
  <si>
    <t>ACT-03984</t>
  </si>
  <si>
    <t>debraturner@example.com</t>
  </si>
  <si>
    <t>DD1 4PY</t>
  </si>
  <si>
    <t>ACT-03985</t>
  </si>
  <si>
    <t>ACC-12804</t>
  </si>
  <si>
    <t>CUST-52804</t>
  </si>
  <si>
    <t>Paula Nixon</t>
  </si>
  <si>
    <t>ACT-03986</t>
  </si>
  <si>
    <t>karl70@example.net</t>
  </si>
  <si>
    <t>ACT-03987</t>
  </si>
  <si>
    <t>RM89 8LY</t>
  </si>
  <si>
    <t>ACC-12805</t>
  </si>
  <si>
    <t>CUST-52805</t>
  </si>
  <si>
    <t>Adam Hughes</t>
  </si>
  <si>
    <t>ACT-03988</t>
  </si>
  <si>
    <t>pearcepaula@example.net</t>
  </si>
  <si>
    <t>ME4 7AZ</t>
  </si>
  <si>
    <t>ACC-12806</t>
  </si>
  <si>
    <t>CUST-52806</t>
  </si>
  <si>
    <t>ACT-03989</t>
  </si>
  <si>
    <t>Dr Carol Roberts</t>
  </si>
  <si>
    <t>geoffreywright@example.com</t>
  </si>
  <si>
    <t>G31 5PA</t>
  </si>
  <si>
    <t>ACT-03990</t>
  </si>
  <si>
    <t>ACC-12807</t>
  </si>
  <si>
    <t>CUST-52807</t>
  </si>
  <si>
    <t>Max Edwards</t>
  </si>
  <si>
    <t>ACT-03991</t>
  </si>
  <si>
    <t>deborahharrison@example.org</t>
  </si>
  <si>
    <t>ML5 9RE</t>
  </si>
  <si>
    <t>ACT-03992</t>
  </si>
  <si>
    <t>ACC-12808</t>
  </si>
  <si>
    <t>CUST-52808</t>
  </si>
  <si>
    <t>Jacob Chamberlain</t>
  </si>
  <si>
    <t>ACT-03993</t>
  </si>
  <si>
    <t>millertimothy@example.com</t>
  </si>
  <si>
    <t>L4 8HH</t>
  </si>
  <si>
    <t>ACC-12809</t>
  </si>
  <si>
    <t>ACT-03994</t>
  </si>
  <si>
    <t>CUST-52809</t>
  </si>
  <si>
    <t>Abdul Harrison</t>
  </si>
  <si>
    <t>johnsoncaroline@example.org</t>
  </si>
  <si>
    <t>ACT-03995</t>
  </si>
  <si>
    <t>G4C 9TL</t>
  </si>
  <si>
    <t>ACC-12810</t>
  </si>
  <si>
    <t>CUST-52810</t>
  </si>
  <si>
    <t>Max Morley</t>
  </si>
  <si>
    <t>ACT-03996</t>
  </si>
  <si>
    <t>gemma23@example.org</t>
  </si>
  <si>
    <t>WR74 6RL</t>
  </si>
  <si>
    <t>ACT-03997</t>
  </si>
  <si>
    <t>ACC-12811</t>
  </si>
  <si>
    <t>CUST-52811</t>
  </si>
  <si>
    <t>Dr Duncan Bradley</t>
  </si>
  <si>
    <t>ACT-03998</t>
  </si>
  <si>
    <t>jonesfrancesca@example.org</t>
  </si>
  <si>
    <t>W6 6QZ</t>
  </si>
  <si>
    <t>ACC-12812</t>
  </si>
  <si>
    <t>CUST-52812</t>
  </si>
  <si>
    <t>Paul Dodd</t>
  </si>
  <si>
    <t>ACT-03999</t>
  </si>
  <si>
    <t>laurawebster@example.com</t>
  </si>
  <si>
    <t>B97 5JR</t>
  </si>
  <si>
    <t>ACC-12813</t>
  </si>
  <si>
    <t>CUST-52813</t>
  </si>
  <si>
    <t>Leanne Mills</t>
  </si>
  <si>
    <t>ACT-04000</t>
  </si>
  <si>
    <t>skaur@example.org</t>
  </si>
  <si>
    <t>BH37 7JL</t>
  </si>
  <si>
    <t>ACC-12814</t>
  </si>
  <si>
    <t>CUST-52814</t>
  </si>
  <si>
    <t>Anna Hobbs</t>
  </si>
  <si>
    <t>sbrown@example.org</t>
  </si>
  <si>
    <t>DH96 0PD</t>
  </si>
  <si>
    <t>ACT-04001</t>
  </si>
  <si>
    <t>ACC-12815</t>
  </si>
  <si>
    <t>CUST-52815</t>
  </si>
  <si>
    <t>Mr Jonathan Rees</t>
  </si>
  <si>
    <t>ACT-04002</t>
  </si>
  <si>
    <t>mcooper@example.net</t>
  </si>
  <si>
    <t>G5 3TA</t>
  </si>
  <si>
    <t>ACC-12816</t>
  </si>
  <si>
    <t>CUST-52816</t>
  </si>
  <si>
    <t>ACT-04003</t>
  </si>
  <si>
    <t>Dr Mohammed Rees</t>
  </si>
  <si>
    <t>bwallace@example.com</t>
  </si>
  <si>
    <t>ST54 5EY</t>
  </si>
  <si>
    <t>ACC-12817</t>
  </si>
  <si>
    <t>CUST-52817</t>
  </si>
  <si>
    <t>Steven Davies</t>
  </si>
  <si>
    <t>ACT-04004</t>
  </si>
  <si>
    <t>holly95@example.org</t>
  </si>
  <si>
    <t>S33 9EW</t>
  </si>
  <si>
    <t>ACC-12818</t>
  </si>
  <si>
    <t>CUST-52818</t>
  </si>
  <si>
    <t>Adrian Waters</t>
  </si>
  <si>
    <t>mooresara@example.net</t>
  </si>
  <si>
    <t>ACT-04005</t>
  </si>
  <si>
    <t>DL0N 6RE</t>
  </si>
  <si>
    <t>ACC-12819</t>
  </si>
  <si>
    <t>CUST-52819</t>
  </si>
  <si>
    <t>Ms Yvonne Carter</t>
  </si>
  <si>
    <t>julielewis@example.net</t>
  </si>
  <si>
    <t>E3D 1HN</t>
  </si>
  <si>
    <t>ACC-12820</t>
  </si>
  <si>
    <t>CUST-52820</t>
  </si>
  <si>
    <t>ACT-04006</t>
  </si>
  <si>
    <t>Mr Aaron Russell</t>
  </si>
  <si>
    <t>qbruce@example.net</t>
  </si>
  <si>
    <t>W6 5HJ</t>
  </si>
  <si>
    <t>ACC-12821</t>
  </si>
  <si>
    <t>ACT-04007</t>
  </si>
  <si>
    <t>CUST-52821</t>
  </si>
  <si>
    <t>Ricky Dixon</t>
  </si>
  <si>
    <t>ACT-04008</t>
  </si>
  <si>
    <t>leannefoster@example.org</t>
  </si>
  <si>
    <t>G1 8AQ</t>
  </si>
  <si>
    <t>ACT-04009</t>
  </si>
  <si>
    <t>ACC-12822</t>
  </si>
  <si>
    <t>CUST-52822</t>
  </si>
  <si>
    <t>John Baker</t>
  </si>
  <si>
    <t>ACT-04010</t>
  </si>
  <si>
    <t>donaldanderson@example.com</t>
  </si>
  <si>
    <t>JE9H 6FW</t>
  </si>
  <si>
    <t>ACT-04011</t>
  </si>
  <si>
    <t>ACC-12823</t>
  </si>
  <si>
    <t>CUST-52823</t>
  </si>
  <si>
    <t>Ian Jackson-Taylor</t>
  </si>
  <si>
    <t>ACT-04012</t>
  </si>
  <si>
    <t>mcarter@example.org</t>
  </si>
  <si>
    <t>DD2 3AT</t>
  </si>
  <si>
    <t>ACC-12824</t>
  </si>
  <si>
    <t>CUST-52824</t>
  </si>
  <si>
    <t>Lorraine Johnson</t>
  </si>
  <si>
    <t>ACT-04013</t>
  </si>
  <si>
    <t>beverleyjenkins@example.org</t>
  </si>
  <si>
    <t>W22 2ZE</t>
  </si>
  <si>
    <t>ACT-04014</t>
  </si>
  <si>
    <t>ACC-12825</t>
  </si>
  <si>
    <t>CUST-52825</t>
  </si>
  <si>
    <t>Dr Max Foster</t>
  </si>
  <si>
    <t>ACT-04015</t>
  </si>
  <si>
    <t>whittakerjill@example.org</t>
  </si>
  <si>
    <t>IG5 8SU</t>
  </si>
  <si>
    <t>ACT-04016</t>
  </si>
  <si>
    <t>ACC-12826</t>
  </si>
  <si>
    <t>CUST-52826</t>
  </si>
  <si>
    <t>Alison Cook</t>
  </si>
  <si>
    <t>elaine86@example.com</t>
  </si>
  <si>
    <t>W8 4FF</t>
  </si>
  <si>
    <t>ACT-04017</t>
  </si>
  <si>
    <t>ACC-12827</t>
  </si>
  <si>
    <t>CUST-52827</t>
  </si>
  <si>
    <t>Jennifer Jones</t>
  </si>
  <si>
    <t>ACT-04018</t>
  </si>
  <si>
    <t>pbrown@example.net</t>
  </si>
  <si>
    <t>BR8 6PL</t>
  </si>
  <si>
    <t>ACT-04019</t>
  </si>
  <si>
    <t>ACC-12828</t>
  </si>
  <si>
    <t>CUST-52828</t>
  </si>
  <si>
    <t>David Hall</t>
  </si>
  <si>
    <t>ACT-04020</t>
  </si>
  <si>
    <t>brucestuart@example.net</t>
  </si>
  <si>
    <t>ACT-04021</t>
  </si>
  <si>
    <t>DT4B 9NF</t>
  </si>
  <si>
    <t>ACC-12829</t>
  </si>
  <si>
    <t>CUST-52829</t>
  </si>
  <si>
    <t>Danny Ward-Burns</t>
  </si>
  <si>
    <t>ACT-04022</t>
  </si>
  <si>
    <t>rosemarypearson@example.net</t>
  </si>
  <si>
    <t>ACT-04023</t>
  </si>
  <si>
    <t>E71 6LN</t>
  </si>
  <si>
    <t>ACC-12830</t>
  </si>
  <si>
    <t>ACT-04024</t>
  </si>
  <si>
    <t>CUST-52830</t>
  </si>
  <si>
    <t>Roger Hurst</t>
  </si>
  <si>
    <t>ACT-04025</t>
  </si>
  <si>
    <t>simpsonjonathan@example.com</t>
  </si>
  <si>
    <t>KY11 8PJ</t>
  </si>
  <si>
    <t>ACT-04026</t>
  </si>
  <si>
    <t>ACC-12831</t>
  </si>
  <si>
    <t>CUST-52831</t>
  </si>
  <si>
    <t>Mrs Amanda Mitchell</t>
  </si>
  <si>
    <t>ACT-04027</t>
  </si>
  <si>
    <t>wayne29@example.org</t>
  </si>
  <si>
    <t>S3 9WD</t>
  </si>
  <si>
    <t>ACT-04028</t>
  </si>
  <si>
    <t>ACC-12832</t>
  </si>
  <si>
    <t>CUST-52832</t>
  </si>
  <si>
    <t>ACT-04029</t>
  </si>
  <si>
    <t>Paula Stevenson</t>
  </si>
  <si>
    <t>ACT-04030</t>
  </si>
  <si>
    <t>warrenelliott@example.org</t>
  </si>
  <si>
    <t>BB15 7PR</t>
  </si>
  <si>
    <t>ACT-04031</t>
  </si>
  <si>
    <t>ACC-12833</t>
  </si>
  <si>
    <t>CUST-52833</t>
  </si>
  <si>
    <t>Miss Valerie Martin</t>
  </si>
  <si>
    <t>ACT-04032</t>
  </si>
  <si>
    <t>sean25@example.com</t>
  </si>
  <si>
    <t>ZE0 8GX</t>
  </si>
  <si>
    <t>ACT-04033</t>
  </si>
  <si>
    <t>ACC-12834</t>
  </si>
  <si>
    <t>CUST-52834</t>
  </si>
  <si>
    <t>Darren Tomlinson</t>
  </si>
  <si>
    <t>HU6V 4FD</t>
  </si>
  <si>
    <t>ACT-04034</t>
  </si>
  <si>
    <t>ACC-12835</t>
  </si>
  <si>
    <t>CUST-52835</t>
  </si>
  <si>
    <t>Amanda Parsons</t>
  </si>
  <si>
    <t>ACT-04035</t>
  </si>
  <si>
    <t>gsmith@example.org</t>
  </si>
  <si>
    <t>HR5M 5PA</t>
  </si>
  <si>
    <t>ACC-12836</t>
  </si>
  <si>
    <t>CUST-52836</t>
  </si>
  <si>
    <t>Dr Darren Clarke</t>
  </si>
  <si>
    <t>ACT-04036</t>
  </si>
  <si>
    <t>jonesmegan@example.com</t>
  </si>
  <si>
    <t>N96 8WA</t>
  </si>
  <si>
    <t>ACT-04037</t>
  </si>
  <si>
    <t>ACC-12837</t>
  </si>
  <si>
    <t>CUST-52837</t>
  </si>
  <si>
    <t>Mr Neil Williams</t>
  </si>
  <si>
    <t>ACT-04038</t>
  </si>
  <si>
    <t>amurphy@example.com</t>
  </si>
  <si>
    <t>GL9 5YB</t>
  </si>
  <si>
    <t>ACT-04039</t>
  </si>
  <si>
    <t>ACC-12838</t>
  </si>
  <si>
    <t>CUST-52838</t>
  </si>
  <si>
    <t>Marc Quinn</t>
  </si>
  <si>
    <t>bethwebb@example.com</t>
  </si>
  <si>
    <t>G9U 8RL</t>
  </si>
  <si>
    <t>ACC-12839</t>
  </si>
  <si>
    <t>CUST-52839</t>
  </si>
  <si>
    <t>Ms Alison Smith</t>
  </si>
  <si>
    <t>ACT-04040</t>
  </si>
  <si>
    <t>JE6 6RJ</t>
  </si>
  <si>
    <t>ACC-12840</t>
  </si>
  <si>
    <t>CUST-52840</t>
  </si>
  <si>
    <t>Julian Blake</t>
  </si>
  <si>
    <t>ACT-04041</t>
  </si>
  <si>
    <t>hudsonraymond@example.com</t>
  </si>
  <si>
    <t>HR14 8ES</t>
  </si>
  <si>
    <t>ACC-12841</t>
  </si>
  <si>
    <t>ACT-04042</t>
  </si>
  <si>
    <t>CUST-52841</t>
  </si>
  <si>
    <t>Guy Lewis-Campbell</t>
  </si>
  <si>
    <t>chartley@example.org</t>
  </si>
  <si>
    <t>G5F 7FY</t>
  </si>
  <si>
    <t>ACT-04043</t>
  </si>
  <si>
    <t>ACC-12842</t>
  </si>
  <si>
    <t>CUST-52842</t>
  </si>
  <si>
    <t>Nicholas Ellis</t>
  </si>
  <si>
    <t>ACT-04044</t>
  </si>
  <si>
    <t>melissa93@example.org</t>
  </si>
  <si>
    <t>S3U 1XH</t>
  </si>
  <si>
    <t>ACC-12843</t>
  </si>
  <si>
    <t>CUST-52843</t>
  </si>
  <si>
    <t>Louis Scott-Butler</t>
  </si>
  <si>
    <t>ACT-04045</t>
  </si>
  <si>
    <t>smithandrea@example.net</t>
  </si>
  <si>
    <t>W67 4US</t>
  </si>
  <si>
    <t>ACC-12844</t>
  </si>
  <si>
    <t>CUST-52844</t>
  </si>
  <si>
    <t>ACT-04046</t>
  </si>
  <si>
    <t>Rachael Young</t>
  </si>
  <si>
    <t>kentjoe@example.org</t>
  </si>
  <si>
    <t>ACT-04047</t>
  </si>
  <si>
    <t>BL8 0EQ</t>
  </si>
  <si>
    <t>ACT-04048</t>
  </si>
  <si>
    <t>ACC-12845</t>
  </si>
  <si>
    <t>CUST-52845</t>
  </si>
  <si>
    <t>Sylvia Martin</t>
  </si>
  <si>
    <t>ACT-04049</t>
  </si>
  <si>
    <t>turnergraham@example.com</t>
  </si>
  <si>
    <t>DE0 6EN</t>
  </si>
  <si>
    <t>ACC-12846</t>
  </si>
  <si>
    <t>ACT-04050</t>
  </si>
  <si>
    <t>CUST-52846</t>
  </si>
  <si>
    <t>Mary Gibbs-Morgan</t>
  </si>
  <si>
    <t>ACT-04051</t>
  </si>
  <si>
    <t>bradleythomas@example.com</t>
  </si>
  <si>
    <t>M3D 3LS</t>
  </si>
  <si>
    <t>ACC-12847</t>
  </si>
  <si>
    <t>ACT-04052</t>
  </si>
  <si>
    <t>CUST-52847</t>
  </si>
  <si>
    <t>Mrs Cheryl Robinson</t>
  </si>
  <si>
    <t>zsharpe@example.net</t>
  </si>
  <si>
    <t>ACT-04053</t>
  </si>
  <si>
    <t>L2 0XE</t>
  </si>
  <si>
    <t>ACC-12848</t>
  </si>
  <si>
    <t>CUST-52848</t>
  </si>
  <si>
    <t>Elliott Turner</t>
  </si>
  <si>
    <t>ACT-04054</t>
  </si>
  <si>
    <t>BL3R 2QU</t>
  </si>
  <si>
    <t>ACT-04055</t>
  </si>
  <si>
    <t>ACC-12849</t>
  </si>
  <si>
    <t>CUST-52849</t>
  </si>
  <si>
    <t>Diana Martin-Bradley</t>
  </si>
  <si>
    <t>philippickering@example.com</t>
  </si>
  <si>
    <t>ACT-04056</t>
  </si>
  <si>
    <t>HD42 2HT</t>
  </si>
  <si>
    <t>ACC-12850</t>
  </si>
  <si>
    <t>CUST-52850</t>
  </si>
  <si>
    <t>Dr Duncan Graham</t>
  </si>
  <si>
    <t>ACT-04057</t>
  </si>
  <si>
    <t>hallhelen@example.org</t>
  </si>
  <si>
    <t>SW06 0DS</t>
  </si>
  <si>
    <t>ACC-12851</t>
  </si>
  <si>
    <t>CUST-52851</t>
  </si>
  <si>
    <t>Charles Bryant</t>
  </si>
  <si>
    <t>ACT-04058</t>
  </si>
  <si>
    <t>zherbert@example.org</t>
  </si>
  <si>
    <t>PH5 1JR</t>
  </si>
  <si>
    <t>ACT-04059</t>
  </si>
  <si>
    <t>ACC-12852</t>
  </si>
  <si>
    <t>CUST-52852</t>
  </si>
  <si>
    <t>Dale Hawkins</t>
  </si>
  <si>
    <t>ACT-04060</t>
  </si>
  <si>
    <t>stuartcrawford@example.org</t>
  </si>
  <si>
    <t>ACT-04061</t>
  </si>
  <si>
    <t>HD0 0HP</t>
  </si>
  <si>
    <t>ACT-04062</t>
  </si>
  <si>
    <t>ACC-12853</t>
  </si>
  <si>
    <t>CUST-52853</t>
  </si>
  <si>
    <t>Maria Jones</t>
  </si>
  <si>
    <t>ACT-04063</t>
  </si>
  <si>
    <t>hallann@example.org</t>
  </si>
  <si>
    <t>W44 5WG</t>
  </si>
  <si>
    <t>ACT-04064</t>
  </si>
  <si>
    <t>ACC-12854</t>
  </si>
  <si>
    <t>CUST-52854</t>
  </si>
  <si>
    <t>Ms Dawn Singh</t>
  </si>
  <si>
    <t>ACT-04065</t>
  </si>
  <si>
    <t>lindaconway@example.net</t>
  </si>
  <si>
    <t>CH0 2YU</t>
  </si>
  <si>
    <t>ACC-12855</t>
  </si>
  <si>
    <t>ACT-04066</t>
  </si>
  <si>
    <t>CUST-52855</t>
  </si>
  <si>
    <t>Beth Curtis</t>
  </si>
  <si>
    <t>wholt@example.org</t>
  </si>
  <si>
    <t>E14 7NX</t>
  </si>
  <si>
    <t>ACT-04067</t>
  </si>
  <si>
    <t>ACC-12856</t>
  </si>
  <si>
    <t>CUST-52856</t>
  </si>
  <si>
    <t>Graeme Metcalfe-Spencer</t>
  </si>
  <si>
    <t>ACT-04068</t>
  </si>
  <si>
    <t>denissmith@example.com</t>
  </si>
  <si>
    <t>WS1M 1NZ</t>
  </si>
  <si>
    <t>ACC-12857</t>
  </si>
  <si>
    <t>ACT-04069</t>
  </si>
  <si>
    <t>CUST-52857</t>
  </si>
  <si>
    <t>Mr Jonathan Williams</t>
  </si>
  <si>
    <t>tinanewman@example.org</t>
  </si>
  <si>
    <t>GL02 1LU</t>
  </si>
  <si>
    <t>ACT-04070</t>
  </si>
  <si>
    <t>ACC-12858</t>
  </si>
  <si>
    <t>CUST-52858</t>
  </si>
  <si>
    <t>Joan Bennett</t>
  </si>
  <si>
    <t>ACT-04071</t>
  </si>
  <si>
    <t>esmith@example.org</t>
  </si>
  <si>
    <t>S13 3TQ</t>
  </si>
  <si>
    <t>ACC-12859</t>
  </si>
  <si>
    <t>CUST-52859</t>
  </si>
  <si>
    <t>ACT-04072</t>
  </si>
  <si>
    <t>Henry Roberts</t>
  </si>
  <si>
    <t>wilkinsoncharlotte@example.com</t>
  </si>
  <si>
    <t>ACT-04073</t>
  </si>
  <si>
    <t>LA42 5WQ</t>
  </si>
  <si>
    <t>ACT-04074</t>
  </si>
  <si>
    <t>ACC-12860</t>
  </si>
  <si>
    <t>CUST-52860</t>
  </si>
  <si>
    <t>Graham Thomas</t>
  </si>
  <si>
    <t>ACT-04075</t>
  </si>
  <si>
    <t>lrowley@example.net</t>
  </si>
  <si>
    <t>ZE6 4ZB</t>
  </si>
  <si>
    <t>ACT-04076</t>
  </si>
  <si>
    <t>ACC-12861</t>
  </si>
  <si>
    <t>CUST-52861</t>
  </si>
  <si>
    <t>Marc Vaughan</t>
  </si>
  <si>
    <t>ACT-04077</t>
  </si>
  <si>
    <t>BR7H 1UN</t>
  </si>
  <si>
    <t>ACC-12862</t>
  </si>
  <si>
    <t>CUST-52862</t>
  </si>
  <si>
    <t>Joanne Patel</t>
  </si>
  <si>
    <t>ACT-04078</t>
  </si>
  <si>
    <t>dominichill@example.org</t>
  </si>
  <si>
    <t>AB2A 9RA</t>
  </si>
  <si>
    <t>ACT-04079</t>
  </si>
  <si>
    <t>ACC-12863</t>
  </si>
  <si>
    <t>CUST-52863</t>
  </si>
  <si>
    <t>Miss Marian Little</t>
  </si>
  <si>
    <t>ACT-04080</t>
  </si>
  <si>
    <t>josephshaw@example.net</t>
  </si>
  <si>
    <t>WN77 0PS</t>
  </si>
  <si>
    <t>ACC-12864</t>
  </si>
  <si>
    <t>CUST-52864</t>
  </si>
  <si>
    <t>Alice Lewis</t>
  </si>
  <si>
    <t>ACT-04081</t>
  </si>
  <si>
    <t>brenda75@example.com</t>
  </si>
  <si>
    <t>L87 4UE</t>
  </si>
  <si>
    <t>ACT-04082</t>
  </si>
  <si>
    <t>ACC-12865</t>
  </si>
  <si>
    <t>CUST-52865</t>
  </si>
  <si>
    <t>Dr Denis Gray</t>
  </si>
  <si>
    <t>ACT-04083</t>
  </si>
  <si>
    <t>tomcarroll@example.com</t>
  </si>
  <si>
    <t>RM32 0TL</t>
  </si>
  <si>
    <t>ACC-12866</t>
  </si>
  <si>
    <t>CUST-52866</t>
  </si>
  <si>
    <t>Leah Porter</t>
  </si>
  <si>
    <t>ACT-04084</t>
  </si>
  <si>
    <t>mwalker@example.org</t>
  </si>
  <si>
    <t>G2 8EX</t>
  </si>
  <si>
    <t>ACT-04085</t>
  </si>
  <si>
    <t>ACC-12867</t>
  </si>
  <si>
    <t>CUST-52867</t>
  </si>
  <si>
    <t>Miss Andrea Brooks</t>
  </si>
  <si>
    <t>ACT-04086</t>
  </si>
  <si>
    <t>elizabeth94@example.net</t>
  </si>
  <si>
    <t>KW06 2JJ</t>
  </si>
  <si>
    <t>ACC-12868</t>
  </si>
  <si>
    <t>CUST-52868</t>
  </si>
  <si>
    <t>Miss Lorraine Cooper</t>
  </si>
  <si>
    <t>ACT-04087</t>
  </si>
  <si>
    <t>pickeringhenry@example.com</t>
  </si>
  <si>
    <t>M9W 5PH</t>
  </si>
  <si>
    <t>ACC-12869</t>
  </si>
  <si>
    <t>CUST-52869</t>
  </si>
  <si>
    <t>ACT-04088</t>
  </si>
  <si>
    <t>Amber Finch</t>
  </si>
  <si>
    <t>ACT-04089</t>
  </si>
  <si>
    <t>uedwards@example.org</t>
  </si>
  <si>
    <t>DA07 1WQ</t>
  </si>
  <si>
    <t>ACT-04090</t>
  </si>
  <si>
    <t>ACC-12870</t>
  </si>
  <si>
    <t>CUST-52870</t>
  </si>
  <si>
    <t>Molly Marshall</t>
  </si>
  <si>
    <t>ACT-04091</t>
  </si>
  <si>
    <t>howard78@example.com</t>
  </si>
  <si>
    <t>ACT-04092</t>
  </si>
  <si>
    <t>W8T 8EP</t>
  </si>
  <si>
    <t>ACC-12871</t>
  </si>
  <si>
    <t>ACT-04093</t>
  </si>
  <si>
    <t>CUST-52871</t>
  </si>
  <si>
    <t>Karl Jones</t>
  </si>
  <si>
    <t>eleanoroneill@example.org</t>
  </si>
  <si>
    <t>HP0 2HH</t>
  </si>
  <si>
    <t>ACT-04094</t>
  </si>
  <si>
    <t>ACC-12872</t>
  </si>
  <si>
    <t>CUST-52872</t>
  </si>
  <si>
    <t>Iain Cox-Bevan</t>
  </si>
  <si>
    <t>griffithsguy@example.net</t>
  </si>
  <si>
    <t>CM1 4SQ</t>
  </si>
  <si>
    <t>ACT-04095</t>
  </si>
  <si>
    <t>ACC-12873</t>
  </si>
  <si>
    <t>CUST-52873</t>
  </si>
  <si>
    <t>Louise Iqbal</t>
  </si>
  <si>
    <t>colinroberts@example.org</t>
  </si>
  <si>
    <t>ACT-04096</t>
  </si>
  <si>
    <t>W8J 7JR</t>
  </si>
  <si>
    <t>ACC-12874</t>
  </si>
  <si>
    <t>ACT-04097</t>
  </si>
  <si>
    <t>CUST-52874</t>
  </si>
  <si>
    <t>Karl Hayes-Harrison</t>
  </si>
  <si>
    <t>ACT-04098</t>
  </si>
  <si>
    <t>wheelermarian@example.com</t>
  </si>
  <si>
    <t>S0 6UQ</t>
  </si>
  <si>
    <t>ACT-04099</t>
  </si>
  <si>
    <t>ACC-12875</t>
  </si>
  <si>
    <t>CUST-52875</t>
  </si>
  <si>
    <t>Justin Ward</t>
  </si>
  <si>
    <t>ACT-04100</t>
  </si>
  <si>
    <t>neilevans@example.org</t>
  </si>
  <si>
    <t>L0T 1RH</t>
  </si>
  <si>
    <t>ACT-04101</t>
  </si>
  <si>
    <t>ACC-12876</t>
  </si>
  <si>
    <t>CUST-52876</t>
  </si>
  <si>
    <t>Rosemary Davis</t>
  </si>
  <si>
    <t>ACT-04102</t>
  </si>
  <si>
    <t>ACT-04103</t>
  </si>
  <si>
    <t>robert92@example.net</t>
  </si>
  <si>
    <t>S0 9JY</t>
  </si>
  <si>
    <t>ACT-04104</t>
  </si>
  <si>
    <t>ACC-12877</t>
  </si>
  <si>
    <t>CUST-52877</t>
  </si>
  <si>
    <t>Alexander Cox</t>
  </si>
  <si>
    <t>ACT-04105</t>
  </si>
  <si>
    <t>WN5 0DY</t>
  </si>
  <si>
    <t>ACT-04106</t>
  </si>
  <si>
    <t>ACC-12878</t>
  </si>
  <si>
    <t>CUST-52878</t>
  </si>
  <si>
    <t>ACT-04107</t>
  </si>
  <si>
    <t>Terry Weston</t>
  </si>
  <si>
    <t>ACT-04108</t>
  </si>
  <si>
    <t>erichill@example.com</t>
  </si>
  <si>
    <t>KY8 4PB</t>
  </si>
  <si>
    <t>ACT-04109</t>
  </si>
  <si>
    <t>ACC-12879</t>
  </si>
  <si>
    <t>CUST-52879</t>
  </si>
  <si>
    <t>Alexandra Dennis</t>
  </si>
  <si>
    <t>ACT-04110</t>
  </si>
  <si>
    <t>ACT-04111</t>
  </si>
  <si>
    <t>donaldjones@example.net</t>
  </si>
  <si>
    <t>RM78 8PR</t>
  </si>
  <si>
    <t>ACT-04112</t>
  </si>
  <si>
    <t>ACC-12880</t>
  </si>
  <si>
    <t>CUST-52880</t>
  </si>
  <si>
    <t>Miss Marilyn Ward</t>
  </si>
  <si>
    <t>ACT-04113</t>
  </si>
  <si>
    <t>xwarren@example.com</t>
  </si>
  <si>
    <t>ACT-04114</t>
  </si>
  <si>
    <t>EX0M 6ZQ</t>
  </si>
  <si>
    <t>ACC-12881</t>
  </si>
  <si>
    <t>CUST-52881</t>
  </si>
  <si>
    <t>Samantha Harrison</t>
  </si>
  <si>
    <t>ACT-04115</t>
  </si>
  <si>
    <t>ACT-04116</t>
  </si>
  <si>
    <t>eric52@example.net</t>
  </si>
  <si>
    <t>ACT-04117</t>
  </si>
  <si>
    <t>CT04 6AL</t>
  </si>
  <si>
    <t>ACT-04118</t>
  </si>
  <si>
    <t>ACC-12882</t>
  </si>
  <si>
    <t>CUST-52882</t>
  </si>
  <si>
    <t>Catherine Lane</t>
  </si>
  <si>
    <t>ACT-04119</t>
  </si>
  <si>
    <t>duncanwatson@example.org</t>
  </si>
  <si>
    <t>M9D 2DJ</t>
  </si>
  <si>
    <t>ACT-04120</t>
  </si>
  <si>
    <t>ACC-12883</t>
  </si>
  <si>
    <t>CUST-52883</t>
  </si>
  <si>
    <t>ACT-04121</t>
  </si>
  <si>
    <t>Kerry Moss-Blackburn</t>
  </si>
  <si>
    <t>ACT-04122</t>
  </si>
  <si>
    <t>NN91 9NY</t>
  </si>
  <si>
    <t>ACT-04123</t>
  </si>
  <si>
    <t>ACC-12884</t>
  </si>
  <si>
    <t>CUST-52884</t>
  </si>
  <si>
    <t>Ryan Robson</t>
  </si>
  <si>
    <t>ACT-04124</t>
  </si>
  <si>
    <t>ACT-04125</t>
  </si>
  <si>
    <t>kfaulkner@example.org</t>
  </si>
  <si>
    <t>SG92 8SP</t>
  </si>
  <si>
    <t>ACT-04126</t>
  </si>
  <si>
    <t>ACC-12885</t>
  </si>
  <si>
    <t>CUST-52885</t>
  </si>
  <si>
    <t>Terry Joyce</t>
  </si>
  <si>
    <t>ACT-04127</t>
  </si>
  <si>
    <t>ACT-04128</t>
  </si>
  <si>
    <t>lindsey78@example.org</t>
  </si>
  <si>
    <t>L11 3UZ</t>
  </si>
  <si>
    <t>ACT-04129</t>
  </si>
  <si>
    <t>ACC-12886</t>
  </si>
  <si>
    <t>CUST-52886</t>
  </si>
  <si>
    <t>Stacey Smith</t>
  </si>
  <si>
    <t>mccarthypamela@example.org</t>
  </si>
  <si>
    <t>ACT-04130</t>
  </si>
  <si>
    <t>B3S 4NY</t>
  </si>
  <si>
    <t>ACC-12887</t>
  </si>
  <si>
    <t>CUST-52887</t>
  </si>
  <si>
    <t>Ms Zoe Kelly</t>
  </si>
  <si>
    <t>stephensondamian@example.net</t>
  </si>
  <si>
    <t>HD0V 4PG</t>
  </si>
  <si>
    <t>ACT-04131</t>
  </si>
  <si>
    <t>ACC-12888</t>
  </si>
  <si>
    <t>CUST-52888</t>
  </si>
  <si>
    <t>Mr Keith Ward</t>
  </si>
  <si>
    <t>maurice64@example.com</t>
  </si>
  <si>
    <t>E87 5HY</t>
  </si>
  <si>
    <t>ACT-04132</t>
  </si>
  <si>
    <t>ACC-12889</t>
  </si>
  <si>
    <t>CUST-52889</t>
  </si>
  <si>
    <t>Dorothy Willis</t>
  </si>
  <si>
    <t>ACT-04133</t>
  </si>
  <si>
    <t>aaron16@example.org</t>
  </si>
  <si>
    <t>W5 0ES</t>
  </si>
  <si>
    <t>ACT-04134</t>
  </si>
  <si>
    <t>ACC-12890</t>
  </si>
  <si>
    <t>CUST-52890</t>
  </si>
  <si>
    <t>Mrs Jasmine Allen</t>
  </si>
  <si>
    <t>ACT-04135</t>
  </si>
  <si>
    <t>max03@example.net</t>
  </si>
  <si>
    <t>YO72 3YY</t>
  </si>
  <si>
    <t>ACT-04136</t>
  </si>
  <si>
    <t>ACC-12891</t>
  </si>
  <si>
    <t>CUST-52891</t>
  </si>
  <si>
    <t>Jacob Jordan</t>
  </si>
  <si>
    <t>ACT-04137</t>
  </si>
  <si>
    <t>jordandavies@example.org</t>
  </si>
  <si>
    <t>ACT-04138</t>
  </si>
  <si>
    <t>N20 8HH</t>
  </si>
  <si>
    <t>ACC-12892</t>
  </si>
  <si>
    <t>CUST-52892</t>
  </si>
  <si>
    <t>Dr Elliott Dodd</t>
  </si>
  <si>
    <t>ACT-04139</t>
  </si>
  <si>
    <t>williamscraig@example.net</t>
  </si>
  <si>
    <t>L03 4BF</t>
  </si>
  <si>
    <t>ACC-12893</t>
  </si>
  <si>
    <t>CUST-52893</t>
  </si>
  <si>
    <t>Kenneth Saunders</t>
  </si>
  <si>
    <t>ACT-04140</t>
  </si>
  <si>
    <t>ACT-04141</t>
  </si>
  <si>
    <t>hannahlane@example.net</t>
  </si>
  <si>
    <t>ZE2 1EG</t>
  </si>
  <si>
    <t>ACC-12894</t>
  </si>
  <si>
    <t>ACT-04142</t>
  </si>
  <si>
    <t>CUST-52894</t>
  </si>
  <si>
    <t>Dr Hilary Barnes</t>
  </si>
  <si>
    <t>warrenbarry@example.org</t>
  </si>
  <si>
    <t>CV5P 6UF</t>
  </si>
  <si>
    <t>ACT-04143</t>
  </si>
  <si>
    <t>ACC-12895</t>
  </si>
  <si>
    <t>CUST-52895</t>
  </si>
  <si>
    <t>Marcus Brown-Smith</t>
  </si>
  <si>
    <t>rickymoore@example.com</t>
  </si>
  <si>
    <t>CF8E 2LD</t>
  </si>
  <si>
    <t>ACT-04144</t>
  </si>
  <si>
    <t>ACC-12896</t>
  </si>
  <si>
    <t>CUST-52896</t>
  </si>
  <si>
    <t>Christian Hyde</t>
  </si>
  <si>
    <t>ACT-04145</t>
  </si>
  <si>
    <t>bullalison@example.org</t>
  </si>
  <si>
    <t>W99 8RU</t>
  </si>
  <si>
    <t>ACC-12897</t>
  </si>
  <si>
    <t>CUST-52897</t>
  </si>
  <si>
    <t>Paige Kaur</t>
  </si>
  <si>
    <t>ACT-04146</t>
  </si>
  <si>
    <t>ricky30@example.net</t>
  </si>
  <si>
    <t>B25 6UY</t>
  </si>
  <si>
    <t>ACT-04147</t>
  </si>
  <si>
    <t>ACC-12898</t>
  </si>
  <si>
    <t>CUST-52898</t>
  </si>
  <si>
    <t>Gordon Fry</t>
  </si>
  <si>
    <t>ACT-04148</t>
  </si>
  <si>
    <t>phammond@example.com</t>
  </si>
  <si>
    <t>L64 6RZ</t>
  </si>
  <si>
    <t>ACC-12899</t>
  </si>
  <si>
    <t>CUST-52899</t>
  </si>
  <si>
    <t>Alan Booth</t>
  </si>
  <si>
    <t>ACT-04149</t>
  </si>
  <si>
    <t>joannegreen@example.org</t>
  </si>
  <si>
    <t>M0 2YZ</t>
  </si>
  <si>
    <t>ACC-12900</t>
  </si>
  <si>
    <t>CUST-52900</t>
  </si>
  <si>
    <t>Graham Jenkins</t>
  </si>
  <si>
    <t>ACT-04150</t>
  </si>
  <si>
    <t>vrussell@example.com</t>
  </si>
  <si>
    <t>PR30 1QJ</t>
  </si>
  <si>
    <t>ACT-04151</t>
  </si>
  <si>
    <t>ACC-12901</t>
  </si>
  <si>
    <t>CUST-52901</t>
  </si>
  <si>
    <t>Dr Jacob Connolly</t>
  </si>
  <si>
    <t>ACT-04152</t>
  </si>
  <si>
    <t>amyarmstrong@example.com</t>
  </si>
  <si>
    <t>TN08 5ZA</t>
  </si>
  <si>
    <t>ACC-12902</t>
  </si>
  <si>
    <t>CUST-52902</t>
  </si>
  <si>
    <t>ACT-04153</t>
  </si>
  <si>
    <t>Dr Joanne Martin</t>
  </si>
  <si>
    <t>eharris@example.net</t>
  </si>
  <si>
    <t>ACT-04154</t>
  </si>
  <si>
    <t>SN0M 5JZ</t>
  </si>
  <si>
    <t>ACC-12903</t>
  </si>
  <si>
    <t>CUST-52903</t>
  </si>
  <si>
    <t>Mr Christopher Morgan</t>
  </si>
  <si>
    <t>ACT-04155</t>
  </si>
  <si>
    <t>nichollsben@example.org</t>
  </si>
  <si>
    <t>TR48 6YN</t>
  </si>
  <si>
    <t>ACC-12904</t>
  </si>
  <si>
    <t>CUST-52904</t>
  </si>
  <si>
    <t>Mr Joseph Green</t>
  </si>
  <si>
    <t>ACT-04156</t>
  </si>
  <si>
    <t>kayleighburrows@example.org</t>
  </si>
  <si>
    <t>AB1 1DG</t>
  </si>
  <si>
    <t>ACT-04157</t>
  </si>
  <si>
    <t>ACC-12905</t>
  </si>
  <si>
    <t>CUST-52905</t>
  </si>
  <si>
    <t>Jeffrey Whitehouse</t>
  </si>
  <si>
    <t>sharpabbie@example.net</t>
  </si>
  <si>
    <t>ACT-04158</t>
  </si>
  <si>
    <t>DA6 7ZG</t>
  </si>
  <si>
    <t>ACC-12906</t>
  </si>
  <si>
    <t>CUST-52906</t>
  </si>
  <si>
    <t>Ms Abigail Frost</t>
  </si>
  <si>
    <t>ACT-04159</t>
  </si>
  <si>
    <t>owencunningham@example.org</t>
  </si>
  <si>
    <t>WS5 6RR</t>
  </si>
  <si>
    <t>ACT-04160</t>
  </si>
  <si>
    <t>ACC-12907</t>
  </si>
  <si>
    <t>CUST-52907</t>
  </si>
  <si>
    <t>Ross Marsh-Freeman</t>
  </si>
  <si>
    <t>sharpkatie@example.org</t>
  </si>
  <si>
    <t>ACT-04161</t>
  </si>
  <si>
    <t>SK83 6PH</t>
  </si>
  <si>
    <t>ACC-12908</t>
  </si>
  <si>
    <t>CUST-52908</t>
  </si>
  <si>
    <t>Joshua Robinson</t>
  </si>
  <si>
    <t>ACT-04162</t>
  </si>
  <si>
    <t>vtaylor@example.net</t>
  </si>
  <si>
    <t>TD7 1ZA</t>
  </si>
  <si>
    <t>ACC-12909</t>
  </si>
  <si>
    <t>CUST-52909</t>
  </si>
  <si>
    <t>ACT-04163</t>
  </si>
  <si>
    <t>Jamie Evans</t>
  </si>
  <si>
    <t>sarah31@example.org</t>
  </si>
  <si>
    <t>B17 3FN</t>
  </si>
  <si>
    <t>ACT-04164</t>
  </si>
  <si>
    <t>ACC-12910</t>
  </si>
  <si>
    <t>CUST-52910</t>
  </si>
  <si>
    <t>Connor Moran</t>
  </si>
  <si>
    <t>ACT-04165</t>
  </si>
  <si>
    <t>NR94 0QX</t>
  </si>
  <si>
    <t>ACC-12911</t>
  </si>
  <si>
    <t>CUST-52911</t>
  </si>
  <si>
    <t>Dr Anna Robinson</t>
  </si>
  <si>
    <t>ACT-04166</t>
  </si>
  <si>
    <t>smithalex@example.org</t>
  </si>
  <si>
    <t>GU3 1UA</t>
  </si>
  <si>
    <t>ACT-04167</t>
  </si>
  <si>
    <t>ACC-12912</t>
  </si>
  <si>
    <t>CUST-52912</t>
  </si>
  <si>
    <t>Rachel Buckley</t>
  </si>
  <si>
    <t>ACT-04168</t>
  </si>
  <si>
    <t>lydiadavies@example.com</t>
  </si>
  <si>
    <t>B7 7DX</t>
  </si>
  <si>
    <t>ACT-04169</t>
  </si>
  <si>
    <t>ACC-12913</t>
  </si>
  <si>
    <t>CUST-52913</t>
  </si>
  <si>
    <t>Dr Bernard Webb</t>
  </si>
  <si>
    <t>beverleywhitehead@example.com</t>
  </si>
  <si>
    <t>ACT-04170</t>
  </si>
  <si>
    <t>ST66 1NN</t>
  </si>
  <si>
    <t>ACC-12914</t>
  </si>
  <si>
    <t>CUST-52914</t>
  </si>
  <si>
    <t>Guy Davies</t>
  </si>
  <si>
    <t>ACT-04171</t>
  </si>
  <si>
    <t>gmorton@example.org</t>
  </si>
  <si>
    <t>CM15 4QE</t>
  </si>
  <si>
    <t>ACT-04172</t>
  </si>
  <si>
    <t>ACC-12915</t>
  </si>
  <si>
    <t>CUST-52915</t>
  </si>
  <si>
    <t>ACT-04173</t>
  </si>
  <si>
    <t>S9 0HJ</t>
  </si>
  <si>
    <t>ACC-12916</t>
  </si>
  <si>
    <t>CUST-52916</t>
  </si>
  <si>
    <t>Dr Kenneth Spencer</t>
  </si>
  <si>
    <t>ACT-04174</t>
  </si>
  <si>
    <t>oreynolds@example.com</t>
  </si>
  <si>
    <t>M6 4NN</t>
  </si>
  <si>
    <t>ACT-04175</t>
  </si>
  <si>
    <t>ACC-12917</t>
  </si>
  <si>
    <t>CUST-52917</t>
  </si>
  <si>
    <t>Marian Ford</t>
  </si>
  <si>
    <t>ACT-04176</t>
  </si>
  <si>
    <t>charlotte34@example.org</t>
  </si>
  <si>
    <t>E0F 4NF</t>
  </si>
  <si>
    <t>ACC-12918</t>
  </si>
  <si>
    <t>CUST-52918</t>
  </si>
  <si>
    <t>ACT-04177</t>
  </si>
  <si>
    <t>Ms Rosemary Hunt</t>
  </si>
  <si>
    <t>finchhenry@example.org</t>
  </si>
  <si>
    <t>E13 6TL</t>
  </si>
  <si>
    <t>ACC-12919</t>
  </si>
  <si>
    <t>ACT-04178</t>
  </si>
  <si>
    <t>CUST-52919</t>
  </si>
  <si>
    <t>Miss Brenda Booth</t>
  </si>
  <si>
    <t>tylerjodie@example.net</t>
  </si>
  <si>
    <t>N6C 5PS</t>
  </si>
  <si>
    <t>ACT-04179</t>
  </si>
  <si>
    <t>ACC-12920</t>
  </si>
  <si>
    <t>CUST-52920</t>
  </si>
  <si>
    <t>Mrs Fiona Davies</t>
  </si>
  <si>
    <t>flewis@example.net</t>
  </si>
  <si>
    <t>ACT-04180</t>
  </si>
  <si>
    <t>SS8W 5ZZ</t>
  </si>
  <si>
    <t>ACC-12921</t>
  </si>
  <si>
    <t>CUST-52921</t>
  </si>
  <si>
    <t>Hilary Dunn</t>
  </si>
  <si>
    <t>ACT-04181</t>
  </si>
  <si>
    <t>simonthomas@example.org</t>
  </si>
  <si>
    <t>M9K 6BR</t>
  </si>
  <si>
    <t>ACT-04182</t>
  </si>
  <si>
    <t>ACC-12922</t>
  </si>
  <si>
    <t>CUST-52922</t>
  </si>
  <si>
    <t>Mr Shaun Booth</t>
  </si>
  <si>
    <t>ACT-04183</t>
  </si>
  <si>
    <t>dianawilliams@example.net</t>
  </si>
  <si>
    <t>N21 8GQ</t>
  </si>
  <si>
    <t>ACT-04184</t>
  </si>
  <si>
    <t>ACC-12923</t>
  </si>
  <si>
    <t>CUST-52923</t>
  </si>
  <si>
    <t>Lydia Hughes-Begum</t>
  </si>
  <si>
    <t>ACT-04185</t>
  </si>
  <si>
    <t>L49 6RE</t>
  </si>
  <si>
    <t>ACT-04186</t>
  </si>
  <si>
    <t>ACC-12924</t>
  </si>
  <si>
    <t>CUST-52924</t>
  </si>
  <si>
    <t>Bradley Green</t>
  </si>
  <si>
    <t>rbaker@example.net</t>
  </si>
  <si>
    <t>ACT-04187</t>
  </si>
  <si>
    <t>S7G 8YH</t>
  </si>
  <si>
    <t>ACC-12925</t>
  </si>
  <si>
    <t>CUST-52925</t>
  </si>
  <si>
    <t>Roy Hunter-Taylor</t>
  </si>
  <si>
    <t>ACT-04188</t>
  </si>
  <si>
    <t>katedunn@example.org</t>
  </si>
  <si>
    <t>LN5X 3NX</t>
  </si>
  <si>
    <t>ACT-04189</t>
  </si>
  <si>
    <t>ACC-12926</t>
  </si>
  <si>
    <t>CUST-52926</t>
  </si>
  <si>
    <t>Dr Marcus Watkins</t>
  </si>
  <si>
    <t>dennisthompson@example.org</t>
  </si>
  <si>
    <t>ACT-04190</t>
  </si>
  <si>
    <t>KA51 9WJ</t>
  </si>
  <si>
    <t>ACC-12927</t>
  </si>
  <si>
    <t>CUST-52927</t>
  </si>
  <si>
    <t>Dr Mohamed Taylor</t>
  </si>
  <si>
    <t>ACT-04191</t>
  </si>
  <si>
    <t>shawalexander@example.com</t>
  </si>
  <si>
    <t>BR6 4FE</t>
  </si>
  <si>
    <t>ACC-12928</t>
  </si>
  <si>
    <t>ACT-04192</t>
  </si>
  <si>
    <t>CUST-52928</t>
  </si>
  <si>
    <t>Katherine Parker</t>
  </si>
  <si>
    <t>nataliefry@example.com</t>
  </si>
  <si>
    <t>ACT-04193</t>
  </si>
  <si>
    <t>CB53 3HJ</t>
  </si>
  <si>
    <t>ACC-12929</t>
  </si>
  <si>
    <t>CUST-52929</t>
  </si>
  <si>
    <t>Mr Jordan Evans</t>
  </si>
  <si>
    <t>ACT-04194</t>
  </si>
  <si>
    <t>kate66@example.net</t>
  </si>
  <si>
    <t>N57 0HP</t>
  </si>
  <si>
    <t>ACC-12930</t>
  </si>
  <si>
    <t>CUST-52930</t>
  </si>
  <si>
    <t>Mr Dylan Cameron</t>
  </si>
  <si>
    <t>ACT-04195</t>
  </si>
  <si>
    <t>shaunmitchell@example.net</t>
  </si>
  <si>
    <t>NG2 3TJ</t>
  </si>
  <si>
    <t>ACC-12931</t>
  </si>
  <si>
    <t>ACT-04196</t>
  </si>
  <si>
    <t>CUST-52931</t>
  </si>
  <si>
    <t>Jason Price</t>
  </si>
  <si>
    <t>iallan@example.com</t>
  </si>
  <si>
    <t>W24 6LE</t>
  </si>
  <si>
    <t>ACT-04197</t>
  </si>
  <si>
    <t>ACC-12932</t>
  </si>
  <si>
    <t>CUST-52932</t>
  </si>
  <si>
    <t>Jill Thomas</t>
  </si>
  <si>
    <t>amy42@example.net</t>
  </si>
  <si>
    <t>ACT-04198</t>
  </si>
  <si>
    <t>DD29 9GY</t>
  </si>
  <si>
    <t>ACC-12933</t>
  </si>
  <si>
    <t>CUST-52933</t>
  </si>
  <si>
    <t>Iain Jones</t>
  </si>
  <si>
    <t>ACT-04199</t>
  </si>
  <si>
    <t>ashley18@example.com</t>
  </si>
  <si>
    <t>LL9 1TN</t>
  </si>
  <si>
    <t>ACT-04200</t>
  </si>
  <si>
    <t>ACC-12934</t>
  </si>
  <si>
    <t>CUST-52934</t>
  </si>
  <si>
    <t>Geraldine Jackson</t>
  </si>
  <si>
    <t>ACT-04201</t>
  </si>
  <si>
    <t>douglasbaker@example.com</t>
  </si>
  <si>
    <t>W22 6NQ</t>
  </si>
  <si>
    <t>ACC-12935</t>
  </si>
  <si>
    <t>CUST-52935</t>
  </si>
  <si>
    <t>ACT-04202</t>
  </si>
  <si>
    <t>Kayleigh King</t>
  </si>
  <si>
    <t>craigwalker@example.net</t>
  </si>
  <si>
    <t>N6E 0EQ</t>
  </si>
  <si>
    <t>ACT-04203</t>
  </si>
  <si>
    <t>ACC-12936</t>
  </si>
  <si>
    <t>CUST-52936</t>
  </si>
  <si>
    <t>Donna Begum</t>
  </si>
  <si>
    <t>ACT-04204</t>
  </si>
  <si>
    <t>raymond38@example.com</t>
  </si>
  <si>
    <t>SL7N 4PA</t>
  </si>
  <si>
    <t>ACT-04205</t>
  </si>
  <si>
    <t>ACC-12937</t>
  </si>
  <si>
    <t>CUST-52937</t>
  </si>
  <si>
    <t>Ms Yvonne Saunders</t>
  </si>
  <si>
    <t>ACT-04206</t>
  </si>
  <si>
    <t>jillscott@example.net</t>
  </si>
  <si>
    <t>HR2P 6GP</t>
  </si>
  <si>
    <t>ACT-04207</t>
  </si>
  <si>
    <t>ACC-12938</t>
  </si>
  <si>
    <t>CUST-52938</t>
  </si>
  <si>
    <t>Jonathan Bibi</t>
  </si>
  <si>
    <t>ACT-04208</t>
  </si>
  <si>
    <t>knightelliot@example.org</t>
  </si>
  <si>
    <t>G97 2SL</t>
  </si>
  <si>
    <t>ACC-12939</t>
  </si>
  <si>
    <t>CUST-52939</t>
  </si>
  <si>
    <t>Ms Jennifer Ahmed</t>
  </si>
  <si>
    <t>ACT-04209</t>
  </si>
  <si>
    <t>ACT-04210</t>
  </si>
  <si>
    <t>lowesamuel@example.net</t>
  </si>
  <si>
    <t>M2 8YS</t>
  </si>
  <si>
    <t>ACC-12940</t>
  </si>
  <si>
    <t>CUST-52940</t>
  </si>
  <si>
    <t>Mr Callum Davis</t>
  </si>
  <si>
    <t>ACT-04211</t>
  </si>
  <si>
    <t>billy24@example.com</t>
  </si>
  <si>
    <t>S61 8TJ</t>
  </si>
  <si>
    <t>ACT-04212</t>
  </si>
  <si>
    <t>ACC-12941</t>
  </si>
  <si>
    <t>CUST-52941</t>
  </si>
  <si>
    <t>Nathan Anderson</t>
  </si>
  <si>
    <t>ACT-04213</t>
  </si>
  <si>
    <t>laura71@example.net</t>
  </si>
  <si>
    <t>G5F 5YR</t>
  </si>
  <si>
    <t>ACT-04214</t>
  </si>
  <si>
    <t>ACC-12942</t>
  </si>
  <si>
    <t>CUST-52942</t>
  </si>
  <si>
    <t>ACT-04215</t>
  </si>
  <si>
    <t>Cameron Ahmed</t>
  </si>
  <si>
    <t>wilsonjane@example.com</t>
  </si>
  <si>
    <t>ACT-04216</t>
  </si>
  <si>
    <t>W79 4JQ</t>
  </si>
  <si>
    <t>ACC-12943</t>
  </si>
  <si>
    <t>ACT-04217</t>
  </si>
  <si>
    <t>CUST-52943</t>
  </si>
  <si>
    <t>Ms Abbie King</t>
  </si>
  <si>
    <t>ACT-04218</t>
  </si>
  <si>
    <t>jonesjay@example.net</t>
  </si>
  <si>
    <t>PO8 3EJ</t>
  </si>
  <si>
    <t>ACT-04219</t>
  </si>
  <si>
    <t>ACC-12944</t>
  </si>
  <si>
    <t>CUST-52944</t>
  </si>
  <si>
    <t>Dr Carolyn Lewis</t>
  </si>
  <si>
    <t>lowedennis@example.com</t>
  </si>
  <si>
    <t>N94 6PH</t>
  </si>
  <si>
    <t>ACT-04220</t>
  </si>
  <si>
    <t>ACC-12945</t>
  </si>
  <si>
    <t>CUST-52945</t>
  </si>
  <si>
    <t>Jayne Newman</t>
  </si>
  <si>
    <t>ann25@example.com</t>
  </si>
  <si>
    <t>ACT-04221</t>
  </si>
  <si>
    <t>DA7 2DR</t>
  </si>
  <si>
    <t>ACC-12946</t>
  </si>
  <si>
    <t>CUST-52946</t>
  </si>
  <si>
    <t>Katherine Rees</t>
  </si>
  <si>
    <t>ACT-04222</t>
  </si>
  <si>
    <t>ahmedkayleigh@example.com</t>
  </si>
  <si>
    <t>S4D 8DW</t>
  </si>
  <si>
    <t>ACT-04223</t>
  </si>
  <si>
    <t>ACC-12947</t>
  </si>
  <si>
    <t>CUST-52947</t>
  </si>
  <si>
    <t>Julian Freeman-Hardy</t>
  </si>
  <si>
    <t>ACT-04224</t>
  </si>
  <si>
    <t>joyce56@example.com</t>
  </si>
  <si>
    <t>G6J 3DU</t>
  </si>
  <si>
    <t>ACC-12948</t>
  </si>
  <si>
    <t>CUST-52948</t>
  </si>
  <si>
    <t>Ryan Burgess-Hawkins</t>
  </si>
  <si>
    <t>ACT-04225</t>
  </si>
  <si>
    <t>tcollins@example.org</t>
  </si>
  <si>
    <t>E2 0BB</t>
  </si>
  <si>
    <t>ACC-12949</t>
  </si>
  <si>
    <t>CUST-52949</t>
  </si>
  <si>
    <t>ACT-04226</t>
  </si>
  <si>
    <t>Paula Marshall</t>
  </si>
  <si>
    <t>ACT-04227</t>
  </si>
  <si>
    <t>kieran82@example.net</t>
  </si>
  <si>
    <t>S4 9YN</t>
  </si>
  <si>
    <t>ACC-12950</t>
  </si>
  <si>
    <t>CUST-52950</t>
  </si>
  <si>
    <t>Dale Bennett</t>
  </si>
  <si>
    <t>ACT-04228</t>
  </si>
  <si>
    <t>ACT-04229</t>
  </si>
  <si>
    <t>lynne50@example.org</t>
  </si>
  <si>
    <t>GU9 5SQ</t>
  </si>
  <si>
    <t>ACC-12951</t>
  </si>
  <si>
    <t>ACT-04230</t>
  </si>
  <si>
    <t>CUST-52951</t>
  </si>
  <si>
    <t>Dennis Hayes-Woodward</t>
  </si>
  <si>
    <t>harriet21@example.org</t>
  </si>
  <si>
    <t>ACT-04231</t>
  </si>
  <si>
    <t>DA8 9BG</t>
  </si>
  <si>
    <t>ACC-12952</t>
  </si>
  <si>
    <t>CUST-52952</t>
  </si>
  <si>
    <t>Mary Welch</t>
  </si>
  <si>
    <t>ACT-04232</t>
  </si>
  <si>
    <t>christopherdodd@example.com</t>
  </si>
  <si>
    <t>L6W 1BF</t>
  </si>
  <si>
    <t>ACT-04233</t>
  </si>
  <si>
    <t>ACC-12953</t>
  </si>
  <si>
    <t>CUST-52953</t>
  </si>
  <si>
    <t>William Begum-Thomas</t>
  </si>
  <si>
    <t>ACT-04234</t>
  </si>
  <si>
    <t>jfleming@example.com</t>
  </si>
  <si>
    <t>N20 6TZ</t>
  </si>
  <si>
    <t>ACC-12954</t>
  </si>
  <si>
    <t>CUST-52954</t>
  </si>
  <si>
    <t>Malcolm Cooper</t>
  </si>
  <si>
    <t>ACT-04235</t>
  </si>
  <si>
    <t>lynn67@example.org</t>
  </si>
  <si>
    <t>L31 0PH</t>
  </si>
  <si>
    <t>ACC-12955</t>
  </si>
  <si>
    <t>CUST-52955</t>
  </si>
  <si>
    <t>Ms Lindsey Barker</t>
  </si>
  <si>
    <t>ACT-04236</t>
  </si>
  <si>
    <t>harrisbilly@example.org</t>
  </si>
  <si>
    <t>E45 8AR</t>
  </si>
  <si>
    <t>ACC-12956</t>
  </si>
  <si>
    <t>CUST-52956</t>
  </si>
  <si>
    <t>Miss Diane Allen</t>
  </si>
  <si>
    <t>ACT-04237</t>
  </si>
  <si>
    <t>dohertythomas@example.com</t>
  </si>
  <si>
    <t>KW2E 3JA</t>
  </si>
  <si>
    <t>ACT-04238</t>
  </si>
  <si>
    <t>ACC-12957</t>
  </si>
  <si>
    <t>CUST-52957</t>
  </si>
  <si>
    <t>Ryan Thompson</t>
  </si>
  <si>
    <t>ACT-04239</t>
  </si>
  <si>
    <t>tcarr@example.net</t>
  </si>
  <si>
    <t>W4H 6XL</t>
  </si>
  <si>
    <t>ACC-12958</t>
  </si>
  <si>
    <t>CUST-52958</t>
  </si>
  <si>
    <t>Jemma Lloyd</t>
  </si>
  <si>
    <t>ACT-04240</t>
  </si>
  <si>
    <t>alison71@example.net</t>
  </si>
  <si>
    <t>B90 2DD</t>
  </si>
  <si>
    <t>ACT-04241</t>
  </si>
  <si>
    <t>ACC-12959</t>
  </si>
  <si>
    <t>CUST-52959</t>
  </si>
  <si>
    <t>Mr Ricky Perkins</t>
  </si>
  <si>
    <t>ACT-04242</t>
  </si>
  <si>
    <t>collinscraig@example.com</t>
  </si>
  <si>
    <t>N35 0JY</t>
  </si>
  <si>
    <t>ACC-12960</t>
  </si>
  <si>
    <t>CUST-52960</t>
  </si>
  <si>
    <t>Graeme Thomas</t>
  </si>
  <si>
    <t>ACT-04243</t>
  </si>
  <si>
    <t>geoffreygiles@example.net</t>
  </si>
  <si>
    <t>NG5 1ZR</t>
  </si>
  <si>
    <t>ACT-04244</t>
  </si>
  <si>
    <t>ACC-12961</t>
  </si>
  <si>
    <t>CUST-52961</t>
  </si>
  <si>
    <t>Danny Farrell</t>
  </si>
  <si>
    <t>ACT-04245</t>
  </si>
  <si>
    <t>emily03@example.com</t>
  </si>
  <si>
    <t>WD77 5XY</t>
  </si>
  <si>
    <t>ACT-04246</t>
  </si>
  <si>
    <t>ACC-12962</t>
  </si>
  <si>
    <t>CUST-52962</t>
  </si>
  <si>
    <t>Jean Brown</t>
  </si>
  <si>
    <t>ACT-04247</t>
  </si>
  <si>
    <t>psullivan@example.net</t>
  </si>
  <si>
    <t>IG35 8HQ</t>
  </si>
  <si>
    <t>ACC-12963</t>
  </si>
  <si>
    <t>CUST-52963</t>
  </si>
  <si>
    <t>Elliott Singh</t>
  </si>
  <si>
    <t>ACT-04248</t>
  </si>
  <si>
    <t>antonydavies@example.com</t>
  </si>
  <si>
    <t>SM4R 0NJ</t>
  </si>
  <si>
    <t>ACC-12964</t>
  </si>
  <si>
    <t>ACT-04249</t>
  </si>
  <si>
    <t>CUST-52964</t>
  </si>
  <si>
    <t>Cheryl Evans</t>
  </si>
  <si>
    <t>chloe98@example.org</t>
  </si>
  <si>
    <t>ACT-04250</t>
  </si>
  <si>
    <t>G7J 1DW</t>
  </si>
  <si>
    <t>ACT-04251</t>
  </si>
  <si>
    <t>ACC-12965</t>
  </si>
  <si>
    <t>CUST-52965</t>
  </si>
  <si>
    <t>Sylvia Brown</t>
  </si>
  <si>
    <t>ACT-04252</t>
  </si>
  <si>
    <t>houghtonwayne@example.com</t>
  </si>
  <si>
    <t>CR8E 0BA</t>
  </si>
  <si>
    <t>ACT-04253</t>
  </si>
  <si>
    <t>ACC-12966</t>
  </si>
  <si>
    <t>CUST-52966</t>
  </si>
  <si>
    <t>Molly Carr</t>
  </si>
  <si>
    <t>ACT-04254</t>
  </si>
  <si>
    <t>tpatel@example.com</t>
  </si>
  <si>
    <t>E6B 1YY</t>
  </si>
  <si>
    <t>ACC-12967</t>
  </si>
  <si>
    <t>CUST-52967</t>
  </si>
  <si>
    <t>ACT-04255</t>
  </si>
  <si>
    <t>Miss Joyce King</t>
  </si>
  <si>
    <t>dennisanne@example.net</t>
  </si>
  <si>
    <t>CH7B 1ED</t>
  </si>
  <si>
    <t>ACT-04256</t>
  </si>
  <si>
    <t>ACC-12968</t>
  </si>
  <si>
    <t>CUST-52968</t>
  </si>
  <si>
    <t>Edward Scott</t>
  </si>
  <si>
    <t>ACT-04257</t>
  </si>
  <si>
    <t>harrismathew@example.net</t>
  </si>
  <si>
    <t>S8A 2SX</t>
  </si>
  <si>
    <t>ACT-04258</t>
  </si>
  <si>
    <t>ACC-12969</t>
  </si>
  <si>
    <t>CUST-52969</t>
  </si>
  <si>
    <t>Mr Paul Williams</t>
  </si>
  <si>
    <t>ACT-04259</t>
  </si>
  <si>
    <t>justinblackburn@example.com</t>
  </si>
  <si>
    <t>L8D 3XS</t>
  </si>
  <si>
    <t>ACC-12970</t>
  </si>
  <si>
    <t>ACT-04260</t>
  </si>
  <si>
    <t>CUST-52970</t>
  </si>
  <si>
    <t>Miss Anna Taylor</t>
  </si>
  <si>
    <t>iain36@example.net</t>
  </si>
  <si>
    <t>E9 2AS</t>
  </si>
  <si>
    <t>ACT-04261</t>
  </si>
  <si>
    <t>ACC-12971</t>
  </si>
  <si>
    <t>CUST-52971</t>
  </si>
  <si>
    <t>Jack Winter</t>
  </si>
  <si>
    <t>ACT-04262</t>
  </si>
  <si>
    <t>fiona10@example.net</t>
  </si>
  <si>
    <t>N2 2AH</t>
  </si>
  <si>
    <t>ACC-12972</t>
  </si>
  <si>
    <t>CUST-52972</t>
  </si>
  <si>
    <t>ACT-04263</t>
  </si>
  <si>
    <t>Alice Vincent</t>
  </si>
  <si>
    <t>webstersharon@example.org</t>
  </si>
  <si>
    <t>WN1 4EZ</t>
  </si>
  <si>
    <t>ACT-04264</t>
  </si>
  <si>
    <t>ACC-12973</t>
  </si>
  <si>
    <t>CUST-52973</t>
  </si>
  <si>
    <t>Cameron Hammond</t>
  </si>
  <si>
    <t>jeffrey21@example.org</t>
  </si>
  <si>
    <t>S41 2HG</t>
  </si>
  <si>
    <t>ACC-12974</t>
  </si>
  <si>
    <t>CUST-52974</t>
  </si>
  <si>
    <t>Tony Pearson</t>
  </si>
  <si>
    <t>ACT-04265</t>
  </si>
  <si>
    <t>smithmarcus@example.com</t>
  </si>
  <si>
    <t>BS6 9SU</t>
  </si>
  <si>
    <t>ACT-04266</t>
  </si>
  <si>
    <t>ACC-12975</t>
  </si>
  <si>
    <t>CUST-52975</t>
  </si>
  <si>
    <t>Carly Kelly-Chapman</t>
  </si>
  <si>
    <t>ACT-04267</t>
  </si>
  <si>
    <t>howard45@example.com</t>
  </si>
  <si>
    <t>W6J 7GQ</t>
  </si>
  <si>
    <t>ACC-12976</t>
  </si>
  <si>
    <t>CUST-52976</t>
  </si>
  <si>
    <t>Dr Hugh Baker</t>
  </si>
  <si>
    <t>ACT-04268</t>
  </si>
  <si>
    <t>grogers@example.com</t>
  </si>
  <si>
    <t>M30 4FL</t>
  </si>
  <si>
    <t>ACT-04269</t>
  </si>
  <si>
    <t>ACC-12977</t>
  </si>
  <si>
    <t>CUST-52977</t>
  </si>
  <si>
    <t>Lee Hopkins</t>
  </si>
  <si>
    <t>ACT-04270</t>
  </si>
  <si>
    <t>NG0E 5QW</t>
  </si>
  <si>
    <t>ACC-12978</t>
  </si>
  <si>
    <t>CUST-52978</t>
  </si>
  <si>
    <t>Ashleigh Hunter</t>
  </si>
  <si>
    <t>ACT-04271</t>
  </si>
  <si>
    <t>marie55@example.org</t>
  </si>
  <si>
    <t>LL1 8YP</t>
  </si>
  <si>
    <t>ACC-12979</t>
  </si>
  <si>
    <t>CUST-52979</t>
  </si>
  <si>
    <t>ACT-04272</t>
  </si>
  <si>
    <t>Beverley Townsend</t>
  </si>
  <si>
    <t>harrisvalerie@example.org</t>
  </si>
  <si>
    <t>B1D 2JE</t>
  </si>
  <si>
    <t>ACT-04273</t>
  </si>
  <si>
    <t>ACC-12980</t>
  </si>
  <si>
    <t>CUST-52980</t>
  </si>
  <si>
    <t>Alexandra Adams-Archer</t>
  </si>
  <si>
    <t>ACT-04274</t>
  </si>
  <si>
    <t>stewartvaughan@example.com</t>
  </si>
  <si>
    <t>ML0Y 2DP</t>
  </si>
  <si>
    <t>ACC-12981</t>
  </si>
  <si>
    <t>CUST-52981</t>
  </si>
  <si>
    <t>ACT-04275</t>
  </si>
  <si>
    <t>Leon Barnes</t>
  </si>
  <si>
    <t>turneralexander@example.net</t>
  </si>
  <si>
    <t>TW5V 2HH</t>
  </si>
  <si>
    <t>ACT-04276</t>
  </si>
  <si>
    <t>ACC-12982</t>
  </si>
  <si>
    <t>CUST-52982</t>
  </si>
  <si>
    <t>Mr Ricky Adams</t>
  </si>
  <si>
    <t>ACT-04277</t>
  </si>
  <si>
    <t>qmarsh@example.com</t>
  </si>
  <si>
    <t>ACT-04278</t>
  </si>
  <si>
    <t>HD21 8JX</t>
  </si>
  <si>
    <t>ACC-12983</t>
  </si>
  <si>
    <t>ACT-04279</t>
  </si>
  <si>
    <t>CUST-52983</t>
  </si>
  <si>
    <t>Miss Melanie Russell</t>
  </si>
  <si>
    <t>paula58@example.com</t>
  </si>
  <si>
    <t>CT86 5QA</t>
  </si>
  <si>
    <t>ACT-04280</t>
  </si>
  <si>
    <t>ACC-12984</t>
  </si>
  <si>
    <t>CUST-52984</t>
  </si>
  <si>
    <t>Adrian Brown</t>
  </si>
  <si>
    <t>chapmankevin@example.net</t>
  </si>
  <si>
    <t>N74 2UF</t>
  </si>
  <si>
    <t>ACT-04281</t>
  </si>
  <si>
    <t>ACC-12985</t>
  </si>
  <si>
    <t>CUST-52985</t>
  </si>
  <si>
    <t>Louis Jones</t>
  </si>
  <si>
    <t>ACT-04282</t>
  </si>
  <si>
    <t>tracy91@example.net</t>
  </si>
  <si>
    <t>N83 4XY</t>
  </si>
  <si>
    <t>ACC-12986</t>
  </si>
  <si>
    <t>CUST-52986</t>
  </si>
  <si>
    <t>Martin Allan</t>
  </si>
  <si>
    <t>ACT-04283</t>
  </si>
  <si>
    <t>robinsonnatasha@example.org</t>
  </si>
  <si>
    <t>SL3H 2HY</t>
  </si>
  <si>
    <t>ACT-04284</t>
  </si>
  <si>
    <t>ACC-12987</t>
  </si>
  <si>
    <t>CUST-52987</t>
  </si>
  <si>
    <t>Iain Hill</t>
  </si>
  <si>
    <t>cmoore@example.net</t>
  </si>
  <si>
    <t>ACT-04285</t>
  </si>
  <si>
    <t>NW87 1WY</t>
  </si>
  <si>
    <t>ACC-12988</t>
  </si>
  <si>
    <t>CUST-52988</t>
  </si>
  <si>
    <t>Adrian Robinson</t>
  </si>
  <si>
    <t>ACT-04286</t>
  </si>
  <si>
    <t>G48 8SN</t>
  </si>
  <si>
    <t>ACC-12989</t>
  </si>
  <si>
    <t>CUST-52989</t>
  </si>
  <si>
    <t>ACT-04287</t>
  </si>
  <si>
    <t>Gerald Pope</t>
  </si>
  <si>
    <t>efoster@example.net</t>
  </si>
  <si>
    <t>B0K 1HF</t>
  </si>
  <si>
    <t>ACT-04288</t>
  </si>
  <si>
    <t>ACC-12990</t>
  </si>
  <si>
    <t>CUST-52990</t>
  </si>
  <si>
    <t>Naomi Hall</t>
  </si>
  <si>
    <t>ACT-04289</t>
  </si>
  <si>
    <t>boothgillian@example.net</t>
  </si>
  <si>
    <t>B8 1TB</t>
  </si>
  <si>
    <t>ACT-04290</t>
  </si>
  <si>
    <t>ACC-12991</t>
  </si>
  <si>
    <t>CUST-52991</t>
  </si>
  <si>
    <t>Anne Bennett</t>
  </si>
  <si>
    <t>ACT-04291</t>
  </si>
  <si>
    <t>kreed@example.org</t>
  </si>
  <si>
    <t>WA02 0QQ</t>
  </si>
  <si>
    <t>ACT-04292</t>
  </si>
  <si>
    <t>ACC-12992</t>
  </si>
  <si>
    <t>CUST-52992</t>
  </si>
  <si>
    <t>Molly Newton</t>
  </si>
  <si>
    <t>ACT-04293</t>
  </si>
  <si>
    <t>cherylwalker@example.com</t>
  </si>
  <si>
    <t>HA3 5TH</t>
  </si>
  <si>
    <t>ACT-04294</t>
  </si>
  <si>
    <t>ACC-12993</t>
  </si>
  <si>
    <t>CUST-52993</t>
  </si>
  <si>
    <t>Clifford Parsons</t>
  </si>
  <si>
    <t>ACT-04295</t>
  </si>
  <si>
    <t>N4 8PJ</t>
  </si>
  <si>
    <t>ACC-12994</t>
  </si>
  <si>
    <t>CUST-52994</t>
  </si>
  <si>
    <t>Liam Holden-Shaw</t>
  </si>
  <si>
    <t>ACT-04296</t>
  </si>
  <si>
    <t>maureen17@example.org</t>
  </si>
  <si>
    <t>SE80 4HN</t>
  </si>
  <si>
    <t>ACT-04297</t>
  </si>
  <si>
    <t>ACC-12995</t>
  </si>
  <si>
    <t>CUST-52995</t>
  </si>
  <si>
    <t>Ms Carole Williams</t>
  </si>
  <si>
    <t>natashahunt@example.org</t>
  </si>
  <si>
    <t>N80 4YH</t>
  </si>
  <si>
    <t>ACC-12996</t>
  </si>
  <si>
    <t>CUST-52996</t>
  </si>
  <si>
    <t>ACT-04298</t>
  </si>
  <si>
    <t>Miss Rachel Cross</t>
  </si>
  <si>
    <t>amandacarter@example.org</t>
  </si>
  <si>
    <t>S0T 2EW</t>
  </si>
  <si>
    <t>ACC-12997</t>
  </si>
  <si>
    <t>CUST-52997</t>
  </si>
  <si>
    <t>Gemma Holmes</t>
  </si>
  <si>
    <t>ACT-04299</t>
  </si>
  <si>
    <t>martinlynne@example.com</t>
  </si>
  <si>
    <t>GU5 8GE</t>
  </si>
  <si>
    <t>ACT-04300</t>
  </si>
  <si>
    <t>ACC-12998</t>
  </si>
  <si>
    <t>CUST-52998</t>
  </si>
  <si>
    <t>Ms Joan Schofield</t>
  </si>
  <si>
    <t>ACT-04301</t>
  </si>
  <si>
    <t>dianebarton@example.net</t>
  </si>
  <si>
    <t>ACT-04302</t>
  </si>
  <si>
    <t>M5 8LE</t>
  </si>
  <si>
    <t>ACC-12999</t>
  </si>
  <si>
    <t>CUST-52999</t>
  </si>
  <si>
    <t>Hayley Dyer</t>
  </si>
  <si>
    <t>ACT-04303</t>
  </si>
  <si>
    <t>mclarke@example.org</t>
  </si>
  <si>
    <t>GL2 0DG</t>
  </si>
  <si>
    <t>ACC-13000</t>
  </si>
  <si>
    <t>CUST-53000</t>
  </si>
  <si>
    <t>ACT-04304</t>
  </si>
  <si>
    <t>Miss Jennifer Duncan</t>
  </si>
  <si>
    <t>hollienicholson@example.com</t>
  </si>
  <si>
    <t>ACT-04305</t>
  </si>
  <si>
    <t>E57 3UX</t>
  </si>
  <si>
    <t>ACC-13001</t>
  </si>
  <si>
    <t>CUST-53001</t>
  </si>
  <si>
    <t>Jack Smith</t>
  </si>
  <si>
    <t>ACT-04306</t>
  </si>
  <si>
    <t>eileenkirby@example.org</t>
  </si>
  <si>
    <t>CT1W 2SX</t>
  </si>
  <si>
    <t>ACC-13002</t>
  </si>
  <si>
    <t>ACT-04307</t>
  </si>
  <si>
    <t>CUST-53002</t>
  </si>
  <si>
    <t>Joseph Wilkins</t>
  </si>
  <si>
    <t>aimeelewis@example.org</t>
  </si>
  <si>
    <t>ACT-04308</t>
  </si>
  <si>
    <t>G7J 6YY</t>
  </si>
  <si>
    <t>ACC-13003</t>
  </si>
  <si>
    <t>CUST-53003</t>
  </si>
  <si>
    <t>Joe Thomas</t>
  </si>
  <si>
    <t>ACT-04309</t>
  </si>
  <si>
    <t>TN2 6HZ</t>
  </si>
  <si>
    <t>ACC-13004</t>
  </si>
  <si>
    <t>CUST-53004</t>
  </si>
  <si>
    <t>Mr Glen Thornton</t>
  </si>
  <si>
    <t>ACT-04310</t>
  </si>
  <si>
    <t>hicksmaurice@example.com</t>
  </si>
  <si>
    <t>S2K 0WT</t>
  </si>
  <si>
    <t>ACT-04311</t>
  </si>
  <si>
    <t>ACC-13005</t>
  </si>
  <si>
    <t>CUST-53005</t>
  </si>
  <si>
    <t>Dylan Williams</t>
  </si>
  <si>
    <t>ACT-04312</t>
  </si>
  <si>
    <t>gbegum@example.com</t>
  </si>
  <si>
    <t>JE80 1TD</t>
  </si>
  <si>
    <t>ACC-13006</t>
  </si>
  <si>
    <t>CUST-53006</t>
  </si>
  <si>
    <t>Jessica Roberts</t>
  </si>
  <si>
    <t>ACT-04313</t>
  </si>
  <si>
    <t>fpratt@example.net</t>
  </si>
  <si>
    <t>BA6R 4XP</t>
  </si>
  <si>
    <t>ACT-04314</t>
  </si>
  <si>
    <t>ACC-13007</t>
  </si>
  <si>
    <t>CUST-53007</t>
  </si>
  <si>
    <t>Dr Ricky Bevan</t>
  </si>
  <si>
    <t>siangray@example.org</t>
  </si>
  <si>
    <t>ACT-04315</t>
  </si>
  <si>
    <t>S9 2YL</t>
  </si>
  <si>
    <t>ACC-13008</t>
  </si>
  <si>
    <t>CUST-53008</t>
  </si>
  <si>
    <t>Mrs Harriet Higgins</t>
  </si>
  <si>
    <t>ACT-04316</t>
  </si>
  <si>
    <t>victoria23@example.net</t>
  </si>
  <si>
    <t>FY1N 3HR</t>
  </si>
  <si>
    <t>ACC-13009</t>
  </si>
  <si>
    <t>ACT-04317</t>
  </si>
  <si>
    <t>CUST-53009</t>
  </si>
  <si>
    <t>Rachael Holloway-Murphy</t>
  </si>
  <si>
    <t>natalie17@example.com</t>
  </si>
  <si>
    <t>DN5 2JA</t>
  </si>
  <si>
    <t>ACC-13010</t>
  </si>
  <si>
    <t>CUST-53010</t>
  </si>
  <si>
    <t>Julian Hill-Coates</t>
  </si>
  <si>
    <t>ACT-04318</t>
  </si>
  <si>
    <t>hargreavesolivia@example.com</t>
  </si>
  <si>
    <t>S21 0PT</t>
  </si>
  <si>
    <t>ACC-13011</t>
  </si>
  <si>
    <t>CUST-53011</t>
  </si>
  <si>
    <t>Kim Thomas</t>
  </si>
  <si>
    <t>luke16@example.net</t>
  </si>
  <si>
    <t>MK6 8SS</t>
  </si>
  <si>
    <t>ACT-04319</t>
  </si>
  <si>
    <t>ACC-13012</t>
  </si>
  <si>
    <t>CUST-53012</t>
  </si>
  <si>
    <t>Kimberley Hutchinson-Banks</t>
  </si>
  <si>
    <t>kayleigh40@example.org</t>
  </si>
  <si>
    <t>WV6 6HQ</t>
  </si>
  <si>
    <t>ACT-04320</t>
  </si>
  <si>
    <t>ACC-13013</t>
  </si>
  <si>
    <t>CUST-53013</t>
  </si>
  <si>
    <t>Ms Kayleigh Long</t>
  </si>
  <si>
    <t>ACT-04321</t>
  </si>
  <si>
    <t>simpsonaaron@example.com</t>
  </si>
  <si>
    <t>SO86 8TW</t>
  </si>
  <si>
    <t>ACC-13014</t>
  </si>
  <si>
    <t>CUST-53014</t>
  </si>
  <si>
    <t>Toby McDonald</t>
  </si>
  <si>
    <t>ACT-04322</t>
  </si>
  <si>
    <t>hwright@example.net</t>
  </si>
  <si>
    <t>G3E 6XN</t>
  </si>
  <si>
    <t>ACC-13015</t>
  </si>
  <si>
    <t>CUST-53015</t>
  </si>
  <si>
    <t>Jacqueline Frost</t>
  </si>
  <si>
    <t>ACT-04323</t>
  </si>
  <si>
    <t>walkertina@example.net</t>
  </si>
  <si>
    <t>ACT-04324</t>
  </si>
  <si>
    <t>S0F 1FX</t>
  </si>
  <si>
    <t>ACC-13016</t>
  </si>
  <si>
    <t>CUST-53016</t>
  </si>
  <si>
    <t>Jordan Williams</t>
  </si>
  <si>
    <t>ACT-04325</t>
  </si>
  <si>
    <t>zgriffiths@example.net</t>
  </si>
  <si>
    <t>L44 6RH</t>
  </si>
  <si>
    <t>ACT-04326</t>
  </si>
  <si>
    <t>ACC-13017</t>
  </si>
  <si>
    <t>CUST-53017</t>
  </si>
  <si>
    <t>Simon Berry</t>
  </si>
  <si>
    <t>edwardhope@example.com</t>
  </si>
  <si>
    <t>ACT-04327</t>
  </si>
  <si>
    <t>G86 7RU</t>
  </si>
  <si>
    <t>ACC-13018</t>
  </si>
  <si>
    <t>CUST-53018</t>
  </si>
  <si>
    <t>Stanley Mills</t>
  </si>
  <si>
    <t>ACT-04328</t>
  </si>
  <si>
    <t>qwilson@example.org</t>
  </si>
  <si>
    <t>E8E 1UG</t>
  </si>
  <si>
    <t>ACC-13019</t>
  </si>
  <si>
    <t>CUST-53019</t>
  </si>
  <si>
    <t>Michelle Hart</t>
  </si>
  <si>
    <t>ACT-04329</t>
  </si>
  <si>
    <t>kevinhowell@example.net</t>
  </si>
  <si>
    <t>G32 1DX</t>
  </si>
  <si>
    <t>ACT-04330</t>
  </si>
  <si>
    <t>ACC-13020</t>
  </si>
  <si>
    <t>CUST-53020</t>
  </si>
  <si>
    <t>Darren Morley</t>
  </si>
  <si>
    <t>ACT-04331</t>
  </si>
  <si>
    <t>yvonnepowell@example.com</t>
  </si>
  <si>
    <t>EN75 7UU</t>
  </si>
  <si>
    <t>ACC-13021</t>
  </si>
  <si>
    <t>CUST-53021</t>
  </si>
  <si>
    <t>Carol Hunt</t>
  </si>
  <si>
    <t>ACT-04332</t>
  </si>
  <si>
    <t>clarkkevin@example.org</t>
  </si>
  <si>
    <t>EX20 5QZ</t>
  </si>
  <si>
    <t>ACT-04333</t>
  </si>
  <si>
    <t>ACC-13022</t>
  </si>
  <si>
    <t>CUST-53022</t>
  </si>
  <si>
    <t>lyndawatkins@example.net</t>
  </si>
  <si>
    <t>ACT-04334</t>
  </si>
  <si>
    <t>L0G 7PH</t>
  </si>
  <si>
    <t>ACC-13023</t>
  </si>
  <si>
    <t>CUST-53023</t>
  </si>
  <si>
    <t>Jay Mitchell</t>
  </si>
  <si>
    <t>ACT-04335</t>
  </si>
  <si>
    <t>bethan27@example.net</t>
  </si>
  <si>
    <t>B11 9UJ</t>
  </si>
  <si>
    <t>ACC-13024</t>
  </si>
  <si>
    <t>ACT-04336</t>
  </si>
  <si>
    <t>CUST-53024</t>
  </si>
  <si>
    <t>Bruce Heath</t>
  </si>
  <si>
    <t>ian49@example.com</t>
  </si>
  <si>
    <t>ACT-04337</t>
  </si>
  <si>
    <t>W47 3AQ</t>
  </si>
  <si>
    <t>ACC-13025</t>
  </si>
  <si>
    <t>CUST-53025</t>
  </si>
  <si>
    <t>Dr Maureen Barlow</t>
  </si>
  <si>
    <t>ACT-04338</t>
  </si>
  <si>
    <t>bethan91@example.org</t>
  </si>
  <si>
    <t>WD77 9NU</t>
  </si>
  <si>
    <t>ACC-13026</t>
  </si>
  <si>
    <t>CUST-53026</t>
  </si>
  <si>
    <t>Samuel Stone</t>
  </si>
  <si>
    <t>ACT-04339</t>
  </si>
  <si>
    <t>hopkinsanne@example.com</t>
  </si>
  <si>
    <t>PR9A 5ZT</t>
  </si>
  <si>
    <t>ACT-04340</t>
  </si>
  <si>
    <t>ACC-13027</t>
  </si>
  <si>
    <t>CUST-53027</t>
  </si>
  <si>
    <t>Dominic Noble-Powell</t>
  </si>
  <si>
    <t>ACT-04341</t>
  </si>
  <si>
    <t>lbond@example.org</t>
  </si>
  <si>
    <t>L3C 7SB</t>
  </si>
  <si>
    <t>ACC-13028</t>
  </si>
  <si>
    <t>CUST-53028</t>
  </si>
  <si>
    <t>Dr Malcolm Barrett</t>
  </si>
  <si>
    <t>ACT-04342</t>
  </si>
  <si>
    <t>fionapatel@example.org</t>
  </si>
  <si>
    <t>BS8W 0RF</t>
  </si>
  <si>
    <t>ACT-04343</t>
  </si>
  <si>
    <t>ACC-13029</t>
  </si>
  <si>
    <t>CUST-53029</t>
  </si>
  <si>
    <t>Clare Jones-Fletcher</t>
  </si>
  <si>
    <t>xsimpson@example.org</t>
  </si>
  <si>
    <t>ACT-04344</t>
  </si>
  <si>
    <t>TS4B 7QE</t>
  </si>
  <si>
    <t>ACC-13030</t>
  </si>
  <si>
    <t>CUST-53030</t>
  </si>
  <si>
    <t>ACT-04345</t>
  </si>
  <si>
    <t>jowen@example.net</t>
  </si>
  <si>
    <t>MK9A 6AY</t>
  </si>
  <si>
    <t>ACT-04346</t>
  </si>
  <si>
    <t>ACC-13031</t>
  </si>
  <si>
    <t>CUST-53031</t>
  </si>
  <si>
    <t>Dr Jason Moore</t>
  </si>
  <si>
    <t>baileydenis@example.org</t>
  </si>
  <si>
    <t>ACT-04347</t>
  </si>
  <si>
    <t>RG12 4WN</t>
  </si>
  <si>
    <t>ACC-13032</t>
  </si>
  <si>
    <t>CUST-53032</t>
  </si>
  <si>
    <t>Sally Harper</t>
  </si>
  <si>
    <t>ACT-04348</t>
  </si>
  <si>
    <t>garrybradley@example.net</t>
  </si>
  <si>
    <t>LS5 5LF</t>
  </si>
  <si>
    <t>ACC-13033</t>
  </si>
  <si>
    <t>ACT-04349</t>
  </si>
  <si>
    <t>CUST-53033</t>
  </si>
  <si>
    <t>Shane Simpson</t>
  </si>
  <si>
    <t>trevor93@example.com</t>
  </si>
  <si>
    <t>E2 6JY</t>
  </si>
  <si>
    <t>ACT-04350</t>
  </si>
  <si>
    <t>ACC-13034</t>
  </si>
  <si>
    <t>CUST-53034</t>
  </si>
  <si>
    <t>Dr Damien Smith</t>
  </si>
  <si>
    <t>ACT-04351</t>
  </si>
  <si>
    <t>SP75 2HG</t>
  </si>
  <si>
    <t>ACC-13035</t>
  </si>
  <si>
    <t>CUST-53035</t>
  </si>
  <si>
    <t>Natasha Ahmed-Stone</t>
  </si>
  <si>
    <t>ACT-04352</t>
  </si>
  <si>
    <t>simonbradshaw@example.org</t>
  </si>
  <si>
    <t>B6T 0BH</t>
  </si>
  <si>
    <t>ACT-04353</t>
  </si>
  <si>
    <t>ACC-13036</t>
  </si>
  <si>
    <t>CUST-53036</t>
  </si>
  <si>
    <t>ACT-04354</t>
  </si>
  <si>
    <t>Mr Alexander Brown</t>
  </si>
  <si>
    <t>ACT-04355</t>
  </si>
  <si>
    <t>CM7V 0YH</t>
  </si>
  <si>
    <t>ACT-04356</t>
  </si>
  <si>
    <t>ACC-13037</t>
  </si>
  <si>
    <t>CUST-53037</t>
  </si>
  <si>
    <t>Jayne Lewis</t>
  </si>
  <si>
    <t>hardythomas@example.com</t>
  </si>
  <si>
    <t>ACT-04357</t>
  </si>
  <si>
    <t>EC60 4US</t>
  </si>
  <si>
    <t>ACC-13038</t>
  </si>
  <si>
    <t>CUST-53038</t>
  </si>
  <si>
    <t>Glenn Richards</t>
  </si>
  <si>
    <t>ACT-04358</t>
  </si>
  <si>
    <t>megan46@example.com</t>
  </si>
  <si>
    <t>ACT-04359</t>
  </si>
  <si>
    <t>AL4 4TG</t>
  </si>
  <si>
    <t>ACC-13039</t>
  </si>
  <si>
    <t>CUST-53039</t>
  </si>
  <si>
    <t>Mrs Amy Bryant</t>
  </si>
  <si>
    <t>ACT-04360</t>
  </si>
  <si>
    <t>lbrown@example.org</t>
  </si>
  <si>
    <t>S93 6QR</t>
  </si>
  <si>
    <t>ACT-04361</t>
  </si>
  <si>
    <t>ACC-13040</t>
  </si>
  <si>
    <t>CUST-53040</t>
  </si>
  <si>
    <t>Dr Ian Davies</t>
  </si>
  <si>
    <t>ACT-04362</t>
  </si>
  <si>
    <t>ihoward@example.net</t>
  </si>
  <si>
    <t>S10 8UG</t>
  </si>
  <si>
    <t>ACC-13041</t>
  </si>
  <si>
    <t>CUST-53041</t>
  </si>
  <si>
    <t>Mary Whittaker-Coleman</t>
  </si>
  <si>
    <t>ACT-04363</t>
  </si>
  <si>
    <t>ruthwilliamson@example.net</t>
  </si>
  <si>
    <t>ACT-04364</t>
  </si>
  <si>
    <t>N57 4AD</t>
  </si>
  <si>
    <t>ACC-13042</t>
  </si>
  <si>
    <t>ACT-04365</t>
  </si>
  <si>
    <t>CUST-53042</t>
  </si>
  <si>
    <t>Mohammad Jackson</t>
  </si>
  <si>
    <t>ACT-04366</t>
  </si>
  <si>
    <t>victor90@example.com</t>
  </si>
  <si>
    <t>SK5 3JF</t>
  </si>
  <si>
    <t>ACT-04367</t>
  </si>
  <si>
    <t>ACC-13043</t>
  </si>
  <si>
    <t>CUST-53043</t>
  </si>
  <si>
    <t>Victor Butcher-Brown</t>
  </si>
  <si>
    <t>ACT-04368</t>
  </si>
  <si>
    <t>emma52@example.net</t>
  </si>
  <si>
    <t>TS7 3DN</t>
  </si>
  <si>
    <t>ACT-04369</t>
  </si>
  <si>
    <t>ACC-13044</t>
  </si>
  <si>
    <t>CUST-53044</t>
  </si>
  <si>
    <t>Nigel Ward</t>
  </si>
  <si>
    <t>ACT-04370</t>
  </si>
  <si>
    <t>banksellie@example.org</t>
  </si>
  <si>
    <t>E2 5RE</t>
  </si>
  <si>
    <t>ACT-04371</t>
  </si>
  <si>
    <t>ACC-13045</t>
  </si>
  <si>
    <t>CUST-53045</t>
  </si>
  <si>
    <t>Dr Maurice Barnett</t>
  </si>
  <si>
    <t>ACT-04372</t>
  </si>
  <si>
    <t>frances77@example.com</t>
  </si>
  <si>
    <t>DH6X 3LH</t>
  </si>
  <si>
    <t>ACT-04373</t>
  </si>
  <si>
    <t>ACC-13046</t>
  </si>
  <si>
    <t>CUST-53046</t>
  </si>
  <si>
    <t>Mr Carl Martin</t>
  </si>
  <si>
    <t>ACT-04374</t>
  </si>
  <si>
    <t>ACT-04375</t>
  </si>
  <si>
    <t>N1B 8AQ</t>
  </si>
  <si>
    <t>ACC-13047</t>
  </si>
  <si>
    <t>CUST-53047</t>
  </si>
  <si>
    <t>ACT-04376</t>
  </si>
  <si>
    <t>Lee Roberts-Burns</t>
  </si>
  <si>
    <t>ACT-04377</t>
  </si>
  <si>
    <t>joshuablack@example.com</t>
  </si>
  <si>
    <t>TF9B 4YP</t>
  </si>
  <si>
    <t>ACT-04378</t>
  </si>
  <si>
    <t>ACC-13048</t>
  </si>
  <si>
    <t>CUST-53048</t>
  </si>
  <si>
    <t>Dr Susan Dale</t>
  </si>
  <si>
    <t>ACT-04379</t>
  </si>
  <si>
    <t>ACT-04380</t>
  </si>
  <si>
    <t>cherylsmith@example.com</t>
  </si>
  <si>
    <t>DA0 9BF</t>
  </si>
  <si>
    <t>ACC-13049</t>
  </si>
  <si>
    <t>ACT-04381</t>
  </si>
  <si>
    <t>CUST-53049</t>
  </si>
  <si>
    <t>Cameron Young</t>
  </si>
  <si>
    <t>ACT-04382</t>
  </si>
  <si>
    <t>andrewdavies@example.org</t>
  </si>
  <si>
    <t>WD8H 3AD</t>
  </si>
  <si>
    <t>ACT-04383</t>
  </si>
  <si>
    <t>ACC-13050</t>
  </si>
  <si>
    <t>CUST-53050</t>
  </si>
  <si>
    <t>ACT-04384</t>
  </si>
  <si>
    <t>Mr Ian Watts</t>
  </si>
  <si>
    <t>charltongregory@example.com</t>
  </si>
  <si>
    <t>ACT-04385</t>
  </si>
  <si>
    <t>LA1 0RX</t>
  </si>
  <si>
    <t>ACC-13051</t>
  </si>
  <si>
    <t>ACT-04386</t>
  </si>
  <si>
    <t>CUST-53051</t>
  </si>
  <si>
    <t>Miss Elizabeth Allan</t>
  </si>
  <si>
    <t>ACT-04387</t>
  </si>
  <si>
    <t>tgilbert@example.com</t>
  </si>
  <si>
    <t>E44 8FE</t>
  </si>
  <si>
    <t>ACT-04388</t>
  </si>
  <si>
    <t>ACC-13052</t>
  </si>
  <si>
    <t>CUST-53052</t>
  </si>
  <si>
    <t>Toby Holmes</t>
  </si>
  <si>
    <t>ACT-04389</t>
  </si>
  <si>
    <t>rholmes@example.net</t>
  </si>
  <si>
    <t>IG2 7GF</t>
  </si>
  <si>
    <t>ACT-04390</t>
  </si>
  <si>
    <t>ACC-13053</t>
  </si>
  <si>
    <t>CUST-53053</t>
  </si>
  <si>
    <t>Abigail Williams-Houghton</t>
  </si>
  <si>
    <t>hurstphillip@example.net</t>
  </si>
  <si>
    <t>ACT-04391</t>
  </si>
  <si>
    <t>UB30 3AL</t>
  </si>
  <si>
    <t>ACC-13054</t>
  </si>
  <si>
    <t>CUST-53054</t>
  </si>
  <si>
    <t>Martyn Smith</t>
  </si>
  <si>
    <t>ACT-04392</t>
  </si>
  <si>
    <t>N7H 3QB</t>
  </si>
  <si>
    <t>ACT-04393</t>
  </si>
  <si>
    <t>ACC-13055</t>
  </si>
  <si>
    <t>CUST-53055</t>
  </si>
  <si>
    <t>Terry Taylor</t>
  </si>
  <si>
    <t>ACT-04394</t>
  </si>
  <si>
    <t>diana26@example.org</t>
  </si>
  <si>
    <t>CM79 7TA</t>
  </si>
  <si>
    <t>ACT-04395</t>
  </si>
  <si>
    <t>ACC-13056</t>
  </si>
  <si>
    <t>CUST-53056</t>
  </si>
  <si>
    <t>Frank Collins</t>
  </si>
  <si>
    <t>ACT-04396</t>
  </si>
  <si>
    <t>saundersann@example.com</t>
  </si>
  <si>
    <t>BS3 1NN</t>
  </si>
  <si>
    <t>ACC-13057</t>
  </si>
  <si>
    <t>ACT-04397</t>
  </si>
  <si>
    <t>CUST-53057</t>
  </si>
  <si>
    <t>Dr Susan Mitchell</t>
  </si>
  <si>
    <t>ACT-04398</t>
  </si>
  <si>
    <t>slee@example.com</t>
  </si>
  <si>
    <t>L1C 6GE</t>
  </si>
  <si>
    <t>ACT-04399</t>
  </si>
  <si>
    <t>ACC-13058</t>
  </si>
  <si>
    <t>CUST-53058</t>
  </si>
  <si>
    <t>Nicole Morris</t>
  </si>
  <si>
    <t>ACT-04400</t>
  </si>
  <si>
    <t>ACT-04401</t>
  </si>
  <si>
    <t>stuartwilliams@example.com</t>
  </si>
  <si>
    <t>WC2V 0PX</t>
  </si>
  <si>
    <t>ACC-13059</t>
  </si>
  <si>
    <t>CUST-53059</t>
  </si>
  <si>
    <t>William Taylor</t>
  </si>
  <si>
    <t>ACT-04402</t>
  </si>
  <si>
    <t>matthewstephenson@example.com</t>
  </si>
  <si>
    <t>ACT-04403</t>
  </si>
  <si>
    <t>M98 7XE</t>
  </si>
  <si>
    <t>ACC-13060</t>
  </si>
  <si>
    <t>CUST-53060</t>
  </si>
  <si>
    <t>ACT-04404</t>
  </si>
  <si>
    <t>Carolyn Watson</t>
  </si>
  <si>
    <t>huntlee@example.org</t>
  </si>
  <si>
    <t>N7 4WE</t>
  </si>
  <si>
    <t>ACT-04405</t>
  </si>
  <si>
    <t>ACC-13061</t>
  </si>
  <si>
    <t>CUST-53061</t>
  </si>
  <si>
    <t>Julian Reed</t>
  </si>
  <si>
    <t>ACT-04406</t>
  </si>
  <si>
    <t>ACT-04407</t>
  </si>
  <si>
    <t>lee51@example.com</t>
  </si>
  <si>
    <t>B0S 3WF</t>
  </si>
  <si>
    <t>ACC-13062</t>
  </si>
  <si>
    <t>ACT-04408</t>
  </si>
  <si>
    <t>CUST-53062</t>
  </si>
  <si>
    <t>Suzanne Gregory</t>
  </si>
  <si>
    <t>ACT-04409</t>
  </si>
  <si>
    <t>yswift@example.net</t>
  </si>
  <si>
    <t>N9 1TP</t>
  </si>
  <si>
    <t>ACT-04410</t>
  </si>
  <si>
    <t>ACC-13063</t>
  </si>
  <si>
    <t>CUST-53063</t>
  </si>
  <si>
    <t>Mr Toby Reynolds</t>
  </si>
  <si>
    <t>ACT-04411</t>
  </si>
  <si>
    <t>wongmichelle@example.net</t>
  </si>
  <si>
    <t>W3E 5SP</t>
  </si>
  <si>
    <t>ACT-04412</t>
  </si>
  <si>
    <t>ACC-13064</t>
  </si>
  <si>
    <t>CUST-53064</t>
  </si>
  <si>
    <t>Patrick Heath-Brooks</t>
  </si>
  <si>
    <t>ACT-04413</t>
  </si>
  <si>
    <t>lgreen@example.net</t>
  </si>
  <si>
    <t>S9 8HZ</t>
  </si>
  <si>
    <t>ACT-04414</t>
  </si>
  <si>
    <t>ACC-13065</t>
  </si>
  <si>
    <t>ACT-04415</t>
  </si>
  <si>
    <t>CUST-53065</t>
  </si>
  <si>
    <t>Alexandra Pearce-Wheeler</t>
  </si>
  <si>
    <t>ACT-04416</t>
  </si>
  <si>
    <t>danielbowen@example.org</t>
  </si>
  <si>
    <t>ACT-04417</t>
  </si>
  <si>
    <t>L2A 4HL</t>
  </si>
  <si>
    <t>ACC-13066</t>
  </si>
  <si>
    <t>CUST-53066</t>
  </si>
  <si>
    <t>Emma Todd</t>
  </si>
  <si>
    <t>ACT-04418</t>
  </si>
  <si>
    <t>bullpatrick@example.net</t>
  </si>
  <si>
    <t>ACT-04419</t>
  </si>
  <si>
    <t>W7 3RQ</t>
  </si>
  <si>
    <t>ACC-13067</t>
  </si>
  <si>
    <t>CUST-53067</t>
  </si>
  <si>
    <t>ACT-04420</t>
  </si>
  <si>
    <t>Dean Robinson-Chambers</t>
  </si>
  <si>
    <t>ACT-04421</t>
  </si>
  <si>
    <t>carterdenise@example.com</t>
  </si>
  <si>
    <t>KY26 9YA</t>
  </si>
  <si>
    <t>ACT-04422</t>
  </si>
  <si>
    <t>ACC-13068</t>
  </si>
  <si>
    <t>CUST-53068</t>
  </si>
  <si>
    <t>Justin Gardiner</t>
  </si>
  <si>
    <t>ACT-04423</t>
  </si>
  <si>
    <t>knightscott@example.net</t>
  </si>
  <si>
    <t>M43 2JD</t>
  </si>
  <si>
    <t>ACT-04424</t>
  </si>
  <si>
    <t>ACC-13069</t>
  </si>
  <si>
    <t>CUST-53069</t>
  </si>
  <si>
    <t>ACT-04425</t>
  </si>
  <si>
    <t>Mr Paul Simmons</t>
  </si>
  <si>
    <t>grahammiles@example.com</t>
  </si>
  <si>
    <t>ACT-04426</t>
  </si>
  <si>
    <t>G0 8DH</t>
  </si>
  <si>
    <t>ACT-04427</t>
  </si>
  <si>
    <t>ACC-13070</t>
  </si>
  <si>
    <t>CUST-53070</t>
  </si>
  <si>
    <t>Samantha Foster</t>
  </si>
  <si>
    <t>ACT-04428</t>
  </si>
  <si>
    <t>zwilliams@example.net</t>
  </si>
  <si>
    <t>ACT-04429</t>
  </si>
  <si>
    <t>G7 7BW</t>
  </si>
  <si>
    <t>ACC-13071</t>
  </si>
  <si>
    <t>ACT-04430</t>
  </si>
  <si>
    <t>CUST-53071</t>
  </si>
  <si>
    <t>Valerie Thomas</t>
  </si>
  <si>
    <t>ACT-04431</t>
  </si>
  <si>
    <t>fberry@example.com</t>
  </si>
  <si>
    <t>GY8N 3TZ</t>
  </si>
  <si>
    <t>ACT-04432</t>
  </si>
  <si>
    <t>ACC-13072</t>
  </si>
  <si>
    <t>CUST-53072</t>
  </si>
  <si>
    <t>ACT-04433</t>
  </si>
  <si>
    <t>Olivia Hooper-Hill</t>
  </si>
  <si>
    <t>ACT-04434</t>
  </si>
  <si>
    <t>ntyler@example.org</t>
  </si>
  <si>
    <t>M7 0RZ</t>
  </si>
  <si>
    <t>ACT-04435</t>
  </si>
  <si>
    <t>ACC-13073</t>
  </si>
  <si>
    <t>CUST-53073</t>
  </si>
  <si>
    <t>Mr Nigel Walsh</t>
  </si>
  <si>
    <t>ACT-04436</t>
  </si>
  <si>
    <t>elizabethwilliams@example.net</t>
  </si>
  <si>
    <t>BD6 2XY</t>
  </si>
  <si>
    <t>ACT-04437</t>
  </si>
  <si>
    <t>ACC-13074</t>
  </si>
  <si>
    <t>CUST-53074</t>
  </si>
  <si>
    <t>Dr Stanley Savage</t>
  </si>
  <si>
    <t>ACT-04438</t>
  </si>
  <si>
    <t>ACT-04439</t>
  </si>
  <si>
    <t>L63 2SX</t>
  </si>
  <si>
    <t>ACT-04440</t>
  </si>
  <si>
    <t>ACC-13075</t>
  </si>
  <si>
    <t>CUST-53075</t>
  </si>
  <si>
    <t>Dr Caroline Anderson</t>
  </si>
  <si>
    <t>ACT-04441</t>
  </si>
  <si>
    <t>sahmed@example.net</t>
  </si>
  <si>
    <t>IG70 3FZ</t>
  </si>
  <si>
    <t>ACC-13076</t>
  </si>
  <si>
    <t>ACT-04442</t>
  </si>
  <si>
    <t>CUST-53076</t>
  </si>
  <si>
    <t>Amanda Hughes</t>
  </si>
  <si>
    <t>ACT-04443</t>
  </si>
  <si>
    <t>justin27@example.com</t>
  </si>
  <si>
    <t>S5 0TT</t>
  </si>
  <si>
    <t>ACT-04444</t>
  </si>
  <si>
    <t>ACC-13077</t>
  </si>
  <si>
    <t>CUST-53077</t>
  </si>
  <si>
    <t>Timothy Coleman-Rogers</t>
  </si>
  <si>
    <t>ACT-04445</t>
  </si>
  <si>
    <t>reidbeverley@example.net</t>
  </si>
  <si>
    <t>S96 7EG</t>
  </si>
  <si>
    <t>ACT-04446</t>
  </si>
  <si>
    <t>ACC-13078</t>
  </si>
  <si>
    <t>CUST-53078</t>
  </si>
  <si>
    <t>ACT-04447</t>
  </si>
  <si>
    <t>Mr Harry John</t>
  </si>
  <si>
    <t>ACT-04448</t>
  </si>
  <si>
    <t>tonygriffiths@example.com</t>
  </si>
  <si>
    <t>E1 7RP</t>
  </si>
  <si>
    <t>ACT-04449</t>
  </si>
  <si>
    <t>ACC-13079</t>
  </si>
  <si>
    <t>CUST-53079</t>
  </si>
  <si>
    <t>Natalie Thomas</t>
  </si>
  <si>
    <t>ACT-04450</t>
  </si>
  <si>
    <t>revans@example.net</t>
  </si>
  <si>
    <t>ACT-04451</t>
  </si>
  <si>
    <t>E3 2PH</t>
  </si>
  <si>
    <t>ACT-04452</t>
  </si>
  <si>
    <t>ACC-13080</t>
  </si>
  <si>
    <t>CUST-53080</t>
  </si>
  <si>
    <t>Gail Miller</t>
  </si>
  <si>
    <t>ACT-04453</t>
  </si>
  <si>
    <t>jonesshane@example.net</t>
  </si>
  <si>
    <t>ACT-04454</t>
  </si>
  <si>
    <t>AB11 5TG</t>
  </si>
  <si>
    <t>ACC-13081</t>
  </si>
  <si>
    <t>ACT-04455</t>
  </si>
  <si>
    <t>CUST-53081</t>
  </si>
  <si>
    <t>Dr Geoffrey Parsons</t>
  </si>
  <si>
    <t>ACT-04456</t>
  </si>
  <si>
    <t>uyoung@example.net</t>
  </si>
  <si>
    <t>L67 3GS</t>
  </si>
  <si>
    <t>ACT-04457</t>
  </si>
  <si>
    <t>ACC-13082</t>
  </si>
  <si>
    <t>CUST-53082</t>
  </si>
  <si>
    <t>Dr Mark Clarke</t>
  </si>
  <si>
    <t>ACT-04458</t>
  </si>
  <si>
    <t>lynn82@example.com</t>
  </si>
  <si>
    <t>L2 7HT</t>
  </si>
  <si>
    <t>ACC-13083</t>
  </si>
  <si>
    <t>ACT-04459</t>
  </si>
  <si>
    <t>CUST-53083</t>
  </si>
  <si>
    <t>Leigh Moss</t>
  </si>
  <si>
    <t>ACT-04460</t>
  </si>
  <si>
    <t>mcdonaldkim@example.com</t>
  </si>
  <si>
    <t>DD7Y 9PN</t>
  </si>
  <si>
    <t>ACT-04461</t>
  </si>
  <si>
    <t>ACC-13084</t>
  </si>
  <si>
    <t>CUST-53084</t>
  </si>
  <si>
    <t>Stanley Patel-Dixon</t>
  </si>
  <si>
    <t>ACT-04462</t>
  </si>
  <si>
    <t>rpatel@example.net</t>
  </si>
  <si>
    <t>RG2A 0BF</t>
  </si>
  <si>
    <t>ACT-04463</t>
  </si>
  <si>
    <t>ACC-13085</t>
  </si>
  <si>
    <t>CUST-53085</t>
  </si>
  <si>
    <t>Elliot Kelly</t>
  </si>
  <si>
    <t>ACT-04464</t>
  </si>
  <si>
    <t>thompsonolivia@example.com</t>
  </si>
  <si>
    <t>W4E 5BW</t>
  </si>
  <si>
    <t>ACT-04465</t>
  </si>
  <si>
    <t>ACC-13086</t>
  </si>
  <si>
    <t>CUST-53086</t>
  </si>
  <si>
    <t>Miss Lindsey Cameron</t>
  </si>
  <si>
    <t>ACT-04466</t>
  </si>
  <si>
    <t>christopherbarker@example.net</t>
  </si>
  <si>
    <t>ACT-04467</t>
  </si>
  <si>
    <t>L14 7YP</t>
  </si>
  <si>
    <t>ACC-13087</t>
  </si>
  <si>
    <t>ACT-04468</t>
  </si>
  <si>
    <t>CUST-53087</t>
  </si>
  <si>
    <t>Patricia McCarthy</t>
  </si>
  <si>
    <t>ACT-04469</t>
  </si>
  <si>
    <t>fosteremma@example.com</t>
  </si>
  <si>
    <t>G3 3EJ</t>
  </si>
  <si>
    <t>ACC-13088</t>
  </si>
  <si>
    <t>CUST-53088</t>
  </si>
  <si>
    <t>Jeremy Porter</t>
  </si>
  <si>
    <t>ACT-04470</t>
  </si>
  <si>
    <t>ahmeddale@example.org</t>
  </si>
  <si>
    <t>N52 2NT</t>
  </si>
  <si>
    <t>ACC-13089</t>
  </si>
  <si>
    <t>CUST-53089</t>
  </si>
  <si>
    <t>ACT-04471</t>
  </si>
  <si>
    <t>Stephen Taylor</t>
  </si>
  <si>
    <t>ACT-04472</t>
  </si>
  <si>
    <t>M90 7RW</t>
  </si>
  <si>
    <t>ACC-13090</t>
  </si>
  <si>
    <t>CUST-53090</t>
  </si>
  <si>
    <t>Dr Francis Cole</t>
  </si>
  <si>
    <t>ACT-04473</t>
  </si>
  <si>
    <t>vharris@example.org</t>
  </si>
  <si>
    <t>M8J 7FH</t>
  </si>
  <si>
    <t>ACT-04474</t>
  </si>
  <si>
    <t>ACC-13091</t>
  </si>
  <si>
    <t>CUST-53091</t>
  </si>
  <si>
    <t>Julie Bates-Field</t>
  </si>
  <si>
    <t>ACT-04475</t>
  </si>
  <si>
    <t>gordon00@example.net</t>
  </si>
  <si>
    <t>ACT-04476</t>
  </si>
  <si>
    <t>PH3 6EX</t>
  </si>
  <si>
    <t>ACC-13092</t>
  </si>
  <si>
    <t>CUST-53092</t>
  </si>
  <si>
    <t>Danny Armstrong</t>
  </si>
  <si>
    <t>ACT-04477</t>
  </si>
  <si>
    <t>marieroberts@example.net</t>
  </si>
  <si>
    <t>LN5X 5AE</t>
  </si>
  <si>
    <t>ACC-13093</t>
  </si>
  <si>
    <t>ACT-04478</t>
  </si>
  <si>
    <t>CUST-53093</t>
  </si>
  <si>
    <t>Dr Christopher Mason</t>
  </si>
  <si>
    <t>ellisclifford@example.net</t>
  </si>
  <si>
    <t>G29 8FU</t>
  </si>
  <si>
    <t>ACT-04479</t>
  </si>
  <si>
    <t>ACC-13094</t>
  </si>
  <si>
    <t>CUST-53094</t>
  </si>
  <si>
    <t>Mr Keith Atkinson</t>
  </si>
  <si>
    <t>glennshaw@example.net</t>
  </si>
  <si>
    <t>ACT-04480</t>
  </si>
  <si>
    <t>S0G 7GR</t>
  </si>
  <si>
    <t>ACC-13095</t>
  </si>
  <si>
    <t>CUST-53095</t>
  </si>
  <si>
    <t>Mr Ross Cook</t>
  </si>
  <si>
    <t>ACT-04481</t>
  </si>
  <si>
    <t>tracytaylor@example.net</t>
  </si>
  <si>
    <t>G2 4UB</t>
  </si>
  <si>
    <t>ACT-04482</t>
  </si>
  <si>
    <t>ACC-13096</t>
  </si>
  <si>
    <t>CUST-53096</t>
  </si>
  <si>
    <t>Mohammad Shaw-Robinson</t>
  </si>
  <si>
    <t>glennjones@example.com</t>
  </si>
  <si>
    <t>ACT-04483</t>
  </si>
  <si>
    <t>WC96 8XA</t>
  </si>
  <si>
    <t>ACC-13097</t>
  </si>
  <si>
    <t>CUST-53097</t>
  </si>
  <si>
    <t>Sylvia Mitchell</t>
  </si>
  <si>
    <t>ACT-04484</t>
  </si>
  <si>
    <t>mannmaurice@example.org</t>
  </si>
  <si>
    <t>SM78 9WA</t>
  </si>
  <si>
    <t>ACC-13098</t>
  </si>
  <si>
    <t>CUST-53098</t>
  </si>
  <si>
    <t>Samuel Matthews</t>
  </si>
  <si>
    <t>ACT-04485</t>
  </si>
  <si>
    <t>orichardson@example.com</t>
  </si>
  <si>
    <t>ACT-04486</t>
  </si>
  <si>
    <t>S00 4XL</t>
  </si>
  <si>
    <t>ACT-04487</t>
  </si>
  <si>
    <t>ACC-13099</t>
  </si>
  <si>
    <t>CUST-53099</t>
  </si>
  <si>
    <t>Miss Melissa Phillips</t>
  </si>
  <si>
    <t>ACT-04488</t>
  </si>
  <si>
    <t>andersonrebecca@example.com</t>
  </si>
  <si>
    <t>TN8N 3ZR</t>
  </si>
  <si>
    <t>ACT-04489</t>
  </si>
  <si>
    <t>ACC-13100</t>
  </si>
  <si>
    <t>CUST-53100</t>
  </si>
  <si>
    <t>Georgia Doyle-Smith</t>
  </si>
  <si>
    <t>ACT-04490</t>
  </si>
  <si>
    <t>rossbaker@example.net</t>
  </si>
  <si>
    <t>OX0 6DX</t>
  </si>
  <si>
    <t>ACT-04491</t>
  </si>
  <si>
    <t>ACC-13101</t>
  </si>
  <si>
    <t>CUST-53101</t>
  </si>
  <si>
    <t>Dr Victoria Hunt</t>
  </si>
  <si>
    <t>ACT-04492</t>
  </si>
  <si>
    <t>ACT-04493</t>
  </si>
  <si>
    <t>sharpmandy@example.com</t>
  </si>
  <si>
    <t>N17 0AX</t>
  </si>
  <si>
    <t>ACT-04494</t>
  </si>
  <si>
    <t>ACC-13102</t>
  </si>
  <si>
    <t>CUST-53102</t>
  </si>
  <si>
    <t>Susan Rogers</t>
  </si>
  <si>
    <t>ACT-04495</t>
  </si>
  <si>
    <t>debrafoster@example.org</t>
  </si>
  <si>
    <t>LA5 4JJ</t>
  </si>
  <si>
    <t>ACT-04496</t>
  </si>
  <si>
    <t>ACC-13103</t>
  </si>
  <si>
    <t>CUST-53103</t>
  </si>
  <si>
    <t>Maureen Robinson</t>
  </si>
  <si>
    <t>ACT-04497</t>
  </si>
  <si>
    <t>benfoster@example.org</t>
  </si>
  <si>
    <t>ACT-04498</t>
  </si>
  <si>
    <t>E6 9FH</t>
  </si>
  <si>
    <t>ACT-04499</t>
  </si>
  <si>
    <t>ACC-13104</t>
  </si>
  <si>
    <t>CUST-53104</t>
  </si>
  <si>
    <t>Duncan Booth</t>
  </si>
  <si>
    <t>ACT-04500</t>
  </si>
  <si>
    <t>aimee98@example.com</t>
  </si>
  <si>
    <t>W4 3WP</t>
  </si>
  <si>
    <t>ACT-04501</t>
  </si>
  <si>
    <t>ACC-13105</t>
  </si>
  <si>
    <t>CUST-53105</t>
  </si>
  <si>
    <t>ACT-04502</t>
  </si>
  <si>
    <t>Ms Hilary Butler</t>
  </si>
  <si>
    <t>ACT-04503</t>
  </si>
  <si>
    <t>ymorris@example.com</t>
  </si>
  <si>
    <t>PL4E 1UF</t>
  </si>
  <si>
    <t>ACT-04504</t>
  </si>
  <si>
    <t>ACC-13106</t>
  </si>
  <si>
    <t>CUST-53106</t>
  </si>
  <si>
    <t>Sarah Patel</t>
  </si>
  <si>
    <t>ACT-04505</t>
  </si>
  <si>
    <t>ACT-04506</t>
  </si>
  <si>
    <t>suzannerobson@example.org</t>
  </si>
  <si>
    <t>RH9 6RL</t>
  </si>
  <si>
    <t>ACT-04507</t>
  </si>
  <si>
    <t>ACC-13107</t>
  </si>
  <si>
    <t>CUST-53107</t>
  </si>
  <si>
    <t>Robin Reynolds</t>
  </si>
  <si>
    <t>ACT-04508</t>
  </si>
  <si>
    <t>ACT-04509</t>
  </si>
  <si>
    <t>sophie03@example.net</t>
  </si>
  <si>
    <t>L9 2AX</t>
  </si>
  <si>
    <t>ACT-04510</t>
  </si>
  <si>
    <t>ACC-13108</t>
  </si>
  <si>
    <t>CUST-53108</t>
  </si>
  <si>
    <t>Abigail Vincent</t>
  </si>
  <si>
    <t>ACT-04511</t>
  </si>
  <si>
    <t>ACT-04512</t>
  </si>
  <si>
    <t>singhsamuel@example.org</t>
  </si>
  <si>
    <t>EN22 6BX</t>
  </si>
  <si>
    <t>ACT-04513</t>
  </si>
  <si>
    <t>ACC-13109</t>
  </si>
  <si>
    <t>CUST-53109</t>
  </si>
  <si>
    <t>Gail Jones</t>
  </si>
  <si>
    <t>ACT-04514</t>
  </si>
  <si>
    <t>fordrussell@example.com</t>
  </si>
  <si>
    <t>L60 3NZ</t>
  </si>
  <si>
    <t>ACT-04515</t>
  </si>
  <si>
    <t>ACC-13110</t>
  </si>
  <si>
    <t>CUST-53110</t>
  </si>
  <si>
    <t>Leanne Allen</t>
  </si>
  <si>
    <t>ACT-04516</t>
  </si>
  <si>
    <t>olivia24@example.com</t>
  </si>
  <si>
    <t>S23 3AG</t>
  </si>
  <si>
    <t>ACC-13111</t>
  </si>
  <si>
    <t>CUST-53111</t>
  </si>
  <si>
    <t>Adrian Forster</t>
  </si>
  <si>
    <t>ACT-04517</t>
  </si>
  <si>
    <t>michelle04@example.org</t>
  </si>
  <si>
    <t>CO8 8SW</t>
  </si>
  <si>
    <t>ACT-04518</t>
  </si>
  <si>
    <t>ACC-13112</t>
  </si>
  <si>
    <t>CUST-53112</t>
  </si>
  <si>
    <t>Dr Marcus Allen</t>
  </si>
  <si>
    <t>ACT-04519</t>
  </si>
  <si>
    <t>bevancarole@example.com</t>
  </si>
  <si>
    <t>N72 4ZE</t>
  </si>
  <si>
    <t>ACT-04520</t>
  </si>
  <si>
    <t>ACC-13113</t>
  </si>
  <si>
    <t>CUST-53113</t>
  </si>
  <si>
    <t>Melanie Thomas</t>
  </si>
  <si>
    <t>bryan98@example.com</t>
  </si>
  <si>
    <t>ACT-04521</t>
  </si>
  <si>
    <t>L4 7AA</t>
  </si>
  <si>
    <t>ACC-13114</t>
  </si>
  <si>
    <t>CUST-53114</t>
  </si>
  <si>
    <t>Michelle Townsend</t>
  </si>
  <si>
    <t>ACT-04522</t>
  </si>
  <si>
    <t>june44@example.net</t>
  </si>
  <si>
    <t>DL8 6XQ</t>
  </si>
  <si>
    <t>ACC-13115</t>
  </si>
  <si>
    <t>ACT-04523</t>
  </si>
  <si>
    <t>CUST-53115</t>
  </si>
  <si>
    <t>Abbie Evans</t>
  </si>
  <si>
    <t>srichards@example.net</t>
  </si>
  <si>
    <t>KW6Y 8ZD</t>
  </si>
  <si>
    <t>ACT-04524</t>
  </si>
  <si>
    <t>ACC-13116</t>
  </si>
  <si>
    <t>CUST-53116</t>
  </si>
  <si>
    <t>Donald Francis</t>
  </si>
  <si>
    <t>ACT-04525</t>
  </si>
  <si>
    <t>curtismalcolm@example.com</t>
  </si>
  <si>
    <t>PE68 8EB</t>
  </si>
  <si>
    <t>ACC-13117</t>
  </si>
  <si>
    <t>CUST-53117</t>
  </si>
  <si>
    <t>Dr Jay White</t>
  </si>
  <si>
    <t>ACT-04526</t>
  </si>
  <si>
    <t>stewartmann@example.net</t>
  </si>
  <si>
    <t>N74 5AB</t>
  </si>
  <si>
    <t>ACT-04527</t>
  </si>
  <si>
    <t>ACC-13118</t>
  </si>
  <si>
    <t>CUST-53118</t>
  </si>
  <si>
    <t>Jay Baker</t>
  </si>
  <si>
    <t>joel23@example.net</t>
  </si>
  <si>
    <t>ACT-04528</t>
  </si>
  <si>
    <t>DG4E 8GY</t>
  </si>
  <si>
    <t>ACC-13119</t>
  </si>
  <si>
    <t>CUST-53119</t>
  </si>
  <si>
    <t>Christian Cooper-Cooke</t>
  </si>
  <si>
    <t>ACT-04529</t>
  </si>
  <si>
    <t>vjackson@example.com</t>
  </si>
  <si>
    <t>E9F 0WT</t>
  </si>
  <si>
    <t>ACT-04530</t>
  </si>
  <si>
    <t>ACC-13120</t>
  </si>
  <si>
    <t>CUST-53120</t>
  </si>
  <si>
    <t>Adrian Smith-Dawson</t>
  </si>
  <si>
    <t>ACT-04531</t>
  </si>
  <si>
    <t>gemmajohnson@example.net</t>
  </si>
  <si>
    <t>N0G 2RA</t>
  </si>
  <si>
    <t>ACC-13121</t>
  </si>
  <si>
    <t>CUST-53121</t>
  </si>
  <si>
    <t>Abbie Norton</t>
  </si>
  <si>
    <t>ACT-04532</t>
  </si>
  <si>
    <t>stanleylee@example.com</t>
  </si>
  <si>
    <t>B5 8GD</t>
  </si>
  <si>
    <t>ACT-04533</t>
  </si>
  <si>
    <t>ACC-13122</t>
  </si>
  <si>
    <t>CUST-53122</t>
  </si>
  <si>
    <t>Dr Denis Powell</t>
  </si>
  <si>
    <t>ACT-04534</t>
  </si>
  <si>
    <t>phillipholmes@example.org</t>
  </si>
  <si>
    <t>W51 6LE</t>
  </si>
  <si>
    <t>ACC-13123</t>
  </si>
  <si>
    <t>CUST-53123</t>
  </si>
  <si>
    <t>Dr Eric Osborne</t>
  </si>
  <si>
    <t>ACT-04535</t>
  </si>
  <si>
    <t>martinhall@example.net</t>
  </si>
  <si>
    <t>S60 1PH</t>
  </si>
  <si>
    <t>ACT-04536</t>
  </si>
  <si>
    <t>ACC-13124</t>
  </si>
  <si>
    <t>CUST-53124</t>
  </si>
  <si>
    <t>Bruce Clarke</t>
  </si>
  <si>
    <t>gthomas@example.com</t>
  </si>
  <si>
    <t>ACT-04537</t>
  </si>
  <si>
    <t>NR4P 1YR</t>
  </si>
  <si>
    <t>ACC-13125</t>
  </si>
  <si>
    <t>CUST-53125</t>
  </si>
  <si>
    <t>Gareth Miah</t>
  </si>
  <si>
    <t>guy63@example.net</t>
  </si>
  <si>
    <t>ACT-04538</t>
  </si>
  <si>
    <t>RH7H 3FF</t>
  </si>
  <si>
    <t>ACC-13126</t>
  </si>
  <si>
    <t>CUST-53126</t>
  </si>
  <si>
    <t>Dr Georgina Harper</t>
  </si>
  <si>
    <t>ACT-04539</t>
  </si>
  <si>
    <t>suzanne06@example.com</t>
  </si>
  <si>
    <t>L2 5DW</t>
  </si>
  <si>
    <t>ACC-13127</t>
  </si>
  <si>
    <t>CUST-53127</t>
  </si>
  <si>
    <t>Kirsty Pearson</t>
  </si>
  <si>
    <t>ACT-04540</t>
  </si>
  <si>
    <t>ritabarrett@example.net</t>
  </si>
  <si>
    <t>L67 5HJ</t>
  </si>
  <si>
    <t>ACT-04541</t>
  </si>
  <si>
    <t>ACC-13128</t>
  </si>
  <si>
    <t>CUST-53128</t>
  </si>
  <si>
    <t>Pamela Smith</t>
  </si>
  <si>
    <t>ACT-04542</t>
  </si>
  <si>
    <t>emills@example.org</t>
  </si>
  <si>
    <t>HA2 7WN</t>
  </si>
  <si>
    <t>ACT-04543</t>
  </si>
  <si>
    <t>ACC-13129</t>
  </si>
  <si>
    <t>CUST-53129</t>
  </si>
  <si>
    <t>Hazel Webb</t>
  </si>
  <si>
    <t>ACT-04544</t>
  </si>
  <si>
    <t>grantjustin@example.net</t>
  </si>
  <si>
    <t>EX3X 5JT</t>
  </si>
  <si>
    <t>ACT-04545</t>
  </si>
  <si>
    <t>ACC-13130</t>
  </si>
  <si>
    <t>CUST-53130</t>
  </si>
  <si>
    <t>Mr Kevin Daniels</t>
  </si>
  <si>
    <t>ACT-04546</t>
  </si>
  <si>
    <t>francescagibson@example.net</t>
  </si>
  <si>
    <t>LU0 2WJ</t>
  </si>
  <si>
    <t>ACC-13131</t>
  </si>
  <si>
    <t>ACT-04547</t>
  </si>
  <si>
    <t>CUST-53131</t>
  </si>
  <si>
    <t>Dr Roger Page</t>
  </si>
  <si>
    <t>katycooper@example.net</t>
  </si>
  <si>
    <t>FY96 7XT</t>
  </si>
  <si>
    <t>ACT-04548</t>
  </si>
  <si>
    <t>ACC-13132</t>
  </si>
  <si>
    <t>CUST-53132</t>
  </si>
  <si>
    <t>Dr Mohammad Davies</t>
  </si>
  <si>
    <t>ACT-04549</t>
  </si>
  <si>
    <t>qmurray@example.org</t>
  </si>
  <si>
    <t>E4 9XE</t>
  </si>
  <si>
    <t>ACC-13133</t>
  </si>
  <si>
    <t>ACT-04550</t>
  </si>
  <si>
    <t>CUST-53133</t>
  </si>
  <si>
    <t>Mitchell Thompson</t>
  </si>
  <si>
    <t>kirkalexander@example.org</t>
  </si>
  <si>
    <t>ACT-04551</t>
  </si>
  <si>
    <t>CV3N 0BY</t>
  </si>
  <si>
    <t>ACC-13134</t>
  </si>
  <si>
    <t>CUST-53134</t>
  </si>
  <si>
    <t>Angela Owen</t>
  </si>
  <si>
    <t>ACT-04552</t>
  </si>
  <si>
    <t>thart@example.com</t>
  </si>
  <si>
    <t>ACT-04553</t>
  </si>
  <si>
    <t>KT95 7WN</t>
  </si>
  <si>
    <t>ACC-13135</t>
  </si>
  <si>
    <t>CUST-53135</t>
  </si>
  <si>
    <t>Leanne Kemp</t>
  </si>
  <si>
    <t>ACT-04554</t>
  </si>
  <si>
    <t>KY2 2DZ</t>
  </si>
  <si>
    <t>ACC-13136</t>
  </si>
  <si>
    <t>CUST-53136</t>
  </si>
  <si>
    <t>Robert Ross-Cooper</t>
  </si>
  <si>
    <t>ACT-04555</t>
  </si>
  <si>
    <t>damienroberts@example.net</t>
  </si>
  <si>
    <t>ACT-04556</t>
  </si>
  <si>
    <t>G6A 9HY</t>
  </si>
  <si>
    <t>ACC-13137</t>
  </si>
  <si>
    <t>ACT-04557</t>
  </si>
  <si>
    <t>CUST-53137</t>
  </si>
  <si>
    <t>Ms Hazel Francis</t>
  </si>
  <si>
    <t>ACT-04558</t>
  </si>
  <si>
    <t>ronaldrandall@example.net</t>
  </si>
  <si>
    <t>E10 5PW</t>
  </si>
  <si>
    <t>ACC-13138</t>
  </si>
  <si>
    <t>CUST-53138</t>
  </si>
  <si>
    <t>Marcus Atkinson</t>
  </si>
  <si>
    <t>ACT-04559</t>
  </si>
  <si>
    <t>shannongray@example.net</t>
  </si>
  <si>
    <t>WS7V 7ES</t>
  </si>
  <si>
    <t>ACT-04560</t>
  </si>
  <si>
    <t>ACC-13139</t>
  </si>
  <si>
    <t>CUST-53139</t>
  </si>
  <si>
    <t>Leonard Lane-Russell</t>
  </si>
  <si>
    <t>ACT-04561</t>
  </si>
  <si>
    <t>darren27@example.net</t>
  </si>
  <si>
    <t>JE3 3DL</t>
  </si>
  <si>
    <t>ACT-04562</t>
  </si>
  <si>
    <t>ACC-13140</t>
  </si>
  <si>
    <t>CUST-53140</t>
  </si>
  <si>
    <t>Joanna Bowen</t>
  </si>
  <si>
    <t>laurapatel@example.org</t>
  </si>
  <si>
    <t>ACT-04563</t>
  </si>
  <si>
    <t>N5 0DA</t>
  </si>
  <si>
    <t>ACC-13141</t>
  </si>
  <si>
    <t>CUST-53141</t>
  </si>
  <si>
    <t>Mark Newton</t>
  </si>
  <si>
    <t>ACT-04564</t>
  </si>
  <si>
    <t>khansuzanne@example.com</t>
  </si>
  <si>
    <t>S3 5GT</t>
  </si>
  <si>
    <t>ACC-13142</t>
  </si>
  <si>
    <t>ACT-04565</t>
  </si>
  <si>
    <t>CUST-53142</t>
  </si>
  <si>
    <t>Ann Hawkins</t>
  </si>
  <si>
    <t>joseph33@example.net</t>
  </si>
  <si>
    <t>S4 9ZY</t>
  </si>
  <si>
    <t>ACT-04566</t>
  </si>
  <si>
    <t>ACC-13143</t>
  </si>
  <si>
    <t>CUST-53143</t>
  </si>
  <si>
    <t>Jayne O'Neill</t>
  </si>
  <si>
    <t>ACT-04567</t>
  </si>
  <si>
    <t>joyce12@example.org</t>
  </si>
  <si>
    <t>E22 9RX</t>
  </si>
  <si>
    <t>ACC-13144</t>
  </si>
  <si>
    <t>CUST-53144</t>
  </si>
  <si>
    <t>Alison Wood</t>
  </si>
  <si>
    <t>ACT-04568</t>
  </si>
  <si>
    <t>elliematthews@example.net</t>
  </si>
  <si>
    <t>BR76 0QH</t>
  </si>
  <si>
    <t>ACC-13145</t>
  </si>
  <si>
    <t>ACT-04569</t>
  </si>
  <si>
    <t>CUST-53145</t>
  </si>
  <si>
    <t>Linda Brown</t>
  </si>
  <si>
    <t>amoore@example.org</t>
  </si>
  <si>
    <t>CF28 0YU</t>
  </si>
  <si>
    <t>ACT-04570</t>
  </si>
  <si>
    <t>ACC-13146</t>
  </si>
  <si>
    <t>CUST-53146</t>
  </si>
  <si>
    <t>Ms Lucy Doyle</t>
  </si>
  <si>
    <t>ACT-04571</t>
  </si>
  <si>
    <t>holdenben@example.org</t>
  </si>
  <si>
    <t>G3A 0YE</t>
  </si>
  <si>
    <t>ACC-13147</t>
  </si>
  <si>
    <t>ACT-04572</t>
  </si>
  <si>
    <t>CUST-53147</t>
  </si>
  <si>
    <t>Kieran Price</t>
  </si>
  <si>
    <t>gary07@example.net</t>
  </si>
  <si>
    <t>ACT-04573</t>
  </si>
  <si>
    <t>DE0N 0AJ</t>
  </si>
  <si>
    <t>ACC-13148</t>
  </si>
  <si>
    <t>CUST-53148</t>
  </si>
  <si>
    <t>Marilyn Hughes</t>
  </si>
  <si>
    <t>ACT-04574</t>
  </si>
  <si>
    <t>kelly14@example.org</t>
  </si>
  <si>
    <t>GU9V 2QZ</t>
  </si>
  <si>
    <t>ACC-13149</t>
  </si>
  <si>
    <t>CUST-53149</t>
  </si>
  <si>
    <t>Jodie Parker</t>
  </si>
  <si>
    <t>ACT-04575</t>
  </si>
  <si>
    <t>zfoster@example.net</t>
  </si>
  <si>
    <t>B89 0FA</t>
  </si>
  <si>
    <t>ACT-04576</t>
  </si>
  <si>
    <t>ACC-13150</t>
  </si>
  <si>
    <t>CUST-53150</t>
  </si>
  <si>
    <t>Aimee Campbell</t>
  </si>
  <si>
    <t>ACT-04577</t>
  </si>
  <si>
    <t>stuartwright@example.com</t>
  </si>
  <si>
    <t>GL8 2FZ</t>
  </si>
  <si>
    <t>ACC-13151</t>
  </si>
  <si>
    <t>CUST-53151</t>
  </si>
  <si>
    <t>Dr Leonard Bradley</t>
  </si>
  <si>
    <t>ACT-04578</t>
  </si>
  <si>
    <t>lstephenson@example.com</t>
  </si>
  <si>
    <t>N4 0ZN</t>
  </si>
  <si>
    <t>ACT-04579</t>
  </si>
  <si>
    <t>ACC-13152</t>
  </si>
  <si>
    <t>CUST-53152</t>
  </si>
  <si>
    <t>Aaron Humphreys</t>
  </si>
  <si>
    <t>smithjonathan@example.net</t>
  </si>
  <si>
    <t>ACT-04580</t>
  </si>
  <si>
    <t>TN89 1SB</t>
  </si>
  <si>
    <t>ACC-13153</t>
  </si>
  <si>
    <t>CUST-53153</t>
  </si>
  <si>
    <t>Billy Hunt</t>
  </si>
  <si>
    <t>ACT-04581</t>
  </si>
  <si>
    <t>zrussell@example.com</t>
  </si>
  <si>
    <t>CB6M 2NB</t>
  </si>
  <si>
    <t>ACT-04582</t>
  </si>
  <si>
    <t>ACC-13154</t>
  </si>
  <si>
    <t>CUST-53154</t>
  </si>
  <si>
    <t>Tina Richards</t>
  </si>
  <si>
    <t>stacey51@example.org</t>
  </si>
  <si>
    <t>ACT-04583</t>
  </si>
  <si>
    <t>RH3M 1PG</t>
  </si>
  <si>
    <t>ACC-13155</t>
  </si>
  <si>
    <t>CUST-53155</t>
  </si>
  <si>
    <t>Mitchell Watson-Mellor</t>
  </si>
  <si>
    <t>ACT-04584</t>
  </si>
  <si>
    <t>jacobthompson@example.org</t>
  </si>
  <si>
    <t>G4 2ZT</t>
  </si>
  <si>
    <t>ACC-13156</t>
  </si>
  <si>
    <t>CUST-53156</t>
  </si>
  <si>
    <t>ACT-04585</t>
  </si>
  <si>
    <t>Craig Begum-Marshall</t>
  </si>
  <si>
    <t>moneill@example.org</t>
  </si>
  <si>
    <t>B1 2SD</t>
  </si>
  <si>
    <t>ACT-04586</t>
  </si>
  <si>
    <t>ACC-13157</t>
  </si>
  <si>
    <t>CUST-53157</t>
  </si>
  <si>
    <t>Lewis Hodgson</t>
  </si>
  <si>
    <t>ACT-04587</t>
  </si>
  <si>
    <t>westkathryn@example.org</t>
  </si>
  <si>
    <t>N11 8PT</t>
  </si>
  <si>
    <t>ACT-04588</t>
  </si>
  <si>
    <t>ACC-13158</t>
  </si>
  <si>
    <t>ACT-04589</t>
  </si>
  <si>
    <t>CUST-53158</t>
  </si>
  <si>
    <t>Pauline Davies</t>
  </si>
  <si>
    <t>ACT-04590</t>
  </si>
  <si>
    <t>ihunt@example.org</t>
  </si>
  <si>
    <t>G3 1ED</t>
  </si>
  <si>
    <t>ACT-04591</t>
  </si>
  <si>
    <t>ACC-13159</t>
  </si>
  <si>
    <t>CUST-53159</t>
  </si>
  <si>
    <t>Clive Stanley</t>
  </si>
  <si>
    <t>ACT-04592</t>
  </si>
  <si>
    <t>millsgordon@example.net</t>
  </si>
  <si>
    <t>S6J 5WS</t>
  </si>
  <si>
    <t>ACC-13160</t>
  </si>
  <si>
    <t>ACT-04593</t>
  </si>
  <si>
    <t>CUST-53160</t>
  </si>
  <si>
    <t>Garry Morris-Wilkinson</t>
  </si>
  <si>
    <t>ACT-04594</t>
  </si>
  <si>
    <t>deborah22@example.org</t>
  </si>
  <si>
    <t>GU2 8GD</t>
  </si>
  <si>
    <t>ACT-04595</t>
  </si>
  <si>
    <t>ACC-13161</t>
  </si>
  <si>
    <t>CUST-53161</t>
  </si>
  <si>
    <t>Caroline Thompson</t>
  </si>
  <si>
    <t>ACT-04596</t>
  </si>
  <si>
    <t>kingmark@example.org</t>
  </si>
  <si>
    <t>B9T 5GB</t>
  </si>
  <si>
    <t>ACT-04597</t>
  </si>
  <si>
    <t>ACC-13162</t>
  </si>
  <si>
    <t>CUST-53162</t>
  </si>
  <si>
    <t>ACT-04598</t>
  </si>
  <si>
    <t>Dr Malcolm Hussain</t>
  </si>
  <si>
    <t>gordongriffiths@example.com</t>
  </si>
  <si>
    <t>WA29 0PN</t>
  </si>
  <si>
    <t>ACC-13163</t>
  </si>
  <si>
    <t>ACT-04599</t>
  </si>
  <si>
    <t>CUST-53163</t>
  </si>
  <si>
    <t>Mrs Lydia Lloyd</t>
  </si>
  <si>
    <t>hilary98@example.net</t>
  </si>
  <si>
    <t>W2 7AA</t>
  </si>
  <si>
    <t>ACT-04600</t>
  </si>
  <si>
    <t>ACC-13164</t>
  </si>
  <si>
    <t>CUST-53164</t>
  </si>
  <si>
    <t>Anna Jenkins</t>
  </si>
  <si>
    <t>ACT-04601</t>
  </si>
  <si>
    <t>hmiller@example.net</t>
  </si>
  <si>
    <t>SP3X 4ZB</t>
  </si>
  <si>
    <t>ACC-13165</t>
  </si>
  <si>
    <t>CUST-53165</t>
  </si>
  <si>
    <t>Dr Deborah Roberts</t>
  </si>
  <si>
    <t>ACT-04602</t>
  </si>
  <si>
    <t>suzanne48@example.com</t>
  </si>
  <si>
    <t>ACT-04603</t>
  </si>
  <si>
    <t>S7K 5DA</t>
  </si>
  <si>
    <t>ACC-13166</t>
  </si>
  <si>
    <t>CUST-53166</t>
  </si>
  <si>
    <t>Dr Andrew Lawrence</t>
  </si>
  <si>
    <t>ACT-04604</t>
  </si>
  <si>
    <t>lynn86@example.net</t>
  </si>
  <si>
    <t>HP8 5TJ</t>
  </si>
  <si>
    <t>ACT-04605</t>
  </si>
  <si>
    <t>ACC-13167</t>
  </si>
  <si>
    <t>CUST-53167</t>
  </si>
  <si>
    <t>Frances Turner</t>
  </si>
  <si>
    <t>ACT-04606</t>
  </si>
  <si>
    <t>thomasadrian@example.com</t>
  </si>
  <si>
    <t>W6 1ZL</t>
  </si>
  <si>
    <t>ACT-04607</t>
  </si>
  <si>
    <t>ACC-13168</t>
  </si>
  <si>
    <t>CUST-53168</t>
  </si>
  <si>
    <t>Ms Jennifer Clarke</t>
  </si>
  <si>
    <t>ACT-04608</t>
  </si>
  <si>
    <t>henrystevens@example.com</t>
  </si>
  <si>
    <t>WV00 4PW</t>
  </si>
  <si>
    <t>ACT-04609</t>
  </si>
  <si>
    <t>ACC-13169</t>
  </si>
  <si>
    <t>CUST-53169</t>
  </si>
  <si>
    <t>Kayleigh Atkinson-Marshall</t>
  </si>
  <si>
    <t>ACT-04610</t>
  </si>
  <si>
    <t>ACT-04611</t>
  </si>
  <si>
    <t>ianjones@example.net</t>
  </si>
  <si>
    <t>W90 2BE</t>
  </si>
  <si>
    <t>ACT-04612</t>
  </si>
  <si>
    <t>ACC-13170</t>
  </si>
  <si>
    <t>CUST-53170</t>
  </si>
  <si>
    <t>Cameron Griffiths</t>
  </si>
  <si>
    <t>ACT-04613</t>
  </si>
  <si>
    <t>howard02@example.org</t>
  </si>
  <si>
    <t>LA7 1XB</t>
  </si>
  <si>
    <t>ACT-04614</t>
  </si>
  <si>
    <t>ACC-13171</t>
  </si>
  <si>
    <t>CUST-53171</t>
  </si>
  <si>
    <t>Abdul Richards</t>
  </si>
  <si>
    <t>ACT-04615</t>
  </si>
  <si>
    <t>ACT-04616</t>
  </si>
  <si>
    <t>turnerabdul@example.org</t>
  </si>
  <si>
    <t>M3U 8QW</t>
  </si>
  <si>
    <t>ACC-13172</t>
  </si>
  <si>
    <t>CUST-53172</t>
  </si>
  <si>
    <t>Trevor Jenkins-Wallis</t>
  </si>
  <si>
    <t>ACT-04617</t>
  </si>
  <si>
    <t>shaunwebb@example.org</t>
  </si>
  <si>
    <t>PL6 8DD</t>
  </si>
  <si>
    <t>ACT-04618</t>
  </si>
  <si>
    <t>ACC-13173</t>
  </si>
  <si>
    <t>CUST-53173</t>
  </si>
  <si>
    <t>Dr Shaun Wilkinson</t>
  </si>
  <si>
    <t>ajennings@example.com</t>
  </si>
  <si>
    <t>ACT-04619</t>
  </si>
  <si>
    <t>SL65 4TF</t>
  </si>
  <si>
    <t>ACC-13174</t>
  </si>
  <si>
    <t>CUST-53174</t>
  </si>
  <si>
    <t>Mathew Robinson</t>
  </si>
  <si>
    <t>ACT-04620</t>
  </si>
  <si>
    <t>ehenderson@example.net</t>
  </si>
  <si>
    <t>ACT-04621</t>
  </si>
  <si>
    <t>S2U 0BR</t>
  </si>
  <si>
    <t>ACC-13175</t>
  </si>
  <si>
    <t>CUST-53175</t>
  </si>
  <si>
    <t>ACT-04622</t>
  </si>
  <si>
    <t>Joanne Bird</t>
  </si>
  <si>
    <t>ACT-04623</t>
  </si>
  <si>
    <t>bethwright@example.net</t>
  </si>
  <si>
    <t>W6 1LT</t>
  </si>
  <si>
    <t>ACT-04624</t>
  </si>
  <si>
    <t>ACC-13176</t>
  </si>
  <si>
    <t>CUST-53176</t>
  </si>
  <si>
    <t>ACT-04625</t>
  </si>
  <si>
    <t>Kieran Kelly</t>
  </si>
  <si>
    <t>ACT-04626</t>
  </si>
  <si>
    <t>malcolmdavidson@example.net</t>
  </si>
  <si>
    <t>W25 6DA</t>
  </si>
  <si>
    <t>ACT-04627</t>
  </si>
  <si>
    <t>ACC-13177</t>
  </si>
  <si>
    <t>CUST-53177</t>
  </si>
  <si>
    <t>Dr Timothy Evans</t>
  </si>
  <si>
    <t>ACT-04628</t>
  </si>
  <si>
    <t>carole36@example.org</t>
  </si>
  <si>
    <t>E1 5RJ</t>
  </si>
  <si>
    <t>ACT-04629</t>
  </si>
  <si>
    <t>ACC-13178</t>
  </si>
  <si>
    <t>CUST-53178</t>
  </si>
  <si>
    <t>Trevor Gregory</t>
  </si>
  <si>
    <t>ACT-04630</t>
  </si>
  <si>
    <t>ACT-04631</t>
  </si>
  <si>
    <t>jennaclarke@example.org</t>
  </si>
  <si>
    <t>M81 0ZN</t>
  </si>
  <si>
    <t>ACT-04632</t>
  </si>
  <si>
    <t>ACC-13179</t>
  </si>
  <si>
    <t>CUST-53179</t>
  </si>
  <si>
    <t>Nicole Howarth</t>
  </si>
  <si>
    <t>ACT-04633</t>
  </si>
  <si>
    <t>jwood@example.org</t>
  </si>
  <si>
    <t>E6W 1PQ</t>
  </si>
  <si>
    <t>ACT-04634</t>
  </si>
  <si>
    <t>ACC-13180</t>
  </si>
  <si>
    <t>CUST-53180</t>
  </si>
  <si>
    <t>ACT-04635</t>
  </si>
  <si>
    <t>Maureen Birch</t>
  </si>
  <si>
    <t>ACT-04636</t>
  </si>
  <si>
    <t>grahamdiana@example.net</t>
  </si>
  <si>
    <t>L7 1UZ</t>
  </si>
  <si>
    <t>ACT-04637</t>
  </si>
  <si>
    <t>ACC-13181</t>
  </si>
  <si>
    <t>CUST-53181</t>
  </si>
  <si>
    <t>Dean Bartlett</t>
  </si>
  <si>
    <t>ACT-04638</t>
  </si>
  <si>
    <t>hlewis@example.org</t>
  </si>
  <si>
    <t>B9G 7FT</t>
  </si>
  <si>
    <t>ACC-13182</t>
  </si>
  <si>
    <t>ACT-04639</t>
  </si>
  <si>
    <t>CUST-53182</t>
  </si>
  <si>
    <t>Ms Barbara Hayward</t>
  </si>
  <si>
    <t>jane84@example.net</t>
  </si>
  <si>
    <t>HD5 5EQ</t>
  </si>
  <si>
    <t>ACT-04640</t>
  </si>
  <si>
    <t>ACC-13183</t>
  </si>
  <si>
    <t>CUST-53183</t>
  </si>
  <si>
    <t>ACT-04641</t>
  </si>
  <si>
    <t>Mr Robert Dobson</t>
  </si>
  <si>
    <t>ACT-04642</t>
  </si>
  <si>
    <t>daviesgerald@example.org</t>
  </si>
  <si>
    <t>KT6X 8XS</t>
  </si>
  <si>
    <t>ACT-04643</t>
  </si>
  <si>
    <t>ACC-13184</t>
  </si>
  <si>
    <t>CUST-53184</t>
  </si>
  <si>
    <t>Julie Hodgson</t>
  </si>
  <si>
    <t>ACT-04644</t>
  </si>
  <si>
    <t>ACT-04645</t>
  </si>
  <si>
    <t>M99 0AW</t>
  </si>
  <si>
    <t>ACT-04646</t>
  </si>
  <si>
    <t>ACC-13185</t>
  </si>
  <si>
    <t>CUST-53185</t>
  </si>
  <si>
    <t>Dr Maria Davies</t>
  </si>
  <si>
    <t>ACT-04647</t>
  </si>
  <si>
    <t>hayleyspencer@example.net</t>
  </si>
  <si>
    <t>N8 2SZ</t>
  </si>
  <si>
    <t>ACT-04648</t>
  </si>
  <si>
    <t>ACC-13186</t>
  </si>
  <si>
    <t>ACT-04649</t>
  </si>
  <si>
    <t>CUST-53186</t>
  </si>
  <si>
    <t>Conor Barrett</t>
  </si>
  <si>
    <t>ACT-04650</t>
  </si>
  <si>
    <t>robinrussell@example.com</t>
  </si>
  <si>
    <t>ACT-04651</t>
  </si>
  <si>
    <t>W6 7UZ</t>
  </si>
  <si>
    <t>ACC-13187</t>
  </si>
  <si>
    <t>CUST-53187</t>
  </si>
  <si>
    <t>Frederick King</t>
  </si>
  <si>
    <t>ACT-04652</t>
  </si>
  <si>
    <t>ACT-04653</t>
  </si>
  <si>
    <t>lorrainetaylor@example.com</t>
  </si>
  <si>
    <t>HP6V 9FH</t>
  </si>
  <si>
    <t>ACC-13188</t>
  </si>
  <si>
    <t>CUST-53188</t>
  </si>
  <si>
    <t>ACT-04654</t>
  </si>
  <si>
    <t>Graeme Todd</t>
  </si>
  <si>
    <t>mathewevans@example.net</t>
  </si>
  <si>
    <t>W7E 3HD</t>
  </si>
  <si>
    <t>ACT-04655</t>
  </si>
  <si>
    <t>ACC-13189</t>
  </si>
  <si>
    <t>CUST-53189</t>
  </si>
  <si>
    <t>ACT-04656</t>
  </si>
  <si>
    <t>Jordan Norton</t>
  </si>
  <si>
    <t>ACT-04657</t>
  </si>
  <si>
    <t>ncooper@example.com</t>
  </si>
  <si>
    <t>JE7R 9GW</t>
  </si>
  <si>
    <t>ACT-04658</t>
  </si>
  <si>
    <t>ACC-13190</t>
  </si>
  <si>
    <t>CUST-53190</t>
  </si>
  <si>
    <t>Billy Taylor</t>
  </si>
  <si>
    <t>ACT-04659</t>
  </si>
  <si>
    <t>ACT-04660</t>
  </si>
  <si>
    <t>daviesanna@example.com</t>
  </si>
  <si>
    <t>CV6 8RU</t>
  </si>
  <si>
    <t>ACC-13191</t>
  </si>
  <si>
    <t>ACT-04661</t>
  </si>
  <si>
    <t>CUST-53191</t>
  </si>
  <si>
    <t>Jay Bond-Ryan</t>
  </si>
  <si>
    <t>ACT-04662</t>
  </si>
  <si>
    <t>howealice@example.org</t>
  </si>
  <si>
    <t>HU5 5QH</t>
  </si>
  <si>
    <t>ACC-13192</t>
  </si>
  <si>
    <t>CUST-53192</t>
  </si>
  <si>
    <t>Ryan Akhtar</t>
  </si>
  <si>
    <t>ACT-04663</t>
  </si>
  <si>
    <t>ACT-04664</t>
  </si>
  <si>
    <t>williamsmalcolm@example.org</t>
  </si>
  <si>
    <t>HX3 0RA</t>
  </si>
  <si>
    <t>ACC-13193</t>
  </si>
  <si>
    <t>CUST-53193</t>
  </si>
  <si>
    <t>Lawrence Hill</t>
  </si>
  <si>
    <t>ACT-04665</t>
  </si>
  <si>
    <t>zcunningham@example.com</t>
  </si>
  <si>
    <t>N60 1PN</t>
  </si>
  <si>
    <t>ACT-04666</t>
  </si>
  <si>
    <t>ACC-13194</t>
  </si>
  <si>
    <t>CUST-53194</t>
  </si>
  <si>
    <t>Leigh Wood</t>
  </si>
  <si>
    <t>ACT-04667</t>
  </si>
  <si>
    <t>simonlamb@example.net</t>
  </si>
  <si>
    <t>ACT-04668</t>
  </si>
  <si>
    <t>E18 4HT</t>
  </si>
  <si>
    <t>ACC-13195</t>
  </si>
  <si>
    <t>ACT-04669</t>
  </si>
  <si>
    <t>CUST-53195</t>
  </si>
  <si>
    <t>Lorraine Bond</t>
  </si>
  <si>
    <t>ACT-04670</t>
  </si>
  <si>
    <t>collierrussell@example.org</t>
  </si>
  <si>
    <t>E9 0EE</t>
  </si>
  <si>
    <t>ACT-04671</t>
  </si>
  <si>
    <t>ACC-13196</t>
  </si>
  <si>
    <t>CUST-53196</t>
  </si>
  <si>
    <t>ACT-04672</t>
  </si>
  <si>
    <t>odean@example.net</t>
  </si>
  <si>
    <t>ACT-04673</t>
  </si>
  <si>
    <t>SN2 1UE</t>
  </si>
  <si>
    <t>ACT-04674</t>
  </si>
  <si>
    <t>ACC-13197</t>
  </si>
  <si>
    <t>CUST-53197</t>
  </si>
  <si>
    <t>Anna Holland</t>
  </si>
  <si>
    <t>ACT-04675</t>
  </si>
  <si>
    <t>gatkins@example.net</t>
  </si>
  <si>
    <t>CV18 4UY</t>
  </si>
  <si>
    <t>ACC-13198</t>
  </si>
  <si>
    <t>CUST-53198</t>
  </si>
  <si>
    <t>ACT-04676</t>
  </si>
  <si>
    <t>Ms Anna Green</t>
  </si>
  <si>
    <t>ACT-04677</t>
  </si>
  <si>
    <t>kthomas@example.org</t>
  </si>
  <si>
    <t>B52 9BL</t>
  </si>
  <si>
    <t>ACT-04678</t>
  </si>
  <si>
    <t>ACC-13199</t>
  </si>
  <si>
    <t>CUST-53199</t>
  </si>
  <si>
    <t>Sharon Gray</t>
  </si>
  <si>
    <t>ACT-04679</t>
  </si>
  <si>
    <t>kellyshannon@example.com</t>
  </si>
  <si>
    <t>S2 0PE</t>
  </si>
  <si>
    <t>ACT-04680</t>
  </si>
  <si>
    <t>ACC-13200</t>
  </si>
  <si>
    <t>CUST-53200</t>
  </si>
  <si>
    <t>Mr Albert Jenkins</t>
  </si>
  <si>
    <t>ACT-04681</t>
  </si>
  <si>
    <t>parkinsonmary@example.net</t>
  </si>
  <si>
    <t>ACT-04682</t>
  </si>
  <si>
    <t>FK1E 0YP</t>
  </si>
  <si>
    <t>ACT-04683</t>
  </si>
  <si>
    <t>ACC-13201</t>
  </si>
  <si>
    <t>CUST-53201</t>
  </si>
  <si>
    <t>Gareth Stephens</t>
  </si>
  <si>
    <t>ACT-04684</t>
  </si>
  <si>
    <t>juliajohnson@example.net</t>
  </si>
  <si>
    <t>ACT-04685</t>
  </si>
  <si>
    <t>N40 2JB</t>
  </si>
  <si>
    <t>ACC-13202</t>
  </si>
  <si>
    <t>ACT-04686</t>
  </si>
  <si>
    <t>CUST-53202</t>
  </si>
  <si>
    <t>Joanna Mitchell-Whitehouse</t>
  </si>
  <si>
    <t>ACT-04687</t>
  </si>
  <si>
    <t>mark36@example.net</t>
  </si>
  <si>
    <t>NW7V 1NW</t>
  </si>
  <si>
    <t>ACT-04688</t>
  </si>
  <si>
    <t>ACC-13203</t>
  </si>
  <si>
    <t>CUST-53203</t>
  </si>
  <si>
    <t>Irene Gray</t>
  </si>
  <si>
    <t>ACT-04689</t>
  </si>
  <si>
    <t>ACT-04690</t>
  </si>
  <si>
    <t>beverley73@example.com</t>
  </si>
  <si>
    <t>W6D 6SD</t>
  </si>
  <si>
    <t>ACC-13204</t>
  </si>
  <si>
    <t>ACT-04691</t>
  </si>
  <si>
    <t>CUST-53204</t>
  </si>
  <si>
    <t>Bryan Bailey</t>
  </si>
  <si>
    <t>ACT-04692</t>
  </si>
  <si>
    <t>reesscott@example.com</t>
  </si>
  <si>
    <t>E2H 2BL</t>
  </si>
  <si>
    <t>ACT-04693</t>
  </si>
  <si>
    <t>ACC-13205</t>
  </si>
  <si>
    <t>CUST-53205</t>
  </si>
  <si>
    <t>Eric Harding</t>
  </si>
  <si>
    <t>ACT-04694</t>
  </si>
  <si>
    <t>ACT-04695</t>
  </si>
  <si>
    <t>dean39@example.com</t>
  </si>
  <si>
    <t>YO5X 7ZY</t>
  </si>
  <si>
    <t>ACT-04696</t>
  </si>
  <si>
    <t>ACC-13206</t>
  </si>
  <si>
    <t>CUST-53206</t>
  </si>
  <si>
    <t>Ms Gillian Price</t>
  </si>
  <si>
    <t>victorgrant@example.net</t>
  </si>
  <si>
    <t>ACT-04697</t>
  </si>
  <si>
    <t>L39 9SE</t>
  </si>
  <si>
    <t>ACC-13207</t>
  </si>
  <si>
    <t>CUST-53207</t>
  </si>
  <si>
    <t>Jake Khan</t>
  </si>
  <si>
    <t>ACT-04698</t>
  </si>
  <si>
    <t>gemmaphillips@example.com</t>
  </si>
  <si>
    <t>YO2E 2DF</t>
  </si>
  <si>
    <t>ACT-04699</t>
  </si>
  <si>
    <t>ACC-13208</t>
  </si>
  <si>
    <t>CUST-53208</t>
  </si>
  <si>
    <t>Dr Dean Cook</t>
  </si>
  <si>
    <t>ACT-04700</t>
  </si>
  <si>
    <t>NP75 2FB</t>
  </si>
  <si>
    <t>ACT-04701</t>
  </si>
  <si>
    <t>ACC-13209</t>
  </si>
  <si>
    <t>CUST-53209</t>
  </si>
  <si>
    <t>Stephen Vaughan</t>
  </si>
  <si>
    <t>ACT-04702</t>
  </si>
  <si>
    <t>clarkdominic@example.com</t>
  </si>
  <si>
    <t>BH17 8WG</t>
  </si>
  <si>
    <t>ACT-04703</t>
  </si>
  <si>
    <t>ACC-13210</t>
  </si>
  <si>
    <t>CUST-53210</t>
  </si>
  <si>
    <t>Jodie Mason</t>
  </si>
  <si>
    <t>ACT-04704</t>
  </si>
  <si>
    <t>ACT-04705</t>
  </si>
  <si>
    <t>guy61@example.org</t>
  </si>
  <si>
    <t>IG4N 0EJ</t>
  </si>
  <si>
    <t>ACC-13211</t>
  </si>
  <si>
    <t>ACT-04706</t>
  </si>
  <si>
    <t>CUST-53211</t>
  </si>
  <si>
    <t>Alex Wilson</t>
  </si>
  <si>
    <t>jill11@example.net</t>
  </si>
  <si>
    <t>S59 5XR</t>
  </si>
  <si>
    <t>ACT-04707</t>
  </si>
  <si>
    <t>ACC-13212</t>
  </si>
  <si>
    <t>CUST-53212</t>
  </si>
  <si>
    <t>Billy Wallis-Knight</t>
  </si>
  <si>
    <t>ACT-04708</t>
  </si>
  <si>
    <t>denise55@example.net</t>
  </si>
  <si>
    <t>S59 0XE</t>
  </si>
  <si>
    <t>ACT-04709</t>
  </si>
  <si>
    <t>ACC-13213</t>
  </si>
  <si>
    <t>CUST-53213</t>
  </si>
  <si>
    <t>Emily Young</t>
  </si>
  <si>
    <t>ACT-04710</t>
  </si>
  <si>
    <t>pfowler@example.com</t>
  </si>
  <si>
    <t>ML7B 0DE</t>
  </si>
  <si>
    <t>ACC-13214</t>
  </si>
  <si>
    <t>CUST-53214</t>
  </si>
  <si>
    <t>ACT-04711</t>
  </si>
  <si>
    <t>Miss Sarah Baker</t>
  </si>
  <si>
    <t>abdul30@example.org</t>
  </si>
  <si>
    <t>G4S 9AF</t>
  </si>
  <si>
    <t>ACT-04712</t>
  </si>
  <si>
    <t>ACT-04713</t>
  </si>
  <si>
    <t>ACT-04714</t>
  </si>
  <si>
    <t>ACT-04715</t>
  </si>
  <si>
    <t>ACT-04716</t>
  </si>
  <si>
    <t>ACT-04717</t>
  </si>
  <si>
    <t>ACT-04718</t>
  </si>
  <si>
    <t>ACT-04719</t>
  </si>
  <si>
    <t>ACT-04720</t>
  </si>
  <si>
    <t>ACT-04721</t>
  </si>
  <si>
    <t>ACT-04722</t>
  </si>
  <si>
    <t>ACT-04723</t>
  </si>
  <si>
    <t>ACT-04724</t>
  </si>
  <si>
    <t>ACT-04725</t>
  </si>
  <si>
    <t>ACT-04726</t>
  </si>
  <si>
    <t>ACT-04727</t>
  </si>
  <si>
    <t>ACT-04728</t>
  </si>
  <si>
    <t>ACT-04729</t>
  </si>
  <si>
    <t>ACT-04730</t>
  </si>
  <si>
    <t>ACT-04731</t>
  </si>
  <si>
    <t>ACT-04732</t>
  </si>
  <si>
    <t>ACT-04733</t>
  </si>
  <si>
    <t>ACT-04734</t>
  </si>
  <si>
    <t>ACT-04735</t>
  </si>
  <si>
    <t>ACT-04736</t>
  </si>
  <si>
    <t>ACT-04737</t>
  </si>
  <si>
    <t>ACT-04738</t>
  </si>
  <si>
    <t>ACT-04739</t>
  </si>
  <si>
    <t>ACT-04740</t>
  </si>
  <si>
    <t>ACT-04741</t>
  </si>
  <si>
    <t>ACT-04742</t>
  </si>
  <si>
    <t>ACT-04743</t>
  </si>
  <si>
    <t>ACT-04744</t>
  </si>
  <si>
    <t>ACT-04745</t>
  </si>
  <si>
    <t>ACT-04746</t>
  </si>
  <si>
    <t>ACT-04747</t>
  </si>
  <si>
    <t>ACT-04748</t>
  </si>
  <si>
    <t>ACT-04749</t>
  </si>
  <si>
    <t>ACT-04750</t>
  </si>
  <si>
    <t>ACT-04751</t>
  </si>
  <si>
    <t>ACT-04752</t>
  </si>
  <si>
    <t>ACT-04753</t>
  </si>
  <si>
    <t>ACT-04754</t>
  </si>
  <si>
    <t>ACT-04755</t>
  </si>
  <si>
    <t>ACT-04756</t>
  </si>
  <si>
    <t>ACT-04757</t>
  </si>
  <si>
    <t>ACT-04758</t>
  </si>
  <si>
    <t>ACT-04759</t>
  </si>
  <si>
    <t>ACT-04760</t>
  </si>
  <si>
    <t>ACT-04761</t>
  </si>
  <si>
    <t>ACT-04762</t>
  </si>
  <si>
    <t>ACT-04763</t>
  </si>
  <si>
    <t>ACT-04764</t>
  </si>
  <si>
    <t>ACT-04765</t>
  </si>
  <si>
    <t>ACT-04766</t>
  </si>
  <si>
    <t>ACT-04767</t>
  </si>
  <si>
    <t>ACT-04768</t>
  </si>
  <si>
    <t>ACT-04769</t>
  </si>
  <si>
    <t>ACT-04770</t>
  </si>
  <si>
    <t>ACT-04771</t>
  </si>
  <si>
    <t>ACT-04772</t>
  </si>
  <si>
    <t>ACT-04773</t>
  </si>
  <si>
    <t>ACT-04774</t>
  </si>
  <si>
    <t>ACT-04775</t>
  </si>
  <si>
    <t>ACT-04776</t>
  </si>
  <si>
    <t>ACT-04777</t>
  </si>
  <si>
    <t>ACT-04778</t>
  </si>
  <si>
    <t>ACT-04779</t>
  </si>
  <si>
    <t>ACT-04780</t>
  </si>
  <si>
    <t>ACT-04781</t>
  </si>
  <si>
    <t>ACT-04782</t>
  </si>
  <si>
    <t>ACT-04783</t>
  </si>
  <si>
    <t>ACT-04784</t>
  </si>
  <si>
    <t>ACT-04785</t>
  </si>
  <si>
    <t>ACT-04786</t>
  </si>
  <si>
    <t>ACT-04787</t>
  </si>
  <si>
    <t>ACT-04788</t>
  </si>
  <si>
    <t>ACT-04789</t>
  </si>
  <si>
    <t>ACT-04790</t>
  </si>
  <si>
    <t>ACT-04791</t>
  </si>
  <si>
    <t>ACT-04792</t>
  </si>
  <si>
    <t>ACT-04793</t>
  </si>
  <si>
    <t>ACT-04794</t>
  </si>
  <si>
    <t>ACT-04795</t>
  </si>
  <si>
    <t>ACT-04796</t>
  </si>
  <si>
    <t>ACT-04797</t>
  </si>
  <si>
    <t>ACT-04798</t>
  </si>
  <si>
    <t>ACT-04799</t>
  </si>
  <si>
    <t>ACT-04800</t>
  </si>
  <si>
    <t>ACT-04801</t>
  </si>
  <si>
    <t>ACT-04802</t>
  </si>
  <si>
    <t>ACT-04803</t>
  </si>
  <si>
    <t>ACT-04804</t>
  </si>
  <si>
    <t>ACT-04805</t>
  </si>
  <si>
    <t>ACT-04806</t>
  </si>
  <si>
    <t>ACT-04807</t>
  </si>
  <si>
    <t>ACT-04808</t>
  </si>
  <si>
    <t>ACT-04809</t>
  </si>
  <si>
    <t>ACT-04810</t>
  </si>
  <si>
    <t>ACT-04811</t>
  </si>
  <si>
    <t>ACT-04812</t>
  </si>
  <si>
    <t>ACT-04813</t>
  </si>
  <si>
    <t>ACT-04814</t>
  </si>
  <si>
    <t>ACT-04815</t>
  </si>
  <si>
    <t>ACT-04816</t>
  </si>
  <si>
    <t>ACT-04817</t>
  </si>
  <si>
    <t>ACT-04818</t>
  </si>
  <si>
    <t>ACT-04819</t>
  </si>
  <si>
    <t>ACT-04820</t>
  </si>
  <si>
    <t>ACT-04821</t>
  </si>
  <si>
    <t>ACT-04822</t>
  </si>
  <si>
    <t>ACT-04823</t>
  </si>
  <si>
    <t>ACT-04824</t>
  </si>
  <si>
    <t>ACT-04825</t>
  </si>
  <si>
    <t>ACT-04826</t>
  </si>
  <si>
    <t>ACT-04827</t>
  </si>
  <si>
    <t>ACT-04828</t>
  </si>
  <si>
    <t>ACT-04829</t>
  </si>
  <si>
    <t>ACT-04830</t>
  </si>
  <si>
    <t>ACT-04831</t>
  </si>
  <si>
    <t>ACT-04832</t>
  </si>
  <si>
    <t>ACT-04833</t>
  </si>
  <si>
    <t>ACT-04834</t>
  </si>
  <si>
    <t>ACT-04835</t>
  </si>
  <si>
    <t>ACT-04836</t>
  </si>
  <si>
    <t>ACT-04837</t>
  </si>
  <si>
    <t>ACT-04838</t>
  </si>
  <si>
    <t>ACT-04839</t>
  </si>
  <si>
    <t>ACT-04840</t>
  </si>
  <si>
    <t>ACT-04841</t>
  </si>
  <si>
    <t>ACT-04842</t>
  </si>
  <si>
    <t>ACT-04843</t>
  </si>
  <si>
    <t>ACT-04844</t>
  </si>
  <si>
    <t>ACT-04845</t>
  </si>
  <si>
    <t>ACT-04846</t>
  </si>
  <si>
    <t>ACT-04847</t>
  </si>
  <si>
    <t>ACT-04848</t>
  </si>
  <si>
    <t>ACT-04849</t>
  </si>
  <si>
    <t>ACT-04850</t>
  </si>
  <si>
    <t>ACT-04851</t>
  </si>
  <si>
    <t>ACT-04852</t>
  </si>
  <si>
    <t>ACT-04853</t>
  </si>
  <si>
    <t>ACT-04854</t>
  </si>
  <si>
    <t>ACT-04855</t>
  </si>
  <si>
    <t>ACT-04856</t>
  </si>
  <si>
    <t>ACT-04857</t>
  </si>
  <si>
    <t>ACT-04858</t>
  </si>
  <si>
    <t>ACT-04859</t>
  </si>
  <si>
    <t>ACT-04860</t>
  </si>
  <si>
    <t>ACT-04861</t>
  </si>
  <si>
    <t>ACT-04862</t>
  </si>
  <si>
    <t>ACT-04863</t>
  </si>
  <si>
    <t>ACT-04864</t>
  </si>
  <si>
    <t>ACT-04865</t>
  </si>
  <si>
    <t>ACT-04866</t>
  </si>
  <si>
    <t>ACT-04867</t>
  </si>
  <si>
    <t>ACT-04868</t>
  </si>
  <si>
    <t>ACT-04869</t>
  </si>
  <si>
    <t>ACT-04870</t>
  </si>
  <si>
    <t>ACT-04871</t>
  </si>
  <si>
    <t>ACT-04872</t>
  </si>
  <si>
    <t>ACT-04873</t>
  </si>
  <si>
    <t>ACT-04874</t>
  </si>
  <si>
    <t>ACT-04875</t>
  </si>
  <si>
    <t>ACT-04876</t>
  </si>
  <si>
    <t>ACT-04877</t>
  </si>
  <si>
    <t>ACT-04878</t>
  </si>
  <si>
    <t>ACT-04879</t>
  </si>
  <si>
    <t>ACT-04880</t>
  </si>
  <si>
    <t>ACT-04881</t>
  </si>
  <si>
    <t>ACT-04882</t>
  </si>
  <si>
    <t>ACT-04883</t>
  </si>
  <si>
    <t>ACT-04884</t>
  </si>
  <si>
    <t>ACT-04885</t>
  </si>
  <si>
    <t>ACT-04886</t>
  </si>
  <si>
    <t>ACT-04887</t>
  </si>
  <si>
    <t>ACT-04888</t>
  </si>
  <si>
    <t>ACT-04889</t>
  </si>
  <si>
    <t>ACT-04890</t>
  </si>
  <si>
    <t>ACT-04891</t>
  </si>
  <si>
    <t>ACT-04892</t>
  </si>
  <si>
    <t>ACT-04893</t>
  </si>
  <si>
    <t>ACT-04894</t>
  </si>
  <si>
    <t>ACT-04895</t>
  </si>
  <si>
    <t>ACT-04896</t>
  </si>
  <si>
    <t>ACT-04897</t>
  </si>
  <si>
    <t>ACT-04898</t>
  </si>
  <si>
    <t>ACT-04899</t>
  </si>
  <si>
    <t>ACT-04900</t>
  </si>
  <si>
    <t>ACT-04901</t>
  </si>
  <si>
    <t>ACT-04902</t>
  </si>
  <si>
    <t>ACT-04903</t>
  </si>
  <si>
    <t>ACT-04904</t>
  </si>
  <si>
    <t>ACT-04905</t>
  </si>
  <si>
    <t>ACT-04906</t>
  </si>
  <si>
    <t>ACT-04907</t>
  </si>
  <si>
    <t>ACT-04908</t>
  </si>
  <si>
    <t>ACT-04909</t>
  </si>
  <si>
    <t>ACT-04910</t>
  </si>
  <si>
    <t>ACT-04911</t>
  </si>
  <si>
    <t>ACT-04912</t>
  </si>
  <si>
    <t>ACT-04913</t>
  </si>
  <si>
    <t>ACT-04914</t>
  </si>
  <si>
    <t>ACT-04915</t>
  </si>
  <si>
    <t>ACT-04916</t>
  </si>
  <si>
    <t>ACT-04917</t>
  </si>
  <si>
    <t>ACT-04918</t>
  </si>
  <si>
    <t>ACT-04919</t>
  </si>
  <si>
    <t>ACT-04920</t>
  </si>
  <si>
    <t>ACT-04921</t>
  </si>
  <si>
    <t>ACT-04922</t>
  </si>
  <si>
    <t>ACT-04923</t>
  </si>
  <si>
    <t>ACT-04924</t>
  </si>
  <si>
    <t>ACT-04925</t>
  </si>
  <si>
    <t>ACT-04926</t>
  </si>
  <si>
    <t>ACT-04927</t>
  </si>
  <si>
    <t>ACT-04928</t>
  </si>
  <si>
    <t>ACT-04929</t>
  </si>
  <si>
    <t>ACT-04930</t>
  </si>
  <si>
    <t>ACT-04931</t>
  </si>
  <si>
    <t>ACT-04932</t>
  </si>
  <si>
    <t>ACT-04933</t>
  </si>
  <si>
    <t>ACT-04934</t>
  </si>
  <si>
    <t>ACT-04935</t>
  </si>
  <si>
    <t>ACT-04936</t>
  </si>
  <si>
    <t>ACT-04937</t>
  </si>
  <si>
    <t>ACT-04938</t>
  </si>
  <si>
    <t>ACT-04939</t>
  </si>
  <si>
    <t>ACT-04940</t>
  </si>
  <si>
    <t>ACT-04941</t>
  </si>
  <si>
    <t>ACT-04942</t>
  </si>
  <si>
    <t>ACT-04943</t>
  </si>
  <si>
    <t>ACT-04944</t>
  </si>
  <si>
    <t>ACT-04945</t>
  </si>
  <si>
    <t>ACT-04946</t>
  </si>
  <si>
    <t>ACT-04947</t>
  </si>
  <si>
    <t>ACT-04948</t>
  </si>
  <si>
    <t>ACT-04949</t>
  </si>
  <si>
    <t>ACT-04950</t>
  </si>
  <si>
    <t>ACT-04951</t>
  </si>
  <si>
    <t>ACT-04952</t>
  </si>
  <si>
    <t>ACT-04953</t>
  </si>
  <si>
    <t>ACT-04954</t>
  </si>
  <si>
    <t>ACT-04955</t>
  </si>
  <si>
    <t>ACT-04956</t>
  </si>
  <si>
    <t>ACT-04957</t>
  </si>
  <si>
    <t>ACT-04958</t>
  </si>
  <si>
    <t>ACT-04959</t>
  </si>
  <si>
    <t>ACT-04960</t>
  </si>
  <si>
    <t>ACT-04961</t>
  </si>
  <si>
    <t>ACT-04962</t>
  </si>
  <si>
    <t>ACT-04963</t>
  </si>
  <si>
    <t>ACT-04964</t>
  </si>
  <si>
    <t>ACT-04965</t>
  </si>
  <si>
    <t>ACT-04966</t>
  </si>
  <si>
    <t>ACT-04967</t>
  </si>
  <si>
    <t>ACT-04968</t>
  </si>
  <si>
    <t>ACT-04969</t>
  </si>
  <si>
    <t>ACT-04970</t>
  </si>
  <si>
    <t>ACT-04971</t>
  </si>
  <si>
    <t>ACT-04972</t>
  </si>
  <si>
    <t>ACT-04973</t>
  </si>
  <si>
    <t>ACT-04974</t>
  </si>
  <si>
    <t>ACT-04975</t>
  </si>
  <si>
    <t>ACT-04976</t>
  </si>
  <si>
    <t>ACT-04977</t>
  </si>
  <si>
    <t>ACT-04978</t>
  </si>
  <si>
    <t>ACT-04979</t>
  </si>
  <si>
    <t>ACT-04980</t>
  </si>
  <si>
    <t>ACT-04981</t>
  </si>
  <si>
    <t>ACT-04982</t>
  </si>
  <si>
    <t>ACT-04983</t>
  </si>
  <si>
    <t>ACT-04984</t>
  </si>
  <si>
    <t>ACT-04985</t>
  </si>
  <si>
    <t>ACT-04986</t>
  </si>
  <si>
    <t>ACT-04987</t>
  </si>
  <si>
    <t>ACT-04988</t>
  </si>
  <si>
    <t>ACT-04989</t>
  </si>
  <si>
    <t>ACT-04990</t>
  </si>
  <si>
    <t>ACT-04991</t>
  </si>
  <si>
    <t>ACT-04992</t>
  </si>
  <si>
    <t>ACT-04993</t>
  </si>
  <si>
    <t>ACT-04994</t>
  </si>
  <si>
    <t>ACT-04995</t>
  </si>
  <si>
    <t>ACT-04996</t>
  </si>
  <si>
    <t>ACT-04997</t>
  </si>
  <si>
    <t>ACT-04998</t>
  </si>
  <si>
    <t>ACT-04999</t>
  </si>
  <si>
    <t>ACT-05000</t>
  </si>
  <si>
    <t>ACT-05001</t>
  </si>
  <si>
    <t>ACT-05002</t>
  </si>
  <si>
    <t>ACT-05003</t>
  </si>
  <si>
    <t>ACT-05004</t>
  </si>
  <si>
    <t>ACT-05005</t>
  </si>
  <si>
    <t>ACT-05006</t>
  </si>
  <si>
    <t>ACT-05007</t>
  </si>
  <si>
    <t>ACT-05008</t>
  </si>
  <si>
    <t>ACT-05009</t>
  </si>
  <si>
    <t>ACT-05010</t>
  </si>
  <si>
    <t>ACT-05011</t>
  </si>
  <si>
    <t>ACT-05012</t>
  </si>
  <si>
    <t>ACT-05013</t>
  </si>
  <si>
    <t>ACT-05014</t>
  </si>
  <si>
    <t>ACT-05015</t>
  </si>
  <si>
    <t>ACT-05016</t>
  </si>
  <si>
    <t>ACT-05017</t>
  </si>
  <si>
    <t>ACT-05018</t>
  </si>
  <si>
    <t>ACT-05019</t>
  </si>
  <si>
    <t>ACT-05020</t>
  </si>
  <si>
    <t>ACT-05021</t>
  </si>
  <si>
    <t>ACT-05022</t>
  </si>
  <si>
    <t>ACT-05023</t>
  </si>
  <si>
    <t>ACT-05024</t>
  </si>
  <si>
    <t>ACT-05025</t>
  </si>
  <si>
    <t>ACT-05026</t>
  </si>
  <si>
    <t>ACT-05027</t>
  </si>
  <si>
    <t>ACT-05028</t>
  </si>
  <si>
    <t>ACT-05029</t>
  </si>
  <si>
    <t>ACT-05030</t>
  </si>
  <si>
    <t>ACT-05031</t>
  </si>
  <si>
    <t>ACT-05032</t>
  </si>
  <si>
    <t>ACT-05033</t>
  </si>
  <si>
    <t>ACT-05034</t>
  </si>
  <si>
    <t>ACT-05035</t>
  </si>
  <si>
    <t>ACT-05036</t>
  </si>
  <si>
    <t>ACT-05037</t>
  </si>
  <si>
    <t>ACT-05038</t>
  </si>
  <si>
    <t>ACT-05039</t>
  </si>
  <si>
    <t>ACT-05040</t>
  </si>
  <si>
    <t>ACT-05041</t>
  </si>
  <si>
    <t>ACT-05042</t>
  </si>
  <si>
    <t>ACT-05043</t>
  </si>
  <si>
    <t>ACT-05044</t>
  </si>
  <si>
    <t>ACT-05045</t>
  </si>
  <si>
    <t>ACT-05046</t>
  </si>
  <si>
    <t>ACT-05047</t>
  </si>
  <si>
    <t>ACT-05048</t>
  </si>
  <si>
    <t>ACT-05049</t>
  </si>
  <si>
    <t>ACT-05050</t>
  </si>
  <si>
    <t>ACT-05051</t>
  </si>
  <si>
    <t>ACT-05052</t>
  </si>
  <si>
    <t>ACT-05053</t>
  </si>
  <si>
    <t>ACT-05054</t>
  </si>
  <si>
    <t>ACT-05055</t>
  </si>
  <si>
    <t>ACT-05056</t>
  </si>
  <si>
    <t>ACT-05057</t>
  </si>
  <si>
    <t>ACT-05058</t>
  </si>
  <si>
    <t>ACT-05059</t>
  </si>
  <si>
    <t>ACT-05060</t>
  </si>
  <si>
    <t>ACT-05061</t>
  </si>
  <si>
    <t>ACT-05062</t>
  </si>
  <si>
    <t>ACT-05063</t>
  </si>
  <si>
    <t>ACT-05064</t>
  </si>
  <si>
    <t>ACT-05065</t>
  </si>
  <si>
    <t>ACT-05066</t>
  </si>
  <si>
    <t>ACT-05067</t>
  </si>
  <si>
    <t>ACT-05068</t>
  </si>
  <si>
    <t>ACT-05069</t>
  </si>
  <si>
    <t>ACT-05070</t>
  </si>
  <si>
    <t>ACT-05071</t>
  </si>
  <si>
    <t>ACT-05072</t>
  </si>
  <si>
    <t>ACT-05073</t>
  </si>
  <si>
    <t>ACT-05074</t>
  </si>
  <si>
    <t>ACT-05075</t>
  </si>
  <si>
    <t>ACT-05076</t>
  </si>
  <si>
    <t>ACT-05077</t>
  </si>
  <si>
    <t>ACT-05078</t>
  </si>
  <si>
    <t>ACT-05079</t>
  </si>
  <si>
    <t>ACT-05080</t>
  </si>
  <si>
    <t>ACT-05081</t>
  </si>
  <si>
    <t>ACT-05082</t>
  </si>
  <si>
    <t>ACT-05083</t>
  </si>
  <si>
    <t>ACT-05084</t>
  </si>
  <si>
    <t>ACT-05085</t>
  </si>
  <si>
    <t>ACT-05086</t>
  </si>
  <si>
    <t>ACT-05087</t>
  </si>
  <si>
    <t>ACT-05088</t>
  </si>
  <si>
    <t>ACT-05089</t>
  </si>
  <si>
    <t>ACT-05090</t>
  </si>
  <si>
    <t>ACT-05091</t>
  </si>
  <si>
    <t>ACT-05092</t>
  </si>
  <si>
    <t>ACT-05093</t>
  </si>
  <si>
    <t>ACT-05094</t>
  </si>
  <si>
    <t>ACT-05095</t>
  </si>
  <si>
    <t>ACT-05096</t>
  </si>
  <si>
    <t>ACT-05097</t>
  </si>
  <si>
    <t>ACT-05098</t>
  </si>
  <si>
    <t>ACT-05099</t>
  </si>
  <si>
    <t>ACT-05100</t>
  </si>
  <si>
    <t>ACT-05101</t>
  </si>
  <si>
    <t>ACT-05102</t>
  </si>
  <si>
    <t>ACT-05103</t>
  </si>
  <si>
    <t>ACT-05104</t>
  </si>
  <si>
    <t>ACT-05105</t>
  </si>
  <si>
    <t>ACT-05106</t>
  </si>
  <si>
    <t>ACT-05107</t>
  </si>
  <si>
    <t>ACT-05108</t>
  </si>
  <si>
    <t>ACT-05109</t>
  </si>
  <si>
    <t>ACT-05110</t>
  </si>
  <si>
    <t>ACT-05111</t>
  </si>
  <si>
    <t>ACT-05112</t>
  </si>
  <si>
    <t>ACT-05113</t>
  </si>
  <si>
    <t>ACT-05114</t>
  </si>
  <si>
    <t>ACT-05115</t>
  </si>
  <si>
    <t>ACT-05116</t>
  </si>
  <si>
    <t>ACT-05117</t>
  </si>
  <si>
    <t>ACT-05118</t>
  </si>
  <si>
    <t>ACT-05119</t>
  </si>
  <si>
    <t>ACT-05120</t>
  </si>
  <si>
    <t>ACT-05121</t>
  </si>
  <si>
    <t>ACT-05122</t>
  </si>
  <si>
    <t>ACT-05123</t>
  </si>
  <si>
    <t>ACT-05124</t>
  </si>
  <si>
    <t>ACT-05125</t>
  </si>
  <si>
    <t>ACT-05126</t>
  </si>
  <si>
    <t>ACT-05127</t>
  </si>
  <si>
    <t>ACT-05128</t>
  </si>
  <si>
    <t>ACT-05129</t>
  </si>
  <si>
    <t>ACT-05130</t>
  </si>
  <si>
    <t>ACT-05131</t>
  </si>
  <si>
    <t>ACT-05132</t>
  </si>
  <si>
    <t>ACT-05133</t>
  </si>
  <si>
    <t>ACT-05134</t>
  </si>
  <si>
    <t>ACT-05135</t>
  </si>
  <si>
    <t>ACT-05136</t>
  </si>
  <si>
    <t>ACT-05137</t>
  </si>
  <si>
    <t>ACT-05138</t>
  </si>
  <si>
    <t>ACT-05139</t>
  </si>
  <si>
    <t>ACT-05140</t>
  </si>
  <si>
    <t>ACT-05141</t>
  </si>
  <si>
    <t>ACT-05142</t>
  </si>
  <si>
    <t>ACT-05143</t>
  </si>
  <si>
    <t>ACT-05144</t>
  </si>
  <si>
    <t>ACT-05145</t>
  </si>
  <si>
    <t>ACT-05146</t>
  </si>
  <si>
    <t>ACT-05147</t>
  </si>
  <si>
    <t>ACT-05148</t>
  </si>
  <si>
    <t>ACT-05149</t>
  </si>
  <si>
    <t>ACT-05150</t>
  </si>
  <si>
    <t>ACT-05151</t>
  </si>
  <si>
    <t>ACT-05152</t>
  </si>
  <si>
    <t>ACT-05153</t>
  </si>
  <si>
    <t>ACT-05154</t>
  </si>
  <si>
    <t>ACT-05155</t>
  </si>
  <si>
    <t>ACT-05156</t>
  </si>
  <si>
    <t>ACT-05157</t>
  </si>
  <si>
    <t>ACT-05158</t>
  </si>
  <si>
    <t>ACT-05159</t>
  </si>
  <si>
    <t>ACT-05160</t>
  </si>
  <si>
    <t>ACT-05161</t>
  </si>
  <si>
    <t>ACT-05162</t>
  </si>
  <si>
    <t>ACT-05163</t>
  </si>
  <si>
    <t>ACT-05164</t>
  </si>
  <si>
    <t>ACT-05165</t>
  </si>
  <si>
    <t>ACT-05166</t>
  </si>
  <si>
    <t>ACT-05167</t>
  </si>
  <si>
    <t>ACT-05168</t>
  </si>
  <si>
    <t>ACT-05169</t>
  </si>
  <si>
    <t>ACT-05170</t>
  </si>
  <si>
    <t>ACT-05171</t>
  </si>
  <si>
    <t>ACT-05172</t>
  </si>
  <si>
    <t>ACT-05173</t>
  </si>
  <si>
    <t>ACT-05174</t>
  </si>
  <si>
    <t>ACT-05175</t>
  </si>
  <si>
    <t>ACT-05176</t>
  </si>
  <si>
    <t>ACT-05177</t>
  </si>
  <si>
    <t>ACT-05178</t>
  </si>
  <si>
    <t>ACT-05179</t>
  </si>
  <si>
    <t>ACT-05180</t>
  </si>
  <si>
    <t>ACT-05181</t>
  </si>
  <si>
    <t>ACT-05182</t>
  </si>
  <si>
    <t>ACT-05183</t>
  </si>
  <si>
    <t>ACT-05184</t>
  </si>
  <si>
    <t>ACT-05185</t>
  </si>
  <si>
    <t>ACT-05186</t>
  </si>
  <si>
    <t>ACT-05187</t>
  </si>
  <si>
    <t>ACT-05188</t>
  </si>
  <si>
    <t>ACT-05189</t>
  </si>
  <si>
    <t>ACT-05190</t>
  </si>
  <si>
    <t>ACT-05191</t>
  </si>
  <si>
    <t>ACT-05192</t>
  </si>
  <si>
    <t>ACT-05193</t>
  </si>
  <si>
    <t>ACT-05194</t>
  </si>
  <si>
    <t>ACT-05195</t>
  </si>
  <si>
    <t>ACT-05196</t>
  </si>
  <si>
    <t>ACT-05197</t>
  </si>
  <si>
    <t>ACT-05198</t>
  </si>
  <si>
    <t>ACT-05199</t>
  </si>
  <si>
    <t>ACT-05200</t>
  </si>
  <si>
    <t>ACT-05201</t>
  </si>
  <si>
    <t>ACT-05202</t>
  </si>
  <si>
    <t>ACT-05203</t>
  </si>
  <si>
    <t>ACT-05204</t>
  </si>
  <si>
    <t>ACT-05205</t>
  </si>
  <si>
    <t>ACT-05206</t>
  </si>
  <si>
    <t>ACT-05207</t>
  </si>
  <si>
    <t>ACT-05208</t>
  </si>
  <si>
    <t>ACT-05209</t>
  </si>
  <si>
    <t>ACT-05210</t>
  </si>
  <si>
    <t>ACT-05211</t>
  </si>
  <si>
    <t>ACT-05212</t>
  </si>
  <si>
    <t>ACT-05213</t>
  </si>
  <si>
    <t>ACT-05214</t>
  </si>
  <si>
    <t>ACT-05215</t>
  </si>
  <si>
    <t>ACT-05216</t>
  </si>
  <si>
    <t>ACT-05217</t>
  </si>
  <si>
    <t>ACT-05218</t>
  </si>
  <si>
    <t>ACT-05219</t>
  </si>
  <si>
    <t>ACT-05220</t>
  </si>
  <si>
    <t>ACT-05221</t>
  </si>
  <si>
    <t>ACT-05222</t>
  </si>
  <si>
    <t>ACT-05223</t>
  </si>
  <si>
    <t>ACT-05224</t>
  </si>
  <si>
    <t>ACT-05225</t>
  </si>
  <si>
    <t>ACT-05226</t>
  </si>
  <si>
    <t>ACT-05227</t>
  </si>
  <si>
    <t>ACT-05228</t>
  </si>
  <si>
    <t>ACT-05229</t>
  </si>
  <si>
    <t>ACT-05230</t>
  </si>
  <si>
    <t>ACT-05231</t>
  </si>
  <si>
    <t>ACT-05232</t>
  </si>
  <si>
    <t>ACT-05233</t>
  </si>
  <si>
    <t>ACT-05234</t>
  </si>
  <si>
    <t>ACT-05235</t>
  </si>
  <si>
    <t>ACT-05236</t>
  </si>
  <si>
    <t>ACT-05237</t>
  </si>
  <si>
    <t>ACT-05238</t>
  </si>
  <si>
    <t>ACT-05239</t>
  </si>
  <si>
    <t>ACT-05240</t>
  </si>
  <si>
    <t>ACT-05241</t>
  </si>
  <si>
    <t>ACT-05242</t>
  </si>
  <si>
    <t>ACT-05243</t>
  </si>
  <si>
    <t>ACT-05244</t>
  </si>
  <si>
    <t>ACT-05245</t>
  </si>
  <si>
    <t>ACT-05246</t>
  </si>
  <si>
    <t>ACT-05247</t>
  </si>
  <si>
    <t>ACT-05248</t>
  </si>
  <si>
    <t>ACT-05249</t>
  </si>
  <si>
    <t>ACT-05250</t>
  </si>
  <si>
    <t>ACT-05251</t>
  </si>
  <si>
    <t>ACT-05252</t>
  </si>
  <si>
    <t>ACT-05253</t>
  </si>
  <si>
    <t>ACT-05254</t>
  </si>
  <si>
    <t>ACT-05255</t>
  </si>
  <si>
    <t>ACT-05256</t>
  </si>
  <si>
    <t>ACT-05257</t>
  </si>
  <si>
    <t>ACT-05258</t>
  </si>
  <si>
    <t>ACT-05259</t>
  </si>
  <si>
    <t>ACT-05260</t>
  </si>
  <si>
    <t>ACT-05261</t>
  </si>
  <si>
    <t>ACT-05262</t>
  </si>
  <si>
    <t>ACT-05263</t>
  </si>
  <si>
    <t>ACT-05264</t>
  </si>
  <si>
    <t>ACT-05265</t>
  </si>
  <si>
    <t>ACT-05266</t>
  </si>
  <si>
    <t>ACT-05267</t>
  </si>
  <si>
    <t>ACT-05268</t>
  </si>
  <si>
    <t>ACT-05269</t>
  </si>
  <si>
    <t>ACT-05270</t>
  </si>
  <si>
    <t>ACT-05271</t>
  </si>
  <si>
    <t>ACT-05272</t>
  </si>
  <si>
    <t>ACT-05273</t>
  </si>
  <si>
    <t>ACT-05274</t>
  </si>
  <si>
    <t>ACT-05275</t>
  </si>
  <si>
    <t>ACT-05276</t>
  </si>
  <si>
    <t>ACT-05277</t>
  </si>
  <si>
    <t>ACT-05278</t>
  </si>
  <si>
    <t>ACT-05279</t>
  </si>
  <si>
    <t>ACT-05280</t>
  </si>
  <si>
    <t>ACT-05281</t>
  </si>
  <si>
    <t>ACT-05282</t>
  </si>
  <si>
    <t>ACT-05283</t>
  </si>
  <si>
    <t>ACT-05284</t>
  </si>
  <si>
    <t>ACT-05285</t>
  </si>
  <si>
    <t>ACT-05286</t>
  </si>
  <si>
    <t>ACT-05287</t>
  </si>
  <si>
    <t>ACT-05288</t>
  </si>
  <si>
    <t>ACT-05289</t>
  </si>
  <si>
    <t>ACT-05290</t>
  </si>
  <si>
    <t>ACT-05291</t>
  </si>
  <si>
    <t>ACT-05292</t>
  </si>
  <si>
    <t>ACT-05293</t>
  </si>
  <si>
    <t>ACT-05294</t>
  </si>
  <si>
    <t>ACT-05295</t>
  </si>
  <si>
    <t>ACT-05296</t>
  </si>
  <si>
    <t>ACT-05297</t>
  </si>
  <si>
    <t>ACT-05298</t>
  </si>
  <si>
    <t>ACT-05299</t>
  </si>
  <si>
    <t>ACT-05300</t>
  </si>
  <si>
    <t>ACT-05301</t>
  </si>
  <si>
    <t>ACT-05302</t>
  </si>
  <si>
    <t>ACT-05303</t>
  </si>
  <si>
    <t>ACT-05304</t>
  </si>
  <si>
    <t>ACT-05305</t>
  </si>
  <si>
    <t>ACT-05306</t>
  </si>
  <si>
    <t>ACT-05307</t>
  </si>
  <si>
    <t>ACT-05308</t>
  </si>
  <si>
    <t>ACT-05309</t>
  </si>
  <si>
    <t>ACT-05310</t>
  </si>
  <si>
    <t>ACT-05311</t>
  </si>
  <si>
    <t>ACT-05312</t>
  </si>
  <si>
    <t>ACT-05313</t>
  </si>
  <si>
    <t>ACT-05314</t>
  </si>
  <si>
    <t>ACT-05315</t>
  </si>
  <si>
    <t>ACT-05316</t>
  </si>
  <si>
    <t>ACT-05317</t>
  </si>
  <si>
    <t>ACT-05318</t>
  </si>
  <si>
    <t>ACT-05319</t>
  </si>
  <si>
    <t>ACT-05320</t>
  </si>
  <si>
    <t>ACT-05321</t>
  </si>
  <si>
    <t>ACT-05322</t>
  </si>
  <si>
    <t>ACT-05323</t>
  </si>
  <si>
    <t>ACT-05324</t>
  </si>
  <si>
    <t>ACT-05325</t>
  </si>
  <si>
    <t>ACT-05326</t>
  </si>
  <si>
    <t>ACT-05327</t>
  </si>
  <si>
    <t>ACT-05328</t>
  </si>
  <si>
    <t>ACT-05329</t>
  </si>
  <si>
    <t>ACT-05330</t>
  </si>
  <si>
    <t>ACT-05331</t>
  </si>
  <si>
    <t>ACT-05332</t>
  </si>
  <si>
    <t>ACT-05333</t>
  </si>
  <si>
    <t>ACT-05334</t>
  </si>
  <si>
    <t>ACT-05335</t>
  </si>
  <si>
    <t>ACT-05336</t>
  </si>
  <si>
    <t>ACT-05337</t>
  </si>
  <si>
    <t>ACT-05338</t>
  </si>
  <si>
    <t>ACT-05339</t>
  </si>
  <si>
    <t>ACT-05340</t>
  </si>
  <si>
    <t>ACT-05341</t>
  </si>
  <si>
    <t>ACT-05342</t>
  </si>
  <si>
    <t>ACT-05343</t>
  </si>
  <si>
    <t>ACT-05344</t>
  </si>
  <si>
    <t>ACT-05345</t>
  </si>
  <si>
    <t>ACT-05346</t>
  </si>
  <si>
    <t>ACT-05347</t>
  </si>
  <si>
    <t>ACT-05348</t>
  </si>
  <si>
    <t>ACT-05349</t>
  </si>
  <si>
    <t>ACT-05350</t>
  </si>
  <si>
    <t>ACT-05351</t>
  </si>
  <si>
    <t>ACT-05352</t>
  </si>
  <si>
    <t>ACT-05353</t>
  </si>
  <si>
    <t>ACT-05354</t>
  </si>
  <si>
    <t>ACT-05355</t>
  </si>
  <si>
    <t>ACT-05356</t>
  </si>
  <si>
    <t>ACT-05357</t>
  </si>
  <si>
    <t>ACT-05358</t>
  </si>
  <si>
    <t>ACT-05359</t>
  </si>
  <si>
    <t>ACT-05360</t>
  </si>
  <si>
    <t>ACT-05361</t>
  </si>
  <si>
    <t>ACT-05362</t>
  </si>
  <si>
    <t>ACT-05363</t>
  </si>
  <si>
    <t>ACT-05364</t>
  </si>
  <si>
    <t>ACT-05365</t>
  </si>
  <si>
    <t>ACT-05366</t>
  </si>
  <si>
    <t>ACT-05367</t>
  </si>
  <si>
    <t>ACT-05368</t>
  </si>
  <si>
    <t>ACT-05369</t>
  </si>
  <si>
    <t>ACT-05370</t>
  </si>
  <si>
    <t>ACT-05371</t>
  </si>
  <si>
    <t>ACT-05372</t>
  </si>
  <si>
    <t>ACT-05373</t>
  </si>
  <si>
    <t>ACT-05374</t>
  </si>
  <si>
    <t>ACT-05375</t>
  </si>
  <si>
    <t>ACT-05376</t>
  </si>
  <si>
    <t>ACT-05377</t>
  </si>
  <si>
    <t>ACT-05378</t>
  </si>
  <si>
    <t>ACT-05379</t>
  </si>
  <si>
    <t>ACT-05380</t>
  </si>
  <si>
    <t>ACT-05381</t>
  </si>
  <si>
    <t>ACT-05382</t>
  </si>
  <si>
    <t>ACT-05383</t>
  </si>
  <si>
    <t>ACT-05384</t>
  </si>
  <si>
    <t>ACT-05385</t>
  </si>
  <si>
    <t>ACT-05386</t>
  </si>
  <si>
    <t>ACT-05387</t>
  </si>
  <si>
    <t>ACT-05388</t>
  </si>
  <si>
    <t>ACT-05389</t>
  </si>
  <si>
    <t>ACT-05390</t>
  </si>
  <si>
    <t>ACT-05391</t>
  </si>
  <si>
    <t>ACT-05392</t>
  </si>
  <si>
    <t>ACT-05393</t>
  </si>
  <si>
    <t>ACT-05394</t>
  </si>
  <si>
    <t>ACT-05395</t>
  </si>
  <si>
    <t>ACT-05396</t>
  </si>
  <si>
    <t>ACT-05397</t>
  </si>
  <si>
    <t>ACT-05398</t>
  </si>
  <si>
    <t>ACT-05399</t>
  </si>
  <si>
    <t>ACT-05400</t>
  </si>
  <si>
    <t>ACT-05401</t>
  </si>
  <si>
    <t>ACT-05402</t>
  </si>
  <si>
    <t>ACT-05403</t>
  </si>
  <si>
    <t>ACT-05404</t>
  </si>
  <si>
    <t>ACT-05405</t>
  </si>
  <si>
    <t>ACT-05406</t>
  </si>
  <si>
    <t>ACT-05407</t>
  </si>
  <si>
    <t>ACT-05408</t>
  </si>
  <si>
    <t>ACT-05409</t>
  </si>
  <si>
    <t>ACT-05410</t>
  </si>
  <si>
    <t>ACT-05411</t>
  </si>
  <si>
    <t>ACT-05412</t>
  </si>
  <si>
    <t>ACT-05413</t>
  </si>
  <si>
    <t>ACT-05414</t>
  </si>
  <si>
    <t>ACT-05415</t>
  </si>
  <si>
    <t>ACT-05416</t>
  </si>
  <si>
    <t>ACT-05417</t>
  </si>
  <si>
    <t>ACT-05418</t>
  </si>
  <si>
    <t>ACT-05419</t>
  </si>
  <si>
    <t>ACT-05420</t>
  </si>
  <si>
    <t>ACT-05421</t>
  </si>
  <si>
    <t>ACT-05422</t>
  </si>
  <si>
    <t>ACT-05423</t>
  </si>
  <si>
    <t>ACT-05424</t>
  </si>
  <si>
    <t>ACT-05425</t>
  </si>
  <si>
    <t>ACT-05426</t>
  </si>
  <si>
    <t>ACT-05427</t>
  </si>
  <si>
    <t>ACT-05428</t>
  </si>
  <si>
    <t>ACT-05429</t>
  </si>
  <si>
    <t>ACT-05430</t>
  </si>
  <si>
    <t>ACT-05431</t>
  </si>
  <si>
    <t>ACT-05432</t>
  </si>
  <si>
    <t>ACT-05433</t>
  </si>
  <si>
    <t>ACT-05434</t>
  </si>
  <si>
    <t>ACT-05435</t>
  </si>
  <si>
    <t>ACT-05436</t>
  </si>
  <si>
    <t>ACT-05437</t>
  </si>
  <si>
    <t>ACT-05438</t>
  </si>
  <si>
    <t>ACT-05439</t>
  </si>
  <si>
    <t>ACT-05440</t>
  </si>
  <si>
    <t>ACT-05441</t>
  </si>
  <si>
    <t>ACT-05442</t>
  </si>
  <si>
    <t>ACT-05443</t>
  </si>
  <si>
    <t>ACT-05444</t>
  </si>
  <si>
    <t>ACT-05445</t>
  </si>
  <si>
    <t>ACT-05446</t>
  </si>
  <si>
    <t>ACT-05447</t>
  </si>
  <si>
    <t>ACT-05448</t>
  </si>
  <si>
    <t>ACT-05449</t>
  </si>
  <si>
    <t>ACT-05450</t>
  </si>
  <si>
    <t>ACT-05451</t>
  </si>
  <si>
    <t>ACT-05452</t>
  </si>
  <si>
    <t>ACT-05453</t>
  </si>
  <si>
    <t>ACT-05454</t>
  </si>
  <si>
    <t>ACT-05455</t>
  </si>
  <si>
    <t>ACT-05456</t>
  </si>
  <si>
    <t>ACT-05457</t>
  </si>
  <si>
    <t>ACT-05458</t>
  </si>
  <si>
    <t>ACT-05459</t>
  </si>
  <si>
    <t>ACT-05460</t>
  </si>
  <si>
    <t>ACT-05461</t>
  </si>
  <si>
    <t>ACT-05462</t>
  </si>
  <si>
    <t>ACT-05463</t>
  </si>
  <si>
    <t>ACT-05464</t>
  </si>
  <si>
    <t>ACT-05465</t>
  </si>
  <si>
    <t>ACT-05466</t>
  </si>
  <si>
    <t>ACT-05467</t>
  </si>
  <si>
    <t>ACT-05468</t>
  </si>
  <si>
    <t>ACT-05469</t>
  </si>
  <si>
    <t>ACT-05470</t>
  </si>
  <si>
    <t>ACT-05471</t>
  </si>
  <si>
    <t>ACT-05472</t>
  </si>
  <si>
    <t>ACT-05473</t>
  </si>
  <si>
    <t>ACT-05474</t>
  </si>
  <si>
    <t>ACT-05475</t>
  </si>
  <si>
    <t>ACT-05476</t>
  </si>
  <si>
    <t>ACT-05477</t>
  </si>
  <si>
    <t>ACT-05478</t>
  </si>
  <si>
    <t>ACT-05479</t>
  </si>
  <si>
    <t>ACT-05480</t>
  </si>
  <si>
    <t>ACT-05481</t>
  </si>
  <si>
    <t>ACT-05482</t>
  </si>
  <si>
    <t>ACT-05483</t>
  </si>
  <si>
    <t>ACT-05484</t>
  </si>
  <si>
    <t>ACT-05485</t>
  </si>
  <si>
    <t>ACT-05486</t>
  </si>
  <si>
    <t>ACT-05487</t>
  </si>
  <si>
    <t>ACT-05488</t>
  </si>
  <si>
    <t>ACT-05489</t>
  </si>
  <si>
    <t>ACT-05490</t>
  </si>
  <si>
    <t>ACT-05491</t>
  </si>
  <si>
    <t>ACT-05492</t>
  </si>
  <si>
    <t>ACT-05493</t>
  </si>
  <si>
    <t>ACT-05494</t>
  </si>
  <si>
    <t>ACT-05495</t>
  </si>
  <si>
    <t>ACT-05496</t>
  </si>
  <si>
    <t>ACT-05497</t>
  </si>
  <si>
    <t>ACT-05498</t>
  </si>
  <si>
    <t>ACT-05499</t>
  </si>
  <si>
    <t>ACT-05500</t>
  </si>
  <si>
    <t>ACT-05501</t>
  </si>
  <si>
    <t>ACT-05502</t>
  </si>
  <si>
    <t>ACT-05503</t>
  </si>
  <si>
    <t>ACT-05504</t>
  </si>
  <si>
    <t>ACT-05505</t>
  </si>
  <si>
    <t>ACT-05506</t>
  </si>
  <si>
    <t>ACT-05507</t>
  </si>
  <si>
    <t>ACT-05508</t>
  </si>
  <si>
    <t>ACT-05509</t>
  </si>
  <si>
    <t>ACT-05510</t>
  </si>
  <si>
    <t>ACT-05511</t>
  </si>
  <si>
    <t>ACT-05512</t>
  </si>
  <si>
    <t>ACT-05513</t>
  </si>
  <si>
    <t>ACT-05514</t>
  </si>
  <si>
    <t>ACT-05515</t>
  </si>
  <si>
    <t>ACT-05516</t>
  </si>
  <si>
    <t>ACT-05517</t>
  </si>
  <si>
    <t>ACT-05518</t>
  </si>
  <si>
    <t>ACT-05519</t>
  </si>
  <si>
    <t>ACT-05520</t>
  </si>
  <si>
    <t>ACT-05521</t>
  </si>
  <si>
    <t>ACT-05522</t>
  </si>
  <si>
    <t>ACT-05523</t>
  </si>
  <si>
    <t>ACT-05524</t>
  </si>
  <si>
    <t>ACT-05525</t>
  </si>
  <si>
    <t>ACT-05526</t>
  </si>
  <si>
    <t>ACT-05527</t>
  </si>
  <si>
    <t>ACT-05528</t>
  </si>
  <si>
    <t>ACT-05529</t>
  </si>
  <si>
    <t>ACT-05530</t>
  </si>
  <si>
    <t>ACT-05531</t>
  </si>
  <si>
    <t>ACT-05532</t>
  </si>
  <si>
    <t>ACT-05533</t>
  </si>
  <si>
    <t>ACT-05534</t>
  </si>
  <si>
    <t>ACT-05535</t>
  </si>
  <si>
    <t>ACT-05536</t>
  </si>
  <si>
    <t>ACT-05537</t>
  </si>
  <si>
    <t>ACT-05538</t>
  </si>
  <si>
    <t>ACT-05539</t>
  </si>
  <si>
    <t>ACT-05540</t>
  </si>
  <si>
    <t>ACT-05541</t>
  </si>
  <si>
    <t>ACT-05542</t>
  </si>
  <si>
    <t>ACT-05543</t>
  </si>
  <si>
    <t>ACT-05544</t>
  </si>
  <si>
    <t>ACT-05545</t>
  </si>
  <si>
    <t>ACT-05546</t>
  </si>
  <si>
    <t>ACT-05547</t>
  </si>
  <si>
    <t>ACT-05548</t>
  </si>
  <si>
    <t>ACT-05549</t>
  </si>
  <si>
    <t>ACT-05550</t>
  </si>
  <si>
    <t>ACT-05551</t>
  </si>
  <si>
    <t>ACT-05552</t>
  </si>
  <si>
    <t>ACT-05553</t>
  </si>
  <si>
    <t>ACT-05554</t>
  </si>
  <si>
    <t>ACT-05555</t>
  </si>
  <si>
    <t>ACT-05556</t>
  </si>
  <si>
    <t>ACT-05557</t>
  </si>
  <si>
    <t>ACT-05558</t>
  </si>
  <si>
    <t>ACT-05559</t>
  </si>
  <si>
    <t>ACT-05560</t>
  </si>
  <si>
    <t>ACT-05561</t>
  </si>
  <si>
    <t>ACT-05562</t>
  </si>
  <si>
    <t>ACT-05563</t>
  </si>
  <si>
    <t>ACT-05564</t>
  </si>
  <si>
    <t>ACT-05565</t>
  </si>
  <si>
    <t>ACT-05566</t>
  </si>
  <si>
    <t>ACT-05567</t>
  </si>
  <si>
    <t>ACT-05568</t>
  </si>
  <si>
    <t>ACT-05569</t>
  </si>
  <si>
    <t>ACT-05570</t>
  </si>
  <si>
    <t>ACT-05571</t>
  </si>
  <si>
    <t>ACT-05572</t>
  </si>
  <si>
    <t>ACT-05573</t>
  </si>
  <si>
    <t>ACT-05574</t>
  </si>
  <si>
    <t>ACT-05575</t>
  </si>
  <si>
    <t>ACT-05576</t>
  </si>
  <si>
    <t>ACT-05577</t>
  </si>
  <si>
    <t>ACT-05578</t>
  </si>
  <si>
    <t>ACT-05579</t>
  </si>
  <si>
    <t>ACT-05580</t>
  </si>
  <si>
    <t>ACT-05581</t>
  </si>
  <si>
    <t>ACT-05582</t>
  </si>
  <si>
    <t>ACT-05583</t>
  </si>
  <si>
    <t>ACT-05584</t>
  </si>
  <si>
    <t>ACT-05585</t>
  </si>
  <si>
    <t>ACT-05586</t>
  </si>
  <si>
    <t>ACT-05587</t>
  </si>
  <si>
    <t>ACT-05588</t>
  </si>
  <si>
    <t>ACT-05589</t>
  </si>
  <si>
    <t>ACT-05590</t>
  </si>
  <si>
    <t>ACT-05591</t>
  </si>
  <si>
    <t>ACT-05592</t>
  </si>
  <si>
    <t>ACT-05593</t>
  </si>
  <si>
    <t>ACT-05594</t>
  </si>
  <si>
    <t>ACT-05595</t>
  </si>
  <si>
    <t>ACT-05596</t>
  </si>
  <si>
    <t>ACT-05597</t>
  </si>
  <si>
    <t>ACT-05598</t>
  </si>
  <si>
    <t>ACT-05599</t>
  </si>
  <si>
    <t>ACT-05600</t>
  </si>
  <si>
    <t>ACT-05601</t>
  </si>
  <si>
    <t>ACT-05602</t>
  </si>
  <si>
    <t>ACT-05603</t>
  </si>
  <si>
    <t>ACT-05604</t>
  </si>
  <si>
    <t>ACT-05605</t>
  </si>
  <si>
    <t>ACT-05606</t>
  </si>
  <si>
    <t>ACT-05607</t>
  </si>
  <si>
    <t>ACT-05608</t>
  </si>
  <si>
    <t>ACT-05609</t>
  </si>
  <si>
    <t>ACT-05610</t>
  </si>
  <si>
    <t>ACT-05611</t>
  </si>
  <si>
    <t>ACT-05612</t>
  </si>
  <si>
    <t>ACT-05613</t>
  </si>
  <si>
    <t>ACT-05614</t>
  </si>
  <si>
    <t>ACT-05615</t>
  </si>
  <si>
    <t>ACT-05616</t>
  </si>
  <si>
    <t>ACT-05617</t>
  </si>
  <si>
    <t>ACT-05618</t>
  </si>
  <si>
    <t>ACT-05619</t>
  </si>
  <si>
    <t>ACT-05620</t>
  </si>
  <si>
    <t>ACT-05621</t>
  </si>
  <si>
    <t>ACT-05622</t>
  </si>
  <si>
    <t>ACT-05623</t>
  </si>
  <si>
    <t>ACT-05624</t>
  </si>
  <si>
    <t>ACT-05625</t>
  </si>
  <si>
    <t>ACT-05626</t>
  </si>
  <si>
    <t>ACT-05627</t>
  </si>
  <si>
    <t>ACT-05628</t>
  </si>
  <si>
    <t>ACT-05629</t>
  </si>
  <si>
    <t>ACT-05630</t>
  </si>
  <si>
    <t>ACT-05631</t>
  </si>
  <si>
    <t>ACT-05632</t>
  </si>
  <si>
    <t>ACT-05633</t>
  </si>
  <si>
    <t>ACT-05634</t>
  </si>
  <si>
    <t>ACT-05635</t>
  </si>
  <si>
    <t>ACT-05636</t>
  </si>
  <si>
    <t>ACT-05637</t>
  </si>
  <si>
    <t>ACT-05638</t>
  </si>
  <si>
    <t>ACT-05639</t>
  </si>
  <si>
    <t>ACT-05640</t>
  </si>
  <si>
    <t>ACT-05641</t>
  </si>
  <si>
    <t>ACT-05642</t>
  </si>
  <si>
    <t>ACT-05643</t>
  </si>
  <si>
    <t>ACT-05644</t>
  </si>
  <si>
    <t>ACT-05645</t>
  </si>
  <si>
    <t>ACT-05646</t>
  </si>
  <si>
    <t>ACT-05647</t>
  </si>
  <si>
    <t>ACT-05648</t>
  </si>
  <si>
    <t>ACT-05649</t>
  </si>
  <si>
    <t>ACT-05650</t>
  </si>
  <si>
    <t>ACT-05651</t>
  </si>
  <si>
    <t>ACT-05652</t>
  </si>
  <si>
    <t>ACT-05653</t>
  </si>
  <si>
    <t>ACT-05654</t>
  </si>
  <si>
    <t>ACT-05655</t>
  </si>
  <si>
    <t>ACT-05656</t>
  </si>
  <si>
    <t>ACT-05657</t>
  </si>
  <si>
    <t>ACT-05658</t>
  </si>
  <si>
    <t>ACT-05659</t>
  </si>
  <si>
    <t>ACT-05660</t>
  </si>
  <si>
    <t>ACT-05661</t>
  </si>
  <si>
    <t>ACT-05662</t>
  </si>
  <si>
    <t>ACT-05663</t>
  </si>
  <si>
    <t>ACT-05664</t>
  </si>
  <si>
    <t>ACT-05665</t>
  </si>
  <si>
    <t>ACT-05666</t>
  </si>
  <si>
    <t>ACT-05667</t>
  </si>
  <si>
    <t>ACT-05668</t>
  </si>
  <si>
    <t>ACT-05669</t>
  </si>
  <si>
    <t>ACT-05670</t>
  </si>
  <si>
    <t>ACT-05671</t>
  </si>
  <si>
    <t>ACT-05672</t>
  </si>
  <si>
    <t>ACT-05673</t>
  </si>
  <si>
    <t>ACT-05674</t>
  </si>
  <si>
    <t>ACT-05675</t>
  </si>
  <si>
    <t>ACT-05676</t>
  </si>
  <si>
    <t>ACT-05677</t>
  </si>
  <si>
    <t>ACT-05678</t>
  </si>
  <si>
    <t>ACT-05679</t>
  </si>
  <si>
    <t>ACT-05680</t>
  </si>
  <si>
    <t>ACT-05681</t>
  </si>
  <si>
    <t>ACT-05682</t>
  </si>
  <si>
    <t>ACT-05683</t>
  </si>
  <si>
    <t>ACT-05684</t>
  </si>
  <si>
    <t>ACT-05685</t>
  </si>
  <si>
    <t>ACT-05686</t>
  </si>
  <si>
    <t>ACT-05687</t>
  </si>
  <si>
    <t>ACT-05688</t>
  </si>
  <si>
    <t>ACT-05689</t>
  </si>
  <si>
    <t>ACT-05690</t>
  </si>
  <si>
    <t>ACT-05691</t>
  </si>
  <si>
    <t>ACT-05692</t>
  </si>
  <si>
    <t>ACT-05693</t>
  </si>
  <si>
    <t>ACT-05694</t>
  </si>
  <si>
    <t>ACT-05695</t>
  </si>
  <si>
    <t>ACT-05696</t>
  </si>
  <si>
    <t>ACT-05697</t>
  </si>
  <si>
    <t>ACT-05698</t>
  </si>
  <si>
    <t>ACT-05699</t>
  </si>
  <si>
    <t>ACT-05700</t>
  </si>
  <si>
    <t>ACT-05701</t>
  </si>
  <si>
    <t>ACT-05702</t>
  </si>
  <si>
    <t>ACT-05703</t>
  </si>
  <si>
    <t>ACT-05704</t>
  </si>
  <si>
    <t>ACT-05705</t>
  </si>
  <si>
    <t>ACT-05706</t>
  </si>
  <si>
    <t>ACT-05707</t>
  </si>
  <si>
    <t>ACT-05708</t>
  </si>
  <si>
    <t>ACT-05709</t>
  </si>
  <si>
    <t>ACT-05710</t>
  </si>
  <si>
    <t>ACT-05711</t>
  </si>
  <si>
    <t>ACT-05712</t>
  </si>
  <si>
    <t>ACT-05713</t>
  </si>
  <si>
    <t>ACT-05714</t>
  </si>
  <si>
    <t>ACT-05715</t>
  </si>
  <si>
    <t>ACT-05716</t>
  </si>
  <si>
    <t>ACT-05717</t>
  </si>
  <si>
    <t>ACT-05718</t>
  </si>
  <si>
    <t>ACT-05719</t>
  </si>
  <si>
    <t>ACT-05720</t>
  </si>
  <si>
    <t>ACT-05721</t>
  </si>
  <si>
    <t>ACT-05722</t>
  </si>
  <si>
    <t>ACT-05723</t>
  </si>
  <si>
    <t>ACT-05724</t>
  </si>
  <si>
    <t>ACT-05725</t>
  </si>
  <si>
    <t>ACT-05726</t>
  </si>
  <si>
    <t>ACT-05727</t>
  </si>
  <si>
    <t>ACT-05728</t>
  </si>
  <si>
    <t>ACT-05729</t>
  </si>
  <si>
    <t>ACT-05730</t>
  </si>
  <si>
    <t>ACT-05731</t>
  </si>
  <si>
    <t>ACT-05732</t>
  </si>
  <si>
    <t>ACT-05733</t>
  </si>
  <si>
    <t>ACT-05734</t>
  </si>
  <si>
    <t>ACT-05735</t>
  </si>
  <si>
    <t>ACT-05736</t>
  </si>
  <si>
    <t>ACT-05737</t>
  </si>
  <si>
    <t>ACT-05738</t>
  </si>
  <si>
    <t>ACT-05739</t>
  </si>
  <si>
    <t>ACT-05740</t>
  </si>
  <si>
    <t>ACT-05741</t>
  </si>
  <si>
    <t>ACT-05742</t>
  </si>
  <si>
    <t>ACT-05743</t>
  </si>
  <si>
    <t>ACT-05744</t>
  </si>
  <si>
    <t>ACT-05745</t>
  </si>
  <si>
    <t>ACT-05746</t>
  </si>
  <si>
    <t>ACT-05747</t>
  </si>
  <si>
    <t>ACT-05748</t>
  </si>
  <si>
    <t>ACT-05749</t>
  </si>
  <si>
    <t>ACT-05750</t>
  </si>
  <si>
    <t>ACT-05751</t>
  </si>
  <si>
    <t>ACT-05752</t>
  </si>
  <si>
    <t>ACT-05753</t>
  </si>
  <si>
    <t>ACT-05754</t>
  </si>
  <si>
    <t>ACT-05755</t>
  </si>
  <si>
    <t>ACT-05756</t>
  </si>
  <si>
    <t>ACT-05757</t>
  </si>
  <si>
    <t>ACT-05758</t>
  </si>
  <si>
    <t>ACT-05759</t>
  </si>
  <si>
    <t>ACT-05760</t>
  </si>
  <si>
    <t>ACT-05761</t>
  </si>
  <si>
    <t>ACT-05762</t>
  </si>
  <si>
    <t>ACT-05763</t>
  </si>
  <si>
    <t>ACT-05764</t>
  </si>
  <si>
    <t>ACT-05765</t>
  </si>
  <si>
    <t>ACT-05766</t>
  </si>
  <si>
    <t>ACT-05767</t>
  </si>
  <si>
    <t>ACT-05768</t>
  </si>
  <si>
    <t>ACT-05769</t>
  </si>
  <si>
    <t>ACT-05770</t>
  </si>
  <si>
    <t>ACT-05771</t>
  </si>
  <si>
    <t>ACT-05772</t>
  </si>
  <si>
    <t>ACT-05773</t>
  </si>
  <si>
    <t>ACT-05774</t>
  </si>
  <si>
    <t>ACT-05775</t>
  </si>
  <si>
    <t>ACT-05776</t>
  </si>
  <si>
    <t>ACT-05777</t>
  </si>
  <si>
    <t>ACT-05778</t>
  </si>
  <si>
    <t>ACT-05779</t>
  </si>
  <si>
    <t>ACT-05780</t>
  </si>
  <si>
    <t>ACT-05781</t>
  </si>
  <si>
    <t>ACT-05782</t>
  </si>
  <si>
    <t>ACT-05783</t>
  </si>
  <si>
    <t>ACT-05784</t>
  </si>
  <si>
    <t>ACT-05785</t>
  </si>
  <si>
    <t>ACT-05786</t>
  </si>
  <si>
    <t>ACT-05787</t>
  </si>
  <si>
    <t>ACT-05788</t>
  </si>
  <si>
    <t>ACT-05789</t>
  </si>
  <si>
    <t>ACT-05790</t>
  </si>
  <si>
    <t>ACT-05791</t>
  </si>
  <si>
    <t>ACT-05792</t>
  </si>
  <si>
    <t>ACT-05793</t>
  </si>
  <si>
    <t>ACT-05794</t>
  </si>
  <si>
    <t>ACT-05795</t>
  </si>
  <si>
    <t>ACT-05796</t>
  </si>
  <si>
    <t>ACT-05797</t>
  </si>
  <si>
    <t>ACT-05798</t>
  </si>
  <si>
    <t>ACT-05799</t>
  </si>
  <si>
    <t>ACT-05800</t>
  </si>
  <si>
    <t>ACT-05801</t>
  </si>
  <si>
    <t>ACT-05802</t>
  </si>
  <si>
    <t>ACT-05803</t>
  </si>
  <si>
    <t>ACT-05804</t>
  </si>
  <si>
    <t>ACT-05805</t>
  </si>
  <si>
    <t>ACT-05806</t>
  </si>
  <si>
    <t>ACT-05807</t>
  </si>
  <si>
    <t>ACT-05808</t>
  </si>
  <si>
    <t>ACT-05809</t>
  </si>
  <si>
    <t>ACT-05810</t>
  </si>
  <si>
    <t>ACT-05811</t>
  </si>
  <si>
    <t>ACT-05812</t>
  </si>
  <si>
    <t>ACT-05813</t>
  </si>
  <si>
    <t>ACT-05814</t>
  </si>
  <si>
    <t>ACT-05815</t>
  </si>
  <si>
    <t>ACT-05816</t>
  </si>
  <si>
    <t>ACT-05817</t>
  </si>
  <si>
    <t>ACT-05818</t>
  </si>
  <si>
    <t>ACT-05819</t>
  </si>
  <si>
    <t>ACT-05820</t>
  </si>
  <si>
    <t>ACT-05821</t>
  </si>
  <si>
    <t>ACT-05822</t>
  </si>
  <si>
    <t>ACT-05823</t>
  </si>
  <si>
    <t>ACT-05824</t>
  </si>
  <si>
    <t>ACT-05825</t>
  </si>
  <si>
    <t>ACT-05826</t>
  </si>
  <si>
    <t>ACT-05827</t>
  </si>
  <si>
    <t>ACT-05828</t>
  </si>
  <si>
    <t>ACT-05829</t>
  </si>
  <si>
    <t>ACT-05830</t>
  </si>
  <si>
    <t>ACT-05831</t>
  </si>
  <si>
    <t>ACT-05832</t>
  </si>
  <si>
    <t>ACT-05833</t>
  </si>
  <si>
    <t>ACT-05834</t>
  </si>
  <si>
    <t>ACT-05835</t>
  </si>
  <si>
    <t>ACT-05836</t>
  </si>
  <si>
    <t>ACT-05837</t>
  </si>
  <si>
    <t>ACT-05838</t>
  </si>
  <si>
    <t>ACT-05839</t>
  </si>
  <si>
    <t>ACT-05840</t>
  </si>
  <si>
    <t>ACT-05841</t>
  </si>
  <si>
    <t>ACT-05842</t>
  </si>
  <si>
    <t>ACT-05843</t>
  </si>
  <si>
    <t>ACT-05844</t>
  </si>
  <si>
    <t>ACT-05845</t>
  </si>
  <si>
    <t>ACT-05846</t>
  </si>
  <si>
    <t>ACT-05847</t>
  </si>
  <si>
    <t>ACT-05848</t>
  </si>
  <si>
    <t>ACT-05849</t>
  </si>
  <si>
    <t>ACT-05850</t>
  </si>
  <si>
    <t>ACT-05851</t>
  </si>
  <si>
    <t>ACT-05852</t>
  </si>
  <si>
    <t>ACT-05853</t>
  </si>
  <si>
    <t>ACT-05854</t>
  </si>
  <si>
    <t>ACT-05855</t>
  </si>
  <si>
    <t>ACT-05856</t>
  </si>
  <si>
    <t>ACT-05857</t>
  </si>
  <si>
    <t>ACT-05858</t>
  </si>
  <si>
    <t>ACT-05859</t>
  </si>
  <si>
    <t>ACT-05860</t>
  </si>
  <si>
    <t>ACT-05861</t>
  </si>
  <si>
    <t>ACT-05862</t>
  </si>
  <si>
    <t>ACT-05863</t>
  </si>
  <si>
    <t>ACT-05864</t>
  </si>
  <si>
    <t>ACT-05865</t>
  </si>
  <si>
    <t>ACT-05866</t>
  </si>
  <si>
    <t>ACT-05867</t>
  </si>
  <si>
    <t>ACT-05868</t>
  </si>
  <si>
    <t>ACT-05869</t>
  </si>
  <si>
    <t>ACT-05870</t>
  </si>
  <si>
    <t>ACT-05871</t>
  </si>
  <si>
    <t>ACT-05872</t>
  </si>
  <si>
    <t>ACT-05873</t>
  </si>
  <si>
    <t>ACT-05874</t>
  </si>
  <si>
    <t>ACT-05875</t>
  </si>
  <si>
    <t>ACT-05876</t>
  </si>
  <si>
    <t>ACT-05877</t>
  </si>
  <si>
    <t>ACT-05878</t>
  </si>
  <si>
    <t>ACT-05879</t>
  </si>
  <si>
    <t>ACT-05880</t>
  </si>
  <si>
    <t>ACT-05881</t>
  </si>
  <si>
    <t>ACT-05882</t>
  </si>
  <si>
    <t>ACT-05883</t>
  </si>
  <si>
    <t>ACT-05884</t>
  </si>
  <si>
    <t>ACT-05885</t>
  </si>
  <si>
    <t>ACT-05886</t>
  </si>
  <si>
    <t>ACT-05887</t>
  </si>
  <si>
    <t>ACT-05888</t>
  </si>
  <si>
    <t>ACT-05889</t>
  </si>
  <si>
    <t>ACT-05890</t>
  </si>
  <si>
    <t>ACT-05891</t>
  </si>
  <si>
    <t>ACT-05892</t>
  </si>
  <si>
    <t>ACT-05893</t>
  </si>
  <si>
    <t>ACT-05894</t>
  </si>
  <si>
    <t>ACT-05895</t>
  </si>
  <si>
    <t>ACT-05896</t>
  </si>
  <si>
    <t>ACT-05897</t>
  </si>
  <si>
    <t>ACT-05898</t>
  </si>
  <si>
    <t>ACT-05899</t>
  </si>
  <si>
    <t>ACT-05900</t>
  </si>
  <si>
    <t>ACT-05901</t>
  </si>
  <si>
    <t>ACT-05902</t>
  </si>
  <si>
    <t>ACT-05903</t>
  </si>
  <si>
    <t>ACT-05904</t>
  </si>
  <si>
    <t>ACT-05905</t>
  </si>
  <si>
    <t>ACT-05906</t>
  </si>
  <si>
    <t>ACT-05907</t>
  </si>
  <si>
    <t>ACT-05908</t>
  </si>
  <si>
    <t>ACT-05909</t>
  </si>
  <si>
    <t>ACT-05910</t>
  </si>
  <si>
    <t>ACT-05911</t>
  </si>
  <si>
    <t>ACT-05912</t>
  </si>
  <si>
    <t>ACT-05913</t>
  </si>
  <si>
    <t>ACT-05914</t>
  </si>
  <si>
    <t>ACT-05915</t>
  </si>
  <si>
    <t>ACT-05916</t>
  </si>
  <si>
    <t>ACT-05917</t>
  </si>
  <si>
    <t>ACT-05918</t>
  </si>
  <si>
    <t>ACT-05919</t>
  </si>
  <si>
    <t>ACT-05920</t>
  </si>
  <si>
    <t>ACT-05921</t>
  </si>
  <si>
    <t>ACT-05922</t>
  </si>
  <si>
    <t>ACT-05923</t>
  </si>
  <si>
    <t>ACT-05924</t>
  </si>
  <si>
    <t>ACT-05925</t>
  </si>
  <si>
    <t>ACT-05926</t>
  </si>
  <si>
    <t>ACT-05927</t>
  </si>
  <si>
    <t>ACT-05928</t>
  </si>
  <si>
    <t>ACT-05929</t>
  </si>
  <si>
    <t>ACT-05930</t>
  </si>
  <si>
    <t>ACT-05931</t>
  </si>
  <si>
    <t>ACT-05932</t>
  </si>
  <si>
    <t>ACT-05933</t>
  </si>
  <si>
    <t>ACT-05934</t>
  </si>
  <si>
    <t>ACT-05935</t>
  </si>
  <si>
    <t>ACT-05936</t>
  </si>
  <si>
    <t>ACT-05937</t>
  </si>
  <si>
    <t>ACT-05938</t>
  </si>
  <si>
    <t>ACT-05939</t>
  </si>
  <si>
    <t>ACT-05940</t>
  </si>
  <si>
    <t>ACT-05941</t>
  </si>
  <si>
    <t>ACT-05942</t>
  </si>
  <si>
    <t>ACT-05943</t>
  </si>
  <si>
    <t>ACT-05944</t>
  </si>
  <si>
    <t>ACT-05945</t>
  </si>
  <si>
    <t>ACT-05946</t>
  </si>
  <si>
    <t>ACT-05947</t>
  </si>
  <si>
    <t>ACT-05948</t>
  </si>
  <si>
    <t>ACT-05949</t>
  </si>
  <si>
    <t>ACT-05950</t>
  </si>
  <si>
    <t>ACT-05951</t>
  </si>
  <si>
    <t>ACT-05952</t>
  </si>
  <si>
    <t>ACT-05953</t>
  </si>
  <si>
    <t>ACT-05954</t>
  </si>
  <si>
    <t>ACT-05955</t>
  </si>
  <si>
    <t>ACT-05956</t>
  </si>
  <si>
    <t>ACT-05957</t>
  </si>
  <si>
    <t>ACT-05958</t>
  </si>
  <si>
    <t>ACT-05959</t>
  </si>
  <si>
    <t>ACT-05960</t>
  </si>
  <si>
    <t>ACT-05961</t>
  </si>
  <si>
    <t>ACT-05962</t>
  </si>
  <si>
    <t>ACT-05963</t>
  </si>
  <si>
    <t>ACT-05964</t>
  </si>
  <si>
    <t>ACT-05965</t>
  </si>
  <si>
    <t>ACT-05966</t>
  </si>
  <si>
    <t>ACT-05967</t>
  </si>
  <si>
    <t>ACT-05968</t>
  </si>
  <si>
    <t>ACT-05969</t>
  </si>
  <si>
    <t>ACT-05970</t>
  </si>
  <si>
    <t>ACT-05971</t>
  </si>
  <si>
    <t>ACT-05972</t>
  </si>
  <si>
    <t>ACT-05973</t>
  </si>
  <si>
    <t>ACT-05974</t>
  </si>
  <si>
    <t>ACT-05975</t>
  </si>
  <si>
    <t>ACT-05976</t>
  </si>
  <si>
    <t>ACT-05977</t>
  </si>
  <si>
    <t>ACT-05978</t>
  </si>
  <si>
    <t>ACT-05979</t>
  </si>
  <si>
    <t>ACT-05980</t>
  </si>
  <si>
    <t>ACT-05981</t>
  </si>
  <si>
    <t>ACT-05982</t>
  </si>
  <si>
    <t>ACT-05983</t>
  </si>
  <si>
    <t>ACT-05984</t>
  </si>
  <si>
    <t>ACT-05985</t>
  </si>
  <si>
    <t>ACT-05986</t>
  </si>
  <si>
    <t>ACT-05987</t>
  </si>
  <si>
    <t>ACT-05988</t>
  </si>
  <si>
    <t>ACT-05989</t>
  </si>
  <si>
    <t>ACT-05990</t>
  </si>
  <si>
    <t>ACT-05991</t>
  </si>
  <si>
    <t>ACT-05992</t>
  </si>
  <si>
    <t>ACT-05993</t>
  </si>
  <si>
    <t>ACT-05994</t>
  </si>
  <si>
    <t>ACT-05995</t>
  </si>
  <si>
    <t>ACT-05996</t>
  </si>
  <si>
    <t>ACT-05997</t>
  </si>
  <si>
    <t>ACT-05998</t>
  </si>
  <si>
    <t>ACT-05999</t>
  </si>
  <si>
    <t>ACT-06000</t>
  </si>
  <si>
    <t>ACT-06001</t>
  </si>
  <si>
    <t>ACT-06002</t>
  </si>
  <si>
    <t>ACT-06003</t>
  </si>
  <si>
    <t>ACT-06004</t>
  </si>
  <si>
    <t>ACT-06005</t>
  </si>
  <si>
    <t>ACT-06006</t>
  </si>
  <si>
    <t>ACT-06007</t>
  </si>
  <si>
    <t>ACT-06008</t>
  </si>
  <si>
    <t>ACT-06009</t>
  </si>
  <si>
    <t>ACT-06010</t>
  </si>
  <si>
    <t>ACT-06011</t>
  </si>
  <si>
    <t>ACT-06012</t>
  </si>
  <si>
    <t>ACT-06013</t>
  </si>
  <si>
    <t>ACT-06014</t>
  </si>
  <si>
    <t>ACT-06015</t>
  </si>
  <si>
    <t>ACT-06016</t>
  </si>
  <si>
    <t>ACT-06017</t>
  </si>
  <si>
    <t>ACT-06018</t>
  </si>
  <si>
    <t>ACT-06019</t>
  </si>
  <si>
    <t>ACT-06020</t>
  </si>
  <si>
    <t>ACT-06021</t>
  </si>
  <si>
    <t>ACT-06022</t>
  </si>
  <si>
    <t>ACT-06023</t>
  </si>
  <si>
    <t>ACT-06024</t>
  </si>
  <si>
    <t>ACT-06025</t>
  </si>
  <si>
    <t>ACT-06026</t>
  </si>
  <si>
    <t>ACT-06027</t>
  </si>
  <si>
    <t>ACT-06028</t>
  </si>
  <si>
    <t>ACT-06029</t>
  </si>
  <si>
    <t>ACT-06030</t>
  </si>
  <si>
    <t>ACT-06031</t>
  </si>
  <si>
    <t>ACT-06032</t>
  </si>
  <si>
    <t>ACT-06033</t>
  </si>
  <si>
    <t>ACT-06034</t>
  </si>
  <si>
    <t>ACT-06035</t>
  </si>
  <si>
    <t>ACT-06036</t>
  </si>
  <si>
    <t>ACT-06037</t>
  </si>
  <si>
    <t>ACT-06038</t>
  </si>
  <si>
    <t>ACT-06039</t>
  </si>
  <si>
    <t>ACT-06040</t>
  </si>
  <si>
    <t>ACT-06041</t>
  </si>
  <si>
    <t>ACT-06042</t>
  </si>
  <si>
    <t>ACT-06043</t>
  </si>
  <si>
    <t>ACT-06044</t>
  </si>
  <si>
    <t>ACT-06045</t>
  </si>
  <si>
    <t>ACT-06046</t>
  </si>
  <si>
    <t>ACT-06047</t>
  </si>
  <si>
    <t>ACT-06048</t>
  </si>
  <si>
    <t>ACT-06049</t>
  </si>
  <si>
    <t>ACT-06050</t>
  </si>
  <si>
    <t>ACT-06051</t>
  </si>
  <si>
    <t>ACT-06052</t>
  </si>
  <si>
    <t>ACT-06053</t>
  </si>
  <si>
    <t>ACT-06054</t>
  </si>
  <si>
    <t>ACT-06055</t>
  </si>
  <si>
    <t>ACT-06056</t>
  </si>
  <si>
    <t>ACT-06057</t>
  </si>
  <si>
    <t>ACT-06058</t>
  </si>
  <si>
    <t>ACT-06059</t>
  </si>
  <si>
    <t>ACT-06060</t>
  </si>
  <si>
    <t>ACT-06061</t>
  </si>
  <si>
    <t>ACT-06062</t>
  </si>
  <si>
    <t>ACT-06063</t>
  </si>
  <si>
    <t>ACT-06064</t>
  </si>
  <si>
    <t>ACT-06065</t>
  </si>
  <si>
    <t>ACT-06066</t>
  </si>
  <si>
    <t>ACT-06067</t>
  </si>
  <si>
    <t>ACT-06068</t>
  </si>
  <si>
    <t>ACT-06069</t>
  </si>
  <si>
    <t>ACT-06070</t>
  </si>
  <si>
    <t>ACT-06071</t>
  </si>
  <si>
    <t>ACT-06072</t>
  </si>
  <si>
    <t>ACT-06073</t>
  </si>
  <si>
    <t>ACT-06074</t>
  </si>
  <si>
    <t>ACT-06075</t>
  </si>
  <si>
    <t>ACT-06076</t>
  </si>
  <si>
    <t>ACT-06077</t>
  </si>
  <si>
    <t>ACT-06078</t>
  </si>
  <si>
    <t>ACT-06079</t>
  </si>
  <si>
    <t>ACT-06080</t>
  </si>
  <si>
    <t>ACT-06081</t>
  </si>
  <si>
    <t>ACT-06082</t>
  </si>
  <si>
    <t>ACT-06083</t>
  </si>
  <si>
    <t>ACT-06084</t>
  </si>
  <si>
    <t>ACT-06085</t>
  </si>
  <si>
    <t>ACT-06086</t>
  </si>
  <si>
    <t>ACT-06087</t>
  </si>
  <si>
    <t>ACT-06088</t>
  </si>
  <si>
    <t>ACT-06089</t>
  </si>
  <si>
    <t>ACT-06090</t>
  </si>
  <si>
    <t>ACT-06091</t>
  </si>
  <si>
    <t>ACT-06092</t>
  </si>
  <si>
    <t>ACT-06093</t>
  </si>
  <si>
    <t>ACT-06094</t>
  </si>
  <si>
    <t>ACT-06095</t>
  </si>
  <si>
    <t>ACT-06096</t>
  </si>
  <si>
    <t>ACT-06097</t>
  </si>
  <si>
    <t>ACT-06098</t>
  </si>
  <si>
    <t>ACT-06099</t>
  </si>
  <si>
    <t>ACT-06100</t>
  </si>
  <si>
    <t>ACT-06101</t>
  </si>
  <si>
    <t>ACT-06102</t>
  </si>
  <si>
    <t>ACT-06103</t>
  </si>
  <si>
    <t>ACT-06104</t>
  </si>
  <si>
    <t>ACT-06105</t>
  </si>
  <si>
    <t>ACT-06106</t>
  </si>
  <si>
    <t>ACT-06107</t>
  </si>
  <si>
    <t>ACT-06108</t>
  </si>
  <si>
    <t>ACT-06109</t>
  </si>
  <si>
    <t>ACT-06110</t>
  </si>
  <si>
    <t>ACT-06111</t>
  </si>
  <si>
    <t>ACT-06112</t>
  </si>
  <si>
    <t>ACT-06113</t>
  </si>
  <si>
    <t>ACT-06114</t>
  </si>
  <si>
    <t>ACT-06115</t>
  </si>
  <si>
    <t>ACT-06116</t>
  </si>
  <si>
    <t>ACT-06117</t>
  </si>
  <si>
    <t>ACT-06118</t>
  </si>
  <si>
    <t>ACT-06119</t>
  </si>
  <si>
    <t>ACT-06120</t>
  </si>
  <si>
    <t>ACT-06121</t>
  </si>
  <si>
    <t>ACT-06122</t>
  </si>
  <si>
    <t>ACT-06123</t>
  </si>
  <si>
    <t>ACT-06124</t>
  </si>
  <si>
    <t>ACT-06125</t>
  </si>
  <si>
    <t>ACT-06126</t>
  </si>
  <si>
    <t>ACT-06127</t>
  </si>
  <si>
    <t>ACT-06128</t>
  </si>
  <si>
    <t>ACT-06129</t>
  </si>
  <si>
    <t>ACT-06130</t>
  </si>
  <si>
    <t>ACT-06131</t>
  </si>
  <si>
    <t>ACT-06132</t>
  </si>
  <si>
    <t>ACT-06133</t>
  </si>
  <si>
    <t>ACT-06134</t>
  </si>
  <si>
    <t>ACT-06135</t>
  </si>
  <si>
    <t>ACT-06136</t>
  </si>
  <si>
    <t>ACT-06137</t>
  </si>
  <si>
    <t>ACT-06138</t>
  </si>
  <si>
    <t>ACT-06139</t>
  </si>
  <si>
    <t>ACT-06140</t>
  </si>
  <si>
    <t>ACT-06141</t>
  </si>
  <si>
    <t>ACT-06142</t>
  </si>
  <si>
    <t>ACT-06143</t>
  </si>
  <si>
    <t>ACT-06144</t>
  </si>
  <si>
    <t>ACT-06145</t>
  </si>
  <si>
    <t>ACT-06146</t>
  </si>
  <si>
    <t>ACT-06147</t>
  </si>
  <si>
    <t>ACT-06148</t>
  </si>
  <si>
    <t>ACT-06149</t>
  </si>
  <si>
    <t>ACT-06150</t>
  </si>
  <si>
    <t>ACT-06151</t>
  </si>
  <si>
    <t>ACT-06152</t>
  </si>
  <si>
    <t>ACT-06153</t>
  </si>
  <si>
    <t>ACT-06154</t>
  </si>
  <si>
    <t>ACT-06155</t>
  </si>
  <si>
    <t>ACT-06156</t>
  </si>
  <si>
    <t>ACT-06157</t>
  </si>
  <si>
    <t>ACT-06158</t>
  </si>
  <si>
    <t>ACT-06159</t>
  </si>
  <si>
    <t>ACT-06160</t>
  </si>
  <si>
    <t>ACT-06161</t>
  </si>
  <si>
    <t>ACT-06162</t>
  </si>
  <si>
    <t>ACT-06163</t>
  </si>
  <si>
    <t>ACT-06164</t>
  </si>
  <si>
    <t>ACT-06165</t>
  </si>
  <si>
    <t>ACT-06166</t>
  </si>
  <si>
    <t>ACT-06167</t>
  </si>
  <si>
    <t>ACT-06168</t>
  </si>
  <si>
    <t>ACT-06169</t>
  </si>
  <si>
    <t>ACT-06170</t>
  </si>
  <si>
    <t>ACT-06171</t>
  </si>
  <si>
    <t>ACT-06172</t>
  </si>
  <si>
    <t>ACT-06173</t>
  </si>
  <si>
    <t>ACT-06174</t>
  </si>
  <si>
    <t>ACT-06175</t>
  </si>
  <si>
    <t>ACT-06176</t>
  </si>
  <si>
    <t>ACT-06177</t>
  </si>
  <si>
    <t>ACT-06178</t>
  </si>
  <si>
    <t>ACT-06179</t>
  </si>
  <si>
    <t>ACT-06180</t>
  </si>
  <si>
    <t>ACT-06181</t>
  </si>
  <si>
    <t>ACT-06182</t>
  </si>
  <si>
    <t>ACT-06183</t>
  </si>
  <si>
    <t>ACT-06184</t>
  </si>
  <si>
    <t>ACT-06185</t>
  </si>
  <si>
    <t>ACT-06186</t>
  </si>
  <si>
    <t>ACT-06187</t>
  </si>
  <si>
    <t>ACT-06188</t>
  </si>
  <si>
    <t>ACT-06189</t>
  </si>
  <si>
    <t>ACT-06190</t>
  </si>
  <si>
    <t>ACT-06191</t>
  </si>
  <si>
    <t>ACT-06192</t>
  </si>
  <si>
    <t>ACT-06193</t>
  </si>
  <si>
    <t>ACT-06194</t>
  </si>
  <si>
    <t>ACT-06195</t>
  </si>
  <si>
    <t>ACT-06196</t>
  </si>
  <si>
    <t>ACT-06197</t>
  </si>
  <si>
    <t>ACT-06198</t>
  </si>
  <si>
    <t>ACT-06199</t>
  </si>
  <si>
    <t>ACT-06200</t>
  </si>
  <si>
    <t>ACT-06201</t>
  </si>
  <si>
    <t>ACT-06202</t>
  </si>
  <si>
    <t>ACT-06203</t>
  </si>
  <si>
    <t>ACT-06204</t>
  </si>
  <si>
    <t>ACT-06205</t>
  </si>
  <si>
    <t>ACT-06206</t>
  </si>
  <si>
    <t>ACT-06207</t>
  </si>
  <si>
    <t>ACT-06208</t>
  </si>
  <si>
    <t>ACT-06209</t>
  </si>
  <si>
    <t>ACT-06210</t>
  </si>
  <si>
    <t>ACT-06211</t>
  </si>
  <si>
    <t>ACT-06212</t>
  </si>
  <si>
    <t>ACT-06213</t>
  </si>
  <si>
    <t>ACT-06214</t>
  </si>
  <si>
    <t>ACT-06215</t>
  </si>
  <si>
    <t>ACT-06216</t>
  </si>
  <si>
    <t>ACT-06217</t>
  </si>
  <si>
    <t>ACT-06218</t>
  </si>
  <si>
    <t>ACT-06219</t>
  </si>
  <si>
    <t>ACT-06220</t>
  </si>
  <si>
    <t>ACT-06221</t>
  </si>
  <si>
    <t>ACT-06222</t>
  </si>
  <si>
    <t>ACT-06223</t>
  </si>
  <si>
    <t>ACT-06224</t>
  </si>
  <si>
    <t>ACT-06225</t>
  </si>
  <si>
    <t>ACT-06226</t>
  </si>
  <si>
    <t>ACT-06227</t>
  </si>
  <si>
    <t>ACT-06228</t>
  </si>
  <si>
    <t>ACT-06229</t>
  </si>
  <si>
    <t>ACT-06230</t>
  </si>
  <si>
    <t>ACT-06231</t>
  </si>
  <si>
    <t>ACT-06232</t>
  </si>
  <si>
    <t>ACT-06233</t>
  </si>
  <si>
    <t>ACT-06234</t>
  </si>
  <si>
    <t>ACT-06235</t>
  </si>
  <si>
    <t>ACT-06236</t>
  </si>
  <si>
    <t>ACT-06237</t>
  </si>
  <si>
    <t>ACT-06238</t>
  </si>
  <si>
    <t>ACT-06239</t>
  </si>
  <si>
    <t>ACT-06240</t>
  </si>
  <si>
    <t>ACT-06241</t>
  </si>
  <si>
    <t>ACT-06242</t>
  </si>
  <si>
    <t>ACT-06243</t>
  </si>
  <si>
    <t>ACT-06244</t>
  </si>
  <si>
    <t>ACT-06245</t>
  </si>
  <si>
    <t>ACT-06246</t>
  </si>
  <si>
    <t>ACT-06247</t>
  </si>
  <si>
    <t>ACT-06248</t>
  </si>
  <si>
    <t>ACT-06249</t>
  </si>
  <si>
    <t>ACT-06250</t>
  </si>
  <si>
    <t>ACT-06251</t>
  </si>
  <si>
    <t>ACT-06252</t>
  </si>
  <si>
    <t>ACT-06253</t>
  </si>
  <si>
    <t>ACT-06254</t>
  </si>
  <si>
    <t>ACT-06255</t>
  </si>
  <si>
    <t>ACT-06256</t>
  </si>
  <si>
    <t>ACT-06257</t>
  </si>
  <si>
    <t>ACT-06258</t>
  </si>
  <si>
    <t>ACT-06259</t>
  </si>
  <si>
    <t>ACT-06260</t>
  </si>
  <si>
    <t>ACT-06261</t>
  </si>
  <si>
    <t>ACT-06262</t>
  </si>
  <si>
    <t>ACT-06263</t>
  </si>
  <si>
    <t>ACT-06264</t>
  </si>
  <si>
    <t>ACT-06265</t>
  </si>
  <si>
    <t>ACT-06266</t>
  </si>
  <si>
    <t>ACT-06267</t>
  </si>
  <si>
    <t>ACT-06268</t>
  </si>
  <si>
    <t>ACT-06269</t>
  </si>
  <si>
    <t>ACT-06270</t>
  </si>
  <si>
    <t>ACT-06271</t>
  </si>
  <si>
    <t>ACT-06272</t>
  </si>
  <si>
    <t>ACT-06273</t>
  </si>
  <si>
    <t>ACT-06274</t>
  </si>
  <si>
    <t>ACT-06275</t>
  </si>
  <si>
    <t>ACT-06276</t>
  </si>
  <si>
    <t>ACT-06277</t>
  </si>
  <si>
    <t>ACT-06278</t>
  </si>
  <si>
    <t>ACT-06279</t>
  </si>
  <si>
    <t>ACT-06280</t>
  </si>
  <si>
    <t>ACT-06281</t>
  </si>
  <si>
    <t>ACT-06282</t>
  </si>
  <si>
    <t>ACT-06283</t>
  </si>
  <si>
    <t>ACT-06284</t>
  </si>
  <si>
    <t>ACT-06285</t>
  </si>
  <si>
    <t>ACT-06286</t>
  </si>
  <si>
    <t>ACT-06287</t>
  </si>
  <si>
    <t>ACT-06288</t>
  </si>
  <si>
    <t>ACT-06289</t>
  </si>
  <si>
    <t>ACT-06290</t>
  </si>
  <si>
    <t>ACT-06291</t>
  </si>
  <si>
    <t>ACT-06292</t>
  </si>
  <si>
    <t>ACT-06293</t>
  </si>
  <si>
    <t>ACT-06294</t>
  </si>
  <si>
    <t>ACT-06295</t>
  </si>
  <si>
    <t>ACT-06296</t>
  </si>
  <si>
    <t>ACT-06297</t>
  </si>
  <si>
    <t>ACT-06298</t>
  </si>
  <si>
    <t>ACT-06299</t>
  </si>
  <si>
    <t>ACT-06300</t>
  </si>
  <si>
    <t>ACT-06301</t>
  </si>
  <si>
    <t>ACT-06302</t>
  </si>
  <si>
    <t>ACT-06303</t>
  </si>
  <si>
    <t>ACT-06304</t>
  </si>
  <si>
    <t>ACT-06305</t>
  </si>
  <si>
    <t>ACT-06306</t>
  </si>
  <si>
    <t>ACT-06307</t>
  </si>
  <si>
    <t>ACT-06308</t>
  </si>
  <si>
    <t>ACT-06309</t>
  </si>
  <si>
    <t>ACT-06310</t>
  </si>
  <si>
    <t>ACT-06311</t>
  </si>
  <si>
    <t>ACT-06312</t>
  </si>
  <si>
    <t>ACT-06313</t>
  </si>
  <si>
    <t>ACT-06314</t>
  </si>
  <si>
    <t>ACT-06315</t>
  </si>
  <si>
    <t>ACT-06316</t>
  </si>
  <si>
    <t>ACT-06317</t>
  </si>
  <si>
    <t>ACT-06318</t>
  </si>
  <si>
    <t>ACT-06319</t>
  </si>
  <si>
    <t>ACT-06320</t>
  </si>
  <si>
    <t>ACT-06321</t>
  </si>
  <si>
    <t>ACT-06322</t>
  </si>
  <si>
    <t>ACT-06323</t>
  </si>
  <si>
    <t>ACT-06324</t>
  </si>
  <si>
    <t>ACT-06325</t>
  </si>
  <si>
    <t>ACT-06326</t>
  </si>
  <si>
    <t>ACT-06327</t>
  </si>
  <si>
    <t>ACT-06328</t>
  </si>
  <si>
    <t>ACT-06329</t>
  </si>
  <si>
    <t>ACT-06330</t>
  </si>
  <si>
    <t>ACT-06331</t>
  </si>
  <si>
    <t>ACT-06332</t>
  </si>
  <si>
    <t>ACT-06333</t>
  </si>
  <si>
    <t>ACT-06334</t>
  </si>
  <si>
    <t>ACT-06335</t>
  </si>
  <si>
    <t>ACT-06336</t>
  </si>
  <si>
    <t>ACT-06337</t>
  </si>
  <si>
    <t>ACT-06338</t>
  </si>
  <si>
    <t>ACT-06339</t>
  </si>
  <si>
    <t>ACT-06340</t>
  </si>
  <si>
    <t>ACT-06341</t>
  </si>
  <si>
    <t>ACT-06342</t>
  </si>
  <si>
    <t>ACT-06343</t>
  </si>
  <si>
    <t>ACT-06344</t>
  </si>
  <si>
    <t>ACT-06345</t>
  </si>
  <si>
    <t>ACT-06346</t>
  </si>
  <si>
    <t>ACT-06347</t>
  </si>
  <si>
    <t>ACT-06348</t>
  </si>
  <si>
    <t>ACT-06349</t>
  </si>
  <si>
    <t>ACT-06350</t>
  </si>
  <si>
    <t>ACT-06351</t>
  </si>
  <si>
    <t>ACT-06352</t>
  </si>
  <si>
    <t>ACT-06353</t>
  </si>
  <si>
    <t>ACT-06354</t>
  </si>
  <si>
    <t>ACT-06355</t>
  </si>
  <si>
    <t>ACT-06356</t>
  </si>
  <si>
    <t>ACT-06357</t>
  </si>
  <si>
    <t>ACT-06358</t>
  </si>
  <si>
    <t>ACT-06359</t>
  </si>
  <si>
    <t>ACT-06360</t>
  </si>
  <si>
    <t>ACT-06361</t>
  </si>
  <si>
    <t>ACT-06362</t>
  </si>
  <si>
    <t>ACT-06363</t>
  </si>
  <si>
    <t>ACT-06364</t>
  </si>
  <si>
    <t>ACT-06365</t>
  </si>
  <si>
    <t>ACT-06366</t>
  </si>
  <si>
    <t>ACT-06367</t>
  </si>
  <si>
    <t>ACT-06368</t>
  </si>
  <si>
    <t>ACT-06369</t>
  </si>
  <si>
    <t>ACT-06370</t>
  </si>
  <si>
    <t>ACT-06371</t>
  </si>
  <si>
    <t>ACT-06372</t>
  </si>
  <si>
    <t>ACT-06373</t>
  </si>
  <si>
    <t>ACT-06374</t>
  </si>
  <si>
    <t>ACT-06375</t>
  </si>
  <si>
    <t>ACT-06376</t>
  </si>
  <si>
    <t>ACT-06377</t>
  </si>
  <si>
    <t>ACT-06378</t>
  </si>
  <si>
    <t>ACT-06379</t>
  </si>
  <si>
    <t>ACT-06380</t>
  </si>
  <si>
    <t>ACT-06381</t>
  </si>
  <si>
    <t>ACT-06382</t>
  </si>
  <si>
    <t>ACT-06383</t>
  </si>
  <si>
    <t>ACT-06384</t>
  </si>
  <si>
    <t>ACT-06385</t>
  </si>
  <si>
    <t>ACT-06386</t>
  </si>
  <si>
    <t>ACT-06387</t>
  </si>
  <si>
    <t>ACT-06388</t>
  </si>
  <si>
    <t>ACT-06389</t>
  </si>
  <si>
    <t>ACT-06390</t>
  </si>
  <si>
    <t>ACT-06391</t>
  </si>
  <si>
    <t>ACT-06392</t>
  </si>
  <si>
    <t>ACT-06393</t>
  </si>
  <si>
    <t>ACT-06394</t>
  </si>
  <si>
    <t>ACT-06395</t>
  </si>
  <si>
    <t>ACT-06396</t>
  </si>
  <si>
    <t>ACT-06397</t>
  </si>
  <si>
    <t>ACT-06398</t>
  </si>
  <si>
    <t>ACT-06399</t>
  </si>
  <si>
    <t>ACT-06400</t>
  </si>
  <si>
    <t>ACT-06401</t>
  </si>
  <si>
    <t>ACT-06402</t>
  </si>
  <si>
    <t>ACT-06403</t>
  </si>
  <si>
    <t>ACT-06404</t>
  </si>
  <si>
    <t>ACT-06405</t>
  </si>
  <si>
    <t>ACT-06406</t>
  </si>
  <si>
    <t>ACT-06407</t>
  </si>
  <si>
    <t>ACT-06408</t>
  </si>
  <si>
    <t>ACT-06409</t>
  </si>
  <si>
    <t>ACT-06410</t>
  </si>
  <si>
    <t>ACT-06411</t>
  </si>
  <si>
    <t>ACT-06412</t>
  </si>
  <si>
    <t>ACT-06413</t>
  </si>
  <si>
    <t>ACT-06414</t>
  </si>
  <si>
    <t>ACT-06415</t>
  </si>
  <si>
    <t>ACT-06416</t>
  </si>
  <si>
    <t>ACT-06417</t>
  </si>
  <si>
    <t>ACT-06418</t>
  </si>
  <si>
    <t>ACT-06419</t>
  </si>
  <si>
    <t>ACT-06420</t>
  </si>
  <si>
    <t>ACT-06421</t>
  </si>
  <si>
    <t>ACT-06422</t>
  </si>
  <si>
    <t>ACT-06423</t>
  </si>
  <si>
    <t>ACT-06424</t>
  </si>
  <si>
    <t>ACT-06425</t>
  </si>
  <si>
    <t>ACT-06426</t>
  </si>
  <si>
    <t>ACT-06427</t>
  </si>
  <si>
    <t>ACT-06428</t>
  </si>
  <si>
    <t>ACT-06429</t>
  </si>
  <si>
    <t>ACT-06430</t>
  </si>
  <si>
    <t>ACT-06431</t>
  </si>
  <si>
    <t>ACT-06432</t>
  </si>
  <si>
    <t>ACT-06433</t>
  </si>
  <si>
    <t>ACT-06434</t>
  </si>
  <si>
    <t>ACT-06435</t>
  </si>
  <si>
    <t>ACT-06436</t>
  </si>
  <si>
    <t>ACT-06437</t>
  </si>
  <si>
    <t>ACT-06438</t>
  </si>
  <si>
    <t>ACT-06439</t>
  </si>
  <si>
    <t>ACT-06440</t>
  </si>
  <si>
    <t>ACT-06441</t>
  </si>
  <si>
    <t>ACT-06442</t>
  </si>
  <si>
    <t>ACT-06443</t>
  </si>
  <si>
    <t>ACT-06444</t>
  </si>
  <si>
    <t>ACT-06445</t>
  </si>
  <si>
    <t>ACT-06446</t>
  </si>
  <si>
    <t>ACT-06447</t>
  </si>
  <si>
    <t>ACT-06448</t>
  </si>
  <si>
    <t>ACT-06449</t>
  </si>
  <si>
    <t>ACT-06450</t>
  </si>
  <si>
    <t>ACT-06451</t>
  </si>
  <si>
    <t>ACT-06452</t>
  </si>
  <si>
    <t>ACT-06453</t>
  </si>
  <si>
    <t>ACT-06454</t>
  </si>
  <si>
    <t>ACT-06455</t>
  </si>
  <si>
    <t>ACT-06456</t>
  </si>
  <si>
    <t>ACT-06457</t>
  </si>
  <si>
    <t>ACT-06458</t>
  </si>
  <si>
    <t>ACT-06459</t>
  </si>
  <si>
    <t>ACT-06460</t>
  </si>
  <si>
    <t>ACT-06461</t>
  </si>
  <si>
    <t>ACT-06462</t>
  </si>
  <si>
    <t>ACT-06463</t>
  </si>
  <si>
    <t>ACT-06464</t>
  </si>
  <si>
    <t>ACT-06465</t>
  </si>
  <si>
    <t>ACT-06466</t>
  </si>
  <si>
    <t>ACT-06467</t>
  </si>
  <si>
    <t>ACT-06468</t>
  </si>
  <si>
    <t>ACT-06469</t>
  </si>
  <si>
    <t>ACT-06470</t>
  </si>
  <si>
    <t>ACT-06471</t>
  </si>
  <si>
    <t>ACT-06472</t>
  </si>
  <si>
    <t>ACT-06473</t>
  </si>
  <si>
    <t>ACT-06474</t>
  </si>
  <si>
    <t>ACT-06475</t>
  </si>
  <si>
    <t>ACT-06476</t>
  </si>
  <si>
    <t>ACT-06477</t>
  </si>
  <si>
    <t>ACT-06478</t>
  </si>
  <si>
    <t>ACT-06479</t>
  </si>
  <si>
    <t>ACT-06480</t>
  </si>
  <si>
    <t>ACT-06481</t>
  </si>
  <si>
    <t>ACT-06482</t>
  </si>
  <si>
    <t>ACT-06483</t>
  </si>
  <si>
    <t>ACT-06484</t>
  </si>
  <si>
    <t>ACT-06485</t>
  </si>
  <si>
    <t>ACT-06486</t>
  </si>
  <si>
    <t>ACT-06487</t>
  </si>
  <si>
    <t>ACT-06488</t>
  </si>
  <si>
    <t>ACT-06489</t>
  </si>
  <si>
    <t>ACT-06490</t>
  </si>
  <si>
    <t>ACT-06491</t>
  </si>
  <si>
    <t>ACT-06492</t>
  </si>
  <si>
    <t>ACT-06493</t>
  </si>
  <si>
    <t>ACT-06494</t>
  </si>
  <si>
    <t>ACT-06495</t>
  </si>
  <si>
    <t>ACT-06496</t>
  </si>
  <si>
    <t>ACT-06497</t>
  </si>
  <si>
    <t>ACT-06498</t>
  </si>
  <si>
    <t>ACT-06499</t>
  </si>
  <si>
    <t>ACT-06500</t>
  </si>
  <si>
    <t>ACT-06501</t>
  </si>
  <si>
    <t>ACT-06502</t>
  </si>
  <si>
    <t>ACT-06503</t>
  </si>
  <si>
    <t>ACT-06504</t>
  </si>
  <si>
    <t>ACT-06505</t>
  </si>
  <si>
    <t>ACT-06506</t>
  </si>
  <si>
    <t>ACT-06507</t>
  </si>
  <si>
    <t>ACT-06508</t>
  </si>
  <si>
    <t>ACT-06509</t>
  </si>
  <si>
    <t>ACT-06510</t>
  </si>
  <si>
    <t>ACT-06511</t>
  </si>
  <si>
    <t>ACT-06512</t>
  </si>
  <si>
    <t>ACT-06513</t>
  </si>
  <si>
    <t>ACT-06514</t>
  </si>
  <si>
    <t>ACT-06515</t>
  </si>
  <si>
    <t>ACT-06516</t>
  </si>
  <si>
    <t>ACT-06517</t>
  </si>
  <si>
    <t>ACT-06518</t>
  </si>
  <si>
    <t>ACT-06519</t>
  </si>
  <si>
    <t>ACT-06520</t>
  </si>
  <si>
    <t>ACT-06521</t>
  </si>
  <si>
    <t>ACT-06522</t>
  </si>
  <si>
    <t>ACT-06523</t>
  </si>
  <si>
    <t>ACT-06524</t>
  </si>
  <si>
    <t>ACT-06525</t>
  </si>
  <si>
    <t>ACT-06526</t>
  </si>
  <si>
    <t>ACT-06527</t>
  </si>
  <si>
    <t>ACT-06528</t>
  </si>
  <si>
    <t>ACT-06529</t>
  </si>
  <si>
    <t>ACT-06530</t>
  </si>
  <si>
    <t>ACT-06531</t>
  </si>
  <si>
    <t>ACT-06532</t>
  </si>
  <si>
    <t>ACT-06533</t>
  </si>
  <si>
    <t>ACT-06534</t>
  </si>
  <si>
    <t>ACT-06535</t>
  </si>
  <si>
    <t>ACT-06536</t>
  </si>
  <si>
    <t>ACT-06537</t>
  </si>
  <si>
    <t>ACT-06538</t>
  </si>
  <si>
    <t>ACT-06539</t>
  </si>
  <si>
    <t>ACT-06540</t>
  </si>
  <si>
    <t>ACT-06541</t>
  </si>
  <si>
    <t>ACT-06542</t>
  </si>
  <si>
    <t>ACT-06543</t>
  </si>
  <si>
    <t>ACT-06544</t>
  </si>
  <si>
    <t>ACT-06545</t>
  </si>
  <si>
    <t>ACT-06546</t>
  </si>
  <si>
    <t>ACT-06547</t>
  </si>
  <si>
    <t>ACT-06548</t>
  </si>
  <si>
    <t>ACT-06549</t>
  </si>
  <si>
    <t>ACT-06550</t>
  </si>
  <si>
    <t>ACT-06551</t>
  </si>
  <si>
    <t>ACT-06552</t>
  </si>
  <si>
    <t>ACT-06553</t>
  </si>
  <si>
    <t>ACT-06554</t>
  </si>
  <si>
    <t>ACT-06555</t>
  </si>
  <si>
    <t>ACT-06556</t>
  </si>
  <si>
    <t>ACT-06557</t>
  </si>
  <si>
    <t>ACT-06558</t>
  </si>
  <si>
    <t>ACT-06559</t>
  </si>
  <si>
    <t>ACT-06560</t>
  </si>
  <si>
    <t>ACT-06561</t>
  </si>
  <si>
    <t>ACT-06562</t>
  </si>
  <si>
    <t>ACT-06563</t>
  </si>
  <si>
    <t>ACT-06564</t>
  </si>
  <si>
    <t>ACT-06565</t>
  </si>
  <si>
    <t>ACT-06566</t>
  </si>
  <si>
    <t>ACT-06567</t>
  </si>
  <si>
    <t>ACT-06568</t>
  </si>
  <si>
    <t>ACT-06569</t>
  </si>
  <si>
    <t>ACT-06570</t>
  </si>
  <si>
    <t>ACT-06571</t>
  </si>
  <si>
    <t>ACT-06572</t>
  </si>
  <si>
    <t>ACT-06573</t>
  </si>
  <si>
    <t>ACT-06574</t>
  </si>
  <si>
    <t>ACT-06575</t>
  </si>
  <si>
    <t>ACT-06576</t>
  </si>
  <si>
    <t>ACT-06577</t>
  </si>
  <si>
    <t>ACT-06578</t>
  </si>
  <si>
    <t>ACT-06579</t>
  </si>
  <si>
    <t>ACT-06580</t>
  </si>
  <si>
    <t>ACT-06581</t>
  </si>
  <si>
    <t>ACT-06582</t>
  </si>
  <si>
    <t>ACT-06583</t>
  </si>
  <si>
    <t>ACT-06584</t>
  </si>
  <si>
    <t>ACT-06585</t>
  </si>
  <si>
    <t>ACT-06586</t>
  </si>
  <si>
    <t>ACT-06587</t>
  </si>
  <si>
    <t>ACT-06588</t>
  </si>
  <si>
    <t>ACT-06589</t>
  </si>
  <si>
    <t>ACT-06590</t>
  </si>
  <si>
    <t>ACT-06591</t>
  </si>
  <si>
    <t>ACT-06592</t>
  </si>
  <si>
    <t>ACT-06593</t>
  </si>
  <si>
    <t>ACT-06594</t>
  </si>
  <si>
    <t>ACT-06595</t>
  </si>
  <si>
    <t>ACT-06596</t>
  </si>
  <si>
    <t>ACT-06597</t>
  </si>
  <si>
    <t>ACT-06598</t>
  </si>
  <si>
    <t>ACT-06599</t>
  </si>
  <si>
    <t>ACT-06600</t>
  </si>
  <si>
    <t>ACT-06601</t>
  </si>
  <si>
    <t>ACT-06602</t>
  </si>
  <si>
    <t>ACT-06603</t>
  </si>
  <si>
    <t>ACT-06604</t>
  </si>
  <si>
    <t>ACT-06605</t>
  </si>
  <si>
    <t>ACT-06606</t>
  </si>
  <si>
    <t>ACT-06607</t>
  </si>
  <si>
    <t>ACT-06608</t>
  </si>
  <si>
    <t>ACT-06609</t>
  </si>
  <si>
    <t>ACT-06610</t>
  </si>
  <si>
    <t>ACT-06611</t>
  </si>
  <si>
    <t>ACT-06612</t>
  </si>
  <si>
    <t>ACT-06613</t>
  </si>
  <si>
    <t>ACT-06614</t>
  </si>
  <si>
    <t>ACT-06615</t>
  </si>
  <si>
    <t>ACT-06616</t>
  </si>
  <si>
    <t>ACT-06617</t>
  </si>
  <si>
    <t>ACT-06618</t>
  </si>
  <si>
    <t>ACT-06619</t>
  </si>
  <si>
    <t>ACT-06620</t>
  </si>
  <si>
    <t>ACT-06621</t>
  </si>
  <si>
    <t>ACT-06622</t>
  </si>
  <si>
    <t>ACT-06623</t>
  </si>
  <si>
    <t>ACT-06624</t>
  </si>
  <si>
    <t>ACT-06625</t>
  </si>
  <si>
    <t>ACT-06626</t>
  </si>
  <si>
    <t>ACT-06627</t>
  </si>
  <si>
    <t>ACT-06628</t>
  </si>
  <si>
    <t>ACT-06629</t>
  </si>
  <si>
    <t>ACT-06630</t>
  </si>
  <si>
    <t>ACT-06631</t>
  </si>
  <si>
    <t>ACT-06632</t>
  </si>
  <si>
    <t>ACT-06633</t>
  </si>
  <si>
    <t>ACT-06634</t>
  </si>
  <si>
    <t>ACT-06635</t>
  </si>
  <si>
    <t>ACT-06636</t>
  </si>
  <si>
    <t>ACT-06637</t>
  </si>
  <si>
    <t>ACT-06638</t>
  </si>
  <si>
    <t>ACT-06639</t>
  </si>
  <si>
    <t>ACT-06640</t>
  </si>
  <si>
    <t>ACT-06641</t>
  </si>
  <si>
    <t>ACT-06642</t>
  </si>
  <si>
    <t>ACT-06643</t>
  </si>
  <si>
    <t>ACT-06644</t>
  </si>
  <si>
    <t>ACT-06645</t>
  </si>
  <si>
    <t>ACT-06646</t>
  </si>
  <si>
    <t>ACT-06647</t>
  </si>
  <si>
    <t>ACT-06648</t>
  </si>
  <si>
    <t>ACT-06649</t>
  </si>
  <si>
    <t>ACT-06650</t>
  </si>
  <si>
    <t>ACT-06651</t>
  </si>
  <si>
    <t>ACT-06652</t>
  </si>
  <si>
    <t>ACT-06653</t>
  </si>
  <si>
    <t>ACT-06654</t>
  </si>
  <si>
    <t>ACT-06655</t>
  </si>
  <si>
    <t>ACT-06656</t>
  </si>
  <si>
    <t>ACT-06657</t>
  </si>
  <si>
    <t>ACT-06658</t>
  </si>
  <si>
    <t>ACT-06659</t>
  </si>
  <si>
    <t>ACT-06660</t>
  </si>
  <si>
    <t>ACT-06661</t>
  </si>
  <si>
    <t>ACT-06662</t>
  </si>
  <si>
    <t>ACT-06663</t>
  </si>
  <si>
    <t>ACT-06664</t>
  </si>
  <si>
    <t>ACT-06665</t>
  </si>
  <si>
    <t>ACT-06666</t>
  </si>
  <si>
    <t>ACT-06667</t>
  </si>
  <si>
    <t>ACT-06668</t>
  </si>
  <si>
    <t>ACT-06669</t>
  </si>
  <si>
    <t>ACT-06670</t>
  </si>
  <si>
    <t>ACT-06671</t>
  </si>
  <si>
    <t>ACT-06672</t>
  </si>
  <si>
    <t>ACT-06673</t>
  </si>
  <si>
    <t>ACT-06674</t>
  </si>
  <si>
    <t>ACT-06675</t>
  </si>
  <si>
    <t>ACT-06676</t>
  </si>
  <si>
    <t>ACT-06677</t>
  </si>
  <si>
    <t>ACT-06678</t>
  </si>
  <si>
    <t>ACT-06679</t>
  </si>
  <si>
    <t>ACT-06680</t>
  </si>
  <si>
    <t>ACT-06681</t>
  </si>
  <si>
    <t>ACT-06682</t>
  </si>
  <si>
    <t>ACT-06683</t>
  </si>
  <si>
    <t>ACT-06684</t>
  </si>
  <si>
    <t>ACT-06685</t>
  </si>
  <si>
    <t>ACT-06686</t>
  </si>
  <si>
    <t>ACT-06687</t>
  </si>
  <si>
    <t>ACT-06688</t>
  </si>
  <si>
    <t>ACT-06689</t>
  </si>
  <si>
    <t>ACT-06690</t>
  </si>
  <si>
    <t>ACT-06691</t>
  </si>
  <si>
    <t>ACT-06692</t>
  </si>
  <si>
    <t>ACT-06693</t>
  </si>
  <si>
    <t>ACT-06694</t>
  </si>
  <si>
    <t>ACT-06695</t>
  </si>
  <si>
    <t>ACT-06696</t>
  </si>
  <si>
    <t>ACT-06697</t>
  </si>
  <si>
    <t>ACT-06698</t>
  </si>
  <si>
    <t>ACT-06699</t>
  </si>
  <si>
    <t>ACT-06700</t>
  </si>
  <si>
    <t>ACT-06701</t>
  </si>
  <si>
    <t>ACT-06702</t>
  </si>
  <si>
    <t>ACT-06703</t>
  </si>
  <si>
    <t>ACT-06704</t>
  </si>
  <si>
    <t>ACT-06705</t>
  </si>
  <si>
    <t>ACT-06706</t>
  </si>
  <si>
    <t>ACT-06707</t>
  </si>
  <si>
    <t>ACT-06708</t>
  </si>
  <si>
    <t>ACT-06709</t>
  </si>
  <si>
    <t>ACT-06710</t>
  </si>
  <si>
    <t>ACT-06711</t>
  </si>
  <si>
    <t>ACT-06712</t>
  </si>
  <si>
    <t>ACT-06713</t>
  </si>
  <si>
    <t>ACT-06714</t>
  </si>
  <si>
    <t>ACT-06715</t>
  </si>
  <si>
    <t>ACT-06716</t>
  </si>
  <si>
    <t>ACT-06717</t>
  </si>
  <si>
    <t>ACT-06718</t>
  </si>
  <si>
    <t>ACT-06719</t>
  </si>
  <si>
    <t>ACT-06720</t>
  </si>
  <si>
    <t>ACT-06721</t>
  </si>
  <si>
    <t>ACT-06722</t>
  </si>
  <si>
    <t>ACT-06723</t>
  </si>
  <si>
    <t>ACT-06724</t>
  </si>
  <si>
    <t>ACT-06725</t>
  </si>
  <si>
    <t>ACT-06726</t>
  </si>
  <si>
    <t>ACT-06727</t>
  </si>
  <si>
    <t>ACT-06728</t>
  </si>
  <si>
    <t>ACT-06729</t>
  </si>
  <si>
    <t>ACT-06730</t>
  </si>
  <si>
    <t>ACT-06731</t>
  </si>
  <si>
    <t>ACT-06732</t>
  </si>
  <si>
    <t>ACT-06733</t>
  </si>
  <si>
    <t>ACT-06734</t>
  </si>
  <si>
    <t>ACT-06735</t>
  </si>
  <si>
    <t>ACT-06736</t>
  </si>
  <si>
    <t>ACT-06737</t>
  </si>
  <si>
    <t>ACT-06738</t>
  </si>
  <si>
    <t>ACT-06739</t>
  </si>
  <si>
    <t>ACT-06740</t>
  </si>
  <si>
    <t>ACT-06741</t>
  </si>
  <si>
    <t>ACT-06742</t>
  </si>
  <si>
    <t>ACT-06743</t>
  </si>
  <si>
    <t>ACT-06744</t>
  </si>
  <si>
    <t>ACT-06745</t>
  </si>
  <si>
    <t>ACT-06746</t>
  </si>
  <si>
    <t>ACT-06747</t>
  </si>
  <si>
    <t>ACT-06748</t>
  </si>
  <si>
    <t>ACT-06749</t>
  </si>
  <si>
    <t>ACT-06750</t>
  </si>
  <si>
    <t>ACT-06751</t>
  </si>
  <si>
    <t>ACT-06752</t>
  </si>
  <si>
    <t>ACT-06753</t>
  </si>
  <si>
    <t>ACT-06754</t>
  </si>
  <si>
    <t>ACT-06755</t>
  </si>
  <si>
    <t>ACT-06756</t>
  </si>
  <si>
    <t>ACT-06757</t>
  </si>
  <si>
    <t>ACT-06758</t>
  </si>
  <si>
    <t>ACT-06759</t>
  </si>
  <si>
    <t>ACT-06760</t>
  </si>
  <si>
    <t>ACT-06761</t>
  </si>
  <si>
    <t>ACT-06762</t>
  </si>
  <si>
    <t>ACT-06763</t>
  </si>
  <si>
    <t>ACT-06764</t>
  </si>
  <si>
    <t>ACT-06765</t>
  </si>
  <si>
    <t>ACT-06766</t>
  </si>
  <si>
    <t>ACT-06767</t>
  </si>
  <si>
    <t>ACT-06768</t>
  </si>
  <si>
    <t>ACT-06769</t>
  </si>
  <si>
    <t>ACT-06770</t>
  </si>
  <si>
    <t>ACT-06771</t>
  </si>
  <si>
    <t>ACT-06772</t>
  </si>
  <si>
    <t>ACT-06773</t>
  </si>
  <si>
    <t>ACT-06774</t>
  </si>
  <si>
    <t>ACT-06775</t>
  </si>
  <si>
    <t>ACT-06776</t>
  </si>
  <si>
    <t>ACT-06777</t>
  </si>
  <si>
    <t>ACT-06778</t>
  </si>
  <si>
    <t>ACT-06779</t>
  </si>
  <si>
    <t>ACT-06780</t>
  </si>
  <si>
    <t>ACT-06781</t>
  </si>
  <si>
    <t>ACT-06782</t>
  </si>
  <si>
    <t>ACT-06783</t>
  </si>
  <si>
    <t>ACT-06784</t>
  </si>
  <si>
    <t>ACT-06785</t>
  </si>
  <si>
    <t>ACT-06786</t>
  </si>
  <si>
    <t>ACT-06787</t>
  </si>
  <si>
    <t>ACT-06788</t>
  </si>
  <si>
    <t>ACT-06789</t>
  </si>
  <si>
    <t>ACT-06790</t>
  </si>
  <si>
    <t>ACT-06791</t>
  </si>
  <si>
    <t>ACT-06792</t>
  </si>
  <si>
    <t>ACT-06793</t>
  </si>
  <si>
    <t>ACT-06794</t>
  </si>
  <si>
    <t>ACT-06795</t>
  </si>
  <si>
    <t>ACT-06796</t>
  </si>
  <si>
    <t>ACT-06797</t>
  </si>
  <si>
    <t>ACT-06798</t>
  </si>
  <si>
    <t>ACT-06799</t>
  </si>
  <si>
    <t>ACT-06800</t>
  </si>
  <si>
    <t>ACT-06801</t>
  </si>
  <si>
    <t>ACT-06802</t>
  </si>
  <si>
    <t>ACT-06803</t>
  </si>
  <si>
    <t>ACT-06804</t>
  </si>
  <si>
    <t>ACT-06805</t>
  </si>
  <si>
    <t>ACT-06806</t>
  </si>
  <si>
    <t>ACT-06807</t>
  </si>
  <si>
    <t>ACT-06808</t>
  </si>
  <si>
    <t>ACT-06809</t>
  </si>
  <si>
    <t>ACT-06810</t>
  </si>
  <si>
    <t>ACT-06811</t>
  </si>
  <si>
    <t>ACT-06812</t>
  </si>
  <si>
    <t>ACT-06813</t>
  </si>
  <si>
    <t>ACT-06814</t>
  </si>
  <si>
    <t>ACT-06815</t>
  </si>
  <si>
    <t>ACT-06816</t>
  </si>
  <si>
    <t>ACT-06817</t>
  </si>
  <si>
    <t>ACT-06818</t>
  </si>
  <si>
    <t>ACT-06819</t>
  </si>
  <si>
    <t>ACT-06820</t>
  </si>
  <si>
    <t>ACT-06821</t>
  </si>
  <si>
    <t>ACT-06822</t>
  </si>
  <si>
    <t>ACT-06823</t>
  </si>
  <si>
    <t>ACT-06824</t>
  </si>
  <si>
    <t>ACT-06825</t>
  </si>
  <si>
    <t>ACT-06826</t>
  </si>
  <si>
    <t>ACT-06827</t>
  </si>
  <si>
    <t>ACT-06828</t>
  </si>
  <si>
    <t>ACT-06829</t>
  </si>
  <si>
    <t>ACT-06830</t>
  </si>
  <si>
    <t>ACT-06831</t>
  </si>
  <si>
    <t>ACT-06832</t>
  </si>
  <si>
    <t>ACT-06833</t>
  </si>
  <si>
    <t>ACT-06834</t>
  </si>
  <si>
    <t>ACT-06835</t>
  </si>
  <si>
    <t>ACT-06836</t>
  </si>
  <si>
    <t>ACT-06837</t>
  </si>
  <si>
    <t>ACT-06838</t>
  </si>
  <si>
    <t>ACT-06839</t>
  </si>
  <si>
    <t>ACT-06840</t>
  </si>
  <si>
    <t>ACT-06841</t>
  </si>
  <si>
    <t>ACT-06842</t>
  </si>
  <si>
    <t>ACT-06843</t>
  </si>
  <si>
    <t>ACT-06844</t>
  </si>
  <si>
    <t>ACT-06845</t>
  </si>
  <si>
    <t>ACT-06846</t>
  </si>
  <si>
    <t>ACT-06847</t>
  </si>
  <si>
    <t>ACT-06848</t>
  </si>
  <si>
    <t>ACT-06849</t>
  </si>
  <si>
    <t>ACT-06850</t>
  </si>
  <si>
    <t>ACT-06851</t>
  </si>
  <si>
    <t>ACT-06852</t>
  </si>
  <si>
    <t>ACT-06853</t>
  </si>
  <si>
    <t>ACT-06854</t>
  </si>
  <si>
    <t>ACT-06855</t>
  </si>
  <si>
    <t>ACT-06856</t>
  </si>
  <si>
    <t>ACT-06857</t>
  </si>
  <si>
    <t>ACT-06858</t>
  </si>
  <si>
    <t>ACT-06859</t>
  </si>
  <si>
    <t>ACT-06860</t>
  </si>
  <si>
    <t>ACT-06861</t>
  </si>
  <si>
    <t>ACT-06862</t>
  </si>
  <si>
    <t>ACT-06863</t>
  </si>
  <si>
    <t>ACT-06864</t>
  </si>
  <si>
    <t>ACT-06865</t>
  </si>
  <si>
    <t>ACT-06866</t>
  </si>
  <si>
    <t>ACT-06867</t>
  </si>
  <si>
    <t>ACT-06868</t>
  </si>
  <si>
    <t>ACT-06869</t>
  </si>
  <si>
    <t>ACT-06870</t>
  </si>
  <si>
    <t>ACT-06871</t>
  </si>
  <si>
    <t>ACT-06872</t>
  </si>
  <si>
    <t>ACT-06873</t>
  </si>
  <si>
    <t>ACT-06874</t>
  </si>
  <si>
    <t>ACT-06875</t>
  </si>
  <si>
    <t>ACT-06876</t>
  </si>
  <si>
    <t>ACT-06877</t>
  </si>
  <si>
    <t>ACT-06878</t>
  </si>
  <si>
    <t>ACT-06879</t>
  </si>
  <si>
    <t>ACT-06880</t>
  </si>
  <si>
    <t>ACT-06881</t>
  </si>
  <si>
    <t>ACT-06882</t>
  </si>
  <si>
    <t>ACT-06883</t>
  </si>
  <si>
    <t>ACT-06884</t>
  </si>
  <si>
    <t>ACT-06885</t>
  </si>
  <si>
    <t>ACT-06886</t>
  </si>
  <si>
    <t>ACT-06887</t>
  </si>
  <si>
    <t>ACT-06888</t>
  </si>
  <si>
    <t>ACT-06889</t>
  </si>
  <si>
    <t>ACT-06890</t>
  </si>
  <si>
    <t>ACT-06891</t>
  </si>
  <si>
    <t>ACT-06892</t>
  </si>
  <si>
    <t>ACT-06893</t>
  </si>
  <si>
    <t>ACT-06894</t>
  </si>
  <si>
    <t>ACT-06895</t>
  </si>
  <si>
    <t>ACT-06896</t>
  </si>
  <si>
    <t>ACT-06897</t>
  </si>
  <si>
    <t>ACT-06898</t>
  </si>
  <si>
    <t>ACT-06899</t>
  </si>
  <si>
    <t>ACT-06900</t>
  </si>
  <si>
    <t>ACT-06901</t>
  </si>
  <si>
    <t>ACT-06902</t>
  </si>
  <si>
    <t>ACT-06903</t>
  </si>
  <si>
    <t>ACT-06904</t>
  </si>
  <si>
    <t>ACT-06905</t>
  </si>
  <si>
    <t>ACT-06906</t>
  </si>
  <si>
    <t>ACT-06907</t>
  </si>
  <si>
    <t>ACT-06908</t>
  </si>
  <si>
    <t>ACT-06909</t>
  </si>
  <si>
    <t>ACT-06910</t>
  </si>
  <si>
    <t>ACT-06911</t>
  </si>
  <si>
    <t>ACT-06912</t>
  </si>
  <si>
    <t>ACT-06913</t>
  </si>
  <si>
    <t>ACT-06914</t>
  </si>
  <si>
    <t>ACT-06915</t>
  </si>
  <si>
    <t>ACT-06916</t>
  </si>
  <si>
    <t>ACT-06917</t>
  </si>
  <si>
    <t>ACT-06918</t>
  </si>
  <si>
    <t>ACT-06919</t>
  </si>
  <si>
    <t>ACT-06920</t>
  </si>
  <si>
    <t>ACT-06921</t>
  </si>
  <si>
    <t>ACT-06922</t>
  </si>
  <si>
    <t>ACT-06923</t>
  </si>
  <si>
    <t>ACT-06924</t>
  </si>
  <si>
    <t>ACT-06925</t>
  </si>
  <si>
    <t>ACT-06926</t>
  </si>
  <si>
    <t>ACT-06927</t>
  </si>
  <si>
    <t>ACT-06928</t>
  </si>
  <si>
    <t>ACT-06929</t>
  </si>
  <si>
    <t>ACT-06930</t>
  </si>
  <si>
    <t>ACT-06931</t>
  </si>
  <si>
    <t>ACT-06932</t>
  </si>
  <si>
    <t>ACT-06933</t>
  </si>
  <si>
    <t>ACT-06934</t>
  </si>
  <si>
    <t>ACT-06935</t>
  </si>
  <si>
    <t>ACT-06936</t>
  </si>
  <si>
    <t>ACT-06937</t>
  </si>
  <si>
    <t>ACT-06938</t>
  </si>
  <si>
    <t>ACT-06939</t>
  </si>
  <si>
    <t>ACT-06940</t>
  </si>
  <si>
    <t>ACT-06941</t>
  </si>
  <si>
    <t>ACT-06942</t>
  </si>
  <si>
    <t>ACT-06943</t>
  </si>
  <si>
    <t>ACT-06944</t>
  </si>
  <si>
    <t>ACT-06945</t>
  </si>
  <si>
    <t>ACT-06946</t>
  </si>
  <si>
    <t>ACT-06947</t>
  </si>
  <si>
    <t>ACT-06948</t>
  </si>
  <si>
    <t>ACT-06949</t>
  </si>
  <si>
    <t>ACT-06950</t>
  </si>
  <si>
    <t>ACT-06951</t>
  </si>
  <si>
    <t>ACT-06952</t>
  </si>
  <si>
    <t>ACT-06953</t>
  </si>
  <si>
    <t>ACT-06954</t>
  </si>
  <si>
    <t>ACT-06955</t>
  </si>
  <si>
    <t>ACT-06956</t>
  </si>
  <si>
    <t>ACT-06957</t>
  </si>
  <si>
    <t>ACT-06958</t>
  </si>
  <si>
    <t>ACT-06959</t>
  </si>
  <si>
    <t>ACT-06960</t>
  </si>
  <si>
    <t>ACT-06961</t>
  </si>
  <si>
    <t>ACT-06962</t>
  </si>
  <si>
    <t>ACT-06963</t>
  </si>
  <si>
    <t>ACT-06964</t>
  </si>
  <si>
    <t>ACT-06965</t>
  </si>
  <si>
    <t>ACT-06966</t>
  </si>
  <si>
    <t>ACT-06967</t>
  </si>
  <si>
    <t>ACT-06968</t>
  </si>
  <si>
    <t>ACT-06969</t>
  </si>
  <si>
    <t>ACT-06970</t>
  </si>
  <si>
    <t>ACT-06971</t>
  </si>
  <si>
    <t>ACT-06972</t>
  </si>
  <si>
    <t>ACT-06973</t>
  </si>
  <si>
    <t>ACT-06974</t>
  </si>
  <si>
    <t>ACT-06975</t>
  </si>
  <si>
    <t>ACT-06976</t>
  </si>
  <si>
    <t>ACT-06977</t>
  </si>
  <si>
    <t>ACT-06978</t>
  </si>
  <si>
    <t>ACT-06979</t>
  </si>
  <si>
    <t>ACT-06980</t>
  </si>
  <si>
    <t>ACT-06981</t>
  </si>
  <si>
    <t>ACT-06982</t>
  </si>
  <si>
    <t>ACT-06983</t>
  </si>
  <si>
    <t>ACT-06984</t>
  </si>
  <si>
    <t>ACT-06985</t>
  </si>
  <si>
    <t>ACT-06986</t>
  </si>
  <si>
    <t>ACT-06987</t>
  </si>
  <si>
    <t>ACT-06988</t>
  </si>
  <si>
    <t>ACT-06989</t>
  </si>
  <si>
    <t>ACT-06990</t>
  </si>
  <si>
    <t>ACT-06991</t>
  </si>
  <si>
    <t>ACT-06992</t>
  </si>
  <si>
    <t>ACT-06993</t>
  </si>
  <si>
    <t>ACT-06994</t>
  </si>
  <si>
    <t>ACT-06995</t>
  </si>
  <si>
    <t>ACT-06996</t>
  </si>
  <si>
    <t>ACT-06997</t>
  </si>
  <si>
    <t>ACT-06998</t>
  </si>
  <si>
    <t>ACT-06999</t>
  </si>
  <si>
    <t>ACT-07000</t>
  </si>
  <si>
    <t>ACT-07001</t>
  </si>
  <si>
    <t>ACT-07002</t>
  </si>
  <si>
    <t>ACT-07003</t>
  </si>
  <si>
    <t>ACT-07004</t>
  </si>
  <si>
    <t>ACT-07005</t>
  </si>
  <si>
    <t>ACT-07006</t>
  </si>
  <si>
    <t>ACT-07007</t>
  </si>
  <si>
    <t>ACT-07008</t>
  </si>
  <si>
    <t>ACT-07009</t>
  </si>
  <si>
    <t>ACT-07010</t>
  </si>
  <si>
    <t>ACT-07011</t>
  </si>
  <si>
    <t>ACT-07012</t>
  </si>
  <si>
    <t>ACT-07013</t>
  </si>
  <si>
    <t>ACT-07014</t>
  </si>
  <si>
    <t>ACT-07015</t>
  </si>
  <si>
    <t>ACT-07016</t>
  </si>
  <si>
    <t>ACT-07017</t>
  </si>
  <si>
    <t>ACT-07018</t>
  </si>
  <si>
    <t>ACT-07019</t>
  </si>
  <si>
    <t>ACT-07020</t>
  </si>
  <si>
    <t>ACT-07021</t>
  </si>
  <si>
    <t>ACT-07022</t>
  </si>
  <si>
    <t>ACT-07023</t>
  </si>
  <si>
    <t>ACT-07024</t>
  </si>
  <si>
    <t>ACT-07025</t>
  </si>
  <si>
    <t>ACT-07026</t>
  </si>
  <si>
    <t>ACT-07027</t>
  </si>
  <si>
    <t>ACT-07028</t>
  </si>
  <si>
    <t>ACT-07029</t>
  </si>
  <si>
    <t>ACT-07030</t>
  </si>
  <si>
    <t>ACT-07031</t>
  </si>
  <si>
    <t>ACT-07032</t>
  </si>
  <si>
    <t>ACT-07033</t>
  </si>
  <si>
    <t>ACT-07034</t>
  </si>
  <si>
    <t>ACT-07035</t>
  </si>
  <si>
    <t>ACT-07036</t>
  </si>
  <si>
    <t>ACT-07037</t>
  </si>
  <si>
    <t>ACT-07038</t>
  </si>
  <si>
    <t>ACT-07039</t>
  </si>
  <si>
    <t>ACT-07040</t>
  </si>
  <si>
    <t>ACT-07041</t>
  </si>
  <si>
    <t>ACT-07042</t>
  </si>
  <si>
    <t>ACT-07043</t>
  </si>
  <si>
    <t>ACT-07044</t>
  </si>
  <si>
    <t>ACT-07045</t>
  </si>
  <si>
    <t>ACT-07046</t>
  </si>
  <si>
    <t>ACT-07047</t>
  </si>
  <si>
    <t>ACT-07048</t>
  </si>
  <si>
    <t>ACT-07049</t>
  </si>
  <si>
    <t>ACT-07050</t>
  </si>
  <si>
    <t>ACT-07051</t>
  </si>
  <si>
    <t>ACT-07052</t>
  </si>
  <si>
    <t>ACT-07053</t>
  </si>
  <si>
    <t>ACT-07054</t>
  </si>
  <si>
    <t>ACT-07055</t>
  </si>
  <si>
    <t>ACT-07056</t>
  </si>
  <si>
    <t>ACT-07057</t>
  </si>
  <si>
    <t>ACT-07058</t>
  </si>
  <si>
    <t>ACT-07059</t>
  </si>
  <si>
    <t>ACT-07060</t>
  </si>
  <si>
    <t>ACT-07061</t>
  </si>
  <si>
    <t>ACT-07062</t>
  </si>
  <si>
    <t>ACT-07063</t>
  </si>
  <si>
    <t>ACT-07064</t>
  </si>
  <si>
    <t>ACT-07065</t>
  </si>
  <si>
    <t>ACT-07066</t>
  </si>
  <si>
    <t>ACT-07067</t>
  </si>
  <si>
    <t>ACT-07068</t>
  </si>
  <si>
    <t>ACT-07069</t>
  </si>
  <si>
    <t>ACT-07070</t>
  </si>
  <si>
    <t>ACT-07071</t>
  </si>
  <si>
    <t>ACT-07072</t>
  </si>
  <si>
    <t>ACT-07073</t>
  </si>
  <si>
    <t>ACT-07074</t>
  </si>
  <si>
    <t>ACT-07075</t>
  </si>
  <si>
    <t>ACT-07076</t>
  </si>
  <si>
    <t>ACT-07077</t>
  </si>
  <si>
    <t>ACT-07078</t>
  </si>
  <si>
    <t>ACT-07079</t>
  </si>
  <si>
    <t>ACT-07080</t>
  </si>
  <si>
    <t>ACT-07081</t>
  </si>
  <si>
    <t>ACT-07082</t>
  </si>
  <si>
    <t>ACT-07083</t>
  </si>
  <si>
    <t>ACT-07084</t>
  </si>
  <si>
    <t>ACT-07085</t>
  </si>
  <si>
    <t>ACT-07086</t>
  </si>
  <si>
    <t>ACT-07087</t>
  </si>
  <si>
    <t>ACT-07088</t>
  </si>
  <si>
    <t>ACT-07089</t>
  </si>
  <si>
    <t>ACT-07090</t>
  </si>
  <si>
    <t>ACT-07091</t>
  </si>
  <si>
    <t>ACT-07092</t>
  </si>
  <si>
    <t>ACT-07093</t>
  </si>
  <si>
    <t>ACT-07094</t>
  </si>
  <si>
    <t>ACT-07095</t>
  </si>
  <si>
    <t>ACT-07096</t>
  </si>
  <si>
    <t>ACT-07097</t>
  </si>
  <si>
    <t>ACT-07098</t>
  </si>
  <si>
    <t>ACT-07099</t>
  </si>
  <si>
    <t>ACT-07100</t>
  </si>
  <si>
    <t>ACT-07101</t>
  </si>
  <si>
    <t>ACT-07102</t>
  </si>
  <si>
    <t>ACT-07103</t>
  </si>
  <si>
    <t>ACT-07104</t>
  </si>
  <si>
    <t>ACT-07105</t>
  </si>
  <si>
    <t>ACT-07106</t>
  </si>
  <si>
    <t>ACT-07107</t>
  </si>
  <si>
    <t>ACT-07108</t>
  </si>
  <si>
    <t>ACT-07109</t>
  </si>
  <si>
    <t>ACT-07110</t>
  </si>
  <si>
    <t>ACT-07111</t>
  </si>
  <si>
    <t>ACT-07112</t>
  </si>
  <si>
    <t>ACT-07113</t>
  </si>
  <si>
    <t>ACT-07114</t>
  </si>
  <si>
    <t>ACT-07115</t>
  </si>
  <si>
    <t>ACT-07116</t>
  </si>
  <si>
    <t>ACT-07117</t>
  </si>
  <si>
    <t>ACT-07118</t>
  </si>
  <si>
    <t>ACT-07119</t>
  </si>
  <si>
    <t>ACT-07120</t>
  </si>
  <si>
    <t>ACT-07121</t>
  </si>
  <si>
    <t>ACT-07122</t>
  </si>
  <si>
    <t>ACT-07123</t>
  </si>
  <si>
    <t>ACT-07124</t>
  </si>
  <si>
    <t>ACT-07125</t>
  </si>
  <si>
    <t>ACT-07126</t>
  </si>
  <si>
    <t>ACT-07127</t>
  </si>
  <si>
    <t>ACT-07128</t>
  </si>
  <si>
    <t>ACT-07129</t>
  </si>
  <si>
    <t>ACT-07130</t>
  </si>
  <si>
    <t>ACT-07131</t>
  </si>
  <si>
    <t>ACT-07132</t>
  </si>
  <si>
    <t>ACT-07133</t>
  </si>
  <si>
    <t>ACT-07134</t>
  </si>
  <si>
    <t>ACT-07135</t>
  </si>
  <si>
    <t>ACT-07136</t>
  </si>
  <si>
    <t>ACT-07137</t>
  </si>
  <si>
    <t>ACT-07138</t>
  </si>
  <si>
    <t>ACT-07139</t>
  </si>
  <si>
    <t>ACT-07140</t>
  </si>
  <si>
    <t>ACT-07141</t>
  </si>
  <si>
    <t>ACT-07142</t>
  </si>
  <si>
    <t>ACT-07143</t>
  </si>
  <si>
    <t>ACT-07144</t>
  </si>
  <si>
    <t>ACT-07145</t>
  </si>
  <si>
    <t>ACT-07146</t>
  </si>
  <si>
    <t>ACT-07147</t>
  </si>
  <si>
    <t>ACT-07148</t>
  </si>
  <si>
    <t>ACT-07149</t>
  </si>
  <si>
    <t>ACT-07150</t>
  </si>
  <si>
    <t>ACT-07151</t>
  </si>
  <si>
    <t>ACT-07152</t>
  </si>
  <si>
    <t>ACT-07153</t>
  </si>
  <si>
    <t>ACT-07154</t>
  </si>
  <si>
    <t>ACT-07155</t>
  </si>
  <si>
    <t>ACT-07156</t>
  </si>
  <si>
    <t>ACT-07157</t>
  </si>
  <si>
    <t>ACT-07158</t>
  </si>
  <si>
    <t>ACT-07159</t>
  </si>
  <si>
    <t>ACT-07160</t>
  </si>
  <si>
    <t>ACT-07161</t>
  </si>
  <si>
    <t>ACT-07162</t>
  </si>
  <si>
    <t>ACT-07163</t>
  </si>
  <si>
    <t>ACT-07164</t>
  </si>
  <si>
    <t>ACT-07165</t>
  </si>
  <si>
    <t>ACT-07166</t>
  </si>
  <si>
    <t>ACT-07167</t>
  </si>
  <si>
    <t>ACT-07168</t>
  </si>
  <si>
    <t>ACT-07169</t>
  </si>
  <si>
    <t>ACT-07170</t>
  </si>
  <si>
    <t>ACT-07171</t>
  </si>
  <si>
    <t>ACT-07172</t>
  </si>
  <si>
    <t>ACT-07173</t>
  </si>
  <si>
    <t>ACT-07174</t>
  </si>
  <si>
    <t>ACT-07175</t>
  </si>
  <si>
    <t>ACT-07176</t>
  </si>
  <si>
    <t>ACT-07177</t>
  </si>
  <si>
    <t>ACT-07178</t>
  </si>
  <si>
    <t>ACT-07179</t>
  </si>
  <si>
    <t>ACT-07180</t>
  </si>
  <si>
    <t>ACT-07181</t>
  </si>
  <si>
    <t>ACT-07182</t>
  </si>
  <si>
    <t>ACT-07183</t>
  </si>
  <si>
    <t>ACT-07184</t>
  </si>
  <si>
    <t>ACT-07185</t>
  </si>
  <si>
    <t>ACT-07186</t>
  </si>
  <si>
    <t>ACT-07187</t>
  </si>
  <si>
    <t>ACT-07188</t>
  </si>
  <si>
    <t>ACT-07189</t>
  </si>
  <si>
    <t>ACT-07190</t>
  </si>
  <si>
    <t>ACT-07191</t>
  </si>
  <si>
    <t>ACT-07192</t>
  </si>
  <si>
    <t>ACT-07193</t>
  </si>
  <si>
    <t>ACT-07194</t>
  </si>
  <si>
    <t>ACT-07195</t>
  </si>
  <si>
    <t>ACT-07196</t>
  </si>
  <si>
    <t>ACT-07197</t>
  </si>
  <si>
    <t>ACT-07198</t>
  </si>
  <si>
    <t>ACT-07199</t>
  </si>
  <si>
    <t>ACT-07200</t>
  </si>
  <si>
    <t>ACT-07201</t>
  </si>
  <si>
    <t>ACT-07202</t>
  </si>
  <si>
    <t>ACT-07203</t>
  </si>
  <si>
    <t>ACT-07204</t>
  </si>
  <si>
    <t>ACT-07205</t>
  </si>
  <si>
    <t>ACT-07206</t>
  </si>
  <si>
    <t>ACT-07207</t>
  </si>
  <si>
    <t>ACT-07208</t>
  </si>
  <si>
    <t>ACT-07209</t>
  </si>
  <si>
    <t>ACT-07210</t>
  </si>
  <si>
    <t>ACT-07211</t>
  </si>
  <si>
    <t>ACT-07212</t>
  </si>
  <si>
    <t>ACT-07213</t>
  </si>
  <si>
    <t>ACT-07214</t>
  </si>
  <si>
    <t>ACT-07215</t>
  </si>
  <si>
    <t>ACT-07216</t>
  </si>
  <si>
    <t>ACT-07217</t>
  </si>
  <si>
    <t>ACT-07218</t>
  </si>
  <si>
    <t>ACT-07219</t>
  </si>
  <si>
    <t>ACT-07220</t>
  </si>
  <si>
    <t>ACT-07221</t>
  </si>
  <si>
    <t>ACT-07222</t>
  </si>
  <si>
    <t>ACT-07223</t>
  </si>
  <si>
    <t>ACT-07224</t>
  </si>
  <si>
    <t>ACT-07225</t>
  </si>
  <si>
    <t>ACT-07226</t>
  </si>
  <si>
    <t>ACT-07227</t>
  </si>
  <si>
    <t>ACT-07228</t>
  </si>
  <si>
    <t>ACT-07229</t>
  </si>
  <si>
    <t>ACT-07230</t>
  </si>
  <si>
    <t>ACT-07231</t>
  </si>
  <si>
    <t>ACT-07232</t>
  </si>
  <si>
    <t>ACT-07233</t>
  </si>
  <si>
    <t>ACT-07234</t>
  </si>
  <si>
    <t>ACT-07235</t>
  </si>
  <si>
    <t>ACT-07236</t>
  </si>
  <si>
    <t>ACT-07237</t>
  </si>
  <si>
    <t>ACT-07238</t>
  </si>
  <si>
    <t>ACT-07239</t>
  </si>
  <si>
    <t>ACT-07240</t>
  </si>
  <si>
    <t>ACT-07241</t>
  </si>
  <si>
    <t>ACT-07242</t>
  </si>
  <si>
    <t>ACT-07243</t>
  </si>
  <si>
    <t>ACT-07244</t>
  </si>
  <si>
    <t>ACT-07245</t>
  </si>
  <si>
    <t>ACT-07246</t>
  </si>
  <si>
    <t>ACT-07247</t>
  </si>
  <si>
    <t>ACT-07248</t>
  </si>
  <si>
    <t>ACT-07249</t>
  </si>
  <si>
    <t>ACT-07250</t>
  </si>
  <si>
    <t>ACT-07251</t>
  </si>
  <si>
    <t>ACT-07252</t>
  </si>
  <si>
    <t>ACT-07253</t>
  </si>
  <si>
    <t>ACT-07254</t>
  </si>
  <si>
    <t>ACT-07255</t>
  </si>
  <si>
    <t>ACT-07256</t>
  </si>
  <si>
    <t>ACT-07257</t>
  </si>
  <si>
    <t>ACT-07258</t>
  </si>
  <si>
    <t>ACT-07259</t>
  </si>
  <si>
    <t>ACT-07260</t>
  </si>
  <si>
    <t>ACT-07261</t>
  </si>
  <si>
    <t>ACT-07262</t>
  </si>
  <si>
    <t>ACT-07263</t>
  </si>
  <si>
    <t>ACT-07264</t>
  </si>
  <si>
    <t>ACT-07265</t>
  </si>
  <si>
    <t>ACT-07266</t>
  </si>
  <si>
    <t>ACT-07267</t>
  </si>
  <si>
    <t>ACT-07268</t>
  </si>
  <si>
    <t>ACT-07269</t>
  </si>
  <si>
    <t>ACT-07270</t>
  </si>
  <si>
    <t>ACT-07271</t>
  </si>
  <si>
    <t>ACT-07272</t>
  </si>
  <si>
    <t>ACT-07273</t>
  </si>
  <si>
    <t>ACT-07274</t>
  </si>
  <si>
    <t>ACT-07275</t>
  </si>
  <si>
    <t>ACT-07276</t>
  </si>
  <si>
    <t>ACT-07277</t>
  </si>
  <si>
    <t>ACT-07278</t>
  </si>
  <si>
    <t>ACT-07279</t>
  </si>
  <si>
    <t>ACT-07280</t>
  </si>
  <si>
    <t>ACT-07281</t>
  </si>
  <si>
    <t>ACT-07282</t>
  </si>
  <si>
    <t>ACT-07283</t>
  </si>
  <si>
    <t>ACT-07284</t>
  </si>
  <si>
    <t>ACT-07285</t>
  </si>
  <si>
    <t>ACT-07286</t>
  </si>
  <si>
    <t>ACT-07287</t>
  </si>
  <si>
    <t>ACT-07288</t>
  </si>
  <si>
    <t>ACT-07289</t>
  </si>
  <si>
    <t>ACT-07290</t>
  </si>
  <si>
    <t>ACT-07291</t>
  </si>
  <si>
    <t>ACT-07292</t>
  </si>
  <si>
    <t>ACT-07293</t>
  </si>
  <si>
    <t>ACT-07294</t>
  </si>
  <si>
    <t>ACT-07295</t>
  </si>
  <si>
    <t>ACT-07296</t>
  </si>
  <si>
    <t>ACT-07297</t>
  </si>
  <si>
    <t>ACT-07298</t>
  </si>
  <si>
    <t>ACT-07299</t>
  </si>
  <si>
    <t>ACT-07300</t>
  </si>
  <si>
    <t>ACT-07301</t>
  </si>
  <si>
    <t>ACT-07302</t>
  </si>
  <si>
    <t>ACT-07303</t>
  </si>
  <si>
    <t>ACT-07304</t>
  </si>
  <si>
    <t>ACT-07305</t>
  </si>
  <si>
    <t>ACT-07306</t>
  </si>
  <si>
    <t>ACT-07307</t>
  </si>
  <si>
    <t>ACT-07308</t>
  </si>
  <si>
    <t>ACT-07309</t>
  </si>
  <si>
    <t>ACT-07310</t>
  </si>
  <si>
    <t>ACT-07311</t>
  </si>
  <si>
    <t>ACT-07312</t>
  </si>
  <si>
    <t>ACT-07313</t>
  </si>
  <si>
    <t>ACT-07314</t>
  </si>
  <si>
    <t>ACT-07315</t>
  </si>
  <si>
    <t>ACT-07316</t>
  </si>
  <si>
    <t>ACT-07317</t>
  </si>
  <si>
    <t>ACT-07318</t>
  </si>
  <si>
    <t>ACT-07319</t>
  </si>
  <si>
    <t>ACT-07320</t>
  </si>
  <si>
    <t>ACT-07321</t>
  </si>
  <si>
    <t>ACT-07322</t>
  </si>
  <si>
    <t>ACT-07323</t>
  </si>
  <si>
    <t>ACT-07324</t>
  </si>
  <si>
    <t>ACT-07325</t>
  </si>
  <si>
    <t>ACT-07326</t>
  </si>
  <si>
    <t>ACT-07327</t>
  </si>
  <si>
    <t>ACT-07328</t>
  </si>
  <si>
    <t>ACT-07329</t>
  </si>
  <si>
    <t>ACT-07330</t>
  </si>
  <si>
    <t>ACT-07331</t>
  </si>
  <si>
    <t>ACT-07332</t>
  </si>
  <si>
    <t>ACT-07333</t>
  </si>
  <si>
    <t>ACT-07334</t>
  </si>
  <si>
    <t>ACT-07335</t>
  </si>
  <si>
    <t>ACT-07336</t>
  </si>
  <si>
    <t>ACT-07337</t>
  </si>
  <si>
    <t>ACT-07338</t>
  </si>
  <si>
    <t>ACT-07339</t>
  </si>
  <si>
    <t>ACT-07340</t>
  </si>
  <si>
    <t>ACT-07341</t>
  </si>
  <si>
    <t>ACT-07342</t>
  </si>
  <si>
    <t>ACT-07343</t>
  </si>
  <si>
    <t>ACT-07344</t>
  </si>
  <si>
    <t>ACT-07345</t>
  </si>
  <si>
    <t>ACT-07346</t>
  </si>
  <si>
    <t>ACT-07347</t>
  </si>
  <si>
    <t>ACT-07348</t>
  </si>
  <si>
    <t>ACT-07349</t>
  </si>
  <si>
    <t>ACT-07350</t>
  </si>
  <si>
    <t>ACT-07351</t>
  </si>
  <si>
    <t>ACT-07352</t>
  </si>
  <si>
    <t>ACT-07353</t>
  </si>
  <si>
    <t>ACT-07354</t>
  </si>
  <si>
    <t>ACT-07355</t>
  </si>
  <si>
    <t>ACT-07356</t>
  </si>
  <si>
    <t>ACT-07357</t>
  </si>
  <si>
    <t>ACT-07358</t>
  </si>
  <si>
    <t>ACT-07359</t>
  </si>
  <si>
    <t>ACT-07360</t>
  </si>
  <si>
    <t>ACT-07361</t>
  </si>
  <si>
    <t>ACT-07362</t>
  </si>
  <si>
    <t>ACT-07363</t>
  </si>
  <si>
    <t>ACT-07364</t>
  </si>
  <si>
    <t>ACT-07365</t>
  </si>
  <si>
    <t>ACT-07366</t>
  </si>
  <si>
    <t>ACT-07367</t>
  </si>
  <si>
    <t>ACT-07368</t>
  </si>
  <si>
    <t>ACT-07369</t>
  </si>
  <si>
    <t>ACT-07370</t>
  </si>
  <si>
    <t>ACT-07371</t>
  </si>
  <si>
    <t>ACT-07372</t>
  </si>
  <si>
    <t>ACT-07373</t>
  </si>
  <si>
    <t>ACT-07374</t>
  </si>
  <si>
    <t>ACT-07375</t>
  </si>
  <si>
    <t>ACT-07376</t>
  </si>
  <si>
    <t>ACT-07377</t>
  </si>
  <si>
    <t>ACT-07378</t>
  </si>
  <si>
    <t>ACT-07379</t>
  </si>
  <si>
    <t>ACT-07380</t>
  </si>
  <si>
    <t>ACT-07381</t>
  </si>
  <si>
    <t>ACT-07382</t>
  </si>
  <si>
    <t>ACT-07383</t>
  </si>
  <si>
    <t>ACT-07384</t>
  </si>
  <si>
    <t>ACT-07385</t>
  </si>
  <si>
    <t>ACT-07386</t>
  </si>
  <si>
    <t>ACT-07387</t>
  </si>
  <si>
    <t>ACT-07388</t>
  </si>
  <si>
    <t>ACT-07389</t>
  </si>
  <si>
    <t>ACT-07390</t>
  </si>
  <si>
    <t>ACT-07391</t>
  </si>
  <si>
    <t>ACT-07392</t>
  </si>
  <si>
    <t>ACT-07393</t>
  </si>
  <si>
    <t>ACT-07394</t>
  </si>
  <si>
    <t>ACT-07395</t>
  </si>
  <si>
    <t>ACT-07396</t>
  </si>
  <si>
    <t>ACT-07397</t>
  </si>
  <si>
    <t>ACT-07398</t>
  </si>
  <si>
    <t>ACT-07399</t>
  </si>
  <si>
    <t>ACT-07400</t>
  </si>
  <si>
    <t>ACT-07401</t>
  </si>
  <si>
    <t>ACT-07402</t>
  </si>
  <si>
    <t>ACT-07403</t>
  </si>
  <si>
    <t>ACT-07404</t>
  </si>
  <si>
    <t>ACT-07405</t>
  </si>
  <si>
    <t>ACT-07406</t>
  </si>
  <si>
    <t>ACT-07407</t>
  </si>
  <si>
    <t>ACT-07408</t>
  </si>
  <si>
    <t>ACT-07409</t>
  </si>
  <si>
    <t>ACT-07410</t>
  </si>
  <si>
    <t>ACT-07411</t>
  </si>
  <si>
    <t>ACT-07412</t>
  </si>
  <si>
    <t>ACT-07413</t>
  </si>
  <si>
    <t>ACT-07414</t>
  </si>
  <si>
    <t>ACT-07415</t>
  </si>
  <si>
    <t>ACT-07416</t>
  </si>
  <si>
    <t>ACT-07417</t>
  </si>
  <si>
    <t>ACT-07418</t>
  </si>
  <si>
    <t>ACT-07419</t>
  </si>
  <si>
    <t>ACT-07420</t>
  </si>
  <si>
    <t>ACT-07421</t>
  </si>
  <si>
    <t>ACT-07422</t>
  </si>
  <si>
    <t>ACT-07423</t>
  </si>
  <si>
    <t>ACT-07424</t>
  </si>
  <si>
    <t>ACT-07425</t>
  </si>
  <si>
    <t>ACT-07426</t>
  </si>
  <si>
    <t>ACT-07427</t>
  </si>
  <si>
    <t>ACT-07428</t>
  </si>
  <si>
    <t>ACT-07429</t>
  </si>
  <si>
    <t>ACT-07430</t>
  </si>
  <si>
    <t>ACT-07431</t>
  </si>
  <si>
    <t>ACT-07432</t>
  </si>
  <si>
    <t>ACT-07433</t>
  </si>
  <si>
    <t>ACT-07434</t>
  </si>
  <si>
    <t>ACT-07435</t>
  </si>
  <si>
    <t>ACT-07436</t>
  </si>
  <si>
    <t>ACT-07437</t>
  </si>
  <si>
    <t>ACT-07438</t>
  </si>
  <si>
    <t>ACT-07439</t>
  </si>
  <si>
    <t>ACT-07440</t>
  </si>
  <si>
    <t>ACT-07441</t>
  </si>
  <si>
    <t>ACT-07442</t>
  </si>
  <si>
    <t>ACT-07443</t>
  </si>
  <si>
    <t>ACT-07444</t>
  </si>
  <si>
    <t>ACT-07445</t>
  </si>
  <si>
    <t>ACT-07446</t>
  </si>
  <si>
    <t>ACT-07447</t>
  </si>
  <si>
    <t>ACT-07448</t>
  </si>
  <si>
    <t>ACT-07449</t>
  </si>
  <si>
    <t>ACT-07450</t>
  </si>
  <si>
    <t>ACT-07451</t>
  </si>
  <si>
    <t>ACT-07452</t>
  </si>
  <si>
    <t>ACT-07453</t>
  </si>
  <si>
    <t>ACT-07454</t>
  </si>
  <si>
    <t>ACT-07455</t>
  </si>
  <si>
    <t>ACT-07456</t>
  </si>
  <si>
    <t>ACT-07457</t>
  </si>
  <si>
    <t>ACT-07458</t>
  </si>
  <si>
    <t>ACT-07459</t>
  </si>
  <si>
    <t>ACT-07460</t>
  </si>
  <si>
    <t>ACT-07461</t>
  </si>
  <si>
    <t>ACT-07462</t>
  </si>
  <si>
    <t>ACT-07463</t>
  </si>
  <si>
    <t>ACT-07464</t>
  </si>
  <si>
    <t>ACT-07465</t>
  </si>
  <si>
    <t>ACT-07466</t>
  </si>
  <si>
    <t>ACT-07467</t>
  </si>
  <si>
    <t>ACT-07468</t>
  </si>
  <si>
    <t>ACT-07469</t>
  </si>
  <si>
    <t>ACT-07470</t>
  </si>
  <si>
    <t>ACT-07471</t>
  </si>
  <si>
    <t>ACT-07472</t>
  </si>
  <si>
    <t>ACT-07473</t>
  </si>
  <si>
    <t>ACT-07474</t>
  </si>
  <si>
    <t>ACT-07475</t>
  </si>
  <si>
    <t>ACT-07476</t>
  </si>
  <si>
    <t>ACT-07477</t>
  </si>
  <si>
    <t>ACT-07478</t>
  </si>
  <si>
    <t>ACT-07479</t>
  </si>
  <si>
    <t>ACT-07480</t>
  </si>
  <si>
    <t>ACT-07481</t>
  </si>
  <si>
    <t>ACT-07482</t>
  </si>
  <si>
    <t>ACT-07483</t>
  </si>
  <si>
    <t>ACT-07484</t>
  </si>
  <si>
    <t>ACT-07485</t>
  </si>
  <si>
    <t>ACT-07486</t>
  </si>
  <si>
    <t>ACT-07487</t>
  </si>
  <si>
    <t>ACT-07488</t>
  </si>
  <si>
    <t>ACT-07489</t>
  </si>
  <si>
    <t>ACT-07490</t>
  </si>
  <si>
    <t>ACT-07491</t>
  </si>
  <si>
    <t>ACT-07492</t>
  </si>
  <si>
    <t>ACT-07493</t>
  </si>
  <si>
    <t>ACT-07494</t>
  </si>
  <si>
    <t>ACT-07495</t>
  </si>
  <si>
    <t>ACT-07496</t>
  </si>
  <si>
    <t>ACT-07497</t>
  </si>
  <si>
    <t>ACT-07498</t>
  </si>
  <si>
    <t>ACT-07499</t>
  </si>
  <si>
    <t>ACT-07500</t>
  </si>
  <si>
    <t>ACT-07501</t>
  </si>
  <si>
    <t>ACT-07502</t>
  </si>
  <si>
    <t>ACT-07503</t>
  </si>
  <si>
    <t>ACT-07504</t>
  </si>
  <si>
    <t>ACT-07505</t>
  </si>
  <si>
    <t>ACT-07506</t>
  </si>
  <si>
    <t>ACT-07507</t>
  </si>
  <si>
    <t>ACT-07508</t>
  </si>
  <si>
    <t>ACT-07509</t>
  </si>
  <si>
    <t>ACT-07510</t>
  </si>
  <si>
    <t>ACT-07511</t>
  </si>
  <si>
    <t>ACT-07512</t>
  </si>
  <si>
    <t>ACT-07513</t>
  </si>
  <si>
    <t>ACT-07514</t>
  </si>
  <si>
    <t>ACT-07515</t>
  </si>
  <si>
    <t>ACT-07516</t>
  </si>
  <si>
    <t>ACT-07517</t>
  </si>
  <si>
    <t>ACT-07518</t>
  </si>
  <si>
    <t>ACT-07519</t>
  </si>
  <si>
    <t>ACT-07520</t>
  </si>
  <si>
    <t>ACT-07521</t>
  </si>
  <si>
    <t>ACT-07522</t>
  </si>
  <si>
    <t>ACT-07523</t>
  </si>
  <si>
    <t>ACT-07524</t>
  </si>
  <si>
    <t>ACT-07525</t>
  </si>
  <si>
    <t>ACT-07526</t>
  </si>
  <si>
    <t>ACT-07527</t>
  </si>
  <si>
    <t>ACT-07528</t>
  </si>
  <si>
    <t>ACT-07529</t>
  </si>
  <si>
    <t>ACT-07530</t>
  </si>
  <si>
    <t>ACT-07531</t>
  </si>
  <si>
    <t>ACT-07532</t>
  </si>
  <si>
    <t>ACT-07533</t>
  </si>
  <si>
    <t>ACT-07534</t>
  </si>
  <si>
    <t>ACT-07535</t>
  </si>
  <si>
    <t>ACT-07536</t>
  </si>
  <si>
    <t>ACT-07537</t>
  </si>
  <si>
    <t>ACT-07538</t>
  </si>
  <si>
    <t>ACT-07539</t>
  </si>
  <si>
    <t>ACT-07540</t>
  </si>
  <si>
    <t>ACT-07541</t>
  </si>
  <si>
    <t>ACT-07542</t>
  </si>
  <si>
    <t>ACT-07543</t>
  </si>
  <si>
    <t>ACT-07544</t>
  </si>
  <si>
    <t>ACT-07545</t>
  </si>
  <si>
    <t>ACT-07546</t>
  </si>
  <si>
    <t>ACT-07547</t>
  </si>
  <si>
    <t>ACT-07548</t>
  </si>
  <si>
    <t>ACT-07549</t>
  </si>
  <si>
    <t>ACT-07550</t>
  </si>
  <si>
    <t>ACT-07551</t>
  </si>
  <si>
    <t>ACT-07552</t>
  </si>
  <si>
    <t>ACT-07553</t>
  </si>
  <si>
    <t>ACT-07554</t>
  </si>
  <si>
    <t>ACT-07555</t>
  </si>
  <si>
    <t>ACT-07556</t>
  </si>
  <si>
    <t>ACT-07557</t>
  </si>
  <si>
    <t>ACT-07558</t>
  </si>
  <si>
    <t>ACT-07559</t>
  </si>
  <si>
    <t>ACT-07560</t>
  </si>
  <si>
    <t>ACT-07561</t>
  </si>
  <si>
    <t>ACT-07562</t>
  </si>
  <si>
    <t>ACT-07563</t>
  </si>
  <si>
    <t>ACT-07564</t>
  </si>
  <si>
    <t>ACT-07565</t>
  </si>
  <si>
    <t>ACT-07566</t>
  </si>
  <si>
    <t>ACT-07567</t>
  </si>
  <si>
    <t>ACT-07568</t>
  </si>
  <si>
    <t>ACT-07569</t>
  </si>
  <si>
    <t>ACT-07570</t>
  </si>
  <si>
    <t>ACT-07571</t>
  </si>
  <si>
    <t>ACT-07572</t>
  </si>
  <si>
    <t>ACT-07573</t>
  </si>
  <si>
    <t>ACT-07574</t>
  </si>
  <si>
    <t>ACT-07575</t>
  </si>
  <si>
    <t>ACT-07576</t>
  </si>
  <si>
    <t>ACT-07577</t>
  </si>
  <si>
    <t>ACT-07578</t>
  </si>
  <si>
    <t>ACT-07579</t>
  </si>
  <si>
    <t>ACT-07580</t>
  </si>
  <si>
    <t>ACT-07581</t>
  </si>
  <si>
    <t>ACT-07582</t>
  </si>
  <si>
    <t>ACT-07583</t>
  </si>
  <si>
    <t>ACT-07584</t>
  </si>
  <si>
    <t>ACT-07585</t>
  </si>
  <si>
    <t>ACT-07586</t>
  </si>
  <si>
    <t>ACT-07587</t>
  </si>
  <si>
    <t>ACT-07588</t>
  </si>
  <si>
    <t>ACT-07589</t>
  </si>
  <si>
    <t>ACT-07590</t>
  </si>
  <si>
    <t>ACT-07591</t>
  </si>
  <si>
    <t>ACT-07592</t>
  </si>
  <si>
    <t>ACT-07593</t>
  </si>
  <si>
    <t>ACT-07594</t>
  </si>
  <si>
    <t>ACT-07595</t>
  </si>
  <si>
    <t>ACT-07596</t>
  </si>
  <si>
    <t>ACT-07597</t>
  </si>
  <si>
    <t>ACT-07598</t>
  </si>
  <si>
    <t>ACT-07599</t>
  </si>
  <si>
    <t>ACT-07600</t>
  </si>
  <si>
    <t>ACT-07601</t>
  </si>
  <si>
    <t>ACT-07602</t>
  </si>
  <si>
    <t>ACT-07603</t>
  </si>
  <si>
    <t>ACT-07604</t>
  </si>
  <si>
    <t>ACT-07605</t>
  </si>
  <si>
    <t>ACT-07606</t>
  </si>
  <si>
    <t>ACT-07607</t>
  </si>
  <si>
    <t>ACT-07608</t>
  </si>
  <si>
    <t>ACT-07609</t>
  </si>
  <si>
    <t>ACT-07610</t>
  </si>
  <si>
    <t>ACT-07611</t>
  </si>
  <si>
    <t>ACT-07612</t>
  </si>
  <si>
    <t>ACT-07613</t>
  </si>
  <si>
    <t>ACT-07614</t>
  </si>
  <si>
    <t>ACT-07615</t>
  </si>
  <si>
    <t>ACT-07616</t>
  </si>
  <si>
    <t>ACT-07617</t>
  </si>
  <si>
    <t>ACT-07618</t>
  </si>
  <si>
    <t>ACT-07619</t>
  </si>
  <si>
    <t>ACT-07620</t>
  </si>
  <si>
    <t>ACT-07621</t>
  </si>
  <si>
    <t>ACT-07622</t>
  </si>
  <si>
    <t>ACT-07623</t>
  </si>
  <si>
    <t>ACT-07624</t>
  </si>
  <si>
    <t>ACT-07625</t>
  </si>
  <si>
    <t>ACT-07626</t>
  </si>
  <si>
    <t>ACT-07627</t>
  </si>
  <si>
    <t>ACT-07628</t>
  </si>
  <si>
    <t>ACT-07629</t>
  </si>
  <si>
    <t>ACT-07630</t>
  </si>
  <si>
    <t>ACT-07631</t>
  </si>
  <si>
    <t>ACT-07632</t>
  </si>
  <si>
    <t>ACT-07633</t>
  </si>
  <si>
    <t>ACT-07634</t>
  </si>
  <si>
    <t>ACT-07635</t>
  </si>
  <si>
    <t>ACT-07636</t>
  </si>
  <si>
    <t>ACT-07637</t>
  </si>
  <si>
    <t>ACT-07638</t>
  </si>
  <si>
    <t>ACT-07639</t>
  </si>
  <si>
    <t>ACT-07640</t>
  </si>
  <si>
    <t>ACT-07641</t>
  </si>
  <si>
    <t>ACT-07642</t>
  </si>
  <si>
    <t>ACT-07643</t>
  </si>
  <si>
    <t>ACT-07644</t>
  </si>
  <si>
    <t>ACT-07645</t>
  </si>
  <si>
    <t>ACT-07646</t>
  </si>
  <si>
    <t>ACT-07647</t>
  </si>
  <si>
    <t>ACT-07648</t>
  </si>
  <si>
    <t>ACT-07649</t>
  </si>
  <si>
    <t>ACT-07650</t>
  </si>
  <si>
    <t>ACT-07651</t>
  </si>
  <si>
    <t>ACT-07652</t>
  </si>
  <si>
    <t>ACT-07653</t>
  </si>
  <si>
    <t>ACT-07654</t>
  </si>
  <si>
    <t>ACT-07655</t>
  </si>
  <si>
    <t>ACT-07656</t>
  </si>
  <si>
    <t>ACT-07657</t>
  </si>
  <si>
    <t>ACT-07658</t>
  </si>
  <si>
    <t>ACT-07659</t>
  </si>
  <si>
    <t>ACT-07660</t>
  </si>
  <si>
    <t>ACT-07661</t>
  </si>
  <si>
    <t>ACT-07662</t>
  </si>
  <si>
    <t>ACT-07663</t>
  </si>
  <si>
    <t>ACT-07664</t>
  </si>
  <si>
    <t>ACT-07665</t>
  </si>
  <si>
    <t>ACT-07666</t>
  </si>
  <si>
    <t>ACT-07667</t>
  </si>
  <si>
    <t>ACT-07668</t>
  </si>
  <si>
    <t>ACT-07669</t>
  </si>
  <si>
    <t>ACT-07670</t>
  </si>
  <si>
    <t>ACT-07671</t>
  </si>
  <si>
    <t>ACT-07672</t>
  </si>
  <si>
    <t>ACT-07673</t>
  </si>
  <si>
    <t>ACT-07674</t>
  </si>
  <si>
    <t>ACT-07675</t>
  </si>
  <si>
    <t>ACT-07676</t>
  </si>
  <si>
    <t>ACT-07677</t>
  </si>
  <si>
    <t>ACT-07678</t>
  </si>
  <si>
    <t>ACT-07679</t>
  </si>
  <si>
    <t>ACT-07680</t>
  </si>
  <si>
    <t>ACT-07681</t>
  </si>
  <si>
    <t>ACT-07682</t>
  </si>
  <si>
    <t>ACT-07683</t>
  </si>
  <si>
    <t>ACT-07684</t>
  </si>
  <si>
    <t>ACT-07685</t>
  </si>
  <si>
    <t>ACT-07686</t>
  </si>
  <si>
    <t>ACT-07687</t>
  </si>
  <si>
    <t>ACT-07688</t>
  </si>
  <si>
    <t>ACT-07689</t>
  </si>
  <si>
    <t>ACT-07690</t>
  </si>
  <si>
    <t>ACT-07691</t>
  </si>
  <si>
    <t>ACT-07692</t>
  </si>
  <si>
    <t>ACT-07693</t>
  </si>
  <si>
    <t>ACT-07694</t>
  </si>
  <si>
    <t>ACT-07695</t>
  </si>
  <si>
    <t>ACT-07696</t>
  </si>
  <si>
    <t>ACT-07697</t>
  </si>
  <si>
    <t>ACT-07698</t>
  </si>
  <si>
    <t>ACT-07699</t>
  </si>
  <si>
    <t>ACT-07700</t>
  </si>
  <si>
    <t>ACT-07701</t>
  </si>
  <si>
    <t>ACT-07702</t>
  </si>
  <si>
    <t>ACT-07703</t>
  </si>
  <si>
    <t>ACT-07704</t>
  </si>
  <si>
    <t>ACT-07705</t>
  </si>
  <si>
    <t>ACT-07706</t>
  </si>
  <si>
    <t>ACT-07707</t>
  </si>
  <si>
    <t>ACT-07708</t>
  </si>
  <si>
    <t>ACT-07709</t>
  </si>
  <si>
    <t>ACT-07710</t>
  </si>
  <si>
    <t>ACT-07711</t>
  </si>
  <si>
    <t>ACT-07712</t>
  </si>
  <si>
    <t>ACT-07713</t>
  </si>
  <si>
    <t>ACT-07714</t>
  </si>
  <si>
    <t>ACT-07715</t>
  </si>
  <si>
    <t>ACT-07716</t>
  </si>
  <si>
    <t>ACT-07717</t>
  </si>
  <si>
    <t>ACT-07718</t>
  </si>
  <si>
    <t>ACT-07719</t>
  </si>
  <si>
    <t>ACT-07720</t>
  </si>
  <si>
    <t>ACT-07721</t>
  </si>
  <si>
    <t>ACT-07722</t>
  </si>
  <si>
    <t>ACT-07723</t>
  </si>
  <si>
    <t>ACT-07724</t>
  </si>
  <si>
    <t>ACT-07725</t>
  </si>
  <si>
    <t>ACT-07726</t>
  </si>
  <si>
    <t>ACT-07727</t>
  </si>
  <si>
    <t>ACT-07728</t>
  </si>
  <si>
    <t>ACT-07729</t>
  </si>
  <si>
    <t>ACT-07730</t>
  </si>
  <si>
    <t>ACT-07731</t>
  </si>
  <si>
    <t>ACT-07732</t>
  </si>
  <si>
    <t>ACT-07733</t>
  </si>
  <si>
    <t>ACT-07734</t>
  </si>
  <si>
    <t>ACT-07735</t>
  </si>
  <si>
    <t>ACT-07736</t>
  </si>
  <si>
    <t>ACT-07737</t>
  </si>
  <si>
    <t>ACT-07738</t>
  </si>
  <si>
    <t>ACT-07739</t>
  </si>
  <si>
    <t>ACT-07740</t>
  </si>
  <si>
    <t>ACT-07741</t>
  </si>
  <si>
    <t>ACT-07742</t>
  </si>
  <si>
    <t>ACT-07743</t>
  </si>
  <si>
    <t>ACT-07744</t>
  </si>
  <si>
    <t>ACT-07745</t>
  </si>
  <si>
    <t>ACT-07746</t>
  </si>
  <si>
    <t>ACT-07747</t>
  </si>
  <si>
    <t>ACT-07748</t>
  </si>
  <si>
    <t>ACT-07749</t>
  </si>
  <si>
    <t>ACT-07750</t>
  </si>
  <si>
    <t>ACT-07751</t>
  </si>
  <si>
    <t>ACT-07752</t>
  </si>
  <si>
    <t>ACT-07753</t>
  </si>
  <si>
    <t>ACT-07754</t>
  </si>
  <si>
    <t>ACT-07755</t>
  </si>
  <si>
    <t>ACT-07756</t>
  </si>
  <si>
    <t>ACT-07757</t>
  </si>
  <si>
    <t>ACT-07758</t>
  </si>
  <si>
    <t>ACT-07759</t>
  </si>
  <si>
    <t>ACT-07760</t>
  </si>
  <si>
    <t>ACT-07761</t>
  </si>
  <si>
    <t>ACT-07762</t>
  </si>
  <si>
    <t>ACT-07763</t>
  </si>
  <si>
    <t>ACT-07764</t>
  </si>
  <si>
    <t>ACT-07765</t>
  </si>
  <si>
    <t>ACT-07766</t>
  </si>
  <si>
    <t>ACT-07767</t>
  </si>
  <si>
    <t>ACT-07768</t>
  </si>
  <si>
    <t>ACT-07769</t>
  </si>
  <si>
    <t>ACT-07770</t>
  </si>
  <si>
    <t>ACT-07771</t>
  </si>
  <si>
    <t>ACT-07772</t>
  </si>
  <si>
    <t>ACT-07773</t>
  </si>
  <si>
    <t>ACT-07774</t>
  </si>
  <si>
    <t>ACT-07775</t>
  </si>
  <si>
    <t>ACT-07776</t>
  </si>
  <si>
    <t>ACT-07777</t>
  </si>
  <si>
    <t>ACT-07778</t>
  </si>
  <si>
    <t>ACT-07779</t>
  </si>
  <si>
    <t>ACT-07780</t>
  </si>
  <si>
    <t>ACT-07781</t>
  </si>
  <si>
    <t>ACT-07782</t>
  </si>
  <si>
    <t>ACT-07783</t>
  </si>
  <si>
    <t>ACT-07784</t>
  </si>
  <si>
    <t>ACT-07785</t>
  </si>
  <si>
    <t>ACT-07786</t>
  </si>
  <si>
    <t>ACT-07787</t>
  </si>
  <si>
    <t>ACT-07788</t>
  </si>
  <si>
    <t>ACT-07789</t>
  </si>
  <si>
    <t>ACT-07790</t>
  </si>
  <si>
    <t>ACT-07791</t>
  </si>
  <si>
    <t>ACT-07792</t>
  </si>
  <si>
    <t>ACT-07793</t>
  </si>
  <si>
    <t>ACT-07794</t>
  </si>
  <si>
    <t>ACT-07795</t>
  </si>
  <si>
    <t>ACT-07796</t>
  </si>
  <si>
    <t>ACT-07797</t>
  </si>
  <si>
    <t>ACT-07798</t>
  </si>
  <si>
    <t>ACT-07799</t>
  </si>
  <si>
    <t>ACT-07800</t>
  </si>
  <si>
    <t>ACT-07801</t>
  </si>
  <si>
    <t>ACT-07802</t>
  </si>
  <si>
    <t>ACT-07803</t>
  </si>
  <si>
    <t>ACT-07804</t>
  </si>
  <si>
    <t>ACT-07805</t>
  </si>
  <si>
    <t>ACT-07806</t>
  </si>
  <si>
    <t>ACT-07807</t>
  </si>
  <si>
    <t>ACT-07808</t>
  </si>
  <si>
    <t>ACT-07809</t>
  </si>
  <si>
    <t>ACT-07810</t>
  </si>
  <si>
    <t>ACT-07811</t>
  </si>
  <si>
    <t>ACT-07812</t>
  </si>
  <si>
    <t>ACT-07813</t>
  </si>
  <si>
    <t>ACT-07814</t>
  </si>
  <si>
    <t>ACT-07815</t>
  </si>
  <si>
    <t>ACT-07816</t>
  </si>
  <si>
    <t>ACT-07817</t>
  </si>
  <si>
    <t>ACT-07818</t>
  </si>
  <si>
    <t>ACT-07819</t>
  </si>
  <si>
    <t>ACT-07820</t>
  </si>
  <si>
    <t>ACT-07821</t>
  </si>
  <si>
    <t>ACT-07822</t>
  </si>
  <si>
    <t>ACT-07823</t>
  </si>
  <si>
    <t>ACT-07824</t>
  </si>
  <si>
    <t>ACT-07825</t>
  </si>
  <si>
    <t>ACT-07826</t>
  </si>
  <si>
    <t>ACT-07827</t>
  </si>
  <si>
    <t>ACT-07828</t>
  </si>
  <si>
    <t>ACT-07829</t>
  </si>
  <si>
    <t>ACT-07830</t>
  </si>
  <si>
    <t>ACT-07831</t>
  </si>
  <si>
    <t>ACT-07832</t>
  </si>
  <si>
    <t>ACT-07833</t>
  </si>
  <si>
    <t>ACT-07834</t>
  </si>
  <si>
    <t>ACT-07835</t>
  </si>
  <si>
    <t>ACT-07836</t>
  </si>
  <si>
    <t>ACT-07837</t>
  </si>
  <si>
    <t>ACT-07838</t>
  </si>
  <si>
    <t>ACT-07839</t>
  </si>
  <si>
    <t>ACT-07840</t>
  </si>
  <si>
    <t>ACT-07841</t>
  </si>
  <si>
    <t>ACT-07842</t>
  </si>
  <si>
    <t>ACT-07843</t>
  </si>
  <si>
    <t>ACT-07844</t>
  </si>
  <si>
    <t>ACT-07845</t>
  </si>
  <si>
    <t>ACT-07846</t>
  </si>
  <si>
    <t>ACT-07847</t>
  </si>
  <si>
    <t>ACT-07848</t>
  </si>
  <si>
    <t>ACT-07849</t>
  </si>
  <si>
    <t>ACT-07850</t>
  </si>
  <si>
    <t>ACT-07851</t>
  </si>
  <si>
    <t>ACT-07852</t>
  </si>
  <si>
    <t>ACT-07853</t>
  </si>
  <si>
    <t>ACT-07854</t>
  </si>
  <si>
    <t>ACT-07855</t>
  </si>
  <si>
    <t>ACT-07856</t>
  </si>
  <si>
    <t>ACT-07857</t>
  </si>
  <si>
    <t>ACT-07858</t>
  </si>
  <si>
    <t>ACT-07859</t>
  </si>
  <si>
    <t>ACT-07860</t>
  </si>
  <si>
    <t>ACT-07861</t>
  </si>
  <si>
    <t>ACT-07862</t>
  </si>
  <si>
    <t>ACT-07863</t>
  </si>
  <si>
    <t>ACT-07864</t>
  </si>
  <si>
    <t>ACT-07865</t>
  </si>
  <si>
    <t>ACT-07866</t>
  </si>
  <si>
    <t>ACT-07867</t>
  </si>
  <si>
    <t>ACT-07868</t>
  </si>
  <si>
    <t>ACT-07869</t>
  </si>
  <si>
    <t>ACT-07870</t>
  </si>
  <si>
    <t>ACT-07871</t>
  </si>
  <si>
    <t>ACT-07872</t>
  </si>
  <si>
    <t>ACT-07873</t>
  </si>
  <si>
    <t>ACT-07874</t>
  </si>
  <si>
    <t>ACT-07875</t>
  </si>
  <si>
    <t>ACT-07876</t>
  </si>
  <si>
    <t>ACT-07877</t>
  </si>
  <si>
    <t>ACT-07878</t>
  </si>
  <si>
    <t>ACT-07879</t>
  </si>
  <si>
    <t>ACT-07880</t>
  </si>
  <si>
    <t>ACT-07881</t>
  </si>
  <si>
    <t>ACT-07882</t>
  </si>
  <si>
    <t>ACT-07883</t>
  </si>
  <si>
    <t>ACT-07884</t>
  </si>
  <si>
    <t>ACT-07885</t>
  </si>
  <si>
    <t>ACT-07886</t>
  </si>
  <si>
    <t>ACT-07887</t>
  </si>
  <si>
    <t>ACT-07888</t>
  </si>
  <si>
    <t>ACT-07889</t>
  </si>
  <si>
    <t>ACT-07890</t>
  </si>
  <si>
    <t>ACT-07891</t>
  </si>
  <si>
    <t>ACT-07892</t>
  </si>
  <si>
    <t>ACT-07893</t>
  </si>
  <si>
    <t>ACT-07894</t>
  </si>
  <si>
    <t>ACT-07895</t>
  </si>
  <si>
    <t>ACT-07896</t>
  </si>
  <si>
    <t>ACT-07897</t>
  </si>
  <si>
    <t>ACT-07898</t>
  </si>
  <si>
    <t>ACT-07899</t>
  </si>
  <si>
    <t>ACT-07900</t>
  </si>
  <si>
    <t>ACT-07901</t>
  </si>
  <si>
    <t>ACT-07902</t>
  </si>
  <si>
    <t>ACT-07903</t>
  </si>
  <si>
    <t>ACT-07904</t>
  </si>
  <si>
    <t>ACT-07905</t>
  </si>
  <si>
    <t>ACT-07906</t>
  </si>
  <si>
    <t>ACT-07907</t>
  </si>
  <si>
    <t>ACT-07908</t>
  </si>
  <si>
    <t>ACT-07909</t>
  </si>
  <si>
    <t>ACT-07910</t>
  </si>
  <si>
    <t>ACT-07911</t>
  </si>
  <si>
    <t>ACT-07912</t>
  </si>
  <si>
    <t>ACT-07913</t>
  </si>
  <si>
    <t>ACT-07914</t>
  </si>
  <si>
    <t>ACT-07915</t>
  </si>
  <si>
    <t>ACT-07916</t>
  </si>
  <si>
    <t>ACT-07917</t>
  </si>
  <si>
    <t>ACT-07918</t>
  </si>
  <si>
    <t>ACT-07919</t>
  </si>
  <si>
    <t>ACT-07920</t>
  </si>
  <si>
    <t>ACT-07921</t>
  </si>
  <si>
    <t>ACT-07922</t>
  </si>
  <si>
    <t>ACT-07923</t>
  </si>
  <si>
    <t>ACT-07924</t>
  </si>
  <si>
    <t>ACT-07925</t>
  </si>
  <si>
    <t>ACT-07926</t>
  </si>
  <si>
    <t>ACT-07927</t>
  </si>
  <si>
    <t>ACT-07928</t>
  </si>
  <si>
    <t>ACT-07929</t>
  </si>
  <si>
    <t>ACT-07930</t>
  </si>
  <si>
    <t>ACT-07931</t>
  </si>
  <si>
    <t>ACT-07932</t>
  </si>
  <si>
    <t>ACT-07933</t>
  </si>
  <si>
    <t>ACT-07934</t>
  </si>
  <si>
    <t>ACT-07935</t>
  </si>
  <si>
    <t>ACT-07936</t>
  </si>
  <si>
    <t>ACT-07937</t>
  </si>
  <si>
    <t>ACT-07938</t>
  </si>
  <si>
    <t>ACT-07939</t>
  </si>
  <si>
    <t>ACT-07940</t>
  </si>
  <si>
    <t>ACT-07941</t>
  </si>
  <si>
    <t>ACT-07942</t>
  </si>
  <si>
    <t>ACT-07943</t>
  </si>
  <si>
    <t>ACT-07944</t>
  </si>
  <si>
    <t>ACT-07945</t>
  </si>
  <si>
    <t>ACT-07946</t>
  </si>
  <si>
    <t>ACT-07947</t>
  </si>
  <si>
    <t>ACT-07948</t>
  </si>
  <si>
    <t>ACT-07949</t>
  </si>
  <si>
    <t>ACT-07950</t>
  </si>
  <si>
    <t>ACT-07951</t>
  </si>
  <si>
    <t>ACT-07952</t>
  </si>
  <si>
    <t>ACT-07953</t>
  </si>
  <si>
    <t>ACT-07954</t>
  </si>
  <si>
    <t>ACT-07955</t>
  </si>
  <si>
    <t>ACT-07956</t>
  </si>
  <si>
    <t>ACT-07957</t>
  </si>
  <si>
    <t>ACT-07958</t>
  </si>
  <si>
    <t>ACT-07959</t>
  </si>
  <si>
    <t>ACT-07960</t>
  </si>
  <si>
    <t>ACT-07961</t>
  </si>
  <si>
    <t>ACT-07962</t>
  </si>
  <si>
    <t>ACT-07963</t>
  </si>
  <si>
    <t>ACT-07964</t>
  </si>
  <si>
    <t>ACT-07965</t>
  </si>
  <si>
    <t>ACT-07966</t>
  </si>
  <si>
    <t>ACT-07967</t>
  </si>
  <si>
    <t>ACT-07968</t>
  </si>
  <si>
    <t>ACT-07969</t>
  </si>
  <si>
    <t>ACT-07970</t>
  </si>
  <si>
    <t>ACT-07971</t>
  </si>
  <si>
    <t>ACT-07972</t>
  </si>
  <si>
    <t>ACT-07973</t>
  </si>
  <si>
    <t>ACT-07974</t>
  </si>
  <si>
    <t>ACT-07975</t>
  </si>
  <si>
    <t>ACT-07976</t>
  </si>
  <si>
    <t>ACT-07977</t>
  </si>
  <si>
    <t>ACT-07978</t>
  </si>
  <si>
    <t>ACT-07979</t>
  </si>
  <si>
    <t>ACT-07980</t>
  </si>
  <si>
    <t>ACT-07981</t>
  </si>
  <si>
    <t>ACT-07982</t>
  </si>
  <si>
    <t>ACT-07983</t>
  </si>
  <si>
    <t>ACT-07984</t>
  </si>
  <si>
    <t>ACT-07985</t>
  </si>
  <si>
    <t>ACT-07986</t>
  </si>
  <si>
    <t>ACT-07987</t>
  </si>
  <si>
    <t>ACT-07988</t>
  </si>
  <si>
    <t>ACT-07989</t>
  </si>
  <si>
    <t>ACT-07990</t>
  </si>
  <si>
    <t>ACT-07991</t>
  </si>
  <si>
    <t>ACT-07992</t>
  </si>
  <si>
    <t>ACT-07993</t>
  </si>
  <si>
    <t>ACT-07994</t>
  </si>
  <si>
    <t>ACT-07995</t>
  </si>
  <si>
    <t>ACT-07996</t>
  </si>
  <si>
    <t>ACT-07997</t>
  </si>
  <si>
    <t>ACT-07998</t>
  </si>
  <si>
    <t>ACT-07999</t>
  </si>
  <si>
    <t>ACT-08000</t>
  </si>
  <si>
    <t>ACT-08001</t>
  </si>
  <si>
    <t>ACT-08002</t>
  </si>
  <si>
    <t>ACT-08003</t>
  </si>
  <si>
    <t>ACT-08004</t>
  </si>
  <si>
    <t>ACT-08005</t>
  </si>
  <si>
    <t>ACT-08006</t>
  </si>
  <si>
    <t>ACT-08007</t>
  </si>
  <si>
    <t>ACT-08008</t>
  </si>
  <si>
    <t>ACT-08009</t>
  </si>
  <si>
    <t>ACT-08010</t>
  </si>
  <si>
    <t>ACT-08011</t>
  </si>
  <si>
    <t>ACT-08012</t>
  </si>
  <si>
    <t>ACT-08013</t>
  </si>
  <si>
    <t>ACT-08014</t>
  </si>
  <si>
    <t>ACT-08015</t>
  </si>
  <si>
    <t>ACT-08016</t>
  </si>
  <si>
    <t>ACT-08017</t>
  </si>
  <si>
    <t>ACT-08018</t>
  </si>
  <si>
    <t>ACT-08019</t>
  </si>
  <si>
    <t>ACT-08020</t>
  </si>
  <si>
    <t>ACT-08021</t>
  </si>
  <si>
    <t>ACT-08022</t>
  </si>
  <si>
    <t>ACT-08023</t>
  </si>
  <si>
    <t>ACT-08024</t>
  </si>
  <si>
    <t>ACT-08025</t>
  </si>
  <si>
    <t>ACT-08026</t>
  </si>
  <si>
    <t>ACT-08027</t>
  </si>
  <si>
    <t>ACT-08028</t>
  </si>
  <si>
    <t>ACT-08029</t>
  </si>
  <si>
    <t>ACT-08030</t>
  </si>
  <si>
    <t>ACT-08031</t>
  </si>
  <si>
    <t>ACT-08032</t>
  </si>
  <si>
    <t>ACT-08033</t>
  </si>
  <si>
    <t>ACT-08034</t>
  </si>
  <si>
    <t>ACT-08035</t>
  </si>
  <si>
    <t>ACT-08036</t>
  </si>
  <si>
    <t>ACT-08037</t>
  </si>
  <si>
    <t>ACT-08038</t>
  </si>
  <si>
    <t>ACT-08039</t>
  </si>
  <si>
    <t>ACT-08040</t>
  </si>
  <si>
    <t>ACT-08041</t>
  </si>
  <si>
    <t>ACT-08042</t>
  </si>
  <si>
    <t>ACT-08043</t>
  </si>
  <si>
    <t>ACT-08044</t>
  </si>
  <si>
    <t>ACT-08045</t>
  </si>
  <si>
    <t>ACT-08046</t>
  </si>
  <si>
    <t>ACT-08047</t>
  </si>
  <si>
    <t>ACT-08048</t>
  </si>
  <si>
    <t>ACT-08049</t>
  </si>
  <si>
    <t>ACT-08050</t>
  </si>
  <si>
    <t>ACT-08051</t>
  </si>
  <si>
    <t>ACT-08052</t>
  </si>
  <si>
    <t>ACT-08053</t>
  </si>
  <si>
    <t>ACT-08054</t>
  </si>
  <si>
    <t>ACT-08055</t>
  </si>
  <si>
    <t>ACT-08056</t>
  </si>
  <si>
    <t>ACT-08057</t>
  </si>
  <si>
    <t>ACT-08058</t>
  </si>
  <si>
    <t>ACT-08059</t>
  </si>
  <si>
    <t>ACT-08060</t>
  </si>
  <si>
    <t>ACT-08061</t>
  </si>
  <si>
    <t>ACT-08062</t>
  </si>
  <si>
    <t>ACT-08063</t>
  </si>
  <si>
    <t>ACT-08064</t>
  </si>
  <si>
    <t>ACT-08065</t>
  </si>
  <si>
    <t>ACT-08066</t>
  </si>
  <si>
    <t>ACT-08067</t>
  </si>
  <si>
    <t>ACT-08068</t>
  </si>
  <si>
    <t>ACT-08069</t>
  </si>
  <si>
    <t>ACT-08070</t>
  </si>
  <si>
    <t>ACT-08071</t>
  </si>
  <si>
    <t>ACT-08072</t>
  </si>
  <si>
    <t>ACT-08073</t>
  </si>
  <si>
    <t>ACT-08074</t>
  </si>
  <si>
    <t>ACT-08075</t>
  </si>
  <si>
    <t>ACT-08076</t>
  </si>
  <si>
    <t>ACT-08077</t>
  </si>
  <si>
    <t>ACT-08078</t>
  </si>
  <si>
    <t>ACT-08079</t>
  </si>
  <si>
    <t>ACT-08080</t>
  </si>
  <si>
    <t>ACT-08081</t>
  </si>
  <si>
    <t>ACT-08082</t>
  </si>
  <si>
    <t>ACT-08083</t>
  </si>
  <si>
    <t>ACT-08084</t>
  </si>
  <si>
    <t>ACT-08085</t>
  </si>
  <si>
    <t>ACT-08086</t>
  </si>
  <si>
    <t>ACT-08087</t>
  </si>
  <si>
    <t>ACT-08088</t>
  </si>
  <si>
    <t>ACT-08089</t>
  </si>
  <si>
    <t>ACT-08090</t>
  </si>
  <si>
    <t>ACT-08091</t>
  </si>
  <si>
    <t>ACT-08092</t>
  </si>
  <si>
    <t>ACT-08093</t>
  </si>
  <si>
    <t>ACT-08094</t>
  </si>
  <si>
    <t>ACT-08095</t>
  </si>
  <si>
    <t>ACT-08096</t>
  </si>
  <si>
    <t>ACT-08097</t>
  </si>
  <si>
    <t>ACT-08098</t>
  </si>
  <si>
    <t>ACT-08099</t>
  </si>
  <si>
    <t>ACT-08100</t>
  </si>
  <si>
    <t>ACT-08101</t>
  </si>
  <si>
    <t>ACT-08102</t>
  </si>
  <si>
    <t>ACT-08103</t>
  </si>
  <si>
    <t>ACT-08104</t>
  </si>
  <si>
    <t>ACT-08105</t>
  </si>
  <si>
    <t>ACT-08106</t>
  </si>
  <si>
    <t>ACT-08107</t>
  </si>
  <si>
    <t>ACT-08108</t>
  </si>
  <si>
    <t>ACT-08109</t>
  </si>
  <si>
    <t>ACT-08110</t>
  </si>
  <si>
    <t>ACT-08111</t>
  </si>
  <si>
    <t>ACT-08112</t>
  </si>
  <si>
    <t>ACT-08113</t>
  </si>
  <si>
    <t>ACT-08114</t>
  </si>
  <si>
    <t>ACT-08115</t>
  </si>
  <si>
    <t>ACT-08116</t>
  </si>
  <si>
    <t>ACT-08117</t>
  </si>
  <si>
    <t>ACT-08118</t>
  </si>
  <si>
    <t>ACT-08119</t>
  </si>
  <si>
    <t>ACT-08120</t>
  </si>
  <si>
    <t>ACT-08121</t>
  </si>
  <si>
    <t>ACT-08122</t>
  </si>
  <si>
    <t>ACT-08123</t>
  </si>
  <si>
    <t>ACT-08124</t>
  </si>
  <si>
    <t>ACT-08125</t>
  </si>
  <si>
    <t>ACT-08126</t>
  </si>
  <si>
    <t>ACT-08127</t>
  </si>
  <si>
    <t>ACT-08128</t>
  </si>
  <si>
    <t>ACT-08129</t>
  </si>
  <si>
    <t>ACT-08130</t>
  </si>
  <si>
    <t>ACT-08131</t>
  </si>
  <si>
    <t>ACT-08132</t>
  </si>
  <si>
    <t>ACT-08133</t>
  </si>
  <si>
    <t>ACT-08134</t>
  </si>
  <si>
    <t>ACT-08135</t>
  </si>
  <si>
    <t>ACT-08136</t>
  </si>
  <si>
    <t>ACT-08137</t>
  </si>
  <si>
    <t>ACT-08138</t>
  </si>
  <si>
    <t>ACT-08139</t>
  </si>
  <si>
    <t>ACT-08140</t>
  </si>
  <si>
    <t>ACT-08141</t>
  </si>
  <si>
    <t>ACT-08142</t>
  </si>
  <si>
    <t>ACT-08143</t>
  </si>
  <si>
    <t>ACT-08144</t>
  </si>
  <si>
    <t>ACT-08145</t>
  </si>
  <si>
    <t>ACT-08146</t>
  </si>
  <si>
    <t>ACT-08147</t>
  </si>
  <si>
    <t>ACT-08148</t>
  </si>
  <si>
    <t>ACT-08149</t>
  </si>
  <si>
    <t>ACT-08150</t>
  </si>
  <si>
    <t>ACT-08151</t>
  </si>
  <si>
    <t>ACT-08152</t>
  </si>
  <si>
    <t>ACT-08153</t>
  </si>
  <si>
    <t>ACT-08154</t>
  </si>
  <si>
    <t>ACT-08155</t>
  </si>
  <si>
    <t>ACT-08156</t>
  </si>
  <si>
    <t>ACT-08157</t>
  </si>
  <si>
    <t>ACT-08158</t>
  </si>
  <si>
    <t>ACT-08159</t>
  </si>
  <si>
    <t>ACT-08160</t>
  </si>
  <si>
    <t>ACT-08161</t>
  </si>
  <si>
    <t>ACT-08162</t>
  </si>
  <si>
    <t>ACT-08163</t>
  </si>
  <si>
    <t>ACT-08164</t>
  </si>
  <si>
    <t>ACT-08165</t>
  </si>
  <si>
    <t>ACT-08166</t>
  </si>
  <si>
    <t>ACT-08167</t>
  </si>
  <si>
    <t>ACT-08168</t>
  </si>
  <si>
    <t>ACT-08169</t>
  </si>
  <si>
    <t>ACT-08170</t>
  </si>
  <si>
    <t>ACT-08171</t>
  </si>
  <si>
    <t>ACT-08172</t>
  </si>
  <si>
    <t>ACT-08173</t>
  </si>
  <si>
    <t>ACT-08174</t>
  </si>
  <si>
    <t>ACT-08175</t>
  </si>
  <si>
    <t>ACT-08176</t>
  </si>
  <si>
    <t>ACT-08177</t>
  </si>
  <si>
    <t>ACT-08178</t>
  </si>
  <si>
    <t>ACT-08179</t>
  </si>
  <si>
    <t>ACT-08180</t>
  </si>
  <si>
    <t>ACT-08181</t>
  </si>
  <si>
    <t>ACT-08182</t>
  </si>
  <si>
    <t>ACT-08183</t>
  </si>
  <si>
    <t>ACT-08184</t>
  </si>
  <si>
    <t>ACT-08185</t>
  </si>
  <si>
    <t>ACT-08186</t>
  </si>
  <si>
    <t>ACT-08187</t>
  </si>
  <si>
    <t>ACT-08188</t>
  </si>
  <si>
    <t>ACT-08189</t>
  </si>
  <si>
    <t>ACT-08190</t>
  </si>
  <si>
    <t>ACT-08191</t>
  </si>
  <si>
    <t>ACT-08192</t>
  </si>
  <si>
    <t>ACT-08193</t>
  </si>
  <si>
    <t>ACT-08194</t>
  </si>
  <si>
    <t>ACT-08195</t>
  </si>
  <si>
    <t>ACT-08196</t>
  </si>
  <si>
    <t>ACT-08197</t>
  </si>
  <si>
    <t>ACT-08198</t>
  </si>
  <si>
    <t>ACT-08199</t>
  </si>
  <si>
    <t>ACT-08200</t>
  </si>
  <si>
    <t>ACT-08201</t>
  </si>
  <si>
    <t>ACT-08202</t>
  </si>
  <si>
    <t>ACT-08203</t>
  </si>
  <si>
    <t>ACT-08204</t>
  </si>
  <si>
    <t>ACT-08205</t>
  </si>
  <si>
    <t>ACT-08206</t>
  </si>
  <si>
    <t>ACT-08207</t>
  </si>
  <si>
    <t>ACT-08208</t>
  </si>
  <si>
    <t>ACT-08209</t>
  </si>
  <si>
    <t>ACT-08210</t>
  </si>
  <si>
    <t>ACT-08211</t>
  </si>
  <si>
    <t>ACT-08212</t>
  </si>
  <si>
    <t>ACT-08213</t>
  </si>
  <si>
    <t>ACT-08214</t>
  </si>
  <si>
    <t>ACT-08215</t>
  </si>
  <si>
    <t>ACT-08216</t>
  </si>
  <si>
    <t>ACT-08217</t>
  </si>
  <si>
    <t>ACT-08218</t>
  </si>
  <si>
    <t>ACT-08219</t>
  </si>
  <si>
    <t>ACT-08220</t>
  </si>
  <si>
    <t>ACT-08221</t>
  </si>
  <si>
    <t>ACT-08222</t>
  </si>
  <si>
    <t>ACT-08223</t>
  </si>
  <si>
    <t>ACT-08224</t>
  </si>
  <si>
    <t>ACT-08225</t>
  </si>
  <si>
    <t>ACT-08226</t>
  </si>
  <si>
    <t>ACT-08227</t>
  </si>
  <si>
    <t>ACT-08228</t>
  </si>
  <si>
    <t>ACT-08229</t>
  </si>
  <si>
    <t>ACT-08230</t>
  </si>
  <si>
    <t>ACT-08231</t>
  </si>
  <si>
    <t>ACT-08232</t>
  </si>
  <si>
    <t>ACT-08233</t>
  </si>
  <si>
    <t>ACT-08234</t>
  </si>
  <si>
    <t>ACT-08235</t>
  </si>
  <si>
    <t>ACT-08236</t>
  </si>
  <si>
    <t>ACT-08237</t>
  </si>
  <si>
    <t>ACT-08238</t>
  </si>
  <si>
    <t>ACT-08239</t>
  </si>
  <si>
    <t>ACT-08240</t>
  </si>
  <si>
    <t>ACT-08241</t>
  </si>
  <si>
    <t>ACT-08242</t>
  </si>
  <si>
    <t>ACT-08243</t>
  </si>
  <si>
    <t>ACT-08244</t>
  </si>
  <si>
    <t>ACT-08245</t>
  </si>
  <si>
    <t>ACT-08246</t>
  </si>
  <si>
    <t>ACT-08247</t>
  </si>
  <si>
    <t>ACT-08248</t>
  </si>
  <si>
    <t>ACT-08249</t>
  </si>
  <si>
    <t>ACT-08250</t>
  </si>
  <si>
    <t>ACT-08251</t>
  </si>
  <si>
    <t>ACT-08252</t>
  </si>
  <si>
    <t>ACT-08253</t>
  </si>
  <si>
    <t>ACT-08254</t>
  </si>
  <si>
    <t>ACT-08255</t>
  </si>
  <si>
    <t>ACT-08256</t>
  </si>
  <si>
    <t>ACT-08257</t>
  </si>
  <si>
    <t>ACT-08258</t>
  </si>
  <si>
    <t>ACT-08259</t>
  </si>
  <si>
    <t>ACT-08260</t>
  </si>
  <si>
    <t>ACT-08261</t>
  </si>
  <si>
    <t>ACT-08262</t>
  </si>
  <si>
    <t>ACT-08263</t>
  </si>
  <si>
    <t>ACT-08264</t>
  </si>
  <si>
    <t>ACT-08265</t>
  </si>
  <si>
    <t>ACT-08266</t>
  </si>
  <si>
    <t>ACT-08267</t>
  </si>
  <si>
    <t>ACT-08268</t>
  </si>
  <si>
    <t>ACT-08269</t>
  </si>
  <si>
    <t>ACT-08270</t>
  </si>
  <si>
    <t>ACT-08271</t>
  </si>
  <si>
    <t>ACT-08272</t>
  </si>
  <si>
    <t>ACT-08273</t>
  </si>
  <si>
    <t>ACT-08274</t>
  </si>
  <si>
    <t>ACT-08275</t>
  </si>
  <si>
    <t>ACT-08276</t>
  </si>
  <si>
    <t>ACT-08277</t>
  </si>
  <si>
    <t>ACT-08278</t>
  </si>
  <si>
    <t>ACT-08279</t>
  </si>
  <si>
    <t>ACT-08280</t>
  </si>
  <si>
    <t>ACT-08281</t>
  </si>
  <si>
    <t>ACT-08282</t>
  </si>
  <si>
    <t>ACT-08283</t>
  </si>
  <si>
    <t>ACT-08284</t>
  </si>
  <si>
    <t>ACT-08285</t>
  </si>
  <si>
    <t>ACT-08286</t>
  </si>
  <si>
    <t>ACT-08287</t>
  </si>
  <si>
    <t>ACT-08288</t>
  </si>
  <si>
    <t>ACT-08289</t>
  </si>
  <si>
    <t>ACT-08290</t>
  </si>
  <si>
    <t>ACT-08291</t>
  </si>
  <si>
    <t>ACT-08292</t>
  </si>
  <si>
    <t>ACT-08293</t>
  </si>
  <si>
    <t>ACT-08294</t>
  </si>
  <si>
    <t>ACT-08295</t>
  </si>
  <si>
    <t>ACT-08296</t>
  </si>
  <si>
    <t>ACT-08297</t>
  </si>
  <si>
    <t>ACT-08298</t>
  </si>
  <si>
    <t>ACT-08299</t>
  </si>
  <si>
    <t>ACT-08300</t>
  </si>
  <si>
    <t>ACT-08301</t>
  </si>
  <si>
    <t>ACT-08302</t>
  </si>
  <si>
    <t>ACT-08303</t>
  </si>
  <si>
    <t>ACT-08304</t>
  </si>
  <si>
    <t>ACT-08305</t>
  </si>
  <si>
    <t>ACT-08306</t>
  </si>
  <si>
    <t>ACT-08307</t>
  </si>
  <si>
    <t>ACT-08308</t>
  </si>
  <si>
    <t>ACT-08309</t>
  </si>
  <si>
    <t>ACT-08310</t>
  </si>
  <si>
    <t>ACT-08311</t>
  </si>
  <si>
    <t>ACT-08312</t>
  </si>
  <si>
    <t>ACT-08313</t>
  </si>
  <si>
    <t>ACT-08314</t>
  </si>
  <si>
    <t>ACT-08315</t>
  </si>
  <si>
    <t>ACT-08316</t>
  </si>
  <si>
    <t>ACT-08317</t>
  </si>
  <si>
    <t>ACT-08318</t>
  </si>
  <si>
    <t>ACT-08319</t>
  </si>
  <si>
    <t>ACT-08320</t>
  </si>
  <si>
    <t>ACT-08321</t>
  </si>
  <si>
    <t>ACT-08322</t>
  </si>
  <si>
    <t>ACT-08323</t>
  </si>
  <si>
    <t>ACT-08324</t>
  </si>
  <si>
    <t>ACT-08325</t>
  </si>
  <si>
    <t>ACT-08326</t>
  </si>
  <si>
    <t>ACT-08327</t>
  </si>
  <si>
    <t>ACT-08328</t>
  </si>
  <si>
    <t>ACT-08329</t>
  </si>
  <si>
    <t>ACT-08330</t>
  </si>
  <si>
    <t>ACT-08331</t>
  </si>
  <si>
    <t>ACT-08332</t>
  </si>
  <si>
    <t>ACT-08333</t>
  </si>
  <si>
    <t>ACT-08334</t>
  </si>
  <si>
    <t>ACT-08335</t>
  </si>
  <si>
    <t>ACT-08336</t>
  </si>
  <si>
    <t>ACT-08337</t>
  </si>
  <si>
    <t>ACT-08338</t>
  </si>
  <si>
    <t>ACT-08339</t>
  </si>
  <si>
    <t>ACT-08340</t>
  </si>
  <si>
    <t>ACT-08341</t>
  </si>
  <si>
    <t>ACT-08342</t>
  </si>
  <si>
    <t>ACT-08343</t>
  </si>
  <si>
    <t>ACT-08344</t>
  </si>
  <si>
    <t>ACT-08345</t>
  </si>
  <si>
    <t>ACT-08346</t>
  </si>
  <si>
    <t>ACT-08347</t>
  </si>
  <si>
    <t>ACT-08348</t>
  </si>
  <si>
    <t>ACT-08349</t>
  </si>
  <si>
    <t>ACT-08350</t>
  </si>
  <si>
    <t>ACT-08351</t>
  </si>
  <si>
    <t>ACT-08352</t>
  </si>
  <si>
    <t>ACT-08353</t>
  </si>
  <si>
    <t>ACT-08354</t>
  </si>
  <si>
    <t>ACT-08355</t>
  </si>
  <si>
    <t>ACT-08356</t>
  </si>
  <si>
    <t>ACT-08357</t>
  </si>
  <si>
    <t>ACT-08358</t>
  </si>
  <si>
    <t>ACT-08359</t>
  </si>
  <si>
    <t>ACT-08360</t>
  </si>
  <si>
    <t>ACT-08361</t>
  </si>
  <si>
    <t>ACT-08362</t>
  </si>
  <si>
    <t>ACT-08363</t>
  </si>
  <si>
    <t>ACT-08364</t>
  </si>
  <si>
    <t>ACT-08365</t>
  </si>
  <si>
    <t>ACT-08366</t>
  </si>
  <si>
    <t>ACT-08367</t>
  </si>
  <si>
    <t>ACT-08368</t>
  </si>
  <si>
    <t>ACT-08369</t>
  </si>
  <si>
    <t>ACT-08370</t>
  </si>
  <si>
    <t>ACT-08371</t>
  </si>
  <si>
    <t>ACT-08372</t>
  </si>
  <si>
    <t>ACT-08373</t>
  </si>
  <si>
    <t>ACT-08374</t>
  </si>
  <si>
    <t>ACT-08375</t>
  </si>
  <si>
    <t>ACT-08376</t>
  </si>
  <si>
    <t>ACT-08377</t>
  </si>
  <si>
    <t>ACT-08378</t>
  </si>
  <si>
    <t>ACT-08379</t>
  </si>
  <si>
    <t>ACT-08380</t>
  </si>
  <si>
    <t>ACT-08381</t>
  </si>
  <si>
    <t>ACT-08382</t>
  </si>
  <si>
    <t>ACT-08383</t>
  </si>
  <si>
    <t>ACT-08384</t>
  </si>
  <si>
    <t>ACT-08385</t>
  </si>
  <si>
    <t>ACT-08386</t>
  </si>
  <si>
    <t>ACT-08387</t>
  </si>
  <si>
    <t>ACT-08388</t>
  </si>
  <si>
    <t>ACT-08389</t>
  </si>
  <si>
    <t>ACT-08390</t>
  </si>
  <si>
    <t>ACT-08391</t>
  </si>
  <si>
    <t>ACT-08392</t>
  </si>
  <si>
    <t>ACT-08393</t>
  </si>
  <si>
    <t>ACT-08394</t>
  </si>
  <si>
    <t>ACT-08395</t>
  </si>
  <si>
    <t>ACT-08396</t>
  </si>
  <si>
    <t>ACT-08397</t>
  </si>
  <si>
    <t>ACT-08398</t>
  </si>
  <si>
    <t>ACT-08399</t>
  </si>
  <si>
    <t>ACT-08400</t>
  </si>
  <si>
    <t>ACT-08401</t>
  </si>
  <si>
    <t>ACT-08402</t>
  </si>
  <si>
    <t>ACT-08403</t>
  </si>
  <si>
    <t>ACT-08404</t>
  </si>
  <si>
    <t>ACT-08405</t>
  </si>
  <si>
    <t>ACT-08406</t>
  </si>
  <si>
    <t>ACT-08407</t>
  </si>
  <si>
    <t>ACT-08408</t>
  </si>
  <si>
    <t>ACT-08409</t>
  </si>
  <si>
    <t>ACT-08410</t>
  </si>
  <si>
    <t>ACT-08411</t>
  </si>
  <si>
    <t>ACT-08412</t>
  </si>
  <si>
    <t>ACT-08413</t>
  </si>
  <si>
    <t>ACT-08414</t>
  </si>
  <si>
    <t>ACT-08415</t>
  </si>
  <si>
    <t>ACT-08416</t>
  </si>
  <si>
    <t>ACT-08417</t>
  </si>
  <si>
    <t>ACT-08418</t>
  </si>
  <si>
    <t>ACT-08419</t>
  </si>
  <si>
    <t>ACT-08420</t>
  </si>
  <si>
    <t>ACT-08421</t>
  </si>
  <si>
    <t>ACT-08422</t>
  </si>
  <si>
    <t>ACT-08423</t>
  </si>
  <si>
    <t>ACT-08424</t>
  </si>
  <si>
    <t>ACT-08425</t>
  </si>
  <si>
    <t>ACT-08426</t>
  </si>
  <si>
    <t>ACT-08427</t>
  </si>
  <si>
    <t>ACT-08428</t>
  </si>
  <si>
    <t>ACT-08429</t>
  </si>
  <si>
    <t>ACT-08430</t>
  </si>
  <si>
    <t>ACT-08431</t>
  </si>
  <si>
    <t>ACT-08432</t>
  </si>
  <si>
    <t>ACT-08433</t>
  </si>
  <si>
    <t>ACT-08434</t>
  </si>
  <si>
    <t>ACT-08435</t>
  </si>
  <si>
    <t>ACT-08436</t>
  </si>
  <si>
    <t>ACT-08437</t>
  </si>
  <si>
    <t>ACT-08438</t>
  </si>
  <si>
    <t>ACT-08439</t>
  </si>
  <si>
    <t>ACT-08440</t>
  </si>
  <si>
    <t>ACT-08441</t>
  </si>
  <si>
    <t>ACT-08442</t>
  </si>
  <si>
    <t>ACT-08443</t>
  </si>
  <si>
    <t>ACT-08444</t>
  </si>
  <si>
    <t>ACT-08445</t>
  </si>
  <si>
    <t>ACT-08446</t>
  </si>
  <si>
    <t>ACT-08447</t>
  </si>
  <si>
    <t>ACT-08448</t>
  </si>
  <si>
    <t>ACT-08449</t>
  </si>
  <si>
    <t>ACT-08450</t>
  </si>
  <si>
    <t>ACT-08451</t>
  </si>
  <si>
    <t>ACT-08452</t>
  </si>
  <si>
    <t>ACT-08453</t>
  </si>
  <si>
    <t>ACT-08454</t>
  </si>
  <si>
    <t>ACT-08455</t>
  </si>
  <si>
    <t>ACT-08456</t>
  </si>
  <si>
    <t>ACT-08457</t>
  </si>
  <si>
    <t>ACT-08458</t>
  </si>
  <si>
    <t>ACT-08459</t>
  </si>
  <si>
    <t>ACT-08460</t>
  </si>
  <si>
    <t>ACT-08461</t>
  </si>
  <si>
    <t>ACT-08462</t>
  </si>
  <si>
    <t>ACT-08463</t>
  </si>
  <si>
    <t>ACT-08464</t>
  </si>
  <si>
    <t>ACT-08465</t>
  </si>
  <si>
    <t>ACT-08466</t>
  </si>
  <si>
    <t>ACT-08467</t>
  </si>
  <si>
    <t>ACT-08468</t>
  </si>
  <si>
    <t>ACT-08469</t>
  </si>
  <si>
    <t>ACT-08470</t>
  </si>
  <si>
    <t>ACT-08471</t>
  </si>
  <si>
    <t>ACT-08472</t>
  </si>
  <si>
    <t>ACT-08473</t>
  </si>
  <si>
    <t>ACT-08474</t>
  </si>
  <si>
    <t>ACT-08475</t>
  </si>
  <si>
    <t>ACT-08476</t>
  </si>
  <si>
    <t>ACT-08477</t>
  </si>
  <si>
    <t>ACT-08478</t>
  </si>
  <si>
    <t>ACT-08479</t>
  </si>
  <si>
    <t>ACT-08480</t>
  </si>
  <si>
    <t>ACT-08481</t>
  </si>
  <si>
    <t>ACT-08482</t>
  </si>
  <si>
    <t>ACT-08483</t>
  </si>
  <si>
    <t>ACT-08484</t>
  </si>
  <si>
    <t>ACT-08485</t>
  </si>
  <si>
    <t>ACT-08486</t>
  </si>
  <si>
    <t>ACT-08487</t>
  </si>
  <si>
    <t>ACT-08488</t>
  </si>
  <si>
    <t>ACT-08489</t>
  </si>
  <si>
    <t>ACT-08490</t>
  </si>
  <si>
    <t>ACT-08491</t>
  </si>
  <si>
    <t>ACT-08492</t>
  </si>
  <si>
    <t>ACT-08493</t>
  </si>
  <si>
    <t>ACT-08494</t>
  </si>
  <si>
    <t>ACT-08495</t>
  </si>
  <si>
    <t>ACT-08496</t>
  </si>
  <si>
    <t>ACT-08497</t>
  </si>
  <si>
    <t>ACT-08498</t>
  </si>
  <si>
    <t>ACT-08499</t>
  </si>
  <si>
    <t>ACT-08500</t>
  </si>
  <si>
    <t>ACT-08501</t>
  </si>
  <si>
    <t>ACT-08502</t>
  </si>
  <si>
    <t>ACT-08503</t>
  </si>
  <si>
    <t>ACT-08504</t>
  </si>
  <si>
    <t>ACT-08505</t>
  </si>
  <si>
    <t>ACT-08506</t>
  </si>
  <si>
    <t>ACT-08507</t>
  </si>
  <si>
    <t>ACT-08508</t>
  </si>
  <si>
    <t>ACT-08509</t>
  </si>
  <si>
    <t>ACT-08510</t>
  </si>
  <si>
    <t>ACT-08511</t>
  </si>
  <si>
    <t>ACT-08512</t>
  </si>
  <si>
    <t>ACT-08513</t>
  </si>
  <si>
    <t>ACT-08514</t>
  </si>
  <si>
    <t>ACT-08515</t>
  </si>
  <si>
    <t>ACT-08516</t>
  </si>
  <si>
    <t>ACT-08517</t>
  </si>
  <si>
    <t>ACT-08518</t>
  </si>
  <si>
    <t>ACT-08519</t>
  </si>
  <si>
    <t>ACT-08520</t>
  </si>
  <si>
    <t>ACT-08521</t>
  </si>
  <si>
    <t>ACT-08522</t>
  </si>
  <si>
    <t>ACT-08523</t>
  </si>
  <si>
    <t>ACT-08524</t>
  </si>
  <si>
    <t>ACT-08525</t>
  </si>
  <si>
    <t>ACT-08526</t>
  </si>
  <si>
    <t>ACT-08527</t>
  </si>
  <si>
    <t>ACT-08528</t>
  </si>
  <si>
    <t>ACT-08529</t>
  </si>
  <si>
    <t>ACT-08530</t>
  </si>
  <si>
    <t>ACT-08531</t>
  </si>
  <si>
    <t>ACT-08532</t>
  </si>
  <si>
    <t>ACT-08533</t>
  </si>
  <si>
    <t>ACT-08534</t>
  </si>
  <si>
    <t>ACT-08535</t>
  </si>
  <si>
    <t>ACT-08536</t>
  </si>
  <si>
    <t>ACT-08537</t>
  </si>
  <si>
    <t>ACT-08538</t>
  </si>
  <si>
    <t>ACT-08539</t>
  </si>
  <si>
    <t>ACT-08540</t>
  </si>
  <si>
    <t>ACT-08541</t>
  </si>
  <si>
    <t>ACT-08542</t>
  </si>
  <si>
    <t>ACT-08543</t>
  </si>
  <si>
    <t>ACT-08544</t>
  </si>
  <si>
    <t>ACT-08545</t>
  </si>
  <si>
    <t>ACT-08546</t>
  </si>
  <si>
    <t>ACT-08547</t>
  </si>
  <si>
    <t>ACT-08548</t>
  </si>
  <si>
    <t>ACT-08549</t>
  </si>
  <si>
    <t>ACT-08550</t>
  </si>
  <si>
    <t>ACT-08551</t>
  </si>
  <si>
    <t>ACT-08552</t>
  </si>
  <si>
    <t>ACT-08553</t>
  </si>
  <si>
    <t>ACT-08554</t>
  </si>
  <si>
    <t>ACT-08555</t>
  </si>
  <si>
    <t>ACT-08556</t>
  </si>
  <si>
    <t>ACT-08557</t>
  </si>
  <si>
    <t>ACT-08558</t>
  </si>
  <si>
    <t>ACT-08559</t>
  </si>
  <si>
    <t>ACT-08560</t>
  </si>
  <si>
    <t>ACT-08561</t>
  </si>
  <si>
    <t>ACT-08562</t>
  </si>
  <si>
    <t>ACT-08563</t>
  </si>
  <si>
    <t>ACT-08564</t>
  </si>
  <si>
    <t>ACT-08565</t>
  </si>
  <si>
    <t>ACT-08566</t>
  </si>
  <si>
    <t>ACT-08567</t>
  </si>
  <si>
    <t>ACT-08568</t>
  </si>
  <si>
    <t>ACT-08569</t>
  </si>
  <si>
    <t>ACT-08570</t>
  </si>
  <si>
    <t>ACT-08571</t>
  </si>
  <si>
    <t>ACT-08572</t>
  </si>
  <si>
    <t>ACT-08573</t>
  </si>
  <si>
    <t>ACT-08574</t>
  </si>
  <si>
    <t>ACT-08575</t>
  </si>
  <si>
    <t>ACT-08576</t>
  </si>
  <si>
    <t>ACT-08577</t>
  </si>
  <si>
    <t>ACT-08578</t>
  </si>
  <si>
    <t>ACT-08579</t>
  </si>
  <si>
    <t>ACT-08580</t>
  </si>
  <si>
    <t>ACT-08581</t>
  </si>
  <si>
    <t>ACT-08582</t>
  </si>
  <si>
    <t>ACT-08583</t>
  </si>
  <si>
    <t>ACT-08584</t>
  </si>
  <si>
    <t>ACT-08585</t>
  </si>
  <si>
    <t>ACT-08586</t>
  </si>
  <si>
    <t>ACT-08587</t>
  </si>
  <si>
    <t>ACT-08588</t>
  </si>
  <si>
    <t>ACT-08589</t>
  </si>
  <si>
    <t>ACT-08590</t>
  </si>
  <si>
    <t>ACT-08591</t>
  </si>
  <si>
    <t>ACT-08592</t>
  </si>
  <si>
    <t>ACT-08593</t>
  </si>
  <si>
    <t>ACT-08594</t>
  </si>
  <si>
    <t>ACT-08595</t>
  </si>
  <si>
    <t>ACT-08596</t>
  </si>
  <si>
    <t>ACT-08597</t>
  </si>
  <si>
    <t>ACT-08598</t>
  </si>
  <si>
    <t>ACT-08599</t>
  </si>
  <si>
    <t>ACT-08600</t>
  </si>
  <si>
    <t>ACT-08601</t>
  </si>
  <si>
    <t>ACT-08602</t>
  </si>
  <si>
    <t>ACT-08603</t>
  </si>
  <si>
    <t>ACT-08604</t>
  </si>
  <si>
    <t>ACT-08605</t>
  </si>
  <si>
    <t>ACT-08606</t>
  </si>
  <si>
    <t>ACT-08607</t>
  </si>
  <si>
    <t>ACT-08608</t>
  </si>
  <si>
    <t>ACT-08609</t>
  </si>
  <si>
    <t>ACT-08610</t>
  </si>
  <si>
    <t>ACT-08611</t>
  </si>
  <si>
    <t>ACT-08612</t>
  </si>
  <si>
    <t>ACT-08613</t>
  </si>
  <si>
    <t>ACT-08614</t>
  </si>
  <si>
    <t>ACT-08615</t>
  </si>
  <si>
    <t>ACT-08616</t>
  </si>
  <si>
    <t>ACT-08617</t>
  </si>
  <si>
    <t>ACT-08618</t>
  </si>
  <si>
    <t>ACT-08619</t>
  </si>
  <si>
    <t>ACT-08620</t>
  </si>
  <si>
    <t>ACT-08621</t>
  </si>
  <si>
    <t>ACT-08622</t>
  </si>
  <si>
    <t>ACT-08623</t>
  </si>
  <si>
    <t>ACT-08624</t>
  </si>
  <si>
    <t>ACT-08625</t>
  </si>
  <si>
    <t>ACT-08626</t>
  </si>
  <si>
    <t>ACT-08627</t>
  </si>
  <si>
    <t>ACT-08628</t>
  </si>
  <si>
    <t>ACT-08629</t>
  </si>
  <si>
    <t>ACT-08630</t>
  </si>
  <si>
    <t>ACT-08631</t>
  </si>
  <si>
    <t>ACT-08632</t>
  </si>
  <si>
    <t>ACT-08633</t>
  </si>
  <si>
    <t>ACT-08634</t>
  </si>
  <si>
    <t>ACT-08635</t>
  </si>
  <si>
    <t>ACT-08636</t>
  </si>
  <si>
    <t>ACT-08637</t>
  </si>
  <si>
    <t>ACT-08638</t>
  </si>
  <si>
    <t>ACT-08639</t>
  </si>
  <si>
    <t>ACT-08640</t>
  </si>
  <si>
    <t>ACT-08641</t>
  </si>
  <si>
    <t>ACT-08642</t>
  </si>
  <si>
    <t>ACT-08643</t>
  </si>
  <si>
    <t>ACT-08644</t>
  </si>
  <si>
    <t>ACT-08645</t>
  </si>
  <si>
    <t>ACT-08646</t>
  </si>
  <si>
    <t>ACT-08647</t>
  </si>
  <si>
    <t>ACT-08648</t>
  </si>
  <si>
    <t>ACT-08649</t>
  </si>
  <si>
    <t>ACT-08650</t>
  </si>
  <si>
    <t>ACT-08651</t>
  </si>
  <si>
    <t>ACT-08652</t>
  </si>
  <si>
    <t>ACT-08653</t>
  </si>
  <si>
    <t>ACT-08654</t>
  </si>
  <si>
    <t>ACT-08655</t>
  </si>
  <si>
    <t>ACT-08656</t>
  </si>
  <si>
    <t>ACT-08657</t>
  </si>
  <si>
    <t>ACT-08658</t>
  </si>
  <si>
    <t>ACT-08659</t>
  </si>
  <si>
    <t>ACT-08660</t>
  </si>
  <si>
    <t>ACT-08661</t>
  </si>
  <si>
    <t>ACT-08662</t>
  </si>
  <si>
    <t>ACT-08663</t>
  </si>
  <si>
    <t>ACT-08664</t>
  </si>
  <si>
    <t>ACT-08665</t>
  </si>
  <si>
    <t>ACT-08666</t>
  </si>
  <si>
    <t>ACT-08667</t>
  </si>
  <si>
    <t>ACT-08668</t>
  </si>
  <si>
    <t>ACT-08669</t>
  </si>
  <si>
    <t>ACT-08670</t>
  </si>
  <si>
    <t>ACT-08671</t>
  </si>
  <si>
    <t>ACT-08672</t>
  </si>
  <si>
    <t>ACT-08673</t>
  </si>
  <si>
    <t>ACT-08674</t>
  </si>
  <si>
    <t>ACT-08675</t>
  </si>
  <si>
    <t>ACT-08676</t>
  </si>
  <si>
    <t>ACT-08677</t>
  </si>
  <si>
    <t>ACT-08678</t>
  </si>
  <si>
    <t>ACT-08679</t>
  </si>
  <si>
    <t>ACT-08680</t>
  </si>
  <si>
    <t>ACT-08681</t>
  </si>
  <si>
    <t>ACT-08682</t>
  </si>
  <si>
    <t>ACT-08683</t>
  </si>
  <si>
    <t>ACT-08684</t>
  </si>
  <si>
    <t>ACT-08685</t>
  </si>
  <si>
    <t>ACT-08686</t>
  </si>
  <si>
    <t>ACT-08687</t>
  </si>
  <si>
    <t>ACT-08688</t>
  </si>
  <si>
    <t>ACT-08689</t>
  </si>
  <si>
    <t>ACT-08690</t>
  </si>
  <si>
    <t>ACT-08691</t>
  </si>
  <si>
    <t>ACT-08692</t>
  </si>
  <si>
    <t>ACT-08693</t>
  </si>
  <si>
    <t>ACT-08694</t>
  </si>
  <si>
    <t>ACT-08695</t>
  </si>
  <si>
    <t>ACT-08696</t>
  </si>
  <si>
    <t>ACT-08697</t>
  </si>
  <si>
    <t>ACT-08698</t>
  </si>
  <si>
    <t>ACT-08699</t>
  </si>
  <si>
    <t>ACT-08700</t>
  </si>
  <si>
    <t>ACT-08701</t>
  </si>
  <si>
    <t>ACT-08702</t>
  </si>
  <si>
    <t>ACT-08703</t>
  </si>
  <si>
    <t>ACT-08704</t>
  </si>
  <si>
    <t>ACT-08705</t>
  </si>
  <si>
    <t>ACT-08706</t>
  </si>
  <si>
    <t>ACT-08707</t>
  </si>
  <si>
    <t>ACT-08708</t>
  </si>
  <si>
    <t>ACT-08709</t>
  </si>
  <si>
    <t>ACT-08710</t>
  </si>
  <si>
    <t>ACT-08711</t>
  </si>
  <si>
    <t>ACT-08712</t>
  </si>
  <si>
    <t>ACT-08713</t>
  </si>
  <si>
    <t>ACT-08714</t>
  </si>
  <si>
    <t>ACT-08715</t>
  </si>
  <si>
    <t>ACT-08716</t>
  </si>
  <si>
    <t>ACT-08717</t>
  </si>
  <si>
    <t>ACT-08718</t>
  </si>
  <si>
    <t>ACT-08719</t>
  </si>
  <si>
    <t>ACT-08720</t>
  </si>
  <si>
    <t>ACT-08721</t>
  </si>
  <si>
    <t>ACT-08722</t>
  </si>
  <si>
    <t>ACT-08723</t>
  </si>
  <si>
    <t>ACT-08724</t>
  </si>
  <si>
    <t>ACT-08725</t>
  </si>
  <si>
    <t>ACT-08726</t>
  </si>
  <si>
    <t>ACT-08727</t>
  </si>
  <si>
    <t>ACT-08728</t>
  </si>
  <si>
    <t>ACT-08729</t>
  </si>
  <si>
    <t>ACT-08730</t>
  </si>
  <si>
    <t>ACT-08731</t>
  </si>
  <si>
    <t>ACT-08732</t>
  </si>
  <si>
    <t>ACT-08733</t>
  </si>
  <si>
    <t>ACT-08734</t>
  </si>
  <si>
    <t>ACT-08735</t>
  </si>
  <si>
    <t>ACT-08736</t>
  </si>
  <si>
    <t>ACT-08737</t>
  </si>
  <si>
    <t>ACT-08738</t>
  </si>
  <si>
    <t>ACT-08739</t>
  </si>
  <si>
    <t>ACT-08740</t>
  </si>
  <si>
    <t>ACT-08741</t>
  </si>
  <si>
    <t>ACT-08742</t>
  </si>
  <si>
    <t>ACT-08743</t>
  </si>
  <si>
    <t>ACT-08744</t>
  </si>
  <si>
    <t>ACT-08745</t>
  </si>
  <si>
    <t>ACT-08746</t>
  </si>
  <si>
    <t>ACT-08747</t>
  </si>
  <si>
    <t>ACT-08748</t>
  </si>
  <si>
    <t>ACT-08749</t>
  </si>
  <si>
    <t>ACT-08750</t>
  </si>
  <si>
    <t>ACT-08751</t>
  </si>
  <si>
    <t>ACT-08752</t>
  </si>
  <si>
    <t>ACT-08753</t>
  </si>
  <si>
    <t>ACT-08754</t>
  </si>
  <si>
    <t>ACT-08755</t>
  </si>
  <si>
    <t>ACT-08756</t>
  </si>
  <si>
    <t>ACT-08757</t>
  </si>
  <si>
    <t>ACT-08758</t>
  </si>
  <si>
    <t>ACT-08759</t>
  </si>
  <si>
    <t>ACT-08760</t>
  </si>
  <si>
    <t>ACT-08761</t>
  </si>
  <si>
    <t>ACT-08762</t>
  </si>
  <si>
    <t>ACT-08763</t>
  </si>
  <si>
    <t>ACT-08764</t>
  </si>
  <si>
    <t>ACT-08765</t>
  </si>
  <si>
    <t>ACT-08766</t>
  </si>
  <si>
    <t>ACT-08767</t>
  </si>
  <si>
    <t>ACT-08768</t>
  </si>
  <si>
    <t>ACT-08769</t>
  </si>
  <si>
    <t>ACT-08770</t>
  </si>
  <si>
    <t>ACT-08771</t>
  </si>
  <si>
    <t>ACT-08772</t>
  </si>
  <si>
    <t>ACT-08773</t>
  </si>
  <si>
    <t>ACT-08774</t>
  </si>
  <si>
    <t>ACT-08775</t>
  </si>
  <si>
    <t>ACT-08776</t>
  </si>
  <si>
    <t>ACT-08777</t>
  </si>
  <si>
    <t>ACT-08778</t>
  </si>
  <si>
    <t>ACT-08779</t>
  </si>
  <si>
    <t>ACT-08780</t>
  </si>
  <si>
    <t>ACT-08781</t>
  </si>
  <si>
    <t>ACT-08782</t>
  </si>
  <si>
    <t>ACT-08783</t>
  </si>
  <si>
    <t>ACT-08784</t>
  </si>
  <si>
    <t>ACT-08785</t>
  </si>
  <si>
    <t>ACT-08786</t>
  </si>
  <si>
    <t>ACT-08787</t>
  </si>
  <si>
    <t>ACT-08788</t>
  </si>
  <si>
    <t>ACT-08789</t>
  </si>
  <si>
    <t>ACT-08790</t>
  </si>
  <si>
    <t>ACT-08791</t>
  </si>
  <si>
    <t>ACT-08792</t>
  </si>
  <si>
    <t>ACT-08793</t>
  </si>
  <si>
    <t>ACT-08794</t>
  </si>
  <si>
    <t>ACT-08795</t>
  </si>
  <si>
    <t>ACT-08796</t>
  </si>
  <si>
    <t>ACT-08797</t>
  </si>
  <si>
    <t>ACT-08798</t>
  </si>
  <si>
    <t>ACT-08799</t>
  </si>
  <si>
    <t>ACT-08800</t>
  </si>
  <si>
    <t>ACT-08801</t>
  </si>
  <si>
    <t>ACT-08802</t>
  </si>
  <si>
    <t>ACT-08803</t>
  </si>
  <si>
    <t>ACT-08804</t>
  </si>
  <si>
    <t>ACT-08805</t>
  </si>
  <si>
    <t>ACT-08806</t>
  </si>
  <si>
    <t>ACT-08807</t>
  </si>
  <si>
    <t>ACT-08808</t>
  </si>
  <si>
    <t>ACT-08809</t>
  </si>
  <si>
    <t>ACT-08810</t>
  </si>
  <si>
    <t>ACT-08811</t>
  </si>
  <si>
    <t>ACT-08812</t>
  </si>
  <si>
    <t>ACT-08813</t>
  </si>
  <si>
    <t>ACT-08814</t>
  </si>
  <si>
    <t>ACT-08815</t>
  </si>
  <si>
    <t>ACT-08816</t>
  </si>
  <si>
    <t>ACT-08817</t>
  </si>
  <si>
    <t>ACT-08818</t>
  </si>
  <si>
    <t>ACT-08819</t>
  </si>
  <si>
    <t>ACT-08820</t>
  </si>
  <si>
    <t>ACT-08821</t>
  </si>
  <si>
    <t>ACT-08822</t>
  </si>
  <si>
    <t>ACT-08823</t>
  </si>
  <si>
    <t>ACT-08824</t>
  </si>
  <si>
    <t>ACT-08825</t>
  </si>
  <si>
    <t>ACT-08826</t>
  </si>
  <si>
    <t>ACT-08827</t>
  </si>
  <si>
    <t>ACT-08828</t>
  </si>
  <si>
    <t>ACT-08829</t>
  </si>
  <si>
    <t>ACT-08830</t>
  </si>
  <si>
    <t>ACT-08831</t>
  </si>
  <si>
    <t>ACT-08832</t>
  </si>
  <si>
    <t>ACT-08833</t>
  </si>
  <si>
    <t>ACT-08834</t>
  </si>
  <si>
    <t>ACT-08835</t>
  </si>
  <si>
    <t>ACT-08836</t>
  </si>
  <si>
    <t>ACT-08837</t>
  </si>
  <si>
    <t>ACT-08838</t>
  </si>
  <si>
    <t>ACT-08839</t>
  </si>
  <si>
    <t>ACT-08840</t>
  </si>
  <si>
    <t>ACT-08841</t>
  </si>
  <si>
    <t>ACT-08842</t>
  </si>
  <si>
    <t>ACT-08843</t>
  </si>
  <si>
    <t>ACT-08844</t>
  </si>
  <si>
    <t>ACT-08845</t>
  </si>
  <si>
    <t>ACT-08846</t>
  </si>
  <si>
    <t>ACT-08847</t>
  </si>
  <si>
    <t>ACT-08848</t>
  </si>
  <si>
    <t>ACT-08849</t>
  </si>
  <si>
    <t>ACT-08850</t>
  </si>
  <si>
    <t>ACT-08851</t>
  </si>
  <si>
    <t>ACT-08852</t>
  </si>
  <si>
    <t>ACT-08853</t>
  </si>
  <si>
    <t>ACT-08854</t>
  </si>
  <si>
    <t>ACT-08855</t>
  </si>
  <si>
    <t>ACT-08856</t>
  </si>
  <si>
    <t>ACT-08857</t>
  </si>
  <si>
    <t>ACT-08858</t>
  </si>
  <si>
    <t>ACT-08859</t>
  </si>
  <si>
    <t>ACT-08860</t>
  </si>
  <si>
    <t>ACT-08861</t>
  </si>
  <si>
    <t>ACT-08862</t>
  </si>
  <si>
    <t>ACT-08863</t>
  </si>
  <si>
    <t>ACT-08864</t>
  </si>
  <si>
    <t>ACT-08865</t>
  </si>
  <si>
    <t>ACT-08866</t>
  </si>
  <si>
    <t>ACT-08867</t>
  </si>
  <si>
    <t>ACT-08868</t>
  </si>
  <si>
    <t>ACT-08869</t>
  </si>
  <si>
    <t>ACT-08870</t>
  </si>
  <si>
    <t>ACT-08871</t>
  </si>
  <si>
    <t>ACT-08872</t>
  </si>
  <si>
    <t>ACT-08873</t>
  </si>
  <si>
    <t>ACT-08874</t>
  </si>
  <si>
    <t>ACT-08875</t>
  </si>
  <si>
    <t>ACT-08876</t>
  </si>
  <si>
    <t>ACT-08877</t>
  </si>
  <si>
    <t>ACT-08878</t>
  </si>
  <si>
    <t>ACT-08879</t>
  </si>
  <si>
    <t>ACT-08880</t>
  </si>
  <si>
    <t>ACT-08881</t>
  </si>
  <si>
    <t>ACT-08882</t>
  </si>
  <si>
    <t>ACT-08883</t>
  </si>
  <si>
    <t>ACT-08884</t>
  </si>
  <si>
    <t>ACT-08885</t>
  </si>
  <si>
    <t>ACT-08886</t>
  </si>
  <si>
    <t>ACT-08887</t>
  </si>
  <si>
    <t>ACT-08888</t>
  </si>
  <si>
    <t>ACT-08889</t>
  </si>
  <si>
    <t>ACT-08890</t>
  </si>
  <si>
    <t>ACT-08891</t>
  </si>
  <si>
    <t>ACT-08892</t>
  </si>
  <si>
    <t>ACT-08893</t>
  </si>
  <si>
    <t>ACT-08894</t>
  </si>
  <si>
    <t>ACT-08895</t>
  </si>
  <si>
    <t>ACT-08896</t>
  </si>
  <si>
    <t>ACT-08897</t>
  </si>
  <si>
    <t>ACT-08898</t>
  </si>
  <si>
    <t>ACT-08899</t>
  </si>
  <si>
    <t>ACT-08900</t>
  </si>
  <si>
    <t>ACT-08901</t>
  </si>
  <si>
    <t>ACT-08902</t>
  </si>
  <si>
    <t>ACT-08903</t>
  </si>
  <si>
    <t>ACT-08904</t>
  </si>
  <si>
    <t>ACT-08905</t>
  </si>
  <si>
    <t>ACT-08906</t>
  </si>
  <si>
    <t>ACT-08907</t>
  </si>
  <si>
    <t>ACT-08908</t>
  </si>
  <si>
    <t>ACT-08909</t>
  </si>
  <si>
    <t>ACT-08910</t>
  </si>
  <si>
    <t>ACT-08911</t>
  </si>
  <si>
    <t>ACT-08912</t>
  </si>
  <si>
    <t>ACT-08913</t>
  </si>
  <si>
    <t>ACT-08914</t>
  </si>
  <si>
    <t>ACT-08915</t>
  </si>
  <si>
    <t>ACT-08916</t>
  </si>
  <si>
    <t>ACT-08917</t>
  </si>
  <si>
    <t>ACT-08918</t>
  </si>
  <si>
    <t>ACT-08919</t>
  </si>
  <si>
    <t>ACT-08920</t>
  </si>
  <si>
    <t>ACT-08921</t>
  </si>
  <si>
    <t>ACT-08922</t>
  </si>
  <si>
    <t>ACT-08923</t>
  </si>
  <si>
    <t>ACT-08924</t>
  </si>
  <si>
    <t>ACT-08925</t>
  </si>
  <si>
    <t>ACT-08926</t>
  </si>
  <si>
    <t>ACT-08927</t>
  </si>
  <si>
    <t>ACT-08928</t>
  </si>
  <si>
    <t>ACT-08929</t>
  </si>
  <si>
    <t>ACT-08930</t>
  </si>
  <si>
    <t>ACT-08931</t>
  </si>
  <si>
    <t>ACT-08932</t>
  </si>
  <si>
    <t>ACT-08933</t>
  </si>
  <si>
    <t>ACT-08934</t>
  </si>
  <si>
    <t>ACT-08935</t>
  </si>
  <si>
    <t>ACT-08936</t>
  </si>
  <si>
    <t>ACT-08937</t>
  </si>
  <si>
    <t>ACT-08938</t>
  </si>
  <si>
    <t>ACT-08939</t>
  </si>
  <si>
    <t>ACT-08940</t>
  </si>
  <si>
    <t>ACT-08941</t>
  </si>
  <si>
    <t>ACT-08942</t>
  </si>
  <si>
    <t>ACT-08943</t>
  </si>
  <si>
    <t>ACT-08944</t>
  </si>
  <si>
    <t>ACT-08945</t>
  </si>
  <si>
    <t>ACT-08946</t>
  </si>
  <si>
    <t>ACT-08947</t>
  </si>
  <si>
    <t>ACT-08948</t>
  </si>
  <si>
    <t>ACT-08949</t>
  </si>
  <si>
    <t>ACT-08950</t>
  </si>
  <si>
    <t>ACT-08951</t>
  </si>
  <si>
    <t>ACT-08952</t>
  </si>
  <si>
    <t>ACT-08953</t>
  </si>
  <si>
    <t>ACT-08954</t>
  </si>
  <si>
    <t>ACT-08955</t>
  </si>
  <si>
    <t>ACT-08956</t>
  </si>
  <si>
    <t>ACT-08957</t>
  </si>
  <si>
    <t>ACT-08958</t>
  </si>
  <si>
    <t>ACT-08959</t>
  </si>
  <si>
    <t>ACT-08960</t>
  </si>
  <si>
    <t>ACT-08961</t>
  </si>
  <si>
    <t>ACT-08962</t>
  </si>
  <si>
    <t>ACT-08963</t>
  </si>
  <si>
    <t>ACT-08964</t>
  </si>
  <si>
    <t>ACT-08965</t>
  </si>
  <si>
    <t>ACT-08966</t>
  </si>
  <si>
    <t>ACT-08967</t>
  </si>
  <si>
    <t>ACT-08968</t>
  </si>
  <si>
    <t>ACT-08969</t>
  </si>
  <si>
    <t>ACT-08970</t>
  </si>
  <si>
    <t>ACT-08971</t>
  </si>
  <si>
    <t>ACT-08972</t>
  </si>
  <si>
    <t>ACT-08973</t>
  </si>
  <si>
    <t>ACT-08974</t>
  </si>
  <si>
    <t>ACT-08975</t>
  </si>
  <si>
    <t>ACT-08976</t>
  </si>
  <si>
    <t>ACT-08977</t>
  </si>
  <si>
    <t>ACT-08978</t>
  </si>
  <si>
    <t>ACT-08979</t>
  </si>
  <si>
    <t>ACT-08980</t>
  </si>
  <si>
    <t>ACT-08981</t>
  </si>
  <si>
    <t>ACT-08982</t>
  </si>
  <si>
    <t>ACT-08983</t>
  </si>
  <si>
    <t>ACT-08984</t>
  </si>
  <si>
    <t>ACT-08985</t>
  </si>
  <si>
    <t>ACT-08986</t>
  </si>
  <si>
    <t>ACT-08987</t>
  </si>
  <si>
    <t>ACT-08988</t>
  </si>
  <si>
    <t>ACT-08989</t>
  </si>
  <si>
    <t>ACT-08990</t>
  </si>
  <si>
    <t>ACT-08991</t>
  </si>
  <si>
    <t>ACT-08992</t>
  </si>
  <si>
    <t>ACT-08993</t>
  </si>
  <si>
    <t>ACT-08994</t>
  </si>
  <si>
    <t>ACT-08995</t>
  </si>
  <si>
    <t>ACT-08996</t>
  </si>
  <si>
    <t>ACT-08997</t>
  </si>
  <si>
    <t>ACT-08998</t>
  </si>
  <si>
    <t>ACT-08999</t>
  </si>
  <si>
    <t>ACT-09000</t>
  </si>
  <si>
    <t>ACT-09001</t>
  </si>
  <si>
    <t>ACT-09002</t>
  </si>
  <si>
    <t>ACT-09003</t>
  </si>
  <si>
    <t>ACT-09004</t>
  </si>
  <si>
    <t>ACT-09005</t>
  </si>
  <si>
    <t>ACT-09006</t>
  </si>
  <si>
    <t>ACT-09007</t>
  </si>
  <si>
    <t>ACT-09008</t>
  </si>
  <si>
    <t>ACT-09009</t>
  </si>
  <si>
    <t>ACT-09010</t>
  </si>
  <si>
    <t>ACT-09011</t>
  </si>
  <si>
    <t>ACT-09012</t>
  </si>
  <si>
    <t>ACT-09013</t>
  </si>
  <si>
    <t>ACT-09014</t>
  </si>
  <si>
    <t>ACT-09015</t>
  </si>
  <si>
    <t>ACT-09016</t>
  </si>
  <si>
    <t>ACT-09017</t>
  </si>
  <si>
    <t>ACT-09018</t>
  </si>
  <si>
    <t>ACT-09019</t>
  </si>
  <si>
    <t>ACT-09020</t>
  </si>
  <si>
    <t>ACT-09021</t>
  </si>
  <si>
    <t>ACT-09022</t>
  </si>
  <si>
    <t>ACT-09023</t>
  </si>
  <si>
    <t>ACT-09024</t>
  </si>
  <si>
    <t>ACT-09025</t>
  </si>
  <si>
    <t>ACT-09026</t>
  </si>
  <si>
    <t>ACT-09027</t>
  </si>
  <si>
    <t>ACT-09028</t>
  </si>
  <si>
    <t>ACT-09029</t>
  </si>
  <si>
    <t>ACT-09030</t>
  </si>
  <si>
    <t>ACT-09031</t>
  </si>
  <si>
    <t>ACT-09032</t>
  </si>
  <si>
    <t>ACT-09033</t>
  </si>
  <si>
    <t>ACT-09034</t>
  </si>
  <si>
    <t>ACT-09035</t>
  </si>
  <si>
    <t>ACT-09036</t>
  </si>
  <si>
    <t>ACT-09037</t>
  </si>
  <si>
    <t>ACT-09038</t>
  </si>
  <si>
    <t>ACT-09039</t>
  </si>
  <si>
    <t>ACT-09040</t>
  </si>
  <si>
    <t>ACT-09041</t>
  </si>
  <si>
    <t>ACT-09042</t>
  </si>
  <si>
    <t>ACT-09043</t>
  </si>
  <si>
    <t>ACT-09044</t>
  </si>
  <si>
    <t>ACT-09045</t>
  </si>
  <si>
    <t>ACT-09046</t>
  </si>
  <si>
    <t>ACT-09047</t>
  </si>
  <si>
    <t>ACT-09048</t>
  </si>
  <si>
    <t>ACT-09049</t>
  </si>
  <si>
    <t>ACT-09050</t>
  </si>
  <si>
    <t>ACT-09051</t>
  </si>
  <si>
    <t>ACT-09052</t>
  </si>
  <si>
    <t>ACT-09053</t>
  </si>
  <si>
    <t>ACT-09054</t>
  </si>
  <si>
    <t>ACT-09055</t>
  </si>
  <si>
    <t>ACT-09056</t>
  </si>
  <si>
    <t>ACT-09057</t>
  </si>
  <si>
    <t>ACT-09058</t>
  </si>
  <si>
    <t>ACT-09059</t>
  </si>
  <si>
    <t>ACT-09060</t>
  </si>
  <si>
    <t>ACT-09061</t>
  </si>
  <si>
    <t>ACT-09062</t>
  </si>
  <si>
    <t>ACT-09063</t>
  </si>
  <si>
    <t>ACT-09064</t>
  </si>
  <si>
    <t>ACT-09065</t>
  </si>
  <si>
    <t>ACT-09066</t>
  </si>
  <si>
    <t>ACT-09067</t>
  </si>
  <si>
    <t>ACT-09068</t>
  </si>
  <si>
    <t>ACT-09069</t>
  </si>
  <si>
    <t>ACT-09070</t>
  </si>
  <si>
    <t>ACT-09071</t>
  </si>
  <si>
    <t>ACT-09072</t>
  </si>
  <si>
    <t>ACT-09073</t>
  </si>
  <si>
    <t>ACT-09074</t>
  </si>
  <si>
    <t>ACT-09075</t>
  </si>
  <si>
    <t>ACT-09076</t>
  </si>
  <si>
    <t>ACT-09077</t>
  </si>
  <si>
    <t>ACT-09078</t>
  </si>
  <si>
    <t>ACT-09079</t>
  </si>
  <si>
    <t>ACT-09080</t>
  </si>
  <si>
    <t>ACT-09081</t>
  </si>
  <si>
    <t>ACT-09082</t>
  </si>
  <si>
    <t>ACT-09083</t>
  </si>
  <si>
    <t>ACT-09084</t>
  </si>
  <si>
    <t>ACT-09085</t>
  </si>
  <si>
    <t>ACT-09086</t>
  </si>
  <si>
    <t>ACT-09087</t>
  </si>
  <si>
    <t>ACT-09088</t>
  </si>
  <si>
    <t>ACT-09089</t>
  </si>
  <si>
    <t>ACT-09090</t>
  </si>
  <si>
    <t>ACT-09091</t>
  </si>
  <si>
    <t>ACT-09092</t>
  </si>
  <si>
    <t>ACT-09093</t>
  </si>
  <si>
    <t>ACT-09094</t>
  </si>
  <si>
    <t>ACT-09095</t>
  </si>
  <si>
    <t>ACT-09096</t>
  </si>
  <si>
    <t>ACT-09097</t>
  </si>
  <si>
    <t>ACT-09098</t>
  </si>
  <si>
    <t>ACT-09099</t>
  </si>
  <si>
    <t>ACT-09100</t>
  </si>
  <si>
    <t>ACT-09101</t>
  </si>
  <si>
    <t>ACT-09102</t>
  </si>
  <si>
    <t>ACT-09103</t>
  </si>
  <si>
    <t>ACT-09104</t>
  </si>
  <si>
    <t>ACT-09105</t>
  </si>
  <si>
    <t>ACT-09106</t>
  </si>
  <si>
    <t>ACT-09107</t>
  </si>
  <si>
    <t>ACT-09108</t>
  </si>
  <si>
    <t>ACT-09109</t>
  </si>
  <si>
    <t>ACT-09110</t>
  </si>
  <si>
    <t>ACT-09111</t>
  </si>
  <si>
    <t>ACT-09112</t>
  </si>
  <si>
    <t>ACT-09113</t>
  </si>
  <si>
    <t>ACT-09114</t>
  </si>
  <si>
    <t>ACT-09115</t>
  </si>
  <si>
    <t>ACT-09116</t>
  </si>
  <si>
    <t>ACT-09117</t>
  </si>
  <si>
    <t>ACT-09118</t>
  </si>
  <si>
    <t>ACT-09119</t>
  </si>
  <si>
    <t>ACT-09120</t>
  </si>
  <si>
    <t>ACT-09121</t>
  </si>
  <si>
    <t>ACT-09122</t>
  </si>
  <si>
    <t>ACT-09123</t>
  </si>
  <si>
    <t>ACT-09124</t>
  </si>
  <si>
    <t>ACT-09125</t>
  </si>
  <si>
    <t>ACT-09126</t>
  </si>
  <si>
    <t>ACT-09127</t>
  </si>
  <si>
    <t>ACT-09128</t>
  </si>
  <si>
    <t>ACT-09129</t>
  </si>
  <si>
    <t>ACT-09130</t>
  </si>
  <si>
    <t>ACT-09131</t>
  </si>
  <si>
    <t>ACT-09132</t>
  </si>
  <si>
    <t>ACT-09133</t>
  </si>
  <si>
    <t>ACT-09134</t>
  </si>
  <si>
    <t>ACT-09135</t>
  </si>
  <si>
    <t>ACT-09136</t>
  </si>
  <si>
    <t>ACT-09137</t>
  </si>
  <si>
    <t>ACT-09138</t>
  </si>
  <si>
    <t>ACT-09139</t>
  </si>
  <si>
    <t>ACT-09140</t>
  </si>
  <si>
    <t>ACT-09141</t>
  </si>
  <si>
    <t>ACT-09142</t>
  </si>
  <si>
    <t>ACT-09143</t>
  </si>
  <si>
    <t>ACT-09144</t>
  </si>
  <si>
    <t>ACT-09145</t>
  </si>
  <si>
    <t>ACT-09146</t>
  </si>
  <si>
    <t>ACT-09147</t>
  </si>
  <si>
    <t>ACT-09148</t>
  </si>
  <si>
    <t>ACT-09149</t>
  </si>
  <si>
    <t>ACT-09150</t>
  </si>
  <si>
    <t>ACT-09151</t>
  </si>
  <si>
    <t>ACT-09152</t>
  </si>
  <si>
    <t>ACT-09153</t>
  </si>
  <si>
    <t>ACT-09154</t>
  </si>
  <si>
    <t>ACT-09155</t>
  </si>
  <si>
    <t>ACT-09156</t>
  </si>
  <si>
    <t>ACT-09157</t>
  </si>
  <si>
    <t>ACT-09158</t>
  </si>
  <si>
    <t>ACT-09159</t>
  </si>
  <si>
    <t>ACT-09160</t>
  </si>
  <si>
    <t>ACT-09161</t>
  </si>
  <si>
    <t>ACT-09162</t>
  </si>
  <si>
    <t>ACT-09163</t>
  </si>
  <si>
    <t>ACT-09164</t>
  </si>
  <si>
    <t>ACT-09165</t>
  </si>
  <si>
    <t>ACT-09166</t>
  </si>
  <si>
    <t>ACT-09167</t>
  </si>
  <si>
    <t>ACT-09168</t>
  </si>
  <si>
    <t>ACT-09169</t>
  </si>
  <si>
    <t>ACT-09170</t>
  </si>
  <si>
    <t>ACT-09171</t>
  </si>
  <si>
    <t>ACT-09172</t>
  </si>
  <si>
    <t>ACT-09173</t>
  </si>
  <si>
    <t>ACT-09174</t>
  </si>
  <si>
    <t>ACT-09175</t>
  </si>
  <si>
    <t>ACT-09176</t>
  </si>
  <si>
    <t>ACT-09177</t>
  </si>
  <si>
    <t>ACT-09178</t>
  </si>
  <si>
    <t>ACT-09179</t>
  </si>
  <si>
    <t>ACT-09180</t>
  </si>
  <si>
    <t>ACT-09181</t>
  </si>
  <si>
    <t>ACT-09182</t>
  </si>
  <si>
    <t>ACT-09183</t>
  </si>
  <si>
    <t>ACT-09184</t>
  </si>
  <si>
    <t>ACT-09185</t>
  </si>
  <si>
    <t>ACT-09186</t>
  </si>
  <si>
    <t>ACT-09187</t>
  </si>
  <si>
    <t>ACT-09188</t>
  </si>
  <si>
    <t>ACT-09189</t>
  </si>
  <si>
    <t>ACT-09190</t>
  </si>
  <si>
    <t>ACT-09191</t>
  </si>
  <si>
    <t>ACT-09192</t>
  </si>
  <si>
    <t>ACT-09193</t>
  </si>
  <si>
    <t>ACT-09194</t>
  </si>
  <si>
    <t>ACT-09195</t>
  </si>
  <si>
    <t>ACT-09196</t>
  </si>
  <si>
    <t>ACT-09197</t>
  </si>
  <si>
    <t>ACT-09198</t>
  </si>
  <si>
    <t>ACT-09199</t>
  </si>
  <si>
    <t>ACT-09200</t>
  </si>
  <si>
    <t>ACT-09201</t>
  </si>
  <si>
    <t>ACT-09202</t>
  </si>
  <si>
    <t>ACT-09203</t>
  </si>
  <si>
    <t>ACT-09204</t>
  </si>
  <si>
    <t>ACT-09205</t>
  </si>
  <si>
    <t>ACT-09206</t>
  </si>
  <si>
    <t>ACT-09207</t>
  </si>
  <si>
    <t>ACT-09208</t>
  </si>
  <si>
    <t>ACT-09209</t>
  </si>
  <si>
    <t>ACT-09210</t>
  </si>
  <si>
    <t>ACT-09211</t>
  </si>
  <si>
    <t>ACT-09212</t>
  </si>
  <si>
    <t>ACT-09213</t>
  </si>
  <si>
    <t>ACT-09214</t>
  </si>
  <si>
    <t>ACT-09215</t>
  </si>
  <si>
    <t>ACT-09216</t>
  </si>
  <si>
    <t>ACT-09217</t>
  </si>
  <si>
    <t>ACT-09218</t>
  </si>
  <si>
    <t>ACT-09219</t>
  </si>
  <si>
    <t>ACT-09220</t>
  </si>
  <si>
    <t>ACT-09221</t>
  </si>
  <si>
    <t>ACT-09222</t>
  </si>
  <si>
    <t>ACT-09223</t>
  </si>
  <si>
    <t>ACT-09224</t>
  </si>
  <si>
    <t>ACT-09225</t>
  </si>
  <si>
    <t>ACT-09226</t>
  </si>
  <si>
    <t>ACT-09227</t>
  </si>
  <si>
    <t>ACT-09228</t>
  </si>
  <si>
    <t>ACT-09229</t>
  </si>
  <si>
    <t>ACT-09230</t>
  </si>
  <si>
    <t>ACT-09231</t>
  </si>
  <si>
    <t>ACT-09232</t>
  </si>
  <si>
    <t>ACT-09233</t>
  </si>
  <si>
    <t>ACT-09234</t>
  </si>
  <si>
    <t>ACT-09235</t>
  </si>
  <si>
    <t>ACT-09236</t>
  </si>
  <si>
    <t>ACT-09237</t>
  </si>
  <si>
    <t>ACT-09238</t>
  </si>
  <si>
    <t>ACT-09239</t>
  </si>
  <si>
    <t>ACT-09240</t>
  </si>
  <si>
    <t>ACT-09241</t>
  </si>
  <si>
    <t>ACT-09242</t>
  </si>
  <si>
    <t>ACT-09243</t>
  </si>
  <si>
    <t>ACT-09244</t>
  </si>
  <si>
    <t>ACT-09245</t>
  </si>
  <si>
    <t>ACT-09246</t>
  </si>
  <si>
    <t>ACT-09247</t>
  </si>
  <si>
    <t>ACT-09248</t>
  </si>
  <si>
    <t>ACT-09249</t>
  </si>
  <si>
    <t>ACT-09250</t>
  </si>
  <si>
    <t>ACT-09251</t>
  </si>
  <si>
    <t>ACT-09252</t>
  </si>
  <si>
    <t>ACT-09253</t>
  </si>
  <si>
    <t>ACT-09254</t>
  </si>
  <si>
    <t>ACT-09255</t>
  </si>
  <si>
    <t>ACT-09256</t>
  </si>
  <si>
    <t>ACT-09257</t>
  </si>
  <si>
    <t>ACT-09258</t>
  </si>
  <si>
    <t>ACT-09259</t>
  </si>
  <si>
    <t>ACT-09260</t>
  </si>
  <si>
    <t>ACT-09261</t>
  </si>
  <si>
    <t>ACT-09262</t>
  </si>
  <si>
    <t>ACT-09263</t>
  </si>
  <si>
    <t>ACT-09264</t>
  </si>
  <si>
    <t>ACT-09265</t>
  </si>
  <si>
    <t>ACT-09266</t>
  </si>
  <si>
    <t>ACT-09267</t>
  </si>
  <si>
    <t>ACT-09268</t>
  </si>
  <si>
    <t>ACT-09269</t>
  </si>
  <si>
    <t>ACT-09270</t>
  </si>
  <si>
    <t>ACT-09271</t>
  </si>
  <si>
    <t>ACT-09272</t>
  </si>
  <si>
    <t>ACT-09273</t>
  </si>
  <si>
    <t>ACT-09274</t>
  </si>
  <si>
    <t>ACT-09275</t>
  </si>
  <si>
    <t>ACT-09276</t>
  </si>
  <si>
    <t>ACT-09277</t>
  </si>
  <si>
    <t>ACT-09278</t>
  </si>
  <si>
    <t>ACT-09279</t>
  </si>
  <si>
    <t>ACT-09280</t>
  </si>
  <si>
    <t>ACT-09281</t>
  </si>
  <si>
    <t>ACT-09282</t>
  </si>
  <si>
    <t>ACT-09283</t>
  </si>
  <si>
    <t>ACT-09284</t>
  </si>
  <si>
    <t>ACT-09285</t>
  </si>
  <si>
    <t>ACT-09286</t>
  </si>
  <si>
    <t>ACT-09287</t>
  </si>
  <si>
    <t>ACT-09288</t>
  </si>
  <si>
    <t>ACT-09289</t>
  </si>
  <si>
    <t>ACT-09290</t>
  </si>
  <si>
    <t>ACT-09291</t>
  </si>
  <si>
    <t>ACT-09292</t>
  </si>
  <si>
    <t>ACT-09293</t>
  </si>
  <si>
    <t>ACT-09294</t>
  </si>
  <si>
    <t>ACT-09295</t>
  </si>
  <si>
    <t>ACT-09296</t>
  </si>
  <si>
    <t>ACT-09297</t>
  </si>
  <si>
    <t>ACT-09298</t>
  </si>
  <si>
    <t>ACT-09299</t>
  </si>
  <si>
    <t>ACT-09300</t>
  </si>
  <si>
    <t>ACT-09301</t>
  </si>
  <si>
    <t>ACT-09302</t>
  </si>
  <si>
    <t>ACT-09303</t>
  </si>
  <si>
    <t>ACT-09304</t>
  </si>
  <si>
    <t>ACT-09305</t>
  </si>
  <si>
    <t>ACT-09306</t>
  </si>
  <si>
    <t>ACT-09307</t>
  </si>
  <si>
    <t>ACT-09308</t>
  </si>
  <si>
    <t>ACT-09309</t>
  </si>
  <si>
    <t>ACT-09310</t>
  </si>
  <si>
    <t>ACT-09311</t>
  </si>
  <si>
    <t>ACT-09312</t>
  </si>
  <si>
    <t>ACT-09313</t>
  </si>
  <si>
    <t>ACT-09314</t>
  </si>
  <si>
    <t>ACT-09315</t>
  </si>
  <si>
    <t>ACT-09316</t>
  </si>
  <si>
    <t>ACT-09317</t>
  </si>
  <si>
    <t>ACT-09318</t>
  </si>
  <si>
    <t>ACT-09319</t>
  </si>
  <si>
    <t>ACT-09320</t>
  </si>
  <si>
    <t>ACT-09321</t>
  </si>
  <si>
    <t>ACT-09322</t>
  </si>
  <si>
    <t>ACT-09323</t>
  </si>
  <si>
    <t>ACT-09324</t>
  </si>
  <si>
    <t>ACT-09325</t>
  </si>
  <si>
    <t>ACT-09326</t>
  </si>
  <si>
    <t>ACT-09327</t>
  </si>
  <si>
    <t>ACT-09328</t>
  </si>
  <si>
    <t>ACT-09329</t>
  </si>
  <si>
    <t>ACT-09330</t>
  </si>
  <si>
    <t>ACT-09331</t>
  </si>
  <si>
    <t>ACT-09332</t>
  </si>
  <si>
    <t>ACT-09333</t>
  </si>
  <si>
    <t>ACT-09334</t>
  </si>
  <si>
    <t>ACT-09335</t>
  </si>
  <si>
    <t>ACT-09336</t>
  </si>
  <si>
    <t>ACT-09337</t>
  </si>
  <si>
    <t>ACT-09338</t>
  </si>
  <si>
    <t>ACT-09339</t>
  </si>
  <si>
    <t>ACT-09340</t>
  </si>
  <si>
    <t>ACT-09341</t>
  </si>
  <si>
    <t>ACT-09342</t>
  </si>
  <si>
    <t>ACT-09343</t>
  </si>
  <si>
    <t>ACT-09344</t>
  </si>
  <si>
    <t>ACT-09345</t>
  </si>
  <si>
    <t>ACT-09346</t>
  </si>
  <si>
    <t>ACT-09347</t>
  </si>
  <si>
    <t>ACT-09348</t>
  </si>
  <si>
    <t>ACT-09349</t>
  </si>
  <si>
    <t>ACT-09350</t>
  </si>
  <si>
    <t>ACT-09351</t>
  </si>
  <si>
    <t>ACT-09352</t>
  </si>
  <si>
    <t>ACT-09353</t>
  </si>
  <si>
    <t>ACT-09354</t>
  </si>
  <si>
    <t>ACT-09355</t>
  </si>
  <si>
    <t>ACT-09356</t>
  </si>
  <si>
    <t>ACT-09357</t>
  </si>
  <si>
    <t>ACT-09358</t>
  </si>
  <si>
    <t>ACT-09359</t>
  </si>
  <si>
    <t>ACT-09360</t>
  </si>
  <si>
    <t>ACT-09361</t>
  </si>
  <si>
    <t>ACT-09362</t>
  </si>
  <si>
    <t>ACT-09363</t>
  </si>
  <si>
    <t>ACT-09364</t>
  </si>
  <si>
    <t>ACT-09365</t>
  </si>
  <si>
    <t>ACT-09366</t>
  </si>
  <si>
    <t>ACT-09367</t>
  </si>
  <si>
    <t>ACT-09368</t>
  </si>
  <si>
    <t>ACT-09369</t>
  </si>
  <si>
    <t>ACT-09370</t>
  </si>
  <si>
    <t>ACT-09371</t>
  </si>
  <si>
    <t>ACT-09372</t>
  </si>
  <si>
    <t>ACT-09373</t>
  </si>
  <si>
    <t>ACT-09374</t>
  </si>
  <si>
    <t>ACT-09375</t>
  </si>
  <si>
    <t>ACT-09376</t>
  </si>
  <si>
    <t>ACT-09377</t>
  </si>
  <si>
    <t>ACT-09378</t>
  </si>
  <si>
    <t>ACT-09379</t>
  </si>
  <si>
    <t>ACT-09380</t>
  </si>
  <si>
    <t>ACT-09381</t>
  </si>
  <si>
    <t>ACT-09382</t>
  </si>
  <si>
    <t>ACT-09383</t>
  </si>
  <si>
    <t>ACT-09384</t>
  </si>
  <si>
    <t>ACT-09385</t>
  </si>
  <si>
    <t>ACT-09386</t>
  </si>
  <si>
    <t>ACT-09387</t>
  </si>
  <si>
    <t>ACT-09388</t>
  </si>
  <si>
    <t>ACT-09389</t>
  </si>
  <si>
    <t>ACT-09390</t>
  </si>
  <si>
    <t>ACT-09391</t>
  </si>
  <si>
    <t>ACT-09392</t>
  </si>
  <si>
    <t>ACT-09393</t>
  </si>
  <si>
    <t>ACT-09394</t>
  </si>
  <si>
    <t>ACT-09395</t>
  </si>
  <si>
    <t>ACT-09396</t>
  </si>
  <si>
    <t>ACT-09397</t>
  </si>
  <si>
    <t>ACT-09398</t>
  </si>
  <si>
    <t>ACT-09399</t>
  </si>
  <si>
    <t>ACT-09400</t>
  </si>
  <si>
    <t>ACT-09401</t>
  </si>
  <si>
    <t>ACT-09402</t>
  </si>
  <si>
    <t>ACT-09403</t>
  </si>
  <si>
    <t>ACT-09404</t>
  </si>
  <si>
    <t>ACT-09405</t>
  </si>
  <si>
    <t>ACT-09406</t>
  </si>
  <si>
    <t>ACT-09407</t>
  </si>
  <si>
    <t>ACT-09408</t>
  </si>
  <si>
    <t>ACT-09409</t>
  </si>
  <si>
    <t>ACT-09410</t>
  </si>
  <si>
    <t>ACT-09411</t>
  </si>
  <si>
    <t>ACT-09412</t>
  </si>
  <si>
    <t>ACT-09413</t>
  </si>
  <si>
    <t>ACT-09414</t>
  </si>
  <si>
    <t>ACT-09415</t>
  </si>
  <si>
    <t>ACT-09416</t>
  </si>
  <si>
    <t>ACT-09417</t>
  </si>
  <si>
    <t>ACT-09418</t>
  </si>
  <si>
    <t>ACT-09419</t>
  </si>
  <si>
    <t>ACT-09420</t>
  </si>
  <si>
    <t>ACT-09421</t>
  </si>
  <si>
    <t>ACT-09422</t>
  </si>
  <si>
    <t>ACT-09423</t>
  </si>
  <si>
    <t>ACT-09424</t>
  </si>
  <si>
    <t>ACT-09425</t>
  </si>
  <si>
    <t>ACT-09426</t>
  </si>
  <si>
    <t>ACT-09427</t>
  </si>
  <si>
    <t>ACT-09428</t>
  </si>
  <si>
    <t>ACT-09429</t>
  </si>
  <si>
    <t>ACT-09430</t>
  </si>
  <si>
    <t>ACT-09431</t>
  </si>
  <si>
    <t>ACT-09432</t>
  </si>
  <si>
    <t>ACT-09433</t>
  </si>
  <si>
    <t>ACT-09434</t>
  </si>
  <si>
    <t>ACT-09435</t>
  </si>
  <si>
    <t>ACT-09436</t>
  </si>
  <si>
    <t>ACT-09437</t>
  </si>
  <si>
    <t>ACT-09438</t>
  </si>
  <si>
    <t>ACT-09439</t>
  </si>
  <si>
    <t>ACT-09440</t>
  </si>
  <si>
    <t>ACT-09441</t>
  </si>
  <si>
    <t>ACT-09442</t>
  </si>
  <si>
    <t>ACT-09443</t>
  </si>
  <si>
    <t>ACT-09444</t>
  </si>
  <si>
    <t>ACT-09445</t>
  </si>
  <si>
    <t>ACT-09446</t>
  </si>
  <si>
    <t>ACT-09447</t>
  </si>
  <si>
    <t>ACT-09448</t>
  </si>
  <si>
    <t>ACT-09449</t>
  </si>
  <si>
    <t>ACT-09450</t>
  </si>
  <si>
    <t>ACT-09451</t>
  </si>
  <si>
    <t>ACT-09452</t>
  </si>
  <si>
    <t>ACT-09453</t>
  </si>
  <si>
    <t>ACT-09454</t>
  </si>
  <si>
    <t>ACT-09455</t>
  </si>
  <si>
    <t>ACT-09456</t>
  </si>
  <si>
    <t>ACT-09457</t>
  </si>
  <si>
    <t>ACT-09458</t>
  </si>
  <si>
    <t>ACT-09459</t>
  </si>
  <si>
    <t>ACT-09460</t>
  </si>
  <si>
    <t>ACT-09461</t>
  </si>
  <si>
    <t>ACT-09462</t>
  </si>
  <si>
    <t>ACT-09463</t>
  </si>
  <si>
    <t>ACT-09464</t>
  </si>
  <si>
    <t>ACT-09465</t>
  </si>
  <si>
    <t>ACT-09466</t>
  </si>
  <si>
    <t>ACT-09467</t>
  </si>
  <si>
    <t>ACT-09468</t>
  </si>
  <si>
    <t>ACT-09469</t>
  </si>
  <si>
    <t>ACT-09470</t>
  </si>
  <si>
    <t>ACT-09471</t>
  </si>
  <si>
    <t>ACT-09472</t>
  </si>
  <si>
    <t>ACT-09473</t>
  </si>
  <si>
    <t>ACT-09474</t>
  </si>
  <si>
    <t>ACT-09475</t>
  </si>
  <si>
    <t>ACT-09476</t>
  </si>
  <si>
    <t>ACT-09477</t>
  </si>
  <si>
    <t>ACT-09478</t>
  </si>
  <si>
    <t>ACT-09479</t>
  </si>
  <si>
    <t>ACT-09480</t>
  </si>
  <si>
    <t>ACT-09481</t>
  </si>
  <si>
    <t>ACT-09482</t>
  </si>
  <si>
    <t>ACT-09483</t>
  </si>
  <si>
    <t>ACT-09484</t>
  </si>
  <si>
    <t>ACT-09485</t>
  </si>
  <si>
    <t>ACT-09486</t>
  </si>
  <si>
    <t>ACT-09487</t>
  </si>
  <si>
    <t>ACT-09488</t>
  </si>
  <si>
    <t>ACT-09489</t>
  </si>
  <si>
    <t>ACT-09490</t>
  </si>
  <si>
    <t>ACT-09491</t>
  </si>
  <si>
    <t>ACT-09492</t>
  </si>
  <si>
    <t>ACT-09493</t>
  </si>
  <si>
    <t>ACT-09494</t>
  </si>
  <si>
    <t>ACT-09495</t>
  </si>
  <si>
    <t>ACT-09496</t>
  </si>
  <si>
    <t>ACT-09497</t>
  </si>
  <si>
    <t>ACT-09498</t>
  </si>
  <si>
    <t>ACT-09499</t>
  </si>
  <si>
    <t>ACT-09500</t>
  </si>
  <si>
    <t>ACT-09501</t>
  </si>
  <si>
    <t>ACT-09502</t>
  </si>
  <si>
    <t>ACT-09503</t>
  </si>
  <si>
    <t>ACT-09504</t>
  </si>
  <si>
    <t>ACT-09505</t>
  </si>
  <si>
    <t>ACT-09506</t>
  </si>
  <si>
    <t>ACT-09507</t>
  </si>
  <si>
    <t>ACT-09508</t>
  </si>
  <si>
    <t>ACT-09509</t>
  </si>
  <si>
    <t>ACT-09510</t>
  </si>
  <si>
    <t>ACT-09511</t>
  </si>
  <si>
    <t>ACT-09512</t>
  </si>
  <si>
    <t>ACT-09513</t>
  </si>
  <si>
    <t>ACT-09514</t>
  </si>
  <si>
    <t>ACT-09515</t>
  </si>
  <si>
    <t>ACT-09516</t>
  </si>
  <si>
    <t>ACT-09517</t>
  </si>
  <si>
    <t>ACT-09518</t>
  </si>
  <si>
    <t>ACT-09519</t>
  </si>
  <si>
    <t>ACT-09520</t>
  </si>
  <si>
    <t>ACT-09521</t>
  </si>
  <si>
    <t>ACT-09522</t>
  </si>
  <si>
    <t>ACT-09523</t>
  </si>
  <si>
    <t>ACT-09524</t>
  </si>
  <si>
    <t>ACT-09525</t>
  </si>
  <si>
    <t>ACT-09526</t>
  </si>
  <si>
    <t>ACT-09527</t>
  </si>
  <si>
    <t>ACT-09528</t>
  </si>
  <si>
    <t>ACT-09529</t>
  </si>
  <si>
    <t>ACT-09530</t>
  </si>
  <si>
    <t>ACT-09531</t>
  </si>
  <si>
    <t>ACT-09532</t>
  </si>
  <si>
    <t>ACT-09533</t>
  </si>
  <si>
    <t>ACT-09534</t>
  </si>
  <si>
    <t>ACT-09535</t>
  </si>
  <si>
    <t>ACT-09536</t>
  </si>
  <si>
    <t>ACT-09537</t>
  </si>
  <si>
    <t>ACT-09538</t>
  </si>
  <si>
    <t>ACT-09539</t>
  </si>
  <si>
    <t>ACT-09540</t>
  </si>
  <si>
    <t>ACT-09541</t>
  </si>
  <si>
    <t>ACT-09542</t>
  </si>
  <si>
    <t>ACT-09543</t>
  </si>
  <si>
    <t>ACT-09544</t>
  </si>
  <si>
    <t>ACT-09545</t>
  </si>
  <si>
    <t>ACT-09546</t>
  </si>
  <si>
    <t>ACT-09547</t>
  </si>
  <si>
    <t>ACT-09548</t>
  </si>
  <si>
    <t>ACT-09549</t>
  </si>
  <si>
    <t>ACT-09550</t>
  </si>
  <si>
    <t>ACT-09551</t>
  </si>
  <si>
    <t>ACT-09552</t>
  </si>
  <si>
    <t>ACT-09553</t>
  </si>
  <si>
    <t>ACT-09554</t>
  </si>
  <si>
    <t>ACT-09555</t>
  </si>
  <si>
    <t>ACT-09556</t>
  </si>
  <si>
    <t>ACT-09557</t>
  </si>
  <si>
    <t>ACT-09558</t>
  </si>
  <si>
    <t>ACT-09559</t>
  </si>
  <si>
    <t>ACT-09560</t>
  </si>
  <si>
    <t>ACT-09561</t>
  </si>
  <si>
    <t>ACT-09562</t>
  </si>
  <si>
    <t>ACT-09563</t>
  </si>
  <si>
    <t>ACT-09564</t>
  </si>
  <si>
    <t>ACT-09565</t>
  </si>
  <si>
    <t>ACT-09566</t>
  </si>
  <si>
    <t>ACT-09567</t>
  </si>
  <si>
    <t>ACT-09568</t>
  </si>
  <si>
    <t>ACT-09569</t>
  </si>
  <si>
    <t>ACT-09570</t>
  </si>
  <si>
    <t>ACT-09571</t>
  </si>
  <si>
    <t>ACT-09572</t>
  </si>
  <si>
    <t>ACT-09573</t>
  </si>
  <si>
    <t>ACT-09574</t>
  </si>
  <si>
    <t>ACT-09575</t>
  </si>
  <si>
    <t>ACT-09576</t>
  </si>
  <si>
    <t>ACT-09577</t>
  </si>
  <si>
    <t>ACT-09578</t>
  </si>
  <si>
    <t>ACT-09579</t>
  </si>
  <si>
    <t>ACT-09580</t>
  </si>
  <si>
    <t>ACT-09581</t>
  </si>
  <si>
    <t>ACT-09582</t>
  </si>
  <si>
    <t>ACT-09583</t>
  </si>
  <si>
    <t>ACT-09584</t>
  </si>
  <si>
    <t>ACT-09585</t>
  </si>
  <si>
    <t>ACT-09586</t>
  </si>
  <si>
    <t>ACT-09587</t>
  </si>
  <si>
    <t>ACT-09588</t>
  </si>
  <si>
    <t>ACT-09589</t>
  </si>
  <si>
    <t>ACT-09590</t>
  </si>
  <si>
    <t>ACT-09591</t>
  </si>
  <si>
    <t>ACT-09592</t>
  </si>
  <si>
    <t>ACT-09593</t>
  </si>
  <si>
    <t>ACT-09594</t>
  </si>
  <si>
    <t>ACT-09595</t>
  </si>
  <si>
    <t>ACT-09596</t>
  </si>
  <si>
    <t>ACT-09597</t>
  </si>
  <si>
    <t>ACT-09598</t>
  </si>
  <si>
    <t>ACT-09599</t>
  </si>
  <si>
    <t>ACT-09600</t>
  </si>
  <si>
    <t>ACT-09601</t>
  </si>
  <si>
    <t>ACT-09602</t>
  </si>
  <si>
    <t>ACT-09603</t>
  </si>
  <si>
    <t>ACT-09604</t>
  </si>
  <si>
    <t>ACT-09605</t>
  </si>
  <si>
    <t>ACT-09606</t>
  </si>
  <si>
    <t>ACT-09607</t>
  </si>
  <si>
    <t>ACT-09608</t>
  </si>
  <si>
    <t>ACT-09609</t>
  </si>
  <si>
    <t>ACT-09610</t>
  </si>
  <si>
    <t>ACT-09611</t>
  </si>
  <si>
    <t>ACT-09612</t>
  </si>
  <si>
    <t>ACT-09613</t>
  </si>
  <si>
    <t>ACT-09614</t>
  </si>
  <si>
    <t>ACT-09615</t>
  </si>
  <si>
    <t>ACT-09616</t>
  </si>
  <si>
    <t>ACT-09617</t>
  </si>
  <si>
    <t>ACT-09618</t>
  </si>
  <si>
    <t>ACT-09619</t>
  </si>
  <si>
    <t>ACT-09620</t>
  </si>
  <si>
    <t>ACT-09621</t>
  </si>
  <si>
    <t>ACT-09622</t>
  </si>
  <si>
    <t>ACT-09623</t>
  </si>
  <si>
    <t>ACT-09624</t>
  </si>
  <si>
    <t>ACT-09625</t>
  </si>
  <si>
    <t>ACT-09626</t>
  </si>
  <si>
    <t>ACT-09627</t>
  </si>
  <si>
    <t>ACT-09628</t>
  </si>
  <si>
    <t>ACT-09629</t>
  </si>
  <si>
    <t>ACT-09630</t>
  </si>
  <si>
    <t>ACT-09631</t>
  </si>
  <si>
    <t>ACT-09632</t>
  </si>
  <si>
    <t>ACT-09633</t>
  </si>
  <si>
    <t>ACT-09634</t>
  </si>
  <si>
    <t>ACT-09635</t>
  </si>
  <si>
    <t>ACT-09636</t>
  </si>
  <si>
    <t>ACT-09637</t>
  </si>
  <si>
    <t>ACT-09638</t>
  </si>
  <si>
    <t>ACT-09639</t>
  </si>
  <si>
    <t>ACT-09640</t>
  </si>
  <si>
    <t>ACT-09641</t>
  </si>
  <si>
    <t>ACT-09642</t>
  </si>
  <si>
    <t>ACT-09643</t>
  </si>
  <si>
    <t>ACT-09644</t>
  </si>
  <si>
    <t>ACT-09645</t>
  </si>
  <si>
    <t>ACT-09646</t>
  </si>
  <si>
    <t>ACT-09647</t>
  </si>
  <si>
    <t>ACT-09648</t>
  </si>
  <si>
    <t>ACT-09649</t>
  </si>
  <si>
    <t>ACT-09650</t>
  </si>
  <si>
    <t>ACT-09651</t>
  </si>
  <si>
    <t>ACT-09652</t>
  </si>
  <si>
    <t>ACT-09653</t>
  </si>
  <si>
    <t>ACT-09654</t>
  </si>
  <si>
    <t>ACT-09655</t>
  </si>
  <si>
    <t>ACT-09656</t>
  </si>
  <si>
    <t>ACT-09657</t>
  </si>
  <si>
    <t>ACT-09658</t>
  </si>
  <si>
    <t>ACT-09659</t>
  </si>
  <si>
    <t>ACT-09660</t>
  </si>
  <si>
    <t>ACT-09661</t>
  </si>
  <si>
    <t>ACT-09662</t>
  </si>
  <si>
    <t>ACT-09663</t>
  </si>
  <si>
    <t>ACT-09664</t>
  </si>
  <si>
    <t>ACT-09665</t>
  </si>
  <si>
    <t>ACT-09666</t>
  </si>
  <si>
    <t>ACT-09667</t>
  </si>
  <si>
    <t>ACT-09668</t>
  </si>
  <si>
    <t>ACT-09669</t>
  </si>
  <si>
    <t>ACT-09670</t>
  </si>
  <si>
    <t>ACT-09671</t>
  </si>
  <si>
    <t>ACT-09672</t>
  </si>
  <si>
    <t>ACT-09673</t>
  </si>
  <si>
    <t>ACT-09674</t>
  </si>
  <si>
    <t>ACT-09675</t>
  </si>
  <si>
    <t>ACT-09676</t>
  </si>
  <si>
    <t>ACT-09677</t>
  </si>
  <si>
    <t>ACT-09678</t>
  </si>
  <si>
    <t>ACT-09679</t>
  </si>
  <si>
    <t>ACT-09680</t>
  </si>
  <si>
    <t>ACT-09681</t>
  </si>
  <si>
    <t>ACT-09682</t>
  </si>
  <si>
    <t>ACT-09683</t>
  </si>
  <si>
    <t>ACT-09684</t>
  </si>
  <si>
    <t>ACT-09685</t>
  </si>
  <si>
    <t>ACT-09686</t>
  </si>
  <si>
    <t>ACT-09687</t>
  </si>
  <si>
    <t>ACT-09688</t>
  </si>
  <si>
    <t>ACT-09689</t>
  </si>
  <si>
    <t>ACT-09690</t>
  </si>
  <si>
    <t>ACT-09691</t>
  </si>
  <si>
    <t>ACT-09692</t>
  </si>
  <si>
    <t>ACT-09693</t>
  </si>
  <si>
    <t>ACT-09694</t>
  </si>
  <si>
    <t>ACT-09695</t>
  </si>
  <si>
    <t>ACT-09696</t>
  </si>
  <si>
    <t>ACT-09697</t>
  </si>
  <si>
    <t>ACT-09698</t>
  </si>
  <si>
    <t>ACT-09699</t>
  </si>
  <si>
    <t>ACT-09700</t>
  </si>
  <si>
    <t>ACT-09701</t>
  </si>
  <si>
    <t>ACT-09702</t>
  </si>
  <si>
    <t>ACT-09703</t>
  </si>
  <si>
    <t>ACT-09704</t>
  </si>
  <si>
    <t>ACT-09705</t>
  </si>
  <si>
    <t>ACT-09706</t>
  </si>
  <si>
    <t>ACT-09707</t>
  </si>
  <si>
    <t>ACT-09708</t>
  </si>
  <si>
    <t>ACT-09709</t>
  </si>
  <si>
    <t>ACT-09710</t>
  </si>
  <si>
    <t>ACT-09711</t>
  </si>
  <si>
    <t>ACT-09712</t>
  </si>
  <si>
    <t>ACT-09713</t>
  </si>
  <si>
    <t>ACT-09714</t>
  </si>
  <si>
    <t>ACT-09715</t>
  </si>
  <si>
    <t>ACT-09716</t>
  </si>
  <si>
    <t>ACT-09717</t>
  </si>
  <si>
    <t>ACT-09718</t>
  </si>
  <si>
    <t>ACT-09719</t>
  </si>
  <si>
    <t>ACT-09720</t>
  </si>
  <si>
    <t>ACT-09721</t>
  </si>
  <si>
    <t>ACT-09722</t>
  </si>
  <si>
    <t>ACT-09723</t>
  </si>
  <si>
    <t>ACT-09724</t>
  </si>
  <si>
    <t>ACT-09725</t>
  </si>
  <si>
    <t>ACT-09726</t>
  </si>
  <si>
    <t>ACT-09727</t>
  </si>
  <si>
    <t>ACT-09728</t>
  </si>
  <si>
    <t>ACT-09729</t>
  </si>
  <si>
    <t>ACT-09730</t>
  </si>
  <si>
    <t>ACT-09731</t>
  </si>
  <si>
    <t>ACT-09732</t>
  </si>
  <si>
    <t>ACT-09733</t>
  </si>
  <si>
    <t>ACT-09734</t>
  </si>
  <si>
    <t>ACT-09735</t>
  </si>
  <si>
    <t>ACT-09736</t>
  </si>
  <si>
    <t>ACT-09737</t>
  </si>
  <si>
    <t>ACT-09738</t>
  </si>
  <si>
    <t>ACT-09739</t>
  </si>
  <si>
    <t>ACT-09740</t>
  </si>
  <si>
    <t>ACT-09741</t>
  </si>
  <si>
    <t>ACT-09742</t>
  </si>
  <si>
    <t>ACT-09743</t>
  </si>
  <si>
    <t>ACT-09744</t>
  </si>
  <si>
    <t>ACT-09745</t>
  </si>
  <si>
    <t>ACT-09746</t>
  </si>
  <si>
    <t>ACT-09747</t>
  </si>
  <si>
    <t>ACT-09748</t>
  </si>
  <si>
    <t>ACT-09749</t>
  </si>
  <si>
    <t>ACT-09750</t>
  </si>
  <si>
    <t>ACT-09751</t>
  </si>
  <si>
    <t>ACT-09752</t>
  </si>
  <si>
    <t>ACT-09753</t>
  </si>
  <si>
    <t>ACT-09754</t>
  </si>
  <si>
    <t>ACT-09755</t>
  </si>
  <si>
    <t>ACT-09756</t>
  </si>
  <si>
    <t>ACT-09757</t>
  </si>
  <si>
    <t>ACT-09758</t>
  </si>
  <si>
    <t>ACT-09759</t>
  </si>
  <si>
    <t>ACT-09760</t>
  </si>
  <si>
    <t>ACT-09761</t>
  </si>
  <si>
    <t>ACT-09762</t>
  </si>
  <si>
    <t>ACT-09763</t>
  </si>
  <si>
    <t>ACT-09764</t>
  </si>
  <si>
    <t>ACT-09765</t>
  </si>
  <si>
    <t>ACT-09766</t>
  </si>
  <si>
    <t>ACT-09767</t>
  </si>
  <si>
    <t>ACT-09768</t>
  </si>
  <si>
    <t>ACT-09769</t>
  </si>
  <si>
    <t>ACT-09770</t>
  </si>
  <si>
    <t>ACT-09771</t>
  </si>
  <si>
    <t>ACT-09772</t>
  </si>
  <si>
    <t>ACT-09773</t>
  </si>
  <si>
    <t>ACT-09774</t>
  </si>
  <si>
    <t>ACT-09775</t>
  </si>
  <si>
    <t>ACT-09776</t>
  </si>
  <si>
    <t>ACT-09777</t>
  </si>
  <si>
    <t>ACT-09778</t>
  </si>
  <si>
    <t>ACT-09779</t>
  </si>
  <si>
    <t>ACT-09780</t>
  </si>
  <si>
    <t>ACT-09781</t>
  </si>
  <si>
    <t>ACT-09782</t>
  </si>
  <si>
    <t>ACT-09783</t>
  </si>
  <si>
    <t>ACT-09784</t>
  </si>
  <si>
    <t>ACT-09785</t>
  </si>
  <si>
    <t>ACT-09786</t>
  </si>
  <si>
    <t>ACT-09787</t>
  </si>
  <si>
    <t>ACT-09788</t>
  </si>
  <si>
    <t>ACT-09789</t>
  </si>
  <si>
    <t>ACT-09790</t>
  </si>
  <si>
    <t>ACT-09791</t>
  </si>
  <si>
    <t>ACT-09792</t>
  </si>
  <si>
    <t>ACT-09793</t>
  </si>
  <si>
    <t>ACT-09794</t>
  </si>
  <si>
    <t>ACT-09795</t>
  </si>
  <si>
    <t>ACT-09796</t>
  </si>
  <si>
    <t>ACT-09797</t>
  </si>
  <si>
    <t>ACT-09798</t>
  </si>
  <si>
    <t>ACT-09799</t>
  </si>
  <si>
    <t>ACT-09800</t>
  </si>
  <si>
    <t>ACT-09801</t>
  </si>
  <si>
    <t>ACT-09802</t>
  </si>
  <si>
    <t>ACT-09803</t>
  </si>
  <si>
    <t>ACT-09804</t>
  </si>
  <si>
    <t>ACT-09805</t>
  </si>
  <si>
    <t>ACT-09806</t>
  </si>
  <si>
    <t>ACT-09807</t>
  </si>
  <si>
    <t>ACT-09808</t>
  </si>
  <si>
    <t>ACT-09809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</si>
</sst>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$#,##0.00"/>
    <numFmt numFmtId="165" formatCode="yyyy-mm-dd"/>
    <numFmt numFmtId="166" formatCode="#,##0.0"/>
    <numFmt numFmtId="167" formatCode="0.0%"/>
    <numFmt numFmtId="168" formatCode="£#,##0"/>
    <numFmt numFmtId="169" formatCode="0.0"/>
    <numFmt numFmtId="170" formatCode="£#,##0;-£#,##0;£0"/>
  </numFmts>
  <fonts count="14">
    <font>
      <sz val="10.0"/>
      <color rgb="FF000000"/>
      <name val="Arial"/>
      <scheme val="minor"/>
    </font>
    <font>
      <b/>
      <sz val="10.0"/>
      <color rgb="FFFFFFFF"/>
      <name val="Roboto"/>
    </font>
    <font>
      <sz val="10.0"/>
      <color rgb="FF1A1B1F"/>
      <name val="Roboto"/>
    </font>
    <font>
      <color theme="1"/>
      <name val="Arial"/>
      <scheme val="minor"/>
    </font>
    <font>
      <b/>
      <sz val="10.0"/>
      <color rgb="FFFFFFFF"/>
      <name val="Arial"/>
      <scheme val="minor"/>
    </font>
    <font>
      <b/>
      <sz val="10.0"/>
      <color rgb="FF181C1F"/>
      <name val="Arial"/>
      <scheme val="minor"/>
    </font>
    <font>
      <sz val="10.0"/>
      <color rgb="FF181C1F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  <font>
      <sz val="10.0"/>
      <color theme="1"/>
      <name val="Roboto"/>
    </font>
    <font>
      <b/>
      <sz val="10.0"/>
      <color theme="1"/>
      <name val="Roboto"/>
    </font>
    <font>
      <sz val="9.0"/>
      <color rgb="FFBBBEBF"/>
      <name val="Menlo"/>
    </font>
    <font>
      <sz val="9.0"/>
      <color rgb="FFBBBEBF"/>
      <name val="Arial"/>
    </font>
    <font>
      <b/>
      <sz val="11.0"/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DEFF9"/>
        <bgColor rgb="FFEDEFF9"/>
      </patternFill>
    </fill>
    <fill>
      <patternFill patternType="solid">
        <fgColor theme="0"/>
        <bgColor theme="0"/>
      </patternFill>
    </fill>
    <fill>
      <patternFill patternType="solid">
        <fgColor rgb="FF383F7F"/>
        <bgColor rgb="FF383F7F"/>
      </patternFill>
    </fill>
    <fill>
      <patternFill patternType="solid">
        <fgColor rgb="FF26603F"/>
        <bgColor rgb="FF26603F"/>
      </patternFill>
    </fill>
  </fills>
  <borders count="15">
    <border/>
    <border>
      <left style="thin">
        <color rgb="FF3C5F90"/>
      </left>
      <right style="thin">
        <color rgb="FFE0E2E8"/>
      </right>
      <top style="thin">
        <color rgb="FF3C5F90"/>
      </top>
      <bottom style="thin">
        <color rgb="FFD8DBE0"/>
      </bottom>
    </border>
    <border>
      <left style="thin">
        <color rgb="FFE0E2E8"/>
      </left>
      <right style="thin">
        <color rgb="FFE0E2E8"/>
      </right>
      <top style="thin">
        <color rgb="FF3C5F90"/>
      </top>
      <bottom style="thin">
        <color rgb="FFD8DBE0"/>
      </bottom>
    </border>
    <border>
      <left style="thin">
        <color rgb="FFE0E2E8"/>
      </left>
      <right style="thin">
        <color rgb="FF3C5F90"/>
      </right>
      <top style="thin">
        <color rgb="FF3C5F90"/>
      </top>
      <bottom style="thin">
        <color rgb="FFD8DBE0"/>
      </bottom>
    </border>
    <border>
      <left style="thin">
        <color rgb="FF3C5F90"/>
      </left>
      <right style="thin">
        <color rgb="FFE0E2E8"/>
      </right>
      <top style="thin">
        <color rgb="FFD8DBE0"/>
      </top>
      <bottom style="thin">
        <color rgb="FFD8DBE0"/>
      </bottom>
    </border>
    <border>
      <left style="thin">
        <color rgb="FFE0E2E8"/>
      </left>
      <right style="thin">
        <color rgb="FFE0E2E8"/>
      </right>
      <top style="thin">
        <color rgb="FFD8DBE0"/>
      </top>
      <bottom style="thin">
        <color rgb="FFD8DBE0"/>
      </bottom>
    </border>
    <border>
      <left style="thin">
        <color rgb="FFE0E2E8"/>
      </left>
      <right style="thin">
        <color rgb="FF3C5F90"/>
      </right>
      <top style="thin">
        <color rgb="FFD8DBE0"/>
      </top>
      <bottom style="thin">
        <color rgb="FFD8DBE0"/>
      </bottom>
    </border>
    <border>
      <left style="thin">
        <color rgb="FF3C5F90"/>
      </left>
      <right style="thin">
        <color rgb="FFE0E2E8"/>
      </right>
      <top style="thin">
        <color rgb="FFD8DBE0"/>
      </top>
      <bottom style="thin">
        <color rgb="FF3C5F90"/>
      </bottom>
    </border>
    <border>
      <left style="thin">
        <color rgb="FFE0E2E8"/>
      </left>
      <right style="thin">
        <color rgb="FFE0E2E8"/>
      </right>
      <top style="thin">
        <color rgb="FFD8DBE0"/>
      </top>
      <bottom style="thin">
        <color rgb="FF3C5F90"/>
      </bottom>
    </border>
    <border>
      <left style="thin">
        <color rgb="FFE0E2E8"/>
      </left>
      <right style="thin">
        <color rgb="FF3C5F90"/>
      </right>
      <top style="thin">
        <color rgb="FFD8DBE0"/>
      </top>
      <bottom style="thin">
        <color rgb="FF3C5F90"/>
      </bottom>
    </border>
    <border>
      <top style="thin">
        <color rgb="FFBFBFBF"/>
      </top>
      <bottom style="double">
        <color rgb="FF4C4C4C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top style="thin">
        <color rgb="FF535FC1"/>
      </top>
      <bottom style="double">
        <color rgb="FF535FC1"/>
      </bottom>
    </border>
    <border>
      <top style="thin">
        <color rgb="FF4C4C4C"/>
      </top>
      <bottom style="double">
        <color rgb="FF4C4C4C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3" xfId="0" applyAlignment="1" applyFont="1" applyNumberFormat="1">
      <alignment horizontal="right" readingOrder="0" shrinkToFit="0" vertical="center" wrapText="0"/>
    </xf>
    <xf borderId="0" fillId="0" fontId="3" numFmtId="164" xfId="0" applyAlignment="1" applyFont="1" applyNumberFormat="1">
      <alignment horizontal="right"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3" numFmtId="3" xfId="0" applyAlignment="1" applyFont="1" applyNumberFormat="1">
      <alignment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center" readingOrder="0" shrinkToFit="0" vertical="top" wrapText="1"/>
    </xf>
    <xf borderId="6" fillId="0" fontId="6" numFmtId="0" xfId="0" applyAlignment="1" applyBorder="1" applyFont="1">
      <alignment horizontal="center" readingOrder="0" shrinkToFit="0" vertical="top" wrapText="1"/>
    </xf>
    <xf borderId="7" fillId="0" fontId="5" numFmtId="0" xfId="0" applyAlignment="1" applyBorder="1" applyFont="1">
      <alignment horizontal="center" readingOrder="0" shrinkToFit="0" vertical="top" wrapText="1"/>
    </xf>
    <xf borderId="8" fillId="0" fontId="5" numFmtId="0" xfId="0" applyAlignment="1" applyBorder="1" applyFont="1">
      <alignment horizontal="left" readingOrder="0" shrinkToFit="0" vertical="top" wrapText="1"/>
    </xf>
    <xf borderId="8" fillId="0" fontId="6" numFmtId="0" xfId="0" applyAlignment="1" applyBorder="1" applyFont="1">
      <alignment horizontal="left" readingOrder="0" shrinkToFit="0" vertical="top" wrapText="1"/>
    </xf>
    <xf borderId="8" fillId="0" fontId="6" numFmtId="0" xfId="0" applyAlignment="1" applyBorder="1" applyFont="1">
      <alignment horizontal="center" readingOrder="0" shrinkToFit="0" vertical="top" wrapText="1"/>
    </xf>
    <xf borderId="9" fillId="0" fontId="6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0"/>
    </xf>
    <xf borderId="0" fillId="3" fontId="4" numFmtId="0" xfId="0" applyAlignment="1" applyFill="1" applyFont="1">
      <alignment horizontal="left" readingOrder="0"/>
    </xf>
    <xf borderId="0" fillId="3" fontId="4" numFmtId="0" xfId="0" applyAlignment="1" applyFill="1" applyFont="1">
      <alignment horizontal="right" readingOrder="0"/>
    </xf>
    <xf borderId="0" fillId="3" fontId="4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horizontal="right"/>
    </xf>
    <xf borderId="0" fillId="0" fontId="3" numFmtId="166" xfId="0" applyAlignment="1" applyFont="1" applyNumberFormat="1">
      <alignment horizontal="right"/>
    </xf>
    <xf borderId="0" fillId="0" fontId="3" numFmtId="0" xfId="0" applyAlignment="1" applyFont="1">
      <alignment readingOrder="0" shrinkToFit="0" vertical="center" wrapText="1"/>
    </xf>
    <xf borderId="10" fillId="0" fontId="7" numFmtId="0" xfId="0" applyAlignment="1" applyBorder="1" applyFont="1">
      <alignment readingOrder="0"/>
    </xf>
    <xf borderId="10" fillId="0" fontId="7" numFmtId="3" xfId="0" applyAlignment="1" applyBorder="1" applyFont="1" applyNumberFormat="1">
      <alignment horizontal="right"/>
    </xf>
    <xf borderId="10" fillId="0" fontId="7" numFmtId="166" xfId="0" applyAlignment="1" applyBorder="1" applyFont="1" applyNumberFormat="1">
      <alignment horizontal="right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horizontal="left" readingOrder="0" shrinkToFit="0" vertical="center" wrapText="1"/>
    </xf>
    <xf borderId="0" fillId="4" fontId="3" numFmtId="0" xfId="0" applyAlignment="1" applyFill="1" applyFont="1">
      <alignment horizontal="right"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5" fontId="3" numFmtId="0" xfId="0" applyAlignment="1" applyFill="1" applyFont="1">
      <alignment readingOrder="0" shrinkToFit="0" vertical="center" wrapText="0"/>
    </xf>
    <xf borderId="0" fillId="5" fontId="3" numFmtId="0" xfId="0" applyAlignment="1" applyFill="1" applyFont="1">
      <alignment horizontal="left" readingOrder="0" shrinkToFit="0" vertical="center" wrapText="1"/>
    </xf>
    <xf borderId="0" fillId="5" fontId="3" numFmtId="0" xfId="0" applyAlignment="1" applyFill="1" applyFont="1">
      <alignment horizontal="right" readingOrder="0" shrinkToFit="0" vertical="center" wrapText="0"/>
    </xf>
    <xf borderId="0" fillId="5" fontId="3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readingOrder="0" shrinkToFit="0" vertical="center" wrapText="0"/>
    </xf>
    <xf borderId="0" fillId="4" fontId="3" numFmtId="0" xfId="0" applyAlignment="1" applyFill="1" applyFont="1">
      <alignment horizontal="left" readingOrder="0" shrinkToFit="0" vertical="center" wrapText="1"/>
    </xf>
    <xf borderId="0" fillId="5" fontId="3" numFmtId="0" xfId="0" applyAlignment="1" applyFill="1" applyFont="1">
      <alignment readingOrder="0" shrinkToFit="0" vertical="center" wrapText="0"/>
    </xf>
    <xf borderId="0" fillId="5" fontId="3" numFmtId="0" xfId="0" applyAlignment="1" applyFill="1" applyFont="1">
      <alignment horizontal="left" readingOrder="0" shrinkToFit="0" vertical="center" wrapText="1"/>
    </xf>
    <xf borderId="0" fillId="4" fontId="8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11" fillId="0" fontId="3" numFmtId="0" xfId="0" applyAlignment="1" applyBorder="1" applyFont="1">
      <alignment horizontal="left" readingOrder="0" shrinkToFit="0" vertical="center" wrapText="0"/>
    </xf>
    <xf borderId="11" fillId="0" fontId="3" numFmtId="0" xfId="0" applyAlignment="1" applyBorder="1" applyFont="1">
      <alignment horizontal="left" readingOrder="0" shrinkToFit="0" vertical="center" wrapText="1"/>
    </xf>
    <xf borderId="11" fillId="3" fontId="4" numFmtId="0" xfId="0" applyAlignment="1" applyBorder="1" applyFill="1" applyFont="1">
      <alignment horizontal="left" readingOrder="0" shrinkToFit="0" vertical="center" wrapText="1"/>
    </xf>
    <xf borderId="11" fillId="0" fontId="3" numFmtId="0" xfId="0" applyAlignment="1" applyBorder="1" applyFont="1">
      <alignment readingOrder="0" shrinkToFit="0" vertical="center" wrapText="0"/>
    </xf>
    <xf borderId="11" fillId="0" fontId="3" numFmtId="0" xfId="0" applyAlignment="1" applyBorder="1" applyFont="1">
      <alignment readingOrder="0" shrinkToFit="0" vertical="center" wrapText="1"/>
    </xf>
    <xf borderId="11" fillId="0" fontId="3" numFmtId="3" xfId="0" applyAlignment="1" applyBorder="1" applyFont="1" applyNumberFormat="1">
      <alignment horizontal="right" shrinkToFit="0" vertical="center" wrapText="0"/>
    </xf>
    <xf borderId="11" fillId="0" fontId="3" numFmtId="0" xfId="0" applyAlignment="1" applyBorder="1" applyFont="1">
      <alignment readingOrder="0" shrinkToFit="0" vertical="center" wrapText="1"/>
    </xf>
    <xf borderId="11" fillId="0" fontId="3" numFmtId="2" xfId="0" applyAlignment="1" applyBorder="1" applyFont="1" applyNumberFormat="1">
      <alignment horizontal="right" shrinkToFit="0" vertical="center" wrapText="0"/>
    </xf>
    <xf borderId="11" fillId="0" fontId="3" numFmtId="167" xfId="0" applyAlignment="1" applyBorder="1" applyFont="1" applyNumberFormat="1">
      <alignment horizontal="right" shrinkToFit="0" vertical="center" wrapText="0"/>
    </xf>
    <xf borderId="11" fillId="0" fontId="3" numFmtId="0" xfId="0" applyAlignment="1" applyBorder="1" applyFont="1">
      <alignment readingOrder="0" shrinkToFit="0" vertical="center" wrapText="0"/>
    </xf>
    <xf borderId="11" fillId="0" fontId="3" numFmtId="166" xfId="0" applyAlignment="1" applyBorder="1" applyFont="1" applyNumberFormat="1">
      <alignment horizontal="right" shrinkToFit="0" vertical="center" wrapText="0"/>
    </xf>
    <xf borderId="0" fillId="3" fontId="4" numFmtId="0" xfId="0" applyAlignment="1" applyFill="1" applyFont="1">
      <alignment horizontal="left" readingOrder="0" shrinkToFit="0" vertical="center" wrapText="1"/>
    </xf>
    <xf borderId="0" fillId="0" fontId="3" numFmtId="168" xfId="0" applyAlignment="1" applyFont="1" applyNumberFormat="1">
      <alignment horizontal="right" shrinkToFit="0" vertical="center" wrapText="1"/>
    </xf>
    <xf borderId="0" fillId="0" fontId="3" numFmtId="3" xfId="0" applyAlignment="1" applyFont="1" applyNumberFormat="1">
      <alignment horizontal="right" readingOrder="0" shrinkToFit="0" vertical="center" wrapText="1"/>
    </xf>
    <xf borderId="0" fillId="0" fontId="3" numFmtId="168" xfId="0" applyAlignment="1" applyFont="1" applyNumberFormat="1">
      <alignment horizontal="righ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" xfId="0" applyAlignment="1" applyFont="1" applyNumberFormat="1">
      <alignment horizontal="center" readingOrder="0" shrinkToFit="0" vertical="center" wrapText="1"/>
    </xf>
    <xf borderId="12" fillId="3" fontId="1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9" numFmtId="168" xfId="0" applyAlignment="1" applyFont="1" applyNumberFormat="1">
      <alignment horizontal="right" shrinkToFit="0" vertical="center" wrapText="1"/>
    </xf>
    <xf borderId="0" fillId="0" fontId="9" numFmtId="167" xfId="0" applyAlignment="1" applyFont="1" applyNumberFormat="1">
      <alignment horizontal="right" shrinkToFit="0" vertical="center" wrapText="1"/>
    </xf>
    <xf borderId="0" fillId="0" fontId="9" numFmtId="169" xfId="0" applyAlignment="1" applyFont="1" applyNumberFormat="1">
      <alignment horizontal="right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3" numFmtId="3" xfId="0" applyAlignment="1" applyFont="1" applyNumberFormat="1">
      <alignment horizontal="right" shrinkToFit="0" vertical="center" wrapText="1"/>
    </xf>
    <xf borderId="13" fillId="6" fontId="10" numFmtId="0" xfId="0" applyAlignment="1" applyBorder="1" applyFill="1" applyFont="1">
      <alignment readingOrder="0" shrinkToFit="0" vertical="center" wrapText="1"/>
    </xf>
    <xf borderId="13" fillId="6" fontId="10" numFmtId="168" xfId="0" applyAlignment="1" applyBorder="1" applyFill="1" applyFont="1" applyNumberFormat="1">
      <alignment horizontal="right" shrinkToFit="0" vertical="center" wrapText="1"/>
    </xf>
    <xf borderId="13" fillId="6" fontId="10" numFmtId="167" xfId="0" applyAlignment="1" applyBorder="1" applyFill="1" applyFont="1" applyNumberFormat="1">
      <alignment horizontal="right" shrinkToFit="0" vertical="center" wrapText="1"/>
    </xf>
    <xf borderId="13" fillId="6" fontId="10" numFmtId="169" xfId="0" applyAlignment="1" applyBorder="1" applyFill="1" applyFont="1" applyNumberFormat="1">
      <alignment horizontal="right" shrinkToFit="0" vertical="center" wrapText="1"/>
    </xf>
    <xf borderId="0" fillId="7" fontId="11" numFmtId="0" xfId="0" applyAlignment="1" applyFill="1" applyFont="1">
      <alignment readingOrder="0"/>
    </xf>
    <xf borderId="0" fillId="7" fontId="12" numFmtId="0" xfId="0" applyAlignment="1" applyFill="1" applyFont="1">
      <alignment readingOrder="0"/>
    </xf>
    <xf borderId="0" fillId="0" fontId="3" numFmtId="168" xfId="0" applyAlignment="1" applyFont="1" applyNumberFormat="1">
      <alignment horizontal="right" shrinkToFit="0" vertical="center" wrapText="1"/>
    </xf>
    <xf borderId="0" fillId="0" fontId="3" numFmtId="170" xfId="0" applyAlignment="1" applyFont="1" applyNumberFormat="1">
      <alignment horizontal="right" shrinkToFit="0" vertical="center" wrapText="1"/>
    </xf>
    <xf borderId="0" fillId="0" fontId="3" numFmtId="167" xfId="0" applyAlignment="1" applyFont="1" applyNumberFormat="1">
      <alignment horizontal="right" shrinkToFit="0" vertical="center" wrapText="1"/>
    </xf>
    <xf borderId="0" fillId="0" fontId="3" numFmtId="169" xfId="0" applyAlignment="1" applyFont="1" applyNumberFormat="1">
      <alignment horizontal="right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Font="1"/>
    <xf borderId="0" fillId="0" fontId="3" numFmtId="168" xfId="0" applyAlignment="1" applyFont="1" applyNumberFormat="1">
      <alignment horizontal="right"/>
    </xf>
    <xf borderId="0" fillId="0" fontId="3" numFmtId="170" xfId="0" applyAlignment="1" applyFont="1" applyNumberFormat="1">
      <alignment horizontal="right"/>
    </xf>
    <xf borderId="0" fillId="0" fontId="3" numFmtId="167" xfId="0" applyAlignment="1" applyFont="1" applyNumberFormat="1">
      <alignment horizontal="right"/>
    </xf>
    <xf borderId="0" fillId="0" fontId="3" numFmtId="169" xfId="0" applyAlignment="1" applyFont="1" applyNumberFormat="1">
      <alignment horizontal="right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 shrinkToFit="0" wrapText="1"/>
    </xf>
    <xf borderId="14" fillId="6" fontId="7" numFmtId="0" xfId="0" applyAlignment="1" applyBorder="1" applyFill="1" applyFont="1">
      <alignment readingOrder="0"/>
    </xf>
    <xf borderId="14" fillId="6" fontId="7" numFmtId="0" xfId="0" applyBorder="1" applyFill="1" applyFont="1"/>
    <xf borderId="14" fillId="6" fontId="7" numFmtId="168" xfId="0" applyAlignment="1" applyBorder="1" applyFill="1" applyFont="1" applyNumberFormat="1">
      <alignment horizontal="right"/>
    </xf>
    <xf borderId="14" fillId="6" fontId="7" numFmtId="170" xfId="0" applyAlignment="1" applyBorder="1" applyFill="1" applyFont="1" applyNumberFormat="1">
      <alignment horizontal="right"/>
    </xf>
    <xf borderId="14" fillId="6" fontId="7" numFmtId="167" xfId="0" applyAlignment="1" applyBorder="1" applyFill="1" applyFont="1" applyNumberFormat="1">
      <alignment horizontal="right"/>
    </xf>
    <xf borderId="14" fillId="6" fontId="7" numFmtId="169" xfId="0" applyAlignment="1" applyBorder="1" applyFill="1" applyFont="1" applyNumberFormat="1">
      <alignment horizontal="right"/>
    </xf>
    <xf borderId="14" fillId="6" fontId="7" numFmtId="0" xfId="0" applyAlignment="1" applyBorder="1" applyFill="1" applyFont="1">
      <alignment horizontal="center" readingOrder="0"/>
    </xf>
    <xf borderId="14" fillId="6" fontId="7" numFmtId="0" xfId="0" applyAlignment="1" applyBorder="1" applyFill="1" applyFont="1">
      <alignment horizontal="left" readingOrder="0" shrinkToFit="0" wrapText="1"/>
    </xf>
    <xf borderId="0" fillId="8" fontId="13" numFmtId="0" xfId="0" applyAlignment="1" applyFill="1" applyFont="1">
      <alignment horizontal="left" readingOrder="0" vertical="center"/>
    </xf>
    <xf borderId="0" fillId="3" fontId="4" numFmtId="0" xfId="0" applyAlignment="1" applyFill="1" applyFont="1">
      <alignment horizontal="center" readingOrder="0" shrinkToFit="0" vertical="center" wrapText="1"/>
    </xf>
    <xf borderId="0" fillId="9" fontId="13" numFmtId="0" xfId="0" applyAlignment="1" applyFill="1" applyFont="1">
      <alignment horizontal="left" readingOrder="0" vertic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425D90"/>
          <bgColor rgb="FF425D9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D"/>
          <bgColor rgb="FFF6F8FD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C5F90"/>
          <bgColor rgb="FF3C5F90"/>
        </patternFill>
      </fill>
      <border/>
    </dxf>
    <dxf>
      <font/>
      <fill>
        <patternFill patternType="solid">
          <fgColor rgb="FFF6F8FC"/>
          <bgColor rgb="FFF6F8FC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11">
    <tableStyle count="3" pivot="0" name="Stakeholder Evidence-style">
      <tableStyleElement dxfId="2" type="headerRow"/>
      <tableStyleElement dxfId="3" type="firstRowStripe"/>
      <tableStyleElement dxfId="4" type="secondRowStripe"/>
    </tableStyle>
    <tableStyle count="4" pivot="0" name="Recovery activity tracker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4" pivot="0" name="Stakeholder notes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4" pivot="0" name="Delinquent accounts-style">
      <tableStyleElement dxfId="1" type="headerRow"/>
      <tableStyleElement dxfId="3" type="firstRowStripe"/>
      <tableStyleElement dxfId="5" type="secondRowStripe"/>
      <tableStyleElement dxfId="6" size="0" type="wholeTable"/>
    </tableStyle>
    <tableStyle count="3" pivot="0" name="JTBD Analysis-style">
      <tableStyleElement dxfId="7" type="headerRow"/>
      <tableStyleElement dxfId="3" type="firstRowStripe"/>
      <tableStyleElement dxfId="8" type="secondRowStripe"/>
    </tableStyle>
    <tableStyle count="4" pivot="0" name="JTBD Analysis-style 2">
      <tableStyleElement dxfId="9" type="headerRow"/>
      <tableStyleElement dxfId="3" type="firstRowStripe"/>
      <tableStyleElement dxfId="5" type="secondRowStripe"/>
      <tableStyleElement dxfId="6" size="0" type="wholeTable"/>
    </tableStyle>
    <tableStyle count="4" pivot="0" name="Assumptions-style">
      <tableStyleElement dxfId="9" type="headerRow"/>
      <tableStyleElement dxfId="3" type="firstRowStripe"/>
      <tableStyleElement dxfId="5" type="secondRowStripe"/>
      <tableStyleElement dxfId="6" size="0" type="wholeTable"/>
    </tableStyle>
    <tableStyle count="4" pivot="0" name="Baseline metrics-style">
      <tableStyleElement dxfId="9" type="headerRow"/>
      <tableStyleElement dxfId="3" type="firstRowStripe"/>
      <tableStyleElement dxfId="5" type="secondRowStripe"/>
      <tableStyleElement dxfId="6" size="0" type="wholeTable"/>
    </tableStyle>
    <tableStyle count="4" pivot="0" name="Opportunities-style">
      <tableStyleElement dxfId="9" type="headerRow"/>
      <tableStyleElement dxfId="3" type="firstRowStripe"/>
      <tableStyleElement dxfId="5" type="secondRowStripe"/>
      <tableStyleElement dxfId="6" size="0" type="wholeTable"/>
    </tableStyle>
    <tableStyle count="2" pivot="0" name="Calculations-style">
      <tableStyleElement dxfId="3" type="firstRowStripe"/>
      <tableStyleElement dxfId="5" type="secondRowStripe"/>
    </tableStyle>
    <tableStyle count="4" pivot="0" name="ROI Summary-style">
      <tableStyleElement dxfId="9" type="headerRow"/>
      <tableStyleElement dxfId="3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27" displayName="StakeholderNotes" name="StakeholderNotes" id="2">
  <tableColumns count="5">
    <tableColumn name="note_id" id="1"/>
    <tableColumn name="stakeholder_name" id="2"/>
    <tableColumn name="stakeholder_role" id="3"/>
    <tableColumn name="quote_or_observation" id="4"/>
    <tableColumn name="Assigned Theme" id="5"/>
  </tableColumns>
  <tableStyleInfo name="Stakeholder notes-style" showColumnStripes="0" showFirstColumn="1" showLastColumn="1" showRowStripes="1"/>
</table>
</file>

<file path=xl/tables/table2.xml><?xml version="1.0" encoding="utf-8"?>
<table xmlns="http://schemas.openxmlformats.org/spreadsheetml/2006/main" ref="A1:P3247" displayName="DelinquentAccounts" name="DelinquentAccounts" id="3">
  <tableColumns count="16">
    <tableColumn name="account_id" id="1"/>
    <tableColumn name="customer_id" id="2"/>
    <tableColumn name="customer_name" id="3"/>
    <tableColumn name="product_type" id="4"/>
    <tableColumn name="delinquency_stage" id="5"/>
    <tableColumn name="days_past_due" id="6"/>
    <tableColumn name="overdue_amount" id="7"/>
    <tableColumn name="total_balance" id="8"/>
    <tableColumn name="risk_flag" id="9"/>
    <tableColumn name="current_status" id="10"/>
    <tableColumn name="email" id="11"/>
    <tableColumn name="mobile_phone" id="12"/>
    <tableColumn name="postcode" id="13"/>
    <tableColumn name="last_contact_channel" id="14"/>
    <tableColumn name="self_service_candidate" id="15"/>
    <tableColumn name="created_date" id="16"/>
  </tableColumns>
  <tableStyleInfo name="Delinquent accounts-style" showColumnStripes="0" showFirstColumn="1" showLastColumn="1" showRowStripes="1"/>
</table>
</file>

<file path=xl/tables/table3.xml><?xml version="1.0" encoding="utf-8"?>
<table xmlns="http://schemas.openxmlformats.org/spreadsheetml/2006/main" ref="A1:J9891" displayName="AccountActivities" name="AccountActivities" id="4">
  <tableColumns count="10">
    <tableColumn name="activity_id" id="1"/>
    <tableColumn name="account_id" id="2"/>
    <tableColumn name="activity_date" id="3"/>
    <tableColumn name="activity_type" id="4"/>
    <tableColumn name="performed_by" id="5"/>
    <tableColumn name="source_system" id="6"/>
    <tableColumn name="outcome_code" id="7"/>
    <tableColumn name="next_follow_up_date" id="8"/>
    <tableColumn name="minutes_spent" id="9"/>
    <tableColumn name="duplicate_check_flag" id="10"/>
  </tableColumns>
  <tableStyleInfo name="Recovery activity tracker-style" showColumnStripes="0" showFirstColumn="1" showLastColumn="1" showRowStripes="1"/>
</table>
</file>

<file path=xl/tables/table4.xml><?xml version="1.0" encoding="utf-8"?>
<table xmlns="http://schemas.openxmlformats.org/spreadsheetml/2006/main" ref="A1:E127" displayName="Table_1" name="Table_1" id="1">
  <tableColumns count="5">
    <tableColumn name="Stakeholder" id="1"/>
    <tableColumn name="Quote or Observation" id="2"/>
    <tableColumn name="Theme" id="3"/>
    <tableColumn name="Business Impact" id="4"/>
    <tableColumn name="Confidence Level" id="5"/>
  </tableColumns>
  <tableStyleInfo name="Stakeholder Evidence-style" showColumnStripes="0" showFirstColumn="1" showLastColumn="1" showRowStripes="1"/>
</table>
</file>

<file path=xl/tables/table5.xml><?xml version="1.0" encoding="utf-8"?>
<table xmlns="http://schemas.openxmlformats.org/spreadsheetml/2006/main" ref="A1:I11" displayName="Table_2" name="Table_2" id="5">
  <tableColumns count="9">
    <tableColumn name="JTBD ID" id="1"/>
    <tableColumn name="Actor" id="2"/>
    <tableColumn name="Statement" id="3"/>
    <tableColumn name="Evidence Link" id="4"/>
    <tableColumn name="Portal Relevance" id="5"/>
    <tableColumn name="Frequency of Evidence" id="6"/>
    <tableColumn name="Business Impact Rank" id="7"/>
    <tableColumn name="Portal Relevance Rank" id="8"/>
    <tableColumn name="Overall Priority" id="9"/>
  </tableColumns>
  <tableStyleInfo name="JTBD Analysis-style" showColumnStripes="0" showFirstColumn="1" showLastColumn="1" showRowStripes="1"/>
</table>
</file>

<file path=xl/tables/table6.xml><?xml version="1.0" encoding="utf-8"?>
<table xmlns="http://schemas.openxmlformats.org/spreadsheetml/2006/main" ref="E20:G23" displayName="Table4" name="Table4" id="6">
  <tableColumns count="3">
    <tableColumn name="Job" id="1"/>
    <tableColumn name="Strategic Role" id="2"/>
    <tableColumn name="Why It’s in the Top 3" id="3"/>
  </tableColumns>
  <tableStyleInfo name="JTBD Analysis-style 2" showColumnStripes="0" showFirstColumn="1" showLastColumn="1" showRowStripes="1"/>
</table>
</file>

<file path=xl/tables/table7.xml><?xml version="1.0" encoding="utf-8"?>
<table xmlns="http://schemas.openxmlformats.org/spreadsheetml/2006/main" ref="A1:G25" displayName="Table1_2" name="Table1_2" id="7">
  <tableColumns count="7">
    <tableColumn name="assumption_id" id="1"/>
    <tableColumn name="assumption_name" id="2"/>
    <tableColumn name="value" id="3"/>
    <tableColumn name="unit" id="4"/>
    <tableColumn name="source" id="5"/>
    <tableColumn name="confidence_level" id="6"/>
    <tableColumn name="notes" id="7"/>
  </tableColumns>
  <tableStyleInfo name="Assumptions-style" showColumnStripes="0" showFirstColumn="1" showLastColumn="1" showRowStripes="1"/>
</table>
</file>

<file path=xl/tables/table8.xml><?xml version="1.0" encoding="utf-8"?>
<table xmlns="http://schemas.openxmlformats.org/spreadsheetml/2006/main" ref="A1:G9" displayName="Table2" name="Table2" id="8">
  <tableColumns count="7">
    <tableColumn name="metric_id" id="1"/>
    <tableColumn name="metric_name" id="2"/>
    <tableColumn name="current_value" id="3"/>
    <tableColumn name="unit" id="4"/>
    <tableColumn name="source" id="5"/>
    <tableColumn name="confidence_level" id="6"/>
    <tableColumn name="notes" id="7"/>
  </tableColumns>
  <tableStyleInfo name="Baseline metrics-style" showColumnStripes="0" showFirstColumn="1" showLastColumn="1" showRowStripes="1"/>
</table>
</file>

<file path=xl/tables/table9.xml><?xml version="1.0" encoding="utf-8"?>
<table xmlns="http://schemas.openxmlformats.org/spreadsheetml/2006/main" ref="A1:J8" displayName="Table4_2" name="Table4_2" id="9">
  <tableColumns count="10">
    <tableColumn name="opportunity_id" id="1"/>
    <tableColumn name="opportunity_name" id="2"/>
    <tableColumn name="description" id="3"/>
    <tableColumn name="implementation_cost" id="4"/>
    <tableColumn name="annual_hours_saved" id="5"/>
    <tableColumn name="annual_cost_saved" id="6"/>
    <tableColumn name="annual_revenue_uplift" id="7"/>
    <tableColumn name="soft_benefit_note" id="8"/>
    <tableColumn name="confidence_level" id="9"/>
    <tableColumn name="priority_rank" id="10"/>
  </tableColumns>
  <tableStyleInfo name="Opportunities-style" showColumnStripes="0" showFirstColumn="1" showLastColumn="1" showRowStripes="1"/>
</table>
</file>

<file path=xl/tables/table10.xml><?xml version="1.0" encoding="utf-8"?>
<table xmlns="http://schemas.openxmlformats.org/spreadsheetml/2006/main" headerRowCount="0" ref="A2:J8" displayName="Table_3" name="Table_3" id="10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alculations-style" showColumnStripes="0" showFirstColumn="1" showLastColumn="1" showRowStripes="1"/>
</table>
</file>

<file path=xl/tables/table11.xml><?xml version="1.0" encoding="utf-8"?>
<table xmlns="http://schemas.openxmlformats.org/spreadsheetml/2006/main" ref="A1:I6" displayName="Table3" name="Table3" id="11">
  <tableColumns count="9">
    <tableColumn name="opportunity_id" id="1"/>
    <tableColumn name="opportunity_name" id="2"/>
    <tableColumn name="total_benefit" id="3"/>
    <tableColumn name="net_benefit" id="4"/>
    <tableColumn name="roi_percent" id="5"/>
    <tableColumn name="payback_months" id="6"/>
    <tableColumn name="effort_score" id="7"/>
    <tableColumn name="confidence_level" id="8"/>
    <tableColumn name="recommendation_note" id="9"/>
  </tableColumns>
  <tableStyleInfo name="ROI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22.0"/>
    <col customWidth="1" min="3" max="3" width="27.0"/>
    <col customWidth="1" min="4" max="4" width="38.0"/>
    <col customWidth="1" min="5" max="5" width="27.13"/>
  </cols>
  <sheetData>
    <row r="1" ht="22.5" customHeight="1">
      <c r="A1" s="5" t="s">
        <v>1</v>
      </c>
      <c r="B1" s="5" t="s">
        <v>14</v>
      </c>
      <c r="C1" s="5" t="s">
        <v>20</v>
      </c>
      <c r="D1" s="5" t="s">
        <v>25</v>
      </c>
      <c r="E1" s="5" t="s">
        <v>30</v>
      </c>
    </row>
    <row r="2" ht="22.5" customHeight="1">
      <c r="A2" s="6" t="s">
        <v>37</v>
      </c>
      <c r="B2" s="6" t="s">
        <v>43</v>
      </c>
      <c r="C2" s="6" t="s">
        <v>47</v>
      </c>
      <c r="D2" s="7" t="s">
        <v>7</v>
      </c>
      <c r="E2" s="6" t="s">
        <v>8</v>
      </c>
    </row>
    <row r="3" ht="22.5" customHeight="1">
      <c r="A3" s="6" t="s">
        <v>69</v>
      </c>
      <c r="B3" s="6" t="s">
        <v>76</v>
      </c>
      <c r="C3" s="6" t="s">
        <v>82</v>
      </c>
      <c r="D3" s="7" t="s">
        <v>12</v>
      </c>
      <c r="E3" s="6" t="s">
        <v>8</v>
      </c>
    </row>
    <row r="4" ht="22.5" customHeight="1">
      <c r="A4" s="6" t="s">
        <v>97</v>
      </c>
      <c r="B4" s="6" t="s">
        <v>102</v>
      </c>
      <c r="C4" s="6" t="s">
        <v>106</v>
      </c>
      <c r="D4" s="7" t="s">
        <v>51</v>
      </c>
      <c r="E4" s="6" t="s">
        <v>52</v>
      </c>
    </row>
    <row r="5" ht="22.5" customHeight="1">
      <c r="A5" s="6" t="s">
        <v>122</v>
      </c>
      <c r="B5" s="6" t="s">
        <v>127</v>
      </c>
      <c r="C5" s="6" t="s">
        <v>133</v>
      </c>
      <c r="D5" s="7" t="s">
        <v>137</v>
      </c>
      <c r="E5" s="6" t="s">
        <v>144</v>
      </c>
    </row>
    <row r="6" ht="22.5" customHeight="1">
      <c r="A6" s="6" t="s">
        <v>150</v>
      </c>
      <c r="B6" s="6" t="s">
        <v>154</v>
      </c>
      <c r="C6" s="6" t="s">
        <v>171</v>
      </c>
      <c r="D6" s="7" t="s">
        <v>16</v>
      </c>
      <c r="E6" s="6" t="s">
        <v>8</v>
      </c>
    </row>
    <row r="7" ht="22.5" customHeight="1">
      <c r="A7" s="6" t="s">
        <v>186</v>
      </c>
      <c r="B7" s="6" t="s">
        <v>191</v>
      </c>
      <c r="C7" s="6" t="s">
        <v>194</v>
      </c>
      <c r="D7" s="7" t="s">
        <v>201</v>
      </c>
      <c r="E7" s="6" t="s">
        <v>208</v>
      </c>
    </row>
    <row r="8" ht="22.5" customHeight="1">
      <c r="A8" s="6" t="s">
        <v>217</v>
      </c>
      <c r="B8" s="6" t="s">
        <v>222</v>
      </c>
      <c r="C8" s="6" t="s">
        <v>227</v>
      </c>
      <c r="D8" s="7" t="s">
        <v>55</v>
      </c>
      <c r="E8" s="6" t="s">
        <v>52</v>
      </c>
    </row>
    <row r="9" ht="22.5" customHeight="1">
      <c r="A9" s="6" t="s">
        <v>241</v>
      </c>
      <c r="B9" s="6" t="s">
        <v>245</v>
      </c>
      <c r="C9" s="6" t="s">
        <v>106</v>
      </c>
      <c r="D9" s="7" t="s">
        <v>213</v>
      </c>
      <c r="E9" s="6" t="s">
        <v>208</v>
      </c>
    </row>
    <row r="10" ht="22.5" customHeight="1">
      <c r="A10" s="6" t="s">
        <v>274</v>
      </c>
      <c r="B10" s="6" t="s">
        <v>280</v>
      </c>
      <c r="C10" s="6" t="s">
        <v>284</v>
      </c>
      <c r="D10" s="7" t="s">
        <v>19</v>
      </c>
      <c r="E10" s="6" t="s">
        <v>8</v>
      </c>
    </row>
    <row r="11" ht="22.5" customHeight="1">
      <c r="A11" s="6" t="s">
        <v>300</v>
      </c>
      <c r="B11" s="6" t="s">
        <v>303</v>
      </c>
      <c r="C11" s="6" t="s">
        <v>284</v>
      </c>
      <c r="D11" s="7" t="s">
        <v>119</v>
      </c>
      <c r="E11" s="6" t="s">
        <v>120</v>
      </c>
    </row>
    <row r="12" ht="22.5" customHeight="1">
      <c r="A12" s="6" t="s">
        <v>319</v>
      </c>
      <c r="B12" s="6" t="s">
        <v>325</v>
      </c>
      <c r="C12" s="6" t="s">
        <v>329</v>
      </c>
      <c r="D12" s="7" t="s">
        <v>126</v>
      </c>
      <c r="E12" s="6" t="s">
        <v>120</v>
      </c>
    </row>
    <row r="13" ht="22.5" customHeight="1">
      <c r="A13" s="6" t="s">
        <v>354</v>
      </c>
      <c r="B13" s="6" t="s">
        <v>359</v>
      </c>
      <c r="C13" s="6" t="s">
        <v>329</v>
      </c>
      <c r="D13" s="7" t="s">
        <v>168</v>
      </c>
      <c r="E13" s="6" t="s">
        <v>169</v>
      </c>
    </row>
    <row r="14" ht="22.5" customHeight="1">
      <c r="A14" s="6" t="s">
        <v>376</v>
      </c>
      <c r="B14" s="6" t="s">
        <v>381</v>
      </c>
      <c r="C14" s="6" t="s">
        <v>329</v>
      </c>
      <c r="D14" s="7" t="s">
        <v>305</v>
      </c>
      <c r="E14" s="6" t="s">
        <v>144</v>
      </c>
    </row>
    <row r="15" ht="22.5" customHeight="1">
      <c r="A15" s="6" t="s">
        <v>397</v>
      </c>
      <c r="B15" s="6" t="s">
        <v>261</v>
      </c>
      <c r="C15" s="6" t="s">
        <v>194</v>
      </c>
      <c r="D15" s="7" t="s">
        <v>218</v>
      </c>
      <c r="E15" s="6" t="s">
        <v>208</v>
      </c>
    </row>
    <row r="16" ht="22.5" customHeight="1">
      <c r="A16" s="6" t="s">
        <v>415</v>
      </c>
      <c r="C16" s="6" t="s">
        <v>47</v>
      </c>
      <c r="D16" s="7" t="s">
        <v>221</v>
      </c>
      <c r="E16" s="6" t="s">
        <v>208</v>
      </c>
    </row>
    <row r="17" ht="22.5" customHeight="1">
      <c r="A17" s="6" t="s">
        <v>428</v>
      </c>
      <c r="B17" s="6" t="s">
        <v>432</v>
      </c>
      <c r="C17" s="6" t="s">
        <v>329</v>
      </c>
      <c r="D17" s="7" t="s">
        <v>307</v>
      </c>
      <c r="E17" s="6" t="s">
        <v>144</v>
      </c>
    </row>
    <row r="18" ht="22.5" customHeight="1">
      <c r="A18" s="6" t="s">
        <v>440</v>
      </c>
      <c r="B18" s="6" t="s">
        <v>441</v>
      </c>
      <c r="C18" s="6" t="s">
        <v>284</v>
      </c>
      <c r="D18" s="7" t="s">
        <v>23</v>
      </c>
      <c r="E18" s="6" t="s">
        <v>8</v>
      </c>
    </row>
    <row r="19" ht="22.5" customHeight="1">
      <c r="A19" s="6" t="s">
        <v>446</v>
      </c>
      <c r="B19" s="6" t="s">
        <v>448</v>
      </c>
      <c r="C19" s="6" t="s">
        <v>227</v>
      </c>
      <c r="D19" s="7" t="s">
        <v>309</v>
      </c>
      <c r="E19" s="6" t="s">
        <v>144</v>
      </c>
    </row>
    <row r="20" ht="22.5" customHeight="1">
      <c r="A20" s="6" t="s">
        <v>453</v>
      </c>
      <c r="B20" s="6" t="s">
        <v>457</v>
      </c>
      <c r="C20" s="6" t="s">
        <v>194</v>
      </c>
      <c r="D20" s="7" t="s">
        <v>313</v>
      </c>
      <c r="E20" s="6" t="s">
        <v>144</v>
      </c>
    </row>
    <row r="21" ht="22.5" customHeight="1">
      <c r="A21" s="6" t="s">
        <v>463</v>
      </c>
      <c r="B21" s="6" t="s">
        <v>464</v>
      </c>
      <c r="C21" s="6" t="s">
        <v>329</v>
      </c>
      <c r="D21" s="7" t="s">
        <v>131</v>
      </c>
      <c r="E21" s="6" t="s">
        <v>120</v>
      </c>
    </row>
    <row r="22" ht="22.5" customHeight="1">
      <c r="A22" s="6" t="s">
        <v>469</v>
      </c>
      <c r="B22" s="6" t="s">
        <v>470</v>
      </c>
      <c r="C22" s="6" t="s">
        <v>284</v>
      </c>
      <c r="D22" s="7" t="s">
        <v>315</v>
      </c>
      <c r="E22" s="6" t="s">
        <v>144</v>
      </c>
    </row>
    <row r="23" ht="22.5" customHeight="1">
      <c r="A23" s="6" t="s">
        <v>476</v>
      </c>
      <c r="B23" s="6" t="s">
        <v>478</v>
      </c>
      <c r="C23" s="6" t="s">
        <v>47</v>
      </c>
      <c r="D23" s="7" t="s">
        <v>318</v>
      </c>
      <c r="E23" s="6" t="s">
        <v>144</v>
      </c>
    </row>
    <row r="24" ht="22.5" customHeight="1">
      <c r="A24" s="6" t="s">
        <v>483</v>
      </c>
      <c r="B24" s="6" t="s">
        <v>485</v>
      </c>
      <c r="C24" s="6" t="s">
        <v>284</v>
      </c>
      <c r="D24" s="7" t="s">
        <v>58</v>
      </c>
      <c r="E24" s="6" t="s">
        <v>52</v>
      </c>
    </row>
    <row r="25" ht="22.5" customHeight="1">
      <c r="A25" s="6" t="s">
        <v>489</v>
      </c>
      <c r="B25" s="6" t="s">
        <v>491</v>
      </c>
      <c r="C25" s="6" t="s">
        <v>47</v>
      </c>
      <c r="D25" s="7" t="s">
        <v>322</v>
      </c>
      <c r="E25" s="6" t="s">
        <v>144</v>
      </c>
    </row>
    <row r="26" ht="22.5" customHeight="1">
      <c r="A26" s="6" t="s">
        <v>495</v>
      </c>
      <c r="B26" s="6" t="s">
        <v>498</v>
      </c>
      <c r="C26" s="6" t="s">
        <v>194</v>
      </c>
      <c r="D26" s="7" t="s">
        <v>135</v>
      </c>
      <c r="E26" s="6" t="s">
        <v>120</v>
      </c>
    </row>
    <row r="27" ht="22.5" customHeight="1">
      <c r="A27" s="6" t="s">
        <v>509</v>
      </c>
      <c r="B27" s="6" t="s">
        <v>511</v>
      </c>
      <c r="C27" s="6" t="s">
        <v>227</v>
      </c>
      <c r="D27" s="7" t="s">
        <v>226</v>
      </c>
      <c r="E27" s="6" t="s">
        <v>208</v>
      </c>
    </row>
    <row r="28" ht="22.5" customHeight="1">
      <c r="A28" s="6" t="s">
        <v>519</v>
      </c>
      <c r="B28" s="6" t="s">
        <v>520</v>
      </c>
      <c r="C28" s="6" t="s">
        <v>194</v>
      </c>
      <c r="D28" s="7" t="s">
        <v>140</v>
      </c>
      <c r="E28" s="6" t="s">
        <v>120</v>
      </c>
    </row>
    <row r="29" ht="22.5" customHeight="1">
      <c r="A29" s="6" t="s">
        <v>534</v>
      </c>
      <c r="B29" s="6" t="s">
        <v>540</v>
      </c>
      <c r="C29" s="6" t="s">
        <v>329</v>
      </c>
      <c r="D29" s="7" t="s">
        <v>143</v>
      </c>
      <c r="E29" s="6" t="s">
        <v>120</v>
      </c>
    </row>
    <row r="30" ht="22.5" customHeight="1">
      <c r="A30" s="6" t="s">
        <v>558</v>
      </c>
      <c r="B30" s="6" t="s">
        <v>561</v>
      </c>
      <c r="C30" s="6" t="s">
        <v>194</v>
      </c>
      <c r="D30" s="7" t="s">
        <v>61</v>
      </c>
      <c r="E30" s="6" t="s">
        <v>52</v>
      </c>
    </row>
    <row r="31" ht="22.5" customHeight="1">
      <c r="A31" s="6" t="s">
        <v>574</v>
      </c>
      <c r="B31" s="6" t="s">
        <v>576</v>
      </c>
      <c r="C31" s="6" t="s">
        <v>194</v>
      </c>
      <c r="D31" s="7" t="s">
        <v>327</v>
      </c>
      <c r="E31" s="6" t="s">
        <v>144</v>
      </c>
    </row>
    <row r="32" ht="22.5" customHeight="1">
      <c r="A32" s="6" t="s">
        <v>584</v>
      </c>
      <c r="B32" s="6" t="s">
        <v>245</v>
      </c>
      <c r="C32" s="6" t="s">
        <v>227</v>
      </c>
      <c r="D32" s="7" t="s">
        <v>330</v>
      </c>
      <c r="E32" s="6" t="s">
        <v>144</v>
      </c>
    </row>
    <row r="33" ht="22.5" customHeight="1">
      <c r="A33" s="6" t="s">
        <v>594</v>
      </c>
      <c r="B33" s="6" t="s">
        <v>448</v>
      </c>
      <c r="C33" s="6" t="s">
        <v>227</v>
      </c>
      <c r="D33" s="7" t="s">
        <v>64</v>
      </c>
      <c r="E33" s="6" t="s">
        <v>52</v>
      </c>
    </row>
    <row r="34" ht="22.5" customHeight="1">
      <c r="A34" s="6" t="s">
        <v>609</v>
      </c>
      <c r="C34" s="6" t="s">
        <v>47</v>
      </c>
      <c r="D34" s="7" t="s">
        <v>67</v>
      </c>
      <c r="E34" s="6" t="s">
        <v>52</v>
      </c>
    </row>
    <row r="35" ht="22.5" customHeight="1">
      <c r="A35" s="6" t="s">
        <v>613</v>
      </c>
      <c r="B35" s="6" t="s">
        <v>222</v>
      </c>
      <c r="C35" s="6" t="s">
        <v>329</v>
      </c>
      <c r="D35" s="7" t="s">
        <v>332</v>
      </c>
      <c r="E35" s="6" t="s">
        <v>144</v>
      </c>
    </row>
    <row r="36" ht="22.5" customHeight="1">
      <c r="A36" s="6" t="s">
        <v>619</v>
      </c>
      <c r="C36" s="6" t="s">
        <v>171</v>
      </c>
      <c r="D36" s="7" t="s">
        <v>334</v>
      </c>
      <c r="E36" s="6" t="s">
        <v>144</v>
      </c>
    </row>
    <row r="37" ht="22.5" customHeight="1">
      <c r="A37" s="6" t="s">
        <v>622</v>
      </c>
      <c r="B37" s="6" t="s">
        <v>624</v>
      </c>
      <c r="C37" s="6" t="s">
        <v>625</v>
      </c>
      <c r="D37" s="7" t="s">
        <v>27</v>
      </c>
      <c r="E37" s="6" t="s">
        <v>8</v>
      </c>
    </row>
    <row r="38" ht="22.5" customHeight="1">
      <c r="A38" s="6" t="s">
        <v>630</v>
      </c>
      <c r="B38" s="6" t="s">
        <v>127</v>
      </c>
      <c r="C38" s="6" t="s">
        <v>194</v>
      </c>
      <c r="D38" s="7" t="s">
        <v>232</v>
      </c>
      <c r="E38" s="6" t="s">
        <v>208</v>
      </c>
    </row>
    <row r="39" ht="22.5" customHeight="1">
      <c r="A39" s="6" t="s">
        <v>637</v>
      </c>
      <c r="B39" s="6" t="s">
        <v>191</v>
      </c>
      <c r="C39" s="6" t="s">
        <v>194</v>
      </c>
      <c r="D39" s="7" t="s">
        <v>148</v>
      </c>
      <c r="E39" s="6" t="s">
        <v>120</v>
      </c>
    </row>
    <row r="40" ht="22.5" customHeight="1">
      <c r="A40" s="6" t="s">
        <v>640</v>
      </c>
      <c r="B40" s="6" t="s">
        <v>642</v>
      </c>
      <c r="C40" s="6" t="s">
        <v>47</v>
      </c>
      <c r="D40" s="7" t="s">
        <v>235</v>
      </c>
      <c r="E40" s="6" t="s">
        <v>208</v>
      </c>
    </row>
    <row r="41" ht="22.5" customHeight="1">
      <c r="A41" s="6" t="s">
        <v>647</v>
      </c>
      <c r="B41" s="6" t="s">
        <v>649</v>
      </c>
      <c r="C41" s="6" t="s">
        <v>650</v>
      </c>
      <c r="D41" s="7" t="s">
        <v>71</v>
      </c>
      <c r="E41" s="6" t="s">
        <v>52</v>
      </c>
    </row>
    <row r="42" ht="22.5" customHeight="1">
      <c r="A42" s="6" t="s">
        <v>651</v>
      </c>
      <c r="B42" s="6" t="s">
        <v>272</v>
      </c>
      <c r="C42" s="6" t="s">
        <v>656</v>
      </c>
      <c r="D42" s="7" t="s">
        <v>338</v>
      </c>
      <c r="E42" s="6" t="s">
        <v>144</v>
      </c>
    </row>
    <row r="43" ht="22.5" customHeight="1">
      <c r="A43" s="6" t="s">
        <v>664</v>
      </c>
      <c r="B43" s="6" t="s">
        <v>666</v>
      </c>
      <c r="C43" s="6" t="s">
        <v>171</v>
      </c>
      <c r="D43" s="7" t="s">
        <v>239</v>
      </c>
      <c r="E43" s="6" t="s">
        <v>208</v>
      </c>
    </row>
    <row r="44" ht="22.5" customHeight="1">
      <c r="A44" s="6" t="s">
        <v>669</v>
      </c>
      <c r="B44" s="6" t="s">
        <v>642</v>
      </c>
      <c r="C44" s="6" t="s">
        <v>47</v>
      </c>
      <c r="D44" s="7" t="s">
        <v>341</v>
      </c>
      <c r="E44" s="6" t="s">
        <v>144</v>
      </c>
    </row>
    <row r="45" ht="22.5" customHeight="1">
      <c r="A45" s="6" t="s">
        <v>675</v>
      </c>
      <c r="B45" s="6" t="s">
        <v>624</v>
      </c>
      <c r="C45" s="6" t="s">
        <v>625</v>
      </c>
      <c r="D45" s="7" t="s">
        <v>243</v>
      </c>
      <c r="E45" s="6" t="s">
        <v>208</v>
      </c>
    </row>
    <row r="46" ht="22.5" customHeight="1">
      <c r="A46" s="6" t="s">
        <v>686</v>
      </c>
      <c r="B46" s="6" t="s">
        <v>43</v>
      </c>
      <c r="C46" s="6" t="s">
        <v>688</v>
      </c>
      <c r="D46" s="7" t="s">
        <v>75</v>
      </c>
      <c r="E46" s="6" t="s">
        <v>52</v>
      </c>
    </row>
    <row r="47" ht="22.5" customHeight="1">
      <c r="A47" s="6" t="s">
        <v>691</v>
      </c>
      <c r="B47" s="6" t="s">
        <v>325</v>
      </c>
      <c r="C47" s="6" t="s">
        <v>329</v>
      </c>
      <c r="D47" s="7" t="s">
        <v>172</v>
      </c>
      <c r="E47" s="6" t="s">
        <v>169</v>
      </c>
    </row>
    <row r="48" ht="22.5" customHeight="1">
      <c r="A48" s="6" t="s">
        <v>699</v>
      </c>
      <c r="B48" s="6" t="s">
        <v>540</v>
      </c>
      <c r="C48" s="6" t="s">
        <v>329</v>
      </c>
      <c r="D48" s="7" t="s">
        <v>31</v>
      </c>
      <c r="E48" s="6" t="s">
        <v>8</v>
      </c>
    </row>
    <row r="49" ht="22.5" customHeight="1">
      <c r="A49" s="6" t="s">
        <v>702</v>
      </c>
      <c r="B49" s="6" t="s">
        <v>448</v>
      </c>
      <c r="C49" s="6" t="s">
        <v>227</v>
      </c>
      <c r="D49" s="7" t="s">
        <v>175</v>
      </c>
      <c r="E49" s="6" t="s">
        <v>169</v>
      </c>
    </row>
    <row r="50" ht="22.5" customHeight="1">
      <c r="A50" s="6" t="s">
        <v>709</v>
      </c>
      <c r="B50" s="6" t="s">
        <v>261</v>
      </c>
      <c r="C50" s="6" t="s">
        <v>194</v>
      </c>
      <c r="D50" s="7" t="s">
        <v>247</v>
      </c>
      <c r="E50" s="6" t="s">
        <v>208</v>
      </c>
    </row>
    <row r="51" ht="22.5" customHeight="1">
      <c r="A51" s="6" t="s">
        <v>714</v>
      </c>
      <c r="B51" s="6" t="s">
        <v>478</v>
      </c>
      <c r="C51" s="6" t="s">
        <v>47</v>
      </c>
      <c r="D51" s="7" t="s">
        <v>343</v>
      </c>
      <c r="E51" s="6" t="s">
        <v>144</v>
      </c>
    </row>
    <row r="52" ht="22.5" customHeight="1">
      <c r="A52" s="6" t="s">
        <v>719</v>
      </c>
      <c r="B52" s="6" t="s">
        <v>191</v>
      </c>
      <c r="C52" s="6" t="s">
        <v>106</v>
      </c>
      <c r="D52" s="7" t="s">
        <v>180</v>
      </c>
      <c r="E52" s="6" t="s">
        <v>169</v>
      </c>
    </row>
    <row r="53" ht="22.5" customHeight="1">
      <c r="A53" s="6" t="s">
        <v>723</v>
      </c>
      <c r="B53" s="6" t="s">
        <v>222</v>
      </c>
      <c r="C53" s="6" t="s">
        <v>329</v>
      </c>
      <c r="D53" s="7" t="s">
        <v>80</v>
      </c>
      <c r="E53" s="6" t="s">
        <v>52</v>
      </c>
    </row>
    <row r="54" ht="22.5" customHeight="1">
      <c r="A54" s="6" t="s">
        <v>728</v>
      </c>
      <c r="B54" s="6" t="s">
        <v>485</v>
      </c>
      <c r="C54" s="6" t="s">
        <v>284</v>
      </c>
      <c r="D54" s="7" t="s">
        <v>83</v>
      </c>
      <c r="E54" s="6" t="s">
        <v>52</v>
      </c>
    </row>
    <row r="55" ht="22.5" customHeight="1">
      <c r="A55" s="6" t="s">
        <v>732</v>
      </c>
      <c r="B55" s="6" t="s">
        <v>441</v>
      </c>
      <c r="C55" s="6" t="s">
        <v>284</v>
      </c>
      <c r="D55" s="7" t="s">
        <v>345</v>
      </c>
      <c r="E55" s="6" t="s">
        <v>144</v>
      </c>
    </row>
    <row r="56" ht="22.5" customHeight="1">
      <c r="A56" s="6" t="s">
        <v>736</v>
      </c>
      <c r="B56" s="6" t="s">
        <v>576</v>
      </c>
      <c r="C56" s="6" t="s">
        <v>194</v>
      </c>
      <c r="D56" s="7" t="s">
        <v>347</v>
      </c>
      <c r="E56" s="6" t="s">
        <v>144</v>
      </c>
    </row>
    <row r="57" ht="22.5" customHeight="1">
      <c r="A57" s="6" t="s">
        <v>742</v>
      </c>
      <c r="B57" s="6" t="s">
        <v>245</v>
      </c>
      <c r="C57" s="6" t="s">
        <v>227</v>
      </c>
      <c r="D57" s="7" t="s">
        <v>251</v>
      </c>
      <c r="E57" s="6" t="s">
        <v>208</v>
      </c>
    </row>
    <row r="58" ht="22.5" customHeight="1">
      <c r="A58" s="6" t="s">
        <v>746</v>
      </c>
      <c r="B58" s="6" t="s">
        <v>191</v>
      </c>
      <c r="C58" s="6" t="s">
        <v>194</v>
      </c>
      <c r="D58" s="7" t="s">
        <v>86</v>
      </c>
      <c r="E58" s="6" t="s">
        <v>52</v>
      </c>
    </row>
    <row r="59" ht="22.5" customHeight="1">
      <c r="A59" s="6" t="s">
        <v>753</v>
      </c>
      <c r="B59" s="6" t="s">
        <v>457</v>
      </c>
      <c r="C59" s="6" t="s">
        <v>194</v>
      </c>
      <c r="D59" s="7" t="s">
        <v>350</v>
      </c>
      <c r="E59" s="6" t="s">
        <v>144</v>
      </c>
    </row>
    <row r="60" ht="22.5" customHeight="1">
      <c r="A60" s="6" t="s">
        <v>763</v>
      </c>
      <c r="B60" s="6" t="s">
        <v>764</v>
      </c>
      <c r="C60" s="6" t="s">
        <v>766</v>
      </c>
      <c r="D60" s="7" t="s">
        <v>343</v>
      </c>
      <c r="E60" s="6" t="s">
        <v>144</v>
      </c>
    </row>
    <row r="61" ht="22.5" customHeight="1">
      <c r="A61" s="6" t="s">
        <v>771</v>
      </c>
      <c r="C61" s="6" t="s">
        <v>329</v>
      </c>
      <c r="D61" s="7" t="s">
        <v>355</v>
      </c>
      <c r="E61" s="6" t="s">
        <v>144</v>
      </c>
    </row>
    <row r="62" ht="22.5" customHeight="1">
      <c r="A62" s="6" t="s">
        <v>774</v>
      </c>
      <c r="B62" s="6" t="s">
        <v>154</v>
      </c>
      <c r="C62" s="6" t="s">
        <v>47</v>
      </c>
      <c r="D62" s="7" t="s">
        <v>358</v>
      </c>
      <c r="E62" s="6" t="s">
        <v>144</v>
      </c>
    </row>
    <row r="63" ht="22.5" customHeight="1">
      <c r="A63" s="6" t="s">
        <v>781</v>
      </c>
      <c r="B63" s="6" t="s">
        <v>642</v>
      </c>
      <c r="C63" s="6" t="s">
        <v>47</v>
      </c>
      <c r="D63" s="7" t="s">
        <v>151</v>
      </c>
      <c r="E63" s="6" t="s">
        <v>120</v>
      </c>
    </row>
    <row r="64" ht="22.5" customHeight="1">
      <c r="A64" s="6" t="s">
        <v>784</v>
      </c>
      <c r="B64" s="6" t="s">
        <v>457</v>
      </c>
      <c r="C64" s="6" t="s">
        <v>194</v>
      </c>
      <c r="D64" s="7" t="s">
        <v>155</v>
      </c>
      <c r="E64" s="6" t="s">
        <v>120</v>
      </c>
    </row>
    <row r="65" ht="22.5" customHeight="1">
      <c r="A65" s="6" t="s">
        <v>789</v>
      </c>
      <c r="B65" s="6" t="s">
        <v>642</v>
      </c>
      <c r="C65" s="6" t="s">
        <v>47</v>
      </c>
      <c r="D65" s="7" t="s">
        <v>362</v>
      </c>
      <c r="E65" s="6" t="s">
        <v>144</v>
      </c>
    </row>
    <row r="66" ht="22.5" customHeight="1">
      <c r="A66" s="6" t="s">
        <v>795</v>
      </c>
      <c r="B66" s="6" t="s">
        <v>498</v>
      </c>
      <c r="C66" s="6" t="s">
        <v>194</v>
      </c>
      <c r="D66" s="7" t="s">
        <v>34</v>
      </c>
      <c r="E66" s="6" t="s">
        <v>8</v>
      </c>
    </row>
    <row r="67" ht="22.5" customHeight="1">
      <c r="A67" s="6" t="s">
        <v>802</v>
      </c>
      <c r="B67" s="6" t="s">
        <v>576</v>
      </c>
      <c r="C67" s="6" t="s">
        <v>194</v>
      </c>
      <c r="D67" s="7" t="s">
        <v>257</v>
      </c>
      <c r="E67" s="6" t="s">
        <v>208</v>
      </c>
    </row>
    <row r="68" ht="22.5" customHeight="1">
      <c r="A68" s="6" t="s">
        <v>809</v>
      </c>
      <c r="B68" s="6" t="s">
        <v>491</v>
      </c>
      <c r="C68" s="6" t="s">
        <v>47</v>
      </c>
      <c r="D68" s="7" t="s">
        <v>89</v>
      </c>
      <c r="E68" s="6" t="s">
        <v>52</v>
      </c>
    </row>
    <row r="69" ht="22.5" customHeight="1">
      <c r="A69" s="6" t="s">
        <v>814</v>
      </c>
      <c r="B69" s="6" t="s">
        <v>491</v>
      </c>
      <c r="C69" s="6" t="s">
        <v>47</v>
      </c>
      <c r="D69" s="7" t="s">
        <v>366</v>
      </c>
      <c r="E69" s="6" t="s">
        <v>144</v>
      </c>
    </row>
    <row r="70" ht="22.5" customHeight="1">
      <c r="A70" s="6" t="s">
        <v>820</v>
      </c>
      <c r="B70" s="6" t="s">
        <v>261</v>
      </c>
      <c r="D70" s="7" t="s">
        <v>262</v>
      </c>
      <c r="E70" s="6" t="s">
        <v>208</v>
      </c>
    </row>
    <row r="71" ht="22.5" customHeight="1">
      <c r="A71" s="6" t="s">
        <v>827</v>
      </c>
      <c r="B71" s="6" t="s">
        <v>448</v>
      </c>
      <c r="C71" s="6" t="s">
        <v>227</v>
      </c>
      <c r="D71" s="7" t="s">
        <v>182</v>
      </c>
      <c r="E71" s="6" t="s">
        <v>169</v>
      </c>
    </row>
    <row r="72" ht="22.5" customHeight="1">
      <c r="A72" s="6" t="s">
        <v>832</v>
      </c>
      <c r="B72" s="6" t="s">
        <v>154</v>
      </c>
      <c r="D72" s="7" t="s">
        <v>185</v>
      </c>
      <c r="E72" s="6" t="s">
        <v>169</v>
      </c>
    </row>
    <row r="73" ht="22.5" customHeight="1">
      <c r="A73" s="6" t="s">
        <v>836</v>
      </c>
      <c r="B73" s="6" t="s">
        <v>325</v>
      </c>
      <c r="C73" s="6" t="s">
        <v>329</v>
      </c>
      <c r="D73" s="7" t="s">
        <v>368</v>
      </c>
      <c r="E73" s="6" t="s">
        <v>144</v>
      </c>
    </row>
    <row r="74" ht="22.5" customHeight="1">
      <c r="A74" s="6" t="s">
        <v>844</v>
      </c>
      <c r="B74" s="6" t="s">
        <v>432</v>
      </c>
      <c r="C74" s="6" t="s">
        <v>329</v>
      </c>
      <c r="D74" s="7" t="s">
        <v>264</v>
      </c>
      <c r="E74" s="6" t="s">
        <v>208</v>
      </c>
    </row>
    <row r="75" ht="22.5" customHeight="1">
      <c r="A75" s="6" t="s">
        <v>852</v>
      </c>
      <c r="B75" s="6" t="s">
        <v>576</v>
      </c>
      <c r="C75" s="6" t="s">
        <v>194</v>
      </c>
      <c r="D75" s="7" t="s">
        <v>371</v>
      </c>
      <c r="E75" s="6" t="s">
        <v>144</v>
      </c>
    </row>
    <row r="76" ht="22.5" customHeight="1">
      <c r="A76" s="6" t="s">
        <v>859</v>
      </c>
      <c r="B76" s="6" t="s">
        <v>448</v>
      </c>
      <c r="C76" s="6" t="s">
        <v>227</v>
      </c>
      <c r="D76" s="7" t="s">
        <v>93</v>
      </c>
      <c r="E76" s="6" t="s">
        <v>52</v>
      </c>
    </row>
    <row r="77" ht="22.5" customHeight="1">
      <c r="A77" s="6" t="s">
        <v>872</v>
      </c>
      <c r="B77" s="6" t="s">
        <v>272</v>
      </c>
      <c r="C77" s="6" t="s">
        <v>656</v>
      </c>
      <c r="D77" s="7" t="s">
        <v>189</v>
      </c>
      <c r="E77" s="6" t="s">
        <v>169</v>
      </c>
    </row>
    <row r="78" ht="22.5" customHeight="1">
      <c r="A78" s="6" t="s">
        <v>919</v>
      </c>
      <c r="B78" s="6" t="s">
        <v>470</v>
      </c>
      <c r="C78" s="6" t="s">
        <v>284</v>
      </c>
      <c r="D78" s="7" t="s">
        <v>99</v>
      </c>
      <c r="E78" s="6" t="s">
        <v>52</v>
      </c>
    </row>
    <row r="79" ht="22.5" customHeight="1">
      <c r="A79" s="6" t="s">
        <v>928</v>
      </c>
      <c r="B79" s="6" t="s">
        <v>102</v>
      </c>
      <c r="C79" s="6" t="s">
        <v>930</v>
      </c>
      <c r="D79" s="7" t="s">
        <v>99</v>
      </c>
      <c r="E79" s="6" t="s">
        <v>52</v>
      </c>
    </row>
    <row r="80" ht="22.5" customHeight="1">
      <c r="A80" s="6" t="s">
        <v>936</v>
      </c>
      <c r="B80" s="6" t="s">
        <v>127</v>
      </c>
      <c r="C80" s="6" t="s">
        <v>133</v>
      </c>
      <c r="D80" s="7" t="s">
        <v>235</v>
      </c>
      <c r="E80" s="6" t="s">
        <v>208</v>
      </c>
    </row>
    <row r="81" ht="22.5" customHeight="1">
      <c r="A81" s="6" t="s">
        <v>941</v>
      </c>
      <c r="B81" s="6" t="s">
        <v>511</v>
      </c>
      <c r="C81" s="6" t="s">
        <v>227</v>
      </c>
      <c r="D81" s="7" t="s">
        <v>268</v>
      </c>
      <c r="E81" s="6" t="s">
        <v>208</v>
      </c>
    </row>
    <row r="82" ht="22.5" customHeight="1">
      <c r="A82" s="6" t="s">
        <v>948</v>
      </c>
      <c r="B82" s="6" t="s">
        <v>154</v>
      </c>
      <c r="C82" s="6" t="s">
        <v>47</v>
      </c>
      <c r="D82" s="7" t="s">
        <v>38</v>
      </c>
      <c r="E82" s="6" t="s">
        <v>8</v>
      </c>
    </row>
    <row r="83" ht="22.5" customHeight="1">
      <c r="A83" s="6" t="s">
        <v>950</v>
      </c>
      <c r="B83" s="6" t="s">
        <v>953</v>
      </c>
      <c r="C83" s="6" t="s">
        <v>329</v>
      </c>
      <c r="D83" s="7" t="s">
        <v>374</v>
      </c>
      <c r="E83" s="6" t="s">
        <v>144</v>
      </c>
    </row>
    <row r="84" ht="22.5" customHeight="1">
      <c r="A84" s="6" t="s">
        <v>957</v>
      </c>
      <c r="B84" s="6" t="s">
        <v>470</v>
      </c>
      <c r="C84" s="6" t="s">
        <v>284</v>
      </c>
      <c r="D84" s="7" t="s">
        <v>378</v>
      </c>
      <c r="E84" s="6" t="s">
        <v>144</v>
      </c>
    </row>
    <row r="85" ht="22.5" customHeight="1">
      <c r="A85" s="6" t="s">
        <v>964</v>
      </c>
      <c r="B85" s="6" t="s">
        <v>965</v>
      </c>
      <c r="C85" s="6" t="s">
        <v>106</v>
      </c>
      <c r="D85" s="7" t="s">
        <v>382</v>
      </c>
      <c r="E85" s="6" t="s">
        <v>144</v>
      </c>
    </row>
    <row r="86" ht="22.5" customHeight="1">
      <c r="A86" s="6" t="s">
        <v>967</v>
      </c>
      <c r="B86" s="6" t="s">
        <v>576</v>
      </c>
      <c r="C86" s="6" t="s">
        <v>194</v>
      </c>
      <c r="D86" s="7" t="s">
        <v>270</v>
      </c>
      <c r="E86" s="6" t="s">
        <v>208</v>
      </c>
    </row>
    <row r="87" ht="22.5" customHeight="1">
      <c r="A87" s="6" t="s">
        <v>973</v>
      </c>
      <c r="B87" s="6" t="s">
        <v>441</v>
      </c>
      <c r="C87" s="6" t="s">
        <v>284</v>
      </c>
      <c r="D87" s="7" t="s">
        <v>386</v>
      </c>
      <c r="E87" s="6" t="s">
        <v>144</v>
      </c>
    </row>
    <row r="88" ht="22.5" customHeight="1">
      <c r="A88" s="6" t="s">
        <v>979</v>
      </c>
      <c r="B88" s="6" t="s">
        <v>432</v>
      </c>
      <c r="C88" s="6" t="s">
        <v>329</v>
      </c>
      <c r="D88" s="7" t="s">
        <v>157</v>
      </c>
      <c r="E88" s="6" t="s">
        <v>120</v>
      </c>
    </row>
    <row r="89" ht="22.5" customHeight="1">
      <c r="A89" s="6" t="s">
        <v>981</v>
      </c>
      <c r="B89" s="6" t="s">
        <v>272</v>
      </c>
      <c r="D89" s="7" t="s">
        <v>273</v>
      </c>
      <c r="E89" s="6" t="s">
        <v>208</v>
      </c>
    </row>
    <row r="90" ht="22.5" customHeight="1">
      <c r="A90" s="6" t="s">
        <v>986</v>
      </c>
      <c r="B90" s="6" t="s">
        <v>441</v>
      </c>
      <c r="C90" s="6" t="s">
        <v>284</v>
      </c>
      <c r="D90" s="7" t="s">
        <v>388</v>
      </c>
      <c r="E90" s="6" t="s">
        <v>144</v>
      </c>
    </row>
    <row r="91" ht="22.5" customHeight="1">
      <c r="A91" s="6" t="s">
        <v>990</v>
      </c>
      <c r="B91" s="6" t="s">
        <v>624</v>
      </c>
      <c r="C91" s="6" t="s">
        <v>625</v>
      </c>
      <c r="D91" s="7" t="s">
        <v>390</v>
      </c>
      <c r="E91" s="6" t="s">
        <v>144</v>
      </c>
    </row>
    <row r="92" ht="22.5" customHeight="1">
      <c r="A92" s="6" t="s">
        <v>996</v>
      </c>
      <c r="B92" s="6" t="s">
        <v>624</v>
      </c>
      <c r="C92" s="6" t="s">
        <v>625</v>
      </c>
      <c r="D92" s="7" t="s">
        <v>368</v>
      </c>
      <c r="E92" s="6" t="s">
        <v>144</v>
      </c>
    </row>
    <row r="93" ht="22.5" customHeight="1">
      <c r="A93" s="6" t="s">
        <v>1000</v>
      </c>
      <c r="B93" s="6" t="s">
        <v>491</v>
      </c>
      <c r="C93" s="6" t="s">
        <v>47</v>
      </c>
      <c r="D93" s="7" t="s">
        <v>398</v>
      </c>
      <c r="E93" s="6" t="s">
        <v>144</v>
      </c>
    </row>
    <row r="94" ht="22.5" customHeight="1">
      <c r="A94" s="6" t="s">
        <v>1004</v>
      </c>
      <c r="B94" s="6" t="s">
        <v>280</v>
      </c>
      <c r="C94" s="6" t="s">
        <v>47</v>
      </c>
      <c r="D94" s="7" t="s">
        <v>358</v>
      </c>
      <c r="E94" s="6" t="s">
        <v>144</v>
      </c>
    </row>
    <row r="95" ht="22.5" customHeight="1">
      <c r="A95" s="6" t="s">
        <v>1010</v>
      </c>
      <c r="B95" s="6" t="s">
        <v>965</v>
      </c>
      <c r="C95" s="6" t="s">
        <v>106</v>
      </c>
      <c r="D95" s="7" t="s">
        <v>159</v>
      </c>
      <c r="E95" s="6" t="s">
        <v>120</v>
      </c>
    </row>
    <row r="96" ht="22.5" customHeight="1">
      <c r="A96" s="6" t="s">
        <v>1014</v>
      </c>
      <c r="B96" s="6" t="s">
        <v>102</v>
      </c>
      <c r="C96" s="6" t="s">
        <v>930</v>
      </c>
      <c r="D96" s="7" t="s">
        <v>192</v>
      </c>
      <c r="E96" s="6" t="s">
        <v>169</v>
      </c>
    </row>
    <row r="97" ht="22.5" customHeight="1">
      <c r="A97" s="6" t="s">
        <v>1020</v>
      </c>
      <c r="B97" s="6" t="s">
        <v>303</v>
      </c>
      <c r="C97" s="6" t="s">
        <v>284</v>
      </c>
      <c r="D97" s="7" t="s">
        <v>197</v>
      </c>
      <c r="E97" s="6" t="s">
        <v>169</v>
      </c>
    </row>
    <row r="98" ht="22.5" customHeight="1">
      <c r="A98" s="6" t="s">
        <v>1022</v>
      </c>
      <c r="B98" s="6" t="s">
        <v>1023</v>
      </c>
      <c r="C98" s="6" t="s">
        <v>329</v>
      </c>
      <c r="D98" s="7" t="s">
        <v>404</v>
      </c>
      <c r="E98" s="6" t="s">
        <v>144</v>
      </c>
    </row>
    <row r="99" ht="22.5" customHeight="1">
      <c r="A99" s="6" t="s">
        <v>1027</v>
      </c>
      <c r="B99" s="6" t="s">
        <v>540</v>
      </c>
      <c r="C99" s="6" t="s">
        <v>329</v>
      </c>
      <c r="D99" s="7" t="s">
        <v>277</v>
      </c>
      <c r="E99" s="6" t="s">
        <v>208</v>
      </c>
    </row>
    <row r="100" ht="22.5" customHeight="1">
      <c r="A100" s="6" t="s">
        <v>1032</v>
      </c>
      <c r="B100" s="6" t="s">
        <v>154</v>
      </c>
      <c r="C100" s="6" t="s">
        <v>47</v>
      </c>
      <c r="D100" s="7" t="s">
        <v>40</v>
      </c>
      <c r="E100" s="6" t="s">
        <v>8</v>
      </c>
    </row>
    <row r="101" ht="22.5" customHeight="1">
      <c r="A101" s="6" t="s">
        <v>1036</v>
      </c>
      <c r="B101" s="6" t="s">
        <v>498</v>
      </c>
      <c r="C101" s="6" t="s">
        <v>194</v>
      </c>
      <c r="D101" s="7" t="s">
        <v>107</v>
      </c>
      <c r="E101" s="6" t="s">
        <v>52</v>
      </c>
    </row>
    <row r="102" ht="22.5" customHeight="1">
      <c r="A102" s="6" t="s">
        <v>1038</v>
      </c>
      <c r="B102" s="6" t="s">
        <v>191</v>
      </c>
      <c r="C102" s="6" t="s">
        <v>194</v>
      </c>
      <c r="D102" s="7" t="s">
        <v>378</v>
      </c>
      <c r="E102" s="6" t="s">
        <v>144</v>
      </c>
    </row>
    <row r="103" ht="22.5" customHeight="1">
      <c r="A103" s="6" t="s">
        <v>1045</v>
      </c>
      <c r="B103" s="6" t="s">
        <v>953</v>
      </c>
      <c r="C103" s="6" t="s">
        <v>329</v>
      </c>
      <c r="D103" s="7" t="s">
        <v>332</v>
      </c>
      <c r="E103" s="6" t="s">
        <v>144</v>
      </c>
    </row>
    <row r="104" ht="22.5" customHeight="1">
      <c r="A104" s="6" t="s">
        <v>1047</v>
      </c>
      <c r="B104" s="6" t="s">
        <v>965</v>
      </c>
      <c r="C104" s="6" t="s">
        <v>106</v>
      </c>
      <c r="D104" s="7" t="s">
        <v>38</v>
      </c>
      <c r="E104" s="6" t="s">
        <v>8</v>
      </c>
    </row>
    <row r="105" ht="22.5" customHeight="1">
      <c r="A105" s="6" t="s">
        <v>1050</v>
      </c>
      <c r="B105" s="6" t="s">
        <v>280</v>
      </c>
      <c r="C105" s="6" t="s">
        <v>284</v>
      </c>
      <c r="D105" s="7" t="s">
        <v>243</v>
      </c>
      <c r="E105" s="6" t="s">
        <v>208</v>
      </c>
    </row>
    <row r="106" ht="22.5" customHeight="1">
      <c r="A106" s="6" t="s">
        <v>1053</v>
      </c>
      <c r="B106" s="6" t="s">
        <v>222</v>
      </c>
      <c r="C106" s="6" t="s">
        <v>329</v>
      </c>
      <c r="D106" s="7" t="s">
        <v>71</v>
      </c>
      <c r="E106" s="6" t="s">
        <v>52</v>
      </c>
    </row>
    <row r="107" ht="22.5" customHeight="1">
      <c r="A107" s="6" t="s">
        <v>1058</v>
      </c>
      <c r="B107" s="6" t="s">
        <v>303</v>
      </c>
      <c r="C107" s="6" t="s">
        <v>284</v>
      </c>
      <c r="D107" s="7" t="s">
        <v>305</v>
      </c>
      <c r="E107" s="6" t="s">
        <v>144</v>
      </c>
    </row>
    <row r="108" ht="22.5" customHeight="1">
      <c r="A108" s="6" t="s">
        <v>1061</v>
      </c>
      <c r="B108" s="6" t="s">
        <v>953</v>
      </c>
      <c r="C108" s="6" t="s">
        <v>329</v>
      </c>
      <c r="D108" s="7" t="s">
        <v>270</v>
      </c>
      <c r="E108" s="6" t="s">
        <v>208</v>
      </c>
    </row>
    <row r="109" ht="22.5" customHeight="1">
      <c r="A109" s="6" t="s">
        <v>1064</v>
      </c>
      <c r="B109" s="6" t="s">
        <v>441</v>
      </c>
      <c r="C109" s="6" t="s">
        <v>284</v>
      </c>
      <c r="D109" s="7" t="s">
        <v>413</v>
      </c>
      <c r="E109" s="6" t="s">
        <v>144</v>
      </c>
    </row>
    <row r="110" ht="22.5" customHeight="1">
      <c r="A110" s="6" t="s">
        <v>1069</v>
      </c>
      <c r="B110" s="6" t="s">
        <v>642</v>
      </c>
      <c r="C110" s="6" t="s">
        <v>47</v>
      </c>
      <c r="D110" s="7" t="s">
        <v>16</v>
      </c>
      <c r="E110" s="6" t="s">
        <v>8</v>
      </c>
    </row>
    <row r="111" ht="22.5" customHeight="1">
      <c r="A111" s="6" t="s">
        <v>1071</v>
      </c>
      <c r="B111" s="6" t="s">
        <v>154</v>
      </c>
      <c r="C111" s="6" t="s">
        <v>47</v>
      </c>
      <c r="D111" s="7" t="s">
        <v>382</v>
      </c>
      <c r="E111" s="6" t="s">
        <v>144</v>
      </c>
    </row>
    <row r="112" ht="22.5" customHeight="1">
      <c r="A112" s="6" t="s">
        <v>1073</v>
      </c>
      <c r="B112" s="6" t="s">
        <v>76</v>
      </c>
      <c r="C112" s="6" t="s">
        <v>1075</v>
      </c>
      <c r="D112" s="7" t="s">
        <v>165</v>
      </c>
      <c r="E112" s="6" t="s">
        <v>120</v>
      </c>
    </row>
    <row r="113" ht="22.5" customHeight="1">
      <c r="A113" s="6" t="s">
        <v>1077</v>
      </c>
      <c r="B113" s="6" t="s">
        <v>1078</v>
      </c>
      <c r="C113" s="6" t="s">
        <v>1079</v>
      </c>
      <c r="D113" s="7" t="s">
        <v>288</v>
      </c>
      <c r="E113" s="6" t="s">
        <v>208</v>
      </c>
    </row>
    <row r="114" ht="22.5" customHeight="1">
      <c r="A114" s="6" t="s">
        <v>1083</v>
      </c>
      <c r="B114" s="6" t="s">
        <v>359</v>
      </c>
      <c r="C114" s="6" t="s">
        <v>329</v>
      </c>
      <c r="D114" s="7" t="s">
        <v>137</v>
      </c>
      <c r="E114" s="6" t="s">
        <v>144</v>
      </c>
    </row>
    <row r="115" ht="22.5" customHeight="1">
      <c r="A115" s="6" t="s">
        <v>1085</v>
      </c>
      <c r="B115" s="6" t="s">
        <v>325</v>
      </c>
      <c r="C115" s="6" t="s">
        <v>329</v>
      </c>
      <c r="D115" s="7" t="s">
        <v>368</v>
      </c>
      <c r="E115" s="6" t="s">
        <v>144</v>
      </c>
    </row>
    <row r="116" ht="22.5" customHeight="1">
      <c r="A116" s="6" t="s">
        <v>1088</v>
      </c>
      <c r="B116" s="6" t="s">
        <v>272</v>
      </c>
      <c r="C116" s="6" t="s">
        <v>656</v>
      </c>
      <c r="D116" s="7" t="s">
        <v>371</v>
      </c>
      <c r="E116" s="6" t="s">
        <v>144</v>
      </c>
    </row>
    <row r="117" ht="22.5" customHeight="1">
      <c r="A117" s="6" t="s">
        <v>1093</v>
      </c>
      <c r="B117" s="6" t="s">
        <v>491</v>
      </c>
      <c r="C117" s="6" t="s">
        <v>47</v>
      </c>
      <c r="D117" s="7" t="s">
        <v>343</v>
      </c>
      <c r="E117" s="6" t="s">
        <v>144</v>
      </c>
    </row>
    <row r="118" ht="22.5" customHeight="1">
      <c r="A118" s="6" t="s">
        <v>1095</v>
      </c>
      <c r="B118" s="6" t="s">
        <v>965</v>
      </c>
      <c r="C118" s="6" t="s">
        <v>106</v>
      </c>
      <c r="D118" s="7" t="s">
        <v>371</v>
      </c>
      <c r="E118" s="6" t="s">
        <v>144</v>
      </c>
    </row>
    <row r="119" ht="22.5" customHeight="1">
      <c r="A119" s="6" t="s">
        <v>1097</v>
      </c>
      <c r="B119" s="6" t="s">
        <v>43</v>
      </c>
      <c r="C119" s="6" t="s">
        <v>688</v>
      </c>
      <c r="D119" s="7" t="s">
        <v>83</v>
      </c>
      <c r="E119" s="6" t="s">
        <v>52</v>
      </c>
    </row>
    <row r="120" ht="22.5" customHeight="1">
      <c r="A120" s="6" t="s">
        <v>1101</v>
      </c>
      <c r="B120" s="6" t="s">
        <v>432</v>
      </c>
      <c r="C120" s="6" t="s">
        <v>329</v>
      </c>
      <c r="D120" s="7" t="s">
        <v>99</v>
      </c>
      <c r="E120" s="6" t="s">
        <v>52</v>
      </c>
    </row>
    <row r="121" ht="22.5" customHeight="1">
      <c r="A121" s="6" t="s">
        <v>1104</v>
      </c>
      <c r="B121" s="6" t="s">
        <v>642</v>
      </c>
      <c r="C121" s="6" t="s">
        <v>47</v>
      </c>
      <c r="D121" s="7" t="s">
        <v>48</v>
      </c>
      <c r="E121" s="6" t="s">
        <v>8</v>
      </c>
    </row>
    <row r="122" ht="22.5" customHeight="1">
      <c r="A122" s="6" t="s">
        <v>1106</v>
      </c>
      <c r="B122" s="6" t="s">
        <v>448</v>
      </c>
      <c r="C122" s="6" t="s">
        <v>227</v>
      </c>
      <c r="D122" s="7" t="s">
        <v>345</v>
      </c>
      <c r="E122" s="6" t="s">
        <v>144</v>
      </c>
    </row>
    <row r="123" ht="22.5" customHeight="1">
      <c r="A123" s="6" t="s">
        <v>1111</v>
      </c>
      <c r="B123" s="6" t="s">
        <v>485</v>
      </c>
      <c r="C123" s="6" t="s">
        <v>284</v>
      </c>
      <c r="D123" s="7" t="s">
        <v>292</v>
      </c>
      <c r="E123" s="6" t="s">
        <v>208</v>
      </c>
    </row>
    <row r="124" ht="22.5" customHeight="1">
      <c r="A124" s="6" t="s">
        <v>1113</v>
      </c>
      <c r="B124" s="6" t="s">
        <v>325</v>
      </c>
      <c r="C124" s="6" t="s">
        <v>329</v>
      </c>
      <c r="D124" s="7" t="s">
        <v>203</v>
      </c>
      <c r="E124" s="6" t="s">
        <v>169</v>
      </c>
    </row>
    <row r="125" ht="22.5" customHeight="1">
      <c r="A125" s="6" t="s">
        <v>1117</v>
      </c>
      <c r="B125" s="6" t="s">
        <v>222</v>
      </c>
      <c r="C125" s="6" t="s">
        <v>329</v>
      </c>
      <c r="D125" s="7" t="s">
        <v>226</v>
      </c>
      <c r="E125" s="6" t="s">
        <v>208</v>
      </c>
    </row>
    <row r="126" ht="22.5" customHeight="1">
      <c r="A126" s="6" t="s">
        <v>1120</v>
      </c>
      <c r="B126" s="6" t="s">
        <v>764</v>
      </c>
      <c r="C126" s="6" t="s">
        <v>766</v>
      </c>
      <c r="D126" s="7" t="s">
        <v>431</v>
      </c>
      <c r="E126" s="6" t="s">
        <v>144</v>
      </c>
    </row>
    <row r="127" ht="22.5" customHeight="1">
      <c r="A127" s="6" t="s">
        <v>1123</v>
      </c>
      <c r="B127" s="6" t="s">
        <v>325</v>
      </c>
      <c r="C127" s="6" t="s">
        <v>329</v>
      </c>
      <c r="D127" s="7" t="s">
        <v>288</v>
      </c>
      <c r="E127" s="6" t="s">
        <v>208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11.13"/>
    <col customWidth="1" min="3" max="3" width="23.75"/>
    <col customWidth="1" min="4" max="4" width="12.25"/>
    <col customWidth="1" min="5" max="5" width="15.63"/>
    <col customWidth="1" min="6" max="6" width="12.88"/>
    <col customWidth="1" min="7" max="7" width="14.25"/>
    <col customWidth="1" min="8" max="8" width="11.88"/>
    <col customWidth="1" min="9" max="9" width="8.25"/>
    <col customWidth="1" min="10" max="10" width="16.0"/>
    <col customWidth="1" min="11" max="11" width="28.25"/>
    <col customWidth="1" min="12" max="12" width="12.38"/>
    <col customWidth="1" min="13" max="13" width="10.63"/>
    <col customWidth="1" min="14" max="14" width="17.5"/>
    <col customWidth="1" min="15" max="15" width="18.63"/>
    <col customWidth="1" min="16" max="16" width="11.5"/>
  </cols>
  <sheetData>
    <row r="1" ht="22.5" customHeight="1">
      <c r="A1" s="5" t="s">
        <v>66</v>
      </c>
      <c r="B1" s="5" t="s">
        <v>73</v>
      </c>
      <c r="C1" s="5" t="s">
        <v>78</v>
      </c>
      <c r="D1" s="5" t="s">
        <v>90</v>
      </c>
      <c r="E1" s="5" t="s">
        <v>92</v>
      </c>
      <c r="F1" s="5" t="s">
        <v>98</v>
      </c>
      <c r="G1" s="5" t="s">
        <v>101</v>
      </c>
      <c r="H1" s="5" t="s">
        <v>105</v>
      </c>
      <c r="I1" s="5" t="s">
        <v>108</v>
      </c>
      <c r="J1" s="5" t="s">
        <v>110</v>
      </c>
      <c r="K1" s="5" t="s">
        <v>112</v>
      </c>
      <c r="L1" s="5" t="s">
        <v>114</v>
      </c>
      <c r="M1" s="5" t="s">
        <v>117</v>
      </c>
      <c r="N1" s="5" t="s">
        <v>123</v>
      </c>
      <c r="O1" s="5" t="s">
        <v>125</v>
      </c>
      <c r="P1" s="5" t="s">
        <v>129</v>
      </c>
    </row>
    <row r="2" ht="22.5" customHeight="1">
      <c r="A2" s="6" t="s">
        <v>134</v>
      </c>
      <c r="B2" s="6" t="s">
        <v>139</v>
      </c>
      <c r="C2" s="6" t="s">
        <v>142</v>
      </c>
      <c r="D2" s="6" t="s">
        <v>145</v>
      </c>
      <c r="E2" s="6" t="s">
        <v>147</v>
      </c>
      <c r="F2" s="8">
        <v>28.0</v>
      </c>
      <c r="G2" s="9">
        <v>1747.22</v>
      </c>
      <c r="H2" s="9">
        <v>14822.54</v>
      </c>
      <c r="I2" s="6" t="s">
        <v>161</v>
      </c>
      <c r="J2" s="6" t="s">
        <v>163</v>
      </c>
      <c r="K2" s="6" t="s">
        <v>164</v>
      </c>
      <c r="L2" s="6">
        <v>4.2570632673E10</v>
      </c>
      <c r="M2" s="6" t="s">
        <v>174</v>
      </c>
      <c r="N2" s="6" t="s">
        <v>176</v>
      </c>
      <c r="O2" s="6" t="s">
        <v>178</v>
      </c>
      <c r="P2" s="10">
        <v>45993.0</v>
      </c>
    </row>
    <row r="3" ht="22.5" customHeight="1">
      <c r="A3" s="6" t="s">
        <v>195</v>
      </c>
      <c r="B3" s="6" t="s">
        <v>199</v>
      </c>
      <c r="C3" s="6" t="s">
        <v>202</v>
      </c>
      <c r="D3" s="6" t="s">
        <v>206</v>
      </c>
      <c r="E3" s="6" t="s">
        <v>210</v>
      </c>
      <c r="F3" s="8">
        <v>71.0</v>
      </c>
      <c r="G3" s="9">
        <v>772.39</v>
      </c>
      <c r="H3" s="9">
        <v>11496.59</v>
      </c>
      <c r="I3" s="6" t="s">
        <v>178</v>
      </c>
      <c r="J3" s="6" t="s">
        <v>228</v>
      </c>
      <c r="K3" s="6" t="s">
        <v>233</v>
      </c>
      <c r="L3" s="6">
        <v>2.5813515656E10</v>
      </c>
      <c r="M3" s="6" t="s">
        <v>236</v>
      </c>
      <c r="N3" s="6" t="s">
        <v>112</v>
      </c>
      <c r="O3" s="6" t="s">
        <v>161</v>
      </c>
      <c r="P3" s="10">
        <v>46000.0</v>
      </c>
    </row>
    <row r="4" ht="22.5" customHeight="1">
      <c r="A4" s="6" t="s">
        <v>252</v>
      </c>
      <c r="B4" s="6" t="s">
        <v>255</v>
      </c>
      <c r="C4" s="6" t="s">
        <v>260</v>
      </c>
      <c r="D4" s="6" t="s">
        <v>145</v>
      </c>
      <c r="E4" s="6" t="s">
        <v>147</v>
      </c>
      <c r="F4" s="8">
        <v>26.0</v>
      </c>
      <c r="G4" s="9">
        <v>448.04</v>
      </c>
      <c r="H4" s="9">
        <v>14187.91</v>
      </c>
      <c r="I4" s="6" t="s">
        <v>161</v>
      </c>
      <c r="J4" s="6" t="s">
        <v>163</v>
      </c>
      <c r="K4" s="6" t="s">
        <v>275</v>
      </c>
      <c r="L4" s="6">
        <v>1.3900506764E10</v>
      </c>
      <c r="M4" s="6" t="s">
        <v>281</v>
      </c>
      <c r="N4" s="6" t="s">
        <v>283</v>
      </c>
      <c r="O4" s="6" t="s">
        <v>178</v>
      </c>
      <c r="P4" s="10">
        <v>45987.0</v>
      </c>
    </row>
    <row r="5" ht="22.5" customHeight="1">
      <c r="A5" s="6" t="s">
        <v>293</v>
      </c>
      <c r="B5" s="6" t="s">
        <v>295</v>
      </c>
      <c r="C5" s="6" t="s">
        <v>298</v>
      </c>
      <c r="D5" s="6" t="s">
        <v>145</v>
      </c>
      <c r="E5" s="6" t="s">
        <v>301</v>
      </c>
      <c r="F5" s="8">
        <v>37.0</v>
      </c>
      <c r="G5" s="9">
        <v>582.96</v>
      </c>
      <c r="H5" s="9">
        <v>14010.54</v>
      </c>
      <c r="I5" s="6" t="s">
        <v>161</v>
      </c>
      <c r="J5" s="6" t="s">
        <v>312</v>
      </c>
      <c r="K5" s="6" t="s">
        <v>259</v>
      </c>
      <c r="L5" s="6">
        <v>4.5463827169E10</v>
      </c>
      <c r="M5" s="6" t="s">
        <v>323</v>
      </c>
      <c r="N5" s="6" t="s">
        <v>283</v>
      </c>
      <c r="O5" s="6" t="s">
        <v>178</v>
      </c>
      <c r="P5" s="10">
        <v>45936.0</v>
      </c>
    </row>
    <row r="6" ht="22.5" customHeight="1">
      <c r="A6" s="6" t="s">
        <v>335</v>
      </c>
      <c r="B6" s="6" t="s">
        <v>337</v>
      </c>
      <c r="C6" s="6" t="s">
        <v>340</v>
      </c>
      <c r="D6" s="6" t="s">
        <v>145</v>
      </c>
      <c r="E6" s="6" t="s">
        <v>301</v>
      </c>
      <c r="F6" s="8">
        <v>45.0</v>
      </c>
      <c r="G6" s="9">
        <v>1300.23</v>
      </c>
      <c r="H6" s="9">
        <v>8733.0</v>
      </c>
      <c r="I6" s="6" t="s">
        <v>161</v>
      </c>
      <c r="J6" s="6" t="s">
        <v>357</v>
      </c>
      <c r="K6" s="6" t="s">
        <v>361</v>
      </c>
      <c r="L6" s="6">
        <v>5.2289753626E10</v>
      </c>
      <c r="M6" s="6" t="s">
        <v>364</v>
      </c>
      <c r="N6" s="6" t="s">
        <v>112</v>
      </c>
      <c r="O6" s="6" t="s">
        <v>178</v>
      </c>
      <c r="P6" s="10">
        <v>45965.0</v>
      </c>
    </row>
    <row r="7" ht="22.5" customHeight="1">
      <c r="A7" s="6" t="s">
        <v>373</v>
      </c>
      <c r="B7" s="6" t="s">
        <v>377</v>
      </c>
      <c r="C7" s="6" t="s">
        <v>380</v>
      </c>
      <c r="D7" s="6" t="s">
        <v>383</v>
      </c>
      <c r="E7" s="6" t="s">
        <v>301</v>
      </c>
      <c r="F7" s="8">
        <v>35.0</v>
      </c>
      <c r="G7" s="9">
        <v>362.91</v>
      </c>
      <c r="H7" s="9">
        <v>1788.57</v>
      </c>
      <c r="I7" s="6" t="s">
        <v>161</v>
      </c>
      <c r="J7" s="6" t="s">
        <v>393</v>
      </c>
      <c r="K7" s="6" t="s">
        <v>396</v>
      </c>
      <c r="L7" s="6">
        <v>8.1202044445E10</v>
      </c>
      <c r="M7" s="6" t="s">
        <v>400</v>
      </c>
      <c r="N7" s="6" t="s">
        <v>176</v>
      </c>
      <c r="O7" s="6" t="s">
        <v>178</v>
      </c>
      <c r="P7" s="10">
        <v>46007.0</v>
      </c>
    </row>
    <row r="8" ht="22.5" customHeight="1">
      <c r="A8" s="6" t="s">
        <v>407</v>
      </c>
      <c r="B8" s="6" t="s">
        <v>410</v>
      </c>
      <c r="C8" s="6" t="s">
        <v>411</v>
      </c>
      <c r="D8" s="6" t="s">
        <v>206</v>
      </c>
      <c r="E8" s="6" t="s">
        <v>147</v>
      </c>
      <c r="F8" s="8">
        <v>5.0</v>
      </c>
      <c r="G8" s="9">
        <v>597.43</v>
      </c>
      <c r="H8" s="9">
        <v>14015.12</v>
      </c>
      <c r="I8" s="6" t="s">
        <v>161</v>
      </c>
      <c r="J8" s="6" t="s">
        <v>421</v>
      </c>
      <c r="K8" s="6" t="s">
        <v>423</v>
      </c>
      <c r="L8" s="6">
        <v>6.1726202463E10</v>
      </c>
      <c r="M8" s="6" t="s">
        <v>425</v>
      </c>
      <c r="N8" s="6" t="s">
        <v>427</v>
      </c>
      <c r="O8" s="6" t="s">
        <v>178</v>
      </c>
      <c r="P8" s="10">
        <v>46020.0</v>
      </c>
    </row>
    <row r="9" ht="22.5" customHeight="1">
      <c r="A9" s="6" t="s">
        <v>434</v>
      </c>
      <c r="B9" s="6" t="s">
        <v>435</v>
      </c>
      <c r="C9" s="6" t="s">
        <v>437</v>
      </c>
      <c r="D9" s="6" t="s">
        <v>145</v>
      </c>
      <c r="E9" s="6" t="s">
        <v>147</v>
      </c>
      <c r="F9" s="8">
        <v>23.0</v>
      </c>
      <c r="G9" s="9">
        <v>661.54</v>
      </c>
      <c r="H9" s="9">
        <v>10639.95</v>
      </c>
      <c r="I9" s="6" t="s">
        <v>161</v>
      </c>
      <c r="J9" s="6" t="s">
        <v>442</v>
      </c>
      <c r="K9" s="6" t="s">
        <v>443</v>
      </c>
      <c r="L9" s="6">
        <v>9.9176632489E10</v>
      </c>
      <c r="M9" s="6" t="s">
        <v>444</v>
      </c>
      <c r="N9" s="6" t="s">
        <v>259</v>
      </c>
      <c r="O9" s="6" t="s">
        <v>178</v>
      </c>
      <c r="P9" s="10">
        <v>45936.0</v>
      </c>
    </row>
    <row r="10" ht="22.5" customHeight="1">
      <c r="A10" s="6" t="s">
        <v>447</v>
      </c>
      <c r="B10" s="6" t="s">
        <v>449</v>
      </c>
      <c r="C10" s="6" t="s">
        <v>451</v>
      </c>
      <c r="D10" s="6" t="s">
        <v>206</v>
      </c>
      <c r="E10" s="6" t="s">
        <v>147</v>
      </c>
      <c r="F10" s="8">
        <v>7.0</v>
      </c>
      <c r="G10" s="9">
        <v>1503.9</v>
      </c>
      <c r="H10" s="9">
        <v>12681.76</v>
      </c>
      <c r="I10" s="6" t="s">
        <v>161</v>
      </c>
      <c r="J10" s="6" t="s">
        <v>312</v>
      </c>
      <c r="K10" s="6" t="s">
        <v>455</v>
      </c>
      <c r="L10" s="6" t="s">
        <v>259</v>
      </c>
      <c r="M10" s="6" t="s">
        <v>456</v>
      </c>
      <c r="N10" s="6" t="s">
        <v>427</v>
      </c>
      <c r="O10" s="6" t="s">
        <v>178</v>
      </c>
      <c r="P10" s="10">
        <v>46029.0</v>
      </c>
    </row>
    <row r="11" ht="22.5" customHeight="1">
      <c r="A11" s="6" t="s">
        <v>459</v>
      </c>
      <c r="B11" s="6" t="s">
        <v>460</v>
      </c>
      <c r="C11" s="6" t="s">
        <v>461</v>
      </c>
      <c r="D11" s="6" t="s">
        <v>145</v>
      </c>
      <c r="E11" s="6" t="s">
        <v>147</v>
      </c>
      <c r="F11" s="8">
        <v>15.0</v>
      </c>
      <c r="G11" s="9">
        <v>1228.13</v>
      </c>
      <c r="H11" s="9">
        <v>9184.91</v>
      </c>
      <c r="I11" s="6" t="s">
        <v>161</v>
      </c>
      <c r="J11" s="6" t="s">
        <v>465</v>
      </c>
      <c r="K11" s="6" t="s">
        <v>467</v>
      </c>
      <c r="L11" s="6">
        <v>2.164226547E9</v>
      </c>
      <c r="M11" s="6" t="s">
        <v>468</v>
      </c>
      <c r="N11" s="6" t="s">
        <v>259</v>
      </c>
      <c r="O11" s="6" t="s">
        <v>178</v>
      </c>
      <c r="P11" s="10">
        <v>46042.0</v>
      </c>
    </row>
    <row r="12" ht="22.5" customHeight="1">
      <c r="A12" s="6" t="s">
        <v>471</v>
      </c>
      <c r="B12" s="6" t="s">
        <v>473</v>
      </c>
      <c r="C12" s="6" t="s">
        <v>474</v>
      </c>
      <c r="D12" s="6" t="s">
        <v>206</v>
      </c>
      <c r="E12" s="6" t="s">
        <v>301</v>
      </c>
      <c r="F12" s="8">
        <v>56.0</v>
      </c>
      <c r="G12" s="9">
        <v>386.4</v>
      </c>
      <c r="H12" s="9">
        <v>12257.55</v>
      </c>
      <c r="I12" s="6" t="s">
        <v>161</v>
      </c>
      <c r="J12" s="6" t="s">
        <v>479</v>
      </c>
      <c r="K12" s="6" t="s">
        <v>480</v>
      </c>
      <c r="L12" s="6">
        <v>9.6527796128E10</v>
      </c>
      <c r="M12" s="6" t="s">
        <v>481</v>
      </c>
      <c r="N12" s="6" t="s">
        <v>259</v>
      </c>
      <c r="O12" s="6" t="s">
        <v>178</v>
      </c>
      <c r="P12" s="10">
        <v>45951.0</v>
      </c>
    </row>
    <row r="13" ht="22.5" customHeight="1">
      <c r="A13" s="6" t="s">
        <v>484</v>
      </c>
      <c r="B13" s="6" t="s">
        <v>486</v>
      </c>
      <c r="C13" s="6" t="s">
        <v>487</v>
      </c>
      <c r="D13" s="6" t="s">
        <v>145</v>
      </c>
      <c r="E13" s="6" t="s">
        <v>147</v>
      </c>
      <c r="F13" s="8">
        <v>11.0</v>
      </c>
      <c r="G13" s="9">
        <v>682.65</v>
      </c>
      <c r="H13" s="9">
        <v>13621.16</v>
      </c>
      <c r="I13" s="6" t="s">
        <v>161</v>
      </c>
      <c r="J13" s="6" t="s">
        <v>163</v>
      </c>
      <c r="K13" s="6" t="s">
        <v>490</v>
      </c>
      <c r="L13" s="6">
        <v>5.1084777687E10</v>
      </c>
      <c r="M13" s="6" t="s">
        <v>492</v>
      </c>
      <c r="N13" s="6" t="s">
        <v>427</v>
      </c>
      <c r="O13" s="6" t="s">
        <v>178</v>
      </c>
      <c r="P13" s="10">
        <v>46006.0</v>
      </c>
    </row>
    <row r="14" ht="22.5" customHeight="1">
      <c r="A14" s="6" t="s">
        <v>497</v>
      </c>
      <c r="B14" s="6" t="s">
        <v>500</v>
      </c>
      <c r="C14" s="6" t="s">
        <v>503</v>
      </c>
      <c r="D14" s="6" t="s">
        <v>145</v>
      </c>
      <c r="E14" s="6" t="s">
        <v>301</v>
      </c>
      <c r="F14" s="8">
        <v>45.0</v>
      </c>
      <c r="G14" s="9">
        <v>729.81</v>
      </c>
      <c r="H14" s="9">
        <v>6839.45</v>
      </c>
      <c r="I14" s="6" t="s">
        <v>161</v>
      </c>
      <c r="J14" s="6" t="s">
        <v>393</v>
      </c>
      <c r="K14" s="6" t="s">
        <v>514</v>
      </c>
      <c r="L14" s="6">
        <v>8.8228671202E10</v>
      </c>
      <c r="M14" s="6" t="s">
        <v>517</v>
      </c>
      <c r="N14" s="6" t="s">
        <v>283</v>
      </c>
      <c r="O14" s="6" t="s">
        <v>178</v>
      </c>
      <c r="P14" s="10">
        <v>45935.0</v>
      </c>
    </row>
    <row r="15" ht="22.5" customHeight="1">
      <c r="A15" s="6" t="s">
        <v>522</v>
      </c>
      <c r="B15" s="6" t="s">
        <v>524</v>
      </c>
      <c r="C15" s="6" t="s">
        <v>527</v>
      </c>
      <c r="D15" s="6" t="s">
        <v>206</v>
      </c>
      <c r="E15" s="6" t="s">
        <v>147</v>
      </c>
      <c r="F15" s="8">
        <v>13.0</v>
      </c>
      <c r="G15" s="9">
        <v>1566.5</v>
      </c>
      <c r="H15" s="9">
        <v>7156.99</v>
      </c>
      <c r="I15" s="6" t="s">
        <v>178</v>
      </c>
      <c r="J15" s="6" t="s">
        <v>421</v>
      </c>
      <c r="K15" s="6" t="s">
        <v>543</v>
      </c>
      <c r="L15" s="6">
        <v>8.8404142953E10</v>
      </c>
      <c r="M15" s="6" t="s">
        <v>546</v>
      </c>
      <c r="N15" s="6" t="s">
        <v>283</v>
      </c>
      <c r="O15" s="6" t="s">
        <v>161</v>
      </c>
      <c r="P15" s="10">
        <v>46018.0</v>
      </c>
    </row>
    <row r="16" ht="22.5" customHeight="1">
      <c r="A16" s="6" t="s">
        <v>564</v>
      </c>
      <c r="B16" s="6" t="s">
        <v>565</v>
      </c>
      <c r="C16" s="6" t="s">
        <v>568</v>
      </c>
      <c r="D16" s="6" t="s">
        <v>145</v>
      </c>
      <c r="E16" s="6" t="s">
        <v>210</v>
      </c>
      <c r="F16" s="8">
        <v>62.0</v>
      </c>
      <c r="G16" s="9">
        <v>1501.59</v>
      </c>
      <c r="H16" s="9">
        <v>15228.98</v>
      </c>
      <c r="I16" s="6" t="s">
        <v>178</v>
      </c>
      <c r="J16" s="6" t="s">
        <v>577</v>
      </c>
      <c r="K16" s="6" t="s">
        <v>579</v>
      </c>
      <c r="L16" s="6">
        <v>3.2750935905E10</v>
      </c>
      <c r="M16" s="6" t="s">
        <v>582</v>
      </c>
      <c r="N16" s="6" t="s">
        <v>176</v>
      </c>
      <c r="O16" s="6" t="s">
        <v>161</v>
      </c>
      <c r="P16" s="10">
        <v>46040.0</v>
      </c>
    </row>
    <row r="17" ht="22.5" customHeight="1">
      <c r="A17" s="6" t="s">
        <v>586</v>
      </c>
      <c r="B17" s="6" t="s">
        <v>587</v>
      </c>
      <c r="C17" s="6" t="s">
        <v>588</v>
      </c>
      <c r="D17" s="6" t="s">
        <v>145</v>
      </c>
      <c r="E17" s="6" t="s">
        <v>210</v>
      </c>
      <c r="F17" s="8">
        <v>113.0</v>
      </c>
      <c r="G17" s="9">
        <v>1558.83</v>
      </c>
      <c r="H17" s="9">
        <v>2446.02</v>
      </c>
      <c r="I17" s="6" t="s">
        <v>161</v>
      </c>
      <c r="J17" s="6" t="s">
        <v>595</v>
      </c>
      <c r="K17" s="6" t="s">
        <v>597</v>
      </c>
      <c r="L17" s="6">
        <v>3.5249640795E10</v>
      </c>
      <c r="M17" s="6" t="s">
        <v>599</v>
      </c>
      <c r="N17" s="6" t="s">
        <v>112</v>
      </c>
      <c r="O17" s="6" t="s">
        <v>161</v>
      </c>
      <c r="P17" s="10">
        <v>46022.0</v>
      </c>
    </row>
    <row r="18" ht="22.5" customHeight="1">
      <c r="A18" s="6" t="s">
        <v>604</v>
      </c>
      <c r="B18" s="6" t="s">
        <v>605</v>
      </c>
      <c r="C18" s="6" t="s">
        <v>607</v>
      </c>
      <c r="D18" s="6" t="s">
        <v>145</v>
      </c>
      <c r="E18" s="6" t="s">
        <v>147</v>
      </c>
      <c r="F18" s="8">
        <v>13.0</v>
      </c>
      <c r="G18" s="9">
        <v>128.42</v>
      </c>
      <c r="H18" s="9">
        <v>5556.24</v>
      </c>
      <c r="I18" s="6" t="s">
        <v>161</v>
      </c>
      <c r="J18" s="6" t="s">
        <v>163</v>
      </c>
      <c r="K18" s="6" t="s">
        <v>611</v>
      </c>
      <c r="L18" s="6">
        <v>2.8973634006E10</v>
      </c>
      <c r="M18" s="6" t="s">
        <v>612</v>
      </c>
      <c r="N18" s="6" t="s">
        <v>283</v>
      </c>
      <c r="O18" s="6" t="s">
        <v>178</v>
      </c>
      <c r="P18" s="10">
        <v>45973.0</v>
      </c>
    </row>
    <row r="19" ht="22.5" customHeight="1">
      <c r="A19" s="6" t="s">
        <v>614</v>
      </c>
      <c r="B19" s="6" t="s">
        <v>615</v>
      </c>
      <c r="C19" s="6" t="s">
        <v>617</v>
      </c>
      <c r="D19" s="6" t="s">
        <v>145</v>
      </c>
      <c r="E19" s="6" t="s">
        <v>147</v>
      </c>
      <c r="F19" s="8">
        <v>7.0</v>
      </c>
      <c r="G19" s="9">
        <v>1301.41</v>
      </c>
      <c r="H19" s="9">
        <v>3982.73</v>
      </c>
      <c r="I19" s="6" t="s">
        <v>161</v>
      </c>
      <c r="J19" s="6" t="s">
        <v>577</v>
      </c>
      <c r="K19" s="6" t="s">
        <v>620</v>
      </c>
      <c r="L19" s="6">
        <v>3.322624704E10</v>
      </c>
      <c r="M19" s="6" t="s">
        <v>621</v>
      </c>
      <c r="N19" s="6" t="s">
        <v>259</v>
      </c>
      <c r="O19" s="6" t="s">
        <v>178</v>
      </c>
      <c r="P19" s="10">
        <v>45985.0</v>
      </c>
    </row>
    <row r="20" ht="22.5" customHeight="1">
      <c r="A20" s="6" t="s">
        <v>626</v>
      </c>
      <c r="B20" s="6" t="s">
        <v>627</v>
      </c>
      <c r="C20" s="6" t="s">
        <v>629</v>
      </c>
      <c r="D20" s="6" t="s">
        <v>206</v>
      </c>
      <c r="E20" s="6" t="s">
        <v>147</v>
      </c>
      <c r="F20" s="8">
        <v>28.0</v>
      </c>
      <c r="G20" s="9">
        <v>896.1</v>
      </c>
      <c r="H20" s="9">
        <v>9198.91</v>
      </c>
      <c r="I20" s="6" t="s">
        <v>161</v>
      </c>
      <c r="J20" s="6" t="s">
        <v>393</v>
      </c>
      <c r="K20" s="6" t="s">
        <v>632</v>
      </c>
      <c r="L20" s="6">
        <v>5.6020223311E10</v>
      </c>
      <c r="M20" s="6" t="s">
        <v>633</v>
      </c>
      <c r="N20" s="6" t="s">
        <v>112</v>
      </c>
      <c r="O20" s="6" t="s">
        <v>178</v>
      </c>
      <c r="P20" s="10">
        <v>45967.0</v>
      </c>
    </row>
    <row r="21" ht="22.5" customHeight="1">
      <c r="A21" s="6" t="s">
        <v>635</v>
      </c>
      <c r="B21" s="6" t="s">
        <v>636</v>
      </c>
      <c r="C21" s="6" t="s">
        <v>638</v>
      </c>
      <c r="D21" s="6" t="s">
        <v>145</v>
      </c>
      <c r="E21" s="6" t="s">
        <v>301</v>
      </c>
      <c r="F21" s="8">
        <v>58.0</v>
      </c>
      <c r="G21" s="9">
        <v>642.15</v>
      </c>
      <c r="H21" s="9">
        <v>10061.96</v>
      </c>
      <c r="I21" s="6" t="s">
        <v>161</v>
      </c>
      <c r="J21" s="6" t="s">
        <v>393</v>
      </c>
      <c r="K21" s="6" t="s">
        <v>641</v>
      </c>
      <c r="L21" s="6">
        <v>9.1684370335E10</v>
      </c>
      <c r="M21" s="6" t="s">
        <v>643</v>
      </c>
      <c r="N21" s="6" t="s">
        <v>259</v>
      </c>
      <c r="O21" s="6" t="s">
        <v>178</v>
      </c>
      <c r="P21" s="10">
        <v>45988.0</v>
      </c>
    </row>
    <row r="22" ht="22.5" customHeight="1">
      <c r="A22" s="6" t="s">
        <v>645</v>
      </c>
      <c r="B22" s="6" t="s">
        <v>646</v>
      </c>
      <c r="C22" s="6" t="s">
        <v>648</v>
      </c>
      <c r="D22" s="6" t="s">
        <v>206</v>
      </c>
      <c r="E22" s="6" t="s">
        <v>147</v>
      </c>
      <c r="F22" s="8">
        <v>8.0</v>
      </c>
      <c r="G22" s="9">
        <v>900.88</v>
      </c>
      <c r="H22" s="9">
        <v>10538.77</v>
      </c>
      <c r="I22" s="6" t="s">
        <v>178</v>
      </c>
      <c r="J22" s="6" t="s">
        <v>577</v>
      </c>
      <c r="K22" s="6" t="s">
        <v>652</v>
      </c>
      <c r="L22" s="6">
        <v>4.0391581782E10</v>
      </c>
      <c r="M22" s="6" t="s">
        <v>655</v>
      </c>
      <c r="N22" s="6" t="s">
        <v>112</v>
      </c>
      <c r="O22" s="6" t="s">
        <v>161</v>
      </c>
      <c r="P22" s="10">
        <v>46001.0</v>
      </c>
    </row>
    <row r="23" ht="22.5" customHeight="1">
      <c r="A23" s="6" t="s">
        <v>660</v>
      </c>
      <c r="B23" s="6" t="s">
        <v>663</v>
      </c>
      <c r="C23" s="6" t="s">
        <v>665</v>
      </c>
      <c r="D23" s="6" t="s">
        <v>206</v>
      </c>
      <c r="E23" s="6" t="s">
        <v>147</v>
      </c>
      <c r="F23" s="8">
        <v>17.0</v>
      </c>
      <c r="G23" s="9">
        <v>1275.07</v>
      </c>
      <c r="H23" s="9">
        <v>3231.5</v>
      </c>
      <c r="I23" s="6" t="s">
        <v>178</v>
      </c>
      <c r="J23" s="6" t="s">
        <v>163</v>
      </c>
      <c r="K23" s="6" t="s">
        <v>668</v>
      </c>
      <c r="L23" s="6">
        <v>8.2324755216E10</v>
      </c>
      <c r="M23" s="6" t="s">
        <v>671</v>
      </c>
      <c r="N23" s="6" t="s">
        <v>427</v>
      </c>
      <c r="O23" s="6" t="s">
        <v>161</v>
      </c>
      <c r="P23" s="10">
        <v>45986.0</v>
      </c>
    </row>
    <row r="24" ht="22.5" customHeight="1">
      <c r="A24" s="6" t="s">
        <v>672</v>
      </c>
      <c r="B24" s="6" t="s">
        <v>673</v>
      </c>
      <c r="C24" s="6" t="s">
        <v>674</v>
      </c>
      <c r="D24" s="6" t="s">
        <v>206</v>
      </c>
      <c r="E24" s="6" t="s">
        <v>301</v>
      </c>
      <c r="F24" s="8">
        <v>32.0</v>
      </c>
      <c r="G24" s="9">
        <v>1681.9</v>
      </c>
      <c r="H24" s="9">
        <v>8188.01</v>
      </c>
      <c r="I24" s="6" t="s">
        <v>161</v>
      </c>
      <c r="J24" s="6" t="s">
        <v>312</v>
      </c>
      <c r="K24" s="6" t="s">
        <v>679</v>
      </c>
      <c r="L24" s="6">
        <v>3.6702855659E10</v>
      </c>
      <c r="M24" s="6" t="s">
        <v>680</v>
      </c>
      <c r="N24" s="6" t="s">
        <v>427</v>
      </c>
      <c r="O24" s="6" t="s">
        <v>178</v>
      </c>
      <c r="P24" s="10">
        <v>45953.0</v>
      </c>
    </row>
    <row r="25" ht="22.5" customHeight="1">
      <c r="A25" s="6" t="s">
        <v>682</v>
      </c>
      <c r="B25" s="6" t="s">
        <v>683</v>
      </c>
      <c r="C25" s="6" t="s">
        <v>685</v>
      </c>
      <c r="D25" s="6" t="s">
        <v>206</v>
      </c>
      <c r="E25" s="6" t="s">
        <v>147</v>
      </c>
      <c r="F25" s="8">
        <v>27.0</v>
      </c>
      <c r="G25" s="9">
        <v>1212.68</v>
      </c>
      <c r="H25" s="9">
        <v>9017.01</v>
      </c>
      <c r="I25" s="6" t="s">
        <v>178</v>
      </c>
      <c r="J25" s="6" t="s">
        <v>393</v>
      </c>
      <c r="K25" s="6" t="s">
        <v>689</v>
      </c>
      <c r="L25" s="6">
        <v>7.5176280069E10</v>
      </c>
      <c r="M25" s="6" t="s">
        <v>692</v>
      </c>
      <c r="N25" s="6" t="s">
        <v>427</v>
      </c>
      <c r="O25" s="6" t="s">
        <v>161</v>
      </c>
      <c r="P25" s="10">
        <v>46039.0</v>
      </c>
    </row>
    <row r="26" ht="22.5" customHeight="1">
      <c r="A26" s="6" t="s">
        <v>694</v>
      </c>
      <c r="B26" s="6" t="s">
        <v>697</v>
      </c>
      <c r="C26" s="6" t="s">
        <v>698</v>
      </c>
      <c r="D26" s="6" t="s">
        <v>145</v>
      </c>
      <c r="E26" s="6" t="s">
        <v>301</v>
      </c>
      <c r="F26" s="8">
        <v>39.0</v>
      </c>
      <c r="G26" s="9">
        <v>453.28</v>
      </c>
      <c r="H26" s="9">
        <v>13320.62</v>
      </c>
      <c r="I26" s="6" t="s">
        <v>161</v>
      </c>
      <c r="J26" s="6" t="s">
        <v>479</v>
      </c>
      <c r="K26" s="6" t="s">
        <v>259</v>
      </c>
      <c r="L26" s="6">
        <v>4.95219135E8</v>
      </c>
      <c r="M26" s="6" t="s">
        <v>703</v>
      </c>
      <c r="N26" s="6" t="s">
        <v>176</v>
      </c>
      <c r="O26" s="6" t="s">
        <v>178</v>
      </c>
      <c r="P26" s="10">
        <v>45981.0</v>
      </c>
    </row>
    <row r="27" ht="22.5" customHeight="1">
      <c r="A27" s="6" t="s">
        <v>705</v>
      </c>
      <c r="B27" s="6" t="s">
        <v>706</v>
      </c>
      <c r="C27" s="6" t="s">
        <v>708</v>
      </c>
      <c r="D27" s="6" t="s">
        <v>206</v>
      </c>
      <c r="E27" s="6" t="s">
        <v>301</v>
      </c>
      <c r="F27" s="8">
        <v>37.0</v>
      </c>
      <c r="G27" s="9">
        <v>1302.31</v>
      </c>
      <c r="H27" s="9">
        <v>3558.24</v>
      </c>
      <c r="I27" s="6" t="s">
        <v>161</v>
      </c>
      <c r="J27" s="6" t="s">
        <v>357</v>
      </c>
      <c r="K27" s="6" t="s">
        <v>713</v>
      </c>
      <c r="L27" s="6">
        <v>7.2100319569E10</v>
      </c>
      <c r="M27" s="6" t="s">
        <v>715</v>
      </c>
      <c r="N27" s="6" t="s">
        <v>112</v>
      </c>
      <c r="O27" s="6" t="s">
        <v>178</v>
      </c>
      <c r="P27" s="10">
        <v>46013.0</v>
      </c>
    </row>
    <row r="28" ht="22.5" customHeight="1">
      <c r="A28" s="6" t="s">
        <v>717</v>
      </c>
      <c r="B28" s="6" t="s">
        <v>720</v>
      </c>
      <c r="C28" s="6" t="s">
        <v>722</v>
      </c>
      <c r="D28" s="6" t="s">
        <v>145</v>
      </c>
      <c r="E28" s="6" t="s">
        <v>210</v>
      </c>
      <c r="F28" s="8">
        <v>102.0</v>
      </c>
      <c r="G28" s="9">
        <v>1700.93</v>
      </c>
      <c r="H28" s="9">
        <v>10074.31</v>
      </c>
      <c r="I28" s="6" t="s">
        <v>178</v>
      </c>
      <c r="J28" s="6" t="s">
        <v>259</v>
      </c>
      <c r="K28" s="6" t="s">
        <v>724</v>
      </c>
      <c r="L28" s="6">
        <v>8.7505332565E10</v>
      </c>
      <c r="M28" s="6" t="s">
        <v>725</v>
      </c>
      <c r="N28" s="6" t="s">
        <v>259</v>
      </c>
      <c r="O28" s="6" t="s">
        <v>161</v>
      </c>
      <c r="P28" s="10">
        <v>46036.0</v>
      </c>
    </row>
    <row r="29" ht="22.5" customHeight="1">
      <c r="A29" s="6" t="s">
        <v>727</v>
      </c>
      <c r="B29" s="6" t="s">
        <v>729</v>
      </c>
      <c r="C29" s="6" t="s">
        <v>730</v>
      </c>
      <c r="D29" s="6" t="s">
        <v>145</v>
      </c>
      <c r="E29" s="6" t="s">
        <v>210</v>
      </c>
      <c r="F29" s="8">
        <v>88.0</v>
      </c>
      <c r="G29" s="9">
        <v>981.66</v>
      </c>
      <c r="H29" s="9">
        <v>10743.17</v>
      </c>
      <c r="I29" s="6" t="s">
        <v>178</v>
      </c>
      <c r="J29" s="6" t="s">
        <v>577</v>
      </c>
      <c r="K29" s="6" t="s">
        <v>733</v>
      </c>
      <c r="L29" s="6">
        <v>6.7568602498E10</v>
      </c>
      <c r="M29" s="6" t="s">
        <v>734</v>
      </c>
      <c r="N29" s="6" t="s">
        <v>112</v>
      </c>
      <c r="O29" s="6" t="s">
        <v>161</v>
      </c>
      <c r="P29" s="10">
        <v>45981.0</v>
      </c>
    </row>
    <row r="30" ht="22.5" customHeight="1">
      <c r="A30" s="6" t="s">
        <v>737</v>
      </c>
      <c r="B30" s="6" t="s">
        <v>739</v>
      </c>
      <c r="C30" s="6" t="s">
        <v>740</v>
      </c>
      <c r="D30" s="6" t="s">
        <v>145</v>
      </c>
      <c r="E30" s="6" t="s">
        <v>147</v>
      </c>
      <c r="F30" s="8">
        <v>17.0</v>
      </c>
      <c r="G30" s="9">
        <v>729.89</v>
      </c>
      <c r="H30" s="9">
        <v>14193.89</v>
      </c>
      <c r="I30" s="6" t="s">
        <v>161</v>
      </c>
      <c r="J30" s="6" t="s">
        <v>163</v>
      </c>
      <c r="K30" s="6" t="s">
        <v>743</v>
      </c>
      <c r="L30" s="6">
        <v>8.164723763E10</v>
      </c>
      <c r="M30" s="6" t="s">
        <v>744</v>
      </c>
      <c r="N30" s="6" t="s">
        <v>283</v>
      </c>
      <c r="O30" s="6" t="s">
        <v>178</v>
      </c>
      <c r="P30" s="10">
        <v>45958.0</v>
      </c>
    </row>
    <row r="31" ht="22.5" customHeight="1">
      <c r="A31" s="6" t="s">
        <v>745</v>
      </c>
      <c r="B31" s="6" t="s">
        <v>747</v>
      </c>
      <c r="C31" s="6" t="s">
        <v>748</v>
      </c>
      <c r="D31" s="6" t="s">
        <v>206</v>
      </c>
      <c r="E31" s="6" t="s">
        <v>210</v>
      </c>
      <c r="F31" s="8">
        <v>87.0</v>
      </c>
      <c r="G31" s="9">
        <v>406.56</v>
      </c>
      <c r="H31" s="9">
        <v>14114.63</v>
      </c>
      <c r="I31" s="6" t="s">
        <v>178</v>
      </c>
      <c r="J31" s="6" t="s">
        <v>577</v>
      </c>
      <c r="K31" s="6" t="s">
        <v>259</v>
      </c>
      <c r="L31" s="6" t="s">
        <v>259</v>
      </c>
      <c r="M31" s="6" t="s">
        <v>751</v>
      </c>
      <c r="N31" s="6" t="s">
        <v>112</v>
      </c>
      <c r="O31" s="6" t="s">
        <v>161</v>
      </c>
      <c r="P31" s="10">
        <v>45975.0</v>
      </c>
    </row>
    <row r="32" ht="22.5" customHeight="1">
      <c r="A32" s="6" t="s">
        <v>756</v>
      </c>
      <c r="B32" s="6" t="s">
        <v>759</v>
      </c>
      <c r="C32" s="6" t="s">
        <v>761</v>
      </c>
      <c r="D32" s="6" t="s">
        <v>145</v>
      </c>
      <c r="E32" s="6" t="s">
        <v>147</v>
      </c>
      <c r="F32" s="8">
        <v>27.0</v>
      </c>
      <c r="G32" s="9">
        <v>650.63</v>
      </c>
      <c r="H32" s="9">
        <v>9941.88</v>
      </c>
      <c r="I32" s="6" t="s">
        <v>161</v>
      </c>
      <c r="J32" s="6" t="s">
        <v>442</v>
      </c>
      <c r="K32" s="6" t="s">
        <v>768</v>
      </c>
      <c r="L32" s="6">
        <v>2.4286143109E10</v>
      </c>
      <c r="M32" s="6" t="s">
        <v>770</v>
      </c>
      <c r="N32" s="6" t="s">
        <v>176</v>
      </c>
      <c r="O32" s="6" t="s">
        <v>178</v>
      </c>
      <c r="P32" s="10">
        <v>45932.0</v>
      </c>
    </row>
    <row r="33" ht="22.5" customHeight="1">
      <c r="A33" s="6" t="s">
        <v>776</v>
      </c>
      <c r="B33" s="6" t="s">
        <v>777</v>
      </c>
      <c r="C33" s="6" t="s">
        <v>778</v>
      </c>
      <c r="D33" s="6" t="s">
        <v>206</v>
      </c>
      <c r="E33" s="6" t="s">
        <v>147</v>
      </c>
      <c r="F33" s="8">
        <v>9.0</v>
      </c>
      <c r="G33" s="9">
        <v>1788.68</v>
      </c>
      <c r="H33" s="9">
        <v>12003.84</v>
      </c>
      <c r="I33" s="6" t="s">
        <v>161</v>
      </c>
      <c r="J33" s="6" t="s">
        <v>421</v>
      </c>
      <c r="K33" s="6" t="s">
        <v>783</v>
      </c>
      <c r="L33" s="6">
        <v>6.7681241773E10</v>
      </c>
      <c r="M33" s="6" t="s">
        <v>785</v>
      </c>
      <c r="N33" s="6" t="s">
        <v>427</v>
      </c>
      <c r="O33" s="6" t="s">
        <v>178</v>
      </c>
      <c r="P33" s="10">
        <v>46021.0</v>
      </c>
    </row>
    <row r="34" ht="22.5" customHeight="1">
      <c r="A34" s="6" t="s">
        <v>790</v>
      </c>
      <c r="B34" s="6" t="s">
        <v>792</v>
      </c>
      <c r="C34" s="6" t="s">
        <v>793</v>
      </c>
      <c r="D34" s="6" t="s">
        <v>145</v>
      </c>
      <c r="E34" s="6" t="s">
        <v>147</v>
      </c>
      <c r="F34" s="8">
        <v>6.0</v>
      </c>
      <c r="G34" s="9">
        <v>1568.75</v>
      </c>
      <c r="H34" s="9">
        <v>8767.18</v>
      </c>
      <c r="I34" s="6" t="s">
        <v>161</v>
      </c>
      <c r="J34" s="6" t="s">
        <v>479</v>
      </c>
      <c r="K34" s="6" t="s">
        <v>799</v>
      </c>
      <c r="L34" s="6">
        <v>3.7439812559E10</v>
      </c>
      <c r="M34" s="6" t="s">
        <v>800</v>
      </c>
      <c r="N34" s="6" t="s">
        <v>112</v>
      </c>
      <c r="O34" s="6" t="s">
        <v>178</v>
      </c>
      <c r="P34" s="10">
        <v>46031.0</v>
      </c>
    </row>
    <row r="35" ht="22.5" customHeight="1">
      <c r="A35" s="6" t="s">
        <v>805</v>
      </c>
      <c r="B35" s="6" t="s">
        <v>808</v>
      </c>
      <c r="C35" s="6" t="s">
        <v>810</v>
      </c>
      <c r="D35" s="6" t="s">
        <v>206</v>
      </c>
      <c r="E35" s="6" t="s">
        <v>301</v>
      </c>
      <c r="F35" s="8">
        <v>37.0</v>
      </c>
      <c r="G35" s="9">
        <v>643.34</v>
      </c>
      <c r="H35" s="9">
        <v>1776.37</v>
      </c>
      <c r="I35" s="6" t="s">
        <v>161</v>
      </c>
      <c r="J35" s="6" t="s">
        <v>577</v>
      </c>
      <c r="K35" s="6" t="s">
        <v>815</v>
      </c>
      <c r="L35" s="6">
        <v>6.955851059E9</v>
      </c>
      <c r="M35" s="6" t="s">
        <v>818</v>
      </c>
      <c r="N35" s="6" t="s">
        <v>427</v>
      </c>
      <c r="O35" s="6" t="s">
        <v>178</v>
      </c>
      <c r="P35" s="10">
        <v>46043.0</v>
      </c>
    </row>
    <row r="36" ht="22.5" customHeight="1">
      <c r="A36" s="6" t="s">
        <v>823</v>
      </c>
      <c r="B36" s="6" t="s">
        <v>825</v>
      </c>
      <c r="C36" s="6" t="s">
        <v>826</v>
      </c>
      <c r="D36" s="6" t="s">
        <v>206</v>
      </c>
      <c r="E36" s="6" t="s">
        <v>301</v>
      </c>
      <c r="F36" s="8">
        <v>40.0</v>
      </c>
      <c r="G36" s="9">
        <v>485.46</v>
      </c>
      <c r="H36" s="9">
        <v>10324.18</v>
      </c>
      <c r="I36" s="6" t="s">
        <v>161</v>
      </c>
      <c r="J36" s="6" t="s">
        <v>577</v>
      </c>
      <c r="K36" s="6" t="s">
        <v>259</v>
      </c>
      <c r="L36" s="6">
        <v>6.8828841543E10</v>
      </c>
      <c r="M36" s="6" t="s">
        <v>834</v>
      </c>
      <c r="N36" s="6" t="s">
        <v>283</v>
      </c>
      <c r="O36" s="6" t="s">
        <v>178</v>
      </c>
      <c r="P36" s="10">
        <v>45978.0</v>
      </c>
    </row>
    <row r="37" ht="22.5" customHeight="1">
      <c r="A37" s="6" t="s">
        <v>837</v>
      </c>
      <c r="B37" s="6" t="s">
        <v>840</v>
      </c>
      <c r="C37" s="6" t="s">
        <v>842</v>
      </c>
      <c r="D37" s="6" t="s">
        <v>383</v>
      </c>
      <c r="E37" s="6" t="s">
        <v>147</v>
      </c>
      <c r="F37" s="8">
        <v>22.0</v>
      </c>
      <c r="G37" s="9">
        <v>1685.69</v>
      </c>
      <c r="H37" s="9">
        <v>12357.23</v>
      </c>
      <c r="I37" s="6" t="s">
        <v>161</v>
      </c>
      <c r="J37" s="6" t="s">
        <v>393</v>
      </c>
      <c r="K37" s="6" t="s">
        <v>846</v>
      </c>
      <c r="L37" s="6">
        <v>9.1473267182E10</v>
      </c>
      <c r="M37" s="6" t="s">
        <v>849</v>
      </c>
      <c r="N37" s="6" t="s">
        <v>283</v>
      </c>
      <c r="O37" s="6" t="s">
        <v>178</v>
      </c>
      <c r="P37" s="10">
        <v>46021.0</v>
      </c>
    </row>
    <row r="38" ht="22.5" customHeight="1">
      <c r="A38" s="6" t="s">
        <v>853</v>
      </c>
      <c r="B38" s="6" t="s">
        <v>854</v>
      </c>
      <c r="C38" s="6" t="s">
        <v>855</v>
      </c>
      <c r="D38" s="6" t="s">
        <v>145</v>
      </c>
      <c r="E38" s="6" t="s">
        <v>301</v>
      </c>
      <c r="F38" s="8">
        <v>43.0</v>
      </c>
      <c r="G38" s="9">
        <v>365.08</v>
      </c>
      <c r="H38" s="9">
        <v>4012.64</v>
      </c>
      <c r="I38" s="6" t="s">
        <v>161</v>
      </c>
      <c r="J38" s="6" t="s">
        <v>442</v>
      </c>
      <c r="K38" s="6" t="s">
        <v>862</v>
      </c>
      <c r="L38" s="6">
        <v>1.6115256537E10</v>
      </c>
      <c r="M38" s="6" t="s">
        <v>865</v>
      </c>
      <c r="N38" s="6" t="s">
        <v>283</v>
      </c>
      <c r="O38" s="6" t="s">
        <v>178</v>
      </c>
      <c r="P38" s="10">
        <v>45979.0</v>
      </c>
    </row>
    <row r="39" ht="22.5" customHeight="1">
      <c r="A39" s="6" t="s">
        <v>868</v>
      </c>
      <c r="B39" s="6" t="s">
        <v>869</v>
      </c>
      <c r="C39" s="6" t="s">
        <v>871</v>
      </c>
      <c r="D39" s="6" t="s">
        <v>206</v>
      </c>
      <c r="E39" s="6" t="s">
        <v>301</v>
      </c>
      <c r="F39" s="8">
        <v>51.0</v>
      </c>
      <c r="G39" s="9">
        <v>541.82</v>
      </c>
      <c r="H39" s="9">
        <v>1330.69</v>
      </c>
      <c r="I39" s="6" t="s">
        <v>161</v>
      </c>
      <c r="J39" s="6" t="s">
        <v>393</v>
      </c>
      <c r="K39" s="6" t="s">
        <v>877</v>
      </c>
      <c r="L39" s="6">
        <v>9.524307984E10</v>
      </c>
      <c r="M39" s="6" t="s">
        <v>878</v>
      </c>
      <c r="N39" s="6" t="s">
        <v>283</v>
      </c>
      <c r="O39" s="6" t="s">
        <v>178</v>
      </c>
      <c r="P39" s="10">
        <v>46003.0</v>
      </c>
    </row>
    <row r="40" ht="22.5" customHeight="1">
      <c r="A40" s="6" t="s">
        <v>882</v>
      </c>
      <c r="B40" s="6" t="s">
        <v>883</v>
      </c>
      <c r="C40" s="6" t="s">
        <v>886</v>
      </c>
      <c r="D40" s="6" t="s">
        <v>206</v>
      </c>
      <c r="E40" s="6" t="s">
        <v>147</v>
      </c>
      <c r="F40" s="8">
        <v>17.0</v>
      </c>
      <c r="G40" s="9">
        <v>1288.67</v>
      </c>
      <c r="H40" s="9">
        <v>2152.48</v>
      </c>
      <c r="I40" s="6" t="s">
        <v>161</v>
      </c>
      <c r="J40" s="6" t="s">
        <v>163</v>
      </c>
      <c r="K40" s="6" t="s">
        <v>892</v>
      </c>
      <c r="L40" s="6">
        <v>6.0214936268E10</v>
      </c>
      <c r="M40" s="6" t="s">
        <v>894</v>
      </c>
      <c r="N40" s="6" t="s">
        <v>259</v>
      </c>
      <c r="O40" s="6" t="s">
        <v>178</v>
      </c>
      <c r="P40" s="10">
        <v>46025.0</v>
      </c>
    </row>
    <row r="41" ht="22.5" customHeight="1">
      <c r="A41" s="6" t="s">
        <v>897</v>
      </c>
      <c r="B41" s="6" t="s">
        <v>899</v>
      </c>
      <c r="C41" s="6" t="s">
        <v>900</v>
      </c>
      <c r="D41" s="6" t="s">
        <v>145</v>
      </c>
      <c r="E41" s="6" t="s">
        <v>301</v>
      </c>
      <c r="F41" s="8">
        <v>53.0</v>
      </c>
      <c r="G41" s="9">
        <v>382.24</v>
      </c>
      <c r="H41" s="9">
        <v>4046.88</v>
      </c>
      <c r="I41" s="6" t="s">
        <v>161</v>
      </c>
      <c r="J41" s="6" t="s">
        <v>163</v>
      </c>
      <c r="K41" s="6" t="s">
        <v>259</v>
      </c>
      <c r="L41" s="6">
        <v>8.0654880705E10</v>
      </c>
      <c r="M41" s="6" t="s">
        <v>905</v>
      </c>
      <c r="N41" s="6" t="s">
        <v>176</v>
      </c>
      <c r="O41" s="6" t="s">
        <v>178</v>
      </c>
      <c r="P41" s="10">
        <v>46045.0</v>
      </c>
    </row>
    <row r="42" ht="22.5" customHeight="1">
      <c r="A42" s="6" t="s">
        <v>909</v>
      </c>
      <c r="B42" s="6" t="s">
        <v>910</v>
      </c>
      <c r="C42" s="6" t="s">
        <v>912</v>
      </c>
      <c r="D42" s="6" t="s">
        <v>145</v>
      </c>
      <c r="E42" s="6" t="s">
        <v>301</v>
      </c>
      <c r="F42" s="8">
        <v>46.0</v>
      </c>
      <c r="G42" s="9">
        <v>89.92</v>
      </c>
      <c r="H42" s="9">
        <v>5659.83</v>
      </c>
      <c r="I42" s="6" t="s">
        <v>161</v>
      </c>
      <c r="J42" s="6" t="s">
        <v>228</v>
      </c>
      <c r="K42" s="6" t="s">
        <v>917</v>
      </c>
      <c r="L42" s="6">
        <v>6.769683808E9</v>
      </c>
      <c r="M42" s="6" t="s">
        <v>920</v>
      </c>
      <c r="N42" s="6" t="s">
        <v>259</v>
      </c>
      <c r="O42" s="6" t="s">
        <v>178</v>
      </c>
      <c r="P42" s="10">
        <v>46015.0</v>
      </c>
    </row>
    <row r="43" ht="22.5" customHeight="1">
      <c r="A43" s="6" t="s">
        <v>923</v>
      </c>
      <c r="B43" s="6" t="s">
        <v>925</v>
      </c>
      <c r="C43" s="6" t="s">
        <v>926</v>
      </c>
      <c r="D43" s="6" t="s">
        <v>206</v>
      </c>
      <c r="E43" s="6" t="s">
        <v>147</v>
      </c>
      <c r="F43" s="8">
        <v>14.0</v>
      </c>
      <c r="G43" s="9">
        <v>1305.13</v>
      </c>
      <c r="H43" s="9">
        <v>3041.8</v>
      </c>
      <c r="I43" s="6" t="s">
        <v>161</v>
      </c>
      <c r="J43" s="6" t="s">
        <v>479</v>
      </c>
      <c r="K43" s="6" t="s">
        <v>935</v>
      </c>
      <c r="L43" s="6" t="s">
        <v>259</v>
      </c>
      <c r="M43" s="6" t="s">
        <v>937</v>
      </c>
      <c r="N43" s="6" t="s">
        <v>259</v>
      </c>
      <c r="O43" s="6" t="s">
        <v>178</v>
      </c>
      <c r="P43" s="10">
        <v>46024.0</v>
      </c>
    </row>
    <row r="44" ht="22.5" customHeight="1">
      <c r="A44" s="6" t="s">
        <v>940</v>
      </c>
      <c r="B44" s="6" t="s">
        <v>945</v>
      </c>
      <c r="C44" s="6" t="s">
        <v>946</v>
      </c>
      <c r="D44" s="6" t="s">
        <v>145</v>
      </c>
      <c r="E44" s="6" t="s">
        <v>147</v>
      </c>
      <c r="F44" s="8">
        <v>23.0</v>
      </c>
      <c r="G44" s="9">
        <v>1551.3</v>
      </c>
      <c r="H44" s="9">
        <v>6225.68</v>
      </c>
      <c r="I44" s="6" t="s">
        <v>161</v>
      </c>
      <c r="J44" s="6" t="s">
        <v>357</v>
      </c>
      <c r="K44" s="6" t="s">
        <v>952</v>
      </c>
      <c r="L44" s="6">
        <v>1.8093215607E10</v>
      </c>
      <c r="M44" s="6" t="s">
        <v>954</v>
      </c>
      <c r="N44" s="6" t="s">
        <v>283</v>
      </c>
      <c r="O44" s="6" t="s">
        <v>178</v>
      </c>
      <c r="P44" s="10">
        <v>46011.0</v>
      </c>
    </row>
    <row r="45" ht="22.5" customHeight="1">
      <c r="A45" s="6" t="s">
        <v>959</v>
      </c>
      <c r="B45" s="6" t="s">
        <v>960</v>
      </c>
      <c r="C45" s="6" t="s">
        <v>961</v>
      </c>
      <c r="D45" s="6" t="s">
        <v>145</v>
      </c>
      <c r="E45" s="6" t="s">
        <v>210</v>
      </c>
      <c r="F45" s="8">
        <v>114.0</v>
      </c>
      <c r="G45" s="9">
        <v>1074.33</v>
      </c>
      <c r="H45" s="9">
        <v>14625.72</v>
      </c>
      <c r="I45" s="6" t="s">
        <v>161</v>
      </c>
      <c r="J45" s="6" t="s">
        <v>357</v>
      </c>
      <c r="K45" s="6" t="s">
        <v>968</v>
      </c>
      <c r="L45" s="6">
        <v>4.6830872404E10</v>
      </c>
      <c r="M45" s="6" t="s">
        <v>969</v>
      </c>
      <c r="N45" s="6" t="s">
        <v>112</v>
      </c>
      <c r="O45" s="6" t="s">
        <v>161</v>
      </c>
      <c r="P45" s="10">
        <v>46039.0</v>
      </c>
    </row>
    <row r="46" ht="22.5" customHeight="1">
      <c r="A46" s="6" t="s">
        <v>974</v>
      </c>
      <c r="B46" s="6" t="s">
        <v>975</v>
      </c>
      <c r="C46" s="6" t="s">
        <v>977</v>
      </c>
      <c r="D46" s="6" t="s">
        <v>206</v>
      </c>
      <c r="E46" s="6" t="s">
        <v>147</v>
      </c>
      <c r="F46" s="8">
        <v>16.0</v>
      </c>
      <c r="G46" s="9">
        <v>80.08</v>
      </c>
      <c r="H46" s="9">
        <v>12692.74</v>
      </c>
      <c r="I46" s="6" t="s">
        <v>161</v>
      </c>
      <c r="J46" s="6" t="s">
        <v>163</v>
      </c>
      <c r="K46" s="6" t="s">
        <v>985</v>
      </c>
      <c r="L46" s="6">
        <v>7.560540155E9</v>
      </c>
      <c r="M46" s="6" t="s">
        <v>989</v>
      </c>
      <c r="N46" s="6" t="s">
        <v>283</v>
      </c>
      <c r="O46" s="6" t="s">
        <v>178</v>
      </c>
      <c r="P46" s="10">
        <v>45986.0</v>
      </c>
    </row>
    <row r="47" ht="22.5" customHeight="1">
      <c r="A47" s="6" t="s">
        <v>993</v>
      </c>
      <c r="B47" s="6" t="s">
        <v>995</v>
      </c>
      <c r="C47" s="6" t="s">
        <v>998</v>
      </c>
      <c r="D47" s="6" t="s">
        <v>206</v>
      </c>
      <c r="E47" s="6" t="s">
        <v>147</v>
      </c>
      <c r="F47" s="8">
        <v>21.0</v>
      </c>
      <c r="G47" s="9">
        <v>717.89</v>
      </c>
      <c r="H47" s="9">
        <v>1895.46</v>
      </c>
      <c r="I47" s="6" t="s">
        <v>161</v>
      </c>
      <c r="J47" s="6" t="s">
        <v>442</v>
      </c>
      <c r="K47" s="6" t="s">
        <v>1006</v>
      </c>
      <c r="L47" s="6">
        <v>9.1986365816E10</v>
      </c>
      <c r="M47" s="6" t="s">
        <v>1008</v>
      </c>
      <c r="N47" s="6" t="s">
        <v>427</v>
      </c>
      <c r="O47" s="6" t="s">
        <v>178</v>
      </c>
      <c r="P47" s="10">
        <v>46009.0</v>
      </c>
    </row>
    <row r="48" ht="22.5" customHeight="1">
      <c r="A48" s="6" t="s">
        <v>1013</v>
      </c>
      <c r="B48" s="6" t="s">
        <v>1016</v>
      </c>
      <c r="C48" s="6" t="s">
        <v>1017</v>
      </c>
      <c r="D48" s="6" t="s">
        <v>145</v>
      </c>
      <c r="E48" s="6" t="s">
        <v>301</v>
      </c>
      <c r="F48" s="8">
        <v>41.0</v>
      </c>
      <c r="G48" s="9">
        <v>1589.54</v>
      </c>
      <c r="H48" s="9">
        <v>11130.09</v>
      </c>
      <c r="I48" s="6" t="s">
        <v>161</v>
      </c>
      <c r="J48" s="6" t="s">
        <v>357</v>
      </c>
      <c r="K48" s="6" t="s">
        <v>1024</v>
      </c>
      <c r="L48" s="6">
        <v>3.6091213086E10</v>
      </c>
      <c r="M48" s="6" t="s">
        <v>1028</v>
      </c>
      <c r="N48" s="6" t="s">
        <v>176</v>
      </c>
      <c r="O48" s="6" t="s">
        <v>178</v>
      </c>
      <c r="P48" s="10">
        <v>46040.0</v>
      </c>
    </row>
    <row r="49" ht="22.5" customHeight="1">
      <c r="A49" s="6" t="s">
        <v>1033</v>
      </c>
      <c r="B49" s="6" t="s">
        <v>1034</v>
      </c>
      <c r="C49" s="6" t="s">
        <v>1037</v>
      </c>
      <c r="D49" s="6" t="s">
        <v>145</v>
      </c>
      <c r="E49" s="6" t="s">
        <v>147</v>
      </c>
      <c r="F49" s="8">
        <v>16.0</v>
      </c>
      <c r="G49" s="9">
        <v>977.04</v>
      </c>
      <c r="H49" s="9">
        <v>1903.12</v>
      </c>
      <c r="I49" s="6" t="s">
        <v>161</v>
      </c>
      <c r="J49" s="6" t="s">
        <v>465</v>
      </c>
      <c r="K49" s="6" t="s">
        <v>1041</v>
      </c>
      <c r="L49" s="6">
        <v>8.7766186548E10</v>
      </c>
      <c r="M49" s="6" t="s">
        <v>1043</v>
      </c>
      <c r="N49" s="6" t="s">
        <v>259</v>
      </c>
      <c r="O49" s="6" t="s">
        <v>178</v>
      </c>
      <c r="P49" s="10">
        <v>46039.0</v>
      </c>
    </row>
    <row r="50" ht="22.5" customHeight="1">
      <c r="A50" s="6" t="s">
        <v>1046</v>
      </c>
      <c r="B50" s="6" t="s">
        <v>1048</v>
      </c>
      <c r="C50" s="6" t="s">
        <v>1049</v>
      </c>
      <c r="D50" s="6" t="s">
        <v>206</v>
      </c>
      <c r="E50" s="6" t="s">
        <v>147</v>
      </c>
      <c r="F50" s="8">
        <v>29.0</v>
      </c>
      <c r="G50" s="9">
        <v>1592.15</v>
      </c>
      <c r="H50" s="9">
        <v>10220.19</v>
      </c>
      <c r="I50" s="6" t="s">
        <v>161</v>
      </c>
      <c r="J50" s="6" t="s">
        <v>357</v>
      </c>
      <c r="K50" s="6" t="s">
        <v>1052</v>
      </c>
      <c r="L50" s="6">
        <v>2.6312412896E10</v>
      </c>
      <c r="M50" s="6" t="s">
        <v>1054</v>
      </c>
      <c r="N50" s="6" t="s">
        <v>112</v>
      </c>
      <c r="O50" s="6" t="s">
        <v>178</v>
      </c>
      <c r="P50" s="10">
        <v>45994.0</v>
      </c>
    </row>
    <row r="51" ht="22.5" customHeight="1">
      <c r="A51" s="6" t="s">
        <v>1056</v>
      </c>
      <c r="B51" s="6" t="s">
        <v>1057</v>
      </c>
      <c r="C51" s="6" t="s">
        <v>1059</v>
      </c>
      <c r="D51" s="6" t="s">
        <v>145</v>
      </c>
      <c r="E51" s="6" t="s">
        <v>147</v>
      </c>
      <c r="F51" s="8">
        <v>25.0</v>
      </c>
      <c r="G51" s="9">
        <v>1696.94</v>
      </c>
      <c r="H51" s="9">
        <v>15468.6</v>
      </c>
      <c r="I51" s="6" t="s">
        <v>178</v>
      </c>
      <c r="J51" s="6" t="s">
        <v>357</v>
      </c>
      <c r="K51" s="6" t="s">
        <v>1062</v>
      </c>
      <c r="L51" s="6">
        <v>1.692449665E9</v>
      </c>
      <c r="M51" s="6" t="s">
        <v>1063</v>
      </c>
      <c r="N51" s="6" t="s">
        <v>176</v>
      </c>
      <c r="O51" s="6" t="s">
        <v>161</v>
      </c>
      <c r="P51" s="10">
        <v>46036.0</v>
      </c>
    </row>
    <row r="52" ht="22.5" customHeight="1">
      <c r="A52" s="6" t="s">
        <v>1065</v>
      </c>
      <c r="B52" s="6" t="s">
        <v>1066</v>
      </c>
      <c r="C52" s="6" t="s">
        <v>1067</v>
      </c>
      <c r="D52" s="6" t="s">
        <v>206</v>
      </c>
      <c r="E52" s="6" t="s">
        <v>301</v>
      </c>
      <c r="F52" s="8">
        <v>41.0</v>
      </c>
      <c r="G52" s="9">
        <v>254.2</v>
      </c>
      <c r="H52" s="9">
        <v>1623.95</v>
      </c>
      <c r="I52" s="6" t="s">
        <v>161</v>
      </c>
      <c r="J52" s="6" t="s">
        <v>421</v>
      </c>
      <c r="K52" s="6" t="s">
        <v>1072</v>
      </c>
      <c r="L52" s="6">
        <v>3.2152813624E10</v>
      </c>
      <c r="M52" s="6" t="s">
        <v>1074</v>
      </c>
      <c r="N52" s="6" t="s">
        <v>259</v>
      </c>
      <c r="O52" s="6" t="s">
        <v>178</v>
      </c>
      <c r="P52" s="10">
        <v>45990.0</v>
      </c>
    </row>
    <row r="53" ht="22.5" customHeight="1">
      <c r="A53" s="6" t="s">
        <v>1080</v>
      </c>
      <c r="B53" s="6" t="s">
        <v>1081</v>
      </c>
      <c r="C53" s="6" t="s">
        <v>1082</v>
      </c>
      <c r="D53" s="6" t="s">
        <v>206</v>
      </c>
      <c r="E53" s="6" t="s">
        <v>147</v>
      </c>
      <c r="F53" s="8">
        <v>20.0</v>
      </c>
      <c r="G53" s="9">
        <v>312.65</v>
      </c>
      <c r="H53" s="9">
        <v>7420.39</v>
      </c>
      <c r="I53" s="6" t="s">
        <v>161</v>
      </c>
      <c r="J53" s="6" t="s">
        <v>442</v>
      </c>
      <c r="K53" s="6" t="s">
        <v>1086</v>
      </c>
      <c r="L53" s="6">
        <v>8.3110863886E10</v>
      </c>
      <c r="M53" s="6" t="s">
        <v>1087</v>
      </c>
      <c r="N53" s="6" t="s">
        <v>427</v>
      </c>
      <c r="O53" s="6" t="s">
        <v>178</v>
      </c>
      <c r="P53" s="10">
        <v>45951.0</v>
      </c>
    </row>
    <row r="54" ht="22.5" customHeight="1">
      <c r="A54" s="6" t="s">
        <v>1089</v>
      </c>
      <c r="B54" s="6" t="s">
        <v>1090</v>
      </c>
      <c r="C54" s="6" t="s">
        <v>1091</v>
      </c>
      <c r="D54" s="6" t="s">
        <v>145</v>
      </c>
      <c r="E54" s="6" t="s">
        <v>147</v>
      </c>
      <c r="F54" s="8">
        <v>8.0</v>
      </c>
      <c r="G54" s="9">
        <v>1197.84</v>
      </c>
      <c r="H54" s="9">
        <v>13054.45</v>
      </c>
      <c r="I54" s="6" t="s">
        <v>161</v>
      </c>
      <c r="J54" s="6" t="s">
        <v>228</v>
      </c>
      <c r="K54" s="6" t="s">
        <v>1094</v>
      </c>
      <c r="L54" s="6">
        <v>8.5705376237E10</v>
      </c>
      <c r="M54" s="6" t="s">
        <v>1096</v>
      </c>
      <c r="N54" s="6" t="s">
        <v>283</v>
      </c>
      <c r="O54" s="6" t="s">
        <v>178</v>
      </c>
      <c r="P54" s="10">
        <v>45964.0</v>
      </c>
    </row>
    <row r="55" ht="22.5" customHeight="1">
      <c r="A55" s="6" t="s">
        <v>1099</v>
      </c>
      <c r="B55" s="6" t="s">
        <v>1100</v>
      </c>
      <c r="C55" s="6" t="s">
        <v>1103</v>
      </c>
      <c r="D55" s="6" t="s">
        <v>145</v>
      </c>
      <c r="E55" s="6" t="s">
        <v>210</v>
      </c>
      <c r="F55" s="8">
        <v>100.0</v>
      </c>
      <c r="G55" s="9">
        <v>1373.16</v>
      </c>
      <c r="H55" s="9">
        <v>7322.25</v>
      </c>
      <c r="I55" s="6" t="s">
        <v>178</v>
      </c>
      <c r="J55" s="6" t="s">
        <v>442</v>
      </c>
      <c r="K55" s="6" t="s">
        <v>1108</v>
      </c>
      <c r="L55" s="6">
        <v>2.0440909144E10</v>
      </c>
      <c r="M55" s="6" t="s">
        <v>1110</v>
      </c>
      <c r="N55" s="6" t="s">
        <v>283</v>
      </c>
      <c r="O55" s="6" t="s">
        <v>161</v>
      </c>
      <c r="P55" s="10">
        <v>46042.0</v>
      </c>
    </row>
    <row r="56" ht="22.5" customHeight="1">
      <c r="A56" s="6" t="s">
        <v>1114</v>
      </c>
      <c r="B56" s="6" t="s">
        <v>1115</v>
      </c>
      <c r="C56" s="6" t="s">
        <v>1116</v>
      </c>
      <c r="D56" s="6" t="s">
        <v>206</v>
      </c>
      <c r="E56" s="6" t="s">
        <v>147</v>
      </c>
      <c r="F56" s="8">
        <v>13.0</v>
      </c>
      <c r="G56" s="9">
        <v>791.08</v>
      </c>
      <c r="H56" s="9">
        <v>7104.61</v>
      </c>
      <c r="I56" s="6" t="s">
        <v>178</v>
      </c>
      <c r="J56" s="6" t="s">
        <v>228</v>
      </c>
      <c r="K56" s="6" t="s">
        <v>1124</v>
      </c>
      <c r="L56" s="6">
        <v>5.4472161279E10</v>
      </c>
      <c r="M56" s="6" t="s">
        <v>1126</v>
      </c>
      <c r="N56" s="6" t="s">
        <v>112</v>
      </c>
      <c r="O56" s="6" t="s">
        <v>161</v>
      </c>
      <c r="P56" s="10">
        <v>46006.0</v>
      </c>
    </row>
    <row r="57" ht="22.5" customHeight="1">
      <c r="A57" s="6" t="s">
        <v>1129</v>
      </c>
      <c r="B57" s="6" t="s">
        <v>1131</v>
      </c>
      <c r="C57" s="6" t="s">
        <v>1132</v>
      </c>
      <c r="D57" s="6" t="s">
        <v>206</v>
      </c>
      <c r="E57" s="6" t="s">
        <v>301</v>
      </c>
      <c r="F57" s="8">
        <v>36.0</v>
      </c>
      <c r="G57" s="9">
        <v>583.8</v>
      </c>
      <c r="H57" s="9">
        <v>13372.33</v>
      </c>
      <c r="I57" s="6" t="s">
        <v>161</v>
      </c>
      <c r="J57" s="6" t="s">
        <v>465</v>
      </c>
      <c r="K57" s="6" t="s">
        <v>1137</v>
      </c>
      <c r="L57" s="6">
        <v>2.9252799395E10</v>
      </c>
      <c r="M57" s="6" t="s">
        <v>1138</v>
      </c>
      <c r="N57" s="6" t="s">
        <v>112</v>
      </c>
      <c r="O57" s="6" t="s">
        <v>178</v>
      </c>
      <c r="P57" s="10">
        <v>45931.0</v>
      </c>
    </row>
    <row r="58" ht="22.5" customHeight="1">
      <c r="A58" s="6" t="s">
        <v>1141</v>
      </c>
      <c r="B58" s="6" t="s">
        <v>1143</v>
      </c>
      <c r="C58" s="6" t="s">
        <v>1146</v>
      </c>
      <c r="D58" s="6" t="s">
        <v>206</v>
      </c>
      <c r="E58" s="6" t="s">
        <v>147</v>
      </c>
      <c r="F58" s="8">
        <v>22.0</v>
      </c>
      <c r="G58" s="9">
        <v>1010.98</v>
      </c>
      <c r="H58" s="9">
        <v>10799.98</v>
      </c>
      <c r="I58" s="6" t="s">
        <v>161</v>
      </c>
      <c r="J58" s="6" t="s">
        <v>163</v>
      </c>
      <c r="K58" s="6" t="s">
        <v>1150</v>
      </c>
      <c r="L58" s="6">
        <v>1.9542556948E10</v>
      </c>
      <c r="M58" s="6" t="s">
        <v>1152</v>
      </c>
      <c r="N58" s="6" t="s">
        <v>283</v>
      </c>
      <c r="O58" s="6" t="s">
        <v>178</v>
      </c>
      <c r="P58" s="10">
        <v>45983.0</v>
      </c>
    </row>
    <row r="59" ht="22.5" customHeight="1">
      <c r="A59" s="6" t="s">
        <v>1157</v>
      </c>
      <c r="B59" s="6" t="s">
        <v>1158</v>
      </c>
      <c r="C59" s="6" t="s">
        <v>1160</v>
      </c>
      <c r="D59" s="6" t="s">
        <v>206</v>
      </c>
      <c r="E59" s="6" t="s">
        <v>147</v>
      </c>
      <c r="F59" s="8">
        <v>21.0</v>
      </c>
      <c r="G59" s="9">
        <v>277.17</v>
      </c>
      <c r="H59" s="9">
        <v>12006.66</v>
      </c>
      <c r="I59" s="6" t="s">
        <v>161</v>
      </c>
      <c r="J59" s="6" t="s">
        <v>163</v>
      </c>
      <c r="K59" s="6" t="s">
        <v>1166</v>
      </c>
      <c r="L59" s="6">
        <v>6.2329379194E10</v>
      </c>
      <c r="M59" s="6" t="s">
        <v>1167</v>
      </c>
      <c r="N59" s="6" t="s">
        <v>176</v>
      </c>
      <c r="O59" s="6" t="s">
        <v>178</v>
      </c>
      <c r="P59" s="10">
        <v>45952.0</v>
      </c>
    </row>
    <row r="60" ht="22.5" customHeight="1">
      <c r="A60" s="6" t="s">
        <v>1173</v>
      </c>
      <c r="B60" s="6" t="s">
        <v>1175</v>
      </c>
      <c r="C60" s="6" t="s">
        <v>1177</v>
      </c>
      <c r="D60" s="6" t="s">
        <v>145</v>
      </c>
      <c r="E60" s="6" t="s">
        <v>147</v>
      </c>
      <c r="F60" s="8">
        <v>13.0</v>
      </c>
      <c r="G60" s="9">
        <v>1797.49</v>
      </c>
      <c r="H60" s="9">
        <v>7919.63</v>
      </c>
      <c r="I60" s="6" t="s">
        <v>161</v>
      </c>
      <c r="J60" s="6" t="s">
        <v>312</v>
      </c>
      <c r="K60" s="6" t="s">
        <v>1181</v>
      </c>
      <c r="L60" s="6">
        <v>3.5401267844E10</v>
      </c>
      <c r="M60" s="6" t="s">
        <v>1184</v>
      </c>
      <c r="N60" s="6" t="s">
        <v>427</v>
      </c>
      <c r="O60" s="6" t="s">
        <v>178</v>
      </c>
      <c r="P60" s="10">
        <v>45943.0</v>
      </c>
    </row>
    <row r="61" ht="22.5" customHeight="1">
      <c r="A61" s="6" t="s">
        <v>1193</v>
      </c>
      <c r="B61" s="6" t="s">
        <v>1195</v>
      </c>
      <c r="C61" s="6" t="s">
        <v>1199</v>
      </c>
      <c r="D61" s="6" t="s">
        <v>145</v>
      </c>
      <c r="E61" s="6" t="s">
        <v>301</v>
      </c>
      <c r="F61" s="8">
        <v>43.0</v>
      </c>
      <c r="G61" s="9">
        <v>320.17</v>
      </c>
      <c r="H61" s="9">
        <v>3842.44</v>
      </c>
      <c r="I61" s="6" t="s">
        <v>161</v>
      </c>
      <c r="J61" s="6" t="s">
        <v>479</v>
      </c>
      <c r="K61" s="6" t="s">
        <v>1207</v>
      </c>
      <c r="L61" s="6">
        <v>7.3711007868E10</v>
      </c>
      <c r="M61" s="6" t="s">
        <v>1210</v>
      </c>
      <c r="N61" s="6" t="s">
        <v>283</v>
      </c>
      <c r="O61" s="6" t="s">
        <v>178</v>
      </c>
      <c r="P61" s="10">
        <v>45975.0</v>
      </c>
    </row>
    <row r="62" ht="22.5" customHeight="1">
      <c r="A62" s="6" t="s">
        <v>1214</v>
      </c>
      <c r="B62" s="6" t="s">
        <v>1215</v>
      </c>
      <c r="C62" s="6" t="s">
        <v>1216</v>
      </c>
      <c r="D62" s="6" t="s">
        <v>145</v>
      </c>
      <c r="E62" s="6" t="s">
        <v>147</v>
      </c>
      <c r="F62" s="8">
        <v>6.0</v>
      </c>
      <c r="G62" s="9">
        <v>1090.24</v>
      </c>
      <c r="H62" s="9">
        <v>9357.84</v>
      </c>
      <c r="I62" s="6" t="s">
        <v>161</v>
      </c>
      <c r="J62" s="6" t="s">
        <v>421</v>
      </c>
      <c r="K62" s="6" t="s">
        <v>1218</v>
      </c>
      <c r="L62" s="6">
        <v>4.4036325004E10</v>
      </c>
      <c r="M62" s="6" t="s">
        <v>1220</v>
      </c>
      <c r="N62" s="6" t="s">
        <v>112</v>
      </c>
      <c r="O62" s="6" t="s">
        <v>178</v>
      </c>
      <c r="P62" s="10">
        <v>45970.0</v>
      </c>
    </row>
    <row r="63" ht="22.5" customHeight="1">
      <c r="A63" s="6" t="s">
        <v>1223</v>
      </c>
      <c r="B63" s="6" t="s">
        <v>1225</v>
      </c>
      <c r="C63" s="6" t="s">
        <v>1227</v>
      </c>
      <c r="D63" s="6" t="s">
        <v>145</v>
      </c>
      <c r="E63" s="6" t="s">
        <v>301</v>
      </c>
      <c r="F63" s="8">
        <v>33.0</v>
      </c>
      <c r="G63" s="9">
        <v>505.69</v>
      </c>
      <c r="H63" s="9">
        <v>8000.73</v>
      </c>
      <c r="I63" s="6" t="s">
        <v>161</v>
      </c>
      <c r="J63" s="6" t="s">
        <v>1229</v>
      </c>
      <c r="K63" s="6" t="s">
        <v>1230</v>
      </c>
      <c r="L63" s="6">
        <v>5.7179487001E10</v>
      </c>
      <c r="M63" s="6" t="s">
        <v>1232</v>
      </c>
      <c r="N63" s="6" t="s">
        <v>427</v>
      </c>
      <c r="O63" s="6" t="s">
        <v>178</v>
      </c>
      <c r="P63" s="10">
        <v>45948.0</v>
      </c>
    </row>
    <row r="64" ht="22.5" customHeight="1">
      <c r="A64" s="6" t="s">
        <v>1237</v>
      </c>
      <c r="B64" s="6" t="s">
        <v>1238</v>
      </c>
      <c r="C64" s="6" t="s">
        <v>1240</v>
      </c>
      <c r="D64" s="6" t="s">
        <v>145</v>
      </c>
      <c r="E64" s="6" t="s">
        <v>147</v>
      </c>
      <c r="F64" s="8">
        <v>12.0</v>
      </c>
      <c r="G64" s="9">
        <v>779.84</v>
      </c>
      <c r="H64" s="9">
        <v>8300.45</v>
      </c>
      <c r="I64" s="6" t="s">
        <v>161</v>
      </c>
      <c r="J64" s="6" t="s">
        <v>163</v>
      </c>
      <c r="K64" s="6" t="s">
        <v>1243</v>
      </c>
      <c r="L64" s="6">
        <v>4.508546523E10</v>
      </c>
      <c r="M64" s="6" t="s">
        <v>1244</v>
      </c>
      <c r="N64" s="6" t="s">
        <v>427</v>
      </c>
      <c r="O64" s="6" t="s">
        <v>178</v>
      </c>
      <c r="P64" s="10">
        <v>45938.0</v>
      </c>
    </row>
    <row r="65" ht="22.5" customHeight="1">
      <c r="A65" s="6" t="s">
        <v>1245</v>
      </c>
      <c r="B65" s="6" t="s">
        <v>1246</v>
      </c>
      <c r="C65" s="6" t="s">
        <v>1247</v>
      </c>
      <c r="D65" s="6" t="s">
        <v>206</v>
      </c>
      <c r="E65" s="6" t="s">
        <v>147</v>
      </c>
      <c r="F65" s="8">
        <v>26.0</v>
      </c>
      <c r="G65" s="9">
        <v>1597.05</v>
      </c>
      <c r="H65" s="9">
        <v>4893.64</v>
      </c>
      <c r="I65" s="6" t="s">
        <v>161</v>
      </c>
      <c r="J65" s="6" t="s">
        <v>163</v>
      </c>
      <c r="K65" s="6" t="s">
        <v>1251</v>
      </c>
      <c r="L65" s="6">
        <v>5.3739987422E10</v>
      </c>
      <c r="M65" s="6" t="s">
        <v>1254</v>
      </c>
      <c r="N65" s="6" t="s">
        <v>427</v>
      </c>
      <c r="O65" s="6" t="s">
        <v>178</v>
      </c>
      <c r="P65" s="10">
        <v>45934.0</v>
      </c>
    </row>
    <row r="66" ht="22.5" customHeight="1">
      <c r="A66" s="6" t="s">
        <v>1267</v>
      </c>
      <c r="B66" s="6" t="s">
        <v>1268</v>
      </c>
      <c r="C66" s="6" t="s">
        <v>1269</v>
      </c>
      <c r="D66" s="6" t="s">
        <v>145</v>
      </c>
      <c r="E66" s="6" t="s">
        <v>147</v>
      </c>
      <c r="F66" s="8">
        <v>6.0</v>
      </c>
      <c r="G66" s="9">
        <v>221.49</v>
      </c>
      <c r="H66" s="9">
        <v>4436.84</v>
      </c>
      <c r="I66" s="6" t="s">
        <v>161</v>
      </c>
      <c r="J66" s="6" t="s">
        <v>442</v>
      </c>
      <c r="K66" s="6" t="s">
        <v>1270</v>
      </c>
      <c r="L66" s="6">
        <v>6.1970273903E10</v>
      </c>
      <c r="M66" s="6" t="s">
        <v>1272</v>
      </c>
      <c r="N66" s="6" t="s">
        <v>283</v>
      </c>
      <c r="O66" s="6" t="s">
        <v>178</v>
      </c>
      <c r="P66" s="10">
        <v>45964.0</v>
      </c>
    </row>
    <row r="67" ht="22.5" customHeight="1">
      <c r="A67" s="6" t="s">
        <v>1274</v>
      </c>
      <c r="B67" s="6" t="s">
        <v>1275</v>
      </c>
      <c r="C67" s="6" t="s">
        <v>1276</v>
      </c>
      <c r="D67" s="6" t="s">
        <v>383</v>
      </c>
      <c r="E67" s="6" t="s">
        <v>147</v>
      </c>
      <c r="F67" s="8">
        <v>27.0</v>
      </c>
      <c r="G67" s="9">
        <v>286.97</v>
      </c>
      <c r="H67" s="9">
        <v>12569.2</v>
      </c>
      <c r="I67" s="6" t="s">
        <v>161</v>
      </c>
      <c r="J67" s="6" t="s">
        <v>312</v>
      </c>
      <c r="K67" s="6" t="s">
        <v>1279</v>
      </c>
      <c r="L67" s="6">
        <v>3.3751258732E10</v>
      </c>
      <c r="M67" s="6" t="s">
        <v>1282</v>
      </c>
      <c r="N67" s="6" t="s">
        <v>427</v>
      </c>
      <c r="O67" s="6" t="s">
        <v>178</v>
      </c>
      <c r="P67" s="10">
        <v>45960.0</v>
      </c>
    </row>
    <row r="68" ht="22.5" customHeight="1">
      <c r="A68" s="6" t="s">
        <v>1286</v>
      </c>
      <c r="B68" s="6" t="s">
        <v>1288</v>
      </c>
      <c r="C68" s="6" t="s">
        <v>1290</v>
      </c>
      <c r="D68" s="6" t="s">
        <v>206</v>
      </c>
      <c r="E68" s="6" t="s">
        <v>301</v>
      </c>
      <c r="F68" s="8">
        <v>57.0</v>
      </c>
      <c r="G68" s="9">
        <v>1434.26</v>
      </c>
      <c r="H68" s="9">
        <v>7808.55</v>
      </c>
      <c r="I68" s="6" t="s">
        <v>161</v>
      </c>
      <c r="J68" s="6" t="s">
        <v>163</v>
      </c>
      <c r="K68" s="6" t="s">
        <v>1291</v>
      </c>
      <c r="L68" s="6" t="s">
        <v>259</v>
      </c>
      <c r="M68" s="6" t="s">
        <v>1292</v>
      </c>
      <c r="N68" s="6" t="s">
        <v>283</v>
      </c>
      <c r="O68" s="6" t="s">
        <v>178</v>
      </c>
      <c r="P68" s="10">
        <v>46000.0</v>
      </c>
    </row>
    <row r="69" ht="22.5" customHeight="1">
      <c r="A69" s="6" t="s">
        <v>1294</v>
      </c>
      <c r="B69" s="6" t="s">
        <v>1297</v>
      </c>
      <c r="C69" s="6" t="s">
        <v>1298</v>
      </c>
      <c r="D69" s="6" t="s">
        <v>145</v>
      </c>
      <c r="E69" s="6" t="s">
        <v>147</v>
      </c>
      <c r="F69" s="8">
        <v>13.0</v>
      </c>
      <c r="G69" s="9">
        <v>971.03</v>
      </c>
      <c r="H69" s="9">
        <v>1483.99</v>
      </c>
      <c r="I69" s="6" t="s">
        <v>161</v>
      </c>
      <c r="J69" s="6" t="s">
        <v>479</v>
      </c>
      <c r="K69" s="6" t="s">
        <v>1304</v>
      </c>
      <c r="L69" s="6">
        <v>4.765055892E9</v>
      </c>
      <c r="M69" s="6" t="s">
        <v>1305</v>
      </c>
      <c r="N69" s="6" t="s">
        <v>283</v>
      </c>
      <c r="O69" s="6" t="s">
        <v>178</v>
      </c>
      <c r="P69" s="10">
        <v>46046.0</v>
      </c>
    </row>
    <row r="70" ht="22.5" customHeight="1">
      <c r="A70" s="6" t="s">
        <v>1306</v>
      </c>
      <c r="B70" s="6" t="s">
        <v>1307</v>
      </c>
      <c r="C70" s="6" t="s">
        <v>1308</v>
      </c>
      <c r="D70" s="6" t="s">
        <v>383</v>
      </c>
      <c r="E70" s="6" t="s">
        <v>210</v>
      </c>
      <c r="F70" s="8">
        <v>85.0</v>
      </c>
      <c r="G70" s="9">
        <v>1397.76</v>
      </c>
      <c r="H70" s="9">
        <v>6560.21</v>
      </c>
      <c r="I70" s="6" t="s">
        <v>161</v>
      </c>
      <c r="J70" s="6" t="s">
        <v>259</v>
      </c>
      <c r="K70" s="6" t="s">
        <v>1312</v>
      </c>
      <c r="L70" s="6">
        <v>4.8608433003E10</v>
      </c>
      <c r="M70" s="6" t="s">
        <v>1313</v>
      </c>
      <c r="N70" s="6" t="s">
        <v>176</v>
      </c>
      <c r="O70" s="6" t="s">
        <v>161</v>
      </c>
      <c r="P70" s="10">
        <v>46002.0</v>
      </c>
    </row>
    <row r="71" ht="22.5" customHeight="1">
      <c r="A71" s="6" t="s">
        <v>1317</v>
      </c>
      <c r="B71" s="6" t="s">
        <v>1318</v>
      </c>
      <c r="C71" s="6" t="s">
        <v>1320</v>
      </c>
      <c r="D71" s="6" t="s">
        <v>145</v>
      </c>
      <c r="E71" s="6" t="s">
        <v>147</v>
      </c>
      <c r="F71" s="8">
        <v>29.0</v>
      </c>
      <c r="G71" s="9">
        <v>1681.54</v>
      </c>
      <c r="H71" s="9">
        <v>4657.78</v>
      </c>
      <c r="I71" s="6" t="s">
        <v>161</v>
      </c>
      <c r="J71" s="6" t="s">
        <v>259</v>
      </c>
      <c r="K71" s="6" t="s">
        <v>1322</v>
      </c>
      <c r="L71" s="6">
        <v>6.4984495814E10</v>
      </c>
      <c r="M71" s="6" t="s">
        <v>1325</v>
      </c>
      <c r="N71" s="6" t="s">
        <v>259</v>
      </c>
      <c r="O71" s="6" t="s">
        <v>178</v>
      </c>
      <c r="P71" s="10">
        <v>45983.0</v>
      </c>
    </row>
    <row r="72" ht="22.5" customHeight="1">
      <c r="A72" s="6" t="s">
        <v>1327</v>
      </c>
      <c r="B72" s="6" t="s">
        <v>1328</v>
      </c>
      <c r="C72" s="6" t="s">
        <v>1330</v>
      </c>
      <c r="D72" s="6" t="s">
        <v>206</v>
      </c>
      <c r="E72" s="6" t="s">
        <v>210</v>
      </c>
      <c r="F72" s="8">
        <v>108.0</v>
      </c>
      <c r="G72" s="9">
        <v>1696.78</v>
      </c>
      <c r="H72" s="9">
        <v>9182.98</v>
      </c>
      <c r="I72" s="6" t="s">
        <v>178</v>
      </c>
      <c r="J72" s="6" t="s">
        <v>312</v>
      </c>
      <c r="K72" s="6" t="s">
        <v>1334</v>
      </c>
      <c r="L72" s="6">
        <v>1.012612062E9</v>
      </c>
      <c r="M72" s="6" t="s">
        <v>1335</v>
      </c>
      <c r="N72" s="6" t="s">
        <v>427</v>
      </c>
      <c r="O72" s="6" t="s">
        <v>161</v>
      </c>
      <c r="P72" s="10">
        <v>45983.0</v>
      </c>
    </row>
    <row r="73" ht="22.5" customHeight="1">
      <c r="A73" s="6" t="s">
        <v>1336</v>
      </c>
      <c r="B73" s="6" t="s">
        <v>1337</v>
      </c>
      <c r="C73" s="6" t="s">
        <v>1338</v>
      </c>
      <c r="D73" s="6" t="s">
        <v>145</v>
      </c>
      <c r="E73" s="6" t="s">
        <v>301</v>
      </c>
      <c r="F73" s="8">
        <v>34.0</v>
      </c>
      <c r="G73" s="9">
        <v>1343.42</v>
      </c>
      <c r="H73" s="9">
        <v>13167.4</v>
      </c>
      <c r="I73" s="6" t="s">
        <v>161</v>
      </c>
      <c r="J73" s="6" t="s">
        <v>312</v>
      </c>
      <c r="K73" s="6" t="s">
        <v>1340</v>
      </c>
      <c r="L73" s="6">
        <v>8.4632526696E10</v>
      </c>
      <c r="M73" s="6" t="s">
        <v>1341</v>
      </c>
      <c r="N73" s="6" t="s">
        <v>283</v>
      </c>
      <c r="O73" s="6" t="s">
        <v>178</v>
      </c>
      <c r="P73" s="10">
        <v>45944.0</v>
      </c>
    </row>
    <row r="74" ht="22.5" customHeight="1">
      <c r="A74" s="6" t="s">
        <v>1342</v>
      </c>
      <c r="B74" s="6" t="s">
        <v>1343</v>
      </c>
      <c r="C74" s="6" t="s">
        <v>1345</v>
      </c>
      <c r="D74" s="6" t="s">
        <v>206</v>
      </c>
      <c r="E74" s="6" t="s">
        <v>147</v>
      </c>
      <c r="F74" s="8">
        <v>23.0</v>
      </c>
      <c r="G74" s="9">
        <v>1515.86</v>
      </c>
      <c r="H74" s="9">
        <v>3502.88</v>
      </c>
      <c r="I74" s="6" t="s">
        <v>161</v>
      </c>
      <c r="J74" s="6" t="s">
        <v>357</v>
      </c>
      <c r="K74" s="6" t="s">
        <v>1351</v>
      </c>
      <c r="L74" s="6">
        <v>8.3394411798E10</v>
      </c>
      <c r="M74" s="6" t="s">
        <v>1352</v>
      </c>
      <c r="N74" s="6" t="s">
        <v>176</v>
      </c>
      <c r="O74" s="6" t="s">
        <v>178</v>
      </c>
      <c r="P74" s="10">
        <v>45960.0</v>
      </c>
    </row>
    <row r="75" ht="22.5" customHeight="1">
      <c r="A75" s="6" t="s">
        <v>1355</v>
      </c>
      <c r="B75" s="6" t="s">
        <v>1356</v>
      </c>
      <c r="C75" s="6" t="s">
        <v>1357</v>
      </c>
      <c r="D75" s="6" t="s">
        <v>145</v>
      </c>
      <c r="E75" s="6" t="s">
        <v>210</v>
      </c>
      <c r="F75" s="8">
        <v>106.0</v>
      </c>
      <c r="G75" s="9">
        <v>930.53</v>
      </c>
      <c r="H75" s="9">
        <v>6122.31</v>
      </c>
      <c r="I75" s="6" t="s">
        <v>178</v>
      </c>
      <c r="J75" s="6" t="s">
        <v>357</v>
      </c>
      <c r="K75" s="6" t="s">
        <v>1358</v>
      </c>
      <c r="L75" s="6">
        <v>7.635479457E10</v>
      </c>
      <c r="M75" s="6" t="s">
        <v>1360</v>
      </c>
      <c r="N75" s="6" t="s">
        <v>427</v>
      </c>
      <c r="O75" s="6" t="s">
        <v>161</v>
      </c>
      <c r="P75" s="10">
        <v>45979.0</v>
      </c>
    </row>
    <row r="76" ht="22.5" customHeight="1">
      <c r="A76" s="6" t="s">
        <v>1361</v>
      </c>
      <c r="B76" s="6" t="s">
        <v>1362</v>
      </c>
      <c r="C76" s="6" t="s">
        <v>1363</v>
      </c>
      <c r="D76" s="6" t="s">
        <v>206</v>
      </c>
      <c r="E76" s="6" t="s">
        <v>147</v>
      </c>
      <c r="F76" s="8">
        <v>29.0</v>
      </c>
      <c r="G76" s="9">
        <v>1234.88</v>
      </c>
      <c r="H76" s="9">
        <v>4041.45</v>
      </c>
      <c r="I76" s="6" t="s">
        <v>178</v>
      </c>
      <c r="J76" s="6" t="s">
        <v>393</v>
      </c>
      <c r="K76" s="6" t="s">
        <v>1365</v>
      </c>
      <c r="L76" s="6">
        <v>6.1907346604E10</v>
      </c>
      <c r="M76" s="6" t="s">
        <v>1366</v>
      </c>
      <c r="N76" s="6" t="s">
        <v>283</v>
      </c>
      <c r="O76" s="6" t="s">
        <v>161</v>
      </c>
      <c r="P76" s="10">
        <v>46024.0</v>
      </c>
    </row>
    <row r="77" ht="22.5" customHeight="1">
      <c r="A77" s="6" t="s">
        <v>1367</v>
      </c>
      <c r="B77" s="6" t="s">
        <v>1368</v>
      </c>
      <c r="C77" s="6" t="s">
        <v>1369</v>
      </c>
      <c r="D77" s="6" t="s">
        <v>206</v>
      </c>
      <c r="E77" s="6" t="s">
        <v>210</v>
      </c>
      <c r="F77" s="8">
        <v>84.0</v>
      </c>
      <c r="G77" s="9">
        <v>310.52</v>
      </c>
      <c r="H77" s="9">
        <v>5605.78</v>
      </c>
      <c r="I77" s="6" t="s">
        <v>161</v>
      </c>
      <c r="J77" s="6" t="s">
        <v>577</v>
      </c>
      <c r="K77" s="6" t="s">
        <v>1372</v>
      </c>
      <c r="L77" s="6">
        <v>1.2741589075E10</v>
      </c>
      <c r="M77" s="6" t="s">
        <v>1373</v>
      </c>
      <c r="N77" s="6" t="s">
        <v>283</v>
      </c>
      <c r="O77" s="6" t="s">
        <v>161</v>
      </c>
      <c r="P77" s="10">
        <v>45975.0</v>
      </c>
    </row>
    <row r="78" ht="22.5" customHeight="1">
      <c r="A78" s="6" t="s">
        <v>1375</v>
      </c>
      <c r="B78" s="6" t="s">
        <v>1376</v>
      </c>
      <c r="C78" s="6" t="s">
        <v>1377</v>
      </c>
      <c r="D78" s="6" t="s">
        <v>206</v>
      </c>
      <c r="E78" s="6" t="s">
        <v>147</v>
      </c>
      <c r="F78" s="8">
        <v>26.0</v>
      </c>
      <c r="G78" s="9">
        <v>136.6</v>
      </c>
      <c r="H78" s="9">
        <v>2019.65</v>
      </c>
      <c r="I78" s="6" t="s">
        <v>161</v>
      </c>
      <c r="J78" s="6" t="s">
        <v>163</v>
      </c>
      <c r="K78" s="6" t="s">
        <v>1378</v>
      </c>
      <c r="L78" s="6">
        <v>1.865878461E9</v>
      </c>
      <c r="M78" s="6" t="s">
        <v>1379</v>
      </c>
      <c r="N78" s="6" t="s">
        <v>259</v>
      </c>
      <c r="O78" s="6" t="s">
        <v>178</v>
      </c>
      <c r="P78" s="10">
        <v>45984.0</v>
      </c>
    </row>
    <row r="79" ht="22.5" customHeight="1">
      <c r="A79" s="6" t="s">
        <v>1381</v>
      </c>
      <c r="B79" s="6" t="s">
        <v>1382</v>
      </c>
      <c r="C79" s="6" t="s">
        <v>1384</v>
      </c>
      <c r="D79" s="6" t="s">
        <v>383</v>
      </c>
      <c r="E79" s="6" t="s">
        <v>147</v>
      </c>
      <c r="F79" s="8">
        <v>25.0</v>
      </c>
      <c r="G79" s="9">
        <v>824.18</v>
      </c>
      <c r="H79" s="9">
        <v>3115.95</v>
      </c>
      <c r="I79" s="6" t="s">
        <v>161</v>
      </c>
      <c r="J79" s="6" t="s">
        <v>357</v>
      </c>
      <c r="K79" s="6" t="s">
        <v>1387</v>
      </c>
      <c r="L79" s="6">
        <v>1.1064206023E10</v>
      </c>
      <c r="M79" s="6" t="s">
        <v>1388</v>
      </c>
      <c r="N79" s="6" t="s">
        <v>283</v>
      </c>
      <c r="O79" s="6" t="s">
        <v>178</v>
      </c>
      <c r="P79" s="10">
        <v>46016.0</v>
      </c>
    </row>
    <row r="80" ht="22.5" customHeight="1">
      <c r="A80" s="6" t="s">
        <v>1390</v>
      </c>
      <c r="B80" s="6" t="s">
        <v>1391</v>
      </c>
      <c r="C80" s="6" t="s">
        <v>1392</v>
      </c>
      <c r="D80" s="6" t="s">
        <v>206</v>
      </c>
      <c r="E80" s="6" t="s">
        <v>301</v>
      </c>
      <c r="F80" s="8">
        <v>42.0</v>
      </c>
      <c r="G80" s="9">
        <v>1033.7</v>
      </c>
      <c r="H80" s="9">
        <v>2841.57</v>
      </c>
      <c r="I80" s="6" t="s">
        <v>161</v>
      </c>
      <c r="J80" s="6" t="s">
        <v>357</v>
      </c>
      <c r="K80" s="6" t="s">
        <v>1394</v>
      </c>
      <c r="L80" s="6">
        <v>7.5006781071E10</v>
      </c>
      <c r="M80" s="6" t="s">
        <v>1395</v>
      </c>
      <c r="N80" s="6" t="s">
        <v>427</v>
      </c>
      <c r="O80" s="6" t="s">
        <v>178</v>
      </c>
      <c r="P80" s="10">
        <v>45999.0</v>
      </c>
    </row>
    <row r="81" ht="22.5" customHeight="1">
      <c r="A81" s="6" t="s">
        <v>1397</v>
      </c>
      <c r="B81" s="6" t="s">
        <v>1398</v>
      </c>
      <c r="C81" s="6" t="s">
        <v>1399</v>
      </c>
      <c r="D81" s="6" t="s">
        <v>206</v>
      </c>
      <c r="E81" s="6" t="s">
        <v>301</v>
      </c>
      <c r="F81" s="8">
        <v>45.0</v>
      </c>
      <c r="G81" s="9">
        <v>1092.43</v>
      </c>
      <c r="H81" s="9">
        <v>5884.24</v>
      </c>
      <c r="I81" s="6" t="s">
        <v>161</v>
      </c>
      <c r="J81" s="6" t="s">
        <v>228</v>
      </c>
      <c r="K81" s="6" t="s">
        <v>1401</v>
      </c>
      <c r="L81" s="6">
        <v>6.9943513049E10</v>
      </c>
      <c r="M81" s="6" t="s">
        <v>1402</v>
      </c>
      <c r="N81" s="6" t="s">
        <v>112</v>
      </c>
      <c r="O81" s="6" t="s">
        <v>178</v>
      </c>
      <c r="P81" s="10">
        <v>45943.0</v>
      </c>
    </row>
    <row r="82" ht="22.5" customHeight="1">
      <c r="A82" s="6" t="s">
        <v>1404</v>
      </c>
      <c r="B82" s="6" t="s">
        <v>1406</v>
      </c>
      <c r="C82" s="6" t="s">
        <v>1407</v>
      </c>
      <c r="D82" s="6" t="s">
        <v>145</v>
      </c>
      <c r="E82" s="6" t="s">
        <v>147</v>
      </c>
      <c r="F82" s="8">
        <v>17.0</v>
      </c>
      <c r="G82" s="9">
        <v>1246.33</v>
      </c>
      <c r="H82" s="9">
        <v>6377.85</v>
      </c>
      <c r="I82" s="6" t="s">
        <v>161</v>
      </c>
      <c r="J82" s="6" t="s">
        <v>163</v>
      </c>
      <c r="K82" s="6" t="s">
        <v>1408</v>
      </c>
      <c r="L82" s="6" t="s">
        <v>259</v>
      </c>
      <c r="M82" s="6" t="s">
        <v>1410</v>
      </c>
      <c r="N82" s="6" t="s">
        <v>176</v>
      </c>
      <c r="O82" s="6" t="s">
        <v>161</v>
      </c>
      <c r="P82" s="10">
        <v>45994.0</v>
      </c>
    </row>
    <row r="83" ht="22.5" customHeight="1">
      <c r="A83" s="6" t="s">
        <v>1412</v>
      </c>
      <c r="B83" s="6" t="s">
        <v>1413</v>
      </c>
      <c r="C83" s="6" t="s">
        <v>1414</v>
      </c>
      <c r="D83" s="6" t="s">
        <v>145</v>
      </c>
      <c r="E83" s="6" t="s">
        <v>147</v>
      </c>
      <c r="F83" s="8">
        <v>17.0</v>
      </c>
      <c r="G83" s="9">
        <v>952.49</v>
      </c>
      <c r="H83" s="9">
        <v>6581.32</v>
      </c>
      <c r="I83" s="6" t="s">
        <v>161</v>
      </c>
      <c r="J83" s="6" t="s">
        <v>465</v>
      </c>
      <c r="K83" s="6" t="s">
        <v>1415</v>
      </c>
      <c r="L83" s="6">
        <v>3.2751607381E10</v>
      </c>
      <c r="M83" s="6" t="s">
        <v>1418</v>
      </c>
      <c r="N83" s="6" t="s">
        <v>259</v>
      </c>
      <c r="O83" s="6" t="s">
        <v>178</v>
      </c>
      <c r="P83" s="10">
        <v>45956.0</v>
      </c>
    </row>
    <row r="84" ht="22.5" customHeight="1">
      <c r="A84" s="6" t="s">
        <v>1419</v>
      </c>
      <c r="B84" s="6" t="s">
        <v>1420</v>
      </c>
      <c r="C84" s="6" t="s">
        <v>1421</v>
      </c>
      <c r="D84" s="6" t="s">
        <v>145</v>
      </c>
      <c r="E84" s="6" t="s">
        <v>147</v>
      </c>
      <c r="F84" s="8">
        <v>25.0</v>
      </c>
      <c r="G84" s="9">
        <v>977.15</v>
      </c>
      <c r="H84" s="9">
        <v>7433.91</v>
      </c>
      <c r="I84" s="6" t="s">
        <v>161</v>
      </c>
      <c r="J84" s="6" t="s">
        <v>357</v>
      </c>
      <c r="K84" s="6" t="s">
        <v>1424</v>
      </c>
      <c r="L84" s="6">
        <v>6.3722837738E10</v>
      </c>
      <c r="M84" s="6" t="s">
        <v>1425</v>
      </c>
      <c r="N84" s="6" t="s">
        <v>283</v>
      </c>
      <c r="O84" s="6" t="s">
        <v>178</v>
      </c>
      <c r="P84" s="10">
        <v>45953.0</v>
      </c>
    </row>
    <row r="85" ht="22.5" customHeight="1">
      <c r="A85" s="6" t="s">
        <v>1426</v>
      </c>
      <c r="B85" s="6" t="s">
        <v>1427</v>
      </c>
      <c r="C85" s="6" t="s">
        <v>1428</v>
      </c>
      <c r="D85" s="6" t="s">
        <v>206</v>
      </c>
      <c r="E85" s="6" t="s">
        <v>147</v>
      </c>
      <c r="F85" s="8">
        <v>18.0</v>
      </c>
      <c r="G85" s="9">
        <v>983.77</v>
      </c>
      <c r="H85" s="9">
        <v>4367.42</v>
      </c>
      <c r="I85" s="6" t="s">
        <v>161</v>
      </c>
      <c r="J85" s="6" t="s">
        <v>312</v>
      </c>
      <c r="K85" s="6" t="s">
        <v>1434</v>
      </c>
      <c r="L85" s="6">
        <v>1.3549862477E10</v>
      </c>
      <c r="M85" s="6" t="s">
        <v>1436</v>
      </c>
      <c r="N85" s="6" t="s">
        <v>283</v>
      </c>
      <c r="O85" s="6" t="s">
        <v>178</v>
      </c>
      <c r="P85" s="10">
        <v>46012.0</v>
      </c>
    </row>
    <row r="86" ht="22.5" customHeight="1">
      <c r="A86" s="6" t="s">
        <v>1437</v>
      </c>
      <c r="B86" s="6" t="s">
        <v>1438</v>
      </c>
      <c r="C86" s="6" t="s">
        <v>1440</v>
      </c>
      <c r="D86" s="6" t="s">
        <v>145</v>
      </c>
      <c r="E86" s="6" t="s">
        <v>147</v>
      </c>
      <c r="F86" s="8">
        <v>17.0</v>
      </c>
      <c r="G86" s="9">
        <v>829.45</v>
      </c>
      <c r="H86" s="9">
        <v>3498.07</v>
      </c>
      <c r="I86" s="6" t="s">
        <v>161</v>
      </c>
      <c r="J86" s="6" t="s">
        <v>228</v>
      </c>
      <c r="K86" s="6" t="s">
        <v>1441</v>
      </c>
      <c r="L86" s="6">
        <v>6.433583302E9</v>
      </c>
      <c r="M86" s="6" t="s">
        <v>1442</v>
      </c>
      <c r="N86" s="6" t="s">
        <v>283</v>
      </c>
      <c r="O86" s="6" t="s">
        <v>178</v>
      </c>
      <c r="P86" s="10">
        <v>45996.0</v>
      </c>
    </row>
    <row r="87" ht="22.5" customHeight="1">
      <c r="A87" s="6" t="s">
        <v>1444</v>
      </c>
      <c r="B87" s="6" t="s">
        <v>1445</v>
      </c>
      <c r="C87" s="6" t="s">
        <v>1446</v>
      </c>
      <c r="D87" s="6" t="s">
        <v>145</v>
      </c>
      <c r="E87" s="6" t="s">
        <v>147</v>
      </c>
      <c r="F87" s="8">
        <v>6.0</v>
      </c>
      <c r="G87" s="9">
        <v>452.89</v>
      </c>
      <c r="H87" s="9">
        <v>11536.12</v>
      </c>
      <c r="I87" s="6" t="s">
        <v>161</v>
      </c>
      <c r="J87" s="6" t="s">
        <v>163</v>
      </c>
      <c r="K87" s="6" t="s">
        <v>1448</v>
      </c>
      <c r="L87" s="6">
        <v>7.8029222697E10</v>
      </c>
      <c r="M87" s="6" t="s">
        <v>1450</v>
      </c>
      <c r="N87" s="6" t="s">
        <v>176</v>
      </c>
      <c r="O87" s="6" t="s">
        <v>178</v>
      </c>
      <c r="P87" s="10">
        <v>45982.0</v>
      </c>
    </row>
    <row r="88" ht="22.5" customHeight="1">
      <c r="A88" s="6" t="s">
        <v>1451</v>
      </c>
      <c r="B88" s="6" t="s">
        <v>1452</v>
      </c>
      <c r="C88" s="6" t="s">
        <v>1453</v>
      </c>
      <c r="D88" s="6" t="s">
        <v>206</v>
      </c>
      <c r="E88" s="6" t="s">
        <v>147</v>
      </c>
      <c r="F88" s="8">
        <v>8.0</v>
      </c>
      <c r="G88" s="9">
        <v>656.19</v>
      </c>
      <c r="H88" s="9">
        <v>13353.37</v>
      </c>
      <c r="I88" s="6" t="s">
        <v>161</v>
      </c>
      <c r="J88" s="6" t="s">
        <v>577</v>
      </c>
      <c r="K88" s="6" t="s">
        <v>1456</v>
      </c>
      <c r="L88" s="6">
        <v>2.7765064219E10</v>
      </c>
      <c r="M88" s="6" t="s">
        <v>1457</v>
      </c>
      <c r="N88" s="6" t="s">
        <v>112</v>
      </c>
      <c r="O88" s="6" t="s">
        <v>178</v>
      </c>
      <c r="P88" s="10">
        <v>46002.0</v>
      </c>
    </row>
    <row r="89" ht="22.5" customHeight="1">
      <c r="A89" s="6" t="s">
        <v>1458</v>
      </c>
      <c r="B89" s="6" t="s">
        <v>1459</v>
      </c>
      <c r="C89" s="6" t="s">
        <v>1460</v>
      </c>
      <c r="D89" s="6" t="s">
        <v>145</v>
      </c>
      <c r="E89" s="6" t="s">
        <v>147</v>
      </c>
      <c r="F89" s="8">
        <v>12.0</v>
      </c>
      <c r="G89" s="9">
        <v>1747.53</v>
      </c>
      <c r="H89" s="9">
        <v>8133.99</v>
      </c>
      <c r="I89" s="6" t="s">
        <v>161</v>
      </c>
      <c r="J89" s="6" t="s">
        <v>357</v>
      </c>
      <c r="K89" s="6" t="s">
        <v>1463</v>
      </c>
      <c r="L89" s="6">
        <v>1.2106648352E10</v>
      </c>
      <c r="M89" s="6" t="s">
        <v>1464</v>
      </c>
      <c r="N89" s="6" t="s">
        <v>283</v>
      </c>
      <c r="O89" s="6" t="s">
        <v>178</v>
      </c>
      <c r="P89" s="10">
        <v>46024.0</v>
      </c>
    </row>
    <row r="90" ht="22.5" customHeight="1">
      <c r="A90" s="6" t="s">
        <v>1466</v>
      </c>
      <c r="B90" s="6" t="s">
        <v>1468</v>
      </c>
      <c r="C90" s="6" t="s">
        <v>1469</v>
      </c>
      <c r="D90" s="6" t="s">
        <v>206</v>
      </c>
      <c r="E90" s="6" t="s">
        <v>301</v>
      </c>
      <c r="F90" s="8">
        <v>30.0</v>
      </c>
      <c r="G90" s="9">
        <v>751.65</v>
      </c>
      <c r="H90" s="9">
        <v>4251.41</v>
      </c>
      <c r="I90" s="6" t="s">
        <v>161</v>
      </c>
      <c r="J90" s="6" t="s">
        <v>465</v>
      </c>
      <c r="K90" s="6" t="s">
        <v>1470</v>
      </c>
      <c r="L90" s="6">
        <v>4.9374641678E10</v>
      </c>
      <c r="M90" s="6" t="s">
        <v>1471</v>
      </c>
      <c r="N90" s="6" t="s">
        <v>427</v>
      </c>
      <c r="O90" s="6" t="s">
        <v>178</v>
      </c>
      <c r="P90" s="10">
        <v>45992.0</v>
      </c>
    </row>
    <row r="91" ht="22.5" customHeight="1">
      <c r="A91" s="6" t="s">
        <v>1474</v>
      </c>
      <c r="B91" s="6" t="s">
        <v>1475</v>
      </c>
      <c r="C91" s="6" t="s">
        <v>1476</v>
      </c>
      <c r="D91" s="6" t="s">
        <v>206</v>
      </c>
      <c r="E91" s="6" t="s">
        <v>147</v>
      </c>
      <c r="F91" s="8">
        <v>12.0</v>
      </c>
      <c r="G91" s="9">
        <v>1608.3</v>
      </c>
      <c r="H91" s="9">
        <v>14626.42</v>
      </c>
      <c r="I91" s="6" t="s">
        <v>178</v>
      </c>
      <c r="J91" s="6" t="s">
        <v>442</v>
      </c>
      <c r="K91" s="6" t="s">
        <v>1477</v>
      </c>
      <c r="L91" s="6">
        <v>6.0987687468E10</v>
      </c>
      <c r="M91" s="6" t="s">
        <v>1479</v>
      </c>
      <c r="N91" s="6" t="s">
        <v>176</v>
      </c>
      <c r="O91" s="6" t="s">
        <v>161</v>
      </c>
      <c r="P91" s="10">
        <v>45938.0</v>
      </c>
    </row>
    <row r="92" ht="22.5" customHeight="1">
      <c r="A92" s="6" t="s">
        <v>1481</v>
      </c>
      <c r="B92" s="6" t="s">
        <v>1482</v>
      </c>
      <c r="C92" s="6" t="s">
        <v>1483</v>
      </c>
      <c r="D92" s="6" t="s">
        <v>383</v>
      </c>
      <c r="E92" s="6" t="s">
        <v>147</v>
      </c>
      <c r="F92" s="8">
        <v>29.0</v>
      </c>
      <c r="G92" s="9">
        <v>769.35</v>
      </c>
      <c r="H92" s="9">
        <v>3840.45</v>
      </c>
      <c r="I92" s="6" t="s">
        <v>161</v>
      </c>
      <c r="J92" s="6" t="s">
        <v>577</v>
      </c>
      <c r="K92" s="6" t="s">
        <v>1487</v>
      </c>
      <c r="L92" s="6">
        <v>5.1111678803E10</v>
      </c>
      <c r="M92" s="6" t="s">
        <v>1488</v>
      </c>
      <c r="N92" s="6" t="s">
        <v>283</v>
      </c>
      <c r="O92" s="6" t="s">
        <v>178</v>
      </c>
      <c r="P92" s="10">
        <v>45932.0</v>
      </c>
    </row>
    <row r="93" ht="22.5" customHeight="1">
      <c r="A93" s="6" t="s">
        <v>1489</v>
      </c>
      <c r="B93" s="6" t="s">
        <v>1490</v>
      </c>
      <c r="C93" s="6" t="s">
        <v>1491</v>
      </c>
      <c r="D93" s="6" t="s">
        <v>206</v>
      </c>
      <c r="E93" s="6" t="s">
        <v>301</v>
      </c>
      <c r="F93" s="8">
        <v>58.0</v>
      </c>
      <c r="G93" s="9">
        <v>329.89</v>
      </c>
      <c r="H93" s="9">
        <v>9113.04</v>
      </c>
      <c r="I93" s="6" t="s">
        <v>161</v>
      </c>
      <c r="J93" s="6" t="s">
        <v>442</v>
      </c>
      <c r="K93" s="6" t="s">
        <v>259</v>
      </c>
      <c r="L93" s="6">
        <v>2.1450267747E10</v>
      </c>
      <c r="M93" s="6" t="s">
        <v>1496</v>
      </c>
      <c r="N93" s="6" t="s">
        <v>259</v>
      </c>
      <c r="O93" s="6" t="s">
        <v>178</v>
      </c>
      <c r="P93" s="10">
        <v>45940.0</v>
      </c>
    </row>
    <row r="94" ht="22.5" customHeight="1">
      <c r="A94" s="6" t="s">
        <v>1497</v>
      </c>
      <c r="B94" s="6" t="s">
        <v>1498</v>
      </c>
      <c r="C94" s="6" t="s">
        <v>1499</v>
      </c>
      <c r="D94" s="6" t="s">
        <v>383</v>
      </c>
      <c r="E94" s="6" t="s">
        <v>301</v>
      </c>
      <c r="F94" s="8">
        <v>55.0</v>
      </c>
      <c r="G94" s="9">
        <v>973.08</v>
      </c>
      <c r="H94" s="9">
        <v>8143.6</v>
      </c>
      <c r="I94" s="6" t="s">
        <v>178</v>
      </c>
      <c r="J94" s="6" t="s">
        <v>228</v>
      </c>
      <c r="K94" s="6" t="s">
        <v>1501</v>
      </c>
      <c r="L94" s="6">
        <v>8.2400707833E10</v>
      </c>
      <c r="M94" s="6" t="s">
        <v>1502</v>
      </c>
      <c r="N94" s="6" t="s">
        <v>112</v>
      </c>
      <c r="O94" s="6" t="s">
        <v>161</v>
      </c>
      <c r="P94" s="10">
        <v>45956.0</v>
      </c>
    </row>
    <row r="95" ht="22.5" customHeight="1">
      <c r="A95" s="6" t="s">
        <v>1504</v>
      </c>
      <c r="B95" s="6" t="s">
        <v>1505</v>
      </c>
      <c r="C95" s="6" t="s">
        <v>1506</v>
      </c>
      <c r="D95" s="6" t="s">
        <v>145</v>
      </c>
      <c r="E95" s="6" t="s">
        <v>147</v>
      </c>
      <c r="F95" s="8">
        <v>15.0</v>
      </c>
      <c r="G95" s="9">
        <v>586.35</v>
      </c>
      <c r="H95" s="9">
        <v>7387.8</v>
      </c>
      <c r="I95" s="6" t="s">
        <v>161</v>
      </c>
      <c r="J95" s="6" t="s">
        <v>577</v>
      </c>
      <c r="K95" s="6" t="s">
        <v>1509</v>
      </c>
      <c r="L95" s="6">
        <v>1.449885175E9</v>
      </c>
      <c r="M95" s="6" t="s">
        <v>1510</v>
      </c>
      <c r="N95" s="6" t="s">
        <v>176</v>
      </c>
      <c r="O95" s="6" t="s">
        <v>178</v>
      </c>
      <c r="P95" s="10">
        <v>45980.0</v>
      </c>
    </row>
    <row r="96" ht="22.5" customHeight="1">
      <c r="A96" s="6" t="s">
        <v>1511</v>
      </c>
      <c r="B96" s="6" t="s">
        <v>1512</v>
      </c>
      <c r="C96" s="6" t="s">
        <v>1513</v>
      </c>
      <c r="D96" s="6" t="s">
        <v>145</v>
      </c>
      <c r="E96" s="6" t="s">
        <v>301</v>
      </c>
      <c r="F96" s="8">
        <v>37.0</v>
      </c>
      <c r="G96" s="9">
        <v>210.77</v>
      </c>
      <c r="H96" s="9">
        <v>10950.45</v>
      </c>
      <c r="I96" s="6" t="s">
        <v>161</v>
      </c>
      <c r="J96" s="6" t="s">
        <v>577</v>
      </c>
      <c r="K96" s="6" t="s">
        <v>1516</v>
      </c>
      <c r="L96" s="6">
        <v>4.4611774738E10</v>
      </c>
      <c r="M96" s="6" t="s">
        <v>1518</v>
      </c>
      <c r="N96" s="6" t="s">
        <v>112</v>
      </c>
      <c r="O96" s="6" t="s">
        <v>178</v>
      </c>
      <c r="P96" s="10">
        <v>46047.0</v>
      </c>
    </row>
    <row r="97" ht="22.5" customHeight="1">
      <c r="A97" s="6" t="s">
        <v>1520</v>
      </c>
      <c r="B97" s="6" t="s">
        <v>1521</v>
      </c>
      <c r="C97" s="6" t="s">
        <v>1522</v>
      </c>
      <c r="D97" s="6" t="s">
        <v>145</v>
      </c>
      <c r="E97" s="6" t="s">
        <v>147</v>
      </c>
      <c r="F97" s="8">
        <v>10.0</v>
      </c>
      <c r="G97" s="9">
        <v>1150.24</v>
      </c>
      <c r="H97" s="9">
        <v>13375.47</v>
      </c>
      <c r="I97" s="6" t="s">
        <v>161</v>
      </c>
      <c r="J97" s="6" t="s">
        <v>163</v>
      </c>
      <c r="K97" s="6" t="s">
        <v>1524</v>
      </c>
      <c r="L97" s="6">
        <v>7.943309329E10</v>
      </c>
      <c r="M97" s="6" t="s">
        <v>1526</v>
      </c>
      <c r="N97" s="6" t="s">
        <v>112</v>
      </c>
      <c r="O97" s="6" t="s">
        <v>178</v>
      </c>
      <c r="P97" s="10">
        <v>46050.0</v>
      </c>
    </row>
    <row r="98" ht="22.5" customHeight="1">
      <c r="A98" s="6" t="s">
        <v>1527</v>
      </c>
      <c r="B98" s="6" t="s">
        <v>1528</v>
      </c>
      <c r="C98" s="6" t="s">
        <v>1529</v>
      </c>
      <c r="D98" s="6" t="s">
        <v>145</v>
      </c>
      <c r="E98" s="6" t="s">
        <v>147</v>
      </c>
      <c r="F98" s="8">
        <v>5.0</v>
      </c>
      <c r="G98" s="9">
        <v>1306.75</v>
      </c>
      <c r="H98" s="9">
        <v>11627.93</v>
      </c>
      <c r="I98" s="6" t="s">
        <v>161</v>
      </c>
      <c r="J98" s="6" t="s">
        <v>442</v>
      </c>
      <c r="K98" s="6" t="s">
        <v>1532</v>
      </c>
      <c r="L98" s="6">
        <v>3.7988279548E10</v>
      </c>
      <c r="M98" s="6" t="s">
        <v>1533</v>
      </c>
      <c r="N98" s="6" t="s">
        <v>112</v>
      </c>
      <c r="O98" s="6" t="s">
        <v>178</v>
      </c>
      <c r="P98" s="10">
        <v>45978.0</v>
      </c>
    </row>
    <row r="99" ht="22.5" customHeight="1">
      <c r="A99" s="6" t="s">
        <v>1534</v>
      </c>
      <c r="B99" s="6" t="s">
        <v>1535</v>
      </c>
      <c r="C99" s="6" t="s">
        <v>1536</v>
      </c>
      <c r="D99" s="6" t="s">
        <v>145</v>
      </c>
      <c r="E99" s="6" t="s">
        <v>147</v>
      </c>
      <c r="F99" s="8">
        <v>23.0</v>
      </c>
      <c r="G99" s="9">
        <v>1430.77</v>
      </c>
      <c r="H99" s="9">
        <v>11192.75</v>
      </c>
      <c r="I99" s="6" t="s">
        <v>161</v>
      </c>
      <c r="J99" s="6" t="s">
        <v>357</v>
      </c>
      <c r="K99" s="6" t="s">
        <v>1539</v>
      </c>
      <c r="L99" s="6">
        <v>3.1757358685E10</v>
      </c>
      <c r="M99" s="6" t="s">
        <v>1540</v>
      </c>
      <c r="N99" s="6" t="s">
        <v>283</v>
      </c>
      <c r="O99" s="6" t="s">
        <v>178</v>
      </c>
      <c r="P99" s="10">
        <v>45958.0</v>
      </c>
    </row>
    <row r="100" ht="22.5" customHeight="1">
      <c r="A100" s="6" t="s">
        <v>1543</v>
      </c>
      <c r="B100" s="6" t="s">
        <v>1544</v>
      </c>
      <c r="C100" s="6" t="s">
        <v>1545</v>
      </c>
      <c r="D100" s="6" t="s">
        <v>145</v>
      </c>
      <c r="E100" s="6" t="s">
        <v>301</v>
      </c>
      <c r="F100" s="8">
        <v>37.0</v>
      </c>
      <c r="G100" s="9">
        <v>1317.86</v>
      </c>
      <c r="H100" s="9">
        <v>8706.41</v>
      </c>
      <c r="I100" s="6" t="s">
        <v>161</v>
      </c>
      <c r="J100" s="6" t="s">
        <v>577</v>
      </c>
      <c r="K100" s="6" t="s">
        <v>1547</v>
      </c>
      <c r="L100" s="6">
        <v>3.4129341963E10</v>
      </c>
      <c r="M100" s="6" t="s">
        <v>1548</v>
      </c>
      <c r="N100" s="6" t="s">
        <v>259</v>
      </c>
      <c r="O100" s="6" t="s">
        <v>178</v>
      </c>
      <c r="P100" s="10">
        <v>45969.0</v>
      </c>
    </row>
    <row r="101" ht="22.5" customHeight="1">
      <c r="A101" s="6" t="s">
        <v>1553</v>
      </c>
      <c r="B101" s="6" t="s">
        <v>1554</v>
      </c>
      <c r="C101" s="6" t="s">
        <v>1555</v>
      </c>
      <c r="D101" s="6" t="s">
        <v>145</v>
      </c>
      <c r="E101" s="6" t="s">
        <v>147</v>
      </c>
      <c r="F101" s="8">
        <v>9.0</v>
      </c>
      <c r="G101" s="9">
        <v>479.0</v>
      </c>
      <c r="H101" s="9">
        <v>2433.81</v>
      </c>
      <c r="I101" s="6" t="s">
        <v>161</v>
      </c>
      <c r="J101" s="6" t="s">
        <v>442</v>
      </c>
      <c r="K101" s="6" t="s">
        <v>1556</v>
      </c>
      <c r="L101" s="6">
        <v>5.3355916358E10</v>
      </c>
      <c r="M101" s="6" t="s">
        <v>1560</v>
      </c>
      <c r="N101" s="6" t="s">
        <v>112</v>
      </c>
      <c r="O101" s="6" t="s">
        <v>178</v>
      </c>
      <c r="P101" s="10">
        <v>45959.0</v>
      </c>
    </row>
    <row r="102" ht="22.5" customHeight="1">
      <c r="A102" s="6" t="s">
        <v>1561</v>
      </c>
      <c r="B102" s="6" t="s">
        <v>1562</v>
      </c>
      <c r="C102" s="6" t="s">
        <v>1563</v>
      </c>
      <c r="D102" s="6" t="s">
        <v>145</v>
      </c>
      <c r="E102" s="6" t="s">
        <v>147</v>
      </c>
      <c r="F102" s="8">
        <v>8.0</v>
      </c>
      <c r="G102" s="9">
        <v>1426.86</v>
      </c>
      <c r="H102" s="9">
        <v>7003.13</v>
      </c>
      <c r="I102" s="6" t="s">
        <v>161</v>
      </c>
      <c r="J102" s="6" t="s">
        <v>393</v>
      </c>
      <c r="K102" s="6" t="s">
        <v>259</v>
      </c>
      <c r="L102" s="6">
        <v>4.9862436415E10</v>
      </c>
      <c r="M102" s="6" t="s">
        <v>1565</v>
      </c>
      <c r="N102" s="6" t="s">
        <v>112</v>
      </c>
      <c r="O102" s="6" t="s">
        <v>178</v>
      </c>
      <c r="P102" s="10">
        <v>45940.0</v>
      </c>
    </row>
    <row r="103" ht="22.5" customHeight="1">
      <c r="A103" s="6" t="s">
        <v>1566</v>
      </c>
      <c r="B103" s="6" t="s">
        <v>1567</v>
      </c>
      <c r="C103" s="6" t="s">
        <v>1569</v>
      </c>
      <c r="D103" s="6" t="s">
        <v>145</v>
      </c>
      <c r="E103" s="6" t="s">
        <v>147</v>
      </c>
      <c r="F103" s="8">
        <v>9.0</v>
      </c>
      <c r="G103" s="9">
        <v>793.99</v>
      </c>
      <c r="H103" s="9">
        <v>7610.56</v>
      </c>
      <c r="I103" s="6" t="s">
        <v>161</v>
      </c>
      <c r="J103" s="6" t="s">
        <v>312</v>
      </c>
      <c r="K103" s="6" t="s">
        <v>1571</v>
      </c>
      <c r="L103" s="6">
        <v>4.0462097615E10</v>
      </c>
      <c r="M103" s="6" t="s">
        <v>1573</v>
      </c>
      <c r="N103" s="6" t="s">
        <v>283</v>
      </c>
      <c r="O103" s="6" t="s">
        <v>178</v>
      </c>
      <c r="P103" s="10">
        <v>45934.0</v>
      </c>
    </row>
    <row r="104" ht="22.5" customHeight="1">
      <c r="A104" s="6" t="s">
        <v>1574</v>
      </c>
      <c r="B104" s="6" t="s">
        <v>1575</v>
      </c>
      <c r="C104" s="6" t="s">
        <v>1576</v>
      </c>
      <c r="D104" s="6" t="s">
        <v>206</v>
      </c>
      <c r="E104" s="6" t="s">
        <v>147</v>
      </c>
      <c r="F104" s="8">
        <v>17.0</v>
      </c>
      <c r="G104" s="9">
        <v>109.68</v>
      </c>
      <c r="H104" s="9">
        <v>2524.77</v>
      </c>
      <c r="I104" s="6" t="s">
        <v>161</v>
      </c>
      <c r="J104" s="6" t="s">
        <v>465</v>
      </c>
      <c r="K104" s="6" t="s">
        <v>1578</v>
      </c>
      <c r="L104" s="6">
        <v>6.582607037E10</v>
      </c>
      <c r="M104" s="6" t="s">
        <v>1579</v>
      </c>
      <c r="N104" s="6" t="s">
        <v>176</v>
      </c>
      <c r="O104" s="6" t="s">
        <v>178</v>
      </c>
      <c r="P104" s="10">
        <v>45942.0</v>
      </c>
    </row>
    <row r="105" ht="22.5" customHeight="1">
      <c r="A105" s="6" t="s">
        <v>1580</v>
      </c>
      <c r="B105" s="6" t="s">
        <v>1581</v>
      </c>
      <c r="C105" s="6" t="s">
        <v>1582</v>
      </c>
      <c r="D105" s="6" t="s">
        <v>206</v>
      </c>
      <c r="E105" s="6" t="s">
        <v>301</v>
      </c>
      <c r="F105" s="8">
        <v>53.0</v>
      </c>
      <c r="G105" s="9">
        <v>1175.08</v>
      </c>
      <c r="H105" s="9">
        <v>1877.0</v>
      </c>
      <c r="I105" s="6" t="s">
        <v>161</v>
      </c>
      <c r="J105" s="6" t="s">
        <v>1584</v>
      </c>
      <c r="K105" s="6" t="s">
        <v>1585</v>
      </c>
      <c r="L105" s="6">
        <v>2.8535698763E10</v>
      </c>
      <c r="M105" s="6" t="s">
        <v>1586</v>
      </c>
      <c r="N105" s="6" t="s">
        <v>176</v>
      </c>
      <c r="O105" s="6" t="s">
        <v>178</v>
      </c>
      <c r="P105" s="10">
        <v>46012.0</v>
      </c>
    </row>
    <row r="106" ht="22.5" customHeight="1">
      <c r="A106" s="6" t="s">
        <v>1587</v>
      </c>
      <c r="B106" s="6" t="s">
        <v>1589</v>
      </c>
      <c r="C106" s="6" t="s">
        <v>1590</v>
      </c>
      <c r="D106" s="6" t="s">
        <v>206</v>
      </c>
      <c r="E106" s="6" t="s">
        <v>147</v>
      </c>
      <c r="F106" s="8">
        <v>28.0</v>
      </c>
      <c r="G106" s="9">
        <v>694.89</v>
      </c>
      <c r="H106" s="9">
        <v>13215.76</v>
      </c>
      <c r="I106" s="6" t="s">
        <v>161</v>
      </c>
      <c r="J106" s="6" t="s">
        <v>465</v>
      </c>
      <c r="K106" s="6" t="s">
        <v>1591</v>
      </c>
      <c r="L106" s="6">
        <v>3.8891105261E10</v>
      </c>
      <c r="M106" s="6" t="s">
        <v>1592</v>
      </c>
      <c r="N106" s="6" t="s">
        <v>259</v>
      </c>
      <c r="O106" s="6" t="s">
        <v>178</v>
      </c>
      <c r="P106" s="10">
        <v>46010.0</v>
      </c>
    </row>
    <row r="107" ht="22.5" customHeight="1">
      <c r="A107" s="6" t="s">
        <v>1594</v>
      </c>
      <c r="B107" s="6" t="s">
        <v>1595</v>
      </c>
      <c r="C107" s="6" t="s">
        <v>1596</v>
      </c>
      <c r="D107" s="6" t="s">
        <v>206</v>
      </c>
      <c r="E107" s="6" t="s">
        <v>147</v>
      </c>
      <c r="F107" s="8">
        <v>19.0</v>
      </c>
      <c r="G107" s="9">
        <v>1290.58</v>
      </c>
      <c r="H107" s="9">
        <v>14892.89</v>
      </c>
      <c r="I107" s="6" t="s">
        <v>161</v>
      </c>
      <c r="J107" s="6" t="s">
        <v>479</v>
      </c>
      <c r="K107" s="6" t="s">
        <v>1597</v>
      </c>
      <c r="L107" s="6">
        <v>4.0412512296E10</v>
      </c>
      <c r="M107" s="6" t="s">
        <v>1599</v>
      </c>
      <c r="N107" s="6" t="s">
        <v>427</v>
      </c>
      <c r="O107" s="6" t="s">
        <v>178</v>
      </c>
      <c r="P107" s="10">
        <v>45989.0</v>
      </c>
    </row>
    <row r="108" ht="22.5" customHeight="1">
      <c r="A108" s="6" t="s">
        <v>1601</v>
      </c>
      <c r="B108" s="6" t="s">
        <v>1602</v>
      </c>
      <c r="C108" s="6" t="s">
        <v>1603</v>
      </c>
      <c r="D108" s="6" t="s">
        <v>206</v>
      </c>
      <c r="E108" s="6" t="s">
        <v>301</v>
      </c>
      <c r="F108" s="8">
        <v>44.0</v>
      </c>
      <c r="G108" s="9">
        <v>361.76</v>
      </c>
      <c r="H108" s="9">
        <v>3649.05</v>
      </c>
      <c r="I108" s="6" t="s">
        <v>161</v>
      </c>
      <c r="J108" s="6" t="s">
        <v>577</v>
      </c>
      <c r="K108" s="6" t="s">
        <v>1605</v>
      </c>
      <c r="L108" s="6">
        <v>6.2888163647E10</v>
      </c>
      <c r="M108" s="6" t="s">
        <v>1606</v>
      </c>
      <c r="N108" s="6" t="s">
        <v>176</v>
      </c>
      <c r="O108" s="6" t="s">
        <v>178</v>
      </c>
      <c r="P108" s="10">
        <v>45971.0</v>
      </c>
    </row>
    <row r="109" ht="22.5" customHeight="1">
      <c r="A109" s="6" t="s">
        <v>1607</v>
      </c>
      <c r="B109" s="6" t="s">
        <v>1608</v>
      </c>
      <c r="C109" s="6" t="s">
        <v>1609</v>
      </c>
      <c r="D109" s="6" t="s">
        <v>145</v>
      </c>
      <c r="E109" s="6" t="s">
        <v>147</v>
      </c>
      <c r="F109" s="8">
        <v>6.0</v>
      </c>
      <c r="G109" s="9">
        <v>490.21</v>
      </c>
      <c r="H109" s="9">
        <v>5625.84</v>
      </c>
      <c r="I109" s="6" t="s">
        <v>161</v>
      </c>
      <c r="J109" s="6" t="s">
        <v>312</v>
      </c>
      <c r="K109" s="6" t="s">
        <v>1611</v>
      </c>
      <c r="L109" s="6">
        <v>6.1337187709E10</v>
      </c>
      <c r="M109" s="6" t="s">
        <v>1612</v>
      </c>
      <c r="N109" s="6" t="s">
        <v>427</v>
      </c>
      <c r="O109" s="6" t="s">
        <v>178</v>
      </c>
      <c r="P109" s="10">
        <v>46021.0</v>
      </c>
    </row>
    <row r="110" ht="22.5" customHeight="1">
      <c r="A110" s="6" t="s">
        <v>1614</v>
      </c>
      <c r="B110" s="6" t="s">
        <v>1615</v>
      </c>
      <c r="C110" s="6" t="s">
        <v>1616</v>
      </c>
      <c r="D110" s="6" t="s">
        <v>206</v>
      </c>
      <c r="E110" s="6" t="s">
        <v>147</v>
      </c>
      <c r="F110" s="8">
        <v>5.0</v>
      </c>
      <c r="G110" s="9">
        <v>927.79</v>
      </c>
      <c r="H110" s="9">
        <v>10139.94</v>
      </c>
      <c r="I110" s="6" t="s">
        <v>161</v>
      </c>
      <c r="J110" s="6" t="s">
        <v>465</v>
      </c>
      <c r="K110" s="6" t="s">
        <v>1617</v>
      </c>
      <c r="L110" s="6">
        <v>2.5571886624E10</v>
      </c>
      <c r="M110" s="6" t="s">
        <v>1618</v>
      </c>
      <c r="N110" s="6" t="s">
        <v>112</v>
      </c>
      <c r="O110" s="6" t="s">
        <v>178</v>
      </c>
      <c r="P110" s="10">
        <v>45950.0</v>
      </c>
    </row>
    <row r="111" ht="22.5" customHeight="1">
      <c r="A111" s="6" t="s">
        <v>1620</v>
      </c>
      <c r="B111" s="6" t="s">
        <v>1621</v>
      </c>
      <c r="C111" s="6" t="s">
        <v>1622</v>
      </c>
      <c r="D111" s="6" t="s">
        <v>145</v>
      </c>
      <c r="E111" s="6" t="s">
        <v>301</v>
      </c>
      <c r="F111" s="8">
        <v>38.0</v>
      </c>
      <c r="G111" s="9">
        <v>500.27</v>
      </c>
      <c r="H111" s="9">
        <v>8340.26</v>
      </c>
      <c r="I111" s="6" t="s">
        <v>161</v>
      </c>
      <c r="J111" s="6" t="s">
        <v>577</v>
      </c>
      <c r="K111" s="6" t="s">
        <v>1624</v>
      </c>
      <c r="L111" s="6">
        <v>5.9657499279E10</v>
      </c>
      <c r="M111" s="6" t="s">
        <v>1625</v>
      </c>
      <c r="N111" s="6" t="s">
        <v>112</v>
      </c>
      <c r="O111" s="6" t="s">
        <v>178</v>
      </c>
      <c r="P111" s="10">
        <v>46021.0</v>
      </c>
    </row>
    <row r="112" ht="22.5" customHeight="1">
      <c r="A112" s="6" t="s">
        <v>1627</v>
      </c>
      <c r="B112" s="6" t="s">
        <v>1628</v>
      </c>
      <c r="C112" s="6" t="s">
        <v>1629</v>
      </c>
      <c r="D112" s="6" t="s">
        <v>206</v>
      </c>
      <c r="E112" s="6" t="s">
        <v>210</v>
      </c>
      <c r="F112" s="8">
        <v>98.0</v>
      </c>
      <c r="G112" s="9">
        <v>902.85</v>
      </c>
      <c r="H112" s="9">
        <v>1605.56</v>
      </c>
      <c r="I112" s="6" t="s">
        <v>161</v>
      </c>
      <c r="J112" s="6" t="s">
        <v>228</v>
      </c>
      <c r="K112" s="6" t="s">
        <v>259</v>
      </c>
      <c r="L112" s="6">
        <v>4.3163633191E10</v>
      </c>
      <c r="M112" s="6" t="s">
        <v>1631</v>
      </c>
      <c r="N112" s="6" t="s">
        <v>176</v>
      </c>
      <c r="O112" s="6" t="s">
        <v>161</v>
      </c>
      <c r="P112" s="10">
        <v>45973.0</v>
      </c>
    </row>
    <row r="113" ht="22.5" customHeight="1">
      <c r="A113" s="6" t="s">
        <v>1632</v>
      </c>
      <c r="B113" s="6" t="s">
        <v>1633</v>
      </c>
      <c r="C113" s="6" t="s">
        <v>1634</v>
      </c>
      <c r="D113" s="6" t="s">
        <v>206</v>
      </c>
      <c r="E113" s="6" t="s">
        <v>147</v>
      </c>
      <c r="F113" s="8">
        <v>19.0</v>
      </c>
      <c r="G113" s="9">
        <v>980.03</v>
      </c>
      <c r="H113" s="9">
        <v>2815.03</v>
      </c>
      <c r="I113" s="6" t="s">
        <v>161</v>
      </c>
      <c r="J113" s="6" t="s">
        <v>421</v>
      </c>
      <c r="K113" s="6" t="s">
        <v>1636</v>
      </c>
      <c r="L113" s="6">
        <v>9.7732673955E10</v>
      </c>
      <c r="M113" s="6" t="s">
        <v>1637</v>
      </c>
      <c r="N113" s="6" t="s">
        <v>112</v>
      </c>
      <c r="O113" s="6" t="s">
        <v>178</v>
      </c>
      <c r="P113" s="10">
        <v>46044.0</v>
      </c>
    </row>
    <row r="114" ht="22.5" customHeight="1">
      <c r="A114" s="6" t="s">
        <v>1639</v>
      </c>
      <c r="B114" s="6" t="s">
        <v>1640</v>
      </c>
      <c r="C114" s="6" t="s">
        <v>1641</v>
      </c>
      <c r="D114" s="6" t="s">
        <v>145</v>
      </c>
      <c r="E114" s="6" t="s">
        <v>147</v>
      </c>
      <c r="F114" s="8">
        <v>9.0</v>
      </c>
      <c r="G114" s="9">
        <v>707.58</v>
      </c>
      <c r="H114" s="9">
        <v>12242.76</v>
      </c>
      <c r="I114" s="6" t="s">
        <v>161</v>
      </c>
      <c r="J114" s="6" t="s">
        <v>442</v>
      </c>
      <c r="K114" s="6" t="s">
        <v>1642</v>
      </c>
      <c r="L114" s="6">
        <v>5.5859408574E10</v>
      </c>
      <c r="M114" s="6" t="s">
        <v>1644</v>
      </c>
      <c r="N114" s="6" t="s">
        <v>283</v>
      </c>
      <c r="O114" s="6" t="s">
        <v>178</v>
      </c>
      <c r="P114" s="10">
        <v>45986.0</v>
      </c>
    </row>
    <row r="115" ht="22.5" customHeight="1">
      <c r="A115" s="6" t="s">
        <v>1645</v>
      </c>
      <c r="B115" s="6" t="s">
        <v>1646</v>
      </c>
      <c r="C115" s="6" t="s">
        <v>1647</v>
      </c>
      <c r="D115" s="6" t="s">
        <v>383</v>
      </c>
      <c r="E115" s="6" t="s">
        <v>147</v>
      </c>
      <c r="F115" s="8">
        <v>8.0</v>
      </c>
      <c r="G115" s="9">
        <v>1168.72</v>
      </c>
      <c r="H115" s="9">
        <v>14285.43</v>
      </c>
      <c r="I115" s="6" t="s">
        <v>161</v>
      </c>
      <c r="J115" s="6" t="s">
        <v>479</v>
      </c>
      <c r="K115" s="6" t="s">
        <v>1649</v>
      </c>
      <c r="L115" s="6">
        <v>7.2943458758E10</v>
      </c>
      <c r="M115" s="6" t="s">
        <v>1650</v>
      </c>
      <c r="N115" s="6" t="s">
        <v>176</v>
      </c>
      <c r="O115" s="6" t="s">
        <v>178</v>
      </c>
      <c r="P115" s="10">
        <v>46038.0</v>
      </c>
    </row>
    <row r="116" ht="22.5" customHeight="1">
      <c r="A116" s="6" t="s">
        <v>1651</v>
      </c>
      <c r="B116" s="6" t="s">
        <v>1652</v>
      </c>
      <c r="C116" s="6" t="s">
        <v>1653</v>
      </c>
      <c r="D116" s="6" t="s">
        <v>145</v>
      </c>
      <c r="E116" s="6" t="s">
        <v>301</v>
      </c>
      <c r="F116" s="8">
        <v>32.0</v>
      </c>
      <c r="G116" s="9">
        <v>1056.13</v>
      </c>
      <c r="H116" s="9">
        <v>13299.38</v>
      </c>
      <c r="I116" s="6" t="s">
        <v>178</v>
      </c>
      <c r="J116" s="6" t="s">
        <v>312</v>
      </c>
      <c r="K116" s="6" t="s">
        <v>1655</v>
      </c>
      <c r="L116" s="6">
        <v>4.9731007903E10</v>
      </c>
      <c r="M116" s="6" t="s">
        <v>1656</v>
      </c>
      <c r="N116" s="6" t="s">
        <v>427</v>
      </c>
      <c r="O116" s="6" t="s">
        <v>161</v>
      </c>
      <c r="P116" s="10">
        <v>46015.0</v>
      </c>
    </row>
    <row r="117" ht="22.5" customHeight="1">
      <c r="A117" s="6" t="s">
        <v>1657</v>
      </c>
      <c r="B117" s="6" t="s">
        <v>1658</v>
      </c>
      <c r="C117" s="6" t="s">
        <v>1660</v>
      </c>
      <c r="D117" s="6" t="s">
        <v>145</v>
      </c>
      <c r="E117" s="6" t="s">
        <v>210</v>
      </c>
      <c r="F117" s="8">
        <v>85.0</v>
      </c>
      <c r="G117" s="9">
        <v>83.51</v>
      </c>
      <c r="H117" s="9">
        <v>7276.08</v>
      </c>
      <c r="I117" s="6" t="s">
        <v>178</v>
      </c>
      <c r="J117" s="6" t="s">
        <v>163</v>
      </c>
      <c r="K117" s="6" t="s">
        <v>1661</v>
      </c>
      <c r="L117" s="6">
        <v>1.5124034679E10</v>
      </c>
      <c r="M117" s="6" t="s">
        <v>1662</v>
      </c>
      <c r="N117" s="6" t="s">
        <v>259</v>
      </c>
      <c r="O117" s="6" t="s">
        <v>161</v>
      </c>
      <c r="P117" s="10">
        <v>45985.0</v>
      </c>
    </row>
    <row r="118" ht="22.5" customHeight="1">
      <c r="A118" s="6" t="s">
        <v>1664</v>
      </c>
      <c r="B118" s="6" t="s">
        <v>1665</v>
      </c>
      <c r="C118" s="6" t="s">
        <v>1666</v>
      </c>
      <c r="D118" s="6" t="s">
        <v>145</v>
      </c>
      <c r="E118" s="6" t="s">
        <v>147</v>
      </c>
      <c r="F118" s="8">
        <v>16.0</v>
      </c>
      <c r="G118" s="9">
        <v>841.76</v>
      </c>
      <c r="H118" s="9">
        <v>4550.64</v>
      </c>
      <c r="I118" s="6" t="s">
        <v>161</v>
      </c>
      <c r="J118" s="6" t="s">
        <v>577</v>
      </c>
      <c r="K118" s="6" t="s">
        <v>1667</v>
      </c>
      <c r="L118" s="6">
        <v>5.1298655474E10</v>
      </c>
      <c r="M118" s="6" t="s">
        <v>1669</v>
      </c>
      <c r="N118" s="6" t="s">
        <v>283</v>
      </c>
      <c r="O118" s="6" t="s">
        <v>178</v>
      </c>
      <c r="P118" s="10">
        <v>46001.0</v>
      </c>
    </row>
    <row r="119" ht="22.5" customHeight="1">
      <c r="A119" s="6" t="s">
        <v>1670</v>
      </c>
      <c r="B119" s="6" t="s">
        <v>1671</v>
      </c>
      <c r="C119" s="6" t="s">
        <v>1672</v>
      </c>
      <c r="D119" s="6" t="s">
        <v>145</v>
      </c>
      <c r="E119" s="6" t="s">
        <v>147</v>
      </c>
      <c r="F119" s="8">
        <v>6.0</v>
      </c>
      <c r="G119" s="9">
        <v>348.88</v>
      </c>
      <c r="H119" s="9">
        <v>9419.63</v>
      </c>
      <c r="I119" s="6" t="s">
        <v>161</v>
      </c>
      <c r="J119" s="6" t="s">
        <v>577</v>
      </c>
      <c r="K119" s="6" t="s">
        <v>1674</v>
      </c>
      <c r="L119" s="6">
        <v>3.5330406001E10</v>
      </c>
      <c r="M119" s="6" t="s">
        <v>1675</v>
      </c>
      <c r="N119" s="6" t="s">
        <v>427</v>
      </c>
      <c r="O119" s="6" t="s">
        <v>178</v>
      </c>
      <c r="P119" s="10">
        <v>46022.0</v>
      </c>
    </row>
    <row r="120" ht="22.5" customHeight="1">
      <c r="A120" s="6" t="s">
        <v>1677</v>
      </c>
      <c r="B120" s="6" t="s">
        <v>1678</v>
      </c>
      <c r="C120" s="6" t="s">
        <v>1679</v>
      </c>
      <c r="D120" s="6" t="s">
        <v>206</v>
      </c>
      <c r="E120" s="6" t="s">
        <v>301</v>
      </c>
      <c r="F120" s="8">
        <v>35.0</v>
      </c>
      <c r="G120" s="9">
        <v>1285.66</v>
      </c>
      <c r="H120" s="9">
        <v>5866.45</v>
      </c>
      <c r="I120" s="6" t="s">
        <v>161</v>
      </c>
      <c r="J120" s="6" t="s">
        <v>228</v>
      </c>
      <c r="K120" s="6" t="s">
        <v>1680</v>
      </c>
      <c r="L120" s="6">
        <v>3.615546807E9</v>
      </c>
      <c r="M120" s="6" t="s">
        <v>1681</v>
      </c>
      <c r="N120" s="6" t="s">
        <v>427</v>
      </c>
      <c r="O120" s="6" t="s">
        <v>178</v>
      </c>
      <c r="P120" s="10">
        <v>46001.0</v>
      </c>
    </row>
    <row r="121" ht="22.5" customHeight="1">
      <c r="A121" s="6" t="s">
        <v>1683</v>
      </c>
      <c r="B121" s="6" t="s">
        <v>1684</v>
      </c>
      <c r="C121" s="6" t="s">
        <v>1685</v>
      </c>
      <c r="D121" s="6" t="s">
        <v>145</v>
      </c>
      <c r="E121" s="6" t="s">
        <v>210</v>
      </c>
      <c r="F121" s="8">
        <v>94.0</v>
      </c>
      <c r="G121" s="9">
        <v>653.5</v>
      </c>
      <c r="H121" s="9">
        <v>13373.97</v>
      </c>
      <c r="I121" s="6" t="s">
        <v>178</v>
      </c>
      <c r="J121" s="6" t="s">
        <v>442</v>
      </c>
      <c r="K121" s="6" t="s">
        <v>1687</v>
      </c>
      <c r="L121" s="6">
        <v>8.363918479E9</v>
      </c>
      <c r="M121" s="6" t="s">
        <v>1688</v>
      </c>
      <c r="N121" s="6" t="s">
        <v>427</v>
      </c>
      <c r="O121" s="6" t="s">
        <v>161</v>
      </c>
      <c r="P121" s="10">
        <v>46023.0</v>
      </c>
    </row>
    <row r="122" ht="22.5" customHeight="1">
      <c r="A122" s="6" t="s">
        <v>1689</v>
      </c>
      <c r="B122" s="6" t="s">
        <v>1691</v>
      </c>
      <c r="C122" s="6" t="s">
        <v>1692</v>
      </c>
      <c r="D122" s="6" t="s">
        <v>145</v>
      </c>
      <c r="E122" s="6" t="s">
        <v>210</v>
      </c>
      <c r="F122" s="8">
        <v>64.0</v>
      </c>
      <c r="G122" s="9">
        <v>150.51</v>
      </c>
      <c r="H122" s="9">
        <v>2780.65</v>
      </c>
      <c r="I122" s="6" t="s">
        <v>178</v>
      </c>
      <c r="J122" s="6" t="s">
        <v>1693</v>
      </c>
      <c r="K122" s="6" t="s">
        <v>1694</v>
      </c>
      <c r="L122" s="6">
        <v>3.2203763783E10</v>
      </c>
      <c r="M122" s="6" t="s">
        <v>1695</v>
      </c>
      <c r="N122" s="6" t="s">
        <v>427</v>
      </c>
      <c r="O122" s="6" t="s">
        <v>161</v>
      </c>
      <c r="P122" s="10">
        <v>46024.0</v>
      </c>
    </row>
    <row r="123" ht="22.5" customHeight="1">
      <c r="A123" s="6" t="s">
        <v>1697</v>
      </c>
      <c r="B123" s="6" t="s">
        <v>1698</v>
      </c>
      <c r="C123" s="6" t="s">
        <v>1699</v>
      </c>
      <c r="D123" s="6" t="s">
        <v>383</v>
      </c>
      <c r="E123" s="6" t="s">
        <v>301</v>
      </c>
      <c r="F123" s="8">
        <v>53.0</v>
      </c>
      <c r="G123" s="9">
        <v>1378.07</v>
      </c>
      <c r="H123" s="9">
        <v>4321.19</v>
      </c>
      <c r="I123" s="6" t="s">
        <v>161</v>
      </c>
      <c r="J123" s="6" t="s">
        <v>421</v>
      </c>
      <c r="K123" s="6" t="s">
        <v>1701</v>
      </c>
      <c r="L123" s="6">
        <v>9.6231481786E10</v>
      </c>
      <c r="M123" s="6" t="s">
        <v>1703</v>
      </c>
      <c r="N123" s="6" t="s">
        <v>112</v>
      </c>
      <c r="O123" s="6" t="s">
        <v>178</v>
      </c>
      <c r="P123" s="10">
        <v>45977.0</v>
      </c>
    </row>
    <row r="124" ht="22.5" customHeight="1">
      <c r="A124" s="6" t="s">
        <v>1704</v>
      </c>
      <c r="B124" s="6" t="s">
        <v>1705</v>
      </c>
      <c r="C124" s="6" t="s">
        <v>1706</v>
      </c>
      <c r="D124" s="6" t="s">
        <v>206</v>
      </c>
      <c r="E124" s="6" t="s">
        <v>301</v>
      </c>
      <c r="F124" s="8">
        <v>52.0</v>
      </c>
      <c r="G124" s="9">
        <v>788.94</v>
      </c>
      <c r="H124" s="9">
        <v>11988.95</v>
      </c>
      <c r="I124" s="6" t="s">
        <v>161</v>
      </c>
      <c r="J124" s="6" t="s">
        <v>163</v>
      </c>
      <c r="K124" s="6" t="s">
        <v>1708</v>
      </c>
      <c r="L124" s="6">
        <v>5.0588634403E10</v>
      </c>
      <c r="M124" s="6" t="s">
        <v>1709</v>
      </c>
      <c r="N124" s="6" t="s">
        <v>259</v>
      </c>
      <c r="O124" s="6" t="s">
        <v>178</v>
      </c>
      <c r="P124" s="10">
        <v>45935.0</v>
      </c>
    </row>
    <row r="125" ht="22.5" customHeight="1">
      <c r="A125" s="6" t="s">
        <v>1710</v>
      </c>
      <c r="B125" s="6" t="s">
        <v>1711</v>
      </c>
      <c r="C125" s="6" t="s">
        <v>1712</v>
      </c>
      <c r="D125" s="6" t="s">
        <v>145</v>
      </c>
      <c r="E125" s="6" t="s">
        <v>301</v>
      </c>
      <c r="F125" s="8">
        <v>35.0</v>
      </c>
      <c r="G125" s="9">
        <v>934.86</v>
      </c>
      <c r="H125" s="9">
        <v>10443.1</v>
      </c>
      <c r="I125" s="6" t="s">
        <v>161</v>
      </c>
      <c r="J125" s="6" t="s">
        <v>312</v>
      </c>
      <c r="K125" s="6" t="s">
        <v>1714</v>
      </c>
      <c r="L125" s="6">
        <v>9.8178752206E10</v>
      </c>
      <c r="M125" s="6" t="s">
        <v>1715</v>
      </c>
      <c r="N125" s="6" t="s">
        <v>259</v>
      </c>
      <c r="O125" s="6" t="s">
        <v>178</v>
      </c>
      <c r="P125" s="10">
        <v>46022.0</v>
      </c>
    </row>
    <row r="126" ht="22.5" customHeight="1">
      <c r="A126" s="6" t="s">
        <v>1716</v>
      </c>
      <c r="B126" s="6" t="s">
        <v>1717</v>
      </c>
      <c r="C126" s="6" t="s">
        <v>1719</v>
      </c>
      <c r="D126" s="6" t="s">
        <v>145</v>
      </c>
      <c r="E126" s="6" t="s">
        <v>147</v>
      </c>
      <c r="F126" s="8">
        <v>7.0</v>
      </c>
      <c r="G126" s="9">
        <v>876.73</v>
      </c>
      <c r="H126" s="9">
        <v>9143.87</v>
      </c>
      <c r="I126" s="6" t="s">
        <v>161</v>
      </c>
      <c r="J126" s="6" t="s">
        <v>259</v>
      </c>
      <c r="K126" s="6" t="s">
        <v>1721</v>
      </c>
      <c r="L126" s="6">
        <v>1.8445253971E10</v>
      </c>
      <c r="M126" s="6" t="s">
        <v>1722</v>
      </c>
      <c r="N126" s="6" t="s">
        <v>112</v>
      </c>
      <c r="O126" s="6" t="s">
        <v>178</v>
      </c>
      <c r="P126" s="10">
        <v>46011.0</v>
      </c>
    </row>
    <row r="127" ht="22.5" customHeight="1">
      <c r="A127" s="6" t="s">
        <v>1724</v>
      </c>
      <c r="B127" s="6" t="s">
        <v>1725</v>
      </c>
      <c r="C127" s="6" t="s">
        <v>1726</v>
      </c>
      <c r="D127" s="6" t="s">
        <v>383</v>
      </c>
      <c r="E127" s="6" t="s">
        <v>210</v>
      </c>
      <c r="F127" s="8">
        <v>117.0</v>
      </c>
      <c r="G127" s="9">
        <v>1051.22</v>
      </c>
      <c r="H127" s="9">
        <v>13105.25</v>
      </c>
      <c r="I127" s="6" t="s">
        <v>178</v>
      </c>
      <c r="J127" s="6" t="s">
        <v>577</v>
      </c>
      <c r="K127" s="6" t="s">
        <v>1728</v>
      </c>
      <c r="L127" s="6">
        <v>3.4572272024E10</v>
      </c>
      <c r="M127" s="6" t="s">
        <v>1729</v>
      </c>
      <c r="N127" s="6" t="s">
        <v>176</v>
      </c>
      <c r="O127" s="6" t="s">
        <v>161</v>
      </c>
      <c r="P127" s="10">
        <v>45985.0</v>
      </c>
    </row>
    <row r="128" ht="22.5" customHeight="1">
      <c r="A128" s="6" t="s">
        <v>1730</v>
      </c>
      <c r="B128" s="6" t="s">
        <v>1731</v>
      </c>
      <c r="C128" s="6" t="s">
        <v>1732</v>
      </c>
      <c r="D128" s="6" t="s">
        <v>145</v>
      </c>
      <c r="E128" s="6" t="s">
        <v>210</v>
      </c>
      <c r="F128" s="8">
        <v>99.0</v>
      </c>
      <c r="G128" s="9">
        <v>1765.96</v>
      </c>
      <c r="H128" s="9">
        <v>13025.5</v>
      </c>
      <c r="I128" s="6" t="s">
        <v>178</v>
      </c>
      <c r="J128" s="6" t="s">
        <v>1734</v>
      </c>
      <c r="K128" s="6" t="s">
        <v>1735</v>
      </c>
      <c r="L128" s="6">
        <v>8.25436429E8</v>
      </c>
      <c r="M128" s="6" t="s">
        <v>1736</v>
      </c>
      <c r="N128" s="6" t="s">
        <v>176</v>
      </c>
      <c r="O128" s="6" t="s">
        <v>161</v>
      </c>
      <c r="P128" s="10">
        <v>46046.0</v>
      </c>
    </row>
    <row r="129" ht="22.5" customHeight="1">
      <c r="A129" s="6" t="s">
        <v>1737</v>
      </c>
      <c r="B129" s="6" t="s">
        <v>1738</v>
      </c>
      <c r="C129" s="6" t="s">
        <v>1739</v>
      </c>
      <c r="D129" s="6" t="s">
        <v>206</v>
      </c>
      <c r="E129" s="6" t="s">
        <v>147</v>
      </c>
      <c r="F129" s="8">
        <v>27.0</v>
      </c>
      <c r="G129" s="9">
        <v>940.58</v>
      </c>
      <c r="H129" s="9">
        <v>7271.43</v>
      </c>
      <c r="I129" s="6" t="s">
        <v>161</v>
      </c>
      <c r="J129" s="6" t="s">
        <v>479</v>
      </c>
      <c r="K129" s="6" t="s">
        <v>1742</v>
      </c>
      <c r="L129" s="6">
        <v>9.7657001754E10</v>
      </c>
      <c r="M129" s="6" t="s">
        <v>1743</v>
      </c>
      <c r="N129" s="6" t="s">
        <v>283</v>
      </c>
      <c r="O129" s="6" t="s">
        <v>178</v>
      </c>
      <c r="P129" s="10">
        <v>45967.0</v>
      </c>
    </row>
    <row r="130" ht="22.5" customHeight="1">
      <c r="A130" s="6" t="s">
        <v>1745</v>
      </c>
      <c r="B130" s="6" t="s">
        <v>1746</v>
      </c>
      <c r="C130" s="6" t="s">
        <v>1747</v>
      </c>
      <c r="D130" s="6" t="s">
        <v>206</v>
      </c>
      <c r="E130" s="6" t="s">
        <v>147</v>
      </c>
      <c r="F130" s="8">
        <v>28.0</v>
      </c>
      <c r="G130" s="9">
        <v>1093.57</v>
      </c>
      <c r="H130" s="9">
        <v>12794.21</v>
      </c>
      <c r="I130" s="6" t="s">
        <v>161</v>
      </c>
      <c r="J130" s="6" t="s">
        <v>393</v>
      </c>
      <c r="K130" s="6" t="s">
        <v>1748</v>
      </c>
      <c r="L130" s="6">
        <v>9.1351133673E10</v>
      </c>
      <c r="M130" s="6" t="s">
        <v>1750</v>
      </c>
      <c r="N130" s="6" t="s">
        <v>176</v>
      </c>
      <c r="O130" s="6" t="s">
        <v>178</v>
      </c>
      <c r="P130" s="10">
        <v>46026.0</v>
      </c>
    </row>
    <row r="131" ht="22.5" customHeight="1">
      <c r="A131" s="6" t="s">
        <v>1751</v>
      </c>
      <c r="B131" s="6" t="s">
        <v>1752</v>
      </c>
      <c r="C131" s="6" t="s">
        <v>1753</v>
      </c>
      <c r="D131" s="6" t="s">
        <v>383</v>
      </c>
      <c r="E131" s="6" t="s">
        <v>210</v>
      </c>
      <c r="F131" s="8">
        <v>75.0</v>
      </c>
      <c r="G131" s="9">
        <v>1320.14</v>
      </c>
      <c r="H131" s="9">
        <v>13563.96</v>
      </c>
      <c r="I131" s="6" t="s">
        <v>161</v>
      </c>
      <c r="J131" s="6" t="s">
        <v>442</v>
      </c>
      <c r="K131" s="6" t="s">
        <v>1755</v>
      </c>
      <c r="L131" s="6">
        <v>8.761482478E10</v>
      </c>
      <c r="M131" s="6" t="s">
        <v>1756</v>
      </c>
      <c r="N131" s="6" t="s">
        <v>283</v>
      </c>
      <c r="O131" s="6" t="s">
        <v>161</v>
      </c>
      <c r="P131" s="10">
        <v>45972.0</v>
      </c>
    </row>
    <row r="132" ht="22.5" customHeight="1">
      <c r="A132" s="6" t="s">
        <v>1758</v>
      </c>
      <c r="B132" s="6" t="s">
        <v>1759</v>
      </c>
      <c r="C132" s="6" t="s">
        <v>1760</v>
      </c>
      <c r="D132" s="6" t="s">
        <v>383</v>
      </c>
      <c r="E132" s="6" t="s">
        <v>210</v>
      </c>
      <c r="F132" s="8">
        <v>111.0</v>
      </c>
      <c r="G132" s="9">
        <v>1313.45</v>
      </c>
      <c r="H132" s="9">
        <v>8313.4</v>
      </c>
      <c r="I132" s="6" t="s">
        <v>178</v>
      </c>
      <c r="J132" s="6" t="s">
        <v>357</v>
      </c>
      <c r="K132" s="6" t="s">
        <v>1761</v>
      </c>
      <c r="L132" s="6" t="s">
        <v>259</v>
      </c>
      <c r="M132" s="6" t="s">
        <v>1762</v>
      </c>
      <c r="N132" s="6" t="s">
        <v>259</v>
      </c>
      <c r="O132" s="6" t="s">
        <v>161</v>
      </c>
      <c r="P132" s="10">
        <v>45986.0</v>
      </c>
    </row>
    <row r="133" ht="22.5" customHeight="1">
      <c r="A133" s="6" t="s">
        <v>1764</v>
      </c>
      <c r="B133" s="6" t="s">
        <v>1765</v>
      </c>
      <c r="C133" s="6" t="s">
        <v>1766</v>
      </c>
      <c r="D133" s="6" t="s">
        <v>145</v>
      </c>
      <c r="E133" s="6" t="s">
        <v>301</v>
      </c>
      <c r="F133" s="8">
        <v>35.0</v>
      </c>
      <c r="G133" s="9">
        <v>411.58</v>
      </c>
      <c r="H133" s="9">
        <v>2394.82</v>
      </c>
      <c r="I133" s="6" t="s">
        <v>161</v>
      </c>
      <c r="J133" s="6" t="s">
        <v>1693</v>
      </c>
      <c r="K133" s="6" t="s">
        <v>1768</v>
      </c>
      <c r="L133" s="6">
        <v>1.98739374E8</v>
      </c>
      <c r="M133" s="6" t="s">
        <v>1769</v>
      </c>
      <c r="N133" s="6" t="s">
        <v>259</v>
      </c>
      <c r="O133" s="6" t="s">
        <v>178</v>
      </c>
      <c r="P133" s="10">
        <v>45968.0</v>
      </c>
    </row>
    <row r="134" ht="22.5" customHeight="1">
      <c r="A134" s="6" t="s">
        <v>1770</v>
      </c>
      <c r="B134" s="6" t="s">
        <v>1771</v>
      </c>
      <c r="C134" s="6" t="s">
        <v>1772</v>
      </c>
      <c r="D134" s="6" t="s">
        <v>206</v>
      </c>
      <c r="E134" s="6" t="s">
        <v>301</v>
      </c>
      <c r="F134" s="8">
        <v>49.0</v>
      </c>
      <c r="G134" s="9">
        <v>407.13</v>
      </c>
      <c r="H134" s="9">
        <v>6369.96</v>
      </c>
      <c r="I134" s="6" t="s">
        <v>161</v>
      </c>
      <c r="J134" s="6" t="s">
        <v>465</v>
      </c>
      <c r="K134" s="6" t="s">
        <v>1774</v>
      </c>
      <c r="L134" s="6">
        <v>9.577818712E10</v>
      </c>
      <c r="M134" s="6" t="s">
        <v>1775</v>
      </c>
      <c r="N134" s="6" t="s">
        <v>259</v>
      </c>
      <c r="O134" s="6" t="s">
        <v>178</v>
      </c>
      <c r="P134" s="10">
        <v>45940.0</v>
      </c>
    </row>
    <row r="135" ht="22.5" customHeight="1">
      <c r="A135" s="6" t="s">
        <v>1777</v>
      </c>
      <c r="B135" s="6" t="s">
        <v>1778</v>
      </c>
      <c r="C135" s="6" t="s">
        <v>1779</v>
      </c>
      <c r="D135" s="6" t="s">
        <v>145</v>
      </c>
      <c r="E135" s="6" t="s">
        <v>147</v>
      </c>
      <c r="F135" s="8">
        <v>23.0</v>
      </c>
      <c r="G135" s="9">
        <v>230.59</v>
      </c>
      <c r="H135" s="9">
        <v>1403.16</v>
      </c>
      <c r="I135" s="6" t="s">
        <v>161</v>
      </c>
      <c r="J135" s="6" t="s">
        <v>442</v>
      </c>
      <c r="K135" s="6" t="s">
        <v>1780</v>
      </c>
      <c r="L135" s="6">
        <v>2.4164522881E10</v>
      </c>
      <c r="M135" s="6" t="s">
        <v>1782</v>
      </c>
      <c r="N135" s="6" t="s">
        <v>112</v>
      </c>
      <c r="O135" s="6" t="s">
        <v>178</v>
      </c>
      <c r="P135" s="10">
        <v>45957.0</v>
      </c>
    </row>
    <row r="136" ht="22.5" customHeight="1">
      <c r="A136" s="6" t="s">
        <v>1783</v>
      </c>
      <c r="B136" s="6" t="s">
        <v>1784</v>
      </c>
      <c r="C136" s="6" t="s">
        <v>1785</v>
      </c>
      <c r="D136" s="6" t="s">
        <v>383</v>
      </c>
      <c r="E136" s="6" t="s">
        <v>301</v>
      </c>
      <c r="F136" s="8">
        <v>57.0</v>
      </c>
      <c r="G136" s="9">
        <v>281.0</v>
      </c>
      <c r="H136" s="9">
        <v>1056.87</v>
      </c>
      <c r="I136" s="6" t="s">
        <v>161</v>
      </c>
      <c r="J136" s="6" t="s">
        <v>1787</v>
      </c>
      <c r="K136" s="6" t="s">
        <v>1788</v>
      </c>
      <c r="L136" s="6">
        <v>9.42420337E9</v>
      </c>
      <c r="M136" s="6" t="s">
        <v>1789</v>
      </c>
      <c r="N136" s="6" t="s">
        <v>112</v>
      </c>
      <c r="O136" s="6" t="s">
        <v>178</v>
      </c>
      <c r="P136" s="10">
        <v>45987.0</v>
      </c>
    </row>
    <row r="137" ht="22.5" customHeight="1">
      <c r="A137" s="6" t="s">
        <v>1790</v>
      </c>
      <c r="B137" s="6" t="s">
        <v>1791</v>
      </c>
      <c r="C137" s="6" t="s">
        <v>1792</v>
      </c>
      <c r="D137" s="6" t="s">
        <v>145</v>
      </c>
      <c r="E137" s="6" t="s">
        <v>301</v>
      </c>
      <c r="F137" s="8">
        <v>59.0</v>
      </c>
      <c r="G137" s="9">
        <v>856.71</v>
      </c>
      <c r="H137" s="9">
        <v>2652.23</v>
      </c>
      <c r="I137" s="6" t="s">
        <v>161</v>
      </c>
      <c r="J137" s="6" t="s">
        <v>357</v>
      </c>
      <c r="K137" s="6" t="s">
        <v>1794</v>
      </c>
      <c r="L137" s="6">
        <v>8.8862162295E10</v>
      </c>
      <c r="M137" s="6" t="s">
        <v>1795</v>
      </c>
      <c r="N137" s="6" t="s">
        <v>283</v>
      </c>
      <c r="O137" s="6" t="s">
        <v>178</v>
      </c>
      <c r="P137" s="10">
        <v>45931.0</v>
      </c>
    </row>
    <row r="138" ht="22.5" customHeight="1">
      <c r="A138" s="6" t="s">
        <v>1796</v>
      </c>
      <c r="B138" s="6" t="s">
        <v>1798</v>
      </c>
      <c r="C138" s="6" t="s">
        <v>1799</v>
      </c>
      <c r="D138" s="6" t="s">
        <v>145</v>
      </c>
      <c r="E138" s="6" t="s">
        <v>147</v>
      </c>
      <c r="F138" s="8">
        <v>19.0</v>
      </c>
      <c r="G138" s="9">
        <v>1316.04</v>
      </c>
      <c r="H138" s="9">
        <v>2183.72</v>
      </c>
      <c r="I138" s="6" t="s">
        <v>161</v>
      </c>
      <c r="J138" s="6" t="s">
        <v>421</v>
      </c>
      <c r="K138" s="6" t="s">
        <v>1800</v>
      </c>
      <c r="L138" s="6">
        <v>8.1937773989E10</v>
      </c>
      <c r="M138" s="6" t="s">
        <v>1801</v>
      </c>
      <c r="N138" s="6" t="s">
        <v>283</v>
      </c>
      <c r="O138" s="6" t="s">
        <v>178</v>
      </c>
      <c r="P138" s="10">
        <v>45970.0</v>
      </c>
    </row>
    <row r="139" ht="22.5" customHeight="1">
      <c r="A139" s="6" t="s">
        <v>1803</v>
      </c>
      <c r="B139" s="6" t="s">
        <v>1804</v>
      </c>
      <c r="C139" s="6" t="s">
        <v>1805</v>
      </c>
      <c r="D139" s="6" t="s">
        <v>206</v>
      </c>
      <c r="E139" s="6" t="s">
        <v>301</v>
      </c>
      <c r="F139" s="8">
        <v>42.0</v>
      </c>
      <c r="G139" s="9">
        <v>1301.27</v>
      </c>
      <c r="H139" s="9">
        <v>4597.71</v>
      </c>
      <c r="I139" s="6" t="s">
        <v>161</v>
      </c>
      <c r="J139" s="6" t="s">
        <v>393</v>
      </c>
      <c r="K139" s="6" t="s">
        <v>1807</v>
      </c>
      <c r="L139" s="6">
        <v>7.454151741E10</v>
      </c>
      <c r="M139" s="6" t="s">
        <v>1808</v>
      </c>
      <c r="N139" s="6" t="s">
        <v>283</v>
      </c>
      <c r="O139" s="6" t="s">
        <v>178</v>
      </c>
      <c r="P139" s="10">
        <v>46002.0</v>
      </c>
    </row>
    <row r="140" ht="22.5" customHeight="1">
      <c r="A140" s="6" t="s">
        <v>1809</v>
      </c>
      <c r="B140" s="6" t="s">
        <v>1810</v>
      </c>
      <c r="C140" s="6" t="s">
        <v>1811</v>
      </c>
      <c r="D140" s="6" t="s">
        <v>206</v>
      </c>
      <c r="E140" s="6" t="s">
        <v>301</v>
      </c>
      <c r="F140" s="8">
        <v>34.0</v>
      </c>
      <c r="G140" s="9">
        <v>1594.1</v>
      </c>
      <c r="H140" s="9">
        <v>10211.2</v>
      </c>
      <c r="I140" s="6" t="s">
        <v>161</v>
      </c>
      <c r="J140" s="6" t="s">
        <v>1229</v>
      </c>
      <c r="K140" s="6" t="s">
        <v>1813</v>
      </c>
      <c r="L140" s="6">
        <v>4.8433694739E10</v>
      </c>
      <c r="M140" s="6" t="s">
        <v>1814</v>
      </c>
      <c r="N140" s="6" t="s">
        <v>259</v>
      </c>
      <c r="O140" s="6" t="s">
        <v>178</v>
      </c>
      <c r="P140" s="10">
        <v>45939.0</v>
      </c>
    </row>
    <row r="141" ht="22.5" customHeight="1">
      <c r="A141" s="6" t="s">
        <v>1815</v>
      </c>
      <c r="B141" s="6" t="s">
        <v>1816</v>
      </c>
      <c r="C141" s="6" t="s">
        <v>1818</v>
      </c>
      <c r="D141" s="6" t="s">
        <v>206</v>
      </c>
      <c r="E141" s="6" t="s">
        <v>210</v>
      </c>
      <c r="F141" s="8">
        <v>95.0</v>
      </c>
      <c r="G141" s="9">
        <v>498.06</v>
      </c>
      <c r="H141" s="9">
        <v>9698.35</v>
      </c>
      <c r="I141" s="6" t="s">
        <v>161</v>
      </c>
      <c r="J141" s="6" t="s">
        <v>442</v>
      </c>
      <c r="K141" s="6" t="s">
        <v>1819</v>
      </c>
      <c r="L141" s="6">
        <v>1.2518582468E10</v>
      </c>
      <c r="M141" s="6" t="s">
        <v>1820</v>
      </c>
      <c r="N141" s="6" t="s">
        <v>427</v>
      </c>
      <c r="O141" s="6" t="s">
        <v>161</v>
      </c>
      <c r="P141" s="10">
        <v>45945.0</v>
      </c>
    </row>
    <row r="142" ht="22.5" customHeight="1">
      <c r="A142" s="6" t="s">
        <v>1822</v>
      </c>
      <c r="B142" s="6" t="s">
        <v>1823</v>
      </c>
      <c r="C142" s="6" t="s">
        <v>1824</v>
      </c>
      <c r="D142" s="6" t="s">
        <v>206</v>
      </c>
      <c r="E142" s="6" t="s">
        <v>147</v>
      </c>
      <c r="F142" s="8">
        <v>20.0</v>
      </c>
      <c r="G142" s="9">
        <v>236.37</v>
      </c>
      <c r="H142" s="9">
        <v>12658.78</v>
      </c>
      <c r="I142" s="6" t="s">
        <v>161</v>
      </c>
      <c r="J142" s="6" t="s">
        <v>393</v>
      </c>
      <c r="K142" s="6" t="s">
        <v>1826</v>
      </c>
      <c r="L142" s="6" t="s">
        <v>259</v>
      </c>
      <c r="M142" s="6" t="s">
        <v>1827</v>
      </c>
      <c r="N142" s="6" t="s">
        <v>176</v>
      </c>
      <c r="O142" s="6" t="s">
        <v>178</v>
      </c>
      <c r="P142" s="10">
        <v>46042.0</v>
      </c>
    </row>
    <row r="143" ht="22.5" customHeight="1">
      <c r="A143" s="6" t="s">
        <v>1828</v>
      </c>
      <c r="B143" s="6" t="s">
        <v>1829</v>
      </c>
      <c r="C143" s="6" t="s">
        <v>1830</v>
      </c>
      <c r="D143" s="6" t="s">
        <v>206</v>
      </c>
      <c r="E143" s="6" t="s">
        <v>147</v>
      </c>
      <c r="F143" s="8">
        <v>26.0</v>
      </c>
      <c r="G143" s="9">
        <v>1725.58</v>
      </c>
      <c r="H143" s="9">
        <v>7785.14</v>
      </c>
      <c r="I143" s="6" t="s">
        <v>161</v>
      </c>
      <c r="J143" s="6" t="s">
        <v>442</v>
      </c>
      <c r="K143" s="6" t="s">
        <v>1832</v>
      </c>
      <c r="L143" s="6">
        <v>7.4694818317E10</v>
      </c>
      <c r="M143" s="6" t="s">
        <v>1833</v>
      </c>
      <c r="N143" s="6" t="s">
        <v>283</v>
      </c>
      <c r="O143" s="6" t="s">
        <v>178</v>
      </c>
      <c r="P143" s="10">
        <v>46039.0</v>
      </c>
    </row>
    <row r="144" ht="22.5" customHeight="1">
      <c r="A144" s="6" t="s">
        <v>1835</v>
      </c>
      <c r="B144" s="6" t="s">
        <v>1836</v>
      </c>
      <c r="C144" s="6" t="s">
        <v>1837</v>
      </c>
      <c r="D144" s="6" t="s">
        <v>145</v>
      </c>
      <c r="E144" s="6" t="s">
        <v>147</v>
      </c>
      <c r="F144" s="8">
        <v>28.0</v>
      </c>
      <c r="G144" s="9">
        <v>799.42</v>
      </c>
      <c r="H144" s="9">
        <v>14662.13</v>
      </c>
      <c r="I144" s="6" t="s">
        <v>161</v>
      </c>
      <c r="J144" s="6" t="s">
        <v>228</v>
      </c>
      <c r="K144" s="6" t="s">
        <v>1838</v>
      </c>
      <c r="L144" s="6">
        <v>4.5213519909E10</v>
      </c>
      <c r="M144" s="6" t="s">
        <v>1839</v>
      </c>
      <c r="N144" s="6" t="s">
        <v>259</v>
      </c>
      <c r="O144" s="6" t="s">
        <v>178</v>
      </c>
      <c r="P144" s="10">
        <v>45979.0</v>
      </c>
    </row>
    <row r="145" ht="22.5" customHeight="1">
      <c r="A145" s="6" t="s">
        <v>1841</v>
      </c>
      <c r="B145" s="6" t="s">
        <v>1842</v>
      </c>
      <c r="C145" s="6" t="s">
        <v>1843</v>
      </c>
      <c r="D145" s="6" t="s">
        <v>145</v>
      </c>
      <c r="E145" s="6" t="s">
        <v>301</v>
      </c>
      <c r="F145" s="8">
        <v>40.0</v>
      </c>
      <c r="G145" s="9">
        <v>609.33</v>
      </c>
      <c r="H145" s="9">
        <v>7931.83</v>
      </c>
      <c r="I145" s="6" t="s">
        <v>161</v>
      </c>
      <c r="J145" s="6" t="s">
        <v>442</v>
      </c>
      <c r="K145" s="6" t="s">
        <v>1844</v>
      </c>
      <c r="L145" s="6">
        <v>5.20020946E9</v>
      </c>
      <c r="M145" s="6" t="s">
        <v>1846</v>
      </c>
      <c r="N145" s="6" t="s">
        <v>427</v>
      </c>
      <c r="O145" s="6" t="s">
        <v>178</v>
      </c>
      <c r="P145" s="10">
        <v>45958.0</v>
      </c>
    </row>
    <row r="146" ht="22.5" customHeight="1">
      <c r="A146" s="6" t="s">
        <v>1847</v>
      </c>
      <c r="B146" s="6" t="s">
        <v>1848</v>
      </c>
      <c r="C146" s="6" t="s">
        <v>1849</v>
      </c>
      <c r="D146" s="6" t="s">
        <v>206</v>
      </c>
      <c r="E146" s="6" t="s">
        <v>147</v>
      </c>
      <c r="F146" s="8">
        <v>12.0</v>
      </c>
      <c r="G146" s="9">
        <v>1096.2</v>
      </c>
      <c r="H146" s="9">
        <v>14119.1</v>
      </c>
      <c r="I146" s="6" t="s">
        <v>161</v>
      </c>
      <c r="J146" s="6" t="s">
        <v>577</v>
      </c>
      <c r="K146" s="6" t="s">
        <v>1851</v>
      </c>
      <c r="L146" s="6">
        <v>1.9675196533E10</v>
      </c>
      <c r="M146" s="6" t="s">
        <v>1852</v>
      </c>
      <c r="N146" s="6" t="s">
        <v>112</v>
      </c>
      <c r="O146" s="6" t="s">
        <v>178</v>
      </c>
      <c r="P146" s="10">
        <v>46029.0</v>
      </c>
    </row>
    <row r="147" ht="22.5" customHeight="1">
      <c r="A147" s="6" t="s">
        <v>1853</v>
      </c>
      <c r="B147" s="6" t="s">
        <v>1854</v>
      </c>
      <c r="C147" s="6" t="s">
        <v>1856</v>
      </c>
      <c r="D147" s="6" t="s">
        <v>145</v>
      </c>
      <c r="E147" s="6" t="s">
        <v>210</v>
      </c>
      <c r="F147" s="8">
        <v>61.0</v>
      </c>
      <c r="G147" s="9">
        <v>1330.67</v>
      </c>
      <c r="H147" s="9">
        <v>3564.1</v>
      </c>
      <c r="I147" s="6" t="s">
        <v>161</v>
      </c>
      <c r="J147" s="6" t="s">
        <v>1693</v>
      </c>
      <c r="K147" s="6" t="s">
        <v>1857</v>
      </c>
      <c r="L147" s="6">
        <v>6.3441086044E10</v>
      </c>
      <c r="M147" s="6" t="s">
        <v>1858</v>
      </c>
      <c r="N147" s="6" t="s">
        <v>112</v>
      </c>
      <c r="O147" s="6" t="s">
        <v>161</v>
      </c>
      <c r="P147" s="10">
        <v>45984.0</v>
      </c>
    </row>
    <row r="148" ht="22.5" customHeight="1">
      <c r="A148" s="6" t="s">
        <v>1860</v>
      </c>
      <c r="B148" s="6" t="s">
        <v>1861</v>
      </c>
      <c r="C148" s="6" t="s">
        <v>1862</v>
      </c>
      <c r="D148" s="6" t="s">
        <v>145</v>
      </c>
      <c r="E148" s="6" t="s">
        <v>147</v>
      </c>
      <c r="F148" s="8">
        <v>23.0</v>
      </c>
      <c r="G148" s="9">
        <v>1314.57</v>
      </c>
      <c r="H148" s="9">
        <v>12597.41</v>
      </c>
      <c r="I148" s="6" t="s">
        <v>161</v>
      </c>
      <c r="J148" s="6" t="s">
        <v>465</v>
      </c>
      <c r="K148" s="6" t="s">
        <v>1864</v>
      </c>
      <c r="L148" s="6">
        <v>4.7573097777E10</v>
      </c>
      <c r="M148" s="6" t="s">
        <v>1865</v>
      </c>
      <c r="N148" s="6" t="s">
        <v>112</v>
      </c>
      <c r="O148" s="6" t="s">
        <v>178</v>
      </c>
      <c r="P148" s="10">
        <v>45980.0</v>
      </c>
    </row>
    <row r="149" ht="22.5" customHeight="1">
      <c r="A149" s="6" t="s">
        <v>1866</v>
      </c>
      <c r="B149" s="6" t="s">
        <v>1867</v>
      </c>
      <c r="C149" s="6" t="s">
        <v>1868</v>
      </c>
      <c r="D149" s="6" t="s">
        <v>206</v>
      </c>
      <c r="E149" s="6" t="s">
        <v>301</v>
      </c>
      <c r="F149" s="8">
        <v>51.0</v>
      </c>
      <c r="G149" s="9">
        <v>1794.03</v>
      </c>
      <c r="H149" s="9">
        <v>12533.44</v>
      </c>
      <c r="I149" s="6" t="s">
        <v>161</v>
      </c>
      <c r="J149" s="6" t="s">
        <v>228</v>
      </c>
      <c r="K149" s="6" t="s">
        <v>1870</v>
      </c>
      <c r="L149" s="6">
        <v>7.102714194E9</v>
      </c>
      <c r="M149" s="6" t="s">
        <v>1871</v>
      </c>
      <c r="N149" s="6" t="s">
        <v>112</v>
      </c>
      <c r="O149" s="6" t="s">
        <v>178</v>
      </c>
      <c r="P149" s="10">
        <v>45960.0</v>
      </c>
    </row>
    <row r="150" ht="22.5" customHeight="1">
      <c r="A150" s="6" t="s">
        <v>1873</v>
      </c>
      <c r="B150" s="6" t="s">
        <v>1874</v>
      </c>
      <c r="C150" s="6" t="s">
        <v>1875</v>
      </c>
      <c r="D150" s="6" t="s">
        <v>145</v>
      </c>
      <c r="E150" s="6" t="s">
        <v>147</v>
      </c>
      <c r="F150" s="8">
        <v>12.0</v>
      </c>
      <c r="G150" s="9">
        <v>839.96</v>
      </c>
      <c r="H150" s="9">
        <v>7171.22</v>
      </c>
      <c r="I150" s="6" t="s">
        <v>161</v>
      </c>
      <c r="J150" s="6" t="s">
        <v>163</v>
      </c>
      <c r="K150" s="6" t="s">
        <v>1877</v>
      </c>
      <c r="L150" s="6">
        <v>5.5679499581E10</v>
      </c>
      <c r="M150" s="6" t="s">
        <v>1878</v>
      </c>
      <c r="N150" s="6" t="s">
        <v>259</v>
      </c>
      <c r="O150" s="6" t="s">
        <v>178</v>
      </c>
      <c r="P150" s="10">
        <v>45974.0</v>
      </c>
    </row>
    <row r="151" ht="22.5" customHeight="1">
      <c r="A151" s="6" t="s">
        <v>1879</v>
      </c>
      <c r="B151" s="6" t="s">
        <v>1880</v>
      </c>
      <c r="C151" s="6" t="s">
        <v>1881</v>
      </c>
      <c r="D151" s="6" t="s">
        <v>145</v>
      </c>
      <c r="E151" s="6" t="s">
        <v>147</v>
      </c>
      <c r="F151" s="8">
        <v>13.0</v>
      </c>
      <c r="G151" s="9">
        <v>358.35</v>
      </c>
      <c r="H151" s="9">
        <v>7695.53</v>
      </c>
      <c r="I151" s="6" t="s">
        <v>161</v>
      </c>
      <c r="J151" s="6" t="s">
        <v>163</v>
      </c>
      <c r="K151" s="6" t="s">
        <v>1883</v>
      </c>
      <c r="L151" s="6">
        <v>5.5600262857E10</v>
      </c>
      <c r="M151" s="6" t="s">
        <v>1884</v>
      </c>
      <c r="N151" s="6" t="s">
        <v>283</v>
      </c>
      <c r="O151" s="6" t="s">
        <v>178</v>
      </c>
      <c r="P151" s="10">
        <v>45943.0</v>
      </c>
    </row>
    <row r="152" ht="22.5" customHeight="1">
      <c r="A152" s="6" t="s">
        <v>1886</v>
      </c>
      <c r="B152" s="6" t="s">
        <v>1887</v>
      </c>
      <c r="C152" s="6" t="s">
        <v>1888</v>
      </c>
      <c r="D152" s="6" t="s">
        <v>206</v>
      </c>
      <c r="E152" s="6" t="s">
        <v>147</v>
      </c>
      <c r="F152" s="8">
        <v>17.0</v>
      </c>
      <c r="G152" s="9">
        <v>579.36</v>
      </c>
      <c r="H152" s="9">
        <v>3904.49</v>
      </c>
      <c r="I152" s="6" t="s">
        <v>161</v>
      </c>
      <c r="J152" s="6" t="s">
        <v>577</v>
      </c>
      <c r="K152" s="6" t="s">
        <v>1890</v>
      </c>
      <c r="L152" s="6" t="s">
        <v>259</v>
      </c>
      <c r="M152" s="6" t="s">
        <v>1891</v>
      </c>
      <c r="N152" s="6" t="s">
        <v>427</v>
      </c>
      <c r="O152" s="6" t="s">
        <v>178</v>
      </c>
      <c r="P152" s="10">
        <v>45974.0</v>
      </c>
    </row>
    <row r="153" ht="22.5" customHeight="1">
      <c r="A153" s="6" t="s">
        <v>1893</v>
      </c>
      <c r="B153" s="6" t="s">
        <v>1894</v>
      </c>
      <c r="C153" s="6" t="s">
        <v>1895</v>
      </c>
      <c r="D153" s="6" t="s">
        <v>145</v>
      </c>
      <c r="E153" s="6" t="s">
        <v>147</v>
      </c>
      <c r="F153" s="8">
        <v>23.0</v>
      </c>
      <c r="G153" s="9">
        <v>823.76</v>
      </c>
      <c r="H153" s="9">
        <v>14686.41</v>
      </c>
      <c r="I153" s="6" t="s">
        <v>161</v>
      </c>
      <c r="J153" s="6" t="s">
        <v>393</v>
      </c>
      <c r="K153" s="6" t="s">
        <v>1897</v>
      </c>
      <c r="L153" s="6">
        <v>7.857039681E9</v>
      </c>
      <c r="M153" s="6" t="s">
        <v>1898</v>
      </c>
      <c r="N153" s="6" t="s">
        <v>176</v>
      </c>
      <c r="O153" s="6" t="s">
        <v>178</v>
      </c>
      <c r="P153" s="10">
        <v>45990.0</v>
      </c>
    </row>
    <row r="154" ht="22.5" customHeight="1">
      <c r="A154" s="6" t="s">
        <v>1899</v>
      </c>
      <c r="B154" s="6" t="s">
        <v>1900</v>
      </c>
      <c r="C154" s="6" t="s">
        <v>1902</v>
      </c>
      <c r="D154" s="6" t="s">
        <v>206</v>
      </c>
      <c r="E154" s="6" t="s">
        <v>301</v>
      </c>
      <c r="F154" s="8">
        <v>41.0</v>
      </c>
      <c r="G154" s="9">
        <v>486.8</v>
      </c>
      <c r="H154" s="9">
        <v>3447.72</v>
      </c>
      <c r="I154" s="6" t="s">
        <v>161</v>
      </c>
      <c r="J154" s="6" t="s">
        <v>393</v>
      </c>
      <c r="K154" s="6" t="s">
        <v>1903</v>
      </c>
      <c r="L154" s="6">
        <v>8.394888349E9</v>
      </c>
      <c r="M154" s="6" t="s">
        <v>1904</v>
      </c>
      <c r="N154" s="6" t="s">
        <v>427</v>
      </c>
      <c r="O154" s="6" t="s">
        <v>178</v>
      </c>
      <c r="P154" s="10">
        <v>45943.0</v>
      </c>
    </row>
    <row r="155" ht="22.5" customHeight="1">
      <c r="A155" s="6" t="s">
        <v>1906</v>
      </c>
      <c r="B155" s="6" t="s">
        <v>1907</v>
      </c>
      <c r="C155" s="6" t="s">
        <v>1908</v>
      </c>
      <c r="D155" s="6" t="s">
        <v>383</v>
      </c>
      <c r="E155" s="6" t="s">
        <v>147</v>
      </c>
      <c r="F155" s="8">
        <v>17.0</v>
      </c>
      <c r="G155" s="9">
        <v>1443.09</v>
      </c>
      <c r="H155" s="9">
        <v>8937.04</v>
      </c>
      <c r="I155" s="6" t="s">
        <v>161</v>
      </c>
      <c r="J155" s="6" t="s">
        <v>465</v>
      </c>
      <c r="K155" s="6" t="s">
        <v>1910</v>
      </c>
      <c r="L155" s="6">
        <v>5.3882404339E10</v>
      </c>
      <c r="M155" s="6" t="s">
        <v>1911</v>
      </c>
      <c r="N155" s="6" t="s">
        <v>283</v>
      </c>
      <c r="O155" s="6" t="s">
        <v>178</v>
      </c>
      <c r="P155" s="10">
        <v>46020.0</v>
      </c>
    </row>
    <row r="156" ht="22.5" customHeight="1">
      <c r="A156" s="6" t="s">
        <v>1912</v>
      </c>
      <c r="B156" s="6" t="s">
        <v>1914</v>
      </c>
      <c r="C156" s="6" t="s">
        <v>1915</v>
      </c>
      <c r="D156" s="6" t="s">
        <v>145</v>
      </c>
      <c r="E156" s="6" t="s">
        <v>147</v>
      </c>
      <c r="F156" s="8">
        <v>13.0</v>
      </c>
      <c r="G156" s="9">
        <v>749.94</v>
      </c>
      <c r="H156" s="9">
        <v>5646.19</v>
      </c>
      <c r="I156" s="6" t="s">
        <v>161</v>
      </c>
      <c r="J156" s="6" t="s">
        <v>228</v>
      </c>
      <c r="K156" s="6" t="s">
        <v>1916</v>
      </c>
      <c r="L156" s="6">
        <v>5.0118078907E10</v>
      </c>
      <c r="M156" s="6" t="s">
        <v>1918</v>
      </c>
      <c r="N156" s="6" t="s">
        <v>283</v>
      </c>
      <c r="O156" s="6" t="s">
        <v>178</v>
      </c>
      <c r="P156" s="10">
        <v>46007.0</v>
      </c>
    </row>
    <row r="157" ht="22.5" customHeight="1">
      <c r="A157" s="6" t="s">
        <v>1919</v>
      </c>
      <c r="B157" s="6" t="s">
        <v>1920</v>
      </c>
      <c r="C157" s="6" t="s">
        <v>1921</v>
      </c>
      <c r="D157" s="6" t="s">
        <v>206</v>
      </c>
      <c r="E157" s="6" t="s">
        <v>210</v>
      </c>
      <c r="F157" s="8">
        <v>66.0</v>
      </c>
      <c r="G157" s="9">
        <v>284.7</v>
      </c>
      <c r="H157" s="9">
        <v>7331.84</v>
      </c>
      <c r="I157" s="6" t="s">
        <v>161</v>
      </c>
      <c r="J157" s="6" t="s">
        <v>479</v>
      </c>
      <c r="K157" s="6" t="s">
        <v>1923</v>
      </c>
      <c r="L157" s="6">
        <v>1.0623749917E10</v>
      </c>
      <c r="M157" s="6" t="s">
        <v>1924</v>
      </c>
      <c r="N157" s="6" t="s">
        <v>283</v>
      </c>
      <c r="O157" s="6" t="s">
        <v>161</v>
      </c>
      <c r="P157" s="10">
        <v>45993.0</v>
      </c>
    </row>
    <row r="158" ht="22.5" customHeight="1">
      <c r="A158" s="6" t="s">
        <v>1926</v>
      </c>
      <c r="B158" s="6" t="s">
        <v>1927</v>
      </c>
      <c r="C158" s="6" t="s">
        <v>1928</v>
      </c>
      <c r="D158" s="6" t="s">
        <v>145</v>
      </c>
      <c r="E158" s="6" t="s">
        <v>147</v>
      </c>
      <c r="F158" s="8">
        <v>25.0</v>
      </c>
      <c r="G158" s="9">
        <v>1252.34</v>
      </c>
      <c r="H158" s="9">
        <v>2219.43</v>
      </c>
      <c r="I158" s="6" t="s">
        <v>161</v>
      </c>
      <c r="J158" s="6" t="s">
        <v>357</v>
      </c>
      <c r="K158" s="6" t="s">
        <v>1930</v>
      </c>
      <c r="L158" s="6">
        <v>3.8027501327E10</v>
      </c>
      <c r="M158" s="6" t="s">
        <v>1931</v>
      </c>
      <c r="N158" s="6" t="s">
        <v>427</v>
      </c>
      <c r="O158" s="6" t="s">
        <v>178</v>
      </c>
      <c r="P158" s="10">
        <v>45975.0</v>
      </c>
    </row>
    <row r="159" ht="22.5" customHeight="1">
      <c r="A159" s="6" t="s">
        <v>1932</v>
      </c>
      <c r="B159" s="6" t="s">
        <v>1933</v>
      </c>
      <c r="C159" s="6" t="s">
        <v>1934</v>
      </c>
      <c r="D159" s="6" t="s">
        <v>145</v>
      </c>
      <c r="E159" s="6" t="s">
        <v>147</v>
      </c>
      <c r="F159" s="8">
        <v>29.0</v>
      </c>
      <c r="G159" s="9">
        <v>559.48</v>
      </c>
      <c r="H159" s="9">
        <v>11714.31</v>
      </c>
      <c r="I159" s="6" t="s">
        <v>161</v>
      </c>
      <c r="J159" s="6" t="s">
        <v>228</v>
      </c>
      <c r="K159" s="6" t="s">
        <v>1936</v>
      </c>
      <c r="L159" s="6">
        <v>4.565516378E9</v>
      </c>
      <c r="M159" s="6" t="s">
        <v>1937</v>
      </c>
      <c r="N159" s="6" t="s">
        <v>112</v>
      </c>
      <c r="O159" s="6" t="s">
        <v>178</v>
      </c>
      <c r="P159" s="10">
        <v>46013.0</v>
      </c>
    </row>
    <row r="160" ht="22.5" customHeight="1">
      <c r="A160" s="6" t="s">
        <v>1938</v>
      </c>
      <c r="B160" s="6" t="s">
        <v>1939</v>
      </c>
      <c r="C160" s="6" t="s">
        <v>1941</v>
      </c>
      <c r="D160" s="6" t="s">
        <v>383</v>
      </c>
      <c r="E160" s="6" t="s">
        <v>301</v>
      </c>
      <c r="F160" s="8">
        <v>50.0</v>
      </c>
      <c r="G160" s="9">
        <v>847.87</v>
      </c>
      <c r="H160" s="9">
        <v>4436.73</v>
      </c>
      <c r="I160" s="6" t="s">
        <v>161</v>
      </c>
      <c r="J160" s="6" t="s">
        <v>442</v>
      </c>
      <c r="K160" s="6" t="s">
        <v>1942</v>
      </c>
      <c r="L160" s="6" t="s">
        <v>259</v>
      </c>
      <c r="M160" s="6" t="s">
        <v>1943</v>
      </c>
      <c r="N160" s="6" t="s">
        <v>176</v>
      </c>
      <c r="O160" s="6" t="s">
        <v>178</v>
      </c>
      <c r="P160" s="10">
        <v>45999.0</v>
      </c>
    </row>
    <row r="161" ht="22.5" customHeight="1">
      <c r="A161" s="6" t="s">
        <v>1945</v>
      </c>
      <c r="B161" s="6" t="s">
        <v>1946</v>
      </c>
      <c r="C161" s="6" t="s">
        <v>1947</v>
      </c>
      <c r="D161" s="6" t="s">
        <v>206</v>
      </c>
      <c r="E161" s="6" t="s">
        <v>210</v>
      </c>
      <c r="F161" s="8">
        <v>97.0</v>
      </c>
      <c r="G161" s="9">
        <v>1799.96</v>
      </c>
      <c r="H161" s="9">
        <v>13913.4</v>
      </c>
      <c r="I161" s="6" t="s">
        <v>161</v>
      </c>
      <c r="J161" s="6" t="s">
        <v>421</v>
      </c>
      <c r="K161" s="6" t="s">
        <v>1949</v>
      </c>
      <c r="L161" s="6">
        <v>9.4285844686E10</v>
      </c>
      <c r="M161" s="6" t="s">
        <v>1950</v>
      </c>
      <c r="N161" s="6" t="s">
        <v>283</v>
      </c>
      <c r="O161" s="6" t="s">
        <v>161</v>
      </c>
      <c r="P161" s="10">
        <v>45982.0</v>
      </c>
    </row>
    <row r="162" ht="22.5" customHeight="1">
      <c r="A162" s="6" t="s">
        <v>1951</v>
      </c>
      <c r="B162" s="6" t="s">
        <v>1953</v>
      </c>
      <c r="C162" s="6" t="s">
        <v>1954</v>
      </c>
      <c r="D162" s="6" t="s">
        <v>145</v>
      </c>
      <c r="E162" s="6" t="s">
        <v>210</v>
      </c>
      <c r="F162" s="8">
        <v>79.0</v>
      </c>
      <c r="G162" s="9">
        <v>1186.42</v>
      </c>
      <c r="H162" s="9">
        <v>9568.43</v>
      </c>
      <c r="I162" s="6" t="s">
        <v>161</v>
      </c>
      <c r="J162" s="6" t="s">
        <v>421</v>
      </c>
      <c r="K162" s="6" t="s">
        <v>259</v>
      </c>
      <c r="L162" s="6">
        <v>3.7402383391E10</v>
      </c>
      <c r="M162" s="6" t="s">
        <v>1955</v>
      </c>
      <c r="N162" s="6" t="s">
        <v>112</v>
      </c>
      <c r="O162" s="6" t="s">
        <v>161</v>
      </c>
      <c r="P162" s="10">
        <v>46029.0</v>
      </c>
    </row>
    <row r="163" ht="22.5" customHeight="1">
      <c r="A163" s="6" t="s">
        <v>1957</v>
      </c>
      <c r="B163" s="6" t="s">
        <v>1958</v>
      </c>
      <c r="C163" s="6" t="s">
        <v>1959</v>
      </c>
      <c r="D163" s="6" t="s">
        <v>145</v>
      </c>
      <c r="E163" s="6" t="s">
        <v>147</v>
      </c>
      <c r="F163" s="8">
        <v>10.0</v>
      </c>
      <c r="G163" s="9">
        <v>233.28</v>
      </c>
      <c r="H163" s="9">
        <v>10810.27</v>
      </c>
      <c r="I163" s="6" t="s">
        <v>161</v>
      </c>
      <c r="J163" s="6" t="s">
        <v>465</v>
      </c>
      <c r="K163" s="6" t="s">
        <v>1961</v>
      </c>
      <c r="L163" s="6">
        <v>6.5470211639E10</v>
      </c>
      <c r="M163" s="6" t="s">
        <v>1962</v>
      </c>
      <c r="N163" s="6" t="s">
        <v>112</v>
      </c>
      <c r="O163" s="6" t="s">
        <v>178</v>
      </c>
      <c r="P163" s="10">
        <v>45968.0</v>
      </c>
    </row>
    <row r="164" ht="22.5" customHeight="1">
      <c r="A164" s="6" t="s">
        <v>1963</v>
      </c>
      <c r="B164" s="6" t="s">
        <v>1964</v>
      </c>
      <c r="C164" s="6" t="s">
        <v>1965</v>
      </c>
      <c r="D164" s="6" t="s">
        <v>145</v>
      </c>
      <c r="E164" s="6" t="s">
        <v>147</v>
      </c>
      <c r="F164" s="8">
        <v>8.0</v>
      </c>
      <c r="G164" s="9">
        <v>838.25</v>
      </c>
      <c r="H164" s="9">
        <v>4880.26</v>
      </c>
      <c r="I164" s="6" t="s">
        <v>161</v>
      </c>
      <c r="J164" s="6" t="s">
        <v>312</v>
      </c>
      <c r="K164" s="6" t="s">
        <v>1967</v>
      </c>
      <c r="L164" s="6">
        <v>2.3057944978E10</v>
      </c>
      <c r="M164" s="6" t="s">
        <v>1968</v>
      </c>
      <c r="N164" s="6" t="s">
        <v>427</v>
      </c>
      <c r="O164" s="6" t="s">
        <v>178</v>
      </c>
      <c r="P164" s="10">
        <v>45971.0</v>
      </c>
    </row>
    <row r="165" ht="22.5" customHeight="1">
      <c r="A165" s="6" t="s">
        <v>1970</v>
      </c>
      <c r="B165" s="6" t="s">
        <v>1971</v>
      </c>
      <c r="C165" s="6" t="s">
        <v>1972</v>
      </c>
      <c r="D165" s="6" t="s">
        <v>383</v>
      </c>
      <c r="E165" s="6" t="s">
        <v>301</v>
      </c>
      <c r="F165" s="8">
        <v>32.0</v>
      </c>
      <c r="G165" s="9">
        <v>1424.75</v>
      </c>
      <c r="H165" s="9">
        <v>11751.25</v>
      </c>
      <c r="I165" s="6" t="s">
        <v>178</v>
      </c>
      <c r="J165" s="6" t="s">
        <v>357</v>
      </c>
      <c r="K165" s="6" t="s">
        <v>1974</v>
      </c>
      <c r="L165" s="6">
        <v>2.8514182741E10</v>
      </c>
      <c r="M165" s="6" t="s">
        <v>1975</v>
      </c>
      <c r="N165" s="6" t="s">
        <v>283</v>
      </c>
      <c r="O165" s="6" t="s">
        <v>161</v>
      </c>
      <c r="P165" s="10">
        <v>46038.0</v>
      </c>
    </row>
    <row r="166" ht="22.5" customHeight="1">
      <c r="A166" s="6" t="s">
        <v>1976</v>
      </c>
      <c r="B166" s="6" t="s">
        <v>1977</v>
      </c>
      <c r="C166" s="6" t="s">
        <v>1979</v>
      </c>
      <c r="D166" s="6" t="s">
        <v>206</v>
      </c>
      <c r="E166" s="6" t="s">
        <v>147</v>
      </c>
      <c r="F166" s="8">
        <v>24.0</v>
      </c>
      <c r="G166" s="9">
        <v>722.23</v>
      </c>
      <c r="H166" s="9">
        <v>1644.35</v>
      </c>
      <c r="I166" s="6" t="s">
        <v>161</v>
      </c>
      <c r="J166" s="6" t="s">
        <v>312</v>
      </c>
      <c r="K166" s="6" t="s">
        <v>1980</v>
      </c>
      <c r="L166" s="6">
        <v>9.9477383639E10</v>
      </c>
      <c r="M166" s="6" t="s">
        <v>1981</v>
      </c>
      <c r="N166" s="6" t="s">
        <v>112</v>
      </c>
      <c r="O166" s="6" t="s">
        <v>178</v>
      </c>
      <c r="P166" s="10">
        <v>45943.0</v>
      </c>
    </row>
    <row r="167" ht="22.5" customHeight="1">
      <c r="A167" s="6" t="s">
        <v>1983</v>
      </c>
      <c r="B167" s="6" t="s">
        <v>1984</v>
      </c>
      <c r="C167" s="6" t="s">
        <v>1985</v>
      </c>
      <c r="D167" s="6" t="s">
        <v>145</v>
      </c>
      <c r="E167" s="6" t="s">
        <v>147</v>
      </c>
      <c r="F167" s="8">
        <v>24.0</v>
      </c>
      <c r="G167" s="9">
        <v>473.92</v>
      </c>
      <c r="H167" s="9">
        <v>10450.15</v>
      </c>
      <c r="I167" s="6" t="s">
        <v>161</v>
      </c>
      <c r="J167" s="6" t="s">
        <v>228</v>
      </c>
      <c r="K167" s="6" t="s">
        <v>1986</v>
      </c>
      <c r="L167" s="6">
        <v>1.4256563779E10</v>
      </c>
      <c r="M167" s="6" t="s">
        <v>1988</v>
      </c>
      <c r="N167" s="6" t="s">
        <v>427</v>
      </c>
      <c r="O167" s="6" t="s">
        <v>178</v>
      </c>
      <c r="P167" s="10">
        <v>46001.0</v>
      </c>
    </row>
    <row r="168" ht="22.5" customHeight="1">
      <c r="A168" s="6" t="s">
        <v>1989</v>
      </c>
      <c r="B168" s="6" t="s">
        <v>1990</v>
      </c>
      <c r="C168" s="6" t="s">
        <v>1991</v>
      </c>
      <c r="D168" s="6" t="s">
        <v>206</v>
      </c>
      <c r="E168" s="6" t="s">
        <v>147</v>
      </c>
      <c r="F168" s="8">
        <v>10.0</v>
      </c>
      <c r="G168" s="9">
        <v>892.68</v>
      </c>
      <c r="H168" s="9">
        <v>10046.35</v>
      </c>
      <c r="I168" s="6" t="s">
        <v>161</v>
      </c>
      <c r="J168" s="6" t="s">
        <v>163</v>
      </c>
      <c r="K168" s="6" t="s">
        <v>1993</v>
      </c>
      <c r="L168" s="6">
        <v>3.2364060821E10</v>
      </c>
      <c r="M168" s="6" t="s">
        <v>1994</v>
      </c>
      <c r="N168" s="6" t="s">
        <v>176</v>
      </c>
      <c r="O168" s="6" t="s">
        <v>178</v>
      </c>
      <c r="P168" s="10">
        <v>46051.0</v>
      </c>
    </row>
    <row r="169" ht="22.5" customHeight="1">
      <c r="A169" s="6" t="s">
        <v>1995</v>
      </c>
      <c r="B169" s="6" t="s">
        <v>1996</v>
      </c>
      <c r="C169" s="6" t="s">
        <v>1997</v>
      </c>
      <c r="D169" s="6" t="s">
        <v>145</v>
      </c>
      <c r="E169" s="6" t="s">
        <v>147</v>
      </c>
      <c r="F169" s="8">
        <v>19.0</v>
      </c>
      <c r="G169" s="9">
        <v>662.4</v>
      </c>
      <c r="H169" s="9">
        <v>13909.6</v>
      </c>
      <c r="I169" s="6" t="s">
        <v>161</v>
      </c>
      <c r="J169" s="6" t="s">
        <v>163</v>
      </c>
      <c r="K169" s="6" t="s">
        <v>1999</v>
      </c>
      <c r="L169" s="6">
        <v>7.3209692081E10</v>
      </c>
      <c r="M169" s="6" t="s">
        <v>2000</v>
      </c>
      <c r="N169" s="6" t="s">
        <v>259</v>
      </c>
      <c r="O169" s="6" t="s">
        <v>178</v>
      </c>
      <c r="P169" s="10">
        <v>45996.0</v>
      </c>
    </row>
    <row r="170" ht="22.5" customHeight="1">
      <c r="A170" s="6" t="s">
        <v>2002</v>
      </c>
      <c r="B170" s="6" t="s">
        <v>2003</v>
      </c>
      <c r="C170" s="6" t="s">
        <v>2004</v>
      </c>
      <c r="D170" s="6" t="s">
        <v>145</v>
      </c>
      <c r="E170" s="6" t="s">
        <v>147</v>
      </c>
      <c r="F170" s="8">
        <v>26.0</v>
      </c>
      <c r="G170" s="9">
        <v>241.27</v>
      </c>
      <c r="H170" s="9">
        <v>9705.83</v>
      </c>
      <c r="I170" s="6" t="s">
        <v>161</v>
      </c>
      <c r="J170" s="6" t="s">
        <v>479</v>
      </c>
      <c r="K170" s="6" t="s">
        <v>2005</v>
      </c>
      <c r="L170" s="6">
        <v>8.4979201665E10</v>
      </c>
      <c r="M170" s="6" t="s">
        <v>2007</v>
      </c>
      <c r="N170" s="6" t="s">
        <v>427</v>
      </c>
      <c r="O170" s="6" t="s">
        <v>178</v>
      </c>
      <c r="P170" s="10">
        <v>45942.0</v>
      </c>
    </row>
    <row r="171" ht="22.5" customHeight="1">
      <c r="A171" s="6" t="s">
        <v>2008</v>
      </c>
      <c r="B171" s="6" t="s">
        <v>2009</v>
      </c>
      <c r="C171" s="6" t="s">
        <v>2010</v>
      </c>
      <c r="D171" s="6" t="s">
        <v>145</v>
      </c>
      <c r="E171" s="6" t="s">
        <v>147</v>
      </c>
      <c r="F171" s="8">
        <v>26.0</v>
      </c>
      <c r="G171" s="9">
        <v>188.98</v>
      </c>
      <c r="H171" s="9">
        <v>6365.66</v>
      </c>
      <c r="I171" s="6" t="s">
        <v>161</v>
      </c>
      <c r="J171" s="6" t="s">
        <v>393</v>
      </c>
      <c r="K171" s="6" t="s">
        <v>2012</v>
      </c>
      <c r="L171" s="6">
        <v>7.5301073933E10</v>
      </c>
      <c r="M171" s="6" t="s">
        <v>2013</v>
      </c>
      <c r="N171" s="6" t="s">
        <v>259</v>
      </c>
      <c r="O171" s="6" t="s">
        <v>178</v>
      </c>
      <c r="P171" s="10">
        <v>46011.0</v>
      </c>
    </row>
    <row r="172" ht="22.5" customHeight="1">
      <c r="A172" s="6" t="s">
        <v>2014</v>
      </c>
      <c r="B172" s="6" t="s">
        <v>2015</v>
      </c>
      <c r="C172" s="6" t="s">
        <v>2017</v>
      </c>
      <c r="D172" s="6" t="s">
        <v>145</v>
      </c>
      <c r="E172" s="6" t="s">
        <v>147</v>
      </c>
      <c r="F172" s="8">
        <v>26.0</v>
      </c>
      <c r="G172" s="9">
        <v>1099.68</v>
      </c>
      <c r="H172" s="9">
        <v>6504.42</v>
      </c>
      <c r="I172" s="6" t="s">
        <v>161</v>
      </c>
      <c r="J172" s="6" t="s">
        <v>163</v>
      </c>
      <c r="K172" s="6" t="s">
        <v>2018</v>
      </c>
      <c r="L172" s="6">
        <v>7.7219624159E10</v>
      </c>
      <c r="M172" s="6" t="s">
        <v>2020</v>
      </c>
      <c r="N172" s="6" t="s">
        <v>427</v>
      </c>
      <c r="O172" s="6" t="s">
        <v>178</v>
      </c>
      <c r="P172" s="10">
        <v>46045.0</v>
      </c>
    </row>
    <row r="173" ht="22.5" customHeight="1">
      <c r="A173" s="6" t="s">
        <v>2021</v>
      </c>
      <c r="B173" s="6" t="s">
        <v>2022</v>
      </c>
      <c r="C173" s="6" t="s">
        <v>2023</v>
      </c>
      <c r="D173" s="6" t="s">
        <v>206</v>
      </c>
      <c r="E173" s="6" t="s">
        <v>301</v>
      </c>
      <c r="F173" s="8">
        <v>47.0</v>
      </c>
      <c r="G173" s="9">
        <v>1226.6</v>
      </c>
      <c r="H173" s="9">
        <v>12031.56</v>
      </c>
      <c r="I173" s="6" t="s">
        <v>161</v>
      </c>
      <c r="J173" s="6" t="s">
        <v>577</v>
      </c>
      <c r="K173" s="6" t="s">
        <v>2025</v>
      </c>
      <c r="L173" s="6">
        <v>4.4956688572E10</v>
      </c>
      <c r="M173" s="6" t="s">
        <v>2026</v>
      </c>
      <c r="N173" s="6" t="s">
        <v>427</v>
      </c>
      <c r="O173" s="6" t="s">
        <v>178</v>
      </c>
      <c r="P173" s="10">
        <v>45933.0</v>
      </c>
    </row>
    <row r="174" ht="22.5" customHeight="1">
      <c r="A174" s="6" t="s">
        <v>2028</v>
      </c>
      <c r="B174" s="6" t="s">
        <v>2029</v>
      </c>
      <c r="C174" s="6" t="s">
        <v>2030</v>
      </c>
      <c r="D174" s="6" t="s">
        <v>145</v>
      </c>
      <c r="E174" s="6" t="s">
        <v>210</v>
      </c>
      <c r="F174" s="8">
        <v>111.0</v>
      </c>
      <c r="G174" s="9">
        <v>568.74</v>
      </c>
      <c r="H174" s="9">
        <v>14150.43</v>
      </c>
      <c r="I174" s="6" t="s">
        <v>161</v>
      </c>
      <c r="J174" s="6" t="s">
        <v>442</v>
      </c>
      <c r="K174" s="6" t="s">
        <v>2032</v>
      </c>
      <c r="L174" s="6">
        <v>7.0629445971E10</v>
      </c>
      <c r="M174" s="6" t="s">
        <v>2033</v>
      </c>
      <c r="N174" s="6" t="s">
        <v>176</v>
      </c>
      <c r="O174" s="6" t="s">
        <v>161</v>
      </c>
      <c r="P174" s="10">
        <v>45958.0</v>
      </c>
    </row>
    <row r="175" ht="22.5" customHeight="1">
      <c r="A175" s="6" t="s">
        <v>2034</v>
      </c>
      <c r="B175" s="6" t="s">
        <v>2035</v>
      </c>
      <c r="C175" s="6" t="s">
        <v>2036</v>
      </c>
      <c r="D175" s="6" t="s">
        <v>145</v>
      </c>
      <c r="E175" s="6" t="s">
        <v>301</v>
      </c>
      <c r="F175" s="8">
        <v>46.0</v>
      </c>
      <c r="G175" s="9">
        <v>1026.51</v>
      </c>
      <c r="H175" s="9">
        <v>12233.67</v>
      </c>
      <c r="I175" s="6" t="s">
        <v>161</v>
      </c>
      <c r="J175" s="6" t="s">
        <v>357</v>
      </c>
      <c r="K175" s="6" t="s">
        <v>2038</v>
      </c>
      <c r="L175" s="6">
        <v>9.7837567601E10</v>
      </c>
      <c r="M175" s="6" t="s">
        <v>2039</v>
      </c>
      <c r="N175" s="6" t="s">
        <v>427</v>
      </c>
      <c r="O175" s="6" t="s">
        <v>178</v>
      </c>
      <c r="P175" s="10">
        <v>45996.0</v>
      </c>
    </row>
    <row r="176" ht="22.5" customHeight="1">
      <c r="A176" s="6" t="s">
        <v>2040</v>
      </c>
      <c r="B176" s="6" t="s">
        <v>2041</v>
      </c>
      <c r="C176" s="6" t="s">
        <v>2042</v>
      </c>
      <c r="D176" s="6" t="s">
        <v>383</v>
      </c>
      <c r="E176" s="6" t="s">
        <v>301</v>
      </c>
      <c r="F176" s="8">
        <v>59.0</v>
      </c>
      <c r="G176" s="9">
        <v>817.1</v>
      </c>
      <c r="H176" s="9">
        <v>3409.38</v>
      </c>
      <c r="I176" s="6" t="s">
        <v>178</v>
      </c>
      <c r="J176" s="6" t="s">
        <v>228</v>
      </c>
      <c r="K176" s="6" t="s">
        <v>2044</v>
      </c>
      <c r="L176" s="6">
        <v>5.8799948013E10</v>
      </c>
      <c r="M176" s="6" t="s">
        <v>2045</v>
      </c>
      <c r="N176" s="6" t="s">
        <v>283</v>
      </c>
      <c r="O176" s="6" t="s">
        <v>161</v>
      </c>
      <c r="P176" s="10">
        <v>45998.0</v>
      </c>
    </row>
    <row r="177" ht="22.5" customHeight="1">
      <c r="A177" s="6" t="s">
        <v>2046</v>
      </c>
      <c r="B177" s="6" t="s">
        <v>2047</v>
      </c>
      <c r="C177" s="6" t="s">
        <v>2048</v>
      </c>
      <c r="D177" s="6" t="s">
        <v>145</v>
      </c>
      <c r="E177" s="6" t="s">
        <v>147</v>
      </c>
      <c r="F177" s="8">
        <v>28.0</v>
      </c>
      <c r="G177" s="9">
        <v>1595.89</v>
      </c>
      <c r="H177" s="9">
        <v>6072.77</v>
      </c>
      <c r="I177" s="6" t="s">
        <v>161</v>
      </c>
      <c r="J177" s="6" t="s">
        <v>465</v>
      </c>
      <c r="K177" s="6" t="s">
        <v>2050</v>
      </c>
      <c r="L177" s="6">
        <v>9.2846700326E10</v>
      </c>
      <c r="M177" s="6" t="s">
        <v>2051</v>
      </c>
      <c r="N177" s="6" t="s">
        <v>112</v>
      </c>
      <c r="O177" s="6" t="s">
        <v>178</v>
      </c>
      <c r="P177" s="10">
        <v>46032.0</v>
      </c>
    </row>
    <row r="178" ht="22.5" customHeight="1">
      <c r="A178" s="6" t="s">
        <v>2053</v>
      </c>
      <c r="B178" s="6" t="s">
        <v>2054</v>
      </c>
      <c r="C178" s="6" t="s">
        <v>2055</v>
      </c>
      <c r="D178" s="6" t="s">
        <v>206</v>
      </c>
      <c r="E178" s="6" t="s">
        <v>147</v>
      </c>
      <c r="F178" s="8">
        <v>10.0</v>
      </c>
      <c r="G178" s="9">
        <v>1247.34</v>
      </c>
      <c r="H178" s="9">
        <v>12966.55</v>
      </c>
      <c r="I178" s="6" t="s">
        <v>161</v>
      </c>
      <c r="J178" s="6" t="s">
        <v>479</v>
      </c>
      <c r="K178" s="6" t="s">
        <v>2056</v>
      </c>
      <c r="L178" s="6">
        <v>8.3131162321E10</v>
      </c>
      <c r="M178" s="6" t="s">
        <v>2058</v>
      </c>
      <c r="N178" s="6" t="s">
        <v>283</v>
      </c>
      <c r="O178" s="6" t="s">
        <v>178</v>
      </c>
      <c r="P178" s="10">
        <v>46029.0</v>
      </c>
    </row>
    <row r="179" ht="22.5" customHeight="1">
      <c r="A179" s="6" t="s">
        <v>2059</v>
      </c>
      <c r="B179" s="6" t="s">
        <v>2060</v>
      </c>
      <c r="C179" s="6" t="s">
        <v>2061</v>
      </c>
      <c r="D179" s="6" t="s">
        <v>206</v>
      </c>
      <c r="E179" s="6" t="s">
        <v>210</v>
      </c>
      <c r="F179" s="8">
        <v>93.0</v>
      </c>
      <c r="G179" s="9">
        <v>1244.62</v>
      </c>
      <c r="H179" s="9">
        <v>7082.98</v>
      </c>
      <c r="I179" s="6" t="s">
        <v>178</v>
      </c>
      <c r="J179" s="6" t="s">
        <v>312</v>
      </c>
      <c r="K179" s="6" t="s">
        <v>2063</v>
      </c>
      <c r="L179" s="6">
        <v>7.847577714E10</v>
      </c>
      <c r="M179" s="6" t="s">
        <v>2064</v>
      </c>
      <c r="N179" s="6" t="s">
        <v>427</v>
      </c>
      <c r="O179" s="6" t="s">
        <v>161</v>
      </c>
      <c r="P179" s="10">
        <v>45956.0</v>
      </c>
    </row>
    <row r="180" ht="22.5" customHeight="1">
      <c r="A180" s="6" t="s">
        <v>2065</v>
      </c>
      <c r="B180" s="6" t="s">
        <v>2066</v>
      </c>
      <c r="C180" s="6" t="s">
        <v>2067</v>
      </c>
      <c r="D180" s="6" t="s">
        <v>145</v>
      </c>
      <c r="E180" s="6" t="s">
        <v>301</v>
      </c>
      <c r="F180" s="8">
        <v>52.0</v>
      </c>
      <c r="G180" s="9">
        <v>762.64</v>
      </c>
      <c r="H180" s="9">
        <v>2447.51</v>
      </c>
      <c r="I180" s="6" t="s">
        <v>161</v>
      </c>
      <c r="J180" s="6" t="s">
        <v>393</v>
      </c>
      <c r="K180" s="6" t="s">
        <v>2069</v>
      </c>
      <c r="L180" s="6">
        <v>1.713225964E10</v>
      </c>
      <c r="M180" s="6" t="s">
        <v>2070</v>
      </c>
      <c r="N180" s="6" t="s">
        <v>112</v>
      </c>
      <c r="O180" s="6" t="s">
        <v>178</v>
      </c>
      <c r="P180" s="10">
        <v>46030.0</v>
      </c>
    </row>
    <row r="181" ht="22.5" customHeight="1">
      <c r="A181" s="6" t="s">
        <v>2072</v>
      </c>
      <c r="B181" s="6" t="s">
        <v>2073</v>
      </c>
      <c r="C181" s="6" t="s">
        <v>2074</v>
      </c>
      <c r="D181" s="6" t="s">
        <v>145</v>
      </c>
      <c r="E181" s="6" t="s">
        <v>147</v>
      </c>
      <c r="F181" s="8">
        <v>10.0</v>
      </c>
      <c r="G181" s="9">
        <v>1099.9</v>
      </c>
      <c r="H181" s="9">
        <v>9752.88</v>
      </c>
      <c r="I181" s="6" t="s">
        <v>161</v>
      </c>
      <c r="J181" s="6" t="s">
        <v>421</v>
      </c>
      <c r="K181" s="6" t="s">
        <v>2075</v>
      </c>
      <c r="L181" s="6">
        <v>4.5432607095E10</v>
      </c>
      <c r="M181" s="6" t="s">
        <v>2077</v>
      </c>
      <c r="N181" s="6" t="s">
        <v>259</v>
      </c>
      <c r="O181" s="6" t="s">
        <v>178</v>
      </c>
      <c r="P181" s="10">
        <v>46036.0</v>
      </c>
    </row>
    <row r="182" ht="22.5" customHeight="1">
      <c r="A182" s="6" t="s">
        <v>2078</v>
      </c>
      <c r="B182" s="6" t="s">
        <v>2079</v>
      </c>
      <c r="C182" s="6" t="s">
        <v>2080</v>
      </c>
      <c r="D182" s="6" t="s">
        <v>383</v>
      </c>
      <c r="E182" s="6" t="s">
        <v>301</v>
      </c>
      <c r="F182" s="8">
        <v>59.0</v>
      </c>
      <c r="G182" s="9">
        <v>1173.64</v>
      </c>
      <c r="H182" s="9">
        <v>3449.52</v>
      </c>
      <c r="I182" s="6" t="s">
        <v>161</v>
      </c>
      <c r="J182" s="6" t="s">
        <v>259</v>
      </c>
      <c r="K182" s="6" t="s">
        <v>2081</v>
      </c>
      <c r="L182" s="6">
        <v>1.3076619566E10</v>
      </c>
      <c r="M182" s="6" t="s">
        <v>2083</v>
      </c>
      <c r="N182" s="6" t="s">
        <v>283</v>
      </c>
      <c r="O182" s="6" t="s">
        <v>178</v>
      </c>
      <c r="P182" s="10">
        <v>45978.0</v>
      </c>
    </row>
    <row r="183" ht="22.5" customHeight="1">
      <c r="A183" s="6" t="s">
        <v>2084</v>
      </c>
      <c r="B183" s="6" t="s">
        <v>2085</v>
      </c>
      <c r="C183" s="6" t="s">
        <v>2086</v>
      </c>
      <c r="D183" s="6" t="s">
        <v>383</v>
      </c>
      <c r="E183" s="6" t="s">
        <v>301</v>
      </c>
      <c r="F183" s="8">
        <v>33.0</v>
      </c>
      <c r="G183" s="9">
        <v>515.55</v>
      </c>
      <c r="H183" s="9">
        <v>2032.07</v>
      </c>
      <c r="I183" s="6" t="s">
        <v>161</v>
      </c>
      <c r="J183" s="6" t="s">
        <v>228</v>
      </c>
      <c r="K183" s="6" t="s">
        <v>259</v>
      </c>
      <c r="L183" s="6">
        <v>5.0993645419E10</v>
      </c>
      <c r="M183" s="6" t="s">
        <v>2088</v>
      </c>
      <c r="N183" s="6" t="s">
        <v>283</v>
      </c>
      <c r="O183" s="6" t="s">
        <v>178</v>
      </c>
      <c r="P183" s="10">
        <v>45947.0</v>
      </c>
    </row>
    <row r="184" ht="22.5" customHeight="1">
      <c r="A184" s="6" t="s">
        <v>2089</v>
      </c>
      <c r="B184" s="6" t="s">
        <v>2090</v>
      </c>
      <c r="C184" s="6" t="s">
        <v>2091</v>
      </c>
      <c r="D184" s="6" t="s">
        <v>145</v>
      </c>
      <c r="E184" s="6" t="s">
        <v>147</v>
      </c>
      <c r="F184" s="8">
        <v>10.0</v>
      </c>
      <c r="G184" s="9">
        <v>770.25</v>
      </c>
      <c r="H184" s="9">
        <v>3355.11</v>
      </c>
      <c r="I184" s="6" t="s">
        <v>161</v>
      </c>
      <c r="J184" s="6" t="s">
        <v>228</v>
      </c>
      <c r="K184" s="6" t="s">
        <v>2093</v>
      </c>
      <c r="L184" s="6">
        <v>9.392369805E10</v>
      </c>
      <c r="M184" s="6" t="s">
        <v>2094</v>
      </c>
      <c r="N184" s="6" t="s">
        <v>427</v>
      </c>
      <c r="O184" s="6" t="s">
        <v>178</v>
      </c>
      <c r="P184" s="10">
        <v>45959.0</v>
      </c>
    </row>
    <row r="185" ht="22.5" customHeight="1">
      <c r="A185" s="6" t="s">
        <v>2096</v>
      </c>
      <c r="B185" s="6" t="s">
        <v>2097</v>
      </c>
      <c r="C185" s="6" t="s">
        <v>2098</v>
      </c>
      <c r="D185" s="6" t="s">
        <v>206</v>
      </c>
      <c r="E185" s="6" t="s">
        <v>147</v>
      </c>
      <c r="F185" s="8">
        <v>15.0</v>
      </c>
      <c r="G185" s="9">
        <v>1432.78</v>
      </c>
      <c r="H185" s="9">
        <v>3281.28</v>
      </c>
      <c r="I185" s="6" t="s">
        <v>161</v>
      </c>
      <c r="J185" s="6" t="s">
        <v>577</v>
      </c>
      <c r="K185" s="6" t="s">
        <v>2099</v>
      </c>
      <c r="L185" s="6">
        <v>3.0341577751E10</v>
      </c>
      <c r="M185" s="6" t="s">
        <v>2100</v>
      </c>
      <c r="N185" s="6" t="s">
        <v>427</v>
      </c>
      <c r="O185" s="6" t="s">
        <v>178</v>
      </c>
      <c r="P185" s="10">
        <v>45989.0</v>
      </c>
    </row>
    <row r="186" ht="22.5" customHeight="1">
      <c r="A186" s="6" t="s">
        <v>2102</v>
      </c>
      <c r="B186" s="6" t="s">
        <v>2103</v>
      </c>
      <c r="C186" s="6" t="s">
        <v>2104</v>
      </c>
      <c r="D186" s="6" t="s">
        <v>206</v>
      </c>
      <c r="E186" s="6" t="s">
        <v>301</v>
      </c>
      <c r="F186" s="8">
        <v>52.0</v>
      </c>
      <c r="G186" s="9">
        <v>1516.37</v>
      </c>
      <c r="H186" s="9">
        <v>10668.5</v>
      </c>
      <c r="I186" s="6" t="s">
        <v>161</v>
      </c>
      <c r="J186" s="6" t="s">
        <v>421</v>
      </c>
      <c r="K186" s="6" t="s">
        <v>2105</v>
      </c>
      <c r="L186" s="6">
        <v>8.2069016446E10</v>
      </c>
      <c r="M186" s="6" t="s">
        <v>2107</v>
      </c>
      <c r="N186" s="6" t="s">
        <v>112</v>
      </c>
      <c r="O186" s="6" t="s">
        <v>178</v>
      </c>
      <c r="P186" s="10">
        <v>46017.0</v>
      </c>
    </row>
    <row r="187" ht="22.5" customHeight="1">
      <c r="A187" s="6" t="s">
        <v>2108</v>
      </c>
      <c r="B187" s="6" t="s">
        <v>2109</v>
      </c>
      <c r="C187" s="6" t="s">
        <v>2110</v>
      </c>
      <c r="D187" s="6" t="s">
        <v>206</v>
      </c>
      <c r="E187" s="6" t="s">
        <v>147</v>
      </c>
      <c r="F187" s="8">
        <v>25.0</v>
      </c>
      <c r="G187" s="9">
        <v>711.85</v>
      </c>
      <c r="H187" s="9">
        <v>2150.82</v>
      </c>
      <c r="I187" s="6" t="s">
        <v>161</v>
      </c>
      <c r="J187" s="6" t="s">
        <v>357</v>
      </c>
      <c r="K187" s="6" t="s">
        <v>259</v>
      </c>
      <c r="L187" s="6">
        <v>9.8417675768E10</v>
      </c>
      <c r="M187" s="6" t="s">
        <v>2112</v>
      </c>
      <c r="N187" s="6" t="s">
        <v>283</v>
      </c>
      <c r="O187" s="6" t="s">
        <v>178</v>
      </c>
      <c r="P187" s="10">
        <v>45980.0</v>
      </c>
    </row>
    <row r="188" ht="22.5" customHeight="1">
      <c r="A188" s="6" t="s">
        <v>2113</v>
      </c>
      <c r="B188" s="6" t="s">
        <v>2114</v>
      </c>
      <c r="C188" s="6" t="s">
        <v>2115</v>
      </c>
      <c r="D188" s="6" t="s">
        <v>383</v>
      </c>
      <c r="E188" s="6" t="s">
        <v>147</v>
      </c>
      <c r="F188" s="8">
        <v>26.0</v>
      </c>
      <c r="G188" s="9">
        <v>601.11</v>
      </c>
      <c r="H188" s="9">
        <v>4967.14</v>
      </c>
      <c r="I188" s="6" t="s">
        <v>161</v>
      </c>
      <c r="J188" s="6" t="s">
        <v>312</v>
      </c>
      <c r="K188" s="6" t="s">
        <v>2117</v>
      </c>
      <c r="L188" s="6">
        <v>3.442329694E9</v>
      </c>
      <c r="M188" s="6" t="s">
        <v>2118</v>
      </c>
      <c r="N188" s="6" t="s">
        <v>259</v>
      </c>
      <c r="O188" s="6" t="s">
        <v>178</v>
      </c>
      <c r="P188" s="10">
        <v>46005.0</v>
      </c>
    </row>
    <row r="189" ht="22.5" customHeight="1">
      <c r="A189" s="6" t="s">
        <v>2120</v>
      </c>
      <c r="B189" s="6" t="s">
        <v>2121</v>
      </c>
      <c r="C189" s="6" t="s">
        <v>2122</v>
      </c>
      <c r="D189" s="6" t="s">
        <v>145</v>
      </c>
      <c r="E189" s="6" t="s">
        <v>147</v>
      </c>
      <c r="F189" s="8">
        <v>19.0</v>
      </c>
      <c r="G189" s="9">
        <v>942.81</v>
      </c>
      <c r="H189" s="9">
        <v>6715.48</v>
      </c>
      <c r="I189" s="6" t="s">
        <v>161</v>
      </c>
      <c r="J189" s="6" t="s">
        <v>442</v>
      </c>
      <c r="K189" s="6" t="s">
        <v>2123</v>
      </c>
      <c r="L189" s="6">
        <v>3.1895349115E10</v>
      </c>
      <c r="M189" s="6" t="s">
        <v>2125</v>
      </c>
      <c r="N189" s="6" t="s">
        <v>112</v>
      </c>
      <c r="O189" s="6" t="s">
        <v>178</v>
      </c>
      <c r="P189" s="10">
        <v>45943.0</v>
      </c>
    </row>
    <row r="190" ht="22.5" customHeight="1">
      <c r="A190" s="6" t="s">
        <v>2126</v>
      </c>
      <c r="B190" s="6" t="s">
        <v>2127</v>
      </c>
      <c r="C190" s="6" t="s">
        <v>2128</v>
      </c>
      <c r="D190" s="6" t="s">
        <v>383</v>
      </c>
      <c r="E190" s="6" t="s">
        <v>210</v>
      </c>
      <c r="F190" s="8">
        <v>76.0</v>
      </c>
      <c r="G190" s="9">
        <v>1417.65</v>
      </c>
      <c r="H190" s="9">
        <v>9557.52</v>
      </c>
      <c r="I190" s="6" t="s">
        <v>178</v>
      </c>
      <c r="J190" s="6" t="s">
        <v>357</v>
      </c>
      <c r="K190" s="6" t="s">
        <v>2130</v>
      </c>
      <c r="L190" s="6">
        <v>3.3759423344E10</v>
      </c>
      <c r="M190" s="6" t="s">
        <v>2131</v>
      </c>
      <c r="N190" s="6" t="s">
        <v>427</v>
      </c>
      <c r="O190" s="6" t="s">
        <v>161</v>
      </c>
      <c r="P190" s="10">
        <v>46035.0</v>
      </c>
    </row>
    <row r="191" ht="22.5" customHeight="1">
      <c r="A191" s="6" t="s">
        <v>2132</v>
      </c>
      <c r="B191" s="6" t="s">
        <v>2133</v>
      </c>
      <c r="C191" s="6" t="s">
        <v>2134</v>
      </c>
      <c r="D191" s="6" t="s">
        <v>206</v>
      </c>
      <c r="E191" s="6" t="s">
        <v>301</v>
      </c>
      <c r="F191" s="8">
        <v>59.0</v>
      </c>
      <c r="G191" s="9">
        <v>936.78</v>
      </c>
      <c r="H191" s="9">
        <v>11871.8</v>
      </c>
      <c r="I191" s="6" t="s">
        <v>161</v>
      </c>
      <c r="J191" s="6" t="s">
        <v>163</v>
      </c>
      <c r="K191" s="6" t="s">
        <v>259</v>
      </c>
      <c r="L191" s="6">
        <v>2.835524914E9</v>
      </c>
      <c r="M191" s="6" t="s">
        <v>2136</v>
      </c>
      <c r="N191" s="6" t="s">
        <v>259</v>
      </c>
      <c r="O191" s="6" t="s">
        <v>178</v>
      </c>
      <c r="P191" s="10">
        <v>46003.0</v>
      </c>
    </row>
    <row r="192" ht="22.5" customHeight="1">
      <c r="A192" s="6" t="s">
        <v>2138</v>
      </c>
      <c r="B192" s="6" t="s">
        <v>2139</v>
      </c>
      <c r="C192" s="6" t="s">
        <v>2140</v>
      </c>
      <c r="D192" s="6" t="s">
        <v>206</v>
      </c>
      <c r="E192" s="6" t="s">
        <v>147</v>
      </c>
      <c r="F192" s="8">
        <v>27.0</v>
      </c>
      <c r="G192" s="9">
        <v>1272.55</v>
      </c>
      <c r="H192" s="9">
        <v>4512.47</v>
      </c>
      <c r="I192" s="6" t="s">
        <v>161</v>
      </c>
      <c r="J192" s="6" t="s">
        <v>421</v>
      </c>
      <c r="K192" s="6" t="s">
        <v>2141</v>
      </c>
      <c r="L192" s="6">
        <v>5.058692606E9</v>
      </c>
      <c r="M192" s="6" t="s">
        <v>2142</v>
      </c>
      <c r="N192" s="6" t="s">
        <v>283</v>
      </c>
      <c r="O192" s="6" t="s">
        <v>178</v>
      </c>
      <c r="P192" s="10">
        <v>46006.0</v>
      </c>
    </row>
    <row r="193" ht="22.5" customHeight="1">
      <c r="A193" s="6" t="s">
        <v>2144</v>
      </c>
      <c r="B193" s="6" t="s">
        <v>2145</v>
      </c>
      <c r="C193" s="6" t="s">
        <v>2146</v>
      </c>
      <c r="D193" s="6" t="s">
        <v>145</v>
      </c>
      <c r="E193" s="6" t="s">
        <v>210</v>
      </c>
      <c r="F193" s="8">
        <v>74.0</v>
      </c>
      <c r="G193" s="9">
        <v>814.44</v>
      </c>
      <c r="H193" s="9">
        <v>11156.52</v>
      </c>
      <c r="I193" s="6" t="s">
        <v>178</v>
      </c>
      <c r="J193" s="6" t="s">
        <v>312</v>
      </c>
      <c r="K193" s="6" t="s">
        <v>2148</v>
      </c>
      <c r="L193" s="6">
        <v>5.3603829542E10</v>
      </c>
      <c r="M193" s="6" t="s">
        <v>2149</v>
      </c>
      <c r="N193" s="6" t="s">
        <v>259</v>
      </c>
      <c r="O193" s="6" t="s">
        <v>161</v>
      </c>
      <c r="P193" s="10">
        <v>45948.0</v>
      </c>
    </row>
    <row r="194" ht="22.5" customHeight="1">
      <c r="A194" s="6" t="s">
        <v>2150</v>
      </c>
      <c r="B194" s="6" t="s">
        <v>2151</v>
      </c>
      <c r="C194" s="6" t="s">
        <v>2152</v>
      </c>
      <c r="D194" s="6" t="s">
        <v>383</v>
      </c>
      <c r="E194" s="6" t="s">
        <v>301</v>
      </c>
      <c r="F194" s="8">
        <v>36.0</v>
      </c>
      <c r="G194" s="9">
        <v>823.52</v>
      </c>
      <c r="H194" s="9">
        <v>11136.81</v>
      </c>
      <c r="I194" s="6" t="s">
        <v>161</v>
      </c>
      <c r="J194" s="6" t="s">
        <v>163</v>
      </c>
      <c r="K194" s="6" t="s">
        <v>2154</v>
      </c>
      <c r="L194" s="6">
        <v>4.7261430402E10</v>
      </c>
      <c r="M194" s="6" t="s">
        <v>2155</v>
      </c>
      <c r="N194" s="6" t="s">
        <v>176</v>
      </c>
      <c r="O194" s="6" t="s">
        <v>178</v>
      </c>
      <c r="P194" s="10">
        <v>46021.0</v>
      </c>
    </row>
    <row r="195" ht="22.5" customHeight="1">
      <c r="A195" s="6" t="s">
        <v>2157</v>
      </c>
      <c r="B195" s="6" t="s">
        <v>2158</v>
      </c>
      <c r="C195" s="6" t="s">
        <v>2159</v>
      </c>
      <c r="D195" s="6" t="s">
        <v>206</v>
      </c>
      <c r="E195" s="6" t="s">
        <v>147</v>
      </c>
      <c r="F195" s="8">
        <v>20.0</v>
      </c>
      <c r="G195" s="9">
        <v>1449.53</v>
      </c>
      <c r="H195" s="9">
        <v>7744.04</v>
      </c>
      <c r="I195" s="6" t="s">
        <v>161</v>
      </c>
      <c r="J195" s="6" t="s">
        <v>479</v>
      </c>
      <c r="K195" s="6" t="s">
        <v>2160</v>
      </c>
      <c r="L195" s="6">
        <v>9.4826366861E10</v>
      </c>
      <c r="M195" s="6" t="s">
        <v>2161</v>
      </c>
      <c r="N195" s="6" t="s">
        <v>259</v>
      </c>
      <c r="O195" s="6" t="s">
        <v>178</v>
      </c>
      <c r="P195" s="10">
        <v>45978.0</v>
      </c>
    </row>
    <row r="196" ht="22.5" customHeight="1">
      <c r="A196" s="6" t="s">
        <v>2163</v>
      </c>
      <c r="B196" s="6" t="s">
        <v>2164</v>
      </c>
      <c r="C196" s="6" t="s">
        <v>2165</v>
      </c>
      <c r="D196" s="6" t="s">
        <v>206</v>
      </c>
      <c r="E196" s="6" t="s">
        <v>301</v>
      </c>
      <c r="F196" s="8">
        <v>59.0</v>
      </c>
      <c r="G196" s="9">
        <v>1320.28</v>
      </c>
      <c r="H196" s="9">
        <v>6744.4</v>
      </c>
      <c r="I196" s="6" t="s">
        <v>161</v>
      </c>
      <c r="J196" s="6" t="s">
        <v>479</v>
      </c>
      <c r="K196" s="6" t="s">
        <v>2167</v>
      </c>
      <c r="L196" s="6">
        <v>6.7464142549E10</v>
      </c>
      <c r="M196" s="6" t="s">
        <v>2168</v>
      </c>
      <c r="N196" s="6" t="s">
        <v>259</v>
      </c>
      <c r="O196" s="6" t="s">
        <v>178</v>
      </c>
      <c r="P196" s="10">
        <v>46003.0</v>
      </c>
    </row>
    <row r="197" ht="22.5" customHeight="1">
      <c r="A197" s="6" t="s">
        <v>2169</v>
      </c>
      <c r="B197" s="6" t="s">
        <v>2170</v>
      </c>
      <c r="C197" s="6" t="s">
        <v>2171</v>
      </c>
      <c r="D197" s="6" t="s">
        <v>206</v>
      </c>
      <c r="E197" s="6" t="s">
        <v>147</v>
      </c>
      <c r="F197" s="8">
        <v>10.0</v>
      </c>
      <c r="G197" s="9">
        <v>800.49</v>
      </c>
      <c r="H197" s="9">
        <v>7187.87</v>
      </c>
      <c r="I197" s="6" t="s">
        <v>161</v>
      </c>
      <c r="J197" s="6" t="s">
        <v>393</v>
      </c>
      <c r="K197" s="6" t="s">
        <v>2173</v>
      </c>
      <c r="L197" s="6">
        <v>8.2012161948E10</v>
      </c>
      <c r="M197" s="6" t="s">
        <v>2174</v>
      </c>
      <c r="N197" s="6" t="s">
        <v>112</v>
      </c>
      <c r="O197" s="6" t="s">
        <v>178</v>
      </c>
      <c r="P197" s="10">
        <v>46051.0</v>
      </c>
    </row>
    <row r="198" ht="22.5" customHeight="1">
      <c r="A198" s="6" t="s">
        <v>2175</v>
      </c>
      <c r="B198" s="6" t="s">
        <v>2177</v>
      </c>
      <c r="C198" s="6" t="s">
        <v>2178</v>
      </c>
      <c r="D198" s="6" t="s">
        <v>145</v>
      </c>
      <c r="E198" s="6" t="s">
        <v>147</v>
      </c>
      <c r="F198" s="8">
        <v>28.0</v>
      </c>
      <c r="G198" s="9">
        <v>1174.04</v>
      </c>
      <c r="H198" s="9">
        <v>12384.68</v>
      </c>
      <c r="I198" s="6" t="s">
        <v>161</v>
      </c>
      <c r="J198" s="6" t="s">
        <v>312</v>
      </c>
      <c r="K198" s="6" t="s">
        <v>2179</v>
      </c>
      <c r="L198" s="6">
        <v>8.3290975643E10</v>
      </c>
      <c r="M198" s="6" t="s">
        <v>2180</v>
      </c>
      <c r="N198" s="6" t="s">
        <v>176</v>
      </c>
      <c r="O198" s="6" t="s">
        <v>178</v>
      </c>
      <c r="P198" s="10">
        <v>45984.0</v>
      </c>
    </row>
    <row r="199" ht="22.5" customHeight="1">
      <c r="A199" s="6" t="s">
        <v>2182</v>
      </c>
      <c r="B199" s="6" t="s">
        <v>2183</v>
      </c>
      <c r="C199" s="6" t="s">
        <v>2184</v>
      </c>
      <c r="D199" s="6" t="s">
        <v>145</v>
      </c>
      <c r="E199" s="6" t="s">
        <v>147</v>
      </c>
      <c r="F199" s="8">
        <v>18.0</v>
      </c>
      <c r="G199" s="9">
        <v>1396.75</v>
      </c>
      <c r="H199" s="9">
        <v>9570.56</v>
      </c>
      <c r="I199" s="6" t="s">
        <v>161</v>
      </c>
      <c r="J199" s="6" t="s">
        <v>1693</v>
      </c>
      <c r="K199" s="6" t="s">
        <v>2185</v>
      </c>
      <c r="L199" s="6">
        <v>6.4179990942E10</v>
      </c>
      <c r="M199" s="6" t="s">
        <v>2187</v>
      </c>
      <c r="N199" s="6" t="s">
        <v>112</v>
      </c>
      <c r="O199" s="6" t="s">
        <v>178</v>
      </c>
      <c r="P199" s="10">
        <v>45994.0</v>
      </c>
    </row>
    <row r="200" ht="22.5" customHeight="1">
      <c r="A200" s="6" t="s">
        <v>2188</v>
      </c>
      <c r="B200" s="6" t="s">
        <v>2189</v>
      </c>
      <c r="C200" s="6" t="s">
        <v>2190</v>
      </c>
      <c r="D200" s="6" t="s">
        <v>206</v>
      </c>
      <c r="E200" s="6" t="s">
        <v>301</v>
      </c>
      <c r="F200" s="8">
        <v>54.0</v>
      </c>
      <c r="G200" s="9">
        <v>938.91</v>
      </c>
      <c r="H200" s="9">
        <v>10993.5</v>
      </c>
      <c r="I200" s="6" t="s">
        <v>161</v>
      </c>
      <c r="J200" s="6" t="s">
        <v>479</v>
      </c>
      <c r="K200" s="6" t="s">
        <v>2192</v>
      </c>
      <c r="L200" s="6">
        <v>5.0943745798E10</v>
      </c>
      <c r="M200" s="6" t="s">
        <v>2193</v>
      </c>
      <c r="N200" s="6" t="s">
        <v>259</v>
      </c>
      <c r="O200" s="6" t="s">
        <v>178</v>
      </c>
      <c r="P200" s="10">
        <v>45969.0</v>
      </c>
    </row>
    <row r="201" ht="22.5" customHeight="1">
      <c r="A201" s="6" t="s">
        <v>2195</v>
      </c>
      <c r="B201" s="6" t="s">
        <v>2196</v>
      </c>
      <c r="C201" s="6" t="s">
        <v>2197</v>
      </c>
      <c r="D201" s="6" t="s">
        <v>206</v>
      </c>
      <c r="E201" s="6" t="s">
        <v>147</v>
      </c>
      <c r="F201" s="8">
        <v>13.0</v>
      </c>
      <c r="G201" s="9">
        <v>223.41</v>
      </c>
      <c r="H201" s="9">
        <v>10790.54</v>
      </c>
      <c r="I201" s="6" t="s">
        <v>161</v>
      </c>
      <c r="J201" s="6" t="s">
        <v>479</v>
      </c>
      <c r="K201" s="6" t="s">
        <v>2199</v>
      </c>
      <c r="L201" s="6">
        <v>7.055884719E9</v>
      </c>
      <c r="M201" s="6" t="s">
        <v>2200</v>
      </c>
      <c r="N201" s="6" t="s">
        <v>259</v>
      </c>
      <c r="O201" s="6" t="s">
        <v>178</v>
      </c>
      <c r="P201" s="10">
        <v>45954.0</v>
      </c>
    </row>
    <row r="202" ht="22.5" customHeight="1">
      <c r="A202" s="6" t="s">
        <v>2201</v>
      </c>
      <c r="B202" s="6" t="s">
        <v>2203</v>
      </c>
      <c r="C202" s="6" t="s">
        <v>2204</v>
      </c>
      <c r="D202" s="6" t="s">
        <v>206</v>
      </c>
      <c r="E202" s="6" t="s">
        <v>301</v>
      </c>
      <c r="F202" s="8">
        <v>38.0</v>
      </c>
      <c r="G202" s="9">
        <v>805.94</v>
      </c>
      <c r="H202" s="9">
        <v>6109.94</v>
      </c>
      <c r="I202" s="6" t="s">
        <v>161</v>
      </c>
      <c r="J202" s="6" t="s">
        <v>228</v>
      </c>
      <c r="K202" s="6" t="s">
        <v>2205</v>
      </c>
      <c r="L202" s="6">
        <v>6.3681189326E10</v>
      </c>
      <c r="M202" s="6" t="s">
        <v>2206</v>
      </c>
      <c r="N202" s="6" t="s">
        <v>283</v>
      </c>
      <c r="O202" s="6" t="s">
        <v>178</v>
      </c>
      <c r="P202" s="10">
        <v>45950.0</v>
      </c>
    </row>
    <row r="203" ht="22.5" customHeight="1">
      <c r="A203" s="6" t="s">
        <v>2208</v>
      </c>
      <c r="B203" s="6" t="s">
        <v>2209</v>
      </c>
      <c r="C203" s="6" t="s">
        <v>2210</v>
      </c>
      <c r="D203" s="6" t="s">
        <v>206</v>
      </c>
      <c r="E203" s="6" t="s">
        <v>147</v>
      </c>
      <c r="F203" s="8">
        <v>18.0</v>
      </c>
      <c r="G203" s="9">
        <v>565.58</v>
      </c>
      <c r="H203" s="9">
        <v>12863.09</v>
      </c>
      <c r="I203" s="6" t="s">
        <v>161</v>
      </c>
      <c r="J203" s="6" t="s">
        <v>228</v>
      </c>
      <c r="K203" s="6" t="s">
        <v>2211</v>
      </c>
      <c r="L203" s="6">
        <v>7.0583273378E10</v>
      </c>
      <c r="M203" s="6" t="s">
        <v>2213</v>
      </c>
      <c r="N203" s="6" t="s">
        <v>427</v>
      </c>
      <c r="O203" s="6" t="s">
        <v>178</v>
      </c>
      <c r="P203" s="10">
        <v>45967.0</v>
      </c>
    </row>
    <row r="204" ht="22.5" customHeight="1">
      <c r="A204" s="6" t="s">
        <v>2214</v>
      </c>
      <c r="B204" s="6" t="s">
        <v>2215</v>
      </c>
      <c r="C204" s="6" t="s">
        <v>2216</v>
      </c>
      <c r="D204" s="6" t="s">
        <v>145</v>
      </c>
      <c r="E204" s="6" t="s">
        <v>147</v>
      </c>
      <c r="F204" s="8">
        <v>24.0</v>
      </c>
      <c r="G204" s="9">
        <v>154.28</v>
      </c>
      <c r="H204" s="9">
        <v>5115.49</v>
      </c>
      <c r="I204" s="6" t="s">
        <v>161</v>
      </c>
      <c r="J204" s="6" t="s">
        <v>312</v>
      </c>
      <c r="K204" s="6" t="s">
        <v>2218</v>
      </c>
      <c r="L204" s="6" t="s">
        <v>259</v>
      </c>
      <c r="M204" s="6" t="s">
        <v>2219</v>
      </c>
      <c r="N204" s="6" t="s">
        <v>427</v>
      </c>
      <c r="O204" s="6" t="s">
        <v>178</v>
      </c>
      <c r="P204" s="10">
        <v>45997.0</v>
      </c>
    </row>
    <row r="205" ht="22.5" customHeight="1">
      <c r="A205" s="6" t="s">
        <v>2220</v>
      </c>
      <c r="B205" s="6" t="s">
        <v>2221</v>
      </c>
      <c r="C205" s="6" t="s">
        <v>2222</v>
      </c>
      <c r="D205" s="6" t="s">
        <v>206</v>
      </c>
      <c r="E205" s="6" t="s">
        <v>147</v>
      </c>
      <c r="F205" s="8">
        <v>14.0</v>
      </c>
      <c r="G205" s="9">
        <v>415.2</v>
      </c>
      <c r="H205" s="9">
        <v>13217.84</v>
      </c>
      <c r="I205" s="6" t="s">
        <v>161</v>
      </c>
      <c r="J205" s="6" t="s">
        <v>312</v>
      </c>
      <c r="K205" s="6" t="s">
        <v>2224</v>
      </c>
      <c r="L205" s="6">
        <v>9.4881287865E10</v>
      </c>
      <c r="M205" s="6" t="s">
        <v>2225</v>
      </c>
      <c r="N205" s="6" t="s">
        <v>427</v>
      </c>
      <c r="O205" s="6" t="s">
        <v>178</v>
      </c>
      <c r="P205" s="10">
        <v>45931.0</v>
      </c>
    </row>
    <row r="206" ht="22.5" customHeight="1">
      <c r="A206" s="6" t="s">
        <v>2226</v>
      </c>
      <c r="B206" s="6" t="s">
        <v>2228</v>
      </c>
      <c r="C206" s="6" t="s">
        <v>2229</v>
      </c>
      <c r="D206" s="6" t="s">
        <v>145</v>
      </c>
      <c r="E206" s="6" t="s">
        <v>147</v>
      </c>
      <c r="F206" s="8">
        <v>16.0</v>
      </c>
      <c r="G206" s="9">
        <v>806.34</v>
      </c>
      <c r="H206" s="9">
        <v>12930.29</v>
      </c>
      <c r="I206" s="6" t="s">
        <v>161</v>
      </c>
      <c r="J206" s="6" t="s">
        <v>479</v>
      </c>
      <c r="K206" s="6" t="s">
        <v>2230</v>
      </c>
      <c r="L206" s="6">
        <v>1.7583391223E10</v>
      </c>
      <c r="M206" s="6" t="s">
        <v>2231</v>
      </c>
      <c r="N206" s="6" t="s">
        <v>259</v>
      </c>
      <c r="O206" s="6" t="s">
        <v>178</v>
      </c>
      <c r="P206" s="10">
        <v>45993.0</v>
      </c>
    </row>
    <row r="207" ht="22.5" customHeight="1">
      <c r="A207" s="6" t="s">
        <v>2233</v>
      </c>
      <c r="B207" s="6" t="s">
        <v>2234</v>
      </c>
      <c r="C207" s="6" t="s">
        <v>2235</v>
      </c>
      <c r="D207" s="6" t="s">
        <v>206</v>
      </c>
      <c r="E207" s="6" t="s">
        <v>301</v>
      </c>
      <c r="F207" s="8">
        <v>39.0</v>
      </c>
      <c r="G207" s="9">
        <v>678.87</v>
      </c>
      <c r="H207" s="9">
        <v>11760.96</v>
      </c>
      <c r="I207" s="6" t="s">
        <v>161</v>
      </c>
      <c r="J207" s="6" t="s">
        <v>421</v>
      </c>
      <c r="K207" s="6" t="s">
        <v>2236</v>
      </c>
      <c r="L207" s="6">
        <v>3.5840090906E10</v>
      </c>
      <c r="M207" s="6" t="s">
        <v>2237</v>
      </c>
      <c r="N207" s="6" t="s">
        <v>176</v>
      </c>
      <c r="O207" s="6" t="s">
        <v>178</v>
      </c>
      <c r="P207" s="10">
        <v>45957.0</v>
      </c>
    </row>
    <row r="208" ht="22.5" customHeight="1">
      <c r="A208" s="6" t="s">
        <v>2239</v>
      </c>
      <c r="B208" s="6" t="s">
        <v>2240</v>
      </c>
      <c r="C208" s="6" t="s">
        <v>2241</v>
      </c>
      <c r="D208" s="6" t="s">
        <v>206</v>
      </c>
      <c r="E208" s="6" t="s">
        <v>301</v>
      </c>
      <c r="F208" s="8">
        <v>45.0</v>
      </c>
      <c r="G208" s="9">
        <v>1466.3</v>
      </c>
      <c r="H208" s="9">
        <v>11917.56</v>
      </c>
      <c r="I208" s="6" t="s">
        <v>161</v>
      </c>
      <c r="J208" s="6" t="s">
        <v>421</v>
      </c>
      <c r="K208" s="6" t="s">
        <v>2242</v>
      </c>
      <c r="L208" s="6" t="s">
        <v>259</v>
      </c>
      <c r="M208" s="6" t="s">
        <v>2244</v>
      </c>
      <c r="N208" s="6" t="s">
        <v>176</v>
      </c>
      <c r="O208" s="6" t="s">
        <v>178</v>
      </c>
      <c r="P208" s="10">
        <v>46049.0</v>
      </c>
    </row>
    <row r="209" ht="22.5" customHeight="1">
      <c r="A209" s="6" t="s">
        <v>2245</v>
      </c>
      <c r="B209" s="6" t="s">
        <v>2246</v>
      </c>
      <c r="C209" s="6" t="s">
        <v>2247</v>
      </c>
      <c r="D209" s="6" t="s">
        <v>145</v>
      </c>
      <c r="E209" s="6" t="s">
        <v>301</v>
      </c>
      <c r="F209" s="8">
        <v>45.0</v>
      </c>
      <c r="G209" s="9">
        <v>444.67</v>
      </c>
      <c r="H209" s="9">
        <v>2556.1</v>
      </c>
      <c r="I209" s="6" t="s">
        <v>178</v>
      </c>
      <c r="J209" s="6" t="s">
        <v>357</v>
      </c>
      <c r="K209" s="6" t="s">
        <v>2249</v>
      </c>
      <c r="L209" s="6">
        <v>6.77259735E10</v>
      </c>
      <c r="M209" s="6" t="s">
        <v>2250</v>
      </c>
      <c r="N209" s="6" t="s">
        <v>259</v>
      </c>
      <c r="O209" s="6" t="s">
        <v>161</v>
      </c>
      <c r="P209" s="10">
        <v>45998.0</v>
      </c>
    </row>
    <row r="210" ht="22.5" customHeight="1">
      <c r="A210" s="6" t="s">
        <v>2252</v>
      </c>
      <c r="B210" s="6" t="s">
        <v>2253</v>
      </c>
      <c r="C210" s="6" t="s">
        <v>2254</v>
      </c>
      <c r="D210" s="6" t="s">
        <v>145</v>
      </c>
      <c r="E210" s="6" t="s">
        <v>147</v>
      </c>
      <c r="F210" s="8">
        <v>21.0</v>
      </c>
      <c r="G210" s="9">
        <v>1110.79</v>
      </c>
      <c r="H210" s="9">
        <v>13726.59</v>
      </c>
      <c r="I210" s="6" t="s">
        <v>161</v>
      </c>
      <c r="J210" s="6" t="s">
        <v>228</v>
      </c>
      <c r="K210" s="6" t="s">
        <v>2256</v>
      </c>
      <c r="L210" s="6">
        <v>6.1776533683E10</v>
      </c>
      <c r="M210" s="6" t="s">
        <v>2257</v>
      </c>
      <c r="N210" s="6" t="s">
        <v>112</v>
      </c>
      <c r="O210" s="6" t="s">
        <v>178</v>
      </c>
      <c r="P210" s="10">
        <v>46007.0</v>
      </c>
    </row>
    <row r="211" ht="22.5" customHeight="1">
      <c r="A211" s="6" t="s">
        <v>2258</v>
      </c>
      <c r="B211" s="6" t="s">
        <v>2259</v>
      </c>
      <c r="C211" s="6" t="s">
        <v>2260</v>
      </c>
      <c r="D211" s="6" t="s">
        <v>383</v>
      </c>
      <c r="E211" s="6" t="s">
        <v>147</v>
      </c>
      <c r="F211" s="8">
        <v>29.0</v>
      </c>
      <c r="G211" s="9">
        <v>1096.43</v>
      </c>
      <c r="H211" s="9">
        <v>3619.88</v>
      </c>
      <c r="I211" s="6" t="s">
        <v>161</v>
      </c>
      <c r="J211" s="6" t="s">
        <v>465</v>
      </c>
      <c r="K211" s="6" t="s">
        <v>2262</v>
      </c>
      <c r="L211" s="6">
        <v>1.2574708482E10</v>
      </c>
      <c r="M211" s="6" t="s">
        <v>2263</v>
      </c>
      <c r="N211" s="6" t="s">
        <v>427</v>
      </c>
      <c r="O211" s="6" t="s">
        <v>178</v>
      </c>
      <c r="P211" s="10">
        <v>45996.0</v>
      </c>
    </row>
    <row r="212" ht="22.5" customHeight="1">
      <c r="A212" s="6" t="s">
        <v>2264</v>
      </c>
      <c r="B212" s="6" t="s">
        <v>2265</v>
      </c>
      <c r="C212" s="6" t="s">
        <v>2267</v>
      </c>
      <c r="D212" s="6" t="s">
        <v>206</v>
      </c>
      <c r="E212" s="6" t="s">
        <v>147</v>
      </c>
      <c r="F212" s="8">
        <v>11.0</v>
      </c>
      <c r="G212" s="9">
        <v>1075.08</v>
      </c>
      <c r="H212" s="9">
        <v>14788.08</v>
      </c>
      <c r="I212" s="6" t="s">
        <v>161</v>
      </c>
      <c r="J212" s="6" t="s">
        <v>442</v>
      </c>
      <c r="K212" s="6" t="s">
        <v>2268</v>
      </c>
      <c r="L212" s="6">
        <v>3.896586021E9</v>
      </c>
      <c r="M212" s="6" t="s">
        <v>2269</v>
      </c>
      <c r="N212" s="6" t="s">
        <v>283</v>
      </c>
      <c r="O212" s="6" t="s">
        <v>178</v>
      </c>
      <c r="P212" s="10">
        <v>45977.0</v>
      </c>
    </row>
    <row r="213" ht="22.5" customHeight="1">
      <c r="A213" s="6" t="s">
        <v>2271</v>
      </c>
      <c r="B213" s="6" t="s">
        <v>2272</v>
      </c>
      <c r="C213" s="6" t="s">
        <v>2273</v>
      </c>
      <c r="D213" s="6" t="s">
        <v>383</v>
      </c>
      <c r="E213" s="6" t="s">
        <v>147</v>
      </c>
      <c r="F213" s="8">
        <v>18.0</v>
      </c>
      <c r="G213" s="9">
        <v>603.51</v>
      </c>
      <c r="H213" s="9">
        <v>9596.16</v>
      </c>
      <c r="I213" s="6" t="s">
        <v>161</v>
      </c>
      <c r="J213" s="6" t="s">
        <v>393</v>
      </c>
      <c r="K213" s="6" t="s">
        <v>2275</v>
      </c>
      <c r="L213" s="6">
        <v>3.2760045859E10</v>
      </c>
      <c r="M213" s="6" t="s">
        <v>2276</v>
      </c>
      <c r="N213" s="6" t="s">
        <v>427</v>
      </c>
      <c r="O213" s="6" t="s">
        <v>178</v>
      </c>
      <c r="P213" s="10">
        <v>45993.0</v>
      </c>
    </row>
    <row r="214" ht="22.5" customHeight="1">
      <c r="A214" s="6" t="s">
        <v>2277</v>
      </c>
      <c r="B214" s="6" t="s">
        <v>2278</v>
      </c>
      <c r="C214" s="6" t="s">
        <v>2279</v>
      </c>
      <c r="D214" s="6" t="s">
        <v>383</v>
      </c>
      <c r="E214" s="6" t="s">
        <v>301</v>
      </c>
      <c r="F214" s="8">
        <v>58.0</v>
      </c>
      <c r="G214" s="9">
        <v>1530.58</v>
      </c>
      <c r="H214" s="9">
        <v>9762.64</v>
      </c>
      <c r="I214" s="6" t="s">
        <v>161</v>
      </c>
      <c r="J214" s="6" t="s">
        <v>421</v>
      </c>
      <c r="K214" s="6" t="s">
        <v>2281</v>
      </c>
      <c r="L214" s="6">
        <v>7.9375982241E10</v>
      </c>
      <c r="M214" s="6" t="s">
        <v>2282</v>
      </c>
      <c r="N214" s="6" t="s">
        <v>176</v>
      </c>
      <c r="O214" s="6" t="s">
        <v>178</v>
      </c>
      <c r="P214" s="10">
        <v>46001.0</v>
      </c>
    </row>
    <row r="215" ht="22.5" customHeight="1">
      <c r="A215" s="6" t="s">
        <v>2283</v>
      </c>
      <c r="B215" s="6" t="s">
        <v>2284</v>
      </c>
      <c r="C215" s="6" t="s">
        <v>2285</v>
      </c>
      <c r="D215" s="6" t="s">
        <v>206</v>
      </c>
      <c r="E215" s="6" t="s">
        <v>147</v>
      </c>
      <c r="F215" s="8">
        <v>9.0</v>
      </c>
      <c r="G215" s="9">
        <v>1709.06</v>
      </c>
      <c r="H215" s="9">
        <v>7913.24</v>
      </c>
      <c r="I215" s="6" t="s">
        <v>161</v>
      </c>
      <c r="J215" s="6" t="s">
        <v>479</v>
      </c>
      <c r="K215" s="6" t="s">
        <v>2287</v>
      </c>
      <c r="L215" s="6">
        <v>3.5031368249E10</v>
      </c>
      <c r="M215" s="6" t="s">
        <v>2288</v>
      </c>
      <c r="N215" s="6" t="s">
        <v>283</v>
      </c>
      <c r="O215" s="6" t="s">
        <v>178</v>
      </c>
      <c r="P215" s="10">
        <v>45972.0</v>
      </c>
    </row>
    <row r="216" ht="22.5" customHeight="1">
      <c r="A216" s="6" t="s">
        <v>2290</v>
      </c>
      <c r="B216" s="6" t="s">
        <v>2291</v>
      </c>
      <c r="C216" s="6" t="s">
        <v>2292</v>
      </c>
      <c r="D216" s="6" t="s">
        <v>206</v>
      </c>
      <c r="E216" s="6" t="s">
        <v>147</v>
      </c>
      <c r="F216" s="8">
        <v>29.0</v>
      </c>
      <c r="G216" s="9">
        <v>1190.9</v>
      </c>
      <c r="H216" s="9">
        <v>7182.23</v>
      </c>
      <c r="I216" s="6" t="s">
        <v>161</v>
      </c>
      <c r="J216" s="6" t="s">
        <v>228</v>
      </c>
      <c r="K216" s="6" t="s">
        <v>2294</v>
      </c>
      <c r="L216" s="6">
        <v>4.2937452468E10</v>
      </c>
      <c r="M216" s="6" t="s">
        <v>2295</v>
      </c>
      <c r="N216" s="6" t="s">
        <v>427</v>
      </c>
      <c r="O216" s="6" t="s">
        <v>178</v>
      </c>
      <c r="P216" s="10">
        <v>46044.0</v>
      </c>
    </row>
    <row r="217" ht="22.5" customHeight="1">
      <c r="A217" s="6" t="s">
        <v>2296</v>
      </c>
      <c r="B217" s="6" t="s">
        <v>2297</v>
      </c>
      <c r="C217" s="6" t="s">
        <v>2298</v>
      </c>
      <c r="D217" s="6" t="s">
        <v>145</v>
      </c>
      <c r="E217" s="6" t="s">
        <v>301</v>
      </c>
      <c r="F217" s="8">
        <v>34.0</v>
      </c>
      <c r="G217" s="9">
        <v>1075.85</v>
      </c>
      <c r="H217" s="9">
        <v>3323.19</v>
      </c>
      <c r="I217" s="6" t="s">
        <v>161</v>
      </c>
      <c r="J217" s="6" t="s">
        <v>228</v>
      </c>
      <c r="K217" s="6" t="s">
        <v>2300</v>
      </c>
      <c r="L217" s="6">
        <v>6.8128155879E10</v>
      </c>
      <c r="M217" s="6" t="s">
        <v>2301</v>
      </c>
      <c r="N217" s="6" t="s">
        <v>283</v>
      </c>
      <c r="O217" s="6" t="s">
        <v>178</v>
      </c>
      <c r="P217" s="10">
        <v>46040.0</v>
      </c>
    </row>
    <row r="218" ht="22.5" customHeight="1">
      <c r="A218" s="6" t="s">
        <v>2303</v>
      </c>
      <c r="B218" s="6" t="s">
        <v>2304</v>
      </c>
      <c r="C218" s="6" t="s">
        <v>2305</v>
      </c>
      <c r="D218" s="6" t="s">
        <v>206</v>
      </c>
      <c r="E218" s="6" t="s">
        <v>147</v>
      </c>
      <c r="F218" s="8">
        <v>13.0</v>
      </c>
      <c r="G218" s="9">
        <v>1291.55</v>
      </c>
      <c r="H218" s="9">
        <v>4106.58</v>
      </c>
      <c r="I218" s="6" t="s">
        <v>161</v>
      </c>
      <c r="J218" s="6" t="s">
        <v>479</v>
      </c>
      <c r="K218" s="6" t="s">
        <v>2306</v>
      </c>
      <c r="L218" s="6">
        <v>4.6853685657E10</v>
      </c>
      <c r="M218" s="6" t="s">
        <v>2308</v>
      </c>
      <c r="N218" s="6" t="s">
        <v>176</v>
      </c>
      <c r="O218" s="6" t="s">
        <v>178</v>
      </c>
      <c r="P218" s="10">
        <v>45971.0</v>
      </c>
    </row>
    <row r="219" ht="22.5" customHeight="1">
      <c r="A219" s="6" t="s">
        <v>2309</v>
      </c>
      <c r="B219" s="6" t="s">
        <v>2310</v>
      </c>
      <c r="C219" s="6" t="s">
        <v>2311</v>
      </c>
      <c r="D219" s="6" t="s">
        <v>145</v>
      </c>
      <c r="E219" s="6" t="s">
        <v>147</v>
      </c>
      <c r="F219" s="8">
        <v>27.0</v>
      </c>
      <c r="G219" s="9">
        <v>328.3</v>
      </c>
      <c r="H219" s="9">
        <v>13899.39</v>
      </c>
      <c r="I219" s="6" t="s">
        <v>161</v>
      </c>
      <c r="J219" s="6" t="s">
        <v>421</v>
      </c>
      <c r="K219" s="6" t="s">
        <v>2313</v>
      </c>
      <c r="L219" s="6">
        <v>3.36099345E8</v>
      </c>
      <c r="M219" s="6" t="s">
        <v>2314</v>
      </c>
      <c r="N219" s="6" t="s">
        <v>427</v>
      </c>
      <c r="O219" s="6" t="s">
        <v>178</v>
      </c>
      <c r="P219" s="10">
        <v>45957.0</v>
      </c>
    </row>
    <row r="220" ht="22.5" customHeight="1">
      <c r="A220" s="6" t="s">
        <v>2316</v>
      </c>
      <c r="B220" s="6" t="s">
        <v>2317</v>
      </c>
      <c r="C220" s="6" t="s">
        <v>2318</v>
      </c>
      <c r="D220" s="6" t="s">
        <v>383</v>
      </c>
      <c r="E220" s="6" t="s">
        <v>147</v>
      </c>
      <c r="F220" s="8">
        <v>10.0</v>
      </c>
      <c r="G220" s="9">
        <v>1296.53</v>
      </c>
      <c r="H220" s="9">
        <v>11853.56</v>
      </c>
      <c r="I220" s="6" t="s">
        <v>161</v>
      </c>
      <c r="J220" s="6" t="s">
        <v>163</v>
      </c>
      <c r="K220" s="6" t="s">
        <v>2319</v>
      </c>
      <c r="L220" s="6">
        <v>9.6759286089E10</v>
      </c>
      <c r="M220" s="6" t="s">
        <v>2321</v>
      </c>
      <c r="N220" s="6" t="s">
        <v>259</v>
      </c>
      <c r="O220" s="6" t="s">
        <v>178</v>
      </c>
      <c r="P220" s="10">
        <v>45959.0</v>
      </c>
    </row>
    <row r="221" ht="22.5" customHeight="1">
      <c r="A221" s="6" t="s">
        <v>2322</v>
      </c>
      <c r="B221" s="6" t="s">
        <v>2323</v>
      </c>
      <c r="C221" s="6" t="s">
        <v>2324</v>
      </c>
      <c r="D221" s="6" t="s">
        <v>145</v>
      </c>
      <c r="E221" s="6" t="s">
        <v>147</v>
      </c>
      <c r="F221" s="8">
        <v>15.0</v>
      </c>
      <c r="G221" s="9">
        <v>555.58</v>
      </c>
      <c r="H221" s="9">
        <v>3919.97</v>
      </c>
      <c r="I221" s="6" t="s">
        <v>161</v>
      </c>
      <c r="J221" s="6" t="s">
        <v>357</v>
      </c>
      <c r="K221" s="6" t="s">
        <v>259</v>
      </c>
      <c r="L221" s="6">
        <v>4.752856509E9</v>
      </c>
      <c r="M221" s="6" t="s">
        <v>2326</v>
      </c>
      <c r="N221" s="6" t="s">
        <v>427</v>
      </c>
      <c r="O221" s="6" t="s">
        <v>178</v>
      </c>
      <c r="P221" s="10">
        <v>46011.0</v>
      </c>
    </row>
    <row r="222" ht="22.5" customHeight="1">
      <c r="A222" s="6" t="s">
        <v>2327</v>
      </c>
      <c r="B222" s="6" t="s">
        <v>2328</v>
      </c>
      <c r="C222" s="6" t="s">
        <v>2329</v>
      </c>
      <c r="D222" s="6" t="s">
        <v>206</v>
      </c>
      <c r="E222" s="6" t="s">
        <v>147</v>
      </c>
      <c r="F222" s="8">
        <v>6.0</v>
      </c>
      <c r="G222" s="9">
        <v>1001.58</v>
      </c>
      <c r="H222" s="9">
        <v>2060.34</v>
      </c>
      <c r="I222" s="6" t="s">
        <v>161</v>
      </c>
      <c r="J222" s="6" t="s">
        <v>393</v>
      </c>
      <c r="K222" s="6" t="s">
        <v>2331</v>
      </c>
      <c r="L222" s="6">
        <v>4.2655315399E10</v>
      </c>
      <c r="M222" s="6" t="s">
        <v>2332</v>
      </c>
      <c r="N222" s="6" t="s">
        <v>427</v>
      </c>
      <c r="O222" s="6" t="s">
        <v>178</v>
      </c>
      <c r="P222" s="10">
        <v>46046.0</v>
      </c>
    </row>
    <row r="223" ht="22.5" customHeight="1">
      <c r="A223" s="6" t="s">
        <v>2334</v>
      </c>
      <c r="B223" s="6" t="s">
        <v>2335</v>
      </c>
      <c r="C223" s="6" t="s">
        <v>2336</v>
      </c>
      <c r="D223" s="6" t="s">
        <v>206</v>
      </c>
      <c r="E223" s="6" t="s">
        <v>301</v>
      </c>
      <c r="F223" s="8">
        <v>52.0</v>
      </c>
      <c r="G223" s="9">
        <v>237.41</v>
      </c>
      <c r="H223" s="9">
        <v>5330.66</v>
      </c>
      <c r="I223" s="6" t="s">
        <v>161</v>
      </c>
      <c r="J223" s="6" t="s">
        <v>312</v>
      </c>
      <c r="K223" s="6" t="s">
        <v>2337</v>
      </c>
      <c r="L223" s="6">
        <v>6.2423002E7</v>
      </c>
      <c r="M223" s="6" t="s">
        <v>2339</v>
      </c>
      <c r="N223" s="6" t="s">
        <v>112</v>
      </c>
      <c r="O223" s="6" t="s">
        <v>178</v>
      </c>
      <c r="P223" s="10">
        <v>45946.0</v>
      </c>
    </row>
    <row r="224" ht="22.5" customHeight="1">
      <c r="A224" s="6" t="s">
        <v>2340</v>
      </c>
      <c r="B224" s="6" t="s">
        <v>2341</v>
      </c>
      <c r="C224" s="6" t="s">
        <v>2342</v>
      </c>
      <c r="D224" s="6" t="s">
        <v>206</v>
      </c>
      <c r="E224" s="6" t="s">
        <v>147</v>
      </c>
      <c r="F224" s="8">
        <v>7.0</v>
      </c>
      <c r="G224" s="9">
        <v>1665.14</v>
      </c>
      <c r="H224" s="9">
        <v>6922.08</v>
      </c>
      <c r="I224" s="6" t="s">
        <v>161</v>
      </c>
      <c r="J224" s="6" t="s">
        <v>312</v>
      </c>
      <c r="K224" s="6" t="s">
        <v>2344</v>
      </c>
      <c r="L224" s="6">
        <v>8.2971307715E10</v>
      </c>
      <c r="M224" s="6" t="s">
        <v>2345</v>
      </c>
      <c r="N224" s="6" t="s">
        <v>427</v>
      </c>
      <c r="O224" s="6" t="s">
        <v>178</v>
      </c>
      <c r="P224" s="10">
        <v>46022.0</v>
      </c>
    </row>
    <row r="225" ht="22.5" customHeight="1">
      <c r="A225" s="6" t="s">
        <v>2346</v>
      </c>
      <c r="B225" s="6" t="s">
        <v>2347</v>
      </c>
      <c r="C225" s="6" t="s">
        <v>2348</v>
      </c>
      <c r="D225" s="6" t="s">
        <v>206</v>
      </c>
      <c r="E225" s="6" t="s">
        <v>301</v>
      </c>
      <c r="F225" s="8">
        <v>52.0</v>
      </c>
      <c r="G225" s="9">
        <v>1021.81</v>
      </c>
      <c r="H225" s="9">
        <v>1505.05</v>
      </c>
      <c r="I225" s="6" t="s">
        <v>161</v>
      </c>
      <c r="J225" s="6" t="s">
        <v>163</v>
      </c>
      <c r="K225" s="6" t="s">
        <v>2350</v>
      </c>
      <c r="L225" s="6" t="s">
        <v>259</v>
      </c>
      <c r="M225" s="6" t="s">
        <v>2351</v>
      </c>
      <c r="N225" s="6" t="s">
        <v>427</v>
      </c>
      <c r="O225" s="6" t="s">
        <v>178</v>
      </c>
      <c r="P225" s="10">
        <v>45985.0</v>
      </c>
    </row>
    <row r="226" ht="22.5" customHeight="1">
      <c r="A226" s="6" t="s">
        <v>2353</v>
      </c>
      <c r="B226" s="6" t="s">
        <v>2354</v>
      </c>
      <c r="C226" s="6" t="s">
        <v>2355</v>
      </c>
      <c r="D226" s="6" t="s">
        <v>145</v>
      </c>
      <c r="E226" s="6" t="s">
        <v>147</v>
      </c>
      <c r="F226" s="8">
        <v>14.0</v>
      </c>
      <c r="G226" s="9">
        <v>695.61</v>
      </c>
      <c r="H226" s="9">
        <v>11728.54</v>
      </c>
      <c r="I226" s="6" t="s">
        <v>161</v>
      </c>
      <c r="J226" s="6" t="s">
        <v>163</v>
      </c>
      <c r="K226" s="6" t="s">
        <v>2356</v>
      </c>
      <c r="L226" s="6">
        <v>4.0151346195E10</v>
      </c>
      <c r="M226" s="6" t="s">
        <v>2358</v>
      </c>
      <c r="N226" s="6" t="s">
        <v>283</v>
      </c>
      <c r="O226" s="6" t="s">
        <v>178</v>
      </c>
      <c r="P226" s="10">
        <v>46011.0</v>
      </c>
    </row>
    <row r="227" ht="22.5" customHeight="1">
      <c r="A227" s="6" t="s">
        <v>2359</v>
      </c>
      <c r="B227" s="6" t="s">
        <v>2360</v>
      </c>
      <c r="C227" s="6" t="s">
        <v>2361</v>
      </c>
      <c r="D227" s="6" t="s">
        <v>145</v>
      </c>
      <c r="E227" s="6" t="s">
        <v>147</v>
      </c>
      <c r="F227" s="8">
        <v>15.0</v>
      </c>
      <c r="G227" s="9">
        <v>1340.02</v>
      </c>
      <c r="H227" s="9">
        <v>7327.12</v>
      </c>
      <c r="I227" s="6" t="s">
        <v>161</v>
      </c>
      <c r="J227" s="6" t="s">
        <v>228</v>
      </c>
      <c r="K227" s="6" t="s">
        <v>2363</v>
      </c>
      <c r="L227" s="6">
        <v>8.3188180221E10</v>
      </c>
      <c r="M227" s="6" t="s">
        <v>2364</v>
      </c>
      <c r="N227" s="6" t="s">
        <v>283</v>
      </c>
      <c r="O227" s="6" t="s">
        <v>178</v>
      </c>
      <c r="P227" s="10">
        <v>45934.0</v>
      </c>
    </row>
    <row r="228" ht="22.5" customHeight="1">
      <c r="A228" s="6" t="s">
        <v>2366</v>
      </c>
      <c r="B228" s="6" t="s">
        <v>2367</v>
      </c>
      <c r="C228" s="6" t="s">
        <v>2368</v>
      </c>
      <c r="D228" s="6" t="s">
        <v>145</v>
      </c>
      <c r="E228" s="6" t="s">
        <v>301</v>
      </c>
      <c r="F228" s="8">
        <v>57.0</v>
      </c>
      <c r="G228" s="9">
        <v>1504.07</v>
      </c>
      <c r="H228" s="9">
        <v>5045.7</v>
      </c>
      <c r="I228" s="6" t="s">
        <v>161</v>
      </c>
      <c r="J228" s="6" t="s">
        <v>357</v>
      </c>
      <c r="K228" s="6" t="s">
        <v>2370</v>
      </c>
      <c r="L228" s="6">
        <v>1.4150529774E10</v>
      </c>
      <c r="M228" s="6" t="s">
        <v>2371</v>
      </c>
      <c r="N228" s="6" t="s">
        <v>176</v>
      </c>
      <c r="O228" s="6" t="s">
        <v>178</v>
      </c>
      <c r="P228" s="10">
        <v>45985.0</v>
      </c>
    </row>
    <row r="229" ht="22.5" customHeight="1">
      <c r="A229" s="6" t="s">
        <v>2373</v>
      </c>
      <c r="B229" s="6" t="s">
        <v>2374</v>
      </c>
      <c r="C229" s="6" t="s">
        <v>2375</v>
      </c>
      <c r="D229" s="6" t="s">
        <v>145</v>
      </c>
      <c r="E229" s="6" t="s">
        <v>147</v>
      </c>
      <c r="F229" s="8">
        <v>9.0</v>
      </c>
      <c r="G229" s="9">
        <v>1709.18</v>
      </c>
      <c r="H229" s="9">
        <v>4387.13</v>
      </c>
      <c r="I229" s="6" t="s">
        <v>161</v>
      </c>
      <c r="J229" s="6" t="s">
        <v>465</v>
      </c>
      <c r="K229" s="6" t="s">
        <v>2377</v>
      </c>
      <c r="L229" s="6">
        <v>3.9613831007E10</v>
      </c>
      <c r="M229" s="6" t="s">
        <v>2378</v>
      </c>
      <c r="N229" s="6" t="s">
        <v>259</v>
      </c>
      <c r="O229" s="6" t="s">
        <v>178</v>
      </c>
      <c r="P229" s="10">
        <v>45944.0</v>
      </c>
    </row>
    <row r="230" ht="22.5" customHeight="1">
      <c r="A230" s="6" t="s">
        <v>2379</v>
      </c>
      <c r="B230" s="6" t="s">
        <v>2380</v>
      </c>
      <c r="C230" s="6" t="s">
        <v>2382</v>
      </c>
      <c r="D230" s="6" t="s">
        <v>206</v>
      </c>
      <c r="E230" s="6" t="s">
        <v>147</v>
      </c>
      <c r="F230" s="8">
        <v>8.0</v>
      </c>
      <c r="G230" s="9">
        <v>175.92</v>
      </c>
      <c r="H230" s="9">
        <v>9169.64</v>
      </c>
      <c r="I230" s="6" t="s">
        <v>161</v>
      </c>
      <c r="J230" s="6" t="s">
        <v>442</v>
      </c>
      <c r="K230" s="6" t="s">
        <v>2383</v>
      </c>
      <c r="L230" s="6">
        <v>5.5821086395E10</v>
      </c>
      <c r="M230" s="6" t="s">
        <v>2385</v>
      </c>
      <c r="N230" s="6" t="s">
        <v>283</v>
      </c>
      <c r="O230" s="6" t="s">
        <v>178</v>
      </c>
      <c r="P230" s="10">
        <v>46045.0</v>
      </c>
    </row>
    <row r="231" ht="22.5" customHeight="1">
      <c r="A231" s="6" t="s">
        <v>2386</v>
      </c>
      <c r="B231" s="6" t="s">
        <v>2387</v>
      </c>
      <c r="C231" s="6" t="s">
        <v>2388</v>
      </c>
      <c r="D231" s="6" t="s">
        <v>383</v>
      </c>
      <c r="E231" s="6" t="s">
        <v>147</v>
      </c>
      <c r="F231" s="8">
        <v>29.0</v>
      </c>
      <c r="G231" s="9">
        <v>716.95</v>
      </c>
      <c r="H231" s="9">
        <v>9716.06</v>
      </c>
      <c r="I231" s="6" t="s">
        <v>161</v>
      </c>
      <c r="J231" s="6" t="s">
        <v>163</v>
      </c>
      <c r="K231" s="6" t="s">
        <v>2390</v>
      </c>
      <c r="L231" s="6">
        <v>8.6318550747E10</v>
      </c>
      <c r="M231" s="6" t="s">
        <v>2391</v>
      </c>
      <c r="N231" s="6" t="s">
        <v>283</v>
      </c>
      <c r="O231" s="6" t="s">
        <v>178</v>
      </c>
      <c r="P231" s="10">
        <v>45979.0</v>
      </c>
    </row>
    <row r="232" ht="22.5" customHeight="1">
      <c r="A232" s="6" t="s">
        <v>2392</v>
      </c>
      <c r="B232" s="6" t="s">
        <v>2393</v>
      </c>
      <c r="C232" s="6" t="s">
        <v>2395</v>
      </c>
      <c r="D232" s="6" t="s">
        <v>145</v>
      </c>
      <c r="E232" s="6" t="s">
        <v>147</v>
      </c>
      <c r="F232" s="8">
        <v>29.0</v>
      </c>
      <c r="G232" s="9">
        <v>369.08</v>
      </c>
      <c r="H232" s="9">
        <v>7614.7</v>
      </c>
      <c r="I232" s="6" t="s">
        <v>161</v>
      </c>
      <c r="J232" s="6" t="s">
        <v>479</v>
      </c>
      <c r="K232" s="6" t="s">
        <v>2396</v>
      </c>
      <c r="L232" s="6">
        <v>8.0873902265E10</v>
      </c>
      <c r="M232" s="6" t="s">
        <v>2397</v>
      </c>
      <c r="N232" s="6" t="s">
        <v>176</v>
      </c>
      <c r="O232" s="6" t="s">
        <v>178</v>
      </c>
      <c r="P232" s="10">
        <v>45982.0</v>
      </c>
    </row>
    <row r="233" ht="22.5" customHeight="1">
      <c r="A233" s="6" t="s">
        <v>2399</v>
      </c>
      <c r="B233" s="6" t="s">
        <v>2400</v>
      </c>
      <c r="C233" s="6" t="s">
        <v>2401</v>
      </c>
      <c r="D233" s="6" t="s">
        <v>206</v>
      </c>
      <c r="E233" s="6" t="s">
        <v>301</v>
      </c>
      <c r="F233" s="8">
        <v>44.0</v>
      </c>
      <c r="G233" s="9">
        <v>1042.29</v>
      </c>
      <c r="H233" s="9">
        <v>8559.74</v>
      </c>
      <c r="I233" s="6" t="s">
        <v>161</v>
      </c>
      <c r="J233" s="6" t="s">
        <v>442</v>
      </c>
      <c r="K233" s="6" t="s">
        <v>2403</v>
      </c>
      <c r="L233" s="6">
        <v>5.1980472748E10</v>
      </c>
      <c r="M233" s="6" t="s">
        <v>2404</v>
      </c>
      <c r="N233" s="6" t="s">
        <v>112</v>
      </c>
      <c r="O233" s="6" t="s">
        <v>178</v>
      </c>
      <c r="P233" s="10">
        <v>46024.0</v>
      </c>
    </row>
    <row r="234" ht="22.5" customHeight="1">
      <c r="A234" s="6" t="s">
        <v>2405</v>
      </c>
      <c r="B234" s="6" t="s">
        <v>2406</v>
      </c>
      <c r="C234" s="6" t="s">
        <v>2407</v>
      </c>
      <c r="D234" s="6" t="s">
        <v>383</v>
      </c>
      <c r="E234" s="6" t="s">
        <v>147</v>
      </c>
      <c r="F234" s="8">
        <v>5.0</v>
      </c>
      <c r="G234" s="9">
        <v>483.51</v>
      </c>
      <c r="H234" s="9">
        <v>11849.0</v>
      </c>
      <c r="I234" s="6" t="s">
        <v>178</v>
      </c>
      <c r="J234" s="6" t="s">
        <v>163</v>
      </c>
      <c r="K234" s="6" t="s">
        <v>2409</v>
      </c>
      <c r="L234" s="6">
        <v>1.1765315778E10</v>
      </c>
      <c r="M234" s="6" t="s">
        <v>2410</v>
      </c>
      <c r="N234" s="6" t="s">
        <v>427</v>
      </c>
      <c r="O234" s="6" t="s">
        <v>161</v>
      </c>
      <c r="P234" s="10">
        <v>45995.0</v>
      </c>
    </row>
    <row r="235" ht="22.5" customHeight="1">
      <c r="A235" s="6" t="s">
        <v>2411</v>
      </c>
      <c r="B235" s="6" t="s">
        <v>2412</v>
      </c>
      <c r="C235" s="6" t="s">
        <v>2414</v>
      </c>
      <c r="D235" s="6" t="s">
        <v>206</v>
      </c>
      <c r="E235" s="6" t="s">
        <v>210</v>
      </c>
      <c r="F235" s="8">
        <v>96.0</v>
      </c>
      <c r="G235" s="9">
        <v>630.9</v>
      </c>
      <c r="H235" s="9">
        <v>13976.44</v>
      </c>
      <c r="I235" s="6" t="s">
        <v>178</v>
      </c>
      <c r="J235" s="6" t="s">
        <v>465</v>
      </c>
      <c r="K235" s="6" t="s">
        <v>2415</v>
      </c>
      <c r="L235" s="6">
        <v>4.668119393E10</v>
      </c>
      <c r="M235" s="6" t="s">
        <v>2416</v>
      </c>
      <c r="N235" s="6" t="s">
        <v>283</v>
      </c>
      <c r="O235" s="6" t="s">
        <v>161</v>
      </c>
      <c r="P235" s="10">
        <v>45982.0</v>
      </c>
    </row>
    <row r="236" ht="22.5" customHeight="1">
      <c r="A236" s="6" t="s">
        <v>2418</v>
      </c>
      <c r="B236" s="6" t="s">
        <v>2419</v>
      </c>
      <c r="C236" s="6" t="s">
        <v>2420</v>
      </c>
      <c r="D236" s="6" t="s">
        <v>145</v>
      </c>
      <c r="E236" s="6" t="s">
        <v>147</v>
      </c>
      <c r="F236" s="8">
        <v>15.0</v>
      </c>
      <c r="G236" s="9">
        <v>1009.54</v>
      </c>
      <c r="H236" s="9">
        <v>14791.63</v>
      </c>
      <c r="I236" s="6" t="s">
        <v>161</v>
      </c>
      <c r="J236" s="6" t="s">
        <v>228</v>
      </c>
      <c r="K236" s="6" t="s">
        <v>2422</v>
      </c>
      <c r="L236" s="6">
        <v>2.107307786E9</v>
      </c>
      <c r="M236" s="6" t="s">
        <v>2423</v>
      </c>
      <c r="N236" s="6" t="s">
        <v>283</v>
      </c>
      <c r="O236" s="6" t="s">
        <v>178</v>
      </c>
      <c r="P236" s="10">
        <v>46004.0</v>
      </c>
    </row>
    <row r="237" ht="22.5" customHeight="1">
      <c r="A237" s="6" t="s">
        <v>2424</v>
      </c>
      <c r="B237" s="6" t="s">
        <v>2425</v>
      </c>
      <c r="C237" s="6" t="s">
        <v>2426</v>
      </c>
      <c r="D237" s="6" t="s">
        <v>145</v>
      </c>
      <c r="E237" s="6" t="s">
        <v>147</v>
      </c>
      <c r="F237" s="8">
        <v>13.0</v>
      </c>
      <c r="G237" s="9">
        <v>1662.25</v>
      </c>
      <c r="H237" s="9">
        <v>5486.78</v>
      </c>
      <c r="I237" s="6" t="s">
        <v>161</v>
      </c>
      <c r="J237" s="6" t="s">
        <v>465</v>
      </c>
      <c r="K237" s="6" t="s">
        <v>2428</v>
      </c>
      <c r="L237" s="6">
        <v>4.3641063048E10</v>
      </c>
      <c r="M237" s="6" t="s">
        <v>2429</v>
      </c>
      <c r="N237" s="6" t="s">
        <v>176</v>
      </c>
      <c r="O237" s="6" t="s">
        <v>178</v>
      </c>
      <c r="P237" s="10">
        <v>45990.0</v>
      </c>
    </row>
    <row r="238" ht="22.5" customHeight="1">
      <c r="A238" s="6" t="s">
        <v>2431</v>
      </c>
      <c r="B238" s="6" t="s">
        <v>2432</v>
      </c>
      <c r="C238" s="6" t="s">
        <v>2433</v>
      </c>
      <c r="D238" s="6" t="s">
        <v>145</v>
      </c>
      <c r="E238" s="6" t="s">
        <v>301</v>
      </c>
      <c r="F238" s="8">
        <v>48.0</v>
      </c>
      <c r="G238" s="9">
        <v>593.34</v>
      </c>
      <c r="H238" s="9">
        <v>11370.72</v>
      </c>
      <c r="I238" s="6" t="s">
        <v>178</v>
      </c>
      <c r="J238" s="6" t="s">
        <v>228</v>
      </c>
      <c r="K238" s="6" t="s">
        <v>2435</v>
      </c>
      <c r="L238" s="6">
        <v>4.9496847297E10</v>
      </c>
      <c r="M238" s="6" t="s">
        <v>2436</v>
      </c>
      <c r="N238" s="6" t="s">
        <v>112</v>
      </c>
      <c r="O238" s="6" t="s">
        <v>161</v>
      </c>
      <c r="P238" s="10">
        <v>45953.0</v>
      </c>
    </row>
    <row r="239" ht="22.5" customHeight="1">
      <c r="A239" s="6" t="s">
        <v>2437</v>
      </c>
      <c r="B239" s="6" t="s">
        <v>2438</v>
      </c>
      <c r="C239" s="6" t="s">
        <v>2439</v>
      </c>
      <c r="D239" s="6" t="s">
        <v>145</v>
      </c>
      <c r="E239" s="6" t="s">
        <v>147</v>
      </c>
      <c r="F239" s="8">
        <v>14.0</v>
      </c>
      <c r="G239" s="9">
        <v>1061.12</v>
      </c>
      <c r="H239" s="9">
        <v>7811.49</v>
      </c>
      <c r="I239" s="6" t="s">
        <v>161</v>
      </c>
      <c r="J239" s="6" t="s">
        <v>393</v>
      </c>
      <c r="K239" s="6" t="s">
        <v>2441</v>
      </c>
      <c r="L239" s="6" t="s">
        <v>259</v>
      </c>
      <c r="M239" s="6" t="s">
        <v>2442</v>
      </c>
      <c r="N239" s="6" t="s">
        <v>112</v>
      </c>
      <c r="O239" s="6" t="s">
        <v>178</v>
      </c>
      <c r="P239" s="10">
        <v>46009.0</v>
      </c>
    </row>
    <row r="240" ht="22.5" customHeight="1">
      <c r="A240" s="6" t="s">
        <v>2443</v>
      </c>
      <c r="B240" s="6" t="s">
        <v>2444</v>
      </c>
      <c r="C240" s="6" t="s">
        <v>2445</v>
      </c>
      <c r="D240" s="6" t="s">
        <v>206</v>
      </c>
      <c r="E240" s="6" t="s">
        <v>301</v>
      </c>
      <c r="F240" s="8">
        <v>37.0</v>
      </c>
      <c r="G240" s="9">
        <v>654.78</v>
      </c>
      <c r="H240" s="9">
        <v>13122.15</v>
      </c>
      <c r="I240" s="6" t="s">
        <v>161</v>
      </c>
      <c r="J240" s="6" t="s">
        <v>442</v>
      </c>
      <c r="K240" s="6" t="s">
        <v>2447</v>
      </c>
      <c r="L240" s="6">
        <v>7.9948856761E10</v>
      </c>
      <c r="M240" s="6" t="s">
        <v>2448</v>
      </c>
      <c r="N240" s="6" t="s">
        <v>176</v>
      </c>
      <c r="O240" s="6" t="s">
        <v>178</v>
      </c>
      <c r="P240" s="10">
        <v>46022.0</v>
      </c>
    </row>
    <row r="241" ht="22.5" customHeight="1">
      <c r="A241" s="6" t="s">
        <v>2449</v>
      </c>
      <c r="B241" s="6" t="s">
        <v>2451</v>
      </c>
      <c r="C241" s="6" t="s">
        <v>2452</v>
      </c>
      <c r="D241" s="6" t="s">
        <v>206</v>
      </c>
      <c r="E241" s="6" t="s">
        <v>147</v>
      </c>
      <c r="F241" s="8">
        <v>5.0</v>
      </c>
      <c r="G241" s="9">
        <v>534.92</v>
      </c>
      <c r="H241" s="9">
        <v>9657.44</v>
      </c>
      <c r="I241" s="6" t="s">
        <v>161</v>
      </c>
      <c r="J241" s="6" t="s">
        <v>312</v>
      </c>
      <c r="K241" s="6" t="s">
        <v>2453</v>
      </c>
      <c r="L241" s="6">
        <v>1.7330665098E10</v>
      </c>
      <c r="M241" s="6" t="s">
        <v>2454</v>
      </c>
      <c r="N241" s="6" t="s">
        <v>176</v>
      </c>
      <c r="O241" s="6" t="s">
        <v>178</v>
      </c>
      <c r="P241" s="10">
        <v>45957.0</v>
      </c>
    </row>
    <row r="242" ht="22.5" customHeight="1">
      <c r="A242" s="6" t="s">
        <v>2456</v>
      </c>
      <c r="B242" s="6" t="s">
        <v>2457</v>
      </c>
      <c r="C242" s="6" t="s">
        <v>2458</v>
      </c>
      <c r="D242" s="6" t="s">
        <v>206</v>
      </c>
      <c r="E242" s="6" t="s">
        <v>147</v>
      </c>
      <c r="F242" s="8">
        <v>26.0</v>
      </c>
      <c r="G242" s="9">
        <v>466.93</v>
      </c>
      <c r="H242" s="9">
        <v>9884.69</v>
      </c>
      <c r="I242" s="6" t="s">
        <v>161</v>
      </c>
      <c r="J242" s="6" t="s">
        <v>465</v>
      </c>
      <c r="K242" s="6" t="s">
        <v>2460</v>
      </c>
      <c r="L242" s="6">
        <v>2.8515368905E10</v>
      </c>
      <c r="M242" s="6" t="s">
        <v>2461</v>
      </c>
      <c r="N242" s="6" t="s">
        <v>176</v>
      </c>
      <c r="O242" s="6" t="s">
        <v>178</v>
      </c>
      <c r="P242" s="10">
        <v>45951.0</v>
      </c>
    </row>
    <row r="243" ht="22.5" customHeight="1">
      <c r="A243" s="6" t="s">
        <v>2462</v>
      </c>
      <c r="B243" s="6" t="s">
        <v>2463</v>
      </c>
      <c r="C243" s="6" t="s">
        <v>2464</v>
      </c>
      <c r="D243" s="6" t="s">
        <v>206</v>
      </c>
      <c r="E243" s="6" t="s">
        <v>301</v>
      </c>
      <c r="F243" s="8">
        <v>56.0</v>
      </c>
      <c r="G243" s="9">
        <v>98.94</v>
      </c>
      <c r="H243" s="9">
        <v>1393.64</v>
      </c>
      <c r="I243" s="6" t="s">
        <v>161</v>
      </c>
      <c r="J243" s="6" t="s">
        <v>465</v>
      </c>
      <c r="K243" s="6" t="s">
        <v>2466</v>
      </c>
      <c r="L243" s="6">
        <v>5.931547838E10</v>
      </c>
      <c r="M243" s="6" t="s">
        <v>2467</v>
      </c>
      <c r="N243" s="6" t="s">
        <v>112</v>
      </c>
      <c r="O243" s="6" t="s">
        <v>178</v>
      </c>
      <c r="P243" s="10">
        <v>46045.0</v>
      </c>
    </row>
    <row r="244" ht="22.5" customHeight="1">
      <c r="A244" s="6" t="s">
        <v>2468</v>
      </c>
      <c r="B244" s="6" t="s">
        <v>2469</v>
      </c>
      <c r="C244" s="6" t="s">
        <v>2471</v>
      </c>
      <c r="D244" s="6" t="s">
        <v>145</v>
      </c>
      <c r="E244" s="6" t="s">
        <v>147</v>
      </c>
      <c r="F244" s="8">
        <v>22.0</v>
      </c>
      <c r="G244" s="9">
        <v>1168.74</v>
      </c>
      <c r="H244" s="9">
        <v>15139.65</v>
      </c>
      <c r="I244" s="6" t="s">
        <v>161</v>
      </c>
      <c r="J244" s="6" t="s">
        <v>421</v>
      </c>
      <c r="K244" s="6" t="s">
        <v>2472</v>
      </c>
      <c r="L244" s="6">
        <v>9.8876783087E10</v>
      </c>
      <c r="M244" s="6" t="s">
        <v>2473</v>
      </c>
      <c r="N244" s="6" t="s">
        <v>283</v>
      </c>
      <c r="O244" s="6" t="s">
        <v>178</v>
      </c>
      <c r="P244" s="10">
        <v>46019.0</v>
      </c>
    </row>
    <row r="245" ht="22.5" customHeight="1">
      <c r="A245" s="6" t="s">
        <v>2475</v>
      </c>
      <c r="B245" s="6" t="s">
        <v>2476</v>
      </c>
      <c r="C245" s="6" t="s">
        <v>2477</v>
      </c>
      <c r="D245" s="6" t="s">
        <v>206</v>
      </c>
      <c r="E245" s="6" t="s">
        <v>147</v>
      </c>
      <c r="F245" s="8">
        <v>9.0</v>
      </c>
      <c r="G245" s="9">
        <v>1389.53</v>
      </c>
      <c r="H245" s="9">
        <v>10132.14</v>
      </c>
      <c r="I245" s="6" t="s">
        <v>161</v>
      </c>
      <c r="J245" s="6" t="s">
        <v>421</v>
      </c>
      <c r="K245" s="6" t="s">
        <v>259</v>
      </c>
      <c r="L245" s="6">
        <v>7.3505273723E10</v>
      </c>
      <c r="M245" s="6" t="s">
        <v>2478</v>
      </c>
      <c r="N245" s="6" t="s">
        <v>427</v>
      </c>
      <c r="O245" s="6" t="s">
        <v>178</v>
      </c>
      <c r="P245" s="10">
        <v>46008.0</v>
      </c>
    </row>
    <row r="246" ht="22.5" customHeight="1">
      <c r="A246" s="6" t="s">
        <v>2480</v>
      </c>
      <c r="B246" s="6" t="s">
        <v>2481</v>
      </c>
      <c r="C246" s="6" t="s">
        <v>2482</v>
      </c>
      <c r="D246" s="6" t="s">
        <v>145</v>
      </c>
      <c r="E246" s="6" t="s">
        <v>147</v>
      </c>
      <c r="F246" s="8">
        <v>24.0</v>
      </c>
      <c r="G246" s="9">
        <v>518.9</v>
      </c>
      <c r="H246" s="9">
        <v>11087.24</v>
      </c>
      <c r="I246" s="6" t="s">
        <v>161</v>
      </c>
      <c r="J246" s="6" t="s">
        <v>421</v>
      </c>
      <c r="K246" s="6" t="s">
        <v>2484</v>
      </c>
      <c r="L246" s="6">
        <v>2.5828364915E10</v>
      </c>
      <c r="M246" s="6" t="s">
        <v>2485</v>
      </c>
      <c r="N246" s="6" t="s">
        <v>176</v>
      </c>
      <c r="O246" s="6" t="s">
        <v>178</v>
      </c>
      <c r="P246" s="10">
        <v>45965.0</v>
      </c>
    </row>
    <row r="247" ht="22.5" customHeight="1">
      <c r="A247" s="6" t="s">
        <v>2486</v>
      </c>
      <c r="B247" s="6" t="s">
        <v>2487</v>
      </c>
      <c r="C247" s="6" t="s">
        <v>1338</v>
      </c>
      <c r="D247" s="6" t="s">
        <v>145</v>
      </c>
      <c r="E247" s="6" t="s">
        <v>301</v>
      </c>
      <c r="F247" s="8">
        <v>33.0</v>
      </c>
      <c r="G247" s="9">
        <v>1038.71</v>
      </c>
      <c r="H247" s="9">
        <v>12502.1</v>
      </c>
      <c r="I247" s="6" t="s">
        <v>161</v>
      </c>
      <c r="J247" s="6" t="s">
        <v>393</v>
      </c>
      <c r="K247" s="6" t="s">
        <v>2489</v>
      </c>
      <c r="L247" s="6">
        <v>8.1958023885E10</v>
      </c>
      <c r="M247" s="6" t="s">
        <v>2491</v>
      </c>
      <c r="N247" s="6" t="s">
        <v>259</v>
      </c>
      <c r="O247" s="6" t="s">
        <v>178</v>
      </c>
      <c r="P247" s="10">
        <v>46034.0</v>
      </c>
    </row>
    <row r="248" ht="22.5" customHeight="1">
      <c r="A248" s="6" t="s">
        <v>2492</v>
      </c>
      <c r="B248" s="6" t="s">
        <v>2493</v>
      </c>
      <c r="C248" s="6" t="s">
        <v>2494</v>
      </c>
      <c r="D248" s="6" t="s">
        <v>145</v>
      </c>
      <c r="E248" s="6" t="s">
        <v>301</v>
      </c>
      <c r="F248" s="8">
        <v>41.0</v>
      </c>
      <c r="G248" s="9">
        <v>1558.72</v>
      </c>
      <c r="H248" s="9">
        <v>8320.57</v>
      </c>
      <c r="I248" s="6" t="s">
        <v>161</v>
      </c>
      <c r="J248" s="6" t="s">
        <v>442</v>
      </c>
      <c r="K248" s="6" t="s">
        <v>2496</v>
      </c>
      <c r="L248" s="6">
        <v>5.9234853738E10</v>
      </c>
      <c r="M248" s="6" t="s">
        <v>2497</v>
      </c>
      <c r="N248" s="6" t="s">
        <v>283</v>
      </c>
      <c r="O248" s="6" t="s">
        <v>178</v>
      </c>
      <c r="P248" s="10">
        <v>46027.0</v>
      </c>
    </row>
    <row r="249" ht="22.5" customHeight="1">
      <c r="A249" s="6" t="s">
        <v>2499</v>
      </c>
      <c r="B249" s="6" t="s">
        <v>2500</v>
      </c>
      <c r="C249" s="6" t="s">
        <v>2501</v>
      </c>
      <c r="D249" s="6" t="s">
        <v>206</v>
      </c>
      <c r="E249" s="6" t="s">
        <v>210</v>
      </c>
      <c r="F249" s="8">
        <v>61.0</v>
      </c>
      <c r="G249" s="9">
        <v>868.48</v>
      </c>
      <c r="H249" s="9">
        <v>11325.05</v>
      </c>
      <c r="I249" s="6" t="s">
        <v>161</v>
      </c>
      <c r="J249" s="6" t="s">
        <v>2502</v>
      </c>
      <c r="K249" s="6" t="s">
        <v>2503</v>
      </c>
      <c r="L249" s="6">
        <v>4.5829043325E10</v>
      </c>
      <c r="M249" s="6" t="s">
        <v>2505</v>
      </c>
      <c r="N249" s="6" t="s">
        <v>112</v>
      </c>
      <c r="O249" s="6" t="s">
        <v>161</v>
      </c>
      <c r="P249" s="10">
        <v>46028.0</v>
      </c>
    </row>
    <row r="250" ht="22.5" customHeight="1">
      <c r="A250" s="6" t="s">
        <v>2506</v>
      </c>
      <c r="B250" s="6" t="s">
        <v>2507</v>
      </c>
      <c r="C250" s="6" t="s">
        <v>2508</v>
      </c>
      <c r="D250" s="6" t="s">
        <v>206</v>
      </c>
      <c r="E250" s="6" t="s">
        <v>147</v>
      </c>
      <c r="F250" s="8">
        <v>9.0</v>
      </c>
      <c r="G250" s="9">
        <v>125.75</v>
      </c>
      <c r="H250" s="9">
        <v>13366.66</v>
      </c>
      <c r="I250" s="6" t="s">
        <v>161</v>
      </c>
      <c r="J250" s="6" t="s">
        <v>228</v>
      </c>
      <c r="K250" s="6" t="s">
        <v>2510</v>
      </c>
      <c r="L250" s="6">
        <v>4.2213504924E10</v>
      </c>
      <c r="M250" s="6" t="s">
        <v>2511</v>
      </c>
      <c r="N250" s="6" t="s">
        <v>259</v>
      </c>
      <c r="O250" s="6" t="s">
        <v>178</v>
      </c>
      <c r="P250" s="10">
        <v>45938.0</v>
      </c>
    </row>
    <row r="251" ht="22.5" customHeight="1">
      <c r="A251" s="6" t="s">
        <v>2512</v>
      </c>
      <c r="B251" s="6" t="s">
        <v>2513</v>
      </c>
      <c r="C251" s="6" t="s">
        <v>2515</v>
      </c>
      <c r="D251" s="6" t="s">
        <v>383</v>
      </c>
      <c r="E251" s="6" t="s">
        <v>210</v>
      </c>
      <c r="F251" s="8">
        <v>61.0</v>
      </c>
      <c r="G251" s="9">
        <v>686.52</v>
      </c>
      <c r="H251" s="9">
        <v>10597.55</v>
      </c>
      <c r="I251" s="6" t="s">
        <v>178</v>
      </c>
      <c r="J251" s="6" t="s">
        <v>442</v>
      </c>
      <c r="K251" s="6" t="s">
        <v>2516</v>
      </c>
      <c r="L251" s="6">
        <v>6.8446876084E10</v>
      </c>
      <c r="M251" s="6" t="s">
        <v>2517</v>
      </c>
      <c r="N251" s="6" t="s">
        <v>427</v>
      </c>
      <c r="O251" s="6" t="s">
        <v>161</v>
      </c>
      <c r="P251" s="10">
        <v>45946.0</v>
      </c>
    </row>
    <row r="252" ht="22.5" customHeight="1">
      <c r="A252" s="6" t="s">
        <v>2519</v>
      </c>
      <c r="B252" s="6" t="s">
        <v>2520</v>
      </c>
      <c r="C252" s="6" t="s">
        <v>2521</v>
      </c>
      <c r="D252" s="6" t="s">
        <v>206</v>
      </c>
      <c r="E252" s="6" t="s">
        <v>210</v>
      </c>
      <c r="F252" s="8">
        <v>73.0</v>
      </c>
      <c r="G252" s="9">
        <v>507.9</v>
      </c>
      <c r="H252" s="9">
        <v>13908.62</v>
      </c>
      <c r="I252" s="6" t="s">
        <v>161</v>
      </c>
      <c r="J252" s="6" t="s">
        <v>163</v>
      </c>
      <c r="K252" s="6" t="s">
        <v>2523</v>
      </c>
      <c r="L252" s="6">
        <v>7.4954648494E10</v>
      </c>
      <c r="M252" s="6" t="s">
        <v>2524</v>
      </c>
      <c r="N252" s="6" t="s">
        <v>259</v>
      </c>
      <c r="O252" s="6" t="s">
        <v>161</v>
      </c>
      <c r="P252" s="10">
        <v>46037.0</v>
      </c>
    </row>
    <row r="253" ht="22.5" customHeight="1">
      <c r="A253" s="6" t="s">
        <v>2525</v>
      </c>
      <c r="B253" s="6" t="s">
        <v>2526</v>
      </c>
      <c r="C253" s="6" t="s">
        <v>2527</v>
      </c>
      <c r="D253" s="6" t="s">
        <v>206</v>
      </c>
      <c r="E253" s="6" t="s">
        <v>147</v>
      </c>
      <c r="F253" s="8">
        <v>29.0</v>
      </c>
      <c r="G253" s="9">
        <v>214.71</v>
      </c>
      <c r="H253" s="9">
        <v>8218.69</v>
      </c>
      <c r="I253" s="6" t="s">
        <v>161</v>
      </c>
      <c r="J253" s="6" t="s">
        <v>577</v>
      </c>
      <c r="K253" s="6" t="s">
        <v>2529</v>
      </c>
      <c r="L253" s="6">
        <v>1.134184592E9</v>
      </c>
      <c r="M253" s="6" t="s">
        <v>2530</v>
      </c>
      <c r="N253" s="6" t="s">
        <v>283</v>
      </c>
      <c r="O253" s="6" t="s">
        <v>178</v>
      </c>
      <c r="P253" s="10">
        <v>46037.0</v>
      </c>
    </row>
    <row r="254" ht="22.5" customHeight="1">
      <c r="A254" s="6" t="s">
        <v>2531</v>
      </c>
      <c r="B254" s="6" t="s">
        <v>2532</v>
      </c>
      <c r="C254" s="6" t="s">
        <v>2533</v>
      </c>
      <c r="D254" s="6" t="s">
        <v>206</v>
      </c>
      <c r="E254" s="6" t="s">
        <v>301</v>
      </c>
      <c r="F254" s="8">
        <v>53.0</v>
      </c>
      <c r="G254" s="9">
        <v>1540.83</v>
      </c>
      <c r="H254" s="9">
        <v>4510.78</v>
      </c>
      <c r="I254" s="6" t="s">
        <v>161</v>
      </c>
      <c r="J254" s="6" t="s">
        <v>577</v>
      </c>
      <c r="K254" s="6" t="s">
        <v>2535</v>
      </c>
      <c r="L254" s="6">
        <v>1.026444633E9</v>
      </c>
      <c r="M254" s="6" t="s">
        <v>2537</v>
      </c>
      <c r="N254" s="6" t="s">
        <v>427</v>
      </c>
      <c r="O254" s="6" t="s">
        <v>178</v>
      </c>
      <c r="P254" s="10">
        <v>45939.0</v>
      </c>
    </row>
    <row r="255" ht="22.5" customHeight="1">
      <c r="A255" s="6" t="s">
        <v>2538</v>
      </c>
      <c r="B255" s="6" t="s">
        <v>2539</v>
      </c>
      <c r="C255" s="6" t="s">
        <v>2540</v>
      </c>
      <c r="D255" s="6" t="s">
        <v>145</v>
      </c>
      <c r="E255" s="6" t="s">
        <v>147</v>
      </c>
      <c r="F255" s="8">
        <v>20.0</v>
      </c>
      <c r="G255" s="9">
        <v>1425.06</v>
      </c>
      <c r="H255" s="9">
        <v>5473.27</v>
      </c>
      <c r="I255" s="6" t="s">
        <v>161</v>
      </c>
      <c r="J255" s="6" t="s">
        <v>312</v>
      </c>
      <c r="K255" s="6" t="s">
        <v>2542</v>
      </c>
      <c r="L255" s="6">
        <v>7.4331839998E10</v>
      </c>
      <c r="M255" s="6" t="s">
        <v>2543</v>
      </c>
      <c r="N255" s="6" t="s">
        <v>176</v>
      </c>
      <c r="O255" s="6" t="s">
        <v>178</v>
      </c>
      <c r="P255" s="10">
        <v>45991.0</v>
      </c>
    </row>
    <row r="256" ht="22.5" customHeight="1">
      <c r="A256" s="6" t="s">
        <v>2544</v>
      </c>
      <c r="B256" s="6" t="s">
        <v>2545</v>
      </c>
      <c r="C256" s="6" t="s">
        <v>2547</v>
      </c>
      <c r="D256" s="6" t="s">
        <v>383</v>
      </c>
      <c r="E256" s="6" t="s">
        <v>147</v>
      </c>
      <c r="F256" s="8">
        <v>19.0</v>
      </c>
      <c r="G256" s="9">
        <v>1370.37</v>
      </c>
      <c r="H256" s="9">
        <v>2706.94</v>
      </c>
      <c r="I256" s="6" t="s">
        <v>161</v>
      </c>
      <c r="J256" s="6" t="s">
        <v>312</v>
      </c>
      <c r="K256" s="6" t="s">
        <v>2548</v>
      </c>
      <c r="L256" s="6">
        <v>4.6702423849E10</v>
      </c>
      <c r="M256" s="6" t="s">
        <v>2549</v>
      </c>
      <c r="N256" s="6" t="s">
        <v>283</v>
      </c>
      <c r="O256" s="6" t="s">
        <v>178</v>
      </c>
      <c r="P256" s="10">
        <v>46003.0</v>
      </c>
    </row>
    <row r="257" ht="22.5" customHeight="1">
      <c r="A257" s="6" t="s">
        <v>2551</v>
      </c>
      <c r="B257" s="6" t="s">
        <v>2552</v>
      </c>
      <c r="C257" s="6" t="s">
        <v>2553</v>
      </c>
      <c r="D257" s="6" t="s">
        <v>145</v>
      </c>
      <c r="E257" s="6" t="s">
        <v>147</v>
      </c>
      <c r="F257" s="8">
        <v>6.0</v>
      </c>
      <c r="G257" s="9">
        <v>1440.69</v>
      </c>
      <c r="H257" s="9">
        <v>2968.41</v>
      </c>
      <c r="I257" s="6" t="s">
        <v>161</v>
      </c>
      <c r="J257" s="6" t="s">
        <v>228</v>
      </c>
      <c r="K257" s="6" t="s">
        <v>2554</v>
      </c>
      <c r="L257" s="6">
        <v>6.221664694E9</v>
      </c>
      <c r="M257" s="6" t="s">
        <v>2556</v>
      </c>
      <c r="N257" s="6" t="s">
        <v>176</v>
      </c>
      <c r="O257" s="6" t="s">
        <v>178</v>
      </c>
      <c r="P257" s="10">
        <v>46022.0</v>
      </c>
    </row>
    <row r="258" ht="22.5" customHeight="1">
      <c r="A258" s="6" t="s">
        <v>2557</v>
      </c>
      <c r="B258" s="6" t="s">
        <v>2558</v>
      </c>
      <c r="C258" s="6" t="s">
        <v>2559</v>
      </c>
      <c r="D258" s="6" t="s">
        <v>145</v>
      </c>
      <c r="E258" s="6" t="s">
        <v>210</v>
      </c>
      <c r="F258" s="8">
        <v>101.0</v>
      </c>
      <c r="G258" s="9">
        <v>779.67</v>
      </c>
      <c r="H258" s="9">
        <v>12389.52</v>
      </c>
      <c r="I258" s="6" t="s">
        <v>178</v>
      </c>
      <c r="J258" s="6" t="s">
        <v>479</v>
      </c>
      <c r="K258" s="6" t="s">
        <v>2561</v>
      </c>
      <c r="L258" s="6">
        <v>8.024189624E10</v>
      </c>
      <c r="M258" s="6" t="s">
        <v>2562</v>
      </c>
      <c r="N258" s="6" t="s">
        <v>259</v>
      </c>
      <c r="O258" s="6" t="s">
        <v>161</v>
      </c>
      <c r="P258" s="10">
        <v>46003.0</v>
      </c>
    </row>
    <row r="259" ht="22.5" customHeight="1">
      <c r="A259" s="6" t="s">
        <v>2563</v>
      </c>
      <c r="B259" s="6" t="s">
        <v>2564</v>
      </c>
      <c r="C259" s="6" t="s">
        <v>2565</v>
      </c>
      <c r="D259" s="6" t="s">
        <v>145</v>
      </c>
      <c r="E259" s="6" t="s">
        <v>147</v>
      </c>
      <c r="F259" s="8">
        <v>13.0</v>
      </c>
      <c r="G259" s="9">
        <v>1369.77</v>
      </c>
      <c r="H259" s="9">
        <v>2468.38</v>
      </c>
      <c r="I259" s="6" t="s">
        <v>161</v>
      </c>
      <c r="J259" s="6" t="s">
        <v>577</v>
      </c>
      <c r="K259" s="6" t="s">
        <v>2567</v>
      </c>
      <c r="L259" s="6">
        <v>6.5441293913E10</v>
      </c>
      <c r="M259" s="6" t="s">
        <v>2568</v>
      </c>
      <c r="N259" s="6" t="s">
        <v>283</v>
      </c>
      <c r="O259" s="6" t="s">
        <v>178</v>
      </c>
      <c r="P259" s="10">
        <v>45938.0</v>
      </c>
    </row>
    <row r="260" ht="22.5" customHeight="1">
      <c r="A260" s="6" t="s">
        <v>2570</v>
      </c>
      <c r="B260" s="6" t="s">
        <v>2571</v>
      </c>
      <c r="C260" s="6" t="s">
        <v>2572</v>
      </c>
      <c r="D260" s="6" t="s">
        <v>145</v>
      </c>
      <c r="E260" s="6" t="s">
        <v>301</v>
      </c>
      <c r="F260" s="8">
        <v>42.0</v>
      </c>
      <c r="G260" s="9">
        <v>1646.5</v>
      </c>
      <c r="H260" s="9">
        <v>4096.9</v>
      </c>
      <c r="I260" s="6" t="s">
        <v>161</v>
      </c>
      <c r="J260" s="6" t="s">
        <v>442</v>
      </c>
      <c r="K260" s="6" t="s">
        <v>2573</v>
      </c>
      <c r="L260" s="6">
        <v>4.1080926614E10</v>
      </c>
      <c r="M260" s="6" t="s">
        <v>2574</v>
      </c>
      <c r="N260" s="6" t="s">
        <v>176</v>
      </c>
      <c r="O260" s="6" t="s">
        <v>178</v>
      </c>
      <c r="P260" s="10">
        <v>46001.0</v>
      </c>
    </row>
    <row r="261" ht="22.5" customHeight="1">
      <c r="A261" s="6" t="s">
        <v>2576</v>
      </c>
      <c r="B261" s="6" t="s">
        <v>2577</v>
      </c>
      <c r="C261" s="6" t="s">
        <v>2578</v>
      </c>
      <c r="D261" s="6" t="s">
        <v>145</v>
      </c>
      <c r="E261" s="6" t="s">
        <v>301</v>
      </c>
      <c r="F261" s="8">
        <v>57.0</v>
      </c>
      <c r="G261" s="9">
        <v>674.8</v>
      </c>
      <c r="H261" s="9">
        <v>8607.72</v>
      </c>
      <c r="I261" s="6" t="s">
        <v>161</v>
      </c>
      <c r="J261" s="6" t="s">
        <v>479</v>
      </c>
      <c r="K261" s="6" t="s">
        <v>259</v>
      </c>
      <c r="L261" s="6">
        <v>4.073332942E9</v>
      </c>
      <c r="M261" s="6" t="s">
        <v>2580</v>
      </c>
      <c r="N261" s="6" t="s">
        <v>283</v>
      </c>
      <c r="O261" s="6" t="s">
        <v>178</v>
      </c>
      <c r="P261" s="10">
        <v>45981.0</v>
      </c>
    </row>
    <row r="262" ht="22.5" customHeight="1">
      <c r="A262" s="6" t="s">
        <v>2582</v>
      </c>
      <c r="B262" s="6" t="s">
        <v>2583</v>
      </c>
      <c r="C262" s="6" t="s">
        <v>2584</v>
      </c>
      <c r="D262" s="6" t="s">
        <v>206</v>
      </c>
      <c r="E262" s="6" t="s">
        <v>147</v>
      </c>
      <c r="F262" s="8">
        <v>18.0</v>
      </c>
      <c r="G262" s="9">
        <v>704.0</v>
      </c>
      <c r="H262" s="9">
        <v>10519.75</v>
      </c>
      <c r="I262" s="6" t="s">
        <v>161</v>
      </c>
      <c r="J262" s="6" t="s">
        <v>393</v>
      </c>
      <c r="K262" s="6" t="s">
        <v>2586</v>
      </c>
      <c r="L262" s="6">
        <v>7.9086449993E10</v>
      </c>
      <c r="M262" s="6" t="s">
        <v>2587</v>
      </c>
      <c r="N262" s="6" t="s">
        <v>259</v>
      </c>
      <c r="O262" s="6" t="s">
        <v>178</v>
      </c>
      <c r="P262" s="10">
        <v>45939.0</v>
      </c>
    </row>
    <row r="263" ht="22.5" customHeight="1">
      <c r="A263" s="6" t="s">
        <v>2588</v>
      </c>
      <c r="B263" s="6" t="s">
        <v>2589</v>
      </c>
      <c r="C263" s="6" t="s">
        <v>2590</v>
      </c>
      <c r="D263" s="6" t="s">
        <v>383</v>
      </c>
      <c r="E263" s="6" t="s">
        <v>301</v>
      </c>
      <c r="F263" s="8">
        <v>42.0</v>
      </c>
      <c r="G263" s="9">
        <v>1515.97</v>
      </c>
      <c r="H263" s="9">
        <v>14138.37</v>
      </c>
      <c r="I263" s="6" t="s">
        <v>161</v>
      </c>
      <c r="J263" s="6" t="s">
        <v>312</v>
      </c>
      <c r="K263" s="6" t="s">
        <v>2592</v>
      </c>
      <c r="L263" s="6">
        <v>2.5229495765E10</v>
      </c>
      <c r="M263" s="6" t="s">
        <v>2593</v>
      </c>
      <c r="N263" s="6" t="s">
        <v>112</v>
      </c>
      <c r="O263" s="6" t="s">
        <v>178</v>
      </c>
      <c r="P263" s="10">
        <v>46009.0</v>
      </c>
    </row>
    <row r="264" ht="22.5" customHeight="1">
      <c r="A264" s="6" t="s">
        <v>2594</v>
      </c>
      <c r="B264" s="6" t="s">
        <v>2595</v>
      </c>
      <c r="C264" s="6" t="s">
        <v>2596</v>
      </c>
      <c r="D264" s="6" t="s">
        <v>383</v>
      </c>
      <c r="E264" s="6" t="s">
        <v>301</v>
      </c>
      <c r="F264" s="8">
        <v>56.0</v>
      </c>
      <c r="G264" s="9">
        <v>1772.84</v>
      </c>
      <c r="H264" s="9">
        <v>10653.04</v>
      </c>
      <c r="I264" s="6" t="s">
        <v>161</v>
      </c>
      <c r="J264" s="6" t="s">
        <v>465</v>
      </c>
      <c r="K264" s="6" t="s">
        <v>2598</v>
      </c>
      <c r="L264" s="6">
        <v>7.323891428E9</v>
      </c>
      <c r="M264" s="6" t="s">
        <v>2599</v>
      </c>
      <c r="N264" s="6" t="s">
        <v>259</v>
      </c>
      <c r="O264" s="6" t="s">
        <v>178</v>
      </c>
      <c r="P264" s="10">
        <v>45978.0</v>
      </c>
    </row>
    <row r="265" ht="22.5" customHeight="1">
      <c r="A265" s="6" t="s">
        <v>2600</v>
      </c>
      <c r="B265" s="6" t="s">
        <v>2601</v>
      </c>
      <c r="C265" s="6" t="s">
        <v>2602</v>
      </c>
      <c r="D265" s="6" t="s">
        <v>206</v>
      </c>
      <c r="E265" s="6" t="s">
        <v>147</v>
      </c>
      <c r="F265" s="8">
        <v>23.0</v>
      </c>
      <c r="G265" s="9">
        <v>1614.88</v>
      </c>
      <c r="H265" s="9">
        <v>12691.06</v>
      </c>
      <c r="I265" s="6" t="s">
        <v>161</v>
      </c>
      <c r="J265" s="6" t="s">
        <v>357</v>
      </c>
      <c r="K265" s="6" t="s">
        <v>2604</v>
      </c>
      <c r="L265" s="6">
        <v>2.4268653684E10</v>
      </c>
      <c r="M265" s="6" t="s">
        <v>2605</v>
      </c>
      <c r="N265" s="6" t="s">
        <v>259</v>
      </c>
      <c r="O265" s="6" t="s">
        <v>178</v>
      </c>
      <c r="P265" s="10">
        <v>45997.0</v>
      </c>
    </row>
    <row r="266" ht="22.5" customHeight="1">
      <c r="A266" s="6" t="s">
        <v>2606</v>
      </c>
      <c r="B266" s="6" t="s">
        <v>2608</v>
      </c>
      <c r="C266" s="6" t="s">
        <v>2609</v>
      </c>
      <c r="D266" s="6" t="s">
        <v>206</v>
      </c>
      <c r="E266" s="6" t="s">
        <v>210</v>
      </c>
      <c r="F266" s="8">
        <v>60.0</v>
      </c>
      <c r="G266" s="9">
        <v>132.67</v>
      </c>
      <c r="H266" s="9">
        <v>10246.53</v>
      </c>
      <c r="I266" s="6" t="s">
        <v>178</v>
      </c>
      <c r="J266" s="6" t="s">
        <v>465</v>
      </c>
      <c r="K266" s="6" t="s">
        <v>259</v>
      </c>
      <c r="L266" s="6">
        <v>4.8403585167E10</v>
      </c>
      <c r="M266" s="6" t="s">
        <v>2610</v>
      </c>
      <c r="N266" s="6" t="s">
        <v>259</v>
      </c>
      <c r="O266" s="6" t="s">
        <v>161</v>
      </c>
      <c r="P266" s="10">
        <v>45939.0</v>
      </c>
    </row>
    <row r="267" ht="22.5" customHeight="1">
      <c r="A267" s="6" t="s">
        <v>2612</v>
      </c>
      <c r="B267" s="6" t="s">
        <v>2613</v>
      </c>
      <c r="C267" s="6" t="s">
        <v>2614</v>
      </c>
      <c r="D267" s="6" t="s">
        <v>145</v>
      </c>
      <c r="E267" s="6" t="s">
        <v>301</v>
      </c>
      <c r="F267" s="8">
        <v>37.0</v>
      </c>
      <c r="G267" s="9">
        <v>1506.31</v>
      </c>
      <c r="H267" s="9">
        <v>3811.13</v>
      </c>
      <c r="I267" s="6" t="s">
        <v>161</v>
      </c>
      <c r="J267" s="6" t="s">
        <v>163</v>
      </c>
      <c r="K267" s="6" t="s">
        <v>2615</v>
      </c>
      <c r="L267" s="6">
        <v>5.4068061214E10</v>
      </c>
      <c r="M267" s="6" t="s">
        <v>2617</v>
      </c>
      <c r="N267" s="6" t="s">
        <v>112</v>
      </c>
      <c r="O267" s="6" t="s">
        <v>178</v>
      </c>
      <c r="P267" s="10">
        <v>45965.0</v>
      </c>
    </row>
    <row r="268" ht="22.5" customHeight="1">
      <c r="A268" s="6" t="s">
        <v>2618</v>
      </c>
      <c r="B268" s="6" t="s">
        <v>2619</v>
      </c>
      <c r="C268" s="6" t="s">
        <v>2620</v>
      </c>
      <c r="D268" s="6" t="s">
        <v>145</v>
      </c>
      <c r="E268" s="6" t="s">
        <v>301</v>
      </c>
      <c r="F268" s="8">
        <v>36.0</v>
      </c>
      <c r="G268" s="9">
        <v>339.33</v>
      </c>
      <c r="H268" s="9">
        <v>10457.83</v>
      </c>
      <c r="I268" s="6" t="s">
        <v>161</v>
      </c>
      <c r="J268" s="6" t="s">
        <v>357</v>
      </c>
      <c r="K268" s="6" t="s">
        <v>259</v>
      </c>
      <c r="L268" s="6">
        <v>9.1755078677E10</v>
      </c>
      <c r="M268" s="6" t="s">
        <v>2622</v>
      </c>
      <c r="N268" s="6" t="s">
        <v>259</v>
      </c>
      <c r="O268" s="6" t="s">
        <v>178</v>
      </c>
      <c r="P268" s="10">
        <v>46051.0</v>
      </c>
    </row>
    <row r="269" ht="22.5" customHeight="1">
      <c r="A269" s="6" t="s">
        <v>2623</v>
      </c>
      <c r="B269" s="6" t="s">
        <v>2624</v>
      </c>
      <c r="C269" s="6" t="s">
        <v>2625</v>
      </c>
      <c r="D269" s="6" t="s">
        <v>206</v>
      </c>
      <c r="E269" s="6" t="s">
        <v>301</v>
      </c>
      <c r="F269" s="8">
        <v>37.0</v>
      </c>
      <c r="G269" s="9">
        <v>1684.36</v>
      </c>
      <c r="H269" s="9">
        <v>8101.61</v>
      </c>
      <c r="I269" s="6" t="s">
        <v>178</v>
      </c>
      <c r="J269" s="6" t="s">
        <v>163</v>
      </c>
      <c r="K269" s="6" t="s">
        <v>2627</v>
      </c>
      <c r="L269" s="6">
        <v>5.5403749602E10</v>
      </c>
      <c r="M269" s="6" t="s">
        <v>2628</v>
      </c>
      <c r="N269" s="6" t="s">
        <v>176</v>
      </c>
      <c r="O269" s="6" t="s">
        <v>161</v>
      </c>
      <c r="P269" s="10">
        <v>45996.0</v>
      </c>
    </row>
    <row r="270" ht="22.5" customHeight="1">
      <c r="A270" s="6" t="s">
        <v>2630</v>
      </c>
      <c r="B270" s="6" t="s">
        <v>2631</v>
      </c>
      <c r="C270" s="6" t="s">
        <v>2632</v>
      </c>
      <c r="D270" s="6" t="s">
        <v>206</v>
      </c>
      <c r="E270" s="6" t="s">
        <v>147</v>
      </c>
      <c r="F270" s="8">
        <v>15.0</v>
      </c>
      <c r="G270" s="9">
        <v>791.94</v>
      </c>
      <c r="H270" s="9">
        <v>14678.52</v>
      </c>
      <c r="I270" s="6" t="s">
        <v>161</v>
      </c>
      <c r="J270" s="6" t="s">
        <v>577</v>
      </c>
      <c r="K270" s="6" t="s">
        <v>2633</v>
      </c>
      <c r="L270" s="6">
        <v>7.755058167E9</v>
      </c>
      <c r="M270" s="6" t="s">
        <v>2635</v>
      </c>
      <c r="N270" s="6" t="s">
        <v>259</v>
      </c>
      <c r="O270" s="6" t="s">
        <v>178</v>
      </c>
      <c r="P270" s="10">
        <v>46008.0</v>
      </c>
    </row>
    <row r="271" ht="22.5" customHeight="1">
      <c r="A271" s="6" t="s">
        <v>2636</v>
      </c>
      <c r="B271" s="6" t="s">
        <v>2637</v>
      </c>
      <c r="C271" s="6" t="s">
        <v>2638</v>
      </c>
      <c r="D271" s="6" t="s">
        <v>206</v>
      </c>
      <c r="E271" s="6" t="s">
        <v>301</v>
      </c>
      <c r="F271" s="8">
        <v>49.0</v>
      </c>
      <c r="G271" s="9">
        <v>219.8</v>
      </c>
      <c r="H271" s="9">
        <v>12413.24</v>
      </c>
      <c r="I271" s="6" t="s">
        <v>161</v>
      </c>
      <c r="J271" s="6" t="s">
        <v>357</v>
      </c>
      <c r="K271" s="6" t="s">
        <v>2640</v>
      </c>
      <c r="L271" s="6">
        <v>7.3112865462E10</v>
      </c>
      <c r="M271" s="6" t="s">
        <v>2641</v>
      </c>
      <c r="N271" s="6" t="s">
        <v>283</v>
      </c>
      <c r="O271" s="6" t="s">
        <v>178</v>
      </c>
      <c r="P271" s="10">
        <v>45967.0</v>
      </c>
    </row>
    <row r="272" ht="22.5" customHeight="1">
      <c r="A272" s="6" t="s">
        <v>2642</v>
      </c>
      <c r="B272" s="6" t="s">
        <v>2643</v>
      </c>
      <c r="C272" s="6" t="s">
        <v>2644</v>
      </c>
      <c r="D272" s="6" t="s">
        <v>145</v>
      </c>
      <c r="E272" s="6" t="s">
        <v>210</v>
      </c>
      <c r="F272" s="8">
        <v>73.0</v>
      </c>
      <c r="G272" s="9">
        <v>1162.73</v>
      </c>
      <c r="H272" s="9">
        <v>7909.74</v>
      </c>
      <c r="I272" s="6" t="s">
        <v>178</v>
      </c>
      <c r="J272" s="6" t="s">
        <v>228</v>
      </c>
      <c r="K272" s="6" t="s">
        <v>2646</v>
      </c>
      <c r="L272" s="6">
        <v>2.7865535839E10</v>
      </c>
      <c r="M272" s="6" t="s">
        <v>2647</v>
      </c>
      <c r="N272" s="6" t="s">
        <v>112</v>
      </c>
      <c r="O272" s="6" t="s">
        <v>161</v>
      </c>
      <c r="P272" s="10">
        <v>45964.0</v>
      </c>
    </row>
    <row r="273" ht="22.5" customHeight="1">
      <c r="A273" s="6" t="s">
        <v>2649</v>
      </c>
      <c r="B273" s="6" t="s">
        <v>2650</v>
      </c>
      <c r="C273" s="6" t="s">
        <v>2651</v>
      </c>
      <c r="D273" s="6" t="s">
        <v>145</v>
      </c>
      <c r="E273" s="6" t="s">
        <v>147</v>
      </c>
      <c r="F273" s="8">
        <v>10.0</v>
      </c>
      <c r="G273" s="9">
        <v>159.93</v>
      </c>
      <c r="H273" s="9">
        <v>3637.91</v>
      </c>
      <c r="I273" s="6" t="s">
        <v>161</v>
      </c>
      <c r="J273" s="6" t="s">
        <v>357</v>
      </c>
      <c r="K273" s="6" t="s">
        <v>2652</v>
      </c>
      <c r="L273" s="6">
        <v>4.0328825924E10</v>
      </c>
      <c r="M273" s="6" t="s">
        <v>2654</v>
      </c>
      <c r="N273" s="6" t="s">
        <v>283</v>
      </c>
      <c r="O273" s="6" t="s">
        <v>178</v>
      </c>
      <c r="P273" s="10">
        <v>46012.0</v>
      </c>
    </row>
    <row r="274" ht="22.5" customHeight="1">
      <c r="A274" s="6" t="s">
        <v>2655</v>
      </c>
      <c r="B274" s="6" t="s">
        <v>2656</v>
      </c>
      <c r="C274" s="6" t="s">
        <v>2657</v>
      </c>
      <c r="D274" s="6" t="s">
        <v>206</v>
      </c>
      <c r="E274" s="6" t="s">
        <v>147</v>
      </c>
      <c r="F274" s="8">
        <v>25.0</v>
      </c>
      <c r="G274" s="9">
        <v>198.26</v>
      </c>
      <c r="H274" s="9">
        <v>7380.39</v>
      </c>
      <c r="I274" s="6" t="s">
        <v>161</v>
      </c>
      <c r="J274" s="6" t="s">
        <v>442</v>
      </c>
      <c r="K274" s="6" t="s">
        <v>2659</v>
      </c>
      <c r="L274" s="6">
        <v>1.7709861658E10</v>
      </c>
      <c r="M274" s="6" t="s">
        <v>2660</v>
      </c>
      <c r="N274" s="6" t="s">
        <v>176</v>
      </c>
      <c r="O274" s="6" t="s">
        <v>178</v>
      </c>
      <c r="P274" s="10">
        <v>46018.0</v>
      </c>
    </row>
    <row r="275" ht="22.5" customHeight="1">
      <c r="A275" s="6" t="s">
        <v>2661</v>
      </c>
      <c r="B275" s="6" t="s">
        <v>2662</v>
      </c>
      <c r="C275" s="6" t="s">
        <v>2663</v>
      </c>
      <c r="D275" s="6" t="s">
        <v>145</v>
      </c>
      <c r="E275" s="6" t="s">
        <v>147</v>
      </c>
      <c r="F275" s="8">
        <v>22.0</v>
      </c>
      <c r="G275" s="9">
        <v>1326.78</v>
      </c>
      <c r="H275" s="9">
        <v>8317.98</v>
      </c>
      <c r="I275" s="6" t="s">
        <v>161</v>
      </c>
      <c r="J275" s="6" t="s">
        <v>393</v>
      </c>
      <c r="K275" s="6" t="s">
        <v>2665</v>
      </c>
      <c r="L275" s="6">
        <v>5.08689872E10</v>
      </c>
      <c r="M275" s="6" t="s">
        <v>2666</v>
      </c>
      <c r="N275" s="6" t="s">
        <v>176</v>
      </c>
      <c r="O275" s="6" t="s">
        <v>178</v>
      </c>
      <c r="P275" s="10">
        <v>46049.0</v>
      </c>
    </row>
    <row r="276" ht="22.5" customHeight="1">
      <c r="A276" s="6" t="s">
        <v>2667</v>
      </c>
      <c r="B276" s="6" t="s">
        <v>2669</v>
      </c>
      <c r="C276" s="6" t="s">
        <v>2670</v>
      </c>
      <c r="D276" s="6" t="s">
        <v>206</v>
      </c>
      <c r="E276" s="6" t="s">
        <v>301</v>
      </c>
      <c r="F276" s="8">
        <v>34.0</v>
      </c>
      <c r="G276" s="9">
        <v>283.49</v>
      </c>
      <c r="H276" s="9">
        <v>11513.37</v>
      </c>
      <c r="I276" s="6" t="s">
        <v>161</v>
      </c>
      <c r="J276" s="6" t="s">
        <v>1229</v>
      </c>
      <c r="K276" s="6" t="s">
        <v>259</v>
      </c>
      <c r="L276" s="6">
        <v>9.4808243E8</v>
      </c>
      <c r="M276" s="6" t="s">
        <v>2671</v>
      </c>
      <c r="N276" s="6" t="s">
        <v>176</v>
      </c>
      <c r="O276" s="6" t="s">
        <v>178</v>
      </c>
      <c r="P276" s="10">
        <v>46012.0</v>
      </c>
    </row>
    <row r="277" ht="22.5" customHeight="1">
      <c r="A277" s="6" t="s">
        <v>2673</v>
      </c>
      <c r="B277" s="6" t="s">
        <v>2674</v>
      </c>
      <c r="C277" s="6" t="s">
        <v>2675</v>
      </c>
      <c r="D277" s="6" t="s">
        <v>145</v>
      </c>
      <c r="E277" s="6" t="s">
        <v>210</v>
      </c>
      <c r="F277" s="8">
        <v>81.0</v>
      </c>
      <c r="G277" s="9">
        <v>299.8</v>
      </c>
      <c r="H277" s="9">
        <v>5926.9</v>
      </c>
      <c r="I277" s="6" t="s">
        <v>178</v>
      </c>
      <c r="J277" s="6" t="s">
        <v>312</v>
      </c>
      <c r="K277" s="6" t="s">
        <v>2676</v>
      </c>
      <c r="L277" s="6">
        <v>6.6923424889E10</v>
      </c>
      <c r="M277" s="6" t="s">
        <v>2678</v>
      </c>
      <c r="N277" s="6" t="s">
        <v>427</v>
      </c>
      <c r="O277" s="6" t="s">
        <v>161</v>
      </c>
      <c r="P277" s="10">
        <v>45975.0</v>
      </c>
    </row>
    <row r="278" ht="22.5" customHeight="1">
      <c r="A278" s="6" t="s">
        <v>2679</v>
      </c>
      <c r="B278" s="6" t="s">
        <v>2680</v>
      </c>
      <c r="C278" s="6" t="s">
        <v>2681</v>
      </c>
      <c r="D278" s="6" t="s">
        <v>206</v>
      </c>
      <c r="E278" s="6" t="s">
        <v>301</v>
      </c>
      <c r="F278" s="8">
        <v>49.0</v>
      </c>
      <c r="G278" s="9">
        <v>326.3</v>
      </c>
      <c r="H278" s="9">
        <v>9977.41</v>
      </c>
      <c r="I278" s="6" t="s">
        <v>161</v>
      </c>
      <c r="J278" s="6" t="s">
        <v>465</v>
      </c>
      <c r="K278" s="6" t="s">
        <v>2683</v>
      </c>
      <c r="L278" s="6">
        <v>5.8533252161E10</v>
      </c>
      <c r="M278" s="6" t="s">
        <v>2684</v>
      </c>
      <c r="N278" s="6" t="s">
        <v>283</v>
      </c>
      <c r="O278" s="6" t="s">
        <v>178</v>
      </c>
      <c r="P278" s="10">
        <v>46020.0</v>
      </c>
    </row>
    <row r="279" ht="22.5" customHeight="1">
      <c r="A279" s="6" t="s">
        <v>2685</v>
      </c>
      <c r="B279" s="6" t="s">
        <v>2686</v>
      </c>
      <c r="C279" s="6" t="s">
        <v>2687</v>
      </c>
      <c r="D279" s="6" t="s">
        <v>145</v>
      </c>
      <c r="E279" s="6" t="s">
        <v>210</v>
      </c>
      <c r="F279" s="8">
        <v>65.0</v>
      </c>
      <c r="G279" s="9">
        <v>1201.39</v>
      </c>
      <c r="H279" s="9">
        <v>7875.67</v>
      </c>
      <c r="I279" s="6" t="s">
        <v>161</v>
      </c>
      <c r="J279" s="6" t="s">
        <v>577</v>
      </c>
      <c r="K279" s="6" t="s">
        <v>2689</v>
      </c>
      <c r="L279" s="6">
        <v>9.712426598E9</v>
      </c>
      <c r="M279" s="6" t="s">
        <v>2690</v>
      </c>
      <c r="N279" s="6" t="s">
        <v>176</v>
      </c>
      <c r="O279" s="6" t="s">
        <v>161</v>
      </c>
      <c r="P279" s="10">
        <v>45964.0</v>
      </c>
    </row>
    <row r="280" ht="22.5" customHeight="1">
      <c r="A280" s="6" t="s">
        <v>2691</v>
      </c>
      <c r="B280" s="6" t="s">
        <v>2692</v>
      </c>
      <c r="C280" s="6" t="s">
        <v>2693</v>
      </c>
      <c r="D280" s="6" t="s">
        <v>145</v>
      </c>
      <c r="E280" s="6" t="s">
        <v>147</v>
      </c>
      <c r="F280" s="8">
        <v>22.0</v>
      </c>
      <c r="G280" s="9">
        <v>414.28</v>
      </c>
      <c r="H280" s="9">
        <v>1987.97</v>
      </c>
      <c r="I280" s="6" t="s">
        <v>161</v>
      </c>
      <c r="J280" s="6" t="s">
        <v>421</v>
      </c>
      <c r="K280" s="6" t="s">
        <v>2695</v>
      </c>
      <c r="L280" s="6">
        <v>1.1764528003E10</v>
      </c>
      <c r="M280" s="6" t="s">
        <v>2696</v>
      </c>
      <c r="N280" s="6" t="s">
        <v>176</v>
      </c>
      <c r="O280" s="6" t="s">
        <v>178</v>
      </c>
      <c r="P280" s="10">
        <v>45947.0</v>
      </c>
    </row>
    <row r="281" ht="22.5" customHeight="1">
      <c r="A281" s="6" t="s">
        <v>2698</v>
      </c>
      <c r="B281" s="6" t="s">
        <v>2699</v>
      </c>
      <c r="C281" s="6" t="s">
        <v>2700</v>
      </c>
      <c r="D281" s="6" t="s">
        <v>145</v>
      </c>
      <c r="E281" s="6" t="s">
        <v>147</v>
      </c>
      <c r="F281" s="8">
        <v>16.0</v>
      </c>
      <c r="G281" s="9">
        <v>1261.96</v>
      </c>
      <c r="H281" s="9">
        <v>14437.4</v>
      </c>
      <c r="I281" s="6" t="s">
        <v>161</v>
      </c>
      <c r="J281" s="6" t="s">
        <v>228</v>
      </c>
      <c r="K281" s="6" t="s">
        <v>2701</v>
      </c>
      <c r="L281" s="6">
        <v>7.7557629374E10</v>
      </c>
      <c r="M281" s="6" t="s">
        <v>2703</v>
      </c>
      <c r="N281" s="6" t="s">
        <v>427</v>
      </c>
      <c r="O281" s="6" t="s">
        <v>178</v>
      </c>
      <c r="P281" s="10">
        <v>45965.0</v>
      </c>
    </row>
    <row r="282" ht="22.5" customHeight="1">
      <c r="A282" s="6" t="s">
        <v>2704</v>
      </c>
      <c r="B282" s="6" t="s">
        <v>2705</v>
      </c>
      <c r="C282" s="6" t="s">
        <v>2706</v>
      </c>
      <c r="D282" s="6" t="s">
        <v>206</v>
      </c>
      <c r="E282" s="6" t="s">
        <v>147</v>
      </c>
      <c r="F282" s="8">
        <v>7.0</v>
      </c>
      <c r="G282" s="9">
        <v>1087.86</v>
      </c>
      <c r="H282" s="9">
        <v>3723.21</v>
      </c>
      <c r="I282" s="6" t="s">
        <v>161</v>
      </c>
      <c r="J282" s="6" t="s">
        <v>228</v>
      </c>
      <c r="K282" s="6" t="s">
        <v>2708</v>
      </c>
      <c r="L282" s="6">
        <v>7.0979922638E10</v>
      </c>
      <c r="M282" s="6" t="s">
        <v>2709</v>
      </c>
      <c r="N282" s="6" t="s">
        <v>176</v>
      </c>
      <c r="O282" s="6" t="s">
        <v>178</v>
      </c>
      <c r="P282" s="10">
        <v>45941.0</v>
      </c>
    </row>
    <row r="283" ht="22.5" customHeight="1">
      <c r="A283" s="6" t="s">
        <v>2710</v>
      </c>
      <c r="B283" s="6" t="s">
        <v>2711</v>
      </c>
      <c r="C283" s="6" t="s">
        <v>2713</v>
      </c>
      <c r="D283" s="6" t="s">
        <v>145</v>
      </c>
      <c r="E283" s="6" t="s">
        <v>147</v>
      </c>
      <c r="F283" s="8">
        <v>6.0</v>
      </c>
      <c r="G283" s="9">
        <v>1509.19</v>
      </c>
      <c r="H283" s="9">
        <v>4741.9</v>
      </c>
      <c r="I283" s="6" t="s">
        <v>178</v>
      </c>
      <c r="J283" s="6" t="s">
        <v>357</v>
      </c>
      <c r="K283" s="6" t="s">
        <v>2714</v>
      </c>
      <c r="L283" s="6">
        <v>1.6699001476E10</v>
      </c>
      <c r="M283" s="6" t="s">
        <v>2715</v>
      </c>
      <c r="N283" s="6" t="s">
        <v>112</v>
      </c>
      <c r="O283" s="6" t="s">
        <v>161</v>
      </c>
      <c r="P283" s="10">
        <v>45954.0</v>
      </c>
    </row>
    <row r="284" ht="22.5" customHeight="1">
      <c r="A284" s="6" t="s">
        <v>2717</v>
      </c>
      <c r="B284" s="6" t="s">
        <v>2718</v>
      </c>
      <c r="C284" s="6" t="s">
        <v>2719</v>
      </c>
      <c r="D284" s="6" t="s">
        <v>206</v>
      </c>
      <c r="E284" s="6" t="s">
        <v>301</v>
      </c>
      <c r="F284" s="8">
        <v>35.0</v>
      </c>
      <c r="G284" s="9">
        <v>880.43</v>
      </c>
      <c r="H284" s="9">
        <v>11293.94</v>
      </c>
      <c r="I284" s="6" t="s">
        <v>161</v>
      </c>
      <c r="J284" s="6" t="s">
        <v>393</v>
      </c>
      <c r="K284" s="6" t="s">
        <v>2720</v>
      </c>
      <c r="L284" s="6">
        <v>8.8062539166E10</v>
      </c>
      <c r="M284" s="6" t="s">
        <v>2722</v>
      </c>
      <c r="N284" s="6" t="s">
        <v>112</v>
      </c>
      <c r="O284" s="6" t="s">
        <v>178</v>
      </c>
      <c r="P284" s="10">
        <v>45956.0</v>
      </c>
    </row>
    <row r="285" ht="22.5" customHeight="1">
      <c r="A285" s="6" t="s">
        <v>2723</v>
      </c>
      <c r="B285" s="6" t="s">
        <v>2724</v>
      </c>
      <c r="C285" s="6" t="s">
        <v>2725</v>
      </c>
      <c r="D285" s="6" t="s">
        <v>383</v>
      </c>
      <c r="E285" s="6" t="s">
        <v>147</v>
      </c>
      <c r="F285" s="8">
        <v>8.0</v>
      </c>
      <c r="G285" s="9">
        <v>1003.34</v>
      </c>
      <c r="H285" s="9">
        <v>11918.08</v>
      </c>
      <c r="I285" s="6" t="s">
        <v>161</v>
      </c>
      <c r="J285" s="6" t="s">
        <v>393</v>
      </c>
      <c r="K285" s="6" t="s">
        <v>2727</v>
      </c>
      <c r="L285" s="6">
        <v>6.300868594E10</v>
      </c>
      <c r="M285" s="6" t="s">
        <v>2728</v>
      </c>
      <c r="N285" s="6" t="s">
        <v>283</v>
      </c>
      <c r="O285" s="6" t="s">
        <v>178</v>
      </c>
      <c r="P285" s="10">
        <v>46043.0</v>
      </c>
    </row>
    <row r="286" ht="22.5" customHeight="1">
      <c r="A286" s="6" t="s">
        <v>2729</v>
      </c>
      <c r="B286" s="6" t="s">
        <v>2730</v>
      </c>
      <c r="C286" s="6" t="s">
        <v>2731</v>
      </c>
      <c r="D286" s="6" t="s">
        <v>383</v>
      </c>
      <c r="E286" s="6" t="s">
        <v>147</v>
      </c>
      <c r="F286" s="8">
        <v>12.0</v>
      </c>
      <c r="G286" s="9">
        <v>1753.06</v>
      </c>
      <c r="H286" s="9">
        <v>15386.01</v>
      </c>
      <c r="I286" s="6" t="s">
        <v>178</v>
      </c>
      <c r="J286" s="6" t="s">
        <v>312</v>
      </c>
      <c r="K286" s="6" t="s">
        <v>2733</v>
      </c>
      <c r="L286" s="6">
        <v>4.9627094052E10</v>
      </c>
      <c r="M286" s="6" t="s">
        <v>2734</v>
      </c>
      <c r="N286" s="6" t="s">
        <v>259</v>
      </c>
      <c r="O286" s="6" t="s">
        <v>161</v>
      </c>
      <c r="P286" s="10">
        <v>45970.0</v>
      </c>
    </row>
    <row r="287" ht="22.5" customHeight="1">
      <c r="A287" s="6" t="s">
        <v>2735</v>
      </c>
      <c r="B287" s="6" t="s">
        <v>2736</v>
      </c>
      <c r="C287" s="6" t="s">
        <v>2737</v>
      </c>
      <c r="D287" s="6" t="s">
        <v>206</v>
      </c>
      <c r="E287" s="6" t="s">
        <v>147</v>
      </c>
      <c r="F287" s="8">
        <v>19.0</v>
      </c>
      <c r="G287" s="9">
        <v>1188.29</v>
      </c>
      <c r="H287" s="9">
        <v>4456.38</v>
      </c>
      <c r="I287" s="6" t="s">
        <v>161</v>
      </c>
      <c r="J287" s="6" t="s">
        <v>357</v>
      </c>
      <c r="K287" s="6" t="s">
        <v>2739</v>
      </c>
      <c r="L287" s="6">
        <v>9.738978733E10</v>
      </c>
      <c r="M287" s="6" t="s">
        <v>2740</v>
      </c>
      <c r="N287" s="6" t="s">
        <v>112</v>
      </c>
      <c r="O287" s="6" t="s">
        <v>178</v>
      </c>
      <c r="P287" s="10">
        <v>45975.0</v>
      </c>
    </row>
    <row r="288" ht="22.5" customHeight="1">
      <c r="A288" s="6" t="s">
        <v>2741</v>
      </c>
      <c r="B288" s="6" t="s">
        <v>2742</v>
      </c>
      <c r="C288" s="6" t="s">
        <v>2744</v>
      </c>
      <c r="D288" s="6" t="s">
        <v>145</v>
      </c>
      <c r="E288" s="6" t="s">
        <v>147</v>
      </c>
      <c r="F288" s="8">
        <v>23.0</v>
      </c>
      <c r="G288" s="9">
        <v>1379.49</v>
      </c>
      <c r="H288" s="9">
        <v>4621.97</v>
      </c>
      <c r="I288" s="6" t="s">
        <v>178</v>
      </c>
      <c r="J288" s="6" t="s">
        <v>393</v>
      </c>
      <c r="K288" s="6" t="s">
        <v>2745</v>
      </c>
      <c r="L288" s="6">
        <v>5.3456348953E10</v>
      </c>
      <c r="M288" s="6" t="s">
        <v>2746</v>
      </c>
      <c r="N288" s="6" t="s">
        <v>112</v>
      </c>
      <c r="O288" s="6" t="s">
        <v>161</v>
      </c>
      <c r="P288" s="10">
        <v>46042.0</v>
      </c>
    </row>
    <row r="289" ht="22.5" customHeight="1">
      <c r="A289" s="6" t="s">
        <v>2748</v>
      </c>
      <c r="B289" s="6" t="s">
        <v>2749</v>
      </c>
      <c r="C289" s="6" t="s">
        <v>2750</v>
      </c>
      <c r="D289" s="6" t="s">
        <v>206</v>
      </c>
      <c r="E289" s="6" t="s">
        <v>301</v>
      </c>
      <c r="F289" s="8">
        <v>45.0</v>
      </c>
      <c r="G289" s="9">
        <v>320.87</v>
      </c>
      <c r="H289" s="9">
        <v>1923.82</v>
      </c>
      <c r="I289" s="6" t="s">
        <v>178</v>
      </c>
      <c r="J289" s="6" t="s">
        <v>465</v>
      </c>
      <c r="K289" s="6" t="s">
        <v>2752</v>
      </c>
      <c r="L289" s="6">
        <v>6.3344078183E10</v>
      </c>
      <c r="M289" s="6" t="s">
        <v>2753</v>
      </c>
      <c r="N289" s="6" t="s">
        <v>283</v>
      </c>
      <c r="O289" s="6" t="s">
        <v>161</v>
      </c>
      <c r="P289" s="10">
        <v>45943.0</v>
      </c>
    </row>
    <row r="290" ht="22.5" customHeight="1">
      <c r="A290" s="6" t="s">
        <v>2754</v>
      </c>
      <c r="B290" s="6" t="s">
        <v>2755</v>
      </c>
      <c r="C290" s="6" t="s">
        <v>2756</v>
      </c>
      <c r="D290" s="6" t="s">
        <v>206</v>
      </c>
      <c r="E290" s="6" t="s">
        <v>301</v>
      </c>
      <c r="F290" s="8">
        <v>56.0</v>
      </c>
      <c r="G290" s="9">
        <v>1496.7</v>
      </c>
      <c r="H290" s="9">
        <v>5217.96</v>
      </c>
      <c r="I290" s="6" t="s">
        <v>161</v>
      </c>
      <c r="J290" s="6" t="s">
        <v>479</v>
      </c>
      <c r="K290" s="6" t="s">
        <v>2758</v>
      </c>
      <c r="L290" s="6">
        <v>8.1902726403E10</v>
      </c>
      <c r="M290" s="6" t="s">
        <v>2759</v>
      </c>
      <c r="N290" s="6" t="s">
        <v>112</v>
      </c>
      <c r="O290" s="6" t="s">
        <v>178</v>
      </c>
      <c r="P290" s="10">
        <v>45954.0</v>
      </c>
    </row>
    <row r="291" ht="22.5" customHeight="1">
      <c r="A291" s="6" t="s">
        <v>2760</v>
      </c>
      <c r="B291" s="6" t="s">
        <v>2762</v>
      </c>
      <c r="C291" s="6" t="s">
        <v>2763</v>
      </c>
      <c r="D291" s="6" t="s">
        <v>206</v>
      </c>
      <c r="E291" s="6" t="s">
        <v>147</v>
      </c>
      <c r="F291" s="8">
        <v>19.0</v>
      </c>
      <c r="G291" s="9">
        <v>798.22</v>
      </c>
      <c r="H291" s="9">
        <v>3971.53</v>
      </c>
      <c r="I291" s="6" t="s">
        <v>161</v>
      </c>
      <c r="J291" s="6" t="s">
        <v>312</v>
      </c>
      <c r="K291" s="6" t="s">
        <v>2764</v>
      </c>
      <c r="L291" s="6">
        <v>6.3238171846E10</v>
      </c>
      <c r="M291" s="6" t="s">
        <v>2766</v>
      </c>
      <c r="N291" s="6" t="s">
        <v>112</v>
      </c>
      <c r="O291" s="6" t="s">
        <v>178</v>
      </c>
      <c r="P291" s="10">
        <v>46035.0</v>
      </c>
    </row>
    <row r="292" ht="22.5" customHeight="1">
      <c r="A292" s="6" t="s">
        <v>2767</v>
      </c>
      <c r="B292" s="6" t="s">
        <v>2768</v>
      </c>
      <c r="C292" s="6" t="s">
        <v>2769</v>
      </c>
      <c r="D292" s="6" t="s">
        <v>383</v>
      </c>
      <c r="E292" s="6" t="s">
        <v>147</v>
      </c>
      <c r="F292" s="8">
        <v>24.0</v>
      </c>
      <c r="G292" s="9">
        <v>394.03</v>
      </c>
      <c r="H292" s="9">
        <v>8371.96</v>
      </c>
      <c r="I292" s="6" t="s">
        <v>161</v>
      </c>
      <c r="J292" s="6" t="s">
        <v>228</v>
      </c>
      <c r="K292" s="6" t="s">
        <v>2771</v>
      </c>
      <c r="L292" s="6">
        <v>8.0981064817E10</v>
      </c>
      <c r="M292" s="6" t="s">
        <v>2772</v>
      </c>
      <c r="N292" s="6" t="s">
        <v>427</v>
      </c>
      <c r="O292" s="6" t="s">
        <v>178</v>
      </c>
      <c r="P292" s="10">
        <v>45969.0</v>
      </c>
    </row>
    <row r="293" ht="22.5" customHeight="1">
      <c r="A293" s="6" t="s">
        <v>2773</v>
      </c>
      <c r="B293" s="6" t="s">
        <v>2774</v>
      </c>
      <c r="C293" s="6" t="s">
        <v>2775</v>
      </c>
      <c r="D293" s="6" t="s">
        <v>145</v>
      </c>
      <c r="E293" s="6" t="s">
        <v>301</v>
      </c>
      <c r="F293" s="8">
        <v>45.0</v>
      </c>
      <c r="G293" s="9">
        <v>1734.85</v>
      </c>
      <c r="H293" s="9">
        <v>6758.64</v>
      </c>
      <c r="I293" s="6" t="s">
        <v>161</v>
      </c>
      <c r="J293" s="6" t="s">
        <v>393</v>
      </c>
      <c r="K293" s="6" t="s">
        <v>2777</v>
      </c>
      <c r="L293" s="6">
        <v>3.902088329E9</v>
      </c>
      <c r="M293" s="6" t="s">
        <v>2778</v>
      </c>
      <c r="N293" s="6" t="s">
        <v>176</v>
      </c>
      <c r="O293" s="6" t="s">
        <v>178</v>
      </c>
      <c r="P293" s="10">
        <v>46045.0</v>
      </c>
    </row>
    <row r="294" ht="22.5" customHeight="1">
      <c r="A294" s="6" t="s">
        <v>2780</v>
      </c>
      <c r="B294" s="6" t="s">
        <v>2781</v>
      </c>
      <c r="C294" s="6" t="s">
        <v>2782</v>
      </c>
      <c r="D294" s="6" t="s">
        <v>206</v>
      </c>
      <c r="E294" s="6" t="s">
        <v>147</v>
      </c>
      <c r="F294" s="8">
        <v>16.0</v>
      </c>
      <c r="G294" s="9">
        <v>440.63</v>
      </c>
      <c r="H294" s="9">
        <v>12616.24</v>
      </c>
      <c r="I294" s="6" t="s">
        <v>161</v>
      </c>
      <c r="J294" s="6" t="s">
        <v>479</v>
      </c>
      <c r="K294" s="6" t="s">
        <v>2783</v>
      </c>
      <c r="L294" s="6">
        <v>6.2428093687E10</v>
      </c>
      <c r="M294" s="6" t="s">
        <v>2785</v>
      </c>
      <c r="N294" s="6" t="s">
        <v>112</v>
      </c>
      <c r="O294" s="6" t="s">
        <v>178</v>
      </c>
      <c r="P294" s="10">
        <v>46023.0</v>
      </c>
    </row>
    <row r="295" ht="22.5" customHeight="1">
      <c r="A295" s="6" t="s">
        <v>2786</v>
      </c>
      <c r="B295" s="6" t="s">
        <v>2787</v>
      </c>
      <c r="C295" s="6" t="s">
        <v>2788</v>
      </c>
      <c r="D295" s="6" t="s">
        <v>383</v>
      </c>
      <c r="E295" s="6" t="s">
        <v>147</v>
      </c>
      <c r="F295" s="8">
        <v>25.0</v>
      </c>
      <c r="G295" s="9">
        <v>669.02</v>
      </c>
      <c r="H295" s="9">
        <v>10198.44</v>
      </c>
      <c r="I295" s="6" t="s">
        <v>178</v>
      </c>
      <c r="J295" s="6" t="s">
        <v>479</v>
      </c>
      <c r="K295" s="6" t="s">
        <v>2790</v>
      </c>
      <c r="L295" s="6">
        <v>2.5897308906E10</v>
      </c>
      <c r="M295" s="6" t="s">
        <v>2791</v>
      </c>
      <c r="N295" s="6" t="s">
        <v>259</v>
      </c>
      <c r="O295" s="6" t="s">
        <v>161</v>
      </c>
      <c r="P295" s="10">
        <v>46037.0</v>
      </c>
    </row>
    <row r="296" ht="22.5" customHeight="1">
      <c r="A296" s="6" t="s">
        <v>2792</v>
      </c>
      <c r="B296" s="6" t="s">
        <v>2794</v>
      </c>
      <c r="C296" s="6" t="s">
        <v>2795</v>
      </c>
      <c r="D296" s="6" t="s">
        <v>145</v>
      </c>
      <c r="E296" s="6" t="s">
        <v>301</v>
      </c>
      <c r="F296" s="8">
        <v>31.0</v>
      </c>
      <c r="G296" s="9">
        <v>1598.86</v>
      </c>
      <c r="H296" s="9">
        <v>7695.99</v>
      </c>
      <c r="I296" s="6" t="s">
        <v>161</v>
      </c>
      <c r="J296" s="6" t="s">
        <v>163</v>
      </c>
      <c r="K296" s="6" t="s">
        <v>2796</v>
      </c>
      <c r="L296" s="6">
        <v>2.240929818E10</v>
      </c>
      <c r="M296" s="6" t="s">
        <v>2797</v>
      </c>
      <c r="N296" s="6" t="s">
        <v>176</v>
      </c>
      <c r="O296" s="6" t="s">
        <v>178</v>
      </c>
      <c r="P296" s="10">
        <v>46023.0</v>
      </c>
    </row>
    <row r="297" ht="22.5" customHeight="1">
      <c r="A297" s="6" t="s">
        <v>2799</v>
      </c>
      <c r="B297" s="6" t="s">
        <v>2800</v>
      </c>
      <c r="C297" s="6" t="s">
        <v>2801</v>
      </c>
      <c r="D297" s="6" t="s">
        <v>145</v>
      </c>
      <c r="E297" s="6" t="s">
        <v>301</v>
      </c>
      <c r="F297" s="8">
        <v>54.0</v>
      </c>
      <c r="G297" s="9">
        <v>250.69</v>
      </c>
      <c r="H297" s="9">
        <v>12981.88</v>
      </c>
      <c r="I297" s="6" t="s">
        <v>161</v>
      </c>
      <c r="J297" s="6" t="s">
        <v>357</v>
      </c>
      <c r="K297" s="6" t="s">
        <v>2802</v>
      </c>
      <c r="L297" s="6">
        <v>3.5684634856E10</v>
      </c>
      <c r="M297" s="6" t="s">
        <v>2803</v>
      </c>
      <c r="N297" s="6" t="s">
        <v>112</v>
      </c>
      <c r="O297" s="6" t="s">
        <v>178</v>
      </c>
      <c r="P297" s="10">
        <v>45980.0</v>
      </c>
    </row>
    <row r="298" ht="22.5" customHeight="1">
      <c r="A298" s="6" t="s">
        <v>2805</v>
      </c>
      <c r="B298" s="6" t="s">
        <v>2806</v>
      </c>
      <c r="C298" s="6" t="s">
        <v>2807</v>
      </c>
      <c r="D298" s="6" t="s">
        <v>145</v>
      </c>
      <c r="E298" s="6" t="s">
        <v>147</v>
      </c>
      <c r="F298" s="8">
        <v>14.0</v>
      </c>
      <c r="G298" s="9">
        <v>340.31</v>
      </c>
      <c r="H298" s="9">
        <v>1433.02</v>
      </c>
      <c r="I298" s="6" t="s">
        <v>161</v>
      </c>
      <c r="J298" s="6" t="s">
        <v>393</v>
      </c>
      <c r="K298" s="6" t="s">
        <v>2808</v>
      </c>
      <c r="L298" s="6">
        <v>9.3576945627E10</v>
      </c>
      <c r="M298" s="6" t="s">
        <v>2809</v>
      </c>
      <c r="N298" s="6" t="s">
        <v>259</v>
      </c>
      <c r="O298" s="6" t="s">
        <v>178</v>
      </c>
      <c r="P298" s="10">
        <v>46027.0</v>
      </c>
    </row>
    <row r="299" ht="22.5" customHeight="1">
      <c r="A299" s="6" t="s">
        <v>2811</v>
      </c>
      <c r="B299" s="6" t="s">
        <v>2812</v>
      </c>
      <c r="C299" s="6" t="s">
        <v>2813</v>
      </c>
      <c r="D299" s="6" t="s">
        <v>206</v>
      </c>
      <c r="E299" s="6" t="s">
        <v>147</v>
      </c>
      <c r="F299" s="8">
        <v>26.0</v>
      </c>
      <c r="G299" s="9">
        <v>350.04</v>
      </c>
      <c r="H299" s="9">
        <v>7250.35</v>
      </c>
      <c r="I299" s="6" t="s">
        <v>178</v>
      </c>
      <c r="J299" s="6" t="s">
        <v>312</v>
      </c>
      <c r="K299" s="6" t="s">
        <v>259</v>
      </c>
      <c r="L299" s="6">
        <v>8.7617263447E10</v>
      </c>
      <c r="M299" s="6" t="s">
        <v>2815</v>
      </c>
      <c r="N299" s="6" t="s">
        <v>283</v>
      </c>
      <c r="O299" s="6" t="s">
        <v>161</v>
      </c>
      <c r="P299" s="10">
        <v>46047.0</v>
      </c>
    </row>
    <row r="300" ht="22.5" customHeight="1">
      <c r="A300" s="6" t="s">
        <v>2816</v>
      </c>
      <c r="B300" s="6" t="s">
        <v>2817</v>
      </c>
      <c r="C300" s="6" t="s">
        <v>2818</v>
      </c>
      <c r="D300" s="6" t="s">
        <v>145</v>
      </c>
      <c r="E300" s="6" t="s">
        <v>301</v>
      </c>
      <c r="F300" s="8">
        <v>37.0</v>
      </c>
      <c r="G300" s="9">
        <v>1062.76</v>
      </c>
      <c r="H300" s="9">
        <v>13229.63</v>
      </c>
      <c r="I300" s="6" t="s">
        <v>161</v>
      </c>
      <c r="J300" s="6" t="s">
        <v>442</v>
      </c>
      <c r="K300" s="6" t="s">
        <v>2820</v>
      </c>
      <c r="L300" s="6">
        <v>3.991684162E9</v>
      </c>
      <c r="M300" s="6" t="s">
        <v>2821</v>
      </c>
      <c r="N300" s="6" t="s">
        <v>176</v>
      </c>
      <c r="O300" s="6" t="s">
        <v>178</v>
      </c>
      <c r="P300" s="10">
        <v>45950.0</v>
      </c>
    </row>
    <row r="301" ht="22.5" customHeight="1">
      <c r="A301" s="6" t="s">
        <v>2823</v>
      </c>
      <c r="B301" s="6" t="s">
        <v>2824</v>
      </c>
      <c r="C301" s="6" t="s">
        <v>2825</v>
      </c>
      <c r="D301" s="6" t="s">
        <v>206</v>
      </c>
      <c r="E301" s="6" t="s">
        <v>147</v>
      </c>
      <c r="F301" s="8">
        <v>23.0</v>
      </c>
      <c r="G301" s="9">
        <v>1593.13</v>
      </c>
      <c r="H301" s="9">
        <v>8460.56</v>
      </c>
      <c r="I301" s="6" t="s">
        <v>161</v>
      </c>
      <c r="J301" s="6" t="s">
        <v>421</v>
      </c>
      <c r="K301" s="6" t="s">
        <v>2826</v>
      </c>
      <c r="L301" s="6">
        <v>7.419897872E10</v>
      </c>
      <c r="M301" s="6" t="s">
        <v>2828</v>
      </c>
      <c r="N301" s="6" t="s">
        <v>283</v>
      </c>
      <c r="O301" s="6" t="s">
        <v>178</v>
      </c>
      <c r="P301" s="10">
        <v>45987.0</v>
      </c>
    </row>
    <row r="302" ht="22.5" customHeight="1">
      <c r="A302" s="6" t="s">
        <v>2829</v>
      </c>
      <c r="B302" s="6" t="s">
        <v>2830</v>
      </c>
      <c r="C302" s="6" t="s">
        <v>2831</v>
      </c>
      <c r="D302" s="6" t="s">
        <v>145</v>
      </c>
      <c r="E302" s="6" t="s">
        <v>147</v>
      </c>
      <c r="F302" s="8">
        <v>14.0</v>
      </c>
      <c r="G302" s="9">
        <v>1474.32</v>
      </c>
      <c r="H302" s="9">
        <v>13559.03</v>
      </c>
      <c r="I302" s="6" t="s">
        <v>161</v>
      </c>
      <c r="J302" s="6" t="s">
        <v>442</v>
      </c>
      <c r="K302" s="6" t="s">
        <v>2833</v>
      </c>
      <c r="L302" s="6">
        <v>9.7421789861E10</v>
      </c>
      <c r="M302" s="6" t="s">
        <v>2834</v>
      </c>
      <c r="N302" s="6" t="s">
        <v>283</v>
      </c>
      <c r="O302" s="6" t="s">
        <v>178</v>
      </c>
      <c r="P302" s="10">
        <v>46039.0</v>
      </c>
    </row>
    <row r="303" ht="22.5" customHeight="1">
      <c r="A303" s="6" t="s">
        <v>2836</v>
      </c>
      <c r="B303" s="6" t="s">
        <v>2837</v>
      </c>
      <c r="C303" s="6" t="s">
        <v>2838</v>
      </c>
      <c r="D303" s="6" t="s">
        <v>145</v>
      </c>
      <c r="E303" s="6" t="s">
        <v>147</v>
      </c>
      <c r="F303" s="8">
        <v>24.0</v>
      </c>
      <c r="G303" s="9">
        <v>1795.44</v>
      </c>
      <c r="H303" s="9">
        <v>4094.45</v>
      </c>
      <c r="I303" s="6" t="s">
        <v>161</v>
      </c>
      <c r="J303" s="6" t="s">
        <v>479</v>
      </c>
      <c r="K303" s="6" t="s">
        <v>2839</v>
      </c>
      <c r="L303" s="6">
        <v>4.5499800446E10</v>
      </c>
      <c r="M303" s="6" t="s">
        <v>2841</v>
      </c>
      <c r="N303" s="6" t="s">
        <v>112</v>
      </c>
      <c r="O303" s="6" t="s">
        <v>178</v>
      </c>
      <c r="P303" s="10">
        <v>46046.0</v>
      </c>
    </row>
    <row r="304" ht="22.5" customHeight="1">
      <c r="A304" s="6" t="s">
        <v>2842</v>
      </c>
      <c r="B304" s="6" t="s">
        <v>2843</v>
      </c>
      <c r="C304" s="6" t="s">
        <v>2844</v>
      </c>
      <c r="D304" s="6" t="s">
        <v>145</v>
      </c>
      <c r="E304" s="6" t="s">
        <v>210</v>
      </c>
      <c r="F304" s="8">
        <v>107.0</v>
      </c>
      <c r="G304" s="9">
        <v>1278.38</v>
      </c>
      <c r="H304" s="9">
        <v>10839.51</v>
      </c>
      <c r="I304" s="6" t="s">
        <v>161</v>
      </c>
      <c r="J304" s="6" t="s">
        <v>228</v>
      </c>
      <c r="K304" s="6" t="s">
        <v>2846</v>
      </c>
      <c r="L304" s="6">
        <v>8.8935301927E10</v>
      </c>
      <c r="M304" s="6" t="s">
        <v>2847</v>
      </c>
      <c r="N304" s="6" t="s">
        <v>283</v>
      </c>
      <c r="O304" s="6" t="s">
        <v>161</v>
      </c>
      <c r="P304" s="10">
        <v>45958.0</v>
      </c>
    </row>
    <row r="305" ht="22.5" customHeight="1">
      <c r="A305" s="6" t="s">
        <v>2848</v>
      </c>
      <c r="B305" s="6" t="s">
        <v>2849</v>
      </c>
      <c r="C305" s="6" t="s">
        <v>2851</v>
      </c>
      <c r="D305" s="6" t="s">
        <v>206</v>
      </c>
      <c r="E305" s="6" t="s">
        <v>301</v>
      </c>
      <c r="F305" s="8">
        <v>46.0</v>
      </c>
      <c r="G305" s="9">
        <v>1033.19</v>
      </c>
      <c r="H305" s="9">
        <v>5440.98</v>
      </c>
      <c r="I305" s="6" t="s">
        <v>161</v>
      </c>
      <c r="J305" s="6" t="s">
        <v>577</v>
      </c>
      <c r="K305" s="6" t="s">
        <v>1441</v>
      </c>
      <c r="L305" s="6">
        <v>4.9572777355E10</v>
      </c>
      <c r="M305" s="6" t="s">
        <v>2852</v>
      </c>
      <c r="N305" s="6" t="s">
        <v>112</v>
      </c>
      <c r="O305" s="6" t="s">
        <v>178</v>
      </c>
      <c r="P305" s="10">
        <v>45995.0</v>
      </c>
    </row>
    <row r="306" ht="22.5" customHeight="1">
      <c r="A306" s="6" t="s">
        <v>2854</v>
      </c>
      <c r="B306" s="6" t="s">
        <v>2855</v>
      </c>
      <c r="C306" s="6" t="s">
        <v>2856</v>
      </c>
      <c r="D306" s="6" t="s">
        <v>206</v>
      </c>
      <c r="E306" s="6" t="s">
        <v>301</v>
      </c>
      <c r="F306" s="8">
        <v>58.0</v>
      </c>
      <c r="G306" s="9">
        <v>1161.65</v>
      </c>
      <c r="H306" s="9">
        <v>13610.51</v>
      </c>
      <c r="I306" s="6" t="s">
        <v>161</v>
      </c>
      <c r="J306" s="6" t="s">
        <v>357</v>
      </c>
      <c r="K306" s="6" t="s">
        <v>259</v>
      </c>
      <c r="L306" s="6">
        <v>3.532263196E10</v>
      </c>
      <c r="M306" s="6" t="s">
        <v>2858</v>
      </c>
      <c r="N306" s="6" t="s">
        <v>283</v>
      </c>
      <c r="O306" s="6" t="s">
        <v>178</v>
      </c>
      <c r="P306" s="10">
        <v>45969.0</v>
      </c>
    </row>
    <row r="307" ht="22.5" customHeight="1">
      <c r="A307" s="6" t="s">
        <v>2859</v>
      </c>
      <c r="B307" s="6" t="s">
        <v>2860</v>
      </c>
      <c r="C307" s="6" t="s">
        <v>2861</v>
      </c>
      <c r="D307" s="6" t="s">
        <v>145</v>
      </c>
      <c r="E307" s="6" t="s">
        <v>147</v>
      </c>
      <c r="F307" s="8">
        <v>10.0</v>
      </c>
      <c r="G307" s="9">
        <v>261.83</v>
      </c>
      <c r="H307" s="9">
        <v>1466.52</v>
      </c>
      <c r="I307" s="6" t="s">
        <v>161</v>
      </c>
      <c r="J307" s="6" t="s">
        <v>312</v>
      </c>
      <c r="K307" s="6" t="s">
        <v>2863</v>
      </c>
      <c r="L307" s="6">
        <v>7.64862742E10</v>
      </c>
      <c r="M307" s="6" t="s">
        <v>2864</v>
      </c>
      <c r="N307" s="6" t="s">
        <v>176</v>
      </c>
      <c r="O307" s="6" t="s">
        <v>178</v>
      </c>
      <c r="P307" s="10">
        <v>45949.0</v>
      </c>
    </row>
    <row r="308" ht="22.5" customHeight="1">
      <c r="A308" s="6" t="s">
        <v>2865</v>
      </c>
      <c r="B308" s="6" t="s">
        <v>2866</v>
      </c>
      <c r="C308" s="6" t="s">
        <v>2867</v>
      </c>
      <c r="D308" s="6" t="s">
        <v>206</v>
      </c>
      <c r="E308" s="6" t="s">
        <v>147</v>
      </c>
      <c r="F308" s="8">
        <v>9.0</v>
      </c>
      <c r="G308" s="9">
        <v>794.05</v>
      </c>
      <c r="H308" s="9">
        <v>2249.86</v>
      </c>
      <c r="I308" s="6" t="s">
        <v>161</v>
      </c>
      <c r="J308" s="6" t="s">
        <v>465</v>
      </c>
      <c r="K308" s="6" t="s">
        <v>2869</v>
      </c>
      <c r="L308" s="6">
        <v>4.1969151669E10</v>
      </c>
      <c r="M308" s="6" t="s">
        <v>2870</v>
      </c>
      <c r="N308" s="6" t="s">
        <v>112</v>
      </c>
      <c r="O308" s="6" t="s">
        <v>178</v>
      </c>
      <c r="P308" s="10">
        <v>45963.0</v>
      </c>
    </row>
    <row r="309" ht="22.5" customHeight="1">
      <c r="A309" s="6" t="s">
        <v>2871</v>
      </c>
      <c r="B309" s="6" t="s">
        <v>2873</v>
      </c>
      <c r="C309" s="6" t="s">
        <v>2874</v>
      </c>
      <c r="D309" s="6" t="s">
        <v>383</v>
      </c>
      <c r="E309" s="6" t="s">
        <v>147</v>
      </c>
      <c r="F309" s="8">
        <v>12.0</v>
      </c>
      <c r="G309" s="9">
        <v>1004.77</v>
      </c>
      <c r="H309" s="9">
        <v>7738.11</v>
      </c>
      <c r="I309" s="6" t="s">
        <v>161</v>
      </c>
      <c r="J309" s="6" t="s">
        <v>357</v>
      </c>
      <c r="K309" s="6" t="s">
        <v>2875</v>
      </c>
      <c r="L309" s="6" t="s">
        <v>259</v>
      </c>
      <c r="M309" s="6" t="s">
        <v>2876</v>
      </c>
      <c r="N309" s="6" t="s">
        <v>176</v>
      </c>
      <c r="O309" s="6" t="s">
        <v>178</v>
      </c>
      <c r="P309" s="10">
        <v>45946.0</v>
      </c>
    </row>
    <row r="310" ht="22.5" customHeight="1">
      <c r="A310" s="6" t="s">
        <v>2878</v>
      </c>
      <c r="B310" s="6" t="s">
        <v>2879</v>
      </c>
      <c r="C310" s="6" t="s">
        <v>2880</v>
      </c>
      <c r="D310" s="6" t="s">
        <v>206</v>
      </c>
      <c r="E310" s="6" t="s">
        <v>210</v>
      </c>
      <c r="F310" s="8">
        <v>95.0</v>
      </c>
      <c r="G310" s="9">
        <v>282.49</v>
      </c>
      <c r="H310" s="9">
        <v>10010.39</v>
      </c>
      <c r="I310" s="6" t="s">
        <v>178</v>
      </c>
      <c r="J310" s="6" t="s">
        <v>442</v>
      </c>
      <c r="K310" s="6" t="s">
        <v>2882</v>
      </c>
      <c r="L310" s="6">
        <v>2.2304162516E10</v>
      </c>
      <c r="M310" s="6" t="s">
        <v>2884</v>
      </c>
      <c r="N310" s="6" t="s">
        <v>259</v>
      </c>
      <c r="O310" s="6" t="s">
        <v>161</v>
      </c>
      <c r="P310" s="10">
        <v>45977.0</v>
      </c>
    </row>
    <row r="311" ht="22.5" customHeight="1">
      <c r="A311" s="6" t="s">
        <v>2885</v>
      </c>
      <c r="B311" s="6" t="s">
        <v>2886</v>
      </c>
      <c r="C311" s="6" t="s">
        <v>2887</v>
      </c>
      <c r="D311" s="6" t="s">
        <v>206</v>
      </c>
      <c r="E311" s="6" t="s">
        <v>301</v>
      </c>
      <c r="F311" s="8">
        <v>36.0</v>
      </c>
      <c r="G311" s="9">
        <v>321.17</v>
      </c>
      <c r="H311" s="9">
        <v>8510.95</v>
      </c>
      <c r="I311" s="6" t="s">
        <v>161</v>
      </c>
      <c r="J311" s="6" t="s">
        <v>393</v>
      </c>
      <c r="K311" s="6" t="s">
        <v>2888</v>
      </c>
      <c r="L311" s="6">
        <v>9.99165626E8</v>
      </c>
      <c r="M311" s="6" t="s">
        <v>2890</v>
      </c>
      <c r="N311" s="6" t="s">
        <v>176</v>
      </c>
      <c r="O311" s="6" t="s">
        <v>178</v>
      </c>
      <c r="P311" s="10">
        <v>45963.0</v>
      </c>
    </row>
    <row r="312" ht="22.5" customHeight="1">
      <c r="A312" s="6" t="s">
        <v>2891</v>
      </c>
      <c r="B312" s="6" t="s">
        <v>2892</v>
      </c>
      <c r="C312" s="6" t="s">
        <v>2893</v>
      </c>
      <c r="D312" s="6" t="s">
        <v>145</v>
      </c>
      <c r="E312" s="6" t="s">
        <v>147</v>
      </c>
      <c r="F312" s="8">
        <v>8.0</v>
      </c>
      <c r="G312" s="9">
        <v>980.94</v>
      </c>
      <c r="H312" s="9">
        <v>12920.14</v>
      </c>
      <c r="I312" s="6" t="s">
        <v>178</v>
      </c>
      <c r="J312" s="6" t="s">
        <v>479</v>
      </c>
      <c r="K312" s="6" t="s">
        <v>2895</v>
      </c>
      <c r="L312" s="6" t="s">
        <v>259</v>
      </c>
      <c r="M312" s="6" t="s">
        <v>2896</v>
      </c>
      <c r="N312" s="6" t="s">
        <v>283</v>
      </c>
      <c r="O312" s="6" t="s">
        <v>161</v>
      </c>
      <c r="P312" s="10">
        <v>46051.0</v>
      </c>
    </row>
    <row r="313" ht="22.5" customHeight="1">
      <c r="A313" s="6" t="s">
        <v>2898</v>
      </c>
      <c r="B313" s="6" t="s">
        <v>2899</v>
      </c>
      <c r="C313" s="6" t="s">
        <v>2900</v>
      </c>
      <c r="D313" s="6" t="s">
        <v>206</v>
      </c>
      <c r="E313" s="6" t="s">
        <v>301</v>
      </c>
      <c r="F313" s="8">
        <v>43.0</v>
      </c>
      <c r="G313" s="9">
        <v>435.38</v>
      </c>
      <c r="H313" s="9">
        <v>5575.41</v>
      </c>
      <c r="I313" s="6" t="s">
        <v>161</v>
      </c>
      <c r="J313" s="6" t="s">
        <v>312</v>
      </c>
      <c r="K313" s="6" t="s">
        <v>2901</v>
      </c>
      <c r="L313" s="6">
        <v>3.0830847271E10</v>
      </c>
      <c r="M313" s="6" t="s">
        <v>2903</v>
      </c>
      <c r="N313" s="6" t="s">
        <v>283</v>
      </c>
      <c r="O313" s="6" t="s">
        <v>178</v>
      </c>
      <c r="P313" s="10">
        <v>45984.0</v>
      </c>
    </row>
    <row r="314" ht="22.5" customHeight="1">
      <c r="A314" s="6" t="s">
        <v>2904</v>
      </c>
      <c r="B314" s="6" t="s">
        <v>2905</v>
      </c>
      <c r="C314" s="6" t="s">
        <v>2906</v>
      </c>
      <c r="D314" s="6" t="s">
        <v>145</v>
      </c>
      <c r="E314" s="6" t="s">
        <v>301</v>
      </c>
      <c r="F314" s="8">
        <v>55.0</v>
      </c>
      <c r="G314" s="9">
        <v>1312.64</v>
      </c>
      <c r="H314" s="9">
        <v>8122.96</v>
      </c>
      <c r="I314" s="6" t="s">
        <v>161</v>
      </c>
      <c r="J314" s="6" t="s">
        <v>577</v>
      </c>
      <c r="K314" s="6" t="s">
        <v>2908</v>
      </c>
      <c r="L314" s="6" t="s">
        <v>259</v>
      </c>
      <c r="M314" s="6" t="s">
        <v>2909</v>
      </c>
      <c r="N314" s="6" t="s">
        <v>427</v>
      </c>
      <c r="O314" s="6" t="s">
        <v>178</v>
      </c>
      <c r="P314" s="10">
        <v>45973.0</v>
      </c>
    </row>
    <row r="315" ht="22.5" customHeight="1">
      <c r="A315" s="6" t="s">
        <v>2910</v>
      </c>
      <c r="B315" s="6" t="s">
        <v>2911</v>
      </c>
      <c r="C315" s="6" t="s">
        <v>2912</v>
      </c>
      <c r="D315" s="6" t="s">
        <v>383</v>
      </c>
      <c r="E315" s="6" t="s">
        <v>210</v>
      </c>
      <c r="F315" s="8">
        <v>107.0</v>
      </c>
      <c r="G315" s="9">
        <v>211.97</v>
      </c>
      <c r="H315" s="9">
        <v>2173.75</v>
      </c>
      <c r="I315" s="6" t="s">
        <v>178</v>
      </c>
      <c r="J315" s="6" t="s">
        <v>228</v>
      </c>
      <c r="K315" s="6" t="s">
        <v>2914</v>
      </c>
      <c r="L315" s="6">
        <v>6.2000529978E10</v>
      </c>
      <c r="M315" s="6" t="s">
        <v>2915</v>
      </c>
      <c r="N315" s="6" t="s">
        <v>283</v>
      </c>
      <c r="O315" s="6" t="s">
        <v>161</v>
      </c>
      <c r="P315" s="10">
        <v>46003.0</v>
      </c>
    </row>
    <row r="316" ht="22.5" customHeight="1">
      <c r="A316" s="6" t="s">
        <v>2917</v>
      </c>
      <c r="B316" s="6" t="s">
        <v>2918</v>
      </c>
      <c r="C316" s="6" t="s">
        <v>2919</v>
      </c>
      <c r="D316" s="6" t="s">
        <v>206</v>
      </c>
      <c r="E316" s="6" t="s">
        <v>301</v>
      </c>
      <c r="F316" s="8">
        <v>39.0</v>
      </c>
      <c r="G316" s="9">
        <v>610.67</v>
      </c>
      <c r="H316" s="9">
        <v>8666.76</v>
      </c>
      <c r="I316" s="6" t="s">
        <v>161</v>
      </c>
      <c r="J316" s="6" t="s">
        <v>479</v>
      </c>
      <c r="K316" s="6" t="s">
        <v>2920</v>
      </c>
      <c r="L316" s="6" t="s">
        <v>259</v>
      </c>
      <c r="M316" s="6" t="s">
        <v>2922</v>
      </c>
      <c r="N316" s="6" t="s">
        <v>112</v>
      </c>
      <c r="O316" s="6" t="s">
        <v>178</v>
      </c>
      <c r="P316" s="10">
        <v>46025.0</v>
      </c>
    </row>
    <row r="317" ht="22.5" customHeight="1">
      <c r="A317" s="6" t="s">
        <v>2923</v>
      </c>
      <c r="B317" s="6" t="s">
        <v>2924</v>
      </c>
      <c r="C317" s="6" t="s">
        <v>2925</v>
      </c>
      <c r="D317" s="6" t="s">
        <v>206</v>
      </c>
      <c r="E317" s="6" t="s">
        <v>147</v>
      </c>
      <c r="F317" s="8">
        <v>25.0</v>
      </c>
      <c r="G317" s="9">
        <v>1659.65</v>
      </c>
      <c r="H317" s="9">
        <v>13276.57</v>
      </c>
      <c r="I317" s="6" t="s">
        <v>161</v>
      </c>
      <c r="J317" s="6" t="s">
        <v>442</v>
      </c>
      <c r="K317" s="6" t="s">
        <v>2927</v>
      </c>
      <c r="L317" s="6">
        <v>5.3741442148E10</v>
      </c>
      <c r="M317" s="6" t="s">
        <v>2928</v>
      </c>
      <c r="N317" s="6" t="s">
        <v>259</v>
      </c>
      <c r="O317" s="6" t="s">
        <v>178</v>
      </c>
      <c r="P317" s="10">
        <v>46047.0</v>
      </c>
    </row>
    <row r="318" ht="22.5" customHeight="1">
      <c r="A318" s="6" t="s">
        <v>2929</v>
      </c>
      <c r="B318" s="6" t="s">
        <v>2930</v>
      </c>
      <c r="C318" s="6" t="s">
        <v>2931</v>
      </c>
      <c r="D318" s="6" t="s">
        <v>206</v>
      </c>
      <c r="E318" s="6" t="s">
        <v>301</v>
      </c>
      <c r="F318" s="8">
        <v>31.0</v>
      </c>
      <c r="G318" s="9">
        <v>493.27</v>
      </c>
      <c r="H318" s="9">
        <v>13076.94</v>
      </c>
      <c r="I318" s="6" t="s">
        <v>161</v>
      </c>
      <c r="J318" s="6" t="s">
        <v>312</v>
      </c>
      <c r="K318" s="6" t="s">
        <v>2933</v>
      </c>
      <c r="L318" s="6">
        <v>3.1245842923E10</v>
      </c>
      <c r="M318" s="6" t="s">
        <v>2934</v>
      </c>
      <c r="N318" s="6" t="s">
        <v>427</v>
      </c>
      <c r="O318" s="6" t="s">
        <v>178</v>
      </c>
      <c r="P318" s="10">
        <v>46015.0</v>
      </c>
    </row>
    <row r="319" ht="22.5" customHeight="1">
      <c r="A319" s="6" t="s">
        <v>2936</v>
      </c>
      <c r="B319" s="6" t="s">
        <v>2937</v>
      </c>
      <c r="C319" s="6" t="s">
        <v>2938</v>
      </c>
      <c r="D319" s="6" t="s">
        <v>145</v>
      </c>
      <c r="E319" s="6" t="s">
        <v>147</v>
      </c>
      <c r="F319" s="8">
        <v>29.0</v>
      </c>
      <c r="G319" s="9">
        <v>564.81</v>
      </c>
      <c r="H319" s="9">
        <v>1820.41</v>
      </c>
      <c r="I319" s="6" t="s">
        <v>161</v>
      </c>
      <c r="J319" s="6" t="s">
        <v>357</v>
      </c>
      <c r="K319" s="6" t="s">
        <v>2939</v>
      </c>
      <c r="L319" s="6">
        <v>5.9754286663E10</v>
      </c>
      <c r="M319" s="6" t="s">
        <v>2940</v>
      </c>
      <c r="N319" s="6" t="s">
        <v>427</v>
      </c>
      <c r="O319" s="6" t="s">
        <v>178</v>
      </c>
      <c r="P319" s="10">
        <v>45978.0</v>
      </c>
    </row>
    <row r="320" ht="22.5" customHeight="1">
      <c r="A320" s="6" t="s">
        <v>2942</v>
      </c>
      <c r="B320" s="6" t="s">
        <v>2943</v>
      </c>
      <c r="C320" s="6" t="s">
        <v>2944</v>
      </c>
      <c r="D320" s="6" t="s">
        <v>145</v>
      </c>
      <c r="E320" s="6" t="s">
        <v>147</v>
      </c>
      <c r="F320" s="8">
        <v>21.0</v>
      </c>
      <c r="G320" s="9">
        <v>1403.52</v>
      </c>
      <c r="H320" s="9">
        <v>11132.94</v>
      </c>
      <c r="I320" s="6" t="s">
        <v>178</v>
      </c>
      <c r="J320" s="6" t="s">
        <v>163</v>
      </c>
      <c r="K320" s="6" t="s">
        <v>2945</v>
      </c>
      <c r="L320" s="6">
        <v>3.0231177197E10</v>
      </c>
      <c r="M320" s="6" t="s">
        <v>2947</v>
      </c>
      <c r="N320" s="6" t="s">
        <v>283</v>
      </c>
      <c r="O320" s="6" t="s">
        <v>161</v>
      </c>
      <c r="P320" s="10">
        <v>45941.0</v>
      </c>
    </row>
    <row r="321" ht="22.5" customHeight="1">
      <c r="A321" s="6" t="s">
        <v>2948</v>
      </c>
      <c r="B321" s="6" t="s">
        <v>2949</v>
      </c>
      <c r="C321" s="6" t="s">
        <v>2950</v>
      </c>
      <c r="D321" s="6" t="s">
        <v>145</v>
      </c>
      <c r="E321" s="6" t="s">
        <v>147</v>
      </c>
      <c r="F321" s="8">
        <v>22.0</v>
      </c>
      <c r="G321" s="9">
        <v>343.27</v>
      </c>
      <c r="H321" s="9">
        <v>3217.06</v>
      </c>
      <c r="I321" s="6" t="s">
        <v>161</v>
      </c>
      <c r="J321" s="6" t="s">
        <v>465</v>
      </c>
      <c r="K321" s="6" t="s">
        <v>2952</v>
      </c>
      <c r="L321" s="6">
        <v>3.9326874444E10</v>
      </c>
      <c r="M321" s="6" t="s">
        <v>2953</v>
      </c>
      <c r="N321" s="6" t="s">
        <v>259</v>
      </c>
      <c r="O321" s="6" t="s">
        <v>178</v>
      </c>
      <c r="P321" s="10">
        <v>46041.0</v>
      </c>
    </row>
    <row r="322" ht="22.5" customHeight="1">
      <c r="A322" s="6" t="s">
        <v>2954</v>
      </c>
      <c r="B322" s="6" t="s">
        <v>2955</v>
      </c>
      <c r="C322" s="6" t="s">
        <v>2957</v>
      </c>
      <c r="D322" s="6" t="s">
        <v>145</v>
      </c>
      <c r="E322" s="6" t="s">
        <v>147</v>
      </c>
      <c r="F322" s="8">
        <v>18.0</v>
      </c>
      <c r="G322" s="9">
        <v>1052.94</v>
      </c>
      <c r="H322" s="9">
        <v>5274.28</v>
      </c>
      <c r="I322" s="6" t="s">
        <v>161</v>
      </c>
      <c r="J322" s="6" t="s">
        <v>577</v>
      </c>
      <c r="K322" s="6" t="s">
        <v>2958</v>
      </c>
      <c r="L322" s="6">
        <v>6.585711923E10</v>
      </c>
      <c r="M322" s="6" t="s">
        <v>2959</v>
      </c>
      <c r="N322" s="6" t="s">
        <v>112</v>
      </c>
      <c r="O322" s="6" t="s">
        <v>178</v>
      </c>
      <c r="P322" s="10">
        <v>46043.0</v>
      </c>
    </row>
    <row r="323" ht="22.5" customHeight="1">
      <c r="A323" s="6" t="s">
        <v>2961</v>
      </c>
      <c r="B323" s="6" t="s">
        <v>2962</v>
      </c>
      <c r="C323" s="6" t="s">
        <v>2963</v>
      </c>
      <c r="D323" s="6" t="s">
        <v>145</v>
      </c>
      <c r="E323" s="6" t="s">
        <v>147</v>
      </c>
      <c r="F323" s="8">
        <v>6.0</v>
      </c>
      <c r="G323" s="9">
        <v>1336.06</v>
      </c>
      <c r="H323" s="9">
        <v>3535.05</v>
      </c>
      <c r="I323" s="6" t="s">
        <v>161</v>
      </c>
      <c r="J323" s="6" t="s">
        <v>479</v>
      </c>
      <c r="K323" s="6" t="s">
        <v>2964</v>
      </c>
      <c r="L323" s="6">
        <v>7.1566538271E10</v>
      </c>
      <c r="M323" s="6" t="s">
        <v>2966</v>
      </c>
      <c r="N323" s="6" t="s">
        <v>427</v>
      </c>
      <c r="O323" s="6" t="s">
        <v>178</v>
      </c>
      <c r="P323" s="10">
        <v>46048.0</v>
      </c>
    </row>
    <row r="324" ht="22.5" customHeight="1">
      <c r="A324" s="6" t="s">
        <v>2967</v>
      </c>
      <c r="B324" s="6" t="s">
        <v>2968</v>
      </c>
      <c r="C324" s="6" t="s">
        <v>2969</v>
      </c>
      <c r="D324" s="6" t="s">
        <v>206</v>
      </c>
      <c r="E324" s="6" t="s">
        <v>147</v>
      </c>
      <c r="F324" s="8">
        <v>5.0</v>
      </c>
      <c r="G324" s="9">
        <v>594.48</v>
      </c>
      <c r="H324" s="9">
        <v>3347.01</v>
      </c>
      <c r="I324" s="6" t="s">
        <v>161</v>
      </c>
      <c r="J324" s="6" t="s">
        <v>442</v>
      </c>
      <c r="K324" s="6" t="s">
        <v>2971</v>
      </c>
      <c r="L324" s="6">
        <v>8.5476064327E10</v>
      </c>
      <c r="M324" s="6" t="s">
        <v>2972</v>
      </c>
      <c r="N324" s="6" t="s">
        <v>283</v>
      </c>
      <c r="O324" s="6" t="s">
        <v>178</v>
      </c>
      <c r="P324" s="10">
        <v>45962.0</v>
      </c>
    </row>
    <row r="325" ht="22.5" customHeight="1">
      <c r="A325" s="6" t="s">
        <v>2973</v>
      </c>
      <c r="B325" s="6" t="s">
        <v>2974</v>
      </c>
      <c r="C325" s="6" t="s">
        <v>2975</v>
      </c>
      <c r="D325" s="6" t="s">
        <v>145</v>
      </c>
      <c r="E325" s="6" t="s">
        <v>147</v>
      </c>
      <c r="F325" s="8">
        <v>13.0</v>
      </c>
      <c r="G325" s="9">
        <v>1096.35</v>
      </c>
      <c r="H325" s="9">
        <v>6887.01</v>
      </c>
      <c r="I325" s="6" t="s">
        <v>161</v>
      </c>
      <c r="J325" s="6" t="s">
        <v>421</v>
      </c>
      <c r="K325" s="6" t="s">
        <v>2977</v>
      </c>
      <c r="L325" s="6">
        <v>9.7730302198E10</v>
      </c>
      <c r="M325" s="6" t="s">
        <v>2978</v>
      </c>
      <c r="N325" s="6" t="s">
        <v>112</v>
      </c>
      <c r="O325" s="6" t="s">
        <v>178</v>
      </c>
      <c r="P325" s="10">
        <v>45963.0</v>
      </c>
    </row>
    <row r="326" ht="22.5" customHeight="1">
      <c r="A326" s="6" t="s">
        <v>2980</v>
      </c>
      <c r="B326" s="6" t="s">
        <v>2981</v>
      </c>
      <c r="C326" s="6" t="s">
        <v>2982</v>
      </c>
      <c r="D326" s="6" t="s">
        <v>206</v>
      </c>
      <c r="E326" s="6" t="s">
        <v>147</v>
      </c>
      <c r="F326" s="8">
        <v>21.0</v>
      </c>
      <c r="G326" s="9">
        <v>642.65</v>
      </c>
      <c r="H326" s="9">
        <v>12183.28</v>
      </c>
      <c r="I326" s="6" t="s">
        <v>161</v>
      </c>
      <c r="J326" s="6" t="s">
        <v>163</v>
      </c>
      <c r="K326" s="6" t="s">
        <v>2983</v>
      </c>
      <c r="L326" s="6">
        <v>5.0577201782E10</v>
      </c>
      <c r="M326" s="6" t="s">
        <v>2984</v>
      </c>
      <c r="N326" s="6" t="s">
        <v>112</v>
      </c>
      <c r="O326" s="6" t="s">
        <v>178</v>
      </c>
      <c r="P326" s="10">
        <v>45993.0</v>
      </c>
    </row>
    <row r="327" ht="22.5" customHeight="1">
      <c r="A327" s="6" t="s">
        <v>2986</v>
      </c>
      <c r="B327" s="6" t="s">
        <v>2987</v>
      </c>
      <c r="C327" s="6" t="s">
        <v>2988</v>
      </c>
      <c r="D327" s="6" t="s">
        <v>145</v>
      </c>
      <c r="E327" s="6" t="s">
        <v>147</v>
      </c>
      <c r="F327" s="8">
        <v>23.0</v>
      </c>
      <c r="G327" s="9">
        <v>324.57</v>
      </c>
      <c r="H327" s="9">
        <v>12706.48</v>
      </c>
      <c r="I327" s="6" t="s">
        <v>161</v>
      </c>
      <c r="J327" s="6" t="s">
        <v>393</v>
      </c>
      <c r="K327" s="6" t="s">
        <v>2990</v>
      </c>
      <c r="L327" s="6">
        <v>6.3040406616E10</v>
      </c>
      <c r="M327" s="6" t="s">
        <v>2991</v>
      </c>
      <c r="N327" s="6" t="s">
        <v>283</v>
      </c>
      <c r="O327" s="6" t="s">
        <v>178</v>
      </c>
      <c r="P327" s="10">
        <v>45976.0</v>
      </c>
    </row>
    <row r="328" ht="22.5" customHeight="1">
      <c r="A328" s="6" t="s">
        <v>2992</v>
      </c>
      <c r="B328" s="6" t="s">
        <v>2993</v>
      </c>
      <c r="C328" s="6" t="s">
        <v>2994</v>
      </c>
      <c r="D328" s="6" t="s">
        <v>206</v>
      </c>
      <c r="E328" s="6" t="s">
        <v>147</v>
      </c>
      <c r="F328" s="8">
        <v>14.0</v>
      </c>
      <c r="G328" s="9">
        <v>691.6</v>
      </c>
      <c r="H328" s="9">
        <v>9390.25</v>
      </c>
      <c r="I328" s="6" t="s">
        <v>178</v>
      </c>
      <c r="J328" s="6" t="s">
        <v>442</v>
      </c>
      <c r="K328" s="6" t="s">
        <v>2996</v>
      </c>
      <c r="L328" s="6">
        <v>8.5527203419E10</v>
      </c>
      <c r="M328" s="6" t="s">
        <v>2997</v>
      </c>
      <c r="N328" s="6" t="s">
        <v>259</v>
      </c>
      <c r="O328" s="6" t="s">
        <v>161</v>
      </c>
      <c r="P328" s="10">
        <v>46033.0</v>
      </c>
    </row>
    <row r="329" ht="22.5" customHeight="1">
      <c r="A329" s="6" t="s">
        <v>2998</v>
      </c>
      <c r="B329" s="6" t="s">
        <v>2999</v>
      </c>
      <c r="C329" s="6" t="s">
        <v>3001</v>
      </c>
      <c r="D329" s="6" t="s">
        <v>145</v>
      </c>
      <c r="E329" s="6" t="s">
        <v>210</v>
      </c>
      <c r="F329" s="8">
        <v>69.0</v>
      </c>
      <c r="G329" s="9">
        <v>665.54</v>
      </c>
      <c r="H329" s="9">
        <v>7406.59</v>
      </c>
      <c r="I329" s="6" t="s">
        <v>161</v>
      </c>
      <c r="J329" s="6" t="s">
        <v>163</v>
      </c>
      <c r="K329" s="6" t="s">
        <v>3002</v>
      </c>
      <c r="L329" s="6">
        <v>6.2635544713E10</v>
      </c>
      <c r="M329" s="6" t="s">
        <v>3003</v>
      </c>
      <c r="N329" s="6" t="s">
        <v>112</v>
      </c>
      <c r="O329" s="6" t="s">
        <v>161</v>
      </c>
      <c r="P329" s="10">
        <v>45936.0</v>
      </c>
    </row>
    <row r="330" ht="22.5" customHeight="1">
      <c r="A330" s="6" t="s">
        <v>3005</v>
      </c>
      <c r="B330" s="6" t="s">
        <v>3006</v>
      </c>
      <c r="C330" s="6" t="s">
        <v>3007</v>
      </c>
      <c r="D330" s="6" t="s">
        <v>145</v>
      </c>
      <c r="E330" s="6" t="s">
        <v>301</v>
      </c>
      <c r="F330" s="8">
        <v>47.0</v>
      </c>
      <c r="G330" s="9">
        <v>1068.5</v>
      </c>
      <c r="H330" s="9">
        <v>6918.8</v>
      </c>
      <c r="I330" s="6" t="s">
        <v>161</v>
      </c>
      <c r="J330" s="6" t="s">
        <v>577</v>
      </c>
      <c r="K330" s="6" t="s">
        <v>3008</v>
      </c>
      <c r="L330" s="6">
        <v>7.2427411747E10</v>
      </c>
      <c r="M330" s="6" t="s">
        <v>3010</v>
      </c>
      <c r="N330" s="6" t="s">
        <v>427</v>
      </c>
      <c r="O330" s="6" t="s">
        <v>178</v>
      </c>
      <c r="P330" s="10">
        <v>45938.0</v>
      </c>
    </row>
    <row r="331" ht="22.5" customHeight="1">
      <c r="A331" s="6" t="s">
        <v>3011</v>
      </c>
      <c r="B331" s="6" t="s">
        <v>3012</v>
      </c>
      <c r="C331" s="6" t="s">
        <v>3013</v>
      </c>
      <c r="D331" s="6" t="s">
        <v>206</v>
      </c>
      <c r="E331" s="6" t="s">
        <v>301</v>
      </c>
      <c r="F331" s="8">
        <v>35.0</v>
      </c>
      <c r="G331" s="9">
        <v>521.61</v>
      </c>
      <c r="H331" s="9">
        <v>3465.32</v>
      </c>
      <c r="I331" s="6" t="s">
        <v>161</v>
      </c>
      <c r="J331" s="6" t="s">
        <v>312</v>
      </c>
      <c r="K331" s="6" t="s">
        <v>3015</v>
      </c>
      <c r="L331" s="6">
        <v>2.388467891E10</v>
      </c>
      <c r="M331" s="6" t="s">
        <v>3016</v>
      </c>
      <c r="N331" s="6" t="s">
        <v>427</v>
      </c>
      <c r="O331" s="6" t="s">
        <v>178</v>
      </c>
      <c r="P331" s="10">
        <v>45953.0</v>
      </c>
    </row>
    <row r="332" ht="22.5" customHeight="1">
      <c r="A332" s="6" t="s">
        <v>3017</v>
      </c>
      <c r="B332" s="6" t="s">
        <v>3019</v>
      </c>
      <c r="C332" s="6" t="s">
        <v>3020</v>
      </c>
      <c r="D332" s="6" t="s">
        <v>145</v>
      </c>
      <c r="E332" s="6" t="s">
        <v>210</v>
      </c>
      <c r="F332" s="8">
        <v>90.0</v>
      </c>
      <c r="G332" s="9">
        <v>606.04</v>
      </c>
      <c r="H332" s="9">
        <v>3657.24</v>
      </c>
      <c r="I332" s="6" t="s">
        <v>161</v>
      </c>
      <c r="J332" s="6" t="s">
        <v>357</v>
      </c>
      <c r="K332" s="6" t="s">
        <v>3021</v>
      </c>
      <c r="L332" s="6">
        <v>9.5883517486E10</v>
      </c>
      <c r="M332" s="6" t="s">
        <v>3022</v>
      </c>
      <c r="N332" s="6" t="s">
        <v>259</v>
      </c>
      <c r="O332" s="6" t="s">
        <v>161</v>
      </c>
      <c r="P332" s="10">
        <v>46044.0</v>
      </c>
    </row>
    <row r="333" ht="22.5" customHeight="1">
      <c r="A333" s="6" t="s">
        <v>3024</v>
      </c>
      <c r="B333" s="6" t="s">
        <v>3025</v>
      </c>
      <c r="C333" s="6" t="s">
        <v>3026</v>
      </c>
      <c r="D333" s="6" t="s">
        <v>145</v>
      </c>
      <c r="E333" s="6" t="s">
        <v>210</v>
      </c>
      <c r="F333" s="8">
        <v>113.0</v>
      </c>
      <c r="G333" s="9">
        <v>744.67</v>
      </c>
      <c r="H333" s="9">
        <v>4961.44</v>
      </c>
      <c r="I333" s="6" t="s">
        <v>178</v>
      </c>
      <c r="J333" s="6" t="s">
        <v>479</v>
      </c>
      <c r="K333" s="6" t="s">
        <v>3027</v>
      </c>
      <c r="L333" s="6">
        <v>9.9842294149E10</v>
      </c>
      <c r="M333" s="6" t="s">
        <v>3028</v>
      </c>
      <c r="N333" s="6" t="s">
        <v>427</v>
      </c>
      <c r="O333" s="6" t="s">
        <v>161</v>
      </c>
      <c r="P333" s="10">
        <v>46033.0</v>
      </c>
    </row>
    <row r="334" ht="22.5" customHeight="1">
      <c r="A334" s="6" t="s">
        <v>3030</v>
      </c>
      <c r="B334" s="6" t="s">
        <v>3031</v>
      </c>
      <c r="C334" s="6" t="s">
        <v>3032</v>
      </c>
      <c r="D334" s="6" t="s">
        <v>206</v>
      </c>
      <c r="E334" s="6" t="s">
        <v>147</v>
      </c>
      <c r="F334" s="8">
        <v>23.0</v>
      </c>
      <c r="G334" s="9">
        <v>709.84</v>
      </c>
      <c r="H334" s="9">
        <v>11884.95</v>
      </c>
      <c r="I334" s="6" t="s">
        <v>178</v>
      </c>
      <c r="J334" s="6" t="s">
        <v>442</v>
      </c>
      <c r="K334" s="6" t="s">
        <v>3034</v>
      </c>
      <c r="L334" s="6">
        <v>7.5298127859E10</v>
      </c>
      <c r="M334" s="6" t="s">
        <v>3035</v>
      </c>
      <c r="N334" s="6" t="s">
        <v>112</v>
      </c>
      <c r="O334" s="6" t="s">
        <v>161</v>
      </c>
      <c r="P334" s="10">
        <v>45979.0</v>
      </c>
    </row>
    <row r="335" ht="22.5" customHeight="1">
      <c r="A335" s="6" t="s">
        <v>3036</v>
      </c>
      <c r="B335" s="6" t="s">
        <v>3037</v>
      </c>
      <c r="C335" s="6" t="s">
        <v>3038</v>
      </c>
      <c r="D335" s="6" t="s">
        <v>383</v>
      </c>
      <c r="E335" s="6" t="s">
        <v>301</v>
      </c>
      <c r="F335" s="8">
        <v>54.0</v>
      </c>
      <c r="G335" s="9">
        <v>1494.8</v>
      </c>
      <c r="H335" s="9">
        <v>7544.93</v>
      </c>
      <c r="I335" s="6" t="s">
        <v>161</v>
      </c>
      <c r="J335" s="6" t="s">
        <v>312</v>
      </c>
      <c r="K335" s="6" t="s">
        <v>3040</v>
      </c>
      <c r="L335" s="6">
        <v>3.9097206663E10</v>
      </c>
      <c r="M335" s="6" t="s">
        <v>3041</v>
      </c>
      <c r="N335" s="6" t="s">
        <v>427</v>
      </c>
      <c r="O335" s="6" t="s">
        <v>178</v>
      </c>
      <c r="P335" s="10">
        <v>45940.0</v>
      </c>
    </row>
    <row r="336" ht="22.5" customHeight="1">
      <c r="A336" s="6" t="s">
        <v>3042</v>
      </c>
      <c r="B336" s="6" t="s">
        <v>3043</v>
      </c>
      <c r="C336" s="6" t="s">
        <v>3044</v>
      </c>
      <c r="D336" s="6" t="s">
        <v>145</v>
      </c>
      <c r="E336" s="6" t="s">
        <v>147</v>
      </c>
      <c r="F336" s="8">
        <v>11.0</v>
      </c>
      <c r="G336" s="9">
        <v>352.06</v>
      </c>
      <c r="H336" s="9">
        <v>3713.38</v>
      </c>
      <c r="I336" s="6" t="s">
        <v>161</v>
      </c>
      <c r="J336" s="6" t="s">
        <v>577</v>
      </c>
      <c r="K336" s="6" t="s">
        <v>3046</v>
      </c>
      <c r="L336" s="6">
        <v>2.756113137E10</v>
      </c>
      <c r="M336" s="6" t="s">
        <v>3047</v>
      </c>
      <c r="N336" s="6" t="s">
        <v>112</v>
      </c>
      <c r="O336" s="6" t="s">
        <v>178</v>
      </c>
      <c r="P336" s="10">
        <v>45977.0</v>
      </c>
    </row>
    <row r="337" ht="22.5" customHeight="1">
      <c r="A337" s="6" t="s">
        <v>3049</v>
      </c>
      <c r="B337" s="6" t="s">
        <v>3050</v>
      </c>
      <c r="C337" s="6" t="s">
        <v>3051</v>
      </c>
      <c r="D337" s="6" t="s">
        <v>145</v>
      </c>
      <c r="E337" s="6" t="s">
        <v>301</v>
      </c>
      <c r="F337" s="8">
        <v>38.0</v>
      </c>
      <c r="G337" s="9">
        <v>581.47</v>
      </c>
      <c r="H337" s="9">
        <v>8244.63</v>
      </c>
      <c r="I337" s="6" t="s">
        <v>161</v>
      </c>
      <c r="J337" s="6" t="s">
        <v>163</v>
      </c>
      <c r="K337" s="6" t="s">
        <v>3052</v>
      </c>
      <c r="L337" s="6">
        <v>9.3455953961E10</v>
      </c>
      <c r="M337" s="6" t="s">
        <v>3053</v>
      </c>
      <c r="N337" s="6" t="s">
        <v>283</v>
      </c>
      <c r="O337" s="6" t="s">
        <v>178</v>
      </c>
      <c r="P337" s="10">
        <v>45977.0</v>
      </c>
    </row>
    <row r="338" ht="22.5" customHeight="1">
      <c r="A338" s="6" t="s">
        <v>3055</v>
      </c>
      <c r="B338" s="6" t="s">
        <v>3056</v>
      </c>
      <c r="C338" s="6" t="s">
        <v>3057</v>
      </c>
      <c r="D338" s="6" t="s">
        <v>383</v>
      </c>
      <c r="E338" s="6" t="s">
        <v>301</v>
      </c>
      <c r="F338" s="8">
        <v>52.0</v>
      </c>
      <c r="G338" s="9">
        <v>955.09</v>
      </c>
      <c r="H338" s="9">
        <v>1616.33</v>
      </c>
      <c r="I338" s="6" t="s">
        <v>161</v>
      </c>
      <c r="J338" s="6" t="s">
        <v>577</v>
      </c>
      <c r="K338" s="6" t="s">
        <v>3058</v>
      </c>
      <c r="L338" s="6">
        <v>7.0862755347E10</v>
      </c>
      <c r="M338" s="6" t="s">
        <v>3060</v>
      </c>
      <c r="N338" s="6" t="s">
        <v>427</v>
      </c>
      <c r="O338" s="6" t="s">
        <v>178</v>
      </c>
      <c r="P338" s="10">
        <v>45965.0</v>
      </c>
    </row>
    <row r="339" ht="22.5" customHeight="1">
      <c r="A339" s="6" t="s">
        <v>3061</v>
      </c>
      <c r="B339" s="6" t="s">
        <v>3062</v>
      </c>
      <c r="C339" s="6" t="s">
        <v>3063</v>
      </c>
      <c r="D339" s="6" t="s">
        <v>145</v>
      </c>
      <c r="E339" s="6" t="s">
        <v>301</v>
      </c>
      <c r="F339" s="8">
        <v>41.0</v>
      </c>
      <c r="G339" s="9">
        <v>1534.92</v>
      </c>
      <c r="H339" s="9">
        <v>15277.76</v>
      </c>
      <c r="I339" s="6" t="s">
        <v>178</v>
      </c>
      <c r="J339" s="6" t="s">
        <v>577</v>
      </c>
      <c r="K339" s="6" t="s">
        <v>3065</v>
      </c>
      <c r="L339" s="6" t="s">
        <v>259</v>
      </c>
      <c r="M339" s="6" t="s">
        <v>3066</v>
      </c>
      <c r="N339" s="6" t="s">
        <v>176</v>
      </c>
      <c r="O339" s="6" t="s">
        <v>161</v>
      </c>
      <c r="P339" s="10">
        <v>46018.0</v>
      </c>
    </row>
    <row r="340" ht="22.5" customHeight="1">
      <c r="A340" s="6" t="s">
        <v>3067</v>
      </c>
      <c r="B340" s="6" t="s">
        <v>3068</v>
      </c>
      <c r="C340" s="6" t="s">
        <v>3069</v>
      </c>
      <c r="D340" s="6" t="s">
        <v>206</v>
      </c>
      <c r="E340" s="6" t="s">
        <v>210</v>
      </c>
      <c r="F340" s="8">
        <v>77.0</v>
      </c>
      <c r="G340" s="9">
        <v>1546.33</v>
      </c>
      <c r="H340" s="9">
        <v>6147.43</v>
      </c>
      <c r="I340" s="6" t="s">
        <v>161</v>
      </c>
      <c r="J340" s="6" t="s">
        <v>163</v>
      </c>
      <c r="K340" s="6" t="s">
        <v>3071</v>
      </c>
      <c r="L340" s="6">
        <v>4.0654385981E10</v>
      </c>
      <c r="M340" s="6" t="s">
        <v>3072</v>
      </c>
      <c r="N340" s="6" t="s">
        <v>427</v>
      </c>
      <c r="O340" s="6" t="s">
        <v>161</v>
      </c>
      <c r="P340" s="10">
        <v>46014.0</v>
      </c>
    </row>
    <row r="341" ht="22.5" customHeight="1">
      <c r="A341" s="6" t="s">
        <v>3073</v>
      </c>
      <c r="B341" s="6" t="s">
        <v>3074</v>
      </c>
      <c r="C341" s="6" t="s">
        <v>3075</v>
      </c>
      <c r="D341" s="6" t="s">
        <v>383</v>
      </c>
      <c r="E341" s="6" t="s">
        <v>147</v>
      </c>
      <c r="F341" s="8">
        <v>23.0</v>
      </c>
      <c r="G341" s="9">
        <v>799.19</v>
      </c>
      <c r="H341" s="9">
        <v>11591.22</v>
      </c>
      <c r="I341" s="6" t="s">
        <v>161</v>
      </c>
      <c r="J341" s="6" t="s">
        <v>421</v>
      </c>
      <c r="K341" s="6" t="s">
        <v>3077</v>
      </c>
      <c r="L341" s="6">
        <v>5.8646121678E10</v>
      </c>
      <c r="M341" s="6" t="s">
        <v>3078</v>
      </c>
      <c r="N341" s="6" t="s">
        <v>176</v>
      </c>
      <c r="O341" s="6" t="s">
        <v>178</v>
      </c>
      <c r="P341" s="10">
        <v>46027.0</v>
      </c>
    </row>
    <row r="342" ht="22.5" customHeight="1">
      <c r="A342" s="6" t="s">
        <v>3080</v>
      </c>
      <c r="B342" s="6" t="s">
        <v>3081</v>
      </c>
      <c r="C342" s="6" t="s">
        <v>3082</v>
      </c>
      <c r="D342" s="6" t="s">
        <v>206</v>
      </c>
      <c r="E342" s="6" t="s">
        <v>147</v>
      </c>
      <c r="F342" s="8">
        <v>23.0</v>
      </c>
      <c r="G342" s="9">
        <v>371.31</v>
      </c>
      <c r="H342" s="9">
        <v>13773.94</v>
      </c>
      <c r="I342" s="6" t="s">
        <v>161</v>
      </c>
      <c r="J342" s="6" t="s">
        <v>421</v>
      </c>
      <c r="K342" s="6" t="s">
        <v>3083</v>
      </c>
      <c r="L342" s="6">
        <v>7.9837058175E10</v>
      </c>
      <c r="M342" s="6" t="s">
        <v>3084</v>
      </c>
      <c r="N342" s="6" t="s">
        <v>427</v>
      </c>
      <c r="O342" s="6" t="s">
        <v>178</v>
      </c>
      <c r="P342" s="10">
        <v>45961.0</v>
      </c>
    </row>
    <row r="343" ht="22.5" customHeight="1">
      <c r="A343" s="6" t="s">
        <v>3086</v>
      </c>
      <c r="B343" s="6" t="s">
        <v>3087</v>
      </c>
      <c r="C343" s="6" t="s">
        <v>3088</v>
      </c>
      <c r="D343" s="6" t="s">
        <v>206</v>
      </c>
      <c r="E343" s="6" t="s">
        <v>301</v>
      </c>
      <c r="F343" s="8">
        <v>49.0</v>
      </c>
      <c r="G343" s="9">
        <v>1514.1</v>
      </c>
      <c r="H343" s="9">
        <v>12629.95</v>
      </c>
      <c r="I343" s="6" t="s">
        <v>178</v>
      </c>
      <c r="J343" s="6" t="s">
        <v>393</v>
      </c>
      <c r="K343" s="6" t="s">
        <v>3089</v>
      </c>
      <c r="L343" s="6">
        <v>1.0860384615E10</v>
      </c>
      <c r="M343" s="6" t="s">
        <v>3091</v>
      </c>
      <c r="N343" s="6" t="s">
        <v>259</v>
      </c>
      <c r="O343" s="6" t="s">
        <v>161</v>
      </c>
      <c r="P343" s="10">
        <v>45965.0</v>
      </c>
    </row>
    <row r="344" ht="22.5" customHeight="1">
      <c r="A344" s="6" t="s">
        <v>3092</v>
      </c>
      <c r="B344" s="6" t="s">
        <v>3093</v>
      </c>
      <c r="C344" s="6" t="s">
        <v>3094</v>
      </c>
      <c r="D344" s="6" t="s">
        <v>206</v>
      </c>
      <c r="E344" s="6" t="s">
        <v>147</v>
      </c>
      <c r="F344" s="8">
        <v>22.0</v>
      </c>
      <c r="G344" s="9">
        <v>152.05</v>
      </c>
      <c r="H344" s="9">
        <v>9790.08</v>
      </c>
      <c r="I344" s="6" t="s">
        <v>161</v>
      </c>
      <c r="J344" s="6" t="s">
        <v>479</v>
      </c>
      <c r="K344" s="6" t="s">
        <v>3096</v>
      </c>
      <c r="L344" s="6" t="s">
        <v>259</v>
      </c>
      <c r="M344" s="6" t="s">
        <v>3097</v>
      </c>
      <c r="N344" s="6" t="s">
        <v>176</v>
      </c>
      <c r="O344" s="6" t="s">
        <v>178</v>
      </c>
      <c r="P344" s="10">
        <v>46016.0</v>
      </c>
    </row>
    <row r="345" ht="22.5" customHeight="1">
      <c r="A345" s="6" t="s">
        <v>3099</v>
      </c>
      <c r="B345" s="6" t="s">
        <v>3100</v>
      </c>
      <c r="C345" s="6" t="s">
        <v>3101</v>
      </c>
      <c r="D345" s="6" t="s">
        <v>206</v>
      </c>
      <c r="E345" s="6" t="s">
        <v>301</v>
      </c>
      <c r="F345" s="8">
        <v>41.0</v>
      </c>
      <c r="G345" s="9">
        <v>1021.64</v>
      </c>
      <c r="H345" s="9">
        <v>5177.87</v>
      </c>
      <c r="I345" s="6" t="s">
        <v>161</v>
      </c>
      <c r="J345" s="6" t="s">
        <v>228</v>
      </c>
      <c r="K345" s="6" t="s">
        <v>3103</v>
      </c>
      <c r="L345" s="6">
        <v>6.1147977041E10</v>
      </c>
      <c r="M345" s="6" t="s">
        <v>3104</v>
      </c>
      <c r="N345" s="6" t="s">
        <v>427</v>
      </c>
      <c r="O345" s="6" t="s">
        <v>178</v>
      </c>
      <c r="P345" s="10">
        <v>46037.0</v>
      </c>
    </row>
    <row r="346" ht="22.5" customHeight="1">
      <c r="A346" s="6" t="s">
        <v>3105</v>
      </c>
      <c r="B346" s="6" t="s">
        <v>3106</v>
      </c>
      <c r="C346" s="6" t="s">
        <v>3107</v>
      </c>
      <c r="D346" s="6" t="s">
        <v>145</v>
      </c>
      <c r="E346" s="6" t="s">
        <v>210</v>
      </c>
      <c r="F346" s="8">
        <v>103.0</v>
      </c>
      <c r="G346" s="9">
        <v>1111.32</v>
      </c>
      <c r="H346" s="9">
        <v>2042.13</v>
      </c>
      <c r="I346" s="6" t="s">
        <v>161</v>
      </c>
      <c r="J346" s="6" t="s">
        <v>442</v>
      </c>
      <c r="K346" s="6" t="s">
        <v>3109</v>
      </c>
      <c r="L346" s="6">
        <v>9.9167156572E10</v>
      </c>
      <c r="M346" s="6" t="s">
        <v>3110</v>
      </c>
      <c r="N346" s="6" t="s">
        <v>283</v>
      </c>
      <c r="O346" s="6" t="s">
        <v>161</v>
      </c>
      <c r="P346" s="10">
        <v>45996.0</v>
      </c>
    </row>
    <row r="347" ht="22.5" customHeight="1">
      <c r="A347" s="6" t="s">
        <v>3111</v>
      </c>
      <c r="B347" s="6" t="s">
        <v>3112</v>
      </c>
      <c r="C347" s="6" t="s">
        <v>3113</v>
      </c>
      <c r="D347" s="6" t="s">
        <v>383</v>
      </c>
      <c r="E347" s="6" t="s">
        <v>147</v>
      </c>
      <c r="F347" s="8">
        <v>25.0</v>
      </c>
      <c r="G347" s="9">
        <v>1779.1</v>
      </c>
      <c r="H347" s="9">
        <v>4742.15</v>
      </c>
      <c r="I347" s="6" t="s">
        <v>161</v>
      </c>
      <c r="J347" s="6" t="s">
        <v>421</v>
      </c>
      <c r="K347" s="6" t="s">
        <v>259</v>
      </c>
      <c r="L347" s="6">
        <v>3.5760169718E10</v>
      </c>
      <c r="M347" s="6" t="s">
        <v>3115</v>
      </c>
      <c r="N347" s="6" t="s">
        <v>427</v>
      </c>
      <c r="O347" s="6" t="s">
        <v>178</v>
      </c>
      <c r="P347" s="10">
        <v>45959.0</v>
      </c>
    </row>
    <row r="348" ht="22.5" customHeight="1">
      <c r="A348" s="6" t="s">
        <v>3117</v>
      </c>
      <c r="B348" s="6" t="s">
        <v>3118</v>
      </c>
      <c r="C348" s="6" t="s">
        <v>3119</v>
      </c>
      <c r="D348" s="6" t="s">
        <v>145</v>
      </c>
      <c r="E348" s="6" t="s">
        <v>301</v>
      </c>
      <c r="F348" s="8">
        <v>37.0</v>
      </c>
      <c r="G348" s="9">
        <v>857.63</v>
      </c>
      <c r="H348" s="9">
        <v>12343.56</v>
      </c>
      <c r="I348" s="6" t="s">
        <v>161</v>
      </c>
      <c r="J348" s="6" t="s">
        <v>163</v>
      </c>
      <c r="K348" s="6" t="s">
        <v>3120</v>
      </c>
      <c r="L348" s="6">
        <v>4.6055429149E10</v>
      </c>
      <c r="M348" s="6" t="s">
        <v>3121</v>
      </c>
      <c r="N348" s="6" t="s">
        <v>259</v>
      </c>
      <c r="O348" s="6" t="s">
        <v>178</v>
      </c>
      <c r="P348" s="10">
        <v>46021.0</v>
      </c>
    </row>
    <row r="349" ht="22.5" customHeight="1">
      <c r="A349" s="6" t="s">
        <v>3123</v>
      </c>
      <c r="B349" s="6" t="s">
        <v>3124</v>
      </c>
      <c r="C349" s="6" t="s">
        <v>3125</v>
      </c>
      <c r="D349" s="6" t="s">
        <v>145</v>
      </c>
      <c r="E349" s="6" t="s">
        <v>301</v>
      </c>
      <c r="F349" s="8">
        <v>46.0</v>
      </c>
      <c r="G349" s="9">
        <v>962.57</v>
      </c>
      <c r="H349" s="9">
        <v>2603.95</v>
      </c>
      <c r="I349" s="6" t="s">
        <v>161</v>
      </c>
      <c r="J349" s="6" t="s">
        <v>479</v>
      </c>
      <c r="K349" s="6" t="s">
        <v>259</v>
      </c>
      <c r="L349" s="6" t="s">
        <v>259</v>
      </c>
      <c r="M349" s="6" t="s">
        <v>3127</v>
      </c>
      <c r="N349" s="6" t="s">
        <v>259</v>
      </c>
      <c r="O349" s="6" t="s">
        <v>178</v>
      </c>
      <c r="P349" s="10">
        <v>45941.0</v>
      </c>
    </row>
    <row r="350" ht="22.5" customHeight="1">
      <c r="A350" s="6" t="s">
        <v>3128</v>
      </c>
      <c r="B350" s="6" t="s">
        <v>3129</v>
      </c>
      <c r="C350" s="6" t="s">
        <v>3130</v>
      </c>
      <c r="D350" s="6" t="s">
        <v>145</v>
      </c>
      <c r="E350" s="6" t="s">
        <v>210</v>
      </c>
      <c r="F350" s="8">
        <v>78.0</v>
      </c>
      <c r="G350" s="9">
        <v>522.21</v>
      </c>
      <c r="H350" s="9">
        <v>12135.06</v>
      </c>
      <c r="I350" s="6" t="s">
        <v>161</v>
      </c>
      <c r="J350" s="6" t="s">
        <v>357</v>
      </c>
      <c r="K350" s="6" t="s">
        <v>3132</v>
      </c>
      <c r="L350" s="6">
        <v>8.2037333035E10</v>
      </c>
      <c r="M350" s="6" t="s">
        <v>3133</v>
      </c>
      <c r="N350" s="6" t="s">
        <v>259</v>
      </c>
      <c r="O350" s="6" t="s">
        <v>161</v>
      </c>
      <c r="P350" s="10">
        <v>46032.0</v>
      </c>
    </row>
    <row r="351" ht="22.5" customHeight="1">
      <c r="A351" s="6" t="s">
        <v>3134</v>
      </c>
      <c r="B351" s="6" t="s">
        <v>3135</v>
      </c>
      <c r="C351" s="6" t="s">
        <v>3136</v>
      </c>
      <c r="D351" s="6" t="s">
        <v>145</v>
      </c>
      <c r="E351" s="6" t="s">
        <v>301</v>
      </c>
      <c r="F351" s="8">
        <v>34.0</v>
      </c>
      <c r="G351" s="9">
        <v>1780.58</v>
      </c>
      <c r="H351" s="9">
        <v>10462.91</v>
      </c>
      <c r="I351" s="6" t="s">
        <v>161</v>
      </c>
      <c r="J351" s="6" t="s">
        <v>479</v>
      </c>
      <c r="K351" s="6" t="s">
        <v>3138</v>
      </c>
      <c r="L351" s="6">
        <v>3.3964477867E10</v>
      </c>
      <c r="M351" s="6" t="s">
        <v>3139</v>
      </c>
      <c r="N351" s="6" t="s">
        <v>259</v>
      </c>
      <c r="O351" s="6" t="s">
        <v>178</v>
      </c>
      <c r="P351" s="10">
        <v>45980.0</v>
      </c>
    </row>
    <row r="352" ht="22.5" customHeight="1">
      <c r="A352" s="6" t="s">
        <v>3140</v>
      </c>
      <c r="B352" s="6" t="s">
        <v>3141</v>
      </c>
      <c r="C352" s="6" t="s">
        <v>3143</v>
      </c>
      <c r="D352" s="6" t="s">
        <v>383</v>
      </c>
      <c r="E352" s="6" t="s">
        <v>147</v>
      </c>
      <c r="F352" s="8">
        <v>25.0</v>
      </c>
      <c r="G352" s="9">
        <v>998.0</v>
      </c>
      <c r="H352" s="9">
        <v>4299.99</v>
      </c>
      <c r="I352" s="6" t="s">
        <v>161</v>
      </c>
      <c r="J352" s="6" t="s">
        <v>259</v>
      </c>
      <c r="K352" s="6" t="s">
        <v>3144</v>
      </c>
      <c r="L352" s="6">
        <v>8.0862083005E10</v>
      </c>
      <c r="M352" s="6" t="s">
        <v>3145</v>
      </c>
      <c r="N352" s="6" t="s">
        <v>283</v>
      </c>
      <c r="O352" s="6" t="s">
        <v>178</v>
      </c>
      <c r="P352" s="10">
        <v>46013.0</v>
      </c>
    </row>
    <row r="353" ht="22.5" customHeight="1">
      <c r="A353" s="6" t="s">
        <v>3147</v>
      </c>
      <c r="B353" s="6" t="s">
        <v>3148</v>
      </c>
      <c r="C353" s="6" t="s">
        <v>3149</v>
      </c>
      <c r="D353" s="6" t="s">
        <v>145</v>
      </c>
      <c r="E353" s="6" t="s">
        <v>301</v>
      </c>
      <c r="F353" s="8">
        <v>57.0</v>
      </c>
      <c r="G353" s="9">
        <v>704.86</v>
      </c>
      <c r="H353" s="9">
        <v>12081.92</v>
      </c>
      <c r="I353" s="6" t="s">
        <v>161</v>
      </c>
      <c r="J353" s="6" t="s">
        <v>312</v>
      </c>
      <c r="K353" s="6" t="s">
        <v>3151</v>
      </c>
      <c r="L353" s="6">
        <v>8.2786827345E10</v>
      </c>
      <c r="M353" s="6" t="s">
        <v>3152</v>
      </c>
      <c r="N353" s="6" t="s">
        <v>259</v>
      </c>
      <c r="O353" s="6" t="s">
        <v>178</v>
      </c>
      <c r="P353" s="10">
        <v>45948.0</v>
      </c>
    </row>
    <row r="354" ht="22.5" customHeight="1">
      <c r="A354" s="6" t="s">
        <v>3153</v>
      </c>
      <c r="B354" s="6" t="s">
        <v>3154</v>
      </c>
      <c r="C354" s="6" t="s">
        <v>3155</v>
      </c>
      <c r="D354" s="6" t="s">
        <v>145</v>
      </c>
      <c r="E354" s="6" t="s">
        <v>301</v>
      </c>
      <c r="F354" s="8">
        <v>38.0</v>
      </c>
      <c r="G354" s="9">
        <v>298.31</v>
      </c>
      <c r="H354" s="9">
        <v>6683.86</v>
      </c>
      <c r="I354" s="6" t="s">
        <v>161</v>
      </c>
      <c r="J354" s="6" t="s">
        <v>465</v>
      </c>
      <c r="K354" s="6" t="s">
        <v>3157</v>
      </c>
      <c r="L354" s="6">
        <v>3.616788794E10</v>
      </c>
      <c r="M354" s="6" t="s">
        <v>3158</v>
      </c>
      <c r="N354" s="6" t="s">
        <v>112</v>
      </c>
      <c r="O354" s="6" t="s">
        <v>178</v>
      </c>
      <c r="P354" s="10">
        <v>46043.0</v>
      </c>
    </row>
    <row r="355" ht="22.5" customHeight="1">
      <c r="A355" s="6" t="s">
        <v>3160</v>
      </c>
      <c r="B355" s="6" t="s">
        <v>3161</v>
      </c>
      <c r="C355" s="6" t="s">
        <v>3162</v>
      </c>
      <c r="D355" s="6" t="s">
        <v>145</v>
      </c>
      <c r="E355" s="6" t="s">
        <v>301</v>
      </c>
      <c r="F355" s="8">
        <v>38.0</v>
      </c>
      <c r="G355" s="9">
        <v>145.49</v>
      </c>
      <c r="H355" s="9">
        <v>1351.92</v>
      </c>
      <c r="I355" s="6" t="s">
        <v>161</v>
      </c>
      <c r="J355" s="6" t="s">
        <v>228</v>
      </c>
      <c r="K355" s="6" t="s">
        <v>3163</v>
      </c>
      <c r="L355" s="6">
        <v>3.7368843711E10</v>
      </c>
      <c r="M355" s="6" t="s">
        <v>3165</v>
      </c>
      <c r="N355" s="6" t="s">
        <v>176</v>
      </c>
      <c r="O355" s="6" t="s">
        <v>178</v>
      </c>
      <c r="P355" s="10">
        <v>45962.0</v>
      </c>
    </row>
    <row r="356" ht="22.5" customHeight="1">
      <c r="A356" s="6" t="s">
        <v>3166</v>
      </c>
      <c r="B356" s="6" t="s">
        <v>3167</v>
      </c>
      <c r="C356" s="6" t="s">
        <v>3168</v>
      </c>
      <c r="D356" s="6" t="s">
        <v>145</v>
      </c>
      <c r="E356" s="6" t="s">
        <v>147</v>
      </c>
      <c r="F356" s="8">
        <v>17.0</v>
      </c>
      <c r="G356" s="9">
        <v>1689.26</v>
      </c>
      <c r="H356" s="9">
        <v>13407.23</v>
      </c>
      <c r="I356" s="6" t="s">
        <v>161</v>
      </c>
      <c r="J356" s="6" t="s">
        <v>465</v>
      </c>
      <c r="K356" s="6" t="s">
        <v>3170</v>
      </c>
      <c r="L356" s="6">
        <v>2.6432997026E10</v>
      </c>
      <c r="M356" s="6" t="s">
        <v>3171</v>
      </c>
      <c r="N356" s="6" t="s">
        <v>259</v>
      </c>
      <c r="O356" s="6" t="s">
        <v>178</v>
      </c>
      <c r="P356" s="10">
        <v>45943.0</v>
      </c>
    </row>
    <row r="357" ht="22.5" customHeight="1">
      <c r="A357" s="6" t="s">
        <v>3172</v>
      </c>
      <c r="B357" s="6" t="s">
        <v>3174</v>
      </c>
      <c r="C357" s="6" t="s">
        <v>3175</v>
      </c>
      <c r="D357" s="6" t="s">
        <v>145</v>
      </c>
      <c r="E357" s="6" t="s">
        <v>147</v>
      </c>
      <c r="F357" s="8">
        <v>11.0</v>
      </c>
      <c r="G357" s="9">
        <v>1360.68</v>
      </c>
      <c r="H357" s="9">
        <v>8093.79</v>
      </c>
      <c r="I357" s="6" t="s">
        <v>178</v>
      </c>
      <c r="J357" s="6" t="s">
        <v>312</v>
      </c>
      <c r="K357" s="6" t="s">
        <v>3176</v>
      </c>
      <c r="L357" s="6">
        <v>2.0580428978E10</v>
      </c>
      <c r="M357" s="6" t="s">
        <v>3177</v>
      </c>
      <c r="N357" s="6" t="s">
        <v>176</v>
      </c>
      <c r="O357" s="6" t="s">
        <v>161</v>
      </c>
      <c r="P357" s="10">
        <v>46040.0</v>
      </c>
    </row>
    <row r="358" ht="22.5" customHeight="1">
      <c r="A358" s="6" t="s">
        <v>3179</v>
      </c>
      <c r="B358" s="6" t="s">
        <v>3180</v>
      </c>
      <c r="C358" s="6" t="s">
        <v>3181</v>
      </c>
      <c r="D358" s="6" t="s">
        <v>206</v>
      </c>
      <c r="E358" s="6" t="s">
        <v>301</v>
      </c>
      <c r="F358" s="8">
        <v>45.0</v>
      </c>
      <c r="G358" s="9">
        <v>393.26</v>
      </c>
      <c r="H358" s="9">
        <v>11432.04</v>
      </c>
      <c r="I358" s="6" t="s">
        <v>161</v>
      </c>
      <c r="J358" s="6" t="s">
        <v>163</v>
      </c>
      <c r="K358" s="6" t="s">
        <v>3183</v>
      </c>
      <c r="L358" s="6" t="s">
        <v>259</v>
      </c>
      <c r="M358" s="6" t="s">
        <v>3184</v>
      </c>
      <c r="N358" s="6" t="s">
        <v>427</v>
      </c>
      <c r="O358" s="6" t="s">
        <v>178</v>
      </c>
      <c r="P358" s="10">
        <v>45937.0</v>
      </c>
    </row>
    <row r="359" ht="22.5" customHeight="1">
      <c r="A359" s="6" t="s">
        <v>3185</v>
      </c>
      <c r="B359" s="6" t="s">
        <v>3186</v>
      </c>
      <c r="C359" s="6" t="s">
        <v>3187</v>
      </c>
      <c r="D359" s="6" t="s">
        <v>145</v>
      </c>
      <c r="E359" s="6" t="s">
        <v>147</v>
      </c>
      <c r="F359" s="8">
        <v>17.0</v>
      </c>
      <c r="G359" s="9">
        <v>259.78</v>
      </c>
      <c r="H359" s="9">
        <v>3995.92</v>
      </c>
      <c r="I359" s="6" t="s">
        <v>161</v>
      </c>
      <c r="J359" s="6" t="s">
        <v>595</v>
      </c>
      <c r="K359" s="6" t="s">
        <v>3189</v>
      </c>
      <c r="L359" s="6">
        <v>3.3390748465E10</v>
      </c>
      <c r="M359" s="6" t="s">
        <v>3190</v>
      </c>
      <c r="N359" s="6" t="s">
        <v>427</v>
      </c>
      <c r="O359" s="6" t="s">
        <v>178</v>
      </c>
      <c r="P359" s="10">
        <v>45960.0</v>
      </c>
    </row>
    <row r="360" ht="22.5" customHeight="1">
      <c r="A360" s="6" t="s">
        <v>3191</v>
      </c>
      <c r="B360" s="6" t="s">
        <v>3193</v>
      </c>
      <c r="C360" s="6" t="s">
        <v>3194</v>
      </c>
      <c r="D360" s="6" t="s">
        <v>383</v>
      </c>
      <c r="E360" s="6" t="s">
        <v>210</v>
      </c>
      <c r="F360" s="8">
        <v>101.0</v>
      </c>
      <c r="G360" s="9">
        <v>1227.18</v>
      </c>
      <c r="H360" s="9">
        <v>7016.43</v>
      </c>
      <c r="I360" s="6" t="s">
        <v>178</v>
      </c>
      <c r="J360" s="6" t="s">
        <v>421</v>
      </c>
      <c r="K360" s="6" t="s">
        <v>3195</v>
      </c>
      <c r="L360" s="6">
        <v>8.3935261393E10</v>
      </c>
      <c r="M360" s="6" t="s">
        <v>3196</v>
      </c>
      <c r="N360" s="6" t="s">
        <v>112</v>
      </c>
      <c r="O360" s="6" t="s">
        <v>161</v>
      </c>
      <c r="P360" s="10">
        <v>45971.0</v>
      </c>
    </row>
    <row r="361" ht="22.5" customHeight="1">
      <c r="A361" s="6" t="s">
        <v>3198</v>
      </c>
      <c r="B361" s="6" t="s">
        <v>3199</v>
      </c>
      <c r="C361" s="6" t="s">
        <v>3200</v>
      </c>
      <c r="D361" s="6" t="s">
        <v>383</v>
      </c>
      <c r="E361" s="6" t="s">
        <v>301</v>
      </c>
      <c r="F361" s="8">
        <v>48.0</v>
      </c>
      <c r="G361" s="9">
        <v>215.89</v>
      </c>
      <c r="H361" s="9">
        <v>12038.72</v>
      </c>
      <c r="I361" s="6" t="s">
        <v>161</v>
      </c>
      <c r="J361" s="6" t="s">
        <v>393</v>
      </c>
      <c r="K361" s="6" t="s">
        <v>3201</v>
      </c>
      <c r="L361" s="6">
        <v>9.690625891E10</v>
      </c>
      <c r="M361" s="6" t="s">
        <v>3203</v>
      </c>
      <c r="N361" s="6" t="s">
        <v>259</v>
      </c>
      <c r="O361" s="6" t="s">
        <v>178</v>
      </c>
      <c r="P361" s="10">
        <v>46023.0</v>
      </c>
    </row>
    <row r="362" ht="22.5" customHeight="1">
      <c r="A362" s="6" t="s">
        <v>3204</v>
      </c>
      <c r="B362" s="6" t="s">
        <v>3205</v>
      </c>
      <c r="C362" s="6" t="s">
        <v>3206</v>
      </c>
      <c r="D362" s="6" t="s">
        <v>145</v>
      </c>
      <c r="E362" s="6" t="s">
        <v>301</v>
      </c>
      <c r="F362" s="8">
        <v>59.0</v>
      </c>
      <c r="G362" s="9">
        <v>1061.61</v>
      </c>
      <c r="H362" s="9">
        <v>7092.64</v>
      </c>
      <c r="I362" s="6" t="s">
        <v>161</v>
      </c>
      <c r="J362" s="6" t="s">
        <v>577</v>
      </c>
      <c r="K362" s="6" t="s">
        <v>3208</v>
      </c>
      <c r="L362" s="6">
        <v>2.7963382986E10</v>
      </c>
      <c r="M362" s="6" t="s">
        <v>3209</v>
      </c>
      <c r="N362" s="6" t="s">
        <v>259</v>
      </c>
      <c r="O362" s="6" t="s">
        <v>178</v>
      </c>
      <c r="P362" s="10">
        <v>46012.0</v>
      </c>
    </row>
    <row r="363" ht="22.5" customHeight="1">
      <c r="A363" s="6" t="s">
        <v>3210</v>
      </c>
      <c r="B363" s="6" t="s">
        <v>3211</v>
      </c>
      <c r="C363" s="6" t="s">
        <v>3212</v>
      </c>
      <c r="D363" s="6" t="s">
        <v>206</v>
      </c>
      <c r="E363" s="6" t="s">
        <v>147</v>
      </c>
      <c r="F363" s="8">
        <v>12.0</v>
      </c>
      <c r="G363" s="9">
        <v>1130.93</v>
      </c>
      <c r="H363" s="9">
        <v>11302.25</v>
      </c>
      <c r="I363" s="6" t="s">
        <v>161</v>
      </c>
      <c r="J363" s="6" t="s">
        <v>465</v>
      </c>
      <c r="K363" s="6" t="s">
        <v>3214</v>
      </c>
      <c r="L363" s="6" t="s">
        <v>259</v>
      </c>
      <c r="M363" s="6" t="s">
        <v>3215</v>
      </c>
      <c r="N363" s="6" t="s">
        <v>259</v>
      </c>
      <c r="O363" s="6" t="s">
        <v>178</v>
      </c>
      <c r="P363" s="10">
        <v>45945.0</v>
      </c>
    </row>
    <row r="364" ht="22.5" customHeight="1">
      <c r="A364" s="6" t="s">
        <v>3216</v>
      </c>
      <c r="B364" s="6" t="s">
        <v>3217</v>
      </c>
      <c r="C364" s="6" t="s">
        <v>3218</v>
      </c>
      <c r="D364" s="6" t="s">
        <v>145</v>
      </c>
      <c r="E364" s="6" t="s">
        <v>147</v>
      </c>
      <c r="F364" s="8">
        <v>20.0</v>
      </c>
      <c r="G364" s="9">
        <v>1360.6</v>
      </c>
      <c r="H364" s="9">
        <v>10685.75</v>
      </c>
      <c r="I364" s="6" t="s">
        <v>161</v>
      </c>
      <c r="J364" s="6" t="s">
        <v>479</v>
      </c>
      <c r="K364" s="6" t="s">
        <v>3220</v>
      </c>
      <c r="L364" s="6">
        <v>5.026003901E10</v>
      </c>
      <c r="M364" s="6" t="s">
        <v>3221</v>
      </c>
      <c r="N364" s="6" t="s">
        <v>112</v>
      </c>
      <c r="O364" s="6" t="s">
        <v>178</v>
      </c>
      <c r="P364" s="10">
        <v>45948.0</v>
      </c>
    </row>
    <row r="365" ht="22.5" customHeight="1">
      <c r="A365" s="6" t="s">
        <v>3222</v>
      </c>
      <c r="B365" s="6" t="s">
        <v>3223</v>
      </c>
      <c r="C365" s="6" t="s">
        <v>3225</v>
      </c>
      <c r="D365" s="6" t="s">
        <v>206</v>
      </c>
      <c r="E365" s="6" t="s">
        <v>210</v>
      </c>
      <c r="F365" s="8">
        <v>62.0</v>
      </c>
      <c r="G365" s="9">
        <v>1743.37</v>
      </c>
      <c r="H365" s="9">
        <v>6477.23</v>
      </c>
      <c r="I365" s="6" t="s">
        <v>161</v>
      </c>
      <c r="J365" s="6" t="s">
        <v>442</v>
      </c>
      <c r="K365" s="6" t="s">
        <v>3226</v>
      </c>
      <c r="L365" s="6">
        <v>6.405560948E9</v>
      </c>
      <c r="M365" s="6" t="s">
        <v>3227</v>
      </c>
      <c r="N365" s="6" t="s">
        <v>283</v>
      </c>
      <c r="O365" s="6" t="s">
        <v>161</v>
      </c>
      <c r="P365" s="10">
        <v>45960.0</v>
      </c>
    </row>
    <row r="366" ht="22.5" customHeight="1">
      <c r="A366" s="6" t="s">
        <v>3229</v>
      </c>
      <c r="B366" s="6" t="s">
        <v>3230</v>
      </c>
      <c r="C366" s="6" t="s">
        <v>3231</v>
      </c>
      <c r="D366" s="6" t="s">
        <v>145</v>
      </c>
      <c r="E366" s="6" t="s">
        <v>147</v>
      </c>
      <c r="F366" s="8">
        <v>27.0</v>
      </c>
      <c r="G366" s="9">
        <v>977.51</v>
      </c>
      <c r="H366" s="9">
        <v>14846.99</v>
      </c>
      <c r="I366" s="6" t="s">
        <v>161</v>
      </c>
      <c r="J366" s="6" t="s">
        <v>357</v>
      </c>
      <c r="K366" s="6" t="s">
        <v>3232</v>
      </c>
      <c r="L366" s="6">
        <v>6.5035365291E10</v>
      </c>
      <c r="M366" s="6" t="s">
        <v>3234</v>
      </c>
      <c r="N366" s="6" t="s">
        <v>427</v>
      </c>
      <c r="O366" s="6" t="s">
        <v>178</v>
      </c>
      <c r="P366" s="10">
        <v>46043.0</v>
      </c>
    </row>
    <row r="367" ht="22.5" customHeight="1">
      <c r="A367" s="6" t="s">
        <v>3235</v>
      </c>
      <c r="B367" s="6" t="s">
        <v>3236</v>
      </c>
      <c r="C367" s="6" t="s">
        <v>3237</v>
      </c>
      <c r="D367" s="6" t="s">
        <v>145</v>
      </c>
      <c r="E367" s="6" t="s">
        <v>147</v>
      </c>
      <c r="F367" s="8">
        <v>17.0</v>
      </c>
      <c r="G367" s="9">
        <v>1408.7</v>
      </c>
      <c r="H367" s="9">
        <v>1943.71</v>
      </c>
      <c r="I367" s="6" t="s">
        <v>161</v>
      </c>
      <c r="J367" s="6" t="s">
        <v>163</v>
      </c>
      <c r="K367" s="6" t="s">
        <v>3239</v>
      </c>
      <c r="L367" s="6">
        <v>5.838636304E9</v>
      </c>
      <c r="M367" s="6" t="s">
        <v>3240</v>
      </c>
      <c r="N367" s="6" t="s">
        <v>112</v>
      </c>
      <c r="O367" s="6" t="s">
        <v>178</v>
      </c>
      <c r="P367" s="10">
        <v>45960.0</v>
      </c>
    </row>
    <row r="368" ht="22.5" customHeight="1">
      <c r="A368" s="6" t="s">
        <v>3242</v>
      </c>
      <c r="B368" s="6" t="s">
        <v>3243</v>
      </c>
      <c r="C368" s="6" t="s">
        <v>3244</v>
      </c>
      <c r="D368" s="6" t="s">
        <v>145</v>
      </c>
      <c r="E368" s="6" t="s">
        <v>210</v>
      </c>
      <c r="F368" s="8">
        <v>74.0</v>
      </c>
      <c r="G368" s="9">
        <v>1789.7</v>
      </c>
      <c r="H368" s="9">
        <v>9338.29</v>
      </c>
      <c r="I368" s="6" t="s">
        <v>178</v>
      </c>
      <c r="J368" s="6" t="s">
        <v>357</v>
      </c>
      <c r="K368" s="6" t="s">
        <v>3246</v>
      </c>
      <c r="L368" s="6">
        <v>5.3831483877E10</v>
      </c>
      <c r="M368" s="6" t="s">
        <v>3247</v>
      </c>
      <c r="N368" s="6" t="s">
        <v>176</v>
      </c>
      <c r="O368" s="6" t="s">
        <v>161</v>
      </c>
      <c r="P368" s="10">
        <v>45977.0</v>
      </c>
    </row>
    <row r="369" ht="22.5" customHeight="1">
      <c r="A369" s="6" t="s">
        <v>3248</v>
      </c>
      <c r="B369" s="6" t="s">
        <v>3249</v>
      </c>
      <c r="C369" s="6" t="s">
        <v>3250</v>
      </c>
      <c r="D369" s="6" t="s">
        <v>145</v>
      </c>
      <c r="E369" s="6" t="s">
        <v>147</v>
      </c>
      <c r="F369" s="8">
        <v>26.0</v>
      </c>
      <c r="G369" s="9">
        <v>798.64</v>
      </c>
      <c r="H369" s="9">
        <v>6998.24</v>
      </c>
      <c r="I369" s="6" t="s">
        <v>161</v>
      </c>
      <c r="J369" s="6" t="s">
        <v>393</v>
      </c>
      <c r="K369" s="6" t="s">
        <v>3252</v>
      </c>
      <c r="L369" s="6">
        <v>5.78643349E9</v>
      </c>
      <c r="M369" s="6" t="s">
        <v>3253</v>
      </c>
      <c r="N369" s="6" t="s">
        <v>259</v>
      </c>
      <c r="O369" s="6" t="s">
        <v>178</v>
      </c>
      <c r="P369" s="10">
        <v>45974.0</v>
      </c>
    </row>
    <row r="370" ht="22.5" customHeight="1">
      <c r="A370" s="6" t="s">
        <v>3254</v>
      </c>
      <c r="B370" s="6" t="s">
        <v>3255</v>
      </c>
      <c r="C370" s="6" t="s">
        <v>3256</v>
      </c>
      <c r="D370" s="6" t="s">
        <v>145</v>
      </c>
      <c r="E370" s="6" t="s">
        <v>147</v>
      </c>
      <c r="F370" s="8">
        <v>5.0</v>
      </c>
      <c r="G370" s="9">
        <v>583.76</v>
      </c>
      <c r="H370" s="9">
        <v>13751.51</v>
      </c>
      <c r="I370" s="6" t="s">
        <v>161</v>
      </c>
      <c r="J370" s="6" t="s">
        <v>465</v>
      </c>
      <c r="K370" s="6" t="s">
        <v>3258</v>
      </c>
      <c r="L370" s="6">
        <v>1.6960180727E10</v>
      </c>
      <c r="M370" s="6" t="s">
        <v>3259</v>
      </c>
      <c r="N370" s="6" t="s">
        <v>176</v>
      </c>
      <c r="O370" s="6" t="s">
        <v>178</v>
      </c>
      <c r="P370" s="10">
        <v>45999.0</v>
      </c>
    </row>
    <row r="371" ht="22.5" customHeight="1">
      <c r="A371" s="6" t="s">
        <v>3260</v>
      </c>
      <c r="B371" s="6" t="s">
        <v>3261</v>
      </c>
      <c r="C371" s="6" t="s">
        <v>3263</v>
      </c>
      <c r="D371" s="6" t="s">
        <v>145</v>
      </c>
      <c r="E371" s="6" t="s">
        <v>147</v>
      </c>
      <c r="F371" s="8">
        <v>9.0</v>
      </c>
      <c r="G371" s="9">
        <v>1472.69</v>
      </c>
      <c r="H371" s="9">
        <v>6344.98</v>
      </c>
      <c r="I371" s="6" t="s">
        <v>161</v>
      </c>
      <c r="J371" s="6" t="s">
        <v>312</v>
      </c>
      <c r="K371" s="6" t="s">
        <v>3264</v>
      </c>
      <c r="L371" s="6" t="s">
        <v>259</v>
      </c>
      <c r="M371" s="6" t="s">
        <v>3265</v>
      </c>
      <c r="N371" s="6" t="s">
        <v>112</v>
      </c>
      <c r="O371" s="6" t="s">
        <v>178</v>
      </c>
      <c r="P371" s="10">
        <v>46026.0</v>
      </c>
    </row>
    <row r="372" ht="22.5" customHeight="1">
      <c r="A372" s="6" t="s">
        <v>3267</v>
      </c>
      <c r="B372" s="6" t="s">
        <v>3268</v>
      </c>
      <c r="C372" s="6" t="s">
        <v>3269</v>
      </c>
      <c r="D372" s="6" t="s">
        <v>206</v>
      </c>
      <c r="E372" s="6" t="s">
        <v>147</v>
      </c>
      <c r="F372" s="8">
        <v>29.0</v>
      </c>
      <c r="G372" s="9">
        <v>258.61</v>
      </c>
      <c r="H372" s="9">
        <v>9859.79</v>
      </c>
      <c r="I372" s="6" t="s">
        <v>161</v>
      </c>
      <c r="J372" s="6" t="s">
        <v>479</v>
      </c>
      <c r="K372" s="6" t="s">
        <v>3270</v>
      </c>
      <c r="L372" s="6">
        <v>3.9530894376E10</v>
      </c>
      <c r="M372" s="6" t="s">
        <v>3271</v>
      </c>
      <c r="N372" s="6" t="s">
        <v>176</v>
      </c>
      <c r="O372" s="6" t="s">
        <v>178</v>
      </c>
      <c r="P372" s="10">
        <v>46020.0</v>
      </c>
    </row>
    <row r="373" ht="22.5" customHeight="1">
      <c r="A373" s="6" t="s">
        <v>3273</v>
      </c>
      <c r="B373" s="6" t="s">
        <v>3274</v>
      </c>
      <c r="C373" s="6" t="s">
        <v>3275</v>
      </c>
      <c r="D373" s="6" t="s">
        <v>206</v>
      </c>
      <c r="E373" s="6" t="s">
        <v>147</v>
      </c>
      <c r="F373" s="8">
        <v>12.0</v>
      </c>
      <c r="G373" s="9">
        <v>1685.02</v>
      </c>
      <c r="H373" s="9">
        <v>9653.05</v>
      </c>
      <c r="I373" s="6" t="s">
        <v>161</v>
      </c>
      <c r="J373" s="6" t="s">
        <v>163</v>
      </c>
      <c r="K373" s="6" t="s">
        <v>3276</v>
      </c>
      <c r="L373" s="6">
        <v>5.514532793E9</v>
      </c>
      <c r="M373" s="6" t="s">
        <v>3278</v>
      </c>
      <c r="N373" s="6" t="s">
        <v>283</v>
      </c>
      <c r="O373" s="6" t="s">
        <v>178</v>
      </c>
      <c r="P373" s="10">
        <v>46028.0</v>
      </c>
    </row>
    <row r="374" ht="22.5" customHeight="1">
      <c r="A374" s="6" t="s">
        <v>3279</v>
      </c>
      <c r="B374" s="6" t="s">
        <v>3280</v>
      </c>
      <c r="C374" s="6" t="s">
        <v>3281</v>
      </c>
      <c r="D374" s="6" t="s">
        <v>383</v>
      </c>
      <c r="E374" s="6" t="s">
        <v>301</v>
      </c>
      <c r="F374" s="8">
        <v>53.0</v>
      </c>
      <c r="G374" s="9">
        <v>353.41</v>
      </c>
      <c r="H374" s="9">
        <v>12974.92</v>
      </c>
      <c r="I374" s="6" t="s">
        <v>161</v>
      </c>
      <c r="J374" s="6" t="s">
        <v>1584</v>
      </c>
      <c r="K374" s="6" t="s">
        <v>3282</v>
      </c>
      <c r="L374" s="6">
        <v>5.6150914573E10</v>
      </c>
      <c r="M374" s="6" t="s">
        <v>3283</v>
      </c>
      <c r="N374" s="6" t="s">
        <v>283</v>
      </c>
      <c r="O374" s="6" t="s">
        <v>178</v>
      </c>
      <c r="P374" s="10">
        <v>46040.0</v>
      </c>
    </row>
    <row r="375" ht="22.5" customHeight="1">
      <c r="A375" s="6" t="s">
        <v>3284</v>
      </c>
      <c r="B375" s="6" t="s">
        <v>3286</v>
      </c>
      <c r="C375" s="6" t="s">
        <v>3287</v>
      </c>
      <c r="D375" s="6" t="s">
        <v>206</v>
      </c>
      <c r="E375" s="6" t="s">
        <v>301</v>
      </c>
      <c r="F375" s="8">
        <v>53.0</v>
      </c>
      <c r="G375" s="9">
        <v>621.75</v>
      </c>
      <c r="H375" s="9">
        <v>4752.89</v>
      </c>
      <c r="I375" s="6" t="s">
        <v>161</v>
      </c>
      <c r="J375" s="6" t="s">
        <v>393</v>
      </c>
      <c r="K375" s="6" t="s">
        <v>3288</v>
      </c>
      <c r="L375" s="6">
        <v>5.5498724328E10</v>
      </c>
      <c r="M375" s="6" t="s">
        <v>3289</v>
      </c>
      <c r="N375" s="6" t="s">
        <v>259</v>
      </c>
      <c r="O375" s="6" t="s">
        <v>178</v>
      </c>
      <c r="P375" s="10">
        <v>45972.0</v>
      </c>
    </row>
    <row r="376" ht="22.5" customHeight="1">
      <c r="A376" s="6" t="s">
        <v>3291</v>
      </c>
      <c r="B376" s="6" t="s">
        <v>3292</v>
      </c>
      <c r="C376" s="6" t="s">
        <v>3293</v>
      </c>
      <c r="D376" s="6" t="s">
        <v>383</v>
      </c>
      <c r="E376" s="6" t="s">
        <v>301</v>
      </c>
      <c r="F376" s="8">
        <v>46.0</v>
      </c>
      <c r="G376" s="9">
        <v>485.98</v>
      </c>
      <c r="H376" s="9">
        <v>12118.61</v>
      </c>
      <c r="I376" s="6" t="s">
        <v>161</v>
      </c>
      <c r="J376" s="6" t="s">
        <v>465</v>
      </c>
      <c r="K376" s="6" t="s">
        <v>3294</v>
      </c>
      <c r="L376" s="6">
        <v>8.3366044019E10</v>
      </c>
      <c r="M376" s="6" t="s">
        <v>3295</v>
      </c>
      <c r="N376" s="6" t="s">
        <v>176</v>
      </c>
      <c r="O376" s="6" t="s">
        <v>178</v>
      </c>
      <c r="P376" s="10">
        <v>45974.0</v>
      </c>
    </row>
    <row r="377" ht="22.5" customHeight="1">
      <c r="A377" s="6" t="s">
        <v>3297</v>
      </c>
      <c r="B377" s="6" t="s">
        <v>3298</v>
      </c>
      <c r="C377" s="6" t="s">
        <v>3299</v>
      </c>
      <c r="D377" s="6" t="s">
        <v>206</v>
      </c>
      <c r="E377" s="6" t="s">
        <v>301</v>
      </c>
      <c r="F377" s="8">
        <v>51.0</v>
      </c>
      <c r="G377" s="9">
        <v>1077.38</v>
      </c>
      <c r="H377" s="9">
        <v>6487.17</v>
      </c>
      <c r="I377" s="6" t="s">
        <v>161</v>
      </c>
      <c r="J377" s="6" t="s">
        <v>421</v>
      </c>
      <c r="K377" s="6" t="s">
        <v>259</v>
      </c>
      <c r="L377" s="6">
        <v>2.992421996E10</v>
      </c>
      <c r="M377" s="6" t="s">
        <v>3300</v>
      </c>
      <c r="N377" s="6" t="s">
        <v>112</v>
      </c>
      <c r="O377" s="6" t="s">
        <v>178</v>
      </c>
      <c r="P377" s="10">
        <v>45989.0</v>
      </c>
    </row>
    <row r="378" ht="22.5" customHeight="1">
      <c r="A378" s="6" t="s">
        <v>3302</v>
      </c>
      <c r="B378" s="6" t="s">
        <v>3303</v>
      </c>
      <c r="C378" s="6" t="s">
        <v>3304</v>
      </c>
      <c r="D378" s="6" t="s">
        <v>145</v>
      </c>
      <c r="E378" s="6" t="s">
        <v>210</v>
      </c>
      <c r="F378" s="8">
        <v>117.0</v>
      </c>
      <c r="G378" s="9">
        <v>315.43</v>
      </c>
      <c r="H378" s="9">
        <v>13862.31</v>
      </c>
      <c r="I378" s="6" t="s">
        <v>178</v>
      </c>
      <c r="J378" s="6" t="s">
        <v>393</v>
      </c>
      <c r="K378" s="6" t="s">
        <v>3305</v>
      </c>
      <c r="L378" s="6">
        <v>8.2577980456E10</v>
      </c>
      <c r="M378" s="6" t="s">
        <v>3306</v>
      </c>
      <c r="N378" s="6" t="s">
        <v>176</v>
      </c>
      <c r="O378" s="6" t="s">
        <v>161</v>
      </c>
      <c r="P378" s="10">
        <v>45975.0</v>
      </c>
    </row>
    <row r="379" ht="22.5" customHeight="1">
      <c r="A379" s="6" t="s">
        <v>3308</v>
      </c>
      <c r="B379" s="6" t="s">
        <v>3309</v>
      </c>
      <c r="C379" s="6" t="s">
        <v>3310</v>
      </c>
      <c r="D379" s="6" t="s">
        <v>145</v>
      </c>
      <c r="E379" s="6" t="s">
        <v>301</v>
      </c>
      <c r="F379" s="8">
        <v>49.0</v>
      </c>
      <c r="G379" s="9">
        <v>1346.89</v>
      </c>
      <c r="H379" s="9">
        <v>8240.12</v>
      </c>
      <c r="I379" s="6" t="s">
        <v>161</v>
      </c>
      <c r="J379" s="6" t="s">
        <v>312</v>
      </c>
      <c r="K379" s="6" t="s">
        <v>259</v>
      </c>
      <c r="L379" s="6">
        <v>7.0143928985E10</v>
      </c>
      <c r="M379" s="6" t="s">
        <v>3312</v>
      </c>
      <c r="N379" s="6" t="s">
        <v>427</v>
      </c>
      <c r="O379" s="6" t="s">
        <v>178</v>
      </c>
      <c r="P379" s="10">
        <v>46031.0</v>
      </c>
    </row>
    <row r="380" ht="22.5" customHeight="1">
      <c r="A380" s="6" t="s">
        <v>3313</v>
      </c>
      <c r="B380" s="6" t="s">
        <v>3314</v>
      </c>
      <c r="C380" s="6" t="s">
        <v>3315</v>
      </c>
      <c r="D380" s="6" t="s">
        <v>206</v>
      </c>
      <c r="E380" s="6" t="s">
        <v>301</v>
      </c>
      <c r="F380" s="8">
        <v>54.0</v>
      </c>
      <c r="G380" s="9">
        <v>792.05</v>
      </c>
      <c r="H380" s="9">
        <v>5488.74</v>
      </c>
      <c r="I380" s="6" t="s">
        <v>161</v>
      </c>
      <c r="J380" s="6" t="s">
        <v>312</v>
      </c>
      <c r="K380" s="6" t="s">
        <v>259</v>
      </c>
      <c r="L380" s="6">
        <v>6.2378363444E10</v>
      </c>
      <c r="M380" s="6" t="s">
        <v>3317</v>
      </c>
      <c r="N380" s="6" t="s">
        <v>176</v>
      </c>
      <c r="O380" s="6" t="s">
        <v>178</v>
      </c>
      <c r="P380" s="10">
        <v>45952.0</v>
      </c>
    </row>
    <row r="381" ht="22.5" customHeight="1">
      <c r="A381" s="6" t="s">
        <v>3318</v>
      </c>
      <c r="B381" s="6" t="s">
        <v>3319</v>
      </c>
      <c r="C381" s="6" t="s">
        <v>3320</v>
      </c>
      <c r="D381" s="6" t="s">
        <v>383</v>
      </c>
      <c r="E381" s="6" t="s">
        <v>147</v>
      </c>
      <c r="F381" s="8">
        <v>17.0</v>
      </c>
      <c r="G381" s="9">
        <v>890.72</v>
      </c>
      <c r="H381" s="9">
        <v>12363.77</v>
      </c>
      <c r="I381" s="6" t="s">
        <v>161</v>
      </c>
      <c r="J381" s="6" t="s">
        <v>259</v>
      </c>
      <c r="K381" s="6" t="s">
        <v>259</v>
      </c>
      <c r="L381" s="6">
        <v>1.6101321089E10</v>
      </c>
      <c r="M381" s="6" t="s">
        <v>3322</v>
      </c>
      <c r="N381" s="6" t="s">
        <v>112</v>
      </c>
      <c r="O381" s="6" t="s">
        <v>178</v>
      </c>
      <c r="P381" s="10">
        <v>45965.0</v>
      </c>
    </row>
    <row r="382" ht="22.5" customHeight="1">
      <c r="A382" s="6" t="s">
        <v>3323</v>
      </c>
      <c r="B382" s="6" t="s">
        <v>3325</v>
      </c>
      <c r="C382" s="6" t="s">
        <v>3326</v>
      </c>
      <c r="D382" s="6" t="s">
        <v>383</v>
      </c>
      <c r="E382" s="6" t="s">
        <v>147</v>
      </c>
      <c r="F382" s="8">
        <v>6.0</v>
      </c>
      <c r="G382" s="9">
        <v>321.46</v>
      </c>
      <c r="H382" s="9">
        <v>8721.48</v>
      </c>
      <c r="I382" s="6" t="s">
        <v>161</v>
      </c>
      <c r="J382" s="6" t="s">
        <v>577</v>
      </c>
      <c r="K382" s="6" t="s">
        <v>3083</v>
      </c>
      <c r="L382" s="6">
        <v>8.2134444368E10</v>
      </c>
      <c r="M382" s="6" t="s">
        <v>3327</v>
      </c>
      <c r="N382" s="6" t="s">
        <v>259</v>
      </c>
      <c r="O382" s="6" t="s">
        <v>178</v>
      </c>
      <c r="P382" s="10">
        <v>46025.0</v>
      </c>
    </row>
    <row r="383" ht="22.5" customHeight="1">
      <c r="A383" s="6" t="s">
        <v>3328</v>
      </c>
      <c r="B383" s="6" t="s">
        <v>3330</v>
      </c>
      <c r="C383" s="6" t="s">
        <v>3331</v>
      </c>
      <c r="D383" s="6" t="s">
        <v>145</v>
      </c>
      <c r="E383" s="6" t="s">
        <v>210</v>
      </c>
      <c r="F383" s="8">
        <v>117.0</v>
      </c>
      <c r="G383" s="9">
        <v>131.51</v>
      </c>
      <c r="H383" s="9">
        <v>2585.9</v>
      </c>
      <c r="I383" s="6" t="s">
        <v>161</v>
      </c>
      <c r="J383" s="6" t="s">
        <v>312</v>
      </c>
      <c r="K383" s="6" t="s">
        <v>3332</v>
      </c>
      <c r="L383" s="6">
        <v>6.3464751487E10</v>
      </c>
      <c r="M383" s="6" t="s">
        <v>3333</v>
      </c>
      <c r="N383" s="6" t="s">
        <v>176</v>
      </c>
      <c r="O383" s="6" t="s">
        <v>161</v>
      </c>
      <c r="P383" s="10">
        <v>45984.0</v>
      </c>
    </row>
    <row r="384" ht="22.5" customHeight="1">
      <c r="A384" s="6" t="s">
        <v>3335</v>
      </c>
      <c r="B384" s="6" t="s">
        <v>3336</v>
      </c>
      <c r="C384" s="6" t="s">
        <v>3337</v>
      </c>
      <c r="D384" s="6" t="s">
        <v>145</v>
      </c>
      <c r="E384" s="6" t="s">
        <v>147</v>
      </c>
      <c r="F384" s="8">
        <v>21.0</v>
      </c>
      <c r="G384" s="9">
        <v>856.07</v>
      </c>
      <c r="H384" s="9">
        <v>11547.34</v>
      </c>
      <c r="I384" s="6" t="s">
        <v>161</v>
      </c>
      <c r="J384" s="6" t="s">
        <v>357</v>
      </c>
      <c r="K384" s="6" t="s">
        <v>3338</v>
      </c>
      <c r="L384" s="6">
        <v>9.8640960746E10</v>
      </c>
      <c r="M384" s="6" t="s">
        <v>3339</v>
      </c>
      <c r="N384" s="6" t="s">
        <v>427</v>
      </c>
      <c r="O384" s="6" t="s">
        <v>178</v>
      </c>
      <c r="P384" s="10">
        <v>45964.0</v>
      </c>
    </row>
    <row r="385" ht="22.5" customHeight="1">
      <c r="A385" s="6" t="s">
        <v>3341</v>
      </c>
      <c r="B385" s="6" t="s">
        <v>3342</v>
      </c>
      <c r="C385" s="6" t="s">
        <v>3343</v>
      </c>
      <c r="D385" s="6" t="s">
        <v>145</v>
      </c>
      <c r="E385" s="6" t="s">
        <v>147</v>
      </c>
      <c r="F385" s="8">
        <v>8.0</v>
      </c>
      <c r="G385" s="9">
        <v>186.26</v>
      </c>
      <c r="H385" s="9">
        <v>8101.14</v>
      </c>
      <c r="I385" s="6" t="s">
        <v>161</v>
      </c>
      <c r="J385" s="6" t="s">
        <v>357</v>
      </c>
      <c r="K385" s="6" t="s">
        <v>3344</v>
      </c>
      <c r="L385" s="6" t="s">
        <v>259</v>
      </c>
      <c r="M385" s="6" t="s">
        <v>3346</v>
      </c>
      <c r="N385" s="6" t="s">
        <v>176</v>
      </c>
      <c r="O385" s="6" t="s">
        <v>178</v>
      </c>
      <c r="P385" s="10">
        <v>45959.0</v>
      </c>
    </row>
    <row r="386" ht="22.5" customHeight="1">
      <c r="A386" s="6" t="s">
        <v>3347</v>
      </c>
      <c r="B386" s="6" t="s">
        <v>3348</v>
      </c>
      <c r="C386" s="6" t="s">
        <v>3349</v>
      </c>
      <c r="D386" s="6" t="s">
        <v>145</v>
      </c>
      <c r="E386" s="6" t="s">
        <v>210</v>
      </c>
      <c r="F386" s="8">
        <v>110.0</v>
      </c>
      <c r="G386" s="9">
        <v>1150.28</v>
      </c>
      <c r="H386" s="9">
        <v>5640.5</v>
      </c>
      <c r="I386" s="6" t="s">
        <v>178</v>
      </c>
      <c r="J386" s="6" t="s">
        <v>312</v>
      </c>
      <c r="K386" s="6" t="s">
        <v>3351</v>
      </c>
      <c r="L386" s="6">
        <v>6.685060779E10</v>
      </c>
      <c r="M386" s="6" t="s">
        <v>3352</v>
      </c>
      <c r="N386" s="6" t="s">
        <v>176</v>
      </c>
      <c r="O386" s="6" t="s">
        <v>161</v>
      </c>
      <c r="P386" s="10">
        <v>45942.0</v>
      </c>
    </row>
    <row r="387" ht="22.5" customHeight="1">
      <c r="A387" s="6" t="s">
        <v>3353</v>
      </c>
      <c r="B387" s="6" t="s">
        <v>3354</v>
      </c>
      <c r="C387" s="6" t="s">
        <v>3355</v>
      </c>
      <c r="D387" s="6" t="s">
        <v>206</v>
      </c>
      <c r="E387" s="6" t="s">
        <v>210</v>
      </c>
      <c r="F387" s="8">
        <v>83.0</v>
      </c>
      <c r="G387" s="9">
        <v>1655.54</v>
      </c>
      <c r="H387" s="9">
        <v>10296.97</v>
      </c>
      <c r="I387" s="6" t="s">
        <v>178</v>
      </c>
      <c r="J387" s="6" t="s">
        <v>577</v>
      </c>
      <c r="K387" s="6" t="s">
        <v>3358</v>
      </c>
      <c r="L387" s="6">
        <v>8.2349331091E10</v>
      </c>
      <c r="M387" s="6" t="s">
        <v>3359</v>
      </c>
      <c r="N387" s="6" t="s">
        <v>112</v>
      </c>
      <c r="O387" s="6" t="s">
        <v>161</v>
      </c>
      <c r="P387" s="10">
        <v>46045.0</v>
      </c>
    </row>
    <row r="388" ht="22.5" customHeight="1">
      <c r="A388" s="6" t="s">
        <v>3360</v>
      </c>
      <c r="B388" s="6" t="s">
        <v>3361</v>
      </c>
      <c r="C388" s="6" t="s">
        <v>3362</v>
      </c>
      <c r="D388" s="6" t="s">
        <v>145</v>
      </c>
      <c r="E388" s="6" t="s">
        <v>147</v>
      </c>
      <c r="F388" s="8">
        <v>22.0</v>
      </c>
      <c r="G388" s="9">
        <v>281.15</v>
      </c>
      <c r="H388" s="9">
        <v>14089.3</v>
      </c>
      <c r="I388" s="6" t="s">
        <v>161</v>
      </c>
      <c r="J388" s="6" t="s">
        <v>465</v>
      </c>
      <c r="K388" s="6" t="s">
        <v>3364</v>
      </c>
      <c r="L388" s="6" t="s">
        <v>259</v>
      </c>
      <c r="M388" s="6" t="s">
        <v>3365</v>
      </c>
      <c r="N388" s="6" t="s">
        <v>112</v>
      </c>
      <c r="O388" s="6" t="s">
        <v>178</v>
      </c>
      <c r="P388" s="10">
        <v>45942.0</v>
      </c>
    </row>
    <row r="389" ht="22.5" customHeight="1">
      <c r="A389" s="6" t="s">
        <v>3366</v>
      </c>
      <c r="B389" s="6" t="s">
        <v>3368</v>
      </c>
      <c r="C389" s="6" t="s">
        <v>3369</v>
      </c>
      <c r="D389" s="6" t="s">
        <v>145</v>
      </c>
      <c r="E389" s="6" t="s">
        <v>301</v>
      </c>
      <c r="F389" s="8">
        <v>48.0</v>
      </c>
      <c r="G389" s="9">
        <v>94.25</v>
      </c>
      <c r="H389" s="9">
        <v>11214.75</v>
      </c>
      <c r="I389" s="6" t="s">
        <v>161</v>
      </c>
      <c r="J389" s="6" t="s">
        <v>228</v>
      </c>
      <c r="K389" s="6" t="s">
        <v>3370</v>
      </c>
      <c r="L389" s="6">
        <v>5.4680500049E10</v>
      </c>
      <c r="M389" s="6" t="s">
        <v>3371</v>
      </c>
      <c r="N389" s="6" t="s">
        <v>259</v>
      </c>
      <c r="O389" s="6" t="s">
        <v>178</v>
      </c>
      <c r="P389" s="10">
        <v>46018.0</v>
      </c>
    </row>
    <row r="390" ht="22.5" customHeight="1">
      <c r="A390" s="6" t="s">
        <v>3373</v>
      </c>
      <c r="B390" s="6" t="s">
        <v>3374</v>
      </c>
      <c r="C390" s="6" t="s">
        <v>3375</v>
      </c>
      <c r="D390" s="6" t="s">
        <v>145</v>
      </c>
      <c r="E390" s="6" t="s">
        <v>147</v>
      </c>
      <c r="F390" s="8">
        <v>8.0</v>
      </c>
      <c r="G390" s="9">
        <v>1197.32</v>
      </c>
      <c r="H390" s="9">
        <v>3121.51</v>
      </c>
      <c r="I390" s="6" t="s">
        <v>161</v>
      </c>
      <c r="J390" s="6" t="s">
        <v>163</v>
      </c>
      <c r="K390" s="6" t="s">
        <v>3376</v>
      </c>
      <c r="L390" s="6">
        <v>5.8965291425E10</v>
      </c>
      <c r="M390" s="6" t="s">
        <v>3378</v>
      </c>
      <c r="N390" s="6" t="s">
        <v>112</v>
      </c>
      <c r="O390" s="6" t="s">
        <v>178</v>
      </c>
      <c r="P390" s="10">
        <v>45960.0</v>
      </c>
    </row>
    <row r="391" ht="22.5" customHeight="1">
      <c r="A391" s="6" t="s">
        <v>3379</v>
      </c>
      <c r="B391" s="6" t="s">
        <v>3380</v>
      </c>
      <c r="C391" s="6" t="s">
        <v>3381</v>
      </c>
      <c r="D391" s="6" t="s">
        <v>145</v>
      </c>
      <c r="E391" s="6" t="s">
        <v>147</v>
      </c>
      <c r="F391" s="8">
        <v>20.0</v>
      </c>
      <c r="G391" s="9">
        <v>1753.85</v>
      </c>
      <c r="H391" s="9">
        <v>3896.38</v>
      </c>
      <c r="I391" s="6" t="s">
        <v>161</v>
      </c>
      <c r="J391" s="6" t="s">
        <v>421</v>
      </c>
      <c r="K391" s="6" t="s">
        <v>3383</v>
      </c>
      <c r="L391" s="6">
        <v>6.6260020401E10</v>
      </c>
      <c r="M391" s="6" t="s">
        <v>3384</v>
      </c>
      <c r="N391" s="6" t="s">
        <v>283</v>
      </c>
      <c r="O391" s="6" t="s">
        <v>178</v>
      </c>
      <c r="P391" s="10">
        <v>45958.0</v>
      </c>
    </row>
    <row r="392" ht="22.5" customHeight="1">
      <c r="A392" s="6" t="s">
        <v>3385</v>
      </c>
      <c r="B392" s="6" t="s">
        <v>3386</v>
      </c>
      <c r="C392" s="6" t="s">
        <v>3387</v>
      </c>
      <c r="D392" s="6" t="s">
        <v>206</v>
      </c>
      <c r="E392" s="6" t="s">
        <v>147</v>
      </c>
      <c r="F392" s="8">
        <v>5.0</v>
      </c>
      <c r="G392" s="9">
        <v>1054.63</v>
      </c>
      <c r="H392" s="9">
        <v>10248.28</v>
      </c>
      <c r="I392" s="6" t="s">
        <v>161</v>
      </c>
      <c r="J392" s="6" t="s">
        <v>228</v>
      </c>
      <c r="K392" s="6" t="s">
        <v>3389</v>
      </c>
      <c r="L392" s="6">
        <v>9.1362937393E10</v>
      </c>
      <c r="M392" s="6" t="s">
        <v>3390</v>
      </c>
      <c r="N392" s="6" t="s">
        <v>176</v>
      </c>
      <c r="O392" s="6" t="s">
        <v>178</v>
      </c>
      <c r="P392" s="10">
        <v>45948.0</v>
      </c>
    </row>
    <row r="393" ht="22.5" customHeight="1">
      <c r="A393" s="6" t="s">
        <v>3391</v>
      </c>
      <c r="B393" s="6" t="s">
        <v>3392</v>
      </c>
      <c r="C393" s="6" t="s">
        <v>3394</v>
      </c>
      <c r="D393" s="6" t="s">
        <v>206</v>
      </c>
      <c r="E393" s="6" t="s">
        <v>301</v>
      </c>
      <c r="F393" s="8">
        <v>40.0</v>
      </c>
      <c r="G393" s="9">
        <v>1328.43</v>
      </c>
      <c r="H393" s="9">
        <v>13250.75</v>
      </c>
      <c r="I393" s="6" t="s">
        <v>161</v>
      </c>
      <c r="J393" s="6" t="s">
        <v>357</v>
      </c>
      <c r="K393" s="6" t="s">
        <v>3395</v>
      </c>
      <c r="L393" s="6" t="s">
        <v>259</v>
      </c>
      <c r="M393" s="6" t="s">
        <v>3396</v>
      </c>
      <c r="N393" s="6" t="s">
        <v>176</v>
      </c>
      <c r="O393" s="6" t="s">
        <v>178</v>
      </c>
      <c r="P393" s="10">
        <v>46036.0</v>
      </c>
    </row>
    <row r="394" ht="22.5" customHeight="1">
      <c r="A394" s="6" t="s">
        <v>3397</v>
      </c>
      <c r="B394" s="6" t="s">
        <v>3398</v>
      </c>
      <c r="C394" s="6" t="s">
        <v>3400</v>
      </c>
      <c r="D394" s="6" t="s">
        <v>383</v>
      </c>
      <c r="E394" s="6" t="s">
        <v>210</v>
      </c>
      <c r="F394" s="8">
        <v>61.0</v>
      </c>
      <c r="G394" s="9">
        <v>1537.66</v>
      </c>
      <c r="H394" s="9">
        <v>13935.11</v>
      </c>
      <c r="I394" s="6" t="s">
        <v>178</v>
      </c>
      <c r="J394" s="6" t="s">
        <v>393</v>
      </c>
      <c r="K394" s="6" t="s">
        <v>3401</v>
      </c>
      <c r="L394" s="6">
        <v>7.086025487E9</v>
      </c>
      <c r="M394" s="6" t="s">
        <v>3402</v>
      </c>
      <c r="N394" s="6" t="s">
        <v>283</v>
      </c>
      <c r="O394" s="6" t="s">
        <v>161</v>
      </c>
      <c r="P394" s="10">
        <v>46044.0</v>
      </c>
    </row>
    <row r="395" ht="22.5" customHeight="1">
      <c r="A395" s="6" t="s">
        <v>3404</v>
      </c>
      <c r="B395" s="6" t="s">
        <v>3405</v>
      </c>
      <c r="C395" s="6" t="s">
        <v>3406</v>
      </c>
      <c r="D395" s="6" t="s">
        <v>206</v>
      </c>
      <c r="E395" s="6" t="s">
        <v>147</v>
      </c>
      <c r="F395" s="8">
        <v>28.0</v>
      </c>
      <c r="G395" s="9">
        <v>1660.64</v>
      </c>
      <c r="H395" s="9">
        <v>13365.18</v>
      </c>
      <c r="I395" s="6" t="s">
        <v>178</v>
      </c>
      <c r="J395" s="6" t="s">
        <v>465</v>
      </c>
      <c r="K395" s="6" t="s">
        <v>3407</v>
      </c>
      <c r="L395" s="6" t="s">
        <v>259</v>
      </c>
      <c r="M395" s="6" t="s">
        <v>3408</v>
      </c>
      <c r="N395" s="6" t="s">
        <v>427</v>
      </c>
      <c r="O395" s="6" t="s">
        <v>161</v>
      </c>
      <c r="P395" s="10">
        <v>46033.0</v>
      </c>
    </row>
    <row r="396" ht="22.5" customHeight="1">
      <c r="A396" s="6" t="s">
        <v>3410</v>
      </c>
      <c r="B396" s="6" t="s">
        <v>3411</v>
      </c>
      <c r="C396" s="6" t="s">
        <v>3412</v>
      </c>
      <c r="D396" s="6" t="s">
        <v>206</v>
      </c>
      <c r="E396" s="6" t="s">
        <v>147</v>
      </c>
      <c r="F396" s="8">
        <v>21.0</v>
      </c>
      <c r="G396" s="9">
        <v>503.05</v>
      </c>
      <c r="H396" s="9">
        <v>7968.29</v>
      </c>
      <c r="I396" s="6" t="s">
        <v>161</v>
      </c>
      <c r="J396" s="6" t="s">
        <v>163</v>
      </c>
      <c r="K396" s="6" t="s">
        <v>3413</v>
      </c>
      <c r="L396" s="6">
        <v>1.8808064882E10</v>
      </c>
      <c r="M396" s="6" t="s">
        <v>3414</v>
      </c>
      <c r="N396" s="6" t="s">
        <v>112</v>
      </c>
      <c r="O396" s="6" t="s">
        <v>178</v>
      </c>
      <c r="P396" s="10">
        <v>46016.0</v>
      </c>
    </row>
    <row r="397" ht="22.5" customHeight="1">
      <c r="A397" s="6" t="s">
        <v>3416</v>
      </c>
      <c r="B397" s="6" t="s">
        <v>3417</v>
      </c>
      <c r="C397" s="6" t="s">
        <v>3418</v>
      </c>
      <c r="D397" s="6" t="s">
        <v>145</v>
      </c>
      <c r="E397" s="6" t="s">
        <v>147</v>
      </c>
      <c r="F397" s="8">
        <v>16.0</v>
      </c>
      <c r="G397" s="9">
        <v>1445.66</v>
      </c>
      <c r="H397" s="9">
        <v>11420.67</v>
      </c>
      <c r="I397" s="6" t="s">
        <v>161</v>
      </c>
      <c r="J397" s="6" t="s">
        <v>312</v>
      </c>
      <c r="K397" s="6" t="s">
        <v>3420</v>
      </c>
      <c r="L397" s="6">
        <v>1.5404248145E10</v>
      </c>
      <c r="M397" s="6" t="s">
        <v>3421</v>
      </c>
      <c r="N397" s="6" t="s">
        <v>112</v>
      </c>
      <c r="O397" s="6" t="s">
        <v>178</v>
      </c>
      <c r="P397" s="10">
        <v>46012.0</v>
      </c>
    </row>
    <row r="398" ht="22.5" customHeight="1">
      <c r="A398" s="6" t="s">
        <v>3422</v>
      </c>
      <c r="B398" s="6" t="s">
        <v>3423</v>
      </c>
      <c r="C398" s="6" t="s">
        <v>3424</v>
      </c>
      <c r="D398" s="6" t="s">
        <v>383</v>
      </c>
      <c r="E398" s="6" t="s">
        <v>147</v>
      </c>
      <c r="F398" s="8">
        <v>9.0</v>
      </c>
      <c r="G398" s="9">
        <v>670.87</v>
      </c>
      <c r="H398" s="9">
        <v>8420.08</v>
      </c>
      <c r="I398" s="6" t="s">
        <v>161</v>
      </c>
      <c r="J398" s="6" t="s">
        <v>421</v>
      </c>
      <c r="K398" s="6" t="s">
        <v>3426</v>
      </c>
      <c r="L398" s="6">
        <v>3.2025331292E10</v>
      </c>
      <c r="M398" s="6" t="s">
        <v>3427</v>
      </c>
      <c r="N398" s="6" t="s">
        <v>259</v>
      </c>
      <c r="O398" s="6" t="s">
        <v>178</v>
      </c>
      <c r="P398" s="10">
        <v>46020.0</v>
      </c>
    </row>
    <row r="399" ht="22.5" customHeight="1">
      <c r="A399" s="6" t="s">
        <v>3428</v>
      </c>
      <c r="B399" s="6" t="s">
        <v>3429</v>
      </c>
      <c r="C399" s="6" t="s">
        <v>3431</v>
      </c>
      <c r="D399" s="6" t="s">
        <v>206</v>
      </c>
      <c r="E399" s="6" t="s">
        <v>301</v>
      </c>
      <c r="F399" s="8">
        <v>45.0</v>
      </c>
      <c r="G399" s="9">
        <v>347.28</v>
      </c>
      <c r="H399" s="9">
        <v>9332.9</v>
      </c>
      <c r="I399" s="6" t="s">
        <v>161</v>
      </c>
      <c r="J399" s="6" t="s">
        <v>357</v>
      </c>
      <c r="K399" s="6" t="s">
        <v>3432</v>
      </c>
      <c r="L399" s="6">
        <v>5.4848531114E10</v>
      </c>
      <c r="M399" s="6" t="s">
        <v>3433</v>
      </c>
      <c r="N399" s="6" t="s">
        <v>283</v>
      </c>
      <c r="O399" s="6" t="s">
        <v>178</v>
      </c>
      <c r="P399" s="10">
        <v>45991.0</v>
      </c>
    </row>
    <row r="400" ht="22.5" customHeight="1">
      <c r="A400" s="6" t="s">
        <v>3435</v>
      </c>
      <c r="B400" s="6" t="s">
        <v>3436</v>
      </c>
      <c r="C400" s="6" t="s">
        <v>3437</v>
      </c>
      <c r="D400" s="6" t="s">
        <v>206</v>
      </c>
      <c r="E400" s="6" t="s">
        <v>301</v>
      </c>
      <c r="F400" s="8">
        <v>53.0</v>
      </c>
      <c r="G400" s="9">
        <v>1089.37</v>
      </c>
      <c r="H400" s="9">
        <v>6324.39</v>
      </c>
      <c r="I400" s="6" t="s">
        <v>161</v>
      </c>
      <c r="J400" s="6" t="s">
        <v>421</v>
      </c>
      <c r="K400" s="6" t="s">
        <v>3438</v>
      </c>
      <c r="L400" s="6">
        <v>6.1918603036E10</v>
      </c>
      <c r="M400" s="6" t="s">
        <v>3440</v>
      </c>
      <c r="N400" s="6" t="s">
        <v>283</v>
      </c>
      <c r="O400" s="6" t="s">
        <v>178</v>
      </c>
      <c r="P400" s="10">
        <v>46039.0</v>
      </c>
    </row>
    <row r="401" ht="22.5" customHeight="1">
      <c r="A401" s="6" t="s">
        <v>3441</v>
      </c>
      <c r="B401" s="6" t="s">
        <v>3442</v>
      </c>
      <c r="C401" s="6" t="s">
        <v>3443</v>
      </c>
      <c r="D401" s="6" t="s">
        <v>145</v>
      </c>
      <c r="E401" s="6" t="s">
        <v>147</v>
      </c>
      <c r="F401" s="8">
        <v>13.0</v>
      </c>
      <c r="G401" s="9">
        <v>785.27</v>
      </c>
      <c r="H401" s="9">
        <v>7899.03</v>
      </c>
      <c r="I401" s="6" t="s">
        <v>161</v>
      </c>
      <c r="J401" s="6" t="s">
        <v>312</v>
      </c>
      <c r="K401" s="6" t="s">
        <v>3445</v>
      </c>
      <c r="L401" s="6">
        <v>9.229773503E10</v>
      </c>
      <c r="M401" s="6" t="s">
        <v>3446</v>
      </c>
      <c r="N401" s="6" t="s">
        <v>259</v>
      </c>
      <c r="O401" s="6" t="s">
        <v>178</v>
      </c>
      <c r="P401" s="10">
        <v>45974.0</v>
      </c>
    </row>
    <row r="402" ht="22.5" customHeight="1">
      <c r="A402" s="6" t="s">
        <v>3447</v>
      </c>
      <c r="B402" s="6" t="s">
        <v>3448</v>
      </c>
      <c r="C402" s="6" t="s">
        <v>3450</v>
      </c>
      <c r="D402" s="6" t="s">
        <v>383</v>
      </c>
      <c r="E402" s="6" t="s">
        <v>147</v>
      </c>
      <c r="F402" s="8">
        <v>12.0</v>
      </c>
      <c r="G402" s="9">
        <v>830.83</v>
      </c>
      <c r="H402" s="9">
        <v>4686.91</v>
      </c>
      <c r="I402" s="6" t="s">
        <v>161</v>
      </c>
      <c r="J402" s="6" t="s">
        <v>577</v>
      </c>
      <c r="K402" s="6" t="s">
        <v>3451</v>
      </c>
      <c r="L402" s="6">
        <v>8.2328216173E10</v>
      </c>
      <c r="M402" s="6" t="s">
        <v>3452</v>
      </c>
      <c r="N402" s="6" t="s">
        <v>176</v>
      </c>
      <c r="O402" s="6" t="s">
        <v>178</v>
      </c>
      <c r="P402" s="10">
        <v>45969.0</v>
      </c>
    </row>
    <row r="403" ht="22.5" customHeight="1">
      <c r="A403" s="6" t="s">
        <v>3454</v>
      </c>
      <c r="B403" s="6" t="s">
        <v>3455</v>
      </c>
      <c r="C403" s="6" t="s">
        <v>3456</v>
      </c>
      <c r="D403" s="6" t="s">
        <v>145</v>
      </c>
      <c r="E403" s="6" t="s">
        <v>210</v>
      </c>
      <c r="F403" s="8">
        <v>116.0</v>
      </c>
      <c r="G403" s="9">
        <v>248.24</v>
      </c>
      <c r="H403" s="9">
        <v>4719.41</v>
      </c>
      <c r="I403" s="6" t="s">
        <v>161</v>
      </c>
      <c r="J403" s="6" t="s">
        <v>479</v>
      </c>
      <c r="K403" s="6" t="s">
        <v>259</v>
      </c>
      <c r="L403" s="6">
        <v>9.6571359024E10</v>
      </c>
      <c r="M403" s="6" t="s">
        <v>3458</v>
      </c>
      <c r="N403" s="6" t="s">
        <v>427</v>
      </c>
      <c r="O403" s="6" t="s">
        <v>161</v>
      </c>
      <c r="P403" s="10">
        <v>45997.0</v>
      </c>
    </row>
    <row r="404" ht="22.5" customHeight="1">
      <c r="A404" s="6" t="s">
        <v>3459</v>
      </c>
      <c r="B404" s="6" t="s">
        <v>3460</v>
      </c>
      <c r="C404" s="6" t="s">
        <v>3461</v>
      </c>
      <c r="D404" s="6" t="s">
        <v>145</v>
      </c>
      <c r="E404" s="6" t="s">
        <v>301</v>
      </c>
      <c r="F404" s="8">
        <v>52.0</v>
      </c>
      <c r="G404" s="9">
        <v>1614.4</v>
      </c>
      <c r="H404" s="9">
        <v>12108.46</v>
      </c>
      <c r="I404" s="6" t="s">
        <v>161</v>
      </c>
      <c r="J404" s="6" t="s">
        <v>357</v>
      </c>
      <c r="K404" s="6" t="s">
        <v>3463</v>
      </c>
      <c r="L404" s="6">
        <v>2.2910687866E10</v>
      </c>
      <c r="M404" s="6" t="s">
        <v>3464</v>
      </c>
      <c r="N404" s="6" t="s">
        <v>283</v>
      </c>
      <c r="O404" s="6" t="s">
        <v>178</v>
      </c>
      <c r="P404" s="10">
        <v>46024.0</v>
      </c>
    </row>
    <row r="405" ht="22.5" customHeight="1">
      <c r="A405" s="6" t="s">
        <v>3465</v>
      </c>
      <c r="B405" s="6" t="s">
        <v>3466</v>
      </c>
      <c r="C405" s="6" t="s">
        <v>3467</v>
      </c>
      <c r="D405" s="6" t="s">
        <v>145</v>
      </c>
      <c r="E405" s="6" t="s">
        <v>147</v>
      </c>
      <c r="F405" s="8">
        <v>24.0</v>
      </c>
      <c r="G405" s="9">
        <v>466.5</v>
      </c>
      <c r="H405" s="9">
        <v>8692.33</v>
      </c>
      <c r="I405" s="6" t="s">
        <v>161</v>
      </c>
      <c r="J405" s="6" t="s">
        <v>312</v>
      </c>
      <c r="K405" s="6" t="s">
        <v>3469</v>
      </c>
      <c r="L405" s="6">
        <v>6.528489036E9</v>
      </c>
      <c r="M405" s="6" t="s">
        <v>3470</v>
      </c>
      <c r="N405" s="6" t="s">
        <v>283</v>
      </c>
      <c r="O405" s="6" t="s">
        <v>178</v>
      </c>
      <c r="P405" s="10">
        <v>45934.0</v>
      </c>
    </row>
    <row r="406" ht="22.5" customHeight="1">
      <c r="A406" s="6" t="s">
        <v>3472</v>
      </c>
      <c r="B406" s="6" t="s">
        <v>3473</v>
      </c>
      <c r="C406" s="6" t="s">
        <v>3474</v>
      </c>
      <c r="D406" s="6" t="s">
        <v>145</v>
      </c>
      <c r="E406" s="6" t="s">
        <v>301</v>
      </c>
      <c r="F406" s="8">
        <v>56.0</v>
      </c>
      <c r="G406" s="9">
        <v>1654.05</v>
      </c>
      <c r="H406" s="9">
        <v>8900.04</v>
      </c>
      <c r="I406" s="6" t="s">
        <v>161</v>
      </c>
      <c r="J406" s="6" t="s">
        <v>577</v>
      </c>
      <c r="K406" s="6" t="s">
        <v>3476</v>
      </c>
      <c r="L406" s="6">
        <v>7.330332378E10</v>
      </c>
      <c r="M406" s="6" t="s">
        <v>3477</v>
      </c>
      <c r="N406" s="6" t="s">
        <v>259</v>
      </c>
      <c r="O406" s="6" t="s">
        <v>178</v>
      </c>
      <c r="P406" s="10">
        <v>45937.0</v>
      </c>
    </row>
    <row r="407" ht="22.5" customHeight="1">
      <c r="A407" s="6" t="s">
        <v>3479</v>
      </c>
      <c r="B407" s="6" t="s">
        <v>3480</v>
      </c>
      <c r="C407" s="6" t="s">
        <v>3481</v>
      </c>
      <c r="D407" s="6" t="s">
        <v>206</v>
      </c>
      <c r="E407" s="6" t="s">
        <v>301</v>
      </c>
      <c r="F407" s="8">
        <v>38.0</v>
      </c>
      <c r="G407" s="9">
        <v>1055.21</v>
      </c>
      <c r="H407" s="9">
        <v>5144.02</v>
      </c>
      <c r="I407" s="6" t="s">
        <v>161</v>
      </c>
      <c r="J407" s="6" t="s">
        <v>577</v>
      </c>
      <c r="K407" s="6" t="s">
        <v>3483</v>
      </c>
      <c r="L407" s="6">
        <v>9.1803555026E10</v>
      </c>
      <c r="M407" s="6" t="s">
        <v>3484</v>
      </c>
      <c r="N407" s="6" t="s">
        <v>176</v>
      </c>
      <c r="O407" s="6" t="s">
        <v>178</v>
      </c>
      <c r="P407" s="10">
        <v>46014.0</v>
      </c>
    </row>
    <row r="408" ht="22.5" customHeight="1">
      <c r="A408" s="6" t="s">
        <v>3485</v>
      </c>
      <c r="B408" s="6" t="s">
        <v>3486</v>
      </c>
      <c r="C408" s="6" t="s">
        <v>3487</v>
      </c>
      <c r="D408" s="6" t="s">
        <v>145</v>
      </c>
      <c r="E408" s="6" t="s">
        <v>147</v>
      </c>
      <c r="F408" s="8">
        <v>7.0</v>
      </c>
      <c r="G408" s="9">
        <v>611.11</v>
      </c>
      <c r="H408" s="9">
        <v>5489.92</v>
      </c>
      <c r="I408" s="6" t="s">
        <v>161</v>
      </c>
      <c r="J408" s="6" t="s">
        <v>393</v>
      </c>
      <c r="K408" s="6" t="s">
        <v>3489</v>
      </c>
      <c r="L408" s="6">
        <v>3.9463471642E10</v>
      </c>
      <c r="M408" s="6" t="s">
        <v>3490</v>
      </c>
      <c r="N408" s="6" t="s">
        <v>283</v>
      </c>
      <c r="O408" s="6" t="s">
        <v>178</v>
      </c>
      <c r="P408" s="10">
        <v>46000.0</v>
      </c>
    </row>
    <row r="409" ht="22.5" customHeight="1">
      <c r="A409" s="6" t="s">
        <v>3491</v>
      </c>
      <c r="B409" s="6" t="s">
        <v>3492</v>
      </c>
      <c r="C409" s="6" t="s">
        <v>3493</v>
      </c>
      <c r="D409" s="6" t="s">
        <v>145</v>
      </c>
      <c r="E409" s="6" t="s">
        <v>301</v>
      </c>
      <c r="F409" s="8">
        <v>50.0</v>
      </c>
      <c r="G409" s="9">
        <v>752.91</v>
      </c>
      <c r="H409" s="9">
        <v>11100.47</v>
      </c>
      <c r="I409" s="6" t="s">
        <v>161</v>
      </c>
      <c r="J409" s="6" t="s">
        <v>465</v>
      </c>
      <c r="K409" s="6" t="s">
        <v>3495</v>
      </c>
      <c r="L409" s="6">
        <v>8.2422227474E10</v>
      </c>
      <c r="M409" s="6" t="s">
        <v>3496</v>
      </c>
      <c r="N409" s="6" t="s">
        <v>427</v>
      </c>
      <c r="O409" s="6" t="s">
        <v>178</v>
      </c>
      <c r="P409" s="10">
        <v>46011.0</v>
      </c>
    </row>
    <row r="410" ht="22.5" customHeight="1">
      <c r="A410" s="6" t="s">
        <v>3498</v>
      </c>
      <c r="B410" s="6" t="s">
        <v>3499</v>
      </c>
      <c r="C410" s="6" t="s">
        <v>3500</v>
      </c>
      <c r="D410" s="6" t="s">
        <v>145</v>
      </c>
      <c r="E410" s="6" t="s">
        <v>147</v>
      </c>
      <c r="F410" s="8">
        <v>24.0</v>
      </c>
      <c r="G410" s="9">
        <v>1411.81</v>
      </c>
      <c r="H410" s="9">
        <v>8657.86</v>
      </c>
      <c r="I410" s="6" t="s">
        <v>161</v>
      </c>
      <c r="J410" s="6" t="s">
        <v>421</v>
      </c>
      <c r="K410" s="6" t="s">
        <v>3501</v>
      </c>
      <c r="L410" s="6">
        <v>8.6329471839E10</v>
      </c>
      <c r="M410" s="6" t="s">
        <v>3506</v>
      </c>
      <c r="N410" s="6" t="s">
        <v>176</v>
      </c>
      <c r="O410" s="6" t="s">
        <v>178</v>
      </c>
      <c r="P410" s="10">
        <v>45980.0</v>
      </c>
    </row>
    <row r="411" ht="22.5" customHeight="1">
      <c r="A411" s="6" t="s">
        <v>3508</v>
      </c>
      <c r="B411" s="6" t="s">
        <v>3509</v>
      </c>
      <c r="C411" s="6" t="s">
        <v>3510</v>
      </c>
      <c r="D411" s="6" t="s">
        <v>206</v>
      </c>
      <c r="E411" s="6" t="s">
        <v>147</v>
      </c>
      <c r="F411" s="8">
        <v>7.0</v>
      </c>
      <c r="G411" s="9">
        <v>1022.83</v>
      </c>
      <c r="H411" s="9">
        <v>6870.74</v>
      </c>
      <c r="I411" s="6" t="s">
        <v>178</v>
      </c>
      <c r="J411" s="6" t="s">
        <v>393</v>
      </c>
      <c r="K411" s="6" t="s">
        <v>3511</v>
      </c>
      <c r="L411" s="6">
        <v>4.9324284801E10</v>
      </c>
      <c r="M411" s="6" t="s">
        <v>3513</v>
      </c>
      <c r="N411" s="6" t="s">
        <v>283</v>
      </c>
      <c r="O411" s="6" t="s">
        <v>161</v>
      </c>
      <c r="P411" s="10">
        <v>45940.0</v>
      </c>
    </row>
    <row r="412" ht="22.5" customHeight="1">
      <c r="A412" s="6" t="s">
        <v>3514</v>
      </c>
      <c r="B412" s="6" t="s">
        <v>3515</v>
      </c>
      <c r="C412" s="6" t="s">
        <v>3516</v>
      </c>
      <c r="D412" s="6" t="s">
        <v>206</v>
      </c>
      <c r="E412" s="6" t="s">
        <v>147</v>
      </c>
      <c r="F412" s="8">
        <v>12.0</v>
      </c>
      <c r="G412" s="9">
        <v>777.53</v>
      </c>
      <c r="H412" s="9">
        <v>6051.14</v>
      </c>
      <c r="I412" s="6" t="s">
        <v>161</v>
      </c>
      <c r="J412" s="6" t="s">
        <v>312</v>
      </c>
      <c r="K412" s="6" t="s">
        <v>3518</v>
      </c>
      <c r="L412" s="6">
        <v>4.3151022372E10</v>
      </c>
      <c r="M412" s="6" t="s">
        <v>3519</v>
      </c>
      <c r="N412" s="6" t="s">
        <v>176</v>
      </c>
      <c r="O412" s="6" t="s">
        <v>178</v>
      </c>
      <c r="P412" s="10">
        <v>46003.0</v>
      </c>
    </row>
    <row r="413" ht="22.5" customHeight="1">
      <c r="A413" s="6" t="s">
        <v>3520</v>
      </c>
      <c r="B413" s="6" t="s">
        <v>3521</v>
      </c>
      <c r="C413" s="6" t="s">
        <v>3522</v>
      </c>
      <c r="D413" s="6" t="s">
        <v>145</v>
      </c>
      <c r="E413" s="6" t="s">
        <v>210</v>
      </c>
      <c r="F413" s="8">
        <v>95.0</v>
      </c>
      <c r="G413" s="9">
        <v>1327.94</v>
      </c>
      <c r="H413" s="9">
        <v>14574.64</v>
      </c>
      <c r="I413" s="6" t="s">
        <v>161</v>
      </c>
      <c r="J413" s="6" t="s">
        <v>312</v>
      </c>
      <c r="K413" s="6" t="s">
        <v>3524</v>
      </c>
      <c r="L413" s="6">
        <v>7.2396652741E10</v>
      </c>
      <c r="M413" s="6" t="s">
        <v>3525</v>
      </c>
      <c r="N413" s="6" t="s">
        <v>427</v>
      </c>
      <c r="O413" s="6" t="s">
        <v>161</v>
      </c>
      <c r="P413" s="10">
        <v>45958.0</v>
      </c>
    </row>
    <row r="414" ht="22.5" customHeight="1">
      <c r="A414" s="6" t="s">
        <v>3526</v>
      </c>
      <c r="B414" s="6" t="s">
        <v>3527</v>
      </c>
      <c r="C414" s="6" t="s">
        <v>3528</v>
      </c>
      <c r="D414" s="6" t="s">
        <v>145</v>
      </c>
      <c r="E414" s="6" t="s">
        <v>301</v>
      </c>
      <c r="F414" s="8">
        <v>33.0</v>
      </c>
      <c r="G414" s="9">
        <v>1068.04</v>
      </c>
      <c r="H414" s="9">
        <v>5001.85</v>
      </c>
      <c r="I414" s="6" t="s">
        <v>161</v>
      </c>
      <c r="J414" s="6" t="s">
        <v>259</v>
      </c>
      <c r="K414" s="6" t="s">
        <v>3530</v>
      </c>
      <c r="L414" s="6">
        <v>6.1449601953E10</v>
      </c>
      <c r="M414" s="6" t="s">
        <v>3531</v>
      </c>
      <c r="N414" s="6" t="s">
        <v>259</v>
      </c>
      <c r="O414" s="6" t="s">
        <v>178</v>
      </c>
      <c r="P414" s="10">
        <v>45970.0</v>
      </c>
    </row>
    <row r="415" ht="22.5" customHeight="1">
      <c r="A415" s="6" t="s">
        <v>3532</v>
      </c>
      <c r="B415" s="6" t="s">
        <v>3533</v>
      </c>
      <c r="C415" s="6" t="s">
        <v>3534</v>
      </c>
      <c r="D415" s="6" t="s">
        <v>145</v>
      </c>
      <c r="E415" s="6" t="s">
        <v>147</v>
      </c>
      <c r="F415" s="8">
        <v>8.0</v>
      </c>
      <c r="G415" s="9">
        <v>1747.98</v>
      </c>
      <c r="H415" s="9">
        <v>8991.74</v>
      </c>
      <c r="I415" s="6" t="s">
        <v>161</v>
      </c>
      <c r="J415" s="6" t="s">
        <v>357</v>
      </c>
      <c r="K415" s="6" t="s">
        <v>3536</v>
      </c>
      <c r="L415" s="6">
        <v>8.9063962683E10</v>
      </c>
      <c r="M415" s="6" t="s">
        <v>3537</v>
      </c>
      <c r="N415" s="6" t="s">
        <v>112</v>
      </c>
      <c r="O415" s="6" t="s">
        <v>178</v>
      </c>
      <c r="P415" s="10">
        <v>45984.0</v>
      </c>
    </row>
    <row r="416" ht="22.5" customHeight="1">
      <c r="A416" s="6" t="s">
        <v>3538</v>
      </c>
      <c r="B416" s="6" t="s">
        <v>3539</v>
      </c>
      <c r="C416" s="6" t="s">
        <v>3540</v>
      </c>
      <c r="D416" s="6" t="s">
        <v>145</v>
      </c>
      <c r="E416" s="6" t="s">
        <v>301</v>
      </c>
      <c r="F416" s="8">
        <v>35.0</v>
      </c>
      <c r="G416" s="9">
        <v>1469.18</v>
      </c>
      <c r="H416" s="9">
        <v>5510.94</v>
      </c>
      <c r="I416" s="6" t="s">
        <v>161</v>
      </c>
      <c r="J416" s="6" t="s">
        <v>465</v>
      </c>
      <c r="K416" s="6" t="s">
        <v>3542</v>
      </c>
      <c r="L416" s="6">
        <v>2.48104225E9</v>
      </c>
      <c r="M416" s="6" t="s">
        <v>3543</v>
      </c>
      <c r="N416" s="6" t="s">
        <v>176</v>
      </c>
      <c r="O416" s="6" t="s">
        <v>178</v>
      </c>
      <c r="P416" s="10">
        <v>46050.0</v>
      </c>
    </row>
    <row r="417" ht="22.5" customHeight="1">
      <c r="A417" s="6" t="s">
        <v>3544</v>
      </c>
      <c r="B417" s="6" t="s">
        <v>3545</v>
      </c>
      <c r="C417" s="6" t="s">
        <v>3546</v>
      </c>
      <c r="D417" s="6" t="s">
        <v>206</v>
      </c>
      <c r="E417" s="6" t="s">
        <v>147</v>
      </c>
      <c r="F417" s="8">
        <v>25.0</v>
      </c>
      <c r="G417" s="9">
        <v>904.43</v>
      </c>
      <c r="H417" s="9">
        <v>6971.5</v>
      </c>
      <c r="I417" s="6" t="s">
        <v>161</v>
      </c>
      <c r="J417" s="6" t="s">
        <v>163</v>
      </c>
      <c r="K417" s="6" t="s">
        <v>3548</v>
      </c>
      <c r="L417" s="6">
        <v>7.0803841178E10</v>
      </c>
      <c r="M417" s="6" t="s">
        <v>3549</v>
      </c>
      <c r="N417" s="6" t="s">
        <v>112</v>
      </c>
      <c r="O417" s="6" t="s">
        <v>178</v>
      </c>
      <c r="P417" s="10">
        <v>46023.0</v>
      </c>
    </row>
    <row r="418" ht="22.5" customHeight="1">
      <c r="A418" s="6" t="s">
        <v>3551</v>
      </c>
      <c r="B418" s="6" t="s">
        <v>3552</v>
      </c>
      <c r="C418" s="6" t="s">
        <v>3553</v>
      </c>
      <c r="D418" s="6" t="s">
        <v>206</v>
      </c>
      <c r="E418" s="6" t="s">
        <v>147</v>
      </c>
      <c r="F418" s="8">
        <v>13.0</v>
      </c>
      <c r="G418" s="9">
        <v>1732.01</v>
      </c>
      <c r="H418" s="9">
        <v>6024.17</v>
      </c>
      <c r="I418" s="6" t="s">
        <v>161</v>
      </c>
      <c r="J418" s="6" t="s">
        <v>421</v>
      </c>
      <c r="K418" s="6" t="s">
        <v>3555</v>
      </c>
      <c r="L418" s="6">
        <v>3.6432151065E10</v>
      </c>
      <c r="M418" s="6" t="s">
        <v>3556</v>
      </c>
      <c r="N418" s="6" t="s">
        <v>112</v>
      </c>
      <c r="O418" s="6" t="s">
        <v>178</v>
      </c>
      <c r="P418" s="10">
        <v>45990.0</v>
      </c>
    </row>
    <row r="419" ht="22.5" customHeight="1">
      <c r="A419" s="6" t="s">
        <v>3558</v>
      </c>
      <c r="B419" s="6" t="s">
        <v>3559</v>
      </c>
      <c r="C419" s="6" t="s">
        <v>3560</v>
      </c>
      <c r="D419" s="6" t="s">
        <v>145</v>
      </c>
      <c r="E419" s="6" t="s">
        <v>147</v>
      </c>
      <c r="F419" s="8">
        <v>11.0</v>
      </c>
      <c r="G419" s="9">
        <v>1319.15</v>
      </c>
      <c r="H419" s="9">
        <v>6776.44</v>
      </c>
      <c r="I419" s="6" t="s">
        <v>161</v>
      </c>
      <c r="J419" s="6" t="s">
        <v>312</v>
      </c>
      <c r="K419" s="6" t="s">
        <v>3562</v>
      </c>
      <c r="L419" s="6">
        <v>9.76108603E10</v>
      </c>
      <c r="M419" s="6" t="s">
        <v>3563</v>
      </c>
      <c r="N419" s="6" t="s">
        <v>283</v>
      </c>
      <c r="O419" s="6" t="s">
        <v>178</v>
      </c>
      <c r="P419" s="10">
        <v>45942.0</v>
      </c>
    </row>
    <row r="420" ht="22.5" customHeight="1">
      <c r="A420" s="6" t="s">
        <v>3565</v>
      </c>
      <c r="B420" s="6" t="s">
        <v>3566</v>
      </c>
      <c r="C420" s="6" t="s">
        <v>3567</v>
      </c>
      <c r="D420" s="6" t="s">
        <v>145</v>
      </c>
      <c r="E420" s="6" t="s">
        <v>147</v>
      </c>
      <c r="F420" s="8">
        <v>15.0</v>
      </c>
      <c r="G420" s="9">
        <v>358.36</v>
      </c>
      <c r="H420" s="9">
        <v>3318.08</v>
      </c>
      <c r="I420" s="6" t="s">
        <v>161</v>
      </c>
      <c r="J420" s="6" t="s">
        <v>421</v>
      </c>
      <c r="K420" s="6" t="s">
        <v>3569</v>
      </c>
      <c r="L420" s="6">
        <v>1.5021369225E10</v>
      </c>
      <c r="M420" s="6" t="s">
        <v>3570</v>
      </c>
      <c r="N420" s="6" t="s">
        <v>283</v>
      </c>
      <c r="O420" s="6" t="s">
        <v>178</v>
      </c>
      <c r="P420" s="10">
        <v>45973.0</v>
      </c>
    </row>
    <row r="421" ht="22.5" customHeight="1">
      <c r="A421" s="6" t="s">
        <v>3572</v>
      </c>
      <c r="B421" s="6" t="s">
        <v>3573</v>
      </c>
      <c r="C421" s="6" t="s">
        <v>3574</v>
      </c>
      <c r="D421" s="6" t="s">
        <v>145</v>
      </c>
      <c r="E421" s="6" t="s">
        <v>147</v>
      </c>
      <c r="F421" s="8">
        <v>6.0</v>
      </c>
      <c r="G421" s="9">
        <v>1635.7</v>
      </c>
      <c r="H421" s="9">
        <v>11923.77</v>
      </c>
      <c r="I421" s="6" t="s">
        <v>161</v>
      </c>
      <c r="J421" s="6" t="s">
        <v>421</v>
      </c>
      <c r="K421" s="6" t="s">
        <v>3576</v>
      </c>
      <c r="L421" s="6">
        <v>2.1240855622E10</v>
      </c>
      <c r="M421" s="6" t="s">
        <v>3577</v>
      </c>
      <c r="N421" s="6" t="s">
        <v>259</v>
      </c>
      <c r="O421" s="6" t="s">
        <v>178</v>
      </c>
      <c r="P421" s="10">
        <v>45995.0</v>
      </c>
    </row>
    <row r="422" ht="22.5" customHeight="1">
      <c r="A422" s="6" t="s">
        <v>3578</v>
      </c>
      <c r="B422" s="6" t="s">
        <v>3579</v>
      </c>
      <c r="C422" s="6" t="s">
        <v>3580</v>
      </c>
      <c r="D422" s="6" t="s">
        <v>145</v>
      </c>
      <c r="E422" s="6" t="s">
        <v>301</v>
      </c>
      <c r="F422" s="8">
        <v>44.0</v>
      </c>
      <c r="G422" s="9">
        <v>613.66</v>
      </c>
      <c r="H422" s="9">
        <v>5501.35</v>
      </c>
      <c r="I422" s="6" t="s">
        <v>161</v>
      </c>
      <c r="J422" s="6" t="s">
        <v>442</v>
      </c>
      <c r="K422" s="6" t="s">
        <v>3583</v>
      </c>
      <c r="L422" s="6">
        <v>4.1712911616E10</v>
      </c>
      <c r="M422" s="6" t="s">
        <v>3584</v>
      </c>
      <c r="N422" s="6" t="s">
        <v>283</v>
      </c>
      <c r="O422" s="6" t="s">
        <v>178</v>
      </c>
      <c r="P422" s="10">
        <v>46025.0</v>
      </c>
    </row>
    <row r="423" ht="22.5" customHeight="1">
      <c r="A423" s="6" t="s">
        <v>3585</v>
      </c>
      <c r="B423" s="6" t="s">
        <v>3586</v>
      </c>
      <c r="C423" s="6" t="s">
        <v>3588</v>
      </c>
      <c r="D423" s="6" t="s">
        <v>206</v>
      </c>
      <c r="E423" s="6" t="s">
        <v>147</v>
      </c>
      <c r="F423" s="8">
        <v>9.0</v>
      </c>
      <c r="G423" s="9">
        <v>724.39</v>
      </c>
      <c r="H423" s="9">
        <v>9330.29</v>
      </c>
      <c r="I423" s="6" t="s">
        <v>161</v>
      </c>
      <c r="J423" s="6" t="s">
        <v>393</v>
      </c>
      <c r="K423" s="6" t="s">
        <v>3589</v>
      </c>
      <c r="L423" s="6">
        <v>8.1999765041E10</v>
      </c>
      <c r="M423" s="6" t="s">
        <v>3590</v>
      </c>
      <c r="N423" s="6" t="s">
        <v>112</v>
      </c>
      <c r="O423" s="6" t="s">
        <v>178</v>
      </c>
      <c r="P423" s="10">
        <v>45995.0</v>
      </c>
    </row>
    <row r="424" ht="22.5" customHeight="1">
      <c r="A424" s="6" t="s">
        <v>3592</v>
      </c>
      <c r="B424" s="6" t="s">
        <v>3593</v>
      </c>
      <c r="C424" s="6" t="s">
        <v>3594</v>
      </c>
      <c r="D424" s="6" t="s">
        <v>145</v>
      </c>
      <c r="E424" s="6" t="s">
        <v>301</v>
      </c>
      <c r="F424" s="8">
        <v>41.0</v>
      </c>
      <c r="G424" s="9">
        <v>1086.19</v>
      </c>
      <c r="H424" s="9">
        <v>9257.04</v>
      </c>
      <c r="I424" s="6" t="s">
        <v>161</v>
      </c>
      <c r="J424" s="6" t="s">
        <v>577</v>
      </c>
      <c r="K424" s="6" t="s">
        <v>3595</v>
      </c>
      <c r="L424" s="6">
        <v>8.7542175783E10</v>
      </c>
      <c r="M424" s="6" t="s">
        <v>3597</v>
      </c>
      <c r="N424" s="6" t="s">
        <v>427</v>
      </c>
      <c r="O424" s="6" t="s">
        <v>178</v>
      </c>
      <c r="P424" s="10">
        <v>45961.0</v>
      </c>
    </row>
    <row r="425" ht="22.5" customHeight="1">
      <c r="A425" s="6" t="s">
        <v>3598</v>
      </c>
      <c r="B425" s="6" t="s">
        <v>3599</v>
      </c>
      <c r="C425" s="6" t="s">
        <v>3600</v>
      </c>
      <c r="D425" s="6" t="s">
        <v>145</v>
      </c>
      <c r="E425" s="6" t="s">
        <v>147</v>
      </c>
      <c r="F425" s="8">
        <v>8.0</v>
      </c>
      <c r="G425" s="9">
        <v>1147.72</v>
      </c>
      <c r="H425" s="9">
        <v>10571.14</v>
      </c>
      <c r="I425" s="6" t="s">
        <v>161</v>
      </c>
      <c r="J425" s="6" t="s">
        <v>312</v>
      </c>
      <c r="K425" s="6" t="s">
        <v>3602</v>
      </c>
      <c r="L425" s="6">
        <v>1.9351806664E10</v>
      </c>
      <c r="M425" s="6" t="s">
        <v>3603</v>
      </c>
      <c r="N425" s="6" t="s">
        <v>112</v>
      </c>
      <c r="O425" s="6" t="s">
        <v>178</v>
      </c>
      <c r="P425" s="10">
        <v>46029.0</v>
      </c>
    </row>
    <row r="426" ht="22.5" customHeight="1">
      <c r="A426" s="6" t="s">
        <v>3605</v>
      </c>
      <c r="B426" s="6" t="s">
        <v>3606</v>
      </c>
      <c r="C426" s="6" t="s">
        <v>3607</v>
      </c>
      <c r="D426" s="6" t="s">
        <v>206</v>
      </c>
      <c r="E426" s="6" t="s">
        <v>301</v>
      </c>
      <c r="F426" s="8">
        <v>36.0</v>
      </c>
      <c r="G426" s="9">
        <v>864.11</v>
      </c>
      <c r="H426" s="9">
        <v>5331.26</v>
      </c>
      <c r="I426" s="6" t="s">
        <v>161</v>
      </c>
      <c r="J426" s="6" t="s">
        <v>442</v>
      </c>
      <c r="K426" s="6" t="s">
        <v>3608</v>
      </c>
      <c r="L426" s="6">
        <v>4.4971120439E10</v>
      </c>
      <c r="M426" s="6" t="s">
        <v>3610</v>
      </c>
      <c r="N426" s="6" t="s">
        <v>112</v>
      </c>
      <c r="O426" s="6" t="s">
        <v>178</v>
      </c>
      <c r="P426" s="10">
        <v>45969.0</v>
      </c>
    </row>
    <row r="427" ht="22.5" customHeight="1">
      <c r="A427" s="6" t="s">
        <v>3611</v>
      </c>
      <c r="B427" s="6" t="s">
        <v>3612</v>
      </c>
      <c r="C427" s="6" t="s">
        <v>3613</v>
      </c>
      <c r="D427" s="6" t="s">
        <v>206</v>
      </c>
      <c r="E427" s="6" t="s">
        <v>210</v>
      </c>
      <c r="F427" s="8">
        <v>102.0</v>
      </c>
      <c r="G427" s="9">
        <v>1208.67</v>
      </c>
      <c r="H427" s="9">
        <v>11628.51</v>
      </c>
      <c r="I427" s="6" t="s">
        <v>178</v>
      </c>
      <c r="J427" s="6" t="s">
        <v>465</v>
      </c>
      <c r="K427" s="6" t="s">
        <v>3615</v>
      </c>
      <c r="L427" s="6">
        <v>5.9674181285E10</v>
      </c>
      <c r="M427" s="6" t="s">
        <v>3616</v>
      </c>
      <c r="N427" s="6" t="s">
        <v>427</v>
      </c>
      <c r="O427" s="6" t="s">
        <v>161</v>
      </c>
      <c r="P427" s="10">
        <v>45955.0</v>
      </c>
    </row>
    <row r="428" ht="22.5" customHeight="1">
      <c r="A428" s="6" t="s">
        <v>3618</v>
      </c>
      <c r="B428" s="6" t="s">
        <v>3619</v>
      </c>
      <c r="C428" s="6" t="s">
        <v>3620</v>
      </c>
      <c r="D428" s="6" t="s">
        <v>206</v>
      </c>
      <c r="E428" s="6" t="s">
        <v>210</v>
      </c>
      <c r="F428" s="8">
        <v>116.0</v>
      </c>
      <c r="G428" s="9">
        <v>1780.84</v>
      </c>
      <c r="H428" s="9">
        <v>5844.3</v>
      </c>
      <c r="I428" s="6" t="s">
        <v>178</v>
      </c>
      <c r="J428" s="6" t="s">
        <v>577</v>
      </c>
      <c r="K428" s="6" t="s">
        <v>3621</v>
      </c>
      <c r="L428" s="6">
        <v>7.9831193095E10</v>
      </c>
      <c r="M428" s="6" t="s">
        <v>3623</v>
      </c>
      <c r="N428" s="6" t="s">
        <v>427</v>
      </c>
      <c r="O428" s="6" t="s">
        <v>161</v>
      </c>
      <c r="P428" s="10">
        <v>46004.0</v>
      </c>
    </row>
    <row r="429" ht="22.5" customHeight="1">
      <c r="A429" s="6" t="s">
        <v>3624</v>
      </c>
      <c r="B429" s="6" t="s">
        <v>3625</v>
      </c>
      <c r="C429" s="6" t="s">
        <v>3626</v>
      </c>
      <c r="D429" s="6" t="s">
        <v>145</v>
      </c>
      <c r="E429" s="6" t="s">
        <v>147</v>
      </c>
      <c r="F429" s="8">
        <v>26.0</v>
      </c>
      <c r="G429" s="9">
        <v>1083.86</v>
      </c>
      <c r="H429" s="9">
        <v>6673.44</v>
      </c>
      <c r="I429" s="6" t="s">
        <v>161</v>
      </c>
      <c r="J429" s="6" t="s">
        <v>228</v>
      </c>
      <c r="K429" s="6" t="s">
        <v>3627</v>
      </c>
      <c r="L429" s="6">
        <v>2.8748567407E10</v>
      </c>
      <c r="M429" s="6" t="s">
        <v>3628</v>
      </c>
      <c r="N429" s="6" t="s">
        <v>427</v>
      </c>
      <c r="O429" s="6" t="s">
        <v>178</v>
      </c>
      <c r="P429" s="10">
        <v>46016.0</v>
      </c>
    </row>
    <row r="430" ht="22.5" customHeight="1">
      <c r="A430" s="6" t="s">
        <v>3629</v>
      </c>
      <c r="B430" s="6" t="s">
        <v>3630</v>
      </c>
      <c r="C430" s="6" t="s">
        <v>3632</v>
      </c>
      <c r="D430" s="6" t="s">
        <v>383</v>
      </c>
      <c r="E430" s="6" t="s">
        <v>210</v>
      </c>
      <c r="F430" s="8">
        <v>84.0</v>
      </c>
      <c r="G430" s="9">
        <v>565.44</v>
      </c>
      <c r="H430" s="9">
        <v>7887.24</v>
      </c>
      <c r="I430" s="6" t="s">
        <v>178</v>
      </c>
      <c r="J430" s="6" t="s">
        <v>228</v>
      </c>
      <c r="K430" s="6" t="s">
        <v>3633</v>
      </c>
      <c r="L430" s="6">
        <v>2.4338713949E10</v>
      </c>
      <c r="M430" s="6" t="s">
        <v>3634</v>
      </c>
      <c r="N430" s="6" t="s">
        <v>112</v>
      </c>
      <c r="O430" s="6" t="s">
        <v>161</v>
      </c>
      <c r="P430" s="10">
        <v>45934.0</v>
      </c>
    </row>
    <row r="431" ht="22.5" customHeight="1">
      <c r="A431" s="6" t="s">
        <v>3636</v>
      </c>
      <c r="B431" s="6" t="s">
        <v>3637</v>
      </c>
      <c r="C431" s="6" t="s">
        <v>3638</v>
      </c>
      <c r="D431" s="6" t="s">
        <v>206</v>
      </c>
      <c r="E431" s="6" t="s">
        <v>147</v>
      </c>
      <c r="F431" s="8">
        <v>7.0</v>
      </c>
      <c r="G431" s="9">
        <v>1551.47</v>
      </c>
      <c r="H431" s="9">
        <v>15278.64</v>
      </c>
      <c r="I431" s="6" t="s">
        <v>161</v>
      </c>
      <c r="J431" s="6" t="s">
        <v>228</v>
      </c>
      <c r="K431" s="6" t="s">
        <v>3640</v>
      </c>
      <c r="L431" s="6">
        <v>9.9719039408E10</v>
      </c>
      <c r="M431" s="6" t="s">
        <v>3641</v>
      </c>
      <c r="N431" s="6" t="s">
        <v>283</v>
      </c>
      <c r="O431" s="6" t="s">
        <v>178</v>
      </c>
      <c r="P431" s="10">
        <v>45943.0</v>
      </c>
    </row>
    <row r="432" ht="22.5" customHeight="1">
      <c r="A432" s="6" t="s">
        <v>3643</v>
      </c>
      <c r="B432" s="6" t="s">
        <v>3644</v>
      </c>
      <c r="C432" s="6" t="s">
        <v>3645</v>
      </c>
      <c r="D432" s="6" t="s">
        <v>145</v>
      </c>
      <c r="E432" s="6" t="s">
        <v>147</v>
      </c>
      <c r="F432" s="8">
        <v>8.0</v>
      </c>
      <c r="G432" s="9">
        <v>650.92</v>
      </c>
      <c r="H432" s="9">
        <v>11303.47</v>
      </c>
      <c r="I432" s="6" t="s">
        <v>161</v>
      </c>
      <c r="J432" s="6" t="s">
        <v>442</v>
      </c>
      <c r="K432" s="6" t="s">
        <v>3647</v>
      </c>
      <c r="L432" s="6">
        <v>4.5985834162E10</v>
      </c>
      <c r="M432" s="6" t="s">
        <v>3648</v>
      </c>
      <c r="N432" s="6" t="s">
        <v>283</v>
      </c>
      <c r="O432" s="6" t="s">
        <v>178</v>
      </c>
      <c r="P432" s="10">
        <v>45980.0</v>
      </c>
    </row>
    <row r="433" ht="22.5" customHeight="1">
      <c r="A433" s="6" t="s">
        <v>3649</v>
      </c>
      <c r="B433" s="6" t="s">
        <v>3650</v>
      </c>
      <c r="C433" s="6" t="s">
        <v>3651</v>
      </c>
      <c r="D433" s="6" t="s">
        <v>145</v>
      </c>
      <c r="E433" s="6" t="s">
        <v>301</v>
      </c>
      <c r="F433" s="8">
        <v>44.0</v>
      </c>
      <c r="G433" s="9">
        <v>1763.62</v>
      </c>
      <c r="H433" s="9">
        <v>6733.05</v>
      </c>
      <c r="I433" s="6" t="s">
        <v>161</v>
      </c>
      <c r="J433" s="6" t="s">
        <v>442</v>
      </c>
      <c r="K433" s="6" t="s">
        <v>3653</v>
      </c>
      <c r="L433" s="6" t="s">
        <v>259</v>
      </c>
      <c r="M433" s="6" t="s">
        <v>3654</v>
      </c>
      <c r="N433" s="6" t="s">
        <v>112</v>
      </c>
      <c r="O433" s="6" t="s">
        <v>178</v>
      </c>
      <c r="P433" s="10">
        <v>46046.0</v>
      </c>
    </row>
    <row r="434" ht="22.5" customHeight="1">
      <c r="A434" s="6" t="s">
        <v>3656</v>
      </c>
      <c r="B434" s="6" t="s">
        <v>3657</v>
      </c>
      <c r="C434" s="6" t="s">
        <v>3658</v>
      </c>
      <c r="D434" s="6" t="s">
        <v>206</v>
      </c>
      <c r="E434" s="6" t="s">
        <v>210</v>
      </c>
      <c r="F434" s="8">
        <v>107.0</v>
      </c>
      <c r="G434" s="9">
        <v>511.21</v>
      </c>
      <c r="H434" s="9">
        <v>4054.67</v>
      </c>
      <c r="I434" s="6" t="s">
        <v>178</v>
      </c>
      <c r="J434" s="6" t="s">
        <v>163</v>
      </c>
      <c r="K434" s="6" t="s">
        <v>3660</v>
      </c>
      <c r="L434" s="6">
        <v>3.9598298684E10</v>
      </c>
      <c r="M434" s="6" t="s">
        <v>3661</v>
      </c>
      <c r="N434" s="6" t="s">
        <v>176</v>
      </c>
      <c r="O434" s="6" t="s">
        <v>161</v>
      </c>
      <c r="P434" s="10">
        <v>45940.0</v>
      </c>
    </row>
    <row r="435" ht="22.5" customHeight="1">
      <c r="A435" s="6" t="s">
        <v>3662</v>
      </c>
      <c r="B435" s="6" t="s">
        <v>3663</v>
      </c>
      <c r="C435" s="6" t="s">
        <v>3665</v>
      </c>
      <c r="D435" s="6" t="s">
        <v>145</v>
      </c>
      <c r="E435" s="6" t="s">
        <v>301</v>
      </c>
      <c r="F435" s="8">
        <v>59.0</v>
      </c>
      <c r="G435" s="9">
        <v>498.98</v>
      </c>
      <c r="H435" s="9">
        <v>7250.85</v>
      </c>
      <c r="I435" s="6" t="s">
        <v>161</v>
      </c>
      <c r="J435" s="6" t="s">
        <v>312</v>
      </c>
      <c r="K435" s="6" t="s">
        <v>3666</v>
      </c>
      <c r="L435" s="6">
        <v>4.6286480197E10</v>
      </c>
      <c r="M435" s="6" t="s">
        <v>3667</v>
      </c>
      <c r="N435" s="6" t="s">
        <v>259</v>
      </c>
      <c r="O435" s="6" t="s">
        <v>178</v>
      </c>
      <c r="P435" s="10">
        <v>46003.0</v>
      </c>
    </row>
    <row r="436" ht="22.5" customHeight="1">
      <c r="A436" s="6" t="s">
        <v>3669</v>
      </c>
      <c r="B436" s="6" t="s">
        <v>3670</v>
      </c>
      <c r="C436" s="6" t="s">
        <v>3671</v>
      </c>
      <c r="D436" s="6" t="s">
        <v>383</v>
      </c>
      <c r="E436" s="6" t="s">
        <v>210</v>
      </c>
      <c r="F436" s="8">
        <v>64.0</v>
      </c>
      <c r="G436" s="9">
        <v>876.78</v>
      </c>
      <c r="H436" s="9">
        <v>9654.16</v>
      </c>
      <c r="I436" s="6" t="s">
        <v>161</v>
      </c>
      <c r="J436" s="6" t="s">
        <v>442</v>
      </c>
      <c r="K436" s="6" t="s">
        <v>3673</v>
      </c>
      <c r="L436" s="6">
        <v>8.0623475667E10</v>
      </c>
      <c r="M436" s="6" t="s">
        <v>3674</v>
      </c>
      <c r="N436" s="6" t="s">
        <v>427</v>
      </c>
      <c r="O436" s="6" t="s">
        <v>161</v>
      </c>
      <c r="P436" s="10">
        <v>46022.0</v>
      </c>
    </row>
    <row r="437" ht="22.5" customHeight="1">
      <c r="A437" s="6" t="s">
        <v>3675</v>
      </c>
      <c r="B437" s="6" t="s">
        <v>3676</v>
      </c>
      <c r="C437" s="6" t="s">
        <v>3677</v>
      </c>
      <c r="D437" s="6" t="s">
        <v>206</v>
      </c>
      <c r="E437" s="6" t="s">
        <v>147</v>
      </c>
      <c r="F437" s="8">
        <v>11.0</v>
      </c>
      <c r="G437" s="9">
        <v>87.47</v>
      </c>
      <c r="H437" s="9">
        <v>5738.9</v>
      </c>
      <c r="I437" s="6" t="s">
        <v>178</v>
      </c>
      <c r="J437" s="6" t="s">
        <v>393</v>
      </c>
      <c r="K437" s="6" t="s">
        <v>3679</v>
      </c>
      <c r="L437" s="6">
        <v>8.614259788E10</v>
      </c>
      <c r="M437" s="6" t="s">
        <v>3680</v>
      </c>
      <c r="N437" s="6" t="s">
        <v>259</v>
      </c>
      <c r="O437" s="6" t="s">
        <v>161</v>
      </c>
      <c r="P437" s="10">
        <v>45937.0</v>
      </c>
    </row>
    <row r="438" ht="22.5" customHeight="1">
      <c r="A438" s="6" t="s">
        <v>3681</v>
      </c>
      <c r="B438" s="6" t="s">
        <v>3683</v>
      </c>
      <c r="C438" s="6" t="s">
        <v>3684</v>
      </c>
      <c r="D438" s="6" t="s">
        <v>145</v>
      </c>
      <c r="E438" s="6" t="s">
        <v>210</v>
      </c>
      <c r="F438" s="8">
        <v>81.0</v>
      </c>
      <c r="G438" s="9">
        <v>1099.5</v>
      </c>
      <c r="H438" s="9">
        <v>4274.81</v>
      </c>
      <c r="I438" s="6" t="s">
        <v>161</v>
      </c>
      <c r="J438" s="6" t="s">
        <v>442</v>
      </c>
      <c r="K438" s="6" t="s">
        <v>3685</v>
      </c>
      <c r="L438" s="6">
        <v>4.721475162E10</v>
      </c>
      <c r="M438" s="6" t="s">
        <v>3686</v>
      </c>
      <c r="N438" s="6" t="s">
        <v>112</v>
      </c>
      <c r="O438" s="6" t="s">
        <v>161</v>
      </c>
      <c r="P438" s="10">
        <v>45943.0</v>
      </c>
    </row>
    <row r="439" ht="22.5" customHeight="1">
      <c r="A439" s="6" t="s">
        <v>3688</v>
      </c>
      <c r="B439" s="6" t="s">
        <v>3689</v>
      </c>
      <c r="C439" s="6" t="s">
        <v>3690</v>
      </c>
      <c r="D439" s="6" t="s">
        <v>145</v>
      </c>
      <c r="E439" s="6" t="s">
        <v>147</v>
      </c>
      <c r="F439" s="8">
        <v>14.0</v>
      </c>
      <c r="G439" s="9">
        <v>603.07</v>
      </c>
      <c r="H439" s="9">
        <v>11070.27</v>
      </c>
      <c r="I439" s="6" t="s">
        <v>161</v>
      </c>
      <c r="J439" s="6" t="s">
        <v>421</v>
      </c>
      <c r="K439" s="6" t="s">
        <v>3691</v>
      </c>
      <c r="L439" s="6">
        <v>6.9092845202E10</v>
      </c>
      <c r="M439" s="6" t="s">
        <v>3693</v>
      </c>
      <c r="N439" s="6" t="s">
        <v>427</v>
      </c>
      <c r="O439" s="6" t="s">
        <v>178</v>
      </c>
      <c r="P439" s="10">
        <v>46020.0</v>
      </c>
    </row>
    <row r="440" ht="22.5" customHeight="1">
      <c r="A440" s="6" t="s">
        <v>3694</v>
      </c>
      <c r="B440" s="6" t="s">
        <v>3695</v>
      </c>
      <c r="C440" s="6" t="s">
        <v>3696</v>
      </c>
      <c r="D440" s="6" t="s">
        <v>383</v>
      </c>
      <c r="E440" s="6" t="s">
        <v>147</v>
      </c>
      <c r="F440" s="8">
        <v>14.0</v>
      </c>
      <c r="G440" s="9">
        <v>1019.22</v>
      </c>
      <c r="H440" s="9">
        <v>12358.84</v>
      </c>
      <c r="I440" s="6" t="s">
        <v>161</v>
      </c>
      <c r="J440" s="6" t="s">
        <v>421</v>
      </c>
      <c r="K440" s="6" t="s">
        <v>3697</v>
      </c>
      <c r="L440" s="6">
        <v>9.1045960105E10</v>
      </c>
      <c r="M440" s="6" t="s">
        <v>3699</v>
      </c>
      <c r="N440" s="6" t="s">
        <v>112</v>
      </c>
      <c r="O440" s="6" t="s">
        <v>178</v>
      </c>
      <c r="P440" s="10">
        <v>46028.0</v>
      </c>
    </row>
    <row r="441" ht="22.5" customHeight="1">
      <c r="A441" s="6" t="s">
        <v>3700</v>
      </c>
      <c r="B441" s="6" t="s">
        <v>3701</v>
      </c>
      <c r="C441" s="6" t="s">
        <v>3702</v>
      </c>
      <c r="D441" s="6" t="s">
        <v>383</v>
      </c>
      <c r="E441" s="6" t="s">
        <v>301</v>
      </c>
      <c r="F441" s="8">
        <v>31.0</v>
      </c>
      <c r="G441" s="9">
        <v>939.44</v>
      </c>
      <c r="H441" s="9">
        <v>14607.58</v>
      </c>
      <c r="I441" s="6" t="s">
        <v>178</v>
      </c>
      <c r="J441" s="6" t="s">
        <v>442</v>
      </c>
      <c r="K441" s="6" t="s">
        <v>3704</v>
      </c>
      <c r="L441" s="6">
        <v>9.7888683803E10</v>
      </c>
      <c r="M441" s="6" t="s">
        <v>3705</v>
      </c>
      <c r="N441" s="6" t="s">
        <v>427</v>
      </c>
      <c r="O441" s="6" t="s">
        <v>161</v>
      </c>
      <c r="P441" s="10">
        <v>46001.0</v>
      </c>
    </row>
    <row r="442" ht="22.5" customHeight="1">
      <c r="A442" s="6" t="s">
        <v>3706</v>
      </c>
      <c r="B442" s="6" t="s">
        <v>3707</v>
      </c>
      <c r="C442" s="6" t="s">
        <v>3708</v>
      </c>
      <c r="D442" s="6" t="s">
        <v>206</v>
      </c>
      <c r="E442" s="6" t="s">
        <v>147</v>
      </c>
      <c r="F442" s="8">
        <v>7.0</v>
      </c>
      <c r="G442" s="9">
        <v>193.46</v>
      </c>
      <c r="H442" s="9">
        <v>2434.92</v>
      </c>
      <c r="I442" s="6" t="s">
        <v>161</v>
      </c>
      <c r="J442" s="6" t="s">
        <v>577</v>
      </c>
      <c r="K442" s="6" t="s">
        <v>3710</v>
      </c>
      <c r="L442" s="6">
        <v>3.86701661E9</v>
      </c>
      <c r="M442" s="6" t="s">
        <v>3711</v>
      </c>
      <c r="N442" s="6" t="s">
        <v>283</v>
      </c>
      <c r="O442" s="6" t="s">
        <v>178</v>
      </c>
      <c r="P442" s="10">
        <v>45959.0</v>
      </c>
    </row>
    <row r="443" ht="22.5" customHeight="1">
      <c r="A443" s="6" t="s">
        <v>3712</v>
      </c>
      <c r="B443" s="6" t="s">
        <v>3713</v>
      </c>
      <c r="C443" s="6" t="s">
        <v>3714</v>
      </c>
      <c r="D443" s="6" t="s">
        <v>145</v>
      </c>
      <c r="E443" s="6" t="s">
        <v>301</v>
      </c>
      <c r="F443" s="8">
        <v>45.0</v>
      </c>
      <c r="G443" s="9">
        <v>1773.54</v>
      </c>
      <c r="H443" s="9">
        <v>7662.17</v>
      </c>
      <c r="I443" s="6" t="s">
        <v>161</v>
      </c>
      <c r="J443" s="6" t="s">
        <v>465</v>
      </c>
      <c r="K443" s="6" t="s">
        <v>3716</v>
      </c>
      <c r="L443" s="6">
        <v>1.068865512E9</v>
      </c>
      <c r="M443" s="6" t="s">
        <v>3717</v>
      </c>
      <c r="N443" s="6" t="s">
        <v>259</v>
      </c>
      <c r="O443" s="6" t="s">
        <v>178</v>
      </c>
      <c r="P443" s="10">
        <v>45942.0</v>
      </c>
    </row>
    <row r="444" ht="22.5" customHeight="1">
      <c r="A444" s="6" t="s">
        <v>3718</v>
      </c>
      <c r="B444" s="6" t="s">
        <v>3720</v>
      </c>
      <c r="C444" s="6" t="s">
        <v>3721</v>
      </c>
      <c r="D444" s="6" t="s">
        <v>145</v>
      </c>
      <c r="E444" s="6" t="s">
        <v>147</v>
      </c>
      <c r="F444" s="8">
        <v>5.0</v>
      </c>
      <c r="G444" s="9">
        <v>334.65</v>
      </c>
      <c r="H444" s="9">
        <v>5950.5</v>
      </c>
      <c r="I444" s="6" t="s">
        <v>161</v>
      </c>
      <c r="J444" s="6" t="s">
        <v>259</v>
      </c>
      <c r="K444" s="6" t="s">
        <v>259</v>
      </c>
      <c r="L444" s="6">
        <v>3.936672041E9</v>
      </c>
      <c r="M444" s="6" t="s">
        <v>3722</v>
      </c>
      <c r="N444" s="6" t="s">
        <v>283</v>
      </c>
      <c r="O444" s="6" t="s">
        <v>178</v>
      </c>
      <c r="P444" s="10">
        <v>46030.0</v>
      </c>
    </row>
    <row r="445" ht="22.5" customHeight="1">
      <c r="A445" s="6" t="s">
        <v>3724</v>
      </c>
      <c r="B445" s="6" t="s">
        <v>3725</v>
      </c>
      <c r="C445" s="6" t="s">
        <v>3726</v>
      </c>
      <c r="D445" s="6" t="s">
        <v>206</v>
      </c>
      <c r="E445" s="6" t="s">
        <v>147</v>
      </c>
      <c r="F445" s="8">
        <v>27.0</v>
      </c>
      <c r="G445" s="9">
        <v>1725.34</v>
      </c>
      <c r="H445" s="9">
        <v>12763.95</v>
      </c>
      <c r="I445" s="6" t="s">
        <v>161</v>
      </c>
      <c r="J445" s="6" t="s">
        <v>357</v>
      </c>
      <c r="K445" s="6" t="s">
        <v>3727</v>
      </c>
      <c r="L445" s="6">
        <v>2.0592004855E10</v>
      </c>
      <c r="M445" s="6" t="s">
        <v>3728</v>
      </c>
      <c r="N445" s="6" t="s">
        <v>283</v>
      </c>
      <c r="O445" s="6" t="s">
        <v>178</v>
      </c>
      <c r="P445" s="10">
        <v>45964.0</v>
      </c>
    </row>
    <row r="446" ht="22.5" customHeight="1">
      <c r="A446" s="6" t="s">
        <v>3730</v>
      </c>
      <c r="B446" s="6" t="s">
        <v>3731</v>
      </c>
      <c r="C446" s="6" t="s">
        <v>3732</v>
      </c>
      <c r="D446" s="6" t="s">
        <v>145</v>
      </c>
      <c r="E446" s="6" t="s">
        <v>147</v>
      </c>
      <c r="F446" s="8">
        <v>11.0</v>
      </c>
      <c r="G446" s="9">
        <v>1116.35</v>
      </c>
      <c r="H446" s="9">
        <v>3750.24</v>
      </c>
      <c r="I446" s="6" t="s">
        <v>161</v>
      </c>
      <c r="J446" s="6" t="s">
        <v>577</v>
      </c>
      <c r="K446" s="6" t="s">
        <v>3734</v>
      </c>
      <c r="L446" s="6">
        <v>8.7700328989E10</v>
      </c>
      <c r="M446" s="6" t="s">
        <v>3735</v>
      </c>
      <c r="N446" s="6" t="s">
        <v>259</v>
      </c>
      <c r="O446" s="6" t="s">
        <v>178</v>
      </c>
      <c r="P446" s="10">
        <v>46009.0</v>
      </c>
    </row>
    <row r="447" ht="22.5" customHeight="1">
      <c r="A447" s="6" t="s">
        <v>3736</v>
      </c>
      <c r="B447" s="6" t="s">
        <v>3737</v>
      </c>
      <c r="C447" s="6" t="s">
        <v>3738</v>
      </c>
      <c r="D447" s="6" t="s">
        <v>383</v>
      </c>
      <c r="E447" s="6" t="s">
        <v>301</v>
      </c>
      <c r="F447" s="8">
        <v>59.0</v>
      </c>
      <c r="G447" s="9">
        <v>1160.17</v>
      </c>
      <c r="H447" s="9">
        <v>2822.87</v>
      </c>
      <c r="I447" s="6" t="s">
        <v>161</v>
      </c>
      <c r="J447" s="6" t="s">
        <v>228</v>
      </c>
      <c r="K447" s="6" t="s">
        <v>259</v>
      </c>
      <c r="L447" s="6">
        <v>3.0886977464E10</v>
      </c>
      <c r="M447" s="6" t="s">
        <v>3740</v>
      </c>
      <c r="N447" s="6" t="s">
        <v>176</v>
      </c>
      <c r="O447" s="6" t="s">
        <v>178</v>
      </c>
      <c r="P447" s="10">
        <v>45970.0</v>
      </c>
    </row>
    <row r="448" ht="22.5" customHeight="1">
      <c r="A448" s="6" t="s">
        <v>3741</v>
      </c>
      <c r="B448" s="6" t="s">
        <v>3742</v>
      </c>
      <c r="C448" s="6" t="s">
        <v>3743</v>
      </c>
      <c r="D448" s="6" t="s">
        <v>145</v>
      </c>
      <c r="E448" s="6" t="s">
        <v>301</v>
      </c>
      <c r="F448" s="8">
        <v>47.0</v>
      </c>
      <c r="G448" s="9">
        <v>524.71</v>
      </c>
      <c r="H448" s="9">
        <v>2765.64</v>
      </c>
      <c r="I448" s="6" t="s">
        <v>178</v>
      </c>
      <c r="J448" s="6" t="s">
        <v>442</v>
      </c>
      <c r="K448" s="6" t="s">
        <v>3745</v>
      </c>
      <c r="L448" s="6">
        <v>5.9907897929E10</v>
      </c>
      <c r="M448" s="6" t="s">
        <v>3746</v>
      </c>
      <c r="N448" s="6" t="s">
        <v>112</v>
      </c>
      <c r="O448" s="6" t="s">
        <v>161</v>
      </c>
      <c r="P448" s="10">
        <v>46015.0</v>
      </c>
    </row>
    <row r="449" ht="22.5" customHeight="1">
      <c r="A449" s="6" t="s">
        <v>3748</v>
      </c>
      <c r="B449" s="6" t="s">
        <v>3749</v>
      </c>
      <c r="C449" s="6" t="s">
        <v>3750</v>
      </c>
      <c r="D449" s="6" t="s">
        <v>145</v>
      </c>
      <c r="E449" s="6" t="s">
        <v>147</v>
      </c>
      <c r="F449" s="8">
        <v>25.0</v>
      </c>
      <c r="G449" s="9">
        <v>1479.77</v>
      </c>
      <c r="H449" s="9">
        <v>6296.05</v>
      </c>
      <c r="I449" s="6" t="s">
        <v>161</v>
      </c>
      <c r="J449" s="6" t="s">
        <v>442</v>
      </c>
      <c r="K449" s="6" t="s">
        <v>3751</v>
      </c>
      <c r="L449" s="6">
        <v>2.9701914377E10</v>
      </c>
      <c r="M449" s="6" t="s">
        <v>3753</v>
      </c>
      <c r="N449" s="6" t="s">
        <v>112</v>
      </c>
      <c r="O449" s="6" t="s">
        <v>178</v>
      </c>
      <c r="P449" s="10">
        <v>45996.0</v>
      </c>
    </row>
    <row r="450" ht="22.5" customHeight="1">
      <c r="A450" s="6" t="s">
        <v>3754</v>
      </c>
      <c r="B450" s="6" t="s">
        <v>3755</v>
      </c>
      <c r="C450" s="6" t="s">
        <v>3756</v>
      </c>
      <c r="D450" s="6" t="s">
        <v>206</v>
      </c>
      <c r="E450" s="6" t="s">
        <v>147</v>
      </c>
      <c r="F450" s="8">
        <v>8.0</v>
      </c>
      <c r="G450" s="9">
        <v>1107.97</v>
      </c>
      <c r="H450" s="9">
        <v>8782.55</v>
      </c>
      <c r="I450" s="6" t="s">
        <v>178</v>
      </c>
      <c r="J450" s="6" t="s">
        <v>312</v>
      </c>
      <c r="K450" s="6" t="s">
        <v>3758</v>
      </c>
      <c r="L450" s="6">
        <v>2.0170324974E10</v>
      </c>
      <c r="M450" s="6" t="s">
        <v>3759</v>
      </c>
      <c r="N450" s="6" t="s">
        <v>259</v>
      </c>
      <c r="O450" s="6" t="s">
        <v>161</v>
      </c>
      <c r="P450" s="10">
        <v>45983.0</v>
      </c>
    </row>
    <row r="451" ht="22.5" customHeight="1">
      <c r="A451" s="6" t="s">
        <v>3761</v>
      </c>
      <c r="B451" s="6" t="s">
        <v>3762</v>
      </c>
      <c r="C451" s="6" t="s">
        <v>3763</v>
      </c>
      <c r="D451" s="6" t="s">
        <v>383</v>
      </c>
      <c r="E451" s="6" t="s">
        <v>210</v>
      </c>
      <c r="F451" s="8">
        <v>69.0</v>
      </c>
      <c r="G451" s="9">
        <v>1495.34</v>
      </c>
      <c r="H451" s="9">
        <v>13702.8</v>
      </c>
      <c r="I451" s="6" t="s">
        <v>161</v>
      </c>
      <c r="J451" s="6" t="s">
        <v>228</v>
      </c>
      <c r="K451" s="6" t="s">
        <v>3765</v>
      </c>
      <c r="L451" s="6">
        <v>3.8808398962E10</v>
      </c>
      <c r="M451" s="6" t="s">
        <v>3766</v>
      </c>
      <c r="N451" s="6" t="s">
        <v>427</v>
      </c>
      <c r="O451" s="6" t="s">
        <v>161</v>
      </c>
      <c r="P451" s="10">
        <v>46048.0</v>
      </c>
    </row>
    <row r="452" ht="22.5" customHeight="1">
      <c r="A452" s="6" t="s">
        <v>3767</v>
      </c>
      <c r="B452" s="6" t="s">
        <v>3769</v>
      </c>
      <c r="C452" s="6" t="s">
        <v>3770</v>
      </c>
      <c r="D452" s="6" t="s">
        <v>145</v>
      </c>
      <c r="E452" s="6" t="s">
        <v>210</v>
      </c>
      <c r="F452" s="8">
        <v>75.0</v>
      </c>
      <c r="G452" s="9">
        <v>630.78</v>
      </c>
      <c r="H452" s="9">
        <v>13402.94</v>
      </c>
      <c r="I452" s="6" t="s">
        <v>178</v>
      </c>
      <c r="J452" s="6" t="s">
        <v>312</v>
      </c>
      <c r="K452" s="6" t="s">
        <v>3771</v>
      </c>
      <c r="L452" s="6">
        <v>5.809516606E10</v>
      </c>
      <c r="M452" s="6" t="s">
        <v>3772</v>
      </c>
      <c r="N452" s="6" t="s">
        <v>112</v>
      </c>
      <c r="O452" s="6" t="s">
        <v>161</v>
      </c>
      <c r="P452" s="10">
        <v>45981.0</v>
      </c>
    </row>
    <row r="453" ht="22.5" customHeight="1">
      <c r="A453" s="6" t="s">
        <v>3774</v>
      </c>
      <c r="B453" s="6" t="s">
        <v>3775</v>
      </c>
      <c r="C453" s="6" t="s">
        <v>3776</v>
      </c>
      <c r="D453" s="6" t="s">
        <v>383</v>
      </c>
      <c r="E453" s="6" t="s">
        <v>147</v>
      </c>
      <c r="F453" s="8">
        <v>9.0</v>
      </c>
      <c r="G453" s="9">
        <v>1455.08</v>
      </c>
      <c r="H453" s="9">
        <v>8288.85</v>
      </c>
      <c r="I453" s="6" t="s">
        <v>161</v>
      </c>
      <c r="J453" s="6" t="s">
        <v>393</v>
      </c>
      <c r="K453" s="6" t="s">
        <v>3778</v>
      </c>
      <c r="L453" s="6">
        <v>6.1980578429E10</v>
      </c>
      <c r="M453" s="6" t="s">
        <v>3779</v>
      </c>
      <c r="N453" s="6" t="s">
        <v>176</v>
      </c>
      <c r="O453" s="6" t="s">
        <v>178</v>
      </c>
      <c r="P453" s="10">
        <v>45995.0</v>
      </c>
    </row>
    <row r="454" ht="22.5" customHeight="1">
      <c r="A454" s="6" t="s">
        <v>3780</v>
      </c>
      <c r="B454" s="6" t="s">
        <v>3781</v>
      </c>
      <c r="C454" s="6" t="s">
        <v>3782</v>
      </c>
      <c r="D454" s="6" t="s">
        <v>145</v>
      </c>
      <c r="E454" s="6" t="s">
        <v>210</v>
      </c>
      <c r="F454" s="8">
        <v>66.0</v>
      </c>
      <c r="G454" s="9">
        <v>577.62</v>
      </c>
      <c r="H454" s="9">
        <v>11078.82</v>
      </c>
      <c r="I454" s="6" t="s">
        <v>178</v>
      </c>
      <c r="J454" s="6" t="s">
        <v>312</v>
      </c>
      <c r="K454" s="6" t="s">
        <v>3784</v>
      </c>
      <c r="L454" s="6">
        <v>8.5061693818E10</v>
      </c>
      <c r="M454" s="6" t="s">
        <v>3785</v>
      </c>
      <c r="N454" s="6" t="s">
        <v>259</v>
      </c>
      <c r="O454" s="6" t="s">
        <v>161</v>
      </c>
      <c r="P454" s="10">
        <v>45978.0</v>
      </c>
    </row>
    <row r="455" ht="22.5" customHeight="1">
      <c r="A455" s="6" t="s">
        <v>3787</v>
      </c>
      <c r="B455" s="6" t="s">
        <v>3788</v>
      </c>
      <c r="C455" s="6" t="s">
        <v>3789</v>
      </c>
      <c r="D455" s="6" t="s">
        <v>206</v>
      </c>
      <c r="E455" s="6" t="s">
        <v>147</v>
      </c>
      <c r="F455" s="8">
        <v>17.0</v>
      </c>
      <c r="G455" s="9">
        <v>351.24</v>
      </c>
      <c r="H455" s="9">
        <v>7746.08</v>
      </c>
      <c r="I455" s="6" t="s">
        <v>161</v>
      </c>
      <c r="J455" s="6" t="s">
        <v>421</v>
      </c>
      <c r="K455" s="6" t="s">
        <v>3790</v>
      </c>
      <c r="L455" s="6">
        <v>9.3658533965E10</v>
      </c>
      <c r="M455" s="6" t="s">
        <v>3792</v>
      </c>
      <c r="N455" s="6" t="s">
        <v>176</v>
      </c>
      <c r="O455" s="6" t="s">
        <v>178</v>
      </c>
      <c r="P455" s="10">
        <v>45997.0</v>
      </c>
    </row>
    <row r="456" ht="22.5" customHeight="1">
      <c r="A456" s="6" t="s">
        <v>3793</v>
      </c>
      <c r="B456" s="6" t="s">
        <v>3794</v>
      </c>
      <c r="C456" s="6" t="s">
        <v>3795</v>
      </c>
      <c r="D456" s="6" t="s">
        <v>145</v>
      </c>
      <c r="E456" s="6" t="s">
        <v>147</v>
      </c>
      <c r="F456" s="8">
        <v>10.0</v>
      </c>
      <c r="G456" s="9">
        <v>1774.2</v>
      </c>
      <c r="H456" s="9">
        <v>13833.93</v>
      </c>
      <c r="I456" s="6" t="s">
        <v>161</v>
      </c>
      <c r="J456" s="6" t="s">
        <v>228</v>
      </c>
      <c r="K456" s="6" t="s">
        <v>3797</v>
      </c>
      <c r="L456" s="6">
        <v>8.4048589524E10</v>
      </c>
      <c r="M456" s="6" t="s">
        <v>3798</v>
      </c>
      <c r="N456" s="6" t="s">
        <v>427</v>
      </c>
      <c r="O456" s="6" t="s">
        <v>178</v>
      </c>
      <c r="P456" s="10">
        <v>45968.0</v>
      </c>
    </row>
    <row r="457" ht="22.5" customHeight="1">
      <c r="A457" s="6" t="s">
        <v>3799</v>
      </c>
      <c r="B457" s="6" t="s">
        <v>3800</v>
      </c>
      <c r="C457" s="6" t="s">
        <v>3801</v>
      </c>
      <c r="D457" s="6" t="s">
        <v>206</v>
      </c>
      <c r="E457" s="6" t="s">
        <v>301</v>
      </c>
      <c r="F457" s="8">
        <v>40.0</v>
      </c>
      <c r="G457" s="9">
        <v>1287.48</v>
      </c>
      <c r="H457" s="9">
        <v>4646.02</v>
      </c>
      <c r="I457" s="6" t="s">
        <v>161</v>
      </c>
      <c r="J457" s="6" t="s">
        <v>421</v>
      </c>
      <c r="K457" s="6" t="s">
        <v>3802</v>
      </c>
      <c r="L457" s="6">
        <v>2.3732588623E10</v>
      </c>
      <c r="M457" s="6" t="s">
        <v>3804</v>
      </c>
      <c r="N457" s="6" t="s">
        <v>176</v>
      </c>
      <c r="O457" s="6" t="s">
        <v>178</v>
      </c>
      <c r="P457" s="10">
        <v>45992.0</v>
      </c>
    </row>
    <row r="458" ht="22.5" customHeight="1">
      <c r="A458" s="6" t="s">
        <v>3805</v>
      </c>
      <c r="B458" s="6" t="s">
        <v>3806</v>
      </c>
      <c r="C458" s="6" t="s">
        <v>3807</v>
      </c>
      <c r="D458" s="6" t="s">
        <v>383</v>
      </c>
      <c r="E458" s="6" t="s">
        <v>147</v>
      </c>
      <c r="F458" s="8">
        <v>22.0</v>
      </c>
      <c r="G458" s="9">
        <v>232.98</v>
      </c>
      <c r="H458" s="9">
        <v>3968.09</v>
      </c>
      <c r="I458" s="6" t="s">
        <v>161</v>
      </c>
      <c r="J458" s="6" t="s">
        <v>421</v>
      </c>
      <c r="K458" s="6" t="s">
        <v>3808</v>
      </c>
      <c r="L458" s="6">
        <v>1.7315222311E10</v>
      </c>
      <c r="M458" s="6" t="s">
        <v>3809</v>
      </c>
      <c r="N458" s="6" t="s">
        <v>176</v>
      </c>
      <c r="O458" s="6" t="s">
        <v>178</v>
      </c>
      <c r="P458" s="10">
        <v>46035.0</v>
      </c>
    </row>
    <row r="459" ht="22.5" customHeight="1">
      <c r="A459" s="6" t="s">
        <v>3810</v>
      </c>
      <c r="B459" s="6" t="s">
        <v>3811</v>
      </c>
      <c r="C459" s="6" t="s">
        <v>3812</v>
      </c>
      <c r="D459" s="6" t="s">
        <v>145</v>
      </c>
      <c r="E459" s="6" t="s">
        <v>301</v>
      </c>
      <c r="F459" s="8">
        <v>36.0</v>
      </c>
      <c r="G459" s="9">
        <v>556.89</v>
      </c>
      <c r="H459" s="9">
        <v>6187.41</v>
      </c>
      <c r="I459" s="6" t="s">
        <v>161</v>
      </c>
      <c r="J459" s="6" t="s">
        <v>479</v>
      </c>
      <c r="K459" s="6" t="s">
        <v>3814</v>
      </c>
      <c r="L459" s="6">
        <v>9.1382358974E10</v>
      </c>
      <c r="M459" s="6" t="s">
        <v>3815</v>
      </c>
      <c r="N459" s="6" t="s">
        <v>427</v>
      </c>
      <c r="O459" s="6" t="s">
        <v>178</v>
      </c>
      <c r="P459" s="10">
        <v>46050.0</v>
      </c>
    </row>
    <row r="460" ht="22.5" customHeight="1">
      <c r="A460" s="6" t="s">
        <v>3816</v>
      </c>
      <c r="B460" s="6" t="s">
        <v>3817</v>
      </c>
      <c r="C460" s="6" t="s">
        <v>3818</v>
      </c>
      <c r="D460" s="6" t="s">
        <v>206</v>
      </c>
      <c r="E460" s="6" t="s">
        <v>147</v>
      </c>
      <c r="F460" s="8">
        <v>9.0</v>
      </c>
      <c r="G460" s="9">
        <v>257.21</v>
      </c>
      <c r="H460" s="9">
        <v>12576.87</v>
      </c>
      <c r="I460" s="6" t="s">
        <v>161</v>
      </c>
      <c r="J460" s="6" t="s">
        <v>442</v>
      </c>
      <c r="K460" s="6" t="s">
        <v>3820</v>
      </c>
      <c r="L460" s="6">
        <v>6.2504418822E10</v>
      </c>
      <c r="M460" s="6" t="s">
        <v>3821</v>
      </c>
      <c r="N460" s="6" t="s">
        <v>176</v>
      </c>
      <c r="O460" s="6" t="s">
        <v>178</v>
      </c>
      <c r="P460" s="10">
        <v>45974.0</v>
      </c>
    </row>
    <row r="461" ht="22.5" customHeight="1">
      <c r="A461" s="6" t="s">
        <v>3823</v>
      </c>
      <c r="B461" s="6" t="s">
        <v>3824</v>
      </c>
      <c r="C461" s="6" t="s">
        <v>3825</v>
      </c>
      <c r="D461" s="6" t="s">
        <v>145</v>
      </c>
      <c r="E461" s="6" t="s">
        <v>301</v>
      </c>
      <c r="F461" s="8">
        <v>46.0</v>
      </c>
      <c r="G461" s="9">
        <v>1623.46</v>
      </c>
      <c r="H461" s="9">
        <v>14156.04</v>
      </c>
      <c r="I461" s="6" t="s">
        <v>161</v>
      </c>
      <c r="J461" s="6" t="s">
        <v>465</v>
      </c>
      <c r="K461" s="6" t="s">
        <v>3826</v>
      </c>
      <c r="L461" s="6">
        <v>5.769071971E10</v>
      </c>
      <c r="M461" s="6" t="s">
        <v>3827</v>
      </c>
      <c r="N461" s="6" t="s">
        <v>176</v>
      </c>
      <c r="O461" s="6" t="s">
        <v>178</v>
      </c>
      <c r="P461" s="10">
        <v>46041.0</v>
      </c>
    </row>
    <row r="462" ht="22.5" customHeight="1">
      <c r="A462" s="6" t="s">
        <v>3829</v>
      </c>
      <c r="B462" s="6" t="s">
        <v>3830</v>
      </c>
      <c r="C462" s="6" t="s">
        <v>3831</v>
      </c>
      <c r="D462" s="6" t="s">
        <v>145</v>
      </c>
      <c r="E462" s="6" t="s">
        <v>301</v>
      </c>
      <c r="F462" s="8">
        <v>42.0</v>
      </c>
      <c r="G462" s="9">
        <v>1209.14</v>
      </c>
      <c r="H462" s="9">
        <v>14587.46</v>
      </c>
      <c r="I462" s="6" t="s">
        <v>161</v>
      </c>
      <c r="J462" s="6" t="s">
        <v>163</v>
      </c>
      <c r="K462" s="6" t="s">
        <v>3833</v>
      </c>
      <c r="L462" s="6">
        <v>7.5287581635E10</v>
      </c>
      <c r="M462" s="6" t="s">
        <v>3834</v>
      </c>
      <c r="N462" s="6" t="s">
        <v>283</v>
      </c>
      <c r="O462" s="6" t="s">
        <v>178</v>
      </c>
      <c r="P462" s="10">
        <v>45948.0</v>
      </c>
    </row>
    <row r="463" ht="22.5" customHeight="1">
      <c r="A463" s="6" t="s">
        <v>3836</v>
      </c>
      <c r="B463" s="6" t="s">
        <v>3837</v>
      </c>
      <c r="C463" s="6" t="s">
        <v>3838</v>
      </c>
      <c r="D463" s="6" t="s">
        <v>383</v>
      </c>
      <c r="E463" s="6" t="s">
        <v>301</v>
      </c>
      <c r="F463" s="8">
        <v>54.0</v>
      </c>
      <c r="G463" s="9">
        <v>776.04</v>
      </c>
      <c r="H463" s="9">
        <v>10967.92</v>
      </c>
      <c r="I463" s="6" t="s">
        <v>161</v>
      </c>
      <c r="J463" s="6" t="s">
        <v>259</v>
      </c>
      <c r="K463" s="6" t="s">
        <v>3840</v>
      </c>
      <c r="L463" s="6">
        <v>4.0907093615E10</v>
      </c>
      <c r="M463" s="6" t="s">
        <v>3841</v>
      </c>
      <c r="N463" s="6" t="s">
        <v>112</v>
      </c>
      <c r="O463" s="6" t="s">
        <v>178</v>
      </c>
      <c r="P463" s="10">
        <v>46026.0</v>
      </c>
    </row>
    <row r="464" ht="22.5" customHeight="1">
      <c r="A464" s="6" t="s">
        <v>3842</v>
      </c>
      <c r="B464" s="6" t="s">
        <v>3843</v>
      </c>
      <c r="C464" s="6" t="s">
        <v>3845</v>
      </c>
      <c r="D464" s="6" t="s">
        <v>206</v>
      </c>
      <c r="E464" s="6" t="s">
        <v>147</v>
      </c>
      <c r="F464" s="8">
        <v>10.0</v>
      </c>
      <c r="G464" s="9">
        <v>633.06</v>
      </c>
      <c r="H464" s="9">
        <v>9701.08</v>
      </c>
      <c r="I464" s="6" t="s">
        <v>161</v>
      </c>
      <c r="J464" s="6" t="s">
        <v>442</v>
      </c>
      <c r="K464" s="6" t="s">
        <v>3846</v>
      </c>
      <c r="L464" s="6">
        <v>1.2836450933E10</v>
      </c>
      <c r="M464" s="6" t="s">
        <v>3847</v>
      </c>
      <c r="N464" s="6" t="s">
        <v>112</v>
      </c>
      <c r="O464" s="6" t="s">
        <v>178</v>
      </c>
      <c r="P464" s="10">
        <v>46005.0</v>
      </c>
    </row>
    <row r="465" ht="22.5" customHeight="1">
      <c r="A465" s="6" t="s">
        <v>3849</v>
      </c>
      <c r="B465" s="6" t="s">
        <v>3850</v>
      </c>
      <c r="C465" s="6" t="s">
        <v>3851</v>
      </c>
      <c r="D465" s="6" t="s">
        <v>145</v>
      </c>
      <c r="E465" s="6" t="s">
        <v>147</v>
      </c>
      <c r="F465" s="8">
        <v>11.0</v>
      </c>
      <c r="G465" s="9">
        <v>1161.85</v>
      </c>
      <c r="H465" s="9">
        <v>7856.17</v>
      </c>
      <c r="I465" s="6" t="s">
        <v>161</v>
      </c>
      <c r="J465" s="6" t="s">
        <v>312</v>
      </c>
      <c r="K465" s="6" t="s">
        <v>3853</v>
      </c>
      <c r="L465" s="6">
        <v>7.8321317887E10</v>
      </c>
      <c r="M465" s="6" t="s">
        <v>3854</v>
      </c>
      <c r="N465" s="6" t="s">
        <v>427</v>
      </c>
      <c r="O465" s="6" t="s">
        <v>178</v>
      </c>
      <c r="P465" s="10">
        <v>45965.0</v>
      </c>
    </row>
    <row r="466" ht="22.5" customHeight="1">
      <c r="A466" s="6" t="s">
        <v>3855</v>
      </c>
      <c r="B466" s="6" t="s">
        <v>3856</v>
      </c>
      <c r="C466" s="6" t="s">
        <v>3857</v>
      </c>
      <c r="D466" s="6" t="s">
        <v>383</v>
      </c>
      <c r="E466" s="6" t="s">
        <v>210</v>
      </c>
      <c r="F466" s="8">
        <v>68.0</v>
      </c>
      <c r="G466" s="9">
        <v>945.7</v>
      </c>
      <c r="H466" s="9">
        <v>10963.61</v>
      </c>
      <c r="I466" s="6" t="s">
        <v>178</v>
      </c>
      <c r="J466" s="6" t="s">
        <v>228</v>
      </c>
      <c r="K466" s="6" t="s">
        <v>3859</v>
      </c>
      <c r="L466" s="6">
        <v>6.9415977039E10</v>
      </c>
      <c r="M466" s="6" t="s">
        <v>3860</v>
      </c>
      <c r="N466" s="6" t="s">
        <v>427</v>
      </c>
      <c r="O466" s="6" t="s">
        <v>161</v>
      </c>
      <c r="P466" s="10">
        <v>45934.0</v>
      </c>
    </row>
    <row r="467" ht="22.5" customHeight="1">
      <c r="A467" s="6" t="s">
        <v>3862</v>
      </c>
      <c r="B467" s="6" t="s">
        <v>3863</v>
      </c>
      <c r="C467" s="6" t="s">
        <v>3864</v>
      </c>
      <c r="D467" s="6" t="s">
        <v>206</v>
      </c>
      <c r="E467" s="6" t="s">
        <v>147</v>
      </c>
      <c r="F467" s="8">
        <v>27.0</v>
      </c>
      <c r="G467" s="9">
        <v>1060.41</v>
      </c>
      <c r="H467" s="9">
        <v>12465.2</v>
      </c>
      <c r="I467" s="6" t="s">
        <v>161</v>
      </c>
      <c r="J467" s="6" t="s">
        <v>479</v>
      </c>
      <c r="K467" s="6" t="s">
        <v>3865</v>
      </c>
      <c r="L467" s="6">
        <v>4.6472604308E10</v>
      </c>
      <c r="M467" s="6" t="s">
        <v>3867</v>
      </c>
      <c r="N467" s="6" t="s">
        <v>259</v>
      </c>
      <c r="O467" s="6" t="s">
        <v>178</v>
      </c>
      <c r="P467" s="10">
        <v>45982.0</v>
      </c>
    </row>
    <row r="468" ht="22.5" customHeight="1">
      <c r="A468" s="6" t="s">
        <v>3868</v>
      </c>
      <c r="B468" s="6" t="s">
        <v>3869</v>
      </c>
      <c r="C468" s="6" t="s">
        <v>3871</v>
      </c>
      <c r="D468" s="6" t="s">
        <v>206</v>
      </c>
      <c r="E468" s="6" t="s">
        <v>147</v>
      </c>
      <c r="F468" s="8">
        <v>29.0</v>
      </c>
      <c r="G468" s="9">
        <v>1039.15</v>
      </c>
      <c r="H468" s="9">
        <v>5524.79</v>
      </c>
      <c r="I468" s="6" t="s">
        <v>161</v>
      </c>
      <c r="J468" s="6" t="s">
        <v>577</v>
      </c>
      <c r="K468" s="6" t="s">
        <v>3873</v>
      </c>
      <c r="L468" s="6">
        <v>5.4038695649E10</v>
      </c>
      <c r="M468" s="6" t="s">
        <v>3874</v>
      </c>
      <c r="N468" s="6" t="s">
        <v>283</v>
      </c>
      <c r="O468" s="6" t="s">
        <v>178</v>
      </c>
      <c r="P468" s="10">
        <v>46040.0</v>
      </c>
    </row>
    <row r="469" ht="22.5" customHeight="1">
      <c r="A469" s="6" t="s">
        <v>3875</v>
      </c>
      <c r="B469" s="6" t="s">
        <v>3876</v>
      </c>
      <c r="C469" s="6" t="s">
        <v>3878</v>
      </c>
      <c r="D469" s="6" t="s">
        <v>206</v>
      </c>
      <c r="E469" s="6" t="s">
        <v>147</v>
      </c>
      <c r="F469" s="8">
        <v>22.0</v>
      </c>
      <c r="G469" s="9">
        <v>876.92</v>
      </c>
      <c r="H469" s="9">
        <v>12894.83</v>
      </c>
      <c r="I469" s="6" t="s">
        <v>161</v>
      </c>
      <c r="J469" s="6" t="s">
        <v>465</v>
      </c>
      <c r="K469" s="6" t="s">
        <v>3879</v>
      </c>
      <c r="L469" s="6" t="s">
        <v>259</v>
      </c>
      <c r="M469" s="6" t="s">
        <v>3880</v>
      </c>
      <c r="N469" s="6" t="s">
        <v>283</v>
      </c>
      <c r="O469" s="6" t="s">
        <v>178</v>
      </c>
      <c r="P469" s="10">
        <v>45978.0</v>
      </c>
    </row>
    <row r="470" ht="22.5" customHeight="1">
      <c r="A470" s="6" t="s">
        <v>3882</v>
      </c>
      <c r="B470" s="6" t="s">
        <v>3883</v>
      </c>
      <c r="C470" s="6" t="s">
        <v>3884</v>
      </c>
      <c r="D470" s="6" t="s">
        <v>145</v>
      </c>
      <c r="E470" s="6" t="s">
        <v>301</v>
      </c>
      <c r="F470" s="8">
        <v>34.0</v>
      </c>
      <c r="G470" s="9">
        <v>1456.78</v>
      </c>
      <c r="H470" s="9">
        <v>14604.2</v>
      </c>
      <c r="I470" s="6" t="s">
        <v>161</v>
      </c>
      <c r="J470" s="6" t="s">
        <v>312</v>
      </c>
      <c r="K470" s="6" t="s">
        <v>3886</v>
      </c>
      <c r="L470" s="6">
        <v>6.9301706078E10</v>
      </c>
      <c r="M470" s="6" t="s">
        <v>3887</v>
      </c>
      <c r="N470" s="6" t="s">
        <v>283</v>
      </c>
      <c r="O470" s="6" t="s">
        <v>178</v>
      </c>
      <c r="P470" s="10">
        <v>46038.0</v>
      </c>
    </row>
    <row r="471" ht="22.5" customHeight="1">
      <c r="A471" s="6" t="s">
        <v>3889</v>
      </c>
      <c r="B471" s="6" t="s">
        <v>3890</v>
      </c>
      <c r="C471" s="6" t="s">
        <v>3891</v>
      </c>
      <c r="D471" s="6" t="s">
        <v>206</v>
      </c>
      <c r="E471" s="6" t="s">
        <v>147</v>
      </c>
      <c r="F471" s="8">
        <v>21.0</v>
      </c>
      <c r="G471" s="9">
        <v>532.05</v>
      </c>
      <c r="H471" s="9">
        <v>12426.14</v>
      </c>
      <c r="I471" s="6" t="s">
        <v>161</v>
      </c>
      <c r="J471" s="6" t="s">
        <v>259</v>
      </c>
      <c r="K471" s="6" t="s">
        <v>3892</v>
      </c>
      <c r="L471" s="6">
        <v>8.7826050647E10</v>
      </c>
      <c r="M471" s="6" t="s">
        <v>3893</v>
      </c>
      <c r="N471" s="6" t="s">
        <v>283</v>
      </c>
      <c r="O471" s="6" t="s">
        <v>178</v>
      </c>
      <c r="P471" s="10">
        <v>46010.0</v>
      </c>
    </row>
    <row r="472" ht="22.5" customHeight="1">
      <c r="A472" s="6" t="s">
        <v>3895</v>
      </c>
      <c r="B472" s="6" t="s">
        <v>3896</v>
      </c>
      <c r="C472" s="6" t="s">
        <v>3897</v>
      </c>
      <c r="D472" s="6" t="s">
        <v>206</v>
      </c>
      <c r="E472" s="6" t="s">
        <v>147</v>
      </c>
      <c r="F472" s="8">
        <v>16.0</v>
      </c>
      <c r="G472" s="9">
        <v>622.14</v>
      </c>
      <c r="H472" s="9">
        <v>6201.21</v>
      </c>
      <c r="I472" s="6" t="s">
        <v>161</v>
      </c>
      <c r="J472" s="6" t="s">
        <v>228</v>
      </c>
      <c r="K472" s="6" t="s">
        <v>3898</v>
      </c>
      <c r="L472" s="6">
        <v>2.142977979E10</v>
      </c>
      <c r="M472" s="6" t="s">
        <v>3899</v>
      </c>
      <c r="N472" s="6" t="s">
        <v>259</v>
      </c>
      <c r="O472" s="6" t="s">
        <v>178</v>
      </c>
      <c r="P472" s="10">
        <v>46015.0</v>
      </c>
    </row>
    <row r="473" ht="22.5" customHeight="1">
      <c r="A473" s="6" t="s">
        <v>3901</v>
      </c>
      <c r="B473" s="6" t="s">
        <v>3902</v>
      </c>
      <c r="C473" s="6" t="s">
        <v>3903</v>
      </c>
      <c r="D473" s="6" t="s">
        <v>206</v>
      </c>
      <c r="E473" s="6" t="s">
        <v>147</v>
      </c>
      <c r="F473" s="8">
        <v>26.0</v>
      </c>
      <c r="G473" s="9">
        <v>1069.17</v>
      </c>
      <c r="H473" s="9">
        <v>14927.23</v>
      </c>
      <c r="I473" s="6" t="s">
        <v>161</v>
      </c>
      <c r="J473" s="6" t="s">
        <v>312</v>
      </c>
      <c r="K473" s="6" t="s">
        <v>3905</v>
      </c>
      <c r="L473" s="6">
        <v>9.142363336E10</v>
      </c>
      <c r="M473" s="6" t="s">
        <v>3906</v>
      </c>
      <c r="N473" s="6" t="s">
        <v>283</v>
      </c>
      <c r="O473" s="6" t="s">
        <v>178</v>
      </c>
      <c r="P473" s="10">
        <v>45936.0</v>
      </c>
    </row>
    <row r="474" ht="22.5" customHeight="1">
      <c r="A474" s="6" t="s">
        <v>3907</v>
      </c>
      <c r="B474" s="6" t="s">
        <v>3908</v>
      </c>
      <c r="C474" s="6" t="s">
        <v>3909</v>
      </c>
      <c r="D474" s="6" t="s">
        <v>206</v>
      </c>
      <c r="E474" s="6" t="s">
        <v>147</v>
      </c>
      <c r="F474" s="8">
        <v>15.0</v>
      </c>
      <c r="G474" s="9">
        <v>471.95</v>
      </c>
      <c r="H474" s="9">
        <v>5315.84</v>
      </c>
      <c r="I474" s="6" t="s">
        <v>161</v>
      </c>
      <c r="J474" s="6" t="s">
        <v>421</v>
      </c>
      <c r="K474" s="6" t="s">
        <v>3911</v>
      </c>
      <c r="L474" s="6">
        <v>3.758093034E10</v>
      </c>
      <c r="M474" s="6" t="s">
        <v>3912</v>
      </c>
      <c r="N474" s="6" t="s">
        <v>283</v>
      </c>
      <c r="O474" s="6" t="s">
        <v>178</v>
      </c>
      <c r="P474" s="10">
        <v>45970.0</v>
      </c>
    </row>
    <row r="475" ht="22.5" customHeight="1">
      <c r="A475" s="6" t="s">
        <v>3913</v>
      </c>
      <c r="B475" s="6" t="s">
        <v>3915</v>
      </c>
      <c r="C475" s="6" t="s">
        <v>3916</v>
      </c>
      <c r="D475" s="6" t="s">
        <v>145</v>
      </c>
      <c r="E475" s="6" t="s">
        <v>147</v>
      </c>
      <c r="F475" s="8">
        <v>7.0</v>
      </c>
      <c r="G475" s="9">
        <v>1193.09</v>
      </c>
      <c r="H475" s="9">
        <v>12904.97</v>
      </c>
      <c r="I475" s="6" t="s">
        <v>161</v>
      </c>
      <c r="J475" s="6" t="s">
        <v>1693</v>
      </c>
      <c r="K475" s="6" t="s">
        <v>3917</v>
      </c>
      <c r="L475" s="6">
        <v>9.7428453375E10</v>
      </c>
      <c r="M475" s="6" t="s">
        <v>3918</v>
      </c>
      <c r="N475" s="6" t="s">
        <v>427</v>
      </c>
      <c r="O475" s="6" t="s">
        <v>178</v>
      </c>
      <c r="P475" s="10">
        <v>45952.0</v>
      </c>
    </row>
    <row r="476" ht="22.5" customHeight="1">
      <c r="A476" s="6" t="s">
        <v>3920</v>
      </c>
      <c r="B476" s="6" t="s">
        <v>3921</v>
      </c>
      <c r="C476" s="6" t="s">
        <v>3922</v>
      </c>
      <c r="D476" s="6" t="s">
        <v>206</v>
      </c>
      <c r="E476" s="6" t="s">
        <v>147</v>
      </c>
      <c r="F476" s="8">
        <v>22.0</v>
      </c>
      <c r="G476" s="9">
        <v>1775.76</v>
      </c>
      <c r="H476" s="9">
        <v>13701.5</v>
      </c>
      <c r="I476" s="6" t="s">
        <v>161</v>
      </c>
      <c r="J476" s="6" t="s">
        <v>442</v>
      </c>
      <c r="K476" s="6" t="s">
        <v>3924</v>
      </c>
      <c r="L476" s="6">
        <v>3.1774602731E10</v>
      </c>
      <c r="M476" s="6" t="s">
        <v>3925</v>
      </c>
      <c r="N476" s="6" t="s">
        <v>283</v>
      </c>
      <c r="O476" s="6" t="s">
        <v>178</v>
      </c>
      <c r="P476" s="10">
        <v>46032.0</v>
      </c>
    </row>
    <row r="477" ht="22.5" customHeight="1">
      <c r="A477" s="6" t="s">
        <v>3926</v>
      </c>
      <c r="B477" s="6" t="s">
        <v>3927</v>
      </c>
      <c r="C477" s="6" t="s">
        <v>3928</v>
      </c>
      <c r="D477" s="6" t="s">
        <v>145</v>
      </c>
      <c r="E477" s="6" t="s">
        <v>147</v>
      </c>
      <c r="F477" s="8">
        <v>17.0</v>
      </c>
      <c r="G477" s="9">
        <v>1008.37</v>
      </c>
      <c r="H477" s="9">
        <v>2610.4</v>
      </c>
      <c r="I477" s="6" t="s">
        <v>161</v>
      </c>
      <c r="J477" s="6" t="s">
        <v>393</v>
      </c>
      <c r="K477" s="6" t="s">
        <v>259</v>
      </c>
      <c r="L477" s="6">
        <v>5.015084457E9</v>
      </c>
      <c r="M477" s="6" t="s">
        <v>3930</v>
      </c>
      <c r="N477" s="6" t="s">
        <v>112</v>
      </c>
      <c r="O477" s="6" t="s">
        <v>178</v>
      </c>
      <c r="P477" s="10">
        <v>45987.0</v>
      </c>
    </row>
    <row r="478" ht="22.5" customHeight="1">
      <c r="A478" s="6" t="s">
        <v>3931</v>
      </c>
      <c r="B478" s="6" t="s">
        <v>3932</v>
      </c>
      <c r="C478" s="6" t="s">
        <v>3933</v>
      </c>
      <c r="D478" s="6" t="s">
        <v>206</v>
      </c>
      <c r="E478" s="6" t="s">
        <v>210</v>
      </c>
      <c r="F478" s="8">
        <v>75.0</v>
      </c>
      <c r="G478" s="9">
        <v>1199.35</v>
      </c>
      <c r="H478" s="9">
        <v>8969.81</v>
      </c>
      <c r="I478" s="6" t="s">
        <v>161</v>
      </c>
      <c r="J478" s="6" t="s">
        <v>357</v>
      </c>
      <c r="K478" s="6" t="s">
        <v>3935</v>
      </c>
      <c r="L478" s="6">
        <v>5.417161294E10</v>
      </c>
      <c r="M478" s="6" t="s">
        <v>3936</v>
      </c>
      <c r="N478" s="6" t="s">
        <v>112</v>
      </c>
      <c r="O478" s="6" t="s">
        <v>161</v>
      </c>
      <c r="P478" s="10">
        <v>45991.0</v>
      </c>
    </row>
    <row r="479" ht="22.5" customHeight="1">
      <c r="A479" s="6" t="s">
        <v>3937</v>
      </c>
      <c r="B479" s="6" t="s">
        <v>3938</v>
      </c>
      <c r="C479" s="6" t="s">
        <v>3939</v>
      </c>
      <c r="D479" s="6" t="s">
        <v>206</v>
      </c>
      <c r="E479" s="6" t="s">
        <v>147</v>
      </c>
      <c r="F479" s="8">
        <v>20.0</v>
      </c>
      <c r="G479" s="9">
        <v>1083.44</v>
      </c>
      <c r="H479" s="9">
        <v>8166.0</v>
      </c>
      <c r="I479" s="6" t="s">
        <v>161</v>
      </c>
      <c r="J479" s="6" t="s">
        <v>442</v>
      </c>
      <c r="K479" s="6" t="s">
        <v>3941</v>
      </c>
      <c r="L479" s="6">
        <v>6.004136891E10</v>
      </c>
      <c r="M479" s="6" t="s">
        <v>3942</v>
      </c>
      <c r="N479" s="6" t="s">
        <v>112</v>
      </c>
      <c r="O479" s="6" t="s">
        <v>178</v>
      </c>
      <c r="P479" s="10">
        <v>46001.0</v>
      </c>
    </row>
    <row r="480" ht="22.5" customHeight="1">
      <c r="A480" s="6" t="s">
        <v>3943</v>
      </c>
      <c r="B480" s="6" t="s">
        <v>3945</v>
      </c>
      <c r="C480" s="6" t="s">
        <v>3946</v>
      </c>
      <c r="D480" s="6" t="s">
        <v>383</v>
      </c>
      <c r="E480" s="6" t="s">
        <v>210</v>
      </c>
      <c r="F480" s="8">
        <v>94.0</v>
      </c>
      <c r="G480" s="9">
        <v>852.29</v>
      </c>
      <c r="H480" s="9">
        <v>2986.06</v>
      </c>
      <c r="I480" s="6" t="s">
        <v>178</v>
      </c>
      <c r="J480" s="6" t="s">
        <v>479</v>
      </c>
      <c r="K480" s="6" t="s">
        <v>3947</v>
      </c>
      <c r="L480" s="6">
        <v>4.6086259329E10</v>
      </c>
      <c r="M480" s="6" t="s">
        <v>3948</v>
      </c>
      <c r="N480" s="6" t="s">
        <v>176</v>
      </c>
      <c r="O480" s="6" t="s">
        <v>161</v>
      </c>
      <c r="P480" s="10">
        <v>45958.0</v>
      </c>
    </row>
    <row r="481" ht="22.5" customHeight="1">
      <c r="A481" s="6" t="s">
        <v>3950</v>
      </c>
      <c r="B481" s="6" t="s">
        <v>3951</v>
      </c>
      <c r="C481" s="6" t="s">
        <v>3952</v>
      </c>
      <c r="D481" s="6" t="s">
        <v>206</v>
      </c>
      <c r="E481" s="6" t="s">
        <v>210</v>
      </c>
      <c r="F481" s="8">
        <v>103.0</v>
      </c>
      <c r="G481" s="9">
        <v>323.39</v>
      </c>
      <c r="H481" s="9">
        <v>10908.94</v>
      </c>
      <c r="I481" s="6" t="s">
        <v>178</v>
      </c>
      <c r="J481" s="6" t="s">
        <v>479</v>
      </c>
      <c r="K481" s="6" t="s">
        <v>3954</v>
      </c>
      <c r="L481" s="6">
        <v>1.7726418973E10</v>
      </c>
      <c r="M481" s="6" t="s">
        <v>3955</v>
      </c>
      <c r="N481" s="6" t="s">
        <v>176</v>
      </c>
      <c r="O481" s="6" t="s">
        <v>161</v>
      </c>
      <c r="P481" s="10">
        <v>45935.0</v>
      </c>
    </row>
    <row r="482" ht="22.5" customHeight="1">
      <c r="A482" s="6" t="s">
        <v>3956</v>
      </c>
      <c r="B482" s="6" t="s">
        <v>3958</v>
      </c>
      <c r="C482" s="6" t="s">
        <v>3959</v>
      </c>
      <c r="D482" s="6" t="s">
        <v>206</v>
      </c>
      <c r="E482" s="6" t="s">
        <v>147</v>
      </c>
      <c r="F482" s="8">
        <v>27.0</v>
      </c>
      <c r="G482" s="9">
        <v>272.91</v>
      </c>
      <c r="H482" s="9">
        <v>6150.14</v>
      </c>
      <c r="I482" s="6" t="s">
        <v>161</v>
      </c>
      <c r="J482" s="6" t="s">
        <v>479</v>
      </c>
      <c r="K482" s="6" t="s">
        <v>3960</v>
      </c>
      <c r="L482" s="6">
        <v>8.4561222339E10</v>
      </c>
      <c r="M482" s="6" t="s">
        <v>3961</v>
      </c>
      <c r="N482" s="6" t="s">
        <v>427</v>
      </c>
      <c r="O482" s="6" t="s">
        <v>178</v>
      </c>
      <c r="P482" s="10">
        <v>46041.0</v>
      </c>
    </row>
    <row r="483" ht="22.5" customHeight="1">
      <c r="A483" s="6" t="s">
        <v>3963</v>
      </c>
      <c r="B483" s="6" t="s">
        <v>3964</v>
      </c>
      <c r="C483" s="6" t="s">
        <v>3965</v>
      </c>
      <c r="D483" s="6" t="s">
        <v>145</v>
      </c>
      <c r="E483" s="6" t="s">
        <v>210</v>
      </c>
      <c r="F483" s="8">
        <v>102.0</v>
      </c>
      <c r="G483" s="9">
        <v>1433.71</v>
      </c>
      <c r="H483" s="9">
        <v>2302.25</v>
      </c>
      <c r="I483" s="6" t="s">
        <v>161</v>
      </c>
      <c r="J483" s="6" t="s">
        <v>259</v>
      </c>
      <c r="K483" s="6" t="s">
        <v>3966</v>
      </c>
      <c r="L483" s="6">
        <v>4.6579488562E10</v>
      </c>
      <c r="M483" s="6" t="s">
        <v>3968</v>
      </c>
      <c r="N483" s="6" t="s">
        <v>112</v>
      </c>
      <c r="O483" s="6" t="s">
        <v>161</v>
      </c>
      <c r="P483" s="10">
        <v>46033.0</v>
      </c>
    </row>
    <row r="484" ht="22.5" customHeight="1">
      <c r="A484" s="6" t="s">
        <v>3969</v>
      </c>
      <c r="B484" s="6" t="s">
        <v>3970</v>
      </c>
      <c r="C484" s="6" t="s">
        <v>3971</v>
      </c>
      <c r="D484" s="6" t="s">
        <v>383</v>
      </c>
      <c r="E484" s="6" t="s">
        <v>301</v>
      </c>
      <c r="F484" s="8">
        <v>43.0</v>
      </c>
      <c r="G484" s="9">
        <v>690.62</v>
      </c>
      <c r="H484" s="9">
        <v>11526.73</v>
      </c>
      <c r="I484" s="6" t="s">
        <v>161</v>
      </c>
      <c r="J484" s="6" t="s">
        <v>577</v>
      </c>
      <c r="K484" s="6" t="s">
        <v>3973</v>
      </c>
      <c r="L484" s="6">
        <v>7.6665349008E10</v>
      </c>
      <c r="M484" s="6" t="s">
        <v>3974</v>
      </c>
      <c r="N484" s="6" t="s">
        <v>283</v>
      </c>
      <c r="O484" s="6" t="s">
        <v>178</v>
      </c>
      <c r="P484" s="10">
        <v>46022.0</v>
      </c>
    </row>
    <row r="485" ht="22.5" customHeight="1">
      <c r="A485" s="6" t="s">
        <v>3975</v>
      </c>
      <c r="B485" s="6" t="s">
        <v>3976</v>
      </c>
      <c r="C485" s="6" t="s">
        <v>3978</v>
      </c>
      <c r="D485" s="6" t="s">
        <v>145</v>
      </c>
      <c r="E485" s="6" t="s">
        <v>147</v>
      </c>
      <c r="F485" s="8">
        <v>15.0</v>
      </c>
      <c r="G485" s="9">
        <v>1345.09</v>
      </c>
      <c r="H485" s="9">
        <v>4686.42</v>
      </c>
      <c r="I485" s="6" t="s">
        <v>161</v>
      </c>
      <c r="J485" s="6" t="s">
        <v>421</v>
      </c>
      <c r="K485" s="6" t="s">
        <v>3979</v>
      </c>
      <c r="L485" s="6">
        <v>7.2885357334E10</v>
      </c>
      <c r="M485" s="6" t="s">
        <v>3980</v>
      </c>
      <c r="N485" s="6" t="s">
        <v>176</v>
      </c>
      <c r="O485" s="6" t="s">
        <v>178</v>
      </c>
      <c r="P485" s="10">
        <v>45955.0</v>
      </c>
    </row>
    <row r="486" ht="22.5" customHeight="1">
      <c r="A486" s="6" t="s">
        <v>3982</v>
      </c>
      <c r="B486" s="6" t="s">
        <v>3983</v>
      </c>
      <c r="C486" s="6" t="s">
        <v>3984</v>
      </c>
      <c r="D486" s="6" t="s">
        <v>145</v>
      </c>
      <c r="E486" s="6" t="s">
        <v>147</v>
      </c>
      <c r="F486" s="8">
        <v>17.0</v>
      </c>
      <c r="G486" s="9">
        <v>704.64</v>
      </c>
      <c r="H486" s="9">
        <v>13384.24</v>
      </c>
      <c r="I486" s="6" t="s">
        <v>161</v>
      </c>
      <c r="J486" s="6" t="s">
        <v>228</v>
      </c>
      <c r="K486" s="6" t="s">
        <v>3985</v>
      </c>
      <c r="L486" s="6">
        <v>3.0248309461E10</v>
      </c>
      <c r="M486" s="6" t="s">
        <v>3986</v>
      </c>
      <c r="N486" s="6" t="s">
        <v>259</v>
      </c>
      <c r="O486" s="6" t="s">
        <v>178</v>
      </c>
      <c r="P486" s="10">
        <v>45956.0</v>
      </c>
    </row>
    <row r="487" ht="22.5" customHeight="1">
      <c r="A487" s="6" t="s">
        <v>3988</v>
      </c>
      <c r="B487" s="6" t="s">
        <v>3989</v>
      </c>
      <c r="C487" s="6" t="s">
        <v>3990</v>
      </c>
      <c r="D487" s="6" t="s">
        <v>206</v>
      </c>
      <c r="E487" s="6" t="s">
        <v>147</v>
      </c>
      <c r="F487" s="8">
        <v>8.0</v>
      </c>
      <c r="G487" s="9">
        <v>1247.21</v>
      </c>
      <c r="H487" s="9">
        <v>6048.46</v>
      </c>
      <c r="I487" s="6" t="s">
        <v>178</v>
      </c>
      <c r="J487" s="6" t="s">
        <v>465</v>
      </c>
      <c r="K487" s="6" t="s">
        <v>3992</v>
      </c>
      <c r="L487" s="6">
        <v>3.838713156E9</v>
      </c>
      <c r="M487" s="6" t="s">
        <v>3993</v>
      </c>
      <c r="N487" s="6" t="s">
        <v>427</v>
      </c>
      <c r="O487" s="6" t="s">
        <v>161</v>
      </c>
      <c r="P487" s="10">
        <v>46035.0</v>
      </c>
    </row>
    <row r="488" ht="22.5" customHeight="1">
      <c r="A488" s="6" t="s">
        <v>3994</v>
      </c>
      <c r="B488" s="6" t="s">
        <v>3995</v>
      </c>
      <c r="C488" s="6" t="s">
        <v>3996</v>
      </c>
      <c r="D488" s="6" t="s">
        <v>145</v>
      </c>
      <c r="E488" s="6" t="s">
        <v>147</v>
      </c>
      <c r="F488" s="8">
        <v>10.0</v>
      </c>
      <c r="G488" s="9">
        <v>345.78</v>
      </c>
      <c r="H488" s="9">
        <v>2581.51</v>
      </c>
      <c r="I488" s="6" t="s">
        <v>161</v>
      </c>
      <c r="J488" s="6" t="s">
        <v>163</v>
      </c>
      <c r="K488" s="6" t="s">
        <v>3998</v>
      </c>
      <c r="L488" s="6">
        <v>5.581788639E10</v>
      </c>
      <c r="M488" s="6" t="s">
        <v>3999</v>
      </c>
      <c r="N488" s="6" t="s">
        <v>283</v>
      </c>
      <c r="O488" s="6" t="s">
        <v>178</v>
      </c>
      <c r="P488" s="10">
        <v>45977.0</v>
      </c>
    </row>
    <row r="489" ht="22.5" customHeight="1">
      <c r="A489" s="6" t="s">
        <v>4000</v>
      </c>
      <c r="B489" s="6" t="s">
        <v>4001</v>
      </c>
      <c r="C489" s="6" t="s">
        <v>4002</v>
      </c>
      <c r="D489" s="6" t="s">
        <v>206</v>
      </c>
      <c r="E489" s="6" t="s">
        <v>301</v>
      </c>
      <c r="F489" s="8">
        <v>55.0</v>
      </c>
      <c r="G489" s="9">
        <v>1077.4</v>
      </c>
      <c r="H489" s="9">
        <v>7702.01</v>
      </c>
      <c r="I489" s="6" t="s">
        <v>161</v>
      </c>
      <c r="J489" s="6" t="s">
        <v>228</v>
      </c>
      <c r="K489" s="6" t="s">
        <v>4004</v>
      </c>
      <c r="L489" s="6" t="s">
        <v>259</v>
      </c>
      <c r="M489" s="6" t="s">
        <v>4005</v>
      </c>
      <c r="N489" s="6" t="s">
        <v>427</v>
      </c>
      <c r="O489" s="6" t="s">
        <v>178</v>
      </c>
      <c r="P489" s="10">
        <v>46009.0</v>
      </c>
    </row>
    <row r="490" ht="22.5" customHeight="1">
      <c r="A490" s="6" t="s">
        <v>4006</v>
      </c>
      <c r="B490" s="6" t="s">
        <v>4007</v>
      </c>
      <c r="C490" s="6" t="s">
        <v>4008</v>
      </c>
      <c r="D490" s="6" t="s">
        <v>206</v>
      </c>
      <c r="E490" s="6" t="s">
        <v>210</v>
      </c>
      <c r="F490" s="8">
        <v>81.0</v>
      </c>
      <c r="G490" s="9">
        <v>230.28</v>
      </c>
      <c r="H490" s="9">
        <v>5809.9</v>
      </c>
      <c r="I490" s="6" t="s">
        <v>161</v>
      </c>
      <c r="J490" s="6" t="s">
        <v>442</v>
      </c>
      <c r="K490" s="6" t="s">
        <v>4010</v>
      </c>
      <c r="L490" s="6">
        <v>4.4300347344E10</v>
      </c>
      <c r="M490" s="6" t="s">
        <v>4011</v>
      </c>
      <c r="N490" s="6" t="s">
        <v>283</v>
      </c>
      <c r="O490" s="6" t="s">
        <v>161</v>
      </c>
      <c r="P490" s="10">
        <v>46036.0</v>
      </c>
    </row>
    <row r="491" ht="22.5" customHeight="1">
      <c r="A491" s="6" t="s">
        <v>4012</v>
      </c>
      <c r="B491" s="6" t="s">
        <v>4013</v>
      </c>
      <c r="C491" s="6" t="s">
        <v>4014</v>
      </c>
      <c r="D491" s="6" t="s">
        <v>145</v>
      </c>
      <c r="E491" s="6" t="s">
        <v>147</v>
      </c>
      <c r="F491" s="8">
        <v>14.0</v>
      </c>
      <c r="G491" s="9">
        <v>798.73</v>
      </c>
      <c r="H491" s="9">
        <v>5236.48</v>
      </c>
      <c r="I491" s="6" t="s">
        <v>161</v>
      </c>
      <c r="J491" s="6" t="s">
        <v>163</v>
      </c>
      <c r="K491" s="6" t="s">
        <v>4016</v>
      </c>
      <c r="L491" s="6">
        <v>5.515149144E10</v>
      </c>
      <c r="M491" s="6" t="s">
        <v>4017</v>
      </c>
      <c r="N491" s="6" t="s">
        <v>259</v>
      </c>
      <c r="O491" s="6" t="s">
        <v>178</v>
      </c>
      <c r="P491" s="10">
        <v>45950.0</v>
      </c>
    </row>
    <row r="492" ht="22.5" customHeight="1">
      <c r="A492" s="6" t="s">
        <v>4019</v>
      </c>
      <c r="B492" s="6" t="s">
        <v>4020</v>
      </c>
      <c r="C492" s="6" t="s">
        <v>4021</v>
      </c>
      <c r="D492" s="6" t="s">
        <v>145</v>
      </c>
      <c r="E492" s="6" t="s">
        <v>301</v>
      </c>
      <c r="F492" s="8">
        <v>34.0</v>
      </c>
      <c r="G492" s="9">
        <v>1640.26</v>
      </c>
      <c r="H492" s="9">
        <v>8568.24</v>
      </c>
      <c r="I492" s="6" t="s">
        <v>161</v>
      </c>
      <c r="J492" s="6" t="s">
        <v>357</v>
      </c>
      <c r="K492" s="6" t="s">
        <v>4023</v>
      </c>
      <c r="L492" s="6">
        <v>3.9104138981E10</v>
      </c>
      <c r="M492" s="6" t="s">
        <v>4024</v>
      </c>
      <c r="N492" s="6" t="s">
        <v>112</v>
      </c>
      <c r="O492" s="6" t="s">
        <v>178</v>
      </c>
      <c r="P492" s="10">
        <v>45963.0</v>
      </c>
    </row>
    <row r="493" ht="22.5" customHeight="1">
      <c r="A493" s="6" t="s">
        <v>4025</v>
      </c>
      <c r="B493" s="6" t="s">
        <v>4026</v>
      </c>
      <c r="C493" s="6" t="s">
        <v>4027</v>
      </c>
      <c r="D493" s="6" t="s">
        <v>145</v>
      </c>
      <c r="E493" s="6" t="s">
        <v>147</v>
      </c>
      <c r="F493" s="8">
        <v>7.0</v>
      </c>
      <c r="G493" s="9">
        <v>1202.06</v>
      </c>
      <c r="H493" s="9">
        <v>14965.66</v>
      </c>
      <c r="I493" s="6" t="s">
        <v>161</v>
      </c>
      <c r="J493" s="6" t="s">
        <v>228</v>
      </c>
      <c r="K493" s="6" t="s">
        <v>4029</v>
      </c>
      <c r="L493" s="6">
        <v>1.6164469642E10</v>
      </c>
      <c r="M493" s="6" t="s">
        <v>4030</v>
      </c>
      <c r="N493" s="6" t="s">
        <v>259</v>
      </c>
      <c r="O493" s="6" t="s">
        <v>4031</v>
      </c>
      <c r="P493" s="10">
        <v>45981.0</v>
      </c>
    </row>
    <row r="494" ht="22.5" customHeight="1">
      <c r="A494" s="6" t="s">
        <v>4033</v>
      </c>
      <c r="B494" s="6" t="s">
        <v>4034</v>
      </c>
      <c r="C494" s="6" t="s">
        <v>4035</v>
      </c>
      <c r="D494" s="6" t="s">
        <v>383</v>
      </c>
      <c r="E494" s="6" t="s">
        <v>147</v>
      </c>
      <c r="F494" s="8">
        <v>19.0</v>
      </c>
      <c r="G494" s="9">
        <v>566.34</v>
      </c>
      <c r="H494" s="9">
        <v>14199.96</v>
      </c>
      <c r="I494" s="6" t="s">
        <v>161</v>
      </c>
      <c r="J494" s="6" t="s">
        <v>577</v>
      </c>
      <c r="K494" s="6" t="s">
        <v>4037</v>
      </c>
      <c r="L494" s="6" t="s">
        <v>259</v>
      </c>
      <c r="M494" s="6" t="s">
        <v>4038</v>
      </c>
      <c r="N494" s="6" t="s">
        <v>176</v>
      </c>
      <c r="O494" s="6" t="s">
        <v>178</v>
      </c>
      <c r="P494" s="10">
        <v>45951.0</v>
      </c>
    </row>
    <row r="495" ht="22.5" customHeight="1">
      <c r="A495" s="6" t="s">
        <v>4039</v>
      </c>
      <c r="B495" s="6" t="s">
        <v>4040</v>
      </c>
      <c r="C495" s="6" t="s">
        <v>4041</v>
      </c>
      <c r="D495" s="6" t="s">
        <v>206</v>
      </c>
      <c r="E495" s="6" t="s">
        <v>147</v>
      </c>
      <c r="F495" s="8">
        <v>6.0</v>
      </c>
      <c r="G495" s="9">
        <v>472.55</v>
      </c>
      <c r="H495" s="9">
        <v>12224.19</v>
      </c>
      <c r="I495" s="6" t="s">
        <v>178</v>
      </c>
      <c r="J495" s="6" t="s">
        <v>577</v>
      </c>
      <c r="K495" s="6" t="s">
        <v>259</v>
      </c>
      <c r="L495" s="6">
        <v>7.89504866E8</v>
      </c>
      <c r="M495" s="6" t="s">
        <v>4043</v>
      </c>
      <c r="N495" s="6" t="s">
        <v>283</v>
      </c>
      <c r="O495" s="6" t="s">
        <v>161</v>
      </c>
      <c r="P495" s="10">
        <v>46021.0</v>
      </c>
    </row>
    <row r="496" ht="22.5" customHeight="1">
      <c r="A496" s="6" t="s">
        <v>4044</v>
      </c>
      <c r="B496" s="6" t="s">
        <v>4045</v>
      </c>
      <c r="C496" s="6" t="s">
        <v>4046</v>
      </c>
      <c r="D496" s="6" t="s">
        <v>206</v>
      </c>
      <c r="E496" s="6" t="s">
        <v>147</v>
      </c>
      <c r="F496" s="8">
        <v>13.0</v>
      </c>
      <c r="G496" s="9">
        <v>1611.43</v>
      </c>
      <c r="H496" s="9">
        <v>6478.19</v>
      </c>
      <c r="I496" s="6" t="s">
        <v>161</v>
      </c>
      <c r="J496" s="6" t="s">
        <v>442</v>
      </c>
      <c r="K496" s="6" t="s">
        <v>4048</v>
      </c>
      <c r="L496" s="6">
        <v>9.2390358854E10</v>
      </c>
      <c r="M496" s="6" t="s">
        <v>4050</v>
      </c>
      <c r="N496" s="6" t="s">
        <v>176</v>
      </c>
      <c r="O496" s="6" t="s">
        <v>178</v>
      </c>
      <c r="P496" s="10">
        <v>45954.0</v>
      </c>
    </row>
    <row r="497" ht="22.5" customHeight="1">
      <c r="A497" s="6" t="s">
        <v>4051</v>
      </c>
      <c r="B497" s="6" t="s">
        <v>4052</v>
      </c>
      <c r="C497" s="6" t="s">
        <v>4054</v>
      </c>
      <c r="D497" s="6" t="s">
        <v>145</v>
      </c>
      <c r="E497" s="6" t="s">
        <v>210</v>
      </c>
      <c r="F497" s="8">
        <v>97.0</v>
      </c>
      <c r="G497" s="9">
        <v>890.4</v>
      </c>
      <c r="H497" s="9">
        <v>11399.64</v>
      </c>
      <c r="I497" s="6" t="s">
        <v>178</v>
      </c>
      <c r="J497" s="6" t="s">
        <v>393</v>
      </c>
      <c r="K497" s="6" t="s">
        <v>4056</v>
      </c>
      <c r="L497" s="6">
        <v>3.3993857068E10</v>
      </c>
      <c r="M497" s="6" t="s">
        <v>4057</v>
      </c>
      <c r="N497" s="6" t="s">
        <v>259</v>
      </c>
      <c r="O497" s="6" t="s">
        <v>161</v>
      </c>
      <c r="P497" s="10">
        <v>45934.0</v>
      </c>
    </row>
    <row r="498" ht="22.5" customHeight="1">
      <c r="A498" s="6" t="s">
        <v>4059</v>
      </c>
      <c r="B498" s="6" t="s">
        <v>4060</v>
      </c>
      <c r="C498" s="6" t="s">
        <v>4061</v>
      </c>
      <c r="D498" s="6" t="s">
        <v>206</v>
      </c>
      <c r="E498" s="6" t="s">
        <v>147</v>
      </c>
      <c r="F498" s="8">
        <v>18.0</v>
      </c>
      <c r="G498" s="9">
        <v>1778.06</v>
      </c>
      <c r="H498" s="9">
        <v>3865.11</v>
      </c>
      <c r="I498" s="6" t="s">
        <v>161</v>
      </c>
      <c r="J498" s="6" t="s">
        <v>357</v>
      </c>
      <c r="K498" s="6" t="s">
        <v>4062</v>
      </c>
      <c r="L498" s="6">
        <v>2.8239846404E10</v>
      </c>
      <c r="M498" s="6" t="s">
        <v>4064</v>
      </c>
      <c r="N498" s="6" t="s">
        <v>112</v>
      </c>
      <c r="O498" s="6" t="s">
        <v>178</v>
      </c>
      <c r="P498" s="10">
        <v>45949.0</v>
      </c>
    </row>
    <row r="499" ht="22.5" customHeight="1">
      <c r="A499" s="6" t="s">
        <v>4065</v>
      </c>
      <c r="B499" s="6" t="s">
        <v>4066</v>
      </c>
      <c r="C499" s="6" t="s">
        <v>4067</v>
      </c>
      <c r="D499" s="6" t="s">
        <v>145</v>
      </c>
      <c r="E499" s="6" t="s">
        <v>147</v>
      </c>
      <c r="F499" s="8">
        <v>14.0</v>
      </c>
      <c r="G499" s="9">
        <v>104.07</v>
      </c>
      <c r="H499" s="9">
        <v>3876.93</v>
      </c>
      <c r="I499" s="6" t="s">
        <v>161</v>
      </c>
      <c r="J499" s="6" t="s">
        <v>479</v>
      </c>
      <c r="K499" s="6" t="s">
        <v>4069</v>
      </c>
      <c r="L499" s="6">
        <v>2.9533462577E10</v>
      </c>
      <c r="M499" s="6" t="s">
        <v>4070</v>
      </c>
      <c r="N499" s="6" t="s">
        <v>259</v>
      </c>
      <c r="O499" s="6" t="s">
        <v>178</v>
      </c>
      <c r="P499" s="10">
        <v>45962.0</v>
      </c>
    </row>
    <row r="500" ht="22.5" customHeight="1">
      <c r="A500" s="6" t="s">
        <v>4072</v>
      </c>
      <c r="B500" s="6" t="s">
        <v>4073</v>
      </c>
      <c r="C500" s="6" t="s">
        <v>4074</v>
      </c>
      <c r="D500" s="6" t="s">
        <v>383</v>
      </c>
      <c r="E500" s="6" t="s">
        <v>210</v>
      </c>
      <c r="F500" s="8">
        <v>84.0</v>
      </c>
      <c r="G500" s="9">
        <v>589.26</v>
      </c>
      <c r="H500" s="9">
        <v>7326.65</v>
      </c>
      <c r="I500" s="6" t="s">
        <v>161</v>
      </c>
      <c r="J500" s="6" t="s">
        <v>465</v>
      </c>
      <c r="K500" s="6" t="s">
        <v>4076</v>
      </c>
      <c r="L500" s="6">
        <v>9.2477344018E10</v>
      </c>
      <c r="M500" s="6" t="s">
        <v>4077</v>
      </c>
      <c r="N500" s="6" t="s">
        <v>112</v>
      </c>
      <c r="O500" s="6" t="s">
        <v>161</v>
      </c>
      <c r="P500" s="10">
        <v>45943.0</v>
      </c>
    </row>
    <row r="501" ht="22.5" customHeight="1">
      <c r="A501" s="6" t="s">
        <v>4079</v>
      </c>
      <c r="B501" s="6" t="s">
        <v>4080</v>
      </c>
      <c r="C501" s="6" t="s">
        <v>4081</v>
      </c>
      <c r="D501" s="6" t="s">
        <v>145</v>
      </c>
      <c r="E501" s="6" t="s">
        <v>147</v>
      </c>
      <c r="F501" s="8">
        <v>25.0</v>
      </c>
      <c r="G501" s="9">
        <v>590.83</v>
      </c>
      <c r="H501" s="9">
        <v>11834.65</v>
      </c>
      <c r="I501" s="6" t="s">
        <v>161</v>
      </c>
      <c r="J501" s="6" t="s">
        <v>228</v>
      </c>
      <c r="K501" s="6" t="s">
        <v>4083</v>
      </c>
      <c r="L501" s="6">
        <v>4.1523095195E10</v>
      </c>
      <c r="M501" s="6" t="s">
        <v>4084</v>
      </c>
      <c r="N501" s="6" t="s">
        <v>427</v>
      </c>
      <c r="O501" s="6" t="s">
        <v>178</v>
      </c>
      <c r="P501" s="10">
        <v>45961.0</v>
      </c>
    </row>
    <row r="502" ht="22.5" customHeight="1">
      <c r="A502" s="6" t="s">
        <v>4085</v>
      </c>
      <c r="B502" s="6" t="s">
        <v>4086</v>
      </c>
      <c r="C502" s="6" t="s">
        <v>4087</v>
      </c>
      <c r="D502" s="6" t="s">
        <v>383</v>
      </c>
      <c r="E502" s="6" t="s">
        <v>301</v>
      </c>
      <c r="F502" s="8">
        <v>30.0</v>
      </c>
      <c r="G502" s="9">
        <v>1171.42</v>
      </c>
      <c r="H502" s="9">
        <v>11718.52</v>
      </c>
      <c r="I502" s="6" t="s">
        <v>161</v>
      </c>
      <c r="J502" s="6" t="s">
        <v>577</v>
      </c>
      <c r="K502" s="6" t="s">
        <v>4089</v>
      </c>
      <c r="L502" s="6">
        <v>2.1546347243E10</v>
      </c>
      <c r="M502" s="6" t="s">
        <v>4091</v>
      </c>
      <c r="N502" s="6" t="s">
        <v>176</v>
      </c>
      <c r="O502" s="6" t="s">
        <v>178</v>
      </c>
      <c r="P502" s="10">
        <v>45956.0</v>
      </c>
    </row>
    <row r="503" ht="22.5" customHeight="1">
      <c r="A503" s="6" t="s">
        <v>4092</v>
      </c>
      <c r="B503" s="6" t="s">
        <v>4093</v>
      </c>
      <c r="C503" s="6" t="s">
        <v>4094</v>
      </c>
      <c r="D503" s="6" t="s">
        <v>145</v>
      </c>
      <c r="E503" s="6" t="s">
        <v>301</v>
      </c>
      <c r="F503" s="8">
        <v>43.0</v>
      </c>
      <c r="G503" s="9">
        <v>615.5</v>
      </c>
      <c r="H503" s="9">
        <v>1802.2</v>
      </c>
      <c r="I503" s="6" t="s">
        <v>161</v>
      </c>
      <c r="J503" s="6" t="s">
        <v>577</v>
      </c>
      <c r="K503" s="6" t="s">
        <v>4096</v>
      </c>
      <c r="L503" s="6">
        <v>3.6743347967E10</v>
      </c>
      <c r="M503" s="6" t="s">
        <v>4097</v>
      </c>
      <c r="N503" s="6" t="s">
        <v>283</v>
      </c>
      <c r="O503" s="6" t="s">
        <v>178</v>
      </c>
      <c r="P503" s="10">
        <v>46030.0</v>
      </c>
    </row>
    <row r="504" ht="22.5" customHeight="1">
      <c r="A504" s="6" t="s">
        <v>4099</v>
      </c>
      <c r="B504" s="6" t="s">
        <v>4100</v>
      </c>
      <c r="C504" s="6" t="s">
        <v>4101</v>
      </c>
      <c r="D504" s="6" t="s">
        <v>145</v>
      </c>
      <c r="E504" s="6" t="s">
        <v>147</v>
      </c>
      <c r="F504" s="8">
        <v>17.0</v>
      </c>
      <c r="G504" s="9">
        <v>1445.75</v>
      </c>
      <c r="H504" s="9">
        <v>3592.5</v>
      </c>
      <c r="I504" s="6" t="s">
        <v>178</v>
      </c>
      <c r="J504" s="6" t="s">
        <v>228</v>
      </c>
      <c r="K504" s="6" t="s">
        <v>259</v>
      </c>
      <c r="L504" s="6">
        <v>9.2371011274E10</v>
      </c>
      <c r="M504" s="6" t="s">
        <v>4103</v>
      </c>
      <c r="N504" s="6" t="s">
        <v>176</v>
      </c>
      <c r="O504" s="6" t="s">
        <v>161</v>
      </c>
      <c r="P504" s="10">
        <v>46018.0</v>
      </c>
    </row>
    <row r="505" ht="22.5" customHeight="1">
      <c r="A505" s="6" t="s">
        <v>4104</v>
      </c>
      <c r="B505" s="6" t="s">
        <v>4105</v>
      </c>
      <c r="C505" s="6" t="s">
        <v>4106</v>
      </c>
      <c r="D505" s="6" t="s">
        <v>145</v>
      </c>
      <c r="E505" s="6" t="s">
        <v>147</v>
      </c>
      <c r="F505" s="8">
        <v>10.0</v>
      </c>
      <c r="G505" s="9">
        <v>759.66</v>
      </c>
      <c r="H505" s="9">
        <v>3158.6</v>
      </c>
      <c r="I505" s="6" t="s">
        <v>161</v>
      </c>
      <c r="J505" s="6" t="s">
        <v>442</v>
      </c>
      <c r="K505" s="6" t="s">
        <v>4108</v>
      </c>
      <c r="L505" s="6">
        <v>9.8941471071E10</v>
      </c>
      <c r="M505" s="6" t="s">
        <v>4109</v>
      </c>
      <c r="N505" s="6" t="s">
        <v>112</v>
      </c>
      <c r="O505" s="6" t="s">
        <v>178</v>
      </c>
      <c r="P505" s="10">
        <v>45962.0</v>
      </c>
    </row>
    <row r="506" ht="22.5" customHeight="1">
      <c r="A506" s="6" t="s">
        <v>4111</v>
      </c>
      <c r="B506" s="6" t="s">
        <v>4112</v>
      </c>
      <c r="C506" s="6" t="s">
        <v>4113</v>
      </c>
      <c r="D506" s="6" t="s">
        <v>145</v>
      </c>
      <c r="E506" s="6" t="s">
        <v>210</v>
      </c>
      <c r="F506" s="8">
        <v>110.0</v>
      </c>
      <c r="G506" s="9">
        <v>978.34</v>
      </c>
      <c r="H506" s="9">
        <v>7163.78</v>
      </c>
      <c r="I506" s="6" t="s">
        <v>178</v>
      </c>
      <c r="J506" s="6" t="s">
        <v>163</v>
      </c>
      <c r="K506" s="6" t="s">
        <v>4114</v>
      </c>
      <c r="L506" s="6">
        <v>6.7023379424E10</v>
      </c>
      <c r="M506" s="6" t="s">
        <v>4116</v>
      </c>
      <c r="N506" s="6" t="s">
        <v>283</v>
      </c>
      <c r="O506" s="6" t="s">
        <v>161</v>
      </c>
      <c r="P506" s="10">
        <v>45933.0</v>
      </c>
    </row>
    <row r="507" ht="22.5" customHeight="1">
      <c r="A507" s="6" t="s">
        <v>4117</v>
      </c>
      <c r="B507" s="6" t="s">
        <v>4118</v>
      </c>
      <c r="C507" s="6" t="s">
        <v>4120</v>
      </c>
      <c r="D507" s="6" t="s">
        <v>145</v>
      </c>
      <c r="E507" s="6" t="s">
        <v>301</v>
      </c>
      <c r="F507" s="8">
        <v>30.0</v>
      </c>
      <c r="G507" s="9">
        <v>344.2</v>
      </c>
      <c r="H507" s="9">
        <v>3530.07</v>
      </c>
      <c r="I507" s="6" t="s">
        <v>161</v>
      </c>
      <c r="J507" s="6" t="s">
        <v>228</v>
      </c>
      <c r="K507" s="6" t="s">
        <v>4121</v>
      </c>
      <c r="L507" s="6">
        <v>8.888696969E9</v>
      </c>
      <c r="M507" s="6" t="s">
        <v>4123</v>
      </c>
      <c r="N507" s="6" t="s">
        <v>176</v>
      </c>
      <c r="O507" s="6" t="s">
        <v>178</v>
      </c>
      <c r="P507" s="10">
        <v>46038.0</v>
      </c>
    </row>
    <row r="508" ht="22.5" customHeight="1">
      <c r="A508" s="6" t="s">
        <v>4124</v>
      </c>
      <c r="B508" s="6" t="s">
        <v>4125</v>
      </c>
      <c r="C508" s="6" t="s">
        <v>4126</v>
      </c>
      <c r="D508" s="6" t="s">
        <v>383</v>
      </c>
      <c r="E508" s="6" t="s">
        <v>147</v>
      </c>
      <c r="F508" s="8">
        <v>26.0</v>
      </c>
      <c r="G508" s="9">
        <v>357.06</v>
      </c>
      <c r="H508" s="9">
        <v>4292.43</v>
      </c>
      <c r="I508" s="6" t="s">
        <v>161</v>
      </c>
      <c r="J508" s="6" t="s">
        <v>465</v>
      </c>
      <c r="K508" s="6" t="s">
        <v>4128</v>
      </c>
      <c r="L508" s="6">
        <v>6.8703144512E10</v>
      </c>
      <c r="M508" s="6" t="s">
        <v>4129</v>
      </c>
      <c r="N508" s="6" t="s">
        <v>427</v>
      </c>
      <c r="O508" s="6" t="s">
        <v>178</v>
      </c>
      <c r="P508" s="10">
        <v>45953.0</v>
      </c>
    </row>
    <row r="509" ht="22.5" customHeight="1">
      <c r="A509" s="6" t="s">
        <v>4131</v>
      </c>
      <c r="B509" s="6" t="s">
        <v>4132</v>
      </c>
      <c r="C509" s="6" t="s">
        <v>4133</v>
      </c>
      <c r="D509" s="6" t="s">
        <v>383</v>
      </c>
      <c r="E509" s="6" t="s">
        <v>147</v>
      </c>
      <c r="F509" s="8">
        <v>26.0</v>
      </c>
      <c r="G509" s="9">
        <v>1074.73</v>
      </c>
      <c r="H509" s="9">
        <v>8444.35</v>
      </c>
      <c r="I509" s="6" t="s">
        <v>161</v>
      </c>
      <c r="J509" s="6" t="s">
        <v>357</v>
      </c>
      <c r="K509" s="6" t="s">
        <v>4135</v>
      </c>
      <c r="L509" s="6">
        <v>2.16068404E10</v>
      </c>
      <c r="M509" s="6" t="s">
        <v>4136</v>
      </c>
      <c r="N509" s="6" t="s">
        <v>112</v>
      </c>
      <c r="O509" s="6" t="s">
        <v>178</v>
      </c>
      <c r="P509" s="10">
        <v>45958.0</v>
      </c>
    </row>
    <row r="510" ht="22.5" customHeight="1">
      <c r="A510" s="6" t="s">
        <v>4138</v>
      </c>
      <c r="B510" s="6" t="s">
        <v>4139</v>
      </c>
      <c r="C510" s="6" t="s">
        <v>4140</v>
      </c>
      <c r="D510" s="6" t="s">
        <v>145</v>
      </c>
      <c r="E510" s="6" t="s">
        <v>147</v>
      </c>
      <c r="F510" s="8">
        <v>10.0</v>
      </c>
      <c r="G510" s="9">
        <v>304.4</v>
      </c>
      <c r="H510" s="9">
        <v>12970.16</v>
      </c>
      <c r="I510" s="6" t="s">
        <v>161</v>
      </c>
      <c r="J510" s="6" t="s">
        <v>479</v>
      </c>
      <c r="K510" s="6" t="s">
        <v>259</v>
      </c>
      <c r="L510" s="6">
        <v>1.8604429295E10</v>
      </c>
      <c r="M510" s="6" t="s">
        <v>4142</v>
      </c>
      <c r="N510" s="6" t="s">
        <v>283</v>
      </c>
      <c r="O510" s="6" t="s">
        <v>178</v>
      </c>
      <c r="P510" s="10">
        <v>45982.0</v>
      </c>
    </row>
    <row r="511" ht="22.5" customHeight="1">
      <c r="A511" s="6" t="s">
        <v>4143</v>
      </c>
      <c r="B511" s="6" t="s">
        <v>4144</v>
      </c>
      <c r="C511" s="6" t="s">
        <v>4145</v>
      </c>
      <c r="D511" s="6" t="s">
        <v>206</v>
      </c>
      <c r="E511" s="6" t="s">
        <v>147</v>
      </c>
      <c r="F511" s="8">
        <v>25.0</v>
      </c>
      <c r="G511" s="9">
        <v>1304.59</v>
      </c>
      <c r="H511" s="9">
        <v>6765.63</v>
      </c>
      <c r="I511" s="6" t="s">
        <v>161</v>
      </c>
      <c r="J511" s="6" t="s">
        <v>357</v>
      </c>
      <c r="K511" s="6" t="s">
        <v>4147</v>
      </c>
      <c r="L511" s="6" t="s">
        <v>259</v>
      </c>
      <c r="M511" s="6" t="s">
        <v>4148</v>
      </c>
      <c r="N511" s="6" t="s">
        <v>427</v>
      </c>
      <c r="O511" s="6" t="s">
        <v>178</v>
      </c>
      <c r="P511" s="10">
        <v>45954.0</v>
      </c>
    </row>
    <row r="512" ht="22.5" customHeight="1">
      <c r="A512" s="6" t="s">
        <v>4150</v>
      </c>
      <c r="B512" s="6" t="s">
        <v>4151</v>
      </c>
      <c r="C512" s="6" t="s">
        <v>4152</v>
      </c>
      <c r="D512" s="6" t="s">
        <v>206</v>
      </c>
      <c r="E512" s="6" t="s">
        <v>147</v>
      </c>
      <c r="F512" s="8">
        <v>23.0</v>
      </c>
      <c r="G512" s="9">
        <v>1397.58</v>
      </c>
      <c r="H512" s="9">
        <v>10128.25</v>
      </c>
      <c r="I512" s="6" t="s">
        <v>161</v>
      </c>
      <c r="J512" s="6" t="s">
        <v>465</v>
      </c>
      <c r="K512" s="6" t="s">
        <v>4154</v>
      </c>
      <c r="L512" s="6">
        <v>1.5100392881E10</v>
      </c>
      <c r="M512" s="6" t="s">
        <v>4155</v>
      </c>
      <c r="N512" s="6" t="s">
        <v>112</v>
      </c>
      <c r="O512" s="6" t="s">
        <v>178</v>
      </c>
      <c r="P512" s="10">
        <v>45935.0</v>
      </c>
    </row>
    <row r="513" ht="22.5" customHeight="1">
      <c r="A513" s="6" t="s">
        <v>4156</v>
      </c>
      <c r="B513" s="6" t="s">
        <v>4157</v>
      </c>
      <c r="C513" s="6" t="s">
        <v>4158</v>
      </c>
      <c r="D513" s="6" t="s">
        <v>206</v>
      </c>
      <c r="E513" s="6" t="s">
        <v>301</v>
      </c>
      <c r="F513" s="8">
        <v>33.0</v>
      </c>
      <c r="G513" s="9">
        <v>1362.74</v>
      </c>
      <c r="H513" s="9">
        <v>15096.64</v>
      </c>
      <c r="I513" s="6" t="s">
        <v>161</v>
      </c>
      <c r="J513" s="6" t="s">
        <v>465</v>
      </c>
      <c r="K513" s="6" t="s">
        <v>4160</v>
      </c>
      <c r="L513" s="6">
        <v>4.4344935208E10</v>
      </c>
      <c r="M513" s="6" t="s">
        <v>4161</v>
      </c>
      <c r="N513" s="6" t="s">
        <v>259</v>
      </c>
      <c r="O513" s="6" t="s">
        <v>178</v>
      </c>
      <c r="P513" s="10">
        <v>46045.0</v>
      </c>
    </row>
    <row r="514" ht="22.5" customHeight="1">
      <c r="A514" s="6" t="s">
        <v>4163</v>
      </c>
      <c r="B514" s="6" t="s">
        <v>4164</v>
      </c>
      <c r="C514" s="6" t="s">
        <v>4165</v>
      </c>
      <c r="D514" s="6" t="s">
        <v>206</v>
      </c>
      <c r="E514" s="6" t="s">
        <v>147</v>
      </c>
      <c r="F514" s="8">
        <v>18.0</v>
      </c>
      <c r="G514" s="9">
        <v>267.59</v>
      </c>
      <c r="H514" s="9">
        <v>7256.81</v>
      </c>
      <c r="I514" s="6" t="s">
        <v>161</v>
      </c>
      <c r="J514" s="6" t="s">
        <v>421</v>
      </c>
      <c r="K514" s="6" t="s">
        <v>4166</v>
      </c>
      <c r="L514" s="6">
        <v>5.9004619916E10</v>
      </c>
      <c r="M514" s="6" t="s">
        <v>4168</v>
      </c>
      <c r="N514" s="6" t="s">
        <v>283</v>
      </c>
      <c r="O514" s="6" t="s">
        <v>178</v>
      </c>
      <c r="P514" s="10">
        <v>45933.0</v>
      </c>
    </row>
    <row r="515" ht="22.5" customHeight="1">
      <c r="A515" s="6" t="s">
        <v>4169</v>
      </c>
      <c r="B515" s="6" t="s">
        <v>4170</v>
      </c>
      <c r="C515" s="6" t="s">
        <v>4171</v>
      </c>
      <c r="D515" s="6" t="s">
        <v>206</v>
      </c>
      <c r="E515" s="6" t="s">
        <v>147</v>
      </c>
      <c r="F515" s="8">
        <v>8.0</v>
      </c>
      <c r="G515" s="9">
        <v>491.08</v>
      </c>
      <c r="H515" s="9">
        <v>4874.29</v>
      </c>
      <c r="I515" s="6" t="s">
        <v>161</v>
      </c>
      <c r="J515" s="6" t="s">
        <v>228</v>
      </c>
      <c r="K515" s="6" t="s">
        <v>4172</v>
      </c>
      <c r="L515" s="6">
        <v>6.5084680483E10</v>
      </c>
      <c r="M515" s="6" t="s">
        <v>4174</v>
      </c>
      <c r="N515" s="6" t="s">
        <v>427</v>
      </c>
      <c r="O515" s="6" t="s">
        <v>178</v>
      </c>
      <c r="P515" s="10">
        <v>45965.0</v>
      </c>
    </row>
    <row r="516" ht="22.5" customHeight="1">
      <c r="A516" s="6" t="s">
        <v>4175</v>
      </c>
      <c r="B516" s="6" t="s">
        <v>4176</v>
      </c>
      <c r="C516" s="6" t="s">
        <v>4177</v>
      </c>
      <c r="D516" s="6" t="s">
        <v>206</v>
      </c>
      <c r="E516" s="6" t="s">
        <v>210</v>
      </c>
      <c r="F516" s="8">
        <v>119.0</v>
      </c>
      <c r="G516" s="9">
        <v>570.56</v>
      </c>
      <c r="H516" s="9">
        <v>11032.27</v>
      </c>
      <c r="I516" s="6" t="s">
        <v>178</v>
      </c>
      <c r="J516" s="6" t="s">
        <v>465</v>
      </c>
      <c r="K516" s="6" t="s">
        <v>4179</v>
      </c>
      <c r="L516" s="6">
        <v>8.1226927502E10</v>
      </c>
      <c r="M516" s="6" t="s">
        <v>4181</v>
      </c>
      <c r="N516" s="6" t="s">
        <v>259</v>
      </c>
      <c r="O516" s="6" t="s">
        <v>161</v>
      </c>
      <c r="P516" s="10">
        <v>45939.0</v>
      </c>
    </row>
    <row r="517" ht="22.5" customHeight="1">
      <c r="A517" s="6" t="s">
        <v>4183</v>
      </c>
      <c r="B517" s="6" t="s">
        <v>4184</v>
      </c>
      <c r="C517" s="6" t="s">
        <v>4185</v>
      </c>
      <c r="D517" s="6" t="s">
        <v>145</v>
      </c>
      <c r="E517" s="6" t="s">
        <v>147</v>
      </c>
      <c r="F517" s="8">
        <v>20.0</v>
      </c>
      <c r="G517" s="9">
        <v>1284.43</v>
      </c>
      <c r="H517" s="9">
        <v>10914.94</v>
      </c>
      <c r="I517" s="6" t="s">
        <v>161</v>
      </c>
      <c r="J517" s="6" t="s">
        <v>312</v>
      </c>
      <c r="K517" s="6" t="s">
        <v>4187</v>
      </c>
      <c r="L517" s="6">
        <v>1.7131931461E10</v>
      </c>
      <c r="M517" s="6" t="s">
        <v>4188</v>
      </c>
      <c r="N517" s="6" t="s">
        <v>427</v>
      </c>
      <c r="O517" s="6" t="s">
        <v>178</v>
      </c>
      <c r="P517" s="10">
        <v>45979.0</v>
      </c>
    </row>
    <row r="518" ht="22.5" customHeight="1">
      <c r="A518" s="6" t="s">
        <v>4189</v>
      </c>
      <c r="B518" s="6" t="s">
        <v>4190</v>
      </c>
      <c r="C518" s="6" t="s">
        <v>4192</v>
      </c>
      <c r="D518" s="6" t="s">
        <v>145</v>
      </c>
      <c r="E518" s="6" t="s">
        <v>147</v>
      </c>
      <c r="F518" s="8">
        <v>22.0</v>
      </c>
      <c r="G518" s="9">
        <v>930.61</v>
      </c>
      <c r="H518" s="9">
        <v>6896.0</v>
      </c>
      <c r="I518" s="6" t="s">
        <v>161</v>
      </c>
      <c r="J518" s="6" t="s">
        <v>393</v>
      </c>
      <c r="K518" s="6" t="s">
        <v>4193</v>
      </c>
      <c r="L518" s="6">
        <v>7.0323314443E10</v>
      </c>
      <c r="M518" s="6" t="s">
        <v>4195</v>
      </c>
      <c r="N518" s="6" t="s">
        <v>176</v>
      </c>
      <c r="O518" s="6" t="s">
        <v>178</v>
      </c>
      <c r="P518" s="10">
        <v>46014.0</v>
      </c>
    </row>
    <row r="519" ht="22.5" customHeight="1">
      <c r="A519" s="6" t="s">
        <v>4196</v>
      </c>
      <c r="B519" s="6" t="s">
        <v>4197</v>
      </c>
      <c r="C519" s="6" t="s">
        <v>4198</v>
      </c>
      <c r="D519" s="6" t="s">
        <v>206</v>
      </c>
      <c r="E519" s="6" t="s">
        <v>301</v>
      </c>
      <c r="F519" s="8">
        <v>56.0</v>
      </c>
      <c r="G519" s="9">
        <v>1339.2</v>
      </c>
      <c r="H519" s="9">
        <v>14415.68</v>
      </c>
      <c r="I519" s="6" t="s">
        <v>161</v>
      </c>
      <c r="J519" s="6" t="s">
        <v>163</v>
      </c>
      <c r="K519" s="6" t="s">
        <v>4200</v>
      </c>
      <c r="L519" s="6">
        <v>2.3791057244E10</v>
      </c>
      <c r="M519" s="6" t="s">
        <v>4201</v>
      </c>
      <c r="N519" s="6" t="s">
        <v>283</v>
      </c>
      <c r="O519" s="6" t="s">
        <v>178</v>
      </c>
      <c r="P519" s="10">
        <v>46029.0</v>
      </c>
    </row>
    <row r="520" ht="22.5" customHeight="1">
      <c r="A520" s="6" t="s">
        <v>4202</v>
      </c>
      <c r="B520" s="6" t="s">
        <v>4204</v>
      </c>
      <c r="C520" s="6" t="s">
        <v>4205</v>
      </c>
      <c r="D520" s="6" t="s">
        <v>383</v>
      </c>
      <c r="E520" s="6" t="s">
        <v>301</v>
      </c>
      <c r="F520" s="8">
        <v>52.0</v>
      </c>
      <c r="G520" s="9">
        <v>151.68</v>
      </c>
      <c r="H520" s="9">
        <v>3604.14</v>
      </c>
      <c r="I520" s="6" t="s">
        <v>161</v>
      </c>
      <c r="J520" s="6" t="s">
        <v>465</v>
      </c>
      <c r="K520" s="6" t="s">
        <v>4206</v>
      </c>
      <c r="L520" s="6">
        <v>6.5697481336E10</v>
      </c>
      <c r="M520" s="6" t="s">
        <v>4207</v>
      </c>
      <c r="N520" s="6" t="s">
        <v>112</v>
      </c>
      <c r="O520" s="6" t="s">
        <v>178</v>
      </c>
      <c r="P520" s="10">
        <v>46026.0</v>
      </c>
    </row>
    <row r="521" ht="22.5" customHeight="1">
      <c r="A521" s="6" t="s">
        <v>4209</v>
      </c>
      <c r="B521" s="6" t="s">
        <v>4210</v>
      </c>
      <c r="C521" s="6" t="s">
        <v>4211</v>
      </c>
      <c r="D521" s="6" t="s">
        <v>145</v>
      </c>
      <c r="E521" s="6" t="s">
        <v>301</v>
      </c>
      <c r="F521" s="8">
        <v>31.0</v>
      </c>
      <c r="G521" s="9">
        <v>1686.04</v>
      </c>
      <c r="H521" s="9">
        <v>4939.12</v>
      </c>
      <c r="I521" s="6" t="s">
        <v>161</v>
      </c>
      <c r="J521" s="6" t="s">
        <v>228</v>
      </c>
      <c r="K521" s="6" t="s">
        <v>4212</v>
      </c>
      <c r="L521" s="6">
        <v>8.710613538E9</v>
      </c>
      <c r="M521" s="6" t="s">
        <v>4213</v>
      </c>
      <c r="N521" s="6" t="s">
        <v>112</v>
      </c>
      <c r="O521" s="6" t="s">
        <v>178</v>
      </c>
      <c r="P521" s="10">
        <v>45932.0</v>
      </c>
    </row>
    <row r="522" ht="22.5" customHeight="1">
      <c r="A522" s="6" t="s">
        <v>4215</v>
      </c>
      <c r="B522" s="6" t="s">
        <v>4216</v>
      </c>
      <c r="C522" s="6" t="s">
        <v>4217</v>
      </c>
      <c r="D522" s="6" t="s">
        <v>206</v>
      </c>
      <c r="E522" s="6" t="s">
        <v>210</v>
      </c>
      <c r="F522" s="8">
        <v>98.0</v>
      </c>
      <c r="G522" s="9">
        <v>966.9</v>
      </c>
      <c r="H522" s="9">
        <v>9210.61</v>
      </c>
      <c r="I522" s="6" t="s">
        <v>161</v>
      </c>
      <c r="J522" s="6" t="s">
        <v>393</v>
      </c>
      <c r="K522" s="6" t="s">
        <v>4219</v>
      </c>
      <c r="L522" s="6">
        <v>9.196102893E10</v>
      </c>
      <c r="M522" s="6" t="s">
        <v>4220</v>
      </c>
      <c r="N522" s="6" t="s">
        <v>112</v>
      </c>
      <c r="O522" s="6" t="s">
        <v>161</v>
      </c>
      <c r="P522" s="10">
        <v>46028.0</v>
      </c>
    </row>
    <row r="523" ht="22.5" customHeight="1">
      <c r="A523" s="6" t="s">
        <v>4221</v>
      </c>
      <c r="B523" s="6" t="s">
        <v>4222</v>
      </c>
      <c r="C523" s="6" t="s">
        <v>4223</v>
      </c>
      <c r="D523" s="6" t="s">
        <v>383</v>
      </c>
      <c r="E523" s="6" t="s">
        <v>147</v>
      </c>
      <c r="F523" s="8">
        <v>28.0</v>
      </c>
      <c r="G523" s="9">
        <v>958.25</v>
      </c>
      <c r="H523" s="9">
        <v>11810.31</v>
      </c>
      <c r="I523" s="6" t="s">
        <v>161</v>
      </c>
      <c r="J523" s="6" t="s">
        <v>465</v>
      </c>
      <c r="K523" s="6" t="s">
        <v>4225</v>
      </c>
      <c r="L523" s="6">
        <v>2.4623896582E10</v>
      </c>
      <c r="M523" s="6" t="s">
        <v>4226</v>
      </c>
      <c r="N523" s="6" t="s">
        <v>427</v>
      </c>
      <c r="O523" s="6" t="s">
        <v>178</v>
      </c>
      <c r="P523" s="10">
        <v>46033.0</v>
      </c>
    </row>
    <row r="524" ht="22.5" customHeight="1">
      <c r="A524" s="6" t="s">
        <v>4227</v>
      </c>
      <c r="B524" s="6" t="s">
        <v>4228</v>
      </c>
      <c r="C524" s="6" t="s">
        <v>4229</v>
      </c>
      <c r="D524" s="6" t="s">
        <v>145</v>
      </c>
      <c r="E524" s="6" t="s">
        <v>147</v>
      </c>
      <c r="F524" s="8">
        <v>8.0</v>
      </c>
      <c r="G524" s="9">
        <v>205.75</v>
      </c>
      <c r="H524" s="9">
        <v>12519.66</v>
      </c>
      <c r="I524" s="6" t="s">
        <v>161</v>
      </c>
      <c r="J524" s="6" t="s">
        <v>163</v>
      </c>
      <c r="K524" s="6" t="s">
        <v>4231</v>
      </c>
      <c r="L524" s="6">
        <v>6.22280113E9</v>
      </c>
      <c r="M524" s="6" t="s">
        <v>4232</v>
      </c>
      <c r="N524" s="6" t="s">
        <v>427</v>
      </c>
      <c r="O524" s="6" t="s">
        <v>178</v>
      </c>
      <c r="P524" s="10">
        <v>46021.0</v>
      </c>
    </row>
    <row r="525" ht="22.5" customHeight="1">
      <c r="A525" s="6" t="s">
        <v>4233</v>
      </c>
      <c r="B525" s="6" t="s">
        <v>4234</v>
      </c>
      <c r="C525" s="6" t="s">
        <v>4236</v>
      </c>
      <c r="D525" s="6" t="s">
        <v>145</v>
      </c>
      <c r="E525" s="6" t="s">
        <v>210</v>
      </c>
      <c r="F525" s="8">
        <v>117.0</v>
      </c>
      <c r="G525" s="9">
        <v>1759.98</v>
      </c>
      <c r="H525" s="9">
        <v>10980.22</v>
      </c>
      <c r="I525" s="6" t="s">
        <v>178</v>
      </c>
      <c r="J525" s="6" t="s">
        <v>393</v>
      </c>
      <c r="K525" s="6" t="s">
        <v>4237</v>
      </c>
      <c r="L525" s="6">
        <v>4.2931401838E10</v>
      </c>
      <c r="M525" s="6" t="s">
        <v>4238</v>
      </c>
      <c r="N525" s="6" t="s">
        <v>427</v>
      </c>
      <c r="O525" s="6" t="s">
        <v>161</v>
      </c>
      <c r="P525" s="10">
        <v>45940.0</v>
      </c>
    </row>
    <row r="526" ht="22.5" customHeight="1">
      <c r="A526" s="6" t="s">
        <v>4240</v>
      </c>
      <c r="B526" s="6" t="s">
        <v>4241</v>
      </c>
      <c r="C526" s="6" t="s">
        <v>4242</v>
      </c>
      <c r="D526" s="6" t="s">
        <v>206</v>
      </c>
      <c r="E526" s="6" t="s">
        <v>147</v>
      </c>
      <c r="F526" s="8">
        <v>24.0</v>
      </c>
      <c r="G526" s="9">
        <v>814.56</v>
      </c>
      <c r="H526" s="9">
        <v>11643.92</v>
      </c>
      <c r="I526" s="6" t="s">
        <v>161</v>
      </c>
      <c r="J526" s="6" t="s">
        <v>393</v>
      </c>
      <c r="K526" s="6" t="s">
        <v>4244</v>
      </c>
      <c r="L526" s="6">
        <v>6.0558480483E10</v>
      </c>
      <c r="M526" s="6" t="s">
        <v>4245</v>
      </c>
      <c r="N526" s="6" t="s">
        <v>427</v>
      </c>
      <c r="O526" s="6" t="s">
        <v>178</v>
      </c>
      <c r="P526" s="10">
        <v>45988.0</v>
      </c>
    </row>
    <row r="527" ht="22.5" customHeight="1">
      <c r="A527" s="6" t="s">
        <v>4247</v>
      </c>
      <c r="B527" s="6" t="s">
        <v>4248</v>
      </c>
      <c r="C527" s="6" t="s">
        <v>4249</v>
      </c>
      <c r="D527" s="6" t="s">
        <v>206</v>
      </c>
      <c r="E527" s="6" t="s">
        <v>147</v>
      </c>
      <c r="F527" s="8">
        <v>27.0</v>
      </c>
      <c r="G527" s="9">
        <v>1064.12</v>
      </c>
      <c r="H527" s="9">
        <v>10046.32</v>
      </c>
      <c r="I527" s="6" t="s">
        <v>161</v>
      </c>
      <c r="J527" s="6" t="s">
        <v>393</v>
      </c>
      <c r="K527" s="6" t="s">
        <v>259</v>
      </c>
      <c r="L527" s="6">
        <v>7.9120750326E10</v>
      </c>
      <c r="M527" s="6" t="s">
        <v>4251</v>
      </c>
      <c r="N527" s="6" t="s">
        <v>112</v>
      </c>
      <c r="O527" s="6" t="s">
        <v>178</v>
      </c>
      <c r="P527" s="10">
        <v>45951.0</v>
      </c>
    </row>
    <row r="528" ht="22.5" customHeight="1">
      <c r="A528" s="6" t="s">
        <v>4253</v>
      </c>
      <c r="B528" s="6" t="s">
        <v>4254</v>
      </c>
      <c r="C528" s="6" t="s">
        <v>4255</v>
      </c>
      <c r="D528" s="6" t="s">
        <v>206</v>
      </c>
      <c r="E528" s="6" t="s">
        <v>210</v>
      </c>
      <c r="F528" s="8">
        <v>76.0</v>
      </c>
      <c r="G528" s="9">
        <v>286.79</v>
      </c>
      <c r="H528" s="9">
        <v>6068.45</v>
      </c>
      <c r="I528" s="6" t="s">
        <v>178</v>
      </c>
      <c r="J528" s="6" t="s">
        <v>163</v>
      </c>
      <c r="K528" s="6" t="s">
        <v>4257</v>
      </c>
      <c r="L528" s="6">
        <v>6.6575510318E10</v>
      </c>
      <c r="M528" s="6" t="s">
        <v>4258</v>
      </c>
      <c r="N528" s="6" t="s">
        <v>283</v>
      </c>
      <c r="O528" s="6" t="s">
        <v>161</v>
      </c>
      <c r="P528" s="10">
        <v>46037.0</v>
      </c>
    </row>
    <row r="529" ht="22.5" customHeight="1">
      <c r="A529" s="6" t="s">
        <v>4259</v>
      </c>
      <c r="B529" s="6" t="s">
        <v>4260</v>
      </c>
      <c r="C529" s="6" t="s">
        <v>4261</v>
      </c>
      <c r="D529" s="6" t="s">
        <v>145</v>
      </c>
      <c r="E529" s="6" t="s">
        <v>147</v>
      </c>
      <c r="F529" s="8">
        <v>29.0</v>
      </c>
      <c r="G529" s="9">
        <v>1633.76</v>
      </c>
      <c r="H529" s="9">
        <v>2960.15</v>
      </c>
      <c r="I529" s="6" t="s">
        <v>161</v>
      </c>
      <c r="J529" s="6" t="s">
        <v>312</v>
      </c>
      <c r="K529" s="6" t="s">
        <v>4263</v>
      </c>
      <c r="L529" s="6" t="s">
        <v>259</v>
      </c>
      <c r="M529" s="6" t="s">
        <v>4264</v>
      </c>
      <c r="N529" s="6" t="s">
        <v>259</v>
      </c>
      <c r="O529" s="6" t="s">
        <v>178</v>
      </c>
      <c r="P529" s="10">
        <v>46022.0</v>
      </c>
    </row>
    <row r="530" ht="22.5" customHeight="1">
      <c r="A530" s="6" t="s">
        <v>4265</v>
      </c>
      <c r="B530" s="6" t="s">
        <v>4267</v>
      </c>
      <c r="C530" s="6" t="s">
        <v>4268</v>
      </c>
      <c r="D530" s="6" t="s">
        <v>206</v>
      </c>
      <c r="E530" s="6" t="s">
        <v>147</v>
      </c>
      <c r="F530" s="8">
        <v>16.0</v>
      </c>
      <c r="G530" s="9">
        <v>366.99</v>
      </c>
      <c r="H530" s="9">
        <v>10821.3</v>
      </c>
      <c r="I530" s="6" t="s">
        <v>161</v>
      </c>
      <c r="J530" s="6" t="s">
        <v>357</v>
      </c>
      <c r="K530" s="6" t="s">
        <v>4269</v>
      </c>
      <c r="L530" s="6" t="s">
        <v>259</v>
      </c>
      <c r="M530" s="6" t="s">
        <v>4271</v>
      </c>
      <c r="N530" s="6" t="s">
        <v>283</v>
      </c>
      <c r="O530" s="6" t="s">
        <v>178</v>
      </c>
      <c r="P530" s="10">
        <v>46017.0</v>
      </c>
    </row>
    <row r="531" ht="22.5" customHeight="1">
      <c r="A531" s="6" t="s">
        <v>4272</v>
      </c>
      <c r="B531" s="6" t="s">
        <v>4273</v>
      </c>
      <c r="C531" s="6" t="s">
        <v>4274</v>
      </c>
      <c r="D531" s="6" t="s">
        <v>145</v>
      </c>
      <c r="E531" s="6" t="s">
        <v>210</v>
      </c>
      <c r="F531" s="8">
        <v>61.0</v>
      </c>
      <c r="G531" s="9">
        <v>1704.88</v>
      </c>
      <c r="H531" s="9">
        <v>9942.56</v>
      </c>
      <c r="I531" s="6" t="s">
        <v>178</v>
      </c>
      <c r="J531" s="6" t="s">
        <v>442</v>
      </c>
      <c r="K531" s="6" t="s">
        <v>259</v>
      </c>
      <c r="L531" s="6">
        <v>3.467194754E10</v>
      </c>
      <c r="M531" s="6" t="s">
        <v>4276</v>
      </c>
      <c r="N531" s="6" t="s">
        <v>283</v>
      </c>
      <c r="O531" s="6" t="s">
        <v>161</v>
      </c>
      <c r="P531" s="10">
        <v>45998.0</v>
      </c>
    </row>
    <row r="532" ht="22.5" customHeight="1">
      <c r="A532" s="6" t="s">
        <v>4278</v>
      </c>
      <c r="B532" s="6" t="s">
        <v>4279</v>
      </c>
      <c r="C532" s="6" t="s">
        <v>4280</v>
      </c>
      <c r="D532" s="6" t="s">
        <v>145</v>
      </c>
      <c r="E532" s="6" t="s">
        <v>301</v>
      </c>
      <c r="F532" s="8">
        <v>38.0</v>
      </c>
      <c r="G532" s="9">
        <v>1744.56</v>
      </c>
      <c r="H532" s="9">
        <v>12119.38</v>
      </c>
      <c r="I532" s="6" t="s">
        <v>161</v>
      </c>
      <c r="J532" s="6" t="s">
        <v>393</v>
      </c>
      <c r="K532" s="6" t="s">
        <v>4281</v>
      </c>
      <c r="L532" s="6">
        <v>6.3693862778E10</v>
      </c>
      <c r="M532" s="6" t="s">
        <v>4283</v>
      </c>
      <c r="N532" s="6" t="s">
        <v>176</v>
      </c>
      <c r="O532" s="6" t="s">
        <v>178</v>
      </c>
      <c r="P532" s="10">
        <v>46036.0</v>
      </c>
    </row>
    <row r="533" ht="22.5" customHeight="1">
      <c r="A533" s="6" t="s">
        <v>4284</v>
      </c>
      <c r="B533" s="6" t="s">
        <v>4285</v>
      </c>
      <c r="C533" s="6" t="s">
        <v>4286</v>
      </c>
      <c r="D533" s="6" t="s">
        <v>206</v>
      </c>
      <c r="E533" s="6" t="s">
        <v>210</v>
      </c>
      <c r="F533" s="8">
        <v>60.0</v>
      </c>
      <c r="G533" s="9">
        <v>1404.03</v>
      </c>
      <c r="H533" s="9">
        <v>9206.79</v>
      </c>
      <c r="I533" s="6" t="s">
        <v>178</v>
      </c>
      <c r="J533" s="6" t="s">
        <v>479</v>
      </c>
      <c r="K533" s="6" t="s">
        <v>4288</v>
      </c>
      <c r="L533" s="6">
        <v>2.5403494539E10</v>
      </c>
      <c r="M533" s="6" t="s">
        <v>4289</v>
      </c>
      <c r="N533" s="6" t="s">
        <v>259</v>
      </c>
      <c r="O533" s="6" t="s">
        <v>161</v>
      </c>
      <c r="P533" s="10">
        <v>45975.0</v>
      </c>
    </row>
    <row r="534" ht="22.5" customHeight="1">
      <c r="A534" s="6" t="s">
        <v>4291</v>
      </c>
      <c r="B534" s="6" t="s">
        <v>4292</v>
      </c>
      <c r="C534" s="6" t="s">
        <v>4293</v>
      </c>
      <c r="D534" s="6" t="s">
        <v>206</v>
      </c>
      <c r="E534" s="6" t="s">
        <v>301</v>
      </c>
      <c r="F534" s="8">
        <v>46.0</v>
      </c>
      <c r="G534" s="9">
        <v>1686.24</v>
      </c>
      <c r="H534" s="9">
        <v>15454.59</v>
      </c>
      <c r="I534" s="6" t="s">
        <v>161</v>
      </c>
      <c r="J534" s="6" t="s">
        <v>312</v>
      </c>
      <c r="K534" s="6" t="s">
        <v>4294</v>
      </c>
      <c r="L534" s="6">
        <v>3.7494836404E10</v>
      </c>
      <c r="M534" s="6" t="s">
        <v>4296</v>
      </c>
      <c r="N534" s="6" t="s">
        <v>283</v>
      </c>
      <c r="O534" s="6" t="s">
        <v>178</v>
      </c>
      <c r="P534" s="10">
        <v>45932.0</v>
      </c>
    </row>
    <row r="535" ht="22.5" customHeight="1">
      <c r="A535" s="6" t="s">
        <v>4297</v>
      </c>
      <c r="B535" s="6" t="s">
        <v>4298</v>
      </c>
      <c r="C535" s="6" t="s">
        <v>4299</v>
      </c>
      <c r="D535" s="6" t="s">
        <v>145</v>
      </c>
      <c r="E535" s="6" t="s">
        <v>301</v>
      </c>
      <c r="F535" s="8">
        <v>34.0</v>
      </c>
      <c r="G535" s="9">
        <v>1596.06</v>
      </c>
      <c r="H535" s="9">
        <v>7390.74</v>
      </c>
      <c r="I535" s="6" t="s">
        <v>161</v>
      </c>
      <c r="J535" s="6" t="s">
        <v>577</v>
      </c>
      <c r="K535" s="6" t="s">
        <v>4300</v>
      </c>
      <c r="L535" s="6">
        <v>5.1966863923E10</v>
      </c>
      <c r="M535" s="6" t="s">
        <v>4302</v>
      </c>
      <c r="N535" s="6" t="s">
        <v>427</v>
      </c>
      <c r="O535" s="6" t="s">
        <v>178</v>
      </c>
      <c r="P535" s="10">
        <v>45938.0</v>
      </c>
    </row>
    <row r="536" ht="22.5" customHeight="1">
      <c r="A536" s="6" t="s">
        <v>4303</v>
      </c>
      <c r="B536" s="6" t="s">
        <v>4304</v>
      </c>
      <c r="C536" s="6" t="s">
        <v>4305</v>
      </c>
      <c r="D536" s="6" t="s">
        <v>383</v>
      </c>
      <c r="E536" s="6" t="s">
        <v>301</v>
      </c>
      <c r="F536" s="8">
        <v>52.0</v>
      </c>
      <c r="G536" s="9">
        <v>1448.08</v>
      </c>
      <c r="H536" s="9">
        <v>11808.58</v>
      </c>
      <c r="I536" s="6" t="s">
        <v>161</v>
      </c>
      <c r="J536" s="6" t="s">
        <v>421</v>
      </c>
      <c r="K536" s="6" t="s">
        <v>4307</v>
      </c>
      <c r="L536" s="6">
        <v>8.8787791205E10</v>
      </c>
      <c r="M536" s="6" t="s">
        <v>4308</v>
      </c>
      <c r="N536" s="6" t="s">
        <v>283</v>
      </c>
      <c r="O536" s="6" t="s">
        <v>178</v>
      </c>
      <c r="P536" s="10">
        <v>45938.0</v>
      </c>
    </row>
    <row r="537" ht="22.5" customHeight="1">
      <c r="A537" s="6" t="s">
        <v>4309</v>
      </c>
      <c r="B537" s="6" t="s">
        <v>4310</v>
      </c>
      <c r="C537" s="6" t="s">
        <v>4311</v>
      </c>
      <c r="D537" s="6" t="s">
        <v>145</v>
      </c>
      <c r="E537" s="6" t="s">
        <v>147</v>
      </c>
      <c r="F537" s="8">
        <v>23.0</v>
      </c>
      <c r="G537" s="9">
        <v>949.95</v>
      </c>
      <c r="H537" s="9">
        <v>3645.39</v>
      </c>
      <c r="I537" s="6" t="s">
        <v>161</v>
      </c>
      <c r="J537" s="6" t="s">
        <v>479</v>
      </c>
      <c r="K537" s="6" t="s">
        <v>4312</v>
      </c>
      <c r="L537" s="6">
        <v>4.559422587E9</v>
      </c>
      <c r="M537" s="6" t="s">
        <v>4313</v>
      </c>
      <c r="N537" s="6" t="s">
        <v>427</v>
      </c>
      <c r="O537" s="6" t="s">
        <v>178</v>
      </c>
      <c r="P537" s="10">
        <v>46017.0</v>
      </c>
    </row>
    <row r="538" ht="22.5" customHeight="1">
      <c r="A538" s="6" t="s">
        <v>4315</v>
      </c>
      <c r="B538" s="6" t="s">
        <v>4316</v>
      </c>
      <c r="C538" s="6" t="s">
        <v>4317</v>
      </c>
      <c r="D538" s="6" t="s">
        <v>383</v>
      </c>
      <c r="E538" s="6" t="s">
        <v>210</v>
      </c>
      <c r="F538" s="8">
        <v>92.0</v>
      </c>
      <c r="G538" s="9">
        <v>1080.07</v>
      </c>
      <c r="H538" s="9">
        <v>13529.3</v>
      </c>
      <c r="I538" s="6" t="s">
        <v>161</v>
      </c>
      <c r="J538" s="6" t="s">
        <v>479</v>
      </c>
      <c r="K538" s="6" t="s">
        <v>4319</v>
      </c>
      <c r="L538" s="6">
        <v>9.7871824678E10</v>
      </c>
      <c r="M538" s="6" t="s">
        <v>4320</v>
      </c>
      <c r="N538" s="6" t="s">
        <v>427</v>
      </c>
      <c r="O538" s="6" t="s">
        <v>161</v>
      </c>
      <c r="P538" s="10">
        <v>46017.0</v>
      </c>
    </row>
    <row r="539" ht="22.5" customHeight="1">
      <c r="A539" s="6" t="s">
        <v>4321</v>
      </c>
      <c r="B539" s="6" t="s">
        <v>4322</v>
      </c>
      <c r="C539" s="6" t="s">
        <v>4323</v>
      </c>
      <c r="D539" s="6" t="s">
        <v>206</v>
      </c>
      <c r="E539" s="6" t="s">
        <v>147</v>
      </c>
      <c r="F539" s="8">
        <v>24.0</v>
      </c>
      <c r="G539" s="9">
        <v>142.21</v>
      </c>
      <c r="H539" s="9">
        <v>3920.45</v>
      </c>
      <c r="I539" s="6" t="s">
        <v>161</v>
      </c>
      <c r="J539" s="6" t="s">
        <v>465</v>
      </c>
      <c r="K539" s="6" t="s">
        <v>4325</v>
      </c>
      <c r="L539" s="6" t="s">
        <v>259</v>
      </c>
      <c r="M539" s="6" t="s">
        <v>4326</v>
      </c>
      <c r="N539" s="6" t="s">
        <v>112</v>
      </c>
      <c r="O539" s="6" t="s">
        <v>178</v>
      </c>
      <c r="P539" s="10">
        <v>46028.0</v>
      </c>
    </row>
    <row r="540" ht="22.5" customHeight="1">
      <c r="A540" s="6" t="s">
        <v>4328</v>
      </c>
      <c r="B540" s="6" t="s">
        <v>4329</v>
      </c>
      <c r="C540" s="6" t="s">
        <v>4330</v>
      </c>
      <c r="D540" s="6" t="s">
        <v>145</v>
      </c>
      <c r="E540" s="6" t="s">
        <v>210</v>
      </c>
      <c r="F540" s="8">
        <v>77.0</v>
      </c>
      <c r="G540" s="9">
        <v>391.48</v>
      </c>
      <c r="H540" s="9">
        <v>14250.42</v>
      </c>
      <c r="I540" s="6" t="s">
        <v>178</v>
      </c>
      <c r="J540" s="6" t="s">
        <v>312</v>
      </c>
      <c r="K540" s="6" t="s">
        <v>4331</v>
      </c>
      <c r="L540" s="6">
        <v>8.3640712696E10</v>
      </c>
      <c r="M540" s="6" t="s">
        <v>4333</v>
      </c>
      <c r="N540" s="6" t="s">
        <v>112</v>
      </c>
      <c r="O540" s="6" t="s">
        <v>161</v>
      </c>
      <c r="P540" s="10">
        <v>45972.0</v>
      </c>
    </row>
    <row r="541" ht="22.5" customHeight="1">
      <c r="A541" s="6" t="s">
        <v>4334</v>
      </c>
      <c r="B541" s="6" t="s">
        <v>4335</v>
      </c>
      <c r="C541" s="6" t="s">
        <v>4336</v>
      </c>
      <c r="D541" s="6" t="s">
        <v>145</v>
      </c>
      <c r="E541" s="6" t="s">
        <v>147</v>
      </c>
      <c r="F541" s="8">
        <v>16.0</v>
      </c>
      <c r="G541" s="9">
        <v>596.56</v>
      </c>
      <c r="H541" s="9">
        <v>4452.1</v>
      </c>
      <c r="I541" s="6" t="s">
        <v>161</v>
      </c>
      <c r="J541" s="6" t="s">
        <v>577</v>
      </c>
      <c r="K541" s="6" t="s">
        <v>4338</v>
      </c>
      <c r="L541" s="6">
        <v>2.9571814877E10</v>
      </c>
      <c r="M541" s="6" t="s">
        <v>4339</v>
      </c>
      <c r="N541" s="6" t="s">
        <v>427</v>
      </c>
      <c r="O541" s="6" t="s">
        <v>178</v>
      </c>
      <c r="P541" s="10">
        <v>46038.0</v>
      </c>
    </row>
    <row r="542" ht="22.5" customHeight="1">
      <c r="A542" s="6" t="s">
        <v>4340</v>
      </c>
      <c r="B542" s="6" t="s">
        <v>4341</v>
      </c>
      <c r="C542" s="6" t="s">
        <v>4342</v>
      </c>
      <c r="D542" s="6" t="s">
        <v>206</v>
      </c>
      <c r="E542" s="6" t="s">
        <v>147</v>
      </c>
      <c r="F542" s="8">
        <v>9.0</v>
      </c>
      <c r="G542" s="9">
        <v>875.6</v>
      </c>
      <c r="H542" s="9">
        <v>4011.77</v>
      </c>
      <c r="I542" s="6" t="s">
        <v>161</v>
      </c>
      <c r="J542" s="6" t="s">
        <v>228</v>
      </c>
      <c r="K542" s="6" t="s">
        <v>4344</v>
      </c>
      <c r="L542" s="6">
        <v>1.7734159252E10</v>
      </c>
      <c r="M542" s="6" t="s">
        <v>4345</v>
      </c>
      <c r="N542" s="6" t="s">
        <v>176</v>
      </c>
      <c r="O542" s="6" t="s">
        <v>178</v>
      </c>
      <c r="P542" s="10">
        <v>46048.0</v>
      </c>
    </row>
    <row r="543" ht="22.5" customHeight="1">
      <c r="A543" s="6" t="s">
        <v>4346</v>
      </c>
      <c r="B543" s="6" t="s">
        <v>4348</v>
      </c>
      <c r="C543" s="6" t="s">
        <v>4349</v>
      </c>
      <c r="D543" s="6" t="s">
        <v>206</v>
      </c>
      <c r="E543" s="6" t="s">
        <v>147</v>
      </c>
      <c r="F543" s="8">
        <v>12.0</v>
      </c>
      <c r="G543" s="9">
        <v>1265.8</v>
      </c>
      <c r="H543" s="9">
        <v>12990.28</v>
      </c>
      <c r="I543" s="6" t="s">
        <v>161</v>
      </c>
      <c r="J543" s="6" t="s">
        <v>163</v>
      </c>
      <c r="K543" s="6" t="s">
        <v>4350</v>
      </c>
      <c r="L543" s="6">
        <v>3.0455989801E10</v>
      </c>
      <c r="M543" s="6" t="s">
        <v>4351</v>
      </c>
      <c r="N543" s="6" t="s">
        <v>259</v>
      </c>
      <c r="O543" s="6" t="s">
        <v>178</v>
      </c>
      <c r="P543" s="10">
        <v>45967.0</v>
      </c>
    </row>
    <row r="544" ht="22.5" customHeight="1">
      <c r="A544" s="6" t="s">
        <v>4353</v>
      </c>
      <c r="B544" s="6" t="s">
        <v>4354</v>
      </c>
      <c r="C544" s="6" t="s">
        <v>4355</v>
      </c>
      <c r="D544" s="6" t="s">
        <v>206</v>
      </c>
      <c r="E544" s="6" t="s">
        <v>210</v>
      </c>
      <c r="F544" s="8">
        <v>95.0</v>
      </c>
      <c r="G544" s="9">
        <v>1126.05</v>
      </c>
      <c r="H544" s="9">
        <v>10546.38</v>
      </c>
      <c r="I544" s="6" t="s">
        <v>178</v>
      </c>
      <c r="J544" s="6" t="s">
        <v>442</v>
      </c>
      <c r="K544" s="6" t="s">
        <v>4357</v>
      </c>
      <c r="L544" s="6">
        <v>7.3547216013E10</v>
      </c>
      <c r="M544" s="6" t="s">
        <v>4358</v>
      </c>
      <c r="N544" s="6" t="s">
        <v>283</v>
      </c>
      <c r="O544" s="6" t="s">
        <v>161</v>
      </c>
      <c r="P544" s="10">
        <v>45952.0</v>
      </c>
    </row>
    <row r="545" ht="22.5" customHeight="1">
      <c r="A545" s="6" t="s">
        <v>4359</v>
      </c>
      <c r="B545" s="6" t="s">
        <v>4361</v>
      </c>
      <c r="C545" s="6" t="s">
        <v>4362</v>
      </c>
      <c r="D545" s="6" t="s">
        <v>145</v>
      </c>
      <c r="E545" s="6" t="s">
        <v>147</v>
      </c>
      <c r="F545" s="8">
        <v>28.0</v>
      </c>
      <c r="G545" s="9">
        <v>1084.4</v>
      </c>
      <c r="H545" s="9">
        <v>5774.22</v>
      </c>
      <c r="I545" s="6" t="s">
        <v>161</v>
      </c>
      <c r="J545" s="6" t="s">
        <v>357</v>
      </c>
      <c r="K545" s="6" t="s">
        <v>4363</v>
      </c>
      <c r="L545" s="6">
        <v>3.521878182E10</v>
      </c>
      <c r="M545" s="6" t="s">
        <v>4364</v>
      </c>
      <c r="N545" s="6" t="s">
        <v>427</v>
      </c>
      <c r="O545" s="6" t="s">
        <v>178</v>
      </c>
      <c r="P545" s="10">
        <v>45995.0</v>
      </c>
    </row>
    <row r="546" ht="22.5" customHeight="1">
      <c r="A546" s="6" t="s">
        <v>4366</v>
      </c>
      <c r="B546" s="6" t="s">
        <v>4367</v>
      </c>
      <c r="C546" s="6" t="s">
        <v>4368</v>
      </c>
      <c r="D546" s="6" t="s">
        <v>383</v>
      </c>
      <c r="E546" s="6" t="s">
        <v>147</v>
      </c>
      <c r="F546" s="8">
        <v>12.0</v>
      </c>
      <c r="G546" s="9">
        <v>345.48</v>
      </c>
      <c r="H546" s="9">
        <v>8675.21</v>
      </c>
      <c r="I546" s="6" t="s">
        <v>161</v>
      </c>
      <c r="J546" s="6" t="s">
        <v>577</v>
      </c>
      <c r="K546" s="6" t="s">
        <v>4369</v>
      </c>
      <c r="L546" s="6">
        <v>3.9804991787E10</v>
      </c>
      <c r="M546" s="6" t="s">
        <v>4371</v>
      </c>
      <c r="N546" s="6" t="s">
        <v>427</v>
      </c>
      <c r="O546" s="6" t="s">
        <v>178</v>
      </c>
      <c r="P546" s="10">
        <v>45978.0</v>
      </c>
    </row>
    <row r="547" ht="22.5" customHeight="1">
      <c r="A547" s="6" t="s">
        <v>4372</v>
      </c>
      <c r="B547" s="6" t="s">
        <v>4373</v>
      </c>
      <c r="C547" s="6" t="s">
        <v>4374</v>
      </c>
      <c r="D547" s="6" t="s">
        <v>206</v>
      </c>
      <c r="E547" s="6" t="s">
        <v>301</v>
      </c>
      <c r="F547" s="8">
        <v>49.0</v>
      </c>
      <c r="G547" s="9">
        <v>1358.62</v>
      </c>
      <c r="H547" s="9">
        <v>8471.38</v>
      </c>
      <c r="I547" s="6" t="s">
        <v>161</v>
      </c>
      <c r="J547" s="6" t="s">
        <v>442</v>
      </c>
      <c r="K547" s="6" t="s">
        <v>259</v>
      </c>
      <c r="L547" s="6">
        <v>3.1113455198E10</v>
      </c>
      <c r="M547" s="6" t="s">
        <v>4375</v>
      </c>
      <c r="N547" s="6" t="s">
        <v>427</v>
      </c>
      <c r="O547" s="6" t="s">
        <v>178</v>
      </c>
      <c r="P547" s="10">
        <v>46021.0</v>
      </c>
    </row>
    <row r="548" ht="22.5" customHeight="1">
      <c r="A548" s="6" t="s">
        <v>4377</v>
      </c>
      <c r="B548" s="6" t="s">
        <v>4378</v>
      </c>
      <c r="C548" s="6" t="s">
        <v>4379</v>
      </c>
      <c r="D548" s="6" t="s">
        <v>383</v>
      </c>
      <c r="E548" s="6" t="s">
        <v>147</v>
      </c>
      <c r="F548" s="8">
        <v>21.0</v>
      </c>
      <c r="G548" s="9">
        <v>859.83</v>
      </c>
      <c r="H548" s="9">
        <v>2725.2</v>
      </c>
      <c r="I548" s="6" t="s">
        <v>161</v>
      </c>
      <c r="J548" s="6" t="s">
        <v>479</v>
      </c>
      <c r="K548" s="6" t="s">
        <v>4381</v>
      </c>
      <c r="L548" s="6">
        <v>4.19348727E8</v>
      </c>
      <c r="M548" s="6" t="s">
        <v>4382</v>
      </c>
      <c r="N548" s="6" t="s">
        <v>427</v>
      </c>
      <c r="O548" s="6" t="s">
        <v>178</v>
      </c>
      <c r="P548" s="10">
        <v>45976.0</v>
      </c>
    </row>
    <row r="549" ht="22.5" customHeight="1">
      <c r="A549" s="6" t="s">
        <v>4383</v>
      </c>
      <c r="B549" s="6" t="s">
        <v>4384</v>
      </c>
      <c r="C549" s="6" t="s">
        <v>4385</v>
      </c>
      <c r="D549" s="6" t="s">
        <v>145</v>
      </c>
      <c r="E549" s="6" t="s">
        <v>147</v>
      </c>
      <c r="F549" s="8">
        <v>13.0</v>
      </c>
      <c r="G549" s="9">
        <v>710.19</v>
      </c>
      <c r="H549" s="9">
        <v>11000.45</v>
      </c>
      <c r="I549" s="6" t="s">
        <v>161</v>
      </c>
      <c r="J549" s="6" t="s">
        <v>577</v>
      </c>
      <c r="K549" s="6" t="s">
        <v>4387</v>
      </c>
      <c r="L549" s="6">
        <v>9.014148935E10</v>
      </c>
      <c r="M549" s="6" t="s">
        <v>4388</v>
      </c>
      <c r="N549" s="6" t="s">
        <v>427</v>
      </c>
      <c r="O549" s="6" t="s">
        <v>178</v>
      </c>
      <c r="P549" s="10">
        <v>45979.0</v>
      </c>
    </row>
    <row r="550" ht="22.5" customHeight="1">
      <c r="A550" s="6" t="s">
        <v>4389</v>
      </c>
      <c r="B550" s="6" t="s">
        <v>4390</v>
      </c>
      <c r="C550" s="6" t="s">
        <v>4391</v>
      </c>
      <c r="D550" s="6" t="s">
        <v>206</v>
      </c>
      <c r="E550" s="6" t="s">
        <v>147</v>
      </c>
      <c r="F550" s="8">
        <v>27.0</v>
      </c>
      <c r="G550" s="9">
        <v>897.96</v>
      </c>
      <c r="H550" s="9">
        <v>1316.17</v>
      </c>
      <c r="I550" s="6" t="s">
        <v>161</v>
      </c>
      <c r="J550" s="6" t="s">
        <v>442</v>
      </c>
      <c r="K550" s="6" t="s">
        <v>4393</v>
      </c>
      <c r="L550" s="6">
        <v>2.633133484E10</v>
      </c>
      <c r="M550" s="6" t="s">
        <v>4394</v>
      </c>
      <c r="N550" s="6" t="s">
        <v>283</v>
      </c>
      <c r="O550" s="6" t="s">
        <v>178</v>
      </c>
      <c r="P550" s="10">
        <v>45957.0</v>
      </c>
    </row>
    <row r="551" ht="22.5" customHeight="1">
      <c r="A551" s="6" t="s">
        <v>4395</v>
      </c>
      <c r="B551" s="6" t="s">
        <v>4396</v>
      </c>
      <c r="C551" s="6" t="s">
        <v>4397</v>
      </c>
      <c r="D551" s="6" t="s">
        <v>145</v>
      </c>
      <c r="E551" s="6" t="s">
        <v>301</v>
      </c>
      <c r="F551" s="8">
        <v>45.0</v>
      </c>
      <c r="G551" s="9">
        <v>516.21</v>
      </c>
      <c r="H551" s="9">
        <v>4768.31</v>
      </c>
      <c r="I551" s="6" t="s">
        <v>161</v>
      </c>
      <c r="J551" s="6" t="s">
        <v>465</v>
      </c>
      <c r="K551" s="6" t="s">
        <v>4399</v>
      </c>
      <c r="L551" s="6">
        <v>2.8663611322E10</v>
      </c>
      <c r="M551" s="6" t="s">
        <v>4400</v>
      </c>
      <c r="N551" s="6" t="s">
        <v>283</v>
      </c>
      <c r="O551" s="6" t="s">
        <v>178</v>
      </c>
      <c r="P551" s="10">
        <v>45983.0</v>
      </c>
    </row>
    <row r="552" ht="22.5" customHeight="1">
      <c r="A552" s="6" t="s">
        <v>4402</v>
      </c>
      <c r="B552" s="6" t="s">
        <v>4403</v>
      </c>
      <c r="C552" s="6" t="s">
        <v>4404</v>
      </c>
      <c r="D552" s="6" t="s">
        <v>145</v>
      </c>
      <c r="E552" s="6" t="s">
        <v>147</v>
      </c>
      <c r="F552" s="8">
        <v>19.0</v>
      </c>
      <c r="G552" s="9">
        <v>970.57</v>
      </c>
      <c r="H552" s="9">
        <v>5905.33</v>
      </c>
      <c r="I552" s="6" t="s">
        <v>161</v>
      </c>
      <c r="J552" s="6" t="s">
        <v>163</v>
      </c>
      <c r="K552" s="6" t="s">
        <v>4405</v>
      </c>
      <c r="L552" s="6">
        <v>8.6405721086E10</v>
      </c>
      <c r="M552" s="6" t="s">
        <v>4406</v>
      </c>
      <c r="N552" s="6" t="s">
        <v>176</v>
      </c>
      <c r="O552" s="6" t="s">
        <v>178</v>
      </c>
      <c r="P552" s="10">
        <v>46046.0</v>
      </c>
    </row>
    <row r="553" ht="22.5" customHeight="1">
      <c r="A553" s="6" t="s">
        <v>4408</v>
      </c>
      <c r="B553" s="6" t="s">
        <v>4409</v>
      </c>
      <c r="C553" s="6" t="s">
        <v>4410</v>
      </c>
      <c r="D553" s="6" t="s">
        <v>145</v>
      </c>
      <c r="E553" s="6" t="s">
        <v>301</v>
      </c>
      <c r="F553" s="8">
        <v>36.0</v>
      </c>
      <c r="G553" s="9">
        <v>1522.34</v>
      </c>
      <c r="H553" s="9">
        <v>5041.17</v>
      </c>
      <c r="I553" s="6" t="s">
        <v>178</v>
      </c>
      <c r="J553" s="6" t="s">
        <v>421</v>
      </c>
      <c r="K553" s="6" t="s">
        <v>4411</v>
      </c>
      <c r="L553" s="6" t="s">
        <v>259</v>
      </c>
      <c r="M553" s="6" t="s">
        <v>4412</v>
      </c>
      <c r="N553" s="6" t="s">
        <v>176</v>
      </c>
      <c r="O553" s="6" t="s">
        <v>161</v>
      </c>
      <c r="P553" s="10">
        <v>45950.0</v>
      </c>
    </row>
    <row r="554" ht="22.5" customHeight="1">
      <c r="A554" s="6" t="s">
        <v>4414</v>
      </c>
      <c r="B554" s="6" t="s">
        <v>4415</v>
      </c>
      <c r="C554" s="6" t="s">
        <v>4416</v>
      </c>
      <c r="D554" s="6" t="s">
        <v>206</v>
      </c>
      <c r="E554" s="6" t="s">
        <v>147</v>
      </c>
      <c r="F554" s="8">
        <v>24.0</v>
      </c>
      <c r="G554" s="9">
        <v>1342.01</v>
      </c>
      <c r="H554" s="9">
        <v>11379.79</v>
      </c>
      <c r="I554" s="6" t="s">
        <v>178</v>
      </c>
      <c r="J554" s="6" t="s">
        <v>465</v>
      </c>
      <c r="K554" s="6" t="s">
        <v>1708</v>
      </c>
      <c r="L554" s="6">
        <v>2.353154486E10</v>
      </c>
      <c r="M554" s="6" t="s">
        <v>4418</v>
      </c>
      <c r="N554" s="6" t="s">
        <v>427</v>
      </c>
      <c r="O554" s="6" t="s">
        <v>161</v>
      </c>
      <c r="P554" s="10">
        <v>46030.0</v>
      </c>
    </row>
    <row r="555" ht="22.5" customHeight="1">
      <c r="A555" s="6" t="s">
        <v>4419</v>
      </c>
      <c r="B555" s="6" t="s">
        <v>4420</v>
      </c>
      <c r="C555" s="6" t="s">
        <v>4421</v>
      </c>
      <c r="D555" s="6" t="s">
        <v>383</v>
      </c>
      <c r="E555" s="6" t="s">
        <v>210</v>
      </c>
      <c r="F555" s="8">
        <v>117.0</v>
      </c>
      <c r="G555" s="9">
        <v>874.07</v>
      </c>
      <c r="H555" s="9">
        <v>3455.92</v>
      </c>
      <c r="I555" s="6" t="s">
        <v>161</v>
      </c>
      <c r="J555" s="6" t="s">
        <v>442</v>
      </c>
      <c r="K555" s="6" t="s">
        <v>4423</v>
      </c>
      <c r="L555" s="6">
        <v>4.1124405416E10</v>
      </c>
      <c r="M555" s="6" t="s">
        <v>4424</v>
      </c>
      <c r="N555" s="6" t="s">
        <v>283</v>
      </c>
      <c r="O555" s="6" t="s">
        <v>161</v>
      </c>
      <c r="P555" s="10">
        <v>45981.0</v>
      </c>
    </row>
    <row r="556" ht="22.5" customHeight="1">
      <c r="A556" s="6" t="s">
        <v>4425</v>
      </c>
      <c r="B556" s="6" t="s">
        <v>4426</v>
      </c>
      <c r="C556" s="6" t="s">
        <v>4427</v>
      </c>
      <c r="D556" s="6" t="s">
        <v>145</v>
      </c>
      <c r="E556" s="6" t="s">
        <v>210</v>
      </c>
      <c r="F556" s="8">
        <v>102.0</v>
      </c>
      <c r="G556" s="9">
        <v>894.07</v>
      </c>
      <c r="H556" s="9">
        <v>2162.62</v>
      </c>
      <c r="I556" s="6" t="s">
        <v>178</v>
      </c>
      <c r="J556" s="6" t="s">
        <v>479</v>
      </c>
      <c r="K556" s="6" t="s">
        <v>4429</v>
      </c>
      <c r="L556" s="6">
        <v>3.3222568163E10</v>
      </c>
      <c r="M556" s="6" t="s">
        <v>4430</v>
      </c>
      <c r="N556" s="6" t="s">
        <v>283</v>
      </c>
      <c r="O556" s="6" t="s">
        <v>161</v>
      </c>
      <c r="P556" s="10">
        <v>45979.0</v>
      </c>
    </row>
    <row r="557" ht="22.5" customHeight="1">
      <c r="A557" s="6" t="s">
        <v>4432</v>
      </c>
      <c r="B557" s="6" t="s">
        <v>4433</v>
      </c>
      <c r="C557" s="6" t="s">
        <v>4434</v>
      </c>
      <c r="D557" s="6" t="s">
        <v>383</v>
      </c>
      <c r="E557" s="6" t="s">
        <v>210</v>
      </c>
      <c r="F557" s="8">
        <v>97.0</v>
      </c>
      <c r="G557" s="9">
        <v>1200.07</v>
      </c>
      <c r="H557" s="9">
        <v>11373.84</v>
      </c>
      <c r="I557" s="6" t="s">
        <v>161</v>
      </c>
      <c r="J557" s="6" t="s">
        <v>357</v>
      </c>
      <c r="K557" s="6" t="s">
        <v>4435</v>
      </c>
      <c r="L557" s="6">
        <v>7.7619394706E10</v>
      </c>
      <c r="M557" s="6" t="s">
        <v>4437</v>
      </c>
      <c r="N557" s="6" t="s">
        <v>283</v>
      </c>
      <c r="O557" s="6" t="s">
        <v>161</v>
      </c>
      <c r="P557" s="10">
        <v>45968.0</v>
      </c>
    </row>
    <row r="558" ht="22.5" customHeight="1">
      <c r="A558" s="6" t="s">
        <v>4438</v>
      </c>
      <c r="B558" s="6" t="s">
        <v>4439</v>
      </c>
      <c r="C558" s="6" t="s">
        <v>4440</v>
      </c>
      <c r="D558" s="6" t="s">
        <v>206</v>
      </c>
      <c r="E558" s="6" t="s">
        <v>210</v>
      </c>
      <c r="F558" s="8">
        <v>105.0</v>
      </c>
      <c r="G558" s="9">
        <v>1182.83</v>
      </c>
      <c r="H558" s="9">
        <v>8925.64</v>
      </c>
      <c r="I558" s="6" t="s">
        <v>178</v>
      </c>
      <c r="J558" s="6" t="s">
        <v>465</v>
      </c>
      <c r="K558" s="6" t="s">
        <v>4442</v>
      </c>
      <c r="L558" s="6">
        <v>2.7365605126E10</v>
      </c>
      <c r="M558" s="6" t="s">
        <v>4443</v>
      </c>
      <c r="N558" s="6" t="s">
        <v>283</v>
      </c>
      <c r="O558" s="6" t="s">
        <v>161</v>
      </c>
      <c r="P558" s="10">
        <v>46029.0</v>
      </c>
    </row>
    <row r="559" ht="22.5" customHeight="1">
      <c r="A559" s="6" t="s">
        <v>4445</v>
      </c>
      <c r="B559" s="6" t="s">
        <v>4446</v>
      </c>
      <c r="C559" s="6" t="s">
        <v>4447</v>
      </c>
      <c r="D559" s="6" t="s">
        <v>145</v>
      </c>
      <c r="E559" s="6" t="s">
        <v>147</v>
      </c>
      <c r="F559" s="8">
        <v>10.0</v>
      </c>
      <c r="G559" s="9">
        <v>554.84</v>
      </c>
      <c r="H559" s="9">
        <v>10070.42</v>
      </c>
      <c r="I559" s="6" t="s">
        <v>161</v>
      </c>
      <c r="J559" s="6" t="s">
        <v>228</v>
      </c>
      <c r="K559" s="6" t="s">
        <v>4448</v>
      </c>
      <c r="L559" s="6">
        <v>3.5982575513E10</v>
      </c>
      <c r="M559" s="6" t="s">
        <v>4449</v>
      </c>
      <c r="N559" s="6" t="s">
        <v>283</v>
      </c>
      <c r="O559" s="6" t="s">
        <v>178</v>
      </c>
      <c r="P559" s="10">
        <v>45945.0</v>
      </c>
    </row>
    <row r="560" ht="22.5" customHeight="1">
      <c r="A560" s="6" t="s">
        <v>4451</v>
      </c>
      <c r="B560" s="6" t="s">
        <v>4452</v>
      </c>
      <c r="C560" s="6" t="s">
        <v>4453</v>
      </c>
      <c r="D560" s="6" t="s">
        <v>145</v>
      </c>
      <c r="E560" s="6" t="s">
        <v>210</v>
      </c>
      <c r="F560" s="8">
        <v>115.0</v>
      </c>
      <c r="G560" s="9">
        <v>1533.08</v>
      </c>
      <c r="H560" s="9">
        <v>7122.17</v>
      </c>
      <c r="I560" s="6" t="s">
        <v>161</v>
      </c>
      <c r="J560" s="6" t="s">
        <v>163</v>
      </c>
      <c r="K560" s="6" t="s">
        <v>4454</v>
      </c>
      <c r="L560" s="6">
        <v>1.1566601499E10</v>
      </c>
      <c r="M560" s="6" t="s">
        <v>4456</v>
      </c>
      <c r="N560" s="6" t="s">
        <v>259</v>
      </c>
      <c r="O560" s="6" t="s">
        <v>161</v>
      </c>
      <c r="P560" s="10">
        <v>45935.0</v>
      </c>
    </row>
    <row r="561" ht="22.5" customHeight="1">
      <c r="A561" s="6" t="s">
        <v>4457</v>
      </c>
      <c r="B561" s="6" t="s">
        <v>4458</v>
      </c>
      <c r="C561" s="6" t="s">
        <v>4459</v>
      </c>
      <c r="D561" s="6" t="s">
        <v>145</v>
      </c>
      <c r="E561" s="6" t="s">
        <v>147</v>
      </c>
      <c r="F561" s="8">
        <v>16.0</v>
      </c>
      <c r="G561" s="9">
        <v>1389.6</v>
      </c>
      <c r="H561" s="9">
        <v>14703.27</v>
      </c>
      <c r="I561" s="6" t="s">
        <v>161</v>
      </c>
      <c r="J561" s="6" t="s">
        <v>577</v>
      </c>
      <c r="K561" s="6" t="s">
        <v>4461</v>
      </c>
      <c r="L561" s="6">
        <v>8.7812481947E10</v>
      </c>
      <c r="M561" s="6" t="s">
        <v>4462</v>
      </c>
      <c r="N561" s="6" t="s">
        <v>427</v>
      </c>
      <c r="O561" s="6" t="s">
        <v>178</v>
      </c>
      <c r="P561" s="10">
        <v>45948.0</v>
      </c>
    </row>
    <row r="562" ht="22.5" customHeight="1">
      <c r="A562" s="6" t="s">
        <v>4463</v>
      </c>
      <c r="B562" s="6" t="s">
        <v>4464</v>
      </c>
      <c r="C562" s="6" t="s">
        <v>4465</v>
      </c>
      <c r="D562" s="6" t="s">
        <v>206</v>
      </c>
      <c r="E562" s="6" t="s">
        <v>147</v>
      </c>
      <c r="F562" s="8">
        <v>25.0</v>
      </c>
      <c r="G562" s="9">
        <v>1381.59</v>
      </c>
      <c r="H562" s="9">
        <v>2745.97</v>
      </c>
      <c r="I562" s="6" t="s">
        <v>161</v>
      </c>
      <c r="J562" s="6" t="s">
        <v>393</v>
      </c>
      <c r="K562" s="6" t="s">
        <v>4467</v>
      </c>
      <c r="L562" s="6">
        <v>5.25275586E8</v>
      </c>
      <c r="M562" s="6" t="s">
        <v>4468</v>
      </c>
      <c r="N562" s="6" t="s">
        <v>112</v>
      </c>
      <c r="O562" s="6" t="s">
        <v>178</v>
      </c>
      <c r="P562" s="10">
        <v>46047.0</v>
      </c>
    </row>
    <row r="563" ht="22.5" customHeight="1">
      <c r="A563" s="6" t="s">
        <v>4469</v>
      </c>
      <c r="B563" s="6" t="s">
        <v>4470</v>
      </c>
      <c r="C563" s="6" t="s">
        <v>4471</v>
      </c>
      <c r="D563" s="6" t="s">
        <v>383</v>
      </c>
      <c r="E563" s="6" t="s">
        <v>147</v>
      </c>
      <c r="F563" s="8">
        <v>8.0</v>
      </c>
      <c r="G563" s="9">
        <v>1174.13</v>
      </c>
      <c r="H563" s="9">
        <v>5873.72</v>
      </c>
      <c r="I563" s="6" t="s">
        <v>161</v>
      </c>
      <c r="J563" s="6" t="s">
        <v>479</v>
      </c>
      <c r="K563" s="6" t="s">
        <v>4473</v>
      </c>
      <c r="L563" s="6">
        <v>7.443262582E9</v>
      </c>
      <c r="M563" s="6" t="s">
        <v>4474</v>
      </c>
      <c r="N563" s="6" t="s">
        <v>259</v>
      </c>
      <c r="O563" s="6" t="s">
        <v>178</v>
      </c>
      <c r="P563" s="10">
        <v>46002.0</v>
      </c>
    </row>
    <row r="564" ht="22.5" customHeight="1">
      <c r="A564" s="6" t="s">
        <v>4475</v>
      </c>
      <c r="B564" s="6" t="s">
        <v>4476</v>
      </c>
      <c r="C564" s="6" t="s">
        <v>4477</v>
      </c>
      <c r="D564" s="6" t="s">
        <v>145</v>
      </c>
      <c r="E564" s="6" t="s">
        <v>301</v>
      </c>
      <c r="F564" s="8">
        <v>56.0</v>
      </c>
      <c r="G564" s="9">
        <v>1098.61</v>
      </c>
      <c r="H564" s="9">
        <v>11276.52</v>
      </c>
      <c r="I564" s="6" t="s">
        <v>161</v>
      </c>
      <c r="J564" s="6" t="s">
        <v>357</v>
      </c>
      <c r="K564" s="6" t="s">
        <v>4479</v>
      </c>
      <c r="L564" s="6">
        <v>9.0725500968E10</v>
      </c>
      <c r="M564" s="6" t="s">
        <v>4480</v>
      </c>
      <c r="N564" s="6" t="s">
        <v>112</v>
      </c>
      <c r="O564" s="6" t="s">
        <v>178</v>
      </c>
      <c r="P564" s="10">
        <v>45947.0</v>
      </c>
    </row>
    <row r="565" ht="22.5" customHeight="1">
      <c r="A565" s="6" t="s">
        <v>4482</v>
      </c>
      <c r="B565" s="6" t="s">
        <v>4483</v>
      </c>
      <c r="C565" s="6" t="s">
        <v>4484</v>
      </c>
      <c r="D565" s="6" t="s">
        <v>383</v>
      </c>
      <c r="E565" s="6" t="s">
        <v>147</v>
      </c>
      <c r="F565" s="8">
        <v>10.0</v>
      </c>
      <c r="G565" s="9">
        <v>1199.21</v>
      </c>
      <c r="H565" s="9">
        <v>14690.47</v>
      </c>
      <c r="I565" s="6" t="s">
        <v>161</v>
      </c>
      <c r="J565" s="6" t="s">
        <v>442</v>
      </c>
      <c r="K565" s="6" t="s">
        <v>4485</v>
      </c>
      <c r="L565" s="6">
        <v>7.1677714053E10</v>
      </c>
      <c r="M565" s="6" t="s">
        <v>4487</v>
      </c>
      <c r="N565" s="6" t="s">
        <v>427</v>
      </c>
      <c r="O565" s="6" t="s">
        <v>178</v>
      </c>
      <c r="P565" s="10">
        <v>46045.0</v>
      </c>
    </row>
    <row r="566" ht="22.5" customHeight="1">
      <c r="A566" s="6" t="s">
        <v>4488</v>
      </c>
      <c r="B566" s="6" t="s">
        <v>4489</v>
      </c>
      <c r="C566" s="6" t="s">
        <v>4490</v>
      </c>
      <c r="D566" s="6" t="s">
        <v>206</v>
      </c>
      <c r="E566" s="6" t="s">
        <v>147</v>
      </c>
      <c r="F566" s="8">
        <v>17.0</v>
      </c>
      <c r="G566" s="9">
        <v>321.46</v>
      </c>
      <c r="H566" s="9">
        <v>11338.96</v>
      </c>
      <c r="I566" s="6" t="s">
        <v>161</v>
      </c>
      <c r="J566" s="6" t="s">
        <v>442</v>
      </c>
      <c r="K566" s="6" t="s">
        <v>4492</v>
      </c>
      <c r="L566" s="6">
        <v>3.913766999E10</v>
      </c>
      <c r="M566" s="6" t="s">
        <v>4493</v>
      </c>
      <c r="N566" s="6" t="s">
        <v>176</v>
      </c>
      <c r="O566" s="6" t="s">
        <v>178</v>
      </c>
      <c r="P566" s="10">
        <v>45982.0</v>
      </c>
    </row>
    <row r="567" ht="22.5" customHeight="1">
      <c r="A567" s="6" t="s">
        <v>4494</v>
      </c>
      <c r="B567" s="6" t="s">
        <v>4495</v>
      </c>
      <c r="C567" s="6" t="s">
        <v>4496</v>
      </c>
      <c r="D567" s="6" t="s">
        <v>145</v>
      </c>
      <c r="E567" s="6" t="s">
        <v>147</v>
      </c>
      <c r="F567" s="8">
        <v>15.0</v>
      </c>
      <c r="G567" s="9">
        <v>1706.25</v>
      </c>
      <c r="H567" s="9">
        <v>14063.7</v>
      </c>
      <c r="I567" s="6" t="s">
        <v>161</v>
      </c>
      <c r="J567" s="6" t="s">
        <v>442</v>
      </c>
      <c r="K567" s="6" t="s">
        <v>4498</v>
      </c>
      <c r="L567" s="6">
        <v>4.76269277E8</v>
      </c>
      <c r="M567" s="6" t="s">
        <v>4499</v>
      </c>
      <c r="N567" s="6" t="s">
        <v>259</v>
      </c>
      <c r="O567" s="6" t="s">
        <v>178</v>
      </c>
      <c r="P567" s="10">
        <v>45982.0</v>
      </c>
    </row>
    <row r="568" ht="22.5" customHeight="1">
      <c r="A568" s="6" t="s">
        <v>4500</v>
      </c>
      <c r="B568" s="6" t="s">
        <v>4501</v>
      </c>
      <c r="C568" s="6" t="s">
        <v>4502</v>
      </c>
      <c r="D568" s="6" t="s">
        <v>145</v>
      </c>
      <c r="E568" s="6" t="s">
        <v>147</v>
      </c>
      <c r="F568" s="8">
        <v>28.0</v>
      </c>
      <c r="G568" s="9">
        <v>1559.99</v>
      </c>
      <c r="H568" s="9">
        <v>3294.85</v>
      </c>
      <c r="I568" s="6" t="s">
        <v>161</v>
      </c>
      <c r="J568" s="6" t="s">
        <v>259</v>
      </c>
      <c r="K568" s="6" t="s">
        <v>4503</v>
      </c>
      <c r="L568" s="6">
        <v>7.7982695919E10</v>
      </c>
      <c r="M568" s="6" t="s">
        <v>4504</v>
      </c>
      <c r="N568" s="6" t="s">
        <v>176</v>
      </c>
      <c r="O568" s="6" t="s">
        <v>178</v>
      </c>
      <c r="P568" s="10">
        <v>45978.0</v>
      </c>
    </row>
    <row r="569" ht="22.5" customHeight="1">
      <c r="A569" s="6" t="s">
        <v>4506</v>
      </c>
      <c r="B569" s="6" t="s">
        <v>4507</v>
      </c>
      <c r="C569" s="6" t="s">
        <v>4508</v>
      </c>
      <c r="D569" s="6" t="s">
        <v>383</v>
      </c>
      <c r="E569" s="6" t="s">
        <v>301</v>
      </c>
      <c r="F569" s="8">
        <v>46.0</v>
      </c>
      <c r="G569" s="9">
        <v>400.97</v>
      </c>
      <c r="H569" s="9">
        <v>8439.98</v>
      </c>
      <c r="I569" s="6" t="s">
        <v>161</v>
      </c>
      <c r="J569" s="6" t="s">
        <v>577</v>
      </c>
      <c r="K569" s="6" t="s">
        <v>4509</v>
      </c>
      <c r="L569" s="6">
        <v>9.019896E9</v>
      </c>
      <c r="M569" s="6" t="s">
        <v>4510</v>
      </c>
      <c r="N569" s="6" t="s">
        <v>283</v>
      </c>
      <c r="O569" s="6" t="s">
        <v>178</v>
      </c>
      <c r="P569" s="10">
        <v>46000.0</v>
      </c>
    </row>
    <row r="570" ht="22.5" customHeight="1">
      <c r="A570" s="6" t="s">
        <v>4512</v>
      </c>
      <c r="B570" s="6" t="s">
        <v>4513</v>
      </c>
      <c r="C570" s="6" t="s">
        <v>4514</v>
      </c>
      <c r="D570" s="6" t="s">
        <v>145</v>
      </c>
      <c r="E570" s="6" t="s">
        <v>147</v>
      </c>
      <c r="F570" s="8">
        <v>18.0</v>
      </c>
      <c r="G570" s="9">
        <v>799.94</v>
      </c>
      <c r="H570" s="9">
        <v>14204.12</v>
      </c>
      <c r="I570" s="6" t="s">
        <v>161</v>
      </c>
      <c r="J570" s="6" t="s">
        <v>479</v>
      </c>
      <c r="K570" s="6" t="s">
        <v>4515</v>
      </c>
      <c r="L570" s="6">
        <v>1.0691453952E10</v>
      </c>
      <c r="M570" s="6" t="s">
        <v>4516</v>
      </c>
      <c r="N570" s="6" t="s">
        <v>176</v>
      </c>
      <c r="O570" s="6" t="s">
        <v>178</v>
      </c>
      <c r="P570" s="10">
        <v>46027.0</v>
      </c>
    </row>
    <row r="571" ht="22.5" customHeight="1">
      <c r="A571" s="6" t="s">
        <v>4518</v>
      </c>
      <c r="B571" s="6" t="s">
        <v>4519</v>
      </c>
      <c r="C571" s="6" t="s">
        <v>4520</v>
      </c>
      <c r="D571" s="6" t="s">
        <v>206</v>
      </c>
      <c r="E571" s="6" t="s">
        <v>210</v>
      </c>
      <c r="F571" s="8">
        <v>86.0</v>
      </c>
      <c r="G571" s="9">
        <v>1620.8</v>
      </c>
      <c r="H571" s="9">
        <v>4093.02</v>
      </c>
      <c r="I571" s="6" t="s">
        <v>178</v>
      </c>
      <c r="J571" s="6" t="s">
        <v>421</v>
      </c>
      <c r="K571" s="6" t="s">
        <v>4522</v>
      </c>
      <c r="L571" s="6">
        <v>6.6702615682E10</v>
      </c>
      <c r="M571" s="6" t="s">
        <v>4523</v>
      </c>
      <c r="N571" s="6" t="s">
        <v>176</v>
      </c>
      <c r="O571" s="6" t="s">
        <v>161</v>
      </c>
      <c r="P571" s="10">
        <v>45993.0</v>
      </c>
    </row>
    <row r="572" ht="22.5" customHeight="1">
      <c r="A572" s="6" t="s">
        <v>4528</v>
      </c>
      <c r="B572" s="6" t="s">
        <v>4529</v>
      </c>
      <c r="C572" s="6" t="s">
        <v>4530</v>
      </c>
      <c r="D572" s="6" t="s">
        <v>206</v>
      </c>
      <c r="E572" s="6" t="s">
        <v>210</v>
      </c>
      <c r="F572" s="8">
        <v>87.0</v>
      </c>
      <c r="G572" s="9">
        <v>1761.77</v>
      </c>
      <c r="H572" s="9">
        <v>12640.24</v>
      </c>
      <c r="I572" s="6" t="s">
        <v>161</v>
      </c>
      <c r="J572" s="6" t="s">
        <v>357</v>
      </c>
      <c r="K572" s="6" t="s">
        <v>4531</v>
      </c>
      <c r="L572" s="6">
        <v>6.1262600419E10</v>
      </c>
      <c r="M572" s="6" t="s">
        <v>4533</v>
      </c>
      <c r="N572" s="6" t="s">
        <v>176</v>
      </c>
      <c r="O572" s="6" t="s">
        <v>161</v>
      </c>
      <c r="P572" s="10">
        <v>45932.0</v>
      </c>
    </row>
    <row r="573" ht="22.5" customHeight="1">
      <c r="A573" s="6" t="s">
        <v>4534</v>
      </c>
      <c r="B573" s="6" t="s">
        <v>4535</v>
      </c>
      <c r="C573" s="6" t="s">
        <v>4536</v>
      </c>
      <c r="D573" s="6" t="s">
        <v>145</v>
      </c>
      <c r="E573" s="6" t="s">
        <v>147</v>
      </c>
      <c r="F573" s="8">
        <v>29.0</v>
      </c>
      <c r="G573" s="9">
        <v>1680.6</v>
      </c>
      <c r="H573" s="9">
        <v>4844.31</v>
      </c>
      <c r="I573" s="6" t="s">
        <v>161</v>
      </c>
      <c r="J573" s="6" t="s">
        <v>465</v>
      </c>
      <c r="K573" s="6" t="s">
        <v>4538</v>
      </c>
      <c r="L573" s="6">
        <v>7.7135317967E10</v>
      </c>
      <c r="M573" s="6" t="s">
        <v>4539</v>
      </c>
      <c r="N573" s="6" t="s">
        <v>427</v>
      </c>
      <c r="O573" s="6" t="s">
        <v>178</v>
      </c>
      <c r="P573" s="10">
        <v>46008.0</v>
      </c>
    </row>
    <row r="574" ht="22.5" customHeight="1">
      <c r="A574" s="6" t="s">
        <v>4540</v>
      </c>
      <c r="B574" s="6" t="s">
        <v>4541</v>
      </c>
      <c r="C574" s="6" t="s">
        <v>4542</v>
      </c>
      <c r="D574" s="6" t="s">
        <v>145</v>
      </c>
      <c r="E574" s="6" t="s">
        <v>301</v>
      </c>
      <c r="F574" s="8">
        <v>41.0</v>
      </c>
      <c r="G574" s="9">
        <v>1759.45</v>
      </c>
      <c r="H574" s="9">
        <v>5031.07</v>
      </c>
      <c r="I574" s="6" t="s">
        <v>161</v>
      </c>
      <c r="J574" s="6" t="s">
        <v>577</v>
      </c>
      <c r="K574" s="6" t="s">
        <v>4544</v>
      </c>
      <c r="L574" s="6">
        <v>2.3773070878E10</v>
      </c>
      <c r="M574" s="6" t="s">
        <v>4545</v>
      </c>
      <c r="N574" s="6" t="s">
        <v>283</v>
      </c>
      <c r="O574" s="6" t="s">
        <v>178</v>
      </c>
      <c r="P574" s="10">
        <v>46004.0</v>
      </c>
    </row>
    <row r="575" ht="22.5" customHeight="1">
      <c r="A575" s="6" t="s">
        <v>4546</v>
      </c>
      <c r="B575" s="6" t="s">
        <v>4547</v>
      </c>
      <c r="C575" s="6" t="s">
        <v>4548</v>
      </c>
      <c r="D575" s="6" t="s">
        <v>145</v>
      </c>
      <c r="E575" s="6" t="s">
        <v>147</v>
      </c>
      <c r="F575" s="8">
        <v>19.0</v>
      </c>
      <c r="G575" s="9">
        <v>235.97</v>
      </c>
      <c r="H575" s="9">
        <v>5898.93</v>
      </c>
      <c r="I575" s="6" t="s">
        <v>161</v>
      </c>
      <c r="J575" s="6" t="s">
        <v>228</v>
      </c>
      <c r="K575" s="6" t="s">
        <v>4549</v>
      </c>
      <c r="L575" s="6">
        <v>9.9877511656E10</v>
      </c>
      <c r="M575" s="6" t="s">
        <v>4551</v>
      </c>
      <c r="N575" s="6" t="s">
        <v>427</v>
      </c>
      <c r="O575" s="6" t="s">
        <v>178</v>
      </c>
      <c r="P575" s="10">
        <v>45977.0</v>
      </c>
    </row>
    <row r="576" ht="22.5" customHeight="1">
      <c r="A576" s="6" t="s">
        <v>4552</v>
      </c>
      <c r="B576" s="6" t="s">
        <v>4553</v>
      </c>
      <c r="C576" s="6" t="s">
        <v>4554</v>
      </c>
      <c r="D576" s="6" t="s">
        <v>383</v>
      </c>
      <c r="E576" s="6" t="s">
        <v>147</v>
      </c>
      <c r="F576" s="8">
        <v>19.0</v>
      </c>
      <c r="G576" s="9">
        <v>1768.42</v>
      </c>
      <c r="H576" s="9">
        <v>9173.55</v>
      </c>
      <c r="I576" s="6" t="s">
        <v>161</v>
      </c>
      <c r="J576" s="6" t="s">
        <v>479</v>
      </c>
      <c r="K576" s="6" t="s">
        <v>4555</v>
      </c>
      <c r="L576" s="6">
        <v>5.7187919982E10</v>
      </c>
      <c r="M576" s="6" t="s">
        <v>4556</v>
      </c>
      <c r="N576" s="6" t="s">
        <v>176</v>
      </c>
      <c r="O576" s="6" t="s">
        <v>178</v>
      </c>
      <c r="P576" s="10">
        <v>45985.0</v>
      </c>
    </row>
    <row r="577" ht="22.5" customHeight="1">
      <c r="A577" s="6" t="s">
        <v>4558</v>
      </c>
      <c r="B577" s="6" t="s">
        <v>4559</v>
      </c>
      <c r="C577" s="6" t="s">
        <v>4560</v>
      </c>
      <c r="D577" s="6" t="s">
        <v>383</v>
      </c>
      <c r="E577" s="6" t="s">
        <v>147</v>
      </c>
      <c r="F577" s="8">
        <v>7.0</v>
      </c>
      <c r="G577" s="9">
        <v>1378.06</v>
      </c>
      <c r="H577" s="9">
        <v>9038.07</v>
      </c>
      <c r="I577" s="6" t="s">
        <v>161</v>
      </c>
      <c r="J577" s="6" t="s">
        <v>393</v>
      </c>
      <c r="K577" s="6" t="s">
        <v>4562</v>
      </c>
      <c r="L577" s="6">
        <v>5.3087700051E10</v>
      </c>
      <c r="M577" s="6" t="s">
        <v>4563</v>
      </c>
      <c r="N577" s="6" t="s">
        <v>112</v>
      </c>
      <c r="O577" s="6" t="s">
        <v>178</v>
      </c>
      <c r="P577" s="10">
        <v>46005.0</v>
      </c>
    </row>
    <row r="578" ht="22.5" customHeight="1">
      <c r="A578" s="6" t="s">
        <v>4564</v>
      </c>
      <c r="B578" s="6" t="s">
        <v>4565</v>
      </c>
      <c r="C578" s="6" t="s">
        <v>4566</v>
      </c>
      <c r="D578" s="6" t="s">
        <v>206</v>
      </c>
      <c r="E578" s="6" t="s">
        <v>210</v>
      </c>
      <c r="F578" s="8">
        <v>78.0</v>
      </c>
      <c r="G578" s="9">
        <v>1113.98</v>
      </c>
      <c r="H578" s="9">
        <v>8331.82</v>
      </c>
      <c r="I578" s="6" t="s">
        <v>178</v>
      </c>
      <c r="J578" s="6" t="s">
        <v>421</v>
      </c>
      <c r="K578" s="6" t="s">
        <v>4568</v>
      </c>
      <c r="L578" s="6">
        <v>3.7490662359E10</v>
      </c>
      <c r="M578" s="6" t="s">
        <v>4569</v>
      </c>
      <c r="N578" s="6" t="s">
        <v>176</v>
      </c>
      <c r="O578" s="6" t="s">
        <v>161</v>
      </c>
      <c r="P578" s="10">
        <v>45953.0</v>
      </c>
    </row>
    <row r="579" ht="22.5" customHeight="1">
      <c r="A579" s="6" t="s">
        <v>4570</v>
      </c>
      <c r="B579" s="6" t="s">
        <v>4572</v>
      </c>
      <c r="C579" s="6" t="s">
        <v>4573</v>
      </c>
      <c r="D579" s="6" t="s">
        <v>206</v>
      </c>
      <c r="E579" s="6" t="s">
        <v>147</v>
      </c>
      <c r="F579" s="8">
        <v>6.0</v>
      </c>
      <c r="G579" s="9">
        <v>569.3</v>
      </c>
      <c r="H579" s="9">
        <v>3520.47</v>
      </c>
      <c r="I579" s="6" t="s">
        <v>161</v>
      </c>
      <c r="J579" s="6" t="s">
        <v>465</v>
      </c>
      <c r="K579" s="6" t="s">
        <v>4574</v>
      </c>
      <c r="L579" s="6">
        <v>2.07443186E8</v>
      </c>
      <c r="M579" s="6" t="s">
        <v>4575</v>
      </c>
      <c r="N579" s="6" t="s">
        <v>112</v>
      </c>
      <c r="O579" s="6" t="s">
        <v>178</v>
      </c>
      <c r="P579" s="10">
        <v>45966.0</v>
      </c>
    </row>
    <row r="580" ht="22.5" customHeight="1">
      <c r="A580" s="6" t="s">
        <v>4576</v>
      </c>
      <c r="B580" s="6" t="s">
        <v>4577</v>
      </c>
      <c r="C580" s="6" t="s">
        <v>4578</v>
      </c>
      <c r="D580" s="6" t="s">
        <v>145</v>
      </c>
      <c r="E580" s="6" t="s">
        <v>147</v>
      </c>
      <c r="F580" s="8">
        <v>22.0</v>
      </c>
      <c r="G580" s="9">
        <v>1108.2</v>
      </c>
      <c r="H580" s="9">
        <v>2774.2</v>
      </c>
      <c r="I580" s="6" t="s">
        <v>161</v>
      </c>
      <c r="J580" s="6" t="s">
        <v>442</v>
      </c>
      <c r="K580" s="6" t="s">
        <v>4580</v>
      </c>
      <c r="L580" s="6">
        <v>7.1735843132E10</v>
      </c>
      <c r="M580" s="6" t="s">
        <v>4581</v>
      </c>
      <c r="N580" s="6" t="s">
        <v>427</v>
      </c>
      <c r="O580" s="6" t="s">
        <v>178</v>
      </c>
      <c r="P580" s="10">
        <v>45980.0</v>
      </c>
    </row>
    <row r="581" ht="22.5" customHeight="1">
      <c r="A581" s="6" t="s">
        <v>4582</v>
      </c>
      <c r="B581" s="6" t="s">
        <v>4583</v>
      </c>
      <c r="C581" s="6" t="s">
        <v>4584</v>
      </c>
      <c r="D581" s="6" t="s">
        <v>206</v>
      </c>
      <c r="E581" s="6" t="s">
        <v>301</v>
      </c>
      <c r="F581" s="8">
        <v>32.0</v>
      </c>
      <c r="G581" s="9">
        <v>1716.61</v>
      </c>
      <c r="H581" s="9">
        <v>8732.82</v>
      </c>
      <c r="I581" s="6" t="s">
        <v>161</v>
      </c>
      <c r="J581" s="6" t="s">
        <v>357</v>
      </c>
      <c r="K581" s="6" t="s">
        <v>4585</v>
      </c>
      <c r="L581" s="6">
        <v>9.2224072359E10</v>
      </c>
      <c r="M581" s="6" t="s">
        <v>4586</v>
      </c>
      <c r="N581" s="6" t="s">
        <v>283</v>
      </c>
      <c r="O581" s="6" t="s">
        <v>178</v>
      </c>
      <c r="P581" s="10">
        <v>46001.0</v>
      </c>
    </row>
    <row r="582" ht="22.5" customHeight="1">
      <c r="A582" s="6" t="s">
        <v>4588</v>
      </c>
      <c r="B582" s="6" t="s">
        <v>4589</v>
      </c>
      <c r="C582" s="6" t="s">
        <v>4590</v>
      </c>
      <c r="D582" s="6" t="s">
        <v>206</v>
      </c>
      <c r="E582" s="6" t="s">
        <v>147</v>
      </c>
      <c r="F582" s="8">
        <v>10.0</v>
      </c>
      <c r="G582" s="9">
        <v>1347.85</v>
      </c>
      <c r="H582" s="9">
        <v>12094.41</v>
      </c>
      <c r="I582" s="6" t="s">
        <v>178</v>
      </c>
      <c r="J582" s="6" t="s">
        <v>479</v>
      </c>
      <c r="K582" s="6" t="s">
        <v>4591</v>
      </c>
      <c r="L582" s="6">
        <v>8.9154875975E10</v>
      </c>
      <c r="M582" s="6" t="s">
        <v>4593</v>
      </c>
      <c r="N582" s="6" t="s">
        <v>112</v>
      </c>
      <c r="O582" s="6" t="s">
        <v>161</v>
      </c>
      <c r="P582" s="10">
        <v>46025.0</v>
      </c>
    </row>
    <row r="583" ht="22.5" customHeight="1">
      <c r="A583" s="6" t="s">
        <v>4594</v>
      </c>
      <c r="B583" s="6" t="s">
        <v>4595</v>
      </c>
      <c r="C583" s="6" t="s">
        <v>4596</v>
      </c>
      <c r="D583" s="6" t="s">
        <v>145</v>
      </c>
      <c r="E583" s="6" t="s">
        <v>210</v>
      </c>
      <c r="F583" s="8">
        <v>105.0</v>
      </c>
      <c r="G583" s="9">
        <v>855.48</v>
      </c>
      <c r="H583" s="9">
        <v>5512.44</v>
      </c>
      <c r="I583" s="6" t="s">
        <v>161</v>
      </c>
      <c r="J583" s="6" t="s">
        <v>421</v>
      </c>
      <c r="K583" s="6" t="s">
        <v>4597</v>
      </c>
      <c r="L583" s="6">
        <v>9.2000222523E10</v>
      </c>
      <c r="M583" s="6" t="s">
        <v>4598</v>
      </c>
      <c r="N583" s="6" t="s">
        <v>427</v>
      </c>
      <c r="O583" s="6" t="s">
        <v>161</v>
      </c>
      <c r="P583" s="10">
        <v>46023.0</v>
      </c>
    </row>
    <row r="584" ht="22.5" customHeight="1">
      <c r="A584" s="6" t="s">
        <v>4600</v>
      </c>
      <c r="B584" s="6" t="s">
        <v>4601</v>
      </c>
      <c r="C584" s="6" t="s">
        <v>4602</v>
      </c>
      <c r="D584" s="6" t="s">
        <v>145</v>
      </c>
      <c r="E584" s="6" t="s">
        <v>301</v>
      </c>
      <c r="F584" s="8">
        <v>52.0</v>
      </c>
      <c r="G584" s="9">
        <v>1516.17</v>
      </c>
      <c r="H584" s="9">
        <v>7831.23</v>
      </c>
      <c r="I584" s="6" t="s">
        <v>161</v>
      </c>
      <c r="J584" s="6" t="s">
        <v>357</v>
      </c>
      <c r="K584" s="6" t="s">
        <v>4603</v>
      </c>
      <c r="L584" s="6" t="s">
        <v>259</v>
      </c>
      <c r="M584" s="6" t="s">
        <v>4604</v>
      </c>
      <c r="N584" s="6" t="s">
        <v>259</v>
      </c>
      <c r="O584" s="6" t="s">
        <v>178</v>
      </c>
      <c r="P584" s="10">
        <v>45979.0</v>
      </c>
    </row>
    <row r="585" ht="22.5" customHeight="1">
      <c r="A585" s="6" t="s">
        <v>4605</v>
      </c>
      <c r="B585" s="6" t="s">
        <v>4606</v>
      </c>
      <c r="C585" s="6" t="s">
        <v>4607</v>
      </c>
      <c r="D585" s="6" t="s">
        <v>145</v>
      </c>
      <c r="E585" s="6" t="s">
        <v>301</v>
      </c>
      <c r="F585" s="8">
        <v>59.0</v>
      </c>
      <c r="G585" s="9">
        <v>559.83</v>
      </c>
      <c r="H585" s="9">
        <v>12603.85</v>
      </c>
      <c r="I585" s="6" t="s">
        <v>161</v>
      </c>
      <c r="J585" s="6" t="s">
        <v>312</v>
      </c>
      <c r="K585" s="6" t="s">
        <v>4609</v>
      </c>
      <c r="L585" s="6">
        <v>9.9476331643E10</v>
      </c>
      <c r="M585" s="6" t="s">
        <v>4610</v>
      </c>
      <c r="N585" s="6" t="s">
        <v>176</v>
      </c>
      <c r="O585" s="6" t="s">
        <v>178</v>
      </c>
      <c r="P585" s="10">
        <v>45937.0</v>
      </c>
    </row>
    <row r="586" ht="22.5" customHeight="1">
      <c r="A586" s="6" t="s">
        <v>4611</v>
      </c>
      <c r="B586" s="6" t="s">
        <v>4612</v>
      </c>
      <c r="C586" s="6" t="s">
        <v>4613</v>
      </c>
      <c r="D586" s="6" t="s">
        <v>145</v>
      </c>
      <c r="E586" s="6" t="s">
        <v>147</v>
      </c>
      <c r="F586" s="8">
        <v>12.0</v>
      </c>
      <c r="G586" s="9">
        <v>153.23</v>
      </c>
      <c r="H586" s="9">
        <v>6120.03</v>
      </c>
      <c r="I586" s="6" t="s">
        <v>161</v>
      </c>
      <c r="J586" s="6" t="s">
        <v>479</v>
      </c>
      <c r="K586" s="6" t="s">
        <v>4615</v>
      </c>
      <c r="L586" s="6">
        <v>7.7724175394E10</v>
      </c>
      <c r="M586" s="6" t="s">
        <v>4616</v>
      </c>
      <c r="N586" s="6" t="s">
        <v>176</v>
      </c>
      <c r="O586" s="6" t="s">
        <v>178</v>
      </c>
      <c r="P586" s="10">
        <v>46042.0</v>
      </c>
    </row>
    <row r="587" ht="22.5" customHeight="1">
      <c r="A587" s="6" t="s">
        <v>4617</v>
      </c>
      <c r="B587" s="6" t="s">
        <v>4618</v>
      </c>
      <c r="C587" s="6" t="s">
        <v>4619</v>
      </c>
      <c r="D587" s="6" t="s">
        <v>206</v>
      </c>
      <c r="E587" s="6" t="s">
        <v>301</v>
      </c>
      <c r="F587" s="8">
        <v>34.0</v>
      </c>
      <c r="G587" s="9">
        <v>370.04</v>
      </c>
      <c r="H587" s="9">
        <v>12400.6</v>
      </c>
      <c r="I587" s="6" t="s">
        <v>161</v>
      </c>
      <c r="J587" s="6" t="s">
        <v>442</v>
      </c>
      <c r="K587" s="6" t="s">
        <v>4620</v>
      </c>
      <c r="L587" s="6">
        <v>8.1023530276E10</v>
      </c>
      <c r="M587" s="6" t="s">
        <v>4621</v>
      </c>
      <c r="N587" s="6" t="s">
        <v>427</v>
      </c>
      <c r="O587" s="6" t="s">
        <v>178</v>
      </c>
      <c r="P587" s="10">
        <v>45941.0</v>
      </c>
    </row>
    <row r="588" ht="22.5" customHeight="1">
      <c r="A588" s="6" t="s">
        <v>4623</v>
      </c>
      <c r="B588" s="6" t="s">
        <v>4624</v>
      </c>
      <c r="C588" s="6" t="s">
        <v>4625</v>
      </c>
      <c r="D588" s="6" t="s">
        <v>206</v>
      </c>
      <c r="E588" s="6" t="s">
        <v>147</v>
      </c>
      <c r="F588" s="8">
        <v>18.0</v>
      </c>
      <c r="G588" s="9">
        <v>1614.37</v>
      </c>
      <c r="H588" s="9">
        <v>15373.38</v>
      </c>
      <c r="I588" s="6" t="s">
        <v>161</v>
      </c>
      <c r="J588" s="6" t="s">
        <v>357</v>
      </c>
      <c r="K588" s="6" t="s">
        <v>4626</v>
      </c>
      <c r="L588" s="6">
        <v>8.1783718091E10</v>
      </c>
      <c r="M588" s="6" t="s">
        <v>4627</v>
      </c>
      <c r="N588" s="6" t="s">
        <v>259</v>
      </c>
      <c r="O588" s="6" t="s">
        <v>178</v>
      </c>
      <c r="P588" s="10">
        <v>45989.0</v>
      </c>
    </row>
    <row r="589" ht="22.5" customHeight="1">
      <c r="A589" s="6" t="s">
        <v>4629</v>
      </c>
      <c r="B589" s="6" t="s">
        <v>4630</v>
      </c>
      <c r="C589" s="6" t="s">
        <v>4631</v>
      </c>
      <c r="D589" s="6" t="s">
        <v>206</v>
      </c>
      <c r="E589" s="6" t="s">
        <v>147</v>
      </c>
      <c r="F589" s="8">
        <v>13.0</v>
      </c>
      <c r="G589" s="9">
        <v>148.89</v>
      </c>
      <c r="H589" s="9">
        <v>13992.84</v>
      </c>
      <c r="I589" s="6" t="s">
        <v>161</v>
      </c>
      <c r="J589" s="6" t="s">
        <v>465</v>
      </c>
      <c r="K589" s="6" t="s">
        <v>4632</v>
      </c>
      <c r="L589" s="6">
        <v>4.5270816758E10</v>
      </c>
      <c r="M589" s="6" t="s">
        <v>4633</v>
      </c>
      <c r="N589" s="6" t="s">
        <v>283</v>
      </c>
      <c r="O589" s="6" t="s">
        <v>178</v>
      </c>
      <c r="P589" s="10">
        <v>45936.0</v>
      </c>
    </row>
    <row r="590" ht="22.5" customHeight="1">
      <c r="A590" s="6" t="s">
        <v>4635</v>
      </c>
      <c r="B590" s="6" t="s">
        <v>4636</v>
      </c>
      <c r="C590" s="6" t="s">
        <v>4637</v>
      </c>
      <c r="D590" s="6" t="s">
        <v>206</v>
      </c>
      <c r="E590" s="6" t="s">
        <v>301</v>
      </c>
      <c r="F590" s="8">
        <v>33.0</v>
      </c>
      <c r="G590" s="9">
        <v>1609.76</v>
      </c>
      <c r="H590" s="9">
        <v>8990.53</v>
      </c>
      <c r="I590" s="6" t="s">
        <v>161</v>
      </c>
      <c r="J590" s="6" t="s">
        <v>228</v>
      </c>
      <c r="K590" s="6" t="s">
        <v>4638</v>
      </c>
      <c r="L590" s="6">
        <v>4.8857780061E10</v>
      </c>
      <c r="M590" s="6" t="s">
        <v>4639</v>
      </c>
      <c r="N590" s="6" t="s">
        <v>176</v>
      </c>
      <c r="O590" s="6" t="s">
        <v>178</v>
      </c>
      <c r="P590" s="10">
        <v>46044.0</v>
      </c>
    </row>
    <row r="591" ht="22.5" customHeight="1">
      <c r="A591" s="6" t="s">
        <v>4641</v>
      </c>
      <c r="B591" s="6" t="s">
        <v>4642</v>
      </c>
      <c r="C591" s="6" t="s">
        <v>4643</v>
      </c>
      <c r="D591" s="6" t="s">
        <v>145</v>
      </c>
      <c r="E591" s="6" t="s">
        <v>147</v>
      </c>
      <c r="F591" s="8">
        <v>10.0</v>
      </c>
      <c r="G591" s="9">
        <v>529.5</v>
      </c>
      <c r="H591" s="9">
        <v>3011.5</v>
      </c>
      <c r="I591" s="6" t="s">
        <v>161</v>
      </c>
      <c r="J591" s="6" t="s">
        <v>577</v>
      </c>
      <c r="K591" s="6" t="s">
        <v>4644</v>
      </c>
      <c r="L591" s="6">
        <v>8.857478833E10</v>
      </c>
      <c r="M591" s="6" t="s">
        <v>4645</v>
      </c>
      <c r="N591" s="6" t="s">
        <v>283</v>
      </c>
      <c r="O591" s="6" t="s">
        <v>178</v>
      </c>
      <c r="P591" s="10">
        <v>46050.0</v>
      </c>
    </row>
    <row r="592" ht="22.5" customHeight="1">
      <c r="A592" s="6" t="s">
        <v>4647</v>
      </c>
      <c r="B592" s="6" t="s">
        <v>4648</v>
      </c>
      <c r="C592" s="6" t="s">
        <v>4649</v>
      </c>
      <c r="D592" s="6" t="s">
        <v>145</v>
      </c>
      <c r="E592" s="6" t="s">
        <v>210</v>
      </c>
      <c r="F592" s="8">
        <v>89.0</v>
      </c>
      <c r="G592" s="9">
        <v>1500.02</v>
      </c>
      <c r="H592" s="9">
        <v>7314.65</v>
      </c>
      <c r="I592" s="6" t="s">
        <v>178</v>
      </c>
      <c r="J592" s="6" t="s">
        <v>577</v>
      </c>
      <c r="K592" s="6" t="s">
        <v>4651</v>
      </c>
      <c r="L592" s="6">
        <v>8.0127956436E10</v>
      </c>
      <c r="M592" s="6" t="s">
        <v>4652</v>
      </c>
      <c r="N592" s="6" t="s">
        <v>176</v>
      </c>
      <c r="O592" s="6" t="s">
        <v>161</v>
      </c>
      <c r="P592" s="10">
        <v>46040.0</v>
      </c>
    </row>
    <row r="593" ht="22.5" customHeight="1">
      <c r="A593" s="6" t="s">
        <v>4653</v>
      </c>
      <c r="B593" s="6" t="s">
        <v>4654</v>
      </c>
      <c r="C593" s="6" t="s">
        <v>4655</v>
      </c>
      <c r="D593" s="6" t="s">
        <v>383</v>
      </c>
      <c r="E593" s="6" t="s">
        <v>147</v>
      </c>
      <c r="F593" s="8">
        <v>9.0</v>
      </c>
      <c r="G593" s="9">
        <v>1212.7</v>
      </c>
      <c r="H593" s="9">
        <v>6027.6</v>
      </c>
      <c r="I593" s="6" t="s">
        <v>161</v>
      </c>
      <c r="J593" s="6" t="s">
        <v>393</v>
      </c>
      <c r="K593" s="6" t="s">
        <v>4657</v>
      </c>
      <c r="L593" s="6">
        <v>9.1194585161E10</v>
      </c>
      <c r="M593" s="6" t="s">
        <v>4658</v>
      </c>
      <c r="N593" s="6" t="s">
        <v>176</v>
      </c>
      <c r="O593" s="6" t="s">
        <v>178</v>
      </c>
      <c r="P593" s="10">
        <v>46025.0</v>
      </c>
    </row>
    <row r="594" ht="22.5" customHeight="1">
      <c r="A594" s="6" t="s">
        <v>4659</v>
      </c>
      <c r="B594" s="6" t="s">
        <v>4660</v>
      </c>
      <c r="C594" s="6" t="s">
        <v>4661</v>
      </c>
      <c r="D594" s="6" t="s">
        <v>145</v>
      </c>
      <c r="E594" s="6" t="s">
        <v>210</v>
      </c>
      <c r="F594" s="8">
        <v>115.0</v>
      </c>
      <c r="G594" s="9">
        <v>1487.19</v>
      </c>
      <c r="H594" s="9">
        <v>10498.81</v>
      </c>
      <c r="I594" s="6" t="s">
        <v>178</v>
      </c>
      <c r="J594" s="6" t="s">
        <v>421</v>
      </c>
      <c r="K594" s="6" t="s">
        <v>4663</v>
      </c>
      <c r="L594" s="6">
        <v>9.4946662432E10</v>
      </c>
      <c r="M594" s="6" t="s">
        <v>4664</v>
      </c>
      <c r="N594" s="6" t="s">
        <v>176</v>
      </c>
      <c r="O594" s="6" t="s">
        <v>161</v>
      </c>
      <c r="P594" s="10">
        <v>46014.0</v>
      </c>
    </row>
    <row r="595" ht="22.5" customHeight="1">
      <c r="A595" s="6" t="s">
        <v>4666</v>
      </c>
      <c r="B595" s="6" t="s">
        <v>4667</v>
      </c>
      <c r="C595" s="6" t="s">
        <v>4668</v>
      </c>
      <c r="D595" s="6" t="s">
        <v>206</v>
      </c>
      <c r="E595" s="6" t="s">
        <v>147</v>
      </c>
      <c r="F595" s="8">
        <v>5.0</v>
      </c>
      <c r="G595" s="9">
        <v>824.62</v>
      </c>
      <c r="H595" s="9">
        <v>11815.63</v>
      </c>
      <c r="I595" s="6" t="s">
        <v>161</v>
      </c>
      <c r="J595" s="6" t="s">
        <v>228</v>
      </c>
      <c r="K595" s="6" t="s">
        <v>4669</v>
      </c>
      <c r="L595" s="6" t="s">
        <v>259</v>
      </c>
      <c r="M595" s="6" t="s">
        <v>4671</v>
      </c>
      <c r="N595" s="6" t="s">
        <v>283</v>
      </c>
      <c r="O595" s="6" t="s">
        <v>178</v>
      </c>
      <c r="P595" s="10">
        <v>45972.0</v>
      </c>
    </row>
    <row r="596" ht="22.5" customHeight="1">
      <c r="A596" s="6" t="s">
        <v>4672</v>
      </c>
      <c r="B596" s="6" t="s">
        <v>4673</v>
      </c>
      <c r="C596" s="6" t="s">
        <v>4674</v>
      </c>
      <c r="D596" s="6" t="s">
        <v>206</v>
      </c>
      <c r="E596" s="6" t="s">
        <v>147</v>
      </c>
      <c r="F596" s="8">
        <v>15.0</v>
      </c>
      <c r="G596" s="9">
        <v>109.92</v>
      </c>
      <c r="H596" s="9">
        <v>2974.57</v>
      </c>
      <c r="I596" s="6" t="s">
        <v>161</v>
      </c>
      <c r="J596" s="6" t="s">
        <v>312</v>
      </c>
      <c r="K596" s="6" t="s">
        <v>4676</v>
      </c>
      <c r="L596" s="6">
        <v>7.1040404873E10</v>
      </c>
      <c r="M596" s="6" t="s">
        <v>4677</v>
      </c>
      <c r="N596" s="6" t="s">
        <v>427</v>
      </c>
      <c r="O596" s="6" t="s">
        <v>178</v>
      </c>
      <c r="P596" s="10">
        <v>46003.0</v>
      </c>
    </row>
    <row r="597" ht="22.5" customHeight="1">
      <c r="A597" s="6" t="s">
        <v>4678</v>
      </c>
      <c r="B597" s="6" t="s">
        <v>4679</v>
      </c>
      <c r="C597" s="6" t="s">
        <v>4680</v>
      </c>
      <c r="D597" s="6" t="s">
        <v>383</v>
      </c>
      <c r="E597" s="6" t="s">
        <v>147</v>
      </c>
      <c r="F597" s="8">
        <v>6.0</v>
      </c>
      <c r="G597" s="9">
        <v>1695.3</v>
      </c>
      <c r="H597" s="9">
        <v>8140.59</v>
      </c>
      <c r="I597" s="6" t="s">
        <v>161</v>
      </c>
      <c r="J597" s="6" t="s">
        <v>421</v>
      </c>
      <c r="K597" s="6" t="s">
        <v>4682</v>
      </c>
      <c r="L597" s="6">
        <v>2.0604241194E10</v>
      </c>
      <c r="M597" s="6" t="s">
        <v>4683</v>
      </c>
      <c r="N597" s="6" t="s">
        <v>112</v>
      </c>
      <c r="O597" s="6" t="s">
        <v>178</v>
      </c>
      <c r="P597" s="10">
        <v>45957.0</v>
      </c>
    </row>
    <row r="598" ht="22.5" customHeight="1">
      <c r="A598" s="6" t="s">
        <v>4684</v>
      </c>
      <c r="B598" s="6" t="s">
        <v>4685</v>
      </c>
      <c r="C598" s="6" t="s">
        <v>4686</v>
      </c>
      <c r="D598" s="6" t="s">
        <v>145</v>
      </c>
      <c r="E598" s="6" t="s">
        <v>147</v>
      </c>
      <c r="F598" s="8">
        <v>21.0</v>
      </c>
      <c r="G598" s="9">
        <v>1775.63</v>
      </c>
      <c r="H598" s="9">
        <v>12917.16</v>
      </c>
      <c r="I598" s="6" t="s">
        <v>161</v>
      </c>
      <c r="J598" s="6" t="s">
        <v>479</v>
      </c>
      <c r="K598" s="6" t="s">
        <v>4688</v>
      </c>
      <c r="L598" s="6">
        <v>6.2133646667E10</v>
      </c>
      <c r="M598" s="6" t="s">
        <v>4689</v>
      </c>
      <c r="N598" s="6" t="s">
        <v>176</v>
      </c>
      <c r="O598" s="6" t="s">
        <v>178</v>
      </c>
      <c r="P598" s="10">
        <v>45967.0</v>
      </c>
    </row>
    <row r="599" ht="22.5" customHeight="1">
      <c r="A599" s="6" t="s">
        <v>4691</v>
      </c>
      <c r="B599" s="6" t="s">
        <v>4692</v>
      </c>
      <c r="C599" s="6" t="s">
        <v>4693</v>
      </c>
      <c r="D599" s="6" t="s">
        <v>145</v>
      </c>
      <c r="E599" s="6" t="s">
        <v>210</v>
      </c>
      <c r="F599" s="8">
        <v>107.0</v>
      </c>
      <c r="G599" s="9">
        <v>499.71</v>
      </c>
      <c r="H599" s="9">
        <v>6221.26</v>
      </c>
      <c r="I599" s="6" t="s">
        <v>161</v>
      </c>
      <c r="J599" s="6" t="s">
        <v>357</v>
      </c>
      <c r="K599" s="6" t="s">
        <v>4694</v>
      </c>
      <c r="L599" s="6" t="s">
        <v>259</v>
      </c>
      <c r="M599" s="6" t="s">
        <v>4696</v>
      </c>
      <c r="N599" s="6" t="s">
        <v>427</v>
      </c>
      <c r="O599" s="6" t="s">
        <v>161</v>
      </c>
      <c r="P599" s="10">
        <v>46029.0</v>
      </c>
    </row>
    <row r="600" ht="22.5" customHeight="1">
      <c r="A600" s="6" t="s">
        <v>4697</v>
      </c>
      <c r="B600" s="6" t="s">
        <v>4698</v>
      </c>
      <c r="C600" s="6" t="s">
        <v>4699</v>
      </c>
      <c r="D600" s="6" t="s">
        <v>206</v>
      </c>
      <c r="E600" s="6" t="s">
        <v>147</v>
      </c>
      <c r="F600" s="8">
        <v>5.0</v>
      </c>
      <c r="G600" s="9">
        <v>1121.27</v>
      </c>
      <c r="H600" s="9">
        <v>11745.64</v>
      </c>
      <c r="I600" s="6" t="s">
        <v>161</v>
      </c>
      <c r="J600" s="6" t="s">
        <v>163</v>
      </c>
      <c r="K600" s="6" t="s">
        <v>259</v>
      </c>
      <c r="L600" s="6">
        <v>2.6877919432E10</v>
      </c>
      <c r="M600" s="6" t="s">
        <v>4701</v>
      </c>
      <c r="N600" s="6" t="s">
        <v>283</v>
      </c>
      <c r="O600" s="6" t="s">
        <v>178</v>
      </c>
      <c r="P600" s="10">
        <v>46002.0</v>
      </c>
    </row>
    <row r="601" ht="22.5" customHeight="1">
      <c r="A601" s="6" t="s">
        <v>4702</v>
      </c>
      <c r="B601" s="6" t="s">
        <v>4703</v>
      </c>
      <c r="C601" s="6" t="s">
        <v>4704</v>
      </c>
      <c r="D601" s="6" t="s">
        <v>206</v>
      </c>
      <c r="E601" s="6" t="s">
        <v>147</v>
      </c>
      <c r="F601" s="8">
        <v>15.0</v>
      </c>
      <c r="G601" s="9">
        <v>1410.9</v>
      </c>
      <c r="H601" s="9">
        <v>13459.32</v>
      </c>
      <c r="I601" s="6" t="s">
        <v>161</v>
      </c>
      <c r="J601" s="6" t="s">
        <v>4705</v>
      </c>
      <c r="K601" s="6" t="s">
        <v>4707</v>
      </c>
      <c r="L601" s="6">
        <v>4.7278900892E10</v>
      </c>
      <c r="M601" s="6" t="s">
        <v>4708</v>
      </c>
      <c r="N601" s="6" t="s">
        <v>427</v>
      </c>
      <c r="O601" s="6" t="s">
        <v>178</v>
      </c>
      <c r="P601" s="10">
        <v>45948.0</v>
      </c>
    </row>
    <row r="602" ht="22.5" customHeight="1">
      <c r="A602" s="6" t="s">
        <v>4709</v>
      </c>
      <c r="B602" s="6" t="s">
        <v>4710</v>
      </c>
      <c r="C602" s="6" t="s">
        <v>4711</v>
      </c>
      <c r="D602" s="6" t="s">
        <v>206</v>
      </c>
      <c r="E602" s="6" t="s">
        <v>147</v>
      </c>
      <c r="F602" s="8">
        <v>22.0</v>
      </c>
      <c r="G602" s="9">
        <v>1652.08</v>
      </c>
      <c r="H602" s="9">
        <v>9330.37</v>
      </c>
      <c r="I602" s="6" t="s">
        <v>161</v>
      </c>
      <c r="J602" s="6" t="s">
        <v>442</v>
      </c>
      <c r="K602" s="6" t="s">
        <v>4713</v>
      </c>
      <c r="L602" s="6">
        <v>1.0319218786E10</v>
      </c>
      <c r="M602" s="6" t="s">
        <v>4714</v>
      </c>
      <c r="N602" s="6" t="s">
        <v>427</v>
      </c>
      <c r="O602" s="6" t="s">
        <v>178</v>
      </c>
      <c r="P602" s="10">
        <v>46002.0</v>
      </c>
    </row>
    <row r="603" ht="22.5" customHeight="1">
      <c r="A603" s="6" t="s">
        <v>4716</v>
      </c>
      <c r="B603" s="6" t="s">
        <v>4717</v>
      </c>
      <c r="C603" s="6" t="s">
        <v>4718</v>
      </c>
      <c r="D603" s="6" t="s">
        <v>206</v>
      </c>
      <c r="E603" s="6" t="s">
        <v>147</v>
      </c>
      <c r="F603" s="8">
        <v>9.0</v>
      </c>
      <c r="G603" s="9">
        <v>144.81</v>
      </c>
      <c r="H603" s="9">
        <v>3664.46</v>
      </c>
      <c r="I603" s="6" t="s">
        <v>161</v>
      </c>
      <c r="J603" s="6" t="s">
        <v>465</v>
      </c>
      <c r="K603" s="6" t="s">
        <v>4720</v>
      </c>
      <c r="L603" s="6">
        <v>7.8509714421E10</v>
      </c>
      <c r="M603" s="6" t="s">
        <v>4721</v>
      </c>
      <c r="N603" s="6" t="s">
        <v>176</v>
      </c>
      <c r="O603" s="6" t="s">
        <v>178</v>
      </c>
      <c r="P603" s="10">
        <v>46028.0</v>
      </c>
    </row>
    <row r="604" ht="22.5" customHeight="1">
      <c r="A604" s="6" t="s">
        <v>4722</v>
      </c>
      <c r="B604" s="6" t="s">
        <v>4724</v>
      </c>
      <c r="C604" s="6" t="s">
        <v>4725</v>
      </c>
      <c r="D604" s="6" t="s">
        <v>145</v>
      </c>
      <c r="E604" s="6" t="s">
        <v>301</v>
      </c>
      <c r="F604" s="8">
        <v>46.0</v>
      </c>
      <c r="G604" s="9">
        <v>1229.36</v>
      </c>
      <c r="H604" s="9">
        <v>11145.7</v>
      </c>
      <c r="I604" s="6" t="s">
        <v>161</v>
      </c>
      <c r="J604" s="6" t="s">
        <v>312</v>
      </c>
      <c r="K604" s="6" t="s">
        <v>4726</v>
      </c>
      <c r="L604" s="6">
        <v>1.9400943044E10</v>
      </c>
      <c r="M604" s="6" t="s">
        <v>4728</v>
      </c>
      <c r="N604" s="6" t="s">
        <v>427</v>
      </c>
      <c r="O604" s="6" t="s">
        <v>178</v>
      </c>
      <c r="P604" s="10">
        <v>45995.0</v>
      </c>
    </row>
    <row r="605" ht="22.5" customHeight="1">
      <c r="A605" s="6" t="s">
        <v>4729</v>
      </c>
      <c r="B605" s="6" t="s">
        <v>4730</v>
      </c>
      <c r="C605" s="6" t="s">
        <v>4731</v>
      </c>
      <c r="D605" s="6" t="s">
        <v>145</v>
      </c>
      <c r="E605" s="6" t="s">
        <v>301</v>
      </c>
      <c r="F605" s="8">
        <v>51.0</v>
      </c>
      <c r="G605" s="9">
        <v>558.96</v>
      </c>
      <c r="H605" s="9">
        <v>13140.32</v>
      </c>
      <c r="I605" s="6" t="s">
        <v>161</v>
      </c>
      <c r="J605" s="6" t="s">
        <v>357</v>
      </c>
      <c r="K605" s="6" t="s">
        <v>4732</v>
      </c>
      <c r="L605" s="6">
        <v>4.979181634E9</v>
      </c>
      <c r="M605" s="6" t="s">
        <v>4734</v>
      </c>
      <c r="N605" s="6" t="s">
        <v>259</v>
      </c>
      <c r="O605" s="6" t="s">
        <v>178</v>
      </c>
      <c r="P605" s="10">
        <v>45963.0</v>
      </c>
    </row>
    <row r="606" ht="22.5" customHeight="1">
      <c r="A606" s="6" t="s">
        <v>4735</v>
      </c>
      <c r="B606" s="6" t="s">
        <v>4736</v>
      </c>
      <c r="C606" s="6" t="s">
        <v>4737</v>
      </c>
      <c r="D606" s="6" t="s">
        <v>383</v>
      </c>
      <c r="E606" s="6" t="s">
        <v>301</v>
      </c>
      <c r="F606" s="8">
        <v>45.0</v>
      </c>
      <c r="G606" s="9">
        <v>1287.99</v>
      </c>
      <c r="H606" s="9">
        <v>13025.53</v>
      </c>
      <c r="I606" s="6" t="s">
        <v>161</v>
      </c>
      <c r="J606" s="6" t="s">
        <v>228</v>
      </c>
      <c r="K606" s="6" t="s">
        <v>4738</v>
      </c>
      <c r="L606" s="6">
        <v>9.626852634E9</v>
      </c>
      <c r="M606" s="6" t="s">
        <v>4739</v>
      </c>
      <c r="N606" s="6" t="s">
        <v>176</v>
      </c>
      <c r="O606" s="6" t="s">
        <v>178</v>
      </c>
      <c r="P606" s="10">
        <v>46028.0</v>
      </c>
    </row>
    <row r="607" ht="22.5" customHeight="1">
      <c r="A607" s="6" t="s">
        <v>4741</v>
      </c>
      <c r="B607" s="6" t="s">
        <v>4742</v>
      </c>
      <c r="C607" s="6" t="s">
        <v>4743</v>
      </c>
      <c r="D607" s="6" t="s">
        <v>206</v>
      </c>
      <c r="E607" s="6" t="s">
        <v>210</v>
      </c>
      <c r="F607" s="8">
        <v>108.0</v>
      </c>
      <c r="G607" s="9">
        <v>886.84</v>
      </c>
      <c r="H607" s="9">
        <v>2492.7</v>
      </c>
      <c r="I607" s="6" t="s">
        <v>161</v>
      </c>
      <c r="J607" s="6" t="s">
        <v>312</v>
      </c>
      <c r="K607" s="6" t="s">
        <v>4744</v>
      </c>
      <c r="L607" s="6">
        <v>6.6501995633E10</v>
      </c>
      <c r="M607" s="6" t="s">
        <v>4745</v>
      </c>
      <c r="N607" s="6" t="s">
        <v>112</v>
      </c>
      <c r="O607" s="6" t="s">
        <v>161</v>
      </c>
      <c r="P607" s="10">
        <v>46046.0</v>
      </c>
    </row>
    <row r="608" ht="22.5" customHeight="1">
      <c r="A608" s="6" t="s">
        <v>4746</v>
      </c>
      <c r="B608" s="6" t="s">
        <v>4747</v>
      </c>
      <c r="C608" s="6" t="s">
        <v>4748</v>
      </c>
      <c r="D608" s="6" t="s">
        <v>145</v>
      </c>
      <c r="E608" s="6" t="s">
        <v>301</v>
      </c>
      <c r="F608" s="8">
        <v>56.0</v>
      </c>
      <c r="G608" s="9">
        <v>750.63</v>
      </c>
      <c r="H608" s="9">
        <v>8694.39</v>
      </c>
      <c r="I608" s="6" t="s">
        <v>161</v>
      </c>
      <c r="J608" s="6" t="s">
        <v>312</v>
      </c>
      <c r="K608" s="6" t="s">
        <v>4750</v>
      </c>
      <c r="L608" s="6" t="s">
        <v>259</v>
      </c>
      <c r="M608" s="6" t="s">
        <v>4751</v>
      </c>
      <c r="N608" s="6" t="s">
        <v>259</v>
      </c>
      <c r="O608" s="6" t="s">
        <v>178</v>
      </c>
      <c r="P608" s="10">
        <v>46030.0</v>
      </c>
    </row>
    <row r="609" ht="22.5" customHeight="1">
      <c r="A609" s="6" t="s">
        <v>4753</v>
      </c>
      <c r="B609" s="6" t="s">
        <v>4754</v>
      </c>
      <c r="C609" s="6" t="s">
        <v>4755</v>
      </c>
      <c r="D609" s="6" t="s">
        <v>145</v>
      </c>
      <c r="E609" s="6" t="s">
        <v>147</v>
      </c>
      <c r="F609" s="8">
        <v>18.0</v>
      </c>
      <c r="G609" s="9">
        <v>1076.86</v>
      </c>
      <c r="H609" s="9">
        <v>12742.18</v>
      </c>
      <c r="I609" s="6" t="s">
        <v>161</v>
      </c>
      <c r="J609" s="6" t="s">
        <v>1787</v>
      </c>
      <c r="K609" s="6" t="s">
        <v>4756</v>
      </c>
      <c r="L609" s="6">
        <v>6.6059970428E10</v>
      </c>
      <c r="M609" s="6" t="s">
        <v>4757</v>
      </c>
      <c r="N609" s="6" t="s">
        <v>427</v>
      </c>
      <c r="O609" s="6" t="s">
        <v>178</v>
      </c>
      <c r="P609" s="10">
        <v>46038.0</v>
      </c>
    </row>
    <row r="610" ht="22.5" customHeight="1">
      <c r="A610" s="6" t="s">
        <v>4759</v>
      </c>
      <c r="B610" s="6" t="s">
        <v>4760</v>
      </c>
      <c r="C610" s="6" t="s">
        <v>4761</v>
      </c>
      <c r="D610" s="6" t="s">
        <v>145</v>
      </c>
      <c r="E610" s="6" t="s">
        <v>210</v>
      </c>
      <c r="F610" s="8">
        <v>62.0</v>
      </c>
      <c r="G610" s="9">
        <v>763.79</v>
      </c>
      <c r="H610" s="9">
        <v>12305.48</v>
      </c>
      <c r="I610" s="6" t="s">
        <v>178</v>
      </c>
      <c r="J610" s="6" t="s">
        <v>393</v>
      </c>
      <c r="K610" s="6" t="s">
        <v>4762</v>
      </c>
      <c r="L610" s="6">
        <v>5.2367672871E10</v>
      </c>
      <c r="M610" s="6" t="s">
        <v>4763</v>
      </c>
      <c r="N610" s="6" t="s">
        <v>259</v>
      </c>
      <c r="O610" s="6" t="s">
        <v>161</v>
      </c>
      <c r="P610" s="10">
        <v>45999.0</v>
      </c>
    </row>
    <row r="611" ht="22.5" customHeight="1">
      <c r="A611" s="6" t="s">
        <v>4765</v>
      </c>
      <c r="B611" s="6" t="s">
        <v>4766</v>
      </c>
      <c r="C611" s="6" t="s">
        <v>4767</v>
      </c>
      <c r="D611" s="6" t="s">
        <v>206</v>
      </c>
      <c r="E611" s="6" t="s">
        <v>301</v>
      </c>
      <c r="F611" s="8">
        <v>49.0</v>
      </c>
      <c r="G611" s="9">
        <v>290.53</v>
      </c>
      <c r="H611" s="9">
        <v>9973.69</v>
      </c>
      <c r="I611" s="6" t="s">
        <v>161</v>
      </c>
      <c r="J611" s="6" t="s">
        <v>577</v>
      </c>
      <c r="K611" s="6" t="s">
        <v>4768</v>
      </c>
      <c r="L611" s="6">
        <v>1.0299857838E10</v>
      </c>
      <c r="M611" s="6" t="s">
        <v>4769</v>
      </c>
      <c r="N611" s="6" t="s">
        <v>283</v>
      </c>
      <c r="O611" s="6" t="s">
        <v>178</v>
      </c>
      <c r="P611" s="10">
        <v>46050.0</v>
      </c>
    </row>
    <row r="612" ht="22.5" customHeight="1">
      <c r="A612" s="6" t="s">
        <v>4771</v>
      </c>
      <c r="B612" s="6" t="s">
        <v>4772</v>
      </c>
      <c r="C612" s="6" t="s">
        <v>4773</v>
      </c>
      <c r="D612" s="6" t="s">
        <v>145</v>
      </c>
      <c r="E612" s="6" t="s">
        <v>147</v>
      </c>
      <c r="F612" s="8">
        <v>29.0</v>
      </c>
      <c r="G612" s="9">
        <v>1067.3</v>
      </c>
      <c r="H612" s="9">
        <v>8558.9</v>
      </c>
      <c r="I612" s="6" t="s">
        <v>161</v>
      </c>
      <c r="J612" s="6" t="s">
        <v>442</v>
      </c>
      <c r="K612" s="6" t="s">
        <v>259</v>
      </c>
      <c r="L612" s="6">
        <v>8.176772659E9</v>
      </c>
      <c r="M612" s="6" t="s">
        <v>4774</v>
      </c>
      <c r="N612" s="6" t="s">
        <v>259</v>
      </c>
      <c r="O612" s="6" t="s">
        <v>178</v>
      </c>
      <c r="P612" s="10">
        <v>45969.0</v>
      </c>
    </row>
    <row r="613" ht="22.5" customHeight="1">
      <c r="A613" s="6" t="s">
        <v>4776</v>
      </c>
      <c r="B613" s="6" t="s">
        <v>4777</v>
      </c>
      <c r="C613" s="6" t="s">
        <v>4778</v>
      </c>
      <c r="D613" s="6" t="s">
        <v>206</v>
      </c>
      <c r="E613" s="6" t="s">
        <v>301</v>
      </c>
      <c r="F613" s="8">
        <v>34.0</v>
      </c>
      <c r="G613" s="9">
        <v>1216.81</v>
      </c>
      <c r="H613" s="9">
        <v>3918.53</v>
      </c>
      <c r="I613" s="6" t="s">
        <v>161</v>
      </c>
      <c r="J613" s="6" t="s">
        <v>442</v>
      </c>
      <c r="K613" s="6" t="s">
        <v>259</v>
      </c>
      <c r="L613" s="6">
        <v>7.8876185715E10</v>
      </c>
      <c r="M613" s="6" t="s">
        <v>4780</v>
      </c>
      <c r="N613" s="6" t="s">
        <v>283</v>
      </c>
      <c r="O613" s="6" t="s">
        <v>178</v>
      </c>
      <c r="P613" s="10">
        <v>46029.0</v>
      </c>
    </row>
    <row r="614" ht="22.5" customHeight="1">
      <c r="A614" s="6" t="s">
        <v>4781</v>
      </c>
      <c r="B614" s="6" t="s">
        <v>4782</v>
      </c>
      <c r="C614" s="6" t="s">
        <v>4783</v>
      </c>
      <c r="D614" s="6" t="s">
        <v>206</v>
      </c>
      <c r="E614" s="6" t="s">
        <v>147</v>
      </c>
      <c r="F614" s="8">
        <v>22.0</v>
      </c>
      <c r="G614" s="9">
        <v>1109.71</v>
      </c>
      <c r="H614" s="9">
        <v>10813.73</v>
      </c>
      <c r="I614" s="6" t="s">
        <v>161</v>
      </c>
      <c r="J614" s="6" t="s">
        <v>421</v>
      </c>
      <c r="K614" s="6" t="s">
        <v>4785</v>
      </c>
      <c r="L614" s="6">
        <v>2.3138079715E10</v>
      </c>
      <c r="M614" s="6" t="s">
        <v>4786</v>
      </c>
      <c r="N614" s="6" t="s">
        <v>176</v>
      </c>
      <c r="O614" s="6" t="s">
        <v>178</v>
      </c>
      <c r="P614" s="10">
        <v>45980.0</v>
      </c>
    </row>
    <row r="615" ht="22.5" customHeight="1">
      <c r="A615" s="6" t="s">
        <v>4787</v>
      </c>
      <c r="B615" s="6" t="s">
        <v>4788</v>
      </c>
      <c r="C615" s="6" t="s">
        <v>4789</v>
      </c>
      <c r="D615" s="6" t="s">
        <v>145</v>
      </c>
      <c r="E615" s="6" t="s">
        <v>147</v>
      </c>
      <c r="F615" s="8">
        <v>15.0</v>
      </c>
      <c r="G615" s="9">
        <v>1118.36</v>
      </c>
      <c r="H615" s="9">
        <v>8208.29</v>
      </c>
      <c r="I615" s="6" t="s">
        <v>161</v>
      </c>
      <c r="J615" s="6" t="s">
        <v>312</v>
      </c>
      <c r="K615" s="6" t="s">
        <v>4791</v>
      </c>
      <c r="L615" s="6">
        <v>4.7177259879E10</v>
      </c>
      <c r="M615" s="6" t="s">
        <v>4792</v>
      </c>
      <c r="N615" s="6" t="s">
        <v>259</v>
      </c>
      <c r="O615" s="6" t="s">
        <v>178</v>
      </c>
      <c r="P615" s="10">
        <v>45935.0</v>
      </c>
    </row>
    <row r="616" ht="22.5" customHeight="1">
      <c r="A616" s="6" t="s">
        <v>4793</v>
      </c>
      <c r="B616" s="6" t="s">
        <v>4795</v>
      </c>
      <c r="C616" s="6" t="s">
        <v>4796</v>
      </c>
      <c r="D616" s="6" t="s">
        <v>145</v>
      </c>
      <c r="E616" s="6" t="s">
        <v>301</v>
      </c>
      <c r="F616" s="8">
        <v>47.0</v>
      </c>
      <c r="G616" s="9">
        <v>1157.97</v>
      </c>
      <c r="H616" s="9">
        <v>13304.55</v>
      </c>
      <c r="I616" s="6" t="s">
        <v>161</v>
      </c>
      <c r="J616" s="6" t="s">
        <v>479</v>
      </c>
      <c r="K616" s="6" t="s">
        <v>4797</v>
      </c>
      <c r="L616" s="6">
        <v>4.9752963048E10</v>
      </c>
      <c r="M616" s="6" t="s">
        <v>4798</v>
      </c>
      <c r="N616" s="6" t="s">
        <v>176</v>
      </c>
      <c r="O616" s="6" t="s">
        <v>178</v>
      </c>
      <c r="P616" s="10">
        <v>45991.0</v>
      </c>
    </row>
    <row r="617" ht="22.5" customHeight="1">
      <c r="A617" s="6" t="s">
        <v>4800</v>
      </c>
      <c r="B617" s="6" t="s">
        <v>4801</v>
      </c>
      <c r="C617" s="6" t="s">
        <v>4802</v>
      </c>
      <c r="D617" s="6" t="s">
        <v>145</v>
      </c>
      <c r="E617" s="6" t="s">
        <v>147</v>
      </c>
      <c r="F617" s="8">
        <v>21.0</v>
      </c>
      <c r="G617" s="9">
        <v>1070.45</v>
      </c>
      <c r="H617" s="9">
        <v>9009.95</v>
      </c>
      <c r="I617" s="6" t="s">
        <v>178</v>
      </c>
      <c r="J617" s="6" t="s">
        <v>442</v>
      </c>
      <c r="K617" s="6" t="s">
        <v>4803</v>
      </c>
      <c r="L617" s="6">
        <v>3.4568644288E10</v>
      </c>
      <c r="M617" s="6" t="s">
        <v>4804</v>
      </c>
      <c r="N617" s="6" t="s">
        <v>112</v>
      </c>
      <c r="O617" s="6" t="s">
        <v>161</v>
      </c>
      <c r="P617" s="10">
        <v>46051.0</v>
      </c>
    </row>
    <row r="618" ht="22.5" customHeight="1">
      <c r="A618" s="6" t="s">
        <v>4805</v>
      </c>
      <c r="B618" s="6" t="s">
        <v>4806</v>
      </c>
      <c r="C618" s="6" t="s">
        <v>4808</v>
      </c>
      <c r="D618" s="6" t="s">
        <v>206</v>
      </c>
      <c r="E618" s="6" t="s">
        <v>210</v>
      </c>
      <c r="F618" s="8">
        <v>62.0</v>
      </c>
      <c r="G618" s="9">
        <v>988.12</v>
      </c>
      <c r="H618" s="9">
        <v>3397.02</v>
      </c>
      <c r="I618" s="6" t="s">
        <v>178</v>
      </c>
      <c r="J618" s="6" t="s">
        <v>1693</v>
      </c>
      <c r="K618" s="6" t="s">
        <v>4809</v>
      </c>
      <c r="L618" s="6">
        <v>3.1375217868E10</v>
      </c>
      <c r="M618" s="6" t="s">
        <v>4810</v>
      </c>
      <c r="N618" s="6" t="s">
        <v>176</v>
      </c>
      <c r="O618" s="6" t="s">
        <v>161</v>
      </c>
      <c r="P618" s="10">
        <v>46039.0</v>
      </c>
    </row>
    <row r="619" ht="22.5" customHeight="1">
      <c r="A619" s="6" t="s">
        <v>4812</v>
      </c>
      <c r="B619" s="6" t="s">
        <v>4813</v>
      </c>
      <c r="C619" s="6" t="s">
        <v>4814</v>
      </c>
      <c r="D619" s="6" t="s">
        <v>206</v>
      </c>
      <c r="E619" s="6" t="s">
        <v>147</v>
      </c>
      <c r="F619" s="8">
        <v>20.0</v>
      </c>
      <c r="G619" s="9">
        <v>1599.76</v>
      </c>
      <c r="H619" s="9">
        <v>5352.41</v>
      </c>
      <c r="I619" s="6" t="s">
        <v>161</v>
      </c>
      <c r="J619" s="6" t="s">
        <v>442</v>
      </c>
      <c r="K619" s="6" t="s">
        <v>4815</v>
      </c>
      <c r="L619" s="6">
        <v>8.1814264517E10</v>
      </c>
      <c r="M619" s="6" t="s">
        <v>4816</v>
      </c>
      <c r="N619" s="6" t="s">
        <v>176</v>
      </c>
      <c r="O619" s="6" t="s">
        <v>178</v>
      </c>
      <c r="P619" s="10">
        <v>45981.0</v>
      </c>
    </row>
    <row r="620" ht="22.5" customHeight="1">
      <c r="A620" s="6" t="s">
        <v>4818</v>
      </c>
      <c r="B620" s="6" t="s">
        <v>4819</v>
      </c>
      <c r="C620" s="6" t="s">
        <v>4820</v>
      </c>
      <c r="D620" s="6" t="s">
        <v>206</v>
      </c>
      <c r="E620" s="6" t="s">
        <v>210</v>
      </c>
      <c r="F620" s="8">
        <v>79.0</v>
      </c>
      <c r="G620" s="9">
        <v>698.12</v>
      </c>
      <c r="H620" s="9">
        <v>1114.71</v>
      </c>
      <c r="I620" s="6" t="s">
        <v>161</v>
      </c>
      <c r="J620" s="6" t="s">
        <v>163</v>
      </c>
      <c r="K620" s="6" t="s">
        <v>4822</v>
      </c>
      <c r="L620" s="6">
        <v>8.0861168059E10</v>
      </c>
      <c r="M620" s="6" t="s">
        <v>4823</v>
      </c>
      <c r="N620" s="6" t="s">
        <v>112</v>
      </c>
      <c r="O620" s="6" t="s">
        <v>161</v>
      </c>
      <c r="P620" s="10">
        <v>46025.0</v>
      </c>
    </row>
    <row r="621" ht="22.5" customHeight="1">
      <c r="A621" s="6" t="s">
        <v>4824</v>
      </c>
      <c r="B621" s="6" t="s">
        <v>4825</v>
      </c>
      <c r="C621" s="6" t="s">
        <v>4827</v>
      </c>
      <c r="D621" s="6" t="s">
        <v>206</v>
      </c>
      <c r="E621" s="6" t="s">
        <v>210</v>
      </c>
      <c r="F621" s="8">
        <v>95.0</v>
      </c>
      <c r="G621" s="9">
        <v>174.82</v>
      </c>
      <c r="H621" s="9">
        <v>4856.74</v>
      </c>
      <c r="I621" s="6" t="s">
        <v>161</v>
      </c>
      <c r="J621" s="6" t="s">
        <v>357</v>
      </c>
      <c r="K621" s="6" t="s">
        <v>4828</v>
      </c>
      <c r="L621" s="6">
        <v>9.8808827656E10</v>
      </c>
      <c r="M621" s="6" t="s">
        <v>4829</v>
      </c>
      <c r="N621" s="6" t="s">
        <v>112</v>
      </c>
      <c r="O621" s="6" t="s">
        <v>161</v>
      </c>
      <c r="P621" s="10">
        <v>46021.0</v>
      </c>
    </row>
    <row r="622" ht="22.5" customHeight="1">
      <c r="A622" s="6" t="s">
        <v>4831</v>
      </c>
      <c r="B622" s="6" t="s">
        <v>4832</v>
      </c>
      <c r="C622" s="6" t="s">
        <v>4833</v>
      </c>
      <c r="D622" s="6" t="s">
        <v>383</v>
      </c>
      <c r="E622" s="6" t="s">
        <v>147</v>
      </c>
      <c r="F622" s="8">
        <v>10.0</v>
      </c>
      <c r="G622" s="9">
        <v>812.15</v>
      </c>
      <c r="H622" s="9">
        <v>4899.24</v>
      </c>
      <c r="I622" s="6" t="s">
        <v>161</v>
      </c>
      <c r="J622" s="6" t="s">
        <v>577</v>
      </c>
      <c r="K622" s="6" t="s">
        <v>4835</v>
      </c>
      <c r="L622" s="6">
        <v>6.4803994315E10</v>
      </c>
      <c r="M622" s="6" t="s">
        <v>4836</v>
      </c>
      <c r="N622" s="6" t="s">
        <v>112</v>
      </c>
      <c r="O622" s="6" t="s">
        <v>178</v>
      </c>
      <c r="P622" s="10">
        <v>45961.0</v>
      </c>
    </row>
    <row r="623" ht="22.5" customHeight="1">
      <c r="A623" s="6" t="s">
        <v>4837</v>
      </c>
      <c r="B623" s="6" t="s">
        <v>4838</v>
      </c>
      <c r="C623" s="6" t="s">
        <v>4839</v>
      </c>
      <c r="D623" s="6" t="s">
        <v>145</v>
      </c>
      <c r="E623" s="6" t="s">
        <v>147</v>
      </c>
      <c r="F623" s="8">
        <v>10.0</v>
      </c>
      <c r="G623" s="9">
        <v>529.11</v>
      </c>
      <c r="H623" s="9">
        <v>7154.53</v>
      </c>
      <c r="I623" s="6" t="s">
        <v>161</v>
      </c>
      <c r="J623" s="6" t="s">
        <v>259</v>
      </c>
      <c r="K623" s="6" t="s">
        <v>4841</v>
      </c>
      <c r="L623" s="6">
        <v>7.2024826813E10</v>
      </c>
      <c r="M623" s="6" t="s">
        <v>4842</v>
      </c>
      <c r="N623" s="6" t="s">
        <v>112</v>
      </c>
      <c r="O623" s="6" t="s">
        <v>178</v>
      </c>
      <c r="P623" s="10">
        <v>46008.0</v>
      </c>
    </row>
    <row r="624" ht="22.5" customHeight="1">
      <c r="A624" s="6" t="s">
        <v>4844</v>
      </c>
      <c r="B624" s="6" t="s">
        <v>4845</v>
      </c>
      <c r="C624" s="6" t="s">
        <v>4846</v>
      </c>
      <c r="D624" s="6" t="s">
        <v>145</v>
      </c>
      <c r="E624" s="6" t="s">
        <v>301</v>
      </c>
      <c r="F624" s="8">
        <v>50.0</v>
      </c>
      <c r="G624" s="9">
        <v>217.97</v>
      </c>
      <c r="H624" s="9">
        <v>13081.29</v>
      </c>
      <c r="I624" s="6" t="s">
        <v>161</v>
      </c>
      <c r="J624" s="6" t="s">
        <v>421</v>
      </c>
      <c r="K624" s="6" t="s">
        <v>4847</v>
      </c>
      <c r="L624" s="6">
        <v>4.7697804997E10</v>
      </c>
      <c r="M624" s="6" t="s">
        <v>4849</v>
      </c>
      <c r="N624" s="6" t="s">
        <v>112</v>
      </c>
      <c r="O624" s="6" t="s">
        <v>178</v>
      </c>
      <c r="P624" s="10">
        <v>45937.0</v>
      </c>
    </row>
    <row r="625" ht="22.5" customHeight="1">
      <c r="A625" s="6" t="s">
        <v>4850</v>
      </c>
      <c r="B625" s="6" t="s">
        <v>4851</v>
      </c>
      <c r="C625" s="6" t="s">
        <v>4852</v>
      </c>
      <c r="D625" s="6" t="s">
        <v>145</v>
      </c>
      <c r="E625" s="6" t="s">
        <v>147</v>
      </c>
      <c r="F625" s="8">
        <v>21.0</v>
      </c>
      <c r="G625" s="9">
        <v>482.36</v>
      </c>
      <c r="H625" s="9">
        <v>5995.15</v>
      </c>
      <c r="I625" s="6" t="s">
        <v>161</v>
      </c>
      <c r="J625" s="6" t="s">
        <v>393</v>
      </c>
      <c r="K625" s="6" t="s">
        <v>4854</v>
      </c>
      <c r="L625" s="6">
        <v>5.2212481185E10</v>
      </c>
      <c r="M625" s="6" t="s">
        <v>4855</v>
      </c>
      <c r="N625" s="6" t="s">
        <v>427</v>
      </c>
      <c r="O625" s="6" t="s">
        <v>178</v>
      </c>
      <c r="P625" s="10">
        <v>45976.0</v>
      </c>
    </row>
    <row r="626" ht="22.5" customHeight="1">
      <c r="A626" s="6" t="s">
        <v>4857</v>
      </c>
      <c r="B626" s="6" t="s">
        <v>4858</v>
      </c>
      <c r="C626" s="6" t="s">
        <v>4859</v>
      </c>
      <c r="D626" s="6" t="s">
        <v>383</v>
      </c>
      <c r="E626" s="6" t="s">
        <v>147</v>
      </c>
      <c r="F626" s="8">
        <v>27.0</v>
      </c>
      <c r="G626" s="9">
        <v>330.05</v>
      </c>
      <c r="H626" s="9">
        <v>8729.23</v>
      </c>
      <c r="I626" s="6" t="s">
        <v>161</v>
      </c>
      <c r="J626" s="6" t="s">
        <v>163</v>
      </c>
      <c r="K626" s="6" t="s">
        <v>4860</v>
      </c>
      <c r="L626" s="6">
        <v>4.3024914481E10</v>
      </c>
      <c r="M626" s="6" t="s">
        <v>4862</v>
      </c>
      <c r="N626" s="6" t="s">
        <v>283</v>
      </c>
      <c r="O626" s="6" t="s">
        <v>178</v>
      </c>
      <c r="P626" s="10">
        <v>45963.0</v>
      </c>
    </row>
    <row r="627" ht="22.5" customHeight="1">
      <c r="A627" s="6" t="s">
        <v>4863</v>
      </c>
      <c r="B627" s="6" t="s">
        <v>4864</v>
      </c>
      <c r="C627" s="6" t="s">
        <v>4865</v>
      </c>
      <c r="D627" s="6" t="s">
        <v>206</v>
      </c>
      <c r="E627" s="6" t="s">
        <v>147</v>
      </c>
      <c r="F627" s="8">
        <v>22.0</v>
      </c>
      <c r="G627" s="9">
        <v>1202.71</v>
      </c>
      <c r="H627" s="9">
        <v>12492.68</v>
      </c>
      <c r="I627" s="6" t="s">
        <v>161</v>
      </c>
      <c r="J627" s="6" t="s">
        <v>577</v>
      </c>
      <c r="K627" s="6" t="s">
        <v>4868</v>
      </c>
      <c r="L627" s="6" t="s">
        <v>259</v>
      </c>
      <c r="M627" s="6" t="s">
        <v>4869</v>
      </c>
      <c r="N627" s="6" t="s">
        <v>176</v>
      </c>
      <c r="O627" s="6" t="s">
        <v>178</v>
      </c>
      <c r="P627" s="10">
        <v>45993.0</v>
      </c>
    </row>
    <row r="628" ht="22.5" customHeight="1">
      <c r="A628" s="6" t="s">
        <v>4870</v>
      </c>
      <c r="B628" s="6" t="s">
        <v>4871</v>
      </c>
      <c r="C628" s="6" t="s">
        <v>4872</v>
      </c>
      <c r="D628" s="6" t="s">
        <v>145</v>
      </c>
      <c r="E628" s="6" t="s">
        <v>147</v>
      </c>
      <c r="F628" s="8">
        <v>5.0</v>
      </c>
      <c r="G628" s="9">
        <v>548.21</v>
      </c>
      <c r="H628" s="9">
        <v>13442.53</v>
      </c>
      <c r="I628" s="6" t="s">
        <v>161</v>
      </c>
      <c r="J628" s="6" t="s">
        <v>163</v>
      </c>
      <c r="K628" s="6" t="s">
        <v>4874</v>
      </c>
      <c r="L628" s="6">
        <v>8.6739807587E10</v>
      </c>
      <c r="M628" s="6" t="s">
        <v>4875</v>
      </c>
      <c r="N628" s="6" t="s">
        <v>283</v>
      </c>
      <c r="O628" s="6" t="s">
        <v>178</v>
      </c>
      <c r="P628" s="10">
        <v>45970.0</v>
      </c>
    </row>
    <row r="629" ht="22.5" customHeight="1">
      <c r="A629" s="6" t="s">
        <v>4877</v>
      </c>
      <c r="B629" s="6" t="s">
        <v>4878</v>
      </c>
      <c r="C629" s="6" t="s">
        <v>4879</v>
      </c>
      <c r="D629" s="6" t="s">
        <v>206</v>
      </c>
      <c r="E629" s="6" t="s">
        <v>301</v>
      </c>
      <c r="F629" s="8">
        <v>35.0</v>
      </c>
      <c r="G629" s="9">
        <v>1367.58</v>
      </c>
      <c r="H629" s="9">
        <v>12473.06</v>
      </c>
      <c r="I629" s="6" t="s">
        <v>161</v>
      </c>
      <c r="J629" s="6" t="s">
        <v>163</v>
      </c>
      <c r="K629" s="6" t="s">
        <v>4881</v>
      </c>
      <c r="L629" s="6" t="s">
        <v>259</v>
      </c>
      <c r="M629" s="6" t="s">
        <v>4882</v>
      </c>
      <c r="N629" s="6" t="s">
        <v>112</v>
      </c>
      <c r="O629" s="6" t="s">
        <v>178</v>
      </c>
      <c r="P629" s="10">
        <v>45939.0</v>
      </c>
    </row>
    <row r="630" ht="22.5" customHeight="1">
      <c r="A630" s="6" t="s">
        <v>4883</v>
      </c>
      <c r="B630" s="6" t="s">
        <v>4885</v>
      </c>
      <c r="C630" s="6" t="s">
        <v>4886</v>
      </c>
      <c r="D630" s="6" t="s">
        <v>206</v>
      </c>
      <c r="E630" s="6" t="s">
        <v>301</v>
      </c>
      <c r="F630" s="8">
        <v>30.0</v>
      </c>
      <c r="G630" s="9">
        <v>965.57</v>
      </c>
      <c r="H630" s="9">
        <v>1611.26</v>
      </c>
      <c r="I630" s="6" t="s">
        <v>161</v>
      </c>
      <c r="J630" s="6" t="s">
        <v>479</v>
      </c>
      <c r="K630" s="6" t="s">
        <v>4887</v>
      </c>
      <c r="L630" s="6">
        <v>3.483585998E9</v>
      </c>
      <c r="M630" s="6" t="s">
        <v>4889</v>
      </c>
      <c r="N630" s="6" t="s">
        <v>427</v>
      </c>
      <c r="O630" s="6" t="s">
        <v>178</v>
      </c>
      <c r="P630" s="10">
        <v>46032.0</v>
      </c>
    </row>
    <row r="631" ht="22.5" customHeight="1">
      <c r="A631" s="6" t="s">
        <v>4890</v>
      </c>
      <c r="B631" s="6" t="s">
        <v>4891</v>
      </c>
      <c r="C631" s="6" t="s">
        <v>4892</v>
      </c>
      <c r="D631" s="6" t="s">
        <v>383</v>
      </c>
      <c r="E631" s="6" t="s">
        <v>301</v>
      </c>
      <c r="F631" s="8">
        <v>39.0</v>
      </c>
      <c r="G631" s="9">
        <v>1541.31</v>
      </c>
      <c r="H631" s="9">
        <v>10955.3</v>
      </c>
      <c r="I631" s="6" t="s">
        <v>161</v>
      </c>
      <c r="J631" s="6" t="s">
        <v>357</v>
      </c>
      <c r="K631" s="6" t="s">
        <v>4894</v>
      </c>
      <c r="L631" s="6">
        <v>8.7960007495E10</v>
      </c>
      <c r="M631" s="6" t="s">
        <v>4895</v>
      </c>
      <c r="N631" s="6" t="s">
        <v>176</v>
      </c>
      <c r="O631" s="6" t="s">
        <v>178</v>
      </c>
      <c r="P631" s="10">
        <v>45997.0</v>
      </c>
    </row>
    <row r="632" ht="22.5" customHeight="1">
      <c r="A632" s="6" t="s">
        <v>4897</v>
      </c>
      <c r="B632" s="6" t="s">
        <v>4898</v>
      </c>
      <c r="C632" s="6" t="s">
        <v>4899</v>
      </c>
      <c r="D632" s="6" t="s">
        <v>145</v>
      </c>
      <c r="E632" s="6" t="s">
        <v>210</v>
      </c>
      <c r="F632" s="8">
        <v>87.0</v>
      </c>
      <c r="G632" s="9">
        <v>1009.49</v>
      </c>
      <c r="H632" s="9">
        <v>2660.86</v>
      </c>
      <c r="I632" s="6" t="s">
        <v>161</v>
      </c>
      <c r="J632" s="6" t="s">
        <v>577</v>
      </c>
      <c r="K632" s="6" t="s">
        <v>4901</v>
      </c>
      <c r="L632" s="6">
        <v>9.3856888431E10</v>
      </c>
      <c r="M632" s="6" t="s">
        <v>4902</v>
      </c>
      <c r="N632" s="6" t="s">
        <v>283</v>
      </c>
      <c r="O632" s="6" t="s">
        <v>161</v>
      </c>
      <c r="P632" s="10">
        <v>45993.0</v>
      </c>
    </row>
    <row r="633" ht="22.5" customHeight="1">
      <c r="A633" s="6" t="s">
        <v>4903</v>
      </c>
      <c r="B633" s="6" t="s">
        <v>4904</v>
      </c>
      <c r="C633" s="6" t="s">
        <v>4906</v>
      </c>
      <c r="D633" s="6" t="s">
        <v>145</v>
      </c>
      <c r="E633" s="6" t="s">
        <v>301</v>
      </c>
      <c r="F633" s="8">
        <v>40.0</v>
      </c>
      <c r="G633" s="9">
        <v>1612.46</v>
      </c>
      <c r="H633" s="9">
        <v>15512.89</v>
      </c>
      <c r="I633" s="6" t="s">
        <v>161</v>
      </c>
      <c r="J633" s="6" t="s">
        <v>479</v>
      </c>
      <c r="K633" s="6" t="s">
        <v>4907</v>
      </c>
      <c r="L633" s="6">
        <v>3.1807023689E10</v>
      </c>
      <c r="M633" s="6" t="s">
        <v>4908</v>
      </c>
      <c r="N633" s="6" t="s">
        <v>427</v>
      </c>
      <c r="O633" s="6" t="s">
        <v>178</v>
      </c>
      <c r="P633" s="10">
        <v>45972.0</v>
      </c>
    </row>
    <row r="634" ht="22.5" customHeight="1">
      <c r="A634" s="6" t="s">
        <v>4910</v>
      </c>
      <c r="B634" s="6" t="s">
        <v>4911</v>
      </c>
      <c r="C634" s="6" t="s">
        <v>4912</v>
      </c>
      <c r="D634" s="6" t="s">
        <v>383</v>
      </c>
      <c r="E634" s="6" t="s">
        <v>210</v>
      </c>
      <c r="F634" s="8">
        <v>79.0</v>
      </c>
      <c r="G634" s="9">
        <v>692.24</v>
      </c>
      <c r="H634" s="9">
        <v>7507.71</v>
      </c>
      <c r="I634" s="6" t="s">
        <v>178</v>
      </c>
      <c r="J634" s="6" t="s">
        <v>577</v>
      </c>
      <c r="K634" s="6" t="s">
        <v>4914</v>
      </c>
      <c r="L634" s="6">
        <v>9.2760595E10</v>
      </c>
      <c r="M634" s="6" t="s">
        <v>4915</v>
      </c>
      <c r="N634" s="6" t="s">
        <v>259</v>
      </c>
      <c r="O634" s="6" t="s">
        <v>161</v>
      </c>
      <c r="P634" s="10">
        <v>45987.0</v>
      </c>
    </row>
    <row r="635" ht="22.5" customHeight="1">
      <c r="A635" s="6" t="s">
        <v>4917</v>
      </c>
      <c r="B635" s="6" t="s">
        <v>4918</v>
      </c>
      <c r="C635" s="6" t="s">
        <v>4919</v>
      </c>
      <c r="D635" s="6" t="s">
        <v>383</v>
      </c>
      <c r="E635" s="6" t="s">
        <v>210</v>
      </c>
      <c r="F635" s="8">
        <v>108.0</v>
      </c>
      <c r="G635" s="9">
        <v>84.17</v>
      </c>
      <c r="H635" s="9">
        <v>9606.82</v>
      </c>
      <c r="I635" s="6" t="s">
        <v>161</v>
      </c>
      <c r="J635" s="6" t="s">
        <v>421</v>
      </c>
      <c r="K635" s="6" t="s">
        <v>4921</v>
      </c>
      <c r="L635" s="6">
        <v>5.4774964113E10</v>
      </c>
      <c r="M635" s="6" t="s">
        <v>4922</v>
      </c>
      <c r="N635" s="6" t="s">
        <v>283</v>
      </c>
      <c r="O635" s="6" t="s">
        <v>161</v>
      </c>
      <c r="P635" s="10">
        <v>45997.0</v>
      </c>
    </row>
    <row r="636" ht="22.5" customHeight="1">
      <c r="A636" s="6" t="s">
        <v>4923</v>
      </c>
      <c r="B636" s="6" t="s">
        <v>4924</v>
      </c>
      <c r="C636" s="6" t="s">
        <v>4926</v>
      </c>
      <c r="D636" s="6" t="s">
        <v>145</v>
      </c>
      <c r="E636" s="6" t="s">
        <v>147</v>
      </c>
      <c r="F636" s="8">
        <v>9.0</v>
      </c>
      <c r="G636" s="9">
        <v>1718.14</v>
      </c>
      <c r="H636" s="9">
        <v>11230.69</v>
      </c>
      <c r="I636" s="6" t="s">
        <v>161</v>
      </c>
      <c r="J636" s="6" t="s">
        <v>312</v>
      </c>
      <c r="K636" s="6" t="s">
        <v>4927</v>
      </c>
      <c r="L636" s="6">
        <v>8.3940557657E10</v>
      </c>
      <c r="M636" s="6" t="s">
        <v>4928</v>
      </c>
      <c r="N636" s="6" t="s">
        <v>176</v>
      </c>
      <c r="O636" s="6" t="s">
        <v>4031</v>
      </c>
      <c r="P636" s="10">
        <v>45976.0</v>
      </c>
    </row>
    <row r="637" ht="22.5" customHeight="1">
      <c r="A637" s="6" t="s">
        <v>4930</v>
      </c>
      <c r="B637" s="6" t="s">
        <v>4931</v>
      </c>
      <c r="C637" s="6" t="s">
        <v>4932</v>
      </c>
      <c r="D637" s="6" t="s">
        <v>145</v>
      </c>
      <c r="E637" s="6" t="s">
        <v>147</v>
      </c>
      <c r="F637" s="8">
        <v>27.0</v>
      </c>
      <c r="G637" s="9">
        <v>132.69</v>
      </c>
      <c r="H637" s="9">
        <v>1754.85</v>
      </c>
      <c r="I637" s="6" t="s">
        <v>161</v>
      </c>
      <c r="J637" s="6" t="s">
        <v>312</v>
      </c>
      <c r="K637" s="6" t="s">
        <v>4934</v>
      </c>
      <c r="L637" s="6">
        <v>6.044710677E10</v>
      </c>
      <c r="M637" s="6" t="s">
        <v>4935</v>
      </c>
      <c r="N637" s="6" t="s">
        <v>427</v>
      </c>
      <c r="O637" s="6" t="s">
        <v>178</v>
      </c>
      <c r="P637" s="10">
        <v>45955.0</v>
      </c>
    </row>
    <row r="638" ht="22.5" customHeight="1">
      <c r="A638" s="6" t="s">
        <v>4937</v>
      </c>
      <c r="B638" s="6" t="s">
        <v>4938</v>
      </c>
      <c r="C638" s="6" t="s">
        <v>4939</v>
      </c>
      <c r="D638" s="6" t="s">
        <v>383</v>
      </c>
      <c r="E638" s="6" t="s">
        <v>147</v>
      </c>
      <c r="F638" s="8">
        <v>8.0</v>
      </c>
      <c r="G638" s="9">
        <v>1220.75</v>
      </c>
      <c r="H638" s="9">
        <v>6584.2</v>
      </c>
      <c r="I638" s="6" t="s">
        <v>161</v>
      </c>
      <c r="J638" s="6" t="s">
        <v>421</v>
      </c>
      <c r="K638" s="6" t="s">
        <v>259</v>
      </c>
      <c r="L638" s="6">
        <v>7.0881188413E10</v>
      </c>
      <c r="M638" s="6" t="s">
        <v>4940</v>
      </c>
      <c r="N638" s="6" t="s">
        <v>427</v>
      </c>
      <c r="O638" s="6" t="s">
        <v>178</v>
      </c>
      <c r="P638" s="10">
        <v>46051.0</v>
      </c>
    </row>
    <row r="639" ht="22.5" customHeight="1">
      <c r="A639" s="6" t="s">
        <v>4942</v>
      </c>
      <c r="B639" s="6" t="s">
        <v>4943</v>
      </c>
      <c r="C639" s="6" t="s">
        <v>4944</v>
      </c>
      <c r="D639" s="6" t="s">
        <v>206</v>
      </c>
      <c r="E639" s="6" t="s">
        <v>147</v>
      </c>
      <c r="F639" s="8">
        <v>27.0</v>
      </c>
      <c r="G639" s="9">
        <v>438.53</v>
      </c>
      <c r="H639" s="9">
        <v>7859.29</v>
      </c>
      <c r="I639" s="6" t="s">
        <v>161</v>
      </c>
      <c r="J639" s="6" t="s">
        <v>577</v>
      </c>
      <c r="K639" s="6" t="s">
        <v>4946</v>
      </c>
      <c r="L639" s="6">
        <v>2.3515467447E10</v>
      </c>
      <c r="M639" s="6" t="s">
        <v>4947</v>
      </c>
      <c r="N639" s="6" t="s">
        <v>259</v>
      </c>
      <c r="O639" s="6" t="s">
        <v>178</v>
      </c>
      <c r="P639" s="10">
        <v>46015.0</v>
      </c>
    </row>
    <row r="640" ht="22.5" customHeight="1">
      <c r="A640" s="6" t="s">
        <v>4948</v>
      </c>
      <c r="B640" s="6" t="s">
        <v>4950</v>
      </c>
      <c r="C640" s="6" t="s">
        <v>4951</v>
      </c>
      <c r="D640" s="6" t="s">
        <v>145</v>
      </c>
      <c r="E640" s="6" t="s">
        <v>147</v>
      </c>
      <c r="F640" s="8">
        <v>22.0</v>
      </c>
      <c r="G640" s="9">
        <v>1771.63</v>
      </c>
      <c r="H640" s="9">
        <v>8781.27</v>
      </c>
      <c r="I640" s="6" t="s">
        <v>161</v>
      </c>
      <c r="J640" s="6" t="s">
        <v>577</v>
      </c>
      <c r="K640" s="6" t="s">
        <v>4952</v>
      </c>
      <c r="L640" s="6" t="s">
        <v>259</v>
      </c>
      <c r="M640" s="6" t="s">
        <v>4954</v>
      </c>
      <c r="N640" s="6" t="s">
        <v>259</v>
      </c>
      <c r="O640" s="6" t="s">
        <v>178</v>
      </c>
      <c r="P640" s="10">
        <v>46001.0</v>
      </c>
    </row>
    <row r="641" ht="22.5" customHeight="1">
      <c r="A641" s="6" t="s">
        <v>4955</v>
      </c>
      <c r="B641" s="6" t="s">
        <v>4956</v>
      </c>
      <c r="C641" s="6" t="s">
        <v>4957</v>
      </c>
      <c r="D641" s="6" t="s">
        <v>145</v>
      </c>
      <c r="E641" s="6" t="s">
        <v>301</v>
      </c>
      <c r="F641" s="8">
        <v>30.0</v>
      </c>
      <c r="G641" s="9">
        <v>1220.61</v>
      </c>
      <c r="H641" s="9">
        <v>11635.85</v>
      </c>
      <c r="I641" s="6" t="s">
        <v>178</v>
      </c>
      <c r="J641" s="6" t="s">
        <v>163</v>
      </c>
      <c r="K641" s="6" t="s">
        <v>4959</v>
      </c>
      <c r="L641" s="6">
        <v>2.6498610006E10</v>
      </c>
      <c r="M641" s="6" t="s">
        <v>4960</v>
      </c>
      <c r="N641" s="6" t="s">
        <v>259</v>
      </c>
      <c r="O641" s="6" t="s">
        <v>161</v>
      </c>
      <c r="P641" s="10">
        <v>45982.0</v>
      </c>
    </row>
    <row r="642" ht="22.5" customHeight="1">
      <c r="A642" s="6" t="s">
        <v>4962</v>
      </c>
      <c r="B642" s="6" t="s">
        <v>4963</v>
      </c>
      <c r="C642" s="6" t="s">
        <v>4964</v>
      </c>
      <c r="D642" s="6" t="s">
        <v>206</v>
      </c>
      <c r="E642" s="6" t="s">
        <v>301</v>
      </c>
      <c r="F642" s="8">
        <v>34.0</v>
      </c>
      <c r="G642" s="9">
        <v>1092.52</v>
      </c>
      <c r="H642" s="9">
        <v>11692.59</v>
      </c>
      <c r="I642" s="6" t="s">
        <v>161</v>
      </c>
      <c r="J642" s="6" t="s">
        <v>421</v>
      </c>
      <c r="K642" s="6" t="s">
        <v>4965</v>
      </c>
      <c r="L642" s="6">
        <v>3.4289336429E10</v>
      </c>
      <c r="M642" s="6" t="s">
        <v>4966</v>
      </c>
      <c r="N642" s="6" t="s">
        <v>176</v>
      </c>
      <c r="O642" s="6" t="s">
        <v>178</v>
      </c>
      <c r="P642" s="10">
        <v>46047.0</v>
      </c>
    </row>
    <row r="643" ht="22.5" customHeight="1">
      <c r="A643" s="6" t="s">
        <v>4967</v>
      </c>
      <c r="B643" s="6" t="s">
        <v>4969</v>
      </c>
      <c r="C643" s="6" t="s">
        <v>4970</v>
      </c>
      <c r="D643" s="6" t="s">
        <v>206</v>
      </c>
      <c r="E643" s="6" t="s">
        <v>147</v>
      </c>
      <c r="F643" s="8">
        <v>29.0</v>
      </c>
      <c r="G643" s="9">
        <v>551.24</v>
      </c>
      <c r="H643" s="9">
        <v>14209.57</v>
      </c>
      <c r="I643" s="6" t="s">
        <v>161</v>
      </c>
      <c r="J643" s="6" t="s">
        <v>442</v>
      </c>
      <c r="K643" s="6" t="s">
        <v>4971</v>
      </c>
      <c r="L643" s="6">
        <v>5.6586048847E10</v>
      </c>
      <c r="M643" s="6" t="s">
        <v>4973</v>
      </c>
      <c r="N643" s="6" t="s">
        <v>176</v>
      </c>
      <c r="O643" s="6" t="s">
        <v>178</v>
      </c>
      <c r="P643" s="10">
        <v>45987.0</v>
      </c>
    </row>
    <row r="644" ht="22.5" customHeight="1">
      <c r="A644" s="6" t="s">
        <v>4974</v>
      </c>
      <c r="B644" s="6" t="s">
        <v>4975</v>
      </c>
      <c r="C644" s="6" t="s">
        <v>4976</v>
      </c>
      <c r="D644" s="6" t="s">
        <v>206</v>
      </c>
      <c r="E644" s="6" t="s">
        <v>147</v>
      </c>
      <c r="F644" s="8">
        <v>14.0</v>
      </c>
      <c r="G644" s="9">
        <v>1242.28</v>
      </c>
      <c r="H644" s="9">
        <v>11399.79</v>
      </c>
      <c r="I644" s="6" t="s">
        <v>161</v>
      </c>
      <c r="J644" s="6" t="s">
        <v>421</v>
      </c>
      <c r="K644" s="6" t="s">
        <v>4978</v>
      </c>
      <c r="L644" s="6">
        <v>2.9202959791E10</v>
      </c>
      <c r="M644" s="6" t="s">
        <v>4979</v>
      </c>
      <c r="N644" s="6" t="s">
        <v>112</v>
      </c>
      <c r="O644" s="6" t="s">
        <v>178</v>
      </c>
      <c r="P644" s="10">
        <v>45972.0</v>
      </c>
    </row>
    <row r="645" ht="22.5" customHeight="1">
      <c r="A645" s="6" t="s">
        <v>4981</v>
      </c>
      <c r="B645" s="6" t="s">
        <v>4982</v>
      </c>
      <c r="C645" s="6" t="s">
        <v>4983</v>
      </c>
      <c r="D645" s="6" t="s">
        <v>383</v>
      </c>
      <c r="E645" s="6" t="s">
        <v>147</v>
      </c>
      <c r="F645" s="8">
        <v>19.0</v>
      </c>
      <c r="G645" s="9">
        <v>281.58</v>
      </c>
      <c r="H645" s="9">
        <v>12670.34</v>
      </c>
      <c r="I645" s="6" t="s">
        <v>161</v>
      </c>
      <c r="J645" s="6" t="s">
        <v>442</v>
      </c>
      <c r="K645" s="6" t="s">
        <v>4984</v>
      </c>
      <c r="L645" s="6">
        <v>7.1351452582E10</v>
      </c>
      <c r="M645" s="6" t="s">
        <v>4985</v>
      </c>
      <c r="N645" s="6" t="s">
        <v>112</v>
      </c>
      <c r="O645" s="6" t="s">
        <v>178</v>
      </c>
      <c r="P645" s="10">
        <v>45948.0</v>
      </c>
    </row>
    <row r="646" ht="22.5" customHeight="1">
      <c r="A646" s="6" t="s">
        <v>4987</v>
      </c>
      <c r="B646" s="6" t="s">
        <v>4988</v>
      </c>
      <c r="C646" s="6" t="s">
        <v>4989</v>
      </c>
      <c r="D646" s="6" t="s">
        <v>383</v>
      </c>
      <c r="E646" s="6" t="s">
        <v>147</v>
      </c>
      <c r="F646" s="8">
        <v>27.0</v>
      </c>
      <c r="G646" s="9">
        <v>515.68</v>
      </c>
      <c r="H646" s="9">
        <v>10100.34</v>
      </c>
      <c r="I646" s="6" t="s">
        <v>161</v>
      </c>
      <c r="J646" s="6" t="s">
        <v>163</v>
      </c>
      <c r="K646" s="6" t="s">
        <v>4991</v>
      </c>
      <c r="L646" s="6">
        <v>1.8236747812E10</v>
      </c>
      <c r="M646" s="6" t="s">
        <v>4992</v>
      </c>
      <c r="N646" s="6" t="s">
        <v>176</v>
      </c>
      <c r="O646" s="6" t="s">
        <v>178</v>
      </c>
      <c r="P646" s="10">
        <v>45949.0</v>
      </c>
    </row>
    <row r="647" ht="22.5" customHeight="1">
      <c r="A647" s="6" t="s">
        <v>4993</v>
      </c>
      <c r="B647" s="6" t="s">
        <v>4994</v>
      </c>
      <c r="C647" s="6" t="s">
        <v>4995</v>
      </c>
      <c r="D647" s="6" t="s">
        <v>145</v>
      </c>
      <c r="E647" s="6" t="s">
        <v>147</v>
      </c>
      <c r="F647" s="8">
        <v>27.0</v>
      </c>
      <c r="G647" s="9">
        <v>441.52</v>
      </c>
      <c r="H647" s="9">
        <v>4382.6</v>
      </c>
      <c r="I647" s="6" t="s">
        <v>161</v>
      </c>
      <c r="J647" s="6" t="s">
        <v>393</v>
      </c>
      <c r="K647" s="6" t="s">
        <v>4997</v>
      </c>
      <c r="L647" s="6">
        <v>4.0839617381E10</v>
      </c>
      <c r="M647" s="6" t="s">
        <v>4998</v>
      </c>
      <c r="N647" s="6" t="s">
        <v>176</v>
      </c>
      <c r="O647" s="6" t="s">
        <v>178</v>
      </c>
      <c r="P647" s="10">
        <v>45989.0</v>
      </c>
    </row>
    <row r="648" ht="22.5" customHeight="1">
      <c r="A648" s="6" t="s">
        <v>4999</v>
      </c>
      <c r="B648" s="6" t="s">
        <v>5000</v>
      </c>
      <c r="C648" s="6" t="s">
        <v>5001</v>
      </c>
      <c r="D648" s="6" t="s">
        <v>206</v>
      </c>
      <c r="E648" s="6" t="s">
        <v>210</v>
      </c>
      <c r="F648" s="8">
        <v>95.0</v>
      </c>
      <c r="G648" s="9">
        <v>1487.33</v>
      </c>
      <c r="H648" s="9">
        <v>6775.84</v>
      </c>
      <c r="I648" s="6" t="s">
        <v>178</v>
      </c>
      <c r="J648" s="6" t="s">
        <v>312</v>
      </c>
      <c r="K648" s="6" t="s">
        <v>5003</v>
      </c>
      <c r="L648" s="6">
        <v>9.1758114786E10</v>
      </c>
      <c r="M648" s="6" t="s">
        <v>5004</v>
      </c>
      <c r="N648" s="6" t="s">
        <v>112</v>
      </c>
      <c r="O648" s="6" t="s">
        <v>161</v>
      </c>
      <c r="P648" s="10">
        <v>46023.0</v>
      </c>
    </row>
    <row r="649" ht="22.5" customHeight="1">
      <c r="A649" s="6" t="s">
        <v>5005</v>
      </c>
      <c r="B649" s="6" t="s">
        <v>5006</v>
      </c>
      <c r="C649" s="6" t="s">
        <v>5007</v>
      </c>
      <c r="D649" s="6" t="s">
        <v>206</v>
      </c>
      <c r="E649" s="6" t="s">
        <v>210</v>
      </c>
      <c r="F649" s="8">
        <v>94.0</v>
      </c>
      <c r="G649" s="9">
        <v>1222.26</v>
      </c>
      <c r="H649" s="9">
        <v>11856.0</v>
      </c>
      <c r="I649" s="6" t="s">
        <v>161</v>
      </c>
      <c r="J649" s="6" t="s">
        <v>357</v>
      </c>
      <c r="K649" s="6" t="s">
        <v>5009</v>
      </c>
      <c r="L649" s="6">
        <v>9.5387366653E10</v>
      </c>
      <c r="M649" s="6" t="s">
        <v>5010</v>
      </c>
      <c r="N649" s="6" t="s">
        <v>427</v>
      </c>
      <c r="O649" s="6" t="s">
        <v>161</v>
      </c>
      <c r="P649" s="10">
        <v>45935.0</v>
      </c>
    </row>
    <row r="650" ht="22.5" customHeight="1">
      <c r="A650" s="6" t="s">
        <v>5011</v>
      </c>
      <c r="B650" s="6" t="s">
        <v>5012</v>
      </c>
      <c r="C650" s="6" t="s">
        <v>5013</v>
      </c>
      <c r="D650" s="6" t="s">
        <v>145</v>
      </c>
      <c r="E650" s="6" t="s">
        <v>147</v>
      </c>
      <c r="F650" s="8">
        <v>5.0</v>
      </c>
      <c r="G650" s="9">
        <v>110.81</v>
      </c>
      <c r="H650" s="9">
        <v>3755.81</v>
      </c>
      <c r="I650" s="6" t="s">
        <v>161</v>
      </c>
      <c r="J650" s="6" t="s">
        <v>421</v>
      </c>
      <c r="K650" s="6" t="s">
        <v>5015</v>
      </c>
      <c r="L650" s="6">
        <v>6.113605211E9</v>
      </c>
      <c r="M650" s="6" t="s">
        <v>5016</v>
      </c>
      <c r="N650" s="6" t="s">
        <v>112</v>
      </c>
      <c r="O650" s="6" t="s">
        <v>178</v>
      </c>
      <c r="P650" s="10">
        <v>46024.0</v>
      </c>
    </row>
    <row r="651" ht="22.5" customHeight="1">
      <c r="A651" s="6" t="s">
        <v>5018</v>
      </c>
      <c r="B651" s="6" t="s">
        <v>5019</v>
      </c>
      <c r="C651" s="6" t="s">
        <v>5020</v>
      </c>
      <c r="D651" s="6" t="s">
        <v>145</v>
      </c>
      <c r="E651" s="6" t="s">
        <v>210</v>
      </c>
      <c r="F651" s="8">
        <v>64.0</v>
      </c>
      <c r="G651" s="9">
        <v>1530.23</v>
      </c>
      <c r="H651" s="9">
        <v>6025.35</v>
      </c>
      <c r="I651" s="6" t="s">
        <v>178</v>
      </c>
      <c r="J651" s="6" t="s">
        <v>479</v>
      </c>
      <c r="K651" s="6" t="s">
        <v>5022</v>
      </c>
      <c r="L651" s="6">
        <v>2.3579356406E10</v>
      </c>
      <c r="M651" s="6" t="s">
        <v>5023</v>
      </c>
      <c r="N651" s="6" t="s">
        <v>283</v>
      </c>
      <c r="O651" s="6" t="s">
        <v>161</v>
      </c>
      <c r="P651" s="10">
        <v>45978.0</v>
      </c>
    </row>
    <row r="652" ht="22.5" customHeight="1">
      <c r="A652" s="6" t="s">
        <v>5024</v>
      </c>
      <c r="B652" s="6" t="s">
        <v>5026</v>
      </c>
      <c r="C652" s="6" t="s">
        <v>5027</v>
      </c>
      <c r="D652" s="6" t="s">
        <v>145</v>
      </c>
      <c r="E652" s="6" t="s">
        <v>147</v>
      </c>
      <c r="F652" s="8">
        <v>13.0</v>
      </c>
      <c r="G652" s="9">
        <v>1582.02</v>
      </c>
      <c r="H652" s="9">
        <v>10747.75</v>
      </c>
      <c r="I652" s="6" t="s">
        <v>161</v>
      </c>
      <c r="J652" s="6" t="s">
        <v>393</v>
      </c>
      <c r="K652" s="6" t="s">
        <v>5028</v>
      </c>
      <c r="L652" s="6">
        <v>7.6101717795E10</v>
      </c>
      <c r="M652" s="6" t="s">
        <v>5029</v>
      </c>
      <c r="N652" s="6" t="s">
        <v>112</v>
      </c>
      <c r="O652" s="6" t="s">
        <v>178</v>
      </c>
      <c r="P652" s="10">
        <v>45996.0</v>
      </c>
    </row>
    <row r="653" ht="22.5" customHeight="1">
      <c r="A653" s="6" t="s">
        <v>5031</v>
      </c>
      <c r="B653" s="6" t="s">
        <v>5032</v>
      </c>
      <c r="C653" s="6" t="s">
        <v>5033</v>
      </c>
      <c r="D653" s="6" t="s">
        <v>206</v>
      </c>
      <c r="E653" s="6" t="s">
        <v>210</v>
      </c>
      <c r="F653" s="8">
        <v>83.0</v>
      </c>
      <c r="G653" s="9">
        <v>1296.94</v>
      </c>
      <c r="H653" s="9">
        <v>5413.53</v>
      </c>
      <c r="I653" s="6" t="s">
        <v>161</v>
      </c>
      <c r="J653" s="6" t="s">
        <v>312</v>
      </c>
      <c r="K653" s="6" t="s">
        <v>5035</v>
      </c>
      <c r="L653" s="6">
        <v>9.1240593487E10</v>
      </c>
      <c r="M653" s="6" t="s">
        <v>5036</v>
      </c>
      <c r="N653" s="6" t="s">
        <v>259</v>
      </c>
      <c r="O653" s="6" t="s">
        <v>161</v>
      </c>
      <c r="P653" s="10">
        <v>45986.0</v>
      </c>
    </row>
    <row r="654" ht="22.5" customHeight="1">
      <c r="A654" s="6" t="s">
        <v>5037</v>
      </c>
      <c r="B654" s="6" t="s">
        <v>5038</v>
      </c>
      <c r="C654" s="6" t="s">
        <v>5039</v>
      </c>
      <c r="D654" s="6" t="s">
        <v>145</v>
      </c>
      <c r="E654" s="6" t="s">
        <v>301</v>
      </c>
      <c r="F654" s="8">
        <v>54.0</v>
      </c>
      <c r="G654" s="9">
        <v>800.43</v>
      </c>
      <c r="H654" s="9">
        <v>7372.87</v>
      </c>
      <c r="I654" s="6" t="s">
        <v>161</v>
      </c>
      <c r="J654" s="6" t="s">
        <v>479</v>
      </c>
      <c r="K654" s="6" t="s">
        <v>5041</v>
      </c>
      <c r="L654" s="6">
        <v>5.7518255157E10</v>
      </c>
      <c r="M654" s="6" t="s">
        <v>5042</v>
      </c>
      <c r="N654" s="6" t="s">
        <v>283</v>
      </c>
      <c r="O654" s="6" t="s">
        <v>178</v>
      </c>
      <c r="P654" s="10">
        <v>45931.0</v>
      </c>
    </row>
    <row r="655" ht="22.5" customHeight="1">
      <c r="A655" s="6" t="s">
        <v>5044</v>
      </c>
      <c r="B655" s="6" t="s">
        <v>5045</v>
      </c>
      <c r="C655" s="6" t="s">
        <v>5046</v>
      </c>
      <c r="D655" s="6" t="s">
        <v>206</v>
      </c>
      <c r="E655" s="6" t="s">
        <v>147</v>
      </c>
      <c r="F655" s="8">
        <v>7.0</v>
      </c>
      <c r="G655" s="9">
        <v>293.71</v>
      </c>
      <c r="H655" s="9">
        <v>6186.45</v>
      </c>
      <c r="I655" s="6" t="s">
        <v>178</v>
      </c>
      <c r="J655" s="6" t="s">
        <v>393</v>
      </c>
      <c r="K655" s="6" t="s">
        <v>259</v>
      </c>
      <c r="L655" s="6">
        <v>8.917645976E10</v>
      </c>
      <c r="M655" s="6" t="s">
        <v>5048</v>
      </c>
      <c r="N655" s="6" t="s">
        <v>176</v>
      </c>
      <c r="O655" s="6" t="s">
        <v>161</v>
      </c>
      <c r="P655" s="10">
        <v>46011.0</v>
      </c>
    </row>
    <row r="656" ht="22.5" customHeight="1">
      <c r="A656" s="6" t="s">
        <v>5050</v>
      </c>
      <c r="B656" s="6" t="s">
        <v>5051</v>
      </c>
      <c r="C656" s="6" t="s">
        <v>5052</v>
      </c>
      <c r="D656" s="6" t="s">
        <v>206</v>
      </c>
      <c r="E656" s="6" t="s">
        <v>147</v>
      </c>
      <c r="F656" s="8">
        <v>11.0</v>
      </c>
      <c r="G656" s="9">
        <v>1674.72</v>
      </c>
      <c r="H656" s="9">
        <v>11982.2</v>
      </c>
      <c r="I656" s="6" t="s">
        <v>161</v>
      </c>
      <c r="J656" s="6" t="s">
        <v>442</v>
      </c>
      <c r="K656" s="6" t="s">
        <v>5054</v>
      </c>
      <c r="L656" s="6">
        <v>6.1512756667E10</v>
      </c>
      <c r="M656" s="6" t="s">
        <v>5055</v>
      </c>
      <c r="N656" s="6" t="s">
        <v>259</v>
      </c>
      <c r="O656" s="6" t="s">
        <v>178</v>
      </c>
      <c r="P656" s="10">
        <v>45978.0</v>
      </c>
    </row>
    <row r="657" ht="22.5" customHeight="1">
      <c r="A657" s="6" t="s">
        <v>5056</v>
      </c>
      <c r="B657" s="6" t="s">
        <v>5058</v>
      </c>
      <c r="C657" s="6" t="s">
        <v>5059</v>
      </c>
      <c r="D657" s="6" t="s">
        <v>206</v>
      </c>
      <c r="E657" s="6" t="s">
        <v>301</v>
      </c>
      <c r="F657" s="8">
        <v>38.0</v>
      </c>
      <c r="G657" s="9">
        <v>214.23</v>
      </c>
      <c r="H657" s="9">
        <v>11769.29</v>
      </c>
      <c r="I657" s="6" t="s">
        <v>161</v>
      </c>
      <c r="J657" s="6" t="s">
        <v>577</v>
      </c>
      <c r="K657" s="6" t="s">
        <v>5061</v>
      </c>
      <c r="L657" s="6">
        <v>4.5392079331E10</v>
      </c>
      <c r="M657" s="6" t="s">
        <v>5062</v>
      </c>
      <c r="N657" s="6" t="s">
        <v>283</v>
      </c>
      <c r="O657" s="6" t="s">
        <v>178</v>
      </c>
      <c r="P657" s="10">
        <v>45981.0</v>
      </c>
    </row>
    <row r="658" ht="22.5" customHeight="1">
      <c r="A658" s="6" t="s">
        <v>5063</v>
      </c>
      <c r="B658" s="6" t="s">
        <v>5065</v>
      </c>
      <c r="C658" s="6" t="s">
        <v>5066</v>
      </c>
      <c r="D658" s="6" t="s">
        <v>145</v>
      </c>
      <c r="E658" s="6" t="s">
        <v>147</v>
      </c>
      <c r="F658" s="8">
        <v>24.0</v>
      </c>
      <c r="G658" s="9">
        <v>977.63</v>
      </c>
      <c r="H658" s="9">
        <v>7264.41</v>
      </c>
      <c r="I658" s="6" t="s">
        <v>161</v>
      </c>
      <c r="J658" s="6" t="s">
        <v>357</v>
      </c>
      <c r="K658" s="6" t="s">
        <v>5067</v>
      </c>
      <c r="L658" s="6">
        <v>9.2325244139E10</v>
      </c>
      <c r="M658" s="6" t="s">
        <v>5069</v>
      </c>
      <c r="N658" s="6" t="s">
        <v>427</v>
      </c>
      <c r="O658" s="6" t="s">
        <v>178</v>
      </c>
      <c r="P658" s="10">
        <v>45963.0</v>
      </c>
    </row>
    <row r="659" ht="22.5" customHeight="1">
      <c r="A659" s="6" t="s">
        <v>5070</v>
      </c>
      <c r="B659" s="6" t="s">
        <v>5072</v>
      </c>
      <c r="C659" s="6" t="s">
        <v>5073</v>
      </c>
      <c r="D659" s="6" t="s">
        <v>145</v>
      </c>
      <c r="E659" s="6" t="s">
        <v>147</v>
      </c>
      <c r="F659" s="8">
        <v>21.0</v>
      </c>
      <c r="G659" s="9">
        <v>1642.44</v>
      </c>
      <c r="H659" s="9">
        <v>12886.73</v>
      </c>
      <c r="I659" s="6" t="s">
        <v>161</v>
      </c>
      <c r="J659" s="6" t="s">
        <v>228</v>
      </c>
      <c r="K659" s="6" t="s">
        <v>5075</v>
      </c>
      <c r="L659" s="6">
        <v>4.4835168408E10</v>
      </c>
      <c r="M659" s="6" t="s">
        <v>5076</v>
      </c>
      <c r="N659" s="6" t="s">
        <v>427</v>
      </c>
      <c r="O659" s="6" t="s">
        <v>178</v>
      </c>
      <c r="P659" s="10">
        <v>45952.0</v>
      </c>
    </row>
    <row r="660" ht="22.5" customHeight="1">
      <c r="A660" s="6" t="s">
        <v>5077</v>
      </c>
      <c r="B660" s="6" t="s">
        <v>5079</v>
      </c>
      <c r="C660" s="6" t="s">
        <v>5080</v>
      </c>
      <c r="D660" s="6" t="s">
        <v>145</v>
      </c>
      <c r="E660" s="6" t="s">
        <v>147</v>
      </c>
      <c r="F660" s="8">
        <v>27.0</v>
      </c>
      <c r="G660" s="9">
        <v>1331.24</v>
      </c>
      <c r="H660" s="9">
        <v>14001.9</v>
      </c>
      <c r="I660" s="6" t="s">
        <v>161</v>
      </c>
      <c r="J660" s="6" t="s">
        <v>259</v>
      </c>
      <c r="K660" s="6" t="s">
        <v>5082</v>
      </c>
      <c r="L660" s="6">
        <v>1.332789435E9</v>
      </c>
      <c r="M660" s="6" t="s">
        <v>5083</v>
      </c>
      <c r="N660" s="6" t="s">
        <v>283</v>
      </c>
      <c r="O660" s="6" t="s">
        <v>178</v>
      </c>
      <c r="P660" s="10">
        <v>45984.0</v>
      </c>
    </row>
    <row r="661" ht="22.5" customHeight="1">
      <c r="A661" s="6" t="s">
        <v>5084</v>
      </c>
      <c r="B661" s="6" t="s">
        <v>5086</v>
      </c>
      <c r="C661" s="6" t="s">
        <v>5087</v>
      </c>
      <c r="D661" s="6" t="s">
        <v>145</v>
      </c>
      <c r="E661" s="6" t="s">
        <v>147</v>
      </c>
      <c r="F661" s="8">
        <v>8.0</v>
      </c>
      <c r="G661" s="9">
        <v>1412.29</v>
      </c>
      <c r="H661" s="9">
        <v>4602.48</v>
      </c>
      <c r="I661" s="6" t="s">
        <v>161</v>
      </c>
      <c r="J661" s="6" t="s">
        <v>228</v>
      </c>
      <c r="K661" s="6" t="s">
        <v>5089</v>
      </c>
      <c r="L661" s="6">
        <v>3.6658852314E10</v>
      </c>
      <c r="M661" s="6" t="s">
        <v>5090</v>
      </c>
      <c r="N661" s="6" t="s">
        <v>259</v>
      </c>
      <c r="O661" s="6" t="s">
        <v>178</v>
      </c>
      <c r="P661" s="10">
        <v>45953.0</v>
      </c>
    </row>
    <row r="662" ht="22.5" customHeight="1">
      <c r="A662" s="6" t="s">
        <v>5091</v>
      </c>
      <c r="B662" s="6" t="s">
        <v>5093</v>
      </c>
      <c r="C662" s="6" t="s">
        <v>1811</v>
      </c>
      <c r="D662" s="6" t="s">
        <v>145</v>
      </c>
      <c r="E662" s="6" t="s">
        <v>147</v>
      </c>
      <c r="F662" s="8">
        <v>17.0</v>
      </c>
      <c r="G662" s="9">
        <v>254.23</v>
      </c>
      <c r="H662" s="9">
        <v>5968.24</v>
      </c>
      <c r="I662" s="6" t="s">
        <v>161</v>
      </c>
      <c r="J662" s="6" t="s">
        <v>259</v>
      </c>
      <c r="K662" s="6" t="s">
        <v>5095</v>
      </c>
      <c r="L662" s="6">
        <v>4.4216226886E10</v>
      </c>
      <c r="M662" s="6" t="s">
        <v>5096</v>
      </c>
      <c r="N662" s="6" t="s">
        <v>112</v>
      </c>
      <c r="O662" s="6" t="s">
        <v>178</v>
      </c>
      <c r="P662" s="10">
        <v>46020.0</v>
      </c>
    </row>
    <row r="663" ht="22.5" customHeight="1">
      <c r="A663" s="6" t="s">
        <v>5097</v>
      </c>
      <c r="B663" s="6" t="s">
        <v>5098</v>
      </c>
      <c r="C663" s="6" t="s">
        <v>5100</v>
      </c>
      <c r="D663" s="6" t="s">
        <v>206</v>
      </c>
      <c r="E663" s="6" t="s">
        <v>147</v>
      </c>
      <c r="F663" s="8">
        <v>26.0</v>
      </c>
      <c r="G663" s="9">
        <v>337.89</v>
      </c>
      <c r="H663" s="9">
        <v>5522.25</v>
      </c>
      <c r="I663" s="6" t="s">
        <v>161</v>
      </c>
      <c r="J663" s="6" t="s">
        <v>163</v>
      </c>
      <c r="K663" s="6" t="s">
        <v>5101</v>
      </c>
      <c r="L663" s="6">
        <v>5.0803288778E10</v>
      </c>
      <c r="M663" s="6" t="s">
        <v>5103</v>
      </c>
      <c r="N663" s="6" t="s">
        <v>259</v>
      </c>
      <c r="O663" s="6" t="s">
        <v>178</v>
      </c>
      <c r="P663" s="10">
        <v>46019.0</v>
      </c>
    </row>
    <row r="664" ht="22.5" customHeight="1">
      <c r="A664" s="6" t="s">
        <v>5104</v>
      </c>
      <c r="B664" s="6" t="s">
        <v>5105</v>
      </c>
      <c r="C664" s="6" t="s">
        <v>5106</v>
      </c>
      <c r="D664" s="6" t="s">
        <v>206</v>
      </c>
      <c r="E664" s="6" t="s">
        <v>301</v>
      </c>
      <c r="F664" s="8">
        <v>50.0</v>
      </c>
      <c r="G664" s="9">
        <v>1417.72</v>
      </c>
      <c r="H664" s="9">
        <v>7230.57</v>
      </c>
      <c r="I664" s="6" t="s">
        <v>161</v>
      </c>
      <c r="J664" s="6" t="s">
        <v>442</v>
      </c>
      <c r="K664" s="6" t="s">
        <v>5108</v>
      </c>
      <c r="L664" s="6">
        <v>2.2713182786E10</v>
      </c>
      <c r="M664" s="6" t="s">
        <v>5109</v>
      </c>
      <c r="N664" s="6" t="s">
        <v>259</v>
      </c>
      <c r="O664" s="6" t="s">
        <v>178</v>
      </c>
      <c r="P664" s="10">
        <v>46020.0</v>
      </c>
    </row>
    <row r="665" ht="22.5" customHeight="1">
      <c r="A665" s="6" t="s">
        <v>5111</v>
      </c>
      <c r="B665" s="6" t="s">
        <v>5112</v>
      </c>
      <c r="C665" s="6" t="s">
        <v>5113</v>
      </c>
      <c r="D665" s="6" t="s">
        <v>383</v>
      </c>
      <c r="E665" s="6" t="s">
        <v>147</v>
      </c>
      <c r="F665" s="8">
        <v>23.0</v>
      </c>
      <c r="G665" s="9">
        <v>1756.75</v>
      </c>
      <c r="H665" s="9">
        <v>9813.65</v>
      </c>
      <c r="I665" s="6" t="s">
        <v>161</v>
      </c>
      <c r="J665" s="6" t="s">
        <v>442</v>
      </c>
      <c r="K665" s="6" t="s">
        <v>5115</v>
      </c>
      <c r="L665" s="6">
        <v>2.325058087E10</v>
      </c>
      <c r="M665" s="6" t="s">
        <v>5116</v>
      </c>
      <c r="N665" s="6" t="s">
        <v>176</v>
      </c>
      <c r="O665" s="6" t="s">
        <v>178</v>
      </c>
      <c r="P665" s="10">
        <v>46043.0</v>
      </c>
    </row>
    <row r="666" ht="22.5" customHeight="1">
      <c r="A666" s="6" t="s">
        <v>5117</v>
      </c>
      <c r="B666" s="6" t="s">
        <v>5118</v>
      </c>
      <c r="C666" s="6" t="s">
        <v>5119</v>
      </c>
      <c r="D666" s="6" t="s">
        <v>145</v>
      </c>
      <c r="E666" s="6" t="s">
        <v>147</v>
      </c>
      <c r="F666" s="8">
        <v>5.0</v>
      </c>
      <c r="G666" s="9">
        <v>742.94</v>
      </c>
      <c r="H666" s="9">
        <v>6924.48</v>
      </c>
      <c r="I666" s="6" t="s">
        <v>161</v>
      </c>
      <c r="J666" s="6" t="s">
        <v>479</v>
      </c>
      <c r="K666" s="6" t="s">
        <v>5121</v>
      </c>
      <c r="L666" s="6">
        <v>3.92665683E9</v>
      </c>
      <c r="M666" s="6" t="s">
        <v>5122</v>
      </c>
      <c r="N666" s="6" t="s">
        <v>176</v>
      </c>
      <c r="O666" s="6" t="s">
        <v>178</v>
      </c>
      <c r="P666" s="10">
        <v>45958.0</v>
      </c>
    </row>
    <row r="667" ht="22.5" customHeight="1">
      <c r="A667" s="6" t="s">
        <v>5124</v>
      </c>
      <c r="B667" s="6" t="s">
        <v>5125</v>
      </c>
      <c r="C667" s="6" t="s">
        <v>5126</v>
      </c>
      <c r="D667" s="6" t="s">
        <v>145</v>
      </c>
      <c r="E667" s="6" t="s">
        <v>147</v>
      </c>
      <c r="F667" s="8">
        <v>18.0</v>
      </c>
      <c r="G667" s="9">
        <v>1585.76</v>
      </c>
      <c r="H667" s="9">
        <v>5639.08</v>
      </c>
      <c r="I667" s="6" t="s">
        <v>161</v>
      </c>
      <c r="J667" s="6" t="s">
        <v>577</v>
      </c>
      <c r="K667" s="6" t="s">
        <v>5127</v>
      </c>
      <c r="L667" s="6">
        <v>6.0176162628E10</v>
      </c>
      <c r="M667" s="6" t="s">
        <v>5128</v>
      </c>
      <c r="N667" s="6" t="s">
        <v>112</v>
      </c>
      <c r="O667" s="6" t="s">
        <v>178</v>
      </c>
      <c r="P667" s="10">
        <v>45983.0</v>
      </c>
    </row>
    <row r="668" ht="22.5" customHeight="1">
      <c r="A668" s="6" t="s">
        <v>5130</v>
      </c>
      <c r="B668" s="6" t="s">
        <v>5131</v>
      </c>
      <c r="C668" s="6" t="s">
        <v>5132</v>
      </c>
      <c r="D668" s="6" t="s">
        <v>145</v>
      </c>
      <c r="E668" s="6" t="s">
        <v>301</v>
      </c>
      <c r="F668" s="8">
        <v>37.0</v>
      </c>
      <c r="G668" s="9">
        <v>481.95</v>
      </c>
      <c r="H668" s="9">
        <v>11157.05</v>
      </c>
      <c r="I668" s="6" t="s">
        <v>161</v>
      </c>
      <c r="J668" s="6" t="s">
        <v>163</v>
      </c>
      <c r="K668" s="6" t="s">
        <v>5134</v>
      </c>
      <c r="L668" s="6">
        <v>6.2417352361E10</v>
      </c>
      <c r="M668" s="6" t="s">
        <v>5135</v>
      </c>
      <c r="N668" s="6" t="s">
        <v>427</v>
      </c>
      <c r="O668" s="6" t="s">
        <v>178</v>
      </c>
      <c r="P668" s="10">
        <v>46042.0</v>
      </c>
    </row>
    <row r="669" ht="22.5" customHeight="1">
      <c r="A669" s="6" t="s">
        <v>5136</v>
      </c>
      <c r="B669" s="6" t="s">
        <v>5137</v>
      </c>
      <c r="C669" s="6" t="s">
        <v>5139</v>
      </c>
      <c r="D669" s="6" t="s">
        <v>145</v>
      </c>
      <c r="E669" s="6" t="s">
        <v>210</v>
      </c>
      <c r="F669" s="8">
        <v>75.0</v>
      </c>
      <c r="G669" s="9">
        <v>859.29</v>
      </c>
      <c r="H669" s="9">
        <v>1995.18</v>
      </c>
      <c r="I669" s="6" t="s">
        <v>178</v>
      </c>
      <c r="J669" s="6" t="s">
        <v>312</v>
      </c>
      <c r="K669" s="6" t="s">
        <v>5140</v>
      </c>
      <c r="L669" s="6">
        <v>4.4360415244E10</v>
      </c>
      <c r="M669" s="6" t="s">
        <v>5141</v>
      </c>
      <c r="N669" s="6" t="s">
        <v>259</v>
      </c>
      <c r="O669" s="6" t="s">
        <v>161</v>
      </c>
      <c r="P669" s="10">
        <v>46004.0</v>
      </c>
    </row>
    <row r="670" ht="22.5" customHeight="1">
      <c r="A670" s="6" t="s">
        <v>5143</v>
      </c>
      <c r="B670" s="6" t="s">
        <v>5144</v>
      </c>
      <c r="C670" s="6" t="s">
        <v>5145</v>
      </c>
      <c r="D670" s="6" t="s">
        <v>206</v>
      </c>
      <c r="E670" s="6" t="s">
        <v>147</v>
      </c>
      <c r="F670" s="8">
        <v>23.0</v>
      </c>
      <c r="G670" s="9">
        <v>550.62</v>
      </c>
      <c r="H670" s="9">
        <v>13341.69</v>
      </c>
      <c r="I670" s="6" t="s">
        <v>161</v>
      </c>
      <c r="J670" s="6" t="s">
        <v>357</v>
      </c>
      <c r="K670" s="6" t="s">
        <v>5146</v>
      </c>
      <c r="L670" s="6">
        <v>4.2932253434E10</v>
      </c>
      <c r="M670" s="6" t="s">
        <v>5148</v>
      </c>
      <c r="N670" s="6" t="s">
        <v>283</v>
      </c>
      <c r="O670" s="6" t="s">
        <v>178</v>
      </c>
      <c r="P670" s="10">
        <v>45945.0</v>
      </c>
    </row>
    <row r="671" ht="22.5" customHeight="1">
      <c r="A671" s="6" t="s">
        <v>5149</v>
      </c>
      <c r="B671" s="6" t="s">
        <v>5150</v>
      </c>
      <c r="C671" s="6" t="s">
        <v>5151</v>
      </c>
      <c r="D671" s="6" t="s">
        <v>145</v>
      </c>
      <c r="E671" s="6" t="s">
        <v>301</v>
      </c>
      <c r="F671" s="8">
        <v>30.0</v>
      </c>
      <c r="G671" s="9">
        <v>769.72</v>
      </c>
      <c r="H671" s="9">
        <v>2890.37</v>
      </c>
      <c r="I671" s="6" t="s">
        <v>161</v>
      </c>
      <c r="J671" s="6" t="s">
        <v>465</v>
      </c>
      <c r="K671" s="6" t="s">
        <v>5153</v>
      </c>
      <c r="L671" s="6">
        <v>2.9894755111E10</v>
      </c>
      <c r="M671" s="6" t="s">
        <v>5154</v>
      </c>
      <c r="N671" s="6" t="s">
        <v>427</v>
      </c>
      <c r="O671" s="6" t="s">
        <v>178</v>
      </c>
      <c r="P671" s="10">
        <v>46014.0</v>
      </c>
    </row>
    <row r="672" ht="22.5" customHeight="1">
      <c r="A672" s="6" t="s">
        <v>5156</v>
      </c>
      <c r="B672" s="6" t="s">
        <v>5157</v>
      </c>
      <c r="C672" s="6" t="s">
        <v>5158</v>
      </c>
      <c r="D672" s="6" t="s">
        <v>206</v>
      </c>
      <c r="E672" s="6" t="s">
        <v>147</v>
      </c>
      <c r="F672" s="8">
        <v>15.0</v>
      </c>
      <c r="G672" s="9">
        <v>903.27</v>
      </c>
      <c r="H672" s="9">
        <v>12900.66</v>
      </c>
      <c r="I672" s="6" t="s">
        <v>161</v>
      </c>
      <c r="J672" s="6" t="s">
        <v>577</v>
      </c>
      <c r="K672" s="6" t="s">
        <v>5159</v>
      </c>
      <c r="L672" s="6">
        <v>3.273348898E9</v>
      </c>
      <c r="M672" s="6" t="s">
        <v>5161</v>
      </c>
      <c r="N672" s="6" t="s">
        <v>112</v>
      </c>
      <c r="O672" s="6" t="s">
        <v>178</v>
      </c>
      <c r="P672" s="10">
        <v>46040.0</v>
      </c>
    </row>
    <row r="673" ht="22.5" customHeight="1">
      <c r="A673" s="6" t="s">
        <v>5162</v>
      </c>
      <c r="B673" s="6" t="s">
        <v>5163</v>
      </c>
      <c r="C673" s="6" t="s">
        <v>5164</v>
      </c>
      <c r="D673" s="6" t="s">
        <v>383</v>
      </c>
      <c r="E673" s="6" t="s">
        <v>301</v>
      </c>
      <c r="F673" s="8">
        <v>58.0</v>
      </c>
      <c r="G673" s="9">
        <v>325.23</v>
      </c>
      <c r="H673" s="9">
        <v>1668.03</v>
      </c>
      <c r="I673" s="6" t="s">
        <v>161</v>
      </c>
      <c r="J673" s="6" t="s">
        <v>479</v>
      </c>
      <c r="K673" s="6" t="s">
        <v>5166</v>
      </c>
      <c r="L673" s="6">
        <v>1.4019063263E10</v>
      </c>
      <c r="M673" s="6" t="s">
        <v>5167</v>
      </c>
      <c r="N673" s="6" t="s">
        <v>112</v>
      </c>
      <c r="O673" s="6" t="s">
        <v>178</v>
      </c>
      <c r="P673" s="10">
        <v>46041.0</v>
      </c>
    </row>
    <row r="674" ht="22.5" customHeight="1">
      <c r="A674" s="6" t="s">
        <v>5169</v>
      </c>
      <c r="B674" s="6" t="s">
        <v>5170</v>
      </c>
      <c r="C674" s="6" t="s">
        <v>5171</v>
      </c>
      <c r="D674" s="6" t="s">
        <v>145</v>
      </c>
      <c r="E674" s="6" t="s">
        <v>301</v>
      </c>
      <c r="F674" s="8">
        <v>36.0</v>
      </c>
      <c r="G674" s="9">
        <v>1640.85</v>
      </c>
      <c r="H674" s="9">
        <v>7987.26</v>
      </c>
      <c r="I674" s="6" t="s">
        <v>178</v>
      </c>
      <c r="J674" s="6" t="s">
        <v>312</v>
      </c>
      <c r="K674" s="6" t="s">
        <v>5172</v>
      </c>
      <c r="L674" s="6">
        <v>1.5739941439E10</v>
      </c>
      <c r="M674" s="6" t="s">
        <v>5173</v>
      </c>
      <c r="N674" s="6" t="s">
        <v>259</v>
      </c>
      <c r="O674" s="6" t="s">
        <v>161</v>
      </c>
      <c r="P674" s="10">
        <v>45997.0</v>
      </c>
    </row>
    <row r="675" ht="22.5" customHeight="1">
      <c r="A675" s="6" t="s">
        <v>5175</v>
      </c>
      <c r="B675" s="6" t="s">
        <v>5176</v>
      </c>
      <c r="C675" s="6" t="s">
        <v>5177</v>
      </c>
      <c r="D675" s="6" t="s">
        <v>145</v>
      </c>
      <c r="E675" s="6" t="s">
        <v>147</v>
      </c>
      <c r="F675" s="8">
        <v>25.0</v>
      </c>
      <c r="G675" s="9">
        <v>1552.88</v>
      </c>
      <c r="H675" s="9">
        <v>5872.96</v>
      </c>
      <c r="I675" s="6" t="s">
        <v>161</v>
      </c>
      <c r="J675" s="6" t="s">
        <v>465</v>
      </c>
      <c r="K675" s="6" t="s">
        <v>5178</v>
      </c>
      <c r="L675" s="6">
        <v>6.2199268875E10</v>
      </c>
      <c r="M675" s="6" t="s">
        <v>5179</v>
      </c>
      <c r="N675" s="6" t="s">
        <v>427</v>
      </c>
      <c r="O675" s="6" t="s">
        <v>178</v>
      </c>
      <c r="P675" s="10">
        <v>45958.0</v>
      </c>
    </row>
    <row r="676" ht="22.5" customHeight="1">
      <c r="A676" s="6" t="s">
        <v>5181</v>
      </c>
      <c r="B676" s="6" t="s">
        <v>5182</v>
      </c>
      <c r="C676" s="6" t="s">
        <v>5183</v>
      </c>
      <c r="D676" s="6" t="s">
        <v>206</v>
      </c>
      <c r="E676" s="6" t="s">
        <v>147</v>
      </c>
      <c r="F676" s="8">
        <v>7.0</v>
      </c>
      <c r="G676" s="9">
        <v>104.67</v>
      </c>
      <c r="H676" s="9">
        <v>3905.46</v>
      </c>
      <c r="I676" s="6" t="s">
        <v>161</v>
      </c>
      <c r="J676" s="6" t="s">
        <v>163</v>
      </c>
      <c r="K676" s="6" t="s">
        <v>5184</v>
      </c>
      <c r="L676" s="6" t="s">
        <v>259</v>
      </c>
      <c r="M676" s="6" t="s">
        <v>5185</v>
      </c>
      <c r="N676" s="6" t="s">
        <v>112</v>
      </c>
      <c r="O676" s="6" t="s">
        <v>178</v>
      </c>
      <c r="P676" s="10">
        <v>46036.0</v>
      </c>
    </row>
    <row r="677" ht="22.5" customHeight="1">
      <c r="A677" s="6" t="s">
        <v>5187</v>
      </c>
      <c r="B677" s="6" t="s">
        <v>5188</v>
      </c>
      <c r="C677" s="6" t="s">
        <v>5189</v>
      </c>
      <c r="D677" s="6" t="s">
        <v>145</v>
      </c>
      <c r="E677" s="6" t="s">
        <v>301</v>
      </c>
      <c r="F677" s="8">
        <v>38.0</v>
      </c>
      <c r="G677" s="9">
        <v>623.41</v>
      </c>
      <c r="H677" s="9">
        <v>7083.57</v>
      </c>
      <c r="I677" s="6" t="s">
        <v>161</v>
      </c>
      <c r="J677" s="6" t="s">
        <v>465</v>
      </c>
      <c r="K677" s="6" t="s">
        <v>259</v>
      </c>
      <c r="L677" s="6">
        <v>1.9879695629E10</v>
      </c>
      <c r="M677" s="6" t="s">
        <v>5190</v>
      </c>
      <c r="N677" s="6" t="s">
        <v>112</v>
      </c>
      <c r="O677" s="6" t="s">
        <v>178</v>
      </c>
      <c r="P677" s="10">
        <v>46034.0</v>
      </c>
    </row>
    <row r="678" ht="22.5" customHeight="1">
      <c r="A678" s="6" t="s">
        <v>5192</v>
      </c>
      <c r="B678" s="6" t="s">
        <v>5193</v>
      </c>
      <c r="C678" s="6" t="s">
        <v>5194</v>
      </c>
      <c r="D678" s="6" t="s">
        <v>145</v>
      </c>
      <c r="E678" s="6" t="s">
        <v>301</v>
      </c>
      <c r="F678" s="8">
        <v>37.0</v>
      </c>
      <c r="G678" s="9">
        <v>1351.88</v>
      </c>
      <c r="H678" s="9">
        <v>1923.45</v>
      </c>
      <c r="I678" s="6" t="s">
        <v>161</v>
      </c>
      <c r="J678" s="6" t="s">
        <v>163</v>
      </c>
      <c r="K678" s="6" t="s">
        <v>5195</v>
      </c>
      <c r="L678" s="6">
        <v>7.1245648156E10</v>
      </c>
      <c r="M678" s="6" t="s">
        <v>5196</v>
      </c>
      <c r="N678" s="6" t="s">
        <v>176</v>
      </c>
      <c r="O678" s="6" t="s">
        <v>178</v>
      </c>
      <c r="P678" s="10">
        <v>45946.0</v>
      </c>
    </row>
    <row r="679" ht="22.5" customHeight="1">
      <c r="A679" s="6" t="s">
        <v>5197</v>
      </c>
      <c r="B679" s="6" t="s">
        <v>5198</v>
      </c>
      <c r="C679" s="6" t="s">
        <v>5200</v>
      </c>
      <c r="D679" s="6" t="s">
        <v>206</v>
      </c>
      <c r="E679" s="6" t="s">
        <v>301</v>
      </c>
      <c r="F679" s="8">
        <v>49.0</v>
      </c>
      <c r="G679" s="9">
        <v>1296.93</v>
      </c>
      <c r="H679" s="9">
        <v>10859.17</v>
      </c>
      <c r="I679" s="6" t="s">
        <v>161</v>
      </c>
      <c r="J679" s="6" t="s">
        <v>442</v>
      </c>
      <c r="K679" s="6" t="s">
        <v>5201</v>
      </c>
      <c r="L679" s="6">
        <v>2.2370404028E10</v>
      </c>
      <c r="M679" s="6" t="s">
        <v>5202</v>
      </c>
      <c r="N679" s="6" t="s">
        <v>427</v>
      </c>
      <c r="O679" s="6" t="s">
        <v>178</v>
      </c>
      <c r="P679" s="10">
        <v>45966.0</v>
      </c>
    </row>
    <row r="680" ht="22.5" customHeight="1">
      <c r="A680" s="6" t="s">
        <v>5203</v>
      </c>
      <c r="B680" s="6" t="s">
        <v>5204</v>
      </c>
      <c r="C680" s="6" t="s">
        <v>5205</v>
      </c>
      <c r="D680" s="6" t="s">
        <v>206</v>
      </c>
      <c r="E680" s="6" t="s">
        <v>147</v>
      </c>
      <c r="F680" s="8">
        <v>22.0</v>
      </c>
      <c r="G680" s="9">
        <v>482.78</v>
      </c>
      <c r="H680" s="9">
        <v>13058.99</v>
      </c>
      <c r="I680" s="6" t="s">
        <v>161</v>
      </c>
      <c r="J680" s="6" t="s">
        <v>479</v>
      </c>
      <c r="K680" s="6" t="s">
        <v>5206</v>
      </c>
      <c r="L680" s="6">
        <v>5.4354694357E10</v>
      </c>
      <c r="M680" s="6" t="s">
        <v>5208</v>
      </c>
      <c r="N680" s="6" t="s">
        <v>259</v>
      </c>
      <c r="O680" s="6" t="s">
        <v>178</v>
      </c>
      <c r="P680" s="10">
        <v>45980.0</v>
      </c>
    </row>
    <row r="681" ht="22.5" customHeight="1">
      <c r="A681" s="6" t="s">
        <v>5209</v>
      </c>
      <c r="B681" s="6" t="s">
        <v>5210</v>
      </c>
      <c r="C681" s="6" t="s">
        <v>5211</v>
      </c>
      <c r="D681" s="6" t="s">
        <v>206</v>
      </c>
      <c r="E681" s="6" t="s">
        <v>147</v>
      </c>
      <c r="F681" s="8">
        <v>21.0</v>
      </c>
      <c r="G681" s="9">
        <v>1481.4</v>
      </c>
      <c r="H681" s="9">
        <v>7518.02</v>
      </c>
      <c r="I681" s="6" t="s">
        <v>161</v>
      </c>
      <c r="J681" s="6" t="s">
        <v>595</v>
      </c>
      <c r="K681" s="6" t="s">
        <v>5213</v>
      </c>
      <c r="L681" s="6">
        <v>2.8160576852E10</v>
      </c>
      <c r="M681" s="6" t="s">
        <v>5214</v>
      </c>
      <c r="N681" s="6" t="s">
        <v>176</v>
      </c>
      <c r="O681" s="6" t="s">
        <v>178</v>
      </c>
      <c r="P681" s="10">
        <v>46026.0</v>
      </c>
    </row>
    <row r="682" ht="22.5" customHeight="1">
      <c r="A682" s="6" t="s">
        <v>5215</v>
      </c>
      <c r="B682" s="6" t="s">
        <v>5216</v>
      </c>
      <c r="C682" s="6" t="s">
        <v>5217</v>
      </c>
      <c r="D682" s="6" t="s">
        <v>145</v>
      </c>
      <c r="E682" s="6" t="s">
        <v>147</v>
      </c>
      <c r="F682" s="8">
        <v>27.0</v>
      </c>
      <c r="G682" s="9">
        <v>421.62</v>
      </c>
      <c r="H682" s="9">
        <v>13551.63</v>
      </c>
      <c r="I682" s="6" t="s">
        <v>161</v>
      </c>
      <c r="J682" s="6" t="s">
        <v>393</v>
      </c>
      <c r="K682" s="6" t="s">
        <v>5219</v>
      </c>
      <c r="L682" s="6">
        <v>2.3942773172E10</v>
      </c>
      <c r="M682" s="6" t="s">
        <v>5220</v>
      </c>
      <c r="N682" s="6" t="s">
        <v>176</v>
      </c>
      <c r="O682" s="6" t="s">
        <v>178</v>
      </c>
      <c r="P682" s="10">
        <v>46048.0</v>
      </c>
    </row>
    <row r="683" ht="22.5" customHeight="1">
      <c r="A683" s="6" t="s">
        <v>5222</v>
      </c>
      <c r="B683" s="6" t="s">
        <v>5223</v>
      </c>
      <c r="C683" s="6" t="s">
        <v>5224</v>
      </c>
      <c r="D683" s="6" t="s">
        <v>383</v>
      </c>
      <c r="E683" s="6" t="s">
        <v>147</v>
      </c>
      <c r="F683" s="8">
        <v>23.0</v>
      </c>
      <c r="G683" s="9">
        <v>496.67</v>
      </c>
      <c r="H683" s="9">
        <v>12604.16</v>
      </c>
      <c r="I683" s="6" t="s">
        <v>161</v>
      </c>
      <c r="J683" s="6" t="s">
        <v>312</v>
      </c>
      <c r="K683" s="6" t="s">
        <v>5225</v>
      </c>
      <c r="L683" s="6">
        <v>6.1283902175E10</v>
      </c>
      <c r="M683" s="6" t="s">
        <v>5227</v>
      </c>
      <c r="N683" s="6" t="s">
        <v>427</v>
      </c>
      <c r="O683" s="6" t="s">
        <v>178</v>
      </c>
      <c r="P683" s="10">
        <v>45934.0</v>
      </c>
    </row>
    <row r="684" ht="22.5" customHeight="1">
      <c r="A684" s="6" t="s">
        <v>5228</v>
      </c>
      <c r="B684" s="6" t="s">
        <v>5229</v>
      </c>
      <c r="C684" s="6" t="s">
        <v>5230</v>
      </c>
      <c r="D684" s="6" t="s">
        <v>206</v>
      </c>
      <c r="E684" s="6" t="s">
        <v>301</v>
      </c>
      <c r="F684" s="8">
        <v>40.0</v>
      </c>
      <c r="G684" s="9">
        <v>163.53</v>
      </c>
      <c r="H684" s="9">
        <v>12320.79</v>
      </c>
      <c r="I684" s="6" t="s">
        <v>178</v>
      </c>
      <c r="J684" s="6" t="s">
        <v>312</v>
      </c>
      <c r="K684" s="6" t="s">
        <v>5232</v>
      </c>
      <c r="L684" s="6">
        <v>4.3574292606E10</v>
      </c>
      <c r="M684" s="6" t="s">
        <v>5233</v>
      </c>
      <c r="N684" s="6" t="s">
        <v>427</v>
      </c>
      <c r="O684" s="6" t="s">
        <v>161</v>
      </c>
      <c r="P684" s="10">
        <v>45991.0</v>
      </c>
    </row>
    <row r="685" ht="22.5" customHeight="1">
      <c r="A685" s="6" t="s">
        <v>5234</v>
      </c>
      <c r="B685" s="6" t="s">
        <v>5235</v>
      </c>
      <c r="C685" s="6" t="s">
        <v>5236</v>
      </c>
      <c r="D685" s="6" t="s">
        <v>206</v>
      </c>
      <c r="E685" s="6" t="s">
        <v>147</v>
      </c>
      <c r="F685" s="8">
        <v>23.0</v>
      </c>
      <c r="G685" s="9">
        <v>983.13</v>
      </c>
      <c r="H685" s="9">
        <v>3397.57</v>
      </c>
      <c r="I685" s="6" t="s">
        <v>161</v>
      </c>
      <c r="J685" s="6" t="s">
        <v>465</v>
      </c>
      <c r="K685" s="6" t="s">
        <v>5238</v>
      </c>
      <c r="L685" s="6">
        <v>3.8113071025E10</v>
      </c>
      <c r="M685" s="6" t="s">
        <v>5239</v>
      </c>
      <c r="N685" s="6" t="s">
        <v>176</v>
      </c>
      <c r="O685" s="6" t="s">
        <v>178</v>
      </c>
      <c r="P685" s="10">
        <v>45998.0</v>
      </c>
    </row>
    <row r="686" ht="22.5" customHeight="1">
      <c r="A686" s="6" t="s">
        <v>5240</v>
      </c>
      <c r="B686" s="6" t="s">
        <v>5241</v>
      </c>
      <c r="C686" s="6" t="s">
        <v>5242</v>
      </c>
      <c r="D686" s="6" t="s">
        <v>145</v>
      </c>
      <c r="E686" s="6" t="s">
        <v>301</v>
      </c>
      <c r="F686" s="8">
        <v>36.0</v>
      </c>
      <c r="G686" s="9">
        <v>167.17</v>
      </c>
      <c r="H686" s="9">
        <v>4950.98</v>
      </c>
      <c r="I686" s="6" t="s">
        <v>161</v>
      </c>
      <c r="J686" s="6" t="s">
        <v>465</v>
      </c>
      <c r="K686" s="6" t="s">
        <v>5244</v>
      </c>
      <c r="L686" s="6">
        <v>3.0263826702E10</v>
      </c>
      <c r="M686" s="6" t="s">
        <v>5245</v>
      </c>
      <c r="N686" s="6" t="s">
        <v>427</v>
      </c>
      <c r="O686" s="6" t="s">
        <v>178</v>
      </c>
      <c r="P686" s="10">
        <v>45993.0</v>
      </c>
    </row>
    <row r="687" ht="22.5" customHeight="1">
      <c r="A687" s="6" t="s">
        <v>5246</v>
      </c>
      <c r="B687" s="6" t="s">
        <v>5247</v>
      </c>
      <c r="C687" s="6" t="s">
        <v>5248</v>
      </c>
      <c r="D687" s="6" t="s">
        <v>145</v>
      </c>
      <c r="E687" s="6" t="s">
        <v>147</v>
      </c>
      <c r="F687" s="8">
        <v>5.0</v>
      </c>
      <c r="G687" s="9">
        <v>516.47</v>
      </c>
      <c r="H687" s="9">
        <v>13344.25</v>
      </c>
      <c r="I687" s="6" t="s">
        <v>161</v>
      </c>
      <c r="J687" s="6" t="s">
        <v>312</v>
      </c>
      <c r="K687" s="6" t="s">
        <v>5250</v>
      </c>
      <c r="L687" s="6">
        <v>3.2808701343E10</v>
      </c>
      <c r="M687" s="6" t="s">
        <v>5251</v>
      </c>
      <c r="N687" s="6" t="s">
        <v>283</v>
      </c>
      <c r="O687" s="6" t="s">
        <v>178</v>
      </c>
      <c r="P687" s="10">
        <v>45964.0</v>
      </c>
    </row>
    <row r="688" ht="22.5" customHeight="1">
      <c r="A688" s="6" t="s">
        <v>5252</v>
      </c>
      <c r="B688" s="6" t="s">
        <v>5253</v>
      </c>
      <c r="C688" s="6" t="s">
        <v>5254</v>
      </c>
      <c r="D688" s="6" t="s">
        <v>145</v>
      </c>
      <c r="E688" s="6" t="s">
        <v>301</v>
      </c>
      <c r="F688" s="8">
        <v>39.0</v>
      </c>
      <c r="G688" s="9">
        <v>677.41</v>
      </c>
      <c r="H688" s="9">
        <v>4274.57</v>
      </c>
      <c r="I688" s="6" t="s">
        <v>161</v>
      </c>
      <c r="J688" s="6" t="s">
        <v>228</v>
      </c>
      <c r="K688" s="6" t="s">
        <v>5256</v>
      </c>
      <c r="L688" s="6">
        <v>1.720452685E9</v>
      </c>
      <c r="M688" s="6" t="s">
        <v>5257</v>
      </c>
      <c r="N688" s="6" t="s">
        <v>176</v>
      </c>
      <c r="O688" s="6" t="s">
        <v>178</v>
      </c>
      <c r="P688" s="10">
        <v>45984.0</v>
      </c>
    </row>
    <row r="689" ht="22.5" customHeight="1">
      <c r="A689" s="6" t="s">
        <v>5258</v>
      </c>
      <c r="B689" s="6" t="s">
        <v>5259</v>
      </c>
      <c r="C689" s="6" t="s">
        <v>5260</v>
      </c>
      <c r="D689" s="6" t="s">
        <v>206</v>
      </c>
      <c r="E689" s="6" t="s">
        <v>147</v>
      </c>
      <c r="F689" s="8">
        <v>27.0</v>
      </c>
      <c r="G689" s="9">
        <v>572.07</v>
      </c>
      <c r="H689" s="9">
        <v>14082.08</v>
      </c>
      <c r="I689" s="6" t="s">
        <v>161</v>
      </c>
      <c r="J689" s="6" t="s">
        <v>357</v>
      </c>
      <c r="K689" s="6" t="s">
        <v>5262</v>
      </c>
      <c r="L689" s="6">
        <v>2.5658124701E10</v>
      </c>
      <c r="M689" s="6" t="s">
        <v>5263</v>
      </c>
      <c r="N689" s="6" t="s">
        <v>176</v>
      </c>
      <c r="O689" s="6" t="s">
        <v>178</v>
      </c>
      <c r="P689" s="10">
        <v>46006.0</v>
      </c>
    </row>
    <row r="690" ht="22.5" customHeight="1">
      <c r="A690" s="6" t="s">
        <v>5264</v>
      </c>
      <c r="B690" s="6" t="s">
        <v>5265</v>
      </c>
      <c r="C690" s="6" t="s">
        <v>5266</v>
      </c>
      <c r="D690" s="6" t="s">
        <v>383</v>
      </c>
      <c r="E690" s="6" t="s">
        <v>301</v>
      </c>
      <c r="F690" s="8">
        <v>42.0</v>
      </c>
      <c r="G690" s="9">
        <v>702.35</v>
      </c>
      <c r="H690" s="9">
        <v>8052.33</v>
      </c>
      <c r="I690" s="6" t="s">
        <v>161</v>
      </c>
      <c r="J690" s="6" t="s">
        <v>479</v>
      </c>
      <c r="K690" s="6" t="s">
        <v>5268</v>
      </c>
      <c r="L690" s="6" t="s">
        <v>259</v>
      </c>
      <c r="M690" s="6" t="s">
        <v>5269</v>
      </c>
      <c r="N690" s="6" t="s">
        <v>427</v>
      </c>
      <c r="O690" s="6" t="s">
        <v>178</v>
      </c>
      <c r="P690" s="10">
        <v>45991.0</v>
      </c>
    </row>
    <row r="691" ht="22.5" customHeight="1">
      <c r="A691" s="6" t="s">
        <v>5270</v>
      </c>
      <c r="B691" s="6" t="s">
        <v>5271</v>
      </c>
      <c r="C691" s="6" t="s">
        <v>5272</v>
      </c>
      <c r="D691" s="6" t="s">
        <v>206</v>
      </c>
      <c r="E691" s="6" t="s">
        <v>147</v>
      </c>
      <c r="F691" s="8">
        <v>24.0</v>
      </c>
      <c r="G691" s="9">
        <v>1732.45</v>
      </c>
      <c r="H691" s="9">
        <v>12589.13</v>
      </c>
      <c r="I691" s="6" t="s">
        <v>161</v>
      </c>
      <c r="J691" s="6" t="s">
        <v>479</v>
      </c>
      <c r="K691" s="6" t="s">
        <v>259</v>
      </c>
      <c r="L691" s="6">
        <v>2.3627261614E10</v>
      </c>
      <c r="M691" s="6" t="s">
        <v>5274</v>
      </c>
      <c r="N691" s="6" t="s">
        <v>112</v>
      </c>
      <c r="O691" s="6" t="s">
        <v>178</v>
      </c>
      <c r="P691" s="10">
        <v>46013.0</v>
      </c>
    </row>
    <row r="692" ht="22.5" customHeight="1">
      <c r="A692" s="6" t="s">
        <v>5275</v>
      </c>
      <c r="B692" s="6" t="s">
        <v>5276</v>
      </c>
      <c r="C692" s="6" t="s">
        <v>5277</v>
      </c>
      <c r="D692" s="6" t="s">
        <v>206</v>
      </c>
      <c r="E692" s="6" t="s">
        <v>301</v>
      </c>
      <c r="F692" s="8">
        <v>57.0</v>
      </c>
      <c r="G692" s="9">
        <v>1208.59</v>
      </c>
      <c r="H692" s="9">
        <v>11946.47</v>
      </c>
      <c r="I692" s="6" t="s">
        <v>161</v>
      </c>
      <c r="J692" s="6" t="s">
        <v>479</v>
      </c>
      <c r="K692" s="6" t="s">
        <v>5279</v>
      </c>
      <c r="L692" s="6">
        <v>1.831131082E10</v>
      </c>
      <c r="M692" s="6" t="s">
        <v>5280</v>
      </c>
      <c r="N692" s="6" t="s">
        <v>427</v>
      </c>
      <c r="O692" s="6" t="s">
        <v>178</v>
      </c>
      <c r="P692" s="10">
        <v>45932.0</v>
      </c>
    </row>
    <row r="693" ht="22.5" customHeight="1">
      <c r="A693" s="6" t="s">
        <v>5281</v>
      </c>
      <c r="B693" s="6" t="s">
        <v>5282</v>
      </c>
      <c r="C693" s="6" t="s">
        <v>5283</v>
      </c>
      <c r="D693" s="6" t="s">
        <v>206</v>
      </c>
      <c r="E693" s="6" t="s">
        <v>147</v>
      </c>
      <c r="F693" s="8">
        <v>13.0</v>
      </c>
      <c r="G693" s="9">
        <v>994.34</v>
      </c>
      <c r="H693" s="9">
        <v>12841.46</v>
      </c>
      <c r="I693" s="6" t="s">
        <v>161</v>
      </c>
      <c r="J693" s="6" t="s">
        <v>163</v>
      </c>
      <c r="K693" s="6" t="s">
        <v>5285</v>
      </c>
      <c r="L693" s="6">
        <v>7.8277413691E10</v>
      </c>
      <c r="M693" s="6" t="s">
        <v>5286</v>
      </c>
      <c r="N693" s="6" t="s">
        <v>259</v>
      </c>
      <c r="O693" s="6" t="s">
        <v>178</v>
      </c>
      <c r="P693" s="10">
        <v>46006.0</v>
      </c>
    </row>
    <row r="694" ht="22.5" customHeight="1">
      <c r="A694" s="6" t="s">
        <v>5287</v>
      </c>
      <c r="B694" s="6" t="s">
        <v>5288</v>
      </c>
      <c r="C694" s="6" t="s">
        <v>5289</v>
      </c>
      <c r="D694" s="6" t="s">
        <v>145</v>
      </c>
      <c r="E694" s="6" t="s">
        <v>147</v>
      </c>
      <c r="F694" s="8">
        <v>18.0</v>
      </c>
      <c r="G694" s="9">
        <v>122.45</v>
      </c>
      <c r="H694" s="9">
        <v>10031.34</v>
      </c>
      <c r="I694" s="6" t="s">
        <v>161</v>
      </c>
      <c r="J694" s="6" t="s">
        <v>421</v>
      </c>
      <c r="K694" s="6" t="s">
        <v>5290</v>
      </c>
      <c r="L694" s="6">
        <v>1.3935777799E10</v>
      </c>
      <c r="M694" s="6" t="s">
        <v>5291</v>
      </c>
      <c r="N694" s="6" t="s">
        <v>176</v>
      </c>
      <c r="O694" s="6" t="s">
        <v>178</v>
      </c>
      <c r="P694" s="10">
        <v>45956.0</v>
      </c>
    </row>
    <row r="695" ht="22.5" customHeight="1">
      <c r="A695" s="6" t="s">
        <v>5293</v>
      </c>
      <c r="B695" s="6" t="s">
        <v>5294</v>
      </c>
      <c r="C695" s="6" t="s">
        <v>5295</v>
      </c>
      <c r="D695" s="6" t="s">
        <v>206</v>
      </c>
      <c r="E695" s="6" t="s">
        <v>210</v>
      </c>
      <c r="F695" s="8">
        <v>85.0</v>
      </c>
      <c r="G695" s="9">
        <v>578.33</v>
      </c>
      <c r="H695" s="9">
        <v>1941.85</v>
      </c>
      <c r="I695" s="6" t="s">
        <v>178</v>
      </c>
      <c r="J695" s="6" t="s">
        <v>465</v>
      </c>
      <c r="K695" s="6" t="s">
        <v>5296</v>
      </c>
      <c r="L695" s="6">
        <v>6.1018937204E10</v>
      </c>
      <c r="M695" s="6" t="s">
        <v>5297</v>
      </c>
      <c r="N695" s="6" t="s">
        <v>176</v>
      </c>
      <c r="O695" s="6" t="s">
        <v>161</v>
      </c>
      <c r="P695" s="10">
        <v>46033.0</v>
      </c>
    </row>
    <row r="696" ht="22.5" customHeight="1">
      <c r="A696" s="6" t="s">
        <v>5299</v>
      </c>
      <c r="B696" s="6" t="s">
        <v>5300</v>
      </c>
      <c r="C696" s="6" t="s">
        <v>5301</v>
      </c>
      <c r="D696" s="6" t="s">
        <v>145</v>
      </c>
      <c r="E696" s="6" t="s">
        <v>301</v>
      </c>
      <c r="F696" s="8">
        <v>32.0</v>
      </c>
      <c r="G696" s="9">
        <v>402.23</v>
      </c>
      <c r="H696" s="9">
        <v>12653.01</v>
      </c>
      <c r="I696" s="6" t="s">
        <v>161</v>
      </c>
      <c r="J696" s="6" t="s">
        <v>442</v>
      </c>
      <c r="K696" s="6" t="s">
        <v>5303</v>
      </c>
      <c r="L696" s="6">
        <v>1.8521191366E10</v>
      </c>
      <c r="M696" s="6" t="s">
        <v>5304</v>
      </c>
      <c r="N696" s="6" t="s">
        <v>427</v>
      </c>
      <c r="O696" s="6" t="s">
        <v>178</v>
      </c>
      <c r="P696" s="10">
        <v>46021.0</v>
      </c>
    </row>
    <row r="697" ht="22.5" customHeight="1">
      <c r="A697" s="6" t="s">
        <v>5305</v>
      </c>
      <c r="B697" s="6" t="s">
        <v>5306</v>
      </c>
      <c r="C697" s="6" t="s">
        <v>5307</v>
      </c>
      <c r="D697" s="6" t="s">
        <v>206</v>
      </c>
      <c r="E697" s="6" t="s">
        <v>301</v>
      </c>
      <c r="F697" s="8">
        <v>51.0</v>
      </c>
      <c r="G697" s="9">
        <v>134.94</v>
      </c>
      <c r="H697" s="9">
        <v>12704.37</v>
      </c>
      <c r="I697" s="6" t="s">
        <v>161</v>
      </c>
      <c r="J697" s="6" t="s">
        <v>228</v>
      </c>
      <c r="K697" s="6" t="s">
        <v>5309</v>
      </c>
      <c r="L697" s="6">
        <v>5.190090958E9</v>
      </c>
      <c r="M697" s="6" t="s">
        <v>5310</v>
      </c>
      <c r="N697" s="6" t="s">
        <v>259</v>
      </c>
      <c r="O697" s="6" t="s">
        <v>178</v>
      </c>
      <c r="P697" s="10">
        <v>46042.0</v>
      </c>
    </row>
    <row r="698" ht="22.5" customHeight="1">
      <c r="A698" s="6" t="s">
        <v>5312</v>
      </c>
      <c r="B698" s="6" t="s">
        <v>5313</v>
      </c>
      <c r="C698" s="6" t="s">
        <v>5314</v>
      </c>
      <c r="D698" s="6" t="s">
        <v>145</v>
      </c>
      <c r="E698" s="6" t="s">
        <v>301</v>
      </c>
      <c r="F698" s="8">
        <v>59.0</v>
      </c>
      <c r="G698" s="9">
        <v>861.12</v>
      </c>
      <c r="H698" s="9">
        <v>8122.12</v>
      </c>
      <c r="I698" s="6" t="s">
        <v>161</v>
      </c>
      <c r="J698" s="6" t="s">
        <v>228</v>
      </c>
      <c r="K698" s="6" t="s">
        <v>5317</v>
      </c>
      <c r="L698" s="6">
        <v>3.8151970432E10</v>
      </c>
      <c r="M698" s="6" t="s">
        <v>5318</v>
      </c>
      <c r="N698" s="6" t="s">
        <v>176</v>
      </c>
      <c r="O698" s="6" t="s">
        <v>178</v>
      </c>
      <c r="P698" s="10">
        <v>46022.0</v>
      </c>
    </row>
    <row r="699" ht="22.5" customHeight="1">
      <c r="A699" s="6" t="s">
        <v>5320</v>
      </c>
      <c r="B699" s="6" t="s">
        <v>5321</v>
      </c>
      <c r="C699" s="6" t="s">
        <v>5322</v>
      </c>
      <c r="D699" s="6" t="s">
        <v>206</v>
      </c>
      <c r="E699" s="6" t="s">
        <v>147</v>
      </c>
      <c r="F699" s="8">
        <v>13.0</v>
      </c>
      <c r="G699" s="9">
        <v>1110.76</v>
      </c>
      <c r="H699" s="9">
        <v>3001.17</v>
      </c>
      <c r="I699" s="6" t="s">
        <v>161</v>
      </c>
      <c r="J699" s="6" t="s">
        <v>421</v>
      </c>
      <c r="K699" s="6" t="s">
        <v>5324</v>
      </c>
      <c r="L699" s="6">
        <v>3.0309677761E10</v>
      </c>
      <c r="M699" s="6" t="s">
        <v>5325</v>
      </c>
      <c r="N699" s="6" t="s">
        <v>112</v>
      </c>
      <c r="O699" s="6" t="s">
        <v>178</v>
      </c>
      <c r="P699" s="10">
        <v>46045.0</v>
      </c>
    </row>
    <row r="700" ht="22.5" customHeight="1">
      <c r="A700" s="6" t="s">
        <v>5327</v>
      </c>
      <c r="B700" s="6" t="s">
        <v>5328</v>
      </c>
      <c r="C700" s="6" t="s">
        <v>5329</v>
      </c>
      <c r="D700" s="6" t="s">
        <v>206</v>
      </c>
      <c r="E700" s="6" t="s">
        <v>147</v>
      </c>
      <c r="F700" s="8">
        <v>5.0</v>
      </c>
      <c r="G700" s="9">
        <v>542.99</v>
      </c>
      <c r="H700" s="9">
        <v>14503.1</v>
      </c>
      <c r="I700" s="6" t="s">
        <v>161</v>
      </c>
      <c r="J700" s="6" t="s">
        <v>1787</v>
      </c>
      <c r="K700" s="6" t="s">
        <v>5331</v>
      </c>
      <c r="L700" s="6">
        <v>1.5112068631E10</v>
      </c>
      <c r="M700" s="6" t="s">
        <v>5332</v>
      </c>
      <c r="N700" s="6" t="s">
        <v>283</v>
      </c>
      <c r="O700" s="6" t="s">
        <v>178</v>
      </c>
      <c r="P700" s="10">
        <v>45946.0</v>
      </c>
    </row>
    <row r="701" ht="22.5" customHeight="1">
      <c r="A701" s="6" t="s">
        <v>5334</v>
      </c>
      <c r="B701" s="6" t="s">
        <v>5335</v>
      </c>
      <c r="C701" s="6" t="s">
        <v>5336</v>
      </c>
      <c r="D701" s="6" t="s">
        <v>145</v>
      </c>
      <c r="E701" s="6" t="s">
        <v>147</v>
      </c>
      <c r="F701" s="8">
        <v>27.0</v>
      </c>
      <c r="G701" s="9">
        <v>1134.51</v>
      </c>
      <c r="H701" s="9">
        <v>5272.96</v>
      </c>
      <c r="I701" s="6" t="s">
        <v>161</v>
      </c>
      <c r="J701" s="6" t="s">
        <v>421</v>
      </c>
      <c r="K701" s="6" t="s">
        <v>5338</v>
      </c>
      <c r="L701" s="6">
        <v>6.1364381006E10</v>
      </c>
      <c r="M701" s="6" t="s">
        <v>5339</v>
      </c>
      <c r="N701" s="6" t="s">
        <v>112</v>
      </c>
      <c r="O701" s="6" t="s">
        <v>178</v>
      </c>
      <c r="P701" s="10">
        <v>45959.0</v>
      </c>
    </row>
    <row r="702" ht="22.5" customHeight="1">
      <c r="A702" s="6" t="s">
        <v>5340</v>
      </c>
      <c r="B702" s="6" t="s">
        <v>5341</v>
      </c>
      <c r="C702" s="6" t="s">
        <v>5342</v>
      </c>
      <c r="D702" s="6" t="s">
        <v>206</v>
      </c>
      <c r="E702" s="6" t="s">
        <v>301</v>
      </c>
      <c r="F702" s="8">
        <v>38.0</v>
      </c>
      <c r="G702" s="9">
        <v>1698.22</v>
      </c>
      <c r="H702" s="9">
        <v>5958.67</v>
      </c>
      <c r="I702" s="6" t="s">
        <v>161</v>
      </c>
      <c r="J702" s="6" t="s">
        <v>421</v>
      </c>
      <c r="K702" s="6" t="s">
        <v>5344</v>
      </c>
      <c r="L702" s="6">
        <v>9.1323790123E10</v>
      </c>
      <c r="M702" s="6" t="s">
        <v>5345</v>
      </c>
      <c r="N702" s="6" t="s">
        <v>176</v>
      </c>
      <c r="O702" s="6" t="s">
        <v>178</v>
      </c>
      <c r="P702" s="10">
        <v>46039.0</v>
      </c>
    </row>
    <row r="703" ht="22.5" customHeight="1">
      <c r="A703" s="6" t="s">
        <v>5347</v>
      </c>
      <c r="B703" s="6" t="s">
        <v>5348</v>
      </c>
      <c r="C703" s="6" t="s">
        <v>5349</v>
      </c>
      <c r="D703" s="6" t="s">
        <v>206</v>
      </c>
      <c r="E703" s="6" t="s">
        <v>301</v>
      </c>
      <c r="F703" s="8">
        <v>36.0</v>
      </c>
      <c r="G703" s="9">
        <v>1067.2</v>
      </c>
      <c r="H703" s="9">
        <v>14438.37</v>
      </c>
      <c r="I703" s="6" t="s">
        <v>161</v>
      </c>
      <c r="J703" s="6" t="s">
        <v>357</v>
      </c>
      <c r="K703" s="6" t="s">
        <v>5350</v>
      </c>
      <c r="L703" s="6">
        <v>9.1033429057E10</v>
      </c>
      <c r="M703" s="6" t="s">
        <v>5352</v>
      </c>
      <c r="N703" s="6" t="s">
        <v>427</v>
      </c>
      <c r="O703" s="6" t="s">
        <v>178</v>
      </c>
      <c r="P703" s="10">
        <v>46046.0</v>
      </c>
    </row>
    <row r="704" ht="22.5" customHeight="1">
      <c r="A704" s="6" t="s">
        <v>5353</v>
      </c>
      <c r="B704" s="6" t="s">
        <v>5354</v>
      </c>
      <c r="C704" s="6" t="s">
        <v>5355</v>
      </c>
      <c r="D704" s="6" t="s">
        <v>145</v>
      </c>
      <c r="E704" s="6" t="s">
        <v>301</v>
      </c>
      <c r="F704" s="8">
        <v>35.0</v>
      </c>
      <c r="G704" s="9">
        <v>146.38</v>
      </c>
      <c r="H704" s="9">
        <v>8105.48</v>
      </c>
      <c r="I704" s="6" t="s">
        <v>161</v>
      </c>
      <c r="J704" s="6" t="s">
        <v>479</v>
      </c>
      <c r="K704" s="6" t="s">
        <v>5357</v>
      </c>
      <c r="L704" s="6">
        <v>7.5959508683E10</v>
      </c>
      <c r="M704" s="6" t="s">
        <v>5358</v>
      </c>
      <c r="N704" s="6" t="s">
        <v>427</v>
      </c>
      <c r="O704" s="6" t="s">
        <v>178</v>
      </c>
      <c r="P704" s="10">
        <v>45968.0</v>
      </c>
    </row>
    <row r="705" ht="22.5" customHeight="1">
      <c r="A705" s="6" t="s">
        <v>5360</v>
      </c>
      <c r="B705" s="6" t="s">
        <v>5361</v>
      </c>
      <c r="C705" s="6" t="s">
        <v>5362</v>
      </c>
      <c r="D705" s="6" t="s">
        <v>206</v>
      </c>
      <c r="E705" s="6" t="s">
        <v>147</v>
      </c>
      <c r="F705" s="8">
        <v>5.0</v>
      </c>
      <c r="G705" s="9">
        <v>1731.23</v>
      </c>
      <c r="H705" s="9">
        <v>5495.11</v>
      </c>
      <c r="I705" s="6" t="s">
        <v>161</v>
      </c>
      <c r="J705" s="6" t="s">
        <v>393</v>
      </c>
      <c r="K705" s="6" t="s">
        <v>5364</v>
      </c>
      <c r="L705" s="6">
        <v>4.7555191214E10</v>
      </c>
      <c r="M705" s="6" t="s">
        <v>5365</v>
      </c>
      <c r="N705" s="6" t="s">
        <v>259</v>
      </c>
      <c r="O705" s="6" t="s">
        <v>178</v>
      </c>
      <c r="P705" s="10">
        <v>46024.0</v>
      </c>
    </row>
    <row r="706" ht="22.5" customHeight="1">
      <c r="A706" s="6" t="s">
        <v>5367</v>
      </c>
      <c r="B706" s="6" t="s">
        <v>5368</v>
      </c>
      <c r="C706" s="6" t="s">
        <v>5369</v>
      </c>
      <c r="D706" s="6" t="s">
        <v>145</v>
      </c>
      <c r="E706" s="6" t="s">
        <v>301</v>
      </c>
      <c r="F706" s="8">
        <v>55.0</v>
      </c>
      <c r="G706" s="9">
        <v>614.69</v>
      </c>
      <c r="H706" s="9">
        <v>8092.43</v>
      </c>
      <c r="I706" s="6" t="s">
        <v>161</v>
      </c>
      <c r="J706" s="6" t="s">
        <v>465</v>
      </c>
      <c r="K706" s="6" t="s">
        <v>5371</v>
      </c>
      <c r="L706" s="6">
        <v>7.0706143955E10</v>
      </c>
      <c r="M706" s="6" t="s">
        <v>5372</v>
      </c>
      <c r="N706" s="6" t="s">
        <v>112</v>
      </c>
      <c r="O706" s="6" t="s">
        <v>178</v>
      </c>
      <c r="P706" s="10">
        <v>45979.0</v>
      </c>
    </row>
    <row r="707" ht="22.5" customHeight="1">
      <c r="A707" s="6" t="s">
        <v>5373</v>
      </c>
      <c r="B707" s="6" t="s">
        <v>5374</v>
      </c>
      <c r="C707" s="6" t="s">
        <v>5375</v>
      </c>
      <c r="D707" s="6" t="s">
        <v>206</v>
      </c>
      <c r="E707" s="6" t="s">
        <v>301</v>
      </c>
      <c r="F707" s="8">
        <v>49.0</v>
      </c>
      <c r="G707" s="9">
        <v>176.55</v>
      </c>
      <c r="H707" s="9">
        <v>12155.96</v>
      </c>
      <c r="I707" s="6" t="s">
        <v>161</v>
      </c>
      <c r="J707" s="6" t="s">
        <v>357</v>
      </c>
      <c r="K707" s="6" t="s">
        <v>5377</v>
      </c>
      <c r="L707" s="6">
        <v>2.3111592518E10</v>
      </c>
      <c r="M707" s="6" t="s">
        <v>5378</v>
      </c>
      <c r="N707" s="6" t="s">
        <v>427</v>
      </c>
      <c r="O707" s="6" t="s">
        <v>178</v>
      </c>
      <c r="P707" s="10">
        <v>45942.0</v>
      </c>
    </row>
    <row r="708" ht="22.5" customHeight="1">
      <c r="A708" s="6" t="s">
        <v>5379</v>
      </c>
      <c r="B708" s="6" t="s">
        <v>5380</v>
      </c>
      <c r="C708" s="6" t="s">
        <v>5382</v>
      </c>
      <c r="D708" s="6" t="s">
        <v>206</v>
      </c>
      <c r="E708" s="6" t="s">
        <v>147</v>
      </c>
      <c r="F708" s="8">
        <v>13.0</v>
      </c>
      <c r="G708" s="9">
        <v>273.14</v>
      </c>
      <c r="H708" s="9">
        <v>1317.3</v>
      </c>
      <c r="I708" s="6" t="s">
        <v>161</v>
      </c>
      <c r="J708" s="6" t="s">
        <v>442</v>
      </c>
      <c r="K708" s="6" t="s">
        <v>259</v>
      </c>
      <c r="L708" s="6">
        <v>9.9362340393E10</v>
      </c>
      <c r="M708" s="6" t="s">
        <v>5383</v>
      </c>
      <c r="N708" s="6" t="s">
        <v>427</v>
      </c>
      <c r="O708" s="6" t="s">
        <v>178</v>
      </c>
      <c r="P708" s="10">
        <v>46033.0</v>
      </c>
    </row>
    <row r="709" ht="22.5" customHeight="1">
      <c r="A709" s="6" t="s">
        <v>5385</v>
      </c>
      <c r="B709" s="6" t="s">
        <v>5386</v>
      </c>
      <c r="C709" s="6" t="s">
        <v>5387</v>
      </c>
      <c r="D709" s="6" t="s">
        <v>145</v>
      </c>
      <c r="E709" s="6" t="s">
        <v>301</v>
      </c>
      <c r="F709" s="8">
        <v>39.0</v>
      </c>
      <c r="G709" s="9">
        <v>1151.89</v>
      </c>
      <c r="H709" s="9">
        <v>11218.28</v>
      </c>
      <c r="I709" s="6" t="s">
        <v>161</v>
      </c>
      <c r="J709" s="6" t="s">
        <v>465</v>
      </c>
      <c r="K709" s="6" t="s">
        <v>5389</v>
      </c>
      <c r="L709" s="6">
        <v>2.0742281393E10</v>
      </c>
      <c r="M709" s="6" t="s">
        <v>5390</v>
      </c>
      <c r="N709" s="6" t="s">
        <v>283</v>
      </c>
      <c r="O709" s="6" t="s">
        <v>178</v>
      </c>
      <c r="P709" s="10">
        <v>45998.0</v>
      </c>
    </row>
    <row r="710" ht="22.5" customHeight="1">
      <c r="A710" s="6" t="s">
        <v>5391</v>
      </c>
      <c r="B710" s="6" t="s">
        <v>5392</v>
      </c>
      <c r="C710" s="6" t="s">
        <v>5393</v>
      </c>
      <c r="D710" s="6" t="s">
        <v>145</v>
      </c>
      <c r="E710" s="6" t="s">
        <v>210</v>
      </c>
      <c r="F710" s="8">
        <v>110.0</v>
      </c>
      <c r="G710" s="9">
        <v>230.21</v>
      </c>
      <c r="H710" s="9">
        <v>10066.69</v>
      </c>
      <c r="I710" s="6" t="s">
        <v>178</v>
      </c>
      <c r="J710" s="6" t="s">
        <v>421</v>
      </c>
      <c r="K710" s="6" t="s">
        <v>5395</v>
      </c>
      <c r="L710" s="6">
        <v>5.5187413758E10</v>
      </c>
      <c r="M710" s="6" t="s">
        <v>5396</v>
      </c>
      <c r="N710" s="6" t="s">
        <v>176</v>
      </c>
      <c r="O710" s="6" t="s">
        <v>161</v>
      </c>
      <c r="P710" s="10">
        <v>45952.0</v>
      </c>
    </row>
    <row r="711" ht="22.5" customHeight="1">
      <c r="A711" s="6" t="s">
        <v>5398</v>
      </c>
      <c r="B711" s="6" t="s">
        <v>5399</v>
      </c>
      <c r="C711" s="6" t="s">
        <v>5400</v>
      </c>
      <c r="D711" s="6" t="s">
        <v>206</v>
      </c>
      <c r="E711" s="6" t="s">
        <v>147</v>
      </c>
      <c r="F711" s="8">
        <v>11.0</v>
      </c>
      <c r="G711" s="9">
        <v>1137.26</v>
      </c>
      <c r="H711" s="9">
        <v>8690.58</v>
      </c>
      <c r="I711" s="6" t="s">
        <v>161</v>
      </c>
      <c r="J711" s="6" t="s">
        <v>577</v>
      </c>
      <c r="K711" s="6" t="s">
        <v>5401</v>
      </c>
      <c r="L711" s="6">
        <v>2.0227945991E10</v>
      </c>
      <c r="M711" s="6" t="s">
        <v>5403</v>
      </c>
      <c r="N711" s="6" t="s">
        <v>427</v>
      </c>
      <c r="O711" s="6" t="s">
        <v>178</v>
      </c>
      <c r="P711" s="10">
        <v>45944.0</v>
      </c>
    </row>
    <row r="712" ht="22.5" customHeight="1">
      <c r="A712" s="6" t="s">
        <v>5404</v>
      </c>
      <c r="B712" s="6" t="s">
        <v>5405</v>
      </c>
      <c r="C712" s="6" t="s">
        <v>5406</v>
      </c>
      <c r="D712" s="6" t="s">
        <v>145</v>
      </c>
      <c r="E712" s="6" t="s">
        <v>301</v>
      </c>
      <c r="F712" s="8">
        <v>41.0</v>
      </c>
      <c r="G712" s="9">
        <v>1755.96</v>
      </c>
      <c r="H712" s="9">
        <v>15163.34</v>
      </c>
      <c r="I712" s="6" t="s">
        <v>161</v>
      </c>
      <c r="J712" s="6" t="s">
        <v>163</v>
      </c>
      <c r="K712" s="6" t="s">
        <v>5408</v>
      </c>
      <c r="L712" s="6">
        <v>3.0830851712E10</v>
      </c>
      <c r="M712" s="6" t="s">
        <v>5409</v>
      </c>
      <c r="N712" s="6" t="s">
        <v>112</v>
      </c>
      <c r="O712" s="6" t="s">
        <v>178</v>
      </c>
      <c r="P712" s="10">
        <v>46022.0</v>
      </c>
    </row>
    <row r="713" ht="22.5" customHeight="1">
      <c r="A713" s="6" t="s">
        <v>5410</v>
      </c>
      <c r="B713" s="6" t="s">
        <v>5412</v>
      </c>
      <c r="C713" s="6" t="s">
        <v>5413</v>
      </c>
      <c r="D713" s="6" t="s">
        <v>145</v>
      </c>
      <c r="E713" s="6" t="s">
        <v>210</v>
      </c>
      <c r="F713" s="8">
        <v>80.0</v>
      </c>
      <c r="G713" s="9">
        <v>1087.87</v>
      </c>
      <c r="H713" s="9">
        <v>6740.48</v>
      </c>
      <c r="I713" s="6" t="s">
        <v>161</v>
      </c>
      <c r="J713" s="6" t="s">
        <v>479</v>
      </c>
      <c r="K713" s="6" t="s">
        <v>5414</v>
      </c>
      <c r="L713" s="6">
        <v>7.0215050478E10</v>
      </c>
      <c r="M713" s="6" t="s">
        <v>5416</v>
      </c>
      <c r="N713" s="6" t="s">
        <v>283</v>
      </c>
      <c r="O713" s="6" t="s">
        <v>161</v>
      </c>
      <c r="P713" s="10">
        <v>45935.0</v>
      </c>
    </row>
    <row r="714" ht="22.5" customHeight="1">
      <c r="A714" s="6" t="s">
        <v>5417</v>
      </c>
      <c r="B714" s="6" t="s">
        <v>5418</v>
      </c>
      <c r="C714" s="6" t="s">
        <v>5419</v>
      </c>
      <c r="D714" s="6" t="s">
        <v>206</v>
      </c>
      <c r="E714" s="6" t="s">
        <v>147</v>
      </c>
      <c r="F714" s="8">
        <v>16.0</v>
      </c>
      <c r="G714" s="9">
        <v>746.69</v>
      </c>
      <c r="H714" s="9">
        <v>1174.61</v>
      </c>
      <c r="I714" s="6" t="s">
        <v>161</v>
      </c>
      <c r="J714" s="6" t="s">
        <v>163</v>
      </c>
      <c r="K714" s="6" t="s">
        <v>5421</v>
      </c>
      <c r="L714" s="6">
        <v>1.433761883E9</v>
      </c>
      <c r="M714" s="6" t="s">
        <v>5422</v>
      </c>
      <c r="N714" s="6" t="s">
        <v>176</v>
      </c>
      <c r="O714" s="6" t="s">
        <v>178</v>
      </c>
      <c r="P714" s="10">
        <v>46006.0</v>
      </c>
    </row>
    <row r="715" ht="22.5" customHeight="1">
      <c r="A715" s="6" t="s">
        <v>5423</v>
      </c>
      <c r="B715" s="6" t="s">
        <v>5424</v>
      </c>
      <c r="C715" s="6" t="s">
        <v>5425</v>
      </c>
      <c r="D715" s="6" t="s">
        <v>145</v>
      </c>
      <c r="E715" s="6" t="s">
        <v>147</v>
      </c>
      <c r="F715" s="8">
        <v>13.0</v>
      </c>
      <c r="G715" s="9">
        <v>1648.93</v>
      </c>
      <c r="H715" s="9">
        <v>9482.62</v>
      </c>
      <c r="I715" s="6" t="s">
        <v>161</v>
      </c>
      <c r="J715" s="6" t="s">
        <v>479</v>
      </c>
      <c r="K715" s="6" t="s">
        <v>5427</v>
      </c>
      <c r="L715" s="6">
        <v>4.632408314E9</v>
      </c>
      <c r="M715" s="6" t="s">
        <v>5428</v>
      </c>
      <c r="N715" s="6" t="s">
        <v>112</v>
      </c>
      <c r="O715" s="6" t="s">
        <v>178</v>
      </c>
      <c r="P715" s="10">
        <v>46011.0</v>
      </c>
    </row>
    <row r="716" ht="22.5" customHeight="1">
      <c r="A716" s="6" t="s">
        <v>5429</v>
      </c>
      <c r="B716" s="6" t="s">
        <v>5431</v>
      </c>
      <c r="C716" s="6" t="s">
        <v>5432</v>
      </c>
      <c r="D716" s="6" t="s">
        <v>206</v>
      </c>
      <c r="E716" s="6" t="s">
        <v>301</v>
      </c>
      <c r="F716" s="8">
        <v>53.0</v>
      </c>
      <c r="G716" s="9">
        <v>1666.97</v>
      </c>
      <c r="H716" s="9">
        <v>13275.38</v>
      </c>
      <c r="I716" s="6" t="s">
        <v>161</v>
      </c>
      <c r="J716" s="6" t="s">
        <v>357</v>
      </c>
      <c r="K716" s="6" t="s">
        <v>5434</v>
      </c>
      <c r="L716" s="6">
        <v>8.5999620482E10</v>
      </c>
      <c r="M716" s="6" t="s">
        <v>5435</v>
      </c>
      <c r="N716" s="6" t="s">
        <v>283</v>
      </c>
      <c r="O716" s="6" t="s">
        <v>178</v>
      </c>
      <c r="P716" s="10">
        <v>45995.0</v>
      </c>
    </row>
    <row r="717" ht="22.5" customHeight="1">
      <c r="A717" s="6" t="s">
        <v>5437</v>
      </c>
      <c r="B717" s="6" t="s">
        <v>5438</v>
      </c>
      <c r="C717" s="6" t="s">
        <v>5439</v>
      </c>
      <c r="D717" s="6" t="s">
        <v>206</v>
      </c>
      <c r="E717" s="6" t="s">
        <v>147</v>
      </c>
      <c r="F717" s="8">
        <v>16.0</v>
      </c>
      <c r="G717" s="9">
        <v>335.02</v>
      </c>
      <c r="H717" s="9">
        <v>9645.42</v>
      </c>
      <c r="I717" s="6" t="s">
        <v>161</v>
      </c>
      <c r="J717" s="6" t="s">
        <v>163</v>
      </c>
      <c r="K717" s="6" t="s">
        <v>5440</v>
      </c>
      <c r="L717" s="6">
        <v>1.571934956E9</v>
      </c>
      <c r="M717" s="6" t="s">
        <v>5441</v>
      </c>
      <c r="N717" s="6" t="s">
        <v>283</v>
      </c>
      <c r="O717" s="6" t="s">
        <v>178</v>
      </c>
      <c r="P717" s="10">
        <v>45984.0</v>
      </c>
    </row>
    <row r="718" ht="22.5" customHeight="1">
      <c r="A718" s="6" t="s">
        <v>5443</v>
      </c>
      <c r="B718" s="6" t="s">
        <v>5444</v>
      </c>
      <c r="C718" s="6" t="s">
        <v>5445</v>
      </c>
      <c r="D718" s="6" t="s">
        <v>206</v>
      </c>
      <c r="E718" s="6" t="s">
        <v>147</v>
      </c>
      <c r="F718" s="8">
        <v>24.0</v>
      </c>
      <c r="G718" s="9">
        <v>1732.06</v>
      </c>
      <c r="H718" s="9">
        <v>14142.19</v>
      </c>
      <c r="I718" s="6" t="s">
        <v>161</v>
      </c>
      <c r="J718" s="6" t="s">
        <v>393</v>
      </c>
      <c r="K718" s="6" t="s">
        <v>5446</v>
      </c>
      <c r="L718" s="6">
        <v>9.6750786038E10</v>
      </c>
      <c r="M718" s="6" t="s">
        <v>5448</v>
      </c>
      <c r="N718" s="6" t="s">
        <v>112</v>
      </c>
      <c r="O718" s="6" t="s">
        <v>178</v>
      </c>
      <c r="P718" s="10">
        <v>46045.0</v>
      </c>
    </row>
    <row r="719" ht="22.5" customHeight="1">
      <c r="A719" s="6" t="s">
        <v>5449</v>
      </c>
      <c r="B719" s="6" t="s">
        <v>5450</v>
      </c>
      <c r="C719" s="6" t="s">
        <v>5451</v>
      </c>
      <c r="D719" s="6" t="s">
        <v>383</v>
      </c>
      <c r="E719" s="6" t="s">
        <v>210</v>
      </c>
      <c r="F719" s="8">
        <v>86.0</v>
      </c>
      <c r="G719" s="9">
        <v>1176.56</v>
      </c>
      <c r="H719" s="9">
        <v>10438.98</v>
      </c>
      <c r="I719" s="6" t="s">
        <v>161</v>
      </c>
      <c r="J719" s="6" t="s">
        <v>442</v>
      </c>
      <c r="K719" s="6" t="s">
        <v>5453</v>
      </c>
      <c r="L719" s="6">
        <v>6.6161799943E10</v>
      </c>
      <c r="M719" s="6" t="s">
        <v>5454</v>
      </c>
      <c r="N719" s="6" t="s">
        <v>283</v>
      </c>
      <c r="O719" s="6" t="s">
        <v>161</v>
      </c>
      <c r="P719" s="10">
        <v>45932.0</v>
      </c>
    </row>
    <row r="720" ht="22.5" customHeight="1">
      <c r="A720" s="6" t="s">
        <v>5455</v>
      </c>
      <c r="B720" s="6" t="s">
        <v>5456</v>
      </c>
      <c r="C720" s="6" t="s">
        <v>5457</v>
      </c>
      <c r="D720" s="6" t="s">
        <v>145</v>
      </c>
      <c r="E720" s="6" t="s">
        <v>301</v>
      </c>
      <c r="F720" s="8">
        <v>55.0</v>
      </c>
      <c r="G720" s="9">
        <v>710.62</v>
      </c>
      <c r="H720" s="9">
        <v>8688.41</v>
      </c>
      <c r="I720" s="6" t="s">
        <v>161</v>
      </c>
      <c r="J720" s="6" t="s">
        <v>228</v>
      </c>
      <c r="K720" s="6" t="s">
        <v>259</v>
      </c>
      <c r="L720" s="6">
        <v>7.8661768023E10</v>
      </c>
      <c r="M720" s="6" t="s">
        <v>5459</v>
      </c>
      <c r="N720" s="6" t="s">
        <v>283</v>
      </c>
      <c r="O720" s="6" t="s">
        <v>178</v>
      </c>
      <c r="P720" s="10">
        <v>45932.0</v>
      </c>
    </row>
    <row r="721" ht="22.5" customHeight="1">
      <c r="A721" s="6" t="s">
        <v>5460</v>
      </c>
      <c r="B721" s="6" t="s">
        <v>5461</v>
      </c>
      <c r="C721" s="6" t="s">
        <v>5462</v>
      </c>
      <c r="D721" s="6" t="s">
        <v>206</v>
      </c>
      <c r="E721" s="6" t="s">
        <v>210</v>
      </c>
      <c r="F721" s="8">
        <v>74.0</v>
      </c>
      <c r="G721" s="9">
        <v>737.11</v>
      </c>
      <c r="H721" s="9">
        <v>2951.38</v>
      </c>
      <c r="I721" s="6" t="s">
        <v>178</v>
      </c>
      <c r="J721" s="6" t="s">
        <v>163</v>
      </c>
      <c r="K721" s="6" t="s">
        <v>5464</v>
      </c>
      <c r="L721" s="6">
        <v>4.8035993959E10</v>
      </c>
      <c r="M721" s="6" t="s">
        <v>5465</v>
      </c>
      <c r="N721" s="6" t="s">
        <v>259</v>
      </c>
      <c r="O721" s="6" t="s">
        <v>161</v>
      </c>
      <c r="P721" s="10">
        <v>45941.0</v>
      </c>
    </row>
    <row r="722" ht="22.5" customHeight="1">
      <c r="A722" s="6" t="s">
        <v>5467</v>
      </c>
      <c r="B722" s="6" t="s">
        <v>5468</v>
      </c>
      <c r="C722" s="6" t="s">
        <v>5469</v>
      </c>
      <c r="D722" s="6" t="s">
        <v>383</v>
      </c>
      <c r="E722" s="6" t="s">
        <v>147</v>
      </c>
      <c r="F722" s="8">
        <v>22.0</v>
      </c>
      <c r="G722" s="9">
        <v>1204.62</v>
      </c>
      <c r="H722" s="9">
        <v>6488.07</v>
      </c>
      <c r="I722" s="6" t="s">
        <v>161</v>
      </c>
      <c r="J722" s="6" t="s">
        <v>357</v>
      </c>
      <c r="K722" s="6" t="s">
        <v>5471</v>
      </c>
      <c r="L722" s="6">
        <v>8.0640885751E10</v>
      </c>
      <c r="M722" s="6" t="s">
        <v>5472</v>
      </c>
      <c r="N722" s="6" t="s">
        <v>176</v>
      </c>
      <c r="O722" s="6" t="s">
        <v>178</v>
      </c>
      <c r="P722" s="10">
        <v>46012.0</v>
      </c>
    </row>
    <row r="723" ht="22.5" customHeight="1">
      <c r="A723" s="6" t="s">
        <v>5474</v>
      </c>
      <c r="B723" s="6" t="s">
        <v>5475</v>
      </c>
      <c r="C723" s="6" t="s">
        <v>5476</v>
      </c>
      <c r="D723" s="6" t="s">
        <v>383</v>
      </c>
      <c r="E723" s="6" t="s">
        <v>301</v>
      </c>
      <c r="F723" s="8">
        <v>42.0</v>
      </c>
      <c r="G723" s="9">
        <v>1118.44</v>
      </c>
      <c r="H723" s="9">
        <v>5865.76</v>
      </c>
      <c r="I723" s="6" t="s">
        <v>161</v>
      </c>
      <c r="J723" s="6" t="s">
        <v>421</v>
      </c>
      <c r="K723" s="6" t="s">
        <v>5478</v>
      </c>
      <c r="L723" s="6">
        <v>8.9056745759E10</v>
      </c>
      <c r="M723" s="6" t="s">
        <v>5479</v>
      </c>
      <c r="N723" s="6" t="s">
        <v>427</v>
      </c>
      <c r="O723" s="6" t="s">
        <v>178</v>
      </c>
      <c r="P723" s="10">
        <v>45943.0</v>
      </c>
    </row>
    <row r="724" ht="22.5" customHeight="1">
      <c r="A724" s="6" t="s">
        <v>5481</v>
      </c>
      <c r="B724" s="6" t="s">
        <v>5482</v>
      </c>
      <c r="C724" s="6" t="s">
        <v>5483</v>
      </c>
      <c r="D724" s="6" t="s">
        <v>206</v>
      </c>
      <c r="E724" s="6" t="s">
        <v>147</v>
      </c>
      <c r="F724" s="8">
        <v>18.0</v>
      </c>
      <c r="G724" s="9">
        <v>1472.97</v>
      </c>
      <c r="H724" s="9">
        <v>14383.93</v>
      </c>
      <c r="I724" s="6" t="s">
        <v>161</v>
      </c>
      <c r="J724" s="6" t="s">
        <v>312</v>
      </c>
      <c r="K724" s="6" t="s">
        <v>5485</v>
      </c>
      <c r="L724" s="6">
        <v>8.5212132054E10</v>
      </c>
      <c r="M724" s="6" t="s">
        <v>5486</v>
      </c>
      <c r="N724" s="6" t="s">
        <v>259</v>
      </c>
      <c r="O724" s="6" t="s">
        <v>178</v>
      </c>
      <c r="P724" s="10">
        <v>46032.0</v>
      </c>
    </row>
    <row r="725" ht="22.5" customHeight="1">
      <c r="A725" s="6" t="s">
        <v>5488</v>
      </c>
      <c r="B725" s="6" t="s">
        <v>5489</v>
      </c>
      <c r="C725" s="6" t="s">
        <v>5490</v>
      </c>
      <c r="D725" s="6" t="s">
        <v>145</v>
      </c>
      <c r="E725" s="6" t="s">
        <v>147</v>
      </c>
      <c r="F725" s="8">
        <v>11.0</v>
      </c>
      <c r="G725" s="9">
        <v>1490.62</v>
      </c>
      <c r="H725" s="9">
        <v>4363.54</v>
      </c>
      <c r="I725" s="6" t="s">
        <v>161</v>
      </c>
      <c r="J725" s="6" t="s">
        <v>357</v>
      </c>
      <c r="K725" s="6" t="s">
        <v>259</v>
      </c>
      <c r="L725" s="6">
        <v>5.9466930797E10</v>
      </c>
      <c r="M725" s="6" t="s">
        <v>5492</v>
      </c>
      <c r="N725" s="6" t="s">
        <v>259</v>
      </c>
      <c r="O725" s="6" t="s">
        <v>178</v>
      </c>
      <c r="P725" s="10">
        <v>46040.0</v>
      </c>
    </row>
    <row r="726" ht="22.5" customHeight="1">
      <c r="A726" s="6" t="s">
        <v>5494</v>
      </c>
      <c r="B726" s="6" t="s">
        <v>5495</v>
      </c>
      <c r="C726" s="6" t="s">
        <v>5496</v>
      </c>
      <c r="D726" s="6" t="s">
        <v>206</v>
      </c>
      <c r="E726" s="6" t="s">
        <v>147</v>
      </c>
      <c r="F726" s="8">
        <v>12.0</v>
      </c>
      <c r="G726" s="9">
        <v>921.2</v>
      </c>
      <c r="H726" s="9">
        <v>14741.19</v>
      </c>
      <c r="I726" s="6" t="s">
        <v>161</v>
      </c>
      <c r="J726" s="6" t="s">
        <v>479</v>
      </c>
      <c r="K726" s="6" t="s">
        <v>5498</v>
      </c>
      <c r="L726" s="6">
        <v>8.6516364606E10</v>
      </c>
      <c r="M726" s="6" t="s">
        <v>5500</v>
      </c>
      <c r="N726" s="6" t="s">
        <v>427</v>
      </c>
      <c r="O726" s="6" t="s">
        <v>178</v>
      </c>
      <c r="P726" s="10">
        <v>45943.0</v>
      </c>
    </row>
    <row r="727" ht="22.5" customHeight="1">
      <c r="A727" s="6" t="s">
        <v>5501</v>
      </c>
      <c r="B727" s="6" t="s">
        <v>5503</v>
      </c>
      <c r="C727" s="6" t="s">
        <v>5504</v>
      </c>
      <c r="D727" s="6" t="s">
        <v>206</v>
      </c>
      <c r="E727" s="6" t="s">
        <v>301</v>
      </c>
      <c r="F727" s="8">
        <v>54.0</v>
      </c>
      <c r="G727" s="9">
        <v>182.76</v>
      </c>
      <c r="H727" s="9">
        <v>5595.21</v>
      </c>
      <c r="I727" s="6" t="s">
        <v>161</v>
      </c>
      <c r="J727" s="6" t="s">
        <v>357</v>
      </c>
      <c r="K727" s="6" t="s">
        <v>5506</v>
      </c>
      <c r="L727" s="6">
        <v>6.410626888E10</v>
      </c>
      <c r="M727" s="6" t="s">
        <v>5507</v>
      </c>
      <c r="N727" s="6" t="s">
        <v>259</v>
      </c>
      <c r="O727" s="6" t="s">
        <v>178</v>
      </c>
      <c r="P727" s="10">
        <v>45976.0</v>
      </c>
    </row>
    <row r="728" ht="22.5" customHeight="1">
      <c r="A728" s="6" t="s">
        <v>5509</v>
      </c>
      <c r="B728" s="6" t="s">
        <v>5510</v>
      </c>
      <c r="C728" s="6" t="s">
        <v>5512</v>
      </c>
      <c r="D728" s="6" t="s">
        <v>383</v>
      </c>
      <c r="E728" s="6" t="s">
        <v>301</v>
      </c>
      <c r="F728" s="8">
        <v>58.0</v>
      </c>
      <c r="G728" s="9">
        <v>1435.69</v>
      </c>
      <c r="H728" s="9">
        <v>4084.63</v>
      </c>
      <c r="I728" s="6" t="s">
        <v>161</v>
      </c>
      <c r="J728" s="6" t="s">
        <v>479</v>
      </c>
      <c r="K728" s="6" t="s">
        <v>5514</v>
      </c>
      <c r="L728" s="6">
        <v>2.7790851109E10</v>
      </c>
      <c r="M728" s="6" t="s">
        <v>5515</v>
      </c>
      <c r="N728" s="6" t="s">
        <v>259</v>
      </c>
      <c r="O728" s="6" t="s">
        <v>178</v>
      </c>
      <c r="P728" s="10">
        <v>45946.0</v>
      </c>
    </row>
    <row r="729" ht="22.5" customHeight="1">
      <c r="A729" s="6" t="s">
        <v>5517</v>
      </c>
      <c r="B729" s="6" t="s">
        <v>5518</v>
      </c>
      <c r="C729" s="6" t="s">
        <v>5519</v>
      </c>
      <c r="D729" s="6" t="s">
        <v>206</v>
      </c>
      <c r="E729" s="6" t="s">
        <v>301</v>
      </c>
      <c r="F729" s="8">
        <v>49.0</v>
      </c>
      <c r="G729" s="9">
        <v>1157.78</v>
      </c>
      <c r="H729" s="9">
        <v>4581.11</v>
      </c>
      <c r="I729" s="6" t="s">
        <v>178</v>
      </c>
      <c r="J729" s="6" t="s">
        <v>228</v>
      </c>
      <c r="K729" s="6" t="s">
        <v>5521</v>
      </c>
      <c r="L729" s="6">
        <v>7.8480360183E10</v>
      </c>
      <c r="M729" s="6" t="s">
        <v>5522</v>
      </c>
      <c r="N729" s="6" t="s">
        <v>283</v>
      </c>
      <c r="O729" s="6" t="s">
        <v>161</v>
      </c>
      <c r="P729" s="10">
        <v>46005.0</v>
      </c>
    </row>
    <row r="730" ht="22.5" customHeight="1">
      <c r="A730" s="6" t="s">
        <v>5524</v>
      </c>
      <c r="B730" s="6" t="s">
        <v>5525</v>
      </c>
      <c r="C730" s="6" t="s">
        <v>5526</v>
      </c>
      <c r="D730" s="6" t="s">
        <v>206</v>
      </c>
      <c r="E730" s="6" t="s">
        <v>147</v>
      </c>
      <c r="F730" s="8">
        <v>7.0</v>
      </c>
      <c r="G730" s="9">
        <v>717.8</v>
      </c>
      <c r="H730" s="9">
        <v>8599.94</v>
      </c>
      <c r="I730" s="6" t="s">
        <v>161</v>
      </c>
      <c r="J730" s="6" t="s">
        <v>442</v>
      </c>
      <c r="K730" s="6" t="s">
        <v>5529</v>
      </c>
      <c r="L730" s="6">
        <v>3.1497383446E10</v>
      </c>
      <c r="M730" s="6" t="s">
        <v>5530</v>
      </c>
      <c r="N730" s="6" t="s">
        <v>176</v>
      </c>
      <c r="O730" s="6" t="s">
        <v>178</v>
      </c>
      <c r="P730" s="10">
        <v>46027.0</v>
      </c>
    </row>
    <row r="731" ht="22.5" customHeight="1">
      <c r="A731" s="6" t="s">
        <v>5531</v>
      </c>
      <c r="B731" s="6" t="s">
        <v>5532</v>
      </c>
      <c r="C731" s="6" t="s">
        <v>5534</v>
      </c>
      <c r="D731" s="6" t="s">
        <v>145</v>
      </c>
      <c r="E731" s="6" t="s">
        <v>147</v>
      </c>
      <c r="F731" s="8">
        <v>18.0</v>
      </c>
      <c r="G731" s="9">
        <v>1384.69</v>
      </c>
      <c r="H731" s="9">
        <v>2304.25</v>
      </c>
      <c r="I731" s="6" t="s">
        <v>161</v>
      </c>
      <c r="J731" s="6" t="s">
        <v>465</v>
      </c>
      <c r="K731" s="6" t="s">
        <v>5536</v>
      </c>
      <c r="L731" s="6">
        <v>9.8491528253E10</v>
      </c>
      <c r="M731" s="6" t="s">
        <v>5537</v>
      </c>
      <c r="N731" s="6" t="s">
        <v>112</v>
      </c>
      <c r="O731" s="6" t="s">
        <v>178</v>
      </c>
      <c r="P731" s="10">
        <v>46006.0</v>
      </c>
    </row>
    <row r="732" ht="22.5" customHeight="1">
      <c r="A732" s="6" t="s">
        <v>5539</v>
      </c>
      <c r="B732" s="6" t="s">
        <v>5540</v>
      </c>
      <c r="C732" s="6" t="s">
        <v>5541</v>
      </c>
      <c r="D732" s="6" t="s">
        <v>206</v>
      </c>
      <c r="E732" s="6" t="s">
        <v>301</v>
      </c>
      <c r="F732" s="8">
        <v>54.0</v>
      </c>
      <c r="G732" s="9">
        <v>112.0</v>
      </c>
      <c r="H732" s="9">
        <v>11217.39</v>
      </c>
      <c r="I732" s="6" t="s">
        <v>161</v>
      </c>
      <c r="J732" s="6" t="s">
        <v>393</v>
      </c>
      <c r="K732" s="6" t="s">
        <v>5543</v>
      </c>
      <c r="L732" s="6">
        <v>1.1556737573E10</v>
      </c>
      <c r="M732" s="6" t="s">
        <v>5544</v>
      </c>
      <c r="N732" s="6" t="s">
        <v>259</v>
      </c>
      <c r="O732" s="6" t="s">
        <v>178</v>
      </c>
      <c r="P732" s="10">
        <v>45969.0</v>
      </c>
    </row>
    <row r="733" ht="22.5" customHeight="1">
      <c r="A733" s="6" t="s">
        <v>5546</v>
      </c>
      <c r="B733" s="6" t="s">
        <v>5547</v>
      </c>
      <c r="C733" s="6" t="s">
        <v>5548</v>
      </c>
      <c r="D733" s="6" t="s">
        <v>206</v>
      </c>
      <c r="E733" s="6" t="s">
        <v>147</v>
      </c>
      <c r="F733" s="8">
        <v>5.0</v>
      </c>
      <c r="G733" s="9">
        <v>816.15</v>
      </c>
      <c r="H733" s="9">
        <v>8378.54</v>
      </c>
      <c r="I733" s="6" t="s">
        <v>161</v>
      </c>
      <c r="J733" s="6" t="s">
        <v>393</v>
      </c>
      <c r="K733" s="6" t="s">
        <v>5550</v>
      </c>
      <c r="L733" s="6">
        <v>6.5731294208E10</v>
      </c>
      <c r="M733" s="6" t="s">
        <v>5551</v>
      </c>
      <c r="N733" s="6" t="s">
        <v>283</v>
      </c>
      <c r="O733" s="6" t="s">
        <v>178</v>
      </c>
      <c r="P733" s="10">
        <v>46029.0</v>
      </c>
    </row>
    <row r="734" ht="22.5" customHeight="1">
      <c r="A734" s="6" t="s">
        <v>5553</v>
      </c>
      <c r="B734" s="6" t="s">
        <v>5554</v>
      </c>
      <c r="C734" s="6" t="s">
        <v>5555</v>
      </c>
      <c r="D734" s="6" t="s">
        <v>145</v>
      </c>
      <c r="E734" s="6" t="s">
        <v>147</v>
      </c>
      <c r="F734" s="8">
        <v>22.0</v>
      </c>
      <c r="G734" s="9">
        <v>1081.45</v>
      </c>
      <c r="H734" s="9">
        <v>14328.9</v>
      </c>
      <c r="I734" s="6" t="s">
        <v>161</v>
      </c>
      <c r="J734" s="6" t="s">
        <v>228</v>
      </c>
      <c r="K734" s="6" t="s">
        <v>5557</v>
      </c>
      <c r="L734" s="6">
        <v>1.6520047503E10</v>
      </c>
      <c r="M734" s="6" t="s">
        <v>5558</v>
      </c>
      <c r="N734" s="6" t="s">
        <v>259</v>
      </c>
      <c r="O734" s="6" t="s">
        <v>178</v>
      </c>
      <c r="P734" s="10">
        <v>45987.0</v>
      </c>
    </row>
    <row r="735" ht="22.5" customHeight="1">
      <c r="A735" s="6" t="s">
        <v>5559</v>
      </c>
      <c r="B735" s="6" t="s">
        <v>5560</v>
      </c>
      <c r="C735" s="6" t="s">
        <v>5561</v>
      </c>
      <c r="D735" s="6" t="s">
        <v>206</v>
      </c>
      <c r="E735" s="6" t="s">
        <v>210</v>
      </c>
      <c r="F735" s="8">
        <v>101.0</v>
      </c>
      <c r="G735" s="9">
        <v>1498.32</v>
      </c>
      <c r="H735" s="9">
        <v>3483.14</v>
      </c>
      <c r="I735" s="6" t="s">
        <v>161</v>
      </c>
      <c r="J735" s="6" t="s">
        <v>442</v>
      </c>
      <c r="K735" s="6" t="s">
        <v>5563</v>
      </c>
      <c r="L735" s="6">
        <v>4.9277598422E10</v>
      </c>
      <c r="M735" s="6" t="s">
        <v>5564</v>
      </c>
      <c r="N735" s="6" t="s">
        <v>427</v>
      </c>
      <c r="O735" s="6" t="s">
        <v>161</v>
      </c>
      <c r="P735" s="10">
        <v>46015.0</v>
      </c>
    </row>
    <row r="736" ht="22.5" customHeight="1">
      <c r="A736" s="6" t="s">
        <v>5565</v>
      </c>
      <c r="B736" s="6" t="s">
        <v>5566</v>
      </c>
      <c r="C736" s="6" t="s">
        <v>5568</v>
      </c>
      <c r="D736" s="6" t="s">
        <v>206</v>
      </c>
      <c r="E736" s="6" t="s">
        <v>147</v>
      </c>
      <c r="F736" s="8">
        <v>22.0</v>
      </c>
      <c r="G736" s="9">
        <v>410.68</v>
      </c>
      <c r="H736" s="9">
        <v>9755.35</v>
      </c>
      <c r="I736" s="6" t="s">
        <v>161</v>
      </c>
      <c r="J736" s="6" t="s">
        <v>1734</v>
      </c>
      <c r="K736" s="6" t="s">
        <v>5570</v>
      </c>
      <c r="L736" s="6">
        <v>6.7451718776E10</v>
      </c>
      <c r="M736" s="6" t="s">
        <v>5571</v>
      </c>
      <c r="N736" s="6" t="s">
        <v>176</v>
      </c>
      <c r="O736" s="6" t="s">
        <v>178</v>
      </c>
      <c r="P736" s="10">
        <v>45975.0</v>
      </c>
    </row>
    <row r="737" ht="22.5" customHeight="1">
      <c r="A737" s="6" t="s">
        <v>5573</v>
      </c>
      <c r="B737" s="6" t="s">
        <v>5574</v>
      </c>
      <c r="C737" s="6" t="s">
        <v>5575</v>
      </c>
      <c r="D737" s="6" t="s">
        <v>145</v>
      </c>
      <c r="E737" s="6" t="s">
        <v>147</v>
      </c>
      <c r="F737" s="8">
        <v>6.0</v>
      </c>
      <c r="G737" s="9">
        <v>1570.26</v>
      </c>
      <c r="H737" s="9">
        <v>3130.94</v>
      </c>
      <c r="I737" s="6" t="s">
        <v>161</v>
      </c>
      <c r="J737" s="6" t="s">
        <v>421</v>
      </c>
      <c r="K737" s="6" t="s">
        <v>5577</v>
      </c>
      <c r="L737" s="6">
        <v>8.0085319525E10</v>
      </c>
      <c r="M737" s="6" t="s">
        <v>5578</v>
      </c>
      <c r="N737" s="6" t="s">
        <v>283</v>
      </c>
      <c r="O737" s="6" t="s">
        <v>178</v>
      </c>
      <c r="P737" s="10">
        <v>46017.0</v>
      </c>
    </row>
    <row r="738" ht="22.5" customHeight="1">
      <c r="A738" s="6" t="s">
        <v>5579</v>
      </c>
      <c r="B738" s="6" t="s">
        <v>5580</v>
      </c>
      <c r="C738" s="6" t="s">
        <v>5581</v>
      </c>
      <c r="D738" s="6" t="s">
        <v>206</v>
      </c>
      <c r="E738" s="6" t="s">
        <v>301</v>
      </c>
      <c r="F738" s="8">
        <v>59.0</v>
      </c>
      <c r="G738" s="9">
        <v>1734.1</v>
      </c>
      <c r="H738" s="9">
        <v>14954.12</v>
      </c>
      <c r="I738" s="6" t="s">
        <v>161</v>
      </c>
      <c r="J738" s="6" t="s">
        <v>421</v>
      </c>
      <c r="K738" s="6" t="s">
        <v>5583</v>
      </c>
      <c r="L738" s="6">
        <v>3.1679595924E10</v>
      </c>
      <c r="M738" s="6" t="s">
        <v>5584</v>
      </c>
      <c r="N738" s="6" t="s">
        <v>259</v>
      </c>
      <c r="O738" s="6" t="s">
        <v>178</v>
      </c>
      <c r="P738" s="10">
        <v>46007.0</v>
      </c>
    </row>
    <row r="739" ht="22.5" customHeight="1">
      <c r="A739" s="6" t="s">
        <v>5585</v>
      </c>
      <c r="B739" s="6" t="s">
        <v>5586</v>
      </c>
      <c r="C739" s="6" t="s">
        <v>5587</v>
      </c>
      <c r="D739" s="6" t="s">
        <v>145</v>
      </c>
      <c r="E739" s="6" t="s">
        <v>301</v>
      </c>
      <c r="F739" s="8">
        <v>30.0</v>
      </c>
      <c r="G739" s="9">
        <v>576.5</v>
      </c>
      <c r="H739" s="9">
        <v>1834.25</v>
      </c>
      <c r="I739" s="6" t="s">
        <v>161</v>
      </c>
      <c r="J739" s="6" t="s">
        <v>228</v>
      </c>
      <c r="K739" s="6" t="s">
        <v>5588</v>
      </c>
      <c r="L739" s="6">
        <v>7.3329681836E10</v>
      </c>
      <c r="M739" s="6" t="s">
        <v>5590</v>
      </c>
      <c r="N739" s="6" t="s">
        <v>259</v>
      </c>
      <c r="O739" s="6" t="s">
        <v>178</v>
      </c>
      <c r="P739" s="10">
        <v>46019.0</v>
      </c>
    </row>
    <row r="740" ht="22.5" customHeight="1">
      <c r="A740" s="6" t="s">
        <v>5591</v>
      </c>
      <c r="B740" s="6" t="s">
        <v>5592</v>
      </c>
      <c r="C740" s="6" t="s">
        <v>5593</v>
      </c>
      <c r="D740" s="6" t="s">
        <v>383</v>
      </c>
      <c r="E740" s="6" t="s">
        <v>301</v>
      </c>
      <c r="F740" s="8">
        <v>49.0</v>
      </c>
      <c r="G740" s="9">
        <v>606.83</v>
      </c>
      <c r="H740" s="9">
        <v>6323.01</v>
      </c>
      <c r="I740" s="6" t="s">
        <v>161</v>
      </c>
      <c r="J740" s="6" t="s">
        <v>228</v>
      </c>
      <c r="K740" s="6" t="s">
        <v>5594</v>
      </c>
      <c r="L740" s="6">
        <v>1.2036794563E10</v>
      </c>
      <c r="M740" s="6" t="s">
        <v>5596</v>
      </c>
      <c r="N740" s="6" t="s">
        <v>283</v>
      </c>
      <c r="O740" s="6" t="s">
        <v>178</v>
      </c>
      <c r="P740" s="10">
        <v>45966.0</v>
      </c>
    </row>
    <row r="741" ht="22.5" customHeight="1">
      <c r="A741" s="6" t="s">
        <v>5597</v>
      </c>
      <c r="B741" s="6" t="s">
        <v>5598</v>
      </c>
      <c r="C741" s="6" t="s">
        <v>5599</v>
      </c>
      <c r="D741" s="6" t="s">
        <v>206</v>
      </c>
      <c r="E741" s="6" t="s">
        <v>301</v>
      </c>
      <c r="F741" s="8">
        <v>35.0</v>
      </c>
      <c r="G741" s="9">
        <v>800.34</v>
      </c>
      <c r="H741" s="9">
        <v>8375.87</v>
      </c>
      <c r="I741" s="6" t="s">
        <v>161</v>
      </c>
      <c r="J741" s="6" t="s">
        <v>228</v>
      </c>
      <c r="K741" s="6" t="s">
        <v>5600</v>
      </c>
      <c r="L741" s="6">
        <v>6.962494709E10</v>
      </c>
      <c r="M741" s="6" t="s">
        <v>5601</v>
      </c>
      <c r="N741" s="6" t="s">
        <v>112</v>
      </c>
      <c r="O741" s="6" t="s">
        <v>178</v>
      </c>
      <c r="P741" s="10">
        <v>46025.0</v>
      </c>
    </row>
    <row r="742" ht="22.5" customHeight="1">
      <c r="A742" s="6" t="s">
        <v>5603</v>
      </c>
      <c r="B742" s="6" t="s">
        <v>5604</v>
      </c>
      <c r="C742" s="6" t="s">
        <v>5605</v>
      </c>
      <c r="D742" s="6" t="s">
        <v>383</v>
      </c>
      <c r="E742" s="6" t="s">
        <v>301</v>
      </c>
      <c r="F742" s="8">
        <v>30.0</v>
      </c>
      <c r="G742" s="9">
        <v>928.5</v>
      </c>
      <c r="H742" s="9">
        <v>8344.66</v>
      </c>
      <c r="I742" s="6" t="s">
        <v>161</v>
      </c>
      <c r="J742" s="6" t="s">
        <v>577</v>
      </c>
      <c r="K742" s="6" t="s">
        <v>5606</v>
      </c>
      <c r="L742" s="6">
        <v>4.5656567486E10</v>
      </c>
      <c r="M742" s="6" t="s">
        <v>5608</v>
      </c>
      <c r="N742" s="6" t="s">
        <v>112</v>
      </c>
      <c r="O742" s="6" t="s">
        <v>178</v>
      </c>
      <c r="P742" s="10">
        <v>46032.0</v>
      </c>
    </row>
    <row r="743" ht="22.5" customHeight="1">
      <c r="A743" s="6" t="s">
        <v>5609</v>
      </c>
      <c r="B743" s="6" t="s">
        <v>5610</v>
      </c>
      <c r="C743" s="6" t="s">
        <v>5611</v>
      </c>
      <c r="D743" s="6" t="s">
        <v>145</v>
      </c>
      <c r="E743" s="6" t="s">
        <v>147</v>
      </c>
      <c r="F743" s="8">
        <v>27.0</v>
      </c>
      <c r="G743" s="9">
        <v>816.62</v>
      </c>
      <c r="H743" s="9">
        <v>12322.87</v>
      </c>
      <c r="I743" s="6" t="s">
        <v>161</v>
      </c>
      <c r="J743" s="6" t="s">
        <v>421</v>
      </c>
      <c r="K743" s="6" t="s">
        <v>5613</v>
      </c>
      <c r="L743" s="6">
        <v>9.7934910959E10</v>
      </c>
      <c r="M743" s="6" t="s">
        <v>5614</v>
      </c>
      <c r="N743" s="6" t="s">
        <v>259</v>
      </c>
      <c r="O743" s="6" t="s">
        <v>178</v>
      </c>
      <c r="P743" s="10">
        <v>45959.0</v>
      </c>
    </row>
    <row r="744" ht="22.5" customHeight="1">
      <c r="A744" s="6" t="s">
        <v>5615</v>
      </c>
      <c r="B744" s="6" t="s">
        <v>5617</v>
      </c>
      <c r="C744" s="6" t="s">
        <v>5618</v>
      </c>
      <c r="D744" s="6" t="s">
        <v>206</v>
      </c>
      <c r="E744" s="6" t="s">
        <v>301</v>
      </c>
      <c r="F744" s="8">
        <v>43.0</v>
      </c>
      <c r="G744" s="9">
        <v>422.21</v>
      </c>
      <c r="H744" s="9">
        <v>2167.72</v>
      </c>
      <c r="I744" s="6" t="s">
        <v>161</v>
      </c>
      <c r="J744" s="6" t="s">
        <v>465</v>
      </c>
      <c r="K744" s="6" t="s">
        <v>5619</v>
      </c>
      <c r="L744" s="6">
        <v>9.5177104897E10</v>
      </c>
      <c r="M744" s="6" t="s">
        <v>5620</v>
      </c>
      <c r="N744" s="6" t="s">
        <v>259</v>
      </c>
      <c r="O744" s="6" t="s">
        <v>178</v>
      </c>
      <c r="P744" s="10">
        <v>45996.0</v>
      </c>
    </row>
    <row r="745" ht="22.5" customHeight="1">
      <c r="A745" s="6" t="s">
        <v>5622</v>
      </c>
      <c r="B745" s="6" t="s">
        <v>5623</v>
      </c>
      <c r="C745" s="6" t="s">
        <v>5624</v>
      </c>
      <c r="D745" s="6" t="s">
        <v>145</v>
      </c>
      <c r="E745" s="6" t="s">
        <v>301</v>
      </c>
      <c r="F745" s="8">
        <v>57.0</v>
      </c>
      <c r="G745" s="9">
        <v>1382.42</v>
      </c>
      <c r="H745" s="9">
        <v>2516.3</v>
      </c>
      <c r="I745" s="6" t="s">
        <v>161</v>
      </c>
      <c r="J745" s="6" t="s">
        <v>163</v>
      </c>
      <c r="K745" s="6" t="s">
        <v>5626</v>
      </c>
      <c r="L745" s="6">
        <v>7.3627836999E10</v>
      </c>
      <c r="M745" s="6" t="s">
        <v>5627</v>
      </c>
      <c r="N745" s="6" t="s">
        <v>176</v>
      </c>
      <c r="O745" s="6" t="s">
        <v>178</v>
      </c>
      <c r="P745" s="10">
        <v>46018.0</v>
      </c>
    </row>
    <row r="746" ht="22.5" customHeight="1">
      <c r="A746" s="6" t="s">
        <v>5629</v>
      </c>
      <c r="B746" s="6" t="s">
        <v>5630</v>
      </c>
      <c r="C746" s="6" t="s">
        <v>5631</v>
      </c>
      <c r="D746" s="6" t="s">
        <v>383</v>
      </c>
      <c r="E746" s="6" t="s">
        <v>147</v>
      </c>
      <c r="F746" s="8">
        <v>20.0</v>
      </c>
      <c r="G746" s="9">
        <v>206.88</v>
      </c>
      <c r="H746" s="9">
        <v>10655.38</v>
      </c>
      <c r="I746" s="6" t="s">
        <v>161</v>
      </c>
      <c r="J746" s="6" t="s">
        <v>163</v>
      </c>
      <c r="K746" s="6" t="s">
        <v>5632</v>
      </c>
      <c r="L746" s="6">
        <v>8.3474676743E10</v>
      </c>
      <c r="M746" s="6" t="s">
        <v>5633</v>
      </c>
      <c r="N746" s="6" t="s">
        <v>112</v>
      </c>
      <c r="O746" s="6" t="s">
        <v>178</v>
      </c>
      <c r="P746" s="10">
        <v>45950.0</v>
      </c>
    </row>
    <row r="747" ht="22.5" customHeight="1">
      <c r="A747" s="6" t="s">
        <v>5635</v>
      </c>
      <c r="B747" s="6" t="s">
        <v>5636</v>
      </c>
      <c r="C747" s="6" t="s">
        <v>5637</v>
      </c>
      <c r="D747" s="6" t="s">
        <v>206</v>
      </c>
      <c r="E747" s="6" t="s">
        <v>210</v>
      </c>
      <c r="F747" s="8">
        <v>105.0</v>
      </c>
      <c r="G747" s="9">
        <v>781.44</v>
      </c>
      <c r="H747" s="9">
        <v>12270.24</v>
      </c>
      <c r="I747" s="6" t="s">
        <v>178</v>
      </c>
      <c r="J747" s="6" t="s">
        <v>421</v>
      </c>
      <c r="K747" s="6" t="s">
        <v>5639</v>
      </c>
      <c r="L747" s="6">
        <v>4.2654464791E10</v>
      </c>
      <c r="M747" s="6" t="s">
        <v>5640</v>
      </c>
      <c r="N747" s="6" t="s">
        <v>176</v>
      </c>
      <c r="O747" s="6" t="s">
        <v>161</v>
      </c>
      <c r="P747" s="10">
        <v>46014.0</v>
      </c>
    </row>
    <row r="748" ht="22.5" customHeight="1">
      <c r="A748" s="6" t="s">
        <v>5641</v>
      </c>
      <c r="B748" s="6" t="s">
        <v>5642</v>
      </c>
      <c r="C748" s="6" t="s">
        <v>5644</v>
      </c>
      <c r="D748" s="6" t="s">
        <v>206</v>
      </c>
      <c r="E748" s="6" t="s">
        <v>301</v>
      </c>
      <c r="F748" s="8">
        <v>50.0</v>
      </c>
      <c r="G748" s="9">
        <v>539.94</v>
      </c>
      <c r="H748" s="9">
        <v>5870.34</v>
      </c>
      <c r="I748" s="6" t="s">
        <v>178</v>
      </c>
      <c r="J748" s="6" t="s">
        <v>357</v>
      </c>
      <c r="K748" s="6" t="s">
        <v>5645</v>
      </c>
      <c r="L748" s="6">
        <v>7.827769918E9</v>
      </c>
      <c r="M748" s="6" t="s">
        <v>5646</v>
      </c>
      <c r="N748" s="6" t="s">
        <v>112</v>
      </c>
      <c r="O748" s="6" t="s">
        <v>161</v>
      </c>
      <c r="P748" s="10">
        <v>45932.0</v>
      </c>
    </row>
    <row r="749" ht="22.5" customHeight="1">
      <c r="A749" s="6" t="s">
        <v>5648</v>
      </c>
      <c r="B749" s="6" t="s">
        <v>5649</v>
      </c>
      <c r="C749" s="6" t="s">
        <v>5650</v>
      </c>
      <c r="D749" s="6" t="s">
        <v>383</v>
      </c>
      <c r="E749" s="6" t="s">
        <v>210</v>
      </c>
      <c r="F749" s="8">
        <v>91.0</v>
      </c>
      <c r="G749" s="9">
        <v>1557.81</v>
      </c>
      <c r="H749" s="9">
        <v>11740.62</v>
      </c>
      <c r="I749" s="6" t="s">
        <v>161</v>
      </c>
      <c r="J749" s="6" t="s">
        <v>312</v>
      </c>
      <c r="K749" s="6" t="s">
        <v>5651</v>
      </c>
      <c r="L749" s="6">
        <v>4.2159481188E10</v>
      </c>
      <c r="M749" s="6" t="s">
        <v>5653</v>
      </c>
      <c r="N749" s="6" t="s">
        <v>427</v>
      </c>
      <c r="O749" s="6" t="s">
        <v>161</v>
      </c>
      <c r="P749" s="10">
        <v>45971.0</v>
      </c>
    </row>
    <row r="750" ht="22.5" customHeight="1">
      <c r="A750" s="6" t="s">
        <v>5654</v>
      </c>
      <c r="B750" s="6" t="s">
        <v>5655</v>
      </c>
      <c r="C750" s="6" t="s">
        <v>5656</v>
      </c>
      <c r="D750" s="6" t="s">
        <v>206</v>
      </c>
      <c r="E750" s="6" t="s">
        <v>147</v>
      </c>
      <c r="F750" s="8">
        <v>8.0</v>
      </c>
      <c r="G750" s="9">
        <v>657.72</v>
      </c>
      <c r="H750" s="9">
        <v>1958.97</v>
      </c>
      <c r="I750" s="6" t="s">
        <v>161</v>
      </c>
      <c r="J750" s="6" t="s">
        <v>228</v>
      </c>
      <c r="K750" s="6" t="s">
        <v>5657</v>
      </c>
      <c r="L750" s="6">
        <v>6.7502403022E10</v>
      </c>
      <c r="M750" s="6" t="s">
        <v>5658</v>
      </c>
      <c r="N750" s="6" t="s">
        <v>259</v>
      </c>
      <c r="O750" s="6" t="s">
        <v>4031</v>
      </c>
      <c r="P750" s="10">
        <v>46014.0</v>
      </c>
    </row>
    <row r="751" ht="22.5" customHeight="1">
      <c r="A751" s="6" t="s">
        <v>5660</v>
      </c>
      <c r="B751" s="6" t="s">
        <v>5661</v>
      </c>
      <c r="C751" s="6" t="s">
        <v>5662</v>
      </c>
      <c r="D751" s="6" t="s">
        <v>206</v>
      </c>
      <c r="E751" s="6" t="s">
        <v>147</v>
      </c>
      <c r="F751" s="8">
        <v>26.0</v>
      </c>
      <c r="G751" s="9">
        <v>224.59</v>
      </c>
      <c r="H751" s="9">
        <v>6598.13</v>
      </c>
      <c r="I751" s="6" t="s">
        <v>161</v>
      </c>
      <c r="J751" s="6" t="s">
        <v>577</v>
      </c>
      <c r="K751" s="6" t="s">
        <v>5664</v>
      </c>
      <c r="L751" s="6">
        <v>4.2901615488E10</v>
      </c>
      <c r="M751" s="6" t="s">
        <v>5665</v>
      </c>
      <c r="N751" s="6" t="s">
        <v>427</v>
      </c>
      <c r="O751" s="6" t="s">
        <v>178</v>
      </c>
      <c r="P751" s="10">
        <v>46017.0</v>
      </c>
    </row>
    <row r="752" ht="22.5" customHeight="1">
      <c r="A752" s="6" t="s">
        <v>5667</v>
      </c>
      <c r="B752" s="6" t="s">
        <v>5668</v>
      </c>
      <c r="C752" s="6" t="s">
        <v>5669</v>
      </c>
      <c r="D752" s="6" t="s">
        <v>145</v>
      </c>
      <c r="E752" s="6" t="s">
        <v>301</v>
      </c>
      <c r="F752" s="8">
        <v>56.0</v>
      </c>
      <c r="G752" s="9">
        <v>151.35</v>
      </c>
      <c r="H752" s="9">
        <v>1038.81</v>
      </c>
      <c r="I752" s="6" t="s">
        <v>161</v>
      </c>
      <c r="J752" s="6" t="s">
        <v>228</v>
      </c>
      <c r="K752" s="6" t="s">
        <v>5670</v>
      </c>
      <c r="L752" s="6">
        <v>5.9179846657E10</v>
      </c>
      <c r="M752" s="6" t="s">
        <v>5672</v>
      </c>
      <c r="N752" s="6" t="s">
        <v>112</v>
      </c>
      <c r="O752" s="6" t="s">
        <v>178</v>
      </c>
      <c r="P752" s="10">
        <v>46000.0</v>
      </c>
    </row>
    <row r="753" ht="22.5" customHeight="1">
      <c r="A753" s="6" t="s">
        <v>5673</v>
      </c>
      <c r="B753" s="6" t="s">
        <v>5674</v>
      </c>
      <c r="C753" s="6" t="s">
        <v>5675</v>
      </c>
      <c r="D753" s="6" t="s">
        <v>206</v>
      </c>
      <c r="E753" s="6" t="s">
        <v>301</v>
      </c>
      <c r="F753" s="8">
        <v>57.0</v>
      </c>
      <c r="G753" s="9">
        <v>746.45</v>
      </c>
      <c r="H753" s="9">
        <v>2400.92</v>
      </c>
      <c r="I753" s="6" t="s">
        <v>161</v>
      </c>
      <c r="J753" s="6" t="s">
        <v>442</v>
      </c>
      <c r="K753" s="6" t="s">
        <v>5677</v>
      </c>
      <c r="L753" s="6">
        <v>7.0446653827E10</v>
      </c>
      <c r="M753" s="6" t="s">
        <v>5678</v>
      </c>
      <c r="N753" s="6" t="s">
        <v>259</v>
      </c>
      <c r="O753" s="6" t="s">
        <v>178</v>
      </c>
      <c r="P753" s="10">
        <v>46047.0</v>
      </c>
    </row>
    <row r="754" ht="22.5" customHeight="1">
      <c r="A754" s="6" t="s">
        <v>5679</v>
      </c>
      <c r="B754" s="6" t="s">
        <v>5680</v>
      </c>
      <c r="C754" s="6" t="s">
        <v>5682</v>
      </c>
      <c r="D754" s="6" t="s">
        <v>145</v>
      </c>
      <c r="E754" s="6" t="s">
        <v>210</v>
      </c>
      <c r="F754" s="8">
        <v>89.0</v>
      </c>
      <c r="G754" s="9">
        <v>1608.84</v>
      </c>
      <c r="H754" s="9">
        <v>10389.48</v>
      </c>
      <c r="I754" s="6" t="s">
        <v>178</v>
      </c>
      <c r="J754" s="6" t="s">
        <v>421</v>
      </c>
      <c r="K754" s="6" t="s">
        <v>5683</v>
      </c>
      <c r="L754" s="6">
        <v>1.8421923725E10</v>
      </c>
      <c r="M754" s="6" t="s">
        <v>5684</v>
      </c>
      <c r="N754" s="6" t="s">
        <v>112</v>
      </c>
      <c r="O754" s="6" t="s">
        <v>161</v>
      </c>
      <c r="P754" s="10">
        <v>45967.0</v>
      </c>
    </row>
    <row r="755" ht="22.5" customHeight="1">
      <c r="A755" s="6" t="s">
        <v>5686</v>
      </c>
      <c r="B755" s="6" t="s">
        <v>5687</v>
      </c>
      <c r="C755" s="6" t="s">
        <v>5688</v>
      </c>
      <c r="D755" s="6" t="s">
        <v>145</v>
      </c>
      <c r="E755" s="6" t="s">
        <v>147</v>
      </c>
      <c r="F755" s="8">
        <v>20.0</v>
      </c>
      <c r="G755" s="9">
        <v>284.04</v>
      </c>
      <c r="H755" s="9">
        <v>9860.63</v>
      </c>
      <c r="I755" s="6" t="s">
        <v>161</v>
      </c>
      <c r="J755" s="6" t="s">
        <v>228</v>
      </c>
      <c r="K755" s="6" t="s">
        <v>5689</v>
      </c>
      <c r="L755" s="6">
        <v>8.3264174293E10</v>
      </c>
      <c r="M755" s="6" t="s">
        <v>5691</v>
      </c>
      <c r="N755" s="6" t="s">
        <v>176</v>
      </c>
      <c r="O755" s="6" t="s">
        <v>178</v>
      </c>
      <c r="P755" s="10">
        <v>45931.0</v>
      </c>
    </row>
    <row r="756" ht="22.5" customHeight="1">
      <c r="A756" s="6" t="s">
        <v>5692</v>
      </c>
      <c r="B756" s="6" t="s">
        <v>5693</v>
      </c>
      <c r="C756" s="6" t="s">
        <v>5694</v>
      </c>
      <c r="D756" s="6" t="s">
        <v>145</v>
      </c>
      <c r="E756" s="6" t="s">
        <v>147</v>
      </c>
      <c r="F756" s="8">
        <v>18.0</v>
      </c>
      <c r="G756" s="9">
        <v>324.31</v>
      </c>
      <c r="H756" s="9">
        <v>12124.37</v>
      </c>
      <c r="I756" s="6" t="s">
        <v>161</v>
      </c>
      <c r="J756" s="6" t="s">
        <v>421</v>
      </c>
      <c r="K756" s="6" t="s">
        <v>5696</v>
      </c>
      <c r="L756" s="6">
        <v>8.208001224E9</v>
      </c>
      <c r="M756" s="6" t="s">
        <v>5697</v>
      </c>
      <c r="N756" s="6" t="s">
        <v>112</v>
      </c>
      <c r="O756" s="6" t="s">
        <v>178</v>
      </c>
      <c r="P756" s="10">
        <v>45995.0</v>
      </c>
    </row>
    <row r="757" ht="22.5" customHeight="1">
      <c r="A757" s="6" t="s">
        <v>5699</v>
      </c>
      <c r="B757" s="6" t="s">
        <v>5700</v>
      </c>
      <c r="C757" s="6" t="s">
        <v>5701</v>
      </c>
      <c r="D757" s="6" t="s">
        <v>145</v>
      </c>
      <c r="E757" s="6" t="s">
        <v>301</v>
      </c>
      <c r="F757" s="8">
        <v>54.0</v>
      </c>
      <c r="G757" s="9">
        <v>730.88</v>
      </c>
      <c r="H757" s="9">
        <v>11504.99</v>
      </c>
      <c r="I757" s="6" t="s">
        <v>161</v>
      </c>
      <c r="J757" s="6" t="s">
        <v>465</v>
      </c>
      <c r="K757" s="6" t="s">
        <v>259</v>
      </c>
      <c r="L757" s="6">
        <v>9.9072501898E10</v>
      </c>
      <c r="M757" s="6" t="s">
        <v>5702</v>
      </c>
      <c r="N757" s="6" t="s">
        <v>283</v>
      </c>
      <c r="O757" s="6" t="s">
        <v>178</v>
      </c>
      <c r="P757" s="10">
        <v>46042.0</v>
      </c>
    </row>
    <row r="758" ht="22.5" customHeight="1">
      <c r="A758" s="6" t="s">
        <v>5704</v>
      </c>
      <c r="B758" s="6" t="s">
        <v>5705</v>
      </c>
      <c r="C758" s="6" t="s">
        <v>5706</v>
      </c>
      <c r="D758" s="6" t="s">
        <v>145</v>
      </c>
      <c r="E758" s="6" t="s">
        <v>147</v>
      </c>
      <c r="F758" s="8">
        <v>25.0</v>
      </c>
      <c r="G758" s="9">
        <v>1710.45</v>
      </c>
      <c r="H758" s="9">
        <v>5978.77</v>
      </c>
      <c r="I758" s="6" t="s">
        <v>161</v>
      </c>
      <c r="J758" s="6" t="s">
        <v>163</v>
      </c>
      <c r="K758" s="6" t="s">
        <v>5708</v>
      </c>
      <c r="L758" s="6">
        <v>8.3183611666E10</v>
      </c>
      <c r="M758" s="6" t="s">
        <v>5709</v>
      </c>
      <c r="N758" s="6" t="s">
        <v>427</v>
      </c>
      <c r="O758" s="6" t="s">
        <v>178</v>
      </c>
      <c r="P758" s="10">
        <v>45962.0</v>
      </c>
    </row>
    <row r="759" ht="22.5" customHeight="1">
      <c r="A759" s="6" t="s">
        <v>5710</v>
      </c>
      <c r="B759" s="6" t="s">
        <v>5711</v>
      </c>
      <c r="C759" s="6" t="s">
        <v>5712</v>
      </c>
      <c r="D759" s="6" t="s">
        <v>145</v>
      </c>
      <c r="E759" s="6" t="s">
        <v>210</v>
      </c>
      <c r="F759" s="8">
        <v>91.0</v>
      </c>
      <c r="G759" s="9">
        <v>465.7</v>
      </c>
      <c r="H759" s="9">
        <v>7432.08</v>
      </c>
      <c r="I759" s="6" t="s">
        <v>161</v>
      </c>
      <c r="J759" s="6" t="s">
        <v>357</v>
      </c>
      <c r="K759" s="6" t="s">
        <v>5714</v>
      </c>
      <c r="L759" s="6">
        <v>2.5754930777E10</v>
      </c>
      <c r="M759" s="6" t="s">
        <v>5715</v>
      </c>
      <c r="N759" s="6" t="s">
        <v>259</v>
      </c>
      <c r="O759" s="6" t="s">
        <v>161</v>
      </c>
      <c r="P759" s="10">
        <v>45941.0</v>
      </c>
    </row>
    <row r="760" ht="22.5" customHeight="1">
      <c r="A760" s="6" t="s">
        <v>5717</v>
      </c>
      <c r="B760" s="6" t="s">
        <v>5718</v>
      </c>
      <c r="C760" s="6" t="s">
        <v>5719</v>
      </c>
      <c r="D760" s="6" t="s">
        <v>383</v>
      </c>
      <c r="E760" s="6" t="s">
        <v>301</v>
      </c>
      <c r="F760" s="8">
        <v>36.0</v>
      </c>
      <c r="G760" s="9">
        <v>1524.01</v>
      </c>
      <c r="H760" s="9">
        <v>2507.78</v>
      </c>
      <c r="I760" s="6" t="s">
        <v>161</v>
      </c>
      <c r="J760" s="6" t="s">
        <v>421</v>
      </c>
      <c r="K760" s="6" t="s">
        <v>259</v>
      </c>
      <c r="L760" s="6">
        <v>9.6121426373E10</v>
      </c>
      <c r="M760" s="6" t="s">
        <v>5721</v>
      </c>
      <c r="N760" s="6" t="s">
        <v>283</v>
      </c>
      <c r="O760" s="6" t="s">
        <v>178</v>
      </c>
      <c r="P760" s="10">
        <v>46027.0</v>
      </c>
    </row>
    <row r="761" ht="22.5" customHeight="1">
      <c r="A761" s="6" t="s">
        <v>5722</v>
      </c>
      <c r="B761" s="6" t="s">
        <v>5723</v>
      </c>
      <c r="C761" s="6" t="s">
        <v>5724</v>
      </c>
      <c r="D761" s="6" t="s">
        <v>206</v>
      </c>
      <c r="E761" s="6" t="s">
        <v>147</v>
      </c>
      <c r="F761" s="8">
        <v>24.0</v>
      </c>
      <c r="G761" s="9">
        <v>512.51</v>
      </c>
      <c r="H761" s="9">
        <v>6375.57</v>
      </c>
      <c r="I761" s="6" t="s">
        <v>161</v>
      </c>
      <c r="J761" s="6" t="s">
        <v>393</v>
      </c>
      <c r="K761" s="6" t="s">
        <v>259</v>
      </c>
      <c r="L761" s="6">
        <v>6.8684203562E10</v>
      </c>
      <c r="M761" s="6" t="s">
        <v>5726</v>
      </c>
      <c r="N761" s="6" t="s">
        <v>112</v>
      </c>
      <c r="O761" s="6" t="s">
        <v>178</v>
      </c>
      <c r="P761" s="10">
        <v>46049.0</v>
      </c>
    </row>
    <row r="762" ht="22.5" customHeight="1">
      <c r="A762" s="6" t="s">
        <v>5727</v>
      </c>
      <c r="B762" s="6" t="s">
        <v>5728</v>
      </c>
      <c r="C762" s="6" t="s">
        <v>5729</v>
      </c>
      <c r="D762" s="6" t="s">
        <v>206</v>
      </c>
      <c r="E762" s="6" t="s">
        <v>301</v>
      </c>
      <c r="F762" s="8">
        <v>53.0</v>
      </c>
      <c r="G762" s="9">
        <v>920.52</v>
      </c>
      <c r="H762" s="9">
        <v>5813.65</v>
      </c>
      <c r="I762" s="6" t="s">
        <v>161</v>
      </c>
      <c r="J762" s="6" t="s">
        <v>479</v>
      </c>
      <c r="K762" s="6" t="s">
        <v>5731</v>
      </c>
      <c r="L762" s="6">
        <v>8.1905626491E10</v>
      </c>
      <c r="M762" s="6" t="s">
        <v>5732</v>
      </c>
      <c r="N762" s="6" t="s">
        <v>176</v>
      </c>
      <c r="O762" s="6" t="s">
        <v>178</v>
      </c>
      <c r="P762" s="10">
        <v>46021.0</v>
      </c>
    </row>
    <row r="763" ht="22.5" customHeight="1">
      <c r="A763" s="6" t="s">
        <v>5733</v>
      </c>
      <c r="B763" s="6" t="s">
        <v>5734</v>
      </c>
      <c r="C763" s="6" t="s">
        <v>5735</v>
      </c>
      <c r="D763" s="6" t="s">
        <v>206</v>
      </c>
      <c r="E763" s="6" t="s">
        <v>301</v>
      </c>
      <c r="F763" s="8">
        <v>49.0</v>
      </c>
      <c r="G763" s="9">
        <v>730.84</v>
      </c>
      <c r="H763" s="9">
        <v>4850.22</v>
      </c>
      <c r="I763" s="6" t="s">
        <v>161</v>
      </c>
      <c r="J763" s="6" t="s">
        <v>312</v>
      </c>
      <c r="K763" s="6" t="s">
        <v>5737</v>
      </c>
      <c r="L763" s="6">
        <v>2.0317992213E10</v>
      </c>
      <c r="M763" s="6" t="s">
        <v>5738</v>
      </c>
      <c r="N763" s="6" t="s">
        <v>427</v>
      </c>
      <c r="O763" s="6" t="s">
        <v>178</v>
      </c>
      <c r="P763" s="10">
        <v>46035.0</v>
      </c>
    </row>
    <row r="764" ht="22.5" customHeight="1">
      <c r="A764" s="6" t="s">
        <v>5740</v>
      </c>
      <c r="B764" s="6" t="s">
        <v>5741</v>
      </c>
      <c r="C764" s="6" t="s">
        <v>5742</v>
      </c>
      <c r="D764" s="6" t="s">
        <v>145</v>
      </c>
      <c r="E764" s="6" t="s">
        <v>147</v>
      </c>
      <c r="F764" s="8">
        <v>9.0</v>
      </c>
      <c r="G764" s="9">
        <v>883.73</v>
      </c>
      <c r="H764" s="9">
        <v>9492.95</v>
      </c>
      <c r="I764" s="6" t="s">
        <v>161</v>
      </c>
      <c r="J764" s="6" t="s">
        <v>421</v>
      </c>
      <c r="K764" s="6" t="s">
        <v>5743</v>
      </c>
      <c r="L764" s="6">
        <v>4.4574021209E10</v>
      </c>
      <c r="M764" s="6" t="s">
        <v>5744</v>
      </c>
      <c r="N764" s="6" t="s">
        <v>112</v>
      </c>
      <c r="O764" s="6" t="s">
        <v>178</v>
      </c>
      <c r="P764" s="10">
        <v>45969.0</v>
      </c>
    </row>
    <row r="765" ht="22.5" customHeight="1">
      <c r="A765" s="6" t="s">
        <v>5746</v>
      </c>
      <c r="B765" s="6" t="s">
        <v>5747</v>
      </c>
      <c r="C765" s="6" t="s">
        <v>5748</v>
      </c>
      <c r="D765" s="6" t="s">
        <v>383</v>
      </c>
      <c r="E765" s="6" t="s">
        <v>210</v>
      </c>
      <c r="F765" s="8">
        <v>74.0</v>
      </c>
      <c r="G765" s="9">
        <v>501.55</v>
      </c>
      <c r="H765" s="9">
        <v>5898.99</v>
      </c>
      <c r="I765" s="6" t="s">
        <v>161</v>
      </c>
      <c r="J765" s="6" t="s">
        <v>228</v>
      </c>
      <c r="K765" s="6" t="s">
        <v>5750</v>
      </c>
      <c r="L765" s="6">
        <v>6.0670542947E10</v>
      </c>
      <c r="M765" s="6" t="s">
        <v>5751</v>
      </c>
      <c r="N765" s="6" t="s">
        <v>259</v>
      </c>
      <c r="O765" s="6" t="s">
        <v>161</v>
      </c>
      <c r="P765" s="10">
        <v>46022.0</v>
      </c>
    </row>
    <row r="766" ht="22.5" customHeight="1">
      <c r="A766" s="6" t="s">
        <v>5752</v>
      </c>
      <c r="B766" s="6" t="s">
        <v>5753</v>
      </c>
      <c r="C766" s="6" t="s">
        <v>5754</v>
      </c>
      <c r="D766" s="6" t="s">
        <v>145</v>
      </c>
      <c r="E766" s="6" t="s">
        <v>147</v>
      </c>
      <c r="F766" s="8">
        <v>20.0</v>
      </c>
      <c r="G766" s="9">
        <v>369.71</v>
      </c>
      <c r="H766" s="9">
        <v>9019.17</v>
      </c>
      <c r="I766" s="6" t="s">
        <v>161</v>
      </c>
      <c r="J766" s="6" t="s">
        <v>465</v>
      </c>
      <c r="K766" s="6" t="s">
        <v>5756</v>
      </c>
      <c r="L766" s="6">
        <v>6.380545427E9</v>
      </c>
      <c r="M766" s="6" t="s">
        <v>5757</v>
      </c>
      <c r="N766" s="6" t="s">
        <v>176</v>
      </c>
      <c r="O766" s="6" t="s">
        <v>178</v>
      </c>
      <c r="P766" s="10">
        <v>45992.0</v>
      </c>
    </row>
    <row r="767" ht="22.5" customHeight="1">
      <c r="A767" s="6" t="s">
        <v>5758</v>
      </c>
      <c r="B767" s="6" t="s">
        <v>5760</v>
      </c>
      <c r="C767" s="6" t="s">
        <v>5761</v>
      </c>
      <c r="D767" s="6" t="s">
        <v>206</v>
      </c>
      <c r="E767" s="6" t="s">
        <v>210</v>
      </c>
      <c r="F767" s="8">
        <v>70.0</v>
      </c>
      <c r="G767" s="9">
        <v>876.87</v>
      </c>
      <c r="H767" s="9">
        <v>8858.64</v>
      </c>
      <c r="I767" s="6" t="s">
        <v>161</v>
      </c>
      <c r="J767" s="6" t="s">
        <v>465</v>
      </c>
      <c r="K767" s="6" t="s">
        <v>5762</v>
      </c>
      <c r="L767" s="6">
        <v>9.3000631073E10</v>
      </c>
      <c r="M767" s="6" t="s">
        <v>5763</v>
      </c>
      <c r="N767" s="6" t="s">
        <v>112</v>
      </c>
      <c r="O767" s="6" t="s">
        <v>4031</v>
      </c>
      <c r="P767" s="10">
        <v>46023.0</v>
      </c>
    </row>
    <row r="768" ht="22.5" customHeight="1">
      <c r="A768" s="6" t="s">
        <v>5765</v>
      </c>
      <c r="B768" s="6" t="s">
        <v>5766</v>
      </c>
      <c r="C768" s="6" t="s">
        <v>5767</v>
      </c>
      <c r="D768" s="6" t="s">
        <v>206</v>
      </c>
      <c r="E768" s="6" t="s">
        <v>147</v>
      </c>
      <c r="F768" s="8">
        <v>23.0</v>
      </c>
      <c r="G768" s="9">
        <v>1250.66</v>
      </c>
      <c r="H768" s="9">
        <v>2957.18</v>
      </c>
      <c r="I768" s="6" t="s">
        <v>161</v>
      </c>
      <c r="J768" s="6" t="s">
        <v>312</v>
      </c>
      <c r="K768" s="6" t="s">
        <v>259</v>
      </c>
      <c r="L768" s="6">
        <v>1.9311085979E10</v>
      </c>
      <c r="M768" s="6" t="s">
        <v>5769</v>
      </c>
      <c r="N768" s="6" t="s">
        <v>112</v>
      </c>
      <c r="O768" s="6" t="s">
        <v>178</v>
      </c>
      <c r="P768" s="10">
        <v>46048.0</v>
      </c>
    </row>
    <row r="769" ht="22.5" customHeight="1">
      <c r="A769" s="6" t="s">
        <v>5770</v>
      </c>
      <c r="B769" s="6" t="s">
        <v>5771</v>
      </c>
      <c r="C769" s="6" t="s">
        <v>5772</v>
      </c>
      <c r="D769" s="6" t="s">
        <v>145</v>
      </c>
      <c r="E769" s="6" t="s">
        <v>147</v>
      </c>
      <c r="F769" s="8">
        <v>21.0</v>
      </c>
      <c r="G769" s="9">
        <v>620.46</v>
      </c>
      <c r="H769" s="9">
        <v>12914.66</v>
      </c>
      <c r="I769" s="6" t="s">
        <v>161</v>
      </c>
      <c r="J769" s="6" t="s">
        <v>228</v>
      </c>
      <c r="K769" s="6" t="s">
        <v>5774</v>
      </c>
      <c r="L769" s="6" t="s">
        <v>259</v>
      </c>
      <c r="M769" s="6" t="s">
        <v>5775</v>
      </c>
      <c r="N769" s="6" t="s">
        <v>283</v>
      </c>
      <c r="O769" s="6" t="s">
        <v>178</v>
      </c>
      <c r="P769" s="10">
        <v>45932.0</v>
      </c>
    </row>
    <row r="770" ht="22.5" customHeight="1">
      <c r="A770" s="6" t="s">
        <v>5777</v>
      </c>
      <c r="B770" s="6" t="s">
        <v>5778</v>
      </c>
      <c r="C770" s="6" t="s">
        <v>5779</v>
      </c>
      <c r="D770" s="6" t="s">
        <v>206</v>
      </c>
      <c r="E770" s="6" t="s">
        <v>147</v>
      </c>
      <c r="F770" s="8">
        <v>13.0</v>
      </c>
      <c r="G770" s="9">
        <v>1460.3</v>
      </c>
      <c r="H770" s="9">
        <v>7568.04</v>
      </c>
      <c r="I770" s="6" t="s">
        <v>161</v>
      </c>
      <c r="J770" s="6" t="s">
        <v>479</v>
      </c>
      <c r="K770" s="6" t="s">
        <v>5780</v>
      </c>
      <c r="L770" s="6">
        <v>3.9523590483E10</v>
      </c>
      <c r="M770" s="6" t="s">
        <v>5781</v>
      </c>
      <c r="N770" s="6" t="s">
        <v>112</v>
      </c>
      <c r="O770" s="6" t="s">
        <v>178</v>
      </c>
      <c r="P770" s="10">
        <v>45966.0</v>
      </c>
    </row>
    <row r="771" ht="22.5" customHeight="1">
      <c r="A771" s="6" t="s">
        <v>5783</v>
      </c>
      <c r="B771" s="6" t="s">
        <v>5784</v>
      </c>
      <c r="C771" s="6" t="s">
        <v>5785</v>
      </c>
      <c r="D771" s="6" t="s">
        <v>145</v>
      </c>
      <c r="E771" s="6" t="s">
        <v>147</v>
      </c>
      <c r="F771" s="8">
        <v>24.0</v>
      </c>
      <c r="G771" s="9">
        <v>1263.14</v>
      </c>
      <c r="H771" s="9">
        <v>2302.28</v>
      </c>
      <c r="I771" s="6" t="s">
        <v>161</v>
      </c>
      <c r="J771" s="6" t="s">
        <v>163</v>
      </c>
      <c r="K771" s="6" t="s">
        <v>5787</v>
      </c>
      <c r="L771" s="6">
        <v>4.2153793888E10</v>
      </c>
      <c r="M771" s="6" t="s">
        <v>5789</v>
      </c>
      <c r="N771" s="6" t="s">
        <v>259</v>
      </c>
      <c r="O771" s="6" t="s">
        <v>178</v>
      </c>
      <c r="P771" s="10">
        <v>46016.0</v>
      </c>
    </row>
    <row r="772" ht="22.5" customHeight="1">
      <c r="A772" s="6" t="s">
        <v>5791</v>
      </c>
      <c r="B772" s="6" t="s">
        <v>5792</v>
      </c>
      <c r="C772" s="6" t="s">
        <v>5793</v>
      </c>
      <c r="D772" s="6" t="s">
        <v>206</v>
      </c>
      <c r="E772" s="6" t="s">
        <v>210</v>
      </c>
      <c r="F772" s="8">
        <v>80.0</v>
      </c>
      <c r="G772" s="9">
        <v>1775.96</v>
      </c>
      <c r="H772" s="9">
        <v>4123.03</v>
      </c>
      <c r="I772" s="6" t="s">
        <v>161</v>
      </c>
      <c r="J772" s="6" t="s">
        <v>577</v>
      </c>
      <c r="K772" s="6" t="s">
        <v>5795</v>
      </c>
      <c r="L772" s="6" t="s">
        <v>259</v>
      </c>
      <c r="M772" s="6" t="s">
        <v>5797</v>
      </c>
      <c r="N772" s="6" t="s">
        <v>427</v>
      </c>
      <c r="O772" s="6" t="s">
        <v>161</v>
      </c>
      <c r="P772" s="10">
        <v>46038.0</v>
      </c>
    </row>
    <row r="773" ht="22.5" customHeight="1">
      <c r="A773" s="6" t="s">
        <v>5798</v>
      </c>
      <c r="B773" s="6" t="s">
        <v>5800</v>
      </c>
      <c r="C773" s="6" t="s">
        <v>5801</v>
      </c>
      <c r="D773" s="6" t="s">
        <v>206</v>
      </c>
      <c r="E773" s="6" t="s">
        <v>147</v>
      </c>
      <c r="F773" s="8">
        <v>8.0</v>
      </c>
      <c r="G773" s="9">
        <v>1118.74</v>
      </c>
      <c r="H773" s="9">
        <v>4383.09</v>
      </c>
      <c r="I773" s="6" t="s">
        <v>161</v>
      </c>
      <c r="J773" s="6" t="s">
        <v>465</v>
      </c>
      <c r="K773" s="6" t="s">
        <v>5802</v>
      </c>
      <c r="L773" s="6">
        <v>6.0530078524E10</v>
      </c>
      <c r="M773" s="6" t="s">
        <v>5804</v>
      </c>
      <c r="N773" s="6" t="s">
        <v>112</v>
      </c>
      <c r="O773" s="6" t="s">
        <v>178</v>
      </c>
      <c r="P773" s="10">
        <v>46048.0</v>
      </c>
    </row>
    <row r="774" ht="22.5" customHeight="1">
      <c r="A774" s="6" t="s">
        <v>5805</v>
      </c>
      <c r="B774" s="6" t="s">
        <v>5806</v>
      </c>
      <c r="C774" s="6" t="s">
        <v>5808</v>
      </c>
      <c r="D774" s="6" t="s">
        <v>145</v>
      </c>
      <c r="E774" s="6" t="s">
        <v>210</v>
      </c>
      <c r="F774" s="8">
        <v>92.0</v>
      </c>
      <c r="G774" s="9">
        <v>95.38</v>
      </c>
      <c r="H774" s="9">
        <v>2503.26</v>
      </c>
      <c r="I774" s="6" t="s">
        <v>178</v>
      </c>
      <c r="J774" s="6" t="s">
        <v>421</v>
      </c>
      <c r="K774" s="6" t="s">
        <v>5810</v>
      </c>
      <c r="L774" s="6">
        <v>4.1858304619E10</v>
      </c>
      <c r="M774" s="6" t="s">
        <v>5811</v>
      </c>
      <c r="N774" s="6" t="s">
        <v>112</v>
      </c>
      <c r="O774" s="6" t="s">
        <v>161</v>
      </c>
      <c r="P774" s="10">
        <v>46036.0</v>
      </c>
    </row>
    <row r="775" ht="22.5" customHeight="1">
      <c r="A775" s="6" t="s">
        <v>5813</v>
      </c>
      <c r="B775" s="6" t="s">
        <v>5814</v>
      </c>
      <c r="C775" s="6" t="s">
        <v>5815</v>
      </c>
      <c r="D775" s="6" t="s">
        <v>206</v>
      </c>
      <c r="E775" s="6" t="s">
        <v>147</v>
      </c>
      <c r="F775" s="8">
        <v>29.0</v>
      </c>
      <c r="G775" s="9">
        <v>968.27</v>
      </c>
      <c r="H775" s="9">
        <v>9843.68</v>
      </c>
      <c r="I775" s="6" t="s">
        <v>161</v>
      </c>
      <c r="J775" s="6" t="s">
        <v>228</v>
      </c>
      <c r="K775" s="6" t="s">
        <v>5816</v>
      </c>
      <c r="L775" s="6">
        <v>1.0967099214E10</v>
      </c>
      <c r="M775" s="6" t="s">
        <v>5817</v>
      </c>
      <c r="N775" s="6" t="s">
        <v>283</v>
      </c>
      <c r="O775" s="6" t="s">
        <v>178</v>
      </c>
      <c r="P775" s="10">
        <v>45984.0</v>
      </c>
    </row>
    <row r="776" ht="22.5" customHeight="1">
      <c r="A776" s="6" t="s">
        <v>5819</v>
      </c>
      <c r="B776" s="6" t="s">
        <v>5820</v>
      </c>
      <c r="C776" s="6" t="s">
        <v>5821</v>
      </c>
      <c r="D776" s="6" t="s">
        <v>206</v>
      </c>
      <c r="E776" s="6" t="s">
        <v>147</v>
      </c>
      <c r="F776" s="8">
        <v>29.0</v>
      </c>
      <c r="G776" s="9">
        <v>1282.32</v>
      </c>
      <c r="H776" s="9">
        <v>11009.53</v>
      </c>
      <c r="I776" s="6" t="s">
        <v>161</v>
      </c>
      <c r="J776" s="6" t="s">
        <v>393</v>
      </c>
      <c r="K776" s="6" t="s">
        <v>5823</v>
      </c>
      <c r="L776" s="6">
        <v>9.4553497568E10</v>
      </c>
      <c r="M776" s="6" t="s">
        <v>5824</v>
      </c>
      <c r="N776" s="6" t="s">
        <v>427</v>
      </c>
      <c r="O776" s="6" t="s">
        <v>178</v>
      </c>
      <c r="P776" s="10">
        <v>45950.0</v>
      </c>
    </row>
    <row r="777" ht="22.5" customHeight="1">
      <c r="A777" s="6" t="s">
        <v>5825</v>
      </c>
      <c r="B777" s="6" t="s">
        <v>5826</v>
      </c>
      <c r="C777" s="6" t="s">
        <v>5827</v>
      </c>
      <c r="D777" s="6" t="s">
        <v>145</v>
      </c>
      <c r="E777" s="6" t="s">
        <v>210</v>
      </c>
      <c r="F777" s="8">
        <v>77.0</v>
      </c>
      <c r="G777" s="9">
        <v>452.35</v>
      </c>
      <c r="H777" s="9">
        <v>5250.9</v>
      </c>
      <c r="I777" s="6" t="s">
        <v>161</v>
      </c>
      <c r="J777" s="6" t="s">
        <v>312</v>
      </c>
      <c r="K777" s="6" t="s">
        <v>5829</v>
      </c>
      <c r="L777" s="6">
        <v>8.134237663E9</v>
      </c>
      <c r="M777" s="6" t="s">
        <v>5830</v>
      </c>
      <c r="N777" s="6" t="s">
        <v>112</v>
      </c>
      <c r="O777" s="6" t="s">
        <v>161</v>
      </c>
      <c r="P777" s="10">
        <v>46042.0</v>
      </c>
    </row>
    <row r="778" ht="22.5" customHeight="1">
      <c r="A778" s="6" t="s">
        <v>5832</v>
      </c>
      <c r="B778" s="6" t="s">
        <v>5833</v>
      </c>
      <c r="C778" s="6" t="s">
        <v>3922</v>
      </c>
      <c r="D778" s="6" t="s">
        <v>145</v>
      </c>
      <c r="E778" s="6" t="s">
        <v>147</v>
      </c>
      <c r="F778" s="8">
        <v>10.0</v>
      </c>
      <c r="G778" s="9">
        <v>1581.05</v>
      </c>
      <c r="H778" s="9">
        <v>10830.23</v>
      </c>
      <c r="I778" s="6" t="s">
        <v>161</v>
      </c>
      <c r="J778" s="6" t="s">
        <v>312</v>
      </c>
      <c r="K778" s="6" t="s">
        <v>5835</v>
      </c>
      <c r="L778" s="6">
        <v>6.5943795881E10</v>
      </c>
      <c r="M778" s="6" t="s">
        <v>5836</v>
      </c>
      <c r="N778" s="6" t="s">
        <v>112</v>
      </c>
      <c r="O778" s="6" t="s">
        <v>178</v>
      </c>
      <c r="P778" s="10">
        <v>45975.0</v>
      </c>
    </row>
    <row r="779" ht="22.5" customHeight="1">
      <c r="A779" s="6" t="s">
        <v>5838</v>
      </c>
      <c r="B779" s="6" t="s">
        <v>5839</v>
      </c>
      <c r="C779" s="6" t="s">
        <v>5840</v>
      </c>
      <c r="D779" s="6" t="s">
        <v>145</v>
      </c>
      <c r="E779" s="6" t="s">
        <v>147</v>
      </c>
      <c r="F779" s="8">
        <v>9.0</v>
      </c>
      <c r="G779" s="9">
        <v>156.46</v>
      </c>
      <c r="H779" s="9">
        <v>9127.41</v>
      </c>
      <c r="I779" s="6" t="s">
        <v>161</v>
      </c>
      <c r="J779" s="6" t="s">
        <v>421</v>
      </c>
      <c r="K779" s="6" t="s">
        <v>5841</v>
      </c>
      <c r="L779" s="6">
        <v>2.3928934289E10</v>
      </c>
      <c r="M779" s="6" t="s">
        <v>5843</v>
      </c>
      <c r="N779" s="6" t="s">
        <v>112</v>
      </c>
      <c r="O779" s="6" t="s">
        <v>178</v>
      </c>
      <c r="P779" s="10">
        <v>45952.0</v>
      </c>
    </row>
    <row r="780" ht="22.5" customHeight="1">
      <c r="A780" s="6" t="s">
        <v>5844</v>
      </c>
      <c r="B780" s="6" t="s">
        <v>5845</v>
      </c>
      <c r="C780" s="6" t="s">
        <v>5847</v>
      </c>
      <c r="D780" s="6" t="s">
        <v>145</v>
      </c>
      <c r="E780" s="6" t="s">
        <v>147</v>
      </c>
      <c r="F780" s="8">
        <v>16.0</v>
      </c>
      <c r="G780" s="9">
        <v>359.23</v>
      </c>
      <c r="H780" s="9">
        <v>3760.36</v>
      </c>
      <c r="I780" s="6" t="s">
        <v>161</v>
      </c>
      <c r="J780" s="6" t="s">
        <v>2502</v>
      </c>
      <c r="K780" s="6" t="s">
        <v>5849</v>
      </c>
      <c r="L780" s="6">
        <v>7.4528347226E10</v>
      </c>
      <c r="M780" s="6" t="s">
        <v>5850</v>
      </c>
      <c r="N780" s="6" t="s">
        <v>112</v>
      </c>
      <c r="O780" s="6" t="s">
        <v>178</v>
      </c>
      <c r="P780" s="10">
        <v>46043.0</v>
      </c>
    </row>
    <row r="781" ht="22.5" customHeight="1">
      <c r="A781" s="6" t="s">
        <v>5852</v>
      </c>
      <c r="B781" s="6" t="s">
        <v>5853</v>
      </c>
      <c r="C781" s="6" t="s">
        <v>5854</v>
      </c>
      <c r="D781" s="6" t="s">
        <v>383</v>
      </c>
      <c r="E781" s="6" t="s">
        <v>147</v>
      </c>
      <c r="F781" s="8">
        <v>23.0</v>
      </c>
      <c r="G781" s="9">
        <v>1202.54</v>
      </c>
      <c r="H781" s="9">
        <v>15165.83</v>
      </c>
      <c r="I781" s="6" t="s">
        <v>161</v>
      </c>
      <c r="J781" s="6" t="s">
        <v>228</v>
      </c>
      <c r="K781" s="6" t="s">
        <v>5856</v>
      </c>
      <c r="L781" s="6">
        <v>9.5242622224E10</v>
      </c>
      <c r="M781" s="6" t="s">
        <v>5858</v>
      </c>
      <c r="N781" s="6" t="s">
        <v>427</v>
      </c>
      <c r="O781" s="6" t="s">
        <v>178</v>
      </c>
      <c r="P781" s="10">
        <v>46027.0</v>
      </c>
    </row>
    <row r="782" ht="22.5" customHeight="1">
      <c r="A782" s="6" t="s">
        <v>5859</v>
      </c>
      <c r="B782" s="6" t="s">
        <v>5860</v>
      </c>
      <c r="C782" s="6" t="s">
        <v>5862</v>
      </c>
      <c r="D782" s="6" t="s">
        <v>206</v>
      </c>
      <c r="E782" s="6" t="s">
        <v>210</v>
      </c>
      <c r="F782" s="8">
        <v>91.0</v>
      </c>
      <c r="G782" s="9">
        <v>555.87</v>
      </c>
      <c r="H782" s="9">
        <v>7883.64</v>
      </c>
      <c r="I782" s="6" t="s">
        <v>178</v>
      </c>
      <c r="J782" s="6" t="s">
        <v>163</v>
      </c>
      <c r="K782" s="6" t="s">
        <v>5864</v>
      </c>
      <c r="L782" s="6">
        <v>5.5055724459E10</v>
      </c>
      <c r="M782" s="6" t="s">
        <v>5865</v>
      </c>
      <c r="N782" s="6" t="s">
        <v>283</v>
      </c>
      <c r="O782" s="6" t="s">
        <v>161</v>
      </c>
      <c r="P782" s="10">
        <v>45934.0</v>
      </c>
    </row>
    <row r="783" ht="22.5" customHeight="1">
      <c r="A783" s="6" t="s">
        <v>5867</v>
      </c>
      <c r="B783" s="6" t="s">
        <v>5868</v>
      </c>
      <c r="C783" s="6" t="s">
        <v>5869</v>
      </c>
      <c r="D783" s="6" t="s">
        <v>206</v>
      </c>
      <c r="E783" s="6" t="s">
        <v>210</v>
      </c>
      <c r="F783" s="8">
        <v>95.0</v>
      </c>
      <c r="G783" s="9">
        <v>1284.43</v>
      </c>
      <c r="H783" s="9">
        <v>12190.24</v>
      </c>
      <c r="I783" s="6" t="s">
        <v>161</v>
      </c>
      <c r="J783" s="6" t="s">
        <v>163</v>
      </c>
      <c r="K783" s="6" t="s">
        <v>5871</v>
      </c>
      <c r="L783" s="6">
        <v>9.631927369E10</v>
      </c>
      <c r="M783" s="6" t="s">
        <v>5873</v>
      </c>
      <c r="N783" s="6" t="s">
        <v>112</v>
      </c>
      <c r="O783" s="6" t="s">
        <v>161</v>
      </c>
      <c r="P783" s="10">
        <v>46047.0</v>
      </c>
    </row>
    <row r="784" ht="22.5" customHeight="1">
      <c r="A784" s="6" t="s">
        <v>5874</v>
      </c>
      <c r="B784" s="6" t="s">
        <v>5876</v>
      </c>
      <c r="C784" s="6" t="s">
        <v>5877</v>
      </c>
      <c r="D784" s="6" t="s">
        <v>145</v>
      </c>
      <c r="E784" s="6" t="s">
        <v>147</v>
      </c>
      <c r="F784" s="8">
        <v>24.0</v>
      </c>
      <c r="G784" s="9">
        <v>730.58</v>
      </c>
      <c r="H784" s="9">
        <v>11718.34</v>
      </c>
      <c r="I784" s="6" t="s">
        <v>161</v>
      </c>
      <c r="J784" s="6" t="s">
        <v>442</v>
      </c>
      <c r="K784" s="6" t="s">
        <v>5879</v>
      </c>
      <c r="L784" s="6">
        <v>2.7469566665E10</v>
      </c>
      <c r="M784" s="6" t="s">
        <v>5880</v>
      </c>
      <c r="N784" s="6" t="s">
        <v>259</v>
      </c>
      <c r="O784" s="6" t="s">
        <v>178</v>
      </c>
      <c r="P784" s="10">
        <v>45998.0</v>
      </c>
    </row>
    <row r="785" ht="22.5" customHeight="1">
      <c r="A785" s="6" t="s">
        <v>5882</v>
      </c>
      <c r="B785" s="6" t="s">
        <v>5883</v>
      </c>
      <c r="C785" s="6" t="s">
        <v>5884</v>
      </c>
      <c r="D785" s="6" t="s">
        <v>206</v>
      </c>
      <c r="E785" s="6" t="s">
        <v>147</v>
      </c>
      <c r="F785" s="8">
        <v>18.0</v>
      </c>
      <c r="G785" s="9">
        <v>1667.15</v>
      </c>
      <c r="H785" s="9">
        <v>12012.33</v>
      </c>
      <c r="I785" s="6" t="s">
        <v>161</v>
      </c>
      <c r="J785" s="6" t="s">
        <v>421</v>
      </c>
      <c r="K785" s="6" t="s">
        <v>5885</v>
      </c>
      <c r="L785" s="6">
        <v>3.9462750083E10</v>
      </c>
      <c r="M785" s="6" t="s">
        <v>5886</v>
      </c>
      <c r="N785" s="6" t="s">
        <v>427</v>
      </c>
      <c r="O785" s="6" t="s">
        <v>178</v>
      </c>
      <c r="P785" s="10">
        <v>46038.0</v>
      </c>
    </row>
    <row r="786" ht="22.5" customHeight="1">
      <c r="A786" s="6" t="s">
        <v>5888</v>
      </c>
      <c r="B786" s="6" t="s">
        <v>5889</v>
      </c>
      <c r="C786" s="6" t="s">
        <v>5890</v>
      </c>
      <c r="D786" s="6" t="s">
        <v>145</v>
      </c>
      <c r="E786" s="6" t="s">
        <v>301</v>
      </c>
      <c r="F786" s="8">
        <v>30.0</v>
      </c>
      <c r="G786" s="9">
        <v>1363.3</v>
      </c>
      <c r="H786" s="9">
        <v>12320.92</v>
      </c>
      <c r="I786" s="6" t="s">
        <v>161</v>
      </c>
      <c r="J786" s="6" t="s">
        <v>577</v>
      </c>
      <c r="K786" s="6" t="s">
        <v>5891</v>
      </c>
      <c r="L786" s="6">
        <v>5.4486259419E10</v>
      </c>
      <c r="M786" s="6" t="s">
        <v>5893</v>
      </c>
      <c r="N786" s="6" t="s">
        <v>176</v>
      </c>
      <c r="O786" s="6" t="s">
        <v>178</v>
      </c>
      <c r="P786" s="10">
        <v>46031.0</v>
      </c>
    </row>
    <row r="787" ht="22.5" customHeight="1">
      <c r="A787" s="6" t="s">
        <v>5894</v>
      </c>
      <c r="B787" s="6" t="s">
        <v>5895</v>
      </c>
      <c r="C787" s="6" t="s">
        <v>5896</v>
      </c>
      <c r="D787" s="6" t="s">
        <v>145</v>
      </c>
      <c r="E787" s="6" t="s">
        <v>147</v>
      </c>
      <c r="F787" s="8">
        <v>17.0</v>
      </c>
      <c r="G787" s="9">
        <v>498.24</v>
      </c>
      <c r="H787" s="9">
        <v>1330.81</v>
      </c>
      <c r="I787" s="6" t="s">
        <v>161</v>
      </c>
      <c r="J787" s="6" t="s">
        <v>421</v>
      </c>
      <c r="K787" s="6" t="s">
        <v>5897</v>
      </c>
      <c r="L787" s="6">
        <v>4.8432877544E10</v>
      </c>
      <c r="M787" s="6" t="s">
        <v>5899</v>
      </c>
      <c r="N787" s="6" t="s">
        <v>259</v>
      </c>
      <c r="O787" s="6" t="s">
        <v>178</v>
      </c>
      <c r="P787" s="10">
        <v>45971.0</v>
      </c>
    </row>
    <row r="788" ht="22.5" customHeight="1">
      <c r="A788" s="6" t="s">
        <v>5900</v>
      </c>
      <c r="B788" s="6" t="s">
        <v>5901</v>
      </c>
      <c r="C788" s="6" t="s">
        <v>5902</v>
      </c>
      <c r="D788" s="6" t="s">
        <v>206</v>
      </c>
      <c r="E788" s="6" t="s">
        <v>147</v>
      </c>
      <c r="F788" s="8">
        <v>24.0</v>
      </c>
      <c r="G788" s="9">
        <v>1114.64</v>
      </c>
      <c r="H788" s="9">
        <v>3256.74</v>
      </c>
      <c r="I788" s="6" t="s">
        <v>161</v>
      </c>
      <c r="J788" s="6" t="s">
        <v>259</v>
      </c>
      <c r="K788" s="6" t="s">
        <v>5904</v>
      </c>
      <c r="L788" s="6">
        <v>7.7577767038E10</v>
      </c>
      <c r="M788" s="6" t="s">
        <v>5905</v>
      </c>
      <c r="N788" s="6" t="s">
        <v>112</v>
      </c>
      <c r="O788" s="6" t="s">
        <v>178</v>
      </c>
      <c r="P788" s="10">
        <v>46036.0</v>
      </c>
    </row>
    <row r="789" ht="22.5" customHeight="1">
      <c r="A789" s="6" t="s">
        <v>5907</v>
      </c>
      <c r="B789" s="6" t="s">
        <v>5908</v>
      </c>
      <c r="C789" s="6" t="s">
        <v>5909</v>
      </c>
      <c r="D789" s="6" t="s">
        <v>145</v>
      </c>
      <c r="E789" s="6" t="s">
        <v>147</v>
      </c>
      <c r="F789" s="8">
        <v>29.0</v>
      </c>
      <c r="G789" s="9">
        <v>899.97</v>
      </c>
      <c r="H789" s="9">
        <v>9564.25</v>
      </c>
      <c r="I789" s="6" t="s">
        <v>178</v>
      </c>
      <c r="J789" s="6" t="s">
        <v>595</v>
      </c>
      <c r="K789" s="6" t="s">
        <v>5911</v>
      </c>
      <c r="L789" s="6">
        <v>4.8991490453E10</v>
      </c>
      <c r="M789" s="6" t="s">
        <v>5913</v>
      </c>
      <c r="N789" s="6" t="s">
        <v>259</v>
      </c>
      <c r="O789" s="6" t="s">
        <v>161</v>
      </c>
      <c r="P789" s="10">
        <v>45950.0</v>
      </c>
    </row>
    <row r="790" ht="22.5" customHeight="1">
      <c r="A790" s="6" t="s">
        <v>5914</v>
      </c>
      <c r="B790" s="6" t="s">
        <v>5915</v>
      </c>
      <c r="C790" s="6" t="s">
        <v>5917</v>
      </c>
      <c r="D790" s="6" t="s">
        <v>206</v>
      </c>
      <c r="E790" s="6" t="s">
        <v>147</v>
      </c>
      <c r="F790" s="8">
        <v>8.0</v>
      </c>
      <c r="G790" s="9">
        <v>1043.41</v>
      </c>
      <c r="H790" s="9">
        <v>12913.63</v>
      </c>
      <c r="I790" s="6" t="s">
        <v>161</v>
      </c>
      <c r="J790" s="6" t="s">
        <v>163</v>
      </c>
      <c r="K790" s="6" t="s">
        <v>5919</v>
      </c>
      <c r="L790" s="6">
        <v>4.4345389199E10</v>
      </c>
      <c r="M790" s="6" t="s">
        <v>5920</v>
      </c>
      <c r="N790" s="6" t="s">
        <v>259</v>
      </c>
      <c r="O790" s="6" t="s">
        <v>178</v>
      </c>
      <c r="P790" s="10">
        <v>46005.0</v>
      </c>
    </row>
    <row r="791" ht="22.5" customHeight="1">
      <c r="A791" s="6" t="s">
        <v>5921</v>
      </c>
      <c r="B791" s="6" t="s">
        <v>5922</v>
      </c>
      <c r="C791" s="6" t="s">
        <v>5924</v>
      </c>
      <c r="D791" s="6" t="s">
        <v>206</v>
      </c>
      <c r="E791" s="6" t="s">
        <v>301</v>
      </c>
      <c r="F791" s="8">
        <v>37.0</v>
      </c>
      <c r="G791" s="9">
        <v>214.17</v>
      </c>
      <c r="H791" s="9">
        <v>5836.38</v>
      </c>
      <c r="I791" s="6" t="s">
        <v>161</v>
      </c>
      <c r="J791" s="6" t="s">
        <v>357</v>
      </c>
      <c r="K791" s="6" t="s">
        <v>5926</v>
      </c>
      <c r="L791" s="6">
        <v>6.7505212667E10</v>
      </c>
      <c r="M791" s="6" t="s">
        <v>5927</v>
      </c>
      <c r="N791" s="6" t="s">
        <v>283</v>
      </c>
      <c r="O791" s="6" t="s">
        <v>178</v>
      </c>
      <c r="P791" s="10">
        <v>45978.0</v>
      </c>
    </row>
    <row r="792" ht="22.5" customHeight="1">
      <c r="A792" s="6" t="s">
        <v>5929</v>
      </c>
      <c r="B792" s="6" t="s">
        <v>5930</v>
      </c>
      <c r="C792" s="6" t="s">
        <v>5931</v>
      </c>
      <c r="D792" s="6" t="s">
        <v>145</v>
      </c>
      <c r="E792" s="6" t="s">
        <v>147</v>
      </c>
      <c r="F792" s="8">
        <v>28.0</v>
      </c>
      <c r="G792" s="9">
        <v>1542.24</v>
      </c>
      <c r="H792" s="9">
        <v>8788.23</v>
      </c>
      <c r="I792" s="6" t="s">
        <v>161</v>
      </c>
      <c r="J792" s="6" t="s">
        <v>421</v>
      </c>
      <c r="K792" s="6" t="s">
        <v>5933</v>
      </c>
      <c r="L792" s="6">
        <v>6.2953454965E10</v>
      </c>
      <c r="M792" s="6" t="s">
        <v>5935</v>
      </c>
      <c r="N792" s="6" t="s">
        <v>427</v>
      </c>
      <c r="O792" s="6" t="s">
        <v>178</v>
      </c>
      <c r="P792" s="10">
        <v>45934.0</v>
      </c>
    </row>
    <row r="793" ht="22.5" customHeight="1">
      <c r="A793" s="6" t="s">
        <v>5937</v>
      </c>
      <c r="B793" s="6" t="s">
        <v>5938</v>
      </c>
      <c r="C793" s="6" t="s">
        <v>5939</v>
      </c>
      <c r="D793" s="6" t="s">
        <v>206</v>
      </c>
      <c r="E793" s="6" t="s">
        <v>147</v>
      </c>
      <c r="F793" s="8">
        <v>16.0</v>
      </c>
      <c r="G793" s="9">
        <v>891.6</v>
      </c>
      <c r="H793" s="9">
        <v>1948.74</v>
      </c>
      <c r="I793" s="6" t="s">
        <v>161</v>
      </c>
      <c r="J793" s="6" t="s">
        <v>228</v>
      </c>
      <c r="K793" s="6" t="s">
        <v>5941</v>
      </c>
      <c r="L793" s="6">
        <v>3.0234146332E10</v>
      </c>
      <c r="M793" s="6" t="s">
        <v>5942</v>
      </c>
      <c r="N793" s="6" t="s">
        <v>176</v>
      </c>
      <c r="O793" s="6" t="s">
        <v>178</v>
      </c>
      <c r="P793" s="10">
        <v>46004.0</v>
      </c>
    </row>
    <row r="794" ht="22.5" customHeight="1">
      <c r="A794" s="6" t="s">
        <v>5944</v>
      </c>
      <c r="B794" s="6" t="s">
        <v>5945</v>
      </c>
      <c r="C794" s="6" t="s">
        <v>5946</v>
      </c>
      <c r="D794" s="6" t="s">
        <v>145</v>
      </c>
      <c r="E794" s="6" t="s">
        <v>147</v>
      </c>
      <c r="F794" s="8">
        <v>24.0</v>
      </c>
      <c r="G794" s="9">
        <v>1706.85</v>
      </c>
      <c r="H794" s="9">
        <v>2569.14</v>
      </c>
      <c r="I794" s="6" t="s">
        <v>161</v>
      </c>
      <c r="J794" s="6" t="s">
        <v>312</v>
      </c>
      <c r="K794" s="6" t="s">
        <v>5948</v>
      </c>
      <c r="L794" s="6">
        <v>4.4482230136E10</v>
      </c>
      <c r="M794" s="6" t="s">
        <v>5950</v>
      </c>
      <c r="N794" s="6" t="s">
        <v>112</v>
      </c>
      <c r="O794" s="6" t="s">
        <v>178</v>
      </c>
      <c r="P794" s="10">
        <v>45997.0</v>
      </c>
    </row>
    <row r="795" ht="22.5" customHeight="1">
      <c r="A795" s="6" t="s">
        <v>5951</v>
      </c>
      <c r="B795" s="6" t="s">
        <v>5953</v>
      </c>
      <c r="C795" s="6" t="s">
        <v>5954</v>
      </c>
      <c r="D795" s="6" t="s">
        <v>206</v>
      </c>
      <c r="E795" s="6" t="s">
        <v>147</v>
      </c>
      <c r="F795" s="8">
        <v>10.0</v>
      </c>
      <c r="G795" s="9">
        <v>954.58</v>
      </c>
      <c r="H795" s="9">
        <v>7065.95</v>
      </c>
      <c r="I795" s="6" t="s">
        <v>161</v>
      </c>
      <c r="J795" s="6" t="s">
        <v>442</v>
      </c>
      <c r="K795" s="6" t="s">
        <v>5956</v>
      </c>
      <c r="L795" s="6">
        <v>5.2696464643E10</v>
      </c>
      <c r="M795" s="6" t="s">
        <v>5957</v>
      </c>
      <c r="N795" s="6" t="s">
        <v>283</v>
      </c>
      <c r="O795" s="6" t="s">
        <v>178</v>
      </c>
      <c r="P795" s="10">
        <v>46027.0</v>
      </c>
    </row>
    <row r="796" ht="22.5" customHeight="1">
      <c r="A796" s="6" t="s">
        <v>5959</v>
      </c>
      <c r="B796" s="6" t="s">
        <v>5960</v>
      </c>
      <c r="C796" s="6" t="s">
        <v>5961</v>
      </c>
      <c r="D796" s="6" t="s">
        <v>383</v>
      </c>
      <c r="E796" s="6" t="s">
        <v>147</v>
      </c>
      <c r="F796" s="8">
        <v>21.0</v>
      </c>
      <c r="G796" s="9">
        <v>734.73</v>
      </c>
      <c r="H796" s="9">
        <v>9452.78</v>
      </c>
      <c r="I796" s="6" t="s">
        <v>161</v>
      </c>
      <c r="J796" s="6" t="s">
        <v>442</v>
      </c>
      <c r="K796" s="6" t="s">
        <v>5963</v>
      </c>
      <c r="L796" s="6">
        <v>2.149532733E9</v>
      </c>
      <c r="M796" s="6" t="s">
        <v>5965</v>
      </c>
      <c r="N796" s="6" t="s">
        <v>283</v>
      </c>
      <c r="O796" s="6" t="s">
        <v>178</v>
      </c>
      <c r="P796" s="10">
        <v>46031.0</v>
      </c>
    </row>
    <row r="797" ht="22.5" customHeight="1">
      <c r="A797" s="6" t="s">
        <v>5966</v>
      </c>
      <c r="B797" s="6" t="s">
        <v>5968</v>
      </c>
      <c r="C797" s="6" t="s">
        <v>5969</v>
      </c>
      <c r="D797" s="6" t="s">
        <v>145</v>
      </c>
      <c r="E797" s="6" t="s">
        <v>210</v>
      </c>
      <c r="F797" s="8">
        <v>82.0</v>
      </c>
      <c r="G797" s="9">
        <v>555.89</v>
      </c>
      <c r="H797" s="9">
        <v>1784.59</v>
      </c>
      <c r="I797" s="6" t="s">
        <v>161</v>
      </c>
      <c r="J797" s="6" t="s">
        <v>228</v>
      </c>
      <c r="K797" s="6" t="s">
        <v>5971</v>
      </c>
      <c r="L797" s="6">
        <v>5.9189669526E10</v>
      </c>
      <c r="M797" s="6" t="s">
        <v>5972</v>
      </c>
      <c r="N797" s="6" t="s">
        <v>259</v>
      </c>
      <c r="O797" s="6" t="s">
        <v>161</v>
      </c>
      <c r="P797" s="10">
        <v>45980.0</v>
      </c>
    </row>
    <row r="798" ht="22.5" customHeight="1">
      <c r="A798" s="6" t="s">
        <v>5974</v>
      </c>
      <c r="B798" s="6" t="s">
        <v>5975</v>
      </c>
      <c r="C798" s="6" t="s">
        <v>5976</v>
      </c>
      <c r="D798" s="6" t="s">
        <v>145</v>
      </c>
      <c r="E798" s="6" t="s">
        <v>301</v>
      </c>
      <c r="F798" s="8">
        <v>32.0</v>
      </c>
      <c r="G798" s="9">
        <v>624.09</v>
      </c>
      <c r="H798" s="9">
        <v>11356.8</v>
      </c>
      <c r="I798" s="6" t="s">
        <v>161</v>
      </c>
      <c r="J798" s="6" t="s">
        <v>421</v>
      </c>
      <c r="K798" s="6" t="s">
        <v>5978</v>
      </c>
      <c r="L798" s="6">
        <v>4.98607527E8</v>
      </c>
      <c r="M798" s="6" t="s">
        <v>5979</v>
      </c>
      <c r="N798" s="6" t="s">
        <v>112</v>
      </c>
      <c r="O798" s="6" t="s">
        <v>178</v>
      </c>
      <c r="P798" s="10">
        <v>45980.0</v>
      </c>
    </row>
    <row r="799" ht="22.5" customHeight="1">
      <c r="A799" s="6" t="s">
        <v>5981</v>
      </c>
      <c r="B799" s="6" t="s">
        <v>5982</v>
      </c>
      <c r="C799" s="6" t="s">
        <v>5984</v>
      </c>
      <c r="D799" s="6" t="s">
        <v>145</v>
      </c>
      <c r="E799" s="6" t="s">
        <v>147</v>
      </c>
      <c r="F799" s="8">
        <v>24.0</v>
      </c>
      <c r="G799" s="9">
        <v>677.63</v>
      </c>
      <c r="H799" s="9">
        <v>7061.1</v>
      </c>
      <c r="I799" s="6" t="s">
        <v>161</v>
      </c>
      <c r="J799" s="6" t="s">
        <v>312</v>
      </c>
      <c r="K799" s="6" t="s">
        <v>5985</v>
      </c>
      <c r="L799" s="6">
        <v>7.0296898037E10</v>
      </c>
      <c r="M799" s="6" t="s">
        <v>5987</v>
      </c>
      <c r="N799" s="6" t="s">
        <v>427</v>
      </c>
      <c r="O799" s="6" t="s">
        <v>178</v>
      </c>
      <c r="P799" s="10">
        <v>45947.0</v>
      </c>
    </row>
    <row r="800" ht="22.5" customHeight="1">
      <c r="A800" s="6" t="s">
        <v>5988</v>
      </c>
      <c r="B800" s="6" t="s">
        <v>5989</v>
      </c>
      <c r="C800" s="6" t="s">
        <v>5991</v>
      </c>
      <c r="D800" s="6" t="s">
        <v>145</v>
      </c>
      <c r="E800" s="6" t="s">
        <v>147</v>
      </c>
      <c r="F800" s="8">
        <v>11.0</v>
      </c>
      <c r="G800" s="9">
        <v>900.52</v>
      </c>
      <c r="H800" s="9">
        <v>11783.9</v>
      </c>
      <c r="I800" s="6" t="s">
        <v>161</v>
      </c>
      <c r="J800" s="6" t="s">
        <v>259</v>
      </c>
      <c r="K800" s="6" t="s">
        <v>5993</v>
      </c>
      <c r="L800" s="6" t="s">
        <v>259</v>
      </c>
      <c r="M800" s="6" t="s">
        <v>5994</v>
      </c>
      <c r="N800" s="6" t="s">
        <v>283</v>
      </c>
      <c r="O800" s="6" t="s">
        <v>178</v>
      </c>
      <c r="P800" s="10">
        <v>45990.0</v>
      </c>
    </row>
    <row r="801" ht="22.5" customHeight="1">
      <c r="A801" s="6" t="s">
        <v>5996</v>
      </c>
      <c r="B801" s="6" t="s">
        <v>5997</v>
      </c>
      <c r="C801" s="6" t="s">
        <v>5998</v>
      </c>
      <c r="D801" s="6" t="s">
        <v>383</v>
      </c>
      <c r="E801" s="6" t="s">
        <v>301</v>
      </c>
      <c r="F801" s="8">
        <v>50.0</v>
      </c>
      <c r="G801" s="9">
        <v>1138.1</v>
      </c>
      <c r="H801" s="9">
        <v>9656.87</v>
      </c>
      <c r="I801" s="6" t="s">
        <v>178</v>
      </c>
      <c r="J801" s="6" t="s">
        <v>442</v>
      </c>
      <c r="K801" s="6" t="s">
        <v>6000</v>
      </c>
      <c r="L801" s="6">
        <v>3.1042633548E10</v>
      </c>
      <c r="M801" s="6" t="s">
        <v>6002</v>
      </c>
      <c r="N801" s="6" t="s">
        <v>283</v>
      </c>
      <c r="O801" s="6" t="s">
        <v>161</v>
      </c>
      <c r="P801" s="10">
        <v>46001.0</v>
      </c>
    </row>
    <row r="802" ht="22.5" customHeight="1">
      <c r="A802" s="6" t="s">
        <v>6003</v>
      </c>
      <c r="B802" s="6" t="s">
        <v>6005</v>
      </c>
      <c r="C802" s="6" t="s">
        <v>6006</v>
      </c>
      <c r="D802" s="6" t="s">
        <v>206</v>
      </c>
      <c r="E802" s="6" t="s">
        <v>147</v>
      </c>
      <c r="F802" s="8">
        <v>22.0</v>
      </c>
      <c r="G802" s="9">
        <v>951.55</v>
      </c>
      <c r="H802" s="9">
        <v>12572.22</v>
      </c>
      <c r="I802" s="6" t="s">
        <v>161</v>
      </c>
      <c r="J802" s="6" t="s">
        <v>577</v>
      </c>
      <c r="K802" s="6" t="s">
        <v>6008</v>
      </c>
      <c r="L802" s="6">
        <v>6.022177972E10</v>
      </c>
      <c r="M802" s="6" t="s">
        <v>6009</v>
      </c>
      <c r="N802" s="6" t="s">
        <v>176</v>
      </c>
      <c r="O802" s="6" t="s">
        <v>178</v>
      </c>
      <c r="P802" s="10">
        <v>46019.0</v>
      </c>
    </row>
    <row r="803" ht="22.5" customHeight="1">
      <c r="A803" s="6" t="s">
        <v>6011</v>
      </c>
      <c r="B803" s="6" t="s">
        <v>6012</v>
      </c>
      <c r="C803" s="6" t="s">
        <v>6013</v>
      </c>
      <c r="D803" s="6" t="s">
        <v>206</v>
      </c>
      <c r="E803" s="6" t="s">
        <v>301</v>
      </c>
      <c r="F803" s="8">
        <v>49.0</v>
      </c>
      <c r="G803" s="9">
        <v>1712.25</v>
      </c>
      <c r="H803" s="9">
        <v>10875.26</v>
      </c>
      <c r="I803" s="6" t="s">
        <v>178</v>
      </c>
      <c r="J803" s="6" t="s">
        <v>393</v>
      </c>
      <c r="K803" s="6" t="s">
        <v>6015</v>
      </c>
      <c r="L803" s="6">
        <v>8.931527957E10</v>
      </c>
      <c r="M803" s="6" t="s">
        <v>6016</v>
      </c>
      <c r="N803" s="6" t="s">
        <v>176</v>
      </c>
      <c r="O803" s="6" t="s">
        <v>161</v>
      </c>
      <c r="P803" s="10">
        <v>46030.0</v>
      </c>
    </row>
    <row r="804" ht="22.5" customHeight="1">
      <c r="A804" s="6" t="s">
        <v>6018</v>
      </c>
      <c r="B804" s="6" t="s">
        <v>6019</v>
      </c>
      <c r="C804" s="6" t="s">
        <v>6020</v>
      </c>
      <c r="D804" s="6" t="s">
        <v>206</v>
      </c>
      <c r="E804" s="6" t="s">
        <v>210</v>
      </c>
      <c r="F804" s="8">
        <v>70.0</v>
      </c>
      <c r="G804" s="9">
        <v>1109.34</v>
      </c>
      <c r="H804" s="9">
        <v>8067.73</v>
      </c>
      <c r="I804" s="6" t="s">
        <v>161</v>
      </c>
      <c r="J804" s="6" t="s">
        <v>479</v>
      </c>
      <c r="K804" s="6" t="s">
        <v>6022</v>
      </c>
      <c r="L804" s="6">
        <v>1.8570633244E10</v>
      </c>
      <c r="M804" s="6" t="s">
        <v>6023</v>
      </c>
      <c r="N804" s="6" t="s">
        <v>112</v>
      </c>
      <c r="O804" s="6" t="s">
        <v>161</v>
      </c>
      <c r="P804" s="10">
        <v>46014.0</v>
      </c>
    </row>
    <row r="805" ht="22.5" customHeight="1">
      <c r="A805" s="6" t="s">
        <v>6025</v>
      </c>
      <c r="B805" s="6" t="s">
        <v>6026</v>
      </c>
      <c r="C805" s="6" t="s">
        <v>6028</v>
      </c>
      <c r="D805" s="6" t="s">
        <v>206</v>
      </c>
      <c r="E805" s="6" t="s">
        <v>147</v>
      </c>
      <c r="F805" s="8">
        <v>28.0</v>
      </c>
      <c r="G805" s="9">
        <v>1632.43</v>
      </c>
      <c r="H805" s="9">
        <v>11497.96</v>
      </c>
      <c r="I805" s="6" t="s">
        <v>161</v>
      </c>
      <c r="J805" s="6" t="s">
        <v>163</v>
      </c>
      <c r="K805" s="6" t="s">
        <v>6030</v>
      </c>
      <c r="L805" s="6">
        <v>9.8906751343E10</v>
      </c>
      <c r="M805" s="6" t="s">
        <v>6031</v>
      </c>
      <c r="N805" s="6" t="s">
        <v>112</v>
      </c>
      <c r="O805" s="6" t="s">
        <v>178</v>
      </c>
      <c r="P805" s="10">
        <v>45960.0</v>
      </c>
    </row>
    <row r="806" ht="22.5" customHeight="1">
      <c r="A806" s="6" t="s">
        <v>6033</v>
      </c>
      <c r="B806" s="6" t="s">
        <v>6034</v>
      </c>
      <c r="C806" s="6" t="s">
        <v>6035</v>
      </c>
      <c r="D806" s="6" t="s">
        <v>383</v>
      </c>
      <c r="E806" s="6" t="s">
        <v>210</v>
      </c>
      <c r="F806" s="8">
        <v>106.0</v>
      </c>
      <c r="G806" s="9">
        <v>468.27</v>
      </c>
      <c r="H806" s="9">
        <v>6816.72</v>
      </c>
      <c r="I806" s="6" t="s">
        <v>178</v>
      </c>
      <c r="J806" s="6" t="s">
        <v>465</v>
      </c>
      <c r="K806" s="6" t="s">
        <v>6037</v>
      </c>
      <c r="L806" s="6">
        <v>6.1240446007E10</v>
      </c>
      <c r="M806" s="6" t="s">
        <v>6039</v>
      </c>
      <c r="N806" s="6" t="s">
        <v>259</v>
      </c>
      <c r="O806" s="6" t="s">
        <v>161</v>
      </c>
      <c r="P806" s="10">
        <v>46014.0</v>
      </c>
    </row>
    <row r="807" ht="22.5" customHeight="1">
      <c r="A807" s="6" t="s">
        <v>6040</v>
      </c>
      <c r="B807" s="6" t="s">
        <v>6042</v>
      </c>
      <c r="C807" s="6" t="s">
        <v>6043</v>
      </c>
      <c r="D807" s="6" t="s">
        <v>206</v>
      </c>
      <c r="E807" s="6" t="s">
        <v>301</v>
      </c>
      <c r="F807" s="8">
        <v>41.0</v>
      </c>
      <c r="G807" s="9">
        <v>943.47</v>
      </c>
      <c r="H807" s="9">
        <v>4616.7</v>
      </c>
      <c r="I807" s="6" t="s">
        <v>161</v>
      </c>
      <c r="J807" s="6" t="s">
        <v>465</v>
      </c>
      <c r="K807" s="6" t="s">
        <v>6045</v>
      </c>
      <c r="L807" s="6" t="s">
        <v>259</v>
      </c>
      <c r="M807" s="6" t="s">
        <v>6046</v>
      </c>
      <c r="N807" s="6" t="s">
        <v>176</v>
      </c>
      <c r="O807" s="6" t="s">
        <v>178</v>
      </c>
      <c r="P807" s="10">
        <v>45996.0</v>
      </c>
    </row>
    <row r="808" ht="22.5" customHeight="1">
      <c r="A808" s="6" t="s">
        <v>6048</v>
      </c>
      <c r="B808" s="6" t="s">
        <v>6049</v>
      </c>
      <c r="C808" s="6" t="s">
        <v>6050</v>
      </c>
      <c r="D808" s="6" t="s">
        <v>145</v>
      </c>
      <c r="E808" s="6" t="s">
        <v>147</v>
      </c>
      <c r="F808" s="8">
        <v>7.0</v>
      </c>
      <c r="G808" s="9">
        <v>610.25</v>
      </c>
      <c r="H808" s="9">
        <v>9473.18</v>
      </c>
      <c r="I808" s="6" t="s">
        <v>161</v>
      </c>
      <c r="J808" s="6" t="s">
        <v>465</v>
      </c>
      <c r="K808" s="6" t="s">
        <v>6052</v>
      </c>
      <c r="L808" s="6">
        <v>4.3752237755E10</v>
      </c>
      <c r="M808" s="6" t="s">
        <v>6054</v>
      </c>
      <c r="N808" s="6" t="s">
        <v>427</v>
      </c>
      <c r="O808" s="6" t="s">
        <v>178</v>
      </c>
      <c r="P808" s="10">
        <v>46018.0</v>
      </c>
    </row>
    <row r="809" ht="22.5" customHeight="1">
      <c r="A809" s="6" t="s">
        <v>6056</v>
      </c>
      <c r="B809" s="6" t="s">
        <v>6057</v>
      </c>
      <c r="C809" s="6" t="s">
        <v>6058</v>
      </c>
      <c r="D809" s="6" t="s">
        <v>206</v>
      </c>
      <c r="E809" s="6" t="s">
        <v>301</v>
      </c>
      <c r="F809" s="8">
        <v>34.0</v>
      </c>
      <c r="G809" s="9">
        <v>588.24</v>
      </c>
      <c r="H809" s="9">
        <v>9751.07</v>
      </c>
      <c r="I809" s="6" t="s">
        <v>161</v>
      </c>
      <c r="J809" s="6" t="s">
        <v>357</v>
      </c>
      <c r="K809" s="6" t="s">
        <v>259</v>
      </c>
      <c r="L809" s="6">
        <v>4.1912969668E10</v>
      </c>
      <c r="M809" s="6" t="s">
        <v>6060</v>
      </c>
      <c r="N809" s="6" t="s">
        <v>427</v>
      </c>
      <c r="O809" s="6" t="s">
        <v>178</v>
      </c>
      <c r="P809" s="10">
        <v>45953.0</v>
      </c>
    </row>
    <row r="810" ht="22.5" customHeight="1">
      <c r="A810" s="6" t="s">
        <v>6061</v>
      </c>
      <c r="B810" s="6" t="s">
        <v>6062</v>
      </c>
      <c r="C810" s="6" t="s">
        <v>6063</v>
      </c>
      <c r="D810" s="6" t="s">
        <v>145</v>
      </c>
      <c r="E810" s="6" t="s">
        <v>301</v>
      </c>
      <c r="F810" s="8">
        <v>36.0</v>
      </c>
      <c r="G810" s="9">
        <v>607.19</v>
      </c>
      <c r="H810" s="9">
        <v>8188.02</v>
      </c>
      <c r="I810" s="6" t="s">
        <v>161</v>
      </c>
      <c r="J810" s="6" t="s">
        <v>357</v>
      </c>
      <c r="K810" s="6" t="s">
        <v>6065</v>
      </c>
      <c r="L810" s="6">
        <v>4.9894974051E10</v>
      </c>
      <c r="M810" s="6" t="s">
        <v>6066</v>
      </c>
      <c r="N810" s="6" t="s">
        <v>283</v>
      </c>
      <c r="O810" s="6" t="s">
        <v>178</v>
      </c>
      <c r="P810" s="10">
        <v>45987.0</v>
      </c>
    </row>
    <row r="811" ht="22.5" customHeight="1">
      <c r="A811" s="6" t="s">
        <v>6067</v>
      </c>
      <c r="B811" s="6" t="s">
        <v>6069</v>
      </c>
      <c r="C811" s="6" t="s">
        <v>6070</v>
      </c>
      <c r="D811" s="6" t="s">
        <v>206</v>
      </c>
      <c r="E811" s="6" t="s">
        <v>147</v>
      </c>
      <c r="F811" s="8">
        <v>17.0</v>
      </c>
      <c r="G811" s="9">
        <v>844.98</v>
      </c>
      <c r="H811" s="9">
        <v>4373.05</v>
      </c>
      <c r="I811" s="6" t="s">
        <v>161</v>
      </c>
      <c r="J811" s="6" t="s">
        <v>357</v>
      </c>
      <c r="K811" s="6" t="s">
        <v>6071</v>
      </c>
      <c r="L811" s="6">
        <v>1.3001271386E10</v>
      </c>
      <c r="M811" s="6" t="s">
        <v>6073</v>
      </c>
      <c r="N811" s="6" t="s">
        <v>176</v>
      </c>
      <c r="O811" s="6" t="s">
        <v>178</v>
      </c>
      <c r="P811" s="10">
        <v>45965.0</v>
      </c>
    </row>
    <row r="812" ht="22.5" customHeight="1">
      <c r="A812" s="6" t="s">
        <v>6074</v>
      </c>
      <c r="B812" s="6" t="s">
        <v>6075</v>
      </c>
      <c r="C812" s="6" t="s">
        <v>6076</v>
      </c>
      <c r="D812" s="6" t="s">
        <v>145</v>
      </c>
      <c r="E812" s="6" t="s">
        <v>147</v>
      </c>
      <c r="F812" s="8">
        <v>11.0</v>
      </c>
      <c r="G812" s="9">
        <v>1137.35</v>
      </c>
      <c r="H812" s="9">
        <v>13465.01</v>
      </c>
      <c r="I812" s="6" t="s">
        <v>161</v>
      </c>
      <c r="J812" s="6" t="s">
        <v>163</v>
      </c>
      <c r="K812" s="6" t="s">
        <v>6078</v>
      </c>
      <c r="L812" s="6">
        <v>8.343195376E10</v>
      </c>
      <c r="M812" s="6" t="s">
        <v>6079</v>
      </c>
      <c r="N812" s="6" t="s">
        <v>259</v>
      </c>
      <c r="O812" s="6" t="s">
        <v>178</v>
      </c>
      <c r="P812" s="10">
        <v>45963.0</v>
      </c>
    </row>
    <row r="813" ht="22.5" customHeight="1">
      <c r="A813" s="6" t="s">
        <v>6081</v>
      </c>
      <c r="B813" s="6" t="s">
        <v>6082</v>
      </c>
      <c r="C813" s="6" t="s">
        <v>6083</v>
      </c>
      <c r="D813" s="6" t="s">
        <v>145</v>
      </c>
      <c r="E813" s="6" t="s">
        <v>147</v>
      </c>
      <c r="F813" s="8">
        <v>15.0</v>
      </c>
      <c r="G813" s="9">
        <v>149.05</v>
      </c>
      <c r="H813" s="9">
        <v>6200.46</v>
      </c>
      <c r="I813" s="6" t="s">
        <v>161</v>
      </c>
      <c r="J813" s="6" t="s">
        <v>163</v>
      </c>
      <c r="K813" s="6" t="s">
        <v>6084</v>
      </c>
      <c r="L813" s="6">
        <v>8.87292122E8</v>
      </c>
      <c r="M813" s="6" t="s">
        <v>6085</v>
      </c>
      <c r="N813" s="6" t="s">
        <v>259</v>
      </c>
      <c r="O813" s="6" t="s">
        <v>178</v>
      </c>
      <c r="P813" s="10">
        <v>45988.0</v>
      </c>
    </row>
    <row r="814" ht="22.5" customHeight="1">
      <c r="A814" s="6" t="s">
        <v>6087</v>
      </c>
      <c r="B814" s="6" t="s">
        <v>6088</v>
      </c>
      <c r="C814" s="6" t="s">
        <v>6089</v>
      </c>
      <c r="D814" s="6" t="s">
        <v>206</v>
      </c>
      <c r="E814" s="6" t="s">
        <v>301</v>
      </c>
      <c r="F814" s="8">
        <v>39.0</v>
      </c>
      <c r="G814" s="9">
        <v>895.81</v>
      </c>
      <c r="H814" s="9">
        <v>6565.3</v>
      </c>
      <c r="I814" s="6" t="s">
        <v>161</v>
      </c>
      <c r="J814" s="6" t="s">
        <v>228</v>
      </c>
      <c r="K814" s="6" t="s">
        <v>6091</v>
      </c>
      <c r="L814" s="6">
        <v>3.0269616961E10</v>
      </c>
      <c r="M814" s="6" t="s">
        <v>6092</v>
      </c>
      <c r="N814" s="6" t="s">
        <v>259</v>
      </c>
      <c r="O814" s="6" t="s">
        <v>178</v>
      </c>
      <c r="P814" s="10">
        <v>45973.0</v>
      </c>
    </row>
    <row r="815" ht="22.5" customHeight="1">
      <c r="A815" s="6" t="s">
        <v>6093</v>
      </c>
      <c r="B815" s="6" t="s">
        <v>6094</v>
      </c>
      <c r="C815" s="6" t="s">
        <v>6095</v>
      </c>
      <c r="D815" s="6" t="s">
        <v>145</v>
      </c>
      <c r="E815" s="6" t="s">
        <v>301</v>
      </c>
      <c r="F815" s="8">
        <v>36.0</v>
      </c>
      <c r="G815" s="9">
        <v>1076.75</v>
      </c>
      <c r="H815" s="9">
        <v>4644.48</v>
      </c>
      <c r="I815" s="6" t="s">
        <v>161</v>
      </c>
      <c r="J815" s="6" t="s">
        <v>228</v>
      </c>
      <c r="K815" s="6" t="s">
        <v>6097</v>
      </c>
      <c r="L815" s="6">
        <v>4.566969451E9</v>
      </c>
      <c r="M815" s="6" t="s">
        <v>6098</v>
      </c>
      <c r="N815" s="6" t="s">
        <v>176</v>
      </c>
      <c r="O815" s="6" t="s">
        <v>178</v>
      </c>
      <c r="P815" s="10">
        <v>46046.0</v>
      </c>
    </row>
    <row r="816" ht="22.5" customHeight="1">
      <c r="A816" s="6" t="s">
        <v>6100</v>
      </c>
      <c r="B816" s="6" t="s">
        <v>6101</v>
      </c>
      <c r="C816" s="6" t="s">
        <v>6102</v>
      </c>
      <c r="D816" s="6" t="s">
        <v>206</v>
      </c>
      <c r="E816" s="6" t="s">
        <v>210</v>
      </c>
      <c r="F816" s="8">
        <v>62.0</v>
      </c>
      <c r="G816" s="9">
        <v>1557.2</v>
      </c>
      <c r="H816" s="9">
        <v>2079.83</v>
      </c>
      <c r="I816" s="6" t="s">
        <v>178</v>
      </c>
      <c r="J816" s="6" t="s">
        <v>228</v>
      </c>
      <c r="K816" s="6" t="s">
        <v>6103</v>
      </c>
      <c r="L816" s="6">
        <v>1.475767253E10</v>
      </c>
      <c r="M816" s="6" t="s">
        <v>6105</v>
      </c>
      <c r="N816" s="6" t="s">
        <v>259</v>
      </c>
      <c r="O816" s="6" t="s">
        <v>161</v>
      </c>
      <c r="P816" s="10">
        <v>45941.0</v>
      </c>
    </row>
    <row r="817" ht="22.5" customHeight="1">
      <c r="A817" s="6" t="s">
        <v>6106</v>
      </c>
      <c r="B817" s="6" t="s">
        <v>6107</v>
      </c>
      <c r="C817" s="6" t="s">
        <v>6108</v>
      </c>
      <c r="D817" s="6" t="s">
        <v>383</v>
      </c>
      <c r="E817" s="6" t="s">
        <v>147</v>
      </c>
      <c r="F817" s="8">
        <v>22.0</v>
      </c>
      <c r="G817" s="9">
        <v>1622.6</v>
      </c>
      <c r="H817" s="9">
        <v>14124.45</v>
      </c>
      <c r="I817" s="6" t="s">
        <v>178</v>
      </c>
      <c r="J817" s="6" t="s">
        <v>465</v>
      </c>
      <c r="K817" s="6" t="s">
        <v>6110</v>
      </c>
      <c r="L817" s="6">
        <v>4.04876824E10</v>
      </c>
      <c r="M817" s="6" t="s">
        <v>6111</v>
      </c>
      <c r="N817" s="6" t="s">
        <v>427</v>
      </c>
      <c r="O817" s="6" t="s">
        <v>161</v>
      </c>
      <c r="P817" s="10">
        <v>45961.0</v>
      </c>
    </row>
    <row r="818" ht="22.5" customHeight="1">
      <c r="A818" s="6" t="s">
        <v>6112</v>
      </c>
      <c r="B818" s="6" t="s">
        <v>6114</v>
      </c>
      <c r="C818" s="6" t="s">
        <v>6115</v>
      </c>
      <c r="D818" s="6" t="s">
        <v>145</v>
      </c>
      <c r="E818" s="6" t="s">
        <v>301</v>
      </c>
      <c r="F818" s="8">
        <v>47.0</v>
      </c>
      <c r="G818" s="9">
        <v>1321.68</v>
      </c>
      <c r="H818" s="9">
        <v>8712.44</v>
      </c>
      <c r="I818" s="6" t="s">
        <v>161</v>
      </c>
      <c r="J818" s="6" t="s">
        <v>442</v>
      </c>
      <c r="K818" s="6" t="s">
        <v>6116</v>
      </c>
      <c r="L818" s="6">
        <v>1.3018078949E10</v>
      </c>
      <c r="M818" s="6" t="s">
        <v>6117</v>
      </c>
      <c r="N818" s="6" t="s">
        <v>283</v>
      </c>
      <c r="O818" s="6" t="s">
        <v>178</v>
      </c>
      <c r="P818" s="10">
        <v>45955.0</v>
      </c>
    </row>
    <row r="819" ht="22.5" customHeight="1">
      <c r="A819" s="6" t="s">
        <v>6118</v>
      </c>
      <c r="B819" s="6" t="s">
        <v>6119</v>
      </c>
      <c r="C819" s="6" t="s">
        <v>6120</v>
      </c>
      <c r="D819" s="6" t="s">
        <v>206</v>
      </c>
      <c r="E819" s="6" t="s">
        <v>301</v>
      </c>
      <c r="F819" s="8">
        <v>54.0</v>
      </c>
      <c r="G819" s="9">
        <v>881.64</v>
      </c>
      <c r="H819" s="9">
        <v>2628.48</v>
      </c>
      <c r="I819" s="6" t="s">
        <v>161</v>
      </c>
      <c r="J819" s="6" t="s">
        <v>442</v>
      </c>
      <c r="K819" s="6" t="s">
        <v>6122</v>
      </c>
      <c r="L819" s="6">
        <v>1.305351996E10</v>
      </c>
      <c r="M819" s="6" t="s">
        <v>6123</v>
      </c>
      <c r="N819" s="6" t="s">
        <v>259</v>
      </c>
      <c r="O819" s="6" t="s">
        <v>178</v>
      </c>
      <c r="P819" s="10">
        <v>46051.0</v>
      </c>
    </row>
    <row r="820" ht="22.5" customHeight="1">
      <c r="A820" s="6" t="s">
        <v>6124</v>
      </c>
      <c r="B820" s="6" t="s">
        <v>6125</v>
      </c>
      <c r="C820" s="6" t="s">
        <v>6127</v>
      </c>
      <c r="D820" s="6" t="s">
        <v>383</v>
      </c>
      <c r="E820" s="6" t="s">
        <v>147</v>
      </c>
      <c r="F820" s="8">
        <v>8.0</v>
      </c>
      <c r="G820" s="9">
        <v>1551.55</v>
      </c>
      <c r="H820" s="9">
        <v>14560.38</v>
      </c>
      <c r="I820" s="6" t="s">
        <v>161</v>
      </c>
      <c r="J820" s="6" t="s">
        <v>312</v>
      </c>
      <c r="K820" s="6" t="s">
        <v>6128</v>
      </c>
      <c r="L820" s="6">
        <v>8.8061782259E10</v>
      </c>
      <c r="M820" s="6" t="s">
        <v>6129</v>
      </c>
      <c r="N820" s="6" t="s">
        <v>259</v>
      </c>
      <c r="O820" s="6" t="s">
        <v>178</v>
      </c>
      <c r="P820" s="10">
        <v>46007.0</v>
      </c>
    </row>
    <row r="821" ht="22.5" customHeight="1">
      <c r="A821" s="6" t="s">
        <v>6131</v>
      </c>
      <c r="B821" s="6" t="s">
        <v>6132</v>
      </c>
      <c r="C821" s="6" t="s">
        <v>6133</v>
      </c>
      <c r="D821" s="6" t="s">
        <v>145</v>
      </c>
      <c r="E821" s="6" t="s">
        <v>147</v>
      </c>
      <c r="F821" s="8">
        <v>17.0</v>
      </c>
      <c r="G821" s="9">
        <v>370.69</v>
      </c>
      <c r="H821" s="9">
        <v>3958.36</v>
      </c>
      <c r="I821" s="6" t="s">
        <v>161</v>
      </c>
      <c r="J821" s="6" t="s">
        <v>228</v>
      </c>
      <c r="K821" s="6" t="s">
        <v>6135</v>
      </c>
      <c r="L821" s="6">
        <v>2.1689262529E10</v>
      </c>
      <c r="M821" s="6" t="s">
        <v>6136</v>
      </c>
      <c r="N821" s="6" t="s">
        <v>283</v>
      </c>
      <c r="O821" s="6" t="s">
        <v>178</v>
      </c>
      <c r="P821" s="10">
        <v>46038.0</v>
      </c>
    </row>
    <row r="822" ht="22.5" customHeight="1">
      <c r="A822" s="6" t="s">
        <v>6137</v>
      </c>
      <c r="B822" s="6" t="s">
        <v>6138</v>
      </c>
      <c r="C822" s="6" t="s">
        <v>6140</v>
      </c>
      <c r="D822" s="6" t="s">
        <v>145</v>
      </c>
      <c r="E822" s="6" t="s">
        <v>147</v>
      </c>
      <c r="F822" s="8">
        <v>6.0</v>
      </c>
      <c r="G822" s="9">
        <v>1435.56</v>
      </c>
      <c r="H822" s="9">
        <v>11689.63</v>
      </c>
      <c r="I822" s="6" t="s">
        <v>161</v>
      </c>
      <c r="J822" s="6" t="s">
        <v>577</v>
      </c>
      <c r="K822" s="6" t="s">
        <v>6141</v>
      </c>
      <c r="L822" s="6">
        <v>6.7285971694E10</v>
      </c>
      <c r="M822" s="6" t="s">
        <v>6142</v>
      </c>
      <c r="N822" s="6" t="s">
        <v>259</v>
      </c>
      <c r="O822" s="6" t="s">
        <v>178</v>
      </c>
      <c r="P822" s="10">
        <v>45967.0</v>
      </c>
    </row>
    <row r="823" ht="22.5" customHeight="1">
      <c r="A823" s="6" t="s">
        <v>6144</v>
      </c>
      <c r="B823" s="6" t="s">
        <v>6145</v>
      </c>
      <c r="C823" s="6" t="s">
        <v>6146</v>
      </c>
      <c r="D823" s="6" t="s">
        <v>206</v>
      </c>
      <c r="E823" s="6" t="s">
        <v>147</v>
      </c>
      <c r="F823" s="8">
        <v>10.0</v>
      </c>
      <c r="G823" s="9">
        <v>1105.79</v>
      </c>
      <c r="H823" s="9">
        <v>12587.62</v>
      </c>
      <c r="I823" s="6" t="s">
        <v>161</v>
      </c>
      <c r="J823" s="6" t="s">
        <v>577</v>
      </c>
      <c r="K823" s="6" t="s">
        <v>6147</v>
      </c>
      <c r="L823" s="6">
        <v>8.9155757136E10</v>
      </c>
      <c r="M823" s="6" t="s">
        <v>6148</v>
      </c>
      <c r="N823" s="6" t="s">
        <v>259</v>
      </c>
      <c r="O823" s="6" t="s">
        <v>178</v>
      </c>
      <c r="P823" s="10">
        <v>46003.0</v>
      </c>
    </row>
    <row r="824" ht="22.5" customHeight="1">
      <c r="A824" s="6" t="s">
        <v>6150</v>
      </c>
      <c r="B824" s="6" t="s">
        <v>6151</v>
      </c>
      <c r="C824" s="6" t="s">
        <v>6152</v>
      </c>
      <c r="D824" s="6" t="s">
        <v>145</v>
      </c>
      <c r="E824" s="6" t="s">
        <v>301</v>
      </c>
      <c r="F824" s="8">
        <v>56.0</v>
      </c>
      <c r="G824" s="9">
        <v>932.78</v>
      </c>
      <c r="H824" s="9">
        <v>7211.25</v>
      </c>
      <c r="I824" s="6" t="s">
        <v>161</v>
      </c>
      <c r="J824" s="6" t="s">
        <v>577</v>
      </c>
      <c r="K824" s="6" t="s">
        <v>6154</v>
      </c>
      <c r="L824" s="6">
        <v>9.6941498794E10</v>
      </c>
      <c r="M824" s="6" t="s">
        <v>6156</v>
      </c>
      <c r="N824" s="6" t="s">
        <v>283</v>
      </c>
      <c r="O824" s="6" t="s">
        <v>178</v>
      </c>
      <c r="P824" s="10">
        <v>45943.0</v>
      </c>
    </row>
    <row r="825" ht="22.5" customHeight="1">
      <c r="A825" s="6" t="s">
        <v>6157</v>
      </c>
      <c r="B825" s="6" t="s">
        <v>6158</v>
      </c>
      <c r="C825" s="6" t="s">
        <v>6159</v>
      </c>
      <c r="D825" s="6" t="s">
        <v>206</v>
      </c>
      <c r="E825" s="6" t="s">
        <v>147</v>
      </c>
      <c r="F825" s="8">
        <v>5.0</v>
      </c>
      <c r="G825" s="9">
        <v>929.48</v>
      </c>
      <c r="H825" s="9">
        <v>5513.45</v>
      </c>
      <c r="I825" s="6" t="s">
        <v>161</v>
      </c>
      <c r="J825" s="6" t="s">
        <v>577</v>
      </c>
      <c r="K825" s="6" t="s">
        <v>6161</v>
      </c>
      <c r="L825" s="6">
        <v>4.9588854703E10</v>
      </c>
      <c r="M825" s="6" t="s">
        <v>6162</v>
      </c>
      <c r="N825" s="6" t="s">
        <v>259</v>
      </c>
      <c r="O825" s="6" t="s">
        <v>178</v>
      </c>
      <c r="P825" s="10">
        <v>46017.0</v>
      </c>
    </row>
    <row r="826" ht="22.5" customHeight="1">
      <c r="A826" s="6" t="s">
        <v>6163</v>
      </c>
      <c r="B826" s="6" t="s">
        <v>6164</v>
      </c>
      <c r="C826" s="6" t="s">
        <v>6165</v>
      </c>
      <c r="D826" s="6" t="s">
        <v>145</v>
      </c>
      <c r="E826" s="6" t="s">
        <v>301</v>
      </c>
      <c r="F826" s="8">
        <v>45.0</v>
      </c>
      <c r="G826" s="9">
        <v>1316.68</v>
      </c>
      <c r="H826" s="9">
        <v>4780.62</v>
      </c>
      <c r="I826" s="6" t="s">
        <v>161</v>
      </c>
      <c r="J826" s="6" t="s">
        <v>479</v>
      </c>
      <c r="K826" s="6" t="s">
        <v>6167</v>
      </c>
      <c r="L826" s="6">
        <v>8.6698306642E10</v>
      </c>
      <c r="M826" s="6" t="s">
        <v>6168</v>
      </c>
      <c r="N826" s="6" t="s">
        <v>176</v>
      </c>
      <c r="O826" s="6" t="s">
        <v>178</v>
      </c>
      <c r="P826" s="10">
        <v>45988.0</v>
      </c>
    </row>
    <row r="827" ht="22.5" customHeight="1">
      <c r="A827" s="6" t="s">
        <v>6170</v>
      </c>
      <c r="B827" s="6" t="s">
        <v>6171</v>
      </c>
      <c r="C827" s="6" t="s">
        <v>6172</v>
      </c>
      <c r="D827" s="6" t="s">
        <v>206</v>
      </c>
      <c r="E827" s="6" t="s">
        <v>210</v>
      </c>
      <c r="F827" s="8">
        <v>64.0</v>
      </c>
      <c r="G827" s="9">
        <v>1212.95</v>
      </c>
      <c r="H827" s="9">
        <v>15069.03</v>
      </c>
      <c r="I827" s="6" t="s">
        <v>178</v>
      </c>
      <c r="J827" s="6" t="s">
        <v>421</v>
      </c>
      <c r="K827" s="6" t="s">
        <v>6174</v>
      </c>
      <c r="L827" s="6">
        <v>7.8432316037E10</v>
      </c>
      <c r="M827" s="6" t="s">
        <v>6175</v>
      </c>
      <c r="N827" s="6" t="s">
        <v>112</v>
      </c>
      <c r="O827" s="6" t="s">
        <v>161</v>
      </c>
      <c r="P827" s="10">
        <v>45935.0</v>
      </c>
    </row>
    <row r="828" ht="22.5" customHeight="1">
      <c r="A828" s="6" t="s">
        <v>6176</v>
      </c>
      <c r="B828" s="6" t="s">
        <v>6177</v>
      </c>
      <c r="C828" s="6" t="s">
        <v>6178</v>
      </c>
      <c r="D828" s="6" t="s">
        <v>383</v>
      </c>
      <c r="E828" s="6" t="s">
        <v>147</v>
      </c>
      <c r="F828" s="8">
        <v>8.0</v>
      </c>
      <c r="G828" s="9">
        <v>832.67</v>
      </c>
      <c r="H828" s="9">
        <v>5956.69</v>
      </c>
      <c r="I828" s="6" t="s">
        <v>161</v>
      </c>
      <c r="J828" s="6" t="s">
        <v>465</v>
      </c>
      <c r="K828" s="6" t="s">
        <v>6180</v>
      </c>
      <c r="L828" s="6">
        <v>2.2462593361E10</v>
      </c>
      <c r="M828" s="6" t="s">
        <v>6181</v>
      </c>
      <c r="N828" s="6" t="s">
        <v>259</v>
      </c>
      <c r="O828" s="6" t="s">
        <v>178</v>
      </c>
      <c r="P828" s="10">
        <v>46043.0</v>
      </c>
    </row>
    <row r="829" ht="22.5" customHeight="1">
      <c r="A829" s="6" t="s">
        <v>6182</v>
      </c>
      <c r="B829" s="6" t="s">
        <v>6183</v>
      </c>
      <c r="C829" s="6" t="s">
        <v>6184</v>
      </c>
      <c r="D829" s="6" t="s">
        <v>145</v>
      </c>
      <c r="E829" s="6" t="s">
        <v>210</v>
      </c>
      <c r="F829" s="8">
        <v>113.0</v>
      </c>
      <c r="G829" s="9">
        <v>995.45</v>
      </c>
      <c r="H829" s="9">
        <v>8397.97</v>
      </c>
      <c r="I829" s="6" t="s">
        <v>178</v>
      </c>
      <c r="J829" s="6" t="s">
        <v>312</v>
      </c>
      <c r="K829" s="6" t="s">
        <v>6186</v>
      </c>
      <c r="L829" s="6">
        <v>3.608142963E10</v>
      </c>
      <c r="M829" s="6" t="s">
        <v>6187</v>
      </c>
      <c r="N829" s="6" t="s">
        <v>259</v>
      </c>
      <c r="O829" s="6" t="s">
        <v>161</v>
      </c>
      <c r="P829" s="10">
        <v>45992.0</v>
      </c>
    </row>
    <row r="830" ht="22.5" customHeight="1">
      <c r="A830" s="6" t="s">
        <v>6188</v>
      </c>
      <c r="B830" s="6" t="s">
        <v>6190</v>
      </c>
      <c r="C830" s="6" t="s">
        <v>6191</v>
      </c>
      <c r="D830" s="6" t="s">
        <v>145</v>
      </c>
      <c r="E830" s="6" t="s">
        <v>147</v>
      </c>
      <c r="F830" s="8">
        <v>23.0</v>
      </c>
      <c r="G830" s="9">
        <v>236.47</v>
      </c>
      <c r="H830" s="9">
        <v>11235.48</v>
      </c>
      <c r="I830" s="6" t="s">
        <v>161</v>
      </c>
      <c r="J830" s="6" t="s">
        <v>228</v>
      </c>
      <c r="K830" s="6" t="s">
        <v>6192</v>
      </c>
      <c r="L830" s="6">
        <v>8.8511479938E10</v>
      </c>
      <c r="M830" s="6" t="s">
        <v>6193</v>
      </c>
      <c r="N830" s="6" t="s">
        <v>427</v>
      </c>
      <c r="O830" s="6" t="s">
        <v>178</v>
      </c>
      <c r="P830" s="10">
        <v>45975.0</v>
      </c>
    </row>
    <row r="831" ht="22.5" customHeight="1">
      <c r="A831" s="6" t="s">
        <v>6195</v>
      </c>
      <c r="B831" s="6" t="s">
        <v>6196</v>
      </c>
      <c r="C831" s="6" t="s">
        <v>6197</v>
      </c>
      <c r="D831" s="6" t="s">
        <v>206</v>
      </c>
      <c r="E831" s="6" t="s">
        <v>147</v>
      </c>
      <c r="F831" s="8">
        <v>19.0</v>
      </c>
      <c r="G831" s="9">
        <v>1587.79</v>
      </c>
      <c r="H831" s="9">
        <v>7572.38</v>
      </c>
      <c r="I831" s="6" t="s">
        <v>161</v>
      </c>
      <c r="J831" s="6" t="s">
        <v>479</v>
      </c>
      <c r="K831" s="6" t="s">
        <v>6199</v>
      </c>
      <c r="L831" s="6" t="s">
        <v>259</v>
      </c>
      <c r="M831" s="6" t="s">
        <v>6200</v>
      </c>
      <c r="N831" s="6" t="s">
        <v>176</v>
      </c>
      <c r="O831" s="6" t="s">
        <v>178</v>
      </c>
      <c r="P831" s="10">
        <v>45957.0</v>
      </c>
    </row>
    <row r="832" ht="22.5" customHeight="1">
      <c r="A832" s="6" t="s">
        <v>6201</v>
      </c>
      <c r="B832" s="6" t="s">
        <v>6202</v>
      </c>
      <c r="C832" s="6" t="s">
        <v>6203</v>
      </c>
      <c r="D832" s="6" t="s">
        <v>206</v>
      </c>
      <c r="E832" s="6" t="s">
        <v>147</v>
      </c>
      <c r="F832" s="8">
        <v>12.0</v>
      </c>
      <c r="G832" s="9">
        <v>609.63</v>
      </c>
      <c r="H832" s="9">
        <v>1791.96</v>
      </c>
      <c r="I832" s="6" t="s">
        <v>161</v>
      </c>
      <c r="J832" s="6" t="s">
        <v>421</v>
      </c>
      <c r="K832" s="6" t="s">
        <v>6205</v>
      </c>
      <c r="L832" s="6">
        <v>4.8690351649E10</v>
      </c>
      <c r="M832" s="6" t="s">
        <v>6206</v>
      </c>
      <c r="N832" s="6" t="s">
        <v>283</v>
      </c>
      <c r="O832" s="6" t="s">
        <v>178</v>
      </c>
      <c r="P832" s="10">
        <v>45997.0</v>
      </c>
    </row>
    <row r="833" ht="22.5" customHeight="1">
      <c r="A833" s="6" t="s">
        <v>6207</v>
      </c>
      <c r="B833" s="6" t="s">
        <v>6208</v>
      </c>
      <c r="C833" s="6" t="s">
        <v>6209</v>
      </c>
      <c r="D833" s="6" t="s">
        <v>206</v>
      </c>
      <c r="E833" s="6" t="s">
        <v>210</v>
      </c>
      <c r="F833" s="8">
        <v>90.0</v>
      </c>
      <c r="G833" s="9">
        <v>396.19</v>
      </c>
      <c r="H833" s="9">
        <v>7276.29</v>
      </c>
      <c r="I833" s="6" t="s">
        <v>178</v>
      </c>
      <c r="J833" s="6" t="s">
        <v>421</v>
      </c>
      <c r="K833" s="6" t="s">
        <v>6210</v>
      </c>
      <c r="L833" s="6">
        <v>5.3325245281E10</v>
      </c>
      <c r="M833" s="6" t="s">
        <v>6211</v>
      </c>
      <c r="N833" s="6" t="s">
        <v>427</v>
      </c>
      <c r="O833" s="6" t="s">
        <v>161</v>
      </c>
      <c r="P833" s="10">
        <v>46025.0</v>
      </c>
    </row>
    <row r="834" ht="22.5" customHeight="1">
      <c r="A834" s="6" t="s">
        <v>6213</v>
      </c>
      <c r="B834" s="6" t="s">
        <v>6214</v>
      </c>
      <c r="C834" s="6" t="s">
        <v>6215</v>
      </c>
      <c r="D834" s="6" t="s">
        <v>145</v>
      </c>
      <c r="E834" s="6" t="s">
        <v>147</v>
      </c>
      <c r="F834" s="8">
        <v>24.0</v>
      </c>
      <c r="G834" s="9">
        <v>696.41</v>
      </c>
      <c r="H834" s="9">
        <v>4597.99</v>
      </c>
      <c r="I834" s="6" t="s">
        <v>161</v>
      </c>
      <c r="J834" s="6" t="s">
        <v>479</v>
      </c>
      <c r="K834" s="6" t="s">
        <v>6216</v>
      </c>
      <c r="L834" s="6">
        <v>1.6421159724E10</v>
      </c>
      <c r="M834" s="6" t="s">
        <v>6217</v>
      </c>
      <c r="N834" s="6" t="s">
        <v>112</v>
      </c>
      <c r="O834" s="6" t="s">
        <v>178</v>
      </c>
      <c r="P834" s="10">
        <v>45970.0</v>
      </c>
    </row>
    <row r="835" ht="22.5" customHeight="1">
      <c r="A835" s="6" t="s">
        <v>6219</v>
      </c>
      <c r="B835" s="6" t="s">
        <v>6220</v>
      </c>
      <c r="C835" s="6" t="s">
        <v>6221</v>
      </c>
      <c r="D835" s="6" t="s">
        <v>145</v>
      </c>
      <c r="E835" s="6" t="s">
        <v>147</v>
      </c>
      <c r="F835" s="8">
        <v>9.0</v>
      </c>
      <c r="G835" s="9">
        <v>1721.57</v>
      </c>
      <c r="H835" s="9">
        <v>2934.3</v>
      </c>
      <c r="I835" s="6" t="s">
        <v>161</v>
      </c>
      <c r="J835" s="6" t="s">
        <v>228</v>
      </c>
      <c r="K835" s="6" t="s">
        <v>6223</v>
      </c>
      <c r="L835" s="6" t="s">
        <v>259</v>
      </c>
      <c r="M835" s="6" t="s">
        <v>6224</v>
      </c>
      <c r="N835" s="6" t="s">
        <v>283</v>
      </c>
      <c r="O835" s="6" t="s">
        <v>178</v>
      </c>
      <c r="P835" s="10">
        <v>46032.0</v>
      </c>
    </row>
    <row r="836" ht="22.5" customHeight="1">
      <c r="A836" s="6" t="s">
        <v>6225</v>
      </c>
      <c r="B836" s="6" t="s">
        <v>6226</v>
      </c>
      <c r="C836" s="6" t="s">
        <v>6227</v>
      </c>
      <c r="D836" s="6" t="s">
        <v>145</v>
      </c>
      <c r="E836" s="6" t="s">
        <v>301</v>
      </c>
      <c r="F836" s="8">
        <v>51.0</v>
      </c>
      <c r="G836" s="9">
        <v>250.24</v>
      </c>
      <c r="H836" s="9">
        <v>5221.62</v>
      </c>
      <c r="I836" s="6" t="s">
        <v>161</v>
      </c>
      <c r="J836" s="6" t="s">
        <v>228</v>
      </c>
      <c r="K836" s="6" t="s">
        <v>6229</v>
      </c>
      <c r="L836" s="6">
        <v>7.5166452305E10</v>
      </c>
      <c r="M836" s="6" t="s">
        <v>6230</v>
      </c>
      <c r="N836" s="6" t="s">
        <v>427</v>
      </c>
      <c r="O836" s="6" t="s">
        <v>178</v>
      </c>
      <c r="P836" s="10">
        <v>46022.0</v>
      </c>
    </row>
    <row r="837" ht="22.5" customHeight="1">
      <c r="A837" s="6" t="s">
        <v>6232</v>
      </c>
      <c r="B837" s="6" t="s">
        <v>6233</v>
      </c>
      <c r="C837" s="6" t="s">
        <v>6234</v>
      </c>
      <c r="D837" s="6" t="s">
        <v>206</v>
      </c>
      <c r="E837" s="6" t="s">
        <v>147</v>
      </c>
      <c r="F837" s="8">
        <v>9.0</v>
      </c>
      <c r="G837" s="9">
        <v>1739.79</v>
      </c>
      <c r="H837" s="9">
        <v>4982.44</v>
      </c>
      <c r="I837" s="6" t="s">
        <v>161</v>
      </c>
      <c r="J837" s="6" t="s">
        <v>577</v>
      </c>
      <c r="K837" s="6" t="s">
        <v>6236</v>
      </c>
      <c r="L837" s="6">
        <v>9.5036528469E10</v>
      </c>
      <c r="M837" s="6" t="s">
        <v>6237</v>
      </c>
      <c r="N837" s="6" t="s">
        <v>176</v>
      </c>
      <c r="O837" s="6" t="s">
        <v>178</v>
      </c>
      <c r="P837" s="10">
        <v>45956.0</v>
      </c>
    </row>
    <row r="838" ht="22.5" customHeight="1">
      <c r="A838" s="6" t="s">
        <v>6238</v>
      </c>
      <c r="B838" s="6" t="s">
        <v>6239</v>
      </c>
      <c r="C838" s="6" t="s">
        <v>6240</v>
      </c>
      <c r="D838" s="6" t="s">
        <v>206</v>
      </c>
      <c r="E838" s="6" t="s">
        <v>301</v>
      </c>
      <c r="F838" s="8">
        <v>56.0</v>
      </c>
      <c r="G838" s="9">
        <v>196.91</v>
      </c>
      <c r="H838" s="9">
        <v>7992.56</v>
      </c>
      <c r="I838" s="6" t="s">
        <v>161</v>
      </c>
      <c r="J838" s="6" t="s">
        <v>465</v>
      </c>
      <c r="K838" s="6" t="s">
        <v>6242</v>
      </c>
      <c r="L838" s="6">
        <v>4.2112835083E10</v>
      </c>
      <c r="M838" s="6" t="s">
        <v>6243</v>
      </c>
      <c r="N838" s="6" t="s">
        <v>176</v>
      </c>
      <c r="O838" s="6" t="s">
        <v>178</v>
      </c>
      <c r="P838" s="10">
        <v>45978.0</v>
      </c>
    </row>
    <row r="839" ht="22.5" customHeight="1">
      <c r="A839" s="6" t="s">
        <v>6244</v>
      </c>
      <c r="B839" s="6" t="s">
        <v>6245</v>
      </c>
      <c r="C839" s="6" t="s">
        <v>6246</v>
      </c>
      <c r="D839" s="6" t="s">
        <v>145</v>
      </c>
      <c r="E839" s="6" t="s">
        <v>147</v>
      </c>
      <c r="F839" s="8">
        <v>28.0</v>
      </c>
      <c r="G839" s="9">
        <v>1317.55</v>
      </c>
      <c r="H839" s="9">
        <v>12138.77</v>
      </c>
      <c r="I839" s="6" t="s">
        <v>161</v>
      </c>
      <c r="J839" s="6" t="s">
        <v>577</v>
      </c>
      <c r="K839" s="6" t="s">
        <v>6247</v>
      </c>
      <c r="L839" s="6">
        <v>8.7941993123E10</v>
      </c>
      <c r="M839" s="6" t="s">
        <v>6248</v>
      </c>
      <c r="N839" s="6" t="s">
        <v>427</v>
      </c>
      <c r="O839" s="6" t="s">
        <v>178</v>
      </c>
      <c r="P839" s="10">
        <v>46047.0</v>
      </c>
    </row>
    <row r="840" ht="22.5" customHeight="1">
      <c r="A840" s="6" t="s">
        <v>6250</v>
      </c>
      <c r="B840" s="6" t="s">
        <v>6251</v>
      </c>
      <c r="C840" s="6" t="s">
        <v>6252</v>
      </c>
      <c r="D840" s="6" t="s">
        <v>145</v>
      </c>
      <c r="E840" s="6" t="s">
        <v>147</v>
      </c>
      <c r="F840" s="8">
        <v>20.0</v>
      </c>
      <c r="G840" s="9">
        <v>1566.95</v>
      </c>
      <c r="H840" s="9">
        <v>6437.48</v>
      </c>
      <c r="I840" s="6" t="s">
        <v>161</v>
      </c>
      <c r="J840" s="6" t="s">
        <v>163</v>
      </c>
      <c r="K840" s="6" t="s">
        <v>6253</v>
      </c>
      <c r="L840" s="6">
        <v>4.7693712026E10</v>
      </c>
      <c r="M840" s="6" t="s">
        <v>6254</v>
      </c>
      <c r="N840" s="6" t="s">
        <v>259</v>
      </c>
      <c r="O840" s="6" t="s">
        <v>178</v>
      </c>
      <c r="P840" s="10">
        <v>46029.0</v>
      </c>
    </row>
    <row r="841" ht="22.5" customHeight="1">
      <c r="A841" s="6" t="s">
        <v>6255</v>
      </c>
      <c r="B841" s="6" t="s">
        <v>6256</v>
      </c>
      <c r="C841" s="6" t="s">
        <v>6257</v>
      </c>
      <c r="D841" s="6" t="s">
        <v>145</v>
      </c>
      <c r="E841" s="6" t="s">
        <v>147</v>
      </c>
      <c r="F841" s="8">
        <v>27.0</v>
      </c>
      <c r="G841" s="9">
        <v>1355.03</v>
      </c>
      <c r="H841" s="9">
        <v>6632.59</v>
      </c>
      <c r="I841" s="6" t="s">
        <v>161</v>
      </c>
      <c r="J841" s="6" t="s">
        <v>479</v>
      </c>
      <c r="K841" s="6" t="s">
        <v>6259</v>
      </c>
      <c r="L841" s="6">
        <v>5.4471228231E10</v>
      </c>
      <c r="M841" s="6" t="s">
        <v>6260</v>
      </c>
      <c r="N841" s="6" t="s">
        <v>176</v>
      </c>
      <c r="O841" s="6" t="s">
        <v>178</v>
      </c>
      <c r="P841" s="10">
        <v>45961.0</v>
      </c>
    </row>
    <row r="842" ht="22.5" customHeight="1">
      <c r="A842" s="6" t="s">
        <v>6261</v>
      </c>
      <c r="B842" s="6" t="s">
        <v>6262</v>
      </c>
      <c r="C842" s="6" t="s">
        <v>6263</v>
      </c>
      <c r="D842" s="6" t="s">
        <v>206</v>
      </c>
      <c r="E842" s="6" t="s">
        <v>301</v>
      </c>
      <c r="F842" s="8">
        <v>50.0</v>
      </c>
      <c r="G842" s="9">
        <v>814.98</v>
      </c>
      <c r="H842" s="9">
        <v>5081.2</v>
      </c>
      <c r="I842" s="6" t="s">
        <v>161</v>
      </c>
      <c r="J842" s="6" t="s">
        <v>259</v>
      </c>
      <c r="K842" s="6" t="s">
        <v>6265</v>
      </c>
      <c r="L842" s="6">
        <v>7.8785405354E10</v>
      </c>
      <c r="M842" s="6" t="s">
        <v>6266</v>
      </c>
      <c r="N842" s="6" t="s">
        <v>112</v>
      </c>
      <c r="O842" s="6" t="s">
        <v>178</v>
      </c>
      <c r="P842" s="10">
        <v>45952.0</v>
      </c>
    </row>
    <row r="843" ht="22.5" customHeight="1">
      <c r="A843" s="6" t="s">
        <v>6267</v>
      </c>
      <c r="B843" s="6" t="s">
        <v>6268</v>
      </c>
      <c r="C843" s="6" t="s">
        <v>6269</v>
      </c>
      <c r="D843" s="6" t="s">
        <v>206</v>
      </c>
      <c r="E843" s="6" t="s">
        <v>147</v>
      </c>
      <c r="F843" s="8">
        <v>15.0</v>
      </c>
      <c r="G843" s="9">
        <v>957.2</v>
      </c>
      <c r="H843" s="9">
        <v>4886.43</v>
      </c>
      <c r="I843" s="6" t="s">
        <v>161</v>
      </c>
      <c r="J843" s="6" t="s">
        <v>577</v>
      </c>
      <c r="K843" s="6" t="s">
        <v>6271</v>
      </c>
      <c r="L843" s="6">
        <v>5.838361542E9</v>
      </c>
      <c r="M843" s="6" t="s">
        <v>6272</v>
      </c>
      <c r="N843" s="6" t="s">
        <v>259</v>
      </c>
      <c r="O843" s="6" t="s">
        <v>178</v>
      </c>
      <c r="P843" s="10">
        <v>46044.0</v>
      </c>
    </row>
    <row r="844" ht="22.5" customHeight="1">
      <c r="A844" s="6" t="s">
        <v>6273</v>
      </c>
      <c r="B844" s="6" t="s">
        <v>6274</v>
      </c>
      <c r="C844" s="6" t="s">
        <v>6275</v>
      </c>
      <c r="D844" s="6" t="s">
        <v>145</v>
      </c>
      <c r="E844" s="6" t="s">
        <v>210</v>
      </c>
      <c r="F844" s="8">
        <v>95.0</v>
      </c>
      <c r="G844" s="9">
        <v>1249.12</v>
      </c>
      <c r="H844" s="9">
        <v>5448.18</v>
      </c>
      <c r="I844" s="6" t="s">
        <v>178</v>
      </c>
      <c r="J844" s="6" t="s">
        <v>465</v>
      </c>
      <c r="K844" s="6" t="s">
        <v>6277</v>
      </c>
      <c r="L844" s="6">
        <v>4.9252931668E10</v>
      </c>
      <c r="M844" s="6" t="s">
        <v>6278</v>
      </c>
      <c r="N844" s="6" t="s">
        <v>112</v>
      </c>
      <c r="O844" s="6" t="s">
        <v>161</v>
      </c>
      <c r="P844" s="10">
        <v>46036.0</v>
      </c>
    </row>
    <row r="845" ht="22.5" customHeight="1">
      <c r="A845" s="6" t="s">
        <v>6279</v>
      </c>
      <c r="B845" s="6" t="s">
        <v>6280</v>
      </c>
      <c r="C845" s="6" t="s">
        <v>6281</v>
      </c>
      <c r="D845" s="6" t="s">
        <v>206</v>
      </c>
      <c r="E845" s="6" t="s">
        <v>147</v>
      </c>
      <c r="F845" s="8">
        <v>6.0</v>
      </c>
      <c r="G845" s="9">
        <v>1125.79</v>
      </c>
      <c r="H845" s="9">
        <v>7273.85</v>
      </c>
      <c r="I845" s="6" t="s">
        <v>178</v>
      </c>
      <c r="J845" s="6" t="s">
        <v>421</v>
      </c>
      <c r="K845" s="6" t="s">
        <v>6283</v>
      </c>
      <c r="L845" s="6">
        <v>8.6339374163E10</v>
      </c>
      <c r="M845" s="6" t="s">
        <v>6284</v>
      </c>
      <c r="N845" s="6" t="s">
        <v>112</v>
      </c>
      <c r="O845" s="6" t="s">
        <v>161</v>
      </c>
      <c r="P845" s="10">
        <v>45998.0</v>
      </c>
    </row>
    <row r="846" ht="22.5" customHeight="1">
      <c r="A846" s="6" t="s">
        <v>6286</v>
      </c>
      <c r="B846" s="6" t="s">
        <v>6287</v>
      </c>
      <c r="C846" s="6" t="s">
        <v>6288</v>
      </c>
      <c r="D846" s="6" t="s">
        <v>145</v>
      </c>
      <c r="E846" s="6" t="s">
        <v>147</v>
      </c>
      <c r="F846" s="8">
        <v>18.0</v>
      </c>
      <c r="G846" s="9">
        <v>931.97</v>
      </c>
      <c r="H846" s="9">
        <v>4457.68</v>
      </c>
      <c r="I846" s="6" t="s">
        <v>161</v>
      </c>
      <c r="J846" s="6" t="s">
        <v>465</v>
      </c>
      <c r="K846" s="6" t="s">
        <v>6291</v>
      </c>
      <c r="L846" s="6">
        <v>3.969127413E10</v>
      </c>
      <c r="M846" s="6" t="s">
        <v>6292</v>
      </c>
      <c r="N846" s="6" t="s">
        <v>176</v>
      </c>
      <c r="O846" s="6" t="s">
        <v>178</v>
      </c>
      <c r="P846" s="10">
        <v>46027.0</v>
      </c>
    </row>
    <row r="847" ht="22.5" customHeight="1">
      <c r="A847" s="6" t="s">
        <v>6294</v>
      </c>
      <c r="B847" s="6" t="s">
        <v>6295</v>
      </c>
      <c r="C847" s="6" t="s">
        <v>6296</v>
      </c>
      <c r="D847" s="6" t="s">
        <v>383</v>
      </c>
      <c r="E847" s="6" t="s">
        <v>301</v>
      </c>
      <c r="F847" s="8">
        <v>59.0</v>
      </c>
      <c r="G847" s="9">
        <v>344.83</v>
      </c>
      <c r="H847" s="9">
        <v>8579.55</v>
      </c>
      <c r="I847" s="6" t="s">
        <v>161</v>
      </c>
      <c r="J847" s="6" t="s">
        <v>577</v>
      </c>
      <c r="K847" s="6" t="s">
        <v>6298</v>
      </c>
      <c r="L847" s="6">
        <v>2.6985990298E10</v>
      </c>
      <c r="M847" s="6" t="s">
        <v>6299</v>
      </c>
      <c r="N847" s="6" t="s">
        <v>112</v>
      </c>
      <c r="O847" s="6" t="s">
        <v>178</v>
      </c>
      <c r="P847" s="10">
        <v>45971.0</v>
      </c>
    </row>
    <row r="848" ht="22.5" customHeight="1">
      <c r="A848" s="6" t="s">
        <v>6301</v>
      </c>
      <c r="B848" s="6" t="s">
        <v>6302</v>
      </c>
      <c r="C848" s="6" t="s">
        <v>6303</v>
      </c>
      <c r="D848" s="6" t="s">
        <v>383</v>
      </c>
      <c r="E848" s="6" t="s">
        <v>147</v>
      </c>
      <c r="F848" s="8">
        <v>6.0</v>
      </c>
      <c r="G848" s="9">
        <v>1500.79</v>
      </c>
      <c r="H848" s="9">
        <v>12927.4</v>
      </c>
      <c r="I848" s="6" t="s">
        <v>161</v>
      </c>
      <c r="J848" s="6" t="s">
        <v>577</v>
      </c>
      <c r="K848" s="6" t="s">
        <v>6306</v>
      </c>
      <c r="L848" s="6">
        <v>3.5213837349E10</v>
      </c>
      <c r="M848" s="6" t="s">
        <v>6307</v>
      </c>
      <c r="N848" s="6" t="s">
        <v>283</v>
      </c>
      <c r="O848" s="6" t="s">
        <v>178</v>
      </c>
      <c r="P848" s="10">
        <v>45996.0</v>
      </c>
    </row>
    <row r="849" ht="22.5" customHeight="1">
      <c r="A849" s="6" t="s">
        <v>6309</v>
      </c>
      <c r="B849" s="6" t="s">
        <v>6310</v>
      </c>
      <c r="C849" s="6" t="s">
        <v>6311</v>
      </c>
      <c r="D849" s="6" t="s">
        <v>206</v>
      </c>
      <c r="E849" s="6" t="s">
        <v>147</v>
      </c>
      <c r="F849" s="8">
        <v>23.0</v>
      </c>
      <c r="G849" s="9">
        <v>455.65</v>
      </c>
      <c r="H849" s="9">
        <v>11623.73</v>
      </c>
      <c r="I849" s="6" t="s">
        <v>161</v>
      </c>
      <c r="J849" s="6" t="s">
        <v>442</v>
      </c>
      <c r="K849" s="6" t="s">
        <v>6313</v>
      </c>
      <c r="L849" s="6">
        <v>1.9570071516E10</v>
      </c>
      <c r="M849" s="6" t="s">
        <v>6314</v>
      </c>
      <c r="N849" s="6" t="s">
        <v>176</v>
      </c>
      <c r="O849" s="6" t="s">
        <v>178</v>
      </c>
      <c r="P849" s="10">
        <v>46012.0</v>
      </c>
    </row>
    <row r="850" ht="22.5" customHeight="1">
      <c r="A850" s="6" t="s">
        <v>6316</v>
      </c>
      <c r="B850" s="6" t="s">
        <v>6317</v>
      </c>
      <c r="C850" s="6" t="s">
        <v>6319</v>
      </c>
      <c r="D850" s="6" t="s">
        <v>206</v>
      </c>
      <c r="E850" s="6" t="s">
        <v>147</v>
      </c>
      <c r="F850" s="8">
        <v>24.0</v>
      </c>
      <c r="G850" s="9">
        <v>1440.89</v>
      </c>
      <c r="H850" s="9">
        <v>3306.96</v>
      </c>
      <c r="I850" s="6" t="s">
        <v>161</v>
      </c>
      <c r="J850" s="6" t="s">
        <v>479</v>
      </c>
      <c r="K850" s="6" t="s">
        <v>6321</v>
      </c>
      <c r="L850" s="6">
        <v>9.1994432325E10</v>
      </c>
      <c r="M850" s="6" t="s">
        <v>6322</v>
      </c>
      <c r="N850" s="6" t="s">
        <v>259</v>
      </c>
      <c r="O850" s="6" t="s">
        <v>178</v>
      </c>
      <c r="P850" s="10">
        <v>46027.0</v>
      </c>
    </row>
    <row r="851" ht="22.5" customHeight="1">
      <c r="A851" s="6" t="s">
        <v>6324</v>
      </c>
      <c r="B851" s="6" t="s">
        <v>6325</v>
      </c>
      <c r="C851" s="6" t="s">
        <v>6326</v>
      </c>
      <c r="D851" s="6" t="s">
        <v>145</v>
      </c>
      <c r="E851" s="6" t="s">
        <v>147</v>
      </c>
      <c r="F851" s="8">
        <v>11.0</v>
      </c>
      <c r="G851" s="9">
        <v>160.11</v>
      </c>
      <c r="H851" s="9">
        <v>7807.64</v>
      </c>
      <c r="I851" s="6" t="s">
        <v>161</v>
      </c>
      <c r="J851" s="6" t="s">
        <v>357</v>
      </c>
      <c r="K851" s="6" t="s">
        <v>6328</v>
      </c>
      <c r="L851" s="6">
        <v>7.6421845192E10</v>
      </c>
      <c r="M851" s="6" t="s">
        <v>6329</v>
      </c>
      <c r="N851" s="6" t="s">
        <v>427</v>
      </c>
      <c r="O851" s="6" t="s">
        <v>178</v>
      </c>
      <c r="P851" s="10">
        <v>46035.0</v>
      </c>
    </row>
    <row r="852" ht="22.5" customHeight="1">
      <c r="A852" s="6" t="s">
        <v>6331</v>
      </c>
      <c r="B852" s="6" t="s">
        <v>6332</v>
      </c>
      <c r="C852" s="6" t="s">
        <v>6333</v>
      </c>
      <c r="D852" s="6" t="s">
        <v>145</v>
      </c>
      <c r="E852" s="6" t="s">
        <v>147</v>
      </c>
      <c r="F852" s="8">
        <v>22.0</v>
      </c>
      <c r="G852" s="9">
        <v>743.32</v>
      </c>
      <c r="H852" s="9">
        <v>13759.3</v>
      </c>
      <c r="I852" s="6" t="s">
        <v>161</v>
      </c>
      <c r="J852" s="6" t="s">
        <v>393</v>
      </c>
      <c r="K852" s="6" t="s">
        <v>6336</v>
      </c>
      <c r="L852" s="6">
        <v>6.289183362E10</v>
      </c>
      <c r="M852" s="6" t="s">
        <v>6337</v>
      </c>
      <c r="N852" s="6" t="s">
        <v>283</v>
      </c>
      <c r="O852" s="6" t="s">
        <v>178</v>
      </c>
      <c r="P852" s="10">
        <v>46005.0</v>
      </c>
    </row>
    <row r="853" ht="22.5" customHeight="1">
      <c r="A853" s="6" t="s">
        <v>6338</v>
      </c>
      <c r="B853" s="6" t="s">
        <v>6339</v>
      </c>
      <c r="C853" s="6" t="s">
        <v>6340</v>
      </c>
      <c r="D853" s="6" t="s">
        <v>145</v>
      </c>
      <c r="E853" s="6" t="s">
        <v>301</v>
      </c>
      <c r="F853" s="8">
        <v>37.0</v>
      </c>
      <c r="G853" s="9">
        <v>1222.78</v>
      </c>
      <c r="H853" s="9">
        <v>12823.73</v>
      </c>
      <c r="I853" s="6" t="s">
        <v>161</v>
      </c>
      <c r="J853" s="6" t="s">
        <v>577</v>
      </c>
      <c r="K853" s="6" t="s">
        <v>6343</v>
      </c>
      <c r="L853" s="6">
        <v>9.7274644703E10</v>
      </c>
      <c r="M853" s="6" t="s">
        <v>6344</v>
      </c>
      <c r="N853" s="6" t="s">
        <v>427</v>
      </c>
      <c r="O853" s="6" t="s">
        <v>178</v>
      </c>
      <c r="P853" s="10">
        <v>45961.0</v>
      </c>
    </row>
    <row r="854" ht="22.5" customHeight="1">
      <c r="A854" s="6" t="s">
        <v>6346</v>
      </c>
      <c r="B854" s="6" t="s">
        <v>6347</v>
      </c>
      <c r="C854" s="6" t="s">
        <v>6348</v>
      </c>
      <c r="D854" s="6" t="s">
        <v>145</v>
      </c>
      <c r="E854" s="6" t="s">
        <v>147</v>
      </c>
      <c r="F854" s="8">
        <v>7.0</v>
      </c>
      <c r="G854" s="9">
        <v>760.54</v>
      </c>
      <c r="H854" s="9">
        <v>12355.82</v>
      </c>
      <c r="I854" s="6" t="s">
        <v>161</v>
      </c>
      <c r="J854" s="6" t="s">
        <v>357</v>
      </c>
      <c r="K854" s="6" t="s">
        <v>259</v>
      </c>
      <c r="L854" s="6">
        <v>9.5143635708E10</v>
      </c>
      <c r="M854" s="6" t="s">
        <v>6350</v>
      </c>
      <c r="N854" s="6" t="s">
        <v>427</v>
      </c>
      <c r="O854" s="6" t="s">
        <v>178</v>
      </c>
      <c r="P854" s="10">
        <v>45947.0</v>
      </c>
    </row>
    <row r="855" ht="22.5" customHeight="1">
      <c r="A855" s="6" t="s">
        <v>6352</v>
      </c>
      <c r="B855" s="6" t="s">
        <v>6353</v>
      </c>
      <c r="C855" s="6" t="s">
        <v>6354</v>
      </c>
      <c r="D855" s="6" t="s">
        <v>145</v>
      </c>
      <c r="E855" s="6" t="s">
        <v>147</v>
      </c>
      <c r="F855" s="8">
        <v>8.0</v>
      </c>
      <c r="G855" s="9">
        <v>1046.49</v>
      </c>
      <c r="H855" s="9">
        <v>2963.63</v>
      </c>
      <c r="I855" s="6" t="s">
        <v>161</v>
      </c>
      <c r="J855" s="6" t="s">
        <v>312</v>
      </c>
      <c r="K855" s="6" t="s">
        <v>6356</v>
      </c>
      <c r="L855" s="6">
        <v>4.3156578934E10</v>
      </c>
      <c r="M855" s="6" t="s">
        <v>6358</v>
      </c>
      <c r="N855" s="6" t="s">
        <v>427</v>
      </c>
      <c r="O855" s="6" t="s">
        <v>178</v>
      </c>
      <c r="P855" s="10">
        <v>46031.0</v>
      </c>
    </row>
    <row r="856" ht="22.5" customHeight="1">
      <c r="A856" s="6" t="s">
        <v>6359</v>
      </c>
      <c r="B856" s="6" t="s">
        <v>6360</v>
      </c>
      <c r="C856" s="6" t="s">
        <v>6362</v>
      </c>
      <c r="D856" s="6" t="s">
        <v>383</v>
      </c>
      <c r="E856" s="6" t="s">
        <v>301</v>
      </c>
      <c r="F856" s="8">
        <v>30.0</v>
      </c>
      <c r="G856" s="9">
        <v>1706.4</v>
      </c>
      <c r="H856" s="9">
        <v>5973.81</v>
      </c>
      <c r="I856" s="6" t="s">
        <v>161</v>
      </c>
      <c r="J856" s="6" t="s">
        <v>479</v>
      </c>
      <c r="K856" s="6" t="s">
        <v>6364</v>
      </c>
      <c r="L856" s="6">
        <v>3.091084265E10</v>
      </c>
      <c r="M856" s="6" t="s">
        <v>6365</v>
      </c>
      <c r="N856" s="6" t="s">
        <v>259</v>
      </c>
      <c r="O856" s="6" t="s">
        <v>178</v>
      </c>
      <c r="P856" s="10">
        <v>46020.0</v>
      </c>
    </row>
    <row r="857" ht="22.5" customHeight="1">
      <c r="A857" s="6" t="s">
        <v>6367</v>
      </c>
      <c r="B857" s="6" t="s">
        <v>6368</v>
      </c>
      <c r="C857" s="6" t="s">
        <v>6369</v>
      </c>
      <c r="D857" s="6" t="s">
        <v>145</v>
      </c>
      <c r="E857" s="6" t="s">
        <v>147</v>
      </c>
      <c r="F857" s="8">
        <v>13.0</v>
      </c>
      <c r="G857" s="9">
        <v>1680.19</v>
      </c>
      <c r="H857" s="9">
        <v>13950.68</v>
      </c>
      <c r="I857" s="6" t="s">
        <v>161</v>
      </c>
      <c r="J857" s="6" t="s">
        <v>421</v>
      </c>
      <c r="K857" s="6" t="s">
        <v>6370</v>
      </c>
      <c r="L857" s="6">
        <v>4.6536458052E10</v>
      </c>
      <c r="M857" s="6" t="s">
        <v>6371</v>
      </c>
      <c r="N857" s="6" t="s">
        <v>176</v>
      </c>
      <c r="O857" s="6" t="s">
        <v>6373</v>
      </c>
      <c r="P857" s="10">
        <v>45933.0</v>
      </c>
    </row>
    <row r="858" ht="22.5" customHeight="1">
      <c r="A858" s="6" t="s">
        <v>6374</v>
      </c>
      <c r="B858" s="6" t="s">
        <v>6375</v>
      </c>
      <c r="C858" s="6" t="s">
        <v>6376</v>
      </c>
      <c r="D858" s="6" t="s">
        <v>206</v>
      </c>
      <c r="E858" s="6" t="s">
        <v>301</v>
      </c>
      <c r="F858" s="8">
        <v>56.0</v>
      </c>
      <c r="G858" s="9">
        <v>640.81</v>
      </c>
      <c r="H858" s="9">
        <v>5433.92</v>
      </c>
      <c r="I858" s="6" t="s">
        <v>161</v>
      </c>
      <c r="J858" s="6" t="s">
        <v>259</v>
      </c>
      <c r="K858" s="6" t="s">
        <v>6378</v>
      </c>
      <c r="L858" s="6">
        <v>4.3725018136E10</v>
      </c>
      <c r="M858" s="6" t="s">
        <v>6379</v>
      </c>
      <c r="N858" s="6" t="s">
        <v>259</v>
      </c>
      <c r="O858" s="6" t="s">
        <v>178</v>
      </c>
      <c r="P858" s="10">
        <v>46006.0</v>
      </c>
    </row>
    <row r="859" ht="22.5" customHeight="1">
      <c r="A859" s="6" t="s">
        <v>6380</v>
      </c>
      <c r="B859" s="6" t="s">
        <v>6381</v>
      </c>
      <c r="C859" s="6" t="s">
        <v>6382</v>
      </c>
      <c r="D859" s="6" t="s">
        <v>206</v>
      </c>
      <c r="E859" s="6" t="s">
        <v>301</v>
      </c>
      <c r="F859" s="8">
        <v>52.0</v>
      </c>
      <c r="G859" s="9">
        <v>544.86</v>
      </c>
      <c r="H859" s="9">
        <v>4349.31</v>
      </c>
      <c r="I859" s="6" t="s">
        <v>161</v>
      </c>
      <c r="J859" s="6" t="s">
        <v>357</v>
      </c>
      <c r="K859" s="6" t="s">
        <v>6384</v>
      </c>
      <c r="L859" s="6">
        <v>6.2670305767E10</v>
      </c>
      <c r="M859" s="6" t="s">
        <v>6385</v>
      </c>
      <c r="N859" s="6" t="s">
        <v>112</v>
      </c>
      <c r="O859" s="6" t="s">
        <v>178</v>
      </c>
      <c r="P859" s="10">
        <v>46018.0</v>
      </c>
    </row>
    <row r="860" ht="22.5" customHeight="1">
      <c r="A860" s="6" t="s">
        <v>6386</v>
      </c>
      <c r="B860" s="6" t="s">
        <v>6387</v>
      </c>
      <c r="C860" s="6" t="s">
        <v>6388</v>
      </c>
      <c r="D860" s="6" t="s">
        <v>383</v>
      </c>
      <c r="E860" s="6" t="s">
        <v>301</v>
      </c>
      <c r="F860" s="8">
        <v>49.0</v>
      </c>
      <c r="G860" s="9">
        <v>1772.31</v>
      </c>
      <c r="H860" s="9">
        <v>4452.23</v>
      </c>
      <c r="I860" s="6" t="s">
        <v>161</v>
      </c>
      <c r="J860" s="6" t="s">
        <v>312</v>
      </c>
      <c r="K860" s="6" t="s">
        <v>259</v>
      </c>
      <c r="L860" s="6">
        <v>4.086295757E10</v>
      </c>
      <c r="M860" s="6" t="s">
        <v>6390</v>
      </c>
      <c r="N860" s="6" t="s">
        <v>176</v>
      </c>
      <c r="O860" s="6" t="s">
        <v>178</v>
      </c>
      <c r="P860" s="10">
        <v>45988.0</v>
      </c>
    </row>
    <row r="861" ht="22.5" customHeight="1">
      <c r="A861" s="6" t="s">
        <v>6392</v>
      </c>
      <c r="B861" s="6" t="s">
        <v>6393</v>
      </c>
      <c r="C861" s="6" t="s">
        <v>6394</v>
      </c>
      <c r="D861" s="6" t="s">
        <v>145</v>
      </c>
      <c r="E861" s="6" t="s">
        <v>147</v>
      </c>
      <c r="F861" s="8">
        <v>12.0</v>
      </c>
      <c r="G861" s="9">
        <v>918.59</v>
      </c>
      <c r="H861" s="9">
        <v>9574.77</v>
      </c>
      <c r="I861" s="6" t="s">
        <v>161</v>
      </c>
      <c r="J861" s="6" t="s">
        <v>421</v>
      </c>
      <c r="K861" s="6" t="s">
        <v>6396</v>
      </c>
      <c r="L861" s="6">
        <v>8.4218306749E10</v>
      </c>
      <c r="M861" s="6" t="s">
        <v>6397</v>
      </c>
      <c r="N861" s="6" t="s">
        <v>427</v>
      </c>
      <c r="O861" s="6" t="s">
        <v>178</v>
      </c>
      <c r="P861" s="10">
        <v>45993.0</v>
      </c>
    </row>
    <row r="862" ht="22.5" customHeight="1">
      <c r="A862" s="6" t="s">
        <v>6398</v>
      </c>
      <c r="B862" s="6" t="s">
        <v>6400</v>
      </c>
      <c r="C862" s="6" t="s">
        <v>6401</v>
      </c>
      <c r="D862" s="6" t="s">
        <v>206</v>
      </c>
      <c r="E862" s="6" t="s">
        <v>147</v>
      </c>
      <c r="F862" s="8">
        <v>10.0</v>
      </c>
      <c r="G862" s="9">
        <v>991.76</v>
      </c>
      <c r="H862" s="9">
        <v>12693.88</v>
      </c>
      <c r="I862" s="6" t="s">
        <v>161</v>
      </c>
      <c r="J862" s="6" t="s">
        <v>357</v>
      </c>
      <c r="K862" s="6" t="s">
        <v>6403</v>
      </c>
      <c r="L862" s="6">
        <v>5.7994067033E10</v>
      </c>
      <c r="M862" s="6" t="s">
        <v>6404</v>
      </c>
      <c r="N862" s="6" t="s">
        <v>259</v>
      </c>
      <c r="O862" s="6" t="s">
        <v>178</v>
      </c>
      <c r="P862" s="10">
        <v>45985.0</v>
      </c>
    </row>
    <row r="863" ht="22.5" customHeight="1">
      <c r="A863" s="6" t="s">
        <v>6406</v>
      </c>
      <c r="B863" s="6" t="s">
        <v>6407</v>
      </c>
      <c r="C863" s="6" t="s">
        <v>6408</v>
      </c>
      <c r="D863" s="6" t="s">
        <v>206</v>
      </c>
      <c r="E863" s="6" t="s">
        <v>301</v>
      </c>
      <c r="F863" s="8">
        <v>33.0</v>
      </c>
      <c r="G863" s="9">
        <v>652.02</v>
      </c>
      <c r="H863" s="9">
        <v>9540.63</v>
      </c>
      <c r="I863" s="6" t="s">
        <v>161</v>
      </c>
      <c r="J863" s="6" t="s">
        <v>312</v>
      </c>
      <c r="K863" s="6" t="s">
        <v>6410</v>
      </c>
      <c r="L863" s="6">
        <v>2.409510249E10</v>
      </c>
      <c r="M863" s="6" t="s">
        <v>6412</v>
      </c>
      <c r="N863" s="6" t="s">
        <v>283</v>
      </c>
      <c r="O863" s="6" t="s">
        <v>178</v>
      </c>
      <c r="P863" s="10">
        <v>45984.0</v>
      </c>
    </row>
    <row r="864" ht="22.5" customHeight="1">
      <c r="A864" s="6" t="s">
        <v>6414</v>
      </c>
      <c r="B864" s="6" t="s">
        <v>6415</v>
      </c>
      <c r="C864" s="6" t="s">
        <v>6416</v>
      </c>
      <c r="D864" s="6" t="s">
        <v>206</v>
      </c>
      <c r="E864" s="6" t="s">
        <v>147</v>
      </c>
      <c r="F864" s="8">
        <v>8.0</v>
      </c>
      <c r="G864" s="9">
        <v>666.12</v>
      </c>
      <c r="H864" s="9">
        <v>3310.07</v>
      </c>
      <c r="I864" s="6" t="s">
        <v>161</v>
      </c>
      <c r="J864" s="6" t="s">
        <v>393</v>
      </c>
      <c r="K864" s="6" t="s">
        <v>6418</v>
      </c>
      <c r="L864" s="6">
        <v>7.2632489412E10</v>
      </c>
      <c r="M864" s="6" t="s">
        <v>6419</v>
      </c>
      <c r="N864" s="6" t="s">
        <v>259</v>
      </c>
      <c r="O864" s="6" t="s">
        <v>178</v>
      </c>
      <c r="P864" s="10">
        <v>46027.0</v>
      </c>
    </row>
    <row r="865" ht="22.5" customHeight="1">
      <c r="A865" s="6" t="s">
        <v>6421</v>
      </c>
      <c r="B865" s="6" t="s">
        <v>6422</v>
      </c>
      <c r="C865" s="6" t="s">
        <v>6423</v>
      </c>
      <c r="D865" s="6" t="s">
        <v>145</v>
      </c>
      <c r="E865" s="6" t="s">
        <v>210</v>
      </c>
      <c r="F865" s="8">
        <v>120.0</v>
      </c>
      <c r="G865" s="9">
        <v>414.8</v>
      </c>
      <c r="H865" s="9">
        <v>13435.04</v>
      </c>
      <c r="I865" s="6" t="s">
        <v>178</v>
      </c>
      <c r="J865" s="6" t="s">
        <v>479</v>
      </c>
      <c r="K865" s="6" t="s">
        <v>6425</v>
      </c>
      <c r="L865" s="6" t="s">
        <v>259</v>
      </c>
      <c r="M865" s="6" t="s">
        <v>6427</v>
      </c>
      <c r="N865" s="6" t="s">
        <v>283</v>
      </c>
      <c r="O865" s="6" t="s">
        <v>161</v>
      </c>
      <c r="P865" s="10">
        <v>45978.0</v>
      </c>
    </row>
    <row r="866" ht="22.5" customHeight="1">
      <c r="A866" s="6" t="s">
        <v>6428</v>
      </c>
      <c r="B866" s="6" t="s">
        <v>6429</v>
      </c>
      <c r="C866" s="6" t="s">
        <v>6430</v>
      </c>
      <c r="D866" s="6" t="s">
        <v>206</v>
      </c>
      <c r="E866" s="6" t="s">
        <v>147</v>
      </c>
      <c r="F866" s="8">
        <v>20.0</v>
      </c>
      <c r="G866" s="9">
        <v>1134.28</v>
      </c>
      <c r="H866" s="9">
        <v>6154.4</v>
      </c>
      <c r="I866" s="6" t="s">
        <v>161</v>
      </c>
      <c r="J866" s="6" t="s">
        <v>228</v>
      </c>
      <c r="K866" s="6" t="s">
        <v>6433</v>
      </c>
      <c r="L866" s="6" t="s">
        <v>259</v>
      </c>
      <c r="M866" s="6" t="s">
        <v>6434</v>
      </c>
      <c r="N866" s="6" t="s">
        <v>283</v>
      </c>
      <c r="O866" s="6" t="s">
        <v>178</v>
      </c>
      <c r="P866" s="10">
        <v>45996.0</v>
      </c>
    </row>
    <row r="867" ht="22.5" customHeight="1">
      <c r="A867" s="6" t="s">
        <v>6436</v>
      </c>
      <c r="B867" s="6" t="s">
        <v>6437</v>
      </c>
      <c r="C867" s="6" t="s">
        <v>6438</v>
      </c>
      <c r="D867" s="6" t="s">
        <v>145</v>
      </c>
      <c r="E867" s="6" t="s">
        <v>147</v>
      </c>
      <c r="F867" s="8">
        <v>14.0</v>
      </c>
      <c r="G867" s="9">
        <v>306.14</v>
      </c>
      <c r="H867" s="9">
        <v>9341.06</v>
      </c>
      <c r="I867" s="6" t="s">
        <v>161</v>
      </c>
      <c r="J867" s="6" t="s">
        <v>442</v>
      </c>
      <c r="K867" s="6" t="s">
        <v>6440</v>
      </c>
      <c r="L867" s="6">
        <v>8.8330181201E10</v>
      </c>
      <c r="M867" s="6" t="s">
        <v>6441</v>
      </c>
      <c r="N867" s="6" t="s">
        <v>427</v>
      </c>
      <c r="O867" s="6" t="s">
        <v>178</v>
      </c>
      <c r="P867" s="10">
        <v>45951.0</v>
      </c>
    </row>
    <row r="868" ht="22.5" customHeight="1">
      <c r="A868" s="6" t="s">
        <v>6443</v>
      </c>
      <c r="B868" s="6" t="s">
        <v>6444</v>
      </c>
      <c r="C868" s="6" t="s">
        <v>6445</v>
      </c>
      <c r="D868" s="6" t="s">
        <v>145</v>
      </c>
      <c r="E868" s="6" t="s">
        <v>301</v>
      </c>
      <c r="F868" s="8">
        <v>55.0</v>
      </c>
      <c r="G868" s="9">
        <v>502.33</v>
      </c>
      <c r="H868" s="9">
        <v>11600.75</v>
      </c>
      <c r="I868" s="6" t="s">
        <v>161</v>
      </c>
      <c r="J868" s="6" t="s">
        <v>312</v>
      </c>
      <c r="K868" s="6" t="s">
        <v>6448</v>
      </c>
      <c r="L868" s="6">
        <v>8.474014996E10</v>
      </c>
      <c r="M868" s="6" t="s">
        <v>6449</v>
      </c>
      <c r="N868" s="6" t="s">
        <v>259</v>
      </c>
      <c r="O868" s="6" t="s">
        <v>178</v>
      </c>
      <c r="P868" s="10">
        <v>46001.0</v>
      </c>
    </row>
    <row r="869" ht="22.5" customHeight="1">
      <c r="A869" s="6" t="s">
        <v>6450</v>
      </c>
      <c r="B869" s="6" t="s">
        <v>6452</v>
      </c>
      <c r="C869" s="6" t="s">
        <v>6453</v>
      </c>
      <c r="D869" s="6" t="s">
        <v>145</v>
      </c>
      <c r="E869" s="6" t="s">
        <v>301</v>
      </c>
      <c r="F869" s="8">
        <v>45.0</v>
      </c>
      <c r="G869" s="9">
        <v>264.75</v>
      </c>
      <c r="H869" s="9">
        <v>8382.79</v>
      </c>
      <c r="I869" s="6" t="s">
        <v>161</v>
      </c>
      <c r="J869" s="6" t="s">
        <v>312</v>
      </c>
      <c r="K869" s="6" t="s">
        <v>6455</v>
      </c>
      <c r="L869" s="6">
        <v>3.1045305903E10</v>
      </c>
      <c r="M869" s="6" t="s">
        <v>6456</v>
      </c>
      <c r="N869" s="6" t="s">
        <v>283</v>
      </c>
      <c r="O869" s="6" t="s">
        <v>178</v>
      </c>
      <c r="P869" s="10">
        <v>45982.0</v>
      </c>
    </row>
    <row r="870" ht="22.5" customHeight="1">
      <c r="A870" s="6" t="s">
        <v>6458</v>
      </c>
      <c r="B870" s="6" t="s">
        <v>6459</v>
      </c>
      <c r="C870" s="6" t="s">
        <v>6461</v>
      </c>
      <c r="D870" s="6" t="s">
        <v>383</v>
      </c>
      <c r="E870" s="6" t="s">
        <v>147</v>
      </c>
      <c r="F870" s="8">
        <v>5.0</v>
      </c>
      <c r="G870" s="9">
        <v>246.71</v>
      </c>
      <c r="H870" s="9">
        <v>2297.14</v>
      </c>
      <c r="I870" s="6" t="s">
        <v>178</v>
      </c>
      <c r="J870" s="6" t="s">
        <v>228</v>
      </c>
      <c r="K870" s="6" t="s">
        <v>6463</v>
      </c>
      <c r="L870" s="6">
        <v>7.9653859813E10</v>
      </c>
      <c r="M870" s="6" t="s">
        <v>6464</v>
      </c>
      <c r="N870" s="6" t="s">
        <v>176</v>
      </c>
      <c r="O870" s="6" t="s">
        <v>161</v>
      </c>
      <c r="P870" s="10">
        <v>45963.0</v>
      </c>
    </row>
    <row r="871" ht="22.5" customHeight="1">
      <c r="A871" s="6" t="s">
        <v>6465</v>
      </c>
      <c r="B871" s="6" t="s">
        <v>6466</v>
      </c>
      <c r="C871" s="6" t="s">
        <v>6467</v>
      </c>
      <c r="D871" s="6" t="s">
        <v>383</v>
      </c>
      <c r="E871" s="6" t="s">
        <v>210</v>
      </c>
      <c r="F871" s="8">
        <v>72.0</v>
      </c>
      <c r="G871" s="9">
        <v>1499.01</v>
      </c>
      <c r="H871" s="9">
        <v>11053.31</v>
      </c>
      <c r="I871" s="6" t="s">
        <v>161</v>
      </c>
      <c r="J871" s="6" t="s">
        <v>312</v>
      </c>
      <c r="K871" s="6" t="s">
        <v>6469</v>
      </c>
      <c r="L871" s="6">
        <v>6.0071287211E10</v>
      </c>
      <c r="M871" s="6" t="s">
        <v>6470</v>
      </c>
      <c r="N871" s="6" t="s">
        <v>427</v>
      </c>
      <c r="O871" s="6" t="s">
        <v>161</v>
      </c>
      <c r="P871" s="10">
        <v>46031.0</v>
      </c>
    </row>
    <row r="872" ht="22.5" customHeight="1">
      <c r="A872" s="6" t="s">
        <v>6472</v>
      </c>
      <c r="B872" s="6" t="s">
        <v>6473</v>
      </c>
      <c r="C872" s="6" t="s">
        <v>6474</v>
      </c>
      <c r="D872" s="6" t="s">
        <v>383</v>
      </c>
      <c r="E872" s="6" t="s">
        <v>147</v>
      </c>
      <c r="F872" s="8">
        <v>9.0</v>
      </c>
      <c r="G872" s="9">
        <v>1656.87</v>
      </c>
      <c r="H872" s="9">
        <v>2340.04</v>
      </c>
      <c r="I872" s="6" t="s">
        <v>161</v>
      </c>
      <c r="J872" s="6" t="s">
        <v>228</v>
      </c>
      <c r="K872" s="6" t="s">
        <v>259</v>
      </c>
      <c r="L872" s="6">
        <v>4.062097756E10</v>
      </c>
      <c r="M872" s="6" t="s">
        <v>6476</v>
      </c>
      <c r="N872" s="6" t="s">
        <v>176</v>
      </c>
      <c r="O872" s="6" t="s">
        <v>178</v>
      </c>
      <c r="P872" s="10">
        <v>45981.0</v>
      </c>
    </row>
    <row r="873" ht="22.5" customHeight="1">
      <c r="A873" s="6" t="s">
        <v>6477</v>
      </c>
      <c r="B873" s="6" t="s">
        <v>6478</v>
      </c>
      <c r="C873" s="6" t="s">
        <v>6479</v>
      </c>
      <c r="D873" s="6" t="s">
        <v>145</v>
      </c>
      <c r="E873" s="6" t="s">
        <v>210</v>
      </c>
      <c r="F873" s="8">
        <v>82.0</v>
      </c>
      <c r="G873" s="9">
        <v>1299.99</v>
      </c>
      <c r="H873" s="9">
        <v>5238.7</v>
      </c>
      <c r="I873" s="6" t="s">
        <v>178</v>
      </c>
      <c r="J873" s="6" t="s">
        <v>479</v>
      </c>
      <c r="K873" s="6" t="s">
        <v>6481</v>
      </c>
      <c r="L873" s="6">
        <v>3.1467160185E10</v>
      </c>
      <c r="M873" s="6" t="s">
        <v>6482</v>
      </c>
      <c r="N873" s="6" t="s">
        <v>259</v>
      </c>
      <c r="O873" s="6" t="s">
        <v>161</v>
      </c>
      <c r="P873" s="10">
        <v>46003.0</v>
      </c>
    </row>
    <row r="874" ht="22.5" customHeight="1">
      <c r="A874" s="6" t="s">
        <v>6484</v>
      </c>
      <c r="B874" s="6" t="s">
        <v>6485</v>
      </c>
      <c r="C874" s="6" t="s">
        <v>6486</v>
      </c>
      <c r="D874" s="6" t="s">
        <v>145</v>
      </c>
      <c r="E874" s="6" t="s">
        <v>301</v>
      </c>
      <c r="F874" s="8">
        <v>44.0</v>
      </c>
      <c r="G874" s="9">
        <v>1625.43</v>
      </c>
      <c r="H874" s="9">
        <v>6351.69</v>
      </c>
      <c r="I874" s="6" t="s">
        <v>161</v>
      </c>
      <c r="J874" s="6" t="s">
        <v>393</v>
      </c>
      <c r="K874" s="6" t="s">
        <v>6488</v>
      </c>
      <c r="L874" s="6">
        <v>6.6525678407E10</v>
      </c>
      <c r="M874" s="6" t="s">
        <v>6489</v>
      </c>
      <c r="N874" s="6" t="s">
        <v>427</v>
      </c>
      <c r="O874" s="6" t="s">
        <v>178</v>
      </c>
      <c r="P874" s="10">
        <v>46042.0</v>
      </c>
    </row>
    <row r="875" ht="22.5" customHeight="1">
      <c r="A875" s="6" t="s">
        <v>6490</v>
      </c>
      <c r="B875" s="6" t="s">
        <v>6492</v>
      </c>
      <c r="C875" s="6" t="s">
        <v>6493</v>
      </c>
      <c r="D875" s="6" t="s">
        <v>145</v>
      </c>
      <c r="E875" s="6" t="s">
        <v>210</v>
      </c>
      <c r="F875" s="8">
        <v>97.0</v>
      </c>
      <c r="G875" s="9">
        <v>1376.86</v>
      </c>
      <c r="H875" s="9">
        <v>2582.78</v>
      </c>
      <c r="I875" s="6" t="s">
        <v>178</v>
      </c>
      <c r="J875" s="6" t="s">
        <v>465</v>
      </c>
      <c r="K875" s="6" t="s">
        <v>6495</v>
      </c>
      <c r="L875" s="6">
        <v>2.0661883545E10</v>
      </c>
      <c r="M875" s="6" t="s">
        <v>6496</v>
      </c>
      <c r="N875" s="6" t="s">
        <v>112</v>
      </c>
      <c r="O875" s="6" t="s">
        <v>161</v>
      </c>
      <c r="P875" s="10">
        <v>45957.0</v>
      </c>
    </row>
    <row r="876" ht="22.5" customHeight="1">
      <c r="A876" s="6" t="s">
        <v>6498</v>
      </c>
      <c r="B876" s="6" t="s">
        <v>6499</v>
      </c>
      <c r="C876" s="6" t="s">
        <v>6500</v>
      </c>
      <c r="D876" s="6" t="s">
        <v>206</v>
      </c>
      <c r="E876" s="6" t="s">
        <v>147</v>
      </c>
      <c r="F876" s="8">
        <v>10.0</v>
      </c>
      <c r="G876" s="9">
        <v>928.22</v>
      </c>
      <c r="H876" s="9">
        <v>12487.95</v>
      </c>
      <c r="I876" s="6" t="s">
        <v>161</v>
      </c>
      <c r="J876" s="6" t="s">
        <v>465</v>
      </c>
      <c r="K876" s="6" t="s">
        <v>6501</v>
      </c>
      <c r="L876" s="6">
        <v>6.0229513245E10</v>
      </c>
      <c r="M876" s="6" t="s">
        <v>6503</v>
      </c>
      <c r="N876" s="6" t="s">
        <v>259</v>
      </c>
      <c r="O876" s="6" t="s">
        <v>178</v>
      </c>
      <c r="P876" s="10">
        <v>45939.0</v>
      </c>
    </row>
    <row r="877" ht="22.5" customHeight="1">
      <c r="A877" s="6" t="s">
        <v>6504</v>
      </c>
      <c r="B877" s="6" t="s">
        <v>6505</v>
      </c>
      <c r="C877" s="6" t="s">
        <v>6506</v>
      </c>
      <c r="D877" s="6" t="s">
        <v>206</v>
      </c>
      <c r="E877" s="6" t="s">
        <v>147</v>
      </c>
      <c r="F877" s="8">
        <v>27.0</v>
      </c>
      <c r="G877" s="9">
        <v>1716.99</v>
      </c>
      <c r="H877" s="9">
        <v>6644.74</v>
      </c>
      <c r="I877" s="6" t="s">
        <v>161</v>
      </c>
      <c r="J877" s="6" t="s">
        <v>228</v>
      </c>
      <c r="K877" s="6" t="s">
        <v>4288</v>
      </c>
      <c r="L877" s="6">
        <v>7.3974150448E10</v>
      </c>
      <c r="M877" s="6" t="s">
        <v>6508</v>
      </c>
      <c r="N877" s="6" t="s">
        <v>176</v>
      </c>
      <c r="O877" s="6" t="s">
        <v>178</v>
      </c>
      <c r="P877" s="10">
        <v>45984.0</v>
      </c>
    </row>
    <row r="878" ht="22.5" customHeight="1">
      <c r="A878" s="6" t="s">
        <v>6509</v>
      </c>
      <c r="B878" s="6" t="s">
        <v>6511</v>
      </c>
      <c r="C878" s="6" t="s">
        <v>6512</v>
      </c>
      <c r="D878" s="6" t="s">
        <v>145</v>
      </c>
      <c r="E878" s="6" t="s">
        <v>147</v>
      </c>
      <c r="F878" s="8">
        <v>13.0</v>
      </c>
      <c r="G878" s="9">
        <v>880.46</v>
      </c>
      <c r="H878" s="9">
        <v>14525.21</v>
      </c>
      <c r="I878" s="6" t="s">
        <v>161</v>
      </c>
      <c r="J878" s="6" t="s">
        <v>163</v>
      </c>
      <c r="K878" s="6" t="s">
        <v>6513</v>
      </c>
      <c r="L878" s="6">
        <v>6.8283027261E10</v>
      </c>
      <c r="M878" s="6" t="s">
        <v>6514</v>
      </c>
      <c r="N878" s="6" t="s">
        <v>112</v>
      </c>
      <c r="O878" s="6" t="s">
        <v>178</v>
      </c>
      <c r="P878" s="10">
        <v>45946.0</v>
      </c>
    </row>
    <row r="879" ht="22.5" customHeight="1">
      <c r="A879" s="6" t="s">
        <v>6516</v>
      </c>
      <c r="B879" s="6" t="s">
        <v>6517</v>
      </c>
      <c r="C879" s="6" t="s">
        <v>6518</v>
      </c>
      <c r="D879" s="6" t="s">
        <v>383</v>
      </c>
      <c r="E879" s="6" t="s">
        <v>210</v>
      </c>
      <c r="F879" s="8">
        <v>89.0</v>
      </c>
      <c r="G879" s="9">
        <v>330.55</v>
      </c>
      <c r="H879" s="9">
        <v>7535.26</v>
      </c>
      <c r="I879" s="6" t="s">
        <v>161</v>
      </c>
      <c r="J879" s="6" t="s">
        <v>393</v>
      </c>
      <c r="K879" s="6" t="s">
        <v>6520</v>
      </c>
      <c r="L879" s="6">
        <v>8.3602771513E10</v>
      </c>
      <c r="M879" s="6" t="s">
        <v>6521</v>
      </c>
      <c r="N879" s="6" t="s">
        <v>176</v>
      </c>
      <c r="O879" s="6" t="s">
        <v>161</v>
      </c>
      <c r="P879" s="10">
        <v>46044.0</v>
      </c>
    </row>
    <row r="880" ht="22.5" customHeight="1">
      <c r="A880" s="6" t="s">
        <v>6522</v>
      </c>
      <c r="B880" s="6" t="s">
        <v>6524</v>
      </c>
      <c r="C880" s="6" t="s">
        <v>6525</v>
      </c>
      <c r="D880" s="6" t="s">
        <v>383</v>
      </c>
      <c r="E880" s="6" t="s">
        <v>210</v>
      </c>
      <c r="F880" s="8">
        <v>91.0</v>
      </c>
      <c r="G880" s="9">
        <v>93.4</v>
      </c>
      <c r="H880" s="9">
        <v>9930.51</v>
      </c>
      <c r="I880" s="6" t="s">
        <v>161</v>
      </c>
      <c r="J880" s="6" t="s">
        <v>312</v>
      </c>
      <c r="K880" s="6" t="s">
        <v>6526</v>
      </c>
      <c r="L880" s="6">
        <v>7.5714154987E10</v>
      </c>
      <c r="M880" s="6" t="s">
        <v>6528</v>
      </c>
      <c r="N880" s="6" t="s">
        <v>176</v>
      </c>
      <c r="O880" s="6" t="s">
        <v>161</v>
      </c>
      <c r="P880" s="10">
        <v>45941.0</v>
      </c>
    </row>
    <row r="881" ht="22.5" customHeight="1">
      <c r="A881" s="6" t="s">
        <v>6529</v>
      </c>
      <c r="B881" s="6" t="s">
        <v>6530</v>
      </c>
      <c r="C881" s="6" t="s">
        <v>6531</v>
      </c>
      <c r="D881" s="6" t="s">
        <v>383</v>
      </c>
      <c r="E881" s="6" t="s">
        <v>147</v>
      </c>
      <c r="F881" s="8">
        <v>21.0</v>
      </c>
      <c r="G881" s="9">
        <v>453.16</v>
      </c>
      <c r="H881" s="9">
        <v>14419.11</v>
      </c>
      <c r="I881" s="6" t="s">
        <v>161</v>
      </c>
      <c r="J881" s="6" t="s">
        <v>465</v>
      </c>
      <c r="K881" s="6" t="s">
        <v>6533</v>
      </c>
      <c r="L881" s="6">
        <v>4.6768711653E10</v>
      </c>
      <c r="M881" s="6" t="s">
        <v>6534</v>
      </c>
      <c r="N881" s="6" t="s">
        <v>176</v>
      </c>
      <c r="O881" s="6" t="s">
        <v>178</v>
      </c>
      <c r="P881" s="10">
        <v>46047.0</v>
      </c>
    </row>
    <row r="882" ht="22.5" customHeight="1">
      <c r="A882" s="6" t="s">
        <v>6536</v>
      </c>
      <c r="B882" s="6" t="s">
        <v>6537</v>
      </c>
      <c r="C882" s="6" t="s">
        <v>6538</v>
      </c>
      <c r="D882" s="6" t="s">
        <v>206</v>
      </c>
      <c r="E882" s="6" t="s">
        <v>210</v>
      </c>
      <c r="F882" s="8">
        <v>89.0</v>
      </c>
      <c r="G882" s="9">
        <v>330.66</v>
      </c>
      <c r="H882" s="9">
        <v>9867.76</v>
      </c>
      <c r="I882" s="6" t="s">
        <v>178</v>
      </c>
      <c r="J882" s="6" t="s">
        <v>393</v>
      </c>
      <c r="K882" s="6" t="s">
        <v>6539</v>
      </c>
      <c r="L882" s="6">
        <v>7.450530816E10</v>
      </c>
      <c r="M882" s="6" t="s">
        <v>6541</v>
      </c>
      <c r="N882" s="6" t="s">
        <v>259</v>
      </c>
      <c r="O882" s="6" t="s">
        <v>161</v>
      </c>
      <c r="P882" s="10">
        <v>46028.0</v>
      </c>
    </row>
    <row r="883" ht="22.5" customHeight="1">
      <c r="A883" s="6" t="s">
        <v>6542</v>
      </c>
      <c r="B883" s="6" t="s">
        <v>6543</v>
      </c>
      <c r="C883" s="6" t="s">
        <v>6544</v>
      </c>
      <c r="D883" s="6" t="s">
        <v>145</v>
      </c>
      <c r="E883" s="6" t="s">
        <v>210</v>
      </c>
      <c r="F883" s="8">
        <v>82.0</v>
      </c>
      <c r="G883" s="9">
        <v>1167.99</v>
      </c>
      <c r="H883" s="9">
        <v>12572.51</v>
      </c>
      <c r="I883" s="6" t="s">
        <v>161</v>
      </c>
      <c r="J883" s="6" t="s">
        <v>228</v>
      </c>
      <c r="K883" s="6" t="s">
        <v>6546</v>
      </c>
      <c r="L883" s="6">
        <v>7.2188976193E10</v>
      </c>
      <c r="M883" s="6" t="s">
        <v>6547</v>
      </c>
      <c r="N883" s="6" t="s">
        <v>176</v>
      </c>
      <c r="O883" s="6" t="s">
        <v>161</v>
      </c>
      <c r="P883" s="10">
        <v>45991.0</v>
      </c>
    </row>
    <row r="884" ht="22.5" customHeight="1">
      <c r="A884" s="6" t="s">
        <v>6548</v>
      </c>
      <c r="B884" s="6" t="s">
        <v>6549</v>
      </c>
      <c r="C884" s="6" t="s">
        <v>6550</v>
      </c>
      <c r="D884" s="6" t="s">
        <v>206</v>
      </c>
      <c r="E884" s="6" t="s">
        <v>210</v>
      </c>
      <c r="F884" s="8">
        <v>67.0</v>
      </c>
      <c r="G884" s="9">
        <v>709.89</v>
      </c>
      <c r="H884" s="9">
        <v>12184.19</v>
      </c>
      <c r="I884" s="6" t="s">
        <v>161</v>
      </c>
      <c r="J884" s="6" t="s">
        <v>357</v>
      </c>
      <c r="K884" s="6" t="s">
        <v>6552</v>
      </c>
      <c r="L884" s="6">
        <v>3.245569435E9</v>
      </c>
      <c r="M884" s="6" t="s">
        <v>6553</v>
      </c>
      <c r="N884" s="6" t="s">
        <v>112</v>
      </c>
      <c r="O884" s="6" t="s">
        <v>161</v>
      </c>
      <c r="P884" s="10">
        <v>45942.0</v>
      </c>
    </row>
    <row r="885" ht="22.5" customHeight="1">
      <c r="A885" s="6" t="s">
        <v>6555</v>
      </c>
      <c r="B885" s="6" t="s">
        <v>6556</v>
      </c>
      <c r="C885" s="6" t="s">
        <v>6557</v>
      </c>
      <c r="D885" s="6" t="s">
        <v>145</v>
      </c>
      <c r="E885" s="6" t="s">
        <v>147</v>
      </c>
      <c r="F885" s="8">
        <v>20.0</v>
      </c>
      <c r="G885" s="9">
        <v>769.74</v>
      </c>
      <c r="H885" s="9">
        <v>11357.7</v>
      </c>
      <c r="I885" s="6" t="s">
        <v>161</v>
      </c>
      <c r="J885" s="6" t="s">
        <v>163</v>
      </c>
      <c r="K885" s="6" t="s">
        <v>6558</v>
      </c>
      <c r="L885" s="6">
        <v>9.5803550791E10</v>
      </c>
      <c r="M885" s="6" t="s">
        <v>6560</v>
      </c>
      <c r="N885" s="6" t="s">
        <v>112</v>
      </c>
      <c r="O885" s="6" t="s">
        <v>178</v>
      </c>
      <c r="P885" s="10">
        <v>46005.0</v>
      </c>
    </row>
    <row r="886" ht="22.5" customHeight="1">
      <c r="A886" s="6" t="s">
        <v>6561</v>
      </c>
      <c r="B886" s="6" t="s">
        <v>6562</v>
      </c>
      <c r="C886" s="6" t="s">
        <v>6563</v>
      </c>
      <c r="D886" s="6" t="s">
        <v>206</v>
      </c>
      <c r="E886" s="6" t="s">
        <v>301</v>
      </c>
      <c r="F886" s="8">
        <v>45.0</v>
      </c>
      <c r="G886" s="9">
        <v>1326.79</v>
      </c>
      <c r="H886" s="9">
        <v>5032.1</v>
      </c>
      <c r="I886" s="6" t="s">
        <v>161</v>
      </c>
      <c r="J886" s="6" t="s">
        <v>421</v>
      </c>
      <c r="K886" s="6" t="s">
        <v>6564</v>
      </c>
      <c r="L886" s="6">
        <v>7.2862205189E10</v>
      </c>
      <c r="M886" s="6" t="s">
        <v>6565</v>
      </c>
      <c r="N886" s="6" t="s">
        <v>112</v>
      </c>
      <c r="O886" s="6" t="s">
        <v>178</v>
      </c>
      <c r="P886" s="10">
        <v>45998.0</v>
      </c>
    </row>
    <row r="887" ht="22.5" customHeight="1">
      <c r="A887" s="6" t="s">
        <v>6566</v>
      </c>
      <c r="B887" s="6" t="s">
        <v>6568</v>
      </c>
      <c r="C887" s="6" t="s">
        <v>6569</v>
      </c>
      <c r="D887" s="6" t="s">
        <v>206</v>
      </c>
      <c r="E887" s="6" t="s">
        <v>147</v>
      </c>
      <c r="F887" s="8">
        <v>27.0</v>
      </c>
      <c r="G887" s="9">
        <v>1798.08</v>
      </c>
      <c r="H887" s="9">
        <v>3894.42</v>
      </c>
      <c r="I887" s="6" t="s">
        <v>161</v>
      </c>
      <c r="J887" s="6" t="s">
        <v>163</v>
      </c>
      <c r="K887" s="6" t="s">
        <v>6570</v>
      </c>
      <c r="L887" s="6">
        <v>9.3612489409E10</v>
      </c>
      <c r="M887" s="6" t="s">
        <v>6571</v>
      </c>
      <c r="N887" s="6" t="s">
        <v>176</v>
      </c>
      <c r="O887" s="6" t="s">
        <v>178</v>
      </c>
      <c r="P887" s="10">
        <v>45976.0</v>
      </c>
    </row>
    <row r="888" ht="22.5" customHeight="1">
      <c r="A888" s="6" t="s">
        <v>6573</v>
      </c>
      <c r="B888" s="6" t="s">
        <v>6574</v>
      </c>
      <c r="C888" s="6" t="s">
        <v>6575</v>
      </c>
      <c r="D888" s="6" t="s">
        <v>145</v>
      </c>
      <c r="E888" s="6" t="s">
        <v>147</v>
      </c>
      <c r="F888" s="8">
        <v>12.0</v>
      </c>
      <c r="G888" s="9">
        <v>1099.84</v>
      </c>
      <c r="H888" s="9">
        <v>5816.37</v>
      </c>
      <c r="I888" s="6" t="s">
        <v>161</v>
      </c>
      <c r="J888" s="6" t="s">
        <v>442</v>
      </c>
      <c r="K888" s="6" t="s">
        <v>6577</v>
      </c>
      <c r="L888" s="6">
        <v>9.1123621E7</v>
      </c>
      <c r="M888" s="6" t="s">
        <v>6578</v>
      </c>
      <c r="N888" s="6" t="s">
        <v>427</v>
      </c>
      <c r="O888" s="6" t="s">
        <v>178</v>
      </c>
      <c r="P888" s="10">
        <v>45999.0</v>
      </c>
    </row>
    <row r="889" ht="22.5" customHeight="1">
      <c r="A889" s="6" t="s">
        <v>6579</v>
      </c>
      <c r="B889" s="6" t="s">
        <v>6580</v>
      </c>
      <c r="C889" s="6" t="s">
        <v>6581</v>
      </c>
      <c r="D889" s="6" t="s">
        <v>145</v>
      </c>
      <c r="E889" s="6" t="s">
        <v>147</v>
      </c>
      <c r="F889" s="8">
        <v>15.0</v>
      </c>
      <c r="G889" s="9">
        <v>1146.11</v>
      </c>
      <c r="H889" s="9">
        <v>4554.63</v>
      </c>
      <c r="I889" s="6" t="s">
        <v>161</v>
      </c>
      <c r="J889" s="6" t="s">
        <v>577</v>
      </c>
      <c r="K889" s="6" t="s">
        <v>6583</v>
      </c>
      <c r="L889" s="6">
        <v>8.0901836516E10</v>
      </c>
      <c r="M889" s="6" t="s">
        <v>6584</v>
      </c>
      <c r="N889" s="6" t="s">
        <v>283</v>
      </c>
      <c r="O889" s="6" t="s">
        <v>178</v>
      </c>
      <c r="P889" s="10">
        <v>45940.0</v>
      </c>
    </row>
    <row r="890" ht="22.5" customHeight="1">
      <c r="A890" s="6" t="s">
        <v>6586</v>
      </c>
      <c r="B890" s="6" t="s">
        <v>6587</v>
      </c>
      <c r="C890" s="6" t="s">
        <v>6588</v>
      </c>
      <c r="D890" s="6" t="s">
        <v>206</v>
      </c>
      <c r="E890" s="6" t="s">
        <v>301</v>
      </c>
      <c r="F890" s="8">
        <v>47.0</v>
      </c>
      <c r="G890" s="9">
        <v>1727.39</v>
      </c>
      <c r="H890" s="9">
        <v>11555.0</v>
      </c>
      <c r="I890" s="6" t="s">
        <v>161</v>
      </c>
      <c r="J890" s="6" t="s">
        <v>163</v>
      </c>
      <c r="K890" s="6" t="s">
        <v>6589</v>
      </c>
      <c r="L890" s="6">
        <v>8.8456404436E10</v>
      </c>
      <c r="M890" s="6" t="s">
        <v>6591</v>
      </c>
      <c r="N890" s="6" t="s">
        <v>259</v>
      </c>
      <c r="O890" s="6" t="s">
        <v>178</v>
      </c>
      <c r="P890" s="10">
        <v>45995.0</v>
      </c>
    </row>
    <row r="891" ht="22.5" customHeight="1">
      <c r="A891" s="6" t="s">
        <v>6592</v>
      </c>
      <c r="B891" s="6" t="s">
        <v>6593</v>
      </c>
      <c r="C891" s="6" t="s">
        <v>6594</v>
      </c>
      <c r="D891" s="6" t="s">
        <v>383</v>
      </c>
      <c r="E891" s="6" t="s">
        <v>301</v>
      </c>
      <c r="F891" s="8">
        <v>57.0</v>
      </c>
      <c r="G891" s="9">
        <v>283.9</v>
      </c>
      <c r="H891" s="9">
        <v>2486.01</v>
      </c>
      <c r="I891" s="6" t="s">
        <v>161</v>
      </c>
      <c r="J891" s="6" t="s">
        <v>312</v>
      </c>
      <c r="K891" s="6" t="s">
        <v>6596</v>
      </c>
      <c r="L891" s="6">
        <v>8.100842591E9</v>
      </c>
      <c r="M891" s="6" t="s">
        <v>6597</v>
      </c>
      <c r="N891" s="6" t="s">
        <v>259</v>
      </c>
      <c r="O891" s="6" t="s">
        <v>178</v>
      </c>
      <c r="P891" s="10">
        <v>45959.0</v>
      </c>
    </row>
    <row r="892" ht="22.5" customHeight="1">
      <c r="A892" s="6" t="s">
        <v>6598</v>
      </c>
      <c r="B892" s="6" t="s">
        <v>6599</v>
      </c>
      <c r="C892" s="6" t="s">
        <v>6601</v>
      </c>
      <c r="D892" s="6" t="s">
        <v>145</v>
      </c>
      <c r="E892" s="6" t="s">
        <v>147</v>
      </c>
      <c r="F892" s="8">
        <v>22.0</v>
      </c>
      <c r="G892" s="9">
        <v>1342.13</v>
      </c>
      <c r="H892" s="9">
        <v>6387.78</v>
      </c>
      <c r="I892" s="6" t="s">
        <v>161</v>
      </c>
      <c r="J892" s="6" t="s">
        <v>357</v>
      </c>
      <c r="K892" s="6" t="s">
        <v>6602</v>
      </c>
      <c r="L892" s="6">
        <v>9.8431126891E10</v>
      </c>
      <c r="M892" s="6" t="s">
        <v>6603</v>
      </c>
      <c r="N892" s="6" t="s">
        <v>283</v>
      </c>
      <c r="O892" s="6" t="s">
        <v>178</v>
      </c>
      <c r="P892" s="10">
        <v>46023.0</v>
      </c>
    </row>
    <row r="893" ht="22.5" customHeight="1">
      <c r="A893" s="6" t="s">
        <v>6605</v>
      </c>
      <c r="B893" s="6" t="s">
        <v>6606</v>
      </c>
      <c r="C893" s="6" t="s">
        <v>6607</v>
      </c>
      <c r="D893" s="6" t="s">
        <v>206</v>
      </c>
      <c r="E893" s="6" t="s">
        <v>147</v>
      </c>
      <c r="F893" s="8">
        <v>17.0</v>
      </c>
      <c r="G893" s="9">
        <v>184.18</v>
      </c>
      <c r="H893" s="9">
        <v>10062.43</v>
      </c>
      <c r="I893" s="6" t="s">
        <v>161</v>
      </c>
      <c r="J893" s="6" t="s">
        <v>163</v>
      </c>
      <c r="K893" s="6" t="s">
        <v>6608</v>
      </c>
      <c r="L893" s="6">
        <v>6.9533037167E10</v>
      </c>
      <c r="M893" s="6" t="s">
        <v>6609</v>
      </c>
      <c r="N893" s="6" t="s">
        <v>176</v>
      </c>
      <c r="O893" s="6" t="s">
        <v>178</v>
      </c>
      <c r="P893" s="10">
        <v>45998.0</v>
      </c>
    </row>
    <row r="894" ht="22.5" customHeight="1">
      <c r="A894" s="6" t="s">
        <v>6610</v>
      </c>
      <c r="B894" s="6" t="s">
        <v>6611</v>
      </c>
      <c r="C894" s="6" t="s">
        <v>6613</v>
      </c>
      <c r="D894" s="6" t="s">
        <v>145</v>
      </c>
      <c r="E894" s="6" t="s">
        <v>301</v>
      </c>
      <c r="F894" s="8">
        <v>59.0</v>
      </c>
      <c r="G894" s="9">
        <v>122.29</v>
      </c>
      <c r="H894" s="9">
        <v>7121.77</v>
      </c>
      <c r="I894" s="6" t="s">
        <v>161</v>
      </c>
      <c r="J894" s="6" t="s">
        <v>259</v>
      </c>
      <c r="K894" s="6" t="s">
        <v>6614</v>
      </c>
      <c r="L894" s="6">
        <v>7.3928198421E10</v>
      </c>
      <c r="M894" s="6" t="s">
        <v>6615</v>
      </c>
      <c r="N894" s="6" t="s">
        <v>176</v>
      </c>
      <c r="O894" s="6" t="s">
        <v>178</v>
      </c>
      <c r="P894" s="10">
        <v>46003.0</v>
      </c>
    </row>
    <row r="895" ht="22.5" customHeight="1">
      <c r="A895" s="6" t="s">
        <v>6617</v>
      </c>
      <c r="B895" s="6" t="s">
        <v>6618</v>
      </c>
      <c r="C895" s="6" t="s">
        <v>6619</v>
      </c>
      <c r="D895" s="6" t="s">
        <v>206</v>
      </c>
      <c r="E895" s="6" t="s">
        <v>147</v>
      </c>
      <c r="F895" s="8">
        <v>26.0</v>
      </c>
      <c r="G895" s="9">
        <v>132.43</v>
      </c>
      <c r="H895" s="9">
        <v>11799.4</v>
      </c>
      <c r="I895" s="6" t="s">
        <v>161</v>
      </c>
      <c r="J895" s="6" t="s">
        <v>357</v>
      </c>
      <c r="K895" s="6" t="s">
        <v>6621</v>
      </c>
      <c r="L895" s="6">
        <v>2.732748139E10</v>
      </c>
      <c r="M895" s="6" t="s">
        <v>6622</v>
      </c>
      <c r="N895" s="6" t="s">
        <v>427</v>
      </c>
      <c r="O895" s="6" t="s">
        <v>178</v>
      </c>
      <c r="P895" s="10">
        <v>46007.0</v>
      </c>
    </row>
    <row r="896" ht="22.5" customHeight="1">
      <c r="A896" s="6" t="s">
        <v>6623</v>
      </c>
      <c r="B896" s="6" t="s">
        <v>6624</v>
      </c>
      <c r="C896" s="6" t="s">
        <v>6625</v>
      </c>
      <c r="D896" s="6" t="s">
        <v>145</v>
      </c>
      <c r="E896" s="6" t="s">
        <v>301</v>
      </c>
      <c r="F896" s="8">
        <v>56.0</v>
      </c>
      <c r="G896" s="9">
        <v>1548.47</v>
      </c>
      <c r="H896" s="9">
        <v>8810.86</v>
      </c>
      <c r="I896" s="6" t="s">
        <v>161</v>
      </c>
      <c r="J896" s="6" t="s">
        <v>163</v>
      </c>
      <c r="K896" s="6" t="s">
        <v>259</v>
      </c>
      <c r="L896" s="6">
        <v>2.5858990664E10</v>
      </c>
      <c r="M896" s="6" t="s">
        <v>6627</v>
      </c>
      <c r="N896" s="6" t="s">
        <v>259</v>
      </c>
      <c r="O896" s="6" t="s">
        <v>178</v>
      </c>
      <c r="P896" s="10">
        <v>45972.0</v>
      </c>
    </row>
    <row r="897" ht="22.5" customHeight="1">
      <c r="A897" s="6" t="s">
        <v>6629</v>
      </c>
      <c r="B897" s="6" t="s">
        <v>6630</v>
      </c>
      <c r="C897" s="6" t="s">
        <v>6631</v>
      </c>
      <c r="D897" s="6" t="s">
        <v>206</v>
      </c>
      <c r="E897" s="6" t="s">
        <v>301</v>
      </c>
      <c r="F897" s="8">
        <v>50.0</v>
      </c>
      <c r="G897" s="9">
        <v>273.89</v>
      </c>
      <c r="H897" s="9">
        <v>1940.33</v>
      </c>
      <c r="I897" s="6" t="s">
        <v>161</v>
      </c>
      <c r="J897" s="6" t="s">
        <v>393</v>
      </c>
      <c r="K897" s="6" t="s">
        <v>6633</v>
      </c>
      <c r="L897" s="6">
        <v>4.6869106728E10</v>
      </c>
      <c r="M897" s="6" t="s">
        <v>6634</v>
      </c>
      <c r="N897" s="6" t="s">
        <v>112</v>
      </c>
      <c r="O897" s="6" t="s">
        <v>178</v>
      </c>
      <c r="P897" s="10">
        <v>46019.0</v>
      </c>
    </row>
    <row r="898" ht="22.5" customHeight="1">
      <c r="A898" s="6" t="s">
        <v>6635</v>
      </c>
      <c r="B898" s="6" t="s">
        <v>6636</v>
      </c>
      <c r="C898" s="6" t="s">
        <v>6637</v>
      </c>
      <c r="D898" s="6" t="s">
        <v>206</v>
      </c>
      <c r="E898" s="6" t="s">
        <v>210</v>
      </c>
      <c r="F898" s="8">
        <v>64.0</v>
      </c>
      <c r="G898" s="9">
        <v>1410.3</v>
      </c>
      <c r="H898" s="9">
        <v>8624.93</v>
      </c>
      <c r="I898" s="6" t="s">
        <v>178</v>
      </c>
      <c r="J898" s="6" t="s">
        <v>357</v>
      </c>
      <c r="K898" s="6" t="s">
        <v>6639</v>
      </c>
      <c r="L898" s="6">
        <v>3.672443654E9</v>
      </c>
      <c r="M898" s="6" t="s">
        <v>6640</v>
      </c>
      <c r="N898" s="6" t="s">
        <v>283</v>
      </c>
      <c r="O898" s="6" t="s">
        <v>161</v>
      </c>
      <c r="P898" s="10">
        <v>45978.0</v>
      </c>
    </row>
    <row r="899" ht="22.5" customHeight="1">
      <c r="A899" s="6" t="s">
        <v>6642</v>
      </c>
      <c r="B899" s="6" t="s">
        <v>6643</v>
      </c>
      <c r="C899" s="6" t="s">
        <v>6644</v>
      </c>
      <c r="D899" s="6" t="s">
        <v>145</v>
      </c>
      <c r="E899" s="6" t="s">
        <v>210</v>
      </c>
      <c r="F899" s="8">
        <v>119.0</v>
      </c>
      <c r="G899" s="9">
        <v>121.13</v>
      </c>
      <c r="H899" s="9">
        <v>11276.29</v>
      </c>
      <c r="I899" s="6" t="s">
        <v>178</v>
      </c>
      <c r="J899" s="6" t="s">
        <v>163</v>
      </c>
      <c r="K899" s="6" t="s">
        <v>6645</v>
      </c>
      <c r="L899" s="6">
        <v>3.324903432E9</v>
      </c>
      <c r="M899" s="6" t="s">
        <v>6647</v>
      </c>
      <c r="N899" s="6" t="s">
        <v>259</v>
      </c>
      <c r="O899" s="6" t="s">
        <v>161</v>
      </c>
      <c r="P899" s="10">
        <v>45963.0</v>
      </c>
    </row>
    <row r="900" ht="22.5" customHeight="1">
      <c r="A900" s="6" t="s">
        <v>6648</v>
      </c>
      <c r="B900" s="6" t="s">
        <v>6649</v>
      </c>
      <c r="C900" s="6" t="s">
        <v>6650</v>
      </c>
      <c r="D900" s="6" t="s">
        <v>145</v>
      </c>
      <c r="E900" s="6" t="s">
        <v>210</v>
      </c>
      <c r="F900" s="8">
        <v>117.0</v>
      </c>
      <c r="G900" s="9">
        <v>481.49</v>
      </c>
      <c r="H900" s="9">
        <v>5471.72</v>
      </c>
      <c r="I900" s="6" t="s">
        <v>178</v>
      </c>
      <c r="J900" s="6" t="s">
        <v>312</v>
      </c>
      <c r="K900" s="6" t="s">
        <v>6652</v>
      </c>
      <c r="L900" s="6">
        <v>3.8235114639E10</v>
      </c>
      <c r="M900" s="6" t="s">
        <v>6653</v>
      </c>
      <c r="N900" s="6" t="s">
        <v>259</v>
      </c>
      <c r="O900" s="6" t="s">
        <v>161</v>
      </c>
      <c r="P900" s="10">
        <v>45989.0</v>
      </c>
    </row>
    <row r="901" ht="22.5" customHeight="1">
      <c r="A901" s="6" t="s">
        <v>6654</v>
      </c>
      <c r="B901" s="6" t="s">
        <v>6656</v>
      </c>
      <c r="C901" s="6" t="s">
        <v>6657</v>
      </c>
      <c r="D901" s="6" t="s">
        <v>145</v>
      </c>
      <c r="E901" s="6" t="s">
        <v>301</v>
      </c>
      <c r="F901" s="8">
        <v>37.0</v>
      </c>
      <c r="G901" s="9">
        <v>191.39</v>
      </c>
      <c r="H901" s="9">
        <v>9844.61</v>
      </c>
      <c r="I901" s="6" t="s">
        <v>161</v>
      </c>
      <c r="J901" s="6" t="s">
        <v>357</v>
      </c>
      <c r="K901" s="6" t="s">
        <v>6658</v>
      </c>
      <c r="L901" s="6">
        <v>6.2132007346E10</v>
      </c>
      <c r="M901" s="6" t="s">
        <v>6659</v>
      </c>
      <c r="N901" s="6" t="s">
        <v>259</v>
      </c>
      <c r="O901" s="6" t="s">
        <v>178</v>
      </c>
      <c r="P901" s="10">
        <v>46021.0</v>
      </c>
    </row>
    <row r="902" ht="22.5" customHeight="1">
      <c r="A902" s="6" t="s">
        <v>6661</v>
      </c>
      <c r="B902" s="6" t="s">
        <v>6662</v>
      </c>
      <c r="C902" s="6" t="s">
        <v>6663</v>
      </c>
      <c r="D902" s="6" t="s">
        <v>145</v>
      </c>
      <c r="E902" s="6" t="s">
        <v>301</v>
      </c>
      <c r="F902" s="8">
        <v>31.0</v>
      </c>
      <c r="G902" s="9">
        <v>206.12</v>
      </c>
      <c r="H902" s="9">
        <v>3633.08</v>
      </c>
      <c r="I902" s="6" t="s">
        <v>161</v>
      </c>
      <c r="J902" s="6" t="s">
        <v>2502</v>
      </c>
      <c r="K902" s="6" t="s">
        <v>6665</v>
      </c>
      <c r="L902" s="6">
        <v>4.1256663935E10</v>
      </c>
      <c r="M902" s="6" t="s">
        <v>6666</v>
      </c>
      <c r="N902" s="6" t="s">
        <v>259</v>
      </c>
      <c r="O902" s="6" t="s">
        <v>178</v>
      </c>
      <c r="P902" s="10">
        <v>45944.0</v>
      </c>
    </row>
    <row r="903" ht="22.5" customHeight="1">
      <c r="A903" s="6" t="s">
        <v>6667</v>
      </c>
      <c r="B903" s="6" t="s">
        <v>6668</v>
      </c>
      <c r="C903" s="6" t="s">
        <v>6669</v>
      </c>
      <c r="D903" s="6" t="s">
        <v>145</v>
      </c>
      <c r="E903" s="6" t="s">
        <v>147</v>
      </c>
      <c r="F903" s="8">
        <v>17.0</v>
      </c>
      <c r="G903" s="9">
        <v>1195.45</v>
      </c>
      <c r="H903" s="9">
        <v>8999.66</v>
      </c>
      <c r="I903" s="6" t="s">
        <v>161</v>
      </c>
      <c r="J903" s="6" t="s">
        <v>357</v>
      </c>
      <c r="K903" s="6" t="s">
        <v>6671</v>
      </c>
      <c r="L903" s="6">
        <v>2.1803901564E10</v>
      </c>
      <c r="M903" s="6" t="s">
        <v>6672</v>
      </c>
      <c r="N903" s="6" t="s">
        <v>283</v>
      </c>
      <c r="O903" s="6" t="s">
        <v>178</v>
      </c>
      <c r="P903" s="10">
        <v>45957.0</v>
      </c>
    </row>
    <row r="904" ht="22.5" customHeight="1">
      <c r="A904" s="6" t="s">
        <v>6674</v>
      </c>
      <c r="B904" s="6" t="s">
        <v>6675</v>
      </c>
      <c r="C904" s="6" t="s">
        <v>6676</v>
      </c>
      <c r="D904" s="6" t="s">
        <v>383</v>
      </c>
      <c r="E904" s="6" t="s">
        <v>147</v>
      </c>
      <c r="F904" s="8">
        <v>29.0</v>
      </c>
      <c r="G904" s="9">
        <v>668.91</v>
      </c>
      <c r="H904" s="9">
        <v>6491.46</v>
      </c>
      <c r="I904" s="6" t="s">
        <v>161</v>
      </c>
      <c r="J904" s="6" t="s">
        <v>357</v>
      </c>
      <c r="K904" s="6" t="s">
        <v>6678</v>
      </c>
      <c r="L904" s="6">
        <v>7.0291274741E10</v>
      </c>
      <c r="M904" s="6" t="s">
        <v>6679</v>
      </c>
      <c r="N904" s="6" t="s">
        <v>112</v>
      </c>
      <c r="O904" s="6" t="s">
        <v>178</v>
      </c>
      <c r="P904" s="10">
        <v>45976.0</v>
      </c>
    </row>
    <row r="905" ht="22.5" customHeight="1">
      <c r="A905" s="6" t="s">
        <v>6680</v>
      </c>
      <c r="B905" s="6" t="s">
        <v>6682</v>
      </c>
      <c r="C905" s="6" t="s">
        <v>6683</v>
      </c>
      <c r="D905" s="6" t="s">
        <v>145</v>
      </c>
      <c r="E905" s="6" t="s">
        <v>301</v>
      </c>
      <c r="F905" s="8">
        <v>37.0</v>
      </c>
      <c r="G905" s="9">
        <v>1052.78</v>
      </c>
      <c r="H905" s="9">
        <v>5133.54</v>
      </c>
      <c r="I905" s="6" t="s">
        <v>161</v>
      </c>
      <c r="J905" s="6" t="s">
        <v>393</v>
      </c>
      <c r="K905" s="6" t="s">
        <v>6684</v>
      </c>
      <c r="L905" s="6">
        <v>9.8161198784E10</v>
      </c>
      <c r="M905" s="6" t="s">
        <v>6685</v>
      </c>
      <c r="N905" s="6" t="s">
        <v>112</v>
      </c>
      <c r="O905" s="6" t="s">
        <v>178</v>
      </c>
      <c r="P905" s="10">
        <v>45937.0</v>
      </c>
    </row>
    <row r="906" ht="22.5" customHeight="1">
      <c r="A906" s="6" t="s">
        <v>6687</v>
      </c>
      <c r="B906" s="6" t="s">
        <v>6688</v>
      </c>
      <c r="C906" s="6" t="s">
        <v>6689</v>
      </c>
      <c r="D906" s="6" t="s">
        <v>145</v>
      </c>
      <c r="E906" s="6" t="s">
        <v>147</v>
      </c>
      <c r="F906" s="8">
        <v>24.0</v>
      </c>
      <c r="G906" s="9">
        <v>1636.12</v>
      </c>
      <c r="H906" s="9">
        <v>2390.64</v>
      </c>
      <c r="I906" s="6" t="s">
        <v>161</v>
      </c>
      <c r="J906" s="6" t="s">
        <v>393</v>
      </c>
      <c r="K906" s="6" t="s">
        <v>1999</v>
      </c>
      <c r="L906" s="6">
        <v>4.6889979772E10</v>
      </c>
      <c r="M906" s="6" t="s">
        <v>6691</v>
      </c>
      <c r="N906" s="6" t="s">
        <v>283</v>
      </c>
      <c r="O906" s="6" t="s">
        <v>178</v>
      </c>
      <c r="P906" s="10">
        <v>46032.0</v>
      </c>
    </row>
    <row r="907" ht="22.5" customHeight="1">
      <c r="A907" s="6" t="s">
        <v>6692</v>
      </c>
      <c r="B907" s="6" t="s">
        <v>6693</v>
      </c>
      <c r="C907" s="6" t="s">
        <v>6694</v>
      </c>
      <c r="D907" s="6" t="s">
        <v>206</v>
      </c>
      <c r="E907" s="6" t="s">
        <v>147</v>
      </c>
      <c r="F907" s="8">
        <v>13.0</v>
      </c>
      <c r="G907" s="9">
        <v>635.12</v>
      </c>
      <c r="H907" s="9">
        <v>4322.68</v>
      </c>
      <c r="I907" s="6" t="s">
        <v>161</v>
      </c>
      <c r="J907" s="6" t="s">
        <v>465</v>
      </c>
      <c r="K907" s="6" t="s">
        <v>6695</v>
      </c>
      <c r="L907" s="6">
        <v>6.0799415684E10</v>
      </c>
      <c r="M907" s="6" t="s">
        <v>6696</v>
      </c>
      <c r="N907" s="6" t="s">
        <v>176</v>
      </c>
      <c r="O907" s="6" t="s">
        <v>178</v>
      </c>
      <c r="P907" s="10">
        <v>45977.0</v>
      </c>
    </row>
    <row r="908" ht="22.5" customHeight="1">
      <c r="A908" s="6" t="s">
        <v>6698</v>
      </c>
      <c r="B908" s="6" t="s">
        <v>6699</v>
      </c>
      <c r="C908" s="6" t="s">
        <v>6700</v>
      </c>
      <c r="D908" s="6" t="s">
        <v>145</v>
      </c>
      <c r="E908" s="6" t="s">
        <v>301</v>
      </c>
      <c r="F908" s="8">
        <v>51.0</v>
      </c>
      <c r="G908" s="9">
        <v>1203.28</v>
      </c>
      <c r="H908" s="9">
        <v>11226.78</v>
      </c>
      <c r="I908" s="6" t="s">
        <v>161</v>
      </c>
      <c r="J908" s="6" t="s">
        <v>1584</v>
      </c>
      <c r="K908" s="6" t="s">
        <v>6702</v>
      </c>
      <c r="L908" s="6">
        <v>7.9328484586E10</v>
      </c>
      <c r="M908" s="6" t="s">
        <v>6703</v>
      </c>
      <c r="N908" s="6" t="s">
        <v>427</v>
      </c>
      <c r="O908" s="6" t="s">
        <v>178</v>
      </c>
      <c r="P908" s="10">
        <v>45978.0</v>
      </c>
    </row>
    <row r="909" ht="22.5" customHeight="1">
      <c r="A909" s="6" t="s">
        <v>6704</v>
      </c>
      <c r="B909" s="6" t="s">
        <v>6705</v>
      </c>
      <c r="C909" s="6" t="s">
        <v>6706</v>
      </c>
      <c r="D909" s="6" t="s">
        <v>145</v>
      </c>
      <c r="E909" s="6" t="s">
        <v>301</v>
      </c>
      <c r="F909" s="8">
        <v>47.0</v>
      </c>
      <c r="G909" s="9">
        <v>82.84</v>
      </c>
      <c r="H909" s="9">
        <v>958.3</v>
      </c>
      <c r="I909" s="6" t="s">
        <v>161</v>
      </c>
      <c r="J909" s="6" t="s">
        <v>393</v>
      </c>
      <c r="K909" s="6" t="s">
        <v>6708</v>
      </c>
      <c r="L909" s="6">
        <v>9.2700984217E10</v>
      </c>
      <c r="M909" s="6" t="s">
        <v>6709</v>
      </c>
      <c r="N909" s="6" t="s">
        <v>259</v>
      </c>
      <c r="O909" s="6" t="s">
        <v>178</v>
      </c>
      <c r="P909" s="10">
        <v>45990.0</v>
      </c>
    </row>
    <row r="910" ht="22.5" customHeight="1">
      <c r="A910" s="6" t="s">
        <v>6710</v>
      </c>
      <c r="B910" s="6" t="s">
        <v>6712</v>
      </c>
      <c r="C910" s="6" t="s">
        <v>6713</v>
      </c>
      <c r="D910" s="6" t="s">
        <v>206</v>
      </c>
      <c r="E910" s="6" t="s">
        <v>147</v>
      </c>
      <c r="F910" s="8">
        <v>5.0</v>
      </c>
      <c r="G910" s="9">
        <v>1274.87</v>
      </c>
      <c r="H910" s="9">
        <v>2770.49</v>
      </c>
      <c r="I910" s="6" t="s">
        <v>161</v>
      </c>
      <c r="J910" s="6" t="s">
        <v>312</v>
      </c>
      <c r="K910" s="6" t="s">
        <v>6714</v>
      </c>
      <c r="L910" s="6">
        <v>4.5655273391E10</v>
      </c>
      <c r="M910" s="6" t="s">
        <v>6715</v>
      </c>
      <c r="N910" s="6" t="s">
        <v>176</v>
      </c>
      <c r="O910" s="6" t="s">
        <v>178</v>
      </c>
      <c r="P910" s="10">
        <v>46001.0</v>
      </c>
    </row>
    <row r="911" ht="22.5" customHeight="1">
      <c r="A911" s="6" t="s">
        <v>6717</v>
      </c>
      <c r="B911" s="6" t="s">
        <v>6718</v>
      </c>
      <c r="C911" s="6" t="s">
        <v>6719</v>
      </c>
      <c r="D911" s="6" t="s">
        <v>145</v>
      </c>
      <c r="E911" s="6" t="s">
        <v>147</v>
      </c>
      <c r="F911" s="8">
        <v>28.0</v>
      </c>
      <c r="G911" s="9">
        <v>1058.58</v>
      </c>
      <c r="H911" s="9">
        <v>11560.27</v>
      </c>
      <c r="I911" s="6" t="s">
        <v>161</v>
      </c>
      <c r="J911" s="6" t="s">
        <v>465</v>
      </c>
      <c r="K911" s="6" t="s">
        <v>6721</v>
      </c>
      <c r="L911" s="6">
        <v>7.8781427376E10</v>
      </c>
      <c r="M911" s="6" t="s">
        <v>6723</v>
      </c>
      <c r="N911" s="6" t="s">
        <v>259</v>
      </c>
      <c r="O911" s="6" t="s">
        <v>178</v>
      </c>
      <c r="P911" s="10">
        <v>46045.0</v>
      </c>
    </row>
    <row r="912" ht="22.5" customHeight="1">
      <c r="A912" s="6" t="s">
        <v>6724</v>
      </c>
      <c r="B912" s="6" t="s">
        <v>6725</v>
      </c>
      <c r="C912" s="6" t="s">
        <v>6726</v>
      </c>
      <c r="D912" s="6" t="s">
        <v>206</v>
      </c>
      <c r="E912" s="6" t="s">
        <v>147</v>
      </c>
      <c r="F912" s="8">
        <v>6.0</v>
      </c>
      <c r="G912" s="9">
        <v>237.49</v>
      </c>
      <c r="H912" s="9">
        <v>9976.65</v>
      </c>
      <c r="I912" s="6" t="s">
        <v>178</v>
      </c>
      <c r="J912" s="6" t="s">
        <v>228</v>
      </c>
      <c r="K912" s="6" t="s">
        <v>6728</v>
      </c>
      <c r="L912" s="6">
        <v>1.5585774474E10</v>
      </c>
      <c r="M912" s="6" t="s">
        <v>6729</v>
      </c>
      <c r="N912" s="6" t="s">
        <v>259</v>
      </c>
      <c r="O912" s="6" t="s">
        <v>161</v>
      </c>
      <c r="P912" s="10">
        <v>46026.0</v>
      </c>
    </row>
    <row r="913" ht="22.5" customHeight="1">
      <c r="A913" s="6" t="s">
        <v>6731</v>
      </c>
      <c r="B913" s="6" t="s">
        <v>6732</v>
      </c>
      <c r="C913" s="6" t="s">
        <v>6733</v>
      </c>
      <c r="D913" s="6" t="s">
        <v>145</v>
      </c>
      <c r="E913" s="6" t="s">
        <v>301</v>
      </c>
      <c r="F913" s="8">
        <v>47.0</v>
      </c>
      <c r="G913" s="9">
        <v>1453.84</v>
      </c>
      <c r="H913" s="9">
        <v>5237.31</v>
      </c>
      <c r="I913" s="6" t="s">
        <v>161</v>
      </c>
      <c r="J913" s="6" t="s">
        <v>163</v>
      </c>
      <c r="K913" s="6" t="s">
        <v>6735</v>
      </c>
      <c r="L913" s="6">
        <v>5.2979405722E10</v>
      </c>
      <c r="M913" s="6" t="s">
        <v>6736</v>
      </c>
      <c r="N913" s="6" t="s">
        <v>112</v>
      </c>
      <c r="O913" s="6" t="s">
        <v>178</v>
      </c>
      <c r="P913" s="10">
        <v>45975.0</v>
      </c>
    </row>
    <row r="914" ht="22.5" customHeight="1">
      <c r="A914" s="6" t="s">
        <v>6738</v>
      </c>
      <c r="B914" s="6" t="s">
        <v>6739</v>
      </c>
      <c r="C914" s="6" t="s">
        <v>6740</v>
      </c>
      <c r="D914" s="6" t="s">
        <v>206</v>
      </c>
      <c r="E914" s="6" t="s">
        <v>147</v>
      </c>
      <c r="F914" s="8">
        <v>25.0</v>
      </c>
      <c r="G914" s="9">
        <v>506.17</v>
      </c>
      <c r="H914" s="9">
        <v>4651.28</v>
      </c>
      <c r="I914" s="6" t="s">
        <v>161</v>
      </c>
      <c r="J914" s="6" t="s">
        <v>163</v>
      </c>
      <c r="K914" s="6" t="s">
        <v>6742</v>
      </c>
      <c r="L914" s="6">
        <v>9.212363145E10</v>
      </c>
      <c r="M914" s="6" t="s">
        <v>6744</v>
      </c>
      <c r="N914" s="6" t="s">
        <v>283</v>
      </c>
      <c r="O914" s="6" t="s">
        <v>178</v>
      </c>
      <c r="P914" s="10">
        <v>45977.0</v>
      </c>
    </row>
    <row r="915" ht="22.5" customHeight="1">
      <c r="A915" s="6" t="s">
        <v>6745</v>
      </c>
      <c r="B915" s="6" t="s">
        <v>6747</v>
      </c>
      <c r="C915" s="6" t="s">
        <v>6748</v>
      </c>
      <c r="D915" s="6" t="s">
        <v>145</v>
      </c>
      <c r="E915" s="6" t="s">
        <v>301</v>
      </c>
      <c r="F915" s="8">
        <v>46.0</v>
      </c>
      <c r="G915" s="9">
        <v>1209.74</v>
      </c>
      <c r="H915" s="9">
        <v>10362.72</v>
      </c>
      <c r="I915" s="6" t="s">
        <v>161</v>
      </c>
      <c r="J915" s="6" t="s">
        <v>421</v>
      </c>
      <c r="K915" s="6" t="s">
        <v>6749</v>
      </c>
      <c r="L915" s="6">
        <v>8.05149709E10</v>
      </c>
      <c r="M915" s="6" t="s">
        <v>6750</v>
      </c>
      <c r="N915" s="6" t="s">
        <v>112</v>
      </c>
      <c r="O915" s="6" t="s">
        <v>178</v>
      </c>
      <c r="P915" s="10">
        <v>45993.0</v>
      </c>
    </row>
    <row r="916" ht="22.5" customHeight="1">
      <c r="A916" s="6" t="s">
        <v>6752</v>
      </c>
      <c r="B916" s="6" t="s">
        <v>6753</v>
      </c>
      <c r="C916" s="6" t="s">
        <v>6754</v>
      </c>
      <c r="D916" s="6" t="s">
        <v>145</v>
      </c>
      <c r="E916" s="6" t="s">
        <v>147</v>
      </c>
      <c r="F916" s="8">
        <v>17.0</v>
      </c>
      <c r="G916" s="9">
        <v>1232.02</v>
      </c>
      <c r="H916" s="9">
        <v>3082.71</v>
      </c>
      <c r="I916" s="6" t="s">
        <v>161</v>
      </c>
      <c r="J916" s="6" t="s">
        <v>228</v>
      </c>
      <c r="K916" s="6" t="s">
        <v>6756</v>
      </c>
      <c r="L916" s="6">
        <v>6.0502154705E10</v>
      </c>
      <c r="M916" s="6" t="s">
        <v>6757</v>
      </c>
      <c r="N916" s="6" t="s">
        <v>176</v>
      </c>
      <c r="O916" s="6" t="s">
        <v>178</v>
      </c>
      <c r="P916" s="10">
        <v>46021.0</v>
      </c>
    </row>
    <row r="917" ht="22.5" customHeight="1">
      <c r="A917" s="6" t="s">
        <v>6758</v>
      </c>
      <c r="B917" s="6" t="s">
        <v>6759</v>
      </c>
      <c r="C917" s="6" t="s">
        <v>6760</v>
      </c>
      <c r="D917" s="6" t="s">
        <v>145</v>
      </c>
      <c r="E917" s="6" t="s">
        <v>147</v>
      </c>
      <c r="F917" s="8">
        <v>12.0</v>
      </c>
      <c r="G917" s="9">
        <v>1627.71</v>
      </c>
      <c r="H917" s="9">
        <v>10571.38</v>
      </c>
      <c r="I917" s="6" t="s">
        <v>161</v>
      </c>
      <c r="J917" s="6" t="s">
        <v>421</v>
      </c>
      <c r="K917" s="6" t="s">
        <v>6761</v>
      </c>
      <c r="L917" s="6">
        <v>8.4056511416E10</v>
      </c>
      <c r="M917" s="6" t="s">
        <v>6762</v>
      </c>
      <c r="N917" s="6" t="s">
        <v>427</v>
      </c>
      <c r="O917" s="6" t="s">
        <v>178</v>
      </c>
      <c r="P917" s="10">
        <v>45987.0</v>
      </c>
    </row>
    <row r="918" ht="22.5" customHeight="1">
      <c r="A918" s="6" t="s">
        <v>6763</v>
      </c>
      <c r="B918" s="6" t="s">
        <v>6764</v>
      </c>
      <c r="C918" s="6" t="s">
        <v>6765</v>
      </c>
      <c r="D918" s="6" t="s">
        <v>383</v>
      </c>
      <c r="E918" s="6" t="s">
        <v>147</v>
      </c>
      <c r="F918" s="8">
        <v>8.0</v>
      </c>
      <c r="G918" s="9">
        <v>1249.69</v>
      </c>
      <c r="H918" s="9">
        <v>10526.76</v>
      </c>
      <c r="I918" s="6" t="s">
        <v>161</v>
      </c>
      <c r="J918" s="6" t="s">
        <v>465</v>
      </c>
      <c r="K918" s="6" t="s">
        <v>6767</v>
      </c>
      <c r="L918" s="6">
        <v>7.0978265817E10</v>
      </c>
      <c r="M918" s="6" t="s">
        <v>6768</v>
      </c>
      <c r="N918" s="6" t="s">
        <v>283</v>
      </c>
      <c r="O918" s="6" t="s">
        <v>178</v>
      </c>
      <c r="P918" s="10">
        <v>45937.0</v>
      </c>
    </row>
    <row r="919" ht="22.5" customHeight="1">
      <c r="A919" s="6" t="s">
        <v>6769</v>
      </c>
      <c r="B919" s="6" t="s">
        <v>6770</v>
      </c>
      <c r="C919" s="6" t="s">
        <v>6771</v>
      </c>
      <c r="D919" s="6" t="s">
        <v>206</v>
      </c>
      <c r="E919" s="6" t="s">
        <v>147</v>
      </c>
      <c r="F919" s="8">
        <v>13.0</v>
      </c>
      <c r="G919" s="9">
        <v>566.62</v>
      </c>
      <c r="H919" s="9">
        <v>13806.61</v>
      </c>
      <c r="I919" s="6" t="s">
        <v>161</v>
      </c>
      <c r="J919" s="6" t="s">
        <v>312</v>
      </c>
      <c r="K919" s="6" t="s">
        <v>6773</v>
      </c>
      <c r="L919" s="6">
        <v>2.6023480412E10</v>
      </c>
      <c r="M919" s="6" t="s">
        <v>6774</v>
      </c>
      <c r="N919" s="6" t="s">
        <v>259</v>
      </c>
      <c r="O919" s="6" t="s">
        <v>161</v>
      </c>
      <c r="P919" s="10">
        <v>46042.0</v>
      </c>
    </row>
    <row r="920" ht="22.5" customHeight="1">
      <c r="A920" s="6" t="s">
        <v>6775</v>
      </c>
      <c r="B920" s="6" t="s">
        <v>6776</v>
      </c>
      <c r="C920" s="6" t="s">
        <v>6777</v>
      </c>
      <c r="D920" s="6" t="s">
        <v>145</v>
      </c>
      <c r="E920" s="6" t="s">
        <v>210</v>
      </c>
      <c r="F920" s="8">
        <v>61.0</v>
      </c>
      <c r="G920" s="9">
        <v>947.47</v>
      </c>
      <c r="H920" s="9">
        <v>9314.35</v>
      </c>
      <c r="I920" s="6" t="s">
        <v>178</v>
      </c>
      <c r="J920" s="6" t="s">
        <v>479</v>
      </c>
      <c r="K920" s="6" t="s">
        <v>6779</v>
      </c>
      <c r="L920" s="6">
        <v>7.6260948727E10</v>
      </c>
      <c r="M920" s="6" t="s">
        <v>6780</v>
      </c>
      <c r="N920" s="6" t="s">
        <v>427</v>
      </c>
      <c r="O920" s="6" t="s">
        <v>161</v>
      </c>
      <c r="P920" s="10">
        <v>45963.0</v>
      </c>
    </row>
    <row r="921" ht="22.5" customHeight="1">
      <c r="A921" s="6" t="s">
        <v>6781</v>
      </c>
      <c r="B921" s="6" t="s">
        <v>6782</v>
      </c>
      <c r="C921" s="6" t="s">
        <v>6783</v>
      </c>
      <c r="D921" s="6" t="s">
        <v>145</v>
      </c>
      <c r="E921" s="6" t="s">
        <v>147</v>
      </c>
      <c r="F921" s="8">
        <v>19.0</v>
      </c>
      <c r="G921" s="9">
        <v>1374.01</v>
      </c>
      <c r="H921" s="9">
        <v>6983.02</v>
      </c>
      <c r="I921" s="6" t="s">
        <v>161</v>
      </c>
      <c r="J921" s="6" t="s">
        <v>393</v>
      </c>
      <c r="K921" s="6" t="s">
        <v>6785</v>
      </c>
      <c r="L921" s="6">
        <v>7.6796490209E10</v>
      </c>
      <c r="M921" s="6" t="s">
        <v>6786</v>
      </c>
      <c r="N921" s="6" t="s">
        <v>259</v>
      </c>
      <c r="O921" s="6" t="s">
        <v>178</v>
      </c>
      <c r="P921" s="10">
        <v>45932.0</v>
      </c>
    </row>
    <row r="922" ht="22.5" customHeight="1">
      <c r="A922" s="6" t="s">
        <v>6787</v>
      </c>
      <c r="B922" s="6" t="s">
        <v>6788</v>
      </c>
      <c r="C922" s="6" t="s">
        <v>6789</v>
      </c>
      <c r="D922" s="6" t="s">
        <v>206</v>
      </c>
      <c r="E922" s="6" t="s">
        <v>147</v>
      </c>
      <c r="F922" s="8">
        <v>18.0</v>
      </c>
      <c r="G922" s="9">
        <v>677.79</v>
      </c>
      <c r="H922" s="9">
        <v>8070.39</v>
      </c>
      <c r="I922" s="6" t="s">
        <v>161</v>
      </c>
      <c r="J922" s="6" t="s">
        <v>357</v>
      </c>
      <c r="K922" s="6" t="s">
        <v>6791</v>
      </c>
      <c r="L922" s="6">
        <v>5.3176227942E10</v>
      </c>
      <c r="M922" s="6" t="s">
        <v>6792</v>
      </c>
      <c r="N922" s="6" t="s">
        <v>176</v>
      </c>
      <c r="O922" s="6" t="s">
        <v>178</v>
      </c>
      <c r="P922" s="10">
        <v>45969.0</v>
      </c>
    </row>
    <row r="923" ht="22.5" customHeight="1">
      <c r="A923" s="6" t="s">
        <v>6793</v>
      </c>
      <c r="B923" s="6" t="s">
        <v>6794</v>
      </c>
      <c r="C923" s="6" t="s">
        <v>6795</v>
      </c>
      <c r="D923" s="6" t="s">
        <v>145</v>
      </c>
      <c r="E923" s="6" t="s">
        <v>301</v>
      </c>
      <c r="F923" s="8">
        <v>45.0</v>
      </c>
      <c r="G923" s="9">
        <v>723.95</v>
      </c>
      <c r="H923" s="9">
        <v>13013.63</v>
      </c>
      <c r="I923" s="6" t="s">
        <v>161</v>
      </c>
      <c r="J923" s="6" t="s">
        <v>421</v>
      </c>
      <c r="K923" s="6" t="s">
        <v>6796</v>
      </c>
      <c r="L923" s="6">
        <v>1.308876067E9</v>
      </c>
      <c r="M923" s="6" t="s">
        <v>6797</v>
      </c>
      <c r="N923" s="6" t="s">
        <v>259</v>
      </c>
      <c r="O923" s="6" t="s">
        <v>178</v>
      </c>
      <c r="P923" s="10">
        <v>45947.0</v>
      </c>
    </row>
    <row r="924" ht="22.5" customHeight="1">
      <c r="A924" s="6" t="s">
        <v>6799</v>
      </c>
      <c r="B924" s="6" t="s">
        <v>6800</v>
      </c>
      <c r="C924" s="6" t="s">
        <v>6801</v>
      </c>
      <c r="D924" s="6" t="s">
        <v>206</v>
      </c>
      <c r="E924" s="6" t="s">
        <v>210</v>
      </c>
      <c r="F924" s="8">
        <v>83.0</v>
      </c>
      <c r="G924" s="9">
        <v>245.44</v>
      </c>
      <c r="H924" s="9">
        <v>3926.01</v>
      </c>
      <c r="I924" s="6" t="s">
        <v>178</v>
      </c>
      <c r="J924" s="6" t="s">
        <v>312</v>
      </c>
      <c r="K924" s="6" t="s">
        <v>6802</v>
      </c>
      <c r="L924" s="6">
        <v>7.5875336502E10</v>
      </c>
      <c r="M924" s="6" t="s">
        <v>6803</v>
      </c>
      <c r="N924" s="6" t="s">
        <v>259</v>
      </c>
      <c r="O924" s="6" t="s">
        <v>161</v>
      </c>
      <c r="P924" s="10">
        <v>45994.0</v>
      </c>
    </row>
    <row r="925" ht="22.5" customHeight="1">
      <c r="A925" s="6" t="s">
        <v>6804</v>
      </c>
      <c r="B925" s="6" t="s">
        <v>6806</v>
      </c>
      <c r="C925" s="6" t="s">
        <v>6807</v>
      </c>
      <c r="D925" s="6" t="s">
        <v>206</v>
      </c>
      <c r="E925" s="6" t="s">
        <v>210</v>
      </c>
      <c r="F925" s="8">
        <v>70.0</v>
      </c>
      <c r="G925" s="9">
        <v>104.98</v>
      </c>
      <c r="H925" s="9">
        <v>11593.44</v>
      </c>
      <c r="I925" s="6" t="s">
        <v>161</v>
      </c>
      <c r="J925" s="6" t="s">
        <v>577</v>
      </c>
      <c r="K925" s="6" t="s">
        <v>6808</v>
      </c>
      <c r="L925" s="6">
        <v>2.248096377E9</v>
      </c>
      <c r="M925" s="6" t="s">
        <v>6809</v>
      </c>
      <c r="N925" s="6" t="s">
        <v>176</v>
      </c>
      <c r="O925" s="6" t="s">
        <v>161</v>
      </c>
      <c r="P925" s="10">
        <v>45942.0</v>
      </c>
    </row>
    <row r="926" ht="22.5" customHeight="1">
      <c r="A926" s="6" t="s">
        <v>6810</v>
      </c>
      <c r="B926" s="6" t="s">
        <v>6811</v>
      </c>
      <c r="C926" s="6" t="s">
        <v>6812</v>
      </c>
      <c r="D926" s="6" t="s">
        <v>206</v>
      </c>
      <c r="E926" s="6" t="s">
        <v>210</v>
      </c>
      <c r="F926" s="8">
        <v>81.0</v>
      </c>
      <c r="G926" s="9">
        <v>1624.51</v>
      </c>
      <c r="H926" s="9">
        <v>13541.12</v>
      </c>
      <c r="I926" s="6" t="s">
        <v>178</v>
      </c>
      <c r="J926" s="6" t="s">
        <v>312</v>
      </c>
      <c r="K926" s="6" t="s">
        <v>6814</v>
      </c>
      <c r="L926" s="6">
        <v>1.0340950842E10</v>
      </c>
      <c r="M926" s="6" t="s">
        <v>6815</v>
      </c>
      <c r="N926" s="6" t="s">
        <v>283</v>
      </c>
      <c r="O926" s="6" t="s">
        <v>161</v>
      </c>
      <c r="P926" s="10">
        <v>46046.0</v>
      </c>
    </row>
    <row r="927" ht="22.5" customHeight="1">
      <c r="A927" s="6" t="s">
        <v>6816</v>
      </c>
      <c r="B927" s="6" t="s">
        <v>6817</v>
      </c>
      <c r="C927" s="6" t="s">
        <v>6818</v>
      </c>
      <c r="D927" s="6" t="s">
        <v>206</v>
      </c>
      <c r="E927" s="6" t="s">
        <v>301</v>
      </c>
      <c r="F927" s="8">
        <v>45.0</v>
      </c>
      <c r="G927" s="9">
        <v>831.76</v>
      </c>
      <c r="H927" s="9">
        <v>9431.82</v>
      </c>
      <c r="I927" s="6" t="s">
        <v>161</v>
      </c>
      <c r="J927" s="6" t="s">
        <v>479</v>
      </c>
      <c r="K927" s="6" t="s">
        <v>6820</v>
      </c>
      <c r="L927" s="6">
        <v>2.1509271991E10</v>
      </c>
      <c r="M927" s="6" t="s">
        <v>6821</v>
      </c>
      <c r="N927" s="6" t="s">
        <v>427</v>
      </c>
      <c r="O927" s="6" t="s">
        <v>178</v>
      </c>
      <c r="P927" s="10">
        <v>45963.0</v>
      </c>
    </row>
    <row r="928" ht="22.5" customHeight="1">
      <c r="A928" s="6" t="s">
        <v>6822</v>
      </c>
      <c r="B928" s="6" t="s">
        <v>6823</v>
      </c>
      <c r="C928" s="6" t="s">
        <v>6824</v>
      </c>
      <c r="D928" s="6" t="s">
        <v>383</v>
      </c>
      <c r="E928" s="6" t="s">
        <v>147</v>
      </c>
      <c r="F928" s="8">
        <v>8.0</v>
      </c>
      <c r="G928" s="9">
        <v>503.73</v>
      </c>
      <c r="H928" s="9">
        <v>11593.35</v>
      </c>
      <c r="I928" s="6" t="s">
        <v>161</v>
      </c>
      <c r="J928" s="6" t="s">
        <v>421</v>
      </c>
      <c r="K928" s="6" t="s">
        <v>6825</v>
      </c>
      <c r="L928" s="6">
        <v>5.6436618832E10</v>
      </c>
      <c r="M928" s="6" t="s">
        <v>6826</v>
      </c>
      <c r="N928" s="6" t="s">
        <v>427</v>
      </c>
      <c r="O928" s="6" t="s">
        <v>178</v>
      </c>
      <c r="P928" s="10">
        <v>46040.0</v>
      </c>
    </row>
    <row r="929" ht="22.5" customHeight="1">
      <c r="A929" s="6" t="s">
        <v>6827</v>
      </c>
      <c r="B929" s="6" t="s">
        <v>6828</v>
      </c>
      <c r="C929" s="6" t="s">
        <v>6829</v>
      </c>
      <c r="D929" s="6" t="s">
        <v>206</v>
      </c>
      <c r="E929" s="6" t="s">
        <v>301</v>
      </c>
      <c r="F929" s="8">
        <v>45.0</v>
      </c>
      <c r="G929" s="9">
        <v>1116.23</v>
      </c>
      <c r="H929" s="9">
        <v>5437.67</v>
      </c>
      <c r="I929" s="6" t="s">
        <v>161</v>
      </c>
      <c r="J929" s="6" t="s">
        <v>479</v>
      </c>
      <c r="K929" s="6" t="s">
        <v>6831</v>
      </c>
      <c r="L929" s="6">
        <v>7.5510648949E10</v>
      </c>
      <c r="M929" s="6" t="s">
        <v>6832</v>
      </c>
      <c r="N929" s="6" t="s">
        <v>112</v>
      </c>
      <c r="O929" s="6" t="s">
        <v>178</v>
      </c>
      <c r="P929" s="10">
        <v>45966.0</v>
      </c>
    </row>
    <row r="930" ht="22.5" customHeight="1">
      <c r="A930" s="6" t="s">
        <v>6833</v>
      </c>
      <c r="B930" s="6" t="s">
        <v>6834</v>
      </c>
      <c r="C930" s="6" t="s">
        <v>6835</v>
      </c>
      <c r="D930" s="6" t="s">
        <v>206</v>
      </c>
      <c r="E930" s="6" t="s">
        <v>301</v>
      </c>
      <c r="F930" s="8">
        <v>45.0</v>
      </c>
      <c r="G930" s="9">
        <v>773.35</v>
      </c>
      <c r="H930" s="9">
        <v>8875.63</v>
      </c>
      <c r="I930" s="6" t="s">
        <v>161</v>
      </c>
      <c r="J930" s="6" t="s">
        <v>421</v>
      </c>
      <c r="K930" s="6" t="s">
        <v>6836</v>
      </c>
      <c r="L930" s="6">
        <v>1.9031645723E10</v>
      </c>
      <c r="M930" s="6" t="s">
        <v>6838</v>
      </c>
      <c r="N930" s="6" t="s">
        <v>259</v>
      </c>
      <c r="O930" s="6" t="s">
        <v>178</v>
      </c>
      <c r="P930" s="10">
        <v>46028.0</v>
      </c>
    </row>
    <row r="931" ht="22.5" customHeight="1">
      <c r="A931" s="6" t="s">
        <v>6839</v>
      </c>
      <c r="B931" s="6" t="s">
        <v>6840</v>
      </c>
      <c r="C931" s="6" t="s">
        <v>6841</v>
      </c>
      <c r="D931" s="6" t="s">
        <v>206</v>
      </c>
      <c r="E931" s="6" t="s">
        <v>301</v>
      </c>
      <c r="F931" s="8">
        <v>59.0</v>
      </c>
      <c r="G931" s="9">
        <v>266.52</v>
      </c>
      <c r="H931" s="9">
        <v>10089.35</v>
      </c>
      <c r="I931" s="6" t="s">
        <v>161</v>
      </c>
      <c r="J931" s="6" t="s">
        <v>393</v>
      </c>
      <c r="K931" s="6" t="s">
        <v>6842</v>
      </c>
      <c r="L931" s="6">
        <v>2.7205736773E10</v>
      </c>
      <c r="M931" s="6" t="s">
        <v>6843</v>
      </c>
      <c r="N931" s="6" t="s">
        <v>176</v>
      </c>
      <c r="O931" s="6" t="s">
        <v>178</v>
      </c>
      <c r="P931" s="10">
        <v>45966.0</v>
      </c>
    </row>
    <row r="932" ht="22.5" customHeight="1">
      <c r="A932" s="6" t="s">
        <v>6845</v>
      </c>
      <c r="B932" s="6" t="s">
        <v>6846</v>
      </c>
      <c r="C932" s="6" t="s">
        <v>6847</v>
      </c>
      <c r="D932" s="6" t="s">
        <v>145</v>
      </c>
      <c r="E932" s="6" t="s">
        <v>147</v>
      </c>
      <c r="F932" s="8">
        <v>7.0</v>
      </c>
      <c r="G932" s="9">
        <v>747.89</v>
      </c>
      <c r="H932" s="9">
        <v>14078.27</v>
      </c>
      <c r="I932" s="6" t="s">
        <v>161</v>
      </c>
      <c r="J932" s="6" t="s">
        <v>163</v>
      </c>
      <c r="K932" s="6" t="s">
        <v>6848</v>
      </c>
      <c r="L932" s="6">
        <v>1.321857018E9</v>
      </c>
      <c r="M932" s="6" t="s">
        <v>6849</v>
      </c>
      <c r="N932" s="6" t="s">
        <v>112</v>
      </c>
      <c r="O932" s="6" t="s">
        <v>178</v>
      </c>
      <c r="P932" s="10">
        <v>45957.0</v>
      </c>
    </row>
    <row r="933" ht="22.5" customHeight="1">
      <c r="A933" s="6" t="s">
        <v>6850</v>
      </c>
      <c r="B933" s="6" t="s">
        <v>6851</v>
      </c>
      <c r="C933" s="6" t="s">
        <v>6852</v>
      </c>
      <c r="D933" s="6" t="s">
        <v>145</v>
      </c>
      <c r="E933" s="6" t="s">
        <v>210</v>
      </c>
      <c r="F933" s="8">
        <v>112.0</v>
      </c>
      <c r="G933" s="9">
        <v>612.66</v>
      </c>
      <c r="H933" s="9">
        <v>4888.77</v>
      </c>
      <c r="I933" s="6" t="s">
        <v>178</v>
      </c>
      <c r="J933" s="6" t="s">
        <v>479</v>
      </c>
      <c r="K933" s="6" t="s">
        <v>6854</v>
      </c>
      <c r="L933" s="6">
        <v>1.7135687807E10</v>
      </c>
      <c r="M933" s="6" t="s">
        <v>6855</v>
      </c>
      <c r="N933" s="6" t="s">
        <v>112</v>
      </c>
      <c r="O933" s="6" t="s">
        <v>161</v>
      </c>
      <c r="P933" s="10">
        <v>45993.0</v>
      </c>
    </row>
    <row r="934" ht="22.5" customHeight="1">
      <c r="A934" s="6" t="s">
        <v>6856</v>
      </c>
      <c r="B934" s="6" t="s">
        <v>6857</v>
      </c>
      <c r="C934" s="6" t="s">
        <v>6858</v>
      </c>
      <c r="D934" s="6" t="s">
        <v>206</v>
      </c>
      <c r="E934" s="6" t="s">
        <v>147</v>
      </c>
      <c r="F934" s="8">
        <v>9.0</v>
      </c>
      <c r="G934" s="9">
        <v>193.04</v>
      </c>
      <c r="H934" s="9">
        <v>6678.39</v>
      </c>
      <c r="I934" s="6" t="s">
        <v>161</v>
      </c>
      <c r="J934" s="6" t="s">
        <v>577</v>
      </c>
      <c r="K934" s="6" t="s">
        <v>6859</v>
      </c>
      <c r="L934" s="6">
        <v>4.992480194E9</v>
      </c>
      <c r="M934" s="6" t="s">
        <v>6860</v>
      </c>
      <c r="N934" s="6" t="s">
        <v>112</v>
      </c>
      <c r="O934" s="6" t="s">
        <v>178</v>
      </c>
      <c r="P934" s="10">
        <v>46023.0</v>
      </c>
    </row>
    <row r="935" ht="22.5" customHeight="1">
      <c r="A935" s="6" t="s">
        <v>6862</v>
      </c>
      <c r="B935" s="6" t="s">
        <v>6863</v>
      </c>
      <c r="C935" s="6" t="s">
        <v>6864</v>
      </c>
      <c r="D935" s="6" t="s">
        <v>145</v>
      </c>
      <c r="E935" s="6" t="s">
        <v>301</v>
      </c>
      <c r="F935" s="8">
        <v>51.0</v>
      </c>
      <c r="G935" s="9">
        <v>130.8</v>
      </c>
      <c r="H935" s="9">
        <v>13081.81</v>
      </c>
      <c r="I935" s="6" t="s">
        <v>161</v>
      </c>
      <c r="J935" s="6" t="s">
        <v>465</v>
      </c>
      <c r="K935" s="6" t="s">
        <v>6865</v>
      </c>
      <c r="L935" s="6">
        <v>9.9574347657E10</v>
      </c>
      <c r="M935" s="6" t="s">
        <v>6866</v>
      </c>
      <c r="N935" s="6" t="s">
        <v>283</v>
      </c>
      <c r="O935" s="6" t="s">
        <v>178</v>
      </c>
      <c r="P935" s="10">
        <v>45949.0</v>
      </c>
    </row>
    <row r="936" ht="22.5" customHeight="1">
      <c r="A936" s="6" t="s">
        <v>6867</v>
      </c>
      <c r="B936" s="6" t="s">
        <v>6868</v>
      </c>
      <c r="C936" s="6" t="s">
        <v>6869</v>
      </c>
      <c r="D936" s="6" t="s">
        <v>145</v>
      </c>
      <c r="E936" s="6" t="s">
        <v>147</v>
      </c>
      <c r="F936" s="8">
        <v>18.0</v>
      </c>
      <c r="G936" s="9">
        <v>613.98</v>
      </c>
      <c r="H936" s="9">
        <v>6099.84</v>
      </c>
      <c r="I936" s="6" t="s">
        <v>161</v>
      </c>
      <c r="J936" s="6" t="s">
        <v>479</v>
      </c>
      <c r="K936" s="6" t="s">
        <v>6871</v>
      </c>
      <c r="L936" s="6" t="s">
        <v>259</v>
      </c>
      <c r="M936" s="6" t="s">
        <v>6872</v>
      </c>
      <c r="N936" s="6" t="s">
        <v>283</v>
      </c>
      <c r="O936" s="6" t="s">
        <v>178</v>
      </c>
      <c r="P936" s="10">
        <v>46022.0</v>
      </c>
    </row>
    <row r="937" ht="22.5" customHeight="1">
      <c r="A937" s="6" t="s">
        <v>6873</v>
      </c>
      <c r="B937" s="6" t="s">
        <v>6874</v>
      </c>
      <c r="C937" s="6" t="s">
        <v>6875</v>
      </c>
      <c r="D937" s="6" t="s">
        <v>145</v>
      </c>
      <c r="E937" s="6" t="s">
        <v>301</v>
      </c>
      <c r="F937" s="8">
        <v>53.0</v>
      </c>
      <c r="G937" s="9">
        <v>638.99</v>
      </c>
      <c r="H937" s="9">
        <v>1953.62</v>
      </c>
      <c r="I937" s="6" t="s">
        <v>161</v>
      </c>
      <c r="J937" s="6" t="s">
        <v>312</v>
      </c>
      <c r="K937" s="6" t="s">
        <v>6877</v>
      </c>
      <c r="L937" s="6">
        <v>8.3586073818E10</v>
      </c>
      <c r="M937" s="6" t="s">
        <v>6878</v>
      </c>
      <c r="N937" s="6" t="s">
        <v>259</v>
      </c>
      <c r="O937" s="6" t="s">
        <v>178</v>
      </c>
      <c r="P937" s="10">
        <v>45963.0</v>
      </c>
    </row>
    <row r="938" ht="22.5" customHeight="1">
      <c r="A938" s="6" t="s">
        <v>6879</v>
      </c>
      <c r="B938" s="6" t="s">
        <v>6880</v>
      </c>
      <c r="C938" s="6" t="s">
        <v>6881</v>
      </c>
      <c r="D938" s="6" t="s">
        <v>145</v>
      </c>
      <c r="E938" s="6" t="s">
        <v>210</v>
      </c>
      <c r="F938" s="8">
        <v>90.0</v>
      </c>
      <c r="G938" s="9">
        <v>980.43</v>
      </c>
      <c r="H938" s="9">
        <v>11375.99</v>
      </c>
      <c r="I938" s="6" t="s">
        <v>178</v>
      </c>
      <c r="J938" s="6" t="s">
        <v>228</v>
      </c>
      <c r="K938" s="6" t="s">
        <v>6882</v>
      </c>
      <c r="L938" s="6">
        <v>5.4328370606E10</v>
      </c>
      <c r="M938" s="6" t="s">
        <v>6883</v>
      </c>
      <c r="N938" s="6" t="s">
        <v>259</v>
      </c>
      <c r="O938" s="6" t="s">
        <v>161</v>
      </c>
      <c r="P938" s="10">
        <v>45949.0</v>
      </c>
    </row>
    <row r="939" ht="22.5" customHeight="1">
      <c r="A939" s="6" t="s">
        <v>6885</v>
      </c>
      <c r="B939" s="6" t="s">
        <v>6886</v>
      </c>
      <c r="C939" s="6" t="s">
        <v>6887</v>
      </c>
      <c r="D939" s="6" t="s">
        <v>206</v>
      </c>
      <c r="E939" s="6" t="s">
        <v>147</v>
      </c>
      <c r="F939" s="8">
        <v>24.0</v>
      </c>
      <c r="G939" s="9">
        <v>832.55</v>
      </c>
      <c r="H939" s="9">
        <v>10899.97</v>
      </c>
      <c r="I939" s="6" t="s">
        <v>161</v>
      </c>
      <c r="J939" s="6" t="s">
        <v>312</v>
      </c>
      <c r="K939" s="6" t="s">
        <v>6888</v>
      </c>
      <c r="L939" s="6">
        <v>8.4402824825E10</v>
      </c>
      <c r="M939" s="6" t="s">
        <v>6889</v>
      </c>
      <c r="N939" s="6" t="s">
        <v>427</v>
      </c>
      <c r="O939" s="6" t="s">
        <v>178</v>
      </c>
      <c r="P939" s="10">
        <v>45998.0</v>
      </c>
    </row>
    <row r="940" ht="22.5" customHeight="1">
      <c r="A940" s="6" t="s">
        <v>6890</v>
      </c>
      <c r="B940" s="6" t="s">
        <v>6891</v>
      </c>
      <c r="C940" s="6" t="s">
        <v>6892</v>
      </c>
      <c r="D940" s="6" t="s">
        <v>145</v>
      </c>
      <c r="E940" s="6" t="s">
        <v>301</v>
      </c>
      <c r="F940" s="8">
        <v>57.0</v>
      </c>
      <c r="G940" s="9">
        <v>1307.55</v>
      </c>
      <c r="H940" s="9">
        <v>2805.16</v>
      </c>
      <c r="I940" s="6" t="s">
        <v>161</v>
      </c>
      <c r="J940" s="6" t="s">
        <v>357</v>
      </c>
      <c r="K940" s="6" t="s">
        <v>6894</v>
      </c>
      <c r="L940" s="6">
        <v>7.9642135731E10</v>
      </c>
      <c r="M940" s="6" t="s">
        <v>6895</v>
      </c>
      <c r="N940" s="6" t="s">
        <v>259</v>
      </c>
      <c r="O940" s="6" t="s">
        <v>178</v>
      </c>
      <c r="P940" s="10">
        <v>45968.0</v>
      </c>
    </row>
    <row r="941" ht="22.5" customHeight="1">
      <c r="A941" s="6" t="s">
        <v>6896</v>
      </c>
      <c r="B941" s="6" t="s">
        <v>6897</v>
      </c>
      <c r="C941" s="6" t="s">
        <v>4280</v>
      </c>
      <c r="D941" s="6" t="s">
        <v>145</v>
      </c>
      <c r="E941" s="6" t="s">
        <v>301</v>
      </c>
      <c r="F941" s="8">
        <v>38.0</v>
      </c>
      <c r="G941" s="9">
        <v>525.11</v>
      </c>
      <c r="H941" s="9">
        <v>12785.67</v>
      </c>
      <c r="I941" s="6" t="s">
        <v>161</v>
      </c>
      <c r="J941" s="6" t="s">
        <v>1229</v>
      </c>
      <c r="K941" s="6" t="s">
        <v>6899</v>
      </c>
      <c r="L941" s="6">
        <v>8.190544531E9</v>
      </c>
      <c r="M941" s="6" t="s">
        <v>6900</v>
      </c>
      <c r="N941" s="6" t="s">
        <v>283</v>
      </c>
      <c r="O941" s="6" t="s">
        <v>178</v>
      </c>
      <c r="P941" s="10">
        <v>45972.0</v>
      </c>
    </row>
    <row r="942" ht="22.5" customHeight="1">
      <c r="A942" s="6" t="s">
        <v>6901</v>
      </c>
      <c r="B942" s="6" t="s">
        <v>6902</v>
      </c>
      <c r="C942" s="6" t="s">
        <v>6903</v>
      </c>
      <c r="D942" s="6" t="s">
        <v>145</v>
      </c>
      <c r="E942" s="6" t="s">
        <v>147</v>
      </c>
      <c r="F942" s="8">
        <v>12.0</v>
      </c>
      <c r="G942" s="9">
        <v>1420.25</v>
      </c>
      <c r="H942" s="9">
        <v>5977.33</v>
      </c>
      <c r="I942" s="6" t="s">
        <v>161</v>
      </c>
      <c r="J942" s="6" t="s">
        <v>4705</v>
      </c>
      <c r="K942" s="6" t="s">
        <v>6904</v>
      </c>
      <c r="L942" s="6">
        <v>5.9182867945E10</v>
      </c>
      <c r="M942" s="6" t="s">
        <v>6905</v>
      </c>
      <c r="N942" s="6" t="s">
        <v>112</v>
      </c>
      <c r="O942" s="6" t="s">
        <v>6373</v>
      </c>
      <c r="P942" s="10">
        <v>45978.0</v>
      </c>
    </row>
    <row r="943" ht="22.5" customHeight="1">
      <c r="A943" s="6" t="s">
        <v>6907</v>
      </c>
      <c r="B943" s="6" t="s">
        <v>6908</v>
      </c>
      <c r="C943" s="6" t="s">
        <v>6909</v>
      </c>
      <c r="D943" s="6" t="s">
        <v>145</v>
      </c>
      <c r="E943" s="6" t="s">
        <v>147</v>
      </c>
      <c r="F943" s="8">
        <v>28.0</v>
      </c>
      <c r="G943" s="9">
        <v>765.48</v>
      </c>
      <c r="H943" s="9">
        <v>10824.73</v>
      </c>
      <c r="I943" s="6" t="s">
        <v>161</v>
      </c>
      <c r="J943" s="6" t="s">
        <v>163</v>
      </c>
      <c r="K943" s="6" t="s">
        <v>6910</v>
      </c>
      <c r="L943" s="6">
        <v>5.1560865643E10</v>
      </c>
      <c r="M943" s="6" t="s">
        <v>6911</v>
      </c>
      <c r="N943" s="6" t="s">
        <v>283</v>
      </c>
      <c r="O943" s="6" t="s">
        <v>178</v>
      </c>
      <c r="P943" s="10">
        <v>46035.0</v>
      </c>
    </row>
    <row r="944" ht="22.5" customHeight="1">
      <c r="A944" s="6" t="s">
        <v>6912</v>
      </c>
      <c r="B944" s="6" t="s">
        <v>6913</v>
      </c>
      <c r="C944" s="6" t="s">
        <v>6914</v>
      </c>
      <c r="D944" s="6" t="s">
        <v>145</v>
      </c>
      <c r="E944" s="6" t="s">
        <v>301</v>
      </c>
      <c r="F944" s="8">
        <v>52.0</v>
      </c>
      <c r="G944" s="9">
        <v>1552.33</v>
      </c>
      <c r="H944" s="9">
        <v>2587.01</v>
      </c>
      <c r="I944" s="6" t="s">
        <v>161</v>
      </c>
      <c r="J944" s="6" t="s">
        <v>577</v>
      </c>
      <c r="K944" s="6" t="s">
        <v>6916</v>
      </c>
      <c r="L944" s="6">
        <v>2.8945455281E10</v>
      </c>
      <c r="M944" s="6" t="s">
        <v>6917</v>
      </c>
      <c r="N944" s="6" t="s">
        <v>283</v>
      </c>
      <c r="O944" s="6" t="s">
        <v>178</v>
      </c>
      <c r="P944" s="10">
        <v>45981.0</v>
      </c>
    </row>
    <row r="945" ht="22.5" customHeight="1">
      <c r="A945" s="6" t="s">
        <v>6918</v>
      </c>
      <c r="B945" s="6" t="s">
        <v>6919</v>
      </c>
      <c r="C945" s="6" t="s">
        <v>6920</v>
      </c>
      <c r="D945" s="6" t="s">
        <v>383</v>
      </c>
      <c r="E945" s="6" t="s">
        <v>147</v>
      </c>
      <c r="F945" s="8">
        <v>15.0</v>
      </c>
      <c r="G945" s="9">
        <v>1118.92</v>
      </c>
      <c r="H945" s="9">
        <v>10254.06</v>
      </c>
      <c r="I945" s="6" t="s">
        <v>161</v>
      </c>
      <c r="J945" s="6" t="s">
        <v>393</v>
      </c>
      <c r="K945" s="6" t="s">
        <v>6921</v>
      </c>
      <c r="L945" s="6">
        <v>6.1794354819E10</v>
      </c>
      <c r="M945" s="6" t="s">
        <v>6923</v>
      </c>
      <c r="N945" s="6" t="s">
        <v>283</v>
      </c>
      <c r="O945" s="6" t="s">
        <v>178</v>
      </c>
      <c r="P945" s="10">
        <v>46018.0</v>
      </c>
    </row>
    <row r="946" ht="22.5" customHeight="1">
      <c r="A946" s="6" t="s">
        <v>6924</v>
      </c>
      <c r="B946" s="6" t="s">
        <v>6925</v>
      </c>
      <c r="C946" s="6" t="s">
        <v>6926</v>
      </c>
      <c r="D946" s="6" t="s">
        <v>206</v>
      </c>
      <c r="E946" s="6" t="s">
        <v>301</v>
      </c>
      <c r="F946" s="8">
        <v>53.0</v>
      </c>
      <c r="G946" s="9">
        <v>1312.05</v>
      </c>
      <c r="H946" s="9">
        <v>3555.47</v>
      </c>
      <c r="I946" s="6" t="s">
        <v>161</v>
      </c>
      <c r="J946" s="6" t="s">
        <v>577</v>
      </c>
      <c r="K946" s="6" t="s">
        <v>6927</v>
      </c>
      <c r="L946" s="6">
        <v>4.9514935001E10</v>
      </c>
      <c r="M946" s="6" t="s">
        <v>6928</v>
      </c>
      <c r="N946" s="6" t="s">
        <v>427</v>
      </c>
      <c r="O946" s="6" t="s">
        <v>178</v>
      </c>
      <c r="P946" s="10">
        <v>45990.0</v>
      </c>
    </row>
    <row r="947" ht="22.5" customHeight="1">
      <c r="A947" s="6" t="s">
        <v>6929</v>
      </c>
      <c r="B947" s="6" t="s">
        <v>6931</v>
      </c>
      <c r="C947" s="6" t="s">
        <v>6932</v>
      </c>
      <c r="D947" s="6" t="s">
        <v>145</v>
      </c>
      <c r="E947" s="6" t="s">
        <v>301</v>
      </c>
      <c r="F947" s="8">
        <v>46.0</v>
      </c>
      <c r="G947" s="9">
        <v>1728.8</v>
      </c>
      <c r="H947" s="9">
        <v>12169.04</v>
      </c>
      <c r="I947" s="6" t="s">
        <v>161</v>
      </c>
      <c r="J947" s="6" t="s">
        <v>421</v>
      </c>
      <c r="K947" s="6" t="s">
        <v>5350</v>
      </c>
      <c r="L947" s="6">
        <v>3.5555893728E10</v>
      </c>
      <c r="M947" s="6" t="s">
        <v>6933</v>
      </c>
      <c r="N947" s="6" t="s">
        <v>259</v>
      </c>
      <c r="O947" s="6" t="s">
        <v>178</v>
      </c>
      <c r="P947" s="10">
        <v>45941.0</v>
      </c>
    </row>
    <row r="948" ht="22.5" customHeight="1">
      <c r="A948" s="6" t="s">
        <v>6934</v>
      </c>
      <c r="B948" s="6" t="s">
        <v>6935</v>
      </c>
      <c r="C948" s="6" t="s">
        <v>6936</v>
      </c>
      <c r="D948" s="6" t="s">
        <v>206</v>
      </c>
      <c r="E948" s="6" t="s">
        <v>147</v>
      </c>
      <c r="F948" s="8">
        <v>26.0</v>
      </c>
      <c r="G948" s="9">
        <v>1321.72</v>
      </c>
      <c r="H948" s="9">
        <v>6275.24</v>
      </c>
      <c r="I948" s="6" t="s">
        <v>161</v>
      </c>
      <c r="J948" s="6" t="s">
        <v>163</v>
      </c>
      <c r="K948" s="6" t="s">
        <v>6938</v>
      </c>
      <c r="L948" s="6">
        <v>7.049647247E10</v>
      </c>
      <c r="M948" s="6" t="s">
        <v>6939</v>
      </c>
      <c r="N948" s="6" t="s">
        <v>427</v>
      </c>
      <c r="O948" s="6" t="s">
        <v>178</v>
      </c>
      <c r="P948" s="10">
        <v>45941.0</v>
      </c>
    </row>
    <row r="949" ht="22.5" customHeight="1">
      <c r="A949" s="6" t="s">
        <v>6940</v>
      </c>
      <c r="B949" s="6" t="s">
        <v>6941</v>
      </c>
      <c r="C949" s="6" t="s">
        <v>6942</v>
      </c>
      <c r="D949" s="6" t="s">
        <v>206</v>
      </c>
      <c r="E949" s="6" t="s">
        <v>147</v>
      </c>
      <c r="F949" s="8">
        <v>15.0</v>
      </c>
      <c r="G949" s="9">
        <v>1516.79</v>
      </c>
      <c r="H949" s="9">
        <v>7529.11</v>
      </c>
      <c r="I949" s="6" t="s">
        <v>161</v>
      </c>
      <c r="J949" s="6" t="s">
        <v>228</v>
      </c>
      <c r="K949" s="6" t="s">
        <v>6944</v>
      </c>
      <c r="L949" s="6">
        <v>3.677455644E9</v>
      </c>
      <c r="M949" s="6" t="s">
        <v>6945</v>
      </c>
      <c r="N949" s="6" t="s">
        <v>283</v>
      </c>
      <c r="O949" s="6" t="s">
        <v>178</v>
      </c>
      <c r="P949" s="10">
        <v>45974.0</v>
      </c>
    </row>
    <row r="950" ht="22.5" customHeight="1">
      <c r="A950" s="6" t="s">
        <v>6946</v>
      </c>
      <c r="B950" s="6" t="s">
        <v>6947</v>
      </c>
      <c r="C950" s="6" t="s">
        <v>6948</v>
      </c>
      <c r="D950" s="6" t="s">
        <v>145</v>
      </c>
      <c r="E950" s="6" t="s">
        <v>301</v>
      </c>
      <c r="F950" s="8">
        <v>31.0</v>
      </c>
      <c r="G950" s="9">
        <v>1702.72</v>
      </c>
      <c r="H950" s="9">
        <v>9844.66</v>
      </c>
      <c r="I950" s="6" t="s">
        <v>161</v>
      </c>
      <c r="J950" s="6" t="s">
        <v>465</v>
      </c>
      <c r="K950" s="6" t="s">
        <v>6950</v>
      </c>
      <c r="L950" s="6">
        <v>7.6899605792E10</v>
      </c>
      <c r="M950" s="6" t="s">
        <v>6951</v>
      </c>
      <c r="N950" s="6" t="s">
        <v>112</v>
      </c>
      <c r="O950" s="6" t="s">
        <v>178</v>
      </c>
      <c r="P950" s="10">
        <v>46028.0</v>
      </c>
    </row>
    <row r="951" ht="22.5" customHeight="1">
      <c r="A951" s="6" t="s">
        <v>6952</v>
      </c>
      <c r="B951" s="6" t="s">
        <v>6953</v>
      </c>
      <c r="C951" s="6" t="s">
        <v>6954</v>
      </c>
      <c r="D951" s="6" t="s">
        <v>206</v>
      </c>
      <c r="E951" s="6" t="s">
        <v>147</v>
      </c>
      <c r="F951" s="8">
        <v>25.0</v>
      </c>
      <c r="G951" s="9">
        <v>1052.55</v>
      </c>
      <c r="H951" s="9">
        <v>12069.18</v>
      </c>
      <c r="I951" s="6" t="s">
        <v>161</v>
      </c>
      <c r="J951" s="6" t="s">
        <v>312</v>
      </c>
      <c r="K951" s="6" t="s">
        <v>6955</v>
      </c>
      <c r="L951" s="6">
        <v>6.047918534E9</v>
      </c>
      <c r="M951" s="6" t="s">
        <v>6957</v>
      </c>
      <c r="N951" s="6" t="s">
        <v>283</v>
      </c>
      <c r="O951" s="6" t="s">
        <v>178</v>
      </c>
      <c r="P951" s="10">
        <v>46016.0</v>
      </c>
    </row>
    <row r="952" ht="22.5" customHeight="1">
      <c r="A952" s="6" t="s">
        <v>6958</v>
      </c>
      <c r="B952" s="6" t="s">
        <v>6959</v>
      </c>
      <c r="C952" s="6" t="s">
        <v>6960</v>
      </c>
      <c r="D952" s="6" t="s">
        <v>145</v>
      </c>
      <c r="E952" s="6" t="s">
        <v>147</v>
      </c>
      <c r="F952" s="8">
        <v>26.0</v>
      </c>
      <c r="G952" s="9">
        <v>1198.77</v>
      </c>
      <c r="H952" s="9">
        <v>14217.65</v>
      </c>
      <c r="I952" s="6" t="s">
        <v>161</v>
      </c>
      <c r="J952" s="6" t="s">
        <v>312</v>
      </c>
      <c r="K952" s="6" t="s">
        <v>6961</v>
      </c>
      <c r="L952" s="6">
        <v>5.4624543072E10</v>
      </c>
      <c r="M952" s="6" t="s">
        <v>6962</v>
      </c>
      <c r="N952" s="6" t="s">
        <v>259</v>
      </c>
      <c r="O952" s="6" t="s">
        <v>178</v>
      </c>
      <c r="P952" s="10">
        <v>45983.0</v>
      </c>
    </row>
    <row r="953" ht="22.5" customHeight="1">
      <c r="A953" s="6" t="s">
        <v>6963</v>
      </c>
      <c r="B953" s="6" t="s">
        <v>6964</v>
      </c>
      <c r="C953" s="6" t="s">
        <v>6966</v>
      </c>
      <c r="D953" s="6" t="s">
        <v>206</v>
      </c>
      <c r="E953" s="6" t="s">
        <v>147</v>
      </c>
      <c r="F953" s="8">
        <v>15.0</v>
      </c>
      <c r="G953" s="9">
        <v>922.87</v>
      </c>
      <c r="H953" s="9">
        <v>2866.35</v>
      </c>
      <c r="I953" s="6" t="s">
        <v>178</v>
      </c>
      <c r="J953" s="6" t="s">
        <v>163</v>
      </c>
      <c r="K953" s="6" t="s">
        <v>6967</v>
      </c>
      <c r="L953" s="6">
        <v>4.5603189512E10</v>
      </c>
      <c r="M953" s="6" t="s">
        <v>6968</v>
      </c>
      <c r="N953" s="6" t="s">
        <v>176</v>
      </c>
      <c r="O953" s="6" t="s">
        <v>161</v>
      </c>
      <c r="P953" s="10">
        <v>45992.0</v>
      </c>
    </row>
    <row r="954" ht="22.5" customHeight="1">
      <c r="A954" s="6" t="s">
        <v>6969</v>
      </c>
      <c r="B954" s="6" t="s">
        <v>6970</v>
      </c>
      <c r="C954" s="6" t="s">
        <v>6971</v>
      </c>
      <c r="D954" s="6" t="s">
        <v>145</v>
      </c>
      <c r="E954" s="6" t="s">
        <v>147</v>
      </c>
      <c r="F954" s="8">
        <v>5.0</v>
      </c>
      <c r="G954" s="9">
        <v>398.92</v>
      </c>
      <c r="H954" s="9">
        <v>5441.5</v>
      </c>
      <c r="I954" s="6" t="s">
        <v>161</v>
      </c>
      <c r="J954" s="6" t="s">
        <v>479</v>
      </c>
      <c r="K954" s="6" t="s">
        <v>6973</v>
      </c>
      <c r="L954" s="6">
        <v>3.8703029398E10</v>
      </c>
      <c r="M954" s="6" t="s">
        <v>6974</v>
      </c>
      <c r="N954" s="6" t="s">
        <v>283</v>
      </c>
      <c r="O954" s="6" t="s">
        <v>178</v>
      </c>
      <c r="P954" s="10">
        <v>45992.0</v>
      </c>
    </row>
    <row r="955" ht="22.5" customHeight="1">
      <c r="A955" s="6" t="s">
        <v>6975</v>
      </c>
      <c r="B955" s="6" t="s">
        <v>6976</v>
      </c>
      <c r="C955" s="6" t="s">
        <v>6977</v>
      </c>
      <c r="D955" s="6" t="s">
        <v>383</v>
      </c>
      <c r="E955" s="6" t="s">
        <v>147</v>
      </c>
      <c r="F955" s="8">
        <v>12.0</v>
      </c>
      <c r="G955" s="9">
        <v>1358.42</v>
      </c>
      <c r="H955" s="9">
        <v>6336.56</v>
      </c>
      <c r="I955" s="6" t="s">
        <v>161</v>
      </c>
      <c r="J955" s="6" t="s">
        <v>577</v>
      </c>
      <c r="K955" s="6" t="s">
        <v>6978</v>
      </c>
      <c r="L955" s="6">
        <v>4.0924268233E10</v>
      </c>
      <c r="M955" s="6" t="s">
        <v>6979</v>
      </c>
      <c r="N955" s="6" t="s">
        <v>259</v>
      </c>
      <c r="O955" s="6" t="s">
        <v>178</v>
      </c>
      <c r="P955" s="10">
        <v>46003.0</v>
      </c>
    </row>
    <row r="956" ht="22.5" customHeight="1">
      <c r="A956" s="6" t="s">
        <v>6981</v>
      </c>
      <c r="B956" s="6" t="s">
        <v>6982</v>
      </c>
      <c r="C956" s="6" t="s">
        <v>6983</v>
      </c>
      <c r="D956" s="6" t="s">
        <v>383</v>
      </c>
      <c r="E956" s="6" t="s">
        <v>147</v>
      </c>
      <c r="F956" s="8">
        <v>13.0</v>
      </c>
      <c r="G956" s="9">
        <v>688.87</v>
      </c>
      <c r="H956" s="9">
        <v>7112.11</v>
      </c>
      <c r="I956" s="6" t="s">
        <v>178</v>
      </c>
      <c r="J956" s="6" t="s">
        <v>357</v>
      </c>
      <c r="K956" s="6" t="s">
        <v>6985</v>
      </c>
      <c r="L956" s="6">
        <v>7.8129956013E10</v>
      </c>
      <c r="M956" s="6" t="s">
        <v>6986</v>
      </c>
      <c r="N956" s="6" t="s">
        <v>283</v>
      </c>
      <c r="O956" s="6" t="s">
        <v>161</v>
      </c>
      <c r="P956" s="10">
        <v>45985.0</v>
      </c>
    </row>
    <row r="957" ht="22.5" customHeight="1">
      <c r="A957" s="6" t="s">
        <v>6987</v>
      </c>
      <c r="B957" s="6" t="s">
        <v>6989</v>
      </c>
      <c r="C957" s="6" t="s">
        <v>6990</v>
      </c>
      <c r="D957" s="6" t="s">
        <v>145</v>
      </c>
      <c r="E957" s="6" t="s">
        <v>301</v>
      </c>
      <c r="F957" s="8">
        <v>56.0</v>
      </c>
      <c r="G957" s="9">
        <v>814.19</v>
      </c>
      <c r="H957" s="9">
        <v>6997.37</v>
      </c>
      <c r="I957" s="6" t="s">
        <v>161</v>
      </c>
      <c r="J957" s="6" t="s">
        <v>421</v>
      </c>
      <c r="K957" s="6" t="s">
        <v>6991</v>
      </c>
      <c r="L957" s="6">
        <v>5.2282572576E10</v>
      </c>
      <c r="M957" s="6" t="s">
        <v>6992</v>
      </c>
      <c r="N957" s="6" t="s">
        <v>176</v>
      </c>
      <c r="O957" s="6" t="s">
        <v>178</v>
      </c>
      <c r="P957" s="10">
        <v>46020.0</v>
      </c>
    </row>
    <row r="958" ht="22.5" customHeight="1">
      <c r="A958" s="6" t="s">
        <v>6994</v>
      </c>
      <c r="B958" s="6" t="s">
        <v>6995</v>
      </c>
      <c r="C958" s="6" t="s">
        <v>6996</v>
      </c>
      <c r="D958" s="6" t="s">
        <v>206</v>
      </c>
      <c r="E958" s="6" t="s">
        <v>210</v>
      </c>
      <c r="F958" s="8">
        <v>106.0</v>
      </c>
      <c r="G958" s="9">
        <v>1716.13</v>
      </c>
      <c r="H958" s="9">
        <v>8825.88</v>
      </c>
      <c r="I958" s="6" t="s">
        <v>161</v>
      </c>
      <c r="J958" s="6" t="s">
        <v>479</v>
      </c>
      <c r="K958" s="6" t="s">
        <v>6998</v>
      </c>
      <c r="L958" s="6">
        <v>1.9882422955E10</v>
      </c>
      <c r="M958" s="6" t="s">
        <v>6999</v>
      </c>
      <c r="N958" s="6" t="s">
        <v>112</v>
      </c>
      <c r="O958" s="6" t="s">
        <v>161</v>
      </c>
      <c r="P958" s="10">
        <v>46019.0</v>
      </c>
    </row>
    <row r="959" ht="22.5" customHeight="1">
      <c r="A959" s="6" t="s">
        <v>7000</v>
      </c>
      <c r="B959" s="6" t="s">
        <v>7001</v>
      </c>
      <c r="C959" s="6" t="s">
        <v>7002</v>
      </c>
      <c r="D959" s="6" t="s">
        <v>206</v>
      </c>
      <c r="E959" s="6" t="s">
        <v>147</v>
      </c>
      <c r="F959" s="8">
        <v>20.0</v>
      </c>
      <c r="G959" s="9">
        <v>1634.26</v>
      </c>
      <c r="H959" s="9">
        <v>10527.33</v>
      </c>
      <c r="I959" s="6" t="s">
        <v>161</v>
      </c>
      <c r="J959" s="6" t="s">
        <v>577</v>
      </c>
      <c r="K959" s="6" t="s">
        <v>7004</v>
      </c>
      <c r="L959" s="6">
        <v>3.2023907736E10</v>
      </c>
      <c r="M959" s="6" t="s">
        <v>7005</v>
      </c>
      <c r="N959" s="6" t="s">
        <v>259</v>
      </c>
      <c r="O959" s="6" t="s">
        <v>178</v>
      </c>
      <c r="P959" s="10">
        <v>46037.0</v>
      </c>
    </row>
    <row r="960" ht="22.5" customHeight="1">
      <c r="A960" s="6" t="s">
        <v>7007</v>
      </c>
      <c r="B960" s="6" t="s">
        <v>7008</v>
      </c>
      <c r="C960" s="6" t="s">
        <v>7009</v>
      </c>
      <c r="D960" s="6" t="s">
        <v>383</v>
      </c>
      <c r="E960" s="6" t="s">
        <v>210</v>
      </c>
      <c r="F960" s="8">
        <v>105.0</v>
      </c>
      <c r="G960" s="9">
        <v>1601.36</v>
      </c>
      <c r="H960" s="9">
        <v>13470.06</v>
      </c>
      <c r="I960" s="6" t="s">
        <v>161</v>
      </c>
      <c r="J960" s="6" t="s">
        <v>228</v>
      </c>
      <c r="K960" s="6" t="s">
        <v>259</v>
      </c>
      <c r="L960" s="6">
        <v>3.1697550457E10</v>
      </c>
      <c r="M960" s="6" t="s">
        <v>7011</v>
      </c>
      <c r="N960" s="6" t="s">
        <v>427</v>
      </c>
      <c r="O960" s="6" t="s">
        <v>161</v>
      </c>
      <c r="P960" s="10">
        <v>45931.0</v>
      </c>
    </row>
    <row r="961" ht="22.5" customHeight="1">
      <c r="A961" s="6" t="s">
        <v>7012</v>
      </c>
      <c r="B961" s="6" t="s">
        <v>7013</v>
      </c>
      <c r="C961" s="6" t="s">
        <v>7014</v>
      </c>
      <c r="D961" s="6" t="s">
        <v>145</v>
      </c>
      <c r="E961" s="6" t="s">
        <v>301</v>
      </c>
      <c r="F961" s="8">
        <v>51.0</v>
      </c>
      <c r="G961" s="9">
        <v>841.61</v>
      </c>
      <c r="H961" s="9">
        <v>13900.95</v>
      </c>
      <c r="I961" s="6" t="s">
        <v>161</v>
      </c>
      <c r="J961" s="6" t="s">
        <v>421</v>
      </c>
      <c r="K961" s="6" t="s">
        <v>7016</v>
      </c>
      <c r="L961" s="6">
        <v>1.1803255827E10</v>
      </c>
      <c r="M961" s="6" t="s">
        <v>7017</v>
      </c>
      <c r="N961" s="6" t="s">
        <v>259</v>
      </c>
      <c r="O961" s="6" t="s">
        <v>178</v>
      </c>
      <c r="P961" s="10">
        <v>45953.0</v>
      </c>
    </row>
    <row r="962" ht="22.5" customHeight="1">
      <c r="A962" s="6" t="s">
        <v>7019</v>
      </c>
      <c r="B962" s="6" t="s">
        <v>7020</v>
      </c>
      <c r="C962" s="6" t="s">
        <v>7021</v>
      </c>
      <c r="D962" s="6" t="s">
        <v>145</v>
      </c>
      <c r="E962" s="6" t="s">
        <v>301</v>
      </c>
      <c r="F962" s="8">
        <v>40.0</v>
      </c>
      <c r="G962" s="9">
        <v>1243.93</v>
      </c>
      <c r="H962" s="9">
        <v>13511.68</v>
      </c>
      <c r="I962" s="6" t="s">
        <v>161</v>
      </c>
      <c r="J962" s="6" t="s">
        <v>312</v>
      </c>
      <c r="K962" s="6" t="s">
        <v>7022</v>
      </c>
      <c r="L962" s="6">
        <v>4.0665833115E10</v>
      </c>
      <c r="M962" s="6" t="s">
        <v>7024</v>
      </c>
      <c r="N962" s="6" t="s">
        <v>283</v>
      </c>
      <c r="O962" s="6" t="s">
        <v>178</v>
      </c>
      <c r="P962" s="10">
        <v>45997.0</v>
      </c>
    </row>
    <row r="963" ht="22.5" customHeight="1">
      <c r="A963" s="6" t="s">
        <v>7025</v>
      </c>
      <c r="B963" s="6" t="s">
        <v>7026</v>
      </c>
      <c r="C963" s="6" t="s">
        <v>7027</v>
      </c>
      <c r="D963" s="6" t="s">
        <v>145</v>
      </c>
      <c r="E963" s="6" t="s">
        <v>210</v>
      </c>
      <c r="F963" s="8">
        <v>91.0</v>
      </c>
      <c r="G963" s="9">
        <v>1302.84</v>
      </c>
      <c r="H963" s="9">
        <v>10088.99</v>
      </c>
      <c r="I963" s="6" t="s">
        <v>178</v>
      </c>
      <c r="J963" s="6" t="s">
        <v>577</v>
      </c>
      <c r="K963" s="6" t="s">
        <v>7029</v>
      </c>
      <c r="L963" s="6">
        <v>7.1920911066E10</v>
      </c>
      <c r="M963" s="6" t="s">
        <v>7030</v>
      </c>
      <c r="N963" s="6" t="s">
        <v>283</v>
      </c>
      <c r="O963" s="6" t="s">
        <v>161</v>
      </c>
      <c r="P963" s="10">
        <v>45981.0</v>
      </c>
    </row>
    <row r="964" ht="22.5" customHeight="1">
      <c r="A964" s="6" t="s">
        <v>7031</v>
      </c>
      <c r="B964" s="6" t="s">
        <v>7033</v>
      </c>
      <c r="C964" s="6" t="s">
        <v>7034</v>
      </c>
      <c r="D964" s="6" t="s">
        <v>145</v>
      </c>
      <c r="E964" s="6" t="s">
        <v>147</v>
      </c>
      <c r="F964" s="8">
        <v>22.0</v>
      </c>
      <c r="G964" s="9">
        <v>235.14</v>
      </c>
      <c r="H964" s="9">
        <v>1446.69</v>
      </c>
      <c r="I964" s="6" t="s">
        <v>161</v>
      </c>
      <c r="J964" s="6" t="s">
        <v>228</v>
      </c>
      <c r="K964" s="6" t="s">
        <v>7035</v>
      </c>
      <c r="L964" s="6">
        <v>2.6602919931E10</v>
      </c>
      <c r="M964" s="6" t="s">
        <v>7036</v>
      </c>
      <c r="N964" s="6" t="s">
        <v>259</v>
      </c>
      <c r="O964" s="6" t="s">
        <v>178</v>
      </c>
      <c r="P964" s="10">
        <v>46001.0</v>
      </c>
    </row>
    <row r="965" ht="22.5" customHeight="1">
      <c r="A965" s="6" t="s">
        <v>7038</v>
      </c>
      <c r="B965" s="6" t="s">
        <v>7039</v>
      </c>
      <c r="C965" s="6" t="s">
        <v>7040</v>
      </c>
      <c r="D965" s="6" t="s">
        <v>206</v>
      </c>
      <c r="E965" s="6" t="s">
        <v>147</v>
      </c>
      <c r="F965" s="8">
        <v>5.0</v>
      </c>
      <c r="G965" s="9">
        <v>779.93</v>
      </c>
      <c r="H965" s="9">
        <v>3807.51</v>
      </c>
      <c r="I965" s="6" t="s">
        <v>161</v>
      </c>
      <c r="J965" s="6" t="s">
        <v>577</v>
      </c>
      <c r="K965" s="6" t="s">
        <v>7042</v>
      </c>
      <c r="L965" s="6">
        <v>7.0188720204E10</v>
      </c>
      <c r="M965" s="6" t="s">
        <v>7043</v>
      </c>
      <c r="N965" s="6" t="s">
        <v>176</v>
      </c>
      <c r="O965" s="6" t="s">
        <v>178</v>
      </c>
      <c r="P965" s="10">
        <v>46019.0</v>
      </c>
    </row>
    <row r="966" ht="22.5" customHeight="1">
      <c r="A966" s="6" t="s">
        <v>7044</v>
      </c>
      <c r="B966" s="6" t="s">
        <v>7045</v>
      </c>
      <c r="C966" s="6" t="s">
        <v>7046</v>
      </c>
      <c r="D966" s="6" t="s">
        <v>206</v>
      </c>
      <c r="E966" s="6" t="s">
        <v>210</v>
      </c>
      <c r="F966" s="8">
        <v>103.0</v>
      </c>
      <c r="G966" s="9">
        <v>1666.48</v>
      </c>
      <c r="H966" s="9">
        <v>15030.7</v>
      </c>
      <c r="I966" s="6" t="s">
        <v>178</v>
      </c>
      <c r="J966" s="6" t="s">
        <v>421</v>
      </c>
      <c r="K966" s="6" t="s">
        <v>7048</v>
      </c>
      <c r="L966" s="6">
        <v>8.9892586972E10</v>
      </c>
      <c r="M966" s="6" t="s">
        <v>7049</v>
      </c>
      <c r="N966" s="6" t="s">
        <v>427</v>
      </c>
      <c r="O966" s="6" t="s">
        <v>161</v>
      </c>
      <c r="P966" s="10">
        <v>46039.0</v>
      </c>
    </row>
    <row r="967" ht="22.5" customHeight="1">
      <c r="A967" s="6" t="s">
        <v>7051</v>
      </c>
      <c r="B967" s="6" t="s">
        <v>7052</v>
      </c>
      <c r="C967" s="6" t="s">
        <v>7053</v>
      </c>
      <c r="D967" s="6" t="s">
        <v>383</v>
      </c>
      <c r="E967" s="6" t="s">
        <v>210</v>
      </c>
      <c r="F967" s="8">
        <v>104.0</v>
      </c>
      <c r="G967" s="9">
        <v>1749.68</v>
      </c>
      <c r="H967" s="9">
        <v>11996.89</v>
      </c>
      <c r="I967" s="6" t="s">
        <v>161</v>
      </c>
      <c r="J967" s="6" t="s">
        <v>357</v>
      </c>
      <c r="K967" s="6" t="s">
        <v>7054</v>
      </c>
      <c r="L967" s="6">
        <v>9.1873696039E10</v>
      </c>
      <c r="M967" s="6" t="s">
        <v>7056</v>
      </c>
      <c r="N967" s="6" t="s">
        <v>112</v>
      </c>
      <c r="O967" s="6" t="s">
        <v>161</v>
      </c>
      <c r="P967" s="10">
        <v>45999.0</v>
      </c>
    </row>
    <row r="968" ht="22.5" customHeight="1">
      <c r="A968" s="6" t="s">
        <v>7057</v>
      </c>
      <c r="B968" s="6" t="s">
        <v>7058</v>
      </c>
      <c r="C968" s="6" t="s">
        <v>7059</v>
      </c>
      <c r="D968" s="6" t="s">
        <v>145</v>
      </c>
      <c r="E968" s="6" t="s">
        <v>147</v>
      </c>
      <c r="F968" s="8">
        <v>6.0</v>
      </c>
      <c r="G968" s="9">
        <v>726.45</v>
      </c>
      <c r="H968" s="9">
        <v>12477.41</v>
      </c>
      <c r="I968" s="6" t="s">
        <v>178</v>
      </c>
      <c r="J968" s="6" t="s">
        <v>577</v>
      </c>
      <c r="K968" s="6" t="s">
        <v>7061</v>
      </c>
      <c r="L968" s="6">
        <v>9.7340833528E10</v>
      </c>
      <c r="M968" s="6" t="s">
        <v>7062</v>
      </c>
      <c r="N968" s="6" t="s">
        <v>112</v>
      </c>
      <c r="O968" s="6" t="s">
        <v>161</v>
      </c>
      <c r="P968" s="10">
        <v>46034.0</v>
      </c>
    </row>
    <row r="969" ht="22.5" customHeight="1">
      <c r="A969" s="6" t="s">
        <v>7063</v>
      </c>
      <c r="B969" s="6" t="s">
        <v>7065</v>
      </c>
      <c r="C969" s="6" t="s">
        <v>7066</v>
      </c>
      <c r="D969" s="6" t="s">
        <v>383</v>
      </c>
      <c r="E969" s="6" t="s">
        <v>147</v>
      </c>
      <c r="F969" s="8">
        <v>28.0</v>
      </c>
      <c r="G969" s="9">
        <v>424.1</v>
      </c>
      <c r="H969" s="9">
        <v>2871.02</v>
      </c>
      <c r="I969" s="6" t="s">
        <v>161</v>
      </c>
      <c r="J969" s="6" t="s">
        <v>421</v>
      </c>
      <c r="K969" s="6" t="s">
        <v>7067</v>
      </c>
      <c r="L969" s="6">
        <v>5.8782028491E10</v>
      </c>
      <c r="M969" s="6" t="s">
        <v>7068</v>
      </c>
      <c r="N969" s="6" t="s">
        <v>112</v>
      </c>
      <c r="O969" s="6" t="s">
        <v>178</v>
      </c>
      <c r="P969" s="10">
        <v>45961.0</v>
      </c>
    </row>
    <row r="970" ht="22.5" customHeight="1">
      <c r="A970" s="6" t="s">
        <v>7070</v>
      </c>
      <c r="B970" s="6" t="s">
        <v>7071</v>
      </c>
      <c r="C970" s="6" t="s">
        <v>7072</v>
      </c>
      <c r="D970" s="6" t="s">
        <v>145</v>
      </c>
      <c r="E970" s="6" t="s">
        <v>147</v>
      </c>
      <c r="F970" s="8">
        <v>17.0</v>
      </c>
      <c r="G970" s="9">
        <v>1459.33</v>
      </c>
      <c r="H970" s="9">
        <v>2054.45</v>
      </c>
      <c r="I970" s="6" t="s">
        <v>161</v>
      </c>
      <c r="J970" s="6" t="s">
        <v>393</v>
      </c>
      <c r="K970" s="6" t="s">
        <v>7074</v>
      </c>
      <c r="L970" s="6">
        <v>3.7120736679E10</v>
      </c>
      <c r="M970" s="6" t="s">
        <v>7075</v>
      </c>
      <c r="N970" s="6" t="s">
        <v>283</v>
      </c>
      <c r="O970" s="6" t="s">
        <v>178</v>
      </c>
      <c r="P970" s="10">
        <v>46018.0</v>
      </c>
    </row>
    <row r="971" ht="22.5" customHeight="1">
      <c r="A971" s="6" t="s">
        <v>7076</v>
      </c>
      <c r="B971" s="6" t="s">
        <v>7078</v>
      </c>
      <c r="C971" s="6" t="s">
        <v>7079</v>
      </c>
      <c r="D971" s="6" t="s">
        <v>383</v>
      </c>
      <c r="E971" s="6" t="s">
        <v>147</v>
      </c>
      <c r="F971" s="8">
        <v>20.0</v>
      </c>
      <c r="G971" s="9">
        <v>1479.77</v>
      </c>
      <c r="H971" s="9">
        <v>2602.06</v>
      </c>
      <c r="I971" s="6" t="s">
        <v>161</v>
      </c>
      <c r="J971" s="6" t="s">
        <v>479</v>
      </c>
      <c r="K971" s="6" t="s">
        <v>7080</v>
      </c>
      <c r="L971" s="6">
        <v>9.7234641678E10</v>
      </c>
      <c r="M971" s="6" t="s">
        <v>7081</v>
      </c>
      <c r="N971" s="6" t="s">
        <v>176</v>
      </c>
      <c r="O971" s="6" t="s">
        <v>178</v>
      </c>
      <c r="P971" s="10">
        <v>46031.0</v>
      </c>
    </row>
    <row r="972" ht="22.5" customHeight="1">
      <c r="A972" s="6" t="s">
        <v>7083</v>
      </c>
      <c r="B972" s="6" t="s">
        <v>7084</v>
      </c>
      <c r="C972" s="6" t="s">
        <v>7085</v>
      </c>
      <c r="D972" s="6" t="s">
        <v>383</v>
      </c>
      <c r="E972" s="6" t="s">
        <v>210</v>
      </c>
      <c r="F972" s="8">
        <v>80.0</v>
      </c>
      <c r="G972" s="9">
        <v>1240.63</v>
      </c>
      <c r="H972" s="9">
        <v>10223.39</v>
      </c>
      <c r="I972" s="6" t="s">
        <v>161</v>
      </c>
      <c r="J972" s="6" t="s">
        <v>228</v>
      </c>
      <c r="K972" s="6" t="s">
        <v>7087</v>
      </c>
      <c r="L972" s="6">
        <v>1.1575846392E10</v>
      </c>
      <c r="M972" s="6" t="s">
        <v>7088</v>
      </c>
      <c r="N972" s="6" t="s">
        <v>427</v>
      </c>
      <c r="O972" s="6" t="s">
        <v>161</v>
      </c>
      <c r="P972" s="10">
        <v>46041.0</v>
      </c>
    </row>
    <row r="973" ht="22.5" customHeight="1">
      <c r="A973" s="6" t="s">
        <v>7089</v>
      </c>
      <c r="B973" s="6" t="s">
        <v>7090</v>
      </c>
      <c r="C973" s="6" t="s">
        <v>7091</v>
      </c>
      <c r="D973" s="6" t="s">
        <v>383</v>
      </c>
      <c r="E973" s="6" t="s">
        <v>301</v>
      </c>
      <c r="F973" s="8">
        <v>45.0</v>
      </c>
      <c r="G973" s="9">
        <v>1043.39</v>
      </c>
      <c r="H973" s="9">
        <v>13407.08</v>
      </c>
      <c r="I973" s="6" t="s">
        <v>161</v>
      </c>
      <c r="J973" s="6" t="s">
        <v>312</v>
      </c>
      <c r="K973" s="6" t="s">
        <v>7093</v>
      </c>
      <c r="L973" s="6">
        <v>3.9993631054E10</v>
      </c>
      <c r="M973" s="6" t="s">
        <v>7094</v>
      </c>
      <c r="N973" s="6" t="s">
        <v>112</v>
      </c>
      <c r="O973" s="6" t="s">
        <v>178</v>
      </c>
      <c r="P973" s="10">
        <v>46023.0</v>
      </c>
    </row>
    <row r="974" ht="22.5" customHeight="1">
      <c r="A974" s="6" t="s">
        <v>7096</v>
      </c>
      <c r="B974" s="6" t="s">
        <v>7097</v>
      </c>
      <c r="C974" s="6" t="s">
        <v>7098</v>
      </c>
      <c r="D974" s="6" t="s">
        <v>145</v>
      </c>
      <c r="E974" s="6" t="s">
        <v>210</v>
      </c>
      <c r="F974" s="8">
        <v>118.0</v>
      </c>
      <c r="G974" s="9">
        <v>841.23</v>
      </c>
      <c r="H974" s="9">
        <v>10306.11</v>
      </c>
      <c r="I974" s="6" t="s">
        <v>161</v>
      </c>
      <c r="J974" s="6" t="s">
        <v>393</v>
      </c>
      <c r="K974" s="6" t="s">
        <v>7099</v>
      </c>
      <c r="L974" s="6">
        <v>4.8717812626E10</v>
      </c>
      <c r="M974" s="6" t="s">
        <v>7101</v>
      </c>
      <c r="N974" s="6" t="s">
        <v>112</v>
      </c>
      <c r="O974" s="6" t="s">
        <v>161</v>
      </c>
      <c r="P974" s="10">
        <v>46023.0</v>
      </c>
    </row>
    <row r="975" ht="22.5" customHeight="1">
      <c r="A975" s="6" t="s">
        <v>7102</v>
      </c>
      <c r="B975" s="6" t="s">
        <v>7103</v>
      </c>
      <c r="C975" s="6" t="s">
        <v>7104</v>
      </c>
      <c r="D975" s="6" t="s">
        <v>145</v>
      </c>
      <c r="E975" s="6" t="s">
        <v>147</v>
      </c>
      <c r="F975" s="8">
        <v>21.0</v>
      </c>
      <c r="G975" s="9">
        <v>1249.54</v>
      </c>
      <c r="H975" s="9">
        <v>8480.91</v>
      </c>
      <c r="I975" s="6" t="s">
        <v>161</v>
      </c>
      <c r="J975" s="6" t="s">
        <v>163</v>
      </c>
      <c r="K975" s="6" t="s">
        <v>7106</v>
      </c>
      <c r="L975" s="6">
        <v>3.6304711776E10</v>
      </c>
      <c r="M975" s="6" t="s">
        <v>7107</v>
      </c>
      <c r="N975" s="6" t="s">
        <v>259</v>
      </c>
      <c r="O975" s="6" t="s">
        <v>178</v>
      </c>
      <c r="P975" s="10">
        <v>45932.0</v>
      </c>
    </row>
    <row r="976" ht="22.5" customHeight="1">
      <c r="A976" s="6" t="s">
        <v>7108</v>
      </c>
      <c r="B976" s="6" t="s">
        <v>7110</v>
      </c>
      <c r="C976" s="6" t="s">
        <v>7111</v>
      </c>
      <c r="D976" s="6" t="s">
        <v>206</v>
      </c>
      <c r="E976" s="6" t="s">
        <v>147</v>
      </c>
      <c r="F976" s="8">
        <v>19.0</v>
      </c>
      <c r="G976" s="9">
        <v>936.94</v>
      </c>
      <c r="H976" s="9">
        <v>3183.15</v>
      </c>
      <c r="I976" s="6" t="s">
        <v>161</v>
      </c>
      <c r="J976" s="6" t="s">
        <v>577</v>
      </c>
      <c r="K976" s="6" t="s">
        <v>7112</v>
      </c>
      <c r="L976" s="6">
        <v>7.8412694148E10</v>
      </c>
      <c r="M976" s="6" t="s">
        <v>7113</v>
      </c>
      <c r="N976" s="6" t="s">
        <v>176</v>
      </c>
      <c r="O976" s="6" t="s">
        <v>178</v>
      </c>
      <c r="P976" s="10">
        <v>46018.0</v>
      </c>
    </row>
    <row r="977" ht="22.5" customHeight="1">
      <c r="A977" s="6" t="s">
        <v>7115</v>
      </c>
      <c r="B977" s="6" t="s">
        <v>7116</v>
      </c>
      <c r="C977" s="6" t="s">
        <v>7117</v>
      </c>
      <c r="D977" s="6" t="s">
        <v>383</v>
      </c>
      <c r="E977" s="6" t="s">
        <v>210</v>
      </c>
      <c r="F977" s="8">
        <v>103.0</v>
      </c>
      <c r="G977" s="9">
        <v>1203.91</v>
      </c>
      <c r="H977" s="9">
        <v>9506.14</v>
      </c>
      <c r="I977" s="6" t="s">
        <v>178</v>
      </c>
      <c r="J977" s="6" t="s">
        <v>421</v>
      </c>
      <c r="K977" s="6" t="s">
        <v>7119</v>
      </c>
      <c r="L977" s="6">
        <v>1.0932267006E10</v>
      </c>
      <c r="M977" s="6" t="s">
        <v>7120</v>
      </c>
      <c r="N977" s="6" t="s">
        <v>283</v>
      </c>
      <c r="O977" s="6" t="s">
        <v>161</v>
      </c>
      <c r="P977" s="10">
        <v>45962.0</v>
      </c>
    </row>
    <row r="978" ht="22.5" customHeight="1">
      <c r="A978" s="6" t="s">
        <v>7121</v>
      </c>
      <c r="B978" s="6" t="s">
        <v>7122</v>
      </c>
      <c r="C978" s="6" t="s">
        <v>7123</v>
      </c>
      <c r="D978" s="6" t="s">
        <v>383</v>
      </c>
      <c r="E978" s="6" t="s">
        <v>147</v>
      </c>
      <c r="F978" s="8">
        <v>24.0</v>
      </c>
      <c r="G978" s="9">
        <v>1395.76</v>
      </c>
      <c r="H978" s="9">
        <v>5059.26</v>
      </c>
      <c r="I978" s="6" t="s">
        <v>161</v>
      </c>
      <c r="J978" s="6" t="s">
        <v>393</v>
      </c>
      <c r="K978" s="6" t="s">
        <v>7125</v>
      </c>
      <c r="L978" s="6">
        <v>4.3043151375E10</v>
      </c>
      <c r="M978" s="6" t="s">
        <v>7127</v>
      </c>
      <c r="N978" s="6" t="s">
        <v>283</v>
      </c>
      <c r="O978" s="6" t="s">
        <v>178</v>
      </c>
      <c r="P978" s="10">
        <v>45935.0</v>
      </c>
    </row>
    <row r="979" ht="22.5" customHeight="1">
      <c r="A979" s="6" t="s">
        <v>7128</v>
      </c>
      <c r="B979" s="6" t="s">
        <v>7130</v>
      </c>
      <c r="C979" s="6" t="s">
        <v>7131</v>
      </c>
      <c r="D979" s="6" t="s">
        <v>145</v>
      </c>
      <c r="E979" s="6" t="s">
        <v>147</v>
      </c>
      <c r="F979" s="8">
        <v>22.0</v>
      </c>
      <c r="G979" s="9">
        <v>1377.01</v>
      </c>
      <c r="H979" s="9">
        <v>14983.91</v>
      </c>
      <c r="I979" s="6" t="s">
        <v>161</v>
      </c>
      <c r="J979" s="6" t="s">
        <v>393</v>
      </c>
      <c r="K979" s="6" t="s">
        <v>7132</v>
      </c>
      <c r="L979" s="6">
        <v>6.0618316949E10</v>
      </c>
      <c r="M979" s="6" t="s">
        <v>7133</v>
      </c>
      <c r="N979" s="6" t="s">
        <v>259</v>
      </c>
      <c r="O979" s="6" t="s">
        <v>178</v>
      </c>
      <c r="P979" s="10">
        <v>45936.0</v>
      </c>
    </row>
    <row r="980" ht="22.5" customHeight="1">
      <c r="A980" s="6" t="s">
        <v>7134</v>
      </c>
      <c r="B980" s="6" t="s">
        <v>7135</v>
      </c>
      <c r="C980" s="6" t="s">
        <v>7137</v>
      </c>
      <c r="D980" s="6" t="s">
        <v>145</v>
      </c>
      <c r="E980" s="6" t="s">
        <v>147</v>
      </c>
      <c r="F980" s="8">
        <v>10.0</v>
      </c>
      <c r="G980" s="9">
        <v>1517.39</v>
      </c>
      <c r="H980" s="9">
        <v>4672.35</v>
      </c>
      <c r="I980" s="6" t="s">
        <v>161</v>
      </c>
      <c r="J980" s="6" t="s">
        <v>393</v>
      </c>
      <c r="K980" s="6" t="s">
        <v>7138</v>
      </c>
      <c r="L980" s="6">
        <v>3.2947477018E10</v>
      </c>
      <c r="M980" s="6" t="s">
        <v>7139</v>
      </c>
      <c r="N980" s="6" t="s">
        <v>112</v>
      </c>
      <c r="O980" s="6" t="s">
        <v>178</v>
      </c>
      <c r="P980" s="10">
        <v>45984.0</v>
      </c>
    </row>
    <row r="981" ht="22.5" customHeight="1">
      <c r="A981" s="6" t="s">
        <v>7141</v>
      </c>
      <c r="B981" s="6" t="s">
        <v>7142</v>
      </c>
      <c r="C981" s="6" t="s">
        <v>7143</v>
      </c>
      <c r="D981" s="6" t="s">
        <v>206</v>
      </c>
      <c r="E981" s="6" t="s">
        <v>147</v>
      </c>
      <c r="F981" s="8">
        <v>28.0</v>
      </c>
      <c r="G981" s="9">
        <v>1194.7</v>
      </c>
      <c r="H981" s="9">
        <v>6878.75</v>
      </c>
      <c r="I981" s="6" t="s">
        <v>161</v>
      </c>
      <c r="J981" s="6" t="s">
        <v>393</v>
      </c>
      <c r="K981" s="6" t="s">
        <v>7145</v>
      </c>
      <c r="L981" s="6">
        <v>7.689163343E10</v>
      </c>
      <c r="M981" s="6" t="s">
        <v>7146</v>
      </c>
      <c r="N981" s="6" t="s">
        <v>283</v>
      </c>
      <c r="O981" s="6" t="s">
        <v>178</v>
      </c>
      <c r="P981" s="10">
        <v>45977.0</v>
      </c>
    </row>
    <row r="982" ht="22.5" customHeight="1">
      <c r="A982" s="6" t="s">
        <v>7147</v>
      </c>
      <c r="B982" s="6" t="s">
        <v>7148</v>
      </c>
      <c r="C982" s="6" t="s">
        <v>7149</v>
      </c>
      <c r="D982" s="6" t="s">
        <v>145</v>
      </c>
      <c r="E982" s="6" t="s">
        <v>147</v>
      </c>
      <c r="F982" s="8">
        <v>28.0</v>
      </c>
      <c r="G982" s="9">
        <v>920.47</v>
      </c>
      <c r="H982" s="9">
        <v>4847.76</v>
      </c>
      <c r="I982" s="6" t="s">
        <v>161</v>
      </c>
      <c r="J982" s="6" t="s">
        <v>577</v>
      </c>
      <c r="K982" s="6" t="s">
        <v>7151</v>
      </c>
      <c r="L982" s="6">
        <v>9.5180772403E10</v>
      </c>
      <c r="M982" s="6" t="s">
        <v>7152</v>
      </c>
      <c r="N982" s="6" t="s">
        <v>427</v>
      </c>
      <c r="O982" s="6" t="s">
        <v>178</v>
      </c>
      <c r="P982" s="10">
        <v>46048.0</v>
      </c>
    </row>
    <row r="983" ht="22.5" customHeight="1">
      <c r="A983" s="6" t="s">
        <v>7154</v>
      </c>
      <c r="B983" s="6" t="s">
        <v>7155</v>
      </c>
      <c r="C983" s="6" t="s">
        <v>7156</v>
      </c>
      <c r="D983" s="6" t="s">
        <v>145</v>
      </c>
      <c r="E983" s="6" t="s">
        <v>210</v>
      </c>
      <c r="F983" s="8">
        <v>96.0</v>
      </c>
      <c r="G983" s="9">
        <v>1078.68</v>
      </c>
      <c r="H983" s="9">
        <v>2257.51</v>
      </c>
      <c r="I983" s="6" t="s">
        <v>178</v>
      </c>
      <c r="J983" s="6" t="s">
        <v>421</v>
      </c>
      <c r="K983" s="6" t="s">
        <v>7157</v>
      </c>
      <c r="L983" s="6">
        <v>7.0596288676E10</v>
      </c>
      <c r="M983" s="6" t="s">
        <v>7159</v>
      </c>
      <c r="N983" s="6" t="s">
        <v>112</v>
      </c>
      <c r="O983" s="6" t="s">
        <v>161</v>
      </c>
      <c r="P983" s="10">
        <v>46013.0</v>
      </c>
    </row>
    <row r="984" ht="22.5" customHeight="1">
      <c r="A984" s="6" t="s">
        <v>7160</v>
      </c>
      <c r="B984" s="6" t="s">
        <v>7161</v>
      </c>
      <c r="C984" s="6" t="s">
        <v>7162</v>
      </c>
      <c r="D984" s="6" t="s">
        <v>206</v>
      </c>
      <c r="E984" s="6" t="s">
        <v>301</v>
      </c>
      <c r="F984" s="8">
        <v>38.0</v>
      </c>
      <c r="G984" s="9">
        <v>242.43</v>
      </c>
      <c r="H984" s="9">
        <v>2392.28</v>
      </c>
      <c r="I984" s="6" t="s">
        <v>161</v>
      </c>
      <c r="J984" s="6" t="s">
        <v>357</v>
      </c>
      <c r="K984" s="6" t="s">
        <v>7164</v>
      </c>
      <c r="L984" s="6">
        <v>4.2666266181E10</v>
      </c>
      <c r="M984" s="6" t="s">
        <v>7165</v>
      </c>
      <c r="N984" s="6" t="s">
        <v>112</v>
      </c>
      <c r="O984" s="6" t="s">
        <v>178</v>
      </c>
      <c r="P984" s="10">
        <v>45953.0</v>
      </c>
    </row>
    <row r="985" ht="22.5" customHeight="1">
      <c r="A985" s="6" t="s">
        <v>7166</v>
      </c>
      <c r="B985" s="6" t="s">
        <v>7167</v>
      </c>
      <c r="C985" s="6" t="s">
        <v>7168</v>
      </c>
      <c r="D985" s="6" t="s">
        <v>206</v>
      </c>
      <c r="E985" s="6" t="s">
        <v>147</v>
      </c>
      <c r="F985" s="8">
        <v>16.0</v>
      </c>
      <c r="G985" s="9">
        <v>1664.5</v>
      </c>
      <c r="H985" s="9">
        <v>15469.43</v>
      </c>
      <c r="I985" s="6" t="s">
        <v>161</v>
      </c>
      <c r="J985" s="6" t="s">
        <v>421</v>
      </c>
      <c r="K985" s="6" t="s">
        <v>7170</v>
      </c>
      <c r="L985" s="6">
        <v>9.8826864016E10</v>
      </c>
      <c r="M985" s="6" t="s">
        <v>7171</v>
      </c>
      <c r="N985" s="6" t="s">
        <v>112</v>
      </c>
      <c r="O985" s="6" t="s">
        <v>178</v>
      </c>
      <c r="P985" s="10">
        <v>45966.0</v>
      </c>
    </row>
    <row r="986" ht="22.5" customHeight="1">
      <c r="A986" s="6" t="s">
        <v>7172</v>
      </c>
      <c r="B986" s="6" t="s">
        <v>7174</v>
      </c>
      <c r="C986" s="6" t="s">
        <v>7175</v>
      </c>
      <c r="D986" s="6" t="s">
        <v>383</v>
      </c>
      <c r="E986" s="6" t="s">
        <v>301</v>
      </c>
      <c r="F986" s="8">
        <v>34.0</v>
      </c>
      <c r="G986" s="9">
        <v>662.66</v>
      </c>
      <c r="H986" s="9">
        <v>12522.86</v>
      </c>
      <c r="I986" s="6" t="s">
        <v>161</v>
      </c>
      <c r="J986" s="6" t="s">
        <v>577</v>
      </c>
      <c r="K986" s="6" t="s">
        <v>7176</v>
      </c>
      <c r="L986" s="6">
        <v>4.6366456098E10</v>
      </c>
      <c r="M986" s="6" t="s">
        <v>7177</v>
      </c>
      <c r="N986" s="6" t="s">
        <v>112</v>
      </c>
      <c r="O986" s="6" t="s">
        <v>178</v>
      </c>
      <c r="P986" s="10">
        <v>46047.0</v>
      </c>
    </row>
    <row r="987" ht="22.5" customHeight="1">
      <c r="A987" s="6" t="s">
        <v>7179</v>
      </c>
      <c r="B987" s="6" t="s">
        <v>7180</v>
      </c>
      <c r="C987" s="6" t="s">
        <v>7181</v>
      </c>
      <c r="D987" s="6" t="s">
        <v>206</v>
      </c>
      <c r="E987" s="6" t="s">
        <v>147</v>
      </c>
      <c r="F987" s="8">
        <v>18.0</v>
      </c>
      <c r="G987" s="9">
        <v>272.52</v>
      </c>
      <c r="H987" s="9">
        <v>6403.51</v>
      </c>
      <c r="I987" s="6" t="s">
        <v>161</v>
      </c>
      <c r="J987" s="6" t="s">
        <v>393</v>
      </c>
      <c r="K987" s="6" t="s">
        <v>7183</v>
      </c>
      <c r="L987" s="6">
        <v>9.4400646715E10</v>
      </c>
      <c r="M987" s="6" t="s">
        <v>7184</v>
      </c>
      <c r="N987" s="6" t="s">
        <v>427</v>
      </c>
      <c r="O987" s="6" t="s">
        <v>178</v>
      </c>
      <c r="P987" s="10">
        <v>46000.0</v>
      </c>
    </row>
    <row r="988" ht="22.5" customHeight="1">
      <c r="A988" s="6" t="s">
        <v>7185</v>
      </c>
      <c r="B988" s="6" t="s">
        <v>7186</v>
      </c>
      <c r="C988" s="6" t="s">
        <v>7187</v>
      </c>
      <c r="D988" s="6" t="s">
        <v>206</v>
      </c>
      <c r="E988" s="6" t="s">
        <v>210</v>
      </c>
      <c r="F988" s="8">
        <v>89.0</v>
      </c>
      <c r="G988" s="9">
        <v>1208.64</v>
      </c>
      <c r="H988" s="9">
        <v>9160.13</v>
      </c>
      <c r="I988" s="6" t="s">
        <v>178</v>
      </c>
      <c r="J988" s="6" t="s">
        <v>479</v>
      </c>
      <c r="K988" s="6" t="s">
        <v>7189</v>
      </c>
      <c r="L988" s="6" t="s">
        <v>259</v>
      </c>
      <c r="M988" s="6" t="s">
        <v>7190</v>
      </c>
      <c r="N988" s="6" t="s">
        <v>112</v>
      </c>
      <c r="O988" s="6" t="s">
        <v>161</v>
      </c>
      <c r="P988" s="10">
        <v>46043.0</v>
      </c>
    </row>
    <row r="989" ht="22.5" customHeight="1">
      <c r="A989" s="6" t="s">
        <v>7191</v>
      </c>
      <c r="B989" s="6" t="s">
        <v>7193</v>
      </c>
      <c r="C989" s="6" t="s">
        <v>7194</v>
      </c>
      <c r="D989" s="6" t="s">
        <v>145</v>
      </c>
      <c r="E989" s="6" t="s">
        <v>147</v>
      </c>
      <c r="F989" s="8">
        <v>6.0</v>
      </c>
      <c r="G989" s="9">
        <v>573.67</v>
      </c>
      <c r="H989" s="9">
        <v>9048.3</v>
      </c>
      <c r="I989" s="6" t="s">
        <v>161</v>
      </c>
      <c r="J989" s="6" t="s">
        <v>479</v>
      </c>
      <c r="K989" s="6" t="s">
        <v>7195</v>
      </c>
      <c r="L989" s="6">
        <v>9.660080507E9</v>
      </c>
      <c r="M989" s="6" t="s">
        <v>7196</v>
      </c>
      <c r="N989" s="6" t="s">
        <v>112</v>
      </c>
      <c r="O989" s="6" t="s">
        <v>178</v>
      </c>
      <c r="P989" s="10">
        <v>45993.0</v>
      </c>
    </row>
    <row r="990" ht="22.5" customHeight="1">
      <c r="A990" s="6" t="s">
        <v>7198</v>
      </c>
      <c r="B990" s="6" t="s">
        <v>7199</v>
      </c>
      <c r="C990" s="6" t="s">
        <v>7200</v>
      </c>
      <c r="D990" s="6" t="s">
        <v>145</v>
      </c>
      <c r="E990" s="6" t="s">
        <v>301</v>
      </c>
      <c r="F990" s="8">
        <v>47.0</v>
      </c>
      <c r="G990" s="9">
        <v>1713.2</v>
      </c>
      <c r="H990" s="9">
        <v>4539.0</v>
      </c>
      <c r="I990" s="6" t="s">
        <v>161</v>
      </c>
      <c r="J990" s="6" t="s">
        <v>357</v>
      </c>
      <c r="K990" s="6" t="s">
        <v>259</v>
      </c>
      <c r="L990" s="6">
        <v>1.7680828611E10</v>
      </c>
      <c r="M990" s="6" t="s">
        <v>7202</v>
      </c>
      <c r="N990" s="6" t="s">
        <v>283</v>
      </c>
      <c r="O990" s="6" t="s">
        <v>178</v>
      </c>
      <c r="P990" s="10">
        <v>46019.0</v>
      </c>
    </row>
    <row r="991" ht="22.5" customHeight="1">
      <c r="A991" s="6" t="s">
        <v>7203</v>
      </c>
      <c r="B991" s="6" t="s">
        <v>7204</v>
      </c>
      <c r="C991" s="6" t="s">
        <v>7205</v>
      </c>
      <c r="D991" s="6" t="s">
        <v>206</v>
      </c>
      <c r="E991" s="6" t="s">
        <v>210</v>
      </c>
      <c r="F991" s="8">
        <v>95.0</v>
      </c>
      <c r="G991" s="9">
        <v>1559.35</v>
      </c>
      <c r="H991" s="9">
        <v>7413.17</v>
      </c>
      <c r="I991" s="6" t="s">
        <v>161</v>
      </c>
      <c r="J991" s="6" t="s">
        <v>163</v>
      </c>
      <c r="K991" s="6" t="s">
        <v>7207</v>
      </c>
      <c r="L991" s="6">
        <v>3.035202971E9</v>
      </c>
      <c r="M991" s="6" t="s">
        <v>7209</v>
      </c>
      <c r="N991" s="6" t="s">
        <v>176</v>
      </c>
      <c r="O991" s="6" t="s">
        <v>161</v>
      </c>
      <c r="P991" s="10">
        <v>46002.0</v>
      </c>
    </row>
    <row r="992" ht="22.5" customHeight="1">
      <c r="A992" s="6" t="s">
        <v>7210</v>
      </c>
      <c r="B992" s="6" t="s">
        <v>7211</v>
      </c>
      <c r="C992" s="6" t="s">
        <v>7212</v>
      </c>
      <c r="D992" s="6" t="s">
        <v>383</v>
      </c>
      <c r="E992" s="6" t="s">
        <v>301</v>
      </c>
      <c r="F992" s="8">
        <v>32.0</v>
      </c>
      <c r="G992" s="9">
        <v>1103.53</v>
      </c>
      <c r="H992" s="9">
        <v>10798.75</v>
      </c>
      <c r="I992" s="6" t="s">
        <v>161</v>
      </c>
      <c r="J992" s="6" t="s">
        <v>228</v>
      </c>
      <c r="K992" s="6" t="s">
        <v>7214</v>
      </c>
      <c r="L992" s="6">
        <v>1.3699940189E10</v>
      </c>
      <c r="M992" s="6" t="s">
        <v>7215</v>
      </c>
      <c r="N992" s="6" t="s">
        <v>112</v>
      </c>
      <c r="O992" s="6" t="s">
        <v>178</v>
      </c>
      <c r="P992" s="10">
        <v>46022.0</v>
      </c>
    </row>
    <row r="993" ht="22.5" customHeight="1">
      <c r="A993" s="6" t="s">
        <v>7217</v>
      </c>
      <c r="B993" s="6" t="s">
        <v>7218</v>
      </c>
      <c r="C993" s="6" t="s">
        <v>7219</v>
      </c>
      <c r="D993" s="6" t="s">
        <v>145</v>
      </c>
      <c r="E993" s="6" t="s">
        <v>147</v>
      </c>
      <c r="F993" s="8">
        <v>11.0</v>
      </c>
      <c r="G993" s="9">
        <v>841.0</v>
      </c>
      <c r="H993" s="9">
        <v>8015.04</v>
      </c>
      <c r="I993" s="6" t="s">
        <v>161</v>
      </c>
      <c r="J993" s="6" t="s">
        <v>442</v>
      </c>
      <c r="K993" s="6" t="s">
        <v>7221</v>
      </c>
      <c r="L993" s="6">
        <v>4.3196501707E10</v>
      </c>
      <c r="M993" s="6" t="s">
        <v>7222</v>
      </c>
      <c r="N993" s="6" t="s">
        <v>427</v>
      </c>
      <c r="O993" s="6" t="s">
        <v>178</v>
      </c>
      <c r="P993" s="10">
        <v>46048.0</v>
      </c>
    </row>
    <row r="994" ht="22.5" customHeight="1">
      <c r="A994" s="6" t="s">
        <v>7223</v>
      </c>
      <c r="B994" s="6" t="s">
        <v>7224</v>
      </c>
      <c r="C994" s="6" t="s">
        <v>7225</v>
      </c>
      <c r="D994" s="6" t="s">
        <v>145</v>
      </c>
      <c r="E994" s="6" t="s">
        <v>147</v>
      </c>
      <c r="F994" s="8">
        <v>20.0</v>
      </c>
      <c r="G994" s="9">
        <v>891.17</v>
      </c>
      <c r="H994" s="9">
        <v>5440.4</v>
      </c>
      <c r="I994" s="6" t="s">
        <v>161</v>
      </c>
      <c r="J994" s="6" t="s">
        <v>312</v>
      </c>
      <c r="K994" s="6" t="s">
        <v>7227</v>
      </c>
      <c r="L994" s="6">
        <v>7.6764822635E10</v>
      </c>
      <c r="M994" s="6" t="s">
        <v>7228</v>
      </c>
      <c r="N994" s="6" t="s">
        <v>427</v>
      </c>
      <c r="O994" s="6" t="s">
        <v>178</v>
      </c>
      <c r="P994" s="10">
        <v>46047.0</v>
      </c>
    </row>
    <row r="995" ht="22.5" customHeight="1">
      <c r="A995" s="6" t="s">
        <v>7229</v>
      </c>
      <c r="B995" s="6" t="s">
        <v>7230</v>
      </c>
      <c r="C995" s="6" t="s">
        <v>7231</v>
      </c>
      <c r="D995" s="6" t="s">
        <v>145</v>
      </c>
      <c r="E995" s="6" t="s">
        <v>147</v>
      </c>
      <c r="F995" s="8">
        <v>25.0</v>
      </c>
      <c r="G995" s="9">
        <v>145.34</v>
      </c>
      <c r="H995" s="9">
        <v>11642.7</v>
      </c>
      <c r="I995" s="6" t="s">
        <v>161</v>
      </c>
      <c r="J995" s="6" t="s">
        <v>163</v>
      </c>
      <c r="K995" s="6" t="s">
        <v>7233</v>
      </c>
      <c r="L995" s="6">
        <v>3.421480285E10</v>
      </c>
      <c r="M995" s="6" t="s">
        <v>7234</v>
      </c>
      <c r="N995" s="6" t="s">
        <v>112</v>
      </c>
      <c r="O995" s="6" t="s">
        <v>178</v>
      </c>
      <c r="P995" s="10">
        <v>45959.0</v>
      </c>
    </row>
    <row r="996" ht="22.5" customHeight="1">
      <c r="A996" s="6" t="s">
        <v>7235</v>
      </c>
      <c r="B996" s="6" t="s">
        <v>7237</v>
      </c>
      <c r="C996" s="6" t="s">
        <v>7238</v>
      </c>
      <c r="D996" s="6" t="s">
        <v>206</v>
      </c>
      <c r="E996" s="6" t="s">
        <v>301</v>
      </c>
      <c r="F996" s="8">
        <v>30.0</v>
      </c>
      <c r="G996" s="9">
        <v>1335.5</v>
      </c>
      <c r="H996" s="9">
        <v>3496.14</v>
      </c>
      <c r="I996" s="6" t="s">
        <v>161</v>
      </c>
      <c r="J996" s="6" t="s">
        <v>259</v>
      </c>
      <c r="K996" s="6" t="s">
        <v>7239</v>
      </c>
      <c r="L996" s="6">
        <v>9.1679546467E10</v>
      </c>
      <c r="M996" s="6" t="s">
        <v>7240</v>
      </c>
      <c r="N996" s="6" t="s">
        <v>112</v>
      </c>
      <c r="O996" s="6" t="s">
        <v>178</v>
      </c>
      <c r="P996" s="10">
        <v>45937.0</v>
      </c>
    </row>
    <row r="997" ht="22.5" customHeight="1">
      <c r="A997" s="6" t="s">
        <v>7242</v>
      </c>
      <c r="B997" s="6" t="s">
        <v>7243</v>
      </c>
      <c r="C997" s="6" t="s">
        <v>7244</v>
      </c>
      <c r="D997" s="6" t="s">
        <v>145</v>
      </c>
      <c r="E997" s="6" t="s">
        <v>147</v>
      </c>
      <c r="F997" s="8">
        <v>6.0</v>
      </c>
      <c r="G997" s="9">
        <v>823.37</v>
      </c>
      <c r="H997" s="9">
        <v>10965.7</v>
      </c>
      <c r="I997" s="6" t="s">
        <v>161</v>
      </c>
      <c r="J997" s="6" t="s">
        <v>163</v>
      </c>
      <c r="K997" s="6" t="s">
        <v>7246</v>
      </c>
      <c r="L997" s="6">
        <v>7.1960354039E10</v>
      </c>
      <c r="M997" s="6" t="s">
        <v>7247</v>
      </c>
      <c r="N997" s="6" t="s">
        <v>283</v>
      </c>
      <c r="O997" s="6" t="s">
        <v>178</v>
      </c>
      <c r="P997" s="10">
        <v>46001.0</v>
      </c>
    </row>
    <row r="998" ht="22.5" customHeight="1">
      <c r="A998" s="6" t="s">
        <v>7248</v>
      </c>
      <c r="B998" s="6" t="s">
        <v>7249</v>
      </c>
      <c r="C998" s="6" t="s">
        <v>7250</v>
      </c>
      <c r="D998" s="6" t="s">
        <v>206</v>
      </c>
      <c r="E998" s="6" t="s">
        <v>301</v>
      </c>
      <c r="F998" s="8">
        <v>31.0</v>
      </c>
      <c r="G998" s="9">
        <v>1112.27</v>
      </c>
      <c r="H998" s="9">
        <v>6602.68</v>
      </c>
      <c r="I998" s="6" t="s">
        <v>161</v>
      </c>
      <c r="J998" s="6" t="s">
        <v>312</v>
      </c>
      <c r="K998" s="6" t="s">
        <v>7252</v>
      </c>
      <c r="L998" s="6">
        <v>7.0952729579E10</v>
      </c>
      <c r="M998" s="6" t="s">
        <v>7253</v>
      </c>
      <c r="N998" s="6" t="s">
        <v>112</v>
      </c>
      <c r="O998" s="6" t="s">
        <v>178</v>
      </c>
      <c r="P998" s="10">
        <v>46000.0</v>
      </c>
    </row>
    <row r="999" ht="22.5" customHeight="1">
      <c r="A999" s="6" t="s">
        <v>7255</v>
      </c>
      <c r="B999" s="6" t="s">
        <v>7256</v>
      </c>
      <c r="C999" s="6" t="s">
        <v>7257</v>
      </c>
      <c r="D999" s="6" t="s">
        <v>383</v>
      </c>
      <c r="E999" s="6" t="s">
        <v>147</v>
      </c>
      <c r="F999" s="8">
        <v>21.0</v>
      </c>
      <c r="G999" s="9">
        <v>1094.25</v>
      </c>
      <c r="H999" s="9">
        <v>14658.93</v>
      </c>
      <c r="I999" s="6" t="s">
        <v>161</v>
      </c>
      <c r="J999" s="6" t="s">
        <v>393</v>
      </c>
      <c r="K999" s="6" t="s">
        <v>7258</v>
      </c>
      <c r="L999" s="6">
        <v>3.8508269041E10</v>
      </c>
      <c r="M999" s="6" t="s">
        <v>7259</v>
      </c>
      <c r="N999" s="6" t="s">
        <v>427</v>
      </c>
      <c r="O999" s="6" t="s">
        <v>178</v>
      </c>
      <c r="P999" s="10">
        <v>46037.0</v>
      </c>
    </row>
    <row r="1000" ht="22.5" customHeight="1">
      <c r="A1000" s="6" t="s">
        <v>7261</v>
      </c>
      <c r="B1000" s="6" t="s">
        <v>7262</v>
      </c>
      <c r="C1000" s="6" t="s">
        <v>7263</v>
      </c>
      <c r="D1000" s="6" t="s">
        <v>206</v>
      </c>
      <c r="E1000" s="6" t="s">
        <v>147</v>
      </c>
      <c r="F1000" s="8">
        <v>9.0</v>
      </c>
      <c r="G1000" s="9">
        <v>1567.36</v>
      </c>
      <c r="H1000" s="9">
        <v>9730.89</v>
      </c>
      <c r="I1000" s="6" t="s">
        <v>161</v>
      </c>
      <c r="J1000" s="6" t="s">
        <v>163</v>
      </c>
      <c r="K1000" s="6" t="s">
        <v>7265</v>
      </c>
      <c r="L1000" s="6">
        <v>4.4556827285E10</v>
      </c>
      <c r="M1000" s="6" t="s">
        <v>7266</v>
      </c>
      <c r="N1000" s="6" t="s">
        <v>427</v>
      </c>
      <c r="O1000" s="6" t="s">
        <v>178</v>
      </c>
      <c r="P1000" s="10">
        <v>45939.0</v>
      </c>
    </row>
    <row r="1001" ht="22.5" customHeight="1">
      <c r="A1001" s="6" t="s">
        <v>7267</v>
      </c>
      <c r="B1001" s="6" t="s">
        <v>7268</v>
      </c>
      <c r="C1001" s="6" t="s">
        <v>7269</v>
      </c>
      <c r="D1001" s="6" t="s">
        <v>206</v>
      </c>
      <c r="E1001" s="6" t="s">
        <v>210</v>
      </c>
      <c r="F1001" s="8">
        <v>75.0</v>
      </c>
      <c r="G1001" s="9">
        <v>520.0</v>
      </c>
      <c r="H1001" s="9">
        <v>8294.08</v>
      </c>
      <c r="I1001" s="6" t="s">
        <v>178</v>
      </c>
      <c r="J1001" s="6" t="s">
        <v>259</v>
      </c>
      <c r="K1001" s="6" t="s">
        <v>7271</v>
      </c>
      <c r="L1001" s="6">
        <v>4.5870745431E10</v>
      </c>
      <c r="M1001" s="6" t="s">
        <v>7272</v>
      </c>
      <c r="N1001" s="6" t="s">
        <v>176</v>
      </c>
      <c r="O1001" s="6" t="s">
        <v>161</v>
      </c>
      <c r="P1001" s="10">
        <v>45967.0</v>
      </c>
    </row>
    <row r="1002" ht="22.5" customHeight="1">
      <c r="A1002" s="6" t="s">
        <v>7274</v>
      </c>
      <c r="B1002" s="6" t="s">
        <v>7275</v>
      </c>
      <c r="C1002" s="6" t="s">
        <v>7276</v>
      </c>
      <c r="D1002" s="6" t="s">
        <v>145</v>
      </c>
      <c r="E1002" s="6" t="s">
        <v>147</v>
      </c>
      <c r="F1002" s="8">
        <v>23.0</v>
      </c>
      <c r="G1002" s="9">
        <v>1372.06</v>
      </c>
      <c r="H1002" s="9">
        <v>3700.49</v>
      </c>
      <c r="I1002" s="6" t="s">
        <v>161</v>
      </c>
      <c r="J1002" s="6" t="s">
        <v>479</v>
      </c>
      <c r="K1002" s="6" t="s">
        <v>7278</v>
      </c>
      <c r="L1002" s="6">
        <v>3.634595086E9</v>
      </c>
      <c r="M1002" s="6" t="s">
        <v>7279</v>
      </c>
      <c r="N1002" s="6" t="s">
        <v>259</v>
      </c>
      <c r="O1002" s="6" t="s">
        <v>178</v>
      </c>
      <c r="P1002" s="10">
        <v>45978.0</v>
      </c>
    </row>
    <row r="1003" ht="22.5" customHeight="1">
      <c r="A1003" s="6" t="s">
        <v>7280</v>
      </c>
      <c r="B1003" s="6" t="s">
        <v>7281</v>
      </c>
      <c r="C1003" s="6" t="s">
        <v>7282</v>
      </c>
      <c r="D1003" s="6" t="s">
        <v>206</v>
      </c>
      <c r="E1003" s="6" t="s">
        <v>147</v>
      </c>
      <c r="F1003" s="8">
        <v>21.0</v>
      </c>
      <c r="G1003" s="9">
        <v>412.9</v>
      </c>
      <c r="H1003" s="9">
        <v>11094.89</v>
      </c>
      <c r="I1003" s="6" t="s">
        <v>161</v>
      </c>
      <c r="J1003" s="6" t="s">
        <v>479</v>
      </c>
      <c r="K1003" s="6" t="s">
        <v>7284</v>
      </c>
      <c r="L1003" s="6">
        <v>9.7600192808E10</v>
      </c>
      <c r="M1003" s="6" t="s">
        <v>7285</v>
      </c>
      <c r="N1003" s="6" t="s">
        <v>112</v>
      </c>
      <c r="O1003" s="6" t="s">
        <v>178</v>
      </c>
      <c r="P1003" s="10">
        <v>46000.0</v>
      </c>
    </row>
    <row r="1004" ht="22.5" customHeight="1">
      <c r="A1004" s="6" t="s">
        <v>7286</v>
      </c>
      <c r="B1004" s="6" t="s">
        <v>7287</v>
      </c>
      <c r="C1004" s="6" t="s">
        <v>7289</v>
      </c>
      <c r="D1004" s="6" t="s">
        <v>206</v>
      </c>
      <c r="E1004" s="6" t="s">
        <v>147</v>
      </c>
      <c r="F1004" s="8">
        <v>29.0</v>
      </c>
      <c r="G1004" s="9">
        <v>370.85</v>
      </c>
      <c r="H1004" s="9">
        <v>11553.7</v>
      </c>
      <c r="I1004" s="6" t="s">
        <v>161</v>
      </c>
      <c r="J1004" s="6" t="s">
        <v>465</v>
      </c>
      <c r="K1004" s="6" t="s">
        <v>7290</v>
      </c>
      <c r="L1004" s="6">
        <v>2.0554669676E10</v>
      </c>
      <c r="M1004" s="6" t="s">
        <v>7291</v>
      </c>
      <c r="N1004" s="6" t="s">
        <v>427</v>
      </c>
      <c r="O1004" s="6" t="s">
        <v>178</v>
      </c>
      <c r="P1004" s="10">
        <v>46051.0</v>
      </c>
    </row>
    <row r="1005" ht="22.5" customHeight="1">
      <c r="A1005" s="6" t="s">
        <v>7293</v>
      </c>
      <c r="B1005" s="6" t="s">
        <v>7294</v>
      </c>
      <c r="C1005" s="6" t="s">
        <v>7295</v>
      </c>
      <c r="D1005" s="6" t="s">
        <v>145</v>
      </c>
      <c r="E1005" s="6" t="s">
        <v>147</v>
      </c>
      <c r="F1005" s="8">
        <v>10.0</v>
      </c>
      <c r="G1005" s="9">
        <v>815.61</v>
      </c>
      <c r="H1005" s="9">
        <v>12021.83</v>
      </c>
      <c r="I1005" s="6" t="s">
        <v>161</v>
      </c>
      <c r="J1005" s="6" t="s">
        <v>163</v>
      </c>
      <c r="K1005" s="6" t="s">
        <v>7297</v>
      </c>
      <c r="L1005" s="6">
        <v>6.4926176881E10</v>
      </c>
      <c r="M1005" s="6" t="s">
        <v>7298</v>
      </c>
      <c r="N1005" s="6" t="s">
        <v>112</v>
      </c>
      <c r="O1005" s="6" t="s">
        <v>178</v>
      </c>
      <c r="P1005" s="10">
        <v>45946.0</v>
      </c>
    </row>
    <row r="1006" ht="22.5" customHeight="1">
      <c r="A1006" s="6" t="s">
        <v>7299</v>
      </c>
      <c r="B1006" s="6" t="s">
        <v>7300</v>
      </c>
      <c r="C1006" s="6" t="s">
        <v>7301</v>
      </c>
      <c r="D1006" s="6" t="s">
        <v>206</v>
      </c>
      <c r="E1006" s="6" t="s">
        <v>301</v>
      </c>
      <c r="F1006" s="8">
        <v>44.0</v>
      </c>
      <c r="G1006" s="9">
        <v>197.55</v>
      </c>
      <c r="H1006" s="9">
        <v>8745.99</v>
      </c>
      <c r="I1006" s="6" t="s">
        <v>161</v>
      </c>
      <c r="J1006" s="6" t="s">
        <v>163</v>
      </c>
      <c r="K1006" s="6" t="s">
        <v>7303</v>
      </c>
      <c r="L1006" s="6">
        <v>1.4769169618E10</v>
      </c>
      <c r="M1006" s="6" t="s">
        <v>7304</v>
      </c>
      <c r="N1006" s="6" t="s">
        <v>112</v>
      </c>
      <c r="O1006" s="6" t="s">
        <v>178</v>
      </c>
      <c r="P1006" s="10">
        <v>45976.0</v>
      </c>
    </row>
    <row r="1007" ht="22.5" customHeight="1">
      <c r="A1007" s="6" t="s">
        <v>7306</v>
      </c>
      <c r="B1007" s="6" t="s">
        <v>7307</v>
      </c>
      <c r="C1007" s="6" t="s">
        <v>7308</v>
      </c>
      <c r="D1007" s="6" t="s">
        <v>206</v>
      </c>
      <c r="E1007" s="6" t="s">
        <v>301</v>
      </c>
      <c r="F1007" s="8">
        <v>30.0</v>
      </c>
      <c r="G1007" s="9">
        <v>398.97</v>
      </c>
      <c r="H1007" s="9">
        <v>9205.35</v>
      </c>
      <c r="I1007" s="6" t="s">
        <v>161</v>
      </c>
      <c r="J1007" s="6" t="s">
        <v>163</v>
      </c>
      <c r="K1007" s="6" t="s">
        <v>7310</v>
      </c>
      <c r="L1007" s="6">
        <v>8.7659894506E10</v>
      </c>
      <c r="M1007" s="6" t="s">
        <v>7312</v>
      </c>
      <c r="N1007" s="6" t="s">
        <v>427</v>
      </c>
      <c r="O1007" s="6" t="s">
        <v>178</v>
      </c>
      <c r="P1007" s="10">
        <v>46033.0</v>
      </c>
    </row>
    <row r="1008" ht="22.5" customHeight="1">
      <c r="A1008" s="6" t="s">
        <v>7313</v>
      </c>
      <c r="B1008" s="6" t="s">
        <v>7315</v>
      </c>
      <c r="C1008" s="6" t="s">
        <v>7316</v>
      </c>
      <c r="D1008" s="6" t="s">
        <v>206</v>
      </c>
      <c r="E1008" s="6" t="s">
        <v>147</v>
      </c>
      <c r="F1008" s="8">
        <v>17.0</v>
      </c>
      <c r="G1008" s="9">
        <v>481.43</v>
      </c>
      <c r="H1008" s="9">
        <v>4420.78</v>
      </c>
      <c r="I1008" s="6" t="s">
        <v>161</v>
      </c>
      <c r="J1008" s="6" t="s">
        <v>228</v>
      </c>
      <c r="K1008" s="6" t="s">
        <v>7317</v>
      </c>
      <c r="L1008" s="6">
        <v>2.1752061207E10</v>
      </c>
      <c r="M1008" s="6" t="s">
        <v>7319</v>
      </c>
      <c r="N1008" s="6" t="s">
        <v>176</v>
      </c>
      <c r="O1008" s="6" t="s">
        <v>178</v>
      </c>
      <c r="P1008" s="10">
        <v>46024.0</v>
      </c>
    </row>
    <row r="1009" ht="22.5" customHeight="1">
      <c r="A1009" s="6" t="s">
        <v>7320</v>
      </c>
      <c r="B1009" s="6" t="s">
        <v>7321</v>
      </c>
      <c r="C1009" s="6" t="s">
        <v>7323</v>
      </c>
      <c r="D1009" s="6" t="s">
        <v>145</v>
      </c>
      <c r="E1009" s="6" t="s">
        <v>147</v>
      </c>
      <c r="F1009" s="8">
        <v>17.0</v>
      </c>
      <c r="G1009" s="9">
        <v>1666.32</v>
      </c>
      <c r="H1009" s="9">
        <v>14449.71</v>
      </c>
      <c r="I1009" s="6" t="s">
        <v>161</v>
      </c>
      <c r="J1009" s="6" t="s">
        <v>357</v>
      </c>
      <c r="K1009" s="6" t="s">
        <v>7324</v>
      </c>
      <c r="L1009" s="6">
        <v>9.2603890187E10</v>
      </c>
      <c r="M1009" s="6" t="s">
        <v>7325</v>
      </c>
      <c r="N1009" s="6" t="s">
        <v>259</v>
      </c>
      <c r="O1009" s="6" t="s">
        <v>178</v>
      </c>
      <c r="P1009" s="10">
        <v>45942.0</v>
      </c>
    </row>
    <row r="1010" ht="22.5" customHeight="1">
      <c r="A1010" s="6" t="s">
        <v>7326</v>
      </c>
      <c r="B1010" s="6" t="s">
        <v>7327</v>
      </c>
      <c r="C1010" s="6" t="s">
        <v>7328</v>
      </c>
      <c r="D1010" s="6" t="s">
        <v>383</v>
      </c>
      <c r="E1010" s="6" t="s">
        <v>147</v>
      </c>
      <c r="F1010" s="8">
        <v>25.0</v>
      </c>
      <c r="G1010" s="9">
        <v>472.97</v>
      </c>
      <c r="H1010" s="9">
        <v>9404.63</v>
      </c>
      <c r="I1010" s="6" t="s">
        <v>178</v>
      </c>
      <c r="J1010" s="6" t="s">
        <v>259</v>
      </c>
      <c r="K1010" s="6" t="s">
        <v>7330</v>
      </c>
      <c r="L1010" s="6">
        <v>6.518557568E9</v>
      </c>
      <c r="M1010" s="6" t="s">
        <v>7331</v>
      </c>
      <c r="N1010" s="6" t="s">
        <v>283</v>
      </c>
      <c r="O1010" s="6" t="s">
        <v>161</v>
      </c>
      <c r="P1010" s="10">
        <v>45933.0</v>
      </c>
    </row>
    <row r="1011" ht="22.5" customHeight="1">
      <c r="A1011" s="6" t="s">
        <v>7333</v>
      </c>
      <c r="B1011" s="6" t="s">
        <v>7334</v>
      </c>
      <c r="C1011" s="6" t="s">
        <v>7335</v>
      </c>
      <c r="D1011" s="6" t="s">
        <v>145</v>
      </c>
      <c r="E1011" s="6" t="s">
        <v>147</v>
      </c>
      <c r="F1011" s="8">
        <v>15.0</v>
      </c>
      <c r="G1011" s="9">
        <v>1073.1</v>
      </c>
      <c r="H1011" s="9">
        <v>14398.75</v>
      </c>
      <c r="I1011" s="6" t="s">
        <v>161</v>
      </c>
      <c r="J1011" s="6" t="s">
        <v>357</v>
      </c>
      <c r="K1011" s="6" t="s">
        <v>7336</v>
      </c>
      <c r="L1011" s="6">
        <v>2.8885699497E10</v>
      </c>
      <c r="M1011" s="6" t="s">
        <v>7338</v>
      </c>
      <c r="N1011" s="6" t="s">
        <v>259</v>
      </c>
      <c r="O1011" s="6" t="s">
        <v>178</v>
      </c>
      <c r="P1011" s="10">
        <v>46016.0</v>
      </c>
    </row>
    <row r="1012" ht="22.5" customHeight="1">
      <c r="A1012" s="6" t="s">
        <v>7339</v>
      </c>
      <c r="B1012" s="6" t="s">
        <v>7340</v>
      </c>
      <c r="C1012" s="6" t="s">
        <v>7341</v>
      </c>
      <c r="D1012" s="6" t="s">
        <v>206</v>
      </c>
      <c r="E1012" s="6" t="s">
        <v>147</v>
      </c>
      <c r="F1012" s="8">
        <v>20.0</v>
      </c>
      <c r="G1012" s="9">
        <v>430.45</v>
      </c>
      <c r="H1012" s="9">
        <v>13896.79</v>
      </c>
      <c r="I1012" s="6" t="s">
        <v>161</v>
      </c>
      <c r="J1012" s="6" t="s">
        <v>442</v>
      </c>
      <c r="K1012" s="6" t="s">
        <v>7343</v>
      </c>
      <c r="L1012" s="6">
        <v>7.74279095E9</v>
      </c>
      <c r="M1012" s="6" t="s">
        <v>7344</v>
      </c>
      <c r="N1012" s="6" t="s">
        <v>176</v>
      </c>
      <c r="O1012" s="6" t="s">
        <v>178</v>
      </c>
      <c r="P1012" s="10">
        <v>45978.0</v>
      </c>
    </row>
    <row r="1013" ht="22.5" customHeight="1">
      <c r="A1013" s="6" t="s">
        <v>7345</v>
      </c>
      <c r="B1013" s="6" t="s">
        <v>7346</v>
      </c>
      <c r="C1013" s="6" t="s">
        <v>7347</v>
      </c>
      <c r="D1013" s="6" t="s">
        <v>206</v>
      </c>
      <c r="E1013" s="6" t="s">
        <v>147</v>
      </c>
      <c r="F1013" s="8">
        <v>5.0</v>
      </c>
      <c r="G1013" s="9">
        <v>552.63</v>
      </c>
      <c r="H1013" s="9">
        <v>4717.07</v>
      </c>
      <c r="I1013" s="6" t="s">
        <v>161</v>
      </c>
      <c r="J1013" s="6" t="s">
        <v>421</v>
      </c>
      <c r="K1013" s="6" t="s">
        <v>7349</v>
      </c>
      <c r="L1013" s="6">
        <v>7.7838244115E10</v>
      </c>
      <c r="M1013" s="6" t="s">
        <v>7350</v>
      </c>
      <c r="N1013" s="6" t="s">
        <v>112</v>
      </c>
      <c r="O1013" s="6" t="s">
        <v>178</v>
      </c>
      <c r="P1013" s="10">
        <v>46017.0</v>
      </c>
    </row>
    <row r="1014" ht="22.5" customHeight="1">
      <c r="A1014" s="6" t="s">
        <v>7352</v>
      </c>
      <c r="B1014" s="6" t="s">
        <v>7353</v>
      </c>
      <c r="C1014" s="6" t="s">
        <v>7354</v>
      </c>
      <c r="D1014" s="6" t="s">
        <v>145</v>
      </c>
      <c r="E1014" s="6" t="s">
        <v>147</v>
      </c>
      <c r="F1014" s="8">
        <v>7.0</v>
      </c>
      <c r="G1014" s="9">
        <v>630.18</v>
      </c>
      <c r="H1014" s="9">
        <v>8447.24</v>
      </c>
      <c r="I1014" s="6" t="s">
        <v>161</v>
      </c>
      <c r="J1014" s="6" t="s">
        <v>577</v>
      </c>
      <c r="K1014" s="6" t="s">
        <v>7356</v>
      </c>
      <c r="L1014" s="6">
        <v>6.3126884202E10</v>
      </c>
      <c r="M1014" s="6" t="s">
        <v>7357</v>
      </c>
      <c r="N1014" s="6" t="s">
        <v>112</v>
      </c>
      <c r="O1014" s="6" t="s">
        <v>178</v>
      </c>
      <c r="P1014" s="10">
        <v>45985.0</v>
      </c>
    </row>
    <row r="1015" ht="22.5" customHeight="1">
      <c r="A1015" s="6" t="s">
        <v>7358</v>
      </c>
      <c r="B1015" s="6" t="s">
        <v>7359</v>
      </c>
      <c r="C1015" s="6" t="s">
        <v>7360</v>
      </c>
      <c r="D1015" s="6" t="s">
        <v>383</v>
      </c>
      <c r="E1015" s="6" t="s">
        <v>147</v>
      </c>
      <c r="F1015" s="8">
        <v>18.0</v>
      </c>
      <c r="G1015" s="9">
        <v>836.08</v>
      </c>
      <c r="H1015" s="9">
        <v>10989.35</v>
      </c>
      <c r="I1015" s="6" t="s">
        <v>161</v>
      </c>
      <c r="J1015" s="6" t="s">
        <v>357</v>
      </c>
      <c r="K1015" s="6" t="s">
        <v>7362</v>
      </c>
      <c r="L1015" s="6">
        <v>7.2413752891E10</v>
      </c>
      <c r="M1015" s="6" t="s">
        <v>7363</v>
      </c>
      <c r="N1015" s="6" t="s">
        <v>427</v>
      </c>
      <c r="O1015" s="6" t="s">
        <v>178</v>
      </c>
      <c r="P1015" s="10">
        <v>46050.0</v>
      </c>
    </row>
    <row r="1016" ht="22.5" customHeight="1">
      <c r="A1016" s="6" t="s">
        <v>7365</v>
      </c>
      <c r="B1016" s="6" t="s">
        <v>7366</v>
      </c>
      <c r="C1016" s="6" t="s">
        <v>7367</v>
      </c>
      <c r="D1016" s="6" t="s">
        <v>145</v>
      </c>
      <c r="E1016" s="6" t="s">
        <v>301</v>
      </c>
      <c r="F1016" s="8">
        <v>44.0</v>
      </c>
      <c r="G1016" s="9">
        <v>376.57</v>
      </c>
      <c r="H1016" s="9">
        <v>10532.67</v>
      </c>
      <c r="I1016" s="6" t="s">
        <v>161</v>
      </c>
      <c r="J1016" s="6" t="s">
        <v>421</v>
      </c>
      <c r="K1016" s="6" t="s">
        <v>7368</v>
      </c>
      <c r="L1016" s="6">
        <v>7.2396973534E10</v>
      </c>
      <c r="M1016" s="6" t="s">
        <v>7370</v>
      </c>
      <c r="N1016" s="6" t="s">
        <v>259</v>
      </c>
      <c r="O1016" s="6" t="s">
        <v>178</v>
      </c>
      <c r="P1016" s="10">
        <v>45982.0</v>
      </c>
    </row>
    <row r="1017" ht="22.5" customHeight="1">
      <c r="A1017" s="6" t="s">
        <v>7371</v>
      </c>
      <c r="B1017" s="6" t="s">
        <v>7372</v>
      </c>
      <c r="C1017" s="6" t="s">
        <v>7373</v>
      </c>
      <c r="D1017" s="6" t="s">
        <v>206</v>
      </c>
      <c r="E1017" s="6" t="s">
        <v>147</v>
      </c>
      <c r="F1017" s="8">
        <v>14.0</v>
      </c>
      <c r="G1017" s="9">
        <v>1781.5</v>
      </c>
      <c r="H1017" s="9">
        <v>8464.62</v>
      </c>
      <c r="I1017" s="6" t="s">
        <v>161</v>
      </c>
      <c r="J1017" s="6" t="s">
        <v>163</v>
      </c>
      <c r="K1017" s="6" t="s">
        <v>7375</v>
      </c>
      <c r="L1017" s="6">
        <v>4.7697500785E10</v>
      </c>
      <c r="M1017" s="6" t="s">
        <v>7376</v>
      </c>
      <c r="N1017" s="6" t="s">
        <v>176</v>
      </c>
      <c r="O1017" s="6" t="s">
        <v>178</v>
      </c>
      <c r="P1017" s="10">
        <v>45950.0</v>
      </c>
    </row>
    <row r="1018" ht="22.5" customHeight="1">
      <c r="A1018" s="6" t="s">
        <v>7377</v>
      </c>
      <c r="B1018" s="6" t="s">
        <v>7378</v>
      </c>
      <c r="C1018" s="6" t="s">
        <v>7379</v>
      </c>
      <c r="D1018" s="6" t="s">
        <v>145</v>
      </c>
      <c r="E1018" s="6" t="s">
        <v>301</v>
      </c>
      <c r="F1018" s="8">
        <v>48.0</v>
      </c>
      <c r="G1018" s="9">
        <v>1081.12</v>
      </c>
      <c r="H1018" s="9">
        <v>5587.49</v>
      </c>
      <c r="I1018" s="6" t="s">
        <v>161</v>
      </c>
      <c r="J1018" s="6" t="s">
        <v>442</v>
      </c>
      <c r="K1018" s="6" t="s">
        <v>7381</v>
      </c>
      <c r="L1018" s="6">
        <v>6.1954556187E10</v>
      </c>
      <c r="M1018" s="6" t="s">
        <v>7382</v>
      </c>
      <c r="N1018" s="6" t="s">
        <v>112</v>
      </c>
      <c r="O1018" s="6" t="s">
        <v>178</v>
      </c>
      <c r="P1018" s="10">
        <v>45984.0</v>
      </c>
    </row>
    <row r="1019" ht="22.5" customHeight="1">
      <c r="A1019" s="6" t="s">
        <v>7383</v>
      </c>
      <c r="B1019" s="6" t="s">
        <v>7384</v>
      </c>
      <c r="C1019" s="6" t="s">
        <v>7385</v>
      </c>
      <c r="D1019" s="6" t="s">
        <v>206</v>
      </c>
      <c r="E1019" s="6" t="s">
        <v>147</v>
      </c>
      <c r="F1019" s="8">
        <v>18.0</v>
      </c>
      <c r="G1019" s="9">
        <v>136.9</v>
      </c>
      <c r="H1019" s="9">
        <v>746.78</v>
      </c>
      <c r="I1019" s="6" t="s">
        <v>161</v>
      </c>
      <c r="J1019" s="6" t="s">
        <v>577</v>
      </c>
      <c r="K1019" s="6" t="s">
        <v>7387</v>
      </c>
      <c r="L1019" s="6">
        <v>2.9464347773E10</v>
      </c>
      <c r="M1019" s="6" t="s">
        <v>7388</v>
      </c>
      <c r="N1019" s="6" t="s">
        <v>283</v>
      </c>
      <c r="O1019" s="6" t="s">
        <v>178</v>
      </c>
      <c r="P1019" s="10">
        <v>45997.0</v>
      </c>
    </row>
    <row r="1020" ht="22.5" customHeight="1">
      <c r="A1020" s="6" t="s">
        <v>7389</v>
      </c>
      <c r="B1020" s="6" t="s">
        <v>7390</v>
      </c>
      <c r="C1020" s="6" t="s">
        <v>7391</v>
      </c>
      <c r="D1020" s="6" t="s">
        <v>206</v>
      </c>
      <c r="E1020" s="6" t="s">
        <v>147</v>
      </c>
      <c r="F1020" s="8">
        <v>20.0</v>
      </c>
      <c r="G1020" s="9">
        <v>1501.4</v>
      </c>
      <c r="H1020" s="9">
        <v>2815.66</v>
      </c>
      <c r="I1020" s="6" t="s">
        <v>161</v>
      </c>
      <c r="J1020" s="6" t="s">
        <v>163</v>
      </c>
      <c r="K1020" s="6" t="s">
        <v>7393</v>
      </c>
      <c r="L1020" s="6">
        <v>6.1687705191E10</v>
      </c>
      <c r="M1020" s="6" t="s">
        <v>7394</v>
      </c>
      <c r="N1020" s="6" t="s">
        <v>427</v>
      </c>
      <c r="O1020" s="6" t="s">
        <v>178</v>
      </c>
      <c r="P1020" s="10">
        <v>45976.0</v>
      </c>
    </row>
    <row r="1021" ht="22.5" customHeight="1">
      <c r="A1021" s="6" t="s">
        <v>7396</v>
      </c>
      <c r="B1021" s="6" t="s">
        <v>7397</v>
      </c>
      <c r="C1021" s="6" t="s">
        <v>7398</v>
      </c>
      <c r="D1021" s="6" t="s">
        <v>206</v>
      </c>
      <c r="E1021" s="6" t="s">
        <v>210</v>
      </c>
      <c r="F1021" s="8">
        <v>75.0</v>
      </c>
      <c r="G1021" s="9">
        <v>228.97</v>
      </c>
      <c r="H1021" s="9">
        <v>8563.8</v>
      </c>
      <c r="I1021" s="6" t="s">
        <v>178</v>
      </c>
      <c r="J1021" s="6" t="s">
        <v>357</v>
      </c>
      <c r="K1021" s="6" t="s">
        <v>7399</v>
      </c>
      <c r="L1021" s="6">
        <v>8.8895051521E10</v>
      </c>
      <c r="M1021" s="6" t="s">
        <v>7400</v>
      </c>
      <c r="N1021" s="6" t="s">
        <v>112</v>
      </c>
      <c r="O1021" s="6" t="s">
        <v>161</v>
      </c>
      <c r="P1021" s="10">
        <v>46043.0</v>
      </c>
    </row>
    <row r="1022" ht="22.5" customHeight="1">
      <c r="A1022" s="6" t="s">
        <v>7402</v>
      </c>
      <c r="B1022" s="6" t="s">
        <v>7403</v>
      </c>
      <c r="C1022" s="6" t="s">
        <v>7404</v>
      </c>
      <c r="D1022" s="6" t="s">
        <v>145</v>
      </c>
      <c r="E1022" s="6" t="s">
        <v>147</v>
      </c>
      <c r="F1022" s="8">
        <v>7.0</v>
      </c>
      <c r="G1022" s="9">
        <v>387.39</v>
      </c>
      <c r="H1022" s="9">
        <v>4423.45</v>
      </c>
      <c r="I1022" s="6" t="s">
        <v>161</v>
      </c>
      <c r="J1022" s="6" t="s">
        <v>357</v>
      </c>
      <c r="K1022" s="6" t="s">
        <v>7405</v>
      </c>
      <c r="L1022" s="6">
        <v>1.5451696847E10</v>
      </c>
      <c r="M1022" s="6" t="s">
        <v>7406</v>
      </c>
      <c r="N1022" s="6" t="s">
        <v>259</v>
      </c>
      <c r="O1022" s="6" t="s">
        <v>178</v>
      </c>
      <c r="P1022" s="10">
        <v>45993.0</v>
      </c>
    </row>
    <row r="1023" ht="22.5" customHeight="1">
      <c r="A1023" s="6" t="s">
        <v>7408</v>
      </c>
      <c r="B1023" s="6" t="s">
        <v>7409</v>
      </c>
      <c r="C1023" s="6" t="s">
        <v>7410</v>
      </c>
      <c r="D1023" s="6" t="s">
        <v>145</v>
      </c>
      <c r="E1023" s="6" t="s">
        <v>210</v>
      </c>
      <c r="F1023" s="8">
        <v>68.0</v>
      </c>
      <c r="G1023" s="9">
        <v>189.3</v>
      </c>
      <c r="H1023" s="9">
        <v>5013.34</v>
      </c>
      <c r="I1023" s="6" t="s">
        <v>161</v>
      </c>
      <c r="J1023" s="6" t="s">
        <v>163</v>
      </c>
      <c r="K1023" s="6" t="s">
        <v>7411</v>
      </c>
      <c r="L1023" s="6">
        <v>6.7935518334E10</v>
      </c>
      <c r="M1023" s="6" t="s">
        <v>7412</v>
      </c>
      <c r="N1023" s="6" t="s">
        <v>283</v>
      </c>
      <c r="O1023" s="6" t="s">
        <v>161</v>
      </c>
      <c r="P1023" s="10">
        <v>45999.0</v>
      </c>
    </row>
    <row r="1024" ht="22.5" customHeight="1">
      <c r="A1024" s="6" t="s">
        <v>7414</v>
      </c>
      <c r="B1024" s="6" t="s">
        <v>7415</v>
      </c>
      <c r="C1024" s="6" t="s">
        <v>7416</v>
      </c>
      <c r="D1024" s="6" t="s">
        <v>383</v>
      </c>
      <c r="E1024" s="6" t="s">
        <v>210</v>
      </c>
      <c r="F1024" s="8">
        <v>64.0</v>
      </c>
      <c r="G1024" s="9">
        <v>1769.09</v>
      </c>
      <c r="H1024" s="9">
        <v>3429.76</v>
      </c>
      <c r="I1024" s="6" t="s">
        <v>161</v>
      </c>
      <c r="J1024" s="6" t="s">
        <v>479</v>
      </c>
      <c r="K1024" s="6" t="s">
        <v>7417</v>
      </c>
      <c r="L1024" s="6">
        <v>7.646023031E10</v>
      </c>
      <c r="M1024" s="6" t="s">
        <v>7418</v>
      </c>
      <c r="N1024" s="6" t="s">
        <v>112</v>
      </c>
      <c r="O1024" s="6" t="s">
        <v>178</v>
      </c>
      <c r="P1024" s="10">
        <v>45950.0</v>
      </c>
    </row>
    <row r="1025" ht="22.5" customHeight="1">
      <c r="A1025" s="6" t="s">
        <v>7420</v>
      </c>
      <c r="B1025" s="6" t="s">
        <v>7421</v>
      </c>
      <c r="C1025" s="6" t="s">
        <v>7422</v>
      </c>
      <c r="D1025" s="6" t="s">
        <v>145</v>
      </c>
      <c r="E1025" s="6" t="s">
        <v>210</v>
      </c>
      <c r="F1025" s="8">
        <v>92.0</v>
      </c>
      <c r="G1025" s="9">
        <v>921.38</v>
      </c>
      <c r="H1025" s="9">
        <v>6712.19</v>
      </c>
      <c r="I1025" s="6" t="s">
        <v>178</v>
      </c>
      <c r="J1025" s="6" t="s">
        <v>393</v>
      </c>
      <c r="K1025" s="6" t="s">
        <v>7423</v>
      </c>
      <c r="L1025" s="6">
        <v>3.02512629E10</v>
      </c>
      <c r="M1025" s="6" t="s">
        <v>7424</v>
      </c>
      <c r="N1025" s="6" t="s">
        <v>259</v>
      </c>
      <c r="O1025" s="6" t="s">
        <v>161</v>
      </c>
      <c r="P1025" s="10">
        <v>45988.0</v>
      </c>
    </row>
    <row r="1026" ht="22.5" customHeight="1">
      <c r="A1026" s="6" t="s">
        <v>7425</v>
      </c>
      <c r="B1026" s="6" t="s">
        <v>7426</v>
      </c>
      <c r="C1026" s="6" t="s">
        <v>7427</v>
      </c>
      <c r="D1026" s="6" t="s">
        <v>145</v>
      </c>
      <c r="E1026" s="6" t="s">
        <v>301</v>
      </c>
      <c r="F1026" s="8">
        <v>50.0</v>
      </c>
      <c r="G1026" s="9">
        <v>250.19</v>
      </c>
      <c r="H1026" s="9">
        <v>11169.63</v>
      </c>
      <c r="I1026" s="6" t="s">
        <v>161</v>
      </c>
      <c r="J1026" s="6" t="s">
        <v>421</v>
      </c>
      <c r="K1026" s="6" t="s">
        <v>7429</v>
      </c>
      <c r="L1026" s="6">
        <v>4.720065605E10</v>
      </c>
      <c r="M1026" s="6" t="s">
        <v>7430</v>
      </c>
      <c r="N1026" s="6" t="s">
        <v>427</v>
      </c>
      <c r="O1026" s="6" t="s">
        <v>178</v>
      </c>
      <c r="P1026" s="10">
        <v>45990.0</v>
      </c>
    </row>
    <row r="1027" ht="22.5" customHeight="1">
      <c r="A1027" s="6" t="s">
        <v>7432</v>
      </c>
      <c r="B1027" s="6" t="s">
        <v>7433</v>
      </c>
      <c r="C1027" s="6" t="s">
        <v>7434</v>
      </c>
      <c r="D1027" s="6" t="s">
        <v>206</v>
      </c>
      <c r="E1027" s="6" t="s">
        <v>210</v>
      </c>
      <c r="F1027" s="8">
        <v>75.0</v>
      </c>
      <c r="G1027" s="9">
        <v>1645.58</v>
      </c>
      <c r="H1027" s="9">
        <v>10053.16</v>
      </c>
      <c r="I1027" s="6" t="s">
        <v>161</v>
      </c>
      <c r="J1027" s="6" t="s">
        <v>228</v>
      </c>
      <c r="K1027" s="6" t="s">
        <v>7436</v>
      </c>
      <c r="L1027" s="6">
        <v>8.0222867364E10</v>
      </c>
      <c r="M1027" s="6" t="s">
        <v>7437</v>
      </c>
      <c r="N1027" s="6" t="s">
        <v>427</v>
      </c>
      <c r="O1027" s="6" t="s">
        <v>161</v>
      </c>
      <c r="P1027" s="10">
        <v>46015.0</v>
      </c>
    </row>
    <row r="1028" ht="22.5" customHeight="1">
      <c r="A1028" s="6" t="s">
        <v>7439</v>
      </c>
      <c r="B1028" s="6" t="s">
        <v>7440</v>
      </c>
      <c r="C1028" s="6" t="s">
        <v>7441</v>
      </c>
      <c r="D1028" s="6" t="s">
        <v>145</v>
      </c>
      <c r="E1028" s="6" t="s">
        <v>147</v>
      </c>
      <c r="F1028" s="8">
        <v>13.0</v>
      </c>
      <c r="G1028" s="9">
        <v>937.49</v>
      </c>
      <c r="H1028" s="9">
        <v>7430.89</v>
      </c>
      <c r="I1028" s="6" t="s">
        <v>161</v>
      </c>
      <c r="J1028" s="6" t="s">
        <v>442</v>
      </c>
      <c r="K1028" s="6" t="s">
        <v>7443</v>
      </c>
      <c r="L1028" s="6">
        <v>7.1203254404E10</v>
      </c>
      <c r="M1028" s="6" t="s">
        <v>7444</v>
      </c>
      <c r="N1028" s="6" t="s">
        <v>259</v>
      </c>
      <c r="O1028" s="6" t="s">
        <v>178</v>
      </c>
      <c r="P1028" s="10">
        <v>46010.0</v>
      </c>
    </row>
    <row r="1029" ht="22.5" customHeight="1">
      <c r="A1029" s="6" t="s">
        <v>7445</v>
      </c>
      <c r="B1029" s="6" t="s">
        <v>7446</v>
      </c>
      <c r="C1029" s="6" t="s">
        <v>7447</v>
      </c>
      <c r="D1029" s="6" t="s">
        <v>206</v>
      </c>
      <c r="E1029" s="6" t="s">
        <v>147</v>
      </c>
      <c r="F1029" s="8">
        <v>26.0</v>
      </c>
      <c r="G1029" s="9">
        <v>810.74</v>
      </c>
      <c r="H1029" s="9">
        <v>6509.96</v>
      </c>
      <c r="I1029" s="6" t="s">
        <v>178</v>
      </c>
      <c r="J1029" s="6" t="s">
        <v>421</v>
      </c>
      <c r="K1029" s="6" t="s">
        <v>7448</v>
      </c>
      <c r="L1029" s="6">
        <v>9.086111771E10</v>
      </c>
      <c r="M1029" s="6" t="s">
        <v>7450</v>
      </c>
      <c r="N1029" s="6" t="s">
        <v>112</v>
      </c>
      <c r="O1029" s="6" t="s">
        <v>161</v>
      </c>
      <c r="P1029" s="10">
        <v>45960.0</v>
      </c>
    </row>
    <row r="1030" ht="22.5" customHeight="1">
      <c r="A1030" s="6" t="s">
        <v>7451</v>
      </c>
      <c r="B1030" s="6" t="s">
        <v>7452</v>
      </c>
      <c r="C1030" s="6" t="s">
        <v>7453</v>
      </c>
      <c r="D1030" s="6" t="s">
        <v>206</v>
      </c>
      <c r="E1030" s="6" t="s">
        <v>147</v>
      </c>
      <c r="F1030" s="8">
        <v>10.0</v>
      </c>
      <c r="G1030" s="9">
        <v>1614.86</v>
      </c>
      <c r="H1030" s="9">
        <v>5063.68</v>
      </c>
      <c r="I1030" s="6" t="s">
        <v>161</v>
      </c>
      <c r="J1030" s="6" t="s">
        <v>1787</v>
      </c>
      <c r="K1030" s="6" t="s">
        <v>7454</v>
      </c>
      <c r="L1030" s="6">
        <v>9.1395659849E10</v>
      </c>
      <c r="M1030" s="6" t="s">
        <v>7455</v>
      </c>
      <c r="N1030" s="6" t="s">
        <v>259</v>
      </c>
      <c r="O1030" s="6" t="s">
        <v>178</v>
      </c>
      <c r="P1030" s="10">
        <v>46032.0</v>
      </c>
    </row>
    <row r="1031" ht="22.5" customHeight="1">
      <c r="A1031" s="6" t="s">
        <v>7457</v>
      </c>
      <c r="B1031" s="6" t="s">
        <v>7458</v>
      </c>
      <c r="C1031" s="6" t="s">
        <v>7459</v>
      </c>
      <c r="D1031" s="6" t="s">
        <v>145</v>
      </c>
      <c r="E1031" s="6" t="s">
        <v>147</v>
      </c>
      <c r="F1031" s="8">
        <v>6.0</v>
      </c>
      <c r="G1031" s="9">
        <v>738.82</v>
      </c>
      <c r="H1031" s="9">
        <v>6706.96</v>
      </c>
      <c r="I1031" s="6" t="s">
        <v>161</v>
      </c>
      <c r="J1031" s="6" t="s">
        <v>393</v>
      </c>
      <c r="K1031" s="6" t="s">
        <v>7460</v>
      </c>
      <c r="L1031" s="6">
        <v>1.8207307083E10</v>
      </c>
      <c r="M1031" s="6" t="s">
        <v>7461</v>
      </c>
      <c r="N1031" s="6" t="s">
        <v>176</v>
      </c>
      <c r="O1031" s="6" t="s">
        <v>178</v>
      </c>
      <c r="P1031" s="10">
        <v>45989.0</v>
      </c>
    </row>
    <row r="1032" ht="22.5" customHeight="1">
      <c r="A1032" s="6" t="s">
        <v>7463</v>
      </c>
      <c r="B1032" s="6" t="s">
        <v>7464</v>
      </c>
      <c r="C1032" s="6" t="s">
        <v>7465</v>
      </c>
      <c r="D1032" s="6" t="s">
        <v>206</v>
      </c>
      <c r="E1032" s="6" t="s">
        <v>301</v>
      </c>
      <c r="F1032" s="8">
        <v>34.0</v>
      </c>
      <c r="G1032" s="9">
        <v>289.33</v>
      </c>
      <c r="H1032" s="9">
        <v>2994.34</v>
      </c>
      <c r="I1032" s="6" t="s">
        <v>161</v>
      </c>
      <c r="J1032" s="6" t="s">
        <v>577</v>
      </c>
      <c r="K1032" s="6" t="s">
        <v>7466</v>
      </c>
      <c r="L1032" s="6">
        <v>7.9124906146E10</v>
      </c>
      <c r="M1032" s="6" t="s">
        <v>7467</v>
      </c>
      <c r="N1032" s="6" t="s">
        <v>259</v>
      </c>
      <c r="O1032" s="6" t="s">
        <v>178</v>
      </c>
      <c r="P1032" s="10">
        <v>46031.0</v>
      </c>
    </row>
    <row r="1033" ht="22.5" customHeight="1">
      <c r="A1033" s="6" t="s">
        <v>7468</v>
      </c>
      <c r="B1033" s="6" t="s">
        <v>7469</v>
      </c>
      <c r="C1033" s="6" t="s">
        <v>3534</v>
      </c>
      <c r="D1033" s="6" t="s">
        <v>206</v>
      </c>
      <c r="E1033" s="6" t="s">
        <v>301</v>
      </c>
      <c r="F1033" s="8">
        <v>52.0</v>
      </c>
      <c r="G1033" s="9">
        <v>1706.83</v>
      </c>
      <c r="H1033" s="9">
        <v>11747.09</v>
      </c>
      <c r="I1033" s="6" t="s">
        <v>161</v>
      </c>
      <c r="J1033" s="6" t="s">
        <v>479</v>
      </c>
      <c r="K1033" s="6" t="s">
        <v>7471</v>
      </c>
      <c r="L1033" s="6">
        <v>4.1300301586E10</v>
      </c>
      <c r="M1033" s="6" t="s">
        <v>7472</v>
      </c>
      <c r="N1033" s="6" t="s">
        <v>427</v>
      </c>
      <c r="O1033" s="6" t="s">
        <v>178</v>
      </c>
      <c r="P1033" s="10">
        <v>46014.0</v>
      </c>
    </row>
    <row r="1034" ht="22.5" customHeight="1">
      <c r="A1034" s="6" t="s">
        <v>7473</v>
      </c>
      <c r="B1034" s="6" t="s">
        <v>7474</v>
      </c>
      <c r="C1034" s="6" t="s">
        <v>7475</v>
      </c>
      <c r="D1034" s="6" t="s">
        <v>145</v>
      </c>
      <c r="E1034" s="6" t="s">
        <v>147</v>
      </c>
      <c r="F1034" s="8">
        <v>28.0</v>
      </c>
      <c r="G1034" s="9">
        <v>84.68</v>
      </c>
      <c r="H1034" s="9">
        <v>2291.5</v>
      </c>
      <c r="I1034" s="6" t="s">
        <v>161</v>
      </c>
      <c r="J1034" s="6" t="s">
        <v>312</v>
      </c>
      <c r="K1034" s="6" t="s">
        <v>7477</v>
      </c>
      <c r="L1034" s="6">
        <v>5.5923589262E10</v>
      </c>
      <c r="M1034" s="6" t="s">
        <v>7478</v>
      </c>
      <c r="N1034" s="6" t="s">
        <v>176</v>
      </c>
      <c r="O1034" s="6" t="s">
        <v>178</v>
      </c>
      <c r="P1034" s="10">
        <v>45944.0</v>
      </c>
    </row>
    <row r="1035" ht="22.5" customHeight="1">
      <c r="A1035" s="6" t="s">
        <v>7479</v>
      </c>
      <c r="B1035" s="6" t="s">
        <v>7480</v>
      </c>
      <c r="C1035" s="6" t="s">
        <v>7481</v>
      </c>
      <c r="D1035" s="6" t="s">
        <v>145</v>
      </c>
      <c r="E1035" s="6" t="s">
        <v>147</v>
      </c>
      <c r="F1035" s="8">
        <v>26.0</v>
      </c>
      <c r="G1035" s="9">
        <v>465.62</v>
      </c>
      <c r="H1035" s="9">
        <v>11918.03</v>
      </c>
      <c r="I1035" s="6" t="s">
        <v>161</v>
      </c>
      <c r="J1035" s="6" t="s">
        <v>577</v>
      </c>
      <c r="K1035" s="6" t="s">
        <v>7483</v>
      </c>
      <c r="L1035" s="6">
        <v>9.4970430269E10</v>
      </c>
      <c r="M1035" s="6" t="s">
        <v>7484</v>
      </c>
      <c r="N1035" s="6" t="s">
        <v>112</v>
      </c>
      <c r="O1035" s="6" t="s">
        <v>178</v>
      </c>
      <c r="P1035" s="10">
        <v>46020.0</v>
      </c>
    </row>
    <row r="1036" ht="22.5" customHeight="1">
      <c r="A1036" s="6" t="s">
        <v>7485</v>
      </c>
      <c r="B1036" s="6" t="s">
        <v>7486</v>
      </c>
      <c r="C1036" s="6" t="s">
        <v>7488</v>
      </c>
      <c r="D1036" s="6" t="s">
        <v>145</v>
      </c>
      <c r="E1036" s="6" t="s">
        <v>301</v>
      </c>
      <c r="F1036" s="8">
        <v>30.0</v>
      </c>
      <c r="G1036" s="9">
        <v>1112.62</v>
      </c>
      <c r="H1036" s="9">
        <v>9118.32</v>
      </c>
      <c r="I1036" s="6" t="s">
        <v>161</v>
      </c>
      <c r="J1036" s="6" t="s">
        <v>312</v>
      </c>
      <c r="K1036" s="6" t="s">
        <v>259</v>
      </c>
      <c r="L1036" s="6" t="s">
        <v>259</v>
      </c>
      <c r="M1036" s="6" t="s">
        <v>7489</v>
      </c>
      <c r="N1036" s="6" t="s">
        <v>112</v>
      </c>
      <c r="O1036" s="6" t="s">
        <v>178</v>
      </c>
      <c r="P1036" s="10">
        <v>45971.0</v>
      </c>
    </row>
    <row r="1037" ht="22.5" customHeight="1">
      <c r="A1037" s="6" t="s">
        <v>7491</v>
      </c>
      <c r="B1037" s="6" t="s">
        <v>7492</v>
      </c>
      <c r="C1037" s="6" t="s">
        <v>7493</v>
      </c>
      <c r="D1037" s="6" t="s">
        <v>206</v>
      </c>
      <c r="E1037" s="6" t="s">
        <v>147</v>
      </c>
      <c r="F1037" s="8">
        <v>7.0</v>
      </c>
      <c r="G1037" s="9">
        <v>1203.9</v>
      </c>
      <c r="H1037" s="9">
        <v>4970.22</v>
      </c>
      <c r="I1037" s="6" t="s">
        <v>161</v>
      </c>
      <c r="J1037" s="6" t="s">
        <v>479</v>
      </c>
      <c r="K1037" s="6" t="s">
        <v>7495</v>
      </c>
      <c r="L1037" s="6">
        <v>4.9254997979E10</v>
      </c>
      <c r="M1037" s="6" t="s">
        <v>7496</v>
      </c>
      <c r="N1037" s="6" t="s">
        <v>176</v>
      </c>
      <c r="O1037" s="6" t="s">
        <v>178</v>
      </c>
      <c r="P1037" s="10">
        <v>45976.0</v>
      </c>
    </row>
    <row r="1038" ht="22.5" customHeight="1">
      <c r="A1038" s="6" t="s">
        <v>7497</v>
      </c>
      <c r="B1038" s="6" t="s">
        <v>7498</v>
      </c>
      <c r="C1038" s="6" t="s">
        <v>7499</v>
      </c>
      <c r="D1038" s="6" t="s">
        <v>383</v>
      </c>
      <c r="E1038" s="6" t="s">
        <v>301</v>
      </c>
      <c r="F1038" s="8">
        <v>54.0</v>
      </c>
      <c r="G1038" s="9">
        <v>786.37</v>
      </c>
      <c r="H1038" s="9">
        <v>9040.56</v>
      </c>
      <c r="I1038" s="6" t="s">
        <v>161</v>
      </c>
      <c r="J1038" s="6" t="s">
        <v>393</v>
      </c>
      <c r="K1038" s="6" t="s">
        <v>7501</v>
      </c>
      <c r="L1038" s="6">
        <v>1.1299798414E10</v>
      </c>
      <c r="M1038" s="6" t="s">
        <v>7502</v>
      </c>
      <c r="N1038" s="6" t="s">
        <v>427</v>
      </c>
      <c r="O1038" s="6" t="s">
        <v>178</v>
      </c>
      <c r="P1038" s="10">
        <v>45990.0</v>
      </c>
    </row>
    <row r="1039" ht="22.5" customHeight="1">
      <c r="A1039" s="6" t="s">
        <v>7504</v>
      </c>
      <c r="B1039" s="6" t="s">
        <v>7505</v>
      </c>
      <c r="C1039" s="6" t="s">
        <v>7506</v>
      </c>
      <c r="D1039" s="6" t="s">
        <v>383</v>
      </c>
      <c r="E1039" s="6" t="s">
        <v>301</v>
      </c>
      <c r="F1039" s="8">
        <v>47.0</v>
      </c>
      <c r="G1039" s="9">
        <v>738.21</v>
      </c>
      <c r="H1039" s="9">
        <v>11694.46</v>
      </c>
      <c r="I1039" s="6" t="s">
        <v>161</v>
      </c>
      <c r="J1039" s="6" t="s">
        <v>357</v>
      </c>
      <c r="K1039" s="6" t="s">
        <v>7508</v>
      </c>
      <c r="L1039" s="6">
        <v>1.4636673038E10</v>
      </c>
      <c r="M1039" s="6" t="s">
        <v>7509</v>
      </c>
      <c r="N1039" s="6" t="s">
        <v>283</v>
      </c>
      <c r="O1039" s="6" t="s">
        <v>178</v>
      </c>
      <c r="P1039" s="10">
        <v>45944.0</v>
      </c>
    </row>
    <row r="1040" ht="22.5" customHeight="1">
      <c r="A1040" s="6" t="s">
        <v>7510</v>
      </c>
      <c r="B1040" s="6" t="s">
        <v>7512</v>
      </c>
      <c r="C1040" s="6" t="s">
        <v>7513</v>
      </c>
      <c r="D1040" s="6" t="s">
        <v>145</v>
      </c>
      <c r="E1040" s="6" t="s">
        <v>147</v>
      </c>
      <c r="F1040" s="8">
        <v>29.0</v>
      </c>
      <c r="G1040" s="9">
        <v>1369.29</v>
      </c>
      <c r="H1040" s="9">
        <v>15256.96</v>
      </c>
      <c r="I1040" s="6" t="s">
        <v>178</v>
      </c>
      <c r="J1040" s="6" t="s">
        <v>479</v>
      </c>
      <c r="K1040" s="6" t="s">
        <v>7514</v>
      </c>
      <c r="L1040" s="6">
        <v>9.5146005236E10</v>
      </c>
      <c r="M1040" s="6" t="s">
        <v>7515</v>
      </c>
      <c r="N1040" s="6" t="s">
        <v>176</v>
      </c>
      <c r="O1040" s="6" t="s">
        <v>161</v>
      </c>
      <c r="P1040" s="10">
        <v>46009.0</v>
      </c>
    </row>
    <row r="1041" ht="22.5" customHeight="1">
      <c r="A1041" s="6" t="s">
        <v>7517</v>
      </c>
      <c r="B1041" s="6" t="s">
        <v>7518</v>
      </c>
      <c r="C1041" s="6" t="s">
        <v>7519</v>
      </c>
      <c r="D1041" s="6" t="s">
        <v>206</v>
      </c>
      <c r="E1041" s="6" t="s">
        <v>147</v>
      </c>
      <c r="F1041" s="8">
        <v>10.0</v>
      </c>
      <c r="G1041" s="9">
        <v>1501.08</v>
      </c>
      <c r="H1041" s="9">
        <v>14477.33</v>
      </c>
      <c r="I1041" s="6" t="s">
        <v>161</v>
      </c>
      <c r="J1041" s="6" t="s">
        <v>577</v>
      </c>
      <c r="K1041" s="6" t="s">
        <v>259</v>
      </c>
      <c r="L1041" s="6">
        <v>1.1360191491E10</v>
      </c>
      <c r="M1041" s="6" t="s">
        <v>7521</v>
      </c>
      <c r="N1041" s="6" t="s">
        <v>427</v>
      </c>
      <c r="O1041" s="6" t="s">
        <v>178</v>
      </c>
      <c r="P1041" s="10">
        <v>45981.0</v>
      </c>
    </row>
    <row r="1042" ht="22.5" customHeight="1">
      <c r="A1042" s="6" t="s">
        <v>7522</v>
      </c>
      <c r="B1042" s="6" t="s">
        <v>7523</v>
      </c>
      <c r="C1042" s="6" t="s">
        <v>7524</v>
      </c>
      <c r="D1042" s="6" t="s">
        <v>383</v>
      </c>
      <c r="E1042" s="6" t="s">
        <v>147</v>
      </c>
      <c r="F1042" s="8">
        <v>19.0</v>
      </c>
      <c r="G1042" s="9">
        <v>855.78</v>
      </c>
      <c r="H1042" s="9">
        <v>6225.29</v>
      </c>
      <c r="I1042" s="6" t="s">
        <v>161</v>
      </c>
      <c r="J1042" s="6" t="s">
        <v>465</v>
      </c>
      <c r="K1042" s="6" t="s">
        <v>7526</v>
      </c>
      <c r="L1042" s="6">
        <v>6.5954410059E10</v>
      </c>
      <c r="M1042" s="6" t="s">
        <v>7527</v>
      </c>
      <c r="N1042" s="6" t="s">
        <v>112</v>
      </c>
      <c r="O1042" s="6" t="s">
        <v>178</v>
      </c>
      <c r="P1042" s="10">
        <v>46027.0</v>
      </c>
    </row>
    <row r="1043" ht="22.5" customHeight="1">
      <c r="A1043" s="6" t="s">
        <v>7528</v>
      </c>
      <c r="B1043" s="6" t="s">
        <v>7530</v>
      </c>
      <c r="C1043" s="6" t="s">
        <v>7531</v>
      </c>
      <c r="D1043" s="6" t="s">
        <v>206</v>
      </c>
      <c r="E1043" s="6" t="s">
        <v>147</v>
      </c>
      <c r="F1043" s="8">
        <v>14.0</v>
      </c>
      <c r="G1043" s="9">
        <v>1257.64</v>
      </c>
      <c r="H1043" s="9">
        <v>4279.73</v>
      </c>
      <c r="I1043" s="6" t="s">
        <v>161</v>
      </c>
      <c r="J1043" s="6" t="s">
        <v>421</v>
      </c>
      <c r="K1043" s="6" t="s">
        <v>7533</v>
      </c>
      <c r="L1043" s="6">
        <v>1.1429522914E10</v>
      </c>
      <c r="M1043" s="6" t="s">
        <v>7534</v>
      </c>
      <c r="N1043" s="6" t="s">
        <v>427</v>
      </c>
      <c r="O1043" s="6" t="s">
        <v>178</v>
      </c>
      <c r="P1043" s="10">
        <v>46012.0</v>
      </c>
    </row>
    <row r="1044" ht="22.5" customHeight="1">
      <c r="A1044" s="6" t="s">
        <v>7535</v>
      </c>
      <c r="B1044" s="6" t="s">
        <v>7536</v>
      </c>
      <c r="C1044" s="6" t="s">
        <v>7537</v>
      </c>
      <c r="D1044" s="6" t="s">
        <v>145</v>
      </c>
      <c r="E1044" s="6" t="s">
        <v>301</v>
      </c>
      <c r="F1044" s="8">
        <v>30.0</v>
      </c>
      <c r="G1044" s="9">
        <v>1628.88</v>
      </c>
      <c r="H1044" s="9">
        <v>6256.8</v>
      </c>
      <c r="I1044" s="6" t="s">
        <v>161</v>
      </c>
      <c r="J1044" s="6" t="s">
        <v>357</v>
      </c>
      <c r="K1044" s="6" t="s">
        <v>7539</v>
      </c>
      <c r="L1044" s="6">
        <v>8.4358621587E10</v>
      </c>
      <c r="M1044" s="6" t="s">
        <v>7540</v>
      </c>
      <c r="N1044" s="6" t="s">
        <v>176</v>
      </c>
      <c r="O1044" s="6" t="s">
        <v>178</v>
      </c>
      <c r="P1044" s="10">
        <v>45964.0</v>
      </c>
    </row>
    <row r="1045" ht="22.5" customHeight="1">
      <c r="A1045" s="6" t="s">
        <v>7541</v>
      </c>
      <c r="B1045" s="6" t="s">
        <v>7542</v>
      </c>
      <c r="C1045" s="6" t="s">
        <v>7543</v>
      </c>
      <c r="D1045" s="6" t="s">
        <v>206</v>
      </c>
      <c r="E1045" s="6" t="s">
        <v>210</v>
      </c>
      <c r="F1045" s="8">
        <v>88.0</v>
      </c>
      <c r="G1045" s="9">
        <v>143.85</v>
      </c>
      <c r="H1045" s="9">
        <v>11316.63</v>
      </c>
      <c r="I1045" s="6" t="s">
        <v>178</v>
      </c>
      <c r="J1045" s="6" t="s">
        <v>312</v>
      </c>
      <c r="K1045" s="6" t="s">
        <v>7545</v>
      </c>
      <c r="L1045" s="6">
        <v>7.3844791959E10</v>
      </c>
      <c r="M1045" s="6" t="s">
        <v>7546</v>
      </c>
      <c r="N1045" s="6" t="s">
        <v>259</v>
      </c>
      <c r="O1045" s="6" t="s">
        <v>161</v>
      </c>
      <c r="P1045" s="10">
        <v>45996.0</v>
      </c>
    </row>
    <row r="1046" ht="22.5" customHeight="1">
      <c r="A1046" s="6" t="s">
        <v>7548</v>
      </c>
      <c r="B1046" s="6" t="s">
        <v>7549</v>
      </c>
      <c r="C1046" s="6" t="s">
        <v>7550</v>
      </c>
      <c r="D1046" s="6" t="s">
        <v>145</v>
      </c>
      <c r="E1046" s="6" t="s">
        <v>301</v>
      </c>
      <c r="F1046" s="8">
        <v>32.0</v>
      </c>
      <c r="G1046" s="9">
        <v>224.38</v>
      </c>
      <c r="H1046" s="9">
        <v>8510.08</v>
      </c>
      <c r="I1046" s="6" t="s">
        <v>161</v>
      </c>
      <c r="J1046" s="6" t="s">
        <v>577</v>
      </c>
      <c r="K1046" s="6" t="s">
        <v>7552</v>
      </c>
      <c r="L1046" s="6">
        <v>6.2491581163E10</v>
      </c>
      <c r="M1046" s="6" t="s">
        <v>7553</v>
      </c>
      <c r="N1046" s="6" t="s">
        <v>283</v>
      </c>
      <c r="O1046" s="6" t="s">
        <v>178</v>
      </c>
      <c r="P1046" s="10">
        <v>45955.0</v>
      </c>
    </row>
    <row r="1047" ht="22.5" customHeight="1">
      <c r="A1047" s="6" t="s">
        <v>7554</v>
      </c>
      <c r="B1047" s="6" t="s">
        <v>7555</v>
      </c>
      <c r="C1047" s="6" t="s">
        <v>7556</v>
      </c>
      <c r="D1047" s="6" t="s">
        <v>145</v>
      </c>
      <c r="E1047" s="6" t="s">
        <v>147</v>
      </c>
      <c r="F1047" s="8">
        <v>20.0</v>
      </c>
      <c r="G1047" s="9">
        <v>950.77</v>
      </c>
      <c r="H1047" s="9">
        <v>2612.91</v>
      </c>
      <c r="I1047" s="6" t="s">
        <v>161</v>
      </c>
      <c r="J1047" s="6" t="s">
        <v>442</v>
      </c>
      <c r="K1047" s="6" t="s">
        <v>7558</v>
      </c>
      <c r="L1047" s="6">
        <v>4.5439702001E10</v>
      </c>
      <c r="M1047" s="6" t="s">
        <v>7559</v>
      </c>
      <c r="N1047" s="6" t="s">
        <v>283</v>
      </c>
      <c r="O1047" s="6" t="s">
        <v>178</v>
      </c>
      <c r="P1047" s="10">
        <v>45991.0</v>
      </c>
    </row>
    <row r="1048" ht="22.5" customHeight="1">
      <c r="A1048" s="6" t="s">
        <v>7561</v>
      </c>
      <c r="B1048" s="6" t="s">
        <v>7562</v>
      </c>
      <c r="C1048" s="6" t="s">
        <v>7563</v>
      </c>
      <c r="D1048" s="6" t="s">
        <v>145</v>
      </c>
      <c r="E1048" s="6" t="s">
        <v>210</v>
      </c>
      <c r="F1048" s="8">
        <v>93.0</v>
      </c>
      <c r="G1048" s="9">
        <v>1458.64</v>
      </c>
      <c r="H1048" s="9">
        <v>12484.04</v>
      </c>
      <c r="I1048" s="6" t="s">
        <v>161</v>
      </c>
      <c r="J1048" s="6" t="s">
        <v>442</v>
      </c>
      <c r="K1048" s="6" t="s">
        <v>7565</v>
      </c>
      <c r="L1048" s="6">
        <v>2.0052472743E10</v>
      </c>
      <c r="M1048" s="6" t="s">
        <v>7566</v>
      </c>
      <c r="N1048" s="6" t="s">
        <v>176</v>
      </c>
      <c r="O1048" s="6" t="s">
        <v>161</v>
      </c>
      <c r="P1048" s="10">
        <v>45994.0</v>
      </c>
    </row>
    <row r="1049" ht="22.5" customHeight="1">
      <c r="A1049" s="6" t="s">
        <v>7568</v>
      </c>
      <c r="B1049" s="6" t="s">
        <v>7569</v>
      </c>
      <c r="C1049" s="6" t="s">
        <v>7570</v>
      </c>
      <c r="D1049" s="6" t="s">
        <v>145</v>
      </c>
      <c r="E1049" s="6" t="s">
        <v>210</v>
      </c>
      <c r="F1049" s="8">
        <v>72.0</v>
      </c>
      <c r="G1049" s="9">
        <v>829.38</v>
      </c>
      <c r="H1049" s="9">
        <v>4199.58</v>
      </c>
      <c r="I1049" s="6" t="s">
        <v>161</v>
      </c>
      <c r="J1049" s="6" t="s">
        <v>465</v>
      </c>
      <c r="K1049" s="6" t="s">
        <v>7571</v>
      </c>
      <c r="L1049" s="6" t="s">
        <v>259</v>
      </c>
      <c r="M1049" s="6" t="s">
        <v>7573</v>
      </c>
      <c r="N1049" s="6" t="s">
        <v>176</v>
      </c>
      <c r="O1049" s="6" t="s">
        <v>161</v>
      </c>
      <c r="P1049" s="10">
        <v>46017.0</v>
      </c>
    </row>
    <row r="1050" ht="22.5" customHeight="1">
      <c r="A1050" s="6" t="s">
        <v>7574</v>
      </c>
      <c r="B1050" s="6" t="s">
        <v>7575</v>
      </c>
      <c r="C1050" s="6" t="s">
        <v>7576</v>
      </c>
      <c r="D1050" s="6" t="s">
        <v>145</v>
      </c>
      <c r="E1050" s="6" t="s">
        <v>147</v>
      </c>
      <c r="F1050" s="8">
        <v>6.0</v>
      </c>
      <c r="G1050" s="9">
        <v>853.28</v>
      </c>
      <c r="H1050" s="9">
        <v>9011.33</v>
      </c>
      <c r="I1050" s="6" t="s">
        <v>161</v>
      </c>
      <c r="J1050" s="6" t="s">
        <v>393</v>
      </c>
      <c r="K1050" s="6" t="s">
        <v>7578</v>
      </c>
      <c r="L1050" s="6">
        <v>3.8518545545E10</v>
      </c>
      <c r="M1050" s="6" t="s">
        <v>7579</v>
      </c>
      <c r="N1050" s="6" t="s">
        <v>259</v>
      </c>
      <c r="O1050" s="6" t="s">
        <v>178</v>
      </c>
      <c r="P1050" s="10">
        <v>46003.0</v>
      </c>
    </row>
    <row r="1051" ht="22.5" customHeight="1">
      <c r="A1051" s="6" t="s">
        <v>7580</v>
      </c>
      <c r="B1051" s="6" t="s">
        <v>7582</v>
      </c>
      <c r="C1051" s="6" t="s">
        <v>7583</v>
      </c>
      <c r="D1051" s="6" t="s">
        <v>145</v>
      </c>
      <c r="E1051" s="6" t="s">
        <v>301</v>
      </c>
      <c r="F1051" s="8">
        <v>59.0</v>
      </c>
      <c r="G1051" s="9">
        <v>1740.38</v>
      </c>
      <c r="H1051" s="9">
        <v>10562.02</v>
      </c>
      <c r="I1051" s="6" t="s">
        <v>178</v>
      </c>
      <c r="J1051" s="6" t="s">
        <v>228</v>
      </c>
      <c r="K1051" s="6" t="s">
        <v>7584</v>
      </c>
      <c r="L1051" s="6">
        <v>5.5347746217E10</v>
      </c>
      <c r="M1051" s="6" t="s">
        <v>7585</v>
      </c>
      <c r="N1051" s="6" t="s">
        <v>112</v>
      </c>
      <c r="O1051" s="6" t="s">
        <v>161</v>
      </c>
      <c r="P1051" s="10">
        <v>46028.0</v>
      </c>
    </row>
    <row r="1052" ht="22.5" customHeight="1">
      <c r="A1052" s="6" t="s">
        <v>7587</v>
      </c>
      <c r="B1052" s="6" t="s">
        <v>7588</v>
      </c>
      <c r="C1052" s="6" t="s">
        <v>7589</v>
      </c>
      <c r="D1052" s="6" t="s">
        <v>206</v>
      </c>
      <c r="E1052" s="6" t="s">
        <v>147</v>
      </c>
      <c r="F1052" s="8">
        <v>18.0</v>
      </c>
      <c r="G1052" s="9">
        <v>352.66</v>
      </c>
      <c r="H1052" s="9">
        <v>3977.26</v>
      </c>
      <c r="I1052" s="6" t="s">
        <v>161</v>
      </c>
      <c r="J1052" s="6" t="s">
        <v>465</v>
      </c>
      <c r="K1052" s="6" t="s">
        <v>7591</v>
      </c>
      <c r="L1052" s="6">
        <v>8.6311520112E10</v>
      </c>
      <c r="M1052" s="6" t="s">
        <v>7592</v>
      </c>
      <c r="N1052" s="6" t="s">
        <v>283</v>
      </c>
      <c r="O1052" s="6" t="s">
        <v>178</v>
      </c>
      <c r="P1052" s="10">
        <v>45947.0</v>
      </c>
    </row>
    <row r="1053" ht="22.5" customHeight="1">
      <c r="A1053" s="6" t="s">
        <v>7593</v>
      </c>
      <c r="B1053" s="6" t="s">
        <v>7594</v>
      </c>
      <c r="C1053" s="6" t="s">
        <v>7595</v>
      </c>
      <c r="D1053" s="6" t="s">
        <v>206</v>
      </c>
      <c r="E1053" s="6" t="s">
        <v>301</v>
      </c>
      <c r="F1053" s="8">
        <v>42.0</v>
      </c>
      <c r="G1053" s="9">
        <v>1034.93</v>
      </c>
      <c r="H1053" s="9">
        <v>14871.59</v>
      </c>
      <c r="I1053" s="6" t="s">
        <v>161</v>
      </c>
      <c r="J1053" s="6" t="s">
        <v>259</v>
      </c>
      <c r="K1053" s="6" t="s">
        <v>7597</v>
      </c>
      <c r="L1053" s="6">
        <v>7.3523667725E10</v>
      </c>
      <c r="M1053" s="6" t="s">
        <v>7598</v>
      </c>
      <c r="N1053" s="6" t="s">
        <v>427</v>
      </c>
      <c r="O1053" s="6" t="s">
        <v>178</v>
      </c>
      <c r="P1053" s="10">
        <v>46014.0</v>
      </c>
    </row>
    <row r="1054" ht="22.5" customHeight="1">
      <c r="A1054" s="6" t="s">
        <v>7599</v>
      </c>
      <c r="B1054" s="6" t="s">
        <v>7601</v>
      </c>
      <c r="C1054" s="6" t="s">
        <v>7602</v>
      </c>
      <c r="D1054" s="6" t="s">
        <v>383</v>
      </c>
      <c r="E1054" s="6" t="s">
        <v>147</v>
      </c>
      <c r="F1054" s="8">
        <v>16.0</v>
      </c>
      <c r="G1054" s="9">
        <v>654.07</v>
      </c>
      <c r="H1054" s="9">
        <v>9138.75</v>
      </c>
      <c r="I1054" s="6" t="s">
        <v>161</v>
      </c>
      <c r="J1054" s="6" t="s">
        <v>163</v>
      </c>
      <c r="K1054" s="6" t="s">
        <v>7603</v>
      </c>
      <c r="L1054" s="6">
        <v>4.5781140099E10</v>
      </c>
      <c r="M1054" s="6" t="s">
        <v>7604</v>
      </c>
      <c r="N1054" s="6" t="s">
        <v>283</v>
      </c>
      <c r="O1054" s="6" t="s">
        <v>178</v>
      </c>
      <c r="P1054" s="10">
        <v>46021.0</v>
      </c>
    </row>
    <row r="1055" ht="22.5" customHeight="1">
      <c r="A1055" s="6" t="s">
        <v>7606</v>
      </c>
      <c r="B1055" s="6" t="s">
        <v>7607</v>
      </c>
      <c r="C1055" s="6" t="s">
        <v>7608</v>
      </c>
      <c r="D1055" s="6" t="s">
        <v>206</v>
      </c>
      <c r="E1055" s="6" t="s">
        <v>301</v>
      </c>
      <c r="F1055" s="8">
        <v>42.0</v>
      </c>
      <c r="G1055" s="9">
        <v>272.26</v>
      </c>
      <c r="H1055" s="9">
        <v>1505.02</v>
      </c>
      <c r="I1055" s="6" t="s">
        <v>161</v>
      </c>
      <c r="J1055" s="6" t="s">
        <v>479</v>
      </c>
      <c r="K1055" s="6" t="s">
        <v>7610</v>
      </c>
      <c r="L1055" s="6">
        <v>2.2816168131E10</v>
      </c>
      <c r="M1055" s="6" t="s">
        <v>7611</v>
      </c>
      <c r="N1055" s="6" t="s">
        <v>259</v>
      </c>
      <c r="O1055" s="6" t="s">
        <v>178</v>
      </c>
      <c r="P1055" s="10">
        <v>45940.0</v>
      </c>
    </row>
    <row r="1056" ht="22.5" customHeight="1">
      <c r="A1056" s="6" t="s">
        <v>7612</v>
      </c>
      <c r="B1056" s="6" t="s">
        <v>7613</v>
      </c>
      <c r="C1056" s="6" t="s">
        <v>7615</v>
      </c>
      <c r="D1056" s="6" t="s">
        <v>145</v>
      </c>
      <c r="E1056" s="6" t="s">
        <v>147</v>
      </c>
      <c r="F1056" s="8">
        <v>26.0</v>
      </c>
      <c r="G1056" s="9">
        <v>1096.23</v>
      </c>
      <c r="H1056" s="9">
        <v>9674.84</v>
      </c>
      <c r="I1056" s="6" t="s">
        <v>178</v>
      </c>
      <c r="J1056" s="6" t="s">
        <v>442</v>
      </c>
      <c r="K1056" s="6" t="s">
        <v>259</v>
      </c>
      <c r="L1056" s="6" t="s">
        <v>259</v>
      </c>
      <c r="M1056" s="6" t="s">
        <v>7617</v>
      </c>
      <c r="N1056" s="6" t="s">
        <v>427</v>
      </c>
      <c r="O1056" s="6" t="s">
        <v>161</v>
      </c>
      <c r="P1056" s="10">
        <v>45954.0</v>
      </c>
    </row>
    <row r="1057" ht="22.5" customHeight="1">
      <c r="A1057" s="6" t="s">
        <v>7618</v>
      </c>
      <c r="B1057" s="6" t="s">
        <v>7619</v>
      </c>
      <c r="C1057" s="6" t="s">
        <v>7620</v>
      </c>
      <c r="D1057" s="6" t="s">
        <v>145</v>
      </c>
      <c r="E1057" s="6" t="s">
        <v>147</v>
      </c>
      <c r="F1057" s="8">
        <v>28.0</v>
      </c>
      <c r="G1057" s="9">
        <v>1615.64</v>
      </c>
      <c r="H1057" s="9">
        <v>8480.66</v>
      </c>
      <c r="I1057" s="6" t="s">
        <v>161</v>
      </c>
      <c r="J1057" s="6" t="s">
        <v>393</v>
      </c>
      <c r="K1057" s="6" t="s">
        <v>7622</v>
      </c>
      <c r="L1057" s="6">
        <v>8.8207027475E10</v>
      </c>
      <c r="M1057" s="6" t="s">
        <v>7623</v>
      </c>
      <c r="N1057" s="6" t="s">
        <v>283</v>
      </c>
      <c r="O1057" s="6" t="s">
        <v>178</v>
      </c>
      <c r="P1057" s="10">
        <v>45946.0</v>
      </c>
    </row>
    <row r="1058" ht="22.5" customHeight="1">
      <c r="A1058" s="6" t="s">
        <v>7625</v>
      </c>
      <c r="B1058" s="6" t="s">
        <v>7626</v>
      </c>
      <c r="C1058" s="6" t="s">
        <v>7627</v>
      </c>
      <c r="D1058" s="6" t="s">
        <v>206</v>
      </c>
      <c r="E1058" s="6" t="s">
        <v>210</v>
      </c>
      <c r="F1058" s="8">
        <v>108.0</v>
      </c>
      <c r="G1058" s="9">
        <v>1611.03</v>
      </c>
      <c r="H1058" s="9">
        <v>5516.84</v>
      </c>
      <c r="I1058" s="6" t="s">
        <v>178</v>
      </c>
      <c r="J1058" s="6" t="s">
        <v>228</v>
      </c>
      <c r="K1058" s="6" t="s">
        <v>7629</v>
      </c>
      <c r="L1058" s="6">
        <v>6.6442327504E10</v>
      </c>
      <c r="M1058" s="6" t="s">
        <v>7630</v>
      </c>
      <c r="N1058" s="6" t="s">
        <v>283</v>
      </c>
      <c r="O1058" s="6" t="s">
        <v>161</v>
      </c>
      <c r="P1058" s="10">
        <v>45949.0</v>
      </c>
    </row>
    <row r="1059" ht="22.5" customHeight="1">
      <c r="A1059" s="6" t="s">
        <v>7631</v>
      </c>
      <c r="B1059" s="6" t="s">
        <v>7632</v>
      </c>
      <c r="C1059" s="6" t="s">
        <v>7633</v>
      </c>
      <c r="D1059" s="6" t="s">
        <v>145</v>
      </c>
      <c r="E1059" s="6" t="s">
        <v>301</v>
      </c>
      <c r="F1059" s="8">
        <v>33.0</v>
      </c>
      <c r="G1059" s="9">
        <v>1409.82</v>
      </c>
      <c r="H1059" s="9">
        <v>8957.46</v>
      </c>
      <c r="I1059" s="6" t="s">
        <v>161</v>
      </c>
      <c r="J1059" s="6" t="s">
        <v>2502</v>
      </c>
      <c r="K1059" s="6" t="s">
        <v>259</v>
      </c>
      <c r="L1059" s="6" t="s">
        <v>259</v>
      </c>
      <c r="M1059" s="6" t="s">
        <v>7635</v>
      </c>
      <c r="N1059" s="6" t="s">
        <v>427</v>
      </c>
      <c r="O1059" s="6" t="s">
        <v>178</v>
      </c>
      <c r="P1059" s="10">
        <v>45938.0</v>
      </c>
    </row>
    <row r="1060" ht="22.5" customHeight="1">
      <c r="A1060" s="6" t="s">
        <v>7637</v>
      </c>
      <c r="B1060" s="6" t="s">
        <v>7638</v>
      </c>
      <c r="C1060" s="6" t="s">
        <v>7639</v>
      </c>
      <c r="D1060" s="6" t="s">
        <v>145</v>
      </c>
      <c r="E1060" s="6" t="s">
        <v>147</v>
      </c>
      <c r="F1060" s="8">
        <v>29.0</v>
      </c>
      <c r="G1060" s="9">
        <v>644.76</v>
      </c>
      <c r="H1060" s="9">
        <v>9402.42</v>
      </c>
      <c r="I1060" s="6" t="s">
        <v>161</v>
      </c>
      <c r="J1060" s="6" t="s">
        <v>479</v>
      </c>
      <c r="K1060" s="6" t="s">
        <v>7641</v>
      </c>
      <c r="L1060" s="6">
        <v>4.3257781217E10</v>
      </c>
      <c r="M1060" s="6" t="s">
        <v>7642</v>
      </c>
      <c r="N1060" s="6" t="s">
        <v>112</v>
      </c>
      <c r="O1060" s="6" t="s">
        <v>178</v>
      </c>
      <c r="P1060" s="10">
        <v>46040.0</v>
      </c>
    </row>
    <row r="1061" ht="22.5" customHeight="1">
      <c r="A1061" s="6" t="s">
        <v>7643</v>
      </c>
      <c r="B1061" s="6" t="s">
        <v>7644</v>
      </c>
      <c r="C1061" s="6" t="s">
        <v>7645</v>
      </c>
      <c r="D1061" s="6" t="s">
        <v>145</v>
      </c>
      <c r="E1061" s="6" t="s">
        <v>147</v>
      </c>
      <c r="F1061" s="8">
        <v>26.0</v>
      </c>
      <c r="G1061" s="9">
        <v>1275.05</v>
      </c>
      <c r="H1061" s="9">
        <v>4269.28</v>
      </c>
      <c r="I1061" s="6" t="s">
        <v>161</v>
      </c>
      <c r="J1061" s="6" t="s">
        <v>312</v>
      </c>
      <c r="K1061" s="6" t="s">
        <v>7647</v>
      </c>
      <c r="L1061" s="6">
        <v>6.273371905E9</v>
      </c>
      <c r="M1061" s="6" t="s">
        <v>7648</v>
      </c>
      <c r="N1061" s="6" t="s">
        <v>427</v>
      </c>
      <c r="O1061" s="6" t="s">
        <v>178</v>
      </c>
      <c r="P1061" s="10">
        <v>45934.0</v>
      </c>
    </row>
    <row r="1062" ht="22.5" customHeight="1">
      <c r="A1062" s="6" t="s">
        <v>7649</v>
      </c>
      <c r="B1062" s="6" t="s">
        <v>7650</v>
      </c>
      <c r="C1062" s="6" t="s">
        <v>7651</v>
      </c>
      <c r="D1062" s="6" t="s">
        <v>206</v>
      </c>
      <c r="E1062" s="6" t="s">
        <v>301</v>
      </c>
      <c r="F1062" s="8">
        <v>58.0</v>
      </c>
      <c r="G1062" s="9">
        <v>1735.69</v>
      </c>
      <c r="H1062" s="9">
        <v>13598.41</v>
      </c>
      <c r="I1062" s="6" t="s">
        <v>161</v>
      </c>
      <c r="J1062" s="6" t="s">
        <v>393</v>
      </c>
      <c r="K1062" s="6" t="s">
        <v>7653</v>
      </c>
      <c r="L1062" s="6">
        <v>7.1431597625E10</v>
      </c>
      <c r="M1062" s="6" t="s">
        <v>7654</v>
      </c>
      <c r="N1062" s="6" t="s">
        <v>112</v>
      </c>
      <c r="O1062" s="6" t="s">
        <v>178</v>
      </c>
      <c r="P1062" s="10">
        <v>45952.0</v>
      </c>
    </row>
    <row r="1063" ht="22.5" customHeight="1">
      <c r="A1063" s="6" t="s">
        <v>7656</v>
      </c>
      <c r="B1063" s="6" t="s">
        <v>7657</v>
      </c>
      <c r="C1063" s="6" t="s">
        <v>7658</v>
      </c>
      <c r="D1063" s="6" t="s">
        <v>145</v>
      </c>
      <c r="E1063" s="6" t="s">
        <v>301</v>
      </c>
      <c r="F1063" s="8">
        <v>45.0</v>
      </c>
      <c r="G1063" s="9">
        <v>1462.94</v>
      </c>
      <c r="H1063" s="9">
        <v>7155.85</v>
      </c>
      <c r="I1063" s="6" t="s">
        <v>161</v>
      </c>
      <c r="J1063" s="6" t="s">
        <v>442</v>
      </c>
      <c r="K1063" s="6" t="s">
        <v>7660</v>
      </c>
      <c r="L1063" s="6">
        <v>9.6813087015E10</v>
      </c>
      <c r="M1063" s="6" t="s">
        <v>7661</v>
      </c>
      <c r="N1063" s="6" t="s">
        <v>176</v>
      </c>
      <c r="O1063" s="6" t="s">
        <v>178</v>
      </c>
      <c r="P1063" s="10">
        <v>45978.0</v>
      </c>
    </row>
    <row r="1064" ht="22.5" customHeight="1">
      <c r="A1064" s="6" t="s">
        <v>7663</v>
      </c>
      <c r="B1064" s="6" t="s">
        <v>7664</v>
      </c>
      <c r="C1064" s="6" t="s">
        <v>7665</v>
      </c>
      <c r="D1064" s="6" t="s">
        <v>206</v>
      </c>
      <c r="E1064" s="6" t="s">
        <v>147</v>
      </c>
      <c r="F1064" s="8">
        <v>19.0</v>
      </c>
      <c r="G1064" s="9">
        <v>1059.76</v>
      </c>
      <c r="H1064" s="9">
        <v>1889.46</v>
      </c>
      <c r="I1064" s="6" t="s">
        <v>161</v>
      </c>
      <c r="J1064" s="6" t="s">
        <v>465</v>
      </c>
      <c r="K1064" s="6" t="s">
        <v>7667</v>
      </c>
      <c r="L1064" s="6">
        <v>9.5213251735E10</v>
      </c>
      <c r="M1064" s="6" t="s">
        <v>7669</v>
      </c>
      <c r="N1064" s="6" t="s">
        <v>112</v>
      </c>
      <c r="O1064" s="6" t="s">
        <v>178</v>
      </c>
      <c r="P1064" s="10">
        <v>46029.0</v>
      </c>
    </row>
    <row r="1065" ht="22.5" customHeight="1">
      <c r="A1065" s="6" t="s">
        <v>7670</v>
      </c>
      <c r="B1065" s="6" t="s">
        <v>7671</v>
      </c>
      <c r="C1065" s="6" t="s">
        <v>7672</v>
      </c>
      <c r="D1065" s="6" t="s">
        <v>206</v>
      </c>
      <c r="E1065" s="6" t="s">
        <v>147</v>
      </c>
      <c r="F1065" s="8">
        <v>6.0</v>
      </c>
      <c r="G1065" s="9">
        <v>1385.4</v>
      </c>
      <c r="H1065" s="9">
        <v>2980.3</v>
      </c>
      <c r="I1065" s="6" t="s">
        <v>161</v>
      </c>
      <c r="J1065" s="6" t="s">
        <v>421</v>
      </c>
      <c r="K1065" s="6" t="s">
        <v>7674</v>
      </c>
      <c r="L1065" s="6">
        <v>6.122951749E9</v>
      </c>
      <c r="M1065" s="6" t="s">
        <v>7675</v>
      </c>
      <c r="N1065" s="6" t="s">
        <v>112</v>
      </c>
      <c r="O1065" s="6" t="s">
        <v>178</v>
      </c>
      <c r="P1065" s="10">
        <v>46027.0</v>
      </c>
    </row>
    <row r="1066" ht="22.5" customHeight="1">
      <c r="A1066" s="6" t="s">
        <v>7676</v>
      </c>
      <c r="B1066" s="6" t="s">
        <v>7678</v>
      </c>
      <c r="C1066" s="6" t="s">
        <v>7679</v>
      </c>
      <c r="D1066" s="6" t="s">
        <v>206</v>
      </c>
      <c r="E1066" s="6" t="s">
        <v>147</v>
      </c>
      <c r="F1066" s="8">
        <v>16.0</v>
      </c>
      <c r="G1066" s="9">
        <v>405.29</v>
      </c>
      <c r="H1066" s="9">
        <v>10916.41</v>
      </c>
      <c r="I1066" s="6" t="s">
        <v>161</v>
      </c>
      <c r="J1066" s="6" t="s">
        <v>479</v>
      </c>
      <c r="K1066" s="6" t="s">
        <v>7680</v>
      </c>
      <c r="L1066" s="6">
        <v>4.132813446E9</v>
      </c>
      <c r="M1066" s="6" t="s">
        <v>7681</v>
      </c>
      <c r="N1066" s="6" t="s">
        <v>259</v>
      </c>
      <c r="O1066" s="6" t="s">
        <v>178</v>
      </c>
      <c r="P1066" s="10">
        <v>46038.0</v>
      </c>
    </row>
    <row r="1067" ht="22.5" customHeight="1">
      <c r="A1067" s="6" t="s">
        <v>7683</v>
      </c>
      <c r="B1067" s="6" t="s">
        <v>7684</v>
      </c>
      <c r="C1067" s="6" t="s">
        <v>7685</v>
      </c>
      <c r="D1067" s="6" t="s">
        <v>383</v>
      </c>
      <c r="E1067" s="6" t="s">
        <v>301</v>
      </c>
      <c r="F1067" s="8">
        <v>40.0</v>
      </c>
      <c r="G1067" s="9">
        <v>140.3</v>
      </c>
      <c r="H1067" s="9">
        <v>8387.62</v>
      </c>
      <c r="I1067" s="6" t="s">
        <v>161</v>
      </c>
      <c r="J1067" s="6" t="s">
        <v>312</v>
      </c>
      <c r="K1067" s="6" t="s">
        <v>259</v>
      </c>
      <c r="L1067" s="6">
        <v>6.1706046918E10</v>
      </c>
      <c r="M1067" s="6" t="s">
        <v>7687</v>
      </c>
      <c r="N1067" s="6" t="s">
        <v>259</v>
      </c>
      <c r="O1067" s="6" t="s">
        <v>178</v>
      </c>
      <c r="P1067" s="10">
        <v>46015.0</v>
      </c>
    </row>
    <row r="1068" ht="22.5" customHeight="1">
      <c r="A1068" s="6" t="s">
        <v>7688</v>
      </c>
      <c r="B1068" s="6" t="s">
        <v>7689</v>
      </c>
      <c r="C1068" s="6" t="s">
        <v>7690</v>
      </c>
      <c r="D1068" s="6" t="s">
        <v>145</v>
      </c>
      <c r="E1068" s="6" t="s">
        <v>210</v>
      </c>
      <c r="F1068" s="8">
        <v>115.0</v>
      </c>
      <c r="G1068" s="9">
        <v>1176.0</v>
      </c>
      <c r="H1068" s="9">
        <v>11221.56</v>
      </c>
      <c r="I1068" s="6" t="s">
        <v>161</v>
      </c>
      <c r="J1068" s="6" t="s">
        <v>421</v>
      </c>
      <c r="K1068" s="6" t="s">
        <v>7692</v>
      </c>
      <c r="L1068" s="6">
        <v>6.5811269982E10</v>
      </c>
      <c r="M1068" s="6" t="s">
        <v>7693</v>
      </c>
      <c r="N1068" s="6" t="s">
        <v>283</v>
      </c>
      <c r="O1068" s="6" t="s">
        <v>161</v>
      </c>
      <c r="P1068" s="10">
        <v>45988.0</v>
      </c>
    </row>
    <row r="1069" ht="22.5" customHeight="1">
      <c r="A1069" s="6" t="s">
        <v>7694</v>
      </c>
      <c r="B1069" s="6" t="s">
        <v>7696</v>
      </c>
      <c r="C1069" s="6" t="s">
        <v>7697</v>
      </c>
      <c r="D1069" s="6" t="s">
        <v>145</v>
      </c>
      <c r="E1069" s="6" t="s">
        <v>147</v>
      </c>
      <c r="F1069" s="8">
        <v>14.0</v>
      </c>
      <c r="G1069" s="9">
        <v>1044.86</v>
      </c>
      <c r="H1069" s="9">
        <v>2599.33</v>
      </c>
      <c r="I1069" s="6" t="s">
        <v>161</v>
      </c>
      <c r="J1069" s="6" t="s">
        <v>259</v>
      </c>
      <c r="K1069" s="6" t="s">
        <v>7698</v>
      </c>
      <c r="L1069" s="6">
        <v>4.2110017033E10</v>
      </c>
      <c r="M1069" s="6" t="s">
        <v>7699</v>
      </c>
      <c r="N1069" s="6" t="s">
        <v>283</v>
      </c>
      <c r="O1069" s="6" t="s">
        <v>178</v>
      </c>
      <c r="P1069" s="10">
        <v>46024.0</v>
      </c>
    </row>
    <row r="1070" ht="22.5" customHeight="1">
      <c r="A1070" s="6" t="s">
        <v>7701</v>
      </c>
      <c r="B1070" s="6" t="s">
        <v>7702</v>
      </c>
      <c r="C1070" s="6" t="s">
        <v>7703</v>
      </c>
      <c r="D1070" s="6" t="s">
        <v>383</v>
      </c>
      <c r="E1070" s="6" t="s">
        <v>147</v>
      </c>
      <c r="F1070" s="8">
        <v>28.0</v>
      </c>
      <c r="G1070" s="9">
        <v>421.05</v>
      </c>
      <c r="H1070" s="9">
        <v>12771.46</v>
      </c>
      <c r="I1070" s="6" t="s">
        <v>161</v>
      </c>
      <c r="J1070" s="6" t="s">
        <v>442</v>
      </c>
      <c r="K1070" s="6" t="s">
        <v>259</v>
      </c>
      <c r="L1070" s="6">
        <v>9.635666676E10</v>
      </c>
      <c r="M1070" s="6" t="s">
        <v>7705</v>
      </c>
      <c r="N1070" s="6" t="s">
        <v>112</v>
      </c>
      <c r="O1070" s="6" t="s">
        <v>178</v>
      </c>
      <c r="P1070" s="10">
        <v>46024.0</v>
      </c>
    </row>
    <row r="1071" ht="22.5" customHeight="1">
      <c r="A1071" s="6" t="s">
        <v>7707</v>
      </c>
      <c r="B1071" s="6" t="s">
        <v>7708</v>
      </c>
      <c r="C1071" s="6" t="s">
        <v>7709</v>
      </c>
      <c r="D1071" s="6" t="s">
        <v>206</v>
      </c>
      <c r="E1071" s="6" t="s">
        <v>147</v>
      </c>
      <c r="F1071" s="8">
        <v>21.0</v>
      </c>
      <c r="G1071" s="9">
        <v>556.79</v>
      </c>
      <c r="H1071" s="9">
        <v>2324.13</v>
      </c>
      <c r="I1071" s="6" t="s">
        <v>161</v>
      </c>
      <c r="J1071" s="6" t="s">
        <v>163</v>
      </c>
      <c r="K1071" s="6" t="s">
        <v>7711</v>
      </c>
      <c r="L1071" s="6">
        <v>5.3431810663E10</v>
      </c>
      <c r="M1071" s="6" t="s">
        <v>7712</v>
      </c>
      <c r="N1071" s="6" t="s">
        <v>283</v>
      </c>
      <c r="O1071" s="6" t="s">
        <v>178</v>
      </c>
      <c r="P1071" s="10">
        <v>45965.0</v>
      </c>
    </row>
    <row r="1072" ht="22.5" customHeight="1">
      <c r="A1072" s="6" t="s">
        <v>7714</v>
      </c>
      <c r="B1072" s="6" t="s">
        <v>7715</v>
      </c>
      <c r="C1072" s="6" t="s">
        <v>7716</v>
      </c>
      <c r="D1072" s="6" t="s">
        <v>145</v>
      </c>
      <c r="E1072" s="6" t="s">
        <v>210</v>
      </c>
      <c r="F1072" s="8">
        <v>81.0</v>
      </c>
      <c r="G1072" s="9">
        <v>930.87</v>
      </c>
      <c r="H1072" s="9">
        <v>4134.53</v>
      </c>
      <c r="I1072" s="6" t="s">
        <v>178</v>
      </c>
      <c r="J1072" s="6" t="s">
        <v>577</v>
      </c>
      <c r="K1072" s="6" t="s">
        <v>7717</v>
      </c>
      <c r="L1072" s="6">
        <v>3.8511639505E10</v>
      </c>
      <c r="M1072" s="6" t="s">
        <v>7718</v>
      </c>
      <c r="N1072" s="6" t="s">
        <v>283</v>
      </c>
      <c r="O1072" s="6" t="s">
        <v>161</v>
      </c>
      <c r="P1072" s="10">
        <v>46036.0</v>
      </c>
    </row>
    <row r="1073" ht="22.5" customHeight="1">
      <c r="A1073" s="6" t="s">
        <v>7720</v>
      </c>
      <c r="B1073" s="6" t="s">
        <v>7721</v>
      </c>
      <c r="C1073" s="6" t="s">
        <v>7722</v>
      </c>
      <c r="D1073" s="6" t="s">
        <v>383</v>
      </c>
      <c r="E1073" s="6" t="s">
        <v>147</v>
      </c>
      <c r="F1073" s="8">
        <v>17.0</v>
      </c>
      <c r="G1073" s="9">
        <v>1333.21</v>
      </c>
      <c r="H1073" s="9">
        <v>2687.03</v>
      </c>
      <c r="I1073" s="6" t="s">
        <v>161</v>
      </c>
      <c r="J1073" s="6" t="s">
        <v>163</v>
      </c>
      <c r="K1073" s="6" t="s">
        <v>7723</v>
      </c>
      <c r="L1073" s="6">
        <v>1.4373195669E10</v>
      </c>
      <c r="M1073" s="6" t="s">
        <v>7725</v>
      </c>
      <c r="N1073" s="6" t="s">
        <v>283</v>
      </c>
      <c r="O1073" s="6" t="s">
        <v>178</v>
      </c>
      <c r="P1073" s="10">
        <v>45985.0</v>
      </c>
    </row>
    <row r="1074" ht="22.5" customHeight="1">
      <c r="A1074" s="6" t="s">
        <v>7726</v>
      </c>
      <c r="B1074" s="6" t="s">
        <v>7727</v>
      </c>
      <c r="C1074" s="6" t="s">
        <v>7728</v>
      </c>
      <c r="D1074" s="6" t="s">
        <v>206</v>
      </c>
      <c r="E1074" s="6" t="s">
        <v>147</v>
      </c>
      <c r="F1074" s="8">
        <v>13.0</v>
      </c>
      <c r="G1074" s="9">
        <v>236.78</v>
      </c>
      <c r="H1074" s="9">
        <v>8974.85</v>
      </c>
      <c r="I1074" s="6" t="s">
        <v>161</v>
      </c>
      <c r="J1074" s="6" t="s">
        <v>577</v>
      </c>
      <c r="K1074" s="6" t="s">
        <v>259</v>
      </c>
      <c r="L1074" s="6">
        <v>7.8675352474E10</v>
      </c>
      <c r="M1074" s="6" t="s">
        <v>7730</v>
      </c>
      <c r="N1074" s="6" t="s">
        <v>259</v>
      </c>
      <c r="O1074" s="6" t="s">
        <v>178</v>
      </c>
      <c r="P1074" s="10">
        <v>46018.0</v>
      </c>
    </row>
    <row r="1075" ht="22.5" customHeight="1">
      <c r="A1075" s="6" t="s">
        <v>7732</v>
      </c>
      <c r="B1075" s="6" t="s">
        <v>7733</v>
      </c>
      <c r="C1075" s="6" t="s">
        <v>7734</v>
      </c>
      <c r="D1075" s="6" t="s">
        <v>206</v>
      </c>
      <c r="E1075" s="6" t="s">
        <v>147</v>
      </c>
      <c r="F1075" s="8">
        <v>23.0</v>
      </c>
      <c r="G1075" s="9">
        <v>331.22</v>
      </c>
      <c r="H1075" s="9">
        <v>12437.19</v>
      </c>
      <c r="I1075" s="6" t="s">
        <v>161</v>
      </c>
      <c r="J1075" s="6" t="s">
        <v>228</v>
      </c>
      <c r="K1075" s="6" t="s">
        <v>7735</v>
      </c>
      <c r="L1075" s="6">
        <v>8.6001374278E10</v>
      </c>
      <c r="M1075" s="6" t="s">
        <v>7736</v>
      </c>
      <c r="N1075" s="6" t="s">
        <v>259</v>
      </c>
      <c r="O1075" s="6" t="s">
        <v>178</v>
      </c>
      <c r="P1075" s="10">
        <v>46034.0</v>
      </c>
    </row>
    <row r="1076" ht="22.5" customHeight="1">
      <c r="A1076" s="6" t="s">
        <v>7738</v>
      </c>
      <c r="B1076" s="6" t="s">
        <v>7739</v>
      </c>
      <c r="C1076" s="6" t="s">
        <v>7740</v>
      </c>
      <c r="D1076" s="6" t="s">
        <v>145</v>
      </c>
      <c r="E1076" s="6" t="s">
        <v>210</v>
      </c>
      <c r="F1076" s="8">
        <v>118.0</v>
      </c>
      <c r="G1076" s="9">
        <v>493.05</v>
      </c>
      <c r="H1076" s="9">
        <v>1885.74</v>
      </c>
      <c r="I1076" s="6" t="s">
        <v>178</v>
      </c>
      <c r="J1076" s="6" t="s">
        <v>163</v>
      </c>
      <c r="K1076" s="6" t="s">
        <v>7742</v>
      </c>
      <c r="L1076" s="6">
        <v>5.2496899291E10</v>
      </c>
      <c r="M1076" s="6" t="s">
        <v>7743</v>
      </c>
      <c r="N1076" s="6" t="s">
        <v>427</v>
      </c>
      <c r="O1076" s="6" t="s">
        <v>161</v>
      </c>
      <c r="P1076" s="10">
        <v>46026.0</v>
      </c>
    </row>
    <row r="1077" ht="22.5" customHeight="1">
      <c r="A1077" s="6" t="s">
        <v>7744</v>
      </c>
      <c r="B1077" s="6" t="s">
        <v>7745</v>
      </c>
      <c r="C1077" s="6" t="s">
        <v>7746</v>
      </c>
      <c r="D1077" s="6" t="s">
        <v>383</v>
      </c>
      <c r="E1077" s="6" t="s">
        <v>210</v>
      </c>
      <c r="F1077" s="8">
        <v>64.0</v>
      </c>
      <c r="G1077" s="9">
        <v>227.99</v>
      </c>
      <c r="H1077" s="9">
        <v>12658.59</v>
      </c>
      <c r="I1077" s="6" t="s">
        <v>161</v>
      </c>
      <c r="J1077" s="6" t="s">
        <v>393</v>
      </c>
      <c r="K1077" s="6" t="s">
        <v>7748</v>
      </c>
      <c r="L1077" s="6">
        <v>1.0775350966E10</v>
      </c>
      <c r="M1077" s="6" t="s">
        <v>7749</v>
      </c>
      <c r="N1077" s="6" t="s">
        <v>176</v>
      </c>
      <c r="O1077" s="6" t="s">
        <v>178</v>
      </c>
      <c r="P1077" s="10">
        <v>46029.0</v>
      </c>
    </row>
    <row r="1078" ht="22.5" customHeight="1">
      <c r="A1078" s="6" t="s">
        <v>7750</v>
      </c>
      <c r="B1078" s="6" t="s">
        <v>7752</v>
      </c>
      <c r="C1078" s="6" t="s">
        <v>7753</v>
      </c>
      <c r="D1078" s="6" t="s">
        <v>206</v>
      </c>
      <c r="E1078" s="6" t="s">
        <v>147</v>
      </c>
      <c r="F1078" s="8">
        <v>29.0</v>
      </c>
      <c r="G1078" s="9">
        <v>1432.89</v>
      </c>
      <c r="H1078" s="9">
        <v>6006.14</v>
      </c>
      <c r="I1078" s="6" t="s">
        <v>161</v>
      </c>
      <c r="J1078" s="6" t="s">
        <v>163</v>
      </c>
      <c r="K1078" s="6" t="s">
        <v>7754</v>
      </c>
      <c r="L1078" s="6" t="s">
        <v>259</v>
      </c>
      <c r="M1078" s="6" t="s">
        <v>7755</v>
      </c>
      <c r="N1078" s="6" t="s">
        <v>427</v>
      </c>
      <c r="O1078" s="6" t="s">
        <v>178</v>
      </c>
      <c r="P1078" s="10">
        <v>45982.0</v>
      </c>
    </row>
    <row r="1079" ht="22.5" customHeight="1">
      <c r="A1079" s="6" t="s">
        <v>7757</v>
      </c>
      <c r="B1079" s="6" t="s">
        <v>7758</v>
      </c>
      <c r="C1079" s="6" t="s">
        <v>7759</v>
      </c>
      <c r="D1079" s="6" t="s">
        <v>145</v>
      </c>
      <c r="E1079" s="6" t="s">
        <v>301</v>
      </c>
      <c r="F1079" s="8">
        <v>44.0</v>
      </c>
      <c r="G1079" s="9">
        <v>153.7</v>
      </c>
      <c r="H1079" s="9">
        <v>7340.49</v>
      </c>
      <c r="I1079" s="6" t="s">
        <v>178</v>
      </c>
      <c r="J1079" s="6" t="s">
        <v>163</v>
      </c>
      <c r="K1079" s="6" t="s">
        <v>7761</v>
      </c>
      <c r="L1079" s="6">
        <v>1.363307952E9</v>
      </c>
      <c r="M1079" s="6" t="s">
        <v>7762</v>
      </c>
      <c r="N1079" s="6" t="s">
        <v>283</v>
      </c>
      <c r="O1079" s="6" t="s">
        <v>161</v>
      </c>
      <c r="P1079" s="10">
        <v>45938.0</v>
      </c>
    </row>
    <row r="1080" ht="22.5" customHeight="1">
      <c r="A1080" s="6" t="s">
        <v>7764</v>
      </c>
      <c r="B1080" s="6" t="s">
        <v>7765</v>
      </c>
      <c r="C1080" s="6" t="s">
        <v>7766</v>
      </c>
      <c r="D1080" s="6" t="s">
        <v>206</v>
      </c>
      <c r="E1080" s="6" t="s">
        <v>147</v>
      </c>
      <c r="F1080" s="8">
        <v>24.0</v>
      </c>
      <c r="G1080" s="9">
        <v>243.56</v>
      </c>
      <c r="H1080" s="9">
        <v>6869.2</v>
      </c>
      <c r="I1080" s="6" t="s">
        <v>161</v>
      </c>
      <c r="J1080" s="6" t="s">
        <v>465</v>
      </c>
      <c r="K1080" s="6" t="s">
        <v>7768</v>
      </c>
      <c r="L1080" s="6">
        <v>7.9043186624E10</v>
      </c>
      <c r="M1080" s="6" t="s">
        <v>7769</v>
      </c>
      <c r="N1080" s="6" t="s">
        <v>283</v>
      </c>
      <c r="O1080" s="6" t="s">
        <v>178</v>
      </c>
      <c r="P1080" s="10">
        <v>46042.0</v>
      </c>
    </row>
    <row r="1081" ht="22.5" customHeight="1">
      <c r="A1081" s="6" t="s">
        <v>7770</v>
      </c>
      <c r="B1081" s="6" t="s">
        <v>7771</v>
      </c>
      <c r="C1081" s="6" t="s">
        <v>7772</v>
      </c>
      <c r="D1081" s="6" t="s">
        <v>145</v>
      </c>
      <c r="E1081" s="6" t="s">
        <v>147</v>
      </c>
      <c r="F1081" s="8">
        <v>8.0</v>
      </c>
      <c r="G1081" s="9">
        <v>1370.32</v>
      </c>
      <c r="H1081" s="9">
        <v>4742.32</v>
      </c>
      <c r="I1081" s="6" t="s">
        <v>161</v>
      </c>
      <c r="J1081" s="6" t="s">
        <v>465</v>
      </c>
      <c r="K1081" s="6" t="s">
        <v>7774</v>
      </c>
      <c r="L1081" s="6">
        <v>6.0995757862E10</v>
      </c>
      <c r="M1081" s="6" t="s">
        <v>7775</v>
      </c>
      <c r="N1081" s="6" t="s">
        <v>283</v>
      </c>
      <c r="O1081" s="6" t="s">
        <v>178</v>
      </c>
      <c r="P1081" s="10">
        <v>46047.0</v>
      </c>
    </row>
    <row r="1082" ht="22.5" customHeight="1">
      <c r="A1082" s="6" t="s">
        <v>7777</v>
      </c>
      <c r="B1082" s="6" t="s">
        <v>7778</v>
      </c>
      <c r="C1082" s="6" t="s">
        <v>7779</v>
      </c>
      <c r="D1082" s="6" t="s">
        <v>206</v>
      </c>
      <c r="E1082" s="6" t="s">
        <v>147</v>
      </c>
      <c r="F1082" s="8">
        <v>6.0</v>
      </c>
      <c r="G1082" s="9">
        <v>724.28</v>
      </c>
      <c r="H1082" s="9">
        <v>3003.19</v>
      </c>
      <c r="I1082" s="6" t="s">
        <v>161</v>
      </c>
      <c r="J1082" s="6" t="s">
        <v>421</v>
      </c>
      <c r="K1082" s="6" t="s">
        <v>7781</v>
      </c>
      <c r="L1082" s="6">
        <v>2.3762617988E10</v>
      </c>
      <c r="M1082" s="6" t="s">
        <v>7782</v>
      </c>
      <c r="N1082" s="6" t="s">
        <v>176</v>
      </c>
      <c r="O1082" s="6" t="s">
        <v>178</v>
      </c>
      <c r="P1082" s="10">
        <v>45987.0</v>
      </c>
    </row>
    <row r="1083" ht="22.5" customHeight="1">
      <c r="A1083" s="6" t="s">
        <v>7783</v>
      </c>
      <c r="B1083" s="6" t="s">
        <v>7784</v>
      </c>
      <c r="C1083" s="6" t="s">
        <v>7785</v>
      </c>
      <c r="D1083" s="6" t="s">
        <v>206</v>
      </c>
      <c r="E1083" s="6" t="s">
        <v>147</v>
      </c>
      <c r="F1083" s="8">
        <v>8.0</v>
      </c>
      <c r="G1083" s="9">
        <v>226.39</v>
      </c>
      <c r="H1083" s="9">
        <v>6542.6</v>
      </c>
      <c r="I1083" s="6" t="s">
        <v>161</v>
      </c>
      <c r="J1083" s="6" t="s">
        <v>393</v>
      </c>
      <c r="K1083" s="6" t="s">
        <v>7787</v>
      </c>
      <c r="L1083" s="6">
        <v>5.3628753892E10</v>
      </c>
      <c r="M1083" s="6" t="s">
        <v>7788</v>
      </c>
      <c r="N1083" s="6" t="s">
        <v>427</v>
      </c>
      <c r="O1083" s="6" t="s">
        <v>178</v>
      </c>
      <c r="P1083" s="10">
        <v>45957.0</v>
      </c>
    </row>
    <row r="1084" ht="22.5" customHeight="1">
      <c r="A1084" s="6" t="s">
        <v>7790</v>
      </c>
      <c r="B1084" s="6" t="s">
        <v>7791</v>
      </c>
      <c r="C1084" s="6" t="s">
        <v>7792</v>
      </c>
      <c r="D1084" s="6" t="s">
        <v>145</v>
      </c>
      <c r="E1084" s="6" t="s">
        <v>147</v>
      </c>
      <c r="F1084" s="8">
        <v>13.0</v>
      </c>
      <c r="G1084" s="9">
        <v>663.39</v>
      </c>
      <c r="H1084" s="9">
        <v>13334.04</v>
      </c>
      <c r="I1084" s="6" t="s">
        <v>161</v>
      </c>
      <c r="J1084" s="6" t="s">
        <v>393</v>
      </c>
      <c r="K1084" s="6" t="s">
        <v>7794</v>
      </c>
      <c r="L1084" s="6">
        <v>6.8133743671E10</v>
      </c>
      <c r="M1084" s="6" t="s">
        <v>7795</v>
      </c>
      <c r="N1084" s="6" t="s">
        <v>176</v>
      </c>
      <c r="O1084" s="6" t="s">
        <v>178</v>
      </c>
      <c r="P1084" s="10">
        <v>46033.0</v>
      </c>
    </row>
    <row r="1085" ht="22.5" customHeight="1">
      <c r="A1085" s="6" t="s">
        <v>7796</v>
      </c>
      <c r="B1085" s="6" t="s">
        <v>7797</v>
      </c>
      <c r="C1085" s="6" t="s">
        <v>7798</v>
      </c>
      <c r="D1085" s="6" t="s">
        <v>145</v>
      </c>
      <c r="E1085" s="6" t="s">
        <v>301</v>
      </c>
      <c r="F1085" s="8">
        <v>38.0</v>
      </c>
      <c r="G1085" s="9">
        <v>821.95</v>
      </c>
      <c r="H1085" s="9">
        <v>7715.24</v>
      </c>
      <c r="I1085" s="6" t="s">
        <v>161</v>
      </c>
      <c r="J1085" s="6" t="s">
        <v>442</v>
      </c>
      <c r="K1085" s="6" t="s">
        <v>7800</v>
      </c>
      <c r="L1085" s="6">
        <v>1.4440099697E10</v>
      </c>
      <c r="M1085" s="6" t="s">
        <v>7801</v>
      </c>
      <c r="N1085" s="6" t="s">
        <v>259</v>
      </c>
      <c r="O1085" s="6" t="s">
        <v>178</v>
      </c>
      <c r="P1085" s="10">
        <v>45984.0</v>
      </c>
    </row>
    <row r="1086" ht="22.5" customHeight="1">
      <c r="A1086" s="6" t="s">
        <v>7803</v>
      </c>
      <c r="B1086" s="6" t="s">
        <v>7804</v>
      </c>
      <c r="C1086" s="6" t="s">
        <v>7805</v>
      </c>
      <c r="D1086" s="6" t="s">
        <v>383</v>
      </c>
      <c r="E1086" s="6" t="s">
        <v>147</v>
      </c>
      <c r="F1086" s="8">
        <v>5.0</v>
      </c>
      <c r="G1086" s="9">
        <v>1700.99</v>
      </c>
      <c r="H1086" s="9">
        <v>7592.41</v>
      </c>
      <c r="I1086" s="6" t="s">
        <v>161</v>
      </c>
      <c r="J1086" s="6" t="s">
        <v>421</v>
      </c>
      <c r="K1086" s="6" t="s">
        <v>7807</v>
      </c>
      <c r="L1086" s="6">
        <v>2.4851524995E10</v>
      </c>
      <c r="M1086" s="6" t="s">
        <v>7808</v>
      </c>
      <c r="N1086" s="6" t="s">
        <v>427</v>
      </c>
      <c r="O1086" s="6" t="s">
        <v>178</v>
      </c>
      <c r="P1086" s="10">
        <v>46016.0</v>
      </c>
    </row>
    <row r="1087" ht="22.5" customHeight="1">
      <c r="A1087" s="6" t="s">
        <v>7810</v>
      </c>
      <c r="B1087" s="6" t="s">
        <v>7811</v>
      </c>
      <c r="C1087" s="6" t="s">
        <v>7812</v>
      </c>
      <c r="D1087" s="6" t="s">
        <v>206</v>
      </c>
      <c r="E1087" s="6" t="s">
        <v>147</v>
      </c>
      <c r="F1087" s="8">
        <v>10.0</v>
      </c>
      <c r="G1087" s="9">
        <v>1239.52</v>
      </c>
      <c r="H1087" s="9">
        <v>14205.5</v>
      </c>
      <c r="I1087" s="6" t="s">
        <v>161</v>
      </c>
      <c r="J1087" s="6" t="s">
        <v>442</v>
      </c>
      <c r="K1087" s="6" t="s">
        <v>7814</v>
      </c>
      <c r="L1087" s="6">
        <v>1.1475436427E10</v>
      </c>
      <c r="M1087" s="6" t="s">
        <v>7815</v>
      </c>
      <c r="N1087" s="6" t="s">
        <v>259</v>
      </c>
      <c r="O1087" s="6" t="s">
        <v>178</v>
      </c>
      <c r="P1087" s="10">
        <v>46044.0</v>
      </c>
    </row>
    <row r="1088" ht="22.5" customHeight="1">
      <c r="A1088" s="6" t="s">
        <v>7816</v>
      </c>
      <c r="B1088" s="6" t="s">
        <v>7818</v>
      </c>
      <c r="C1088" s="6" t="s">
        <v>7819</v>
      </c>
      <c r="D1088" s="6" t="s">
        <v>206</v>
      </c>
      <c r="E1088" s="6" t="s">
        <v>147</v>
      </c>
      <c r="F1088" s="8">
        <v>18.0</v>
      </c>
      <c r="G1088" s="9">
        <v>1053.14</v>
      </c>
      <c r="H1088" s="9">
        <v>11188.36</v>
      </c>
      <c r="I1088" s="6" t="s">
        <v>161</v>
      </c>
      <c r="J1088" s="6" t="s">
        <v>465</v>
      </c>
      <c r="K1088" s="6" t="s">
        <v>7821</v>
      </c>
      <c r="L1088" s="6">
        <v>5.6692608116E10</v>
      </c>
      <c r="M1088" s="6" t="s">
        <v>7822</v>
      </c>
      <c r="N1088" s="6" t="s">
        <v>427</v>
      </c>
      <c r="O1088" s="6" t="s">
        <v>178</v>
      </c>
      <c r="P1088" s="10">
        <v>46051.0</v>
      </c>
    </row>
    <row r="1089" ht="22.5" customHeight="1">
      <c r="A1089" s="6" t="s">
        <v>7823</v>
      </c>
      <c r="B1089" s="6" t="s">
        <v>7824</v>
      </c>
      <c r="C1089" s="6" t="s">
        <v>7825</v>
      </c>
      <c r="D1089" s="6" t="s">
        <v>145</v>
      </c>
      <c r="E1089" s="6" t="s">
        <v>301</v>
      </c>
      <c r="F1089" s="8">
        <v>59.0</v>
      </c>
      <c r="G1089" s="9">
        <v>1056.52</v>
      </c>
      <c r="H1089" s="9">
        <v>3712.08</v>
      </c>
      <c r="I1089" s="6" t="s">
        <v>161</v>
      </c>
      <c r="J1089" s="6" t="s">
        <v>465</v>
      </c>
      <c r="K1089" s="6" t="s">
        <v>7826</v>
      </c>
      <c r="L1089" s="6">
        <v>5.959868896E9</v>
      </c>
      <c r="M1089" s="6" t="s">
        <v>7828</v>
      </c>
      <c r="N1089" s="6" t="s">
        <v>283</v>
      </c>
      <c r="O1089" s="6" t="s">
        <v>178</v>
      </c>
      <c r="P1089" s="10">
        <v>46015.0</v>
      </c>
    </row>
    <row r="1090" ht="22.5" customHeight="1">
      <c r="A1090" s="6" t="s">
        <v>7829</v>
      </c>
      <c r="B1090" s="6" t="s">
        <v>7830</v>
      </c>
      <c r="C1090" s="6" t="s">
        <v>7831</v>
      </c>
      <c r="D1090" s="6" t="s">
        <v>206</v>
      </c>
      <c r="E1090" s="6" t="s">
        <v>210</v>
      </c>
      <c r="F1090" s="8">
        <v>93.0</v>
      </c>
      <c r="G1090" s="9">
        <v>1469.69</v>
      </c>
      <c r="H1090" s="9">
        <v>6087.81</v>
      </c>
      <c r="I1090" s="6" t="s">
        <v>178</v>
      </c>
      <c r="J1090" s="6" t="s">
        <v>442</v>
      </c>
      <c r="K1090" s="6" t="s">
        <v>7832</v>
      </c>
      <c r="L1090" s="6">
        <v>3.6852890523E10</v>
      </c>
      <c r="M1090" s="6" t="s">
        <v>7834</v>
      </c>
      <c r="N1090" s="6" t="s">
        <v>176</v>
      </c>
      <c r="O1090" s="6" t="s">
        <v>161</v>
      </c>
      <c r="P1090" s="10">
        <v>45984.0</v>
      </c>
    </row>
    <row r="1091" ht="22.5" customHeight="1">
      <c r="A1091" s="6" t="s">
        <v>7835</v>
      </c>
      <c r="B1091" s="6" t="s">
        <v>7836</v>
      </c>
      <c r="C1091" s="6" t="s">
        <v>7837</v>
      </c>
      <c r="D1091" s="6" t="s">
        <v>206</v>
      </c>
      <c r="E1091" s="6" t="s">
        <v>147</v>
      </c>
      <c r="F1091" s="8">
        <v>20.0</v>
      </c>
      <c r="G1091" s="9">
        <v>453.71</v>
      </c>
      <c r="H1091" s="9">
        <v>3115.53</v>
      </c>
      <c r="I1091" s="6" t="s">
        <v>161</v>
      </c>
      <c r="J1091" s="6" t="s">
        <v>479</v>
      </c>
      <c r="K1091" s="6" t="s">
        <v>7840</v>
      </c>
      <c r="L1091" s="6">
        <v>5.4509916392E10</v>
      </c>
      <c r="M1091" s="6" t="s">
        <v>7841</v>
      </c>
      <c r="N1091" s="6" t="s">
        <v>283</v>
      </c>
      <c r="O1091" s="6" t="s">
        <v>178</v>
      </c>
      <c r="P1091" s="10">
        <v>45991.0</v>
      </c>
    </row>
    <row r="1092" ht="22.5" customHeight="1">
      <c r="A1092" s="6" t="s">
        <v>7843</v>
      </c>
      <c r="B1092" s="6" t="s">
        <v>7844</v>
      </c>
      <c r="C1092" s="6" t="s">
        <v>7845</v>
      </c>
      <c r="D1092" s="6" t="s">
        <v>206</v>
      </c>
      <c r="E1092" s="6" t="s">
        <v>147</v>
      </c>
      <c r="F1092" s="8">
        <v>21.0</v>
      </c>
      <c r="G1092" s="9">
        <v>1207.03</v>
      </c>
      <c r="H1092" s="9">
        <v>8334.87</v>
      </c>
      <c r="I1092" s="6" t="s">
        <v>161</v>
      </c>
      <c r="J1092" s="6" t="s">
        <v>163</v>
      </c>
      <c r="K1092" s="6" t="s">
        <v>7847</v>
      </c>
      <c r="L1092" s="6">
        <v>5.1852595284E10</v>
      </c>
      <c r="M1092" s="6" t="s">
        <v>7848</v>
      </c>
      <c r="N1092" s="6" t="s">
        <v>259</v>
      </c>
      <c r="O1092" s="6" t="s">
        <v>178</v>
      </c>
      <c r="P1092" s="10">
        <v>45960.0</v>
      </c>
    </row>
    <row r="1093" ht="22.5" customHeight="1">
      <c r="A1093" s="6" t="s">
        <v>7850</v>
      </c>
      <c r="B1093" s="6" t="s">
        <v>7851</v>
      </c>
      <c r="C1093" s="6" t="s">
        <v>7852</v>
      </c>
      <c r="D1093" s="6" t="s">
        <v>206</v>
      </c>
      <c r="E1093" s="6" t="s">
        <v>210</v>
      </c>
      <c r="F1093" s="8">
        <v>81.0</v>
      </c>
      <c r="G1093" s="9">
        <v>213.13</v>
      </c>
      <c r="H1093" s="9">
        <v>4046.58</v>
      </c>
      <c r="I1093" s="6" t="s">
        <v>178</v>
      </c>
      <c r="J1093" s="6" t="s">
        <v>465</v>
      </c>
      <c r="K1093" s="6" t="s">
        <v>259</v>
      </c>
      <c r="L1093" s="6">
        <v>4.0047485014E10</v>
      </c>
      <c r="M1093" s="6" t="s">
        <v>7854</v>
      </c>
      <c r="N1093" s="6" t="s">
        <v>427</v>
      </c>
      <c r="O1093" s="6" t="s">
        <v>161</v>
      </c>
      <c r="P1093" s="10">
        <v>45942.0</v>
      </c>
    </row>
    <row r="1094" ht="22.5" customHeight="1">
      <c r="A1094" s="6" t="s">
        <v>7856</v>
      </c>
      <c r="B1094" s="6" t="s">
        <v>7857</v>
      </c>
      <c r="C1094" s="6" t="s">
        <v>7858</v>
      </c>
      <c r="D1094" s="6" t="s">
        <v>206</v>
      </c>
      <c r="E1094" s="6" t="s">
        <v>147</v>
      </c>
      <c r="F1094" s="8">
        <v>13.0</v>
      </c>
      <c r="G1094" s="9">
        <v>827.28</v>
      </c>
      <c r="H1094" s="9">
        <v>11691.44</v>
      </c>
      <c r="I1094" s="6" t="s">
        <v>161</v>
      </c>
      <c r="J1094" s="6" t="s">
        <v>163</v>
      </c>
      <c r="K1094" s="6" t="s">
        <v>7860</v>
      </c>
      <c r="L1094" s="6">
        <v>9.542435968E9</v>
      </c>
      <c r="M1094" s="6" t="s">
        <v>7861</v>
      </c>
      <c r="N1094" s="6" t="s">
        <v>283</v>
      </c>
      <c r="O1094" s="6" t="s">
        <v>178</v>
      </c>
      <c r="P1094" s="10">
        <v>45946.0</v>
      </c>
    </row>
    <row r="1095" ht="22.5" customHeight="1">
      <c r="A1095" s="6" t="s">
        <v>7863</v>
      </c>
      <c r="B1095" s="6" t="s">
        <v>7864</v>
      </c>
      <c r="C1095" s="6" t="s">
        <v>7865</v>
      </c>
      <c r="D1095" s="6" t="s">
        <v>383</v>
      </c>
      <c r="E1095" s="6" t="s">
        <v>147</v>
      </c>
      <c r="F1095" s="8">
        <v>12.0</v>
      </c>
      <c r="G1095" s="9">
        <v>556.81</v>
      </c>
      <c r="H1095" s="9">
        <v>8059.33</v>
      </c>
      <c r="I1095" s="6" t="s">
        <v>161</v>
      </c>
      <c r="J1095" s="6" t="s">
        <v>577</v>
      </c>
      <c r="K1095" s="6" t="s">
        <v>7868</v>
      </c>
      <c r="L1095" s="6">
        <v>7.0779152197E10</v>
      </c>
      <c r="M1095" s="6" t="s">
        <v>7869</v>
      </c>
      <c r="N1095" s="6" t="s">
        <v>427</v>
      </c>
      <c r="O1095" s="6" t="s">
        <v>178</v>
      </c>
      <c r="P1095" s="10">
        <v>45989.0</v>
      </c>
    </row>
    <row r="1096" ht="22.5" customHeight="1">
      <c r="A1096" s="6" t="s">
        <v>7871</v>
      </c>
      <c r="B1096" s="6" t="s">
        <v>7872</v>
      </c>
      <c r="C1096" s="6" t="s">
        <v>7873</v>
      </c>
      <c r="D1096" s="6" t="s">
        <v>383</v>
      </c>
      <c r="E1096" s="6" t="s">
        <v>147</v>
      </c>
      <c r="F1096" s="8">
        <v>25.0</v>
      </c>
      <c r="G1096" s="9">
        <v>1340.81</v>
      </c>
      <c r="H1096" s="9">
        <v>3731.14</v>
      </c>
      <c r="I1096" s="6" t="s">
        <v>161</v>
      </c>
      <c r="J1096" s="6" t="s">
        <v>393</v>
      </c>
      <c r="K1096" s="6" t="s">
        <v>7876</v>
      </c>
      <c r="L1096" s="6">
        <v>4.0522136782E10</v>
      </c>
      <c r="M1096" s="6" t="s">
        <v>7877</v>
      </c>
      <c r="N1096" s="6" t="s">
        <v>176</v>
      </c>
      <c r="O1096" s="6" t="s">
        <v>4031</v>
      </c>
      <c r="P1096" s="10">
        <v>45960.0</v>
      </c>
    </row>
    <row r="1097" ht="22.5" customHeight="1">
      <c r="A1097" s="6" t="s">
        <v>7879</v>
      </c>
      <c r="B1097" s="6" t="s">
        <v>7880</v>
      </c>
      <c r="C1097" s="6" t="s">
        <v>7881</v>
      </c>
      <c r="D1097" s="6" t="s">
        <v>383</v>
      </c>
      <c r="E1097" s="6" t="s">
        <v>147</v>
      </c>
      <c r="F1097" s="8">
        <v>5.0</v>
      </c>
      <c r="G1097" s="9">
        <v>258.91</v>
      </c>
      <c r="H1097" s="9">
        <v>10938.73</v>
      </c>
      <c r="I1097" s="6" t="s">
        <v>161</v>
      </c>
      <c r="J1097" s="6" t="s">
        <v>577</v>
      </c>
      <c r="K1097" s="6" t="s">
        <v>7884</v>
      </c>
      <c r="L1097" s="6">
        <v>5.2622671446E10</v>
      </c>
      <c r="M1097" s="6" t="s">
        <v>7885</v>
      </c>
      <c r="N1097" s="6" t="s">
        <v>259</v>
      </c>
      <c r="O1097" s="6" t="s">
        <v>178</v>
      </c>
      <c r="P1097" s="10">
        <v>45979.0</v>
      </c>
    </row>
    <row r="1098" ht="22.5" customHeight="1">
      <c r="A1098" s="6" t="s">
        <v>7887</v>
      </c>
      <c r="B1098" s="6" t="s">
        <v>7888</v>
      </c>
      <c r="C1098" s="6" t="s">
        <v>7889</v>
      </c>
      <c r="D1098" s="6" t="s">
        <v>206</v>
      </c>
      <c r="E1098" s="6" t="s">
        <v>147</v>
      </c>
      <c r="F1098" s="8">
        <v>7.0</v>
      </c>
      <c r="G1098" s="9">
        <v>927.28</v>
      </c>
      <c r="H1098" s="9">
        <v>5779.62</v>
      </c>
      <c r="I1098" s="6" t="s">
        <v>161</v>
      </c>
      <c r="J1098" s="6" t="s">
        <v>421</v>
      </c>
      <c r="K1098" s="6" t="s">
        <v>7892</v>
      </c>
      <c r="L1098" s="6">
        <v>9.3445806349E10</v>
      </c>
      <c r="M1098" s="6" t="s">
        <v>7893</v>
      </c>
      <c r="N1098" s="6" t="s">
        <v>176</v>
      </c>
      <c r="O1098" s="6" t="s">
        <v>178</v>
      </c>
      <c r="P1098" s="10">
        <v>45962.0</v>
      </c>
    </row>
    <row r="1099" ht="22.5" customHeight="1">
      <c r="A1099" s="6" t="s">
        <v>7895</v>
      </c>
      <c r="B1099" s="6" t="s">
        <v>7896</v>
      </c>
      <c r="C1099" s="6" t="s">
        <v>7897</v>
      </c>
      <c r="D1099" s="6" t="s">
        <v>206</v>
      </c>
      <c r="E1099" s="6" t="s">
        <v>301</v>
      </c>
      <c r="F1099" s="8">
        <v>38.0</v>
      </c>
      <c r="G1099" s="9">
        <v>693.25</v>
      </c>
      <c r="H1099" s="9">
        <v>6607.37</v>
      </c>
      <c r="I1099" s="6" t="s">
        <v>178</v>
      </c>
      <c r="J1099" s="6" t="s">
        <v>421</v>
      </c>
      <c r="K1099" s="6" t="s">
        <v>259</v>
      </c>
      <c r="L1099" s="6" t="s">
        <v>259</v>
      </c>
      <c r="M1099" s="6" t="s">
        <v>7900</v>
      </c>
      <c r="N1099" s="6" t="s">
        <v>427</v>
      </c>
      <c r="O1099" s="6" t="s">
        <v>161</v>
      </c>
      <c r="P1099" s="10">
        <v>46049.0</v>
      </c>
    </row>
    <row r="1100" ht="22.5" customHeight="1">
      <c r="A1100" s="6" t="s">
        <v>7902</v>
      </c>
      <c r="B1100" s="6" t="s">
        <v>7903</v>
      </c>
      <c r="C1100" s="6" t="s">
        <v>7904</v>
      </c>
      <c r="D1100" s="6" t="s">
        <v>206</v>
      </c>
      <c r="E1100" s="6" t="s">
        <v>301</v>
      </c>
      <c r="F1100" s="8">
        <v>45.0</v>
      </c>
      <c r="G1100" s="9">
        <v>1278.41</v>
      </c>
      <c r="H1100" s="9">
        <v>6876.33</v>
      </c>
      <c r="I1100" s="6" t="s">
        <v>161</v>
      </c>
      <c r="J1100" s="6" t="s">
        <v>577</v>
      </c>
      <c r="K1100" s="6" t="s">
        <v>7906</v>
      </c>
      <c r="L1100" s="6">
        <v>7.1883359901E10</v>
      </c>
      <c r="M1100" s="6" t="s">
        <v>7908</v>
      </c>
      <c r="N1100" s="6" t="s">
        <v>112</v>
      </c>
      <c r="O1100" s="6" t="s">
        <v>178</v>
      </c>
      <c r="P1100" s="10">
        <v>46039.0</v>
      </c>
    </row>
    <row r="1101" ht="22.5" customHeight="1">
      <c r="A1101" s="6" t="s">
        <v>7910</v>
      </c>
      <c r="B1101" s="6" t="s">
        <v>7911</v>
      </c>
      <c r="C1101" s="6" t="s">
        <v>7912</v>
      </c>
      <c r="D1101" s="6" t="s">
        <v>206</v>
      </c>
      <c r="E1101" s="6" t="s">
        <v>301</v>
      </c>
      <c r="F1101" s="8">
        <v>58.0</v>
      </c>
      <c r="G1101" s="9">
        <v>641.15</v>
      </c>
      <c r="H1101" s="9">
        <v>10612.95</v>
      </c>
      <c r="I1101" s="6" t="s">
        <v>161</v>
      </c>
      <c r="J1101" s="6" t="s">
        <v>442</v>
      </c>
      <c r="K1101" s="6" t="s">
        <v>7914</v>
      </c>
      <c r="L1101" s="6">
        <v>6.798614706E9</v>
      </c>
      <c r="M1101" s="6" t="s">
        <v>7916</v>
      </c>
      <c r="N1101" s="6" t="s">
        <v>112</v>
      </c>
      <c r="O1101" s="6" t="s">
        <v>178</v>
      </c>
      <c r="P1101" s="10">
        <v>45982.0</v>
      </c>
    </row>
    <row r="1102" ht="22.5" customHeight="1">
      <c r="A1102" s="6" t="s">
        <v>7917</v>
      </c>
      <c r="B1102" s="6" t="s">
        <v>7919</v>
      </c>
      <c r="C1102" s="6" t="s">
        <v>7920</v>
      </c>
      <c r="D1102" s="6" t="s">
        <v>145</v>
      </c>
      <c r="E1102" s="6" t="s">
        <v>210</v>
      </c>
      <c r="F1102" s="8">
        <v>66.0</v>
      </c>
      <c r="G1102" s="9">
        <v>1188.95</v>
      </c>
      <c r="H1102" s="9">
        <v>2220.14</v>
      </c>
      <c r="I1102" s="6" t="s">
        <v>178</v>
      </c>
      <c r="J1102" s="6" t="s">
        <v>312</v>
      </c>
      <c r="K1102" s="6" t="s">
        <v>7921</v>
      </c>
      <c r="L1102" s="6">
        <v>1.0754837201E10</v>
      </c>
      <c r="M1102" s="6" t="s">
        <v>7923</v>
      </c>
      <c r="N1102" s="6" t="s">
        <v>259</v>
      </c>
      <c r="O1102" s="6" t="s">
        <v>161</v>
      </c>
      <c r="P1102" s="10">
        <v>45982.0</v>
      </c>
    </row>
    <row r="1103" ht="22.5" customHeight="1">
      <c r="A1103" s="6" t="s">
        <v>7925</v>
      </c>
      <c r="B1103" s="6" t="s">
        <v>7926</v>
      </c>
      <c r="C1103" s="6" t="s">
        <v>7927</v>
      </c>
      <c r="D1103" s="6" t="s">
        <v>206</v>
      </c>
      <c r="E1103" s="6" t="s">
        <v>210</v>
      </c>
      <c r="F1103" s="8">
        <v>79.0</v>
      </c>
      <c r="G1103" s="9">
        <v>315.52</v>
      </c>
      <c r="H1103" s="9">
        <v>12147.98</v>
      </c>
      <c r="I1103" s="6" t="s">
        <v>161</v>
      </c>
      <c r="J1103" s="6" t="s">
        <v>163</v>
      </c>
      <c r="K1103" s="6" t="s">
        <v>7930</v>
      </c>
      <c r="L1103" s="6">
        <v>4.9724474251E10</v>
      </c>
      <c r="M1103" s="6" t="s">
        <v>7931</v>
      </c>
      <c r="N1103" s="6" t="s">
        <v>427</v>
      </c>
      <c r="O1103" s="6" t="s">
        <v>161</v>
      </c>
      <c r="P1103" s="10">
        <v>45981.0</v>
      </c>
    </row>
    <row r="1104" ht="22.5" customHeight="1">
      <c r="A1104" s="6" t="s">
        <v>7933</v>
      </c>
      <c r="B1104" s="6" t="s">
        <v>7934</v>
      </c>
      <c r="C1104" s="6" t="s">
        <v>7935</v>
      </c>
      <c r="D1104" s="6" t="s">
        <v>145</v>
      </c>
      <c r="E1104" s="6" t="s">
        <v>147</v>
      </c>
      <c r="F1104" s="8">
        <v>9.0</v>
      </c>
      <c r="G1104" s="9">
        <v>298.73</v>
      </c>
      <c r="H1104" s="9">
        <v>12299.72</v>
      </c>
      <c r="I1104" s="6" t="s">
        <v>161</v>
      </c>
      <c r="J1104" s="6" t="s">
        <v>163</v>
      </c>
      <c r="K1104" s="6" t="s">
        <v>7937</v>
      </c>
      <c r="L1104" s="6">
        <v>6.9015919602E10</v>
      </c>
      <c r="M1104" s="6" t="s">
        <v>7938</v>
      </c>
      <c r="N1104" s="6" t="s">
        <v>112</v>
      </c>
      <c r="O1104" s="6" t="s">
        <v>178</v>
      </c>
      <c r="P1104" s="10">
        <v>46051.0</v>
      </c>
    </row>
    <row r="1105" ht="22.5" customHeight="1">
      <c r="A1105" s="6" t="s">
        <v>7940</v>
      </c>
      <c r="B1105" s="6" t="s">
        <v>7941</v>
      </c>
      <c r="C1105" s="6" t="s">
        <v>7942</v>
      </c>
      <c r="D1105" s="6" t="s">
        <v>383</v>
      </c>
      <c r="E1105" s="6" t="s">
        <v>147</v>
      </c>
      <c r="F1105" s="8">
        <v>5.0</v>
      </c>
      <c r="G1105" s="9">
        <v>1634.38</v>
      </c>
      <c r="H1105" s="9">
        <v>8347.83</v>
      </c>
      <c r="I1105" s="6" t="s">
        <v>161</v>
      </c>
      <c r="J1105" s="6" t="s">
        <v>479</v>
      </c>
      <c r="K1105" s="6" t="s">
        <v>7944</v>
      </c>
      <c r="L1105" s="6">
        <v>5.0514457782E10</v>
      </c>
      <c r="M1105" s="6" t="s">
        <v>7945</v>
      </c>
      <c r="N1105" s="6" t="s">
        <v>112</v>
      </c>
      <c r="O1105" s="6" t="s">
        <v>178</v>
      </c>
      <c r="P1105" s="10">
        <v>45949.0</v>
      </c>
    </row>
    <row r="1106" ht="22.5" customHeight="1">
      <c r="A1106" s="6" t="s">
        <v>7946</v>
      </c>
      <c r="B1106" s="6" t="s">
        <v>7947</v>
      </c>
      <c r="C1106" s="6" t="s">
        <v>7949</v>
      </c>
      <c r="D1106" s="6" t="s">
        <v>206</v>
      </c>
      <c r="E1106" s="6" t="s">
        <v>147</v>
      </c>
      <c r="F1106" s="8">
        <v>13.0</v>
      </c>
      <c r="G1106" s="9">
        <v>493.1</v>
      </c>
      <c r="H1106" s="9">
        <v>8104.94</v>
      </c>
      <c r="I1106" s="6" t="s">
        <v>161</v>
      </c>
      <c r="J1106" s="6" t="s">
        <v>479</v>
      </c>
      <c r="K1106" s="6" t="s">
        <v>7950</v>
      </c>
      <c r="L1106" s="6">
        <v>3.8746446599E10</v>
      </c>
      <c r="M1106" s="6" t="s">
        <v>7951</v>
      </c>
      <c r="N1106" s="6" t="s">
        <v>283</v>
      </c>
      <c r="O1106" s="6" t="s">
        <v>178</v>
      </c>
      <c r="P1106" s="10">
        <v>45976.0</v>
      </c>
    </row>
    <row r="1107" ht="22.5" customHeight="1">
      <c r="A1107" s="6" t="s">
        <v>7953</v>
      </c>
      <c r="B1107" s="6" t="s">
        <v>7954</v>
      </c>
      <c r="C1107" s="6" t="s">
        <v>7955</v>
      </c>
      <c r="D1107" s="6" t="s">
        <v>206</v>
      </c>
      <c r="E1107" s="6" t="s">
        <v>147</v>
      </c>
      <c r="F1107" s="8">
        <v>26.0</v>
      </c>
      <c r="G1107" s="9">
        <v>1743.38</v>
      </c>
      <c r="H1107" s="9">
        <v>8467.8</v>
      </c>
      <c r="I1107" s="6" t="s">
        <v>161</v>
      </c>
      <c r="J1107" s="6" t="s">
        <v>357</v>
      </c>
      <c r="K1107" s="6" t="s">
        <v>7957</v>
      </c>
      <c r="L1107" s="6">
        <v>5.573836895E9</v>
      </c>
      <c r="M1107" s="6" t="s">
        <v>7958</v>
      </c>
      <c r="N1107" s="6" t="s">
        <v>259</v>
      </c>
      <c r="O1107" s="6" t="s">
        <v>178</v>
      </c>
      <c r="P1107" s="10">
        <v>45932.0</v>
      </c>
    </row>
    <row r="1108" ht="22.5" customHeight="1">
      <c r="A1108" s="6" t="s">
        <v>7959</v>
      </c>
      <c r="B1108" s="6" t="s">
        <v>7960</v>
      </c>
      <c r="C1108" s="6" t="s">
        <v>7961</v>
      </c>
      <c r="D1108" s="6" t="s">
        <v>145</v>
      </c>
      <c r="E1108" s="6" t="s">
        <v>210</v>
      </c>
      <c r="F1108" s="8">
        <v>100.0</v>
      </c>
      <c r="G1108" s="9">
        <v>212.15</v>
      </c>
      <c r="H1108" s="9">
        <v>12257.85</v>
      </c>
      <c r="I1108" s="6" t="s">
        <v>161</v>
      </c>
      <c r="J1108" s="6" t="s">
        <v>163</v>
      </c>
      <c r="K1108" s="6" t="s">
        <v>7963</v>
      </c>
      <c r="L1108" s="6">
        <v>1.9835437712E10</v>
      </c>
      <c r="M1108" s="6" t="s">
        <v>7964</v>
      </c>
      <c r="N1108" s="6" t="s">
        <v>427</v>
      </c>
      <c r="O1108" s="6" t="s">
        <v>161</v>
      </c>
      <c r="P1108" s="10">
        <v>45991.0</v>
      </c>
    </row>
    <row r="1109" ht="22.5" customHeight="1">
      <c r="A1109" s="6" t="s">
        <v>7965</v>
      </c>
      <c r="B1109" s="6" t="s">
        <v>7966</v>
      </c>
      <c r="C1109" s="6" t="s">
        <v>7968</v>
      </c>
      <c r="D1109" s="6" t="s">
        <v>206</v>
      </c>
      <c r="E1109" s="6" t="s">
        <v>301</v>
      </c>
      <c r="F1109" s="8">
        <v>53.0</v>
      </c>
      <c r="G1109" s="9">
        <v>864.48</v>
      </c>
      <c r="H1109" s="9">
        <v>13279.18</v>
      </c>
      <c r="I1109" s="6" t="s">
        <v>161</v>
      </c>
      <c r="J1109" s="6" t="s">
        <v>163</v>
      </c>
      <c r="K1109" s="6" t="s">
        <v>7969</v>
      </c>
      <c r="L1109" s="6">
        <v>9.556705201E9</v>
      </c>
      <c r="M1109" s="6" t="s">
        <v>7970</v>
      </c>
      <c r="N1109" s="6" t="s">
        <v>283</v>
      </c>
      <c r="O1109" s="6" t="s">
        <v>178</v>
      </c>
      <c r="P1109" s="10">
        <v>46007.0</v>
      </c>
    </row>
    <row r="1110" ht="22.5" customHeight="1">
      <c r="A1110" s="6" t="s">
        <v>7972</v>
      </c>
      <c r="B1110" s="6" t="s">
        <v>7973</v>
      </c>
      <c r="C1110" s="6" t="s">
        <v>7974</v>
      </c>
      <c r="D1110" s="6" t="s">
        <v>145</v>
      </c>
      <c r="E1110" s="6" t="s">
        <v>147</v>
      </c>
      <c r="F1110" s="8">
        <v>12.0</v>
      </c>
      <c r="G1110" s="9">
        <v>1789.65</v>
      </c>
      <c r="H1110" s="9">
        <v>3453.44</v>
      </c>
      <c r="I1110" s="6" t="s">
        <v>161</v>
      </c>
      <c r="J1110" s="6" t="s">
        <v>421</v>
      </c>
      <c r="K1110" s="6" t="s">
        <v>7976</v>
      </c>
      <c r="L1110" s="6">
        <v>9.6233953548E10</v>
      </c>
      <c r="M1110" s="6" t="s">
        <v>7977</v>
      </c>
      <c r="N1110" s="6" t="s">
        <v>176</v>
      </c>
      <c r="O1110" s="6" t="s">
        <v>178</v>
      </c>
      <c r="P1110" s="10">
        <v>46049.0</v>
      </c>
    </row>
    <row r="1111" ht="22.5" customHeight="1">
      <c r="A1111" s="6" t="s">
        <v>7979</v>
      </c>
      <c r="B1111" s="6" t="s">
        <v>7980</v>
      </c>
      <c r="C1111" s="6" t="s">
        <v>7981</v>
      </c>
      <c r="D1111" s="6" t="s">
        <v>145</v>
      </c>
      <c r="E1111" s="6" t="s">
        <v>147</v>
      </c>
      <c r="F1111" s="8">
        <v>29.0</v>
      </c>
      <c r="G1111" s="9">
        <v>685.84</v>
      </c>
      <c r="H1111" s="9">
        <v>1363.23</v>
      </c>
      <c r="I1111" s="6" t="s">
        <v>161</v>
      </c>
      <c r="J1111" s="6" t="s">
        <v>312</v>
      </c>
      <c r="K1111" s="6" t="s">
        <v>7983</v>
      </c>
      <c r="L1111" s="6">
        <v>2.8876403242E10</v>
      </c>
      <c r="M1111" s="6" t="s">
        <v>7984</v>
      </c>
      <c r="N1111" s="6" t="s">
        <v>259</v>
      </c>
      <c r="O1111" s="6" t="s">
        <v>178</v>
      </c>
      <c r="P1111" s="10">
        <v>45938.0</v>
      </c>
    </row>
    <row r="1112" ht="22.5" customHeight="1">
      <c r="A1112" s="6" t="s">
        <v>7986</v>
      </c>
      <c r="B1112" s="6" t="s">
        <v>7987</v>
      </c>
      <c r="C1112" s="6" t="s">
        <v>7988</v>
      </c>
      <c r="D1112" s="6" t="s">
        <v>145</v>
      </c>
      <c r="E1112" s="6" t="s">
        <v>147</v>
      </c>
      <c r="F1112" s="8">
        <v>14.0</v>
      </c>
      <c r="G1112" s="9">
        <v>799.42</v>
      </c>
      <c r="H1112" s="9">
        <v>13574.53</v>
      </c>
      <c r="I1112" s="6" t="s">
        <v>161</v>
      </c>
      <c r="J1112" s="6" t="s">
        <v>421</v>
      </c>
      <c r="K1112" s="6" t="s">
        <v>7990</v>
      </c>
      <c r="L1112" s="6">
        <v>2.2363464968E10</v>
      </c>
      <c r="M1112" s="6" t="s">
        <v>7991</v>
      </c>
      <c r="N1112" s="6" t="s">
        <v>112</v>
      </c>
      <c r="O1112" s="6" t="s">
        <v>178</v>
      </c>
      <c r="P1112" s="10">
        <v>46018.0</v>
      </c>
    </row>
    <row r="1113" ht="22.5" customHeight="1">
      <c r="A1113" s="6" t="s">
        <v>7992</v>
      </c>
      <c r="B1113" s="6" t="s">
        <v>7994</v>
      </c>
      <c r="C1113" s="6" t="s">
        <v>7995</v>
      </c>
      <c r="D1113" s="6" t="s">
        <v>206</v>
      </c>
      <c r="E1113" s="6" t="s">
        <v>301</v>
      </c>
      <c r="F1113" s="8">
        <v>31.0</v>
      </c>
      <c r="G1113" s="9">
        <v>567.44</v>
      </c>
      <c r="H1113" s="9">
        <v>13763.79</v>
      </c>
      <c r="I1113" s="6" t="s">
        <v>161</v>
      </c>
      <c r="J1113" s="6" t="s">
        <v>393</v>
      </c>
      <c r="K1113" s="6" t="s">
        <v>7996</v>
      </c>
      <c r="L1113" s="6">
        <v>3.6063359708E10</v>
      </c>
      <c r="M1113" s="6" t="s">
        <v>7997</v>
      </c>
      <c r="N1113" s="6" t="s">
        <v>259</v>
      </c>
      <c r="O1113" s="6" t="s">
        <v>178</v>
      </c>
      <c r="P1113" s="10">
        <v>46039.0</v>
      </c>
    </row>
    <row r="1114" ht="22.5" customHeight="1">
      <c r="A1114" s="6" t="s">
        <v>7998</v>
      </c>
      <c r="B1114" s="6" t="s">
        <v>7999</v>
      </c>
      <c r="C1114" s="6" t="s">
        <v>8000</v>
      </c>
      <c r="D1114" s="6" t="s">
        <v>206</v>
      </c>
      <c r="E1114" s="6" t="s">
        <v>301</v>
      </c>
      <c r="F1114" s="8">
        <v>35.0</v>
      </c>
      <c r="G1114" s="9">
        <v>1215.68</v>
      </c>
      <c r="H1114" s="9">
        <v>5580.03</v>
      </c>
      <c r="I1114" s="6" t="s">
        <v>161</v>
      </c>
      <c r="J1114" s="6" t="s">
        <v>259</v>
      </c>
      <c r="K1114" s="6" t="s">
        <v>8002</v>
      </c>
      <c r="L1114" s="6">
        <v>9.8407979627E10</v>
      </c>
      <c r="M1114" s="6" t="s">
        <v>8003</v>
      </c>
      <c r="N1114" s="6" t="s">
        <v>112</v>
      </c>
      <c r="O1114" s="6" t="s">
        <v>178</v>
      </c>
      <c r="P1114" s="10">
        <v>46015.0</v>
      </c>
    </row>
    <row r="1115" ht="22.5" customHeight="1">
      <c r="A1115" s="6" t="s">
        <v>8005</v>
      </c>
      <c r="B1115" s="6" t="s">
        <v>8006</v>
      </c>
      <c r="C1115" s="6" t="s">
        <v>8007</v>
      </c>
      <c r="D1115" s="6" t="s">
        <v>145</v>
      </c>
      <c r="E1115" s="6" t="s">
        <v>301</v>
      </c>
      <c r="F1115" s="8">
        <v>50.0</v>
      </c>
      <c r="G1115" s="9">
        <v>873.25</v>
      </c>
      <c r="H1115" s="9">
        <v>5216.94</v>
      </c>
      <c r="I1115" s="6" t="s">
        <v>161</v>
      </c>
      <c r="J1115" s="6" t="s">
        <v>421</v>
      </c>
      <c r="K1115" s="6" t="s">
        <v>8009</v>
      </c>
      <c r="L1115" s="6">
        <v>3.9661632558E10</v>
      </c>
      <c r="M1115" s="6" t="s">
        <v>8010</v>
      </c>
      <c r="N1115" s="6" t="s">
        <v>259</v>
      </c>
      <c r="O1115" s="6" t="s">
        <v>178</v>
      </c>
      <c r="P1115" s="10">
        <v>45965.0</v>
      </c>
    </row>
    <row r="1116" ht="22.5" customHeight="1">
      <c r="A1116" s="6" t="s">
        <v>8011</v>
      </c>
      <c r="B1116" s="6" t="s">
        <v>8012</v>
      </c>
      <c r="C1116" s="6" t="s">
        <v>8014</v>
      </c>
      <c r="D1116" s="6" t="s">
        <v>206</v>
      </c>
      <c r="E1116" s="6" t="s">
        <v>147</v>
      </c>
      <c r="F1116" s="8">
        <v>23.0</v>
      </c>
      <c r="G1116" s="9">
        <v>391.48</v>
      </c>
      <c r="H1116" s="9">
        <v>9983.64</v>
      </c>
      <c r="I1116" s="6" t="s">
        <v>161</v>
      </c>
      <c r="J1116" s="6" t="s">
        <v>393</v>
      </c>
      <c r="K1116" s="6" t="s">
        <v>8015</v>
      </c>
      <c r="L1116" s="6">
        <v>1.8762115275E10</v>
      </c>
      <c r="M1116" s="6" t="s">
        <v>8016</v>
      </c>
      <c r="N1116" s="6" t="s">
        <v>112</v>
      </c>
      <c r="O1116" s="6" t="s">
        <v>178</v>
      </c>
      <c r="P1116" s="10">
        <v>45938.0</v>
      </c>
    </row>
    <row r="1117" ht="22.5" customHeight="1">
      <c r="A1117" s="6" t="s">
        <v>8018</v>
      </c>
      <c r="B1117" s="6" t="s">
        <v>8019</v>
      </c>
      <c r="C1117" s="6" t="s">
        <v>8020</v>
      </c>
      <c r="D1117" s="6" t="s">
        <v>145</v>
      </c>
      <c r="E1117" s="6" t="s">
        <v>147</v>
      </c>
      <c r="F1117" s="8">
        <v>29.0</v>
      </c>
      <c r="G1117" s="9">
        <v>1658.92</v>
      </c>
      <c r="H1117" s="9">
        <v>9855.5</v>
      </c>
      <c r="I1117" s="6" t="s">
        <v>161</v>
      </c>
      <c r="J1117" s="6" t="s">
        <v>479</v>
      </c>
      <c r="K1117" s="6" t="s">
        <v>8022</v>
      </c>
      <c r="L1117" s="6">
        <v>1.7452503292E10</v>
      </c>
      <c r="M1117" s="6" t="s">
        <v>8023</v>
      </c>
      <c r="N1117" s="6" t="s">
        <v>283</v>
      </c>
      <c r="O1117" s="6" t="s">
        <v>178</v>
      </c>
      <c r="P1117" s="10">
        <v>46038.0</v>
      </c>
    </row>
    <row r="1118" ht="22.5" customHeight="1">
      <c r="A1118" s="6" t="s">
        <v>8024</v>
      </c>
      <c r="B1118" s="6" t="s">
        <v>8026</v>
      </c>
      <c r="C1118" s="6" t="s">
        <v>8027</v>
      </c>
      <c r="D1118" s="6" t="s">
        <v>383</v>
      </c>
      <c r="E1118" s="6" t="s">
        <v>147</v>
      </c>
      <c r="F1118" s="8">
        <v>13.0</v>
      </c>
      <c r="G1118" s="9">
        <v>175.7</v>
      </c>
      <c r="H1118" s="9">
        <v>7500.41</v>
      </c>
      <c r="I1118" s="6" t="s">
        <v>161</v>
      </c>
      <c r="J1118" s="6" t="s">
        <v>442</v>
      </c>
      <c r="K1118" s="6" t="s">
        <v>8028</v>
      </c>
      <c r="L1118" s="6">
        <v>5.6062318732E10</v>
      </c>
      <c r="M1118" s="6" t="s">
        <v>8029</v>
      </c>
      <c r="N1118" s="6" t="s">
        <v>427</v>
      </c>
      <c r="O1118" s="6" t="s">
        <v>178</v>
      </c>
      <c r="P1118" s="10">
        <v>46046.0</v>
      </c>
    </row>
    <row r="1119" ht="22.5" customHeight="1">
      <c r="A1119" s="6" t="s">
        <v>8031</v>
      </c>
      <c r="B1119" s="6" t="s">
        <v>8032</v>
      </c>
      <c r="C1119" s="6" t="s">
        <v>8033</v>
      </c>
      <c r="D1119" s="6" t="s">
        <v>145</v>
      </c>
      <c r="E1119" s="6" t="s">
        <v>210</v>
      </c>
      <c r="F1119" s="8">
        <v>100.0</v>
      </c>
      <c r="G1119" s="9">
        <v>1480.26</v>
      </c>
      <c r="H1119" s="9">
        <v>9017.56</v>
      </c>
      <c r="I1119" s="6" t="s">
        <v>161</v>
      </c>
      <c r="J1119" s="6" t="s">
        <v>465</v>
      </c>
      <c r="K1119" s="6" t="s">
        <v>8035</v>
      </c>
      <c r="L1119" s="6">
        <v>6.934141853E10</v>
      </c>
      <c r="M1119" s="6" t="s">
        <v>8036</v>
      </c>
      <c r="N1119" s="6" t="s">
        <v>112</v>
      </c>
      <c r="O1119" s="6" t="s">
        <v>161</v>
      </c>
      <c r="P1119" s="10">
        <v>46046.0</v>
      </c>
    </row>
    <row r="1120" ht="22.5" customHeight="1">
      <c r="A1120" s="6" t="s">
        <v>8037</v>
      </c>
      <c r="B1120" s="6" t="s">
        <v>8038</v>
      </c>
      <c r="C1120" s="6" t="s">
        <v>8040</v>
      </c>
      <c r="D1120" s="6" t="s">
        <v>206</v>
      </c>
      <c r="E1120" s="6" t="s">
        <v>301</v>
      </c>
      <c r="F1120" s="8">
        <v>49.0</v>
      </c>
      <c r="G1120" s="9">
        <v>1552.57</v>
      </c>
      <c r="H1120" s="9">
        <v>4598.16</v>
      </c>
      <c r="I1120" s="6" t="s">
        <v>161</v>
      </c>
      <c r="J1120" s="6" t="s">
        <v>228</v>
      </c>
      <c r="K1120" s="6" t="s">
        <v>8041</v>
      </c>
      <c r="L1120" s="6">
        <v>5.8788397223E10</v>
      </c>
      <c r="M1120" s="6" t="s">
        <v>8042</v>
      </c>
      <c r="N1120" s="6" t="s">
        <v>112</v>
      </c>
      <c r="O1120" s="6" t="s">
        <v>178</v>
      </c>
      <c r="P1120" s="10">
        <v>45995.0</v>
      </c>
    </row>
    <row r="1121" ht="22.5" customHeight="1">
      <c r="A1121" s="6" t="s">
        <v>8044</v>
      </c>
      <c r="B1121" s="6" t="s">
        <v>8045</v>
      </c>
      <c r="C1121" s="6" t="s">
        <v>8046</v>
      </c>
      <c r="D1121" s="6" t="s">
        <v>145</v>
      </c>
      <c r="E1121" s="6" t="s">
        <v>301</v>
      </c>
      <c r="F1121" s="8">
        <v>37.0</v>
      </c>
      <c r="G1121" s="9">
        <v>798.91</v>
      </c>
      <c r="H1121" s="9">
        <v>7146.39</v>
      </c>
      <c r="I1121" s="6" t="s">
        <v>161</v>
      </c>
      <c r="J1121" s="6" t="s">
        <v>465</v>
      </c>
      <c r="K1121" s="6" t="s">
        <v>8048</v>
      </c>
      <c r="L1121" s="6">
        <v>4.5194463501E10</v>
      </c>
      <c r="M1121" s="6" t="s">
        <v>8049</v>
      </c>
      <c r="N1121" s="6" t="s">
        <v>427</v>
      </c>
      <c r="O1121" s="6" t="s">
        <v>178</v>
      </c>
      <c r="P1121" s="10">
        <v>46012.0</v>
      </c>
    </row>
    <row r="1122" ht="22.5" customHeight="1">
      <c r="A1122" s="6" t="s">
        <v>8050</v>
      </c>
      <c r="B1122" s="6" t="s">
        <v>8052</v>
      </c>
      <c r="C1122" s="6" t="s">
        <v>8053</v>
      </c>
      <c r="D1122" s="6" t="s">
        <v>145</v>
      </c>
      <c r="E1122" s="6" t="s">
        <v>301</v>
      </c>
      <c r="F1122" s="8">
        <v>39.0</v>
      </c>
      <c r="G1122" s="9">
        <v>451.96</v>
      </c>
      <c r="H1122" s="9">
        <v>1391.51</v>
      </c>
      <c r="I1122" s="6" t="s">
        <v>161</v>
      </c>
      <c r="J1122" s="6" t="s">
        <v>228</v>
      </c>
      <c r="K1122" s="6" t="s">
        <v>4338</v>
      </c>
      <c r="L1122" s="6">
        <v>1.8999959501E10</v>
      </c>
      <c r="M1122" s="6" t="s">
        <v>8054</v>
      </c>
      <c r="N1122" s="6" t="s">
        <v>427</v>
      </c>
      <c r="O1122" s="6" t="s">
        <v>178</v>
      </c>
      <c r="P1122" s="10">
        <v>46015.0</v>
      </c>
    </row>
    <row r="1123" ht="22.5" customHeight="1">
      <c r="A1123" s="6" t="s">
        <v>8056</v>
      </c>
      <c r="B1123" s="6" t="s">
        <v>8057</v>
      </c>
      <c r="C1123" s="6" t="s">
        <v>8058</v>
      </c>
      <c r="D1123" s="6" t="s">
        <v>206</v>
      </c>
      <c r="E1123" s="6" t="s">
        <v>210</v>
      </c>
      <c r="F1123" s="8">
        <v>71.0</v>
      </c>
      <c r="G1123" s="9">
        <v>1247.33</v>
      </c>
      <c r="H1123" s="9">
        <v>7544.72</v>
      </c>
      <c r="I1123" s="6" t="s">
        <v>178</v>
      </c>
      <c r="J1123" s="6" t="s">
        <v>465</v>
      </c>
      <c r="K1123" s="6" t="s">
        <v>8060</v>
      </c>
      <c r="L1123" s="6">
        <v>2.5860097617E10</v>
      </c>
      <c r="M1123" s="6" t="s">
        <v>8061</v>
      </c>
      <c r="N1123" s="6" t="s">
        <v>427</v>
      </c>
      <c r="O1123" s="6" t="s">
        <v>161</v>
      </c>
      <c r="P1123" s="10">
        <v>45955.0</v>
      </c>
    </row>
    <row r="1124" ht="22.5" customHeight="1">
      <c r="A1124" s="6" t="s">
        <v>8062</v>
      </c>
      <c r="B1124" s="6" t="s">
        <v>8063</v>
      </c>
      <c r="C1124" s="6" t="s">
        <v>8064</v>
      </c>
      <c r="D1124" s="6" t="s">
        <v>145</v>
      </c>
      <c r="E1124" s="6" t="s">
        <v>301</v>
      </c>
      <c r="F1124" s="8">
        <v>57.0</v>
      </c>
      <c r="G1124" s="9">
        <v>1321.45</v>
      </c>
      <c r="H1124" s="9">
        <v>9457.13</v>
      </c>
      <c r="I1124" s="6" t="s">
        <v>161</v>
      </c>
      <c r="J1124" s="6" t="s">
        <v>228</v>
      </c>
      <c r="K1124" s="6" t="s">
        <v>8066</v>
      </c>
      <c r="L1124" s="6">
        <v>6.3878817868E10</v>
      </c>
      <c r="M1124" s="6" t="s">
        <v>8067</v>
      </c>
      <c r="N1124" s="6" t="s">
        <v>283</v>
      </c>
      <c r="O1124" s="6" t="s">
        <v>178</v>
      </c>
      <c r="P1124" s="10">
        <v>46023.0</v>
      </c>
    </row>
    <row r="1125" ht="22.5" customHeight="1">
      <c r="A1125" s="6" t="s">
        <v>8069</v>
      </c>
      <c r="B1125" s="6" t="s">
        <v>8070</v>
      </c>
      <c r="C1125" s="6" t="s">
        <v>8071</v>
      </c>
      <c r="D1125" s="6" t="s">
        <v>206</v>
      </c>
      <c r="E1125" s="6" t="s">
        <v>210</v>
      </c>
      <c r="F1125" s="8">
        <v>114.0</v>
      </c>
      <c r="G1125" s="9">
        <v>1019.65</v>
      </c>
      <c r="H1125" s="9">
        <v>13818.28</v>
      </c>
      <c r="I1125" s="6" t="s">
        <v>161</v>
      </c>
      <c r="J1125" s="6" t="s">
        <v>577</v>
      </c>
      <c r="K1125" s="6" t="s">
        <v>8073</v>
      </c>
      <c r="L1125" s="6">
        <v>2.3456319442E10</v>
      </c>
      <c r="M1125" s="6" t="s">
        <v>8074</v>
      </c>
      <c r="N1125" s="6" t="s">
        <v>283</v>
      </c>
      <c r="O1125" s="6" t="s">
        <v>161</v>
      </c>
      <c r="P1125" s="10">
        <v>46011.0</v>
      </c>
    </row>
    <row r="1126" ht="22.5" customHeight="1">
      <c r="A1126" s="6" t="s">
        <v>8075</v>
      </c>
      <c r="B1126" s="6" t="s">
        <v>8076</v>
      </c>
      <c r="C1126" s="6" t="s">
        <v>8077</v>
      </c>
      <c r="D1126" s="6" t="s">
        <v>206</v>
      </c>
      <c r="E1126" s="6" t="s">
        <v>147</v>
      </c>
      <c r="F1126" s="8">
        <v>21.0</v>
      </c>
      <c r="G1126" s="9">
        <v>1175.85</v>
      </c>
      <c r="H1126" s="9">
        <v>11911.93</v>
      </c>
      <c r="I1126" s="6" t="s">
        <v>161</v>
      </c>
      <c r="J1126" s="6" t="s">
        <v>357</v>
      </c>
      <c r="K1126" s="6" t="s">
        <v>8079</v>
      </c>
      <c r="L1126" s="6">
        <v>9.1620033685E10</v>
      </c>
      <c r="M1126" s="6" t="s">
        <v>8080</v>
      </c>
      <c r="N1126" s="6" t="s">
        <v>176</v>
      </c>
      <c r="O1126" s="6" t="s">
        <v>178</v>
      </c>
      <c r="P1126" s="10">
        <v>45999.0</v>
      </c>
    </row>
    <row r="1127" ht="22.5" customHeight="1">
      <c r="A1127" s="6" t="s">
        <v>8082</v>
      </c>
      <c r="B1127" s="6" t="s">
        <v>8083</v>
      </c>
      <c r="C1127" s="6" t="s">
        <v>8084</v>
      </c>
      <c r="D1127" s="6" t="s">
        <v>145</v>
      </c>
      <c r="E1127" s="6" t="s">
        <v>147</v>
      </c>
      <c r="F1127" s="8">
        <v>29.0</v>
      </c>
      <c r="G1127" s="9">
        <v>1364.89</v>
      </c>
      <c r="H1127" s="9">
        <v>5025.5</v>
      </c>
      <c r="I1127" s="6" t="s">
        <v>161</v>
      </c>
      <c r="J1127" s="6" t="s">
        <v>312</v>
      </c>
      <c r="K1127" s="6" t="s">
        <v>8085</v>
      </c>
      <c r="L1127" s="6">
        <v>1.0374486102E10</v>
      </c>
      <c r="M1127" s="6" t="s">
        <v>8087</v>
      </c>
      <c r="N1127" s="6" t="s">
        <v>283</v>
      </c>
      <c r="O1127" s="6" t="s">
        <v>178</v>
      </c>
      <c r="P1127" s="10">
        <v>46042.0</v>
      </c>
    </row>
    <row r="1128" ht="22.5" customHeight="1">
      <c r="A1128" s="6" t="s">
        <v>8088</v>
      </c>
      <c r="B1128" s="6" t="s">
        <v>8089</v>
      </c>
      <c r="C1128" s="6" t="s">
        <v>8090</v>
      </c>
      <c r="D1128" s="6" t="s">
        <v>206</v>
      </c>
      <c r="E1128" s="6" t="s">
        <v>210</v>
      </c>
      <c r="F1128" s="8">
        <v>119.0</v>
      </c>
      <c r="G1128" s="9">
        <v>380.58</v>
      </c>
      <c r="H1128" s="9">
        <v>10238.4</v>
      </c>
      <c r="I1128" s="6" t="s">
        <v>161</v>
      </c>
      <c r="J1128" s="6" t="s">
        <v>259</v>
      </c>
      <c r="K1128" s="6" t="s">
        <v>8092</v>
      </c>
      <c r="L1128" s="6">
        <v>5.48409072E10</v>
      </c>
      <c r="M1128" s="6" t="s">
        <v>8093</v>
      </c>
      <c r="N1128" s="6" t="s">
        <v>283</v>
      </c>
      <c r="O1128" s="6" t="s">
        <v>161</v>
      </c>
      <c r="P1128" s="10">
        <v>46051.0</v>
      </c>
    </row>
    <row r="1129" ht="22.5" customHeight="1">
      <c r="A1129" s="6" t="s">
        <v>8095</v>
      </c>
      <c r="B1129" s="6" t="s">
        <v>8096</v>
      </c>
      <c r="C1129" s="6" t="s">
        <v>8097</v>
      </c>
      <c r="D1129" s="6" t="s">
        <v>206</v>
      </c>
      <c r="E1129" s="6" t="s">
        <v>147</v>
      </c>
      <c r="F1129" s="8">
        <v>25.0</v>
      </c>
      <c r="G1129" s="9">
        <v>479.17</v>
      </c>
      <c r="H1129" s="9">
        <v>8604.01</v>
      </c>
      <c r="I1129" s="6" t="s">
        <v>178</v>
      </c>
      <c r="J1129" s="6" t="s">
        <v>479</v>
      </c>
      <c r="K1129" s="6" t="s">
        <v>8099</v>
      </c>
      <c r="L1129" s="6">
        <v>7.209817544E9</v>
      </c>
      <c r="M1129" s="6" t="s">
        <v>8100</v>
      </c>
      <c r="N1129" s="6" t="s">
        <v>259</v>
      </c>
      <c r="O1129" s="6" t="s">
        <v>161</v>
      </c>
      <c r="P1129" s="10">
        <v>46040.0</v>
      </c>
    </row>
    <row r="1130" ht="22.5" customHeight="1">
      <c r="A1130" s="6" t="s">
        <v>8101</v>
      </c>
      <c r="B1130" s="6" t="s">
        <v>8102</v>
      </c>
      <c r="C1130" s="6" t="s">
        <v>8103</v>
      </c>
      <c r="D1130" s="6" t="s">
        <v>145</v>
      </c>
      <c r="E1130" s="6" t="s">
        <v>147</v>
      </c>
      <c r="F1130" s="8">
        <v>10.0</v>
      </c>
      <c r="G1130" s="9">
        <v>780.6</v>
      </c>
      <c r="H1130" s="9">
        <v>11793.79</v>
      </c>
      <c r="I1130" s="6" t="s">
        <v>161</v>
      </c>
      <c r="J1130" s="6" t="s">
        <v>312</v>
      </c>
      <c r="K1130" s="6" t="s">
        <v>8105</v>
      </c>
      <c r="L1130" s="6">
        <v>6.9466957883E10</v>
      </c>
      <c r="M1130" s="6" t="s">
        <v>8106</v>
      </c>
      <c r="N1130" s="6" t="s">
        <v>283</v>
      </c>
      <c r="O1130" s="6" t="s">
        <v>178</v>
      </c>
      <c r="P1130" s="10">
        <v>45966.0</v>
      </c>
    </row>
    <row r="1131" ht="22.5" customHeight="1">
      <c r="A1131" s="6" t="s">
        <v>8108</v>
      </c>
      <c r="B1131" s="6" t="s">
        <v>8109</v>
      </c>
      <c r="C1131" s="6" t="s">
        <v>8110</v>
      </c>
      <c r="D1131" s="6" t="s">
        <v>145</v>
      </c>
      <c r="E1131" s="6" t="s">
        <v>301</v>
      </c>
      <c r="F1131" s="8">
        <v>40.0</v>
      </c>
      <c r="G1131" s="9">
        <v>118.51</v>
      </c>
      <c r="H1131" s="9">
        <v>2462.04</v>
      </c>
      <c r="I1131" s="6" t="s">
        <v>161</v>
      </c>
      <c r="J1131" s="6" t="s">
        <v>357</v>
      </c>
      <c r="K1131" s="6" t="s">
        <v>8112</v>
      </c>
      <c r="L1131" s="6">
        <v>5.5717162069E10</v>
      </c>
      <c r="M1131" s="6" t="s">
        <v>8113</v>
      </c>
      <c r="N1131" s="6" t="s">
        <v>176</v>
      </c>
      <c r="O1131" s="6" t="s">
        <v>178</v>
      </c>
      <c r="P1131" s="10">
        <v>45947.0</v>
      </c>
    </row>
    <row r="1132" ht="22.5" customHeight="1">
      <c r="A1132" s="6" t="s">
        <v>8114</v>
      </c>
      <c r="B1132" s="6" t="s">
        <v>8116</v>
      </c>
      <c r="C1132" s="6" t="s">
        <v>8117</v>
      </c>
      <c r="D1132" s="6" t="s">
        <v>145</v>
      </c>
      <c r="E1132" s="6" t="s">
        <v>147</v>
      </c>
      <c r="F1132" s="8">
        <v>15.0</v>
      </c>
      <c r="G1132" s="9">
        <v>463.78</v>
      </c>
      <c r="H1132" s="9">
        <v>10365.93</v>
      </c>
      <c r="I1132" s="6" t="s">
        <v>161</v>
      </c>
      <c r="J1132" s="6" t="s">
        <v>163</v>
      </c>
      <c r="K1132" s="6" t="s">
        <v>8118</v>
      </c>
      <c r="L1132" s="6">
        <v>6.3303737372E10</v>
      </c>
      <c r="M1132" s="6" t="s">
        <v>8120</v>
      </c>
      <c r="N1132" s="6" t="s">
        <v>427</v>
      </c>
      <c r="O1132" s="6" t="s">
        <v>178</v>
      </c>
      <c r="P1132" s="10">
        <v>45938.0</v>
      </c>
    </row>
    <row r="1133" ht="22.5" customHeight="1">
      <c r="A1133" s="6" t="s">
        <v>8121</v>
      </c>
      <c r="B1133" s="6" t="s">
        <v>8122</v>
      </c>
      <c r="C1133" s="6" t="s">
        <v>8123</v>
      </c>
      <c r="D1133" s="6" t="s">
        <v>145</v>
      </c>
      <c r="E1133" s="6" t="s">
        <v>147</v>
      </c>
      <c r="F1133" s="8">
        <v>13.0</v>
      </c>
      <c r="G1133" s="9">
        <v>925.75</v>
      </c>
      <c r="H1133" s="9">
        <v>4094.45</v>
      </c>
      <c r="I1133" s="6" t="s">
        <v>161</v>
      </c>
      <c r="J1133" s="6" t="s">
        <v>577</v>
      </c>
      <c r="K1133" s="6" t="s">
        <v>8125</v>
      </c>
      <c r="L1133" s="6">
        <v>2.4049816627E10</v>
      </c>
      <c r="M1133" s="6" t="s">
        <v>8126</v>
      </c>
      <c r="N1133" s="6" t="s">
        <v>427</v>
      </c>
      <c r="O1133" s="6" t="s">
        <v>178</v>
      </c>
      <c r="P1133" s="10">
        <v>45950.0</v>
      </c>
    </row>
    <row r="1134" ht="22.5" customHeight="1">
      <c r="A1134" s="6" t="s">
        <v>8128</v>
      </c>
      <c r="B1134" s="6" t="s">
        <v>8129</v>
      </c>
      <c r="C1134" s="6" t="s">
        <v>8130</v>
      </c>
      <c r="D1134" s="6" t="s">
        <v>206</v>
      </c>
      <c r="E1134" s="6" t="s">
        <v>301</v>
      </c>
      <c r="F1134" s="8">
        <v>39.0</v>
      </c>
      <c r="G1134" s="9">
        <v>601.72</v>
      </c>
      <c r="H1134" s="9">
        <v>3887.0</v>
      </c>
      <c r="I1134" s="6" t="s">
        <v>161</v>
      </c>
      <c r="J1134" s="6" t="s">
        <v>442</v>
      </c>
      <c r="K1134" s="6" t="s">
        <v>8131</v>
      </c>
      <c r="L1134" s="6">
        <v>1.3736161698E10</v>
      </c>
      <c r="M1134" s="6" t="s">
        <v>8132</v>
      </c>
      <c r="N1134" s="6" t="s">
        <v>427</v>
      </c>
      <c r="O1134" s="6" t="s">
        <v>178</v>
      </c>
      <c r="P1134" s="10">
        <v>45942.0</v>
      </c>
    </row>
    <row r="1135" ht="22.5" customHeight="1">
      <c r="A1135" s="6" t="s">
        <v>8134</v>
      </c>
      <c r="B1135" s="6" t="s">
        <v>8135</v>
      </c>
      <c r="C1135" s="6" t="s">
        <v>8136</v>
      </c>
      <c r="D1135" s="6" t="s">
        <v>383</v>
      </c>
      <c r="E1135" s="6" t="s">
        <v>210</v>
      </c>
      <c r="F1135" s="8">
        <v>76.0</v>
      </c>
      <c r="G1135" s="9">
        <v>1116.49</v>
      </c>
      <c r="H1135" s="9">
        <v>8241.79</v>
      </c>
      <c r="I1135" s="6" t="s">
        <v>178</v>
      </c>
      <c r="J1135" s="6" t="s">
        <v>421</v>
      </c>
      <c r="K1135" s="6" t="s">
        <v>8138</v>
      </c>
      <c r="L1135" s="6">
        <v>2.820646488E10</v>
      </c>
      <c r="M1135" s="6" t="s">
        <v>8139</v>
      </c>
      <c r="N1135" s="6" t="s">
        <v>176</v>
      </c>
      <c r="O1135" s="6" t="s">
        <v>161</v>
      </c>
      <c r="P1135" s="10">
        <v>45981.0</v>
      </c>
    </row>
    <row r="1136" ht="22.5" customHeight="1">
      <c r="A1136" s="6" t="s">
        <v>8140</v>
      </c>
      <c r="B1136" s="6" t="s">
        <v>8141</v>
      </c>
      <c r="C1136" s="6" t="s">
        <v>8142</v>
      </c>
      <c r="D1136" s="6" t="s">
        <v>206</v>
      </c>
      <c r="E1136" s="6" t="s">
        <v>210</v>
      </c>
      <c r="F1136" s="8">
        <v>99.0</v>
      </c>
      <c r="G1136" s="9">
        <v>1585.29</v>
      </c>
      <c r="H1136" s="9">
        <v>7826.86</v>
      </c>
      <c r="I1136" s="6" t="s">
        <v>161</v>
      </c>
      <c r="J1136" s="6" t="s">
        <v>442</v>
      </c>
      <c r="K1136" s="6" t="s">
        <v>8144</v>
      </c>
      <c r="L1136" s="6">
        <v>1.6514580322E10</v>
      </c>
      <c r="M1136" s="6" t="s">
        <v>8145</v>
      </c>
      <c r="N1136" s="6" t="s">
        <v>427</v>
      </c>
      <c r="O1136" s="6" t="s">
        <v>161</v>
      </c>
      <c r="P1136" s="10">
        <v>46027.0</v>
      </c>
    </row>
    <row r="1137" ht="22.5" customHeight="1">
      <c r="A1137" s="6" t="s">
        <v>8147</v>
      </c>
      <c r="B1137" s="6" t="s">
        <v>8148</v>
      </c>
      <c r="C1137" s="6" t="s">
        <v>8149</v>
      </c>
      <c r="D1137" s="6" t="s">
        <v>145</v>
      </c>
      <c r="E1137" s="6" t="s">
        <v>210</v>
      </c>
      <c r="F1137" s="8">
        <v>85.0</v>
      </c>
      <c r="G1137" s="9">
        <v>531.52</v>
      </c>
      <c r="H1137" s="9">
        <v>13245.55</v>
      </c>
      <c r="I1137" s="6" t="s">
        <v>178</v>
      </c>
      <c r="J1137" s="6" t="s">
        <v>312</v>
      </c>
      <c r="K1137" s="6" t="s">
        <v>8150</v>
      </c>
      <c r="L1137" s="6">
        <v>4.9501859904E10</v>
      </c>
      <c r="M1137" s="6" t="s">
        <v>8152</v>
      </c>
      <c r="N1137" s="6" t="s">
        <v>427</v>
      </c>
      <c r="O1137" s="6" t="s">
        <v>161</v>
      </c>
      <c r="P1137" s="10">
        <v>45993.0</v>
      </c>
    </row>
    <row r="1138" ht="22.5" customHeight="1">
      <c r="A1138" s="6" t="s">
        <v>8153</v>
      </c>
      <c r="B1138" s="6" t="s">
        <v>8154</v>
      </c>
      <c r="C1138" s="6" t="s">
        <v>8155</v>
      </c>
      <c r="D1138" s="6" t="s">
        <v>145</v>
      </c>
      <c r="E1138" s="6" t="s">
        <v>301</v>
      </c>
      <c r="F1138" s="8">
        <v>32.0</v>
      </c>
      <c r="G1138" s="9">
        <v>269.92</v>
      </c>
      <c r="H1138" s="9">
        <v>2134.44</v>
      </c>
      <c r="I1138" s="6" t="s">
        <v>161</v>
      </c>
      <c r="J1138" s="6" t="s">
        <v>163</v>
      </c>
      <c r="K1138" s="6" t="s">
        <v>8157</v>
      </c>
      <c r="L1138" s="6">
        <v>3.6870663747E10</v>
      </c>
      <c r="M1138" s="6" t="s">
        <v>8158</v>
      </c>
      <c r="N1138" s="6" t="s">
        <v>112</v>
      </c>
      <c r="O1138" s="6" t="s">
        <v>178</v>
      </c>
      <c r="P1138" s="10">
        <v>45972.0</v>
      </c>
    </row>
    <row r="1139" ht="22.5" customHeight="1">
      <c r="A1139" s="6" t="s">
        <v>8159</v>
      </c>
      <c r="B1139" s="6" t="s">
        <v>8160</v>
      </c>
      <c r="C1139" s="6" t="s">
        <v>8161</v>
      </c>
      <c r="D1139" s="6" t="s">
        <v>383</v>
      </c>
      <c r="E1139" s="6" t="s">
        <v>147</v>
      </c>
      <c r="F1139" s="8">
        <v>26.0</v>
      </c>
      <c r="G1139" s="9">
        <v>393.87</v>
      </c>
      <c r="H1139" s="9">
        <v>12333.36</v>
      </c>
      <c r="I1139" s="6" t="s">
        <v>161</v>
      </c>
      <c r="J1139" s="6" t="s">
        <v>357</v>
      </c>
      <c r="K1139" s="6" t="s">
        <v>8163</v>
      </c>
      <c r="L1139" s="6">
        <v>1.9882910965E10</v>
      </c>
      <c r="M1139" s="6" t="s">
        <v>8164</v>
      </c>
      <c r="N1139" s="6" t="s">
        <v>112</v>
      </c>
      <c r="O1139" s="6" t="s">
        <v>178</v>
      </c>
      <c r="P1139" s="10">
        <v>45969.0</v>
      </c>
    </row>
    <row r="1140" ht="22.5" customHeight="1">
      <c r="A1140" s="6" t="s">
        <v>8166</v>
      </c>
      <c r="B1140" s="6" t="s">
        <v>8167</v>
      </c>
      <c r="C1140" s="6" t="s">
        <v>8168</v>
      </c>
      <c r="D1140" s="6" t="s">
        <v>206</v>
      </c>
      <c r="E1140" s="6" t="s">
        <v>301</v>
      </c>
      <c r="F1140" s="8">
        <v>54.0</v>
      </c>
      <c r="G1140" s="9">
        <v>422.54</v>
      </c>
      <c r="H1140" s="9">
        <v>9291.05</v>
      </c>
      <c r="I1140" s="6" t="s">
        <v>161</v>
      </c>
      <c r="J1140" s="6" t="s">
        <v>163</v>
      </c>
      <c r="K1140" s="6" t="s">
        <v>8170</v>
      </c>
      <c r="L1140" s="6">
        <v>1.6740586974E10</v>
      </c>
      <c r="M1140" s="6" t="s">
        <v>8171</v>
      </c>
      <c r="N1140" s="6" t="s">
        <v>427</v>
      </c>
      <c r="O1140" s="6" t="s">
        <v>178</v>
      </c>
      <c r="P1140" s="10">
        <v>45969.0</v>
      </c>
    </row>
    <row r="1141" ht="22.5" customHeight="1">
      <c r="A1141" s="6" t="s">
        <v>8172</v>
      </c>
      <c r="B1141" s="6" t="s">
        <v>8173</v>
      </c>
      <c r="C1141" s="6" t="s">
        <v>8174</v>
      </c>
      <c r="D1141" s="6" t="s">
        <v>383</v>
      </c>
      <c r="E1141" s="6" t="s">
        <v>301</v>
      </c>
      <c r="F1141" s="8">
        <v>36.0</v>
      </c>
      <c r="G1141" s="9">
        <v>1168.88</v>
      </c>
      <c r="H1141" s="9">
        <v>5473.49</v>
      </c>
      <c r="I1141" s="6" t="s">
        <v>161</v>
      </c>
      <c r="J1141" s="6" t="s">
        <v>393</v>
      </c>
      <c r="K1141" s="6" t="s">
        <v>8176</v>
      </c>
      <c r="L1141" s="6">
        <v>8.5920712722E10</v>
      </c>
      <c r="M1141" s="6" t="s">
        <v>8177</v>
      </c>
      <c r="N1141" s="6" t="s">
        <v>112</v>
      </c>
      <c r="O1141" s="6" t="s">
        <v>178</v>
      </c>
      <c r="P1141" s="10">
        <v>46030.0</v>
      </c>
    </row>
    <row r="1142" ht="22.5" customHeight="1">
      <c r="A1142" s="6" t="s">
        <v>8179</v>
      </c>
      <c r="B1142" s="6" t="s">
        <v>8180</v>
      </c>
      <c r="C1142" s="6" t="s">
        <v>8181</v>
      </c>
      <c r="D1142" s="6" t="s">
        <v>145</v>
      </c>
      <c r="E1142" s="6" t="s">
        <v>301</v>
      </c>
      <c r="F1142" s="8">
        <v>35.0</v>
      </c>
      <c r="G1142" s="9">
        <v>1601.16</v>
      </c>
      <c r="H1142" s="9">
        <v>8373.3</v>
      </c>
      <c r="I1142" s="6" t="s">
        <v>161</v>
      </c>
      <c r="J1142" s="6" t="s">
        <v>479</v>
      </c>
      <c r="K1142" s="6" t="s">
        <v>8183</v>
      </c>
      <c r="L1142" s="6">
        <v>4.2426506712E10</v>
      </c>
      <c r="M1142" s="6" t="s">
        <v>8184</v>
      </c>
      <c r="N1142" s="6" t="s">
        <v>427</v>
      </c>
      <c r="O1142" s="6" t="s">
        <v>178</v>
      </c>
      <c r="P1142" s="10">
        <v>46012.0</v>
      </c>
    </row>
    <row r="1143" ht="22.5" customHeight="1">
      <c r="A1143" s="6" t="s">
        <v>8186</v>
      </c>
      <c r="B1143" s="6" t="s">
        <v>8187</v>
      </c>
      <c r="C1143" s="6" t="s">
        <v>8188</v>
      </c>
      <c r="D1143" s="6" t="s">
        <v>206</v>
      </c>
      <c r="E1143" s="6" t="s">
        <v>301</v>
      </c>
      <c r="F1143" s="8">
        <v>48.0</v>
      </c>
      <c r="G1143" s="9">
        <v>291.05</v>
      </c>
      <c r="H1143" s="9">
        <v>5068.24</v>
      </c>
      <c r="I1143" s="6" t="s">
        <v>161</v>
      </c>
      <c r="J1143" s="6" t="s">
        <v>228</v>
      </c>
      <c r="K1143" s="6" t="s">
        <v>8190</v>
      </c>
      <c r="L1143" s="6">
        <v>5.3543022249E10</v>
      </c>
      <c r="M1143" s="6" t="s">
        <v>8191</v>
      </c>
      <c r="N1143" s="6" t="s">
        <v>176</v>
      </c>
      <c r="O1143" s="6" t="s">
        <v>178</v>
      </c>
      <c r="P1143" s="10">
        <v>45953.0</v>
      </c>
    </row>
    <row r="1144" ht="22.5" customHeight="1">
      <c r="A1144" s="6" t="s">
        <v>8192</v>
      </c>
      <c r="B1144" s="6" t="s">
        <v>8194</v>
      </c>
      <c r="C1144" s="6" t="s">
        <v>8195</v>
      </c>
      <c r="D1144" s="6" t="s">
        <v>145</v>
      </c>
      <c r="E1144" s="6" t="s">
        <v>210</v>
      </c>
      <c r="F1144" s="8">
        <v>100.0</v>
      </c>
      <c r="G1144" s="9">
        <v>1754.17</v>
      </c>
      <c r="H1144" s="9">
        <v>5509.69</v>
      </c>
      <c r="I1144" s="6" t="s">
        <v>178</v>
      </c>
      <c r="J1144" s="6" t="s">
        <v>228</v>
      </c>
      <c r="K1144" s="6" t="s">
        <v>8196</v>
      </c>
      <c r="L1144" s="6">
        <v>9.885147927E9</v>
      </c>
      <c r="M1144" s="6" t="s">
        <v>8198</v>
      </c>
      <c r="N1144" s="6" t="s">
        <v>259</v>
      </c>
      <c r="O1144" s="6" t="s">
        <v>161</v>
      </c>
      <c r="P1144" s="10">
        <v>46002.0</v>
      </c>
    </row>
    <row r="1145" ht="22.5" customHeight="1">
      <c r="A1145" s="6" t="s">
        <v>8199</v>
      </c>
      <c r="B1145" s="6" t="s">
        <v>8200</v>
      </c>
      <c r="C1145" s="6" t="s">
        <v>8201</v>
      </c>
      <c r="D1145" s="6" t="s">
        <v>206</v>
      </c>
      <c r="E1145" s="6" t="s">
        <v>147</v>
      </c>
      <c r="F1145" s="8">
        <v>17.0</v>
      </c>
      <c r="G1145" s="9">
        <v>275.71</v>
      </c>
      <c r="H1145" s="9">
        <v>9108.12</v>
      </c>
      <c r="I1145" s="6" t="s">
        <v>161</v>
      </c>
      <c r="J1145" s="6" t="s">
        <v>577</v>
      </c>
      <c r="K1145" s="6" t="s">
        <v>8203</v>
      </c>
      <c r="L1145" s="6">
        <v>8.9066205876E10</v>
      </c>
      <c r="M1145" s="6" t="s">
        <v>8204</v>
      </c>
      <c r="N1145" s="6" t="s">
        <v>427</v>
      </c>
      <c r="O1145" s="6" t="s">
        <v>178</v>
      </c>
      <c r="P1145" s="10">
        <v>45970.0</v>
      </c>
    </row>
    <row r="1146" ht="22.5" customHeight="1">
      <c r="A1146" s="6" t="s">
        <v>8205</v>
      </c>
      <c r="B1146" s="6" t="s">
        <v>8207</v>
      </c>
      <c r="C1146" s="6" t="s">
        <v>8208</v>
      </c>
      <c r="D1146" s="6" t="s">
        <v>383</v>
      </c>
      <c r="E1146" s="6" t="s">
        <v>147</v>
      </c>
      <c r="F1146" s="8">
        <v>15.0</v>
      </c>
      <c r="G1146" s="9">
        <v>1708.02</v>
      </c>
      <c r="H1146" s="9">
        <v>6587.61</v>
      </c>
      <c r="I1146" s="6" t="s">
        <v>161</v>
      </c>
      <c r="J1146" s="6" t="s">
        <v>312</v>
      </c>
      <c r="K1146" s="6" t="s">
        <v>8209</v>
      </c>
      <c r="L1146" s="6">
        <v>4.1473332109E10</v>
      </c>
      <c r="M1146" s="6" t="s">
        <v>8210</v>
      </c>
      <c r="N1146" s="6" t="s">
        <v>176</v>
      </c>
      <c r="O1146" s="6" t="s">
        <v>178</v>
      </c>
      <c r="P1146" s="10">
        <v>45939.0</v>
      </c>
    </row>
    <row r="1147" ht="22.5" customHeight="1">
      <c r="A1147" s="6" t="s">
        <v>8212</v>
      </c>
      <c r="B1147" s="6" t="s">
        <v>8213</v>
      </c>
      <c r="C1147" s="6" t="s">
        <v>8214</v>
      </c>
      <c r="D1147" s="6" t="s">
        <v>145</v>
      </c>
      <c r="E1147" s="6" t="s">
        <v>301</v>
      </c>
      <c r="F1147" s="8">
        <v>51.0</v>
      </c>
      <c r="G1147" s="9">
        <v>1385.73</v>
      </c>
      <c r="H1147" s="9">
        <v>6774.28</v>
      </c>
      <c r="I1147" s="6" t="s">
        <v>161</v>
      </c>
      <c r="J1147" s="6" t="s">
        <v>421</v>
      </c>
      <c r="K1147" s="6" t="s">
        <v>8216</v>
      </c>
      <c r="L1147" s="6">
        <v>7.1017950525E10</v>
      </c>
      <c r="M1147" s="6" t="s">
        <v>8217</v>
      </c>
      <c r="N1147" s="6" t="s">
        <v>112</v>
      </c>
      <c r="O1147" s="6" t="s">
        <v>178</v>
      </c>
      <c r="P1147" s="10">
        <v>45934.0</v>
      </c>
    </row>
    <row r="1148" ht="22.5" customHeight="1">
      <c r="A1148" s="6" t="s">
        <v>8218</v>
      </c>
      <c r="B1148" s="6" t="s">
        <v>8219</v>
      </c>
      <c r="C1148" s="6" t="s">
        <v>8220</v>
      </c>
      <c r="D1148" s="6" t="s">
        <v>206</v>
      </c>
      <c r="E1148" s="6" t="s">
        <v>147</v>
      </c>
      <c r="F1148" s="8">
        <v>25.0</v>
      </c>
      <c r="G1148" s="9">
        <v>728.21</v>
      </c>
      <c r="H1148" s="9">
        <v>2606.8</v>
      </c>
      <c r="I1148" s="6" t="s">
        <v>161</v>
      </c>
      <c r="J1148" s="6" t="s">
        <v>465</v>
      </c>
      <c r="K1148" s="6" t="s">
        <v>8222</v>
      </c>
      <c r="L1148" s="6">
        <v>4.5094416412E10</v>
      </c>
      <c r="M1148" s="6" t="s">
        <v>8223</v>
      </c>
      <c r="N1148" s="6" t="s">
        <v>259</v>
      </c>
      <c r="O1148" s="6" t="s">
        <v>178</v>
      </c>
      <c r="P1148" s="10">
        <v>46027.0</v>
      </c>
    </row>
    <row r="1149" ht="22.5" customHeight="1">
      <c r="A1149" s="6" t="s">
        <v>8225</v>
      </c>
      <c r="B1149" s="6" t="s">
        <v>8226</v>
      </c>
      <c r="C1149" s="6" t="s">
        <v>8227</v>
      </c>
      <c r="D1149" s="6" t="s">
        <v>145</v>
      </c>
      <c r="E1149" s="6" t="s">
        <v>147</v>
      </c>
      <c r="F1149" s="8">
        <v>17.0</v>
      </c>
      <c r="G1149" s="9">
        <v>271.56</v>
      </c>
      <c r="H1149" s="9">
        <v>7561.6</v>
      </c>
      <c r="I1149" s="6" t="s">
        <v>161</v>
      </c>
      <c r="J1149" s="6" t="s">
        <v>577</v>
      </c>
      <c r="K1149" s="6" t="s">
        <v>8229</v>
      </c>
      <c r="L1149" s="6">
        <v>6.6492674085E10</v>
      </c>
      <c r="M1149" s="6" t="s">
        <v>8230</v>
      </c>
      <c r="N1149" s="6" t="s">
        <v>259</v>
      </c>
      <c r="O1149" s="6" t="s">
        <v>178</v>
      </c>
      <c r="P1149" s="10">
        <v>46041.0</v>
      </c>
    </row>
    <row r="1150" ht="22.5" customHeight="1">
      <c r="A1150" s="6" t="s">
        <v>8231</v>
      </c>
      <c r="B1150" s="6" t="s">
        <v>8232</v>
      </c>
      <c r="C1150" s="6" t="s">
        <v>8233</v>
      </c>
      <c r="D1150" s="6" t="s">
        <v>206</v>
      </c>
      <c r="E1150" s="6" t="s">
        <v>147</v>
      </c>
      <c r="F1150" s="8">
        <v>26.0</v>
      </c>
      <c r="G1150" s="9">
        <v>144.32</v>
      </c>
      <c r="H1150" s="9">
        <v>3708.98</v>
      </c>
      <c r="I1150" s="6" t="s">
        <v>178</v>
      </c>
      <c r="J1150" s="6" t="s">
        <v>479</v>
      </c>
      <c r="K1150" s="6" t="s">
        <v>8235</v>
      </c>
      <c r="L1150" s="6">
        <v>4.6164657881E10</v>
      </c>
      <c r="M1150" s="6" t="s">
        <v>8236</v>
      </c>
      <c r="N1150" s="6" t="s">
        <v>112</v>
      </c>
      <c r="O1150" s="6" t="s">
        <v>161</v>
      </c>
      <c r="P1150" s="10">
        <v>45967.0</v>
      </c>
    </row>
    <row r="1151" ht="22.5" customHeight="1">
      <c r="A1151" s="6" t="s">
        <v>8238</v>
      </c>
      <c r="B1151" s="6" t="s">
        <v>8239</v>
      </c>
      <c r="C1151" s="6" t="s">
        <v>8240</v>
      </c>
      <c r="D1151" s="6" t="s">
        <v>145</v>
      </c>
      <c r="E1151" s="6" t="s">
        <v>147</v>
      </c>
      <c r="F1151" s="8">
        <v>22.0</v>
      </c>
      <c r="G1151" s="9">
        <v>812.9</v>
      </c>
      <c r="H1151" s="9">
        <v>3726.91</v>
      </c>
      <c r="I1151" s="6" t="s">
        <v>161</v>
      </c>
      <c r="J1151" s="6" t="s">
        <v>357</v>
      </c>
      <c r="K1151" s="6" t="s">
        <v>8241</v>
      </c>
      <c r="L1151" s="6">
        <v>7.574356971E10</v>
      </c>
      <c r="M1151" s="6" t="s">
        <v>8242</v>
      </c>
      <c r="N1151" s="6" t="s">
        <v>259</v>
      </c>
      <c r="O1151" s="6" t="s">
        <v>178</v>
      </c>
      <c r="P1151" s="10">
        <v>46007.0</v>
      </c>
    </row>
    <row r="1152" ht="22.5" customHeight="1">
      <c r="A1152" s="6" t="s">
        <v>8244</v>
      </c>
      <c r="B1152" s="6" t="s">
        <v>8245</v>
      </c>
      <c r="C1152" s="6" t="s">
        <v>8246</v>
      </c>
      <c r="D1152" s="6" t="s">
        <v>206</v>
      </c>
      <c r="E1152" s="6" t="s">
        <v>147</v>
      </c>
      <c r="F1152" s="8">
        <v>15.0</v>
      </c>
      <c r="G1152" s="9">
        <v>1761.51</v>
      </c>
      <c r="H1152" s="9">
        <v>6323.31</v>
      </c>
      <c r="I1152" s="6" t="s">
        <v>161</v>
      </c>
      <c r="J1152" s="6" t="s">
        <v>442</v>
      </c>
      <c r="K1152" s="6" t="s">
        <v>8247</v>
      </c>
      <c r="L1152" s="6">
        <v>8.4649155935E10</v>
      </c>
      <c r="M1152" s="6" t="s">
        <v>8249</v>
      </c>
      <c r="N1152" s="6" t="s">
        <v>283</v>
      </c>
      <c r="O1152" s="6" t="s">
        <v>178</v>
      </c>
      <c r="P1152" s="10">
        <v>45967.0</v>
      </c>
    </row>
    <row r="1153" ht="22.5" customHeight="1">
      <c r="A1153" s="6" t="s">
        <v>8250</v>
      </c>
      <c r="B1153" s="6" t="s">
        <v>8251</v>
      </c>
      <c r="C1153" s="6" t="s">
        <v>8252</v>
      </c>
      <c r="D1153" s="6" t="s">
        <v>145</v>
      </c>
      <c r="E1153" s="6" t="s">
        <v>147</v>
      </c>
      <c r="F1153" s="8">
        <v>29.0</v>
      </c>
      <c r="G1153" s="9">
        <v>120.17</v>
      </c>
      <c r="H1153" s="9">
        <v>5555.19</v>
      </c>
      <c r="I1153" s="6" t="s">
        <v>161</v>
      </c>
      <c r="J1153" s="6" t="s">
        <v>163</v>
      </c>
      <c r="K1153" s="6" t="s">
        <v>8254</v>
      </c>
      <c r="L1153" s="6">
        <v>8.7234493599E10</v>
      </c>
      <c r="M1153" s="6" t="s">
        <v>8255</v>
      </c>
      <c r="N1153" s="6" t="s">
        <v>427</v>
      </c>
      <c r="O1153" s="6" t="s">
        <v>178</v>
      </c>
      <c r="P1153" s="10">
        <v>45987.0</v>
      </c>
    </row>
    <row r="1154" ht="22.5" customHeight="1">
      <c r="A1154" s="6" t="s">
        <v>8256</v>
      </c>
      <c r="B1154" s="6" t="s">
        <v>8258</v>
      </c>
      <c r="C1154" s="6" t="s">
        <v>8259</v>
      </c>
      <c r="D1154" s="6" t="s">
        <v>145</v>
      </c>
      <c r="E1154" s="6" t="s">
        <v>301</v>
      </c>
      <c r="F1154" s="8">
        <v>54.0</v>
      </c>
      <c r="G1154" s="9">
        <v>677.48</v>
      </c>
      <c r="H1154" s="9">
        <v>11773.28</v>
      </c>
      <c r="I1154" s="6" t="s">
        <v>161</v>
      </c>
      <c r="J1154" s="6" t="s">
        <v>393</v>
      </c>
      <c r="K1154" s="6" t="s">
        <v>8260</v>
      </c>
      <c r="L1154" s="6">
        <v>8.8943144129E10</v>
      </c>
      <c r="M1154" s="6" t="s">
        <v>8261</v>
      </c>
      <c r="N1154" s="6" t="s">
        <v>176</v>
      </c>
      <c r="O1154" s="6" t="s">
        <v>178</v>
      </c>
      <c r="P1154" s="10">
        <v>45977.0</v>
      </c>
    </row>
    <row r="1155" ht="22.5" customHeight="1">
      <c r="A1155" s="6" t="s">
        <v>8263</v>
      </c>
      <c r="B1155" s="6" t="s">
        <v>8264</v>
      </c>
      <c r="C1155" s="6" t="s">
        <v>8265</v>
      </c>
      <c r="D1155" s="6" t="s">
        <v>206</v>
      </c>
      <c r="E1155" s="6" t="s">
        <v>301</v>
      </c>
      <c r="F1155" s="8">
        <v>39.0</v>
      </c>
      <c r="G1155" s="9">
        <v>950.46</v>
      </c>
      <c r="H1155" s="9">
        <v>4686.58</v>
      </c>
      <c r="I1155" s="6" t="s">
        <v>161</v>
      </c>
      <c r="J1155" s="6" t="s">
        <v>312</v>
      </c>
      <c r="K1155" s="6" t="s">
        <v>8267</v>
      </c>
      <c r="L1155" s="6">
        <v>1.9013700522E10</v>
      </c>
      <c r="M1155" s="6" t="s">
        <v>8268</v>
      </c>
      <c r="N1155" s="6" t="s">
        <v>112</v>
      </c>
      <c r="O1155" s="6" t="s">
        <v>178</v>
      </c>
      <c r="P1155" s="10">
        <v>46021.0</v>
      </c>
    </row>
    <row r="1156" ht="22.5" customHeight="1">
      <c r="A1156" s="6" t="s">
        <v>8269</v>
      </c>
      <c r="B1156" s="6" t="s">
        <v>8270</v>
      </c>
      <c r="C1156" s="6" t="s">
        <v>8271</v>
      </c>
      <c r="D1156" s="6" t="s">
        <v>206</v>
      </c>
      <c r="E1156" s="6" t="s">
        <v>147</v>
      </c>
      <c r="F1156" s="8">
        <v>25.0</v>
      </c>
      <c r="G1156" s="9">
        <v>1554.04</v>
      </c>
      <c r="H1156" s="9">
        <v>15305.17</v>
      </c>
      <c r="I1156" s="6" t="s">
        <v>161</v>
      </c>
      <c r="J1156" s="6" t="s">
        <v>163</v>
      </c>
      <c r="K1156" s="6" t="s">
        <v>8273</v>
      </c>
      <c r="L1156" s="6">
        <v>6.6156884411E10</v>
      </c>
      <c r="M1156" s="6" t="s">
        <v>8274</v>
      </c>
      <c r="N1156" s="6" t="s">
        <v>427</v>
      </c>
      <c r="O1156" s="6" t="s">
        <v>178</v>
      </c>
      <c r="P1156" s="10">
        <v>45998.0</v>
      </c>
    </row>
    <row r="1157" ht="22.5" customHeight="1">
      <c r="A1157" s="6" t="s">
        <v>8275</v>
      </c>
      <c r="B1157" s="6" t="s">
        <v>8277</v>
      </c>
      <c r="C1157" s="6" t="s">
        <v>8278</v>
      </c>
      <c r="D1157" s="6" t="s">
        <v>383</v>
      </c>
      <c r="E1157" s="6" t="s">
        <v>147</v>
      </c>
      <c r="F1157" s="8">
        <v>15.0</v>
      </c>
      <c r="G1157" s="9">
        <v>1108.19</v>
      </c>
      <c r="H1157" s="9">
        <v>13551.89</v>
      </c>
      <c r="I1157" s="6" t="s">
        <v>161</v>
      </c>
      <c r="J1157" s="6" t="s">
        <v>421</v>
      </c>
      <c r="K1157" s="6" t="s">
        <v>8279</v>
      </c>
      <c r="L1157" s="6">
        <v>9.8017171377E10</v>
      </c>
      <c r="M1157" s="6" t="s">
        <v>8280</v>
      </c>
      <c r="N1157" s="6" t="s">
        <v>112</v>
      </c>
      <c r="O1157" s="6" t="s">
        <v>178</v>
      </c>
      <c r="P1157" s="10">
        <v>46048.0</v>
      </c>
    </row>
    <row r="1158" ht="22.5" customHeight="1">
      <c r="A1158" s="6" t="s">
        <v>8282</v>
      </c>
      <c r="B1158" s="6" t="s">
        <v>8283</v>
      </c>
      <c r="C1158" s="6" t="s">
        <v>8284</v>
      </c>
      <c r="D1158" s="6" t="s">
        <v>145</v>
      </c>
      <c r="E1158" s="6" t="s">
        <v>147</v>
      </c>
      <c r="F1158" s="8">
        <v>7.0</v>
      </c>
      <c r="G1158" s="9">
        <v>699.42</v>
      </c>
      <c r="H1158" s="9">
        <v>11155.54</v>
      </c>
      <c r="I1158" s="6" t="s">
        <v>161</v>
      </c>
      <c r="J1158" s="6" t="s">
        <v>312</v>
      </c>
      <c r="K1158" s="6" t="s">
        <v>8286</v>
      </c>
      <c r="L1158" s="6">
        <v>8.6365879066E10</v>
      </c>
      <c r="M1158" s="6" t="s">
        <v>8287</v>
      </c>
      <c r="N1158" s="6" t="s">
        <v>176</v>
      </c>
      <c r="O1158" s="6" t="s">
        <v>178</v>
      </c>
      <c r="P1158" s="10">
        <v>45964.0</v>
      </c>
    </row>
    <row r="1159" ht="22.5" customHeight="1">
      <c r="A1159" s="6" t="s">
        <v>8288</v>
      </c>
      <c r="B1159" s="6" t="s">
        <v>8289</v>
      </c>
      <c r="C1159" s="6" t="s">
        <v>8290</v>
      </c>
      <c r="D1159" s="6" t="s">
        <v>206</v>
      </c>
      <c r="E1159" s="6" t="s">
        <v>301</v>
      </c>
      <c r="F1159" s="8">
        <v>57.0</v>
      </c>
      <c r="G1159" s="9">
        <v>515.03</v>
      </c>
      <c r="H1159" s="9">
        <v>14238.84</v>
      </c>
      <c r="I1159" s="6" t="s">
        <v>161</v>
      </c>
      <c r="J1159" s="6" t="s">
        <v>259</v>
      </c>
      <c r="K1159" s="6" t="s">
        <v>8292</v>
      </c>
      <c r="L1159" s="6">
        <v>2.6179807624E10</v>
      </c>
      <c r="M1159" s="6" t="s">
        <v>8293</v>
      </c>
      <c r="N1159" s="6" t="s">
        <v>112</v>
      </c>
      <c r="O1159" s="6" t="s">
        <v>178</v>
      </c>
      <c r="P1159" s="10">
        <v>45963.0</v>
      </c>
    </row>
    <row r="1160" ht="22.5" customHeight="1">
      <c r="A1160" s="6" t="s">
        <v>8295</v>
      </c>
      <c r="B1160" s="6" t="s">
        <v>8296</v>
      </c>
      <c r="C1160" s="6" t="s">
        <v>8297</v>
      </c>
      <c r="D1160" s="6" t="s">
        <v>206</v>
      </c>
      <c r="E1160" s="6" t="s">
        <v>147</v>
      </c>
      <c r="F1160" s="8">
        <v>21.0</v>
      </c>
      <c r="G1160" s="9">
        <v>512.66</v>
      </c>
      <c r="H1160" s="9">
        <v>2344.19</v>
      </c>
      <c r="I1160" s="6" t="s">
        <v>178</v>
      </c>
      <c r="J1160" s="6" t="s">
        <v>393</v>
      </c>
      <c r="K1160" s="6" t="s">
        <v>8298</v>
      </c>
      <c r="L1160" s="6">
        <v>1.3662882151E10</v>
      </c>
      <c r="M1160" s="6" t="s">
        <v>8299</v>
      </c>
      <c r="N1160" s="6" t="s">
        <v>427</v>
      </c>
      <c r="O1160" s="6" t="s">
        <v>161</v>
      </c>
      <c r="P1160" s="10">
        <v>45989.0</v>
      </c>
    </row>
    <row r="1161" ht="22.5" customHeight="1">
      <c r="A1161" s="6" t="s">
        <v>8301</v>
      </c>
      <c r="B1161" s="6" t="s">
        <v>8302</v>
      </c>
      <c r="C1161" s="6" t="s">
        <v>8303</v>
      </c>
      <c r="D1161" s="6" t="s">
        <v>383</v>
      </c>
      <c r="E1161" s="6" t="s">
        <v>210</v>
      </c>
      <c r="F1161" s="8">
        <v>71.0</v>
      </c>
      <c r="G1161" s="9">
        <v>762.57</v>
      </c>
      <c r="H1161" s="9">
        <v>13374.12</v>
      </c>
      <c r="I1161" s="6" t="s">
        <v>178</v>
      </c>
      <c r="J1161" s="6" t="s">
        <v>442</v>
      </c>
      <c r="K1161" s="6" t="s">
        <v>8304</v>
      </c>
      <c r="L1161" s="6">
        <v>7.5131292413E10</v>
      </c>
      <c r="M1161" s="6" t="s">
        <v>8306</v>
      </c>
      <c r="N1161" s="6" t="s">
        <v>427</v>
      </c>
      <c r="O1161" s="6" t="s">
        <v>161</v>
      </c>
      <c r="P1161" s="10">
        <v>46045.0</v>
      </c>
    </row>
    <row r="1162" ht="22.5" customHeight="1">
      <c r="A1162" s="6" t="s">
        <v>8307</v>
      </c>
      <c r="B1162" s="6" t="s">
        <v>8308</v>
      </c>
      <c r="C1162" s="6" t="s">
        <v>8309</v>
      </c>
      <c r="D1162" s="6" t="s">
        <v>145</v>
      </c>
      <c r="E1162" s="6" t="s">
        <v>301</v>
      </c>
      <c r="F1162" s="8">
        <v>47.0</v>
      </c>
      <c r="G1162" s="9">
        <v>1246.53</v>
      </c>
      <c r="H1162" s="9">
        <v>10206.35</v>
      </c>
      <c r="I1162" s="6" t="s">
        <v>161</v>
      </c>
      <c r="J1162" s="6" t="s">
        <v>465</v>
      </c>
      <c r="K1162" s="6" t="s">
        <v>8310</v>
      </c>
      <c r="L1162" s="6">
        <v>8.3852681339E10</v>
      </c>
      <c r="M1162" s="6" t="s">
        <v>8311</v>
      </c>
      <c r="N1162" s="6" t="s">
        <v>283</v>
      </c>
      <c r="O1162" s="6" t="s">
        <v>178</v>
      </c>
      <c r="P1162" s="10">
        <v>45932.0</v>
      </c>
    </row>
    <row r="1163" ht="22.5" customHeight="1">
      <c r="A1163" s="6" t="s">
        <v>8312</v>
      </c>
      <c r="B1163" s="6" t="s">
        <v>8313</v>
      </c>
      <c r="C1163" s="6" t="s">
        <v>8315</v>
      </c>
      <c r="D1163" s="6" t="s">
        <v>206</v>
      </c>
      <c r="E1163" s="6" t="s">
        <v>301</v>
      </c>
      <c r="F1163" s="8">
        <v>34.0</v>
      </c>
      <c r="G1163" s="9">
        <v>953.27</v>
      </c>
      <c r="H1163" s="9">
        <v>13118.2</v>
      </c>
      <c r="I1163" s="6" t="s">
        <v>161</v>
      </c>
      <c r="J1163" s="6" t="s">
        <v>357</v>
      </c>
      <c r="K1163" s="6" t="s">
        <v>8316</v>
      </c>
      <c r="L1163" s="6">
        <v>9.1187446794E10</v>
      </c>
      <c r="M1163" s="6" t="s">
        <v>8317</v>
      </c>
      <c r="N1163" s="6" t="s">
        <v>176</v>
      </c>
      <c r="O1163" s="6" t="s">
        <v>178</v>
      </c>
      <c r="P1163" s="10">
        <v>45946.0</v>
      </c>
    </row>
    <row r="1164" ht="22.5" customHeight="1">
      <c r="A1164" s="6" t="s">
        <v>8318</v>
      </c>
      <c r="B1164" s="6" t="s">
        <v>8319</v>
      </c>
      <c r="C1164" s="6" t="s">
        <v>8320</v>
      </c>
      <c r="D1164" s="6" t="s">
        <v>145</v>
      </c>
      <c r="E1164" s="6" t="s">
        <v>147</v>
      </c>
      <c r="F1164" s="8">
        <v>8.0</v>
      </c>
      <c r="G1164" s="9">
        <v>1222.94</v>
      </c>
      <c r="H1164" s="9">
        <v>14056.11</v>
      </c>
      <c r="I1164" s="6" t="s">
        <v>161</v>
      </c>
      <c r="J1164" s="6" t="s">
        <v>442</v>
      </c>
      <c r="K1164" s="6" t="s">
        <v>8322</v>
      </c>
      <c r="L1164" s="6">
        <v>7.3119608806E10</v>
      </c>
      <c r="M1164" s="6" t="s">
        <v>8323</v>
      </c>
      <c r="N1164" s="6" t="s">
        <v>176</v>
      </c>
      <c r="O1164" s="6" t="s">
        <v>178</v>
      </c>
      <c r="P1164" s="10">
        <v>45932.0</v>
      </c>
    </row>
    <row r="1165" ht="22.5" customHeight="1">
      <c r="A1165" s="6" t="s">
        <v>8324</v>
      </c>
      <c r="B1165" s="6" t="s">
        <v>8325</v>
      </c>
      <c r="C1165" s="6" t="s">
        <v>8326</v>
      </c>
      <c r="D1165" s="6" t="s">
        <v>206</v>
      </c>
      <c r="E1165" s="6" t="s">
        <v>147</v>
      </c>
      <c r="F1165" s="8">
        <v>9.0</v>
      </c>
      <c r="G1165" s="9">
        <v>1509.19</v>
      </c>
      <c r="H1165" s="9">
        <v>3553.78</v>
      </c>
      <c r="I1165" s="6" t="s">
        <v>161</v>
      </c>
      <c r="J1165" s="6" t="s">
        <v>163</v>
      </c>
      <c r="K1165" s="6" t="s">
        <v>8327</v>
      </c>
      <c r="L1165" s="6">
        <v>7.8368135247E10</v>
      </c>
      <c r="M1165" s="6" t="s">
        <v>8328</v>
      </c>
      <c r="N1165" s="6" t="s">
        <v>112</v>
      </c>
      <c r="O1165" s="6" t="s">
        <v>178</v>
      </c>
      <c r="P1165" s="10">
        <v>46045.0</v>
      </c>
    </row>
    <row r="1166" ht="22.5" customHeight="1">
      <c r="A1166" s="6" t="s">
        <v>8330</v>
      </c>
      <c r="B1166" s="6" t="s">
        <v>8331</v>
      </c>
      <c r="C1166" s="6" t="s">
        <v>8332</v>
      </c>
      <c r="D1166" s="6" t="s">
        <v>145</v>
      </c>
      <c r="E1166" s="6" t="s">
        <v>147</v>
      </c>
      <c r="F1166" s="8">
        <v>12.0</v>
      </c>
      <c r="G1166" s="9">
        <v>178.43</v>
      </c>
      <c r="H1166" s="9">
        <v>13291.88</v>
      </c>
      <c r="I1166" s="6" t="s">
        <v>161</v>
      </c>
      <c r="J1166" s="6" t="s">
        <v>479</v>
      </c>
      <c r="K1166" s="6" t="s">
        <v>8333</v>
      </c>
      <c r="L1166" s="6">
        <v>4.82798493E9</v>
      </c>
      <c r="M1166" s="6" t="s">
        <v>8334</v>
      </c>
      <c r="N1166" s="6" t="s">
        <v>112</v>
      </c>
      <c r="O1166" s="6" t="s">
        <v>178</v>
      </c>
      <c r="P1166" s="10">
        <v>45970.0</v>
      </c>
    </row>
    <row r="1167" ht="22.5" customHeight="1">
      <c r="A1167" s="6" t="s">
        <v>8335</v>
      </c>
      <c r="B1167" s="6" t="s">
        <v>8337</v>
      </c>
      <c r="C1167" s="6" t="s">
        <v>8338</v>
      </c>
      <c r="D1167" s="6" t="s">
        <v>206</v>
      </c>
      <c r="E1167" s="6" t="s">
        <v>147</v>
      </c>
      <c r="F1167" s="8">
        <v>7.0</v>
      </c>
      <c r="G1167" s="9">
        <v>1286.94</v>
      </c>
      <c r="H1167" s="9">
        <v>9951.1</v>
      </c>
      <c r="I1167" s="6" t="s">
        <v>161</v>
      </c>
      <c r="J1167" s="6" t="s">
        <v>163</v>
      </c>
      <c r="K1167" s="6" t="s">
        <v>8339</v>
      </c>
      <c r="L1167" s="6">
        <v>4.503044958E10</v>
      </c>
      <c r="M1167" s="6" t="s">
        <v>8340</v>
      </c>
      <c r="N1167" s="6" t="s">
        <v>427</v>
      </c>
      <c r="O1167" s="6" t="s">
        <v>178</v>
      </c>
      <c r="P1167" s="10">
        <v>46024.0</v>
      </c>
    </row>
    <row r="1168" ht="22.5" customHeight="1">
      <c r="A1168" s="6" t="s">
        <v>8341</v>
      </c>
      <c r="B1168" s="6" t="s">
        <v>8342</v>
      </c>
      <c r="C1168" s="6" t="s">
        <v>8343</v>
      </c>
      <c r="D1168" s="6" t="s">
        <v>206</v>
      </c>
      <c r="E1168" s="6" t="s">
        <v>147</v>
      </c>
      <c r="F1168" s="8">
        <v>29.0</v>
      </c>
      <c r="G1168" s="9">
        <v>902.13</v>
      </c>
      <c r="H1168" s="9">
        <v>13567.51</v>
      </c>
      <c r="I1168" s="6" t="s">
        <v>161</v>
      </c>
      <c r="J1168" s="6" t="s">
        <v>357</v>
      </c>
      <c r="K1168" s="6" t="s">
        <v>8345</v>
      </c>
      <c r="L1168" s="6">
        <v>9.8059217866E10</v>
      </c>
      <c r="M1168" s="6" t="s">
        <v>8346</v>
      </c>
      <c r="N1168" s="6" t="s">
        <v>176</v>
      </c>
      <c r="O1168" s="6" t="s">
        <v>178</v>
      </c>
      <c r="P1168" s="10">
        <v>46037.0</v>
      </c>
    </row>
    <row r="1169" ht="22.5" customHeight="1">
      <c r="A1169" s="6" t="s">
        <v>8347</v>
      </c>
      <c r="B1169" s="6" t="s">
        <v>8348</v>
      </c>
      <c r="C1169" s="6" t="s">
        <v>8349</v>
      </c>
      <c r="D1169" s="6" t="s">
        <v>206</v>
      </c>
      <c r="E1169" s="6" t="s">
        <v>301</v>
      </c>
      <c r="F1169" s="8">
        <v>52.0</v>
      </c>
      <c r="G1169" s="9">
        <v>1177.24</v>
      </c>
      <c r="H1169" s="9">
        <v>6721.4</v>
      </c>
      <c r="I1169" s="6" t="s">
        <v>161</v>
      </c>
      <c r="J1169" s="6" t="s">
        <v>393</v>
      </c>
      <c r="K1169" s="6" t="s">
        <v>8351</v>
      </c>
      <c r="L1169" s="6">
        <v>2.849573131E9</v>
      </c>
      <c r="M1169" s="6" t="s">
        <v>8352</v>
      </c>
      <c r="N1169" s="6" t="s">
        <v>283</v>
      </c>
      <c r="O1169" s="6" t="s">
        <v>178</v>
      </c>
      <c r="P1169" s="10">
        <v>46032.0</v>
      </c>
    </row>
    <row r="1170" ht="22.5" customHeight="1">
      <c r="A1170" s="6" t="s">
        <v>8353</v>
      </c>
      <c r="B1170" s="6" t="s">
        <v>8354</v>
      </c>
      <c r="C1170" s="6" t="s">
        <v>8355</v>
      </c>
      <c r="D1170" s="6" t="s">
        <v>206</v>
      </c>
      <c r="E1170" s="6" t="s">
        <v>147</v>
      </c>
      <c r="F1170" s="8">
        <v>10.0</v>
      </c>
      <c r="G1170" s="9">
        <v>612.12</v>
      </c>
      <c r="H1170" s="9">
        <v>10840.87</v>
      </c>
      <c r="I1170" s="6" t="s">
        <v>161</v>
      </c>
      <c r="J1170" s="6" t="s">
        <v>163</v>
      </c>
      <c r="K1170" s="6" t="s">
        <v>8356</v>
      </c>
      <c r="L1170" s="6">
        <v>3.3336081243E10</v>
      </c>
      <c r="M1170" s="6" t="s">
        <v>8357</v>
      </c>
      <c r="N1170" s="6" t="s">
        <v>427</v>
      </c>
      <c r="O1170" s="6" t="s">
        <v>178</v>
      </c>
      <c r="P1170" s="10">
        <v>45993.0</v>
      </c>
    </row>
    <row r="1171" ht="22.5" customHeight="1">
      <c r="A1171" s="6" t="s">
        <v>8359</v>
      </c>
      <c r="B1171" s="6" t="s">
        <v>8360</v>
      </c>
      <c r="C1171" s="6" t="s">
        <v>8361</v>
      </c>
      <c r="D1171" s="6" t="s">
        <v>145</v>
      </c>
      <c r="E1171" s="6" t="s">
        <v>210</v>
      </c>
      <c r="F1171" s="8">
        <v>119.0</v>
      </c>
      <c r="G1171" s="9">
        <v>833.19</v>
      </c>
      <c r="H1171" s="9">
        <v>11613.71</v>
      </c>
      <c r="I1171" s="6" t="s">
        <v>178</v>
      </c>
      <c r="J1171" s="6" t="s">
        <v>312</v>
      </c>
      <c r="K1171" s="6" t="s">
        <v>8362</v>
      </c>
      <c r="L1171" s="6" t="s">
        <v>259</v>
      </c>
      <c r="M1171" s="6" t="s">
        <v>8363</v>
      </c>
      <c r="N1171" s="6" t="s">
        <v>259</v>
      </c>
      <c r="O1171" s="6" t="s">
        <v>161</v>
      </c>
      <c r="P1171" s="10">
        <v>45993.0</v>
      </c>
    </row>
    <row r="1172" ht="22.5" customHeight="1">
      <c r="A1172" s="6" t="s">
        <v>8364</v>
      </c>
      <c r="B1172" s="6" t="s">
        <v>8366</v>
      </c>
      <c r="C1172" s="6" t="s">
        <v>8367</v>
      </c>
      <c r="D1172" s="6" t="s">
        <v>145</v>
      </c>
      <c r="E1172" s="6" t="s">
        <v>301</v>
      </c>
      <c r="F1172" s="8">
        <v>51.0</v>
      </c>
      <c r="G1172" s="9">
        <v>1306.68</v>
      </c>
      <c r="H1172" s="9">
        <v>3606.21</v>
      </c>
      <c r="I1172" s="6" t="s">
        <v>161</v>
      </c>
      <c r="J1172" s="6" t="s">
        <v>465</v>
      </c>
      <c r="K1172" s="6" t="s">
        <v>8368</v>
      </c>
      <c r="L1172" s="6">
        <v>7.1170230709E10</v>
      </c>
      <c r="M1172" s="6" t="s">
        <v>8369</v>
      </c>
      <c r="N1172" s="6" t="s">
        <v>427</v>
      </c>
      <c r="O1172" s="6" t="s">
        <v>178</v>
      </c>
      <c r="P1172" s="10">
        <v>45970.0</v>
      </c>
    </row>
    <row r="1173" ht="22.5" customHeight="1">
      <c r="A1173" s="6" t="s">
        <v>8370</v>
      </c>
      <c r="B1173" s="6" t="s">
        <v>8371</v>
      </c>
      <c r="C1173" s="6" t="s">
        <v>8372</v>
      </c>
      <c r="D1173" s="6" t="s">
        <v>145</v>
      </c>
      <c r="E1173" s="6" t="s">
        <v>301</v>
      </c>
      <c r="F1173" s="8">
        <v>36.0</v>
      </c>
      <c r="G1173" s="9">
        <v>320.47</v>
      </c>
      <c r="H1173" s="9">
        <v>9136.42</v>
      </c>
      <c r="I1173" s="6" t="s">
        <v>161</v>
      </c>
      <c r="J1173" s="6" t="s">
        <v>393</v>
      </c>
      <c r="K1173" s="6" t="s">
        <v>8374</v>
      </c>
      <c r="L1173" s="6">
        <v>4.0539780778E10</v>
      </c>
      <c r="M1173" s="6" t="s">
        <v>8375</v>
      </c>
      <c r="N1173" s="6" t="s">
        <v>112</v>
      </c>
      <c r="O1173" s="6" t="s">
        <v>178</v>
      </c>
      <c r="P1173" s="10">
        <v>45990.0</v>
      </c>
    </row>
    <row r="1174" ht="22.5" customHeight="1">
      <c r="A1174" s="6" t="s">
        <v>8376</v>
      </c>
      <c r="B1174" s="6" t="s">
        <v>8377</v>
      </c>
      <c r="C1174" s="6" t="s">
        <v>8378</v>
      </c>
      <c r="D1174" s="6" t="s">
        <v>206</v>
      </c>
      <c r="E1174" s="6" t="s">
        <v>147</v>
      </c>
      <c r="F1174" s="8">
        <v>8.0</v>
      </c>
      <c r="G1174" s="9">
        <v>603.75</v>
      </c>
      <c r="H1174" s="9">
        <v>7614.67</v>
      </c>
      <c r="I1174" s="6" t="s">
        <v>161</v>
      </c>
      <c r="J1174" s="6" t="s">
        <v>465</v>
      </c>
      <c r="K1174" s="6" t="s">
        <v>8379</v>
      </c>
      <c r="L1174" s="6">
        <v>5.845245774E9</v>
      </c>
      <c r="M1174" s="6" t="s">
        <v>8380</v>
      </c>
      <c r="N1174" s="6" t="s">
        <v>176</v>
      </c>
      <c r="O1174" s="6" t="s">
        <v>178</v>
      </c>
      <c r="P1174" s="10">
        <v>46000.0</v>
      </c>
    </row>
    <row r="1175" ht="22.5" customHeight="1">
      <c r="A1175" s="6" t="s">
        <v>8381</v>
      </c>
      <c r="B1175" s="6" t="s">
        <v>8382</v>
      </c>
      <c r="C1175" s="6" t="s">
        <v>8383</v>
      </c>
      <c r="D1175" s="6" t="s">
        <v>206</v>
      </c>
      <c r="E1175" s="6" t="s">
        <v>147</v>
      </c>
      <c r="F1175" s="8">
        <v>7.0</v>
      </c>
      <c r="G1175" s="9">
        <v>440.11</v>
      </c>
      <c r="H1175" s="9">
        <v>11704.56</v>
      </c>
      <c r="I1175" s="6" t="s">
        <v>161</v>
      </c>
      <c r="J1175" s="6" t="s">
        <v>312</v>
      </c>
      <c r="K1175" s="6" t="s">
        <v>8385</v>
      </c>
      <c r="L1175" s="6" t="s">
        <v>259</v>
      </c>
      <c r="M1175" s="6" t="s">
        <v>8386</v>
      </c>
      <c r="N1175" s="6" t="s">
        <v>259</v>
      </c>
      <c r="O1175" s="6" t="s">
        <v>178</v>
      </c>
      <c r="P1175" s="10">
        <v>45936.0</v>
      </c>
    </row>
    <row r="1176" ht="22.5" customHeight="1">
      <c r="A1176" s="6" t="s">
        <v>8387</v>
      </c>
      <c r="B1176" s="6" t="s">
        <v>8388</v>
      </c>
      <c r="C1176" s="6" t="s">
        <v>8389</v>
      </c>
      <c r="D1176" s="6" t="s">
        <v>206</v>
      </c>
      <c r="E1176" s="6" t="s">
        <v>147</v>
      </c>
      <c r="F1176" s="8">
        <v>24.0</v>
      </c>
      <c r="G1176" s="9">
        <v>1558.08</v>
      </c>
      <c r="H1176" s="9">
        <v>8397.97</v>
      </c>
      <c r="I1176" s="6" t="s">
        <v>161</v>
      </c>
      <c r="J1176" s="6" t="s">
        <v>465</v>
      </c>
      <c r="K1176" s="6" t="s">
        <v>8391</v>
      </c>
      <c r="L1176" s="6">
        <v>6.6773040309E10</v>
      </c>
      <c r="M1176" s="6" t="s">
        <v>8392</v>
      </c>
      <c r="N1176" s="6" t="s">
        <v>259</v>
      </c>
      <c r="O1176" s="6" t="s">
        <v>178</v>
      </c>
      <c r="P1176" s="10">
        <v>46040.0</v>
      </c>
    </row>
    <row r="1177" ht="22.5" customHeight="1">
      <c r="A1177" s="6" t="s">
        <v>8393</v>
      </c>
      <c r="B1177" s="6" t="s">
        <v>8394</v>
      </c>
      <c r="C1177" s="6" t="s">
        <v>8395</v>
      </c>
      <c r="D1177" s="6" t="s">
        <v>383</v>
      </c>
      <c r="E1177" s="6" t="s">
        <v>301</v>
      </c>
      <c r="F1177" s="8">
        <v>44.0</v>
      </c>
      <c r="G1177" s="9">
        <v>534.76</v>
      </c>
      <c r="H1177" s="9">
        <v>3499.57</v>
      </c>
      <c r="I1177" s="6" t="s">
        <v>161</v>
      </c>
      <c r="J1177" s="6" t="s">
        <v>421</v>
      </c>
      <c r="K1177" s="6" t="s">
        <v>8397</v>
      </c>
      <c r="L1177" s="6">
        <v>5.1657132168E10</v>
      </c>
      <c r="M1177" s="6" t="s">
        <v>8398</v>
      </c>
      <c r="N1177" s="6" t="s">
        <v>259</v>
      </c>
      <c r="O1177" s="6" t="s">
        <v>178</v>
      </c>
      <c r="P1177" s="10">
        <v>45932.0</v>
      </c>
    </row>
    <row r="1178" ht="22.5" customHeight="1">
      <c r="A1178" s="6" t="s">
        <v>8399</v>
      </c>
      <c r="B1178" s="6" t="s">
        <v>8400</v>
      </c>
      <c r="C1178" s="6" t="s">
        <v>8401</v>
      </c>
      <c r="D1178" s="6" t="s">
        <v>206</v>
      </c>
      <c r="E1178" s="6" t="s">
        <v>147</v>
      </c>
      <c r="F1178" s="8">
        <v>12.0</v>
      </c>
      <c r="G1178" s="9">
        <v>1031.42</v>
      </c>
      <c r="H1178" s="9">
        <v>2937.39</v>
      </c>
      <c r="I1178" s="6" t="s">
        <v>161</v>
      </c>
      <c r="J1178" s="6" t="s">
        <v>163</v>
      </c>
      <c r="K1178" s="6" t="s">
        <v>8403</v>
      </c>
      <c r="L1178" s="6">
        <v>4.6250528739E10</v>
      </c>
      <c r="M1178" s="6" t="s">
        <v>8404</v>
      </c>
      <c r="N1178" s="6" t="s">
        <v>176</v>
      </c>
      <c r="O1178" s="6" t="s">
        <v>178</v>
      </c>
      <c r="P1178" s="10">
        <v>45931.0</v>
      </c>
    </row>
    <row r="1179" ht="22.5" customHeight="1">
      <c r="A1179" s="6" t="s">
        <v>8405</v>
      </c>
      <c r="B1179" s="6" t="s">
        <v>8406</v>
      </c>
      <c r="C1179" s="6" t="s">
        <v>8407</v>
      </c>
      <c r="D1179" s="6" t="s">
        <v>145</v>
      </c>
      <c r="E1179" s="6" t="s">
        <v>147</v>
      </c>
      <c r="F1179" s="8">
        <v>12.0</v>
      </c>
      <c r="G1179" s="9">
        <v>337.55</v>
      </c>
      <c r="H1179" s="9">
        <v>8078.5</v>
      </c>
      <c r="I1179" s="6" t="s">
        <v>161</v>
      </c>
      <c r="J1179" s="6" t="s">
        <v>357</v>
      </c>
      <c r="K1179" s="6" t="s">
        <v>8409</v>
      </c>
      <c r="L1179" s="6">
        <v>3.9491220162E10</v>
      </c>
      <c r="M1179" s="6" t="s">
        <v>8410</v>
      </c>
      <c r="N1179" s="6" t="s">
        <v>283</v>
      </c>
      <c r="O1179" s="6" t="s">
        <v>178</v>
      </c>
      <c r="P1179" s="10">
        <v>45999.0</v>
      </c>
    </row>
    <row r="1180" ht="22.5" customHeight="1">
      <c r="A1180" s="6" t="s">
        <v>8411</v>
      </c>
      <c r="B1180" s="6" t="s">
        <v>8413</v>
      </c>
      <c r="C1180" s="6" t="s">
        <v>8414</v>
      </c>
      <c r="D1180" s="6" t="s">
        <v>206</v>
      </c>
      <c r="E1180" s="6" t="s">
        <v>210</v>
      </c>
      <c r="F1180" s="8">
        <v>68.0</v>
      </c>
      <c r="G1180" s="9">
        <v>105.02</v>
      </c>
      <c r="H1180" s="9">
        <v>4716.27</v>
      </c>
      <c r="I1180" s="6" t="s">
        <v>178</v>
      </c>
      <c r="J1180" s="6" t="s">
        <v>442</v>
      </c>
      <c r="K1180" s="6" t="s">
        <v>8415</v>
      </c>
      <c r="L1180" s="6">
        <v>5.9776628973E10</v>
      </c>
      <c r="M1180" s="6" t="s">
        <v>8416</v>
      </c>
      <c r="N1180" s="6" t="s">
        <v>427</v>
      </c>
      <c r="O1180" s="6" t="s">
        <v>161</v>
      </c>
      <c r="P1180" s="10">
        <v>45946.0</v>
      </c>
    </row>
    <row r="1181" ht="22.5" customHeight="1">
      <c r="A1181" s="6" t="s">
        <v>8418</v>
      </c>
      <c r="B1181" s="6" t="s">
        <v>8419</v>
      </c>
      <c r="C1181" s="6" t="s">
        <v>8420</v>
      </c>
      <c r="D1181" s="6" t="s">
        <v>145</v>
      </c>
      <c r="E1181" s="6" t="s">
        <v>301</v>
      </c>
      <c r="F1181" s="8">
        <v>45.0</v>
      </c>
      <c r="G1181" s="9">
        <v>402.86</v>
      </c>
      <c r="H1181" s="9">
        <v>2355.48</v>
      </c>
      <c r="I1181" s="6" t="s">
        <v>161</v>
      </c>
      <c r="J1181" s="6" t="s">
        <v>421</v>
      </c>
      <c r="K1181" s="6" t="s">
        <v>8421</v>
      </c>
      <c r="L1181" s="6">
        <v>2.9014415129E10</v>
      </c>
      <c r="M1181" s="6" t="s">
        <v>8422</v>
      </c>
      <c r="N1181" s="6" t="s">
        <v>283</v>
      </c>
      <c r="O1181" s="6" t="s">
        <v>178</v>
      </c>
      <c r="P1181" s="10">
        <v>46031.0</v>
      </c>
    </row>
    <row r="1182" ht="22.5" customHeight="1">
      <c r="A1182" s="6" t="s">
        <v>8424</v>
      </c>
      <c r="B1182" s="6" t="s">
        <v>8425</v>
      </c>
      <c r="C1182" s="6" t="s">
        <v>8426</v>
      </c>
      <c r="D1182" s="6" t="s">
        <v>145</v>
      </c>
      <c r="E1182" s="6" t="s">
        <v>147</v>
      </c>
      <c r="F1182" s="8">
        <v>16.0</v>
      </c>
      <c r="G1182" s="9">
        <v>241.54</v>
      </c>
      <c r="H1182" s="9">
        <v>3556.9</v>
      </c>
      <c r="I1182" s="6" t="s">
        <v>161</v>
      </c>
      <c r="J1182" s="6" t="s">
        <v>421</v>
      </c>
      <c r="K1182" s="6" t="s">
        <v>8427</v>
      </c>
      <c r="L1182" s="6">
        <v>1.5789863658E10</v>
      </c>
      <c r="M1182" s="6" t="s">
        <v>8428</v>
      </c>
      <c r="N1182" s="6" t="s">
        <v>112</v>
      </c>
      <c r="O1182" s="6" t="s">
        <v>178</v>
      </c>
      <c r="P1182" s="10">
        <v>45982.0</v>
      </c>
    </row>
    <row r="1183" ht="22.5" customHeight="1">
      <c r="A1183" s="6" t="s">
        <v>8429</v>
      </c>
      <c r="B1183" s="6" t="s">
        <v>8430</v>
      </c>
      <c r="C1183" s="6" t="s">
        <v>8431</v>
      </c>
      <c r="D1183" s="6" t="s">
        <v>206</v>
      </c>
      <c r="E1183" s="6" t="s">
        <v>147</v>
      </c>
      <c r="F1183" s="8">
        <v>6.0</v>
      </c>
      <c r="G1183" s="9">
        <v>1153.51</v>
      </c>
      <c r="H1183" s="9">
        <v>14588.23</v>
      </c>
      <c r="I1183" s="6" t="s">
        <v>161</v>
      </c>
      <c r="J1183" s="6" t="s">
        <v>228</v>
      </c>
      <c r="K1183" s="6" t="s">
        <v>8433</v>
      </c>
      <c r="L1183" s="6">
        <v>3.2563474913E10</v>
      </c>
      <c r="M1183" s="6" t="s">
        <v>8434</v>
      </c>
      <c r="N1183" s="6" t="s">
        <v>259</v>
      </c>
      <c r="O1183" s="6" t="s">
        <v>178</v>
      </c>
      <c r="P1183" s="10">
        <v>45958.0</v>
      </c>
    </row>
    <row r="1184" ht="22.5" customHeight="1">
      <c r="A1184" s="6" t="s">
        <v>8435</v>
      </c>
      <c r="B1184" s="6" t="s">
        <v>8436</v>
      </c>
      <c r="C1184" s="6" t="s">
        <v>8437</v>
      </c>
      <c r="D1184" s="6" t="s">
        <v>383</v>
      </c>
      <c r="E1184" s="6" t="s">
        <v>210</v>
      </c>
      <c r="F1184" s="8">
        <v>107.0</v>
      </c>
      <c r="G1184" s="9">
        <v>124.71</v>
      </c>
      <c r="H1184" s="9">
        <v>7601.76</v>
      </c>
      <c r="I1184" s="6" t="s">
        <v>161</v>
      </c>
      <c r="J1184" s="6" t="s">
        <v>465</v>
      </c>
      <c r="K1184" s="6" t="s">
        <v>8439</v>
      </c>
      <c r="L1184" s="6">
        <v>7.860674743E9</v>
      </c>
      <c r="M1184" s="6" t="s">
        <v>8440</v>
      </c>
      <c r="N1184" s="6" t="s">
        <v>112</v>
      </c>
      <c r="O1184" s="6" t="s">
        <v>161</v>
      </c>
      <c r="P1184" s="10">
        <v>45951.0</v>
      </c>
    </row>
    <row r="1185" ht="22.5" customHeight="1">
      <c r="A1185" s="6" t="s">
        <v>8441</v>
      </c>
      <c r="B1185" s="6" t="s">
        <v>8442</v>
      </c>
      <c r="C1185" s="6" t="s">
        <v>8443</v>
      </c>
      <c r="D1185" s="6" t="s">
        <v>206</v>
      </c>
      <c r="E1185" s="6" t="s">
        <v>301</v>
      </c>
      <c r="F1185" s="8">
        <v>59.0</v>
      </c>
      <c r="G1185" s="9">
        <v>237.19</v>
      </c>
      <c r="H1185" s="9">
        <v>13400.47</v>
      </c>
      <c r="I1185" s="6" t="s">
        <v>161</v>
      </c>
      <c r="J1185" s="6" t="s">
        <v>163</v>
      </c>
      <c r="K1185" s="6" t="s">
        <v>8444</v>
      </c>
      <c r="L1185" s="6">
        <v>2.5351936015E10</v>
      </c>
      <c r="M1185" s="6" t="s">
        <v>8446</v>
      </c>
      <c r="N1185" s="6" t="s">
        <v>283</v>
      </c>
      <c r="O1185" s="6" t="s">
        <v>178</v>
      </c>
      <c r="P1185" s="10">
        <v>45960.0</v>
      </c>
    </row>
    <row r="1186" ht="22.5" customHeight="1">
      <c r="A1186" s="6" t="s">
        <v>8447</v>
      </c>
      <c r="B1186" s="6" t="s">
        <v>8448</v>
      </c>
      <c r="C1186" s="6" t="s">
        <v>8449</v>
      </c>
      <c r="D1186" s="6" t="s">
        <v>145</v>
      </c>
      <c r="E1186" s="6" t="s">
        <v>301</v>
      </c>
      <c r="F1186" s="8">
        <v>30.0</v>
      </c>
      <c r="G1186" s="9">
        <v>795.23</v>
      </c>
      <c r="H1186" s="9">
        <v>7729.81</v>
      </c>
      <c r="I1186" s="6" t="s">
        <v>161</v>
      </c>
      <c r="J1186" s="6" t="s">
        <v>421</v>
      </c>
      <c r="K1186" s="6" t="s">
        <v>8450</v>
      </c>
      <c r="L1186" s="6">
        <v>6.7092560479E10</v>
      </c>
      <c r="M1186" s="6" t="s">
        <v>8451</v>
      </c>
      <c r="N1186" s="6" t="s">
        <v>112</v>
      </c>
      <c r="O1186" s="6" t="s">
        <v>178</v>
      </c>
      <c r="P1186" s="10">
        <v>46044.0</v>
      </c>
    </row>
    <row r="1187" ht="22.5" customHeight="1">
      <c r="A1187" s="6" t="s">
        <v>8453</v>
      </c>
      <c r="B1187" s="6" t="s">
        <v>8454</v>
      </c>
      <c r="C1187" s="6" t="s">
        <v>5840</v>
      </c>
      <c r="D1187" s="6" t="s">
        <v>145</v>
      </c>
      <c r="E1187" s="6" t="s">
        <v>147</v>
      </c>
      <c r="F1187" s="8">
        <v>13.0</v>
      </c>
      <c r="G1187" s="9">
        <v>393.29</v>
      </c>
      <c r="H1187" s="9">
        <v>8162.6</v>
      </c>
      <c r="I1187" s="6" t="s">
        <v>161</v>
      </c>
      <c r="J1187" s="6" t="s">
        <v>421</v>
      </c>
      <c r="K1187" s="6" t="s">
        <v>259</v>
      </c>
      <c r="L1187" s="6">
        <v>1.0835951575E10</v>
      </c>
      <c r="M1187" s="6" t="s">
        <v>8455</v>
      </c>
      <c r="N1187" s="6" t="s">
        <v>259</v>
      </c>
      <c r="O1187" s="6" t="s">
        <v>178</v>
      </c>
      <c r="P1187" s="10">
        <v>45984.0</v>
      </c>
    </row>
    <row r="1188" ht="22.5" customHeight="1">
      <c r="A1188" s="6" t="s">
        <v>8456</v>
      </c>
      <c r="B1188" s="6" t="s">
        <v>8457</v>
      </c>
      <c r="C1188" s="6" t="s">
        <v>8458</v>
      </c>
      <c r="D1188" s="6" t="s">
        <v>145</v>
      </c>
      <c r="E1188" s="6" t="s">
        <v>210</v>
      </c>
      <c r="F1188" s="8">
        <v>76.0</v>
      </c>
      <c r="G1188" s="9">
        <v>479.59</v>
      </c>
      <c r="H1188" s="9">
        <v>8303.29</v>
      </c>
      <c r="I1188" s="6" t="s">
        <v>178</v>
      </c>
      <c r="J1188" s="6" t="s">
        <v>479</v>
      </c>
      <c r="K1188" s="6" t="s">
        <v>8460</v>
      </c>
      <c r="L1188" s="6">
        <v>4.0696515961E10</v>
      </c>
      <c r="M1188" s="6" t="s">
        <v>8461</v>
      </c>
      <c r="N1188" s="6" t="s">
        <v>259</v>
      </c>
      <c r="O1188" s="6" t="s">
        <v>161</v>
      </c>
      <c r="P1188" s="10">
        <v>45967.0</v>
      </c>
    </row>
    <row r="1189" ht="22.5" customHeight="1">
      <c r="A1189" s="6" t="s">
        <v>8462</v>
      </c>
      <c r="B1189" s="6" t="s">
        <v>8463</v>
      </c>
      <c r="C1189" s="6" t="s">
        <v>8464</v>
      </c>
      <c r="D1189" s="6" t="s">
        <v>145</v>
      </c>
      <c r="E1189" s="6" t="s">
        <v>210</v>
      </c>
      <c r="F1189" s="8">
        <v>116.0</v>
      </c>
      <c r="G1189" s="9">
        <v>412.14</v>
      </c>
      <c r="H1189" s="9">
        <v>6159.99</v>
      </c>
      <c r="I1189" s="6" t="s">
        <v>161</v>
      </c>
      <c r="J1189" s="6" t="s">
        <v>421</v>
      </c>
      <c r="K1189" s="6" t="s">
        <v>8466</v>
      </c>
      <c r="L1189" s="6">
        <v>5.447838764E9</v>
      </c>
      <c r="M1189" s="6" t="s">
        <v>8467</v>
      </c>
      <c r="N1189" s="6" t="s">
        <v>112</v>
      </c>
      <c r="O1189" s="6" t="s">
        <v>161</v>
      </c>
      <c r="P1189" s="10">
        <v>46031.0</v>
      </c>
    </row>
    <row r="1190" ht="22.5" customHeight="1">
      <c r="A1190" s="6" t="s">
        <v>8468</v>
      </c>
      <c r="B1190" s="6" t="s">
        <v>8470</v>
      </c>
      <c r="C1190" s="6" t="s">
        <v>8471</v>
      </c>
      <c r="D1190" s="6" t="s">
        <v>206</v>
      </c>
      <c r="E1190" s="6" t="s">
        <v>147</v>
      </c>
      <c r="F1190" s="8">
        <v>6.0</v>
      </c>
      <c r="G1190" s="9">
        <v>332.7</v>
      </c>
      <c r="H1190" s="9">
        <v>13261.7</v>
      </c>
      <c r="I1190" s="6" t="s">
        <v>161</v>
      </c>
      <c r="J1190" s="6" t="s">
        <v>163</v>
      </c>
      <c r="K1190" s="6" t="s">
        <v>8472</v>
      </c>
      <c r="L1190" s="6">
        <v>2.6140707874E10</v>
      </c>
      <c r="M1190" s="6" t="s">
        <v>8473</v>
      </c>
      <c r="N1190" s="6" t="s">
        <v>259</v>
      </c>
      <c r="O1190" s="6" t="s">
        <v>178</v>
      </c>
      <c r="P1190" s="10">
        <v>46040.0</v>
      </c>
    </row>
    <row r="1191" ht="22.5" customHeight="1">
      <c r="A1191" s="6" t="s">
        <v>8475</v>
      </c>
      <c r="B1191" s="6" t="s">
        <v>8476</v>
      </c>
      <c r="C1191" s="6" t="s">
        <v>8477</v>
      </c>
      <c r="D1191" s="6" t="s">
        <v>145</v>
      </c>
      <c r="E1191" s="6" t="s">
        <v>147</v>
      </c>
      <c r="F1191" s="8">
        <v>20.0</v>
      </c>
      <c r="G1191" s="9">
        <v>243.58</v>
      </c>
      <c r="H1191" s="9">
        <v>12563.59</v>
      </c>
      <c r="I1191" s="6" t="s">
        <v>161</v>
      </c>
      <c r="J1191" s="6" t="s">
        <v>312</v>
      </c>
      <c r="K1191" s="6" t="s">
        <v>8478</v>
      </c>
      <c r="L1191" s="6">
        <v>2.80866615E10</v>
      </c>
      <c r="M1191" s="6" t="s">
        <v>8480</v>
      </c>
      <c r="N1191" s="6" t="s">
        <v>176</v>
      </c>
      <c r="O1191" s="6" t="s">
        <v>178</v>
      </c>
      <c r="P1191" s="10">
        <v>46001.0</v>
      </c>
    </row>
    <row r="1192" ht="22.5" customHeight="1">
      <c r="A1192" s="6" t="s">
        <v>8481</v>
      </c>
      <c r="B1192" s="6" t="s">
        <v>8482</v>
      </c>
      <c r="C1192" s="6" t="s">
        <v>8483</v>
      </c>
      <c r="D1192" s="6" t="s">
        <v>383</v>
      </c>
      <c r="E1192" s="6" t="s">
        <v>301</v>
      </c>
      <c r="F1192" s="8">
        <v>30.0</v>
      </c>
      <c r="G1192" s="9">
        <v>795.83</v>
      </c>
      <c r="H1192" s="9">
        <v>7586.76</v>
      </c>
      <c r="I1192" s="6" t="s">
        <v>161</v>
      </c>
      <c r="J1192" s="6" t="s">
        <v>312</v>
      </c>
      <c r="K1192" s="6" t="s">
        <v>8484</v>
      </c>
      <c r="L1192" s="6">
        <v>7.0833849047E10</v>
      </c>
      <c r="M1192" s="6" t="s">
        <v>8485</v>
      </c>
      <c r="N1192" s="6" t="s">
        <v>112</v>
      </c>
      <c r="O1192" s="6" t="s">
        <v>178</v>
      </c>
      <c r="P1192" s="10">
        <v>46004.0</v>
      </c>
    </row>
    <row r="1193" ht="22.5" customHeight="1">
      <c r="A1193" s="6" t="s">
        <v>8487</v>
      </c>
      <c r="B1193" s="6" t="s">
        <v>8488</v>
      </c>
      <c r="C1193" s="6" t="s">
        <v>8489</v>
      </c>
      <c r="D1193" s="6" t="s">
        <v>145</v>
      </c>
      <c r="E1193" s="6" t="s">
        <v>301</v>
      </c>
      <c r="F1193" s="8">
        <v>56.0</v>
      </c>
      <c r="G1193" s="9">
        <v>309.72</v>
      </c>
      <c r="H1193" s="9">
        <v>13748.44</v>
      </c>
      <c r="I1193" s="6" t="s">
        <v>161</v>
      </c>
      <c r="J1193" s="6" t="s">
        <v>577</v>
      </c>
      <c r="K1193" s="6" t="s">
        <v>8490</v>
      </c>
      <c r="L1193" s="6">
        <v>9.1159672292E10</v>
      </c>
      <c r="M1193" s="6" t="s">
        <v>8492</v>
      </c>
      <c r="N1193" s="6" t="s">
        <v>112</v>
      </c>
      <c r="O1193" s="6" t="s">
        <v>178</v>
      </c>
      <c r="P1193" s="10">
        <v>45991.0</v>
      </c>
    </row>
    <row r="1194" ht="22.5" customHeight="1">
      <c r="A1194" s="6" t="s">
        <v>8493</v>
      </c>
      <c r="B1194" s="6" t="s">
        <v>8494</v>
      </c>
      <c r="C1194" s="6" t="s">
        <v>8495</v>
      </c>
      <c r="D1194" s="6" t="s">
        <v>206</v>
      </c>
      <c r="E1194" s="6" t="s">
        <v>147</v>
      </c>
      <c r="F1194" s="8">
        <v>21.0</v>
      </c>
      <c r="G1194" s="9">
        <v>579.57</v>
      </c>
      <c r="H1194" s="9">
        <v>9256.99</v>
      </c>
      <c r="I1194" s="6" t="s">
        <v>161</v>
      </c>
      <c r="J1194" s="6" t="s">
        <v>163</v>
      </c>
      <c r="K1194" s="6" t="s">
        <v>259</v>
      </c>
      <c r="L1194" s="6">
        <v>7.19963469E10</v>
      </c>
      <c r="M1194" s="6" t="s">
        <v>8496</v>
      </c>
      <c r="N1194" s="6" t="s">
        <v>176</v>
      </c>
      <c r="O1194" s="6" t="s">
        <v>178</v>
      </c>
      <c r="P1194" s="10">
        <v>46023.0</v>
      </c>
    </row>
    <row r="1195" ht="22.5" customHeight="1">
      <c r="A1195" s="6" t="s">
        <v>8498</v>
      </c>
      <c r="B1195" s="6" t="s">
        <v>8499</v>
      </c>
      <c r="C1195" s="6" t="s">
        <v>8500</v>
      </c>
      <c r="D1195" s="6" t="s">
        <v>206</v>
      </c>
      <c r="E1195" s="6" t="s">
        <v>147</v>
      </c>
      <c r="F1195" s="8">
        <v>18.0</v>
      </c>
      <c r="G1195" s="9">
        <v>1663.78</v>
      </c>
      <c r="H1195" s="9">
        <v>13396.35</v>
      </c>
      <c r="I1195" s="6" t="s">
        <v>161</v>
      </c>
      <c r="J1195" s="6" t="s">
        <v>421</v>
      </c>
      <c r="K1195" s="6" t="s">
        <v>8501</v>
      </c>
      <c r="L1195" s="6">
        <v>5.2698663177E10</v>
      </c>
      <c r="M1195" s="6" t="s">
        <v>8502</v>
      </c>
      <c r="N1195" s="6" t="s">
        <v>176</v>
      </c>
      <c r="O1195" s="6" t="s">
        <v>178</v>
      </c>
      <c r="P1195" s="10">
        <v>46022.0</v>
      </c>
    </row>
    <row r="1196" ht="22.5" customHeight="1">
      <c r="A1196" s="6" t="s">
        <v>8503</v>
      </c>
      <c r="B1196" s="6" t="s">
        <v>8505</v>
      </c>
      <c r="C1196" s="6" t="s">
        <v>8506</v>
      </c>
      <c r="D1196" s="6" t="s">
        <v>145</v>
      </c>
      <c r="E1196" s="6" t="s">
        <v>147</v>
      </c>
      <c r="F1196" s="8">
        <v>28.0</v>
      </c>
      <c r="G1196" s="9">
        <v>802.75</v>
      </c>
      <c r="H1196" s="9">
        <v>14606.75</v>
      </c>
      <c r="I1196" s="6" t="s">
        <v>161</v>
      </c>
      <c r="J1196" s="6" t="s">
        <v>357</v>
      </c>
      <c r="K1196" s="6" t="s">
        <v>8507</v>
      </c>
      <c r="L1196" s="6">
        <v>7.9957853342E10</v>
      </c>
      <c r="M1196" s="6" t="s">
        <v>8508</v>
      </c>
      <c r="N1196" s="6" t="s">
        <v>112</v>
      </c>
      <c r="O1196" s="6" t="s">
        <v>178</v>
      </c>
      <c r="P1196" s="10">
        <v>46022.0</v>
      </c>
    </row>
    <row r="1197" ht="22.5" customHeight="1">
      <c r="A1197" s="6" t="s">
        <v>8509</v>
      </c>
      <c r="B1197" s="6" t="s">
        <v>8510</v>
      </c>
      <c r="C1197" s="6" t="s">
        <v>8511</v>
      </c>
      <c r="D1197" s="6" t="s">
        <v>145</v>
      </c>
      <c r="E1197" s="6" t="s">
        <v>301</v>
      </c>
      <c r="F1197" s="8">
        <v>41.0</v>
      </c>
      <c r="G1197" s="9">
        <v>1055.54</v>
      </c>
      <c r="H1197" s="9">
        <v>8499.03</v>
      </c>
      <c r="I1197" s="6" t="s">
        <v>161</v>
      </c>
      <c r="J1197" s="6" t="s">
        <v>421</v>
      </c>
      <c r="K1197" s="6" t="s">
        <v>8513</v>
      </c>
      <c r="L1197" s="6">
        <v>2.067898484E9</v>
      </c>
      <c r="M1197" s="6" t="s">
        <v>8514</v>
      </c>
      <c r="N1197" s="6" t="s">
        <v>112</v>
      </c>
      <c r="O1197" s="6" t="s">
        <v>178</v>
      </c>
      <c r="P1197" s="10">
        <v>46027.0</v>
      </c>
    </row>
    <row r="1198" ht="22.5" customHeight="1">
      <c r="A1198" s="6" t="s">
        <v>8515</v>
      </c>
      <c r="B1198" s="6" t="s">
        <v>8516</v>
      </c>
      <c r="C1198" s="6" t="s">
        <v>8517</v>
      </c>
      <c r="D1198" s="6" t="s">
        <v>206</v>
      </c>
      <c r="E1198" s="6" t="s">
        <v>147</v>
      </c>
      <c r="F1198" s="8">
        <v>23.0</v>
      </c>
      <c r="G1198" s="9">
        <v>1676.76</v>
      </c>
      <c r="H1198" s="9">
        <v>8818.28</v>
      </c>
      <c r="I1198" s="6" t="s">
        <v>161</v>
      </c>
      <c r="J1198" s="6" t="s">
        <v>577</v>
      </c>
      <c r="K1198" s="6" t="s">
        <v>8519</v>
      </c>
      <c r="L1198" s="6">
        <v>7.4143663532E10</v>
      </c>
      <c r="M1198" s="6" t="s">
        <v>8520</v>
      </c>
      <c r="N1198" s="6" t="s">
        <v>176</v>
      </c>
      <c r="O1198" s="6" t="s">
        <v>178</v>
      </c>
      <c r="P1198" s="10">
        <v>45961.0</v>
      </c>
    </row>
    <row r="1199" ht="22.5" customHeight="1">
      <c r="A1199" s="6" t="s">
        <v>8521</v>
      </c>
      <c r="B1199" s="6" t="s">
        <v>8522</v>
      </c>
      <c r="C1199" s="6" t="s">
        <v>8523</v>
      </c>
      <c r="D1199" s="6" t="s">
        <v>206</v>
      </c>
      <c r="E1199" s="6" t="s">
        <v>301</v>
      </c>
      <c r="F1199" s="8">
        <v>38.0</v>
      </c>
      <c r="G1199" s="9">
        <v>1214.18</v>
      </c>
      <c r="H1199" s="9">
        <v>1723.69</v>
      </c>
      <c r="I1199" s="6" t="s">
        <v>161</v>
      </c>
      <c r="J1199" s="6" t="s">
        <v>393</v>
      </c>
      <c r="K1199" s="6" t="s">
        <v>8524</v>
      </c>
      <c r="L1199" s="6">
        <v>6.2175323076E10</v>
      </c>
      <c r="M1199" s="6" t="s">
        <v>8525</v>
      </c>
      <c r="N1199" s="6" t="s">
        <v>112</v>
      </c>
      <c r="O1199" s="6" t="s">
        <v>178</v>
      </c>
      <c r="P1199" s="10">
        <v>45948.0</v>
      </c>
    </row>
    <row r="1200" ht="22.5" customHeight="1">
      <c r="A1200" s="6" t="s">
        <v>8527</v>
      </c>
      <c r="B1200" s="6" t="s">
        <v>8528</v>
      </c>
      <c r="C1200" s="6" t="s">
        <v>8529</v>
      </c>
      <c r="D1200" s="6" t="s">
        <v>145</v>
      </c>
      <c r="E1200" s="6" t="s">
        <v>301</v>
      </c>
      <c r="F1200" s="8">
        <v>41.0</v>
      </c>
      <c r="G1200" s="9">
        <v>298.47</v>
      </c>
      <c r="H1200" s="9">
        <v>11062.76</v>
      </c>
      <c r="I1200" s="6" t="s">
        <v>161</v>
      </c>
      <c r="J1200" s="6" t="s">
        <v>465</v>
      </c>
      <c r="K1200" s="6" t="s">
        <v>8530</v>
      </c>
      <c r="L1200" s="6">
        <v>2.0135456209E10</v>
      </c>
      <c r="M1200" s="6" t="s">
        <v>8531</v>
      </c>
      <c r="N1200" s="6" t="s">
        <v>259</v>
      </c>
      <c r="O1200" s="6" t="s">
        <v>178</v>
      </c>
      <c r="P1200" s="10">
        <v>45931.0</v>
      </c>
    </row>
    <row r="1201" ht="22.5" customHeight="1">
      <c r="A1201" s="6" t="s">
        <v>8532</v>
      </c>
      <c r="B1201" s="6" t="s">
        <v>8533</v>
      </c>
      <c r="C1201" s="6" t="s">
        <v>8535</v>
      </c>
      <c r="D1201" s="6" t="s">
        <v>145</v>
      </c>
      <c r="E1201" s="6" t="s">
        <v>147</v>
      </c>
      <c r="F1201" s="8">
        <v>7.0</v>
      </c>
      <c r="G1201" s="9">
        <v>1024.29</v>
      </c>
      <c r="H1201" s="9">
        <v>9846.76</v>
      </c>
      <c r="I1201" s="6" t="s">
        <v>161</v>
      </c>
      <c r="J1201" s="6" t="s">
        <v>421</v>
      </c>
      <c r="K1201" s="6" t="s">
        <v>8536</v>
      </c>
      <c r="L1201" s="6">
        <v>9.7634916094E10</v>
      </c>
      <c r="M1201" s="6" t="s">
        <v>8537</v>
      </c>
      <c r="N1201" s="6" t="s">
        <v>283</v>
      </c>
      <c r="O1201" s="6" t="s">
        <v>178</v>
      </c>
      <c r="P1201" s="10">
        <v>45960.0</v>
      </c>
    </row>
    <row r="1202" ht="22.5" customHeight="1">
      <c r="A1202" s="6" t="s">
        <v>8538</v>
      </c>
      <c r="B1202" s="6" t="s">
        <v>8539</v>
      </c>
      <c r="C1202" s="6" t="s">
        <v>8540</v>
      </c>
      <c r="D1202" s="6" t="s">
        <v>206</v>
      </c>
      <c r="E1202" s="6" t="s">
        <v>210</v>
      </c>
      <c r="F1202" s="8">
        <v>111.0</v>
      </c>
      <c r="G1202" s="9">
        <v>409.28</v>
      </c>
      <c r="H1202" s="9">
        <v>5499.38</v>
      </c>
      <c r="I1202" s="6" t="s">
        <v>178</v>
      </c>
      <c r="J1202" s="6" t="s">
        <v>357</v>
      </c>
      <c r="K1202" s="6" t="s">
        <v>8542</v>
      </c>
      <c r="L1202" s="6">
        <v>8.02769216E9</v>
      </c>
      <c r="M1202" s="6" t="s">
        <v>8543</v>
      </c>
      <c r="N1202" s="6" t="s">
        <v>283</v>
      </c>
      <c r="O1202" s="6" t="s">
        <v>161</v>
      </c>
      <c r="P1202" s="10">
        <v>46009.0</v>
      </c>
    </row>
    <row r="1203" ht="22.5" customHeight="1">
      <c r="A1203" s="6" t="s">
        <v>8544</v>
      </c>
      <c r="B1203" s="6" t="s">
        <v>8545</v>
      </c>
      <c r="C1203" s="6" t="s">
        <v>8546</v>
      </c>
      <c r="D1203" s="6" t="s">
        <v>145</v>
      </c>
      <c r="E1203" s="6" t="s">
        <v>147</v>
      </c>
      <c r="F1203" s="8">
        <v>9.0</v>
      </c>
      <c r="G1203" s="9">
        <v>530.57</v>
      </c>
      <c r="H1203" s="9">
        <v>2668.66</v>
      </c>
      <c r="I1203" s="6" t="s">
        <v>161</v>
      </c>
      <c r="J1203" s="6" t="s">
        <v>442</v>
      </c>
      <c r="K1203" s="6" t="s">
        <v>8547</v>
      </c>
      <c r="L1203" s="6">
        <v>1.8288246265E10</v>
      </c>
      <c r="M1203" s="6" t="s">
        <v>8549</v>
      </c>
      <c r="N1203" s="6" t="s">
        <v>176</v>
      </c>
      <c r="O1203" s="6" t="s">
        <v>178</v>
      </c>
      <c r="P1203" s="10">
        <v>45955.0</v>
      </c>
    </row>
    <row r="1204" ht="22.5" customHeight="1">
      <c r="A1204" s="6" t="s">
        <v>8550</v>
      </c>
      <c r="B1204" s="6" t="s">
        <v>8551</v>
      </c>
      <c r="C1204" s="6" t="s">
        <v>8552</v>
      </c>
      <c r="D1204" s="6" t="s">
        <v>145</v>
      </c>
      <c r="E1204" s="6" t="s">
        <v>147</v>
      </c>
      <c r="F1204" s="8">
        <v>16.0</v>
      </c>
      <c r="G1204" s="9">
        <v>451.94</v>
      </c>
      <c r="H1204" s="9">
        <v>11570.57</v>
      </c>
      <c r="I1204" s="6" t="s">
        <v>161</v>
      </c>
      <c r="J1204" s="6" t="s">
        <v>393</v>
      </c>
      <c r="K1204" s="6" t="s">
        <v>8553</v>
      </c>
      <c r="L1204" s="6">
        <v>3.2736067294E10</v>
      </c>
      <c r="M1204" s="6" t="s">
        <v>8554</v>
      </c>
      <c r="N1204" s="6" t="s">
        <v>427</v>
      </c>
      <c r="O1204" s="6" t="s">
        <v>178</v>
      </c>
      <c r="P1204" s="10">
        <v>45975.0</v>
      </c>
    </row>
    <row r="1205" ht="22.5" customHeight="1">
      <c r="A1205" s="6" t="s">
        <v>8556</v>
      </c>
      <c r="B1205" s="6" t="s">
        <v>8557</v>
      </c>
      <c r="C1205" s="6" t="s">
        <v>8558</v>
      </c>
      <c r="D1205" s="6" t="s">
        <v>206</v>
      </c>
      <c r="E1205" s="6" t="s">
        <v>147</v>
      </c>
      <c r="F1205" s="8">
        <v>13.0</v>
      </c>
      <c r="G1205" s="9">
        <v>1627.09</v>
      </c>
      <c r="H1205" s="9">
        <v>6846.76</v>
      </c>
      <c r="I1205" s="6" t="s">
        <v>161</v>
      </c>
      <c r="J1205" s="6" t="s">
        <v>577</v>
      </c>
      <c r="K1205" s="6" t="s">
        <v>8559</v>
      </c>
      <c r="L1205" s="6">
        <v>4.9676260966E10</v>
      </c>
      <c r="M1205" s="6" t="s">
        <v>8560</v>
      </c>
      <c r="N1205" s="6" t="s">
        <v>112</v>
      </c>
      <c r="O1205" s="6" t="s">
        <v>178</v>
      </c>
      <c r="P1205" s="10">
        <v>45999.0</v>
      </c>
    </row>
    <row r="1206" ht="22.5" customHeight="1">
      <c r="A1206" s="6" t="s">
        <v>8561</v>
      </c>
      <c r="B1206" s="6" t="s">
        <v>8562</v>
      </c>
      <c r="C1206" s="6" t="s">
        <v>8563</v>
      </c>
      <c r="D1206" s="6" t="s">
        <v>145</v>
      </c>
      <c r="E1206" s="6" t="s">
        <v>147</v>
      </c>
      <c r="F1206" s="8">
        <v>26.0</v>
      </c>
      <c r="G1206" s="9">
        <v>730.13</v>
      </c>
      <c r="H1206" s="9">
        <v>2938.07</v>
      </c>
      <c r="I1206" s="6" t="s">
        <v>161</v>
      </c>
      <c r="J1206" s="6" t="s">
        <v>442</v>
      </c>
      <c r="K1206" s="6" t="s">
        <v>8565</v>
      </c>
      <c r="L1206" s="6">
        <v>4.012287556E10</v>
      </c>
      <c r="M1206" s="6" t="s">
        <v>8566</v>
      </c>
      <c r="N1206" s="6" t="s">
        <v>427</v>
      </c>
      <c r="O1206" s="6" t="s">
        <v>178</v>
      </c>
      <c r="P1206" s="10">
        <v>45971.0</v>
      </c>
    </row>
    <row r="1207" ht="22.5" customHeight="1">
      <c r="A1207" s="6" t="s">
        <v>8567</v>
      </c>
      <c r="B1207" s="6" t="s">
        <v>8568</v>
      </c>
      <c r="C1207" s="6" t="s">
        <v>8569</v>
      </c>
      <c r="D1207" s="6" t="s">
        <v>145</v>
      </c>
      <c r="E1207" s="6" t="s">
        <v>301</v>
      </c>
      <c r="F1207" s="8">
        <v>41.0</v>
      </c>
      <c r="G1207" s="9">
        <v>517.28</v>
      </c>
      <c r="H1207" s="9">
        <v>4605.3</v>
      </c>
      <c r="I1207" s="6" t="s">
        <v>178</v>
      </c>
      <c r="J1207" s="6" t="s">
        <v>442</v>
      </c>
      <c r="K1207" s="6" t="s">
        <v>8570</v>
      </c>
      <c r="L1207" s="6">
        <v>3.64997973E10</v>
      </c>
      <c r="M1207" s="6" t="s">
        <v>8571</v>
      </c>
      <c r="N1207" s="6" t="s">
        <v>283</v>
      </c>
      <c r="O1207" s="6" t="s">
        <v>161</v>
      </c>
      <c r="P1207" s="10">
        <v>46001.0</v>
      </c>
    </row>
    <row r="1208" ht="22.5" customHeight="1">
      <c r="A1208" s="6" t="s">
        <v>8573</v>
      </c>
      <c r="B1208" s="6" t="s">
        <v>8574</v>
      </c>
      <c r="C1208" s="6" t="s">
        <v>8575</v>
      </c>
      <c r="D1208" s="6" t="s">
        <v>145</v>
      </c>
      <c r="E1208" s="6" t="s">
        <v>147</v>
      </c>
      <c r="F1208" s="8">
        <v>16.0</v>
      </c>
      <c r="G1208" s="9">
        <v>852.12</v>
      </c>
      <c r="H1208" s="9">
        <v>2462.6</v>
      </c>
      <c r="I1208" s="6" t="s">
        <v>161</v>
      </c>
      <c r="J1208" s="6" t="s">
        <v>465</v>
      </c>
      <c r="K1208" s="6" t="s">
        <v>8576</v>
      </c>
      <c r="L1208" s="6">
        <v>4.025708687E10</v>
      </c>
      <c r="M1208" s="6" t="s">
        <v>8577</v>
      </c>
      <c r="N1208" s="6" t="s">
        <v>112</v>
      </c>
      <c r="O1208" s="6" t="s">
        <v>178</v>
      </c>
      <c r="P1208" s="10">
        <v>46016.0</v>
      </c>
    </row>
    <row r="1209" ht="22.5" customHeight="1">
      <c r="A1209" s="6" t="s">
        <v>8579</v>
      </c>
      <c r="B1209" s="6" t="s">
        <v>8580</v>
      </c>
      <c r="C1209" s="6" t="s">
        <v>8581</v>
      </c>
      <c r="D1209" s="6" t="s">
        <v>145</v>
      </c>
      <c r="E1209" s="6" t="s">
        <v>301</v>
      </c>
      <c r="F1209" s="8">
        <v>30.0</v>
      </c>
      <c r="G1209" s="9">
        <v>876.95</v>
      </c>
      <c r="H1209" s="9">
        <v>8759.3</v>
      </c>
      <c r="I1209" s="6" t="s">
        <v>161</v>
      </c>
      <c r="J1209" s="6" t="s">
        <v>4705</v>
      </c>
      <c r="K1209" s="6" t="s">
        <v>8582</v>
      </c>
      <c r="L1209" s="6">
        <v>1.8559303943E10</v>
      </c>
      <c r="M1209" s="6" t="s">
        <v>8583</v>
      </c>
      <c r="N1209" s="6" t="s">
        <v>283</v>
      </c>
      <c r="O1209" s="6" t="s">
        <v>178</v>
      </c>
      <c r="P1209" s="10">
        <v>45966.0</v>
      </c>
    </row>
    <row r="1210" ht="22.5" customHeight="1">
      <c r="A1210" s="6" t="s">
        <v>8584</v>
      </c>
      <c r="B1210" s="6" t="s">
        <v>8585</v>
      </c>
      <c r="C1210" s="6" t="s">
        <v>8586</v>
      </c>
      <c r="D1210" s="6" t="s">
        <v>206</v>
      </c>
      <c r="E1210" s="6" t="s">
        <v>147</v>
      </c>
      <c r="F1210" s="8">
        <v>11.0</v>
      </c>
      <c r="G1210" s="9">
        <v>1759.82</v>
      </c>
      <c r="H1210" s="9">
        <v>10363.96</v>
      </c>
      <c r="I1210" s="6" t="s">
        <v>161</v>
      </c>
      <c r="J1210" s="6" t="s">
        <v>228</v>
      </c>
      <c r="K1210" s="6" t="s">
        <v>8588</v>
      </c>
      <c r="L1210" s="6">
        <v>9.0318148412E10</v>
      </c>
      <c r="M1210" s="6" t="s">
        <v>8589</v>
      </c>
      <c r="N1210" s="6" t="s">
        <v>259</v>
      </c>
      <c r="O1210" s="6" t="s">
        <v>178</v>
      </c>
      <c r="P1210" s="10">
        <v>45960.0</v>
      </c>
    </row>
    <row r="1211" ht="22.5" customHeight="1">
      <c r="A1211" s="6" t="s">
        <v>8590</v>
      </c>
      <c r="B1211" s="6" t="s">
        <v>8591</v>
      </c>
      <c r="C1211" s="6" t="s">
        <v>8592</v>
      </c>
      <c r="D1211" s="6" t="s">
        <v>206</v>
      </c>
      <c r="E1211" s="6" t="s">
        <v>147</v>
      </c>
      <c r="F1211" s="8">
        <v>8.0</v>
      </c>
      <c r="G1211" s="9">
        <v>1258.59</v>
      </c>
      <c r="H1211" s="9">
        <v>10434.19</v>
      </c>
      <c r="I1211" s="6" t="s">
        <v>161</v>
      </c>
      <c r="J1211" s="6" t="s">
        <v>421</v>
      </c>
      <c r="K1211" s="6" t="s">
        <v>8594</v>
      </c>
      <c r="L1211" s="6">
        <v>4.7718204372E10</v>
      </c>
      <c r="M1211" s="6" t="s">
        <v>8595</v>
      </c>
      <c r="N1211" s="6" t="s">
        <v>283</v>
      </c>
      <c r="O1211" s="6" t="s">
        <v>178</v>
      </c>
      <c r="P1211" s="10">
        <v>45973.0</v>
      </c>
    </row>
    <row r="1212" ht="22.5" customHeight="1">
      <c r="A1212" s="6" t="s">
        <v>8596</v>
      </c>
      <c r="B1212" s="6" t="s">
        <v>8597</v>
      </c>
      <c r="C1212" s="6" t="s">
        <v>8598</v>
      </c>
      <c r="D1212" s="6" t="s">
        <v>145</v>
      </c>
      <c r="E1212" s="6" t="s">
        <v>147</v>
      </c>
      <c r="F1212" s="8">
        <v>28.0</v>
      </c>
      <c r="G1212" s="9">
        <v>656.54</v>
      </c>
      <c r="H1212" s="9">
        <v>7411.44</v>
      </c>
      <c r="I1212" s="6" t="s">
        <v>161</v>
      </c>
      <c r="J1212" s="6" t="s">
        <v>228</v>
      </c>
      <c r="K1212" s="6" t="s">
        <v>8599</v>
      </c>
      <c r="L1212" s="6">
        <v>4.7347720238E10</v>
      </c>
      <c r="M1212" s="6" t="s">
        <v>8601</v>
      </c>
      <c r="N1212" s="6" t="s">
        <v>427</v>
      </c>
      <c r="O1212" s="6" t="s">
        <v>178</v>
      </c>
      <c r="P1212" s="10">
        <v>46014.0</v>
      </c>
    </row>
    <row r="1213" ht="22.5" customHeight="1">
      <c r="A1213" s="6" t="s">
        <v>8602</v>
      </c>
      <c r="B1213" s="6" t="s">
        <v>8603</v>
      </c>
      <c r="C1213" s="6" t="s">
        <v>8604</v>
      </c>
      <c r="D1213" s="6" t="s">
        <v>145</v>
      </c>
      <c r="E1213" s="6" t="s">
        <v>301</v>
      </c>
      <c r="F1213" s="8">
        <v>39.0</v>
      </c>
      <c r="G1213" s="9">
        <v>1168.61</v>
      </c>
      <c r="H1213" s="9">
        <v>12227.72</v>
      </c>
      <c r="I1213" s="6" t="s">
        <v>161</v>
      </c>
      <c r="J1213" s="6" t="s">
        <v>312</v>
      </c>
      <c r="K1213" s="6" t="s">
        <v>8605</v>
      </c>
      <c r="L1213" s="6" t="s">
        <v>259</v>
      </c>
      <c r="M1213" s="6" t="s">
        <v>8606</v>
      </c>
      <c r="N1213" s="6" t="s">
        <v>176</v>
      </c>
      <c r="O1213" s="6" t="s">
        <v>178</v>
      </c>
      <c r="P1213" s="10">
        <v>45967.0</v>
      </c>
    </row>
    <row r="1214" ht="22.5" customHeight="1">
      <c r="A1214" s="6" t="s">
        <v>8608</v>
      </c>
      <c r="B1214" s="6" t="s">
        <v>8609</v>
      </c>
      <c r="C1214" s="6" t="s">
        <v>8610</v>
      </c>
      <c r="D1214" s="6" t="s">
        <v>383</v>
      </c>
      <c r="E1214" s="6" t="s">
        <v>147</v>
      </c>
      <c r="F1214" s="8">
        <v>15.0</v>
      </c>
      <c r="G1214" s="9">
        <v>1703.07</v>
      </c>
      <c r="H1214" s="9">
        <v>11268.35</v>
      </c>
      <c r="I1214" s="6" t="s">
        <v>161</v>
      </c>
      <c r="J1214" s="6" t="s">
        <v>421</v>
      </c>
      <c r="K1214" s="6" t="s">
        <v>8611</v>
      </c>
      <c r="L1214" s="6">
        <v>4.5732519363E10</v>
      </c>
      <c r="M1214" s="6" t="s">
        <v>8612</v>
      </c>
      <c r="N1214" s="6" t="s">
        <v>427</v>
      </c>
      <c r="O1214" s="6" t="s">
        <v>178</v>
      </c>
      <c r="P1214" s="10">
        <v>46005.0</v>
      </c>
    </row>
    <row r="1215" ht="22.5" customHeight="1">
      <c r="A1215" s="6" t="s">
        <v>8613</v>
      </c>
      <c r="B1215" s="6" t="s">
        <v>8615</v>
      </c>
      <c r="C1215" s="6" t="s">
        <v>8616</v>
      </c>
      <c r="D1215" s="6" t="s">
        <v>206</v>
      </c>
      <c r="E1215" s="6" t="s">
        <v>301</v>
      </c>
      <c r="F1215" s="8">
        <v>35.0</v>
      </c>
      <c r="G1215" s="9">
        <v>515.78</v>
      </c>
      <c r="H1215" s="9">
        <v>14492.68</v>
      </c>
      <c r="I1215" s="6" t="s">
        <v>161</v>
      </c>
      <c r="J1215" s="6" t="s">
        <v>421</v>
      </c>
      <c r="K1215" s="6" t="s">
        <v>8617</v>
      </c>
      <c r="L1215" s="6">
        <v>5.7872374714E10</v>
      </c>
      <c r="M1215" s="6" t="s">
        <v>8618</v>
      </c>
      <c r="N1215" s="6" t="s">
        <v>283</v>
      </c>
      <c r="O1215" s="6" t="s">
        <v>178</v>
      </c>
      <c r="P1215" s="10">
        <v>46028.0</v>
      </c>
    </row>
    <row r="1216" ht="22.5" customHeight="1">
      <c r="A1216" s="6" t="s">
        <v>8620</v>
      </c>
      <c r="B1216" s="6" t="s">
        <v>8621</v>
      </c>
      <c r="C1216" s="6" t="s">
        <v>8622</v>
      </c>
      <c r="D1216" s="6" t="s">
        <v>206</v>
      </c>
      <c r="E1216" s="6" t="s">
        <v>301</v>
      </c>
      <c r="F1216" s="8">
        <v>58.0</v>
      </c>
      <c r="G1216" s="9">
        <v>159.02</v>
      </c>
      <c r="H1216" s="9">
        <v>4661.6</v>
      </c>
      <c r="I1216" s="6" t="s">
        <v>161</v>
      </c>
      <c r="J1216" s="6" t="s">
        <v>357</v>
      </c>
      <c r="K1216" s="6" t="s">
        <v>8624</v>
      </c>
      <c r="L1216" s="6">
        <v>3.1460538727E10</v>
      </c>
      <c r="M1216" s="6" t="s">
        <v>8625</v>
      </c>
      <c r="N1216" s="6" t="s">
        <v>283</v>
      </c>
      <c r="O1216" s="6" t="s">
        <v>178</v>
      </c>
      <c r="P1216" s="10">
        <v>45978.0</v>
      </c>
    </row>
    <row r="1217" ht="22.5" customHeight="1">
      <c r="A1217" s="6" t="s">
        <v>8626</v>
      </c>
      <c r="B1217" s="6" t="s">
        <v>8628</v>
      </c>
      <c r="C1217" s="6" t="s">
        <v>8629</v>
      </c>
      <c r="D1217" s="6" t="s">
        <v>206</v>
      </c>
      <c r="E1217" s="6" t="s">
        <v>147</v>
      </c>
      <c r="F1217" s="8">
        <v>8.0</v>
      </c>
      <c r="G1217" s="9">
        <v>1758.46</v>
      </c>
      <c r="H1217" s="9">
        <v>5888.62</v>
      </c>
      <c r="I1217" s="6" t="s">
        <v>161</v>
      </c>
      <c r="J1217" s="6" t="s">
        <v>163</v>
      </c>
      <c r="K1217" s="6" t="s">
        <v>8630</v>
      </c>
      <c r="L1217" s="6">
        <v>2.7680533178E10</v>
      </c>
      <c r="M1217" s="6" t="s">
        <v>8631</v>
      </c>
      <c r="N1217" s="6" t="s">
        <v>112</v>
      </c>
      <c r="O1217" s="6" t="s">
        <v>178</v>
      </c>
      <c r="P1217" s="10">
        <v>45960.0</v>
      </c>
    </row>
    <row r="1218" ht="22.5" customHeight="1">
      <c r="A1218" s="6" t="s">
        <v>8632</v>
      </c>
      <c r="B1218" s="6" t="s">
        <v>8633</v>
      </c>
      <c r="C1218" s="6" t="s">
        <v>8634</v>
      </c>
      <c r="D1218" s="6" t="s">
        <v>383</v>
      </c>
      <c r="E1218" s="6" t="s">
        <v>147</v>
      </c>
      <c r="F1218" s="8">
        <v>17.0</v>
      </c>
      <c r="G1218" s="9">
        <v>181.2</v>
      </c>
      <c r="H1218" s="9">
        <v>8140.51</v>
      </c>
      <c r="I1218" s="6" t="s">
        <v>161</v>
      </c>
      <c r="J1218" s="6" t="s">
        <v>465</v>
      </c>
      <c r="K1218" s="6" t="s">
        <v>8636</v>
      </c>
      <c r="L1218" s="6">
        <v>5.9396546174E10</v>
      </c>
      <c r="M1218" s="6" t="s">
        <v>8637</v>
      </c>
      <c r="N1218" s="6" t="s">
        <v>283</v>
      </c>
      <c r="O1218" s="6" t="s">
        <v>178</v>
      </c>
      <c r="P1218" s="10">
        <v>45987.0</v>
      </c>
    </row>
    <row r="1219" ht="22.5" customHeight="1">
      <c r="A1219" s="6" t="s">
        <v>8638</v>
      </c>
      <c r="B1219" s="6" t="s">
        <v>8640</v>
      </c>
      <c r="C1219" s="6" t="s">
        <v>8641</v>
      </c>
      <c r="D1219" s="6" t="s">
        <v>383</v>
      </c>
      <c r="E1219" s="6" t="s">
        <v>301</v>
      </c>
      <c r="F1219" s="8">
        <v>31.0</v>
      </c>
      <c r="G1219" s="9">
        <v>1023.27</v>
      </c>
      <c r="H1219" s="9">
        <v>4593.69</v>
      </c>
      <c r="I1219" s="6" t="s">
        <v>161</v>
      </c>
      <c r="J1219" s="6" t="s">
        <v>577</v>
      </c>
      <c r="K1219" s="6" t="s">
        <v>8642</v>
      </c>
      <c r="L1219" s="6">
        <v>1.4366235575E10</v>
      </c>
      <c r="M1219" s="6" t="s">
        <v>8643</v>
      </c>
      <c r="N1219" s="6" t="s">
        <v>259</v>
      </c>
      <c r="O1219" s="6" t="s">
        <v>178</v>
      </c>
      <c r="P1219" s="10">
        <v>45976.0</v>
      </c>
    </row>
    <row r="1220" ht="22.5" customHeight="1">
      <c r="A1220" s="6" t="s">
        <v>8645</v>
      </c>
      <c r="B1220" s="6" t="s">
        <v>8646</v>
      </c>
      <c r="C1220" s="6" t="s">
        <v>8647</v>
      </c>
      <c r="D1220" s="6" t="s">
        <v>206</v>
      </c>
      <c r="E1220" s="6" t="s">
        <v>210</v>
      </c>
      <c r="F1220" s="8">
        <v>113.0</v>
      </c>
      <c r="G1220" s="9">
        <v>915.03</v>
      </c>
      <c r="H1220" s="9">
        <v>11659.9</v>
      </c>
      <c r="I1220" s="6" t="s">
        <v>161</v>
      </c>
      <c r="J1220" s="6" t="s">
        <v>577</v>
      </c>
      <c r="K1220" s="6" t="s">
        <v>8648</v>
      </c>
      <c r="L1220" s="6">
        <v>5.8668269653E10</v>
      </c>
      <c r="M1220" s="6" t="s">
        <v>8649</v>
      </c>
      <c r="N1220" s="6" t="s">
        <v>259</v>
      </c>
      <c r="O1220" s="6" t="s">
        <v>161</v>
      </c>
      <c r="P1220" s="10">
        <v>46016.0</v>
      </c>
    </row>
    <row r="1221" ht="22.5" customHeight="1">
      <c r="A1221" s="6" t="s">
        <v>8651</v>
      </c>
      <c r="B1221" s="6" t="s">
        <v>8652</v>
      </c>
      <c r="C1221" s="6" t="s">
        <v>8653</v>
      </c>
      <c r="D1221" s="6" t="s">
        <v>383</v>
      </c>
      <c r="E1221" s="6" t="s">
        <v>147</v>
      </c>
      <c r="F1221" s="8">
        <v>21.0</v>
      </c>
      <c r="G1221" s="9">
        <v>955.86</v>
      </c>
      <c r="H1221" s="9">
        <v>8337.32</v>
      </c>
      <c r="I1221" s="6" t="s">
        <v>161</v>
      </c>
      <c r="J1221" s="6" t="s">
        <v>163</v>
      </c>
      <c r="K1221" s="6" t="s">
        <v>8654</v>
      </c>
      <c r="L1221" s="6">
        <v>2.9157232243E10</v>
      </c>
      <c r="M1221" s="6" t="s">
        <v>8655</v>
      </c>
      <c r="N1221" s="6" t="s">
        <v>259</v>
      </c>
      <c r="O1221" s="6" t="s">
        <v>178</v>
      </c>
      <c r="P1221" s="10">
        <v>46039.0</v>
      </c>
    </row>
    <row r="1222" ht="22.5" customHeight="1">
      <c r="A1222" s="6" t="s">
        <v>8657</v>
      </c>
      <c r="B1222" s="6" t="s">
        <v>8658</v>
      </c>
      <c r="C1222" s="6" t="s">
        <v>8659</v>
      </c>
      <c r="D1222" s="6" t="s">
        <v>206</v>
      </c>
      <c r="E1222" s="6" t="s">
        <v>147</v>
      </c>
      <c r="F1222" s="8">
        <v>15.0</v>
      </c>
      <c r="G1222" s="9">
        <v>892.18</v>
      </c>
      <c r="H1222" s="9">
        <v>6677.93</v>
      </c>
      <c r="I1222" s="6" t="s">
        <v>161</v>
      </c>
      <c r="J1222" s="6" t="s">
        <v>421</v>
      </c>
      <c r="K1222" s="6" t="s">
        <v>8660</v>
      </c>
      <c r="L1222" s="6">
        <v>5.4262599536E10</v>
      </c>
      <c r="M1222" s="6" t="s">
        <v>8661</v>
      </c>
      <c r="N1222" s="6" t="s">
        <v>259</v>
      </c>
      <c r="O1222" s="6" t="s">
        <v>178</v>
      </c>
      <c r="P1222" s="10">
        <v>46045.0</v>
      </c>
    </row>
    <row r="1223" ht="22.5" customHeight="1">
      <c r="A1223" s="6" t="s">
        <v>8662</v>
      </c>
      <c r="B1223" s="6" t="s">
        <v>8663</v>
      </c>
      <c r="C1223" s="6" t="s">
        <v>8664</v>
      </c>
      <c r="D1223" s="6" t="s">
        <v>145</v>
      </c>
      <c r="E1223" s="6" t="s">
        <v>301</v>
      </c>
      <c r="F1223" s="8">
        <v>37.0</v>
      </c>
      <c r="G1223" s="9">
        <v>1467.6</v>
      </c>
      <c r="H1223" s="9">
        <v>12086.27</v>
      </c>
      <c r="I1223" s="6" t="s">
        <v>161</v>
      </c>
      <c r="J1223" s="6" t="s">
        <v>421</v>
      </c>
      <c r="K1223" s="6" t="s">
        <v>8666</v>
      </c>
      <c r="L1223" s="6">
        <v>3.4878652223E10</v>
      </c>
      <c r="M1223" s="6" t="s">
        <v>8667</v>
      </c>
      <c r="N1223" s="6" t="s">
        <v>176</v>
      </c>
      <c r="O1223" s="6" t="s">
        <v>178</v>
      </c>
      <c r="P1223" s="10">
        <v>45987.0</v>
      </c>
    </row>
    <row r="1224" ht="22.5" customHeight="1">
      <c r="A1224" s="6" t="s">
        <v>8669</v>
      </c>
      <c r="B1224" s="6" t="s">
        <v>8670</v>
      </c>
      <c r="C1224" s="6" t="s">
        <v>8671</v>
      </c>
      <c r="D1224" s="6" t="s">
        <v>145</v>
      </c>
      <c r="E1224" s="6" t="s">
        <v>147</v>
      </c>
      <c r="F1224" s="8">
        <v>8.0</v>
      </c>
      <c r="G1224" s="9">
        <v>1473.73</v>
      </c>
      <c r="H1224" s="9">
        <v>2700.94</v>
      </c>
      <c r="I1224" s="6" t="s">
        <v>161</v>
      </c>
      <c r="J1224" s="6" t="s">
        <v>228</v>
      </c>
      <c r="K1224" s="6" t="s">
        <v>8673</v>
      </c>
      <c r="L1224" s="6">
        <v>7.7078523438E10</v>
      </c>
      <c r="M1224" s="6" t="s">
        <v>8674</v>
      </c>
      <c r="N1224" s="6" t="s">
        <v>112</v>
      </c>
      <c r="O1224" s="6" t="s">
        <v>178</v>
      </c>
      <c r="P1224" s="10">
        <v>45970.0</v>
      </c>
    </row>
    <row r="1225" ht="22.5" customHeight="1">
      <c r="A1225" s="6" t="s">
        <v>8675</v>
      </c>
      <c r="B1225" s="6" t="s">
        <v>8676</v>
      </c>
      <c r="C1225" s="6" t="s">
        <v>8677</v>
      </c>
      <c r="D1225" s="6" t="s">
        <v>206</v>
      </c>
      <c r="E1225" s="6" t="s">
        <v>147</v>
      </c>
      <c r="F1225" s="8">
        <v>17.0</v>
      </c>
      <c r="G1225" s="9">
        <v>953.97</v>
      </c>
      <c r="H1225" s="9">
        <v>2905.42</v>
      </c>
      <c r="I1225" s="6" t="s">
        <v>161</v>
      </c>
      <c r="J1225" s="6" t="s">
        <v>259</v>
      </c>
      <c r="K1225" s="6" t="s">
        <v>8679</v>
      </c>
      <c r="L1225" s="6">
        <v>3.805225746E9</v>
      </c>
      <c r="M1225" s="6" t="s">
        <v>8680</v>
      </c>
      <c r="N1225" s="6" t="s">
        <v>283</v>
      </c>
      <c r="O1225" s="6" t="s">
        <v>178</v>
      </c>
      <c r="P1225" s="10">
        <v>45981.0</v>
      </c>
    </row>
    <row r="1226" ht="22.5" customHeight="1">
      <c r="A1226" s="6" t="s">
        <v>8682</v>
      </c>
      <c r="B1226" s="6" t="s">
        <v>8683</v>
      </c>
      <c r="C1226" s="6" t="s">
        <v>8684</v>
      </c>
      <c r="D1226" s="6" t="s">
        <v>145</v>
      </c>
      <c r="E1226" s="6" t="s">
        <v>210</v>
      </c>
      <c r="F1226" s="8">
        <v>88.0</v>
      </c>
      <c r="G1226" s="9">
        <v>665.02</v>
      </c>
      <c r="H1226" s="9">
        <v>2722.21</v>
      </c>
      <c r="I1226" s="6" t="s">
        <v>161</v>
      </c>
      <c r="J1226" s="6" t="s">
        <v>465</v>
      </c>
      <c r="K1226" s="6" t="s">
        <v>8686</v>
      </c>
      <c r="L1226" s="6">
        <v>6.5261782542E10</v>
      </c>
      <c r="M1226" s="6" t="s">
        <v>8687</v>
      </c>
      <c r="N1226" s="6" t="s">
        <v>427</v>
      </c>
      <c r="O1226" s="6" t="s">
        <v>161</v>
      </c>
      <c r="P1226" s="10">
        <v>45974.0</v>
      </c>
    </row>
    <row r="1227" ht="22.5" customHeight="1">
      <c r="A1227" s="6" t="s">
        <v>8688</v>
      </c>
      <c r="B1227" s="6" t="s">
        <v>8689</v>
      </c>
      <c r="C1227" s="6" t="s">
        <v>8690</v>
      </c>
      <c r="D1227" s="6" t="s">
        <v>145</v>
      </c>
      <c r="E1227" s="6" t="s">
        <v>210</v>
      </c>
      <c r="F1227" s="8">
        <v>107.0</v>
      </c>
      <c r="G1227" s="9">
        <v>1317.86</v>
      </c>
      <c r="H1227" s="9">
        <v>11949.81</v>
      </c>
      <c r="I1227" s="6" t="s">
        <v>178</v>
      </c>
      <c r="J1227" s="6" t="s">
        <v>465</v>
      </c>
      <c r="K1227" s="6" t="s">
        <v>8692</v>
      </c>
      <c r="L1227" s="6">
        <v>6.417598883E10</v>
      </c>
      <c r="M1227" s="6" t="s">
        <v>8693</v>
      </c>
      <c r="N1227" s="6" t="s">
        <v>427</v>
      </c>
      <c r="O1227" s="6" t="s">
        <v>161</v>
      </c>
      <c r="P1227" s="10">
        <v>45973.0</v>
      </c>
    </row>
    <row r="1228" ht="22.5" customHeight="1">
      <c r="A1228" s="6" t="s">
        <v>8694</v>
      </c>
      <c r="B1228" s="6" t="s">
        <v>8695</v>
      </c>
      <c r="C1228" s="6" t="s">
        <v>8696</v>
      </c>
      <c r="D1228" s="6" t="s">
        <v>206</v>
      </c>
      <c r="E1228" s="6" t="s">
        <v>147</v>
      </c>
      <c r="F1228" s="8">
        <v>24.0</v>
      </c>
      <c r="G1228" s="9">
        <v>358.44</v>
      </c>
      <c r="H1228" s="9">
        <v>1203.95</v>
      </c>
      <c r="I1228" s="6" t="s">
        <v>161</v>
      </c>
      <c r="J1228" s="6" t="s">
        <v>357</v>
      </c>
      <c r="K1228" s="6" t="s">
        <v>8698</v>
      </c>
      <c r="L1228" s="6">
        <v>1.372491395E9</v>
      </c>
      <c r="M1228" s="6" t="s">
        <v>8699</v>
      </c>
      <c r="N1228" s="6" t="s">
        <v>259</v>
      </c>
      <c r="O1228" s="6" t="s">
        <v>178</v>
      </c>
      <c r="P1228" s="10">
        <v>45983.0</v>
      </c>
    </row>
    <row r="1229" ht="22.5" customHeight="1">
      <c r="A1229" s="6" t="s">
        <v>8700</v>
      </c>
      <c r="B1229" s="6" t="s">
        <v>8701</v>
      </c>
      <c r="C1229" s="6" t="s">
        <v>8702</v>
      </c>
      <c r="D1229" s="6" t="s">
        <v>145</v>
      </c>
      <c r="E1229" s="6" t="s">
        <v>210</v>
      </c>
      <c r="F1229" s="8">
        <v>75.0</v>
      </c>
      <c r="G1229" s="9">
        <v>990.88</v>
      </c>
      <c r="H1229" s="9">
        <v>3830.78</v>
      </c>
      <c r="I1229" s="6" t="s">
        <v>178</v>
      </c>
      <c r="J1229" s="6" t="s">
        <v>442</v>
      </c>
      <c r="K1229" s="6" t="s">
        <v>8703</v>
      </c>
      <c r="L1229" s="6">
        <v>8.2955003111E10</v>
      </c>
      <c r="M1229" s="6" t="s">
        <v>8705</v>
      </c>
      <c r="N1229" s="6" t="s">
        <v>176</v>
      </c>
      <c r="O1229" s="6" t="s">
        <v>161</v>
      </c>
      <c r="P1229" s="10">
        <v>45967.0</v>
      </c>
    </row>
    <row r="1230" ht="22.5" customHeight="1">
      <c r="A1230" s="6" t="s">
        <v>8706</v>
      </c>
      <c r="B1230" s="6" t="s">
        <v>8707</v>
      </c>
      <c r="C1230" s="6" t="s">
        <v>8708</v>
      </c>
      <c r="D1230" s="6" t="s">
        <v>383</v>
      </c>
      <c r="E1230" s="6" t="s">
        <v>147</v>
      </c>
      <c r="F1230" s="8">
        <v>15.0</v>
      </c>
      <c r="G1230" s="9">
        <v>1452.22</v>
      </c>
      <c r="H1230" s="9">
        <v>10593.07</v>
      </c>
      <c r="I1230" s="6" t="s">
        <v>161</v>
      </c>
      <c r="J1230" s="6" t="s">
        <v>2502</v>
      </c>
      <c r="K1230" s="6" t="s">
        <v>8709</v>
      </c>
      <c r="L1230" s="6">
        <v>3.4965889854E10</v>
      </c>
      <c r="M1230" s="6" t="s">
        <v>8710</v>
      </c>
      <c r="N1230" s="6" t="s">
        <v>176</v>
      </c>
      <c r="O1230" s="6" t="s">
        <v>178</v>
      </c>
      <c r="P1230" s="10">
        <v>46043.0</v>
      </c>
    </row>
    <row r="1231" ht="22.5" customHeight="1">
      <c r="A1231" s="6" t="s">
        <v>8712</v>
      </c>
      <c r="B1231" s="6" t="s">
        <v>8713</v>
      </c>
      <c r="C1231" s="6" t="s">
        <v>8714</v>
      </c>
      <c r="D1231" s="6" t="s">
        <v>145</v>
      </c>
      <c r="E1231" s="6" t="s">
        <v>210</v>
      </c>
      <c r="F1231" s="8">
        <v>98.0</v>
      </c>
      <c r="G1231" s="9">
        <v>1748.5</v>
      </c>
      <c r="H1231" s="9">
        <v>7913.15</v>
      </c>
      <c r="I1231" s="6" t="s">
        <v>178</v>
      </c>
      <c r="J1231" s="6" t="s">
        <v>357</v>
      </c>
      <c r="K1231" s="6" t="s">
        <v>8715</v>
      </c>
      <c r="L1231" s="6">
        <v>4.2320938578E10</v>
      </c>
      <c r="M1231" s="6" t="s">
        <v>8716</v>
      </c>
      <c r="N1231" s="6" t="s">
        <v>283</v>
      </c>
      <c r="O1231" s="6" t="s">
        <v>161</v>
      </c>
      <c r="P1231" s="10">
        <v>46027.0</v>
      </c>
    </row>
    <row r="1232" ht="22.5" customHeight="1">
      <c r="A1232" s="6" t="s">
        <v>8717</v>
      </c>
      <c r="B1232" s="6" t="s">
        <v>8718</v>
      </c>
      <c r="C1232" s="6" t="s">
        <v>8720</v>
      </c>
      <c r="D1232" s="6" t="s">
        <v>383</v>
      </c>
      <c r="E1232" s="6" t="s">
        <v>210</v>
      </c>
      <c r="F1232" s="8">
        <v>82.0</v>
      </c>
      <c r="G1232" s="9">
        <v>266.98</v>
      </c>
      <c r="H1232" s="9">
        <v>13982.22</v>
      </c>
      <c r="I1232" s="6" t="s">
        <v>178</v>
      </c>
      <c r="J1232" s="6" t="s">
        <v>442</v>
      </c>
      <c r="K1232" s="6" t="s">
        <v>8721</v>
      </c>
      <c r="L1232" s="6">
        <v>1.5067763853E10</v>
      </c>
      <c r="M1232" s="6" t="s">
        <v>8722</v>
      </c>
      <c r="N1232" s="6" t="s">
        <v>176</v>
      </c>
      <c r="O1232" s="6" t="s">
        <v>161</v>
      </c>
      <c r="P1232" s="10">
        <v>46014.0</v>
      </c>
    </row>
    <row r="1233" ht="22.5" customHeight="1">
      <c r="A1233" s="6" t="s">
        <v>8723</v>
      </c>
      <c r="B1233" s="6" t="s">
        <v>8724</v>
      </c>
      <c r="C1233" s="6" t="s">
        <v>8725</v>
      </c>
      <c r="D1233" s="6" t="s">
        <v>145</v>
      </c>
      <c r="E1233" s="6" t="s">
        <v>147</v>
      </c>
      <c r="F1233" s="8">
        <v>5.0</v>
      </c>
      <c r="G1233" s="9">
        <v>234.51</v>
      </c>
      <c r="H1233" s="9">
        <v>1473.6</v>
      </c>
      <c r="I1233" s="6" t="s">
        <v>161</v>
      </c>
      <c r="J1233" s="6" t="s">
        <v>421</v>
      </c>
      <c r="K1233" s="6" t="s">
        <v>8727</v>
      </c>
      <c r="L1233" s="6">
        <v>6.4443332162E10</v>
      </c>
      <c r="M1233" s="6" t="s">
        <v>8728</v>
      </c>
      <c r="N1233" s="6" t="s">
        <v>112</v>
      </c>
      <c r="O1233" s="6" t="s">
        <v>178</v>
      </c>
      <c r="P1233" s="10">
        <v>45957.0</v>
      </c>
    </row>
    <row r="1234" ht="22.5" customHeight="1">
      <c r="A1234" s="6" t="s">
        <v>8729</v>
      </c>
      <c r="B1234" s="6" t="s">
        <v>8730</v>
      </c>
      <c r="C1234" s="6" t="s">
        <v>8731</v>
      </c>
      <c r="D1234" s="6" t="s">
        <v>206</v>
      </c>
      <c r="E1234" s="6" t="s">
        <v>147</v>
      </c>
      <c r="F1234" s="8">
        <v>23.0</v>
      </c>
      <c r="G1234" s="9">
        <v>730.34</v>
      </c>
      <c r="H1234" s="9">
        <v>5085.22</v>
      </c>
      <c r="I1234" s="6" t="s">
        <v>161</v>
      </c>
      <c r="J1234" s="6" t="s">
        <v>479</v>
      </c>
      <c r="K1234" s="6" t="s">
        <v>8733</v>
      </c>
      <c r="L1234" s="6">
        <v>9.9676572476E10</v>
      </c>
      <c r="M1234" s="6" t="s">
        <v>8734</v>
      </c>
      <c r="N1234" s="6" t="s">
        <v>259</v>
      </c>
      <c r="O1234" s="6" t="s">
        <v>178</v>
      </c>
      <c r="P1234" s="10">
        <v>45934.0</v>
      </c>
    </row>
    <row r="1235" ht="22.5" customHeight="1">
      <c r="A1235" s="6" t="s">
        <v>8735</v>
      </c>
      <c r="B1235" s="6" t="s">
        <v>8736</v>
      </c>
      <c r="C1235" s="6" t="s">
        <v>8738</v>
      </c>
      <c r="D1235" s="6" t="s">
        <v>145</v>
      </c>
      <c r="E1235" s="6" t="s">
        <v>210</v>
      </c>
      <c r="F1235" s="8">
        <v>85.0</v>
      </c>
      <c r="G1235" s="9">
        <v>829.01</v>
      </c>
      <c r="H1235" s="9">
        <v>5022.25</v>
      </c>
      <c r="I1235" s="6" t="s">
        <v>161</v>
      </c>
      <c r="J1235" s="6" t="s">
        <v>228</v>
      </c>
      <c r="K1235" s="6" t="s">
        <v>8739</v>
      </c>
      <c r="L1235" s="6">
        <v>2.5160378653E10</v>
      </c>
      <c r="M1235" s="6" t="s">
        <v>8740</v>
      </c>
      <c r="N1235" s="6" t="s">
        <v>176</v>
      </c>
      <c r="O1235" s="6" t="s">
        <v>161</v>
      </c>
      <c r="P1235" s="10">
        <v>45940.0</v>
      </c>
    </row>
    <row r="1236" ht="22.5" customHeight="1">
      <c r="A1236" s="6" t="s">
        <v>8741</v>
      </c>
      <c r="B1236" s="6" t="s">
        <v>8742</v>
      </c>
      <c r="C1236" s="6" t="s">
        <v>8744</v>
      </c>
      <c r="D1236" s="6" t="s">
        <v>145</v>
      </c>
      <c r="E1236" s="6" t="s">
        <v>147</v>
      </c>
      <c r="F1236" s="8">
        <v>24.0</v>
      </c>
      <c r="G1236" s="9">
        <v>1228.47</v>
      </c>
      <c r="H1236" s="9">
        <v>8969.62</v>
      </c>
      <c r="I1236" s="6" t="s">
        <v>161</v>
      </c>
      <c r="J1236" s="6" t="s">
        <v>421</v>
      </c>
      <c r="K1236" s="6" t="s">
        <v>8745</v>
      </c>
      <c r="L1236" s="6">
        <v>1.3166714852E10</v>
      </c>
      <c r="M1236" s="6" t="s">
        <v>8746</v>
      </c>
      <c r="N1236" s="6" t="s">
        <v>176</v>
      </c>
      <c r="O1236" s="6" t="s">
        <v>178</v>
      </c>
      <c r="P1236" s="10">
        <v>45963.0</v>
      </c>
    </row>
    <row r="1237" ht="22.5" customHeight="1">
      <c r="A1237" s="6" t="s">
        <v>8747</v>
      </c>
      <c r="B1237" s="6" t="s">
        <v>8748</v>
      </c>
      <c r="C1237" s="6" t="s">
        <v>8749</v>
      </c>
      <c r="D1237" s="6" t="s">
        <v>145</v>
      </c>
      <c r="E1237" s="6" t="s">
        <v>301</v>
      </c>
      <c r="F1237" s="8">
        <v>30.0</v>
      </c>
      <c r="G1237" s="9">
        <v>338.42</v>
      </c>
      <c r="H1237" s="9">
        <v>13309.85</v>
      </c>
      <c r="I1237" s="6" t="s">
        <v>161</v>
      </c>
      <c r="J1237" s="6" t="s">
        <v>312</v>
      </c>
      <c r="K1237" s="6" t="s">
        <v>8751</v>
      </c>
      <c r="L1237" s="6">
        <v>2.2570676592E10</v>
      </c>
      <c r="M1237" s="6" t="s">
        <v>8752</v>
      </c>
      <c r="N1237" s="6" t="s">
        <v>427</v>
      </c>
      <c r="O1237" s="6" t="s">
        <v>178</v>
      </c>
      <c r="P1237" s="10">
        <v>46011.0</v>
      </c>
    </row>
    <row r="1238" ht="22.5" customHeight="1">
      <c r="A1238" s="6" t="s">
        <v>8753</v>
      </c>
      <c r="B1238" s="6" t="s">
        <v>8754</v>
      </c>
      <c r="C1238" s="6" t="s">
        <v>8755</v>
      </c>
      <c r="D1238" s="6" t="s">
        <v>206</v>
      </c>
      <c r="E1238" s="6" t="s">
        <v>147</v>
      </c>
      <c r="F1238" s="8">
        <v>28.0</v>
      </c>
      <c r="G1238" s="9">
        <v>958.43</v>
      </c>
      <c r="H1238" s="9">
        <v>11613.01</v>
      </c>
      <c r="I1238" s="6" t="s">
        <v>161</v>
      </c>
      <c r="J1238" s="6" t="s">
        <v>465</v>
      </c>
      <c r="K1238" s="6" t="s">
        <v>8757</v>
      </c>
      <c r="L1238" s="6">
        <v>8.7962075117E10</v>
      </c>
      <c r="M1238" s="6" t="s">
        <v>8758</v>
      </c>
      <c r="N1238" s="6" t="s">
        <v>283</v>
      </c>
      <c r="O1238" s="6" t="s">
        <v>178</v>
      </c>
      <c r="P1238" s="10">
        <v>45964.0</v>
      </c>
    </row>
    <row r="1239" ht="22.5" customHeight="1">
      <c r="A1239" s="6" t="s">
        <v>8760</v>
      </c>
      <c r="B1239" s="6" t="s">
        <v>8761</v>
      </c>
      <c r="C1239" s="6" t="s">
        <v>8762</v>
      </c>
      <c r="D1239" s="6" t="s">
        <v>383</v>
      </c>
      <c r="E1239" s="6" t="s">
        <v>301</v>
      </c>
      <c r="F1239" s="8">
        <v>34.0</v>
      </c>
      <c r="G1239" s="9">
        <v>1095.33</v>
      </c>
      <c r="H1239" s="9">
        <v>9222.44</v>
      </c>
      <c r="I1239" s="6" t="s">
        <v>161</v>
      </c>
      <c r="J1239" s="6" t="s">
        <v>465</v>
      </c>
      <c r="K1239" s="6" t="s">
        <v>8763</v>
      </c>
      <c r="L1239" s="6">
        <v>9.6211448088E10</v>
      </c>
      <c r="M1239" s="6" t="s">
        <v>8764</v>
      </c>
      <c r="N1239" s="6" t="s">
        <v>259</v>
      </c>
      <c r="O1239" s="6" t="s">
        <v>178</v>
      </c>
      <c r="P1239" s="10">
        <v>45990.0</v>
      </c>
    </row>
    <row r="1240" ht="22.5" customHeight="1">
      <c r="A1240" s="6" t="s">
        <v>8766</v>
      </c>
      <c r="B1240" s="6" t="s">
        <v>8767</v>
      </c>
      <c r="C1240" s="6" t="s">
        <v>8768</v>
      </c>
      <c r="D1240" s="6" t="s">
        <v>206</v>
      </c>
      <c r="E1240" s="6" t="s">
        <v>301</v>
      </c>
      <c r="F1240" s="8">
        <v>58.0</v>
      </c>
      <c r="G1240" s="9">
        <v>562.41</v>
      </c>
      <c r="H1240" s="9">
        <v>6354.45</v>
      </c>
      <c r="I1240" s="6" t="s">
        <v>178</v>
      </c>
      <c r="J1240" s="6" t="s">
        <v>228</v>
      </c>
      <c r="K1240" s="6" t="s">
        <v>8769</v>
      </c>
      <c r="L1240" s="6">
        <v>7.9663672376E10</v>
      </c>
      <c r="M1240" s="6" t="s">
        <v>8770</v>
      </c>
      <c r="N1240" s="6" t="s">
        <v>283</v>
      </c>
      <c r="O1240" s="6" t="s">
        <v>161</v>
      </c>
      <c r="P1240" s="10">
        <v>46027.0</v>
      </c>
    </row>
    <row r="1241" ht="22.5" customHeight="1">
      <c r="A1241" s="6" t="s">
        <v>8772</v>
      </c>
      <c r="B1241" s="6" t="s">
        <v>8773</v>
      </c>
      <c r="C1241" s="6" t="s">
        <v>8774</v>
      </c>
      <c r="D1241" s="6" t="s">
        <v>206</v>
      </c>
      <c r="E1241" s="6" t="s">
        <v>210</v>
      </c>
      <c r="F1241" s="8">
        <v>111.0</v>
      </c>
      <c r="G1241" s="9">
        <v>872.87</v>
      </c>
      <c r="H1241" s="9">
        <v>8509.83</v>
      </c>
      <c r="I1241" s="6" t="s">
        <v>178</v>
      </c>
      <c r="J1241" s="6" t="s">
        <v>421</v>
      </c>
      <c r="K1241" s="6" t="s">
        <v>8775</v>
      </c>
      <c r="L1241" s="6">
        <v>7.8657516939E10</v>
      </c>
      <c r="M1241" s="6" t="s">
        <v>8776</v>
      </c>
      <c r="N1241" s="6" t="s">
        <v>427</v>
      </c>
      <c r="O1241" s="6" t="s">
        <v>161</v>
      </c>
      <c r="P1241" s="10">
        <v>45954.0</v>
      </c>
    </row>
    <row r="1242" ht="22.5" customHeight="1">
      <c r="A1242" s="6" t="s">
        <v>8777</v>
      </c>
      <c r="B1242" s="6" t="s">
        <v>8778</v>
      </c>
      <c r="C1242" s="6" t="s">
        <v>8779</v>
      </c>
      <c r="D1242" s="6" t="s">
        <v>206</v>
      </c>
      <c r="E1242" s="6" t="s">
        <v>301</v>
      </c>
      <c r="F1242" s="8">
        <v>41.0</v>
      </c>
      <c r="G1242" s="9">
        <v>1702.74</v>
      </c>
      <c r="H1242" s="9">
        <v>9914.64</v>
      </c>
      <c r="I1242" s="6" t="s">
        <v>161</v>
      </c>
      <c r="J1242" s="6" t="s">
        <v>163</v>
      </c>
      <c r="K1242" s="6" t="s">
        <v>8781</v>
      </c>
      <c r="L1242" s="6">
        <v>2.3499669036E10</v>
      </c>
      <c r="M1242" s="6" t="s">
        <v>8782</v>
      </c>
      <c r="N1242" s="6" t="s">
        <v>112</v>
      </c>
      <c r="O1242" s="6" t="s">
        <v>178</v>
      </c>
      <c r="P1242" s="10">
        <v>45987.0</v>
      </c>
    </row>
    <row r="1243" ht="22.5" customHeight="1">
      <c r="A1243" s="6" t="s">
        <v>8783</v>
      </c>
      <c r="B1243" s="6" t="s">
        <v>8784</v>
      </c>
      <c r="C1243" s="6" t="s">
        <v>8785</v>
      </c>
      <c r="D1243" s="6" t="s">
        <v>383</v>
      </c>
      <c r="E1243" s="6" t="s">
        <v>147</v>
      </c>
      <c r="F1243" s="8">
        <v>27.0</v>
      </c>
      <c r="G1243" s="9">
        <v>469.26</v>
      </c>
      <c r="H1243" s="9">
        <v>9884.65</v>
      </c>
      <c r="I1243" s="6" t="s">
        <v>161</v>
      </c>
      <c r="J1243" s="6" t="s">
        <v>421</v>
      </c>
      <c r="K1243" s="6" t="s">
        <v>8786</v>
      </c>
      <c r="L1243" s="6">
        <v>1.2108770004E10</v>
      </c>
      <c r="M1243" s="6" t="s">
        <v>8787</v>
      </c>
      <c r="N1243" s="6" t="s">
        <v>112</v>
      </c>
      <c r="O1243" s="6" t="s">
        <v>178</v>
      </c>
      <c r="P1243" s="10">
        <v>46047.0</v>
      </c>
    </row>
    <row r="1244" ht="22.5" customHeight="1">
      <c r="A1244" s="6" t="s">
        <v>8789</v>
      </c>
      <c r="B1244" s="6" t="s">
        <v>8790</v>
      </c>
      <c r="C1244" s="6" t="s">
        <v>8791</v>
      </c>
      <c r="D1244" s="6" t="s">
        <v>206</v>
      </c>
      <c r="E1244" s="6" t="s">
        <v>301</v>
      </c>
      <c r="F1244" s="8">
        <v>32.0</v>
      </c>
      <c r="G1244" s="9">
        <v>1725.88</v>
      </c>
      <c r="H1244" s="9">
        <v>14490.56</v>
      </c>
      <c r="I1244" s="6" t="s">
        <v>161</v>
      </c>
      <c r="J1244" s="6" t="s">
        <v>228</v>
      </c>
      <c r="K1244" s="6" t="s">
        <v>8792</v>
      </c>
      <c r="L1244" s="6">
        <v>1.6532834265E10</v>
      </c>
      <c r="M1244" s="6" t="s">
        <v>8793</v>
      </c>
      <c r="N1244" s="6" t="s">
        <v>259</v>
      </c>
      <c r="O1244" s="6" t="s">
        <v>178</v>
      </c>
      <c r="P1244" s="10">
        <v>45970.0</v>
      </c>
    </row>
    <row r="1245" ht="22.5" customHeight="1">
      <c r="A1245" s="6" t="s">
        <v>8795</v>
      </c>
      <c r="B1245" s="6" t="s">
        <v>8796</v>
      </c>
      <c r="C1245" s="6" t="s">
        <v>8797</v>
      </c>
      <c r="D1245" s="6" t="s">
        <v>206</v>
      </c>
      <c r="E1245" s="6" t="s">
        <v>210</v>
      </c>
      <c r="F1245" s="8">
        <v>82.0</v>
      </c>
      <c r="G1245" s="9">
        <v>854.9</v>
      </c>
      <c r="H1245" s="9">
        <v>2701.3</v>
      </c>
      <c r="I1245" s="6" t="s">
        <v>161</v>
      </c>
      <c r="J1245" s="6" t="s">
        <v>393</v>
      </c>
      <c r="K1245" s="6" t="s">
        <v>8798</v>
      </c>
      <c r="L1245" s="6">
        <v>4.8064731926E10</v>
      </c>
      <c r="M1245" s="6" t="s">
        <v>8799</v>
      </c>
      <c r="N1245" s="6" t="s">
        <v>259</v>
      </c>
      <c r="O1245" s="6" t="s">
        <v>161</v>
      </c>
      <c r="P1245" s="10">
        <v>45944.0</v>
      </c>
    </row>
    <row r="1246" ht="22.5" customHeight="1">
      <c r="A1246" s="6" t="s">
        <v>8800</v>
      </c>
      <c r="B1246" s="6" t="s">
        <v>8801</v>
      </c>
      <c r="C1246" s="6" t="s">
        <v>8802</v>
      </c>
      <c r="D1246" s="6" t="s">
        <v>206</v>
      </c>
      <c r="E1246" s="6" t="s">
        <v>147</v>
      </c>
      <c r="F1246" s="8">
        <v>11.0</v>
      </c>
      <c r="G1246" s="9">
        <v>308.27</v>
      </c>
      <c r="H1246" s="9">
        <v>4545.21</v>
      </c>
      <c r="I1246" s="6" t="s">
        <v>161</v>
      </c>
      <c r="J1246" s="6" t="s">
        <v>479</v>
      </c>
      <c r="K1246" s="6" t="s">
        <v>8804</v>
      </c>
      <c r="L1246" s="6">
        <v>8.8967547837E10</v>
      </c>
      <c r="M1246" s="6" t="s">
        <v>8805</v>
      </c>
      <c r="N1246" s="6" t="s">
        <v>427</v>
      </c>
      <c r="O1246" s="6" t="s">
        <v>178</v>
      </c>
      <c r="P1246" s="10">
        <v>45951.0</v>
      </c>
    </row>
    <row r="1247" ht="22.5" customHeight="1">
      <c r="A1247" s="6" t="s">
        <v>8806</v>
      </c>
      <c r="B1247" s="6" t="s">
        <v>8807</v>
      </c>
      <c r="C1247" s="6" t="s">
        <v>8808</v>
      </c>
      <c r="D1247" s="6" t="s">
        <v>383</v>
      </c>
      <c r="E1247" s="6" t="s">
        <v>147</v>
      </c>
      <c r="F1247" s="8">
        <v>20.0</v>
      </c>
      <c r="G1247" s="9">
        <v>1189.81</v>
      </c>
      <c r="H1247" s="9">
        <v>14266.3</v>
      </c>
      <c r="I1247" s="6" t="s">
        <v>161</v>
      </c>
      <c r="J1247" s="6" t="s">
        <v>228</v>
      </c>
      <c r="K1247" s="6" t="s">
        <v>8810</v>
      </c>
      <c r="L1247" s="6">
        <v>9.2892440342E10</v>
      </c>
      <c r="M1247" s="6" t="s">
        <v>8811</v>
      </c>
      <c r="N1247" s="6" t="s">
        <v>112</v>
      </c>
      <c r="O1247" s="6" t="s">
        <v>178</v>
      </c>
      <c r="P1247" s="10">
        <v>46038.0</v>
      </c>
    </row>
    <row r="1248" ht="22.5" customHeight="1">
      <c r="A1248" s="6" t="s">
        <v>8812</v>
      </c>
      <c r="B1248" s="6" t="s">
        <v>8813</v>
      </c>
      <c r="C1248" s="6" t="s">
        <v>8814</v>
      </c>
      <c r="D1248" s="6" t="s">
        <v>145</v>
      </c>
      <c r="E1248" s="6" t="s">
        <v>147</v>
      </c>
      <c r="F1248" s="8">
        <v>10.0</v>
      </c>
      <c r="G1248" s="9">
        <v>426.39</v>
      </c>
      <c r="H1248" s="9">
        <v>2443.44</v>
      </c>
      <c r="I1248" s="6" t="s">
        <v>161</v>
      </c>
      <c r="J1248" s="6" t="s">
        <v>393</v>
      </c>
      <c r="K1248" s="6" t="s">
        <v>8816</v>
      </c>
      <c r="L1248" s="6">
        <v>6.4963836958E10</v>
      </c>
      <c r="M1248" s="6" t="s">
        <v>8817</v>
      </c>
      <c r="N1248" s="6" t="s">
        <v>259</v>
      </c>
      <c r="O1248" s="6" t="s">
        <v>178</v>
      </c>
      <c r="P1248" s="10">
        <v>45965.0</v>
      </c>
    </row>
    <row r="1249" ht="22.5" customHeight="1">
      <c r="A1249" s="6" t="s">
        <v>8818</v>
      </c>
      <c r="B1249" s="6" t="s">
        <v>8819</v>
      </c>
      <c r="C1249" s="6" t="s">
        <v>8820</v>
      </c>
      <c r="D1249" s="6" t="s">
        <v>145</v>
      </c>
      <c r="E1249" s="6" t="s">
        <v>210</v>
      </c>
      <c r="F1249" s="8">
        <v>70.0</v>
      </c>
      <c r="G1249" s="9">
        <v>1373.67</v>
      </c>
      <c r="H1249" s="9">
        <v>8436.68</v>
      </c>
      <c r="I1249" s="6" t="s">
        <v>178</v>
      </c>
      <c r="J1249" s="6" t="s">
        <v>479</v>
      </c>
      <c r="K1249" s="6" t="s">
        <v>8821</v>
      </c>
      <c r="L1249" s="6">
        <v>7.1655292915E10</v>
      </c>
      <c r="M1249" s="6" t="s">
        <v>8822</v>
      </c>
      <c r="N1249" s="6" t="s">
        <v>176</v>
      </c>
      <c r="O1249" s="6" t="s">
        <v>161</v>
      </c>
      <c r="P1249" s="10">
        <v>45995.0</v>
      </c>
    </row>
    <row r="1250" ht="22.5" customHeight="1">
      <c r="A1250" s="6" t="s">
        <v>8823</v>
      </c>
      <c r="B1250" s="6" t="s">
        <v>8825</v>
      </c>
      <c r="C1250" s="6" t="s">
        <v>8826</v>
      </c>
      <c r="D1250" s="6" t="s">
        <v>206</v>
      </c>
      <c r="E1250" s="6" t="s">
        <v>147</v>
      </c>
      <c r="F1250" s="8">
        <v>23.0</v>
      </c>
      <c r="G1250" s="9">
        <v>841.82</v>
      </c>
      <c r="H1250" s="9">
        <v>5292.02</v>
      </c>
      <c r="I1250" s="6" t="s">
        <v>161</v>
      </c>
      <c r="J1250" s="6" t="s">
        <v>357</v>
      </c>
      <c r="K1250" s="6" t="s">
        <v>8827</v>
      </c>
      <c r="L1250" s="6">
        <v>4.2975189189E10</v>
      </c>
      <c r="M1250" s="6" t="s">
        <v>8828</v>
      </c>
      <c r="N1250" s="6" t="s">
        <v>259</v>
      </c>
      <c r="O1250" s="6" t="s">
        <v>178</v>
      </c>
      <c r="P1250" s="10">
        <v>46025.0</v>
      </c>
    </row>
    <row r="1251" ht="22.5" customHeight="1">
      <c r="A1251" s="6" t="s">
        <v>8829</v>
      </c>
      <c r="B1251" s="6" t="s">
        <v>8830</v>
      </c>
      <c r="C1251" s="6" t="s">
        <v>8831</v>
      </c>
      <c r="D1251" s="6" t="s">
        <v>145</v>
      </c>
      <c r="E1251" s="6" t="s">
        <v>147</v>
      </c>
      <c r="F1251" s="8">
        <v>18.0</v>
      </c>
      <c r="G1251" s="9">
        <v>1407.49</v>
      </c>
      <c r="H1251" s="9">
        <v>7915.48</v>
      </c>
      <c r="I1251" s="6" t="s">
        <v>161</v>
      </c>
      <c r="J1251" s="6" t="s">
        <v>163</v>
      </c>
      <c r="K1251" s="6" t="s">
        <v>8833</v>
      </c>
      <c r="L1251" s="6">
        <v>1.9279983366E10</v>
      </c>
      <c r="M1251" s="6" t="s">
        <v>8834</v>
      </c>
      <c r="N1251" s="6" t="s">
        <v>259</v>
      </c>
      <c r="O1251" s="6" t="s">
        <v>178</v>
      </c>
      <c r="P1251" s="10">
        <v>45934.0</v>
      </c>
    </row>
    <row r="1252" ht="22.5" customHeight="1">
      <c r="A1252" s="6" t="s">
        <v>8835</v>
      </c>
      <c r="B1252" s="6" t="s">
        <v>8836</v>
      </c>
      <c r="C1252" s="6" t="s">
        <v>8837</v>
      </c>
      <c r="D1252" s="6" t="s">
        <v>145</v>
      </c>
      <c r="E1252" s="6" t="s">
        <v>301</v>
      </c>
      <c r="F1252" s="8">
        <v>32.0</v>
      </c>
      <c r="G1252" s="9">
        <v>1326.71</v>
      </c>
      <c r="H1252" s="9">
        <v>11575.1</v>
      </c>
      <c r="I1252" s="6" t="s">
        <v>161</v>
      </c>
      <c r="J1252" s="6" t="s">
        <v>479</v>
      </c>
      <c r="K1252" s="6" t="s">
        <v>8838</v>
      </c>
      <c r="L1252" s="6">
        <v>6.2198044034E10</v>
      </c>
      <c r="M1252" s="6" t="s">
        <v>8840</v>
      </c>
      <c r="N1252" s="6" t="s">
        <v>112</v>
      </c>
      <c r="O1252" s="6" t="s">
        <v>178</v>
      </c>
      <c r="P1252" s="10">
        <v>46030.0</v>
      </c>
    </row>
    <row r="1253" ht="22.5" customHeight="1">
      <c r="A1253" s="6" t="s">
        <v>8841</v>
      </c>
      <c r="B1253" s="6" t="s">
        <v>8842</v>
      </c>
      <c r="C1253" s="6" t="s">
        <v>8843</v>
      </c>
      <c r="D1253" s="6" t="s">
        <v>145</v>
      </c>
      <c r="E1253" s="6" t="s">
        <v>210</v>
      </c>
      <c r="F1253" s="8">
        <v>60.0</v>
      </c>
      <c r="G1253" s="9">
        <v>594.34</v>
      </c>
      <c r="H1253" s="9">
        <v>12133.58</v>
      </c>
      <c r="I1253" s="6" t="s">
        <v>161</v>
      </c>
      <c r="J1253" s="6" t="s">
        <v>421</v>
      </c>
      <c r="K1253" s="6" t="s">
        <v>8844</v>
      </c>
      <c r="L1253" s="6">
        <v>4.2035740933E10</v>
      </c>
      <c r="M1253" s="6" t="s">
        <v>8845</v>
      </c>
      <c r="N1253" s="6" t="s">
        <v>427</v>
      </c>
      <c r="O1253" s="6" t="s">
        <v>161</v>
      </c>
      <c r="P1253" s="10">
        <v>46019.0</v>
      </c>
    </row>
    <row r="1254" ht="22.5" customHeight="1">
      <c r="A1254" s="6" t="s">
        <v>8847</v>
      </c>
      <c r="B1254" s="6" t="s">
        <v>8848</v>
      </c>
      <c r="C1254" s="6" t="s">
        <v>8849</v>
      </c>
      <c r="D1254" s="6" t="s">
        <v>206</v>
      </c>
      <c r="E1254" s="6" t="s">
        <v>147</v>
      </c>
      <c r="F1254" s="8">
        <v>25.0</v>
      </c>
      <c r="G1254" s="9">
        <v>201.65</v>
      </c>
      <c r="H1254" s="9">
        <v>7452.98</v>
      </c>
      <c r="I1254" s="6" t="s">
        <v>161</v>
      </c>
      <c r="J1254" s="6" t="s">
        <v>163</v>
      </c>
      <c r="K1254" s="6" t="s">
        <v>8850</v>
      </c>
      <c r="L1254" s="6">
        <v>7.16282698E10</v>
      </c>
      <c r="M1254" s="6" t="s">
        <v>8851</v>
      </c>
      <c r="N1254" s="6" t="s">
        <v>112</v>
      </c>
      <c r="O1254" s="6" t="s">
        <v>178</v>
      </c>
      <c r="P1254" s="10">
        <v>46020.0</v>
      </c>
    </row>
    <row r="1255" ht="22.5" customHeight="1">
      <c r="A1255" s="6" t="s">
        <v>8852</v>
      </c>
      <c r="B1255" s="6" t="s">
        <v>8853</v>
      </c>
      <c r="C1255" s="6" t="s">
        <v>8855</v>
      </c>
      <c r="D1255" s="6" t="s">
        <v>206</v>
      </c>
      <c r="E1255" s="6" t="s">
        <v>147</v>
      </c>
      <c r="F1255" s="8">
        <v>14.0</v>
      </c>
      <c r="G1255" s="9">
        <v>1615.38</v>
      </c>
      <c r="H1255" s="9">
        <v>13232.7</v>
      </c>
      <c r="I1255" s="6" t="s">
        <v>161</v>
      </c>
      <c r="J1255" s="6" t="s">
        <v>228</v>
      </c>
      <c r="K1255" s="6" t="s">
        <v>8856</v>
      </c>
      <c r="L1255" s="6">
        <v>4.4218023658E10</v>
      </c>
      <c r="M1255" s="6" t="s">
        <v>8857</v>
      </c>
      <c r="N1255" s="6" t="s">
        <v>427</v>
      </c>
      <c r="O1255" s="6" t="s">
        <v>178</v>
      </c>
      <c r="P1255" s="10">
        <v>45978.0</v>
      </c>
    </row>
    <row r="1256" ht="22.5" customHeight="1">
      <c r="A1256" s="6" t="s">
        <v>8858</v>
      </c>
      <c r="B1256" s="6" t="s">
        <v>8859</v>
      </c>
      <c r="C1256" s="6" t="s">
        <v>8860</v>
      </c>
      <c r="D1256" s="6" t="s">
        <v>145</v>
      </c>
      <c r="E1256" s="6" t="s">
        <v>147</v>
      </c>
      <c r="F1256" s="8">
        <v>8.0</v>
      </c>
      <c r="G1256" s="9">
        <v>831.27</v>
      </c>
      <c r="H1256" s="9">
        <v>13668.05</v>
      </c>
      <c r="I1256" s="6" t="s">
        <v>178</v>
      </c>
      <c r="J1256" s="6" t="s">
        <v>163</v>
      </c>
      <c r="K1256" s="6" t="s">
        <v>8862</v>
      </c>
      <c r="L1256" s="6">
        <v>5.6891425456E10</v>
      </c>
      <c r="M1256" s="6" t="s">
        <v>8863</v>
      </c>
      <c r="N1256" s="6" t="s">
        <v>112</v>
      </c>
      <c r="O1256" s="6" t="s">
        <v>161</v>
      </c>
      <c r="P1256" s="10">
        <v>46015.0</v>
      </c>
    </row>
    <row r="1257" ht="22.5" customHeight="1">
      <c r="A1257" s="6" t="s">
        <v>8864</v>
      </c>
      <c r="B1257" s="6" t="s">
        <v>8865</v>
      </c>
      <c r="C1257" s="6" t="s">
        <v>8866</v>
      </c>
      <c r="D1257" s="6" t="s">
        <v>145</v>
      </c>
      <c r="E1257" s="6" t="s">
        <v>210</v>
      </c>
      <c r="F1257" s="8">
        <v>88.0</v>
      </c>
      <c r="G1257" s="9">
        <v>1058.87</v>
      </c>
      <c r="H1257" s="9">
        <v>11722.93</v>
      </c>
      <c r="I1257" s="6" t="s">
        <v>178</v>
      </c>
      <c r="J1257" s="6" t="s">
        <v>393</v>
      </c>
      <c r="K1257" s="6" t="s">
        <v>8868</v>
      </c>
      <c r="L1257" s="6">
        <v>4.4321142059E10</v>
      </c>
      <c r="M1257" s="6" t="s">
        <v>8869</v>
      </c>
      <c r="N1257" s="6" t="s">
        <v>176</v>
      </c>
      <c r="O1257" s="6" t="s">
        <v>161</v>
      </c>
      <c r="P1257" s="10">
        <v>45942.0</v>
      </c>
    </row>
    <row r="1258" ht="22.5" customHeight="1">
      <c r="A1258" s="6" t="s">
        <v>8870</v>
      </c>
      <c r="B1258" s="6" t="s">
        <v>8871</v>
      </c>
      <c r="C1258" s="6" t="s">
        <v>8872</v>
      </c>
      <c r="D1258" s="6" t="s">
        <v>206</v>
      </c>
      <c r="E1258" s="6" t="s">
        <v>147</v>
      </c>
      <c r="F1258" s="8">
        <v>10.0</v>
      </c>
      <c r="G1258" s="9">
        <v>503.85</v>
      </c>
      <c r="H1258" s="9">
        <v>1290.24</v>
      </c>
      <c r="I1258" s="6" t="s">
        <v>161</v>
      </c>
      <c r="J1258" s="6" t="s">
        <v>163</v>
      </c>
      <c r="K1258" s="6" t="s">
        <v>8874</v>
      </c>
      <c r="L1258" s="6">
        <v>6.2061941818E10</v>
      </c>
      <c r="M1258" s="6" t="s">
        <v>8875</v>
      </c>
      <c r="N1258" s="6" t="s">
        <v>176</v>
      </c>
      <c r="O1258" s="6" t="s">
        <v>178</v>
      </c>
      <c r="P1258" s="10">
        <v>46029.0</v>
      </c>
    </row>
    <row r="1259" ht="22.5" customHeight="1">
      <c r="A1259" s="6" t="s">
        <v>8876</v>
      </c>
      <c r="B1259" s="6" t="s">
        <v>8877</v>
      </c>
      <c r="C1259" s="6" t="s">
        <v>8878</v>
      </c>
      <c r="D1259" s="6" t="s">
        <v>145</v>
      </c>
      <c r="E1259" s="6" t="s">
        <v>301</v>
      </c>
      <c r="F1259" s="8">
        <v>32.0</v>
      </c>
      <c r="G1259" s="9">
        <v>619.77</v>
      </c>
      <c r="H1259" s="9">
        <v>8579.46</v>
      </c>
      <c r="I1259" s="6" t="s">
        <v>161</v>
      </c>
      <c r="J1259" s="6" t="s">
        <v>228</v>
      </c>
      <c r="K1259" s="6" t="s">
        <v>8880</v>
      </c>
      <c r="L1259" s="6" t="s">
        <v>259</v>
      </c>
      <c r="M1259" s="6" t="s">
        <v>8881</v>
      </c>
      <c r="N1259" s="6" t="s">
        <v>176</v>
      </c>
      <c r="O1259" s="6" t="s">
        <v>178</v>
      </c>
      <c r="P1259" s="10">
        <v>45982.0</v>
      </c>
    </row>
    <row r="1260" ht="22.5" customHeight="1">
      <c r="A1260" s="6" t="s">
        <v>8882</v>
      </c>
      <c r="B1260" s="6" t="s">
        <v>8883</v>
      </c>
      <c r="C1260" s="6" t="s">
        <v>8884</v>
      </c>
      <c r="D1260" s="6" t="s">
        <v>383</v>
      </c>
      <c r="E1260" s="6" t="s">
        <v>210</v>
      </c>
      <c r="F1260" s="8">
        <v>105.0</v>
      </c>
      <c r="G1260" s="9">
        <v>1275.53</v>
      </c>
      <c r="H1260" s="9">
        <v>13143.26</v>
      </c>
      <c r="I1260" s="6" t="s">
        <v>161</v>
      </c>
      <c r="J1260" s="6" t="s">
        <v>577</v>
      </c>
      <c r="K1260" s="6" t="s">
        <v>8885</v>
      </c>
      <c r="L1260" s="6">
        <v>4.9236426131E10</v>
      </c>
      <c r="M1260" s="6" t="s">
        <v>8886</v>
      </c>
      <c r="N1260" s="6" t="s">
        <v>259</v>
      </c>
      <c r="O1260" s="6" t="s">
        <v>161</v>
      </c>
      <c r="P1260" s="10">
        <v>45993.0</v>
      </c>
    </row>
    <row r="1261" ht="22.5" customHeight="1">
      <c r="A1261" s="6" t="s">
        <v>8887</v>
      </c>
      <c r="B1261" s="6" t="s">
        <v>8888</v>
      </c>
      <c r="C1261" s="6" t="s">
        <v>8890</v>
      </c>
      <c r="D1261" s="6" t="s">
        <v>206</v>
      </c>
      <c r="E1261" s="6" t="s">
        <v>147</v>
      </c>
      <c r="F1261" s="8">
        <v>10.0</v>
      </c>
      <c r="G1261" s="9">
        <v>268.07</v>
      </c>
      <c r="H1261" s="9">
        <v>1457.08</v>
      </c>
      <c r="I1261" s="6" t="s">
        <v>161</v>
      </c>
      <c r="J1261" s="6" t="s">
        <v>465</v>
      </c>
      <c r="K1261" s="6" t="s">
        <v>8891</v>
      </c>
      <c r="L1261" s="6">
        <v>2.3176044008E10</v>
      </c>
      <c r="M1261" s="6" t="s">
        <v>8892</v>
      </c>
      <c r="N1261" s="6" t="s">
        <v>259</v>
      </c>
      <c r="O1261" s="6" t="s">
        <v>178</v>
      </c>
      <c r="P1261" s="10">
        <v>46016.0</v>
      </c>
    </row>
    <row r="1262" ht="22.5" customHeight="1">
      <c r="A1262" s="6" t="s">
        <v>8893</v>
      </c>
      <c r="B1262" s="6" t="s">
        <v>8894</v>
      </c>
      <c r="C1262" s="6" t="s">
        <v>8895</v>
      </c>
      <c r="D1262" s="6" t="s">
        <v>206</v>
      </c>
      <c r="E1262" s="6" t="s">
        <v>210</v>
      </c>
      <c r="F1262" s="8">
        <v>107.0</v>
      </c>
      <c r="G1262" s="9">
        <v>541.79</v>
      </c>
      <c r="H1262" s="9">
        <v>8839.63</v>
      </c>
      <c r="I1262" s="6" t="s">
        <v>178</v>
      </c>
      <c r="J1262" s="6" t="s">
        <v>163</v>
      </c>
      <c r="K1262" s="6" t="s">
        <v>8897</v>
      </c>
      <c r="L1262" s="6">
        <v>9.8614804835E10</v>
      </c>
      <c r="M1262" s="6" t="s">
        <v>8898</v>
      </c>
      <c r="N1262" s="6" t="s">
        <v>283</v>
      </c>
      <c r="O1262" s="6" t="s">
        <v>161</v>
      </c>
      <c r="P1262" s="10">
        <v>45993.0</v>
      </c>
    </row>
    <row r="1263" ht="22.5" customHeight="1">
      <c r="A1263" s="6" t="s">
        <v>8899</v>
      </c>
      <c r="B1263" s="6" t="s">
        <v>8900</v>
      </c>
      <c r="C1263" s="6" t="s">
        <v>8901</v>
      </c>
      <c r="D1263" s="6" t="s">
        <v>206</v>
      </c>
      <c r="E1263" s="6" t="s">
        <v>301</v>
      </c>
      <c r="F1263" s="8">
        <v>52.0</v>
      </c>
      <c r="G1263" s="9">
        <v>1287.42</v>
      </c>
      <c r="H1263" s="9">
        <v>13307.68</v>
      </c>
      <c r="I1263" s="6" t="s">
        <v>161</v>
      </c>
      <c r="J1263" s="6" t="s">
        <v>479</v>
      </c>
      <c r="K1263" s="6" t="s">
        <v>8903</v>
      </c>
      <c r="L1263" s="6">
        <v>7.730737248E10</v>
      </c>
      <c r="M1263" s="6" t="s">
        <v>8904</v>
      </c>
      <c r="N1263" s="6" t="s">
        <v>283</v>
      </c>
      <c r="O1263" s="6" t="s">
        <v>178</v>
      </c>
      <c r="P1263" s="10">
        <v>45993.0</v>
      </c>
    </row>
    <row r="1264" ht="22.5" customHeight="1">
      <c r="A1264" s="6" t="s">
        <v>8906</v>
      </c>
      <c r="B1264" s="6" t="s">
        <v>8907</v>
      </c>
      <c r="C1264" s="6" t="s">
        <v>8908</v>
      </c>
      <c r="D1264" s="6" t="s">
        <v>206</v>
      </c>
      <c r="E1264" s="6" t="s">
        <v>147</v>
      </c>
      <c r="F1264" s="8">
        <v>5.0</v>
      </c>
      <c r="G1264" s="9">
        <v>1015.73</v>
      </c>
      <c r="H1264" s="9">
        <v>8147.76</v>
      </c>
      <c r="I1264" s="6" t="s">
        <v>161</v>
      </c>
      <c r="J1264" s="6" t="s">
        <v>577</v>
      </c>
      <c r="K1264" s="6" t="s">
        <v>8909</v>
      </c>
      <c r="L1264" s="6">
        <v>3.8236390279E10</v>
      </c>
      <c r="M1264" s="6" t="s">
        <v>8911</v>
      </c>
      <c r="N1264" s="6" t="s">
        <v>259</v>
      </c>
      <c r="O1264" s="6" t="s">
        <v>178</v>
      </c>
      <c r="P1264" s="10">
        <v>46011.0</v>
      </c>
    </row>
    <row r="1265" ht="22.5" customHeight="1">
      <c r="A1265" s="6" t="s">
        <v>8912</v>
      </c>
      <c r="B1265" s="6" t="s">
        <v>8913</v>
      </c>
      <c r="C1265" s="6" t="s">
        <v>8914</v>
      </c>
      <c r="D1265" s="6" t="s">
        <v>206</v>
      </c>
      <c r="E1265" s="6" t="s">
        <v>147</v>
      </c>
      <c r="F1265" s="8">
        <v>27.0</v>
      </c>
      <c r="G1265" s="9">
        <v>953.8</v>
      </c>
      <c r="H1265" s="9">
        <v>10034.29</v>
      </c>
      <c r="I1265" s="6" t="s">
        <v>161</v>
      </c>
      <c r="J1265" s="6" t="s">
        <v>357</v>
      </c>
      <c r="K1265" s="6" t="s">
        <v>8916</v>
      </c>
      <c r="L1265" s="6">
        <v>4.0870920863E10</v>
      </c>
      <c r="M1265" s="6" t="s">
        <v>8917</v>
      </c>
      <c r="N1265" s="6" t="s">
        <v>176</v>
      </c>
      <c r="O1265" s="6" t="s">
        <v>178</v>
      </c>
      <c r="P1265" s="10">
        <v>46009.0</v>
      </c>
    </row>
    <row r="1266" ht="22.5" customHeight="1">
      <c r="A1266" s="6" t="s">
        <v>8918</v>
      </c>
      <c r="B1266" s="6" t="s">
        <v>8919</v>
      </c>
      <c r="C1266" s="6" t="s">
        <v>8921</v>
      </c>
      <c r="D1266" s="6" t="s">
        <v>206</v>
      </c>
      <c r="E1266" s="6" t="s">
        <v>210</v>
      </c>
      <c r="F1266" s="8">
        <v>102.0</v>
      </c>
      <c r="G1266" s="9">
        <v>1777.07</v>
      </c>
      <c r="H1266" s="9">
        <v>6131.12</v>
      </c>
      <c r="I1266" s="6" t="s">
        <v>178</v>
      </c>
      <c r="J1266" s="6" t="s">
        <v>479</v>
      </c>
      <c r="K1266" s="6" t="s">
        <v>8922</v>
      </c>
      <c r="L1266" s="6">
        <v>6.8377654487E10</v>
      </c>
      <c r="M1266" s="6" t="s">
        <v>8923</v>
      </c>
      <c r="N1266" s="6" t="s">
        <v>283</v>
      </c>
      <c r="O1266" s="6" t="s">
        <v>161</v>
      </c>
      <c r="P1266" s="10">
        <v>46037.0</v>
      </c>
    </row>
    <row r="1267" ht="22.5" customHeight="1">
      <c r="A1267" s="6" t="s">
        <v>8924</v>
      </c>
      <c r="B1267" s="6" t="s">
        <v>8926</v>
      </c>
      <c r="C1267" s="6" t="s">
        <v>8927</v>
      </c>
      <c r="D1267" s="6" t="s">
        <v>206</v>
      </c>
      <c r="E1267" s="6" t="s">
        <v>210</v>
      </c>
      <c r="F1267" s="8">
        <v>114.0</v>
      </c>
      <c r="G1267" s="9">
        <v>1647.24</v>
      </c>
      <c r="H1267" s="9">
        <v>2366.99</v>
      </c>
      <c r="I1267" s="6" t="s">
        <v>161</v>
      </c>
      <c r="J1267" s="6" t="s">
        <v>357</v>
      </c>
      <c r="K1267" s="6" t="s">
        <v>1961</v>
      </c>
      <c r="L1267" s="6">
        <v>9.1153445331E10</v>
      </c>
      <c r="M1267" s="6" t="s">
        <v>8928</v>
      </c>
      <c r="N1267" s="6" t="s">
        <v>112</v>
      </c>
      <c r="O1267" s="6" t="s">
        <v>161</v>
      </c>
      <c r="P1267" s="10">
        <v>45934.0</v>
      </c>
    </row>
    <row r="1268" ht="22.5" customHeight="1">
      <c r="A1268" s="6" t="s">
        <v>8930</v>
      </c>
      <c r="B1268" s="6" t="s">
        <v>8931</v>
      </c>
      <c r="C1268" s="6" t="s">
        <v>8932</v>
      </c>
      <c r="D1268" s="6" t="s">
        <v>145</v>
      </c>
      <c r="E1268" s="6" t="s">
        <v>210</v>
      </c>
      <c r="F1268" s="8">
        <v>77.0</v>
      </c>
      <c r="G1268" s="9">
        <v>1260.98</v>
      </c>
      <c r="H1268" s="9">
        <v>5207.34</v>
      </c>
      <c r="I1268" s="6" t="s">
        <v>178</v>
      </c>
      <c r="J1268" s="6" t="s">
        <v>163</v>
      </c>
      <c r="K1268" s="6" t="s">
        <v>8933</v>
      </c>
      <c r="L1268" s="6">
        <v>9.8109754685E10</v>
      </c>
      <c r="M1268" s="6" t="s">
        <v>8935</v>
      </c>
      <c r="N1268" s="6" t="s">
        <v>176</v>
      </c>
      <c r="O1268" s="6" t="s">
        <v>161</v>
      </c>
      <c r="P1268" s="10">
        <v>45966.0</v>
      </c>
    </row>
    <row r="1269" ht="22.5" customHeight="1">
      <c r="A1269" s="6" t="s">
        <v>8936</v>
      </c>
      <c r="B1269" s="6" t="s">
        <v>8937</v>
      </c>
      <c r="C1269" s="6" t="s">
        <v>8938</v>
      </c>
      <c r="D1269" s="6" t="s">
        <v>383</v>
      </c>
      <c r="E1269" s="6" t="s">
        <v>147</v>
      </c>
      <c r="F1269" s="8">
        <v>14.0</v>
      </c>
      <c r="G1269" s="9">
        <v>531.0</v>
      </c>
      <c r="H1269" s="9">
        <v>4473.73</v>
      </c>
      <c r="I1269" s="6" t="s">
        <v>161</v>
      </c>
      <c r="J1269" s="6" t="s">
        <v>479</v>
      </c>
      <c r="K1269" s="6" t="s">
        <v>8940</v>
      </c>
      <c r="L1269" s="6">
        <v>7.7564680088E10</v>
      </c>
      <c r="M1269" s="6" t="s">
        <v>8941</v>
      </c>
      <c r="N1269" s="6" t="s">
        <v>259</v>
      </c>
      <c r="O1269" s="6" t="s">
        <v>178</v>
      </c>
      <c r="P1269" s="10">
        <v>45965.0</v>
      </c>
    </row>
    <row r="1270" ht="22.5" customHeight="1">
      <c r="A1270" s="6" t="s">
        <v>8943</v>
      </c>
      <c r="B1270" s="6" t="s">
        <v>8944</v>
      </c>
      <c r="C1270" s="6" t="s">
        <v>8945</v>
      </c>
      <c r="D1270" s="6" t="s">
        <v>383</v>
      </c>
      <c r="E1270" s="6" t="s">
        <v>147</v>
      </c>
      <c r="F1270" s="8">
        <v>13.0</v>
      </c>
      <c r="G1270" s="9">
        <v>1795.67</v>
      </c>
      <c r="H1270" s="9">
        <v>14127.66</v>
      </c>
      <c r="I1270" s="6" t="s">
        <v>161</v>
      </c>
      <c r="J1270" s="6" t="s">
        <v>465</v>
      </c>
      <c r="K1270" s="6" t="s">
        <v>259</v>
      </c>
      <c r="L1270" s="6">
        <v>5.8441193535E10</v>
      </c>
      <c r="M1270" s="6" t="s">
        <v>8948</v>
      </c>
      <c r="N1270" s="6" t="s">
        <v>112</v>
      </c>
      <c r="O1270" s="6" t="s">
        <v>178</v>
      </c>
      <c r="P1270" s="10">
        <v>45991.0</v>
      </c>
    </row>
    <row r="1271" ht="22.5" customHeight="1">
      <c r="A1271" s="6" t="s">
        <v>8950</v>
      </c>
      <c r="B1271" s="6" t="s">
        <v>8951</v>
      </c>
      <c r="C1271" s="6" t="s">
        <v>8952</v>
      </c>
      <c r="D1271" s="6" t="s">
        <v>206</v>
      </c>
      <c r="E1271" s="6" t="s">
        <v>147</v>
      </c>
      <c r="F1271" s="8">
        <v>23.0</v>
      </c>
      <c r="G1271" s="9">
        <v>949.2</v>
      </c>
      <c r="H1271" s="9">
        <v>14429.41</v>
      </c>
      <c r="I1271" s="6" t="s">
        <v>161</v>
      </c>
      <c r="J1271" s="6" t="s">
        <v>393</v>
      </c>
      <c r="K1271" s="6" t="s">
        <v>8954</v>
      </c>
      <c r="L1271" s="6">
        <v>7.1304777201E10</v>
      </c>
      <c r="M1271" s="6" t="s">
        <v>8955</v>
      </c>
      <c r="N1271" s="6" t="s">
        <v>112</v>
      </c>
      <c r="O1271" s="6" t="s">
        <v>178</v>
      </c>
      <c r="P1271" s="10">
        <v>45991.0</v>
      </c>
    </row>
    <row r="1272" ht="22.5" customHeight="1">
      <c r="A1272" s="6" t="s">
        <v>8956</v>
      </c>
      <c r="B1272" s="6" t="s">
        <v>8957</v>
      </c>
      <c r="C1272" s="6" t="s">
        <v>8959</v>
      </c>
      <c r="D1272" s="6" t="s">
        <v>383</v>
      </c>
      <c r="E1272" s="6" t="s">
        <v>147</v>
      </c>
      <c r="F1272" s="8">
        <v>7.0</v>
      </c>
      <c r="G1272" s="9">
        <v>540.26</v>
      </c>
      <c r="H1272" s="9">
        <v>14145.3</v>
      </c>
      <c r="I1272" s="6" t="s">
        <v>161</v>
      </c>
      <c r="J1272" s="6" t="s">
        <v>393</v>
      </c>
      <c r="K1272" s="6" t="s">
        <v>8960</v>
      </c>
      <c r="L1272" s="6">
        <v>9.0324184937E10</v>
      </c>
      <c r="M1272" s="6" t="s">
        <v>8962</v>
      </c>
      <c r="N1272" s="6" t="s">
        <v>259</v>
      </c>
      <c r="O1272" s="6" t="s">
        <v>178</v>
      </c>
      <c r="P1272" s="10">
        <v>45997.0</v>
      </c>
    </row>
    <row r="1273" ht="22.5" customHeight="1">
      <c r="A1273" s="6" t="s">
        <v>8963</v>
      </c>
      <c r="B1273" s="6" t="s">
        <v>8964</v>
      </c>
      <c r="C1273" s="6" t="s">
        <v>8965</v>
      </c>
      <c r="D1273" s="6" t="s">
        <v>206</v>
      </c>
      <c r="E1273" s="6" t="s">
        <v>147</v>
      </c>
      <c r="F1273" s="8">
        <v>10.0</v>
      </c>
      <c r="G1273" s="9">
        <v>869.74</v>
      </c>
      <c r="H1273" s="9">
        <v>6205.98</v>
      </c>
      <c r="I1273" s="6" t="s">
        <v>161</v>
      </c>
      <c r="J1273" s="6" t="s">
        <v>357</v>
      </c>
      <c r="K1273" s="6" t="s">
        <v>8967</v>
      </c>
      <c r="L1273" s="6">
        <v>8.8005391846E10</v>
      </c>
      <c r="M1273" s="6" t="s">
        <v>8968</v>
      </c>
      <c r="N1273" s="6" t="s">
        <v>176</v>
      </c>
      <c r="O1273" s="6" t="s">
        <v>178</v>
      </c>
      <c r="P1273" s="10">
        <v>46023.0</v>
      </c>
    </row>
    <row r="1274" ht="22.5" customHeight="1">
      <c r="A1274" s="6" t="s">
        <v>8970</v>
      </c>
      <c r="B1274" s="6" t="s">
        <v>8971</v>
      </c>
      <c r="C1274" s="6" t="s">
        <v>8972</v>
      </c>
      <c r="D1274" s="6" t="s">
        <v>145</v>
      </c>
      <c r="E1274" s="6" t="s">
        <v>210</v>
      </c>
      <c r="F1274" s="8">
        <v>60.0</v>
      </c>
      <c r="G1274" s="9">
        <v>1450.84</v>
      </c>
      <c r="H1274" s="9">
        <v>5557.72</v>
      </c>
      <c r="I1274" s="6" t="s">
        <v>178</v>
      </c>
      <c r="J1274" s="6" t="s">
        <v>442</v>
      </c>
      <c r="K1274" s="6" t="s">
        <v>8974</v>
      </c>
      <c r="L1274" s="6">
        <v>4.3967025532E10</v>
      </c>
      <c r="M1274" s="6" t="s">
        <v>8975</v>
      </c>
      <c r="N1274" s="6" t="s">
        <v>427</v>
      </c>
      <c r="O1274" s="6" t="s">
        <v>161</v>
      </c>
      <c r="P1274" s="10">
        <v>45988.0</v>
      </c>
    </row>
    <row r="1275" ht="22.5" customHeight="1">
      <c r="A1275" s="6" t="s">
        <v>8977</v>
      </c>
      <c r="B1275" s="6" t="s">
        <v>8978</v>
      </c>
      <c r="C1275" s="6" t="s">
        <v>8979</v>
      </c>
      <c r="D1275" s="6" t="s">
        <v>145</v>
      </c>
      <c r="E1275" s="6" t="s">
        <v>147</v>
      </c>
      <c r="F1275" s="8">
        <v>25.0</v>
      </c>
      <c r="G1275" s="9">
        <v>879.98</v>
      </c>
      <c r="H1275" s="9">
        <v>10716.57</v>
      </c>
      <c r="I1275" s="6" t="s">
        <v>161</v>
      </c>
      <c r="J1275" s="6" t="s">
        <v>577</v>
      </c>
      <c r="K1275" s="6" t="s">
        <v>8981</v>
      </c>
      <c r="L1275" s="6">
        <v>6.4786727937E10</v>
      </c>
      <c r="M1275" s="6" t="s">
        <v>8982</v>
      </c>
      <c r="N1275" s="6" t="s">
        <v>112</v>
      </c>
      <c r="O1275" s="6" t="s">
        <v>178</v>
      </c>
      <c r="P1275" s="10">
        <v>46003.0</v>
      </c>
    </row>
    <row r="1276" ht="22.5" customHeight="1">
      <c r="A1276" s="6" t="s">
        <v>8983</v>
      </c>
      <c r="B1276" s="6" t="s">
        <v>8984</v>
      </c>
      <c r="C1276" s="6" t="s">
        <v>8985</v>
      </c>
      <c r="D1276" s="6" t="s">
        <v>383</v>
      </c>
      <c r="E1276" s="6" t="s">
        <v>147</v>
      </c>
      <c r="F1276" s="8">
        <v>18.0</v>
      </c>
      <c r="G1276" s="9">
        <v>223.59</v>
      </c>
      <c r="H1276" s="9">
        <v>9807.22</v>
      </c>
      <c r="I1276" s="6" t="s">
        <v>161</v>
      </c>
      <c r="J1276" s="6" t="s">
        <v>393</v>
      </c>
      <c r="K1276" s="6" t="s">
        <v>8987</v>
      </c>
      <c r="L1276" s="6">
        <v>7.594055283E9</v>
      </c>
      <c r="M1276" s="6" t="s">
        <v>8988</v>
      </c>
      <c r="N1276" s="6" t="s">
        <v>427</v>
      </c>
      <c r="O1276" s="6" t="s">
        <v>178</v>
      </c>
      <c r="P1276" s="10">
        <v>45996.0</v>
      </c>
    </row>
    <row r="1277" ht="22.5" customHeight="1">
      <c r="A1277" s="6" t="s">
        <v>8990</v>
      </c>
      <c r="B1277" s="6" t="s">
        <v>8991</v>
      </c>
      <c r="C1277" s="6" t="s">
        <v>8992</v>
      </c>
      <c r="D1277" s="6" t="s">
        <v>145</v>
      </c>
      <c r="E1277" s="6" t="s">
        <v>301</v>
      </c>
      <c r="F1277" s="8">
        <v>41.0</v>
      </c>
      <c r="G1277" s="9">
        <v>224.0</v>
      </c>
      <c r="H1277" s="9">
        <v>5693.23</v>
      </c>
      <c r="I1277" s="6" t="s">
        <v>161</v>
      </c>
      <c r="J1277" s="6" t="s">
        <v>442</v>
      </c>
      <c r="K1277" s="6" t="s">
        <v>8993</v>
      </c>
      <c r="L1277" s="6">
        <v>7.3060675438E10</v>
      </c>
      <c r="M1277" s="6" t="s">
        <v>8995</v>
      </c>
      <c r="N1277" s="6" t="s">
        <v>283</v>
      </c>
      <c r="O1277" s="6" t="s">
        <v>178</v>
      </c>
      <c r="P1277" s="10">
        <v>45989.0</v>
      </c>
    </row>
    <row r="1278" ht="22.5" customHeight="1">
      <c r="A1278" s="6" t="s">
        <v>8996</v>
      </c>
      <c r="B1278" s="6" t="s">
        <v>8997</v>
      </c>
      <c r="C1278" s="6" t="s">
        <v>8998</v>
      </c>
      <c r="D1278" s="6" t="s">
        <v>206</v>
      </c>
      <c r="E1278" s="6" t="s">
        <v>301</v>
      </c>
      <c r="F1278" s="8">
        <v>56.0</v>
      </c>
      <c r="G1278" s="9">
        <v>1397.28</v>
      </c>
      <c r="H1278" s="9">
        <v>6956.77</v>
      </c>
      <c r="I1278" s="6" t="s">
        <v>161</v>
      </c>
      <c r="J1278" s="6" t="s">
        <v>357</v>
      </c>
      <c r="K1278" s="6" t="s">
        <v>7189</v>
      </c>
      <c r="L1278" s="6">
        <v>9.4344713481E10</v>
      </c>
      <c r="M1278" s="6" t="s">
        <v>9000</v>
      </c>
      <c r="N1278" s="6" t="s">
        <v>259</v>
      </c>
      <c r="O1278" s="6" t="s">
        <v>178</v>
      </c>
      <c r="P1278" s="10">
        <v>46043.0</v>
      </c>
    </row>
    <row r="1279" ht="22.5" customHeight="1">
      <c r="A1279" s="6" t="s">
        <v>9001</v>
      </c>
      <c r="B1279" s="6" t="s">
        <v>9002</v>
      </c>
      <c r="C1279" s="6" t="s">
        <v>9003</v>
      </c>
      <c r="D1279" s="6" t="s">
        <v>145</v>
      </c>
      <c r="E1279" s="6" t="s">
        <v>210</v>
      </c>
      <c r="F1279" s="8">
        <v>91.0</v>
      </c>
      <c r="G1279" s="9">
        <v>679.66</v>
      </c>
      <c r="H1279" s="9">
        <v>6047.82</v>
      </c>
      <c r="I1279" s="6" t="s">
        <v>161</v>
      </c>
      <c r="J1279" s="6" t="s">
        <v>357</v>
      </c>
      <c r="K1279" s="6" t="s">
        <v>9005</v>
      </c>
      <c r="L1279" s="6">
        <v>9.6397710794E10</v>
      </c>
      <c r="M1279" s="6" t="s">
        <v>9006</v>
      </c>
      <c r="N1279" s="6" t="s">
        <v>427</v>
      </c>
      <c r="O1279" s="6" t="s">
        <v>161</v>
      </c>
      <c r="P1279" s="10">
        <v>45968.0</v>
      </c>
    </row>
    <row r="1280" ht="22.5" customHeight="1">
      <c r="A1280" s="6" t="s">
        <v>9007</v>
      </c>
      <c r="B1280" s="6" t="s">
        <v>9008</v>
      </c>
      <c r="C1280" s="6" t="s">
        <v>9010</v>
      </c>
      <c r="D1280" s="6" t="s">
        <v>145</v>
      </c>
      <c r="E1280" s="6" t="s">
        <v>147</v>
      </c>
      <c r="F1280" s="8">
        <v>12.0</v>
      </c>
      <c r="G1280" s="9">
        <v>863.8</v>
      </c>
      <c r="H1280" s="9">
        <v>3322.18</v>
      </c>
      <c r="I1280" s="6" t="s">
        <v>161</v>
      </c>
      <c r="J1280" s="6" t="s">
        <v>421</v>
      </c>
      <c r="K1280" s="6" t="s">
        <v>9011</v>
      </c>
      <c r="L1280" s="6">
        <v>6.358300654E10</v>
      </c>
      <c r="M1280" s="6" t="s">
        <v>9012</v>
      </c>
      <c r="N1280" s="6" t="s">
        <v>283</v>
      </c>
      <c r="O1280" s="6" t="s">
        <v>178</v>
      </c>
      <c r="P1280" s="10">
        <v>45951.0</v>
      </c>
    </row>
    <row r="1281" ht="22.5" customHeight="1">
      <c r="A1281" s="6" t="s">
        <v>9014</v>
      </c>
      <c r="B1281" s="6" t="s">
        <v>9015</v>
      </c>
      <c r="C1281" s="6" t="s">
        <v>9016</v>
      </c>
      <c r="D1281" s="6" t="s">
        <v>145</v>
      </c>
      <c r="E1281" s="6" t="s">
        <v>147</v>
      </c>
      <c r="F1281" s="8">
        <v>6.0</v>
      </c>
      <c r="G1281" s="9">
        <v>1500.14</v>
      </c>
      <c r="H1281" s="9">
        <v>13467.57</v>
      </c>
      <c r="I1281" s="6" t="s">
        <v>161</v>
      </c>
      <c r="J1281" s="6" t="s">
        <v>442</v>
      </c>
      <c r="K1281" s="6" t="s">
        <v>9018</v>
      </c>
      <c r="L1281" s="6">
        <v>4.4841470546E10</v>
      </c>
      <c r="M1281" s="6" t="s">
        <v>9019</v>
      </c>
      <c r="N1281" s="6" t="s">
        <v>112</v>
      </c>
      <c r="O1281" s="6" t="s">
        <v>178</v>
      </c>
      <c r="P1281" s="10">
        <v>45976.0</v>
      </c>
    </row>
    <row r="1282" ht="22.5" customHeight="1">
      <c r="A1282" s="6" t="s">
        <v>9021</v>
      </c>
      <c r="B1282" s="6" t="s">
        <v>9022</v>
      </c>
      <c r="C1282" s="6" t="s">
        <v>9023</v>
      </c>
      <c r="D1282" s="6" t="s">
        <v>206</v>
      </c>
      <c r="E1282" s="6" t="s">
        <v>147</v>
      </c>
      <c r="F1282" s="8">
        <v>15.0</v>
      </c>
      <c r="G1282" s="9">
        <v>433.04</v>
      </c>
      <c r="H1282" s="9">
        <v>5975.73</v>
      </c>
      <c r="I1282" s="6" t="s">
        <v>161</v>
      </c>
      <c r="J1282" s="6" t="s">
        <v>163</v>
      </c>
      <c r="K1282" s="6" t="s">
        <v>9025</v>
      </c>
      <c r="L1282" s="6">
        <v>2.220642235E9</v>
      </c>
      <c r="M1282" s="6" t="s">
        <v>9027</v>
      </c>
      <c r="N1282" s="6" t="s">
        <v>259</v>
      </c>
      <c r="O1282" s="6" t="s">
        <v>178</v>
      </c>
      <c r="P1282" s="10">
        <v>45960.0</v>
      </c>
    </row>
    <row r="1283" ht="22.5" customHeight="1">
      <c r="A1283" s="6" t="s">
        <v>9028</v>
      </c>
      <c r="B1283" s="6" t="s">
        <v>9030</v>
      </c>
      <c r="C1283" s="6" t="s">
        <v>9031</v>
      </c>
      <c r="D1283" s="6" t="s">
        <v>145</v>
      </c>
      <c r="E1283" s="6" t="s">
        <v>147</v>
      </c>
      <c r="F1283" s="8">
        <v>13.0</v>
      </c>
      <c r="G1283" s="9">
        <v>527.87</v>
      </c>
      <c r="H1283" s="9">
        <v>3139.71</v>
      </c>
      <c r="I1283" s="6" t="s">
        <v>161</v>
      </c>
      <c r="J1283" s="6" t="s">
        <v>421</v>
      </c>
      <c r="K1283" s="6" t="s">
        <v>9033</v>
      </c>
      <c r="L1283" s="6">
        <v>9.905599625E9</v>
      </c>
      <c r="M1283" s="6" t="s">
        <v>9034</v>
      </c>
      <c r="N1283" s="6" t="s">
        <v>283</v>
      </c>
      <c r="O1283" s="6" t="s">
        <v>178</v>
      </c>
      <c r="P1283" s="10">
        <v>45961.0</v>
      </c>
    </row>
    <row r="1284" ht="22.5" customHeight="1">
      <c r="A1284" s="6" t="s">
        <v>9036</v>
      </c>
      <c r="B1284" s="6" t="s">
        <v>9037</v>
      </c>
      <c r="C1284" s="6" t="s">
        <v>9038</v>
      </c>
      <c r="D1284" s="6" t="s">
        <v>206</v>
      </c>
      <c r="E1284" s="6" t="s">
        <v>301</v>
      </c>
      <c r="F1284" s="8">
        <v>57.0</v>
      </c>
      <c r="G1284" s="9">
        <v>1157.88</v>
      </c>
      <c r="H1284" s="9">
        <v>6468.8</v>
      </c>
      <c r="I1284" s="6" t="s">
        <v>161</v>
      </c>
      <c r="J1284" s="6" t="s">
        <v>465</v>
      </c>
      <c r="K1284" s="6" t="s">
        <v>9040</v>
      </c>
      <c r="L1284" s="6">
        <v>7.4071567201E10</v>
      </c>
      <c r="M1284" s="6" t="s">
        <v>9041</v>
      </c>
      <c r="N1284" s="6" t="s">
        <v>283</v>
      </c>
      <c r="O1284" s="6" t="s">
        <v>178</v>
      </c>
      <c r="P1284" s="10">
        <v>46038.0</v>
      </c>
    </row>
    <row r="1285" ht="22.5" customHeight="1">
      <c r="A1285" s="6" t="s">
        <v>9043</v>
      </c>
      <c r="B1285" s="6" t="s">
        <v>9044</v>
      </c>
      <c r="C1285" s="6" t="s">
        <v>9045</v>
      </c>
      <c r="D1285" s="6" t="s">
        <v>206</v>
      </c>
      <c r="E1285" s="6" t="s">
        <v>210</v>
      </c>
      <c r="F1285" s="8">
        <v>68.0</v>
      </c>
      <c r="G1285" s="9">
        <v>341.98</v>
      </c>
      <c r="H1285" s="9">
        <v>9744.69</v>
      </c>
      <c r="I1285" s="6" t="s">
        <v>178</v>
      </c>
      <c r="J1285" s="6" t="s">
        <v>163</v>
      </c>
      <c r="K1285" s="6" t="s">
        <v>9047</v>
      </c>
      <c r="L1285" s="6">
        <v>8.7723828256E10</v>
      </c>
      <c r="M1285" s="6" t="s">
        <v>9048</v>
      </c>
      <c r="N1285" s="6" t="s">
        <v>259</v>
      </c>
      <c r="O1285" s="6" t="s">
        <v>161</v>
      </c>
      <c r="P1285" s="10">
        <v>45977.0</v>
      </c>
    </row>
    <row r="1286" ht="22.5" customHeight="1">
      <c r="A1286" s="6" t="s">
        <v>9050</v>
      </c>
      <c r="B1286" s="6" t="s">
        <v>9051</v>
      </c>
      <c r="C1286" s="6" t="s">
        <v>9052</v>
      </c>
      <c r="D1286" s="6" t="s">
        <v>383</v>
      </c>
      <c r="E1286" s="6" t="s">
        <v>147</v>
      </c>
      <c r="F1286" s="8">
        <v>7.0</v>
      </c>
      <c r="G1286" s="9">
        <v>1699.66</v>
      </c>
      <c r="H1286" s="9">
        <v>10402.48</v>
      </c>
      <c r="I1286" s="6" t="s">
        <v>161</v>
      </c>
      <c r="J1286" s="6" t="s">
        <v>442</v>
      </c>
      <c r="K1286" s="6" t="s">
        <v>9054</v>
      </c>
      <c r="L1286" s="6">
        <v>8.0893717577E10</v>
      </c>
      <c r="M1286" s="6" t="s">
        <v>9055</v>
      </c>
      <c r="N1286" s="6" t="s">
        <v>259</v>
      </c>
      <c r="O1286" s="6" t="s">
        <v>178</v>
      </c>
      <c r="P1286" s="10">
        <v>46044.0</v>
      </c>
    </row>
    <row r="1287" ht="22.5" customHeight="1">
      <c r="A1287" s="6" t="s">
        <v>9056</v>
      </c>
      <c r="B1287" s="6" t="s">
        <v>9057</v>
      </c>
      <c r="C1287" s="6" t="s">
        <v>9058</v>
      </c>
      <c r="D1287" s="6" t="s">
        <v>206</v>
      </c>
      <c r="E1287" s="6" t="s">
        <v>210</v>
      </c>
      <c r="F1287" s="8">
        <v>68.0</v>
      </c>
      <c r="G1287" s="9">
        <v>1129.31</v>
      </c>
      <c r="H1287" s="9">
        <v>14207.63</v>
      </c>
      <c r="I1287" s="6" t="s">
        <v>178</v>
      </c>
      <c r="J1287" s="6" t="s">
        <v>442</v>
      </c>
      <c r="K1287" s="6" t="s">
        <v>9060</v>
      </c>
      <c r="L1287" s="6">
        <v>5.1202996062E10</v>
      </c>
      <c r="M1287" s="6" t="s">
        <v>9061</v>
      </c>
      <c r="N1287" s="6" t="s">
        <v>427</v>
      </c>
      <c r="O1287" s="6" t="s">
        <v>161</v>
      </c>
      <c r="P1287" s="10">
        <v>46001.0</v>
      </c>
    </row>
    <row r="1288" ht="22.5" customHeight="1">
      <c r="A1288" s="6" t="s">
        <v>9062</v>
      </c>
      <c r="B1288" s="6" t="s">
        <v>9064</v>
      </c>
      <c r="C1288" s="6" t="s">
        <v>9065</v>
      </c>
      <c r="D1288" s="6" t="s">
        <v>383</v>
      </c>
      <c r="E1288" s="6" t="s">
        <v>147</v>
      </c>
      <c r="F1288" s="8">
        <v>12.0</v>
      </c>
      <c r="G1288" s="9">
        <v>221.97</v>
      </c>
      <c r="H1288" s="9">
        <v>1795.32</v>
      </c>
      <c r="I1288" s="6" t="s">
        <v>161</v>
      </c>
      <c r="J1288" s="6" t="s">
        <v>577</v>
      </c>
      <c r="K1288" s="6" t="s">
        <v>9066</v>
      </c>
      <c r="L1288" s="6">
        <v>7.366788818E10</v>
      </c>
      <c r="M1288" s="6" t="s">
        <v>9067</v>
      </c>
      <c r="N1288" s="6" t="s">
        <v>427</v>
      </c>
      <c r="O1288" s="6" t="s">
        <v>178</v>
      </c>
      <c r="P1288" s="10">
        <v>46001.0</v>
      </c>
    </row>
    <row r="1289" ht="22.5" customHeight="1">
      <c r="A1289" s="6" t="s">
        <v>9069</v>
      </c>
      <c r="B1289" s="6" t="s">
        <v>9070</v>
      </c>
      <c r="C1289" s="6" t="s">
        <v>9071</v>
      </c>
      <c r="D1289" s="6" t="s">
        <v>206</v>
      </c>
      <c r="E1289" s="6" t="s">
        <v>301</v>
      </c>
      <c r="F1289" s="8">
        <v>55.0</v>
      </c>
      <c r="G1289" s="9">
        <v>857.29</v>
      </c>
      <c r="H1289" s="9">
        <v>9535.47</v>
      </c>
      <c r="I1289" s="6" t="s">
        <v>161</v>
      </c>
      <c r="J1289" s="6" t="s">
        <v>228</v>
      </c>
      <c r="K1289" s="6" t="s">
        <v>9073</v>
      </c>
      <c r="L1289" s="6">
        <v>8.3310824568E10</v>
      </c>
      <c r="M1289" s="6" t="s">
        <v>9074</v>
      </c>
      <c r="N1289" s="6" t="s">
        <v>283</v>
      </c>
      <c r="O1289" s="6" t="s">
        <v>178</v>
      </c>
      <c r="P1289" s="10">
        <v>46028.0</v>
      </c>
    </row>
    <row r="1290" ht="22.5" customHeight="1">
      <c r="A1290" s="6" t="s">
        <v>9075</v>
      </c>
      <c r="B1290" s="6" t="s">
        <v>9076</v>
      </c>
      <c r="C1290" s="6" t="s">
        <v>9077</v>
      </c>
      <c r="D1290" s="6" t="s">
        <v>383</v>
      </c>
      <c r="E1290" s="6" t="s">
        <v>301</v>
      </c>
      <c r="F1290" s="8">
        <v>48.0</v>
      </c>
      <c r="G1290" s="9">
        <v>274.79</v>
      </c>
      <c r="H1290" s="9">
        <v>5852.96</v>
      </c>
      <c r="I1290" s="6" t="s">
        <v>161</v>
      </c>
      <c r="J1290" s="6" t="s">
        <v>479</v>
      </c>
      <c r="K1290" s="6" t="s">
        <v>9079</v>
      </c>
      <c r="L1290" s="6">
        <v>4.5641928557E10</v>
      </c>
      <c r="M1290" s="6" t="s">
        <v>9081</v>
      </c>
      <c r="N1290" s="6" t="s">
        <v>112</v>
      </c>
      <c r="O1290" s="6" t="s">
        <v>178</v>
      </c>
      <c r="P1290" s="10">
        <v>46006.0</v>
      </c>
    </row>
    <row r="1291" ht="22.5" customHeight="1">
      <c r="A1291" s="6" t="s">
        <v>9082</v>
      </c>
      <c r="B1291" s="6" t="s">
        <v>9083</v>
      </c>
      <c r="C1291" s="6" t="s">
        <v>9084</v>
      </c>
      <c r="D1291" s="6" t="s">
        <v>145</v>
      </c>
      <c r="E1291" s="6" t="s">
        <v>147</v>
      </c>
      <c r="F1291" s="8">
        <v>21.0</v>
      </c>
      <c r="G1291" s="9">
        <v>1248.82</v>
      </c>
      <c r="H1291" s="9">
        <v>6481.92</v>
      </c>
      <c r="I1291" s="6" t="s">
        <v>161</v>
      </c>
      <c r="J1291" s="6" t="s">
        <v>442</v>
      </c>
      <c r="K1291" s="6" t="s">
        <v>9086</v>
      </c>
      <c r="L1291" s="6">
        <v>7.1246189181E10</v>
      </c>
      <c r="M1291" s="6" t="s">
        <v>9087</v>
      </c>
      <c r="N1291" s="6" t="s">
        <v>112</v>
      </c>
      <c r="O1291" s="6" t="s">
        <v>178</v>
      </c>
      <c r="P1291" s="10">
        <v>45992.0</v>
      </c>
    </row>
    <row r="1292" ht="22.5" customHeight="1">
      <c r="A1292" s="6" t="s">
        <v>9088</v>
      </c>
      <c r="B1292" s="6" t="s">
        <v>9090</v>
      </c>
      <c r="C1292" s="6" t="s">
        <v>9091</v>
      </c>
      <c r="D1292" s="6" t="s">
        <v>145</v>
      </c>
      <c r="E1292" s="6" t="s">
        <v>301</v>
      </c>
      <c r="F1292" s="8">
        <v>56.0</v>
      </c>
      <c r="G1292" s="9">
        <v>1739.15</v>
      </c>
      <c r="H1292" s="9">
        <v>4682.1</v>
      </c>
      <c r="I1292" s="6" t="s">
        <v>161</v>
      </c>
      <c r="J1292" s="6" t="s">
        <v>421</v>
      </c>
      <c r="K1292" s="6" t="s">
        <v>259</v>
      </c>
      <c r="L1292" s="6">
        <v>5.6889205404E10</v>
      </c>
      <c r="M1292" s="6" t="s">
        <v>9092</v>
      </c>
      <c r="N1292" s="6" t="s">
        <v>283</v>
      </c>
      <c r="O1292" s="6" t="s">
        <v>178</v>
      </c>
      <c r="P1292" s="10">
        <v>45987.0</v>
      </c>
    </row>
    <row r="1293" ht="22.5" customHeight="1">
      <c r="A1293" s="6" t="s">
        <v>9094</v>
      </c>
      <c r="B1293" s="6" t="s">
        <v>9095</v>
      </c>
      <c r="C1293" s="6" t="s">
        <v>9096</v>
      </c>
      <c r="D1293" s="6" t="s">
        <v>383</v>
      </c>
      <c r="E1293" s="6" t="s">
        <v>147</v>
      </c>
      <c r="F1293" s="8">
        <v>25.0</v>
      </c>
      <c r="G1293" s="9">
        <v>750.07</v>
      </c>
      <c r="H1293" s="9">
        <v>4692.88</v>
      </c>
      <c r="I1293" s="6" t="s">
        <v>161</v>
      </c>
      <c r="J1293" s="6" t="s">
        <v>479</v>
      </c>
      <c r="K1293" s="6" t="s">
        <v>9098</v>
      </c>
      <c r="L1293" s="6" t="s">
        <v>259</v>
      </c>
      <c r="M1293" s="6" t="s">
        <v>9099</v>
      </c>
      <c r="N1293" s="6" t="s">
        <v>259</v>
      </c>
      <c r="O1293" s="6" t="s">
        <v>178</v>
      </c>
      <c r="P1293" s="10">
        <v>46019.0</v>
      </c>
    </row>
    <row r="1294" ht="22.5" customHeight="1">
      <c r="A1294" s="6" t="s">
        <v>9100</v>
      </c>
      <c r="B1294" s="6" t="s">
        <v>9101</v>
      </c>
      <c r="C1294" s="6" t="s">
        <v>9102</v>
      </c>
      <c r="D1294" s="6" t="s">
        <v>383</v>
      </c>
      <c r="E1294" s="6" t="s">
        <v>147</v>
      </c>
      <c r="F1294" s="8">
        <v>24.0</v>
      </c>
      <c r="G1294" s="9">
        <v>1317.76</v>
      </c>
      <c r="H1294" s="9">
        <v>3430.37</v>
      </c>
      <c r="I1294" s="6" t="s">
        <v>161</v>
      </c>
      <c r="J1294" s="6" t="s">
        <v>393</v>
      </c>
      <c r="K1294" s="6" t="s">
        <v>9104</v>
      </c>
      <c r="L1294" s="6">
        <v>3.8705352468E10</v>
      </c>
      <c r="M1294" s="6" t="s">
        <v>9105</v>
      </c>
      <c r="N1294" s="6" t="s">
        <v>427</v>
      </c>
      <c r="O1294" s="6" t="s">
        <v>178</v>
      </c>
      <c r="P1294" s="10">
        <v>45981.0</v>
      </c>
    </row>
    <row r="1295" ht="22.5" customHeight="1">
      <c r="A1295" s="6" t="s">
        <v>9107</v>
      </c>
      <c r="B1295" s="6" t="s">
        <v>9108</v>
      </c>
      <c r="C1295" s="6" t="s">
        <v>9109</v>
      </c>
      <c r="D1295" s="6" t="s">
        <v>206</v>
      </c>
      <c r="E1295" s="6" t="s">
        <v>147</v>
      </c>
      <c r="F1295" s="8">
        <v>14.0</v>
      </c>
      <c r="G1295" s="9">
        <v>1074.84</v>
      </c>
      <c r="H1295" s="9">
        <v>9031.06</v>
      </c>
      <c r="I1295" s="6" t="s">
        <v>161</v>
      </c>
      <c r="J1295" s="6" t="s">
        <v>393</v>
      </c>
      <c r="K1295" s="6" t="s">
        <v>9111</v>
      </c>
      <c r="L1295" s="6">
        <v>8.5687555702E10</v>
      </c>
      <c r="M1295" s="6" t="s">
        <v>9112</v>
      </c>
      <c r="N1295" s="6" t="s">
        <v>259</v>
      </c>
      <c r="O1295" s="6" t="s">
        <v>178</v>
      </c>
      <c r="P1295" s="10">
        <v>46048.0</v>
      </c>
    </row>
    <row r="1296" ht="22.5" customHeight="1">
      <c r="A1296" s="6" t="s">
        <v>9113</v>
      </c>
      <c r="B1296" s="6" t="s">
        <v>9115</v>
      </c>
      <c r="C1296" s="6" t="s">
        <v>9116</v>
      </c>
      <c r="D1296" s="6" t="s">
        <v>145</v>
      </c>
      <c r="E1296" s="6" t="s">
        <v>147</v>
      </c>
      <c r="F1296" s="8">
        <v>21.0</v>
      </c>
      <c r="G1296" s="9">
        <v>1196.35</v>
      </c>
      <c r="H1296" s="9">
        <v>9601.33</v>
      </c>
      <c r="I1296" s="6" t="s">
        <v>161</v>
      </c>
      <c r="J1296" s="6" t="s">
        <v>1584</v>
      </c>
      <c r="K1296" s="6" t="s">
        <v>9117</v>
      </c>
      <c r="L1296" s="6">
        <v>4.2308829534E10</v>
      </c>
      <c r="M1296" s="6" t="s">
        <v>9118</v>
      </c>
      <c r="N1296" s="6" t="s">
        <v>283</v>
      </c>
      <c r="O1296" s="6" t="s">
        <v>178</v>
      </c>
      <c r="P1296" s="10">
        <v>46045.0</v>
      </c>
    </row>
    <row r="1297" ht="22.5" customHeight="1">
      <c r="A1297" s="6" t="s">
        <v>9120</v>
      </c>
      <c r="B1297" s="6" t="s">
        <v>9121</v>
      </c>
      <c r="C1297" s="6" t="s">
        <v>9122</v>
      </c>
      <c r="D1297" s="6" t="s">
        <v>206</v>
      </c>
      <c r="E1297" s="6" t="s">
        <v>301</v>
      </c>
      <c r="F1297" s="8">
        <v>35.0</v>
      </c>
      <c r="G1297" s="9">
        <v>420.71</v>
      </c>
      <c r="H1297" s="9">
        <v>3037.08</v>
      </c>
      <c r="I1297" s="6" t="s">
        <v>161</v>
      </c>
      <c r="J1297" s="6" t="s">
        <v>465</v>
      </c>
      <c r="K1297" s="6" t="s">
        <v>9123</v>
      </c>
      <c r="L1297" s="6">
        <v>8.8031458688E10</v>
      </c>
      <c r="M1297" s="6" t="s">
        <v>9125</v>
      </c>
      <c r="N1297" s="6" t="s">
        <v>259</v>
      </c>
      <c r="O1297" s="6" t="s">
        <v>178</v>
      </c>
      <c r="P1297" s="10">
        <v>45973.0</v>
      </c>
    </row>
    <row r="1298" ht="22.5" customHeight="1">
      <c r="A1298" s="6" t="s">
        <v>9126</v>
      </c>
      <c r="B1298" s="6" t="s">
        <v>9127</v>
      </c>
      <c r="C1298" s="6" t="s">
        <v>9128</v>
      </c>
      <c r="D1298" s="6" t="s">
        <v>206</v>
      </c>
      <c r="E1298" s="6" t="s">
        <v>147</v>
      </c>
      <c r="F1298" s="8">
        <v>27.0</v>
      </c>
      <c r="G1298" s="9">
        <v>1553.37</v>
      </c>
      <c r="H1298" s="9">
        <v>13702.08</v>
      </c>
      <c r="I1298" s="6" t="s">
        <v>161</v>
      </c>
      <c r="J1298" s="6" t="s">
        <v>259</v>
      </c>
      <c r="K1298" s="6" t="s">
        <v>9130</v>
      </c>
      <c r="L1298" s="6">
        <v>5.6127341918E10</v>
      </c>
      <c r="M1298" s="6" t="s">
        <v>9131</v>
      </c>
      <c r="N1298" s="6" t="s">
        <v>283</v>
      </c>
      <c r="O1298" s="6" t="s">
        <v>178</v>
      </c>
      <c r="P1298" s="10">
        <v>46005.0</v>
      </c>
    </row>
    <row r="1299" ht="22.5" customHeight="1">
      <c r="A1299" s="6" t="s">
        <v>9132</v>
      </c>
      <c r="B1299" s="6" t="s">
        <v>9134</v>
      </c>
      <c r="C1299" s="6" t="s">
        <v>9135</v>
      </c>
      <c r="D1299" s="6" t="s">
        <v>206</v>
      </c>
      <c r="E1299" s="6" t="s">
        <v>301</v>
      </c>
      <c r="F1299" s="8">
        <v>52.0</v>
      </c>
      <c r="G1299" s="9">
        <v>1260.48</v>
      </c>
      <c r="H1299" s="9">
        <v>13883.61</v>
      </c>
      <c r="I1299" s="6" t="s">
        <v>161</v>
      </c>
      <c r="J1299" s="6" t="s">
        <v>312</v>
      </c>
      <c r="K1299" s="6" t="s">
        <v>9137</v>
      </c>
      <c r="L1299" s="6">
        <v>5.7675542997E10</v>
      </c>
      <c r="M1299" s="6" t="s">
        <v>9138</v>
      </c>
      <c r="N1299" s="6" t="s">
        <v>259</v>
      </c>
      <c r="O1299" s="6" t="s">
        <v>178</v>
      </c>
      <c r="P1299" s="10">
        <v>45938.0</v>
      </c>
    </row>
    <row r="1300" ht="22.5" customHeight="1">
      <c r="A1300" s="6" t="s">
        <v>9139</v>
      </c>
      <c r="B1300" s="6" t="s">
        <v>9140</v>
      </c>
      <c r="C1300" s="6" t="s">
        <v>9141</v>
      </c>
      <c r="D1300" s="6" t="s">
        <v>145</v>
      </c>
      <c r="E1300" s="6" t="s">
        <v>147</v>
      </c>
      <c r="F1300" s="8">
        <v>19.0</v>
      </c>
      <c r="G1300" s="9">
        <v>712.43</v>
      </c>
      <c r="H1300" s="9">
        <v>5172.09</v>
      </c>
      <c r="I1300" s="6" t="s">
        <v>161</v>
      </c>
      <c r="J1300" s="6" t="s">
        <v>393</v>
      </c>
      <c r="K1300" s="6" t="s">
        <v>9143</v>
      </c>
      <c r="L1300" s="6">
        <v>9.3416452E9</v>
      </c>
      <c r="M1300" s="6" t="s">
        <v>9144</v>
      </c>
      <c r="N1300" s="6" t="s">
        <v>112</v>
      </c>
      <c r="O1300" s="6" t="s">
        <v>178</v>
      </c>
      <c r="P1300" s="10">
        <v>46032.0</v>
      </c>
    </row>
    <row r="1301" ht="22.5" customHeight="1">
      <c r="A1301" s="6" t="s">
        <v>9146</v>
      </c>
      <c r="B1301" s="6" t="s">
        <v>9147</v>
      </c>
      <c r="C1301" s="6" t="s">
        <v>9148</v>
      </c>
      <c r="D1301" s="6" t="s">
        <v>206</v>
      </c>
      <c r="E1301" s="6" t="s">
        <v>147</v>
      </c>
      <c r="F1301" s="8">
        <v>13.0</v>
      </c>
      <c r="G1301" s="9">
        <v>1019.93</v>
      </c>
      <c r="H1301" s="9">
        <v>11509.94</v>
      </c>
      <c r="I1301" s="6" t="s">
        <v>161</v>
      </c>
      <c r="J1301" s="6" t="s">
        <v>357</v>
      </c>
      <c r="K1301" s="6" t="s">
        <v>259</v>
      </c>
      <c r="L1301" s="6">
        <v>5.3896077469E10</v>
      </c>
      <c r="M1301" s="6" t="s">
        <v>9150</v>
      </c>
      <c r="N1301" s="6" t="s">
        <v>259</v>
      </c>
      <c r="O1301" s="6" t="s">
        <v>178</v>
      </c>
      <c r="P1301" s="10">
        <v>45936.0</v>
      </c>
    </row>
    <row r="1302" ht="22.5" customHeight="1">
      <c r="A1302" s="6" t="s">
        <v>9152</v>
      </c>
      <c r="B1302" s="6" t="s">
        <v>9153</v>
      </c>
      <c r="C1302" s="6" t="s">
        <v>9154</v>
      </c>
      <c r="D1302" s="6" t="s">
        <v>206</v>
      </c>
      <c r="E1302" s="6" t="s">
        <v>147</v>
      </c>
      <c r="F1302" s="8">
        <v>16.0</v>
      </c>
      <c r="G1302" s="9">
        <v>360.8</v>
      </c>
      <c r="H1302" s="9">
        <v>6781.31</v>
      </c>
      <c r="I1302" s="6" t="s">
        <v>161</v>
      </c>
      <c r="J1302" s="6" t="s">
        <v>228</v>
      </c>
      <c r="K1302" s="6" t="s">
        <v>9156</v>
      </c>
      <c r="L1302" s="6">
        <v>1.0971806477E10</v>
      </c>
      <c r="M1302" s="6" t="s">
        <v>9157</v>
      </c>
      <c r="N1302" s="6" t="s">
        <v>427</v>
      </c>
      <c r="O1302" s="6" t="s">
        <v>178</v>
      </c>
      <c r="P1302" s="10">
        <v>45938.0</v>
      </c>
    </row>
    <row r="1303" ht="22.5" customHeight="1">
      <c r="A1303" s="6" t="s">
        <v>9159</v>
      </c>
      <c r="B1303" s="6" t="s">
        <v>9160</v>
      </c>
      <c r="C1303" s="6" t="s">
        <v>9161</v>
      </c>
      <c r="D1303" s="6" t="s">
        <v>145</v>
      </c>
      <c r="E1303" s="6" t="s">
        <v>147</v>
      </c>
      <c r="F1303" s="8">
        <v>6.0</v>
      </c>
      <c r="G1303" s="9">
        <v>302.48</v>
      </c>
      <c r="H1303" s="9">
        <v>13164.72</v>
      </c>
      <c r="I1303" s="6" t="s">
        <v>161</v>
      </c>
      <c r="J1303" s="6" t="s">
        <v>479</v>
      </c>
      <c r="K1303" s="6" t="s">
        <v>9163</v>
      </c>
      <c r="L1303" s="6" t="s">
        <v>259</v>
      </c>
      <c r="M1303" s="6" t="s">
        <v>9164</v>
      </c>
      <c r="N1303" s="6" t="s">
        <v>176</v>
      </c>
      <c r="O1303" s="6" t="s">
        <v>178</v>
      </c>
      <c r="P1303" s="10">
        <v>45961.0</v>
      </c>
    </row>
    <row r="1304" ht="22.5" customHeight="1">
      <c r="A1304" s="6" t="s">
        <v>9166</v>
      </c>
      <c r="B1304" s="6" t="s">
        <v>9167</v>
      </c>
      <c r="C1304" s="6" t="s">
        <v>9168</v>
      </c>
      <c r="D1304" s="6" t="s">
        <v>206</v>
      </c>
      <c r="E1304" s="6" t="s">
        <v>147</v>
      </c>
      <c r="F1304" s="8">
        <v>21.0</v>
      </c>
      <c r="G1304" s="9">
        <v>844.67</v>
      </c>
      <c r="H1304" s="9">
        <v>2069.62</v>
      </c>
      <c r="I1304" s="6" t="s">
        <v>161</v>
      </c>
      <c r="J1304" s="6" t="s">
        <v>577</v>
      </c>
      <c r="K1304" s="6" t="s">
        <v>9170</v>
      </c>
      <c r="L1304" s="6">
        <v>7.3427225185E10</v>
      </c>
      <c r="M1304" s="6" t="s">
        <v>9171</v>
      </c>
      <c r="N1304" s="6" t="s">
        <v>259</v>
      </c>
      <c r="O1304" s="6" t="s">
        <v>178</v>
      </c>
      <c r="P1304" s="10">
        <v>45955.0</v>
      </c>
    </row>
    <row r="1305" ht="22.5" customHeight="1">
      <c r="A1305" s="6" t="s">
        <v>9172</v>
      </c>
      <c r="B1305" s="6" t="s">
        <v>9173</v>
      </c>
      <c r="C1305" s="6" t="s">
        <v>9175</v>
      </c>
      <c r="D1305" s="6" t="s">
        <v>145</v>
      </c>
      <c r="E1305" s="6" t="s">
        <v>147</v>
      </c>
      <c r="F1305" s="8">
        <v>15.0</v>
      </c>
      <c r="G1305" s="9">
        <v>890.14</v>
      </c>
      <c r="H1305" s="9">
        <v>1526.01</v>
      </c>
      <c r="I1305" s="6" t="s">
        <v>161</v>
      </c>
      <c r="J1305" s="6" t="s">
        <v>465</v>
      </c>
      <c r="K1305" s="6" t="s">
        <v>9176</v>
      </c>
      <c r="L1305" s="6">
        <v>1.1207978073E10</v>
      </c>
      <c r="M1305" s="6" t="s">
        <v>9178</v>
      </c>
      <c r="N1305" s="6" t="s">
        <v>283</v>
      </c>
      <c r="O1305" s="6" t="s">
        <v>178</v>
      </c>
      <c r="P1305" s="10">
        <v>45966.0</v>
      </c>
    </row>
    <row r="1306" ht="22.5" customHeight="1">
      <c r="A1306" s="6" t="s">
        <v>9179</v>
      </c>
      <c r="B1306" s="6" t="s">
        <v>9180</v>
      </c>
      <c r="C1306" s="6" t="s">
        <v>9181</v>
      </c>
      <c r="D1306" s="6" t="s">
        <v>206</v>
      </c>
      <c r="E1306" s="6" t="s">
        <v>147</v>
      </c>
      <c r="F1306" s="8">
        <v>26.0</v>
      </c>
      <c r="G1306" s="9">
        <v>446.07</v>
      </c>
      <c r="H1306" s="9">
        <v>3922.26</v>
      </c>
      <c r="I1306" s="6" t="s">
        <v>161</v>
      </c>
      <c r="J1306" s="6" t="s">
        <v>228</v>
      </c>
      <c r="K1306" s="6" t="s">
        <v>9183</v>
      </c>
      <c r="L1306" s="6">
        <v>1.9248576404E10</v>
      </c>
      <c r="M1306" s="6" t="s">
        <v>9184</v>
      </c>
      <c r="N1306" s="6" t="s">
        <v>427</v>
      </c>
      <c r="O1306" s="6" t="s">
        <v>178</v>
      </c>
      <c r="P1306" s="10">
        <v>45946.0</v>
      </c>
    </row>
    <row r="1307" ht="22.5" customHeight="1">
      <c r="A1307" s="6" t="s">
        <v>9186</v>
      </c>
      <c r="B1307" s="6" t="s">
        <v>9187</v>
      </c>
      <c r="C1307" s="6" t="s">
        <v>9188</v>
      </c>
      <c r="D1307" s="6" t="s">
        <v>206</v>
      </c>
      <c r="E1307" s="6" t="s">
        <v>147</v>
      </c>
      <c r="F1307" s="8">
        <v>17.0</v>
      </c>
      <c r="G1307" s="9">
        <v>1053.63</v>
      </c>
      <c r="H1307" s="9">
        <v>1653.52</v>
      </c>
      <c r="I1307" s="6" t="s">
        <v>161</v>
      </c>
      <c r="J1307" s="6" t="s">
        <v>357</v>
      </c>
      <c r="K1307" s="6" t="s">
        <v>9190</v>
      </c>
      <c r="L1307" s="6">
        <v>5.7728332525E10</v>
      </c>
      <c r="M1307" s="6" t="s">
        <v>9191</v>
      </c>
      <c r="N1307" s="6" t="s">
        <v>283</v>
      </c>
      <c r="O1307" s="6" t="s">
        <v>178</v>
      </c>
      <c r="P1307" s="10">
        <v>46048.0</v>
      </c>
    </row>
    <row r="1308" ht="22.5" customHeight="1">
      <c r="A1308" s="6" t="s">
        <v>9193</v>
      </c>
      <c r="B1308" s="6" t="s">
        <v>9194</v>
      </c>
      <c r="C1308" s="6" t="s">
        <v>9195</v>
      </c>
      <c r="D1308" s="6" t="s">
        <v>206</v>
      </c>
      <c r="E1308" s="6" t="s">
        <v>210</v>
      </c>
      <c r="F1308" s="8">
        <v>81.0</v>
      </c>
      <c r="G1308" s="9">
        <v>496.86</v>
      </c>
      <c r="H1308" s="9">
        <v>2356.95</v>
      </c>
      <c r="I1308" s="6" t="s">
        <v>161</v>
      </c>
      <c r="J1308" s="6" t="s">
        <v>228</v>
      </c>
      <c r="K1308" s="6" t="s">
        <v>259</v>
      </c>
      <c r="L1308" s="6">
        <v>7.8271172195E10</v>
      </c>
      <c r="M1308" s="6" t="s">
        <v>9197</v>
      </c>
      <c r="N1308" s="6" t="s">
        <v>112</v>
      </c>
      <c r="O1308" s="6" t="s">
        <v>161</v>
      </c>
      <c r="P1308" s="10">
        <v>46010.0</v>
      </c>
    </row>
    <row r="1309" ht="22.5" customHeight="1">
      <c r="A1309" s="6" t="s">
        <v>9199</v>
      </c>
      <c r="B1309" s="6" t="s">
        <v>9200</v>
      </c>
      <c r="C1309" s="6" t="s">
        <v>9201</v>
      </c>
      <c r="D1309" s="6" t="s">
        <v>145</v>
      </c>
      <c r="E1309" s="6" t="s">
        <v>210</v>
      </c>
      <c r="F1309" s="8">
        <v>102.0</v>
      </c>
      <c r="G1309" s="9">
        <v>270.12</v>
      </c>
      <c r="H1309" s="9">
        <v>9217.77</v>
      </c>
      <c r="I1309" s="6" t="s">
        <v>178</v>
      </c>
      <c r="J1309" s="6" t="s">
        <v>421</v>
      </c>
      <c r="K1309" s="6" t="s">
        <v>9202</v>
      </c>
      <c r="L1309" s="6" t="s">
        <v>259</v>
      </c>
      <c r="M1309" s="6" t="s">
        <v>9203</v>
      </c>
      <c r="N1309" s="6" t="s">
        <v>176</v>
      </c>
      <c r="O1309" s="6" t="s">
        <v>161</v>
      </c>
      <c r="P1309" s="10">
        <v>45970.0</v>
      </c>
    </row>
    <row r="1310" ht="22.5" customHeight="1">
      <c r="A1310" s="6" t="s">
        <v>9205</v>
      </c>
      <c r="B1310" s="6" t="s">
        <v>9206</v>
      </c>
      <c r="C1310" s="6" t="s">
        <v>9207</v>
      </c>
      <c r="D1310" s="6" t="s">
        <v>383</v>
      </c>
      <c r="E1310" s="6" t="s">
        <v>147</v>
      </c>
      <c r="F1310" s="8">
        <v>15.0</v>
      </c>
      <c r="G1310" s="9">
        <v>1198.24</v>
      </c>
      <c r="H1310" s="9">
        <v>9254.5</v>
      </c>
      <c r="I1310" s="6" t="s">
        <v>161</v>
      </c>
      <c r="J1310" s="6" t="s">
        <v>2502</v>
      </c>
      <c r="K1310" s="6" t="s">
        <v>9209</v>
      </c>
      <c r="L1310" s="6">
        <v>2.6413274985E10</v>
      </c>
      <c r="M1310" s="6" t="s">
        <v>9210</v>
      </c>
      <c r="N1310" s="6" t="s">
        <v>112</v>
      </c>
      <c r="O1310" s="6" t="s">
        <v>178</v>
      </c>
      <c r="P1310" s="10">
        <v>46049.0</v>
      </c>
    </row>
    <row r="1311" ht="22.5" customHeight="1">
      <c r="A1311" s="6" t="s">
        <v>9211</v>
      </c>
      <c r="B1311" s="6" t="s">
        <v>9212</v>
      </c>
      <c r="C1311" s="6" t="s">
        <v>9213</v>
      </c>
      <c r="D1311" s="6" t="s">
        <v>206</v>
      </c>
      <c r="E1311" s="6" t="s">
        <v>147</v>
      </c>
      <c r="F1311" s="8">
        <v>29.0</v>
      </c>
      <c r="G1311" s="9">
        <v>1534.75</v>
      </c>
      <c r="H1311" s="9">
        <v>6320.0</v>
      </c>
      <c r="I1311" s="6" t="s">
        <v>178</v>
      </c>
      <c r="J1311" s="6" t="s">
        <v>442</v>
      </c>
      <c r="K1311" s="6" t="s">
        <v>9215</v>
      </c>
      <c r="L1311" s="6">
        <v>2.6783200472E10</v>
      </c>
      <c r="M1311" s="6" t="s">
        <v>9216</v>
      </c>
      <c r="N1311" s="6" t="s">
        <v>283</v>
      </c>
      <c r="O1311" s="6" t="s">
        <v>161</v>
      </c>
      <c r="P1311" s="10">
        <v>46039.0</v>
      </c>
    </row>
    <row r="1312" ht="22.5" customHeight="1">
      <c r="A1312" s="6" t="s">
        <v>9217</v>
      </c>
      <c r="B1312" s="6" t="s">
        <v>9218</v>
      </c>
      <c r="C1312" s="6" t="s">
        <v>9219</v>
      </c>
      <c r="D1312" s="6" t="s">
        <v>383</v>
      </c>
      <c r="E1312" s="6" t="s">
        <v>210</v>
      </c>
      <c r="F1312" s="8">
        <v>65.0</v>
      </c>
      <c r="G1312" s="9">
        <v>1408.08</v>
      </c>
      <c r="H1312" s="9">
        <v>7942.02</v>
      </c>
      <c r="I1312" s="6" t="s">
        <v>178</v>
      </c>
      <c r="J1312" s="6" t="s">
        <v>228</v>
      </c>
      <c r="K1312" s="6" t="s">
        <v>9220</v>
      </c>
      <c r="L1312" s="6">
        <v>7.866804627E9</v>
      </c>
      <c r="M1312" s="6" t="s">
        <v>9222</v>
      </c>
      <c r="N1312" s="6" t="s">
        <v>427</v>
      </c>
      <c r="O1312" s="6" t="s">
        <v>161</v>
      </c>
      <c r="P1312" s="10">
        <v>45947.0</v>
      </c>
    </row>
    <row r="1313" ht="22.5" customHeight="1">
      <c r="A1313" s="6" t="s">
        <v>9223</v>
      </c>
      <c r="B1313" s="6" t="s">
        <v>9224</v>
      </c>
      <c r="C1313" s="6" t="s">
        <v>9225</v>
      </c>
      <c r="D1313" s="6" t="s">
        <v>206</v>
      </c>
      <c r="E1313" s="6" t="s">
        <v>301</v>
      </c>
      <c r="F1313" s="8">
        <v>48.0</v>
      </c>
      <c r="G1313" s="9">
        <v>1784.46</v>
      </c>
      <c r="H1313" s="9">
        <v>12966.29</v>
      </c>
      <c r="I1313" s="6" t="s">
        <v>161</v>
      </c>
      <c r="J1313" s="6" t="s">
        <v>228</v>
      </c>
      <c r="K1313" s="6" t="s">
        <v>259</v>
      </c>
      <c r="L1313" s="6">
        <v>7.8311680474E10</v>
      </c>
      <c r="M1313" s="6" t="s">
        <v>9227</v>
      </c>
      <c r="N1313" s="6" t="s">
        <v>283</v>
      </c>
      <c r="O1313" s="6" t="s">
        <v>178</v>
      </c>
      <c r="P1313" s="10">
        <v>45932.0</v>
      </c>
    </row>
    <row r="1314" ht="22.5" customHeight="1">
      <c r="A1314" s="6" t="s">
        <v>9228</v>
      </c>
      <c r="B1314" s="6" t="s">
        <v>9229</v>
      </c>
      <c r="C1314" s="6" t="s">
        <v>9230</v>
      </c>
      <c r="D1314" s="6" t="s">
        <v>145</v>
      </c>
      <c r="E1314" s="6" t="s">
        <v>301</v>
      </c>
      <c r="F1314" s="8">
        <v>35.0</v>
      </c>
      <c r="G1314" s="9">
        <v>122.08</v>
      </c>
      <c r="H1314" s="9">
        <v>8492.67</v>
      </c>
      <c r="I1314" s="6" t="s">
        <v>161</v>
      </c>
      <c r="J1314" s="6" t="s">
        <v>163</v>
      </c>
      <c r="K1314" s="6" t="s">
        <v>9232</v>
      </c>
      <c r="L1314" s="6">
        <v>6.2352891385E10</v>
      </c>
      <c r="M1314" s="6" t="s">
        <v>9233</v>
      </c>
      <c r="N1314" s="6" t="s">
        <v>427</v>
      </c>
      <c r="O1314" s="6" t="s">
        <v>178</v>
      </c>
      <c r="P1314" s="10">
        <v>45983.0</v>
      </c>
    </row>
    <row r="1315" ht="22.5" customHeight="1">
      <c r="A1315" s="6" t="s">
        <v>9235</v>
      </c>
      <c r="B1315" s="6" t="s">
        <v>9236</v>
      </c>
      <c r="C1315" s="6" t="s">
        <v>9237</v>
      </c>
      <c r="D1315" s="6" t="s">
        <v>206</v>
      </c>
      <c r="E1315" s="6" t="s">
        <v>147</v>
      </c>
      <c r="F1315" s="8">
        <v>16.0</v>
      </c>
      <c r="G1315" s="9">
        <v>1030.31</v>
      </c>
      <c r="H1315" s="9">
        <v>13823.86</v>
      </c>
      <c r="I1315" s="6" t="s">
        <v>161</v>
      </c>
      <c r="J1315" s="6" t="s">
        <v>393</v>
      </c>
      <c r="K1315" s="6" t="s">
        <v>9238</v>
      </c>
      <c r="L1315" s="6">
        <v>5.0427880688E10</v>
      </c>
      <c r="M1315" s="6" t="s">
        <v>9239</v>
      </c>
      <c r="N1315" s="6" t="s">
        <v>176</v>
      </c>
      <c r="O1315" s="6" t="s">
        <v>178</v>
      </c>
      <c r="P1315" s="10">
        <v>45945.0</v>
      </c>
    </row>
    <row r="1316" ht="22.5" customHeight="1">
      <c r="A1316" s="6" t="s">
        <v>9241</v>
      </c>
      <c r="B1316" s="6" t="s">
        <v>9242</v>
      </c>
      <c r="C1316" s="6" t="s">
        <v>9243</v>
      </c>
      <c r="D1316" s="6" t="s">
        <v>383</v>
      </c>
      <c r="E1316" s="6" t="s">
        <v>301</v>
      </c>
      <c r="F1316" s="8">
        <v>55.0</v>
      </c>
      <c r="G1316" s="9">
        <v>394.02</v>
      </c>
      <c r="H1316" s="9">
        <v>11177.93</v>
      </c>
      <c r="I1316" s="6" t="s">
        <v>161</v>
      </c>
      <c r="J1316" s="6" t="s">
        <v>479</v>
      </c>
      <c r="K1316" s="6" t="s">
        <v>9245</v>
      </c>
      <c r="L1316" s="6">
        <v>6.567609595E10</v>
      </c>
      <c r="M1316" s="6" t="s">
        <v>9246</v>
      </c>
      <c r="N1316" s="6" t="s">
        <v>427</v>
      </c>
      <c r="O1316" s="6" t="s">
        <v>178</v>
      </c>
      <c r="P1316" s="10">
        <v>45938.0</v>
      </c>
    </row>
    <row r="1317" ht="22.5" customHeight="1">
      <c r="A1317" s="6" t="s">
        <v>9247</v>
      </c>
      <c r="B1317" s="6" t="s">
        <v>9248</v>
      </c>
      <c r="C1317" s="6" t="s">
        <v>9249</v>
      </c>
      <c r="D1317" s="6" t="s">
        <v>206</v>
      </c>
      <c r="E1317" s="6" t="s">
        <v>147</v>
      </c>
      <c r="F1317" s="8">
        <v>29.0</v>
      </c>
      <c r="G1317" s="9">
        <v>872.94</v>
      </c>
      <c r="H1317" s="9">
        <v>1970.83</v>
      </c>
      <c r="I1317" s="6" t="s">
        <v>161</v>
      </c>
      <c r="J1317" s="6" t="s">
        <v>442</v>
      </c>
      <c r="K1317" s="6" t="s">
        <v>9251</v>
      </c>
      <c r="L1317" s="6">
        <v>6.4307821833E10</v>
      </c>
      <c r="M1317" s="6" t="s">
        <v>9252</v>
      </c>
      <c r="N1317" s="6" t="s">
        <v>259</v>
      </c>
      <c r="O1317" s="6" t="s">
        <v>178</v>
      </c>
      <c r="P1317" s="10">
        <v>45990.0</v>
      </c>
    </row>
    <row r="1318" ht="22.5" customHeight="1">
      <c r="A1318" s="6" t="s">
        <v>9254</v>
      </c>
      <c r="B1318" s="6" t="s">
        <v>9255</v>
      </c>
      <c r="C1318" s="6" t="s">
        <v>9256</v>
      </c>
      <c r="D1318" s="6" t="s">
        <v>145</v>
      </c>
      <c r="E1318" s="6" t="s">
        <v>301</v>
      </c>
      <c r="F1318" s="8">
        <v>45.0</v>
      </c>
      <c r="G1318" s="9">
        <v>1195.03</v>
      </c>
      <c r="H1318" s="9">
        <v>6163.04</v>
      </c>
      <c r="I1318" s="6" t="s">
        <v>161</v>
      </c>
      <c r="J1318" s="6" t="s">
        <v>357</v>
      </c>
      <c r="K1318" s="6" t="s">
        <v>9257</v>
      </c>
      <c r="L1318" s="6">
        <v>8.5009743913E10</v>
      </c>
      <c r="M1318" s="6" t="s">
        <v>9259</v>
      </c>
      <c r="N1318" s="6" t="s">
        <v>427</v>
      </c>
      <c r="O1318" s="6" t="s">
        <v>178</v>
      </c>
      <c r="P1318" s="10">
        <v>45955.0</v>
      </c>
    </row>
    <row r="1319" ht="22.5" customHeight="1">
      <c r="A1319" s="6" t="s">
        <v>9260</v>
      </c>
      <c r="B1319" s="6" t="s">
        <v>9261</v>
      </c>
      <c r="C1319" s="6" t="s">
        <v>9262</v>
      </c>
      <c r="D1319" s="6" t="s">
        <v>206</v>
      </c>
      <c r="E1319" s="6" t="s">
        <v>301</v>
      </c>
      <c r="F1319" s="8">
        <v>49.0</v>
      </c>
      <c r="G1319" s="9">
        <v>1389.35</v>
      </c>
      <c r="H1319" s="9">
        <v>12881.23</v>
      </c>
      <c r="I1319" s="6" t="s">
        <v>161</v>
      </c>
      <c r="J1319" s="6" t="s">
        <v>465</v>
      </c>
      <c r="K1319" s="6" t="s">
        <v>259</v>
      </c>
      <c r="L1319" s="6">
        <v>6.1628881499E10</v>
      </c>
      <c r="M1319" s="6" t="s">
        <v>9264</v>
      </c>
      <c r="N1319" s="6" t="s">
        <v>259</v>
      </c>
      <c r="O1319" s="6" t="s">
        <v>178</v>
      </c>
      <c r="P1319" s="10">
        <v>45990.0</v>
      </c>
    </row>
    <row r="1320" ht="22.5" customHeight="1">
      <c r="A1320" s="6" t="s">
        <v>9266</v>
      </c>
      <c r="B1320" s="6" t="s">
        <v>9267</v>
      </c>
      <c r="C1320" s="6" t="s">
        <v>9268</v>
      </c>
      <c r="D1320" s="6" t="s">
        <v>145</v>
      </c>
      <c r="E1320" s="6" t="s">
        <v>301</v>
      </c>
      <c r="F1320" s="8">
        <v>57.0</v>
      </c>
      <c r="G1320" s="9">
        <v>881.24</v>
      </c>
      <c r="H1320" s="9">
        <v>2431.37</v>
      </c>
      <c r="I1320" s="6" t="s">
        <v>161</v>
      </c>
      <c r="J1320" s="6" t="s">
        <v>479</v>
      </c>
      <c r="K1320" s="6" t="s">
        <v>9270</v>
      </c>
      <c r="L1320" s="6">
        <v>4.6950284367E10</v>
      </c>
      <c r="M1320" s="6" t="s">
        <v>9271</v>
      </c>
      <c r="N1320" s="6" t="s">
        <v>112</v>
      </c>
      <c r="O1320" s="6" t="s">
        <v>178</v>
      </c>
      <c r="P1320" s="10">
        <v>45959.0</v>
      </c>
    </row>
    <row r="1321" ht="22.5" customHeight="1">
      <c r="A1321" s="6" t="s">
        <v>9273</v>
      </c>
      <c r="B1321" s="6" t="s">
        <v>9274</v>
      </c>
      <c r="C1321" s="6" t="s">
        <v>9275</v>
      </c>
      <c r="D1321" s="6" t="s">
        <v>206</v>
      </c>
      <c r="E1321" s="6" t="s">
        <v>301</v>
      </c>
      <c r="F1321" s="8">
        <v>36.0</v>
      </c>
      <c r="G1321" s="9">
        <v>1617.61</v>
      </c>
      <c r="H1321" s="9">
        <v>12194.55</v>
      </c>
      <c r="I1321" s="6" t="s">
        <v>161</v>
      </c>
      <c r="J1321" s="6" t="s">
        <v>393</v>
      </c>
      <c r="K1321" s="6" t="s">
        <v>9277</v>
      </c>
      <c r="L1321" s="6">
        <v>3.8283985896E10</v>
      </c>
      <c r="M1321" s="6" t="s">
        <v>9278</v>
      </c>
      <c r="N1321" s="6" t="s">
        <v>112</v>
      </c>
      <c r="O1321" s="6" t="s">
        <v>178</v>
      </c>
      <c r="P1321" s="10">
        <v>45983.0</v>
      </c>
    </row>
    <row r="1322" ht="22.5" customHeight="1">
      <c r="A1322" s="6" t="s">
        <v>9280</v>
      </c>
      <c r="B1322" s="6" t="s">
        <v>9281</v>
      </c>
      <c r="C1322" s="6" t="s">
        <v>9282</v>
      </c>
      <c r="D1322" s="6" t="s">
        <v>206</v>
      </c>
      <c r="E1322" s="6" t="s">
        <v>147</v>
      </c>
      <c r="F1322" s="8">
        <v>24.0</v>
      </c>
      <c r="G1322" s="9">
        <v>891.79</v>
      </c>
      <c r="H1322" s="9">
        <v>5643.15</v>
      </c>
      <c r="I1322" s="6" t="s">
        <v>161</v>
      </c>
      <c r="J1322" s="6" t="s">
        <v>163</v>
      </c>
      <c r="K1322" s="6" t="s">
        <v>9283</v>
      </c>
      <c r="L1322" s="6">
        <v>9.7788582254E10</v>
      </c>
      <c r="M1322" s="6" t="s">
        <v>9284</v>
      </c>
      <c r="N1322" s="6" t="s">
        <v>259</v>
      </c>
      <c r="O1322" s="6" t="s">
        <v>178</v>
      </c>
      <c r="P1322" s="10">
        <v>46027.0</v>
      </c>
    </row>
    <row r="1323" ht="22.5" customHeight="1">
      <c r="A1323" s="6" t="s">
        <v>9286</v>
      </c>
      <c r="B1323" s="6" t="s">
        <v>9287</v>
      </c>
      <c r="C1323" s="6" t="s">
        <v>9288</v>
      </c>
      <c r="D1323" s="6" t="s">
        <v>145</v>
      </c>
      <c r="E1323" s="6" t="s">
        <v>147</v>
      </c>
      <c r="F1323" s="8">
        <v>15.0</v>
      </c>
      <c r="G1323" s="9">
        <v>1706.3</v>
      </c>
      <c r="H1323" s="9">
        <v>9581.17</v>
      </c>
      <c r="I1323" s="6" t="s">
        <v>161</v>
      </c>
      <c r="J1323" s="6" t="s">
        <v>312</v>
      </c>
      <c r="K1323" s="6" t="s">
        <v>9289</v>
      </c>
      <c r="L1323" s="6">
        <v>1.2660821361E10</v>
      </c>
      <c r="M1323" s="6" t="s">
        <v>9290</v>
      </c>
      <c r="N1323" s="6" t="s">
        <v>176</v>
      </c>
      <c r="O1323" s="6" t="s">
        <v>178</v>
      </c>
      <c r="P1323" s="10">
        <v>45938.0</v>
      </c>
    </row>
    <row r="1324" ht="22.5" customHeight="1">
      <c r="A1324" s="6" t="s">
        <v>9292</v>
      </c>
      <c r="B1324" s="6" t="s">
        <v>9293</v>
      </c>
      <c r="C1324" s="6" t="s">
        <v>9294</v>
      </c>
      <c r="D1324" s="6" t="s">
        <v>206</v>
      </c>
      <c r="E1324" s="6" t="s">
        <v>147</v>
      </c>
      <c r="F1324" s="8">
        <v>6.0</v>
      </c>
      <c r="G1324" s="9">
        <v>1154.26</v>
      </c>
      <c r="H1324" s="9">
        <v>14959.52</v>
      </c>
      <c r="I1324" s="6" t="s">
        <v>161</v>
      </c>
      <c r="J1324" s="6" t="s">
        <v>393</v>
      </c>
      <c r="K1324" s="6" t="s">
        <v>9295</v>
      </c>
      <c r="L1324" s="6">
        <v>6.659025645E10</v>
      </c>
      <c r="M1324" s="6" t="s">
        <v>9297</v>
      </c>
      <c r="N1324" s="6" t="s">
        <v>259</v>
      </c>
      <c r="O1324" s="6" t="s">
        <v>178</v>
      </c>
      <c r="P1324" s="10">
        <v>46002.0</v>
      </c>
    </row>
    <row r="1325" ht="22.5" customHeight="1">
      <c r="A1325" s="6" t="s">
        <v>9298</v>
      </c>
      <c r="B1325" s="6" t="s">
        <v>9299</v>
      </c>
      <c r="C1325" s="6" t="s">
        <v>9300</v>
      </c>
      <c r="D1325" s="6" t="s">
        <v>145</v>
      </c>
      <c r="E1325" s="6" t="s">
        <v>301</v>
      </c>
      <c r="F1325" s="8">
        <v>44.0</v>
      </c>
      <c r="G1325" s="9">
        <v>1769.46</v>
      </c>
      <c r="H1325" s="9">
        <v>13833.65</v>
      </c>
      <c r="I1325" s="6" t="s">
        <v>178</v>
      </c>
      <c r="J1325" s="6" t="s">
        <v>442</v>
      </c>
      <c r="K1325" s="6" t="s">
        <v>9302</v>
      </c>
      <c r="L1325" s="6">
        <v>6.1680923497E10</v>
      </c>
      <c r="M1325" s="6" t="s">
        <v>9303</v>
      </c>
      <c r="N1325" s="6" t="s">
        <v>176</v>
      </c>
      <c r="O1325" s="6" t="s">
        <v>161</v>
      </c>
      <c r="P1325" s="10">
        <v>45968.0</v>
      </c>
    </row>
    <row r="1326" ht="22.5" customHeight="1">
      <c r="A1326" s="6" t="s">
        <v>9304</v>
      </c>
      <c r="B1326" s="6" t="s">
        <v>9305</v>
      </c>
      <c r="C1326" s="6" t="s">
        <v>9307</v>
      </c>
      <c r="D1326" s="6" t="s">
        <v>383</v>
      </c>
      <c r="E1326" s="6" t="s">
        <v>210</v>
      </c>
      <c r="F1326" s="8">
        <v>72.0</v>
      </c>
      <c r="G1326" s="9">
        <v>615.47</v>
      </c>
      <c r="H1326" s="9">
        <v>13352.68</v>
      </c>
      <c r="I1326" s="6" t="s">
        <v>161</v>
      </c>
      <c r="J1326" s="6" t="s">
        <v>393</v>
      </c>
      <c r="K1326" s="6" t="s">
        <v>9308</v>
      </c>
      <c r="L1326" s="6">
        <v>7.4176129684E10</v>
      </c>
      <c r="M1326" s="6" t="s">
        <v>9309</v>
      </c>
      <c r="N1326" s="6" t="s">
        <v>259</v>
      </c>
      <c r="O1326" s="6" t="s">
        <v>161</v>
      </c>
      <c r="P1326" s="10">
        <v>45976.0</v>
      </c>
    </row>
    <row r="1327" ht="22.5" customHeight="1">
      <c r="A1327" s="6" t="s">
        <v>9311</v>
      </c>
      <c r="B1327" s="6" t="s">
        <v>9312</v>
      </c>
      <c r="C1327" s="6" t="s">
        <v>9313</v>
      </c>
      <c r="D1327" s="6" t="s">
        <v>383</v>
      </c>
      <c r="E1327" s="6" t="s">
        <v>147</v>
      </c>
      <c r="F1327" s="8">
        <v>9.0</v>
      </c>
      <c r="G1327" s="9">
        <v>435.41</v>
      </c>
      <c r="H1327" s="9">
        <v>5399.87</v>
      </c>
      <c r="I1327" s="6" t="s">
        <v>161</v>
      </c>
      <c r="J1327" s="6" t="s">
        <v>228</v>
      </c>
      <c r="K1327" s="6" t="s">
        <v>9315</v>
      </c>
      <c r="L1327" s="6">
        <v>7.3511462667E10</v>
      </c>
      <c r="M1327" s="6" t="s">
        <v>9316</v>
      </c>
      <c r="N1327" s="6" t="s">
        <v>112</v>
      </c>
      <c r="O1327" s="6" t="s">
        <v>178</v>
      </c>
      <c r="P1327" s="10">
        <v>45966.0</v>
      </c>
    </row>
    <row r="1328" ht="22.5" customHeight="1">
      <c r="A1328" s="6" t="s">
        <v>9317</v>
      </c>
      <c r="B1328" s="6" t="s">
        <v>9318</v>
      </c>
      <c r="C1328" s="6" t="s">
        <v>9319</v>
      </c>
      <c r="D1328" s="6" t="s">
        <v>145</v>
      </c>
      <c r="E1328" s="6" t="s">
        <v>210</v>
      </c>
      <c r="F1328" s="8">
        <v>85.0</v>
      </c>
      <c r="G1328" s="9">
        <v>1742.19</v>
      </c>
      <c r="H1328" s="9">
        <v>9463.81</v>
      </c>
      <c r="I1328" s="6" t="s">
        <v>161</v>
      </c>
      <c r="J1328" s="6" t="s">
        <v>357</v>
      </c>
      <c r="K1328" s="6" t="s">
        <v>9321</v>
      </c>
      <c r="L1328" s="6">
        <v>6.0923850713E10</v>
      </c>
      <c r="M1328" s="6" t="s">
        <v>9322</v>
      </c>
      <c r="N1328" s="6" t="s">
        <v>259</v>
      </c>
      <c r="O1328" s="6" t="s">
        <v>161</v>
      </c>
      <c r="P1328" s="10">
        <v>46036.0</v>
      </c>
    </row>
    <row r="1329" ht="22.5" customHeight="1">
      <c r="A1329" s="6" t="s">
        <v>9324</v>
      </c>
      <c r="B1329" s="6" t="s">
        <v>9325</v>
      </c>
      <c r="C1329" s="6" t="s">
        <v>9326</v>
      </c>
      <c r="D1329" s="6" t="s">
        <v>206</v>
      </c>
      <c r="E1329" s="6" t="s">
        <v>210</v>
      </c>
      <c r="F1329" s="8">
        <v>112.0</v>
      </c>
      <c r="G1329" s="9">
        <v>655.7</v>
      </c>
      <c r="H1329" s="9">
        <v>1836.83</v>
      </c>
      <c r="I1329" s="6" t="s">
        <v>178</v>
      </c>
      <c r="J1329" s="6" t="s">
        <v>442</v>
      </c>
      <c r="K1329" s="6" t="s">
        <v>9328</v>
      </c>
      <c r="L1329" s="6">
        <v>3.249925961E10</v>
      </c>
      <c r="M1329" s="6" t="s">
        <v>9329</v>
      </c>
      <c r="N1329" s="6" t="s">
        <v>259</v>
      </c>
      <c r="O1329" s="6" t="s">
        <v>161</v>
      </c>
      <c r="P1329" s="10">
        <v>46035.0</v>
      </c>
    </row>
    <row r="1330" ht="22.5" customHeight="1">
      <c r="A1330" s="6" t="s">
        <v>9330</v>
      </c>
      <c r="B1330" s="6" t="s">
        <v>9331</v>
      </c>
      <c r="C1330" s="6" t="s">
        <v>9332</v>
      </c>
      <c r="D1330" s="6" t="s">
        <v>145</v>
      </c>
      <c r="E1330" s="6" t="s">
        <v>301</v>
      </c>
      <c r="F1330" s="8">
        <v>46.0</v>
      </c>
      <c r="G1330" s="9">
        <v>1553.96</v>
      </c>
      <c r="H1330" s="9">
        <v>13984.35</v>
      </c>
      <c r="I1330" s="6" t="s">
        <v>161</v>
      </c>
      <c r="J1330" s="6" t="s">
        <v>393</v>
      </c>
      <c r="K1330" s="6" t="s">
        <v>9334</v>
      </c>
      <c r="L1330" s="6">
        <v>6.9251240369E10</v>
      </c>
      <c r="M1330" s="6" t="s">
        <v>9335</v>
      </c>
      <c r="N1330" s="6" t="s">
        <v>427</v>
      </c>
      <c r="O1330" s="6" t="s">
        <v>178</v>
      </c>
      <c r="P1330" s="10">
        <v>46022.0</v>
      </c>
    </row>
    <row r="1331" ht="22.5" customHeight="1">
      <c r="A1331" s="6" t="s">
        <v>9336</v>
      </c>
      <c r="B1331" s="6" t="s">
        <v>9337</v>
      </c>
      <c r="C1331" s="6" t="s">
        <v>9339</v>
      </c>
      <c r="D1331" s="6" t="s">
        <v>206</v>
      </c>
      <c r="E1331" s="6" t="s">
        <v>147</v>
      </c>
      <c r="F1331" s="8">
        <v>8.0</v>
      </c>
      <c r="G1331" s="9">
        <v>320.72</v>
      </c>
      <c r="H1331" s="9">
        <v>6703.38</v>
      </c>
      <c r="I1331" s="6" t="s">
        <v>161</v>
      </c>
      <c r="J1331" s="6" t="s">
        <v>479</v>
      </c>
      <c r="K1331" s="6" t="s">
        <v>9340</v>
      </c>
      <c r="L1331" s="6">
        <v>8.5847520937E10</v>
      </c>
      <c r="M1331" s="6" t="s">
        <v>9341</v>
      </c>
      <c r="N1331" s="6" t="s">
        <v>259</v>
      </c>
      <c r="O1331" s="6" t="s">
        <v>178</v>
      </c>
      <c r="P1331" s="10">
        <v>45999.0</v>
      </c>
    </row>
    <row r="1332" ht="22.5" customHeight="1">
      <c r="A1332" s="6" t="s">
        <v>9343</v>
      </c>
      <c r="B1332" s="6" t="s">
        <v>9344</v>
      </c>
      <c r="C1332" s="6" t="s">
        <v>9345</v>
      </c>
      <c r="D1332" s="6" t="s">
        <v>206</v>
      </c>
      <c r="E1332" s="6" t="s">
        <v>301</v>
      </c>
      <c r="F1332" s="8">
        <v>55.0</v>
      </c>
      <c r="G1332" s="9">
        <v>271.05</v>
      </c>
      <c r="H1332" s="9">
        <v>7136.38</v>
      </c>
      <c r="I1332" s="6" t="s">
        <v>161</v>
      </c>
      <c r="J1332" s="6" t="s">
        <v>163</v>
      </c>
      <c r="K1332" s="6" t="s">
        <v>9347</v>
      </c>
      <c r="L1332" s="6">
        <v>8.3053848818E10</v>
      </c>
      <c r="M1332" s="6" t="s">
        <v>9349</v>
      </c>
      <c r="N1332" s="6" t="s">
        <v>176</v>
      </c>
      <c r="O1332" s="6" t="s">
        <v>178</v>
      </c>
      <c r="P1332" s="10">
        <v>46020.0</v>
      </c>
    </row>
    <row r="1333" ht="22.5" customHeight="1">
      <c r="A1333" s="6" t="s">
        <v>9351</v>
      </c>
      <c r="B1333" s="6" t="s">
        <v>9352</v>
      </c>
      <c r="C1333" s="6" t="s">
        <v>9353</v>
      </c>
      <c r="D1333" s="6" t="s">
        <v>145</v>
      </c>
      <c r="E1333" s="6" t="s">
        <v>147</v>
      </c>
      <c r="F1333" s="8">
        <v>24.0</v>
      </c>
      <c r="G1333" s="9">
        <v>363.73</v>
      </c>
      <c r="H1333" s="9">
        <v>10562.26</v>
      </c>
      <c r="I1333" s="6" t="s">
        <v>161</v>
      </c>
      <c r="J1333" s="6" t="s">
        <v>465</v>
      </c>
      <c r="K1333" s="6" t="s">
        <v>9355</v>
      </c>
      <c r="L1333" s="6">
        <v>4.7941841711E10</v>
      </c>
      <c r="M1333" s="6" t="s">
        <v>9357</v>
      </c>
      <c r="N1333" s="6" t="s">
        <v>259</v>
      </c>
      <c r="O1333" s="6" t="s">
        <v>178</v>
      </c>
      <c r="P1333" s="10">
        <v>46047.0</v>
      </c>
    </row>
    <row r="1334" ht="22.5" customHeight="1">
      <c r="A1334" s="6" t="s">
        <v>9358</v>
      </c>
      <c r="B1334" s="6" t="s">
        <v>9359</v>
      </c>
      <c r="C1334" s="6" t="s">
        <v>9360</v>
      </c>
      <c r="D1334" s="6" t="s">
        <v>383</v>
      </c>
      <c r="E1334" s="6" t="s">
        <v>147</v>
      </c>
      <c r="F1334" s="8">
        <v>12.0</v>
      </c>
      <c r="G1334" s="9">
        <v>1009.35</v>
      </c>
      <c r="H1334" s="9">
        <v>4056.25</v>
      </c>
      <c r="I1334" s="6" t="s">
        <v>161</v>
      </c>
      <c r="J1334" s="6" t="s">
        <v>259</v>
      </c>
      <c r="K1334" s="6" t="s">
        <v>9362</v>
      </c>
      <c r="L1334" s="6">
        <v>3.8536548799E10</v>
      </c>
      <c r="M1334" s="6" t="s">
        <v>9363</v>
      </c>
      <c r="N1334" s="6" t="s">
        <v>283</v>
      </c>
      <c r="O1334" s="6" t="s">
        <v>178</v>
      </c>
      <c r="P1334" s="10">
        <v>45955.0</v>
      </c>
    </row>
    <row r="1335" ht="22.5" customHeight="1">
      <c r="A1335" s="6" t="s">
        <v>9364</v>
      </c>
      <c r="B1335" s="6" t="s">
        <v>9365</v>
      </c>
      <c r="C1335" s="6" t="s">
        <v>9366</v>
      </c>
      <c r="D1335" s="6" t="s">
        <v>383</v>
      </c>
      <c r="E1335" s="6" t="s">
        <v>147</v>
      </c>
      <c r="F1335" s="8">
        <v>8.0</v>
      </c>
      <c r="G1335" s="9">
        <v>136.48</v>
      </c>
      <c r="H1335" s="9">
        <v>3629.55</v>
      </c>
      <c r="I1335" s="6" t="s">
        <v>161</v>
      </c>
      <c r="J1335" s="6" t="s">
        <v>442</v>
      </c>
      <c r="K1335" s="6" t="s">
        <v>9368</v>
      </c>
      <c r="L1335" s="6">
        <v>8.1649099243E10</v>
      </c>
      <c r="M1335" s="6" t="s">
        <v>9369</v>
      </c>
      <c r="N1335" s="6" t="s">
        <v>427</v>
      </c>
      <c r="O1335" s="6" t="s">
        <v>178</v>
      </c>
      <c r="P1335" s="10">
        <v>46021.0</v>
      </c>
    </row>
    <row r="1336" ht="22.5" customHeight="1">
      <c r="A1336" s="6" t="s">
        <v>9370</v>
      </c>
      <c r="B1336" s="6" t="s">
        <v>9371</v>
      </c>
      <c r="C1336" s="6" t="s">
        <v>9372</v>
      </c>
      <c r="D1336" s="6" t="s">
        <v>145</v>
      </c>
      <c r="E1336" s="6" t="s">
        <v>147</v>
      </c>
      <c r="F1336" s="8">
        <v>17.0</v>
      </c>
      <c r="G1336" s="9">
        <v>1312.01</v>
      </c>
      <c r="H1336" s="9">
        <v>15090.72</v>
      </c>
      <c r="I1336" s="6" t="s">
        <v>161</v>
      </c>
      <c r="J1336" s="6" t="s">
        <v>393</v>
      </c>
      <c r="K1336" s="6" t="s">
        <v>9374</v>
      </c>
      <c r="L1336" s="6" t="s">
        <v>259</v>
      </c>
      <c r="M1336" s="6" t="s">
        <v>9375</v>
      </c>
      <c r="N1336" s="6" t="s">
        <v>283</v>
      </c>
      <c r="O1336" s="6" t="s">
        <v>178</v>
      </c>
      <c r="P1336" s="10">
        <v>46007.0</v>
      </c>
    </row>
    <row r="1337" ht="22.5" customHeight="1">
      <c r="A1337" s="6" t="s">
        <v>9376</v>
      </c>
      <c r="B1337" s="6" t="s">
        <v>9378</v>
      </c>
      <c r="C1337" s="6" t="s">
        <v>9379</v>
      </c>
      <c r="D1337" s="6" t="s">
        <v>383</v>
      </c>
      <c r="E1337" s="6" t="s">
        <v>147</v>
      </c>
      <c r="F1337" s="8">
        <v>19.0</v>
      </c>
      <c r="G1337" s="9">
        <v>1076.12</v>
      </c>
      <c r="H1337" s="9">
        <v>13589.21</v>
      </c>
      <c r="I1337" s="6" t="s">
        <v>178</v>
      </c>
      <c r="J1337" s="6" t="s">
        <v>442</v>
      </c>
      <c r="K1337" s="6" t="s">
        <v>9380</v>
      </c>
      <c r="L1337" s="6">
        <v>4.3196349955E10</v>
      </c>
      <c r="M1337" s="6" t="s">
        <v>9381</v>
      </c>
      <c r="N1337" s="6" t="s">
        <v>176</v>
      </c>
      <c r="O1337" s="6" t="s">
        <v>161</v>
      </c>
      <c r="P1337" s="10">
        <v>46013.0</v>
      </c>
    </row>
    <row r="1338" ht="22.5" customHeight="1">
      <c r="A1338" s="6" t="s">
        <v>9383</v>
      </c>
      <c r="B1338" s="6" t="s">
        <v>9384</v>
      </c>
      <c r="C1338" s="6" t="s">
        <v>9385</v>
      </c>
      <c r="D1338" s="6" t="s">
        <v>206</v>
      </c>
      <c r="E1338" s="6" t="s">
        <v>301</v>
      </c>
      <c r="F1338" s="8">
        <v>38.0</v>
      </c>
      <c r="G1338" s="9">
        <v>989.56</v>
      </c>
      <c r="H1338" s="9">
        <v>3241.75</v>
      </c>
      <c r="I1338" s="6" t="s">
        <v>161</v>
      </c>
      <c r="J1338" s="6" t="s">
        <v>393</v>
      </c>
      <c r="K1338" s="6" t="s">
        <v>9386</v>
      </c>
      <c r="L1338" s="6">
        <v>9.8135930067E10</v>
      </c>
      <c r="M1338" s="6" t="s">
        <v>9388</v>
      </c>
      <c r="N1338" s="6" t="s">
        <v>176</v>
      </c>
      <c r="O1338" s="6" t="s">
        <v>178</v>
      </c>
      <c r="P1338" s="10">
        <v>46037.0</v>
      </c>
    </row>
    <row r="1339" ht="22.5" customHeight="1">
      <c r="A1339" s="6" t="s">
        <v>9389</v>
      </c>
      <c r="B1339" s="6" t="s">
        <v>9390</v>
      </c>
      <c r="C1339" s="6" t="s">
        <v>9392</v>
      </c>
      <c r="D1339" s="6" t="s">
        <v>206</v>
      </c>
      <c r="E1339" s="6" t="s">
        <v>147</v>
      </c>
      <c r="F1339" s="8">
        <v>27.0</v>
      </c>
      <c r="G1339" s="9">
        <v>1204.37</v>
      </c>
      <c r="H1339" s="9">
        <v>14360.2</v>
      </c>
      <c r="I1339" s="6" t="s">
        <v>161</v>
      </c>
      <c r="J1339" s="6" t="s">
        <v>357</v>
      </c>
      <c r="K1339" s="6" t="s">
        <v>9393</v>
      </c>
      <c r="L1339" s="6">
        <v>7.8943839806E10</v>
      </c>
      <c r="M1339" s="6" t="s">
        <v>9394</v>
      </c>
      <c r="N1339" s="6" t="s">
        <v>259</v>
      </c>
      <c r="O1339" s="6" t="s">
        <v>178</v>
      </c>
      <c r="P1339" s="10">
        <v>46047.0</v>
      </c>
    </row>
    <row r="1340" ht="22.5" customHeight="1">
      <c r="A1340" s="6" t="s">
        <v>9396</v>
      </c>
      <c r="B1340" s="6" t="s">
        <v>9397</v>
      </c>
      <c r="C1340" s="6" t="s">
        <v>9398</v>
      </c>
      <c r="D1340" s="6" t="s">
        <v>145</v>
      </c>
      <c r="E1340" s="6" t="s">
        <v>210</v>
      </c>
      <c r="F1340" s="8">
        <v>98.0</v>
      </c>
      <c r="G1340" s="9">
        <v>1499.94</v>
      </c>
      <c r="H1340" s="9">
        <v>13151.23</v>
      </c>
      <c r="I1340" s="6" t="s">
        <v>178</v>
      </c>
      <c r="J1340" s="6" t="s">
        <v>577</v>
      </c>
      <c r="K1340" s="6" t="s">
        <v>9400</v>
      </c>
      <c r="L1340" s="6">
        <v>3.8053470915E10</v>
      </c>
      <c r="M1340" s="6" t="s">
        <v>9401</v>
      </c>
      <c r="N1340" s="6" t="s">
        <v>259</v>
      </c>
      <c r="O1340" s="6" t="s">
        <v>161</v>
      </c>
      <c r="P1340" s="10">
        <v>45944.0</v>
      </c>
    </row>
    <row r="1341" ht="22.5" customHeight="1">
      <c r="A1341" s="6" t="s">
        <v>9402</v>
      </c>
      <c r="B1341" s="6" t="s">
        <v>9403</v>
      </c>
      <c r="C1341" s="6" t="s">
        <v>9404</v>
      </c>
      <c r="D1341" s="6" t="s">
        <v>145</v>
      </c>
      <c r="E1341" s="6" t="s">
        <v>301</v>
      </c>
      <c r="F1341" s="8">
        <v>55.0</v>
      </c>
      <c r="G1341" s="9">
        <v>1131.11</v>
      </c>
      <c r="H1341" s="9">
        <v>10832.23</v>
      </c>
      <c r="I1341" s="6" t="s">
        <v>161</v>
      </c>
      <c r="J1341" s="6" t="s">
        <v>312</v>
      </c>
      <c r="K1341" s="6" t="s">
        <v>9405</v>
      </c>
      <c r="L1341" s="6">
        <v>7.9443081926E10</v>
      </c>
      <c r="M1341" s="6" t="s">
        <v>9406</v>
      </c>
      <c r="N1341" s="6" t="s">
        <v>176</v>
      </c>
      <c r="O1341" s="6" t="s">
        <v>178</v>
      </c>
      <c r="P1341" s="10">
        <v>46030.0</v>
      </c>
    </row>
    <row r="1342" ht="22.5" customHeight="1">
      <c r="A1342" s="6" t="s">
        <v>9408</v>
      </c>
      <c r="B1342" s="6" t="s">
        <v>9409</v>
      </c>
      <c r="C1342" s="6" t="s">
        <v>9410</v>
      </c>
      <c r="D1342" s="6" t="s">
        <v>383</v>
      </c>
      <c r="E1342" s="6" t="s">
        <v>147</v>
      </c>
      <c r="F1342" s="8">
        <v>26.0</v>
      </c>
      <c r="G1342" s="9">
        <v>418.88</v>
      </c>
      <c r="H1342" s="9">
        <v>6733.25</v>
      </c>
      <c r="I1342" s="6" t="s">
        <v>161</v>
      </c>
      <c r="J1342" s="6" t="s">
        <v>421</v>
      </c>
      <c r="K1342" s="6" t="s">
        <v>9413</v>
      </c>
      <c r="L1342" s="6">
        <v>5.4100539732E10</v>
      </c>
      <c r="M1342" s="6" t="s">
        <v>9414</v>
      </c>
      <c r="N1342" s="6" t="s">
        <v>112</v>
      </c>
      <c r="O1342" s="6" t="s">
        <v>178</v>
      </c>
      <c r="P1342" s="10">
        <v>45967.0</v>
      </c>
    </row>
    <row r="1343" ht="22.5" customHeight="1">
      <c r="A1343" s="6" t="s">
        <v>9415</v>
      </c>
      <c r="B1343" s="6" t="s">
        <v>9417</v>
      </c>
      <c r="C1343" s="6" t="s">
        <v>9418</v>
      </c>
      <c r="D1343" s="6" t="s">
        <v>383</v>
      </c>
      <c r="E1343" s="6" t="s">
        <v>147</v>
      </c>
      <c r="F1343" s="8">
        <v>24.0</v>
      </c>
      <c r="G1343" s="9">
        <v>1073.71</v>
      </c>
      <c r="H1343" s="9">
        <v>9003.86</v>
      </c>
      <c r="I1343" s="6" t="s">
        <v>161</v>
      </c>
      <c r="J1343" s="6" t="s">
        <v>595</v>
      </c>
      <c r="K1343" s="6" t="s">
        <v>9420</v>
      </c>
      <c r="L1343" s="6">
        <v>2.6348096267E10</v>
      </c>
      <c r="M1343" s="6" t="s">
        <v>9421</v>
      </c>
      <c r="N1343" s="6" t="s">
        <v>427</v>
      </c>
      <c r="O1343" s="6" t="s">
        <v>178</v>
      </c>
      <c r="P1343" s="10">
        <v>45954.0</v>
      </c>
    </row>
    <row r="1344" ht="22.5" customHeight="1">
      <c r="A1344" s="6" t="s">
        <v>9422</v>
      </c>
      <c r="B1344" s="6" t="s">
        <v>9424</v>
      </c>
      <c r="C1344" s="6" t="s">
        <v>9425</v>
      </c>
      <c r="D1344" s="6" t="s">
        <v>206</v>
      </c>
      <c r="E1344" s="6" t="s">
        <v>147</v>
      </c>
      <c r="F1344" s="8">
        <v>13.0</v>
      </c>
      <c r="G1344" s="9">
        <v>1109.53</v>
      </c>
      <c r="H1344" s="9">
        <v>11093.95</v>
      </c>
      <c r="I1344" s="6" t="s">
        <v>161</v>
      </c>
      <c r="J1344" s="6" t="s">
        <v>357</v>
      </c>
      <c r="K1344" s="6" t="s">
        <v>9427</v>
      </c>
      <c r="L1344" s="6">
        <v>6.8169571324E10</v>
      </c>
      <c r="M1344" s="6" t="s">
        <v>9428</v>
      </c>
      <c r="N1344" s="6" t="s">
        <v>176</v>
      </c>
      <c r="O1344" s="6" t="s">
        <v>178</v>
      </c>
      <c r="P1344" s="10">
        <v>46051.0</v>
      </c>
    </row>
    <row r="1345" ht="22.5" customHeight="1">
      <c r="A1345" s="6" t="s">
        <v>9429</v>
      </c>
      <c r="B1345" s="6" t="s">
        <v>9431</v>
      </c>
      <c r="C1345" s="6" t="s">
        <v>9432</v>
      </c>
      <c r="D1345" s="6" t="s">
        <v>383</v>
      </c>
      <c r="E1345" s="6" t="s">
        <v>147</v>
      </c>
      <c r="F1345" s="8">
        <v>28.0</v>
      </c>
      <c r="G1345" s="9">
        <v>1747.66</v>
      </c>
      <c r="H1345" s="9">
        <v>2616.55</v>
      </c>
      <c r="I1345" s="6" t="s">
        <v>161</v>
      </c>
      <c r="J1345" s="6" t="s">
        <v>577</v>
      </c>
      <c r="K1345" s="6" t="s">
        <v>9433</v>
      </c>
      <c r="L1345" s="6">
        <v>6.37242359E8</v>
      </c>
      <c r="M1345" s="6" t="s">
        <v>9435</v>
      </c>
      <c r="N1345" s="6" t="s">
        <v>259</v>
      </c>
      <c r="O1345" s="6" t="s">
        <v>178</v>
      </c>
      <c r="P1345" s="10">
        <v>46020.0</v>
      </c>
    </row>
    <row r="1346" ht="22.5" customHeight="1">
      <c r="A1346" s="6" t="s">
        <v>9436</v>
      </c>
      <c r="B1346" s="6" t="s">
        <v>9437</v>
      </c>
      <c r="C1346" s="6" t="s">
        <v>9439</v>
      </c>
      <c r="D1346" s="6" t="s">
        <v>206</v>
      </c>
      <c r="E1346" s="6" t="s">
        <v>147</v>
      </c>
      <c r="F1346" s="8">
        <v>24.0</v>
      </c>
      <c r="G1346" s="9">
        <v>1285.44</v>
      </c>
      <c r="H1346" s="9">
        <v>3726.54</v>
      </c>
      <c r="I1346" s="6" t="s">
        <v>161</v>
      </c>
      <c r="J1346" s="6" t="s">
        <v>312</v>
      </c>
      <c r="K1346" s="6" t="s">
        <v>9441</v>
      </c>
      <c r="L1346" s="6">
        <v>6.7676062473E10</v>
      </c>
      <c r="M1346" s="6" t="s">
        <v>9442</v>
      </c>
      <c r="N1346" s="6" t="s">
        <v>176</v>
      </c>
      <c r="O1346" s="6" t="s">
        <v>178</v>
      </c>
      <c r="P1346" s="10">
        <v>45971.0</v>
      </c>
    </row>
    <row r="1347" ht="22.5" customHeight="1">
      <c r="A1347" s="6" t="s">
        <v>9444</v>
      </c>
      <c r="B1347" s="6" t="s">
        <v>9445</v>
      </c>
      <c r="C1347" s="6" t="s">
        <v>9447</v>
      </c>
      <c r="D1347" s="6" t="s">
        <v>206</v>
      </c>
      <c r="E1347" s="6" t="s">
        <v>147</v>
      </c>
      <c r="F1347" s="8">
        <v>22.0</v>
      </c>
      <c r="G1347" s="9">
        <v>126.25</v>
      </c>
      <c r="H1347" s="9">
        <v>8779.32</v>
      </c>
      <c r="I1347" s="6" t="s">
        <v>161</v>
      </c>
      <c r="J1347" s="6" t="s">
        <v>312</v>
      </c>
      <c r="K1347" s="6" t="s">
        <v>9449</v>
      </c>
      <c r="L1347" s="6">
        <v>8.0065123455E10</v>
      </c>
      <c r="M1347" s="6" t="s">
        <v>9450</v>
      </c>
      <c r="N1347" s="6" t="s">
        <v>283</v>
      </c>
      <c r="O1347" s="6" t="s">
        <v>178</v>
      </c>
      <c r="P1347" s="10">
        <v>46042.0</v>
      </c>
    </row>
    <row r="1348" ht="22.5" customHeight="1">
      <c r="A1348" s="6" t="s">
        <v>9451</v>
      </c>
      <c r="B1348" s="6" t="s">
        <v>9453</v>
      </c>
      <c r="C1348" s="6" t="s">
        <v>9454</v>
      </c>
      <c r="D1348" s="6" t="s">
        <v>145</v>
      </c>
      <c r="E1348" s="6" t="s">
        <v>147</v>
      </c>
      <c r="F1348" s="8">
        <v>27.0</v>
      </c>
      <c r="G1348" s="9">
        <v>783.29</v>
      </c>
      <c r="H1348" s="9">
        <v>4069.15</v>
      </c>
      <c r="I1348" s="6" t="s">
        <v>161</v>
      </c>
      <c r="J1348" s="6" t="s">
        <v>442</v>
      </c>
      <c r="K1348" s="6" t="s">
        <v>9455</v>
      </c>
      <c r="L1348" s="6">
        <v>4.2595777291E10</v>
      </c>
      <c r="M1348" s="6" t="s">
        <v>9457</v>
      </c>
      <c r="N1348" s="6" t="s">
        <v>259</v>
      </c>
      <c r="O1348" s="6" t="s">
        <v>178</v>
      </c>
      <c r="P1348" s="10">
        <v>45971.0</v>
      </c>
    </row>
    <row r="1349" ht="22.5" customHeight="1">
      <c r="A1349" s="6" t="s">
        <v>9458</v>
      </c>
      <c r="B1349" s="6" t="s">
        <v>9459</v>
      </c>
      <c r="C1349" s="6" t="s">
        <v>9460</v>
      </c>
      <c r="D1349" s="6" t="s">
        <v>206</v>
      </c>
      <c r="E1349" s="6" t="s">
        <v>147</v>
      </c>
      <c r="F1349" s="8">
        <v>19.0</v>
      </c>
      <c r="G1349" s="9">
        <v>449.44</v>
      </c>
      <c r="H1349" s="9">
        <v>8985.33</v>
      </c>
      <c r="I1349" s="6" t="s">
        <v>161</v>
      </c>
      <c r="J1349" s="6" t="s">
        <v>465</v>
      </c>
      <c r="K1349" s="6" t="s">
        <v>9462</v>
      </c>
      <c r="L1349" s="6">
        <v>3.4704992379E10</v>
      </c>
      <c r="M1349" s="6" t="s">
        <v>9463</v>
      </c>
      <c r="N1349" s="6" t="s">
        <v>112</v>
      </c>
      <c r="O1349" s="6" t="s">
        <v>178</v>
      </c>
      <c r="P1349" s="10">
        <v>45953.0</v>
      </c>
    </row>
    <row r="1350" ht="22.5" customHeight="1">
      <c r="A1350" s="6" t="s">
        <v>9464</v>
      </c>
      <c r="B1350" s="6" t="s">
        <v>9466</v>
      </c>
      <c r="C1350" s="6" t="s">
        <v>9467</v>
      </c>
      <c r="D1350" s="6" t="s">
        <v>145</v>
      </c>
      <c r="E1350" s="6" t="s">
        <v>301</v>
      </c>
      <c r="F1350" s="8">
        <v>36.0</v>
      </c>
      <c r="G1350" s="9">
        <v>766.27</v>
      </c>
      <c r="H1350" s="9">
        <v>11588.24</v>
      </c>
      <c r="I1350" s="6" t="s">
        <v>161</v>
      </c>
      <c r="J1350" s="6" t="s">
        <v>393</v>
      </c>
      <c r="K1350" s="6" t="s">
        <v>9468</v>
      </c>
      <c r="L1350" s="6">
        <v>9.7916313289E10</v>
      </c>
      <c r="M1350" s="6" t="s">
        <v>9469</v>
      </c>
      <c r="N1350" s="6" t="s">
        <v>259</v>
      </c>
      <c r="O1350" s="6" t="s">
        <v>178</v>
      </c>
      <c r="P1350" s="10">
        <v>46001.0</v>
      </c>
    </row>
    <row r="1351" ht="22.5" customHeight="1">
      <c r="A1351" s="6" t="s">
        <v>9471</v>
      </c>
      <c r="B1351" s="6" t="s">
        <v>9472</v>
      </c>
      <c r="C1351" s="6" t="s">
        <v>9473</v>
      </c>
      <c r="D1351" s="6" t="s">
        <v>383</v>
      </c>
      <c r="E1351" s="6" t="s">
        <v>147</v>
      </c>
      <c r="F1351" s="8">
        <v>24.0</v>
      </c>
      <c r="G1351" s="9">
        <v>486.64</v>
      </c>
      <c r="H1351" s="9">
        <v>6391.0</v>
      </c>
      <c r="I1351" s="6" t="s">
        <v>161</v>
      </c>
      <c r="J1351" s="6" t="s">
        <v>577</v>
      </c>
      <c r="K1351" s="6" t="s">
        <v>9475</v>
      </c>
      <c r="L1351" s="6">
        <v>2.6027395672E10</v>
      </c>
      <c r="M1351" s="6" t="s">
        <v>9476</v>
      </c>
      <c r="N1351" s="6" t="s">
        <v>427</v>
      </c>
      <c r="O1351" s="6" t="s">
        <v>178</v>
      </c>
      <c r="P1351" s="10">
        <v>46041.0</v>
      </c>
    </row>
    <row r="1352" ht="22.5" customHeight="1">
      <c r="A1352" s="6" t="s">
        <v>9477</v>
      </c>
      <c r="B1352" s="6" t="s">
        <v>9478</v>
      </c>
      <c r="C1352" s="6" t="s">
        <v>9479</v>
      </c>
      <c r="D1352" s="6" t="s">
        <v>206</v>
      </c>
      <c r="E1352" s="6" t="s">
        <v>210</v>
      </c>
      <c r="F1352" s="8">
        <v>62.0</v>
      </c>
      <c r="G1352" s="9">
        <v>1426.36</v>
      </c>
      <c r="H1352" s="9">
        <v>12371.89</v>
      </c>
      <c r="I1352" s="6" t="s">
        <v>178</v>
      </c>
      <c r="J1352" s="6" t="s">
        <v>479</v>
      </c>
      <c r="K1352" s="6" t="s">
        <v>9481</v>
      </c>
      <c r="L1352" s="6">
        <v>2.524330618E9</v>
      </c>
      <c r="M1352" s="6" t="s">
        <v>9482</v>
      </c>
      <c r="N1352" s="6" t="s">
        <v>176</v>
      </c>
      <c r="O1352" s="6" t="s">
        <v>161</v>
      </c>
      <c r="P1352" s="10">
        <v>45983.0</v>
      </c>
    </row>
    <row r="1353" ht="22.5" customHeight="1">
      <c r="A1353" s="6" t="s">
        <v>9484</v>
      </c>
      <c r="B1353" s="6" t="s">
        <v>9485</v>
      </c>
      <c r="C1353" s="6" t="s">
        <v>9486</v>
      </c>
      <c r="D1353" s="6" t="s">
        <v>145</v>
      </c>
      <c r="E1353" s="6" t="s">
        <v>147</v>
      </c>
      <c r="F1353" s="8">
        <v>27.0</v>
      </c>
      <c r="G1353" s="9">
        <v>649.75</v>
      </c>
      <c r="H1353" s="9">
        <v>1129.04</v>
      </c>
      <c r="I1353" s="6" t="s">
        <v>161</v>
      </c>
      <c r="J1353" s="6" t="s">
        <v>393</v>
      </c>
      <c r="K1353" s="6" t="s">
        <v>9488</v>
      </c>
      <c r="L1353" s="6">
        <v>9.9899886405E10</v>
      </c>
      <c r="M1353" s="6" t="s">
        <v>9489</v>
      </c>
      <c r="N1353" s="6" t="s">
        <v>112</v>
      </c>
      <c r="O1353" s="6" t="s">
        <v>178</v>
      </c>
      <c r="P1353" s="10">
        <v>45956.0</v>
      </c>
    </row>
    <row r="1354" ht="22.5" customHeight="1">
      <c r="A1354" s="6" t="s">
        <v>9490</v>
      </c>
      <c r="B1354" s="6" t="s">
        <v>9491</v>
      </c>
      <c r="C1354" s="6" t="s">
        <v>9492</v>
      </c>
      <c r="D1354" s="6" t="s">
        <v>145</v>
      </c>
      <c r="E1354" s="6" t="s">
        <v>147</v>
      </c>
      <c r="F1354" s="8">
        <v>21.0</v>
      </c>
      <c r="G1354" s="9">
        <v>1794.39</v>
      </c>
      <c r="H1354" s="9">
        <v>5045.35</v>
      </c>
      <c r="I1354" s="6" t="s">
        <v>161</v>
      </c>
      <c r="J1354" s="6" t="s">
        <v>357</v>
      </c>
      <c r="K1354" s="6" t="s">
        <v>259</v>
      </c>
      <c r="L1354" s="6">
        <v>5.1249176343E10</v>
      </c>
      <c r="M1354" s="6" t="s">
        <v>9494</v>
      </c>
      <c r="N1354" s="6" t="s">
        <v>259</v>
      </c>
      <c r="O1354" s="6" t="s">
        <v>178</v>
      </c>
      <c r="P1354" s="10">
        <v>45942.0</v>
      </c>
    </row>
    <row r="1355" ht="22.5" customHeight="1">
      <c r="A1355" s="6" t="s">
        <v>9496</v>
      </c>
      <c r="B1355" s="6" t="s">
        <v>9497</v>
      </c>
      <c r="C1355" s="6" t="s">
        <v>9498</v>
      </c>
      <c r="D1355" s="6" t="s">
        <v>206</v>
      </c>
      <c r="E1355" s="6" t="s">
        <v>301</v>
      </c>
      <c r="F1355" s="8">
        <v>48.0</v>
      </c>
      <c r="G1355" s="9">
        <v>635.14</v>
      </c>
      <c r="H1355" s="9">
        <v>10433.28</v>
      </c>
      <c r="I1355" s="6" t="s">
        <v>161</v>
      </c>
      <c r="J1355" s="6" t="s">
        <v>577</v>
      </c>
      <c r="K1355" s="6" t="s">
        <v>259</v>
      </c>
      <c r="L1355" s="6">
        <v>7.1098490573E10</v>
      </c>
      <c r="M1355" s="6" t="s">
        <v>9500</v>
      </c>
      <c r="N1355" s="6" t="s">
        <v>112</v>
      </c>
      <c r="O1355" s="6" t="s">
        <v>178</v>
      </c>
      <c r="P1355" s="10">
        <v>46031.0</v>
      </c>
    </row>
    <row r="1356" ht="22.5" customHeight="1">
      <c r="A1356" s="6" t="s">
        <v>9501</v>
      </c>
      <c r="B1356" s="6" t="s">
        <v>9502</v>
      </c>
      <c r="C1356" s="6" t="s">
        <v>9503</v>
      </c>
      <c r="D1356" s="6" t="s">
        <v>145</v>
      </c>
      <c r="E1356" s="6" t="s">
        <v>147</v>
      </c>
      <c r="F1356" s="8">
        <v>10.0</v>
      </c>
      <c r="G1356" s="9">
        <v>647.59</v>
      </c>
      <c r="H1356" s="9">
        <v>4963.61</v>
      </c>
      <c r="I1356" s="6" t="s">
        <v>161</v>
      </c>
      <c r="J1356" s="6" t="s">
        <v>479</v>
      </c>
      <c r="K1356" s="6" t="s">
        <v>259</v>
      </c>
      <c r="L1356" s="6">
        <v>4.8097232388E10</v>
      </c>
      <c r="M1356" s="6" t="s">
        <v>9504</v>
      </c>
      <c r="N1356" s="6" t="s">
        <v>176</v>
      </c>
      <c r="O1356" s="6" t="s">
        <v>178</v>
      </c>
      <c r="P1356" s="10">
        <v>45994.0</v>
      </c>
    </row>
    <row r="1357" ht="22.5" customHeight="1">
      <c r="A1357" s="6" t="s">
        <v>9506</v>
      </c>
      <c r="B1357" s="6" t="s">
        <v>9507</v>
      </c>
      <c r="C1357" s="6" t="s">
        <v>9508</v>
      </c>
      <c r="D1357" s="6" t="s">
        <v>206</v>
      </c>
      <c r="E1357" s="6" t="s">
        <v>301</v>
      </c>
      <c r="F1357" s="8">
        <v>55.0</v>
      </c>
      <c r="G1357" s="9">
        <v>397.61</v>
      </c>
      <c r="H1357" s="9">
        <v>995.45</v>
      </c>
      <c r="I1357" s="6" t="s">
        <v>161</v>
      </c>
      <c r="J1357" s="6" t="s">
        <v>465</v>
      </c>
      <c r="K1357" s="6" t="s">
        <v>9510</v>
      </c>
      <c r="L1357" s="6">
        <v>8.5546612712E10</v>
      </c>
      <c r="M1357" s="6" t="s">
        <v>9511</v>
      </c>
      <c r="N1357" s="6" t="s">
        <v>176</v>
      </c>
      <c r="O1357" s="6" t="s">
        <v>178</v>
      </c>
      <c r="P1357" s="10">
        <v>45931.0</v>
      </c>
    </row>
    <row r="1358" ht="22.5" customHeight="1">
      <c r="A1358" s="6" t="s">
        <v>9513</v>
      </c>
      <c r="B1358" s="6" t="s">
        <v>9514</v>
      </c>
      <c r="C1358" s="6" t="s">
        <v>9515</v>
      </c>
      <c r="D1358" s="6" t="s">
        <v>145</v>
      </c>
      <c r="E1358" s="6" t="s">
        <v>147</v>
      </c>
      <c r="F1358" s="8">
        <v>27.0</v>
      </c>
      <c r="G1358" s="9">
        <v>1063.79</v>
      </c>
      <c r="H1358" s="9">
        <v>11448.35</v>
      </c>
      <c r="I1358" s="6" t="s">
        <v>161</v>
      </c>
      <c r="J1358" s="6" t="s">
        <v>312</v>
      </c>
      <c r="K1358" s="6" t="s">
        <v>9517</v>
      </c>
      <c r="L1358" s="6">
        <v>9.813559307E9</v>
      </c>
      <c r="M1358" s="6" t="s">
        <v>9518</v>
      </c>
      <c r="N1358" s="6" t="s">
        <v>176</v>
      </c>
      <c r="O1358" s="6" t="s">
        <v>178</v>
      </c>
      <c r="P1358" s="10">
        <v>46046.0</v>
      </c>
    </row>
    <row r="1359" ht="22.5" customHeight="1">
      <c r="A1359" s="6" t="s">
        <v>9519</v>
      </c>
      <c r="B1359" s="6" t="s">
        <v>9521</v>
      </c>
      <c r="C1359" s="6" t="s">
        <v>9522</v>
      </c>
      <c r="D1359" s="6" t="s">
        <v>145</v>
      </c>
      <c r="E1359" s="6" t="s">
        <v>210</v>
      </c>
      <c r="F1359" s="8">
        <v>65.0</v>
      </c>
      <c r="G1359" s="9">
        <v>675.81</v>
      </c>
      <c r="H1359" s="9">
        <v>1190.58</v>
      </c>
      <c r="I1359" s="6" t="s">
        <v>178</v>
      </c>
      <c r="J1359" s="6" t="s">
        <v>393</v>
      </c>
      <c r="K1359" s="6" t="s">
        <v>9523</v>
      </c>
      <c r="L1359" s="6">
        <v>2.678448706E10</v>
      </c>
      <c r="M1359" s="6" t="s">
        <v>9524</v>
      </c>
      <c r="N1359" s="6" t="s">
        <v>112</v>
      </c>
      <c r="O1359" s="6" t="s">
        <v>161</v>
      </c>
      <c r="P1359" s="10">
        <v>45958.0</v>
      </c>
    </row>
    <row r="1360" ht="22.5" customHeight="1">
      <c r="A1360" s="6" t="s">
        <v>9526</v>
      </c>
      <c r="B1360" s="6" t="s">
        <v>9527</v>
      </c>
      <c r="C1360" s="6" t="s">
        <v>9528</v>
      </c>
      <c r="D1360" s="6" t="s">
        <v>206</v>
      </c>
      <c r="E1360" s="6" t="s">
        <v>301</v>
      </c>
      <c r="F1360" s="8">
        <v>42.0</v>
      </c>
      <c r="G1360" s="9">
        <v>1278.63</v>
      </c>
      <c r="H1360" s="9">
        <v>13151.75</v>
      </c>
      <c r="I1360" s="6" t="s">
        <v>161</v>
      </c>
      <c r="J1360" s="6" t="s">
        <v>479</v>
      </c>
      <c r="K1360" s="6" t="s">
        <v>9530</v>
      </c>
      <c r="L1360" s="6">
        <v>6.0801777697E10</v>
      </c>
      <c r="M1360" s="6" t="s">
        <v>9531</v>
      </c>
      <c r="N1360" s="6" t="s">
        <v>176</v>
      </c>
      <c r="O1360" s="6" t="s">
        <v>178</v>
      </c>
      <c r="P1360" s="10">
        <v>45940.0</v>
      </c>
    </row>
    <row r="1361" ht="22.5" customHeight="1">
      <c r="A1361" s="6" t="s">
        <v>9532</v>
      </c>
      <c r="B1361" s="6" t="s">
        <v>9533</v>
      </c>
      <c r="C1361" s="6" t="s">
        <v>9535</v>
      </c>
      <c r="D1361" s="6" t="s">
        <v>206</v>
      </c>
      <c r="E1361" s="6" t="s">
        <v>301</v>
      </c>
      <c r="F1361" s="8">
        <v>57.0</v>
      </c>
      <c r="G1361" s="9">
        <v>1170.95</v>
      </c>
      <c r="H1361" s="9">
        <v>10934.55</v>
      </c>
      <c r="I1361" s="6" t="s">
        <v>161</v>
      </c>
      <c r="J1361" s="6" t="s">
        <v>479</v>
      </c>
      <c r="K1361" s="6" t="s">
        <v>9536</v>
      </c>
      <c r="L1361" s="6">
        <v>7.6723800347E10</v>
      </c>
      <c r="M1361" s="6" t="s">
        <v>9537</v>
      </c>
      <c r="N1361" s="6" t="s">
        <v>112</v>
      </c>
      <c r="O1361" s="6" t="s">
        <v>178</v>
      </c>
      <c r="P1361" s="10">
        <v>45939.0</v>
      </c>
    </row>
    <row r="1362" ht="22.5" customHeight="1">
      <c r="A1362" s="6" t="s">
        <v>9539</v>
      </c>
      <c r="B1362" s="6" t="s">
        <v>9540</v>
      </c>
      <c r="C1362" s="6" t="s">
        <v>9541</v>
      </c>
      <c r="D1362" s="6" t="s">
        <v>206</v>
      </c>
      <c r="E1362" s="6" t="s">
        <v>147</v>
      </c>
      <c r="F1362" s="8">
        <v>18.0</v>
      </c>
      <c r="G1362" s="9">
        <v>658.64</v>
      </c>
      <c r="H1362" s="9">
        <v>14151.85</v>
      </c>
      <c r="I1362" s="6" t="s">
        <v>161</v>
      </c>
      <c r="J1362" s="6" t="s">
        <v>357</v>
      </c>
      <c r="K1362" s="6" t="s">
        <v>9543</v>
      </c>
      <c r="L1362" s="6">
        <v>6.0651215037E10</v>
      </c>
      <c r="M1362" s="6" t="s">
        <v>9544</v>
      </c>
      <c r="N1362" s="6" t="s">
        <v>176</v>
      </c>
      <c r="O1362" s="6" t="s">
        <v>178</v>
      </c>
      <c r="P1362" s="10">
        <v>46037.0</v>
      </c>
    </row>
    <row r="1363" ht="22.5" customHeight="1">
      <c r="A1363" s="6" t="s">
        <v>9545</v>
      </c>
      <c r="B1363" s="6" t="s">
        <v>9546</v>
      </c>
      <c r="C1363" s="6" t="s">
        <v>9547</v>
      </c>
      <c r="D1363" s="6" t="s">
        <v>145</v>
      </c>
      <c r="E1363" s="6" t="s">
        <v>147</v>
      </c>
      <c r="F1363" s="8">
        <v>25.0</v>
      </c>
      <c r="G1363" s="9">
        <v>278.39</v>
      </c>
      <c r="H1363" s="9">
        <v>9822.29</v>
      </c>
      <c r="I1363" s="6" t="s">
        <v>161</v>
      </c>
      <c r="J1363" s="6" t="s">
        <v>479</v>
      </c>
      <c r="K1363" s="6" t="s">
        <v>9549</v>
      </c>
      <c r="L1363" s="6">
        <v>1.0823343665E10</v>
      </c>
      <c r="M1363" s="6" t="s">
        <v>9550</v>
      </c>
      <c r="N1363" s="6" t="s">
        <v>176</v>
      </c>
      <c r="O1363" s="6" t="s">
        <v>178</v>
      </c>
      <c r="P1363" s="10">
        <v>45953.0</v>
      </c>
    </row>
    <row r="1364" ht="22.5" customHeight="1">
      <c r="A1364" s="6" t="s">
        <v>9552</v>
      </c>
      <c r="B1364" s="6" t="s">
        <v>9553</v>
      </c>
      <c r="C1364" s="6" t="s">
        <v>9554</v>
      </c>
      <c r="D1364" s="6" t="s">
        <v>145</v>
      </c>
      <c r="E1364" s="6" t="s">
        <v>301</v>
      </c>
      <c r="F1364" s="8">
        <v>50.0</v>
      </c>
      <c r="G1364" s="9">
        <v>298.12</v>
      </c>
      <c r="H1364" s="9">
        <v>13916.29</v>
      </c>
      <c r="I1364" s="6" t="s">
        <v>161</v>
      </c>
      <c r="J1364" s="6" t="s">
        <v>442</v>
      </c>
      <c r="K1364" s="6" t="s">
        <v>9556</v>
      </c>
      <c r="L1364" s="6">
        <v>4.891446624E10</v>
      </c>
      <c r="M1364" s="6" t="s">
        <v>9557</v>
      </c>
      <c r="N1364" s="6" t="s">
        <v>259</v>
      </c>
      <c r="O1364" s="6" t="s">
        <v>178</v>
      </c>
      <c r="P1364" s="10">
        <v>45972.0</v>
      </c>
    </row>
    <row r="1365" ht="22.5" customHeight="1">
      <c r="A1365" s="6" t="s">
        <v>9558</v>
      </c>
      <c r="B1365" s="6" t="s">
        <v>9559</v>
      </c>
      <c r="C1365" s="6" t="s">
        <v>9560</v>
      </c>
      <c r="D1365" s="6" t="s">
        <v>206</v>
      </c>
      <c r="E1365" s="6" t="s">
        <v>301</v>
      </c>
      <c r="F1365" s="8">
        <v>37.0</v>
      </c>
      <c r="G1365" s="9">
        <v>1253.16</v>
      </c>
      <c r="H1365" s="9">
        <v>4043.78</v>
      </c>
      <c r="I1365" s="6" t="s">
        <v>161</v>
      </c>
      <c r="J1365" s="6" t="s">
        <v>228</v>
      </c>
      <c r="K1365" s="6" t="s">
        <v>9562</v>
      </c>
      <c r="L1365" s="6">
        <v>2.6057567476E10</v>
      </c>
      <c r="M1365" s="6" t="s">
        <v>9563</v>
      </c>
      <c r="N1365" s="6" t="s">
        <v>283</v>
      </c>
      <c r="O1365" s="6" t="s">
        <v>178</v>
      </c>
      <c r="P1365" s="10">
        <v>46051.0</v>
      </c>
    </row>
    <row r="1366" ht="22.5" customHeight="1">
      <c r="A1366" s="6" t="s">
        <v>9565</v>
      </c>
      <c r="B1366" s="6" t="s">
        <v>9566</v>
      </c>
      <c r="C1366" s="6" t="s">
        <v>9567</v>
      </c>
      <c r="D1366" s="6" t="s">
        <v>145</v>
      </c>
      <c r="E1366" s="6" t="s">
        <v>147</v>
      </c>
      <c r="F1366" s="8">
        <v>12.0</v>
      </c>
      <c r="G1366" s="9">
        <v>1196.8</v>
      </c>
      <c r="H1366" s="9">
        <v>6157.67</v>
      </c>
      <c r="I1366" s="6" t="s">
        <v>178</v>
      </c>
      <c r="J1366" s="6" t="s">
        <v>163</v>
      </c>
      <c r="K1366" s="6" t="s">
        <v>9568</v>
      </c>
      <c r="L1366" s="6" t="s">
        <v>259</v>
      </c>
      <c r="M1366" s="6" t="s">
        <v>9570</v>
      </c>
      <c r="N1366" s="6" t="s">
        <v>112</v>
      </c>
      <c r="O1366" s="6" t="s">
        <v>161</v>
      </c>
      <c r="P1366" s="10">
        <v>45961.0</v>
      </c>
    </row>
    <row r="1367" ht="22.5" customHeight="1">
      <c r="A1367" s="6" t="s">
        <v>9571</v>
      </c>
      <c r="B1367" s="6" t="s">
        <v>9572</v>
      </c>
      <c r="C1367" s="6" t="s">
        <v>9573</v>
      </c>
      <c r="D1367" s="6" t="s">
        <v>145</v>
      </c>
      <c r="E1367" s="6" t="s">
        <v>301</v>
      </c>
      <c r="F1367" s="8">
        <v>35.0</v>
      </c>
      <c r="G1367" s="9">
        <v>573.59</v>
      </c>
      <c r="H1367" s="9">
        <v>4704.33</v>
      </c>
      <c r="I1367" s="6" t="s">
        <v>161</v>
      </c>
      <c r="J1367" s="6" t="s">
        <v>479</v>
      </c>
      <c r="K1367" s="6" t="s">
        <v>9575</v>
      </c>
      <c r="L1367" s="6">
        <v>3.4915095423E10</v>
      </c>
      <c r="M1367" s="6" t="s">
        <v>9576</v>
      </c>
      <c r="N1367" s="6" t="s">
        <v>176</v>
      </c>
      <c r="O1367" s="6" t="s">
        <v>178</v>
      </c>
      <c r="P1367" s="10">
        <v>45940.0</v>
      </c>
    </row>
    <row r="1368" ht="22.5" customHeight="1">
      <c r="A1368" s="6" t="s">
        <v>9577</v>
      </c>
      <c r="B1368" s="6" t="s">
        <v>9578</v>
      </c>
      <c r="C1368" s="6" t="s">
        <v>9579</v>
      </c>
      <c r="D1368" s="6" t="s">
        <v>383</v>
      </c>
      <c r="E1368" s="6" t="s">
        <v>147</v>
      </c>
      <c r="F1368" s="8">
        <v>29.0</v>
      </c>
      <c r="G1368" s="9">
        <v>1057.54</v>
      </c>
      <c r="H1368" s="9">
        <v>9730.91</v>
      </c>
      <c r="I1368" s="6" t="s">
        <v>161</v>
      </c>
      <c r="J1368" s="6" t="s">
        <v>479</v>
      </c>
      <c r="K1368" s="6" t="s">
        <v>9581</v>
      </c>
      <c r="L1368" s="6">
        <v>7.6325184184E10</v>
      </c>
      <c r="M1368" s="6" t="s">
        <v>9582</v>
      </c>
      <c r="N1368" s="6" t="s">
        <v>112</v>
      </c>
      <c r="O1368" s="6" t="s">
        <v>178</v>
      </c>
      <c r="P1368" s="10">
        <v>45969.0</v>
      </c>
    </row>
    <row r="1369" ht="22.5" customHeight="1">
      <c r="A1369" s="6" t="s">
        <v>9583</v>
      </c>
      <c r="B1369" s="6" t="s">
        <v>9584</v>
      </c>
      <c r="C1369" s="6" t="s">
        <v>9585</v>
      </c>
      <c r="D1369" s="6" t="s">
        <v>145</v>
      </c>
      <c r="E1369" s="6" t="s">
        <v>301</v>
      </c>
      <c r="F1369" s="8">
        <v>52.0</v>
      </c>
      <c r="G1369" s="9">
        <v>1251.22</v>
      </c>
      <c r="H1369" s="9">
        <v>11552.13</v>
      </c>
      <c r="I1369" s="6" t="s">
        <v>161</v>
      </c>
      <c r="J1369" s="6" t="s">
        <v>479</v>
      </c>
      <c r="K1369" s="6" t="s">
        <v>9587</v>
      </c>
      <c r="L1369" s="6">
        <v>6.5607288776E10</v>
      </c>
      <c r="M1369" s="6" t="s">
        <v>9588</v>
      </c>
      <c r="N1369" s="6" t="s">
        <v>427</v>
      </c>
      <c r="O1369" s="6" t="s">
        <v>4031</v>
      </c>
      <c r="P1369" s="10">
        <v>46022.0</v>
      </c>
    </row>
    <row r="1370" ht="22.5" customHeight="1">
      <c r="A1370" s="6" t="s">
        <v>9589</v>
      </c>
      <c r="B1370" s="6" t="s">
        <v>9590</v>
      </c>
      <c r="C1370" s="6" t="s">
        <v>9591</v>
      </c>
      <c r="D1370" s="6" t="s">
        <v>206</v>
      </c>
      <c r="E1370" s="6" t="s">
        <v>210</v>
      </c>
      <c r="F1370" s="8">
        <v>104.0</v>
      </c>
      <c r="G1370" s="9">
        <v>1055.24</v>
      </c>
      <c r="H1370" s="9">
        <v>10058.56</v>
      </c>
      <c r="I1370" s="6" t="s">
        <v>178</v>
      </c>
      <c r="J1370" s="6" t="s">
        <v>577</v>
      </c>
      <c r="K1370" s="6" t="s">
        <v>9593</v>
      </c>
      <c r="L1370" s="6">
        <v>4.6626931985E10</v>
      </c>
      <c r="M1370" s="6" t="s">
        <v>9594</v>
      </c>
      <c r="N1370" s="6" t="s">
        <v>427</v>
      </c>
      <c r="O1370" s="6" t="s">
        <v>161</v>
      </c>
      <c r="P1370" s="10">
        <v>45937.0</v>
      </c>
    </row>
    <row r="1371" ht="22.5" customHeight="1">
      <c r="A1371" s="6" t="s">
        <v>9595</v>
      </c>
      <c r="B1371" s="6" t="s">
        <v>9597</v>
      </c>
      <c r="C1371" s="6" t="s">
        <v>9598</v>
      </c>
      <c r="D1371" s="6" t="s">
        <v>383</v>
      </c>
      <c r="E1371" s="6" t="s">
        <v>147</v>
      </c>
      <c r="F1371" s="8">
        <v>18.0</v>
      </c>
      <c r="G1371" s="9">
        <v>100.46</v>
      </c>
      <c r="H1371" s="9">
        <v>8860.52</v>
      </c>
      <c r="I1371" s="6" t="s">
        <v>178</v>
      </c>
      <c r="J1371" s="6" t="s">
        <v>465</v>
      </c>
      <c r="K1371" s="6" t="s">
        <v>9599</v>
      </c>
      <c r="L1371" s="6">
        <v>4.7704040495E10</v>
      </c>
      <c r="M1371" s="6" t="s">
        <v>9601</v>
      </c>
      <c r="N1371" s="6" t="s">
        <v>259</v>
      </c>
      <c r="O1371" s="6" t="s">
        <v>161</v>
      </c>
      <c r="P1371" s="10">
        <v>45954.0</v>
      </c>
    </row>
    <row r="1372" ht="22.5" customHeight="1">
      <c r="A1372" s="6" t="s">
        <v>9602</v>
      </c>
      <c r="B1372" s="6" t="s">
        <v>9604</v>
      </c>
      <c r="C1372" s="6" t="s">
        <v>9605</v>
      </c>
      <c r="D1372" s="6" t="s">
        <v>145</v>
      </c>
      <c r="E1372" s="6" t="s">
        <v>210</v>
      </c>
      <c r="F1372" s="8">
        <v>98.0</v>
      </c>
      <c r="G1372" s="9">
        <v>865.93</v>
      </c>
      <c r="H1372" s="9">
        <v>3103.73</v>
      </c>
      <c r="I1372" s="6" t="s">
        <v>178</v>
      </c>
      <c r="J1372" s="6" t="s">
        <v>421</v>
      </c>
      <c r="K1372" s="6" t="s">
        <v>9607</v>
      </c>
      <c r="L1372" s="6">
        <v>4.5599290187E10</v>
      </c>
      <c r="M1372" s="6" t="s">
        <v>9608</v>
      </c>
      <c r="N1372" s="6" t="s">
        <v>427</v>
      </c>
      <c r="O1372" s="6" t="s">
        <v>161</v>
      </c>
      <c r="P1372" s="10">
        <v>45971.0</v>
      </c>
    </row>
    <row r="1373" ht="22.5" customHeight="1">
      <c r="A1373" s="6" t="s">
        <v>9610</v>
      </c>
      <c r="B1373" s="6" t="s">
        <v>9611</v>
      </c>
      <c r="C1373" s="6" t="s">
        <v>9612</v>
      </c>
      <c r="D1373" s="6" t="s">
        <v>383</v>
      </c>
      <c r="E1373" s="6" t="s">
        <v>301</v>
      </c>
      <c r="F1373" s="8">
        <v>44.0</v>
      </c>
      <c r="G1373" s="9">
        <v>421.66</v>
      </c>
      <c r="H1373" s="9">
        <v>11446.29</v>
      </c>
      <c r="I1373" s="6" t="s">
        <v>161</v>
      </c>
      <c r="J1373" s="6" t="s">
        <v>442</v>
      </c>
      <c r="K1373" s="6" t="s">
        <v>9615</v>
      </c>
      <c r="L1373" s="6">
        <v>4.9205167934E10</v>
      </c>
      <c r="M1373" s="6" t="s">
        <v>9616</v>
      </c>
      <c r="N1373" s="6" t="s">
        <v>112</v>
      </c>
      <c r="O1373" s="6" t="s">
        <v>178</v>
      </c>
      <c r="P1373" s="10">
        <v>46049.0</v>
      </c>
    </row>
    <row r="1374" ht="22.5" customHeight="1">
      <c r="A1374" s="6" t="s">
        <v>9618</v>
      </c>
      <c r="B1374" s="6" t="s">
        <v>9619</v>
      </c>
      <c r="C1374" s="6" t="s">
        <v>9620</v>
      </c>
      <c r="D1374" s="6" t="s">
        <v>145</v>
      </c>
      <c r="E1374" s="6" t="s">
        <v>301</v>
      </c>
      <c r="F1374" s="8">
        <v>40.0</v>
      </c>
      <c r="G1374" s="9">
        <v>968.16</v>
      </c>
      <c r="H1374" s="9">
        <v>4821.8</v>
      </c>
      <c r="I1374" s="6" t="s">
        <v>161</v>
      </c>
      <c r="J1374" s="6" t="s">
        <v>228</v>
      </c>
      <c r="K1374" s="6" t="s">
        <v>9622</v>
      </c>
      <c r="L1374" s="6">
        <v>5.1703241126E10</v>
      </c>
      <c r="M1374" s="6" t="s">
        <v>9623</v>
      </c>
      <c r="N1374" s="6" t="s">
        <v>259</v>
      </c>
      <c r="O1374" s="6" t="s">
        <v>178</v>
      </c>
      <c r="P1374" s="10">
        <v>46007.0</v>
      </c>
    </row>
    <row r="1375" ht="22.5" customHeight="1">
      <c r="A1375" s="6" t="s">
        <v>9625</v>
      </c>
      <c r="B1375" s="6" t="s">
        <v>9626</v>
      </c>
      <c r="C1375" s="6" t="s">
        <v>9627</v>
      </c>
      <c r="D1375" s="6" t="s">
        <v>383</v>
      </c>
      <c r="E1375" s="6" t="s">
        <v>301</v>
      </c>
      <c r="F1375" s="8">
        <v>57.0</v>
      </c>
      <c r="G1375" s="9">
        <v>814.32</v>
      </c>
      <c r="H1375" s="9">
        <v>10202.03</v>
      </c>
      <c r="I1375" s="6" t="s">
        <v>161</v>
      </c>
      <c r="J1375" s="6" t="s">
        <v>465</v>
      </c>
      <c r="K1375" s="6" t="s">
        <v>9630</v>
      </c>
      <c r="L1375" s="6">
        <v>1.2631506866E10</v>
      </c>
      <c r="M1375" s="6" t="s">
        <v>9631</v>
      </c>
      <c r="N1375" s="6" t="s">
        <v>283</v>
      </c>
      <c r="O1375" s="6" t="s">
        <v>178</v>
      </c>
      <c r="P1375" s="10">
        <v>46019.0</v>
      </c>
    </row>
    <row r="1376" ht="22.5" customHeight="1">
      <c r="A1376" s="6" t="s">
        <v>9632</v>
      </c>
      <c r="B1376" s="6" t="s">
        <v>9633</v>
      </c>
      <c r="C1376" s="6" t="s">
        <v>9634</v>
      </c>
      <c r="D1376" s="6" t="s">
        <v>206</v>
      </c>
      <c r="E1376" s="6" t="s">
        <v>147</v>
      </c>
      <c r="F1376" s="8">
        <v>24.0</v>
      </c>
      <c r="G1376" s="9">
        <v>1139.72</v>
      </c>
      <c r="H1376" s="9">
        <v>6960.63</v>
      </c>
      <c r="I1376" s="6" t="s">
        <v>161</v>
      </c>
      <c r="J1376" s="6" t="s">
        <v>465</v>
      </c>
      <c r="K1376" s="6" t="s">
        <v>9636</v>
      </c>
      <c r="L1376" s="6">
        <v>5.0689014944E10</v>
      </c>
      <c r="M1376" s="6" t="s">
        <v>9637</v>
      </c>
      <c r="N1376" s="6" t="s">
        <v>283</v>
      </c>
      <c r="O1376" s="6" t="s">
        <v>178</v>
      </c>
      <c r="P1376" s="10">
        <v>46036.0</v>
      </c>
    </row>
    <row r="1377" ht="22.5" customHeight="1">
      <c r="A1377" s="6" t="s">
        <v>9639</v>
      </c>
      <c r="B1377" s="6" t="s">
        <v>9640</v>
      </c>
      <c r="C1377" s="6" t="s">
        <v>9641</v>
      </c>
      <c r="D1377" s="6" t="s">
        <v>206</v>
      </c>
      <c r="E1377" s="6" t="s">
        <v>301</v>
      </c>
      <c r="F1377" s="8">
        <v>45.0</v>
      </c>
      <c r="G1377" s="9">
        <v>1486.93</v>
      </c>
      <c r="H1377" s="9">
        <v>2484.81</v>
      </c>
      <c r="I1377" s="6" t="s">
        <v>161</v>
      </c>
      <c r="J1377" s="6" t="s">
        <v>421</v>
      </c>
      <c r="K1377" s="6" t="s">
        <v>9642</v>
      </c>
      <c r="L1377" s="6">
        <v>1.9263942827E10</v>
      </c>
      <c r="M1377" s="6" t="s">
        <v>9643</v>
      </c>
      <c r="N1377" s="6" t="s">
        <v>427</v>
      </c>
      <c r="O1377" s="6" t="s">
        <v>178</v>
      </c>
      <c r="P1377" s="10">
        <v>46034.0</v>
      </c>
    </row>
    <row r="1378" ht="22.5" customHeight="1">
      <c r="A1378" s="6" t="s">
        <v>9644</v>
      </c>
      <c r="B1378" s="6" t="s">
        <v>9646</v>
      </c>
      <c r="C1378" s="6" t="s">
        <v>9647</v>
      </c>
      <c r="D1378" s="6" t="s">
        <v>206</v>
      </c>
      <c r="E1378" s="6" t="s">
        <v>301</v>
      </c>
      <c r="F1378" s="8">
        <v>56.0</v>
      </c>
      <c r="G1378" s="9">
        <v>1550.27</v>
      </c>
      <c r="H1378" s="9">
        <v>6587.26</v>
      </c>
      <c r="I1378" s="6" t="s">
        <v>161</v>
      </c>
      <c r="J1378" s="6" t="s">
        <v>421</v>
      </c>
      <c r="K1378" s="6" t="s">
        <v>259</v>
      </c>
      <c r="L1378" s="6">
        <v>5.5789301177E10</v>
      </c>
      <c r="M1378" s="6" t="s">
        <v>9648</v>
      </c>
      <c r="N1378" s="6" t="s">
        <v>259</v>
      </c>
      <c r="O1378" s="6" t="s">
        <v>178</v>
      </c>
      <c r="P1378" s="10">
        <v>46022.0</v>
      </c>
    </row>
    <row r="1379" ht="22.5" customHeight="1">
      <c r="A1379" s="6" t="s">
        <v>9649</v>
      </c>
      <c r="B1379" s="6" t="s">
        <v>9650</v>
      </c>
      <c r="C1379" s="6" t="s">
        <v>9651</v>
      </c>
      <c r="D1379" s="6" t="s">
        <v>206</v>
      </c>
      <c r="E1379" s="6" t="s">
        <v>210</v>
      </c>
      <c r="F1379" s="8">
        <v>90.0</v>
      </c>
      <c r="G1379" s="9">
        <v>248.28</v>
      </c>
      <c r="H1379" s="9">
        <v>1005.57</v>
      </c>
      <c r="I1379" s="6" t="s">
        <v>178</v>
      </c>
      <c r="J1379" s="6" t="s">
        <v>312</v>
      </c>
      <c r="K1379" s="6" t="s">
        <v>9653</v>
      </c>
      <c r="L1379" s="6">
        <v>9.8072779241E10</v>
      </c>
      <c r="M1379" s="6" t="s">
        <v>9654</v>
      </c>
      <c r="N1379" s="6" t="s">
        <v>176</v>
      </c>
      <c r="O1379" s="6" t="s">
        <v>161</v>
      </c>
      <c r="P1379" s="10">
        <v>45944.0</v>
      </c>
    </row>
    <row r="1380" ht="22.5" customHeight="1">
      <c r="A1380" s="6" t="s">
        <v>9655</v>
      </c>
      <c r="B1380" s="6" t="s">
        <v>9656</v>
      </c>
      <c r="C1380" s="6" t="s">
        <v>9657</v>
      </c>
      <c r="D1380" s="6" t="s">
        <v>206</v>
      </c>
      <c r="E1380" s="6" t="s">
        <v>147</v>
      </c>
      <c r="F1380" s="8">
        <v>17.0</v>
      </c>
      <c r="G1380" s="9">
        <v>1597.27</v>
      </c>
      <c r="H1380" s="9">
        <v>6146.58</v>
      </c>
      <c r="I1380" s="6" t="s">
        <v>161</v>
      </c>
      <c r="J1380" s="6" t="s">
        <v>1734</v>
      </c>
      <c r="K1380" s="6" t="s">
        <v>9659</v>
      </c>
      <c r="L1380" s="6">
        <v>2.9946534011E10</v>
      </c>
      <c r="M1380" s="6" t="s">
        <v>9660</v>
      </c>
      <c r="N1380" s="6" t="s">
        <v>112</v>
      </c>
      <c r="O1380" s="6" t="s">
        <v>178</v>
      </c>
      <c r="P1380" s="10">
        <v>46040.0</v>
      </c>
    </row>
    <row r="1381" ht="22.5" customHeight="1">
      <c r="A1381" s="6" t="s">
        <v>9661</v>
      </c>
      <c r="B1381" s="6" t="s">
        <v>9663</v>
      </c>
      <c r="C1381" s="6" t="s">
        <v>9664</v>
      </c>
      <c r="D1381" s="6" t="s">
        <v>383</v>
      </c>
      <c r="E1381" s="6" t="s">
        <v>147</v>
      </c>
      <c r="F1381" s="8">
        <v>24.0</v>
      </c>
      <c r="G1381" s="9">
        <v>1215.34</v>
      </c>
      <c r="H1381" s="9">
        <v>14699.05</v>
      </c>
      <c r="I1381" s="6" t="s">
        <v>161</v>
      </c>
      <c r="J1381" s="6" t="s">
        <v>421</v>
      </c>
      <c r="K1381" s="6" t="s">
        <v>9666</v>
      </c>
      <c r="L1381" s="6">
        <v>8.794002316E9</v>
      </c>
      <c r="M1381" s="6" t="s">
        <v>9667</v>
      </c>
      <c r="N1381" s="6" t="s">
        <v>176</v>
      </c>
      <c r="O1381" s="6" t="s">
        <v>178</v>
      </c>
      <c r="P1381" s="10">
        <v>45932.0</v>
      </c>
    </row>
    <row r="1382" ht="22.5" customHeight="1">
      <c r="A1382" s="6" t="s">
        <v>9668</v>
      </c>
      <c r="B1382" s="6" t="s">
        <v>9669</v>
      </c>
      <c r="C1382" s="6" t="s">
        <v>9670</v>
      </c>
      <c r="D1382" s="6" t="s">
        <v>206</v>
      </c>
      <c r="E1382" s="6" t="s">
        <v>147</v>
      </c>
      <c r="F1382" s="8">
        <v>17.0</v>
      </c>
      <c r="G1382" s="9">
        <v>1178.09</v>
      </c>
      <c r="H1382" s="9">
        <v>9955.92</v>
      </c>
      <c r="I1382" s="6" t="s">
        <v>161</v>
      </c>
      <c r="J1382" s="6" t="s">
        <v>442</v>
      </c>
      <c r="K1382" s="6" t="s">
        <v>9672</v>
      </c>
      <c r="L1382" s="6">
        <v>4.0646639712E10</v>
      </c>
      <c r="M1382" s="6" t="s">
        <v>9673</v>
      </c>
      <c r="N1382" s="6" t="s">
        <v>283</v>
      </c>
      <c r="O1382" s="6" t="s">
        <v>178</v>
      </c>
      <c r="P1382" s="10">
        <v>46019.0</v>
      </c>
    </row>
    <row r="1383" ht="22.5" customHeight="1">
      <c r="A1383" s="6" t="s">
        <v>9675</v>
      </c>
      <c r="B1383" s="6" t="s">
        <v>9676</v>
      </c>
      <c r="C1383" s="6" t="s">
        <v>9677</v>
      </c>
      <c r="D1383" s="6" t="s">
        <v>145</v>
      </c>
      <c r="E1383" s="6" t="s">
        <v>210</v>
      </c>
      <c r="F1383" s="8">
        <v>119.0</v>
      </c>
      <c r="G1383" s="9">
        <v>1629.72</v>
      </c>
      <c r="H1383" s="9">
        <v>14194.47</v>
      </c>
      <c r="I1383" s="6" t="s">
        <v>178</v>
      </c>
      <c r="J1383" s="6" t="s">
        <v>465</v>
      </c>
      <c r="K1383" s="6" t="s">
        <v>9678</v>
      </c>
      <c r="L1383" s="6">
        <v>7.1899712931E10</v>
      </c>
      <c r="M1383" s="6" t="s">
        <v>9679</v>
      </c>
      <c r="N1383" s="6" t="s">
        <v>112</v>
      </c>
      <c r="O1383" s="6" t="s">
        <v>161</v>
      </c>
      <c r="P1383" s="10">
        <v>46027.0</v>
      </c>
    </row>
    <row r="1384" ht="22.5" customHeight="1">
      <c r="A1384" s="6" t="s">
        <v>9681</v>
      </c>
      <c r="B1384" s="6" t="s">
        <v>9682</v>
      </c>
      <c r="C1384" s="6" t="s">
        <v>9684</v>
      </c>
      <c r="D1384" s="6" t="s">
        <v>206</v>
      </c>
      <c r="E1384" s="6" t="s">
        <v>210</v>
      </c>
      <c r="F1384" s="8">
        <v>78.0</v>
      </c>
      <c r="G1384" s="9">
        <v>1633.22</v>
      </c>
      <c r="H1384" s="9">
        <v>6282.91</v>
      </c>
      <c r="I1384" s="6" t="s">
        <v>161</v>
      </c>
      <c r="J1384" s="6" t="s">
        <v>312</v>
      </c>
      <c r="K1384" s="6" t="s">
        <v>9686</v>
      </c>
      <c r="L1384" s="6">
        <v>7.8936642096E10</v>
      </c>
      <c r="M1384" s="6" t="s">
        <v>9687</v>
      </c>
      <c r="N1384" s="6" t="s">
        <v>283</v>
      </c>
      <c r="O1384" s="6" t="s">
        <v>161</v>
      </c>
      <c r="P1384" s="10">
        <v>45949.0</v>
      </c>
    </row>
    <row r="1385" ht="22.5" customHeight="1">
      <c r="A1385" s="6" t="s">
        <v>9689</v>
      </c>
      <c r="B1385" s="6" t="s">
        <v>9690</v>
      </c>
      <c r="C1385" s="6" t="s">
        <v>9691</v>
      </c>
      <c r="D1385" s="6" t="s">
        <v>145</v>
      </c>
      <c r="E1385" s="6" t="s">
        <v>301</v>
      </c>
      <c r="F1385" s="8">
        <v>42.0</v>
      </c>
      <c r="G1385" s="9">
        <v>1629.32</v>
      </c>
      <c r="H1385" s="9">
        <v>13818.89</v>
      </c>
      <c r="I1385" s="6" t="s">
        <v>161</v>
      </c>
      <c r="J1385" s="6" t="s">
        <v>465</v>
      </c>
      <c r="K1385" s="6" t="s">
        <v>9693</v>
      </c>
      <c r="L1385" s="6">
        <v>6.7952583E9</v>
      </c>
      <c r="M1385" s="6" t="s">
        <v>9694</v>
      </c>
      <c r="N1385" s="6" t="s">
        <v>112</v>
      </c>
      <c r="O1385" s="6" t="s">
        <v>178</v>
      </c>
      <c r="P1385" s="10">
        <v>46048.0</v>
      </c>
    </row>
    <row r="1386" ht="22.5" customHeight="1">
      <c r="A1386" s="6" t="s">
        <v>9696</v>
      </c>
      <c r="B1386" s="6" t="s">
        <v>9697</v>
      </c>
      <c r="C1386" s="6" t="s">
        <v>9698</v>
      </c>
      <c r="D1386" s="6" t="s">
        <v>206</v>
      </c>
      <c r="E1386" s="6" t="s">
        <v>301</v>
      </c>
      <c r="F1386" s="8">
        <v>39.0</v>
      </c>
      <c r="G1386" s="9">
        <v>474.17</v>
      </c>
      <c r="H1386" s="9">
        <v>13490.47</v>
      </c>
      <c r="I1386" s="6" t="s">
        <v>161</v>
      </c>
      <c r="J1386" s="6" t="s">
        <v>479</v>
      </c>
      <c r="K1386" s="6" t="s">
        <v>9701</v>
      </c>
      <c r="L1386" s="6">
        <v>7.113297475E9</v>
      </c>
      <c r="M1386" s="6" t="s">
        <v>9702</v>
      </c>
      <c r="N1386" s="6" t="s">
        <v>259</v>
      </c>
      <c r="O1386" s="6" t="s">
        <v>178</v>
      </c>
      <c r="P1386" s="10">
        <v>45966.0</v>
      </c>
    </row>
    <row r="1387" ht="22.5" customHeight="1">
      <c r="A1387" s="6" t="s">
        <v>9703</v>
      </c>
      <c r="B1387" s="6" t="s">
        <v>9705</v>
      </c>
      <c r="C1387" s="6" t="s">
        <v>9706</v>
      </c>
      <c r="D1387" s="6" t="s">
        <v>383</v>
      </c>
      <c r="E1387" s="6" t="s">
        <v>210</v>
      </c>
      <c r="F1387" s="8">
        <v>100.0</v>
      </c>
      <c r="G1387" s="9">
        <v>1181.68</v>
      </c>
      <c r="H1387" s="9">
        <v>3100.15</v>
      </c>
      <c r="I1387" s="6" t="s">
        <v>178</v>
      </c>
      <c r="J1387" s="6" t="s">
        <v>479</v>
      </c>
      <c r="K1387" s="6" t="s">
        <v>9708</v>
      </c>
      <c r="L1387" s="6">
        <v>2.4371256293E10</v>
      </c>
      <c r="M1387" s="6" t="s">
        <v>9709</v>
      </c>
      <c r="N1387" s="6" t="s">
        <v>259</v>
      </c>
      <c r="O1387" s="6" t="s">
        <v>161</v>
      </c>
      <c r="P1387" s="10">
        <v>46004.0</v>
      </c>
    </row>
    <row r="1388" ht="22.5" customHeight="1">
      <c r="A1388" s="6" t="s">
        <v>9711</v>
      </c>
      <c r="B1388" s="6" t="s">
        <v>9712</v>
      </c>
      <c r="C1388" s="6" t="s">
        <v>9713</v>
      </c>
      <c r="D1388" s="6" t="s">
        <v>145</v>
      </c>
      <c r="E1388" s="6" t="s">
        <v>210</v>
      </c>
      <c r="F1388" s="8">
        <v>80.0</v>
      </c>
      <c r="G1388" s="9">
        <v>899.88</v>
      </c>
      <c r="H1388" s="9">
        <v>7440.76</v>
      </c>
      <c r="I1388" s="6" t="s">
        <v>178</v>
      </c>
      <c r="J1388" s="6" t="s">
        <v>163</v>
      </c>
      <c r="K1388" s="6" t="s">
        <v>9715</v>
      </c>
      <c r="L1388" s="6">
        <v>4.9279854312E10</v>
      </c>
      <c r="M1388" s="6" t="s">
        <v>9716</v>
      </c>
      <c r="N1388" s="6" t="s">
        <v>259</v>
      </c>
      <c r="O1388" s="6" t="s">
        <v>161</v>
      </c>
      <c r="P1388" s="10">
        <v>45942.0</v>
      </c>
    </row>
    <row r="1389" ht="22.5" customHeight="1">
      <c r="A1389" s="6" t="s">
        <v>9717</v>
      </c>
      <c r="B1389" s="6" t="s">
        <v>9718</v>
      </c>
      <c r="C1389" s="6" t="s">
        <v>9720</v>
      </c>
      <c r="D1389" s="6" t="s">
        <v>145</v>
      </c>
      <c r="E1389" s="6" t="s">
        <v>147</v>
      </c>
      <c r="F1389" s="8">
        <v>29.0</v>
      </c>
      <c r="G1389" s="9">
        <v>483.9</v>
      </c>
      <c r="H1389" s="9">
        <v>9422.71</v>
      </c>
      <c r="I1389" s="6" t="s">
        <v>161</v>
      </c>
      <c r="J1389" s="6" t="s">
        <v>577</v>
      </c>
      <c r="K1389" s="6" t="s">
        <v>9721</v>
      </c>
      <c r="L1389" s="6">
        <v>1.6220733133E10</v>
      </c>
      <c r="M1389" s="6" t="s">
        <v>9722</v>
      </c>
      <c r="N1389" s="6" t="s">
        <v>259</v>
      </c>
      <c r="O1389" s="6" t="s">
        <v>178</v>
      </c>
      <c r="P1389" s="10">
        <v>45994.0</v>
      </c>
    </row>
    <row r="1390" ht="22.5" customHeight="1">
      <c r="A1390" s="6" t="s">
        <v>9724</v>
      </c>
      <c r="B1390" s="6" t="s">
        <v>9725</v>
      </c>
      <c r="C1390" s="6" t="s">
        <v>9726</v>
      </c>
      <c r="D1390" s="6" t="s">
        <v>206</v>
      </c>
      <c r="E1390" s="6" t="s">
        <v>147</v>
      </c>
      <c r="F1390" s="8">
        <v>27.0</v>
      </c>
      <c r="G1390" s="9">
        <v>1603.04</v>
      </c>
      <c r="H1390" s="9">
        <v>2395.24</v>
      </c>
      <c r="I1390" s="6" t="s">
        <v>161</v>
      </c>
      <c r="J1390" s="6" t="s">
        <v>479</v>
      </c>
      <c r="K1390" s="6" t="s">
        <v>9728</v>
      </c>
      <c r="L1390" s="6">
        <v>7.2540785289E10</v>
      </c>
      <c r="M1390" s="6" t="s">
        <v>9729</v>
      </c>
      <c r="N1390" s="6" t="s">
        <v>283</v>
      </c>
      <c r="O1390" s="6" t="s">
        <v>178</v>
      </c>
      <c r="P1390" s="10">
        <v>46019.0</v>
      </c>
    </row>
    <row r="1391" ht="22.5" customHeight="1">
      <c r="A1391" s="6" t="s">
        <v>9730</v>
      </c>
      <c r="B1391" s="6" t="s">
        <v>9731</v>
      </c>
      <c r="C1391" s="6" t="s">
        <v>9732</v>
      </c>
      <c r="D1391" s="6" t="s">
        <v>206</v>
      </c>
      <c r="E1391" s="6" t="s">
        <v>147</v>
      </c>
      <c r="F1391" s="8">
        <v>28.0</v>
      </c>
      <c r="G1391" s="9">
        <v>155.63</v>
      </c>
      <c r="H1391" s="9">
        <v>5821.97</v>
      </c>
      <c r="I1391" s="6" t="s">
        <v>161</v>
      </c>
      <c r="J1391" s="6" t="s">
        <v>577</v>
      </c>
      <c r="K1391" s="6" t="s">
        <v>9734</v>
      </c>
      <c r="L1391" s="6">
        <v>9.979380799E10</v>
      </c>
      <c r="M1391" s="6" t="s">
        <v>9735</v>
      </c>
      <c r="N1391" s="6" t="s">
        <v>283</v>
      </c>
      <c r="O1391" s="6" t="s">
        <v>178</v>
      </c>
      <c r="P1391" s="10">
        <v>46013.0</v>
      </c>
    </row>
    <row r="1392" ht="22.5" customHeight="1">
      <c r="A1392" s="6" t="s">
        <v>9737</v>
      </c>
      <c r="B1392" s="6" t="s">
        <v>9738</v>
      </c>
      <c r="C1392" s="6" t="s">
        <v>9739</v>
      </c>
      <c r="D1392" s="6" t="s">
        <v>145</v>
      </c>
      <c r="E1392" s="6" t="s">
        <v>301</v>
      </c>
      <c r="F1392" s="8">
        <v>54.0</v>
      </c>
      <c r="G1392" s="9">
        <v>1101.37</v>
      </c>
      <c r="H1392" s="9">
        <v>8104.89</v>
      </c>
      <c r="I1392" s="6" t="s">
        <v>161</v>
      </c>
      <c r="J1392" s="6" t="s">
        <v>4705</v>
      </c>
      <c r="K1392" s="6" t="s">
        <v>9741</v>
      </c>
      <c r="L1392" s="6">
        <v>2.1942357031E10</v>
      </c>
      <c r="M1392" s="6" t="s">
        <v>9742</v>
      </c>
      <c r="N1392" s="6" t="s">
        <v>176</v>
      </c>
      <c r="O1392" s="6" t="s">
        <v>178</v>
      </c>
      <c r="P1392" s="10">
        <v>46041.0</v>
      </c>
    </row>
    <row r="1393" ht="22.5" customHeight="1">
      <c r="A1393" s="6" t="s">
        <v>9744</v>
      </c>
      <c r="B1393" s="6" t="s">
        <v>9745</v>
      </c>
      <c r="C1393" s="6" t="s">
        <v>9746</v>
      </c>
      <c r="D1393" s="6" t="s">
        <v>145</v>
      </c>
      <c r="E1393" s="6" t="s">
        <v>147</v>
      </c>
      <c r="F1393" s="8">
        <v>12.0</v>
      </c>
      <c r="G1393" s="9">
        <v>1443.5</v>
      </c>
      <c r="H1393" s="9">
        <v>14154.99</v>
      </c>
      <c r="I1393" s="6" t="s">
        <v>161</v>
      </c>
      <c r="J1393" s="6" t="s">
        <v>228</v>
      </c>
      <c r="K1393" s="6" t="s">
        <v>9748</v>
      </c>
      <c r="L1393" s="6">
        <v>1.9351190474E10</v>
      </c>
      <c r="M1393" s="6" t="s">
        <v>9749</v>
      </c>
      <c r="N1393" s="6" t="s">
        <v>112</v>
      </c>
      <c r="O1393" s="6" t="s">
        <v>178</v>
      </c>
      <c r="P1393" s="10">
        <v>45943.0</v>
      </c>
    </row>
    <row r="1394" ht="22.5" customHeight="1">
      <c r="A1394" s="6" t="s">
        <v>9750</v>
      </c>
      <c r="B1394" s="6" t="s">
        <v>9751</v>
      </c>
      <c r="C1394" s="6" t="s">
        <v>9752</v>
      </c>
      <c r="D1394" s="6" t="s">
        <v>145</v>
      </c>
      <c r="E1394" s="6" t="s">
        <v>147</v>
      </c>
      <c r="F1394" s="8">
        <v>5.0</v>
      </c>
      <c r="G1394" s="9">
        <v>1382.96</v>
      </c>
      <c r="H1394" s="9">
        <v>14019.39</v>
      </c>
      <c r="I1394" s="6" t="s">
        <v>161</v>
      </c>
      <c r="J1394" s="6" t="s">
        <v>312</v>
      </c>
      <c r="K1394" s="6" t="s">
        <v>9754</v>
      </c>
      <c r="L1394" s="6">
        <v>1.4383692735E10</v>
      </c>
      <c r="M1394" s="6" t="s">
        <v>9755</v>
      </c>
      <c r="N1394" s="6" t="s">
        <v>176</v>
      </c>
      <c r="O1394" s="6" t="s">
        <v>178</v>
      </c>
      <c r="P1394" s="10">
        <v>45943.0</v>
      </c>
    </row>
    <row r="1395" ht="22.5" customHeight="1">
      <c r="A1395" s="6" t="s">
        <v>9757</v>
      </c>
      <c r="B1395" s="6" t="s">
        <v>9758</v>
      </c>
      <c r="C1395" s="6" t="s">
        <v>9759</v>
      </c>
      <c r="D1395" s="6" t="s">
        <v>206</v>
      </c>
      <c r="E1395" s="6" t="s">
        <v>301</v>
      </c>
      <c r="F1395" s="8">
        <v>35.0</v>
      </c>
      <c r="G1395" s="9">
        <v>1438.86</v>
      </c>
      <c r="H1395" s="9">
        <v>15246.56</v>
      </c>
      <c r="I1395" s="6" t="s">
        <v>161</v>
      </c>
      <c r="J1395" s="6" t="s">
        <v>228</v>
      </c>
      <c r="K1395" s="6" t="s">
        <v>9760</v>
      </c>
      <c r="L1395" s="6">
        <v>2.90134286E10</v>
      </c>
      <c r="M1395" s="6" t="s">
        <v>9762</v>
      </c>
      <c r="N1395" s="6" t="s">
        <v>259</v>
      </c>
      <c r="O1395" s="6" t="s">
        <v>178</v>
      </c>
      <c r="P1395" s="10">
        <v>45947.0</v>
      </c>
    </row>
    <row r="1396" ht="22.5" customHeight="1">
      <c r="A1396" s="6" t="s">
        <v>9763</v>
      </c>
      <c r="B1396" s="6" t="s">
        <v>9764</v>
      </c>
      <c r="C1396" s="6" t="s">
        <v>9765</v>
      </c>
      <c r="D1396" s="6" t="s">
        <v>145</v>
      </c>
      <c r="E1396" s="6" t="s">
        <v>301</v>
      </c>
      <c r="F1396" s="8">
        <v>57.0</v>
      </c>
      <c r="G1396" s="9">
        <v>816.94</v>
      </c>
      <c r="H1396" s="9">
        <v>1246.32</v>
      </c>
      <c r="I1396" s="6" t="s">
        <v>178</v>
      </c>
      <c r="J1396" s="6" t="s">
        <v>465</v>
      </c>
      <c r="K1396" s="6" t="s">
        <v>9767</v>
      </c>
      <c r="L1396" s="6">
        <v>5.6124606829E10</v>
      </c>
      <c r="M1396" s="6" t="s">
        <v>9768</v>
      </c>
      <c r="N1396" s="6" t="s">
        <v>259</v>
      </c>
      <c r="O1396" s="6" t="s">
        <v>161</v>
      </c>
      <c r="P1396" s="10">
        <v>45992.0</v>
      </c>
    </row>
    <row r="1397" ht="22.5" customHeight="1">
      <c r="A1397" s="6" t="s">
        <v>9769</v>
      </c>
      <c r="B1397" s="6" t="s">
        <v>9771</v>
      </c>
      <c r="C1397" s="6" t="s">
        <v>9772</v>
      </c>
      <c r="D1397" s="6" t="s">
        <v>206</v>
      </c>
      <c r="E1397" s="6" t="s">
        <v>147</v>
      </c>
      <c r="F1397" s="8">
        <v>17.0</v>
      </c>
      <c r="G1397" s="9">
        <v>203.95</v>
      </c>
      <c r="H1397" s="9">
        <v>2421.89</v>
      </c>
      <c r="I1397" s="6" t="s">
        <v>161</v>
      </c>
      <c r="J1397" s="6" t="s">
        <v>357</v>
      </c>
      <c r="K1397" s="6" t="s">
        <v>9773</v>
      </c>
      <c r="L1397" s="6">
        <v>3.4150540125E10</v>
      </c>
      <c r="M1397" s="6" t="s">
        <v>9774</v>
      </c>
      <c r="N1397" s="6" t="s">
        <v>112</v>
      </c>
      <c r="O1397" s="6" t="s">
        <v>178</v>
      </c>
      <c r="P1397" s="10">
        <v>45943.0</v>
      </c>
    </row>
    <row r="1398" ht="22.5" customHeight="1">
      <c r="A1398" s="6" t="s">
        <v>9776</v>
      </c>
      <c r="B1398" s="6" t="s">
        <v>9777</v>
      </c>
      <c r="C1398" s="6" t="s">
        <v>9778</v>
      </c>
      <c r="D1398" s="6" t="s">
        <v>383</v>
      </c>
      <c r="E1398" s="6" t="s">
        <v>147</v>
      </c>
      <c r="F1398" s="8">
        <v>18.0</v>
      </c>
      <c r="G1398" s="9">
        <v>948.71</v>
      </c>
      <c r="H1398" s="9">
        <v>11032.2</v>
      </c>
      <c r="I1398" s="6" t="s">
        <v>161</v>
      </c>
      <c r="J1398" s="6" t="s">
        <v>577</v>
      </c>
      <c r="K1398" s="6" t="s">
        <v>9780</v>
      </c>
      <c r="L1398" s="6">
        <v>2.213179607E9</v>
      </c>
      <c r="M1398" s="6" t="s">
        <v>9781</v>
      </c>
      <c r="N1398" s="6" t="s">
        <v>427</v>
      </c>
      <c r="O1398" s="6" t="s">
        <v>178</v>
      </c>
      <c r="P1398" s="10">
        <v>45945.0</v>
      </c>
    </row>
    <row r="1399" ht="22.5" customHeight="1">
      <c r="A1399" s="6" t="s">
        <v>9782</v>
      </c>
      <c r="B1399" s="6" t="s">
        <v>9783</v>
      </c>
      <c r="C1399" s="6" t="s">
        <v>9785</v>
      </c>
      <c r="D1399" s="6" t="s">
        <v>206</v>
      </c>
      <c r="E1399" s="6" t="s">
        <v>210</v>
      </c>
      <c r="F1399" s="8">
        <v>69.0</v>
      </c>
      <c r="G1399" s="9">
        <v>1625.14</v>
      </c>
      <c r="H1399" s="9">
        <v>6598.42</v>
      </c>
      <c r="I1399" s="6" t="s">
        <v>178</v>
      </c>
      <c r="J1399" s="6" t="s">
        <v>421</v>
      </c>
      <c r="K1399" s="6" t="s">
        <v>9786</v>
      </c>
      <c r="L1399" s="6">
        <v>1.4339306443E10</v>
      </c>
      <c r="M1399" s="6" t="s">
        <v>9787</v>
      </c>
      <c r="N1399" s="6" t="s">
        <v>427</v>
      </c>
      <c r="O1399" s="6" t="s">
        <v>161</v>
      </c>
      <c r="P1399" s="10">
        <v>46051.0</v>
      </c>
    </row>
    <row r="1400" ht="22.5" customHeight="1">
      <c r="A1400" s="6" t="s">
        <v>9789</v>
      </c>
      <c r="B1400" s="6" t="s">
        <v>9790</v>
      </c>
      <c r="C1400" s="6" t="s">
        <v>9791</v>
      </c>
      <c r="D1400" s="6" t="s">
        <v>206</v>
      </c>
      <c r="E1400" s="6" t="s">
        <v>301</v>
      </c>
      <c r="F1400" s="8">
        <v>32.0</v>
      </c>
      <c r="G1400" s="9">
        <v>1707.1</v>
      </c>
      <c r="H1400" s="9">
        <v>9564.4</v>
      </c>
      <c r="I1400" s="6" t="s">
        <v>161</v>
      </c>
      <c r="J1400" s="6" t="s">
        <v>465</v>
      </c>
      <c r="K1400" s="6" t="s">
        <v>9793</v>
      </c>
      <c r="L1400" s="6">
        <v>5.26883543E8</v>
      </c>
      <c r="M1400" s="6" t="s">
        <v>9794</v>
      </c>
      <c r="N1400" s="6" t="s">
        <v>112</v>
      </c>
      <c r="O1400" s="6" t="s">
        <v>178</v>
      </c>
      <c r="P1400" s="10">
        <v>46031.0</v>
      </c>
    </row>
    <row r="1401" ht="22.5" customHeight="1">
      <c r="A1401" s="6" t="s">
        <v>9795</v>
      </c>
      <c r="B1401" s="6" t="s">
        <v>9796</v>
      </c>
      <c r="C1401" s="6" t="s">
        <v>9797</v>
      </c>
      <c r="D1401" s="6" t="s">
        <v>206</v>
      </c>
      <c r="E1401" s="6" t="s">
        <v>147</v>
      </c>
      <c r="F1401" s="8">
        <v>22.0</v>
      </c>
      <c r="G1401" s="9">
        <v>1150.7</v>
      </c>
      <c r="H1401" s="9">
        <v>13392.3</v>
      </c>
      <c r="I1401" s="6" t="s">
        <v>161</v>
      </c>
      <c r="J1401" s="6" t="s">
        <v>393</v>
      </c>
      <c r="K1401" s="6" t="s">
        <v>9799</v>
      </c>
      <c r="L1401" s="6">
        <v>5.5291997358E10</v>
      </c>
      <c r="M1401" s="6" t="s">
        <v>9800</v>
      </c>
      <c r="N1401" s="6" t="s">
        <v>176</v>
      </c>
      <c r="O1401" s="6" t="s">
        <v>178</v>
      </c>
      <c r="P1401" s="10">
        <v>46022.0</v>
      </c>
    </row>
    <row r="1402" ht="22.5" customHeight="1">
      <c r="A1402" s="6" t="s">
        <v>9802</v>
      </c>
      <c r="B1402" s="6" t="s">
        <v>9803</v>
      </c>
      <c r="C1402" s="6" t="s">
        <v>9804</v>
      </c>
      <c r="D1402" s="6" t="s">
        <v>383</v>
      </c>
      <c r="E1402" s="6" t="s">
        <v>147</v>
      </c>
      <c r="F1402" s="8">
        <v>17.0</v>
      </c>
      <c r="G1402" s="9">
        <v>207.15</v>
      </c>
      <c r="H1402" s="9">
        <v>1213.78</v>
      </c>
      <c r="I1402" s="6" t="s">
        <v>161</v>
      </c>
      <c r="J1402" s="6" t="s">
        <v>442</v>
      </c>
      <c r="K1402" s="6" t="s">
        <v>9805</v>
      </c>
      <c r="L1402" s="6">
        <v>3.9844432693E10</v>
      </c>
      <c r="M1402" s="6" t="s">
        <v>9806</v>
      </c>
      <c r="N1402" s="6" t="s">
        <v>259</v>
      </c>
      <c r="O1402" s="6" t="s">
        <v>178</v>
      </c>
      <c r="P1402" s="10">
        <v>46016.0</v>
      </c>
    </row>
    <row r="1403" ht="22.5" customHeight="1">
      <c r="A1403" s="6" t="s">
        <v>9808</v>
      </c>
      <c r="B1403" s="6" t="s">
        <v>9809</v>
      </c>
      <c r="C1403" s="6" t="s">
        <v>9810</v>
      </c>
      <c r="D1403" s="6" t="s">
        <v>206</v>
      </c>
      <c r="E1403" s="6" t="s">
        <v>147</v>
      </c>
      <c r="F1403" s="8">
        <v>20.0</v>
      </c>
      <c r="G1403" s="9">
        <v>755.88</v>
      </c>
      <c r="H1403" s="9">
        <v>9336.82</v>
      </c>
      <c r="I1403" s="6" t="s">
        <v>178</v>
      </c>
      <c r="J1403" s="6" t="s">
        <v>577</v>
      </c>
      <c r="K1403" s="6" t="s">
        <v>9812</v>
      </c>
      <c r="L1403" s="6">
        <v>2.699507294E9</v>
      </c>
      <c r="M1403" s="6" t="s">
        <v>9813</v>
      </c>
      <c r="N1403" s="6" t="s">
        <v>112</v>
      </c>
      <c r="O1403" s="6" t="s">
        <v>161</v>
      </c>
      <c r="P1403" s="10">
        <v>45977.0</v>
      </c>
    </row>
    <row r="1404" ht="22.5" customHeight="1">
      <c r="A1404" s="6" t="s">
        <v>9815</v>
      </c>
      <c r="B1404" s="6" t="s">
        <v>9816</v>
      </c>
      <c r="C1404" s="6" t="s">
        <v>9817</v>
      </c>
      <c r="D1404" s="6" t="s">
        <v>145</v>
      </c>
      <c r="E1404" s="6" t="s">
        <v>210</v>
      </c>
      <c r="F1404" s="8">
        <v>118.0</v>
      </c>
      <c r="G1404" s="9">
        <v>1659.86</v>
      </c>
      <c r="H1404" s="9">
        <v>12139.01</v>
      </c>
      <c r="I1404" s="6" t="s">
        <v>161</v>
      </c>
      <c r="J1404" s="6" t="s">
        <v>228</v>
      </c>
      <c r="K1404" s="6" t="s">
        <v>9819</v>
      </c>
      <c r="L1404" s="6">
        <v>8.8004194332E10</v>
      </c>
      <c r="M1404" s="6" t="s">
        <v>9820</v>
      </c>
      <c r="N1404" s="6" t="s">
        <v>283</v>
      </c>
      <c r="O1404" s="6" t="s">
        <v>161</v>
      </c>
      <c r="P1404" s="10">
        <v>45932.0</v>
      </c>
    </row>
    <row r="1405" ht="22.5" customHeight="1">
      <c r="A1405" s="6" t="s">
        <v>9821</v>
      </c>
      <c r="B1405" s="6" t="s">
        <v>9822</v>
      </c>
      <c r="C1405" s="6" t="s">
        <v>9823</v>
      </c>
      <c r="D1405" s="6" t="s">
        <v>145</v>
      </c>
      <c r="E1405" s="6" t="s">
        <v>301</v>
      </c>
      <c r="F1405" s="8">
        <v>56.0</v>
      </c>
      <c r="G1405" s="9">
        <v>1676.28</v>
      </c>
      <c r="H1405" s="9">
        <v>10455.34</v>
      </c>
      <c r="I1405" s="6" t="s">
        <v>161</v>
      </c>
      <c r="J1405" s="6" t="s">
        <v>479</v>
      </c>
      <c r="K1405" s="6" t="s">
        <v>9825</v>
      </c>
      <c r="L1405" s="6">
        <v>7.5724208867E10</v>
      </c>
      <c r="M1405" s="6" t="s">
        <v>9826</v>
      </c>
      <c r="N1405" s="6" t="s">
        <v>283</v>
      </c>
      <c r="O1405" s="6" t="s">
        <v>178</v>
      </c>
      <c r="P1405" s="10">
        <v>46026.0</v>
      </c>
    </row>
    <row r="1406" ht="22.5" customHeight="1">
      <c r="A1406" s="6" t="s">
        <v>9828</v>
      </c>
      <c r="B1406" s="6" t="s">
        <v>9829</v>
      </c>
      <c r="C1406" s="6" t="s">
        <v>9830</v>
      </c>
      <c r="D1406" s="6" t="s">
        <v>206</v>
      </c>
      <c r="E1406" s="6" t="s">
        <v>301</v>
      </c>
      <c r="F1406" s="8">
        <v>36.0</v>
      </c>
      <c r="G1406" s="9">
        <v>1234.94</v>
      </c>
      <c r="H1406" s="9">
        <v>4686.29</v>
      </c>
      <c r="I1406" s="6" t="s">
        <v>161</v>
      </c>
      <c r="J1406" s="6" t="s">
        <v>577</v>
      </c>
      <c r="K1406" s="6" t="s">
        <v>9831</v>
      </c>
      <c r="L1406" s="6">
        <v>4.9935927672E10</v>
      </c>
      <c r="M1406" s="6" t="s">
        <v>9832</v>
      </c>
      <c r="N1406" s="6" t="s">
        <v>283</v>
      </c>
      <c r="O1406" s="6" t="s">
        <v>178</v>
      </c>
      <c r="P1406" s="10">
        <v>46005.0</v>
      </c>
    </row>
    <row r="1407" ht="22.5" customHeight="1">
      <c r="A1407" s="6" t="s">
        <v>9834</v>
      </c>
      <c r="B1407" s="6" t="s">
        <v>9835</v>
      </c>
      <c r="C1407" s="6" t="s">
        <v>9836</v>
      </c>
      <c r="D1407" s="6" t="s">
        <v>383</v>
      </c>
      <c r="E1407" s="6" t="s">
        <v>210</v>
      </c>
      <c r="F1407" s="8">
        <v>85.0</v>
      </c>
      <c r="G1407" s="9">
        <v>1391.31</v>
      </c>
      <c r="H1407" s="9">
        <v>12831.85</v>
      </c>
      <c r="I1407" s="6" t="s">
        <v>178</v>
      </c>
      <c r="J1407" s="6" t="s">
        <v>479</v>
      </c>
      <c r="K1407" s="6" t="s">
        <v>9838</v>
      </c>
      <c r="L1407" s="6">
        <v>7.9425451853E10</v>
      </c>
      <c r="M1407" s="6" t="s">
        <v>9839</v>
      </c>
      <c r="N1407" s="6" t="s">
        <v>176</v>
      </c>
      <c r="O1407" s="6" t="s">
        <v>161</v>
      </c>
      <c r="P1407" s="10">
        <v>45960.0</v>
      </c>
    </row>
    <row r="1408" ht="22.5" customHeight="1">
      <c r="A1408" s="6" t="s">
        <v>9840</v>
      </c>
      <c r="B1408" s="6" t="s">
        <v>9841</v>
      </c>
      <c r="C1408" s="6" t="s">
        <v>9842</v>
      </c>
      <c r="D1408" s="6" t="s">
        <v>145</v>
      </c>
      <c r="E1408" s="6" t="s">
        <v>301</v>
      </c>
      <c r="F1408" s="8">
        <v>35.0</v>
      </c>
      <c r="G1408" s="9">
        <v>1143.6</v>
      </c>
      <c r="H1408" s="9">
        <v>12527.01</v>
      </c>
      <c r="I1408" s="6" t="s">
        <v>161</v>
      </c>
      <c r="J1408" s="6" t="s">
        <v>312</v>
      </c>
      <c r="K1408" s="6" t="s">
        <v>9844</v>
      </c>
      <c r="L1408" s="6">
        <v>3.7178992872E10</v>
      </c>
      <c r="M1408" s="6" t="s">
        <v>9845</v>
      </c>
      <c r="N1408" s="6" t="s">
        <v>259</v>
      </c>
      <c r="O1408" s="6" t="s">
        <v>178</v>
      </c>
      <c r="P1408" s="10">
        <v>45973.0</v>
      </c>
    </row>
    <row r="1409" ht="22.5" customHeight="1">
      <c r="A1409" s="6" t="s">
        <v>9847</v>
      </c>
      <c r="B1409" s="6" t="s">
        <v>9848</v>
      </c>
      <c r="C1409" s="6" t="s">
        <v>9849</v>
      </c>
      <c r="D1409" s="6" t="s">
        <v>145</v>
      </c>
      <c r="E1409" s="6" t="s">
        <v>147</v>
      </c>
      <c r="F1409" s="8">
        <v>11.0</v>
      </c>
      <c r="G1409" s="9">
        <v>452.31</v>
      </c>
      <c r="H1409" s="9">
        <v>5974.35</v>
      </c>
      <c r="I1409" s="6" t="s">
        <v>161</v>
      </c>
      <c r="J1409" s="6" t="s">
        <v>259</v>
      </c>
      <c r="K1409" s="6" t="s">
        <v>9850</v>
      </c>
      <c r="L1409" s="6">
        <v>8.2491561277E10</v>
      </c>
      <c r="M1409" s="6" t="s">
        <v>9852</v>
      </c>
      <c r="N1409" s="6" t="s">
        <v>427</v>
      </c>
      <c r="O1409" s="6" t="s">
        <v>178</v>
      </c>
      <c r="P1409" s="10">
        <v>46044.0</v>
      </c>
    </row>
    <row r="1410" ht="22.5" customHeight="1">
      <c r="A1410" s="6" t="s">
        <v>9853</v>
      </c>
      <c r="B1410" s="6" t="s">
        <v>9854</v>
      </c>
      <c r="C1410" s="6" t="s">
        <v>9855</v>
      </c>
      <c r="D1410" s="6" t="s">
        <v>206</v>
      </c>
      <c r="E1410" s="6" t="s">
        <v>301</v>
      </c>
      <c r="F1410" s="8">
        <v>36.0</v>
      </c>
      <c r="G1410" s="9">
        <v>88.63</v>
      </c>
      <c r="H1410" s="9">
        <v>4551.88</v>
      </c>
      <c r="I1410" s="6" t="s">
        <v>161</v>
      </c>
      <c r="J1410" s="6" t="s">
        <v>312</v>
      </c>
      <c r="K1410" s="6" t="s">
        <v>9857</v>
      </c>
      <c r="L1410" s="6">
        <v>5.6182886018E10</v>
      </c>
      <c r="M1410" s="6" t="s">
        <v>9858</v>
      </c>
      <c r="N1410" s="6" t="s">
        <v>283</v>
      </c>
      <c r="O1410" s="6" t="s">
        <v>178</v>
      </c>
      <c r="P1410" s="10">
        <v>46046.0</v>
      </c>
    </row>
    <row r="1411" ht="22.5" customHeight="1">
      <c r="A1411" s="6" t="s">
        <v>9859</v>
      </c>
      <c r="B1411" s="6" t="s">
        <v>9861</v>
      </c>
      <c r="C1411" s="6" t="s">
        <v>9862</v>
      </c>
      <c r="D1411" s="6" t="s">
        <v>145</v>
      </c>
      <c r="E1411" s="6" t="s">
        <v>301</v>
      </c>
      <c r="F1411" s="8">
        <v>38.0</v>
      </c>
      <c r="G1411" s="9">
        <v>160.71</v>
      </c>
      <c r="H1411" s="9">
        <v>9723.11</v>
      </c>
      <c r="I1411" s="6" t="s">
        <v>161</v>
      </c>
      <c r="J1411" s="6" t="s">
        <v>465</v>
      </c>
      <c r="K1411" s="6" t="s">
        <v>9863</v>
      </c>
      <c r="L1411" s="6">
        <v>6.77642733E9</v>
      </c>
      <c r="M1411" s="6" t="s">
        <v>9864</v>
      </c>
      <c r="N1411" s="6" t="s">
        <v>427</v>
      </c>
      <c r="O1411" s="6" t="s">
        <v>178</v>
      </c>
      <c r="P1411" s="10">
        <v>45990.0</v>
      </c>
    </row>
    <row r="1412" ht="22.5" customHeight="1">
      <c r="A1412" s="6" t="s">
        <v>9866</v>
      </c>
      <c r="B1412" s="6" t="s">
        <v>9867</v>
      </c>
      <c r="C1412" s="6" t="s">
        <v>9868</v>
      </c>
      <c r="D1412" s="6" t="s">
        <v>206</v>
      </c>
      <c r="E1412" s="6" t="s">
        <v>301</v>
      </c>
      <c r="F1412" s="8">
        <v>31.0</v>
      </c>
      <c r="G1412" s="9">
        <v>1012.55</v>
      </c>
      <c r="H1412" s="9">
        <v>6090.77</v>
      </c>
      <c r="I1412" s="6" t="s">
        <v>161</v>
      </c>
      <c r="J1412" s="6" t="s">
        <v>577</v>
      </c>
      <c r="K1412" s="6" t="s">
        <v>9870</v>
      </c>
      <c r="L1412" s="6">
        <v>3.9713639722E10</v>
      </c>
      <c r="M1412" s="6" t="s">
        <v>9871</v>
      </c>
      <c r="N1412" s="6" t="s">
        <v>176</v>
      </c>
      <c r="O1412" s="6" t="s">
        <v>178</v>
      </c>
      <c r="P1412" s="10">
        <v>45932.0</v>
      </c>
    </row>
    <row r="1413" ht="22.5" customHeight="1">
      <c r="A1413" s="6" t="s">
        <v>9872</v>
      </c>
      <c r="B1413" s="6" t="s">
        <v>9873</v>
      </c>
      <c r="C1413" s="6" t="s">
        <v>9874</v>
      </c>
      <c r="D1413" s="6" t="s">
        <v>383</v>
      </c>
      <c r="E1413" s="6" t="s">
        <v>147</v>
      </c>
      <c r="F1413" s="8">
        <v>25.0</v>
      </c>
      <c r="G1413" s="9">
        <v>508.33</v>
      </c>
      <c r="H1413" s="9">
        <v>14252.93</v>
      </c>
      <c r="I1413" s="6" t="s">
        <v>161</v>
      </c>
      <c r="J1413" s="6" t="s">
        <v>577</v>
      </c>
      <c r="K1413" s="6" t="s">
        <v>9876</v>
      </c>
      <c r="L1413" s="6">
        <v>2.4276533842E10</v>
      </c>
      <c r="M1413" s="6" t="s">
        <v>9877</v>
      </c>
      <c r="N1413" s="6" t="s">
        <v>427</v>
      </c>
      <c r="O1413" s="6" t="s">
        <v>178</v>
      </c>
      <c r="P1413" s="10">
        <v>45941.0</v>
      </c>
    </row>
    <row r="1414" ht="22.5" customHeight="1">
      <c r="A1414" s="6" t="s">
        <v>9878</v>
      </c>
      <c r="B1414" s="6" t="s">
        <v>9880</v>
      </c>
      <c r="C1414" s="6" t="s">
        <v>9881</v>
      </c>
      <c r="D1414" s="6" t="s">
        <v>145</v>
      </c>
      <c r="E1414" s="6" t="s">
        <v>301</v>
      </c>
      <c r="F1414" s="8">
        <v>52.0</v>
      </c>
      <c r="G1414" s="9">
        <v>249.82</v>
      </c>
      <c r="H1414" s="9">
        <v>1515.44</v>
      </c>
      <c r="I1414" s="6" t="s">
        <v>161</v>
      </c>
      <c r="J1414" s="6" t="s">
        <v>163</v>
      </c>
      <c r="K1414" s="6" t="s">
        <v>9882</v>
      </c>
      <c r="L1414" s="6">
        <v>9.8053610108E10</v>
      </c>
      <c r="M1414" s="6" t="s">
        <v>9884</v>
      </c>
      <c r="N1414" s="6" t="s">
        <v>427</v>
      </c>
      <c r="O1414" s="6" t="s">
        <v>178</v>
      </c>
      <c r="P1414" s="10">
        <v>45996.0</v>
      </c>
    </row>
    <row r="1415" ht="22.5" customHeight="1">
      <c r="A1415" s="6" t="s">
        <v>9885</v>
      </c>
      <c r="B1415" s="6" t="s">
        <v>9886</v>
      </c>
      <c r="C1415" s="6" t="s">
        <v>9887</v>
      </c>
      <c r="D1415" s="6" t="s">
        <v>383</v>
      </c>
      <c r="E1415" s="6" t="s">
        <v>147</v>
      </c>
      <c r="F1415" s="8">
        <v>5.0</v>
      </c>
      <c r="G1415" s="9">
        <v>1185.03</v>
      </c>
      <c r="H1415" s="9">
        <v>2831.43</v>
      </c>
      <c r="I1415" s="6" t="s">
        <v>161</v>
      </c>
      <c r="J1415" s="6" t="s">
        <v>228</v>
      </c>
      <c r="K1415" s="6" t="s">
        <v>9889</v>
      </c>
      <c r="L1415" s="6">
        <v>6.7548686748E10</v>
      </c>
      <c r="M1415" s="6" t="s">
        <v>9890</v>
      </c>
      <c r="N1415" s="6" t="s">
        <v>283</v>
      </c>
      <c r="O1415" s="6" t="s">
        <v>161</v>
      </c>
      <c r="P1415" s="10">
        <v>45958.0</v>
      </c>
    </row>
    <row r="1416" ht="22.5" customHeight="1">
      <c r="A1416" s="6" t="s">
        <v>9891</v>
      </c>
      <c r="B1416" s="6" t="s">
        <v>9892</v>
      </c>
      <c r="C1416" s="6" t="s">
        <v>9894</v>
      </c>
      <c r="D1416" s="6" t="s">
        <v>145</v>
      </c>
      <c r="E1416" s="6" t="s">
        <v>147</v>
      </c>
      <c r="F1416" s="8">
        <v>20.0</v>
      </c>
      <c r="G1416" s="9">
        <v>1350.61</v>
      </c>
      <c r="H1416" s="9">
        <v>2912.4</v>
      </c>
      <c r="I1416" s="6" t="s">
        <v>161</v>
      </c>
      <c r="J1416" s="6" t="s">
        <v>312</v>
      </c>
      <c r="K1416" s="6" t="s">
        <v>9896</v>
      </c>
      <c r="L1416" s="6">
        <v>3.1093936327E10</v>
      </c>
      <c r="M1416" s="6" t="s">
        <v>9897</v>
      </c>
      <c r="N1416" s="6" t="s">
        <v>112</v>
      </c>
      <c r="O1416" s="6" t="s">
        <v>178</v>
      </c>
      <c r="P1416" s="10">
        <v>46001.0</v>
      </c>
    </row>
    <row r="1417" ht="22.5" customHeight="1">
      <c r="A1417" s="6" t="s">
        <v>9898</v>
      </c>
      <c r="B1417" s="6" t="s">
        <v>9899</v>
      </c>
      <c r="C1417" s="6" t="s">
        <v>9900</v>
      </c>
      <c r="D1417" s="6" t="s">
        <v>383</v>
      </c>
      <c r="E1417" s="6" t="s">
        <v>147</v>
      </c>
      <c r="F1417" s="8">
        <v>27.0</v>
      </c>
      <c r="G1417" s="9">
        <v>165.17</v>
      </c>
      <c r="H1417" s="9">
        <v>8327.73</v>
      </c>
      <c r="I1417" s="6" t="s">
        <v>161</v>
      </c>
      <c r="J1417" s="6" t="s">
        <v>228</v>
      </c>
      <c r="K1417" s="6" t="s">
        <v>9902</v>
      </c>
      <c r="L1417" s="6">
        <v>1.0646909769E10</v>
      </c>
      <c r="M1417" s="6" t="s">
        <v>9903</v>
      </c>
      <c r="N1417" s="6" t="s">
        <v>176</v>
      </c>
      <c r="O1417" s="6" t="s">
        <v>161</v>
      </c>
      <c r="P1417" s="10">
        <v>45951.0</v>
      </c>
    </row>
    <row r="1418" ht="22.5" customHeight="1">
      <c r="A1418" s="6" t="s">
        <v>9905</v>
      </c>
      <c r="B1418" s="6" t="s">
        <v>9906</v>
      </c>
      <c r="C1418" s="6" t="s">
        <v>9907</v>
      </c>
      <c r="D1418" s="6" t="s">
        <v>383</v>
      </c>
      <c r="E1418" s="6" t="s">
        <v>301</v>
      </c>
      <c r="F1418" s="8">
        <v>42.0</v>
      </c>
      <c r="G1418" s="9">
        <v>1168.64</v>
      </c>
      <c r="H1418" s="9">
        <v>3435.69</v>
      </c>
      <c r="I1418" s="6" t="s">
        <v>161</v>
      </c>
      <c r="J1418" s="6" t="s">
        <v>421</v>
      </c>
      <c r="K1418" s="6" t="s">
        <v>9909</v>
      </c>
      <c r="L1418" s="6" t="s">
        <v>259</v>
      </c>
      <c r="M1418" s="6" t="s">
        <v>9910</v>
      </c>
      <c r="N1418" s="6" t="s">
        <v>427</v>
      </c>
      <c r="O1418" s="6" t="s">
        <v>178</v>
      </c>
      <c r="P1418" s="10">
        <v>46002.0</v>
      </c>
    </row>
    <row r="1419" ht="22.5" customHeight="1">
      <c r="A1419" s="6" t="s">
        <v>9911</v>
      </c>
      <c r="B1419" s="6" t="s">
        <v>9912</v>
      </c>
      <c r="C1419" s="6" t="s">
        <v>9913</v>
      </c>
      <c r="D1419" s="6" t="s">
        <v>206</v>
      </c>
      <c r="E1419" s="6" t="s">
        <v>301</v>
      </c>
      <c r="F1419" s="8">
        <v>55.0</v>
      </c>
      <c r="G1419" s="9">
        <v>1258.18</v>
      </c>
      <c r="H1419" s="9">
        <v>7409.41</v>
      </c>
      <c r="I1419" s="6" t="s">
        <v>161</v>
      </c>
      <c r="J1419" s="6" t="s">
        <v>442</v>
      </c>
      <c r="K1419" s="6" t="s">
        <v>9915</v>
      </c>
      <c r="L1419" s="6">
        <v>5.1387463017E10</v>
      </c>
      <c r="M1419" s="6" t="s">
        <v>9916</v>
      </c>
      <c r="N1419" s="6" t="s">
        <v>283</v>
      </c>
      <c r="O1419" s="6" t="s">
        <v>178</v>
      </c>
      <c r="P1419" s="10">
        <v>45944.0</v>
      </c>
    </row>
    <row r="1420" ht="22.5" customHeight="1">
      <c r="A1420" s="6" t="s">
        <v>9918</v>
      </c>
      <c r="B1420" s="6" t="s">
        <v>9919</v>
      </c>
      <c r="C1420" s="6" t="s">
        <v>9920</v>
      </c>
      <c r="D1420" s="6" t="s">
        <v>145</v>
      </c>
      <c r="E1420" s="6" t="s">
        <v>210</v>
      </c>
      <c r="F1420" s="8">
        <v>64.0</v>
      </c>
      <c r="G1420" s="9">
        <v>550.99</v>
      </c>
      <c r="H1420" s="9">
        <v>7610.86</v>
      </c>
      <c r="I1420" s="6" t="s">
        <v>161</v>
      </c>
      <c r="J1420" s="6" t="s">
        <v>228</v>
      </c>
      <c r="K1420" s="6" t="s">
        <v>9921</v>
      </c>
      <c r="L1420" s="6">
        <v>1.2220763248E10</v>
      </c>
      <c r="M1420" s="6" t="s">
        <v>9923</v>
      </c>
      <c r="N1420" s="6" t="s">
        <v>259</v>
      </c>
      <c r="O1420" s="6" t="s">
        <v>161</v>
      </c>
      <c r="P1420" s="10">
        <v>45997.0</v>
      </c>
    </row>
    <row r="1421" ht="22.5" customHeight="1">
      <c r="A1421" s="6" t="s">
        <v>9924</v>
      </c>
      <c r="B1421" s="6" t="s">
        <v>9925</v>
      </c>
      <c r="C1421" s="6" t="s">
        <v>9927</v>
      </c>
      <c r="D1421" s="6" t="s">
        <v>145</v>
      </c>
      <c r="E1421" s="6" t="s">
        <v>147</v>
      </c>
      <c r="F1421" s="8">
        <v>18.0</v>
      </c>
      <c r="G1421" s="9">
        <v>270.47</v>
      </c>
      <c r="H1421" s="9">
        <v>996.76</v>
      </c>
      <c r="I1421" s="6" t="s">
        <v>161</v>
      </c>
      <c r="J1421" s="6" t="s">
        <v>312</v>
      </c>
      <c r="K1421" s="6" t="s">
        <v>9928</v>
      </c>
      <c r="L1421" s="6">
        <v>9.0876417738E10</v>
      </c>
      <c r="M1421" s="6" t="s">
        <v>9930</v>
      </c>
      <c r="N1421" s="6" t="s">
        <v>176</v>
      </c>
      <c r="O1421" s="6" t="s">
        <v>178</v>
      </c>
      <c r="P1421" s="10">
        <v>45983.0</v>
      </c>
    </row>
    <row r="1422" ht="22.5" customHeight="1">
      <c r="A1422" s="6" t="s">
        <v>9931</v>
      </c>
      <c r="B1422" s="6" t="s">
        <v>9932</v>
      </c>
      <c r="C1422" s="6" t="s">
        <v>9933</v>
      </c>
      <c r="D1422" s="6" t="s">
        <v>145</v>
      </c>
      <c r="E1422" s="6" t="s">
        <v>210</v>
      </c>
      <c r="F1422" s="8">
        <v>74.0</v>
      </c>
      <c r="G1422" s="9">
        <v>175.87</v>
      </c>
      <c r="H1422" s="9">
        <v>11437.39</v>
      </c>
      <c r="I1422" s="6" t="s">
        <v>161</v>
      </c>
      <c r="J1422" s="6" t="s">
        <v>259</v>
      </c>
      <c r="K1422" s="6" t="s">
        <v>9935</v>
      </c>
      <c r="L1422" s="6">
        <v>8.318168109E10</v>
      </c>
      <c r="M1422" s="6" t="s">
        <v>9936</v>
      </c>
      <c r="N1422" s="6" t="s">
        <v>259</v>
      </c>
      <c r="O1422" s="6" t="s">
        <v>161</v>
      </c>
      <c r="P1422" s="10">
        <v>45993.0</v>
      </c>
    </row>
    <row r="1423" ht="22.5" customHeight="1">
      <c r="A1423" s="6" t="s">
        <v>9937</v>
      </c>
      <c r="B1423" s="6" t="s">
        <v>9939</v>
      </c>
      <c r="C1423" s="6" t="s">
        <v>9940</v>
      </c>
      <c r="D1423" s="6" t="s">
        <v>206</v>
      </c>
      <c r="E1423" s="6" t="s">
        <v>301</v>
      </c>
      <c r="F1423" s="8">
        <v>40.0</v>
      </c>
      <c r="G1423" s="9">
        <v>1095.02</v>
      </c>
      <c r="H1423" s="9">
        <v>6928.7</v>
      </c>
      <c r="I1423" s="6" t="s">
        <v>161</v>
      </c>
      <c r="J1423" s="6" t="s">
        <v>357</v>
      </c>
      <c r="K1423" s="6" t="s">
        <v>259</v>
      </c>
      <c r="L1423" s="6">
        <v>1.7506783219E10</v>
      </c>
      <c r="M1423" s="6" t="s">
        <v>9941</v>
      </c>
      <c r="N1423" s="6" t="s">
        <v>427</v>
      </c>
      <c r="O1423" s="6" t="s">
        <v>178</v>
      </c>
      <c r="P1423" s="10">
        <v>46025.0</v>
      </c>
    </row>
    <row r="1424" ht="22.5" customHeight="1">
      <c r="A1424" s="6" t="s">
        <v>9943</v>
      </c>
      <c r="B1424" s="6" t="s">
        <v>9944</v>
      </c>
      <c r="C1424" s="6" t="s">
        <v>540</v>
      </c>
      <c r="D1424" s="6" t="s">
        <v>145</v>
      </c>
      <c r="E1424" s="6" t="s">
        <v>301</v>
      </c>
      <c r="F1424" s="8">
        <v>49.0</v>
      </c>
      <c r="G1424" s="9">
        <v>1438.67</v>
      </c>
      <c r="H1424" s="9">
        <v>8702.48</v>
      </c>
      <c r="I1424" s="6" t="s">
        <v>161</v>
      </c>
      <c r="J1424" s="6" t="s">
        <v>577</v>
      </c>
      <c r="K1424" s="6" t="s">
        <v>9946</v>
      </c>
      <c r="L1424" s="6">
        <v>3.7161157743E10</v>
      </c>
      <c r="M1424" s="6" t="s">
        <v>9947</v>
      </c>
      <c r="N1424" s="6" t="s">
        <v>427</v>
      </c>
      <c r="O1424" s="6" t="s">
        <v>178</v>
      </c>
      <c r="P1424" s="10">
        <v>46038.0</v>
      </c>
    </row>
    <row r="1425" ht="22.5" customHeight="1">
      <c r="A1425" s="6" t="s">
        <v>9948</v>
      </c>
      <c r="B1425" s="6" t="s">
        <v>9949</v>
      </c>
      <c r="C1425" s="6" t="s">
        <v>9950</v>
      </c>
      <c r="D1425" s="6" t="s">
        <v>206</v>
      </c>
      <c r="E1425" s="6" t="s">
        <v>301</v>
      </c>
      <c r="F1425" s="8">
        <v>43.0</v>
      </c>
      <c r="G1425" s="9">
        <v>381.65</v>
      </c>
      <c r="H1425" s="9">
        <v>3457.29</v>
      </c>
      <c r="I1425" s="6" t="s">
        <v>161</v>
      </c>
      <c r="J1425" s="6" t="s">
        <v>442</v>
      </c>
      <c r="K1425" s="6" t="s">
        <v>9952</v>
      </c>
      <c r="L1425" s="6">
        <v>4.3236019345E10</v>
      </c>
      <c r="M1425" s="6" t="s">
        <v>9953</v>
      </c>
      <c r="N1425" s="6" t="s">
        <v>427</v>
      </c>
      <c r="O1425" s="6" t="s">
        <v>178</v>
      </c>
      <c r="P1425" s="10">
        <v>46041.0</v>
      </c>
    </row>
    <row r="1426" ht="22.5" customHeight="1">
      <c r="A1426" s="6" t="s">
        <v>9955</v>
      </c>
      <c r="B1426" s="6" t="s">
        <v>9956</v>
      </c>
      <c r="C1426" s="6" t="s">
        <v>9957</v>
      </c>
      <c r="D1426" s="6" t="s">
        <v>206</v>
      </c>
      <c r="E1426" s="6" t="s">
        <v>147</v>
      </c>
      <c r="F1426" s="8">
        <v>11.0</v>
      </c>
      <c r="G1426" s="9">
        <v>682.66</v>
      </c>
      <c r="H1426" s="9">
        <v>10771.47</v>
      </c>
      <c r="I1426" s="6" t="s">
        <v>161</v>
      </c>
      <c r="J1426" s="6" t="s">
        <v>357</v>
      </c>
      <c r="K1426" s="6" t="s">
        <v>9958</v>
      </c>
      <c r="L1426" s="6">
        <v>6.5963973686E10</v>
      </c>
      <c r="M1426" s="6" t="s">
        <v>9960</v>
      </c>
      <c r="N1426" s="6" t="s">
        <v>112</v>
      </c>
      <c r="O1426" s="6" t="s">
        <v>178</v>
      </c>
      <c r="P1426" s="10">
        <v>45973.0</v>
      </c>
    </row>
    <row r="1427" ht="22.5" customHeight="1">
      <c r="A1427" s="6" t="s">
        <v>9961</v>
      </c>
      <c r="B1427" s="6" t="s">
        <v>9962</v>
      </c>
      <c r="C1427" s="6" t="s">
        <v>5548</v>
      </c>
      <c r="D1427" s="6" t="s">
        <v>206</v>
      </c>
      <c r="E1427" s="6" t="s">
        <v>147</v>
      </c>
      <c r="F1427" s="8">
        <v>22.0</v>
      </c>
      <c r="G1427" s="9">
        <v>933.88</v>
      </c>
      <c r="H1427" s="9">
        <v>4851.29</v>
      </c>
      <c r="I1427" s="6" t="s">
        <v>161</v>
      </c>
      <c r="J1427" s="6" t="s">
        <v>228</v>
      </c>
      <c r="K1427" s="6" t="s">
        <v>9964</v>
      </c>
      <c r="L1427" s="6">
        <v>6.875147813E10</v>
      </c>
      <c r="M1427" s="6" t="s">
        <v>9965</v>
      </c>
      <c r="N1427" s="6" t="s">
        <v>427</v>
      </c>
      <c r="O1427" s="6" t="s">
        <v>178</v>
      </c>
      <c r="P1427" s="10">
        <v>45982.0</v>
      </c>
    </row>
    <row r="1428" ht="22.5" customHeight="1">
      <c r="A1428" s="6" t="s">
        <v>9966</v>
      </c>
      <c r="B1428" s="6" t="s">
        <v>9967</v>
      </c>
      <c r="C1428" s="6" t="s">
        <v>9968</v>
      </c>
      <c r="D1428" s="6" t="s">
        <v>145</v>
      </c>
      <c r="E1428" s="6" t="s">
        <v>147</v>
      </c>
      <c r="F1428" s="8">
        <v>20.0</v>
      </c>
      <c r="G1428" s="9">
        <v>1423.48</v>
      </c>
      <c r="H1428" s="9">
        <v>14948.1</v>
      </c>
      <c r="I1428" s="6" t="s">
        <v>161</v>
      </c>
      <c r="J1428" s="6" t="s">
        <v>259</v>
      </c>
      <c r="K1428" s="6" t="s">
        <v>9970</v>
      </c>
      <c r="L1428" s="6">
        <v>5.0664930004E10</v>
      </c>
      <c r="M1428" s="6" t="s">
        <v>9971</v>
      </c>
      <c r="N1428" s="6" t="s">
        <v>259</v>
      </c>
      <c r="O1428" s="6" t="s">
        <v>178</v>
      </c>
      <c r="P1428" s="10">
        <v>45957.0</v>
      </c>
    </row>
    <row r="1429" ht="22.5" customHeight="1">
      <c r="A1429" s="6" t="s">
        <v>9972</v>
      </c>
      <c r="B1429" s="6" t="s">
        <v>9974</v>
      </c>
      <c r="C1429" s="6" t="s">
        <v>9975</v>
      </c>
      <c r="D1429" s="6" t="s">
        <v>145</v>
      </c>
      <c r="E1429" s="6" t="s">
        <v>147</v>
      </c>
      <c r="F1429" s="8">
        <v>6.0</v>
      </c>
      <c r="G1429" s="9">
        <v>1464.75</v>
      </c>
      <c r="H1429" s="9">
        <v>7533.4</v>
      </c>
      <c r="I1429" s="6" t="s">
        <v>161</v>
      </c>
      <c r="J1429" s="6" t="s">
        <v>421</v>
      </c>
      <c r="K1429" s="6" t="s">
        <v>9976</v>
      </c>
      <c r="L1429" s="6">
        <v>4.4037805952E10</v>
      </c>
      <c r="M1429" s="6" t="s">
        <v>9977</v>
      </c>
      <c r="N1429" s="6" t="s">
        <v>176</v>
      </c>
      <c r="O1429" s="6" t="s">
        <v>178</v>
      </c>
      <c r="P1429" s="10">
        <v>46003.0</v>
      </c>
    </row>
    <row r="1430" ht="22.5" customHeight="1">
      <c r="A1430" s="6" t="s">
        <v>9979</v>
      </c>
      <c r="B1430" s="6" t="s">
        <v>9980</v>
      </c>
      <c r="C1430" s="6" t="s">
        <v>9981</v>
      </c>
      <c r="D1430" s="6" t="s">
        <v>145</v>
      </c>
      <c r="E1430" s="6" t="s">
        <v>210</v>
      </c>
      <c r="F1430" s="8">
        <v>120.0</v>
      </c>
      <c r="G1430" s="9">
        <v>1799.86</v>
      </c>
      <c r="H1430" s="9">
        <v>7245.96</v>
      </c>
      <c r="I1430" s="6" t="s">
        <v>161</v>
      </c>
      <c r="J1430" s="6" t="s">
        <v>442</v>
      </c>
      <c r="K1430" s="6" t="s">
        <v>9983</v>
      </c>
      <c r="L1430" s="6">
        <v>4.9139704772E10</v>
      </c>
      <c r="M1430" s="6" t="s">
        <v>9984</v>
      </c>
      <c r="N1430" s="6" t="s">
        <v>259</v>
      </c>
      <c r="O1430" s="6" t="s">
        <v>161</v>
      </c>
      <c r="P1430" s="10">
        <v>45982.0</v>
      </c>
    </row>
    <row r="1431" ht="22.5" customHeight="1">
      <c r="A1431" s="6" t="s">
        <v>9985</v>
      </c>
      <c r="B1431" s="6" t="s">
        <v>9986</v>
      </c>
      <c r="C1431" s="6" t="s">
        <v>9987</v>
      </c>
      <c r="D1431" s="6" t="s">
        <v>383</v>
      </c>
      <c r="E1431" s="6" t="s">
        <v>301</v>
      </c>
      <c r="F1431" s="8">
        <v>50.0</v>
      </c>
      <c r="G1431" s="9">
        <v>383.54</v>
      </c>
      <c r="H1431" s="9">
        <v>4966.09</v>
      </c>
      <c r="I1431" s="6" t="s">
        <v>161</v>
      </c>
      <c r="J1431" s="6" t="s">
        <v>228</v>
      </c>
      <c r="K1431" s="6" t="s">
        <v>9989</v>
      </c>
      <c r="L1431" s="6">
        <v>2.7441912669E10</v>
      </c>
      <c r="M1431" s="6" t="s">
        <v>9990</v>
      </c>
      <c r="N1431" s="6" t="s">
        <v>427</v>
      </c>
      <c r="O1431" s="6" t="s">
        <v>178</v>
      </c>
      <c r="P1431" s="10">
        <v>45936.0</v>
      </c>
    </row>
    <row r="1432" ht="22.5" customHeight="1">
      <c r="A1432" s="6" t="s">
        <v>9992</v>
      </c>
      <c r="B1432" s="6" t="s">
        <v>9993</v>
      </c>
      <c r="C1432" s="6" t="s">
        <v>9994</v>
      </c>
      <c r="D1432" s="6" t="s">
        <v>145</v>
      </c>
      <c r="E1432" s="6" t="s">
        <v>147</v>
      </c>
      <c r="F1432" s="8">
        <v>13.0</v>
      </c>
      <c r="G1432" s="9">
        <v>615.14</v>
      </c>
      <c r="H1432" s="9">
        <v>10827.67</v>
      </c>
      <c r="I1432" s="6" t="s">
        <v>161</v>
      </c>
      <c r="J1432" s="6" t="s">
        <v>312</v>
      </c>
      <c r="K1432" s="6" t="s">
        <v>9995</v>
      </c>
      <c r="L1432" s="6">
        <v>5.57664328E9</v>
      </c>
      <c r="M1432" s="6" t="s">
        <v>9996</v>
      </c>
      <c r="N1432" s="6" t="s">
        <v>259</v>
      </c>
      <c r="O1432" s="6" t="s">
        <v>178</v>
      </c>
      <c r="P1432" s="10">
        <v>45972.0</v>
      </c>
    </row>
    <row r="1433" ht="22.5" customHeight="1">
      <c r="A1433" s="6" t="s">
        <v>9998</v>
      </c>
      <c r="B1433" s="6" t="s">
        <v>9999</v>
      </c>
      <c r="C1433" s="6" t="s">
        <v>10000</v>
      </c>
      <c r="D1433" s="6" t="s">
        <v>206</v>
      </c>
      <c r="E1433" s="6" t="s">
        <v>147</v>
      </c>
      <c r="F1433" s="8">
        <v>5.0</v>
      </c>
      <c r="G1433" s="9">
        <v>1013.67</v>
      </c>
      <c r="H1433" s="9">
        <v>8959.96</v>
      </c>
      <c r="I1433" s="6" t="s">
        <v>161</v>
      </c>
      <c r="J1433" s="6" t="s">
        <v>163</v>
      </c>
      <c r="K1433" s="6" t="s">
        <v>10001</v>
      </c>
      <c r="L1433" s="6">
        <v>6.9206091493E10</v>
      </c>
      <c r="M1433" s="6" t="s">
        <v>10003</v>
      </c>
      <c r="N1433" s="6" t="s">
        <v>427</v>
      </c>
      <c r="O1433" s="6" t="s">
        <v>178</v>
      </c>
      <c r="P1433" s="10">
        <v>45964.0</v>
      </c>
    </row>
    <row r="1434" ht="22.5" customHeight="1">
      <c r="A1434" s="6" t="s">
        <v>10004</v>
      </c>
      <c r="B1434" s="6" t="s">
        <v>10005</v>
      </c>
      <c r="C1434" s="6" t="s">
        <v>10006</v>
      </c>
      <c r="D1434" s="6" t="s">
        <v>145</v>
      </c>
      <c r="E1434" s="6" t="s">
        <v>301</v>
      </c>
      <c r="F1434" s="8">
        <v>59.0</v>
      </c>
      <c r="G1434" s="9">
        <v>1315.31</v>
      </c>
      <c r="H1434" s="9">
        <v>11837.88</v>
      </c>
      <c r="I1434" s="6" t="s">
        <v>161</v>
      </c>
      <c r="J1434" s="6" t="s">
        <v>421</v>
      </c>
      <c r="K1434" s="6" t="s">
        <v>10008</v>
      </c>
      <c r="L1434" s="6">
        <v>6.332758702E9</v>
      </c>
      <c r="M1434" s="6" t="s">
        <v>10009</v>
      </c>
      <c r="N1434" s="6" t="s">
        <v>259</v>
      </c>
      <c r="O1434" s="6" t="s">
        <v>178</v>
      </c>
      <c r="P1434" s="10">
        <v>45947.0</v>
      </c>
    </row>
    <row r="1435" ht="22.5" customHeight="1">
      <c r="A1435" s="6" t="s">
        <v>10010</v>
      </c>
      <c r="B1435" s="6" t="s">
        <v>10011</v>
      </c>
      <c r="C1435" s="6" t="s">
        <v>10013</v>
      </c>
      <c r="D1435" s="6" t="s">
        <v>145</v>
      </c>
      <c r="E1435" s="6" t="s">
        <v>301</v>
      </c>
      <c r="F1435" s="8">
        <v>48.0</v>
      </c>
      <c r="G1435" s="9">
        <v>189.1</v>
      </c>
      <c r="H1435" s="9">
        <v>12364.41</v>
      </c>
      <c r="I1435" s="6" t="s">
        <v>161</v>
      </c>
      <c r="J1435" s="6" t="s">
        <v>577</v>
      </c>
      <c r="K1435" s="6" t="s">
        <v>10014</v>
      </c>
      <c r="L1435" s="6">
        <v>5.0382538045E10</v>
      </c>
      <c r="M1435" s="6" t="s">
        <v>10015</v>
      </c>
      <c r="N1435" s="6" t="s">
        <v>283</v>
      </c>
      <c r="O1435" s="6" t="s">
        <v>178</v>
      </c>
      <c r="P1435" s="10">
        <v>45993.0</v>
      </c>
    </row>
    <row r="1436" ht="22.5" customHeight="1">
      <c r="A1436" s="6" t="s">
        <v>10017</v>
      </c>
      <c r="B1436" s="6" t="s">
        <v>10018</v>
      </c>
      <c r="C1436" s="6" t="s">
        <v>10019</v>
      </c>
      <c r="D1436" s="6" t="s">
        <v>145</v>
      </c>
      <c r="E1436" s="6" t="s">
        <v>147</v>
      </c>
      <c r="F1436" s="8">
        <v>19.0</v>
      </c>
      <c r="G1436" s="9">
        <v>573.83</v>
      </c>
      <c r="H1436" s="9">
        <v>1541.21</v>
      </c>
      <c r="I1436" s="6" t="s">
        <v>161</v>
      </c>
      <c r="J1436" s="6" t="s">
        <v>421</v>
      </c>
      <c r="K1436" s="6" t="s">
        <v>10021</v>
      </c>
      <c r="L1436" s="6">
        <v>1.9598328036E10</v>
      </c>
      <c r="M1436" s="6" t="s">
        <v>10022</v>
      </c>
      <c r="N1436" s="6" t="s">
        <v>259</v>
      </c>
      <c r="O1436" s="6" t="s">
        <v>178</v>
      </c>
      <c r="P1436" s="10">
        <v>45981.0</v>
      </c>
    </row>
    <row r="1437" ht="22.5" customHeight="1">
      <c r="A1437" s="6" t="s">
        <v>10023</v>
      </c>
      <c r="B1437" s="6" t="s">
        <v>10024</v>
      </c>
      <c r="C1437" s="6" t="s">
        <v>10025</v>
      </c>
      <c r="D1437" s="6" t="s">
        <v>145</v>
      </c>
      <c r="E1437" s="6" t="s">
        <v>301</v>
      </c>
      <c r="F1437" s="8">
        <v>56.0</v>
      </c>
      <c r="G1437" s="9">
        <v>1687.45</v>
      </c>
      <c r="H1437" s="9">
        <v>3108.22</v>
      </c>
      <c r="I1437" s="6" t="s">
        <v>161</v>
      </c>
      <c r="J1437" s="6" t="s">
        <v>312</v>
      </c>
      <c r="K1437" s="6" t="s">
        <v>10027</v>
      </c>
      <c r="L1437" s="6">
        <v>4.0085149844E10</v>
      </c>
      <c r="M1437" s="6" t="s">
        <v>10028</v>
      </c>
      <c r="N1437" s="6" t="s">
        <v>283</v>
      </c>
      <c r="O1437" s="6" t="s">
        <v>178</v>
      </c>
      <c r="P1437" s="10">
        <v>45956.0</v>
      </c>
    </row>
    <row r="1438" ht="22.5" customHeight="1">
      <c r="A1438" s="6" t="s">
        <v>10029</v>
      </c>
      <c r="B1438" s="6" t="s">
        <v>10030</v>
      </c>
      <c r="C1438" s="6" t="s">
        <v>10031</v>
      </c>
      <c r="D1438" s="6" t="s">
        <v>206</v>
      </c>
      <c r="E1438" s="6" t="s">
        <v>301</v>
      </c>
      <c r="F1438" s="8">
        <v>50.0</v>
      </c>
      <c r="G1438" s="9">
        <v>199.32</v>
      </c>
      <c r="H1438" s="9">
        <v>1664.32</v>
      </c>
      <c r="I1438" s="6" t="s">
        <v>161</v>
      </c>
      <c r="J1438" s="6" t="s">
        <v>465</v>
      </c>
      <c r="K1438" s="6" t="s">
        <v>10033</v>
      </c>
      <c r="L1438" s="6">
        <v>8.1515975234E10</v>
      </c>
      <c r="M1438" s="6" t="s">
        <v>10034</v>
      </c>
      <c r="N1438" s="6" t="s">
        <v>283</v>
      </c>
      <c r="O1438" s="6" t="s">
        <v>178</v>
      </c>
      <c r="P1438" s="10">
        <v>45951.0</v>
      </c>
    </row>
    <row r="1439" ht="22.5" customHeight="1">
      <c r="A1439" s="6" t="s">
        <v>10036</v>
      </c>
      <c r="B1439" s="6" t="s">
        <v>10037</v>
      </c>
      <c r="C1439" s="6" t="s">
        <v>10038</v>
      </c>
      <c r="D1439" s="6" t="s">
        <v>145</v>
      </c>
      <c r="E1439" s="6" t="s">
        <v>147</v>
      </c>
      <c r="F1439" s="8">
        <v>12.0</v>
      </c>
      <c r="G1439" s="9">
        <v>96.24</v>
      </c>
      <c r="H1439" s="9">
        <v>6038.42</v>
      </c>
      <c r="I1439" s="6" t="s">
        <v>178</v>
      </c>
      <c r="J1439" s="6" t="s">
        <v>163</v>
      </c>
      <c r="K1439" s="6" t="s">
        <v>10040</v>
      </c>
      <c r="L1439" s="6">
        <v>2.2238558881E10</v>
      </c>
      <c r="M1439" s="6" t="s">
        <v>10041</v>
      </c>
      <c r="N1439" s="6" t="s">
        <v>259</v>
      </c>
      <c r="O1439" s="6" t="s">
        <v>161</v>
      </c>
      <c r="P1439" s="10">
        <v>45985.0</v>
      </c>
    </row>
    <row r="1440" ht="22.5" customHeight="1">
      <c r="A1440" s="6" t="s">
        <v>10042</v>
      </c>
      <c r="B1440" s="6" t="s">
        <v>10044</v>
      </c>
      <c r="C1440" s="6" t="s">
        <v>10045</v>
      </c>
      <c r="D1440" s="6" t="s">
        <v>206</v>
      </c>
      <c r="E1440" s="6" t="s">
        <v>147</v>
      </c>
      <c r="F1440" s="8">
        <v>23.0</v>
      </c>
      <c r="G1440" s="9">
        <v>233.56</v>
      </c>
      <c r="H1440" s="9">
        <v>3087.38</v>
      </c>
      <c r="I1440" s="6" t="s">
        <v>161</v>
      </c>
      <c r="J1440" s="6" t="s">
        <v>465</v>
      </c>
      <c r="K1440" s="6" t="s">
        <v>10046</v>
      </c>
      <c r="L1440" s="6">
        <v>5.1258007034E10</v>
      </c>
      <c r="M1440" s="6" t="s">
        <v>10047</v>
      </c>
      <c r="N1440" s="6" t="s">
        <v>259</v>
      </c>
      <c r="O1440" s="6" t="s">
        <v>178</v>
      </c>
      <c r="P1440" s="10">
        <v>45937.0</v>
      </c>
    </row>
    <row r="1441" ht="22.5" customHeight="1">
      <c r="A1441" s="6" t="s">
        <v>10049</v>
      </c>
      <c r="B1441" s="6" t="s">
        <v>10050</v>
      </c>
      <c r="C1441" s="6" t="s">
        <v>10051</v>
      </c>
      <c r="D1441" s="6" t="s">
        <v>206</v>
      </c>
      <c r="E1441" s="6" t="s">
        <v>147</v>
      </c>
      <c r="F1441" s="8">
        <v>25.0</v>
      </c>
      <c r="G1441" s="9">
        <v>1728.55</v>
      </c>
      <c r="H1441" s="9">
        <v>13561.39</v>
      </c>
      <c r="I1441" s="6" t="s">
        <v>178</v>
      </c>
      <c r="J1441" s="6" t="s">
        <v>465</v>
      </c>
      <c r="K1441" s="6" t="s">
        <v>10053</v>
      </c>
      <c r="L1441" s="6">
        <v>2.6869072841E10</v>
      </c>
      <c r="M1441" s="6" t="s">
        <v>10054</v>
      </c>
      <c r="N1441" s="6" t="s">
        <v>112</v>
      </c>
      <c r="O1441" s="6" t="s">
        <v>161</v>
      </c>
      <c r="P1441" s="10">
        <v>46005.0</v>
      </c>
    </row>
    <row r="1442" ht="22.5" customHeight="1">
      <c r="A1442" s="6" t="s">
        <v>10055</v>
      </c>
      <c r="B1442" s="6" t="s">
        <v>10056</v>
      </c>
      <c r="C1442" s="6" t="s">
        <v>10057</v>
      </c>
      <c r="D1442" s="6" t="s">
        <v>383</v>
      </c>
      <c r="E1442" s="6" t="s">
        <v>301</v>
      </c>
      <c r="F1442" s="8">
        <v>36.0</v>
      </c>
      <c r="G1442" s="9">
        <v>1193.49</v>
      </c>
      <c r="H1442" s="9">
        <v>13141.38</v>
      </c>
      <c r="I1442" s="6" t="s">
        <v>161</v>
      </c>
      <c r="J1442" s="6" t="s">
        <v>421</v>
      </c>
      <c r="K1442" s="6" t="s">
        <v>10059</v>
      </c>
      <c r="L1442" s="6">
        <v>4.1462020045E10</v>
      </c>
      <c r="M1442" s="6" t="s">
        <v>10060</v>
      </c>
      <c r="N1442" s="6" t="s">
        <v>427</v>
      </c>
      <c r="O1442" s="6" t="s">
        <v>178</v>
      </c>
      <c r="P1442" s="10">
        <v>46025.0</v>
      </c>
    </row>
    <row r="1443" ht="22.5" customHeight="1">
      <c r="A1443" s="6" t="s">
        <v>10062</v>
      </c>
      <c r="B1443" s="6" t="s">
        <v>10063</v>
      </c>
      <c r="C1443" s="6" t="s">
        <v>10064</v>
      </c>
      <c r="D1443" s="6" t="s">
        <v>206</v>
      </c>
      <c r="E1443" s="6" t="s">
        <v>147</v>
      </c>
      <c r="F1443" s="8">
        <v>21.0</v>
      </c>
      <c r="G1443" s="9">
        <v>1795.2</v>
      </c>
      <c r="H1443" s="9">
        <v>5352.3</v>
      </c>
      <c r="I1443" s="6" t="s">
        <v>161</v>
      </c>
      <c r="J1443" s="6" t="s">
        <v>442</v>
      </c>
      <c r="K1443" s="6" t="s">
        <v>10066</v>
      </c>
      <c r="L1443" s="6">
        <v>6.7943424107E10</v>
      </c>
      <c r="M1443" s="6" t="s">
        <v>10067</v>
      </c>
      <c r="N1443" s="6" t="s">
        <v>283</v>
      </c>
      <c r="O1443" s="6" t="s">
        <v>178</v>
      </c>
      <c r="P1443" s="10">
        <v>45944.0</v>
      </c>
    </row>
    <row r="1444" ht="22.5" customHeight="1">
      <c r="A1444" s="6" t="s">
        <v>10068</v>
      </c>
      <c r="B1444" s="6" t="s">
        <v>10069</v>
      </c>
      <c r="C1444" s="6" t="s">
        <v>10070</v>
      </c>
      <c r="D1444" s="6" t="s">
        <v>206</v>
      </c>
      <c r="E1444" s="6" t="s">
        <v>301</v>
      </c>
      <c r="F1444" s="8">
        <v>55.0</v>
      </c>
      <c r="G1444" s="9">
        <v>929.57</v>
      </c>
      <c r="H1444" s="9">
        <v>5958.7</v>
      </c>
      <c r="I1444" s="6" t="s">
        <v>161</v>
      </c>
      <c r="J1444" s="6" t="s">
        <v>577</v>
      </c>
      <c r="K1444" s="6" t="s">
        <v>10072</v>
      </c>
      <c r="L1444" s="6">
        <v>8.7368815564E10</v>
      </c>
      <c r="M1444" s="6" t="s">
        <v>10073</v>
      </c>
      <c r="N1444" s="6" t="s">
        <v>283</v>
      </c>
      <c r="O1444" s="6" t="s">
        <v>178</v>
      </c>
      <c r="P1444" s="10">
        <v>46011.0</v>
      </c>
    </row>
    <row r="1445" ht="22.5" customHeight="1">
      <c r="A1445" s="6" t="s">
        <v>10075</v>
      </c>
      <c r="B1445" s="6" t="s">
        <v>10076</v>
      </c>
      <c r="C1445" s="6" t="s">
        <v>10077</v>
      </c>
      <c r="D1445" s="6" t="s">
        <v>206</v>
      </c>
      <c r="E1445" s="6" t="s">
        <v>210</v>
      </c>
      <c r="F1445" s="8">
        <v>72.0</v>
      </c>
      <c r="G1445" s="9">
        <v>1474.69</v>
      </c>
      <c r="H1445" s="9">
        <v>2696.66</v>
      </c>
      <c r="I1445" s="6" t="s">
        <v>178</v>
      </c>
      <c r="J1445" s="6" t="s">
        <v>577</v>
      </c>
      <c r="K1445" s="6" t="s">
        <v>10078</v>
      </c>
      <c r="L1445" s="6">
        <v>3.3371829551E10</v>
      </c>
      <c r="M1445" s="6" t="s">
        <v>10079</v>
      </c>
      <c r="N1445" s="6" t="s">
        <v>259</v>
      </c>
      <c r="O1445" s="6" t="s">
        <v>161</v>
      </c>
      <c r="P1445" s="10">
        <v>45964.0</v>
      </c>
    </row>
    <row r="1446" ht="22.5" customHeight="1">
      <c r="A1446" s="6" t="s">
        <v>10081</v>
      </c>
      <c r="B1446" s="6" t="s">
        <v>10082</v>
      </c>
      <c r="C1446" s="6" t="s">
        <v>10083</v>
      </c>
      <c r="D1446" s="6" t="s">
        <v>383</v>
      </c>
      <c r="E1446" s="6" t="s">
        <v>301</v>
      </c>
      <c r="F1446" s="8">
        <v>37.0</v>
      </c>
      <c r="G1446" s="9">
        <v>632.12</v>
      </c>
      <c r="H1446" s="9">
        <v>5130.69</v>
      </c>
      <c r="I1446" s="6" t="s">
        <v>161</v>
      </c>
      <c r="J1446" s="6" t="s">
        <v>465</v>
      </c>
      <c r="K1446" s="6" t="s">
        <v>10085</v>
      </c>
      <c r="L1446" s="6">
        <v>7.2395727744E10</v>
      </c>
      <c r="M1446" s="6" t="s">
        <v>10086</v>
      </c>
      <c r="N1446" s="6" t="s">
        <v>176</v>
      </c>
      <c r="O1446" s="6" t="s">
        <v>178</v>
      </c>
      <c r="P1446" s="10">
        <v>45977.0</v>
      </c>
    </row>
    <row r="1447" ht="22.5" customHeight="1">
      <c r="A1447" s="6" t="s">
        <v>10087</v>
      </c>
      <c r="B1447" s="6" t="s">
        <v>10088</v>
      </c>
      <c r="C1447" s="6" t="s">
        <v>10089</v>
      </c>
      <c r="D1447" s="6" t="s">
        <v>206</v>
      </c>
      <c r="E1447" s="6" t="s">
        <v>301</v>
      </c>
      <c r="F1447" s="8">
        <v>52.0</v>
      </c>
      <c r="G1447" s="9">
        <v>1320.54</v>
      </c>
      <c r="H1447" s="9">
        <v>7621.8</v>
      </c>
      <c r="I1447" s="6" t="s">
        <v>161</v>
      </c>
      <c r="J1447" s="6" t="s">
        <v>465</v>
      </c>
      <c r="K1447" s="6" t="s">
        <v>10091</v>
      </c>
      <c r="L1447" s="6">
        <v>7.172347558E10</v>
      </c>
      <c r="M1447" s="6" t="s">
        <v>10092</v>
      </c>
      <c r="N1447" s="6" t="s">
        <v>259</v>
      </c>
      <c r="O1447" s="6" t="s">
        <v>178</v>
      </c>
      <c r="P1447" s="10">
        <v>45959.0</v>
      </c>
    </row>
    <row r="1448" ht="22.5" customHeight="1">
      <c r="A1448" s="6" t="s">
        <v>10094</v>
      </c>
      <c r="B1448" s="6" t="s">
        <v>10095</v>
      </c>
      <c r="C1448" s="6" t="s">
        <v>10096</v>
      </c>
      <c r="D1448" s="6" t="s">
        <v>383</v>
      </c>
      <c r="E1448" s="6" t="s">
        <v>147</v>
      </c>
      <c r="F1448" s="8">
        <v>26.0</v>
      </c>
      <c r="G1448" s="9">
        <v>946.24</v>
      </c>
      <c r="H1448" s="9">
        <v>5253.6</v>
      </c>
      <c r="I1448" s="6" t="s">
        <v>161</v>
      </c>
      <c r="J1448" s="6" t="s">
        <v>465</v>
      </c>
      <c r="K1448" s="6" t="s">
        <v>10097</v>
      </c>
      <c r="L1448" s="6">
        <v>9.1862122072E10</v>
      </c>
      <c r="M1448" s="6" t="s">
        <v>10099</v>
      </c>
      <c r="N1448" s="6" t="s">
        <v>259</v>
      </c>
      <c r="O1448" s="6" t="s">
        <v>178</v>
      </c>
      <c r="P1448" s="10">
        <v>46007.0</v>
      </c>
    </row>
    <row r="1449" ht="22.5" customHeight="1">
      <c r="A1449" s="6" t="s">
        <v>10100</v>
      </c>
      <c r="B1449" s="6" t="s">
        <v>10101</v>
      </c>
      <c r="C1449" s="6" t="s">
        <v>10102</v>
      </c>
      <c r="D1449" s="6" t="s">
        <v>145</v>
      </c>
      <c r="E1449" s="6" t="s">
        <v>210</v>
      </c>
      <c r="F1449" s="8">
        <v>102.0</v>
      </c>
      <c r="G1449" s="9">
        <v>309.83</v>
      </c>
      <c r="H1449" s="9">
        <v>1494.31</v>
      </c>
      <c r="I1449" s="6" t="s">
        <v>178</v>
      </c>
      <c r="J1449" s="6" t="s">
        <v>479</v>
      </c>
      <c r="K1449" s="6" t="s">
        <v>10104</v>
      </c>
      <c r="L1449" s="6">
        <v>2.873782166E10</v>
      </c>
      <c r="M1449" s="6" t="s">
        <v>10105</v>
      </c>
      <c r="N1449" s="6" t="s">
        <v>176</v>
      </c>
      <c r="O1449" s="6" t="s">
        <v>161</v>
      </c>
      <c r="P1449" s="10">
        <v>45998.0</v>
      </c>
    </row>
    <row r="1450" ht="22.5" customHeight="1">
      <c r="A1450" s="6" t="s">
        <v>10106</v>
      </c>
      <c r="B1450" s="6" t="s">
        <v>10107</v>
      </c>
      <c r="C1450" s="6" t="s">
        <v>10108</v>
      </c>
      <c r="D1450" s="6" t="s">
        <v>145</v>
      </c>
      <c r="E1450" s="6" t="s">
        <v>301</v>
      </c>
      <c r="F1450" s="8">
        <v>57.0</v>
      </c>
      <c r="G1450" s="9">
        <v>1391.73</v>
      </c>
      <c r="H1450" s="9">
        <v>11381.39</v>
      </c>
      <c r="I1450" s="6" t="s">
        <v>161</v>
      </c>
      <c r="J1450" s="6" t="s">
        <v>228</v>
      </c>
      <c r="K1450" s="6" t="s">
        <v>10110</v>
      </c>
      <c r="L1450" s="6">
        <v>7.130442117E10</v>
      </c>
      <c r="M1450" s="6" t="s">
        <v>10111</v>
      </c>
      <c r="N1450" s="6" t="s">
        <v>427</v>
      </c>
      <c r="O1450" s="6" t="s">
        <v>178</v>
      </c>
      <c r="P1450" s="10">
        <v>45992.0</v>
      </c>
    </row>
    <row r="1451" ht="22.5" customHeight="1">
      <c r="A1451" s="6" t="s">
        <v>10113</v>
      </c>
      <c r="B1451" s="6" t="s">
        <v>10114</v>
      </c>
      <c r="C1451" s="6" t="s">
        <v>10115</v>
      </c>
      <c r="D1451" s="6" t="s">
        <v>145</v>
      </c>
      <c r="E1451" s="6" t="s">
        <v>147</v>
      </c>
      <c r="F1451" s="8">
        <v>9.0</v>
      </c>
      <c r="G1451" s="9">
        <v>964.91</v>
      </c>
      <c r="H1451" s="9">
        <v>3464.27</v>
      </c>
      <c r="I1451" s="6" t="s">
        <v>161</v>
      </c>
      <c r="J1451" s="6" t="s">
        <v>163</v>
      </c>
      <c r="K1451" s="6" t="s">
        <v>10116</v>
      </c>
      <c r="L1451" s="6">
        <v>5.7789334113E10</v>
      </c>
      <c r="M1451" s="6" t="s">
        <v>10118</v>
      </c>
      <c r="N1451" s="6" t="s">
        <v>112</v>
      </c>
      <c r="O1451" s="6" t="s">
        <v>178</v>
      </c>
      <c r="P1451" s="10">
        <v>46009.0</v>
      </c>
    </row>
    <row r="1452" ht="22.5" customHeight="1">
      <c r="A1452" s="6" t="s">
        <v>10120</v>
      </c>
      <c r="B1452" s="6" t="s">
        <v>10121</v>
      </c>
      <c r="C1452" s="6" t="s">
        <v>10122</v>
      </c>
      <c r="D1452" s="6" t="s">
        <v>206</v>
      </c>
      <c r="E1452" s="6" t="s">
        <v>147</v>
      </c>
      <c r="F1452" s="8">
        <v>14.0</v>
      </c>
      <c r="G1452" s="9">
        <v>1511.56</v>
      </c>
      <c r="H1452" s="9">
        <v>4558.73</v>
      </c>
      <c r="I1452" s="6" t="s">
        <v>161</v>
      </c>
      <c r="J1452" s="6" t="s">
        <v>479</v>
      </c>
      <c r="K1452" s="6" t="s">
        <v>10124</v>
      </c>
      <c r="L1452" s="6" t="s">
        <v>259</v>
      </c>
      <c r="M1452" s="6" t="s">
        <v>10125</v>
      </c>
      <c r="N1452" s="6" t="s">
        <v>112</v>
      </c>
      <c r="O1452" s="6" t="s">
        <v>178</v>
      </c>
      <c r="P1452" s="10">
        <v>45959.0</v>
      </c>
    </row>
    <row r="1453" ht="22.5" customHeight="1">
      <c r="A1453" s="6" t="s">
        <v>10126</v>
      </c>
      <c r="B1453" s="6" t="s">
        <v>10127</v>
      </c>
      <c r="C1453" s="6" t="s">
        <v>10129</v>
      </c>
      <c r="D1453" s="6" t="s">
        <v>206</v>
      </c>
      <c r="E1453" s="6" t="s">
        <v>147</v>
      </c>
      <c r="F1453" s="8">
        <v>29.0</v>
      </c>
      <c r="G1453" s="9">
        <v>183.02</v>
      </c>
      <c r="H1453" s="9">
        <v>3193.81</v>
      </c>
      <c r="I1453" s="6" t="s">
        <v>161</v>
      </c>
      <c r="J1453" s="6" t="s">
        <v>357</v>
      </c>
      <c r="K1453" s="6" t="s">
        <v>10130</v>
      </c>
      <c r="L1453" s="6">
        <v>8.989789051E10</v>
      </c>
      <c r="M1453" s="6" t="s">
        <v>10132</v>
      </c>
      <c r="N1453" s="6" t="s">
        <v>176</v>
      </c>
      <c r="O1453" s="6" t="s">
        <v>178</v>
      </c>
      <c r="P1453" s="10">
        <v>46015.0</v>
      </c>
    </row>
    <row r="1454" ht="22.5" customHeight="1">
      <c r="A1454" s="6" t="s">
        <v>10133</v>
      </c>
      <c r="B1454" s="6" t="s">
        <v>10134</v>
      </c>
      <c r="C1454" s="6" t="s">
        <v>10135</v>
      </c>
      <c r="D1454" s="6" t="s">
        <v>206</v>
      </c>
      <c r="E1454" s="6" t="s">
        <v>210</v>
      </c>
      <c r="F1454" s="8">
        <v>76.0</v>
      </c>
      <c r="G1454" s="9">
        <v>1171.2</v>
      </c>
      <c r="H1454" s="9">
        <v>4094.04</v>
      </c>
      <c r="I1454" s="6" t="s">
        <v>178</v>
      </c>
      <c r="J1454" s="6" t="s">
        <v>577</v>
      </c>
      <c r="K1454" s="6" t="s">
        <v>10137</v>
      </c>
      <c r="L1454" s="6">
        <v>7.1620532521E10</v>
      </c>
      <c r="M1454" s="6" t="s">
        <v>10138</v>
      </c>
      <c r="N1454" s="6" t="s">
        <v>259</v>
      </c>
      <c r="O1454" s="6" t="s">
        <v>161</v>
      </c>
      <c r="P1454" s="10">
        <v>46006.0</v>
      </c>
    </row>
    <row r="1455" ht="22.5" customHeight="1">
      <c r="A1455" s="6" t="s">
        <v>10139</v>
      </c>
      <c r="B1455" s="6" t="s">
        <v>10141</v>
      </c>
      <c r="C1455" s="6" t="s">
        <v>10142</v>
      </c>
      <c r="D1455" s="6" t="s">
        <v>145</v>
      </c>
      <c r="E1455" s="6" t="s">
        <v>210</v>
      </c>
      <c r="F1455" s="8">
        <v>77.0</v>
      </c>
      <c r="G1455" s="9">
        <v>946.19</v>
      </c>
      <c r="H1455" s="9">
        <v>12897.88</v>
      </c>
      <c r="I1455" s="6" t="s">
        <v>178</v>
      </c>
      <c r="J1455" s="6" t="s">
        <v>479</v>
      </c>
      <c r="K1455" s="6" t="s">
        <v>10143</v>
      </c>
      <c r="L1455" s="6" t="s">
        <v>259</v>
      </c>
      <c r="M1455" s="6" t="s">
        <v>10145</v>
      </c>
      <c r="N1455" s="6" t="s">
        <v>427</v>
      </c>
      <c r="O1455" s="6" t="s">
        <v>161</v>
      </c>
      <c r="P1455" s="10">
        <v>45952.0</v>
      </c>
    </row>
    <row r="1456" ht="22.5" customHeight="1">
      <c r="A1456" s="6" t="s">
        <v>10146</v>
      </c>
      <c r="B1456" s="6" t="s">
        <v>10147</v>
      </c>
      <c r="C1456" s="6" t="s">
        <v>10148</v>
      </c>
      <c r="D1456" s="6" t="s">
        <v>145</v>
      </c>
      <c r="E1456" s="6" t="s">
        <v>147</v>
      </c>
      <c r="F1456" s="8">
        <v>6.0</v>
      </c>
      <c r="G1456" s="9">
        <v>956.42</v>
      </c>
      <c r="H1456" s="9">
        <v>14329.29</v>
      </c>
      <c r="I1456" s="6" t="s">
        <v>161</v>
      </c>
      <c r="J1456" s="6" t="s">
        <v>163</v>
      </c>
      <c r="K1456" s="6" t="s">
        <v>10150</v>
      </c>
      <c r="L1456" s="6">
        <v>5.684012895E10</v>
      </c>
      <c r="M1456" s="6" t="s">
        <v>10151</v>
      </c>
      <c r="N1456" s="6" t="s">
        <v>112</v>
      </c>
      <c r="O1456" s="6" t="s">
        <v>178</v>
      </c>
      <c r="P1456" s="10">
        <v>45984.0</v>
      </c>
    </row>
    <row r="1457" ht="22.5" customHeight="1">
      <c r="A1457" s="6" t="s">
        <v>10152</v>
      </c>
      <c r="B1457" s="6" t="s">
        <v>10153</v>
      </c>
      <c r="C1457" s="6" t="s">
        <v>10154</v>
      </c>
      <c r="D1457" s="6" t="s">
        <v>145</v>
      </c>
      <c r="E1457" s="6" t="s">
        <v>210</v>
      </c>
      <c r="F1457" s="8">
        <v>86.0</v>
      </c>
      <c r="G1457" s="9">
        <v>1236.09</v>
      </c>
      <c r="H1457" s="9">
        <v>6927.7</v>
      </c>
      <c r="I1457" s="6" t="s">
        <v>178</v>
      </c>
      <c r="J1457" s="6" t="s">
        <v>393</v>
      </c>
      <c r="K1457" s="6" t="s">
        <v>10156</v>
      </c>
      <c r="L1457" s="6">
        <v>8.2241420458E10</v>
      </c>
      <c r="M1457" s="6" t="s">
        <v>10157</v>
      </c>
      <c r="N1457" s="6" t="s">
        <v>176</v>
      </c>
      <c r="O1457" s="6" t="s">
        <v>161</v>
      </c>
      <c r="P1457" s="10">
        <v>46010.0</v>
      </c>
    </row>
    <row r="1458" ht="22.5" customHeight="1">
      <c r="A1458" s="6" t="s">
        <v>10159</v>
      </c>
      <c r="B1458" s="6" t="s">
        <v>10160</v>
      </c>
      <c r="C1458" s="6" t="s">
        <v>10161</v>
      </c>
      <c r="D1458" s="6" t="s">
        <v>206</v>
      </c>
      <c r="E1458" s="6" t="s">
        <v>147</v>
      </c>
      <c r="F1458" s="8">
        <v>9.0</v>
      </c>
      <c r="G1458" s="9">
        <v>451.22</v>
      </c>
      <c r="H1458" s="9">
        <v>10706.06</v>
      </c>
      <c r="I1458" s="6" t="s">
        <v>161</v>
      </c>
      <c r="J1458" s="6" t="s">
        <v>312</v>
      </c>
      <c r="K1458" s="6" t="s">
        <v>10163</v>
      </c>
      <c r="L1458" s="6">
        <v>4.340190737E10</v>
      </c>
      <c r="M1458" s="6" t="s">
        <v>10164</v>
      </c>
      <c r="N1458" s="6" t="s">
        <v>112</v>
      </c>
      <c r="O1458" s="6" t="s">
        <v>178</v>
      </c>
      <c r="P1458" s="10">
        <v>45974.0</v>
      </c>
    </row>
    <row r="1459" ht="22.5" customHeight="1">
      <c r="A1459" s="6" t="s">
        <v>10165</v>
      </c>
      <c r="B1459" s="6" t="s">
        <v>10166</v>
      </c>
      <c r="C1459" s="6" t="s">
        <v>10168</v>
      </c>
      <c r="D1459" s="6" t="s">
        <v>383</v>
      </c>
      <c r="E1459" s="6" t="s">
        <v>210</v>
      </c>
      <c r="F1459" s="8">
        <v>110.0</v>
      </c>
      <c r="G1459" s="9">
        <v>1221.18</v>
      </c>
      <c r="H1459" s="9">
        <v>4900.15</v>
      </c>
      <c r="I1459" s="6" t="s">
        <v>161</v>
      </c>
      <c r="J1459" s="6" t="s">
        <v>393</v>
      </c>
      <c r="K1459" s="6" t="s">
        <v>10169</v>
      </c>
      <c r="L1459" s="6">
        <v>6.422748383E10</v>
      </c>
      <c r="M1459" s="6" t="s">
        <v>10170</v>
      </c>
      <c r="N1459" s="6" t="s">
        <v>259</v>
      </c>
      <c r="O1459" s="6" t="s">
        <v>161</v>
      </c>
      <c r="P1459" s="10">
        <v>45955.0</v>
      </c>
    </row>
    <row r="1460" ht="22.5" customHeight="1">
      <c r="A1460" s="6" t="s">
        <v>10172</v>
      </c>
      <c r="B1460" s="6" t="s">
        <v>10173</v>
      </c>
      <c r="C1460" s="6" t="s">
        <v>10174</v>
      </c>
      <c r="D1460" s="6" t="s">
        <v>206</v>
      </c>
      <c r="E1460" s="6" t="s">
        <v>301</v>
      </c>
      <c r="F1460" s="8">
        <v>44.0</v>
      </c>
      <c r="G1460" s="9">
        <v>707.32</v>
      </c>
      <c r="H1460" s="9">
        <v>6434.78</v>
      </c>
      <c r="I1460" s="6" t="s">
        <v>161</v>
      </c>
      <c r="J1460" s="6" t="s">
        <v>577</v>
      </c>
      <c r="K1460" s="6" t="s">
        <v>10176</v>
      </c>
      <c r="L1460" s="6">
        <v>5.205591416E9</v>
      </c>
      <c r="M1460" s="6" t="s">
        <v>10177</v>
      </c>
      <c r="N1460" s="6" t="s">
        <v>176</v>
      </c>
      <c r="O1460" s="6" t="s">
        <v>178</v>
      </c>
      <c r="P1460" s="10">
        <v>46015.0</v>
      </c>
    </row>
    <row r="1461" ht="22.5" customHeight="1">
      <c r="A1461" s="6" t="s">
        <v>10178</v>
      </c>
      <c r="B1461" s="6" t="s">
        <v>10179</v>
      </c>
      <c r="C1461" s="6" t="s">
        <v>10180</v>
      </c>
      <c r="D1461" s="6" t="s">
        <v>206</v>
      </c>
      <c r="E1461" s="6" t="s">
        <v>147</v>
      </c>
      <c r="F1461" s="8">
        <v>5.0</v>
      </c>
      <c r="G1461" s="9">
        <v>1619.7</v>
      </c>
      <c r="H1461" s="9">
        <v>9605.67</v>
      </c>
      <c r="I1461" s="6" t="s">
        <v>161</v>
      </c>
      <c r="J1461" s="6" t="s">
        <v>442</v>
      </c>
      <c r="K1461" s="6" t="s">
        <v>10182</v>
      </c>
      <c r="L1461" s="6">
        <v>1.4795856676E10</v>
      </c>
      <c r="M1461" s="6" t="s">
        <v>10183</v>
      </c>
      <c r="N1461" s="6" t="s">
        <v>283</v>
      </c>
      <c r="O1461" s="6" t="s">
        <v>178</v>
      </c>
      <c r="P1461" s="10">
        <v>45981.0</v>
      </c>
    </row>
    <row r="1462" ht="22.5" customHeight="1">
      <c r="A1462" s="6" t="s">
        <v>10185</v>
      </c>
      <c r="B1462" s="6" t="s">
        <v>10186</v>
      </c>
      <c r="C1462" s="6" t="s">
        <v>10187</v>
      </c>
      <c r="D1462" s="6" t="s">
        <v>145</v>
      </c>
      <c r="E1462" s="6" t="s">
        <v>147</v>
      </c>
      <c r="F1462" s="8">
        <v>20.0</v>
      </c>
      <c r="G1462" s="9">
        <v>1413.81</v>
      </c>
      <c r="H1462" s="9">
        <v>8240.19</v>
      </c>
      <c r="I1462" s="6" t="s">
        <v>161</v>
      </c>
      <c r="J1462" s="6" t="s">
        <v>465</v>
      </c>
      <c r="K1462" s="6" t="s">
        <v>10188</v>
      </c>
      <c r="L1462" s="6">
        <v>2.0863804836E10</v>
      </c>
      <c r="M1462" s="6" t="s">
        <v>10189</v>
      </c>
      <c r="N1462" s="6" t="s">
        <v>283</v>
      </c>
      <c r="O1462" s="6" t="s">
        <v>178</v>
      </c>
      <c r="P1462" s="10">
        <v>46005.0</v>
      </c>
    </row>
    <row r="1463" ht="22.5" customHeight="1">
      <c r="A1463" s="6" t="s">
        <v>10191</v>
      </c>
      <c r="B1463" s="6" t="s">
        <v>10192</v>
      </c>
      <c r="C1463" s="6" t="s">
        <v>10193</v>
      </c>
      <c r="D1463" s="6" t="s">
        <v>383</v>
      </c>
      <c r="E1463" s="6" t="s">
        <v>210</v>
      </c>
      <c r="F1463" s="8">
        <v>87.0</v>
      </c>
      <c r="G1463" s="9">
        <v>1266.0</v>
      </c>
      <c r="H1463" s="9">
        <v>4370.76</v>
      </c>
      <c r="I1463" s="6" t="s">
        <v>178</v>
      </c>
      <c r="J1463" s="6" t="s">
        <v>421</v>
      </c>
      <c r="K1463" s="6" t="s">
        <v>10194</v>
      </c>
      <c r="L1463" s="6">
        <v>1.6453418703E10</v>
      </c>
      <c r="M1463" s="6" t="s">
        <v>10195</v>
      </c>
      <c r="N1463" s="6" t="s">
        <v>176</v>
      </c>
      <c r="O1463" s="6" t="s">
        <v>161</v>
      </c>
      <c r="P1463" s="10">
        <v>46002.0</v>
      </c>
    </row>
    <row r="1464" ht="22.5" customHeight="1">
      <c r="A1464" s="6" t="s">
        <v>10197</v>
      </c>
      <c r="B1464" s="6" t="s">
        <v>10198</v>
      </c>
      <c r="C1464" s="6" t="s">
        <v>10199</v>
      </c>
      <c r="D1464" s="6" t="s">
        <v>145</v>
      </c>
      <c r="E1464" s="6" t="s">
        <v>147</v>
      </c>
      <c r="F1464" s="8">
        <v>14.0</v>
      </c>
      <c r="G1464" s="9">
        <v>263.05</v>
      </c>
      <c r="H1464" s="9">
        <v>11868.45</v>
      </c>
      <c r="I1464" s="6" t="s">
        <v>178</v>
      </c>
      <c r="J1464" s="6" t="s">
        <v>577</v>
      </c>
      <c r="K1464" s="6" t="s">
        <v>10201</v>
      </c>
      <c r="L1464" s="6">
        <v>1.8807869627E10</v>
      </c>
      <c r="M1464" s="6" t="s">
        <v>10202</v>
      </c>
      <c r="N1464" s="6" t="s">
        <v>427</v>
      </c>
      <c r="O1464" s="6" t="s">
        <v>161</v>
      </c>
      <c r="P1464" s="10">
        <v>45988.0</v>
      </c>
    </row>
    <row r="1465" ht="22.5" customHeight="1">
      <c r="A1465" s="6" t="s">
        <v>10203</v>
      </c>
      <c r="B1465" s="6" t="s">
        <v>10204</v>
      </c>
      <c r="C1465" s="6" t="s">
        <v>10206</v>
      </c>
      <c r="D1465" s="6" t="s">
        <v>145</v>
      </c>
      <c r="E1465" s="6" t="s">
        <v>147</v>
      </c>
      <c r="F1465" s="8">
        <v>13.0</v>
      </c>
      <c r="G1465" s="9">
        <v>625.47</v>
      </c>
      <c r="H1465" s="9">
        <v>9272.98</v>
      </c>
      <c r="I1465" s="6" t="s">
        <v>161</v>
      </c>
      <c r="J1465" s="6" t="s">
        <v>1229</v>
      </c>
      <c r="K1465" s="6" t="s">
        <v>10207</v>
      </c>
      <c r="L1465" s="6">
        <v>6.8343072861E10</v>
      </c>
      <c r="M1465" s="6" t="s">
        <v>10208</v>
      </c>
      <c r="N1465" s="6" t="s">
        <v>283</v>
      </c>
      <c r="O1465" s="6" t="s">
        <v>178</v>
      </c>
      <c r="P1465" s="10">
        <v>45983.0</v>
      </c>
    </row>
    <row r="1466" ht="22.5" customHeight="1">
      <c r="A1466" s="6" t="s">
        <v>10210</v>
      </c>
      <c r="B1466" s="6" t="s">
        <v>10211</v>
      </c>
      <c r="C1466" s="6" t="s">
        <v>10212</v>
      </c>
      <c r="D1466" s="6" t="s">
        <v>383</v>
      </c>
      <c r="E1466" s="6" t="s">
        <v>147</v>
      </c>
      <c r="F1466" s="8">
        <v>25.0</v>
      </c>
      <c r="G1466" s="9">
        <v>390.96</v>
      </c>
      <c r="H1466" s="9">
        <v>4717.74</v>
      </c>
      <c r="I1466" s="6" t="s">
        <v>178</v>
      </c>
      <c r="J1466" s="6" t="s">
        <v>465</v>
      </c>
      <c r="K1466" s="6" t="s">
        <v>10214</v>
      </c>
      <c r="L1466" s="6">
        <v>7.7555658713E10</v>
      </c>
      <c r="M1466" s="6" t="s">
        <v>10215</v>
      </c>
      <c r="N1466" s="6" t="s">
        <v>112</v>
      </c>
      <c r="O1466" s="6" t="s">
        <v>161</v>
      </c>
      <c r="P1466" s="10">
        <v>45978.0</v>
      </c>
    </row>
    <row r="1467" ht="22.5" customHeight="1">
      <c r="A1467" s="6" t="s">
        <v>10216</v>
      </c>
      <c r="B1467" s="6" t="s">
        <v>10217</v>
      </c>
      <c r="C1467" s="6" t="s">
        <v>10218</v>
      </c>
      <c r="D1467" s="6" t="s">
        <v>145</v>
      </c>
      <c r="E1467" s="6" t="s">
        <v>301</v>
      </c>
      <c r="F1467" s="8">
        <v>53.0</v>
      </c>
      <c r="G1467" s="9">
        <v>1358.64</v>
      </c>
      <c r="H1467" s="9">
        <v>5681.69</v>
      </c>
      <c r="I1467" s="6" t="s">
        <v>161</v>
      </c>
      <c r="J1467" s="6" t="s">
        <v>163</v>
      </c>
      <c r="K1467" s="6" t="s">
        <v>10220</v>
      </c>
      <c r="L1467" s="6">
        <v>8.6894202089E10</v>
      </c>
      <c r="M1467" s="6" t="s">
        <v>10221</v>
      </c>
      <c r="N1467" s="6" t="s">
        <v>283</v>
      </c>
      <c r="O1467" s="6" t="s">
        <v>178</v>
      </c>
      <c r="P1467" s="10">
        <v>45979.0</v>
      </c>
    </row>
    <row r="1468" ht="22.5" customHeight="1">
      <c r="A1468" s="6" t="s">
        <v>10223</v>
      </c>
      <c r="B1468" s="6" t="s">
        <v>10224</v>
      </c>
      <c r="C1468" s="6" t="s">
        <v>10225</v>
      </c>
      <c r="D1468" s="6" t="s">
        <v>145</v>
      </c>
      <c r="E1468" s="6" t="s">
        <v>147</v>
      </c>
      <c r="F1468" s="8">
        <v>28.0</v>
      </c>
      <c r="G1468" s="9">
        <v>386.77</v>
      </c>
      <c r="H1468" s="9">
        <v>4556.25</v>
      </c>
      <c r="I1468" s="6" t="s">
        <v>161</v>
      </c>
      <c r="J1468" s="6" t="s">
        <v>465</v>
      </c>
      <c r="K1468" s="6" t="s">
        <v>10226</v>
      </c>
      <c r="L1468" s="6">
        <v>8.9116341999E10</v>
      </c>
      <c r="M1468" s="6" t="s">
        <v>10228</v>
      </c>
      <c r="N1468" s="6" t="s">
        <v>112</v>
      </c>
      <c r="O1468" s="6" t="s">
        <v>178</v>
      </c>
      <c r="P1468" s="10">
        <v>46036.0</v>
      </c>
    </row>
    <row r="1469" ht="22.5" customHeight="1">
      <c r="A1469" s="6" t="s">
        <v>10229</v>
      </c>
      <c r="B1469" s="6" t="s">
        <v>10230</v>
      </c>
      <c r="C1469" s="6" t="s">
        <v>10231</v>
      </c>
      <c r="D1469" s="6" t="s">
        <v>383</v>
      </c>
      <c r="E1469" s="6" t="s">
        <v>301</v>
      </c>
      <c r="F1469" s="8">
        <v>54.0</v>
      </c>
      <c r="G1469" s="9">
        <v>1567.87</v>
      </c>
      <c r="H1469" s="9">
        <v>14022.07</v>
      </c>
      <c r="I1469" s="6" t="s">
        <v>161</v>
      </c>
      <c r="J1469" s="6" t="s">
        <v>442</v>
      </c>
      <c r="K1469" s="6" t="s">
        <v>10233</v>
      </c>
      <c r="L1469" s="6">
        <v>7.9115465752E10</v>
      </c>
      <c r="M1469" s="6" t="s">
        <v>10234</v>
      </c>
      <c r="N1469" s="6" t="s">
        <v>112</v>
      </c>
      <c r="O1469" s="6" t="s">
        <v>178</v>
      </c>
      <c r="P1469" s="10">
        <v>46032.0</v>
      </c>
    </row>
    <row r="1470" ht="22.5" customHeight="1">
      <c r="A1470" s="6" t="s">
        <v>10236</v>
      </c>
      <c r="B1470" s="6" t="s">
        <v>10237</v>
      </c>
      <c r="C1470" s="6" t="s">
        <v>10238</v>
      </c>
      <c r="D1470" s="6" t="s">
        <v>145</v>
      </c>
      <c r="E1470" s="6" t="s">
        <v>210</v>
      </c>
      <c r="F1470" s="8">
        <v>71.0</v>
      </c>
      <c r="G1470" s="9">
        <v>203.94</v>
      </c>
      <c r="H1470" s="9">
        <v>11143.97</v>
      </c>
      <c r="I1470" s="6" t="s">
        <v>178</v>
      </c>
      <c r="J1470" s="6" t="s">
        <v>577</v>
      </c>
      <c r="K1470" s="6" t="s">
        <v>10240</v>
      </c>
      <c r="L1470" s="6">
        <v>5.8820850939E10</v>
      </c>
      <c r="M1470" s="6" t="s">
        <v>10241</v>
      </c>
      <c r="N1470" s="6" t="s">
        <v>112</v>
      </c>
      <c r="O1470" s="6" t="s">
        <v>161</v>
      </c>
      <c r="P1470" s="10">
        <v>45971.0</v>
      </c>
    </row>
    <row r="1471" ht="22.5" customHeight="1">
      <c r="A1471" s="6" t="s">
        <v>10242</v>
      </c>
      <c r="B1471" s="6" t="s">
        <v>10243</v>
      </c>
      <c r="C1471" s="6" t="s">
        <v>10244</v>
      </c>
      <c r="D1471" s="6" t="s">
        <v>145</v>
      </c>
      <c r="E1471" s="6" t="s">
        <v>147</v>
      </c>
      <c r="F1471" s="8">
        <v>9.0</v>
      </c>
      <c r="G1471" s="9">
        <v>1141.2</v>
      </c>
      <c r="H1471" s="9">
        <v>5248.73</v>
      </c>
      <c r="I1471" s="6" t="s">
        <v>161</v>
      </c>
      <c r="J1471" s="6" t="s">
        <v>442</v>
      </c>
      <c r="K1471" s="6" t="s">
        <v>10246</v>
      </c>
      <c r="L1471" s="6">
        <v>4.118381341E9</v>
      </c>
      <c r="M1471" s="6" t="s">
        <v>10247</v>
      </c>
      <c r="N1471" s="6" t="s">
        <v>176</v>
      </c>
      <c r="O1471" s="6" t="s">
        <v>178</v>
      </c>
      <c r="P1471" s="10">
        <v>46000.0</v>
      </c>
    </row>
    <row r="1472" ht="22.5" customHeight="1">
      <c r="A1472" s="6" t="s">
        <v>10249</v>
      </c>
      <c r="B1472" s="6" t="s">
        <v>10250</v>
      </c>
      <c r="C1472" s="6" t="s">
        <v>10251</v>
      </c>
      <c r="D1472" s="6" t="s">
        <v>145</v>
      </c>
      <c r="E1472" s="6" t="s">
        <v>147</v>
      </c>
      <c r="F1472" s="8">
        <v>17.0</v>
      </c>
      <c r="G1472" s="9">
        <v>629.95</v>
      </c>
      <c r="H1472" s="9">
        <v>8400.73</v>
      </c>
      <c r="I1472" s="6" t="s">
        <v>161</v>
      </c>
      <c r="J1472" s="6" t="s">
        <v>393</v>
      </c>
      <c r="K1472" s="6" t="s">
        <v>10253</v>
      </c>
      <c r="L1472" s="6">
        <v>5.5178133148E10</v>
      </c>
      <c r="M1472" s="6" t="s">
        <v>10254</v>
      </c>
      <c r="N1472" s="6" t="s">
        <v>427</v>
      </c>
      <c r="O1472" s="6" t="s">
        <v>178</v>
      </c>
      <c r="P1472" s="10">
        <v>45973.0</v>
      </c>
    </row>
    <row r="1473" ht="22.5" customHeight="1">
      <c r="A1473" s="6" t="s">
        <v>10255</v>
      </c>
      <c r="B1473" s="6" t="s">
        <v>10256</v>
      </c>
      <c r="C1473" s="6" t="s">
        <v>10257</v>
      </c>
      <c r="D1473" s="6" t="s">
        <v>145</v>
      </c>
      <c r="E1473" s="6" t="s">
        <v>147</v>
      </c>
      <c r="F1473" s="8">
        <v>9.0</v>
      </c>
      <c r="G1473" s="9">
        <v>512.12</v>
      </c>
      <c r="H1473" s="9">
        <v>14291.35</v>
      </c>
      <c r="I1473" s="6" t="s">
        <v>161</v>
      </c>
      <c r="J1473" s="6" t="s">
        <v>465</v>
      </c>
      <c r="K1473" s="6" t="s">
        <v>10259</v>
      </c>
      <c r="L1473" s="6">
        <v>9.2561090877E10</v>
      </c>
      <c r="M1473" s="6" t="s">
        <v>10260</v>
      </c>
      <c r="N1473" s="6" t="s">
        <v>259</v>
      </c>
      <c r="O1473" s="6" t="s">
        <v>178</v>
      </c>
      <c r="P1473" s="10">
        <v>46020.0</v>
      </c>
    </row>
    <row r="1474" ht="22.5" customHeight="1">
      <c r="A1474" s="6" t="s">
        <v>10262</v>
      </c>
      <c r="B1474" s="6" t="s">
        <v>10263</v>
      </c>
      <c r="C1474" s="6" t="s">
        <v>10264</v>
      </c>
      <c r="D1474" s="6" t="s">
        <v>145</v>
      </c>
      <c r="E1474" s="6" t="s">
        <v>147</v>
      </c>
      <c r="F1474" s="8">
        <v>5.0</v>
      </c>
      <c r="G1474" s="9">
        <v>1166.34</v>
      </c>
      <c r="H1474" s="9">
        <v>13816.57</v>
      </c>
      <c r="I1474" s="6" t="s">
        <v>161</v>
      </c>
      <c r="J1474" s="6" t="s">
        <v>393</v>
      </c>
      <c r="K1474" s="6" t="s">
        <v>10266</v>
      </c>
      <c r="L1474" s="6">
        <v>3.085399318E10</v>
      </c>
      <c r="M1474" s="6" t="s">
        <v>10267</v>
      </c>
      <c r="N1474" s="6" t="s">
        <v>283</v>
      </c>
      <c r="O1474" s="6" t="s">
        <v>178</v>
      </c>
      <c r="P1474" s="10">
        <v>45956.0</v>
      </c>
    </row>
    <row r="1475" ht="22.5" customHeight="1">
      <c r="A1475" s="6" t="s">
        <v>10268</v>
      </c>
      <c r="B1475" s="6" t="s">
        <v>10269</v>
      </c>
      <c r="C1475" s="6" t="s">
        <v>7889</v>
      </c>
      <c r="D1475" s="6" t="s">
        <v>145</v>
      </c>
      <c r="E1475" s="6" t="s">
        <v>147</v>
      </c>
      <c r="F1475" s="8">
        <v>21.0</v>
      </c>
      <c r="G1475" s="9">
        <v>541.41</v>
      </c>
      <c r="H1475" s="9">
        <v>12875.8</v>
      </c>
      <c r="I1475" s="6" t="s">
        <v>161</v>
      </c>
      <c r="J1475" s="6" t="s">
        <v>228</v>
      </c>
      <c r="K1475" s="6" t="s">
        <v>10271</v>
      </c>
      <c r="L1475" s="6">
        <v>6.8139627803E10</v>
      </c>
      <c r="M1475" s="6" t="s">
        <v>10272</v>
      </c>
      <c r="N1475" s="6" t="s">
        <v>259</v>
      </c>
      <c r="O1475" s="6" t="s">
        <v>178</v>
      </c>
      <c r="P1475" s="10">
        <v>45954.0</v>
      </c>
    </row>
    <row r="1476" ht="22.5" customHeight="1">
      <c r="A1476" s="6" t="s">
        <v>10274</v>
      </c>
      <c r="B1476" s="6" t="s">
        <v>10275</v>
      </c>
      <c r="C1476" s="6" t="s">
        <v>10276</v>
      </c>
      <c r="D1476" s="6" t="s">
        <v>206</v>
      </c>
      <c r="E1476" s="6" t="s">
        <v>301</v>
      </c>
      <c r="F1476" s="8">
        <v>41.0</v>
      </c>
      <c r="G1476" s="9">
        <v>1720.84</v>
      </c>
      <c r="H1476" s="9">
        <v>3897.64</v>
      </c>
      <c r="I1476" s="6" t="s">
        <v>161</v>
      </c>
      <c r="J1476" s="6" t="s">
        <v>312</v>
      </c>
      <c r="K1476" s="6" t="s">
        <v>10277</v>
      </c>
      <c r="L1476" s="6">
        <v>7.1325342519E10</v>
      </c>
      <c r="M1476" s="6" t="s">
        <v>10279</v>
      </c>
      <c r="N1476" s="6" t="s">
        <v>283</v>
      </c>
      <c r="O1476" s="6" t="s">
        <v>178</v>
      </c>
      <c r="P1476" s="10">
        <v>46012.0</v>
      </c>
    </row>
    <row r="1477" ht="22.5" customHeight="1">
      <c r="A1477" s="6" t="s">
        <v>10280</v>
      </c>
      <c r="B1477" s="6" t="s">
        <v>10281</v>
      </c>
      <c r="C1477" s="6" t="s">
        <v>10282</v>
      </c>
      <c r="D1477" s="6" t="s">
        <v>145</v>
      </c>
      <c r="E1477" s="6" t="s">
        <v>210</v>
      </c>
      <c r="F1477" s="8">
        <v>117.0</v>
      </c>
      <c r="G1477" s="9">
        <v>1453.16</v>
      </c>
      <c r="H1477" s="9">
        <v>6746.71</v>
      </c>
      <c r="I1477" s="6" t="s">
        <v>161</v>
      </c>
      <c r="J1477" s="6" t="s">
        <v>312</v>
      </c>
      <c r="K1477" s="6" t="s">
        <v>10284</v>
      </c>
      <c r="L1477" s="6">
        <v>3.6323676996E10</v>
      </c>
      <c r="M1477" s="6" t="s">
        <v>10285</v>
      </c>
      <c r="N1477" s="6" t="s">
        <v>176</v>
      </c>
      <c r="O1477" s="6" t="s">
        <v>161</v>
      </c>
      <c r="P1477" s="10">
        <v>46046.0</v>
      </c>
    </row>
    <row r="1478" ht="22.5" customHeight="1">
      <c r="A1478" s="6" t="s">
        <v>10286</v>
      </c>
      <c r="B1478" s="6" t="s">
        <v>10288</v>
      </c>
      <c r="C1478" s="6" t="s">
        <v>10289</v>
      </c>
      <c r="D1478" s="6" t="s">
        <v>145</v>
      </c>
      <c r="E1478" s="6" t="s">
        <v>301</v>
      </c>
      <c r="F1478" s="8">
        <v>45.0</v>
      </c>
      <c r="G1478" s="9">
        <v>1528.1</v>
      </c>
      <c r="H1478" s="9">
        <v>4312.94</v>
      </c>
      <c r="I1478" s="6" t="s">
        <v>161</v>
      </c>
      <c r="J1478" s="6" t="s">
        <v>228</v>
      </c>
      <c r="K1478" s="6" t="s">
        <v>10290</v>
      </c>
      <c r="L1478" s="6">
        <v>6.527742108E10</v>
      </c>
      <c r="M1478" s="6" t="s">
        <v>10291</v>
      </c>
      <c r="N1478" s="6" t="s">
        <v>427</v>
      </c>
      <c r="O1478" s="6" t="s">
        <v>178</v>
      </c>
      <c r="P1478" s="10">
        <v>46004.0</v>
      </c>
    </row>
    <row r="1479" ht="22.5" customHeight="1">
      <c r="A1479" s="6" t="s">
        <v>10293</v>
      </c>
      <c r="B1479" s="6" t="s">
        <v>10294</v>
      </c>
      <c r="C1479" s="6" t="s">
        <v>10295</v>
      </c>
      <c r="D1479" s="6" t="s">
        <v>383</v>
      </c>
      <c r="E1479" s="6" t="s">
        <v>147</v>
      </c>
      <c r="F1479" s="8">
        <v>14.0</v>
      </c>
      <c r="G1479" s="9">
        <v>604.48</v>
      </c>
      <c r="H1479" s="9">
        <v>12013.5</v>
      </c>
      <c r="I1479" s="6" t="s">
        <v>161</v>
      </c>
      <c r="J1479" s="6" t="s">
        <v>421</v>
      </c>
      <c r="K1479" s="6" t="s">
        <v>1974</v>
      </c>
      <c r="L1479" s="6">
        <v>7.537371306E9</v>
      </c>
      <c r="M1479" s="6" t="s">
        <v>10297</v>
      </c>
      <c r="N1479" s="6" t="s">
        <v>283</v>
      </c>
      <c r="O1479" s="6" t="s">
        <v>178</v>
      </c>
      <c r="P1479" s="10">
        <v>45977.0</v>
      </c>
    </row>
    <row r="1480" ht="22.5" customHeight="1">
      <c r="A1480" s="6" t="s">
        <v>10298</v>
      </c>
      <c r="B1480" s="6" t="s">
        <v>10299</v>
      </c>
      <c r="C1480" s="6" t="s">
        <v>10301</v>
      </c>
      <c r="D1480" s="6" t="s">
        <v>206</v>
      </c>
      <c r="E1480" s="6" t="s">
        <v>147</v>
      </c>
      <c r="F1480" s="8">
        <v>6.0</v>
      </c>
      <c r="G1480" s="9">
        <v>1713.94</v>
      </c>
      <c r="H1480" s="9">
        <v>3318.47</v>
      </c>
      <c r="I1480" s="6" t="s">
        <v>161</v>
      </c>
      <c r="J1480" s="6" t="s">
        <v>442</v>
      </c>
      <c r="K1480" s="6" t="s">
        <v>10302</v>
      </c>
      <c r="L1480" s="6">
        <v>5.4954513733E10</v>
      </c>
      <c r="M1480" s="6" t="s">
        <v>10303</v>
      </c>
      <c r="N1480" s="6" t="s">
        <v>112</v>
      </c>
      <c r="O1480" s="6" t="s">
        <v>178</v>
      </c>
      <c r="P1480" s="10">
        <v>45945.0</v>
      </c>
    </row>
    <row r="1481" ht="22.5" customHeight="1">
      <c r="A1481" s="6" t="s">
        <v>10305</v>
      </c>
      <c r="B1481" s="6" t="s">
        <v>10306</v>
      </c>
      <c r="C1481" s="6" t="s">
        <v>10307</v>
      </c>
      <c r="D1481" s="6" t="s">
        <v>383</v>
      </c>
      <c r="E1481" s="6" t="s">
        <v>147</v>
      </c>
      <c r="F1481" s="8">
        <v>13.0</v>
      </c>
      <c r="G1481" s="9">
        <v>1600.82</v>
      </c>
      <c r="H1481" s="9">
        <v>13332.7</v>
      </c>
      <c r="I1481" s="6" t="s">
        <v>161</v>
      </c>
      <c r="J1481" s="6" t="s">
        <v>228</v>
      </c>
      <c r="K1481" s="6" t="s">
        <v>259</v>
      </c>
      <c r="L1481" s="6">
        <v>1.4107039116E10</v>
      </c>
      <c r="M1481" s="6" t="s">
        <v>10309</v>
      </c>
      <c r="N1481" s="6" t="s">
        <v>176</v>
      </c>
      <c r="O1481" s="6" t="s">
        <v>178</v>
      </c>
      <c r="P1481" s="10">
        <v>46027.0</v>
      </c>
    </row>
    <row r="1482" ht="22.5" customHeight="1">
      <c r="A1482" s="6" t="s">
        <v>10310</v>
      </c>
      <c r="B1482" s="6" t="s">
        <v>10311</v>
      </c>
      <c r="C1482" s="6" t="s">
        <v>10312</v>
      </c>
      <c r="D1482" s="6" t="s">
        <v>145</v>
      </c>
      <c r="E1482" s="6" t="s">
        <v>147</v>
      </c>
      <c r="F1482" s="8">
        <v>19.0</v>
      </c>
      <c r="G1482" s="9">
        <v>168.1</v>
      </c>
      <c r="H1482" s="9">
        <v>3070.5</v>
      </c>
      <c r="I1482" s="6" t="s">
        <v>161</v>
      </c>
      <c r="J1482" s="6" t="s">
        <v>442</v>
      </c>
      <c r="K1482" s="6" t="s">
        <v>10314</v>
      </c>
      <c r="L1482" s="6">
        <v>4.10687809E9</v>
      </c>
      <c r="M1482" s="6" t="s">
        <v>10315</v>
      </c>
      <c r="N1482" s="6" t="s">
        <v>176</v>
      </c>
      <c r="O1482" s="6" t="s">
        <v>178</v>
      </c>
      <c r="P1482" s="10">
        <v>46030.0</v>
      </c>
    </row>
    <row r="1483" ht="22.5" customHeight="1">
      <c r="A1483" s="6" t="s">
        <v>10317</v>
      </c>
      <c r="B1483" s="6" t="s">
        <v>10318</v>
      </c>
      <c r="C1483" s="6" t="s">
        <v>10319</v>
      </c>
      <c r="D1483" s="6" t="s">
        <v>145</v>
      </c>
      <c r="E1483" s="6" t="s">
        <v>147</v>
      </c>
      <c r="F1483" s="8">
        <v>29.0</v>
      </c>
      <c r="G1483" s="9">
        <v>919.85</v>
      </c>
      <c r="H1483" s="9">
        <v>11699.88</v>
      </c>
      <c r="I1483" s="6" t="s">
        <v>178</v>
      </c>
      <c r="J1483" s="6" t="s">
        <v>465</v>
      </c>
      <c r="K1483" s="6" t="s">
        <v>10321</v>
      </c>
      <c r="L1483" s="6">
        <v>8.1905081468E10</v>
      </c>
      <c r="M1483" s="6" t="s">
        <v>10322</v>
      </c>
      <c r="N1483" s="6" t="s">
        <v>176</v>
      </c>
      <c r="O1483" s="6" t="s">
        <v>161</v>
      </c>
      <c r="P1483" s="10">
        <v>46008.0</v>
      </c>
    </row>
    <row r="1484" ht="22.5" customHeight="1">
      <c r="A1484" s="6" t="s">
        <v>10323</v>
      </c>
      <c r="B1484" s="6" t="s">
        <v>10324</v>
      </c>
      <c r="C1484" s="6" t="s">
        <v>10325</v>
      </c>
      <c r="D1484" s="6" t="s">
        <v>145</v>
      </c>
      <c r="E1484" s="6" t="s">
        <v>147</v>
      </c>
      <c r="F1484" s="8">
        <v>23.0</v>
      </c>
      <c r="G1484" s="9">
        <v>166.52</v>
      </c>
      <c r="H1484" s="9">
        <v>10683.39</v>
      </c>
      <c r="I1484" s="6" t="s">
        <v>161</v>
      </c>
      <c r="J1484" s="6" t="s">
        <v>228</v>
      </c>
      <c r="K1484" s="6" t="s">
        <v>10327</v>
      </c>
      <c r="L1484" s="6">
        <v>3.2773506912E10</v>
      </c>
      <c r="M1484" s="6" t="s">
        <v>10328</v>
      </c>
      <c r="N1484" s="6" t="s">
        <v>176</v>
      </c>
      <c r="O1484" s="6" t="s">
        <v>178</v>
      </c>
      <c r="P1484" s="10">
        <v>45996.0</v>
      </c>
    </row>
    <row r="1485" ht="22.5" customHeight="1">
      <c r="A1485" s="6" t="s">
        <v>10330</v>
      </c>
      <c r="B1485" s="6" t="s">
        <v>10331</v>
      </c>
      <c r="C1485" s="6" t="s">
        <v>10332</v>
      </c>
      <c r="D1485" s="6" t="s">
        <v>206</v>
      </c>
      <c r="E1485" s="6" t="s">
        <v>147</v>
      </c>
      <c r="F1485" s="8">
        <v>19.0</v>
      </c>
      <c r="G1485" s="9">
        <v>208.6</v>
      </c>
      <c r="H1485" s="9">
        <v>12605.55</v>
      </c>
      <c r="I1485" s="6" t="s">
        <v>161</v>
      </c>
      <c r="J1485" s="6" t="s">
        <v>312</v>
      </c>
      <c r="K1485" s="6" t="s">
        <v>10333</v>
      </c>
      <c r="L1485" s="6">
        <v>6.434515226E10</v>
      </c>
      <c r="M1485" s="6" t="s">
        <v>10335</v>
      </c>
      <c r="N1485" s="6" t="s">
        <v>176</v>
      </c>
      <c r="O1485" s="6" t="s">
        <v>178</v>
      </c>
      <c r="P1485" s="10">
        <v>45998.0</v>
      </c>
    </row>
    <row r="1486" ht="22.5" customHeight="1">
      <c r="A1486" s="6" t="s">
        <v>10336</v>
      </c>
      <c r="B1486" s="6" t="s">
        <v>10337</v>
      </c>
      <c r="C1486" s="6" t="s">
        <v>10338</v>
      </c>
      <c r="D1486" s="6" t="s">
        <v>383</v>
      </c>
      <c r="E1486" s="6" t="s">
        <v>147</v>
      </c>
      <c r="F1486" s="8">
        <v>9.0</v>
      </c>
      <c r="G1486" s="9">
        <v>1574.56</v>
      </c>
      <c r="H1486" s="9">
        <v>3457.86</v>
      </c>
      <c r="I1486" s="6" t="s">
        <v>161</v>
      </c>
      <c r="J1486" s="6" t="s">
        <v>465</v>
      </c>
      <c r="K1486" s="6" t="s">
        <v>10340</v>
      </c>
      <c r="L1486" s="6">
        <v>2.3985195601E10</v>
      </c>
      <c r="M1486" s="6" t="s">
        <v>10341</v>
      </c>
      <c r="N1486" s="6" t="s">
        <v>259</v>
      </c>
      <c r="O1486" s="6" t="s">
        <v>178</v>
      </c>
      <c r="P1486" s="10">
        <v>45959.0</v>
      </c>
    </row>
    <row r="1487" ht="22.5" customHeight="1">
      <c r="A1487" s="6" t="s">
        <v>10343</v>
      </c>
      <c r="B1487" s="6" t="s">
        <v>10344</v>
      </c>
      <c r="C1487" s="6" t="s">
        <v>10345</v>
      </c>
      <c r="D1487" s="6" t="s">
        <v>145</v>
      </c>
      <c r="E1487" s="6" t="s">
        <v>147</v>
      </c>
      <c r="F1487" s="8">
        <v>18.0</v>
      </c>
      <c r="G1487" s="9">
        <v>1132.66</v>
      </c>
      <c r="H1487" s="9">
        <v>10672.16</v>
      </c>
      <c r="I1487" s="6" t="s">
        <v>161</v>
      </c>
      <c r="J1487" s="6" t="s">
        <v>421</v>
      </c>
      <c r="K1487" s="6" t="s">
        <v>10346</v>
      </c>
      <c r="L1487" s="6">
        <v>3.6267319306E10</v>
      </c>
      <c r="M1487" s="6" t="s">
        <v>10348</v>
      </c>
      <c r="N1487" s="6" t="s">
        <v>283</v>
      </c>
      <c r="O1487" s="6" t="s">
        <v>178</v>
      </c>
      <c r="P1487" s="10">
        <v>45980.0</v>
      </c>
    </row>
    <row r="1488" ht="22.5" customHeight="1">
      <c r="A1488" s="6" t="s">
        <v>10349</v>
      </c>
      <c r="B1488" s="6" t="s">
        <v>10350</v>
      </c>
      <c r="C1488" s="6" t="s">
        <v>10351</v>
      </c>
      <c r="D1488" s="6" t="s">
        <v>145</v>
      </c>
      <c r="E1488" s="6" t="s">
        <v>147</v>
      </c>
      <c r="F1488" s="8">
        <v>15.0</v>
      </c>
      <c r="G1488" s="9">
        <v>1665.4</v>
      </c>
      <c r="H1488" s="9">
        <v>4053.4</v>
      </c>
      <c r="I1488" s="6" t="s">
        <v>161</v>
      </c>
      <c r="J1488" s="6" t="s">
        <v>442</v>
      </c>
      <c r="K1488" s="6" t="s">
        <v>10353</v>
      </c>
      <c r="L1488" s="6">
        <v>4.0450311262E10</v>
      </c>
      <c r="M1488" s="6" t="s">
        <v>10354</v>
      </c>
      <c r="N1488" s="6" t="s">
        <v>259</v>
      </c>
      <c r="O1488" s="6" t="s">
        <v>178</v>
      </c>
      <c r="P1488" s="10">
        <v>46010.0</v>
      </c>
    </row>
    <row r="1489" ht="22.5" customHeight="1">
      <c r="A1489" s="6" t="s">
        <v>10355</v>
      </c>
      <c r="B1489" s="6" t="s">
        <v>10357</v>
      </c>
      <c r="C1489" s="6" t="s">
        <v>10358</v>
      </c>
      <c r="D1489" s="6" t="s">
        <v>145</v>
      </c>
      <c r="E1489" s="6" t="s">
        <v>147</v>
      </c>
      <c r="F1489" s="8">
        <v>15.0</v>
      </c>
      <c r="G1489" s="9">
        <v>1793.01</v>
      </c>
      <c r="H1489" s="9">
        <v>12469.29</v>
      </c>
      <c r="I1489" s="6" t="s">
        <v>161</v>
      </c>
      <c r="J1489" s="6" t="s">
        <v>465</v>
      </c>
      <c r="K1489" s="6" t="s">
        <v>10359</v>
      </c>
      <c r="L1489" s="6">
        <v>2.741255516E9</v>
      </c>
      <c r="M1489" s="6" t="s">
        <v>10360</v>
      </c>
      <c r="N1489" s="6" t="s">
        <v>427</v>
      </c>
      <c r="O1489" s="6" t="s">
        <v>178</v>
      </c>
      <c r="P1489" s="10">
        <v>46049.0</v>
      </c>
    </row>
    <row r="1490" ht="22.5" customHeight="1">
      <c r="A1490" s="6" t="s">
        <v>10362</v>
      </c>
      <c r="B1490" s="6" t="s">
        <v>10363</v>
      </c>
      <c r="C1490" s="6" t="s">
        <v>10364</v>
      </c>
      <c r="D1490" s="6" t="s">
        <v>206</v>
      </c>
      <c r="E1490" s="6" t="s">
        <v>147</v>
      </c>
      <c r="F1490" s="8">
        <v>25.0</v>
      </c>
      <c r="G1490" s="9">
        <v>1742.64</v>
      </c>
      <c r="H1490" s="9">
        <v>14979.66</v>
      </c>
      <c r="I1490" s="6" t="s">
        <v>161</v>
      </c>
      <c r="J1490" s="6" t="s">
        <v>393</v>
      </c>
      <c r="K1490" s="6" t="s">
        <v>10366</v>
      </c>
      <c r="L1490" s="6">
        <v>7.2746638805E10</v>
      </c>
      <c r="M1490" s="6" t="s">
        <v>10367</v>
      </c>
      <c r="N1490" s="6" t="s">
        <v>283</v>
      </c>
      <c r="O1490" s="6" t="s">
        <v>178</v>
      </c>
      <c r="P1490" s="10">
        <v>46000.0</v>
      </c>
    </row>
    <row r="1491" ht="22.5" customHeight="1">
      <c r="A1491" s="6" t="s">
        <v>10368</v>
      </c>
      <c r="B1491" s="6" t="s">
        <v>10369</v>
      </c>
      <c r="C1491" s="6" t="s">
        <v>10370</v>
      </c>
      <c r="D1491" s="6" t="s">
        <v>206</v>
      </c>
      <c r="E1491" s="6" t="s">
        <v>147</v>
      </c>
      <c r="F1491" s="8">
        <v>25.0</v>
      </c>
      <c r="G1491" s="9">
        <v>759.83</v>
      </c>
      <c r="H1491" s="9">
        <v>5726.09</v>
      </c>
      <c r="I1491" s="6" t="s">
        <v>161</v>
      </c>
      <c r="J1491" s="6" t="s">
        <v>479</v>
      </c>
      <c r="K1491" s="6" t="s">
        <v>10372</v>
      </c>
      <c r="L1491" s="6" t="s">
        <v>259</v>
      </c>
      <c r="M1491" s="6" t="s">
        <v>10373</v>
      </c>
      <c r="N1491" s="6" t="s">
        <v>112</v>
      </c>
      <c r="O1491" s="6" t="s">
        <v>178</v>
      </c>
      <c r="P1491" s="10">
        <v>45994.0</v>
      </c>
    </row>
    <row r="1492" ht="22.5" customHeight="1">
      <c r="A1492" s="6" t="s">
        <v>10375</v>
      </c>
      <c r="B1492" s="6" t="s">
        <v>10376</v>
      </c>
      <c r="C1492" s="6" t="s">
        <v>10378</v>
      </c>
      <c r="D1492" s="6" t="s">
        <v>145</v>
      </c>
      <c r="E1492" s="6" t="s">
        <v>147</v>
      </c>
      <c r="F1492" s="8">
        <v>16.0</v>
      </c>
      <c r="G1492" s="9">
        <v>1590.3</v>
      </c>
      <c r="H1492" s="9">
        <v>13775.2</v>
      </c>
      <c r="I1492" s="6" t="s">
        <v>161</v>
      </c>
      <c r="J1492" s="6" t="s">
        <v>312</v>
      </c>
      <c r="K1492" s="6" t="s">
        <v>10380</v>
      </c>
      <c r="L1492" s="6">
        <v>5.5605037216E10</v>
      </c>
      <c r="M1492" s="6" t="s">
        <v>10381</v>
      </c>
      <c r="N1492" s="6" t="s">
        <v>427</v>
      </c>
      <c r="O1492" s="6" t="s">
        <v>178</v>
      </c>
      <c r="P1492" s="10">
        <v>46000.0</v>
      </c>
    </row>
    <row r="1493" ht="22.5" customHeight="1">
      <c r="A1493" s="6" t="s">
        <v>10383</v>
      </c>
      <c r="B1493" s="6" t="s">
        <v>10384</v>
      </c>
      <c r="C1493" s="6" t="s">
        <v>10385</v>
      </c>
      <c r="D1493" s="6" t="s">
        <v>145</v>
      </c>
      <c r="E1493" s="6" t="s">
        <v>147</v>
      </c>
      <c r="F1493" s="8">
        <v>10.0</v>
      </c>
      <c r="G1493" s="9">
        <v>1292.08</v>
      </c>
      <c r="H1493" s="9">
        <v>2619.53</v>
      </c>
      <c r="I1493" s="6" t="s">
        <v>161</v>
      </c>
      <c r="J1493" s="6" t="s">
        <v>163</v>
      </c>
      <c r="K1493" s="6" t="s">
        <v>10388</v>
      </c>
      <c r="L1493" s="6">
        <v>5.7133134357E10</v>
      </c>
      <c r="M1493" s="6" t="s">
        <v>10389</v>
      </c>
      <c r="N1493" s="6" t="s">
        <v>427</v>
      </c>
      <c r="O1493" s="6" t="s">
        <v>178</v>
      </c>
      <c r="P1493" s="10">
        <v>45956.0</v>
      </c>
    </row>
    <row r="1494" ht="22.5" customHeight="1">
      <c r="A1494" s="6" t="s">
        <v>10391</v>
      </c>
      <c r="B1494" s="6" t="s">
        <v>10392</v>
      </c>
      <c r="C1494" s="6" t="s">
        <v>10393</v>
      </c>
      <c r="D1494" s="6" t="s">
        <v>145</v>
      </c>
      <c r="E1494" s="6" t="s">
        <v>147</v>
      </c>
      <c r="F1494" s="8">
        <v>11.0</v>
      </c>
      <c r="G1494" s="9">
        <v>676.25</v>
      </c>
      <c r="H1494" s="9">
        <v>9756.98</v>
      </c>
      <c r="I1494" s="6" t="s">
        <v>161</v>
      </c>
      <c r="J1494" s="6" t="s">
        <v>163</v>
      </c>
      <c r="K1494" s="6" t="s">
        <v>10395</v>
      </c>
      <c r="L1494" s="6">
        <v>1.9178756344E10</v>
      </c>
      <c r="M1494" s="6" t="s">
        <v>10396</v>
      </c>
      <c r="N1494" s="6" t="s">
        <v>427</v>
      </c>
      <c r="O1494" s="6" t="s">
        <v>178</v>
      </c>
      <c r="P1494" s="10">
        <v>46038.0</v>
      </c>
    </row>
    <row r="1495" ht="22.5" customHeight="1">
      <c r="A1495" s="6" t="s">
        <v>10398</v>
      </c>
      <c r="B1495" s="6" t="s">
        <v>10399</v>
      </c>
      <c r="C1495" s="6" t="s">
        <v>10401</v>
      </c>
      <c r="D1495" s="6" t="s">
        <v>206</v>
      </c>
      <c r="E1495" s="6" t="s">
        <v>301</v>
      </c>
      <c r="F1495" s="8">
        <v>33.0</v>
      </c>
      <c r="G1495" s="9">
        <v>1412.25</v>
      </c>
      <c r="H1495" s="9">
        <v>13360.24</v>
      </c>
      <c r="I1495" s="6" t="s">
        <v>161</v>
      </c>
      <c r="J1495" s="6" t="s">
        <v>577</v>
      </c>
      <c r="K1495" s="6" t="s">
        <v>10402</v>
      </c>
      <c r="L1495" s="6">
        <v>6.4595340589E10</v>
      </c>
      <c r="M1495" s="6" t="s">
        <v>10403</v>
      </c>
      <c r="N1495" s="6" t="s">
        <v>112</v>
      </c>
      <c r="O1495" s="6" t="s">
        <v>178</v>
      </c>
      <c r="P1495" s="10">
        <v>45969.0</v>
      </c>
    </row>
    <row r="1496" ht="22.5" customHeight="1">
      <c r="A1496" s="6" t="s">
        <v>10405</v>
      </c>
      <c r="B1496" s="6" t="s">
        <v>10406</v>
      </c>
      <c r="C1496" s="6" t="s">
        <v>10407</v>
      </c>
      <c r="D1496" s="6" t="s">
        <v>145</v>
      </c>
      <c r="E1496" s="6" t="s">
        <v>210</v>
      </c>
      <c r="F1496" s="8">
        <v>106.0</v>
      </c>
      <c r="G1496" s="9">
        <v>858.02</v>
      </c>
      <c r="H1496" s="9">
        <v>8268.75</v>
      </c>
      <c r="I1496" s="6" t="s">
        <v>178</v>
      </c>
      <c r="J1496" s="6" t="s">
        <v>577</v>
      </c>
      <c r="K1496" s="6" t="s">
        <v>10409</v>
      </c>
      <c r="L1496" s="6">
        <v>4.4965764253E10</v>
      </c>
      <c r="M1496" s="6" t="s">
        <v>10410</v>
      </c>
      <c r="N1496" s="6" t="s">
        <v>283</v>
      </c>
      <c r="O1496" s="6" t="s">
        <v>161</v>
      </c>
      <c r="P1496" s="10">
        <v>45998.0</v>
      </c>
    </row>
    <row r="1497" ht="22.5" customHeight="1">
      <c r="A1497" s="6" t="s">
        <v>10412</v>
      </c>
      <c r="B1497" s="6" t="s">
        <v>10413</v>
      </c>
      <c r="C1497" s="6" t="s">
        <v>10415</v>
      </c>
      <c r="D1497" s="6" t="s">
        <v>206</v>
      </c>
      <c r="E1497" s="6" t="s">
        <v>147</v>
      </c>
      <c r="F1497" s="8">
        <v>14.0</v>
      </c>
      <c r="G1497" s="9">
        <v>627.8</v>
      </c>
      <c r="H1497" s="9">
        <v>4260.79</v>
      </c>
      <c r="I1497" s="6" t="s">
        <v>161</v>
      </c>
      <c r="J1497" s="6" t="s">
        <v>421</v>
      </c>
      <c r="K1497" s="6" t="s">
        <v>10416</v>
      </c>
      <c r="L1497" s="6">
        <v>6.054302546E9</v>
      </c>
      <c r="M1497" s="6" t="s">
        <v>10417</v>
      </c>
      <c r="N1497" s="6" t="s">
        <v>427</v>
      </c>
      <c r="O1497" s="6" t="s">
        <v>178</v>
      </c>
      <c r="P1497" s="10">
        <v>45937.0</v>
      </c>
    </row>
    <row r="1498" ht="22.5" customHeight="1">
      <c r="A1498" s="6" t="s">
        <v>10419</v>
      </c>
      <c r="B1498" s="6" t="s">
        <v>10420</v>
      </c>
      <c r="C1498" s="6" t="s">
        <v>10421</v>
      </c>
      <c r="D1498" s="6" t="s">
        <v>145</v>
      </c>
      <c r="E1498" s="6" t="s">
        <v>147</v>
      </c>
      <c r="F1498" s="8">
        <v>8.0</v>
      </c>
      <c r="G1498" s="9">
        <v>763.56</v>
      </c>
      <c r="H1498" s="9">
        <v>6757.04</v>
      </c>
      <c r="I1498" s="6" t="s">
        <v>178</v>
      </c>
      <c r="J1498" s="6" t="s">
        <v>393</v>
      </c>
      <c r="K1498" s="6" t="s">
        <v>10423</v>
      </c>
      <c r="L1498" s="6">
        <v>1.3456132672E10</v>
      </c>
      <c r="M1498" s="6" t="s">
        <v>10424</v>
      </c>
      <c r="N1498" s="6" t="s">
        <v>176</v>
      </c>
      <c r="O1498" s="6" t="s">
        <v>161</v>
      </c>
      <c r="P1498" s="10">
        <v>46016.0</v>
      </c>
    </row>
    <row r="1499" ht="22.5" customHeight="1">
      <c r="A1499" s="6" t="s">
        <v>10426</v>
      </c>
      <c r="B1499" s="6" t="s">
        <v>10427</v>
      </c>
      <c r="C1499" s="6" t="s">
        <v>10428</v>
      </c>
      <c r="D1499" s="6" t="s">
        <v>145</v>
      </c>
      <c r="E1499" s="6" t="s">
        <v>147</v>
      </c>
      <c r="F1499" s="8">
        <v>19.0</v>
      </c>
      <c r="G1499" s="9">
        <v>966.34</v>
      </c>
      <c r="H1499" s="9">
        <v>9379.54</v>
      </c>
      <c r="I1499" s="6" t="s">
        <v>161</v>
      </c>
      <c r="J1499" s="6" t="s">
        <v>421</v>
      </c>
      <c r="K1499" s="6" t="s">
        <v>10429</v>
      </c>
      <c r="L1499" s="6" t="s">
        <v>259</v>
      </c>
      <c r="M1499" s="6" t="s">
        <v>10430</v>
      </c>
      <c r="N1499" s="6" t="s">
        <v>427</v>
      </c>
      <c r="O1499" s="6" t="s">
        <v>178</v>
      </c>
      <c r="P1499" s="10">
        <v>45950.0</v>
      </c>
    </row>
    <row r="1500" ht="22.5" customHeight="1">
      <c r="A1500" s="6" t="s">
        <v>10432</v>
      </c>
      <c r="B1500" s="6" t="s">
        <v>10433</v>
      </c>
      <c r="C1500" s="6" t="s">
        <v>10434</v>
      </c>
      <c r="D1500" s="6" t="s">
        <v>206</v>
      </c>
      <c r="E1500" s="6" t="s">
        <v>301</v>
      </c>
      <c r="F1500" s="8">
        <v>57.0</v>
      </c>
      <c r="G1500" s="9">
        <v>954.67</v>
      </c>
      <c r="H1500" s="9">
        <v>7115.94</v>
      </c>
      <c r="I1500" s="6" t="s">
        <v>161</v>
      </c>
      <c r="J1500" s="6" t="s">
        <v>393</v>
      </c>
      <c r="K1500" s="6" t="s">
        <v>10435</v>
      </c>
      <c r="L1500" s="6">
        <v>4.2275242702E10</v>
      </c>
      <c r="M1500" s="6" t="s">
        <v>10437</v>
      </c>
      <c r="N1500" s="6" t="s">
        <v>427</v>
      </c>
      <c r="O1500" s="6" t="s">
        <v>178</v>
      </c>
      <c r="P1500" s="10">
        <v>46012.0</v>
      </c>
    </row>
    <row r="1501" ht="22.5" customHeight="1">
      <c r="A1501" s="6" t="s">
        <v>10438</v>
      </c>
      <c r="B1501" s="6" t="s">
        <v>10439</v>
      </c>
      <c r="C1501" s="6" t="s">
        <v>10440</v>
      </c>
      <c r="D1501" s="6" t="s">
        <v>145</v>
      </c>
      <c r="E1501" s="6" t="s">
        <v>147</v>
      </c>
      <c r="F1501" s="8">
        <v>15.0</v>
      </c>
      <c r="G1501" s="9">
        <v>524.97</v>
      </c>
      <c r="H1501" s="9">
        <v>5382.01</v>
      </c>
      <c r="I1501" s="6" t="s">
        <v>161</v>
      </c>
      <c r="J1501" s="6" t="s">
        <v>465</v>
      </c>
      <c r="K1501" s="6" t="s">
        <v>10442</v>
      </c>
      <c r="L1501" s="6">
        <v>6.5602072E7</v>
      </c>
      <c r="M1501" s="6" t="s">
        <v>10443</v>
      </c>
      <c r="N1501" s="6" t="s">
        <v>283</v>
      </c>
      <c r="O1501" s="6" t="s">
        <v>178</v>
      </c>
      <c r="P1501" s="10">
        <v>45944.0</v>
      </c>
    </row>
    <row r="1502" ht="22.5" customHeight="1">
      <c r="A1502" s="6" t="s">
        <v>10444</v>
      </c>
      <c r="B1502" s="6" t="s">
        <v>10445</v>
      </c>
      <c r="C1502" s="6" t="s">
        <v>10447</v>
      </c>
      <c r="D1502" s="6" t="s">
        <v>145</v>
      </c>
      <c r="E1502" s="6" t="s">
        <v>210</v>
      </c>
      <c r="F1502" s="8">
        <v>97.0</v>
      </c>
      <c r="G1502" s="9">
        <v>193.52</v>
      </c>
      <c r="H1502" s="9">
        <v>8738.33</v>
      </c>
      <c r="I1502" s="6" t="s">
        <v>178</v>
      </c>
      <c r="J1502" s="6" t="s">
        <v>479</v>
      </c>
      <c r="K1502" s="6" t="s">
        <v>10448</v>
      </c>
      <c r="L1502" s="6">
        <v>3.52897283E10</v>
      </c>
      <c r="M1502" s="6" t="s">
        <v>10449</v>
      </c>
      <c r="N1502" s="6" t="s">
        <v>259</v>
      </c>
      <c r="O1502" s="6" t="s">
        <v>161</v>
      </c>
      <c r="P1502" s="10">
        <v>45946.0</v>
      </c>
    </row>
    <row r="1503" ht="22.5" customHeight="1">
      <c r="A1503" s="6" t="s">
        <v>10451</v>
      </c>
      <c r="B1503" s="6" t="s">
        <v>10452</v>
      </c>
      <c r="C1503" s="6" t="s">
        <v>10453</v>
      </c>
      <c r="D1503" s="6" t="s">
        <v>206</v>
      </c>
      <c r="E1503" s="6" t="s">
        <v>147</v>
      </c>
      <c r="F1503" s="8">
        <v>20.0</v>
      </c>
      <c r="G1503" s="9">
        <v>418.1</v>
      </c>
      <c r="H1503" s="9">
        <v>12428.38</v>
      </c>
      <c r="I1503" s="6" t="s">
        <v>161</v>
      </c>
      <c r="J1503" s="6" t="s">
        <v>442</v>
      </c>
      <c r="K1503" s="6" t="s">
        <v>10455</v>
      </c>
      <c r="L1503" s="6" t="s">
        <v>259</v>
      </c>
      <c r="M1503" s="6" t="s">
        <v>10456</v>
      </c>
      <c r="N1503" s="6" t="s">
        <v>259</v>
      </c>
      <c r="O1503" s="6" t="s">
        <v>178</v>
      </c>
      <c r="P1503" s="10">
        <v>46018.0</v>
      </c>
    </row>
    <row r="1504" ht="22.5" customHeight="1">
      <c r="A1504" s="6" t="s">
        <v>10457</v>
      </c>
      <c r="B1504" s="6" t="s">
        <v>10459</v>
      </c>
      <c r="C1504" s="6" t="s">
        <v>10460</v>
      </c>
      <c r="D1504" s="6" t="s">
        <v>206</v>
      </c>
      <c r="E1504" s="6" t="s">
        <v>210</v>
      </c>
      <c r="F1504" s="8">
        <v>119.0</v>
      </c>
      <c r="G1504" s="9">
        <v>1614.67</v>
      </c>
      <c r="H1504" s="9">
        <v>7138.98</v>
      </c>
      <c r="I1504" s="6" t="s">
        <v>161</v>
      </c>
      <c r="J1504" s="6" t="s">
        <v>479</v>
      </c>
      <c r="K1504" s="6" t="s">
        <v>10461</v>
      </c>
      <c r="L1504" s="6">
        <v>7.4707747881E10</v>
      </c>
      <c r="M1504" s="6" t="s">
        <v>10462</v>
      </c>
      <c r="N1504" s="6" t="s">
        <v>427</v>
      </c>
      <c r="O1504" s="6" t="s">
        <v>161</v>
      </c>
      <c r="P1504" s="10">
        <v>45996.0</v>
      </c>
    </row>
    <row r="1505" ht="22.5" customHeight="1">
      <c r="A1505" s="6" t="s">
        <v>10464</v>
      </c>
      <c r="B1505" s="6" t="s">
        <v>10465</v>
      </c>
      <c r="C1505" s="6" t="s">
        <v>10466</v>
      </c>
      <c r="D1505" s="6" t="s">
        <v>145</v>
      </c>
      <c r="E1505" s="6" t="s">
        <v>210</v>
      </c>
      <c r="F1505" s="8">
        <v>109.0</v>
      </c>
      <c r="G1505" s="9">
        <v>845.34</v>
      </c>
      <c r="H1505" s="9">
        <v>10506.75</v>
      </c>
      <c r="I1505" s="6" t="s">
        <v>178</v>
      </c>
      <c r="J1505" s="6" t="s">
        <v>442</v>
      </c>
      <c r="K1505" s="6" t="s">
        <v>10468</v>
      </c>
      <c r="L1505" s="6">
        <v>5.6753436588E10</v>
      </c>
      <c r="M1505" s="6" t="s">
        <v>10469</v>
      </c>
      <c r="N1505" s="6" t="s">
        <v>283</v>
      </c>
      <c r="O1505" s="6" t="s">
        <v>161</v>
      </c>
      <c r="P1505" s="10">
        <v>45951.0</v>
      </c>
    </row>
    <row r="1506" ht="22.5" customHeight="1">
      <c r="A1506" s="6" t="s">
        <v>10470</v>
      </c>
      <c r="B1506" s="6" t="s">
        <v>10472</v>
      </c>
      <c r="C1506" s="6" t="s">
        <v>10473</v>
      </c>
      <c r="D1506" s="6" t="s">
        <v>145</v>
      </c>
      <c r="E1506" s="6" t="s">
        <v>147</v>
      </c>
      <c r="F1506" s="8">
        <v>24.0</v>
      </c>
      <c r="G1506" s="9">
        <v>1134.1</v>
      </c>
      <c r="H1506" s="9">
        <v>14945.14</v>
      </c>
      <c r="I1506" s="6" t="s">
        <v>178</v>
      </c>
      <c r="J1506" s="6" t="s">
        <v>577</v>
      </c>
      <c r="K1506" s="6" t="s">
        <v>10475</v>
      </c>
      <c r="L1506" s="6">
        <v>5.8367818354E10</v>
      </c>
      <c r="M1506" s="6" t="s">
        <v>10476</v>
      </c>
      <c r="N1506" s="6" t="s">
        <v>176</v>
      </c>
      <c r="O1506" s="6" t="s">
        <v>161</v>
      </c>
      <c r="P1506" s="10">
        <v>45938.0</v>
      </c>
    </row>
    <row r="1507" ht="22.5" customHeight="1">
      <c r="A1507" s="6" t="s">
        <v>10477</v>
      </c>
      <c r="B1507" s="6" t="s">
        <v>10478</v>
      </c>
      <c r="C1507" s="6" t="s">
        <v>10479</v>
      </c>
      <c r="D1507" s="6" t="s">
        <v>206</v>
      </c>
      <c r="E1507" s="6" t="s">
        <v>147</v>
      </c>
      <c r="F1507" s="8">
        <v>13.0</v>
      </c>
      <c r="G1507" s="9">
        <v>713.73</v>
      </c>
      <c r="H1507" s="9">
        <v>1697.69</v>
      </c>
      <c r="I1507" s="6" t="s">
        <v>178</v>
      </c>
      <c r="J1507" s="6" t="s">
        <v>421</v>
      </c>
      <c r="K1507" s="6" t="s">
        <v>10481</v>
      </c>
      <c r="L1507" s="6">
        <v>9.7262873448E10</v>
      </c>
      <c r="M1507" s="6" t="s">
        <v>10482</v>
      </c>
      <c r="N1507" s="6" t="s">
        <v>283</v>
      </c>
      <c r="O1507" s="6" t="s">
        <v>161</v>
      </c>
      <c r="P1507" s="10">
        <v>45937.0</v>
      </c>
    </row>
    <row r="1508" ht="22.5" customHeight="1">
      <c r="A1508" s="6" t="s">
        <v>10484</v>
      </c>
      <c r="B1508" s="6" t="s">
        <v>10485</v>
      </c>
      <c r="C1508" s="6" t="s">
        <v>10486</v>
      </c>
      <c r="D1508" s="6" t="s">
        <v>145</v>
      </c>
      <c r="E1508" s="6" t="s">
        <v>147</v>
      </c>
      <c r="F1508" s="8">
        <v>16.0</v>
      </c>
      <c r="G1508" s="9">
        <v>1722.72</v>
      </c>
      <c r="H1508" s="9">
        <v>13770.53</v>
      </c>
      <c r="I1508" s="6" t="s">
        <v>161</v>
      </c>
      <c r="J1508" s="6" t="s">
        <v>442</v>
      </c>
      <c r="K1508" s="6" t="s">
        <v>10487</v>
      </c>
      <c r="L1508" s="6">
        <v>3.4166580588E10</v>
      </c>
      <c r="M1508" s="6" t="s">
        <v>10488</v>
      </c>
      <c r="N1508" s="6" t="s">
        <v>259</v>
      </c>
      <c r="O1508" s="6" t="s">
        <v>178</v>
      </c>
      <c r="P1508" s="10">
        <v>46011.0</v>
      </c>
    </row>
    <row r="1509" ht="22.5" customHeight="1">
      <c r="A1509" s="6" t="s">
        <v>10489</v>
      </c>
      <c r="B1509" s="6" t="s">
        <v>10490</v>
      </c>
      <c r="C1509" s="6" t="s">
        <v>10492</v>
      </c>
      <c r="D1509" s="6" t="s">
        <v>383</v>
      </c>
      <c r="E1509" s="6" t="s">
        <v>301</v>
      </c>
      <c r="F1509" s="8">
        <v>53.0</v>
      </c>
      <c r="G1509" s="9">
        <v>1153.32</v>
      </c>
      <c r="H1509" s="9">
        <v>10396.51</v>
      </c>
      <c r="I1509" s="6" t="s">
        <v>161</v>
      </c>
      <c r="J1509" s="6" t="s">
        <v>465</v>
      </c>
      <c r="K1509" s="6" t="s">
        <v>10493</v>
      </c>
      <c r="L1509" s="6">
        <v>5.306662044E10</v>
      </c>
      <c r="M1509" s="6" t="s">
        <v>10494</v>
      </c>
      <c r="N1509" s="6" t="s">
        <v>427</v>
      </c>
      <c r="O1509" s="6" t="s">
        <v>178</v>
      </c>
      <c r="P1509" s="10">
        <v>46044.0</v>
      </c>
    </row>
    <row r="1510" ht="22.5" customHeight="1">
      <c r="A1510" s="6" t="s">
        <v>10495</v>
      </c>
      <c r="B1510" s="6" t="s">
        <v>10496</v>
      </c>
      <c r="C1510" s="6" t="s">
        <v>10497</v>
      </c>
      <c r="D1510" s="6" t="s">
        <v>206</v>
      </c>
      <c r="E1510" s="6" t="s">
        <v>147</v>
      </c>
      <c r="F1510" s="8">
        <v>14.0</v>
      </c>
      <c r="G1510" s="9">
        <v>139.77</v>
      </c>
      <c r="H1510" s="9">
        <v>5666.78</v>
      </c>
      <c r="I1510" s="6" t="s">
        <v>161</v>
      </c>
      <c r="J1510" s="6" t="s">
        <v>393</v>
      </c>
      <c r="K1510" s="6" t="s">
        <v>10499</v>
      </c>
      <c r="L1510" s="6">
        <v>2.617991205E10</v>
      </c>
      <c r="M1510" s="6" t="s">
        <v>10500</v>
      </c>
      <c r="N1510" s="6" t="s">
        <v>427</v>
      </c>
      <c r="O1510" s="6" t="s">
        <v>178</v>
      </c>
      <c r="P1510" s="10">
        <v>46041.0</v>
      </c>
    </row>
    <row r="1511" ht="22.5" customHeight="1">
      <c r="A1511" s="6" t="s">
        <v>10501</v>
      </c>
      <c r="B1511" s="6" t="s">
        <v>10502</v>
      </c>
      <c r="C1511" s="6" t="s">
        <v>10503</v>
      </c>
      <c r="D1511" s="6" t="s">
        <v>145</v>
      </c>
      <c r="E1511" s="6" t="s">
        <v>147</v>
      </c>
      <c r="F1511" s="8">
        <v>14.0</v>
      </c>
      <c r="G1511" s="9">
        <v>749.38</v>
      </c>
      <c r="H1511" s="9">
        <v>13060.72</v>
      </c>
      <c r="I1511" s="6" t="s">
        <v>161</v>
      </c>
      <c r="J1511" s="6" t="s">
        <v>465</v>
      </c>
      <c r="K1511" s="6" t="s">
        <v>10504</v>
      </c>
      <c r="L1511" s="6">
        <v>5.7314072392E10</v>
      </c>
      <c r="M1511" s="6" t="s">
        <v>10505</v>
      </c>
      <c r="N1511" s="6" t="s">
        <v>259</v>
      </c>
      <c r="O1511" s="6" t="s">
        <v>178</v>
      </c>
      <c r="P1511" s="10">
        <v>45961.0</v>
      </c>
    </row>
    <row r="1512" ht="22.5" customHeight="1">
      <c r="A1512" s="6" t="s">
        <v>10506</v>
      </c>
      <c r="B1512" s="6" t="s">
        <v>10507</v>
      </c>
      <c r="C1512" s="6" t="s">
        <v>10509</v>
      </c>
      <c r="D1512" s="6" t="s">
        <v>206</v>
      </c>
      <c r="E1512" s="6" t="s">
        <v>147</v>
      </c>
      <c r="F1512" s="8">
        <v>7.0</v>
      </c>
      <c r="G1512" s="9">
        <v>765.54</v>
      </c>
      <c r="H1512" s="9">
        <v>12533.3</v>
      </c>
      <c r="I1512" s="6" t="s">
        <v>178</v>
      </c>
      <c r="J1512" s="6" t="s">
        <v>2502</v>
      </c>
      <c r="K1512" s="6" t="s">
        <v>10510</v>
      </c>
      <c r="L1512" s="6">
        <v>9.6970779217E10</v>
      </c>
      <c r="M1512" s="6" t="s">
        <v>10511</v>
      </c>
      <c r="N1512" s="6" t="s">
        <v>283</v>
      </c>
      <c r="O1512" s="6" t="s">
        <v>161</v>
      </c>
      <c r="P1512" s="10">
        <v>46041.0</v>
      </c>
    </row>
    <row r="1513" ht="22.5" customHeight="1">
      <c r="A1513" s="6" t="s">
        <v>10512</v>
      </c>
      <c r="B1513" s="6" t="s">
        <v>10513</v>
      </c>
      <c r="C1513" s="6" t="s">
        <v>10514</v>
      </c>
      <c r="D1513" s="6" t="s">
        <v>206</v>
      </c>
      <c r="E1513" s="6" t="s">
        <v>147</v>
      </c>
      <c r="F1513" s="8">
        <v>12.0</v>
      </c>
      <c r="G1513" s="9">
        <v>327.74</v>
      </c>
      <c r="H1513" s="9">
        <v>5078.44</v>
      </c>
      <c r="I1513" s="6" t="s">
        <v>161</v>
      </c>
      <c r="J1513" s="6" t="s">
        <v>228</v>
      </c>
      <c r="K1513" s="6" t="s">
        <v>10516</v>
      </c>
      <c r="L1513" s="6">
        <v>8.8584057418E10</v>
      </c>
      <c r="M1513" s="6" t="s">
        <v>10517</v>
      </c>
      <c r="N1513" s="6" t="s">
        <v>112</v>
      </c>
      <c r="O1513" s="6" t="s">
        <v>178</v>
      </c>
      <c r="P1513" s="10">
        <v>45940.0</v>
      </c>
    </row>
    <row r="1514" ht="22.5" customHeight="1">
      <c r="A1514" s="6" t="s">
        <v>10518</v>
      </c>
      <c r="B1514" s="6" t="s">
        <v>10519</v>
      </c>
      <c r="C1514" s="6" t="s">
        <v>10520</v>
      </c>
      <c r="D1514" s="6" t="s">
        <v>206</v>
      </c>
      <c r="E1514" s="6" t="s">
        <v>210</v>
      </c>
      <c r="F1514" s="8">
        <v>84.0</v>
      </c>
      <c r="G1514" s="9">
        <v>1266.45</v>
      </c>
      <c r="H1514" s="9">
        <v>12414.57</v>
      </c>
      <c r="I1514" s="6" t="s">
        <v>161</v>
      </c>
      <c r="J1514" s="6" t="s">
        <v>421</v>
      </c>
      <c r="K1514" s="6" t="s">
        <v>10522</v>
      </c>
      <c r="L1514" s="6" t="s">
        <v>259</v>
      </c>
      <c r="M1514" s="6" t="s">
        <v>10523</v>
      </c>
      <c r="N1514" s="6" t="s">
        <v>112</v>
      </c>
      <c r="O1514" s="6" t="s">
        <v>161</v>
      </c>
      <c r="P1514" s="10">
        <v>46050.0</v>
      </c>
    </row>
    <row r="1515" ht="22.5" customHeight="1">
      <c r="A1515" s="6" t="s">
        <v>10524</v>
      </c>
      <c r="B1515" s="6" t="s">
        <v>10525</v>
      </c>
      <c r="C1515" s="6" t="s">
        <v>10526</v>
      </c>
      <c r="D1515" s="6" t="s">
        <v>206</v>
      </c>
      <c r="E1515" s="6" t="s">
        <v>210</v>
      </c>
      <c r="F1515" s="8">
        <v>68.0</v>
      </c>
      <c r="G1515" s="9">
        <v>731.77</v>
      </c>
      <c r="H1515" s="9">
        <v>10881.02</v>
      </c>
      <c r="I1515" s="6" t="s">
        <v>178</v>
      </c>
      <c r="J1515" s="6" t="s">
        <v>465</v>
      </c>
      <c r="K1515" s="6" t="s">
        <v>10528</v>
      </c>
      <c r="L1515" s="6">
        <v>8.330864209E9</v>
      </c>
      <c r="M1515" s="6" t="s">
        <v>10529</v>
      </c>
      <c r="N1515" s="6" t="s">
        <v>112</v>
      </c>
      <c r="O1515" s="6" t="s">
        <v>161</v>
      </c>
      <c r="P1515" s="10">
        <v>46027.0</v>
      </c>
    </row>
    <row r="1516" ht="22.5" customHeight="1">
      <c r="A1516" s="6" t="s">
        <v>10530</v>
      </c>
      <c r="B1516" s="6" t="s">
        <v>10532</v>
      </c>
      <c r="C1516" s="6" t="s">
        <v>10533</v>
      </c>
      <c r="D1516" s="6" t="s">
        <v>145</v>
      </c>
      <c r="E1516" s="6" t="s">
        <v>210</v>
      </c>
      <c r="F1516" s="8">
        <v>120.0</v>
      </c>
      <c r="G1516" s="9">
        <v>774.46</v>
      </c>
      <c r="H1516" s="9">
        <v>7709.25</v>
      </c>
      <c r="I1516" s="6" t="s">
        <v>178</v>
      </c>
      <c r="J1516" s="6" t="s">
        <v>595</v>
      </c>
      <c r="K1516" s="6" t="s">
        <v>10534</v>
      </c>
      <c r="L1516" s="6">
        <v>1.3961641029E10</v>
      </c>
      <c r="M1516" s="6" t="s">
        <v>10535</v>
      </c>
      <c r="N1516" s="6" t="s">
        <v>259</v>
      </c>
      <c r="O1516" s="6" t="s">
        <v>161</v>
      </c>
      <c r="P1516" s="10">
        <v>45990.0</v>
      </c>
    </row>
    <row r="1517" ht="22.5" customHeight="1">
      <c r="A1517" s="6" t="s">
        <v>10537</v>
      </c>
      <c r="B1517" s="6" t="s">
        <v>10538</v>
      </c>
      <c r="C1517" s="6" t="s">
        <v>10539</v>
      </c>
      <c r="D1517" s="6" t="s">
        <v>145</v>
      </c>
      <c r="E1517" s="6" t="s">
        <v>301</v>
      </c>
      <c r="F1517" s="8">
        <v>54.0</v>
      </c>
      <c r="G1517" s="9">
        <v>587.96</v>
      </c>
      <c r="H1517" s="9">
        <v>7407.15</v>
      </c>
      <c r="I1517" s="6" t="s">
        <v>161</v>
      </c>
      <c r="J1517" s="6" t="s">
        <v>465</v>
      </c>
      <c r="K1517" s="6" t="s">
        <v>10541</v>
      </c>
      <c r="L1517" s="6">
        <v>7.1903500022E10</v>
      </c>
      <c r="M1517" s="6" t="s">
        <v>10542</v>
      </c>
      <c r="N1517" s="6" t="s">
        <v>427</v>
      </c>
      <c r="O1517" s="6" t="s">
        <v>178</v>
      </c>
      <c r="P1517" s="10">
        <v>45987.0</v>
      </c>
    </row>
    <row r="1518" ht="22.5" customHeight="1">
      <c r="A1518" s="6" t="s">
        <v>10543</v>
      </c>
      <c r="B1518" s="6" t="s">
        <v>10544</v>
      </c>
      <c r="C1518" s="6" t="s">
        <v>10545</v>
      </c>
      <c r="D1518" s="6" t="s">
        <v>206</v>
      </c>
      <c r="E1518" s="6" t="s">
        <v>147</v>
      </c>
      <c r="F1518" s="8">
        <v>25.0</v>
      </c>
      <c r="G1518" s="9">
        <v>306.02</v>
      </c>
      <c r="H1518" s="9">
        <v>12421.7</v>
      </c>
      <c r="I1518" s="6" t="s">
        <v>161</v>
      </c>
      <c r="J1518" s="6" t="s">
        <v>357</v>
      </c>
      <c r="K1518" s="6" t="s">
        <v>10547</v>
      </c>
      <c r="L1518" s="6">
        <v>9.4638108465E10</v>
      </c>
      <c r="M1518" s="6" t="s">
        <v>10548</v>
      </c>
      <c r="N1518" s="6" t="s">
        <v>176</v>
      </c>
      <c r="O1518" s="6" t="s">
        <v>178</v>
      </c>
      <c r="P1518" s="10">
        <v>45957.0</v>
      </c>
    </row>
    <row r="1519" ht="22.5" customHeight="1">
      <c r="A1519" s="6" t="s">
        <v>10550</v>
      </c>
      <c r="B1519" s="6" t="s">
        <v>10551</v>
      </c>
      <c r="C1519" s="6" t="s">
        <v>10552</v>
      </c>
      <c r="D1519" s="6" t="s">
        <v>145</v>
      </c>
      <c r="E1519" s="6" t="s">
        <v>147</v>
      </c>
      <c r="F1519" s="8">
        <v>7.0</v>
      </c>
      <c r="G1519" s="9">
        <v>418.74</v>
      </c>
      <c r="H1519" s="9">
        <v>8827.68</v>
      </c>
      <c r="I1519" s="6" t="s">
        <v>161</v>
      </c>
      <c r="J1519" s="6" t="s">
        <v>312</v>
      </c>
      <c r="K1519" s="6" t="s">
        <v>10553</v>
      </c>
      <c r="L1519" s="6">
        <v>5.2205301267E10</v>
      </c>
      <c r="M1519" s="6" t="s">
        <v>10554</v>
      </c>
      <c r="N1519" s="6" t="s">
        <v>112</v>
      </c>
      <c r="O1519" s="6" t="s">
        <v>178</v>
      </c>
      <c r="P1519" s="10">
        <v>45972.0</v>
      </c>
    </row>
    <row r="1520" ht="22.5" customHeight="1">
      <c r="A1520" s="6" t="s">
        <v>10555</v>
      </c>
      <c r="B1520" s="6" t="s">
        <v>10556</v>
      </c>
      <c r="C1520" s="6" t="s">
        <v>10557</v>
      </c>
      <c r="D1520" s="6" t="s">
        <v>206</v>
      </c>
      <c r="E1520" s="6" t="s">
        <v>147</v>
      </c>
      <c r="F1520" s="8">
        <v>7.0</v>
      </c>
      <c r="G1520" s="9">
        <v>594.05</v>
      </c>
      <c r="H1520" s="9">
        <v>8082.13</v>
      </c>
      <c r="I1520" s="6" t="s">
        <v>161</v>
      </c>
      <c r="J1520" s="6" t="s">
        <v>465</v>
      </c>
      <c r="K1520" s="6" t="s">
        <v>10559</v>
      </c>
      <c r="L1520" s="6" t="s">
        <v>259</v>
      </c>
      <c r="M1520" s="6" t="s">
        <v>10560</v>
      </c>
      <c r="N1520" s="6" t="s">
        <v>176</v>
      </c>
      <c r="O1520" s="6" t="s">
        <v>178</v>
      </c>
      <c r="P1520" s="10">
        <v>46013.0</v>
      </c>
    </row>
    <row r="1521" ht="22.5" customHeight="1">
      <c r="A1521" s="6" t="s">
        <v>10561</v>
      </c>
      <c r="B1521" s="6" t="s">
        <v>10562</v>
      </c>
      <c r="C1521" s="6" t="s">
        <v>10563</v>
      </c>
      <c r="D1521" s="6" t="s">
        <v>145</v>
      </c>
      <c r="E1521" s="6" t="s">
        <v>147</v>
      </c>
      <c r="F1521" s="8">
        <v>11.0</v>
      </c>
      <c r="G1521" s="9">
        <v>1645.73</v>
      </c>
      <c r="H1521" s="9">
        <v>6973.21</v>
      </c>
      <c r="I1521" s="6" t="s">
        <v>161</v>
      </c>
      <c r="J1521" s="6" t="s">
        <v>465</v>
      </c>
      <c r="K1521" s="6" t="s">
        <v>10564</v>
      </c>
      <c r="L1521" s="6">
        <v>2.1597491703E10</v>
      </c>
      <c r="M1521" s="6" t="s">
        <v>10566</v>
      </c>
      <c r="N1521" s="6" t="s">
        <v>259</v>
      </c>
      <c r="O1521" s="6" t="s">
        <v>178</v>
      </c>
      <c r="P1521" s="10">
        <v>45942.0</v>
      </c>
    </row>
    <row r="1522" ht="22.5" customHeight="1">
      <c r="A1522" s="6" t="s">
        <v>10567</v>
      </c>
      <c r="B1522" s="6" t="s">
        <v>10568</v>
      </c>
      <c r="C1522" s="6" t="s">
        <v>10569</v>
      </c>
      <c r="D1522" s="6" t="s">
        <v>383</v>
      </c>
      <c r="E1522" s="6" t="s">
        <v>301</v>
      </c>
      <c r="F1522" s="8">
        <v>53.0</v>
      </c>
      <c r="G1522" s="9">
        <v>1486.18</v>
      </c>
      <c r="H1522" s="9">
        <v>14644.14</v>
      </c>
      <c r="I1522" s="6" t="s">
        <v>161</v>
      </c>
      <c r="J1522" s="6" t="s">
        <v>577</v>
      </c>
      <c r="K1522" s="6" t="s">
        <v>10570</v>
      </c>
      <c r="L1522" s="6">
        <v>8.5971930789E10</v>
      </c>
      <c r="M1522" s="6" t="s">
        <v>10571</v>
      </c>
      <c r="N1522" s="6" t="s">
        <v>259</v>
      </c>
      <c r="O1522" s="6" t="s">
        <v>178</v>
      </c>
      <c r="P1522" s="10">
        <v>45949.0</v>
      </c>
    </row>
    <row r="1523" ht="22.5" customHeight="1">
      <c r="A1523" s="6" t="s">
        <v>10572</v>
      </c>
      <c r="B1523" s="6" t="s">
        <v>10574</v>
      </c>
      <c r="C1523" s="6" t="s">
        <v>10575</v>
      </c>
      <c r="D1523" s="6" t="s">
        <v>145</v>
      </c>
      <c r="E1523" s="6" t="s">
        <v>147</v>
      </c>
      <c r="F1523" s="8">
        <v>10.0</v>
      </c>
      <c r="G1523" s="9">
        <v>1207.73</v>
      </c>
      <c r="H1523" s="9">
        <v>2090.69</v>
      </c>
      <c r="I1523" s="6" t="s">
        <v>161</v>
      </c>
      <c r="J1523" s="6" t="s">
        <v>442</v>
      </c>
      <c r="K1523" s="6" t="s">
        <v>259</v>
      </c>
      <c r="L1523" s="6">
        <v>2.5797186511E10</v>
      </c>
      <c r="M1523" s="6" t="s">
        <v>10576</v>
      </c>
      <c r="N1523" s="6" t="s">
        <v>259</v>
      </c>
      <c r="O1523" s="6" t="s">
        <v>178</v>
      </c>
      <c r="P1523" s="10">
        <v>46011.0</v>
      </c>
    </row>
    <row r="1524" ht="22.5" customHeight="1">
      <c r="A1524" s="6" t="s">
        <v>10578</v>
      </c>
      <c r="B1524" s="6" t="s">
        <v>10579</v>
      </c>
      <c r="C1524" s="6" t="s">
        <v>10580</v>
      </c>
      <c r="D1524" s="6" t="s">
        <v>145</v>
      </c>
      <c r="E1524" s="6" t="s">
        <v>147</v>
      </c>
      <c r="F1524" s="8">
        <v>18.0</v>
      </c>
      <c r="G1524" s="9">
        <v>297.86</v>
      </c>
      <c r="H1524" s="9">
        <v>4136.14</v>
      </c>
      <c r="I1524" s="6" t="s">
        <v>161</v>
      </c>
      <c r="J1524" s="6" t="s">
        <v>393</v>
      </c>
      <c r="K1524" s="6" t="s">
        <v>10581</v>
      </c>
      <c r="L1524" s="6">
        <v>1.2017583213E10</v>
      </c>
      <c r="M1524" s="6" t="s">
        <v>10583</v>
      </c>
      <c r="N1524" s="6" t="s">
        <v>259</v>
      </c>
      <c r="O1524" s="6" t="s">
        <v>178</v>
      </c>
      <c r="P1524" s="10">
        <v>45987.0</v>
      </c>
    </row>
    <row r="1525" ht="22.5" customHeight="1">
      <c r="A1525" s="6" t="s">
        <v>10584</v>
      </c>
      <c r="B1525" s="6" t="s">
        <v>10585</v>
      </c>
      <c r="C1525" s="6" t="s">
        <v>10586</v>
      </c>
      <c r="D1525" s="6" t="s">
        <v>145</v>
      </c>
      <c r="E1525" s="6" t="s">
        <v>147</v>
      </c>
      <c r="F1525" s="8">
        <v>21.0</v>
      </c>
      <c r="G1525" s="9">
        <v>100.3</v>
      </c>
      <c r="H1525" s="9">
        <v>7207.32</v>
      </c>
      <c r="I1525" s="6" t="s">
        <v>161</v>
      </c>
      <c r="J1525" s="6" t="s">
        <v>442</v>
      </c>
      <c r="K1525" s="6" t="s">
        <v>10588</v>
      </c>
      <c r="L1525" s="6">
        <v>5.3350234869E10</v>
      </c>
      <c r="M1525" s="6" t="s">
        <v>10589</v>
      </c>
      <c r="N1525" s="6" t="s">
        <v>283</v>
      </c>
      <c r="O1525" s="6" t="s">
        <v>178</v>
      </c>
      <c r="P1525" s="10">
        <v>45961.0</v>
      </c>
    </row>
    <row r="1526" ht="22.5" customHeight="1">
      <c r="A1526" s="6" t="s">
        <v>10591</v>
      </c>
      <c r="B1526" s="6" t="s">
        <v>10592</v>
      </c>
      <c r="C1526" s="6" t="s">
        <v>10593</v>
      </c>
      <c r="D1526" s="6" t="s">
        <v>145</v>
      </c>
      <c r="E1526" s="6" t="s">
        <v>301</v>
      </c>
      <c r="F1526" s="8">
        <v>55.0</v>
      </c>
      <c r="G1526" s="9">
        <v>397.27</v>
      </c>
      <c r="H1526" s="9">
        <v>9095.7</v>
      </c>
      <c r="I1526" s="6" t="s">
        <v>161</v>
      </c>
      <c r="J1526" s="6" t="s">
        <v>228</v>
      </c>
      <c r="K1526" s="6" t="s">
        <v>10595</v>
      </c>
      <c r="L1526" s="6">
        <v>3.6741794301E10</v>
      </c>
      <c r="M1526" s="6" t="s">
        <v>10596</v>
      </c>
      <c r="N1526" s="6" t="s">
        <v>176</v>
      </c>
      <c r="O1526" s="6" t="s">
        <v>161</v>
      </c>
      <c r="P1526" s="10">
        <v>46012.0</v>
      </c>
    </row>
    <row r="1527" ht="22.5" customHeight="1">
      <c r="A1527" s="6" t="s">
        <v>10597</v>
      </c>
      <c r="B1527" s="6" t="s">
        <v>10598</v>
      </c>
      <c r="C1527" s="6" t="s">
        <v>10600</v>
      </c>
      <c r="D1527" s="6" t="s">
        <v>206</v>
      </c>
      <c r="E1527" s="6" t="s">
        <v>301</v>
      </c>
      <c r="F1527" s="8">
        <v>39.0</v>
      </c>
      <c r="G1527" s="9">
        <v>507.27</v>
      </c>
      <c r="H1527" s="9">
        <v>10680.87</v>
      </c>
      <c r="I1527" s="6" t="s">
        <v>161</v>
      </c>
      <c r="J1527" s="6" t="s">
        <v>163</v>
      </c>
      <c r="K1527" s="6" t="s">
        <v>10601</v>
      </c>
      <c r="L1527" s="6">
        <v>1.6223810302E10</v>
      </c>
      <c r="M1527" s="6" t="s">
        <v>10602</v>
      </c>
      <c r="N1527" s="6" t="s">
        <v>259</v>
      </c>
      <c r="O1527" s="6" t="s">
        <v>178</v>
      </c>
      <c r="P1527" s="10">
        <v>45984.0</v>
      </c>
    </row>
    <row r="1528" ht="22.5" customHeight="1">
      <c r="A1528" s="6" t="s">
        <v>10603</v>
      </c>
      <c r="B1528" s="6" t="s">
        <v>10605</v>
      </c>
      <c r="C1528" s="6" t="s">
        <v>10606</v>
      </c>
      <c r="D1528" s="6" t="s">
        <v>206</v>
      </c>
      <c r="E1528" s="6" t="s">
        <v>147</v>
      </c>
      <c r="F1528" s="8">
        <v>7.0</v>
      </c>
      <c r="G1528" s="9">
        <v>1484.79</v>
      </c>
      <c r="H1528" s="9">
        <v>9204.73</v>
      </c>
      <c r="I1528" s="6" t="s">
        <v>161</v>
      </c>
      <c r="J1528" s="6" t="s">
        <v>465</v>
      </c>
      <c r="K1528" s="6" t="s">
        <v>10607</v>
      </c>
      <c r="L1528" s="6">
        <v>5.257639648E10</v>
      </c>
      <c r="M1528" s="6" t="s">
        <v>10608</v>
      </c>
      <c r="N1528" s="6" t="s">
        <v>112</v>
      </c>
      <c r="O1528" s="6" t="s">
        <v>178</v>
      </c>
      <c r="P1528" s="10">
        <v>45939.0</v>
      </c>
    </row>
    <row r="1529" ht="22.5" customHeight="1">
      <c r="A1529" s="6" t="s">
        <v>10610</v>
      </c>
      <c r="B1529" s="6" t="s">
        <v>10611</v>
      </c>
      <c r="C1529" s="6" t="s">
        <v>10612</v>
      </c>
      <c r="D1529" s="6" t="s">
        <v>145</v>
      </c>
      <c r="E1529" s="6" t="s">
        <v>210</v>
      </c>
      <c r="F1529" s="8">
        <v>112.0</v>
      </c>
      <c r="G1529" s="9">
        <v>939.18</v>
      </c>
      <c r="H1529" s="9">
        <v>10313.19</v>
      </c>
      <c r="I1529" s="6" t="s">
        <v>178</v>
      </c>
      <c r="J1529" s="6" t="s">
        <v>577</v>
      </c>
      <c r="K1529" s="6" t="s">
        <v>10614</v>
      </c>
      <c r="L1529" s="6">
        <v>2.4478925262E10</v>
      </c>
      <c r="M1529" s="6" t="s">
        <v>10615</v>
      </c>
      <c r="N1529" s="6" t="s">
        <v>259</v>
      </c>
      <c r="O1529" s="6" t="s">
        <v>161</v>
      </c>
      <c r="P1529" s="10">
        <v>45976.0</v>
      </c>
    </row>
    <row r="1530" ht="22.5" customHeight="1">
      <c r="A1530" s="6" t="s">
        <v>10616</v>
      </c>
      <c r="B1530" s="6" t="s">
        <v>10617</v>
      </c>
      <c r="C1530" s="6" t="s">
        <v>10618</v>
      </c>
      <c r="D1530" s="6" t="s">
        <v>145</v>
      </c>
      <c r="E1530" s="6" t="s">
        <v>301</v>
      </c>
      <c r="F1530" s="8">
        <v>48.0</v>
      </c>
      <c r="G1530" s="9">
        <v>1061.81</v>
      </c>
      <c r="H1530" s="9">
        <v>14363.89</v>
      </c>
      <c r="I1530" s="6" t="s">
        <v>161</v>
      </c>
      <c r="J1530" s="6" t="s">
        <v>465</v>
      </c>
      <c r="K1530" s="6" t="s">
        <v>10620</v>
      </c>
      <c r="L1530" s="6">
        <v>7.2981944416E10</v>
      </c>
      <c r="M1530" s="6" t="s">
        <v>10621</v>
      </c>
      <c r="N1530" s="6" t="s">
        <v>112</v>
      </c>
      <c r="O1530" s="6" t="s">
        <v>178</v>
      </c>
      <c r="P1530" s="10">
        <v>45972.0</v>
      </c>
    </row>
    <row r="1531" ht="22.5" customHeight="1">
      <c r="A1531" s="6" t="s">
        <v>10622</v>
      </c>
      <c r="B1531" s="6" t="s">
        <v>10624</v>
      </c>
      <c r="C1531" s="6" t="s">
        <v>10625</v>
      </c>
      <c r="D1531" s="6" t="s">
        <v>145</v>
      </c>
      <c r="E1531" s="6" t="s">
        <v>301</v>
      </c>
      <c r="F1531" s="8">
        <v>57.0</v>
      </c>
      <c r="G1531" s="9">
        <v>1151.47</v>
      </c>
      <c r="H1531" s="9">
        <v>4290.65</v>
      </c>
      <c r="I1531" s="6" t="s">
        <v>161</v>
      </c>
      <c r="J1531" s="6" t="s">
        <v>479</v>
      </c>
      <c r="K1531" s="6" t="s">
        <v>10626</v>
      </c>
      <c r="L1531" s="6" t="s">
        <v>259</v>
      </c>
      <c r="M1531" s="6" t="s">
        <v>10628</v>
      </c>
      <c r="N1531" s="6" t="s">
        <v>259</v>
      </c>
      <c r="O1531" s="6" t="s">
        <v>178</v>
      </c>
      <c r="P1531" s="10">
        <v>45984.0</v>
      </c>
    </row>
    <row r="1532" ht="22.5" customHeight="1">
      <c r="A1532" s="6" t="s">
        <v>10629</v>
      </c>
      <c r="B1532" s="6" t="s">
        <v>10630</v>
      </c>
      <c r="C1532" s="6" t="s">
        <v>10631</v>
      </c>
      <c r="D1532" s="6" t="s">
        <v>145</v>
      </c>
      <c r="E1532" s="6" t="s">
        <v>147</v>
      </c>
      <c r="F1532" s="8">
        <v>19.0</v>
      </c>
      <c r="G1532" s="9">
        <v>1711.13</v>
      </c>
      <c r="H1532" s="9">
        <v>14109.51</v>
      </c>
      <c r="I1532" s="6" t="s">
        <v>161</v>
      </c>
      <c r="J1532" s="6" t="s">
        <v>421</v>
      </c>
      <c r="K1532" s="6" t="s">
        <v>10633</v>
      </c>
      <c r="L1532" s="6">
        <v>9.7587723556E10</v>
      </c>
      <c r="M1532" s="6" t="s">
        <v>10634</v>
      </c>
      <c r="N1532" s="6" t="s">
        <v>176</v>
      </c>
      <c r="O1532" s="6" t="s">
        <v>178</v>
      </c>
      <c r="P1532" s="10">
        <v>45965.0</v>
      </c>
    </row>
    <row r="1533" ht="22.5" customHeight="1">
      <c r="A1533" s="6" t="s">
        <v>10635</v>
      </c>
      <c r="B1533" s="6" t="s">
        <v>10637</v>
      </c>
      <c r="C1533" s="6" t="s">
        <v>10638</v>
      </c>
      <c r="D1533" s="6" t="s">
        <v>206</v>
      </c>
      <c r="E1533" s="6" t="s">
        <v>147</v>
      </c>
      <c r="F1533" s="8">
        <v>11.0</v>
      </c>
      <c r="G1533" s="9">
        <v>917.92</v>
      </c>
      <c r="H1533" s="9">
        <v>6149.24</v>
      </c>
      <c r="I1533" s="6" t="s">
        <v>161</v>
      </c>
      <c r="J1533" s="6" t="s">
        <v>163</v>
      </c>
      <c r="K1533" s="6" t="s">
        <v>10639</v>
      </c>
      <c r="L1533" s="6">
        <v>2.7625379938E10</v>
      </c>
      <c r="M1533" s="6" t="s">
        <v>10640</v>
      </c>
      <c r="N1533" s="6" t="s">
        <v>427</v>
      </c>
      <c r="O1533" s="6" t="s">
        <v>178</v>
      </c>
      <c r="P1533" s="10">
        <v>45982.0</v>
      </c>
    </row>
    <row r="1534" ht="22.5" customHeight="1">
      <c r="A1534" s="6" t="s">
        <v>10642</v>
      </c>
      <c r="B1534" s="6" t="s">
        <v>10643</v>
      </c>
      <c r="C1534" s="6" t="s">
        <v>10644</v>
      </c>
      <c r="D1534" s="6" t="s">
        <v>206</v>
      </c>
      <c r="E1534" s="6" t="s">
        <v>147</v>
      </c>
      <c r="F1534" s="8">
        <v>9.0</v>
      </c>
      <c r="G1534" s="9">
        <v>399.34</v>
      </c>
      <c r="H1534" s="9">
        <v>1739.46</v>
      </c>
      <c r="I1534" s="6" t="s">
        <v>161</v>
      </c>
      <c r="J1534" s="6" t="s">
        <v>357</v>
      </c>
      <c r="K1534" s="6" t="s">
        <v>10646</v>
      </c>
      <c r="L1534" s="6">
        <v>2.0661435094E10</v>
      </c>
      <c r="M1534" s="6" t="s">
        <v>10647</v>
      </c>
      <c r="N1534" s="6" t="s">
        <v>176</v>
      </c>
      <c r="O1534" s="6" t="s">
        <v>178</v>
      </c>
      <c r="P1534" s="10">
        <v>45956.0</v>
      </c>
    </row>
    <row r="1535" ht="22.5" customHeight="1">
      <c r="A1535" s="6" t="s">
        <v>10648</v>
      </c>
      <c r="B1535" s="6" t="s">
        <v>10649</v>
      </c>
      <c r="C1535" s="6" t="s">
        <v>10650</v>
      </c>
      <c r="D1535" s="6" t="s">
        <v>145</v>
      </c>
      <c r="E1535" s="6" t="s">
        <v>301</v>
      </c>
      <c r="F1535" s="8">
        <v>49.0</v>
      </c>
      <c r="G1535" s="9">
        <v>1371.66</v>
      </c>
      <c r="H1535" s="9">
        <v>11103.52</v>
      </c>
      <c r="I1535" s="6" t="s">
        <v>161</v>
      </c>
      <c r="J1535" s="6" t="s">
        <v>312</v>
      </c>
      <c r="K1535" s="6" t="s">
        <v>10652</v>
      </c>
      <c r="L1535" s="6">
        <v>5.9101993365E10</v>
      </c>
      <c r="M1535" s="6" t="s">
        <v>10653</v>
      </c>
      <c r="N1535" s="6" t="s">
        <v>283</v>
      </c>
      <c r="O1535" s="6" t="s">
        <v>178</v>
      </c>
      <c r="P1535" s="10">
        <v>46035.0</v>
      </c>
    </row>
    <row r="1536" ht="22.5" customHeight="1">
      <c r="A1536" s="6" t="s">
        <v>10655</v>
      </c>
      <c r="B1536" s="6" t="s">
        <v>10656</v>
      </c>
      <c r="C1536" s="6" t="s">
        <v>10657</v>
      </c>
      <c r="D1536" s="6" t="s">
        <v>145</v>
      </c>
      <c r="E1536" s="6" t="s">
        <v>210</v>
      </c>
      <c r="F1536" s="8">
        <v>88.0</v>
      </c>
      <c r="G1536" s="9">
        <v>1297.81</v>
      </c>
      <c r="H1536" s="9">
        <v>5777.45</v>
      </c>
      <c r="I1536" s="6" t="s">
        <v>161</v>
      </c>
      <c r="J1536" s="6" t="s">
        <v>4705</v>
      </c>
      <c r="K1536" s="6" t="s">
        <v>10658</v>
      </c>
      <c r="L1536" s="6">
        <v>7.1580555322E10</v>
      </c>
      <c r="M1536" s="6" t="s">
        <v>10659</v>
      </c>
      <c r="N1536" s="6" t="s">
        <v>283</v>
      </c>
      <c r="O1536" s="6" t="s">
        <v>161</v>
      </c>
      <c r="P1536" s="10">
        <v>45962.0</v>
      </c>
    </row>
    <row r="1537" ht="22.5" customHeight="1">
      <c r="A1537" s="6" t="s">
        <v>10661</v>
      </c>
      <c r="B1537" s="6" t="s">
        <v>10662</v>
      </c>
      <c r="C1537" s="6" t="s">
        <v>10663</v>
      </c>
      <c r="D1537" s="6" t="s">
        <v>206</v>
      </c>
      <c r="E1537" s="6" t="s">
        <v>147</v>
      </c>
      <c r="F1537" s="8">
        <v>14.0</v>
      </c>
      <c r="G1537" s="9">
        <v>809.13</v>
      </c>
      <c r="H1537" s="9">
        <v>8138.41</v>
      </c>
      <c r="I1537" s="6" t="s">
        <v>161</v>
      </c>
      <c r="J1537" s="6" t="s">
        <v>357</v>
      </c>
      <c r="K1537" s="6" t="s">
        <v>10664</v>
      </c>
      <c r="L1537" s="6">
        <v>2.0965902248E10</v>
      </c>
      <c r="M1537" s="6" t="s">
        <v>10665</v>
      </c>
      <c r="N1537" s="6" t="s">
        <v>427</v>
      </c>
      <c r="O1537" s="6" t="s">
        <v>178</v>
      </c>
      <c r="P1537" s="10">
        <v>45947.0</v>
      </c>
    </row>
    <row r="1538" ht="22.5" customHeight="1">
      <c r="A1538" s="6" t="s">
        <v>10666</v>
      </c>
      <c r="B1538" s="6" t="s">
        <v>10667</v>
      </c>
      <c r="C1538" s="6" t="s">
        <v>10668</v>
      </c>
      <c r="D1538" s="6" t="s">
        <v>383</v>
      </c>
      <c r="E1538" s="6" t="s">
        <v>147</v>
      </c>
      <c r="F1538" s="8">
        <v>20.0</v>
      </c>
      <c r="G1538" s="9">
        <v>881.05</v>
      </c>
      <c r="H1538" s="9">
        <v>11850.69</v>
      </c>
      <c r="I1538" s="6" t="s">
        <v>161</v>
      </c>
      <c r="J1538" s="6" t="s">
        <v>442</v>
      </c>
      <c r="K1538" s="6" t="s">
        <v>10670</v>
      </c>
      <c r="L1538" s="6">
        <v>2.1577931959E10</v>
      </c>
      <c r="M1538" s="6" t="s">
        <v>10671</v>
      </c>
      <c r="N1538" s="6" t="s">
        <v>427</v>
      </c>
      <c r="O1538" s="6" t="s">
        <v>178</v>
      </c>
      <c r="P1538" s="10">
        <v>46042.0</v>
      </c>
    </row>
    <row r="1539" ht="22.5" customHeight="1">
      <c r="A1539" s="6" t="s">
        <v>10672</v>
      </c>
      <c r="B1539" s="6" t="s">
        <v>10673</v>
      </c>
      <c r="C1539" s="6" t="s">
        <v>10675</v>
      </c>
      <c r="D1539" s="6" t="s">
        <v>206</v>
      </c>
      <c r="E1539" s="6" t="s">
        <v>147</v>
      </c>
      <c r="F1539" s="8">
        <v>21.0</v>
      </c>
      <c r="G1539" s="9">
        <v>1542.61</v>
      </c>
      <c r="H1539" s="9">
        <v>6769.33</v>
      </c>
      <c r="I1539" s="6" t="s">
        <v>161</v>
      </c>
      <c r="J1539" s="6" t="s">
        <v>442</v>
      </c>
      <c r="K1539" s="6" t="s">
        <v>10676</v>
      </c>
      <c r="L1539" s="6">
        <v>4.0197556935E10</v>
      </c>
      <c r="M1539" s="6" t="s">
        <v>10677</v>
      </c>
      <c r="N1539" s="6" t="s">
        <v>283</v>
      </c>
      <c r="O1539" s="6" t="s">
        <v>178</v>
      </c>
      <c r="P1539" s="10">
        <v>45992.0</v>
      </c>
    </row>
    <row r="1540" ht="22.5" customHeight="1">
      <c r="A1540" s="6" t="s">
        <v>10679</v>
      </c>
      <c r="B1540" s="6" t="s">
        <v>10680</v>
      </c>
      <c r="C1540" s="6" t="s">
        <v>10681</v>
      </c>
      <c r="D1540" s="6" t="s">
        <v>383</v>
      </c>
      <c r="E1540" s="6" t="s">
        <v>301</v>
      </c>
      <c r="F1540" s="8">
        <v>44.0</v>
      </c>
      <c r="G1540" s="9">
        <v>495.51</v>
      </c>
      <c r="H1540" s="9">
        <v>11086.09</v>
      </c>
      <c r="I1540" s="6" t="s">
        <v>161</v>
      </c>
      <c r="J1540" s="6" t="s">
        <v>442</v>
      </c>
      <c r="K1540" s="6" t="s">
        <v>10683</v>
      </c>
      <c r="L1540" s="6">
        <v>8.5532074284E10</v>
      </c>
      <c r="M1540" s="6" t="s">
        <v>10684</v>
      </c>
      <c r="N1540" s="6" t="s">
        <v>176</v>
      </c>
      <c r="O1540" s="6" t="s">
        <v>178</v>
      </c>
      <c r="P1540" s="10">
        <v>45940.0</v>
      </c>
    </row>
    <row r="1541" ht="22.5" customHeight="1">
      <c r="A1541" s="6" t="s">
        <v>10685</v>
      </c>
      <c r="B1541" s="6" t="s">
        <v>10686</v>
      </c>
      <c r="C1541" s="6" t="s">
        <v>10687</v>
      </c>
      <c r="D1541" s="6" t="s">
        <v>145</v>
      </c>
      <c r="E1541" s="6" t="s">
        <v>147</v>
      </c>
      <c r="F1541" s="8">
        <v>10.0</v>
      </c>
      <c r="G1541" s="9">
        <v>1646.12</v>
      </c>
      <c r="H1541" s="9">
        <v>13303.42</v>
      </c>
      <c r="I1541" s="6" t="s">
        <v>161</v>
      </c>
      <c r="J1541" s="6" t="s">
        <v>228</v>
      </c>
      <c r="K1541" s="6" t="s">
        <v>10689</v>
      </c>
      <c r="L1541" s="6">
        <v>8.7566321541E10</v>
      </c>
      <c r="M1541" s="6" t="s">
        <v>10690</v>
      </c>
      <c r="N1541" s="6" t="s">
        <v>283</v>
      </c>
      <c r="O1541" s="6" t="s">
        <v>178</v>
      </c>
      <c r="P1541" s="10">
        <v>45977.0</v>
      </c>
    </row>
    <row r="1542" ht="22.5" customHeight="1">
      <c r="A1542" s="6" t="s">
        <v>10692</v>
      </c>
      <c r="B1542" s="6" t="s">
        <v>10693</v>
      </c>
      <c r="C1542" s="6" t="s">
        <v>10694</v>
      </c>
      <c r="D1542" s="6" t="s">
        <v>206</v>
      </c>
      <c r="E1542" s="6" t="s">
        <v>147</v>
      </c>
      <c r="F1542" s="8">
        <v>9.0</v>
      </c>
      <c r="G1542" s="9">
        <v>1384.47</v>
      </c>
      <c r="H1542" s="9">
        <v>1925.44</v>
      </c>
      <c r="I1542" s="6" t="s">
        <v>161</v>
      </c>
      <c r="J1542" s="6" t="s">
        <v>465</v>
      </c>
      <c r="K1542" s="6" t="s">
        <v>10696</v>
      </c>
      <c r="L1542" s="6">
        <v>8.5895399675E10</v>
      </c>
      <c r="M1542" s="6" t="s">
        <v>10697</v>
      </c>
      <c r="N1542" s="6" t="s">
        <v>283</v>
      </c>
      <c r="O1542" s="6" t="s">
        <v>178</v>
      </c>
      <c r="P1542" s="10">
        <v>45968.0</v>
      </c>
    </row>
    <row r="1543" ht="22.5" customHeight="1">
      <c r="A1543" s="6" t="s">
        <v>10698</v>
      </c>
      <c r="B1543" s="6" t="s">
        <v>10699</v>
      </c>
      <c r="C1543" s="6" t="s">
        <v>10700</v>
      </c>
      <c r="D1543" s="6" t="s">
        <v>206</v>
      </c>
      <c r="E1543" s="6" t="s">
        <v>210</v>
      </c>
      <c r="F1543" s="8">
        <v>116.0</v>
      </c>
      <c r="G1543" s="9">
        <v>765.61</v>
      </c>
      <c r="H1543" s="9">
        <v>2000.97</v>
      </c>
      <c r="I1543" s="6" t="s">
        <v>178</v>
      </c>
      <c r="J1543" s="6" t="s">
        <v>228</v>
      </c>
      <c r="K1543" s="6" t="s">
        <v>10702</v>
      </c>
      <c r="L1543" s="6">
        <v>7.0024983406E10</v>
      </c>
      <c r="M1543" s="6" t="s">
        <v>10703</v>
      </c>
      <c r="N1543" s="6" t="s">
        <v>112</v>
      </c>
      <c r="O1543" s="6" t="s">
        <v>161</v>
      </c>
      <c r="P1543" s="10">
        <v>46035.0</v>
      </c>
    </row>
    <row r="1544" ht="22.5" customHeight="1">
      <c r="A1544" s="6" t="s">
        <v>10705</v>
      </c>
      <c r="B1544" s="6" t="s">
        <v>10706</v>
      </c>
      <c r="C1544" s="6" t="s">
        <v>10707</v>
      </c>
      <c r="D1544" s="6" t="s">
        <v>383</v>
      </c>
      <c r="E1544" s="6" t="s">
        <v>210</v>
      </c>
      <c r="F1544" s="8">
        <v>105.0</v>
      </c>
      <c r="G1544" s="9">
        <v>1566.24</v>
      </c>
      <c r="H1544" s="9">
        <v>10338.79</v>
      </c>
      <c r="I1544" s="6" t="s">
        <v>161</v>
      </c>
      <c r="J1544" s="6" t="s">
        <v>357</v>
      </c>
      <c r="K1544" s="6" t="s">
        <v>10708</v>
      </c>
      <c r="L1544" s="6">
        <v>8.5531272132E10</v>
      </c>
      <c r="M1544" s="6" t="s">
        <v>10709</v>
      </c>
      <c r="N1544" s="6" t="s">
        <v>427</v>
      </c>
      <c r="O1544" s="6" t="s">
        <v>161</v>
      </c>
      <c r="P1544" s="10">
        <v>45943.0</v>
      </c>
    </row>
    <row r="1545" ht="22.5" customHeight="1">
      <c r="A1545" s="6" t="s">
        <v>10711</v>
      </c>
      <c r="B1545" s="6" t="s">
        <v>10712</v>
      </c>
      <c r="C1545" s="6" t="s">
        <v>10713</v>
      </c>
      <c r="D1545" s="6" t="s">
        <v>145</v>
      </c>
      <c r="E1545" s="6" t="s">
        <v>147</v>
      </c>
      <c r="F1545" s="8">
        <v>24.0</v>
      </c>
      <c r="G1545" s="9">
        <v>145.98</v>
      </c>
      <c r="H1545" s="9">
        <v>6516.21</v>
      </c>
      <c r="I1545" s="6" t="s">
        <v>161</v>
      </c>
      <c r="J1545" s="6" t="s">
        <v>421</v>
      </c>
      <c r="K1545" s="6" t="s">
        <v>10714</v>
      </c>
      <c r="L1545" s="6">
        <v>6.6053084241E10</v>
      </c>
      <c r="M1545" s="6" t="s">
        <v>10715</v>
      </c>
      <c r="N1545" s="6" t="s">
        <v>112</v>
      </c>
      <c r="O1545" s="6" t="s">
        <v>178</v>
      </c>
      <c r="P1545" s="10">
        <v>46013.0</v>
      </c>
    </row>
    <row r="1546" ht="22.5" customHeight="1">
      <c r="A1546" s="6" t="s">
        <v>10717</v>
      </c>
      <c r="B1546" s="6" t="s">
        <v>10718</v>
      </c>
      <c r="C1546" s="6" t="s">
        <v>10719</v>
      </c>
      <c r="D1546" s="6" t="s">
        <v>206</v>
      </c>
      <c r="E1546" s="6" t="s">
        <v>301</v>
      </c>
      <c r="F1546" s="8">
        <v>42.0</v>
      </c>
      <c r="G1546" s="9">
        <v>792.1</v>
      </c>
      <c r="H1546" s="9">
        <v>6606.32</v>
      </c>
      <c r="I1546" s="6" t="s">
        <v>161</v>
      </c>
      <c r="J1546" s="6" t="s">
        <v>259</v>
      </c>
      <c r="K1546" s="6" t="s">
        <v>10721</v>
      </c>
      <c r="L1546" s="6">
        <v>8.2337755189E10</v>
      </c>
      <c r="M1546" s="6" t="s">
        <v>10722</v>
      </c>
      <c r="N1546" s="6" t="s">
        <v>283</v>
      </c>
      <c r="O1546" s="6" t="s">
        <v>178</v>
      </c>
      <c r="P1546" s="10">
        <v>46008.0</v>
      </c>
    </row>
    <row r="1547" ht="22.5" customHeight="1">
      <c r="A1547" s="6" t="s">
        <v>10723</v>
      </c>
      <c r="B1547" s="6" t="s">
        <v>10724</v>
      </c>
      <c r="C1547" s="6" t="s">
        <v>10725</v>
      </c>
      <c r="D1547" s="6" t="s">
        <v>145</v>
      </c>
      <c r="E1547" s="6" t="s">
        <v>301</v>
      </c>
      <c r="F1547" s="8">
        <v>32.0</v>
      </c>
      <c r="G1547" s="9">
        <v>1181.41</v>
      </c>
      <c r="H1547" s="9">
        <v>11970.8</v>
      </c>
      <c r="I1547" s="6" t="s">
        <v>161</v>
      </c>
      <c r="J1547" s="6" t="s">
        <v>163</v>
      </c>
      <c r="K1547" s="6" t="s">
        <v>10727</v>
      </c>
      <c r="L1547" s="6">
        <v>8.3136665911E10</v>
      </c>
      <c r="M1547" s="6" t="s">
        <v>10728</v>
      </c>
      <c r="N1547" s="6" t="s">
        <v>176</v>
      </c>
      <c r="O1547" s="6" t="s">
        <v>178</v>
      </c>
      <c r="P1547" s="10">
        <v>45966.0</v>
      </c>
    </row>
    <row r="1548" ht="22.5" customHeight="1">
      <c r="A1548" s="6" t="s">
        <v>10729</v>
      </c>
      <c r="B1548" s="6" t="s">
        <v>10730</v>
      </c>
      <c r="C1548" s="6" t="s">
        <v>10732</v>
      </c>
      <c r="D1548" s="6" t="s">
        <v>145</v>
      </c>
      <c r="E1548" s="6" t="s">
        <v>301</v>
      </c>
      <c r="F1548" s="8">
        <v>37.0</v>
      </c>
      <c r="G1548" s="9">
        <v>456.69</v>
      </c>
      <c r="H1548" s="9">
        <v>6139.34</v>
      </c>
      <c r="I1548" s="6" t="s">
        <v>161</v>
      </c>
      <c r="J1548" s="6" t="s">
        <v>442</v>
      </c>
      <c r="K1548" s="6" t="s">
        <v>259</v>
      </c>
      <c r="L1548" s="6">
        <v>9.7952881839E10</v>
      </c>
      <c r="M1548" s="6" t="s">
        <v>10733</v>
      </c>
      <c r="N1548" s="6" t="s">
        <v>427</v>
      </c>
      <c r="O1548" s="6" t="s">
        <v>178</v>
      </c>
      <c r="P1548" s="10">
        <v>46018.0</v>
      </c>
    </row>
    <row r="1549" ht="22.5" customHeight="1">
      <c r="A1549" s="6" t="s">
        <v>10735</v>
      </c>
      <c r="B1549" s="6" t="s">
        <v>10736</v>
      </c>
      <c r="C1549" s="6" t="s">
        <v>10737</v>
      </c>
      <c r="D1549" s="6" t="s">
        <v>206</v>
      </c>
      <c r="E1549" s="6" t="s">
        <v>210</v>
      </c>
      <c r="F1549" s="8">
        <v>118.0</v>
      </c>
      <c r="G1549" s="9">
        <v>1121.84</v>
      </c>
      <c r="H1549" s="9">
        <v>1968.95</v>
      </c>
      <c r="I1549" s="6" t="s">
        <v>178</v>
      </c>
      <c r="J1549" s="6" t="s">
        <v>442</v>
      </c>
      <c r="K1549" s="6" t="s">
        <v>10739</v>
      </c>
      <c r="L1549" s="6">
        <v>9.406271988E9</v>
      </c>
      <c r="M1549" s="6" t="s">
        <v>10741</v>
      </c>
      <c r="N1549" s="6" t="s">
        <v>176</v>
      </c>
      <c r="O1549" s="6" t="s">
        <v>161</v>
      </c>
      <c r="P1549" s="10">
        <v>45945.0</v>
      </c>
    </row>
    <row r="1550" ht="22.5" customHeight="1">
      <c r="A1550" s="6" t="s">
        <v>10742</v>
      </c>
      <c r="B1550" s="6" t="s">
        <v>10743</v>
      </c>
      <c r="C1550" s="6" t="s">
        <v>10744</v>
      </c>
      <c r="D1550" s="6" t="s">
        <v>383</v>
      </c>
      <c r="E1550" s="6" t="s">
        <v>301</v>
      </c>
      <c r="F1550" s="8">
        <v>37.0</v>
      </c>
      <c r="G1550" s="9">
        <v>1631.5</v>
      </c>
      <c r="H1550" s="9">
        <v>6646.02</v>
      </c>
      <c r="I1550" s="6" t="s">
        <v>161</v>
      </c>
      <c r="J1550" s="6" t="s">
        <v>577</v>
      </c>
      <c r="K1550" s="6" t="s">
        <v>10746</v>
      </c>
      <c r="L1550" s="6">
        <v>7.6132339657E10</v>
      </c>
      <c r="M1550" s="6" t="s">
        <v>10747</v>
      </c>
      <c r="N1550" s="6" t="s">
        <v>176</v>
      </c>
      <c r="O1550" s="6" t="s">
        <v>178</v>
      </c>
      <c r="P1550" s="10">
        <v>45960.0</v>
      </c>
    </row>
    <row r="1551" ht="22.5" customHeight="1">
      <c r="A1551" s="6" t="s">
        <v>10748</v>
      </c>
      <c r="B1551" s="6" t="s">
        <v>10750</v>
      </c>
      <c r="C1551" s="6" t="s">
        <v>10751</v>
      </c>
      <c r="D1551" s="6" t="s">
        <v>383</v>
      </c>
      <c r="E1551" s="6" t="s">
        <v>147</v>
      </c>
      <c r="F1551" s="8">
        <v>28.0</v>
      </c>
      <c r="G1551" s="9">
        <v>879.47</v>
      </c>
      <c r="H1551" s="9">
        <v>6522.4</v>
      </c>
      <c r="I1551" s="6" t="s">
        <v>161</v>
      </c>
      <c r="J1551" s="6" t="s">
        <v>421</v>
      </c>
      <c r="K1551" s="6" t="s">
        <v>10752</v>
      </c>
      <c r="L1551" s="6">
        <v>3.3255658029E10</v>
      </c>
      <c r="M1551" s="6" t="s">
        <v>10753</v>
      </c>
      <c r="N1551" s="6" t="s">
        <v>427</v>
      </c>
      <c r="O1551" s="6" t="s">
        <v>178</v>
      </c>
      <c r="P1551" s="10">
        <v>45954.0</v>
      </c>
    </row>
    <row r="1552" ht="22.5" customHeight="1">
      <c r="A1552" s="6" t="s">
        <v>10755</v>
      </c>
      <c r="B1552" s="6" t="s">
        <v>10756</v>
      </c>
      <c r="C1552" s="6" t="s">
        <v>10757</v>
      </c>
      <c r="D1552" s="6" t="s">
        <v>383</v>
      </c>
      <c r="E1552" s="6" t="s">
        <v>301</v>
      </c>
      <c r="F1552" s="8">
        <v>50.0</v>
      </c>
      <c r="G1552" s="9">
        <v>1355.72</v>
      </c>
      <c r="H1552" s="9">
        <v>7831.25</v>
      </c>
      <c r="I1552" s="6" t="s">
        <v>161</v>
      </c>
      <c r="J1552" s="6" t="s">
        <v>163</v>
      </c>
      <c r="K1552" s="6" t="s">
        <v>10759</v>
      </c>
      <c r="L1552" s="6">
        <v>5.8180867274E10</v>
      </c>
      <c r="M1552" s="6" t="s">
        <v>10760</v>
      </c>
      <c r="N1552" s="6" t="s">
        <v>176</v>
      </c>
      <c r="O1552" s="6" t="s">
        <v>178</v>
      </c>
      <c r="P1552" s="10">
        <v>45935.0</v>
      </c>
    </row>
    <row r="1553" ht="22.5" customHeight="1">
      <c r="A1553" s="6" t="s">
        <v>10761</v>
      </c>
      <c r="B1553" s="6" t="s">
        <v>10762</v>
      </c>
      <c r="C1553" s="6" t="s">
        <v>10763</v>
      </c>
      <c r="D1553" s="6" t="s">
        <v>206</v>
      </c>
      <c r="E1553" s="6" t="s">
        <v>210</v>
      </c>
      <c r="F1553" s="8">
        <v>63.0</v>
      </c>
      <c r="G1553" s="9">
        <v>957.54</v>
      </c>
      <c r="H1553" s="9">
        <v>13915.91</v>
      </c>
      <c r="I1553" s="6" t="s">
        <v>161</v>
      </c>
      <c r="J1553" s="6" t="s">
        <v>228</v>
      </c>
      <c r="K1553" s="6" t="s">
        <v>10764</v>
      </c>
      <c r="L1553" s="6">
        <v>5.9077471141E10</v>
      </c>
      <c r="M1553" s="6" t="s">
        <v>10765</v>
      </c>
      <c r="N1553" s="6" t="s">
        <v>176</v>
      </c>
      <c r="O1553" s="6" t="s">
        <v>161</v>
      </c>
      <c r="P1553" s="10">
        <v>46013.0</v>
      </c>
    </row>
    <row r="1554" ht="22.5" customHeight="1">
      <c r="A1554" s="6" t="s">
        <v>10767</v>
      </c>
      <c r="B1554" s="6" t="s">
        <v>10768</v>
      </c>
      <c r="C1554" s="6" t="s">
        <v>10769</v>
      </c>
      <c r="D1554" s="6" t="s">
        <v>383</v>
      </c>
      <c r="E1554" s="6" t="s">
        <v>147</v>
      </c>
      <c r="F1554" s="8">
        <v>16.0</v>
      </c>
      <c r="G1554" s="9">
        <v>173.56</v>
      </c>
      <c r="H1554" s="9">
        <v>6374.39</v>
      </c>
      <c r="I1554" s="6" t="s">
        <v>161</v>
      </c>
      <c r="J1554" s="6" t="s">
        <v>479</v>
      </c>
      <c r="K1554" s="6" t="s">
        <v>10770</v>
      </c>
      <c r="L1554" s="6">
        <v>6.5159556553E10</v>
      </c>
      <c r="M1554" s="6" t="s">
        <v>10771</v>
      </c>
      <c r="N1554" s="6" t="s">
        <v>427</v>
      </c>
      <c r="O1554" s="6" t="s">
        <v>178</v>
      </c>
      <c r="P1554" s="10">
        <v>45988.0</v>
      </c>
    </row>
    <row r="1555" ht="22.5" customHeight="1">
      <c r="A1555" s="6" t="s">
        <v>10773</v>
      </c>
      <c r="B1555" s="6" t="s">
        <v>10774</v>
      </c>
      <c r="C1555" s="6" t="s">
        <v>10775</v>
      </c>
      <c r="D1555" s="6" t="s">
        <v>145</v>
      </c>
      <c r="E1555" s="6" t="s">
        <v>301</v>
      </c>
      <c r="F1555" s="8">
        <v>54.0</v>
      </c>
      <c r="G1555" s="9">
        <v>936.6</v>
      </c>
      <c r="H1555" s="9">
        <v>11924.79</v>
      </c>
      <c r="I1555" s="6" t="s">
        <v>161</v>
      </c>
      <c r="J1555" s="6" t="s">
        <v>228</v>
      </c>
      <c r="K1555" s="6" t="s">
        <v>10776</v>
      </c>
      <c r="L1555" s="6">
        <v>2.0728378122E10</v>
      </c>
      <c r="M1555" s="6" t="s">
        <v>10778</v>
      </c>
      <c r="N1555" s="6" t="s">
        <v>259</v>
      </c>
      <c r="O1555" s="6" t="s">
        <v>178</v>
      </c>
      <c r="P1555" s="10">
        <v>46040.0</v>
      </c>
    </row>
    <row r="1556" ht="22.5" customHeight="1">
      <c r="A1556" s="6" t="s">
        <v>10779</v>
      </c>
      <c r="B1556" s="6" t="s">
        <v>10780</v>
      </c>
      <c r="C1556" s="6" t="s">
        <v>10781</v>
      </c>
      <c r="D1556" s="6" t="s">
        <v>145</v>
      </c>
      <c r="E1556" s="6" t="s">
        <v>147</v>
      </c>
      <c r="F1556" s="8">
        <v>25.0</v>
      </c>
      <c r="G1556" s="9">
        <v>1315.88</v>
      </c>
      <c r="H1556" s="9">
        <v>12127.35</v>
      </c>
      <c r="I1556" s="6" t="s">
        <v>161</v>
      </c>
      <c r="J1556" s="6" t="s">
        <v>393</v>
      </c>
      <c r="K1556" s="6" t="s">
        <v>10783</v>
      </c>
      <c r="L1556" s="6">
        <v>6.2203533347E10</v>
      </c>
      <c r="M1556" s="6" t="s">
        <v>10784</v>
      </c>
      <c r="N1556" s="6" t="s">
        <v>176</v>
      </c>
      <c r="O1556" s="6" t="s">
        <v>178</v>
      </c>
      <c r="P1556" s="10">
        <v>45976.0</v>
      </c>
    </row>
    <row r="1557" ht="22.5" customHeight="1">
      <c r="A1557" s="6" t="s">
        <v>10786</v>
      </c>
      <c r="B1557" s="6" t="s">
        <v>10787</v>
      </c>
      <c r="C1557" s="6" t="s">
        <v>10788</v>
      </c>
      <c r="D1557" s="6" t="s">
        <v>206</v>
      </c>
      <c r="E1557" s="6" t="s">
        <v>301</v>
      </c>
      <c r="F1557" s="8">
        <v>50.0</v>
      </c>
      <c r="G1557" s="9">
        <v>1380.11</v>
      </c>
      <c r="H1557" s="9">
        <v>13451.1</v>
      </c>
      <c r="I1557" s="6" t="s">
        <v>161</v>
      </c>
      <c r="J1557" s="6" t="s">
        <v>577</v>
      </c>
      <c r="K1557" s="6" t="s">
        <v>10790</v>
      </c>
      <c r="L1557" s="6">
        <v>5.146630919E9</v>
      </c>
      <c r="M1557" s="6" t="s">
        <v>10791</v>
      </c>
      <c r="N1557" s="6" t="s">
        <v>283</v>
      </c>
      <c r="O1557" s="6" t="s">
        <v>178</v>
      </c>
      <c r="P1557" s="10">
        <v>46006.0</v>
      </c>
    </row>
    <row r="1558" ht="22.5" customHeight="1">
      <c r="A1558" s="6" t="s">
        <v>10793</v>
      </c>
      <c r="B1558" s="6" t="s">
        <v>10794</v>
      </c>
      <c r="C1558" s="6" t="s">
        <v>10795</v>
      </c>
      <c r="D1558" s="6" t="s">
        <v>383</v>
      </c>
      <c r="E1558" s="6" t="s">
        <v>147</v>
      </c>
      <c r="F1558" s="8">
        <v>27.0</v>
      </c>
      <c r="G1558" s="9">
        <v>721.51</v>
      </c>
      <c r="H1558" s="9">
        <v>2744.81</v>
      </c>
      <c r="I1558" s="6" t="s">
        <v>161</v>
      </c>
      <c r="J1558" s="6" t="s">
        <v>357</v>
      </c>
      <c r="K1558" s="6" t="s">
        <v>10796</v>
      </c>
      <c r="L1558" s="6">
        <v>9.87378538E10</v>
      </c>
      <c r="M1558" s="6" t="s">
        <v>10797</v>
      </c>
      <c r="N1558" s="6" t="s">
        <v>176</v>
      </c>
      <c r="O1558" s="6" t="s">
        <v>178</v>
      </c>
      <c r="P1558" s="10">
        <v>45958.0</v>
      </c>
    </row>
    <row r="1559" ht="22.5" customHeight="1">
      <c r="A1559" s="6" t="s">
        <v>10799</v>
      </c>
      <c r="B1559" s="6" t="s">
        <v>10800</v>
      </c>
      <c r="C1559" s="6" t="s">
        <v>10801</v>
      </c>
      <c r="D1559" s="6" t="s">
        <v>145</v>
      </c>
      <c r="E1559" s="6" t="s">
        <v>147</v>
      </c>
      <c r="F1559" s="8">
        <v>25.0</v>
      </c>
      <c r="G1559" s="9">
        <v>193.26</v>
      </c>
      <c r="H1559" s="9">
        <v>7777.17</v>
      </c>
      <c r="I1559" s="6" t="s">
        <v>161</v>
      </c>
      <c r="J1559" s="6" t="s">
        <v>577</v>
      </c>
      <c r="K1559" s="6" t="s">
        <v>10802</v>
      </c>
      <c r="L1559" s="6">
        <v>8.1813207396E10</v>
      </c>
      <c r="M1559" s="6" t="s">
        <v>10804</v>
      </c>
      <c r="N1559" s="6" t="s">
        <v>427</v>
      </c>
      <c r="O1559" s="6" t="s">
        <v>178</v>
      </c>
      <c r="P1559" s="10">
        <v>45941.0</v>
      </c>
    </row>
    <row r="1560" ht="22.5" customHeight="1">
      <c r="A1560" s="6" t="s">
        <v>10805</v>
      </c>
      <c r="B1560" s="6" t="s">
        <v>10806</v>
      </c>
      <c r="C1560" s="6" t="s">
        <v>10807</v>
      </c>
      <c r="D1560" s="6" t="s">
        <v>145</v>
      </c>
      <c r="E1560" s="6" t="s">
        <v>147</v>
      </c>
      <c r="F1560" s="8">
        <v>28.0</v>
      </c>
      <c r="G1560" s="9">
        <v>1796.07</v>
      </c>
      <c r="H1560" s="9">
        <v>15073.46</v>
      </c>
      <c r="I1560" s="6" t="s">
        <v>161</v>
      </c>
      <c r="J1560" s="6" t="s">
        <v>442</v>
      </c>
      <c r="K1560" s="6" t="s">
        <v>10809</v>
      </c>
      <c r="L1560" s="6">
        <v>1.6452343386E10</v>
      </c>
      <c r="M1560" s="6" t="s">
        <v>10810</v>
      </c>
      <c r="N1560" s="6" t="s">
        <v>283</v>
      </c>
      <c r="O1560" s="6" t="s">
        <v>178</v>
      </c>
      <c r="P1560" s="10">
        <v>46020.0</v>
      </c>
    </row>
    <row r="1561" ht="22.5" customHeight="1">
      <c r="A1561" s="6" t="s">
        <v>10811</v>
      </c>
      <c r="B1561" s="6" t="s">
        <v>10813</v>
      </c>
      <c r="C1561" s="6" t="s">
        <v>10814</v>
      </c>
      <c r="D1561" s="6" t="s">
        <v>206</v>
      </c>
      <c r="E1561" s="6" t="s">
        <v>147</v>
      </c>
      <c r="F1561" s="8">
        <v>25.0</v>
      </c>
      <c r="G1561" s="9">
        <v>1619.82</v>
      </c>
      <c r="H1561" s="9">
        <v>10671.73</v>
      </c>
      <c r="I1561" s="6" t="s">
        <v>161</v>
      </c>
      <c r="J1561" s="6" t="s">
        <v>577</v>
      </c>
      <c r="K1561" s="6" t="s">
        <v>10815</v>
      </c>
      <c r="L1561" s="6">
        <v>9.6924708836E10</v>
      </c>
      <c r="M1561" s="6" t="s">
        <v>10817</v>
      </c>
      <c r="N1561" s="6" t="s">
        <v>176</v>
      </c>
      <c r="O1561" s="6" t="s">
        <v>178</v>
      </c>
      <c r="P1561" s="10">
        <v>45940.0</v>
      </c>
    </row>
    <row r="1562" ht="22.5" customHeight="1">
      <c r="A1562" s="6" t="s">
        <v>10818</v>
      </c>
      <c r="B1562" s="6" t="s">
        <v>10819</v>
      </c>
      <c r="C1562" s="6" t="s">
        <v>10820</v>
      </c>
      <c r="D1562" s="6" t="s">
        <v>145</v>
      </c>
      <c r="E1562" s="6" t="s">
        <v>210</v>
      </c>
      <c r="F1562" s="8">
        <v>110.0</v>
      </c>
      <c r="G1562" s="9">
        <v>1743.43</v>
      </c>
      <c r="H1562" s="9">
        <v>14589.05</v>
      </c>
      <c r="I1562" s="6" t="s">
        <v>178</v>
      </c>
      <c r="J1562" s="6" t="s">
        <v>421</v>
      </c>
      <c r="K1562" s="6" t="s">
        <v>259</v>
      </c>
      <c r="L1562" s="6">
        <v>9.8696266958E10</v>
      </c>
      <c r="M1562" s="6" t="s">
        <v>10822</v>
      </c>
      <c r="N1562" s="6" t="s">
        <v>283</v>
      </c>
      <c r="O1562" s="6" t="s">
        <v>161</v>
      </c>
      <c r="P1562" s="10">
        <v>46019.0</v>
      </c>
    </row>
    <row r="1563" ht="22.5" customHeight="1">
      <c r="A1563" s="6" t="s">
        <v>10823</v>
      </c>
      <c r="B1563" s="6" t="s">
        <v>10825</v>
      </c>
      <c r="C1563" s="6" t="s">
        <v>10826</v>
      </c>
      <c r="D1563" s="6" t="s">
        <v>206</v>
      </c>
      <c r="E1563" s="6" t="s">
        <v>147</v>
      </c>
      <c r="F1563" s="8">
        <v>20.0</v>
      </c>
      <c r="G1563" s="9">
        <v>1142.93</v>
      </c>
      <c r="H1563" s="9">
        <v>5035.76</v>
      </c>
      <c r="I1563" s="6" t="s">
        <v>178</v>
      </c>
      <c r="J1563" s="6" t="s">
        <v>479</v>
      </c>
      <c r="K1563" s="6" t="s">
        <v>10827</v>
      </c>
      <c r="L1563" s="6">
        <v>7.4602180133E10</v>
      </c>
      <c r="M1563" s="6" t="s">
        <v>10829</v>
      </c>
      <c r="N1563" s="6" t="s">
        <v>427</v>
      </c>
      <c r="O1563" s="6" t="s">
        <v>161</v>
      </c>
      <c r="P1563" s="10">
        <v>45981.0</v>
      </c>
    </row>
    <row r="1564" ht="22.5" customHeight="1">
      <c r="A1564" s="6" t="s">
        <v>10830</v>
      </c>
      <c r="B1564" s="6" t="s">
        <v>10831</v>
      </c>
      <c r="C1564" s="6" t="s">
        <v>10832</v>
      </c>
      <c r="D1564" s="6" t="s">
        <v>145</v>
      </c>
      <c r="E1564" s="6" t="s">
        <v>147</v>
      </c>
      <c r="F1564" s="8">
        <v>13.0</v>
      </c>
      <c r="G1564" s="9">
        <v>384.87</v>
      </c>
      <c r="H1564" s="9">
        <v>6228.25</v>
      </c>
      <c r="I1564" s="6" t="s">
        <v>161</v>
      </c>
      <c r="J1564" s="6" t="s">
        <v>421</v>
      </c>
      <c r="K1564" s="6" t="s">
        <v>10834</v>
      </c>
      <c r="L1564" s="6">
        <v>4.328671707E9</v>
      </c>
      <c r="M1564" s="6" t="s">
        <v>10835</v>
      </c>
      <c r="N1564" s="6" t="s">
        <v>176</v>
      </c>
      <c r="O1564" s="6" t="s">
        <v>178</v>
      </c>
      <c r="P1564" s="10">
        <v>46022.0</v>
      </c>
    </row>
    <row r="1565" ht="22.5" customHeight="1">
      <c r="A1565" s="6" t="s">
        <v>10837</v>
      </c>
      <c r="B1565" s="6" t="s">
        <v>10838</v>
      </c>
      <c r="C1565" s="6" t="s">
        <v>10839</v>
      </c>
      <c r="D1565" s="6" t="s">
        <v>383</v>
      </c>
      <c r="E1565" s="6" t="s">
        <v>301</v>
      </c>
      <c r="F1565" s="8">
        <v>52.0</v>
      </c>
      <c r="G1565" s="9">
        <v>295.79</v>
      </c>
      <c r="H1565" s="9">
        <v>6907.82</v>
      </c>
      <c r="I1565" s="6" t="s">
        <v>161</v>
      </c>
      <c r="J1565" s="6" t="s">
        <v>357</v>
      </c>
      <c r="K1565" s="6" t="s">
        <v>10841</v>
      </c>
      <c r="L1565" s="6">
        <v>7.5728516522E10</v>
      </c>
      <c r="M1565" s="6" t="s">
        <v>10842</v>
      </c>
      <c r="N1565" s="6" t="s">
        <v>176</v>
      </c>
      <c r="O1565" s="6" t="s">
        <v>178</v>
      </c>
      <c r="P1565" s="10">
        <v>46031.0</v>
      </c>
    </row>
    <row r="1566" ht="22.5" customHeight="1">
      <c r="A1566" s="6" t="s">
        <v>10843</v>
      </c>
      <c r="B1566" s="6" t="s">
        <v>10844</v>
      </c>
      <c r="C1566" s="6" t="s">
        <v>10846</v>
      </c>
      <c r="D1566" s="6" t="s">
        <v>206</v>
      </c>
      <c r="E1566" s="6" t="s">
        <v>301</v>
      </c>
      <c r="F1566" s="8">
        <v>31.0</v>
      </c>
      <c r="G1566" s="9">
        <v>1270.59</v>
      </c>
      <c r="H1566" s="9">
        <v>4749.0</v>
      </c>
      <c r="I1566" s="6" t="s">
        <v>161</v>
      </c>
      <c r="J1566" s="6" t="s">
        <v>479</v>
      </c>
      <c r="K1566" s="6" t="s">
        <v>10847</v>
      </c>
      <c r="L1566" s="6">
        <v>1.6555838943E10</v>
      </c>
      <c r="M1566" s="6" t="s">
        <v>10848</v>
      </c>
      <c r="N1566" s="6" t="s">
        <v>427</v>
      </c>
      <c r="O1566" s="6" t="s">
        <v>178</v>
      </c>
      <c r="P1566" s="10">
        <v>45961.0</v>
      </c>
    </row>
    <row r="1567" ht="22.5" customHeight="1">
      <c r="A1567" s="6" t="s">
        <v>10850</v>
      </c>
      <c r="B1567" s="6" t="s">
        <v>10851</v>
      </c>
      <c r="C1567" s="6" t="s">
        <v>10852</v>
      </c>
      <c r="D1567" s="6" t="s">
        <v>206</v>
      </c>
      <c r="E1567" s="6" t="s">
        <v>147</v>
      </c>
      <c r="F1567" s="8">
        <v>26.0</v>
      </c>
      <c r="G1567" s="9">
        <v>895.07</v>
      </c>
      <c r="H1567" s="9">
        <v>6317.67</v>
      </c>
      <c r="I1567" s="6" t="s">
        <v>161</v>
      </c>
      <c r="J1567" s="6" t="s">
        <v>577</v>
      </c>
      <c r="K1567" s="6" t="s">
        <v>10853</v>
      </c>
      <c r="L1567" s="6">
        <v>6.6916034369E10</v>
      </c>
      <c r="M1567" s="6" t="s">
        <v>10854</v>
      </c>
      <c r="N1567" s="6" t="s">
        <v>427</v>
      </c>
      <c r="O1567" s="6" t="s">
        <v>178</v>
      </c>
      <c r="P1567" s="10">
        <v>46000.0</v>
      </c>
    </row>
    <row r="1568" ht="22.5" customHeight="1">
      <c r="A1568" s="6" t="s">
        <v>10855</v>
      </c>
      <c r="B1568" s="6" t="s">
        <v>10857</v>
      </c>
      <c r="C1568" s="6" t="s">
        <v>10858</v>
      </c>
      <c r="D1568" s="6" t="s">
        <v>206</v>
      </c>
      <c r="E1568" s="6" t="s">
        <v>147</v>
      </c>
      <c r="F1568" s="8">
        <v>11.0</v>
      </c>
      <c r="G1568" s="9">
        <v>464.33</v>
      </c>
      <c r="H1568" s="9">
        <v>9923.61</v>
      </c>
      <c r="I1568" s="6" t="s">
        <v>161</v>
      </c>
      <c r="J1568" s="6" t="s">
        <v>442</v>
      </c>
      <c r="K1568" s="6" t="s">
        <v>10860</v>
      </c>
      <c r="L1568" s="6">
        <v>3.4934972543E10</v>
      </c>
      <c r="M1568" s="6" t="s">
        <v>10861</v>
      </c>
      <c r="N1568" s="6" t="s">
        <v>176</v>
      </c>
      <c r="O1568" s="6" t="s">
        <v>178</v>
      </c>
      <c r="P1568" s="10">
        <v>46018.0</v>
      </c>
    </row>
    <row r="1569" ht="22.5" customHeight="1">
      <c r="A1569" s="6" t="s">
        <v>10863</v>
      </c>
      <c r="B1569" s="6" t="s">
        <v>10864</v>
      </c>
      <c r="C1569" s="6" t="s">
        <v>10865</v>
      </c>
      <c r="D1569" s="6" t="s">
        <v>206</v>
      </c>
      <c r="E1569" s="6" t="s">
        <v>301</v>
      </c>
      <c r="F1569" s="8">
        <v>50.0</v>
      </c>
      <c r="G1569" s="9">
        <v>865.59</v>
      </c>
      <c r="H1569" s="9">
        <v>10154.52</v>
      </c>
      <c r="I1569" s="6" t="s">
        <v>161</v>
      </c>
      <c r="J1569" s="6" t="s">
        <v>421</v>
      </c>
      <c r="K1569" s="6" t="s">
        <v>10866</v>
      </c>
      <c r="L1569" s="6" t="s">
        <v>259</v>
      </c>
      <c r="M1569" s="6" t="s">
        <v>10868</v>
      </c>
      <c r="N1569" s="6" t="s">
        <v>112</v>
      </c>
      <c r="O1569" s="6" t="s">
        <v>178</v>
      </c>
      <c r="P1569" s="10">
        <v>46036.0</v>
      </c>
    </row>
    <row r="1570" ht="22.5" customHeight="1">
      <c r="A1570" s="6" t="s">
        <v>10869</v>
      </c>
      <c r="B1570" s="6" t="s">
        <v>10870</v>
      </c>
      <c r="C1570" s="6" t="s">
        <v>10871</v>
      </c>
      <c r="D1570" s="6" t="s">
        <v>206</v>
      </c>
      <c r="E1570" s="6" t="s">
        <v>147</v>
      </c>
      <c r="F1570" s="8">
        <v>22.0</v>
      </c>
      <c r="G1570" s="9">
        <v>1297.64</v>
      </c>
      <c r="H1570" s="9">
        <v>7281.77</v>
      </c>
      <c r="I1570" s="6" t="s">
        <v>161</v>
      </c>
      <c r="J1570" s="6" t="s">
        <v>357</v>
      </c>
      <c r="K1570" s="6" t="s">
        <v>10873</v>
      </c>
      <c r="L1570" s="6">
        <v>2.5525672489E10</v>
      </c>
      <c r="M1570" s="6" t="s">
        <v>10874</v>
      </c>
      <c r="N1570" s="6" t="s">
        <v>176</v>
      </c>
      <c r="O1570" s="6" t="s">
        <v>178</v>
      </c>
      <c r="P1570" s="10">
        <v>45940.0</v>
      </c>
    </row>
    <row r="1571" ht="22.5" customHeight="1">
      <c r="A1571" s="6" t="s">
        <v>10875</v>
      </c>
      <c r="B1571" s="6" t="s">
        <v>10876</v>
      </c>
      <c r="C1571" s="6" t="s">
        <v>10877</v>
      </c>
      <c r="D1571" s="6" t="s">
        <v>206</v>
      </c>
      <c r="E1571" s="6" t="s">
        <v>147</v>
      </c>
      <c r="F1571" s="8">
        <v>17.0</v>
      </c>
      <c r="G1571" s="9">
        <v>1225.88</v>
      </c>
      <c r="H1571" s="9">
        <v>3276.9</v>
      </c>
      <c r="I1571" s="6" t="s">
        <v>161</v>
      </c>
      <c r="J1571" s="6" t="s">
        <v>312</v>
      </c>
      <c r="K1571" s="6" t="s">
        <v>259</v>
      </c>
      <c r="L1571" s="6">
        <v>9.3999174278E10</v>
      </c>
      <c r="M1571" s="6" t="s">
        <v>10879</v>
      </c>
      <c r="N1571" s="6" t="s">
        <v>112</v>
      </c>
      <c r="O1571" s="6" t="s">
        <v>178</v>
      </c>
      <c r="P1571" s="10">
        <v>45989.0</v>
      </c>
    </row>
    <row r="1572" ht="22.5" customHeight="1">
      <c r="A1572" s="6" t="s">
        <v>10880</v>
      </c>
      <c r="B1572" s="6" t="s">
        <v>10881</v>
      </c>
      <c r="C1572" s="6" t="s">
        <v>10882</v>
      </c>
      <c r="D1572" s="6" t="s">
        <v>206</v>
      </c>
      <c r="E1572" s="6" t="s">
        <v>210</v>
      </c>
      <c r="F1572" s="8">
        <v>62.0</v>
      </c>
      <c r="G1572" s="9">
        <v>248.19</v>
      </c>
      <c r="H1572" s="9">
        <v>7155.8</v>
      </c>
      <c r="I1572" s="6" t="s">
        <v>178</v>
      </c>
      <c r="J1572" s="6" t="s">
        <v>228</v>
      </c>
      <c r="K1572" s="6" t="s">
        <v>10884</v>
      </c>
      <c r="L1572" s="6">
        <v>4.5608750196E10</v>
      </c>
      <c r="M1572" s="6" t="s">
        <v>10885</v>
      </c>
      <c r="N1572" s="6" t="s">
        <v>176</v>
      </c>
      <c r="O1572" s="6" t="s">
        <v>161</v>
      </c>
      <c r="P1572" s="10">
        <v>46037.0</v>
      </c>
    </row>
    <row r="1573" ht="22.5" customHeight="1">
      <c r="A1573" s="6" t="s">
        <v>10887</v>
      </c>
      <c r="B1573" s="6" t="s">
        <v>10888</v>
      </c>
      <c r="C1573" s="6" t="s">
        <v>10889</v>
      </c>
      <c r="D1573" s="6" t="s">
        <v>383</v>
      </c>
      <c r="E1573" s="6" t="s">
        <v>147</v>
      </c>
      <c r="F1573" s="8">
        <v>27.0</v>
      </c>
      <c r="G1573" s="9">
        <v>679.77</v>
      </c>
      <c r="H1573" s="9">
        <v>9300.6</v>
      </c>
      <c r="I1573" s="6" t="s">
        <v>161</v>
      </c>
      <c r="J1573" s="6" t="s">
        <v>228</v>
      </c>
      <c r="K1573" s="6" t="s">
        <v>10891</v>
      </c>
      <c r="L1573" s="6" t="s">
        <v>259</v>
      </c>
      <c r="M1573" s="6" t="s">
        <v>10892</v>
      </c>
      <c r="N1573" s="6" t="s">
        <v>112</v>
      </c>
      <c r="O1573" s="6" t="s">
        <v>178</v>
      </c>
      <c r="P1573" s="10">
        <v>45996.0</v>
      </c>
    </row>
    <row r="1574" ht="22.5" customHeight="1">
      <c r="A1574" s="6" t="s">
        <v>10893</v>
      </c>
      <c r="B1574" s="6" t="s">
        <v>10895</v>
      </c>
      <c r="C1574" s="6" t="s">
        <v>10896</v>
      </c>
      <c r="D1574" s="6" t="s">
        <v>145</v>
      </c>
      <c r="E1574" s="6" t="s">
        <v>210</v>
      </c>
      <c r="F1574" s="8">
        <v>72.0</v>
      </c>
      <c r="G1574" s="9">
        <v>1662.75</v>
      </c>
      <c r="H1574" s="9">
        <v>2696.45</v>
      </c>
      <c r="I1574" s="6" t="s">
        <v>161</v>
      </c>
      <c r="J1574" s="6" t="s">
        <v>442</v>
      </c>
      <c r="K1574" s="6" t="s">
        <v>10897</v>
      </c>
      <c r="L1574" s="6">
        <v>7.9357510559E10</v>
      </c>
      <c r="M1574" s="6" t="s">
        <v>10898</v>
      </c>
      <c r="N1574" s="6" t="s">
        <v>112</v>
      </c>
      <c r="O1574" s="6" t="s">
        <v>161</v>
      </c>
      <c r="P1574" s="10">
        <v>45982.0</v>
      </c>
    </row>
    <row r="1575" ht="22.5" customHeight="1">
      <c r="A1575" s="6" t="s">
        <v>10900</v>
      </c>
      <c r="B1575" s="6" t="s">
        <v>10901</v>
      </c>
      <c r="C1575" s="6" t="s">
        <v>10902</v>
      </c>
      <c r="D1575" s="6" t="s">
        <v>145</v>
      </c>
      <c r="E1575" s="6" t="s">
        <v>147</v>
      </c>
      <c r="F1575" s="8">
        <v>22.0</v>
      </c>
      <c r="G1575" s="9">
        <v>1115.09</v>
      </c>
      <c r="H1575" s="9">
        <v>5631.26</v>
      </c>
      <c r="I1575" s="6" t="s">
        <v>161</v>
      </c>
      <c r="J1575" s="6" t="s">
        <v>163</v>
      </c>
      <c r="K1575" s="6" t="s">
        <v>10904</v>
      </c>
      <c r="L1575" s="6">
        <v>9.0029297072E10</v>
      </c>
      <c r="M1575" s="6" t="s">
        <v>10905</v>
      </c>
      <c r="N1575" s="6" t="s">
        <v>176</v>
      </c>
      <c r="O1575" s="6" t="s">
        <v>178</v>
      </c>
      <c r="P1575" s="10">
        <v>46003.0</v>
      </c>
    </row>
    <row r="1576" ht="22.5" customHeight="1">
      <c r="A1576" s="6" t="s">
        <v>10906</v>
      </c>
      <c r="B1576" s="6" t="s">
        <v>10907</v>
      </c>
      <c r="C1576" s="6" t="s">
        <v>10908</v>
      </c>
      <c r="D1576" s="6" t="s">
        <v>145</v>
      </c>
      <c r="E1576" s="6" t="s">
        <v>147</v>
      </c>
      <c r="F1576" s="8">
        <v>29.0</v>
      </c>
      <c r="G1576" s="9">
        <v>387.49</v>
      </c>
      <c r="H1576" s="9">
        <v>12884.27</v>
      </c>
      <c r="I1576" s="6" t="s">
        <v>161</v>
      </c>
      <c r="J1576" s="6" t="s">
        <v>1734</v>
      </c>
      <c r="K1576" s="6" t="s">
        <v>10910</v>
      </c>
      <c r="L1576" s="6">
        <v>2.50705751E9</v>
      </c>
      <c r="M1576" s="6" t="s">
        <v>10911</v>
      </c>
      <c r="N1576" s="6" t="s">
        <v>259</v>
      </c>
      <c r="O1576" s="6" t="s">
        <v>178</v>
      </c>
      <c r="P1576" s="10">
        <v>45969.0</v>
      </c>
    </row>
    <row r="1577" ht="22.5" customHeight="1">
      <c r="A1577" s="6" t="s">
        <v>10913</v>
      </c>
      <c r="B1577" s="6" t="s">
        <v>10914</v>
      </c>
      <c r="C1577" s="6" t="s">
        <v>10915</v>
      </c>
      <c r="D1577" s="6" t="s">
        <v>206</v>
      </c>
      <c r="E1577" s="6" t="s">
        <v>301</v>
      </c>
      <c r="F1577" s="8">
        <v>50.0</v>
      </c>
      <c r="G1577" s="9">
        <v>329.51</v>
      </c>
      <c r="H1577" s="9">
        <v>10891.85</v>
      </c>
      <c r="I1577" s="6" t="s">
        <v>161</v>
      </c>
      <c r="J1577" s="6" t="s">
        <v>393</v>
      </c>
      <c r="K1577" s="6" t="s">
        <v>10916</v>
      </c>
      <c r="L1577" s="6">
        <v>9.4786464546E10</v>
      </c>
      <c r="M1577" s="6" t="s">
        <v>10918</v>
      </c>
      <c r="N1577" s="6" t="s">
        <v>176</v>
      </c>
      <c r="O1577" s="6" t="s">
        <v>178</v>
      </c>
      <c r="P1577" s="10">
        <v>45947.0</v>
      </c>
    </row>
    <row r="1578" ht="22.5" customHeight="1">
      <c r="A1578" s="6" t="s">
        <v>10919</v>
      </c>
      <c r="B1578" s="6" t="s">
        <v>10920</v>
      </c>
      <c r="C1578" s="6" t="s">
        <v>10921</v>
      </c>
      <c r="D1578" s="6" t="s">
        <v>206</v>
      </c>
      <c r="E1578" s="6" t="s">
        <v>147</v>
      </c>
      <c r="F1578" s="8">
        <v>23.0</v>
      </c>
      <c r="G1578" s="9">
        <v>194.51</v>
      </c>
      <c r="H1578" s="9">
        <v>10286.17</v>
      </c>
      <c r="I1578" s="6" t="s">
        <v>161</v>
      </c>
      <c r="J1578" s="6" t="s">
        <v>393</v>
      </c>
      <c r="K1578" s="6" t="s">
        <v>10923</v>
      </c>
      <c r="L1578" s="6">
        <v>7.1328460495E10</v>
      </c>
      <c r="M1578" s="6" t="s">
        <v>10924</v>
      </c>
      <c r="N1578" s="6" t="s">
        <v>176</v>
      </c>
      <c r="O1578" s="6" t="s">
        <v>178</v>
      </c>
      <c r="P1578" s="10">
        <v>46003.0</v>
      </c>
    </row>
    <row r="1579" ht="22.5" customHeight="1">
      <c r="A1579" s="6" t="s">
        <v>10925</v>
      </c>
      <c r="B1579" s="6" t="s">
        <v>10927</v>
      </c>
      <c r="C1579" s="6" t="s">
        <v>10928</v>
      </c>
      <c r="D1579" s="6" t="s">
        <v>383</v>
      </c>
      <c r="E1579" s="6" t="s">
        <v>301</v>
      </c>
      <c r="F1579" s="8">
        <v>47.0</v>
      </c>
      <c r="G1579" s="9">
        <v>726.83</v>
      </c>
      <c r="H1579" s="9">
        <v>12585.93</v>
      </c>
      <c r="I1579" s="6" t="s">
        <v>161</v>
      </c>
      <c r="J1579" s="6" t="s">
        <v>228</v>
      </c>
      <c r="K1579" s="6" t="s">
        <v>259</v>
      </c>
      <c r="L1579" s="6">
        <v>3.2260160434E10</v>
      </c>
      <c r="M1579" s="6" t="s">
        <v>10930</v>
      </c>
      <c r="N1579" s="6" t="s">
        <v>176</v>
      </c>
      <c r="O1579" s="6" t="s">
        <v>178</v>
      </c>
      <c r="P1579" s="10">
        <v>45948.0</v>
      </c>
    </row>
    <row r="1580" ht="22.5" customHeight="1">
      <c r="A1580" s="6" t="s">
        <v>10931</v>
      </c>
      <c r="B1580" s="6" t="s">
        <v>10932</v>
      </c>
      <c r="C1580" s="6" t="s">
        <v>10933</v>
      </c>
      <c r="D1580" s="6" t="s">
        <v>206</v>
      </c>
      <c r="E1580" s="6" t="s">
        <v>147</v>
      </c>
      <c r="F1580" s="8">
        <v>5.0</v>
      </c>
      <c r="G1580" s="9">
        <v>903.04</v>
      </c>
      <c r="H1580" s="9">
        <v>6529.58</v>
      </c>
      <c r="I1580" s="6" t="s">
        <v>161</v>
      </c>
      <c r="J1580" s="6" t="s">
        <v>312</v>
      </c>
      <c r="K1580" s="6" t="s">
        <v>10935</v>
      </c>
      <c r="L1580" s="6">
        <v>1.6627866154E10</v>
      </c>
      <c r="M1580" s="6" t="s">
        <v>10936</v>
      </c>
      <c r="N1580" s="6" t="s">
        <v>259</v>
      </c>
      <c r="O1580" s="6" t="s">
        <v>178</v>
      </c>
      <c r="P1580" s="10">
        <v>45968.0</v>
      </c>
    </row>
    <row r="1581" ht="22.5" customHeight="1">
      <c r="A1581" s="6" t="s">
        <v>10938</v>
      </c>
      <c r="B1581" s="6" t="s">
        <v>10939</v>
      </c>
      <c r="C1581" s="6" t="s">
        <v>10940</v>
      </c>
      <c r="D1581" s="6" t="s">
        <v>145</v>
      </c>
      <c r="E1581" s="6" t="s">
        <v>210</v>
      </c>
      <c r="F1581" s="8">
        <v>82.0</v>
      </c>
      <c r="G1581" s="9">
        <v>282.3</v>
      </c>
      <c r="H1581" s="9">
        <v>3556.46</v>
      </c>
      <c r="I1581" s="6" t="s">
        <v>161</v>
      </c>
      <c r="J1581" s="6" t="s">
        <v>357</v>
      </c>
      <c r="K1581" s="6" t="s">
        <v>10941</v>
      </c>
      <c r="L1581" s="6">
        <v>8.3225481993E10</v>
      </c>
      <c r="M1581" s="6" t="s">
        <v>10943</v>
      </c>
      <c r="N1581" s="6" t="s">
        <v>259</v>
      </c>
      <c r="O1581" s="6" t="s">
        <v>161</v>
      </c>
      <c r="P1581" s="10">
        <v>45972.0</v>
      </c>
    </row>
    <row r="1582" ht="22.5" customHeight="1">
      <c r="A1582" s="6" t="s">
        <v>10944</v>
      </c>
      <c r="B1582" s="6" t="s">
        <v>10945</v>
      </c>
      <c r="C1582" s="6" t="s">
        <v>10946</v>
      </c>
      <c r="D1582" s="6" t="s">
        <v>206</v>
      </c>
      <c r="E1582" s="6" t="s">
        <v>147</v>
      </c>
      <c r="F1582" s="8">
        <v>17.0</v>
      </c>
      <c r="G1582" s="9">
        <v>1719.44</v>
      </c>
      <c r="H1582" s="9">
        <v>13936.23</v>
      </c>
      <c r="I1582" s="6" t="s">
        <v>161</v>
      </c>
      <c r="J1582" s="6" t="s">
        <v>228</v>
      </c>
      <c r="K1582" s="6" t="s">
        <v>10948</v>
      </c>
      <c r="L1582" s="6">
        <v>3.6084913791E10</v>
      </c>
      <c r="M1582" s="6" t="s">
        <v>10949</v>
      </c>
      <c r="N1582" s="6" t="s">
        <v>259</v>
      </c>
      <c r="O1582" s="6" t="s">
        <v>178</v>
      </c>
      <c r="P1582" s="10">
        <v>46033.0</v>
      </c>
    </row>
    <row r="1583" ht="22.5" customHeight="1">
      <c r="A1583" s="6" t="s">
        <v>10951</v>
      </c>
      <c r="B1583" s="6" t="s">
        <v>10952</v>
      </c>
      <c r="C1583" s="6" t="s">
        <v>10953</v>
      </c>
      <c r="D1583" s="6" t="s">
        <v>145</v>
      </c>
      <c r="E1583" s="6" t="s">
        <v>301</v>
      </c>
      <c r="F1583" s="8">
        <v>33.0</v>
      </c>
      <c r="G1583" s="9">
        <v>840.18</v>
      </c>
      <c r="H1583" s="9">
        <v>2283.85</v>
      </c>
      <c r="I1583" s="6" t="s">
        <v>161</v>
      </c>
      <c r="J1583" s="6" t="s">
        <v>577</v>
      </c>
      <c r="K1583" s="6" t="s">
        <v>10954</v>
      </c>
      <c r="L1583" s="6">
        <v>8.1019313504E10</v>
      </c>
      <c r="M1583" s="6" t="s">
        <v>10956</v>
      </c>
      <c r="N1583" s="6" t="s">
        <v>283</v>
      </c>
      <c r="O1583" s="6" t="s">
        <v>178</v>
      </c>
      <c r="P1583" s="10">
        <v>45944.0</v>
      </c>
    </row>
    <row r="1584" ht="22.5" customHeight="1">
      <c r="A1584" s="6" t="s">
        <v>10957</v>
      </c>
      <c r="B1584" s="6" t="s">
        <v>10958</v>
      </c>
      <c r="C1584" s="6" t="s">
        <v>10959</v>
      </c>
      <c r="D1584" s="6" t="s">
        <v>383</v>
      </c>
      <c r="E1584" s="6" t="s">
        <v>147</v>
      </c>
      <c r="F1584" s="8">
        <v>28.0</v>
      </c>
      <c r="G1584" s="9">
        <v>792.42</v>
      </c>
      <c r="H1584" s="9">
        <v>13102.52</v>
      </c>
      <c r="I1584" s="6" t="s">
        <v>161</v>
      </c>
      <c r="J1584" s="6" t="s">
        <v>442</v>
      </c>
      <c r="K1584" s="6" t="s">
        <v>10961</v>
      </c>
      <c r="L1584" s="6">
        <v>3.7301435783E10</v>
      </c>
      <c r="M1584" s="6" t="s">
        <v>10963</v>
      </c>
      <c r="N1584" s="6" t="s">
        <v>283</v>
      </c>
      <c r="O1584" s="6" t="s">
        <v>178</v>
      </c>
      <c r="P1584" s="10">
        <v>45970.0</v>
      </c>
    </row>
    <row r="1585" ht="22.5" customHeight="1">
      <c r="A1585" s="6" t="s">
        <v>10964</v>
      </c>
      <c r="B1585" s="6" t="s">
        <v>10965</v>
      </c>
      <c r="C1585" s="6" t="s">
        <v>10966</v>
      </c>
      <c r="D1585" s="6" t="s">
        <v>206</v>
      </c>
      <c r="E1585" s="6" t="s">
        <v>301</v>
      </c>
      <c r="F1585" s="8">
        <v>38.0</v>
      </c>
      <c r="G1585" s="9">
        <v>140.9</v>
      </c>
      <c r="H1585" s="9">
        <v>8797.28</v>
      </c>
      <c r="I1585" s="6" t="s">
        <v>161</v>
      </c>
      <c r="J1585" s="6" t="s">
        <v>577</v>
      </c>
      <c r="K1585" s="6" t="s">
        <v>10968</v>
      </c>
      <c r="L1585" s="6">
        <v>5.4926665863E10</v>
      </c>
      <c r="M1585" s="6" t="s">
        <v>10969</v>
      </c>
      <c r="N1585" s="6" t="s">
        <v>176</v>
      </c>
      <c r="O1585" s="6" t="s">
        <v>178</v>
      </c>
      <c r="P1585" s="10">
        <v>46005.0</v>
      </c>
    </row>
    <row r="1586" ht="22.5" customHeight="1">
      <c r="A1586" s="6" t="s">
        <v>10970</v>
      </c>
      <c r="B1586" s="6" t="s">
        <v>10971</v>
      </c>
      <c r="C1586" s="6" t="s">
        <v>10972</v>
      </c>
      <c r="D1586" s="6" t="s">
        <v>206</v>
      </c>
      <c r="E1586" s="6" t="s">
        <v>301</v>
      </c>
      <c r="F1586" s="8">
        <v>49.0</v>
      </c>
      <c r="G1586" s="9">
        <v>570.43</v>
      </c>
      <c r="H1586" s="9">
        <v>11480.78</v>
      </c>
      <c r="I1586" s="6" t="s">
        <v>161</v>
      </c>
      <c r="J1586" s="6" t="s">
        <v>228</v>
      </c>
      <c r="K1586" s="6" t="s">
        <v>10974</v>
      </c>
      <c r="L1586" s="6">
        <v>6.4708513159E10</v>
      </c>
      <c r="M1586" s="6" t="s">
        <v>10975</v>
      </c>
      <c r="N1586" s="6" t="s">
        <v>259</v>
      </c>
      <c r="O1586" s="6" t="s">
        <v>178</v>
      </c>
      <c r="P1586" s="10">
        <v>46007.0</v>
      </c>
    </row>
    <row r="1587" ht="22.5" customHeight="1">
      <c r="A1587" s="6" t="s">
        <v>10976</v>
      </c>
      <c r="B1587" s="6" t="s">
        <v>10977</v>
      </c>
      <c r="C1587" s="6" t="s">
        <v>10979</v>
      </c>
      <c r="D1587" s="6" t="s">
        <v>145</v>
      </c>
      <c r="E1587" s="6" t="s">
        <v>147</v>
      </c>
      <c r="F1587" s="8">
        <v>13.0</v>
      </c>
      <c r="G1587" s="9">
        <v>697.17</v>
      </c>
      <c r="H1587" s="9">
        <v>11129.17</v>
      </c>
      <c r="I1587" s="6" t="s">
        <v>161</v>
      </c>
      <c r="J1587" s="6" t="s">
        <v>357</v>
      </c>
      <c r="K1587" s="6" t="s">
        <v>10980</v>
      </c>
      <c r="L1587" s="6">
        <v>1.1604489181E10</v>
      </c>
      <c r="M1587" s="6" t="s">
        <v>10981</v>
      </c>
      <c r="N1587" s="6" t="s">
        <v>427</v>
      </c>
      <c r="O1587" s="6" t="s">
        <v>178</v>
      </c>
      <c r="P1587" s="10">
        <v>46026.0</v>
      </c>
    </row>
    <row r="1588" ht="22.5" customHeight="1">
      <c r="A1588" s="6" t="s">
        <v>10983</v>
      </c>
      <c r="B1588" s="6" t="s">
        <v>10984</v>
      </c>
      <c r="C1588" s="6" t="s">
        <v>10985</v>
      </c>
      <c r="D1588" s="6" t="s">
        <v>206</v>
      </c>
      <c r="E1588" s="6" t="s">
        <v>147</v>
      </c>
      <c r="F1588" s="8">
        <v>25.0</v>
      </c>
      <c r="G1588" s="9">
        <v>968.3</v>
      </c>
      <c r="H1588" s="9">
        <v>4855.78</v>
      </c>
      <c r="I1588" s="6" t="s">
        <v>161</v>
      </c>
      <c r="J1588" s="6" t="s">
        <v>259</v>
      </c>
      <c r="K1588" s="6" t="s">
        <v>10987</v>
      </c>
      <c r="L1588" s="6">
        <v>9.3378627525E10</v>
      </c>
      <c r="M1588" s="6" t="s">
        <v>10988</v>
      </c>
      <c r="N1588" s="6" t="s">
        <v>176</v>
      </c>
      <c r="O1588" s="6" t="s">
        <v>178</v>
      </c>
      <c r="P1588" s="10">
        <v>45931.0</v>
      </c>
    </row>
    <row r="1589" ht="22.5" customHeight="1">
      <c r="A1589" s="6" t="s">
        <v>10989</v>
      </c>
      <c r="B1589" s="6" t="s">
        <v>10990</v>
      </c>
      <c r="C1589" s="6" t="s">
        <v>10991</v>
      </c>
      <c r="D1589" s="6" t="s">
        <v>383</v>
      </c>
      <c r="E1589" s="6" t="s">
        <v>210</v>
      </c>
      <c r="F1589" s="8">
        <v>78.0</v>
      </c>
      <c r="G1589" s="9">
        <v>251.89</v>
      </c>
      <c r="H1589" s="9">
        <v>9370.18</v>
      </c>
      <c r="I1589" s="6" t="s">
        <v>161</v>
      </c>
      <c r="J1589" s="6" t="s">
        <v>393</v>
      </c>
      <c r="K1589" s="6" t="s">
        <v>10994</v>
      </c>
      <c r="L1589" s="6">
        <v>7.5722061405E10</v>
      </c>
      <c r="M1589" s="6" t="s">
        <v>10995</v>
      </c>
      <c r="N1589" s="6" t="s">
        <v>283</v>
      </c>
      <c r="O1589" s="6" t="s">
        <v>161</v>
      </c>
      <c r="P1589" s="10">
        <v>45945.0</v>
      </c>
    </row>
    <row r="1590" ht="22.5" customHeight="1">
      <c r="A1590" s="6" t="s">
        <v>10996</v>
      </c>
      <c r="B1590" s="6" t="s">
        <v>10997</v>
      </c>
      <c r="C1590" s="6" t="s">
        <v>10999</v>
      </c>
      <c r="D1590" s="6" t="s">
        <v>145</v>
      </c>
      <c r="E1590" s="6" t="s">
        <v>301</v>
      </c>
      <c r="F1590" s="8">
        <v>46.0</v>
      </c>
      <c r="G1590" s="9">
        <v>1571.9</v>
      </c>
      <c r="H1590" s="9">
        <v>8914.29</v>
      </c>
      <c r="I1590" s="6" t="s">
        <v>161</v>
      </c>
      <c r="J1590" s="6" t="s">
        <v>357</v>
      </c>
      <c r="K1590" s="6" t="s">
        <v>11000</v>
      </c>
      <c r="L1590" s="6">
        <v>3.0318809966E10</v>
      </c>
      <c r="M1590" s="6" t="s">
        <v>11001</v>
      </c>
      <c r="N1590" s="6" t="s">
        <v>112</v>
      </c>
      <c r="O1590" s="6" t="s">
        <v>178</v>
      </c>
      <c r="P1590" s="10">
        <v>45974.0</v>
      </c>
    </row>
    <row r="1591" ht="22.5" customHeight="1">
      <c r="A1591" s="6" t="s">
        <v>11003</v>
      </c>
      <c r="B1591" s="6" t="s">
        <v>11004</v>
      </c>
      <c r="C1591" s="6" t="s">
        <v>11005</v>
      </c>
      <c r="D1591" s="6" t="s">
        <v>206</v>
      </c>
      <c r="E1591" s="6" t="s">
        <v>147</v>
      </c>
      <c r="F1591" s="8">
        <v>18.0</v>
      </c>
      <c r="G1591" s="9">
        <v>1524.99</v>
      </c>
      <c r="H1591" s="9">
        <v>9018.44</v>
      </c>
      <c r="I1591" s="6" t="s">
        <v>161</v>
      </c>
      <c r="J1591" s="6" t="s">
        <v>442</v>
      </c>
      <c r="K1591" s="6" t="s">
        <v>11007</v>
      </c>
      <c r="L1591" s="6">
        <v>3.6450549757E10</v>
      </c>
      <c r="M1591" s="6" t="s">
        <v>11008</v>
      </c>
      <c r="N1591" s="6" t="s">
        <v>427</v>
      </c>
      <c r="O1591" s="6" t="s">
        <v>178</v>
      </c>
      <c r="P1591" s="10">
        <v>45958.0</v>
      </c>
    </row>
    <row r="1592" ht="22.5" customHeight="1">
      <c r="A1592" s="6" t="s">
        <v>11009</v>
      </c>
      <c r="B1592" s="6" t="s">
        <v>11011</v>
      </c>
      <c r="C1592" s="6" t="s">
        <v>11012</v>
      </c>
      <c r="D1592" s="6" t="s">
        <v>206</v>
      </c>
      <c r="E1592" s="6" t="s">
        <v>147</v>
      </c>
      <c r="F1592" s="8">
        <v>12.0</v>
      </c>
      <c r="G1592" s="9">
        <v>1415.66</v>
      </c>
      <c r="H1592" s="9">
        <v>12759.95</v>
      </c>
      <c r="I1592" s="6" t="s">
        <v>161</v>
      </c>
      <c r="J1592" s="6" t="s">
        <v>479</v>
      </c>
      <c r="K1592" s="6" t="s">
        <v>11013</v>
      </c>
      <c r="L1592" s="6">
        <v>4.250426887E9</v>
      </c>
      <c r="M1592" s="6" t="s">
        <v>11015</v>
      </c>
      <c r="N1592" s="6" t="s">
        <v>427</v>
      </c>
      <c r="O1592" s="6" t="s">
        <v>178</v>
      </c>
      <c r="P1592" s="10">
        <v>46035.0</v>
      </c>
    </row>
    <row r="1593" ht="22.5" customHeight="1">
      <c r="A1593" s="6" t="s">
        <v>11016</v>
      </c>
      <c r="B1593" s="6" t="s">
        <v>11017</v>
      </c>
      <c r="C1593" s="6" t="s">
        <v>11018</v>
      </c>
      <c r="D1593" s="6" t="s">
        <v>145</v>
      </c>
      <c r="E1593" s="6" t="s">
        <v>147</v>
      </c>
      <c r="F1593" s="8">
        <v>27.0</v>
      </c>
      <c r="G1593" s="9">
        <v>1573.01</v>
      </c>
      <c r="H1593" s="9">
        <v>13189.41</v>
      </c>
      <c r="I1593" s="6" t="s">
        <v>161</v>
      </c>
      <c r="J1593" s="6" t="s">
        <v>465</v>
      </c>
      <c r="K1593" s="6" t="s">
        <v>11020</v>
      </c>
      <c r="L1593" s="6">
        <v>4.6462657145E10</v>
      </c>
      <c r="M1593" s="6" t="s">
        <v>11021</v>
      </c>
      <c r="N1593" s="6" t="s">
        <v>427</v>
      </c>
      <c r="O1593" s="6" t="s">
        <v>178</v>
      </c>
      <c r="P1593" s="10">
        <v>46026.0</v>
      </c>
    </row>
    <row r="1594" ht="22.5" customHeight="1">
      <c r="A1594" s="6" t="s">
        <v>11022</v>
      </c>
      <c r="B1594" s="6" t="s">
        <v>11024</v>
      </c>
      <c r="C1594" s="6" t="s">
        <v>11025</v>
      </c>
      <c r="D1594" s="6" t="s">
        <v>383</v>
      </c>
      <c r="E1594" s="6" t="s">
        <v>301</v>
      </c>
      <c r="F1594" s="8">
        <v>34.0</v>
      </c>
      <c r="G1594" s="9">
        <v>356.08</v>
      </c>
      <c r="H1594" s="9">
        <v>8218.38</v>
      </c>
      <c r="I1594" s="6" t="s">
        <v>161</v>
      </c>
      <c r="J1594" s="6" t="s">
        <v>357</v>
      </c>
      <c r="K1594" s="6" t="s">
        <v>11026</v>
      </c>
      <c r="L1594" s="6">
        <v>7.944535436E9</v>
      </c>
      <c r="M1594" s="6" t="s">
        <v>11027</v>
      </c>
      <c r="N1594" s="6" t="s">
        <v>176</v>
      </c>
      <c r="O1594" s="6" t="s">
        <v>178</v>
      </c>
      <c r="P1594" s="10">
        <v>46003.0</v>
      </c>
    </row>
    <row r="1595" ht="22.5" customHeight="1">
      <c r="A1595" s="6" t="s">
        <v>11029</v>
      </c>
      <c r="B1595" s="6" t="s">
        <v>11030</v>
      </c>
      <c r="C1595" s="6" t="s">
        <v>11031</v>
      </c>
      <c r="D1595" s="6" t="s">
        <v>145</v>
      </c>
      <c r="E1595" s="6" t="s">
        <v>147</v>
      </c>
      <c r="F1595" s="8">
        <v>20.0</v>
      </c>
      <c r="G1595" s="9">
        <v>994.63</v>
      </c>
      <c r="H1595" s="9">
        <v>5495.47</v>
      </c>
      <c r="I1595" s="6" t="s">
        <v>161</v>
      </c>
      <c r="J1595" s="6" t="s">
        <v>357</v>
      </c>
      <c r="K1595" s="6" t="s">
        <v>11033</v>
      </c>
      <c r="L1595" s="6">
        <v>3.7852726938E10</v>
      </c>
      <c r="M1595" s="6" t="s">
        <v>11034</v>
      </c>
      <c r="N1595" s="6" t="s">
        <v>427</v>
      </c>
      <c r="O1595" s="6" t="s">
        <v>178</v>
      </c>
      <c r="P1595" s="10">
        <v>46022.0</v>
      </c>
    </row>
    <row r="1596" ht="22.5" customHeight="1">
      <c r="A1596" s="6" t="s">
        <v>11035</v>
      </c>
      <c r="B1596" s="6" t="s">
        <v>11037</v>
      </c>
      <c r="C1596" s="6" t="s">
        <v>11038</v>
      </c>
      <c r="D1596" s="6" t="s">
        <v>145</v>
      </c>
      <c r="E1596" s="6" t="s">
        <v>147</v>
      </c>
      <c r="F1596" s="8">
        <v>29.0</v>
      </c>
      <c r="G1596" s="9">
        <v>437.66</v>
      </c>
      <c r="H1596" s="9">
        <v>7689.1</v>
      </c>
      <c r="I1596" s="6" t="s">
        <v>161</v>
      </c>
      <c r="J1596" s="6" t="s">
        <v>421</v>
      </c>
      <c r="K1596" s="6" t="s">
        <v>11039</v>
      </c>
      <c r="L1596" s="6">
        <v>4.0861796361E10</v>
      </c>
      <c r="M1596" s="6" t="s">
        <v>11040</v>
      </c>
      <c r="N1596" s="6" t="s">
        <v>427</v>
      </c>
      <c r="O1596" s="6" t="s">
        <v>178</v>
      </c>
      <c r="P1596" s="10">
        <v>46038.0</v>
      </c>
    </row>
    <row r="1597" ht="22.5" customHeight="1">
      <c r="A1597" s="6" t="s">
        <v>11042</v>
      </c>
      <c r="B1597" s="6" t="s">
        <v>11043</v>
      </c>
      <c r="C1597" s="6" t="s">
        <v>11044</v>
      </c>
      <c r="D1597" s="6" t="s">
        <v>383</v>
      </c>
      <c r="E1597" s="6" t="s">
        <v>301</v>
      </c>
      <c r="F1597" s="8">
        <v>47.0</v>
      </c>
      <c r="G1597" s="9">
        <v>269.05</v>
      </c>
      <c r="H1597" s="9">
        <v>8157.61</v>
      </c>
      <c r="I1597" s="6" t="s">
        <v>161</v>
      </c>
      <c r="J1597" s="6" t="s">
        <v>228</v>
      </c>
      <c r="K1597" s="6" t="s">
        <v>11046</v>
      </c>
      <c r="L1597" s="6">
        <v>8.2362054692E10</v>
      </c>
      <c r="M1597" s="6" t="s">
        <v>11047</v>
      </c>
      <c r="N1597" s="6" t="s">
        <v>427</v>
      </c>
      <c r="O1597" s="6" t="s">
        <v>178</v>
      </c>
      <c r="P1597" s="10">
        <v>46022.0</v>
      </c>
    </row>
    <row r="1598" ht="22.5" customHeight="1">
      <c r="A1598" s="6" t="s">
        <v>11048</v>
      </c>
      <c r="B1598" s="6" t="s">
        <v>11049</v>
      </c>
      <c r="C1598" s="6" t="s">
        <v>11050</v>
      </c>
      <c r="D1598" s="6" t="s">
        <v>206</v>
      </c>
      <c r="E1598" s="6" t="s">
        <v>147</v>
      </c>
      <c r="F1598" s="8">
        <v>13.0</v>
      </c>
      <c r="G1598" s="9">
        <v>627.5</v>
      </c>
      <c r="H1598" s="9">
        <v>11993.84</v>
      </c>
      <c r="I1598" s="6" t="s">
        <v>161</v>
      </c>
      <c r="J1598" s="6" t="s">
        <v>442</v>
      </c>
      <c r="K1598" s="6" t="s">
        <v>11052</v>
      </c>
      <c r="L1598" s="6">
        <v>7.2003948576E10</v>
      </c>
      <c r="M1598" s="6" t="s">
        <v>11053</v>
      </c>
      <c r="N1598" s="6" t="s">
        <v>176</v>
      </c>
      <c r="O1598" s="6" t="s">
        <v>178</v>
      </c>
      <c r="P1598" s="10">
        <v>45992.0</v>
      </c>
    </row>
    <row r="1599" ht="22.5" customHeight="1">
      <c r="A1599" s="6" t="s">
        <v>11054</v>
      </c>
      <c r="B1599" s="6" t="s">
        <v>11055</v>
      </c>
      <c r="C1599" s="6" t="s">
        <v>11057</v>
      </c>
      <c r="D1599" s="6" t="s">
        <v>206</v>
      </c>
      <c r="E1599" s="6" t="s">
        <v>301</v>
      </c>
      <c r="F1599" s="8">
        <v>52.0</v>
      </c>
      <c r="G1599" s="9">
        <v>687.06</v>
      </c>
      <c r="H1599" s="9">
        <v>1981.2</v>
      </c>
      <c r="I1599" s="6" t="s">
        <v>161</v>
      </c>
      <c r="J1599" s="6" t="s">
        <v>465</v>
      </c>
      <c r="K1599" s="6" t="s">
        <v>11058</v>
      </c>
      <c r="L1599" s="6">
        <v>2.9560036158E10</v>
      </c>
      <c r="M1599" s="6" t="s">
        <v>11059</v>
      </c>
      <c r="N1599" s="6" t="s">
        <v>283</v>
      </c>
      <c r="O1599" s="6" t="s">
        <v>178</v>
      </c>
      <c r="P1599" s="10">
        <v>46017.0</v>
      </c>
    </row>
    <row r="1600" ht="22.5" customHeight="1">
      <c r="A1600" s="6" t="s">
        <v>11061</v>
      </c>
      <c r="B1600" s="6" t="s">
        <v>11062</v>
      </c>
      <c r="C1600" s="6" t="s">
        <v>11063</v>
      </c>
      <c r="D1600" s="6" t="s">
        <v>145</v>
      </c>
      <c r="E1600" s="6" t="s">
        <v>301</v>
      </c>
      <c r="F1600" s="8">
        <v>43.0</v>
      </c>
      <c r="G1600" s="9">
        <v>771.82</v>
      </c>
      <c r="H1600" s="9">
        <v>11145.95</v>
      </c>
      <c r="I1600" s="6" t="s">
        <v>161</v>
      </c>
      <c r="J1600" s="6" t="s">
        <v>577</v>
      </c>
      <c r="K1600" s="6" t="s">
        <v>11065</v>
      </c>
      <c r="L1600" s="6">
        <v>4.0758741508E10</v>
      </c>
      <c r="M1600" s="6" t="s">
        <v>11066</v>
      </c>
      <c r="N1600" s="6" t="s">
        <v>283</v>
      </c>
      <c r="O1600" s="6" t="s">
        <v>178</v>
      </c>
      <c r="P1600" s="10">
        <v>45939.0</v>
      </c>
    </row>
    <row r="1601" ht="22.5" customHeight="1">
      <c r="A1601" s="6" t="s">
        <v>11067</v>
      </c>
      <c r="B1601" s="6" t="s">
        <v>11068</v>
      </c>
      <c r="C1601" s="6" t="s">
        <v>11069</v>
      </c>
      <c r="D1601" s="6" t="s">
        <v>145</v>
      </c>
      <c r="E1601" s="6" t="s">
        <v>147</v>
      </c>
      <c r="F1601" s="8">
        <v>18.0</v>
      </c>
      <c r="G1601" s="9">
        <v>1033.96</v>
      </c>
      <c r="H1601" s="9">
        <v>6275.22</v>
      </c>
      <c r="I1601" s="6" t="s">
        <v>161</v>
      </c>
      <c r="J1601" s="6" t="s">
        <v>312</v>
      </c>
      <c r="K1601" s="6" t="s">
        <v>11071</v>
      </c>
      <c r="L1601" s="6">
        <v>5.882391374E10</v>
      </c>
      <c r="M1601" s="6" t="s">
        <v>11072</v>
      </c>
      <c r="N1601" s="6" t="s">
        <v>112</v>
      </c>
      <c r="O1601" s="6" t="s">
        <v>178</v>
      </c>
      <c r="P1601" s="10">
        <v>45997.0</v>
      </c>
    </row>
    <row r="1602" ht="22.5" customHeight="1">
      <c r="A1602" s="6" t="s">
        <v>11074</v>
      </c>
      <c r="B1602" s="6" t="s">
        <v>11075</v>
      </c>
      <c r="C1602" s="6" t="s">
        <v>11076</v>
      </c>
      <c r="D1602" s="6" t="s">
        <v>145</v>
      </c>
      <c r="E1602" s="6" t="s">
        <v>301</v>
      </c>
      <c r="F1602" s="8">
        <v>42.0</v>
      </c>
      <c r="G1602" s="9">
        <v>676.55</v>
      </c>
      <c r="H1602" s="9">
        <v>9214.13</v>
      </c>
      <c r="I1602" s="6" t="s">
        <v>161</v>
      </c>
      <c r="J1602" s="6" t="s">
        <v>357</v>
      </c>
      <c r="K1602" s="6" t="s">
        <v>11078</v>
      </c>
      <c r="L1602" s="6">
        <v>4.9230792962E10</v>
      </c>
      <c r="M1602" s="6" t="s">
        <v>11079</v>
      </c>
      <c r="N1602" s="6" t="s">
        <v>427</v>
      </c>
      <c r="O1602" s="6" t="s">
        <v>178</v>
      </c>
      <c r="P1602" s="10">
        <v>45977.0</v>
      </c>
    </row>
    <row r="1603" ht="22.5" customHeight="1">
      <c r="A1603" s="6" t="s">
        <v>11080</v>
      </c>
      <c r="B1603" s="6" t="s">
        <v>11081</v>
      </c>
      <c r="C1603" s="6" t="s">
        <v>11082</v>
      </c>
      <c r="D1603" s="6" t="s">
        <v>145</v>
      </c>
      <c r="E1603" s="6" t="s">
        <v>301</v>
      </c>
      <c r="F1603" s="8">
        <v>33.0</v>
      </c>
      <c r="G1603" s="9">
        <v>1194.15</v>
      </c>
      <c r="H1603" s="9">
        <v>3475.06</v>
      </c>
      <c r="I1603" s="6" t="s">
        <v>161</v>
      </c>
      <c r="J1603" s="6" t="s">
        <v>259</v>
      </c>
      <c r="K1603" s="6" t="s">
        <v>11084</v>
      </c>
      <c r="L1603" s="6">
        <v>2.0266666423E10</v>
      </c>
      <c r="M1603" s="6" t="s">
        <v>11085</v>
      </c>
      <c r="N1603" s="6" t="s">
        <v>176</v>
      </c>
      <c r="O1603" s="6" t="s">
        <v>178</v>
      </c>
      <c r="P1603" s="10">
        <v>46040.0</v>
      </c>
    </row>
    <row r="1604" ht="22.5" customHeight="1">
      <c r="A1604" s="6" t="s">
        <v>11086</v>
      </c>
      <c r="B1604" s="6" t="s">
        <v>11087</v>
      </c>
      <c r="C1604" s="6" t="s">
        <v>11089</v>
      </c>
      <c r="D1604" s="6" t="s">
        <v>145</v>
      </c>
      <c r="E1604" s="6" t="s">
        <v>301</v>
      </c>
      <c r="F1604" s="8">
        <v>32.0</v>
      </c>
      <c r="G1604" s="9">
        <v>1123.6</v>
      </c>
      <c r="H1604" s="9">
        <v>10422.8</v>
      </c>
      <c r="I1604" s="6" t="s">
        <v>161</v>
      </c>
      <c r="J1604" s="6" t="s">
        <v>465</v>
      </c>
      <c r="K1604" s="6" t="s">
        <v>11090</v>
      </c>
      <c r="L1604" s="6">
        <v>9.345472723E9</v>
      </c>
      <c r="M1604" s="6" t="s">
        <v>11091</v>
      </c>
      <c r="N1604" s="6" t="s">
        <v>259</v>
      </c>
      <c r="O1604" s="6" t="s">
        <v>178</v>
      </c>
      <c r="P1604" s="10">
        <v>45946.0</v>
      </c>
    </row>
    <row r="1605" ht="22.5" customHeight="1">
      <c r="A1605" s="6" t="s">
        <v>11093</v>
      </c>
      <c r="B1605" s="6" t="s">
        <v>11094</v>
      </c>
      <c r="C1605" s="6" t="s">
        <v>11095</v>
      </c>
      <c r="D1605" s="6" t="s">
        <v>206</v>
      </c>
      <c r="E1605" s="6" t="s">
        <v>147</v>
      </c>
      <c r="F1605" s="8">
        <v>7.0</v>
      </c>
      <c r="G1605" s="9">
        <v>1767.64</v>
      </c>
      <c r="H1605" s="9">
        <v>8758.24</v>
      </c>
      <c r="I1605" s="6" t="s">
        <v>161</v>
      </c>
      <c r="J1605" s="6" t="s">
        <v>465</v>
      </c>
      <c r="K1605" s="6" t="s">
        <v>11096</v>
      </c>
      <c r="L1605" s="6">
        <v>1.0886482699E10</v>
      </c>
      <c r="M1605" s="6" t="s">
        <v>11097</v>
      </c>
      <c r="N1605" s="6" t="s">
        <v>427</v>
      </c>
      <c r="O1605" s="6" t="s">
        <v>178</v>
      </c>
      <c r="P1605" s="10">
        <v>46004.0</v>
      </c>
    </row>
    <row r="1606" ht="22.5" customHeight="1">
      <c r="A1606" s="6" t="s">
        <v>11099</v>
      </c>
      <c r="B1606" s="6" t="s">
        <v>11100</v>
      </c>
      <c r="C1606" s="6" t="s">
        <v>11101</v>
      </c>
      <c r="D1606" s="6" t="s">
        <v>206</v>
      </c>
      <c r="E1606" s="6" t="s">
        <v>147</v>
      </c>
      <c r="F1606" s="8">
        <v>5.0</v>
      </c>
      <c r="G1606" s="9">
        <v>170.73</v>
      </c>
      <c r="H1606" s="9">
        <v>1922.87</v>
      </c>
      <c r="I1606" s="6" t="s">
        <v>161</v>
      </c>
      <c r="J1606" s="6" t="s">
        <v>465</v>
      </c>
      <c r="K1606" s="6" t="s">
        <v>11102</v>
      </c>
      <c r="L1606" s="6">
        <v>1.9372217897E10</v>
      </c>
      <c r="M1606" s="6" t="s">
        <v>11103</v>
      </c>
      <c r="N1606" s="6" t="s">
        <v>283</v>
      </c>
      <c r="O1606" s="6" t="s">
        <v>178</v>
      </c>
      <c r="P1606" s="10">
        <v>46026.0</v>
      </c>
    </row>
    <row r="1607" ht="22.5" customHeight="1">
      <c r="A1607" s="6" t="s">
        <v>11104</v>
      </c>
      <c r="B1607" s="6" t="s">
        <v>11105</v>
      </c>
      <c r="C1607" s="6" t="s">
        <v>11106</v>
      </c>
      <c r="D1607" s="6" t="s">
        <v>145</v>
      </c>
      <c r="E1607" s="6" t="s">
        <v>147</v>
      </c>
      <c r="F1607" s="8">
        <v>25.0</v>
      </c>
      <c r="G1607" s="9">
        <v>109.26</v>
      </c>
      <c r="H1607" s="9">
        <v>10593.94</v>
      </c>
      <c r="I1607" s="6" t="s">
        <v>161</v>
      </c>
      <c r="J1607" s="6" t="s">
        <v>312</v>
      </c>
      <c r="K1607" s="6" t="s">
        <v>11108</v>
      </c>
      <c r="L1607" s="6">
        <v>5.1252659651E10</v>
      </c>
      <c r="M1607" s="6" t="s">
        <v>11110</v>
      </c>
      <c r="N1607" s="6" t="s">
        <v>112</v>
      </c>
      <c r="O1607" s="6" t="s">
        <v>4031</v>
      </c>
      <c r="P1607" s="10">
        <v>46017.0</v>
      </c>
    </row>
    <row r="1608" ht="22.5" customHeight="1">
      <c r="A1608" s="6" t="s">
        <v>11111</v>
      </c>
      <c r="B1608" s="6" t="s">
        <v>11112</v>
      </c>
      <c r="C1608" s="6" t="s">
        <v>11113</v>
      </c>
      <c r="D1608" s="6" t="s">
        <v>383</v>
      </c>
      <c r="E1608" s="6" t="s">
        <v>301</v>
      </c>
      <c r="F1608" s="8">
        <v>47.0</v>
      </c>
      <c r="G1608" s="9">
        <v>1797.39</v>
      </c>
      <c r="H1608" s="9">
        <v>11194.6</v>
      </c>
      <c r="I1608" s="6" t="s">
        <v>161</v>
      </c>
      <c r="J1608" s="6" t="s">
        <v>479</v>
      </c>
      <c r="K1608" s="6" t="s">
        <v>11115</v>
      </c>
      <c r="L1608" s="6">
        <v>7.2037738174E10</v>
      </c>
      <c r="M1608" s="6" t="s">
        <v>11116</v>
      </c>
      <c r="N1608" s="6" t="s">
        <v>176</v>
      </c>
      <c r="O1608" s="6" t="s">
        <v>178</v>
      </c>
      <c r="P1608" s="10">
        <v>46006.0</v>
      </c>
    </row>
    <row r="1609" ht="22.5" customHeight="1">
      <c r="A1609" s="6" t="s">
        <v>11117</v>
      </c>
      <c r="B1609" s="6" t="s">
        <v>11118</v>
      </c>
      <c r="C1609" s="6" t="s">
        <v>11119</v>
      </c>
      <c r="D1609" s="6" t="s">
        <v>206</v>
      </c>
      <c r="E1609" s="6" t="s">
        <v>210</v>
      </c>
      <c r="F1609" s="8">
        <v>95.0</v>
      </c>
      <c r="G1609" s="9">
        <v>226.71</v>
      </c>
      <c r="H1609" s="9">
        <v>667.88</v>
      </c>
      <c r="I1609" s="6" t="s">
        <v>161</v>
      </c>
      <c r="J1609" s="6" t="s">
        <v>442</v>
      </c>
      <c r="K1609" s="6" t="s">
        <v>11121</v>
      </c>
      <c r="L1609" s="6">
        <v>8.4381362342E10</v>
      </c>
      <c r="M1609" s="6" t="s">
        <v>11122</v>
      </c>
      <c r="N1609" s="6" t="s">
        <v>259</v>
      </c>
      <c r="O1609" s="6" t="s">
        <v>161</v>
      </c>
      <c r="P1609" s="10">
        <v>46009.0</v>
      </c>
    </row>
    <row r="1610" ht="22.5" customHeight="1">
      <c r="A1610" s="6" t="s">
        <v>11123</v>
      </c>
      <c r="B1610" s="6" t="s">
        <v>11124</v>
      </c>
      <c r="C1610" s="6" t="s">
        <v>11126</v>
      </c>
      <c r="D1610" s="6" t="s">
        <v>145</v>
      </c>
      <c r="E1610" s="6" t="s">
        <v>301</v>
      </c>
      <c r="F1610" s="8">
        <v>49.0</v>
      </c>
      <c r="G1610" s="9">
        <v>905.68</v>
      </c>
      <c r="H1610" s="9">
        <v>12629.97</v>
      </c>
      <c r="I1610" s="6" t="s">
        <v>161</v>
      </c>
      <c r="J1610" s="6" t="s">
        <v>465</v>
      </c>
      <c r="K1610" s="6" t="s">
        <v>11127</v>
      </c>
      <c r="L1610" s="6">
        <v>9.4365918919E10</v>
      </c>
      <c r="M1610" s="6" t="s">
        <v>11128</v>
      </c>
      <c r="N1610" s="6" t="s">
        <v>112</v>
      </c>
      <c r="O1610" s="6" t="s">
        <v>178</v>
      </c>
      <c r="P1610" s="10">
        <v>45984.0</v>
      </c>
    </row>
    <row r="1611" ht="22.5" customHeight="1">
      <c r="A1611" s="6" t="s">
        <v>11130</v>
      </c>
      <c r="B1611" s="6" t="s">
        <v>11131</v>
      </c>
      <c r="C1611" s="6" t="s">
        <v>11132</v>
      </c>
      <c r="D1611" s="6" t="s">
        <v>206</v>
      </c>
      <c r="E1611" s="6" t="s">
        <v>210</v>
      </c>
      <c r="F1611" s="8">
        <v>83.0</v>
      </c>
      <c r="G1611" s="9">
        <v>1178.3</v>
      </c>
      <c r="H1611" s="9">
        <v>14002.39</v>
      </c>
      <c r="I1611" s="6" t="s">
        <v>178</v>
      </c>
      <c r="J1611" s="6" t="s">
        <v>228</v>
      </c>
      <c r="K1611" s="6" t="s">
        <v>11134</v>
      </c>
      <c r="L1611" s="6">
        <v>2.9345105255E10</v>
      </c>
      <c r="M1611" s="6" t="s">
        <v>11135</v>
      </c>
      <c r="N1611" s="6" t="s">
        <v>427</v>
      </c>
      <c r="O1611" s="6" t="s">
        <v>161</v>
      </c>
      <c r="P1611" s="10">
        <v>46034.0</v>
      </c>
    </row>
    <row r="1612" ht="22.5" customHeight="1">
      <c r="A1612" s="6" t="s">
        <v>11136</v>
      </c>
      <c r="B1612" s="6" t="s">
        <v>11137</v>
      </c>
      <c r="C1612" s="6" t="s">
        <v>11138</v>
      </c>
      <c r="D1612" s="6" t="s">
        <v>145</v>
      </c>
      <c r="E1612" s="6" t="s">
        <v>147</v>
      </c>
      <c r="F1612" s="8">
        <v>17.0</v>
      </c>
      <c r="G1612" s="9">
        <v>304.79</v>
      </c>
      <c r="H1612" s="9">
        <v>1177.05</v>
      </c>
      <c r="I1612" s="6" t="s">
        <v>161</v>
      </c>
      <c r="J1612" s="6" t="s">
        <v>357</v>
      </c>
      <c r="K1612" s="6" t="s">
        <v>11140</v>
      </c>
      <c r="L1612" s="6" t="s">
        <v>259</v>
      </c>
      <c r="M1612" s="6" t="s">
        <v>11142</v>
      </c>
      <c r="N1612" s="6" t="s">
        <v>176</v>
      </c>
      <c r="O1612" s="6" t="s">
        <v>178</v>
      </c>
      <c r="P1612" s="10">
        <v>46005.0</v>
      </c>
    </row>
    <row r="1613" ht="22.5" customHeight="1">
      <c r="A1613" s="6" t="s">
        <v>11143</v>
      </c>
      <c r="B1613" s="6" t="s">
        <v>11144</v>
      </c>
      <c r="C1613" s="6" t="s">
        <v>11145</v>
      </c>
      <c r="D1613" s="6" t="s">
        <v>206</v>
      </c>
      <c r="E1613" s="6" t="s">
        <v>301</v>
      </c>
      <c r="F1613" s="8">
        <v>49.0</v>
      </c>
      <c r="G1613" s="9">
        <v>1080.3</v>
      </c>
      <c r="H1613" s="9">
        <v>3587.72</v>
      </c>
      <c r="I1613" s="6" t="s">
        <v>161</v>
      </c>
      <c r="J1613" s="6" t="s">
        <v>421</v>
      </c>
      <c r="K1613" s="6" t="s">
        <v>11147</v>
      </c>
      <c r="L1613" s="6">
        <v>6.7233121069E10</v>
      </c>
      <c r="M1613" s="6" t="s">
        <v>11148</v>
      </c>
      <c r="N1613" s="6" t="s">
        <v>259</v>
      </c>
      <c r="O1613" s="6" t="s">
        <v>178</v>
      </c>
      <c r="P1613" s="10">
        <v>46049.0</v>
      </c>
    </row>
    <row r="1614" ht="22.5" customHeight="1">
      <c r="A1614" s="6" t="s">
        <v>11149</v>
      </c>
      <c r="B1614" s="6" t="s">
        <v>11150</v>
      </c>
      <c r="C1614" s="6" t="s">
        <v>11151</v>
      </c>
      <c r="D1614" s="6" t="s">
        <v>206</v>
      </c>
      <c r="E1614" s="6" t="s">
        <v>147</v>
      </c>
      <c r="F1614" s="8">
        <v>16.0</v>
      </c>
      <c r="G1614" s="9">
        <v>1701.64</v>
      </c>
      <c r="H1614" s="9">
        <v>10942.77</v>
      </c>
      <c r="I1614" s="6" t="s">
        <v>161</v>
      </c>
      <c r="J1614" s="6" t="s">
        <v>228</v>
      </c>
      <c r="K1614" s="6" t="s">
        <v>11153</v>
      </c>
      <c r="L1614" s="6">
        <v>3.3340014834E10</v>
      </c>
      <c r="M1614" s="6" t="s">
        <v>11154</v>
      </c>
      <c r="N1614" s="6" t="s">
        <v>176</v>
      </c>
      <c r="O1614" s="6" t="s">
        <v>178</v>
      </c>
      <c r="P1614" s="10">
        <v>45947.0</v>
      </c>
    </row>
    <row r="1615" ht="22.5" customHeight="1">
      <c r="A1615" s="6" t="s">
        <v>11156</v>
      </c>
      <c r="B1615" s="6" t="s">
        <v>11157</v>
      </c>
      <c r="C1615" s="6" t="s">
        <v>11158</v>
      </c>
      <c r="D1615" s="6" t="s">
        <v>145</v>
      </c>
      <c r="E1615" s="6" t="s">
        <v>147</v>
      </c>
      <c r="F1615" s="8">
        <v>28.0</v>
      </c>
      <c r="G1615" s="9">
        <v>885.47</v>
      </c>
      <c r="H1615" s="9">
        <v>13750.45</v>
      </c>
      <c r="I1615" s="6" t="s">
        <v>161</v>
      </c>
      <c r="J1615" s="6" t="s">
        <v>577</v>
      </c>
      <c r="K1615" s="6" t="s">
        <v>11159</v>
      </c>
      <c r="L1615" s="6">
        <v>5.6837562965E10</v>
      </c>
      <c r="M1615" s="6" t="s">
        <v>11161</v>
      </c>
      <c r="N1615" s="6" t="s">
        <v>427</v>
      </c>
      <c r="O1615" s="6" t="s">
        <v>178</v>
      </c>
      <c r="P1615" s="10">
        <v>45968.0</v>
      </c>
    </row>
    <row r="1616" ht="22.5" customHeight="1">
      <c r="A1616" s="6" t="s">
        <v>11162</v>
      </c>
      <c r="B1616" s="6" t="s">
        <v>11163</v>
      </c>
      <c r="C1616" s="6" t="s">
        <v>11164</v>
      </c>
      <c r="D1616" s="6" t="s">
        <v>383</v>
      </c>
      <c r="E1616" s="6" t="s">
        <v>147</v>
      </c>
      <c r="F1616" s="8">
        <v>16.0</v>
      </c>
      <c r="G1616" s="9">
        <v>503.7</v>
      </c>
      <c r="H1616" s="9">
        <v>12682.66</v>
      </c>
      <c r="I1616" s="6" t="s">
        <v>161</v>
      </c>
      <c r="J1616" s="6" t="s">
        <v>442</v>
      </c>
      <c r="K1616" s="6" t="s">
        <v>11165</v>
      </c>
      <c r="L1616" s="6">
        <v>1.3736529921E10</v>
      </c>
      <c r="M1616" s="6" t="s">
        <v>11167</v>
      </c>
      <c r="N1616" s="6" t="s">
        <v>283</v>
      </c>
      <c r="O1616" s="6" t="s">
        <v>178</v>
      </c>
      <c r="P1616" s="10">
        <v>45990.0</v>
      </c>
    </row>
    <row r="1617" ht="22.5" customHeight="1">
      <c r="A1617" s="6" t="s">
        <v>11168</v>
      </c>
      <c r="B1617" s="6" t="s">
        <v>11169</v>
      </c>
      <c r="C1617" s="6" t="s">
        <v>4192</v>
      </c>
      <c r="D1617" s="6" t="s">
        <v>145</v>
      </c>
      <c r="E1617" s="6" t="s">
        <v>301</v>
      </c>
      <c r="F1617" s="8">
        <v>38.0</v>
      </c>
      <c r="G1617" s="9">
        <v>308.04</v>
      </c>
      <c r="H1617" s="9">
        <v>1652.5</v>
      </c>
      <c r="I1617" s="6" t="s">
        <v>161</v>
      </c>
      <c r="J1617" s="6" t="s">
        <v>393</v>
      </c>
      <c r="K1617" s="6" t="s">
        <v>11171</v>
      </c>
      <c r="L1617" s="6" t="s">
        <v>259</v>
      </c>
      <c r="M1617" s="6" t="s">
        <v>11172</v>
      </c>
      <c r="N1617" s="6" t="s">
        <v>283</v>
      </c>
      <c r="O1617" s="6" t="s">
        <v>178</v>
      </c>
      <c r="P1617" s="10">
        <v>45999.0</v>
      </c>
    </row>
    <row r="1618" ht="22.5" customHeight="1">
      <c r="A1618" s="6" t="s">
        <v>11173</v>
      </c>
      <c r="B1618" s="6" t="s">
        <v>11174</v>
      </c>
      <c r="C1618" s="6" t="s">
        <v>11176</v>
      </c>
      <c r="D1618" s="6" t="s">
        <v>206</v>
      </c>
      <c r="E1618" s="6" t="s">
        <v>147</v>
      </c>
      <c r="F1618" s="8">
        <v>10.0</v>
      </c>
      <c r="G1618" s="9">
        <v>1177.17</v>
      </c>
      <c r="H1618" s="9">
        <v>13182.56</v>
      </c>
      <c r="I1618" s="6" t="s">
        <v>161</v>
      </c>
      <c r="J1618" s="6" t="s">
        <v>479</v>
      </c>
      <c r="K1618" s="6" t="s">
        <v>11177</v>
      </c>
      <c r="L1618" s="6">
        <v>8.5546451183E10</v>
      </c>
      <c r="M1618" s="6" t="s">
        <v>11178</v>
      </c>
      <c r="N1618" s="6" t="s">
        <v>283</v>
      </c>
      <c r="O1618" s="6" t="s">
        <v>178</v>
      </c>
      <c r="P1618" s="10">
        <v>46027.0</v>
      </c>
    </row>
    <row r="1619" ht="22.5" customHeight="1">
      <c r="A1619" s="6" t="s">
        <v>11180</v>
      </c>
      <c r="B1619" s="6" t="s">
        <v>11181</v>
      </c>
      <c r="C1619" s="6" t="s">
        <v>11182</v>
      </c>
      <c r="D1619" s="6" t="s">
        <v>206</v>
      </c>
      <c r="E1619" s="6" t="s">
        <v>301</v>
      </c>
      <c r="F1619" s="8">
        <v>40.0</v>
      </c>
      <c r="G1619" s="9">
        <v>1205.02</v>
      </c>
      <c r="H1619" s="9">
        <v>13415.99</v>
      </c>
      <c r="I1619" s="6" t="s">
        <v>161</v>
      </c>
      <c r="J1619" s="6" t="s">
        <v>465</v>
      </c>
      <c r="K1619" s="6" t="s">
        <v>11184</v>
      </c>
      <c r="L1619" s="6" t="s">
        <v>259</v>
      </c>
      <c r="M1619" s="6" t="s">
        <v>11185</v>
      </c>
      <c r="N1619" s="6" t="s">
        <v>259</v>
      </c>
      <c r="O1619" s="6" t="s">
        <v>178</v>
      </c>
      <c r="P1619" s="10">
        <v>45957.0</v>
      </c>
    </row>
    <row r="1620" ht="22.5" customHeight="1">
      <c r="A1620" s="6" t="s">
        <v>11186</v>
      </c>
      <c r="B1620" s="6" t="s">
        <v>11187</v>
      </c>
      <c r="C1620" s="6" t="s">
        <v>11188</v>
      </c>
      <c r="D1620" s="6" t="s">
        <v>206</v>
      </c>
      <c r="E1620" s="6" t="s">
        <v>147</v>
      </c>
      <c r="F1620" s="8">
        <v>22.0</v>
      </c>
      <c r="G1620" s="9">
        <v>350.9</v>
      </c>
      <c r="H1620" s="9">
        <v>1746.08</v>
      </c>
      <c r="I1620" s="6" t="s">
        <v>161</v>
      </c>
      <c r="J1620" s="6" t="s">
        <v>357</v>
      </c>
      <c r="K1620" s="6" t="s">
        <v>11190</v>
      </c>
      <c r="L1620" s="6">
        <v>4.8875919411E10</v>
      </c>
      <c r="M1620" s="6" t="s">
        <v>11191</v>
      </c>
      <c r="N1620" s="6" t="s">
        <v>427</v>
      </c>
      <c r="O1620" s="6" t="s">
        <v>178</v>
      </c>
      <c r="P1620" s="10">
        <v>45998.0</v>
      </c>
    </row>
    <row r="1621" ht="22.5" customHeight="1">
      <c r="A1621" s="6" t="s">
        <v>11193</v>
      </c>
      <c r="B1621" s="6" t="s">
        <v>11194</v>
      </c>
      <c r="C1621" s="6" t="s">
        <v>11195</v>
      </c>
      <c r="D1621" s="6" t="s">
        <v>145</v>
      </c>
      <c r="E1621" s="6" t="s">
        <v>147</v>
      </c>
      <c r="F1621" s="8">
        <v>27.0</v>
      </c>
      <c r="G1621" s="9">
        <v>538.28</v>
      </c>
      <c r="H1621" s="9">
        <v>3183.31</v>
      </c>
      <c r="I1621" s="6" t="s">
        <v>161</v>
      </c>
      <c r="J1621" s="6" t="s">
        <v>465</v>
      </c>
      <c r="K1621" s="6" t="s">
        <v>11196</v>
      </c>
      <c r="L1621" s="6">
        <v>8.650277532E9</v>
      </c>
      <c r="M1621" s="6" t="s">
        <v>11198</v>
      </c>
      <c r="N1621" s="6" t="s">
        <v>112</v>
      </c>
      <c r="O1621" s="6" t="s">
        <v>178</v>
      </c>
      <c r="P1621" s="10">
        <v>45999.0</v>
      </c>
    </row>
    <row r="1622" ht="22.5" customHeight="1">
      <c r="A1622" s="6" t="s">
        <v>11199</v>
      </c>
      <c r="B1622" s="6" t="s">
        <v>11200</v>
      </c>
      <c r="C1622" s="6" t="s">
        <v>11201</v>
      </c>
      <c r="D1622" s="6" t="s">
        <v>145</v>
      </c>
      <c r="E1622" s="6" t="s">
        <v>301</v>
      </c>
      <c r="F1622" s="8">
        <v>42.0</v>
      </c>
      <c r="G1622" s="9">
        <v>1598.4</v>
      </c>
      <c r="H1622" s="9">
        <v>3310.31</v>
      </c>
      <c r="I1622" s="6" t="s">
        <v>161</v>
      </c>
      <c r="J1622" s="6" t="s">
        <v>479</v>
      </c>
      <c r="K1622" s="6" t="s">
        <v>11203</v>
      </c>
      <c r="L1622" s="6">
        <v>1.7274357577E10</v>
      </c>
      <c r="M1622" s="6" t="s">
        <v>11204</v>
      </c>
      <c r="N1622" s="6" t="s">
        <v>259</v>
      </c>
      <c r="O1622" s="6" t="s">
        <v>178</v>
      </c>
      <c r="P1622" s="10">
        <v>46021.0</v>
      </c>
    </row>
    <row r="1623" ht="22.5" customHeight="1">
      <c r="A1623" s="6" t="s">
        <v>11206</v>
      </c>
      <c r="B1623" s="6" t="s">
        <v>11207</v>
      </c>
      <c r="C1623" s="6" t="s">
        <v>11208</v>
      </c>
      <c r="D1623" s="6" t="s">
        <v>206</v>
      </c>
      <c r="E1623" s="6" t="s">
        <v>210</v>
      </c>
      <c r="F1623" s="8">
        <v>67.0</v>
      </c>
      <c r="G1623" s="9">
        <v>498.11</v>
      </c>
      <c r="H1623" s="9">
        <v>6428.1</v>
      </c>
      <c r="I1623" s="6" t="s">
        <v>178</v>
      </c>
      <c r="J1623" s="6" t="s">
        <v>577</v>
      </c>
      <c r="K1623" s="6" t="s">
        <v>11210</v>
      </c>
      <c r="L1623" s="6">
        <v>5.1557262043E10</v>
      </c>
      <c r="M1623" s="6" t="s">
        <v>11211</v>
      </c>
      <c r="N1623" s="6" t="s">
        <v>176</v>
      </c>
      <c r="O1623" s="6" t="s">
        <v>161</v>
      </c>
      <c r="P1623" s="10">
        <v>45938.0</v>
      </c>
    </row>
    <row r="1624" ht="22.5" customHeight="1">
      <c r="A1624" s="6" t="s">
        <v>11212</v>
      </c>
      <c r="B1624" s="6" t="s">
        <v>11213</v>
      </c>
      <c r="C1624" s="6" t="s">
        <v>11214</v>
      </c>
      <c r="D1624" s="6" t="s">
        <v>145</v>
      </c>
      <c r="E1624" s="6" t="s">
        <v>301</v>
      </c>
      <c r="F1624" s="8">
        <v>57.0</v>
      </c>
      <c r="G1624" s="9">
        <v>1750.86</v>
      </c>
      <c r="H1624" s="9">
        <v>2509.99</v>
      </c>
      <c r="I1624" s="6" t="s">
        <v>161</v>
      </c>
      <c r="J1624" s="6" t="s">
        <v>465</v>
      </c>
      <c r="K1624" s="6" t="s">
        <v>11216</v>
      </c>
      <c r="L1624" s="6">
        <v>7.5524230098E10</v>
      </c>
      <c r="M1624" s="6" t="s">
        <v>11217</v>
      </c>
      <c r="N1624" s="6" t="s">
        <v>427</v>
      </c>
      <c r="O1624" s="6" t="s">
        <v>178</v>
      </c>
      <c r="P1624" s="10">
        <v>45984.0</v>
      </c>
    </row>
    <row r="1625" ht="22.5" customHeight="1">
      <c r="A1625" s="6" t="s">
        <v>11219</v>
      </c>
      <c r="B1625" s="6" t="s">
        <v>11220</v>
      </c>
      <c r="C1625" s="6" t="s">
        <v>11221</v>
      </c>
      <c r="D1625" s="6" t="s">
        <v>145</v>
      </c>
      <c r="E1625" s="6" t="s">
        <v>301</v>
      </c>
      <c r="F1625" s="8">
        <v>41.0</v>
      </c>
      <c r="G1625" s="9">
        <v>1635.88</v>
      </c>
      <c r="H1625" s="9">
        <v>12521.26</v>
      </c>
      <c r="I1625" s="6" t="s">
        <v>161</v>
      </c>
      <c r="J1625" s="6" t="s">
        <v>421</v>
      </c>
      <c r="K1625" s="6" t="s">
        <v>259</v>
      </c>
      <c r="L1625" s="6">
        <v>3.4239137404E10</v>
      </c>
      <c r="M1625" s="6" t="s">
        <v>11222</v>
      </c>
      <c r="N1625" s="6" t="s">
        <v>259</v>
      </c>
      <c r="O1625" s="6" t="s">
        <v>178</v>
      </c>
      <c r="P1625" s="10">
        <v>46001.0</v>
      </c>
    </row>
    <row r="1626" ht="22.5" customHeight="1">
      <c r="A1626" s="6" t="s">
        <v>11224</v>
      </c>
      <c r="B1626" s="6" t="s">
        <v>11225</v>
      </c>
      <c r="C1626" s="6" t="s">
        <v>11226</v>
      </c>
      <c r="D1626" s="6" t="s">
        <v>383</v>
      </c>
      <c r="E1626" s="6" t="s">
        <v>147</v>
      </c>
      <c r="F1626" s="8">
        <v>23.0</v>
      </c>
      <c r="G1626" s="9">
        <v>390.56</v>
      </c>
      <c r="H1626" s="9">
        <v>12927.51</v>
      </c>
      <c r="I1626" s="6" t="s">
        <v>161</v>
      </c>
      <c r="J1626" s="6" t="s">
        <v>228</v>
      </c>
      <c r="K1626" s="6" t="s">
        <v>11228</v>
      </c>
      <c r="L1626" s="6">
        <v>1.6956185744E10</v>
      </c>
      <c r="M1626" s="6" t="s">
        <v>11229</v>
      </c>
      <c r="N1626" s="6" t="s">
        <v>283</v>
      </c>
      <c r="O1626" s="6" t="s">
        <v>178</v>
      </c>
      <c r="P1626" s="10">
        <v>45970.0</v>
      </c>
    </row>
    <row r="1627" ht="22.5" customHeight="1">
      <c r="A1627" s="6" t="s">
        <v>11230</v>
      </c>
      <c r="B1627" s="6" t="s">
        <v>11231</v>
      </c>
      <c r="C1627" s="6" t="s">
        <v>11232</v>
      </c>
      <c r="D1627" s="6" t="s">
        <v>206</v>
      </c>
      <c r="E1627" s="6" t="s">
        <v>147</v>
      </c>
      <c r="F1627" s="8">
        <v>7.0</v>
      </c>
      <c r="G1627" s="9">
        <v>1671.43</v>
      </c>
      <c r="H1627" s="9">
        <v>10418.09</v>
      </c>
      <c r="I1627" s="6" t="s">
        <v>161</v>
      </c>
      <c r="J1627" s="6" t="s">
        <v>465</v>
      </c>
      <c r="K1627" s="6" t="s">
        <v>11234</v>
      </c>
      <c r="L1627" s="6">
        <v>3.8677251915E10</v>
      </c>
      <c r="M1627" s="6" t="s">
        <v>11235</v>
      </c>
      <c r="N1627" s="6" t="s">
        <v>259</v>
      </c>
      <c r="O1627" s="6" t="s">
        <v>178</v>
      </c>
      <c r="P1627" s="10">
        <v>45935.0</v>
      </c>
    </row>
    <row r="1628" ht="22.5" customHeight="1">
      <c r="A1628" s="6" t="s">
        <v>11236</v>
      </c>
      <c r="B1628" s="6" t="s">
        <v>11238</v>
      </c>
      <c r="C1628" s="6" t="s">
        <v>11239</v>
      </c>
      <c r="D1628" s="6" t="s">
        <v>206</v>
      </c>
      <c r="E1628" s="6" t="s">
        <v>147</v>
      </c>
      <c r="F1628" s="8">
        <v>11.0</v>
      </c>
      <c r="G1628" s="9">
        <v>215.48</v>
      </c>
      <c r="H1628" s="9">
        <v>10865.9</v>
      </c>
      <c r="I1628" s="6" t="s">
        <v>161</v>
      </c>
      <c r="J1628" s="6" t="s">
        <v>393</v>
      </c>
      <c r="K1628" s="6" t="s">
        <v>11240</v>
      </c>
      <c r="L1628" s="6">
        <v>9.711898338E10</v>
      </c>
      <c r="M1628" s="6" t="s">
        <v>11242</v>
      </c>
      <c r="N1628" s="6" t="s">
        <v>427</v>
      </c>
      <c r="O1628" s="6" t="s">
        <v>178</v>
      </c>
      <c r="P1628" s="10">
        <v>46048.0</v>
      </c>
    </row>
    <row r="1629" ht="22.5" customHeight="1">
      <c r="A1629" s="6" t="s">
        <v>11243</v>
      </c>
      <c r="B1629" s="6" t="s">
        <v>11244</v>
      </c>
      <c r="C1629" s="6" t="s">
        <v>11245</v>
      </c>
      <c r="D1629" s="6" t="s">
        <v>145</v>
      </c>
      <c r="E1629" s="6" t="s">
        <v>301</v>
      </c>
      <c r="F1629" s="8">
        <v>56.0</v>
      </c>
      <c r="G1629" s="9">
        <v>1754.82</v>
      </c>
      <c r="H1629" s="9">
        <v>13101.3</v>
      </c>
      <c r="I1629" s="6" t="s">
        <v>161</v>
      </c>
      <c r="J1629" s="6" t="s">
        <v>393</v>
      </c>
      <c r="K1629" s="6" t="s">
        <v>11247</v>
      </c>
      <c r="L1629" s="6">
        <v>4.4865332559E10</v>
      </c>
      <c r="M1629" s="6" t="s">
        <v>11248</v>
      </c>
      <c r="N1629" s="6" t="s">
        <v>176</v>
      </c>
      <c r="O1629" s="6" t="s">
        <v>178</v>
      </c>
      <c r="P1629" s="10">
        <v>45971.0</v>
      </c>
    </row>
    <row r="1630" ht="22.5" customHeight="1">
      <c r="A1630" s="6" t="s">
        <v>11250</v>
      </c>
      <c r="B1630" s="6" t="s">
        <v>11251</v>
      </c>
      <c r="C1630" s="6" t="s">
        <v>11252</v>
      </c>
      <c r="D1630" s="6" t="s">
        <v>383</v>
      </c>
      <c r="E1630" s="6" t="s">
        <v>147</v>
      </c>
      <c r="F1630" s="8">
        <v>29.0</v>
      </c>
      <c r="G1630" s="9">
        <v>918.95</v>
      </c>
      <c r="H1630" s="9">
        <v>13314.06</v>
      </c>
      <c r="I1630" s="6" t="s">
        <v>161</v>
      </c>
      <c r="J1630" s="6" t="s">
        <v>357</v>
      </c>
      <c r="K1630" s="6" t="s">
        <v>11253</v>
      </c>
      <c r="L1630" s="6" t="s">
        <v>259</v>
      </c>
      <c r="M1630" s="6" t="s">
        <v>11254</v>
      </c>
      <c r="N1630" s="6" t="s">
        <v>112</v>
      </c>
      <c r="O1630" s="6" t="s">
        <v>178</v>
      </c>
      <c r="P1630" s="10">
        <v>46046.0</v>
      </c>
    </row>
    <row r="1631" ht="22.5" customHeight="1">
      <c r="A1631" s="6" t="s">
        <v>11256</v>
      </c>
      <c r="B1631" s="6" t="s">
        <v>11257</v>
      </c>
      <c r="C1631" s="6" t="s">
        <v>11258</v>
      </c>
      <c r="D1631" s="6" t="s">
        <v>206</v>
      </c>
      <c r="E1631" s="6" t="s">
        <v>147</v>
      </c>
      <c r="F1631" s="8">
        <v>25.0</v>
      </c>
      <c r="G1631" s="9">
        <v>709.78</v>
      </c>
      <c r="H1631" s="9">
        <v>9359.59</v>
      </c>
      <c r="I1631" s="6" t="s">
        <v>178</v>
      </c>
      <c r="J1631" s="6" t="s">
        <v>163</v>
      </c>
      <c r="K1631" s="6" t="s">
        <v>11260</v>
      </c>
      <c r="L1631" s="6">
        <v>7.1802445913E10</v>
      </c>
      <c r="M1631" s="6" t="s">
        <v>11261</v>
      </c>
      <c r="N1631" s="6" t="s">
        <v>259</v>
      </c>
      <c r="O1631" s="6" t="s">
        <v>161</v>
      </c>
      <c r="P1631" s="10">
        <v>46003.0</v>
      </c>
    </row>
    <row r="1632" ht="22.5" customHeight="1">
      <c r="A1632" s="6" t="s">
        <v>11262</v>
      </c>
      <c r="B1632" s="6" t="s">
        <v>11263</v>
      </c>
      <c r="C1632" s="6" t="s">
        <v>11265</v>
      </c>
      <c r="D1632" s="6" t="s">
        <v>206</v>
      </c>
      <c r="E1632" s="6" t="s">
        <v>147</v>
      </c>
      <c r="F1632" s="8">
        <v>25.0</v>
      </c>
      <c r="G1632" s="9">
        <v>944.9</v>
      </c>
      <c r="H1632" s="9">
        <v>4710.45</v>
      </c>
      <c r="I1632" s="6" t="s">
        <v>161</v>
      </c>
      <c r="J1632" s="6" t="s">
        <v>163</v>
      </c>
      <c r="K1632" s="6" t="s">
        <v>11267</v>
      </c>
      <c r="L1632" s="6">
        <v>8.6579979294E10</v>
      </c>
      <c r="M1632" s="6" t="s">
        <v>11268</v>
      </c>
      <c r="N1632" s="6" t="s">
        <v>176</v>
      </c>
      <c r="O1632" s="6" t="s">
        <v>178</v>
      </c>
      <c r="P1632" s="10">
        <v>45957.0</v>
      </c>
    </row>
    <row r="1633" ht="22.5" customHeight="1">
      <c r="A1633" s="6" t="s">
        <v>11270</v>
      </c>
      <c r="B1633" s="6" t="s">
        <v>11271</v>
      </c>
      <c r="C1633" s="6" t="s">
        <v>11272</v>
      </c>
      <c r="D1633" s="6" t="s">
        <v>383</v>
      </c>
      <c r="E1633" s="6" t="s">
        <v>210</v>
      </c>
      <c r="F1633" s="8">
        <v>70.0</v>
      </c>
      <c r="G1633" s="9">
        <v>446.38</v>
      </c>
      <c r="H1633" s="9">
        <v>11882.26</v>
      </c>
      <c r="I1633" s="6" t="s">
        <v>161</v>
      </c>
      <c r="J1633" s="6" t="s">
        <v>163</v>
      </c>
      <c r="K1633" s="6" t="s">
        <v>11274</v>
      </c>
      <c r="L1633" s="6">
        <v>4.1668887935E10</v>
      </c>
      <c r="M1633" s="6" t="s">
        <v>11276</v>
      </c>
      <c r="N1633" s="6" t="s">
        <v>427</v>
      </c>
      <c r="O1633" s="6" t="s">
        <v>161</v>
      </c>
      <c r="P1633" s="10">
        <v>46015.0</v>
      </c>
    </row>
    <row r="1634" ht="22.5" customHeight="1">
      <c r="A1634" s="6" t="s">
        <v>11277</v>
      </c>
      <c r="B1634" s="6" t="s">
        <v>11279</v>
      </c>
      <c r="C1634" s="6" t="s">
        <v>11280</v>
      </c>
      <c r="D1634" s="6" t="s">
        <v>383</v>
      </c>
      <c r="E1634" s="6" t="s">
        <v>147</v>
      </c>
      <c r="F1634" s="8">
        <v>8.0</v>
      </c>
      <c r="G1634" s="9">
        <v>1427.11</v>
      </c>
      <c r="H1634" s="9">
        <v>4311.88</v>
      </c>
      <c r="I1634" s="6" t="s">
        <v>161</v>
      </c>
      <c r="J1634" s="6" t="s">
        <v>357</v>
      </c>
      <c r="K1634" s="6" t="s">
        <v>11281</v>
      </c>
      <c r="L1634" s="6">
        <v>9.896483201E10</v>
      </c>
      <c r="M1634" s="6" t="s">
        <v>11283</v>
      </c>
      <c r="N1634" s="6" t="s">
        <v>112</v>
      </c>
      <c r="O1634" s="6" t="s">
        <v>178</v>
      </c>
      <c r="P1634" s="10">
        <v>45972.0</v>
      </c>
    </row>
    <row r="1635" ht="22.5" customHeight="1">
      <c r="A1635" s="6" t="s">
        <v>11284</v>
      </c>
      <c r="B1635" s="6" t="s">
        <v>11285</v>
      </c>
      <c r="C1635" s="6" t="s">
        <v>11286</v>
      </c>
      <c r="D1635" s="6" t="s">
        <v>206</v>
      </c>
      <c r="E1635" s="6" t="s">
        <v>301</v>
      </c>
      <c r="F1635" s="8">
        <v>58.0</v>
      </c>
      <c r="G1635" s="9">
        <v>1657.76</v>
      </c>
      <c r="H1635" s="9">
        <v>10359.34</v>
      </c>
      <c r="I1635" s="6" t="s">
        <v>161</v>
      </c>
      <c r="J1635" s="6" t="s">
        <v>259</v>
      </c>
      <c r="K1635" s="6" t="s">
        <v>11288</v>
      </c>
      <c r="L1635" s="6">
        <v>8.9359756494E10</v>
      </c>
      <c r="M1635" s="6" t="s">
        <v>11289</v>
      </c>
      <c r="N1635" s="6" t="s">
        <v>283</v>
      </c>
      <c r="O1635" s="6" t="s">
        <v>178</v>
      </c>
      <c r="P1635" s="10">
        <v>45988.0</v>
      </c>
    </row>
    <row r="1636" ht="22.5" customHeight="1">
      <c r="A1636" s="6" t="s">
        <v>11290</v>
      </c>
      <c r="B1636" s="6" t="s">
        <v>11292</v>
      </c>
      <c r="C1636" s="6" t="s">
        <v>11293</v>
      </c>
      <c r="D1636" s="6" t="s">
        <v>206</v>
      </c>
      <c r="E1636" s="6" t="s">
        <v>147</v>
      </c>
      <c r="F1636" s="8">
        <v>8.0</v>
      </c>
      <c r="G1636" s="9">
        <v>472.11</v>
      </c>
      <c r="H1636" s="9">
        <v>11360.76</v>
      </c>
      <c r="I1636" s="6" t="s">
        <v>161</v>
      </c>
      <c r="J1636" s="6" t="s">
        <v>357</v>
      </c>
      <c r="K1636" s="6" t="s">
        <v>11294</v>
      </c>
      <c r="L1636" s="6">
        <v>7.7322305826E10</v>
      </c>
      <c r="M1636" s="6" t="s">
        <v>11296</v>
      </c>
      <c r="N1636" s="6" t="s">
        <v>176</v>
      </c>
      <c r="O1636" s="6" t="s">
        <v>178</v>
      </c>
      <c r="P1636" s="10">
        <v>46045.0</v>
      </c>
    </row>
    <row r="1637" ht="22.5" customHeight="1">
      <c r="A1637" s="6" t="s">
        <v>11297</v>
      </c>
      <c r="B1637" s="6" t="s">
        <v>11298</v>
      </c>
      <c r="C1637" s="6" t="s">
        <v>11299</v>
      </c>
      <c r="D1637" s="6" t="s">
        <v>145</v>
      </c>
      <c r="E1637" s="6" t="s">
        <v>147</v>
      </c>
      <c r="F1637" s="8">
        <v>10.0</v>
      </c>
      <c r="G1637" s="9">
        <v>1489.51</v>
      </c>
      <c r="H1637" s="9">
        <v>15361.16</v>
      </c>
      <c r="I1637" s="6" t="s">
        <v>161</v>
      </c>
      <c r="J1637" s="6" t="s">
        <v>228</v>
      </c>
      <c r="K1637" s="6" t="s">
        <v>11301</v>
      </c>
      <c r="L1637" s="6">
        <v>5.8919965998E10</v>
      </c>
      <c r="M1637" s="6" t="s">
        <v>11302</v>
      </c>
      <c r="N1637" s="6" t="s">
        <v>259</v>
      </c>
      <c r="O1637" s="6" t="s">
        <v>178</v>
      </c>
      <c r="P1637" s="10">
        <v>45936.0</v>
      </c>
    </row>
    <row r="1638" ht="22.5" customHeight="1">
      <c r="A1638" s="6" t="s">
        <v>11303</v>
      </c>
      <c r="B1638" s="6" t="s">
        <v>11305</v>
      </c>
      <c r="C1638" s="6" t="s">
        <v>11306</v>
      </c>
      <c r="D1638" s="6" t="s">
        <v>383</v>
      </c>
      <c r="E1638" s="6" t="s">
        <v>147</v>
      </c>
      <c r="F1638" s="8">
        <v>18.0</v>
      </c>
      <c r="G1638" s="9">
        <v>919.08</v>
      </c>
      <c r="H1638" s="9">
        <v>5876.42</v>
      </c>
      <c r="I1638" s="6" t="s">
        <v>161</v>
      </c>
      <c r="J1638" s="6" t="s">
        <v>312</v>
      </c>
      <c r="K1638" s="6" t="s">
        <v>11307</v>
      </c>
      <c r="L1638" s="6">
        <v>4.6847052072E10</v>
      </c>
      <c r="M1638" s="6" t="s">
        <v>11308</v>
      </c>
      <c r="N1638" s="6" t="s">
        <v>259</v>
      </c>
      <c r="O1638" s="6" t="s">
        <v>178</v>
      </c>
      <c r="P1638" s="10">
        <v>45988.0</v>
      </c>
    </row>
    <row r="1639" ht="22.5" customHeight="1">
      <c r="A1639" s="6" t="s">
        <v>11310</v>
      </c>
      <c r="B1639" s="6" t="s">
        <v>11311</v>
      </c>
      <c r="C1639" s="6" t="s">
        <v>11312</v>
      </c>
      <c r="D1639" s="6" t="s">
        <v>206</v>
      </c>
      <c r="E1639" s="6" t="s">
        <v>301</v>
      </c>
      <c r="F1639" s="8">
        <v>53.0</v>
      </c>
      <c r="G1639" s="9">
        <v>185.51</v>
      </c>
      <c r="H1639" s="9">
        <v>12462.59</v>
      </c>
      <c r="I1639" s="6" t="s">
        <v>161</v>
      </c>
      <c r="J1639" s="6" t="s">
        <v>577</v>
      </c>
      <c r="K1639" s="6" t="s">
        <v>11314</v>
      </c>
      <c r="L1639" s="6">
        <v>7.9821057619E10</v>
      </c>
      <c r="M1639" s="6" t="s">
        <v>11315</v>
      </c>
      <c r="N1639" s="6" t="s">
        <v>176</v>
      </c>
      <c r="O1639" s="6" t="s">
        <v>178</v>
      </c>
      <c r="P1639" s="10">
        <v>45931.0</v>
      </c>
    </row>
    <row r="1640" ht="22.5" customHeight="1">
      <c r="A1640" s="6" t="s">
        <v>11317</v>
      </c>
      <c r="B1640" s="6" t="s">
        <v>11318</v>
      </c>
      <c r="C1640" s="6" t="s">
        <v>11319</v>
      </c>
      <c r="D1640" s="6" t="s">
        <v>145</v>
      </c>
      <c r="E1640" s="6" t="s">
        <v>147</v>
      </c>
      <c r="F1640" s="8">
        <v>19.0</v>
      </c>
      <c r="G1640" s="9">
        <v>1084.61</v>
      </c>
      <c r="H1640" s="9">
        <v>6256.83</v>
      </c>
      <c r="I1640" s="6" t="s">
        <v>161</v>
      </c>
      <c r="J1640" s="6" t="s">
        <v>228</v>
      </c>
      <c r="K1640" s="6" t="s">
        <v>11321</v>
      </c>
      <c r="L1640" s="6">
        <v>5.1618379361E10</v>
      </c>
      <c r="M1640" s="6" t="s">
        <v>11322</v>
      </c>
      <c r="N1640" s="6" t="s">
        <v>259</v>
      </c>
      <c r="O1640" s="6" t="s">
        <v>178</v>
      </c>
      <c r="P1640" s="10">
        <v>46034.0</v>
      </c>
    </row>
    <row r="1641" ht="22.5" customHeight="1">
      <c r="A1641" s="6" t="s">
        <v>11324</v>
      </c>
      <c r="B1641" s="6" t="s">
        <v>11325</v>
      </c>
      <c r="C1641" s="6" t="s">
        <v>11326</v>
      </c>
      <c r="D1641" s="6" t="s">
        <v>383</v>
      </c>
      <c r="E1641" s="6" t="s">
        <v>301</v>
      </c>
      <c r="F1641" s="8">
        <v>46.0</v>
      </c>
      <c r="G1641" s="9">
        <v>347.92</v>
      </c>
      <c r="H1641" s="9">
        <v>10604.38</v>
      </c>
      <c r="I1641" s="6" t="s">
        <v>161</v>
      </c>
      <c r="J1641" s="6" t="s">
        <v>421</v>
      </c>
      <c r="K1641" s="6" t="s">
        <v>11328</v>
      </c>
      <c r="L1641" s="6" t="s">
        <v>259</v>
      </c>
      <c r="M1641" s="6" t="s">
        <v>11329</v>
      </c>
      <c r="N1641" s="6" t="s">
        <v>176</v>
      </c>
      <c r="O1641" s="6" t="s">
        <v>178</v>
      </c>
      <c r="P1641" s="10">
        <v>45963.0</v>
      </c>
    </row>
    <row r="1642" ht="22.5" customHeight="1">
      <c r="A1642" s="6" t="s">
        <v>11330</v>
      </c>
      <c r="B1642" s="6" t="s">
        <v>11331</v>
      </c>
      <c r="C1642" s="6" t="s">
        <v>11333</v>
      </c>
      <c r="D1642" s="6" t="s">
        <v>145</v>
      </c>
      <c r="E1642" s="6" t="s">
        <v>147</v>
      </c>
      <c r="F1642" s="8">
        <v>23.0</v>
      </c>
      <c r="G1642" s="9">
        <v>1341.69</v>
      </c>
      <c r="H1642" s="9">
        <v>12690.52</v>
      </c>
      <c r="I1642" s="6" t="s">
        <v>178</v>
      </c>
      <c r="J1642" s="6" t="s">
        <v>259</v>
      </c>
      <c r="K1642" s="6" t="s">
        <v>11334</v>
      </c>
      <c r="L1642" s="6">
        <v>4.6187180264E10</v>
      </c>
      <c r="M1642" s="6" t="s">
        <v>11335</v>
      </c>
      <c r="N1642" s="6" t="s">
        <v>112</v>
      </c>
      <c r="O1642" s="6" t="s">
        <v>161</v>
      </c>
      <c r="P1642" s="10">
        <v>45983.0</v>
      </c>
    </row>
    <row r="1643" ht="22.5" customHeight="1">
      <c r="A1643" s="6" t="s">
        <v>11337</v>
      </c>
      <c r="B1643" s="6" t="s">
        <v>11338</v>
      </c>
      <c r="C1643" s="6" t="s">
        <v>11339</v>
      </c>
      <c r="D1643" s="6" t="s">
        <v>145</v>
      </c>
      <c r="E1643" s="6" t="s">
        <v>147</v>
      </c>
      <c r="F1643" s="8">
        <v>13.0</v>
      </c>
      <c r="G1643" s="9">
        <v>508.57</v>
      </c>
      <c r="H1643" s="9">
        <v>7526.22</v>
      </c>
      <c r="I1643" s="6" t="s">
        <v>178</v>
      </c>
      <c r="J1643" s="6" t="s">
        <v>163</v>
      </c>
      <c r="K1643" s="6" t="s">
        <v>11341</v>
      </c>
      <c r="L1643" s="6">
        <v>3.1321547065E10</v>
      </c>
      <c r="M1643" s="6" t="s">
        <v>11342</v>
      </c>
      <c r="N1643" s="6" t="s">
        <v>259</v>
      </c>
      <c r="O1643" s="6" t="s">
        <v>161</v>
      </c>
      <c r="P1643" s="10">
        <v>45987.0</v>
      </c>
    </row>
    <row r="1644" ht="22.5" customHeight="1">
      <c r="A1644" s="6" t="s">
        <v>11343</v>
      </c>
      <c r="B1644" s="6" t="s">
        <v>11344</v>
      </c>
      <c r="C1644" s="6" t="s">
        <v>11346</v>
      </c>
      <c r="D1644" s="6" t="s">
        <v>145</v>
      </c>
      <c r="E1644" s="6" t="s">
        <v>147</v>
      </c>
      <c r="F1644" s="8">
        <v>28.0</v>
      </c>
      <c r="G1644" s="9">
        <v>1224.69</v>
      </c>
      <c r="H1644" s="9">
        <v>4724.7</v>
      </c>
      <c r="I1644" s="6" t="s">
        <v>161</v>
      </c>
      <c r="J1644" s="6" t="s">
        <v>465</v>
      </c>
      <c r="K1644" s="6" t="s">
        <v>11347</v>
      </c>
      <c r="L1644" s="6">
        <v>5.8255193351E10</v>
      </c>
      <c r="M1644" s="6" t="s">
        <v>11348</v>
      </c>
      <c r="N1644" s="6" t="s">
        <v>112</v>
      </c>
      <c r="O1644" s="6" t="s">
        <v>178</v>
      </c>
      <c r="P1644" s="10">
        <v>46043.0</v>
      </c>
    </row>
    <row r="1645" ht="22.5" customHeight="1">
      <c r="A1645" s="6" t="s">
        <v>11350</v>
      </c>
      <c r="B1645" s="6" t="s">
        <v>11351</v>
      </c>
      <c r="C1645" s="6" t="s">
        <v>11352</v>
      </c>
      <c r="D1645" s="6" t="s">
        <v>145</v>
      </c>
      <c r="E1645" s="6" t="s">
        <v>301</v>
      </c>
      <c r="F1645" s="8">
        <v>38.0</v>
      </c>
      <c r="G1645" s="9">
        <v>1055.07</v>
      </c>
      <c r="H1645" s="9">
        <v>1473.23</v>
      </c>
      <c r="I1645" s="6" t="s">
        <v>161</v>
      </c>
      <c r="J1645" s="6" t="s">
        <v>312</v>
      </c>
      <c r="K1645" s="6" t="s">
        <v>11355</v>
      </c>
      <c r="L1645" s="6">
        <v>5.31819886E9</v>
      </c>
      <c r="M1645" s="6" t="s">
        <v>11356</v>
      </c>
      <c r="N1645" s="6" t="s">
        <v>283</v>
      </c>
      <c r="O1645" s="6" t="s">
        <v>178</v>
      </c>
      <c r="P1645" s="10">
        <v>45954.0</v>
      </c>
    </row>
    <row r="1646" ht="22.5" customHeight="1">
      <c r="A1646" s="6" t="s">
        <v>11358</v>
      </c>
      <c r="B1646" s="6" t="s">
        <v>11359</v>
      </c>
      <c r="C1646" s="6" t="s">
        <v>11360</v>
      </c>
      <c r="D1646" s="6" t="s">
        <v>206</v>
      </c>
      <c r="E1646" s="6" t="s">
        <v>301</v>
      </c>
      <c r="F1646" s="8">
        <v>42.0</v>
      </c>
      <c r="G1646" s="9">
        <v>432.39</v>
      </c>
      <c r="H1646" s="9">
        <v>9464.04</v>
      </c>
      <c r="I1646" s="6" t="s">
        <v>161</v>
      </c>
      <c r="J1646" s="6" t="s">
        <v>228</v>
      </c>
      <c r="K1646" s="6" t="s">
        <v>11362</v>
      </c>
      <c r="L1646" s="6" t="s">
        <v>259</v>
      </c>
      <c r="M1646" s="6" t="s">
        <v>11363</v>
      </c>
      <c r="N1646" s="6" t="s">
        <v>427</v>
      </c>
      <c r="O1646" s="6" t="s">
        <v>178</v>
      </c>
      <c r="P1646" s="10">
        <v>45964.0</v>
      </c>
    </row>
    <row r="1647" ht="22.5" customHeight="1">
      <c r="A1647" s="6" t="s">
        <v>11365</v>
      </c>
      <c r="B1647" s="6" t="s">
        <v>11366</v>
      </c>
      <c r="C1647" s="6" t="s">
        <v>11368</v>
      </c>
      <c r="D1647" s="6" t="s">
        <v>206</v>
      </c>
      <c r="E1647" s="6" t="s">
        <v>147</v>
      </c>
      <c r="F1647" s="8">
        <v>11.0</v>
      </c>
      <c r="G1647" s="9">
        <v>298.85</v>
      </c>
      <c r="H1647" s="9">
        <v>12815.65</v>
      </c>
      <c r="I1647" s="6" t="s">
        <v>161</v>
      </c>
      <c r="J1647" s="6" t="s">
        <v>479</v>
      </c>
      <c r="K1647" s="6" t="s">
        <v>11369</v>
      </c>
      <c r="L1647" s="6">
        <v>9.4159377905E10</v>
      </c>
      <c r="M1647" s="6" t="s">
        <v>11370</v>
      </c>
      <c r="N1647" s="6" t="s">
        <v>176</v>
      </c>
      <c r="O1647" s="6" t="s">
        <v>178</v>
      </c>
      <c r="P1647" s="10">
        <v>45951.0</v>
      </c>
    </row>
    <row r="1648" ht="22.5" customHeight="1">
      <c r="A1648" s="6" t="s">
        <v>11372</v>
      </c>
      <c r="B1648" s="6" t="s">
        <v>11373</v>
      </c>
      <c r="C1648" s="6" t="s">
        <v>11374</v>
      </c>
      <c r="D1648" s="6" t="s">
        <v>145</v>
      </c>
      <c r="E1648" s="6" t="s">
        <v>301</v>
      </c>
      <c r="F1648" s="8">
        <v>30.0</v>
      </c>
      <c r="G1648" s="9">
        <v>138.15</v>
      </c>
      <c r="H1648" s="9">
        <v>7842.89</v>
      </c>
      <c r="I1648" s="6" t="s">
        <v>161</v>
      </c>
      <c r="J1648" s="6" t="s">
        <v>393</v>
      </c>
      <c r="K1648" s="6" t="s">
        <v>11376</v>
      </c>
      <c r="L1648" s="6">
        <v>3.014300571E10</v>
      </c>
      <c r="M1648" s="6" t="s">
        <v>11377</v>
      </c>
      <c r="N1648" s="6" t="s">
        <v>176</v>
      </c>
      <c r="O1648" s="6" t="s">
        <v>178</v>
      </c>
      <c r="P1648" s="10">
        <v>46024.0</v>
      </c>
    </row>
    <row r="1649" ht="22.5" customHeight="1">
      <c r="A1649" s="6" t="s">
        <v>11379</v>
      </c>
      <c r="B1649" s="6" t="s">
        <v>11380</v>
      </c>
      <c r="C1649" s="6" t="s">
        <v>11381</v>
      </c>
      <c r="D1649" s="6" t="s">
        <v>145</v>
      </c>
      <c r="E1649" s="6" t="s">
        <v>147</v>
      </c>
      <c r="F1649" s="8">
        <v>21.0</v>
      </c>
      <c r="G1649" s="9">
        <v>549.55</v>
      </c>
      <c r="H1649" s="9">
        <v>7672.73</v>
      </c>
      <c r="I1649" s="6" t="s">
        <v>161</v>
      </c>
      <c r="J1649" s="6" t="s">
        <v>228</v>
      </c>
      <c r="K1649" s="6" t="s">
        <v>11383</v>
      </c>
      <c r="L1649" s="6">
        <v>6.1963612342E10</v>
      </c>
      <c r="M1649" s="6" t="s">
        <v>11384</v>
      </c>
      <c r="N1649" s="6" t="s">
        <v>176</v>
      </c>
      <c r="O1649" s="6" t="s">
        <v>178</v>
      </c>
      <c r="P1649" s="10">
        <v>45963.0</v>
      </c>
    </row>
    <row r="1650" ht="22.5" customHeight="1">
      <c r="A1650" s="6" t="s">
        <v>11386</v>
      </c>
      <c r="B1650" s="6" t="s">
        <v>11387</v>
      </c>
      <c r="C1650" s="6" t="s">
        <v>11389</v>
      </c>
      <c r="D1650" s="6" t="s">
        <v>145</v>
      </c>
      <c r="E1650" s="6" t="s">
        <v>301</v>
      </c>
      <c r="F1650" s="8">
        <v>52.0</v>
      </c>
      <c r="G1650" s="9">
        <v>432.79</v>
      </c>
      <c r="H1650" s="9">
        <v>2370.94</v>
      </c>
      <c r="I1650" s="6" t="s">
        <v>161</v>
      </c>
      <c r="J1650" s="6" t="s">
        <v>357</v>
      </c>
      <c r="K1650" s="6" t="s">
        <v>11390</v>
      </c>
      <c r="L1650" s="6">
        <v>2.7383462029E10</v>
      </c>
      <c r="M1650" s="6" t="s">
        <v>11392</v>
      </c>
      <c r="N1650" s="6" t="s">
        <v>427</v>
      </c>
      <c r="O1650" s="6" t="s">
        <v>178</v>
      </c>
      <c r="P1650" s="10">
        <v>45981.0</v>
      </c>
    </row>
    <row r="1651" ht="22.5" customHeight="1">
      <c r="A1651" s="6" t="s">
        <v>11393</v>
      </c>
      <c r="B1651" s="6" t="s">
        <v>11395</v>
      </c>
      <c r="C1651" s="6" t="s">
        <v>11396</v>
      </c>
      <c r="D1651" s="6" t="s">
        <v>383</v>
      </c>
      <c r="E1651" s="6" t="s">
        <v>147</v>
      </c>
      <c r="F1651" s="8">
        <v>10.0</v>
      </c>
      <c r="G1651" s="9">
        <v>468.29</v>
      </c>
      <c r="H1651" s="9">
        <v>10194.75</v>
      </c>
      <c r="I1651" s="6" t="s">
        <v>161</v>
      </c>
      <c r="J1651" s="6" t="s">
        <v>442</v>
      </c>
      <c r="K1651" s="6" t="s">
        <v>11398</v>
      </c>
      <c r="L1651" s="6">
        <v>9.1031845623E10</v>
      </c>
      <c r="M1651" s="6" t="s">
        <v>11399</v>
      </c>
      <c r="N1651" s="6" t="s">
        <v>176</v>
      </c>
      <c r="O1651" s="6" t="s">
        <v>178</v>
      </c>
      <c r="P1651" s="10">
        <v>45994.0</v>
      </c>
    </row>
    <row r="1652" ht="22.5" customHeight="1">
      <c r="A1652" s="6" t="s">
        <v>11401</v>
      </c>
      <c r="B1652" s="6" t="s">
        <v>11402</v>
      </c>
      <c r="C1652" s="6" t="s">
        <v>11403</v>
      </c>
      <c r="D1652" s="6" t="s">
        <v>145</v>
      </c>
      <c r="E1652" s="6" t="s">
        <v>301</v>
      </c>
      <c r="F1652" s="8">
        <v>49.0</v>
      </c>
      <c r="G1652" s="9">
        <v>1086.73</v>
      </c>
      <c r="H1652" s="9">
        <v>9508.8</v>
      </c>
      <c r="I1652" s="6" t="s">
        <v>161</v>
      </c>
      <c r="J1652" s="6" t="s">
        <v>577</v>
      </c>
      <c r="K1652" s="6" t="s">
        <v>11405</v>
      </c>
      <c r="L1652" s="6">
        <v>5.8793814258E10</v>
      </c>
      <c r="M1652" s="6" t="s">
        <v>11406</v>
      </c>
      <c r="N1652" s="6" t="s">
        <v>427</v>
      </c>
      <c r="O1652" s="6" t="s">
        <v>178</v>
      </c>
      <c r="P1652" s="10">
        <v>45965.0</v>
      </c>
    </row>
    <row r="1653" ht="22.5" customHeight="1">
      <c r="A1653" s="6" t="s">
        <v>11408</v>
      </c>
      <c r="B1653" s="6" t="s">
        <v>11409</v>
      </c>
      <c r="C1653" s="6" t="s">
        <v>11411</v>
      </c>
      <c r="D1653" s="6" t="s">
        <v>145</v>
      </c>
      <c r="E1653" s="6" t="s">
        <v>147</v>
      </c>
      <c r="F1653" s="8">
        <v>23.0</v>
      </c>
      <c r="G1653" s="9">
        <v>428.09</v>
      </c>
      <c r="H1653" s="9">
        <v>12872.84</v>
      </c>
      <c r="I1653" s="6" t="s">
        <v>161</v>
      </c>
      <c r="J1653" s="6" t="s">
        <v>163</v>
      </c>
      <c r="K1653" s="6" t="s">
        <v>11413</v>
      </c>
      <c r="L1653" s="6">
        <v>2.973021824E10</v>
      </c>
      <c r="M1653" s="6" t="s">
        <v>11414</v>
      </c>
      <c r="N1653" s="6" t="s">
        <v>112</v>
      </c>
      <c r="O1653" s="6" t="s">
        <v>178</v>
      </c>
      <c r="P1653" s="10">
        <v>46006.0</v>
      </c>
    </row>
    <row r="1654" ht="22.5" customHeight="1">
      <c r="A1654" s="6" t="s">
        <v>11416</v>
      </c>
      <c r="B1654" s="6" t="s">
        <v>11417</v>
      </c>
      <c r="C1654" s="6" t="s">
        <v>11418</v>
      </c>
      <c r="D1654" s="6" t="s">
        <v>206</v>
      </c>
      <c r="E1654" s="6" t="s">
        <v>301</v>
      </c>
      <c r="F1654" s="8">
        <v>38.0</v>
      </c>
      <c r="G1654" s="9">
        <v>856.96</v>
      </c>
      <c r="H1654" s="9">
        <v>7606.48</v>
      </c>
      <c r="I1654" s="6" t="s">
        <v>161</v>
      </c>
      <c r="J1654" s="6" t="s">
        <v>577</v>
      </c>
      <c r="K1654" s="6" t="s">
        <v>11421</v>
      </c>
      <c r="L1654" s="6">
        <v>4.3922492159E10</v>
      </c>
      <c r="M1654" s="6" t="s">
        <v>11422</v>
      </c>
      <c r="N1654" s="6" t="s">
        <v>112</v>
      </c>
      <c r="O1654" s="6" t="s">
        <v>178</v>
      </c>
      <c r="P1654" s="10">
        <v>46044.0</v>
      </c>
    </row>
    <row r="1655" ht="22.5" customHeight="1">
      <c r="A1655" s="6" t="s">
        <v>11424</v>
      </c>
      <c r="B1655" s="6" t="s">
        <v>11425</v>
      </c>
      <c r="C1655" s="6" t="s">
        <v>11426</v>
      </c>
      <c r="D1655" s="6" t="s">
        <v>206</v>
      </c>
      <c r="E1655" s="6" t="s">
        <v>147</v>
      </c>
      <c r="F1655" s="8">
        <v>14.0</v>
      </c>
      <c r="G1655" s="9">
        <v>115.15</v>
      </c>
      <c r="H1655" s="9">
        <v>851.23</v>
      </c>
      <c r="I1655" s="6" t="s">
        <v>161</v>
      </c>
      <c r="J1655" s="6" t="s">
        <v>393</v>
      </c>
      <c r="K1655" s="6" t="s">
        <v>259</v>
      </c>
      <c r="L1655" s="6">
        <v>1.8250847131E10</v>
      </c>
      <c r="M1655" s="6" t="s">
        <v>11428</v>
      </c>
      <c r="N1655" s="6" t="s">
        <v>283</v>
      </c>
      <c r="O1655" s="6" t="s">
        <v>178</v>
      </c>
      <c r="P1655" s="10">
        <v>46031.0</v>
      </c>
    </row>
    <row r="1656" ht="22.5" customHeight="1">
      <c r="A1656" s="6" t="s">
        <v>11430</v>
      </c>
      <c r="B1656" s="6" t="s">
        <v>11432</v>
      </c>
      <c r="C1656" s="6" t="s">
        <v>11433</v>
      </c>
      <c r="D1656" s="6" t="s">
        <v>206</v>
      </c>
      <c r="E1656" s="6" t="s">
        <v>147</v>
      </c>
      <c r="F1656" s="8">
        <v>25.0</v>
      </c>
      <c r="G1656" s="9">
        <v>179.08</v>
      </c>
      <c r="H1656" s="9">
        <v>9342.07</v>
      </c>
      <c r="I1656" s="6" t="s">
        <v>161</v>
      </c>
      <c r="J1656" s="6" t="s">
        <v>577</v>
      </c>
      <c r="K1656" s="6" t="s">
        <v>11434</v>
      </c>
      <c r="L1656" s="6">
        <v>6.9405963686E10</v>
      </c>
      <c r="M1656" s="6" t="s">
        <v>11435</v>
      </c>
      <c r="N1656" s="6" t="s">
        <v>112</v>
      </c>
      <c r="O1656" s="6" t="s">
        <v>178</v>
      </c>
      <c r="P1656" s="10">
        <v>45954.0</v>
      </c>
    </row>
    <row r="1657" ht="22.5" customHeight="1">
      <c r="A1657" s="6" t="s">
        <v>11437</v>
      </c>
      <c r="B1657" s="6" t="s">
        <v>11438</v>
      </c>
      <c r="C1657" s="6" t="s">
        <v>11439</v>
      </c>
      <c r="D1657" s="6" t="s">
        <v>145</v>
      </c>
      <c r="E1657" s="6" t="s">
        <v>301</v>
      </c>
      <c r="F1657" s="8">
        <v>45.0</v>
      </c>
      <c r="G1657" s="9">
        <v>540.31</v>
      </c>
      <c r="H1657" s="9">
        <v>9850.8</v>
      </c>
      <c r="I1657" s="6" t="s">
        <v>161</v>
      </c>
      <c r="J1657" s="6" t="s">
        <v>228</v>
      </c>
      <c r="K1657" s="6" t="s">
        <v>11441</v>
      </c>
      <c r="L1657" s="6" t="s">
        <v>259</v>
      </c>
      <c r="M1657" s="6" t="s">
        <v>11442</v>
      </c>
      <c r="N1657" s="6" t="s">
        <v>112</v>
      </c>
      <c r="O1657" s="6" t="s">
        <v>178</v>
      </c>
      <c r="P1657" s="10">
        <v>45986.0</v>
      </c>
    </row>
    <row r="1658" ht="22.5" customHeight="1">
      <c r="A1658" s="6" t="s">
        <v>11443</v>
      </c>
      <c r="B1658" s="6" t="s">
        <v>11444</v>
      </c>
      <c r="C1658" s="6" t="s">
        <v>11446</v>
      </c>
      <c r="D1658" s="6" t="s">
        <v>145</v>
      </c>
      <c r="E1658" s="6" t="s">
        <v>210</v>
      </c>
      <c r="F1658" s="8">
        <v>99.0</v>
      </c>
      <c r="G1658" s="9">
        <v>129.39</v>
      </c>
      <c r="H1658" s="9">
        <v>11344.36</v>
      </c>
      <c r="I1658" s="6" t="s">
        <v>178</v>
      </c>
      <c r="J1658" s="6" t="s">
        <v>163</v>
      </c>
      <c r="K1658" s="6" t="s">
        <v>11447</v>
      </c>
      <c r="L1658" s="6">
        <v>9.3688280088E10</v>
      </c>
      <c r="M1658" s="6" t="s">
        <v>11448</v>
      </c>
      <c r="N1658" s="6" t="s">
        <v>112</v>
      </c>
      <c r="O1658" s="6" t="s">
        <v>161</v>
      </c>
      <c r="P1658" s="10">
        <v>45953.0</v>
      </c>
    </row>
    <row r="1659" ht="22.5" customHeight="1">
      <c r="A1659" s="6" t="s">
        <v>11450</v>
      </c>
      <c r="B1659" s="6" t="s">
        <v>11451</v>
      </c>
      <c r="C1659" s="6" t="s">
        <v>11452</v>
      </c>
      <c r="D1659" s="6" t="s">
        <v>206</v>
      </c>
      <c r="E1659" s="6" t="s">
        <v>147</v>
      </c>
      <c r="F1659" s="8">
        <v>6.0</v>
      </c>
      <c r="G1659" s="9">
        <v>825.97</v>
      </c>
      <c r="H1659" s="9">
        <v>2735.21</v>
      </c>
      <c r="I1659" s="6" t="s">
        <v>161</v>
      </c>
      <c r="J1659" s="6" t="s">
        <v>479</v>
      </c>
      <c r="K1659" s="6" t="s">
        <v>11453</v>
      </c>
      <c r="L1659" s="6">
        <v>8.934652516E9</v>
      </c>
      <c r="M1659" s="6" t="s">
        <v>11455</v>
      </c>
      <c r="N1659" s="6" t="s">
        <v>259</v>
      </c>
      <c r="O1659" s="6" t="s">
        <v>178</v>
      </c>
      <c r="P1659" s="10">
        <v>46001.0</v>
      </c>
    </row>
    <row r="1660" ht="22.5" customHeight="1">
      <c r="A1660" s="6" t="s">
        <v>11456</v>
      </c>
      <c r="B1660" s="6" t="s">
        <v>11457</v>
      </c>
      <c r="C1660" s="6" t="s">
        <v>11458</v>
      </c>
      <c r="D1660" s="6" t="s">
        <v>145</v>
      </c>
      <c r="E1660" s="6" t="s">
        <v>301</v>
      </c>
      <c r="F1660" s="8">
        <v>48.0</v>
      </c>
      <c r="G1660" s="9">
        <v>1664.72</v>
      </c>
      <c r="H1660" s="9">
        <v>12512.52</v>
      </c>
      <c r="I1660" s="6" t="s">
        <v>161</v>
      </c>
      <c r="J1660" s="6" t="s">
        <v>577</v>
      </c>
      <c r="K1660" s="6" t="s">
        <v>259</v>
      </c>
      <c r="L1660" s="6">
        <v>7.5100890485E10</v>
      </c>
      <c r="M1660" s="6" t="s">
        <v>11460</v>
      </c>
      <c r="N1660" s="6" t="s">
        <v>112</v>
      </c>
      <c r="O1660" s="6" t="s">
        <v>178</v>
      </c>
      <c r="P1660" s="10">
        <v>46043.0</v>
      </c>
    </row>
    <row r="1661" ht="22.5" customHeight="1">
      <c r="A1661" s="6" t="s">
        <v>11462</v>
      </c>
      <c r="B1661" s="6" t="s">
        <v>11463</v>
      </c>
      <c r="C1661" s="6" t="s">
        <v>11464</v>
      </c>
      <c r="D1661" s="6" t="s">
        <v>145</v>
      </c>
      <c r="E1661" s="6" t="s">
        <v>147</v>
      </c>
      <c r="F1661" s="8">
        <v>7.0</v>
      </c>
      <c r="G1661" s="9">
        <v>916.05</v>
      </c>
      <c r="H1661" s="9">
        <v>11980.37</v>
      </c>
      <c r="I1661" s="6" t="s">
        <v>161</v>
      </c>
      <c r="J1661" s="6" t="s">
        <v>163</v>
      </c>
      <c r="K1661" s="6" t="s">
        <v>11465</v>
      </c>
      <c r="L1661" s="6">
        <v>5.2328331196E10</v>
      </c>
      <c r="M1661" s="6" t="s">
        <v>11467</v>
      </c>
      <c r="N1661" s="6" t="s">
        <v>176</v>
      </c>
      <c r="O1661" s="6" t="s">
        <v>178</v>
      </c>
      <c r="P1661" s="10">
        <v>46023.0</v>
      </c>
    </row>
    <row r="1662" ht="22.5" customHeight="1">
      <c r="A1662" s="6" t="s">
        <v>11468</v>
      </c>
      <c r="B1662" s="6" t="s">
        <v>11469</v>
      </c>
      <c r="C1662" s="6" t="s">
        <v>11470</v>
      </c>
      <c r="D1662" s="6" t="s">
        <v>145</v>
      </c>
      <c r="E1662" s="6" t="s">
        <v>301</v>
      </c>
      <c r="F1662" s="8">
        <v>51.0</v>
      </c>
      <c r="G1662" s="9">
        <v>761.71</v>
      </c>
      <c r="H1662" s="9">
        <v>5161.46</v>
      </c>
      <c r="I1662" s="6" t="s">
        <v>161</v>
      </c>
      <c r="J1662" s="6" t="s">
        <v>228</v>
      </c>
      <c r="K1662" s="6" t="s">
        <v>11472</v>
      </c>
      <c r="L1662" s="6" t="s">
        <v>259</v>
      </c>
      <c r="M1662" s="6" t="s">
        <v>11473</v>
      </c>
      <c r="N1662" s="6" t="s">
        <v>283</v>
      </c>
      <c r="O1662" s="6" t="s">
        <v>178</v>
      </c>
      <c r="P1662" s="10">
        <v>45999.0</v>
      </c>
    </row>
    <row r="1663" ht="22.5" customHeight="1">
      <c r="A1663" s="6" t="s">
        <v>11474</v>
      </c>
      <c r="B1663" s="6" t="s">
        <v>11476</v>
      </c>
      <c r="C1663" s="6" t="s">
        <v>11477</v>
      </c>
      <c r="D1663" s="6" t="s">
        <v>206</v>
      </c>
      <c r="E1663" s="6" t="s">
        <v>301</v>
      </c>
      <c r="F1663" s="8">
        <v>52.0</v>
      </c>
      <c r="G1663" s="9">
        <v>1515.28</v>
      </c>
      <c r="H1663" s="9">
        <v>10018.17</v>
      </c>
      <c r="I1663" s="6" t="s">
        <v>161</v>
      </c>
      <c r="J1663" s="6" t="s">
        <v>228</v>
      </c>
      <c r="K1663" s="6" t="s">
        <v>11478</v>
      </c>
      <c r="L1663" s="6">
        <v>5.1228677004E10</v>
      </c>
      <c r="M1663" s="6" t="s">
        <v>11479</v>
      </c>
      <c r="N1663" s="6" t="s">
        <v>259</v>
      </c>
      <c r="O1663" s="6" t="s">
        <v>178</v>
      </c>
      <c r="P1663" s="10">
        <v>45982.0</v>
      </c>
    </row>
    <row r="1664" ht="22.5" customHeight="1">
      <c r="A1664" s="6" t="s">
        <v>11481</v>
      </c>
      <c r="B1664" s="6" t="s">
        <v>11482</v>
      </c>
      <c r="C1664" s="6" t="s">
        <v>11483</v>
      </c>
      <c r="D1664" s="6" t="s">
        <v>206</v>
      </c>
      <c r="E1664" s="6" t="s">
        <v>210</v>
      </c>
      <c r="F1664" s="8">
        <v>74.0</v>
      </c>
      <c r="G1664" s="9">
        <v>1621.26</v>
      </c>
      <c r="H1664" s="9">
        <v>8712.29</v>
      </c>
      <c r="I1664" s="6" t="s">
        <v>178</v>
      </c>
      <c r="J1664" s="6" t="s">
        <v>465</v>
      </c>
      <c r="K1664" s="6" t="s">
        <v>11484</v>
      </c>
      <c r="L1664" s="6">
        <v>1.0452163165E10</v>
      </c>
      <c r="M1664" s="6" t="s">
        <v>11486</v>
      </c>
      <c r="N1664" s="6" t="s">
        <v>259</v>
      </c>
      <c r="O1664" s="6" t="s">
        <v>161</v>
      </c>
      <c r="P1664" s="10">
        <v>46035.0</v>
      </c>
    </row>
    <row r="1665" ht="22.5" customHeight="1">
      <c r="A1665" s="6" t="s">
        <v>11487</v>
      </c>
      <c r="B1665" s="6" t="s">
        <v>11488</v>
      </c>
      <c r="C1665" s="6" t="s">
        <v>11489</v>
      </c>
      <c r="D1665" s="6" t="s">
        <v>145</v>
      </c>
      <c r="E1665" s="6" t="s">
        <v>147</v>
      </c>
      <c r="F1665" s="8">
        <v>19.0</v>
      </c>
      <c r="G1665" s="9">
        <v>164.86</v>
      </c>
      <c r="H1665" s="9">
        <v>1694.74</v>
      </c>
      <c r="I1665" s="6" t="s">
        <v>161</v>
      </c>
      <c r="J1665" s="6" t="s">
        <v>312</v>
      </c>
      <c r="K1665" s="6" t="s">
        <v>11491</v>
      </c>
      <c r="L1665" s="6">
        <v>7.6420448238E10</v>
      </c>
      <c r="M1665" s="6" t="s">
        <v>11492</v>
      </c>
      <c r="N1665" s="6" t="s">
        <v>112</v>
      </c>
      <c r="O1665" s="6" t="s">
        <v>178</v>
      </c>
      <c r="P1665" s="10">
        <v>45936.0</v>
      </c>
    </row>
    <row r="1666" ht="22.5" customHeight="1">
      <c r="A1666" s="6" t="s">
        <v>11493</v>
      </c>
      <c r="B1666" s="6" t="s">
        <v>11494</v>
      </c>
      <c r="C1666" s="6" t="s">
        <v>11495</v>
      </c>
      <c r="D1666" s="6" t="s">
        <v>206</v>
      </c>
      <c r="E1666" s="6" t="s">
        <v>147</v>
      </c>
      <c r="F1666" s="8">
        <v>24.0</v>
      </c>
      <c r="G1666" s="9">
        <v>1234.78</v>
      </c>
      <c r="H1666" s="9">
        <v>12056.95</v>
      </c>
      <c r="I1666" s="6" t="s">
        <v>161</v>
      </c>
      <c r="J1666" s="6" t="s">
        <v>357</v>
      </c>
      <c r="K1666" s="6" t="s">
        <v>11497</v>
      </c>
      <c r="L1666" s="6">
        <v>6.7180029885E10</v>
      </c>
      <c r="M1666" s="6" t="s">
        <v>11498</v>
      </c>
      <c r="N1666" s="6" t="s">
        <v>427</v>
      </c>
      <c r="O1666" s="6" t="s">
        <v>178</v>
      </c>
      <c r="P1666" s="10">
        <v>45956.0</v>
      </c>
    </row>
    <row r="1667" ht="22.5" customHeight="1">
      <c r="A1667" s="6" t="s">
        <v>11500</v>
      </c>
      <c r="B1667" s="6" t="s">
        <v>11501</v>
      </c>
      <c r="C1667" s="6" t="s">
        <v>11502</v>
      </c>
      <c r="D1667" s="6" t="s">
        <v>145</v>
      </c>
      <c r="E1667" s="6" t="s">
        <v>301</v>
      </c>
      <c r="F1667" s="8">
        <v>51.0</v>
      </c>
      <c r="G1667" s="9">
        <v>1057.03</v>
      </c>
      <c r="H1667" s="9">
        <v>5238.08</v>
      </c>
      <c r="I1667" s="6" t="s">
        <v>161</v>
      </c>
      <c r="J1667" s="6" t="s">
        <v>393</v>
      </c>
      <c r="K1667" s="6" t="s">
        <v>259</v>
      </c>
      <c r="L1667" s="6">
        <v>8.0528696858E10</v>
      </c>
      <c r="M1667" s="6" t="s">
        <v>11504</v>
      </c>
      <c r="N1667" s="6" t="s">
        <v>283</v>
      </c>
      <c r="O1667" s="6" t="s">
        <v>178</v>
      </c>
      <c r="P1667" s="10">
        <v>46031.0</v>
      </c>
    </row>
    <row r="1668" ht="22.5" customHeight="1">
      <c r="A1668" s="6" t="s">
        <v>11505</v>
      </c>
      <c r="B1668" s="6" t="s">
        <v>11506</v>
      </c>
      <c r="C1668" s="6" t="s">
        <v>11507</v>
      </c>
      <c r="D1668" s="6" t="s">
        <v>206</v>
      </c>
      <c r="E1668" s="6" t="s">
        <v>147</v>
      </c>
      <c r="F1668" s="8">
        <v>16.0</v>
      </c>
      <c r="G1668" s="9">
        <v>269.49</v>
      </c>
      <c r="H1668" s="9">
        <v>9196.12</v>
      </c>
      <c r="I1668" s="6" t="s">
        <v>161</v>
      </c>
      <c r="J1668" s="6" t="s">
        <v>357</v>
      </c>
      <c r="K1668" s="6" t="s">
        <v>259</v>
      </c>
      <c r="L1668" s="6">
        <v>1.9746818718E10</v>
      </c>
      <c r="M1668" s="6" t="s">
        <v>11509</v>
      </c>
      <c r="N1668" s="6" t="s">
        <v>176</v>
      </c>
      <c r="O1668" s="6" t="s">
        <v>178</v>
      </c>
      <c r="P1668" s="10">
        <v>46017.0</v>
      </c>
    </row>
    <row r="1669" ht="22.5" customHeight="1">
      <c r="A1669" s="6" t="s">
        <v>11510</v>
      </c>
      <c r="B1669" s="6" t="s">
        <v>11511</v>
      </c>
      <c r="C1669" s="6" t="s">
        <v>11512</v>
      </c>
      <c r="D1669" s="6" t="s">
        <v>145</v>
      </c>
      <c r="E1669" s="6" t="s">
        <v>301</v>
      </c>
      <c r="F1669" s="8">
        <v>33.0</v>
      </c>
      <c r="G1669" s="9">
        <v>1441.86</v>
      </c>
      <c r="H1669" s="9">
        <v>5345.45</v>
      </c>
      <c r="I1669" s="6" t="s">
        <v>161</v>
      </c>
      <c r="J1669" s="6" t="s">
        <v>577</v>
      </c>
      <c r="K1669" s="6" t="s">
        <v>11513</v>
      </c>
      <c r="L1669" s="6">
        <v>3.8276043559E10</v>
      </c>
      <c r="M1669" s="6" t="s">
        <v>11515</v>
      </c>
      <c r="N1669" s="6" t="s">
        <v>427</v>
      </c>
      <c r="O1669" s="6" t="s">
        <v>178</v>
      </c>
      <c r="P1669" s="10">
        <v>45993.0</v>
      </c>
    </row>
    <row r="1670" ht="22.5" customHeight="1">
      <c r="A1670" s="6" t="s">
        <v>11516</v>
      </c>
      <c r="B1670" s="6" t="s">
        <v>11517</v>
      </c>
      <c r="C1670" s="6" t="s">
        <v>11518</v>
      </c>
      <c r="D1670" s="6" t="s">
        <v>145</v>
      </c>
      <c r="E1670" s="6" t="s">
        <v>147</v>
      </c>
      <c r="F1670" s="8">
        <v>23.0</v>
      </c>
      <c r="G1670" s="9">
        <v>1633.55</v>
      </c>
      <c r="H1670" s="9">
        <v>11493.04</v>
      </c>
      <c r="I1670" s="6" t="s">
        <v>161</v>
      </c>
      <c r="J1670" s="6" t="s">
        <v>577</v>
      </c>
      <c r="K1670" s="6" t="s">
        <v>11520</v>
      </c>
      <c r="L1670" s="6">
        <v>5.9310329717E10</v>
      </c>
      <c r="M1670" s="6" t="s">
        <v>11521</v>
      </c>
      <c r="N1670" s="6" t="s">
        <v>427</v>
      </c>
      <c r="O1670" s="6" t="s">
        <v>178</v>
      </c>
      <c r="P1670" s="10">
        <v>45934.0</v>
      </c>
    </row>
    <row r="1671" ht="22.5" customHeight="1">
      <c r="A1671" s="6" t="s">
        <v>11522</v>
      </c>
      <c r="B1671" s="6" t="s">
        <v>11523</v>
      </c>
      <c r="C1671" s="6" t="s">
        <v>11524</v>
      </c>
      <c r="D1671" s="6" t="s">
        <v>145</v>
      </c>
      <c r="E1671" s="6" t="s">
        <v>210</v>
      </c>
      <c r="F1671" s="8">
        <v>107.0</v>
      </c>
      <c r="G1671" s="9">
        <v>267.79</v>
      </c>
      <c r="H1671" s="9">
        <v>2692.72</v>
      </c>
      <c r="I1671" s="6" t="s">
        <v>161</v>
      </c>
      <c r="J1671" s="6" t="s">
        <v>312</v>
      </c>
      <c r="K1671" s="6" t="s">
        <v>11526</v>
      </c>
      <c r="L1671" s="6">
        <v>9.498022632E9</v>
      </c>
      <c r="M1671" s="6" t="s">
        <v>11527</v>
      </c>
      <c r="N1671" s="6" t="s">
        <v>176</v>
      </c>
      <c r="O1671" s="6" t="s">
        <v>161</v>
      </c>
      <c r="P1671" s="10">
        <v>45980.0</v>
      </c>
    </row>
    <row r="1672" ht="22.5" customHeight="1">
      <c r="A1672" s="6" t="s">
        <v>11528</v>
      </c>
      <c r="B1672" s="6" t="s">
        <v>11530</v>
      </c>
      <c r="C1672" s="6" t="s">
        <v>11531</v>
      </c>
      <c r="D1672" s="6" t="s">
        <v>206</v>
      </c>
      <c r="E1672" s="6" t="s">
        <v>210</v>
      </c>
      <c r="F1672" s="8">
        <v>92.0</v>
      </c>
      <c r="G1672" s="9">
        <v>216.81</v>
      </c>
      <c r="H1672" s="9">
        <v>13726.17</v>
      </c>
      <c r="I1672" s="6" t="s">
        <v>178</v>
      </c>
      <c r="J1672" s="6" t="s">
        <v>357</v>
      </c>
      <c r="K1672" s="6" t="s">
        <v>11532</v>
      </c>
      <c r="L1672" s="6">
        <v>7.4487350307E10</v>
      </c>
      <c r="M1672" s="6" t="s">
        <v>11533</v>
      </c>
      <c r="N1672" s="6" t="s">
        <v>112</v>
      </c>
      <c r="O1672" s="6" t="s">
        <v>161</v>
      </c>
      <c r="P1672" s="10">
        <v>45996.0</v>
      </c>
    </row>
    <row r="1673" ht="22.5" customHeight="1">
      <c r="A1673" s="6" t="s">
        <v>11535</v>
      </c>
      <c r="B1673" s="6" t="s">
        <v>11536</v>
      </c>
      <c r="C1673" s="6" t="s">
        <v>11537</v>
      </c>
      <c r="D1673" s="6" t="s">
        <v>145</v>
      </c>
      <c r="E1673" s="6" t="s">
        <v>147</v>
      </c>
      <c r="F1673" s="8">
        <v>20.0</v>
      </c>
      <c r="G1673" s="9">
        <v>1407.73</v>
      </c>
      <c r="H1673" s="9">
        <v>8604.26</v>
      </c>
      <c r="I1673" s="6" t="s">
        <v>161</v>
      </c>
      <c r="J1673" s="6" t="s">
        <v>465</v>
      </c>
      <c r="K1673" s="6" t="s">
        <v>11539</v>
      </c>
      <c r="L1673" s="6">
        <v>9.7621935696E10</v>
      </c>
      <c r="M1673" s="6" t="s">
        <v>11540</v>
      </c>
      <c r="N1673" s="6" t="s">
        <v>427</v>
      </c>
      <c r="O1673" s="6" t="s">
        <v>178</v>
      </c>
      <c r="P1673" s="10">
        <v>46046.0</v>
      </c>
    </row>
    <row r="1674" ht="22.5" customHeight="1">
      <c r="A1674" s="6" t="s">
        <v>11541</v>
      </c>
      <c r="B1674" s="6" t="s">
        <v>11542</v>
      </c>
      <c r="C1674" s="6" t="s">
        <v>11543</v>
      </c>
      <c r="D1674" s="6" t="s">
        <v>145</v>
      </c>
      <c r="E1674" s="6" t="s">
        <v>147</v>
      </c>
      <c r="F1674" s="8">
        <v>14.0</v>
      </c>
      <c r="G1674" s="9">
        <v>918.32</v>
      </c>
      <c r="H1674" s="9">
        <v>2392.79</v>
      </c>
      <c r="I1674" s="6" t="s">
        <v>161</v>
      </c>
      <c r="J1674" s="6" t="s">
        <v>2502</v>
      </c>
      <c r="K1674" s="6" t="s">
        <v>11544</v>
      </c>
      <c r="L1674" s="6">
        <v>6.1832700601E10</v>
      </c>
      <c r="M1674" s="6" t="s">
        <v>11545</v>
      </c>
      <c r="N1674" s="6" t="s">
        <v>259</v>
      </c>
      <c r="O1674" s="6" t="s">
        <v>178</v>
      </c>
      <c r="P1674" s="10">
        <v>46044.0</v>
      </c>
    </row>
    <row r="1675" ht="22.5" customHeight="1">
      <c r="A1675" s="6" t="s">
        <v>11547</v>
      </c>
      <c r="B1675" s="6" t="s">
        <v>11548</v>
      </c>
      <c r="C1675" s="6" t="s">
        <v>11549</v>
      </c>
      <c r="D1675" s="6" t="s">
        <v>145</v>
      </c>
      <c r="E1675" s="6" t="s">
        <v>147</v>
      </c>
      <c r="F1675" s="8">
        <v>8.0</v>
      </c>
      <c r="G1675" s="9">
        <v>1141.84</v>
      </c>
      <c r="H1675" s="9">
        <v>5289.98</v>
      </c>
      <c r="I1675" s="6" t="s">
        <v>161</v>
      </c>
      <c r="J1675" s="6" t="s">
        <v>577</v>
      </c>
      <c r="K1675" s="6" t="s">
        <v>11551</v>
      </c>
      <c r="L1675" s="6">
        <v>1.1902290078E10</v>
      </c>
      <c r="M1675" s="6" t="s">
        <v>11552</v>
      </c>
      <c r="N1675" s="6" t="s">
        <v>112</v>
      </c>
      <c r="O1675" s="6" t="s">
        <v>178</v>
      </c>
      <c r="P1675" s="10">
        <v>45984.0</v>
      </c>
    </row>
    <row r="1676" ht="22.5" customHeight="1">
      <c r="A1676" s="6" t="s">
        <v>11553</v>
      </c>
      <c r="B1676" s="6" t="s">
        <v>11555</v>
      </c>
      <c r="C1676" s="6" t="s">
        <v>11556</v>
      </c>
      <c r="D1676" s="6" t="s">
        <v>145</v>
      </c>
      <c r="E1676" s="6" t="s">
        <v>301</v>
      </c>
      <c r="F1676" s="8">
        <v>34.0</v>
      </c>
      <c r="G1676" s="9">
        <v>666.2</v>
      </c>
      <c r="H1676" s="9">
        <v>11613.71</v>
      </c>
      <c r="I1676" s="6" t="s">
        <v>161</v>
      </c>
      <c r="J1676" s="6" t="s">
        <v>421</v>
      </c>
      <c r="K1676" s="6" t="s">
        <v>11557</v>
      </c>
      <c r="L1676" s="6">
        <v>9.0641773952E10</v>
      </c>
      <c r="M1676" s="6" t="s">
        <v>11558</v>
      </c>
      <c r="N1676" s="6" t="s">
        <v>427</v>
      </c>
      <c r="O1676" s="6" t="s">
        <v>178</v>
      </c>
      <c r="P1676" s="10">
        <v>46049.0</v>
      </c>
    </row>
    <row r="1677" ht="22.5" customHeight="1">
      <c r="A1677" s="6" t="s">
        <v>11560</v>
      </c>
      <c r="B1677" s="6" t="s">
        <v>11561</v>
      </c>
      <c r="C1677" s="6" t="s">
        <v>11562</v>
      </c>
      <c r="D1677" s="6" t="s">
        <v>383</v>
      </c>
      <c r="E1677" s="6" t="s">
        <v>301</v>
      </c>
      <c r="F1677" s="8">
        <v>52.0</v>
      </c>
      <c r="G1677" s="9">
        <v>1769.11</v>
      </c>
      <c r="H1677" s="9">
        <v>2367.99</v>
      </c>
      <c r="I1677" s="6" t="s">
        <v>161</v>
      </c>
      <c r="J1677" s="6" t="s">
        <v>357</v>
      </c>
      <c r="K1677" s="6" t="s">
        <v>11563</v>
      </c>
      <c r="L1677" s="6">
        <v>2.873238075E9</v>
      </c>
      <c r="M1677" s="6" t="s">
        <v>11564</v>
      </c>
      <c r="N1677" s="6" t="s">
        <v>259</v>
      </c>
      <c r="O1677" s="6" t="s">
        <v>178</v>
      </c>
      <c r="P1677" s="10">
        <v>46046.0</v>
      </c>
    </row>
    <row r="1678" ht="22.5" customHeight="1">
      <c r="A1678" s="6" t="s">
        <v>11566</v>
      </c>
      <c r="B1678" s="6" t="s">
        <v>11567</v>
      </c>
      <c r="C1678" s="6" t="s">
        <v>11568</v>
      </c>
      <c r="D1678" s="6" t="s">
        <v>145</v>
      </c>
      <c r="E1678" s="6" t="s">
        <v>147</v>
      </c>
      <c r="F1678" s="8">
        <v>25.0</v>
      </c>
      <c r="G1678" s="9">
        <v>191.47</v>
      </c>
      <c r="H1678" s="9">
        <v>8761.77</v>
      </c>
      <c r="I1678" s="6" t="s">
        <v>178</v>
      </c>
      <c r="J1678" s="6" t="s">
        <v>312</v>
      </c>
      <c r="K1678" s="6" t="s">
        <v>11569</v>
      </c>
      <c r="L1678" s="6">
        <v>6.0448375732E10</v>
      </c>
      <c r="M1678" s="6" t="s">
        <v>11570</v>
      </c>
      <c r="N1678" s="6" t="s">
        <v>176</v>
      </c>
      <c r="O1678" s="6" t="s">
        <v>161</v>
      </c>
      <c r="P1678" s="10">
        <v>45951.0</v>
      </c>
    </row>
    <row r="1679" ht="22.5" customHeight="1">
      <c r="A1679" s="6" t="s">
        <v>11571</v>
      </c>
      <c r="B1679" s="6" t="s">
        <v>11572</v>
      </c>
      <c r="C1679" s="6" t="s">
        <v>11573</v>
      </c>
      <c r="D1679" s="6" t="s">
        <v>145</v>
      </c>
      <c r="E1679" s="6" t="s">
        <v>210</v>
      </c>
      <c r="F1679" s="8">
        <v>91.0</v>
      </c>
      <c r="G1679" s="9">
        <v>1202.31</v>
      </c>
      <c r="H1679" s="9">
        <v>9776.5</v>
      </c>
      <c r="I1679" s="6" t="s">
        <v>178</v>
      </c>
      <c r="J1679" s="6" t="s">
        <v>577</v>
      </c>
      <c r="K1679" s="6" t="s">
        <v>11575</v>
      </c>
      <c r="L1679" s="6">
        <v>9.1273211039E10</v>
      </c>
      <c r="M1679" s="6" t="s">
        <v>11576</v>
      </c>
      <c r="N1679" s="6" t="s">
        <v>427</v>
      </c>
      <c r="O1679" s="6" t="s">
        <v>161</v>
      </c>
      <c r="P1679" s="10">
        <v>46023.0</v>
      </c>
    </row>
    <row r="1680" ht="22.5" customHeight="1">
      <c r="A1680" s="6" t="s">
        <v>11578</v>
      </c>
      <c r="B1680" s="6" t="s">
        <v>11579</v>
      </c>
      <c r="C1680" s="6" t="s">
        <v>11580</v>
      </c>
      <c r="D1680" s="6" t="s">
        <v>206</v>
      </c>
      <c r="E1680" s="6" t="s">
        <v>210</v>
      </c>
      <c r="F1680" s="8">
        <v>63.0</v>
      </c>
      <c r="G1680" s="9">
        <v>128.23</v>
      </c>
      <c r="H1680" s="9">
        <v>6444.96</v>
      </c>
      <c r="I1680" s="6" t="s">
        <v>178</v>
      </c>
      <c r="J1680" s="6" t="s">
        <v>259</v>
      </c>
      <c r="K1680" s="6" t="s">
        <v>11583</v>
      </c>
      <c r="L1680" s="6">
        <v>7.110646902E9</v>
      </c>
      <c r="M1680" s="6" t="s">
        <v>11584</v>
      </c>
      <c r="N1680" s="6" t="s">
        <v>259</v>
      </c>
      <c r="O1680" s="6" t="s">
        <v>161</v>
      </c>
      <c r="P1680" s="10">
        <v>45963.0</v>
      </c>
    </row>
    <row r="1681" ht="22.5" customHeight="1">
      <c r="A1681" s="6" t="s">
        <v>11586</v>
      </c>
      <c r="B1681" s="6" t="s">
        <v>11587</v>
      </c>
      <c r="C1681" s="6" t="s">
        <v>11588</v>
      </c>
      <c r="D1681" s="6" t="s">
        <v>206</v>
      </c>
      <c r="E1681" s="6" t="s">
        <v>147</v>
      </c>
      <c r="F1681" s="8">
        <v>27.0</v>
      </c>
      <c r="G1681" s="9">
        <v>1430.17</v>
      </c>
      <c r="H1681" s="9">
        <v>5705.93</v>
      </c>
      <c r="I1681" s="6" t="s">
        <v>178</v>
      </c>
      <c r="J1681" s="6" t="s">
        <v>421</v>
      </c>
      <c r="K1681" s="6" t="s">
        <v>11591</v>
      </c>
      <c r="L1681" s="6">
        <v>2.8426917936E10</v>
      </c>
      <c r="M1681" s="6" t="s">
        <v>11592</v>
      </c>
      <c r="N1681" s="6" t="s">
        <v>259</v>
      </c>
      <c r="O1681" s="6" t="s">
        <v>161</v>
      </c>
      <c r="P1681" s="10">
        <v>45952.0</v>
      </c>
    </row>
    <row r="1682" ht="22.5" customHeight="1">
      <c r="A1682" s="6" t="s">
        <v>11594</v>
      </c>
      <c r="B1682" s="6" t="s">
        <v>11595</v>
      </c>
      <c r="C1682" s="6" t="s">
        <v>11596</v>
      </c>
      <c r="D1682" s="6" t="s">
        <v>206</v>
      </c>
      <c r="E1682" s="6" t="s">
        <v>301</v>
      </c>
      <c r="F1682" s="8">
        <v>55.0</v>
      </c>
      <c r="G1682" s="9">
        <v>261.16</v>
      </c>
      <c r="H1682" s="9">
        <v>2733.96</v>
      </c>
      <c r="I1682" s="6" t="s">
        <v>161</v>
      </c>
      <c r="J1682" s="6" t="s">
        <v>357</v>
      </c>
      <c r="K1682" s="6" t="s">
        <v>11598</v>
      </c>
      <c r="L1682" s="6">
        <v>1.8393262671E10</v>
      </c>
      <c r="M1682" s="6" t="s">
        <v>11599</v>
      </c>
      <c r="N1682" s="6" t="s">
        <v>259</v>
      </c>
      <c r="O1682" s="6" t="s">
        <v>178</v>
      </c>
      <c r="P1682" s="10">
        <v>45969.0</v>
      </c>
    </row>
    <row r="1683" ht="22.5" customHeight="1">
      <c r="A1683" s="6" t="s">
        <v>11601</v>
      </c>
      <c r="B1683" s="6" t="s">
        <v>11602</v>
      </c>
      <c r="C1683" s="6" t="s">
        <v>11603</v>
      </c>
      <c r="D1683" s="6" t="s">
        <v>206</v>
      </c>
      <c r="E1683" s="6" t="s">
        <v>147</v>
      </c>
      <c r="F1683" s="8">
        <v>23.0</v>
      </c>
      <c r="G1683" s="9">
        <v>1372.63</v>
      </c>
      <c r="H1683" s="9">
        <v>2016.33</v>
      </c>
      <c r="I1683" s="6" t="s">
        <v>161</v>
      </c>
      <c r="J1683" s="6" t="s">
        <v>312</v>
      </c>
      <c r="K1683" s="6" t="s">
        <v>11605</v>
      </c>
      <c r="L1683" s="6">
        <v>9.7340268374E10</v>
      </c>
      <c r="M1683" s="6" t="s">
        <v>11606</v>
      </c>
      <c r="N1683" s="6" t="s">
        <v>176</v>
      </c>
      <c r="O1683" s="6" t="s">
        <v>178</v>
      </c>
      <c r="P1683" s="10">
        <v>46025.0</v>
      </c>
    </row>
    <row r="1684" ht="22.5" customHeight="1">
      <c r="A1684" s="6" t="s">
        <v>11607</v>
      </c>
      <c r="B1684" s="6" t="s">
        <v>11609</v>
      </c>
      <c r="C1684" s="6" t="s">
        <v>11610</v>
      </c>
      <c r="D1684" s="6" t="s">
        <v>145</v>
      </c>
      <c r="E1684" s="6" t="s">
        <v>147</v>
      </c>
      <c r="F1684" s="8">
        <v>11.0</v>
      </c>
      <c r="G1684" s="9">
        <v>1250.92</v>
      </c>
      <c r="H1684" s="9">
        <v>11786.2</v>
      </c>
      <c r="I1684" s="6" t="s">
        <v>161</v>
      </c>
      <c r="J1684" s="6" t="s">
        <v>393</v>
      </c>
      <c r="K1684" s="6" t="s">
        <v>11612</v>
      </c>
      <c r="L1684" s="6">
        <v>5.4512895365E10</v>
      </c>
      <c r="M1684" s="6" t="s">
        <v>11613</v>
      </c>
      <c r="N1684" s="6" t="s">
        <v>427</v>
      </c>
      <c r="O1684" s="6" t="s">
        <v>178</v>
      </c>
      <c r="P1684" s="10">
        <v>46025.0</v>
      </c>
    </row>
    <row r="1685" ht="22.5" customHeight="1">
      <c r="A1685" s="6" t="s">
        <v>11615</v>
      </c>
      <c r="B1685" s="6" t="s">
        <v>11616</v>
      </c>
      <c r="C1685" s="6" t="s">
        <v>11617</v>
      </c>
      <c r="D1685" s="6" t="s">
        <v>145</v>
      </c>
      <c r="E1685" s="6" t="s">
        <v>301</v>
      </c>
      <c r="F1685" s="8">
        <v>53.0</v>
      </c>
      <c r="G1685" s="9">
        <v>1200.14</v>
      </c>
      <c r="H1685" s="9">
        <v>4659.36</v>
      </c>
      <c r="I1685" s="6" t="s">
        <v>161</v>
      </c>
      <c r="J1685" s="6" t="s">
        <v>228</v>
      </c>
      <c r="K1685" s="6" t="s">
        <v>11619</v>
      </c>
      <c r="L1685" s="6">
        <v>8.7899182476E10</v>
      </c>
      <c r="M1685" s="6" t="s">
        <v>11620</v>
      </c>
      <c r="N1685" s="6" t="s">
        <v>283</v>
      </c>
      <c r="O1685" s="6" t="s">
        <v>178</v>
      </c>
      <c r="P1685" s="10">
        <v>45937.0</v>
      </c>
    </row>
    <row r="1686" ht="22.5" customHeight="1">
      <c r="A1686" s="6" t="s">
        <v>11621</v>
      </c>
      <c r="B1686" s="6" t="s">
        <v>11623</v>
      </c>
      <c r="C1686" s="6" t="s">
        <v>11624</v>
      </c>
      <c r="D1686" s="6" t="s">
        <v>145</v>
      </c>
      <c r="E1686" s="6" t="s">
        <v>147</v>
      </c>
      <c r="F1686" s="8">
        <v>18.0</v>
      </c>
      <c r="G1686" s="9">
        <v>926.27</v>
      </c>
      <c r="H1686" s="9">
        <v>14386.79</v>
      </c>
      <c r="I1686" s="6" t="s">
        <v>161</v>
      </c>
      <c r="J1686" s="6" t="s">
        <v>479</v>
      </c>
      <c r="K1686" s="6" t="s">
        <v>11625</v>
      </c>
      <c r="L1686" s="6">
        <v>8.9424938264E10</v>
      </c>
      <c r="M1686" s="6" t="s">
        <v>11626</v>
      </c>
      <c r="N1686" s="6" t="s">
        <v>427</v>
      </c>
      <c r="O1686" s="6" t="s">
        <v>178</v>
      </c>
      <c r="P1686" s="10">
        <v>45956.0</v>
      </c>
    </row>
    <row r="1687" ht="22.5" customHeight="1">
      <c r="A1687" s="6" t="s">
        <v>11628</v>
      </c>
      <c r="B1687" s="6" t="s">
        <v>11629</v>
      </c>
      <c r="C1687" s="6" t="s">
        <v>11630</v>
      </c>
      <c r="D1687" s="6" t="s">
        <v>145</v>
      </c>
      <c r="E1687" s="6" t="s">
        <v>301</v>
      </c>
      <c r="F1687" s="8">
        <v>31.0</v>
      </c>
      <c r="G1687" s="9">
        <v>1202.79</v>
      </c>
      <c r="H1687" s="9">
        <v>2158.82</v>
      </c>
      <c r="I1687" s="6" t="s">
        <v>161</v>
      </c>
      <c r="J1687" s="6" t="s">
        <v>228</v>
      </c>
      <c r="K1687" s="6" t="s">
        <v>11631</v>
      </c>
      <c r="L1687" s="6">
        <v>6.6586336771E10</v>
      </c>
      <c r="M1687" s="6" t="s">
        <v>11632</v>
      </c>
      <c r="N1687" s="6" t="s">
        <v>176</v>
      </c>
      <c r="O1687" s="6" t="s">
        <v>178</v>
      </c>
      <c r="P1687" s="10">
        <v>45934.0</v>
      </c>
    </row>
    <row r="1688" ht="22.5" customHeight="1">
      <c r="A1688" s="6" t="s">
        <v>11634</v>
      </c>
      <c r="B1688" s="6" t="s">
        <v>11635</v>
      </c>
      <c r="C1688" s="6" t="s">
        <v>11636</v>
      </c>
      <c r="D1688" s="6" t="s">
        <v>145</v>
      </c>
      <c r="E1688" s="6" t="s">
        <v>147</v>
      </c>
      <c r="F1688" s="8">
        <v>5.0</v>
      </c>
      <c r="G1688" s="9">
        <v>1282.4</v>
      </c>
      <c r="H1688" s="9">
        <v>9502.52</v>
      </c>
      <c r="I1688" s="6" t="s">
        <v>161</v>
      </c>
      <c r="J1688" s="6" t="s">
        <v>357</v>
      </c>
      <c r="K1688" s="6" t="s">
        <v>11638</v>
      </c>
      <c r="L1688" s="6">
        <v>2.2836233043E10</v>
      </c>
      <c r="M1688" s="6" t="s">
        <v>11639</v>
      </c>
      <c r="N1688" s="6" t="s">
        <v>259</v>
      </c>
      <c r="O1688" s="6" t="s">
        <v>178</v>
      </c>
      <c r="P1688" s="10">
        <v>45946.0</v>
      </c>
    </row>
    <row r="1689" ht="22.5" customHeight="1">
      <c r="A1689" s="6" t="s">
        <v>11640</v>
      </c>
      <c r="B1689" s="6" t="s">
        <v>11641</v>
      </c>
      <c r="C1689" s="6" t="s">
        <v>11642</v>
      </c>
      <c r="D1689" s="6" t="s">
        <v>383</v>
      </c>
      <c r="E1689" s="6" t="s">
        <v>301</v>
      </c>
      <c r="F1689" s="8">
        <v>51.0</v>
      </c>
      <c r="G1689" s="9">
        <v>1456.33</v>
      </c>
      <c r="H1689" s="9">
        <v>14094.74</v>
      </c>
      <c r="I1689" s="6" t="s">
        <v>178</v>
      </c>
      <c r="J1689" s="6" t="s">
        <v>465</v>
      </c>
      <c r="K1689" s="6" t="s">
        <v>11644</v>
      </c>
      <c r="L1689" s="6">
        <v>9.404337199E10</v>
      </c>
      <c r="M1689" s="6" t="s">
        <v>11645</v>
      </c>
      <c r="N1689" s="6" t="s">
        <v>283</v>
      </c>
      <c r="O1689" s="6" t="s">
        <v>161</v>
      </c>
      <c r="P1689" s="10">
        <v>45959.0</v>
      </c>
    </row>
    <row r="1690" ht="22.5" customHeight="1">
      <c r="A1690" s="6" t="s">
        <v>11646</v>
      </c>
      <c r="B1690" s="6" t="s">
        <v>11647</v>
      </c>
      <c r="C1690" s="6" t="s">
        <v>11649</v>
      </c>
      <c r="D1690" s="6" t="s">
        <v>145</v>
      </c>
      <c r="E1690" s="6" t="s">
        <v>301</v>
      </c>
      <c r="F1690" s="8">
        <v>59.0</v>
      </c>
      <c r="G1690" s="9">
        <v>512.32</v>
      </c>
      <c r="H1690" s="9">
        <v>11894.6</v>
      </c>
      <c r="I1690" s="6" t="s">
        <v>161</v>
      </c>
      <c r="J1690" s="6" t="s">
        <v>442</v>
      </c>
      <c r="K1690" s="6" t="s">
        <v>11650</v>
      </c>
      <c r="L1690" s="6">
        <v>4.2646606265E10</v>
      </c>
      <c r="M1690" s="6" t="s">
        <v>11651</v>
      </c>
      <c r="N1690" s="6" t="s">
        <v>176</v>
      </c>
      <c r="O1690" s="6" t="s">
        <v>178</v>
      </c>
      <c r="P1690" s="10">
        <v>45969.0</v>
      </c>
    </row>
    <row r="1691" ht="22.5" customHeight="1">
      <c r="A1691" s="6" t="s">
        <v>11653</v>
      </c>
      <c r="B1691" s="6" t="s">
        <v>11654</v>
      </c>
      <c r="C1691" s="6" t="s">
        <v>11655</v>
      </c>
      <c r="D1691" s="6" t="s">
        <v>383</v>
      </c>
      <c r="E1691" s="6" t="s">
        <v>301</v>
      </c>
      <c r="F1691" s="8">
        <v>41.0</v>
      </c>
      <c r="G1691" s="9">
        <v>1440.33</v>
      </c>
      <c r="H1691" s="9">
        <v>6378.62</v>
      </c>
      <c r="I1691" s="6" t="s">
        <v>161</v>
      </c>
      <c r="J1691" s="6" t="s">
        <v>479</v>
      </c>
      <c r="K1691" s="6" t="s">
        <v>11656</v>
      </c>
      <c r="L1691" s="6">
        <v>3.9874262166E10</v>
      </c>
      <c r="M1691" s="6" t="s">
        <v>11657</v>
      </c>
      <c r="N1691" s="6" t="s">
        <v>427</v>
      </c>
      <c r="O1691" s="6" t="s">
        <v>178</v>
      </c>
      <c r="P1691" s="10">
        <v>46009.0</v>
      </c>
    </row>
    <row r="1692" ht="22.5" customHeight="1">
      <c r="A1692" s="6" t="s">
        <v>11659</v>
      </c>
      <c r="B1692" s="6" t="s">
        <v>11660</v>
      </c>
      <c r="C1692" s="6" t="s">
        <v>11661</v>
      </c>
      <c r="D1692" s="6" t="s">
        <v>206</v>
      </c>
      <c r="E1692" s="6" t="s">
        <v>147</v>
      </c>
      <c r="F1692" s="8">
        <v>23.0</v>
      </c>
      <c r="G1692" s="9">
        <v>1439.87</v>
      </c>
      <c r="H1692" s="9">
        <v>7602.62</v>
      </c>
      <c r="I1692" s="6" t="s">
        <v>161</v>
      </c>
      <c r="J1692" s="6" t="s">
        <v>393</v>
      </c>
      <c r="K1692" s="6" t="s">
        <v>11662</v>
      </c>
      <c r="L1692" s="6">
        <v>9.228003157E10</v>
      </c>
      <c r="M1692" s="6" t="s">
        <v>11663</v>
      </c>
      <c r="N1692" s="6" t="s">
        <v>112</v>
      </c>
      <c r="O1692" s="6" t="s">
        <v>178</v>
      </c>
      <c r="P1692" s="10">
        <v>45956.0</v>
      </c>
    </row>
    <row r="1693" ht="22.5" customHeight="1">
      <c r="A1693" s="6" t="s">
        <v>11664</v>
      </c>
      <c r="B1693" s="6" t="s">
        <v>11665</v>
      </c>
      <c r="C1693" s="6" t="s">
        <v>11666</v>
      </c>
      <c r="D1693" s="6" t="s">
        <v>206</v>
      </c>
      <c r="E1693" s="6" t="s">
        <v>147</v>
      </c>
      <c r="F1693" s="8">
        <v>24.0</v>
      </c>
      <c r="G1693" s="9">
        <v>1736.53</v>
      </c>
      <c r="H1693" s="9">
        <v>6479.77</v>
      </c>
      <c r="I1693" s="6" t="s">
        <v>161</v>
      </c>
      <c r="J1693" s="6" t="s">
        <v>393</v>
      </c>
      <c r="K1693" s="6" t="s">
        <v>11668</v>
      </c>
      <c r="L1693" s="6">
        <v>2.2763691257E10</v>
      </c>
      <c r="M1693" s="6" t="s">
        <v>11669</v>
      </c>
      <c r="N1693" s="6" t="s">
        <v>176</v>
      </c>
      <c r="O1693" s="6" t="s">
        <v>178</v>
      </c>
      <c r="P1693" s="10">
        <v>46030.0</v>
      </c>
    </row>
    <row r="1694" ht="22.5" customHeight="1">
      <c r="A1694" s="6" t="s">
        <v>11670</v>
      </c>
      <c r="B1694" s="6" t="s">
        <v>11671</v>
      </c>
      <c r="C1694" s="6" t="s">
        <v>11672</v>
      </c>
      <c r="D1694" s="6" t="s">
        <v>145</v>
      </c>
      <c r="E1694" s="6" t="s">
        <v>210</v>
      </c>
      <c r="F1694" s="8">
        <v>80.0</v>
      </c>
      <c r="G1694" s="9">
        <v>536.92</v>
      </c>
      <c r="H1694" s="9">
        <v>10129.57</v>
      </c>
      <c r="I1694" s="6" t="s">
        <v>161</v>
      </c>
      <c r="J1694" s="6" t="s">
        <v>228</v>
      </c>
      <c r="K1694" s="6" t="s">
        <v>11674</v>
      </c>
      <c r="L1694" s="6">
        <v>5.4182567514E10</v>
      </c>
      <c r="M1694" s="6" t="s">
        <v>11675</v>
      </c>
      <c r="N1694" s="6" t="s">
        <v>259</v>
      </c>
      <c r="O1694" s="6" t="s">
        <v>161</v>
      </c>
      <c r="P1694" s="10">
        <v>45932.0</v>
      </c>
    </row>
    <row r="1695" ht="22.5" customHeight="1">
      <c r="A1695" s="6" t="s">
        <v>11677</v>
      </c>
      <c r="B1695" s="6" t="s">
        <v>11678</v>
      </c>
      <c r="C1695" s="6" t="s">
        <v>11679</v>
      </c>
      <c r="D1695" s="6" t="s">
        <v>145</v>
      </c>
      <c r="E1695" s="6" t="s">
        <v>301</v>
      </c>
      <c r="F1695" s="8">
        <v>55.0</v>
      </c>
      <c r="G1695" s="9">
        <v>1428.4</v>
      </c>
      <c r="H1695" s="9">
        <v>13067.75</v>
      </c>
      <c r="I1695" s="6" t="s">
        <v>161</v>
      </c>
      <c r="J1695" s="6" t="s">
        <v>357</v>
      </c>
      <c r="K1695" s="6" t="s">
        <v>11680</v>
      </c>
      <c r="L1695" s="6">
        <v>6.1350168308E10</v>
      </c>
      <c r="M1695" s="6" t="s">
        <v>11682</v>
      </c>
      <c r="N1695" s="6" t="s">
        <v>427</v>
      </c>
      <c r="O1695" s="6" t="s">
        <v>178</v>
      </c>
      <c r="P1695" s="10">
        <v>45991.0</v>
      </c>
    </row>
    <row r="1696" ht="22.5" customHeight="1">
      <c r="A1696" s="6" t="s">
        <v>11683</v>
      </c>
      <c r="B1696" s="6" t="s">
        <v>11684</v>
      </c>
      <c r="C1696" s="6" t="s">
        <v>11685</v>
      </c>
      <c r="D1696" s="6" t="s">
        <v>206</v>
      </c>
      <c r="E1696" s="6" t="s">
        <v>210</v>
      </c>
      <c r="F1696" s="8">
        <v>97.0</v>
      </c>
      <c r="G1696" s="9">
        <v>1256.82</v>
      </c>
      <c r="H1696" s="9">
        <v>7300.81</v>
      </c>
      <c r="I1696" s="6" t="s">
        <v>178</v>
      </c>
      <c r="J1696" s="6" t="s">
        <v>312</v>
      </c>
      <c r="K1696" s="6" t="s">
        <v>11687</v>
      </c>
      <c r="L1696" s="6">
        <v>5.5586575789E10</v>
      </c>
      <c r="M1696" s="6" t="s">
        <v>11688</v>
      </c>
      <c r="N1696" s="6" t="s">
        <v>112</v>
      </c>
      <c r="O1696" s="6" t="s">
        <v>161</v>
      </c>
      <c r="P1696" s="10">
        <v>46041.0</v>
      </c>
    </row>
    <row r="1697" ht="22.5" customHeight="1">
      <c r="A1697" s="6" t="s">
        <v>11689</v>
      </c>
      <c r="B1697" s="6" t="s">
        <v>11690</v>
      </c>
      <c r="C1697" s="6" t="s">
        <v>11691</v>
      </c>
      <c r="D1697" s="6" t="s">
        <v>206</v>
      </c>
      <c r="E1697" s="6" t="s">
        <v>147</v>
      </c>
      <c r="F1697" s="8">
        <v>21.0</v>
      </c>
      <c r="G1697" s="9">
        <v>139.77</v>
      </c>
      <c r="H1697" s="9">
        <v>2720.99</v>
      </c>
      <c r="I1697" s="6" t="s">
        <v>161</v>
      </c>
      <c r="J1697" s="6" t="s">
        <v>393</v>
      </c>
      <c r="K1697" s="6" t="s">
        <v>11693</v>
      </c>
      <c r="L1697" s="6">
        <v>3.06547256E10</v>
      </c>
      <c r="M1697" s="6" t="s">
        <v>11694</v>
      </c>
      <c r="N1697" s="6" t="s">
        <v>259</v>
      </c>
      <c r="O1697" s="6" t="s">
        <v>178</v>
      </c>
      <c r="P1697" s="10">
        <v>45932.0</v>
      </c>
    </row>
    <row r="1698" ht="22.5" customHeight="1">
      <c r="A1698" s="6" t="s">
        <v>11696</v>
      </c>
      <c r="B1698" s="6" t="s">
        <v>11697</v>
      </c>
      <c r="C1698" s="6" t="s">
        <v>11699</v>
      </c>
      <c r="D1698" s="6" t="s">
        <v>383</v>
      </c>
      <c r="E1698" s="6" t="s">
        <v>210</v>
      </c>
      <c r="F1698" s="8">
        <v>67.0</v>
      </c>
      <c r="G1698" s="9">
        <v>1727.49</v>
      </c>
      <c r="H1698" s="9">
        <v>10587.8</v>
      </c>
      <c r="I1698" s="6" t="s">
        <v>178</v>
      </c>
      <c r="J1698" s="6" t="s">
        <v>393</v>
      </c>
      <c r="K1698" s="6" t="s">
        <v>11701</v>
      </c>
      <c r="L1698" s="6">
        <v>5.8663946714E10</v>
      </c>
      <c r="M1698" s="6" t="s">
        <v>11702</v>
      </c>
      <c r="N1698" s="6" t="s">
        <v>427</v>
      </c>
      <c r="O1698" s="6" t="s">
        <v>161</v>
      </c>
      <c r="P1698" s="10">
        <v>45972.0</v>
      </c>
    </row>
    <row r="1699" ht="22.5" customHeight="1">
      <c r="A1699" s="6" t="s">
        <v>11704</v>
      </c>
      <c r="B1699" s="6" t="s">
        <v>11705</v>
      </c>
      <c r="C1699" s="6" t="s">
        <v>11706</v>
      </c>
      <c r="D1699" s="6" t="s">
        <v>383</v>
      </c>
      <c r="E1699" s="6" t="s">
        <v>147</v>
      </c>
      <c r="F1699" s="8">
        <v>10.0</v>
      </c>
      <c r="G1699" s="9">
        <v>998.76</v>
      </c>
      <c r="H1699" s="9">
        <v>14095.34</v>
      </c>
      <c r="I1699" s="6" t="s">
        <v>161</v>
      </c>
      <c r="J1699" s="6" t="s">
        <v>577</v>
      </c>
      <c r="K1699" s="6" t="s">
        <v>11708</v>
      </c>
      <c r="L1699" s="6">
        <v>2.5103283218E10</v>
      </c>
      <c r="M1699" s="6" t="s">
        <v>11709</v>
      </c>
      <c r="N1699" s="6" t="s">
        <v>283</v>
      </c>
      <c r="O1699" s="6" t="s">
        <v>178</v>
      </c>
      <c r="P1699" s="10">
        <v>46034.0</v>
      </c>
    </row>
    <row r="1700" ht="22.5" customHeight="1">
      <c r="A1700" s="6" t="s">
        <v>11711</v>
      </c>
      <c r="B1700" s="6" t="s">
        <v>11712</v>
      </c>
      <c r="C1700" s="6" t="s">
        <v>11714</v>
      </c>
      <c r="D1700" s="6" t="s">
        <v>145</v>
      </c>
      <c r="E1700" s="6" t="s">
        <v>301</v>
      </c>
      <c r="F1700" s="8">
        <v>33.0</v>
      </c>
      <c r="G1700" s="9">
        <v>1432.98</v>
      </c>
      <c r="H1700" s="9">
        <v>14887.28</v>
      </c>
      <c r="I1700" s="6" t="s">
        <v>161</v>
      </c>
      <c r="J1700" s="6" t="s">
        <v>442</v>
      </c>
      <c r="K1700" s="6" t="s">
        <v>11716</v>
      </c>
      <c r="L1700" s="6">
        <v>1.6845099822E10</v>
      </c>
      <c r="M1700" s="6" t="s">
        <v>11717</v>
      </c>
      <c r="N1700" s="6" t="s">
        <v>427</v>
      </c>
      <c r="O1700" s="6" t="s">
        <v>178</v>
      </c>
      <c r="P1700" s="10">
        <v>45969.0</v>
      </c>
    </row>
    <row r="1701" ht="22.5" customHeight="1">
      <c r="A1701" s="6" t="s">
        <v>11718</v>
      </c>
      <c r="B1701" s="6" t="s">
        <v>11720</v>
      </c>
      <c r="C1701" s="6" t="s">
        <v>11721</v>
      </c>
      <c r="D1701" s="6" t="s">
        <v>383</v>
      </c>
      <c r="E1701" s="6" t="s">
        <v>147</v>
      </c>
      <c r="F1701" s="8">
        <v>12.0</v>
      </c>
      <c r="G1701" s="9">
        <v>776.73</v>
      </c>
      <c r="H1701" s="9">
        <v>4272.6</v>
      </c>
      <c r="I1701" s="6" t="s">
        <v>161</v>
      </c>
      <c r="J1701" s="6" t="s">
        <v>393</v>
      </c>
      <c r="K1701" s="6" t="s">
        <v>259</v>
      </c>
      <c r="L1701" s="6">
        <v>4.2699336683E10</v>
      </c>
      <c r="M1701" s="6" t="s">
        <v>11723</v>
      </c>
      <c r="N1701" s="6" t="s">
        <v>176</v>
      </c>
      <c r="O1701" s="6" t="s">
        <v>178</v>
      </c>
      <c r="P1701" s="10">
        <v>45969.0</v>
      </c>
    </row>
    <row r="1702" ht="22.5" customHeight="1">
      <c r="A1702" s="6" t="s">
        <v>11724</v>
      </c>
      <c r="B1702" s="6" t="s">
        <v>11725</v>
      </c>
      <c r="C1702" s="6" t="s">
        <v>11726</v>
      </c>
      <c r="D1702" s="6" t="s">
        <v>145</v>
      </c>
      <c r="E1702" s="6" t="s">
        <v>147</v>
      </c>
      <c r="F1702" s="8">
        <v>18.0</v>
      </c>
      <c r="G1702" s="9">
        <v>1782.51</v>
      </c>
      <c r="H1702" s="9">
        <v>15663.15</v>
      </c>
      <c r="I1702" s="6" t="s">
        <v>161</v>
      </c>
      <c r="J1702" s="6" t="s">
        <v>163</v>
      </c>
      <c r="K1702" s="6" t="s">
        <v>11728</v>
      </c>
      <c r="L1702" s="6">
        <v>5.3076352687E10</v>
      </c>
      <c r="M1702" s="6" t="s">
        <v>11729</v>
      </c>
      <c r="N1702" s="6" t="s">
        <v>176</v>
      </c>
      <c r="O1702" s="6" t="s">
        <v>178</v>
      </c>
      <c r="P1702" s="10">
        <v>45952.0</v>
      </c>
    </row>
    <row r="1703" ht="22.5" customHeight="1">
      <c r="A1703" s="6" t="s">
        <v>11730</v>
      </c>
      <c r="B1703" s="6" t="s">
        <v>11732</v>
      </c>
      <c r="C1703" s="6" t="s">
        <v>11733</v>
      </c>
      <c r="D1703" s="6" t="s">
        <v>206</v>
      </c>
      <c r="E1703" s="6" t="s">
        <v>301</v>
      </c>
      <c r="F1703" s="8">
        <v>33.0</v>
      </c>
      <c r="G1703" s="9">
        <v>310.45</v>
      </c>
      <c r="H1703" s="9">
        <v>3777.95</v>
      </c>
      <c r="I1703" s="6" t="s">
        <v>161</v>
      </c>
      <c r="J1703" s="6" t="s">
        <v>479</v>
      </c>
      <c r="K1703" s="6" t="s">
        <v>11734</v>
      </c>
      <c r="L1703" s="6">
        <v>7.4783200842E10</v>
      </c>
      <c r="M1703" s="6" t="s">
        <v>11736</v>
      </c>
      <c r="N1703" s="6" t="s">
        <v>176</v>
      </c>
      <c r="O1703" s="6" t="s">
        <v>178</v>
      </c>
      <c r="P1703" s="10">
        <v>45938.0</v>
      </c>
    </row>
    <row r="1704" ht="22.5" customHeight="1">
      <c r="A1704" s="6" t="s">
        <v>11737</v>
      </c>
      <c r="B1704" s="6" t="s">
        <v>11738</v>
      </c>
      <c r="C1704" s="6" t="s">
        <v>11739</v>
      </c>
      <c r="D1704" s="6" t="s">
        <v>206</v>
      </c>
      <c r="E1704" s="6" t="s">
        <v>210</v>
      </c>
      <c r="F1704" s="8">
        <v>98.0</v>
      </c>
      <c r="G1704" s="9">
        <v>377.43</v>
      </c>
      <c r="H1704" s="9">
        <v>7816.45</v>
      </c>
      <c r="I1704" s="6" t="s">
        <v>161</v>
      </c>
      <c r="J1704" s="6" t="s">
        <v>479</v>
      </c>
      <c r="K1704" s="6" t="s">
        <v>11741</v>
      </c>
      <c r="L1704" s="6">
        <v>2.7417957477E10</v>
      </c>
      <c r="M1704" s="6" t="s">
        <v>11742</v>
      </c>
      <c r="N1704" s="6" t="s">
        <v>112</v>
      </c>
      <c r="O1704" s="6" t="s">
        <v>161</v>
      </c>
      <c r="P1704" s="10">
        <v>45997.0</v>
      </c>
    </row>
    <row r="1705" ht="22.5" customHeight="1">
      <c r="A1705" s="6" t="s">
        <v>11743</v>
      </c>
      <c r="B1705" s="6" t="s">
        <v>11744</v>
      </c>
      <c r="C1705" s="6" t="s">
        <v>11746</v>
      </c>
      <c r="D1705" s="6" t="s">
        <v>383</v>
      </c>
      <c r="E1705" s="6" t="s">
        <v>301</v>
      </c>
      <c r="F1705" s="8">
        <v>34.0</v>
      </c>
      <c r="G1705" s="9">
        <v>1286.04</v>
      </c>
      <c r="H1705" s="9">
        <v>6316.27</v>
      </c>
      <c r="I1705" s="6" t="s">
        <v>161</v>
      </c>
      <c r="J1705" s="6" t="s">
        <v>228</v>
      </c>
      <c r="K1705" s="6" t="s">
        <v>11747</v>
      </c>
      <c r="L1705" s="6">
        <v>3.8698046328E10</v>
      </c>
      <c r="M1705" s="6" t="s">
        <v>11748</v>
      </c>
      <c r="N1705" s="6" t="s">
        <v>427</v>
      </c>
      <c r="O1705" s="6" t="s">
        <v>178</v>
      </c>
      <c r="P1705" s="10">
        <v>46029.0</v>
      </c>
    </row>
    <row r="1706" ht="22.5" customHeight="1">
      <c r="A1706" s="6" t="s">
        <v>11750</v>
      </c>
      <c r="B1706" s="6" t="s">
        <v>11751</v>
      </c>
      <c r="C1706" s="6" t="s">
        <v>11752</v>
      </c>
      <c r="D1706" s="6" t="s">
        <v>383</v>
      </c>
      <c r="E1706" s="6" t="s">
        <v>210</v>
      </c>
      <c r="F1706" s="8">
        <v>84.0</v>
      </c>
      <c r="G1706" s="9">
        <v>1715.22</v>
      </c>
      <c r="H1706" s="9">
        <v>14847.32</v>
      </c>
      <c r="I1706" s="6" t="s">
        <v>161</v>
      </c>
      <c r="J1706" s="6" t="s">
        <v>442</v>
      </c>
      <c r="K1706" s="6" t="s">
        <v>11754</v>
      </c>
      <c r="L1706" s="6">
        <v>6.1896705375E10</v>
      </c>
      <c r="M1706" s="6" t="s">
        <v>11755</v>
      </c>
      <c r="N1706" s="6" t="s">
        <v>176</v>
      </c>
      <c r="O1706" s="6" t="s">
        <v>161</v>
      </c>
      <c r="P1706" s="10">
        <v>45977.0</v>
      </c>
    </row>
    <row r="1707" ht="22.5" customHeight="1">
      <c r="A1707" s="6" t="s">
        <v>11756</v>
      </c>
      <c r="B1707" s="6" t="s">
        <v>11757</v>
      </c>
      <c r="C1707" s="6" t="s">
        <v>11758</v>
      </c>
      <c r="D1707" s="6" t="s">
        <v>206</v>
      </c>
      <c r="E1707" s="6" t="s">
        <v>147</v>
      </c>
      <c r="F1707" s="8">
        <v>16.0</v>
      </c>
      <c r="G1707" s="9">
        <v>973.1</v>
      </c>
      <c r="H1707" s="9">
        <v>14344.56</v>
      </c>
      <c r="I1707" s="6" t="s">
        <v>161</v>
      </c>
      <c r="J1707" s="6" t="s">
        <v>228</v>
      </c>
      <c r="K1707" s="6" t="s">
        <v>11760</v>
      </c>
      <c r="L1707" s="6">
        <v>1.384120962E10</v>
      </c>
      <c r="M1707" s="6" t="s">
        <v>11761</v>
      </c>
      <c r="N1707" s="6" t="s">
        <v>259</v>
      </c>
      <c r="O1707" s="6" t="s">
        <v>178</v>
      </c>
      <c r="P1707" s="10">
        <v>45995.0</v>
      </c>
    </row>
    <row r="1708" ht="22.5" customHeight="1">
      <c r="A1708" s="6" t="s">
        <v>11763</v>
      </c>
      <c r="B1708" s="6" t="s">
        <v>11764</v>
      </c>
      <c r="C1708" s="6" t="s">
        <v>11765</v>
      </c>
      <c r="D1708" s="6" t="s">
        <v>145</v>
      </c>
      <c r="E1708" s="6" t="s">
        <v>147</v>
      </c>
      <c r="F1708" s="8">
        <v>7.0</v>
      </c>
      <c r="G1708" s="9">
        <v>1285.36</v>
      </c>
      <c r="H1708" s="9">
        <v>3841.3</v>
      </c>
      <c r="I1708" s="6" t="s">
        <v>161</v>
      </c>
      <c r="J1708" s="6" t="s">
        <v>479</v>
      </c>
      <c r="K1708" s="6" t="s">
        <v>11767</v>
      </c>
      <c r="L1708" s="6">
        <v>4.076785633E9</v>
      </c>
      <c r="M1708" s="6" t="s">
        <v>11768</v>
      </c>
      <c r="N1708" s="6" t="s">
        <v>283</v>
      </c>
      <c r="O1708" s="6" t="s">
        <v>178</v>
      </c>
      <c r="P1708" s="10">
        <v>45956.0</v>
      </c>
    </row>
    <row r="1709" ht="22.5" customHeight="1">
      <c r="A1709" s="6" t="s">
        <v>11769</v>
      </c>
      <c r="B1709" s="6" t="s">
        <v>11770</v>
      </c>
      <c r="C1709" s="6" t="s">
        <v>11771</v>
      </c>
      <c r="D1709" s="6" t="s">
        <v>206</v>
      </c>
      <c r="E1709" s="6" t="s">
        <v>210</v>
      </c>
      <c r="F1709" s="8">
        <v>118.0</v>
      </c>
      <c r="G1709" s="9">
        <v>1467.32</v>
      </c>
      <c r="H1709" s="9">
        <v>5992.97</v>
      </c>
      <c r="I1709" s="6" t="s">
        <v>178</v>
      </c>
      <c r="J1709" s="6" t="s">
        <v>421</v>
      </c>
      <c r="K1709" s="6" t="s">
        <v>11773</v>
      </c>
      <c r="L1709" s="6">
        <v>5.0857420231E10</v>
      </c>
      <c r="M1709" s="6" t="s">
        <v>11774</v>
      </c>
      <c r="N1709" s="6" t="s">
        <v>283</v>
      </c>
      <c r="O1709" s="6" t="s">
        <v>161</v>
      </c>
      <c r="P1709" s="10">
        <v>46033.0</v>
      </c>
    </row>
    <row r="1710" ht="22.5" customHeight="1">
      <c r="A1710" s="6" t="s">
        <v>11776</v>
      </c>
      <c r="B1710" s="6" t="s">
        <v>11777</v>
      </c>
      <c r="C1710" s="6" t="s">
        <v>11778</v>
      </c>
      <c r="D1710" s="6" t="s">
        <v>206</v>
      </c>
      <c r="E1710" s="6" t="s">
        <v>301</v>
      </c>
      <c r="F1710" s="8">
        <v>33.0</v>
      </c>
      <c r="G1710" s="9">
        <v>727.08</v>
      </c>
      <c r="H1710" s="9">
        <v>5389.29</v>
      </c>
      <c r="I1710" s="6" t="s">
        <v>161</v>
      </c>
      <c r="J1710" s="6" t="s">
        <v>312</v>
      </c>
      <c r="K1710" s="6" t="s">
        <v>11779</v>
      </c>
      <c r="L1710" s="6">
        <v>1.9628456495E10</v>
      </c>
      <c r="M1710" s="6" t="s">
        <v>11780</v>
      </c>
      <c r="N1710" s="6" t="s">
        <v>427</v>
      </c>
      <c r="O1710" s="6" t="s">
        <v>178</v>
      </c>
      <c r="P1710" s="10">
        <v>46010.0</v>
      </c>
    </row>
    <row r="1711" ht="22.5" customHeight="1">
      <c r="A1711" s="6" t="s">
        <v>11782</v>
      </c>
      <c r="B1711" s="6" t="s">
        <v>11783</v>
      </c>
      <c r="C1711" s="6" t="s">
        <v>11784</v>
      </c>
      <c r="D1711" s="6" t="s">
        <v>206</v>
      </c>
      <c r="E1711" s="6" t="s">
        <v>301</v>
      </c>
      <c r="F1711" s="8">
        <v>40.0</v>
      </c>
      <c r="G1711" s="9">
        <v>779.15</v>
      </c>
      <c r="H1711" s="9">
        <v>6145.57</v>
      </c>
      <c r="I1711" s="6" t="s">
        <v>161</v>
      </c>
      <c r="J1711" s="6" t="s">
        <v>357</v>
      </c>
      <c r="K1711" s="6" t="s">
        <v>11785</v>
      </c>
      <c r="L1711" s="6">
        <v>7.6903370066E10</v>
      </c>
      <c r="M1711" s="6" t="s">
        <v>11786</v>
      </c>
      <c r="N1711" s="6" t="s">
        <v>112</v>
      </c>
      <c r="O1711" s="6" t="s">
        <v>178</v>
      </c>
      <c r="P1711" s="10">
        <v>45970.0</v>
      </c>
    </row>
    <row r="1712" ht="22.5" customHeight="1">
      <c r="A1712" s="6" t="s">
        <v>11787</v>
      </c>
      <c r="B1712" s="6" t="s">
        <v>11789</v>
      </c>
      <c r="C1712" s="6" t="s">
        <v>11790</v>
      </c>
      <c r="D1712" s="6" t="s">
        <v>383</v>
      </c>
      <c r="E1712" s="6" t="s">
        <v>147</v>
      </c>
      <c r="F1712" s="8">
        <v>9.0</v>
      </c>
      <c r="G1712" s="9">
        <v>1649.78</v>
      </c>
      <c r="H1712" s="9">
        <v>12010.14</v>
      </c>
      <c r="I1712" s="6" t="s">
        <v>161</v>
      </c>
      <c r="J1712" s="6" t="s">
        <v>357</v>
      </c>
      <c r="K1712" s="6" t="s">
        <v>3021</v>
      </c>
      <c r="L1712" s="6">
        <v>5.1715546304E10</v>
      </c>
      <c r="M1712" s="6" t="s">
        <v>11792</v>
      </c>
      <c r="N1712" s="6" t="s">
        <v>112</v>
      </c>
      <c r="O1712" s="6" t="s">
        <v>178</v>
      </c>
      <c r="P1712" s="10">
        <v>45931.0</v>
      </c>
    </row>
    <row r="1713" ht="22.5" customHeight="1">
      <c r="A1713" s="6" t="s">
        <v>11793</v>
      </c>
      <c r="B1713" s="6" t="s">
        <v>11794</v>
      </c>
      <c r="C1713" s="6" t="s">
        <v>11795</v>
      </c>
      <c r="D1713" s="6" t="s">
        <v>383</v>
      </c>
      <c r="E1713" s="6" t="s">
        <v>147</v>
      </c>
      <c r="F1713" s="8">
        <v>19.0</v>
      </c>
      <c r="G1713" s="9">
        <v>1060.96</v>
      </c>
      <c r="H1713" s="9">
        <v>2876.65</v>
      </c>
      <c r="I1713" s="6" t="s">
        <v>161</v>
      </c>
      <c r="J1713" s="6" t="s">
        <v>465</v>
      </c>
      <c r="K1713" s="6" t="s">
        <v>11797</v>
      </c>
      <c r="L1713" s="6">
        <v>8.1189019675E10</v>
      </c>
      <c r="M1713" s="6" t="s">
        <v>11798</v>
      </c>
      <c r="N1713" s="6" t="s">
        <v>283</v>
      </c>
      <c r="O1713" s="6" t="s">
        <v>178</v>
      </c>
      <c r="P1713" s="10">
        <v>46006.0</v>
      </c>
    </row>
    <row r="1714" ht="22.5" customHeight="1">
      <c r="A1714" s="6" t="s">
        <v>11800</v>
      </c>
      <c r="B1714" s="6" t="s">
        <v>11801</v>
      </c>
      <c r="C1714" s="6" t="s">
        <v>11802</v>
      </c>
      <c r="D1714" s="6" t="s">
        <v>145</v>
      </c>
      <c r="E1714" s="6" t="s">
        <v>210</v>
      </c>
      <c r="F1714" s="8">
        <v>94.0</v>
      </c>
      <c r="G1714" s="9">
        <v>1074.93</v>
      </c>
      <c r="H1714" s="9">
        <v>1566.47</v>
      </c>
      <c r="I1714" s="6" t="s">
        <v>161</v>
      </c>
      <c r="J1714" s="6" t="s">
        <v>357</v>
      </c>
      <c r="K1714" s="6" t="s">
        <v>11803</v>
      </c>
      <c r="L1714" s="6">
        <v>9.1862394344E10</v>
      </c>
      <c r="M1714" s="6" t="s">
        <v>11805</v>
      </c>
      <c r="N1714" s="6" t="s">
        <v>259</v>
      </c>
      <c r="O1714" s="6" t="s">
        <v>161</v>
      </c>
      <c r="P1714" s="10">
        <v>45955.0</v>
      </c>
    </row>
    <row r="1715" ht="22.5" customHeight="1">
      <c r="A1715" s="6" t="s">
        <v>11806</v>
      </c>
      <c r="B1715" s="6" t="s">
        <v>11807</v>
      </c>
      <c r="C1715" s="6" t="s">
        <v>11808</v>
      </c>
      <c r="D1715" s="6" t="s">
        <v>145</v>
      </c>
      <c r="E1715" s="6" t="s">
        <v>147</v>
      </c>
      <c r="F1715" s="8">
        <v>6.0</v>
      </c>
      <c r="G1715" s="9">
        <v>1256.36</v>
      </c>
      <c r="H1715" s="9">
        <v>11254.61</v>
      </c>
      <c r="I1715" s="6" t="s">
        <v>178</v>
      </c>
      <c r="J1715" s="6" t="s">
        <v>421</v>
      </c>
      <c r="K1715" s="6" t="s">
        <v>11810</v>
      </c>
      <c r="L1715" s="6">
        <v>5.7459755614E10</v>
      </c>
      <c r="M1715" s="6" t="s">
        <v>11811</v>
      </c>
      <c r="N1715" s="6" t="s">
        <v>427</v>
      </c>
      <c r="O1715" s="6" t="s">
        <v>161</v>
      </c>
      <c r="P1715" s="10">
        <v>45971.0</v>
      </c>
    </row>
    <row r="1716" ht="22.5" customHeight="1">
      <c r="A1716" s="6" t="s">
        <v>11813</v>
      </c>
      <c r="B1716" s="6" t="s">
        <v>11814</v>
      </c>
      <c r="C1716" s="6" t="s">
        <v>11815</v>
      </c>
      <c r="D1716" s="6" t="s">
        <v>145</v>
      </c>
      <c r="E1716" s="6" t="s">
        <v>301</v>
      </c>
      <c r="F1716" s="8">
        <v>43.0</v>
      </c>
      <c r="G1716" s="9">
        <v>661.9</v>
      </c>
      <c r="H1716" s="9">
        <v>1959.42</v>
      </c>
      <c r="I1716" s="6" t="s">
        <v>161</v>
      </c>
      <c r="J1716" s="6" t="s">
        <v>312</v>
      </c>
      <c r="K1716" s="6" t="s">
        <v>11816</v>
      </c>
      <c r="L1716" s="6">
        <v>2.8872610605E10</v>
      </c>
      <c r="M1716" s="6" t="s">
        <v>11818</v>
      </c>
      <c r="N1716" s="6" t="s">
        <v>283</v>
      </c>
      <c r="O1716" s="6" t="s">
        <v>178</v>
      </c>
      <c r="P1716" s="10">
        <v>46027.0</v>
      </c>
    </row>
    <row r="1717" ht="22.5" customHeight="1">
      <c r="A1717" s="6" t="s">
        <v>11819</v>
      </c>
      <c r="B1717" s="6" t="s">
        <v>11820</v>
      </c>
      <c r="C1717" s="6" t="s">
        <v>11821</v>
      </c>
      <c r="D1717" s="6" t="s">
        <v>206</v>
      </c>
      <c r="E1717" s="6" t="s">
        <v>147</v>
      </c>
      <c r="F1717" s="8">
        <v>11.0</v>
      </c>
      <c r="G1717" s="9">
        <v>294.26</v>
      </c>
      <c r="H1717" s="9">
        <v>11088.62</v>
      </c>
      <c r="I1717" s="6" t="s">
        <v>161</v>
      </c>
      <c r="J1717" s="6" t="s">
        <v>465</v>
      </c>
      <c r="K1717" s="6" t="s">
        <v>11823</v>
      </c>
      <c r="L1717" s="6">
        <v>4.8053003911E10</v>
      </c>
      <c r="M1717" s="6" t="s">
        <v>11824</v>
      </c>
      <c r="N1717" s="6" t="s">
        <v>283</v>
      </c>
      <c r="O1717" s="6" t="s">
        <v>178</v>
      </c>
      <c r="P1717" s="10">
        <v>46004.0</v>
      </c>
    </row>
    <row r="1718" ht="22.5" customHeight="1">
      <c r="A1718" s="6" t="s">
        <v>11826</v>
      </c>
      <c r="B1718" s="6" t="s">
        <v>11827</v>
      </c>
      <c r="C1718" s="6" t="s">
        <v>11828</v>
      </c>
      <c r="D1718" s="6" t="s">
        <v>145</v>
      </c>
      <c r="E1718" s="6" t="s">
        <v>147</v>
      </c>
      <c r="F1718" s="8">
        <v>27.0</v>
      </c>
      <c r="G1718" s="9">
        <v>1577.21</v>
      </c>
      <c r="H1718" s="9">
        <v>5169.16</v>
      </c>
      <c r="I1718" s="6" t="s">
        <v>161</v>
      </c>
      <c r="J1718" s="6" t="s">
        <v>393</v>
      </c>
      <c r="K1718" s="6" t="s">
        <v>11829</v>
      </c>
      <c r="L1718" s="6" t="s">
        <v>259</v>
      </c>
      <c r="M1718" s="6" t="s">
        <v>11831</v>
      </c>
      <c r="N1718" s="6" t="s">
        <v>176</v>
      </c>
      <c r="O1718" s="6" t="s">
        <v>178</v>
      </c>
      <c r="P1718" s="10">
        <v>46028.0</v>
      </c>
    </row>
    <row r="1719" ht="22.5" customHeight="1">
      <c r="A1719" s="6" t="s">
        <v>11832</v>
      </c>
      <c r="B1719" s="6" t="s">
        <v>11833</v>
      </c>
      <c r="C1719" s="6" t="s">
        <v>11834</v>
      </c>
      <c r="D1719" s="6" t="s">
        <v>206</v>
      </c>
      <c r="E1719" s="6" t="s">
        <v>147</v>
      </c>
      <c r="F1719" s="8">
        <v>24.0</v>
      </c>
      <c r="G1719" s="9">
        <v>1521.76</v>
      </c>
      <c r="H1719" s="9">
        <v>6483.3</v>
      </c>
      <c r="I1719" s="6" t="s">
        <v>161</v>
      </c>
      <c r="J1719" s="6" t="s">
        <v>228</v>
      </c>
      <c r="K1719" s="6" t="s">
        <v>259</v>
      </c>
      <c r="L1719" s="6">
        <v>6.5268595635E10</v>
      </c>
      <c r="M1719" s="6" t="s">
        <v>11836</v>
      </c>
      <c r="N1719" s="6" t="s">
        <v>112</v>
      </c>
      <c r="O1719" s="6" t="s">
        <v>178</v>
      </c>
      <c r="P1719" s="10">
        <v>46046.0</v>
      </c>
    </row>
    <row r="1720" ht="22.5" customHeight="1">
      <c r="A1720" s="6" t="s">
        <v>11838</v>
      </c>
      <c r="B1720" s="6" t="s">
        <v>11839</v>
      </c>
      <c r="C1720" s="6" t="s">
        <v>11840</v>
      </c>
      <c r="D1720" s="6" t="s">
        <v>145</v>
      </c>
      <c r="E1720" s="6" t="s">
        <v>301</v>
      </c>
      <c r="F1720" s="8">
        <v>38.0</v>
      </c>
      <c r="G1720" s="9">
        <v>411.47</v>
      </c>
      <c r="H1720" s="9">
        <v>13494.15</v>
      </c>
      <c r="I1720" s="6" t="s">
        <v>161</v>
      </c>
      <c r="J1720" s="6" t="s">
        <v>357</v>
      </c>
      <c r="K1720" s="6" t="s">
        <v>11842</v>
      </c>
      <c r="L1720" s="6">
        <v>6.8849010126E10</v>
      </c>
      <c r="M1720" s="6" t="s">
        <v>11843</v>
      </c>
      <c r="N1720" s="6" t="s">
        <v>283</v>
      </c>
      <c r="O1720" s="6" t="s">
        <v>178</v>
      </c>
      <c r="P1720" s="10">
        <v>45944.0</v>
      </c>
    </row>
    <row r="1721" ht="22.5" customHeight="1">
      <c r="A1721" s="6" t="s">
        <v>11845</v>
      </c>
      <c r="B1721" s="6" t="s">
        <v>11846</v>
      </c>
      <c r="C1721" s="6" t="s">
        <v>11847</v>
      </c>
      <c r="D1721" s="6" t="s">
        <v>145</v>
      </c>
      <c r="E1721" s="6" t="s">
        <v>301</v>
      </c>
      <c r="F1721" s="8">
        <v>55.0</v>
      </c>
      <c r="G1721" s="9">
        <v>1056.03</v>
      </c>
      <c r="H1721" s="9">
        <v>3231.51</v>
      </c>
      <c r="I1721" s="6" t="s">
        <v>161</v>
      </c>
      <c r="J1721" s="6" t="s">
        <v>479</v>
      </c>
      <c r="K1721" s="6" t="s">
        <v>259</v>
      </c>
      <c r="L1721" s="6">
        <v>3.9428003419E10</v>
      </c>
      <c r="M1721" s="6" t="s">
        <v>11849</v>
      </c>
      <c r="N1721" s="6" t="s">
        <v>176</v>
      </c>
      <c r="O1721" s="6" t="s">
        <v>178</v>
      </c>
      <c r="P1721" s="10">
        <v>45970.0</v>
      </c>
    </row>
    <row r="1722" ht="22.5" customHeight="1">
      <c r="A1722" s="6" t="s">
        <v>11851</v>
      </c>
      <c r="B1722" s="6" t="s">
        <v>11852</v>
      </c>
      <c r="C1722" s="6" t="s">
        <v>11853</v>
      </c>
      <c r="D1722" s="6" t="s">
        <v>383</v>
      </c>
      <c r="E1722" s="6" t="s">
        <v>147</v>
      </c>
      <c r="F1722" s="8">
        <v>24.0</v>
      </c>
      <c r="G1722" s="9">
        <v>1754.83</v>
      </c>
      <c r="H1722" s="9">
        <v>14565.94</v>
      </c>
      <c r="I1722" s="6" t="s">
        <v>161</v>
      </c>
      <c r="J1722" s="6" t="s">
        <v>577</v>
      </c>
      <c r="K1722" s="6" t="s">
        <v>11854</v>
      </c>
      <c r="L1722" s="6">
        <v>9.2539352594E10</v>
      </c>
      <c r="M1722" s="6" t="s">
        <v>11856</v>
      </c>
      <c r="N1722" s="6" t="s">
        <v>112</v>
      </c>
      <c r="O1722" s="6" t="s">
        <v>178</v>
      </c>
      <c r="P1722" s="10">
        <v>46002.0</v>
      </c>
    </row>
    <row r="1723" ht="22.5" customHeight="1">
      <c r="A1723" s="6" t="s">
        <v>11857</v>
      </c>
      <c r="B1723" s="6" t="s">
        <v>11858</v>
      </c>
      <c r="C1723" s="6" t="s">
        <v>11859</v>
      </c>
      <c r="D1723" s="6" t="s">
        <v>206</v>
      </c>
      <c r="E1723" s="6" t="s">
        <v>301</v>
      </c>
      <c r="F1723" s="8">
        <v>58.0</v>
      </c>
      <c r="G1723" s="9">
        <v>519.6</v>
      </c>
      <c r="H1723" s="9">
        <v>2363.43</v>
      </c>
      <c r="I1723" s="6" t="s">
        <v>161</v>
      </c>
      <c r="J1723" s="6" t="s">
        <v>577</v>
      </c>
      <c r="K1723" s="6" t="s">
        <v>259</v>
      </c>
      <c r="L1723" s="6">
        <v>4.9734569806E10</v>
      </c>
      <c r="M1723" s="6" t="s">
        <v>11861</v>
      </c>
      <c r="N1723" s="6" t="s">
        <v>112</v>
      </c>
      <c r="O1723" s="6" t="s">
        <v>178</v>
      </c>
      <c r="P1723" s="10">
        <v>45968.0</v>
      </c>
    </row>
    <row r="1724" ht="22.5" customHeight="1">
      <c r="A1724" s="6" t="s">
        <v>11862</v>
      </c>
      <c r="B1724" s="6" t="s">
        <v>11863</v>
      </c>
      <c r="C1724" s="6" t="s">
        <v>11865</v>
      </c>
      <c r="D1724" s="6" t="s">
        <v>145</v>
      </c>
      <c r="E1724" s="6" t="s">
        <v>147</v>
      </c>
      <c r="F1724" s="8">
        <v>15.0</v>
      </c>
      <c r="G1724" s="9">
        <v>1641.02</v>
      </c>
      <c r="H1724" s="9">
        <v>9360.43</v>
      </c>
      <c r="I1724" s="6" t="s">
        <v>161</v>
      </c>
      <c r="J1724" s="6" t="s">
        <v>312</v>
      </c>
      <c r="K1724" s="6" t="s">
        <v>11866</v>
      </c>
      <c r="L1724" s="6">
        <v>3.314405434E10</v>
      </c>
      <c r="M1724" s="6" t="s">
        <v>11867</v>
      </c>
      <c r="N1724" s="6" t="s">
        <v>427</v>
      </c>
      <c r="O1724" s="6" t="s">
        <v>178</v>
      </c>
      <c r="P1724" s="10">
        <v>45950.0</v>
      </c>
    </row>
    <row r="1725" ht="22.5" customHeight="1">
      <c r="A1725" s="6" t="s">
        <v>11869</v>
      </c>
      <c r="B1725" s="6" t="s">
        <v>11870</v>
      </c>
      <c r="C1725" s="6" t="s">
        <v>11871</v>
      </c>
      <c r="D1725" s="6" t="s">
        <v>206</v>
      </c>
      <c r="E1725" s="6" t="s">
        <v>147</v>
      </c>
      <c r="F1725" s="8">
        <v>13.0</v>
      </c>
      <c r="G1725" s="9">
        <v>785.38</v>
      </c>
      <c r="H1725" s="9">
        <v>10545.32</v>
      </c>
      <c r="I1725" s="6" t="s">
        <v>161</v>
      </c>
      <c r="J1725" s="6" t="s">
        <v>442</v>
      </c>
      <c r="K1725" s="6" t="s">
        <v>11873</v>
      </c>
      <c r="L1725" s="6">
        <v>1.815044152E9</v>
      </c>
      <c r="M1725" s="6" t="s">
        <v>11874</v>
      </c>
      <c r="N1725" s="6" t="s">
        <v>176</v>
      </c>
      <c r="O1725" s="6" t="s">
        <v>178</v>
      </c>
      <c r="P1725" s="10">
        <v>46038.0</v>
      </c>
    </row>
    <row r="1726" ht="22.5" customHeight="1">
      <c r="A1726" s="6" t="s">
        <v>11875</v>
      </c>
      <c r="B1726" s="6" t="s">
        <v>11876</v>
      </c>
      <c r="C1726" s="6" t="s">
        <v>11878</v>
      </c>
      <c r="D1726" s="6" t="s">
        <v>206</v>
      </c>
      <c r="E1726" s="6" t="s">
        <v>147</v>
      </c>
      <c r="F1726" s="8">
        <v>12.0</v>
      </c>
      <c r="G1726" s="9">
        <v>1708.5</v>
      </c>
      <c r="H1726" s="9">
        <v>7036.36</v>
      </c>
      <c r="I1726" s="6" t="s">
        <v>161</v>
      </c>
      <c r="J1726" s="6" t="s">
        <v>312</v>
      </c>
      <c r="K1726" s="6" t="s">
        <v>11879</v>
      </c>
      <c r="L1726" s="6">
        <v>2.3139978E8</v>
      </c>
      <c r="M1726" s="6" t="s">
        <v>11880</v>
      </c>
      <c r="N1726" s="6" t="s">
        <v>283</v>
      </c>
      <c r="O1726" s="6" t="s">
        <v>178</v>
      </c>
      <c r="P1726" s="10">
        <v>45934.0</v>
      </c>
    </row>
    <row r="1727" ht="22.5" customHeight="1">
      <c r="A1727" s="6" t="s">
        <v>11881</v>
      </c>
      <c r="B1727" s="6" t="s">
        <v>11882</v>
      </c>
      <c r="C1727" s="6" t="s">
        <v>11883</v>
      </c>
      <c r="D1727" s="6" t="s">
        <v>206</v>
      </c>
      <c r="E1727" s="6" t="s">
        <v>147</v>
      </c>
      <c r="F1727" s="8">
        <v>17.0</v>
      </c>
      <c r="G1727" s="9">
        <v>1178.51</v>
      </c>
      <c r="H1727" s="9">
        <v>5018.78</v>
      </c>
      <c r="I1727" s="6" t="s">
        <v>161</v>
      </c>
      <c r="J1727" s="6" t="s">
        <v>259</v>
      </c>
      <c r="K1727" s="6" t="s">
        <v>11885</v>
      </c>
      <c r="L1727" s="6">
        <v>4.9146065471E10</v>
      </c>
      <c r="M1727" s="6" t="s">
        <v>11886</v>
      </c>
      <c r="N1727" s="6" t="s">
        <v>112</v>
      </c>
      <c r="O1727" s="6" t="s">
        <v>178</v>
      </c>
      <c r="P1727" s="10">
        <v>45931.0</v>
      </c>
    </row>
    <row r="1728" ht="22.5" customHeight="1">
      <c r="A1728" s="6" t="s">
        <v>11887</v>
      </c>
      <c r="B1728" s="6" t="s">
        <v>11888</v>
      </c>
      <c r="C1728" s="6" t="s">
        <v>11890</v>
      </c>
      <c r="D1728" s="6" t="s">
        <v>145</v>
      </c>
      <c r="E1728" s="6" t="s">
        <v>147</v>
      </c>
      <c r="F1728" s="8">
        <v>8.0</v>
      </c>
      <c r="G1728" s="9">
        <v>1619.84</v>
      </c>
      <c r="H1728" s="9">
        <v>8400.82</v>
      </c>
      <c r="I1728" s="6" t="s">
        <v>161</v>
      </c>
      <c r="J1728" s="6" t="s">
        <v>228</v>
      </c>
      <c r="K1728" s="6" t="s">
        <v>11891</v>
      </c>
      <c r="L1728" s="6">
        <v>2.1270095543E10</v>
      </c>
      <c r="M1728" s="6" t="s">
        <v>11892</v>
      </c>
      <c r="N1728" s="6" t="s">
        <v>427</v>
      </c>
      <c r="O1728" s="6" t="s">
        <v>178</v>
      </c>
      <c r="P1728" s="10">
        <v>45986.0</v>
      </c>
    </row>
    <row r="1729" ht="22.5" customHeight="1">
      <c r="A1729" s="6" t="s">
        <v>11894</v>
      </c>
      <c r="B1729" s="6" t="s">
        <v>11895</v>
      </c>
      <c r="C1729" s="6" t="s">
        <v>11896</v>
      </c>
      <c r="D1729" s="6" t="s">
        <v>145</v>
      </c>
      <c r="E1729" s="6" t="s">
        <v>301</v>
      </c>
      <c r="F1729" s="8">
        <v>41.0</v>
      </c>
      <c r="G1729" s="9">
        <v>1266.06</v>
      </c>
      <c r="H1729" s="9">
        <v>13730.57</v>
      </c>
      <c r="I1729" s="6" t="s">
        <v>178</v>
      </c>
      <c r="J1729" s="6" t="s">
        <v>357</v>
      </c>
      <c r="K1729" s="6" t="s">
        <v>11898</v>
      </c>
      <c r="L1729" s="6">
        <v>5.7806690877E10</v>
      </c>
      <c r="M1729" s="6" t="s">
        <v>11900</v>
      </c>
      <c r="N1729" s="6" t="s">
        <v>112</v>
      </c>
      <c r="O1729" s="6" t="s">
        <v>161</v>
      </c>
      <c r="P1729" s="10">
        <v>45992.0</v>
      </c>
    </row>
    <row r="1730" ht="22.5" customHeight="1">
      <c r="A1730" s="6" t="s">
        <v>11901</v>
      </c>
      <c r="B1730" s="6" t="s">
        <v>11902</v>
      </c>
      <c r="C1730" s="6" t="s">
        <v>11903</v>
      </c>
      <c r="D1730" s="6" t="s">
        <v>145</v>
      </c>
      <c r="E1730" s="6" t="s">
        <v>147</v>
      </c>
      <c r="F1730" s="8">
        <v>15.0</v>
      </c>
      <c r="G1730" s="9">
        <v>592.01</v>
      </c>
      <c r="H1730" s="9">
        <v>11690.55</v>
      </c>
      <c r="I1730" s="6" t="s">
        <v>161</v>
      </c>
      <c r="J1730" s="6" t="s">
        <v>421</v>
      </c>
      <c r="K1730" s="6" t="s">
        <v>11905</v>
      </c>
      <c r="L1730" s="6">
        <v>9.6734208626E10</v>
      </c>
      <c r="M1730" s="6" t="s">
        <v>11906</v>
      </c>
      <c r="N1730" s="6" t="s">
        <v>427</v>
      </c>
      <c r="O1730" s="6" t="s">
        <v>178</v>
      </c>
      <c r="P1730" s="10">
        <v>46029.0</v>
      </c>
    </row>
    <row r="1731" ht="22.5" customHeight="1">
      <c r="A1731" s="6" t="s">
        <v>11907</v>
      </c>
      <c r="B1731" s="6" t="s">
        <v>11908</v>
      </c>
      <c r="C1731" s="6" t="s">
        <v>11910</v>
      </c>
      <c r="D1731" s="6" t="s">
        <v>145</v>
      </c>
      <c r="E1731" s="6" t="s">
        <v>147</v>
      </c>
      <c r="F1731" s="8">
        <v>20.0</v>
      </c>
      <c r="G1731" s="9">
        <v>415.96</v>
      </c>
      <c r="H1731" s="9">
        <v>5148.5</v>
      </c>
      <c r="I1731" s="6" t="s">
        <v>161</v>
      </c>
      <c r="J1731" s="6" t="s">
        <v>479</v>
      </c>
      <c r="K1731" s="6" t="s">
        <v>11912</v>
      </c>
      <c r="L1731" s="6">
        <v>9.7640150351E10</v>
      </c>
      <c r="M1731" s="6" t="s">
        <v>11913</v>
      </c>
      <c r="N1731" s="6" t="s">
        <v>259</v>
      </c>
      <c r="O1731" s="6" t="s">
        <v>178</v>
      </c>
      <c r="P1731" s="10">
        <v>45975.0</v>
      </c>
    </row>
    <row r="1732" ht="22.5" customHeight="1">
      <c r="A1732" s="6" t="s">
        <v>11914</v>
      </c>
      <c r="B1732" s="6" t="s">
        <v>11916</v>
      </c>
      <c r="C1732" s="6" t="s">
        <v>11917</v>
      </c>
      <c r="D1732" s="6" t="s">
        <v>206</v>
      </c>
      <c r="E1732" s="6" t="s">
        <v>147</v>
      </c>
      <c r="F1732" s="8">
        <v>8.0</v>
      </c>
      <c r="G1732" s="9">
        <v>814.71</v>
      </c>
      <c r="H1732" s="9">
        <v>2337.63</v>
      </c>
      <c r="I1732" s="6" t="s">
        <v>161</v>
      </c>
      <c r="J1732" s="6" t="s">
        <v>357</v>
      </c>
      <c r="K1732" s="6" t="s">
        <v>11918</v>
      </c>
      <c r="L1732" s="6">
        <v>1.892683687E9</v>
      </c>
      <c r="M1732" s="6" t="s">
        <v>11919</v>
      </c>
      <c r="N1732" s="6" t="s">
        <v>283</v>
      </c>
      <c r="O1732" s="6" t="s">
        <v>178</v>
      </c>
      <c r="P1732" s="10">
        <v>45934.0</v>
      </c>
    </row>
    <row r="1733" ht="22.5" customHeight="1">
      <c r="A1733" s="6" t="s">
        <v>11920</v>
      </c>
      <c r="B1733" s="6" t="s">
        <v>11922</v>
      </c>
      <c r="C1733" s="6" t="s">
        <v>11923</v>
      </c>
      <c r="D1733" s="6" t="s">
        <v>206</v>
      </c>
      <c r="E1733" s="6" t="s">
        <v>147</v>
      </c>
      <c r="F1733" s="8">
        <v>10.0</v>
      </c>
      <c r="G1733" s="9">
        <v>1026.25</v>
      </c>
      <c r="H1733" s="9">
        <v>9047.9</v>
      </c>
      <c r="I1733" s="6" t="s">
        <v>161</v>
      </c>
      <c r="J1733" s="6" t="s">
        <v>479</v>
      </c>
      <c r="K1733" s="6" t="s">
        <v>11924</v>
      </c>
      <c r="L1733" s="6">
        <v>7.9900844837E10</v>
      </c>
      <c r="M1733" s="6" t="s">
        <v>11925</v>
      </c>
      <c r="N1733" s="6" t="s">
        <v>259</v>
      </c>
      <c r="O1733" s="6" t="s">
        <v>178</v>
      </c>
      <c r="P1733" s="10">
        <v>46009.0</v>
      </c>
    </row>
    <row r="1734" ht="22.5" customHeight="1">
      <c r="A1734" s="6" t="s">
        <v>11927</v>
      </c>
      <c r="B1734" s="6" t="s">
        <v>11928</v>
      </c>
      <c r="C1734" s="6" t="s">
        <v>11929</v>
      </c>
      <c r="D1734" s="6" t="s">
        <v>145</v>
      </c>
      <c r="E1734" s="6" t="s">
        <v>147</v>
      </c>
      <c r="F1734" s="8">
        <v>16.0</v>
      </c>
      <c r="G1734" s="9">
        <v>1670.13</v>
      </c>
      <c r="H1734" s="9">
        <v>5029.78</v>
      </c>
      <c r="I1734" s="6" t="s">
        <v>161</v>
      </c>
      <c r="J1734" s="6" t="s">
        <v>465</v>
      </c>
      <c r="K1734" s="6" t="s">
        <v>11930</v>
      </c>
      <c r="L1734" s="6">
        <v>9.5173508E7</v>
      </c>
      <c r="M1734" s="6" t="s">
        <v>11932</v>
      </c>
      <c r="N1734" s="6" t="s">
        <v>283</v>
      </c>
      <c r="O1734" s="6" t="s">
        <v>178</v>
      </c>
      <c r="P1734" s="10">
        <v>45963.0</v>
      </c>
    </row>
    <row r="1735" ht="22.5" customHeight="1">
      <c r="A1735" s="6" t="s">
        <v>11933</v>
      </c>
      <c r="B1735" s="6" t="s">
        <v>11934</v>
      </c>
      <c r="C1735" s="6" t="s">
        <v>11935</v>
      </c>
      <c r="D1735" s="6" t="s">
        <v>206</v>
      </c>
      <c r="E1735" s="6" t="s">
        <v>147</v>
      </c>
      <c r="F1735" s="8">
        <v>8.0</v>
      </c>
      <c r="G1735" s="9">
        <v>1350.19</v>
      </c>
      <c r="H1735" s="9">
        <v>5936.41</v>
      </c>
      <c r="I1735" s="6" t="s">
        <v>161</v>
      </c>
      <c r="J1735" s="6" t="s">
        <v>577</v>
      </c>
      <c r="K1735" s="6" t="s">
        <v>11937</v>
      </c>
      <c r="L1735" s="6">
        <v>5.6323958928E10</v>
      </c>
      <c r="M1735" s="6" t="s">
        <v>11938</v>
      </c>
      <c r="N1735" s="6" t="s">
        <v>112</v>
      </c>
      <c r="O1735" s="6" t="s">
        <v>178</v>
      </c>
      <c r="P1735" s="10">
        <v>45947.0</v>
      </c>
    </row>
    <row r="1736" ht="22.5" customHeight="1">
      <c r="A1736" s="6" t="s">
        <v>11939</v>
      </c>
      <c r="B1736" s="6" t="s">
        <v>11940</v>
      </c>
      <c r="C1736" s="6" t="s">
        <v>11941</v>
      </c>
      <c r="D1736" s="6" t="s">
        <v>383</v>
      </c>
      <c r="E1736" s="6" t="s">
        <v>147</v>
      </c>
      <c r="F1736" s="8">
        <v>22.0</v>
      </c>
      <c r="G1736" s="9">
        <v>132.13</v>
      </c>
      <c r="H1736" s="9">
        <v>2498.53</v>
      </c>
      <c r="I1736" s="6" t="s">
        <v>161</v>
      </c>
      <c r="J1736" s="6" t="s">
        <v>421</v>
      </c>
      <c r="K1736" s="6" t="s">
        <v>11943</v>
      </c>
      <c r="L1736" s="6">
        <v>2.6943371416E10</v>
      </c>
      <c r="M1736" s="6" t="s">
        <v>11944</v>
      </c>
      <c r="N1736" s="6" t="s">
        <v>176</v>
      </c>
      <c r="O1736" s="6" t="s">
        <v>178</v>
      </c>
      <c r="P1736" s="10">
        <v>45957.0</v>
      </c>
    </row>
    <row r="1737" ht="22.5" customHeight="1">
      <c r="A1737" s="6" t="s">
        <v>11945</v>
      </c>
      <c r="B1737" s="6" t="s">
        <v>11946</v>
      </c>
      <c r="C1737" s="6" t="s">
        <v>11947</v>
      </c>
      <c r="D1737" s="6" t="s">
        <v>383</v>
      </c>
      <c r="E1737" s="6" t="s">
        <v>147</v>
      </c>
      <c r="F1737" s="8">
        <v>18.0</v>
      </c>
      <c r="G1737" s="9">
        <v>1092.24</v>
      </c>
      <c r="H1737" s="9">
        <v>4151.67</v>
      </c>
      <c r="I1737" s="6" t="s">
        <v>161</v>
      </c>
      <c r="J1737" s="6" t="s">
        <v>421</v>
      </c>
      <c r="K1737" s="6" t="s">
        <v>11948</v>
      </c>
      <c r="L1737" s="6">
        <v>9.4983089639E10</v>
      </c>
      <c r="M1737" s="6" t="s">
        <v>11950</v>
      </c>
      <c r="N1737" s="6" t="s">
        <v>176</v>
      </c>
      <c r="O1737" s="6" t="s">
        <v>178</v>
      </c>
      <c r="P1737" s="10">
        <v>45966.0</v>
      </c>
    </row>
    <row r="1738" ht="22.5" customHeight="1">
      <c r="A1738" s="6" t="s">
        <v>11951</v>
      </c>
      <c r="B1738" s="6" t="s">
        <v>11952</v>
      </c>
      <c r="C1738" s="6" t="s">
        <v>11953</v>
      </c>
      <c r="D1738" s="6" t="s">
        <v>206</v>
      </c>
      <c r="E1738" s="6" t="s">
        <v>301</v>
      </c>
      <c r="F1738" s="8">
        <v>35.0</v>
      </c>
      <c r="G1738" s="9">
        <v>1393.62</v>
      </c>
      <c r="H1738" s="9">
        <v>12921.55</v>
      </c>
      <c r="I1738" s="6" t="s">
        <v>161</v>
      </c>
      <c r="J1738" s="6" t="s">
        <v>312</v>
      </c>
      <c r="K1738" s="6" t="s">
        <v>11954</v>
      </c>
      <c r="L1738" s="6" t="s">
        <v>259</v>
      </c>
      <c r="M1738" s="6" t="s">
        <v>11956</v>
      </c>
      <c r="N1738" s="6" t="s">
        <v>112</v>
      </c>
      <c r="O1738" s="6" t="s">
        <v>178</v>
      </c>
      <c r="P1738" s="10">
        <v>45961.0</v>
      </c>
    </row>
    <row r="1739" ht="22.5" customHeight="1">
      <c r="A1739" s="6" t="s">
        <v>11957</v>
      </c>
      <c r="B1739" s="6" t="s">
        <v>11958</v>
      </c>
      <c r="C1739" s="6" t="s">
        <v>11959</v>
      </c>
      <c r="D1739" s="6" t="s">
        <v>206</v>
      </c>
      <c r="E1739" s="6" t="s">
        <v>210</v>
      </c>
      <c r="F1739" s="8">
        <v>90.0</v>
      </c>
      <c r="G1739" s="9">
        <v>750.65</v>
      </c>
      <c r="H1739" s="9">
        <v>6435.78</v>
      </c>
      <c r="I1739" s="6" t="s">
        <v>178</v>
      </c>
      <c r="J1739" s="6" t="s">
        <v>259</v>
      </c>
      <c r="K1739" s="6" t="s">
        <v>11960</v>
      </c>
      <c r="L1739" s="6">
        <v>6.7070342053E10</v>
      </c>
      <c r="M1739" s="6" t="s">
        <v>11962</v>
      </c>
      <c r="N1739" s="6" t="s">
        <v>427</v>
      </c>
      <c r="O1739" s="6" t="s">
        <v>161</v>
      </c>
      <c r="P1739" s="10">
        <v>45992.0</v>
      </c>
    </row>
    <row r="1740" ht="22.5" customHeight="1">
      <c r="A1740" s="6" t="s">
        <v>11963</v>
      </c>
      <c r="B1740" s="6" t="s">
        <v>11964</v>
      </c>
      <c r="C1740" s="6" t="s">
        <v>11965</v>
      </c>
      <c r="D1740" s="6" t="s">
        <v>145</v>
      </c>
      <c r="E1740" s="6" t="s">
        <v>147</v>
      </c>
      <c r="F1740" s="8">
        <v>27.0</v>
      </c>
      <c r="G1740" s="9">
        <v>1555.63</v>
      </c>
      <c r="H1740" s="9">
        <v>8189.09</v>
      </c>
      <c r="I1740" s="6" t="s">
        <v>161</v>
      </c>
      <c r="J1740" s="6" t="s">
        <v>442</v>
      </c>
      <c r="K1740" s="6" t="s">
        <v>11967</v>
      </c>
      <c r="L1740" s="6">
        <v>9.0509952617E10</v>
      </c>
      <c r="M1740" s="6" t="s">
        <v>11968</v>
      </c>
      <c r="N1740" s="6" t="s">
        <v>112</v>
      </c>
      <c r="O1740" s="6" t="s">
        <v>178</v>
      </c>
      <c r="P1740" s="10">
        <v>45972.0</v>
      </c>
    </row>
    <row r="1741" ht="22.5" customHeight="1">
      <c r="A1741" s="6" t="s">
        <v>11969</v>
      </c>
      <c r="B1741" s="6" t="s">
        <v>11970</v>
      </c>
      <c r="C1741" s="6" t="s">
        <v>11971</v>
      </c>
      <c r="D1741" s="6" t="s">
        <v>145</v>
      </c>
      <c r="E1741" s="6" t="s">
        <v>147</v>
      </c>
      <c r="F1741" s="8">
        <v>9.0</v>
      </c>
      <c r="G1741" s="9">
        <v>1297.66</v>
      </c>
      <c r="H1741" s="9">
        <v>15005.91</v>
      </c>
      <c r="I1741" s="6" t="s">
        <v>161</v>
      </c>
      <c r="J1741" s="6" t="s">
        <v>442</v>
      </c>
      <c r="K1741" s="6" t="s">
        <v>11973</v>
      </c>
      <c r="L1741" s="6">
        <v>5.9416991443E10</v>
      </c>
      <c r="M1741" s="6" t="s">
        <v>11974</v>
      </c>
      <c r="N1741" s="6" t="s">
        <v>259</v>
      </c>
      <c r="O1741" s="6" t="s">
        <v>178</v>
      </c>
      <c r="P1741" s="10">
        <v>46002.0</v>
      </c>
    </row>
    <row r="1742" ht="22.5" customHeight="1">
      <c r="A1742" s="6" t="s">
        <v>11976</v>
      </c>
      <c r="B1742" s="6" t="s">
        <v>11977</v>
      </c>
      <c r="C1742" s="6" t="s">
        <v>11978</v>
      </c>
      <c r="D1742" s="6" t="s">
        <v>206</v>
      </c>
      <c r="E1742" s="6" t="s">
        <v>147</v>
      </c>
      <c r="F1742" s="8">
        <v>12.0</v>
      </c>
      <c r="G1742" s="9">
        <v>921.37</v>
      </c>
      <c r="H1742" s="9">
        <v>5386.85</v>
      </c>
      <c r="I1742" s="6" t="s">
        <v>161</v>
      </c>
      <c r="J1742" s="6" t="s">
        <v>479</v>
      </c>
      <c r="K1742" s="6" t="s">
        <v>11979</v>
      </c>
      <c r="L1742" s="6" t="s">
        <v>259</v>
      </c>
      <c r="M1742" s="6" t="s">
        <v>11980</v>
      </c>
      <c r="N1742" s="6" t="s">
        <v>176</v>
      </c>
      <c r="O1742" s="6" t="s">
        <v>178</v>
      </c>
      <c r="P1742" s="10">
        <v>45968.0</v>
      </c>
    </row>
    <row r="1743" ht="22.5" customHeight="1">
      <c r="A1743" s="6" t="s">
        <v>11982</v>
      </c>
      <c r="B1743" s="6" t="s">
        <v>11983</v>
      </c>
      <c r="C1743" s="6" t="s">
        <v>11984</v>
      </c>
      <c r="D1743" s="6" t="s">
        <v>145</v>
      </c>
      <c r="E1743" s="6" t="s">
        <v>147</v>
      </c>
      <c r="F1743" s="8">
        <v>5.0</v>
      </c>
      <c r="G1743" s="9">
        <v>238.86</v>
      </c>
      <c r="H1743" s="9">
        <v>13566.91</v>
      </c>
      <c r="I1743" s="6" t="s">
        <v>161</v>
      </c>
      <c r="J1743" s="6" t="s">
        <v>421</v>
      </c>
      <c r="K1743" s="6" t="s">
        <v>11985</v>
      </c>
      <c r="L1743" s="6">
        <v>1.0919007066E10</v>
      </c>
      <c r="M1743" s="6" t="s">
        <v>11986</v>
      </c>
      <c r="N1743" s="6" t="s">
        <v>259</v>
      </c>
      <c r="O1743" s="6" t="s">
        <v>178</v>
      </c>
      <c r="P1743" s="10">
        <v>45937.0</v>
      </c>
    </row>
    <row r="1744" ht="22.5" customHeight="1">
      <c r="A1744" s="6" t="s">
        <v>11987</v>
      </c>
      <c r="B1744" s="6" t="s">
        <v>11989</v>
      </c>
      <c r="C1744" s="6" t="s">
        <v>11990</v>
      </c>
      <c r="D1744" s="6" t="s">
        <v>206</v>
      </c>
      <c r="E1744" s="6" t="s">
        <v>147</v>
      </c>
      <c r="F1744" s="8">
        <v>9.0</v>
      </c>
      <c r="G1744" s="9">
        <v>1646.73</v>
      </c>
      <c r="H1744" s="9">
        <v>9173.53</v>
      </c>
      <c r="I1744" s="6" t="s">
        <v>161</v>
      </c>
      <c r="J1744" s="6" t="s">
        <v>357</v>
      </c>
      <c r="K1744" s="6" t="s">
        <v>11991</v>
      </c>
      <c r="L1744" s="6">
        <v>8.308531588E9</v>
      </c>
      <c r="M1744" s="6" t="s">
        <v>11992</v>
      </c>
      <c r="N1744" s="6" t="s">
        <v>259</v>
      </c>
      <c r="O1744" s="6" t="s">
        <v>178</v>
      </c>
      <c r="P1744" s="10">
        <v>46028.0</v>
      </c>
    </row>
    <row r="1745" ht="22.5" customHeight="1">
      <c r="A1745" s="6" t="s">
        <v>11993</v>
      </c>
      <c r="B1745" s="6" t="s">
        <v>11994</v>
      </c>
      <c r="C1745" s="6" t="s">
        <v>11995</v>
      </c>
      <c r="D1745" s="6" t="s">
        <v>145</v>
      </c>
      <c r="E1745" s="6" t="s">
        <v>301</v>
      </c>
      <c r="F1745" s="8">
        <v>31.0</v>
      </c>
      <c r="G1745" s="9">
        <v>784.96</v>
      </c>
      <c r="H1745" s="9">
        <v>9693.25</v>
      </c>
      <c r="I1745" s="6" t="s">
        <v>161</v>
      </c>
      <c r="J1745" s="6" t="s">
        <v>357</v>
      </c>
      <c r="K1745" s="6" t="s">
        <v>11996</v>
      </c>
      <c r="L1745" s="6">
        <v>8.1942584E10</v>
      </c>
      <c r="M1745" s="6" t="s">
        <v>11998</v>
      </c>
      <c r="N1745" s="6" t="s">
        <v>176</v>
      </c>
      <c r="O1745" s="6" t="s">
        <v>178</v>
      </c>
      <c r="P1745" s="10">
        <v>45945.0</v>
      </c>
    </row>
    <row r="1746" ht="22.5" customHeight="1">
      <c r="A1746" s="6" t="s">
        <v>11999</v>
      </c>
      <c r="B1746" s="6" t="s">
        <v>12000</v>
      </c>
      <c r="C1746" s="6" t="s">
        <v>12001</v>
      </c>
      <c r="D1746" s="6" t="s">
        <v>206</v>
      </c>
      <c r="E1746" s="6" t="s">
        <v>147</v>
      </c>
      <c r="F1746" s="8">
        <v>6.0</v>
      </c>
      <c r="G1746" s="9">
        <v>685.74</v>
      </c>
      <c r="H1746" s="9">
        <v>4806.79</v>
      </c>
      <c r="I1746" s="6" t="s">
        <v>161</v>
      </c>
      <c r="J1746" s="6" t="s">
        <v>312</v>
      </c>
      <c r="K1746" s="6" t="s">
        <v>12002</v>
      </c>
      <c r="L1746" s="6">
        <v>6.9625974754E10</v>
      </c>
      <c r="M1746" s="6" t="s">
        <v>12003</v>
      </c>
      <c r="N1746" s="6" t="s">
        <v>112</v>
      </c>
      <c r="O1746" s="6" t="s">
        <v>178</v>
      </c>
      <c r="P1746" s="10">
        <v>45993.0</v>
      </c>
    </row>
    <row r="1747" ht="22.5" customHeight="1">
      <c r="A1747" s="6" t="s">
        <v>12004</v>
      </c>
      <c r="B1747" s="6" t="s">
        <v>12006</v>
      </c>
      <c r="C1747" s="6" t="s">
        <v>12007</v>
      </c>
      <c r="D1747" s="6" t="s">
        <v>145</v>
      </c>
      <c r="E1747" s="6" t="s">
        <v>147</v>
      </c>
      <c r="F1747" s="8">
        <v>26.0</v>
      </c>
      <c r="G1747" s="9">
        <v>1094.27</v>
      </c>
      <c r="H1747" s="9">
        <v>12274.96</v>
      </c>
      <c r="I1747" s="6" t="s">
        <v>161</v>
      </c>
      <c r="J1747" s="6" t="s">
        <v>4705</v>
      </c>
      <c r="K1747" s="6" t="s">
        <v>12008</v>
      </c>
      <c r="L1747" s="6">
        <v>5.8802146367E10</v>
      </c>
      <c r="M1747" s="6" t="s">
        <v>12009</v>
      </c>
      <c r="N1747" s="6" t="s">
        <v>283</v>
      </c>
      <c r="O1747" s="6" t="s">
        <v>178</v>
      </c>
      <c r="P1747" s="10">
        <v>46028.0</v>
      </c>
    </row>
    <row r="1748" ht="22.5" customHeight="1">
      <c r="A1748" s="6" t="s">
        <v>12010</v>
      </c>
      <c r="B1748" s="6" t="s">
        <v>12011</v>
      </c>
      <c r="C1748" s="6" t="s">
        <v>12012</v>
      </c>
      <c r="D1748" s="6" t="s">
        <v>383</v>
      </c>
      <c r="E1748" s="6" t="s">
        <v>147</v>
      </c>
      <c r="F1748" s="8">
        <v>19.0</v>
      </c>
      <c r="G1748" s="9">
        <v>1649.35</v>
      </c>
      <c r="H1748" s="9">
        <v>2760.15</v>
      </c>
      <c r="I1748" s="6" t="s">
        <v>161</v>
      </c>
      <c r="J1748" s="6" t="s">
        <v>312</v>
      </c>
      <c r="K1748" s="6" t="s">
        <v>259</v>
      </c>
      <c r="L1748" s="6">
        <v>9.3305717048E10</v>
      </c>
      <c r="M1748" s="6" t="s">
        <v>12013</v>
      </c>
      <c r="N1748" s="6" t="s">
        <v>427</v>
      </c>
      <c r="O1748" s="6" t="s">
        <v>178</v>
      </c>
      <c r="P1748" s="10">
        <v>46030.0</v>
      </c>
    </row>
    <row r="1749" ht="22.5" customHeight="1">
      <c r="A1749" s="6" t="s">
        <v>12015</v>
      </c>
      <c r="B1749" s="6" t="s">
        <v>12016</v>
      </c>
      <c r="C1749" s="6" t="s">
        <v>12017</v>
      </c>
      <c r="D1749" s="6" t="s">
        <v>206</v>
      </c>
      <c r="E1749" s="6" t="s">
        <v>147</v>
      </c>
      <c r="F1749" s="8">
        <v>23.0</v>
      </c>
      <c r="G1749" s="9">
        <v>262.53</v>
      </c>
      <c r="H1749" s="9">
        <v>11069.02</v>
      </c>
      <c r="I1749" s="6" t="s">
        <v>161</v>
      </c>
      <c r="J1749" s="6" t="s">
        <v>577</v>
      </c>
      <c r="K1749" s="6" t="s">
        <v>12018</v>
      </c>
      <c r="L1749" s="6">
        <v>1.9524127033E10</v>
      </c>
      <c r="M1749" s="6" t="s">
        <v>12019</v>
      </c>
      <c r="N1749" s="6" t="s">
        <v>112</v>
      </c>
      <c r="O1749" s="6" t="s">
        <v>178</v>
      </c>
      <c r="P1749" s="10">
        <v>45994.0</v>
      </c>
    </row>
    <row r="1750" ht="22.5" customHeight="1">
      <c r="A1750" s="6" t="s">
        <v>12020</v>
      </c>
      <c r="B1750" s="6" t="s">
        <v>12021</v>
      </c>
      <c r="C1750" s="6" t="s">
        <v>12022</v>
      </c>
      <c r="D1750" s="6" t="s">
        <v>206</v>
      </c>
      <c r="E1750" s="6" t="s">
        <v>301</v>
      </c>
      <c r="F1750" s="8">
        <v>34.0</v>
      </c>
      <c r="G1750" s="9">
        <v>1175.39</v>
      </c>
      <c r="H1750" s="9">
        <v>12397.35</v>
      </c>
      <c r="I1750" s="6" t="s">
        <v>161</v>
      </c>
      <c r="J1750" s="6" t="s">
        <v>442</v>
      </c>
      <c r="K1750" s="6" t="s">
        <v>12023</v>
      </c>
      <c r="L1750" s="6">
        <v>5.4163085718E10</v>
      </c>
      <c r="M1750" s="6" t="s">
        <v>12025</v>
      </c>
      <c r="N1750" s="6" t="s">
        <v>283</v>
      </c>
      <c r="O1750" s="6" t="s">
        <v>178</v>
      </c>
      <c r="P1750" s="10">
        <v>45987.0</v>
      </c>
    </row>
    <row r="1751" ht="22.5" customHeight="1">
      <c r="A1751" s="6" t="s">
        <v>12026</v>
      </c>
      <c r="B1751" s="6" t="s">
        <v>12027</v>
      </c>
      <c r="C1751" s="6" t="s">
        <v>12028</v>
      </c>
      <c r="D1751" s="6" t="s">
        <v>145</v>
      </c>
      <c r="E1751" s="6" t="s">
        <v>147</v>
      </c>
      <c r="F1751" s="8">
        <v>16.0</v>
      </c>
      <c r="G1751" s="9">
        <v>159.72</v>
      </c>
      <c r="H1751" s="9">
        <v>7133.38</v>
      </c>
      <c r="I1751" s="6" t="s">
        <v>161</v>
      </c>
      <c r="J1751" s="6" t="s">
        <v>163</v>
      </c>
      <c r="K1751" s="6" t="s">
        <v>12029</v>
      </c>
      <c r="L1751" s="6" t="s">
        <v>259</v>
      </c>
      <c r="M1751" s="6" t="s">
        <v>12030</v>
      </c>
      <c r="N1751" s="6" t="s">
        <v>283</v>
      </c>
      <c r="O1751" s="6" t="s">
        <v>178</v>
      </c>
      <c r="P1751" s="10">
        <v>46014.0</v>
      </c>
    </row>
    <row r="1752" ht="22.5" customHeight="1">
      <c r="A1752" s="6" t="s">
        <v>12031</v>
      </c>
      <c r="B1752" s="6" t="s">
        <v>12033</v>
      </c>
      <c r="C1752" s="6" t="s">
        <v>12034</v>
      </c>
      <c r="D1752" s="6" t="s">
        <v>145</v>
      </c>
      <c r="E1752" s="6" t="s">
        <v>210</v>
      </c>
      <c r="F1752" s="8">
        <v>89.0</v>
      </c>
      <c r="G1752" s="9">
        <v>1107.2</v>
      </c>
      <c r="H1752" s="9">
        <v>14091.13</v>
      </c>
      <c r="I1752" s="6" t="s">
        <v>178</v>
      </c>
      <c r="J1752" s="6" t="s">
        <v>479</v>
      </c>
      <c r="K1752" s="6" t="s">
        <v>12035</v>
      </c>
      <c r="L1752" s="6">
        <v>5.9107598312E10</v>
      </c>
      <c r="M1752" s="6" t="s">
        <v>12036</v>
      </c>
      <c r="N1752" s="6" t="s">
        <v>427</v>
      </c>
      <c r="O1752" s="6" t="s">
        <v>161</v>
      </c>
      <c r="P1752" s="10">
        <v>45963.0</v>
      </c>
    </row>
    <row r="1753" ht="22.5" customHeight="1">
      <c r="A1753" s="6" t="s">
        <v>12037</v>
      </c>
      <c r="B1753" s="6" t="s">
        <v>12038</v>
      </c>
      <c r="C1753" s="6" t="s">
        <v>12039</v>
      </c>
      <c r="D1753" s="6" t="s">
        <v>145</v>
      </c>
      <c r="E1753" s="6" t="s">
        <v>147</v>
      </c>
      <c r="F1753" s="8">
        <v>17.0</v>
      </c>
      <c r="G1753" s="9">
        <v>210.43</v>
      </c>
      <c r="H1753" s="9">
        <v>10948.48</v>
      </c>
      <c r="I1753" s="6" t="s">
        <v>161</v>
      </c>
      <c r="J1753" s="6" t="s">
        <v>393</v>
      </c>
      <c r="K1753" s="6" t="s">
        <v>12041</v>
      </c>
      <c r="L1753" s="6" t="s">
        <v>259</v>
      </c>
      <c r="M1753" s="6" t="s">
        <v>12042</v>
      </c>
      <c r="N1753" s="6" t="s">
        <v>427</v>
      </c>
      <c r="O1753" s="6" t="s">
        <v>178</v>
      </c>
      <c r="P1753" s="10">
        <v>46000.0</v>
      </c>
    </row>
    <row r="1754" ht="22.5" customHeight="1">
      <c r="A1754" s="6" t="s">
        <v>12043</v>
      </c>
      <c r="B1754" s="6" t="s">
        <v>12044</v>
      </c>
      <c r="C1754" s="6" t="s">
        <v>12045</v>
      </c>
      <c r="D1754" s="6" t="s">
        <v>145</v>
      </c>
      <c r="E1754" s="6" t="s">
        <v>301</v>
      </c>
      <c r="F1754" s="8">
        <v>51.0</v>
      </c>
      <c r="G1754" s="9">
        <v>773.32</v>
      </c>
      <c r="H1754" s="9">
        <v>11965.08</v>
      </c>
      <c r="I1754" s="6" t="s">
        <v>161</v>
      </c>
      <c r="J1754" s="6" t="s">
        <v>312</v>
      </c>
      <c r="K1754" s="6" t="s">
        <v>12046</v>
      </c>
      <c r="L1754" s="6">
        <v>9.1021835945E10</v>
      </c>
      <c r="M1754" s="6" t="s">
        <v>12047</v>
      </c>
      <c r="N1754" s="6" t="s">
        <v>427</v>
      </c>
      <c r="O1754" s="6" t="s">
        <v>178</v>
      </c>
      <c r="P1754" s="10">
        <v>45993.0</v>
      </c>
    </row>
    <row r="1755" ht="22.5" customHeight="1">
      <c r="A1755" s="6" t="s">
        <v>12049</v>
      </c>
      <c r="B1755" s="6" t="s">
        <v>12050</v>
      </c>
      <c r="C1755" s="6" t="s">
        <v>12051</v>
      </c>
      <c r="D1755" s="6" t="s">
        <v>145</v>
      </c>
      <c r="E1755" s="6" t="s">
        <v>147</v>
      </c>
      <c r="F1755" s="8">
        <v>27.0</v>
      </c>
      <c r="G1755" s="9">
        <v>396.18</v>
      </c>
      <c r="H1755" s="9">
        <v>5259.68</v>
      </c>
      <c r="I1755" s="6" t="s">
        <v>161</v>
      </c>
      <c r="J1755" s="6" t="s">
        <v>577</v>
      </c>
      <c r="K1755" s="6" t="s">
        <v>12052</v>
      </c>
      <c r="L1755" s="6">
        <v>5.7809073753E10</v>
      </c>
      <c r="M1755" s="6" t="s">
        <v>12053</v>
      </c>
      <c r="N1755" s="6" t="s">
        <v>283</v>
      </c>
      <c r="O1755" s="6" t="s">
        <v>178</v>
      </c>
      <c r="P1755" s="10">
        <v>45978.0</v>
      </c>
    </row>
    <row r="1756" ht="22.5" customHeight="1">
      <c r="A1756" s="6" t="s">
        <v>12055</v>
      </c>
      <c r="B1756" s="6" t="s">
        <v>12056</v>
      </c>
      <c r="C1756" s="6" t="s">
        <v>12057</v>
      </c>
      <c r="D1756" s="6" t="s">
        <v>145</v>
      </c>
      <c r="E1756" s="6" t="s">
        <v>147</v>
      </c>
      <c r="F1756" s="8">
        <v>13.0</v>
      </c>
      <c r="G1756" s="9">
        <v>132.65</v>
      </c>
      <c r="H1756" s="9">
        <v>14016.03</v>
      </c>
      <c r="I1756" s="6" t="s">
        <v>161</v>
      </c>
      <c r="J1756" s="6" t="s">
        <v>577</v>
      </c>
      <c r="K1756" s="6" t="s">
        <v>12058</v>
      </c>
      <c r="L1756" s="6">
        <v>5.8065428028E10</v>
      </c>
      <c r="M1756" s="6" t="s">
        <v>12059</v>
      </c>
      <c r="N1756" s="6" t="s">
        <v>112</v>
      </c>
      <c r="O1756" s="6" t="s">
        <v>178</v>
      </c>
      <c r="P1756" s="10">
        <v>45932.0</v>
      </c>
    </row>
    <row r="1757" ht="22.5" customHeight="1">
      <c r="A1757" s="6" t="s">
        <v>12061</v>
      </c>
      <c r="B1757" s="6" t="s">
        <v>12062</v>
      </c>
      <c r="C1757" s="6" t="s">
        <v>12063</v>
      </c>
      <c r="D1757" s="6" t="s">
        <v>206</v>
      </c>
      <c r="E1757" s="6" t="s">
        <v>147</v>
      </c>
      <c r="F1757" s="8">
        <v>24.0</v>
      </c>
      <c r="G1757" s="9">
        <v>288.53</v>
      </c>
      <c r="H1757" s="9">
        <v>3750.81</v>
      </c>
      <c r="I1757" s="6" t="s">
        <v>161</v>
      </c>
      <c r="J1757" s="6" t="s">
        <v>393</v>
      </c>
      <c r="K1757" s="6" t="s">
        <v>12065</v>
      </c>
      <c r="L1757" s="6">
        <v>4.4827890866E10</v>
      </c>
      <c r="M1757" s="6" t="s">
        <v>12066</v>
      </c>
      <c r="N1757" s="6" t="s">
        <v>259</v>
      </c>
      <c r="O1757" s="6" t="s">
        <v>178</v>
      </c>
      <c r="P1757" s="10">
        <v>45940.0</v>
      </c>
    </row>
    <row r="1758" ht="22.5" customHeight="1">
      <c r="A1758" s="6" t="s">
        <v>12067</v>
      </c>
      <c r="B1758" s="6" t="s">
        <v>12068</v>
      </c>
      <c r="C1758" s="6" t="s">
        <v>12069</v>
      </c>
      <c r="D1758" s="6" t="s">
        <v>145</v>
      </c>
      <c r="E1758" s="6" t="s">
        <v>301</v>
      </c>
      <c r="F1758" s="8">
        <v>35.0</v>
      </c>
      <c r="G1758" s="9">
        <v>500.57</v>
      </c>
      <c r="H1758" s="9">
        <v>14300.02</v>
      </c>
      <c r="I1758" s="6" t="s">
        <v>161</v>
      </c>
      <c r="J1758" s="6" t="s">
        <v>479</v>
      </c>
      <c r="K1758" s="6" t="s">
        <v>12071</v>
      </c>
      <c r="L1758" s="6" t="s">
        <v>259</v>
      </c>
      <c r="M1758" s="6" t="s">
        <v>12072</v>
      </c>
      <c r="N1758" s="6" t="s">
        <v>176</v>
      </c>
      <c r="O1758" s="6" t="s">
        <v>178</v>
      </c>
      <c r="P1758" s="10">
        <v>46032.0</v>
      </c>
    </row>
    <row r="1759" ht="22.5" customHeight="1">
      <c r="A1759" s="6" t="s">
        <v>12073</v>
      </c>
      <c r="B1759" s="6" t="s">
        <v>12075</v>
      </c>
      <c r="C1759" s="6" t="s">
        <v>12076</v>
      </c>
      <c r="D1759" s="6" t="s">
        <v>145</v>
      </c>
      <c r="E1759" s="6" t="s">
        <v>147</v>
      </c>
      <c r="F1759" s="8">
        <v>17.0</v>
      </c>
      <c r="G1759" s="9">
        <v>1699.82</v>
      </c>
      <c r="H1759" s="9">
        <v>2542.1</v>
      </c>
      <c r="I1759" s="6" t="s">
        <v>161</v>
      </c>
      <c r="J1759" s="6" t="s">
        <v>442</v>
      </c>
      <c r="K1759" s="6" t="s">
        <v>12077</v>
      </c>
      <c r="L1759" s="6">
        <v>5.036834081E10</v>
      </c>
      <c r="M1759" s="6" t="s">
        <v>12078</v>
      </c>
      <c r="N1759" s="6" t="s">
        <v>112</v>
      </c>
      <c r="O1759" s="6" t="s">
        <v>178</v>
      </c>
      <c r="P1759" s="10">
        <v>45963.0</v>
      </c>
    </row>
    <row r="1760" ht="22.5" customHeight="1">
      <c r="A1760" s="6" t="s">
        <v>12080</v>
      </c>
      <c r="B1760" s="6" t="s">
        <v>12081</v>
      </c>
      <c r="C1760" s="6" t="s">
        <v>12082</v>
      </c>
      <c r="D1760" s="6" t="s">
        <v>206</v>
      </c>
      <c r="E1760" s="6" t="s">
        <v>147</v>
      </c>
      <c r="F1760" s="8">
        <v>26.0</v>
      </c>
      <c r="G1760" s="9">
        <v>1792.57</v>
      </c>
      <c r="H1760" s="9">
        <v>10297.41</v>
      </c>
      <c r="I1760" s="6" t="s">
        <v>161</v>
      </c>
      <c r="J1760" s="6" t="s">
        <v>259</v>
      </c>
      <c r="K1760" s="6" t="s">
        <v>12083</v>
      </c>
      <c r="L1760" s="6">
        <v>8.4914199085E10</v>
      </c>
      <c r="M1760" s="6" t="s">
        <v>12084</v>
      </c>
      <c r="N1760" s="6" t="s">
        <v>427</v>
      </c>
      <c r="O1760" s="6" t="s">
        <v>178</v>
      </c>
      <c r="P1760" s="10">
        <v>45979.0</v>
      </c>
    </row>
    <row r="1761" ht="22.5" customHeight="1">
      <c r="A1761" s="6" t="s">
        <v>12086</v>
      </c>
      <c r="B1761" s="6" t="s">
        <v>12087</v>
      </c>
      <c r="C1761" s="6" t="s">
        <v>12088</v>
      </c>
      <c r="D1761" s="6" t="s">
        <v>145</v>
      </c>
      <c r="E1761" s="6" t="s">
        <v>147</v>
      </c>
      <c r="F1761" s="8">
        <v>5.0</v>
      </c>
      <c r="G1761" s="9">
        <v>1626.75</v>
      </c>
      <c r="H1761" s="9">
        <v>9405.81</v>
      </c>
      <c r="I1761" s="6" t="s">
        <v>161</v>
      </c>
      <c r="J1761" s="6" t="s">
        <v>465</v>
      </c>
      <c r="K1761" s="6" t="s">
        <v>12089</v>
      </c>
      <c r="L1761" s="6">
        <v>7.7796409894E10</v>
      </c>
      <c r="M1761" s="6" t="s">
        <v>12090</v>
      </c>
      <c r="N1761" s="6" t="s">
        <v>112</v>
      </c>
      <c r="O1761" s="6" t="s">
        <v>178</v>
      </c>
      <c r="P1761" s="10">
        <v>46041.0</v>
      </c>
    </row>
    <row r="1762" ht="22.5" customHeight="1">
      <c r="A1762" s="6" t="s">
        <v>12091</v>
      </c>
      <c r="B1762" s="6" t="s">
        <v>12092</v>
      </c>
      <c r="C1762" s="6" t="s">
        <v>12094</v>
      </c>
      <c r="D1762" s="6" t="s">
        <v>206</v>
      </c>
      <c r="E1762" s="6" t="s">
        <v>147</v>
      </c>
      <c r="F1762" s="8">
        <v>21.0</v>
      </c>
      <c r="G1762" s="9">
        <v>278.46</v>
      </c>
      <c r="H1762" s="9">
        <v>11470.05</v>
      </c>
      <c r="I1762" s="6" t="s">
        <v>161</v>
      </c>
      <c r="J1762" s="6" t="s">
        <v>577</v>
      </c>
      <c r="K1762" s="6" t="s">
        <v>12095</v>
      </c>
      <c r="L1762" s="6">
        <v>5.6669828465E10</v>
      </c>
      <c r="M1762" s="6" t="s">
        <v>12096</v>
      </c>
      <c r="N1762" s="6" t="s">
        <v>112</v>
      </c>
      <c r="O1762" s="6" t="s">
        <v>178</v>
      </c>
      <c r="P1762" s="10">
        <v>46048.0</v>
      </c>
    </row>
    <row r="1763" ht="22.5" customHeight="1">
      <c r="A1763" s="6" t="s">
        <v>12097</v>
      </c>
      <c r="B1763" s="6" t="s">
        <v>12098</v>
      </c>
      <c r="C1763" s="6" t="s">
        <v>12099</v>
      </c>
      <c r="D1763" s="6" t="s">
        <v>145</v>
      </c>
      <c r="E1763" s="6" t="s">
        <v>147</v>
      </c>
      <c r="F1763" s="8">
        <v>20.0</v>
      </c>
      <c r="G1763" s="9">
        <v>1067.3</v>
      </c>
      <c r="H1763" s="9">
        <v>8202.43</v>
      </c>
      <c r="I1763" s="6" t="s">
        <v>161</v>
      </c>
      <c r="J1763" s="6" t="s">
        <v>357</v>
      </c>
      <c r="K1763" s="6" t="s">
        <v>12101</v>
      </c>
      <c r="L1763" s="6">
        <v>6.5831060303E10</v>
      </c>
      <c r="M1763" s="6" t="s">
        <v>12102</v>
      </c>
      <c r="N1763" s="6" t="s">
        <v>176</v>
      </c>
      <c r="O1763" s="6" t="s">
        <v>178</v>
      </c>
      <c r="P1763" s="10">
        <v>45989.0</v>
      </c>
    </row>
    <row r="1764" ht="22.5" customHeight="1">
      <c r="A1764" s="6" t="s">
        <v>12103</v>
      </c>
      <c r="B1764" s="6" t="s">
        <v>12104</v>
      </c>
      <c r="C1764" s="6" t="s">
        <v>12105</v>
      </c>
      <c r="D1764" s="6" t="s">
        <v>383</v>
      </c>
      <c r="E1764" s="6" t="s">
        <v>210</v>
      </c>
      <c r="F1764" s="8">
        <v>94.0</v>
      </c>
      <c r="G1764" s="9">
        <v>556.02</v>
      </c>
      <c r="H1764" s="9">
        <v>14441.66</v>
      </c>
      <c r="I1764" s="6" t="s">
        <v>178</v>
      </c>
      <c r="J1764" s="6" t="s">
        <v>228</v>
      </c>
      <c r="K1764" s="6" t="s">
        <v>12106</v>
      </c>
      <c r="L1764" s="6">
        <v>4.4299746695E10</v>
      </c>
      <c r="M1764" s="6" t="s">
        <v>12107</v>
      </c>
      <c r="N1764" s="6" t="s">
        <v>427</v>
      </c>
      <c r="O1764" s="6" t="s">
        <v>161</v>
      </c>
      <c r="P1764" s="10">
        <v>45975.0</v>
      </c>
    </row>
    <row r="1765" ht="22.5" customHeight="1">
      <c r="A1765" s="6" t="s">
        <v>12108</v>
      </c>
      <c r="B1765" s="6" t="s">
        <v>12109</v>
      </c>
      <c r="C1765" s="6" t="s">
        <v>12111</v>
      </c>
      <c r="D1765" s="6" t="s">
        <v>383</v>
      </c>
      <c r="E1765" s="6" t="s">
        <v>210</v>
      </c>
      <c r="F1765" s="8">
        <v>109.0</v>
      </c>
      <c r="G1765" s="9">
        <v>1342.07</v>
      </c>
      <c r="H1765" s="9">
        <v>6071.97</v>
      </c>
      <c r="I1765" s="6" t="s">
        <v>178</v>
      </c>
      <c r="J1765" s="6" t="s">
        <v>393</v>
      </c>
      <c r="K1765" s="6" t="s">
        <v>12112</v>
      </c>
      <c r="L1765" s="6">
        <v>9.021459506E10</v>
      </c>
      <c r="M1765" s="6" t="s">
        <v>12113</v>
      </c>
      <c r="N1765" s="6" t="s">
        <v>176</v>
      </c>
      <c r="O1765" s="6" t="s">
        <v>161</v>
      </c>
      <c r="P1765" s="10">
        <v>45937.0</v>
      </c>
    </row>
    <row r="1766" ht="22.5" customHeight="1">
      <c r="A1766" s="6" t="s">
        <v>12114</v>
      </c>
      <c r="B1766" s="6" t="s">
        <v>12115</v>
      </c>
      <c r="C1766" s="6" t="s">
        <v>12116</v>
      </c>
      <c r="D1766" s="6" t="s">
        <v>383</v>
      </c>
      <c r="E1766" s="6" t="s">
        <v>147</v>
      </c>
      <c r="F1766" s="8">
        <v>11.0</v>
      </c>
      <c r="G1766" s="9">
        <v>1799.6</v>
      </c>
      <c r="H1766" s="9">
        <v>6154.53</v>
      </c>
      <c r="I1766" s="6" t="s">
        <v>161</v>
      </c>
      <c r="J1766" s="6" t="s">
        <v>163</v>
      </c>
      <c r="K1766" s="6" t="s">
        <v>12118</v>
      </c>
      <c r="L1766" s="6">
        <v>8.2583785069E10</v>
      </c>
      <c r="M1766" s="6" t="s">
        <v>12119</v>
      </c>
      <c r="N1766" s="6" t="s">
        <v>112</v>
      </c>
      <c r="O1766" s="6" t="s">
        <v>178</v>
      </c>
      <c r="P1766" s="10">
        <v>45949.0</v>
      </c>
    </row>
    <row r="1767" ht="22.5" customHeight="1">
      <c r="A1767" s="6" t="s">
        <v>12120</v>
      </c>
      <c r="B1767" s="6" t="s">
        <v>12121</v>
      </c>
      <c r="C1767" s="6" t="s">
        <v>12122</v>
      </c>
      <c r="D1767" s="6" t="s">
        <v>145</v>
      </c>
      <c r="E1767" s="6" t="s">
        <v>301</v>
      </c>
      <c r="F1767" s="8">
        <v>47.0</v>
      </c>
      <c r="G1767" s="9">
        <v>1707.56</v>
      </c>
      <c r="H1767" s="9">
        <v>5974.34</v>
      </c>
      <c r="I1767" s="6" t="s">
        <v>161</v>
      </c>
      <c r="J1767" s="6" t="s">
        <v>577</v>
      </c>
      <c r="K1767" s="6" t="s">
        <v>12123</v>
      </c>
      <c r="L1767" s="6">
        <v>9.4414501963E10</v>
      </c>
      <c r="M1767" s="6" t="s">
        <v>12124</v>
      </c>
      <c r="N1767" s="6" t="s">
        <v>427</v>
      </c>
      <c r="O1767" s="6" t="s">
        <v>178</v>
      </c>
      <c r="P1767" s="10">
        <v>45955.0</v>
      </c>
    </row>
    <row r="1768" ht="22.5" customHeight="1">
      <c r="A1768" s="6" t="s">
        <v>12125</v>
      </c>
      <c r="B1768" s="6" t="s">
        <v>12126</v>
      </c>
      <c r="C1768" s="6" t="s">
        <v>12127</v>
      </c>
      <c r="D1768" s="6" t="s">
        <v>145</v>
      </c>
      <c r="E1768" s="6" t="s">
        <v>301</v>
      </c>
      <c r="F1768" s="8">
        <v>32.0</v>
      </c>
      <c r="G1768" s="9">
        <v>473.77</v>
      </c>
      <c r="H1768" s="9">
        <v>6185.95</v>
      </c>
      <c r="I1768" s="6" t="s">
        <v>161</v>
      </c>
      <c r="J1768" s="6" t="s">
        <v>357</v>
      </c>
      <c r="K1768" s="6" t="s">
        <v>12129</v>
      </c>
      <c r="L1768" s="6">
        <v>7.27030944E9</v>
      </c>
      <c r="M1768" s="6" t="s">
        <v>12130</v>
      </c>
      <c r="N1768" s="6" t="s">
        <v>427</v>
      </c>
      <c r="O1768" s="6" t="s">
        <v>178</v>
      </c>
      <c r="P1768" s="10">
        <v>45970.0</v>
      </c>
    </row>
    <row r="1769" ht="22.5" customHeight="1">
      <c r="A1769" s="6" t="s">
        <v>12131</v>
      </c>
      <c r="B1769" s="6" t="s">
        <v>12132</v>
      </c>
      <c r="C1769" s="6" t="s">
        <v>12133</v>
      </c>
      <c r="D1769" s="6" t="s">
        <v>145</v>
      </c>
      <c r="E1769" s="6" t="s">
        <v>147</v>
      </c>
      <c r="F1769" s="8">
        <v>5.0</v>
      </c>
      <c r="G1769" s="9">
        <v>1262.6</v>
      </c>
      <c r="H1769" s="9">
        <v>8828.7</v>
      </c>
      <c r="I1769" s="6" t="s">
        <v>161</v>
      </c>
      <c r="J1769" s="6" t="s">
        <v>163</v>
      </c>
      <c r="K1769" s="6" t="s">
        <v>12135</v>
      </c>
      <c r="L1769" s="6">
        <v>8.3018660422E10</v>
      </c>
      <c r="M1769" s="6" t="s">
        <v>12136</v>
      </c>
      <c r="N1769" s="6" t="s">
        <v>176</v>
      </c>
      <c r="O1769" s="6" t="s">
        <v>4031</v>
      </c>
      <c r="P1769" s="10">
        <v>45948.0</v>
      </c>
    </row>
    <row r="1770" ht="22.5" customHeight="1">
      <c r="A1770" s="6" t="s">
        <v>12137</v>
      </c>
      <c r="B1770" s="6" t="s">
        <v>12138</v>
      </c>
      <c r="C1770" s="6" t="s">
        <v>12139</v>
      </c>
      <c r="D1770" s="6" t="s">
        <v>383</v>
      </c>
      <c r="E1770" s="6" t="s">
        <v>147</v>
      </c>
      <c r="F1770" s="8">
        <v>13.0</v>
      </c>
      <c r="G1770" s="9">
        <v>518.33</v>
      </c>
      <c r="H1770" s="9">
        <v>2681.89</v>
      </c>
      <c r="I1770" s="6" t="s">
        <v>161</v>
      </c>
      <c r="J1770" s="6" t="s">
        <v>442</v>
      </c>
      <c r="K1770" s="6" t="s">
        <v>12141</v>
      </c>
      <c r="L1770" s="6">
        <v>5.2807786586E10</v>
      </c>
      <c r="M1770" s="6" t="s">
        <v>12142</v>
      </c>
      <c r="N1770" s="6" t="s">
        <v>427</v>
      </c>
      <c r="O1770" s="6" t="s">
        <v>178</v>
      </c>
      <c r="P1770" s="10">
        <v>45964.0</v>
      </c>
    </row>
    <row r="1771" ht="22.5" customHeight="1">
      <c r="A1771" s="6" t="s">
        <v>12143</v>
      </c>
      <c r="B1771" s="6" t="s">
        <v>12144</v>
      </c>
      <c r="C1771" s="6" t="s">
        <v>12145</v>
      </c>
      <c r="D1771" s="6" t="s">
        <v>145</v>
      </c>
      <c r="E1771" s="6" t="s">
        <v>147</v>
      </c>
      <c r="F1771" s="8">
        <v>26.0</v>
      </c>
      <c r="G1771" s="9">
        <v>121.57</v>
      </c>
      <c r="H1771" s="9">
        <v>2193.57</v>
      </c>
      <c r="I1771" s="6" t="s">
        <v>161</v>
      </c>
      <c r="J1771" s="6" t="s">
        <v>442</v>
      </c>
      <c r="K1771" s="6" t="s">
        <v>12146</v>
      </c>
      <c r="L1771" s="6">
        <v>4.8589314959E10</v>
      </c>
      <c r="M1771" s="6" t="s">
        <v>12148</v>
      </c>
      <c r="N1771" s="6" t="s">
        <v>112</v>
      </c>
      <c r="O1771" s="6" t="s">
        <v>178</v>
      </c>
      <c r="P1771" s="10">
        <v>46014.0</v>
      </c>
    </row>
    <row r="1772" ht="22.5" customHeight="1">
      <c r="A1772" s="6" t="s">
        <v>12149</v>
      </c>
      <c r="B1772" s="6" t="s">
        <v>12150</v>
      </c>
      <c r="C1772" s="6" t="s">
        <v>12151</v>
      </c>
      <c r="D1772" s="6" t="s">
        <v>206</v>
      </c>
      <c r="E1772" s="6" t="s">
        <v>301</v>
      </c>
      <c r="F1772" s="8">
        <v>52.0</v>
      </c>
      <c r="G1772" s="9">
        <v>1712.54</v>
      </c>
      <c r="H1772" s="9">
        <v>12954.62</v>
      </c>
      <c r="I1772" s="6" t="s">
        <v>161</v>
      </c>
      <c r="J1772" s="6" t="s">
        <v>357</v>
      </c>
      <c r="K1772" s="6" t="s">
        <v>12153</v>
      </c>
      <c r="L1772" s="6">
        <v>7.8453166589E10</v>
      </c>
      <c r="M1772" s="6" t="s">
        <v>12154</v>
      </c>
      <c r="N1772" s="6" t="s">
        <v>112</v>
      </c>
      <c r="O1772" s="6" t="s">
        <v>178</v>
      </c>
      <c r="P1772" s="10">
        <v>46043.0</v>
      </c>
    </row>
    <row r="1773" ht="22.5" customHeight="1">
      <c r="A1773" s="6" t="s">
        <v>12155</v>
      </c>
      <c r="B1773" s="6" t="s">
        <v>12156</v>
      </c>
      <c r="C1773" s="6" t="s">
        <v>12157</v>
      </c>
      <c r="D1773" s="6" t="s">
        <v>206</v>
      </c>
      <c r="E1773" s="6" t="s">
        <v>147</v>
      </c>
      <c r="F1773" s="8">
        <v>14.0</v>
      </c>
      <c r="G1773" s="9">
        <v>231.36</v>
      </c>
      <c r="H1773" s="9">
        <v>12631.2</v>
      </c>
      <c r="I1773" s="6" t="s">
        <v>161</v>
      </c>
      <c r="J1773" s="6" t="s">
        <v>357</v>
      </c>
      <c r="K1773" s="6" t="s">
        <v>12159</v>
      </c>
      <c r="L1773" s="6">
        <v>8.3168815388E10</v>
      </c>
      <c r="M1773" s="6" t="s">
        <v>12160</v>
      </c>
      <c r="N1773" s="6" t="s">
        <v>259</v>
      </c>
      <c r="O1773" s="6" t="s">
        <v>178</v>
      </c>
      <c r="P1773" s="10">
        <v>46019.0</v>
      </c>
    </row>
    <row r="1774" ht="22.5" customHeight="1">
      <c r="A1774" s="6" t="s">
        <v>12161</v>
      </c>
      <c r="B1774" s="6" t="s">
        <v>12162</v>
      </c>
      <c r="C1774" s="6" t="s">
        <v>12164</v>
      </c>
      <c r="D1774" s="6" t="s">
        <v>145</v>
      </c>
      <c r="E1774" s="6" t="s">
        <v>301</v>
      </c>
      <c r="F1774" s="8">
        <v>55.0</v>
      </c>
      <c r="G1774" s="9">
        <v>1771.05</v>
      </c>
      <c r="H1774" s="9">
        <v>5809.48</v>
      </c>
      <c r="I1774" s="6" t="s">
        <v>161</v>
      </c>
      <c r="J1774" s="6" t="s">
        <v>479</v>
      </c>
      <c r="K1774" s="6" t="s">
        <v>12165</v>
      </c>
      <c r="L1774" s="6">
        <v>5.7400781321E10</v>
      </c>
      <c r="M1774" s="6" t="s">
        <v>12166</v>
      </c>
      <c r="N1774" s="6" t="s">
        <v>176</v>
      </c>
      <c r="O1774" s="6" t="s">
        <v>178</v>
      </c>
      <c r="P1774" s="10">
        <v>45988.0</v>
      </c>
    </row>
    <row r="1775" ht="22.5" customHeight="1">
      <c r="A1775" s="6" t="s">
        <v>12167</v>
      </c>
      <c r="B1775" s="6" t="s">
        <v>12168</v>
      </c>
      <c r="C1775" s="6" t="s">
        <v>12169</v>
      </c>
      <c r="D1775" s="6" t="s">
        <v>145</v>
      </c>
      <c r="E1775" s="6" t="s">
        <v>301</v>
      </c>
      <c r="F1775" s="8">
        <v>47.0</v>
      </c>
      <c r="G1775" s="9">
        <v>806.1</v>
      </c>
      <c r="H1775" s="9">
        <v>11454.92</v>
      </c>
      <c r="I1775" s="6" t="s">
        <v>161</v>
      </c>
      <c r="J1775" s="6" t="s">
        <v>228</v>
      </c>
      <c r="K1775" s="6" t="s">
        <v>12171</v>
      </c>
      <c r="L1775" s="6">
        <v>1.848783878E10</v>
      </c>
      <c r="M1775" s="6" t="s">
        <v>12172</v>
      </c>
      <c r="N1775" s="6" t="s">
        <v>112</v>
      </c>
      <c r="O1775" s="6" t="s">
        <v>178</v>
      </c>
      <c r="P1775" s="10">
        <v>46013.0</v>
      </c>
    </row>
    <row r="1776" ht="22.5" customHeight="1">
      <c r="A1776" s="6" t="s">
        <v>12173</v>
      </c>
      <c r="B1776" s="6" t="s">
        <v>12174</v>
      </c>
      <c r="C1776" s="6" t="s">
        <v>12175</v>
      </c>
      <c r="D1776" s="6" t="s">
        <v>206</v>
      </c>
      <c r="E1776" s="6" t="s">
        <v>210</v>
      </c>
      <c r="F1776" s="8">
        <v>103.0</v>
      </c>
      <c r="G1776" s="9">
        <v>642.88</v>
      </c>
      <c r="H1776" s="9">
        <v>7640.67</v>
      </c>
      <c r="I1776" s="6" t="s">
        <v>178</v>
      </c>
      <c r="J1776" s="6" t="s">
        <v>442</v>
      </c>
      <c r="K1776" s="6" t="s">
        <v>12177</v>
      </c>
      <c r="L1776" s="6">
        <v>5.9075925553E10</v>
      </c>
      <c r="M1776" s="6" t="s">
        <v>12178</v>
      </c>
      <c r="N1776" s="6" t="s">
        <v>427</v>
      </c>
      <c r="O1776" s="6" t="s">
        <v>161</v>
      </c>
      <c r="P1776" s="10">
        <v>46041.0</v>
      </c>
    </row>
    <row r="1777" ht="22.5" customHeight="1">
      <c r="A1777" s="6" t="s">
        <v>12179</v>
      </c>
      <c r="B1777" s="6" t="s">
        <v>12180</v>
      </c>
      <c r="C1777" s="6" t="s">
        <v>12181</v>
      </c>
      <c r="D1777" s="6" t="s">
        <v>145</v>
      </c>
      <c r="E1777" s="6" t="s">
        <v>147</v>
      </c>
      <c r="F1777" s="8">
        <v>20.0</v>
      </c>
      <c r="G1777" s="9">
        <v>1608.63</v>
      </c>
      <c r="H1777" s="9">
        <v>2386.63</v>
      </c>
      <c r="I1777" s="6" t="s">
        <v>161</v>
      </c>
      <c r="J1777" s="6" t="s">
        <v>577</v>
      </c>
      <c r="K1777" s="6" t="s">
        <v>12183</v>
      </c>
      <c r="L1777" s="6">
        <v>5.8741419084E10</v>
      </c>
      <c r="M1777" s="6" t="s">
        <v>12184</v>
      </c>
      <c r="N1777" s="6" t="s">
        <v>283</v>
      </c>
      <c r="O1777" s="6" t="s">
        <v>178</v>
      </c>
      <c r="P1777" s="10">
        <v>45955.0</v>
      </c>
    </row>
    <row r="1778" ht="22.5" customHeight="1">
      <c r="A1778" s="6" t="s">
        <v>12185</v>
      </c>
      <c r="B1778" s="6" t="s">
        <v>12186</v>
      </c>
      <c r="C1778" s="6" t="s">
        <v>12187</v>
      </c>
      <c r="D1778" s="6" t="s">
        <v>145</v>
      </c>
      <c r="E1778" s="6" t="s">
        <v>301</v>
      </c>
      <c r="F1778" s="8">
        <v>54.0</v>
      </c>
      <c r="G1778" s="9">
        <v>1566.32</v>
      </c>
      <c r="H1778" s="9">
        <v>4669.67</v>
      </c>
      <c r="I1778" s="6" t="s">
        <v>161</v>
      </c>
      <c r="J1778" s="6" t="s">
        <v>163</v>
      </c>
      <c r="K1778" s="6" t="s">
        <v>12189</v>
      </c>
      <c r="L1778" s="6">
        <v>6.3164928078E10</v>
      </c>
      <c r="M1778" s="6" t="s">
        <v>12190</v>
      </c>
      <c r="N1778" s="6" t="s">
        <v>112</v>
      </c>
      <c r="O1778" s="6" t="s">
        <v>178</v>
      </c>
      <c r="P1778" s="10">
        <v>46040.0</v>
      </c>
    </row>
    <row r="1779" ht="22.5" customHeight="1">
      <c r="A1779" s="6" t="s">
        <v>12191</v>
      </c>
      <c r="B1779" s="6" t="s">
        <v>12192</v>
      </c>
      <c r="C1779" s="6" t="s">
        <v>12194</v>
      </c>
      <c r="D1779" s="6" t="s">
        <v>206</v>
      </c>
      <c r="E1779" s="6" t="s">
        <v>147</v>
      </c>
      <c r="F1779" s="8">
        <v>18.0</v>
      </c>
      <c r="G1779" s="9">
        <v>1372.44</v>
      </c>
      <c r="H1779" s="9">
        <v>10276.14</v>
      </c>
      <c r="I1779" s="6" t="s">
        <v>161</v>
      </c>
      <c r="J1779" s="6" t="s">
        <v>465</v>
      </c>
      <c r="K1779" s="6" t="s">
        <v>12195</v>
      </c>
      <c r="L1779" s="6">
        <v>7.2520619955E10</v>
      </c>
      <c r="M1779" s="6" t="s">
        <v>12196</v>
      </c>
      <c r="N1779" s="6" t="s">
        <v>283</v>
      </c>
      <c r="O1779" s="6" t="s">
        <v>178</v>
      </c>
      <c r="P1779" s="10">
        <v>45985.0</v>
      </c>
    </row>
    <row r="1780" ht="22.5" customHeight="1">
      <c r="A1780" s="6" t="s">
        <v>12197</v>
      </c>
      <c r="B1780" s="6" t="s">
        <v>12198</v>
      </c>
      <c r="C1780" s="6" t="s">
        <v>12199</v>
      </c>
      <c r="D1780" s="6" t="s">
        <v>145</v>
      </c>
      <c r="E1780" s="6" t="s">
        <v>301</v>
      </c>
      <c r="F1780" s="8">
        <v>38.0</v>
      </c>
      <c r="G1780" s="9">
        <v>492.19</v>
      </c>
      <c r="H1780" s="9">
        <v>1429.53</v>
      </c>
      <c r="I1780" s="6" t="s">
        <v>161</v>
      </c>
      <c r="J1780" s="6" t="s">
        <v>577</v>
      </c>
      <c r="K1780" s="6" t="s">
        <v>12201</v>
      </c>
      <c r="L1780" s="6">
        <v>5.5643496254E10</v>
      </c>
      <c r="M1780" s="6" t="s">
        <v>12202</v>
      </c>
      <c r="N1780" s="6" t="s">
        <v>283</v>
      </c>
      <c r="O1780" s="6" t="s">
        <v>178</v>
      </c>
      <c r="P1780" s="10">
        <v>45933.0</v>
      </c>
    </row>
    <row r="1781" ht="22.5" customHeight="1">
      <c r="A1781" s="6" t="s">
        <v>12204</v>
      </c>
      <c r="B1781" s="6" t="s">
        <v>12205</v>
      </c>
      <c r="C1781" s="6" t="s">
        <v>12206</v>
      </c>
      <c r="D1781" s="6" t="s">
        <v>383</v>
      </c>
      <c r="E1781" s="6" t="s">
        <v>301</v>
      </c>
      <c r="F1781" s="8">
        <v>48.0</v>
      </c>
      <c r="G1781" s="9">
        <v>776.83</v>
      </c>
      <c r="H1781" s="9">
        <v>8293.98</v>
      </c>
      <c r="I1781" s="6" t="s">
        <v>161</v>
      </c>
      <c r="J1781" s="6" t="s">
        <v>465</v>
      </c>
      <c r="K1781" s="6" t="s">
        <v>259</v>
      </c>
      <c r="L1781" s="6">
        <v>5.260009633E10</v>
      </c>
      <c r="M1781" s="6" t="s">
        <v>12208</v>
      </c>
      <c r="N1781" s="6" t="s">
        <v>259</v>
      </c>
      <c r="O1781" s="6" t="s">
        <v>178</v>
      </c>
      <c r="P1781" s="10">
        <v>45941.0</v>
      </c>
    </row>
    <row r="1782" ht="22.5" customHeight="1">
      <c r="A1782" s="6" t="s">
        <v>12209</v>
      </c>
      <c r="B1782" s="6" t="s">
        <v>12210</v>
      </c>
      <c r="C1782" s="6" t="s">
        <v>12211</v>
      </c>
      <c r="D1782" s="6" t="s">
        <v>145</v>
      </c>
      <c r="E1782" s="6" t="s">
        <v>210</v>
      </c>
      <c r="F1782" s="8">
        <v>77.0</v>
      </c>
      <c r="G1782" s="9">
        <v>1356.89</v>
      </c>
      <c r="H1782" s="9">
        <v>13337.45</v>
      </c>
      <c r="I1782" s="6" t="s">
        <v>161</v>
      </c>
      <c r="J1782" s="6" t="s">
        <v>163</v>
      </c>
      <c r="K1782" s="6" t="s">
        <v>12213</v>
      </c>
      <c r="L1782" s="6">
        <v>8.4908551288E10</v>
      </c>
      <c r="M1782" s="6" t="s">
        <v>12214</v>
      </c>
      <c r="N1782" s="6" t="s">
        <v>427</v>
      </c>
      <c r="O1782" s="6" t="s">
        <v>161</v>
      </c>
      <c r="P1782" s="10">
        <v>45956.0</v>
      </c>
    </row>
    <row r="1783" ht="22.5" customHeight="1">
      <c r="A1783" s="6" t="s">
        <v>12215</v>
      </c>
      <c r="B1783" s="6" t="s">
        <v>12216</v>
      </c>
      <c r="C1783" s="6" t="s">
        <v>12218</v>
      </c>
      <c r="D1783" s="6" t="s">
        <v>145</v>
      </c>
      <c r="E1783" s="6" t="s">
        <v>147</v>
      </c>
      <c r="F1783" s="8">
        <v>27.0</v>
      </c>
      <c r="G1783" s="9">
        <v>146.75</v>
      </c>
      <c r="H1783" s="9">
        <v>8092.81</v>
      </c>
      <c r="I1783" s="6" t="s">
        <v>161</v>
      </c>
      <c r="J1783" s="6" t="s">
        <v>442</v>
      </c>
      <c r="K1783" s="6" t="s">
        <v>12219</v>
      </c>
      <c r="L1783" s="6">
        <v>2.0182046276E10</v>
      </c>
      <c r="M1783" s="6" t="s">
        <v>12220</v>
      </c>
      <c r="N1783" s="6" t="s">
        <v>112</v>
      </c>
      <c r="O1783" s="6" t="s">
        <v>178</v>
      </c>
      <c r="P1783" s="10">
        <v>46013.0</v>
      </c>
    </row>
    <row r="1784" ht="22.5" customHeight="1">
      <c r="A1784" s="6" t="s">
        <v>12222</v>
      </c>
      <c r="B1784" s="6" t="s">
        <v>12223</v>
      </c>
      <c r="C1784" s="6" t="s">
        <v>12224</v>
      </c>
      <c r="D1784" s="6" t="s">
        <v>145</v>
      </c>
      <c r="E1784" s="6" t="s">
        <v>147</v>
      </c>
      <c r="F1784" s="8">
        <v>13.0</v>
      </c>
      <c r="G1784" s="9">
        <v>335.4</v>
      </c>
      <c r="H1784" s="9">
        <v>12368.33</v>
      </c>
      <c r="I1784" s="6" t="s">
        <v>161</v>
      </c>
      <c r="J1784" s="6" t="s">
        <v>163</v>
      </c>
      <c r="K1784" s="6" t="s">
        <v>12226</v>
      </c>
      <c r="L1784" s="6">
        <v>6.1709248499E10</v>
      </c>
      <c r="M1784" s="6" t="s">
        <v>12227</v>
      </c>
      <c r="N1784" s="6" t="s">
        <v>176</v>
      </c>
      <c r="O1784" s="6" t="s">
        <v>178</v>
      </c>
      <c r="P1784" s="10">
        <v>46029.0</v>
      </c>
    </row>
    <row r="1785" ht="22.5" customHeight="1">
      <c r="A1785" s="6" t="s">
        <v>12229</v>
      </c>
      <c r="B1785" s="6" t="s">
        <v>12230</v>
      </c>
      <c r="C1785" s="6" t="s">
        <v>12231</v>
      </c>
      <c r="D1785" s="6" t="s">
        <v>145</v>
      </c>
      <c r="E1785" s="6" t="s">
        <v>301</v>
      </c>
      <c r="F1785" s="8">
        <v>37.0</v>
      </c>
      <c r="G1785" s="9">
        <v>1702.72</v>
      </c>
      <c r="H1785" s="9">
        <v>11899.23</v>
      </c>
      <c r="I1785" s="6" t="s">
        <v>161</v>
      </c>
      <c r="J1785" s="6" t="s">
        <v>442</v>
      </c>
      <c r="K1785" s="6" t="s">
        <v>12233</v>
      </c>
      <c r="L1785" s="6">
        <v>6.7872857795E10</v>
      </c>
      <c r="M1785" s="6" t="s">
        <v>12235</v>
      </c>
      <c r="N1785" s="6" t="s">
        <v>283</v>
      </c>
      <c r="O1785" s="6" t="s">
        <v>178</v>
      </c>
      <c r="P1785" s="10">
        <v>46028.0</v>
      </c>
    </row>
    <row r="1786" ht="22.5" customHeight="1">
      <c r="A1786" s="6" t="s">
        <v>12236</v>
      </c>
      <c r="B1786" s="6" t="s">
        <v>12237</v>
      </c>
      <c r="C1786" s="6" t="s">
        <v>12238</v>
      </c>
      <c r="D1786" s="6" t="s">
        <v>206</v>
      </c>
      <c r="E1786" s="6" t="s">
        <v>147</v>
      </c>
      <c r="F1786" s="8">
        <v>25.0</v>
      </c>
      <c r="G1786" s="9">
        <v>684.4</v>
      </c>
      <c r="H1786" s="9">
        <v>14420.27</v>
      </c>
      <c r="I1786" s="6" t="s">
        <v>161</v>
      </c>
      <c r="J1786" s="6" t="s">
        <v>479</v>
      </c>
      <c r="K1786" s="6" t="s">
        <v>259</v>
      </c>
      <c r="L1786" s="6">
        <v>5.68488102E8</v>
      </c>
      <c r="M1786" s="6" t="s">
        <v>12240</v>
      </c>
      <c r="N1786" s="6" t="s">
        <v>176</v>
      </c>
      <c r="O1786" s="6" t="s">
        <v>178</v>
      </c>
      <c r="P1786" s="10">
        <v>45979.0</v>
      </c>
    </row>
    <row r="1787" ht="22.5" customHeight="1">
      <c r="A1787" s="6" t="s">
        <v>12241</v>
      </c>
      <c r="B1787" s="6" t="s">
        <v>12242</v>
      </c>
      <c r="C1787" s="6" t="s">
        <v>12244</v>
      </c>
      <c r="D1787" s="6" t="s">
        <v>145</v>
      </c>
      <c r="E1787" s="6" t="s">
        <v>147</v>
      </c>
      <c r="F1787" s="8">
        <v>15.0</v>
      </c>
      <c r="G1787" s="9">
        <v>865.74</v>
      </c>
      <c r="H1787" s="9">
        <v>13901.57</v>
      </c>
      <c r="I1787" s="6" t="s">
        <v>161</v>
      </c>
      <c r="J1787" s="6" t="s">
        <v>312</v>
      </c>
      <c r="K1787" s="6" t="s">
        <v>12245</v>
      </c>
      <c r="L1787" s="6">
        <v>3.3291431288E10</v>
      </c>
      <c r="M1787" s="6" t="s">
        <v>12246</v>
      </c>
      <c r="N1787" s="6" t="s">
        <v>427</v>
      </c>
      <c r="O1787" s="6" t="s">
        <v>178</v>
      </c>
      <c r="P1787" s="10">
        <v>45973.0</v>
      </c>
    </row>
    <row r="1788" ht="22.5" customHeight="1">
      <c r="A1788" s="6" t="s">
        <v>12248</v>
      </c>
      <c r="B1788" s="6" t="s">
        <v>12249</v>
      </c>
      <c r="C1788" s="6" t="s">
        <v>12250</v>
      </c>
      <c r="D1788" s="6" t="s">
        <v>383</v>
      </c>
      <c r="E1788" s="6" t="s">
        <v>210</v>
      </c>
      <c r="F1788" s="8">
        <v>66.0</v>
      </c>
      <c r="G1788" s="9">
        <v>1758.2</v>
      </c>
      <c r="H1788" s="9">
        <v>8136.92</v>
      </c>
      <c r="I1788" s="6" t="s">
        <v>161</v>
      </c>
      <c r="J1788" s="6" t="s">
        <v>163</v>
      </c>
      <c r="K1788" s="6" t="s">
        <v>12252</v>
      </c>
      <c r="L1788" s="6">
        <v>7.4023821734E10</v>
      </c>
      <c r="M1788" s="6" t="s">
        <v>12253</v>
      </c>
      <c r="N1788" s="6" t="s">
        <v>259</v>
      </c>
      <c r="O1788" s="6" t="s">
        <v>161</v>
      </c>
      <c r="P1788" s="10">
        <v>45970.0</v>
      </c>
    </row>
    <row r="1789" ht="22.5" customHeight="1">
      <c r="A1789" s="6" t="s">
        <v>12254</v>
      </c>
      <c r="B1789" s="6" t="s">
        <v>12255</v>
      </c>
      <c r="C1789" s="6" t="s">
        <v>12256</v>
      </c>
      <c r="D1789" s="6" t="s">
        <v>145</v>
      </c>
      <c r="E1789" s="6" t="s">
        <v>147</v>
      </c>
      <c r="F1789" s="8">
        <v>7.0</v>
      </c>
      <c r="G1789" s="9">
        <v>1215.7</v>
      </c>
      <c r="H1789" s="9">
        <v>1686.94</v>
      </c>
      <c r="I1789" s="6" t="s">
        <v>161</v>
      </c>
      <c r="J1789" s="6" t="s">
        <v>228</v>
      </c>
      <c r="K1789" s="6" t="s">
        <v>12258</v>
      </c>
      <c r="L1789" s="6">
        <v>6.8219282764E10</v>
      </c>
      <c r="M1789" s="6" t="s">
        <v>12259</v>
      </c>
      <c r="N1789" s="6" t="s">
        <v>259</v>
      </c>
      <c r="O1789" s="6" t="s">
        <v>178</v>
      </c>
      <c r="P1789" s="10">
        <v>45991.0</v>
      </c>
    </row>
    <row r="1790" ht="22.5" customHeight="1">
      <c r="A1790" s="6" t="s">
        <v>12261</v>
      </c>
      <c r="B1790" s="6" t="s">
        <v>12262</v>
      </c>
      <c r="C1790" s="6" t="s">
        <v>12263</v>
      </c>
      <c r="D1790" s="6" t="s">
        <v>145</v>
      </c>
      <c r="E1790" s="6" t="s">
        <v>147</v>
      </c>
      <c r="F1790" s="8">
        <v>11.0</v>
      </c>
      <c r="G1790" s="9">
        <v>1794.11</v>
      </c>
      <c r="H1790" s="9">
        <v>14937.05</v>
      </c>
      <c r="I1790" s="6" t="s">
        <v>161</v>
      </c>
      <c r="J1790" s="6" t="s">
        <v>479</v>
      </c>
      <c r="K1790" s="6" t="s">
        <v>12265</v>
      </c>
      <c r="L1790" s="6">
        <v>4.2507867946E10</v>
      </c>
      <c r="M1790" s="6" t="s">
        <v>12266</v>
      </c>
      <c r="N1790" s="6" t="s">
        <v>283</v>
      </c>
      <c r="O1790" s="6" t="s">
        <v>178</v>
      </c>
      <c r="P1790" s="10">
        <v>45980.0</v>
      </c>
    </row>
    <row r="1791" ht="22.5" customHeight="1">
      <c r="A1791" s="6" t="s">
        <v>12267</v>
      </c>
      <c r="B1791" s="6" t="s">
        <v>12268</v>
      </c>
      <c r="C1791" s="6" t="s">
        <v>12269</v>
      </c>
      <c r="D1791" s="6" t="s">
        <v>145</v>
      </c>
      <c r="E1791" s="6" t="s">
        <v>301</v>
      </c>
      <c r="F1791" s="8">
        <v>56.0</v>
      </c>
      <c r="G1791" s="9">
        <v>473.78</v>
      </c>
      <c r="H1791" s="9">
        <v>8208.02</v>
      </c>
      <c r="I1791" s="6" t="s">
        <v>178</v>
      </c>
      <c r="J1791" s="6" t="s">
        <v>357</v>
      </c>
      <c r="K1791" s="6" t="s">
        <v>12271</v>
      </c>
      <c r="L1791" s="6">
        <v>9.1040153191E10</v>
      </c>
      <c r="M1791" s="6" t="s">
        <v>12273</v>
      </c>
      <c r="N1791" s="6" t="s">
        <v>427</v>
      </c>
      <c r="O1791" s="6" t="s">
        <v>161</v>
      </c>
      <c r="P1791" s="10">
        <v>45941.0</v>
      </c>
    </row>
    <row r="1792" ht="22.5" customHeight="1">
      <c r="A1792" s="6" t="s">
        <v>12274</v>
      </c>
      <c r="B1792" s="6" t="s">
        <v>12275</v>
      </c>
      <c r="C1792" s="6" t="s">
        <v>12276</v>
      </c>
      <c r="D1792" s="6" t="s">
        <v>383</v>
      </c>
      <c r="E1792" s="6" t="s">
        <v>147</v>
      </c>
      <c r="F1792" s="8">
        <v>20.0</v>
      </c>
      <c r="G1792" s="9">
        <v>465.53</v>
      </c>
      <c r="H1792" s="9">
        <v>14084.01</v>
      </c>
      <c r="I1792" s="6" t="s">
        <v>178</v>
      </c>
      <c r="J1792" s="6" t="s">
        <v>312</v>
      </c>
      <c r="K1792" s="6" t="s">
        <v>12278</v>
      </c>
      <c r="L1792" s="6">
        <v>7.9263989777E10</v>
      </c>
      <c r="M1792" s="6" t="s">
        <v>12279</v>
      </c>
      <c r="N1792" s="6" t="s">
        <v>112</v>
      </c>
      <c r="O1792" s="6" t="s">
        <v>161</v>
      </c>
      <c r="P1792" s="10">
        <v>45974.0</v>
      </c>
    </row>
    <row r="1793" ht="22.5" customHeight="1">
      <c r="A1793" s="6" t="s">
        <v>12281</v>
      </c>
      <c r="B1793" s="6" t="s">
        <v>12282</v>
      </c>
      <c r="C1793" s="6" t="s">
        <v>12283</v>
      </c>
      <c r="D1793" s="6" t="s">
        <v>206</v>
      </c>
      <c r="E1793" s="6" t="s">
        <v>147</v>
      </c>
      <c r="F1793" s="8">
        <v>5.0</v>
      </c>
      <c r="G1793" s="9">
        <v>1743.65</v>
      </c>
      <c r="H1793" s="9">
        <v>12037.42</v>
      </c>
      <c r="I1793" s="6" t="s">
        <v>161</v>
      </c>
      <c r="J1793" s="6" t="s">
        <v>577</v>
      </c>
      <c r="K1793" s="6" t="s">
        <v>12284</v>
      </c>
      <c r="L1793" s="6">
        <v>7.2107246805E10</v>
      </c>
      <c r="M1793" s="6" t="s">
        <v>12285</v>
      </c>
      <c r="N1793" s="6" t="s">
        <v>259</v>
      </c>
      <c r="O1793" s="6" t="s">
        <v>178</v>
      </c>
      <c r="P1793" s="10">
        <v>46028.0</v>
      </c>
    </row>
    <row r="1794" ht="22.5" customHeight="1">
      <c r="A1794" s="6" t="s">
        <v>12287</v>
      </c>
      <c r="B1794" s="6" t="s">
        <v>12288</v>
      </c>
      <c r="C1794" s="6" t="s">
        <v>12289</v>
      </c>
      <c r="D1794" s="6" t="s">
        <v>145</v>
      </c>
      <c r="E1794" s="6" t="s">
        <v>147</v>
      </c>
      <c r="F1794" s="8">
        <v>22.0</v>
      </c>
      <c r="G1794" s="9">
        <v>1236.06</v>
      </c>
      <c r="H1794" s="9">
        <v>2340.43</v>
      </c>
      <c r="I1794" s="6" t="s">
        <v>161</v>
      </c>
      <c r="J1794" s="6" t="s">
        <v>357</v>
      </c>
      <c r="K1794" s="6" t="s">
        <v>12290</v>
      </c>
      <c r="L1794" s="6">
        <v>7.3594759847E10</v>
      </c>
      <c r="M1794" s="6" t="s">
        <v>12292</v>
      </c>
      <c r="N1794" s="6" t="s">
        <v>283</v>
      </c>
      <c r="O1794" s="6" t="s">
        <v>178</v>
      </c>
      <c r="P1794" s="10">
        <v>46027.0</v>
      </c>
    </row>
    <row r="1795" ht="22.5" customHeight="1">
      <c r="A1795" s="6" t="s">
        <v>12293</v>
      </c>
      <c r="B1795" s="6" t="s">
        <v>12294</v>
      </c>
      <c r="C1795" s="6" t="s">
        <v>12295</v>
      </c>
      <c r="D1795" s="6" t="s">
        <v>145</v>
      </c>
      <c r="E1795" s="6" t="s">
        <v>301</v>
      </c>
      <c r="F1795" s="8">
        <v>44.0</v>
      </c>
      <c r="G1795" s="9">
        <v>660.6</v>
      </c>
      <c r="H1795" s="9">
        <v>1766.97</v>
      </c>
      <c r="I1795" s="6" t="s">
        <v>161</v>
      </c>
      <c r="J1795" s="6" t="s">
        <v>479</v>
      </c>
      <c r="K1795" s="6" t="s">
        <v>12297</v>
      </c>
      <c r="L1795" s="6">
        <v>8.5570188683E10</v>
      </c>
      <c r="M1795" s="6" t="s">
        <v>12298</v>
      </c>
      <c r="N1795" s="6" t="s">
        <v>176</v>
      </c>
      <c r="O1795" s="6" t="s">
        <v>178</v>
      </c>
      <c r="P1795" s="10">
        <v>45963.0</v>
      </c>
    </row>
    <row r="1796" ht="22.5" customHeight="1">
      <c r="A1796" s="6" t="s">
        <v>12300</v>
      </c>
      <c r="B1796" s="6" t="s">
        <v>12301</v>
      </c>
      <c r="C1796" s="6" t="s">
        <v>12302</v>
      </c>
      <c r="D1796" s="6" t="s">
        <v>383</v>
      </c>
      <c r="E1796" s="6" t="s">
        <v>147</v>
      </c>
      <c r="F1796" s="8">
        <v>10.0</v>
      </c>
      <c r="G1796" s="9">
        <v>910.89</v>
      </c>
      <c r="H1796" s="9">
        <v>14740.96</v>
      </c>
      <c r="I1796" s="6" t="s">
        <v>178</v>
      </c>
      <c r="J1796" s="6" t="s">
        <v>357</v>
      </c>
      <c r="K1796" s="6" t="s">
        <v>12304</v>
      </c>
      <c r="L1796" s="6">
        <v>4.8026655885E10</v>
      </c>
      <c r="M1796" s="6" t="s">
        <v>12305</v>
      </c>
      <c r="N1796" s="6" t="s">
        <v>427</v>
      </c>
      <c r="O1796" s="6" t="s">
        <v>161</v>
      </c>
      <c r="P1796" s="10">
        <v>45933.0</v>
      </c>
    </row>
    <row r="1797" ht="22.5" customHeight="1">
      <c r="A1797" s="6" t="s">
        <v>12306</v>
      </c>
      <c r="B1797" s="6" t="s">
        <v>12307</v>
      </c>
      <c r="C1797" s="6" t="s">
        <v>12308</v>
      </c>
      <c r="D1797" s="6" t="s">
        <v>145</v>
      </c>
      <c r="E1797" s="6" t="s">
        <v>210</v>
      </c>
      <c r="F1797" s="8">
        <v>98.0</v>
      </c>
      <c r="G1797" s="9">
        <v>1547.13</v>
      </c>
      <c r="H1797" s="9">
        <v>6197.88</v>
      </c>
      <c r="I1797" s="6" t="s">
        <v>161</v>
      </c>
      <c r="J1797" s="6" t="s">
        <v>357</v>
      </c>
      <c r="K1797" s="6" t="s">
        <v>12310</v>
      </c>
      <c r="L1797" s="6">
        <v>8.973095242E9</v>
      </c>
      <c r="M1797" s="6" t="s">
        <v>12311</v>
      </c>
      <c r="N1797" s="6" t="s">
        <v>259</v>
      </c>
      <c r="O1797" s="6" t="s">
        <v>161</v>
      </c>
      <c r="P1797" s="10">
        <v>46010.0</v>
      </c>
    </row>
    <row r="1798" ht="22.5" customHeight="1">
      <c r="A1798" s="6" t="s">
        <v>12312</v>
      </c>
      <c r="B1798" s="6" t="s">
        <v>12313</v>
      </c>
      <c r="C1798" s="6" t="s">
        <v>12315</v>
      </c>
      <c r="D1798" s="6" t="s">
        <v>145</v>
      </c>
      <c r="E1798" s="6" t="s">
        <v>301</v>
      </c>
      <c r="F1798" s="8">
        <v>49.0</v>
      </c>
      <c r="G1798" s="9">
        <v>1502.78</v>
      </c>
      <c r="H1798" s="9">
        <v>3333.54</v>
      </c>
      <c r="I1798" s="6" t="s">
        <v>161</v>
      </c>
      <c r="J1798" s="6" t="s">
        <v>163</v>
      </c>
      <c r="K1798" s="6" t="s">
        <v>12316</v>
      </c>
      <c r="L1798" s="6">
        <v>5.7339331525E10</v>
      </c>
      <c r="M1798" s="6" t="s">
        <v>12317</v>
      </c>
      <c r="N1798" s="6" t="s">
        <v>112</v>
      </c>
      <c r="O1798" s="6" t="s">
        <v>178</v>
      </c>
      <c r="P1798" s="10">
        <v>46043.0</v>
      </c>
    </row>
    <row r="1799" ht="22.5" customHeight="1">
      <c r="A1799" s="6" t="s">
        <v>12319</v>
      </c>
      <c r="B1799" s="6" t="s">
        <v>12320</v>
      </c>
      <c r="C1799" s="6" t="s">
        <v>12321</v>
      </c>
      <c r="D1799" s="6" t="s">
        <v>206</v>
      </c>
      <c r="E1799" s="6" t="s">
        <v>147</v>
      </c>
      <c r="F1799" s="8">
        <v>22.0</v>
      </c>
      <c r="G1799" s="9">
        <v>490.86</v>
      </c>
      <c r="H1799" s="9">
        <v>14211.06</v>
      </c>
      <c r="I1799" s="6" t="s">
        <v>161</v>
      </c>
      <c r="J1799" s="6" t="s">
        <v>357</v>
      </c>
      <c r="K1799" s="6" t="s">
        <v>12322</v>
      </c>
      <c r="L1799" s="6">
        <v>5.8220742581E10</v>
      </c>
      <c r="M1799" s="6" t="s">
        <v>12324</v>
      </c>
      <c r="N1799" s="6" t="s">
        <v>259</v>
      </c>
      <c r="O1799" s="6" t="s">
        <v>178</v>
      </c>
      <c r="P1799" s="10">
        <v>46008.0</v>
      </c>
    </row>
    <row r="1800" ht="22.5" customHeight="1">
      <c r="A1800" s="6" t="s">
        <v>12325</v>
      </c>
      <c r="B1800" s="6" t="s">
        <v>12326</v>
      </c>
      <c r="C1800" s="6" t="s">
        <v>12327</v>
      </c>
      <c r="D1800" s="6" t="s">
        <v>383</v>
      </c>
      <c r="E1800" s="6" t="s">
        <v>147</v>
      </c>
      <c r="F1800" s="8">
        <v>24.0</v>
      </c>
      <c r="G1800" s="9">
        <v>906.1</v>
      </c>
      <c r="H1800" s="9">
        <v>7526.54</v>
      </c>
      <c r="I1800" s="6" t="s">
        <v>161</v>
      </c>
      <c r="J1800" s="6" t="s">
        <v>357</v>
      </c>
      <c r="K1800" s="6" t="s">
        <v>12329</v>
      </c>
      <c r="L1800" s="6">
        <v>8.3037056694E10</v>
      </c>
      <c r="M1800" s="6" t="s">
        <v>12330</v>
      </c>
      <c r="N1800" s="6" t="s">
        <v>283</v>
      </c>
      <c r="O1800" s="6" t="s">
        <v>178</v>
      </c>
      <c r="P1800" s="10">
        <v>45983.0</v>
      </c>
    </row>
    <row r="1801" ht="22.5" customHeight="1">
      <c r="A1801" s="6" t="s">
        <v>12331</v>
      </c>
      <c r="B1801" s="6" t="s">
        <v>12332</v>
      </c>
      <c r="C1801" s="6" t="s">
        <v>12333</v>
      </c>
      <c r="D1801" s="6" t="s">
        <v>145</v>
      </c>
      <c r="E1801" s="6" t="s">
        <v>301</v>
      </c>
      <c r="F1801" s="8">
        <v>37.0</v>
      </c>
      <c r="G1801" s="9">
        <v>1264.05</v>
      </c>
      <c r="H1801" s="9">
        <v>10319.95</v>
      </c>
      <c r="I1801" s="6" t="s">
        <v>161</v>
      </c>
      <c r="J1801" s="6" t="s">
        <v>479</v>
      </c>
      <c r="K1801" s="6" t="s">
        <v>259</v>
      </c>
      <c r="L1801" s="6">
        <v>9.546205066E9</v>
      </c>
      <c r="M1801" s="6" t="s">
        <v>12335</v>
      </c>
      <c r="N1801" s="6" t="s">
        <v>427</v>
      </c>
      <c r="O1801" s="6" t="s">
        <v>178</v>
      </c>
      <c r="P1801" s="10">
        <v>46030.0</v>
      </c>
    </row>
    <row r="1802" ht="22.5" customHeight="1">
      <c r="A1802" s="6" t="s">
        <v>12337</v>
      </c>
      <c r="B1802" s="6" t="s">
        <v>12338</v>
      </c>
      <c r="C1802" s="6" t="s">
        <v>12339</v>
      </c>
      <c r="D1802" s="6" t="s">
        <v>145</v>
      </c>
      <c r="E1802" s="6" t="s">
        <v>147</v>
      </c>
      <c r="F1802" s="8">
        <v>5.0</v>
      </c>
      <c r="G1802" s="9">
        <v>1300.09</v>
      </c>
      <c r="H1802" s="9">
        <v>14104.75</v>
      </c>
      <c r="I1802" s="6" t="s">
        <v>161</v>
      </c>
      <c r="J1802" s="6" t="s">
        <v>421</v>
      </c>
      <c r="K1802" s="6" t="s">
        <v>12340</v>
      </c>
      <c r="L1802" s="6">
        <v>3.5514167624E10</v>
      </c>
      <c r="M1802" s="6" t="s">
        <v>12341</v>
      </c>
      <c r="N1802" s="6" t="s">
        <v>176</v>
      </c>
      <c r="O1802" s="6" t="s">
        <v>178</v>
      </c>
      <c r="P1802" s="10">
        <v>46035.0</v>
      </c>
    </row>
    <row r="1803" ht="22.5" customHeight="1">
      <c r="A1803" s="6" t="s">
        <v>12343</v>
      </c>
      <c r="B1803" s="6" t="s">
        <v>12344</v>
      </c>
      <c r="C1803" s="6" t="s">
        <v>12345</v>
      </c>
      <c r="D1803" s="6" t="s">
        <v>206</v>
      </c>
      <c r="E1803" s="6" t="s">
        <v>147</v>
      </c>
      <c r="F1803" s="8">
        <v>24.0</v>
      </c>
      <c r="G1803" s="9">
        <v>1596.08</v>
      </c>
      <c r="H1803" s="9">
        <v>14402.7</v>
      </c>
      <c r="I1803" s="6" t="s">
        <v>161</v>
      </c>
      <c r="J1803" s="6" t="s">
        <v>442</v>
      </c>
      <c r="K1803" s="6" t="s">
        <v>12346</v>
      </c>
      <c r="L1803" s="6">
        <v>9.108618374E10</v>
      </c>
      <c r="M1803" s="6" t="s">
        <v>12348</v>
      </c>
      <c r="N1803" s="6" t="s">
        <v>259</v>
      </c>
      <c r="O1803" s="6" t="s">
        <v>178</v>
      </c>
      <c r="P1803" s="10">
        <v>46008.0</v>
      </c>
    </row>
    <row r="1804" ht="22.5" customHeight="1">
      <c r="A1804" s="6" t="s">
        <v>12349</v>
      </c>
      <c r="B1804" s="6" t="s">
        <v>12350</v>
      </c>
      <c r="C1804" s="6" t="s">
        <v>12351</v>
      </c>
      <c r="D1804" s="6" t="s">
        <v>145</v>
      </c>
      <c r="E1804" s="6" t="s">
        <v>147</v>
      </c>
      <c r="F1804" s="8">
        <v>18.0</v>
      </c>
      <c r="G1804" s="9">
        <v>251.34</v>
      </c>
      <c r="H1804" s="9">
        <v>1271.16</v>
      </c>
      <c r="I1804" s="6" t="s">
        <v>161</v>
      </c>
      <c r="J1804" s="6" t="s">
        <v>465</v>
      </c>
      <c r="K1804" s="6" t="s">
        <v>12353</v>
      </c>
      <c r="L1804" s="6">
        <v>6.0806672424E10</v>
      </c>
      <c r="M1804" s="6" t="s">
        <v>12354</v>
      </c>
      <c r="N1804" s="6" t="s">
        <v>112</v>
      </c>
      <c r="O1804" s="6" t="s">
        <v>178</v>
      </c>
      <c r="P1804" s="10">
        <v>46006.0</v>
      </c>
    </row>
    <row r="1805" ht="22.5" customHeight="1">
      <c r="A1805" s="6" t="s">
        <v>12355</v>
      </c>
      <c r="B1805" s="6" t="s">
        <v>12356</v>
      </c>
      <c r="C1805" s="6" t="s">
        <v>12357</v>
      </c>
      <c r="D1805" s="6" t="s">
        <v>383</v>
      </c>
      <c r="E1805" s="6" t="s">
        <v>147</v>
      </c>
      <c r="F1805" s="8">
        <v>15.0</v>
      </c>
      <c r="G1805" s="9">
        <v>1236.61</v>
      </c>
      <c r="H1805" s="9">
        <v>4000.57</v>
      </c>
      <c r="I1805" s="6" t="s">
        <v>161</v>
      </c>
      <c r="J1805" s="6" t="s">
        <v>393</v>
      </c>
      <c r="K1805" s="6" t="s">
        <v>12359</v>
      </c>
      <c r="L1805" s="6">
        <v>1.8625714353E10</v>
      </c>
      <c r="M1805" s="6" t="s">
        <v>12360</v>
      </c>
      <c r="N1805" s="6" t="s">
        <v>176</v>
      </c>
      <c r="O1805" s="6" t="s">
        <v>178</v>
      </c>
      <c r="P1805" s="10">
        <v>46010.0</v>
      </c>
    </row>
    <row r="1806" ht="22.5" customHeight="1">
      <c r="A1806" s="6" t="s">
        <v>12362</v>
      </c>
      <c r="B1806" s="6" t="s">
        <v>12363</v>
      </c>
      <c r="C1806" s="6" t="s">
        <v>12364</v>
      </c>
      <c r="D1806" s="6" t="s">
        <v>145</v>
      </c>
      <c r="E1806" s="6" t="s">
        <v>301</v>
      </c>
      <c r="F1806" s="8">
        <v>35.0</v>
      </c>
      <c r="G1806" s="9">
        <v>278.82</v>
      </c>
      <c r="H1806" s="9">
        <v>3942.61</v>
      </c>
      <c r="I1806" s="6" t="s">
        <v>161</v>
      </c>
      <c r="J1806" s="6" t="s">
        <v>479</v>
      </c>
      <c r="K1806" s="6" t="s">
        <v>12365</v>
      </c>
      <c r="L1806" s="6">
        <v>8.9851194037E10</v>
      </c>
      <c r="M1806" s="6" t="s">
        <v>12366</v>
      </c>
      <c r="N1806" s="6" t="s">
        <v>283</v>
      </c>
      <c r="O1806" s="6" t="s">
        <v>178</v>
      </c>
      <c r="P1806" s="10">
        <v>46005.0</v>
      </c>
    </row>
    <row r="1807" ht="22.5" customHeight="1">
      <c r="A1807" s="6" t="s">
        <v>12368</v>
      </c>
      <c r="B1807" s="6" t="s">
        <v>12369</v>
      </c>
      <c r="C1807" s="6" t="s">
        <v>12370</v>
      </c>
      <c r="D1807" s="6" t="s">
        <v>145</v>
      </c>
      <c r="E1807" s="6" t="s">
        <v>147</v>
      </c>
      <c r="F1807" s="8">
        <v>28.0</v>
      </c>
      <c r="G1807" s="9">
        <v>325.58</v>
      </c>
      <c r="H1807" s="9">
        <v>11874.35</v>
      </c>
      <c r="I1807" s="6" t="s">
        <v>161</v>
      </c>
      <c r="J1807" s="6" t="s">
        <v>421</v>
      </c>
      <c r="K1807" s="6" t="s">
        <v>12372</v>
      </c>
      <c r="L1807" s="6">
        <v>3.146412179E10</v>
      </c>
      <c r="M1807" s="6" t="s">
        <v>12373</v>
      </c>
      <c r="N1807" s="6" t="s">
        <v>427</v>
      </c>
      <c r="O1807" s="6" t="s">
        <v>178</v>
      </c>
      <c r="P1807" s="10">
        <v>46012.0</v>
      </c>
    </row>
    <row r="1808" ht="22.5" customHeight="1">
      <c r="A1808" s="6" t="s">
        <v>12374</v>
      </c>
      <c r="B1808" s="6" t="s">
        <v>12375</v>
      </c>
      <c r="C1808" s="6" t="s">
        <v>12377</v>
      </c>
      <c r="D1808" s="6" t="s">
        <v>206</v>
      </c>
      <c r="E1808" s="6" t="s">
        <v>147</v>
      </c>
      <c r="F1808" s="8">
        <v>13.0</v>
      </c>
      <c r="G1808" s="9">
        <v>513.97</v>
      </c>
      <c r="H1808" s="9">
        <v>9255.32</v>
      </c>
      <c r="I1808" s="6" t="s">
        <v>161</v>
      </c>
      <c r="J1808" s="6" t="s">
        <v>577</v>
      </c>
      <c r="K1808" s="6" t="s">
        <v>12379</v>
      </c>
      <c r="L1808" s="6">
        <v>1.3245137368E10</v>
      </c>
      <c r="M1808" s="6" t="s">
        <v>12380</v>
      </c>
      <c r="N1808" s="6" t="s">
        <v>427</v>
      </c>
      <c r="O1808" s="6" t="s">
        <v>178</v>
      </c>
      <c r="P1808" s="10">
        <v>45934.0</v>
      </c>
    </row>
    <row r="1809" ht="22.5" customHeight="1">
      <c r="A1809" s="6" t="s">
        <v>12382</v>
      </c>
      <c r="B1809" s="6" t="s">
        <v>12383</v>
      </c>
      <c r="C1809" s="6" t="s">
        <v>12384</v>
      </c>
      <c r="D1809" s="6" t="s">
        <v>145</v>
      </c>
      <c r="E1809" s="6" t="s">
        <v>147</v>
      </c>
      <c r="F1809" s="8">
        <v>9.0</v>
      </c>
      <c r="G1809" s="9">
        <v>500.6</v>
      </c>
      <c r="H1809" s="9">
        <v>4515.09</v>
      </c>
      <c r="I1809" s="6" t="s">
        <v>161</v>
      </c>
      <c r="J1809" s="6" t="s">
        <v>577</v>
      </c>
      <c r="K1809" s="6" t="s">
        <v>12386</v>
      </c>
      <c r="L1809" s="6">
        <v>6.4735695418E10</v>
      </c>
      <c r="M1809" s="6" t="s">
        <v>12387</v>
      </c>
      <c r="N1809" s="6" t="s">
        <v>112</v>
      </c>
      <c r="O1809" s="6" t="s">
        <v>178</v>
      </c>
      <c r="P1809" s="10">
        <v>46027.0</v>
      </c>
    </row>
    <row r="1810" ht="22.5" customHeight="1">
      <c r="A1810" s="6" t="s">
        <v>12388</v>
      </c>
      <c r="B1810" s="6" t="s">
        <v>12389</v>
      </c>
      <c r="C1810" s="6" t="s">
        <v>12390</v>
      </c>
      <c r="D1810" s="6" t="s">
        <v>206</v>
      </c>
      <c r="E1810" s="6" t="s">
        <v>210</v>
      </c>
      <c r="F1810" s="8">
        <v>110.0</v>
      </c>
      <c r="G1810" s="9">
        <v>122.68</v>
      </c>
      <c r="H1810" s="9">
        <v>2601.09</v>
      </c>
      <c r="I1810" s="6" t="s">
        <v>178</v>
      </c>
      <c r="J1810" s="6" t="s">
        <v>163</v>
      </c>
      <c r="K1810" s="6" t="s">
        <v>12391</v>
      </c>
      <c r="L1810" s="6">
        <v>2.3508175212E10</v>
      </c>
      <c r="M1810" s="6" t="s">
        <v>12392</v>
      </c>
      <c r="N1810" s="6" t="s">
        <v>283</v>
      </c>
      <c r="O1810" s="6" t="s">
        <v>161</v>
      </c>
      <c r="P1810" s="10">
        <v>46033.0</v>
      </c>
    </row>
    <row r="1811" ht="22.5" customHeight="1">
      <c r="A1811" s="6" t="s">
        <v>12394</v>
      </c>
      <c r="B1811" s="6" t="s">
        <v>12395</v>
      </c>
      <c r="C1811" s="6" t="s">
        <v>12396</v>
      </c>
      <c r="D1811" s="6" t="s">
        <v>206</v>
      </c>
      <c r="E1811" s="6" t="s">
        <v>301</v>
      </c>
      <c r="F1811" s="8">
        <v>54.0</v>
      </c>
      <c r="G1811" s="9">
        <v>1323.0</v>
      </c>
      <c r="H1811" s="9">
        <v>14241.47</v>
      </c>
      <c r="I1811" s="6" t="s">
        <v>178</v>
      </c>
      <c r="J1811" s="6" t="s">
        <v>393</v>
      </c>
      <c r="K1811" s="6" t="s">
        <v>12398</v>
      </c>
      <c r="L1811" s="6">
        <v>4.8940504714E10</v>
      </c>
      <c r="M1811" s="6" t="s">
        <v>12399</v>
      </c>
      <c r="N1811" s="6" t="s">
        <v>283</v>
      </c>
      <c r="O1811" s="6" t="s">
        <v>161</v>
      </c>
      <c r="P1811" s="10">
        <v>46051.0</v>
      </c>
    </row>
    <row r="1812" ht="22.5" customHeight="1">
      <c r="A1812" s="6" t="s">
        <v>12401</v>
      </c>
      <c r="B1812" s="6" t="s">
        <v>12402</v>
      </c>
      <c r="C1812" s="6" t="s">
        <v>12403</v>
      </c>
      <c r="D1812" s="6" t="s">
        <v>145</v>
      </c>
      <c r="E1812" s="6" t="s">
        <v>301</v>
      </c>
      <c r="F1812" s="8">
        <v>43.0</v>
      </c>
      <c r="G1812" s="9">
        <v>621.4</v>
      </c>
      <c r="H1812" s="9">
        <v>10705.4</v>
      </c>
      <c r="I1812" s="6" t="s">
        <v>161</v>
      </c>
      <c r="J1812" s="6" t="s">
        <v>312</v>
      </c>
      <c r="K1812" s="6" t="s">
        <v>12404</v>
      </c>
      <c r="L1812" s="6">
        <v>9.6290914533E10</v>
      </c>
      <c r="M1812" s="6" t="s">
        <v>12406</v>
      </c>
      <c r="N1812" s="6" t="s">
        <v>283</v>
      </c>
      <c r="O1812" s="6" t="s">
        <v>178</v>
      </c>
      <c r="P1812" s="10">
        <v>46028.0</v>
      </c>
    </row>
    <row r="1813" ht="22.5" customHeight="1">
      <c r="A1813" s="6" t="s">
        <v>12407</v>
      </c>
      <c r="B1813" s="6" t="s">
        <v>12408</v>
      </c>
      <c r="C1813" s="6" t="s">
        <v>12409</v>
      </c>
      <c r="D1813" s="6" t="s">
        <v>145</v>
      </c>
      <c r="E1813" s="6" t="s">
        <v>301</v>
      </c>
      <c r="F1813" s="8">
        <v>34.0</v>
      </c>
      <c r="G1813" s="9">
        <v>947.01</v>
      </c>
      <c r="H1813" s="9">
        <v>7537.24</v>
      </c>
      <c r="I1813" s="6" t="s">
        <v>161</v>
      </c>
      <c r="J1813" s="6" t="s">
        <v>312</v>
      </c>
      <c r="K1813" s="6" t="s">
        <v>12411</v>
      </c>
      <c r="L1813" s="6">
        <v>3.6927636038E10</v>
      </c>
      <c r="M1813" s="6" t="s">
        <v>12412</v>
      </c>
      <c r="N1813" s="6" t="s">
        <v>176</v>
      </c>
      <c r="O1813" s="6" t="s">
        <v>178</v>
      </c>
      <c r="P1813" s="10">
        <v>45997.0</v>
      </c>
    </row>
    <row r="1814" ht="22.5" customHeight="1">
      <c r="A1814" s="6" t="s">
        <v>12413</v>
      </c>
      <c r="B1814" s="6" t="s">
        <v>12414</v>
      </c>
      <c r="C1814" s="6" t="s">
        <v>12415</v>
      </c>
      <c r="D1814" s="6" t="s">
        <v>145</v>
      </c>
      <c r="E1814" s="6" t="s">
        <v>301</v>
      </c>
      <c r="F1814" s="8">
        <v>44.0</v>
      </c>
      <c r="G1814" s="9">
        <v>382.08</v>
      </c>
      <c r="H1814" s="9">
        <v>1983.59</v>
      </c>
      <c r="I1814" s="6" t="s">
        <v>178</v>
      </c>
      <c r="J1814" s="6" t="s">
        <v>421</v>
      </c>
      <c r="K1814" s="6" t="s">
        <v>12417</v>
      </c>
      <c r="L1814" s="6">
        <v>9.9128542557E10</v>
      </c>
      <c r="M1814" s="6" t="s">
        <v>12418</v>
      </c>
      <c r="N1814" s="6" t="s">
        <v>427</v>
      </c>
      <c r="O1814" s="6" t="s">
        <v>161</v>
      </c>
      <c r="P1814" s="10">
        <v>45965.0</v>
      </c>
    </row>
    <row r="1815" ht="22.5" customHeight="1">
      <c r="A1815" s="6" t="s">
        <v>12419</v>
      </c>
      <c r="B1815" s="6" t="s">
        <v>12420</v>
      </c>
      <c r="C1815" s="6" t="s">
        <v>12421</v>
      </c>
      <c r="D1815" s="6" t="s">
        <v>206</v>
      </c>
      <c r="E1815" s="6" t="s">
        <v>301</v>
      </c>
      <c r="F1815" s="8">
        <v>58.0</v>
      </c>
      <c r="G1815" s="9">
        <v>1408.5</v>
      </c>
      <c r="H1815" s="9">
        <v>15270.29</v>
      </c>
      <c r="I1815" s="6" t="s">
        <v>161</v>
      </c>
      <c r="J1815" s="6" t="s">
        <v>442</v>
      </c>
      <c r="K1815" s="6" t="s">
        <v>12422</v>
      </c>
      <c r="L1815" s="6">
        <v>7.837108647E9</v>
      </c>
      <c r="M1815" s="6" t="s">
        <v>12423</v>
      </c>
      <c r="N1815" s="6" t="s">
        <v>259</v>
      </c>
      <c r="O1815" s="6" t="s">
        <v>178</v>
      </c>
      <c r="P1815" s="10">
        <v>45980.0</v>
      </c>
    </row>
    <row r="1816" ht="22.5" customHeight="1">
      <c r="A1816" s="6" t="s">
        <v>12425</v>
      </c>
      <c r="B1816" s="6" t="s">
        <v>12426</v>
      </c>
      <c r="C1816" s="6" t="s">
        <v>12427</v>
      </c>
      <c r="D1816" s="6" t="s">
        <v>145</v>
      </c>
      <c r="E1816" s="6" t="s">
        <v>147</v>
      </c>
      <c r="F1816" s="8">
        <v>17.0</v>
      </c>
      <c r="G1816" s="9">
        <v>925.18</v>
      </c>
      <c r="H1816" s="9">
        <v>14831.87</v>
      </c>
      <c r="I1816" s="6" t="s">
        <v>178</v>
      </c>
      <c r="J1816" s="6" t="s">
        <v>393</v>
      </c>
      <c r="K1816" s="6" t="s">
        <v>12428</v>
      </c>
      <c r="L1816" s="6">
        <v>7.4821926487E10</v>
      </c>
      <c r="M1816" s="6" t="s">
        <v>12429</v>
      </c>
      <c r="N1816" s="6" t="s">
        <v>112</v>
      </c>
      <c r="O1816" s="6" t="s">
        <v>161</v>
      </c>
      <c r="P1816" s="10">
        <v>46012.0</v>
      </c>
    </row>
    <row r="1817" ht="22.5" customHeight="1">
      <c r="A1817" s="6" t="s">
        <v>12430</v>
      </c>
      <c r="B1817" s="6" t="s">
        <v>12431</v>
      </c>
      <c r="C1817" s="6" t="s">
        <v>12432</v>
      </c>
      <c r="D1817" s="6" t="s">
        <v>206</v>
      </c>
      <c r="E1817" s="6" t="s">
        <v>301</v>
      </c>
      <c r="F1817" s="8">
        <v>50.0</v>
      </c>
      <c r="G1817" s="9">
        <v>364.61</v>
      </c>
      <c r="H1817" s="9">
        <v>6458.58</v>
      </c>
      <c r="I1817" s="6" t="s">
        <v>161</v>
      </c>
      <c r="J1817" s="6" t="s">
        <v>393</v>
      </c>
      <c r="K1817" s="6" t="s">
        <v>12434</v>
      </c>
      <c r="L1817" s="6">
        <v>1.3496996893E10</v>
      </c>
      <c r="M1817" s="6" t="s">
        <v>12435</v>
      </c>
      <c r="N1817" s="6" t="s">
        <v>427</v>
      </c>
      <c r="O1817" s="6" t="s">
        <v>178</v>
      </c>
      <c r="P1817" s="10">
        <v>46042.0</v>
      </c>
    </row>
    <row r="1818" ht="22.5" customHeight="1">
      <c r="A1818" s="6" t="s">
        <v>12436</v>
      </c>
      <c r="B1818" s="6" t="s">
        <v>12437</v>
      </c>
      <c r="C1818" s="6" t="s">
        <v>12438</v>
      </c>
      <c r="D1818" s="6" t="s">
        <v>206</v>
      </c>
      <c r="E1818" s="6" t="s">
        <v>301</v>
      </c>
      <c r="F1818" s="8">
        <v>45.0</v>
      </c>
      <c r="G1818" s="9">
        <v>1184.76</v>
      </c>
      <c r="H1818" s="9">
        <v>4823.8</v>
      </c>
      <c r="I1818" s="6" t="s">
        <v>161</v>
      </c>
      <c r="J1818" s="6" t="s">
        <v>393</v>
      </c>
      <c r="K1818" s="6" t="s">
        <v>259</v>
      </c>
      <c r="L1818" s="6">
        <v>5.438774796E9</v>
      </c>
      <c r="M1818" s="6" t="s">
        <v>12440</v>
      </c>
      <c r="N1818" s="6" t="s">
        <v>112</v>
      </c>
      <c r="O1818" s="6" t="s">
        <v>178</v>
      </c>
      <c r="P1818" s="10">
        <v>46000.0</v>
      </c>
    </row>
    <row r="1819" ht="22.5" customHeight="1">
      <c r="A1819" s="6" t="s">
        <v>12441</v>
      </c>
      <c r="B1819" s="6" t="s">
        <v>12442</v>
      </c>
      <c r="C1819" s="6" t="s">
        <v>12443</v>
      </c>
      <c r="D1819" s="6" t="s">
        <v>145</v>
      </c>
      <c r="E1819" s="6" t="s">
        <v>147</v>
      </c>
      <c r="F1819" s="8">
        <v>11.0</v>
      </c>
      <c r="G1819" s="9">
        <v>684.25</v>
      </c>
      <c r="H1819" s="9">
        <v>5458.12</v>
      </c>
      <c r="I1819" s="6" t="s">
        <v>161</v>
      </c>
      <c r="J1819" s="6" t="s">
        <v>421</v>
      </c>
      <c r="K1819" s="6" t="s">
        <v>12445</v>
      </c>
      <c r="L1819" s="6">
        <v>7.0535404756E10</v>
      </c>
      <c r="M1819" s="6" t="s">
        <v>12446</v>
      </c>
      <c r="N1819" s="6" t="s">
        <v>176</v>
      </c>
      <c r="O1819" s="6" t="s">
        <v>178</v>
      </c>
      <c r="P1819" s="10">
        <v>45966.0</v>
      </c>
    </row>
    <row r="1820" ht="22.5" customHeight="1">
      <c r="A1820" s="6" t="s">
        <v>12448</v>
      </c>
      <c r="B1820" s="6" t="s">
        <v>12449</v>
      </c>
      <c r="C1820" s="6" t="s">
        <v>12450</v>
      </c>
      <c r="D1820" s="6" t="s">
        <v>145</v>
      </c>
      <c r="E1820" s="6" t="s">
        <v>210</v>
      </c>
      <c r="F1820" s="8">
        <v>85.0</v>
      </c>
      <c r="G1820" s="9">
        <v>1562.45</v>
      </c>
      <c r="H1820" s="9">
        <v>13171.5</v>
      </c>
      <c r="I1820" s="6" t="s">
        <v>178</v>
      </c>
      <c r="J1820" s="6" t="s">
        <v>393</v>
      </c>
      <c r="K1820" s="6" t="s">
        <v>12452</v>
      </c>
      <c r="L1820" s="6">
        <v>8.6816566569E10</v>
      </c>
      <c r="M1820" s="6" t="s">
        <v>12453</v>
      </c>
      <c r="N1820" s="6" t="s">
        <v>259</v>
      </c>
      <c r="O1820" s="6" t="s">
        <v>161</v>
      </c>
      <c r="P1820" s="10">
        <v>46025.0</v>
      </c>
    </row>
    <row r="1821" ht="22.5" customHeight="1">
      <c r="A1821" s="6" t="s">
        <v>12454</v>
      </c>
      <c r="B1821" s="6" t="s">
        <v>12456</v>
      </c>
      <c r="C1821" s="6" t="s">
        <v>12457</v>
      </c>
      <c r="D1821" s="6" t="s">
        <v>206</v>
      </c>
      <c r="E1821" s="6" t="s">
        <v>147</v>
      </c>
      <c r="F1821" s="8">
        <v>23.0</v>
      </c>
      <c r="G1821" s="9">
        <v>920.08</v>
      </c>
      <c r="H1821" s="9">
        <v>13074.13</v>
      </c>
      <c r="I1821" s="6" t="s">
        <v>178</v>
      </c>
      <c r="J1821" s="6" t="s">
        <v>228</v>
      </c>
      <c r="K1821" s="6" t="s">
        <v>12458</v>
      </c>
      <c r="L1821" s="6">
        <v>2.5673169E8</v>
      </c>
      <c r="M1821" s="6" t="s">
        <v>12459</v>
      </c>
      <c r="N1821" s="6" t="s">
        <v>112</v>
      </c>
      <c r="O1821" s="6" t="s">
        <v>161</v>
      </c>
      <c r="P1821" s="10">
        <v>45935.0</v>
      </c>
    </row>
    <row r="1822" ht="22.5" customHeight="1">
      <c r="A1822" s="6" t="s">
        <v>12461</v>
      </c>
      <c r="B1822" s="6" t="s">
        <v>12462</v>
      </c>
      <c r="C1822" s="6" t="s">
        <v>12463</v>
      </c>
      <c r="D1822" s="6" t="s">
        <v>145</v>
      </c>
      <c r="E1822" s="6" t="s">
        <v>301</v>
      </c>
      <c r="F1822" s="8">
        <v>58.0</v>
      </c>
      <c r="G1822" s="9">
        <v>529.8</v>
      </c>
      <c r="H1822" s="9">
        <v>7114.55</v>
      </c>
      <c r="I1822" s="6" t="s">
        <v>161</v>
      </c>
      <c r="J1822" s="6" t="s">
        <v>163</v>
      </c>
      <c r="K1822" s="6" t="s">
        <v>12464</v>
      </c>
      <c r="L1822" s="6">
        <v>6.8698899097E10</v>
      </c>
      <c r="M1822" s="6" t="s">
        <v>12465</v>
      </c>
      <c r="N1822" s="6" t="s">
        <v>427</v>
      </c>
      <c r="O1822" s="6" t="s">
        <v>178</v>
      </c>
      <c r="P1822" s="10">
        <v>45948.0</v>
      </c>
    </row>
    <row r="1823" ht="22.5" customHeight="1">
      <c r="A1823" s="6" t="s">
        <v>12467</v>
      </c>
      <c r="B1823" s="6" t="s">
        <v>12468</v>
      </c>
      <c r="C1823" s="6" t="s">
        <v>12469</v>
      </c>
      <c r="D1823" s="6" t="s">
        <v>206</v>
      </c>
      <c r="E1823" s="6" t="s">
        <v>147</v>
      </c>
      <c r="F1823" s="8">
        <v>20.0</v>
      </c>
      <c r="G1823" s="9">
        <v>1106.75</v>
      </c>
      <c r="H1823" s="9">
        <v>3055.45</v>
      </c>
      <c r="I1823" s="6" t="s">
        <v>161</v>
      </c>
      <c r="J1823" s="6" t="s">
        <v>465</v>
      </c>
      <c r="K1823" s="6" t="s">
        <v>12471</v>
      </c>
      <c r="L1823" s="6">
        <v>9.5582860365E10</v>
      </c>
      <c r="M1823" s="6" t="s">
        <v>12472</v>
      </c>
      <c r="N1823" s="6" t="s">
        <v>176</v>
      </c>
      <c r="O1823" s="6" t="s">
        <v>178</v>
      </c>
      <c r="P1823" s="10">
        <v>45937.0</v>
      </c>
    </row>
    <row r="1824" ht="22.5" customHeight="1">
      <c r="A1824" s="6" t="s">
        <v>12473</v>
      </c>
      <c r="B1824" s="6" t="s">
        <v>12474</v>
      </c>
      <c r="C1824" s="6" t="s">
        <v>12475</v>
      </c>
      <c r="D1824" s="6" t="s">
        <v>145</v>
      </c>
      <c r="E1824" s="6" t="s">
        <v>147</v>
      </c>
      <c r="F1824" s="8">
        <v>20.0</v>
      </c>
      <c r="G1824" s="9">
        <v>368.36</v>
      </c>
      <c r="H1824" s="9">
        <v>11834.86</v>
      </c>
      <c r="I1824" s="6" t="s">
        <v>161</v>
      </c>
      <c r="J1824" s="6" t="s">
        <v>421</v>
      </c>
      <c r="K1824" s="6" t="s">
        <v>12477</v>
      </c>
      <c r="L1824" s="6" t="s">
        <v>259</v>
      </c>
      <c r="M1824" s="6" t="s">
        <v>12478</v>
      </c>
      <c r="N1824" s="6" t="s">
        <v>427</v>
      </c>
      <c r="O1824" s="6" t="s">
        <v>178</v>
      </c>
      <c r="P1824" s="10">
        <v>45999.0</v>
      </c>
    </row>
    <row r="1825" ht="22.5" customHeight="1">
      <c r="A1825" s="6" t="s">
        <v>12480</v>
      </c>
      <c r="B1825" s="6" t="s">
        <v>12481</v>
      </c>
      <c r="C1825" s="6" t="s">
        <v>12482</v>
      </c>
      <c r="D1825" s="6" t="s">
        <v>145</v>
      </c>
      <c r="E1825" s="6" t="s">
        <v>147</v>
      </c>
      <c r="F1825" s="8">
        <v>28.0</v>
      </c>
      <c r="G1825" s="9">
        <v>1115.83</v>
      </c>
      <c r="H1825" s="9">
        <v>3697.09</v>
      </c>
      <c r="I1825" s="6" t="s">
        <v>161</v>
      </c>
      <c r="J1825" s="6" t="s">
        <v>442</v>
      </c>
      <c r="K1825" s="6" t="s">
        <v>12484</v>
      </c>
      <c r="L1825" s="6">
        <v>7.2277129556E10</v>
      </c>
      <c r="M1825" s="6" t="s">
        <v>12485</v>
      </c>
      <c r="N1825" s="6" t="s">
        <v>259</v>
      </c>
      <c r="O1825" s="6" t="s">
        <v>178</v>
      </c>
      <c r="P1825" s="10">
        <v>46045.0</v>
      </c>
    </row>
    <row r="1826" ht="22.5" customHeight="1">
      <c r="A1826" s="6" t="s">
        <v>12486</v>
      </c>
      <c r="B1826" s="6" t="s">
        <v>12487</v>
      </c>
      <c r="C1826" s="6" t="s">
        <v>12488</v>
      </c>
      <c r="D1826" s="6" t="s">
        <v>206</v>
      </c>
      <c r="E1826" s="6" t="s">
        <v>147</v>
      </c>
      <c r="F1826" s="8">
        <v>23.0</v>
      </c>
      <c r="G1826" s="9">
        <v>1466.97</v>
      </c>
      <c r="H1826" s="9">
        <v>6082.88</v>
      </c>
      <c r="I1826" s="6" t="s">
        <v>161</v>
      </c>
      <c r="J1826" s="6" t="s">
        <v>163</v>
      </c>
      <c r="K1826" s="6" t="s">
        <v>12489</v>
      </c>
      <c r="L1826" s="6">
        <v>7.6161887054E10</v>
      </c>
      <c r="M1826" s="6" t="s">
        <v>12491</v>
      </c>
      <c r="N1826" s="6" t="s">
        <v>283</v>
      </c>
      <c r="O1826" s="6" t="s">
        <v>178</v>
      </c>
      <c r="P1826" s="10">
        <v>45939.0</v>
      </c>
    </row>
    <row r="1827" ht="22.5" customHeight="1">
      <c r="A1827" s="6" t="s">
        <v>12492</v>
      </c>
      <c r="B1827" s="6" t="s">
        <v>12493</v>
      </c>
      <c r="C1827" s="6" t="s">
        <v>12494</v>
      </c>
      <c r="D1827" s="6" t="s">
        <v>206</v>
      </c>
      <c r="E1827" s="6" t="s">
        <v>147</v>
      </c>
      <c r="F1827" s="8">
        <v>23.0</v>
      </c>
      <c r="G1827" s="9">
        <v>783.11</v>
      </c>
      <c r="H1827" s="9">
        <v>13511.59</v>
      </c>
      <c r="I1827" s="6" t="s">
        <v>161</v>
      </c>
      <c r="J1827" s="6" t="s">
        <v>357</v>
      </c>
      <c r="K1827" s="6" t="s">
        <v>12496</v>
      </c>
      <c r="L1827" s="6">
        <v>1.1213908599E10</v>
      </c>
      <c r="M1827" s="6" t="s">
        <v>12497</v>
      </c>
      <c r="N1827" s="6" t="s">
        <v>176</v>
      </c>
      <c r="O1827" s="6" t="s">
        <v>178</v>
      </c>
      <c r="P1827" s="10">
        <v>45997.0</v>
      </c>
    </row>
    <row r="1828" ht="22.5" customHeight="1">
      <c r="A1828" s="6" t="s">
        <v>12498</v>
      </c>
      <c r="B1828" s="6" t="s">
        <v>12499</v>
      </c>
      <c r="C1828" s="6" t="s">
        <v>12501</v>
      </c>
      <c r="D1828" s="6" t="s">
        <v>145</v>
      </c>
      <c r="E1828" s="6" t="s">
        <v>147</v>
      </c>
      <c r="F1828" s="8">
        <v>23.0</v>
      </c>
      <c r="G1828" s="9">
        <v>858.07</v>
      </c>
      <c r="H1828" s="9">
        <v>10152.44</v>
      </c>
      <c r="I1828" s="6" t="s">
        <v>161</v>
      </c>
      <c r="J1828" s="6" t="s">
        <v>577</v>
      </c>
      <c r="K1828" s="6" t="s">
        <v>12502</v>
      </c>
      <c r="L1828" s="6">
        <v>3.949015946E10</v>
      </c>
      <c r="M1828" s="6" t="s">
        <v>12504</v>
      </c>
      <c r="N1828" s="6" t="s">
        <v>112</v>
      </c>
      <c r="O1828" s="6" t="s">
        <v>178</v>
      </c>
      <c r="P1828" s="10">
        <v>46022.0</v>
      </c>
    </row>
    <row r="1829" ht="22.5" customHeight="1">
      <c r="A1829" s="6" t="s">
        <v>12505</v>
      </c>
      <c r="B1829" s="6" t="s">
        <v>12506</v>
      </c>
      <c r="C1829" s="6" t="s">
        <v>12507</v>
      </c>
      <c r="D1829" s="6" t="s">
        <v>145</v>
      </c>
      <c r="E1829" s="6" t="s">
        <v>301</v>
      </c>
      <c r="F1829" s="8">
        <v>52.0</v>
      </c>
      <c r="G1829" s="9">
        <v>878.6</v>
      </c>
      <c r="H1829" s="9">
        <v>5650.06</v>
      </c>
      <c r="I1829" s="6" t="s">
        <v>161</v>
      </c>
      <c r="J1829" s="6" t="s">
        <v>228</v>
      </c>
      <c r="K1829" s="6" t="s">
        <v>12509</v>
      </c>
      <c r="L1829" s="6">
        <v>9.2350788808E10</v>
      </c>
      <c r="M1829" s="6" t="s">
        <v>12510</v>
      </c>
      <c r="N1829" s="6" t="s">
        <v>112</v>
      </c>
      <c r="O1829" s="6" t="s">
        <v>178</v>
      </c>
      <c r="P1829" s="10">
        <v>46049.0</v>
      </c>
    </row>
    <row r="1830" ht="22.5" customHeight="1">
      <c r="A1830" s="6" t="s">
        <v>12512</v>
      </c>
      <c r="B1830" s="6" t="s">
        <v>12513</v>
      </c>
      <c r="C1830" s="6" t="s">
        <v>12514</v>
      </c>
      <c r="D1830" s="6" t="s">
        <v>145</v>
      </c>
      <c r="E1830" s="6" t="s">
        <v>301</v>
      </c>
      <c r="F1830" s="8">
        <v>55.0</v>
      </c>
      <c r="G1830" s="9">
        <v>296.88</v>
      </c>
      <c r="H1830" s="9">
        <v>1640.34</v>
      </c>
      <c r="I1830" s="6" t="s">
        <v>178</v>
      </c>
      <c r="J1830" s="6" t="s">
        <v>357</v>
      </c>
      <c r="K1830" s="6" t="s">
        <v>12515</v>
      </c>
      <c r="L1830" s="6">
        <v>2.5342232363E10</v>
      </c>
      <c r="M1830" s="6" t="s">
        <v>12516</v>
      </c>
      <c r="N1830" s="6" t="s">
        <v>427</v>
      </c>
      <c r="O1830" s="6" t="s">
        <v>161</v>
      </c>
      <c r="P1830" s="10">
        <v>45938.0</v>
      </c>
    </row>
    <row r="1831" ht="22.5" customHeight="1">
      <c r="A1831" s="6" t="s">
        <v>12518</v>
      </c>
      <c r="B1831" s="6" t="s">
        <v>12519</v>
      </c>
      <c r="C1831" s="6" t="s">
        <v>12520</v>
      </c>
      <c r="D1831" s="6" t="s">
        <v>145</v>
      </c>
      <c r="E1831" s="6" t="s">
        <v>210</v>
      </c>
      <c r="F1831" s="8">
        <v>62.0</v>
      </c>
      <c r="G1831" s="9">
        <v>865.66</v>
      </c>
      <c r="H1831" s="9">
        <v>6061.87</v>
      </c>
      <c r="I1831" s="6" t="s">
        <v>178</v>
      </c>
      <c r="J1831" s="6" t="s">
        <v>312</v>
      </c>
      <c r="K1831" s="6" t="s">
        <v>12522</v>
      </c>
      <c r="L1831" s="6">
        <v>8.9881815852E10</v>
      </c>
      <c r="M1831" s="6" t="s">
        <v>12523</v>
      </c>
      <c r="N1831" s="6" t="s">
        <v>427</v>
      </c>
      <c r="O1831" s="6" t="s">
        <v>161</v>
      </c>
      <c r="P1831" s="10">
        <v>45939.0</v>
      </c>
    </row>
    <row r="1832" ht="22.5" customHeight="1">
      <c r="A1832" s="6" t="s">
        <v>12525</v>
      </c>
      <c r="B1832" s="6" t="s">
        <v>12526</v>
      </c>
      <c r="C1832" s="6" t="s">
        <v>12527</v>
      </c>
      <c r="D1832" s="6" t="s">
        <v>206</v>
      </c>
      <c r="E1832" s="6" t="s">
        <v>210</v>
      </c>
      <c r="F1832" s="8">
        <v>104.0</v>
      </c>
      <c r="G1832" s="9">
        <v>379.65</v>
      </c>
      <c r="H1832" s="9">
        <v>6807.36</v>
      </c>
      <c r="I1832" s="6" t="s">
        <v>161</v>
      </c>
      <c r="J1832" s="6" t="s">
        <v>393</v>
      </c>
      <c r="K1832" s="6" t="s">
        <v>12529</v>
      </c>
      <c r="L1832" s="6">
        <v>3.394813826E10</v>
      </c>
      <c r="M1832" s="6" t="s">
        <v>12530</v>
      </c>
      <c r="N1832" s="6" t="s">
        <v>427</v>
      </c>
      <c r="O1832" s="6" t="s">
        <v>161</v>
      </c>
      <c r="P1832" s="10">
        <v>46049.0</v>
      </c>
    </row>
    <row r="1833" ht="22.5" customHeight="1">
      <c r="A1833" s="6" t="s">
        <v>12532</v>
      </c>
      <c r="B1833" s="6" t="s">
        <v>12533</v>
      </c>
      <c r="C1833" s="6" t="s">
        <v>12534</v>
      </c>
      <c r="D1833" s="6" t="s">
        <v>206</v>
      </c>
      <c r="E1833" s="6" t="s">
        <v>210</v>
      </c>
      <c r="F1833" s="8">
        <v>118.0</v>
      </c>
      <c r="G1833" s="9">
        <v>1664.47</v>
      </c>
      <c r="H1833" s="9">
        <v>6437.71</v>
      </c>
      <c r="I1833" s="6" t="s">
        <v>161</v>
      </c>
      <c r="J1833" s="6" t="s">
        <v>1787</v>
      </c>
      <c r="K1833" s="6" t="s">
        <v>12536</v>
      </c>
      <c r="L1833" s="6">
        <v>9.9544422498E10</v>
      </c>
      <c r="M1833" s="6" t="s">
        <v>12537</v>
      </c>
      <c r="N1833" s="6" t="s">
        <v>427</v>
      </c>
      <c r="O1833" s="6" t="s">
        <v>161</v>
      </c>
      <c r="P1833" s="10">
        <v>45947.0</v>
      </c>
    </row>
    <row r="1834" ht="22.5" customHeight="1">
      <c r="A1834" s="6" t="s">
        <v>12539</v>
      </c>
      <c r="B1834" s="6" t="s">
        <v>12540</v>
      </c>
      <c r="C1834" s="6" t="s">
        <v>12541</v>
      </c>
      <c r="D1834" s="6" t="s">
        <v>145</v>
      </c>
      <c r="E1834" s="6" t="s">
        <v>301</v>
      </c>
      <c r="F1834" s="8">
        <v>31.0</v>
      </c>
      <c r="G1834" s="9">
        <v>1085.4</v>
      </c>
      <c r="H1834" s="9">
        <v>7561.64</v>
      </c>
      <c r="I1834" s="6" t="s">
        <v>161</v>
      </c>
      <c r="J1834" s="6" t="s">
        <v>465</v>
      </c>
      <c r="K1834" s="6" t="s">
        <v>12543</v>
      </c>
      <c r="L1834" s="6">
        <v>9.522758968E10</v>
      </c>
      <c r="M1834" s="6" t="s">
        <v>12544</v>
      </c>
      <c r="N1834" s="6" t="s">
        <v>112</v>
      </c>
      <c r="O1834" s="6" t="s">
        <v>178</v>
      </c>
      <c r="P1834" s="10">
        <v>45990.0</v>
      </c>
    </row>
    <row r="1835" ht="22.5" customHeight="1">
      <c r="A1835" s="6" t="s">
        <v>12546</v>
      </c>
      <c r="B1835" s="6" t="s">
        <v>12547</v>
      </c>
      <c r="C1835" s="6" t="s">
        <v>12548</v>
      </c>
      <c r="D1835" s="6" t="s">
        <v>145</v>
      </c>
      <c r="E1835" s="6" t="s">
        <v>210</v>
      </c>
      <c r="F1835" s="8">
        <v>96.0</v>
      </c>
      <c r="G1835" s="9">
        <v>560.38</v>
      </c>
      <c r="H1835" s="9">
        <v>10639.85</v>
      </c>
      <c r="I1835" s="6" t="s">
        <v>178</v>
      </c>
      <c r="J1835" s="6" t="s">
        <v>312</v>
      </c>
      <c r="K1835" s="6" t="s">
        <v>12550</v>
      </c>
      <c r="L1835" s="6">
        <v>8.5335302395E10</v>
      </c>
      <c r="M1835" s="6" t="s">
        <v>12551</v>
      </c>
      <c r="N1835" s="6" t="s">
        <v>176</v>
      </c>
      <c r="O1835" s="6" t="s">
        <v>161</v>
      </c>
      <c r="P1835" s="10">
        <v>46051.0</v>
      </c>
    </row>
    <row r="1836" ht="22.5" customHeight="1">
      <c r="A1836" s="6" t="s">
        <v>12553</v>
      </c>
      <c r="B1836" s="6" t="s">
        <v>12554</v>
      </c>
      <c r="C1836" s="6" t="s">
        <v>12555</v>
      </c>
      <c r="D1836" s="6" t="s">
        <v>383</v>
      </c>
      <c r="E1836" s="6" t="s">
        <v>210</v>
      </c>
      <c r="F1836" s="8">
        <v>101.0</v>
      </c>
      <c r="G1836" s="9">
        <v>1541.06</v>
      </c>
      <c r="H1836" s="9">
        <v>8367.67</v>
      </c>
      <c r="I1836" s="6" t="s">
        <v>161</v>
      </c>
      <c r="J1836" s="6" t="s">
        <v>442</v>
      </c>
      <c r="K1836" s="6" t="s">
        <v>12557</v>
      </c>
      <c r="L1836" s="6">
        <v>9.0854330286E10</v>
      </c>
      <c r="M1836" s="6" t="s">
        <v>12558</v>
      </c>
      <c r="N1836" s="6" t="s">
        <v>283</v>
      </c>
      <c r="O1836" s="6" t="s">
        <v>161</v>
      </c>
      <c r="P1836" s="10">
        <v>45981.0</v>
      </c>
    </row>
    <row r="1837" ht="22.5" customHeight="1">
      <c r="A1837" s="6" t="s">
        <v>12559</v>
      </c>
      <c r="B1837" s="6" t="s">
        <v>12560</v>
      </c>
      <c r="C1837" s="6" t="s">
        <v>12561</v>
      </c>
      <c r="D1837" s="6" t="s">
        <v>206</v>
      </c>
      <c r="E1837" s="6" t="s">
        <v>301</v>
      </c>
      <c r="F1837" s="8">
        <v>52.0</v>
      </c>
      <c r="G1837" s="9">
        <v>1175.35</v>
      </c>
      <c r="H1837" s="9">
        <v>8902.4</v>
      </c>
      <c r="I1837" s="6" t="s">
        <v>161</v>
      </c>
      <c r="J1837" s="6" t="s">
        <v>357</v>
      </c>
      <c r="K1837" s="6" t="s">
        <v>12563</v>
      </c>
      <c r="L1837" s="6">
        <v>2.6733325725E10</v>
      </c>
      <c r="M1837" s="6" t="s">
        <v>12565</v>
      </c>
      <c r="N1837" s="6" t="s">
        <v>427</v>
      </c>
      <c r="O1837" s="6" t="s">
        <v>178</v>
      </c>
      <c r="P1837" s="10">
        <v>45957.0</v>
      </c>
    </row>
    <row r="1838" ht="22.5" customHeight="1">
      <c r="A1838" s="6" t="s">
        <v>12566</v>
      </c>
      <c r="B1838" s="6" t="s">
        <v>12567</v>
      </c>
      <c r="C1838" s="6" t="s">
        <v>12568</v>
      </c>
      <c r="D1838" s="6" t="s">
        <v>145</v>
      </c>
      <c r="E1838" s="6" t="s">
        <v>301</v>
      </c>
      <c r="F1838" s="8">
        <v>45.0</v>
      </c>
      <c r="G1838" s="9">
        <v>1286.33</v>
      </c>
      <c r="H1838" s="9">
        <v>12216.73</v>
      </c>
      <c r="I1838" s="6" t="s">
        <v>161</v>
      </c>
      <c r="J1838" s="6" t="s">
        <v>228</v>
      </c>
      <c r="K1838" s="6" t="s">
        <v>12570</v>
      </c>
      <c r="L1838" s="6">
        <v>1.225272595E10</v>
      </c>
      <c r="M1838" s="6" t="s">
        <v>12571</v>
      </c>
      <c r="N1838" s="6" t="s">
        <v>283</v>
      </c>
      <c r="O1838" s="6" t="s">
        <v>178</v>
      </c>
      <c r="P1838" s="10">
        <v>46021.0</v>
      </c>
    </row>
    <row r="1839" ht="22.5" customHeight="1">
      <c r="A1839" s="6" t="s">
        <v>12573</v>
      </c>
      <c r="B1839" s="6" t="s">
        <v>12574</v>
      </c>
      <c r="C1839" s="6" t="s">
        <v>12575</v>
      </c>
      <c r="D1839" s="6" t="s">
        <v>206</v>
      </c>
      <c r="E1839" s="6" t="s">
        <v>210</v>
      </c>
      <c r="F1839" s="8">
        <v>87.0</v>
      </c>
      <c r="G1839" s="9">
        <v>999.82</v>
      </c>
      <c r="H1839" s="9">
        <v>12482.94</v>
      </c>
      <c r="I1839" s="6" t="s">
        <v>178</v>
      </c>
      <c r="J1839" s="6" t="s">
        <v>312</v>
      </c>
      <c r="K1839" s="6" t="s">
        <v>12576</v>
      </c>
      <c r="L1839" s="6">
        <v>6.0824305333E10</v>
      </c>
      <c r="M1839" s="6" t="s">
        <v>12577</v>
      </c>
      <c r="N1839" s="6" t="s">
        <v>259</v>
      </c>
      <c r="O1839" s="6" t="s">
        <v>161</v>
      </c>
      <c r="P1839" s="10">
        <v>45945.0</v>
      </c>
    </row>
    <row r="1840" ht="22.5" customHeight="1">
      <c r="A1840" s="6" t="s">
        <v>12579</v>
      </c>
      <c r="B1840" s="6" t="s">
        <v>12580</v>
      </c>
      <c r="C1840" s="6" t="s">
        <v>12581</v>
      </c>
      <c r="D1840" s="6" t="s">
        <v>145</v>
      </c>
      <c r="E1840" s="6" t="s">
        <v>147</v>
      </c>
      <c r="F1840" s="8">
        <v>19.0</v>
      </c>
      <c r="G1840" s="9">
        <v>469.88</v>
      </c>
      <c r="H1840" s="9">
        <v>6808.41</v>
      </c>
      <c r="I1840" s="6" t="s">
        <v>161</v>
      </c>
      <c r="J1840" s="6" t="s">
        <v>357</v>
      </c>
      <c r="K1840" s="6" t="s">
        <v>12582</v>
      </c>
      <c r="L1840" s="6">
        <v>8.7352101656E10</v>
      </c>
      <c r="M1840" s="6" t="s">
        <v>12583</v>
      </c>
      <c r="N1840" s="6" t="s">
        <v>259</v>
      </c>
      <c r="O1840" s="6" t="s">
        <v>178</v>
      </c>
      <c r="P1840" s="10">
        <v>45943.0</v>
      </c>
    </row>
    <row r="1841" ht="22.5" customHeight="1">
      <c r="A1841" s="6" t="s">
        <v>12584</v>
      </c>
      <c r="B1841" s="6" t="s">
        <v>12585</v>
      </c>
      <c r="C1841" s="6" t="s">
        <v>12586</v>
      </c>
      <c r="D1841" s="6" t="s">
        <v>383</v>
      </c>
      <c r="E1841" s="6" t="s">
        <v>147</v>
      </c>
      <c r="F1841" s="8">
        <v>27.0</v>
      </c>
      <c r="G1841" s="9">
        <v>1590.13</v>
      </c>
      <c r="H1841" s="9">
        <v>4634.88</v>
      </c>
      <c r="I1841" s="6" t="s">
        <v>161</v>
      </c>
      <c r="J1841" s="6" t="s">
        <v>393</v>
      </c>
      <c r="K1841" s="6" t="s">
        <v>12588</v>
      </c>
      <c r="L1841" s="6">
        <v>5.0374239314E10</v>
      </c>
      <c r="M1841" s="6" t="s">
        <v>12589</v>
      </c>
      <c r="N1841" s="6" t="s">
        <v>259</v>
      </c>
      <c r="O1841" s="6" t="s">
        <v>178</v>
      </c>
      <c r="P1841" s="10">
        <v>46008.0</v>
      </c>
    </row>
    <row r="1842" ht="22.5" customHeight="1">
      <c r="A1842" s="6" t="s">
        <v>12590</v>
      </c>
      <c r="B1842" s="6" t="s">
        <v>12591</v>
      </c>
      <c r="C1842" s="6" t="s">
        <v>12592</v>
      </c>
      <c r="D1842" s="6" t="s">
        <v>383</v>
      </c>
      <c r="E1842" s="6" t="s">
        <v>301</v>
      </c>
      <c r="F1842" s="8">
        <v>30.0</v>
      </c>
      <c r="G1842" s="9">
        <v>759.38</v>
      </c>
      <c r="H1842" s="9">
        <v>7635.02</v>
      </c>
      <c r="I1842" s="6" t="s">
        <v>161</v>
      </c>
      <c r="J1842" s="6" t="s">
        <v>228</v>
      </c>
      <c r="K1842" s="6" t="s">
        <v>12594</v>
      </c>
      <c r="L1842" s="6">
        <v>1.6281659214E10</v>
      </c>
      <c r="M1842" s="6" t="s">
        <v>12595</v>
      </c>
      <c r="N1842" s="6" t="s">
        <v>176</v>
      </c>
      <c r="O1842" s="6" t="s">
        <v>178</v>
      </c>
      <c r="P1842" s="10">
        <v>45952.0</v>
      </c>
    </row>
    <row r="1843" ht="22.5" customHeight="1">
      <c r="A1843" s="6" t="s">
        <v>12597</v>
      </c>
      <c r="B1843" s="6" t="s">
        <v>12598</v>
      </c>
      <c r="C1843" s="6" t="s">
        <v>12599</v>
      </c>
      <c r="D1843" s="6" t="s">
        <v>206</v>
      </c>
      <c r="E1843" s="6" t="s">
        <v>147</v>
      </c>
      <c r="F1843" s="8">
        <v>27.0</v>
      </c>
      <c r="G1843" s="9">
        <v>1668.64</v>
      </c>
      <c r="H1843" s="9">
        <v>3572.32</v>
      </c>
      <c r="I1843" s="6" t="s">
        <v>161</v>
      </c>
      <c r="J1843" s="6" t="s">
        <v>393</v>
      </c>
      <c r="K1843" s="6" t="s">
        <v>12601</v>
      </c>
      <c r="L1843" s="6">
        <v>3.0677392713E10</v>
      </c>
      <c r="M1843" s="6" t="s">
        <v>12602</v>
      </c>
      <c r="N1843" s="6" t="s">
        <v>427</v>
      </c>
      <c r="O1843" s="6" t="s">
        <v>178</v>
      </c>
      <c r="P1843" s="10">
        <v>45973.0</v>
      </c>
    </row>
    <row r="1844" ht="22.5" customHeight="1">
      <c r="A1844" s="6" t="s">
        <v>12603</v>
      </c>
      <c r="B1844" s="6" t="s">
        <v>12605</v>
      </c>
      <c r="C1844" s="6" t="s">
        <v>12606</v>
      </c>
      <c r="D1844" s="6" t="s">
        <v>145</v>
      </c>
      <c r="E1844" s="6" t="s">
        <v>301</v>
      </c>
      <c r="F1844" s="8">
        <v>49.0</v>
      </c>
      <c r="G1844" s="9">
        <v>1405.19</v>
      </c>
      <c r="H1844" s="9">
        <v>10781.35</v>
      </c>
      <c r="I1844" s="6" t="s">
        <v>161</v>
      </c>
      <c r="J1844" s="6" t="s">
        <v>479</v>
      </c>
      <c r="K1844" s="6" t="s">
        <v>12608</v>
      </c>
      <c r="L1844" s="6">
        <v>2.8088966251E10</v>
      </c>
      <c r="M1844" s="6" t="s">
        <v>12609</v>
      </c>
      <c r="N1844" s="6" t="s">
        <v>176</v>
      </c>
      <c r="O1844" s="6" t="s">
        <v>178</v>
      </c>
      <c r="P1844" s="10">
        <v>45976.0</v>
      </c>
    </row>
    <row r="1845" ht="22.5" customHeight="1">
      <c r="A1845" s="6" t="s">
        <v>12611</v>
      </c>
      <c r="B1845" s="6" t="s">
        <v>12612</v>
      </c>
      <c r="C1845" s="6" t="s">
        <v>12613</v>
      </c>
      <c r="D1845" s="6" t="s">
        <v>145</v>
      </c>
      <c r="E1845" s="6" t="s">
        <v>210</v>
      </c>
      <c r="F1845" s="8">
        <v>108.0</v>
      </c>
      <c r="G1845" s="9">
        <v>392.64</v>
      </c>
      <c r="H1845" s="9">
        <v>14147.82</v>
      </c>
      <c r="I1845" s="6" t="s">
        <v>178</v>
      </c>
      <c r="J1845" s="6" t="s">
        <v>442</v>
      </c>
      <c r="K1845" s="6" t="s">
        <v>12616</v>
      </c>
      <c r="L1845" s="6">
        <v>2.855211686E9</v>
      </c>
      <c r="M1845" s="6" t="s">
        <v>12617</v>
      </c>
      <c r="N1845" s="6" t="s">
        <v>283</v>
      </c>
      <c r="O1845" s="6" t="s">
        <v>161</v>
      </c>
      <c r="P1845" s="10">
        <v>45933.0</v>
      </c>
    </row>
    <row r="1846" ht="22.5" customHeight="1">
      <c r="A1846" s="6" t="s">
        <v>12618</v>
      </c>
      <c r="B1846" s="6" t="s">
        <v>12619</v>
      </c>
      <c r="C1846" s="6" t="s">
        <v>12620</v>
      </c>
      <c r="D1846" s="6" t="s">
        <v>145</v>
      </c>
      <c r="E1846" s="6" t="s">
        <v>301</v>
      </c>
      <c r="F1846" s="8">
        <v>31.0</v>
      </c>
      <c r="G1846" s="9">
        <v>1778.59</v>
      </c>
      <c r="H1846" s="9">
        <v>10609.09</v>
      </c>
      <c r="I1846" s="6" t="s">
        <v>161</v>
      </c>
      <c r="J1846" s="6" t="s">
        <v>577</v>
      </c>
      <c r="K1846" s="6" t="s">
        <v>12622</v>
      </c>
      <c r="L1846" s="6" t="s">
        <v>259</v>
      </c>
      <c r="M1846" s="6" t="s">
        <v>12623</v>
      </c>
      <c r="N1846" s="6" t="s">
        <v>259</v>
      </c>
      <c r="O1846" s="6" t="s">
        <v>178</v>
      </c>
      <c r="P1846" s="10">
        <v>45945.0</v>
      </c>
    </row>
    <row r="1847" ht="22.5" customHeight="1">
      <c r="A1847" s="6" t="s">
        <v>12624</v>
      </c>
      <c r="B1847" s="6" t="s">
        <v>12625</v>
      </c>
      <c r="C1847" s="6" t="s">
        <v>12626</v>
      </c>
      <c r="D1847" s="6" t="s">
        <v>383</v>
      </c>
      <c r="E1847" s="6" t="s">
        <v>301</v>
      </c>
      <c r="F1847" s="8">
        <v>36.0</v>
      </c>
      <c r="G1847" s="9">
        <v>157.78</v>
      </c>
      <c r="H1847" s="9">
        <v>13134.48</v>
      </c>
      <c r="I1847" s="6" t="s">
        <v>161</v>
      </c>
      <c r="J1847" s="6" t="s">
        <v>357</v>
      </c>
      <c r="K1847" s="6" t="s">
        <v>12628</v>
      </c>
      <c r="L1847" s="6">
        <v>6.7167638708E10</v>
      </c>
      <c r="M1847" s="6" t="s">
        <v>12629</v>
      </c>
      <c r="N1847" s="6" t="s">
        <v>176</v>
      </c>
      <c r="O1847" s="6" t="s">
        <v>178</v>
      </c>
      <c r="P1847" s="10">
        <v>45942.0</v>
      </c>
    </row>
    <row r="1848" ht="22.5" customHeight="1">
      <c r="A1848" s="6" t="s">
        <v>12631</v>
      </c>
      <c r="B1848" s="6" t="s">
        <v>12632</v>
      </c>
      <c r="C1848" s="6" t="s">
        <v>12633</v>
      </c>
      <c r="D1848" s="6" t="s">
        <v>206</v>
      </c>
      <c r="E1848" s="6" t="s">
        <v>147</v>
      </c>
      <c r="F1848" s="8">
        <v>22.0</v>
      </c>
      <c r="G1848" s="9">
        <v>90.02</v>
      </c>
      <c r="H1848" s="9">
        <v>8784.06</v>
      </c>
      <c r="I1848" s="6" t="s">
        <v>161</v>
      </c>
      <c r="J1848" s="6" t="s">
        <v>228</v>
      </c>
      <c r="K1848" s="6" t="s">
        <v>12635</v>
      </c>
      <c r="L1848" s="6">
        <v>5.130173695E9</v>
      </c>
      <c r="M1848" s="6" t="s">
        <v>12636</v>
      </c>
      <c r="N1848" s="6" t="s">
        <v>283</v>
      </c>
      <c r="O1848" s="6" t="s">
        <v>178</v>
      </c>
      <c r="P1848" s="10">
        <v>46039.0</v>
      </c>
    </row>
    <row r="1849" ht="22.5" customHeight="1">
      <c r="A1849" s="6" t="s">
        <v>12637</v>
      </c>
      <c r="B1849" s="6" t="s">
        <v>12638</v>
      </c>
      <c r="C1849" s="6" t="s">
        <v>12639</v>
      </c>
      <c r="D1849" s="6" t="s">
        <v>145</v>
      </c>
      <c r="E1849" s="6" t="s">
        <v>147</v>
      </c>
      <c r="F1849" s="8">
        <v>7.0</v>
      </c>
      <c r="G1849" s="9">
        <v>284.71</v>
      </c>
      <c r="H1849" s="9">
        <v>10492.2</v>
      </c>
      <c r="I1849" s="6" t="s">
        <v>161</v>
      </c>
      <c r="J1849" s="6" t="s">
        <v>479</v>
      </c>
      <c r="K1849" s="6" t="s">
        <v>12641</v>
      </c>
      <c r="L1849" s="6">
        <v>2.2544399096E10</v>
      </c>
      <c r="M1849" s="6" t="s">
        <v>12642</v>
      </c>
      <c r="N1849" s="6" t="s">
        <v>176</v>
      </c>
      <c r="O1849" s="6" t="s">
        <v>178</v>
      </c>
      <c r="P1849" s="10">
        <v>45957.0</v>
      </c>
    </row>
    <row r="1850" ht="22.5" customHeight="1">
      <c r="A1850" s="6" t="s">
        <v>12643</v>
      </c>
      <c r="B1850" s="6" t="s">
        <v>12644</v>
      </c>
      <c r="C1850" s="6" t="s">
        <v>12645</v>
      </c>
      <c r="D1850" s="6" t="s">
        <v>145</v>
      </c>
      <c r="E1850" s="6" t="s">
        <v>301</v>
      </c>
      <c r="F1850" s="8">
        <v>57.0</v>
      </c>
      <c r="G1850" s="9">
        <v>1637.53</v>
      </c>
      <c r="H1850" s="9">
        <v>8923.63</v>
      </c>
      <c r="I1850" s="6" t="s">
        <v>161</v>
      </c>
      <c r="J1850" s="6" t="s">
        <v>163</v>
      </c>
      <c r="K1850" s="6" t="s">
        <v>12647</v>
      </c>
      <c r="L1850" s="6">
        <v>7.186030599E10</v>
      </c>
      <c r="M1850" s="6" t="s">
        <v>12648</v>
      </c>
      <c r="N1850" s="6" t="s">
        <v>259</v>
      </c>
      <c r="O1850" s="6" t="s">
        <v>178</v>
      </c>
      <c r="P1850" s="10">
        <v>45990.0</v>
      </c>
    </row>
    <row r="1851" ht="22.5" customHeight="1">
      <c r="A1851" s="6" t="s">
        <v>12650</v>
      </c>
      <c r="B1851" s="6" t="s">
        <v>12651</v>
      </c>
      <c r="C1851" s="6" t="s">
        <v>12652</v>
      </c>
      <c r="D1851" s="6" t="s">
        <v>206</v>
      </c>
      <c r="E1851" s="6" t="s">
        <v>301</v>
      </c>
      <c r="F1851" s="8">
        <v>46.0</v>
      </c>
      <c r="G1851" s="9">
        <v>1139.4</v>
      </c>
      <c r="H1851" s="9">
        <v>9619.52</v>
      </c>
      <c r="I1851" s="6" t="s">
        <v>161</v>
      </c>
      <c r="J1851" s="6" t="s">
        <v>357</v>
      </c>
      <c r="K1851" s="6" t="s">
        <v>12654</v>
      </c>
      <c r="L1851" s="6">
        <v>1.9191152491E10</v>
      </c>
      <c r="M1851" s="6" t="s">
        <v>12655</v>
      </c>
      <c r="N1851" s="6" t="s">
        <v>427</v>
      </c>
      <c r="O1851" s="6" t="s">
        <v>178</v>
      </c>
      <c r="P1851" s="10">
        <v>45971.0</v>
      </c>
    </row>
    <row r="1852" ht="22.5" customHeight="1">
      <c r="A1852" s="6" t="s">
        <v>12656</v>
      </c>
      <c r="B1852" s="6" t="s">
        <v>12657</v>
      </c>
      <c r="C1852" s="6" t="s">
        <v>12658</v>
      </c>
      <c r="D1852" s="6" t="s">
        <v>145</v>
      </c>
      <c r="E1852" s="6" t="s">
        <v>301</v>
      </c>
      <c r="F1852" s="8">
        <v>55.0</v>
      </c>
      <c r="G1852" s="9">
        <v>760.56</v>
      </c>
      <c r="H1852" s="9">
        <v>9832.31</v>
      </c>
      <c r="I1852" s="6" t="s">
        <v>161</v>
      </c>
      <c r="J1852" s="6" t="s">
        <v>228</v>
      </c>
      <c r="K1852" s="6" t="s">
        <v>12660</v>
      </c>
      <c r="L1852" s="6">
        <v>6.4264798098E10</v>
      </c>
      <c r="M1852" s="6" t="s">
        <v>12661</v>
      </c>
      <c r="N1852" s="6" t="s">
        <v>259</v>
      </c>
      <c r="O1852" s="6" t="s">
        <v>178</v>
      </c>
      <c r="P1852" s="10">
        <v>46005.0</v>
      </c>
    </row>
    <row r="1853" ht="22.5" customHeight="1">
      <c r="A1853" s="6" t="s">
        <v>12663</v>
      </c>
      <c r="B1853" s="6" t="s">
        <v>12664</v>
      </c>
      <c r="C1853" s="6" t="s">
        <v>12665</v>
      </c>
      <c r="D1853" s="6" t="s">
        <v>206</v>
      </c>
      <c r="E1853" s="6" t="s">
        <v>301</v>
      </c>
      <c r="F1853" s="8">
        <v>52.0</v>
      </c>
      <c r="G1853" s="9">
        <v>1165.77</v>
      </c>
      <c r="H1853" s="9">
        <v>10579.86</v>
      </c>
      <c r="I1853" s="6" t="s">
        <v>161</v>
      </c>
      <c r="J1853" s="6" t="s">
        <v>479</v>
      </c>
      <c r="K1853" s="6" t="s">
        <v>12666</v>
      </c>
      <c r="L1853" s="6">
        <v>2.8381961613E10</v>
      </c>
      <c r="M1853" s="6" t="s">
        <v>12668</v>
      </c>
      <c r="N1853" s="6" t="s">
        <v>112</v>
      </c>
      <c r="O1853" s="6" t="s">
        <v>178</v>
      </c>
      <c r="P1853" s="10">
        <v>45995.0</v>
      </c>
    </row>
    <row r="1854" ht="22.5" customHeight="1">
      <c r="A1854" s="6" t="s">
        <v>12669</v>
      </c>
      <c r="B1854" s="6" t="s">
        <v>12670</v>
      </c>
      <c r="C1854" s="6" t="s">
        <v>12671</v>
      </c>
      <c r="D1854" s="6" t="s">
        <v>206</v>
      </c>
      <c r="E1854" s="6" t="s">
        <v>147</v>
      </c>
      <c r="F1854" s="8">
        <v>28.0</v>
      </c>
      <c r="G1854" s="9">
        <v>635.28</v>
      </c>
      <c r="H1854" s="9">
        <v>11758.54</v>
      </c>
      <c r="I1854" s="6" t="s">
        <v>161</v>
      </c>
      <c r="J1854" s="6" t="s">
        <v>465</v>
      </c>
      <c r="K1854" s="6" t="s">
        <v>12673</v>
      </c>
      <c r="L1854" s="6" t="s">
        <v>259</v>
      </c>
      <c r="M1854" s="6" t="s">
        <v>12674</v>
      </c>
      <c r="N1854" s="6" t="s">
        <v>259</v>
      </c>
      <c r="O1854" s="6" t="s">
        <v>178</v>
      </c>
      <c r="P1854" s="10">
        <v>46010.0</v>
      </c>
    </row>
    <row r="1855" ht="22.5" customHeight="1">
      <c r="A1855" s="6" t="s">
        <v>12675</v>
      </c>
      <c r="B1855" s="6" t="s">
        <v>12677</v>
      </c>
      <c r="C1855" s="6" t="s">
        <v>761</v>
      </c>
      <c r="D1855" s="6" t="s">
        <v>145</v>
      </c>
      <c r="E1855" s="6" t="s">
        <v>301</v>
      </c>
      <c r="F1855" s="8">
        <v>39.0</v>
      </c>
      <c r="G1855" s="9">
        <v>179.83</v>
      </c>
      <c r="H1855" s="9">
        <v>4281.15</v>
      </c>
      <c r="I1855" s="6" t="s">
        <v>161</v>
      </c>
      <c r="J1855" s="6" t="s">
        <v>393</v>
      </c>
      <c r="K1855" s="6" t="s">
        <v>12678</v>
      </c>
      <c r="L1855" s="6">
        <v>3.5147016996E10</v>
      </c>
      <c r="M1855" s="6" t="s">
        <v>12680</v>
      </c>
      <c r="N1855" s="6" t="s">
        <v>259</v>
      </c>
      <c r="O1855" s="6" t="s">
        <v>178</v>
      </c>
      <c r="P1855" s="10">
        <v>46021.0</v>
      </c>
    </row>
    <row r="1856" ht="22.5" customHeight="1">
      <c r="A1856" s="6" t="s">
        <v>12681</v>
      </c>
      <c r="B1856" s="6" t="s">
        <v>12682</v>
      </c>
      <c r="C1856" s="6" t="s">
        <v>12684</v>
      </c>
      <c r="D1856" s="6" t="s">
        <v>206</v>
      </c>
      <c r="E1856" s="6" t="s">
        <v>210</v>
      </c>
      <c r="F1856" s="8">
        <v>62.0</v>
      </c>
      <c r="G1856" s="9">
        <v>1136.66</v>
      </c>
      <c r="H1856" s="9">
        <v>14177.4</v>
      </c>
      <c r="I1856" s="6" t="s">
        <v>178</v>
      </c>
      <c r="J1856" s="6" t="s">
        <v>479</v>
      </c>
      <c r="K1856" s="6" t="s">
        <v>12685</v>
      </c>
      <c r="L1856" s="6">
        <v>7.9182439402E10</v>
      </c>
      <c r="M1856" s="6" t="s">
        <v>12686</v>
      </c>
      <c r="N1856" s="6" t="s">
        <v>259</v>
      </c>
      <c r="O1856" s="6" t="s">
        <v>161</v>
      </c>
      <c r="P1856" s="10">
        <v>45945.0</v>
      </c>
    </row>
    <row r="1857" ht="22.5" customHeight="1">
      <c r="A1857" s="6" t="s">
        <v>12687</v>
      </c>
      <c r="B1857" s="6" t="s">
        <v>12689</v>
      </c>
      <c r="C1857" s="6" t="s">
        <v>12690</v>
      </c>
      <c r="D1857" s="6" t="s">
        <v>206</v>
      </c>
      <c r="E1857" s="6" t="s">
        <v>301</v>
      </c>
      <c r="F1857" s="8">
        <v>38.0</v>
      </c>
      <c r="G1857" s="9">
        <v>381.77</v>
      </c>
      <c r="H1857" s="9">
        <v>3535.33</v>
      </c>
      <c r="I1857" s="6" t="s">
        <v>161</v>
      </c>
      <c r="J1857" s="6" t="s">
        <v>577</v>
      </c>
      <c r="K1857" s="6" t="s">
        <v>12691</v>
      </c>
      <c r="L1857" s="6">
        <v>3.8948639057E10</v>
      </c>
      <c r="M1857" s="6" t="s">
        <v>12692</v>
      </c>
      <c r="N1857" s="6" t="s">
        <v>112</v>
      </c>
      <c r="O1857" s="6" t="s">
        <v>178</v>
      </c>
      <c r="P1857" s="10">
        <v>45966.0</v>
      </c>
    </row>
    <row r="1858" ht="22.5" customHeight="1">
      <c r="A1858" s="6" t="s">
        <v>12694</v>
      </c>
      <c r="B1858" s="6" t="s">
        <v>12695</v>
      </c>
      <c r="C1858" s="6" t="s">
        <v>12696</v>
      </c>
      <c r="D1858" s="6" t="s">
        <v>206</v>
      </c>
      <c r="E1858" s="6" t="s">
        <v>301</v>
      </c>
      <c r="F1858" s="8">
        <v>35.0</v>
      </c>
      <c r="G1858" s="9">
        <v>542.54</v>
      </c>
      <c r="H1858" s="9">
        <v>11685.36</v>
      </c>
      <c r="I1858" s="6" t="s">
        <v>161</v>
      </c>
      <c r="J1858" s="6" t="s">
        <v>479</v>
      </c>
      <c r="K1858" s="6" t="s">
        <v>12698</v>
      </c>
      <c r="L1858" s="6">
        <v>2.014628463E10</v>
      </c>
      <c r="M1858" s="6" t="s">
        <v>12699</v>
      </c>
      <c r="N1858" s="6" t="s">
        <v>427</v>
      </c>
      <c r="O1858" s="6" t="s">
        <v>178</v>
      </c>
      <c r="P1858" s="10">
        <v>45951.0</v>
      </c>
    </row>
    <row r="1859" ht="22.5" customHeight="1">
      <c r="A1859" s="6" t="s">
        <v>12700</v>
      </c>
      <c r="B1859" s="6" t="s">
        <v>12701</v>
      </c>
      <c r="C1859" s="6" t="s">
        <v>12702</v>
      </c>
      <c r="D1859" s="6" t="s">
        <v>145</v>
      </c>
      <c r="E1859" s="6" t="s">
        <v>147</v>
      </c>
      <c r="F1859" s="8">
        <v>11.0</v>
      </c>
      <c r="G1859" s="9">
        <v>188.78</v>
      </c>
      <c r="H1859" s="9">
        <v>3435.02</v>
      </c>
      <c r="I1859" s="6" t="s">
        <v>161</v>
      </c>
      <c r="J1859" s="6" t="s">
        <v>312</v>
      </c>
      <c r="K1859" s="6" t="s">
        <v>12704</v>
      </c>
      <c r="L1859" s="6">
        <v>8.220740887E10</v>
      </c>
      <c r="M1859" s="6" t="s">
        <v>12705</v>
      </c>
      <c r="N1859" s="6" t="s">
        <v>259</v>
      </c>
      <c r="O1859" s="6" t="s">
        <v>178</v>
      </c>
      <c r="P1859" s="10">
        <v>46031.0</v>
      </c>
    </row>
    <row r="1860" ht="22.5" customHeight="1">
      <c r="A1860" s="6" t="s">
        <v>12706</v>
      </c>
      <c r="B1860" s="6" t="s">
        <v>12707</v>
      </c>
      <c r="C1860" s="6" t="s">
        <v>12708</v>
      </c>
      <c r="D1860" s="6" t="s">
        <v>206</v>
      </c>
      <c r="E1860" s="6" t="s">
        <v>210</v>
      </c>
      <c r="F1860" s="8">
        <v>63.0</v>
      </c>
      <c r="G1860" s="9">
        <v>1569.72</v>
      </c>
      <c r="H1860" s="9">
        <v>11976.65</v>
      </c>
      <c r="I1860" s="6" t="s">
        <v>178</v>
      </c>
      <c r="J1860" s="6" t="s">
        <v>421</v>
      </c>
      <c r="K1860" s="6" t="s">
        <v>12710</v>
      </c>
      <c r="L1860" s="6">
        <v>4.0464131494E10</v>
      </c>
      <c r="M1860" s="6" t="s">
        <v>12711</v>
      </c>
      <c r="N1860" s="6" t="s">
        <v>259</v>
      </c>
      <c r="O1860" s="6" t="s">
        <v>161</v>
      </c>
      <c r="P1860" s="10">
        <v>45983.0</v>
      </c>
    </row>
    <row r="1861" ht="22.5" customHeight="1">
      <c r="A1861" s="6" t="s">
        <v>12713</v>
      </c>
      <c r="B1861" s="6" t="s">
        <v>12714</v>
      </c>
      <c r="C1861" s="6" t="s">
        <v>12715</v>
      </c>
      <c r="D1861" s="6" t="s">
        <v>145</v>
      </c>
      <c r="E1861" s="6" t="s">
        <v>147</v>
      </c>
      <c r="F1861" s="8">
        <v>13.0</v>
      </c>
      <c r="G1861" s="9">
        <v>1464.98</v>
      </c>
      <c r="H1861" s="9">
        <v>11870.29</v>
      </c>
      <c r="I1861" s="6" t="s">
        <v>161</v>
      </c>
      <c r="J1861" s="6" t="s">
        <v>577</v>
      </c>
      <c r="K1861" s="6" t="s">
        <v>12717</v>
      </c>
      <c r="L1861" s="6">
        <v>7.0353968667E10</v>
      </c>
      <c r="M1861" s="6" t="s">
        <v>12718</v>
      </c>
      <c r="N1861" s="6" t="s">
        <v>112</v>
      </c>
      <c r="O1861" s="6" t="s">
        <v>178</v>
      </c>
      <c r="P1861" s="10">
        <v>45986.0</v>
      </c>
    </row>
    <row r="1862" ht="22.5" customHeight="1">
      <c r="A1862" s="6" t="s">
        <v>12719</v>
      </c>
      <c r="B1862" s="6" t="s">
        <v>12720</v>
      </c>
      <c r="C1862" s="6" t="s">
        <v>12721</v>
      </c>
      <c r="D1862" s="6" t="s">
        <v>145</v>
      </c>
      <c r="E1862" s="6" t="s">
        <v>147</v>
      </c>
      <c r="F1862" s="8">
        <v>20.0</v>
      </c>
      <c r="G1862" s="9">
        <v>1398.9</v>
      </c>
      <c r="H1862" s="9">
        <v>10502.52</v>
      </c>
      <c r="I1862" s="6" t="s">
        <v>161</v>
      </c>
      <c r="J1862" s="6" t="s">
        <v>312</v>
      </c>
      <c r="K1862" s="6" t="s">
        <v>12723</v>
      </c>
      <c r="L1862" s="6">
        <v>9.4552068372E10</v>
      </c>
      <c r="M1862" s="6" t="s">
        <v>12724</v>
      </c>
      <c r="N1862" s="6" t="s">
        <v>176</v>
      </c>
      <c r="O1862" s="6" t="s">
        <v>178</v>
      </c>
      <c r="P1862" s="10">
        <v>45992.0</v>
      </c>
    </row>
    <row r="1863" ht="22.5" customHeight="1">
      <c r="A1863" s="6" t="s">
        <v>12726</v>
      </c>
      <c r="B1863" s="6" t="s">
        <v>12727</v>
      </c>
      <c r="C1863" s="6" t="s">
        <v>12728</v>
      </c>
      <c r="D1863" s="6" t="s">
        <v>145</v>
      </c>
      <c r="E1863" s="6" t="s">
        <v>210</v>
      </c>
      <c r="F1863" s="8">
        <v>60.0</v>
      </c>
      <c r="G1863" s="9">
        <v>1402.79</v>
      </c>
      <c r="H1863" s="9">
        <v>12797.82</v>
      </c>
      <c r="I1863" s="6" t="s">
        <v>161</v>
      </c>
      <c r="J1863" s="6" t="s">
        <v>393</v>
      </c>
      <c r="K1863" s="6" t="s">
        <v>12729</v>
      </c>
      <c r="L1863" s="6">
        <v>6.4070357828E10</v>
      </c>
      <c r="M1863" s="6" t="s">
        <v>12731</v>
      </c>
      <c r="N1863" s="6" t="s">
        <v>259</v>
      </c>
      <c r="O1863" s="6" t="s">
        <v>161</v>
      </c>
      <c r="P1863" s="10">
        <v>45935.0</v>
      </c>
    </row>
    <row r="1864" ht="22.5" customHeight="1">
      <c r="A1864" s="6" t="s">
        <v>12732</v>
      </c>
      <c r="B1864" s="6" t="s">
        <v>12733</v>
      </c>
      <c r="C1864" s="6" t="s">
        <v>12734</v>
      </c>
      <c r="D1864" s="6" t="s">
        <v>145</v>
      </c>
      <c r="E1864" s="6" t="s">
        <v>147</v>
      </c>
      <c r="F1864" s="8">
        <v>24.0</v>
      </c>
      <c r="G1864" s="9">
        <v>1508.99</v>
      </c>
      <c r="H1864" s="9">
        <v>5620.0</v>
      </c>
      <c r="I1864" s="6" t="s">
        <v>161</v>
      </c>
      <c r="J1864" s="6" t="s">
        <v>228</v>
      </c>
      <c r="K1864" s="6" t="s">
        <v>12736</v>
      </c>
      <c r="L1864" s="6">
        <v>6.9435997983E10</v>
      </c>
      <c r="M1864" s="6" t="s">
        <v>12737</v>
      </c>
      <c r="N1864" s="6" t="s">
        <v>176</v>
      </c>
      <c r="O1864" s="6" t="s">
        <v>178</v>
      </c>
      <c r="P1864" s="10">
        <v>45972.0</v>
      </c>
    </row>
    <row r="1865" ht="22.5" customHeight="1">
      <c r="A1865" s="6" t="s">
        <v>12738</v>
      </c>
      <c r="B1865" s="6" t="s">
        <v>12739</v>
      </c>
      <c r="C1865" s="6" t="s">
        <v>12741</v>
      </c>
      <c r="D1865" s="6" t="s">
        <v>206</v>
      </c>
      <c r="E1865" s="6" t="s">
        <v>147</v>
      </c>
      <c r="F1865" s="8">
        <v>27.0</v>
      </c>
      <c r="G1865" s="9">
        <v>387.73</v>
      </c>
      <c r="H1865" s="9">
        <v>13395.6</v>
      </c>
      <c r="I1865" s="6" t="s">
        <v>161</v>
      </c>
      <c r="J1865" s="6" t="s">
        <v>357</v>
      </c>
      <c r="K1865" s="6" t="s">
        <v>259</v>
      </c>
      <c r="L1865" s="6">
        <v>9.8275371219E10</v>
      </c>
      <c r="M1865" s="6" t="s">
        <v>12742</v>
      </c>
      <c r="N1865" s="6" t="s">
        <v>176</v>
      </c>
      <c r="O1865" s="6" t="s">
        <v>178</v>
      </c>
      <c r="P1865" s="10">
        <v>45988.0</v>
      </c>
    </row>
    <row r="1866" ht="22.5" customHeight="1">
      <c r="A1866" s="6" t="s">
        <v>12744</v>
      </c>
      <c r="B1866" s="6" t="s">
        <v>12745</v>
      </c>
      <c r="C1866" s="6" t="s">
        <v>12746</v>
      </c>
      <c r="D1866" s="6" t="s">
        <v>206</v>
      </c>
      <c r="E1866" s="6" t="s">
        <v>147</v>
      </c>
      <c r="F1866" s="8">
        <v>6.0</v>
      </c>
      <c r="G1866" s="9">
        <v>956.73</v>
      </c>
      <c r="H1866" s="9">
        <v>7165.36</v>
      </c>
      <c r="I1866" s="6" t="s">
        <v>161</v>
      </c>
      <c r="J1866" s="6" t="s">
        <v>312</v>
      </c>
      <c r="K1866" s="6" t="s">
        <v>12748</v>
      </c>
      <c r="L1866" s="6">
        <v>7.5201184359E10</v>
      </c>
      <c r="M1866" s="6" t="s">
        <v>12749</v>
      </c>
      <c r="N1866" s="6" t="s">
        <v>112</v>
      </c>
      <c r="O1866" s="6" t="s">
        <v>178</v>
      </c>
      <c r="P1866" s="10">
        <v>46040.0</v>
      </c>
    </row>
    <row r="1867" ht="22.5" customHeight="1">
      <c r="A1867" s="6" t="s">
        <v>12750</v>
      </c>
      <c r="B1867" s="6" t="s">
        <v>12751</v>
      </c>
      <c r="C1867" s="6" t="s">
        <v>12752</v>
      </c>
      <c r="D1867" s="6" t="s">
        <v>145</v>
      </c>
      <c r="E1867" s="6" t="s">
        <v>301</v>
      </c>
      <c r="F1867" s="8">
        <v>30.0</v>
      </c>
      <c r="G1867" s="9">
        <v>1077.49</v>
      </c>
      <c r="H1867" s="9">
        <v>1572.51</v>
      </c>
      <c r="I1867" s="6" t="s">
        <v>161</v>
      </c>
      <c r="J1867" s="6" t="s">
        <v>357</v>
      </c>
      <c r="K1867" s="6" t="s">
        <v>12754</v>
      </c>
      <c r="L1867" s="6">
        <v>2.092791775E9</v>
      </c>
      <c r="M1867" s="6" t="s">
        <v>12755</v>
      </c>
      <c r="N1867" s="6" t="s">
        <v>283</v>
      </c>
      <c r="O1867" s="6" t="s">
        <v>178</v>
      </c>
      <c r="P1867" s="10">
        <v>46048.0</v>
      </c>
    </row>
    <row r="1868" ht="22.5" customHeight="1">
      <c r="A1868" s="6" t="s">
        <v>12757</v>
      </c>
      <c r="B1868" s="6" t="s">
        <v>12758</v>
      </c>
      <c r="C1868" s="6" t="s">
        <v>12759</v>
      </c>
      <c r="D1868" s="6" t="s">
        <v>145</v>
      </c>
      <c r="E1868" s="6" t="s">
        <v>301</v>
      </c>
      <c r="F1868" s="8">
        <v>47.0</v>
      </c>
      <c r="G1868" s="9">
        <v>148.98</v>
      </c>
      <c r="H1868" s="9">
        <v>1078.71</v>
      </c>
      <c r="I1868" s="6" t="s">
        <v>161</v>
      </c>
      <c r="J1868" s="6" t="s">
        <v>228</v>
      </c>
      <c r="K1868" s="6" t="s">
        <v>10046</v>
      </c>
      <c r="L1868" s="6">
        <v>7.6370791002E10</v>
      </c>
      <c r="M1868" s="6" t="s">
        <v>12760</v>
      </c>
      <c r="N1868" s="6" t="s">
        <v>427</v>
      </c>
      <c r="O1868" s="6" t="s">
        <v>178</v>
      </c>
      <c r="P1868" s="10">
        <v>46031.0</v>
      </c>
    </row>
    <row r="1869" ht="22.5" customHeight="1">
      <c r="A1869" s="6" t="s">
        <v>12762</v>
      </c>
      <c r="B1869" s="6" t="s">
        <v>12763</v>
      </c>
      <c r="C1869" s="6" t="s">
        <v>12764</v>
      </c>
      <c r="D1869" s="6" t="s">
        <v>145</v>
      </c>
      <c r="E1869" s="6" t="s">
        <v>147</v>
      </c>
      <c r="F1869" s="8">
        <v>8.0</v>
      </c>
      <c r="G1869" s="9">
        <v>425.63</v>
      </c>
      <c r="H1869" s="9">
        <v>9253.31</v>
      </c>
      <c r="I1869" s="6" t="s">
        <v>178</v>
      </c>
      <c r="J1869" s="6" t="s">
        <v>357</v>
      </c>
      <c r="K1869" s="6" t="s">
        <v>259</v>
      </c>
      <c r="L1869" s="6">
        <v>5.3008161215E10</v>
      </c>
      <c r="M1869" s="6" t="s">
        <v>12766</v>
      </c>
      <c r="N1869" s="6" t="s">
        <v>283</v>
      </c>
      <c r="O1869" s="6" t="s">
        <v>161</v>
      </c>
      <c r="P1869" s="10">
        <v>46018.0</v>
      </c>
    </row>
    <row r="1870" ht="22.5" customHeight="1">
      <c r="A1870" s="6" t="s">
        <v>12767</v>
      </c>
      <c r="B1870" s="6" t="s">
        <v>12768</v>
      </c>
      <c r="C1870" s="6" t="s">
        <v>12769</v>
      </c>
      <c r="D1870" s="6" t="s">
        <v>383</v>
      </c>
      <c r="E1870" s="6" t="s">
        <v>147</v>
      </c>
      <c r="F1870" s="8">
        <v>21.0</v>
      </c>
      <c r="G1870" s="9">
        <v>1759.95</v>
      </c>
      <c r="H1870" s="9">
        <v>3895.81</v>
      </c>
      <c r="I1870" s="6" t="s">
        <v>161</v>
      </c>
      <c r="J1870" s="6" t="s">
        <v>465</v>
      </c>
      <c r="K1870" s="6" t="s">
        <v>12771</v>
      </c>
      <c r="L1870" s="6">
        <v>5.3698774129E10</v>
      </c>
      <c r="M1870" s="6" t="s">
        <v>12772</v>
      </c>
      <c r="N1870" s="6" t="s">
        <v>283</v>
      </c>
      <c r="O1870" s="6" t="s">
        <v>178</v>
      </c>
      <c r="P1870" s="10">
        <v>45992.0</v>
      </c>
    </row>
    <row r="1871" ht="22.5" customHeight="1">
      <c r="A1871" s="6" t="s">
        <v>12773</v>
      </c>
      <c r="B1871" s="6" t="s">
        <v>12774</v>
      </c>
      <c r="C1871" s="6" t="s">
        <v>12776</v>
      </c>
      <c r="D1871" s="6" t="s">
        <v>206</v>
      </c>
      <c r="E1871" s="6" t="s">
        <v>147</v>
      </c>
      <c r="F1871" s="8">
        <v>7.0</v>
      </c>
      <c r="G1871" s="9">
        <v>82.23</v>
      </c>
      <c r="H1871" s="9">
        <v>12710.63</v>
      </c>
      <c r="I1871" s="6" t="s">
        <v>161</v>
      </c>
      <c r="J1871" s="6" t="s">
        <v>357</v>
      </c>
      <c r="K1871" s="6" t="s">
        <v>12777</v>
      </c>
      <c r="L1871" s="6">
        <v>5.4828012929E10</v>
      </c>
      <c r="M1871" s="6" t="s">
        <v>12778</v>
      </c>
      <c r="N1871" s="6" t="s">
        <v>427</v>
      </c>
      <c r="O1871" s="6" t="s">
        <v>178</v>
      </c>
      <c r="P1871" s="10">
        <v>45952.0</v>
      </c>
    </row>
    <row r="1872" ht="22.5" customHeight="1">
      <c r="A1872" s="6" t="s">
        <v>12780</v>
      </c>
      <c r="B1872" s="6" t="s">
        <v>12781</v>
      </c>
      <c r="C1872" s="6" t="s">
        <v>12782</v>
      </c>
      <c r="D1872" s="6" t="s">
        <v>145</v>
      </c>
      <c r="E1872" s="6" t="s">
        <v>210</v>
      </c>
      <c r="F1872" s="8">
        <v>108.0</v>
      </c>
      <c r="G1872" s="9">
        <v>1007.75</v>
      </c>
      <c r="H1872" s="9">
        <v>14945.97</v>
      </c>
      <c r="I1872" s="6" t="s">
        <v>161</v>
      </c>
      <c r="J1872" s="6" t="s">
        <v>163</v>
      </c>
      <c r="K1872" s="6" t="s">
        <v>12784</v>
      </c>
      <c r="L1872" s="6" t="s">
        <v>259</v>
      </c>
      <c r="M1872" s="6" t="s">
        <v>12785</v>
      </c>
      <c r="N1872" s="6" t="s">
        <v>259</v>
      </c>
      <c r="O1872" s="6" t="s">
        <v>161</v>
      </c>
      <c r="P1872" s="10">
        <v>45971.0</v>
      </c>
    </row>
    <row r="1873" ht="22.5" customHeight="1">
      <c r="A1873" s="6" t="s">
        <v>12786</v>
      </c>
      <c r="B1873" s="6" t="s">
        <v>12787</v>
      </c>
      <c r="C1873" s="6" t="s">
        <v>12788</v>
      </c>
      <c r="D1873" s="6" t="s">
        <v>206</v>
      </c>
      <c r="E1873" s="6" t="s">
        <v>301</v>
      </c>
      <c r="F1873" s="8">
        <v>41.0</v>
      </c>
      <c r="G1873" s="9">
        <v>202.0</v>
      </c>
      <c r="H1873" s="9">
        <v>6401.64</v>
      </c>
      <c r="I1873" s="6" t="s">
        <v>178</v>
      </c>
      <c r="J1873" s="6" t="s">
        <v>442</v>
      </c>
      <c r="K1873" s="6" t="s">
        <v>12790</v>
      </c>
      <c r="L1873" s="6">
        <v>2.5446841898E10</v>
      </c>
      <c r="M1873" s="6" t="s">
        <v>12791</v>
      </c>
      <c r="N1873" s="6" t="s">
        <v>112</v>
      </c>
      <c r="O1873" s="6" t="s">
        <v>161</v>
      </c>
      <c r="P1873" s="10">
        <v>46005.0</v>
      </c>
    </row>
    <row r="1874" ht="22.5" customHeight="1">
      <c r="A1874" s="6" t="s">
        <v>12793</v>
      </c>
      <c r="B1874" s="6" t="s">
        <v>12794</v>
      </c>
      <c r="C1874" s="6" t="s">
        <v>12795</v>
      </c>
      <c r="D1874" s="6" t="s">
        <v>206</v>
      </c>
      <c r="E1874" s="6" t="s">
        <v>147</v>
      </c>
      <c r="F1874" s="8">
        <v>19.0</v>
      </c>
      <c r="G1874" s="9">
        <v>507.84</v>
      </c>
      <c r="H1874" s="9">
        <v>5870.75</v>
      </c>
      <c r="I1874" s="6" t="s">
        <v>161</v>
      </c>
      <c r="J1874" s="6" t="s">
        <v>163</v>
      </c>
      <c r="K1874" s="6" t="s">
        <v>12797</v>
      </c>
      <c r="L1874" s="6">
        <v>1.5847299967E10</v>
      </c>
      <c r="M1874" s="6" t="s">
        <v>12798</v>
      </c>
      <c r="N1874" s="6" t="s">
        <v>176</v>
      </c>
      <c r="O1874" s="6" t="s">
        <v>178</v>
      </c>
      <c r="P1874" s="10">
        <v>46046.0</v>
      </c>
    </row>
    <row r="1875" ht="22.5" customHeight="1">
      <c r="A1875" s="6" t="s">
        <v>12799</v>
      </c>
      <c r="B1875" s="6" t="s">
        <v>12800</v>
      </c>
      <c r="C1875" s="6" t="s">
        <v>12801</v>
      </c>
      <c r="D1875" s="6" t="s">
        <v>206</v>
      </c>
      <c r="E1875" s="6" t="s">
        <v>301</v>
      </c>
      <c r="F1875" s="8">
        <v>46.0</v>
      </c>
      <c r="G1875" s="9">
        <v>1794.45</v>
      </c>
      <c r="H1875" s="9">
        <v>12977.28</v>
      </c>
      <c r="I1875" s="6" t="s">
        <v>161</v>
      </c>
      <c r="J1875" s="6" t="s">
        <v>421</v>
      </c>
      <c r="K1875" s="6" t="s">
        <v>12803</v>
      </c>
      <c r="L1875" s="6">
        <v>5.626720458E9</v>
      </c>
      <c r="M1875" s="6" t="s">
        <v>12804</v>
      </c>
      <c r="N1875" s="6" t="s">
        <v>427</v>
      </c>
      <c r="O1875" s="6" t="s">
        <v>178</v>
      </c>
      <c r="P1875" s="10">
        <v>46036.0</v>
      </c>
    </row>
    <row r="1876" ht="22.5" customHeight="1">
      <c r="A1876" s="6" t="s">
        <v>12806</v>
      </c>
      <c r="B1876" s="6" t="s">
        <v>12807</v>
      </c>
      <c r="C1876" s="6" t="s">
        <v>12808</v>
      </c>
      <c r="D1876" s="6" t="s">
        <v>145</v>
      </c>
      <c r="E1876" s="6" t="s">
        <v>147</v>
      </c>
      <c r="F1876" s="8">
        <v>26.0</v>
      </c>
      <c r="G1876" s="9">
        <v>1080.07</v>
      </c>
      <c r="H1876" s="9">
        <v>10306.69</v>
      </c>
      <c r="I1876" s="6" t="s">
        <v>161</v>
      </c>
      <c r="J1876" s="6" t="s">
        <v>228</v>
      </c>
      <c r="K1876" s="6" t="s">
        <v>12809</v>
      </c>
      <c r="L1876" s="6">
        <v>5.8283872842E10</v>
      </c>
      <c r="M1876" s="6" t="s">
        <v>12811</v>
      </c>
      <c r="N1876" s="6" t="s">
        <v>176</v>
      </c>
      <c r="O1876" s="6" t="s">
        <v>178</v>
      </c>
      <c r="P1876" s="10">
        <v>45972.0</v>
      </c>
    </row>
    <row r="1877" ht="22.5" customHeight="1">
      <c r="A1877" s="6" t="s">
        <v>12812</v>
      </c>
      <c r="B1877" s="6" t="s">
        <v>12813</v>
      </c>
      <c r="C1877" s="6" t="s">
        <v>12814</v>
      </c>
      <c r="D1877" s="6" t="s">
        <v>206</v>
      </c>
      <c r="E1877" s="6" t="s">
        <v>301</v>
      </c>
      <c r="F1877" s="8">
        <v>44.0</v>
      </c>
      <c r="G1877" s="9">
        <v>1465.25</v>
      </c>
      <c r="H1877" s="9">
        <v>5165.86</v>
      </c>
      <c r="I1877" s="6" t="s">
        <v>161</v>
      </c>
      <c r="J1877" s="6" t="s">
        <v>577</v>
      </c>
      <c r="K1877" s="6" t="s">
        <v>12816</v>
      </c>
      <c r="L1877" s="6">
        <v>5.8125501305E10</v>
      </c>
      <c r="M1877" s="6" t="s">
        <v>12817</v>
      </c>
      <c r="N1877" s="6" t="s">
        <v>259</v>
      </c>
      <c r="O1877" s="6" t="s">
        <v>178</v>
      </c>
      <c r="P1877" s="10">
        <v>46009.0</v>
      </c>
    </row>
    <row r="1878" ht="22.5" customHeight="1">
      <c r="A1878" s="6" t="s">
        <v>12819</v>
      </c>
      <c r="B1878" s="6" t="s">
        <v>12820</v>
      </c>
      <c r="C1878" s="6" t="s">
        <v>12821</v>
      </c>
      <c r="D1878" s="6" t="s">
        <v>206</v>
      </c>
      <c r="E1878" s="6" t="s">
        <v>147</v>
      </c>
      <c r="F1878" s="8">
        <v>16.0</v>
      </c>
      <c r="G1878" s="9">
        <v>1203.1</v>
      </c>
      <c r="H1878" s="9">
        <v>2171.23</v>
      </c>
      <c r="I1878" s="6" t="s">
        <v>161</v>
      </c>
      <c r="J1878" s="6" t="s">
        <v>312</v>
      </c>
      <c r="K1878" s="6" t="s">
        <v>12822</v>
      </c>
      <c r="L1878" s="6">
        <v>8.6378975374E10</v>
      </c>
      <c r="M1878" s="6" t="s">
        <v>12824</v>
      </c>
      <c r="N1878" s="6" t="s">
        <v>176</v>
      </c>
      <c r="O1878" s="6" t="s">
        <v>178</v>
      </c>
      <c r="P1878" s="10">
        <v>45963.0</v>
      </c>
    </row>
    <row r="1879" ht="22.5" customHeight="1">
      <c r="A1879" s="6" t="s">
        <v>12825</v>
      </c>
      <c r="B1879" s="6" t="s">
        <v>12826</v>
      </c>
      <c r="C1879" s="6" t="s">
        <v>12827</v>
      </c>
      <c r="D1879" s="6" t="s">
        <v>145</v>
      </c>
      <c r="E1879" s="6" t="s">
        <v>147</v>
      </c>
      <c r="F1879" s="8">
        <v>23.0</v>
      </c>
      <c r="G1879" s="9">
        <v>1655.74</v>
      </c>
      <c r="H1879" s="9">
        <v>14809.07</v>
      </c>
      <c r="I1879" s="6" t="s">
        <v>161</v>
      </c>
      <c r="J1879" s="6" t="s">
        <v>312</v>
      </c>
      <c r="K1879" s="6" t="s">
        <v>12829</v>
      </c>
      <c r="L1879" s="6">
        <v>1.8104444358E10</v>
      </c>
      <c r="M1879" s="6" t="s">
        <v>12830</v>
      </c>
      <c r="N1879" s="6" t="s">
        <v>259</v>
      </c>
      <c r="O1879" s="6" t="s">
        <v>178</v>
      </c>
      <c r="P1879" s="10">
        <v>46016.0</v>
      </c>
    </row>
    <row r="1880" ht="22.5" customHeight="1">
      <c r="A1880" s="6" t="s">
        <v>12832</v>
      </c>
      <c r="B1880" s="6" t="s">
        <v>12833</v>
      </c>
      <c r="C1880" s="6" t="s">
        <v>12834</v>
      </c>
      <c r="D1880" s="6" t="s">
        <v>145</v>
      </c>
      <c r="E1880" s="6" t="s">
        <v>301</v>
      </c>
      <c r="F1880" s="8">
        <v>52.0</v>
      </c>
      <c r="G1880" s="9">
        <v>1142.66</v>
      </c>
      <c r="H1880" s="9">
        <v>8711.04</v>
      </c>
      <c r="I1880" s="6" t="s">
        <v>161</v>
      </c>
      <c r="J1880" s="6" t="s">
        <v>312</v>
      </c>
      <c r="K1880" s="6" t="s">
        <v>12835</v>
      </c>
      <c r="L1880" s="6">
        <v>8.4233340861E10</v>
      </c>
      <c r="M1880" s="6" t="s">
        <v>12837</v>
      </c>
      <c r="N1880" s="6" t="s">
        <v>176</v>
      </c>
      <c r="O1880" s="6" t="s">
        <v>178</v>
      </c>
      <c r="P1880" s="10">
        <v>46000.0</v>
      </c>
    </row>
    <row r="1881" ht="22.5" customHeight="1">
      <c r="A1881" s="6" t="s">
        <v>12838</v>
      </c>
      <c r="B1881" s="6" t="s">
        <v>12839</v>
      </c>
      <c r="C1881" s="6" t="s">
        <v>12840</v>
      </c>
      <c r="D1881" s="6" t="s">
        <v>206</v>
      </c>
      <c r="E1881" s="6" t="s">
        <v>301</v>
      </c>
      <c r="F1881" s="8">
        <v>41.0</v>
      </c>
      <c r="G1881" s="9">
        <v>264.09</v>
      </c>
      <c r="H1881" s="9">
        <v>11997.19</v>
      </c>
      <c r="I1881" s="6" t="s">
        <v>161</v>
      </c>
      <c r="J1881" s="6" t="s">
        <v>479</v>
      </c>
      <c r="K1881" s="6" t="s">
        <v>12842</v>
      </c>
      <c r="L1881" s="6">
        <v>6.7173738803E10</v>
      </c>
      <c r="M1881" s="6" t="s">
        <v>12843</v>
      </c>
      <c r="N1881" s="6" t="s">
        <v>427</v>
      </c>
      <c r="O1881" s="6" t="s">
        <v>178</v>
      </c>
      <c r="P1881" s="10">
        <v>45971.0</v>
      </c>
    </row>
    <row r="1882" ht="22.5" customHeight="1">
      <c r="A1882" s="6" t="s">
        <v>12844</v>
      </c>
      <c r="B1882" s="6" t="s">
        <v>12845</v>
      </c>
      <c r="C1882" s="6" t="s">
        <v>12847</v>
      </c>
      <c r="D1882" s="6" t="s">
        <v>145</v>
      </c>
      <c r="E1882" s="6" t="s">
        <v>147</v>
      </c>
      <c r="F1882" s="8">
        <v>5.0</v>
      </c>
      <c r="G1882" s="9">
        <v>1702.78</v>
      </c>
      <c r="H1882" s="9">
        <v>4091.85</v>
      </c>
      <c r="I1882" s="6" t="s">
        <v>161</v>
      </c>
      <c r="J1882" s="6" t="s">
        <v>421</v>
      </c>
      <c r="K1882" s="6" t="s">
        <v>12848</v>
      </c>
      <c r="L1882" s="6">
        <v>4.5131212245E10</v>
      </c>
      <c r="M1882" s="6" t="s">
        <v>12849</v>
      </c>
      <c r="N1882" s="6" t="s">
        <v>259</v>
      </c>
      <c r="O1882" s="6" t="s">
        <v>178</v>
      </c>
      <c r="P1882" s="10">
        <v>45964.0</v>
      </c>
    </row>
    <row r="1883" ht="22.5" customHeight="1">
      <c r="A1883" s="6" t="s">
        <v>12851</v>
      </c>
      <c r="B1883" s="6" t="s">
        <v>12852</v>
      </c>
      <c r="C1883" s="6" t="s">
        <v>12853</v>
      </c>
      <c r="D1883" s="6" t="s">
        <v>206</v>
      </c>
      <c r="E1883" s="6" t="s">
        <v>147</v>
      </c>
      <c r="F1883" s="8">
        <v>11.0</v>
      </c>
      <c r="G1883" s="9">
        <v>529.54</v>
      </c>
      <c r="H1883" s="9">
        <v>6699.64</v>
      </c>
      <c r="I1883" s="6" t="s">
        <v>161</v>
      </c>
      <c r="J1883" s="6" t="s">
        <v>228</v>
      </c>
      <c r="K1883" s="6" t="s">
        <v>12854</v>
      </c>
      <c r="L1883" s="6">
        <v>3.1586953587E10</v>
      </c>
      <c r="M1883" s="6" t="s">
        <v>12856</v>
      </c>
      <c r="N1883" s="6" t="s">
        <v>259</v>
      </c>
      <c r="O1883" s="6" t="s">
        <v>178</v>
      </c>
      <c r="P1883" s="10">
        <v>46022.0</v>
      </c>
    </row>
    <row r="1884" ht="22.5" customHeight="1">
      <c r="A1884" s="6" t="s">
        <v>12857</v>
      </c>
      <c r="B1884" s="6" t="s">
        <v>12858</v>
      </c>
      <c r="C1884" s="6" t="s">
        <v>12859</v>
      </c>
      <c r="D1884" s="6" t="s">
        <v>206</v>
      </c>
      <c r="E1884" s="6" t="s">
        <v>210</v>
      </c>
      <c r="F1884" s="8">
        <v>111.0</v>
      </c>
      <c r="G1884" s="9">
        <v>83.49</v>
      </c>
      <c r="H1884" s="9">
        <v>10997.35</v>
      </c>
      <c r="I1884" s="6" t="s">
        <v>178</v>
      </c>
      <c r="J1884" s="6" t="s">
        <v>442</v>
      </c>
      <c r="K1884" s="6" t="s">
        <v>12861</v>
      </c>
      <c r="L1884" s="6">
        <v>6.1244202143E10</v>
      </c>
      <c r="M1884" s="6" t="s">
        <v>12862</v>
      </c>
      <c r="N1884" s="6" t="s">
        <v>259</v>
      </c>
      <c r="O1884" s="6" t="s">
        <v>161</v>
      </c>
      <c r="P1884" s="10">
        <v>46039.0</v>
      </c>
    </row>
    <row r="1885" ht="22.5" customHeight="1">
      <c r="A1885" s="6" t="s">
        <v>12863</v>
      </c>
      <c r="B1885" s="6" t="s">
        <v>12864</v>
      </c>
      <c r="C1885" s="6" t="s">
        <v>12865</v>
      </c>
      <c r="D1885" s="6" t="s">
        <v>206</v>
      </c>
      <c r="E1885" s="6" t="s">
        <v>147</v>
      </c>
      <c r="F1885" s="8">
        <v>25.0</v>
      </c>
      <c r="G1885" s="9">
        <v>750.76</v>
      </c>
      <c r="H1885" s="9">
        <v>10309.4</v>
      </c>
      <c r="I1885" s="6" t="s">
        <v>161</v>
      </c>
      <c r="J1885" s="6" t="s">
        <v>465</v>
      </c>
      <c r="K1885" s="6" t="s">
        <v>12867</v>
      </c>
      <c r="L1885" s="6">
        <v>8.5493749866E10</v>
      </c>
      <c r="M1885" s="6" t="s">
        <v>12868</v>
      </c>
      <c r="N1885" s="6" t="s">
        <v>259</v>
      </c>
      <c r="O1885" s="6" t="s">
        <v>178</v>
      </c>
      <c r="P1885" s="10">
        <v>46047.0</v>
      </c>
    </row>
    <row r="1886" ht="22.5" customHeight="1">
      <c r="A1886" s="6" t="s">
        <v>12869</v>
      </c>
      <c r="B1886" s="6" t="s">
        <v>12871</v>
      </c>
      <c r="C1886" s="6" t="s">
        <v>12872</v>
      </c>
      <c r="D1886" s="6" t="s">
        <v>145</v>
      </c>
      <c r="E1886" s="6" t="s">
        <v>147</v>
      </c>
      <c r="F1886" s="8">
        <v>22.0</v>
      </c>
      <c r="G1886" s="9">
        <v>1119.03</v>
      </c>
      <c r="H1886" s="9">
        <v>13338.37</v>
      </c>
      <c r="I1886" s="6" t="s">
        <v>161</v>
      </c>
      <c r="J1886" s="6" t="s">
        <v>577</v>
      </c>
      <c r="K1886" s="6" t="s">
        <v>12873</v>
      </c>
      <c r="L1886" s="6">
        <v>7.735316938E10</v>
      </c>
      <c r="M1886" s="6" t="s">
        <v>12874</v>
      </c>
      <c r="N1886" s="6" t="s">
        <v>259</v>
      </c>
      <c r="O1886" s="6" t="s">
        <v>178</v>
      </c>
      <c r="P1886" s="10">
        <v>46045.0</v>
      </c>
    </row>
    <row r="1887" ht="22.5" customHeight="1">
      <c r="A1887" s="6" t="s">
        <v>12876</v>
      </c>
      <c r="B1887" s="6" t="s">
        <v>12877</v>
      </c>
      <c r="C1887" s="6" t="s">
        <v>12878</v>
      </c>
      <c r="D1887" s="6" t="s">
        <v>206</v>
      </c>
      <c r="E1887" s="6" t="s">
        <v>301</v>
      </c>
      <c r="F1887" s="8">
        <v>35.0</v>
      </c>
      <c r="G1887" s="9">
        <v>1285.59</v>
      </c>
      <c r="H1887" s="9">
        <v>4911.47</v>
      </c>
      <c r="I1887" s="6" t="s">
        <v>161</v>
      </c>
      <c r="J1887" s="6" t="s">
        <v>577</v>
      </c>
      <c r="K1887" s="6" t="s">
        <v>12880</v>
      </c>
      <c r="L1887" s="6" t="s">
        <v>259</v>
      </c>
      <c r="M1887" s="6" t="s">
        <v>12881</v>
      </c>
      <c r="N1887" s="6" t="s">
        <v>283</v>
      </c>
      <c r="O1887" s="6" t="s">
        <v>178</v>
      </c>
      <c r="P1887" s="10">
        <v>45989.0</v>
      </c>
    </row>
    <row r="1888" ht="22.5" customHeight="1">
      <c r="A1888" s="6" t="s">
        <v>12882</v>
      </c>
      <c r="B1888" s="6" t="s">
        <v>12883</v>
      </c>
      <c r="C1888" s="6" t="s">
        <v>12885</v>
      </c>
      <c r="D1888" s="6" t="s">
        <v>145</v>
      </c>
      <c r="E1888" s="6" t="s">
        <v>301</v>
      </c>
      <c r="F1888" s="8">
        <v>51.0</v>
      </c>
      <c r="G1888" s="9">
        <v>1518.4</v>
      </c>
      <c r="H1888" s="9">
        <v>12277.3</v>
      </c>
      <c r="I1888" s="6" t="s">
        <v>161</v>
      </c>
      <c r="J1888" s="6" t="s">
        <v>228</v>
      </c>
      <c r="K1888" s="6" t="s">
        <v>12887</v>
      </c>
      <c r="L1888" s="6">
        <v>7.5903869699E10</v>
      </c>
      <c r="M1888" s="6" t="s">
        <v>12888</v>
      </c>
      <c r="N1888" s="6" t="s">
        <v>283</v>
      </c>
      <c r="O1888" s="6" t="s">
        <v>178</v>
      </c>
      <c r="P1888" s="10">
        <v>45980.0</v>
      </c>
    </row>
    <row r="1889" ht="22.5" customHeight="1">
      <c r="A1889" s="6" t="s">
        <v>12889</v>
      </c>
      <c r="B1889" s="6" t="s">
        <v>12890</v>
      </c>
      <c r="C1889" s="6" t="s">
        <v>12891</v>
      </c>
      <c r="D1889" s="6" t="s">
        <v>206</v>
      </c>
      <c r="E1889" s="6" t="s">
        <v>147</v>
      </c>
      <c r="F1889" s="8">
        <v>12.0</v>
      </c>
      <c r="G1889" s="9">
        <v>878.83</v>
      </c>
      <c r="H1889" s="9">
        <v>8471.81</v>
      </c>
      <c r="I1889" s="6" t="s">
        <v>161</v>
      </c>
      <c r="J1889" s="6" t="s">
        <v>228</v>
      </c>
      <c r="K1889" s="6" t="s">
        <v>12893</v>
      </c>
      <c r="L1889" s="6">
        <v>9.1163038082E10</v>
      </c>
      <c r="M1889" s="6" t="s">
        <v>12894</v>
      </c>
      <c r="N1889" s="6" t="s">
        <v>283</v>
      </c>
      <c r="O1889" s="6" t="s">
        <v>178</v>
      </c>
      <c r="P1889" s="10">
        <v>46036.0</v>
      </c>
    </row>
    <row r="1890" ht="22.5" customHeight="1">
      <c r="A1890" s="6" t="s">
        <v>12895</v>
      </c>
      <c r="B1890" s="6" t="s">
        <v>12896</v>
      </c>
      <c r="C1890" s="6" t="s">
        <v>12898</v>
      </c>
      <c r="D1890" s="6" t="s">
        <v>145</v>
      </c>
      <c r="E1890" s="6" t="s">
        <v>147</v>
      </c>
      <c r="F1890" s="8">
        <v>19.0</v>
      </c>
      <c r="G1890" s="9">
        <v>1202.64</v>
      </c>
      <c r="H1890" s="9">
        <v>1973.67</v>
      </c>
      <c r="I1890" s="6" t="s">
        <v>161</v>
      </c>
      <c r="J1890" s="6" t="s">
        <v>228</v>
      </c>
      <c r="K1890" s="6" t="s">
        <v>12899</v>
      </c>
      <c r="L1890" s="6">
        <v>4.268235619E10</v>
      </c>
      <c r="M1890" s="6" t="s">
        <v>12900</v>
      </c>
      <c r="N1890" s="6" t="s">
        <v>259</v>
      </c>
      <c r="O1890" s="6" t="s">
        <v>178</v>
      </c>
      <c r="P1890" s="10">
        <v>45979.0</v>
      </c>
    </row>
    <row r="1891" ht="22.5" customHeight="1">
      <c r="A1891" s="6" t="s">
        <v>12902</v>
      </c>
      <c r="B1891" s="6" t="s">
        <v>12903</v>
      </c>
      <c r="C1891" s="6" t="s">
        <v>12904</v>
      </c>
      <c r="D1891" s="6" t="s">
        <v>145</v>
      </c>
      <c r="E1891" s="6" t="s">
        <v>147</v>
      </c>
      <c r="F1891" s="8">
        <v>19.0</v>
      </c>
      <c r="G1891" s="9">
        <v>1199.19</v>
      </c>
      <c r="H1891" s="9">
        <v>4023.48</v>
      </c>
      <c r="I1891" s="6" t="s">
        <v>161</v>
      </c>
      <c r="J1891" s="6" t="s">
        <v>312</v>
      </c>
      <c r="K1891" s="6" t="s">
        <v>12906</v>
      </c>
      <c r="L1891" s="6">
        <v>9.4344022574E10</v>
      </c>
      <c r="M1891" s="6" t="s">
        <v>12907</v>
      </c>
      <c r="N1891" s="6" t="s">
        <v>176</v>
      </c>
      <c r="O1891" s="6" t="s">
        <v>178</v>
      </c>
      <c r="P1891" s="10">
        <v>45946.0</v>
      </c>
    </row>
    <row r="1892" ht="22.5" customHeight="1">
      <c r="A1892" s="6" t="s">
        <v>12908</v>
      </c>
      <c r="B1892" s="6" t="s">
        <v>12909</v>
      </c>
      <c r="C1892" s="6" t="s">
        <v>12910</v>
      </c>
      <c r="D1892" s="6" t="s">
        <v>206</v>
      </c>
      <c r="E1892" s="6" t="s">
        <v>147</v>
      </c>
      <c r="F1892" s="8">
        <v>11.0</v>
      </c>
      <c r="G1892" s="9">
        <v>1285.59</v>
      </c>
      <c r="H1892" s="9">
        <v>10571.14</v>
      </c>
      <c r="I1892" s="6" t="s">
        <v>161</v>
      </c>
      <c r="J1892" s="6" t="s">
        <v>577</v>
      </c>
      <c r="K1892" s="6" t="s">
        <v>12912</v>
      </c>
      <c r="L1892" s="6">
        <v>3.4540495376E10</v>
      </c>
      <c r="M1892" s="6" t="s">
        <v>12913</v>
      </c>
      <c r="N1892" s="6" t="s">
        <v>283</v>
      </c>
      <c r="O1892" s="6" t="s">
        <v>178</v>
      </c>
      <c r="P1892" s="10">
        <v>46033.0</v>
      </c>
    </row>
    <row r="1893" ht="22.5" customHeight="1">
      <c r="A1893" s="6" t="s">
        <v>12915</v>
      </c>
      <c r="B1893" s="6" t="s">
        <v>12916</v>
      </c>
      <c r="C1893" s="6" t="s">
        <v>12917</v>
      </c>
      <c r="D1893" s="6" t="s">
        <v>206</v>
      </c>
      <c r="E1893" s="6" t="s">
        <v>147</v>
      </c>
      <c r="F1893" s="8">
        <v>8.0</v>
      </c>
      <c r="G1893" s="9">
        <v>941.71</v>
      </c>
      <c r="H1893" s="9">
        <v>4989.5</v>
      </c>
      <c r="I1893" s="6" t="s">
        <v>161</v>
      </c>
      <c r="J1893" s="6" t="s">
        <v>1584</v>
      </c>
      <c r="K1893" s="6" t="s">
        <v>12918</v>
      </c>
      <c r="L1893" s="6">
        <v>8.8580506868E10</v>
      </c>
      <c r="M1893" s="6" t="s">
        <v>12920</v>
      </c>
      <c r="N1893" s="6" t="s">
        <v>283</v>
      </c>
      <c r="O1893" s="6" t="s">
        <v>178</v>
      </c>
      <c r="P1893" s="10">
        <v>46001.0</v>
      </c>
    </row>
    <row r="1894" ht="22.5" customHeight="1">
      <c r="A1894" s="6" t="s">
        <v>12921</v>
      </c>
      <c r="B1894" s="6" t="s">
        <v>12922</v>
      </c>
      <c r="C1894" s="6" t="s">
        <v>12923</v>
      </c>
      <c r="D1894" s="6" t="s">
        <v>206</v>
      </c>
      <c r="E1894" s="6" t="s">
        <v>301</v>
      </c>
      <c r="F1894" s="8">
        <v>32.0</v>
      </c>
      <c r="G1894" s="9">
        <v>205.45</v>
      </c>
      <c r="H1894" s="9">
        <v>11407.09</v>
      </c>
      <c r="I1894" s="6" t="s">
        <v>161</v>
      </c>
      <c r="J1894" s="6" t="s">
        <v>163</v>
      </c>
      <c r="K1894" s="6" t="s">
        <v>12925</v>
      </c>
      <c r="L1894" s="6">
        <v>6.8511641701E10</v>
      </c>
      <c r="M1894" s="6" t="s">
        <v>12926</v>
      </c>
      <c r="N1894" s="6" t="s">
        <v>112</v>
      </c>
      <c r="O1894" s="6" t="s">
        <v>178</v>
      </c>
      <c r="P1894" s="10">
        <v>45976.0</v>
      </c>
    </row>
    <row r="1895" ht="22.5" customHeight="1">
      <c r="A1895" s="6" t="s">
        <v>12927</v>
      </c>
      <c r="B1895" s="6" t="s">
        <v>12928</v>
      </c>
      <c r="C1895" s="6" t="s">
        <v>12929</v>
      </c>
      <c r="D1895" s="6" t="s">
        <v>145</v>
      </c>
      <c r="E1895" s="6" t="s">
        <v>147</v>
      </c>
      <c r="F1895" s="8">
        <v>26.0</v>
      </c>
      <c r="G1895" s="9">
        <v>1522.06</v>
      </c>
      <c r="H1895" s="9">
        <v>12286.01</v>
      </c>
      <c r="I1895" s="6" t="s">
        <v>161</v>
      </c>
      <c r="J1895" s="6" t="s">
        <v>312</v>
      </c>
      <c r="K1895" s="6" t="s">
        <v>12931</v>
      </c>
      <c r="L1895" s="6">
        <v>7.0336112219E10</v>
      </c>
      <c r="M1895" s="6" t="s">
        <v>12932</v>
      </c>
      <c r="N1895" s="6" t="s">
        <v>283</v>
      </c>
      <c r="O1895" s="6" t="s">
        <v>178</v>
      </c>
      <c r="P1895" s="10">
        <v>46048.0</v>
      </c>
    </row>
    <row r="1896" ht="22.5" customHeight="1">
      <c r="A1896" s="6" t="s">
        <v>12933</v>
      </c>
      <c r="B1896" s="6" t="s">
        <v>12935</v>
      </c>
      <c r="C1896" s="6" t="s">
        <v>12936</v>
      </c>
      <c r="D1896" s="6" t="s">
        <v>383</v>
      </c>
      <c r="E1896" s="6" t="s">
        <v>147</v>
      </c>
      <c r="F1896" s="8">
        <v>10.0</v>
      </c>
      <c r="G1896" s="9">
        <v>1327.93</v>
      </c>
      <c r="H1896" s="9">
        <v>11533.72</v>
      </c>
      <c r="I1896" s="6" t="s">
        <v>161</v>
      </c>
      <c r="J1896" s="6" t="s">
        <v>577</v>
      </c>
      <c r="K1896" s="6" t="s">
        <v>12937</v>
      </c>
      <c r="L1896" s="6">
        <v>2.3118570208E10</v>
      </c>
      <c r="M1896" s="6" t="s">
        <v>12939</v>
      </c>
      <c r="N1896" s="6" t="s">
        <v>427</v>
      </c>
      <c r="O1896" s="6" t="s">
        <v>178</v>
      </c>
      <c r="P1896" s="10">
        <v>45934.0</v>
      </c>
    </row>
    <row r="1897" ht="22.5" customHeight="1">
      <c r="A1897" s="6" t="s">
        <v>12940</v>
      </c>
      <c r="B1897" s="6" t="s">
        <v>12941</v>
      </c>
      <c r="C1897" s="6" t="s">
        <v>12942</v>
      </c>
      <c r="D1897" s="6" t="s">
        <v>206</v>
      </c>
      <c r="E1897" s="6" t="s">
        <v>301</v>
      </c>
      <c r="F1897" s="8">
        <v>36.0</v>
      </c>
      <c r="G1897" s="9">
        <v>784.51</v>
      </c>
      <c r="H1897" s="9">
        <v>14440.88</v>
      </c>
      <c r="I1897" s="6" t="s">
        <v>161</v>
      </c>
      <c r="J1897" s="6" t="s">
        <v>312</v>
      </c>
      <c r="K1897" s="6" t="s">
        <v>12944</v>
      </c>
      <c r="L1897" s="6">
        <v>2.6351831861E10</v>
      </c>
      <c r="M1897" s="6" t="s">
        <v>12945</v>
      </c>
      <c r="N1897" s="6" t="s">
        <v>283</v>
      </c>
      <c r="O1897" s="6" t="s">
        <v>178</v>
      </c>
      <c r="P1897" s="10">
        <v>46013.0</v>
      </c>
    </row>
    <row r="1898" ht="22.5" customHeight="1">
      <c r="A1898" s="6" t="s">
        <v>12947</v>
      </c>
      <c r="B1898" s="6" t="s">
        <v>12948</v>
      </c>
      <c r="C1898" s="6" t="s">
        <v>12949</v>
      </c>
      <c r="D1898" s="6" t="s">
        <v>206</v>
      </c>
      <c r="E1898" s="6" t="s">
        <v>210</v>
      </c>
      <c r="F1898" s="8">
        <v>87.0</v>
      </c>
      <c r="G1898" s="9">
        <v>1468.69</v>
      </c>
      <c r="H1898" s="9">
        <v>6195.13</v>
      </c>
      <c r="I1898" s="6" t="s">
        <v>161</v>
      </c>
      <c r="J1898" s="6" t="s">
        <v>479</v>
      </c>
      <c r="K1898" s="6" t="s">
        <v>12951</v>
      </c>
      <c r="L1898" s="6">
        <v>1.8416693959E10</v>
      </c>
      <c r="M1898" s="6" t="s">
        <v>12953</v>
      </c>
      <c r="N1898" s="6" t="s">
        <v>427</v>
      </c>
      <c r="O1898" s="6" t="s">
        <v>161</v>
      </c>
      <c r="P1898" s="10">
        <v>46031.0</v>
      </c>
    </row>
    <row r="1899" ht="22.5" customHeight="1">
      <c r="A1899" s="6" t="s">
        <v>12954</v>
      </c>
      <c r="B1899" s="6" t="s">
        <v>12955</v>
      </c>
      <c r="C1899" s="6" t="s">
        <v>12957</v>
      </c>
      <c r="D1899" s="6" t="s">
        <v>206</v>
      </c>
      <c r="E1899" s="6" t="s">
        <v>147</v>
      </c>
      <c r="F1899" s="8">
        <v>12.0</v>
      </c>
      <c r="G1899" s="9">
        <v>1447.03</v>
      </c>
      <c r="H1899" s="9">
        <v>2768.78</v>
      </c>
      <c r="I1899" s="6" t="s">
        <v>161</v>
      </c>
      <c r="J1899" s="6" t="s">
        <v>312</v>
      </c>
      <c r="K1899" s="6" t="s">
        <v>12958</v>
      </c>
      <c r="L1899" s="6" t="s">
        <v>259</v>
      </c>
      <c r="M1899" s="6" t="s">
        <v>12960</v>
      </c>
      <c r="N1899" s="6" t="s">
        <v>176</v>
      </c>
      <c r="O1899" s="6" t="s">
        <v>178</v>
      </c>
      <c r="P1899" s="10">
        <v>46036.0</v>
      </c>
    </row>
    <row r="1900" ht="22.5" customHeight="1">
      <c r="A1900" s="6" t="s">
        <v>12961</v>
      </c>
      <c r="B1900" s="6" t="s">
        <v>12962</v>
      </c>
      <c r="C1900" s="6" t="s">
        <v>12963</v>
      </c>
      <c r="D1900" s="6" t="s">
        <v>145</v>
      </c>
      <c r="E1900" s="6" t="s">
        <v>147</v>
      </c>
      <c r="F1900" s="8">
        <v>11.0</v>
      </c>
      <c r="G1900" s="9">
        <v>761.24</v>
      </c>
      <c r="H1900" s="9">
        <v>9231.9</v>
      </c>
      <c r="I1900" s="6" t="s">
        <v>161</v>
      </c>
      <c r="J1900" s="6" t="s">
        <v>393</v>
      </c>
      <c r="K1900" s="6" t="s">
        <v>12965</v>
      </c>
      <c r="L1900" s="6">
        <v>3.8174395945E10</v>
      </c>
      <c r="M1900" s="6" t="s">
        <v>12966</v>
      </c>
      <c r="N1900" s="6" t="s">
        <v>112</v>
      </c>
      <c r="O1900" s="6" t="s">
        <v>178</v>
      </c>
      <c r="P1900" s="10">
        <v>46026.0</v>
      </c>
    </row>
    <row r="1901" ht="22.5" customHeight="1">
      <c r="A1901" s="6" t="s">
        <v>12968</v>
      </c>
      <c r="B1901" s="6" t="s">
        <v>12969</v>
      </c>
      <c r="C1901" s="6" t="s">
        <v>12970</v>
      </c>
      <c r="D1901" s="6" t="s">
        <v>145</v>
      </c>
      <c r="E1901" s="6" t="s">
        <v>301</v>
      </c>
      <c r="F1901" s="8">
        <v>58.0</v>
      </c>
      <c r="G1901" s="9">
        <v>610.31</v>
      </c>
      <c r="H1901" s="9">
        <v>8097.88</v>
      </c>
      <c r="I1901" s="6" t="s">
        <v>161</v>
      </c>
      <c r="J1901" s="6" t="s">
        <v>393</v>
      </c>
      <c r="K1901" s="6" t="s">
        <v>12971</v>
      </c>
      <c r="L1901" s="6">
        <v>6.0347289392E10</v>
      </c>
      <c r="M1901" s="6" t="s">
        <v>12973</v>
      </c>
      <c r="N1901" s="6" t="s">
        <v>259</v>
      </c>
      <c r="O1901" s="6" t="s">
        <v>178</v>
      </c>
      <c r="P1901" s="10">
        <v>46036.0</v>
      </c>
    </row>
    <row r="1902" ht="22.5" customHeight="1">
      <c r="A1902" s="6" t="s">
        <v>12974</v>
      </c>
      <c r="B1902" s="6" t="s">
        <v>12975</v>
      </c>
      <c r="C1902" s="6" t="s">
        <v>12976</v>
      </c>
      <c r="D1902" s="6" t="s">
        <v>383</v>
      </c>
      <c r="E1902" s="6" t="s">
        <v>147</v>
      </c>
      <c r="F1902" s="8">
        <v>15.0</v>
      </c>
      <c r="G1902" s="9">
        <v>724.98</v>
      </c>
      <c r="H1902" s="9">
        <v>4903.85</v>
      </c>
      <c r="I1902" s="6" t="s">
        <v>161</v>
      </c>
      <c r="J1902" s="6" t="s">
        <v>393</v>
      </c>
      <c r="K1902" s="6" t="s">
        <v>12978</v>
      </c>
      <c r="L1902" s="6">
        <v>4.3009371883E10</v>
      </c>
      <c r="M1902" s="6" t="s">
        <v>12979</v>
      </c>
      <c r="N1902" s="6" t="s">
        <v>427</v>
      </c>
      <c r="O1902" s="6" t="s">
        <v>178</v>
      </c>
      <c r="P1902" s="10">
        <v>46043.0</v>
      </c>
    </row>
    <row r="1903" ht="22.5" customHeight="1">
      <c r="A1903" s="6" t="s">
        <v>12981</v>
      </c>
      <c r="B1903" s="6" t="s">
        <v>12982</v>
      </c>
      <c r="C1903" s="6" t="s">
        <v>12983</v>
      </c>
      <c r="D1903" s="6" t="s">
        <v>145</v>
      </c>
      <c r="E1903" s="6" t="s">
        <v>301</v>
      </c>
      <c r="F1903" s="8">
        <v>43.0</v>
      </c>
      <c r="G1903" s="9">
        <v>404.01</v>
      </c>
      <c r="H1903" s="9">
        <v>9914.71</v>
      </c>
      <c r="I1903" s="6" t="s">
        <v>161</v>
      </c>
      <c r="J1903" s="6" t="s">
        <v>393</v>
      </c>
      <c r="K1903" s="6" t="s">
        <v>12985</v>
      </c>
      <c r="L1903" s="6">
        <v>3.0600165923E10</v>
      </c>
      <c r="M1903" s="6" t="s">
        <v>12986</v>
      </c>
      <c r="N1903" s="6" t="s">
        <v>283</v>
      </c>
      <c r="O1903" s="6" t="s">
        <v>178</v>
      </c>
      <c r="P1903" s="10">
        <v>45995.0</v>
      </c>
    </row>
    <row r="1904" ht="22.5" customHeight="1">
      <c r="A1904" s="6" t="s">
        <v>12987</v>
      </c>
      <c r="B1904" s="6" t="s">
        <v>12988</v>
      </c>
      <c r="C1904" s="6" t="s">
        <v>12989</v>
      </c>
      <c r="D1904" s="6" t="s">
        <v>206</v>
      </c>
      <c r="E1904" s="6" t="s">
        <v>301</v>
      </c>
      <c r="F1904" s="8">
        <v>59.0</v>
      </c>
      <c r="G1904" s="9">
        <v>1280.85</v>
      </c>
      <c r="H1904" s="9">
        <v>14847.85</v>
      </c>
      <c r="I1904" s="6" t="s">
        <v>161</v>
      </c>
      <c r="J1904" s="6" t="s">
        <v>479</v>
      </c>
      <c r="K1904" s="6" t="s">
        <v>12991</v>
      </c>
      <c r="L1904" s="6">
        <v>5.7772046229E10</v>
      </c>
      <c r="M1904" s="6" t="s">
        <v>12992</v>
      </c>
      <c r="N1904" s="6" t="s">
        <v>427</v>
      </c>
      <c r="O1904" s="6" t="s">
        <v>178</v>
      </c>
      <c r="P1904" s="10">
        <v>46012.0</v>
      </c>
    </row>
    <row r="1905" ht="22.5" customHeight="1">
      <c r="A1905" s="6" t="s">
        <v>12994</v>
      </c>
      <c r="B1905" s="6" t="s">
        <v>12995</v>
      </c>
      <c r="C1905" s="6" t="s">
        <v>12996</v>
      </c>
      <c r="D1905" s="6" t="s">
        <v>383</v>
      </c>
      <c r="E1905" s="6" t="s">
        <v>210</v>
      </c>
      <c r="F1905" s="8">
        <v>98.0</v>
      </c>
      <c r="G1905" s="9">
        <v>908.2</v>
      </c>
      <c r="H1905" s="9">
        <v>8384.45</v>
      </c>
      <c r="I1905" s="6" t="s">
        <v>161</v>
      </c>
      <c r="J1905" s="6" t="s">
        <v>357</v>
      </c>
      <c r="K1905" s="6" t="s">
        <v>12997</v>
      </c>
      <c r="L1905" s="6">
        <v>1.5983167568E10</v>
      </c>
      <c r="M1905" s="6" t="s">
        <v>12999</v>
      </c>
      <c r="N1905" s="6" t="s">
        <v>283</v>
      </c>
      <c r="O1905" s="6" t="s">
        <v>161</v>
      </c>
      <c r="P1905" s="10">
        <v>46017.0</v>
      </c>
    </row>
    <row r="1906" ht="22.5" customHeight="1">
      <c r="A1906" s="6" t="s">
        <v>13000</v>
      </c>
      <c r="B1906" s="6" t="s">
        <v>13001</v>
      </c>
      <c r="C1906" s="6" t="s">
        <v>13002</v>
      </c>
      <c r="D1906" s="6" t="s">
        <v>145</v>
      </c>
      <c r="E1906" s="6" t="s">
        <v>147</v>
      </c>
      <c r="F1906" s="8">
        <v>17.0</v>
      </c>
      <c r="G1906" s="9">
        <v>209.5</v>
      </c>
      <c r="H1906" s="9">
        <v>8723.64</v>
      </c>
      <c r="I1906" s="6" t="s">
        <v>161</v>
      </c>
      <c r="J1906" s="6" t="s">
        <v>465</v>
      </c>
      <c r="K1906" s="6" t="s">
        <v>13004</v>
      </c>
      <c r="L1906" s="6">
        <v>1.2375742839E10</v>
      </c>
      <c r="M1906" s="6" t="s">
        <v>13005</v>
      </c>
      <c r="N1906" s="6" t="s">
        <v>283</v>
      </c>
      <c r="O1906" s="6" t="s">
        <v>178</v>
      </c>
      <c r="P1906" s="10">
        <v>45993.0</v>
      </c>
    </row>
    <row r="1907" ht="22.5" customHeight="1">
      <c r="A1907" s="6" t="s">
        <v>13006</v>
      </c>
      <c r="B1907" s="6" t="s">
        <v>13008</v>
      </c>
      <c r="C1907" s="6" t="s">
        <v>6146</v>
      </c>
      <c r="D1907" s="6" t="s">
        <v>145</v>
      </c>
      <c r="E1907" s="6" t="s">
        <v>147</v>
      </c>
      <c r="F1907" s="8">
        <v>15.0</v>
      </c>
      <c r="G1907" s="9">
        <v>940.95</v>
      </c>
      <c r="H1907" s="9">
        <v>13915.02</v>
      </c>
      <c r="I1907" s="6" t="s">
        <v>161</v>
      </c>
      <c r="J1907" s="6" t="s">
        <v>577</v>
      </c>
      <c r="K1907" s="6" t="s">
        <v>13009</v>
      </c>
      <c r="L1907" s="6">
        <v>3.0303419664E10</v>
      </c>
      <c r="M1907" s="6" t="s">
        <v>13011</v>
      </c>
      <c r="N1907" s="6" t="s">
        <v>176</v>
      </c>
      <c r="O1907" s="6" t="s">
        <v>178</v>
      </c>
      <c r="P1907" s="10">
        <v>45996.0</v>
      </c>
    </row>
    <row r="1908" ht="22.5" customHeight="1">
      <c r="A1908" s="6" t="s">
        <v>13012</v>
      </c>
      <c r="B1908" s="6" t="s">
        <v>13013</v>
      </c>
      <c r="C1908" s="6" t="s">
        <v>13014</v>
      </c>
      <c r="D1908" s="6" t="s">
        <v>206</v>
      </c>
      <c r="E1908" s="6" t="s">
        <v>147</v>
      </c>
      <c r="F1908" s="8">
        <v>20.0</v>
      </c>
      <c r="G1908" s="9">
        <v>649.02</v>
      </c>
      <c r="H1908" s="9">
        <v>10994.76</v>
      </c>
      <c r="I1908" s="6" t="s">
        <v>161</v>
      </c>
      <c r="J1908" s="6" t="s">
        <v>163</v>
      </c>
      <c r="K1908" s="6" t="s">
        <v>259</v>
      </c>
      <c r="L1908" s="6">
        <v>5.348744696E9</v>
      </c>
      <c r="M1908" s="6" t="s">
        <v>13016</v>
      </c>
      <c r="N1908" s="6" t="s">
        <v>112</v>
      </c>
      <c r="O1908" s="6" t="s">
        <v>178</v>
      </c>
      <c r="P1908" s="10">
        <v>46047.0</v>
      </c>
    </row>
    <row r="1909" ht="22.5" customHeight="1">
      <c r="A1909" s="6" t="s">
        <v>13017</v>
      </c>
      <c r="B1909" s="6" t="s">
        <v>13018</v>
      </c>
      <c r="C1909" s="6" t="s">
        <v>13020</v>
      </c>
      <c r="D1909" s="6" t="s">
        <v>145</v>
      </c>
      <c r="E1909" s="6" t="s">
        <v>210</v>
      </c>
      <c r="F1909" s="8">
        <v>116.0</v>
      </c>
      <c r="G1909" s="9">
        <v>463.23</v>
      </c>
      <c r="H1909" s="9">
        <v>9385.55</v>
      </c>
      <c r="I1909" s="6" t="s">
        <v>161</v>
      </c>
      <c r="J1909" s="6" t="s">
        <v>163</v>
      </c>
      <c r="K1909" s="6" t="s">
        <v>13021</v>
      </c>
      <c r="L1909" s="6">
        <v>7.9797934108E10</v>
      </c>
      <c r="M1909" s="6" t="s">
        <v>13022</v>
      </c>
      <c r="N1909" s="6" t="s">
        <v>112</v>
      </c>
      <c r="O1909" s="6" t="s">
        <v>161</v>
      </c>
      <c r="P1909" s="10">
        <v>46045.0</v>
      </c>
    </row>
    <row r="1910" ht="22.5" customHeight="1">
      <c r="A1910" s="6" t="s">
        <v>13024</v>
      </c>
      <c r="B1910" s="6" t="s">
        <v>13025</v>
      </c>
      <c r="C1910" s="6" t="s">
        <v>13026</v>
      </c>
      <c r="D1910" s="6" t="s">
        <v>206</v>
      </c>
      <c r="E1910" s="6" t="s">
        <v>210</v>
      </c>
      <c r="F1910" s="8">
        <v>72.0</v>
      </c>
      <c r="G1910" s="9">
        <v>192.3</v>
      </c>
      <c r="H1910" s="9">
        <v>10949.11</v>
      </c>
      <c r="I1910" s="6" t="s">
        <v>178</v>
      </c>
      <c r="J1910" s="6" t="s">
        <v>228</v>
      </c>
      <c r="K1910" s="6" t="s">
        <v>13028</v>
      </c>
      <c r="L1910" s="6">
        <v>5.8142556058E10</v>
      </c>
      <c r="M1910" s="6" t="s">
        <v>13029</v>
      </c>
      <c r="N1910" s="6" t="s">
        <v>283</v>
      </c>
      <c r="O1910" s="6" t="s">
        <v>161</v>
      </c>
      <c r="P1910" s="10">
        <v>46034.0</v>
      </c>
    </row>
    <row r="1911" ht="22.5" customHeight="1">
      <c r="A1911" s="6" t="s">
        <v>13030</v>
      </c>
      <c r="B1911" s="6" t="s">
        <v>13031</v>
      </c>
      <c r="C1911" s="6" t="s">
        <v>13032</v>
      </c>
      <c r="D1911" s="6" t="s">
        <v>145</v>
      </c>
      <c r="E1911" s="6" t="s">
        <v>210</v>
      </c>
      <c r="F1911" s="8">
        <v>86.0</v>
      </c>
      <c r="G1911" s="9">
        <v>298.26</v>
      </c>
      <c r="H1911" s="9">
        <v>941.38</v>
      </c>
      <c r="I1911" s="6" t="s">
        <v>161</v>
      </c>
      <c r="J1911" s="6" t="s">
        <v>465</v>
      </c>
      <c r="K1911" s="6" t="s">
        <v>13034</v>
      </c>
      <c r="L1911" s="6">
        <v>9.67960255E8</v>
      </c>
      <c r="M1911" s="6" t="s">
        <v>13035</v>
      </c>
      <c r="N1911" s="6" t="s">
        <v>283</v>
      </c>
      <c r="O1911" s="6" t="s">
        <v>161</v>
      </c>
      <c r="P1911" s="10">
        <v>46004.0</v>
      </c>
    </row>
    <row r="1912" ht="22.5" customHeight="1">
      <c r="A1912" s="6" t="s">
        <v>13037</v>
      </c>
      <c r="B1912" s="6" t="s">
        <v>13038</v>
      </c>
      <c r="C1912" s="6" t="s">
        <v>13039</v>
      </c>
      <c r="D1912" s="6" t="s">
        <v>206</v>
      </c>
      <c r="E1912" s="6" t="s">
        <v>301</v>
      </c>
      <c r="F1912" s="8">
        <v>40.0</v>
      </c>
      <c r="G1912" s="9">
        <v>162.09</v>
      </c>
      <c r="H1912" s="9">
        <v>7815.91</v>
      </c>
      <c r="I1912" s="6" t="s">
        <v>161</v>
      </c>
      <c r="J1912" s="6" t="s">
        <v>479</v>
      </c>
      <c r="K1912" s="6" t="s">
        <v>13041</v>
      </c>
      <c r="L1912" s="6" t="s">
        <v>259</v>
      </c>
      <c r="M1912" s="6" t="s">
        <v>13042</v>
      </c>
      <c r="N1912" s="6" t="s">
        <v>112</v>
      </c>
      <c r="O1912" s="6" t="s">
        <v>178</v>
      </c>
      <c r="P1912" s="10">
        <v>46017.0</v>
      </c>
    </row>
    <row r="1913" ht="22.5" customHeight="1">
      <c r="A1913" s="6" t="s">
        <v>13043</v>
      </c>
      <c r="B1913" s="6" t="s">
        <v>13044</v>
      </c>
      <c r="C1913" s="6" t="s">
        <v>13045</v>
      </c>
      <c r="D1913" s="6" t="s">
        <v>206</v>
      </c>
      <c r="E1913" s="6" t="s">
        <v>210</v>
      </c>
      <c r="F1913" s="8">
        <v>93.0</v>
      </c>
      <c r="G1913" s="9">
        <v>1732.78</v>
      </c>
      <c r="H1913" s="9">
        <v>12138.45</v>
      </c>
      <c r="I1913" s="6" t="s">
        <v>161</v>
      </c>
      <c r="J1913" s="6" t="s">
        <v>442</v>
      </c>
      <c r="K1913" s="6" t="s">
        <v>13047</v>
      </c>
      <c r="L1913" s="6">
        <v>9.8240599747E10</v>
      </c>
      <c r="M1913" s="6" t="s">
        <v>13048</v>
      </c>
      <c r="N1913" s="6" t="s">
        <v>176</v>
      </c>
      <c r="O1913" s="6" t="s">
        <v>161</v>
      </c>
      <c r="P1913" s="10">
        <v>45979.0</v>
      </c>
    </row>
    <row r="1914" ht="22.5" customHeight="1">
      <c r="A1914" s="6" t="s">
        <v>13050</v>
      </c>
      <c r="B1914" s="6" t="s">
        <v>13051</v>
      </c>
      <c r="C1914" s="6" t="s">
        <v>13052</v>
      </c>
      <c r="D1914" s="6" t="s">
        <v>145</v>
      </c>
      <c r="E1914" s="6" t="s">
        <v>210</v>
      </c>
      <c r="F1914" s="8">
        <v>86.0</v>
      </c>
      <c r="G1914" s="9">
        <v>754.2</v>
      </c>
      <c r="H1914" s="9">
        <v>13946.8</v>
      </c>
      <c r="I1914" s="6" t="s">
        <v>161</v>
      </c>
      <c r="J1914" s="6" t="s">
        <v>421</v>
      </c>
      <c r="K1914" s="6" t="s">
        <v>13053</v>
      </c>
      <c r="L1914" s="6">
        <v>4.844297975E9</v>
      </c>
      <c r="M1914" s="6" t="s">
        <v>13055</v>
      </c>
      <c r="N1914" s="6" t="s">
        <v>427</v>
      </c>
      <c r="O1914" s="6" t="s">
        <v>161</v>
      </c>
      <c r="P1914" s="10">
        <v>45937.0</v>
      </c>
    </row>
    <row r="1915" ht="22.5" customHeight="1">
      <c r="A1915" s="6" t="s">
        <v>13056</v>
      </c>
      <c r="B1915" s="6" t="s">
        <v>13057</v>
      </c>
      <c r="C1915" s="6" t="s">
        <v>13058</v>
      </c>
      <c r="D1915" s="6" t="s">
        <v>206</v>
      </c>
      <c r="E1915" s="6" t="s">
        <v>147</v>
      </c>
      <c r="F1915" s="8">
        <v>10.0</v>
      </c>
      <c r="G1915" s="9">
        <v>1544.19</v>
      </c>
      <c r="H1915" s="9">
        <v>11564.18</v>
      </c>
      <c r="I1915" s="6" t="s">
        <v>178</v>
      </c>
      <c r="J1915" s="6" t="s">
        <v>1693</v>
      </c>
      <c r="K1915" s="6" t="s">
        <v>13060</v>
      </c>
      <c r="L1915" s="6">
        <v>6.7655454684E10</v>
      </c>
      <c r="M1915" s="6" t="s">
        <v>13061</v>
      </c>
      <c r="N1915" s="6" t="s">
        <v>112</v>
      </c>
      <c r="O1915" s="6" t="s">
        <v>161</v>
      </c>
      <c r="P1915" s="10">
        <v>45967.0</v>
      </c>
    </row>
    <row r="1916" ht="22.5" customHeight="1">
      <c r="A1916" s="6" t="s">
        <v>13062</v>
      </c>
      <c r="B1916" s="6" t="s">
        <v>13063</v>
      </c>
      <c r="C1916" s="6" t="s">
        <v>13065</v>
      </c>
      <c r="D1916" s="6" t="s">
        <v>145</v>
      </c>
      <c r="E1916" s="6" t="s">
        <v>301</v>
      </c>
      <c r="F1916" s="8">
        <v>48.0</v>
      </c>
      <c r="G1916" s="9">
        <v>1303.11</v>
      </c>
      <c r="H1916" s="9">
        <v>3708.6</v>
      </c>
      <c r="I1916" s="6" t="s">
        <v>161</v>
      </c>
      <c r="J1916" s="6" t="s">
        <v>442</v>
      </c>
      <c r="K1916" s="6" t="s">
        <v>13066</v>
      </c>
      <c r="L1916" s="6">
        <v>8.9317779789E10</v>
      </c>
      <c r="M1916" s="6" t="s">
        <v>13068</v>
      </c>
      <c r="N1916" s="6" t="s">
        <v>283</v>
      </c>
      <c r="O1916" s="6" t="s">
        <v>178</v>
      </c>
      <c r="P1916" s="10">
        <v>46006.0</v>
      </c>
    </row>
    <row r="1917" ht="22.5" customHeight="1">
      <c r="A1917" s="6" t="s">
        <v>13070</v>
      </c>
      <c r="B1917" s="6" t="s">
        <v>13071</v>
      </c>
      <c r="C1917" s="6" t="s">
        <v>13072</v>
      </c>
      <c r="D1917" s="6" t="s">
        <v>206</v>
      </c>
      <c r="E1917" s="6" t="s">
        <v>147</v>
      </c>
      <c r="F1917" s="8">
        <v>19.0</v>
      </c>
      <c r="G1917" s="9">
        <v>540.13</v>
      </c>
      <c r="H1917" s="9">
        <v>4292.53</v>
      </c>
      <c r="I1917" s="6" t="s">
        <v>161</v>
      </c>
      <c r="J1917" s="6" t="s">
        <v>479</v>
      </c>
      <c r="K1917" s="6" t="s">
        <v>13074</v>
      </c>
      <c r="L1917" s="6">
        <v>4.9756009262E10</v>
      </c>
      <c r="M1917" s="6" t="s">
        <v>13075</v>
      </c>
      <c r="N1917" s="6" t="s">
        <v>112</v>
      </c>
      <c r="O1917" s="6" t="s">
        <v>178</v>
      </c>
      <c r="P1917" s="10">
        <v>46000.0</v>
      </c>
    </row>
    <row r="1918" ht="22.5" customHeight="1">
      <c r="A1918" s="6" t="s">
        <v>13077</v>
      </c>
      <c r="B1918" s="6" t="s">
        <v>13078</v>
      </c>
      <c r="C1918" s="6" t="s">
        <v>13079</v>
      </c>
      <c r="D1918" s="6" t="s">
        <v>145</v>
      </c>
      <c r="E1918" s="6" t="s">
        <v>301</v>
      </c>
      <c r="F1918" s="8">
        <v>59.0</v>
      </c>
      <c r="G1918" s="9">
        <v>874.17</v>
      </c>
      <c r="H1918" s="9">
        <v>11824.86</v>
      </c>
      <c r="I1918" s="6" t="s">
        <v>161</v>
      </c>
      <c r="J1918" s="6" t="s">
        <v>577</v>
      </c>
      <c r="K1918" s="6" t="s">
        <v>13081</v>
      </c>
      <c r="L1918" s="6">
        <v>4.6041641635E10</v>
      </c>
      <c r="M1918" s="6" t="s">
        <v>13082</v>
      </c>
      <c r="N1918" s="6" t="s">
        <v>427</v>
      </c>
      <c r="O1918" s="6" t="s">
        <v>178</v>
      </c>
      <c r="P1918" s="10">
        <v>46051.0</v>
      </c>
    </row>
    <row r="1919" ht="22.5" customHeight="1">
      <c r="A1919" s="6" t="s">
        <v>13084</v>
      </c>
      <c r="B1919" s="6" t="s">
        <v>13085</v>
      </c>
      <c r="C1919" s="6" t="s">
        <v>13086</v>
      </c>
      <c r="D1919" s="6" t="s">
        <v>383</v>
      </c>
      <c r="E1919" s="6" t="s">
        <v>301</v>
      </c>
      <c r="F1919" s="8">
        <v>36.0</v>
      </c>
      <c r="G1919" s="9">
        <v>1138.96</v>
      </c>
      <c r="H1919" s="9">
        <v>4605.74</v>
      </c>
      <c r="I1919" s="6" t="s">
        <v>161</v>
      </c>
      <c r="J1919" s="6" t="s">
        <v>393</v>
      </c>
      <c r="K1919" s="6" t="s">
        <v>13088</v>
      </c>
      <c r="L1919" s="6">
        <v>1.2497802237E10</v>
      </c>
      <c r="M1919" s="6" t="s">
        <v>13089</v>
      </c>
      <c r="N1919" s="6" t="s">
        <v>176</v>
      </c>
      <c r="O1919" s="6" t="s">
        <v>178</v>
      </c>
      <c r="P1919" s="10">
        <v>45971.0</v>
      </c>
    </row>
    <row r="1920" ht="22.5" customHeight="1">
      <c r="A1920" s="6" t="s">
        <v>13091</v>
      </c>
      <c r="B1920" s="6" t="s">
        <v>13092</v>
      </c>
      <c r="C1920" s="6" t="s">
        <v>13093</v>
      </c>
      <c r="D1920" s="6" t="s">
        <v>145</v>
      </c>
      <c r="E1920" s="6" t="s">
        <v>147</v>
      </c>
      <c r="F1920" s="8">
        <v>8.0</v>
      </c>
      <c r="G1920" s="9">
        <v>654.9</v>
      </c>
      <c r="H1920" s="9">
        <v>7694.94</v>
      </c>
      <c r="I1920" s="6" t="s">
        <v>161</v>
      </c>
      <c r="J1920" s="6" t="s">
        <v>1693</v>
      </c>
      <c r="K1920" s="6" t="s">
        <v>13094</v>
      </c>
      <c r="L1920" s="6">
        <v>9.7869384776E10</v>
      </c>
      <c r="M1920" s="6" t="s">
        <v>13096</v>
      </c>
      <c r="N1920" s="6" t="s">
        <v>283</v>
      </c>
      <c r="O1920" s="6" t="s">
        <v>178</v>
      </c>
      <c r="P1920" s="10">
        <v>46008.0</v>
      </c>
    </row>
    <row r="1921" ht="22.5" customHeight="1">
      <c r="A1921" s="6" t="s">
        <v>13097</v>
      </c>
      <c r="B1921" s="6" t="s">
        <v>13098</v>
      </c>
      <c r="C1921" s="6" t="s">
        <v>13099</v>
      </c>
      <c r="D1921" s="6" t="s">
        <v>206</v>
      </c>
      <c r="E1921" s="6" t="s">
        <v>147</v>
      </c>
      <c r="F1921" s="8">
        <v>7.0</v>
      </c>
      <c r="G1921" s="9">
        <v>1602.72</v>
      </c>
      <c r="H1921" s="9">
        <v>8827.99</v>
      </c>
      <c r="I1921" s="6" t="s">
        <v>161</v>
      </c>
      <c r="J1921" s="6" t="s">
        <v>442</v>
      </c>
      <c r="K1921" s="6" t="s">
        <v>13101</v>
      </c>
      <c r="L1921" s="6">
        <v>9.6261074825E10</v>
      </c>
      <c r="M1921" s="6" t="s">
        <v>13102</v>
      </c>
      <c r="N1921" s="6" t="s">
        <v>112</v>
      </c>
      <c r="O1921" s="6" t="s">
        <v>178</v>
      </c>
      <c r="P1921" s="10">
        <v>45957.0</v>
      </c>
    </row>
    <row r="1922" ht="22.5" customHeight="1">
      <c r="A1922" s="6" t="s">
        <v>13104</v>
      </c>
      <c r="B1922" s="6" t="s">
        <v>13105</v>
      </c>
      <c r="C1922" s="6" t="s">
        <v>13106</v>
      </c>
      <c r="D1922" s="6" t="s">
        <v>206</v>
      </c>
      <c r="E1922" s="6" t="s">
        <v>301</v>
      </c>
      <c r="F1922" s="8">
        <v>36.0</v>
      </c>
      <c r="G1922" s="9">
        <v>1626.23</v>
      </c>
      <c r="H1922" s="9">
        <v>4897.48</v>
      </c>
      <c r="I1922" s="6" t="s">
        <v>161</v>
      </c>
      <c r="J1922" s="6" t="s">
        <v>357</v>
      </c>
      <c r="K1922" s="6" t="s">
        <v>13108</v>
      </c>
      <c r="L1922" s="6">
        <v>9.3942668293E10</v>
      </c>
      <c r="M1922" s="6" t="s">
        <v>13109</v>
      </c>
      <c r="N1922" s="6" t="s">
        <v>259</v>
      </c>
      <c r="O1922" s="6" t="s">
        <v>178</v>
      </c>
      <c r="P1922" s="10">
        <v>45999.0</v>
      </c>
    </row>
    <row r="1923" ht="22.5" customHeight="1">
      <c r="A1923" s="6" t="s">
        <v>13110</v>
      </c>
      <c r="B1923" s="6" t="s">
        <v>13111</v>
      </c>
      <c r="C1923" s="6" t="s">
        <v>13112</v>
      </c>
      <c r="D1923" s="6" t="s">
        <v>145</v>
      </c>
      <c r="E1923" s="6" t="s">
        <v>301</v>
      </c>
      <c r="F1923" s="8">
        <v>55.0</v>
      </c>
      <c r="G1923" s="9">
        <v>979.24</v>
      </c>
      <c r="H1923" s="9">
        <v>10890.45</v>
      </c>
      <c r="I1923" s="6" t="s">
        <v>161</v>
      </c>
      <c r="J1923" s="6" t="s">
        <v>357</v>
      </c>
      <c r="K1923" s="6" t="s">
        <v>13114</v>
      </c>
      <c r="L1923" s="6">
        <v>5.909474854E10</v>
      </c>
      <c r="M1923" s="6" t="s">
        <v>13115</v>
      </c>
      <c r="N1923" s="6" t="s">
        <v>283</v>
      </c>
      <c r="O1923" s="6" t="s">
        <v>178</v>
      </c>
      <c r="P1923" s="10">
        <v>45967.0</v>
      </c>
    </row>
    <row r="1924" ht="22.5" customHeight="1">
      <c r="A1924" s="6" t="s">
        <v>13117</v>
      </c>
      <c r="B1924" s="6" t="s">
        <v>13118</v>
      </c>
      <c r="C1924" s="6" t="s">
        <v>13119</v>
      </c>
      <c r="D1924" s="6" t="s">
        <v>206</v>
      </c>
      <c r="E1924" s="6" t="s">
        <v>301</v>
      </c>
      <c r="F1924" s="8">
        <v>54.0</v>
      </c>
      <c r="G1924" s="9">
        <v>766.86</v>
      </c>
      <c r="H1924" s="9">
        <v>13802.98</v>
      </c>
      <c r="I1924" s="6" t="s">
        <v>161</v>
      </c>
      <c r="J1924" s="6" t="s">
        <v>357</v>
      </c>
      <c r="K1924" s="6" t="s">
        <v>13120</v>
      </c>
      <c r="L1924" s="6">
        <v>3.4042990519E10</v>
      </c>
      <c r="M1924" s="6" t="s">
        <v>13122</v>
      </c>
      <c r="N1924" s="6" t="s">
        <v>176</v>
      </c>
      <c r="O1924" s="6" t="s">
        <v>161</v>
      </c>
      <c r="P1924" s="10">
        <v>45956.0</v>
      </c>
    </row>
    <row r="1925" ht="22.5" customHeight="1">
      <c r="A1925" s="6" t="s">
        <v>13123</v>
      </c>
      <c r="B1925" s="6" t="s">
        <v>13124</v>
      </c>
      <c r="C1925" s="6" t="s">
        <v>13125</v>
      </c>
      <c r="D1925" s="6" t="s">
        <v>145</v>
      </c>
      <c r="E1925" s="6" t="s">
        <v>210</v>
      </c>
      <c r="F1925" s="8">
        <v>95.0</v>
      </c>
      <c r="G1925" s="9">
        <v>676.23</v>
      </c>
      <c r="H1925" s="9">
        <v>14483.88</v>
      </c>
      <c r="I1925" s="6" t="s">
        <v>178</v>
      </c>
      <c r="J1925" s="6" t="s">
        <v>163</v>
      </c>
      <c r="K1925" s="6" t="s">
        <v>13127</v>
      </c>
      <c r="L1925" s="6">
        <v>5.5653732792E10</v>
      </c>
      <c r="M1925" s="6" t="s">
        <v>13128</v>
      </c>
      <c r="N1925" s="6" t="s">
        <v>176</v>
      </c>
      <c r="O1925" s="6" t="s">
        <v>6373</v>
      </c>
      <c r="P1925" s="10">
        <v>45940.0</v>
      </c>
    </row>
    <row r="1926" ht="22.5" customHeight="1">
      <c r="A1926" s="6" t="s">
        <v>13129</v>
      </c>
      <c r="B1926" s="6" t="s">
        <v>13131</v>
      </c>
      <c r="C1926" s="6" t="s">
        <v>13132</v>
      </c>
      <c r="D1926" s="6" t="s">
        <v>206</v>
      </c>
      <c r="E1926" s="6" t="s">
        <v>301</v>
      </c>
      <c r="F1926" s="8">
        <v>52.0</v>
      </c>
      <c r="G1926" s="9">
        <v>503.47</v>
      </c>
      <c r="H1926" s="9">
        <v>10123.77</v>
      </c>
      <c r="I1926" s="6" t="s">
        <v>161</v>
      </c>
      <c r="J1926" s="6" t="s">
        <v>357</v>
      </c>
      <c r="K1926" s="6" t="s">
        <v>13133</v>
      </c>
      <c r="L1926" s="6">
        <v>5.517239475E9</v>
      </c>
      <c r="M1926" s="6" t="s">
        <v>13135</v>
      </c>
      <c r="N1926" s="6" t="s">
        <v>112</v>
      </c>
      <c r="O1926" s="6" t="s">
        <v>178</v>
      </c>
      <c r="P1926" s="10">
        <v>45956.0</v>
      </c>
    </row>
    <row r="1927" ht="22.5" customHeight="1">
      <c r="A1927" s="6" t="s">
        <v>13136</v>
      </c>
      <c r="B1927" s="6" t="s">
        <v>13137</v>
      </c>
      <c r="C1927" s="6" t="s">
        <v>13138</v>
      </c>
      <c r="D1927" s="6" t="s">
        <v>145</v>
      </c>
      <c r="E1927" s="6" t="s">
        <v>147</v>
      </c>
      <c r="F1927" s="8">
        <v>12.0</v>
      </c>
      <c r="G1927" s="9">
        <v>84.38</v>
      </c>
      <c r="H1927" s="9">
        <v>2978.92</v>
      </c>
      <c r="I1927" s="6" t="s">
        <v>161</v>
      </c>
      <c r="J1927" s="6" t="s">
        <v>442</v>
      </c>
      <c r="K1927" s="6" t="s">
        <v>13140</v>
      </c>
      <c r="L1927" s="6">
        <v>9.8175588161E10</v>
      </c>
      <c r="M1927" s="6" t="s">
        <v>13141</v>
      </c>
      <c r="N1927" s="6" t="s">
        <v>259</v>
      </c>
      <c r="O1927" s="6" t="s">
        <v>178</v>
      </c>
      <c r="P1927" s="10">
        <v>45938.0</v>
      </c>
    </row>
    <row r="1928" ht="22.5" customHeight="1">
      <c r="A1928" s="6" t="s">
        <v>13142</v>
      </c>
      <c r="B1928" s="6" t="s">
        <v>13143</v>
      </c>
      <c r="C1928" s="6" t="s">
        <v>13145</v>
      </c>
      <c r="D1928" s="6" t="s">
        <v>206</v>
      </c>
      <c r="E1928" s="6" t="s">
        <v>147</v>
      </c>
      <c r="F1928" s="8">
        <v>23.0</v>
      </c>
      <c r="G1928" s="9">
        <v>922.34</v>
      </c>
      <c r="H1928" s="9">
        <v>13967.94</v>
      </c>
      <c r="I1928" s="6" t="s">
        <v>161</v>
      </c>
      <c r="J1928" s="6" t="s">
        <v>577</v>
      </c>
      <c r="K1928" s="6" t="s">
        <v>13146</v>
      </c>
      <c r="L1928" s="6">
        <v>1.6297410643E10</v>
      </c>
      <c r="M1928" s="6" t="s">
        <v>13147</v>
      </c>
      <c r="N1928" s="6" t="s">
        <v>259</v>
      </c>
      <c r="O1928" s="6" t="s">
        <v>178</v>
      </c>
      <c r="P1928" s="10">
        <v>46017.0</v>
      </c>
    </row>
    <row r="1929" ht="22.5" customHeight="1">
      <c r="A1929" s="6" t="s">
        <v>13149</v>
      </c>
      <c r="B1929" s="6" t="s">
        <v>13150</v>
      </c>
      <c r="C1929" s="6" t="s">
        <v>13151</v>
      </c>
      <c r="D1929" s="6" t="s">
        <v>145</v>
      </c>
      <c r="E1929" s="6" t="s">
        <v>147</v>
      </c>
      <c r="F1929" s="8">
        <v>29.0</v>
      </c>
      <c r="G1929" s="9">
        <v>1553.64</v>
      </c>
      <c r="H1929" s="9">
        <v>13673.83</v>
      </c>
      <c r="I1929" s="6" t="s">
        <v>161</v>
      </c>
      <c r="J1929" s="6" t="s">
        <v>465</v>
      </c>
      <c r="K1929" s="6" t="s">
        <v>13153</v>
      </c>
      <c r="L1929" s="6">
        <v>9.257732982E9</v>
      </c>
      <c r="M1929" s="6" t="s">
        <v>13154</v>
      </c>
      <c r="N1929" s="6" t="s">
        <v>259</v>
      </c>
      <c r="O1929" s="6" t="s">
        <v>178</v>
      </c>
      <c r="P1929" s="10">
        <v>46018.0</v>
      </c>
    </row>
    <row r="1930" ht="22.5" customHeight="1">
      <c r="A1930" s="6" t="s">
        <v>13156</v>
      </c>
      <c r="B1930" s="6" t="s">
        <v>13157</v>
      </c>
      <c r="C1930" s="6" t="s">
        <v>13158</v>
      </c>
      <c r="D1930" s="6" t="s">
        <v>383</v>
      </c>
      <c r="E1930" s="6" t="s">
        <v>210</v>
      </c>
      <c r="F1930" s="8">
        <v>71.0</v>
      </c>
      <c r="G1930" s="9">
        <v>1213.88</v>
      </c>
      <c r="H1930" s="9">
        <v>2033.59</v>
      </c>
      <c r="I1930" s="6" t="s">
        <v>178</v>
      </c>
      <c r="J1930" s="6" t="s">
        <v>442</v>
      </c>
      <c r="K1930" s="6" t="s">
        <v>259</v>
      </c>
      <c r="L1930" s="6">
        <v>9.8154271286E10</v>
      </c>
      <c r="M1930" s="6" t="s">
        <v>13160</v>
      </c>
      <c r="N1930" s="6" t="s">
        <v>176</v>
      </c>
      <c r="O1930" s="6" t="s">
        <v>161</v>
      </c>
      <c r="P1930" s="10">
        <v>45943.0</v>
      </c>
    </row>
    <row r="1931" ht="22.5" customHeight="1">
      <c r="A1931" s="6" t="s">
        <v>13161</v>
      </c>
      <c r="B1931" s="6" t="s">
        <v>13162</v>
      </c>
      <c r="C1931" s="6" t="s">
        <v>13163</v>
      </c>
      <c r="D1931" s="6" t="s">
        <v>145</v>
      </c>
      <c r="E1931" s="6" t="s">
        <v>301</v>
      </c>
      <c r="F1931" s="8">
        <v>38.0</v>
      </c>
      <c r="G1931" s="9">
        <v>1473.41</v>
      </c>
      <c r="H1931" s="9">
        <v>10584.59</v>
      </c>
      <c r="I1931" s="6" t="s">
        <v>161</v>
      </c>
      <c r="J1931" s="6" t="s">
        <v>479</v>
      </c>
      <c r="K1931" s="6" t="s">
        <v>13166</v>
      </c>
      <c r="L1931" s="6" t="s">
        <v>259</v>
      </c>
      <c r="M1931" s="6" t="s">
        <v>13167</v>
      </c>
      <c r="N1931" s="6" t="s">
        <v>427</v>
      </c>
      <c r="O1931" s="6" t="s">
        <v>178</v>
      </c>
      <c r="P1931" s="10">
        <v>46007.0</v>
      </c>
    </row>
    <row r="1932" ht="22.5" customHeight="1">
      <c r="A1932" s="6" t="s">
        <v>13169</v>
      </c>
      <c r="B1932" s="6" t="s">
        <v>13170</v>
      </c>
      <c r="C1932" s="6" t="s">
        <v>13171</v>
      </c>
      <c r="D1932" s="6" t="s">
        <v>145</v>
      </c>
      <c r="E1932" s="6" t="s">
        <v>210</v>
      </c>
      <c r="F1932" s="8">
        <v>104.0</v>
      </c>
      <c r="G1932" s="9">
        <v>1571.73</v>
      </c>
      <c r="H1932" s="9">
        <v>13510.44</v>
      </c>
      <c r="I1932" s="6" t="s">
        <v>178</v>
      </c>
      <c r="J1932" s="6" t="s">
        <v>479</v>
      </c>
      <c r="K1932" s="6" t="s">
        <v>13173</v>
      </c>
      <c r="L1932" s="6">
        <v>1.0400868375E10</v>
      </c>
      <c r="M1932" s="6" t="s">
        <v>13174</v>
      </c>
      <c r="N1932" s="6" t="s">
        <v>427</v>
      </c>
      <c r="O1932" s="6" t="s">
        <v>161</v>
      </c>
      <c r="P1932" s="10">
        <v>46009.0</v>
      </c>
    </row>
    <row r="1933" ht="22.5" customHeight="1">
      <c r="A1933" s="6" t="s">
        <v>13176</v>
      </c>
      <c r="B1933" s="6" t="s">
        <v>13177</v>
      </c>
      <c r="C1933" s="6" t="s">
        <v>13178</v>
      </c>
      <c r="D1933" s="6" t="s">
        <v>145</v>
      </c>
      <c r="E1933" s="6" t="s">
        <v>147</v>
      </c>
      <c r="F1933" s="8">
        <v>25.0</v>
      </c>
      <c r="G1933" s="9">
        <v>1164.45</v>
      </c>
      <c r="H1933" s="9">
        <v>9092.67</v>
      </c>
      <c r="I1933" s="6" t="s">
        <v>161</v>
      </c>
      <c r="J1933" s="6" t="s">
        <v>479</v>
      </c>
      <c r="K1933" s="6" t="s">
        <v>13180</v>
      </c>
      <c r="L1933" s="6">
        <v>1.1128238678E10</v>
      </c>
      <c r="M1933" s="6" t="s">
        <v>13181</v>
      </c>
      <c r="N1933" s="6" t="s">
        <v>176</v>
      </c>
      <c r="O1933" s="6" t="s">
        <v>178</v>
      </c>
      <c r="P1933" s="10">
        <v>46029.0</v>
      </c>
    </row>
    <row r="1934" ht="22.5" customHeight="1">
      <c r="A1934" s="6" t="s">
        <v>13183</v>
      </c>
      <c r="B1934" s="6" t="s">
        <v>13184</v>
      </c>
      <c r="C1934" s="6" t="s">
        <v>13185</v>
      </c>
      <c r="D1934" s="6" t="s">
        <v>145</v>
      </c>
      <c r="E1934" s="6" t="s">
        <v>147</v>
      </c>
      <c r="F1934" s="8">
        <v>26.0</v>
      </c>
      <c r="G1934" s="9">
        <v>1605.77</v>
      </c>
      <c r="H1934" s="9">
        <v>3868.05</v>
      </c>
      <c r="I1934" s="6" t="s">
        <v>161</v>
      </c>
      <c r="J1934" s="6" t="s">
        <v>228</v>
      </c>
      <c r="K1934" s="6" t="s">
        <v>13187</v>
      </c>
      <c r="L1934" s="6">
        <v>5.9442554561E10</v>
      </c>
      <c r="M1934" s="6" t="s">
        <v>13188</v>
      </c>
      <c r="N1934" s="6" t="s">
        <v>259</v>
      </c>
      <c r="O1934" s="6" t="s">
        <v>178</v>
      </c>
      <c r="P1934" s="10">
        <v>46047.0</v>
      </c>
    </row>
    <row r="1935" ht="22.5" customHeight="1">
      <c r="A1935" s="6" t="s">
        <v>13189</v>
      </c>
      <c r="B1935" s="6" t="s">
        <v>13190</v>
      </c>
      <c r="C1935" s="6" t="s">
        <v>13191</v>
      </c>
      <c r="D1935" s="6" t="s">
        <v>145</v>
      </c>
      <c r="E1935" s="6" t="s">
        <v>147</v>
      </c>
      <c r="F1935" s="8">
        <v>23.0</v>
      </c>
      <c r="G1935" s="9">
        <v>325.1</v>
      </c>
      <c r="H1935" s="9">
        <v>2408.84</v>
      </c>
      <c r="I1935" s="6" t="s">
        <v>161</v>
      </c>
      <c r="J1935" s="6" t="s">
        <v>163</v>
      </c>
      <c r="K1935" s="6" t="s">
        <v>13192</v>
      </c>
      <c r="L1935" s="6">
        <v>7.9337225855E10</v>
      </c>
      <c r="M1935" s="6" t="s">
        <v>13193</v>
      </c>
      <c r="N1935" s="6" t="s">
        <v>283</v>
      </c>
      <c r="O1935" s="6" t="s">
        <v>178</v>
      </c>
      <c r="P1935" s="10">
        <v>45967.0</v>
      </c>
    </row>
    <row r="1936" ht="22.5" customHeight="1">
      <c r="A1936" s="6" t="s">
        <v>13194</v>
      </c>
      <c r="B1936" s="6" t="s">
        <v>13195</v>
      </c>
      <c r="C1936" s="6" t="s">
        <v>13197</v>
      </c>
      <c r="D1936" s="6" t="s">
        <v>145</v>
      </c>
      <c r="E1936" s="6" t="s">
        <v>301</v>
      </c>
      <c r="F1936" s="8">
        <v>34.0</v>
      </c>
      <c r="G1936" s="9">
        <v>148.85</v>
      </c>
      <c r="H1936" s="9">
        <v>8218.04</v>
      </c>
      <c r="I1936" s="6" t="s">
        <v>161</v>
      </c>
      <c r="J1936" s="6" t="s">
        <v>577</v>
      </c>
      <c r="K1936" s="6" t="s">
        <v>13198</v>
      </c>
      <c r="L1936" s="6">
        <v>4.4440662359E10</v>
      </c>
      <c r="M1936" s="6" t="s">
        <v>13199</v>
      </c>
      <c r="N1936" s="6" t="s">
        <v>176</v>
      </c>
      <c r="O1936" s="6" t="s">
        <v>178</v>
      </c>
      <c r="P1936" s="10">
        <v>46026.0</v>
      </c>
    </row>
    <row r="1937" ht="22.5" customHeight="1">
      <c r="A1937" s="6" t="s">
        <v>13200</v>
      </c>
      <c r="B1937" s="6" t="s">
        <v>13201</v>
      </c>
      <c r="C1937" s="6" t="s">
        <v>13202</v>
      </c>
      <c r="D1937" s="6" t="s">
        <v>383</v>
      </c>
      <c r="E1937" s="6" t="s">
        <v>147</v>
      </c>
      <c r="F1937" s="8">
        <v>5.0</v>
      </c>
      <c r="G1937" s="9">
        <v>113.25</v>
      </c>
      <c r="H1937" s="9">
        <v>7509.77</v>
      </c>
      <c r="I1937" s="6" t="s">
        <v>161</v>
      </c>
      <c r="J1937" s="6" t="s">
        <v>357</v>
      </c>
      <c r="K1937" s="6" t="s">
        <v>13203</v>
      </c>
      <c r="L1937" s="6">
        <v>2.3990771483E10</v>
      </c>
      <c r="M1937" s="6" t="s">
        <v>13205</v>
      </c>
      <c r="N1937" s="6" t="s">
        <v>176</v>
      </c>
      <c r="O1937" s="6" t="s">
        <v>178</v>
      </c>
      <c r="P1937" s="10">
        <v>46000.0</v>
      </c>
    </row>
    <row r="1938" ht="22.5" customHeight="1">
      <c r="A1938" s="6" t="s">
        <v>13206</v>
      </c>
      <c r="B1938" s="6" t="s">
        <v>13207</v>
      </c>
      <c r="C1938" s="6" t="s">
        <v>13208</v>
      </c>
      <c r="D1938" s="6" t="s">
        <v>145</v>
      </c>
      <c r="E1938" s="6" t="s">
        <v>301</v>
      </c>
      <c r="F1938" s="8">
        <v>30.0</v>
      </c>
      <c r="G1938" s="9">
        <v>229.19</v>
      </c>
      <c r="H1938" s="9">
        <v>6896.18</v>
      </c>
      <c r="I1938" s="6" t="s">
        <v>161</v>
      </c>
      <c r="J1938" s="6" t="s">
        <v>421</v>
      </c>
      <c r="K1938" s="6" t="s">
        <v>13210</v>
      </c>
      <c r="L1938" s="6">
        <v>2.7765619666E10</v>
      </c>
      <c r="M1938" s="6" t="s">
        <v>13211</v>
      </c>
      <c r="N1938" s="6" t="s">
        <v>427</v>
      </c>
      <c r="O1938" s="6" t="s">
        <v>178</v>
      </c>
      <c r="P1938" s="10">
        <v>46019.0</v>
      </c>
    </row>
    <row r="1939" ht="22.5" customHeight="1">
      <c r="A1939" s="6" t="s">
        <v>13212</v>
      </c>
      <c r="B1939" s="6" t="s">
        <v>13213</v>
      </c>
      <c r="C1939" s="6" t="s">
        <v>13214</v>
      </c>
      <c r="D1939" s="6" t="s">
        <v>145</v>
      </c>
      <c r="E1939" s="6" t="s">
        <v>147</v>
      </c>
      <c r="F1939" s="8">
        <v>10.0</v>
      </c>
      <c r="G1939" s="9">
        <v>1531.57</v>
      </c>
      <c r="H1939" s="9">
        <v>6388.85</v>
      </c>
      <c r="I1939" s="6" t="s">
        <v>161</v>
      </c>
      <c r="J1939" s="6" t="s">
        <v>259</v>
      </c>
      <c r="K1939" s="6" t="s">
        <v>13216</v>
      </c>
      <c r="L1939" s="6">
        <v>2.3456017852E10</v>
      </c>
      <c r="M1939" s="6" t="s">
        <v>13217</v>
      </c>
      <c r="N1939" s="6" t="s">
        <v>427</v>
      </c>
      <c r="O1939" s="6" t="s">
        <v>178</v>
      </c>
      <c r="P1939" s="10">
        <v>46024.0</v>
      </c>
    </row>
    <row r="1940" ht="22.5" customHeight="1">
      <c r="A1940" s="6" t="s">
        <v>13219</v>
      </c>
      <c r="B1940" s="6" t="s">
        <v>13220</v>
      </c>
      <c r="C1940" s="6" t="s">
        <v>13221</v>
      </c>
      <c r="D1940" s="6" t="s">
        <v>383</v>
      </c>
      <c r="E1940" s="6" t="s">
        <v>147</v>
      </c>
      <c r="F1940" s="8">
        <v>20.0</v>
      </c>
      <c r="G1940" s="9">
        <v>1168.57</v>
      </c>
      <c r="H1940" s="9">
        <v>10415.47</v>
      </c>
      <c r="I1940" s="6" t="s">
        <v>161</v>
      </c>
      <c r="J1940" s="6" t="s">
        <v>357</v>
      </c>
      <c r="K1940" s="6" t="s">
        <v>13222</v>
      </c>
      <c r="L1940" s="6">
        <v>1.3769726249E10</v>
      </c>
      <c r="M1940" s="6" t="s">
        <v>13223</v>
      </c>
      <c r="N1940" s="6" t="s">
        <v>112</v>
      </c>
      <c r="O1940" s="6" t="s">
        <v>178</v>
      </c>
      <c r="P1940" s="10">
        <v>46030.0</v>
      </c>
    </row>
    <row r="1941" ht="22.5" customHeight="1">
      <c r="A1941" s="6" t="s">
        <v>13225</v>
      </c>
      <c r="B1941" s="6" t="s">
        <v>13226</v>
      </c>
      <c r="C1941" s="6" t="s">
        <v>13227</v>
      </c>
      <c r="D1941" s="6" t="s">
        <v>206</v>
      </c>
      <c r="E1941" s="6" t="s">
        <v>210</v>
      </c>
      <c r="F1941" s="8">
        <v>82.0</v>
      </c>
      <c r="G1941" s="9">
        <v>576.91</v>
      </c>
      <c r="H1941" s="9">
        <v>1307.02</v>
      </c>
      <c r="I1941" s="6" t="s">
        <v>178</v>
      </c>
      <c r="J1941" s="6" t="s">
        <v>393</v>
      </c>
      <c r="K1941" s="6" t="s">
        <v>13229</v>
      </c>
      <c r="L1941" s="6">
        <v>7.8230924135E10</v>
      </c>
      <c r="M1941" s="6" t="s">
        <v>13230</v>
      </c>
      <c r="N1941" s="6" t="s">
        <v>112</v>
      </c>
      <c r="O1941" s="6" t="s">
        <v>161</v>
      </c>
      <c r="P1941" s="10">
        <v>45971.0</v>
      </c>
    </row>
    <row r="1942" ht="22.5" customHeight="1">
      <c r="A1942" s="6" t="s">
        <v>13231</v>
      </c>
      <c r="B1942" s="6" t="s">
        <v>13232</v>
      </c>
      <c r="C1942" s="6" t="s">
        <v>13233</v>
      </c>
      <c r="D1942" s="6" t="s">
        <v>206</v>
      </c>
      <c r="E1942" s="6" t="s">
        <v>147</v>
      </c>
      <c r="F1942" s="8">
        <v>17.0</v>
      </c>
      <c r="G1942" s="9">
        <v>1410.99</v>
      </c>
      <c r="H1942" s="9">
        <v>3514.04</v>
      </c>
      <c r="I1942" s="6" t="s">
        <v>161</v>
      </c>
      <c r="J1942" s="6" t="s">
        <v>1693</v>
      </c>
      <c r="K1942" s="6" t="s">
        <v>13235</v>
      </c>
      <c r="L1942" s="6">
        <v>1.9402064491E10</v>
      </c>
      <c r="M1942" s="6" t="s">
        <v>13236</v>
      </c>
      <c r="N1942" s="6" t="s">
        <v>427</v>
      </c>
      <c r="O1942" s="6" t="s">
        <v>178</v>
      </c>
      <c r="P1942" s="10">
        <v>45943.0</v>
      </c>
    </row>
    <row r="1943" ht="22.5" customHeight="1">
      <c r="A1943" s="6" t="s">
        <v>13237</v>
      </c>
      <c r="B1943" s="6" t="s">
        <v>13238</v>
      </c>
      <c r="C1943" s="6" t="s">
        <v>13239</v>
      </c>
      <c r="D1943" s="6" t="s">
        <v>206</v>
      </c>
      <c r="E1943" s="6" t="s">
        <v>301</v>
      </c>
      <c r="F1943" s="8">
        <v>55.0</v>
      </c>
      <c r="G1943" s="9">
        <v>1509.0</v>
      </c>
      <c r="H1943" s="9">
        <v>3877.71</v>
      </c>
      <c r="I1943" s="6" t="s">
        <v>161</v>
      </c>
      <c r="J1943" s="6" t="s">
        <v>357</v>
      </c>
      <c r="K1943" s="6" t="s">
        <v>13241</v>
      </c>
      <c r="L1943" s="6">
        <v>6.4107590745E10</v>
      </c>
      <c r="M1943" s="6" t="s">
        <v>13242</v>
      </c>
      <c r="N1943" s="6" t="s">
        <v>176</v>
      </c>
      <c r="O1943" s="6" t="s">
        <v>178</v>
      </c>
      <c r="P1943" s="10">
        <v>45972.0</v>
      </c>
    </row>
    <row r="1944" ht="22.5" customHeight="1">
      <c r="A1944" s="6" t="s">
        <v>13243</v>
      </c>
      <c r="B1944" s="6" t="s">
        <v>13244</v>
      </c>
      <c r="C1944" s="6" t="s">
        <v>13245</v>
      </c>
      <c r="D1944" s="6" t="s">
        <v>383</v>
      </c>
      <c r="E1944" s="6" t="s">
        <v>301</v>
      </c>
      <c r="F1944" s="8">
        <v>50.0</v>
      </c>
      <c r="G1944" s="9">
        <v>1731.32</v>
      </c>
      <c r="H1944" s="9">
        <v>14177.01</v>
      </c>
      <c r="I1944" s="6" t="s">
        <v>161</v>
      </c>
      <c r="J1944" s="6" t="s">
        <v>228</v>
      </c>
      <c r="K1944" s="6" t="s">
        <v>13247</v>
      </c>
      <c r="L1944" s="6">
        <v>4.6816313E9</v>
      </c>
      <c r="M1944" s="6" t="s">
        <v>13248</v>
      </c>
      <c r="N1944" s="6" t="s">
        <v>283</v>
      </c>
      <c r="O1944" s="6" t="s">
        <v>178</v>
      </c>
      <c r="P1944" s="10">
        <v>45972.0</v>
      </c>
    </row>
    <row r="1945" ht="22.5" customHeight="1">
      <c r="A1945" s="6" t="s">
        <v>13249</v>
      </c>
      <c r="B1945" s="6" t="s">
        <v>13250</v>
      </c>
      <c r="C1945" s="6" t="s">
        <v>13251</v>
      </c>
      <c r="D1945" s="6" t="s">
        <v>383</v>
      </c>
      <c r="E1945" s="6" t="s">
        <v>301</v>
      </c>
      <c r="F1945" s="8">
        <v>33.0</v>
      </c>
      <c r="G1945" s="9">
        <v>1519.97</v>
      </c>
      <c r="H1945" s="9">
        <v>12552.27</v>
      </c>
      <c r="I1945" s="6" t="s">
        <v>161</v>
      </c>
      <c r="J1945" s="6" t="s">
        <v>421</v>
      </c>
      <c r="K1945" s="6" t="s">
        <v>13253</v>
      </c>
      <c r="L1945" s="6">
        <v>3.6753602767E10</v>
      </c>
      <c r="M1945" s="6" t="s">
        <v>13254</v>
      </c>
      <c r="N1945" s="6" t="s">
        <v>259</v>
      </c>
      <c r="O1945" s="6" t="s">
        <v>178</v>
      </c>
      <c r="P1945" s="10">
        <v>45997.0</v>
      </c>
    </row>
    <row r="1946" ht="22.5" customHeight="1">
      <c r="A1946" s="6" t="s">
        <v>13256</v>
      </c>
      <c r="B1946" s="6" t="s">
        <v>13257</v>
      </c>
      <c r="C1946" s="6" t="s">
        <v>13258</v>
      </c>
      <c r="D1946" s="6" t="s">
        <v>206</v>
      </c>
      <c r="E1946" s="6" t="s">
        <v>147</v>
      </c>
      <c r="F1946" s="8">
        <v>26.0</v>
      </c>
      <c r="G1946" s="9">
        <v>1616.66</v>
      </c>
      <c r="H1946" s="9">
        <v>10968.51</v>
      </c>
      <c r="I1946" s="6" t="s">
        <v>161</v>
      </c>
      <c r="J1946" s="6" t="s">
        <v>393</v>
      </c>
      <c r="K1946" s="6" t="s">
        <v>13259</v>
      </c>
      <c r="L1946" s="6">
        <v>9.7118171422E10</v>
      </c>
      <c r="M1946" s="6" t="s">
        <v>13260</v>
      </c>
      <c r="N1946" s="6" t="s">
        <v>283</v>
      </c>
      <c r="O1946" s="6" t="s">
        <v>178</v>
      </c>
      <c r="P1946" s="10">
        <v>45936.0</v>
      </c>
    </row>
    <row r="1947" ht="22.5" customHeight="1">
      <c r="A1947" s="6" t="s">
        <v>13262</v>
      </c>
      <c r="B1947" s="6" t="s">
        <v>13263</v>
      </c>
      <c r="C1947" s="6" t="s">
        <v>13264</v>
      </c>
      <c r="D1947" s="6" t="s">
        <v>206</v>
      </c>
      <c r="E1947" s="6" t="s">
        <v>301</v>
      </c>
      <c r="F1947" s="8">
        <v>54.0</v>
      </c>
      <c r="G1947" s="9">
        <v>479.71</v>
      </c>
      <c r="H1947" s="9">
        <v>10358.95</v>
      </c>
      <c r="I1947" s="6" t="s">
        <v>161</v>
      </c>
      <c r="J1947" s="6" t="s">
        <v>163</v>
      </c>
      <c r="K1947" s="6" t="s">
        <v>13265</v>
      </c>
      <c r="L1947" s="6">
        <v>1.340670636E10</v>
      </c>
      <c r="M1947" s="6" t="s">
        <v>13267</v>
      </c>
      <c r="N1947" s="6" t="s">
        <v>259</v>
      </c>
      <c r="O1947" s="6" t="s">
        <v>178</v>
      </c>
      <c r="P1947" s="10">
        <v>46006.0</v>
      </c>
    </row>
    <row r="1948" ht="22.5" customHeight="1">
      <c r="A1948" s="6" t="s">
        <v>13268</v>
      </c>
      <c r="B1948" s="6" t="s">
        <v>13269</v>
      </c>
      <c r="C1948" s="6" t="s">
        <v>13270</v>
      </c>
      <c r="D1948" s="6" t="s">
        <v>145</v>
      </c>
      <c r="E1948" s="6" t="s">
        <v>210</v>
      </c>
      <c r="F1948" s="8">
        <v>102.0</v>
      </c>
      <c r="G1948" s="9">
        <v>923.29</v>
      </c>
      <c r="H1948" s="9">
        <v>2082.36</v>
      </c>
      <c r="I1948" s="6" t="s">
        <v>178</v>
      </c>
      <c r="J1948" s="6" t="s">
        <v>228</v>
      </c>
      <c r="K1948" s="6" t="s">
        <v>13272</v>
      </c>
      <c r="L1948" s="6">
        <v>8.9744831317E10</v>
      </c>
      <c r="M1948" s="6" t="s">
        <v>13273</v>
      </c>
      <c r="N1948" s="6" t="s">
        <v>176</v>
      </c>
      <c r="O1948" s="6" t="s">
        <v>161</v>
      </c>
      <c r="P1948" s="10">
        <v>46040.0</v>
      </c>
    </row>
    <row r="1949" ht="22.5" customHeight="1">
      <c r="A1949" s="6" t="s">
        <v>13274</v>
      </c>
      <c r="B1949" s="6" t="s">
        <v>13276</v>
      </c>
      <c r="C1949" s="6" t="s">
        <v>13277</v>
      </c>
      <c r="D1949" s="6" t="s">
        <v>206</v>
      </c>
      <c r="E1949" s="6" t="s">
        <v>147</v>
      </c>
      <c r="F1949" s="8">
        <v>28.0</v>
      </c>
      <c r="G1949" s="9">
        <v>1739.18</v>
      </c>
      <c r="H1949" s="9">
        <v>6611.13</v>
      </c>
      <c r="I1949" s="6" t="s">
        <v>178</v>
      </c>
      <c r="J1949" s="6" t="s">
        <v>465</v>
      </c>
      <c r="K1949" s="6" t="s">
        <v>13279</v>
      </c>
      <c r="L1949" s="6">
        <v>2.6279587785E10</v>
      </c>
      <c r="M1949" s="6" t="s">
        <v>13280</v>
      </c>
      <c r="N1949" s="6" t="s">
        <v>427</v>
      </c>
      <c r="O1949" s="6" t="s">
        <v>161</v>
      </c>
      <c r="P1949" s="10">
        <v>46040.0</v>
      </c>
    </row>
    <row r="1950" ht="22.5" customHeight="1">
      <c r="A1950" s="6" t="s">
        <v>13281</v>
      </c>
      <c r="B1950" s="6" t="s">
        <v>13282</v>
      </c>
      <c r="C1950" s="6" t="s">
        <v>13283</v>
      </c>
      <c r="D1950" s="6" t="s">
        <v>145</v>
      </c>
      <c r="E1950" s="6" t="s">
        <v>301</v>
      </c>
      <c r="F1950" s="8">
        <v>30.0</v>
      </c>
      <c r="G1950" s="9">
        <v>614.48</v>
      </c>
      <c r="H1950" s="9">
        <v>11832.37</v>
      </c>
      <c r="I1950" s="6" t="s">
        <v>161</v>
      </c>
      <c r="J1950" s="6" t="s">
        <v>479</v>
      </c>
      <c r="K1950" s="6" t="s">
        <v>13285</v>
      </c>
      <c r="L1950" s="6">
        <v>9.3824759281E10</v>
      </c>
      <c r="M1950" s="6" t="s">
        <v>13286</v>
      </c>
      <c r="N1950" s="6" t="s">
        <v>112</v>
      </c>
      <c r="O1950" s="6" t="s">
        <v>178</v>
      </c>
      <c r="P1950" s="10">
        <v>45975.0</v>
      </c>
    </row>
    <row r="1951" ht="22.5" customHeight="1">
      <c r="A1951" s="6" t="s">
        <v>13287</v>
      </c>
      <c r="B1951" s="6" t="s">
        <v>13288</v>
      </c>
      <c r="C1951" s="6" t="s">
        <v>13289</v>
      </c>
      <c r="D1951" s="6" t="s">
        <v>206</v>
      </c>
      <c r="E1951" s="6" t="s">
        <v>147</v>
      </c>
      <c r="F1951" s="8">
        <v>27.0</v>
      </c>
      <c r="G1951" s="9">
        <v>1369.46</v>
      </c>
      <c r="H1951" s="9">
        <v>13391.89</v>
      </c>
      <c r="I1951" s="6" t="s">
        <v>161</v>
      </c>
      <c r="J1951" s="6" t="s">
        <v>393</v>
      </c>
      <c r="K1951" s="6" t="s">
        <v>13291</v>
      </c>
      <c r="L1951" s="6">
        <v>3.713078282E10</v>
      </c>
      <c r="M1951" s="6" t="s">
        <v>13292</v>
      </c>
      <c r="N1951" s="6" t="s">
        <v>427</v>
      </c>
      <c r="O1951" s="6" t="s">
        <v>178</v>
      </c>
      <c r="P1951" s="10">
        <v>46048.0</v>
      </c>
    </row>
    <row r="1952" ht="22.5" customHeight="1">
      <c r="A1952" s="6" t="s">
        <v>13293</v>
      </c>
      <c r="B1952" s="6" t="s">
        <v>13294</v>
      </c>
      <c r="C1952" s="6" t="s">
        <v>13296</v>
      </c>
      <c r="D1952" s="6" t="s">
        <v>145</v>
      </c>
      <c r="E1952" s="6" t="s">
        <v>147</v>
      </c>
      <c r="F1952" s="8">
        <v>24.0</v>
      </c>
      <c r="G1952" s="9">
        <v>769.89</v>
      </c>
      <c r="H1952" s="9">
        <v>12590.43</v>
      </c>
      <c r="I1952" s="6" t="s">
        <v>161</v>
      </c>
      <c r="J1952" s="6" t="s">
        <v>479</v>
      </c>
      <c r="K1952" s="6" t="s">
        <v>13297</v>
      </c>
      <c r="L1952" s="6">
        <v>9.974293625E10</v>
      </c>
      <c r="M1952" s="6" t="s">
        <v>13298</v>
      </c>
      <c r="N1952" s="6" t="s">
        <v>112</v>
      </c>
      <c r="O1952" s="6" t="s">
        <v>178</v>
      </c>
      <c r="P1952" s="10">
        <v>46049.0</v>
      </c>
    </row>
    <row r="1953" ht="22.5" customHeight="1">
      <c r="A1953" s="6" t="s">
        <v>13300</v>
      </c>
      <c r="B1953" s="6" t="s">
        <v>13301</v>
      </c>
      <c r="C1953" s="6" t="s">
        <v>13302</v>
      </c>
      <c r="D1953" s="6" t="s">
        <v>383</v>
      </c>
      <c r="E1953" s="6" t="s">
        <v>147</v>
      </c>
      <c r="F1953" s="8">
        <v>19.0</v>
      </c>
      <c r="G1953" s="9">
        <v>260.48</v>
      </c>
      <c r="H1953" s="9">
        <v>5552.33</v>
      </c>
      <c r="I1953" s="6" t="s">
        <v>178</v>
      </c>
      <c r="J1953" s="6" t="s">
        <v>163</v>
      </c>
      <c r="K1953" s="6" t="s">
        <v>13304</v>
      </c>
      <c r="L1953" s="6">
        <v>6.9623489411E10</v>
      </c>
      <c r="M1953" s="6" t="s">
        <v>13305</v>
      </c>
      <c r="N1953" s="6" t="s">
        <v>283</v>
      </c>
      <c r="O1953" s="6" t="s">
        <v>161</v>
      </c>
      <c r="P1953" s="10">
        <v>46049.0</v>
      </c>
    </row>
    <row r="1954" ht="22.5" customHeight="1">
      <c r="A1954" s="6" t="s">
        <v>13306</v>
      </c>
      <c r="B1954" s="6" t="s">
        <v>13307</v>
      </c>
      <c r="C1954" s="6" t="s">
        <v>13308</v>
      </c>
      <c r="D1954" s="6" t="s">
        <v>145</v>
      </c>
      <c r="E1954" s="6" t="s">
        <v>147</v>
      </c>
      <c r="F1954" s="8">
        <v>29.0</v>
      </c>
      <c r="G1954" s="9">
        <v>1035.97</v>
      </c>
      <c r="H1954" s="9">
        <v>2662.11</v>
      </c>
      <c r="I1954" s="6" t="s">
        <v>161</v>
      </c>
      <c r="J1954" s="6" t="s">
        <v>442</v>
      </c>
      <c r="K1954" s="6" t="s">
        <v>13311</v>
      </c>
      <c r="L1954" s="6">
        <v>7.477182589E9</v>
      </c>
      <c r="M1954" s="6" t="s">
        <v>13312</v>
      </c>
      <c r="N1954" s="6" t="s">
        <v>427</v>
      </c>
      <c r="O1954" s="6" t="s">
        <v>178</v>
      </c>
      <c r="P1954" s="10">
        <v>46024.0</v>
      </c>
    </row>
    <row r="1955" ht="22.5" customHeight="1">
      <c r="A1955" s="6" t="s">
        <v>13313</v>
      </c>
      <c r="B1955" s="6" t="s">
        <v>13314</v>
      </c>
      <c r="C1955" s="6" t="s">
        <v>13315</v>
      </c>
      <c r="D1955" s="6" t="s">
        <v>383</v>
      </c>
      <c r="E1955" s="6" t="s">
        <v>147</v>
      </c>
      <c r="F1955" s="8">
        <v>23.0</v>
      </c>
      <c r="G1955" s="9">
        <v>1677.68</v>
      </c>
      <c r="H1955" s="9">
        <v>7972.32</v>
      </c>
      <c r="I1955" s="6" t="s">
        <v>178</v>
      </c>
      <c r="J1955" s="6" t="s">
        <v>465</v>
      </c>
      <c r="K1955" s="6" t="s">
        <v>13317</v>
      </c>
      <c r="L1955" s="6">
        <v>7.0071467265E10</v>
      </c>
      <c r="M1955" s="6" t="s">
        <v>13318</v>
      </c>
      <c r="N1955" s="6" t="s">
        <v>427</v>
      </c>
      <c r="O1955" s="6" t="s">
        <v>161</v>
      </c>
      <c r="P1955" s="10">
        <v>46036.0</v>
      </c>
    </row>
    <row r="1956" ht="22.5" customHeight="1">
      <c r="A1956" s="6" t="s">
        <v>13320</v>
      </c>
      <c r="B1956" s="6" t="s">
        <v>13321</v>
      </c>
      <c r="C1956" s="6" t="s">
        <v>13322</v>
      </c>
      <c r="D1956" s="6" t="s">
        <v>206</v>
      </c>
      <c r="E1956" s="6" t="s">
        <v>147</v>
      </c>
      <c r="F1956" s="8">
        <v>11.0</v>
      </c>
      <c r="G1956" s="9">
        <v>1140.78</v>
      </c>
      <c r="H1956" s="9">
        <v>2442.23</v>
      </c>
      <c r="I1956" s="6" t="s">
        <v>161</v>
      </c>
      <c r="J1956" s="6" t="s">
        <v>442</v>
      </c>
      <c r="K1956" s="6" t="s">
        <v>13324</v>
      </c>
      <c r="L1956" s="6">
        <v>4.9856618327E10</v>
      </c>
      <c r="M1956" s="6" t="s">
        <v>13325</v>
      </c>
      <c r="N1956" s="6" t="s">
        <v>427</v>
      </c>
      <c r="O1956" s="6" t="s">
        <v>178</v>
      </c>
      <c r="P1956" s="10">
        <v>45977.0</v>
      </c>
    </row>
    <row r="1957" ht="22.5" customHeight="1">
      <c r="A1957" s="6" t="s">
        <v>13327</v>
      </c>
      <c r="B1957" s="6" t="s">
        <v>13328</v>
      </c>
      <c r="C1957" s="6" t="s">
        <v>13329</v>
      </c>
      <c r="D1957" s="6" t="s">
        <v>206</v>
      </c>
      <c r="E1957" s="6" t="s">
        <v>147</v>
      </c>
      <c r="F1957" s="8">
        <v>11.0</v>
      </c>
      <c r="G1957" s="9">
        <v>1515.96</v>
      </c>
      <c r="H1957" s="9">
        <v>9751.45</v>
      </c>
      <c r="I1957" s="6" t="s">
        <v>161</v>
      </c>
      <c r="J1957" s="6" t="s">
        <v>421</v>
      </c>
      <c r="K1957" s="6" t="s">
        <v>13330</v>
      </c>
      <c r="L1957" s="6">
        <v>4.0826422727E10</v>
      </c>
      <c r="M1957" s="6" t="s">
        <v>13332</v>
      </c>
      <c r="N1957" s="6" t="s">
        <v>427</v>
      </c>
      <c r="O1957" s="6" t="s">
        <v>178</v>
      </c>
      <c r="P1957" s="10">
        <v>46011.0</v>
      </c>
    </row>
    <row r="1958" ht="22.5" customHeight="1">
      <c r="A1958" s="6" t="s">
        <v>13333</v>
      </c>
      <c r="B1958" s="6" t="s">
        <v>13334</v>
      </c>
      <c r="C1958" s="6" t="s">
        <v>13335</v>
      </c>
      <c r="D1958" s="6" t="s">
        <v>206</v>
      </c>
      <c r="E1958" s="6" t="s">
        <v>301</v>
      </c>
      <c r="F1958" s="8">
        <v>52.0</v>
      </c>
      <c r="G1958" s="9">
        <v>1334.28</v>
      </c>
      <c r="H1958" s="9">
        <v>3717.05</v>
      </c>
      <c r="I1958" s="6" t="s">
        <v>161</v>
      </c>
      <c r="J1958" s="6" t="s">
        <v>357</v>
      </c>
      <c r="K1958" s="6" t="s">
        <v>13337</v>
      </c>
      <c r="L1958" s="6">
        <v>9.731305887E9</v>
      </c>
      <c r="M1958" s="6" t="s">
        <v>13338</v>
      </c>
      <c r="N1958" s="6" t="s">
        <v>112</v>
      </c>
      <c r="O1958" s="6" t="s">
        <v>178</v>
      </c>
      <c r="P1958" s="10">
        <v>46017.0</v>
      </c>
    </row>
    <row r="1959" ht="22.5" customHeight="1">
      <c r="A1959" s="6" t="s">
        <v>13339</v>
      </c>
      <c r="B1959" s="6" t="s">
        <v>13341</v>
      </c>
      <c r="C1959" s="6" t="s">
        <v>13342</v>
      </c>
      <c r="D1959" s="6" t="s">
        <v>206</v>
      </c>
      <c r="E1959" s="6" t="s">
        <v>147</v>
      </c>
      <c r="F1959" s="8">
        <v>20.0</v>
      </c>
      <c r="G1959" s="9">
        <v>1569.2</v>
      </c>
      <c r="H1959" s="9">
        <v>13439.48</v>
      </c>
      <c r="I1959" s="6" t="s">
        <v>161</v>
      </c>
      <c r="J1959" s="6" t="s">
        <v>228</v>
      </c>
      <c r="K1959" s="6" t="s">
        <v>13343</v>
      </c>
      <c r="L1959" s="6">
        <v>5.3684606189E10</v>
      </c>
      <c r="M1959" s="6" t="s">
        <v>13345</v>
      </c>
      <c r="N1959" s="6" t="s">
        <v>427</v>
      </c>
      <c r="O1959" s="6" t="s">
        <v>178</v>
      </c>
      <c r="P1959" s="10">
        <v>45932.0</v>
      </c>
    </row>
    <row r="1960" ht="22.5" customHeight="1">
      <c r="A1960" s="6" t="s">
        <v>13346</v>
      </c>
      <c r="B1960" s="6" t="s">
        <v>13347</v>
      </c>
      <c r="C1960" s="6" t="s">
        <v>13348</v>
      </c>
      <c r="D1960" s="6" t="s">
        <v>145</v>
      </c>
      <c r="E1960" s="6" t="s">
        <v>147</v>
      </c>
      <c r="F1960" s="8">
        <v>25.0</v>
      </c>
      <c r="G1960" s="9">
        <v>263.71</v>
      </c>
      <c r="H1960" s="9">
        <v>8422.28</v>
      </c>
      <c r="I1960" s="6" t="s">
        <v>161</v>
      </c>
      <c r="J1960" s="6" t="s">
        <v>228</v>
      </c>
      <c r="K1960" s="6" t="s">
        <v>13350</v>
      </c>
      <c r="L1960" s="6">
        <v>9.882236765E10</v>
      </c>
      <c r="M1960" s="6" t="s">
        <v>13351</v>
      </c>
      <c r="N1960" s="6" t="s">
        <v>427</v>
      </c>
      <c r="O1960" s="6" t="s">
        <v>178</v>
      </c>
      <c r="P1960" s="10">
        <v>46021.0</v>
      </c>
    </row>
    <row r="1961" ht="22.5" customHeight="1">
      <c r="A1961" s="6" t="s">
        <v>13352</v>
      </c>
      <c r="B1961" s="6" t="s">
        <v>13353</v>
      </c>
      <c r="C1961" s="6" t="s">
        <v>13354</v>
      </c>
      <c r="D1961" s="6" t="s">
        <v>206</v>
      </c>
      <c r="E1961" s="6" t="s">
        <v>301</v>
      </c>
      <c r="F1961" s="8">
        <v>38.0</v>
      </c>
      <c r="G1961" s="9">
        <v>206.87</v>
      </c>
      <c r="H1961" s="9">
        <v>4737.63</v>
      </c>
      <c r="I1961" s="6" t="s">
        <v>161</v>
      </c>
      <c r="J1961" s="6" t="s">
        <v>442</v>
      </c>
      <c r="K1961" s="6" t="s">
        <v>13356</v>
      </c>
      <c r="L1961" s="6">
        <v>2.0841519266E10</v>
      </c>
      <c r="M1961" s="6" t="s">
        <v>13357</v>
      </c>
      <c r="N1961" s="6" t="s">
        <v>283</v>
      </c>
      <c r="O1961" s="6" t="s">
        <v>178</v>
      </c>
      <c r="P1961" s="10">
        <v>46039.0</v>
      </c>
    </row>
    <row r="1962" ht="22.5" customHeight="1">
      <c r="A1962" s="6" t="s">
        <v>13359</v>
      </c>
      <c r="B1962" s="6" t="s">
        <v>13360</v>
      </c>
      <c r="C1962" s="6" t="s">
        <v>13361</v>
      </c>
      <c r="D1962" s="6" t="s">
        <v>206</v>
      </c>
      <c r="E1962" s="6" t="s">
        <v>210</v>
      </c>
      <c r="F1962" s="8">
        <v>82.0</v>
      </c>
      <c r="G1962" s="9">
        <v>1553.17</v>
      </c>
      <c r="H1962" s="9">
        <v>9370.62</v>
      </c>
      <c r="I1962" s="6" t="s">
        <v>178</v>
      </c>
      <c r="J1962" s="6" t="s">
        <v>577</v>
      </c>
      <c r="K1962" s="6" t="s">
        <v>13362</v>
      </c>
      <c r="L1962" s="6">
        <v>3.4393245807E10</v>
      </c>
      <c r="M1962" s="6" t="s">
        <v>13364</v>
      </c>
      <c r="N1962" s="6" t="s">
        <v>176</v>
      </c>
      <c r="O1962" s="6" t="s">
        <v>161</v>
      </c>
      <c r="P1962" s="10">
        <v>45933.0</v>
      </c>
    </row>
    <row r="1963" ht="22.5" customHeight="1">
      <c r="A1963" s="6" t="s">
        <v>13365</v>
      </c>
      <c r="B1963" s="6" t="s">
        <v>13366</v>
      </c>
      <c r="C1963" s="6" t="s">
        <v>13367</v>
      </c>
      <c r="D1963" s="6" t="s">
        <v>145</v>
      </c>
      <c r="E1963" s="6" t="s">
        <v>147</v>
      </c>
      <c r="F1963" s="8">
        <v>9.0</v>
      </c>
      <c r="G1963" s="9">
        <v>1659.64</v>
      </c>
      <c r="H1963" s="9">
        <v>2249.64</v>
      </c>
      <c r="I1963" s="6" t="s">
        <v>161</v>
      </c>
      <c r="J1963" s="6" t="s">
        <v>465</v>
      </c>
      <c r="K1963" s="6" t="s">
        <v>13369</v>
      </c>
      <c r="L1963" s="6">
        <v>7.098445555E9</v>
      </c>
      <c r="M1963" s="6" t="s">
        <v>13370</v>
      </c>
      <c r="N1963" s="6" t="s">
        <v>176</v>
      </c>
      <c r="O1963" s="6" t="s">
        <v>178</v>
      </c>
      <c r="P1963" s="10">
        <v>46000.0</v>
      </c>
    </row>
    <row r="1964" ht="22.5" customHeight="1">
      <c r="A1964" s="6" t="s">
        <v>13371</v>
      </c>
      <c r="B1964" s="6" t="s">
        <v>13373</v>
      </c>
      <c r="C1964" s="6" t="s">
        <v>13374</v>
      </c>
      <c r="D1964" s="6" t="s">
        <v>145</v>
      </c>
      <c r="E1964" s="6" t="s">
        <v>147</v>
      </c>
      <c r="F1964" s="8">
        <v>24.0</v>
      </c>
      <c r="G1964" s="9">
        <v>1101.4</v>
      </c>
      <c r="H1964" s="9">
        <v>10758.32</v>
      </c>
      <c r="I1964" s="6" t="s">
        <v>161</v>
      </c>
      <c r="J1964" s="6" t="s">
        <v>577</v>
      </c>
      <c r="K1964" s="6" t="s">
        <v>13375</v>
      </c>
      <c r="L1964" s="6">
        <v>3.815046695E10</v>
      </c>
      <c r="M1964" s="6" t="s">
        <v>13376</v>
      </c>
      <c r="N1964" s="6" t="s">
        <v>427</v>
      </c>
      <c r="O1964" s="6" t="s">
        <v>178</v>
      </c>
      <c r="P1964" s="10">
        <v>46043.0</v>
      </c>
    </row>
    <row r="1965" ht="22.5" customHeight="1">
      <c r="A1965" s="6" t="s">
        <v>13378</v>
      </c>
      <c r="B1965" s="6" t="s">
        <v>13379</v>
      </c>
      <c r="C1965" s="6" t="s">
        <v>13380</v>
      </c>
      <c r="D1965" s="6" t="s">
        <v>145</v>
      </c>
      <c r="E1965" s="6" t="s">
        <v>301</v>
      </c>
      <c r="F1965" s="8">
        <v>37.0</v>
      </c>
      <c r="G1965" s="9">
        <v>1572.18</v>
      </c>
      <c r="H1965" s="9">
        <v>10166.78</v>
      </c>
      <c r="I1965" s="6" t="s">
        <v>161</v>
      </c>
      <c r="J1965" s="6" t="s">
        <v>421</v>
      </c>
      <c r="K1965" s="6" t="s">
        <v>13382</v>
      </c>
      <c r="L1965" s="6">
        <v>4.7064064215E10</v>
      </c>
      <c r="M1965" s="6" t="s">
        <v>13383</v>
      </c>
      <c r="N1965" s="6" t="s">
        <v>176</v>
      </c>
      <c r="O1965" s="6" t="s">
        <v>178</v>
      </c>
      <c r="P1965" s="10">
        <v>45991.0</v>
      </c>
    </row>
    <row r="1966" ht="22.5" customHeight="1">
      <c r="A1966" s="6" t="s">
        <v>13384</v>
      </c>
      <c r="B1966" s="6" t="s">
        <v>13385</v>
      </c>
      <c r="C1966" s="6" t="s">
        <v>13387</v>
      </c>
      <c r="D1966" s="6" t="s">
        <v>145</v>
      </c>
      <c r="E1966" s="6" t="s">
        <v>301</v>
      </c>
      <c r="F1966" s="8">
        <v>32.0</v>
      </c>
      <c r="G1966" s="9">
        <v>212.48</v>
      </c>
      <c r="H1966" s="9">
        <v>10330.78</v>
      </c>
      <c r="I1966" s="6" t="s">
        <v>178</v>
      </c>
      <c r="J1966" s="6" t="s">
        <v>357</v>
      </c>
      <c r="K1966" s="6" t="s">
        <v>13388</v>
      </c>
      <c r="L1966" s="6">
        <v>4.713514647E9</v>
      </c>
      <c r="M1966" s="6" t="s">
        <v>13389</v>
      </c>
      <c r="N1966" s="6" t="s">
        <v>427</v>
      </c>
      <c r="O1966" s="6" t="s">
        <v>161</v>
      </c>
      <c r="P1966" s="10">
        <v>45977.0</v>
      </c>
    </row>
    <row r="1967" ht="22.5" customHeight="1">
      <c r="A1967" s="6" t="s">
        <v>13391</v>
      </c>
      <c r="B1967" s="6" t="s">
        <v>13392</v>
      </c>
      <c r="C1967" s="6" t="s">
        <v>13393</v>
      </c>
      <c r="D1967" s="6" t="s">
        <v>383</v>
      </c>
      <c r="E1967" s="6" t="s">
        <v>147</v>
      </c>
      <c r="F1967" s="8">
        <v>13.0</v>
      </c>
      <c r="G1967" s="9">
        <v>1657.26</v>
      </c>
      <c r="H1967" s="9">
        <v>3678.34</v>
      </c>
      <c r="I1967" s="6" t="s">
        <v>161</v>
      </c>
      <c r="J1967" s="6" t="s">
        <v>465</v>
      </c>
      <c r="K1967" s="6" t="s">
        <v>13395</v>
      </c>
      <c r="L1967" s="6">
        <v>2.3795459444E10</v>
      </c>
      <c r="M1967" s="6" t="s">
        <v>13396</v>
      </c>
      <c r="N1967" s="6" t="s">
        <v>176</v>
      </c>
      <c r="O1967" s="6" t="s">
        <v>178</v>
      </c>
      <c r="P1967" s="10">
        <v>46002.0</v>
      </c>
    </row>
    <row r="1968" ht="22.5" customHeight="1">
      <c r="A1968" s="6" t="s">
        <v>13397</v>
      </c>
      <c r="B1968" s="6" t="s">
        <v>13398</v>
      </c>
      <c r="C1968" s="6" t="s">
        <v>13399</v>
      </c>
      <c r="D1968" s="6" t="s">
        <v>383</v>
      </c>
      <c r="E1968" s="6" t="s">
        <v>147</v>
      </c>
      <c r="F1968" s="8">
        <v>16.0</v>
      </c>
      <c r="G1968" s="9">
        <v>892.33</v>
      </c>
      <c r="H1968" s="9">
        <v>9570.12</v>
      </c>
      <c r="I1968" s="6" t="s">
        <v>161</v>
      </c>
      <c r="J1968" s="6" t="s">
        <v>577</v>
      </c>
      <c r="K1968" s="6" t="s">
        <v>13401</v>
      </c>
      <c r="L1968" s="6">
        <v>5.2658696906E10</v>
      </c>
      <c r="M1968" s="6" t="s">
        <v>13402</v>
      </c>
      <c r="N1968" s="6" t="s">
        <v>112</v>
      </c>
      <c r="O1968" s="6" t="s">
        <v>178</v>
      </c>
      <c r="P1968" s="10">
        <v>45967.0</v>
      </c>
    </row>
    <row r="1969" ht="22.5" customHeight="1">
      <c r="A1969" s="6" t="s">
        <v>13404</v>
      </c>
      <c r="B1969" s="6" t="s">
        <v>13405</v>
      </c>
      <c r="C1969" s="6" t="s">
        <v>13406</v>
      </c>
      <c r="D1969" s="6" t="s">
        <v>145</v>
      </c>
      <c r="E1969" s="6" t="s">
        <v>147</v>
      </c>
      <c r="F1969" s="8">
        <v>8.0</v>
      </c>
      <c r="G1969" s="9">
        <v>475.56</v>
      </c>
      <c r="H1969" s="9">
        <v>7590.86</v>
      </c>
      <c r="I1969" s="6" t="s">
        <v>161</v>
      </c>
      <c r="J1969" s="6" t="s">
        <v>442</v>
      </c>
      <c r="K1969" s="6" t="s">
        <v>13407</v>
      </c>
      <c r="L1969" s="6">
        <v>7.8210919936E10</v>
      </c>
      <c r="M1969" s="6" t="s">
        <v>13409</v>
      </c>
      <c r="N1969" s="6" t="s">
        <v>283</v>
      </c>
      <c r="O1969" s="6" t="s">
        <v>178</v>
      </c>
      <c r="P1969" s="10">
        <v>46030.0</v>
      </c>
    </row>
    <row r="1970" ht="22.5" customHeight="1">
      <c r="A1970" s="6" t="s">
        <v>13410</v>
      </c>
      <c r="B1970" s="6" t="s">
        <v>13411</v>
      </c>
      <c r="C1970" s="6" t="s">
        <v>13412</v>
      </c>
      <c r="D1970" s="6" t="s">
        <v>206</v>
      </c>
      <c r="E1970" s="6" t="s">
        <v>210</v>
      </c>
      <c r="F1970" s="8">
        <v>120.0</v>
      </c>
      <c r="G1970" s="9">
        <v>1503.42</v>
      </c>
      <c r="H1970" s="9">
        <v>8298.39</v>
      </c>
      <c r="I1970" s="6" t="s">
        <v>161</v>
      </c>
      <c r="J1970" s="6" t="s">
        <v>312</v>
      </c>
      <c r="K1970" s="6" t="s">
        <v>13414</v>
      </c>
      <c r="L1970" s="6">
        <v>8.998367963E9</v>
      </c>
      <c r="M1970" s="6" t="s">
        <v>13415</v>
      </c>
      <c r="N1970" s="6" t="s">
        <v>427</v>
      </c>
      <c r="O1970" s="6" t="s">
        <v>161</v>
      </c>
      <c r="P1970" s="10">
        <v>45939.0</v>
      </c>
    </row>
    <row r="1971" ht="22.5" customHeight="1">
      <c r="A1971" s="6" t="s">
        <v>13417</v>
      </c>
      <c r="B1971" s="6" t="s">
        <v>13418</v>
      </c>
      <c r="C1971" s="6" t="s">
        <v>13419</v>
      </c>
      <c r="D1971" s="6" t="s">
        <v>383</v>
      </c>
      <c r="E1971" s="6" t="s">
        <v>301</v>
      </c>
      <c r="F1971" s="8">
        <v>50.0</v>
      </c>
      <c r="G1971" s="9">
        <v>885.98</v>
      </c>
      <c r="H1971" s="9">
        <v>2483.43</v>
      </c>
      <c r="I1971" s="6" t="s">
        <v>161</v>
      </c>
      <c r="J1971" s="6" t="s">
        <v>577</v>
      </c>
      <c r="K1971" s="6" t="s">
        <v>13420</v>
      </c>
      <c r="L1971" s="6">
        <v>5.3769283188E10</v>
      </c>
      <c r="M1971" s="6" t="s">
        <v>13422</v>
      </c>
      <c r="N1971" s="6" t="s">
        <v>283</v>
      </c>
      <c r="O1971" s="6" t="s">
        <v>178</v>
      </c>
      <c r="P1971" s="10">
        <v>46051.0</v>
      </c>
    </row>
    <row r="1972" ht="22.5" customHeight="1">
      <c r="A1972" s="6" t="s">
        <v>13423</v>
      </c>
      <c r="B1972" s="6" t="s">
        <v>13424</v>
      </c>
      <c r="C1972" s="6" t="s">
        <v>13425</v>
      </c>
      <c r="D1972" s="6" t="s">
        <v>145</v>
      </c>
      <c r="E1972" s="6" t="s">
        <v>210</v>
      </c>
      <c r="F1972" s="8">
        <v>83.0</v>
      </c>
      <c r="G1972" s="9">
        <v>1088.84</v>
      </c>
      <c r="H1972" s="9">
        <v>2553.73</v>
      </c>
      <c r="I1972" s="6" t="s">
        <v>178</v>
      </c>
      <c r="J1972" s="6" t="s">
        <v>228</v>
      </c>
      <c r="K1972" s="6" t="s">
        <v>13427</v>
      </c>
      <c r="L1972" s="6">
        <v>3.2828482112E10</v>
      </c>
      <c r="M1972" s="6" t="s">
        <v>13428</v>
      </c>
      <c r="N1972" s="6" t="s">
        <v>112</v>
      </c>
      <c r="O1972" s="6" t="s">
        <v>161</v>
      </c>
      <c r="P1972" s="10">
        <v>46036.0</v>
      </c>
    </row>
    <row r="1973" ht="22.5" customHeight="1">
      <c r="A1973" s="6" t="s">
        <v>13430</v>
      </c>
      <c r="B1973" s="6" t="s">
        <v>13431</v>
      </c>
      <c r="C1973" s="6" t="s">
        <v>13432</v>
      </c>
      <c r="D1973" s="6" t="s">
        <v>145</v>
      </c>
      <c r="E1973" s="6" t="s">
        <v>147</v>
      </c>
      <c r="F1973" s="8">
        <v>14.0</v>
      </c>
      <c r="G1973" s="9">
        <v>1545.8</v>
      </c>
      <c r="H1973" s="9">
        <v>5032.48</v>
      </c>
      <c r="I1973" s="6" t="s">
        <v>161</v>
      </c>
      <c r="J1973" s="6" t="s">
        <v>442</v>
      </c>
      <c r="K1973" s="6" t="s">
        <v>13433</v>
      </c>
      <c r="L1973" s="6">
        <v>6.3460394582E10</v>
      </c>
      <c r="M1973" s="6" t="s">
        <v>13434</v>
      </c>
      <c r="N1973" s="6" t="s">
        <v>283</v>
      </c>
      <c r="O1973" s="6" t="s">
        <v>178</v>
      </c>
      <c r="P1973" s="10">
        <v>46044.0</v>
      </c>
    </row>
    <row r="1974" ht="22.5" customHeight="1">
      <c r="A1974" s="6" t="s">
        <v>13436</v>
      </c>
      <c r="B1974" s="6" t="s">
        <v>13437</v>
      </c>
      <c r="C1974" s="6" t="s">
        <v>13438</v>
      </c>
      <c r="D1974" s="6" t="s">
        <v>206</v>
      </c>
      <c r="E1974" s="6" t="s">
        <v>147</v>
      </c>
      <c r="F1974" s="8">
        <v>14.0</v>
      </c>
      <c r="G1974" s="9">
        <v>921.1</v>
      </c>
      <c r="H1974" s="9">
        <v>1990.61</v>
      </c>
      <c r="I1974" s="6" t="s">
        <v>161</v>
      </c>
      <c r="J1974" s="6" t="s">
        <v>163</v>
      </c>
      <c r="K1974" s="6" t="s">
        <v>13440</v>
      </c>
      <c r="L1974" s="6">
        <v>3.8084187168E10</v>
      </c>
      <c r="M1974" s="6" t="s">
        <v>13441</v>
      </c>
      <c r="N1974" s="6" t="s">
        <v>112</v>
      </c>
      <c r="O1974" s="6" t="s">
        <v>178</v>
      </c>
      <c r="P1974" s="10">
        <v>46046.0</v>
      </c>
    </row>
    <row r="1975" ht="22.5" customHeight="1">
      <c r="A1975" s="6" t="s">
        <v>13442</v>
      </c>
      <c r="B1975" s="6" t="s">
        <v>13444</v>
      </c>
      <c r="C1975" s="6" t="s">
        <v>13445</v>
      </c>
      <c r="D1975" s="6" t="s">
        <v>206</v>
      </c>
      <c r="E1975" s="6" t="s">
        <v>210</v>
      </c>
      <c r="F1975" s="8">
        <v>115.0</v>
      </c>
      <c r="G1975" s="9">
        <v>1794.25</v>
      </c>
      <c r="H1975" s="9">
        <v>13378.18</v>
      </c>
      <c r="I1975" s="6" t="s">
        <v>178</v>
      </c>
      <c r="J1975" s="6" t="s">
        <v>312</v>
      </c>
      <c r="K1975" s="6" t="s">
        <v>13446</v>
      </c>
      <c r="L1975" s="6">
        <v>5.0439582474E10</v>
      </c>
      <c r="M1975" s="6" t="s">
        <v>13448</v>
      </c>
      <c r="N1975" s="6" t="s">
        <v>283</v>
      </c>
      <c r="O1975" s="6" t="s">
        <v>161</v>
      </c>
      <c r="P1975" s="10">
        <v>45956.0</v>
      </c>
    </row>
    <row r="1976" ht="22.5" customHeight="1">
      <c r="A1976" s="6" t="s">
        <v>13449</v>
      </c>
      <c r="B1976" s="6" t="s">
        <v>13450</v>
      </c>
      <c r="C1976" s="6" t="s">
        <v>13451</v>
      </c>
      <c r="D1976" s="6" t="s">
        <v>145</v>
      </c>
      <c r="E1976" s="6" t="s">
        <v>147</v>
      </c>
      <c r="F1976" s="8">
        <v>12.0</v>
      </c>
      <c r="G1976" s="9">
        <v>1499.16</v>
      </c>
      <c r="H1976" s="9">
        <v>3448.85</v>
      </c>
      <c r="I1976" s="6" t="s">
        <v>161</v>
      </c>
      <c r="J1976" s="6" t="s">
        <v>465</v>
      </c>
      <c r="K1976" s="6" t="s">
        <v>13453</v>
      </c>
      <c r="L1976" s="6">
        <v>5.8817433416E10</v>
      </c>
      <c r="M1976" s="6" t="s">
        <v>13454</v>
      </c>
      <c r="N1976" s="6" t="s">
        <v>259</v>
      </c>
      <c r="O1976" s="6" t="s">
        <v>178</v>
      </c>
      <c r="P1976" s="10">
        <v>45933.0</v>
      </c>
    </row>
    <row r="1977" ht="22.5" customHeight="1">
      <c r="A1977" s="6" t="s">
        <v>13455</v>
      </c>
      <c r="B1977" s="6" t="s">
        <v>13456</v>
      </c>
      <c r="C1977" s="6" t="s">
        <v>13457</v>
      </c>
      <c r="D1977" s="6" t="s">
        <v>145</v>
      </c>
      <c r="E1977" s="6" t="s">
        <v>147</v>
      </c>
      <c r="F1977" s="8">
        <v>7.0</v>
      </c>
      <c r="G1977" s="9">
        <v>150.74</v>
      </c>
      <c r="H1977" s="9">
        <v>13209.25</v>
      </c>
      <c r="I1977" s="6" t="s">
        <v>161</v>
      </c>
      <c r="J1977" s="6" t="s">
        <v>357</v>
      </c>
      <c r="K1977" s="6" t="s">
        <v>13459</v>
      </c>
      <c r="L1977" s="6">
        <v>3.4222503471E10</v>
      </c>
      <c r="M1977" s="6" t="s">
        <v>13460</v>
      </c>
      <c r="N1977" s="6" t="s">
        <v>259</v>
      </c>
      <c r="O1977" s="6" t="s">
        <v>178</v>
      </c>
      <c r="P1977" s="10">
        <v>46020.0</v>
      </c>
    </row>
    <row r="1978" ht="22.5" customHeight="1">
      <c r="A1978" s="6" t="s">
        <v>13462</v>
      </c>
      <c r="B1978" s="6" t="s">
        <v>13463</v>
      </c>
      <c r="C1978" s="6" t="s">
        <v>13464</v>
      </c>
      <c r="D1978" s="6" t="s">
        <v>383</v>
      </c>
      <c r="E1978" s="6" t="s">
        <v>147</v>
      </c>
      <c r="F1978" s="8">
        <v>17.0</v>
      </c>
      <c r="G1978" s="9">
        <v>403.8</v>
      </c>
      <c r="H1978" s="9">
        <v>10401.8</v>
      </c>
      <c r="I1978" s="6" t="s">
        <v>161</v>
      </c>
      <c r="J1978" s="6" t="s">
        <v>479</v>
      </c>
      <c r="K1978" s="6" t="s">
        <v>13465</v>
      </c>
      <c r="L1978" s="6">
        <v>7.4864581863E10</v>
      </c>
      <c r="M1978" s="6" t="s">
        <v>13467</v>
      </c>
      <c r="N1978" s="6" t="s">
        <v>259</v>
      </c>
      <c r="O1978" s="6" t="s">
        <v>178</v>
      </c>
      <c r="P1978" s="10">
        <v>46031.0</v>
      </c>
    </row>
    <row r="1979" ht="22.5" customHeight="1">
      <c r="A1979" s="6" t="s">
        <v>13468</v>
      </c>
      <c r="B1979" s="6" t="s">
        <v>13469</v>
      </c>
      <c r="C1979" s="6" t="s">
        <v>13470</v>
      </c>
      <c r="D1979" s="6" t="s">
        <v>145</v>
      </c>
      <c r="E1979" s="6" t="s">
        <v>301</v>
      </c>
      <c r="F1979" s="8">
        <v>37.0</v>
      </c>
      <c r="G1979" s="9">
        <v>249.73</v>
      </c>
      <c r="H1979" s="9">
        <v>13840.32</v>
      </c>
      <c r="I1979" s="6" t="s">
        <v>161</v>
      </c>
      <c r="J1979" s="6" t="s">
        <v>577</v>
      </c>
      <c r="K1979" s="6" t="s">
        <v>13472</v>
      </c>
      <c r="L1979" s="6">
        <v>1.1756179021E10</v>
      </c>
      <c r="M1979" s="6" t="s">
        <v>13473</v>
      </c>
      <c r="N1979" s="6" t="s">
        <v>283</v>
      </c>
      <c r="O1979" s="6" t="s">
        <v>178</v>
      </c>
      <c r="P1979" s="10">
        <v>45973.0</v>
      </c>
    </row>
    <row r="1980" ht="22.5" customHeight="1">
      <c r="A1980" s="6" t="s">
        <v>13475</v>
      </c>
      <c r="B1980" s="6" t="s">
        <v>13476</v>
      </c>
      <c r="C1980" s="6" t="s">
        <v>13477</v>
      </c>
      <c r="D1980" s="6" t="s">
        <v>145</v>
      </c>
      <c r="E1980" s="6" t="s">
        <v>210</v>
      </c>
      <c r="F1980" s="8">
        <v>68.0</v>
      </c>
      <c r="G1980" s="9">
        <v>1500.3</v>
      </c>
      <c r="H1980" s="9">
        <v>13320.53</v>
      </c>
      <c r="I1980" s="6" t="s">
        <v>178</v>
      </c>
      <c r="J1980" s="6" t="s">
        <v>312</v>
      </c>
      <c r="K1980" s="6" t="s">
        <v>13479</v>
      </c>
      <c r="L1980" s="6">
        <v>3.4862199456E10</v>
      </c>
      <c r="M1980" s="6" t="s">
        <v>13480</v>
      </c>
      <c r="N1980" s="6" t="s">
        <v>283</v>
      </c>
      <c r="O1980" s="6" t="s">
        <v>161</v>
      </c>
      <c r="P1980" s="10">
        <v>46016.0</v>
      </c>
    </row>
    <row r="1981" ht="22.5" customHeight="1">
      <c r="A1981" s="6" t="s">
        <v>13481</v>
      </c>
      <c r="B1981" s="6" t="s">
        <v>13482</v>
      </c>
      <c r="C1981" s="6" t="s">
        <v>13483</v>
      </c>
      <c r="D1981" s="6" t="s">
        <v>145</v>
      </c>
      <c r="E1981" s="6" t="s">
        <v>147</v>
      </c>
      <c r="F1981" s="8">
        <v>19.0</v>
      </c>
      <c r="G1981" s="9">
        <v>1360.4</v>
      </c>
      <c r="H1981" s="9">
        <v>9041.19</v>
      </c>
      <c r="I1981" s="6" t="s">
        <v>161</v>
      </c>
      <c r="J1981" s="6" t="s">
        <v>228</v>
      </c>
      <c r="K1981" s="6" t="s">
        <v>13485</v>
      </c>
      <c r="L1981" s="6">
        <v>8.2182280424E10</v>
      </c>
      <c r="M1981" s="6" t="s">
        <v>13486</v>
      </c>
      <c r="N1981" s="6" t="s">
        <v>176</v>
      </c>
      <c r="O1981" s="6" t="s">
        <v>178</v>
      </c>
      <c r="P1981" s="10">
        <v>45975.0</v>
      </c>
    </row>
    <row r="1982" ht="22.5" customHeight="1">
      <c r="A1982" s="6" t="s">
        <v>13487</v>
      </c>
      <c r="B1982" s="6" t="s">
        <v>13488</v>
      </c>
      <c r="C1982" s="6" t="s">
        <v>13489</v>
      </c>
      <c r="D1982" s="6" t="s">
        <v>206</v>
      </c>
      <c r="E1982" s="6" t="s">
        <v>210</v>
      </c>
      <c r="F1982" s="8">
        <v>89.0</v>
      </c>
      <c r="G1982" s="9">
        <v>1482.51</v>
      </c>
      <c r="H1982" s="9">
        <v>10383.06</v>
      </c>
      <c r="I1982" s="6" t="s">
        <v>178</v>
      </c>
      <c r="J1982" s="6" t="s">
        <v>465</v>
      </c>
      <c r="K1982" s="6" t="s">
        <v>13491</v>
      </c>
      <c r="L1982" s="6">
        <v>7.2821941004E10</v>
      </c>
      <c r="M1982" s="6" t="s">
        <v>13492</v>
      </c>
      <c r="N1982" s="6" t="s">
        <v>259</v>
      </c>
      <c r="O1982" s="6" t="s">
        <v>161</v>
      </c>
      <c r="P1982" s="10">
        <v>45958.0</v>
      </c>
    </row>
    <row r="1983" ht="22.5" customHeight="1">
      <c r="A1983" s="6" t="s">
        <v>13493</v>
      </c>
      <c r="B1983" s="6" t="s">
        <v>13494</v>
      </c>
      <c r="C1983" s="6" t="s">
        <v>13495</v>
      </c>
      <c r="D1983" s="6" t="s">
        <v>145</v>
      </c>
      <c r="E1983" s="6" t="s">
        <v>147</v>
      </c>
      <c r="F1983" s="8">
        <v>22.0</v>
      </c>
      <c r="G1983" s="9">
        <v>1090.76</v>
      </c>
      <c r="H1983" s="9">
        <v>7063.87</v>
      </c>
      <c r="I1983" s="6" t="s">
        <v>161</v>
      </c>
      <c r="J1983" s="6" t="s">
        <v>421</v>
      </c>
      <c r="K1983" s="6" t="s">
        <v>13497</v>
      </c>
      <c r="L1983" s="6">
        <v>1.6456824462E10</v>
      </c>
      <c r="M1983" s="6" t="s">
        <v>13498</v>
      </c>
      <c r="N1983" s="6" t="s">
        <v>427</v>
      </c>
      <c r="O1983" s="6" t="s">
        <v>178</v>
      </c>
      <c r="P1983" s="10">
        <v>45935.0</v>
      </c>
    </row>
    <row r="1984" ht="22.5" customHeight="1">
      <c r="A1984" s="6" t="s">
        <v>13500</v>
      </c>
      <c r="B1984" s="6" t="s">
        <v>13501</v>
      </c>
      <c r="C1984" s="6" t="s">
        <v>13502</v>
      </c>
      <c r="D1984" s="6" t="s">
        <v>206</v>
      </c>
      <c r="E1984" s="6" t="s">
        <v>147</v>
      </c>
      <c r="F1984" s="8">
        <v>14.0</v>
      </c>
      <c r="G1984" s="9">
        <v>1631.29</v>
      </c>
      <c r="H1984" s="9">
        <v>10415.91</v>
      </c>
      <c r="I1984" s="6" t="s">
        <v>161</v>
      </c>
      <c r="J1984" s="6" t="s">
        <v>442</v>
      </c>
      <c r="K1984" s="6" t="s">
        <v>259</v>
      </c>
      <c r="L1984" s="6">
        <v>2.6045913203E10</v>
      </c>
      <c r="M1984" s="6" t="s">
        <v>13504</v>
      </c>
      <c r="N1984" s="6" t="s">
        <v>259</v>
      </c>
      <c r="O1984" s="6" t="s">
        <v>178</v>
      </c>
      <c r="P1984" s="10">
        <v>46014.0</v>
      </c>
    </row>
    <row r="1985" ht="22.5" customHeight="1">
      <c r="A1985" s="6" t="s">
        <v>13505</v>
      </c>
      <c r="B1985" s="6" t="s">
        <v>13506</v>
      </c>
      <c r="C1985" s="6" t="s">
        <v>13507</v>
      </c>
      <c r="D1985" s="6" t="s">
        <v>206</v>
      </c>
      <c r="E1985" s="6" t="s">
        <v>147</v>
      </c>
      <c r="F1985" s="8">
        <v>22.0</v>
      </c>
      <c r="G1985" s="9">
        <v>925.33</v>
      </c>
      <c r="H1985" s="9">
        <v>11664.42</v>
      </c>
      <c r="I1985" s="6" t="s">
        <v>161</v>
      </c>
      <c r="J1985" s="6" t="s">
        <v>357</v>
      </c>
      <c r="K1985" s="6" t="s">
        <v>13509</v>
      </c>
      <c r="L1985" s="6">
        <v>8.3521863619E10</v>
      </c>
      <c r="M1985" s="6" t="s">
        <v>13510</v>
      </c>
      <c r="N1985" s="6" t="s">
        <v>283</v>
      </c>
      <c r="O1985" s="6" t="s">
        <v>178</v>
      </c>
      <c r="P1985" s="10">
        <v>45993.0</v>
      </c>
    </row>
    <row r="1986" ht="22.5" customHeight="1">
      <c r="A1986" s="6" t="s">
        <v>13512</v>
      </c>
      <c r="B1986" s="6" t="s">
        <v>13513</v>
      </c>
      <c r="C1986" s="6" t="s">
        <v>13514</v>
      </c>
      <c r="D1986" s="6" t="s">
        <v>206</v>
      </c>
      <c r="E1986" s="6" t="s">
        <v>147</v>
      </c>
      <c r="F1986" s="8">
        <v>17.0</v>
      </c>
      <c r="G1986" s="9">
        <v>120.48</v>
      </c>
      <c r="H1986" s="9">
        <v>9995.69</v>
      </c>
      <c r="I1986" s="6" t="s">
        <v>161</v>
      </c>
      <c r="J1986" s="6" t="s">
        <v>577</v>
      </c>
      <c r="K1986" s="6" t="s">
        <v>13516</v>
      </c>
      <c r="L1986" s="6">
        <v>9.4824350323E10</v>
      </c>
      <c r="M1986" s="6" t="s">
        <v>13517</v>
      </c>
      <c r="N1986" s="6" t="s">
        <v>283</v>
      </c>
      <c r="O1986" s="6" t="s">
        <v>178</v>
      </c>
      <c r="P1986" s="10">
        <v>45959.0</v>
      </c>
    </row>
    <row r="1987" ht="22.5" customHeight="1">
      <c r="A1987" s="6" t="s">
        <v>13519</v>
      </c>
      <c r="B1987" s="6" t="s">
        <v>13520</v>
      </c>
      <c r="C1987" s="6" t="s">
        <v>13521</v>
      </c>
      <c r="D1987" s="6" t="s">
        <v>145</v>
      </c>
      <c r="E1987" s="6" t="s">
        <v>147</v>
      </c>
      <c r="F1987" s="8">
        <v>13.0</v>
      </c>
      <c r="G1987" s="9">
        <v>634.06</v>
      </c>
      <c r="H1987" s="9">
        <v>7538.13</v>
      </c>
      <c r="I1987" s="6" t="s">
        <v>161</v>
      </c>
      <c r="J1987" s="6" t="s">
        <v>312</v>
      </c>
      <c r="K1987" s="6" t="s">
        <v>13523</v>
      </c>
      <c r="L1987" s="6">
        <v>7.8066485905E10</v>
      </c>
      <c r="M1987" s="6" t="s">
        <v>13524</v>
      </c>
      <c r="N1987" s="6" t="s">
        <v>176</v>
      </c>
      <c r="O1987" s="6" t="s">
        <v>178</v>
      </c>
      <c r="P1987" s="10">
        <v>46008.0</v>
      </c>
    </row>
    <row r="1988" ht="22.5" customHeight="1">
      <c r="A1988" s="6" t="s">
        <v>13525</v>
      </c>
      <c r="B1988" s="6" t="s">
        <v>13526</v>
      </c>
      <c r="C1988" s="6" t="s">
        <v>13527</v>
      </c>
      <c r="D1988" s="6" t="s">
        <v>383</v>
      </c>
      <c r="E1988" s="6" t="s">
        <v>301</v>
      </c>
      <c r="F1988" s="8">
        <v>57.0</v>
      </c>
      <c r="G1988" s="9">
        <v>1288.68</v>
      </c>
      <c r="H1988" s="9">
        <v>6011.5</v>
      </c>
      <c r="I1988" s="6" t="s">
        <v>161</v>
      </c>
      <c r="J1988" s="6" t="s">
        <v>259</v>
      </c>
      <c r="K1988" s="6" t="s">
        <v>13529</v>
      </c>
      <c r="L1988" s="6" t="s">
        <v>259</v>
      </c>
      <c r="M1988" s="6" t="s">
        <v>13530</v>
      </c>
      <c r="N1988" s="6" t="s">
        <v>112</v>
      </c>
      <c r="O1988" s="6" t="s">
        <v>178</v>
      </c>
      <c r="P1988" s="10">
        <v>45962.0</v>
      </c>
    </row>
    <row r="1989" ht="22.5" customHeight="1">
      <c r="A1989" s="6" t="s">
        <v>13531</v>
      </c>
      <c r="B1989" s="6" t="s">
        <v>13532</v>
      </c>
      <c r="C1989" s="6" t="s">
        <v>13533</v>
      </c>
      <c r="D1989" s="6" t="s">
        <v>145</v>
      </c>
      <c r="E1989" s="6" t="s">
        <v>147</v>
      </c>
      <c r="F1989" s="8">
        <v>22.0</v>
      </c>
      <c r="G1989" s="9">
        <v>538.6</v>
      </c>
      <c r="H1989" s="9">
        <v>11933.26</v>
      </c>
      <c r="I1989" s="6" t="s">
        <v>161</v>
      </c>
      <c r="J1989" s="6" t="s">
        <v>357</v>
      </c>
      <c r="K1989" s="6" t="s">
        <v>13535</v>
      </c>
      <c r="L1989" s="6">
        <v>4.4857054171E10</v>
      </c>
      <c r="M1989" s="6" t="s">
        <v>13536</v>
      </c>
      <c r="N1989" s="6" t="s">
        <v>283</v>
      </c>
      <c r="O1989" s="6" t="s">
        <v>178</v>
      </c>
      <c r="P1989" s="10">
        <v>45986.0</v>
      </c>
    </row>
    <row r="1990" ht="22.5" customHeight="1">
      <c r="A1990" s="6" t="s">
        <v>13537</v>
      </c>
      <c r="B1990" s="6" t="s">
        <v>13538</v>
      </c>
      <c r="C1990" s="6" t="s">
        <v>13539</v>
      </c>
      <c r="D1990" s="6" t="s">
        <v>206</v>
      </c>
      <c r="E1990" s="6" t="s">
        <v>147</v>
      </c>
      <c r="F1990" s="8">
        <v>12.0</v>
      </c>
      <c r="G1990" s="9">
        <v>507.53</v>
      </c>
      <c r="H1990" s="9">
        <v>8334.71</v>
      </c>
      <c r="I1990" s="6" t="s">
        <v>161</v>
      </c>
      <c r="J1990" s="6" t="s">
        <v>465</v>
      </c>
      <c r="K1990" s="6" t="s">
        <v>259</v>
      </c>
      <c r="L1990" s="6">
        <v>4.1058899892E10</v>
      </c>
      <c r="M1990" s="6" t="s">
        <v>13541</v>
      </c>
      <c r="N1990" s="6" t="s">
        <v>112</v>
      </c>
      <c r="O1990" s="6" t="s">
        <v>178</v>
      </c>
      <c r="P1990" s="10">
        <v>46004.0</v>
      </c>
    </row>
    <row r="1991" ht="22.5" customHeight="1">
      <c r="A1991" s="6" t="s">
        <v>13542</v>
      </c>
      <c r="B1991" s="6" t="s">
        <v>13543</v>
      </c>
      <c r="C1991" s="6" t="s">
        <v>13544</v>
      </c>
      <c r="D1991" s="6" t="s">
        <v>206</v>
      </c>
      <c r="E1991" s="6" t="s">
        <v>301</v>
      </c>
      <c r="F1991" s="8">
        <v>52.0</v>
      </c>
      <c r="G1991" s="9">
        <v>1087.47</v>
      </c>
      <c r="H1991" s="9">
        <v>10712.1</v>
      </c>
      <c r="I1991" s="6" t="s">
        <v>161</v>
      </c>
      <c r="J1991" s="6" t="s">
        <v>4705</v>
      </c>
      <c r="K1991" s="6" t="s">
        <v>259</v>
      </c>
      <c r="L1991" s="6">
        <v>4.1313201646E10</v>
      </c>
      <c r="M1991" s="6" t="s">
        <v>13546</v>
      </c>
      <c r="N1991" s="6" t="s">
        <v>112</v>
      </c>
      <c r="O1991" s="6" t="s">
        <v>178</v>
      </c>
      <c r="P1991" s="10">
        <v>45964.0</v>
      </c>
    </row>
    <row r="1992" ht="22.5" customHeight="1">
      <c r="A1992" s="6" t="s">
        <v>13547</v>
      </c>
      <c r="B1992" s="6" t="s">
        <v>13548</v>
      </c>
      <c r="C1992" s="6" t="s">
        <v>13549</v>
      </c>
      <c r="D1992" s="6" t="s">
        <v>206</v>
      </c>
      <c r="E1992" s="6" t="s">
        <v>147</v>
      </c>
      <c r="F1992" s="8">
        <v>29.0</v>
      </c>
      <c r="G1992" s="9">
        <v>164.26</v>
      </c>
      <c r="H1992" s="9">
        <v>2838.96</v>
      </c>
      <c r="I1992" s="6" t="s">
        <v>178</v>
      </c>
      <c r="J1992" s="6" t="s">
        <v>357</v>
      </c>
      <c r="K1992" s="6" t="s">
        <v>13550</v>
      </c>
      <c r="L1992" s="6">
        <v>2.4463540357E10</v>
      </c>
      <c r="M1992" s="6" t="s">
        <v>13551</v>
      </c>
      <c r="N1992" s="6" t="s">
        <v>176</v>
      </c>
      <c r="O1992" s="6" t="s">
        <v>161</v>
      </c>
      <c r="P1992" s="10">
        <v>46047.0</v>
      </c>
    </row>
    <row r="1993" ht="22.5" customHeight="1">
      <c r="A1993" s="6" t="s">
        <v>13553</v>
      </c>
      <c r="B1993" s="6" t="s">
        <v>13554</v>
      </c>
      <c r="C1993" s="6" t="s">
        <v>13555</v>
      </c>
      <c r="D1993" s="6" t="s">
        <v>145</v>
      </c>
      <c r="E1993" s="6" t="s">
        <v>301</v>
      </c>
      <c r="F1993" s="8">
        <v>31.0</v>
      </c>
      <c r="G1993" s="9">
        <v>1367.33</v>
      </c>
      <c r="H1993" s="9">
        <v>15360.68</v>
      </c>
      <c r="I1993" s="6" t="s">
        <v>161</v>
      </c>
      <c r="J1993" s="6" t="s">
        <v>465</v>
      </c>
      <c r="K1993" s="6" t="s">
        <v>13556</v>
      </c>
      <c r="L1993" s="6" t="s">
        <v>259</v>
      </c>
      <c r="M1993" s="6" t="s">
        <v>13557</v>
      </c>
      <c r="N1993" s="6" t="s">
        <v>112</v>
      </c>
      <c r="O1993" s="6" t="s">
        <v>178</v>
      </c>
      <c r="P1993" s="10">
        <v>46021.0</v>
      </c>
    </row>
    <row r="1994" ht="22.5" customHeight="1">
      <c r="A1994" s="6" t="s">
        <v>13558</v>
      </c>
      <c r="B1994" s="6" t="s">
        <v>13559</v>
      </c>
      <c r="C1994" s="6" t="s">
        <v>13561</v>
      </c>
      <c r="D1994" s="6" t="s">
        <v>206</v>
      </c>
      <c r="E1994" s="6" t="s">
        <v>147</v>
      </c>
      <c r="F1994" s="8">
        <v>29.0</v>
      </c>
      <c r="G1994" s="9">
        <v>173.0</v>
      </c>
      <c r="H1994" s="9">
        <v>6976.29</v>
      </c>
      <c r="I1994" s="6" t="s">
        <v>161</v>
      </c>
      <c r="J1994" s="6" t="s">
        <v>577</v>
      </c>
      <c r="K1994" s="6" t="s">
        <v>259</v>
      </c>
      <c r="L1994" s="6">
        <v>5.1629154261E10</v>
      </c>
      <c r="M1994" s="6" t="s">
        <v>13562</v>
      </c>
      <c r="N1994" s="6" t="s">
        <v>259</v>
      </c>
      <c r="O1994" s="6" t="s">
        <v>178</v>
      </c>
      <c r="P1994" s="10">
        <v>46013.0</v>
      </c>
    </row>
    <row r="1995" ht="22.5" customHeight="1">
      <c r="A1995" s="6" t="s">
        <v>13563</v>
      </c>
      <c r="B1995" s="6" t="s">
        <v>13564</v>
      </c>
      <c r="C1995" s="6" t="s">
        <v>13565</v>
      </c>
      <c r="D1995" s="6" t="s">
        <v>145</v>
      </c>
      <c r="E1995" s="6" t="s">
        <v>147</v>
      </c>
      <c r="F1995" s="8">
        <v>28.0</v>
      </c>
      <c r="G1995" s="9">
        <v>1075.49</v>
      </c>
      <c r="H1995" s="9">
        <v>12740.97</v>
      </c>
      <c r="I1995" s="6" t="s">
        <v>161</v>
      </c>
      <c r="J1995" s="6" t="s">
        <v>479</v>
      </c>
      <c r="K1995" s="6" t="s">
        <v>13567</v>
      </c>
      <c r="L1995" s="6">
        <v>9.3320913765E10</v>
      </c>
      <c r="M1995" s="6" t="s">
        <v>13568</v>
      </c>
      <c r="N1995" s="6" t="s">
        <v>112</v>
      </c>
      <c r="O1995" s="6" t="s">
        <v>178</v>
      </c>
      <c r="P1995" s="10">
        <v>46034.0</v>
      </c>
    </row>
    <row r="1996" ht="22.5" customHeight="1">
      <c r="A1996" s="6" t="s">
        <v>13570</v>
      </c>
      <c r="B1996" s="6" t="s">
        <v>13571</v>
      </c>
      <c r="C1996" s="6" t="s">
        <v>13572</v>
      </c>
      <c r="D1996" s="6" t="s">
        <v>145</v>
      </c>
      <c r="E1996" s="6" t="s">
        <v>210</v>
      </c>
      <c r="F1996" s="8">
        <v>90.0</v>
      </c>
      <c r="G1996" s="9">
        <v>560.36</v>
      </c>
      <c r="H1996" s="9">
        <v>6423.4</v>
      </c>
      <c r="I1996" s="6" t="s">
        <v>178</v>
      </c>
      <c r="J1996" s="6" t="s">
        <v>465</v>
      </c>
      <c r="K1996" s="6" t="s">
        <v>13574</v>
      </c>
      <c r="L1996" s="6">
        <v>9.434730394E10</v>
      </c>
      <c r="M1996" s="6" t="s">
        <v>13575</v>
      </c>
      <c r="N1996" s="6" t="s">
        <v>112</v>
      </c>
      <c r="O1996" s="6" t="s">
        <v>161</v>
      </c>
      <c r="P1996" s="10">
        <v>45999.0</v>
      </c>
    </row>
    <row r="1997" ht="22.5" customHeight="1">
      <c r="A1997" s="6" t="s">
        <v>13576</v>
      </c>
      <c r="B1997" s="6" t="s">
        <v>13577</v>
      </c>
      <c r="C1997" s="6" t="s">
        <v>13578</v>
      </c>
      <c r="D1997" s="6" t="s">
        <v>383</v>
      </c>
      <c r="E1997" s="6" t="s">
        <v>301</v>
      </c>
      <c r="F1997" s="8">
        <v>39.0</v>
      </c>
      <c r="G1997" s="9">
        <v>1075.49</v>
      </c>
      <c r="H1997" s="9">
        <v>14065.12</v>
      </c>
      <c r="I1997" s="6" t="s">
        <v>161</v>
      </c>
      <c r="J1997" s="6" t="s">
        <v>442</v>
      </c>
      <c r="K1997" s="6" t="s">
        <v>13580</v>
      </c>
      <c r="L1997" s="6">
        <v>1.0363693518E10</v>
      </c>
      <c r="M1997" s="6" t="s">
        <v>13582</v>
      </c>
      <c r="N1997" s="6" t="s">
        <v>176</v>
      </c>
      <c r="O1997" s="6" t="s">
        <v>178</v>
      </c>
      <c r="P1997" s="10">
        <v>45996.0</v>
      </c>
    </row>
    <row r="1998" ht="22.5" customHeight="1">
      <c r="A1998" s="6" t="s">
        <v>13583</v>
      </c>
      <c r="B1998" s="6" t="s">
        <v>13584</v>
      </c>
      <c r="C1998" s="6" t="s">
        <v>13586</v>
      </c>
      <c r="D1998" s="6" t="s">
        <v>206</v>
      </c>
      <c r="E1998" s="6" t="s">
        <v>147</v>
      </c>
      <c r="F1998" s="8">
        <v>22.0</v>
      </c>
      <c r="G1998" s="9">
        <v>1108.04</v>
      </c>
      <c r="H1998" s="9">
        <v>7933.27</v>
      </c>
      <c r="I1998" s="6" t="s">
        <v>161</v>
      </c>
      <c r="J1998" s="6" t="s">
        <v>163</v>
      </c>
      <c r="K1998" s="6" t="s">
        <v>13587</v>
      </c>
      <c r="L1998" s="6">
        <v>3.1927262607E10</v>
      </c>
      <c r="M1998" s="6" t="s">
        <v>13588</v>
      </c>
      <c r="N1998" s="6" t="s">
        <v>176</v>
      </c>
      <c r="O1998" s="6" t="s">
        <v>178</v>
      </c>
      <c r="P1998" s="10">
        <v>46039.0</v>
      </c>
    </row>
    <row r="1999" ht="22.5" customHeight="1">
      <c r="A1999" s="6" t="s">
        <v>13590</v>
      </c>
      <c r="B1999" s="6" t="s">
        <v>13591</v>
      </c>
      <c r="C1999" s="6" t="s">
        <v>13592</v>
      </c>
      <c r="D1999" s="6" t="s">
        <v>383</v>
      </c>
      <c r="E1999" s="6" t="s">
        <v>210</v>
      </c>
      <c r="F1999" s="8">
        <v>86.0</v>
      </c>
      <c r="G1999" s="9">
        <v>1641.5</v>
      </c>
      <c r="H1999" s="9">
        <v>8638.11</v>
      </c>
      <c r="I1999" s="6" t="s">
        <v>161</v>
      </c>
      <c r="J1999" s="6" t="s">
        <v>1229</v>
      </c>
      <c r="K1999" s="6" t="s">
        <v>13594</v>
      </c>
      <c r="L1999" s="6">
        <v>1.344220546E10</v>
      </c>
      <c r="M1999" s="6" t="s">
        <v>13595</v>
      </c>
      <c r="N1999" s="6" t="s">
        <v>283</v>
      </c>
      <c r="O1999" s="6" t="s">
        <v>161</v>
      </c>
      <c r="P1999" s="10">
        <v>46016.0</v>
      </c>
    </row>
    <row r="2000" ht="22.5" customHeight="1">
      <c r="A2000" s="6" t="s">
        <v>13596</v>
      </c>
      <c r="B2000" s="6" t="s">
        <v>13597</v>
      </c>
      <c r="C2000" s="6" t="s">
        <v>13599</v>
      </c>
      <c r="D2000" s="6" t="s">
        <v>206</v>
      </c>
      <c r="E2000" s="6" t="s">
        <v>301</v>
      </c>
      <c r="F2000" s="8">
        <v>36.0</v>
      </c>
      <c r="G2000" s="9">
        <v>431.43</v>
      </c>
      <c r="H2000" s="9">
        <v>3593.48</v>
      </c>
      <c r="I2000" s="6" t="s">
        <v>161</v>
      </c>
      <c r="J2000" s="6" t="s">
        <v>577</v>
      </c>
      <c r="K2000" s="6" t="s">
        <v>13601</v>
      </c>
      <c r="L2000" s="6">
        <v>2.9956794585E10</v>
      </c>
      <c r="M2000" s="6" t="s">
        <v>13602</v>
      </c>
      <c r="N2000" s="6" t="s">
        <v>176</v>
      </c>
      <c r="O2000" s="6" t="s">
        <v>178</v>
      </c>
      <c r="P2000" s="10">
        <v>45974.0</v>
      </c>
    </row>
    <row r="2001" ht="22.5" customHeight="1">
      <c r="A2001" s="6" t="s">
        <v>13604</v>
      </c>
      <c r="B2001" s="6" t="s">
        <v>13605</v>
      </c>
      <c r="C2001" s="6" t="s">
        <v>13606</v>
      </c>
      <c r="D2001" s="6" t="s">
        <v>206</v>
      </c>
      <c r="E2001" s="6" t="s">
        <v>147</v>
      </c>
      <c r="F2001" s="8">
        <v>10.0</v>
      </c>
      <c r="G2001" s="9">
        <v>749.64</v>
      </c>
      <c r="H2001" s="9">
        <v>11551.6</v>
      </c>
      <c r="I2001" s="6" t="s">
        <v>161</v>
      </c>
      <c r="J2001" s="6" t="s">
        <v>465</v>
      </c>
      <c r="K2001" s="6" t="s">
        <v>13608</v>
      </c>
      <c r="L2001" s="6" t="s">
        <v>259</v>
      </c>
      <c r="M2001" s="6" t="s">
        <v>13610</v>
      </c>
      <c r="N2001" s="6" t="s">
        <v>427</v>
      </c>
      <c r="O2001" s="6" t="s">
        <v>178</v>
      </c>
      <c r="P2001" s="10">
        <v>46045.0</v>
      </c>
    </row>
    <row r="2002" ht="22.5" customHeight="1">
      <c r="A2002" s="6" t="s">
        <v>13612</v>
      </c>
      <c r="B2002" s="6" t="s">
        <v>13613</v>
      </c>
      <c r="C2002" s="6" t="s">
        <v>13614</v>
      </c>
      <c r="D2002" s="6" t="s">
        <v>383</v>
      </c>
      <c r="E2002" s="6" t="s">
        <v>147</v>
      </c>
      <c r="F2002" s="8">
        <v>23.0</v>
      </c>
      <c r="G2002" s="9">
        <v>1028.68</v>
      </c>
      <c r="H2002" s="9">
        <v>11129.39</v>
      </c>
      <c r="I2002" s="6" t="s">
        <v>161</v>
      </c>
      <c r="J2002" s="6" t="s">
        <v>357</v>
      </c>
      <c r="K2002" s="6" t="s">
        <v>13616</v>
      </c>
      <c r="L2002" s="6">
        <v>8.4399791627E10</v>
      </c>
      <c r="M2002" s="6" t="s">
        <v>13617</v>
      </c>
      <c r="N2002" s="6" t="s">
        <v>112</v>
      </c>
      <c r="O2002" s="6" t="s">
        <v>178</v>
      </c>
      <c r="P2002" s="10">
        <v>46015.0</v>
      </c>
    </row>
    <row r="2003" ht="22.5" customHeight="1">
      <c r="A2003" s="6" t="s">
        <v>13619</v>
      </c>
      <c r="B2003" s="6" t="s">
        <v>13620</v>
      </c>
      <c r="C2003" s="6" t="s">
        <v>13622</v>
      </c>
      <c r="D2003" s="6" t="s">
        <v>145</v>
      </c>
      <c r="E2003" s="6" t="s">
        <v>147</v>
      </c>
      <c r="F2003" s="8">
        <v>22.0</v>
      </c>
      <c r="G2003" s="9">
        <v>915.58</v>
      </c>
      <c r="H2003" s="9">
        <v>9047.23</v>
      </c>
      <c r="I2003" s="6" t="s">
        <v>161</v>
      </c>
      <c r="J2003" s="6" t="s">
        <v>163</v>
      </c>
      <c r="K2003" s="6" t="s">
        <v>13624</v>
      </c>
      <c r="L2003" s="6">
        <v>9.5141212978E10</v>
      </c>
      <c r="M2003" s="6" t="s">
        <v>13625</v>
      </c>
      <c r="N2003" s="6" t="s">
        <v>283</v>
      </c>
      <c r="O2003" s="6" t="s">
        <v>178</v>
      </c>
      <c r="P2003" s="10">
        <v>45976.0</v>
      </c>
    </row>
    <row r="2004" ht="22.5" customHeight="1">
      <c r="A2004" s="6" t="s">
        <v>13627</v>
      </c>
      <c r="B2004" s="6" t="s">
        <v>13628</v>
      </c>
      <c r="C2004" s="6" t="s">
        <v>13629</v>
      </c>
      <c r="D2004" s="6" t="s">
        <v>206</v>
      </c>
      <c r="E2004" s="6" t="s">
        <v>147</v>
      </c>
      <c r="F2004" s="8">
        <v>6.0</v>
      </c>
      <c r="G2004" s="9">
        <v>1293.92</v>
      </c>
      <c r="H2004" s="9">
        <v>4817.74</v>
      </c>
      <c r="I2004" s="6" t="s">
        <v>161</v>
      </c>
      <c r="J2004" s="6" t="s">
        <v>228</v>
      </c>
      <c r="K2004" s="6" t="s">
        <v>13631</v>
      </c>
      <c r="L2004" s="6">
        <v>7.2126240214E10</v>
      </c>
      <c r="M2004" s="6" t="s">
        <v>13632</v>
      </c>
      <c r="N2004" s="6" t="s">
        <v>283</v>
      </c>
      <c r="O2004" s="6" t="s">
        <v>178</v>
      </c>
      <c r="P2004" s="10">
        <v>46050.0</v>
      </c>
    </row>
    <row r="2005" ht="22.5" customHeight="1">
      <c r="A2005" s="6" t="s">
        <v>13634</v>
      </c>
      <c r="B2005" s="6" t="s">
        <v>13635</v>
      </c>
      <c r="C2005" s="6" t="s">
        <v>13636</v>
      </c>
      <c r="D2005" s="6" t="s">
        <v>145</v>
      </c>
      <c r="E2005" s="6" t="s">
        <v>301</v>
      </c>
      <c r="F2005" s="8">
        <v>59.0</v>
      </c>
      <c r="G2005" s="9">
        <v>1459.66</v>
      </c>
      <c r="H2005" s="9">
        <v>7090.31</v>
      </c>
      <c r="I2005" s="6" t="s">
        <v>161</v>
      </c>
      <c r="J2005" s="6" t="s">
        <v>163</v>
      </c>
      <c r="K2005" s="6" t="s">
        <v>13639</v>
      </c>
      <c r="L2005" s="6">
        <v>8.8975591816E10</v>
      </c>
      <c r="M2005" s="6" t="s">
        <v>13640</v>
      </c>
      <c r="N2005" s="6" t="s">
        <v>283</v>
      </c>
      <c r="O2005" s="6" t="s">
        <v>178</v>
      </c>
      <c r="P2005" s="10">
        <v>46015.0</v>
      </c>
    </row>
    <row r="2006" ht="22.5" customHeight="1">
      <c r="A2006" s="6" t="s">
        <v>13641</v>
      </c>
      <c r="B2006" s="6" t="s">
        <v>13643</v>
      </c>
      <c r="C2006" s="6" t="s">
        <v>13644</v>
      </c>
      <c r="D2006" s="6" t="s">
        <v>145</v>
      </c>
      <c r="E2006" s="6" t="s">
        <v>210</v>
      </c>
      <c r="F2006" s="8">
        <v>102.0</v>
      </c>
      <c r="G2006" s="9">
        <v>695.83</v>
      </c>
      <c r="H2006" s="9">
        <v>9668.97</v>
      </c>
      <c r="I2006" s="6" t="s">
        <v>178</v>
      </c>
      <c r="J2006" s="6" t="s">
        <v>577</v>
      </c>
      <c r="K2006" s="6" t="s">
        <v>13646</v>
      </c>
      <c r="L2006" s="6">
        <v>8.299605904E9</v>
      </c>
      <c r="M2006" s="6" t="s">
        <v>13647</v>
      </c>
      <c r="N2006" s="6" t="s">
        <v>112</v>
      </c>
      <c r="O2006" s="6" t="s">
        <v>161</v>
      </c>
      <c r="P2006" s="10">
        <v>46015.0</v>
      </c>
    </row>
    <row r="2007" ht="22.5" customHeight="1">
      <c r="A2007" s="6" t="s">
        <v>13648</v>
      </c>
      <c r="B2007" s="6" t="s">
        <v>13650</v>
      </c>
      <c r="C2007" s="6" t="s">
        <v>13651</v>
      </c>
      <c r="D2007" s="6" t="s">
        <v>145</v>
      </c>
      <c r="E2007" s="6" t="s">
        <v>301</v>
      </c>
      <c r="F2007" s="8">
        <v>55.0</v>
      </c>
      <c r="G2007" s="9">
        <v>591.06</v>
      </c>
      <c r="H2007" s="9">
        <v>14143.23</v>
      </c>
      <c r="I2007" s="6" t="s">
        <v>161</v>
      </c>
      <c r="J2007" s="6" t="s">
        <v>421</v>
      </c>
      <c r="K2007" s="6" t="s">
        <v>13652</v>
      </c>
      <c r="L2007" s="6">
        <v>1.2318805119E10</v>
      </c>
      <c r="M2007" s="6" t="s">
        <v>13654</v>
      </c>
      <c r="N2007" s="6" t="s">
        <v>283</v>
      </c>
      <c r="O2007" s="6" t="s">
        <v>178</v>
      </c>
      <c r="P2007" s="10">
        <v>45944.0</v>
      </c>
    </row>
    <row r="2008" ht="22.5" customHeight="1">
      <c r="A2008" s="6" t="s">
        <v>13655</v>
      </c>
      <c r="B2008" s="6" t="s">
        <v>13657</v>
      </c>
      <c r="C2008" s="6" t="s">
        <v>13658</v>
      </c>
      <c r="D2008" s="6" t="s">
        <v>145</v>
      </c>
      <c r="E2008" s="6" t="s">
        <v>147</v>
      </c>
      <c r="F2008" s="8">
        <v>8.0</v>
      </c>
      <c r="G2008" s="9">
        <v>316.85</v>
      </c>
      <c r="H2008" s="9">
        <v>13207.8</v>
      </c>
      <c r="I2008" s="6" t="s">
        <v>161</v>
      </c>
      <c r="J2008" s="6" t="s">
        <v>163</v>
      </c>
      <c r="K2008" s="6" t="s">
        <v>13660</v>
      </c>
      <c r="L2008" s="6">
        <v>5.7903554154E10</v>
      </c>
      <c r="M2008" s="6" t="s">
        <v>13661</v>
      </c>
      <c r="N2008" s="6" t="s">
        <v>259</v>
      </c>
      <c r="O2008" s="6" t="s">
        <v>178</v>
      </c>
      <c r="P2008" s="10">
        <v>46004.0</v>
      </c>
    </row>
    <row r="2009" ht="22.5" customHeight="1">
      <c r="A2009" s="6" t="s">
        <v>13663</v>
      </c>
      <c r="B2009" s="6" t="s">
        <v>13664</v>
      </c>
      <c r="C2009" s="6" t="s">
        <v>13665</v>
      </c>
      <c r="D2009" s="6" t="s">
        <v>206</v>
      </c>
      <c r="E2009" s="6" t="s">
        <v>301</v>
      </c>
      <c r="F2009" s="8">
        <v>33.0</v>
      </c>
      <c r="G2009" s="9">
        <v>1311.37</v>
      </c>
      <c r="H2009" s="9">
        <v>2009.87</v>
      </c>
      <c r="I2009" s="6" t="s">
        <v>161</v>
      </c>
      <c r="J2009" s="6" t="s">
        <v>163</v>
      </c>
      <c r="K2009" s="6" t="s">
        <v>13667</v>
      </c>
      <c r="L2009" s="6">
        <v>5.3904683529E10</v>
      </c>
      <c r="M2009" s="6" t="s">
        <v>13669</v>
      </c>
      <c r="N2009" s="6" t="s">
        <v>427</v>
      </c>
      <c r="O2009" s="6" t="s">
        <v>178</v>
      </c>
      <c r="P2009" s="10">
        <v>46015.0</v>
      </c>
    </row>
    <row r="2010" ht="22.5" customHeight="1">
      <c r="A2010" s="6" t="s">
        <v>13671</v>
      </c>
      <c r="B2010" s="6" t="s">
        <v>13672</v>
      </c>
      <c r="C2010" s="6" t="s">
        <v>13673</v>
      </c>
      <c r="D2010" s="6" t="s">
        <v>206</v>
      </c>
      <c r="E2010" s="6" t="s">
        <v>210</v>
      </c>
      <c r="F2010" s="8">
        <v>108.0</v>
      </c>
      <c r="G2010" s="9">
        <v>753.66</v>
      </c>
      <c r="H2010" s="9">
        <v>9924.62</v>
      </c>
      <c r="I2010" s="6" t="s">
        <v>161</v>
      </c>
      <c r="J2010" s="6" t="s">
        <v>312</v>
      </c>
      <c r="K2010" s="6" t="s">
        <v>13675</v>
      </c>
      <c r="L2010" s="6">
        <v>6.9815102019E10</v>
      </c>
      <c r="M2010" s="6" t="s">
        <v>13677</v>
      </c>
      <c r="N2010" s="6" t="s">
        <v>259</v>
      </c>
      <c r="O2010" s="6" t="s">
        <v>161</v>
      </c>
      <c r="P2010" s="10">
        <v>45975.0</v>
      </c>
    </row>
    <row r="2011" ht="22.5" customHeight="1">
      <c r="A2011" s="6" t="s">
        <v>13678</v>
      </c>
      <c r="B2011" s="6" t="s">
        <v>13680</v>
      </c>
      <c r="C2011" s="6" t="s">
        <v>13681</v>
      </c>
      <c r="D2011" s="6" t="s">
        <v>145</v>
      </c>
      <c r="E2011" s="6" t="s">
        <v>147</v>
      </c>
      <c r="F2011" s="8">
        <v>13.0</v>
      </c>
      <c r="G2011" s="9">
        <v>784.64</v>
      </c>
      <c r="H2011" s="9">
        <v>13758.77</v>
      </c>
      <c r="I2011" s="6" t="s">
        <v>161</v>
      </c>
      <c r="J2011" s="6" t="s">
        <v>479</v>
      </c>
      <c r="K2011" s="6" t="s">
        <v>13683</v>
      </c>
      <c r="L2011" s="6">
        <v>1.6642515348E10</v>
      </c>
      <c r="M2011" s="6" t="s">
        <v>13684</v>
      </c>
      <c r="N2011" s="6" t="s">
        <v>112</v>
      </c>
      <c r="O2011" s="6" t="s">
        <v>178</v>
      </c>
      <c r="P2011" s="10">
        <v>45970.0</v>
      </c>
    </row>
    <row r="2012" ht="22.5" customHeight="1">
      <c r="A2012" s="6" t="s">
        <v>13686</v>
      </c>
      <c r="B2012" s="6" t="s">
        <v>13687</v>
      </c>
      <c r="C2012" s="6" t="s">
        <v>13688</v>
      </c>
      <c r="D2012" s="6" t="s">
        <v>206</v>
      </c>
      <c r="E2012" s="6" t="s">
        <v>147</v>
      </c>
      <c r="F2012" s="8">
        <v>27.0</v>
      </c>
      <c r="G2012" s="9">
        <v>1282.48</v>
      </c>
      <c r="H2012" s="9">
        <v>12566.35</v>
      </c>
      <c r="I2012" s="6" t="s">
        <v>161</v>
      </c>
      <c r="J2012" s="6" t="s">
        <v>163</v>
      </c>
      <c r="K2012" s="6" t="s">
        <v>13690</v>
      </c>
      <c r="L2012" s="6">
        <v>6.076337068E10</v>
      </c>
      <c r="M2012" s="6" t="s">
        <v>13691</v>
      </c>
      <c r="N2012" s="6" t="s">
        <v>112</v>
      </c>
      <c r="O2012" s="6" t="s">
        <v>178</v>
      </c>
      <c r="P2012" s="10">
        <v>45991.0</v>
      </c>
    </row>
    <row r="2013" ht="22.5" customHeight="1">
      <c r="A2013" s="6" t="s">
        <v>13692</v>
      </c>
      <c r="B2013" s="6" t="s">
        <v>13694</v>
      </c>
      <c r="C2013" s="6" t="s">
        <v>13695</v>
      </c>
      <c r="D2013" s="6" t="s">
        <v>206</v>
      </c>
      <c r="E2013" s="6" t="s">
        <v>147</v>
      </c>
      <c r="F2013" s="8">
        <v>5.0</v>
      </c>
      <c r="G2013" s="9">
        <v>1489.69</v>
      </c>
      <c r="H2013" s="9">
        <v>14908.78</v>
      </c>
      <c r="I2013" s="6" t="s">
        <v>161</v>
      </c>
      <c r="J2013" s="6" t="s">
        <v>479</v>
      </c>
      <c r="K2013" s="6" t="s">
        <v>13696</v>
      </c>
      <c r="L2013" s="6">
        <v>9.926792446E9</v>
      </c>
      <c r="M2013" s="6" t="s">
        <v>13697</v>
      </c>
      <c r="N2013" s="6" t="s">
        <v>427</v>
      </c>
      <c r="O2013" s="6" t="s">
        <v>178</v>
      </c>
      <c r="P2013" s="10">
        <v>46038.0</v>
      </c>
    </row>
    <row r="2014" ht="22.5" customHeight="1">
      <c r="A2014" s="6" t="s">
        <v>13699</v>
      </c>
      <c r="B2014" s="6" t="s">
        <v>13700</v>
      </c>
      <c r="C2014" s="6" t="s">
        <v>13701</v>
      </c>
      <c r="D2014" s="6" t="s">
        <v>383</v>
      </c>
      <c r="E2014" s="6" t="s">
        <v>147</v>
      </c>
      <c r="F2014" s="8">
        <v>28.0</v>
      </c>
      <c r="G2014" s="9">
        <v>1767.1</v>
      </c>
      <c r="H2014" s="9">
        <v>12449.51</v>
      </c>
      <c r="I2014" s="6" t="s">
        <v>161</v>
      </c>
      <c r="J2014" s="6" t="s">
        <v>465</v>
      </c>
      <c r="K2014" s="6" t="s">
        <v>13703</v>
      </c>
      <c r="L2014" s="6">
        <v>3.3052701078E10</v>
      </c>
      <c r="M2014" s="6" t="s">
        <v>13704</v>
      </c>
      <c r="N2014" s="6" t="s">
        <v>259</v>
      </c>
      <c r="O2014" s="6" t="s">
        <v>178</v>
      </c>
      <c r="P2014" s="10">
        <v>46001.0</v>
      </c>
    </row>
    <row r="2015" ht="22.5" customHeight="1">
      <c r="A2015" s="6" t="s">
        <v>13705</v>
      </c>
      <c r="B2015" s="6" t="s">
        <v>13706</v>
      </c>
      <c r="C2015" s="6" t="s">
        <v>13707</v>
      </c>
      <c r="D2015" s="6" t="s">
        <v>145</v>
      </c>
      <c r="E2015" s="6" t="s">
        <v>147</v>
      </c>
      <c r="F2015" s="8">
        <v>23.0</v>
      </c>
      <c r="G2015" s="9">
        <v>617.63</v>
      </c>
      <c r="H2015" s="9">
        <v>12692.03</v>
      </c>
      <c r="I2015" s="6" t="s">
        <v>161</v>
      </c>
      <c r="J2015" s="6" t="s">
        <v>163</v>
      </c>
      <c r="K2015" s="6" t="s">
        <v>13709</v>
      </c>
      <c r="L2015" s="6">
        <v>4.1594517146E10</v>
      </c>
      <c r="M2015" s="6" t="s">
        <v>13710</v>
      </c>
      <c r="N2015" s="6" t="s">
        <v>112</v>
      </c>
      <c r="O2015" s="6" t="s">
        <v>178</v>
      </c>
      <c r="P2015" s="10">
        <v>45932.0</v>
      </c>
    </row>
    <row r="2016" ht="22.5" customHeight="1">
      <c r="A2016" s="6" t="s">
        <v>13711</v>
      </c>
      <c r="B2016" s="6" t="s">
        <v>13713</v>
      </c>
      <c r="C2016" s="6" t="s">
        <v>13714</v>
      </c>
      <c r="D2016" s="6" t="s">
        <v>145</v>
      </c>
      <c r="E2016" s="6" t="s">
        <v>210</v>
      </c>
      <c r="F2016" s="8">
        <v>99.0</v>
      </c>
      <c r="G2016" s="9">
        <v>1325.08</v>
      </c>
      <c r="H2016" s="9">
        <v>11473.29</v>
      </c>
      <c r="I2016" s="6" t="s">
        <v>178</v>
      </c>
      <c r="J2016" s="6" t="s">
        <v>421</v>
      </c>
      <c r="K2016" s="6" t="s">
        <v>13715</v>
      </c>
      <c r="L2016" s="6">
        <v>4.8311122424E10</v>
      </c>
      <c r="M2016" s="6" t="s">
        <v>13716</v>
      </c>
      <c r="N2016" s="6" t="s">
        <v>259</v>
      </c>
      <c r="O2016" s="6" t="s">
        <v>161</v>
      </c>
      <c r="P2016" s="10">
        <v>45934.0</v>
      </c>
    </row>
    <row r="2017" ht="22.5" customHeight="1">
      <c r="A2017" s="6" t="s">
        <v>13718</v>
      </c>
      <c r="B2017" s="6" t="s">
        <v>13719</v>
      </c>
      <c r="C2017" s="6" t="s">
        <v>13720</v>
      </c>
      <c r="D2017" s="6" t="s">
        <v>206</v>
      </c>
      <c r="E2017" s="6" t="s">
        <v>147</v>
      </c>
      <c r="F2017" s="8">
        <v>19.0</v>
      </c>
      <c r="G2017" s="9">
        <v>384.53</v>
      </c>
      <c r="H2017" s="9">
        <v>6316.06</v>
      </c>
      <c r="I2017" s="6" t="s">
        <v>161</v>
      </c>
      <c r="J2017" s="6" t="s">
        <v>228</v>
      </c>
      <c r="K2017" s="6" t="s">
        <v>13721</v>
      </c>
      <c r="L2017" s="6">
        <v>6.5561818659E10</v>
      </c>
      <c r="M2017" s="6" t="s">
        <v>13722</v>
      </c>
      <c r="N2017" s="6" t="s">
        <v>427</v>
      </c>
      <c r="O2017" s="6" t="s">
        <v>178</v>
      </c>
      <c r="P2017" s="10">
        <v>46029.0</v>
      </c>
    </row>
    <row r="2018" ht="22.5" customHeight="1">
      <c r="A2018" s="6" t="s">
        <v>13724</v>
      </c>
      <c r="B2018" s="6" t="s">
        <v>13725</v>
      </c>
      <c r="C2018" s="6" t="s">
        <v>13726</v>
      </c>
      <c r="D2018" s="6" t="s">
        <v>145</v>
      </c>
      <c r="E2018" s="6" t="s">
        <v>210</v>
      </c>
      <c r="F2018" s="8">
        <v>110.0</v>
      </c>
      <c r="G2018" s="9">
        <v>156.82</v>
      </c>
      <c r="H2018" s="9">
        <v>12315.98</v>
      </c>
      <c r="I2018" s="6" t="s">
        <v>178</v>
      </c>
      <c r="J2018" s="6" t="s">
        <v>163</v>
      </c>
      <c r="K2018" s="6" t="s">
        <v>13728</v>
      </c>
      <c r="L2018" s="6">
        <v>3.6074414955E10</v>
      </c>
      <c r="M2018" s="6" t="s">
        <v>13729</v>
      </c>
      <c r="N2018" s="6" t="s">
        <v>259</v>
      </c>
      <c r="O2018" s="6" t="s">
        <v>161</v>
      </c>
      <c r="P2018" s="10">
        <v>45976.0</v>
      </c>
    </row>
    <row r="2019" ht="22.5" customHeight="1">
      <c r="A2019" s="6" t="s">
        <v>13730</v>
      </c>
      <c r="B2019" s="6" t="s">
        <v>13731</v>
      </c>
      <c r="C2019" s="6" t="s">
        <v>13733</v>
      </c>
      <c r="D2019" s="6" t="s">
        <v>145</v>
      </c>
      <c r="E2019" s="6" t="s">
        <v>210</v>
      </c>
      <c r="F2019" s="8">
        <v>83.0</v>
      </c>
      <c r="G2019" s="9">
        <v>906.06</v>
      </c>
      <c r="H2019" s="9">
        <v>11344.44</v>
      </c>
      <c r="I2019" s="6" t="s">
        <v>161</v>
      </c>
      <c r="J2019" s="6" t="s">
        <v>228</v>
      </c>
      <c r="K2019" s="6" t="s">
        <v>13734</v>
      </c>
      <c r="L2019" s="6">
        <v>5.3260264368E10</v>
      </c>
      <c r="M2019" s="6" t="s">
        <v>13735</v>
      </c>
      <c r="N2019" s="6" t="s">
        <v>427</v>
      </c>
      <c r="O2019" s="6" t="s">
        <v>161</v>
      </c>
      <c r="P2019" s="10">
        <v>45937.0</v>
      </c>
    </row>
    <row r="2020" ht="22.5" customHeight="1">
      <c r="A2020" s="6" t="s">
        <v>13737</v>
      </c>
      <c r="B2020" s="6" t="s">
        <v>13738</v>
      </c>
      <c r="C2020" s="6" t="s">
        <v>13739</v>
      </c>
      <c r="D2020" s="6" t="s">
        <v>145</v>
      </c>
      <c r="E2020" s="6" t="s">
        <v>210</v>
      </c>
      <c r="F2020" s="8">
        <v>83.0</v>
      </c>
      <c r="G2020" s="9">
        <v>839.69</v>
      </c>
      <c r="H2020" s="9">
        <v>5287.87</v>
      </c>
      <c r="I2020" s="6" t="s">
        <v>178</v>
      </c>
      <c r="J2020" s="6" t="s">
        <v>577</v>
      </c>
      <c r="K2020" s="6" t="s">
        <v>13741</v>
      </c>
      <c r="L2020" s="6">
        <v>5.334113702E10</v>
      </c>
      <c r="M2020" s="6" t="s">
        <v>13742</v>
      </c>
      <c r="N2020" s="6" t="s">
        <v>176</v>
      </c>
      <c r="O2020" s="6" t="s">
        <v>161</v>
      </c>
      <c r="P2020" s="10">
        <v>45992.0</v>
      </c>
    </row>
    <row r="2021" ht="22.5" customHeight="1">
      <c r="A2021" s="6" t="s">
        <v>13743</v>
      </c>
      <c r="B2021" s="6" t="s">
        <v>13744</v>
      </c>
      <c r="C2021" s="6" t="s">
        <v>13745</v>
      </c>
      <c r="D2021" s="6" t="s">
        <v>145</v>
      </c>
      <c r="E2021" s="6" t="s">
        <v>147</v>
      </c>
      <c r="F2021" s="8">
        <v>12.0</v>
      </c>
      <c r="G2021" s="9">
        <v>926.22</v>
      </c>
      <c r="H2021" s="9">
        <v>8980.16</v>
      </c>
      <c r="I2021" s="6" t="s">
        <v>161</v>
      </c>
      <c r="J2021" s="6" t="s">
        <v>228</v>
      </c>
      <c r="K2021" s="6" t="s">
        <v>259</v>
      </c>
      <c r="L2021" s="6">
        <v>1.4779879918E10</v>
      </c>
      <c r="M2021" s="6" t="s">
        <v>13747</v>
      </c>
      <c r="N2021" s="6" t="s">
        <v>283</v>
      </c>
      <c r="O2021" s="6" t="s">
        <v>178</v>
      </c>
      <c r="P2021" s="10">
        <v>45932.0</v>
      </c>
    </row>
    <row r="2022" ht="22.5" customHeight="1">
      <c r="A2022" s="6" t="s">
        <v>13749</v>
      </c>
      <c r="B2022" s="6" t="s">
        <v>13750</v>
      </c>
      <c r="C2022" s="6" t="s">
        <v>13751</v>
      </c>
      <c r="D2022" s="6" t="s">
        <v>145</v>
      </c>
      <c r="E2022" s="6" t="s">
        <v>301</v>
      </c>
      <c r="F2022" s="8">
        <v>44.0</v>
      </c>
      <c r="G2022" s="9">
        <v>453.8</v>
      </c>
      <c r="H2022" s="9">
        <v>14119.53</v>
      </c>
      <c r="I2022" s="6" t="s">
        <v>161</v>
      </c>
      <c r="J2022" s="6" t="s">
        <v>228</v>
      </c>
      <c r="K2022" s="6" t="s">
        <v>13753</v>
      </c>
      <c r="L2022" s="6">
        <v>7.7654698005E10</v>
      </c>
      <c r="M2022" s="6" t="s">
        <v>13754</v>
      </c>
      <c r="N2022" s="6" t="s">
        <v>283</v>
      </c>
      <c r="O2022" s="6" t="s">
        <v>178</v>
      </c>
      <c r="P2022" s="10">
        <v>45946.0</v>
      </c>
    </row>
    <row r="2023" ht="22.5" customHeight="1">
      <c r="A2023" s="6" t="s">
        <v>13755</v>
      </c>
      <c r="B2023" s="6" t="s">
        <v>13756</v>
      </c>
      <c r="C2023" s="6" t="s">
        <v>13757</v>
      </c>
      <c r="D2023" s="6" t="s">
        <v>145</v>
      </c>
      <c r="E2023" s="6" t="s">
        <v>301</v>
      </c>
      <c r="F2023" s="8">
        <v>53.0</v>
      </c>
      <c r="G2023" s="9">
        <v>1776.34</v>
      </c>
      <c r="H2023" s="9">
        <v>4074.69</v>
      </c>
      <c r="I2023" s="6" t="s">
        <v>161</v>
      </c>
      <c r="J2023" s="6" t="s">
        <v>312</v>
      </c>
      <c r="K2023" s="6" t="s">
        <v>13759</v>
      </c>
      <c r="L2023" s="6">
        <v>6.3926719553E10</v>
      </c>
      <c r="M2023" s="6" t="s">
        <v>13760</v>
      </c>
      <c r="N2023" s="6" t="s">
        <v>176</v>
      </c>
      <c r="O2023" s="6" t="s">
        <v>178</v>
      </c>
      <c r="P2023" s="10">
        <v>45942.0</v>
      </c>
    </row>
    <row r="2024" ht="22.5" customHeight="1">
      <c r="A2024" s="6" t="s">
        <v>13761</v>
      </c>
      <c r="B2024" s="6" t="s">
        <v>13763</v>
      </c>
      <c r="C2024" s="6" t="s">
        <v>13764</v>
      </c>
      <c r="D2024" s="6" t="s">
        <v>145</v>
      </c>
      <c r="E2024" s="6" t="s">
        <v>147</v>
      </c>
      <c r="F2024" s="8">
        <v>5.0</v>
      </c>
      <c r="G2024" s="9">
        <v>933.36</v>
      </c>
      <c r="H2024" s="9">
        <v>10469.46</v>
      </c>
      <c r="I2024" s="6" t="s">
        <v>161</v>
      </c>
      <c r="J2024" s="6" t="s">
        <v>442</v>
      </c>
      <c r="K2024" s="6" t="s">
        <v>13765</v>
      </c>
      <c r="L2024" s="6">
        <v>8.342115704E10</v>
      </c>
      <c r="M2024" s="6" t="s">
        <v>13766</v>
      </c>
      <c r="N2024" s="6" t="s">
        <v>176</v>
      </c>
      <c r="O2024" s="6" t="s">
        <v>178</v>
      </c>
      <c r="P2024" s="10">
        <v>45963.0</v>
      </c>
    </row>
    <row r="2025" ht="22.5" customHeight="1">
      <c r="A2025" s="6" t="s">
        <v>13768</v>
      </c>
      <c r="B2025" s="6" t="s">
        <v>13769</v>
      </c>
      <c r="C2025" s="6" t="s">
        <v>13770</v>
      </c>
      <c r="D2025" s="6" t="s">
        <v>145</v>
      </c>
      <c r="E2025" s="6" t="s">
        <v>301</v>
      </c>
      <c r="F2025" s="8">
        <v>51.0</v>
      </c>
      <c r="G2025" s="9">
        <v>679.37</v>
      </c>
      <c r="H2025" s="9">
        <v>1449.39</v>
      </c>
      <c r="I2025" s="6" t="s">
        <v>161</v>
      </c>
      <c r="J2025" s="6" t="s">
        <v>479</v>
      </c>
      <c r="K2025" s="6" t="s">
        <v>13772</v>
      </c>
      <c r="L2025" s="6">
        <v>8.8503290073E10</v>
      </c>
      <c r="M2025" s="6" t="s">
        <v>13773</v>
      </c>
      <c r="N2025" s="6" t="s">
        <v>283</v>
      </c>
      <c r="O2025" s="6" t="s">
        <v>178</v>
      </c>
      <c r="P2025" s="10">
        <v>46044.0</v>
      </c>
    </row>
    <row r="2026" ht="22.5" customHeight="1">
      <c r="A2026" s="6" t="s">
        <v>13774</v>
      </c>
      <c r="B2026" s="6" t="s">
        <v>13775</v>
      </c>
      <c r="C2026" s="6" t="s">
        <v>13776</v>
      </c>
      <c r="D2026" s="6" t="s">
        <v>145</v>
      </c>
      <c r="E2026" s="6" t="s">
        <v>210</v>
      </c>
      <c r="F2026" s="8">
        <v>94.0</v>
      </c>
      <c r="G2026" s="9">
        <v>1791.3</v>
      </c>
      <c r="H2026" s="9">
        <v>9280.7</v>
      </c>
      <c r="I2026" s="6" t="s">
        <v>161</v>
      </c>
      <c r="J2026" s="6" t="s">
        <v>421</v>
      </c>
      <c r="K2026" s="6" t="s">
        <v>13778</v>
      </c>
      <c r="L2026" s="6">
        <v>8.7196201881E10</v>
      </c>
      <c r="M2026" s="6" t="s">
        <v>13779</v>
      </c>
      <c r="N2026" s="6" t="s">
        <v>427</v>
      </c>
      <c r="O2026" s="6" t="s">
        <v>161</v>
      </c>
      <c r="P2026" s="10">
        <v>45943.0</v>
      </c>
    </row>
    <row r="2027" ht="22.5" customHeight="1">
      <c r="A2027" s="6" t="s">
        <v>13781</v>
      </c>
      <c r="B2027" s="6" t="s">
        <v>13782</v>
      </c>
      <c r="C2027" s="6" t="s">
        <v>13783</v>
      </c>
      <c r="D2027" s="6" t="s">
        <v>383</v>
      </c>
      <c r="E2027" s="6" t="s">
        <v>147</v>
      </c>
      <c r="F2027" s="8">
        <v>6.0</v>
      </c>
      <c r="G2027" s="9">
        <v>408.17</v>
      </c>
      <c r="H2027" s="9">
        <v>11285.11</v>
      </c>
      <c r="I2027" s="6" t="s">
        <v>161</v>
      </c>
      <c r="J2027" s="6" t="s">
        <v>479</v>
      </c>
      <c r="K2027" s="6" t="s">
        <v>13784</v>
      </c>
      <c r="L2027" s="6">
        <v>5.3503670488E10</v>
      </c>
      <c r="M2027" s="6" t="s">
        <v>13785</v>
      </c>
      <c r="N2027" s="6" t="s">
        <v>176</v>
      </c>
      <c r="O2027" s="6" t="s">
        <v>178</v>
      </c>
      <c r="P2027" s="10">
        <v>46000.0</v>
      </c>
    </row>
    <row r="2028" ht="22.5" customHeight="1">
      <c r="A2028" s="6" t="s">
        <v>13787</v>
      </c>
      <c r="B2028" s="6" t="s">
        <v>13788</v>
      </c>
      <c r="C2028" s="6" t="s">
        <v>13789</v>
      </c>
      <c r="D2028" s="6" t="s">
        <v>383</v>
      </c>
      <c r="E2028" s="6" t="s">
        <v>147</v>
      </c>
      <c r="F2028" s="8">
        <v>5.0</v>
      </c>
      <c r="G2028" s="9">
        <v>1606.57</v>
      </c>
      <c r="H2028" s="9">
        <v>10736.97</v>
      </c>
      <c r="I2028" s="6" t="s">
        <v>161</v>
      </c>
      <c r="J2028" s="6" t="s">
        <v>357</v>
      </c>
      <c r="K2028" s="6" t="s">
        <v>13791</v>
      </c>
      <c r="L2028" s="6">
        <v>9.412223547E9</v>
      </c>
      <c r="M2028" s="6" t="s">
        <v>13792</v>
      </c>
      <c r="N2028" s="6" t="s">
        <v>259</v>
      </c>
      <c r="O2028" s="6" t="s">
        <v>178</v>
      </c>
      <c r="P2028" s="10">
        <v>45941.0</v>
      </c>
    </row>
    <row r="2029" ht="22.5" customHeight="1">
      <c r="A2029" s="6" t="s">
        <v>13794</v>
      </c>
      <c r="B2029" s="6" t="s">
        <v>13795</v>
      </c>
      <c r="C2029" s="6" t="s">
        <v>13796</v>
      </c>
      <c r="D2029" s="6" t="s">
        <v>145</v>
      </c>
      <c r="E2029" s="6" t="s">
        <v>301</v>
      </c>
      <c r="F2029" s="8">
        <v>55.0</v>
      </c>
      <c r="G2029" s="9">
        <v>891.36</v>
      </c>
      <c r="H2029" s="9">
        <v>10824.93</v>
      </c>
      <c r="I2029" s="6" t="s">
        <v>161</v>
      </c>
      <c r="J2029" s="6" t="s">
        <v>465</v>
      </c>
      <c r="K2029" s="6" t="s">
        <v>13797</v>
      </c>
      <c r="L2029" s="6">
        <v>1.1202527072E10</v>
      </c>
      <c r="M2029" s="6" t="s">
        <v>13799</v>
      </c>
      <c r="N2029" s="6" t="s">
        <v>427</v>
      </c>
      <c r="O2029" s="6" t="s">
        <v>178</v>
      </c>
      <c r="P2029" s="10">
        <v>46013.0</v>
      </c>
    </row>
    <row r="2030" ht="22.5" customHeight="1">
      <c r="A2030" s="6" t="s">
        <v>13800</v>
      </c>
      <c r="B2030" s="6" t="s">
        <v>13801</v>
      </c>
      <c r="C2030" s="6" t="s">
        <v>13802</v>
      </c>
      <c r="D2030" s="6" t="s">
        <v>206</v>
      </c>
      <c r="E2030" s="6" t="s">
        <v>301</v>
      </c>
      <c r="F2030" s="8">
        <v>51.0</v>
      </c>
      <c r="G2030" s="9">
        <v>1509.44</v>
      </c>
      <c r="H2030" s="9">
        <v>8183.16</v>
      </c>
      <c r="I2030" s="6" t="s">
        <v>161</v>
      </c>
      <c r="J2030" s="6" t="s">
        <v>357</v>
      </c>
      <c r="K2030" s="6" t="s">
        <v>13804</v>
      </c>
      <c r="L2030" s="6">
        <v>6.9024997592E10</v>
      </c>
      <c r="M2030" s="6" t="s">
        <v>13805</v>
      </c>
      <c r="N2030" s="6" t="s">
        <v>283</v>
      </c>
      <c r="O2030" s="6" t="s">
        <v>178</v>
      </c>
      <c r="P2030" s="10">
        <v>45967.0</v>
      </c>
    </row>
    <row r="2031" ht="22.5" customHeight="1">
      <c r="A2031" s="6" t="s">
        <v>13806</v>
      </c>
      <c r="B2031" s="6" t="s">
        <v>13807</v>
      </c>
      <c r="C2031" s="6" t="s">
        <v>13808</v>
      </c>
      <c r="D2031" s="6" t="s">
        <v>145</v>
      </c>
      <c r="E2031" s="6" t="s">
        <v>301</v>
      </c>
      <c r="F2031" s="8">
        <v>47.0</v>
      </c>
      <c r="G2031" s="9">
        <v>378.85</v>
      </c>
      <c r="H2031" s="9">
        <v>6770.4</v>
      </c>
      <c r="I2031" s="6" t="s">
        <v>161</v>
      </c>
      <c r="J2031" s="6" t="s">
        <v>163</v>
      </c>
      <c r="K2031" s="6" t="s">
        <v>259</v>
      </c>
      <c r="L2031" s="6">
        <v>9.3691162301E10</v>
      </c>
      <c r="M2031" s="6" t="s">
        <v>13811</v>
      </c>
      <c r="N2031" s="6" t="s">
        <v>112</v>
      </c>
      <c r="O2031" s="6" t="s">
        <v>178</v>
      </c>
      <c r="P2031" s="10">
        <v>45980.0</v>
      </c>
    </row>
    <row r="2032" ht="22.5" customHeight="1">
      <c r="A2032" s="6" t="s">
        <v>13812</v>
      </c>
      <c r="B2032" s="6" t="s">
        <v>13814</v>
      </c>
      <c r="C2032" s="6" t="s">
        <v>13815</v>
      </c>
      <c r="D2032" s="6" t="s">
        <v>383</v>
      </c>
      <c r="E2032" s="6" t="s">
        <v>301</v>
      </c>
      <c r="F2032" s="8">
        <v>56.0</v>
      </c>
      <c r="G2032" s="9">
        <v>804.23</v>
      </c>
      <c r="H2032" s="9">
        <v>14067.92</v>
      </c>
      <c r="I2032" s="6" t="s">
        <v>161</v>
      </c>
      <c r="J2032" s="6" t="s">
        <v>357</v>
      </c>
      <c r="K2032" s="6" t="s">
        <v>13817</v>
      </c>
      <c r="L2032" s="6">
        <v>1.2265561925E10</v>
      </c>
      <c r="M2032" s="6" t="s">
        <v>13818</v>
      </c>
      <c r="N2032" s="6" t="s">
        <v>283</v>
      </c>
      <c r="O2032" s="6" t="s">
        <v>178</v>
      </c>
      <c r="P2032" s="10">
        <v>45960.0</v>
      </c>
    </row>
    <row r="2033" ht="22.5" customHeight="1">
      <c r="A2033" s="6" t="s">
        <v>13820</v>
      </c>
      <c r="B2033" s="6" t="s">
        <v>13821</v>
      </c>
      <c r="C2033" s="6" t="s">
        <v>13822</v>
      </c>
      <c r="D2033" s="6" t="s">
        <v>145</v>
      </c>
      <c r="E2033" s="6" t="s">
        <v>210</v>
      </c>
      <c r="F2033" s="8">
        <v>74.0</v>
      </c>
      <c r="G2033" s="9">
        <v>1245.45</v>
      </c>
      <c r="H2033" s="9">
        <v>6471.47</v>
      </c>
      <c r="I2033" s="6" t="s">
        <v>161</v>
      </c>
      <c r="J2033" s="6" t="s">
        <v>442</v>
      </c>
      <c r="K2033" s="6" t="s">
        <v>13823</v>
      </c>
      <c r="L2033" s="6">
        <v>8.9156698755E10</v>
      </c>
      <c r="M2033" s="6" t="s">
        <v>13824</v>
      </c>
      <c r="N2033" s="6" t="s">
        <v>259</v>
      </c>
      <c r="O2033" s="6" t="s">
        <v>161</v>
      </c>
      <c r="P2033" s="10">
        <v>45977.0</v>
      </c>
    </row>
    <row r="2034" ht="22.5" customHeight="1">
      <c r="A2034" s="6" t="s">
        <v>13826</v>
      </c>
      <c r="B2034" s="6" t="s">
        <v>13827</v>
      </c>
      <c r="C2034" s="6" t="s">
        <v>13828</v>
      </c>
      <c r="D2034" s="6" t="s">
        <v>383</v>
      </c>
      <c r="E2034" s="6" t="s">
        <v>147</v>
      </c>
      <c r="F2034" s="8">
        <v>14.0</v>
      </c>
      <c r="G2034" s="9">
        <v>400.11</v>
      </c>
      <c r="H2034" s="9">
        <v>11428.65</v>
      </c>
      <c r="I2034" s="6" t="s">
        <v>161</v>
      </c>
      <c r="J2034" s="6" t="s">
        <v>442</v>
      </c>
      <c r="K2034" s="6" t="s">
        <v>13830</v>
      </c>
      <c r="L2034" s="6">
        <v>5.210748598E10</v>
      </c>
      <c r="M2034" s="6" t="s">
        <v>13831</v>
      </c>
      <c r="N2034" s="6" t="s">
        <v>112</v>
      </c>
      <c r="O2034" s="6" t="s">
        <v>178</v>
      </c>
      <c r="P2034" s="10">
        <v>46027.0</v>
      </c>
    </row>
    <row r="2035" ht="22.5" customHeight="1">
      <c r="A2035" s="6" t="s">
        <v>13832</v>
      </c>
      <c r="B2035" s="6" t="s">
        <v>13833</v>
      </c>
      <c r="C2035" s="6" t="s">
        <v>13834</v>
      </c>
      <c r="D2035" s="6" t="s">
        <v>206</v>
      </c>
      <c r="E2035" s="6" t="s">
        <v>147</v>
      </c>
      <c r="F2035" s="8">
        <v>12.0</v>
      </c>
      <c r="G2035" s="9">
        <v>1171.94</v>
      </c>
      <c r="H2035" s="9">
        <v>2230.41</v>
      </c>
      <c r="I2035" s="6" t="s">
        <v>161</v>
      </c>
      <c r="J2035" s="6" t="s">
        <v>228</v>
      </c>
      <c r="K2035" s="6" t="s">
        <v>13836</v>
      </c>
      <c r="L2035" s="6">
        <v>5.9658347673E10</v>
      </c>
      <c r="M2035" s="6" t="s">
        <v>13837</v>
      </c>
      <c r="N2035" s="6" t="s">
        <v>112</v>
      </c>
      <c r="O2035" s="6" t="s">
        <v>178</v>
      </c>
      <c r="P2035" s="10">
        <v>45932.0</v>
      </c>
    </row>
    <row r="2036" ht="22.5" customHeight="1">
      <c r="A2036" s="6" t="s">
        <v>13839</v>
      </c>
      <c r="B2036" s="6" t="s">
        <v>13840</v>
      </c>
      <c r="C2036" s="6" t="s">
        <v>13841</v>
      </c>
      <c r="D2036" s="6" t="s">
        <v>206</v>
      </c>
      <c r="E2036" s="6" t="s">
        <v>301</v>
      </c>
      <c r="F2036" s="8">
        <v>47.0</v>
      </c>
      <c r="G2036" s="9">
        <v>1024.02</v>
      </c>
      <c r="H2036" s="9">
        <v>8601.81</v>
      </c>
      <c r="I2036" s="6" t="s">
        <v>178</v>
      </c>
      <c r="J2036" s="6" t="s">
        <v>465</v>
      </c>
      <c r="K2036" s="6" t="s">
        <v>13843</v>
      </c>
      <c r="L2036" s="6" t="s">
        <v>259</v>
      </c>
      <c r="M2036" s="6" t="s">
        <v>13844</v>
      </c>
      <c r="N2036" s="6" t="s">
        <v>427</v>
      </c>
      <c r="O2036" s="6" t="s">
        <v>161</v>
      </c>
      <c r="P2036" s="10">
        <v>45935.0</v>
      </c>
    </row>
    <row r="2037" ht="22.5" customHeight="1">
      <c r="A2037" s="6" t="s">
        <v>13846</v>
      </c>
      <c r="B2037" s="6" t="s">
        <v>13847</v>
      </c>
      <c r="C2037" s="6" t="s">
        <v>13848</v>
      </c>
      <c r="D2037" s="6" t="s">
        <v>206</v>
      </c>
      <c r="E2037" s="6" t="s">
        <v>210</v>
      </c>
      <c r="F2037" s="8">
        <v>73.0</v>
      </c>
      <c r="G2037" s="9">
        <v>562.48</v>
      </c>
      <c r="H2037" s="9">
        <v>8309.5</v>
      </c>
      <c r="I2037" s="6" t="s">
        <v>178</v>
      </c>
      <c r="J2037" s="6" t="s">
        <v>393</v>
      </c>
      <c r="K2037" s="6" t="s">
        <v>13849</v>
      </c>
      <c r="L2037" s="6">
        <v>5.648453928E10</v>
      </c>
      <c r="M2037" s="6" t="s">
        <v>13851</v>
      </c>
      <c r="N2037" s="6" t="s">
        <v>112</v>
      </c>
      <c r="O2037" s="6" t="s">
        <v>161</v>
      </c>
      <c r="P2037" s="10">
        <v>45935.0</v>
      </c>
    </row>
    <row r="2038" ht="22.5" customHeight="1">
      <c r="A2038" s="6" t="s">
        <v>13852</v>
      </c>
      <c r="B2038" s="6" t="s">
        <v>13853</v>
      </c>
      <c r="C2038" s="6" t="s">
        <v>13854</v>
      </c>
      <c r="D2038" s="6" t="s">
        <v>206</v>
      </c>
      <c r="E2038" s="6" t="s">
        <v>147</v>
      </c>
      <c r="F2038" s="8">
        <v>24.0</v>
      </c>
      <c r="G2038" s="9">
        <v>754.62</v>
      </c>
      <c r="H2038" s="9">
        <v>4339.7</v>
      </c>
      <c r="I2038" s="6" t="s">
        <v>161</v>
      </c>
      <c r="J2038" s="6" t="s">
        <v>163</v>
      </c>
      <c r="K2038" s="6" t="s">
        <v>13856</v>
      </c>
      <c r="L2038" s="6">
        <v>4.9625498647E10</v>
      </c>
      <c r="M2038" s="6" t="s">
        <v>13857</v>
      </c>
      <c r="N2038" s="6" t="s">
        <v>176</v>
      </c>
      <c r="O2038" s="6" t="s">
        <v>178</v>
      </c>
      <c r="P2038" s="10">
        <v>45983.0</v>
      </c>
    </row>
    <row r="2039" ht="22.5" customHeight="1">
      <c r="A2039" s="6" t="s">
        <v>13858</v>
      </c>
      <c r="B2039" s="6" t="s">
        <v>13860</v>
      </c>
      <c r="C2039" s="6" t="s">
        <v>13861</v>
      </c>
      <c r="D2039" s="6" t="s">
        <v>206</v>
      </c>
      <c r="E2039" s="6" t="s">
        <v>147</v>
      </c>
      <c r="F2039" s="8">
        <v>25.0</v>
      </c>
      <c r="G2039" s="9">
        <v>1781.58</v>
      </c>
      <c r="H2039" s="9">
        <v>5406.94</v>
      </c>
      <c r="I2039" s="6" t="s">
        <v>161</v>
      </c>
      <c r="J2039" s="6" t="s">
        <v>357</v>
      </c>
      <c r="K2039" s="6" t="s">
        <v>13862</v>
      </c>
      <c r="L2039" s="6">
        <v>7.952377938E9</v>
      </c>
      <c r="M2039" s="6" t="s">
        <v>13863</v>
      </c>
      <c r="N2039" s="6" t="s">
        <v>283</v>
      </c>
      <c r="O2039" s="6" t="s">
        <v>178</v>
      </c>
      <c r="P2039" s="10">
        <v>46015.0</v>
      </c>
    </row>
    <row r="2040" ht="22.5" customHeight="1">
      <c r="A2040" s="6" t="s">
        <v>13865</v>
      </c>
      <c r="B2040" s="6" t="s">
        <v>13866</v>
      </c>
      <c r="C2040" s="6" t="s">
        <v>13867</v>
      </c>
      <c r="D2040" s="6" t="s">
        <v>145</v>
      </c>
      <c r="E2040" s="6" t="s">
        <v>210</v>
      </c>
      <c r="F2040" s="8">
        <v>63.0</v>
      </c>
      <c r="G2040" s="9">
        <v>1034.63</v>
      </c>
      <c r="H2040" s="9">
        <v>8117.91</v>
      </c>
      <c r="I2040" s="6" t="s">
        <v>161</v>
      </c>
      <c r="J2040" s="6" t="s">
        <v>577</v>
      </c>
      <c r="K2040" s="6" t="s">
        <v>13868</v>
      </c>
      <c r="L2040" s="6">
        <v>7.8741831719E10</v>
      </c>
      <c r="M2040" s="6" t="s">
        <v>13869</v>
      </c>
      <c r="N2040" s="6" t="s">
        <v>427</v>
      </c>
      <c r="O2040" s="6" t="s">
        <v>161</v>
      </c>
      <c r="P2040" s="10">
        <v>45965.0</v>
      </c>
    </row>
    <row r="2041" ht="22.5" customHeight="1">
      <c r="A2041" s="6" t="s">
        <v>13871</v>
      </c>
      <c r="B2041" s="6" t="s">
        <v>13872</v>
      </c>
      <c r="C2041" s="6" t="s">
        <v>13873</v>
      </c>
      <c r="D2041" s="6" t="s">
        <v>145</v>
      </c>
      <c r="E2041" s="6" t="s">
        <v>147</v>
      </c>
      <c r="F2041" s="8">
        <v>10.0</v>
      </c>
      <c r="G2041" s="9">
        <v>1736.47</v>
      </c>
      <c r="H2041" s="9">
        <v>4131.54</v>
      </c>
      <c r="I2041" s="6" t="s">
        <v>161</v>
      </c>
      <c r="J2041" s="6" t="s">
        <v>465</v>
      </c>
      <c r="K2041" s="6" t="s">
        <v>13875</v>
      </c>
      <c r="L2041" s="6">
        <v>1.6782240942E10</v>
      </c>
      <c r="M2041" s="6" t="s">
        <v>13876</v>
      </c>
      <c r="N2041" s="6" t="s">
        <v>176</v>
      </c>
      <c r="O2041" s="6" t="s">
        <v>178</v>
      </c>
      <c r="P2041" s="10">
        <v>46038.0</v>
      </c>
    </row>
    <row r="2042" ht="22.5" customHeight="1">
      <c r="A2042" s="6" t="s">
        <v>13877</v>
      </c>
      <c r="B2042" s="6" t="s">
        <v>13878</v>
      </c>
      <c r="C2042" s="6" t="s">
        <v>13879</v>
      </c>
      <c r="D2042" s="6" t="s">
        <v>383</v>
      </c>
      <c r="E2042" s="6" t="s">
        <v>210</v>
      </c>
      <c r="F2042" s="8">
        <v>83.0</v>
      </c>
      <c r="G2042" s="9">
        <v>674.91</v>
      </c>
      <c r="H2042" s="9">
        <v>2812.76</v>
      </c>
      <c r="I2042" s="6" t="s">
        <v>178</v>
      </c>
      <c r="J2042" s="6" t="s">
        <v>357</v>
      </c>
      <c r="K2042" s="6" t="s">
        <v>13881</v>
      </c>
      <c r="L2042" s="6">
        <v>8.0947448905E10</v>
      </c>
      <c r="M2042" s="6" t="s">
        <v>13882</v>
      </c>
      <c r="N2042" s="6" t="s">
        <v>427</v>
      </c>
      <c r="O2042" s="6" t="s">
        <v>161</v>
      </c>
      <c r="P2042" s="10">
        <v>46012.0</v>
      </c>
    </row>
    <row r="2043" ht="22.5" customHeight="1">
      <c r="A2043" s="6" t="s">
        <v>13884</v>
      </c>
      <c r="B2043" s="6" t="s">
        <v>13885</v>
      </c>
      <c r="C2043" s="6" t="s">
        <v>13886</v>
      </c>
      <c r="D2043" s="6" t="s">
        <v>206</v>
      </c>
      <c r="E2043" s="6" t="s">
        <v>301</v>
      </c>
      <c r="F2043" s="8">
        <v>33.0</v>
      </c>
      <c r="G2043" s="9">
        <v>1012.03</v>
      </c>
      <c r="H2043" s="9">
        <v>7494.77</v>
      </c>
      <c r="I2043" s="6" t="s">
        <v>161</v>
      </c>
      <c r="J2043" s="6" t="s">
        <v>393</v>
      </c>
      <c r="K2043" s="6" t="s">
        <v>13888</v>
      </c>
      <c r="L2043" s="6">
        <v>3.723509777E9</v>
      </c>
      <c r="M2043" s="6" t="s">
        <v>13889</v>
      </c>
      <c r="N2043" s="6" t="s">
        <v>259</v>
      </c>
      <c r="O2043" s="6" t="s">
        <v>178</v>
      </c>
      <c r="P2043" s="10">
        <v>46031.0</v>
      </c>
    </row>
    <row r="2044" ht="22.5" customHeight="1">
      <c r="A2044" s="6" t="s">
        <v>13890</v>
      </c>
      <c r="B2044" s="6" t="s">
        <v>13891</v>
      </c>
      <c r="C2044" s="6" t="s">
        <v>13893</v>
      </c>
      <c r="D2044" s="6" t="s">
        <v>145</v>
      </c>
      <c r="E2044" s="6" t="s">
        <v>210</v>
      </c>
      <c r="F2044" s="8">
        <v>107.0</v>
      </c>
      <c r="G2044" s="9">
        <v>993.42</v>
      </c>
      <c r="H2044" s="9">
        <v>11472.21</v>
      </c>
      <c r="I2044" s="6" t="s">
        <v>178</v>
      </c>
      <c r="J2044" s="6" t="s">
        <v>228</v>
      </c>
      <c r="K2044" s="6" t="s">
        <v>13894</v>
      </c>
      <c r="L2044" s="6" t="s">
        <v>259</v>
      </c>
      <c r="M2044" s="6" t="s">
        <v>13895</v>
      </c>
      <c r="N2044" s="6" t="s">
        <v>176</v>
      </c>
      <c r="O2044" s="6" t="s">
        <v>161</v>
      </c>
      <c r="P2044" s="10">
        <v>45986.0</v>
      </c>
    </row>
    <row r="2045" ht="22.5" customHeight="1">
      <c r="A2045" s="6" t="s">
        <v>13897</v>
      </c>
      <c r="B2045" s="6" t="s">
        <v>13898</v>
      </c>
      <c r="C2045" s="6" t="s">
        <v>13899</v>
      </c>
      <c r="D2045" s="6" t="s">
        <v>383</v>
      </c>
      <c r="E2045" s="6" t="s">
        <v>147</v>
      </c>
      <c r="F2045" s="8">
        <v>7.0</v>
      </c>
      <c r="G2045" s="9">
        <v>1069.68</v>
      </c>
      <c r="H2045" s="9">
        <v>4230.56</v>
      </c>
      <c r="I2045" s="6" t="s">
        <v>161</v>
      </c>
      <c r="J2045" s="6" t="s">
        <v>421</v>
      </c>
      <c r="K2045" s="6" t="s">
        <v>13901</v>
      </c>
      <c r="L2045" s="6">
        <v>1.7678263587E10</v>
      </c>
      <c r="M2045" s="6" t="s">
        <v>13902</v>
      </c>
      <c r="N2045" s="6" t="s">
        <v>259</v>
      </c>
      <c r="O2045" s="6" t="s">
        <v>178</v>
      </c>
      <c r="P2045" s="10">
        <v>45997.0</v>
      </c>
    </row>
    <row r="2046" ht="22.5" customHeight="1">
      <c r="A2046" s="6" t="s">
        <v>13903</v>
      </c>
      <c r="B2046" s="6" t="s">
        <v>13904</v>
      </c>
      <c r="C2046" s="6" t="s">
        <v>13905</v>
      </c>
      <c r="D2046" s="6" t="s">
        <v>145</v>
      </c>
      <c r="E2046" s="6" t="s">
        <v>147</v>
      </c>
      <c r="F2046" s="8">
        <v>10.0</v>
      </c>
      <c r="G2046" s="9">
        <v>215.12</v>
      </c>
      <c r="H2046" s="9">
        <v>3675.04</v>
      </c>
      <c r="I2046" s="6" t="s">
        <v>161</v>
      </c>
      <c r="J2046" s="6" t="s">
        <v>312</v>
      </c>
      <c r="K2046" s="6" t="s">
        <v>13907</v>
      </c>
      <c r="L2046" s="6">
        <v>5.974951176E9</v>
      </c>
      <c r="M2046" s="6" t="s">
        <v>13908</v>
      </c>
      <c r="N2046" s="6" t="s">
        <v>427</v>
      </c>
      <c r="O2046" s="6" t="s">
        <v>178</v>
      </c>
      <c r="P2046" s="10">
        <v>45953.0</v>
      </c>
    </row>
    <row r="2047" ht="22.5" customHeight="1">
      <c r="A2047" s="6" t="s">
        <v>13910</v>
      </c>
      <c r="B2047" s="6" t="s">
        <v>13911</v>
      </c>
      <c r="C2047" s="6" t="s">
        <v>13912</v>
      </c>
      <c r="D2047" s="6" t="s">
        <v>145</v>
      </c>
      <c r="E2047" s="6" t="s">
        <v>210</v>
      </c>
      <c r="F2047" s="8">
        <v>72.0</v>
      </c>
      <c r="G2047" s="9">
        <v>334.17</v>
      </c>
      <c r="H2047" s="9">
        <v>3691.22</v>
      </c>
      <c r="I2047" s="6" t="s">
        <v>178</v>
      </c>
      <c r="J2047" s="6" t="s">
        <v>577</v>
      </c>
      <c r="K2047" s="6" t="s">
        <v>13914</v>
      </c>
      <c r="L2047" s="6">
        <v>9.339888894E10</v>
      </c>
      <c r="M2047" s="6" t="s">
        <v>13915</v>
      </c>
      <c r="N2047" s="6" t="s">
        <v>112</v>
      </c>
      <c r="O2047" s="6" t="s">
        <v>161</v>
      </c>
      <c r="P2047" s="10">
        <v>46031.0</v>
      </c>
    </row>
    <row r="2048" ht="22.5" customHeight="1">
      <c r="A2048" s="6" t="s">
        <v>13916</v>
      </c>
      <c r="B2048" s="6" t="s">
        <v>13917</v>
      </c>
      <c r="C2048" s="6" t="s">
        <v>13918</v>
      </c>
      <c r="D2048" s="6" t="s">
        <v>383</v>
      </c>
      <c r="E2048" s="6" t="s">
        <v>301</v>
      </c>
      <c r="F2048" s="8">
        <v>43.0</v>
      </c>
      <c r="G2048" s="9">
        <v>387.13</v>
      </c>
      <c r="H2048" s="9">
        <v>10330.46</v>
      </c>
      <c r="I2048" s="6" t="s">
        <v>161</v>
      </c>
      <c r="J2048" s="6" t="s">
        <v>228</v>
      </c>
      <c r="K2048" s="6" t="s">
        <v>13920</v>
      </c>
      <c r="L2048" s="6">
        <v>1.3543226711E10</v>
      </c>
      <c r="M2048" s="6" t="s">
        <v>13921</v>
      </c>
      <c r="N2048" s="6" t="s">
        <v>259</v>
      </c>
      <c r="O2048" s="6" t="s">
        <v>178</v>
      </c>
      <c r="P2048" s="10">
        <v>46044.0</v>
      </c>
    </row>
    <row r="2049" ht="22.5" customHeight="1">
      <c r="A2049" s="6" t="s">
        <v>13923</v>
      </c>
      <c r="B2049" s="6" t="s">
        <v>13924</v>
      </c>
      <c r="C2049" s="6" t="s">
        <v>13925</v>
      </c>
      <c r="D2049" s="6" t="s">
        <v>206</v>
      </c>
      <c r="E2049" s="6" t="s">
        <v>301</v>
      </c>
      <c r="F2049" s="8">
        <v>58.0</v>
      </c>
      <c r="G2049" s="9">
        <v>1339.9</v>
      </c>
      <c r="H2049" s="9">
        <v>7222.17</v>
      </c>
      <c r="I2049" s="6" t="s">
        <v>161</v>
      </c>
      <c r="J2049" s="6" t="s">
        <v>577</v>
      </c>
      <c r="K2049" s="6" t="s">
        <v>13926</v>
      </c>
      <c r="L2049" s="6">
        <v>8.3412389249E10</v>
      </c>
      <c r="M2049" s="6" t="s">
        <v>13927</v>
      </c>
      <c r="N2049" s="6" t="s">
        <v>176</v>
      </c>
      <c r="O2049" s="6" t="s">
        <v>178</v>
      </c>
      <c r="P2049" s="10">
        <v>46046.0</v>
      </c>
    </row>
    <row r="2050" ht="22.5" customHeight="1">
      <c r="A2050" s="6" t="s">
        <v>13929</v>
      </c>
      <c r="B2050" s="6" t="s">
        <v>13930</v>
      </c>
      <c r="C2050" s="6" t="s">
        <v>13931</v>
      </c>
      <c r="D2050" s="6" t="s">
        <v>206</v>
      </c>
      <c r="E2050" s="6" t="s">
        <v>147</v>
      </c>
      <c r="F2050" s="8">
        <v>10.0</v>
      </c>
      <c r="G2050" s="9">
        <v>1343.28</v>
      </c>
      <c r="H2050" s="9">
        <v>11899.39</v>
      </c>
      <c r="I2050" s="6" t="s">
        <v>161</v>
      </c>
      <c r="J2050" s="6" t="s">
        <v>577</v>
      </c>
      <c r="K2050" s="6" t="s">
        <v>13933</v>
      </c>
      <c r="L2050" s="6">
        <v>2.3870409227E10</v>
      </c>
      <c r="M2050" s="6" t="s">
        <v>13934</v>
      </c>
      <c r="N2050" s="6" t="s">
        <v>259</v>
      </c>
      <c r="O2050" s="6" t="s">
        <v>178</v>
      </c>
      <c r="P2050" s="10">
        <v>46012.0</v>
      </c>
    </row>
    <row r="2051" ht="22.5" customHeight="1">
      <c r="A2051" s="6" t="s">
        <v>13935</v>
      </c>
      <c r="B2051" s="6" t="s">
        <v>13936</v>
      </c>
      <c r="C2051" s="6" t="s">
        <v>13938</v>
      </c>
      <c r="D2051" s="6" t="s">
        <v>206</v>
      </c>
      <c r="E2051" s="6" t="s">
        <v>147</v>
      </c>
      <c r="F2051" s="8">
        <v>6.0</v>
      </c>
      <c r="G2051" s="9">
        <v>339.3</v>
      </c>
      <c r="H2051" s="9">
        <v>8206.22</v>
      </c>
      <c r="I2051" s="6" t="s">
        <v>161</v>
      </c>
      <c r="J2051" s="6" t="s">
        <v>577</v>
      </c>
      <c r="K2051" s="6" t="s">
        <v>13939</v>
      </c>
      <c r="L2051" s="6">
        <v>9.1673938389E10</v>
      </c>
      <c r="M2051" s="6" t="s">
        <v>13940</v>
      </c>
      <c r="N2051" s="6" t="s">
        <v>259</v>
      </c>
      <c r="O2051" s="6" t="s">
        <v>178</v>
      </c>
      <c r="P2051" s="10">
        <v>46041.0</v>
      </c>
    </row>
    <row r="2052" ht="22.5" customHeight="1">
      <c r="A2052" s="6" t="s">
        <v>13942</v>
      </c>
      <c r="B2052" s="6" t="s">
        <v>13943</v>
      </c>
      <c r="C2052" s="6" t="s">
        <v>13944</v>
      </c>
      <c r="D2052" s="6" t="s">
        <v>206</v>
      </c>
      <c r="E2052" s="6" t="s">
        <v>301</v>
      </c>
      <c r="F2052" s="8">
        <v>59.0</v>
      </c>
      <c r="G2052" s="9">
        <v>417.75</v>
      </c>
      <c r="H2052" s="9">
        <v>13888.57</v>
      </c>
      <c r="I2052" s="6" t="s">
        <v>161</v>
      </c>
      <c r="J2052" s="6" t="s">
        <v>577</v>
      </c>
      <c r="K2052" s="6" t="s">
        <v>13946</v>
      </c>
      <c r="L2052" s="6">
        <v>7.13913049E10</v>
      </c>
      <c r="M2052" s="6" t="s">
        <v>13947</v>
      </c>
      <c r="N2052" s="6" t="s">
        <v>427</v>
      </c>
      <c r="O2052" s="6" t="s">
        <v>178</v>
      </c>
      <c r="P2052" s="10">
        <v>46006.0</v>
      </c>
    </row>
    <row r="2053" ht="22.5" customHeight="1">
      <c r="A2053" s="6" t="s">
        <v>13948</v>
      </c>
      <c r="B2053" s="6" t="s">
        <v>13949</v>
      </c>
      <c r="C2053" s="6" t="s">
        <v>13951</v>
      </c>
      <c r="D2053" s="6" t="s">
        <v>206</v>
      </c>
      <c r="E2053" s="6" t="s">
        <v>147</v>
      </c>
      <c r="F2053" s="8">
        <v>20.0</v>
      </c>
      <c r="G2053" s="9">
        <v>1467.65</v>
      </c>
      <c r="H2053" s="9">
        <v>2301.55</v>
      </c>
      <c r="I2053" s="6" t="s">
        <v>161</v>
      </c>
      <c r="J2053" s="6" t="s">
        <v>163</v>
      </c>
      <c r="K2053" s="6" t="s">
        <v>13952</v>
      </c>
      <c r="L2053" s="6">
        <v>5.242637088E10</v>
      </c>
      <c r="M2053" s="6" t="s">
        <v>13953</v>
      </c>
      <c r="N2053" s="6" t="s">
        <v>176</v>
      </c>
      <c r="O2053" s="6" t="s">
        <v>178</v>
      </c>
      <c r="P2053" s="10">
        <v>45972.0</v>
      </c>
    </row>
    <row r="2054" ht="22.5" customHeight="1">
      <c r="A2054" s="6" t="s">
        <v>13955</v>
      </c>
      <c r="B2054" s="6" t="s">
        <v>13956</v>
      </c>
      <c r="C2054" s="6" t="s">
        <v>13957</v>
      </c>
      <c r="D2054" s="6" t="s">
        <v>145</v>
      </c>
      <c r="E2054" s="6" t="s">
        <v>301</v>
      </c>
      <c r="F2054" s="8">
        <v>43.0</v>
      </c>
      <c r="G2054" s="9">
        <v>865.26</v>
      </c>
      <c r="H2054" s="9">
        <v>14477.83</v>
      </c>
      <c r="I2054" s="6" t="s">
        <v>161</v>
      </c>
      <c r="J2054" s="6" t="s">
        <v>312</v>
      </c>
      <c r="K2054" s="6" t="s">
        <v>13959</v>
      </c>
      <c r="L2054" s="6">
        <v>3.7819666131E10</v>
      </c>
      <c r="M2054" s="6" t="s">
        <v>13960</v>
      </c>
      <c r="N2054" s="6" t="s">
        <v>176</v>
      </c>
      <c r="O2054" s="6" t="s">
        <v>178</v>
      </c>
      <c r="P2054" s="10">
        <v>45999.0</v>
      </c>
    </row>
    <row r="2055" ht="22.5" customHeight="1">
      <c r="A2055" s="6" t="s">
        <v>13961</v>
      </c>
      <c r="B2055" s="6" t="s">
        <v>13962</v>
      </c>
      <c r="C2055" s="6" t="s">
        <v>13963</v>
      </c>
      <c r="D2055" s="6" t="s">
        <v>145</v>
      </c>
      <c r="E2055" s="6" t="s">
        <v>147</v>
      </c>
      <c r="F2055" s="8">
        <v>14.0</v>
      </c>
      <c r="G2055" s="9">
        <v>502.7</v>
      </c>
      <c r="H2055" s="9">
        <v>10709.01</v>
      </c>
      <c r="I2055" s="6" t="s">
        <v>178</v>
      </c>
      <c r="J2055" s="6" t="s">
        <v>421</v>
      </c>
      <c r="K2055" s="6" t="s">
        <v>13965</v>
      </c>
      <c r="L2055" s="6">
        <v>8.4166482562E10</v>
      </c>
      <c r="M2055" s="6" t="s">
        <v>13966</v>
      </c>
      <c r="N2055" s="6" t="s">
        <v>283</v>
      </c>
      <c r="O2055" s="6" t="s">
        <v>161</v>
      </c>
      <c r="P2055" s="10">
        <v>45942.0</v>
      </c>
    </row>
    <row r="2056" ht="22.5" customHeight="1">
      <c r="A2056" s="6" t="s">
        <v>13968</v>
      </c>
      <c r="B2056" s="6" t="s">
        <v>13969</v>
      </c>
      <c r="C2056" s="6" t="s">
        <v>13970</v>
      </c>
      <c r="D2056" s="6" t="s">
        <v>206</v>
      </c>
      <c r="E2056" s="6" t="s">
        <v>147</v>
      </c>
      <c r="F2056" s="8">
        <v>28.0</v>
      </c>
      <c r="G2056" s="9">
        <v>194.37</v>
      </c>
      <c r="H2056" s="9">
        <v>5327.55</v>
      </c>
      <c r="I2056" s="6" t="s">
        <v>161</v>
      </c>
      <c r="J2056" s="6" t="s">
        <v>479</v>
      </c>
      <c r="K2056" s="6" t="s">
        <v>13971</v>
      </c>
      <c r="L2056" s="6">
        <v>4.2908368492E10</v>
      </c>
      <c r="M2056" s="6" t="s">
        <v>13972</v>
      </c>
      <c r="N2056" s="6" t="s">
        <v>427</v>
      </c>
      <c r="O2056" s="6" t="s">
        <v>178</v>
      </c>
      <c r="P2056" s="10">
        <v>45998.0</v>
      </c>
    </row>
    <row r="2057" ht="22.5" customHeight="1">
      <c r="A2057" s="6" t="s">
        <v>13974</v>
      </c>
      <c r="B2057" s="6" t="s">
        <v>13975</v>
      </c>
      <c r="C2057" s="6" t="s">
        <v>13976</v>
      </c>
      <c r="D2057" s="6" t="s">
        <v>206</v>
      </c>
      <c r="E2057" s="6" t="s">
        <v>147</v>
      </c>
      <c r="F2057" s="8">
        <v>23.0</v>
      </c>
      <c r="G2057" s="9">
        <v>254.14</v>
      </c>
      <c r="H2057" s="9">
        <v>7365.41</v>
      </c>
      <c r="I2057" s="6" t="s">
        <v>161</v>
      </c>
      <c r="J2057" s="6" t="s">
        <v>163</v>
      </c>
      <c r="K2057" s="6" t="s">
        <v>13978</v>
      </c>
      <c r="L2057" s="6" t="s">
        <v>259</v>
      </c>
      <c r="M2057" s="6" t="s">
        <v>13979</v>
      </c>
      <c r="N2057" s="6" t="s">
        <v>283</v>
      </c>
      <c r="O2057" s="6" t="s">
        <v>178</v>
      </c>
      <c r="P2057" s="10">
        <v>46039.0</v>
      </c>
    </row>
    <row r="2058" ht="22.5" customHeight="1">
      <c r="A2058" s="6" t="s">
        <v>13980</v>
      </c>
      <c r="B2058" s="6" t="s">
        <v>13981</v>
      </c>
      <c r="C2058" s="6" t="s">
        <v>13982</v>
      </c>
      <c r="D2058" s="6" t="s">
        <v>206</v>
      </c>
      <c r="E2058" s="6" t="s">
        <v>147</v>
      </c>
      <c r="F2058" s="8">
        <v>14.0</v>
      </c>
      <c r="G2058" s="9">
        <v>1367.66</v>
      </c>
      <c r="H2058" s="9">
        <v>3053.48</v>
      </c>
      <c r="I2058" s="6" t="s">
        <v>161</v>
      </c>
      <c r="J2058" s="6" t="s">
        <v>163</v>
      </c>
      <c r="K2058" s="6" t="s">
        <v>13985</v>
      </c>
      <c r="L2058" s="6">
        <v>8.3717804204E10</v>
      </c>
      <c r="M2058" s="6" t="s">
        <v>13986</v>
      </c>
      <c r="N2058" s="6" t="s">
        <v>283</v>
      </c>
      <c r="O2058" s="6" t="s">
        <v>178</v>
      </c>
      <c r="P2058" s="10">
        <v>45977.0</v>
      </c>
    </row>
    <row r="2059" ht="22.5" customHeight="1">
      <c r="A2059" s="6" t="s">
        <v>13987</v>
      </c>
      <c r="B2059" s="6" t="s">
        <v>13988</v>
      </c>
      <c r="C2059" s="6" t="s">
        <v>13990</v>
      </c>
      <c r="D2059" s="6" t="s">
        <v>145</v>
      </c>
      <c r="E2059" s="6" t="s">
        <v>147</v>
      </c>
      <c r="F2059" s="8">
        <v>5.0</v>
      </c>
      <c r="G2059" s="9">
        <v>934.09</v>
      </c>
      <c r="H2059" s="9">
        <v>12741.9</v>
      </c>
      <c r="I2059" s="6" t="s">
        <v>178</v>
      </c>
      <c r="J2059" s="6" t="s">
        <v>357</v>
      </c>
      <c r="K2059" s="6" t="s">
        <v>13991</v>
      </c>
      <c r="L2059" s="6">
        <v>2.1826799008E10</v>
      </c>
      <c r="M2059" s="6" t="s">
        <v>13992</v>
      </c>
      <c r="N2059" s="6" t="s">
        <v>427</v>
      </c>
      <c r="O2059" s="6" t="s">
        <v>161</v>
      </c>
      <c r="P2059" s="10">
        <v>45959.0</v>
      </c>
    </row>
    <row r="2060" ht="22.5" customHeight="1">
      <c r="A2060" s="6" t="s">
        <v>13994</v>
      </c>
      <c r="B2060" s="6" t="s">
        <v>13995</v>
      </c>
      <c r="C2060" s="6" t="s">
        <v>13996</v>
      </c>
      <c r="D2060" s="6" t="s">
        <v>206</v>
      </c>
      <c r="E2060" s="6" t="s">
        <v>147</v>
      </c>
      <c r="F2060" s="8">
        <v>22.0</v>
      </c>
      <c r="G2060" s="9">
        <v>770.52</v>
      </c>
      <c r="H2060" s="9">
        <v>6528.34</v>
      </c>
      <c r="I2060" s="6" t="s">
        <v>161</v>
      </c>
      <c r="J2060" s="6" t="s">
        <v>479</v>
      </c>
      <c r="K2060" s="6" t="s">
        <v>13998</v>
      </c>
      <c r="L2060" s="6">
        <v>6.0042127087E10</v>
      </c>
      <c r="M2060" s="6" t="s">
        <v>13999</v>
      </c>
      <c r="N2060" s="6" t="s">
        <v>112</v>
      </c>
      <c r="O2060" s="6" t="s">
        <v>178</v>
      </c>
      <c r="P2060" s="10">
        <v>45951.0</v>
      </c>
    </row>
    <row r="2061" ht="22.5" customHeight="1">
      <c r="A2061" s="6" t="s">
        <v>14000</v>
      </c>
      <c r="B2061" s="6" t="s">
        <v>14001</v>
      </c>
      <c r="C2061" s="6" t="s">
        <v>14002</v>
      </c>
      <c r="D2061" s="6" t="s">
        <v>145</v>
      </c>
      <c r="E2061" s="6" t="s">
        <v>147</v>
      </c>
      <c r="F2061" s="8">
        <v>12.0</v>
      </c>
      <c r="G2061" s="9">
        <v>893.26</v>
      </c>
      <c r="H2061" s="9">
        <v>13281.72</v>
      </c>
      <c r="I2061" s="6" t="s">
        <v>161</v>
      </c>
      <c r="J2061" s="6" t="s">
        <v>479</v>
      </c>
      <c r="K2061" s="6" t="s">
        <v>14004</v>
      </c>
      <c r="L2061" s="6">
        <v>5.425872687E9</v>
      </c>
      <c r="M2061" s="6" t="s">
        <v>14005</v>
      </c>
      <c r="N2061" s="6" t="s">
        <v>259</v>
      </c>
      <c r="O2061" s="6" t="s">
        <v>178</v>
      </c>
      <c r="P2061" s="10">
        <v>46029.0</v>
      </c>
    </row>
    <row r="2062" ht="22.5" customHeight="1">
      <c r="A2062" s="6" t="s">
        <v>14007</v>
      </c>
      <c r="B2062" s="6" t="s">
        <v>14008</v>
      </c>
      <c r="C2062" s="6" t="s">
        <v>14009</v>
      </c>
      <c r="D2062" s="6" t="s">
        <v>145</v>
      </c>
      <c r="E2062" s="6" t="s">
        <v>147</v>
      </c>
      <c r="F2062" s="8">
        <v>9.0</v>
      </c>
      <c r="G2062" s="9">
        <v>1485.88</v>
      </c>
      <c r="H2062" s="9">
        <v>4626.31</v>
      </c>
      <c r="I2062" s="6" t="s">
        <v>161</v>
      </c>
      <c r="J2062" s="6" t="s">
        <v>465</v>
      </c>
      <c r="K2062" s="6" t="s">
        <v>14011</v>
      </c>
      <c r="L2062" s="6" t="s">
        <v>259</v>
      </c>
      <c r="M2062" s="6" t="s">
        <v>14012</v>
      </c>
      <c r="N2062" s="6" t="s">
        <v>259</v>
      </c>
      <c r="O2062" s="6" t="s">
        <v>178</v>
      </c>
      <c r="P2062" s="10">
        <v>45967.0</v>
      </c>
    </row>
    <row r="2063" ht="22.5" customHeight="1">
      <c r="A2063" s="6" t="s">
        <v>14014</v>
      </c>
      <c r="B2063" s="6" t="s">
        <v>14015</v>
      </c>
      <c r="C2063" s="6" t="s">
        <v>14016</v>
      </c>
      <c r="D2063" s="6" t="s">
        <v>206</v>
      </c>
      <c r="E2063" s="6" t="s">
        <v>301</v>
      </c>
      <c r="F2063" s="8">
        <v>33.0</v>
      </c>
      <c r="G2063" s="9">
        <v>1282.26</v>
      </c>
      <c r="H2063" s="9">
        <v>4373.93</v>
      </c>
      <c r="I2063" s="6" t="s">
        <v>161</v>
      </c>
      <c r="J2063" s="6" t="s">
        <v>163</v>
      </c>
      <c r="K2063" s="6" t="s">
        <v>14018</v>
      </c>
      <c r="L2063" s="6">
        <v>4.619439601E10</v>
      </c>
      <c r="M2063" s="6" t="s">
        <v>14019</v>
      </c>
      <c r="N2063" s="6" t="s">
        <v>259</v>
      </c>
      <c r="O2063" s="6" t="s">
        <v>178</v>
      </c>
      <c r="P2063" s="10">
        <v>45986.0</v>
      </c>
    </row>
    <row r="2064" ht="22.5" customHeight="1">
      <c r="A2064" s="6" t="s">
        <v>14021</v>
      </c>
      <c r="B2064" s="6" t="s">
        <v>14022</v>
      </c>
      <c r="C2064" s="6" t="s">
        <v>14023</v>
      </c>
      <c r="D2064" s="6" t="s">
        <v>206</v>
      </c>
      <c r="E2064" s="6" t="s">
        <v>147</v>
      </c>
      <c r="F2064" s="8">
        <v>17.0</v>
      </c>
      <c r="G2064" s="9">
        <v>839.31</v>
      </c>
      <c r="H2064" s="9">
        <v>9214.38</v>
      </c>
      <c r="I2064" s="6" t="s">
        <v>161</v>
      </c>
      <c r="J2064" s="6" t="s">
        <v>163</v>
      </c>
      <c r="K2064" s="6" t="s">
        <v>14024</v>
      </c>
      <c r="L2064" s="6">
        <v>3.6935607459E10</v>
      </c>
      <c r="M2064" s="6" t="s">
        <v>14025</v>
      </c>
      <c r="N2064" s="6" t="s">
        <v>283</v>
      </c>
      <c r="O2064" s="6" t="s">
        <v>178</v>
      </c>
      <c r="P2064" s="10">
        <v>46033.0</v>
      </c>
    </row>
    <row r="2065" ht="22.5" customHeight="1">
      <c r="A2065" s="6" t="s">
        <v>14027</v>
      </c>
      <c r="B2065" s="6" t="s">
        <v>14028</v>
      </c>
      <c r="C2065" s="6" t="s">
        <v>14029</v>
      </c>
      <c r="D2065" s="6" t="s">
        <v>206</v>
      </c>
      <c r="E2065" s="6" t="s">
        <v>301</v>
      </c>
      <c r="F2065" s="8">
        <v>37.0</v>
      </c>
      <c r="G2065" s="9">
        <v>1370.95</v>
      </c>
      <c r="H2065" s="9">
        <v>11073.94</v>
      </c>
      <c r="I2065" s="6" t="s">
        <v>161</v>
      </c>
      <c r="J2065" s="6" t="s">
        <v>421</v>
      </c>
      <c r="K2065" s="6" t="s">
        <v>14030</v>
      </c>
      <c r="L2065" s="6">
        <v>5.6429738911E10</v>
      </c>
      <c r="M2065" s="6" t="s">
        <v>14031</v>
      </c>
      <c r="N2065" s="6" t="s">
        <v>283</v>
      </c>
      <c r="O2065" s="6" t="s">
        <v>178</v>
      </c>
      <c r="P2065" s="10">
        <v>45980.0</v>
      </c>
    </row>
    <row r="2066" ht="22.5" customHeight="1">
      <c r="A2066" s="6" t="s">
        <v>14032</v>
      </c>
      <c r="B2066" s="6" t="s">
        <v>14034</v>
      </c>
      <c r="C2066" s="6" t="s">
        <v>14035</v>
      </c>
      <c r="D2066" s="6" t="s">
        <v>383</v>
      </c>
      <c r="E2066" s="6" t="s">
        <v>210</v>
      </c>
      <c r="F2066" s="8">
        <v>112.0</v>
      </c>
      <c r="G2066" s="9">
        <v>1769.1</v>
      </c>
      <c r="H2066" s="9">
        <v>5257.77</v>
      </c>
      <c r="I2066" s="6" t="s">
        <v>178</v>
      </c>
      <c r="J2066" s="6" t="s">
        <v>465</v>
      </c>
      <c r="K2066" s="6" t="s">
        <v>14036</v>
      </c>
      <c r="L2066" s="6">
        <v>1.4216427544E10</v>
      </c>
      <c r="M2066" s="6" t="s">
        <v>14037</v>
      </c>
      <c r="N2066" s="6" t="s">
        <v>427</v>
      </c>
      <c r="O2066" s="6" t="s">
        <v>161</v>
      </c>
      <c r="P2066" s="10">
        <v>46008.0</v>
      </c>
    </row>
    <row r="2067" ht="22.5" customHeight="1">
      <c r="A2067" s="6" t="s">
        <v>14038</v>
      </c>
      <c r="B2067" s="6" t="s">
        <v>14039</v>
      </c>
      <c r="C2067" s="6" t="s">
        <v>14040</v>
      </c>
      <c r="D2067" s="6" t="s">
        <v>145</v>
      </c>
      <c r="E2067" s="6" t="s">
        <v>301</v>
      </c>
      <c r="F2067" s="8">
        <v>57.0</v>
      </c>
      <c r="G2067" s="9">
        <v>1443.53</v>
      </c>
      <c r="H2067" s="9">
        <v>11833.93</v>
      </c>
      <c r="I2067" s="6" t="s">
        <v>161</v>
      </c>
      <c r="J2067" s="6" t="s">
        <v>577</v>
      </c>
      <c r="K2067" s="6" t="s">
        <v>14041</v>
      </c>
      <c r="L2067" s="6">
        <v>6.6888794454E10</v>
      </c>
      <c r="M2067" s="6" t="s">
        <v>14043</v>
      </c>
      <c r="N2067" s="6" t="s">
        <v>112</v>
      </c>
      <c r="O2067" s="6" t="s">
        <v>178</v>
      </c>
      <c r="P2067" s="10">
        <v>45955.0</v>
      </c>
    </row>
    <row r="2068" ht="22.5" customHeight="1">
      <c r="A2068" s="6" t="s">
        <v>14044</v>
      </c>
      <c r="B2068" s="6" t="s">
        <v>14045</v>
      </c>
      <c r="C2068" s="6" t="s">
        <v>14046</v>
      </c>
      <c r="D2068" s="6" t="s">
        <v>145</v>
      </c>
      <c r="E2068" s="6" t="s">
        <v>147</v>
      </c>
      <c r="F2068" s="8">
        <v>6.0</v>
      </c>
      <c r="G2068" s="9">
        <v>1001.98</v>
      </c>
      <c r="H2068" s="9">
        <v>12208.04</v>
      </c>
      <c r="I2068" s="6" t="s">
        <v>161</v>
      </c>
      <c r="J2068" s="6" t="s">
        <v>228</v>
      </c>
      <c r="K2068" s="6" t="s">
        <v>14048</v>
      </c>
      <c r="L2068" s="6">
        <v>1.8016102123E10</v>
      </c>
      <c r="M2068" s="6" t="s">
        <v>14049</v>
      </c>
      <c r="N2068" s="6" t="s">
        <v>259</v>
      </c>
      <c r="O2068" s="6" t="s">
        <v>178</v>
      </c>
      <c r="P2068" s="10">
        <v>45956.0</v>
      </c>
    </row>
    <row r="2069" ht="22.5" customHeight="1">
      <c r="A2069" s="6" t="s">
        <v>14051</v>
      </c>
      <c r="B2069" s="6" t="s">
        <v>14052</v>
      </c>
      <c r="C2069" s="6" t="s">
        <v>14053</v>
      </c>
      <c r="D2069" s="6" t="s">
        <v>145</v>
      </c>
      <c r="E2069" s="6" t="s">
        <v>147</v>
      </c>
      <c r="F2069" s="8">
        <v>21.0</v>
      </c>
      <c r="G2069" s="9">
        <v>657.0</v>
      </c>
      <c r="H2069" s="9">
        <v>2081.41</v>
      </c>
      <c r="I2069" s="6" t="s">
        <v>161</v>
      </c>
      <c r="J2069" s="6" t="s">
        <v>577</v>
      </c>
      <c r="K2069" s="6" t="s">
        <v>14055</v>
      </c>
      <c r="L2069" s="6">
        <v>9.5057030909E10</v>
      </c>
      <c r="M2069" s="6" t="s">
        <v>14056</v>
      </c>
      <c r="N2069" s="6" t="s">
        <v>427</v>
      </c>
      <c r="O2069" s="6" t="s">
        <v>178</v>
      </c>
      <c r="P2069" s="10">
        <v>45955.0</v>
      </c>
    </row>
    <row r="2070" ht="22.5" customHeight="1">
      <c r="A2070" s="6" t="s">
        <v>14057</v>
      </c>
      <c r="B2070" s="6" t="s">
        <v>14058</v>
      </c>
      <c r="C2070" s="6" t="s">
        <v>14060</v>
      </c>
      <c r="D2070" s="6" t="s">
        <v>145</v>
      </c>
      <c r="E2070" s="6" t="s">
        <v>301</v>
      </c>
      <c r="F2070" s="8">
        <v>54.0</v>
      </c>
      <c r="G2070" s="9">
        <v>717.3</v>
      </c>
      <c r="H2070" s="9">
        <v>4406.48</v>
      </c>
      <c r="I2070" s="6" t="s">
        <v>161</v>
      </c>
      <c r="J2070" s="6" t="s">
        <v>442</v>
      </c>
      <c r="K2070" s="6" t="s">
        <v>14061</v>
      </c>
      <c r="L2070" s="6">
        <v>6.3118625714E10</v>
      </c>
      <c r="M2070" s="6" t="s">
        <v>14062</v>
      </c>
      <c r="N2070" s="6" t="s">
        <v>427</v>
      </c>
      <c r="O2070" s="6" t="s">
        <v>178</v>
      </c>
      <c r="P2070" s="10">
        <v>45994.0</v>
      </c>
    </row>
    <row r="2071" ht="22.5" customHeight="1">
      <c r="A2071" s="6" t="s">
        <v>14064</v>
      </c>
      <c r="B2071" s="6" t="s">
        <v>14065</v>
      </c>
      <c r="C2071" s="6" t="s">
        <v>14066</v>
      </c>
      <c r="D2071" s="6" t="s">
        <v>206</v>
      </c>
      <c r="E2071" s="6" t="s">
        <v>147</v>
      </c>
      <c r="F2071" s="8">
        <v>19.0</v>
      </c>
      <c r="G2071" s="9">
        <v>1769.13</v>
      </c>
      <c r="H2071" s="9">
        <v>10419.93</v>
      </c>
      <c r="I2071" s="6" t="s">
        <v>161</v>
      </c>
      <c r="J2071" s="6" t="s">
        <v>577</v>
      </c>
      <c r="K2071" s="6" t="s">
        <v>14068</v>
      </c>
      <c r="L2071" s="6">
        <v>1.1253468834E10</v>
      </c>
      <c r="M2071" s="6" t="s">
        <v>14069</v>
      </c>
      <c r="N2071" s="6" t="s">
        <v>176</v>
      </c>
      <c r="O2071" s="6" t="s">
        <v>178</v>
      </c>
      <c r="P2071" s="10">
        <v>45946.0</v>
      </c>
    </row>
    <row r="2072" ht="22.5" customHeight="1">
      <c r="A2072" s="6" t="s">
        <v>14070</v>
      </c>
      <c r="B2072" s="6" t="s">
        <v>14072</v>
      </c>
      <c r="C2072" s="6" t="s">
        <v>14073</v>
      </c>
      <c r="D2072" s="6" t="s">
        <v>383</v>
      </c>
      <c r="E2072" s="6" t="s">
        <v>147</v>
      </c>
      <c r="F2072" s="8">
        <v>27.0</v>
      </c>
      <c r="G2072" s="9">
        <v>1032.58</v>
      </c>
      <c r="H2072" s="9">
        <v>6949.88</v>
      </c>
      <c r="I2072" s="6" t="s">
        <v>161</v>
      </c>
      <c r="J2072" s="6" t="s">
        <v>442</v>
      </c>
      <c r="K2072" s="6" t="s">
        <v>14075</v>
      </c>
      <c r="L2072" s="6">
        <v>7.2961213441E10</v>
      </c>
      <c r="M2072" s="6" t="s">
        <v>14076</v>
      </c>
      <c r="N2072" s="6" t="s">
        <v>112</v>
      </c>
      <c r="O2072" s="6" t="s">
        <v>178</v>
      </c>
      <c r="P2072" s="10">
        <v>46016.0</v>
      </c>
    </row>
    <row r="2073" ht="22.5" customHeight="1">
      <c r="A2073" s="6" t="s">
        <v>14077</v>
      </c>
      <c r="B2073" s="6" t="s">
        <v>14078</v>
      </c>
      <c r="C2073" s="6" t="s">
        <v>14079</v>
      </c>
      <c r="D2073" s="6" t="s">
        <v>206</v>
      </c>
      <c r="E2073" s="6" t="s">
        <v>147</v>
      </c>
      <c r="F2073" s="8">
        <v>11.0</v>
      </c>
      <c r="G2073" s="9">
        <v>641.88</v>
      </c>
      <c r="H2073" s="9">
        <v>5820.72</v>
      </c>
      <c r="I2073" s="6" t="s">
        <v>161</v>
      </c>
      <c r="J2073" s="6" t="s">
        <v>312</v>
      </c>
      <c r="K2073" s="6" t="s">
        <v>14081</v>
      </c>
      <c r="L2073" s="6">
        <v>5.9225545943E10</v>
      </c>
      <c r="M2073" s="6" t="s">
        <v>14082</v>
      </c>
      <c r="N2073" s="6" t="s">
        <v>176</v>
      </c>
      <c r="O2073" s="6" t="s">
        <v>178</v>
      </c>
      <c r="P2073" s="10">
        <v>46029.0</v>
      </c>
    </row>
    <row r="2074" ht="22.5" customHeight="1">
      <c r="A2074" s="6" t="s">
        <v>14084</v>
      </c>
      <c r="B2074" s="6" t="s">
        <v>14085</v>
      </c>
      <c r="C2074" s="6" t="s">
        <v>14086</v>
      </c>
      <c r="D2074" s="6" t="s">
        <v>145</v>
      </c>
      <c r="E2074" s="6" t="s">
        <v>147</v>
      </c>
      <c r="F2074" s="8">
        <v>9.0</v>
      </c>
      <c r="G2074" s="9">
        <v>1322.88</v>
      </c>
      <c r="H2074" s="9">
        <v>15240.92</v>
      </c>
      <c r="I2074" s="6" t="s">
        <v>161</v>
      </c>
      <c r="J2074" s="6" t="s">
        <v>465</v>
      </c>
      <c r="K2074" s="6" t="s">
        <v>14088</v>
      </c>
      <c r="L2074" s="6">
        <v>9.7647486605E10</v>
      </c>
      <c r="M2074" s="6" t="s">
        <v>14089</v>
      </c>
      <c r="N2074" s="6" t="s">
        <v>112</v>
      </c>
      <c r="O2074" s="6" t="s">
        <v>178</v>
      </c>
      <c r="P2074" s="10">
        <v>46013.0</v>
      </c>
    </row>
    <row r="2075" ht="22.5" customHeight="1">
      <c r="A2075" s="6" t="s">
        <v>14090</v>
      </c>
      <c r="B2075" s="6" t="s">
        <v>14091</v>
      </c>
      <c r="C2075" s="6" t="s">
        <v>14092</v>
      </c>
      <c r="D2075" s="6" t="s">
        <v>206</v>
      </c>
      <c r="E2075" s="6" t="s">
        <v>301</v>
      </c>
      <c r="F2075" s="8">
        <v>48.0</v>
      </c>
      <c r="G2075" s="9">
        <v>1229.63</v>
      </c>
      <c r="H2075" s="9">
        <v>12725.21</v>
      </c>
      <c r="I2075" s="6" t="s">
        <v>161</v>
      </c>
      <c r="J2075" s="6" t="s">
        <v>577</v>
      </c>
      <c r="K2075" s="6" t="s">
        <v>14094</v>
      </c>
      <c r="L2075" s="6">
        <v>5.5864696408E10</v>
      </c>
      <c r="M2075" s="6" t="s">
        <v>14095</v>
      </c>
      <c r="N2075" s="6" t="s">
        <v>176</v>
      </c>
      <c r="O2075" s="6" t="s">
        <v>178</v>
      </c>
      <c r="P2075" s="10">
        <v>46019.0</v>
      </c>
    </row>
    <row r="2076" ht="22.5" customHeight="1">
      <c r="A2076" s="6" t="s">
        <v>14097</v>
      </c>
      <c r="B2076" s="6" t="s">
        <v>14098</v>
      </c>
      <c r="C2076" s="6" t="s">
        <v>14099</v>
      </c>
      <c r="D2076" s="6" t="s">
        <v>206</v>
      </c>
      <c r="E2076" s="6" t="s">
        <v>147</v>
      </c>
      <c r="F2076" s="8">
        <v>13.0</v>
      </c>
      <c r="G2076" s="9">
        <v>1786.8</v>
      </c>
      <c r="H2076" s="9">
        <v>9015.79</v>
      </c>
      <c r="I2076" s="6" t="s">
        <v>161</v>
      </c>
      <c r="J2076" s="6" t="s">
        <v>421</v>
      </c>
      <c r="K2076" s="6" t="s">
        <v>14100</v>
      </c>
      <c r="L2076" s="6">
        <v>6.920251713E9</v>
      </c>
      <c r="M2076" s="6" t="s">
        <v>14101</v>
      </c>
      <c r="N2076" s="6" t="s">
        <v>112</v>
      </c>
      <c r="O2076" s="6" t="s">
        <v>178</v>
      </c>
      <c r="P2076" s="10">
        <v>45969.0</v>
      </c>
    </row>
    <row r="2077" ht="22.5" customHeight="1">
      <c r="A2077" s="6" t="s">
        <v>14103</v>
      </c>
      <c r="B2077" s="6" t="s">
        <v>14104</v>
      </c>
      <c r="C2077" s="6" t="s">
        <v>14105</v>
      </c>
      <c r="D2077" s="6" t="s">
        <v>383</v>
      </c>
      <c r="E2077" s="6" t="s">
        <v>210</v>
      </c>
      <c r="F2077" s="8">
        <v>72.0</v>
      </c>
      <c r="G2077" s="9">
        <v>940.91</v>
      </c>
      <c r="H2077" s="9">
        <v>14717.03</v>
      </c>
      <c r="I2077" s="6" t="s">
        <v>161</v>
      </c>
      <c r="J2077" s="6" t="s">
        <v>163</v>
      </c>
      <c r="K2077" s="6" t="s">
        <v>14106</v>
      </c>
      <c r="L2077" s="6">
        <v>8.156792595E9</v>
      </c>
      <c r="M2077" s="6" t="s">
        <v>14107</v>
      </c>
      <c r="N2077" s="6" t="s">
        <v>112</v>
      </c>
      <c r="O2077" s="6" t="s">
        <v>161</v>
      </c>
      <c r="P2077" s="10">
        <v>46024.0</v>
      </c>
    </row>
    <row r="2078" ht="22.5" customHeight="1">
      <c r="A2078" s="6" t="s">
        <v>14108</v>
      </c>
      <c r="B2078" s="6" t="s">
        <v>14109</v>
      </c>
      <c r="C2078" s="6" t="s">
        <v>14110</v>
      </c>
      <c r="D2078" s="6" t="s">
        <v>206</v>
      </c>
      <c r="E2078" s="6" t="s">
        <v>147</v>
      </c>
      <c r="F2078" s="8">
        <v>27.0</v>
      </c>
      <c r="G2078" s="9">
        <v>1744.95</v>
      </c>
      <c r="H2078" s="9">
        <v>6866.31</v>
      </c>
      <c r="I2078" s="6" t="s">
        <v>161</v>
      </c>
      <c r="J2078" s="6" t="s">
        <v>163</v>
      </c>
      <c r="K2078" s="6" t="s">
        <v>14112</v>
      </c>
      <c r="L2078" s="6">
        <v>8.0532505304E10</v>
      </c>
      <c r="M2078" s="6" t="s">
        <v>14113</v>
      </c>
      <c r="N2078" s="6" t="s">
        <v>427</v>
      </c>
      <c r="O2078" s="6" t="s">
        <v>178</v>
      </c>
      <c r="P2078" s="10">
        <v>45957.0</v>
      </c>
    </row>
    <row r="2079" ht="22.5" customHeight="1">
      <c r="A2079" s="6" t="s">
        <v>14114</v>
      </c>
      <c r="B2079" s="6" t="s">
        <v>14115</v>
      </c>
      <c r="C2079" s="6" t="s">
        <v>14116</v>
      </c>
      <c r="D2079" s="6" t="s">
        <v>206</v>
      </c>
      <c r="E2079" s="6" t="s">
        <v>301</v>
      </c>
      <c r="F2079" s="8">
        <v>52.0</v>
      </c>
      <c r="G2079" s="9">
        <v>914.16</v>
      </c>
      <c r="H2079" s="9">
        <v>4756.8</v>
      </c>
      <c r="I2079" s="6" t="s">
        <v>161</v>
      </c>
      <c r="J2079" s="6" t="s">
        <v>479</v>
      </c>
      <c r="K2079" s="6" t="s">
        <v>14118</v>
      </c>
      <c r="L2079" s="6">
        <v>7.261572152E10</v>
      </c>
      <c r="M2079" s="6" t="s">
        <v>14119</v>
      </c>
      <c r="N2079" s="6" t="s">
        <v>259</v>
      </c>
      <c r="O2079" s="6" t="s">
        <v>178</v>
      </c>
      <c r="P2079" s="10">
        <v>46007.0</v>
      </c>
    </row>
    <row r="2080" ht="22.5" customHeight="1">
      <c r="A2080" s="6" t="s">
        <v>14120</v>
      </c>
      <c r="B2080" s="6" t="s">
        <v>14121</v>
      </c>
      <c r="C2080" s="6" t="s">
        <v>14122</v>
      </c>
      <c r="D2080" s="6" t="s">
        <v>206</v>
      </c>
      <c r="E2080" s="6" t="s">
        <v>210</v>
      </c>
      <c r="F2080" s="8">
        <v>98.0</v>
      </c>
      <c r="G2080" s="9">
        <v>400.93</v>
      </c>
      <c r="H2080" s="9">
        <v>8459.09</v>
      </c>
      <c r="I2080" s="6" t="s">
        <v>178</v>
      </c>
      <c r="J2080" s="6" t="s">
        <v>312</v>
      </c>
      <c r="K2080" s="6" t="s">
        <v>14123</v>
      </c>
      <c r="L2080" s="6">
        <v>6.082977596E10</v>
      </c>
      <c r="M2080" s="6" t="s">
        <v>14124</v>
      </c>
      <c r="N2080" s="6" t="s">
        <v>112</v>
      </c>
      <c r="O2080" s="6" t="s">
        <v>161</v>
      </c>
      <c r="P2080" s="10">
        <v>45953.0</v>
      </c>
    </row>
    <row r="2081" ht="22.5" customHeight="1">
      <c r="A2081" s="6" t="s">
        <v>14126</v>
      </c>
      <c r="B2081" s="6" t="s">
        <v>14127</v>
      </c>
      <c r="C2081" s="6" t="s">
        <v>14128</v>
      </c>
      <c r="D2081" s="6" t="s">
        <v>206</v>
      </c>
      <c r="E2081" s="6" t="s">
        <v>301</v>
      </c>
      <c r="F2081" s="8">
        <v>33.0</v>
      </c>
      <c r="G2081" s="9">
        <v>371.14</v>
      </c>
      <c r="H2081" s="9">
        <v>5765.53</v>
      </c>
      <c r="I2081" s="6" t="s">
        <v>161</v>
      </c>
      <c r="J2081" s="6" t="s">
        <v>228</v>
      </c>
      <c r="K2081" s="6" t="s">
        <v>14129</v>
      </c>
      <c r="L2081" s="6">
        <v>9.3373924307E10</v>
      </c>
      <c r="M2081" s="6" t="s">
        <v>14130</v>
      </c>
      <c r="N2081" s="6" t="s">
        <v>259</v>
      </c>
      <c r="O2081" s="6" t="s">
        <v>178</v>
      </c>
      <c r="P2081" s="10">
        <v>46002.0</v>
      </c>
    </row>
    <row r="2082" ht="22.5" customHeight="1">
      <c r="A2082" s="6" t="s">
        <v>14131</v>
      </c>
      <c r="B2082" s="6" t="s">
        <v>14132</v>
      </c>
      <c r="C2082" s="6" t="s">
        <v>14133</v>
      </c>
      <c r="D2082" s="6" t="s">
        <v>383</v>
      </c>
      <c r="E2082" s="6" t="s">
        <v>301</v>
      </c>
      <c r="F2082" s="8">
        <v>38.0</v>
      </c>
      <c r="G2082" s="9">
        <v>1607.27</v>
      </c>
      <c r="H2082" s="9">
        <v>8243.44</v>
      </c>
      <c r="I2082" s="6" t="s">
        <v>178</v>
      </c>
      <c r="J2082" s="6" t="s">
        <v>357</v>
      </c>
      <c r="K2082" s="6" t="s">
        <v>14135</v>
      </c>
      <c r="L2082" s="6">
        <v>6.7251578082E10</v>
      </c>
      <c r="M2082" s="6" t="s">
        <v>14136</v>
      </c>
      <c r="N2082" s="6" t="s">
        <v>259</v>
      </c>
      <c r="O2082" s="6" t="s">
        <v>161</v>
      </c>
      <c r="P2082" s="10">
        <v>46041.0</v>
      </c>
    </row>
    <row r="2083" ht="22.5" customHeight="1">
      <c r="A2083" s="6" t="s">
        <v>14137</v>
      </c>
      <c r="B2083" s="6" t="s">
        <v>14138</v>
      </c>
      <c r="C2083" s="6" t="s">
        <v>14139</v>
      </c>
      <c r="D2083" s="6" t="s">
        <v>383</v>
      </c>
      <c r="E2083" s="6" t="s">
        <v>301</v>
      </c>
      <c r="F2083" s="8">
        <v>40.0</v>
      </c>
      <c r="G2083" s="9">
        <v>1776.68</v>
      </c>
      <c r="H2083" s="9">
        <v>13162.77</v>
      </c>
      <c r="I2083" s="6" t="s">
        <v>161</v>
      </c>
      <c r="J2083" s="6" t="s">
        <v>442</v>
      </c>
      <c r="K2083" s="6" t="s">
        <v>14141</v>
      </c>
      <c r="L2083" s="6">
        <v>6.5606458496E10</v>
      </c>
      <c r="M2083" s="6" t="s">
        <v>14142</v>
      </c>
      <c r="N2083" s="6" t="s">
        <v>283</v>
      </c>
      <c r="O2083" s="6" t="s">
        <v>178</v>
      </c>
      <c r="P2083" s="10">
        <v>46039.0</v>
      </c>
    </row>
    <row r="2084" ht="22.5" customHeight="1">
      <c r="A2084" s="6" t="s">
        <v>14143</v>
      </c>
      <c r="B2084" s="6" t="s">
        <v>14144</v>
      </c>
      <c r="C2084" s="6" t="s">
        <v>14145</v>
      </c>
      <c r="D2084" s="6" t="s">
        <v>145</v>
      </c>
      <c r="E2084" s="6" t="s">
        <v>147</v>
      </c>
      <c r="F2084" s="8">
        <v>5.0</v>
      </c>
      <c r="G2084" s="9">
        <v>943.3</v>
      </c>
      <c r="H2084" s="9">
        <v>1729.52</v>
      </c>
      <c r="I2084" s="6" t="s">
        <v>161</v>
      </c>
      <c r="J2084" s="6" t="s">
        <v>442</v>
      </c>
      <c r="K2084" s="6" t="s">
        <v>14146</v>
      </c>
      <c r="L2084" s="6">
        <v>4.3375395944E10</v>
      </c>
      <c r="M2084" s="6" t="s">
        <v>14147</v>
      </c>
      <c r="N2084" s="6" t="s">
        <v>427</v>
      </c>
      <c r="O2084" s="6" t="s">
        <v>178</v>
      </c>
      <c r="P2084" s="10">
        <v>45986.0</v>
      </c>
    </row>
    <row r="2085" ht="22.5" customHeight="1">
      <c r="A2085" s="6" t="s">
        <v>14149</v>
      </c>
      <c r="B2085" s="6" t="s">
        <v>14150</v>
      </c>
      <c r="C2085" s="6" t="s">
        <v>14151</v>
      </c>
      <c r="D2085" s="6" t="s">
        <v>145</v>
      </c>
      <c r="E2085" s="6" t="s">
        <v>301</v>
      </c>
      <c r="F2085" s="8">
        <v>34.0</v>
      </c>
      <c r="G2085" s="9">
        <v>241.97</v>
      </c>
      <c r="H2085" s="9">
        <v>7763.27</v>
      </c>
      <c r="I2085" s="6" t="s">
        <v>161</v>
      </c>
      <c r="J2085" s="6" t="s">
        <v>1693</v>
      </c>
      <c r="K2085" s="6" t="s">
        <v>14152</v>
      </c>
      <c r="L2085" s="6">
        <v>7.66346174E8</v>
      </c>
      <c r="M2085" s="6" t="s">
        <v>14153</v>
      </c>
      <c r="N2085" s="6" t="s">
        <v>176</v>
      </c>
      <c r="O2085" s="6" t="s">
        <v>178</v>
      </c>
      <c r="P2085" s="10">
        <v>45941.0</v>
      </c>
    </row>
    <row r="2086" ht="22.5" customHeight="1">
      <c r="A2086" s="6" t="s">
        <v>14154</v>
      </c>
      <c r="B2086" s="6" t="s">
        <v>14155</v>
      </c>
      <c r="C2086" s="6" t="s">
        <v>11095</v>
      </c>
      <c r="D2086" s="6" t="s">
        <v>206</v>
      </c>
      <c r="E2086" s="6" t="s">
        <v>210</v>
      </c>
      <c r="F2086" s="8">
        <v>108.0</v>
      </c>
      <c r="G2086" s="9">
        <v>317.56</v>
      </c>
      <c r="H2086" s="9">
        <v>897.33</v>
      </c>
      <c r="I2086" s="6" t="s">
        <v>161</v>
      </c>
      <c r="J2086" s="6" t="s">
        <v>393</v>
      </c>
      <c r="K2086" s="6" t="s">
        <v>14157</v>
      </c>
      <c r="L2086" s="6">
        <v>6.4819520187E10</v>
      </c>
      <c r="M2086" s="6" t="s">
        <v>14158</v>
      </c>
      <c r="N2086" s="6" t="s">
        <v>427</v>
      </c>
      <c r="O2086" s="6" t="s">
        <v>161</v>
      </c>
      <c r="P2086" s="10">
        <v>46008.0</v>
      </c>
    </row>
    <row r="2087" ht="22.5" customHeight="1">
      <c r="A2087" s="6" t="s">
        <v>14160</v>
      </c>
      <c r="B2087" s="6" t="s">
        <v>14161</v>
      </c>
      <c r="C2087" s="6" t="s">
        <v>14162</v>
      </c>
      <c r="D2087" s="6" t="s">
        <v>206</v>
      </c>
      <c r="E2087" s="6" t="s">
        <v>147</v>
      </c>
      <c r="F2087" s="8">
        <v>29.0</v>
      </c>
      <c r="G2087" s="9">
        <v>631.63</v>
      </c>
      <c r="H2087" s="9">
        <v>7587.21</v>
      </c>
      <c r="I2087" s="6" t="s">
        <v>161</v>
      </c>
      <c r="J2087" s="6" t="s">
        <v>393</v>
      </c>
      <c r="K2087" s="6" t="s">
        <v>14164</v>
      </c>
      <c r="L2087" s="6">
        <v>4.3252749963E10</v>
      </c>
      <c r="M2087" s="6" t="s">
        <v>14165</v>
      </c>
      <c r="N2087" s="6" t="s">
        <v>112</v>
      </c>
      <c r="O2087" s="6" t="s">
        <v>178</v>
      </c>
      <c r="P2087" s="10">
        <v>45932.0</v>
      </c>
    </row>
    <row r="2088" ht="22.5" customHeight="1">
      <c r="A2088" s="6" t="s">
        <v>14166</v>
      </c>
      <c r="B2088" s="6" t="s">
        <v>14167</v>
      </c>
      <c r="C2088" s="6" t="s">
        <v>14168</v>
      </c>
      <c r="D2088" s="6" t="s">
        <v>206</v>
      </c>
      <c r="E2088" s="6" t="s">
        <v>147</v>
      </c>
      <c r="F2088" s="8">
        <v>14.0</v>
      </c>
      <c r="G2088" s="9">
        <v>151.75</v>
      </c>
      <c r="H2088" s="9">
        <v>12077.54</v>
      </c>
      <c r="I2088" s="6" t="s">
        <v>161</v>
      </c>
      <c r="J2088" s="6" t="s">
        <v>163</v>
      </c>
      <c r="K2088" s="6" t="s">
        <v>14170</v>
      </c>
      <c r="L2088" s="6">
        <v>3.5094656004E10</v>
      </c>
      <c r="M2088" s="6" t="s">
        <v>14171</v>
      </c>
      <c r="N2088" s="6" t="s">
        <v>176</v>
      </c>
      <c r="O2088" s="6" t="s">
        <v>178</v>
      </c>
      <c r="P2088" s="10">
        <v>46039.0</v>
      </c>
    </row>
    <row r="2089" ht="22.5" customHeight="1">
      <c r="A2089" s="6" t="s">
        <v>14173</v>
      </c>
      <c r="B2089" s="6" t="s">
        <v>14174</v>
      </c>
      <c r="C2089" s="6" t="s">
        <v>14175</v>
      </c>
      <c r="D2089" s="6" t="s">
        <v>145</v>
      </c>
      <c r="E2089" s="6" t="s">
        <v>301</v>
      </c>
      <c r="F2089" s="8">
        <v>30.0</v>
      </c>
      <c r="G2089" s="9">
        <v>1667.28</v>
      </c>
      <c r="H2089" s="9">
        <v>8610.68</v>
      </c>
      <c r="I2089" s="6" t="s">
        <v>161</v>
      </c>
      <c r="J2089" s="6" t="s">
        <v>228</v>
      </c>
      <c r="K2089" s="6" t="s">
        <v>14177</v>
      </c>
      <c r="L2089" s="6">
        <v>9.9541418065E10</v>
      </c>
      <c r="M2089" s="6" t="s">
        <v>14178</v>
      </c>
      <c r="N2089" s="6" t="s">
        <v>427</v>
      </c>
      <c r="O2089" s="6" t="s">
        <v>178</v>
      </c>
      <c r="P2089" s="10">
        <v>46026.0</v>
      </c>
    </row>
    <row r="2090" ht="22.5" customHeight="1">
      <c r="A2090" s="6" t="s">
        <v>14180</v>
      </c>
      <c r="B2090" s="6" t="s">
        <v>14181</v>
      </c>
      <c r="C2090" s="6" t="s">
        <v>14182</v>
      </c>
      <c r="D2090" s="6" t="s">
        <v>145</v>
      </c>
      <c r="E2090" s="6" t="s">
        <v>147</v>
      </c>
      <c r="F2090" s="8">
        <v>7.0</v>
      </c>
      <c r="G2090" s="9">
        <v>1744.85</v>
      </c>
      <c r="H2090" s="9">
        <v>11570.55</v>
      </c>
      <c r="I2090" s="6" t="s">
        <v>161</v>
      </c>
      <c r="J2090" s="6" t="s">
        <v>312</v>
      </c>
      <c r="K2090" s="6" t="s">
        <v>14184</v>
      </c>
      <c r="L2090" s="6">
        <v>8.9877662907E10</v>
      </c>
      <c r="M2090" s="6" t="s">
        <v>14185</v>
      </c>
      <c r="N2090" s="6" t="s">
        <v>283</v>
      </c>
      <c r="O2090" s="6" t="s">
        <v>178</v>
      </c>
      <c r="P2090" s="10">
        <v>45999.0</v>
      </c>
    </row>
    <row r="2091" ht="22.5" customHeight="1">
      <c r="A2091" s="6" t="s">
        <v>14187</v>
      </c>
      <c r="B2091" s="6" t="s">
        <v>14188</v>
      </c>
      <c r="C2091" s="6" t="s">
        <v>14189</v>
      </c>
      <c r="D2091" s="6" t="s">
        <v>145</v>
      </c>
      <c r="E2091" s="6" t="s">
        <v>301</v>
      </c>
      <c r="F2091" s="8">
        <v>55.0</v>
      </c>
      <c r="G2091" s="9">
        <v>166.44</v>
      </c>
      <c r="H2091" s="9">
        <v>10463.63</v>
      </c>
      <c r="I2091" s="6" t="s">
        <v>161</v>
      </c>
      <c r="J2091" s="6" t="s">
        <v>421</v>
      </c>
      <c r="K2091" s="6" t="s">
        <v>14191</v>
      </c>
      <c r="L2091" s="6">
        <v>5.0681927675E10</v>
      </c>
      <c r="M2091" s="6" t="s">
        <v>14192</v>
      </c>
      <c r="N2091" s="6" t="s">
        <v>283</v>
      </c>
      <c r="O2091" s="6" t="s">
        <v>178</v>
      </c>
      <c r="P2091" s="10">
        <v>45967.0</v>
      </c>
    </row>
    <row r="2092" ht="22.5" customHeight="1">
      <c r="A2092" s="6" t="s">
        <v>14193</v>
      </c>
      <c r="B2092" s="6" t="s">
        <v>14194</v>
      </c>
      <c r="C2092" s="6" t="s">
        <v>14195</v>
      </c>
      <c r="D2092" s="6" t="s">
        <v>383</v>
      </c>
      <c r="E2092" s="6" t="s">
        <v>210</v>
      </c>
      <c r="F2092" s="8">
        <v>107.0</v>
      </c>
      <c r="G2092" s="9">
        <v>1143.03</v>
      </c>
      <c r="H2092" s="9">
        <v>1658.15</v>
      </c>
      <c r="I2092" s="6" t="s">
        <v>161</v>
      </c>
      <c r="J2092" s="6" t="s">
        <v>465</v>
      </c>
      <c r="K2092" s="6" t="s">
        <v>14197</v>
      </c>
      <c r="L2092" s="6">
        <v>5.7537188612E10</v>
      </c>
      <c r="M2092" s="6" t="s">
        <v>14198</v>
      </c>
      <c r="N2092" s="6" t="s">
        <v>259</v>
      </c>
      <c r="O2092" s="6" t="s">
        <v>161</v>
      </c>
      <c r="P2092" s="10">
        <v>45984.0</v>
      </c>
    </row>
    <row r="2093" ht="22.5" customHeight="1">
      <c r="A2093" s="6" t="s">
        <v>14200</v>
      </c>
      <c r="B2093" s="6" t="s">
        <v>14201</v>
      </c>
      <c r="C2093" s="6" t="s">
        <v>14202</v>
      </c>
      <c r="D2093" s="6" t="s">
        <v>206</v>
      </c>
      <c r="E2093" s="6" t="s">
        <v>147</v>
      </c>
      <c r="F2093" s="8">
        <v>22.0</v>
      </c>
      <c r="G2093" s="9">
        <v>1330.86</v>
      </c>
      <c r="H2093" s="9">
        <v>5699.29</v>
      </c>
      <c r="I2093" s="6" t="s">
        <v>178</v>
      </c>
      <c r="J2093" s="6" t="s">
        <v>393</v>
      </c>
      <c r="K2093" s="6" t="s">
        <v>14204</v>
      </c>
      <c r="L2093" s="6">
        <v>8.3049352666E10</v>
      </c>
      <c r="M2093" s="6" t="s">
        <v>14205</v>
      </c>
      <c r="N2093" s="6" t="s">
        <v>427</v>
      </c>
      <c r="O2093" s="6" t="s">
        <v>161</v>
      </c>
      <c r="P2093" s="10">
        <v>46050.0</v>
      </c>
    </row>
    <row r="2094" ht="22.5" customHeight="1">
      <c r="A2094" s="6" t="s">
        <v>14207</v>
      </c>
      <c r="B2094" s="6" t="s">
        <v>14208</v>
      </c>
      <c r="C2094" s="6" t="s">
        <v>14209</v>
      </c>
      <c r="D2094" s="6" t="s">
        <v>206</v>
      </c>
      <c r="E2094" s="6" t="s">
        <v>301</v>
      </c>
      <c r="F2094" s="8">
        <v>47.0</v>
      </c>
      <c r="G2094" s="9">
        <v>289.84</v>
      </c>
      <c r="H2094" s="9">
        <v>5114.07</v>
      </c>
      <c r="I2094" s="6" t="s">
        <v>161</v>
      </c>
      <c r="J2094" s="6" t="s">
        <v>228</v>
      </c>
      <c r="K2094" s="6" t="s">
        <v>14211</v>
      </c>
      <c r="L2094" s="6">
        <v>8.7914077956E10</v>
      </c>
      <c r="M2094" s="6" t="s">
        <v>14212</v>
      </c>
      <c r="N2094" s="6" t="s">
        <v>112</v>
      </c>
      <c r="O2094" s="6" t="s">
        <v>178</v>
      </c>
      <c r="P2094" s="10">
        <v>45938.0</v>
      </c>
    </row>
    <row r="2095" ht="22.5" customHeight="1">
      <c r="A2095" s="6" t="s">
        <v>14214</v>
      </c>
      <c r="B2095" s="6" t="s">
        <v>14215</v>
      </c>
      <c r="C2095" s="6" t="s">
        <v>14216</v>
      </c>
      <c r="D2095" s="6" t="s">
        <v>383</v>
      </c>
      <c r="E2095" s="6" t="s">
        <v>301</v>
      </c>
      <c r="F2095" s="8">
        <v>57.0</v>
      </c>
      <c r="G2095" s="9">
        <v>620.07</v>
      </c>
      <c r="H2095" s="9">
        <v>8257.72</v>
      </c>
      <c r="I2095" s="6" t="s">
        <v>161</v>
      </c>
      <c r="J2095" s="6" t="s">
        <v>465</v>
      </c>
      <c r="K2095" s="6" t="s">
        <v>14218</v>
      </c>
      <c r="L2095" s="6">
        <v>5.567524925E10</v>
      </c>
      <c r="M2095" s="6" t="s">
        <v>14220</v>
      </c>
      <c r="N2095" s="6" t="s">
        <v>283</v>
      </c>
      <c r="O2095" s="6" t="s">
        <v>178</v>
      </c>
      <c r="P2095" s="10">
        <v>45977.0</v>
      </c>
    </row>
    <row r="2096" ht="22.5" customHeight="1">
      <c r="A2096" s="6" t="s">
        <v>14221</v>
      </c>
      <c r="B2096" s="6" t="s">
        <v>14222</v>
      </c>
      <c r="C2096" s="6" t="s">
        <v>14223</v>
      </c>
      <c r="D2096" s="6" t="s">
        <v>383</v>
      </c>
      <c r="E2096" s="6" t="s">
        <v>210</v>
      </c>
      <c r="F2096" s="8">
        <v>82.0</v>
      </c>
      <c r="G2096" s="9">
        <v>234.96</v>
      </c>
      <c r="H2096" s="9">
        <v>13712.06</v>
      </c>
      <c r="I2096" s="6" t="s">
        <v>178</v>
      </c>
      <c r="J2096" s="6" t="s">
        <v>479</v>
      </c>
      <c r="K2096" s="6" t="s">
        <v>14225</v>
      </c>
      <c r="L2096" s="6">
        <v>9.543991463E9</v>
      </c>
      <c r="M2096" s="6" t="s">
        <v>14226</v>
      </c>
      <c r="N2096" s="6" t="s">
        <v>112</v>
      </c>
      <c r="O2096" s="6" t="s">
        <v>161</v>
      </c>
      <c r="P2096" s="10">
        <v>45997.0</v>
      </c>
    </row>
    <row r="2097" ht="22.5" customHeight="1">
      <c r="A2097" s="6" t="s">
        <v>14227</v>
      </c>
      <c r="B2097" s="6" t="s">
        <v>14228</v>
      </c>
      <c r="C2097" s="6" t="s">
        <v>14230</v>
      </c>
      <c r="D2097" s="6" t="s">
        <v>145</v>
      </c>
      <c r="E2097" s="6" t="s">
        <v>210</v>
      </c>
      <c r="F2097" s="8">
        <v>114.0</v>
      </c>
      <c r="G2097" s="9">
        <v>1291.96</v>
      </c>
      <c r="H2097" s="9">
        <v>5386.48</v>
      </c>
      <c r="I2097" s="6" t="s">
        <v>178</v>
      </c>
      <c r="J2097" s="6" t="s">
        <v>442</v>
      </c>
      <c r="K2097" s="6" t="s">
        <v>14231</v>
      </c>
      <c r="L2097" s="6">
        <v>5.3130473355E10</v>
      </c>
      <c r="M2097" s="6" t="s">
        <v>14232</v>
      </c>
      <c r="N2097" s="6" t="s">
        <v>283</v>
      </c>
      <c r="O2097" s="6" t="s">
        <v>161</v>
      </c>
      <c r="P2097" s="10">
        <v>45954.0</v>
      </c>
    </row>
    <row r="2098" ht="22.5" customHeight="1">
      <c r="A2098" s="6" t="s">
        <v>14234</v>
      </c>
      <c r="B2098" s="6" t="s">
        <v>14235</v>
      </c>
      <c r="C2098" s="6" t="s">
        <v>14236</v>
      </c>
      <c r="D2098" s="6" t="s">
        <v>206</v>
      </c>
      <c r="E2098" s="6" t="s">
        <v>301</v>
      </c>
      <c r="F2098" s="8">
        <v>43.0</v>
      </c>
      <c r="G2098" s="9">
        <v>613.51</v>
      </c>
      <c r="H2098" s="9">
        <v>12657.94</v>
      </c>
      <c r="I2098" s="6" t="s">
        <v>161</v>
      </c>
      <c r="J2098" s="6" t="s">
        <v>312</v>
      </c>
      <c r="K2098" s="6" t="s">
        <v>14238</v>
      </c>
      <c r="L2098" s="6">
        <v>7.9835781811E10</v>
      </c>
      <c r="M2098" s="6" t="s">
        <v>14239</v>
      </c>
      <c r="N2098" s="6" t="s">
        <v>112</v>
      </c>
      <c r="O2098" s="6" t="s">
        <v>178</v>
      </c>
      <c r="P2098" s="10">
        <v>46012.0</v>
      </c>
    </row>
    <row r="2099" ht="22.5" customHeight="1">
      <c r="A2099" s="6" t="s">
        <v>14241</v>
      </c>
      <c r="B2099" s="6" t="s">
        <v>14242</v>
      </c>
      <c r="C2099" s="6" t="s">
        <v>14243</v>
      </c>
      <c r="D2099" s="6" t="s">
        <v>145</v>
      </c>
      <c r="E2099" s="6" t="s">
        <v>301</v>
      </c>
      <c r="F2099" s="8">
        <v>42.0</v>
      </c>
      <c r="G2099" s="9">
        <v>597.99</v>
      </c>
      <c r="H2099" s="9">
        <v>2293.29</v>
      </c>
      <c r="I2099" s="6" t="s">
        <v>161</v>
      </c>
      <c r="J2099" s="6" t="s">
        <v>577</v>
      </c>
      <c r="K2099" s="6" t="s">
        <v>14245</v>
      </c>
      <c r="L2099" s="6">
        <v>8.3542434187E10</v>
      </c>
      <c r="M2099" s="6" t="s">
        <v>14247</v>
      </c>
      <c r="N2099" s="6" t="s">
        <v>259</v>
      </c>
      <c r="O2099" s="6" t="s">
        <v>178</v>
      </c>
      <c r="P2099" s="10">
        <v>45983.0</v>
      </c>
    </row>
    <row r="2100" ht="22.5" customHeight="1">
      <c r="A2100" s="6" t="s">
        <v>14248</v>
      </c>
      <c r="B2100" s="6" t="s">
        <v>14249</v>
      </c>
      <c r="C2100" s="6" t="s">
        <v>14250</v>
      </c>
      <c r="D2100" s="6" t="s">
        <v>206</v>
      </c>
      <c r="E2100" s="6" t="s">
        <v>147</v>
      </c>
      <c r="F2100" s="8">
        <v>15.0</v>
      </c>
      <c r="G2100" s="9">
        <v>317.16</v>
      </c>
      <c r="H2100" s="9">
        <v>6690.39</v>
      </c>
      <c r="I2100" s="6" t="s">
        <v>161</v>
      </c>
      <c r="J2100" s="6" t="s">
        <v>393</v>
      </c>
      <c r="K2100" s="6" t="s">
        <v>14252</v>
      </c>
      <c r="L2100" s="6">
        <v>7.8320528053E10</v>
      </c>
      <c r="M2100" s="6" t="s">
        <v>14253</v>
      </c>
      <c r="N2100" s="6" t="s">
        <v>283</v>
      </c>
      <c r="O2100" s="6" t="s">
        <v>178</v>
      </c>
      <c r="P2100" s="10">
        <v>45973.0</v>
      </c>
    </row>
    <row r="2101" ht="22.5" customHeight="1">
      <c r="A2101" s="6" t="s">
        <v>14254</v>
      </c>
      <c r="B2101" s="6" t="s">
        <v>14256</v>
      </c>
      <c r="C2101" s="6" t="s">
        <v>14257</v>
      </c>
      <c r="D2101" s="6" t="s">
        <v>145</v>
      </c>
      <c r="E2101" s="6" t="s">
        <v>147</v>
      </c>
      <c r="F2101" s="8">
        <v>9.0</v>
      </c>
      <c r="G2101" s="9">
        <v>1111.26</v>
      </c>
      <c r="H2101" s="9">
        <v>6374.58</v>
      </c>
      <c r="I2101" s="6" t="s">
        <v>161</v>
      </c>
      <c r="J2101" s="6" t="s">
        <v>577</v>
      </c>
      <c r="K2101" s="6" t="s">
        <v>14258</v>
      </c>
      <c r="L2101" s="6" t="s">
        <v>259</v>
      </c>
      <c r="M2101" s="6" t="s">
        <v>14259</v>
      </c>
      <c r="N2101" s="6" t="s">
        <v>176</v>
      </c>
      <c r="O2101" s="6" t="s">
        <v>178</v>
      </c>
      <c r="P2101" s="10">
        <v>46002.0</v>
      </c>
    </row>
    <row r="2102" ht="22.5" customHeight="1">
      <c r="A2102" s="6" t="s">
        <v>14261</v>
      </c>
      <c r="B2102" s="6" t="s">
        <v>14262</v>
      </c>
      <c r="C2102" s="6" t="s">
        <v>14263</v>
      </c>
      <c r="D2102" s="6" t="s">
        <v>145</v>
      </c>
      <c r="E2102" s="6" t="s">
        <v>147</v>
      </c>
      <c r="F2102" s="8">
        <v>8.0</v>
      </c>
      <c r="G2102" s="9">
        <v>1729.45</v>
      </c>
      <c r="H2102" s="9">
        <v>11078.52</v>
      </c>
      <c r="I2102" s="6" t="s">
        <v>161</v>
      </c>
      <c r="J2102" s="6" t="s">
        <v>421</v>
      </c>
      <c r="K2102" s="6" t="s">
        <v>14265</v>
      </c>
      <c r="L2102" s="6">
        <v>4.8225953153E10</v>
      </c>
      <c r="M2102" s="6" t="s">
        <v>14266</v>
      </c>
      <c r="N2102" s="6" t="s">
        <v>427</v>
      </c>
      <c r="O2102" s="6" t="s">
        <v>178</v>
      </c>
      <c r="P2102" s="10">
        <v>45990.0</v>
      </c>
    </row>
    <row r="2103" ht="22.5" customHeight="1">
      <c r="A2103" s="6" t="s">
        <v>14268</v>
      </c>
      <c r="B2103" s="6" t="s">
        <v>14269</v>
      </c>
      <c r="C2103" s="6" t="s">
        <v>14270</v>
      </c>
      <c r="D2103" s="6" t="s">
        <v>206</v>
      </c>
      <c r="E2103" s="6" t="s">
        <v>210</v>
      </c>
      <c r="F2103" s="8">
        <v>101.0</v>
      </c>
      <c r="G2103" s="9">
        <v>1230.31</v>
      </c>
      <c r="H2103" s="9">
        <v>4856.7</v>
      </c>
      <c r="I2103" s="6" t="s">
        <v>178</v>
      </c>
      <c r="J2103" s="6" t="s">
        <v>577</v>
      </c>
      <c r="K2103" s="6" t="s">
        <v>14271</v>
      </c>
      <c r="L2103" s="6">
        <v>3.1382540761E10</v>
      </c>
      <c r="M2103" s="6" t="s">
        <v>14273</v>
      </c>
      <c r="N2103" s="6" t="s">
        <v>112</v>
      </c>
      <c r="O2103" s="6" t="s">
        <v>161</v>
      </c>
      <c r="P2103" s="10">
        <v>46043.0</v>
      </c>
    </row>
    <row r="2104" ht="22.5" customHeight="1">
      <c r="A2104" s="6" t="s">
        <v>14274</v>
      </c>
      <c r="B2104" s="6" t="s">
        <v>14275</v>
      </c>
      <c r="C2104" s="6" t="s">
        <v>14276</v>
      </c>
      <c r="D2104" s="6" t="s">
        <v>206</v>
      </c>
      <c r="E2104" s="6" t="s">
        <v>147</v>
      </c>
      <c r="F2104" s="8">
        <v>18.0</v>
      </c>
      <c r="G2104" s="9">
        <v>996.02</v>
      </c>
      <c r="H2104" s="9">
        <v>7381.43</v>
      </c>
      <c r="I2104" s="6" t="s">
        <v>178</v>
      </c>
      <c r="J2104" s="6" t="s">
        <v>393</v>
      </c>
      <c r="K2104" s="6" t="s">
        <v>14278</v>
      </c>
      <c r="L2104" s="6">
        <v>8.7371451945E10</v>
      </c>
      <c r="M2104" s="6" t="s">
        <v>14279</v>
      </c>
      <c r="N2104" s="6" t="s">
        <v>176</v>
      </c>
      <c r="O2104" s="6" t="s">
        <v>161</v>
      </c>
      <c r="P2104" s="10">
        <v>46004.0</v>
      </c>
    </row>
    <row r="2105" ht="22.5" customHeight="1">
      <c r="A2105" s="6" t="s">
        <v>14280</v>
      </c>
      <c r="B2105" s="6" t="s">
        <v>14282</v>
      </c>
      <c r="C2105" s="6" t="s">
        <v>14283</v>
      </c>
      <c r="D2105" s="6" t="s">
        <v>145</v>
      </c>
      <c r="E2105" s="6" t="s">
        <v>147</v>
      </c>
      <c r="F2105" s="8">
        <v>19.0</v>
      </c>
      <c r="G2105" s="9">
        <v>909.81</v>
      </c>
      <c r="H2105" s="9">
        <v>5710.98</v>
      </c>
      <c r="I2105" s="6" t="s">
        <v>161</v>
      </c>
      <c r="J2105" s="6" t="s">
        <v>228</v>
      </c>
      <c r="K2105" s="6" t="s">
        <v>14284</v>
      </c>
      <c r="L2105" s="6">
        <v>6.0522270459E10</v>
      </c>
      <c r="M2105" s="6" t="s">
        <v>14285</v>
      </c>
      <c r="N2105" s="6" t="s">
        <v>427</v>
      </c>
      <c r="O2105" s="6" t="s">
        <v>178</v>
      </c>
      <c r="P2105" s="10">
        <v>45973.0</v>
      </c>
    </row>
    <row r="2106" ht="22.5" customHeight="1">
      <c r="A2106" s="6" t="s">
        <v>14287</v>
      </c>
      <c r="B2106" s="6" t="s">
        <v>14288</v>
      </c>
      <c r="C2106" s="6" t="s">
        <v>14289</v>
      </c>
      <c r="D2106" s="6" t="s">
        <v>206</v>
      </c>
      <c r="E2106" s="6" t="s">
        <v>147</v>
      </c>
      <c r="F2106" s="8">
        <v>23.0</v>
      </c>
      <c r="G2106" s="9">
        <v>1409.68</v>
      </c>
      <c r="H2106" s="9">
        <v>8495.07</v>
      </c>
      <c r="I2106" s="6" t="s">
        <v>161</v>
      </c>
      <c r="J2106" s="6" t="s">
        <v>421</v>
      </c>
      <c r="K2106" s="6" t="s">
        <v>14290</v>
      </c>
      <c r="L2106" s="6">
        <v>7.6067684761E10</v>
      </c>
      <c r="M2106" s="6" t="s">
        <v>14292</v>
      </c>
      <c r="N2106" s="6" t="s">
        <v>283</v>
      </c>
      <c r="O2106" s="6" t="s">
        <v>178</v>
      </c>
      <c r="P2106" s="10">
        <v>46049.0</v>
      </c>
    </row>
    <row r="2107" ht="22.5" customHeight="1">
      <c r="A2107" s="6" t="s">
        <v>14293</v>
      </c>
      <c r="B2107" s="6" t="s">
        <v>14294</v>
      </c>
      <c r="C2107" s="6" t="s">
        <v>14295</v>
      </c>
      <c r="D2107" s="6" t="s">
        <v>206</v>
      </c>
      <c r="E2107" s="6" t="s">
        <v>147</v>
      </c>
      <c r="F2107" s="8">
        <v>19.0</v>
      </c>
      <c r="G2107" s="9">
        <v>279.65</v>
      </c>
      <c r="H2107" s="9">
        <v>8484.46</v>
      </c>
      <c r="I2107" s="6" t="s">
        <v>161</v>
      </c>
      <c r="J2107" s="6" t="s">
        <v>357</v>
      </c>
      <c r="K2107" s="6" t="s">
        <v>14297</v>
      </c>
      <c r="L2107" s="6">
        <v>8.2306231945E10</v>
      </c>
      <c r="M2107" s="6" t="s">
        <v>14298</v>
      </c>
      <c r="N2107" s="6" t="s">
        <v>427</v>
      </c>
      <c r="O2107" s="6" t="s">
        <v>178</v>
      </c>
      <c r="P2107" s="10">
        <v>45961.0</v>
      </c>
    </row>
    <row r="2108" ht="22.5" customHeight="1">
      <c r="A2108" s="6" t="s">
        <v>14299</v>
      </c>
      <c r="B2108" s="6" t="s">
        <v>14300</v>
      </c>
      <c r="C2108" s="6" t="s">
        <v>14302</v>
      </c>
      <c r="D2108" s="6" t="s">
        <v>145</v>
      </c>
      <c r="E2108" s="6" t="s">
        <v>210</v>
      </c>
      <c r="F2108" s="8">
        <v>113.0</v>
      </c>
      <c r="G2108" s="9">
        <v>1735.02</v>
      </c>
      <c r="H2108" s="9">
        <v>14964.98</v>
      </c>
      <c r="I2108" s="6" t="s">
        <v>178</v>
      </c>
      <c r="J2108" s="6" t="s">
        <v>577</v>
      </c>
      <c r="K2108" s="6" t="s">
        <v>14303</v>
      </c>
      <c r="L2108" s="6">
        <v>1.6045710533E10</v>
      </c>
      <c r="M2108" s="6" t="s">
        <v>14304</v>
      </c>
      <c r="N2108" s="6" t="s">
        <v>283</v>
      </c>
      <c r="O2108" s="6" t="s">
        <v>161</v>
      </c>
      <c r="P2108" s="10">
        <v>46001.0</v>
      </c>
    </row>
    <row r="2109" ht="22.5" customHeight="1">
      <c r="A2109" s="6" t="s">
        <v>14306</v>
      </c>
      <c r="B2109" s="6" t="s">
        <v>14307</v>
      </c>
      <c r="C2109" s="6" t="s">
        <v>14308</v>
      </c>
      <c r="D2109" s="6" t="s">
        <v>206</v>
      </c>
      <c r="E2109" s="6" t="s">
        <v>147</v>
      </c>
      <c r="F2109" s="8">
        <v>13.0</v>
      </c>
      <c r="G2109" s="9">
        <v>766.47</v>
      </c>
      <c r="H2109" s="9">
        <v>8883.81</v>
      </c>
      <c r="I2109" s="6" t="s">
        <v>161</v>
      </c>
      <c r="J2109" s="6" t="s">
        <v>312</v>
      </c>
      <c r="K2109" s="6" t="s">
        <v>14310</v>
      </c>
      <c r="L2109" s="6">
        <v>3.3530858458E10</v>
      </c>
      <c r="M2109" s="6" t="s">
        <v>14311</v>
      </c>
      <c r="N2109" s="6" t="s">
        <v>427</v>
      </c>
      <c r="O2109" s="6" t="s">
        <v>178</v>
      </c>
      <c r="P2109" s="10">
        <v>46017.0</v>
      </c>
    </row>
    <row r="2110" ht="22.5" customHeight="1">
      <c r="A2110" s="6" t="s">
        <v>14313</v>
      </c>
      <c r="B2110" s="6" t="s">
        <v>14314</v>
      </c>
      <c r="C2110" s="6" t="s">
        <v>14315</v>
      </c>
      <c r="D2110" s="6" t="s">
        <v>145</v>
      </c>
      <c r="E2110" s="6" t="s">
        <v>210</v>
      </c>
      <c r="F2110" s="8">
        <v>61.0</v>
      </c>
      <c r="G2110" s="9">
        <v>1799.83</v>
      </c>
      <c r="H2110" s="9">
        <v>10077.97</v>
      </c>
      <c r="I2110" s="6" t="s">
        <v>178</v>
      </c>
      <c r="J2110" s="6" t="s">
        <v>312</v>
      </c>
      <c r="K2110" s="6" t="s">
        <v>14317</v>
      </c>
      <c r="L2110" s="6">
        <v>6.4375392521E10</v>
      </c>
      <c r="M2110" s="6" t="s">
        <v>14318</v>
      </c>
      <c r="N2110" s="6" t="s">
        <v>112</v>
      </c>
      <c r="O2110" s="6" t="s">
        <v>161</v>
      </c>
      <c r="P2110" s="10">
        <v>45992.0</v>
      </c>
    </row>
    <row r="2111" ht="22.5" customHeight="1">
      <c r="A2111" s="6" t="s">
        <v>14320</v>
      </c>
      <c r="B2111" s="6" t="s">
        <v>14321</v>
      </c>
      <c r="C2111" s="6" t="s">
        <v>14322</v>
      </c>
      <c r="D2111" s="6" t="s">
        <v>206</v>
      </c>
      <c r="E2111" s="6" t="s">
        <v>147</v>
      </c>
      <c r="F2111" s="8">
        <v>24.0</v>
      </c>
      <c r="G2111" s="9">
        <v>619.47</v>
      </c>
      <c r="H2111" s="9">
        <v>2479.02</v>
      </c>
      <c r="I2111" s="6" t="s">
        <v>161</v>
      </c>
      <c r="J2111" s="6" t="s">
        <v>393</v>
      </c>
      <c r="K2111" s="6" t="s">
        <v>14324</v>
      </c>
      <c r="L2111" s="6">
        <v>6.3772148532E10</v>
      </c>
      <c r="M2111" s="6" t="s">
        <v>14326</v>
      </c>
      <c r="N2111" s="6" t="s">
        <v>427</v>
      </c>
      <c r="O2111" s="6" t="s">
        <v>178</v>
      </c>
      <c r="P2111" s="10">
        <v>45949.0</v>
      </c>
    </row>
    <row r="2112" ht="22.5" customHeight="1">
      <c r="A2112" s="6" t="s">
        <v>14327</v>
      </c>
      <c r="B2112" s="6" t="s">
        <v>14329</v>
      </c>
      <c r="C2112" s="6" t="s">
        <v>14330</v>
      </c>
      <c r="D2112" s="6" t="s">
        <v>145</v>
      </c>
      <c r="E2112" s="6" t="s">
        <v>210</v>
      </c>
      <c r="F2112" s="8">
        <v>94.0</v>
      </c>
      <c r="G2112" s="9">
        <v>1345.05</v>
      </c>
      <c r="H2112" s="9">
        <v>6717.67</v>
      </c>
      <c r="I2112" s="6" t="s">
        <v>178</v>
      </c>
      <c r="J2112" s="6" t="s">
        <v>421</v>
      </c>
      <c r="K2112" s="6" t="s">
        <v>14332</v>
      </c>
      <c r="L2112" s="6">
        <v>3.4723220979E10</v>
      </c>
      <c r="M2112" s="6" t="s">
        <v>14333</v>
      </c>
      <c r="N2112" s="6" t="s">
        <v>259</v>
      </c>
      <c r="O2112" s="6" t="s">
        <v>161</v>
      </c>
      <c r="P2112" s="10">
        <v>46031.0</v>
      </c>
    </row>
    <row r="2113" ht="22.5" customHeight="1">
      <c r="A2113" s="6" t="s">
        <v>14335</v>
      </c>
      <c r="B2113" s="6" t="s">
        <v>14336</v>
      </c>
      <c r="C2113" s="6" t="s">
        <v>14337</v>
      </c>
      <c r="D2113" s="6" t="s">
        <v>145</v>
      </c>
      <c r="E2113" s="6" t="s">
        <v>147</v>
      </c>
      <c r="F2113" s="8">
        <v>29.0</v>
      </c>
      <c r="G2113" s="9">
        <v>183.15</v>
      </c>
      <c r="H2113" s="9">
        <v>1547.0</v>
      </c>
      <c r="I2113" s="6" t="s">
        <v>161</v>
      </c>
      <c r="J2113" s="6" t="s">
        <v>421</v>
      </c>
      <c r="K2113" s="6" t="s">
        <v>14338</v>
      </c>
      <c r="L2113" s="6">
        <v>5.2331987148E10</v>
      </c>
      <c r="M2113" s="6" t="s">
        <v>14340</v>
      </c>
      <c r="N2113" s="6" t="s">
        <v>112</v>
      </c>
      <c r="O2113" s="6" t="s">
        <v>178</v>
      </c>
      <c r="P2113" s="10">
        <v>45968.0</v>
      </c>
    </row>
    <row r="2114" ht="22.5" customHeight="1">
      <c r="A2114" s="6" t="s">
        <v>14341</v>
      </c>
      <c r="B2114" s="6" t="s">
        <v>14342</v>
      </c>
      <c r="C2114" s="6" t="s">
        <v>14343</v>
      </c>
      <c r="D2114" s="6" t="s">
        <v>206</v>
      </c>
      <c r="E2114" s="6" t="s">
        <v>301</v>
      </c>
      <c r="F2114" s="8">
        <v>53.0</v>
      </c>
      <c r="G2114" s="9">
        <v>1680.62</v>
      </c>
      <c r="H2114" s="9">
        <v>12496.4</v>
      </c>
      <c r="I2114" s="6" t="s">
        <v>178</v>
      </c>
      <c r="J2114" s="6" t="s">
        <v>312</v>
      </c>
      <c r="K2114" s="6" t="s">
        <v>14345</v>
      </c>
      <c r="L2114" s="6">
        <v>4.5500385028E10</v>
      </c>
      <c r="M2114" s="6" t="s">
        <v>14346</v>
      </c>
      <c r="N2114" s="6" t="s">
        <v>112</v>
      </c>
      <c r="O2114" s="6" t="s">
        <v>161</v>
      </c>
      <c r="P2114" s="10">
        <v>46029.0</v>
      </c>
    </row>
    <row r="2115" ht="22.5" customHeight="1">
      <c r="A2115" s="6" t="s">
        <v>14348</v>
      </c>
      <c r="B2115" s="6" t="s">
        <v>14349</v>
      </c>
      <c r="C2115" s="6" t="s">
        <v>14350</v>
      </c>
      <c r="D2115" s="6" t="s">
        <v>206</v>
      </c>
      <c r="E2115" s="6" t="s">
        <v>147</v>
      </c>
      <c r="F2115" s="8">
        <v>13.0</v>
      </c>
      <c r="G2115" s="9">
        <v>1609.35</v>
      </c>
      <c r="H2115" s="9">
        <v>3206.67</v>
      </c>
      <c r="I2115" s="6" t="s">
        <v>161</v>
      </c>
      <c r="J2115" s="6" t="s">
        <v>312</v>
      </c>
      <c r="K2115" s="6" t="s">
        <v>14352</v>
      </c>
      <c r="L2115" s="6">
        <v>6.2231207685E10</v>
      </c>
      <c r="M2115" s="6" t="s">
        <v>14353</v>
      </c>
      <c r="N2115" s="6" t="s">
        <v>283</v>
      </c>
      <c r="O2115" s="6" t="s">
        <v>178</v>
      </c>
      <c r="P2115" s="10">
        <v>46050.0</v>
      </c>
    </row>
    <row r="2116" ht="22.5" customHeight="1">
      <c r="A2116" s="6" t="s">
        <v>14354</v>
      </c>
      <c r="B2116" s="6" t="s">
        <v>14355</v>
      </c>
      <c r="C2116" s="6" t="s">
        <v>14356</v>
      </c>
      <c r="D2116" s="6" t="s">
        <v>383</v>
      </c>
      <c r="E2116" s="6" t="s">
        <v>147</v>
      </c>
      <c r="F2116" s="8">
        <v>19.0</v>
      </c>
      <c r="G2116" s="9">
        <v>1330.38</v>
      </c>
      <c r="H2116" s="9">
        <v>2431.51</v>
      </c>
      <c r="I2116" s="6" t="s">
        <v>161</v>
      </c>
      <c r="J2116" s="6" t="s">
        <v>357</v>
      </c>
      <c r="K2116" s="6" t="s">
        <v>14358</v>
      </c>
      <c r="L2116" s="6">
        <v>7.5842330163E10</v>
      </c>
      <c r="M2116" s="6" t="s">
        <v>14359</v>
      </c>
      <c r="N2116" s="6" t="s">
        <v>112</v>
      </c>
      <c r="O2116" s="6" t="s">
        <v>178</v>
      </c>
      <c r="P2116" s="10">
        <v>46039.0</v>
      </c>
    </row>
    <row r="2117" ht="22.5" customHeight="1">
      <c r="A2117" s="6" t="s">
        <v>14361</v>
      </c>
      <c r="B2117" s="6" t="s">
        <v>14362</v>
      </c>
      <c r="C2117" s="6" t="s">
        <v>14363</v>
      </c>
      <c r="D2117" s="6" t="s">
        <v>206</v>
      </c>
      <c r="E2117" s="6" t="s">
        <v>210</v>
      </c>
      <c r="F2117" s="8">
        <v>64.0</v>
      </c>
      <c r="G2117" s="9">
        <v>285.38</v>
      </c>
      <c r="H2117" s="9">
        <v>9681.32</v>
      </c>
      <c r="I2117" s="6" t="s">
        <v>178</v>
      </c>
      <c r="J2117" s="6" t="s">
        <v>163</v>
      </c>
      <c r="K2117" s="6" t="s">
        <v>14365</v>
      </c>
      <c r="L2117" s="6">
        <v>8.5096433241E10</v>
      </c>
      <c r="M2117" s="6" t="s">
        <v>14366</v>
      </c>
      <c r="N2117" s="6" t="s">
        <v>427</v>
      </c>
      <c r="O2117" s="6" t="s">
        <v>161</v>
      </c>
      <c r="P2117" s="10">
        <v>45957.0</v>
      </c>
    </row>
    <row r="2118" ht="22.5" customHeight="1">
      <c r="A2118" s="6" t="s">
        <v>14367</v>
      </c>
      <c r="B2118" s="6" t="s">
        <v>14368</v>
      </c>
      <c r="C2118" s="6" t="s">
        <v>14370</v>
      </c>
      <c r="D2118" s="6" t="s">
        <v>145</v>
      </c>
      <c r="E2118" s="6" t="s">
        <v>147</v>
      </c>
      <c r="F2118" s="8">
        <v>12.0</v>
      </c>
      <c r="G2118" s="9">
        <v>298.15</v>
      </c>
      <c r="H2118" s="9">
        <v>9827.24</v>
      </c>
      <c r="I2118" s="6" t="s">
        <v>178</v>
      </c>
      <c r="J2118" s="6" t="s">
        <v>357</v>
      </c>
      <c r="K2118" s="6" t="s">
        <v>14371</v>
      </c>
      <c r="L2118" s="6" t="s">
        <v>259</v>
      </c>
      <c r="M2118" s="6" t="s">
        <v>14372</v>
      </c>
      <c r="N2118" s="6" t="s">
        <v>259</v>
      </c>
      <c r="O2118" s="6" t="s">
        <v>161</v>
      </c>
      <c r="P2118" s="10">
        <v>45982.0</v>
      </c>
    </row>
    <row r="2119" ht="22.5" customHeight="1">
      <c r="A2119" s="6" t="s">
        <v>14374</v>
      </c>
      <c r="B2119" s="6" t="s">
        <v>14375</v>
      </c>
      <c r="C2119" s="6" t="s">
        <v>14376</v>
      </c>
      <c r="D2119" s="6" t="s">
        <v>206</v>
      </c>
      <c r="E2119" s="6" t="s">
        <v>301</v>
      </c>
      <c r="F2119" s="8">
        <v>46.0</v>
      </c>
      <c r="G2119" s="9">
        <v>1157.78</v>
      </c>
      <c r="H2119" s="9">
        <v>4250.79</v>
      </c>
      <c r="I2119" s="6" t="s">
        <v>161</v>
      </c>
      <c r="J2119" s="6" t="s">
        <v>393</v>
      </c>
      <c r="K2119" s="6" t="s">
        <v>14378</v>
      </c>
      <c r="L2119" s="6">
        <v>6.3574065903E10</v>
      </c>
      <c r="M2119" s="6" t="s">
        <v>14379</v>
      </c>
      <c r="N2119" s="6" t="s">
        <v>112</v>
      </c>
      <c r="O2119" s="6" t="s">
        <v>178</v>
      </c>
      <c r="P2119" s="10">
        <v>45945.0</v>
      </c>
    </row>
    <row r="2120" ht="22.5" customHeight="1">
      <c r="A2120" s="6" t="s">
        <v>14380</v>
      </c>
      <c r="B2120" s="6" t="s">
        <v>14381</v>
      </c>
      <c r="C2120" s="6" t="s">
        <v>14382</v>
      </c>
      <c r="D2120" s="6" t="s">
        <v>206</v>
      </c>
      <c r="E2120" s="6" t="s">
        <v>210</v>
      </c>
      <c r="F2120" s="8">
        <v>77.0</v>
      </c>
      <c r="G2120" s="9">
        <v>844.13</v>
      </c>
      <c r="H2120" s="9">
        <v>14537.88</v>
      </c>
      <c r="I2120" s="6" t="s">
        <v>161</v>
      </c>
      <c r="J2120" s="6" t="s">
        <v>577</v>
      </c>
      <c r="K2120" s="6" t="s">
        <v>14384</v>
      </c>
      <c r="L2120" s="6">
        <v>8.8491728464E10</v>
      </c>
      <c r="M2120" s="6" t="s">
        <v>14385</v>
      </c>
      <c r="N2120" s="6" t="s">
        <v>259</v>
      </c>
      <c r="O2120" s="6" t="s">
        <v>161</v>
      </c>
      <c r="P2120" s="10">
        <v>46000.0</v>
      </c>
    </row>
    <row r="2121" ht="22.5" customHeight="1">
      <c r="A2121" s="6" t="s">
        <v>14387</v>
      </c>
      <c r="B2121" s="6" t="s">
        <v>14388</v>
      </c>
      <c r="C2121" s="6" t="s">
        <v>14389</v>
      </c>
      <c r="D2121" s="6" t="s">
        <v>383</v>
      </c>
      <c r="E2121" s="6" t="s">
        <v>147</v>
      </c>
      <c r="F2121" s="8">
        <v>24.0</v>
      </c>
      <c r="G2121" s="9">
        <v>620.1</v>
      </c>
      <c r="H2121" s="9">
        <v>8375.21</v>
      </c>
      <c r="I2121" s="6" t="s">
        <v>161</v>
      </c>
      <c r="J2121" s="6" t="s">
        <v>163</v>
      </c>
      <c r="K2121" s="6" t="s">
        <v>14391</v>
      </c>
      <c r="L2121" s="6">
        <v>8.6737503047E10</v>
      </c>
      <c r="M2121" s="6" t="s">
        <v>14392</v>
      </c>
      <c r="N2121" s="6" t="s">
        <v>176</v>
      </c>
      <c r="O2121" s="6" t="s">
        <v>178</v>
      </c>
      <c r="P2121" s="10">
        <v>45975.0</v>
      </c>
    </row>
    <row r="2122" ht="22.5" customHeight="1">
      <c r="A2122" s="6" t="s">
        <v>14393</v>
      </c>
      <c r="B2122" s="6" t="s">
        <v>14394</v>
      </c>
      <c r="C2122" s="6" t="s">
        <v>14395</v>
      </c>
      <c r="D2122" s="6" t="s">
        <v>145</v>
      </c>
      <c r="E2122" s="6" t="s">
        <v>147</v>
      </c>
      <c r="F2122" s="8">
        <v>13.0</v>
      </c>
      <c r="G2122" s="9">
        <v>1121.14</v>
      </c>
      <c r="H2122" s="9">
        <v>7174.09</v>
      </c>
      <c r="I2122" s="6" t="s">
        <v>161</v>
      </c>
      <c r="J2122" s="6" t="s">
        <v>312</v>
      </c>
      <c r="K2122" s="6" t="s">
        <v>14397</v>
      </c>
      <c r="L2122" s="6">
        <v>5.0793315962E10</v>
      </c>
      <c r="M2122" s="6" t="s">
        <v>14398</v>
      </c>
      <c r="N2122" s="6" t="s">
        <v>112</v>
      </c>
      <c r="O2122" s="6" t="s">
        <v>178</v>
      </c>
      <c r="P2122" s="10">
        <v>45967.0</v>
      </c>
    </row>
    <row r="2123" ht="22.5" customHeight="1">
      <c r="A2123" s="6" t="s">
        <v>14400</v>
      </c>
      <c r="B2123" s="6" t="s">
        <v>14401</v>
      </c>
      <c r="C2123" s="6" t="s">
        <v>14402</v>
      </c>
      <c r="D2123" s="6" t="s">
        <v>145</v>
      </c>
      <c r="E2123" s="6" t="s">
        <v>147</v>
      </c>
      <c r="F2123" s="8">
        <v>10.0</v>
      </c>
      <c r="G2123" s="9">
        <v>913.32</v>
      </c>
      <c r="H2123" s="9">
        <v>12498.7</v>
      </c>
      <c r="I2123" s="6" t="s">
        <v>161</v>
      </c>
      <c r="J2123" s="6" t="s">
        <v>421</v>
      </c>
      <c r="K2123" s="6" t="s">
        <v>14404</v>
      </c>
      <c r="L2123" s="6">
        <v>4.123254249E10</v>
      </c>
      <c r="M2123" s="6" t="s">
        <v>14405</v>
      </c>
      <c r="N2123" s="6" t="s">
        <v>427</v>
      </c>
      <c r="O2123" s="6" t="s">
        <v>178</v>
      </c>
      <c r="P2123" s="10">
        <v>45968.0</v>
      </c>
    </row>
    <row r="2124" ht="22.5" customHeight="1">
      <c r="A2124" s="6" t="s">
        <v>14407</v>
      </c>
      <c r="B2124" s="6" t="s">
        <v>14408</v>
      </c>
      <c r="C2124" s="6" t="s">
        <v>14409</v>
      </c>
      <c r="D2124" s="6" t="s">
        <v>145</v>
      </c>
      <c r="E2124" s="6" t="s">
        <v>301</v>
      </c>
      <c r="F2124" s="8">
        <v>39.0</v>
      </c>
      <c r="G2124" s="9">
        <v>237.52</v>
      </c>
      <c r="H2124" s="9">
        <v>4356.87</v>
      </c>
      <c r="I2124" s="6" t="s">
        <v>161</v>
      </c>
      <c r="J2124" s="6" t="s">
        <v>312</v>
      </c>
      <c r="K2124" s="6" t="s">
        <v>14410</v>
      </c>
      <c r="L2124" s="6">
        <v>4.8307794439E10</v>
      </c>
      <c r="M2124" s="6" t="s">
        <v>14411</v>
      </c>
      <c r="N2124" s="6" t="s">
        <v>259</v>
      </c>
      <c r="O2124" s="6" t="s">
        <v>178</v>
      </c>
      <c r="P2124" s="10">
        <v>45970.0</v>
      </c>
    </row>
    <row r="2125" ht="22.5" customHeight="1">
      <c r="A2125" s="6" t="s">
        <v>14413</v>
      </c>
      <c r="B2125" s="6" t="s">
        <v>14414</v>
      </c>
      <c r="C2125" s="6" t="s">
        <v>14415</v>
      </c>
      <c r="D2125" s="6" t="s">
        <v>206</v>
      </c>
      <c r="E2125" s="6" t="s">
        <v>301</v>
      </c>
      <c r="F2125" s="8">
        <v>46.0</v>
      </c>
      <c r="G2125" s="9">
        <v>1744.6</v>
      </c>
      <c r="H2125" s="9">
        <v>10471.06</v>
      </c>
      <c r="I2125" s="6" t="s">
        <v>161</v>
      </c>
      <c r="J2125" s="6" t="s">
        <v>228</v>
      </c>
      <c r="K2125" s="6" t="s">
        <v>14416</v>
      </c>
      <c r="L2125" s="6">
        <v>9.9780102567E10</v>
      </c>
      <c r="M2125" s="6" t="s">
        <v>14417</v>
      </c>
      <c r="N2125" s="6" t="s">
        <v>259</v>
      </c>
      <c r="O2125" s="6" t="s">
        <v>178</v>
      </c>
      <c r="P2125" s="10">
        <v>45959.0</v>
      </c>
    </row>
    <row r="2126" ht="22.5" customHeight="1">
      <c r="A2126" s="6" t="s">
        <v>14419</v>
      </c>
      <c r="B2126" s="6" t="s">
        <v>14420</v>
      </c>
      <c r="C2126" s="6" t="s">
        <v>14421</v>
      </c>
      <c r="D2126" s="6" t="s">
        <v>206</v>
      </c>
      <c r="E2126" s="6" t="s">
        <v>147</v>
      </c>
      <c r="F2126" s="8">
        <v>18.0</v>
      </c>
      <c r="G2126" s="9">
        <v>1782.78</v>
      </c>
      <c r="H2126" s="9">
        <v>3991.58</v>
      </c>
      <c r="I2126" s="6" t="s">
        <v>161</v>
      </c>
      <c r="J2126" s="6" t="s">
        <v>421</v>
      </c>
      <c r="K2126" s="6" t="s">
        <v>14422</v>
      </c>
      <c r="L2126" s="6">
        <v>4.319378327E9</v>
      </c>
      <c r="M2126" s="6" t="s">
        <v>14424</v>
      </c>
      <c r="N2126" s="6" t="s">
        <v>427</v>
      </c>
      <c r="O2126" s="6" t="s">
        <v>178</v>
      </c>
      <c r="P2126" s="10">
        <v>45989.0</v>
      </c>
    </row>
    <row r="2127" ht="22.5" customHeight="1">
      <c r="A2127" s="6" t="s">
        <v>14425</v>
      </c>
      <c r="B2127" s="6" t="s">
        <v>14426</v>
      </c>
      <c r="C2127" s="6" t="s">
        <v>14427</v>
      </c>
      <c r="D2127" s="6" t="s">
        <v>206</v>
      </c>
      <c r="E2127" s="6" t="s">
        <v>147</v>
      </c>
      <c r="F2127" s="8">
        <v>9.0</v>
      </c>
      <c r="G2127" s="9">
        <v>466.97</v>
      </c>
      <c r="H2127" s="9">
        <v>2902.55</v>
      </c>
      <c r="I2127" s="6" t="s">
        <v>161</v>
      </c>
      <c r="J2127" s="6" t="s">
        <v>442</v>
      </c>
      <c r="K2127" s="6" t="s">
        <v>14429</v>
      </c>
      <c r="L2127" s="6">
        <v>4.1278989016E10</v>
      </c>
      <c r="M2127" s="6" t="s">
        <v>14430</v>
      </c>
      <c r="N2127" s="6" t="s">
        <v>259</v>
      </c>
      <c r="O2127" s="6" t="s">
        <v>178</v>
      </c>
      <c r="P2127" s="10">
        <v>46006.0</v>
      </c>
    </row>
    <row r="2128" ht="22.5" customHeight="1">
      <c r="A2128" s="6" t="s">
        <v>14432</v>
      </c>
      <c r="B2128" s="6" t="s">
        <v>14433</v>
      </c>
      <c r="C2128" s="6" t="s">
        <v>14434</v>
      </c>
      <c r="D2128" s="6" t="s">
        <v>206</v>
      </c>
      <c r="E2128" s="6" t="s">
        <v>301</v>
      </c>
      <c r="F2128" s="8">
        <v>56.0</v>
      </c>
      <c r="G2128" s="9">
        <v>186.64</v>
      </c>
      <c r="H2128" s="9">
        <v>6594.11</v>
      </c>
      <c r="I2128" s="6" t="s">
        <v>161</v>
      </c>
      <c r="J2128" s="6" t="s">
        <v>163</v>
      </c>
      <c r="K2128" s="6" t="s">
        <v>14435</v>
      </c>
      <c r="L2128" s="6">
        <v>6.6711999951E10</v>
      </c>
      <c r="M2128" s="6" t="s">
        <v>14437</v>
      </c>
      <c r="N2128" s="6" t="s">
        <v>112</v>
      </c>
      <c r="O2128" s="6" t="s">
        <v>178</v>
      </c>
      <c r="P2128" s="10">
        <v>45954.0</v>
      </c>
    </row>
    <row r="2129" ht="22.5" customHeight="1">
      <c r="A2129" s="6" t="s">
        <v>14438</v>
      </c>
      <c r="B2129" s="6" t="s">
        <v>14439</v>
      </c>
      <c r="C2129" s="6" t="s">
        <v>14440</v>
      </c>
      <c r="D2129" s="6" t="s">
        <v>145</v>
      </c>
      <c r="E2129" s="6" t="s">
        <v>147</v>
      </c>
      <c r="F2129" s="8">
        <v>19.0</v>
      </c>
      <c r="G2129" s="9">
        <v>1474.98</v>
      </c>
      <c r="H2129" s="9">
        <v>10656.69</v>
      </c>
      <c r="I2129" s="6" t="s">
        <v>161</v>
      </c>
      <c r="J2129" s="6" t="s">
        <v>312</v>
      </c>
      <c r="K2129" s="6" t="s">
        <v>14442</v>
      </c>
      <c r="L2129" s="6">
        <v>5.499213969E10</v>
      </c>
      <c r="M2129" s="6" t="s">
        <v>14443</v>
      </c>
      <c r="N2129" s="6" t="s">
        <v>259</v>
      </c>
      <c r="O2129" s="6" t="s">
        <v>178</v>
      </c>
      <c r="P2129" s="10">
        <v>45971.0</v>
      </c>
    </row>
    <row r="2130" ht="22.5" customHeight="1">
      <c r="A2130" s="6" t="s">
        <v>14444</v>
      </c>
      <c r="B2130" s="6" t="s">
        <v>14446</v>
      </c>
      <c r="C2130" s="6" t="s">
        <v>14447</v>
      </c>
      <c r="D2130" s="6" t="s">
        <v>145</v>
      </c>
      <c r="E2130" s="6" t="s">
        <v>301</v>
      </c>
      <c r="F2130" s="8">
        <v>52.0</v>
      </c>
      <c r="G2130" s="9">
        <v>1409.25</v>
      </c>
      <c r="H2130" s="9">
        <v>3045.61</v>
      </c>
      <c r="I2130" s="6" t="s">
        <v>161</v>
      </c>
      <c r="J2130" s="6" t="s">
        <v>442</v>
      </c>
      <c r="K2130" s="6" t="s">
        <v>14448</v>
      </c>
      <c r="L2130" s="6">
        <v>8.707561868E9</v>
      </c>
      <c r="M2130" s="6" t="s">
        <v>14449</v>
      </c>
      <c r="N2130" s="6" t="s">
        <v>283</v>
      </c>
      <c r="O2130" s="6" t="s">
        <v>178</v>
      </c>
      <c r="P2130" s="10">
        <v>46006.0</v>
      </c>
    </row>
    <row r="2131" ht="22.5" customHeight="1">
      <c r="A2131" s="6" t="s">
        <v>14451</v>
      </c>
      <c r="B2131" s="6" t="s">
        <v>14452</v>
      </c>
      <c r="C2131" s="6" t="s">
        <v>14453</v>
      </c>
      <c r="D2131" s="6" t="s">
        <v>383</v>
      </c>
      <c r="E2131" s="6" t="s">
        <v>147</v>
      </c>
      <c r="F2131" s="8">
        <v>27.0</v>
      </c>
      <c r="G2131" s="9">
        <v>588.22</v>
      </c>
      <c r="H2131" s="9">
        <v>1291.86</v>
      </c>
      <c r="I2131" s="6" t="s">
        <v>161</v>
      </c>
      <c r="J2131" s="6" t="s">
        <v>357</v>
      </c>
      <c r="K2131" s="6" t="s">
        <v>14455</v>
      </c>
      <c r="L2131" s="6">
        <v>5.3736043089E10</v>
      </c>
      <c r="M2131" s="6" t="s">
        <v>14456</v>
      </c>
      <c r="N2131" s="6" t="s">
        <v>176</v>
      </c>
      <c r="O2131" s="6" t="s">
        <v>178</v>
      </c>
      <c r="P2131" s="10">
        <v>45948.0</v>
      </c>
    </row>
    <row r="2132" ht="22.5" customHeight="1">
      <c r="A2132" s="6" t="s">
        <v>14457</v>
      </c>
      <c r="B2132" s="6" t="s">
        <v>14458</v>
      </c>
      <c r="C2132" s="6" t="s">
        <v>14459</v>
      </c>
      <c r="D2132" s="6" t="s">
        <v>145</v>
      </c>
      <c r="E2132" s="6" t="s">
        <v>301</v>
      </c>
      <c r="F2132" s="8">
        <v>51.0</v>
      </c>
      <c r="G2132" s="9">
        <v>837.49</v>
      </c>
      <c r="H2132" s="9">
        <v>3148.09</v>
      </c>
      <c r="I2132" s="6" t="s">
        <v>161</v>
      </c>
      <c r="J2132" s="6" t="s">
        <v>442</v>
      </c>
      <c r="K2132" s="6" t="s">
        <v>14461</v>
      </c>
      <c r="L2132" s="6">
        <v>7.3371165988E10</v>
      </c>
      <c r="M2132" s="6" t="s">
        <v>14462</v>
      </c>
      <c r="N2132" s="6" t="s">
        <v>259</v>
      </c>
      <c r="O2132" s="6" t="s">
        <v>178</v>
      </c>
      <c r="P2132" s="10">
        <v>46011.0</v>
      </c>
    </row>
    <row r="2133" ht="22.5" customHeight="1">
      <c r="A2133" s="6" t="s">
        <v>14463</v>
      </c>
      <c r="B2133" s="6" t="s">
        <v>14464</v>
      </c>
      <c r="C2133" s="6" t="s">
        <v>14465</v>
      </c>
      <c r="D2133" s="6" t="s">
        <v>145</v>
      </c>
      <c r="E2133" s="6" t="s">
        <v>301</v>
      </c>
      <c r="F2133" s="8">
        <v>36.0</v>
      </c>
      <c r="G2133" s="9">
        <v>699.01</v>
      </c>
      <c r="H2133" s="9">
        <v>6491.4</v>
      </c>
      <c r="I2133" s="6" t="s">
        <v>161</v>
      </c>
      <c r="J2133" s="6" t="s">
        <v>357</v>
      </c>
      <c r="K2133" s="6" t="s">
        <v>14467</v>
      </c>
      <c r="L2133" s="6">
        <v>9.7087425768E10</v>
      </c>
      <c r="M2133" s="6" t="s">
        <v>14468</v>
      </c>
      <c r="N2133" s="6" t="s">
        <v>427</v>
      </c>
      <c r="O2133" s="6" t="s">
        <v>178</v>
      </c>
      <c r="P2133" s="10">
        <v>46036.0</v>
      </c>
    </row>
    <row r="2134" ht="22.5" customHeight="1">
      <c r="A2134" s="6" t="s">
        <v>14469</v>
      </c>
      <c r="B2134" s="6" t="s">
        <v>14470</v>
      </c>
      <c r="C2134" s="6" t="s">
        <v>14471</v>
      </c>
      <c r="D2134" s="6" t="s">
        <v>206</v>
      </c>
      <c r="E2134" s="6" t="s">
        <v>210</v>
      </c>
      <c r="F2134" s="8">
        <v>103.0</v>
      </c>
      <c r="G2134" s="9">
        <v>1527.2</v>
      </c>
      <c r="H2134" s="9">
        <v>14425.3</v>
      </c>
      <c r="I2134" s="6" t="s">
        <v>178</v>
      </c>
      <c r="J2134" s="6" t="s">
        <v>465</v>
      </c>
      <c r="K2134" s="6" t="s">
        <v>14472</v>
      </c>
      <c r="L2134" s="6">
        <v>5.919214342E9</v>
      </c>
      <c r="M2134" s="6" t="s">
        <v>14474</v>
      </c>
      <c r="N2134" s="6" t="s">
        <v>259</v>
      </c>
      <c r="O2134" s="6" t="s">
        <v>161</v>
      </c>
      <c r="P2134" s="10">
        <v>45940.0</v>
      </c>
    </row>
    <row r="2135" ht="22.5" customHeight="1">
      <c r="A2135" s="6" t="s">
        <v>14475</v>
      </c>
      <c r="B2135" s="6" t="s">
        <v>14477</v>
      </c>
      <c r="C2135" s="6" t="s">
        <v>14478</v>
      </c>
      <c r="D2135" s="6" t="s">
        <v>206</v>
      </c>
      <c r="E2135" s="6" t="s">
        <v>147</v>
      </c>
      <c r="F2135" s="8">
        <v>25.0</v>
      </c>
      <c r="G2135" s="9">
        <v>620.07</v>
      </c>
      <c r="H2135" s="9">
        <v>12730.15</v>
      </c>
      <c r="I2135" s="6" t="s">
        <v>161</v>
      </c>
      <c r="J2135" s="6" t="s">
        <v>312</v>
      </c>
      <c r="K2135" s="6" t="s">
        <v>14480</v>
      </c>
      <c r="L2135" s="6">
        <v>7.4484278171E10</v>
      </c>
      <c r="M2135" s="6" t="s">
        <v>14481</v>
      </c>
      <c r="N2135" s="6" t="s">
        <v>283</v>
      </c>
      <c r="O2135" s="6" t="s">
        <v>178</v>
      </c>
      <c r="P2135" s="10">
        <v>45949.0</v>
      </c>
    </row>
    <row r="2136" ht="22.5" customHeight="1">
      <c r="A2136" s="6" t="s">
        <v>14482</v>
      </c>
      <c r="B2136" s="6" t="s">
        <v>14483</v>
      </c>
      <c r="C2136" s="6" t="s">
        <v>14485</v>
      </c>
      <c r="D2136" s="6" t="s">
        <v>145</v>
      </c>
      <c r="E2136" s="6" t="s">
        <v>210</v>
      </c>
      <c r="F2136" s="8">
        <v>72.0</v>
      </c>
      <c r="G2136" s="9">
        <v>1344.88</v>
      </c>
      <c r="H2136" s="9">
        <v>7156.5</v>
      </c>
      <c r="I2136" s="6" t="s">
        <v>161</v>
      </c>
      <c r="J2136" s="6" t="s">
        <v>393</v>
      </c>
      <c r="K2136" s="6" t="s">
        <v>14486</v>
      </c>
      <c r="L2136" s="6">
        <v>8.688833328E10</v>
      </c>
      <c r="M2136" s="6" t="s">
        <v>14487</v>
      </c>
      <c r="N2136" s="6" t="s">
        <v>283</v>
      </c>
      <c r="O2136" s="6" t="s">
        <v>161</v>
      </c>
      <c r="P2136" s="10">
        <v>45992.0</v>
      </c>
    </row>
    <row r="2137" ht="22.5" customHeight="1">
      <c r="A2137" s="6" t="s">
        <v>14489</v>
      </c>
      <c r="B2137" s="6" t="s">
        <v>14490</v>
      </c>
      <c r="C2137" s="6" t="s">
        <v>14492</v>
      </c>
      <c r="D2137" s="6" t="s">
        <v>206</v>
      </c>
      <c r="E2137" s="6" t="s">
        <v>147</v>
      </c>
      <c r="F2137" s="8">
        <v>11.0</v>
      </c>
      <c r="G2137" s="9">
        <v>1468.5</v>
      </c>
      <c r="H2137" s="9">
        <v>9312.1</v>
      </c>
      <c r="I2137" s="6" t="s">
        <v>161</v>
      </c>
      <c r="J2137" s="6" t="s">
        <v>421</v>
      </c>
      <c r="K2137" s="6" t="s">
        <v>14494</v>
      </c>
      <c r="L2137" s="6">
        <v>6.0903055029E10</v>
      </c>
      <c r="M2137" s="6" t="s">
        <v>14495</v>
      </c>
      <c r="N2137" s="6" t="s">
        <v>283</v>
      </c>
      <c r="O2137" s="6" t="s">
        <v>178</v>
      </c>
      <c r="P2137" s="10">
        <v>45937.0</v>
      </c>
    </row>
    <row r="2138" ht="22.5" customHeight="1">
      <c r="A2138" s="6" t="s">
        <v>14497</v>
      </c>
      <c r="B2138" s="6" t="s">
        <v>14498</v>
      </c>
      <c r="C2138" s="6" t="s">
        <v>14499</v>
      </c>
      <c r="D2138" s="6" t="s">
        <v>206</v>
      </c>
      <c r="E2138" s="6" t="s">
        <v>147</v>
      </c>
      <c r="F2138" s="8">
        <v>14.0</v>
      </c>
      <c r="G2138" s="9">
        <v>868.92</v>
      </c>
      <c r="H2138" s="9">
        <v>12431.75</v>
      </c>
      <c r="I2138" s="6" t="s">
        <v>161</v>
      </c>
      <c r="J2138" s="6" t="s">
        <v>442</v>
      </c>
      <c r="K2138" s="6" t="s">
        <v>14502</v>
      </c>
      <c r="L2138" s="6">
        <v>5.4463578192E10</v>
      </c>
      <c r="M2138" s="6" t="s">
        <v>14503</v>
      </c>
      <c r="N2138" s="6" t="s">
        <v>176</v>
      </c>
      <c r="O2138" s="6" t="s">
        <v>178</v>
      </c>
      <c r="P2138" s="10">
        <v>45965.0</v>
      </c>
    </row>
    <row r="2139" ht="22.5" customHeight="1">
      <c r="A2139" s="6" t="s">
        <v>14505</v>
      </c>
      <c r="B2139" s="6" t="s">
        <v>14506</v>
      </c>
      <c r="C2139" s="6" t="s">
        <v>14507</v>
      </c>
      <c r="D2139" s="6" t="s">
        <v>145</v>
      </c>
      <c r="E2139" s="6" t="s">
        <v>301</v>
      </c>
      <c r="F2139" s="8">
        <v>32.0</v>
      </c>
      <c r="G2139" s="9">
        <v>511.55</v>
      </c>
      <c r="H2139" s="9">
        <v>14071.27</v>
      </c>
      <c r="I2139" s="6" t="s">
        <v>161</v>
      </c>
      <c r="J2139" s="6" t="s">
        <v>228</v>
      </c>
      <c r="K2139" s="6" t="s">
        <v>14509</v>
      </c>
      <c r="L2139" s="6">
        <v>9.0759467991E10</v>
      </c>
      <c r="M2139" s="6" t="s">
        <v>14511</v>
      </c>
      <c r="N2139" s="6" t="s">
        <v>176</v>
      </c>
      <c r="O2139" s="6" t="s">
        <v>178</v>
      </c>
      <c r="P2139" s="10">
        <v>45996.0</v>
      </c>
    </row>
    <row r="2140" ht="22.5" customHeight="1">
      <c r="A2140" s="6" t="s">
        <v>14512</v>
      </c>
      <c r="B2140" s="6" t="s">
        <v>14513</v>
      </c>
      <c r="C2140" s="6" t="s">
        <v>14514</v>
      </c>
      <c r="D2140" s="6" t="s">
        <v>145</v>
      </c>
      <c r="E2140" s="6" t="s">
        <v>147</v>
      </c>
      <c r="F2140" s="8">
        <v>21.0</v>
      </c>
      <c r="G2140" s="9">
        <v>1299.17</v>
      </c>
      <c r="H2140" s="9">
        <v>3742.94</v>
      </c>
      <c r="I2140" s="6" t="s">
        <v>161</v>
      </c>
      <c r="J2140" s="6" t="s">
        <v>357</v>
      </c>
      <c r="K2140" s="6" t="s">
        <v>14516</v>
      </c>
      <c r="L2140" s="6" t="s">
        <v>259</v>
      </c>
      <c r="M2140" s="6" t="s">
        <v>14517</v>
      </c>
      <c r="N2140" s="6" t="s">
        <v>283</v>
      </c>
      <c r="O2140" s="6" t="s">
        <v>178</v>
      </c>
      <c r="P2140" s="10">
        <v>46010.0</v>
      </c>
    </row>
    <row r="2141" ht="22.5" customHeight="1">
      <c r="A2141" s="6" t="s">
        <v>14519</v>
      </c>
      <c r="B2141" s="6" t="s">
        <v>14520</v>
      </c>
      <c r="C2141" s="6" t="s">
        <v>14521</v>
      </c>
      <c r="D2141" s="6" t="s">
        <v>145</v>
      </c>
      <c r="E2141" s="6" t="s">
        <v>301</v>
      </c>
      <c r="F2141" s="8">
        <v>46.0</v>
      </c>
      <c r="G2141" s="9">
        <v>444.62</v>
      </c>
      <c r="H2141" s="9">
        <v>5336.28</v>
      </c>
      <c r="I2141" s="6" t="s">
        <v>161</v>
      </c>
      <c r="J2141" s="6" t="s">
        <v>14523</v>
      </c>
      <c r="K2141" s="6" t="s">
        <v>14524</v>
      </c>
      <c r="L2141" s="6">
        <v>1.925052114E10</v>
      </c>
      <c r="M2141" s="6" t="s">
        <v>14525</v>
      </c>
      <c r="N2141" s="6" t="s">
        <v>112</v>
      </c>
      <c r="O2141" s="6" t="s">
        <v>178</v>
      </c>
      <c r="P2141" s="10">
        <v>46051.0</v>
      </c>
    </row>
    <row r="2142" ht="22.5" customHeight="1">
      <c r="A2142" s="6" t="s">
        <v>14527</v>
      </c>
      <c r="B2142" s="6" t="s">
        <v>14528</v>
      </c>
      <c r="C2142" s="6" t="s">
        <v>14529</v>
      </c>
      <c r="D2142" s="6" t="s">
        <v>206</v>
      </c>
      <c r="E2142" s="6" t="s">
        <v>147</v>
      </c>
      <c r="F2142" s="8">
        <v>7.0</v>
      </c>
      <c r="G2142" s="9">
        <v>1562.97</v>
      </c>
      <c r="H2142" s="9">
        <v>4400.65</v>
      </c>
      <c r="I2142" s="6" t="s">
        <v>161</v>
      </c>
      <c r="J2142" s="6" t="s">
        <v>421</v>
      </c>
      <c r="K2142" s="6" t="s">
        <v>14530</v>
      </c>
      <c r="L2142" s="6">
        <v>5.417989006E9</v>
      </c>
      <c r="M2142" s="6" t="s">
        <v>14532</v>
      </c>
      <c r="N2142" s="6" t="s">
        <v>176</v>
      </c>
      <c r="O2142" s="6" t="s">
        <v>178</v>
      </c>
      <c r="P2142" s="10">
        <v>46030.0</v>
      </c>
    </row>
    <row r="2143" ht="22.5" customHeight="1">
      <c r="A2143" s="6" t="s">
        <v>14533</v>
      </c>
      <c r="B2143" s="6" t="s">
        <v>14534</v>
      </c>
      <c r="C2143" s="6" t="s">
        <v>14535</v>
      </c>
      <c r="D2143" s="6" t="s">
        <v>145</v>
      </c>
      <c r="E2143" s="6" t="s">
        <v>210</v>
      </c>
      <c r="F2143" s="8">
        <v>113.0</v>
      </c>
      <c r="G2143" s="9">
        <v>106.51</v>
      </c>
      <c r="H2143" s="9">
        <v>7506.03</v>
      </c>
      <c r="I2143" s="6" t="s">
        <v>178</v>
      </c>
      <c r="J2143" s="6" t="s">
        <v>393</v>
      </c>
      <c r="K2143" s="6" t="s">
        <v>14537</v>
      </c>
      <c r="L2143" s="6">
        <v>8.3422991018E10</v>
      </c>
      <c r="M2143" s="6" t="s">
        <v>14538</v>
      </c>
      <c r="N2143" s="6" t="s">
        <v>112</v>
      </c>
      <c r="O2143" s="6" t="s">
        <v>161</v>
      </c>
      <c r="P2143" s="10">
        <v>45977.0</v>
      </c>
    </row>
    <row r="2144" ht="22.5" customHeight="1">
      <c r="A2144" s="6" t="s">
        <v>14539</v>
      </c>
      <c r="B2144" s="6" t="s">
        <v>14540</v>
      </c>
      <c r="C2144" s="6" t="s">
        <v>14541</v>
      </c>
      <c r="D2144" s="6" t="s">
        <v>206</v>
      </c>
      <c r="E2144" s="6" t="s">
        <v>301</v>
      </c>
      <c r="F2144" s="8">
        <v>39.0</v>
      </c>
      <c r="G2144" s="9">
        <v>1356.19</v>
      </c>
      <c r="H2144" s="9">
        <v>14614.39</v>
      </c>
      <c r="I2144" s="6" t="s">
        <v>161</v>
      </c>
      <c r="J2144" s="6" t="s">
        <v>442</v>
      </c>
      <c r="K2144" s="6" t="s">
        <v>14543</v>
      </c>
      <c r="L2144" s="6">
        <v>6.2331662832E10</v>
      </c>
      <c r="M2144" s="6" t="s">
        <v>14544</v>
      </c>
      <c r="N2144" s="6" t="s">
        <v>112</v>
      </c>
      <c r="O2144" s="6" t="s">
        <v>178</v>
      </c>
      <c r="P2144" s="10">
        <v>46025.0</v>
      </c>
    </row>
    <row r="2145" ht="22.5" customHeight="1">
      <c r="A2145" s="6" t="s">
        <v>14546</v>
      </c>
      <c r="B2145" s="6" t="s">
        <v>14547</v>
      </c>
      <c r="C2145" s="6" t="s">
        <v>14548</v>
      </c>
      <c r="D2145" s="6" t="s">
        <v>145</v>
      </c>
      <c r="E2145" s="6" t="s">
        <v>147</v>
      </c>
      <c r="F2145" s="8">
        <v>22.0</v>
      </c>
      <c r="G2145" s="9">
        <v>1434.48</v>
      </c>
      <c r="H2145" s="9">
        <v>3889.89</v>
      </c>
      <c r="I2145" s="6" t="s">
        <v>161</v>
      </c>
      <c r="J2145" s="6" t="s">
        <v>393</v>
      </c>
      <c r="K2145" s="6" t="s">
        <v>14549</v>
      </c>
      <c r="L2145" s="6">
        <v>7.3614406675E10</v>
      </c>
      <c r="M2145" s="6" t="s">
        <v>14551</v>
      </c>
      <c r="N2145" s="6" t="s">
        <v>283</v>
      </c>
      <c r="O2145" s="6" t="s">
        <v>178</v>
      </c>
      <c r="P2145" s="10">
        <v>46028.0</v>
      </c>
    </row>
    <row r="2146" ht="22.5" customHeight="1">
      <c r="A2146" s="6" t="s">
        <v>14552</v>
      </c>
      <c r="B2146" s="6" t="s">
        <v>14553</v>
      </c>
      <c r="C2146" s="6" t="s">
        <v>14554</v>
      </c>
      <c r="D2146" s="6" t="s">
        <v>145</v>
      </c>
      <c r="E2146" s="6" t="s">
        <v>301</v>
      </c>
      <c r="F2146" s="8">
        <v>32.0</v>
      </c>
      <c r="G2146" s="9">
        <v>1312.71</v>
      </c>
      <c r="H2146" s="9">
        <v>2387.08</v>
      </c>
      <c r="I2146" s="6" t="s">
        <v>161</v>
      </c>
      <c r="J2146" s="6" t="s">
        <v>479</v>
      </c>
      <c r="K2146" s="6" t="s">
        <v>14556</v>
      </c>
      <c r="L2146" s="6">
        <v>1.0937916944E10</v>
      </c>
      <c r="M2146" s="6" t="s">
        <v>14557</v>
      </c>
      <c r="N2146" s="6" t="s">
        <v>176</v>
      </c>
      <c r="O2146" s="6" t="s">
        <v>4031</v>
      </c>
      <c r="P2146" s="10">
        <v>46020.0</v>
      </c>
    </row>
    <row r="2147" ht="22.5" customHeight="1">
      <c r="A2147" s="6" t="s">
        <v>14558</v>
      </c>
      <c r="B2147" s="6" t="s">
        <v>14559</v>
      </c>
      <c r="C2147" s="6" t="s">
        <v>14561</v>
      </c>
      <c r="D2147" s="6" t="s">
        <v>383</v>
      </c>
      <c r="E2147" s="6" t="s">
        <v>147</v>
      </c>
      <c r="F2147" s="8">
        <v>26.0</v>
      </c>
      <c r="G2147" s="9">
        <v>1628.59</v>
      </c>
      <c r="H2147" s="9">
        <v>12897.31</v>
      </c>
      <c r="I2147" s="6" t="s">
        <v>161</v>
      </c>
      <c r="J2147" s="6" t="s">
        <v>577</v>
      </c>
      <c r="K2147" s="6" t="s">
        <v>14562</v>
      </c>
      <c r="L2147" s="6">
        <v>7.4645487481E10</v>
      </c>
      <c r="M2147" s="6" t="s">
        <v>14563</v>
      </c>
      <c r="N2147" s="6" t="s">
        <v>259</v>
      </c>
      <c r="O2147" s="6" t="s">
        <v>178</v>
      </c>
      <c r="P2147" s="10">
        <v>45979.0</v>
      </c>
    </row>
    <row r="2148" ht="22.5" customHeight="1">
      <c r="A2148" s="6" t="s">
        <v>14565</v>
      </c>
      <c r="B2148" s="6" t="s">
        <v>14566</v>
      </c>
      <c r="C2148" s="6" t="s">
        <v>14567</v>
      </c>
      <c r="D2148" s="6" t="s">
        <v>383</v>
      </c>
      <c r="E2148" s="6" t="s">
        <v>147</v>
      </c>
      <c r="F2148" s="8">
        <v>26.0</v>
      </c>
      <c r="G2148" s="9">
        <v>556.7</v>
      </c>
      <c r="H2148" s="9">
        <v>13799.51</v>
      </c>
      <c r="I2148" s="6" t="s">
        <v>161</v>
      </c>
      <c r="J2148" s="6" t="s">
        <v>163</v>
      </c>
      <c r="K2148" s="6" t="s">
        <v>259</v>
      </c>
      <c r="L2148" s="6" t="s">
        <v>259</v>
      </c>
      <c r="M2148" s="6" t="s">
        <v>14569</v>
      </c>
      <c r="N2148" s="6" t="s">
        <v>427</v>
      </c>
      <c r="O2148" s="6" t="s">
        <v>178</v>
      </c>
      <c r="P2148" s="10">
        <v>46024.0</v>
      </c>
    </row>
    <row r="2149" ht="22.5" customHeight="1">
      <c r="A2149" s="6" t="s">
        <v>14570</v>
      </c>
      <c r="B2149" s="6" t="s">
        <v>14571</v>
      </c>
      <c r="C2149" s="6" t="s">
        <v>14572</v>
      </c>
      <c r="D2149" s="6" t="s">
        <v>206</v>
      </c>
      <c r="E2149" s="6" t="s">
        <v>147</v>
      </c>
      <c r="F2149" s="8">
        <v>29.0</v>
      </c>
      <c r="G2149" s="9">
        <v>1509.06</v>
      </c>
      <c r="H2149" s="9">
        <v>8962.85</v>
      </c>
      <c r="I2149" s="6" t="s">
        <v>178</v>
      </c>
      <c r="J2149" s="6" t="s">
        <v>357</v>
      </c>
      <c r="K2149" s="6" t="s">
        <v>14574</v>
      </c>
      <c r="L2149" s="6">
        <v>7.5244071348E10</v>
      </c>
      <c r="M2149" s="6" t="s">
        <v>14575</v>
      </c>
      <c r="N2149" s="6" t="s">
        <v>112</v>
      </c>
      <c r="O2149" s="6" t="s">
        <v>161</v>
      </c>
      <c r="P2149" s="10">
        <v>46013.0</v>
      </c>
    </row>
    <row r="2150" ht="22.5" customHeight="1">
      <c r="A2150" s="6" t="s">
        <v>14577</v>
      </c>
      <c r="B2150" s="6" t="s">
        <v>14578</v>
      </c>
      <c r="C2150" s="6" t="s">
        <v>14579</v>
      </c>
      <c r="D2150" s="6" t="s">
        <v>145</v>
      </c>
      <c r="E2150" s="6" t="s">
        <v>147</v>
      </c>
      <c r="F2150" s="8">
        <v>17.0</v>
      </c>
      <c r="G2150" s="9">
        <v>1302.17</v>
      </c>
      <c r="H2150" s="9">
        <v>14970.01</v>
      </c>
      <c r="I2150" s="6" t="s">
        <v>161</v>
      </c>
      <c r="J2150" s="6" t="s">
        <v>479</v>
      </c>
      <c r="K2150" s="6" t="s">
        <v>14580</v>
      </c>
      <c r="L2150" s="6">
        <v>3.6410215611E10</v>
      </c>
      <c r="M2150" s="6" t="s">
        <v>14582</v>
      </c>
      <c r="N2150" s="6" t="s">
        <v>176</v>
      </c>
      <c r="O2150" s="6" t="s">
        <v>178</v>
      </c>
      <c r="P2150" s="10">
        <v>45954.0</v>
      </c>
    </row>
    <row r="2151" ht="22.5" customHeight="1">
      <c r="A2151" s="6" t="s">
        <v>14583</v>
      </c>
      <c r="B2151" s="6" t="s">
        <v>14584</v>
      </c>
      <c r="C2151" s="6" t="s">
        <v>14585</v>
      </c>
      <c r="D2151" s="6" t="s">
        <v>145</v>
      </c>
      <c r="E2151" s="6" t="s">
        <v>210</v>
      </c>
      <c r="F2151" s="8">
        <v>72.0</v>
      </c>
      <c r="G2151" s="9">
        <v>1219.17</v>
      </c>
      <c r="H2151" s="9">
        <v>8981.43</v>
      </c>
      <c r="I2151" s="6" t="s">
        <v>178</v>
      </c>
      <c r="J2151" s="6" t="s">
        <v>577</v>
      </c>
      <c r="K2151" s="6" t="s">
        <v>14587</v>
      </c>
      <c r="L2151" s="6">
        <v>6.2488499067E10</v>
      </c>
      <c r="M2151" s="6" t="s">
        <v>14588</v>
      </c>
      <c r="N2151" s="6" t="s">
        <v>259</v>
      </c>
      <c r="O2151" s="6" t="s">
        <v>161</v>
      </c>
      <c r="P2151" s="10">
        <v>46042.0</v>
      </c>
    </row>
    <row r="2152" ht="22.5" customHeight="1">
      <c r="A2152" s="6" t="s">
        <v>14590</v>
      </c>
      <c r="B2152" s="6" t="s">
        <v>14591</v>
      </c>
      <c r="C2152" s="6" t="s">
        <v>14592</v>
      </c>
      <c r="D2152" s="6" t="s">
        <v>206</v>
      </c>
      <c r="E2152" s="6" t="s">
        <v>147</v>
      </c>
      <c r="F2152" s="8">
        <v>23.0</v>
      </c>
      <c r="G2152" s="9">
        <v>814.61</v>
      </c>
      <c r="H2152" s="9">
        <v>8491.28</v>
      </c>
      <c r="I2152" s="6" t="s">
        <v>161</v>
      </c>
      <c r="J2152" s="6" t="s">
        <v>357</v>
      </c>
      <c r="K2152" s="6" t="s">
        <v>14593</v>
      </c>
      <c r="L2152" s="6">
        <v>8.4349666832E10</v>
      </c>
      <c r="M2152" s="6" t="s">
        <v>14595</v>
      </c>
      <c r="N2152" s="6" t="s">
        <v>283</v>
      </c>
      <c r="O2152" s="6" t="s">
        <v>178</v>
      </c>
      <c r="P2152" s="10">
        <v>46050.0</v>
      </c>
    </row>
    <row r="2153" ht="22.5" customHeight="1">
      <c r="A2153" s="6" t="s">
        <v>14596</v>
      </c>
      <c r="B2153" s="6" t="s">
        <v>14597</v>
      </c>
      <c r="C2153" s="6" t="s">
        <v>14598</v>
      </c>
      <c r="D2153" s="6" t="s">
        <v>145</v>
      </c>
      <c r="E2153" s="6" t="s">
        <v>301</v>
      </c>
      <c r="F2153" s="8">
        <v>36.0</v>
      </c>
      <c r="G2153" s="9">
        <v>141.95</v>
      </c>
      <c r="H2153" s="9">
        <v>6870.45</v>
      </c>
      <c r="I2153" s="6" t="s">
        <v>161</v>
      </c>
      <c r="J2153" s="6" t="s">
        <v>479</v>
      </c>
      <c r="K2153" s="6" t="s">
        <v>14600</v>
      </c>
      <c r="L2153" s="6">
        <v>5.2510617718E10</v>
      </c>
      <c r="M2153" s="6" t="s">
        <v>14601</v>
      </c>
      <c r="N2153" s="6" t="s">
        <v>112</v>
      </c>
      <c r="O2153" s="6" t="s">
        <v>178</v>
      </c>
      <c r="P2153" s="10">
        <v>45967.0</v>
      </c>
    </row>
    <row r="2154" ht="22.5" customHeight="1">
      <c r="A2154" s="6" t="s">
        <v>14603</v>
      </c>
      <c r="B2154" s="6" t="s">
        <v>14604</v>
      </c>
      <c r="C2154" s="6" t="s">
        <v>14605</v>
      </c>
      <c r="D2154" s="6" t="s">
        <v>145</v>
      </c>
      <c r="E2154" s="6" t="s">
        <v>301</v>
      </c>
      <c r="F2154" s="8">
        <v>52.0</v>
      </c>
      <c r="G2154" s="9">
        <v>1259.12</v>
      </c>
      <c r="H2154" s="9">
        <v>13311.44</v>
      </c>
      <c r="I2154" s="6" t="s">
        <v>161</v>
      </c>
      <c r="J2154" s="6" t="s">
        <v>442</v>
      </c>
      <c r="K2154" s="6" t="s">
        <v>14606</v>
      </c>
      <c r="L2154" s="6" t="s">
        <v>259</v>
      </c>
      <c r="M2154" s="6" t="s">
        <v>14607</v>
      </c>
      <c r="N2154" s="6" t="s">
        <v>259</v>
      </c>
      <c r="O2154" s="6" t="s">
        <v>178</v>
      </c>
      <c r="P2154" s="10">
        <v>45978.0</v>
      </c>
    </row>
    <row r="2155" ht="22.5" customHeight="1">
      <c r="A2155" s="6" t="s">
        <v>14609</v>
      </c>
      <c r="B2155" s="6" t="s">
        <v>14610</v>
      </c>
      <c r="C2155" s="6" t="s">
        <v>14611</v>
      </c>
      <c r="D2155" s="6" t="s">
        <v>206</v>
      </c>
      <c r="E2155" s="6" t="s">
        <v>301</v>
      </c>
      <c r="F2155" s="8">
        <v>58.0</v>
      </c>
      <c r="G2155" s="9">
        <v>1787.6</v>
      </c>
      <c r="H2155" s="9">
        <v>8737.12</v>
      </c>
      <c r="I2155" s="6" t="s">
        <v>161</v>
      </c>
      <c r="J2155" s="6" t="s">
        <v>163</v>
      </c>
      <c r="K2155" s="6" t="s">
        <v>14613</v>
      </c>
      <c r="L2155" s="6">
        <v>1.2977017729E10</v>
      </c>
      <c r="M2155" s="6" t="s">
        <v>14614</v>
      </c>
      <c r="N2155" s="6" t="s">
        <v>176</v>
      </c>
      <c r="O2155" s="6" t="s">
        <v>178</v>
      </c>
      <c r="P2155" s="10">
        <v>46000.0</v>
      </c>
    </row>
    <row r="2156" ht="22.5" customHeight="1">
      <c r="A2156" s="6" t="s">
        <v>14616</v>
      </c>
      <c r="B2156" s="6" t="s">
        <v>14617</v>
      </c>
      <c r="C2156" s="6" t="s">
        <v>3671</v>
      </c>
      <c r="D2156" s="6" t="s">
        <v>206</v>
      </c>
      <c r="E2156" s="6" t="s">
        <v>147</v>
      </c>
      <c r="F2156" s="8">
        <v>14.0</v>
      </c>
      <c r="G2156" s="9">
        <v>85.55</v>
      </c>
      <c r="H2156" s="9">
        <v>10667.59</v>
      </c>
      <c r="I2156" s="6" t="s">
        <v>161</v>
      </c>
      <c r="J2156" s="6" t="s">
        <v>163</v>
      </c>
      <c r="K2156" s="6" t="s">
        <v>14619</v>
      </c>
      <c r="L2156" s="6">
        <v>1.663135821E10</v>
      </c>
      <c r="M2156" s="6" t="s">
        <v>14620</v>
      </c>
      <c r="N2156" s="6" t="s">
        <v>259</v>
      </c>
      <c r="O2156" s="6" t="s">
        <v>178</v>
      </c>
      <c r="P2156" s="10">
        <v>45971.0</v>
      </c>
    </row>
    <row r="2157" ht="22.5" customHeight="1">
      <c r="A2157" s="6" t="s">
        <v>14621</v>
      </c>
      <c r="B2157" s="6" t="s">
        <v>14622</v>
      </c>
      <c r="C2157" s="6" t="s">
        <v>14624</v>
      </c>
      <c r="D2157" s="6" t="s">
        <v>206</v>
      </c>
      <c r="E2157" s="6" t="s">
        <v>147</v>
      </c>
      <c r="F2157" s="8">
        <v>12.0</v>
      </c>
      <c r="G2157" s="9">
        <v>1535.97</v>
      </c>
      <c r="H2157" s="9">
        <v>7013.82</v>
      </c>
      <c r="I2157" s="6" t="s">
        <v>161</v>
      </c>
      <c r="J2157" s="6" t="s">
        <v>421</v>
      </c>
      <c r="K2157" s="6" t="s">
        <v>14625</v>
      </c>
      <c r="L2157" s="6">
        <v>4.4978449707E10</v>
      </c>
      <c r="M2157" s="6" t="s">
        <v>14626</v>
      </c>
      <c r="N2157" s="6" t="s">
        <v>176</v>
      </c>
      <c r="O2157" s="6" t="s">
        <v>178</v>
      </c>
      <c r="P2157" s="10">
        <v>45975.0</v>
      </c>
    </row>
    <row r="2158" ht="22.5" customHeight="1">
      <c r="A2158" s="6" t="s">
        <v>14628</v>
      </c>
      <c r="B2158" s="6" t="s">
        <v>14629</v>
      </c>
      <c r="C2158" s="6" t="s">
        <v>14630</v>
      </c>
      <c r="D2158" s="6" t="s">
        <v>206</v>
      </c>
      <c r="E2158" s="6" t="s">
        <v>147</v>
      </c>
      <c r="F2158" s="8">
        <v>25.0</v>
      </c>
      <c r="G2158" s="9">
        <v>1568.3</v>
      </c>
      <c r="H2158" s="9">
        <v>4398.15</v>
      </c>
      <c r="I2158" s="6" t="s">
        <v>161</v>
      </c>
      <c r="J2158" s="6" t="s">
        <v>312</v>
      </c>
      <c r="K2158" s="6" t="s">
        <v>14631</v>
      </c>
      <c r="L2158" s="6">
        <v>2.4650003151E10</v>
      </c>
      <c r="M2158" s="6" t="s">
        <v>14633</v>
      </c>
      <c r="N2158" s="6" t="s">
        <v>427</v>
      </c>
      <c r="O2158" s="6" t="s">
        <v>178</v>
      </c>
      <c r="P2158" s="10">
        <v>46028.0</v>
      </c>
    </row>
    <row r="2159" ht="22.5" customHeight="1">
      <c r="A2159" s="6" t="s">
        <v>14634</v>
      </c>
      <c r="B2159" s="6" t="s">
        <v>14635</v>
      </c>
      <c r="C2159" s="6" t="s">
        <v>14636</v>
      </c>
      <c r="D2159" s="6" t="s">
        <v>145</v>
      </c>
      <c r="E2159" s="6" t="s">
        <v>147</v>
      </c>
      <c r="F2159" s="8">
        <v>10.0</v>
      </c>
      <c r="G2159" s="9">
        <v>1644.77</v>
      </c>
      <c r="H2159" s="9">
        <v>4129.96</v>
      </c>
      <c r="I2159" s="6" t="s">
        <v>161</v>
      </c>
      <c r="J2159" s="6" t="s">
        <v>357</v>
      </c>
      <c r="K2159" s="6" t="s">
        <v>14638</v>
      </c>
      <c r="L2159" s="6">
        <v>1.0355901662E10</v>
      </c>
      <c r="M2159" s="6" t="s">
        <v>14639</v>
      </c>
      <c r="N2159" s="6" t="s">
        <v>259</v>
      </c>
      <c r="O2159" s="6" t="s">
        <v>178</v>
      </c>
      <c r="P2159" s="10">
        <v>45957.0</v>
      </c>
    </row>
    <row r="2160" ht="22.5" customHeight="1">
      <c r="A2160" s="6" t="s">
        <v>14640</v>
      </c>
      <c r="B2160" s="6" t="s">
        <v>14641</v>
      </c>
      <c r="C2160" s="6" t="s">
        <v>14642</v>
      </c>
      <c r="D2160" s="6" t="s">
        <v>206</v>
      </c>
      <c r="E2160" s="6" t="s">
        <v>147</v>
      </c>
      <c r="F2160" s="8">
        <v>5.0</v>
      </c>
      <c r="G2160" s="9">
        <v>1444.55</v>
      </c>
      <c r="H2160" s="9">
        <v>6120.95</v>
      </c>
      <c r="I2160" s="6" t="s">
        <v>161</v>
      </c>
      <c r="J2160" s="6" t="s">
        <v>465</v>
      </c>
      <c r="K2160" s="6" t="s">
        <v>14644</v>
      </c>
      <c r="L2160" s="6">
        <v>9.7454606211E10</v>
      </c>
      <c r="M2160" s="6" t="s">
        <v>14645</v>
      </c>
      <c r="N2160" s="6" t="s">
        <v>259</v>
      </c>
      <c r="O2160" s="6" t="s">
        <v>178</v>
      </c>
      <c r="P2160" s="10">
        <v>46044.0</v>
      </c>
    </row>
    <row r="2161" ht="22.5" customHeight="1">
      <c r="A2161" s="6" t="s">
        <v>14647</v>
      </c>
      <c r="B2161" s="6" t="s">
        <v>14648</v>
      </c>
      <c r="C2161" s="6" t="s">
        <v>14649</v>
      </c>
      <c r="D2161" s="6" t="s">
        <v>206</v>
      </c>
      <c r="E2161" s="6" t="s">
        <v>301</v>
      </c>
      <c r="F2161" s="8">
        <v>53.0</v>
      </c>
      <c r="G2161" s="9">
        <v>1129.17</v>
      </c>
      <c r="H2161" s="9">
        <v>13439.88</v>
      </c>
      <c r="I2161" s="6" t="s">
        <v>161</v>
      </c>
      <c r="J2161" s="6" t="s">
        <v>421</v>
      </c>
      <c r="K2161" s="6" t="s">
        <v>14650</v>
      </c>
      <c r="L2161" s="6">
        <v>5.1104052131E10</v>
      </c>
      <c r="M2161" s="6" t="s">
        <v>14652</v>
      </c>
      <c r="N2161" s="6" t="s">
        <v>176</v>
      </c>
      <c r="O2161" s="6" t="s">
        <v>178</v>
      </c>
      <c r="P2161" s="10">
        <v>45937.0</v>
      </c>
    </row>
    <row r="2162" ht="22.5" customHeight="1">
      <c r="A2162" s="6" t="s">
        <v>14653</v>
      </c>
      <c r="B2162" s="6" t="s">
        <v>14654</v>
      </c>
      <c r="C2162" s="6" t="s">
        <v>14655</v>
      </c>
      <c r="D2162" s="6" t="s">
        <v>145</v>
      </c>
      <c r="E2162" s="6" t="s">
        <v>301</v>
      </c>
      <c r="F2162" s="8">
        <v>32.0</v>
      </c>
      <c r="G2162" s="9">
        <v>1692.95</v>
      </c>
      <c r="H2162" s="9">
        <v>9167.57</v>
      </c>
      <c r="I2162" s="6" t="s">
        <v>161</v>
      </c>
      <c r="J2162" s="6" t="s">
        <v>393</v>
      </c>
      <c r="K2162" s="6" t="s">
        <v>14657</v>
      </c>
      <c r="L2162" s="6">
        <v>9.822543371E9</v>
      </c>
      <c r="M2162" s="6" t="s">
        <v>14658</v>
      </c>
      <c r="N2162" s="6" t="s">
        <v>112</v>
      </c>
      <c r="O2162" s="6" t="s">
        <v>178</v>
      </c>
      <c r="P2162" s="10">
        <v>46035.0</v>
      </c>
    </row>
    <row r="2163" ht="22.5" customHeight="1">
      <c r="A2163" s="6" t="s">
        <v>14660</v>
      </c>
      <c r="B2163" s="6" t="s">
        <v>14661</v>
      </c>
      <c r="C2163" s="6" t="s">
        <v>14662</v>
      </c>
      <c r="D2163" s="6" t="s">
        <v>383</v>
      </c>
      <c r="E2163" s="6" t="s">
        <v>301</v>
      </c>
      <c r="F2163" s="8">
        <v>44.0</v>
      </c>
      <c r="G2163" s="9">
        <v>1576.56</v>
      </c>
      <c r="H2163" s="9">
        <v>8692.43</v>
      </c>
      <c r="I2163" s="6" t="s">
        <v>161</v>
      </c>
      <c r="J2163" s="6" t="s">
        <v>393</v>
      </c>
      <c r="K2163" s="6" t="s">
        <v>14663</v>
      </c>
      <c r="L2163" s="6">
        <v>3.2459040864E10</v>
      </c>
      <c r="M2163" s="6" t="s">
        <v>14664</v>
      </c>
      <c r="N2163" s="6" t="s">
        <v>176</v>
      </c>
      <c r="O2163" s="6" t="s">
        <v>178</v>
      </c>
      <c r="P2163" s="10">
        <v>46001.0</v>
      </c>
    </row>
    <row r="2164" ht="22.5" customHeight="1">
      <c r="A2164" s="6" t="s">
        <v>14666</v>
      </c>
      <c r="B2164" s="6" t="s">
        <v>14667</v>
      </c>
      <c r="C2164" s="6" t="s">
        <v>14668</v>
      </c>
      <c r="D2164" s="6" t="s">
        <v>145</v>
      </c>
      <c r="E2164" s="6" t="s">
        <v>147</v>
      </c>
      <c r="F2164" s="8">
        <v>12.0</v>
      </c>
      <c r="G2164" s="9">
        <v>858.56</v>
      </c>
      <c r="H2164" s="9">
        <v>13489.97</v>
      </c>
      <c r="I2164" s="6" t="s">
        <v>161</v>
      </c>
      <c r="J2164" s="6" t="s">
        <v>442</v>
      </c>
      <c r="K2164" s="6" t="s">
        <v>14670</v>
      </c>
      <c r="L2164" s="6">
        <v>8.7281903602E10</v>
      </c>
      <c r="M2164" s="6" t="s">
        <v>14671</v>
      </c>
      <c r="N2164" s="6" t="s">
        <v>427</v>
      </c>
      <c r="O2164" s="6" t="s">
        <v>178</v>
      </c>
      <c r="P2164" s="10">
        <v>45935.0</v>
      </c>
    </row>
    <row r="2165" ht="22.5" customHeight="1">
      <c r="A2165" s="6" t="s">
        <v>14672</v>
      </c>
      <c r="B2165" s="6" t="s">
        <v>14673</v>
      </c>
      <c r="C2165" s="6" t="s">
        <v>14674</v>
      </c>
      <c r="D2165" s="6" t="s">
        <v>383</v>
      </c>
      <c r="E2165" s="6" t="s">
        <v>301</v>
      </c>
      <c r="F2165" s="8">
        <v>56.0</v>
      </c>
      <c r="G2165" s="9">
        <v>355.41</v>
      </c>
      <c r="H2165" s="9">
        <v>7021.39</v>
      </c>
      <c r="I2165" s="6" t="s">
        <v>161</v>
      </c>
      <c r="J2165" s="6" t="s">
        <v>393</v>
      </c>
      <c r="K2165" s="6" t="s">
        <v>14676</v>
      </c>
      <c r="L2165" s="6">
        <v>8.7870998542E10</v>
      </c>
      <c r="M2165" s="6" t="s">
        <v>14677</v>
      </c>
      <c r="N2165" s="6" t="s">
        <v>427</v>
      </c>
      <c r="O2165" s="6" t="s">
        <v>178</v>
      </c>
      <c r="P2165" s="10">
        <v>46008.0</v>
      </c>
    </row>
    <row r="2166" ht="22.5" customHeight="1">
      <c r="A2166" s="6" t="s">
        <v>14678</v>
      </c>
      <c r="B2166" s="6" t="s">
        <v>14680</v>
      </c>
      <c r="C2166" s="6" t="s">
        <v>14681</v>
      </c>
      <c r="D2166" s="6" t="s">
        <v>145</v>
      </c>
      <c r="E2166" s="6" t="s">
        <v>147</v>
      </c>
      <c r="F2166" s="8">
        <v>21.0</v>
      </c>
      <c r="G2166" s="9">
        <v>176.88</v>
      </c>
      <c r="H2166" s="9">
        <v>3810.31</v>
      </c>
      <c r="I2166" s="6" t="s">
        <v>161</v>
      </c>
      <c r="J2166" s="6" t="s">
        <v>442</v>
      </c>
      <c r="K2166" s="6" t="s">
        <v>14683</v>
      </c>
      <c r="L2166" s="6">
        <v>3.8461808384E10</v>
      </c>
      <c r="M2166" s="6" t="s">
        <v>14684</v>
      </c>
      <c r="N2166" s="6" t="s">
        <v>112</v>
      </c>
      <c r="O2166" s="6" t="s">
        <v>178</v>
      </c>
      <c r="P2166" s="10">
        <v>45992.0</v>
      </c>
    </row>
    <row r="2167" ht="22.5" customHeight="1">
      <c r="A2167" s="6" t="s">
        <v>14685</v>
      </c>
      <c r="B2167" s="6" t="s">
        <v>14686</v>
      </c>
      <c r="C2167" s="6" t="s">
        <v>14687</v>
      </c>
      <c r="D2167" s="6" t="s">
        <v>206</v>
      </c>
      <c r="E2167" s="6" t="s">
        <v>147</v>
      </c>
      <c r="F2167" s="8">
        <v>7.0</v>
      </c>
      <c r="G2167" s="9">
        <v>1252.89</v>
      </c>
      <c r="H2167" s="9">
        <v>5280.37</v>
      </c>
      <c r="I2167" s="6" t="s">
        <v>161</v>
      </c>
      <c r="J2167" s="6" t="s">
        <v>442</v>
      </c>
      <c r="K2167" s="6" t="s">
        <v>14689</v>
      </c>
      <c r="L2167" s="6">
        <v>2.90054785E9</v>
      </c>
      <c r="M2167" s="6" t="s">
        <v>14690</v>
      </c>
      <c r="N2167" s="6" t="s">
        <v>427</v>
      </c>
      <c r="O2167" s="6" t="s">
        <v>178</v>
      </c>
      <c r="P2167" s="10">
        <v>45962.0</v>
      </c>
    </row>
    <row r="2168" ht="22.5" customHeight="1">
      <c r="A2168" s="6" t="s">
        <v>14692</v>
      </c>
      <c r="B2168" s="6" t="s">
        <v>14693</v>
      </c>
      <c r="C2168" s="6" t="s">
        <v>14694</v>
      </c>
      <c r="D2168" s="6" t="s">
        <v>206</v>
      </c>
      <c r="E2168" s="6" t="s">
        <v>147</v>
      </c>
      <c r="F2168" s="8">
        <v>29.0</v>
      </c>
      <c r="G2168" s="9">
        <v>606.29</v>
      </c>
      <c r="H2168" s="9">
        <v>6697.48</v>
      </c>
      <c r="I2168" s="6" t="s">
        <v>161</v>
      </c>
      <c r="J2168" s="6" t="s">
        <v>465</v>
      </c>
      <c r="K2168" s="6" t="s">
        <v>14695</v>
      </c>
      <c r="L2168" s="6">
        <v>2.4107461991E10</v>
      </c>
      <c r="M2168" s="6" t="s">
        <v>14697</v>
      </c>
      <c r="N2168" s="6" t="s">
        <v>176</v>
      </c>
      <c r="O2168" s="6" t="s">
        <v>178</v>
      </c>
      <c r="P2168" s="10">
        <v>45997.0</v>
      </c>
    </row>
    <row r="2169" ht="22.5" customHeight="1">
      <c r="A2169" s="6" t="s">
        <v>14698</v>
      </c>
      <c r="B2169" s="6" t="s">
        <v>14699</v>
      </c>
      <c r="C2169" s="6" t="s">
        <v>14700</v>
      </c>
      <c r="D2169" s="6" t="s">
        <v>145</v>
      </c>
      <c r="E2169" s="6" t="s">
        <v>147</v>
      </c>
      <c r="F2169" s="8">
        <v>8.0</v>
      </c>
      <c r="G2169" s="9">
        <v>1557.77</v>
      </c>
      <c r="H2169" s="9">
        <v>9991.43</v>
      </c>
      <c r="I2169" s="6" t="s">
        <v>161</v>
      </c>
      <c r="J2169" s="6" t="s">
        <v>479</v>
      </c>
      <c r="K2169" s="6" t="s">
        <v>14701</v>
      </c>
      <c r="L2169" s="6">
        <v>3.6566930244E10</v>
      </c>
      <c r="M2169" s="6" t="s">
        <v>14703</v>
      </c>
      <c r="N2169" s="6" t="s">
        <v>112</v>
      </c>
      <c r="O2169" s="6" t="s">
        <v>178</v>
      </c>
      <c r="P2169" s="10">
        <v>46038.0</v>
      </c>
    </row>
    <row r="2170" ht="22.5" customHeight="1">
      <c r="A2170" s="6" t="s">
        <v>14704</v>
      </c>
      <c r="B2170" s="6" t="s">
        <v>14705</v>
      </c>
      <c r="C2170" s="6" t="s">
        <v>14706</v>
      </c>
      <c r="D2170" s="6" t="s">
        <v>383</v>
      </c>
      <c r="E2170" s="6" t="s">
        <v>147</v>
      </c>
      <c r="F2170" s="8">
        <v>27.0</v>
      </c>
      <c r="G2170" s="9">
        <v>502.06</v>
      </c>
      <c r="H2170" s="9">
        <v>8595.27</v>
      </c>
      <c r="I2170" s="6" t="s">
        <v>178</v>
      </c>
      <c r="J2170" s="6" t="s">
        <v>228</v>
      </c>
      <c r="K2170" s="6" t="s">
        <v>14708</v>
      </c>
      <c r="L2170" s="6">
        <v>9.4644133273E10</v>
      </c>
      <c r="M2170" s="6" t="s">
        <v>14709</v>
      </c>
      <c r="N2170" s="6" t="s">
        <v>283</v>
      </c>
      <c r="O2170" s="6" t="s">
        <v>161</v>
      </c>
      <c r="P2170" s="10">
        <v>46038.0</v>
      </c>
    </row>
    <row r="2171" ht="22.5" customHeight="1">
      <c r="A2171" s="6" t="s">
        <v>14711</v>
      </c>
      <c r="B2171" s="6" t="s">
        <v>14712</v>
      </c>
      <c r="C2171" s="6" t="s">
        <v>14713</v>
      </c>
      <c r="D2171" s="6" t="s">
        <v>206</v>
      </c>
      <c r="E2171" s="6" t="s">
        <v>301</v>
      </c>
      <c r="F2171" s="8">
        <v>54.0</v>
      </c>
      <c r="G2171" s="9">
        <v>1364.61</v>
      </c>
      <c r="H2171" s="9">
        <v>8853.91</v>
      </c>
      <c r="I2171" s="6" t="s">
        <v>161</v>
      </c>
      <c r="J2171" s="6" t="s">
        <v>442</v>
      </c>
      <c r="K2171" s="6" t="s">
        <v>14715</v>
      </c>
      <c r="L2171" s="6">
        <v>4.846599636E10</v>
      </c>
      <c r="M2171" s="6" t="s">
        <v>14716</v>
      </c>
      <c r="N2171" s="6" t="s">
        <v>176</v>
      </c>
      <c r="O2171" s="6" t="s">
        <v>178</v>
      </c>
      <c r="P2171" s="10">
        <v>45953.0</v>
      </c>
    </row>
    <row r="2172" ht="22.5" customHeight="1">
      <c r="A2172" s="6" t="s">
        <v>14717</v>
      </c>
      <c r="B2172" s="6" t="s">
        <v>14718</v>
      </c>
      <c r="C2172" s="6" t="s">
        <v>14719</v>
      </c>
      <c r="D2172" s="6" t="s">
        <v>206</v>
      </c>
      <c r="E2172" s="6" t="s">
        <v>301</v>
      </c>
      <c r="F2172" s="8">
        <v>30.0</v>
      </c>
      <c r="G2172" s="9">
        <v>1259.15</v>
      </c>
      <c r="H2172" s="9">
        <v>7918.8</v>
      </c>
      <c r="I2172" s="6" t="s">
        <v>161</v>
      </c>
      <c r="J2172" s="6" t="s">
        <v>479</v>
      </c>
      <c r="K2172" s="6" t="s">
        <v>14721</v>
      </c>
      <c r="L2172" s="6">
        <v>1.6218392586E10</v>
      </c>
      <c r="M2172" s="6" t="s">
        <v>14722</v>
      </c>
      <c r="N2172" s="6" t="s">
        <v>176</v>
      </c>
      <c r="O2172" s="6" t="s">
        <v>178</v>
      </c>
      <c r="P2172" s="10">
        <v>45971.0</v>
      </c>
    </row>
    <row r="2173" ht="22.5" customHeight="1">
      <c r="A2173" s="6" t="s">
        <v>14723</v>
      </c>
      <c r="B2173" s="6" t="s">
        <v>14724</v>
      </c>
      <c r="C2173" s="6" t="s">
        <v>14725</v>
      </c>
      <c r="D2173" s="6" t="s">
        <v>206</v>
      </c>
      <c r="E2173" s="6" t="s">
        <v>301</v>
      </c>
      <c r="F2173" s="8">
        <v>57.0</v>
      </c>
      <c r="G2173" s="9">
        <v>644.78</v>
      </c>
      <c r="H2173" s="9">
        <v>3295.78</v>
      </c>
      <c r="I2173" s="6" t="s">
        <v>161</v>
      </c>
      <c r="J2173" s="6" t="s">
        <v>393</v>
      </c>
      <c r="K2173" s="6" t="s">
        <v>14727</v>
      </c>
      <c r="L2173" s="6">
        <v>2.0773563539E10</v>
      </c>
      <c r="M2173" s="6" t="s">
        <v>14729</v>
      </c>
      <c r="N2173" s="6" t="s">
        <v>283</v>
      </c>
      <c r="O2173" s="6" t="s">
        <v>178</v>
      </c>
      <c r="P2173" s="10">
        <v>46029.0</v>
      </c>
    </row>
    <row r="2174" ht="22.5" customHeight="1">
      <c r="A2174" s="6" t="s">
        <v>14730</v>
      </c>
      <c r="B2174" s="6" t="s">
        <v>14731</v>
      </c>
      <c r="C2174" s="6" t="s">
        <v>14732</v>
      </c>
      <c r="D2174" s="6" t="s">
        <v>383</v>
      </c>
      <c r="E2174" s="6" t="s">
        <v>210</v>
      </c>
      <c r="F2174" s="8">
        <v>73.0</v>
      </c>
      <c r="G2174" s="9">
        <v>1729.26</v>
      </c>
      <c r="H2174" s="9">
        <v>8574.41</v>
      </c>
      <c r="I2174" s="6" t="s">
        <v>178</v>
      </c>
      <c r="J2174" s="6" t="s">
        <v>163</v>
      </c>
      <c r="K2174" s="6" t="s">
        <v>14733</v>
      </c>
      <c r="L2174" s="6">
        <v>6.89986653E9</v>
      </c>
      <c r="M2174" s="6" t="s">
        <v>14735</v>
      </c>
      <c r="N2174" s="6" t="s">
        <v>176</v>
      </c>
      <c r="O2174" s="6" t="s">
        <v>161</v>
      </c>
      <c r="P2174" s="10">
        <v>46047.0</v>
      </c>
    </row>
    <row r="2175" ht="22.5" customHeight="1">
      <c r="A2175" s="6" t="s">
        <v>14736</v>
      </c>
      <c r="B2175" s="6" t="s">
        <v>14737</v>
      </c>
      <c r="C2175" s="6" t="s">
        <v>14738</v>
      </c>
      <c r="D2175" s="6" t="s">
        <v>145</v>
      </c>
      <c r="E2175" s="6" t="s">
        <v>147</v>
      </c>
      <c r="F2175" s="8">
        <v>13.0</v>
      </c>
      <c r="G2175" s="9">
        <v>996.7</v>
      </c>
      <c r="H2175" s="9">
        <v>14024.02</v>
      </c>
      <c r="I2175" s="6" t="s">
        <v>161</v>
      </c>
      <c r="J2175" s="6" t="s">
        <v>442</v>
      </c>
      <c r="K2175" s="6" t="s">
        <v>259</v>
      </c>
      <c r="L2175" s="6">
        <v>9.3104112784E10</v>
      </c>
      <c r="M2175" s="6" t="s">
        <v>14740</v>
      </c>
      <c r="N2175" s="6" t="s">
        <v>427</v>
      </c>
      <c r="O2175" s="6" t="s">
        <v>178</v>
      </c>
      <c r="P2175" s="10">
        <v>45977.0</v>
      </c>
    </row>
    <row r="2176" ht="22.5" customHeight="1">
      <c r="A2176" s="6" t="s">
        <v>14741</v>
      </c>
      <c r="B2176" s="6" t="s">
        <v>14742</v>
      </c>
      <c r="C2176" s="6" t="s">
        <v>14744</v>
      </c>
      <c r="D2176" s="6" t="s">
        <v>383</v>
      </c>
      <c r="E2176" s="6" t="s">
        <v>147</v>
      </c>
      <c r="F2176" s="8">
        <v>17.0</v>
      </c>
      <c r="G2176" s="9">
        <v>1613.8</v>
      </c>
      <c r="H2176" s="9">
        <v>3602.04</v>
      </c>
      <c r="I2176" s="6" t="s">
        <v>161</v>
      </c>
      <c r="J2176" s="6" t="s">
        <v>393</v>
      </c>
      <c r="K2176" s="6" t="s">
        <v>14745</v>
      </c>
      <c r="L2176" s="6">
        <v>7.7817815805E10</v>
      </c>
      <c r="M2176" s="6" t="s">
        <v>14746</v>
      </c>
      <c r="N2176" s="6" t="s">
        <v>283</v>
      </c>
      <c r="O2176" s="6" t="s">
        <v>178</v>
      </c>
      <c r="P2176" s="10">
        <v>45979.0</v>
      </c>
    </row>
    <row r="2177" ht="22.5" customHeight="1">
      <c r="A2177" s="6" t="s">
        <v>14748</v>
      </c>
      <c r="B2177" s="6" t="s">
        <v>14749</v>
      </c>
      <c r="C2177" s="6" t="s">
        <v>14750</v>
      </c>
      <c r="D2177" s="6" t="s">
        <v>206</v>
      </c>
      <c r="E2177" s="6" t="s">
        <v>147</v>
      </c>
      <c r="F2177" s="8">
        <v>6.0</v>
      </c>
      <c r="G2177" s="9">
        <v>671.34</v>
      </c>
      <c r="H2177" s="9">
        <v>6253.0</v>
      </c>
      <c r="I2177" s="6" t="s">
        <v>161</v>
      </c>
      <c r="J2177" s="6" t="s">
        <v>1734</v>
      </c>
      <c r="K2177" s="6" t="s">
        <v>14752</v>
      </c>
      <c r="L2177" s="6" t="s">
        <v>259</v>
      </c>
      <c r="M2177" s="6" t="s">
        <v>14753</v>
      </c>
      <c r="N2177" s="6" t="s">
        <v>176</v>
      </c>
      <c r="O2177" s="6" t="s">
        <v>178</v>
      </c>
      <c r="P2177" s="10">
        <v>45961.0</v>
      </c>
    </row>
    <row r="2178" ht="22.5" customHeight="1">
      <c r="A2178" s="6" t="s">
        <v>14754</v>
      </c>
      <c r="B2178" s="6" t="s">
        <v>14755</v>
      </c>
      <c r="C2178" s="6" t="s">
        <v>14756</v>
      </c>
      <c r="D2178" s="6" t="s">
        <v>383</v>
      </c>
      <c r="E2178" s="6" t="s">
        <v>301</v>
      </c>
      <c r="F2178" s="8">
        <v>58.0</v>
      </c>
      <c r="G2178" s="9">
        <v>239.56</v>
      </c>
      <c r="H2178" s="9">
        <v>13801.36</v>
      </c>
      <c r="I2178" s="6" t="s">
        <v>161</v>
      </c>
      <c r="J2178" s="6" t="s">
        <v>577</v>
      </c>
      <c r="K2178" s="6" t="s">
        <v>14758</v>
      </c>
      <c r="L2178" s="6">
        <v>3.705127814E10</v>
      </c>
      <c r="M2178" s="6" t="s">
        <v>14759</v>
      </c>
      <c r="N2178" s="6" t="s">
        <v>259</v>
      </c>
      <c r="O2178" s="6" t="s">
        <v>178</v>
      </c>
      <c r="P2178" s="10">
        <v>45974.0</v>
      </c>
    </row>
    <row r="2179" ht="22.5" customHeight="1">
      <c r="A2179" s="6" t="s">
        <v>14760</v>
      </c>
      <c r="B2179" s="6" t="s">
        <v>14762</v>
      </c>
      <c r="C2179" s="6" t="s">
        <v>14763</v>
      </c>
      <c r="D2179" s="6" t="s">
        <v>206</v>
      </c>
      <c r="E2179" s="6" t="s">
        <v>210</v>
      </c>
      <c r="F2179" s="8">
        <v>75.0</v>
      </c>
      <c r="G2179" s="9">
        <v>1518.97</v>
      </c>
      <c r="H2179" s="9">
        <v>11513.21</v>
      </c>
      <c r="I2179" s="6" t="s">
        <v>178</v>
      </c>
      <c r="J2179" s="6" t="s">
        <v>357</v>
      </c>
      <c r="K2179" s="6" t="s">
        <v>14764</v>
      </c>
      <c r="L2179" s="6">
        <v>1.3240387402E10</v>
      </c>
      <c r="M2179" s="6" t="s">
        <v>14765</v>
      </c>
      <c r="N2179" s="6" t="s">
        <v>283</v>
      </c>
      <c r="O2179" s="6" t="s">
        <v>161</v>
      </c>
      <c r="P2179" s="10">
        <v>45932.0</v>
      </c>
    </row>
    <row r="2180" ht="22.5" customHeight="1">
      <c r="A2180" s="6" t="s">
        <v>14767</v>
      </c>
      <c r="B2180" s="6" t="s">
        <v>14768</v>
      </c>
      <c r="C2180" s="6" t="s">
        <v>14769</v>
      </c>
      <c r="D2180" s="6" t="s">
        <v>206</v>
      </c>
      <c r="E2180" s="6" t="s">
        <v>147</v>
      </c>
      <c r="F2180" s="8">
        <v>6.0</v>
      </c>
      <c r="G2180" s="9">
        <v>446.58</v>
      </c>
      <c r="H2180" s="9">
        <v>2588.28</v>
      </c>
      <c r="I2180" s="6" t="s">
        <v>161</v>
      </c>
      <c r="J2180" s="6" t="s">
        <v>393</v>
      </c>
      <c r="K2180" s="6" t="s">
        <v>14771</v>
      </c>
      <c r="L2180" s="6">
        <v>9.084622881E9</v>
      </c>
      <c r="M2180" s="6" t="s">
        <v>14772</v>
      </c>
      <c r="N2180" s="6" t="s">
        <v>427</v>
      </c>
      <c r="O2180" s="6" t="s">
        <v>178</v>
      </c>
      <c r="P2180" s="10">
        <v>45939.0</v>
      </c>
    </row>
    <row r="2181" ht="22.5" customHeight="1">
      <c r="A2181" s="6" t="s">
        <v>14773</v>
      </c>
      <c r="B2181" s="6" t="s">
        <v>14774</v>
      </c>
      <c r="C2181" s="6" t="s">
        <v>14775</v>
      </c>
      <c r="D2181" s="6" t="s">
        <v>206</v>
      </c>
      <c r="E2181" s="6" t="s">
        <v>301</v>
      </c>
      <c r="F2181" s="8">
        <v>35.0</v>
      </c>
      <c r="G2181" s="9">
        <v>1341.6</v>
      </c>
      <c r="H2181" s="9">
        <v>5790.93</v>
      </c>
      <c r="I2181" s="6" t="s">
        <v>161</v>
      </c>
      <c r="J2181" s="6" t="s">
        <v>393</v>
      </c>
      <c r="K2181" s="6" t="s">
        <v>259</v>
      </c>
      <c r="L2181" s="6">
        <v>3.3299269293E10</v>
      </c>
      <c r="M2181" s="6" t="s">
        <v>14777</v>
      </c>
      <c r="N2181" s="6" t="s">
        <v>112</v>
      </c>
      <c r="O2181" s="6" t="s">
        <v>178</v>
      </c>
      <c r="P2181" s="10">
        <v>45968.0</v>
      </c>
    </row>
    <row r="2182" ht="22.5" customHeight="1">
      <c r="A2182" s="6" t="s">
        <v>14779</v>
      </c>
      <c r="B2182" s="6" t="s">
        <v>14780</v>
      </c>
      <c r="C2182" s="6" t="s">
        <v>14781</v>
      </c>
      <c r="D2182" s="6" t="s">
        <v>145</v>
      </c>
      <c r="E2182" s="6" t="s">
        <v>147</v>
      </c>
      <c r="F2182" s="8">
        <v>17.0</v>
      </c>
      <c r="G2182" s="9">
        <v>1040.62</v>
      </c>
      <c r="H2182" s="9">
        <v>13061.37</v>
      </c>
      <c r="I2182" s="6" t="s">
        <v>161</v>
      </c>
      <c r="J2182" s="6" t="s">
        <v>357</v>
      </c>
      <c r="K2182" s="6" t="s">
        <v>14783</v>
      </c>
      <c r="L2182" s="6">
        <v>3.786297569E9</v>
      </c>
      <c r="M2182" s="6" t="s">
        <v>14784</v>
      </c>
      <c r="N2182" s="6" t="s">
        <v>283</v>
      </c>
      <c r="O2182" s="6" t="s">
        <v>178</v>
      </c>
      <c r="P2182" s="10">
        <v>45953.0</v>
      </c>
    </row>
    <row r="2183" ht="22.5" customHeight="1">
      <c r="A2183" s="6" t="s">
        <v>14785</v>
      </c>
      <c r="B2183" s="6" t="s">
        <v>14786</v>
      </c>
      <c r="C2183" s="6" t="s">
        <v>14787</v>
      </c>
      <c r="D2183" s="6" t="s">
        <v>145</v>
      </c>
      <c r="E2183" s="6" t="s">
        <v>301</v>
      </c>
      <c r="F2183" s="8">
        <v>30.0</v>
      </c>
      <c r="G2183" s="9">
        <v>573.11</v>
      </c>
      <c r="H2183" s="9">
        <v>2684.34</v>
      </c>
      <c r="I2183" s="6" t="s">
        <v>161</v>
      </c>
      <c r="J2183" s="6" t="s">
        <v>442</v>
      </c>
      <c r="K2183" s="6" t="s">
        <v>14789</v>
      </c>
      <c r="L2183" s="6">
        <v>3.311343928E9</v>
      </c>
      <c r="M2183" s="6" t="s">
        <v>14790</v>
      </c>
      <c r="N2183" s="6" t="s">
        <v>176</v>
      </c>
      <c r="O2183" s="6" t="s">
        <v>178</v>
      </c>
      <c r="P2183" s="10">
        <v>45972.0</v>
      </c>
    </row>
    <row r="2184" ht="22.5" customHeight="1">
      <c r="A2184" s="6" t="s">
        <v>14792</v>
      </c>
      <c r="B2184" s="6" t="s">
        <v>14793</v>
      </c>
      <c r="C2184" s="6" t="s">
        <v>14794</v>
      </c>
      <c r="D2184" s="6" t="s">
        <v>145</v>
      </c>
      <c r="E2184" s="6" t="s">
        <v>147</v>
      </c>
      <c r="F2184" s="8">
        <v>19.0</v>
      </c>
      <c r="G2184" s="9">
        <v>1408.06</v>
      </c>
      <c r="H2184" s="9">
        <v>13711.7</v>
      </c>
      <c r="I2184" s="6" t="s">
        <v>161</v>
      </c>
      <c r="J2184" s="6" t="s">
        <v>228</v>
      </c>
      <c r="K2184" s="6" t="s">
        <v>259</v>
      </c>
      <c r="L2184" s="6">
        <v>8.3085928357E10</v>
      </c>
      <c r="M2184" s="6" t="s">
        <v>14796</v>
      </c>
      <c r="N2184" s="6" t="s">
        <v>283</v>
      </c>
      <c r="O2184" s="6" t="s">
        <v>178</v>
      </c>
      <c r="P2184" s="10">
        <v>46033.0</v>
      </c>
    </row>
    <row r="2185" ht="22.5" customHeight="1">
      <c r="A2185" s="6" t="s">
        <v>14797</v>
      </c>
      <c r="B2185" s="6" t="s">
        <v>14798</v>
      </c>
      <c r="C2185" s="6" t="s">
        <v>14799</v>
      </c>
      <c r="D2185" s="6" t="s">
        <v>145</v>
      </c>
      <c r="E2185" s="6" t="s">
        <v>301</v>
      </c>
      <c r="F2185" s="8">
        <v>55.0</v>
      </c>
      <c r="G2185" s="9">
        <v>825.76</v>
      </c>
      <c r="H2185" s="9">
        <v>5886.6</v>
      </c>
      <c r="I2185" s="6" t="s">
        <v>161</v>
      </c>
      <c r="J2185" s="6" t="s">
        <v>312</v>
      </c>
      <c r="K2185" s="6" t="s">
        <v>14801</v>
      </c>
      <c r="L2185" s="6">
        <v>4.4500230261E10</v>
      </c>
      <c r="M2185" s="6" t="s">
        <v>14802</v>
      </c>
      <c r="N2185" s="6" t="s">
        <v>259</v>
      </c>
      <c r="O2185" s="6" t="s">
        <v>178</v>
      </c>
      <c r="P2185" s="10">
        <v>46036.0</v>
      </c>
    </row>
    <row r="2186" ht="22.5" customHeight="1">
      <c r="A2186" s="6" t="s">
        <v>14804</v>
      </c>
      <c r="B2186" s="6" t="s">
        <v>14805</v>
      </c>
      <c r="C2186" s="6" t="s">
        <v>14806</v>
      </c>
      <c r="D2186" s="6" t="s">
        <v>206</v>
      </c>
      <c r="E2186" s="6" t="s">
        <v>210</v>
      </c>
      <c r="F2186" s="8">
        <v>120.0</v>
      </c>
      <c r="G2186" s="9">
        <v>1068.57</v>
      </c>
      <c r="H2186" s="9">
        <v>12007.55</v>
      </c>
      <c r="I2186" s="6" t="s">
        <v>178</v>
      </c>
      <c r="J2186" s="6" t="s">
        <v>312</v>
      </c>
      <c r="K2186" s="6" t="s">
        <v>259</v>
      </c>
      <c r="L2186" s="6">
        <v>2.5021063071E10</v>
      </c>
      <c r="M2186" s="6" t="s">
        <v>14809</v>
      </c>
      <c r="N2186" s="6" t="s">
        <v>283</v>
      </c>
      <c r="O2186" s="6" t="s">
        <v>161</v>
      </c>
      <c r="P2186" s="10">
        <v>45975.0</v>
      </c>
    </row>
    <row r="2187" ht="22.5" customHeight="1">
      <c r="A2187" s="6" t="s">
        <v>14810</v>
      </c>
      <c r="B2187" s="6" t="s">
        <v>14812</v>
      </c>
      <c r="C2187" s="6" t="s">
        <v>14813</v>
      </c>
      <c r="D2187" s="6" t="s">
        <v>145</v>
      </c>
      <c r="E2187" s="6" t="s">
        <v>147</v>
      </c>
      <c r="F2187" s="8">
        <v>5.0</v>
      </c>
      <c r="G2187" s="9">
        <v>415.05</v>
      </c>
      <c r="H2187" s="9">
        <v>7322.24</v>
      </c>
      <c r="I2187" s="6" t="s">
        <v>161</v>
      </c>
      <c r="J2187" s="6" t="s">
        <v>393</v>
      </c>
      <c r="K2187" s="6" t="s">
        <v>14815</v>
      </c>
      <c r="L2187" s="6">
        <v>3.642927626E10</v>
      </c>
      <c r="M2187" s="6" t="s">
        <v>14816</v>
      </c>
      <c r="N2187" s="6" t="s">
        <v>112</v>
      </c>
      <c r="O2187" s="6" t="s">
        <v>178</v>
      </c>
      <c r="P2187" s="10">
        <v>45969.0</v>
      </c>
    </row>
    <row r="2188" ht="22.5" customHeight="1">
      <c r="A2188" s="6" t="s">
        <v>14818</v>
      </c>
      <c r="B2188" s="6" t="s">
        <v>14819</v>
      </c>
      <c r="C2188" s="6" t="s">
        <v>14820</v>
      </c>
      <c r="D2188" s="6" t="s">
        <v>206</v>
      </c>
      <c r="E2188" s="6" t="s">
        <v>210</v>
      </c>
      <c r="F2188" s="8">
        <v>114.0</v>
      </c>
      <c r="G2188" s="9">
        <v>140.5</v>
      </c>
      <c r="H2188" s="9">
        <v>7635.45</v>
      </c>
      <c r="I2188" s="6" t="s">
        <v>178</v>
      </c>
      <c r="J2188" s="6" t="s">
        <v>312</v>
      </c>
      <c r="K2188" s="6" t="s">
        <v>14822</v>
      </c>
      <c r="L2188" s="6">
        <v>5.1096109621E10</v>
      </c>
      <c r="M2188" s="6" t="s">
        <v>14823</v>
      </c>
      <c r="N2188" s="6" t="s">
        <v>427</v>
      </c>
      <c r="O2188" s="6" t="s">
        <v>161</v>
      </c>
      <c r="P2188" s="10">
        <v>45940.0</v>
      </c>
    </row>
    <row r="2189" ht="22.5" customHeight="1">
      <c r="A2189" s="6" t="s">
        <v>14824</v>
      </c>
      <c r="B2189" s="6" t="s">
        <v>14825</v>
      </c>
      <c r="C2189" s="6" t="s">
        <v>14806</v>
      </c>
      <c r="D2189" s="6" t="s">
        <v>206</v>
      </c>
      <c r="E2189" s="6" t="s">
        <v>147</v>
      </c>
      <c r="F2189" s="8">
        <v>11.0</v>
      </c>
      <c r="G2189" s="9">
        <v>816.52</v>
      </c>
      <c r="H2189" s="9">
        <v>4002.01</v>
      </c>
      <c r="I2189" s="6" t="s">
        <v>161</v>
      </c>
      <c r="J2189" s="6" t="s">
        <v>357</v>
      </c>
      <c r="K2189" s="6" t="s">
        <v>14827</v>
      </c>
      <c r="L2189" s="6">
        <v>7.6308801939E10</v>
      </c>
      <c r="M2189" s="6" t="s">
        <v>14828</v>
      </c>
      <c r="N2189" s="6" t="s">
        <v>259</v>
      </c>
      <c r="O2189" s="6" t="s">
        <v>178</v>
      </c>
      <c r="P2189" s="10">
        <v>46050.0</v>
      </c>
    </row>
    <row r="2190" ht="22.5" customHeight="1">
      <c r="A2190" s="6" t="s">
        <v>14830</v>
      </c>
      <c r="B2190" s="6" t="s">
        <v>14831</v>
      </c>
      <c r="C2190" s="6" t="s">
        <v>14832</v>
      </c>
      <c r="D2190" s="6" t="s">
        <v>206</v>
      </c>
      <c r="E2190" s="6" t="s">
        <v>301</v>
      </c>
      <c r="F2190" s="8">
        <v>45.0</v>
      </c>
      <c r="G2190" s="9">
        <v>865.92</v>
      </c>
      <c r="H2190" s="9">
        <v>7995.62</v>
      </c>
      <c r="I2190" s="6" t="s">
        <v>161</v>
      </c>
      <c r="J2190" s="6" t="s">
        <v>442</v>
      </c>
      <c r="K2190" s="6" t="s">
        <v>14834</v>
      </c>
      <c r="L2190" s="6">
        <v>7.1153891367E10</v>
      </c>
      <c r="M2190" s="6" t="s">
        <v>14835</v>
      </c>
      <c r="N2190" s="6" t="s">
        <v>112</v>
      </c>
      <c r="O2190" s="6" t="s">
        <v>178</v>
      </c>
      <c r="P2190" s="10">
        <v>46018.0</v>
      </c>
    </row>
    <row r="2191" ht="22.5" customHeight="1">
      <c r="A2191" s="6" t="s">
        <v>14836</v>
      </c>
      <c r="B2191" s="6" t="s">
        <v>14838</v>
      </c>
      <c r="C2191" s="6" t="s">
        <v>14839</v>
      </c>
      <c r="D2191" s="6" t="s">
        <v>145</v>
      </c>
      <c r="E2191" s="6" t="s">
        <v>147</v>
      </c>
      <c r="F2191" s="8">
        <v>26.0</v>
      </c>
      <c r="G2191" s="9">
        <v>643.47</v>
      </c>
      <c r="H2191" s="9">
        <v>2974.98</v>
      </c>
      <c r="I2191" s="6" t="s">
        <v>161</v>
      </c>
      <c r="J2191" s="6" t="s">
        <v>228</v>
      </c>
      <c r="K2191" s="6" t="s">
        <v>14841</v>
      </c>
      <c r="L2191" s="6">
        <v>5.1356052431E10</v>
      </c>
      <c r="M2191" s="6" t="s">
        <v>14842</v>
      </c>
      <c r="N2191" s="6" t="s">
        <v>112</v>
      </c>
      <c r="O2191" s="6" t="s">
        <v>178</v>
      </c>
      <c r="P2191" s="10">
        <v>45988.0</v>
      </c>
    </row>
    <row r="2192" ht="22.5" customHeight="1">
      <c r="A2192" s="6" t="s">
        <v>14843</v>
      </c>
      <c r="B2192" s="6" t="s">
        <v>14845</v>
      </c>
      <c r="C2192" s="6" t="s">
        <v>14846</v>
      </c>
      <c r="D2192" s="6" t="s">
        <v>145</v>
      </c>
      <c r="E2192" s="6" t="s">
        <v>301</v>
      </c>
      <c r="F2192" s="8">
        <v>49.0</v>
      </c>
      <c r="G2192" s="9">
        <v>1718.28</v>
      </c>
      <c r="H2192" s="9">
        <v>14817.74</v>
      </c>
      <c r="I2192" s="6" t="s">
        <v>161</v>
      </c>
      <c r="J2192" s="6" t="s">
        <v>228</v>
      </c>
      <c r="K2192" s="6" t="s">
        <v>14847</v>
      </c>
      <c r="L2192" s="6" t="s">
        <v>259</v>
      </c>
      <c r="M2192" s="6" t="s">
        <v>14849</v>
      </c>
      <c r="N2192" s="6" t="s">
        <v>427</v>
      </c>
      <c r="O2192" s="6" t="s">
        <v>178</v>
      </c>
      <c r="P2192" s="10">
        <v>45999.0</v>
      </c>
    </row>
    <row r="2193" ht="22.5" customHeight="1">
      <c r="A2193" s="6" t="s">
        <v>14850</v>
      </c>
      <c r="B2193" s="6" t="s">
        <v>14851</v>
      </c>
      <c r="C2193" s="6" t="s">
        <v>14852</v>
      </c>
      <c r="D2193" s="6" t="s">
        <v>145</v>
      </c>
      <c r="E2193" s="6" t="s">
        <v>210</v>
      </c>
      <c r="F2193" s="8">
        <v>87.0</v>
      </c>
      <c r="G2193" s="9">
        <v>783.95</v>
      </c>
      <c r="H2193" s="9">
        <v>7685.42</v>
      </c>
      <c r="I2193" s="6" t="s">
        <v>161</v>
      </c>
      <c r="J2193" s="6" t="s">
        <v>2502</v>
      </c>
      <c r="K2193" s="6" t="s">
        <v>14854</v>
      </c>
      <c r="L2193" s="6">
        <v>3.7958209216E10</v>
      </c>
      <c r="M2193" s="6" t="s">
        <v>14855</v>
      </c>
      <c r="N2193" s="6" t="s">
        <v>427</v>
      </c>
      <c r="O2193" s="6" t="s">
        <v>161</v>
      </c>
      <c r="P2193" s="10">
        <v>46013.0</v>
      </c>
    </row>
    <row r="2194" ht="22.5" customHeight="1">
      <c r="A2194" s="6" t="s">
        <v>14857</v>
      </c>
      <c r="B2194" s="6" t="s">
        <v>14858</v>
      </c>
      <c r="C2194" s="6" t="s">
        <v>14859</v>
      </c>
      <c r="D2194" s="6" t="s">
        <v>383</v>
      </c>
      <c r="E2194" s="6" t="s">
        <v>147</v>
      </c>
      <c r="F2194" s="8">
        <v>18.0</v>
      </c>
      <c r="G2194" s="9">
        <v>1731.47</v>
      </c>
      <c r="H2194" s="9">
        <v>6508.46</v>
      </c>
      <c r="I2194" s="6" t="s">
        <v>161</v>
      </c>
      <c r="J2194" s="6" t="s">
        <v>228</v>
      </c>
      <c r="K2194" s="6" t="s">
        <v>14861</v>
      </c>
      <c r="L2194" s="6">
        <v>9.0442429084E10</v>
      </c>
      <c r="M2194" s="6" t="s">
        <v>14862</v>
      </c>
      <c r="N2194" s="6" t="s">
        <v>112</v>
      </c>
      <c r="O2194" s="6" t="s">
        <v>178</v>
      </c>
      <c r="P2194" s="10">
        <v>45941.0</v>
      </c>
    </row>
    <row r="2195" ht="22.5" customHeight="1">
      <c r="A2195" s="6" t="s">
        <v>14863</v>
      </c>
      <c r="B2195" s="6" t="s">
        <v>14864</v>
      </c>
      <c r="C2195" s="6" t="s">
        <v>14865</v>
      </c>
      <c r="D2195" s="6" t="s">
        <v>145</v>
      </c>
      <c r="E2195" s="6" t="s">
        <v>301</v>
      </c>
      <c r="F2195" s="8">
        <v>53.0</v>
      </c>
      <c r="G2195" s="9">
        <v>792.87</v>
      </c>
      <c r="H2195" s="9">
        <v>5272.54</v>
      </c>
      <c r="I2195" s="6" t="s">
        <v>161</v>
      </c>
      <c r="J2195" s="6" t="s">
        <v>442</v>
      </c>
      <c r="K2195" s="6" t="s">
        <v>14867</v>
      </c>
      <c r="L2195" s="6">
        <v>4.1320601032E10</v>
      </c>
      <c r="M2195" s="6" t="s">
        <v>14869</v>
      </c>
      <c r="N2195" s="6" t="s">
        <v>259</v>
      </c>
      <c r="O2195" s="6" t="s">
        <v>178</v>
      </c>
      <c r="P2195" s="10">
        <v>46001.0</v>
      </c>
    </row>
    <row r="2196" ht="22.5" customHeight="1">
      <c r="A2196" s="6" t="s">
        <v>14870</v>
      </c>
      <c r="B2196" s="6" t="s">
        <v>14871</v>
      </c>
      <c r="C2196" s="6" t="s">
        <v>14872</v>
      </c>
      <c r="D2196" s="6" t="s">
        <v>206</v>
      </c>
      <c r="E2196" s="6" t="s">
        <v>210</v>
      </c>
      <c r="F2196" s="8">
        <v>98.0</v>
      </c>
      <c r="G2196" s="9">
        <v>1086.54</v>
      </c>
      <c r="H2196" s="9">
        <v>7875.54</v>
      </c>
      <c r="I2196" s="6" t="s">
        <v>161</v>
      </c>
      <c r="J2196" s="6" t="s">
        <v>393</v>
      </c>
      <c r="K2196" s="6" t="s">
        <v>14873</v>
      </c>
      <c r="L2196" s="6">
        <v>2.743662495E10</v>
      </c>
      <c r="M2196" s="6" t="s">
        <v>14874</v>
      </c>
      <c r="N2196" s="6" t="s">
        <v>427</v>
      </c>
      <c r="O2196" s="6" t="s">
        <v>161</v>
      </c>
      <c r="P2196" s="10">
        <v>45994.0</v>
      </c>
    </row>
    <row r="2197" ht="22.5" customHeight="1">
      <c r="A2197" s="6" t="s">
        <v>14876</v>
      </c>
      <c r="B2197" s="6" t="s">
        <v>14877</v>
      </c>
      <c r="C2197" s="6" t="s">
        <v>14878</v>
      </c>
      <c r="D2197" s="6" t="s">
        <v>206</v>
      </c>
      <c r="E2197" s="6" t="s">
        <v>147</v>
      </c>
      <c r="F2197" s="8">
        <v>29.0</v>
      </c>
      <c r="G2197" s="9">
        <v>1765.12</v>
      </c>
      <c r="H2197" s="9">
        <v>14737.8</v>
      </c>
      <c r="I2197" s="6" t="s">
        <v>161</v>
      </c>
      <c r="J2197" s="6" t="s">
        <v>393</v>
      </c>
      <c r="K2197" s="6" t="s">
        <v>14879</v>
      </c>
      <c r="L2197" s="6">
        <v>1.870971404E9</v>
      </c>
      <c r="M2197" s="6" t="s">
        <v>14880</v>
      </c>
      <c r="N2197" s="6" t="s">
        <v>176</v>
      </c>
      <c r="O2197" s="6" t="s">
        <v>178</v>
      </c>
      <c r="P2197" s="10">
        <v>45994.0</v>
      </c>
    </row>
    <row r="2198" ht="22.5" customHeight="1">
      <c r="A2198" s="6" t="s">
        <v>14881</v>
      </c>
      <c r="B2198" s="6" t="s">
        <v>14882</v>
      </c>
      <c r="C2198" s="6" t="s">
        <v>14884</v>
      </c>
      <c r="D2198" s="6" t="s">
        <v>206</v>
      </c>
      <c r="E2198" s="6" t="s">
        <v>210</v>
      </c>
      <c r="F2198" s="8">
        <v>113.0</v>
      </c>
      <c r="G2198" s="9">
        <v>909.06</v>
      </c>
      <c r="H2198" s="9">
        <v>11430.98</v>
      </c>
      <c r="I2198" s="6" t="s">
        <v>178</v>
      </c>
      <c r="J2198" s="6" t="s">
        <v>442</v>
      </c>
      <c r="K2198" s="6" t="s">
        <v>14885</v>
      </c>
      <c r="L2198" s="6">
        <v>2.963732861E10</v>
      </c>
      <c r="M2198" s="6" t="s">
        <v>14886</v>
      </c>
      <c r="N2198" s="6" t="s">
        <v>283</v>
      </c>
      <c r="O2198" s="6" t="s">
        <v>161</v>
      </c>
      <c r="P2198" s="10">
        <v>45975.0</v>
      </c>
    </row>
    <row r="2199" ht="22.5" customHeight="1">
      <c r="A2199" s="6" t="s">
        <v>14887</v>
      </c>
      <c r="B2199" s="6" t="s">
        <v>14888</v>
      </c>
      <c r="C2199" s="6" t="s">
        <v>14889</v>
      </c>
      <c r="D2199" s="6" t="s">
        <v>145</v>
      </c>
      <c r="E2199" s="6" t="s">
        <v>147</v>
      </c>
      <c r="F2199" s="8">
        <v>12.0</v>
      </c>
      <c r="G2199" s="9">
        <v>921.42</v>
      </c>
      <c r="H2199" s="9">
        <v>11112.02</v>
      </c>
      <c r="I2199" s="6" t="s">
        <v>161</v>
      </c>
      <c r="J2199" s="6" t="s">
        <v>421</v>
      </c>
      <c r="K2199" s="6" t="s">
        <v>14891</v>
      </c>
      <c r="L2199" s="6">
        <v>5.1997564903E10</v>
      </c>
      <c r="M2199" s="6" t="s">
        <v>14892</v>
      </c>
      <c r="N2199" s="6" t="s">
        <v>259</v>
      </c>
      <c r="O2199" s="6" t="s">
        <v>178</v>
      </c>
      <c r="P2199" s="10">
        <v>45938.0</v>
      </c>
    </row>
    <row r="2200" ht="22.5" customHeight="1">
      <c r="A2200" s="6" t="s">
        <v>14893</v>
      </c>
      <c r="B2200" s="6" t="s">
        <v>14894</v>
      </c>
      <c r="C2200" s="6" t="s">
        <v>14895</v>
      </c>
      <c r="D2200" s="6" t="s">
        <v>145</v>
      </c>
      <c r="E2200" s="6" t="s">
        <v>147</v>
      </c>
      <c r="F2200" s="8">
        <v>24.0</v>
      </c>
      <c r="G2200" s="9">
        <v>724.53</v>
      </c>
      <c r="H2200" s="9">
        <v>4806.2</v>
      </c>
      <c r="I2200" s="6" t="s">
        <v>161</v>
      </c>
      <c r="J2200" s="6" t="s">
        <v>442</v>
      </c>
      <c r="K2200" s="6" t="s">
        <v>14896</v>
      </c>
      <c r="L2200" s="6">
        <v>6.6576890454E10</v>
      </c>
      <c r="M2200" s="6" t="s">
        <v>14897</v>
      </c>
      <c r="N2200" s="6" t="s">
        <v>112</v>
      </c>
      <c r="O2200" s="6" t="s">
        <v>178</v>
      </c>
      <c r="P2200" s="10">
        <v>45955.0</v>
      </c>
    </row>
    <row r="2201" ht="22.5" customHeight="1">
      <c r="A2201" s="6" t="s">
        <v>14898</v>
      </c>
      <c r="B2201" s="6" t="s">
        <v>14900</v>
      </c>
      <c r="C2201" s="6" t="s">
        <v>14901</v>
      </c>
      <c r="D2201" s="6" t="s">
        <v>145</v>
      </c>
      <c r="E2201" s="6" t="s">
        <v>147</v>
      </c>
      <c r="F2201" s="8">
        <v>23.0</v>
      </c>
      <c r="G2201" s="9">
        <v>1407.71</v>
      </c>
      <c r="H2201" s="9">
        <v>8431.57</v>
      </c>
      <c r="I2201" s="6" t="s">
        <v>161</v>
      </c>
      <c r="J2201" s="6" t="s">
        <v>465</v>
      </c>
      <c r="K2201" s="6" t="s">
        <v>14902</v>
      </c>
      <c r="L2201" s="6">
        <v>7.9863195348E10</v>
      </c>
      <c r="M2201" s="6" t="s">
        <v>14903</v>
      </c>
      <c r="N2201" s="6" t="s">
        <v>176</v>
      </c>
      <c r="O2201" s="6" t="s">
        <v>178</v>
      </c>
      <c r="P2201" s="10">
        <v>46044.0</v>
      </c>
    </row>
    <row r="2202" ht="22.5" customHeight="1">
      <c r="A2202" s="6" t="s">
        <v>14904</v>
      </c>
      <c r="B2202" s="6" t="s">
        <v>14905</v>
      </c>
      <c r="C2202" s="6" t="s">
        <v>14906</v>
      </c>
      <c r="D2202" s="6" t="s">
        <v>145</v>
      </c>
      <c r="E2202" s="6" t="s">
        <v>147</v>
      </c>
      <c r="F2202" s="8">
        <v>14.0</v>
      </c>
      <c r="G2202" s="9">
        <v>1239.59</v>
      </c>
      <c r="H2202" s="9">
        <v>10747.58</v>
      </c>
      <c r="I2202" s="6" t="s">
        <v>178</v>
      </c>
      <c r="J2202" s="6" t="s">
        <v>228</v>
      </c>
      <c r="K2202" s="6" t="s">
        <v>14908</v>
      </c>
      <c r="L2202" s="6">
        <v>9.7023696835E10</v>
      </c>
      <c r="M2202" s="6" t="s">
        <v>14909</v>
      </c>
      <c r="N2202" s="6" t="s">
        <v>176</v>
      </c>
      <c r="O2202" s="6" t="s">
        <v>161</v>
      </c>
      <c r="P2202" s="10">
        <v>46011.0</v>
      </c>
    </row>
    <row r="2203" ht="22.5" customHeight="1">
      <c r="A2203" s="6" t="s">
        <v>14910</v>
      </c>
      <c r="B2203" s="6" t="s">
        <v>14911</v>
      </c>
      <c r="C2203" s="6" t="s">
        <v>14912</v>
      </c>
      <c r="D2203" s="6" t="s">
        <v>206</v>
      </c>
      <c r="E2203" s="6" t="s">
        <v>147</v>
      </c>
      <c r="F2203" s="8">
        <v>8.0</v>
      </c>
      <c r="G2203" s="9">
        <v>1572.33</v>
      </c>
      <c r="H2203" s="9">
        <v>6185.03</v>
      </c>
      <c r="I2203" s="6" t="s">
        <v>161</v>
      </c>
      <c r="J2203" s="6" t="s">
        <v>479</v>
      </c>
      <c r="K2203" s="6" t="s">
        <v>14914</v>
      </c>
      <c r="L2203" s="6">
        <v>1.7068992503E10</v>
      </c>
      <c r="M2203" s="6" t="s">
        <v>14915</v>
      </c>
      <c r="N2203" s="6" t="s">
        <v>259</v>
      </c>
      <c r="O2203" s="6" t="s">
        <v>178</v>
      </c>
      <c r="P2203" s="10">
        <v>45986.0</v>
      </c>
    </row>
    <row r="2204" ht="22.5" customHeight="1">
      <c r="A2204" s="6" t="s">
        <v>14916</v>
      </c>
      <c r="B2204" s="6" t="s">
        <v>14918</v>
      </c>
      <c r="C2204" s="6" t="s">
        <v>14919</v>
      </c>
      <c r="D2204" s="6" t="s">
        <v>145</v>
      </c>
      <c r="E2204" s="6" t="s">
        <v>147</v>
      </c>
      <c r="F2204" s="8">
        <v>19.0</v>
      </c>
      <c r="G2204" s="9">
        <v>1090.79</v>
      </c>
      <c r="H2204" s="9">
        <v>10471.24</v>
      </c>
      <c r="I2204" s="6" t="s">
        <v>161</v>
      </c>
      <c r="J2204" s="6" t="s">
        <v>577</v>
      </c>
      <c r="K2204" s="6" t="s">
        <v>14921</v>
      </c>
      <c r="L2204" s="6">
        <v>5.6252780418E10</v>
      </c>
      <c r="M2204" s="6" t="s">
        <v>14922</v>
      </c>
      <c r="N2204" s="6" t="s">
        <v>176</v>
      </c>
      <c r="O2204" s="6" t="s">
        <v>178</v>
      </c>
      <c r="P2204" s="10">
        <v>46044.0</v>
      </c>
    </row>
    <row r="2205" ht="22.5" customHeight="1">
      <c r="A2205" s="6" t="s">
        <v>14923</v>
      </c>
      <c r="B2205" s="6" t="s">
        <v>14925</v>
      </c>
      <c r="C2205" s="6" t="s">
        <v>14926</v>
      </c>
      <c r="D2205" s="6" t="s">
        <v>206</v>
      </c>
      <c r="E2205" s="6" t="s">
        <v>210</v>
      </c>
      <c r="F2205" s="8">
        <v>102.0</v>
      </c>
      <c r="G2205" s="9">
        <v>1208.76</v>
      </c>
      <c r="H2205" s="9">
        <v>5999.38</v>
      </c>
      <c r="I2205" s="6" t="s">
        <v>161</v>
      </c>
      <c r="J2205" s="6" t="s">
        <v>465</v>
      </c>
      <c r="K2205" s="6" t="s">
        <v>14927</v>
      </c>
      <c r="L2205" s="6">
        <v>2.014785021E9</v>
      </c>
      <c r="M2205" s="6" t="s">
        <v>14929</v>
      </c>
      <c r="N2205" s="6" t="s">
        <v>283</v>
      </c>
      <c r="O2205" s="6" t="s">
        <v>161</v>
      </c>
      <c r="P2205" s="10">
        <v>45987.0</v>
      </c>
    </row>
    <row r="2206" ht="22.5" customHeight="1">
      <c r="A2206" s="6" t="s">
        <v>14930</v>
      </c>
      <c r="B2206" s="6" t="s">
        <v>14931</v>
      </c>
      <c r="C2206" s="6" t="s">
        <v>14932</v>
      </c>
      <c r="D2206" s="6" t="s">
        <v>206</v>
      </c>
      <c r="E2206" s="6" t="s">
        <v>210</v>
      </c>
      <c r="F2206" s="8">
        <v>74.0</v>
      </c>
      <c r="G2206" s="9">
        <v>884.4</v>
      </c>
      <c r="H2206" s="9">
        <v>14403.62</v>
      </c>
      <c r="I2206" s="6" t="s">
        <v>178</v>
      </c>
      <c r="J2206" s="6" t="s">
        <v>393</v>
      </c>
      <c r="K2206" s="6" t="s">
        <v>14934</v>
      </c>
      <c r="L2206" s="6">
        <v>5.0748064179E10</v>
      </c>
      <c r="M2206" s="6" t="s">
        <v>14935</v>
      </c>
      <c r="N2206" s="6" t="s">
        <v>259</v>
      </c>
      <c r="O2206" s="6" t="s">
        <v>161</v>
      </c>
      <c r="P2206" s="10">
        <v>45988.0</v>
      </c>
    </row>
    <row r="2207" ht="22.5" customHeight="1">
      <c r="A2207" s="6" t="s">
        <v>14936</v>
      </c>
      <c r="B2207" s="6" t="s">
        <v>14937</v>
      </c>
      <c r="C2207" s="6" t="s">
        <v>14939</v>
      </c>
      <c r="D2207" s="6" t="s">
        <v>145</v>
      </c>
      <c r="E2207" s="6" t="s">
        <v>147</v>
      </c>
      <c r="F2207" s="8">
        <v>22.0</v>
      </c>
      <c r="G2207" s="9">
        <v>1100.59</v>
      </c>
      <c r="H2207" s="9">
        <v>4052.13</v>
      </c>
      <c r="I2207" s="6" t="s">
        <v>161</v>
      </c>
      <c r="J2207" s="6" t="s">
        <v>228</v>
      </c>
      <c r="K2207" s="6" t="s">
        <v>14940</v>
      </c>
      <c r="L2207" s="6">
        <v>4.9689898028E10</v>
      </c>
      <c r="M2207" s="6" t="s">
        <v>14941</v>
      </c>
      <c r="N2207" s="6" t="s">
        <v>259</v>
      </c>
      <c r="O2207" s="6" t="s">
        <v>178</v>
      </c>
      <c r="P2207" s="10">
        <v>45995.0</v>
      </c>
    </row>
    <row r="2208" ht="22.5" customHeight="1">
      <c r="A2208" s="6" t="s">
        <v>14943</v>
      </c>
      <c r="B2208" s="6" t="s">
        <v>14944</v>
      </c>
      <c r="C2208" s="6" t="s">
        <v>14945</v>
      </c>
      <c r="D2208" s="6" t="s">
        <v>145</v>
      </c>
      <c r="E2208" s="6" t="s">
        <v>147</v>
      </c>
      <c r="F2208" s="8">
        <v>21.0</v>
      </c>
      <c r="G2208" s="9">
        <v>1035.03</v>
      </c>
      <c r="H2208" s="9">
        <v>7397.62</v>
      </c>
      <c r="I2208" s="6" t="s">
        <v>161</v>
      </c>
      <c r="J2208" s="6" t="s">
        <v>465</v>
      </c>
      <c r="K2208" s="6" t="s">
        <v>14947</v>
      </c>
      <c r="L2208" s="6">
        <v>5.0259497447E10</v>
      </c>
      <c r="M2208" s="6" t="s">
        <v>14948</v>
      </c>
      <c r="N2208" s="6" t="s">
        <v>427</v>
      </c>
      <c r="O2208" s="6" t="s">
        <v>178</v>
      </c>
      <c r="P2208" s="10">
        <v>46035.0</v>
      </c>
    </row>
    <row r="2209" ht="22.5" customHeight="1">
      <c r="A2209" s="6" t="s">
        <v>14949</v>
      </c>
      <c r="B2209" s="6" t="s">
        <v>14951</v>
      </c>
      <c r="C2209" s="6" t="s">
        <v>14952</v>
      </c>
      <c r="D2209" s="6" t="s">
        <v>206</v>
      </c>
      <c r="E2209" s="6" t="s">
        <v>147</v>
      </c>
      <c r="F2209" s="8">
        <v>21.0</v>
      </c>
      <c r="G2209" s="9">
        <v>485.86</v>
      </c>
      <c r="H2209" s="9">
        <v>1723.37</v>
      </c>
      <c r="I2209" s="6" t="s">
        <v>161</v>
      </c>
      <c r="J2209" s="6" t="s">
        <v>442</v>
      </c>
      <c r="K2209" s="6" t="s">
        <v>14954</v>
      </c>
      <c r="L2209" s="6">
        <v>1.9602722823E10</v>
      </c>
      <c r="M2209" s="6" t="s">
        <v>14955</v>
      </c>
      <c r="N2209" s="6" t="s">
        <v>283</v>
      </c>
      <c r="O2209" s="6" t="s">
        <v>178</v>
      </c>
      <c r="P2209" s="10">
        <v>46045.0</v>
      </c>
    </row>
    <row r="2210" ht="22.5" customHeight="1">
      <c r="A2210" s="6" t="s">
        <v>14956</v>
      </c>
      <c r="B2210" s="6" t="s">
        <v>14957</v>
      </c>
      <c r="C2210" s="6" t="s">
        <v>14959</v>
      </c>
      <c r="D2210" s="6" t="s">
        <v>383</v>
      </c>
      <c r="E2210" s="6" t="s">
        <v>301</v>
      </c>
      <c r="F2210" s="8">
        <v>43.0</v>
      </c>
      <c r="G2210" s="9">
        <v>238.8</v>
      </c>
      <c r="H2210" s="9">
        <v>6636.8</v>
      </c>
      <c r="I2210" s="6" t="s">
        <v>161</v>
      </c>
      <c r="J2210" s="6" t="s">
        <v>421</v>
      </c>
      <c r="K2210" s="6" t="s">
        <v>14960</v>
      </c>
      <c r="L2210" s="6" t="s">
        <v>259</v>
      </c>
      <c r="M2210" s="6" t="s">
        <v>14961</v>
      </c>
      <c r="N2210" s="6" t="s">
        <v>259</v>
      </c>
      <c r="O2210" s="6" t="s">
        <v>178</v>
      </c>
      <c r="P2210" s="10">
        <v>45991.0</v>
      </c>
    </row>
    <row r="2211" ht="22.5" customHeight="1">
      <c r="A2211" s="6" t="s">
        <v>14963</v>
      </c>
      <c r="B2211" s="6" t="s">
        <v>14964</v>
      </c>
      <c r="C2211" s="6" t="s">
        <v>14965</v>
      </c>
      <c r="D2211" s="6" t="s">
        <v>383</v>
      </c>
      <c r="E2211" s="6" t="s">
        <v>147</v>
      </c>
      <c r="F2211" s="8">
        <v>15.0</v>
      </c>
      <c r="G2211" s="9">
        <v>545.55</v>
      </c>
      <c r="H2211" s="9">
        <v>3970.58</v>
      </c>
      <c r="I2211" s="6" t="s">
        <v>161</v>
      </c>
      <c r="J2211" s="6" t="s">
        <v>393</v>
      </c>
      <c r="K2211" s="6" t="s">
        <v>14967</v>
      </c>
      <c r="L2211" s="6">
        <v>9.6309358646E10</v>
      </c>
      <c r="M2211" s="6" t="s">
        <v>14968</v>
      </c>
      <c r="N2211" s="6" t="s">
        <v>427</v>
      </c>
      <c r="O2211" s="6" t="s">
        <v>178</v>
      </c>
      <c r="P2211" s="10">
        <v>45973.0</v>
      </c>
    </row>
    <row r="2212" ht="22.5" customHeight="1">
      <c r="A2212" s="6" t="s">
        <v>14969</v>
      </c>
      <c r="B2212" s="6" t="s">
        <v>14970</v>
      </c>
      <c r="C2212" s="6" t="s">
        <v>14971</v>
      </c>
      <c r="D2212" s="6" t="s">
        <v>206</v>
      </c>
      <c r="E2212" s="6" t="s">
        <v>210</v>
      </c>
      <c r="F2212" s="8">
        <v>97.0</v>
      </c>
      <c r="G2212" s="9">
        <v>866.18</v>
      </c>
      <c r="H2212" s="9">
        <v>12741.91</v>
      </c>
      <c r="I2212" s="6" t="s">
        <v>178</v>
      </c>
      <c r="J2212" s="6" t="s">
        <v>228</v>
      </c>
      <c r="K2212" s="6" t="s">
        <v>14973</v>
      </c>
      <c r="L2212" s="6">
        <v>3.2980310473E10</v>
      </c>
      <c r="M2212" s="6" t="s">
        <v>14974</v>
      </c>
      <c r="N2212" s="6" t="s">
        <v>427</v>
      </c>
      <c r="O2212" s="6" t="s">
        <v>161</v>
      </c>
      <c r="P2212" s="10">
        <v>45939.0</v>
      </c>
    </row>
    <row r="2213" ht="22.5" customHeight="1">
      <c r="A2213" s="6" t="s">
        <v>14976</v>
      </c>
      <c r="B2213" s="6" t="s">
        <v>14977</v>
      </c>
      <c r="C2213" s="6" t="s">
        <v>14978</v>
      </c>
      <c r="D2213" s="6" t="s">
        <v>145</v>
      </c>
      <c r="E2213" s="6" t="s">
        <v>210</v>
      </c>
      <c r="F2213" s="8">
        <v>65.0</v>
      </c>
      <c r="G2213" s="9">
        <v>433.7</v>
      </c>
      <c r="H2213" s="9">
        <v>2169.5</v>
      </c>
      <c r="I2213" s="6" t="s">
        <v>178</v>
      </c>
      <c r="J2213" s="6" t="s">
        <v>228</v>
      </c>
      <c r="K2213" s="6" t="s">
        <v>14979</v>
      </c>
      <c r="L2213" s="6" t="s">
        <v>259</v>
      </c>
      <c r="M2213" s="6" t="s">
        <v>14981</v>
      </c>
      <c r="N2213" s="6" t="s">
        <v>259</v>
      </c>
      <c r="O2213" s="6" t="s">
        <v>161</v>
      </c>
      <c r="P2213" s="10">
        <v>46034.0</v>
      </c>
    </row>
    <row r="2214" ht="22.5" customHeight="1">
      <c r="A2214" s="6" t="s">
        <v>14982</v>
      </c>
      <c r="B2214" s="6" t="s">
        <v>14983</v>
      </c>
      <c r="C2214" s="6" t="s">
        <v>14984</v>
      </c>
      <c r="D2214" s="6" t="s">
        <v>145</v>
      </c>
      <c r="E2214" s="6" t="s">
        <v>147</v>
      </c>
      <c r="F2214" s="8">
        <v>5.0</v>
      </c>
      <c r="G2214" s="9">
        <v>1059.84</v>
      </c>
      <c r="H2214" s="9">
        <v>8726.44</v>
      </c>
      <c r="I2214" s="6" t="s">
        <v>161</v>
      </c>
      <c r="J2214" s="6" t="s">
        <v>393</v>
      </c>
      <c r="K2214" s="6" t="s">
        <v>14986</v>
      </c>
      <c r="L2214" s="6">
        <v>7.3313264769E10</v>
      </c>
      <c r="M2214" s="6" t="s">
        <v>14987</v>
      </c>
      <c r="N2214" s="6" t="s">
        <v>259</v>
      </c>
      <c r="O2214" s="6" t="s">
        <v>178</v>
      </c>
      <c r="P2214" s="10">
        <v>46006.0</v>
      </c>
    </row>
    <row r="2215" ht="22.5" customHeight="1">
      <c r="A2215" s="6" t="s">
        <v>14988</v>
      </c>
      <c r="B2215" s="6" t="s">
        <v>14989</v>
      </c>
      <c r="C2215" s="6" t="s">
        <v>14990</v>
      </c>
      <c r="D2215" s="6" t="s">
        <v>206</v>
      </c>
      <c r="E2215" s="6" t="s">
        <v>147</v>
      </c>
      <c r="F2215" s="8">
        <v>20.0</v>
      </c>
      <c r="G2215" s="9">
        <v>1178.58</v>
      </c>
      <c r="H2215" s="9">
        <v>6948.33</v>
      </c>
      <c r="I2215" s="6" t="s">
        <v>161</v>
      </c>
      <c r="J2215" s="6" t="s">
        <v>465</v>
      </c>
      <c r="K2215" s="6" t="s">
        <v>14992</v>
      </c>
      <c r="L2215" s="6">
        <v>9.2977389157E10</v>
      </c>
      <c r="M2215" s="6" t="s">
        <v>14993</v>
      </c>
      <c r="N2215" s="6" t="s">
        <v>176</v>
      </c>
      <c r="O2215" s="6" t="s">
        <v>178</v>
      </c>
      <c r="P2215" s="10">
        <v>46019.0</v>
      </c>
    </row>
    <row r="2216" ht="22.5" customHeight="1">
      <c r="A2216" s="6" t="s">
        <v>14995</v>
      </c>
      <c r="B2216" s="6" t="s">
        <v>14996</v>
      </c>
      <c r="C2216" s="6" t="s">
        <v>14997</v>
      </c>
      <c r="D2216" s="6" t="s">
        <v>145</v>
      </c>
      <c r="E2216" s="6" t="s">
        <v>301</v>
      </c>
      <c r="F2216" s="8">
        <v>58.0</v>
      </c>
      <c r="G2216" s="9">
        <v>500.71</v>
      </c>
      <c r="H2216" s="9">
        <v>4253.87</v>
      </c>
      <c r="I2216" s="6" t="s">
        <v>161</v>
      </c>
      <c r="J2216" s="6" t="s">
        <v>421</v>
      </c>
      <c r="K2216" s="6" t="s">
        <v>14999</v>
      </c>
      <c r="L2216" s="6">
        <v>3.1988966513E10</v>
      </c>
      <c r="M2216" s="6" t="s">
        <v>15000</v>
      </c>
      <c r="N2216" s="6" t="s">
        <v>176</v>
      </c>
      <c r="O2216" s="6" t="s">
        <v>178</v>
      </c>
      <c r="P2216" s="10">
        <v>45969.0</v>
      </c>
    </row>
    <row r="2217" ht="22.5" customHeight="1">
      <c r="A2217" s="6" t="s">
        <v>15001</v>
      </c>
      <c r="B2217" s="6" t="s">
        <v>15002</v>
      </c>
      <c r="C2217" s="6" t="s">
        <v>15003</v>
      </c>
      <c r="D2217" s="6" t="s">
        <v>206</v>
      </c>
      <c r="E2217" s="6" t="s">
        <v>301</v>
      </c>
      <c r="F2217" s="8">
        <v>56.0</v>
      </c>
      <c r="G2217" s="9">
        <v>1323.46</v>
      </c>
      <c r="H2217" s="9">
        <v>4421.0</v>
      </c>
      <c r="I2217" s="6" t="s">
        <v>161</v>
      </c>
      <c r="J2217" s="6" t="s">
        <v>577</v>
      </c>
      <c r="K2217" s="6" t="s">
        <v>15004</v>
      </c>
      <c r="L2217" s="6">
        <v>3.4752948763E10</v>
      </c>
      <c r="M2217" s="6" t="s">
        <v>15005</v>
      </c>
      <c r="N2217" s="6" t="s">
        <v>259</v>
      </c>
      <c r="O2217" s="6" t="s">
        <v>178</v>
      </c>
      <c r="P2217" s="10">
        <v>45946.0</v>
      </c>
    </row>
    <row r="2218" ht="22.5" customHeight="1">
      <c r="A2218" s="6" t="s">
        <v>15007</v>
      </c>
      <c r="B2218" s="6" t="s">
        <v>15008</v>
      </c>
      <c r="C2218" s="6" t="s">
        <v>15009</v>
      </c>
      <c r="D2218" s="6" t="s">
        <v>206</v>
      </c>
      <c r="E2218" s="6" t="s">
        <v>147</v>
      </c>
      <c r="F2218" s="8">
        <v>16.0</v>
      </c>
      <c r="G2218" s="9">
        <v>556.84</v>
      </c>
      <c r="H2218" s="9">
        <v>2558.86</v>
      </c>
      <c r="I2218" s="6" t="s">
        <v>178</v>
      </c>
      <c r="J2218" s="6" t="s">
        <v>312</v>
      </c>
      <c r="K2218" s="6" t="s">
        <v>15010</v>
      </c>
      <c r="L2218" s="6">
        <v>9.8018248984E10</v>
      </c>
      <c r="M2218" s="6" t="s">
        <v>15011</v>
      </c>
      <c r="N2218" s="6" t="s">
        <v>176</v>
      </c>
      <c r="O2218" s="6" t="s">
        <v>161</v>
      </c>
      <c r="P2218" s="10">
        <v>46049.0</v>
      </c>
    </row>
    <row r="2219" ht="22.5" customHeight="1">
      <c r="A2219" s="6" t="s">
        <v>15013</v>
      </c>
      <c r="B2219" s="6" t="s">
        <v>15014</v>
      </c>
      <c r="C2219" s="6" t="s">
        <v>15015</v>
      </c>
      <c r="D2219" s="6" t="s">
        <v>206</v>
      </c>
      <c r="E2219" s="6" t="s">
        <v>301</v>
      </c>
      <c r="F2219" s="8">
        <v>37.0</v>
      </c>
      <c r="G2219" s="9">
        <v>1477.84</v>
      </c>
      <c r="H2219" s="9">
        <v>11307.39</v>
      </c>
      <c r="I2219" s="6" t="s">
        <v>161</v>
      </c>
      <c r="J2219" s="6" t="s">
        <v>421</v>
      </c>
      <c r="K2219" s="6" t="s">
        <v>15016</v>
      </c>
      <c r="L2219" s="6">
        <v>9.341516753E10</v>
      </c>
      <c r="M2219" s="6" t="s">
        <v>15017</v>
      </c>
      <c r="N2219" s="6" t="s">
        <v>176</v>
      </c>
      <c r="O2219" s="6" t="s">
        <v>178</v>
      </c>
      <c r="P2219" s="10">
        <v>45949.0</v>
      </c>
    </row>
    <row r="2220" ht="22.5" customHeight="1">
      <c r="A2220" s="6" t="s">
        <v>15019</v>
      </c>
      <c r="B2220" s="6" t="s">
        <v>15020</v>
      </c>
      <c r="C2220" s="6" t="s">
        <v>15021</v>
      </c>
      <c r="D2220" s="6" t="s">
        <v>145</v>
      </c>
      <c r="E2220" s="6" t="s">
        <v>147</v>
      </c>
      <c r="F2220" s="8">
        <v>16.0</v>
      </c>
      <c r="G2220" s="9">
        <v>308.0</v>
      </c>
      <c r="H2220" s="9">
        <v>3830.47</v>
      </c>
      <c r="I2220" s="6" t="s">
        <v>161</v>
      </c>
      <c r="J2220" s="6" t="s">
        <v>479</v>
      </c>
      <c r="K2220" s="6" t="s">
        <v>15024</v>
      </c>
      <c r="L2220" s="6">
        <v>5.5504047408E10</v>
      </c>
      <c r="M2220" s="6" t="s">
        <v>15025</v>
      </c>
      <c r="N2220" s="6" t="s">
        <v>176</v>
      </c>
      <c r="O2220" s="6" t="s">
        <v>178</v>
      </c>
      <c r="P2220" s="10">
        <v>45935.0</v>
      </c>
    </row>
    <row r="2221" ht="22.5" customHeight="1">
      <c r="A2221" s="6" t="s">
        <v>15026</v>
      </c>
      <c r="B2221" s="6" t="s">
        <v>15027</v>
      </c>
      <c r="C2221" s="6" t="s">
        <v>15028</v>
      </c>
      <c r="D2221" s="6" t="s">
        <v>383</v>
      </c>
      <c r="E2221" s="6" t="s">
        <v>147</v>
      </c>
      <c r="F2221" s="8">
        <v>27.0</v>
      </c>
      <c r="G2221" s="9">
        <v>930.95</v>
      </c>
      <c r="H2221" s="9">
        <v>2835.34</v>
      </c>
      <c r="I2221" s="6" t="s">
        <v>178</v>
      </c>
      <c r="J2221" s="6" t="s">
        <v>228</v>
      </c>
      <c r="K2221" s="6" t="s">
        <v>15030</v>
      </c>
      <c r="L2221" s="6">
        <v>1.028560744E9</v>
      </c>
      <c r="M2221" s="6" t="s">
        <v>15031</v>
      </c>
      <c r="N2221" s="6" t="s">
        <v>283</v>
      </c>
      <c r="O2221" s="6" t="s">
        <v>161</v>
      </c>
      <c r="P2221" s="10">
        <v>46028.0</v>
      </c>
    </row>
    <row r="2222" ht="22.5" customHeight="1">
      <c r="A2222" s="6" t="s">
        <v>15032</v>
      </c>
      <c r="B2222" s="6" t="s">
        <v>15033</v>
      </c>
      <c r="C2222" s="6" t="s">
        <v>15035</v>
      </c>
      <c r="D2222" s="6" t="s">
        <v>145</v>
      </c>
      <c r="E2222" s="6" t="s">
        <v>147</v>
      </c>
      <c r="F2222" s="8">
        <v>22.0</v>
      </c>
      <c r="G2222" s="9">
        <v>155.77</v>
      </c>
      <c r="H2222" s="9">
        <v>1962.78</v>
      </c>
      <c r="I2222" s="6" t="s">
        <v>161</v>
      </c>
      <c r="J2222" s="6" t="s">
        <v>479</v>
      </c>
      <c r="K2222" s="6" t="s">
        <v>15037</v>
      </c>
      <c r="L2222" s="6">
        <v>9.390190048E10</v>
      </c>
      <c r="M2222" s="6" t="s">
        <v>15038</v>
      </c>
      <c r="N2222" s="6" t="s">
        <v>112</v>
      </c>
      <c r="O2222" s="6" t="s">
        <v>178</v>
      </c>
      <c r="P2222" s="10">
        <v>45966.0</v>
      </c>
    </row>
    <row r="2223" ht="22.5" customHeight="1">
      <c r="A2223" s="6" t="s">
        <v>15039</v>
      </c>
      <c r="B2223" s="6" t="s">
        <v>15040</v>
      </c>
      <c r="C2223" s="6" t="s">
        <v>15041</v>
      </c>
      <c r="D2223" s="6" t="s">
        <v>206</v>
      </c>
      <c r="E2223" s="6" t="s">
        <v>210</v>
      </c>
      <c r="F2223" s="8">
        <v>85.0</v>
      </c>
      <c r="G2223" s="9">
        <v>576.61</v>
      </c>
      <c r="H2223" s="9">
        <v>13074.5</v>
      </c>
      <c r="I2223" s="6" t="s">
        <v>178</v>
      </c>
      <c r="J2223" s="6" t="s">
        <v>393</v>
      </c>
      <c r="K2223" s="6" t="s">
        <v>15043</v>
      </c>
      <c r="L2223" s="6">
        <v>5.3413280336E10</v>
      </c>
      <c r="M2223" s="6" t="s">
        <v>15044</v>
      </c>
      <c r="N2223" s="6" t="s">
        <v>427</v>
      </c>
      <c r="O2223" s="6" t="s">
        <v>161</v>
      </c>
      <c r="P2223" s="10">
        <v>46035.0</v>
      </c>
    </row>
    <row r="2224" ht="22.5" customHeight="1">
      <c r="A2224" s="6" t="s">
        <v>15045</v>
      </c>
      <c r="B2224" s="6" t="s">
        <v>15046</v>
      </c>
      <c r="C2224" s="6" t="s">
        <v>15047</v>
      </c>
      <c r="D2224" s="6" t="s">
        <v>206</v>
      </c>
      <c r="E2224" s="6" t="s">
        <v>147</v>
      </c>
      <c r="F2224" s="8">
        <v>9.0</v>
      </c>
      <c r="G2224" s="9">
        <v>1454.34</v>
      </c>
      <c r="H2224" s="9">
        <v>5319.48</v>
      </c>
      <c r="I2224" s="6" t="s">
        <v>161</v>
      </c>
      <c r="J2224" s="6" t="s">
        <v>479</v>
      </c>
      <c r="K2224" s="6" t="s">
        <v>15049</v>
      </c>
      <c r="L2224" s="6">
        <v>8.9752328655E10</v>
      </c>
      <c r="M2224" s="6" t="s">
        <v>15050</v>
      </c>
      <c r="N2224" s="6" t="s">
        <v>176</v>
      </c>
      <c r="O2224" s="6" t="s">
        <v>178</v>
      </c>
      <c r="P2224" s="10">
        <v>46011.0</v>
      </c>
    </row>
    <row r="2225" ht="22.5" customHeight="1">
      <c r="A2225" s="6" t="s">
        <v>15052</v>
      </c>
      <c r="B2225" s="6" t="s">
        <v>15053</v>
      </c>
      <c r="C2225" s="6" t="s">
        <v>15054</v>
      </c>
      <c r="D2225" s="6" t="s">
        <v>145</v>
      </c>
      <c r="E2225" s="6" t="s">
        <v>147</v>
      </c>
      <c r="F2225" s="8">
        <v>11.0</v>
      </c>
      <c r="G2225" s="9">
        <v>1721.86</v>
      </c>
      <c r="H2225" s="9">
        <v>12850.4</v>
      </c>
      <c r="I2225" s="6" t="s">
        <v>161</v>
      </c>
      <c r="J2225" s="6" t="s">
        <v>577</v>
      </c>
      <c r="K2225" s="6" t="s">
        <v>15056</v>
      </c>
      <c r="L2225" s="6">
        <v>8.2202855014E10</v>
      </c>
      <c r="M2225" s="6" t="s">
        <v>15057</v>
      </c>
      <c r="N2225" s="6" t="s">
        <v>283</v>
      </c>
      <c r="O2225" s="6" t="s">
        <v>178</v>
      </c>
      <c r="P2225" s="10">
        <v>45989.0</v>
      </c>
    </row>
    <row r="2226" ht="22.5" customHeight="1">
      <c r="A2226" s="6" t="s">
        <v>15058</v>
      </c>
      <c r="B2226" s="6" t="s">
        <v>15059</v>
      </c>
      <c r="C2226" s="6" t="s">
        <v>15060</v>
      </c>
      <c r="D2226" s="6" t="s">
        <v>383</v>
      </c>
      <c r="E2226" s="6" t="s">
        <v>210</v>
      </c>
      <c r="F2226" s="8">
        <v>61.0</v>
      </c>
      <c r="G2226" s="9">
        <v>1320.57</v>
      </c>
      <c r="H2226" s="9">
        <v>14231.6</v>
      </c>
      <c r="I2226" s="6" t="s">
        <v>161</v>
      </c>
      <c r="J2226" s="6" t="s">
        <v>465</v>
      </c>
      <c r="K2226" s="6" t="s">
        <v>15062</v>
      </c>
      <c r="L2226" s="6">
        <v>2.2042718262E10</v>
      </c>
      <c r="M2226" s="6" t="s">
        <v>15063</v>
      </c>
      <c r="N2226" s="6" t="s">
        <v>176</v>
      </c>
      <c r="O2226" s="6" t="s">
        <v>161</v>
      </c>
      <c r="P2226" s="10">
        <v>45940.0</v>
      </c>
    </row>
    <row r="2227" ht="22.5" customHeight="1">
      <c r="A2227" s="6" t="s">
        <v>15064</v>
      </c>
      <c r="B2227" s="6" t="s">
        <v>15065</v>
      </c>
      <c r="C2227" s="6" t="s">
        <v>15066</v>
      </c>
      <c r="D2227" s="6" t="s">
        <v>145</v>
      </c>
      <c r="E2227" s="6" t="s">
        <v>147</v>
      </c>
      <c r="F2227" s="8">
        <v>7.0</v>
      </c>
      <c r="G2227" s="9">
        <v>680.72</v>
      </c>
      <c r="H2227" s="9">
        <v>10519.59</v>
      </c>
      <c r="I2227" s="6" t="s">
        <v>161</v>
      </c>
      <c r="J2227" s="6" t="s">
        <v>259</v>
      </c>
      <c r="K2227" s="6" t="s">
        <v>15068</v>
      </c>
      <c r="L2227" s="6">
        <v>6.3854306645E10</v>
      </c>
      <c r="M2227" s="6" t="s">
        <v>15069</v>
      </c>
      <c r="N2227" s="6" t="s">
        <v>283</v>
      </c>
      <c r="O2227" s="6" t="s">
        <v>178</v>
      </c>
      <c r="P2227" s="10">
        <v>45940.0</v>
      </c>
    </row>
    <row r="2228" ht="22.5" customHeight="1">
      <c r="A2228" s="6" t="s">
        <v>15070</v>
      </c>
      <c r="B2228" s="6" t="s">
        <v>15071</v>
      </c>
      <c r="C2228" s="6" t="s">
        <v>15072</v>
      </c>
      <c r="D2228" s="6" t="s">
        <v>145</v>
      </c>
      <c r="E2228" s="6" t="s">
        <v>301</v>
      </c>
      <c r="F2228" s="8">
        <v>54.0</v>
      </c>
      <c r="G2228" s="9">
        <v>1180.41</v>
      </c>
      <c r="H2228" s="9">
        <v>4807.07</v>
      </c>
      <c r="I2228" s="6" t="s">
        <v>161</v>
      </c>
      <c r="J2228" s="6" t="s">
        <v>479</v>
      </c>
      <c r="K2228" s="6" t="s">
        <v>15073</v>
      </c>
      <c r="L2228" s="6" t="s">
        <v>259</v>
      </c>
      <c r="M2228" s="6" t="s">
        <v>15075</v>
      </c>
      <c r="N2228" s="6" t="s">
        <v>112</v>
      </c>
      <c r="O2228" s="6" t="s">
        <v>178</v>
      </c>
      <c r="P2228" s="10">
        <v>46029.0</v>
      </c>
    </row>
    <row r="2229" ht="22.5" customHeight="1">
      <c r="A2229" s="6" t="s">
        <v>15076</v>
      </c>
      <c r="B2229" s="6" t="s">
        <v>15077</v>
      </c>
      <c r="C2229" s="6" t="s">
        <v>15078</v>
      </c>
      <c r="D2229" s="6" t="s">
        <v>145</v>
      </c>
      <c r="E2229" s="6" t="s">
        <v>301</v>
      </c>
      <c r="F2229" s="8">
        <v>36.0</v>
      </c>
      <c r="G2229" s="9">
        <v>865.99</v>
      </c>
      <c r="H2229" s="9">
        <v>12076.2</v>
      </c>
      <c r="I2229" s="6" t="s">
        <v>161</v>
      </c>
      <c r="J2229" s="6" t="s">
        <v>479</v>
      </c>
      <c r="K2229" s="6" t="s">
        <v>15079</v>
      </c>
      <c r="L2229" s="6">
        <v>9.0315929632E10</v>
      </c>
      <c r="M2229" s="6" t="s">
        <v>15080</v>
      </c>
      <c r="N2229" s="6" t="s">
        <v>112</v>
      </c>
      <c r="O2229" s="6" t="s">
        <v>178</v>
      </c>
      <c r="P2229" s="10">
        <v>46027.0</v>
      </c>
    </row>
    <row r="2230" ht="22.5" customHeight="1">
      <c r="A2230" s="6" t="s">
        <v>15081</v>
      </c>
      <c r="B2230" s="6" t="s">
        <v>15082</v>
      </c>
      <c r="C2230" s="6" t="s">
        <v>15083</v>
      </c>
      <c r="D2230" s="6" t="s">
        <v>383</v>
      </c>
      <c r="E2230" s="6" t="s">
        <v>147</v>
      </c>
      <c r="F2230" s="8">
        <v>23.0</v>
      </c>
      <c r="G2230" s="9">
        <v>1028.17</v>
      </c>
      <c r="H2230" s="9">
        <v>7134.91</v>
      </c>
      <c r="I2230" s="6" t="s">
        <v>161</v>
      </c>
      <c r="J2230" s="6" t="s">
        <v>577</v>
      </c>
      <c r="K2230" s="6" t="s">
        <v>15085</v>
      </c>
      <c r="L2230" s="6">
        <v>3.2424826708E10</v>
      </c>
      <c r="M2230" s="6" t="s">
        <v>15086</v>
      </c>
      <c r="N2230" s="6" t="s">
        <v>176</v>
      </c>
      <c r="O2230" s="6" t="s">
        <v>178</v>
      </c>
      <c r="P2230" s="10">
        <v>45969.0</v>
      </c>
    </row>
    <row r="2231" ht="22.5" customHeight="1">
      <c r="A2231" s="6" t="s">
        <v>15087</v>
      </c>
      <c r="B2231" s="6" t="s">
        <v>15089</v>
      </c>
      <c r="C2231" s="6" t="s">
        <v>15090</v>
      </c>
      <c r="D2231" s="6" t="s">
        <v>206</v>
      </c>
      <c r="E2231" s="6" t="s">
        <v>147</v>
      </c>
      <c r="F2231" s="8">
        <v>17.0</v>
      </c>
      <c r="G2231" s="9">
        <v>784.94</v>
      </c>
      <c r="H2231" s="9">
        <v>3910.54</v>
      </c>
      <c r="I2231" s="6" t="s">
        <v>161</v>
      </c>
      <c r="J2231" s="6" t="s">
        <v>312</v>
      </c>
      <c r="K2231" s="6" t="s">
        <v>15092</v>
      </c>
      <c r="L2231" s="6">
        <v>9.828863979E9</v>
      </c>
      <c r="M2231" s="6" t="s">
        <v>15093</v>
      </c>
      <c r="N2231" s="6" t="s">
        <v>112</v>
      </c>
      <c r="O2231" s="6" t="s">
        <v>178</v>
      </c>
      <c r="P2231" s="10">
        <v>45948.0</v>
      </c>
    </row>
    <row r="2232" ht="22.5" customHeight="1">
      <c r="A2232" s="6" t="s">
        <v>15095</v>
      </c>
      <c r="B2232" s="6" t="s">
        <v>15096</v>
      </c>
      <c r="C2232" s="6" t="s">
        <v>15097</v>
      </c>
      <c r="D2232" s="6" t="s">
        <v>145</v>
      </c>
      <c r="E2232" s="6" t="s">
        <v>301</v>
      </c>
      <c r="F2232" s="8">
        <v>41.0</v>
      </c>
      <c r="G2232" s="9">
        <v>1536.79</v>
      </c>
      <c r="H2232" s="9">
        <v>13005.89</v>
      </c>
      <c r="I2232" s="6" t="s">
        <v>161</v>
      </c>
      <c r="J2232" s="6" t="s">
        <v>465</v>
      </c>
      <c r="K2232" s="6" t="s">
        <v>15099</v>
      </c>
      <c r="L2232" s="6">
        <v>9.3295411579E10</v>
      </c>
      <c r="M2232" s="6" t="s">
        <v>15101</v>
      </c>
      <c r="N2232" s="6" t="s">
        <v>112</v>
      </c>
      <c r="O2232" s="6" t="s">
        <v>178</v>
      </c>
      <c r="P2232" s="10">
        <v>45989.0</v>
      </c>
    </row>
    <row r="2233" ht="22.5" customHeight="1">
      <c r="A2233" s="6" t="s">
        <v>15102</v>
      </c>
      <c r="B2233" s="6" t="s">
        <v>15103</v>
      </c>
      <c r="C2233" s="6" t="s">
        <v>15104</v>
      </c>
      <c r="D2233" s="6" t="s">
        <v>145</v>
      </c>
      <c r="E2233" s="6" t="s">
        <v>147</v>
      </c>
      <c r="F2233" s="8">
        <v>27.0</v>
      </c>
      <c r="G2233" s="9">
        <v>348.55</v>
      </c>
      <c r="H2233" s="9">
        <v>2482.29</v>
      </c>
      <c r="I2233" s="6" t="s">
        <v>161</v>
      </c>
      <c r="J2233" s="6" t="s">
        <v>421</v>
      </c>
      <c r="K2233" s="6" t="s">
        <v>15106</v>
      </c>
      <c r="L2233" s="6">
        <v>9.4573408698E10</v>
      </c>
      <c r="M2233" s="6" t="s">
        <v>15107</v>
      </c>
      <c r="N2233" s="6" t="s">
        <v>259</v>
      </c>
      <c r="O2233" s="6" t="s">
        <v>178</v>
      </c>
      <c r="P2233" s="10">
        <v>46021.0</v>
      </c>
    </row>
    <row r="2234" ht="22.5" customHeight="1">
      <c r="A2234" s="6" t="s">
        <v>15108</v>
      </c>
      <c r="B2234" s="6" t="s">
        <v>15109</v>
      </c>
      <c r="C2234" s="6" t="s">
        <v>15111</v>
      </c>
      <c r="D2234" s="6" t="s">
        <v>145</v>
      </c>
      <c r="E2234" s="6" t="s">
        <v>147</v>
      </c>
      <c r="F2234" s="8">
        <v>21.0</v>
      </c>
      <c r="G2234" s="9">
        <v>1790.43</v>
      </c>
      <c r="H2234" s="9">
        <v>13112.32</v>
      </c>
      <c r="I2234" s="6" t="s">
        <v>161</v>
      </c>
      <c r="J2234" s="6" t="s">
        <v>465</v>
      </c>
      <c r="K2234" s="6" t="s">
        <v>15112</v>
      </c>
      <c r="L2234" s="6">
        <v>1.5854577089E10</v>
      </c>
      <c r="M2234" s="6" t="s">
        <v>15113</v>
      </c>
      <c r="N2234" s="6" t="s">
        <v>427</v>
      </c>
      <c r="O2234" s="6" t="s">
        <v>178</v>
      </c>
      <c r="P2234" s="10">
        <v>45997.0</v>
      </c>
    </row>
    <row r="2235" ht="22.5" customHeight="1">
      <c r="A2235" s="6" t="s">
        <v>15115</v>
      </c>
      <c r="B2235" s="6" t="s">
        <v>15116</v>
      </c>
      <c r="C2235" s="6" t="s">
        <v>15117</v>
      </c>
      <c r="D2235" s="6" t="s">
        <v>145</v>
      </c>
      <c r="E2235" s="6" t="s">
        <v>301</v>
      </c>
      <c r="F2235" s="8">
        <v>58.0</v>
      </c>
      <c r="G2235" s="9">
        <v>924.65</v>
      </c>
      <c r="H2235" s="9">
        <v>8632.27</v>
      </c>
      <c r="I2235" s="6" t="s">
        <v>161</v>
      </c>
      <c r="J2235" s="6" t="s">
        <v>357</v>
      </c>
      <c r="K2235" s="6" t="s">
        <v>15119</v>
      </c>
      <c r="L2235" s="6">
        <v>8.842237115E9</v>
      </c>
      <c r="M2235" s="6" t="s">
        <v>15120</v>
      </c>
      <c r="N2235" s="6" t="s">
        <v>259</v>
      </c>
      <c r="O2235" s="6" t="s">
        <v>178</v>
      </c>
      <c r="P2235" s="10">
        <v>45962.0</v>
      </c>
    </row>
    <row r="2236" ht="22.5" customHeight="1">
      <c r="A2236" s="6" t="s">
        <v>15122</v>
      </c>
      <c r="B2236" s="6" t="s">
        <v>15123</v>
      </c>
      <c r="C2236" s="6" t="s">
        <v>15124</v>
      </c>
      <c r="D2236" s="6" t="s">
        <v>145</v>
      </c>
      <c r="E2236" s="6" t="s">
        <v>210</v>
      </c>
      <c r="F2236" s="8">
        <v>79.0</v>
      </c>
      <c r="G2236" s="9">
        <v>1419.78</v>
      </c>
      <c r="H2236" s="9">
        <v>5993.39</v>
      </c>
      <c r="I2236" s="6" t="s">
        <v>161</v>
      </c>
      <c r="J2236" s="6" t="s">
        <v>442</v>
      </c>
      <c r="K2236" s="6" t="s">
        <v>15126</v>
      </c>
      <c r="L2236" s="6">
        <v>1.6065193664E10</v>
      </c>
      <c r="M2236" s="6" t="s">
        <v>15127</v>
      </c>
      <c r="N2236" s="6" t="s">
        <v>176</v>
      </c>
      <c r="O2236" s="6" t="s">
        <v>161</v>
      </c>
      <c r="P2236" s="10">
        <v>45945.0</v>
      </c>
    </row>
    <row r="2237" ht="22.5" customHeight="1">
      <c r="A2237" s="6" t="s">
        <v>15129</v>
      </c>
      <c r="B2237" s="6" t="s">
        <v>15130</v>
      </c>
      <c r="C2237" s="6" t="s">
        <v>15131</v>
      </c>
      <c r="D2237" s="6" t="s">
        <v>145</v>
      </c>
      <c r="E2237" s="6" t="s">
        <v>147</v>
      </c>
      <c r="F2237" s="8">
        <v>10.0</v>
      </c>
      <c r="G2237" s="9">
        <v>631.6</v>
      </c>
      <c r="H2237" s="9">
        <v>13644.62</v>
      </c>
      <c r="I2237" s="6" t="s">
        <v>161</v>
      </c>
      <c r="J2237" s="6" t="s">
        <v>421</v>
      </c>
      <c r="K2237" s="6" t="s">
        <v>10194</v>
      </c>
      <c r="L2237" s="6">
        <v>5.2362011162E10</v>
      </c>
      <c r="M2237" s="6" t="s">
        <v>15134</v>
      </c>
      <c r="N2237" s="6" t="s">
        <v>283</v>
      </c>
      <c r="O2237" s="6" t="s">
        <v>178</v>
      </c>
      <c r="P2237" s="10">
        <v>46018.0</v>
      </c>
    </row>
    <row r="2238" ht="22.5" customHeight="1">
      <c r="A2238" s="6" t="s">
        <v>15135</v>
      </c>
      <c r="B2238" s="6" t="s">
        <v>15136</v>
      </c>
      <c r="C2238" s="6" t="s">
        <v>15138</v>
      </c>
      <c r="D2238" s="6" t="s">
        <v>145</v>
      </c>
      <c r="E2238" s="6" t="s">
        <v>147</v>
      </c>
      <c r="F2238" s="8">
        <v>9.0</v>
      </c>
      <c r="G2238" s="9">
        <v>982.63</v>
      </c>
      <c r="H2238" s="9">
        <v>6676.43</v>
      </c>
      <c r="I2238" s="6" t="s">
        <v>161</v>
      </c>
      <c r="J2238" s="6" t="s">
        <v>4705</v>
      </c>
      <c r="K2238" s="6" t="s">
        <v>15140</v>
      </c>
      <c r="L2238" s="6">
        <v>4.1817416166E10</v>
      </c>
      <c r="M2238" s="6" t="s">
        <v>15141</v>
      </c>
      <c r="N2238" s="6" t="s">
        <v>427</v>
      </c>
      <c r="O2238" s="6" t="s">
        <v>178</v>
      </c>
      <c r="P2238" s="10">
        <v>46047.0</v>
      </c>
    </row>
    <row r="2239" ht="22.5" customHeight="1">
      <c r="A2239" s="6" t="s">
        <v>15142</v>
      </c>
      <c r="B2239" s="6" t="s">
        <v>15143</v>
      </c>
      <c r="C2239" s="6" t="s">
        <v>15144</v>
      </c>
      <c r="D2239" s="6" t="s">
        <v>145</v>
      </c>
      <c r="E2239" s="6" t="s">
        <v>301</v>
      </c>
      <c r="F2239" s="8">
        <v>38.0</v>
      </c>
      <c r="G2239" s="9">
        <v>913.49</v>
      </c>
      <c r="H2239" s="9">
        <v>8388.36</v>
      </c>
      <c r="I2239" s="6" t="s">
        <v>161</v>
      </c>
      <c r="J2239" s="6" t="s">
        <v>259</v>
      </c>
      <c r="K2239" s="6" t="s">
        <v>15146</v>
      </c>
      <c r="L2239" s="6">
        <v>3.7159287952E10</v>
      </c>
      <c r="M2239" s="6" t="s">
        <v>15147</v>
      </c>
      <c r="N2239" s="6" t="s">
        <v>283</v>
      </c>
      <c r="O2239" s="6" t="s">
        <v>178</v>
      </c>
      <c r="P2239" s="10">
        <v>46026.0</v>
      </c>
    </row>
    <row r="2240" ht="22.5" customHeight="1">
      <c r="A2240" s="6" t="s">
        <v>15149</v>
      </c>
      <c r="B2240" s="6" t="s">
        <v>15150</v>
      </c>
      <c r="C2240" s="6" t="s">
        <v>15151</v>
      </c>
      <c r="D2240" s="6" t="s">
        <v>383</v>
      </c>
      <c r="E2240" s="6" t="s">
        <v>301</v>
      </c>
      <c r="F2240" s="8">
        <v>48.0</v>
      </c>
      <c r="G2240" s="9">
        <v>624.69</v>
      </c>
      <c r="H2240" s="9">
        <v>11079.17</v>
      </c>
      <c r="I2240" s="6" t="s">
        <v>161</v>
      </c>
      <c r="J2240" s="6" t="s">
        <v>163</v>
      </c>
      <c r="K2240" s="6" t="s">
        <v>15153</v>
      </c>
      <c r="L2240" s="6">
        <v>7.3829052963E10</v>
      </c>
      <c r="M2240" s="6" t="s">
        <v>15154</v>
      </c>
      <c r="N2240" s="6" t="s">
        <v>176</v>
      </c>
      <c r="O2240" s="6" t="s">
        <v>178</v>
      </c>
      <c r="P2240" s="10">
        <v>45932.0</v>
      </c>
    </row>
    <row r="2241" ht="22.5" customHeight="1">
      <c r="A2241" s="6" t="s">
        <v>15155</v>
      </c>
      <c r="B2241" s="6" t="s">
        <v>15156</v>
      </c>
      <c r="C2241" s="6" t="s">
        <v>15157</v>
      </c>
      <c r="D2241" s="6" t="s">
        <v>383</v>
      </c>
      <c r="E2241" s="6" t="s">
        <v>301</v>
      </c>
      <c r="F2241" s="8">
        <v>41.0</v>
      </c>
      <c r="G2241" s="9">
        <v>147.56</v>
      </c>
      <c r="H2241" s="9">
        <v>3181.33</v>
      </c>
      <c r="I2241" s="6" t="s">
        <v>161</v>
      </c>
      <c r="J2241" s="6" t="s">
        <v>442</v>
      </c>
      <c r="K2241" s="6" t="s">
        <v>15159</v>
      </c>
      <c r="L2241" s="6">
        <v>9.9421229455E10</v>
      </c>
      <c r="M2241" s="6" t="s">
        <v>15160</v>
      </c>
      <c r="N2241" s="6" t="s">
        <v>112</v>
      </c>
      <c r="O2241" s="6" t="s">
        <v>178</v>
      </c>
      <c r="P2241" s="10">
        <v>46038.0</v>
      </c>
    </row>
    <row r="2242" ht="22.5" customHeight="1">
      <c r="A2242" s="6" t="s">
        <v>15161</v>
      </c>
      <c r="B2242" s="6" t="s">
        <v>15162</v>
      </c>
      <c r="C2242" s="6" t="s">
        <v>15164</v>
      </c>
      <c r="D2242" s="6" t="s">
        <v>206</v>
      </c>
      <c r="E2242" s="6" t="s">
        <v>147</v>
      </c>
      <c r="F2242" s="8">
        <v>15.0</v>
      </c>
      <c r="G2242" s="9">
        <v>1778.89</v>
      </c>
      <c r="H2242" s="9">
        <v>6012.08</v>
      </c>
      <c r="I2242" s="6" t="s">
        <v>161</v>
      </c>
      <c r="J2242" s="6" t="s">
        <v>357</v>
      </c>
      <c r="K2242" s="6" t="s">
        <v>15165</v>
      </c>
      <c r="L2242" s="6">
        <v>8.2501996559E10</v>
      </c>
      <c r="M2242" s="6" t="s">
        <v>15166</v>
      </c>
      <c r="N2242" s="6" t="s">
        <v>427</v>
      </c>
      <c r="O2242" s="6" t="s">
        <v>178</v>
      </c>
      <c r="P2242" s="10">
        <v>45983.0</v>
      </c>
    </row>
    <row r="2243" ht="22.5" customHeight="1">
      <c r="A2243" s="6" t="s">
        <v>15168</v>
      </c>
      <c r="B2243" s="6" t="s">
        <v>15169</v>
      </c>
      <c r="C2243" s="6" t="s">
        <v>15170</v>
      </c>
      <c r="D2243" s="6" t="s">
        <v>383</v>
      </c>
      <c r="E2243" s="6" t="s">
        <v>301</v>
      </c>
      <c r="F2243" s="8">
        <v>35.0</v>
      </c>
      <c r="G2243" s="9">
        <v>995.51</v>
      </c>
      <c r="H2243" s="9">
        <v>3729.12</v>
      </c>
      <c r="I2243" s="6" t="s">
        <v>161</v>
      </c>
      <c r="J2243" s="6" t="s">
        <v>393</v>
      </c>
      <c r="K2243" s="6" t="s">
        <v>15172</v>
      </c>
      <c r="L2243" s="6">
        <v>8.7775134994E10</v>
      </c>
      <c r="M2243" s="6" t="s">
        <v>15173</v>
      </c>
      <c r="N2243" s="6" t="s">
        <v>283</v>
      </c>
      <c r="O2243" s="6" t="s">
        <v>178</v>
      </c>
      <c r="P2243" s="10">
        <v>45999.0</v>
      </c>
    </row>
    <row r="2244" ht="22.5" customHeight="1">
      <c r="A2244" s="6" t="s">
        <v>15174</v>
      </c>
      <c r="B2244" s="6" t="s">
        <v>15175</v>
      </c>
      <c r="C2244" s="6" t="s">
        <v>15176</v>
      </c>
      <c r="D2244" s="6" t="s">
        <v>145</v>
      </c>
      <c r="E2244" s="6" t="s">
        <v>147</v>
      </c>
      <c r="F2244" s="8">
        <v>23.0</v>
      </c>
      <c r="G2244" s="9">
        <v>491.59</v>
      </c>
      <c r="H2244" s="9">
        <v>11369.06</v>
      </c>
      <c r="I2244" s="6" t="s">
        <v>161</v>
      </c>
      <c r="J2244" s="6" t="s">
        <v>312</v>
      </c>
      <c r="K2244" s="6" t="s">
        <v>15178</v>
      </c>
      <c r="L2244" s="6">
        <v>9.1326555645E10</v>
      </c>
      <c r="M2244" s="6" t="s">
        <v>15179</v>
      </c>
      <c r="N2244" s="6" t="s">
        <v>427</v>
      </c>
      <c r="O2244" s="6" t="s">
        <v>178</v>
      </c>
      <c r="P2244" s="10">
        <v>45935.0</v>
      </c>
    </row>
    <row r="2245" ht="22.5" customHeight="1">
      <c r="A2245" s="6" t="s">
        <v>15181</v>
      </c>
      <c r="B2245" s="6" t="s">
        <v>15182</v>
      </c>
      <c r="C2245" s="6" t="s">
        <v>15183</v>
      </c>
      <c r="D2245" s="6" t="s">
        <v>145</v>
      </c>
      <c r="E2245" s="6" t="s">
        <v>210</v>
      </c>
      <c r="F2245" s="8">
        <v>119.0</v>
      </c>
      <c r="G2245" s="9">
        <v>1332.97</v>
      </c>
      <c r="H2245" s="9">
        <v>6182.01</v>
      </c>
      <c r="I2245" s="6" t="s">
        <v>161</v>
      </c>
      <c r="J2245" s="6" t="s">
        <v>357</v>
      </c>
      <c r="K2245" s="6" t="s">
        <v>15185</v>
      </c>
      <c r="L2245" s="6">
        <v>8.3039702398E10</v>
      </c>
      <c r="M2245" s="6" t="s">
        <v>15186</v>
      </c>
      <c r="N2245" s="6" t="s">
        <v>259</v>
      </c>
      <c r="O2245" s="6" t="s">
        <v>161</v>
      </c>
      <c r="P2245" s="10">
        <v>46016.0</v>
      </c>
    </row>
    <row r="2246" ht="22.5" customHeight="1">
      <c r="A2246" s="6" t="s">
        <v>15187</v>
      </c>
      <c r="B2246" s="6" t="s">
        <v>15188</v>
      </c>
      <c r="C2246" s="6" t="s">
        <v>15189</v>
      </c>
      <c r="D2246" s="6" t="s">
        <v>145</v>
      </c>
      <c r="E2246" s="6" t="s">
        <v>147</v>
      </c>
      <c r="F2246" s="8">
        <v>23.0</v>
      </c>
      <c r="G2246" s="9">
        <v>1619.01</v>
      </c>
      <c r="H2246" s="9">
        <v>7917.98</v>
      </c>
      <c r="I2246" s="6" t="s">
        <v>161</v>
      </c>
      <c r="J2246" s="6" t="s">
        <v>163</v>
      </c>
      <c r="K2246" s="6" t="s">
        <v>15191</v>
      </c>
      <c r="L2246" s="6">
        <v>3.6948464507E10</v>
      </c>
      <c r="M2246" s="6" t="s">
        <v>15192</v>
      </c>
      <c r="N2246" s="6" t="s">
        <v>176</v>
      </c>
      <c r="O2246" s="6" t="s">
        <v>178</v>
      </c>
      <c r="P2246" s="10">
        <v>46044.0</v>
      </c>
    </row>
    <row r="2247" ht="22.5" customHeight="1">
      <c r="A2247" s="6" t="s">
        <v>15193</v>
      </c>
      <c r="B2247" s="6" t="s">
        <v>15194</v>
      </c>
      <c r="C2247" s="6" t="s">
        <v>15195</v>
      </c>
      <c r="D2247" s="6" t="s">
        <v>145</v>
      </c>
      <c r="E2247" s="6" t="s">
        <v>301</v>
      </c>
      <c r="F2247" s="8">
        <v>43.0</v>
      </c>
      <c r="G2247" s="9">
        <v>1561.69</v>
      </c>
      <c r="H2247" s="9">
        <v>2517.08</v>
      </c>
      <c r="I2247" s="6" t="s">
        <v>161</v>
      </c>
      <c r="J2247" s="6" t="s">
        <v>393</v>
      </c>
      <c r="K2247" s="6" t="s">
        <v>15197</v>
      </c>
      <c r="L2247" s="6" t="s">
        <v>259</v>
      </c>
      <c r="M2247" s="6" t="s">
        <v>15198</v>
      </c>
      <c r="N2247" s="6" t="s">
        <v>283</v>
      </c>
      <c r="O2247" s="6" t="s">
        <v>178</v>
      </c>
      <c r="P2247" s="10">
        <v>45991.0</v>
      </c>
    </row>
    <row r="2248" ht="22.5" customHeight="1">
      <c r="A2248" s="6" t="s">
        <v>15199</v>
      </c>
      <c r="B2248" s="6" t="s">
        <v>15201</v>
      </c>
      <c r="C2248" s="6" t="s">
        <v>15202</v>
      </c>
      <c r="D2248" s="6" t="s">
        <v>145</v>
      </c>
      <c r="E2248" s="6" t="s">
        <v>147</v>
      </c>
      <c r="F2248" s="8">
        <v>17.0</v>
      </c>
      <c r="G2248" s="9">
        <v>1703.81</v>
      </c>
      <c r="H2248" s="9">
        <v>9312.33</v>
      </c>
      <c r="I2248" s="6" t="s">
        <v>161</v>
      </c>
      <c r="J2248" s="6" t="s">
        <v>228</v>
      </c>
      <c r="K2248" s="6" t="s">
        <v>15203</v>
      </c>
      <c r="L2248" s="6">
        <v>2.7062207244E10</v>
      </c>
      <c r="M2248" s="6" t="s">
        <v>15204</v>
      </c>
      <c r="N2248" s="6" t="s">
        <v>259</v>
      </c>
      <c r="O2248" s="6" t="s">
        <v>178</v>
      </c>
      <c r="P2248" s="10">
        <v>45975.0</v>
      </c>
    </row>
    <row r="2249" ht="22.5" customHeight="1">
      <c r="A2249" s="6" t="s">
        <v>15206</v>
      </c>
      <c r="B2249" s="6" t="s">
        <v>15207</v>
      </c>
      <c r="C2249" s="6" t="s">
        <v>15208</v>
      </c>
      <c r="D2249" s="6" t="s">
        <v>206</v>
      </c>
      <c r="E2249" s="6" t="s">
        <v>301</v>
      </c>
      <c r="F2249" s="8">
        <v>52.0</v>
      </c>
      <c r="G2249" s="9">
        <v>154.6</v>
      </c>
      <c r="H2249" s="9">
        <v>12217.83</v>
      </c>
      <c r="I2249" s="6" t="s">
        <v>161</v>
      </c>
      <c r="J2249" s="6" t="s">
        <v>163</v>
      </c>
      <c r="K2249" s="6" t="s">
        <v>15210</v>
      </c>
      <c r="L2249" s="6">
        <v>7.0035623862E10</v>
      </c>
      <c r="M2249" s="6" t="s">
        <v>15211</v>
      </c>
      <c r="N2249" s="6" t="s">
        <v>427</v>
      </c>
      <c r="O2249" s="6" t="s">
        <v>178</v>
      </c>
      <c r="P2249" s="10">
        <v>46002.0</v>
      </c>
    </row>
    <row r="2250" ht="22.5" customHeight="1">
      <c r="A2250" s="6" t="s">
        <v>15212</v>
      </c>
      <c r="B2250" s="6" t="s">
        <v>15214</v>
      </c>
      <c r="C2250" s="6" t="s">
        <v>15215</v>
      </c>
      <c r="D2250" s="6" t="s">
        <v>383</v>
      </c>
      <c r="E2250" s="6" t="s">
        <v>147</v>
      </c>
      <c r="F2250" s="8">
        <v>10.0</v>
      </c>
      <c r="G2250" s="9">
        <v>1660.83</v>
      </c>
      <c r="H2250" s="9">
        <v>13251.86</v>
      </c>
      <c r="I2250" s="6" t="s">
        <v>161</v>
      </c>
      <c r="J2250" s="6" t="s">
        <v>357</v>
      </c>
      <c r="K2250" s="6" t="s">
        <v>15217</v>
      </c>
      <c r="L2250" s="6">
        <v>1.093420788E10</v>
      </c>
      <c r="M2250" s="6" t="s">
        <v>15218</v>
      </c>
      <c r="N2250" s="6" t="s">
        <v>427</v>
      </c>
      <c r="O2250" s="6" t="s">
        <v>178</v>
      </c>
      <c r="P2250" s="10">
        <v>46017.0</v>
      </c>
    </row>
    <row r="2251" ht="22.5" customHeight="1">
      <c r="A2251" s="6" t="s">
        <v>15220</v>
      </c>
      <c r="B2251" s="6" t="s">
        <v>15221</v>
      </c>
      <c r="C2251" s="6" t="s">
        <v>15222</v>
      </c>
      <c r="D2251" s="6" t="s">
        <v>145</v>
      </c>
      <c r="E2251" s="6" t="s">
        <v>147</v>
      </c>
      <c r="F2251" s="8">
        <v>14.0</v>
      </c>
      <c r="G2251" s="9">
        <v>1326.02</v>
      </c>
      <c r="H2251" s="9">
        <v>5092.71</v>
      </c>
      <c r="I2251" s="6" t="s">
        <v>161</v>
      </c>
      <c r="J2251" s="6" t="s">
        <v>228</v>
      </c>
      <c r="K2251" s="6" t="s">
        <v>15223</v>
      </c>
      <c r="L2251" s="6">
        <v>2.2945964415E10</v>
      </c>
      <c r="M2251" s="6" t="s">
        <v>15225</v>
      </c>
      <c r="N2251" s="6" t="s">
        <v>283</v>
      </c>
      <c r="O2251" s="6" t="s">
        <v>178</v>
      </c>
      <c r="P2251" s="10">
        <v>46051.0</v>
      </c>
    </row>
    <row r="2252" ht="22.5" customHeight="1">
      <c r="A2252" s="6" t="s">
        <v>15226</v>
      </c>
      <c r="B2252" s="6" t="s">
        <v>15227</v>
      </c>
      <c r="C2252" s="6" t="s">
        <v>15228</v>
      </c>
      <c r="D2252" s="6" t="s">
        <v>383</v>
      </c>
      <c r="E2252" s="6" t="s">
        <v>147</v>
      </c>
      <c r="F2252" s="8">
        <v>17.0</v>
      </c>
      <c r="G2252" s="9">
        <v>814.7</v>
      </c>
      <c r="H2252" s="9">
        <v>1814.6</v>
      </c>
      <c r="I2252" s="6" t="s">
        <v>161</v>
      </c>
      <c r="J2252" s="6" t="s">
        <v>312</v>
      </c>
      <c r="K2252" s="6" t="s">
        <v>15230</v>
      </c>
      <c r="L2252" s="6">
        <v>8.4405848588E10</v>
      </c>
      <c r="M2252" s="6" t="s">
        <v>15231</v>
      </c>
      <c r="N2252" s="6" t="s">
        <v>176</v>
      </c>
      <c r="O2252" s="6" t="s">
        <v>178</v>
      </c>
      <c r="P2252" s="10">
        <v>46032.0</v>
      </c>
    </row>
    <row r="2253" ht="22.5" customHeight="1">
      <c r="A2253" s="6" t="s">
        <v>15233</v>
      </c>
      <c r="B2253" s="6" t="s">
        <v>15234</v>
      </c>
      <c r="C2253" s="6" t="s">
        <v>15235</v>
      </c>
      <c r="D2253" s="6" t="s">
        <v>145</v>
      </c>
      <c r="E2253" s="6" t="s">
        <v>301</v>
      </c>
      <c r="F2253" s="8">
        <v>31.0</v>
      </c>
      <c r="G2253" s="9">
        <v>259.81</v>
      </c>
      <c r="H2253" s="9">
        <v>807.5</v>
      </c>
      <c r="I2253" s="6" t="s">
        <v>161</v>
      </c>
      <c r="J2253" s="6" t="s">
        <v>479</v>
      </c>
      <c r="K2253" s="6" t="s">
        <v>15237</v>
      </c>
      <c r="L2253" s="6">
        <v>6.7736047103E10</v>
      </c>
      <c r="M2253" s="6" t="s">
        <v>15238</v>
      </c>
      <c r="N2253" s="6" t="s">
        <v>427</v>
      </c>
      <c r="O2253" s="6" t="s">
        <v>178</v>
      </c>
      <c r="P2253" s="10">
        <v>46009.0</v>
      </c>
    </row>
    <row r="2254" ht="22.5" customHeight="1">
      <c r="A2254" s="6" t="s">
        <v>15239</v>
      </c>
      <c r="B2254" s="6" t="s">
        <v>15240</v>
      </c>
      <c r="C2254" s="6" t="s">
        <v>15241</v>
      </c>
      <c r="D2254" s="6" t="s">
        <v>145</v>
      </c>
      <c r="E2254" s="6" t="s">
        <v>147</v>
      </c>
      <c r="F2254" s="8">
        <v>18.0</v>
      </c>
      <c r="G2254" s="9">
        <v>1789.56</v>
      </c>
      <c r="H2254" s="9">
        <v>6495.39</v>
      </c>
      <c r="I2254" s="6" t="s">
        <v>161</v>
      </c>
      <c r="J2254" s="6" t="s">
        <v>163</v>
      </c>
      <c r="K2254" s="6" t="s">
        <v>15243</v>
      </c>
      <c r="L2254" s="6" t="s">
        <v>259</v>
      </c>
      <c r="M2254" s="6" t="s">
        <v>15244</v>
      </c>
      <c r="N2254" s="6" t="s">
        <v>112</v>
      </c>
      <c r="O2254" s="6" t="s">
        <v>178</v>
      </c>
      <c r="P2254" s="10">
        <v>45944.0</v>
      </c>
    </row>
    <row r="2255" ht="22.5" customHeight="1">
      <c r="A2255" s="6" t="s">
        <v>15245</v>
      </c>
      <c r="B2255" s="6" t="s">
        <v>15246</v>
      </c>
      <c r="C2255" s="6" t="s">
        <v>15247</v>
      </c>
      <c r="D2255" s="6" t="s">
        <v>145</v>
      </c>
      <c r="E2255" s="6" t="s">
        <v>147</v>
      </c>
      <c r="F2255" s="8">
        <v>8.0</v>
      </c>
      <c r="G2255" s="9">
        <v>767.71</v>
      </c>
      <c r="H2255" s="9">
        <v>13222.21</v>
      </c>
      <c r="I2255" s="6" t="s">
        <v>161</v>
      </c>
      <c r="J2255" s="6" t="s">
        <v>577</v>
      </c>
      <c r="K2255" s="6" t="s">
        <v>15249</v>
      </c>
      <c r="L2255" s="6">
        <v>4.3893792836E10</v>
      </c>
      <c r="M2255" s="6" t="s">
        <v>15250</v>
      </c>
      <c r="N2255" s="6" t="s">
        <v>259</v>
      </c>
      <c r="O2255" s="6" t="s">
        <v>178</v>
      </c>
      <c r="P2255" s="10">
        <v>46042.0</v>
      </c>
    </row>
    <row r="2256" ht="22.5" customHeight="1">
      <c r="A2256" s="6" t="s">
        <v>15251</v>
      </c>
      <c r="B2256" s="6" t="s">
        <v>15253</v>
      </c>
      <c r="C2256" s="6" t="s">
        <v>15254</v>
      </c>
      <c r="D2256" s="6" t="s">
        <v>206</v>
      </c>
      <c r="E2256" s="6" t="s">
        <v>147</v>
      </c>
      <c r="F2256" s="8">
        <v>15.0</v>
      </c>
      <c r="G2256" s="9">
        <v>1746.87</v>
      </c>
      <c r="H2256" s="9">
        <v>12572.07</v>
      </c>
      <c r="I2256" s="6" t="s">
        <v>161</v>
      </c>
      <c r="J2256" s="6" t="s">
        <v>442</v>
      </c>
      <c r="K2256" s="6" t="s">
        <v>15255</v>
      </c>
      <c r="L2256" s="6">
        <v>8.6845348484E10</v>
      </c>
      <c r="M2256" s="6" t="s">
        <v>15256</v>
      </c>
      <c r="N2256" s="6" t="s">
        <v>283</v>
      </c>
      <c r="O2256" s="6" t="s">
        <v>178</v>
      </c>
      <c r="P2256" s="10">
        <v>46011.0</v>
      </c>
    </row>
    <row r="2257" ht="22.5" customHeight="1">
      <c r="A2257" s="6" t="s">
        <v>15258</v>
      </c>
      <c r="B2257" s="6" t="s">
        <v>15259</v>
      </c>
      <c r="C2257" s="6" t="s">
        <v>15260</v>
      </c>
      <c r="D2257" s="6" t="s">
        <v>145</v>
      </c>
      <c r="E2257" s="6" t="s">
        <v>147</v>
      </c>
      <c r="F2257" s="8">
        <v>18.0</v>
      </c>
      <c r="G2257" s="9">
        <v>1252.48</v>
      </c>
      <c r="H2257" s="9">
        <v>13929.73</v>
      </c>
      <c r="I2257" s="6" t="s">
        <v>161</v>
      </c>
      <c r="J2257" s="6" t="s">
        <v>393</v>
      </c>
      <c r="K2257" s="6" t="s">
        <v>15261</v>
      </c>
      <c r="L2257" s="6">
        <v>6.4874442696E10</v>
      </c>
      <c r="M2257" s="6" t="s">
        <v>15263</v>
      </c>
      <c r="N2257" s="6" t="s">
        <v>112</v>
      </c>
      <c r="O2257" s="6" t="s">
        <v>178</v>
      </c>
      <c r="P2257" s="10">
        <v>46020.0</v>
      </c>
    </row>
    <row r="2258" ht="22.5" customHeight="1">
      <c r="A2258" s="6" t="s">
        <v>15264</v>
      </c>
      <c r="B2258" s="6" t="s">
        <v>15265</v>
      </c>
      <c r="C2258" s="6" t="s">
        <v>15266</v>
      </c>
      <c r="D2258" s="6" t="s">
        <v>206</v>
      </c>
      <c r="E2258" s="6" t="s">
        <v>147</v>
      </c>
      <c r="F2258" s="8">
        <v>13.0</v>
      </c>
      <c r="G2258" s="9">
        <v>661.32</v>
      </c>
      <c r="H2258" s="9">
        <v>13785.77</v>
      </c>
      <c r="I2258" s="6" t="s">
        <v>161</v>
      </c>
      <c r="J2258" s="6" t="s">
        <v>228</v>
      </c>
      <c r="K2258" s="6" t="s">
        <v>15268</v>
      </c>
      <c r="L2258" s="6">
        <v>4.515301666E9</v>
      </c>
      <c r="M2258" s="6" t="s">
        <v>15269</v>
      </c>
      <c r="N2258" s="6" t="s">
        <v>112</v>
      </c>
      <c r="O2258" s="6" t="s">
        <v>178</v>
      </c>
      <c r="P2258" s="10">
        <v>46015.0</v>
      </c>
    </row>
    <row r="2259" ht="22.5" customHeight="1">
      <c r="A2259" s="6" t="s">
        <v>15271</v>
      </c>
      <c r="B2259" s="6" t="s">
        <v>15272</v>
      </c>
      <c r="C2259" s="6" t="s">
        <v>15273</v>
      </c>
      <c r="D2259" s="6" t="s">
        <v>145</v>
      </c>
      <c r="E2259" s="6" t="s">
        <v>147</v>
      </c>
      <c r="F2259" s="8">
        <v>20.0</v>
      </c>
      <c r="G2259" s="9">
        <v>230.54</v>
      </c>
      <c r="H2259" s="9">
        <v>9952.39</v>
      </c>
      <c r="I2259" s="6" t="s">
        <v>161</v>
      </c>
      <c r="J2259" s="6" t="s">
        <v>577</v>
      </c>
      <c r="K2259" s="6" t="s">
        <v>15274</v>
      </c>
      <c r="L2259" s="6">
        <v>8.10416515E9</v>
      </c>
      <c r="M2259" s="6" t="s">
        <v>15276</v>
      </c>
      <c r="N2259" s="6" t="s">
        <v>112</v>
      </c>
      <c r="O2259" s="6" t="s">
        <v>178</v>
      </c>
      <c r="P2259" s="10">
        <v>45993.0</v>
      </c>
    </row>
    <row r="2260" ht="22.5" customHeight="1">
      <c r="A2260" s="6" t="s">
        <v>15277</v>
      </c>
      <c r="B2260" s="6" t="s">
        <v>15278</v>
      </c>
      <c r="C2260" s="6" t="s">
        <v>15279</v>
      </c>
      <c r="D2260" s="6" t="s">
        <v>383</v>
      </c>
      <c r="E2260" s="6" t="s">
        <v>147</v>
      </c>
      <c r="F2260" s="8">
        <v>25.0</v>
      </c>
      <c r="G2260" s="9">
        <v>1501.46</v>
      </c>
      <c r="H2260" s="9">
        <v>2009.2</v>
      </c>
      <c r="I2260" s="6" t="s">
        <v>161</v>
      </c>
      <c r="J2260" s="6" t="s">
        <v>312</v>
      </c>
      <c r="K2260" s="6" t="s">
        <v>15281</v>
      </c>
      <c r="L2260" s="6">
        <v>6.4988219166E10</v>
      </c>
      <c r="M2260" s="6" t="s">
        <v>15282</v>
      </c>
      <c r="N2260" s="6" t="s">
        <v>259</v>
      </c>
      <c r="O2260" s="6" t="s">
        <v>178</v>
      </c>
      <c r="P2260" s="10">
        <v>45987.0</v>
      </c>
    </row>
    <row r="2261" ht="22.5" customHeight="1">
      <c r="A2261" s="6" t="s">
        <v>15283</v>
      </c>
      <c r="B2261" s="6" t="s">
        <v>15284</v>
      </c>
      <c r="C2261" s="6" t="s">
        <v>15285</v>
      </c>
      <c r="D2261" s="6" t="s">
        <v>383</v>
      </c>
      <c r="E2261" s="6" t="s">
        <v>147</v>
      </c>
      <c r="F2261" s="8">
        <v>17.0</v>
      </c>
      <c r="G2261" s="9">
        <v>1127.34</v>
      </c>
      <c r="H2261" s="9">
        <v>11974.67</v>
      </c>
      <c r="I2261" s="6" t="s">
        <v>161</v>
      </c>
      <c r="J2261" s="6" t="s">
        <v>479</v>
      </c>
      <c r="K2261" s="6" t="s">
        <v>15287</v>
      </c>
      <c r="L2261" s="6">
        <v>3.0029634279E10</v>
      </c>
      <c r="M2261" s="6" t="s">
        <v>15288</v>
      </c>
      <c r="N2261" s="6" t="s">
        <v>427</v>
      </c>
      <c r="O2261" s="6" t="s">
        <v>178</v>
      </c>
      <c r="P2261" s="10">
        <v>45988.0</v>
      </c>
    </row>
    <row r="2262" ht="22.5" customHeight="1">
      <c r="A2262" s="6" t="s">
        <v>15290</v>
      </c>
      <c r="B2262" s="6" t="s">
        <v>15291</v>
      </c>
      <c r="C2262" s="6" t="s">
        <v>15292</v>
      </c>
      <c r="D2262" s="6" t="s">
        <v>145</v>
      </c>
      <c r="E2262" s="6" t="s">
        <v>301</v>
      </c>
      <c r="F2262" s="8">
        <v>53.0</v>
      </c>
      <c r="G2262" s="9">
        <v>1274.86</v>
      </c>
      <c r="H2262" s="9">
        <v>6033.98</v>
      </c>
      <c r="I2262" s="6" t="s">
        <v>161</v>
      </c>
      <c r="J2262" s="6" t="s">
        <v>357</v>
      </c>
      <c r="K2262" s="6" t="s">
        <v>15293</v>
      </c>
      <c r="L2262" s="6">
        <v>2.8838435007E10</v>
      </c>
      <c r="M2262" s="6" t="s">
        <v>15295</v>
      </c>
      <c r="N2262" s="6" t="s">
        <v>283</v>
      </c>
      <c r="O2262" s="6" t="s">
        <v>178</v>
      </c>
      <c r="P2262" s="10">
        <v>46029.0</v>
      </c>
    </row>
    <row r="2263" ht="22.5" customHeight="1">
      <c r="A2263" s="6" t="s">
        <v>15296</v>
      </c>
      <c r="B2263" s="6" t="s">
        <v>15297</v>
      </c>
      <c r="C2263" s="6" t="s">
        <v>15298</v>
      </c>
      <c r="D2263" s="6" t="s">
        <v>206</v>
      </c>
      <c r="E2263" s="6" t="s">
        <v>301</v>
      </c>
      <c r="F2263" s="8">
        <v>52.0</v>
      </c>
      <c r="G2263" s="9">
        <v>565.44</v>
      </c>
      <c r="H2263" s="9">
        <v>9204.92</v>
      </c>
      <c r="I2263" s="6" t="s">
        <v>161</v>
      </c>
      <c r="J2263" s="6" t="s">
        <v>163</v>
      </c>
      <c r="K2263" s="6" t="s">
        <v>259</v>
      </c>
      <c r="L2263" s="6" t="s">
        <v>259</v>
      </c>
      <c r="M2263" s="6" t="s">
        <v>15300</v>
      </c>
      <c r="N2263" s="6" t="s">
        <v>283</v>
      </c>
      <c r="O2263" s="6" t="s">
        <v>178</v>
      </c>
      <c r="P2263" s="10">
        <v>46035.0</v>
      </c>
    </row>
    <row r="2264" ht="22.5" customHeight="1">
      <c r="A2264" s="6" t="s">
        <v>15301</v>
      </c>
      <c r="B2264" s="6" t="s">
        <v>15302</v>
      </c>
      <c r="C2264" s="6" t="s">
        <v>15303</v>
      </c>
      <c r="D2264" s="6" t="s">
        <v>145</v>
      </c>
      <c r="E2264" s="6" t="s">
        <v>210</v>
      </c>
      <c r="F2264" s="8">
        <v>70.0</v>
      </c>
      <c r="G2264" s="9">
        <v>1000.28</v>
      </c>
      <c r="H2264" s="9">
        <v>10243.76</v>
      </c>
      <c r="I2264" s="6" t="s">
        <v>178</v>
      </c>
      <c r="J2264" s="6" t="s">
        <v>393</v>
      </c>
      <c r="K2264" s="6" t="s">
        <v>15305</v>
      </c>
      <c r="L2264" s="6">
        <v>7.7198006819E10</v>
      </c>
      <c r="M2264" s="6" t="s">
        <v>15306</v>
      </c>
      <c r="N2264" s="6" t="s">
        <v>176</v>
      </c>
      <c r="O2264" s="6" t="s">
        <v>161</v>
      </c>
      <c r="P2264" s="10">
        <v>45935.0</v>
      </c>
    </row>
    <row r="2265" ht="22.5" customHeight="1">
      <c r="A2265" s="6" t="s">
        <v>15307</v>
      </c>
      <c r="B2265" s="6" t="s">
        <v>15308</v>
      </c>
      <c r="C2265" s="6" t="s">
        <v>15309</v>
      </c>
      <c r="D2265" s="6" t="s">
        <v>145</v>
      </c>
      <c r="E2265" s="6" t="s">
        <v>210</v>
      </c>
      <c r="F2265" s="8">
        <v>80.0</v>
      </c>
      <c r="G2265" s="9">
        <v>1427.26</v>
      </c>
      <c r="H2265" s="9">
        <v>3819.72</v>
      </c>
      <c r="I2265" s="6" t="s">
        <v>178</v>
      </c>
      <c r="J2265" s="6" t="s">
        <v>577</v>
      </c>
      <c r="K2265" s="6" t="s">
        <v>15311</v>
      </c>
      <c r="L2265" s="6">
        <v>4.9531513468E10</v>
      </c>
      <c r="M2265" s="6" t="s">
        <v>15312</v>
      </c>
      <c r="N2265" s="6" t="s">
        <v>259</v>
      </c>
      <c r="O2265" s="6" t="s">
        <v>161</v>
      </c>
      <c r="P2265" s="10">
        <v>46040.0</v>
      </c>
    </row>
    <row r="2266" ht="22.5" customHeight="1">
      <c r="A2266" s="6" t="s">
        <v>15313</v>
      </c>
      <c r="B2266" s="6" t="s">
        <v>15314</v>
      </c>
      <c r="C2266" s="6" t="s">
        <v>15315</v>
      </c>
      <c r="D2266" s="6" t="s">
        <v>145</v>
      </c>
      <c r="E2266" s="6" t="s">
        <v>210</v>
      </c>
      <c r="F2266" s="8">
        <v>82.0</v>
      </c>
      <c r="G2266" s="9">
        <v>747.79</v>
      </c>
      <c r="H2266" s="9">
        <v>9376.85</v>
      </c>
      <c r="I2266" s="6" t="s">
        <v>161</v>
      </c>
      <c r="J2266" s="6" t="s">
        <v>163</v>
      </c>
      <c r="K2266" s="6" t="s">
        <v>15317</v>
      </c>
      <c r="L2266" s="6">
        <v>8.0500411793E10</v>
      </c>
      <c r="M2266" s="6" t="s">
        <v>15318</v>
      </c>
      <c r="N2266" s="6" t="s">
        <v>259</v>
      </c>
      <c r="O2266" s="6" t="s">
        <v>161</v>
      </c>
      <c r="P2266" s="10">
        <v>45957.0</v>
      </c>
    </row>
    <row r="2267" ht="22.5" customHeight="1">
      <c r="A2267" s="6" t="s">
        <v>15320</v>
      </c>
      <c r="B2267" s="6" t="s">
        <v>15321</v>
      </c>
      <c r="C2267" s="6" t="s">
        <v>15322</v>
      </c>
      <c r="D2267" s="6" t="s">
        <v>206</v>
      </c>
      <c r="E2267" s="6" t="s">
        <v>147</v>
      </c>
      <c r="F2267" s="8">
        <v>25.0</v>
      </c>
      <c r="G2267" s="9">
        <v>1712.93</v>
      </c>
      <c r="H2267" s="9">
        <v>6302.43</v>
      </c>
      <c r="I2267" s="6" t="s">
        <v>161</v>
      </c>
      <c r="J2267" s="6" t="s">
        <v>479</v>
      </c>
      <c r="K2267" s="6" t="s">
        <v>15324</v>
      </c>
      <c r="L2267" s="6">
        <v>5.264755082E9</v>
      </c>
      <c r="M2267" s="6" t="s">
        <v>15325</v>
      </c>
      <c r="N2267" s="6" t="s">
        <v>259</v>
      </c>
      <c r="O2267" s="6" t="s">
        <v>178</v>
      </c>
      <c r="P2267" s="10">
        <v>45932.0</v>
      </c>
    </row>
    <row r="2268" ht="22.5" customHeight="1">
      <c r="A2268" s="6" t="s">
        <v>15327</v>
      </c>
      <c r="B2268" s="6" t="s">
        <v>15328</v>
      </c>
      <c r="C2268" s="6" t="s">
        <v>15329</v>
      </c>
      <c r="D2268" s="6" t="s">
        <v>383</v>
      </c>
      <c r="E2268" s="6" t="s">
        <v>301</v>
      </c>
      <c r="F2268" s="8">
        <v>49.0</v>
      </c>
      <c r="G2268" s="9">
        <v>977.04</v>
      </c>
      <c r="H2268" s="9">
        <v>2139.67</v>
      </c>
      <c r="I2268" s="6" t="s">
        <v>161</v>
      </c>
      <c r="J2268" s="6" t="s">
        <v>312</v>
      </c>
      <c r="K2268" s="6" t="s">
        <v>15331</v>
      </c>
      <c r="L2268" s="6">
        <v>3.1500824126E10</v>
      </c>
      <c r="M2268" s="6" t="s">
        <v>15332</v>
      </c>
      <c r="N2268" s="6" t="s">
        <v>259</v>
      </c>
      <c r="O2268" s="6" t="s">
        <v>178</v>
      </c>
      <c r="P2268" s="10">
        <v>45955.0</v>
      </c>
    </row>
    <row r="2269" ht="22.5" customHeight="1">
      <c r="A2269" s="6" t="s">
        <v>15334</v>
      </c>
      <c r="B2269" s="6" t="s">
        <v>15335</v>
      </c>
      <c r="C2269" s="6" t="s">
        <v>15336</v>
      </c>
      <c r="D2269" s="6" t="s">
        <v>206</v>
      </c>
      <c r="E2269" s="6" t="s">
        <v>147</v>
      </c>
      <c r="F2269" s="8">
        <v>17.0</v>
      </c>
      <c r="G2269" s="9">
        <v>1785.07</v>
      </c>
      <c r="H2269" s="9">
        <v>9516.3</v>
      </c>
      <c r="I2269" s="6" t="s">
        <v>161</v>
      </c>
      <c r="J2269" s="6" t="s">
        <v>465</v>
      </c>
      <c r="K2269" s="6" t="s">
        <v>15338</v>
      </c>
      <c r="L2269" s="6">
        <v>2.4598833793E10</v>
      </c>
      <c r="M2269" s="6" t="s">
        <v>15339</v>
      </c>
      <c r="N2269" s="6" t="s">
        <v>283</v>
      </c>
      <c r="O2269" s="6" t="s">
        <v>178</v>
      </c>
      <c r="P2269" s="10">
        <v>45964.0</v>
      </c>
    </row>
    <row r="2270" ht="22.5" customHeight="1">
      <c r="A2270" s="6" t="s">
        <v>15340</v>
      </c>
      <c r="B2270" s="6" t="s">
        <v>15341</v>
      </c>
      <c r="C2270" s="6" t="s">
        <v>15343</v>
      </c>
      <c r="D2270" s="6" t="s">
        <v>145</v>
      </c>
      <c r="E2270" s="6" t="s">
        <v>210</v>
      </c>
      <c r="F2270" s="8">
        <v>98.0</v>
      </c>
      <c r="G2270" s="9">
        <v>513.93</v>
      </c>
      <c r="H2270" s="9">
        <v>7716.82</v>
      </c>
      <c r="I2270" s="6" t="s">
        <v>161</v>
      </c>
      <c r="J2270" s="6" t="s">
        <v>421</v>
      </c>
      <c r="K2270" s="6" t="s">
        <v>15344</v>
      </c>
      <c r="L2270" s="6">
        <v>2.0370790322E10</v>
      </c>
      <c r="M2270" s="6" t="s">
        <v>15345</v>
      </c>
      <c r="N2270" s="6" t="s">
        <v>259</v>
      </c>
      <c r="O2270" s="6" t="s">
        <v>161</v>
      </c>
      <c r="P2270" s="10">
        <v>45974.0</v>
      </c>
    </row>
    <row r="2271" ht="22.5" customHeight="1">
      <c r="A2271" s="6" t="s">
        <v>15347</v>
      </c>
      <c r="B2271" s="6" t="s">
        <v>15348</v>
      </c>
      <c r="C2271" s="6" t="s">
        <v>15349</v>
      </c>
      <c r="D2271" s="6" t="s">
        <v>206</v>
      </c>
      <c r="E2271" s="6" t="s">
        <v>147</v>
      </c>
      <c r="F2271" s="8">
        <v>9.0</v>
      </c>
      <c r="G2271" s="9">
        <v>1105.47</v>
      </c>
      <c r="H2271" s="9">
        <v>13133.63</v>
      </c>
      <c r="I2271" s="6" t="s">
        <v>178</v>
      </c>
      <c r="J2271" s="6" t="s">
        <v>312</v>
      </c>
      <c r="K2271" s="6" t="s">
        <v>15352</v>
      </c>
      <c r="L2271" s="6">
        <v>4.6602271229E10</v>
      </c>
      <c r="M2271" s="6" t="s">
        <v>15353</v>
      </c>
      <c r="N2271" s="6" t="s">
        <v>176</v>
      </c>
      <c r="O2271" s="6" t="s">
        <v>161</v>
      </c>
      <c r="P2271" s="10">
        <v>46008.0</v>
      </c>
    </row>
    <row r="2272" ht="22.5" customHeight="1">
      <c r="A2272" s="6" t="s">
        <v>15355</v>
      </c>
      <c r="B2272" s="6" t="s">
        <v>15356</v>
      </c>
      <c r="C2272" s="6" t="s">
        <v>15357</v>
      </c>
      <c r="D2272" s="6" t="s">
        <v>383</v>
      </c>
      <c r="E2272" s="6" t="s">
        <v>301</v>
      </c>
      <c r="F2272" s="8">
        <v>43.0</v>
      </c>
      <c r="G2272" s="9">
        <v>423.29</v>
      </c>
      <c r="H2272" s="9">
        <v>2496.83</v>
      </c>
      <c r="I2272" s="6" t="s">
        <v>161</v>
      </c>
      <c r="J2272" s="6" t="s">
        <v>421</v>
      </c>
      <c r="K2272" s="6" t="s">
        <v>15359</v>
      </c>
      <c r="L2272" s="6">
        <v>2.5463939594E10</v>
      </c>
      <c r="M2272" s="6" t="s">
        <v>15361</v>
      </c>
      <c r="N2272" s="6" t="s">
        <v>176</v>
      </c>
      <c r="O2272" s="6" t="s">
        <v>178</v>
      </c>
      <c r="P2272" s="10">
        <v>46050.0</v>
      </c>
    </row>
    <row r="2273" ht="22.5" customHeight="1">
      <c r="A2273" s="6" t="s">
        <v>15363</v>
      </c>
      <c r="B2273" s="6" t="s">
        <v>15364</v>
      </c>
      <c r="C2273" s="6" t="s">
        <v>15365</v>
      </c>
      <c r="D2273" s="6" t="s">
        <v>206</v>
      </c>
      <c r="E2273" s="6" t="s">
        <v>301</v>
      </c>
      <c r="F2273" s="8">
        <v>57.0</v>
      </c>
      <c r="G2273" s="9">
        <v>1486.28</v>
      </c>
      <c r="H2273" s="9">
        <v>3336.1</v>
      </c>
      <c r="I2273" s="6" t="s">
        <v>161</v>
      </c>
      <c r="J2273" s="6" t="s">
        <v>228</v>
      </c>
      <c r="K2273" s="6" t="s">
        <v>15367</v>
      </c>
      <c r="L2273" s="6">
        <v>1.1999796735E10</v>
      </c>
      <c r="M2273" s="6" t="s">
        <v>15368</v>
      </c>
      <c r="N2273" s="6" t="s">
        <v>112</v>
      </c>
      <c r="O2273" s="6" t="s">
        <v>178</v>
      </c>
      <c r="P2273" s="10">
        <v>46021.0</v>
      </c>
    </row>
    <row r="2274" ht="22.5" customHeight="1">
      <c r="A2274" s="6" t="s">
        <v>15370</v>
      </c>
      <c r="B2274" s="6" t="s">
        <v>15371</v>
      </c>
      <c r="C2274" s="6" t="s">
        <v>15373</v>
      </c>
      <c r="D2274" s="6" t="s">
        <v>145</v>
      </c>
      <c r="E2274" s="6" t="s">
        <v>147</v>
      </c>
      <c r="F2274" s="8">
        <v>19.0</v>
      </c>
      <c r="G2274" s="9">
        <v>1461.62</v>
      </c>
      <c r="H2274" s="9">
        <v>1957.99</v>
      </c>
      <c r="I2274" s="6" t="s">
        <v>161</v>
      </c>
      <c r="J2274" s="6" t="s">
        <v>259</v>
      </c>
      <c r="K2274" s="6" t="s">
        <v>15375</v>
      </c>
      <c r="L2274" s="6">
        <v>6.8298644377E10</v>
      </c>
      <c r="M2274" s="6" t="s">
        <v>15376</v>
      </c>
      <c r="N2274" s="6" t="s">
        <v>176</v>
      </c>
      <c r="O2274" s="6" t="s">
        <v>178</v>
      </c>
      <c r="P2274" s="10">
        <v>45939.0</v>
      </c>
    </row>
    <row r="2275" ht="22.5" customHeight="1">
      <c r="A2275" s="6" t="s">
        <v>15378</v>
      </c>
      <c r="B2275" s="6" t="s">
        <v>15379</v>
      </c>
      <c r="C2275" s="6" t="s">
        <v>15380</v>
      </c>
      <c r="D2275" s="6" t="s">
        <v>206</v>
      </c>
      <c r="E2275" s="6" t="s">
        <v>301</v>
      </c>
      <c r="F2275" s="8">
        <v>37.0</v>
      </c>
      <c r="G2275" s="9">
        <v>1246.12</v>
      </c>
      <c r="H2275" s="9">
        <v>4897.47</v>
      </c>
      <c r="I2275" s="6" t="s">
        <v>161</v>
      </c>
      <c r="J2275" s="6" t="s">
        <v>393</v>
      </c>
      <c r="K2275" s="6" t="s">
        <v>15383</v>
      </c>
      <c r="L2275" s="6">
        <v>7.6249256365E10</v>
      </c>
      <c r="M2275" s="6" t="s">
        <v>15384</v>
      </c>
      <c r="N2275" s="6" t="s">
        <v>176</v>
      </c>
      <c r="O2275" s="6" t="s">
        <v>178</v>
      </c>
      <c r="P2275" s="10">
        <v>46012.0</v>
      </c>
    </row>
    <row r="2276" ht="22.5" customHeight="1">
      <c r="A2276" s="6" t="s">
        <v>15386</v>
      </c>
      <c r="B2276" s="6" t="s">
        <v>15387</v>
      </c>
      <c r="C2276" s="6" t="s">
        <v>15388</v>
      </c>
      <c r="D2276" s="6" t="s">
        <v>145</v>
      </c>
      <c r="E2276" s="6" t="s">
        <v>210</v>
      </c>
      <c r="F2276" s="8">
        <v>84.0</v>
      </c>
      <c r="G2276" s="9">
        <v>1088.7</v>
      </c>
      <c r="H2276" s="9">
        <v>2367.58</v>
      </c>
      <c r="I2276" s="6" t="s">
        <v>161</v>
      </c>
      <c r="J2276" s="6" t="s">
        <v>577</v>
      </c>
      <c r="K2276" s="6" t="s">
        <v>15390</v>
      </c>
      <c r="L2276" s="6">
        <v>9.8014011647E10</v>
      </c>
      <c r="M2276" s="6" t="s">
        <v>15392</v>
      </c>
      <c r="N2276" s="6" t="s">
        <v>427</v>
      </c>
      <c r="O2276" s="6" t="s">
        <v>161</v>
      </c>
      <c r="P2276" s="10">
        <v>46049.0</v>
      </c>
    </row>
    <row r="2277" ht="22.5" customHeight="1">
      <c r="A2277" s="6" t="s">
        <v>15393</v>
      </c>
      <c r="B2277" s="6" t="s">
        <v>15395</v>
      </c>
      <c r="C2277" s="6" t="s">
        <v>15396</v>
      </c>
      <c r="D2277" s="6" t="s">
        <v>206</v>
      </c>
      <c r="E2277" s="6" t="s">
        <v>301</v>
      </c>
      <c r="F2277" s="8">
        <v>41.0</v>
      </c>
      <c r="G2277" s="9">
        <v>1525.21</v>
      </c>
      <c r="H2277" s="9">
        <v>13723.56</v>
      </c>
      <c r="I2277" s="6" t="s">
        <v>161</v>
      </c>
      <c r="J2277" s="6" t="s">
        <v>357</v>
      </c>
      <c r="K2277" s="6" t="s">
        <v>15398</v>
      </c>
      <c r="L2277" s="6">
        <v>2.3789275192E10</v>
      </c>
      <c r="M2277" s="6" t="s">
        <v>15399</v>
      </c>
      <c r="N2277" s="6" t="s">
        <v>259</v>
      </c>
      <c r="O2277" s="6" t="s">
        <v>178</v>
      </c>
      <c r="P2277" s="10">
        <v>46011.0</v>
      </c>
    </row>
    <row r="2278" ht="22.5" customHeight="1">
      <c r="A2278" s="6" t="s">
        <v>15401</v>
      </c>
      <c r="B2278" s="6" t="s">
        <v>15402</v>
      </c>
      <c r="C2278" s="6" t="s">
        <v>15403</v>
      </c>
      <c r="D2278" s="6" t="s">
        <v>206</v>
      </c>
      <c r="E2278" s="6" t="s">
        <v>301</v>
      </c>
      <c r="F2278" s="8">
        <v>51.0</v>
      </c>
      <c r="G2278" s="9">
        <v>832.36</v>
      </c>
      <c r="H2278" s="9">
        <v>12180.95</v>
      </c>
      <c r="I2278" s="6" t="s">
        <v>161</v>
      </c>
      <c r="J2278" s="6" t="s">
        <v>312</v>
      </c>
      <c r="K2278" s="6" t="s">
        <v>15405</v>
      </c>
      <c r="L2278" s="6">
        <v>4.6404276329E10</v>
      </c>
      <c r="M2278" s="6" t="s">
        <v>15407</v>
      </c>
      <c r="N2278" s="6" t="s">
        <v>176</v>
      </c>
      <c r="O2278" s="6" t="s">
        <v>178</v>
      </c>
      <c r="P2278" s="10">
        <v>46049.0</v>
      </c>
    </row>
    <row r="2279" ht="22.5" customHeight="1">
      <c r="A2279" s="6" t="s">
        <v>15409</v>
      </c>
      <c r="B2279" s="6" t="s">
        <v>15410</v>
      </c>
      <c r="C2279" s="6" t="s">
        <v>15411</v>
      </c>
      <c r="D2279" s="6" t="s">
        <v>145</v>
      </c>
      <c r="E2279" s="6" t="s">
        <v>301</v>
      </c>
      <c r="F2279" s="8">
        <v>32.0</v>
      </c>
      <c r="G2279" s="9">
        <v>1234.5</v>
      </c>
      <c r="H2279" s="9">
        <v>2126.52</v>
      </c>
      <c r="I2279" s="6" t="s">
        <v>161</v>
      </c>
      <c r="J2279" s="6" t="s">
        <v>465</v>
      </c>
      <c r="K2279" s="6" t="s">
        <v>15413</v>
      </c>
      <c r="L2279" s="6">
        <v>8.2337388612E10</v>
      </c>
      <c r="M2279" s="6" t="s">
        <v>15414</v>
      </c>
      <c r="N2279" s="6" t="s">
        <v>259</v>
      </c>
      <c r="O2279" s="6" t="s">
        <v>178</v>
      </c>
      <c r="P2279" s="10">
        <v>45993.0</v>
      </c>
    </row>
    <row r="2280" ht="22.5" customHeight="1">
      <c r="A2280" s="6" t="s">
        <v>15416</v>
      </c>
      <c r="B2280" s="6" t="s">
        <v>15417</v>
      </c>
      <c r="C2280" s="6" t="s">
        <v>15418</v>
      </c>
      <c r="D2280" s="6" t="s">
        <v>383</v>
      </c>
      <c r="E2280" s="6" t="s">
        <v>210</v>
      </c>
      <c r="F2280" s="8">
        <v>112.0</v>
      </c>
      <c r="G2280" s="9">
        <v>1082.53</v>
      </c>
      <c r="H2280" s="9">
        <v>4417.38</v>
      </c>
      <c r="I2280" s="6" t="s">
        <v>161</v>
      </c>
      <c r="J2280" s="6" t="s">
        <v>228</v>
      </c>
      <c r="K2280" s="6" t="s">
        <v>15420</v>
      </c>
      <c r="L2280" s="6">
        <v>2.7666750479E10</v>
      </c>
      <c r="M2280" s="6" t="s">
        <v>15421</v>
      </c>
      <c r="N2280" s="6" t="s">
        <v>427</v>
      </c>
      <c r="O2280" s="6" t="s">
        <v>161</v>
      </c>
      <c r="P2280" s="10">
        <v>45967.0</v>
      </c>
    </row>
    <row r="2281" ht="22.5" customHeight="1">
      <c r="A2281" s="6" t="s">
        <v>15422</v>
      </c>
      <c r="B2281" s="6" t="s">
        <v>15423</v>
      </c>
      <c r="C2281" s="6" t="s">
        <v>15425</v>
      </c>
      <c r="D2281" s="6" t="s">
        <v>206</v>
      </c>
      <c r="E2281" s="6" t="s">
        <v>147</v>
      </c>
      <c r="F2281" s="8">
        <v>8.0</v>
      </c>
      <c r="G2281" s="9">
        <v>1470.16</v>
      </c>
      <c r="H2281" s="9">
        <v>15229.94</v>
      </c>
      <c r="I2281" s="6" t="s">
        <v>161</v>
      </c>
      <c r="J2281" s="6" t="s">
        <v>312</v>
      </c>
      <c r="K2281" s="6" t="s">
        <v>15426</v>
      </c>
      <c r="L2281" s="6">
        <v>4.1127261933E10</v>
      </c>
      <c r="M2281" s="6" t="s">
        <v>15427</v>
      </c>
      <c r="N2281" s="6" t="s">
        <v>259</v>
      </c>
      <c r="O2281" s="6" t="s">
        <v>178</v>
      </c>
      <c r="P2281" s="10">
        <v>46021.0</v>
      </c>
    </row>
    <row r="2282" ht="22.5" customHeight="1">
      <c r="A2282" s="6" t="s">
        <v>15429</v>
      </c>
      <c r="B2282" s="6" t="s">
        <v>15430</v>
      </c>
      <c r="C2282" s="6" t="s">
        <v>15431</v>
      </c>
      <c r="D2282" s="6" t="s">
        <v>145</v>
      </c>
      <c r="E2282" s="6" t="s">
        <v>147</v>
      </c>
      <c r="F2282" s="8">
        <v>20.0</v>
      </c>
      <c r="G2282" s="9">
        <v>195.73</v>
      </c>
      <c r="H2282" s="9">
        <v>2537.27</v>
      </c>
      <c r="I2282" s="6" t="s">
        <v>161</v>
      </c>
      <c r="J2282" s="6" t="s">
        <v>357</v>
      </c>
      <c r="K2282" s="6" t="s">
        <v>15433</v>
      </c>
      <c r="L2282" s="6">
        <v>8.9602167538E10</v>
      </c>
      <c r="M2282" s="6" t="s">
        <v>15434</v>
      </c>
      <c r="N2282" s="6" t="s">
        <v>259</v>
      </c>
      <c r="O2282" s="6" t="s">
        <v>178</v>
      </c>
      <c r="P2282" s="10">
        <v>45959.0</v>
      </c>
    </row>
    <row r="2283" ht="22.5" customHeight="1">
      <c r="A2283" s="6" t="s">
        <v>15436</v>
      </c>
      <c r="B2283" s="6" t="s">
        <v>15437</v>
      </c>
      <c r="C2283" s="6" t="s">
        <v>15438</v>
      </c>
      <c r="D2283" s="6" t="s">
        <v>206</v>
      </c>
      <c r="E2283" s="6" t="s">
        <v>301</v>
      </c>
      <c r="F2283" s="8">
        <v>45.0</v>
      </c>
      <c r="G2283" s="9">
        <v>726.47</v>
      </c>
      <c r="H2283" s="9">
        <v>4418.3</v>
      </c>
      <c r="I2283" s="6" t="s">
        <v>161</v>
      </c>
      <c r="J2283" s="6" t="s">
        <v>1229</v>
      </c>
      <c r="K2283" s="6" t="s">
        <v>15440</v>
      </c>
      <c r="L2283" s="6">
        <v>7.5081959365E10</v>
      </c>
      <c r="M2283" s="6" t="s">
        <v>15441</v>
      </c>
      <c r="N2283" s="6" t="s">
        <v>112</v>
      </c>
      <c r="O2283" s="6" t="s">
        <v>178</v>
      </c>
      <c r="P2283" s="10">
        <v>45980.0</v>
      </c>
    </row>
    <row r="2284" ht="22.5" customHeight="1">
      <c r="A2284" s="6" t="s">
        <v>15442</v>
      </c>
      <c r="B2284" s="6" t="s">
        <v>15443</v>
      </c>
      <c r="C2284" s="6" t="s">
        <v>15444</v>
      </c>
      <c r="D2284" s="6" t="s">
        <v>206</v>
      </c>
      <c r="E2284" s="6" t="s">
        <v>147</v>
      </c>
      <c r="F2284" s="8">
        <v>13.0</v>
      </c>
      <c r="G2284" s="9">
        <v>837.49</v>
      </c>
      <c r="H2284" s="9">
        <v>10627.7</v>
      </c>
      <c r="I2284" s="6" t="s">
        <v>161</v>
      </c>
      <c r="J2284" s="6" t="s">
        <v>312</v>
      </c>
      <c r="K2284" s="6" t="s">
        <v>15446</v>
      </c>
      <c r="L2284" s="6">
        <v>8.8682897494E10</v>
      </c>
      <c r="M2284" s="6" t="s">
        <v>15448</v>
      </c>
      <c r="N2284" s="6" t="s">
        <v>259</v>
      </c>
      <c r="O2284" s="6" t="s">
        <v>178</v>
      </c>
      <c r="P2284" s="10">
        <v>45955.0</v>
      </c>
    </row>
    <row r="2285" ht="22.5" customHeight="1">
      <c r="A2285" s="6" t="s">
        <v>15449</v>
      </c>
      <c r="B2285" s="6" t="s">
        <v>15450</v>
      </c>
      <c r="C2285" s="6" t="s">
        <v>15451</v>
      </c>
      <c r="D2285" s="6" t="s">
        <v>145</v>
      </c>
      <c r="E2285" s="6" t="s">
        <v>301</v>
      </c>
      <c r="F2285" s="8">
        <v>30.0</v>
      </c>
      <c r="G2285" s="9">
        <v>105.03</v>
      </c>
      <c r="H2285" s="9">
        <v>9174.02</v>
      </c>
      <c r="I2285" s="6" t="s">
        <v>161</v>
      </c>
      <c r="J2285" s="6" t="s">
        <v>357</v>
      </c>
      <c r="K2285" s="6" t="s">
        <v>15454</v>
      </c>
      <c r="L2285" s="6">
        <v>9.0240515148E10</v>
      </c>
      <c r="M2285" s="6" t="s">
        <v>15455</v>
      </c>
      <c r="N2285" s="6" t="s">
        <v>427</v>
      </c>
      <c r="O2285" s="6" t="s">
        <v>178</v>
      </c>
      <c r="P2285" s="10">
        <v>45999.0</v>
      </c>
    </row>
    <row r="2286" ht="22.5" customHeight="1">
      <c r="A2286" s="6" t="s">
        <v>15457</v>
      </c>
      <c r="B2286" s="6" t="s">
        <v>15458</v>
      </c>
      <c r="C2286" s="6" t="s">
        <v>15459</v>
      </c>
      <c r="D2286" s="6" t="s">
        <v>383</v>
      </c>
      <c r="E2286" s="6" t="s">
        <v>147</v>
      </c>
      <c r="F2286" s="8">
        <v>27.0</v>
      </c>
      <c r="G2286" s="9">
        <v>1159.07</v>
      </c>
      <c r="H2286" s="9">
        <v>7134.83</v>
      </c>
      <c r="I2286" s="6" t="s">
        <v>161</v>
      </c>
      <c r="J2286" s="6" t="s">
        <v>163</v>
      </c>
      <c r="K2286" s="6" t="s">
        <v>15461</v>
      </c>
      <c r="L2286" s="6">
        <v>9.5500794827E10</v>
      </c>
      <c r="M2286" s="6" t="s">
        <v>15463</v>
      </c>
      <c r="N2286" s="6" t="s">
        <v>427</v>
      </c>
      <c r="O2286" s="6" t="s">
        <v>178</v>
      </c>
      <c r="P2286" s="10">
        <v>45999.0</v>
      </c>
    </row>
    <row r="2287" ht="22.5" customHeight="1">
      <c r="A2287" s="6" t="s">
        <v>15464</v>
      </c>
      <c r="B2287" s="6" t="s">
        <v>15466</v>
      </c>
      <c r="C2287" s="6" t="s">
        <v>15467</v>
      </c>
      <c r="D2287" s="6" t="s">
        <v>383</v>
      </c>
      <c r="E2287" s="6" t="s">
        <v>301</v>
      </c>
      <c r="F2287" s="8">
        <v>42.0</v>
      </c>
      <c r="G2287" s="9">
        <v>1232.71</v>
      </c>
      <c r="H2287" s="9">
        <v>6953.07</v>
      </c>
      <c r="I2287" s="6" t="s">
        <v>161</v>
      </c>
      <c r="J2287" s="6" t="s">
        <v>442</v>
      </c>
      <c r="K2287" s="6" t="s">
        <v>259</v>
      </c>
      <c r="L2287" s="6">
        <v>6.535945368E9</v>
      </c>
      <c r="M2287" s="6" t="s">
        <v>15469</v>
      </c>
      <c r="N2287" s="6" t="s">
        <v>283</v>
      </c>
      <c r="O2287" s="6" t="s">
        <v>178</v>
      </c>
      <c r="P2287" s="10">
        <v>45997.0</v>
      </c>
    </row>
    <row r="2288" ht="22.5" customHeight="1">
      <c r="A2288" s="6" t="s">
        <v>15471</v>
      </c>
      <c r="B2288" s="6" t="s">
        <v>15472</v>
      </c>
      <c r="C2288" s="6" t="s">
        <v>15473</v>
      </c>
      <c r="D2288" s="6" t="s">
        <v>145</v>
      </c>
      <c r="E2288" s="6" t="s">
        <v>210</v>
      </c>
      <c r="F2288" s="8">
        <v>87.0</v>
      </c>
      <c r="G2288" s="9">
        <v>980.46</v>
      </c>
      <c r="H2288" s="9">
        <v>2397.32</v>
      </c>
      <c r="I2288" s="6" t="s">
        <v>161</v>
      </c>
      <c r="J2288" s="6" t="s">
        <v>421</v>
      </c>
      <c r="K2288" s="6" t="s">
        <v>15475</v>
      </c>
      <c r="L2288" s="6">
        <v>2.6057733652E10</v>
      </c>
      <c r="M2288" s="6" t="s">
        <v>15476</v>
      </c>
      <c r="N2288" s="6" t="s">
        <v>259</v>
      </c>
      <c r="O2288" s="6" t="s">
        <v>161</v>
      </c>
      <c r="P2288" s="10">
        <v>45937.0</v>
      </c>
    </row>
    <row r="2289" ht="22.5" customHeight="1">
      <c r="A2289" s="6" t="s">
        <v>15478</v>
      </c>
      <c r="B2289" s="6" t="s">
        <v>15479</v>
      </c>
      <c r="C2289" s="6" t="s">
        <v>15480</v>
      </c>
      <c r="D2289" s="6" t="s">
        <v>145</v>
      </c>
      <c r="E2289" s="6" t="s">
        <v>147</v>
      </c>
      <c r="F2289" s="8">
        <v>7.0</v>
      </c>
      <c r="G2289" s="9">
        <v>1451.84</v>
      </c>
      <c r="H2289" s="9">
        <v>11401.73</v>
      </c>
      <c r="I2289" s="6" t="s">
        <v>161</v>
      </c>
      <c r="J2289" s="6" t="s">
        <v>442</v>
      </c>
      <c r="K2289" s="6" t="s">
        <v>15481</v>
      </c>
      <c r="L2289" s="6">
        <v>1.119765252E10</v>
      </c>
      <c r="M2289" s="6" t="s">
        <v>15483</v>
      </c>
      <c r="N2289" s="6" t="s">
        <v>427</v>
      </c>
      <c r="O2289" s="6" t="s">
        <v>6373</v>
      </c>
      <c r="P2289" s="10">
        <v>46011.0</v>
      </c>
    </row>
    <row r="2290" ht="22.5" customHeight="1">
      <c r="A2290" s="6" t="s">
        <v>15484</v>
      </c>
      <c r="B2290" s="6" t="s">
        <v>15485</v>
      </c>
      <c r="C2290" s="6" t="s">
        <v>15486</v>
      </c>
      <c r="D2290" s="6" t="s">
        <v>383</v>
      </c>
      <c r="E2290" s="6" t="s">
        <v>301</v>
      </c>
      <c r="F2290" s="8">
        <v>40.0</v>
      </c>
      <c r="G2290" s="9">
        <v>1079.15</v>
      </c>
      <c r="H2290" s="9">
        <v>9364.31</v>
      </c>
      <c r="I2290" s="6" t="s">
        <v>161</v>
      </c>
      <c r="J2290" s="6" t="s">
        <v>228</v>
      </c>
      <c r="K2290" s="6" t="s">
        <v>15488</v>
      </c>
      <c r="L2290" s="6">
        <v>5.6968485127E10</v>
      </c>
      <c r="M2290" s="6" t="s">
        <v>15489</v>
      </c>
      <c r="N2290" s="6" t="s">
        <v>112</v>
      </c>
      <c r="O2290" s="6" t="s">
        <v>178</v>
      </c>
      <c r="P2290" s="10">
        <v>45961.0</v>
      </c>
    </row>
    <row r="2291" ht="22.5" customHeight="1">
      <c r="A2291" s="6" t="s">
        <v>15491</v>
      </c>
      <c r="B2291" s="6" t="s">
        <v>15492</v>
      </c>
      <c r="C2291" s="6" t="s">
        <v>15493</v>
      </c>
      <c r="D2291" s="6" t="s">
        <v>145</v>
      </c>
      <c r="E2291" s="6" t="s">
        <v>147</v>
      </c>
      <c r="F2291" s="8">
        <v>23.0</v>
      </c>
      <c r="G2291" s="9">
        <v>1736.4</v>
      </c>
      <c r="H2291" s="9">
        <v>6475.85</v>
      </c>
      <c r="I2291" s="6" t="s">
        <v>161</v>
      </c>
      <c r="J2291" s="6" t="s">
        <v>357</v>
      </c>
      <c r="K2291" s="6" t="s">
        <v>259</v>
      </c>
      <c r="L2291" s="6">
        <v>2.6329962621E10</v>
      </c>
      <c r="M2291" s="6" t="s">
        <v>15495</v>
      </c>
      <c r="N2291" s="6" t="s">
        <v>427</v>
      </c>
      <c r="O2291" s="6" t="s">
        <v>178</v>
      </c>
      <c r="P2291" s="10">
        <v>45989.0</v>
      </c>
    </row>
    <row r="2292" ht="22.5" customHeight="1">
      <c r="A2292" s="6" t="s">
        <v>15496</v>
      </c>
      <c r="B2292" s="6" t="s">
        <v>15498</v>
      </c>
      <c r="C2292" s="6" t="s">
        <v>15097</v>
      </c>
      <c r="D2292" s="6" t="s">
        <v>206</v>
      </c>
      <c r="E2292" s="6" t="s">
        <v>147</v>
      </c>
      <c r="F2292" s="8">
        <v>29.0</v>
      </c>
      <c r="G2292" s="9">
        <v>677.85</v>
      </c>
      <c r="H2292" s="9">
        <v>6691.1</v>
      </c>
      <c r="I2292" s="6" t="s">
        <v>161</v>
      </c>
      <c r="J2292" s="6" t="s">
        <v>479</v>
      </c>
      <c r="K2292" s="6" t="s">
        <v>15499</v>
      </c>
      <c r="L2292" s="6">
        <v>6.325094461E10</v>
      </c>
      <c r="M2292" s="6" t="s">
        <v>15500</v>
      </c>
      <c r="N2292" s="6" t="s">
        <v>283</v>
      </c>
      <c r="O2292" s="6" t="s">
        <v>178</v>
      </c>
      <c r="P2292" s="10">
        <v>46003.0</v>
      </c>
    </row>
    <row r="2293" ht="22.5" customHeight="1">
      <c r="A2293" s="6" t="s">
        <v>15502</v>
      </c>
      <c r="B2293" s="6" t="s">
        <v>15503</v>
      </c>
      <c r="C2293" s="6" t="s">
        <v>15504</v>
      </c>
      <c r="D2293" s="6" t="s">
        <v>206</v>
      </c>
      <c r="E2293" s="6" t="s">
        <v>147</v>
      </c>
      <c r="F2293" s="8">
        <v>11.0</v>
      </c>
      <c r="G2293" s="9">
        <v>1795.54</v>
      </c>
      <c r="H2293" s="9">
        <v>2857.31</v>
      </c>
      <c r="I2293" s="6" t="s">
        <v>161</v>
      </c>
      <c r="J2293" s="6" t="s">
        <v>479</v>
      </c>
      <c r="K2293" s="6" t="s">
        <v>15506</v>
      </c>
      <c r="L2293" s="6">
        <v>5.0143178151E10</v>
      </c>
      <c r="M2293" s="6" t="s">
        <v>15507</v>
      </c>
      <c r="N2293" s="6" t="s">
        <v>427</v>
      </c>
      <c r="O2293" s="6" t="s">
        <v>178</v>
      </c>
      <c r="P2293" s="10">
        <v>45974.0</v>
      </c>
    </row>
    <row r="2294" ht="22.5" customHeight="1">
      <c r="A2294" s="6" t="s">
        <v>15508</v>
      </c>
      <c r="B2294" s="6" t="s">
        <v>15509</v>
      </c>
      <c r="C2294" s="6" t="s">
        <v>15511</v>
      </c>
      <c r="D2294" s="6" t="s">
        <v>145</v>
      </c>
      <c r="E2294" s="6" t="s">
        <v>147</v>
      </c>
      <c r="F2294" s="8">
        <v>14.0</v>
      </c>
      <c r="G2294" s="9">
        <v>1136.29</v>
      </c>
      <c r="H2294" s="9">
        <v>8510.81</v>
      </c>
      <c r="I2294" s="6" t="s">
        <v>161</v>
      </c>
      <c r="J2294" s="6" t="s">
        <v>479</v>
      </c>
      <c r="K2294" s="6" t="s">
        <v>15512</v>
      </c>
      <c r="L2294" s="6">
        <v>8.3258928072E10</v>
      </c>
      <c r="M2294" s="6" t="s">
        <v>15513</v>
      </c>
      <c r="N2294" s="6" t="s">
        <v>283</v>
      </c>
      <c r="O2294" s="6" t="s">
        <v>178</v>
      </c>
      <c r="P2294" s="10">
        <v>45952.0</v>
      </c>
    </row>
    <row r="2295" ht="22.5" customHeight="1">
      <c r="A2295" s="6" t="s">
        <v>15515</v>
      </c>
      <c r="B2295" s="6" t="s">
        <v>15516</v>
      </c>
      <c r="C2295" s="6" t="s">
        <v>15517</v>
      </c>
      <c r="D2295" s="6" t="s">
        <v>383</v>
      </c>
      <c r="E2295" s="6" t="s">
        <v>147</v>
      </c>
      <c r="F2295" s="8">
        <v>16.0</v>
      </c>
      <c r="G2295" s="9">
        <v>1682.58</v>
      </c>
      <c r="H2295" s="9">
        <v>8711.95</v>
      </c>
      <c r="I2295" s="6" t="s">
        <v>161</v>
      </c>
      <c r="J2295" s="6" t="s">
        <v>357</v>
      </c>
      <c r="K2295" s="6" t="s">
        <v>15519</v>
      </c>
      <c r="L2295" s="6">
        <v>5.2089778042E10</v>
      </c>
      <c r="M2295" s="6" t="s">
        <v>15520</v>
      </c>
      <c r="N2295" s="6" t="s">
        <v>259</v>
      </c>
      <c r="O2295" s="6" t="s">
        <v>178</v>
      </c>
      <c r="P2295" s="10">
        <v>46024.0</v>
      </c>
    </row>
    <row r="2296" ht="22.5" customHeight="1">
      <c r="A2296" s="6" t="s">
        <v>15522</v>
      </c>
      <c r="B2296" s="6" t="s">
        <v>15523</v>
      </c>
      <c r="C2296" s="6" t="s">
        <v>15524</v>
      </c>
      <c r="D2296" s="6" t="s">
        <v>145</v>
      </c>
      <c r="E2296" s="6" t="s">
        <v>301</v>
      </c>
      <c r="F2296" s="8">
        <v>56.0</v>
      </c>
      <c r="G2296" s="9">
        <v>1752.99</v>
      </c>
      <c r="H2296" s="9">
        <v>2899.99</v>
      </c>
      <c r="I2296" s="6" t="s">
        <v>161</v>
      </c>
      <c r="J2296" s="6" t="s">
        <v>357</v>
      </c>
      <c r="K2296" s="6" t="s">
        <v>15525</v>
      </c>
      <c r="L2296" s="6">
        <v>5.4667789842E10</v>
      </c>
      <c r="M2296" s="6" t="s">
        <v>15526</v>
      </c>
      <c r="N2296" s="6" t="s">
        <v>427</v>
      </c>
      <c r="O2296" s="6" t="s">
        <v>178</v>
      </c>
      <c r="P2296" s="10">
        <v>46004.0</v>
      </c>
    </row>
    <row r="2297" ht="22.5" customHeight="1">
      <c r="A2297" s="6" t="s">
        <v>15528</v>
      </c>
      <c r="B2297" s="6" t="s">
        <v>15529</v>
      </c>
      <c r="C2297" s="6" t="s">
        <v>15530</v>
      </c>
      <c r="D2297" s="6" t="s">
        <v>206</v>
      </c>
      <c r="E2297" s="6" t="s">
        <v>147</v>
      </c>
      <c r="F2297" s="8">
        <v>19.0</v>
      </c>
      <c r="G2297" s="9">
        <v>1067.76</v>
      </c>
      <c r="H2297" s="9">
        <v>11893.28</v>
      </c>
      <c r="I2297" s="6" t="s">
        <v>178</v>
      </c>
      <c r="J2297" s="6" t="s">
        <v>479</v>
      </c>
      <c r="K2297" s="6" t="s">
        <v>259</v>
      </c>
      <c r="L2297" s="6">
        <v>9.7247585164E10</v>
      </c>
      <c r="M2297" s="6" t="s">
        <v>15532</v>
      </c>
      <c r="N2297" s="6" t="s">
        <v>259</v>
      </c>
      <c r="O2297" s="6" t="s">
        <v>161</v>
      </c>
      <c r="P2297" s="10">
        <v>46036.0</v>
      </c>
    </row>
    <row r="2298" ht="22.5" customHeight="1">
      <c r="A2298" s="6" t="s">
        <v>15533</v>
      </c>
      <c r="B2298" s="6" t="s">
        <v>15534</v>
      </c>
      <c r="C2298" s="6" t="s">
        <v>15536</v>
      </c>
      <c r="D2298" s="6" t="s">
        <v>145</v>
      </c>
      <c r="E2298" s="6" t="s">
        <v>301</v>
      </c>
      <c r="F2298" s="8">
        <v>44.0</v>
      </c>
      <c r="G2298" s="9">
        <v>1330.38</v>
      </c>
      <c r="H2298" s="9">
        <v>8494.86</v>
      </c>
      <c r="I2298" s="6" t="s">
        <v>161</v>
      </c>
      <c r="J2298" s="6" t="s">
        <v>577</v>
      </c>
      <c r="K2298" s="6" t="s">
        <v>15538</v>
      </c>
      <c r="L2298" s="6">
        <v>6.8700974616E10</v>
      </c>
      <c r="M2298" s="6" t="s">
        <v>15539</v>
      </c>
      <c r="N2298" s="6" t="s">
        <v>427</v>
      </c>
      <c r="O2298" s="6" t="s">
        <v>178</v>
      </c>
      <c r="P2298" s="10">
        <v>45982.0</v>
      </c>
    </row>
    <row r="2299" ht="22.5" customHeight="1">
      <c r="A2299" s="6" t="s">
        <v>15541</v>
      </c>
      <c r="B2299" s="6" t="s">
        <v>15542</v>
      </c>
      <c r="C2299" s="6" t="s">
        <v>15543</v>
      </c>
      <c r="D2299" s="6" t="s">
        <v>206</v>
      </c>
      <c r="E2299" s="6" t="s">
        <v>301</v>
      </c>
      <c r="F2299" s="8">
        <v>37.0</v>
      </c>
      <c r="G2299" s="9">
        <v>116.89</v>
      </c>
      <c r="H2299" s="9">
        <v>10413.65</v>
      </c>
      <c r="I2299" s="6" t="s">
        <v>161</v>
      </c>
      <c r="J2299" s="6" t="s">
        <v>357</v>
      </c>
      <c r="K2299" s="6" t="s">
        <v>15546</v>
      </c>
      <c r="L2299" s="6">
        <v>7.2154194242E10</v>
      </c>
      <c r="M2299" s="6" t="s">
        <v>15547</v>
      </c>
      <c r="N2299" s="6" t="s">
        <v>176</v>
      </c>
      <c r="O2299" s="6" t="s">
        <v>178</v>
      </c>
      <c r="P2299" s="10">
        <v>46046.0</v>
      </c>
    </row>
    <row r="2300" ht="22.5" customHeight="1">
      <c r="A2300" s="6" t="s">
        <v>15549</v>
      </c>
      <c r="B2300" s="6" t="s">
        <v>15550</v>
      </c>
      <c r="C2300" s="6" t="s">
        <v>15551</v>
      </c>
      <c r="D2300" s="6" t="s">
        <v>145</v>
      </c>
      <c r="E2300" s="6" t="s">
        <v>147</v>
      </c>
      <c r="F2300" s="8">
        <v>29.0</v>
      </c>
      <c r="G2300" s="9">
        <v>927.13</v>
      </c>
      <c r="H2300" s="9">
        <v>9318.66</v>
      </c>
      <c r="I2300" s="6" t="s">
        <v>161</v>
      </c>
      <c r="J2300" s="6" t="s">
        <v>357</v>
      </c>
      <c r="K2300" s="6" t="s">
        <v>15554</v>
      </c>
      <c r="L2300" s="6">
        <v>8.5993894975E10</v>
      </c>
      <c r="M2300" s="6" t="s">
        <v>15555</v>
      </c>
      <c r="N2300" s="6" t="s">
        <v>176</v>
      </c>
      <c r="O2300" s="6" t="s">
        <v>178</v>
      </c>
      <c r="P2300" s="10">
        <v>46031.0</v>
      </c>
    </row>
    <row r="2301" ht="22.5" customHeight="1">
      <c r="A2301" s="6" t="s">
        <v>15556</v>
      </c>
      <c r="B2301" s="6" t="s">
        <v>15558</v>
      </c>
      <c r="C2301" s="6" t="s">
        <v>15559</v>
      </c>
      <c r="D2301" s="6" t="s">
        <v>383</v>
      </c>
      <c r="E2301" s="6" t="s">
        <v>301</v>
      </c>
      <c r="F2301" s="8">
        <v>46.0</v>
      </c>
      <c r="G2301" s="9">
        <v>403.01</v>
      </c>
      <c r="H2301" s="9">
        <v>12144.86</v>
      </c>
      <c r="I2301" s="6" t="s">
        <v>161</v>
      </c>
      <c r="J2301" s="6" t="s">
        <v>228</v>
      </c>
      <c r="K2301" s="6" t="s">
        <v>15561</v>
      </c>
      <c r="L2301" s="6">
        <v>4.6106873573E10</v>
      </c>
      <c r="M2301" s="6" t="s">
        <v>15562</v>
      </c>
      <c r="N2301" s="6" t="s">
        <v>427</v>
      </c>
      <c r="O2301" s="6" t="s">
        <v>178</v>
      </c>
      <c r="P2301" s="10">
        <v>45961.0</v>
      </c>
    </row>
    <row r="2302" ht="22.5" customHeight="1">
      <c r="A2302" s="6" t="s">
        <v>15564</v>
      </c>
      <c r="B2302" s="6" t="s">
        <v>15565</v>
      </c>
      <c r="C2302" s="6" t="s">
        <v>15566</v>
      </c>
      <c r="D2302" s="6" t="s">
        <v>145</v>
      </c>
      <c r="E2302" s="6" t="s">
        <v>147</v>
      </c>
      <c r="F2302" s="8">
        <v>18.0</v>
      </c>
      <c r="G2302" s="9">
        <v>1776.19</v>
      </c>
      <c r="H2302" s="9">
        <v>10923.6</v>
      </c>
      <c r="I2302" s="6" t="s">
        <v>161</v>
      </c>
      <c r="J2302" s="6" t="s">
        <v>357</v>
      </c>
      <c r="K2302" s="6" t="s">
        <v>15568</v>
      </c>
      <c r="L2302" s="6">
        <v>6.9861976324E10</v>
      </c>
      <c r="M2302" s="6" t="s">
        <v>15569</v>
      </c>
      <c r="N2302" s="6" t="s">
        <v>259</v>
      </c>
      <c r="O2302" s="6" t="s">
        <v>178</v>
      </c>
      <c r="P2302" s="10">
        <v>45960.0</v>
      </c>
    </row>
    <row r="2303" ht="22.5" customHeight="1">
      <c r="A2303" s="6" t="s">
        <v>15571</v>
      </c>
      <c r="B2303" s="6" t="s">
        <v>15572</v>
      </c>
      <c r="C2303" s="6" t="s">
        <v>15573</v>
      </c>
      <c r="D2303" s="6" t="s">
        <v>145</v>
      </c>
      <c r="E2303" s="6" t="s">
        <v>210</v>
      </c>
      <c r="F2303" s="8">
        <v>76.0</v>
      </c>
      <c r="G2303" s="9">
        <v>1017.91</v>
      </c>
      <c r="H2303" s="9">
        <v>5061.42</v>
      </c>
      <c r="I2303" s="6" t="s">
        <v>161</v>
      </c>
      <c r="J2303" s="6" t="s">
        <v>228</v>
      </c>
      <c r="K2303" s="6" t="s">
        <v>15576</v>
      </c>
      <c r="L2303" s="6">
        <v>1.6124340777E10</v>
      </c>
      <c r="M2303" s="6" t="s">
        <v>15578</v>
      </c>
      <c r="N2303" s="6" t="s">
        <v>283</v>
      </c>
      <c r="O2303" s="6" t="s">
        <v>161</v>
      </c>
      <c r="P2303" s="10">
        <v>46026.0</v>
      </c>
    </row>
    <row r="2304" ht="22.5" customHeight="1">
      <c r="A2304" s="6" t="s">
        <v>15579</v>
      </c>
      <c r="B2304" s="6" t="s">
        <v>15581</v>
      </c>
      <c r="C2304" s="6" t="s">
        <v>15582</v>
      </c>
      <c r="D2304" s="6" t="s">
        <v>206</v>
      </c>
      <c r="E2304" s="6" t="s">
        <v>210</v>
      </c>
      <c r="F2304" s="8">
        <v>107.0</v>
      </c>
      <c r="G2304" s="9">
        <v>357.71</v>
      </c>
      <c r="H2304" s="9">
        <v>8611.08</v>
      </c>
      <c r="I2304" s="6" t="s">
        <v>178</v>
      </c>
      <c r="J2304" s="6" t="s">
        <v>421</v>
      </c>
      <c r="K2304" s="6" t="s">
        <v>15584</v>
      </c>
      <c r="L2304" s="6">
        <v>3.9627203347E10</v>
      </c>
      <c r="M2304" s="6" t="s">
        <v>15586</v>
      </c>
      <c r="N2304" s="6" t="s">
        <v>283</v>
      </c>
      <c r="O2304" s="6" t="s">
        <v>161</v>
      </c>
      <c r="P2304" s="10">
        <v>46037.0</v>
      </c>
    </row>
    <row r="2305" ht="22.5" customHeight="1">
      <c r="A2305" s="6" t="s">
        <v>15587</v>
      </c>
      <c r="B2305" s="6" t="s">
        <v>15588</v>
      </c>
      <c r="C2305" s="6" t="s">
        <v>15589</v>
      </c>
      <c r="D2305" s="6" t="s">
        <v>383</v>
      </c>
      <c r="E2305" s="6" t="s">
        <v>301</v>
      </c>
      <c r="F2305" s="8">
        <v>33.0</v>
      </c>
      <c r="G2305" s="9">
        <v>352.7</v>
      </c>
      <c r="H2305" s="9">
        <v>9202.48</v>
      </c>
      <c r="I2305" s="6" t="s">
        <v>161</v>
      </c>
      <c r="J2305" s="6" t="s">
        <v>577</v>
      </c>
      <c r="K2305" s="6" t="s">
        <v>15592</v>
      </c>
      <c r="L2305" s="6">
        <v>3.4750239693E10</v>
      </c>
      <c r="M2305" s="6" t="s">
        <v>15593</v>
      </c>
      <c r="N2305" s="6" t="s">
        <v>427</v>
      </c>
      <c r="O2305" s="6" t="s">
        <v>178</v>
      </c>
      <c r="P2305" s="10">
        <v>45945.0</v>
      </c>
    </row>
    <row r="2306" ht="22.5" customHeight="1">
      <c r="A2306" s="6" t="s">
        <v>15595</v>
      </c>
      <c r="B2306" s="6" t="s">
        <v>15596</v>
      </c>
      <c r="C2306" s="6" t="s">
        <v>15597</v>
      </c>
      <c r="D2306" s="6" t="s">
        <v>145</v>
      </c>
      <c r="E2306" s="6" t="s">
        <v>147</v>
      </c>
      <c r="F2306" s="8">
        <v>18.0</v>
      </c>
      <c r="G2306" s="9">
        <v>1269.08</v>
      </c>
      <c r="H2306" s="9">
        <v>4992.41</v>
      </c>
      <c r="I2306" s="6" t="s">
        <v>178</v>
      </c>
      <c r="J2306" s="6" t="s">
        <v>357</v>
      </c>
      <c r="K2306" s="6" t="s">
        <v>15599</v>
      </c>
      <c r="L2306" s="6">
        <v>7.245836246E10</v>
      </c>
      <c r="M2306" s="6" t="s">
        <v>15601</v>
      </c>
      <c r="N2306" s="6" t="s">
        <v>283</v>
      </c>
      <c r="O2306" s="6" t="s">
        <v>161</v>
      </c>
      <c r="P2306" s="10">
        <v>46007.0</v>
      </c>
    </row>
    <row r="2307" ht="22.5" customHeight="1">
      <c r="A2307" s="6" t="s">
        <v>15602</v>
      </c>
      <c r="B2307" s="6" t="s">
        <v>15604</v>
      </c>
      <c r="C2307" s="6" t="s">
        <v>15605</v>
      </c>
      <c r="D2307" s="6" t="s">
        <v>206</v>
      </c>
      <c r="E2307" s="6" t="s">
        <v>147</v>
      </c>
      <c r="F2307" s="8">
        <v>6.0</v>
      </c>
      <c r="G2307" s="9">
        <v>1533.29</v>
      </c>
      <c r="H2307" s="9">
        <v>6437.68</v>
      </c>
      <c r="I2307" s="6" t="s">
        <v>161</v>
      </c>
      <c r="J2307" s="6" t="s">
        <v>465</v>
      </c>
      <c r="K2307" s="6" t="s">
        <v>15607</v>
      </c>
      <c r="L2307" s="6">
        <v>4.0144411573E10</v>
      </c>
      <c r="M2307" s="6" t="s">
        <v>15608</v>
      </c>
      <c r="N2307" s="6" t="s">
        <v>112</v>
      </c>
      <c r="O2307" s="6" t="s">
        <v>178</v>
      </c>
      <c r="P2307" s="10">
        <v>46041.0</v>
      </c>
    </row>
    <row r="2308" ht="22.5" customHeight="1">
      <c r="A2308" s="6" t="s">
        <v>15610</v>
      </c>
      <c r="B2308" s="6" t="s">
        <v>15611</v>
      </c>
      <c r="C2308" s="6" t="s">
        <v>15612</v>
      </c>
      <c r="D2308" s="6" t="s">
        <v>383</v>
      </c>
      <c r="E2308" s="6" t="s">
        <v>147</v>
      </c>
      <c r="F2308" s="8">
        <v>27.0</v>
      </c>
      <c r="G2308" s="9">
        <v>1605.15</v>
      </c>
      <c r="H2308" s="9">
        <v>10456.44</v>
      </c>
      <c r="I2308" s="6" t="s">
        <v>161</v>
      </c>
      <c r="J2308" s="6" t="s">
        <v>577</v>
      </c>
      <c r="K2308" s="6" t="s">
        <v>15615</v>
      </c>
      <c r="L2308" s="6">
        <v>7.65849866E10</v>
      </c>
      <c r="M2308" s="6" t="s">
        <v>15616</v>
      </c>
      <c r="N2308" s="6" t="s">
        <v>259</v>
      </c>
      <c r="O2308" s="6" t="s">
        <v>178</v>
      </c>
      <c r="P2308" s="10">
        <v>45938.0</v>
      </c>
    </row>
    <row r="2309" ht="22.5" customHeight="1">
      <c r="A2309" s="6" t="s">
        <v>15618</v>
      </c>
      <c r="B2309" s="6" t="s">
        <v>15619</v>
      </c>
      <c r="C2309" s="6" t="s">
        <v>15620</v>
      </c>
      <c r="D2309" s="6" t="s">
        <v>206</v>
      </c>
      <c r="E2309" s="6" t="s">
        <v>301</v>
      </c>
      <c r="F2309" s="8">
        <v>53.0</v>
      </c>
      <c r="G2309" s="9">
        <v>352.05</v>
      </c>
      <c r="H2309" s="9">
        <v>3949.79</v>
      </c>
      <c r="I2309" s="6" t="s">
        <v>161</v>
      </c>
      <c r="J2309" s="6" t="s">
        <v>465</v>
      </c>
      <c r="K2309" s="6" t="s">
        <v>15622</v>
      </c>
      <c r="L2309" s="6" t="s">
        <v>259</v>
      </c>
      <c r="M2309" s="6" t="s">
        <v>15623</v>
      </c>
      <c r="N2309" s="6" t="s">
        <v>112</v>
      </c>
      <c r="O2309" s="6" t="s">
        <v>178</v>
      </c>
      <c r="P2309" s="10">
        <v>45964.0</v>
      </c>
    </row>
    <row r="2310" ht="22.5" customHeight="1">
      <c r="A2310" s="6" t="s">
        <v>15625</v>
      </c>
      <c r="B2310" s="6" t="s">
        <v>15626</v>
      </c>
      <c r="C2310" s="6" t="s">
        <v>15627</v>
      </c>
      <c r="D2310" s="6" t="s">
        <v>383</v>
      </c>
      <c r="E2310" s="6" t="s">
        <v>210</v>
      </c>
      <c r="F2310" s="8">
        <v>70.0</v>
      </c>
      <c r="G2310" s="9">
        <v>1091.92</v>
      </c>
      <c r="H2310" s="9">
        <v>4451.73</v>
      </c>
      <c r="I2310" s="6" t="s">
        <v>178</v>
      </c>
      <c r="J2310" s="6" t="s">
        <v>357</v>
      </c>
      <c r="K2310" s="6" t="s">
        <v>15630</v>
      </c>
      <c r="L2310" s="6">
        <v>5.0911947357E10</v>
      </c>
      <c r="M2310" s="6" t="s">
        <v>15631</v>
      </c>
      <c r="N2310" s="6" t="s">
        <v>176</v>
      </c>
      <c r="O2310" s="6" t="s">
        <v>161</v>
      </c>
      <c r="P2310" s="10">
        <v>45946.0</v>
      </c>
    </row>
    <row r="2311" ht="22.5" customHeight="1">
      <c r="A2311" s="6" t="s">
        <v>15633</v>
      </c>
      <c r="B2311" s="6" t="s">
        <v>15634</v>
      </c>
      <c r="C2311" s="6" t="s">
        <v>15635</v>
      </c>
      <c r="D2311" s="6" t="s">
        <v>145</v>
      </c>
      <c r="E2311" s="6" t="s">
        <v>301</v>
      </c>
      <c r="F2311" s="8">
        <v>36.0</v>
      </c>
      <c r="G2311" s="9">
        <v>670.67</v>
      </c>
      <c r="H2311" s="9">
        <v>4634.81</v>
      </c>
      <c r="I2311" s="6" t="s">
        <v>161</v>
      </c>
      <c r="J2311" s="6" t="s">
        <v>393</v>
      </c>
      <c r="K2311" s="6" t="s">
        <v>15637</v>
      </c>
      <c r="L2311" s="6">
        <v>6.421021627E10</v>
      </c>
      <c r="M2311" s="6" t="s">
        <v>15639</v>
      </c>
      <c r="N2311" s="6" t="s">
        <v>259</v>
      </c>
      <c r="O2311" s="6" t="s">
        <v>178</v>
      </c>
      <c r="P2311" s="10">
        <v>46025.0</v>
      </c>
    </row>
    <row r="2312" ht="22.5" customHeight="1">
      <c r="A2312" s="6" t="s">
        <v>15640</v>
      </c>
      <c r="B2312" s="6" t="s">
        <v>15641</v>
      </c>
      <c r="C2312" s="6" t="s">
        <v>15643</v>
      </c>
      <c r="D2312" s="6" t="s">
        <v>206</v>
      </c>
      <c r="E2312" s="6" t="s">
        <v>210</v>
      </c>
      <c r="F2312" s="8">
        <v>74.0</v>
      </c>
      <c r="G2312" s="9">
        <v>164.53</v>
      </c>
      <c r="H2312" s="9">
        <v>8982.52</v>
      </c>
      <c r="I2312" s="6" t="s">
        <v>161</v>
      </c>
      <c r="J2312" s="6" t="s">
        <v>163</v>
      </c>
      <c r="K2312" s="6" t="s">
        <v>15645</v>
      </c>
      <c r="L2312" s="6" t="s">
        <v>259</v>
      </c>
      <c r="M2312" s="6" t="s">
        <v>15646</v>
      </c>
      <c r="N2312" s="6" t="s">
        <v>427</v>
      </c>
      <c r="O2312" s="6" t="s">
        <v>161</v>
      </c>
      <c r="P2312" s="10">
        <v>45984.0</v>
      </c>
    </row>
    <row r="2313" ht="22.5" customHeight="1">
      <c r="A2313" s="6" t="s">
        <v>15647</v>
      </c>
      <c r="B2313" s="6" t="s">
        <v>15648</v>
      </c>
      <c r="C2313" s="6" t="s">
        <v>15650</v>
      </c>
      <c r="D2313" s="6" t="s">
        <v>206</v>
      </c>
      <c r="E2313" s="6" t="s">
        <v>147</v>
      </c>
      <c r="F2313" s="8">
        <v>24.0</v>
      </c>
      <c r="G2313" s="9">
        <v>329.23</v>
      </c>
      <c r="H2313" s="9">
        <v>9055.47</v>
      </c>
      <c r="I2313" s="6" t="s">
        <v>161</v>
      </c>
      <c r="J2313" s="6" t="s">
        <v>228</v>
      </c>
      <c r="K2313" s="6" t="s">
        <v>15651</v>
      </c>
      <c r="L2313" s="6">
        <v>2.2960247503E10</v>
      </c>
      <c r="M2313" s="6" t="s">
        <v>15653</v>
      </c>
      <c r="N2313" s="6" t="s">
        <v>176</v>
      </c>
      <c r="O2313" s="6" t="s">
        <v>178</v>
      </c>
      <c r="P2313" s="10">
        <v>46026.0</v>
      </c>
    </row>
    <row r="2314" ht="22.5" customHeight="1">
      <c r="A2314" s="6" t="s">
        <v>15654</v>
      </c>
      <c r="B2314" s="6" t="s">
        <v>15655</v>
      </c>
      <c r="C2314" s="6" t="s">
        <v>15656</v>
      </c>
      <c r="D2314" s="6" t="s">
        <v>145</v>
      </c>
      <c r="E2314" s="6" t="s">
        <v>147</v>
      </c>
      <c r="F2314" s="8">
        <v>21.0</v>
      </c>
      <c r="G2314" s="9">
        <v>727.85</v>
      </c>
      <c r="H2314" s="9">
        <v>1438.98</v>
      </c>
      <c r="I2314" s="6" t="s">
        <v>161</v>
      </c>
      <c r="J2314" s="6" t="s">
        <v>442</v>
      </c>
      <c r="K2314" s="6" t="s">
        <v>15658</v>
      </c>
      <c r="L2314" s="6">
        <v>9.05119403E10</v>
      </c>
      <c r="M2314" s="6" t="s">
        <v>15660</v>
      </c>
      <c r="N2314" s="6" t="s">
        <v>283</v>
      </c>
      <c r="O2314" s="6" t="s">
        <v>178</v>
      </c>
      <c r="P2314" s="10">
        <v>45996.0</v>
      </c>
    </row>
    <row r="2315" ht="22.5" customHeight="1">
      <c r="A2315" s="6" t="s">
        <v>15661</v>
      </c>
      <c r="B2315" s="6" t="s">
        <v>15662</v>
      </c>
      <c r="C2315" s="6" t="s">
        <v>15663</v>
      </c>
      <c r="D2315" s="6" t="s">
        <v>206</v>
      </c>
      <c r="E2315" s="6" t="s">
        <v>301</v>
      </c>
      <c r="F2315" s="8">
        <v>38.0</v>
      </c>
      <c r="G2315" s="9">
        <v>1226.74</v>
      </c>
      <c r="H2315" s="9">
        <v>2356.97</v>
      </c>
      <c r="I2315" s="6" t="s">
        <v>161</v>
      </c>
      <c r="J2315" s="6" t="s">
        <v>479</v>
      </c>
      <c r="K2315" s="6" t="s">
        <v>15665</v>
      </c>
      <c r="L2315" s="6">
        <v>2.0955068069E10</v>
      </c>
      <c r="M2315" s="6" t="s">
        <v>15666</v>
      </c>
      <c r="N2315" s="6" t="s">
        <v>259</v>
      </c>
      <c r="O2315" s="6" t="s">
        <v>178</v>
      </c>
      <c r="P2315" s="10">
        <v>46039.0</v>
      </c>
    </row>
    <row r="2316" ht="22.5" customHeight="1">
      <c r="A2316" s="6" t="s">
        <v>15668</v>
      </c>
      <c r="B2316" s="6" t="s">
        <v>15669</v>
      </c>
      <c r="C2316" s="6" t="s">
        <v>15670</v>
      </c>
      <c r="D2316" s="6" t="s">
        <v>206</v>
      </c>
      <c r="E2316" s="6" t="s">
        <v>301</v>
      </c>
      <c r="F2316" s="8">
        <v>43.0</v>
      </c>
      <c r="G2316" s="9">
        <v>1709.34</v>
      </c>
      <c r="H2316" s="9">
        <v>8320.15</v>
      </c>
      <c r="I2316" s="6" t="s">
        <v>161</v>
      </c>
      <c r="J2316" s="6" t="s">
        <v>393</v>
      </c>
      <c r="K2316" s="6" t="s">
        <v>15672</v>
      </c>
      <c r="L2316" s="6">
        <v>9.7173636226E10</v>
      </c>
      <c r="M2316" s="6" t="s">
        <v>15674</v>
      </c>
      <c r="N2316" s="6" t="s">
        <v>176</v>
      </c>
      <c r="O2316" s="6" t="s">
        <v>178</v>
      </c>
      <c r="P2316" s="10">
        <v>45975.0</v>
      </c>
    </row>
    <row r="2317" ht="22.5" customHeight="1">
      <c r="A2317" s="6" t="s">
        <v>15675</v>
      </c>
      <c r="B2317" s="6" t="s">
        <v>15677</v>
      </c>
      <c r="C2317" s="6" t="s">
        <v>15678</v>
      </c>
      <c r="D2317" s="6" t="s">
        <v>206</v>
      </c>
      <c r="E2317" s="6" t="s">
        <v>147</v>
      </c>
      <c r="F2317" s="8">
        <v>13.0</v>
      </c>
      <c r="G2317" s="9">
        <v>870.83</v>
      </c>
      <c r="H2317" s="9">
        <v>3904.18</v>
      </c>
      <c r="I2317" s="6" t="s">
        <v>178</v>
      </c>
      <c r="J2317" s="6" t="s">
        <v>479</v>
      </c>
      <c r="K2317" s="6" t="s">
        <v>15680</v>
      </c>
      <c r="L2317" s="6">
        <v>2.0343613777E10</v>
      </c>
      <c r="M2317" s="6" t="s">
        <v>15682</v>
      </c>
      <c r="N2317" s="6" t="s">
        <v>259</v>
      </c>
      <c r="O2317" s="6" t="s">
        <v>161</v>
      </c>
      <c r="P2317" s="10">
        <v>46039.0</v>
      </c>
    </row>
    <row r="2318" ht="22.5" customHeight="1">
      <c r="A2318" s="6" t="s">
        <v>15683</v>
      </c>
      <c r="B2318" s="6" t="s">
        <v>15684</v>
      </c>
      <c r="C2318" s="6" t="s">
        <v>15685</v>
      </c>
      <c r="D2318" s="6" t="s">
        <v>145</v>
      </c>
      <c r="E2318" s="6" t="s">
        <v>147</v>
      </c>
      <c r="F2318" s="8">
        <v>13.0</v>
      </c>
      <c r="G2318" s="9">
        <v>879.58</v>
      </c>
      <c r="H2318" s="9">
        <v>6941.78</v>
      </c>
      <c r="I2318" s="6" t="s">
        <v>161</v>
      </c>
      <c r="J2318" s="6" t="s">
        <v>442</v>
      </c>
      <c r="K2318" s="6" t="s">
        <v>15687</v>
      </c>
      <c r="L2318" s="6">
        <v>2.9565194338E10</v>
      </c>
      <c r="M2318" s="6" t="s">
        <v>15688</v>
      </c>
      <c r="N2318" s="6" t="s">
        <v>283</v>
      </c>
      <c r="O2318" s="6" t="s">
        <v>178</v>
      </c>
      <c r="P2318" s="10">
        <v>46012.0</v>
      </c>
    </row>
    <row r="2319" ht="22.5" customHeight="1">
      <c r="A2319" s="6" t="s">
        <v>15690</v>
      </c>
      <c r="B2319" s="6" t="s">
        <v>15691</v>
      </c>
      <c r="C2319" s="6" t="s">
        <v>15692</v>
      </c>
      <c r="D2319" s="6" t="s">
        <v>145</v>
      </c>
      <c r="E2319" s="6" t="s">
        <v>301</v>
      </c>
      <c r="F2319" s="8">
        <v>33.0</v>
      </c>
      <c r="G2319" s="9">
        <v>919.93</v>
      </c>
      <c r="H2319" s="9">
        <v>13833.74</v>
      </c>
      <c r="I2319" s="6" t="s">
        <v>161</v>
      </c>
      <c r="J2319" s="6" t="s">
        <v>479</v>
      </c>
      <c r="K2319" s="6" t="s">
        <v>15694</v>
      </c>
      <c r="L2319" s="6">
        <v>9.924581805E10</v>
      </c>
      <c r="M2319" s="6" t="s">
        <v>15696</v>
      </c>
      <c r="N2319" s="6" t="s">
        <v>427</v>
      </c>
      <c r="O2319" s="6" t="s">
        <v>178</v>
      </c>
      <c r="P2319" s="10">
        <v>45942.0</v>
      </c>
    </row>
    <row r="2320" ht="22.5" customHeight="1">
      <c r="A2320" s="6" t="s">
        <v>15697</v>
      </c>
      <c r="B2320" s="6" t="s">
        <v>15698</v>
      </c>
      <c r="C2320" s="6" t="s">
        <v>15700</v>
      </c>
      <c r="D2320" s="6" t="s">
        <v>206</v>
      </c>
      <c r="E2320" s="6" t="s">
        <v>147</v>
      </c>
      <c r="F2320" s="8">
        <v>11.0</v>
      </c>
      <c r="G2320" s="9">
        <v>197.64</v>
      </c>
      <c r="H2320" s="9">
        <v>10201.33</v>
      </c>
      <c r="I2320" s="6" t="s">
        <v>161</v>
      </c>
      <c r="J2320" s="6" t="s">
        <v>312</v>
      </c>
      <c r="K2320" s="6" t="s">
        <v>15702</v>
      </c>
      <c r="L2320" s="6">
        <v>9.8545161815E10</v>
      </c>
      <c r="M2320" s="6" t="s">
        <v>15703</v>
      </c>
      <c r="N2320" s="6" t="s">
        <v>427</v>
      </c>
      <c r="O2320" s="6" t="s">
        <v>178</v>
      </c>
      <c r="P2320" s="10">
        <v>45975.0</v>
      </c>
    </row>
    <row r="2321" ht="22.5" customHeight="1">
      <c r="A2321" s="6" t="s">
        <v>15705</v>
      </c>
      <c r="B2321" s="6" t="s">
        <v>15706</v>
      </c>
      <c r="C2321" s="6" t="s">
        <v>15707</v>
      </c>
      <c r="D2321" s="6" t="s">
        <v>383</v>
      </c>
      <c r="E2321" s="6" t="s">
        <v>301</v>
      </c>
      <c r="F2321" s="8">
        <v>44.0</v>
      </c>
      <c r="G2321" s="9">
        <v>292.52</v>
      </c>
      <c r="H2321" s="9">
        <v>5430.1</v>
      </c>
      <c r="I2321" s="6" t="s">
        <v>161</v>
      </c>
      <c r="J2321" s="6" t="s">
        <v>577</v>
      </c>
      <c r="K2321" s="6" t="s">
        <v>15710</v>
      </c>
      <c r="L2321" s="6">
        <v>6.7611828944E10</v>
      </c>
      <c r="M2321" s="6" t="s">
        <v>15711</v>
      </c>
      <c r="N2321" s="6" t="s">
        <v>427</v>
      </c>
      <c r="O2321" s="6" t="s">
        <v>178</v>
      </c>
      <c r="P2321" s="10">
        <v>46000.0</v>
      </c>
    </row>
    <row r="2322" ht="22.5" customHeight="1">
      <c r="A2322" s="6" t="s">
        <v>15713</v>
      </c>
      <c r="B2322" s="6" t="s">
        <v>15714</v>
      </c>
      <c r="C2322" s="6" t="s">
        <v>15715</v>
      </c>
      <c r="D2322" s="6" t="s">
        <v>383</v>
      </c>
      <c r="E2322" s="6" t="s">
        <v>301</v>
      </c>
      <c r="F2322" s="8">
        <v>59.0</v>
      </c>
      <c r="G2322" s="9">
        <v>1195.21</v>
      </c>
      <c r="H2322" s="9">
        <v>7063.55</v>
      </c>
      <c r="I2322" s="6" t="s">
        <v>161</v>
      </c>
      <c r="J2322" s="6" t="s">
        <v>393</v>
      </c>
      <c r="K2322" s="6" t="s">
        <v>259</v>
      </c>
      <c r="L2322" s="6">
        <v>7.741278012E10</v>
      </c>
      <c r="M2322" s="6" t="s">
        <v>15718</v>
      </c>
      <c r="N2322" s="6" t="s">
        <v>259</v>
      </c>
      <c r="O2322" s="6" t="s">
        <v>178</v>
      </c>
      <c r="P2322" s="10">
        <v>46008.0</v>
      </c>
    </row>
    <row r="2323" ht="22.5" customHeight="1">
      <c r="A2323" s="6" t="s">
        <v>15719</v>
      </c>
      <c r="B2323" s="6" t="s">
        <v>15721</v>
      </c>
      <c r="C2323" s="6" t="s">
        <v>15722</v>
      </c>
      <c r="D2323" s="6" t="s">
        <v>206</v>
      </c>
      <c r="E2323" s="6" t="s">
        <v>147</v>
      </c>
      <c r="F2323" s="8">
        <v>12.0</v>
      </c>
      <c r="G2323" s="9">
        <v>1393.02</v>
      </c>
      <c r="H2323" s="9">
        <v>12787.08</v>
      </c>
      <c r="I2323" s="6" t="s">
        <v>161</v>
      </c>
      <c r="J2323" s="6" t="s">
        <v>442</v>
      </c>
      <c r="K2323" s="6" t="s">
        <v>15724</v>
      </c>
      <c r="L2323" s="6">
        <v>5.5255744224E10</v>
      </c>
      <c r="M2323" s="6" t="s">
        <v>15725</v>
      </c>
      <c r="N2323" s="6" t="s">
        <v>283</v>
      </c>
      <c r="O2323" s="6" t="s">
        <v>178</v>
      </c>
      <c r="P2323" s="10">
        <v>45975.0</v>
      </c>
    </row>
    <row r="2324" ht="22.5" customHeight="1">
      <c r="A2324" s="6" t="s">
        <v>15727</v>
      </c>
      <c r="B2324" s="6" t="s">
        <v>15728</v>
      </c>
      <c r="C2324" s="6" t="s">
        <v>15729</v>
      </c>
      <c r="D2324" s="6" t="s">
        <v>206</v>
      </c>
      <c r="E2324" s="6" t="s">
        <v>147</v>
      </c>
      <c r="F2324" s="8">
        <v>19.0</v>
      </c>
      <c r="G2324" s="9">
        <v>796.56</v>
      </c>
      <c r="H2324" s="9">
        <v>11957.79</v>
      </c>
      <c r="I2324" s="6" t="s">
        <v>161</v>
      </c>
      <c r="J2324" s="6" t="s">
        <v>577</v>
      </c>
      <c r="K2324" s="6" t="s">
        <v>15731</v>
      </c>
      <c r="L2324" s="6">
        <v>7.0076260702E10</v>
      </c>
      <c r="M2324" s="6" t="s">
        <v>15733</v>
      </c>
      <c r="N2324" s="6" t="s">
        <v>283</v>
      </c>
      <c r="O2324" s="6" t="s">
        <v>178</v>
      </c>
      <c r="P2324" s="10">
        <v>46022.0</v>
      </c>
    </row>
    <row r="2325" ht="22.5" customHeight="1">
      <c r="A2325" s="6" t="s">
        <v>15735</v>
      </c>
      <c r="B2325" s="6" t="s">
        <v>15736</v>
      </c>
      <c r="C2325" s="6" t="s">
        <v>15737</v>
      </c>
      <c r="D2325" s="6" t="s">
        <v>206</v>
      </c>
      <c r="E2325" s="6" t="s">
        <v>147</v>
      </c>
      <c r="F2325" s="8">
        <v>7.0</v>
      </c>
      <c r="G2325" s="9">
        <v>283.4</v>
      </c>
      <c r="H2325" s="9">
        <v>14097.54</v>
      </c>
      <c r="I2325" s="6" t="s">
        <v>161</v>
      </c>
      <c r="J2325" s="6" t="s">
        <v>479</v>
      </c>
      <c r="K2325" s="6" t="s">
        <v>15739</v>
      </c>
      <c r="L2325" s="6">
        <v>3.0358124724E10</v>
      </c>
      <c r="M2325" s="6" t="s">
        <v>15740</v>
      </c>
      <c r="N2325" s="6" t="s">
        <v>259</v>
      </c>
      <c r="O2325" s="6" t="s">
        <v>178</v>
      </c>
      <c r="P2325" s="10">
        <v>46000.0</v>
      </c>
    </row>
    <row r="2326" ht="22.5" customHeight="1">
      <c r="A2326" s="6" t="s">
        <v>15742</v>
      </c>
      <c r="B2326" s="6" t="s">
        <v>15743</v>
      </c>
      <c r="C2326" s="6" t="s">
        <v>15744</v>
      </c>
      <c r="D2326" s="6" t="s">
        <v>383</v>
      </c>
      <c r="E2326" s="6" t="s">
        <v>147</v>
      </c>
      <c r="F2326" s="8">
        <v>6.0</v>
      </c>
      <c r="G2326" s="9">
        <v>521.28</v>
      </c>
      <c r="H2326" s="9">
        <v>14159.7</v>
      </c>
      <c r="I2326" s="6" t="s">
        <v>161</v>
      </c>
      <c r="J2326" s="6" t="s">
        <v>577</v>
      </c>
      <c r="K2326" s="6" t="s">
        <v>15746</v>
      </c>
      <c r="L2326" s="6">
        <v>6.6836535146E10</v>
      </c>
      <c r="M2326" s="6" t="s">
        <v>15747</v>
      </c>
      <c r="N2326" s="6" t="s">
        <v>259</v>
      </c>
      <c r="O2326" s="6" t="s">
        <v>178</v>
      </c>
      <c r="P2326" s="10">
        <v>45987.0</v>
      </c>
    </row>
    <row r="2327" ht="22.5" customHeight="1">
      <c r="A2327" s="6" t="s">
        <v>15749</v>
      </c>
      <c r="B2327" s="6" t="s">
        <v>15750</v>
      </c>
      <c r="C2327" s="6" t="s">
        <v>15751</v>
      </c>
      <c r="D2327" s="6" t="s">
        <v>145</v>
      </c>
      <c r="E2327" s="6" t="s">
        <v>301</v>
      </c>
      <c r="F2327" s="8">
        <v>54.0</v>
      </c>
      <c r="G2327" s="9">
        <v>240.83</v>
      </c>
      <c r="H2327" s="9">
        <v>1021.07</v>
      </c>
      <c r="I2327" s="6" t="s">
        <v>161</v>
      </c>
      <c r="J2327" s="6" t="s">
        <v>163</v>
      </c>
      <c r="K2327" s="6" t="s">
        <v>15753</v>
      </c>
      <c r="L2327" s="6">
        <v>1.1603901528E10</v>
      </c>
      <c r="M2327" s="6" t="s">
        <v>15754</v>
      </c>
      <c r="N2327" s="6" t="s">
        <v>427</v>
      </c>
      <c r="O2327" s="6" t="s">
        <v>178</v>
      </c>
      <c r="P2327" s="10">
        <v>46021.0</v>
      </c>
    </row>
    <row r="2328" ht="22.5" customHeight="1">
      <c r="A2328" s="6" t="s">
        <v>15755</v>
      </c>
      <c r="B2328" s="6" t="s">
        <v>15756</v>
      </c>
      <c r="C2328" s="6" t="s">
        <v>15758</v>
      </c>
      <c r="D2328" s="6" t="s">
        <v>145</v>
      </c>
      <c r="E2328" s="6" t="s">
        <v>147</v>
      </c>
      <c r="F2328" s="8">
        <v>19.0</v>
      </c>
      <c r="G2328" s="9">
        <v>565.91</v>
      </c>
      <c r="H2328" s="9">
        <v>11247.54</v>
      </c>
      <c r="I2328" s="6" t="s">
        <v>161</v>
      </c>
      <c r="J2328" s="6" t="s">
        <v>259</v>
      </c>
      <c r="K2328" s="6" t="s">
        <v>15760</v>
      </c>
      <c r="L2328" s="6">
        <v>2.4708073641E10</v>
      </c>
      <c r="M2328" s="6" t="s">
        <v>15761</v>
      </c>
      <c r="N2328" s="6" t="s">
        <v>427</v>
      </c>
      <c r="O2328" s="6" t="s">
        <v>178</v>
      </c>
      <c r="P2328" s="10">
        <v>45940.0</v>
      </c>
    </row>
    <row r="2329" ht="22.5" customHeight="1">
      <c r="A2329" s="6" t="s">
        <v>15763</v>
      </c>
      <c r="B2329" s="6" t="s">
        <v>15764</v>
      </c>
      <c r="C2329" s="6" t="s">
        <v>15765</v>
      </c>
      <c r="D2329" s="6" t="s">
        <v>206</v>
      </c>
      <c r="E2329" s="6" t="s">
        <v>147</v>
      </c>
      <c r="F2329" s="8">
        <v>29.0</v>
      </c>
      <c r="G2329" s="9">
        <v>1186.68</v>
      </c>
      <c r="H2329" s="9">
        <v>11153.63</v>
      </c>
      <c r="I2329" s="6" t="s">
        <v>161</v>
      </c>
      <c r="J2329" s="6" t="s">
        <v>465</v>
      </c>
      <c r="K2329" s="6" t="s">
        <v>15767</v>
      </c>
      <c r="L2329" s="6">
        <v>5.3823046474E10</v>
      </c>
      <c r="M2329" s="6" t="s">
        <v>15769</v>
      </c>
      <c r="N2329" s="6" t="s">
        <v>427</v>
      </c>
      <c r="O2329" s="6" t="s">
        <v>178</v>
      </c>
      <c r="P2329" s="10">
        <v>46035.0</v>
      </c>
    </row>
    <row r="2330" ht="22.5" customHeight="1">
      <c r="A2330" s="6" t="s">
        <v>15770</v>
      </c>
      <c r="B2330" s="6" t="s">
        <v>15771</v>
      </c>
      <c r="C2330" s="6" t="s">
        <v>15772</v>
      </c>
      <c r="D2330" s="6" t="s">
        <v>145</v>
      </c>
      <c r="E2330" s="6" t="s">
        <v>147</v>
      </c>
      <c r="F2330" s="8">
        <v>6.0</v>
      </c>
      <c r="G2330" s="9">
        <v>798.89</v>
      </c>
      <c r="H2330" s="9">
        <v>8227.28</v>
      </c>
      <c r="I2330" s="6" t="s">
        <v>161</v>
      </c>
      <c r="J2330" s="6" t="s">
        <v>259</v>
      </c>
      <c r="K2330" s="6" t="s">
        <v>15774</v>
      </c>
      <c r="L2330" s="6">
        <v>3.1628472065E10</v>
      </c>
      <c r="M2330" s="6" t="s">
        <v>15776</v>
      </c>
      <c r="N2330" s="6" t="s">
        <v>259</v>
      </c>
      <c r="O2330" s="6" t="s">
        <v>178</v>
      </c>
      <c r="P2330" s="10">
        <v>46040.0</v>
      </c>
    </row>
    <row r="2331" ht="22.5" customHeight="1">
      <c r="A2331" s="6" t="s">
        <v>15778</v>
      </c>
      <c r="B2331" s="6" t="s">
        <v>15779</v>
      </c>
      <c r="C2331" s="6" t="s">
        <v>15780</v>
      </c>
      <c r="D2331" s="6" t="s">
        <v>206</v>
      </c>
      <c r="E2331" s="6" t="s">
        <v>301</v>
      </c>
      <c r="F2331" s="8">
        <v>42.0</v>
      </c>
      <c r="G2331" s="9">
        <v>640.99</v>
      </c>
      <c r="H2331" s="9">
        <v>6890.49</v>
      </c>
      <c r="I2331" s="6" t="s">
        <v>161</v>
      </c>
      <c r="J2331" s="6" t="s">
        <v>479</v>
      </c>
      <c r="K2331" s="6" t="s">
        <v>15781</v>
      </c>
      <c r="L2331" s="6">
        <v>3.4440096459E10</v>
      </c>
      <c r="M2331" s="6" t="s">
        <v>15783</v>
      </c>
      <c r="N2331" s="6" t="s">
        <v>427</v>
      </c>
      <c r="O2331" s="6" t="s">
        <v>178</v>
      </c>
      <c r="P2331" s="10">
        <v>46004.0</v>
      </c>
    </row>
    <row r="2332" ht="22.5" customHeight="1">
      <c r="A2332" s="6" t="s">
        <v>15784</v>
      </c>
      <c r="B2332" s="6" t="s">
        <v>15785</v>
      </c>
      <c r="C2332" s="6" t="s">
        <v>15786</v>
      </c>
      <c r="D2332" s="6" t="s">
        <v>145</v>
      </c>
      <c r="E2332" s="6" t="s">
        <v>147</v>
      </c>
      <c r="F2332" s="8">
        <v>14.0</v>
      </c>
      <c r="G2332" s="9">
        <v>1441.18</v>
      </c>
      <c r="H2332" s="9">
        <v>7693.53</v>
      </c>
      <c r="I2332" s="6" t="s">
        <v>161</v>
      </c>
      <c r="J2332" s="6" t="s">
        <v>228</v>
      </c>
      <c r="K2332" s="6" t="s">
        <v>15788</v>
      </c>
      <c r="L2332" s="6">
        <v>2.8423585194E10</v>
      </c>
      <c r="M2332" s="6" t="s">
        <v>15789</v>
      </c>
      <c r="N2332" s="6" t="s">
        <v>176</v>
      </c>
      <c r="O2332" s="6" t="s">
        <v>178</v>
      </c>
      <c r="P2332" s="10">
        <v>46028.0</v>
      </c>
    </row>
    <row r="2333" ht="22.5" customHeight="1">
      <c r="A2333" s="6" t="s">
        <v>15791</v>
      </c>
      <c r="B2333" s="6" t="s">
        <v>15792</v>
      </c>
      <c r="C2333" s="6" t="s">
        <v>15793</v>
      </c>
      <c r="D2333" s="6" t="s">
        <v>206</v>
      </c>
      <c r="E2333" s="6" t="s">
        <v>301</v>
      </c>
      <c r="F2333" s="8">
        <v>31.0</v>
      </c>
      <c r="G2333" s="9">
        <v>985.09</v>
      </c>
      <c r="H2333" s="9">
        <v>11552.77</v>
      </c>
      <c r="I2333" s="6" t="s">
        <v>161</v>
      </c>
      <c r="J2333" s="6" t="s">
        <v>442</v>
      </c>
      <c r="K2333" s="6" t="s">
        <v>15795</v>
      </c>
      <c r="L2333" s="6">
        <v>8.319839685E10</v>
      </c>
      <c r="M2333" s="6" t="s">
        <v>15796</v>
      </c>
      <c r="N2333" s="6" t="s">
        <v>112</v>
      </c>
      <c r="O2333" s="6" t="s">
        <v>178</v>
      </c>
      <c r="P2333" s="10">
        <v>46029.0</v>
      </c>
    </row>
    <row r="2334" ht="22.5" customHeight="1">
      <c r="A2334" s="6" t="s">
        <v>15797</v>
      </c>
      <c r="B2334" s="6" t="s">
        <v>15798</v>
      </c>
      <c r="C2334" s="6" t="s">
        <v>15799</v>
      </c>
      <c r="D2334" s="6" t="s">
        <v>145</v>
      </c>
      <c r="E2334" s="6" t="s">
        <v>301</v>
      </c>
      <c r="F2334" s="8">
        <v>59.0</v>
      </c>
      <c r="G2334" s="9">
        <v>1499.25</v>
      </c>
      <c r="H2334" s="9">
        <v>15336.32</v>
      </c>
      <c r="I2334" s="6" t="s">
        <v>161</v>
      </c>
      <c r="J2334" s="6" t="s">
        <v>1229</v>
      </c>
      <c r="K2334" s="6" t="s">
        <v>15801</v>
      </c>
      <c r="L2334" s="6">
        <v>1.2518630287E10</v>
      </c>
      <c r="M2334" s="6" t="s">
        <v>15802</v>
      </c>
      <c r="N2334" s="6" t="s">
        <v>283</v>
      </c>
      <c r="O2334" s="6" t="s">
        <v>178</v>
      </c>
      <c r="P2334" s="10">
        <v>45964.0</v>
      </c>
    </row>
    <row r="2335" ht="22.5" customHeight="1">
      <c r="A2335" s="6" t="s">
        <v>15804</v>
      </c>
      <c r="B2335" s="6" t="s">
        <v>15805</v>
      </c>
      <c r="C2335" s="6" t="s">
        <v>15806</v>
      </c>
      <c r="D2335" s="6" t="s">
        <v>206</v>
      </c>
      <c r="E2335" s="6" t="s">
        <v>147</v>
      </c>
      <c r="F2335" s="8">
        <v>23.0</v>
      </c>
      <c r="G2335" s="9">
        <v>137.39</v>
      </c>
      <c r="H2335" s="9">
        <v>3149.17</v>
      </c>
      <c r="I2335" s="6" t="s">
        <v>161</v>
      </c>
      <c r="J2335" s="6" t="s">
        <v>421</v>
      </c>
      <c r="K2335" s="6" t="s">
        <v>15808</v>
      </c>
      <c r="L2335" s="6">
        <v>7.0999265902E10</v>
      </c>
      <c r="M2335" s="6" t="s">
        <v>15809</v>
      </c>
      <c r="N2335" s="6" t="s">
        <v>427</v>
      </c>
      <c r="O2335" s="6" t="s">
        <v>178</v>
      </c>
      <c r="P2335" s="10">
        <v>45959.0</v>
      </c>
    </row>
    <row r="2336" ht="22.5" customHeight="1">
      <c r="A2336" s="6" t="s">
        <v>15810</v>
      </c>
      <c r="B2336" s="6" t="s">
        <v>15811</v>
      </c>
      <c r="C2336" s="6" t="s">
        <v>15813</v>
      </c>
      <c r="D2336" s="6" t="s">
        <v>145</v>
      </c>
      <c r="E2336" s="6" t="s">
        <v>147</v>
      </c>
      <c r="F2336" s="8">
        <v>14.0</v>
      </c>
      <c r="G2336" s="9">
        <v>589.93</v>
      </c>
      <c r="H2336" s="9">
        <v>11702.7</v>
      </c>
      <c r="I2336" s="6" t="s">
        <v>161</v>
      </c>
      <c r="J2336" s="6" t="s">
        <v>228</v>
      </c>
      <c r="K2336" s="6" t="s">
        <v>15814</v>
      </c>
      <c r="L2336" s="6">
        <v>1.88958584E10</v>
      </c>
      <c r="M2336" s="6" t="s">
        <v>15815</v>
      </c>
      <c r="N2336" s="6" t="s">
        <v>176</v>
      </c>
      <c r="O2336" s="6" t="s">
        <v>178</v>
      </c>
      <c r="P2336" s="10">
        <v>46047.0</v>
      </c>
    </row>
    <row r="2337" ht="22.5" customHeight="1">
      <c r="A2337" s="6" t="s">
        <v>15816</v>
      </c>
      <c r="B2337" s="6" t="s">
        <v>15817</v>
      </c>
      <c r="C2337" s="6" t="s">
        <v>15818</v>
      </c>
      <c r="D2337" s="6" t="s">
        <v>206</v>
      </c>
      <c r="E2337" s="6" t="s">
        <v>147</v>
      </c>
      <c r="F2337" s="8">
        <v>24.0</v>
      </c>
      <c r="G2337" s="9">
        <v>1147.48</v>
      </c>
      <c r="H2337" s="9">
        <v>11217.89</v>
      </c>
      <c r="I2337" s="6" t="s">
        <v>161</v>
      </c>
      <c r="J2337" s="6" t="s">
        <v>312</v>
      </c>
      <c r="K2337" s="6" t="s">
        <v>15820</v>
      </c>
      <c r="L2337" s="6">
        <v>7.428287671E10</v>
      </c>
      <c r="M2337" s="6" t="s">
        <v>15821</v>
      </c>
      <c r="N2337" s="6" t="s">
        <v>427</v>
      </c>
      <c r="O2337" s="6" t="s">
        <v>178</v>
      </c>
      <c r="P2337" s="10">
        <v>45968.0</v>
      </c>
    </row>
    <row r="2338" ht="22.5" customHeight="1">
      <c r="A2338" s="6" t="s">
        <v>15823</v>
      </c>
      <c r="B2338" s="6" t="s">
        <v>15824</v>
      </c>
      <c r="C2338" s="6" t="s">
        <v>15825</v>
      </c>
      <c r="D2338" s="6" t="s">
        <v>206</v>
      </c>
      <c r="E2338" s="6" t="s">
        <v>147</v>
      </c>
      <c r="F2338" s="8">
        <v>16.0</v>
      </c>
      <c r="G2338" s="9">
        <v>875.58</v>
      </c>
      <c r="H2338" s="9">
        <v>3907.72</v>
      </c>
      <c r="I2338" s="6" t="s">
        <v>161</v>
      </c>
      <c r="J2338" s="6" t="s">
        <v>228</v>
      </c>
      <c r="K2338" s="6" t="s">
        <v>15826</v>
      </c>
      <c r="L2338" s="6">
        <v>4.3684848738E10</v>
      </c>
      <c r="M2338" s="6" t="s">
        <v>15827</v>
      </c>
      <c r="N2338" s="6" t="s">
        <v>283</v>
      </c>
      <c r="O2338" s="6" t="s">
        <v>178</v>
      </c>
      <c r="P2338" s="10">
        <v>46045.0</v>
      </c>
    </row>
    <row r="2339" ht="22.5" customHeight="1">
      <c r="A2339" s="6" t="s">
        <v>15829</v>
      </c>
      <c r="B2339" s="6" t="s">
        <v>15830</v>
      </c>
      <c r="C2339" s="6" t="s">
        <v>15831</v>
      </c>
      <c r="D2339" s="6" t="s">
        <v>206</v>
      </c>
      <c r="E2339" s="6" t="s">
        <v>301</v>
      </c>
      <c r="F2339" s="8">
        <v>50.0</v>
      </c>
      <c r="G2339" s="9">
        <v>786.81</v>
      </c>
      <c r="H2339" s="9">
        <v>6275.82</v>
      </c>
      <c r="I2339" s="6" t="s">
        <v>161</v>
      </c>
      <c r="J2339" s="6" t="s">
        <v>465</v>
      </c>
      <c r="K2339" s="6" t="s">
        <v>15832</v>
      </c>
      <c r="L2339" s="6">
        <v>2.6141522575E10</v>
      </c>
      <c r="M2339" s="6" t="s">
        <v>15833</v>
      </c>
      <c r="N2339" s="6" t="s">
        <v>283</v>
      </c>
      <c r="O2339" s="6" t="s">
        <v>178</v>
      </c>
      <c r="P2339" s="10">
        <v>46030.0</v>
      </c>
    </row>
    <row r="2340" ht="22.5" customHeight="1">
      <c r="A2340" s="6" t="s">
        <v>15835</v>
      </c>
      <c r="B2340" s="6" t="s">
        <v>15836</v>
      </c>
      <c r="C2340" s="6" t="s">
        <v>15837</v>
      </c>
      <c r="D2340" s="6" t="s">
        <v>206</v>
      </c>
      <c r="E2340" s="6" t="s">
        <v>301</v>
      </c>
      <c r="F2340" s="8">
        <v>53.0</v>
      </c>
      <c r="G2340" s="9">
        <v>556.36</v>
      </c>
      <c r="H2340" s="9">
        <v>11014.11</v>
      </c>
      <c r="I2340" s="6" t="s">
        <v>161</v>
      </c>
      <c r="J2340" s="6" t="s">
        <v>442</v>
      </c>
      <c r="K2340" s="6" t="s">
        <v>15838</v>
      </c>
      <c r="L2340" s="6">
        <v>8.9833051292E10</v>
      </c>
      <c r="M2340" s="6" t="s">
        <v>15839</v>
      </c>
      <c r="N2340" s="6" t="s">
        <v>176</v>
      </c>
      <c r="O2340" s="6" t="s">
        <v>178</v>
      </c>
      <c r="P2340" s="10">
        <v>45938.0</v>
      </c>
    </row>
    <row r="2341" ht="22.5" customHeight="1">
      <c r="A2341" s="6" t="s">
        <v>15841</v>
      </c>
      <c r="B2341" s="6" t="s">
        <v>15842</v>
      </c>
      <c r="C2341" s="6" t="s">
        <v>15843</v>
      </c>
      <c r="D2341" s="6" t="s">
        <v>206</v>
      </c>
      <c r="E2341" s="6" t="s">
        <v>301</v>
      </c>
      <c r="F2341" s="8">
        <v>59.0</v>
      </c>
      <c r="G2341" s="9">
        <v>1190.72</v>
      </c>
      <c r="H2341" s="9">
        <v>11120.76</v>
      </c>
      <c r="I2341" s="6" t="s">
        <v>161</v>
      </c>
      <c r="J2341" s="6" t="s">
        <v>163</v>
      </c>
      <c r="K2341" s="6" t="s">
        <v>15845</v>
      </c>
      <c r="L2341" s="6">
        <v>2.0764460509E10</v>
      </c>
      <c r="M2341" s="6" t="s">
        <v>15846</v>
      </c>
      <c r="N2341" s="6" t="s">
        <v>427</v>
      </c>
      <c r="O2341" s="6" t="s">
        <v>178</v>
      </c>
      <c r="P2341" s="10">
        <v>46046.0</v>
      </c>
    </row>
    <row r="2342" ht="22.5" customHeight="1">
      <c r="A2342" s="6" t="s">
        <v>15847</v>
      </c>
      <c r="B2342" s="6" t="s">
        <v>15848</v>
      </c>
      <c r="C2342" s="6" t="s">
        <v>15849</v>
      </c>
      <c r="D2342" s="6" t="s">
        <v>145</v>
      </c>
      <c r="E2342" s="6" t="s">
        <v>147</v>
      </c>
      <c r="F2342" s="8">
        <v>27.0</v>
      </c>
      <c r="G2342" s="9">
        <v>1159.76</v>
      </c>
      <c r="H2342" s="9">
        <v>6312.91</v>
      </c>
      <c r="I2342" s="6" t="s">
        <v>161</v>
      </c>
      <c r="J2342" s="6" t="s">
        <v>442</v>
      </c>
      <c r="K2342" s="6" t="s">
        <v>15851</v>
      </c>
      <c r="L2342" s="6">
        <v>9.2212712148E10</v>
      </c>
      <c r="M2342" s="6" t="s">
        <v>15852</v>
      </c>
      <c r="N2342" s="6" t="s">
        <v>259</v>
      </c>
      <c r="O2342" s="6" t="s">
        <v>178</v>
      </c>
      <c r="P2342" s="10">
        <v>46037.0</v>
      </c>
    </row>
    <row r="2343" ht="22.5" customHeight="1">
      <c r="A2343" s="6" t="s">
        <v>15853</v>
      </c>
      <c r="B2343" s="6" t="s">
        <v>15854</v>
      </c>
      <c r="C2343" s="6" t="s">
        <v>15855</v>
      </c>
      <c r="D2343" s="6" t="s">
        <v>206</v>
      </c>
      <c r="E2343" s="6" t="s">
        <v>147</v>
      </c>
      <c r="F2343" s="8">
        <v>5.0</v>
      </c>
      <c r="G2343" s="9">
        <v>1468.29</v>
      </c>
      <c r="H2343" s="9">
        <v>13894.02</v>
      </c>
      <c r="I2343" s="6" t="s">
        <v>161</v>
      </c>
      <c r="J2343" s="6" t="s">
        <v>479</v>
      </c>
      <c r="K2343" s="6" t="s">
        <v>259</v>
      </c>
      <c r="L2343" s="6">
        <v>2.001562958E10</v>
      </c>
      <c r="M2343" s="6" t="s">
        <v>15857</v>
      </c>
      <c r="N2343" s="6" t="s">
        <v>259</v>
      </c>
      <c r="O2343" s="6" t="s">
        <v>178</v>
      </c>
      <c r="P2343" s="10">
        <v>45970.0</v>
      </c>
    </row>
    <row r="2344" ht="22.5" customHeight="1">
      <c r="A2344" s="6" t="s">
        <v>15859</v>
      </c>
      <c r="B2344" s="6" t="s">
        <v>15860</v>
      </c>
      <c r="C2344" s="6" t="s">
        <v>15861</v>
      </c>
      <c r="D2344" s="6" t="s">
        <v>206</v>
      </c>
      <c r="E2344" s="6" t="s">
        <v>147</v>
      </c>
      <c r="F2344" s="8">
        <v>16.0</v>
      </c>
      <c r="G2344" s="9">
        <v>1143.9</v>
      </c>
      <c r="H2344" s="9">
        <v>8567.67</v>
      </c>
      <c r="I2344" s="6" t="s">
        <v>161</v>
      </c>
      <c r="J2344" s="6" t="s">
        <v>479</v>
      </c>
      <c r="K2344" s="6" t="s">
        <v>15863</v>
      </c>
      <c r="L2344" s="6">
        <v>7.9027278312E10</v>
      </c>
      <c r="M2344" s="6" t="s">
        <v>15864</v>
      </c>
      <c r="N2344" s="6" t="s">
        <v>176</v>
      </c>
      <c r="O2344" s="6" t="s">
        <v>178</v>
      </c>
      <c r="P2344" s="10">
        <v>45948.0</v>
      </c>
    </row>
    <row r="2345" ht="22.5" customHeight="1">
      <c r="A2345" s="6" t="s">
        <v>15866</v>
      </c>
      <c r="B2345" s="6" t="s">
        <v>15867</v>
      </c>
      <c r="C2345" s="6" t="s">
        <v>15868</v>
      </c>
      <c r="D2345" s="6" t="s">
        <v>145</v>
      </c>
      <c r="E2345" s="6" t="s">
        <v>147</v>
      </c>
      <c r="F2345" s="8">
        <v>9.0</v>
      </c>
      <c r="G2345" s="9">
        <v>1123.57</v>
      </c>
      <c r="H2345" s="9">
        <v>7057.99</v>
      </c>
      <c r="I2345" s="6" t="s">
        <v>161</v>
      </c>
      <c r="J2345" s="6" t="s">
        <v>228</v>
      </c>
      <c r="K2345" s="6" t="s">
        <v>15869</v>
      </c>
      <c r="L2345" s="6">
        <v>6.8274580706E10</v>
      </c>
      <c r="M2345" s="6" t="s">
        <v>15870</v>
      </c>
      <c r="N2345" s="6" t="s">
        <v>112</v>
      </c>
      <c r="O2345" s="6" t="s">
        <v>178</v>
      </c>
      <c r="P2345" s="10">
        <v>46015.0</v>
      </c>
    </row>
    <row r="2346" ht="22.5" customHeight="1">
      <c r="A2346" s="6" t="s">
        <v>15872</v>
      </c>
      <c r="B2346" s="6" t="s">
        <v>15873</v>
      </c>
      <c r="C2346" s="6" t="s">
        <v>15874</v>
      </c>
      <c r="D2346" s="6" t="s">
        <v>206</v>
      </c>
      <c r="E2346" s="6" t="s">
        <v>210</v>
      </c>
      <c r="F2346" s="8">
        <v>105.0</v>
      </c>
      <c r="G2346" s="9">
        <v>1244.61</v>
      </c>
      <c r="H2346" s="9">
        <v>14462.31</v>
      </c>
      <c r="I2346" s="6" t="s">
        <v>161</v>
      </c>
      <c r="J2346" s="6" t="s">
        <v>421</v>
      </c>
      <c r="K2346" s="6" t="s">
        <v>15876</v>
      </c>
      <c r="L2346" s="6">
        <v>8.4354388118E10</v>
      </c>
      <c r="M2346" s="6" t="s">
        <v>15877</v>
      </c>
      <c r="N2346" s="6" t="s">
        <v>283</v>
      </c>
      <c r="O2346" s="6" t="s">
        <v>161</v>
      </c>
      <c r="P2346" s="10">
        <v>45965.0</v>
      </c>
    </row>
    <row r="2347" ht="22.5" customHeight="1">
      <c r="A2347" s="6" t="s">
        <v>15878</v>
      </c>
      <c r="B2347" s="6" t="s">
        <v>15879</v>
      </c>
      <c r="C2347" s="6" t="s">
        <v>15880</v>
      </c>
      <c r="D2347" s="6" t="s">
        <v>206</v>
      </c>
      <c r="E2347" s="6" t="s">
        <v>147</v>
      </c>
      <c r="F2347" s="8">
        <v>27.0</v>
      </c>
      <c r="G2347" s="9">
        <v>1663.05</v>
      </c>
      <c r="H2347" s="9">
        <v>9594.3</v>
      </c>
      <c r="I2347" s="6" t="s">
        <v>161</v>
      </c>
      <c r="J2347" s="6" t="s">
        <v>312</v>
      </c>
      <c r="K2347" s="6" t="s">
        <v>15882</v>
      </c>
      <c r="L2347" s="6">
        <v>3.3382336229E10</v>
      </c>
      <c r="M2347" s="6" t="s">
        <v>15883</v>
      </c>
      <c r="N2347" s="6" t="s">
        <v>427</v>
      </c>
      <c r="O2347" s="6" t="s">
        <v>178</v>
      </c>
      <c r="P2347" s="10">
        <v>45983.0</v>
      </c>
    </row>
    <row r="2348" ht="22.5" customHeight="1">
      <c r="A2348" s="6" t="s">
        <v>15884</v>
      </c>
      <c r="B2348" s="6" t="s">
        <v>15885</v>
      </c>
      <c r="C2348" s="6" t="s">
        <v>15886</v>
      </c>
      <c r="D2348" s="6" t="s">
        <v>206</v>
      </c>
      <c r="E2348" s="6" t="s">
        <v>210</v>
      </c>
      <c r="F2348" s="8">
        <v>91.0</v>
      </c>
      <c r="G2348" s="9">
        <v>1408.84</v>
      </c>
      <c r="H2348" s="9">
        <v>8655.1</v>
      </c>
      <c r="I2348" s="6" t="s">
        <v>161</v>
      </c>
      <c r="J2348" s="6" t="s">
        <v>312</v>
      </c>
      <c r="K2348" s="6" t="s">
        <v>15888</v>
      </c>
      <c r="L2348" s="6" t="s">
        <v>259</v>
      </c>
      <c r="M2348" s="6" t="s">
        <v>15889</v>
      </c>
      <c r="N2348" s="6" t="s">
        <v>176</v>
      </c>
      <c r="O2348" s="6" t="s">
        <v>161</v>
      </c>
      <c r="P2348" s="10">
        <v>46032.0</v>
      </c>
    </row>
    <row r="2349" ht="22.5" customHeight="1">
      <c r="A2349" s="6" t="s">
        <v>15890</v>
      </c>
      <c r="B2349" s="6" t="s">
        <v>15891</v>
      </c>
      <c r="C2349" s="6" t="s">
        <v>15893</v>
      </c>
      <c r="D2349" s="6" t="s">
        <v>145</v>
      </c>
      <c r="E2349" s="6" t="s">
        <v>210</v>
      </c>
      <c r="F2349" s="8">
        <v>70.0</v>
      </c>
      <c r="G2349" s="9">
        <v>1706.14</v>
      </c>
      <c r="H2349" s="9">
        <v>15450.17</v>
      </c>
      <c r="I2349" s="6" t="s">
        <v>161</v>
      </c>
      <c r="J2349" s="6" t="s">
        <v>2502</v>
      </c>
      <c r="K2349" s="6" t="s">
        <v>15894</v>
      </c>
      <c r="L2349" s="6">
        <v>2.3743383614E10</v>
      </c>
      <c r="M2349" s="6" t="s">
        <v>15895</v>
      </c>
      <c r="N2349" s="6" t="s">
        <v>427</v>
      </c>
      <c r="O2349" s="6" t="s">
        <v>161</v>
      </c>
      <c r="P2349" s="10">
        <v>46043.0</v>
      </c>
    </row>
    <row r="2350" ht="22.5" customHeight="1">
      <c r="A2350" s="6" t="s">
        <v>15897</v>
      </c>
      <c r="B2350" s="6" t="s">
        <v>15898</v>
      </c>
      <c r="C2350" s="6" t="s">
        <v>15899</v>
      </c>
      <c r="D2350" s="6" t="s">
        <v>383</v>
      </c>
      <c r="E2350" s="6" t="s">
        <v>301</v>
      </c>
      <c r="F2350" s="8">
        <v>58.0</v>
      </c>
      <c r="G2350" s="9">
        <v>1254.13</v>
      </c>
      <c r="H2350" s="9">
        <v>12869.78</v>
      </c>
      <c r="I2350" s="6" t="s">
        <v>161</v>
      </c>
      <c r="J2350" s="6" t="s">
        <v>228</v>
      </c>
      <c r="K2350" s="6" t="s">
        <v>15901</v>
      </c>
      <c r="L2350" s="6">
        <v>2.9110854343E10</v>
      </c>
      <c r="M2350" s="6" t="s">
        <v>15902</v>
      </c>
      <c r="N2350" s="6" t="s">
        <v>259</v>
      </c>
      <c r="O2350" s="6" t="s">
        <v>178</v>
      </c>
      <c r="P2350" s="10">
        <v>45966.0</v>
      </c>
    </row>
    <row r="2351" ht="22.5" customHeight="1">
      <c r="A2351" s="6" t="s">
        <v>15903</v>
      </c>
      <c r="B2351" s="6" t="s">
        <v>15905</v>
      </c>
      <c r="C2351" s="6" t="s">
        <v>15906</v>
      </c>
      <c r="D2351" s="6" t="s">
        <v>145</v>
      </c>
      <c r="E2351" s="6" t="s">
        <v>147</v>
      </c>
      <c r="F2351" s="8">
        <v>25.0</v>
      </c>
      <c r="G2351" s="9">
        <v>211.51</v>
      </c>
      <c r="H2351" s="9">
        <v>1882.44</v>
      </c>
      <c r="I2351" s="6" t="s">
        <v>161</v>
      </c>
      <c r="J2351" s="6" t="s">
        <v>259</v>
      </c>
      <c r="K2351" s="6" t="s">
        <v>15907</v>
      </c>
      <c r="L2351" s="6">
        <v>1.1369259685E10</v>
      </c>
      <c r="M2351" s="6" t="s">
        <v>15908</v>
      </c>
      <c r="N2351" s="6" t="s">
        <v>112</v>
      </c>
      <c r="O2351" s="6" t="s">
        <v>4031</v>
      </c>
      <c r="P2351" s="10">
        <v>46037.0</v>
      </c>
    </row>
    <row r="2352" ht="22.5" customHeight="1">
      <c r="A2352" s="6" t="s">
        <v>15910</v>
      </c>
      <c r="B2352" s="6" t="s">
        <v>15911</v>
      </c>
      <c r="C2352" s="6" t="s">
        <v>15912</v>
      </c>
      <c r="D2352" s="6" t="s">
        <v>383</v>
      </c>
      <c r="E2352" s="6" t="s">
        <v>147</v>
      </c>
      <c r="F2352" s="8">
        <v>14.0</v>
      </c>
      <c r="G2352" s="9">
        <v>89.9</v>
      </c>
      <c r="H2352" s="9">
        <v>7514.96</v>
      </c>
      <c r="I2352" s="6" t="s">
        <v>161</v>
      </c>
      <c r="J2352" s="6" t="s">
        <v>1229</v>
      </c>
      <c r="K2352" s="6" t="s">
        <v>15914</v>
      </c>
      <c r="L2352" s="6">
        <v>3.8316135579E10</v>
      </c>
      <c r="M2352" s="6" t="s">
        <v>15915</v>
      </c>
      <c r="N2352" s="6" t="s">
        <v>283</v>
      </c>
      <c r="O2352" s="6" t="s">
        <v>178</v>
      </c>
      <c r="P2352" s="10">
        <v>45983.0</v>
      </c>
    </row>
    <row r="2353" ht="22.5" customHeight="1">
      <c r="A2353" s="6" t="s">
        <v>15916</v>
      </c>
      <c r="B2353" s="6" t="s">
        <v>15917</v>
      </c>
      <c r="C2353" s="6" t="s">
        <v>15919</v>
      </c>
      <c r="D2353" s="6" t="s">
        <v>383</v>
      </c>
      <c r="E2353" s="6" t="s">
        <v>147</v>
      </c>
      <c r="F2353" s="8">
        <v>13.0</v>
      </c>
      <c r="G2353" s="9">
        <v>932.83</v>
      </c>
      <c r="H2353" s="9">
        <v>4853.87</v>
      </c>
      <c r="I2353" s="6" t="s">
        <v>161</v>
      </c>
      <c r="J2353" s="6" t="s">
        <v>465</v>
      </c>
      <c r="K2353" s="6" t="s">
        <v>259</v>
      </c>
      <c r="L2353" s="6">
        <v>7.7584381816E10</v>
      </c>
      <c r="M2353" s="6" t="s">
        <v>15920</v>
      </c>
      <c r="N2353" s="6" t="s">
        <v>427</v>
      </c>
      <c r="O2353" s="6" t="s">
        <v>178</v>
      </c>
      <c r="P2353" s="10">
        <v>46040.0</v>
      </c>
    </row>
    <row r="2354" ht="22.5" customHeight="1">
      <c r="A2354" s="6" t="s">
        <v>15922</v>
      </c>
      <c r="B2354" s="6" t="s">
        <v>15923</v>
      </c>
      <c r="C2354" s="6" t="s">
        <v>15924</v>
      </c>
      <c r="D2354" s="6" t="s">
        <v>206</v>
      </c>
      <c r="E2354" s="6" t="s">
        <v>301</v>
      </c>
      <c r="F2354" s="8">
        <v>55.0</v>
      </c>
      <c r="G2354" s="9">
        <v>1072.55</v>
      </c>
      <c r="H2354" s="9">
        <v>8209.58</v>
      </c>
      <c r="I2354" s="6" t="s">
        <v>161</v>
      </c>
      <c r="J2354" s="6" t="s">
        <v>442</v>
      </c>
      <c r="K2354" s="6" t="s">
        <v>15926</v>
      </c>
      <c r="L2354" s="6">
        <v>7.1892243739E10</v>
      </c>
      <c r="M2354" s="6" t="s">
        <v>15927</v>
      </c>
      <c r="N2354" s="6" t="s">
        <v>259</v>
      </c>
      <c r="O2354" s="6" t="s">
        <v>178</v>
      </c>
      <c r="P2354" s="10">
        <v>46045.0</v>
      </c>
    </row>
    <row r="2355" ht="22.5" customHeight="1">
      <c r="A2355" s="6" t="s">
        <v>15929</v>
      </c>
      <c r="B2355" s="6" t="s">
        <v>15930</v>
      </c>
      <c r="C2355" s="6" t="s">
        <v>15932</v>
      </c>
      <c r="D2355" s="6" t="s">
        <v>145</v>
      </c>
      <c r="E2355" s="6" t="s">
        <v>147</v>
      </c>
      <c r="F2355" s="8">
        <v>10.0</v>
      </c>
      <c r="G2355" s="9">
        <v>1051.35</v>
      </c>
      <c r="H2355" s="9">
        <v>4632.02</v>
      </c>
      <c r="I2355" s="6" t="s">
        <v>161</v>
      </c>
      <c r="J2355" s="6" t="s">
        <v>163</v>
      </c>
      <c r="K2355" s="6" t="s">
        <v>15934</v>
      </c>
      <c r="L2355" s="6">
        <v>4.9893569948E10</v>
      </c>
      <c r="M2355" s="6" t="s">
        <v>15935</v>
      </c>
      <c r="N2355" s="6" t="s">
        <v>259</v>
      </c>
      <c r="O2355" s="6" t="s">
        <v>178</v>
      </c>
      <c r="P2355" s="10">
        <v>45989.0</v>
      </c>
    </row>
    <row r="2356" ht="22.5" customHeight="1">
      <c r="A2356" s="6" t="s">
        <v>15937</v>
      </c>
      <c r="B2356" s="6" t="s">
        <v>15938</v>
      </c>
      <c r="C2356" s="6" t="s">
        <v>15939</v>
      </c>
      <c r="D2356" s="6" t="s">
        <v>383</v>
      </c>
      <c r="E2356" s="6" t="s">
        <v>301</v>
      </c>
      <c r="F2356" s="8">
        <v>33.0</v>
      </c>
      <c r="G2356" s="9">
        <v>349.63</v>
      </c>
      <c r="H2356" s="9">
        <v>10838.29</v>
      </c>
      <c r="I2356" s="6" t="s">
        <v>161</v>
      </c>
      <c r="J2356" s="6" t="s">
        <v>421</v>
      </c>
      <c r="K2356" s="6" t="s">
        <v>15942</v>
      </c>
      <c r="L2356" s="6">
        <v>9.375605507E10</v>
      </c>
      <c r="M2356" s="6" t="s">
        <v>15943</v>
      </c>
      <c r="N2356" s="6" t="s">
        <v>176</v>
      </c>
      <c r="O2356" s="6" t="s">
        <v>178</v>
      </c>
      <c r="P2356" s="10">
        <v>46025.0</v>
      </c>
    </row>
    <row r="2357" ht="22.5" customHeight="1">
      <c r="A2357" s="6" t="s">
        <v>15945</v>
      </c>
      <c r="B2357" s="6" t="s">
        <v>15946</v>
      </c>
      <c r="C2357" s="6" t="s">
        <v>15947</v>
      </c>
      <c r="D2357" s="6" t="s">
        <v>383</v>
      </c>
      <c r="E2357" s="6" t="s">
        <v>301</v>
      </c>
      <c r="F2357" s="8">
        <v>46.0</v>
      </c>
      <c r="G2357" s="9">
        <v>780.02</v>
      </c>
      <c r="H2357" s="9">
        <v>10773.84</v>
      </c>
      <c r="I2357" s="6" t="s">
        <v>178</v>
      </c>
      <c r="J2357" s="6" t="s">
        <v>465</v>
      </c>
      <c r="K2357" s="6" t="s">
        <v>15950</v>
      </c>
      <c r="L2357" s="6">
        <v>5.2825480773E10</v>
      </c>
      <c r="M2357" s="6" t="s">
        <v>15951</v>
      </c>
      <c r="N2357" s="6" t="s">
        <v>176</v>
      </c>
      <c r="O2357" s="6" t="s">
        <v>161</v>
      </c>
      <c r="P2357" s="10">
        <v>45967.0</v>
      </c>
    </row>
    <row r="2358" ht="22.5" customHeight="1">
      <c r="A2358" s="6" t="s">
        <v>15953</v>
      </c>
      <c r="B2358" s="6" t="s">
        <v>15954</v>
      </c>
      <c r="C2358" s="6" t="s">
        <v>15955</v>
      </c>
      <c r="D2358" s="6" t="s">
        <v>383</v>
      </c>
      <c r="E2358" s="6" t="s">
        <v>147</v>
      </c>
      <c r="F2358" s="8">
        <v>29.0</v>
      </c>
      <c r="G2358" s="9">
        <v>1651.11</v>
      </c>
      <c r="H2358" s="9">
        <v>4892.97</v>
      </c>
      <c r="I2358" s="6" t="s">
        <v>161</v>
      </c>
      <c r="J2358" s="6" t="s">
        <v>465</v>
      </c>
      <c r="K2358" s="6" t="s">
        <v>15957</v>
      </c>
      <c r="L2358" s="6">
        <v>2.7434221849E10</v>
      </c>
      <c r="M2358" s="6" t="s">
        <v>15959</v>
      </c>
      <c r="N2358" s="6" t="s">
        <v>259</v>
      </c>
      <c r="O2358" s="6" t="s">
        <v>178</v>
      </c>
      <c r="P2358" s="10">
        <v>45981.0</v>
      </c>
    </row>
    <row r="2359" ht="22.5" customHeight="1">
      <c r="A2359" s="6" t="s">
        <v>15961</v>
      </c>
      <c r="B2359" s="6" t="s">
        <v>15962</v>
      </c>
      <c r="C2359" s="6" t="s">
        <v>15963</v>
      </c>
      <c r="D2359" s="6" t="s">
        <v>206</v>
      </c>
      <c r="E2359" s="6" t="s">
        <v>301</v>
      </c>
      <c r="F2359" s="8">
        <v>54.0</v>
      </c>
      <c r="G2359" s="9">
        <v>586.78</v>
      </c>
      <c r="H2359" s="9">
        <v>7939.67</v>
      </c>
      <c r="I2359" s="6" t="s">
        <v>161</v>
      </c>
      <c r="J2359" s="6" t="s">
        <v>577</v>
      </c>
      <c r="K2359" s="6" t="s">
        <v>15965</v>
      </c>
      <c r="L2359" s="6">
        <v>5.007630543E10</v>
      </c>
      <c r="M2359" s="6" t="s">
        <v>15966</v>
      </c>
      <c r="N2359" s="6" t="s">
        <v>112</v>
      </c>
      <c r="O2359" s="6" t="s">
        <v>178</v>
      </c>
      <c r="P2359" s="10">
        <v>45938.0</v>
      </c>
    </row>
    <row r="2360" ht="22.5" customHeight="1">
      <c r="A2360" s="6" t="s">
        <v>15967</v>
      </c>
      <c r="B2360" s="6" t="s">
        <v>15969</v>
      </c>
      <c r="C2360" s="6" t="s">
        <v>15970</v>
      </c>
      <c r="D2360" s="6" t="s">
        <v>145</v>
      </c>
      <c r="E2360" s="6" t="s">
        <v>301</v>
      </c>
      <c r="F2360" s="8">
        <v>31.0</v>
      </c>
      <c r="G2360" s="9">
        <v>141.91</v>
      </c>
      <c r="H2360" s="9">
        <v>9561.83</v>
      </c>
      <c r="I2360" s="6" t="s">
        <v>178</v>
      </c>
      <c r="J2360" s="6" t="s">
        <v>479</v>
      </c>
      <c r="K2360" s="6" t="s">
        <v>259</v>
      </c>
      <c r="L2360" s="6">
        <v>5.6865958978E10</v>
      </c>
      <c r="M2360" s="6" t="s">
        <v>15971</v>
      </c>
      <c r="N2360" s="6" t="s">
        <v>259</v>
      </c>
      <c r="O2360" s="6" t="s">
        <v>161</v>
      </c>
      <c r="P2360" s="10">
        <v>45934.0</v>
      </c>
    </row>
    <row r="2361" ht="22.5" customHeight="1">
      <c r="A2361" s="6" t="s">
        <v>15973</v>
      </c>
      <c r="B2361" s="6" t="s">
        <v>15974</v>
      </c>
      <c r="C2361" s="6" t="s">
        <v>15975</v>
      </c>
      <c r="D2361" s="6" t="s">
        <v>145</v>
      </c>
      <c r="E2361" s="6" t="s">
        <v>147</v>
      </c>
      <c r="F2361" s="8">
        <v>26.0</v>
      </c>
      <c r="G2361" s="9">
        <v>226.78</v>
      </c>
      <c r="H2361" s="9">
        <v>3249.88</v>
      </c>
      <c r="I2361" s="6" t="s">
        <v>161</v>
      </c>
      <c r="J2361" s="6" t="s">
        <v>357</v>
      </c>
      <c r="K2361" s="6" t="s">
        <v>15977</v>
      </c>
      <c r="L2361" s="6">
        <v>3.0811117502E10</v>
      </c>
      <c r="M2361" s="6" t="s">
        <v>15978</v>
      </c>
      <c r="N2361" s="6" t="s">
        <v>259</v>
      </c>
      <c r="O2361" s="6" t="s">
        <v>178</v>
      </c>
      <c r="P2361" s="10">
        <v>45968.0</v>
      </c>
    </row>
    <row r="2362" ht="22.5" customHeight="1">
      <c r="A2362" s="6" t="s">
        <v>15979</v>
      </c>
      <c r="B2362" s="6" t="s">
        <v>15980</v>
      </c>
      <c r="C2362" s="6" t="s">
        <v>15981</v>
      </c>
      <c r="D2362" s="6" t="s">
        <v>145</v>
      </c>
      <c r="E2362" s="6" t="s">
        <v>147</v>
      </c>
      <c r="F2362" s="8">
        <v>14.0</v>
      </c>
      <c r="G2362" s="9">
        <v>439.26</v>
      </c>
      <c r="H2362" s="9">
        <v>11340.81</v>
      </c>
      <c r="I2362" s="6" t="s">
        <v>161</v>
      </c>
      <c r="J2362" s="6" t="s">
        <v>357</v>
      </c>
      <c r="K2362" s="6" t="s">
        <v>15983</v>
      </c>
      <c r="L2362" s="6">
        <v>7.3057619587E10</v>
      </c>
      <c r="M2362" s="6" t="s">
        <v>15984</v>
      </c>
      <c r="N2362" s="6" t="s">
        <v>176</v>
      </c>
      <c r="O2362" s="6" t="s">
        <v>178</v>
      </c>
      <c r="P2362" s="10">
        <v>45945.0</v>
      </c>
    </row>
    <row r="2363" ht="22.5" customHeight="1">
      <c r="A2363" s="6" t="s">
        <v>15985</v>
      </c>
      <c r="B2363" s="6" t="s">
        <v>15987</v>
      </c>
      <c r="C2363" s="6" t="s">
        <v>15988</v>
      </c>
      <c r="D2363" s="6" t="s">
        <v>383</v>
      </c>
      <c r="E2363" s="6" t="s">
        <v>147</v>
      </c>
      <c r="F2363" s="8">
        <v>26.0</v>
      </c>
      <c r="G2363" s="9">
        <v>1639.84</v>
      </c>
      <c r="H2363" s="9">
        <v>4820.09</v>
      </c>
      <c r="I2363" s="6" t="s">
        <v>161</v>
      </c>
      <c r="J2363" s="6" t="s">
        <v>163</v>
      </c>
      <c r="K2363" s="6" t="s">
        <v>15989</v>
      </c>
      <c r="L2363" s="6">
        <v>5.362025017E9</v>
      </c>
      <c r="M2363" s="6" t="s">
        <v>15990</v>
      </c>
      <c r="N2363" s="6" t="s">
        <v>259</v>
      </c>
      <c r="O2363" s="6" t="s">
        <v>178</v>
      </c>
      <c r="P2363" s="10">
        <v>46034.0</v>
      </c>
    </row>
    <row r="2364" ht="22.5" customHeight="1">
      <c r="A2364" s="6" t="s">
        <v>15991</v>
      </c>
      <c r="B2364" s="6" t="s">
        <v>15993</v>
      </c>
      <c r="C2364" s="6" t="s">
        <v>15994</v>
      </c>
      <c r="D2364" s="6" t="s">
        <v>145</v>
      </c>
      <c r="E2364" s="6" t="s">
        <v>147</v>
      </c>
      <c r="F2364" s="8">
        <v>11.0</v>
      </c>
      <c r="G2364" s="9">
        <v>188.83</v>
      </c>
      <c r="H2364" s="9">
        <v>674.44</v>
      </c>
      <c r="I2364" s="6" t="s">
        <v>161</v>
      </c>
      <c r="J2364" s="6" t="s">
        <v>479</v>
      </c>
      <c r="K2364" s="6" t="s">
        <v>15126</v>
      </c>
      <c r="L2364" s="6">
        <v>2.125922013E10</v>
      </c>
      <c r="M2364" s="6" t="s">
        <v>15995</v>
      </c>
      <c r="N2364" s="6" t="s">
        <v>112</v>
      </c>
      <c r="O2364" s="6" t="s">
        <v>178</v>
      </c>
      <c r="P2364" s="10">
        <v>46036.0</v>
      </c>
    </row>
    <row r="2365" ht="22.5" customHeight="1">
      <c r="A2365" s="6" t="s">
        <v>15997</v>
      </c>
      <c r="B2365" s="6" t="s">
        <v>15998</v>
      </c>
      <c r="C2365" s="6" t="s">
        <v>15999</v>
      </c>
      <c r="D2365" s="6" t="s">
        <v>145</v>
      </c>
      <c r="E2365" s="6" t="s">
        <v>147</v>
      </c>
      <c r="F2365" s="8">
        <v>26.0</v>
      </c>
      <c r="G2365" s="9">
        <v>1254.29</v>
      </c>
      <c r="H2365" s="9">
        <v>2453.88</v>
      </c>
      <c r="I2365" s="6" t="s">
        <v>161</v>
      </c>
      <c r="J2365" s="6" t="s">
        <v>1693</v>
      </c>
      <c r="K2365" s="6" t="s">
        <v>16001</v>
      </c>
      <c r="L2365" s="6">
        <v>5.8403640446E10</v>
      </c>
      <c r="M2365" s="6" t="s">
        <v>16002</v>
      </c>
      <c r="N2365" s="6" t="s">
        <v>427</v>
      </c>
      <c r="O2365" s="6" t="s">
        <v>178</v>
      </c>
      <c r="P2365" s="10">
        <v>45998.0</v>
      </c>
    </row>
    <row r="2366" ht="22.5" customHeight="1">
      <c r="A2366" s="6" t="s">
        <v>16003</v>
      </c>
      <c r="B2366" s="6" t="s">
        <v>16004</v>
      </c>
      <c r="C2366" s="6" t="s">
        <v>16005</v>
      </c>
      <c r="D2366" s="6" t="s">
        <v>206</v>
      </c>
      <c r="E2366" s="6" t="s">
        <v>301</v>
      </c>
      <c r="F2366" s="8">
        <v>42.0</v>
      </c>
      <c r="G2366" s="9">
        <v>1681.87</v>
      </c>
      <c r="H2366" s="9">
        <v>3991.09</v>
      </c>
      <c r="I2366" s="6" t="s">
        <v>161</v>
      </c>
      <c r="J2366" s="6" t="s">
        <v>312</v>
      </c>
      <c r="K2366" s="6" t="s">
        <v>16006</v>
      </c>
      <c r="L2366" s="6">
        <v>7.6764637862E10</v>
      </c>
      <c r="M2366" s="6" t="s">
        <v>16008</v>
      </c>
      <c r="N2366" s="6" t="s">
        <v>259</v>
      </c>
      <c r="O2366" s="6" t="s">
        <v>178</v>
      </c>
      <c r="P2366" s="10">
        <v>46041.0</v>
      </c>
    </row>
    <row r="2367" ht="22.5" customHeight="1">
      <c r="A2367" s="6" t="s">
        <v>16009</v>
      </c>
      <c r="B2367" s="6" t="s">
        <v>16010</v>
      </c>
      <c r="C2367" s="6" t="s">
        <v>16011</v>
      </c>
      <c r="D2367" s="6" t="s">
        <v>206</v>
      </c>
      <c r="E2367" s="6" t="s">
        <v>301</v>
      </c>
      <c r="F2367" s="8">
        <v>55.0</v>
      </c>
      <c r="G2367" s="9">
        <v>556.41</v>
      </c>
      <c r="H2367" s="9">
        <v>9250.58</v>
      </c>
      <c r="I2367" s="6" t="s">
        <v>161</v>
      </c>
      <c r="J2367" s="6" t="s">
        <v>577</v>
      </c>
      <c r="K2367" s="6" t="s">
        <v>259</v>
      </c>
      <c r="L2367" s="6">
        <v>4.4720534374E10</v>
      </c>
      <c r="M2367" s="6" t="s">
        <v>16013</v>
      </c>
      <c r="N2367" s="6" t="s">
        <v>427</v>
      </c>
      <c r="O2367" s="6" t="s">
        <v>178</v>
      </c>
      <c r="P2367" s="10">
        <v>46046.0</v>
      </c>
    </row>
    <row r="2368" ht="22.5" customHeight="1">
      <c r="A2368" s="6" t="s">
        <v>16014</v>
      </c>
      <c r="B2368" s="6" t="s">
        <v>16015</v>
      </c>
      <c r="C2368" s="6" t="s">
        <v>16016</v>
      </c>
      <c r="D2368" s="6" t="s">
        <v>206</v>
      </c>
      <c r="E2368" s="6" t="s">
        <v>147</v>
      </c>
      <c r="F2368" s="8">
        <v>6.0</v>
      </c>
      <c r="G2368" s="9">
        <v>944.67</v>
      </c>
      <c r="H2368" s="9">
        <v>3263.85</v>
      </c>
      <c r="I2368" s="6" t="s">
        <v>161</v>
      </c>
      <c r="J2368" s="6" t="s">
        <v>228</v>
      </c>
      <c r="K2368" s="6" t="s">
        <v>16018</v>
      </c>
      <c r="L2368" s="6">
        <v>6.8280381671E10</v>
      </c>
      <c r="M2368" s="6" t="s">
        <v>16019</v>
      </c>
      <c r="N2368" s="6" t="s">
        <v>283</v>
      </c>
      <c r="O2368" s="6" t="s">
        <v>178</v>
      </c>
      <c r="P2368" s="10">
        <v>46040.0</v>
      </c>
    </row>
    <row r="2369" ht="22.5" customHeight="1">
      <c r="A2369" s="6" t="s">
        <v>16021</v>
      </c>
      <c r="B2369" s="6" t="s">
        <v>16022</v>
      </c>
      <c r="C2369" s="6" t="s">
        <v>16023</v>
      </c>
      <c r="D2369" s="6" t="s">
        <v>145</v>
      </c>
      <c r="E2369" s="6" t="s">
        <v>147</v>
      </c>
      <c r="F2369" s="8">
        <v>9.0</v>
      </c>
      <c r="G2369" s="9">
        <v>1715.45</v>
      </c>
      <c r="H2369" s="9">
        <v>11954.25</v>
      </c>
      <c r="I2369" s="6" t="s">
        <v>161</v>
      </c>
      <c r="J2369" s="6" t="s">
        <v>465</v>
      </c>
      <c r="K2369" s="6" t="s">
        <v>259</v>
      </c>
      <c r="L2369" s="6">
        <v>1.6733369062E10</v>
      </c>
      <c r="M2369" s="6" t="s">
        <v>16025</v>
      </c>
      <c r="N2369" s="6" t="s">
        <v>176</v>
      </c>
      <c r="O2369" s="6" t="s">
        <v>178</v>
      </c>
      <c r="P2369" s="10">
        <v>46009.0</v>
      </c>
    </row>
    <row r="2370" ht="22.5" customHeight="1">
      <c r="A2370" s="6" t="s">
        <v>16026</v>
      </c>
      <c r="B2370" s="6" t="s">
        <v>16028</v>
      </c>
      <c r="C2370" s="6" t="s">
        <v>16029</v>
      </c>
      <c r="D2370" s="6" t="s">
        <v>383</v>
      </c>
      <c r="E2370" s="6" t="s">
        <v>147</v>
      </c>
      <c r="F2370" s="8">
        <v>20.0</v>
      </c>
      <c r="G2370" s="9">
        <v>179.92</v>
      </c>
      <c r="H2370" s="9">
        <v>12179.36</v>
      </c>
      <c r="I2370" s="6" t="s">
        <v>178</v>
      </c>
      <c r="J2370" s="6" t="s">
        <v>163</v>
      </c>
      <c r="K2370" s="6" t="s">
        <v>16031</v>
      </c>
      <c r="L2370" s="6">
        <v>1.925148789E10</v>
      </c>
      <c r="M2370" s="6" t="s">
        <v>16032</v>
      </c>
      <c r="N2370" s="6" t="s">
        <v>176</v>
      </c>
      <c r="O2370" s="6" t="s">
        <v>161</v>
      </c>
      <c r="P2370" s="10">
        <v>45949.0</v>
      </c>
    </row>
    <row r="2371" ht="22.5" customHeight="1">
      <c r="A2371" s="6" t="s">
        <v>16034</v>
      </c>
      <c r="B2371" s="6" t="s">
        <v>16035</v>
      </c>
      <c r="C2371" s="6" t="s">
        <v>16036</v>
      </c>
      <c r="D2371" s="6" t="s">
        <v>383</v>
      </c>
      <c r="E2371" s="6" t="s">
        <v>210</v>
      </c>
      <c r="F2371" s="8">
        <v>110.0</v>
      </c>
      <c r="G2371" s="9">
        <v>1154.35</v>
      </c>
      <c r="H2371" s="9">
        <v>11754.09</v>
      </c>
      <c r="I2371" s="6" t="s">
        <v>178</v>
      </c>
      <c r="J2371" s="6" t="s">
        <v>421</v>
      </c>
      <c r="K2371" s="6" t="s">
        <v>16037</v>
      </c>
      <c r="L2371" s="6">
        <v>8.0445252631E10</v>
      </c>
      <c r="M2371" s="6" t="s">
        <v>16039</v>
      </c>
      <c r="N2371" s="6" t="s">
        <v>283</v>
      </c>
      <c r="O2371" s="6" t="s">
        <v>161</v>
      </c>
      <c r="P2371" s="10">
        <v>46028.0</v>
      </c>
    </row>
    <row r="2372" ht="22.5" customHeight="1">
      <c r="A2372" s="6" t="s">
        <v>16040</v>
      </c>
      <c r="B2372" s="6" t="s">
        <v>16041</v>
      </c>
      <c r="C2372" s="6" t="s">
        <v>16042</v>
      </c>
      <c r="D2372" s="6" t="s">
        <v>145</v>
      </c>
      <c r="E2372" s="6" t="s">
        <v>301</v>
      </c>
      <c r="F2372" s="8">
        <v>36.0</v>
      </c>
      <c r="G2372" s="9">
        <v>639.07</v>
      </c>
      <c r="H2372" s="9">
        <v>3946.19</v>
      </c>
      <c r="I2372" s="6" t="s">
        <v>161</v>
      </c>
      <c r="J2372" s="6" t="s">
        <v>357</v>
      </c>
      <c r="K2372" s="6" t="s">
        <v>16044</v>
      </c>
      <c r="L2372" s="6">
        <v>1.5673333973E10</v>
      </c>
      <c r="M2372" s="6" t="s">
        <v>16045</v>
      </c>
      <c r="N2372" s="6" t="s">
        <v>259</v>
      </c>
      <c r="O2372" s="6" t="s">
        <v>178</v>
      </c>
      <c r="P2372" s="10">
        <v>46001.0</v>
      </c>
    </row>
    <row r="2373" ht="22.5" customHeight="1">
      <c r="A2373" s="6" t="s">
        <v>16046</v>
      </c>
      <c r="B2373" s="6" t="s">
        <v>16048</v>
      </c>
      <c r="C2373" s="6" t="s">
        <v>16049</v>
      </c>
      <c r="D2373" s="6" t="s">
        <v>145</v>
      </c>
      <c r="E2373" s="6" t="s">
        <v>147</v>
      </c>
      <c r="F2373" s="8">
        <v>7.0</v>
      </c>
      <c r="G2373" s="9">
        <v>630.49</v>
      </c>
      <c r="H2373" s="9">
        <v>12545.65</v>
      </c>
      <c r="I2373" s="6" t="s">
        <v>161</v>
      </c>
      <c r="J2373" s="6" t="s">
        <v>479</v>
      </c>
      <c r="K2373" s="6" t="s">
        <v>16050</v>
      </c>
      <c r="L2373" s="6">
        <v>2.71752158E9</v>
      </c>
      <c r="M2373" s="6" t="s">
        <v>16052</v>
      </c>
      <c r="N2373" s="6" t="s">
        <v>259</v>
      </c>
      <c r="O2373" s="6" t="s">
        <v>178</v>
      </c>
      <c r="P2373" s="10">
        <v>45960.0</v>
      </c>
    </row>
    <row r="2374" ht="22.5" customHeight="1">
      <c r="A2374" s="6" t="s">
        <v>16053</v>
      </c>
      <c r="B2374" s="6" t="s">
        <v>16054</v>
      </c>
      <c r="C2374" s="6" t="s">
        <v>16055</v>
      </c>
      <c r="D2374" s="6" t="s">
        <v>206</v>
      </c>
      <c r="E2374" s="6" t="s">
        <v>210</v>
      </c>
      <c r="F2374" s="8">
        <v>115.0</v>
      </c>
      <c r="G2374" s="9">
        <v>1345.7</v>
      </c>
      <c r="H2374" s="9">
        <v>7158.31</v>
      </c>
      <c r="I2374" s="6" t="s">
        <v>178</v>
      </c>
      <c r="J2374" s="6" t="s">
        <v>163</v>
      </c>
      <c r="K2374" s="6" t="s">
        <v>16057</v>
      </c>
      <c r="L2374" s="6">
        <v>7.8066833113E10</v>
      </c>
      <c r="M2374" s="6" t="s">
        <v>16058</v>
      </c>
      <c r="N2374" s="6" t="s">
        <v>176</v>
      </c>
      <c r="O2374" s="6" t="s">
        <v>161</v>
      </c>
      <c r="P2374" s="10">
        <v>46050.0</v>
      </c>
    </row>
    <row r="2375" ht="22.5" customHeight="1">
      <c r="A2375" s="6" t="s">
        <v>16059</v>
      </c>
      <c r="B2375" s="6" t="s">
        <v>16061</v>
      </c>
      <c r="C2375" s="6" t="s">
        <v>16062</v>
      </c>
      <c r="D2375" s="6" t="s">
        <v>145</v>
      </c>
      <c r="E2375" s="6" t="s">
        <v>147</v>
      </c>
      <c r="F2375" s="8">
        <v>21.0</v>
      </c>
      <c r="G2375" s="9">
        <v>730.7</v>
      </c>
      <c r="H2375" s="9">
        <v>3016.81</v>
      </c>
      <c r="I2375" s="6" t="s">
        <v>161</v>
      </c>
      <c r="J2375" s="6" t="s">
        <v>312</v>
      </c>
      <c r="K2375" s="6" t="s">
        <v>16063</v>
      </c>
      <c r="L2375" s="6">
        <v>7.5451948764E10</v>
      </c>
      <c r="M2375" s="6" t="s">
        <v>16064</v>
      </c>
      <c r="N2375" s="6" t="s">
        <v>176</v>
      </c>
      <c r="O2375" s="6" t="s">
        <v>178</v>
      </c>
      <c r="P2375" s="10">
        <v>46039.0</v>
      </c>
    </row>
    <row r="2376" ht="22.5" customHeight="1">
      <c r="A2376" s="6" t="s">
        <v>16066</v>
      </c>
      <c r="B2376" s="6" t="s">
        <v>16067</v>
      </c>
      <c r="C2376" s="6" t="s">
        <v>16068</v>
      </c>
      <c r="D2376" s="6" t="s">
        <v>383</v>
      </c>
      <c r="E2376" s="6" t="s">
        <v>147</v>
      </c>
      <c r="F2376" s="8">
        <v>20.0</v>
      </c>
      <c r="G2376" s="9">
        <v>741.83</v>
      </c>
      <c r="H2376" s="9">
        <v>2556.44</v>
      </c>
      <c r="I2376" s="6" t="s">
        <v>161</v>
      </c>
      <c r="J2376" s="6" t="s">
        <v>577</v>
      </c>
      <c r="K2376" s="6" t="s">
        <v>259</v>
      </c>
      <c r="L2376" s="6">
        <v>5.7238610737E10</v>
      </c>
      <c r="M2376" s="6" t="s">
        <v>16070</v>
      </c>
      <c r="N2376" s="6" t="s">
        <v>427</v>
      </c>
      <c r="O2376" s="6" t="s">
        <v>178</v>
      </c>
      <c r="P2376" s="10">
        <v>45948.0</v>
      </c>
    </row>
    <row r="2377" ht="22.5" customHeight="1">
      <c r="A2377" s="6" t="s">
        <v>16071</v>
      </c>
      <c r="B2377" s="6" t="s">
        <v>16072</v>
      </c>
      <c r="C2377" s="6" t="s">
        <v>16073</v>
      </c>
      <c r="D2377" s="6" t="s">
        <v>206</v>
      </c>
      <c r="E2377" s="6" t="s">
        <v>147</v>
      </c>
      <c r="F2377" s="8">
        <v>5.0</v>
      </c>
      <c r="G2377" s="9">
        <v>952.15</v>
      </c>
      <c r="H2377" s="9">
        <v>9058.72</v>
      </c>
      <c r="I2377" s="6" t="s">
        <v>161</v>
      </c>
      <c r="J2377" s="6" t="s">
        <v>479</v>
      </c>
      <c r="K2377" s="6" t="s">
        <v>16075</v>
      </c>
      <c r="L2377" s="6">
        <v>2.743587449E10</v>
      </c>
      <c r="M2377" s="6" t="s">
        <v>16076</v>
      </c>
      <c r="N2377" s="6" t="s">
        <v>259</v>
      </c>
      <c r="O2377" s="6" t="s">
        <v>178</v>
      </c>
      <c r="P2377" s="10">
        <v>46012.0</v>
      </c>
    </row>
    <row r="2378" ht="22.5" customHeight="1">
      <c r="A2378" s="6" t="s">
        <v>16077</v>
      </c>
      <c r="B2378" s="6" t="s">
        <v>16078</v>
      </c>
      <c r="C2378" s="6" t="s">
        <v>16080</v>
      </c>
      <c r="D2378" s="6" t="s">
        <v>206</v>
      </c>
      <c r="E2378" s="6" t="s">
        <v>147</v>
      </c>
      <c r="F2378" s="8">
        <v>6.0</v>
      </c>
      <c r="G2378" s="9">
        <v>1586.93</v>
      </c>
      <c r="H2378" s="9">
        <v>12553.51</v>
      </c>
      <c r="I2378" s="6" t="s">
        <v>178</v>
      </c>
      <c r="J2378" s="6" t="s">
        <v>577</v>
      </c>
      <c r="K2378" s="6" t="s">
        <v>16081</v>
      </c>
      <c r="L2378" s="6" t="s">
        <v>259</v>
      </c>
      <c r="M2378" s="6" t="s">
        <v>16082</v>
      </c>
      <c r="N2378" s="6" t="s">
        <v>259</v>
      </c>
      <c r="O2378" s="6" t="s">
        <v>161</v>
      </c>
      <c r="P2378" s="10">
        <v>45951.0</v>
      </c>
    </row>
    <row r="2379" ht="22.5" customHeight="1">
      <c r="A2379" s="6" t="s">
        <v>16084</v>
      </c>
      <c r="B2379" s="6" t="s">
        <v>16085</v>
      </c>
      <c r="C2379" s="6" t="s">
        <v>16086</v>
      </c>
      <c r="D2379" s="6" t="s">
        <v>206</v>
      </c>
      <c r="E2379" s="6" t="s">
        <v>301</v>
      </c>
      <c r="F2379" s="8">
        <v>31.0</v>
      </c>
      <c r="G2379" s="9">
        <v>1130.36</v>
      </c>
      <c r="H2379" s="9">
        <v>7021.8</v>
      </c>
      <c r="I2379" s="6" t="s">
        <v>161</v>
      </c>
      <c r="J2379" s="6" t="s">
        <v>357</v>
      </c>
      <c r="K2379" s="6" t="s">
        <v>16088</v>
      </c>
      <c r="L2379" s="6">
        <v>9.0154589486E10</v>
      </c>
      <c r="M2379" s="6" t="s">
        <v>16090</v>
      </c>
      <c r="N2379" s="6" t="s">
        <v>176</v>
      </c>
      <c r="O2379" s="6" t="s">
        <v>178</v>
      </c>
      <c r="P2379" s="10">
        <v>46013.0</v>
      </c>
    </row>
    <row r="2380" ht="22.5" customHeight="1">
      <c r="A2380" s="6" t="s">
        <v>16091</v>
      </c>
      <c r="B2380" s="6" t="s">
        <v>16092</v>
      </c>
      <c r="C2380" s="6" t="s">
        <v>16093</v>
      </c>
      <c r="D2380" s="6" t="s">
        <v>206</v>
      </c>
      <c r="E2380" s="6" t="s">
        <v>301</v>
      </c>
      <c r="F2380" s="8">
        <v>36.0</v>
      </c>
      <c r="G2380" s="9">
        <v>589.2</v>
      </c>
      <c r="H2380" s="9">
        <v>13563.32</v>
      </c>
      <c r="I2380" s="6" t="s">
        <v>178</v>
      </c>
      <c r="J2380" s="6" t="s">
        <v>393</v>
      </c>
      <c r="K2380" s="6" t="s">
        <v>16095</v>
      </c>
      <c r="L2380" s="6">
        <v>8.490435344E10</v>
      </c>
      <c r="M2380" s="6" t="s">
        <v>16096</v>
      </c>
      <c r="N2380" s="6" t="s">
        <v>112</v>
      </c>
      <c r="O2380" s="6" t="s">
        <v>161</v>
      </c>
      <c r="P2380" s="10">
        <v>46024.0</v>
      </c>
    </row>
    <row r="2381" ht="22.5" customHeight="1">
      <c r="A2381" s="6" t="s">
        <v>16097</v>
      </c>
      <c r="B2381" s="6" t="s">
        <v>16098</v>
      </c>
      <c r="C2381" s="6" t="s">
        <v>16099</v>
      </c>
      <c r="D2381" s="6" t="s">
        <v>145</v>
      </c>
      <c r="E2381" s="6" t="s">
        <v>210</v>
      </c>
      <c r="F2381" s="8">
        <v>103.0</v>
      </c>
      <c r="G2381" s="9">
        <v>976.07</v>
      </c>
      <c r="H2381" s="9">
        <v>9202.75</v>
      </c>
      <c r="I2381" s="6" t="s">
        <v>178</v>
      </c>
      <c r="J2381" s="6" t="s">
        <v>163</v>
      </c>
      <c r="K2381" s="6" t="s">
        <v>16100</v>
      </c>
      <c r="L2381" s="6">
        <v>3.5463335292E10</v>
      </c>
      <c r="M2381" s="6" t="s">
        <v>16102</v>
      </c>
      <c r="N2381" s="6" t="s">
        <v>259</v>
      </c>
      <c r="O2381" s="6" t="s">
        <v>161</v>
      </c>
      <c r="P2381" s="10">
        <v>46016.0</v>
      </c>
    </row>
    <row r="2382" ht="22.5" customHeight="1">
      <c r="A2382" s="6" t="s">
        <v>16103</v>
      </c>
      <c r="B2382" s="6" t="s">
        <v>16104</v>
      </c>
      <c r="C2382" s="6" t="s">
        <v>16105</v>
      </c>
      <c r="D2382" s="6" t="s">
        <v>206</v>
      </c>
      <c r="E2382" s="6" t="s">
        <v>147</v>
      </c>
      <c r="F2382" s="8">
        <v>26.0</v>
      </c>
      <c r="G2382" s="9">
        <v>248.87</v>
      </c>
      <c r="H2382" s="9">
        <v>1553.75</v>
      </c>
      <c r="I2382" s="6" t="s">
        <v>161</v>
      </c>
      <c r="J2382" s="6" t="s">
        <v>479</v>
      </c>
      <c r="K2382" s="6" t="s">
        <v>16106</v>
      </c>
      <c r="L2382" s="6" t="s">
        <v>259</v>
      </c>
      <c r="M2382" s="6" t="s">
        <v>16108</v>
      </c>
      <c r="N2382" s="6" t="s">
        <v>259</v>
      </c>
      <c r="O2382" s="6" t="s">
        <v>178</v>
      </c>
      <c r="P2382" s="10">
        <v>45945.0</v>
      </c>
    </row>
    <row r="2383" ht="22.5" customHeight="1">
      <c r="A2383" s="6" t="s">
        <v>16109</v>
      </c>
      <c r="B2383" s="6" t="s">
        <v>16110</v>
      </c>
      <c r="C2383" s="6" t="s">
        <v>16111</v>
      </c>
      <c r="D2383" s="6" t="s">
        <v>145</v>
      </c>
      <c r="E2383" s="6" t="s">
        <v>147</v>
      </c>
      <c r="F2383" s="8">
        <v>8.0</v>
      </c>
      <c r="G2383" s="9">
        <v>1677.8</v>
      </c>
      <c r="H2383" s="9">
        <v>6824.25</v>
      </c>
      <c r="I2383" s="6" t="s">
        <v>178</v>
      </c>
      <c r="J2383" s="6" t="s">
        <v>357</v>
      </c>
      <c r="K2383" s="6" t="s">
        <v>16113</v>
      </c>
      <c r="L2383" s="6">
        <v>3.1818797038E10</v>
      </c>
      <c r="M2383" s="6" t="s">
        <v>16114</v>
      </c>
      <c r="N2383" s="6" t="s">
        <v>259</v>
      </c>
      <c r="O2383" s="6" t="s">
        <v>161</v>
      </c>
      <c r="P2383" s="10">
        <v>45961.0</v>
      </c>
    </row>
    <row r="2384" ht="22.5" customHeight="1">
      <c r="A2384" s="6" t="s">
        <v>16116</v>
      </c>
      <c r="B2384" s="6" t="s">
        <v>16117</v>
      </c>
      <c r="C2384" s="6" t="s">
        <v>16118</v>
      </c>
      <c r="D2384" s="6" t="s">
        <v>383</v>
      </c>
      <c r="E2384" s="6" t="s">
        <v>147</v>
      </c>
      <c r="F2384" s="8">
        <v>26.0</v>
      </c>
      <c r="G2384" s="9">
        <v>470.89</v>
      </c>
      <c r="H2384" s="9">
        <v>8862.72</v>
      </c>
      <c r="I2384" s="6" t="s">
        <v>161</v>
      </c>
      <c r="J2384" s="6" t="s">
        <v>163</v>
      </c>
      <c r="K2384" s="6" t="s">
        <v>16120</v>
      </c>
      <c r="L2384" s="6">
        <v>6.7263797442E10</v>
      </c>
      <c r="M2384" s="6" t="s">
        <v>16121</v>
      </c>
      <c r="N2384" s="6" t="s">
        <v>259</v>
      </c>
      <c r="O2384" s="6" t="s">
        <v>178</v>
      </c>
      <c r="P2384" s="10">
        <v>46019.0</v>
      </c>
    </row>
    <row r="2385" ht="22.5" customHeight="1">
      <c r="A2385" s="6" t="s">
        <v>16122</v>
      </c>
      <c r="B2385" s="6" t="s">
        <v>16123</v>
      </c>
      <c r="C2385" s="6" t="s">
        <v>16124</v>
      </c>
      <c r="D2385" s="6" t="s">
        <v>145</v>
      </c>
      <c r="E2385" s="6" t="s">
        <v>301</v>
      </c>
      <c r="F2385" s="8">
        <v>55.0</v>
      </c>
      <c r="G2385" s="9">
        <v>1329.79</v>
      </c>
      <c r="H2385" s="9">
        <v>5795.42</v>
      </c>
      <c r="I2385" s="6" t="s">
        <v>178</v>
      </c>
      <c r="J2385" s="6" t="s">
        <v>479</v>
      </c>
      <c r="K2385" s="6" t="s">
        <v>16126</v>
      </c>
      <c r="L2385" s="6">
        <v>9.9690092893E10</v>
      </c>
      <c r="M2385" s="6" t="s">
        <v>16127</v>
      </c>
      <c r="N2385" s="6" t="s">
        <v>427</v>
      </c>
      <c r="O2385" s="6" t="s">
        <v>178</v>
      </c>
      <c r="P2385" s="10">
        <v>45961.0</v>
      </c>
    </row>
    <row r="2386" ht="22.5" customHeight="1">
      <c r="A2386" s="6" t="s">
        <v>16129</v>
      </c>
      <c r="B2386" s="6" t="s">
        <v>16130</v>
      </c>
      <c r="C2386" s="6" t="s">
        <v>16131</v>
      </c>
      <c r="D2386" s="6" t="s">
        <v>206</v>
      </c>
      <c r="E2386" s="6" t="s">
        <v>147</v>
      </c>
      <c r="F2386" s="8">
        <v>14.0</v>
      </c>
      <c r="G2386" s="9">
        <v>1234.41</v>
      </c>
      <c r="H2386" s="9">
        <v>2559.41</v>
      </c>
      <c r="I2386" s="6" t="s">
        <v>161</v>
      </c>
      <c r="J2386" s="6" t="s">
        <v>228</v>
      </c>
      <c r="K2386" s="6" t="s">
        <v>16133</v>
      </c>
      <c r="L2386" s="6">
        <v>7.3140919926E10</v>
      </c>
      <c r="M2386" s="6" t="s">
        <v>16134</v>
      </c>
      <c r="N2386" s="6" t="s">
        <v>427</v>
      </c>
      <c r="O2386" s="6" t="s">
        <v>178</v>
      </c>
      <c r="P2386" s="10">
        <v>45983.0</v>
      </c>
    </row>
    <row r="2387" ht="22.5" customHeight="1">
      <c r="A2387" s="6" t="s">
        <v>16136</v>
      </c>
      <c r="B2387" s="6" t="s">
        <v>16137</v>
      </c>
      <c r="C2387" s="6" t="s">
        <v>16138</v>
      </c>
      <c r="D2387" s="6" t="s">
        <v>145</v>
      </c>
      <c r="E2387" s="6" t="s">
        <v>147</v>
      </c>
      <c r="F2387" s="8">
        <v>23.0</v>
      </c>
      <c r="G2387" s="9">
        <v>1676.5</v>
      </c>
      <c r="H2387" s="9">
        <v>13015.33</v>
      </c>
      <c r="I2387" s="6" t="s">
        <v>161</v>
      </c>
      <c r="J2387" s="6" t="s">
        <v>228</v>
      </c>
      <c r="K2387" s="6" t="s">
        <v>16140</v>
      </c>
      <c r="L2387" s="6">
        <v>9.83599737E8</v>
      </c>
      <c r="M2387" s="6" t="s">
        <v>16141</v>
      </c>
      <c r="N2387" s="6" t="s">
        <v>112</v>
      </c>
      <c r="O2387" s="6" t="s">
        <v>178</v>
      </c>
      <c r="P2387" s="10">
        <v>46034.0</v>
      </c>
    </row>
    <row r="2388" ht="22.5" customHeight="1">
      <c r="A2388" s="6" t="s">
        <v>16142</v>
      </c>
      <c r="B2388" s="6" t="s">
        <v>16143</v>
      </c>
      <c r="C2388" s="6" t="s">
        <v>16144</v>
      </c>
      <c r="D2388" s="6" t="s">
        <v>145</v>
      </c>
      <c r="E2388" s="6" t="s">
        <v>147</v>
      </c>
      <c r="F2388" s="8">
        <v>13.0</v>
      </c>
      <c r="G2388" s="9">
        <v>384.43</v>
      </c>
      <c r="H2388" s="9">
        <v>8006.54</v>
      </c>
      <c r="I2388" s="6" t="s">
        <v>161</v>
      </c>
      <c r="J2388" s="6" t="s">
        <v>228</v>
      </c>
      <c r="K2388" s="6" t="s">
        <v>16146</v>
      </c>
      <c r="L2388" s="6">
        <v>8.319713916E10</v>
      </c>
      <c r="M2388" s="6" t="s">
        <v>16147</v>
      </c>
      <c r="N2388" s="6" t="s">
        <v>427</v>
      </c>
      <c r="O2388" s="6" t="s">
        <v>178</v>
      </c>
      <c r="P2388" s="10">
        <v>45969.0</v>
      </c>
    </row>
    <row r="2389" ht="22.5" customHeight="1">
      <c r="A2389" s="6" t="s">
        <v>16148</v>
      </c>
      <c r="B2389" s="6" t="s">
        <v>16150</v>
      </c>
      <c r="C2389" s="6" t="s">
        <v>16151</v>
      </c>
      <c r="D2389" s="6" t="s">
        <v>145</v>
      </c>
      <c r="E2389" s="6" t="s">
        <v>147</v>
      </c>
      <c r="F2389" s="8">
        <v>23.0</v>
      </c>
      <c r="G2389" s="9">
        <v>1069.04</v>
      </c>
      <c r="H2389" s="9">
        <v>4940.05</v>
      </c>
      <c r="I2389" s="6" t="s">
        <v>161</v>
      </c>
      <c r="J2389" s="6" t="s">
        <v>228</v>
      </c>
      <c r="K2389" s="6" t="s">
        <v>259</v>
      </c>
      <c r="L2389" s="6">
        <v>9.0083156436E10</v>
      </c>
      <c r="M2389" s="6" t="s">
        <v>16152</v>
      </c>
      <c r="N2389" s="6" t="s">
        <v>427</v>
      </c>
      <c r="O2389" s="6" t="s">
        <v>178</v>
      </c>
      <c r="P2389" s="10">
        <v>46023.0</v>
      </c>
    </row>
    <row r="2390" ht="22.5" customHeight="1">
      <c r="A2390" s="6" t="s">
        <v>16153</v>
      </c>
      <c r="B2390" s="6" t="s">
        <v>16154</v>
      </c>
      <c r="C2390" s="6" t="s">
        <v>16155</v>
      </c>
      <c r="D2390" s="6" t="s">
        <v>145</v>
      </c>
      <c r="E2390" s="6" t="s">
        <v>147</v>
      </c>
      <c r="F2390" s="8">
        <v>18.0</v>
      </c>
      <c r="G2390" s="9">
        <v>1090.57</v>
      </c>
      <c r="H2390" s="9">
        <v>5987.76</v>
      </c>
      <c r="I2390" s="6" t="s">
        <v>161</v>
      </c>
      <c r="J2390" s="6" t="s">
        <v>228</v>
      </c>
      <c r="K2390" s="6" t="s">
        <v>16157</v>
      </c>
      <c r="L2390" s="6">
        <v>7.0361020702E10</v>
      </c>
      <c r="M2390" s="6" t="s">
        <v>16158</v>
      </c>
      <c r="N2390" s="6" t="s">
        <v>112</v>
      </c>
      <c r="O2390" s="6" t="s">
        <v>178</v>
      </c>
      <c r="P2390" s="10">
        <v>45983.0</v>
      </c>
    </row>
    <row r="2391" ht="22.5" customHeight="1">
      <c r="A2391" s="6" t="s">
        <v>16159</v>
      </c>
      <c r="B2391" s="6" t="s">
        <v>16160</v>
      </c>
      <c r="C2391" s="6" t="s">
        <v>16161</v>
      </c>
      <c r="D2391" s="6" t="s">
        <v>145</v>
      </c>
      <c r="E2391" s="6" t="s">
        <v>147</v>
      </c>
      <c r="F2391" s="8">
        <v>10.0</v>
      </c>
      <c r="G2391" s="9">
        <v>1640.6</v>
      </c>
      <c r="H2391" s="9">
        <v>14192.16</v>
      </c>
      <c r="I2391" s="6" t="s">
        <v>161</v>
      </c>
      <c r="J2391" s="6" t="s">
        <v>357</v>
      </c>
      <c r="K2391" s="6" t="s">
        <v>16163</v>
      </c>
      <c r="L2391" s="6" t="s">
        <v>259</v>
      </c>
      <c r="M2391" s="6" t="s">
        <v>16164</v>
      </c>
      <c r="N2391" s="6" t="s">
        <v>427</v>
      </c>
      <c r="O2391" s="6" t="s">
        <v>178</v>
      </c>
      <c r="P2391" s="10">
        <v>46025.0</v>
      </c>
    </row>
    <row r="2392" ht="22.5" customHeight="1">
      <c r="A2392" s="6" t="s">
        <v>16165</v>
      </c>
      <c r="B2392" s="6" t="s">
        <v>16166</v>
      </c>
      <c r="C2392" s="6" t="s">
        <v>16167</v>
      </c>
      <c r="D2392" s="6" t="s">
        <v>383</v>
      </c>
      <c r="E2392" s="6" t="s">
        <v>147</v>
      </c>
      <c r="F2392" s="8">
        <v>24.0</v>
      </c>
      <c r="G2392" s="9">
        <v>490.32</v>
      </c>
      <c r="H2392" s="9">
        <v>3109.21</v>
      </c>
      <c r="I2392" s="6" t="s">
        <v>161</v>
      </c>
      <c r="J2392" s="6" t="s">
        <v>442</v>
      </c>
      <c r="K2392" s="6" t="s">
        <v>16168</v>
      </c>
      <c r="L2392" s="6">
        <v>1.3633706131E10</v>
      </c>
      <c r="M2392" s="6" t="s">
        <v>16170</v>
      </c>
      <c r="N2392" s="6" t="s">
        <v>259</v>
      </c>
      <c r="O2392" s="6" t="s">
        <v>178</v>
      </c>
      <c r="P2392" s="10">
        <v>46045.0</v>
      </c>
    </row>
    <row r="2393" ht="22.5" customHeight="1">
      <c r="A2393" s="6" t="s">
        <v>16171</v>
      </c>
      <c r="B2393" s="6" t="s">
        <v>16172</v>
      </c>
      <c r="C2393" s="6" t="s">
        <v>16173</v>
      </c>
      <c r="D2393" s="6" t="s">
        <v>145</v>
      </c>
      <c r="E2393" s="6" t="s">
        <v>147</v>
      </c>
      <c r="F2393" s="8">
        <v>19.0</v>
      </c>
      <c r="G2393" s="9">
        <v>828.77</v>
      </c>
      <c r="H2393" s="9">
        <v>12018.92</v>
      </c>
      <c r="I2393" s="6" t="s">
        <v>161</v>
      </c>
      <c r="J2393" s="6" t="s">
        <v>163</v>
      </c>
      <c r="K2393" s="6" t="s">
        <v>16174</v>
      </c>
      <c r="L2393" s="6">
        <v>8.2010058642E10</v>
      </c>
      <c r="M2393" s="6" t="s">
        <v>16175</v>
      </c>
      <c r="N2393" s="6" t="s">
        <v>176</v>
      </c>
      <c r="O2393" s="6" t="s">
        <v>178</v>
      </c>
      <c r="P2393" s="10">
        <v>45937.0</v>
      </c>
    </row>
    <row r="2394" ht="22.5" customHeight="1">
      <c r="A2394" s="6" t="s">
        <v>16177</v>
      </c>
      <c r="B2394" s="6" t="s">
        <v>16178</v>
      </c>
      <c r="C2394" s="6" t="s">
        <v>16179</v>
      </c>
      <c r="D2394" s="6" t="s">
        <v>206</v>
      </c>
      <c r="E2394" s="6" t="s">
        <v>301</v>
      </c>
      <c r="F2394" s="8">
        <v>43.0</v>
      </c>
      <c r="G2394" s="9">
        <v>1757.34</v>
      </c>
      <c r="H2394" s="9">
        <v>4563.73</v>
      </c>
      <c r="I2394" s="6" t="s">
        <v>178</v>
      </c>
      <c r="J2394" s="6" t="s">
        <v>357</v>
      </c>
      <c r="K2394" s="6" t="s">
        <v>16180</v>
      </c>
      <c r="L2394" s="6">
        <v>3.410267686E9</v>
      </c>
      <c r="M2394" s="6" t="s">
        <v>16181</v>
      </c>
      <c r="N2394" s="6" t="s">
        <v>427</v>
      </c>
      <c r="O2394" s="6" t="s">
        <v>161</v>
      </c>
      <c r="P2394" s="10">
        <v>46001.0</v>
      </c>
    </row>
    <row r="2395" ht="22.5" customHeight="1">
      <c r="A2395" s="6" t="s">
        <v>16182</v>
      </c>
      <c r="B2395" s="6" t="s">
        <v>16183</v>
      </c>
      <c r="C2395" s="6" t="s">
        <v>16184</v>
      </c>
      <c r="D2395" s="6" t="s">
        <v>383</v>
      </c>
      <c r="E2395" s="6" t="s">
        <v>147</v>
      </c>
      <c r="F2395" s="8">
        <v>25.0</v>
      </c>
      <c r="G2395" s="9">
        <v>453.75</v>
      </c>
      <c r="H2395" s="9">
        <v>13653.16</v>
      </c>
      <c r="I2395" s="6" t="s">
        <v>161</v>
      </c>
      <c r="J2395" s="6" t="s">
        <v>442</v>
      </c>
      <c r="K2395" s="6" t="s">
        <v>16186</v>
      </c>
      <c r="L2395" s="6">
        <v>7.597122152E9</v>
      </c>
      <c r="M2395" s="6" t="s">
        <v>16187</v>
      </c>
      <c r="N2395" s="6" t="s">
        <v>176</v>
      </c>
      <c r="O2395" s="6" t="s">
        <v>178</v>
      </c>
      <c r="P2395" s="10">
        <v>46027.0</v>
      </c>
    </row>
    <row r="2396" ht="22.5" customHeight="1">
      <c r="A2396" s="6" t="s">
        <v>16188</v>
      </c>
      <c r="B2396" s="6" t="s">
        <v>16189</v>
      </c>
      <c r="C2396" s="6" t="s">
        <v>16190</v>
      </c>
      <c r="D2396" s="6" t="s">
        <v>145</v>
      </c>
      <c r="E2396" s="6" t="s">
        <v>147</v>
      </c>
      <c r="F2396" s="8">
        <v>29.0</v>
      </c>
      <c r="G2396" s="9">
        <v>158.06</v>
      </c>
      <c r="H2396" s="9">
        <v>6487.87</v>
      </c>
      <c r="I2396" s="6" t="s">
        <v>161</v>
      </c>
      <c r="J2396" s="6" t="s">
        <v>1787</v>
      </c>
      <c r="K2396" s="6" t="s">
        <v>16192</v>
      </c>
      <c r="L2396" s="6">
        <v>5.2976215194E10</v>
      </c>
      <c r="M2396" s="6" t="s">
        <v>16193</v>
      </c>
      <c r="N2396" s="6" t="s">
        <v>176</v>
      </c>
      <c r="O2396" s="6" t="s">
        <v>178</v>
      </c>
      <c r="P2396" s="10">
        <v>46009.0</v>
      </c>
    </row>
    <row r="2397" ht="22.5" customHeight="1">
      <c r="A2397" s="6" t="s">
        <v>16194</v>
      </c>
      <c r="B2397" s="6" t="s">
        <v>16195</v>
      </c>
      <c r="C2397" s="6" t="s">
        <v>16196</v>
      </c>
      <c r="D2397" s="6" t="s">
        <v>383</v>
      </c>
      <c r="E2397" s="6" t="s">
        <v>147</v>
      </c>
      <c r="F2397" s="8">
        <v>16.0</v>
      </c>
      <c r="G2397" s="9">
        <v>273.53</v>
      </c>
      <c r="H2397" s="9">
        <v>13800.65</v>
      </c>
      <c r="I2397" s="6" t="s">
        <v>161</v>
      </c>
      <c r="J2397" s="6" t="s">
        <v>577</v>
      </c>
      <c r="K2397" s="6" t="s">
        <v>16197</v>
      </c>
      <c r="L2397" s="6">
        <v>9.7695634505E10</v>
      </c>
      <c r="M2397" s="6" t="s">
        <v>16198</v>
      </c>
      <c r="N2397" s="6" t="s">
        <v>427</v>
      </c>
      <c r="O2397" s="6" t="s">
        <v>178</v>
      </c>
      <c r="P2397" s="10">
        <v>45992.0</v>
      </c>
    </row>
    <row r="2398" ht="22.5" customHeight="1">
      <c r="A2398" s="6" t="s">
        <v>16200</v>
      </c>
      <c r="B2398" s="6" t="s">
        <v>16201</v>
      </c>
      <c r="C2398" s="6" t="s">
        <v>16202</v>
      </c>
      <c r="D2398" s="6" t="s">
        <v>145</v>
      </c>
      <c r="E2398" s="6" t="s">
        <v>301</v>
      </c>
      <c r="F2398" s="8">
        <v>31.0</v>
      </c>
      <c r="G2398" s="9">
        <v>1597.68</v>
      </c>
      <c r="H2398" s="9">
        <v>14025.61</v>
      </c>
      <c r="I2398" s="6" t="s">
        <v>178</v>
      </c>
      <c r="J2398" s="6" t="s">
        <v>479</v>
      </c>
      <c r="K2398" s="6" t="s">
        <v>16203</v>
      </c>
      <c r="L2398" s="6">
        <v>5.2499522395E10</v>
      </c>
      <c r="M2398" s="6" t="s">
        <v>16204</v>
      </c>
      <c r="N2398" s="6" t="s">
        <v>427</v>
      </c>
      <c r="O2398" s="6" t="s">
        <v>161</v>
      </c>
      <c r="P2398" s="10">
        <v>45960.0</v>
      </c>
    </row>
    <row r="2399" ht="22.5" customHeight="1">
      <c r="A2399" s="6" t="s">
        <v>16206</v>
      </c>
      <c r="B2399" s="6" t="s">
        <v>16207</v>
      </c>
      <c r="C2399" s="6" t="s">
        <v>16208</v>
      </c>
      <c r="D2399" s="6" t="s">
        <v>145</v>
      </c>
      <c r="E2399" s="6" t="s">
        <v>147</v>
      </c>
      <c r="F2399" s="8">
        <v>23.0</v>
      </c>
      <c r="G2399" s="9">
        <v>1583.79</v>
      </c>
      <c r="H2399" s="9">
        <v>9143.74</v>
      </c>
      <c r="I2399" s="6" t="s">
        <v>161</v>
      </c>
      <c r="J2399" s="6" t="s">
        <v>259</v>
      </c>
      <c r="K2399" s="6" t="s">
        <v>16209</v>
      </c>
      <c r="L2399" s="6">
        <v>8.6564858411E10</v>
      </c>
      <c r="M2399" s="6" t="s">
        <v>16210</v>
      </c>
      <c r="N2399" s="6" t="s">
        <v>176</v>
      </c>
      <c r="O2399" s="6" t="s">
        <v>178</v>
      </c>
      <c r="P2399" s="10">
        <v>45966.0</v>
      </c>
    </row>
    <row r="2400" ht="22.5" customHeight="1">
      <c r="A2400" s="6" t="s">
        <v>16211</v>
      </c>
      <c r="B2400" s="6" t="s">
        <v>16212</v>
      </c>
      <c r="C2400" s="6" t="s">
        <v>16213</v>
      </c>
      <c r="D2400" s="6" t="s">
        <v>206</v>
      </c>
      <c r="E2400" s="6" t="s">
        <v>301</v>
      </c>
      <c r="F2400" s="8">
        <v>41.0</v>
      </c>
      <c r="G2400" s="9">
        <v>1393.9</v>
      </c>
      <c r="H2400" s="9">
        <v>4744.01</v>
      </c>
      <c r="I2400" s="6" t="s">
        <v>161</v>
      </c>
      <c r="J2400" s="6" t="s">
        <v>577</v>
      </c>
      <c r="K2400" s="6" t="s">
        <v>16215</v>
      </c>
      <c r="L2400" s="6">
        <v>8.9563121985E10</v>
      </c>
      <c r="M2400" s="6" t="s">
        <v>16216</v>
      </c>
      <c r="N2400" s="6" t="s">
        <v>112</v>
      </c>
      <c r="O2400" s="6" t="s">
        <v>178</v>
      </c>
      <c r="P2400" s="10">
        <v>46051.0</v>
      </c>
    </row>
    <row r="2401" ht="22.5" customHeight="1">
      <c r="A2401" s="6" t="s">
        <v>16217</v>
      </c>
      <c r="B2401" s="6" t="s">
        <v>16218</v>
      </c>
      <c r="C2401" s="6" t="s">
        <v>16219</v>
      </c>
      <c r="D2401" s="6" t="s">
        <v>206</v>
      </c>
      <c r="E2401" s="6" t="s">
        <v>301</v>
      </c>
      <c r="F2401" s="8">
        <v>32.0</v>
      </c>
      <c r="G2401" s="9">
        <v>1238.58</v>
      </c>
      <c r="H2401" s="9">
        <v>3087.59</v>
      </c>
      <c r="I2401" s="6" t="s">
        <v>161</v>
      </c>
      <c r="J2401" s="6" t="s">
        <v>259</v>
      </c>
      <c r="K2401" s="6" t="s">
        <v>16220</v>
      </c>
      <c r="L2401" s="6">
        <v>6.3763402362E10</v>
      </c>
      <c r="M2401" s="6" t="s">
        <v>16222</v>
      </c>
      <c r="N2401" s="6" t="s">
        <v>427</v>
      </c>
      <c r="O2401" s="6" t="s">
        <v>178</v>
      </c>
      <c r="P2401" s="10">
        <v>45955.0</v>
      </c>
    </row>
    <row r="2402" ht="22.5" customHeight="1">
      <c r="A2402" s="6" t="s">
        <v>16223</v>
      </c>
      <c r="B2402" s="6" t="s">
        <v>16224</v>
      </c>
      <c r="C2402" s="6" t="s">
        <v>16225</v>
      </c>
      <c r="D2402" s="6" t="s">
        <v>206</v>
      </c>
      <c r="E2402" s="6" t="s">
        <v>147</v>
      </c>
      <c r="F2402" s="8">
        <v>13.0</v>
      </c>
      <c r="G2402" s="9">
        <v>1592.84</v>
      </c>
      <c r="H2402" s="9">
        <v>3328.81</v>
      </c>
      <c r="I2402" s="6" t="s">
        <v>161</v>
      </c>
      <c r="J2402" s="6" t="s">
        <v>465</v>
      </c>
      <c r="K2402" s="6" t="s">
        <v>16226</v>
      </c>
      <c r="L2402" s="6">
        <v>2.4205446077E10</v>
      </c>
      <c r="M2402" s="6" t="s">
        <v>16228</v>
      </c>
      <c r="N2402" s="6" t="s">
        <v>112</v>
      </c>
      <c r="O2402" s="6" t="s">
        <v>178</v>
      </c>
      <c r="P2402" s="10">
        <v>45985.0</v>
      </c>
    </row>
    <row r="2403" ht="22.5" customHeight="1">
      <c r="A2403" s="6" t="s">
        <v>16229</v>
      </c>
      <c r="B2403" s="6" t="s">
        <v>16230</v>
      </c>
      <c r="C2403" s="6" t="s">
        <v>16231</v>
      </c>
      <c r="D2403" s="6" t="s">
        <v>206</v>
      </c>
      <c r="E2403" s="6" t="s">
        <v>147</v>
      </c>
      <c r="F2403" s="8">
        <v>7.0</v>
      </c>
      <c r="G2403" s="9">
        <v>1008.53</v>
      </c>
      <c r="H2403" s="9">
        <v>9141.6</v>
      </c>
      <c r="I2403" s="6" t="s">
        <v>161</v>
      </c>
      <c r="J2403" s="6" t="s">
        <v>1584</v>
      </c>
      <c r="K2403" s="6" t="s">
        <v>259</v>
      </c>
      <c r="L2403" s="6">
        <v>5.7838939507E10</v>
      </c>
      <c r="M2403" s="6" t="s">
        <v>16233</v>
      </c>
      <c r="N2403" s="6" t="s">
        <v>176</v>
      </c>
      <c r="O2403" s="6" t="s">
        <v>161</v>
      </c>
      <c r="P2403" s="10">
        <v>45989.0</v>
      </c>
    </row>
    <row r="2404" ht="22.5" customHeight="1">
      <c r="A2404" s="6" t="s">
        <v>16234</v>
      </c>
      <c r="B2404" s="6" t="s">
        <v>16235</v>
      </c>
      <c r="C2404" s="6" t="s">
        <v>16237</v>
      </c>
      <c r="D2404" s="6" t="s">
        <v>145</v>
      </c>
      <c r="E2404" s="6" t="s">
        <v>147</v>
      </c>
      <c r="F2404" s="8">
        <v>10.0</v>
      </c>
      <c r="G2404" s="9">
        <v>479.8</v>
      </c>
      <c r="H2404" s="9">
        <v>1464.7</v>
      </c>
      <c r="I2404" s="6" t="s">
        <v>178</v>
      </c>
      <c r="J2404" s="6" t="s">
        <v>312</v>
      </c>
      <c r="K2404" s="6" t="s">
        <v>16238</v>
      </c>
      <c r="L2404" s="6">
        <v>1.987315992E9</v>
      </c>
      <c r="M2404" s="6" t="s">
        <v>16240</v>
      </c>
      <c r="N2404" s="6" t="s">
        <v>427</v>
      </c>
      <c r="O2404" s="6" t="s">
        <v>161</v>
      </c>
      <c r="P2404" s="10">
        <v>45946.0</v>
      </c>
    </row>
    <row r="2405" ht="22.5" customHeight="1">
      <c r="A2405" s="6" t="s">
        <v>16241</v>
      </c>
      <c r="B2405" s="6" t="s">
        <v>16242</v>
      </c>
      <c r="C2405" s="6" t="s">
        <v>16243</v>
      </c>
      <c r="D2405" s="6" t="s">
        <v>206</v>
      </c>
      <c r="E2405" s="6" t="s">
        <v>147</v>
      </c>
      <c r="F2405" s="8">
        <v>16.0</v>
      </c>
      <c r="G2405" s="9">
        <v>88.11</v>
      </c>
      <c r="H2405" s="9">
        <v>9595.11</v>
      </c>
      <c r="I2405" s="6" t="s">
        <v>161</v>
      </c>
      <c r="J2405" s="6" t="s">
        <v>357</v>
      </c>
      <c r="K2405" s="6" t="s">
        <v>16245</v>
      </c>
      <c r="L2405" s="6">
        <v>7.565451447E9</v>
      </c>
      <c r="M2405" s="6" t="s">
        <v>16246</v>
      </c>
      <c r="N2405" s="6" t="s">
        <v>176</v>
      </c>
      <c r="O2405" s="6" t="s">
        <v>178</v>
      </c>
      <c r="P2405" s="10">
        <v>46002.0</v>
      </c>
    </row>
    <row r="2406" ht="22.5" customHeight="1">
      <c r="A2406" s="6" t="s">
        <v>16248</v>
      </c>
      <c r="B2406" s="6" t="s">
        <v>16249</v>
      </c>
      <c r="C2406" s="6" t="s">
        <v>16250</v>
      </c>
      <c r="D2406" s="6" t="s">
        <v>206</v>
      </c>
      <c r="E2406" s="6" t="s">
        <v>147</v>
      </c>
      <c r="F2406" s="8">
        <v>20.0</v>
      </c>
      <c r="G2406" s="9">
        <v>850.86</v>
      </c>
      <c r="H2406" s="9">
        <v>14551.21</v>
      </c>
      <c r="I2406" s="6" t="s">
        <v>161</v>
      </c>
      <c r="J2406" s="6" t="s">
        <v>479</v>
      </c>
      <c r="K2406" s="6" t="s">
        <v>16251</v>
      </c>
      <c r="L2406" s="6">
        <v>8.463526129E10</v>
      </c>
      <c r="M2406" s="6" t="s">
        <v>16252</v>
      </c>
      <c r="N2406" s="6" t="s">
        <v>176</v>
      </c>
      <c r="O2406" s="6" t="s">
        <v>178</v>
      </c>
      <c r="P2406" s="10">
        <v>45972.0</v>
      </c>
    </row>
    <row r="2407" ht="22.5" customHeight="1">
      <c r="A2407" s="6" t="s">
        <v>16254</v>
      </c>
      <c r="B2407" s="6" t="s">
        <v>16255</v>
      </c>
      <c r="C2407" s="6" t="s">
        <v>16256</v>
      </c>
      <c r="D2407" s="6" t="s">
        <v>145</v>
      </c>
      <c r="E2407" s="6" t="s">
        <v>147</v>
      </c>
      <c r="F2407" s="8">
        <v>13.0</v>
      </c>
      <c r="G2407" s="9">
        <v>193.39</v>
      </c>
      <c r="H2407" s="9">
        <v>5778.51</v>
      </c>
      <c r="I2407" s="6" t="s">
        <v>161</v>
      </c>
      <c r="J2407" s="6" t="s">
        <v>228</v>
      </c>
      <c r="K2407" s="6" t="s">
        <v>16258</v>
      </c>
      <c r="L2407" s="6">
        <v>4.3309785243E10</v>
      </c>
      <c r="M2407" s="6" t="s">
        <v>16259</v>
      </c>
      <c r="N2407" s="6" t="s">
        <v>283</v>
      </c>
      <c r="O2407" s="6" t="s">
        <v>178</v>
      </c>
      <c r="P2407" s="10">
        <v>45985.0</v>
      </c>
    </row>
    <row r="2408" ht="22.5" customHeight="1">
      <c r="A2408" s="6" t="s">
        <v>16261</v>
      </c>
      <c r="B2408" s="6" t="s">
        <v>16262</v>
      </c>
      <c r="C2408" s="6" t="s">
        <v>16263</v>
      </c>
      <c r="D2408" s="6" t="s">
        <v>145</v>
      </c>
      <c r="E2408" s="6" t="s">
        <v>210</v>
      </c>
      <c r="F2408" s="8">
        <v>97.0</v>
      </c>
      <c r="G2408" s="9">
        <v>1045.27</v>
      </c>
      <c r="H2408" s="9">
        <v>6501.01</v>
      </c>
      <c r="I2408" s="6" t="s">
        <v>178</v>
      </c>
      <c r="J2408" s="6" t="s">
        <v>1693</v>
      </c>
      <c r="K2408" s="6" t="s">
        <v>16265</v>
      </c>
      <c r="L2408" s="6">
        <v>1.10169412E8</v>
      </c>
      <c r="M2408" s="6" t="s">
        <v>16266</v>
      </c>
      <c r="N2408" s="6" t="s">
        <v>427</v>
      </c>
      <c r="O2408" s="6" t="s">
        <v>161</v>
      </c>
      <c r="P2408" s="10">
        <v>46029.0</v>
      </c>
    </row>
    <row r="2409" ht="22.5" customHeight="1">
      <c r="A2409" s="6" t="s">
        <v>16267</v>
      </c>
      <c r="B2409" s="6" t="s">
        <v>16268</v>
      </c>
      <c r="C2409" s="6" t="s">
        <v>16269</v>
      </c>
      <c r="D2409" s="6" t="s">
        <v>145</v>
      </c>
      <c r="E2409" s="6" t="s">
        <v>210</v>
      </c>
      <c r="F2409" s="8">
        <v>67.0</v>
      </c>
      <c r="G2409" s="9">
        <v>1264.6</v>
      </c>
      <c r="H2409" s="9">
        <v>12855.68</v>
      </c>
      <c r="I2409" s="6" t="s">
        <v>178</v>
      </c>
      <c r="J2409" s="6" t="s">
        <v>312</v>
      </c>
      <c r="K2409" s="6" t="s">
        <v>5089</v>
      </c>
      <c r="L2409" s="6">
        <v>7.157860347E10</v>
      </c>
      <c r="M2409" s="6" t="s">
        <v>16271</v>
      </c>
      <c r="N2409" s="6" t="s">
        <v>283</v>
      </c>
      <c r="O2409" s="6" t="s">
        <v>161</v>
      </c>
      <c r="P2409" s="10">
        <v>45952.0</v>
      </c>
    </row>
    <row r="2410" ht="22.5" customHeight="1">
      <c r="A2410" s="6" t="s">
        <v>16272</v>
      </c>
      <c r="B2410" s="6" t="s">
        <v>16273</v>
      </c>
      <c r="C2410" s="6" t="s">
        <v>16274</v>
      </c>
      <c r="D2410" s="6" t="s">
        <v>145</v>
      </c>
      <c r="E2410" s="6" t="s">
        <v>147</v>
      </c>
      <c r="F2410" s="8">
        <v>16.0</v>
      </c>
      <c r="G2410" s="9">
        <v>1421.46</v>
      </c>
      <c r="H2410" s="9">
        <v>9038.87</v>
      </c>
      <c r="I2410" s="6" t="s">
        <v>161</v>
      </c>
      <c r="J2410" s="6" t="s">
        <v>577</v>
      </c>
      <c r="K2410" s="6" t="s">
        <v>259</v>
      </c>
      <c r="L2410" s="6">
        <v>5.9168061102E10</v>
      </c>
      <c r="M2410" s="6" t="s">
        <v>16276</v>
      </c>
      <c r="N2410" s="6" t="s">
        <v>283</v>
      </c>
      <c r="O2410" s="6" t="s">
        <v>178</v>
      </c>
      <c r="P2410" s="10">
        <v>45966.0</v>
      </c>
    </row>
    <row r="2411" ht="22.5" customHeight="1">
      <c r="A2411" s="6" t="s">
        <v>16278</v>
      </c>
      <c r="B2411" s="6" t="s">
        <v>16279</v>
      </c>
      <c r="C2411" s="6" t="s">
        <v>16280</v>
      </c>
      <c r="D2411" s="6" t="s">
        <v>206</v>
      </c>
      <c r="E2411" s="6" t="s">
        <v>147</v>
      </c>
      <c r="F2411" s="8">
        <v>22.0</v>
      </c>
      <c r="G2411" s="9">
        <v>907.15</v>
      </c>
      <c r="H2411" s="9">
        <v>13748.8</v>
      </c>
      <c r="I2411" s="6" t="s">
        <v>161</v>
      </c>
      <c r="J2411" s="6" t="s">
        <v>393</v>
      </c>
      <c r="K2411" s="6" t="s">
        <v>16282</v>
      </c>
      <c r="L2411" s="6">
        <v>6.0239685294E10</v>
      </c>
      <c r="M2411" s="6" t="s">
        <v>16283</v>
      </c>
      <c r="N2411" s="6" t="s">
        <v>176</v>
      </c>
      <c r="O2411" s="6" t="s">
        <v>178</v>
      </c>
      <c r="P2411" s="10">
        <v>46020.0</v>
      </c>
    </row>
    <row r="2412" ht="22.5" customHeight="1">
      <c r="A2412" s="6" t="s">
        <v>16284</v>
      </c>
      <c r="B2412" s="6" t="s">
        <v>16285</v>
      </c>
      <c r="C2412" s="6" t="s">
        <v>16286</v>
      </c>
      <c r="D2412" s="6" t="s">
        <v>206</v>
      </c>
      <c r="E2412" s="6" t="s">
        <v>147</v>
      </c>
      <c r="F2412" s="8">
        <v>18.0</v>
      </c>
      <c r="G2412" s="9">
        <v>1761.44</v>
      </c>
      <c r="H2412" s="9">
        <v>14007.08</v>
      </c>
      <c r="I2412" s="6" t="s">
        <v>161</v>
      </c>
      <c r="J2412" s="6" t="s">
        <v>259</v>
      </c>
      <c r="K2412" s="6" t="s">
        <v>16288</v>
      </c>
      <c r="L2412" s="6">
        <v>8.5748290113E10</v>
      </c>
      <c r="M2412" s="6" t="s">
        <v>16289</v>
      </c>
      <c r="N2412" s="6" t="s">
        <v>112</v>
      </c>
      <c r="O2412" s="6" t="s">
        <v>178</v>
      </c>
      <c r="P2412" s="10">
        <v>46035.0</v>
      </c>
    </row>
    <row r="2413" ht="22.5" customHeight="1">
      <c r="A2413" s="6" t="s">
        <v>16291</v>
      </c>
      <c r="B2413" s="6" t="s">
        <v>16292</v>
      </c>
      <c r="C2413" s="6" t="s">
        <v>16293</v>
      </c>
      <c r="D2413" s="6" t="s">
        <v>145</v>
      </c>
      <c r="E2413" s="6" t="s">
        <v>301</v>
      </c>
      <c r="F2413" s="8">
        <v>53.0</v>
      </c>
      <c r="G2413" s="9">
        <v>1294.75</v>
      </c>
      <c r="H2413" s="9">
        <v>12631.69</v>
      </c>
      <c r="I2413" s="6" t="s">
        <v>178</v>
      </c>
      <c r="J2413" s="6" t="s">
        <v>393</v>
      </c>
      <c r="K2413" s="6" t="s">
        <v>16294</v>
      </c>
      <c r="L2413" s="6">
        <v>2.1444283963E10</v>
      </c>
      <c r="M2413" s="6" t="s">
        <v>16295</v>
      </c>
      <c r="N2413" s="6" t="s">
        <v>176</v>
      </c>
      <c r="O2413" s="6" t="s">
        <v>161</v>
      </c>
      <c r="P2413" s="10">
        <v>45983.0</v>
      </c>
    </row>
    <row r="2414" ht="22.5" customHeight="1">
      <c r="A2414" s="6" t="s">
        <v>16297</v>
      </c>
      <c r="B2414" s="6" t="s">
        <v>16298</v>
      </c>
      <c r="C2414" s="6" t="s">
        <v>16299</v>
      </c>
      <c r="D2414" s="6" t="s">
        <v>206</v>
      </c>
      <c r="E2414" s="6" t="s">
        <v>210</v>
      </c>
      <c r="F2414" s="8">
        <v>80.0</v>
      </c>
      <c r="G2414" s="9">
        <v>557.61</v>
      </c>
      <c r="H2414" s="9">
        <v>2071.72</v>
      </c>
      <c r="I2414" s="6" t="s">
        <v>178</v>
      </c>
      <c r="J2414" s="6" t="s">
        <v>312</v>
      </c>
      <c r="K2414" s="6" t="s">
        <v>16301</v>
      </c>
      <c r="L2414" s="6">
        <v>2.677284302E10</v>
      </c>
      <c r="M2414" s="6" t="s">
        <v>16302</v>
      </c>
      <c r="N2414" s="6" t="s">
        <v>427</v>
      </c>
      <c r="O2414" s="6" t="s">
        <v>161</v>
      </c>
      <c r="P2414" s="10">
        <v>45972.0</v>
      </c>
    </row>
    <row r="2415" ht="22.5" customHeight="1">
      <c r="A2415" s="6" t="s">
        <v>16303</v>
      </c>
      <c r="B2415" s="6" t="s">
        <v>16304</v>
      </c>
      <c r="C2415" s="6" t="s">
        <v>16305</v>
      </c>
      <c r="D2415" s="6" t="s">
        <v>206</v>
      </c>
      <c r="E2415" s="6" t="s">
        <v>147</v>
      </c>
      <c r="F2415" s="8">
        <v>19.0</v>
      </c>
      <c r="G2415" s="9">
        <v>1102.49</v>
      </c>
      <c r="H2415" s="9">
        <v>11383.28</v>
      </c>
      <c r="I2415" s="6" t="s">
        <v>161</v>
      </c>
      <c r="J2415" s="6" t="s">
        <v>228</v>
      </c>
      <c r="K2415" s="6" t="s">
        <v>16307</v>
      </c>
      <c r="L2415" s="6">
        <v>4.2411859727E10</v>
      </c>
      <c r="M2415" s="6" t="s">
        <v>16308</v>
      </c>
      <c r="N2415" s="6" t="s">
        <v>176</v>
      </c>
      <c r="O2415" s="6" t="s">
        <v>178</v>
      </c>
      <c r="P2415" s="10">
        <v>46030.0</v>
      </c>
    </row>
    <row r="2416" ht="22.5" customHeight="1">
      <c r="A2416" s="6" t="s">
        <v>16310</v>
      </c>
      <c r="B2416" s="6" t="s">
        <v>16311</v>
      </c>
      <c r="C2416" s="6" t="s">
        <v>16312</v>
      </c>
      <c r="D2416" s="6" t="s">
        <v>206</v>
      </c>
      <c r="E2416" s="6" t="s">
        <v>210</v>
      </c>
      <c r="F2416" s="8">
        <v>83.0</v>
      </c>
      <c r="G2416" s="9">
        <v>406.37</v>
      </c>
      <c r="H2416" s="9">
        <v>11015.41</v>
      </c>
      <c r="I2416" s="6" t="s">
        <v>161</v>
      </c>
      <c r="J2416" s="6" t="s">
        <v>577</v>
      </c>
      <c r="K2416" s="6" t="s">
        <v>259</v>
      </c>
      <c r="L2416" s="6">
        <v>5.0398317391E10</v>
      </c>
      <c r="M2416" s="6" t="s">
        <v>16314</v>
      </c>
      <c r="N2416" s="6" t="s">
        <v>176</v>
      </c>
      <c r="O2416" s="6" t="s">
        <v>161</v>
      </c>
      <c r="P2416" s="10">
        <v>46041.0</v>
      </c>
    </row>
    <row r="2417" ht="22.5" customHeight="1">
      <c r="A2417" s="6" t="s">
        <v>16315</v>
      </c>
      <c r="B2417" s="6" t="s">
        <v>16316</v>
      </c>
      <c r="C2417" s="6" t="s">
        <v>16318</v>
      </c>
      <c r="D2417" s="6" t="s">
        <v>145</v>
      </c>
      <c r="E2417" s="6" t="s">
        <v>147</v>
      </c>
      <c r="F2417" s="8">
        <v>7.0</v>
      </c>
      <c r="G2417" s="9">
        <v>1204.48</v>
      </c>
      <c r="H2417" s="9">
        <v>7627.75</v>
      </c>
      <c r="I2417" s="6" t="s">
        <v>161</v>
      </c>
      <c r="J2417" s="6" t="s">
        <v>577</v>
      </c>
      <c r="K2417" s="6" t="s">
        <v>16319</v>
      </c>
      <c r="L2417" s="6">
        <v>1.197095167E10</v>
      </c>
      <c r="M2417" s="6" t="s">
        <v>16320</v>
      </c>
      <c r="N2417" s="6" t="s">
        <v>112</v>
      </c>
      <c r="O2417" s="6" t="s">
        <v>178</v>
      </c>
      <c r="P2417" s="10">
        <v>45953.0</v>
      </c>
    </row>
    <row r="2418" ht="22.5" customHeight="1">
      <c r="A2418" s="6" t="s">
        <v>16322</v>
      </c>
      <c r="B2418" s="6" t="s">
        <v>16323</v>
      </c>
      <c r="C2418" s="6" t="s">
        <v>16324</v>
      </c>
      <c r="D2418" s="6" t="s">
        <v>145</v>
      </c>
      <c r="E2418" s="6" t="s">
        <v>147</v>
      </c>
      <c r="F2418" s="8">
        <v>10.0</v>
      </c>
      <c r="G2418" s="9">
        <v>402.09</v>
      </c>
      <c r="H2418" s="9">
        <v>7636.59</v>
      </c>
      <c r="I2418" s="6" t="s">
        <v>161</v>
      </c>
      <c r="J2418" s="6" t="s">
        <v>442</v>
      </c>
      <c r="K2418" s="6" t="s">
        <v>16326</v>
      </c>
      <c r="L2418" s="6">
        <v>1.063982394E9</v>
      </c>
      <c r="M2418" s="6" t="s">
        <v>16327</v>
      </c>
      <c r="N2418" s="6" t="s">
        <v>112</v>
      </c>
      <c r="O2418" s="6" t="s">
        <v>178</v>
      </c>
      <c r="P2418" s="10">
        <v>45948.0</v>
      </c>
    </row>
    <row r="2419" ht="22.5" customHeight="1">
      <c r="A2419" s="6" t="s">
        <v>16328</v>
      </c>
      <c r="B2419" s="6" t="s">
        <v>16329</v>
      </c>
      <c r="C2419" s="6" t="s">
        <v>16330</v>
      </c>
      <c r="D2419" s="6" t="s">
        <v>145</v>
      </c>
      <c r="E2419" s="6" t="s">
        <v>147</v>
      </c>
      <c r="F2419" s="8">
        <v>17.0</v>
      </c>
      <c r="G2419" s="9">
        <v>1585.1</v>
      </c>
      <c r="H2419" s="9">
        <v>5584.43</v>
      </c>
      <c r="I2419" s="6" t="s">
        <v>161</v>
      </c>
      <c r="J2419" s="6" t="s">
        <v>465</v>
      </c>
      <c r="K2419" s="6" t="s">
        <v>16332</v>
      </c>
      <c r="L2419" s="6">
        <v>4.8171638137E10</v>
      </c>
      <c r="M2419" s="6" t="s">
        <v>16333</v>
      </c>
      <c r="N2419" s="6" t="s">
        <v>427</v>
      </c>
      <c r="O2419" s="6" t="s">
        <v>178</v>
      </c>
      <c r="P2419" s="10">
        <v>46015.0</v>
      </c>
    </row>
    <row r="2420" ht="22.5" customHeight="1">
      <c r="A2420" s="6" t="s">
        <v>16334</v>
      </c>
      <c r="B2420" s="6" t="s">
        <v>16335</v>
      </c>
      <c r="C2420" s="6" t="s">
        <v>16336</v>
      </c>
      <c r="D2420" s="6" t="s">
        <v>145</v>
      </c>
      <c r="E2420" s="6" t="s">
        <v>147</v>
      </c>
      <c r="F2420" s="8">
        <v>21.0</v>
      </c>
      <c r="G2420" s="9">
        <v>1402.79</v>
      </c>
      <c r="H2420" s="9">
        <v>11801.27</v>
      </c>
      <c r="I2420" s="6" t="s">
        <v>161</v>
      </c>
      <c r="J2420" s="6" t="s">
        <v>479</v>
      </c>
      <c r="K2420" s="6" t="s">
        <v>16338</v>
      </c>
      <c r="L2420" s="6">
        <v>7.6267058582E10</v>
      </c>
      <c r="M2420" s="6" t="s">
        <v>16339</v>
      </c>
      <c r="N2420" s="6" t="s">
        <v>259</v>
      </c>
      <c r="O2420" s="6" t="s">
        <v>178</v>
      </c>
      <c r="P2420" s="10">
        <v>46033.0</v>
      </c>
    </row>
    <row r="2421" ht="22.5" customHeight="1">
      <c r="A2421" s="6" t="s">
        <v>16341</v>
      </c>
      <c r="B2421" s="6" t="s">
        <v>16342</v>
      </c>
      <c r="C2421" s="6" t="s">
        <v>16343</v>
      </c>
      <c r="D2421" s="6" t="s">
        <v>145</v>
      </c>
      <c r="E2421" s="6" t="s">
        <v>147</v>
      </c>
      <c r="F2421" s="8">
        <v>14.0</v>
      </c>
      <c r="G2421" s="9">
        <v>1507.61</v>
      </c>
      <c r="H2421" s="9">
        <v>4261.06</v>
      </c>
      <c r="I2421" s="6" t="s">
        <v>178</v>
      </c>
      <c r="J2421" s="6" t="s">
        <v>421</v>
      </c>
      <c r="K2421" s="6" t="s">
        <v>16345</v>
      </c>
      <c r="L2421" s="6">
        <v>5.8137734577E10</v>
      </c>
      <c r="M2421" s="6" t="s">
        <v>16346</v>
      </c>
      <c r="N2421" s="6" t="s">
        <v>176</v>
      </c>
      <c r="O2421" s="6" t="s">
        <v>161</v>
      </c>
      <c r="P2421" s="10">
        <v>46030.0</v>
      </c>
    </row>
    <row r="2422" ht="22.5" customHeight="1">
      <c r="A2422" s="6" t="s">
        <v>16347</v>
      </c>
      <c r="B2422" s="6" t="s">
        <v>16349</v>
      </c>
      <c r="C2422" s="6" t="s">
        <v>16350</v>
      </c>
      <c r="D2422" s="6" t="s">
        <v>145</v>
      </c>
      <c r="E2422" s="6" t="s">
        <v>147</v>
      </c>
      <c r="F2422" s="8">
        <v>8.0</v>
      </c>
      <c r="G2422" s="9">
        <v>789.23</v>
      </c>
      <c r="H2422" s="9">
        <v>2323.45</v>
      </c>
      <c r="I2422" s="6" t="s">
        <v>178</v>
      </c>
      <c r="J2422" s="6" t="s">
        <v>479</v>
      </c>
      <c r="K2422" s="6" t="s">
        <v>16351</v>
      </c>
      <c r="L2422" s="6">
        <v>2.8437589663E10</v>
      </c>
      <c r="M2422" s="6" t="s">
        <v>16352</v>
      </c>
      <c r="N2422" s="6" t="s">
        <v>427</v>
      </c>
      <c r="O2422" s="6" t="s">
        <v>161</v>
      </c>
      <c r="P2422" s="10">
        <v>46008.0</v>
      </c>
    </row>
    <row r="2423" ht="22.5" customHeight="1">
      <c r="A2423" s="6" t="s">
        <v>16354</v>
      </c>
      <c r="B2423" s="6" t="s">
        <v>16355</v>
      </c>
      <c r="C2423" s="6" t="s">
        <v>16356</v>
      </c>
      <c r="D2423" s="6" t="s">
        <v>145</v>
      </c>
      <c r="E2423" s="6" t="s">
        <v>210</v>
      </c>
      <c r="F2423" s="8">
        <v>81.0</v>
      </c>
      <c r="G2423" s="9">
        <v>294.15</v>
      </c>
      <c r="H2423" s="9">
        <v>5351.77</v>
      </c>
      <c r="I2423" s="6" t="s">
        <v>178</v>
      </c>
      <c r="J2423" s="6" t="s">
        <v>312</v>
      </c>
      <c r="K2423" s="6" t="s">
        <v>16358</v>
      </c>
      <c r="L2423" s="6">
        <v>7.0758271543E10</v>
      </c>
      <c r="M2423" s="6" t="s">
        <v>16359</v>
      </c>
      <c r="N2423" s="6" t="s">
        <v>112</v>
      </c>
      <c r="O2423" s="6" t="s">
        <v>161</v>
      </c>
      <c r="P2423" s="10">
        <v>46040.0</v>
      </c>
    </row>
    <row r="2424" ht="22.5" customHeight="1">
      <c r="A2424" s="6" t="s">
        <v>16360</v>
      </c>
      <c r="B2424" s="6" t="s">
        <v>16361</v>
      </c>
      <c r="C2424" s="6" t="s">
        <v>16362</v>
      </c>
      <c r="D2424" s="6" t="s">
        <v>145</v>
      </c>
      <c r="E2424" s="6" t="s">
        <v>147</v>
      </c>
      <c r="F2424" s="8">
        <v>24.0</v>
      </c>
      <c r="G2424" s="9">
        <v>1063.27</v>
      </c>
      <c r="H2424" s="9">
        <v>12700.6</v>
      </c>
      <c r="I2424" s="6" t="s">
        <v>161</v>
      </c>
      <c r="J2424" s="6" t="s">
        <v>577</v>
      </c>
      <c r="K2424" s="6" t="s">
        <v>16364</v>
      </c>
      <c r="L2424" s="6">
        <v>6.6451262821E10</v>
      </c>
      <c r="M2424" s="6" t="s">
        <v>16365</v>
      </c>
      <c r="N2424" s="6" t="s">
        <v>427</v>
      </c>
      <c r="O2424" s="6" t="s">
        <v>178</v>
      </c>
      <c r="P2424" s="10">
        <v>45995.0</v>
      </c>
    </row>
    <row r="2425" ht="22.5" customHeight="1">
      <c r="A2425" s="6" t="s">
        <v>16367</v>
      </c>
      <c r="B2425" s="6" t="s">
        <v>16368</v>
      </c>
      <c r="C2425" s="6" t="s">
        <v>16369</v>
      </c>
      <c r="D2425" s="6" t="s">
        <v>206</v>
      </c>
      <c r="E2425" s="6" t="s">
        <v>147</v>
      </c>
      <c r="F2425" s="8">
        <v>28.0</v>
      </c>
      <c r="G2425" s="9">
        <v>1446.3</v>
      </c>
      <c r="H2425" s="9">
        <v>11492.17</v>
      </c>
      <c r="I2425" s="6" t="s">
        <v>178</v>
      </c>
      <c r="J2425" s="6" t="s">
        <v>421</v>
      </c>
      <c r="K2425" s="6" t="s">
        <v>16371</v>
      </c>
      <c r="L2425" s="6">
        <v>5.6251865381E10</v>
      </c>
      <c r="M2425" s="6" t="s">
        <v>16372</v>
      </c>
      <c r="N2425" s="6" t="s">
        <v>283</v>
      </c>
      <c r="O2425" s="6" t="s">
        <v>161</v>
      </c>
      <c r="P2425" s="10">
        <v>46017.0</v>
      </c>
    </row>
    <row r="2426" ht="22.5" customHeight="1">
      <c r="A2426" s="6" t="s">
        <v>16374</v>
      </c>
      <c r="B2426" s="6" t="s">
        <v>16375</v>
      </c>
      <c r="C2426" s="6" t="s">
        <v>16376</v>
      </c>
      <c r="D2426" s="6" t="s">
        <v>206</v>
      </c>
      <c r="E2426" s="6" t="s">
        <v>147</v>
      </c>
      <c r="F2426" s="8">
        <v>25.0</v>
      </c>
      <c r="G2426" s="9">
        <v>689.92</v>
      </c>
      <c r="H2426" s="9">
        <v>1294.52</v>
      </c>
      <c r="I2426" s="6" t="s">
        <v>161</v>
      </c>
      <c r="J2426" s="6" t="s">
        <v>442</v>
      </c>
      <c r="K2426" s="6" t="s">
        <v>16377</v>
      </c>
      <c r="L2426" s="6">
        <v>4.1657513508E10</v>
      </c>
      <c r="M2426" s="6" t="s">
        <v>16379</v>
      </c>
      <c r="N2426" s="6" t="s">
        <v>112</v>
      </c>
      <c r="O2426" s="6" t="s">
        <v>178</v>
      </c>
      <c r="P2426" s="10">
        <v>46037.0</v>
      </c>
    </row>
    <row r="2427" ht="22.5" customHeight="1">
      <c r="A2427" s="6" t="s">
        <v>16380</v>
      </c>
      <c r="B2427" s="6" t="s">
        <v>16381</v>
      </c>
      <c r="C2427" s="6" t="s">
        <v>16382</v>
      </c>
      <c r="D2427" s="6" t="s">
        <v>145</v>
      </c>
      <c r="E2427" s="6" t="s">
        <v>147</v>
      </c>
      <c r="F2427" s="8">
        <v>23.0</v>
      </c>
      <c r="G2427" s="9">
        <v>1243.42</v>
      </c>
      <c r="H2427" s="9">
        <v>13539.7</v>
      </c>
      <c r="I2427" s="6" t="s">
        <v>161</v>
      </c>
      <c r="J2427" s="6" t="s">
        <v>442</v>
      </c>
      <c r="K2427" s="6" t="s">
        <v>16384</v>
      </c>
      <c r="L2427" s="6">
        <v>6.2851197589E10</v>
      </c>
      <c r="M2427" s="6" t="s">
        <v>16385</v>
      </c>
      <c r="N2427" s="6" t="s">
        <v>259</v>
      </c>
      <c r="O2427" s="6" t="s">
        <v>178</v>
      </c>
      <c r="P2427" s="10">
        <v>46007.0</v>
      </c>
    </row>
    <row r="2428" ht="22.5" customHeight="1">
      <c r="A2428" s="6" t="s">
        <v>16386</v>
      </c>
      <c r="B2428" s="6" t="s">
        <v>16387</v>
      </c>
      <c r="C2428" s="6" t="s">
        <v>16389</v>
      </c>
      <c r="D2428" s="6" t="s">
        <v>145</v>
      </c>
      <c r="E2428" s="6" t="s">
        <v>147</v>
      </c>
      <c r="F2428" s="8">
        <v>21.0</v>
      </c>
      <c r="G2428" s="9">
        <v>273.16</v>
      </c>
      <c r="H2428" s="9">
        <v>5241.77</v>
      </c>
      <c r="I2428" s="6" t="s">
        <v>161</v>
      </c>
      <c r="J2428" s="6" t="s">
        <v>577</v>
      </c>
      <c r="K2428" s="6" t="s">
        <v>16390</v>
      </c>
      <c r="L2428" s="6">
        <v>1.9772495371E10</v>
      </c>
      <c r="M2428" s="6" t="s">
        <v>16391</v>
      </c>
      <c r="N2428" s="6" t="s">
        <v>112</v>
      </c>
      <c r="O2428" s="6" t="s">
        <v>178</v>
      </c>
      <c r="P2428" s="10">
        <v>45981.0</v>
      </c>
    </row>
    <row r="2429" ht="22.5" customHeight="1">
      <c r="A2429" s="6" t="s">
        <v>16393</v>
      </c>
      <c r="B2429" s="6" t="s">
        <v>16394</v>
      </c>
      <c r="C2429" s="6" t="s">
        <v>16395</v>
      </c>
      <c r="D2429" s="6" t="s">
        <v>206</v>
      </c>
      <c r="E2429" s="6" t="s">
        <v>301</v>
      </c>
      <c r="F2429" s="8">
        <v>57.0</v>
      </c>
      <c r="G2429" s="9">
        <v>308.15</v>
      </c>
      <c r="H2429" s="9">
        <v>6282.13</v>
      </c>
      <c r="I2429" s="6" t="s">
        <v>161</v>
      </c>
      <c r="J2429" s="6" t="s">
        <v>163</v>
      </c>
      <c r="K2429" s="6" t="s">
        <v>16397</v>
      </c>
      <c r="L2429" s="6">
        <v>8.5832439718E10</v>
      </c>
      <c r="M2429" s="6" t="s">
        <v>16398</v>
      </c>
      <c r="N2429" s="6" t="s">
        <v>176</v>
      </c>
      <c r="O2429" s="6" t="s">
        <v>178</v>
      </c>
      <c r="P2429" s="10">
        <v>45999.0</v>
      </c>
    </row>
    <row r="2430" ht="22.5" customHeight="1">
      <c r="A2430" s="6" t="s">
        <v>16399</v>
      </c>
      <c r="B2430" s="6" t="s">
        <v>16400</v>
      </c>
      <c r="C2430" s="6" t="s">
        <v>16401</v>
      </c>
      <c r="D2430" s="6" t="s">
        <v>206</v>
      </c>
      <c r="E2430" s="6" t="s">
        <v>147</v>
      </c>
      <c r="F2430" s="8">
        <v>17.0</v>
      </c>
      <c r="G2430" s="9">
        <v>964.74</v>
      </c>
      <c r="H2430" s="9">
        <v>6240.33</v>
      </c>
      <c r="I2430" s="6" t="s">
        <v>161</v>
      </c>
      <c r="J2430" s="6" t="s">
        <v>393</v>
      </c>
      <c r="K2430" s="6" t="s">
        <v>16402</v>
      </c>
      <c r="L2430" s="6">
        <v>6.6008770791E10</v>
      </c>
      <c r="M2430" s="6" t="s">
        <v>16404</v>
      </c>
      <c r="N2430" s="6" t="s">
        <v>176</v>
      </c>
      <c r="O2430" s="6" t="s">
        <v>178</v>
      </c>
      <c r="P2430" s="10">
        <v>45931.0</v>
      </c>
    </row>
    <row r="2431" ht="22.5" customHeight="1">
      <c r="A2431" s="6" t="s">
        <v>16405</v>
      </c>
      <c r="B2431" s="6" t="s">
        <v>16406</v>
      </c>
      <c r="C2431" s="6" t="s">
        <v>16407</v>
      </c>
      <c r="D2431" s="6" t="s">
        <v>206</v>
      </c>
      <c r="E2431" s="6" t="s">
        <v>301</v>
      </c>
      <c r="F2431" s="8">
        <v>33.0</v>
      </c>
      <c r="G2431" s="9">
        <v>597.69</v>
      </c>
      <c r="H2431" s="9">
        <v>1557.77</v>
      </c>
      <c r="I2431" s="6" t="s">
        <v>161</v>
      </c>
      <c r="J2431" s="6" t="s">
        <v>1229</v>
      </c>
      <c r="K2431" s="6" t="s">
        <v>16409</v>
      </c>
      <c r="L2431" s="6">
        <v>4.2864729983E10</v>
      </c>
      <c r="M2431" s="6" t="s">
        <v>16410</v>
      </c>
      <c r="N2431" s="6" t="s">
        <v>427</v>
      </c>
      <c r="O2431" s="6" t="s">
        <v>178</v>
      </c>
      <c r="P2431" s="10">
        <v>45977.0</v>
      </c>
    </row>
    <row r="2432" ht="22.5" customHeight="1">
      <c r="A2432" s="6" t="s">
        <v>16411</v>
      </c>
      <c r="B2432" s="6" t="s">
        <v>16412</v>
      </c>
      <c r="C2432" s="6" t="s">
        <v>16413</v>
      </c>
      <c r="D2432" s="6" t="s">
        <v>145</v>
      </c>
      <c r="E2432" s="6" t="s">
        <v>301</v>
      </c>
      <c r="F2432" s="8">
        <v>43.0</v>
      </c>
      <c r="G2432" s="9">
        <v>1115.44</v>
      </c>
      <c r="H2432" s="9">
        <v>10921.4</v>
      </c>
      <c r="I2432" s="6" t="s">
        <v>178</v>
      </c>
      <c r="J2432" s="6" t="s">
        <v>479</v>
      </c>
      <c r="K2432" s="6" t="s">
        <v>16415</v>
      </c>
      <c r="L2432" s="6">
        <v>3.8790825697E10</v>
      </c>
      <c r="M2432" s="6" t="s">
        <v>16416</v>
      </c>
      <c r="N2432" s="6" t="s">
        <v>283</v>
      </c>
      <c r="O2432" s="6" t="s">
        <v>161</v>
      </c>
      <c r="P2432" s="10">
        <v>45951.0</v>
      </c>
    </row>
    <row r="2433" ht="22.5" customHeight="1">
      <c r="A2433" s="6" t="s">
        <v>16418</v>
      </c>
      <c r="B2433" s="6" t="s">
        <v>16419</v>
      </c>
      <c r="C2433" s="6" t="s">
        <v>16420</v>
      </c>
      <c r="D2433" s="6" t="s">
        <v>145</v>
      </c>
      <c r="E2433" s="6" t="s">
        <v>147</v>
      </c>
      <c r="F2433" s="8">
        <v>10.0</v>
      </c>
      <c r="G2433" s="9">
        <v>1712.6</v>
      </c>
      <c r="H2433" s="9">
        <v>11020.56</v>
      </c>
      <c r="I2433" s="6" t="s">
        <v>161</v>
      </c>
      <c r="J2433" s="6" t="s">
        <v>357</v>
      </c>
      <c r="K2433" s="6" t="s">
        <v>16421</v>
      </c>
      <c r="L2433" s="6">
        <v>6.8992940372E10</v>
      </c>
      <c r="M2433" s="6" t="s">
        <v>16423</v>
      </c>
      <c r="N2433" s="6" t="s">
        <v>283</v>
      </c>
      <c r="O2433" s="6" t="s">
        <v>178</v>
      </c>
      <c r="P2433" s="10">
        <v>45975.0</v>
      </c>
    </row>
    <row r="2434" ht="22.5" customHeight="1">
      <c r="A2434" s="6" t="s">
        <v>16424</v>
      </c>
      <c r="B2434" s="6" t="s">
        <v>16425</v>
      </c>
      <c r="C2434" s="6" t="s">
        <v>16426</v>
      </c>
      <c r="D2434" s="6" t="s">
        <v>206</v>
      </c>
      <c r="E2434" s="6" t="s">
        <v>147</v>
      </c>
      <c r="F2434" s="8">
        <v>24.0</v>
      </c>
      <c r="G2434" s="9">
        <v>221.01</v>
      </c>
      <c r="H2434" s="9">
        <v>4934.43</v>
      </c>
      <c r="I2434" s="6" t="s">
        <v>161</v>
      </c>
      <c r="J2434" s="6" t="s">
        <v>577</v>
      </c>
      <c r="K2434" s="6" t="s">
        <v>16428</v>
      </c>
      <c r="L2434" s="6">
        <v>2.8588578288E10</v>
      </c>
      <c r="M2434" s="6" t="s">
        <v>16429</v>
      </c>
      <c r="N2434" s="6" t="s">
        <v>283</v>
      </c>
      <c r="O2434" s="6" t="s">
        <v>178</v>
      </c>
      <c r="P2434" s="10">
        <v>46024.0</v>
      </c>
    </row>
    <row r="2435" ht="22.5" customHeight="1">
      <c r="A2435" s="6" t="s">
        <v>16430</v>
      </c>
      <c r="B2435" s="6" t="s">
        <v>16431</v>
      </c>
      <c r="C2435" s="6" t="s">
        <v>16432</v>
      </c>
      <c r="D2435" s="6" t="s">
        <v>145</v>
      </c>
      <c r="E2435" s="6" t="s">
        <v>147</v>
      </c>
      <c r="F2435" s="8">
        <v>21.0</v>
      </c>
      <c r="G2435" s="9">
        <v>988.08</v>
      </c>
      <c r="H2435" s="9">
        <v>5987.49</v>
      </c>
      <c r="I2435" s="6" t="s">
        <v>161</v>
      </c>
      <c r="J2435" s="6" t="s">
        <v>312</v>
      </c>
      <c r="K2435" s="6" t="s">
        <v>16434</v>
      </c>
      <c r="L2435" s="6">
        <v>6.7934565932E10</v>
      </c>
      <c r="M2435" s="6" t="s">
        <v>16435</v>
      </c>
      <c r="N2435" s="6" t="s">
        <v>112</v>
      </c>
      <c r="O2435" s="6" t="s">
        <v>178</v>
      </c>
      <c r="P2435" s="10">
        <v>45935.0</v>
      </c>
    </row>
    <row r="2436" ht="22.5" customHeight="1">
      <c r="A2436" s="6" t="s">
        <v>16437</v>
      </c>
      <c r="B2436" s="6" t="s">
        <v>16438</v>
      </c>
      <c r="C2436" s="6" t="s">
        <v>16439</v>
      </c>
      <c r="D2436" s="6" t="s">
        <v>145</v>
      </c>
      <c r="E2436" s="6" t="s">
        <v>301</v>
      </c>
      <c r="F2436" s="8">
        <v>42.0</v>
      </c>
      <c r="G2436" s="9">
        <v>774.03</v>
      </c>
      <c r="H2436" s="9">
        <v>12920.88</v>
      </c>
      <c r="I2436" s="6" t="s">
        <v>161</v>
      </c>
      <c r="J2436" s="6" t="s">
        <v>479</v>
      </c>
      <c r="K2436" s="6" t="s">
        <v>16441</v>
      </c>
      <c r="L2436" s="6">
        <v>1.83146405E10</v>
      </c>
      <c r="M2436" s="6" t="s">
        <v>16442</v>
      </c>
      <c r="N2436" s="6" t="s">
        <v>112</v>
      </c>
      <c r="O2436" s="6" t="s">
        <v>178</v>
      </c>
      <c r="P2436" s="10">
        <v>45987.0</v>
      </c>
    </row>
    <row r="2437" ht="22.5" customHeight="1">
      <c r="A2437" s="6" t="s">
        <v>16443</v>
      </c>
      <c r="B2437" s="6" t="s">
        <v>16444</v>
      </c>
      <c r="C2437" s="6" t="s">
        <v>16445</v>
      </c>
      <c r="D2437" s="6" t="s">
        <v>383</v>
      </c>
      <c r="E2437" s="6" t="s">
        <v>147</v>
      </c>
      <c r="F2437" s="8">
        <v>26.0</v>
      </c>
      <c r="G2437" s="9">
        <v>580.79</v>
      </c>
      <c r="H2437" s="9">
        <v>11943.48</v>
      </c>
      <c r="I2437" s="6" t="s">
        <v>178</v>
      </c>
      <c r="J2437" s="6" t="s">
        <v>442</v>
      </c>
      <c r="K2437" s="6" t="s">
        <v>16447</v>
      </c>
      <c r="L2437" s="6">
        <v>2.1671204523E10</v>
      </c>
      <c r="M2437" s="6" t="s">
        <v>16448</v>
      </c>
      <c r="N2437" s="6" t="s">
        <v>176</v>
      </c>
      <c r="O2437" s="6" t="s">
        <v>161</v>
      </c>
      <c r="P2437" s="10">
        <v>45990.0</v>
      </c>
    </row>
    <row r="2438" ht="22.5" customHeight="1">
      <c r="A2438" s="6" t="s">
        <v>16450</v>
      </c>
      <c r="B2438" s="6" t="s">
        <v>16451</v>
      </c>
      <c r="C2438" s="6" t="s">
        <v>16452</v>
      </c>
      <c r="D2438" s="6" t="s">
        <v>145</v>
      </c>
      <c r="E2438" s="6" t="s">
        <v>210</v>
      </c>
      <c r="F2438" s="8">
        <v>87.0</v>
      </c>
      <c r="G2438" s="9">
        <v>1152.38</v>
      </c>
      <c r="H2438" s="9">
        <v>2172.7</v>
      </c>
      <c r="I2438" s="6" t="s">
        <v>161</v>
      </c>
      <c r="J2438" s="6" t="s">
        <v>357</v>
      </c>
      <c r="K2438" s="6" t="s">
        <v>16454</v>
      </c>
      <c r="L2438" s="6">
        <v>9.6336883679E10</v>
      </c>
      <c r="M2438" s="6" t="s">
        <v>16455</v>
      </c>
      <c r="N2438" s="6" t="s">
        <v>176</v>
      </c>
      <c r="O2438" s="6" t="s">
        <v>161</v>
      </c>
      <c r="P2438" s="10">
        <v>45964.0</v>
      </c>
    </row>
    <row r="2439" ht="22.5" customHeight="1">
      <c r="A2439" s="6" t="s">
        <v>16456</v>
      </c>
      <c r="B2439" s="6" t="s">
        <v>16457</v>
      </c>
      <c r="C2439" s="6" t="s">
        <v>16459</v>
      </c>
      <c r="D2439" s="6" t="s">
        <v>145</v>
      </c>
      <c r="E2439" s="6" t="s">
        <v>301</v>
      </c>
      <c r="F2439" s="8">
        <v>47.0</v>
      </c>
      <c r="G2439" s="9">
        <v>1703.91</v>
      </c>
      <c r="H2439" s="9">
        <v>2795.37</v>
      </c>
      <c r="I2439" s="6" t="s">
        <v>178</v>
      </c>
      <c r="J2439" s="6" t="s">
        <v>465</v>
      </c>
      <c r="K2439" s="6" t="s">
        <v>16460</v>
      </c>
      <c r="L2439" s="6">
        <v>2.4213355393E10</v>
      </c>
      <c r="M2439" s="6" t="s">
        <v>16461</v>
      </c>
      <c r="N2439" s="6" t="s">
        <v>259</v>
      </c>
      <c r="O2439" s="6" t="s">
        <v>161</v>
      </c>
      <c r="P2439" s="10">
        <v>46002.0</v>
      </c>
    </row>
    <row r="2440" ht="22.5" customHeight="1">
      <c r="A2440" s="6" t="s">
        <v>16463</v>
      </c>
      <c r="B2440" s="6" t="s">
        <v>16464</v>
      </c>
      <c r="C2440" s="6" t="s">
        <v>16465</v>
      </c>
      <c r="D2440" s="6" t="s">
        <v>383</v>
      </c>
      <c r="E2440" s="6" t="s">
        <v>147</v>
      </c>
      <c r="F2440" s="8">
        <v>28.0</v>
      </c>
      <c r="G2440" s="9">
        <v>819.23</v>
      </c>
      <c r="H2440" s="9">
        <v>10980.11</v>
      </c>
      <c r="I2440" s="6" t="s">
        <v>161</v>
      </c>
      <c r="J2440" s="6" t="s">
        <v>163</v>
      </c>
      <c r="K2440" s="6" t="s">
        <v>16467</v>
      </c>
      <c r="L2440" s="6">
        <v>2.4273165735E10</v>
      </c>
      <c r="M2440" s="6" t="s">
        <v>16468</v>
      </c>
      <c r="N2440" s="6" t="s">
        <v>176</v>
      </c>
      <c r="O2440" s="6" t="s">
        <v>178</v>
      </c>
      <c r="P2440" s="10">
        <v>46033.0</v>
      </c>
    </row>
    <row r="2441" ht="22.5" customHeight="1">
      <c r="A2441" s="6" t="s">
        <v>16469</v>
      </c>
      <c r="B2441" s="6" t="s">
        <v>16470</v>
      </c>
      <c r="C2441" s="6" t="s">
        <v>16472</v>
      </c>
      <c r="D2441" s="6" t="s">
        <v>383</v>
      </c>
      <c r="E2441" s="6" t="s">
        <v>301</v>
      </c>
      <c r="F2441" s="8">
        <v>39.0</v>
      </c>
      <c r="G2441" s="9">
        <v>492.52</v>
      </c>
      <c r="H2441" s="9">
        <v>1699.27</v>
      </c>
      <c r="I2441" s="6" t="s">
        <v>161</v>
      </c>
      <c r="J2441" s="6" t="s">
        <v>465</v>
      </c>
      <c r="K2441" s="6" t="s">
        <v>16473</v>
      </c>
      <c r="L2441" s="6">
        <v>3.2467864172E10</v>
      </c>
      <c r="M2441" s="6" t="s">
        <v>16474</v>
      </c>
      <c r="N2441" s="6" t="s">
        <v>427</v>
      </c>
      <c r="O2441" s="6" t="s">
        <v>178</v>
      </c>
      <c r="P2441" s="10">
        <v>46030.0</v>
      </c>
    </row>
    <row r="2442" ht="22.5" customHeight="1">
      <c r="A2442" s="6" t="s">
        <v>16476</v>
      </c>
      <c r="B2442" s="6" t="s">
        <v>16477</v>
      </c>
      <c r="C2442" s="6" t="s">
        <v>16478</v>
      </c>
      <c r="D2442" s="6" t="s">
        <v>206</v>
      </c>
      <c r="E2442" s="6" t="s">
        <v>147</v>
      </c>
      <c r="F2442" s="8">
        <v>17.0</v>
      </c>
      <c r="G2442" s="9">
        <v>823.72</v>
      </c>
      <c r="H2442" s="9">
        <v>3959.63</v>
      </c>
      <c r="I2442" s="6" t="s">
        <v>161</v>
      </c>
      <c r="J2442" s="6" t="s">
        <v>442</v>
      </c>
      <c r="K2442" s="6" t="s">
        <v>16479</v>
      </c>
      <c r="L2442" s="6">
        <v>4.212258642E9</v>
      </c>
      <c r="M2442" s="6" t="s">
        <v>16481</v>
      </c>
      <c r="N2442" s="6" t="s">
        <v>112</v>
      </c>
      <c r="O2442" s="6" t="s">
        <v>178</v>
      </c>
      <c r="P2442" s="10">
        <v>46013.0</v>
      </c>
    </row>
    <row r="2443" ht="22.5" customHeight="1">
      <c r="A2443" s="6" t="s">
        <v>16482</v>
      </c>
      <c r="B2443" s="6" t="s">
        <v>16483</v>
      </c>
      <c r="C2443" s="6" t="s">
        <v>16484</v>
      </c>
      <c r="D2443" s="6" t="s">
        <v>383</v>
      </c>
      <c r="E2443" s="6" t="s">
        <v>147</v>
      </c>
      <c r="F2443" s="8">
        <v>12.0</v>
      </c>
      <c r="G2443" s="9">
        <v>752.04</v>
      </c>
      <c r="H2443" s="9">
        <v>12849.69</v>
      </c>
      <c r="I2443" s="6" t="s">
        <v>161</v>
      </c>
      <c r="J2443" s="6" t="s">
        <v>312</v>
      </c>
      <c r="K2443" s="6" t="s">
        <v>16486</v>
      </c>
      <c r="L2443" s="6">
        <v>5.1669136516E10</v>
      </c>
      <c r="M2443" s="6" t="s">
        <v>16487</v>
      </c>
      <c r="N2443" s="6" t="s">
        <v>427</v>
      </c>
      <c r="O2443" s="6" t="s">
        <v>178</v>
      </c>
      <c r="P2443" s="10">
        <v>45983.0</v>
      </c>
    </row>
    <row r="2444" ht="22.5" customHeight="1">
      <c r="A2444" s="6" t="s">
        <v>16488</v>
      </c>
      <c r="B2444" s="6" t="s">
        <v>16489</v>
      </c>
      <c r="C2444" s="6" t="s">
        <v>16491</v>
      </c>
      <c r="D2444" s="6" t="s">
        <v>145</v>
      </c>
      <c r="E2444" s="6" t="s">
        <v>147</v>
      </c>
      <c r="F2444" s="8">
        <v>21.0</v>
      </c>
      <c r="G2444" s="9">
        <v>627.56</v>
      </c>
      <c r="H2444" s="9">
        <v>10381.34</v>
      </c>
      <c r="I2444" s="6" t="s">
        <v>161</v>
      </c>
      <c r="J2444" s="6" t="s">
        <v>465</v>
      </c>
      <c r="K2444" s="6" t="s">
        <v>16492</v>
      </c>
      <c r="L2444" s="6">
        <v>8.4675503367E10</v>
      </c>
      <c r="M2444" s="6" t="s">
        <v>16493</v>
      </c>
      <c r="N2444" s="6" t="s">
        <v>259</v>
      </c>
      <c r="O2444" s="6" t="s">
        <v>178</v>
      </c>
      <c r="P2444" s="10">
        <v>45979.0</v>
      </c>
    </row>
    <row r="2445" ht="22.5" customHeight="1">
      <c r="A2445" s="6" t="s">
        <v>16495</v>
      </c>
      <c r="B2445" s="6" t="s">
        <v>16496</v>
      </c>
      <c r="C2445" s="6" t="s">
        <v>16497</v>
      </c>
      <c r="D2445" s="6" t="s">
        <v>206</v>
      </c>
      <c r="E2445" s="6" t="s">
        <v>147</v>
      </c>
      <c r="F2445" s="8">
        <v>29.0</v>
      </c>
      <c r="G2445" s="9">
        <v>628.56</v>
      </c>
      <c r="H2445" s="9">
        <v>12326.31</v>
      </c>
      <c r="I2445" s="6" t="s">
        <v>161</v>
      </c>
      <c r="J2445" s="6" t="s">
        <v>479</v>
      </c>
      <c r="K2445" s="6" t="s">
        <v>16499</v>
      </c>
      <c r="L2445" s="6">
        <v>6.3606523746E10</v>
      </c>
      <c r="M2445" s="6" t="s">
        <v>16500</v>
      </c>
      <c r="N2445" s="6" t="s">
        <v>259</v>
      </c>
      <c r="O2445" s="6" t="s">
        <v>178</v>
      </c>
      <c r="P2445" s="10">
        <v>45972.0</v>
      </c>
    </row>
    <row r="2446" ht="22.5" customHeight="1">
      <c r="A2446" s="6" t="s">
        <v>16502</v>
      </c>
      <c r="B2446" s="6" t="s">
        <v>16503</v>
      </c>
      <c r="C2446" s="6" t="s">
        <v>16504</v>
      </c>
      <c r="D2446" s="6" t="s">
        <v>206</v>
      </c>
      <c r="E2446" s="6" t="s">
        <v>301</v>
      </c>
      <c r="F2446" s="8">
        <v>47.0</v>
      </c>
      <c r="G2446" s="9">
        <v>1354.33</v>
      </c>
      <c r="H2446" s="9">
        <v>11512.09</v>
      </c>
      <c r="I2446" s="6" t="s">
        <v>161</v>
      </c>
      <c r="J2446" s="6" t="s">
        <v>312</v>
      </c>
      <c r="K2446" s="6" t="s">
        <v>16505</v>
      </c>
      <c r="L2446" s="6">
        <v>6.0017544287E10</v>
      </c>
      <c r="M2446" s="6" t="s">
        <v>16506</v>
      </c>
      <c r="N2446" s="6" t="s">
        <v>259</v>
      </c>
      <c r="O2446" s="6" t="s">
        <v>178</v>
      </c>
      <c r="P2446" s="10">
        <v>45965.0</v>
      </c>
    </row>
    <row r="2447" ht="22.5" customHeight="1">
      <c r="A2447" s="6" t="s">
        <v>16508</v>
      </c>
      <c r="B2447" s="6" t="s">
        <v>16509</v>
      </c>
      <c r="C2447" s="6" t="s">
        <v>16510</v>
      </c>
      <c r="D2447" s="6" t="s">
        <v>383</v>
      </c>
      <c r="E2447" s="6" t="s">
        <v>147</v>
      </c>
      <c r="F2447" s="8">
        <v>25.0</v>
      </c>
      <c r="G2447" s="9">
        <v>109.86</v>
      </c>
      <c r="H2447" s="9">
        <v>7215.03</v>
      </c>
      <c r="I2447" s="6" t="s">
        <v>161</v>
      </c>
      <c r="J2447" s="6" t="s">
        <v>312</v>
      </c>
      <c r="K2447" s="6" t="s">
        <v>16511</v>
      </c>
      <c r="L2447" s="6">
        <v>3.2434504529E10</v>
      </c>
      <c r="M2447" s="6" t="s">
        <v>16512</v>
      </c>
      <c r="N2447" s="6" t="s">
        <v>283</v>
      </c>
      <c r="O2447" s="6" t="s">
        <v>178</v>
      </c>
      <c r="P2447" s="10">
        <v>46034.0</v>
      </c>
    </row>
    <row r="2448" ht="22.5" customHeight="1">
      <c r="A2448" s="6" t="s">
        <v>16514</v>
      </c>
      <c r="B2448" s="6" t="s">
        <v>16515</v>
      </c>
      <c r="C2448" s="6" t="s">
        <v>16516</v>
      </c>
      <c r="D2448" s="6" t="s">
        <v>206</v>
      </c>
      <c r="E2448" s="6" t="s">
        <v>147</v>
      </c>
      <c r="F2448" s="8">
        <v>24.0</v>
      </c>
      <c r="G2448" s="9">
        <v>564.07</v>
      </c>
      <c r="H2448" s="9">
        <v>4212.2</v>
      </c>
      <c r="I2448" s="6" t="s">
        <v>161</v>
      </c>
      <c r="J2448" s="6" t="s">
        <v>393</v>
      </c>
      <c r="K2448" s="6" t="s">
        <v>16518</v>
      </c>
      <c r="L2448" s="6">
        <v>5.951605761E10</v>
      </c>
      <c r="M2448" s="6" t="s">
        <v>16519</v>
      </c>
      <c r="N2448" s="6" t="s">
        <v>427</v>
      </c>
      <c r="O2448" s="6" t="s">
        <v>178</v>
      </c>
      <c r="P2448" s="10">
        <v>45993.0</v>
      </c>
    </row>
    <row r="2449" ht="22.5" customHeight="1">
      <c r="A2449" s="6" t="s">
        <v>16520</v>
      </c>
      <c r="B2449" s="6" t="s">
        <v>16521</v>
      </c>
      <c r="C2449" s="6" t="s">
        <v>16522</v>
      </c>
      <c r="D2449" s="6" t="s">
        <v>206</v>
      </c>
      <c r="E2449" s="6" t="s">
        <v>147</v>
      </c>
      <c r="F2449" s="8">
        <v>20.0</v>
      </c>
      <c r="G2449" s="9">
        <v>273.65</v>
      </c>
      <c r="H2449" s="9">
        <v>5744.12</v>
      </c>
      <c r="I2449" s="6" t="s">
        <v>161</v>
      </c>
      <c r="J2449" s="6" t="s">
        <v>357</v>
      </c>
      <c r="K2449" s="6" t="s">
        <v>16524</v>
      </c>
      <c r="L2449" s="6">
        <v>2.412582756E10</v>
      </c>
      <c r="M2449" s="6" t="s">
        <v>16525</v>
      </c>
      <c r="N2449" s="6" t="s">
        <v>259</v>
      </c>
      <c r="O2449" s="6" t="s">
        <v>178</v>
      </c>
      <c r="P2449" s="10">
        <v>45975.0</v>
      </c>
    </row>
    <row r="2450" ht="22.5" customHeight="1">
      <c r="A2450" s="6" t="s">
        <v>16526</v>
      </c>
      <c r="B2450" s="6" t="s">
        <v>16527</v>
      </c>
      <c r="C2450" s="6" t="s">
        <v>16528</v>
      </c>
      <c r="D2450" s="6" t="s">
        <v>206</v>
      </c>
      <c r="E2450" s="6" t="s">
        <v>301</v>
      </c>
      <c r="F2450" s="8">
        <v>35.0</v>
      </c>
      <c r="G2450" s="9">
        <v>392.37</v>
      </c>
      <c r="H2450" s="9">
        <v>7508.93</v>
      </c>
      <c r="I2450" s="6" t="s">
        <v>161</v>
      </c>
      <c r="J2450" s="6" t="s">
        <v>421</v>
      </c>
      <c r="K2450" s="6" t="s">
        <v>16529</v>
      </c>
      <c r="L2450" s="6">
        <v>8.947462621E10</v>
      </c>
      <c r="M2450" s="6" t="s">
        <v>16531</v>
      </c>
      <c r="N2450" s="6" t="s">
        <v>112</v>
      </c>
      <c r="O2450" s="6" t="s">
        <v>178</v>
      </c>
      <c r="P2450" s="10">
        <v>45955.0</v>
      </c>
    </row>
    <row r="2451" ht="22.5" customHeight="1">
      <c r="A2451" s="6" t="s">
        <v>16532</v>
      </c>
      <c r="B2451" s="6" t="s">
        <v>16533</v>
      </c>
      <c r="C2451" s="6" t="s">
        <v>16534</v>
      </c>
      <c r="D2451" s="6" t="s">
        <v>206</v>
      </c>
      <c r="E2451" s="6" t="s">
        <v>147</v>
      </c>
      <c r="F2451" s="8">
        <v>21.0</v>
      </c>
      <c r="G2451" s="9">
        <v>189.37</v>
      </c>
      <c r="H2451" s="9">
        <v>10820.53</v>
      </c>
      <c r="I2451" s="6" t="s">
        <v>161</v>
      </c>
      <c r="J2451" s="6" t="s">
        <v>393</v>
      </c>
      <c r="K2451" s="6" t="s">
        <v>16535</v>
      </c>
      <c r="L2451" s="6">
        <v>8.8069663916E10</v>
      </c>
      <c r="M2451" s="6" t="s">
        <v>16536</v>
      </c>
      <c r="N2451" s="6" t="s">
        <v>176</v>
      </c>
      <c r="O2451" s="6" t="s">
        <v>178</v>
      </c>
      <c r="P2451" s="10">
        <v>45986.0</v>
      </c>
    </row>
    <row r="2452" ht="22.5" customHeight="1">
      <c r="A2452" s="6" t="s">
        <v>16538</v>
      </c>
      <c r="B2452" s="6" t="s">
        <v>16539</v>
      </c>
      <c r="C2452" s="6" t="s">
        <v>16540</v>
      </c>
      <c r="D2452" s="6" t="s">
        <v>206</v>
      </c>
      <c r="E2452" s="6" t="s">
        <v>147</v>
      </c>
      <c r="F2452" s="8">
        <v>12.0</v>
      </c>
      <c r="G2452" s="9">
        <v>1797.3</v>
      </c>
      <c r="H2452" s="9">
        <v>11864.69</v>
      </c>
      <c r="I2452" s="6" t="s">
        <v>161</v>
      </c>
      <c r="J2452" s="6" t="s">
        <v>479</v>
      </c>
      <c r="K2452" s="6" t="s">
        <v>16541</v>
      </c>
      <c r="L2452" s="6">
        <v>3.3742581061E10</v>
      </c>
      <c r="M2452" s="6" t="s">
        <v>16542</v>
      </c>
      <c r="N2452" s="6" t="s">
        <v>176</v>
      </c>
      <c r="O2452" s="6" t="s">
        <v>6373</v>
      </c>
      <c r="P2452" s="10">
        <v>46011.0</v>
      </c>
    </row>
    <row r="2453" ht="22.5" customHeight="1">
      <c r="A2453" s="6" t="s">
        <v>16543</v>
      </c>
      <c r="B2453" s="6" t="s">
        <v>16544</v>
      </c>
      <c r="C2453" s="6" t="s">
        <v>16545</v>
      </c>
      <c r="D2453" s="6" t="s">
        <v>145</v>
      </c>
      <c r="E2453" s="6" t="s">
        <v>147</v>
      </c>
      <c r="F2453" s="8">
        <v>27.0</v>
      </c>
      <c r="G2453" s="9">
        <v>867.3</v>
      </c>
      <c r="H2453" s="9">
        <v>4248.82</v>
      </c>
      <c r="I2453" s="6" t="s">
        <v>161</v>
      </c>
      <c r="J2453" s="6" t="s">
        <v>442</v>
      </c>
      <c r="K2453" s="6" t="s">
        <v>16547</v>
      </c>
      <c r="L2453" s="6">
        <v>1.1880184924E10</v>
      </c>
      <c r="M2453" s="6" t="s">
        <v>16548</v>
      </c>
      <c r="N2453" s="6" t="s">
        <v>283</v>
      </c>
      <c r="O2453" s="6" t="s">
        <v>178</v>
      </c>
      <c r="P2453" s="10">
        <v>45975.0</v>
      </c>
    </row>
    <row r="2454" ht="22.5" customHeight="1">
      <c r="A2454" s="6" t="s">
        <v>16549</v>
      </c>
      <c r="B2454" s="6" t="s">
        <v>16550</v>
      </c>
      <c r="C2454" s="6" t="s">
        <v>16551</v>
      </c>
      <c r="D2454" s="6" t="s">
        <v>383</v>
      </c>
      <c r="E2454" s="6" t="s">
        <v>147</v>
      </c>
      <c r="F2454" s="8">
        <v>26.0</v>
      </c>
      <c r="G2454" s="9">
        <v>1569.46</v>
      </c>
      <c r="H2454" s="9">
        <v>10175.19</v>
      </c>
      <c r="I2454" s="6" t="s">
        <v>161</v>
      </c>
      <c r="J2454" s="6" t="s">
        <v>442</v>
      </c>
      <c r="K2454" s="6" t="s">
        <v>16552</v>
      </c>
      <c r="L2454" s="6">
        <v>7.250727183E10</v>
      </c>
      <c r="M2454" s="6" t="s">
        <v>16553</v>
      </c>
      <c r="N2454" s="6" t="s">
        <v>427</v>
      </c>
      <c r="O2454" s="6" t="s">
        <v>178</v>
      </c>
      <c r="P2454" s="10">
        <v>46037.0</v>
      </c>
    </row>
    <row r="2455" ht="22.5" customHeight="1">
      <c r="A2455" s="6" t="s">
        <v>16555</v>
      </c>
      <c r="B2455" s="6" t="s">
        <v>16556</v>
      </c>
      <c r="C2455" s="6" t="s">
        <v>16557</v>
      </c>
      <c r="D2455" s="6" t="s">
        <v>145</v>
      </c>
      <c r="E2455" s="6" t="s">
        <v>147</v>
      </c>
      <c r="F2455" s="8">
        <v>28.0</v>
      </c>
      <c r="G2455" s="9">
        <v>1489.39</v>
      </c>
      <c r="H2455" s="9">
        <v>9397.22</v>
      </c>
      <c r="I2455" s="6" t="s">
        <v>161</v>
      </c>
      <c r="J2455" s="6" t="s">
        <v>479</v>
      </c>
      <c r="K2455" s="6" t="s">
        <v>16558</v>
      </c>
      <c r="L2455" s="6">
        <v>4.441901899E9</v>
      </c>
      <c r="M2455" s="6" t="s">
        <v>16559</v>
      </c>
      <c r="N2455" s="6" t="s">
        <v>176</v>
      </c>
      <c r="O2455" s="6" t="s">
        <v>178</v>
      </c>
      <c r="P2455" s="10">
        <v>45987.0</v>
      </c>
    </row>
    <row r="2456" ht="22.5" customHeight="1">
      <c r="A2456" s="6" t="s">
        <v>16560</v>
      </c>
      <c r="B2456" s="6" t="s">
        <v>16561</v>
      </c>
      <c r="C2456" s="6" t="s">
        <v>16562</v>
      </c>
      <c r="D2456" s="6" t="s">
        <v>383</v>
      </c>
      <c r="E2456" s="6" t="s">
        <v>301</v>
      </c>
      <c r="F2456" s="8">
        <v>39.0</v>
      </c>
      <c r="G2456" s="9">
        <v>278.32</v>
      </c>
      <c r="H2456" s="9">
        <v>6379.34</v>
      </c>
      <c r="I2456" s="6" t="s">
        <v>161</v>
      </c>
      <c r="J2456" s="6" t="s">
        <v>479</v>
      </c>
      <c r="K2456" s="6" t="s">
        <v>16563</v>
      </c>
      <c r="L2456" s="6">
        <v>7.0152733737E10</v>
      </c>
      <c r="M2456" s="6" t="s">
        <v>16565</v>
      </c>
      <c r="N2456" s="6" t="s">
        <v>176</v>
      </c>
      <c r="O2456" s="6" t="s">
        <v>178</v>
      </c>
      <c r="P2456" s="10">
        <v>45995.0</v>
      </c>
    </row>
    <row r="2457" ht="22.5" customHeight="1">
      <c r="A2457" s="6" t="s">
        <v>16566</v>
      </c>
      <c r="B2457" s="6" t="s">
        <v>16567</v>
      </c>
      <c r="C2457" s="6" t="s">
        <v>16568</v>
      </c>
      <c r="D2457" s="6" t="s">
        <v>145</v>
      </c>
      <c r="E2457" s="6" t="s">
        <v>147</v>
      </c>
      <c r="F2457" s="8">
        <v>13.0</v>
      </c>
      <c r="G2457" s="9">
        <v>1584.24</v>
      </c>
      <c r="H2457" s="9">
        <v>3862.83</v>
      </c>
      <c r="I2457" s="6" t="s">
        <v>161</v>
      </c>
      <c r="J2457" s="6" t="s">
        <v>357</v>
      </c>
      <c r="K2457" s="6" t="s">
        <v>259</v>
      </c>
      <c r="L2457" s="6">
        <v>7.0945564846E10</v>
      </c>
      <c r="M2457" s="6" t="s">
        <v>16569</v>
      </c>
      <c r="N2457" s="6" t="s">
        <v>176</v>
      </c>
      <c r="O2457" s="6" t="s">
        <v>178</v>
      </c>
      <c r="P2457" s="10">
        <v>46004.0</v>
      </c>
    </row>
    <row r="2458" ht="22.5" customHeight="1">
      <c r="A2458" s="6" t="s">
        <v>16571</v>
      </c>
      <c r="B2458" s="6" t="s">
        <v>16572</v>
      </c>
      <c r="C2458" s="6" t="s">
        <v>16573</v>
      </c>
      <c r="D2458" s="6" t="s">
        <v>145</v>
      </c>
      <c r="E2458" s="6" t="s">
        <v>147</v>
      </c>
      <c r="F2458" s="8">
        <v>10.0</v>
      </c>
      <c r="G2458" s="9">
        <v>116.14</v>
      </c>
      <c r="H2458" s="9">
        <v>6586.52</v>
      </c>
      <c r="I2458" s="6" t="s">
        <v>161</v>
      </c>
      <c r="J2458" s="6" t="s">
        <v>421</v>
      </c>
      <c r="K2458" s="6" t="s">
        <v>16574</v>
      </c>
      <c r="L2458" s="6">
        <v>1.7013379168E10</v>
      </c>
      <c r="M2458" s="6" t="s">
        <v>16575</v>
      </c>
      <c r="N2458" s="6" t="s">
        <v>283</v>
      </c>
      <c r="O2458" s="6" t="s">
        <v>178</v>
      </c>
      <c r="P2458" s="10">
        <v>46030.0</v>
      </c>
    </row>
    <row r="2459" ht="22.5" customHeight="1">
      <c r="A2459" s="6" t="s">
        <v>16577</v>
      </c>
      <c r="B2459" s="6" t="s">
        <v>16578</v>
      </c>
      <c r="C2459" s="6" t="s">
        <v>16579</v>
      </c>
      <c r="D2459" s="6" t="s">
        <v>145</v>
      </c>
      <c r="E2459" s="6" t="s">
        <v>147</v>
      </c>
      <c r="F2459" s="8">
        <v>24.0</v>
      </c>
      <c r="G2459" s="9">
        <v>1480.7</v>
      </c>
      <c r="H2459" s="9">
        <v>13872.93</v>
      </c>
      <c r="I2459" s="6" t="s">
        <v>161</v>
      </c>
      <c r="J2459" s="6" t="s">
        <v>312</v>
      </c>
      <c r="K2459" s="6" t="s">
        <v>16581</v>
      </c>
      <c r="L2459" s="6">
        <v>1.3301030398E10</v>
      </c>
      <c r="M2459" s="6" t="s">
        <v>16582</v>
      </c>
      <c r="N2459" s="6" t="s">
        <v>427</v>
      </c>
      <c r="O2459" s="6" t="s">
        <v>178</v>
      </c>
      <c r="P2459" s="10">
        <v>45957.0</v>
      </c>
    </row>
    <row r="2460" ht="22.5" customHeight="1">
      <c r="A2460" s="6" t="s">
        <v>16583</v>
      </c>
      <c r="B2460" s="6" t="s">
        <v>16584</v>
      </c>
      <c r="C2460" s="6" t="s">
        <v>16586</v>
      </c>
      <c r="D2460" s="6" t="s">
        <v>383</v>
      </c>
      <c r="E2460" s="6" t="s">
        <v>147</v>
      </c>
      <c r="F2460" s="8">
        <v>15.0</v>
      </c>
      <c r="G2460" s="9">
        <v>1196.96</v>
      </c>
      <c r="H2460" s="9">
        <v>2041.47</v>
      </c>
      <c r="I2460" s="6" t="s">
        <v>161</v>
      </c>
      <c r="J2460" s="6" t="s">
        <v>577</v>
      </c>
      <c r="K2460" s="6" t="s">
        <v>16588</v>
      </c>
      <c r="L2460" s="6">
        <v>3.5034532209E10</v>
      </c>
      <c r="M2460" s="6" t="s">
        <v>16589</v>
      </c>
      <c r="N2460" s="6" t="s">
        <v>176</v>
      </c>
      <c r="O2460" s="6" t="s">
        <v>178</v>
      </c>
      <c r="P2460" s="10">
        <v>45959.0</v>
      </c>
    </row>
    <row r="2461" ht="22.5" customHeight="1">
      <c r="A2461" s="6" t="s">
        <v>16591</v>
      </c>
      <c r="B2461" s="6" t="s">
        <v>16592</v>
      </c>
      <c r="C2461" s="6" t="s">
        <v>16594</v>
      </c>
      <c r="D2461" s="6" t="s">
        <v>145</v>
      </c>
      <c r="E2461" s="6" t="s">
        <v>210</v>
      </c>
      <c r="F2461" s="8">
        <v>67.0</v>
      </c>
      <c r="G2461" s="9">
        <v>1565.16</v>
      </c>
      <c r="H2461" s="9">
        <v>15304.1</v>
      </c>
      <c r="I2461" s="6" t="s">
        <v>178</v>
      </c>
      <c r="J2461" s="6" t="s">
        <v>1734</v>
      </c>
      <c r="K2461" s="6" t="s">
        <v>16595</v>
      </c>
      <c r="L2461" s="6">
        <v>9.9158603595E10</v>
      </c>
      <c r="M2461" s="6" t="s">
        <v>16596</v>
      </c>
      <c r="N2461" s="6" t="s">
        <v>112</v>
      </c>
      <c r="O2461" s="6" t="s">
        <v>161</v>
      </c>
      <c r="P2461" s="10">
        <v>45941.0</v>
      </c>
    </row>
    <row r="2462" ht="22.5" customHeight="1">
      <c r="A2462" s="6" t="s">
        <v>16598</v>
      </c>
      <c r="B2462" s="6" t="s">
        <v>16599</v>
      </c>
      <c r="C2462" s="6" t="s">
        <v>16600</v>
      </c>
      <c r="D2462" s="6" t="s">
        <v>145</v>
      </c>
      <c r="E2462" s="6" t="s">
        <v>147</v>
      </c>
      <c r="F2462" s="8">
        <v>26.0</v>
      </c>
      <c r="G2462" s="9">
        <v>436.32</v>
      </c>
      <c r="H2462" s="9">
        <v>8040.11</v>
      </c>
      <c r="I2462" s="6" t="s">
        <v>161</v>
      </c>
      <c r="J2462" s="6" t="s">
        <v>442</v>
      </c>
      <c r="K2462" s="6" t="s">
        <v>16601</v>
      </c>
      <c r="L2462" s="6">
        <v>8.7591241588E10</v>
      </c>
      <c r="M2462" s="6" t="s">
        <v>16603</v>
      </c>
      <c r="N2462" s="6" t="s">
        <v>176</v>
      </c>
      <c r="O2462" s="6" t="s">
        <v>178</v>
      </c>
      <c r="P2462" s="10">
        <v>46043.0</v>
      </c>
    </row>
    <row r="2463" ht="22.5" customHeight="1">
      <c r="A2463" s="6" t="s">
        <v>16604</v>
      </c>
      <c r="B2463" s="6" t="s">
        <v>16605</v>
      </c>
      <c r="C2463" s="6" t="s">
        <v>16606</v>
      </c>
      <c r="D2463" s="6" t="s">
        <v>206</v>
      </c>
      <c r="E2463" s="6" t="s">
        <v>147</v>
      </c>
      <c r="F2463" s="8">
        <v>9.0</v>
      </c>
      <c r="G2463" s="9">
        <v>1142.01</v>
      </c>
      <c r="H2463" s="9">
        <v>6626.42</v>
      </c>
      <c r="I2463" s="6" t="s">
        <v>161</v>
      </c>
      <c r="J2463" s="6" t="s">
        <v>465</v>
      </c>
      <c r="K2463" s="6" t="s">
        <v>259</v>
      </c>
      <c r="L2463" s="6">
        <v>7.247807291E10</v>
      </c>
      <c r="M2463" s="6" t="s">
        <v>16608</v>
      </c>
      <c r="N2463" s="6" t="s">
        <v>259</v>
      </c>
      <c r="O2463" s="6" t="s">
        <v>178</v>
      </c>
      <c r="P2463" s="10">
        <v>45993.0</v>
      </c>
    </row>
    <row r="2464" ht="22.5" customHeight="1">
      <c r="A2464" s="6" t="s">
        <v>16609</v>
      </c>
      <c r="B2464" s="6" t="s">
        <v>16610</v>
      </c>
      <c r="C2464" s="6" t="s">
        <v>16612</v>
      </c>
      <c r="D2464" s="6" t="s">
        <v>145</v>
      </c>
      <c r="E2464" s="6" t="s">
        <v>147</v>
      </c>
      <c r="F2464" s="8">
        <v>19.0</v>
      </c>
      <c r="G2464" s="9">
        <v>1350.19</v>
      </c>
      <c r="H2464" s="9">
        <v>10464.01</v>
      </c>
      <c r="I2464" s="6" t="s">
        <v>161</v>
      </c>
      <c r="J2464" s="6" t="s">
        <v>259</v>
      </c>
      <c r="K2464" s="6" t="s">
        <v>16613</v>
      </c>
      <c r="L2464" s="6">
        <v>8.4851033016E10</v>
      </c>
      <c r="M2464" s="6" t="s">
        <v>16614</v>
      </c>
      <c r="N2464" s="6" t="s">
        <v>112</v>
      </c>
      <c r="O2464" s="6" t="s">
        <v>178</v>
      </c>
      <c r="P2464" s="10">
        <v>45961.0</v>
      </c>
    </row>
    <row r="2465" ht="22.5" customHeight="1">
      <c r="A2465" s="6" t="s">
        <v>16616</v>
      </c>
      <c r="B2465" s="6" t="s">
        <v>16617</v>
      </c>
      <c r="C2465" s="6" t="s">
        <v>16618</v>
      </c>
      <c r="D2465" s="6" t="s">
        <v>206</v>
      </c>
      <c r="E2465" s="6" t="s">
        <v>147</v>
      </c>
      <c r="F2465" s="8">
        <v>13.0</v>
      </c>
      <c r="G2465" s="9">
        <v>470.97</v>
      </c>
      <c r="H2465" s="9">
        <v>6926.91</v>
      </c>
      <c r="I2465" s="6" t="s">
        <v>178</v>
      </c>
      <c r="J2465" s="6" t="s">
        <v>421</v>
      </c>
      <c r="K2465" s="6" t="s">
        <v>16620</v>
      </c>
      <c r="L2465" s="6">
        <v>7.958982689E9</v>
      </c>
      <c r="M2465" s="6" t="s">
        <v>16621</v>
      </c>
      <c r="N2465" s="6" t="s">
        <v>176</v>
      </c>
      <c r="O2465" s="6" t="s">
        <v>161</v>
      </c>
      <c r="P2465" s="10">
        <v>45948.0</v>
      </c>
    </row>
    <row r="2466" ht="22.5" customHeight="1">
      <c r="A2466" s="6" t="s">
        <v>16622</v>
      </c>
      <c r="B2466" s="6" t="s">
        <v>16623</v>
      </c>
      <c r="C2466" s="6" t="s">
        <v>16624</v>
      </c>
      <c r="D2466" s="6" t="s">
        <v>145</v>
      </c>
      <c r="E2466" s="6" t="s">
        <v>147</v>
      </c>
      <c r="F2466" s="8">
        <v>6.0</v>
      </c>
      <c r="G2466" s="9">
        <v>1796.66</v>
      </c>
      <c r="H2466" s="9">
        <v>2361.42</v>
      </c>
      <c r="I2466" s="6" t="s">
        <v>161</v>
      </c>
      <c r="J2466" s="6" t="s">
        <v>163</v>
      </c>
      <c r="K2466" s="6" t="s">
        <v>16626</v>
      </c>
      <c r="L2466" s="6">
        <v>5.8696353815E10</v>
      </c>
      <c r="M2466" s="6" t="s">
        <v>16627</v>
      </c>
      <c r="N2466" s="6" t="s">
        <v>112</v>
      </c>
      <c r="O2466" s="6" t="s">
        <v>178</v>
      </c>
      <c r="P2466" s="10">
        <v>45957.0</v>
      </c>
    </row>
    <row r="2467" ht="22.5" customHeight="1">
      <c r="A2467" s="6" t="s">
        <v>16629</v>
      </c>
      <c r="B2467" s="6" t="s">
        <v>16630</v>
      </c>
      <c r="C2467" s="6" t="s">
        <v>16631</v>
      </c>
      <c r="D2467" s="6" t="s">
        <v>145</v>
      </c>
      <c r="E2467" s="6" t="s">
        <v>147</v>
      </c>
      <c r="F2467" s="8">
        <v>14.0</v>
      </c>
      <c r="G2467" s="9">
        <v>842.61</v>
      </c>
      <c r="H2467" s="9">
        <v>4805.16</v>
      </c>
      <c r="I2467" s="6" t="s">
        <v>161</v>
      </c>
      <c r="J2467" s="6" t="s">
        <v>421</v>
      </c>
      <c r="K2467" s="6" t="s">
        <v>16633</v>
      </c>
      <c r="L2467" s="6">
        <v>4.3132281684E10</v>
      </c>
      <c r="M2467" s="6" t="s">
        <v>16634</v>
      </c>
      <c r="N2467" s="6" t="s">
        <v>112</v>
      </c>
      <c r="O2467" s="6" t="s">
        <v>178</v>
      </c>
      <c r="P2467" s="10">
        <v>46030.0</v>
      </c>
    </row>
    <row r="2468" ht="22.5" customHeight="1">
      <c r="A2468" s="6" t="s">
        <v>16636</v>
      </c>
      <c r="B2468" s="6" t="s">
        <v>16637</v>
      </c>
      <c r="C2468" s="6" t="s">
        <v>16638</v>
      </c>
      <c r="D2468" s="6" t="s">
        <v>145</v>
      </c>
      <c r="E2468" s="6" t="s">
        <v>147</v>
      </c>
      <c r="F2468" s="8">
        <v>5.0</v>
      </c>
      <c r="G2468" s="9">
        <v>1677.61</v>
      </c>
      <c r="H2468" s="9">
        <v>15422.15</v>
      </c>
      <c r="I2468" s="6" t="s">
        <v>161</v>
      </c>
      <c r="J2468" s="6" t="s">
        <v>442</v>
      </c>
      <c r="K2468" s="6" t="s">
        <v>16640</v>
      </c>
      <c r="L2468" s="6">
        <v>7.8617852E9</v>
      </c>
      <c r="M2468" s="6" t="s">
        <v>16641</v>
      </c>
      <c r="N2468" s="6" t="s">
        <v>259</v>
      </c>
      <c r="O2468" s="6" t="s">
        <v>178</v>
      </c>
      <c r="P2468" s="10">
        <v>45939.0</v>
      </c>
    </row>
    <row r="2469" ht="22.5" customHeight="1">
      <c r="A2469" s="6" t="s">
        <v>16642</v>
      </c>
      <c r="B2469" s="6" t="s">
        <v>16643</v>
      </c>
      <c r="C2469" s="6" t="s">
        <v>16644</v>
      </c>
      <c r="D2469" s="6" t="s">
        <v>145</v>
      </c>
      <c r="E2469" s="6" t="s">
        <v>147</v>
      </c>
      <c r="F2469" s="8">
        <v>12.0</v>
      </c>
      <c r="G2469" s="9">
        <v>373.15</v>
      </c>
      <c r="H2469" s="9">
        <v>11491.95</v>
      </c>
      <c r="I2469" s="6" t="s">
        <v>161</v>
      </c>
      <c r="J2469" s="6" t="s">
        <v>421</v>
      </c>
      <c r="K2469" s="6" t="s">
        <v>16646</v>
      </c>
      <c r="L2469" s="6">
        <v>3.6767197659E10</v>
      </c>
      <c r="M2469" s="6" t="s">
        <v>16647</v>
      </c>
      <c r="N2469" s="6" t="s">
        <v>283</v>
      </c>
      <c r="O2469" s="6" t="s">
        <v>178</v>
      </c>
      <c r="P2469" s="10">
        <v>45970.0</v>
      </c>
    </row>
    <row r="2470" ht="22.5" customHeight="1">
      <c r="A2470" s="6" t="s">
        <v>16649</v>
      </c>
      <c r="B2470" s="6" t="s">
        <v>16650</v>
      </c>
      <c r="C2470" s="6" t="s">
        <v>16651</v>
      </c>
      <c r="D2470" s="6" t="s">
        <v>206</v>
      </c>
      <c r="E2470" s="6" t="s">
        <v>147</v>
      </c>
      <c r="F2470" s="8">
        <v>17.0</v>
      </c>
      <c r="G2470" s="9">
        <v>1426.6</v>
      </c>
      <c r="H2470" s="9">
        <v>4424.0</v>
      </c>
      <c r="I2470" s="6" t="s">
        <v>161</v>
      </c>
      <c r="J2470" s="6" t="s">
        <v>228</v>
      </c>
      <c r="K2470" s="6" t="s">
        <v>16652</v>
      </c>
      <c r="L2470" s="6">
        <v>3.325009632E9</v>
      </c>
      <c r="M2470" s="6" t="s">
        <v>16654</v>
      </c>
      <c r="N2470" s="6" t="s">
        <v>259</v>
      </c>
      <c r="O2470" s="6" t="s">
        <v>178</v>
      </c>
      <c r="P2470" s="10">
        <v>46049.0</v>
      </c>
    </row>
    <row r="2471" ht="22.5" customHeight="1">
      <c r="A2471" s="6" t="s">
        <v>16655</v>
      </c>
      <c r="B2471" s="6" t="s">
        <v>16656</v>
      </c>
      <c r="C2471" s="6" t="s">
        <v>16657</v>
      </c>
      <c r="D2471" s="6" t="s">
        <v>145</v>
      </c>
      <c r="E2471" s="6" t="s">
        <v>147</v>
      </c>
      <c r="F2471" s="8">
        <v>17.0</v>
      </c>
      <c r="G2471" s="9">
        <v>1496.49</v>
      </c>
      <c r="H2471" s="9">
        <v>13185.5</v>
      </c>
      <c r="I2471" s="6" t="s">
        <v>161</v>
      </c>
      <c r="J2471" s="6" t="s">
        <v>357</v>
      </c>
      <c r="K2471" s="6" t="s">
        <v>16659</v>
      </c>
      <c r="L2471" s="6">
        <v>4.0419607347E10</v>
      </c>
      <c r="M2471" s="6" t="s">
        <v>16660</v>
      </c>
      <c r="N2471" s="6" t="s">
        <v>112</v>
      </c>
      <c r="O2471" s="6" t="s">
        <v>178</v>
      </c>
      <c r="P2471" s="10">
        <v>46044.0</v>
      </c>
    </row>
    <row r="2472" ht="22.5" customHeight="1">
      <c r="A2472" s="6" t="s">
        <v>16662</v>
      </c>
      <c r="B2472" s="6" t="s">
        <v>16663</v>
      </c>
      <c r="C2472" s="6" t="s">
        <v>16664</v>
      </c>
      <c r="D2472" s="6" t="s">
        <v>145</v>
      </c>
      <c r="E2472" s="6" t="s">
        <v>147</v>
      </c>
      <c r="F2472" s="8">
        <v>28.0</v>
      </c>
      <c r="G2472" s="9">
        <v>1435.4</v>
      </c>
      <c r="H2472" s="9">
        <v>13495.93</v>
      </c>
      <c r="I2472" s="6" t="s">
        <v>161</v>
      </c>
      <c r="J2472" s="6" t="s">
        <v>228</v>
      </c>
      <c r="K2472" s="6" t="s">
        <v>16665</v>
      </c>
      <c r="L2472" s="6">
        <v>3.6095397276E10</v>
      </c>
      <c r="M2472" s="6" t="s">
        <v>16666</v>
      </c>
      <c r="N2472" s="6" t="s">
        <v>259</v>
      </c>
      <c r="O2472" s="6" t="s">
        <v>178</v>
      </c>
      <c r="P2472" s="10">
        <v>46040.0</v>
      </c>
    </row>
    <row r="2473" ht="22.5" customHeight="1">
      <c r="A2473" s="6" t="s">
        <v>16668</v>
      </c>
      <c r="B2473" s="6" t="s">
        <v>16669</v>
      </c>
      <c r="C2473" s="6" t="s">
        <v>16670</v>
      </c>
      <c r="D2473" s="6" t="s">
        <v>206</v>
      </c>
      <c r="E2473" s="6" t="s">
        <v>210</v>
      </c>
      <c r="F2473" s="8">
        <v>99.0</v>
      </c>
      <c r="G2473" s="9">
        <v>621.89</v>
      </c>
      <c r="H2473" s="9">
        <v>12171.82</v>
      </c>
      <c r="I2473" s="6" t="s">
        <v>161</v>
      </c>
      <c r="J2473" s="6" t="s">
        <v>312</v>
      </c>
      <c r="K2473" s="6" t="s">
        <v>16671</v>
      </c>
      <c r="L2473" s="6">
        <v>5.7561318403E10</v>
      </c>
      <c r="M2473" s="6" t="s">
        <v>16673</v>
      </c>
      <c r="N2473" s="6" t="s">
        <v>283</v>
      </c>
      <c r="O2473" s="6" t="s">
        <v>161</v>
      </c>
      <c r="P2473" s="10">
        <v>45958.0</v>
      </c>
    </row>
    <row r="2474" ht="22.5" customHeight="1">
      <c r="A2474" s="6" t="s">
        <v>16674</v>
      </c>
      <c r="B2474" s="6" t="s">
        <v>16675</v>
      </c>
      <c r="C2474" s="6" t="s">
        <v>16676</v>
      </c>
      <c r="D2474" s="6" t="s">
        <v>145</v>
      </c>
      <c r="E2474" s="6" t="s">
        <v>147</v>
      </c>
      <c r="F2474" s="8">
        <v>5.0</v>
      </c>
      <c r="G2474" s="9">
        <v>209.74</v>
      </c>
      <c r="H2474" s="9">
        <v>6143.32</v>
      </c>
      <c r="I2474" s="6" t="s">
        <v>161</v>
      </c>
      <c r="J2474" s="6" t="s">
        <v>442</v>
      </c>
      <c r="K2474" s="6" t="s">
        <v>16678</v>
      </c>
      <c r="L2474" s="6">
        <v>8.9721052672E10</v>
      </c>
      <c r="M2474" s="6" t="s">
        <v>16679</v>
      </c>
      <c r="N2474" s="6" t="s">
        <v>427</v>
      </c>
      <c r="O2474" s="6" t="s">
        <v>178</v>
      </c>
      <c r="P2474" s="10">
        <v>45958.0</v>
      </c>
    </row>
    <row r="2475" ht="22.5" customHeight="1">
      <c r="A2475" s="6" t="s">
        <v>16680</v>
      </c>
      <c r="B2475" s="6" t="s">
        <v>16681</v>
      </c>
      <c r="C2475" s="6" t="s">
        <v>16683</v>
      </c>
      <c r="D2475" s="6" t="s">
        <v>383</v>
      </c>
      <c r="E2475" s="6" t="s">
        <v>301</v>
      </c>
      <c r="F2475" s="8">
        <v>55.0</v>
      </c>
      <c r="G2475" s="9">
        <v>1135.41</v>
      </c>
      <c r="H2475" s="9">
        <v>12700.66</v>
      </c>
      <c r="I2475" s="6" t="s">
        <v>161</v>
      </c>
      <c r="J2475" s="6" t="s">
        <v>465</v>
      </c>
      <c r="K2475" s="6" t="s">
        <v>16684</v>
      </c>
      <c r="L2475" s="6" t="s">
        <v>259</v>
      </c>
      <c r="M2475" s="6" t="s">
        <v>16685</v>
      </c>
      <c r="N2475" s="6" t="s">
        <v>112</v>
      </c>
      <c r="O2475" s="6" t="s">
        <v>178</v>
      </c>
      <c r="P2475" s="10">
        <v>45994.0</v>
      </c>
    </row>
    <row r="2476" ht="22.5" customHeight="1">
      <c r="A2476" s="6" t="s">
        <v>16687</v>
      </c>
      <c r="B2476" s="6" t="s">
        <v>16688</v>
      </c>
      <c r="C2476" s="6" t="s">
        <v>16689</v>
      </c>
      <c r="D2476" s="6" t="s">
        <v>383</v>
      </c>
      <c r="E2476" s="6" t="s">
        <v>147</v>
      </c>
      <c r="F2476" s="8">
        <v>18.0</v>
      </c>
      <c r="G2476" s="9">
        <v>288.2</v>
      </c>
      <c r="H2476" s="9">
        <v>6512.23</v>
      </c>
      <c r="I2476" s="6" t="s">
        <v>161</v>
      </c>
      <c r="J2476" s="6" t="s">
        <v>228</v>
      </c>
      <c r="K2476" s="6" t="s">
        <v>16691</v>
      </c>
      <c r="L2476" s="6">
        <v>5.4624466564E10</v>
      </c>
      <c r="M2476" s="6" t="s">
        <v>16692</v>
      </c>
      <c r="N2476" s="6" t="s">
        <v>283</v>
      </c>
      <c r="O2476" s="6" t="s">
        <v>178</v>
      </c>
      <c r="P2476" s="10">
        <v>45977.0</v>
      </c>
    </row>
    <row r="2477" ht="22.5" customHeight="1">
      <c r="A2477" s="6" t="s">
        <v>16693</v>
      </c>
      <c r="B2477" s="6" t="s">
        <v>16694</v>
      </c>
      <c r="C2477" s="6" t="s">
        <v>16695</v>
      </c>
      <c r="D2477" s="6" t="s">
        <v>145</v>
      </c>
      <c r="E2477" s="6" t="s">
        <v>147</v>
      </c>
      <c r="F2477" s="8">
        <v>10.0</v>
      </c>
      <c r="G2477" s="9">
        <v>266.56</v>
      </c>
      <c r="H2477" s="9">
        <v>11052.36</v>
      </c>
      <c r="I2477" s="6" t="s">
        <v>161</v>
      </c>
      <c r="J2477" s="6" t="s">
        <v>479</v>
      </c>
      <c r="K2477" s="6" t="s">
        <v>16697</v>
      </c>
      <c r="L2477" s="6">
        <v>4.628646594E10</v>
      </c>
      <c r="M2477" s="6" t="s">
        <v>16698</v>
      </c>
      <c r="N2477" s="6" t="s">
        <v>427</v>
      </c>
      <c r="O2477" s="6" t="s">
        <v>178</v>
      </c>
      <c r="P2477" s="10">
        <v>46013.0</v>
      </c>
    </row>
    <row r="2478" ht="22.5" customHeight="1">
      <c r="A2478" s="6" t="s">
        <v>16699</v>
      </c>
      <c r="B2478" s="6" t="s">
        <v>16701</v>
      </c>
      <c r="C2478" s="6" t="s">
        <v>16702</v>
      </c>
      <c r="D2478" s="6" t="s">
        <v>383</v>
      </c>
      <c r="E2478" s="6" t="s">
        <v>147</v>
      </c>
      <c r="F2478" s="8">
        <v>10.0</v>
      </c>
      <c r="G2478" s="9">
        <v>667.67</v>
      </c>
      <c r="H2478" s="9">
        <v>13149.58</v>
      </c>
      <c r="I2478" s="6" t="s">
        <v>161</v>
      </c>
      <c r="J2478" s="6" t="s">
        <v>465</v>
      </c>
      <c r="K2478" s="6" t="s">
        <v>16703</v>
      </c>
      <c r="L2478" s="6">
        <v>9.8369914796E10</v>
      </c>
      <c r="M2478" s="6" t="s">
        <v>16704</v>
      </c>
      <c r="N2478" s="6" t="s">
        <v>283</v>
      </c>
      <c r="O2478" s="6" t="s">
        <v>178</v>
      </c>
      <c r="P2478" s="10">
        <v>46049.0</v>
      </c>
    </row>
    <row r="2479" ht="22.5" customHeight="1">
      <c r="A2479" s="6" t="s">
        <v>16706</v>
      </c>
      <c r="B2479" s="6" t="s">
        <v>16707</v>
      </c>
      <c r="C2479" s="6" t="s">
        <v>16708</v>
      </c>
      <c r="D2479" s="6" t="s">
        <v>206</v>
      </c>
      <c r="E2479" s="6" t="s">
        <v>210</v>
      </c>
      <c r="F2479" s="8">
        <v>106.0</v>
      </c>
      <c r="G2479" s="9">
        <v>849.73</v>
      </c>
      <c r="H2479" s="9">
        <v>2182.89</v>
      </c>
      <c r="I2479" s="6" t="s">
        <v>161</v>
      </c>
      <c r="J2479" s="6" t="s">
        <v>393</v>
      </c>
      <c r="K2479" s="6" t="s">
        <v>16710</v>
      </c>
      <c r="L2479" s="6">
        <v>3.5197546921E10</v>
      </c>
      <c r="M2479" s="6" t="s">
        <v>16711</v>
      </c>
      <c r="N2479" s="6" t="s">
        <v>283</v>
      </c>
      <c r="O2479" s="6" t="s">
        <v>161</v>
      </c>
      <c r="P2479" s="10">
        <v>45956.0</v>
      </c>
    </row>
    <row r="2480" ht="22.5" customHeight="1">
      <c r="A2480" s="6" t="s">
        <v>16712</v>
      </c>
      <c r="B2480" s="6" t="s">
        <v>16713</v>
      </c>
      <c r="C2480" s="6" t="s">
        <v>16715</v>
      </c>
      <c r="D2480" s="6" t="s">
        <v>383</v>
      </c>
      <c r="E2480" s="6" t="s">
        <v>147</v>
      </c>
      <c r="F2480" s="8">
        <v>6.0</v>
      </c>
      <c r="G2480" s="9">
        <v>1668.55</v>
      </c>
      <c r="H2480" s="9">
        <v>5452.99</v>
      </c>
      <c r="I2480" s="6" t="s">
        <v>161</v>
      </c>
      <c r="J2480" s="6" t="s">
        <v>163</v>
      </c>
      <c r="K2480" s="6" t="s">
        <v>259</v>
      </c>
      <c r="L2480" s="6">
        <v>8.3657000666E10</v>
      </c>
      <c r="M2480" s="6" t="s">
        <v>16716</v>
      </c>
      <c r="N2480" s="6" t="s">
        <v>259</v>
      </c>
      <c r="O2480" s="6" t="s">
        <v>178</v>
      </c>
      <c r="P2480" s="10">
        <v>46006.0</v>
      </c>
    </row>
    <row r="2481" ht="22.5" customHeight="1">
      <c r="A2481" s="6" t="s">
        <v>16718</v>
      </c>
      <c r="B2481" s="6" t="s">
        <v>16719</v>
      </c>
      <c r="C2481" s="6" t="s">
        <v>16720</v>
      </c>
      <c r="D2481" s="6" t="s">
        <v>206</v>
      </c>
      <c r="E2481" s="6" t="s">
        <v>301</v>
      </c>
      <c r="F2481" s="8">
        <v>31.0</v>
      </c>
      <c r="G2481" s="9">
        <v>990.6</v>
      </c>
      <c r="H2481" s="9">
        <v>7901.37</v>
      </c>
      <c r="I2481" s="6" t="s">
        <v>161</v>
      </c>
      <c r="J2481" s="6" t="s">
        <v>228</v>
      </c>
      <c r="K2481" s="6" t="s">
        <v>16722</v>
      </c>
      <c r="L2481" s="6">
        <v>6.975281235E10</v>
      </c>
      <c r="M2481" s="6" t="s">
        <v>16723</v>
      </c>
      <c r="N2481" s="6" t="s">
        <v>176</v>
      </c>
      <c r="O2481" s="6" t="s">
        <v>178</v>
      </c>
      <c r="P2481" s="10">
        <v>45948.0</v>
      </c>
    </row>
    <row r="2482" ht="22.5" customHeight="1">
      <c r="A2482" s="6" t="s">
        <v>16725</v>
      </c>
      <c r="B2482" s="6" t="s">
        <v>16726</v>
      </c>
      <c r="C2482" s="6" t="s">
        <v>16727</v>
      </c>
      <c r="D2482" s="6" t="s">
        <v>206</v>
      </c>
      <c r="E2482" s="6" t="s">
        <v>301</v>
      </c>
      <c r="F2482" s="8">
        <v>35.0</v>
      </c>
      <c r="G2482" s="9">
        <v>577.04</v>
      </c>
      <c r="H2482" s="9">
        <v>11863.05</v>
      </c>
      <c r="I2482" s="6" t="s">
        <v>161</v>
      </c>
      <c r="J2482" s="6" t="s">
        <v>479</v>
      </c>
      <c r="K2482" s="6" t="s">
        <v>16729</v>
      </c>
      <c r="L2482" s="6">
        <v>4.2246929231E10</v>
      </c>
      <c r="M2482" s="6" t="s">
        <v>16730</v>
      </c>
      <c r="N2482" s="6" t="s">
        <v>112</v>
      </c>
      <c r="O2482" s="6" t="s">
        <v>178</v>
      </c>
      <c r="P2482" s="10">
        <v>45967.0</v>
      </c>
    </row>
    <row r="2483" ht="22.5" customHeight="1">
      <c r="A2483" s="6" t="s">
        <v>16732</v>
      </c>
      <c r="B2483" s="6" t="s">
        <v>16733</v>
      </c>
      <c r="C2483" s="6" t="s">
        <v>16734</v>
      </c>
      <c r="D2483" s="6" t="s">
        <v>383</v>
      </c>
      <c r="E2483" s="6" t="s">
        <v>301</v>
      </c>
      <c r="F2483" s="8">
        <v>40.0</v>
      </c>
      <c r="G2483" s="9">
        <v>1407.16</v>
      </c>
      <c r="H2483" s="9">
        <v>4507.35</v>
      </c>
      <c r="I2483" s="6" t="s">
        <v>161</v>
      </c>
      <c r="J2483" s="6" t="s">
        <v>312</v>
      </c>
      <c r="K2483" s="6" t="s">
        <v>16736</v>
      </c>
      <c r="L2483" s="6">
        <v>3.1229001596E10</v>
      </c>
      <c r="M2483" s="6" t="s">
        <v>16737</v>
      </c>
      <c r="N2483" s="6" t="s">
        <v>427</v>
      </c>
      <c r="O2483" s="6" t="s">
        <v>178</v>
      </c>
      <c r="P2483" s="10">
        <v>45935.0</v>
      </c>
    </row>
    <row r="2484" ht="22.5" customHeight="1">
      <c r="A2484" s="6" t="s">
        <v>16738</v>
      </c>
      <c r="B2484" s="6" t="s">
        <v>16740</v>
      </c>
      <c r="C2484" s="6" t="s">
        <v>16741</v>
      </c>
      <c r="D2484" s="6" t="s">
        <v>145</v>
      </c>
      <c r="E2484" s="6" t="s">
        <v>301</v>
      </c>
      <c r="F2484" s="8">
        <v>55.0</v>
      </c>
      <c r="G2484" s="9">
        <v>870.16</v>
      </c>
      <c r="H2484" s="9">
        <v>10558.2</v>
      </c>
      <c r="I2484" s="6" t="s">
        <v>161</v>
      </c>
      <c r="J2484" s="6" t="s">
        <v>479</v>
      </c>
      <c r="K2484" s="6" t="s">
        <v>16742</v>
      </c>
      <c r="L2484" s="6">
        <v>2.2429629344E10</v>
      </c>
      <c r="M2484" s="6" t="s">
        <v>16743</v>
      </c>
      <c r="N2484" s="6" t="s">
        <v>283</v>
      </c>
      <c r="O2484" s="6" t="s">
        <v>178</v>
      </c>
      <c r="P2484" s="10">
        <v>45990.0</v>
      </c>
    </row>
    <row r="2485" ht="22.5" customHeight="1">
      <c r="A2485" s="6" t="s">
        <v>16745</v>
      </c>
      <c r="B2485" s="6" t="s">
        <v>16746</v>
      </c>
      <c r="C2485" s="6" t="s">
        <v>16747</v>
      </c>
      <c r="D2485" s="6" t="s">
        <v>145</v>
      </c>
      <c r="E2485" s="6" t="s">
        <v>147</v>
      </c>
      <c r="F2485" s="8">
        <v>27.0</v>
      </c>
      <c r="G2485" s="9">
        <v>991.01</v>
      </c>
      <c r="H2485" s="9">
        <v>3400.83</v>
      </c>
      <c r="I2485" s="6" t="s">
        <v>161</v>
      </c>
      <c r="J2485" s="6" t="s">
        <v>393</v>
      </c>
      <c r="K2485" s="6" t="s">
        <v>6495</v>
      </c>
      <c r="L2485" s="6">
        <v>8.3135847671E10</v>
      </c>
      <c r="M2485" s="6" t="s">
        <v>16749</v>
      </c>
      <c r="N2485" s="6" t="s">
        <v>259</v>
      </c>
      <c r="O2485" s="6" t="s">
        <v>178</v>
      </c>
      <c r="P2485" s="10">
        <v>46030.0</v>
      </c>
    </row>
    <row r="2486" ht="22.5" customHeight="1">
      <c r="A2486" s="6" t="s">
        <v>16751</v>
      </c>
      <c r="B2486" s="6" t="s">
        <v>16752</v>
      </c>
      <c r="C2486" s="6" t="s">
        <v>16753</v>
      </c>
      <c r="D2486" s="6" t="s">
        <v>383</v>
      </c>
      <c r="E2486" s="6" t="s">
        <v>301</v>
      </c>
      <c r="F2486" s="8">
        <v>56.0</v>
      </c>
      <c r="G2486" s="9">
        <v>980.34</v>
      </c>
      <c r="H2486" s="9">
        <v>5630.27</v>
      </c>
      <c r="I2486" s="6" t="s">
        <v>161</v>
      </c>
      <c r="J2486" s="6" t="s">
        <v>421</v>
      </c>
      <c r="K2486" s="6" t="s">
        <v>16754</v>
      </c>
      <c r="L2486" s="6">
        <v>5.9816624149E10</v>
      </c>
      <c r="M2486" s="6" t="s">
        <v>16756</v>
      </c>
      <c r="N2486" s="6" t="s">
        <v>427</v>
      </c>
      <c r="O2486" s="6" t="s">
        <v>178</v>
      </c>
      <c r="P2486" s="10">
        <v>46051.0</v>
      </c>
    </row>
    <row r="2487" ht="22.5" customHeight="1">
      <c r="A2487" s="6" t="s">
        <v>16757</v>
      </c>
      <c r="B2487" s="6" t="s">
        <v>16758</v>
      </c>
      <c r="C2487" s="6" t="s">
        <v>16759</v>
      </c>
      <c r="D2487" s="6" t="s">
        <v>383</v>
      </c>
      <c r="E2487" s="6" t="s">
        <v>147</v>
      </c>
      <c r="F2487" s="8">
        <v>12.0</v>
      </c>
      <c r="G2487" s="9">
        <v>908.68</v>
      </c>
      <c r="H2487" s="9">
        <v>6156.51</v>
      </c>
      <c r="I2487" s="6" t="s">
        <v>178</v>
      </c>
      <c r="J2487" s="6" t="s">
        <v>163</v>
      </c>
      <c r="K2487" s="6" t="s">
        <v>16761</v>
      </c>
      <c r="L2487" s="6">
        <v>9.0256245349E10</v>
      </c>
      <c r="M2487" s="6" t="s">
        <v>16762</v>
      </c>
      <c r="N2487" s="6" t="s">
        <v>283</v>
      </c>
      <c r="O2487" s="6" t="s">
        <v>161</v>
      </c>
      <c r="P2487" s="10">
        <v>46037.0</v>
      </c>
    </row>
    <row r="2488" ht="22.5" customHeight="1">
      <c r="A2488" s="6" t="s">
        <v>16763</v>
      </c>
      <c r="B2488" s="6" t="s">
        <v>16764</v>
      </c>
      <c r="C2488" s="6" t="s">
        <v>16766</v>
      </c>
      <c r="D2488" s="6" t="s">
        <v>383</v>
      </c>
      <c r="E2488" s="6" t="s">
        <v>147</v>
      </c>
      <c r="F2488" s="8">
        <v>21.0</v>
      </c>
      <c r="G2488" s="9">
        <v>154.49</v>
      </c>
      <c r="H2488" s="9">
        <v>4077.45</v>
      </c>
      <c r="I2488" s="6" t="s">
        <v>161</v>
      </c>
      <c r="J2488" s="6" t="s">
        <v>465</v>
      </c>
      <c r="K2488" s="6" t="s">
        <v>16767</v>
      </c>
      <c r="L2488" s="6">
        <v>1.4179198072E10</v>
      </c>
      <c r="M2488" s="6" t="s">
        <v>16768</v>
      </c>
      <c r="N2488" s="6" t="s">
        <v>112</v>
      </c>
      <c r="O2488" s="6" t="s">
        <v>178</v>
      </c>
      <c r="P2488" s="10">
        <v>45984.0</v>
      </c>
    </row>
    <row r="2489" ht="22.5" customHeight="1">
      <c r="A2489" s="6" t="s">
        <v>16770</v>
      </c>
      <c r="B2489" s="6" t="s">
        <v>16771</v>
      </c>
      <c r="C2489" s="6" t="s">
        <v>16772</v>
      </c>
      <c r="D2489" s="6" t="s">
        <v>145</v>
      </c>
      <c r="E2489" s="6" t="s">
        <v>147</v>
      </c>
      <c r="F2489" s="8">
        <v>29.0</v>
      </c>
      <c r="G2489" s="9">
        <v>719.03</v>
      </c>
      <c r="H2489" s="9">
        <v>5430.08</v>
      </c>
      <c r="I2489" s="6" t="s">
        <v>161</v>
      </c>
      <c r="J2489" s="6" t="s">
        <v>14523</v>
      </c>
      <c r="K2489" s="6" t="s">
        <v>16774</v>
      </c>
      <c r="L2489" s="6">
        <v>1.1910888174E10</v>
      </c>
      <c r="M2489" s="6" t="s">
        <v>16775</v>
      </c>
      <c r="N2489" s="6" t="s">
        <v>283</v>
      </c>
      <c r="O2489" s="6" t="s">
        <v>178</v>
      </c>
      <c r="P2489" s="10">
        <v>46051.0</v>
      </c>
    </row>
    <row r="2490" ht="22.5" customHeight="1">
      <c r="A2490" s="6" t="s">
        <v>16776</v>
      </c>
      <c r="B2490" s="6" t="s">
        <v>16777</v>
      </c>
      <c r="C2490" s="6" t="s">
        <v>16778</v>
      </c>
      <c r="D2490" s="6" t="s">
        <v>383</v>
      </c>
      <c r="E2490" s="6" t="s">
        <v>301</v>
      </c>
      <c r="F2490" s="8">
        <v>34.0</v>
      </c>
      <c r="G2490" s="9">
        <v>414.88</v>
      </c>
      <c r="H2490" s="9">
        <v>9476.14</v>
      </c>
      <c r="I2490" s="6" t="s">
        <v>161</v>
      </c>
      <c r="J2490" s="6" t="s">
        <v>479</v>
      </c>
      <c r="K2490" s="6" t="s">
        <v>259</v>
      </c>
      <c r="L2490" s="6">
        <v>7.7711851737E10</v>
      </c>
      <c r="M2490" s="6" t="s">
        <v>16780</v>
      </c>
      <c r="N2490" s="6" t="s">
        <v>112</v>
      </c>
      <c r="O2490" s="6" t="s">
        <v>178</v>
      </c>
      <c r="P2490" s="10">
        <v>45980.0</v>
      </c>
    </row>
    <row r="2491" ht="22.5" customHeight="1">
      <c r="A2491" s="6" t="s">
        <v>16782</v>
      </c>
      <c r="B2491" s="6" t="s">
        <v>16783</v>
      </c>
      <c r="C2491" s="6" t="s">
        <v>16784</v>
      </c>
      <c r="D2491" s="6" t="s">
        <v>206</v>
      </c>
      <c r="E2491" s="6" t="s">
        <v>210</v>
      </c>
      <c r="F2491" s="8">
        <v>76.0</v>
      </c>
      <c r="G2491" s="9">
        <v>581.26</v>
      </c>
      <c r="H2491" s="9">
        <v>13865.3</v>
      </c>
      <c r="I2491" s="6" t="s">
        <v>178</v>
      </c>
      <c r="J2491" s="6" t="s">
        <v>421</v>
      </c>
      <c r="K2491" s="6" t="s">
        <v>16785</v>
      </c>
      <c r="L2491" s="6">
        <v>7.318729829E9</v>
      </c>
      <c r="M2491" s="6" t="s">
        <v>16787</v>
      </c>
      <c r="N2491" s="6" t="s">
        <v>176</v>
      </c>
      <c r="O2491" s="6" t="s">
        <v>161</v>
      </c>
      <c r="P2491" s="10">
        <v>46039.0</v>
      </c>
    </row>
    <row r="2492" ht="22.5" customHeight="1">
      <c r="A2492" s="6" t="s">
        <v>16788</v>
      </c>
      <c r="B2492" s="6" t="s">
        <v>16789</v>
      </c>
      <c r="C2492" s="6" t="s">
        <v>15737</v>
      </c>
      <c r="D2492" s="6" t="s">
        <v>145</v>
      </c>
      <c r="E2492" s="6" t="s">
        <v>301</v>
      </c>
      <c r="F2492" s="8">
        <v>41.0</v>
      </c>
      <c r="G2492" s="9">
        <v>518.23</v>
      </c>
      <c r="H2492" s="9">
        <v>2435.63</v>
      </c>
      <c r="I2492" s="6" t="s">
        <v>161</v>
      </c>
      <c r="J2492" s="6" t="s">
        <v>479</v>
      </c>
      <c r="K2492" s="6" t="s">
        <v>16791</v>
      </c>
      <c r="L2492" s="6">
        <v>7.198462519E10</v>
      </c>
      <c r="M2492" s="6" t="s">
        <v>16792</v>
      </c>
      <c r="N2492" s="6" t="s">
        <v>283</v>
      </c>
      <c r="O2492" s="6" t="s">
        <v>178</v>
      </c>
      <c r="P2492" s="10">
        <v>45952.0</v>
      </c>
    </row>
    <row r="2493" ht="22.5" customHeight="1">
      <c r="A2493" s="6" t="s">
        <v>16793</v>
      </c>
      <c r="B2493" s="6" t="s">
        <v>16794</v>
      </c>
      <c r="C2493" s="6" t="s">
        <v>16795</v>
      </c>
      <c r="D2493" s="6" t="s">
        <v>145</v>
      </c>
      <c r="E2493" s="6" t="s">
        <v>210</v>
      </c>
      <c r="F2493" s="8">
        <v>102.0</v>
      </c>
      <c r="G2493" s="9">
        <v>471.58</v>
      </c>
      <c r="H2493" s="9">
        <v>9028.69</v>
      </c>
      <c r="I2493" s="6" t="s">
        <v>178</v>
      </c>
      <c r="J2493" s="6" t="s">
        <v>442</v>
      </c>
      <c r="K2493" s="6" t="s">
        <v>16796</v>
      </c>
      <c r="L2493" s="6">
        <v>2.7727148142E10</v>
      </c>
      <c r="M2493" s="6" t="s">
        <v>16798</v>
      </c>
      <c r="N2493" s="6" t="s">
        <v>176</v>
      </c>
      <c r="O2493" s="6" t="s">
        <v>161</v>
      </c>
      <c r="P2493" s="10">
        <v>46036.0</v>
      </c>
    </row>
    <row r="2494" ht="22.5" customHeight="1">
      <c r="A2494" s="6" t="s">
        <v>16799</v>
      </c>
      <c r="B2494" s="6" t="s">
        <v>16800</v>
      </c>
      <c r="C2494" s="6" t="s">
        <v>16801</v>
      </c>
      <c r="D2494" s="6" t="s">
        <v>206</v>
      </c>
      <c r="E2494" s="6" t="s">
        <v>210</v>
      </c>
      <c r="F2494" s="8">
        <v>70.0</v>
      </c>
      <c r="G2494" s="9">
        <v>849.7</v>
      </c>
      <c r="H2494" s="9">
        <v>10608.23</v>
      </c>
      <c r="I2494" s="6" t="s">
        <v>178</v>
      </c>
      <c r="J2494" s="6" t="s">
        <v>442</v>
      </c>
      <c r="K2494" s="6" t="s">
        <v>16803</v>
      </c>
      <c r="L2494" s="6" t="s">
        <v>259</v>
      </c>
      <c r="M2494" s="6" t="s">
        <v>16804</v>
      </c>
      <c r="N2494" s="6" t="s">
        <v>283</v>
      </c>
      <c r="O2494" s="6" t="s">
        <v>161</v>
      </c>
      <c r="P2494" s="10">
        <v>45977.0</v>
      </c>
    </row>
    <row r="2495" ht="22.5" customHeight="1">
      <c r="A2495" s="6" t="s">
        <v>16805</v>
      </c>
      <c r="B2495" s="6" t="s">
        <v>16806</v>
      </c>
      <c r="C2495" s="6" t="s">
        <v>16808</v>
      </c>
      <c r="D2495" s="6" t="s">
        <v>206</v>
      </c>
      <c r="E2495" s="6" t="s">
        <v>210</v>
      </c>
      <c r="F2495" s="8">
        <v>117.0</v>
      </c>
      <c r="G2495" s="9">
        <v>1531.41</v>
      </c>
      <c r="H2495" s="9">
        <v>10623.7</v>
      </c>
      <c r="I2495" s="6" t="s">
        <v>178</v>
      </c>
      <c r="J2495" s="6" t="s">
        <v>163</v>
      </c>
      <c r="K2495" s="6" t="s">
        <v>16809</v>
      </c>
      <c r="L2495" s="6">
        <v>2.6913019799E10</v>
      </c>
      <c r="M2495" s="6" t="s">
        <v>16810</v>
      </c>
      <c r="N2495" s="6" t="s">
        <v>427</v>
      </c>
      <c r="O2495" s="6" t="s">
        <v>161</v>
      </c>
      <c r="P2495" s="10">
        <v>46037.0</v>
      </c>
    </row>
    <row r="2496" ht="22.5" customHeight="1">
      <c r="A2496" s="6" t="s">
        <v>16812</v>
      </c>
      <c r="B2496" s="6" t="s">
        <v>16813</v>
      </c>
      <c r="C2496" s="6" t="s">
        <v>16814</v>
      </c>
      <c r="D2496" s="6" t="s">
        <v>145</v>
      </c>
      <c r="E2496" s="6" t="s">
        <v>147</v>
      </c>
      <c r="F2496" s="8">
        <v>22.0</v>
      </c>
      <c r="G2496" s="9">
        <v>218.89</v>
      </c>
      <c r="H2496" s="9">
        <v>9217.2</v>
      </c>
      <c r="I2496" s="6" t="s">
        <v>161</v>
      </c>
      <c r="J2496" s="6" t="s">
        <v>421</v>
      </c>
      <c r="K2496" s="6" t="s">
        <v>16816</v>
      </c>
      <c r="L2496" s="6">
        <v>2.8170917157E10</v>
      </c>
      <c r="M2496" s="6" t="s">
        <v>16817</v>
      </c>
      <c r="N2496" s="6" t="s">
        <v>427</v>
      </c>
      <c r="O2496" s="6" t="s">
        <v>178</v>
      </c>
      <c r="P2496" s="10">
        <v>46016.0</v>
      </c>
    </row>
    <row r="2497" ht="22.5" customHeight="1">
      <c r="A2497" s="6" t="s">
        <v>16818</v>
      </c>
      <c r="B2497" s="6" t="s">
        <v>16819</v>
      </c>
      <c r="C2497" s="6" t="s">
        <v>16820</v>
      </c>
      <c r="D2497" s="6" t="s">
        <v>145</v>
      </c>
      <c r="E2497" s="6" t="s">
        <v>301</v>
      </c>
      <c r="F2497" s="8">
        <v>37.0</v>
      </c>
      <c r="G2497" s="9">
        <v>770.77</v>
      </c>
      <c r="H2497" s="9">
        <v>7163.79</v>
      </c>
      <c r="I2497" s="6" t="s">
        <v>161</v>
      </c>
      <c r="J2497" s="6" t="s">
        <v>577</v>
      </c>
      <c r="K2497" s="6" t="s">
        <v>16822</v>
      </c>
      <c r="L2497" s="6">
        <v>8.3621468842E10</v>
      </c>
      <c r="M2497" s="6" t="s">
        <v>16823</v>
      </c>
      <c r="N2497" s="6" t="s">
        <v>259</v>
      </c>
      <c r="O2497" s="6" t="s">
        <v>178</v>
      </c>
      <c r="P2497" s="10">
        <v>46019.0</v>
      </c>
    </row>
    <row r="2498" ht="22.5" customHeight="1">
      <c r="A2498" s="6" t="s">
        <v>16825</v>
      </c>
      <c r="B2498" s="6" t="s">
        <v>16826</v>
      </c>
      <c r="C2498" s="6" t="s">
        <v>16827</v>
      </c>
      <c r="D2498" s="6" t="s">
        <v>383</v>
      </c>
      <c r="E2498" s="6" t="s">
        <v>210</v>
      </c>
      <c r="F2498" s="8">
        <v>73.0</v>
      </c>
      <c r="G2498" s="9">
        <v>1016.64</v>
      </c>
      <c r="H2498" s="9">
        <v>4928.89</v>
      </c>
      <c r="I2498" s="6" t="s">
        <v>161</v>
      </c>
      <c r="J2498" s="6" t="s">
        <v>577</v>
      </c>
      <c r="K2498" s="6" t="s">
        <v>16828</v>
      </c>
      <c r="L2498" s="6">
        <v>1.5265764587E10</v>
      </c>
      <c r="M2498" s="6" t="s">
        <v>16829</v>
      </c>
      <c r="N2498" s="6" t="s">
        <v>259</v>
      </c>
      <c r="O2498" s="6" t="s">
        <v>161</v>
      </c>
      <c r="P2498" s="10">
        <v>45986.0</v>
      </c>
    </row>
    <row r="2499" ht="22.5" customHeight="1">
      <c r="A2499" s="6" t="s">
        <v>16831</v>
      </c>
      <c r="B2499" s="6" t="s">
        <v>16832</v>
      </c>
      <c r="C2499" s="6" t="s">
        <v>16833</v>
      </c>
      <c r="D2499" s="6" t="s">
        <v>206</v>
      </c>
      <c r="E2499" s="6" t="s">
        <v>301</v>
      </c>
      <c r="F2499" s="8">
        <v>51.0</v>
      </c>
      <c r="G2499" s="9">
        <v>1233.11</v>
      </c>
      <c r="H2499" s="9">
        <v>12755.47</v>
      </c>
      <c r="I2499" s="6" t="s">
        <v>161</v>
      </c>
      <c r="J2499" s="6" t="s">
        <v>442</v>
      </c>
      <c r="K2499" s="6" t="s">
        <v>16834</v>
      </c>
      <c r="L2499" s="6">
        <v>1.1765146191E10</v>
      </c>
      <c r="M2499" s="6" t="s">
        <v>16836</v>
      </c>
      <c r="N2499" s="6" t="s">
        <v>259</v>
      </c>
      <c r="O2499" s="6" t="s">
        <v>178</v>
      </c>
      <c r="P2499" s="10">
        <v>45940.0</v>
      </c>
    </row>
    <row r="2500" ht="22.5" customHeight="1">
      <c r="A2500" s="6" t="s">
        <v>16837</v>
      </c>
      <c r="B2500" s="6" t="s">
        <v>16838</v>
      </c>
      <c r="C2500" s="6" t="s">
        <v>16839</v>
      </c>
      <c r="D2500" s="6" t="s">
        <v>145</v>
      </c>
      <c r="E2500" s="6" t="s">
        <v>301</v>
      </c>
      <c r="F2500" s="8">
        <v>59.0</v>
      </c>
      <c r="G2500" s="9">
        <v>1679.26</v>
      </c>
      <c r="H2500" s="9">
        <v>9899.44</v>
      </c>
      <c r="I2500" s="6" t="s">
        <v>161</v>
      </c>
      <c r="J2500" s="6" t="s">
        <v>357</v>
      </c>
      <c r="K2500" s="6" t="s">
        <v>16841</v>
      </c>
      <c r="L2500" s="6">
        <v>3.9756417128E10</v>
      </c>
      <c r="M2500" s="6" t="s">
        <v>16842</v>
      </c>
      <c r="N2500" s="6" t="s">
        <v>259</v>
      </c>
      <c r="O2500" s="6" t="s">
        <v>178</v>
      </c>
      <c r="P2500" s="10">
        <v>46003.0</v>
      </c>
    </row>
    <row r="2501" ht="22.5" customHeight="1">
      <c r="A2501" s="6" t="s">
        <v>16843</v>
      </c>
      <c r="B2501" s="6" t="s">
        <v>16844</v>
      </c>
      <c r="C2501" s="6" t="s">
        <v>16846</v>
      </c>
      <c r="D2501" s="6" t="s">
        <v>206</v>
      </c>
      <c r="E2501" s="6" t="s">
        <v>147</v>
      </c>
      <c r="F2501" s="8">
        <v>11.0</v>
      </c>
      <c r="G2501" s="9">
        <v>1639.74</v>
      </c>
      <c r="H2501" s="9">
        <v>3422.12</v>
      </c>
      <c r="I2501" s="6" t="s">
        <v>161</v>
      </c>
      <c r="J2501" s="6" t="s">
        <v>228</v>
      </c>
      <c r="K2501" s="6" t="s">
        <v>16847</v>
      </c>
      <c r="L2501" s="6">
        <v>9.2761087058E10</v>
      </c>
      <c r="M2501" s="6" t="s">
        <v>16848</v>
      </c>
      <c r="N2501" s="6" t="s">
        <v>259</v>
      </c>
      <c r="O2501" s="6" t="s">
        <v>178</v>
      </c>
      <c r="P2501" s="10">
        <v>45958.0</v>
      </c>
    </row>
    <row r="2502" ht="22.5" customHeight="1">
      <c r="A2502" s="6" t="s">
        <v>16850</v>
      </c>
      <c r="B2502" s="6" t="s">
        <v>16851</v>
      </c>
      <c r="C2502" s="6" t="s">
        <v>16852</v>
      </c>
      <c r="D2502" s="6" t="s">
        <v>206</v>
      </c>
      <c r="E2502" s="6" t="s">
        <v>301</v>
      </c>
      <c r="F2502" s="8">
        <v>43.0</v>
      </c>
      <c r="G2502" s="9">
        <v>1199.82</v>
      </c>
      <c r="H2502" s="9">
        <v>4054.82</v>
      </c>
      <c r="I2502" s="6" t="s">
        <v>161</v>
      </c>
      <c r="J2502" s="6" t="s">
        <v>421</v>
      </c>
      <c r="K2502" s="6" t="s">
        <v>16854</v>
      </c>
      <c r="L2502" s="6">
        <v>6.6062637919E10</v>
      </c>
      <c r="M2502" s="6" t="s">
        <v>16855</v>
      </c>
      <c r="N2502" s="6" t="s">
        <v>176</v>
      </c>
      <c r="O2502" s="6" t="s">
        <v>178</v>
      </c>
      <c r="P2502" s="10">
        <v>45988.0</v>
      </c>
    </row>
    <row r="2503" ht="22.5" customHeight="1">
      <c r="A2503" s="6" t="s">
        <v>16856</v>
      </c>
      <c r="B2503" s="6" t="s">
        <v>16857</v>
      </c>
      <c r="C2503" s="6" t="s">
        <v>16859</v>
      </c>
      <c r="D2503" s="6" t="s">
        <v>383</v>
      </c>
      <c r="E2503" s="6" t="s">
        <v>301</v>
      </c>
      <c r="F2503" s="8">
        <v>51.0</v>
      </c>
      <c r="G2503" s="9">
        <v>127.41</v>
      </c>
      <c r="H2503" s="9">
        <v>6717.22</v>
      </c>
      <c r="I2503" s="6" t="s">
        <v>161</v>
      </c>
      <c r="J2503" s="6" t="s">
        <v>312</v>
      </c>
      <c r="K2503" s="6" t="s">
        <v>16861</v>
      </c>
      <c r="L2503" s="6">
        <v>7.4224368927E10</v>
      </c>
      <c r="M2503" s="6" t="s">
        <v>16862</v>
      </c>
      <c r="N2503" s="6" t="s">
        <v>259</v>
      </c>
      <c r="O2503" s="6" t="s">
        <v>178</v>
      </c>
      <c r="P2503" s="10">
        <v>46002.0</v>
      </c>
    </row>
    <row r="2504" ht="22.5" customHeight="1">
      <c r="A2504" s="6" t="s">
        <v>16863</v>
      </c>
      <c r="B2504" s="6" t="s">
        <v>16864</v>
      </c>
      <c r="C2504" s="6" t="s">
        <v>16865</v>
      </c>
      <c r="D2504" s="6" t="s">
        <v>206</v>
      </c>
      <c r="E2504" s="6" t="s">
        <v>210</v>
      </c>
      <c r="F2504" s="8">
        <v>110.0</v>
      </c>
      <c r="G2504" s="9">
        <v>651.14</v>
      </c>
      <c r="H2504" s="9">
        <v>9153.14</v>
      </c>
      <c r="I2504" s="6" t="s">
        <v>178</v>
      </c>
      <c r="J2504" s="6" t="s">
        <v>228</v>
      </c>
      <c r="K2504" s="6" t="s">
        <v>16867</v>
      </c>
      <c r="L2504" s="6" t="s">
        <v>259</v>
      </c>
      <c r="M2504" s="6" t="s">
        <v>16868</v>
      </c>
      <c r="N2504" s="6" t="s">
        <v>427</v>
      </c>
      <c r="O2504" s="6" t="s">
        <v>161</v>
      </c>
      <c r="P2504" s="10">
        <v>46042.0</v>
      </c>
    </row>
    <row r="2505" ht="22.5" customHeight="1">
      <c r="A2505" s="6" t="s">
        <v>16870</v>
      </c>
      <c r="B2505" s="6" t="s">
        <v>16871</v>
      </c>
      <c r="C2505" s="6" t="s">
        <v>16872</v>
      </c>
      <c r="D2505" s="6" t="s">
        <v>383</v>
      </c>
      <c r="E2505" s="6" t="s">
        <v>147</v>
      </c>
      <c r="F2505" s="8">
        <v>26.0</v>
      </c>
      <c r="G2505" s="9">
        <v>439.11</v>
      </c>
      <c r="H2505" s="9">
        <v>5898.01</v>
      </c>
      <c r="I2505" s="6" t="s">
        <v>161</v>
      </c>
      <c r="J2505" s="6" t="s">
        <v>259</v>
      </c>
      <c r="K2505" s="6" t="s">
        <v>259</v>
      </c>
      <c r="L2505" s="6">
        <v>7.30468493E10</v>
      </c>
      <c r="M2505" s="6" t="s">
        <v>16874</v>
      </c>
      <c r="N2505" s="6" t="s">
        <v>259</v>
      </c>
      <c r="O2505" s="6" t="s">
        <v>178</v>
      </c>
      <c r="P2505" s="10">
        <v>45956.0</v>
      </c>
    </row>
    <row r="2506" ht="22.5" customHeight="1">
      <c r="A2506" s="6" t="s">
        <v>16875</v>
      </c>
      <c r="B2506" s="6" t="s">
        <v>16876</v>
      </c>
      <c r="C2506" s="6" t="s">
        <v>16877</v>
      </c>
      <c r="D2506" s="6" t="s">
        <v>206</v>
      </c>
      <c r="E2506" s="6" t="s">
        <v>301</v>
      </c>
      <c r="F2506" s="8">
        <v>39.0</v>
      </c>
      <c r="G2506" s="9">
        <v>1748.65</v>
      </c>
      <c r="H2506" s="9">
        <v>2753.49</v>
      </c>
      <c r="I2506" s="6" t="s">
        <v>161</v>
      </c>
      <c r="J2506" s="6" t="s">
        <v>357</v>
      </c>
      <c r="K2506" s="6" t="s">
        <v>16879</v>
      </c>
      <c r="L2506" s="6">
        <v>2.6357508813E10</v>
      </c>
      <c r="M2506" s="6" t="s">
        <v>16880</v>
      </c>
      <c r="N2506" s="6" t="s">
        <v>259</v>
      </c>
      <c r="O2506" s="6" t="s">
        <v>178</v>
      </c>
      <c r="P2506" s="10">
        <v>46050.0</v>
      </c>
    </row>
    <row r="2507" ht="22.5" customHeight="1">
      <c r="A2507" s="6" t="s">
        <v>16882</v>
      </c>
      <c r="B2507" s="6" t="s">
        <v>16883</v>
      </c>
      <c r="C2507" s="6" t="s">
        <v>16884</v>
      </c>
      <c r="D2507" s="6" t="s">
        <v>383</v>
      </c>
      <c r="E2507" s="6" t="s">
        <v>147</v>
      </c>
      <c r="F2507" s="8">
        <v>8.0</v>
      </c>
      <c r="G2507" s="9">
        <v>652.57</v>
      </c>
      <c r="H2507" s="9">
        <v>2010.41</v>
      </c>
      <c r="I2507" s="6" t="s">
        <v>161</v>
      </c>
      <c r="J2507" s="6" t="s">
        <v>465</v>
      </c>
      <c r="K2507" s="6" t="s">
        <v>16885</v>
      </c>
      <c r="L2507" s="6">
        <v>1.7497355891E10</v>
      </c>
      <c r="M2507" s="6" t="s">
        <v>16886</v>
      </c>
      <c r="N2507" s="6" t="s">
        <v>259</v>
      </c>
      <c r="O2507" s="6" t="s">
        <v>178</v>
      </c>
      <c r="P2507" s="10">
        <v>45965.0</v>
      </c>
    </row>
    <row r="2508" ht="22.5" customHeight="1">
      <c r="A2508" s="6" t="s">
        <v>16887</v>
      </c>
      <c r="B2508" s="6" t="s">
        <v>16888</v>
      </c>
      <c r="C2508" s="6" t="s">
        <v>16890</v>
      </c>
      <c r="D2508" s="6" t="s">
        <v>206</v>
      </c>
      <c r="E2508" s="6" t="s">
        <v>147</v>
      </c>
      <c r="F2508" s="8">
        <v>18.0</v>
      </c>
      <c r="G2508" s="9">
        <v>492.82</v>
      </c>
      <c r="H2508" s="9">
        <v>13387.18</v>
      </c>
      <c r="I2508" s="6" t="s">
        <v>161</v>
      </c>
      <c r="J2508" s="6" t="s">
        <v>479</v>
      </c>
      <c r="K2508" s="6" t="s">
        <v>16891</v>
      </c>
      <c r="L2508" s="6">
        <v>4.3149963298E10</v>
      </c>
      <c r="M2508" s="6" t="s">
        <v>16892</v>
      </c>
      <c r="N2508" s="6" t="s">
        <v>259</v>
      </c>
      <c r="O2508" s="6" t="s">
        <v>178</v>
      </c>
      <c r="P2508" s="10">
        <v>45952.0</v>
      </c>
    </row>
    <row r="2509" ht="22.5" customHeight="1">
      <c r="A2509" s="6" t="s">
        <v>16894</v>
      </c>
      <c r="B2509" s="6" t="s">
        <v>16895</v>
      </c>
      <c r="C2509" s="6" t="s">
        <v>16896</v>
      </c>
      <c r="D2509" s="6" t="s">
        <v>206</v>
      </c>
      <c r="E2509" s="6" t="s">
        <v>147</v>
      </c>
      <c r="F2509" s="8">
        <v>7.0</v>
      </c>
      <c r="G2509" s="9">
        <v>145.18</v>
      </c>
      <c r="H2509" s="9">
        <v>883.05</v>
      </c>
      <c r="I2509" s="6" t="s">
        <v>161</v>
      </c>
      <c r="J2509" s="6" t="s">
        <v>465</v>
      </c>
      <c r="K2509" s="6" t="s">
        <v>16898</v>
      </c>
      <c r="L2509" s="6">
        <v>2.670430248E9</v>
      </c>
      <c r="M2509" s="6" t="s">
        <v>16899</v>
      </c>
      <c r="N2509" s="6" t="s">
        <v>427</v>
      </c>
      <c r="O2509" s="6" t="s">
        <v>178</v>
      </c>
      <c r="P2509" s="10">
        <v>45968.0</v>
      </c>
    </row>
    <row r="2510" ht="22.5" customHeight="1">
      <c r="A2510" s="6" t="s">
        <v>16900</v>
      </c>
      <c r="B2510" s="6" t="s">
        <v>16901</v>
      </c>
      <c r="C2510" s="6" t="s">
        <v>16902</v>
      </c>
      <c r="D2510" s="6" t="s">
        <v>206</v>
      </c>
      <c r="E2510" s="6" t="s">
        <v>301</v>
      </c>
      <c r="F2510" s="8">
        <v>48.0</v>
      </c>
      <c r="G2510" s="9">
        <v>519.41</v>
      </c>
      <c r="H2510" s="9">
        <v>14198.66</v>
      </c>
      <c r="I2510" s="6" t="s">
        <v>161</v>
      </c>
      <c r="J2510" s="6" t="s">
        <v>4705</v>
      </c>
      <c r="K2510" s="6" t="s">
        <v>16904</v>
      </c>
      <c r="L2510" s="6">
        <v>7.2694232216E10</v>
      </c>
      <c r="M2510" s="6" t="s">
        <v>16905</v>
      </c>
      <c r="N2510" s="6" t="s">
        <v>259</v>
      </c>
      <c r="O2510" s="6" t="s">
        <v>178</v>
      </c>
      <c r="P2510" s="10">
        <v>46008.0</v>
      </c>
    </row>
    <row r="2511" ht="22.5" customHeight="1">
      <c r="A2511" s="6" t="s">
        <v>16907</v>
      </c>
      <c r="B2511" s="6" t="s">
        <v>16908</v>
      </c>
      <c r="C2511" s="6" t="s">
        <v>16909</v>
      </c>
      <c r="D2511" s="6" t="s">
        <v>145</v>
      </c>
      <c r="E2511" s="6" t="s">
        <v>210</v>
      </c>
      <c r="F2511" s="8">
        <v>77.0</v>
      </c>
      <c r="G2511" s="9">
        <v>1110.43</v>
      </c>
      <c r="H2511" s="9">
        <v>14708.81</v>
      </c>
      <c r="I2511" s="6" t="s">
        <v>178</v>
      </c>
      <c r="J2511" s="6" t="s">
        <v>228</v>
      </c>
      <c r="K2511" s="6" t="s">
        <v>16911</v>
      </c>
      <c r="L2511" s="6">
        <v>1.3747545223E10</v>
      </c>
      <c r="M2511" s="6" t="s">
        <v>16912</v>
      </c>
      <c r="N2511" s="6" t="s">
        <v>427</v>
      </c>
      <c r="O2511" s="6" t="s">
        <v>161</v>
      </c>
      <c r="P2511" s="10">
        <v>46002.0</v>
      </c>
    </row>
    <row r="2512" ht="22.5" customHeight="1">
      <c r="A2512" s="6" t="s">
        <v>16914</v>
      </c>
      <c r="B2512" s="6" t="s">
        <v>16915</v>
      </c>
      <c r="C2512" s="6" t="s">
        <v>16916</v>
      </c>
      <c r="D2512" s="6" t="s">
        <v>383</v>
      </c>
      <c r="E2512" s="6" t="s">
        <v>210</v>
      </c>
      <c r="F2512" s="8">
        <v>93.0</v>
      </c>
      <c r="G2512" s="9">
        <v>461.86</v>
      </c>
      <c r="H2512" s="9">
        <v>13177.73</v>
      </c>
      <c r="I2512" s="6" t="s">
        <v>161</v>
      </c>
      <c r="J2512" s="6" t="s">
        <v>465</v>
      </c>
      <c r="K2512" s="6" t="s">
        <v>16918</v>
      </c>
      <c r="L2512" s="6">
        <v>3.6462173344E10</v>
      </c>
      <c r="M2512" s="6" t="s">
        <v>16919</v>
      </c>
      <c r="N2512" s="6" t="s">
        <v>112</v>
      </c>
      <c r="O2512" s="6" t="s">
        <v>161</v>
      </c>
      <c r="P2512" s="10">
        <v>45988.0</v>
      </c>
    </row>
    <row r="2513" ht="22.5" customHeight="1">
      <c r="A2513" s="6" t="s">
        <v>16920</v>
      </c>
      <c r="B2513" s="6" t="s">
        <v>16921</v>
      </c>
      <c r="C2513" s="6" t="s">
        <v>16923</v>
      </c>
      <c r="D2513" s="6" t="s">
        <v>383</v>
      </c>
      <c r="E2513" s="6" t="s">
        <v>210</v>
      </c>
      <c r="F2513" s="8">
        <v>74.0</v>
      </c>
      <c r="G2513" s="9">
        <v>1696.95</v>
      </c>
      <c r="H2513" s="9">
        <v>4930.96</v>
      </c>
      <c r="I2513" s="6" t="s">
        <v>178</v>
      </c>
      <c r="J2513" s="6" t="s">
        <v>577</v>
      </c>
      <c r="K2513" s="6" t="s">
        <v>16924</v>
      </c>
      <c r="L2513" s="6">
        <v>5.3554419578E10</v>
      </c>
      <c r="M2513" s="6" t="s">
        <v>16925</v>
      </c>
      <c r="N2513" s="6" t="s">
        <v>259</v>
      </c>
      <c r="O2513" s="6" t="s">
        <v>161</v>
      </c>
      <c r="P2513" s="10">
        <v>46001.0</v>
      </c>
    </row>
    <row r="2514" ht="22.5" customHeight="1">
      <c r="A2514" s="6" t="s">
        <v>16927</v>
      </c>
      <c r="B2514" s="6" t="s">
        <v>16928</v>
      </c>
      <c r="C2514" s="6" t="s">
        <v>16929</v>
      </c>
      <c r="D2514" s="6" t="s">
        <v>206</v>
      </c>
      <c r="E2514" s="6" t="s">
        <v>147</v>
      </c>
      <c r="F2514" s="8">
        <v>5.0</v>
      </c>
      <c r="G2514" s="9">
        <v>1655.44</v>
      </c>
      <c r="H2514" s="9">
        <v>8291.26</v>
      </c>
      <c r="I2514" s="6" t="s">
        <v>161</v>
      </c>
      <c r="J2514" s="6" t="s">
        <v>312</v>
      </c>
      <c r="K2514" s="6" t="s">
        <v>16931</v>
      </c>
      <c r="L2514" s="6">
        <v>6.8222760794E10</v>
      </c>
      <c r="M2514" s="6" t="s">
        <v>16932</v>
      </c>
      <c r="N2514" s="6" t="s">
        <v>427</v>
      </c>
      <c r="O2514" s="6" t="s">
        <v>178</v>
      </c>
      <c r="P2514" s="10">
        <v>45943.0</v>
      </c>
    </row>
    <row r="2515" ht="22.5" customHeight="1">
      <c r="A2515" s="6" t="s">
        <v>16933</v>
      </c>
      <c r="B2515" s="6" t="s">
        <v>16934</v>
      </c>
      <c r="C2515" s="6" t="s">
        <v>16936</v>
      </c>
      <c r="D2515" s="6" t="s">
        <v>206</v>
      </c>
      <c r="E2515" s="6" t="s">
        <v>301</v>
      </c>
      <c r="F2515" s="8">
        <v>33.0</v>
      </c>
      <c r="G2515" s="9">
        <v>196.05</v>
      </c>
      <c r="H2515" s="9">
        <v>2299.4</v>
      </c>
      <c r="I2515" s="6" t="s">
        <v>161</v>
      </c>
      <c r="J2515" s="6" t="s">
        <v>163</v>
      </c>
      <c r="K2515" s="6" t="s">
        <v>16937</v>
      </c>
      <c r="L2515" s="6">
        <v>6.969652541E9</v>
      </c>
      <c r="M2515" s="6" t="s">
        <v>16938</v>
      </c>
      <c r="N2515" s="6" t="s">
        <v>176</v>
      </c>
      <c r="O2515" s="6" t="s">
        <v>178</v>
      </c>
      <c r="P2515" s="10">
        <v>46029.0</v>
      </c>
    </row>
    <row r="2516" ht="22.5" customHeight="1">
      <c r="A2516" s="6" t="s">
        <v>16940</v>
      </c>
      <c r="B2516" s="6" t="s">
        <v>16941</v>
      </c>
      <c r="C2516" s="6" t="s">
        <v>16942</v>
      </c>
      <c r="D2516" s="6" t="s">
        <v>206</v>
      </c>
      <c r="E2516" s="6" t="s">
        <v>301</v>
      </c>
      <c r="F2516" s="8">
        <v>42.0</v>
      </c>
      <c r="G2516" s="9">
        <v>385.56</v>
      </c>
      <c r="H2516" s="9">
        <v>6120.37</v>
      </c>
      <c r="I2516" s="6" t="s">
        <v>161</v>
      </c>
      <c r="J2516" s="6" t="s">
        <v>228</v>
      </c>
      <c r="K2516" s="6" t="s">
        <v>16944</v>
      </c>
      <c r="L2516" s="6">
        <v>1.9098416096E10</v>
      </c>
      <c r="M2516" s="6" t="s">
        <v>16945</v>
      </c>
      <c r="N2516" s="6" t="s">
        <v>112</v>
      </c>
      <c r="O2516" s="6" t="s">
        <v>178</v>
      </c>
      <c r="P2516" s="10">
        <v>46046.0</v>
      </c>
    </row>
    <row r="2517" ht="22.5" customHeight="1">
      <c r="A2517" s="6" t="s">
        <v>16946</v>
      </c>
      <c r="B2517" s="6" t="s">
        <v>16947</v>
      </c>
      <c r="C2517" s="6" t="s">
        <v>16948</v>
      </c>
      <c r="D2517" s="6" t="s">
        <v>383</v>
      </c>
      <c r="E2517" s="6" t="s">
        <v>301</v>
      </c>
      <c r="F2517" s="8">
        <v>38.0</v>
      </c>
      <c r="G2517" s="9">
        <v>1620.7</v>
      </c>
      <c r="H2517" s="9">
        <v>11417.25</v>
      </c>
      <c r="I2517" s="6" t="s">
        <v>161</v>
      </c>
      <c r="J2517" s="6" t="s">
        <v>421</v>
      </c>
      <c r="K2517" s="6" t="s">
        <v>16950</v>
      </c>
      <c r="L2517" s="6">
        <v>4.690536377E9</v>
      </c>
      <c r="M2517" s="6" t="s">
        <v>16951</v>
      </c>
      <c r="N2517" s="6" t="s">
        <v>176</v>
      </c>
      <c r="O2517" s="6" t="s">
        <v>178</v>
      </c>
      <c r="P2517" s="10">
        <v>45963.0</v>
      </c>
    </row>
    <row r="2518" ht="22.5" customHeight="1">
      <c r="A2518" s="6" t="s">
        <v>16953</v>
      </c>
      <c r="B2518" s="6" t="s">
        <v>16954</v>
      </c>
      <c r="C2518" s="6" t="s">
        <v>16955</v>
      </c>
      <c r="D2518" s="6" t="s">
        <v>145</v>
      </c>
      <c r="E2518" s="6" t="s">
        <v>210</v>
      </c>
      <c r="F2518" s="8">
        <v>104.0</v>
      </c>
      <c r="G2518" s="9">
        <v>1340.03</v>
      </c>
      <c r="H2518" s="9">
        <v>2162.04</v>
      </c>
      <c r="I2518" s="6" t="s">
        <v>178</v>
      </c>
      <c r="J2518" s="6" t="s">
        <v>357</v>
      </c>
      <c r="K2518" s="6" t="s">
        <v>16957</v>
      </c>
      <c r="L2518" s="6">
        <v>1.0023013193E10</v>
      </c>
      <c r="M2518" s="6" t="s">
        <v>16958</v>
      </c>
      <c r="N2518" s="6" t="s">
        <v>259</v>
      </c>
      <c r="O2518" s="6" t="s">
        <v>161</v>
      </c>
      <c r="P2518" s="10">
        <v>46020.0</v>
      </c>
    </row>
    <row r="2519" ht="22.5" customHeight="1">
      <c r="A2519" s="6" t="s">
        <v>16959</v>
      </c>
      <c r="B2519" s="6" t="s">
        <v>16960</v>
      </c>
      <c r="C2519" s="6" t="s">
        <v>16961</v>
      </c>
      <c r="D2519" s="6" t="s">
        <v>145</v>
      </c>
      <c r="E2519" s="6" t="s">
        <v>147</v>
      </c>
      <c r="F2519" s="8">
        <v>25.0</v>
      </c>
      <c r="G2519" s="9">
        <v>1762.29</v>
      </c>
      <c r="H2519" s="9">
        <v>3142.07</v>
      </c>
      <c r="I2519" s="6" t="s">
        <v>161</v>
      </c>
      <c r="J2519" s="6" t="s">
        <v>228</v>
      </c>
      <c r="K2519" s="6" t="s">
        <v>16963</v>
      </c>
      <c r="L2519" s="6">
        <v>5.3571938369E10</v>
      </c>
      <c r="M2519" s="6" t="s">
        <v>16964</v>
      </c>
      <c r="N2519" s="6" t="s">
        <v>283</v>
      </c>
      <c r="O2519" s="6" t="s">
        <v>178</v>
      </c>
      <c r="P2519" s="10">
        <v>45957.0</v>
      </c>
    </row>
    <row r="2520" ht="22.5" customHeight="1">
      <c r="A2520" s="6" t="s">
        <v>16966</v>
      </c>
      <c r="B2520" s="6" t="s">
        <v>16967</v>
      </c>
      <c r="C2520" s="6" t="s">
        <v>16968</v>
      </c>
      <c r="D2520" s="6" t="s">
        <v>145</v>
      </c>
      <c r="E2520" s="6" t="s">
        <v>301</v>
      </c>
      <c r="F2520" s="8">
        <v>50.0</v>
      </c>
      <c r="G2520" s="9">
        <v>1483.76</v>
      </c>
      <c r="H2520" s="9">
        <v>10786.42</v>
      </c>
      <c r="I2520" s="6" t="s">
        <v>161</v>
      </c>
      <c r="J2520" s="6" t="s">
        <v>393</v>
      </c>
      <c r="K2520" s="6" t="s">
        <v>16970</v>
      </c>
      <c r="L2520" s="6">
        <v>6.1437659818E10</v>
      </c>
      <c r="M2520" s="6" t="s">
        <v>16971</v>
      </c>
      <c r="N2520" s="6" t="s">
        <v>259</v>
      </c>
      <c r="O2520" s="6" t="s">
        <v>178</v>
      </c>
      <c r="P2520" s="10">
        <v>46029.0</v>
      </c>
    </row>
    <row r="2521" ht="22.5" customHeight="1">
      <c r="A2521" s="6" t="s">
        <v>16972</v>
      </c>
      <c r="B2521" s="6" t="s">
        <v>16973</v>
      </c>
      <c r="C2521" s="6" t="s">
        <v>16974</v>
      </c>
      <c r="D2521" s="6" t="s">
        <v>206</v>
      </c>
      <c r="E2521" s="6" t="s">
        <v>301</v>
      </c>
      <c r="F2521" s="8">
        <v>54.0</v>
      </c>
      <c r="G2521" s="9">
        <v>1397.6</v>
      </c>
      <c r="H2521" s="9">
        <v>6632.3</v>
      </c>
      <c r="I2521" s="6" t="s">
        <v>161</v>
      </c>
      <c r="J2521" s="6" t="s">
        <v>393</v>
      </c>
      <c r="K2521" s="6" t="s">
        <v>16976</v>
      </c>
      <c r="L2521" s="6">
        <v>2.5632334483E10</v>
      </c>
      <c r="M2521" s="6" t="s">
        <v>16977</v>
      </c>
      <c r="N2521" s="6" t="s">
        <v>112</v>
      </c>
      <c r="O2521" s="6" t="s">
        <v>178</v>
      </c>
      <c r="P2521" s="10">
        <v>45991.0</v>
      </c>
    </row>
    <row r="2522" ht="22.5" customHeight="1">
      <c r="A2522" s="6" t="s">
        <v>16979</v>
      </c>
      <c r="B2522" s="6" t="s">
        <v>16980</v>
      </c>
      <c r="C2522" s="6" t="s">
        <v>16981</v>
      </c>
      <c r="D2522" s="6" t="s">
        <v>145</v>
      </c>
      <c r="E2522" s="6" t="s">
        <v>147</v>
      </c>
      <c r="F2522" s="8">
        <v>20.0</v>
      </c>
      <c r="G2522" s="9">
        <v>684.09</v>
      </c>
      <c r="H2522" s="9">
        <v>14476.88</v>
      </c>
      <c r="I2522" s="6" t="s">
        <v>161</v>
      </c>
      <c r="J2522" s="6" t="s">
        <v>577</v>
      </c>
      <c r="K2522" s="6" t="s">
        <v>16982</v>
      </c>
      <c r="L2522" s="6">
        <v>5.8378328899E10</v>
      </c>
      <c r="M2522" s="6" t="s">
        <v>16984</v>
      </c>
      <c r="N2522" s="6" t="s">
        <v>427</v>
      </c>
      <c r="O2522" s="6" t="s">
        <v>178</v>
      </c>
      <c r="P2522" s="10">
        <v>46012.0</v>
      </c>
    </row>
    <row r="2523" ht="22.5" customHeight="1">
      <c r="A2523" s="6" t="s">
        <v>16985</v>
      </c>
      <c r="B2523" s="6" t="s">
        <v>16986</v>
      </c>
      <c r="C2523" s="6" t="s">
        <v>16987</v>
      </c>
      <c r="D2523" s="6" t="s">
        <v>383</v>
      </c>
      <c r="E2523" s="6" t="s">
        <v>147</v>
      </c>
      <c r="F2523" s="8">
        <v>7.0</v>
      </c>
      <c r="G2523" s="9">
        <v>1243.33</v>
      </c>
      <c r="H2523" s="9">
        <v>2185.07</v>
      </c>
      <c r="I2523" s="6" t="s">
        <v>161</v>
      </c>
      <c r="J2523" s="6" t="s">
        <v>312</v>
      </c>
      <c r="K2523" s="6" t="s">
        <v>16989</v>
      </c>
      <c r="L2523" s="6">
        <v>6.5221319585E10</v>
      </c>
      <c r="M2523" s="6" t="s">
        <v>16990</v>
      </c>
      <c r="N2523" s="6" t="s">
        <v>112</v>
      </c>
      <c r="O2523" s="6" t="s">
        <v>178</v>
      </c>
      <c r="P2523" s="10">
        <v>46021.0</v>
      </c>
    </row>
    <row r="2524" ht="22.5" customHeight="1">
      <c r="A2524" s="6" t="s">
        <v>16991</v>
      </c>
      <c r="B2524" s="6" t="s">
        <v>16992</v>
      </c>
      <c r="C2524" s="6" t="s">
        <v>16993</v>
      </c>
      <c r="D2524" s="6" t="s">
        <v>145</v>
      </c>
      <c r="E2524" s="6" t="s">
        <v>147</v>
      </c>
      <c r="F2524" s="8">
        <v>28.0</v>
      </c>
      <c r="G2524" s="9">
        <v>1049.19</v>
      </c>
      <c r="H2524" s="9">
        <v>8890.99</v>
      </c>
      <c r="I2524" s="6" t="s">
        <v>161</v>
      </c>
      <c r="J2524" s="6" t="s">
        <v>479</v>
      </c>
      <c r="K2524" s="6" t="s">
        <v>16995</v>
      </c>
      <c r="L2524" s="6" t="s">
        <v>259</v>
      </c>
      <c r="M2524" s="6" t="s">
        <v>16997</v>
      </c>
      <c r="N2524" s="6" t="s">
        <v>283</v>
      </c>
      <c r="O2524" s="6" t="s">
        <v>178</v>
      </c>
      <c r="P2524" s="10">
        <v>46024.0</v>
      </c>
    </row>
    <row r="2525" ht="22.5" customHeight="1">
      <c r="A2525" s="6" t="s">
        <v>16999</v>
      </c>
      <c r="B2525" s="6" t="s">
        <v>17000</v>
      </c>
      <c r="C2525" s="6" t="s">
        <v>17001</v>
      </c>
      <c r="D2525" s="6" t="s">
        <v>145</v>
      </c>
      <c r="E2525" s="6" t="s">
        <v>301</v>
      </c>
      <c r="F2525" s="8">
        <v>46.0</v>
      </c>
      <c r="G2525" s="9">
        <v>1069.06</v>
      </c>
      <c r="H2525" s="9">
        <v>1881.89</v>
      </c>
      <c r="I2525" s="6" t="s">
        <v>161</v>
      </c>
      <c r="J2525" s="6" t="s">
        <v>312</v>
      </c>
      <c r="K2525" s="6" t="s">
        <v>17003</v>
      </c>
      <c r="L2525" s="6">
        <v>5.720454847E10</v>
      </c>
      <c r="M2525" s="6" t="s">
        <v>17004</v>
      </c>
      <c r="N2525" s="6" t="s">
        <v>112</v>
      </c>
      <c r="O2525" s="6" t="s">
        <v>178</v>
      </c>
      <c r="P2525" s="10">
        <v>45982.0</v>
      </c>
    </row>
    <row r="2526" ht="22.5" customHeight="1">
      <c r="A2526" s="6" t="s">
        <v>17005</v>
      </c>
      <c r="B2526" s="6" t="s">
        <v>17007</v>
      </c>
      <c r="C2526" s="6" t="s">
        <v>17008</v>
      </c>
      <c r="D2526" s="6" t="s">
        <v>206</v>
      </c>
      <c r="E2526" s="6" t="s">
        <v>301</v>
      </c>
      <c r="F2526" s="8">
        <v>48.0</v>
      </c>
      <c r="G2526" s="9">
        <v>761.68</v>
      </c>
      <c r="H2526" s="9">
        <v>14739.63</v>
      </c>
      <c r="I2526" s="6" t="s">
        <v>161</v>
      </c>
      <c r="J2526" s="6" t="s">
        <v>228</v>
      </c>
      <c r="K2526" s="6" t="s">
        <v>17009</v>
      </c>
      <c r="L2526" s="6">
        <v>5.3907631651E10</v>
      </c>
      <c r="M2526" s="6" t="s">
        <v>17011</v>
      </c>
      <c r="N2526" s="6" t="s">
        <v>176</v>
      </c>
      <c r="O2526" s="6" t="s">
        <v>6373</v>
      </c>
      <c r="P2526" s="10">
        <v>46003.0</v>
      </c>
    </row>
    <row r="2527" ht="22.5" customHeight="1">
      <c r="A2527" s="6" t="s">
        <v>17012</v>
      </c>
      <c r="B2527" s="6" t="s">
        <v>17013</v>
      </c>
      <c r="C2527" s="6" t="s">
        <v>17014</v>
      </c>
      <c r="D2527" s="6" t="s">
        <v>145</v>
      </c>
      <c r="E2527" s="6" t="s">
        <v>147</v>
      </c>
      <c r="F2527" s="8">
        <v>17.0</v>
      </c>
      <c r="G2527" s="9">
        <v>107.96</v>
      </c>
      <c r="H2527" s="9">
        <v>8215.21</v>
      </c>
      <c r="I2527" s="6" t="s">
        <v>161</v>
      </c>
      <c r="J2527" s="6" t="s">
        <v>421</v>
      </c>
      <c r="K2527" s="6" t="s">
        <v>17016</v>
      </c>
      <c r="L2527" s="6">
        <v>1.6350983361E10</v>
      </c>
      <c r="M2527" s="6" t="s">
        <v>17017</v>
      </c>
      <c r="N2527" s="6" t="s">
        <v>112</v>
      </c>
      <c r="O2527" s="6" t="s">
        <v>178</v>
      </c>
      <c r="P2527" s="10">
        <v>45948.0</v>
      </c>
    </row>
    <row r="2528" ht="22.5" customHeight="1">
      <c r="A2528" s="6" t="s">
        <v>17019</v>
      </c>
      <c r="B2528" s="6" t="s">
        <v>17020</v>
      </c>
      <c r="C2528" s="6" t="s">
        <v>17021</v>
      </c>
      <c r="D2528" s="6" t="s">
        <v>145</v>
      </c>
      <c r="E2528" s="6" t="s">
        <v>147</v>
      </c>
      <c r="F2528" s="8">
        <v>5.0</v>
      </c>
      <c r="G2528" s="9">
        <v>1514.77</v>
      </c>
      <c r="H2528" s="9">
        <v>4219.8</v>
      </c>
      <c r="I2528" s="6" t="s">
        <v>161</v>
      </c>
      <c r="J2528" s="6" t="s">
        <v>393</v>
      </c>
      <c r="K2528" s="6" t="s">
        <v>17022</v>
      </c>
      <c r="L2528" s="6">
        <v>6.10178878E9</v>
      </c>
      <c r="M2528" s="6" t="s">
        <v>17024</v>
      </c>
      <c r="N2528" s="6" t="s">
        <v>427</v>
      </c>
      <c r="O2528" s="6" t="s">
        <v>178</v>
      </c>
      <c r="P2528" s="10">
        <v>46003.0</v>
      </c>
    </row>
    <row r="2529" ht="22.5" customHeight="1">
      <c r="A2529" s="6" t="s">
        <v>17025</v>
      </c>
      <c r="B2529" s="6" t="s">
        <v>17026</v>
      </c>
      <c r="C2529" s="6" t="s">
        <v>17027</v>
      </c>
      <c r="D2529" s="6" t="s">
        <v>206</v>
      </c>
      <c r="E2529" s="6" t="s">
        <v>147</v>
      </c>
      <c r="F2529" s="8">
        <v>6.0</v>
      </c>
      <c r="G2529" s="9">
        <v>1641.52</v>
      </c>
      <c r="H2529" s="9">
        <v>14421.72</v>
      </c>
      <c r="I2529" s="6" t="s">
        <v>161</v>
      </c>
      <c r="J2529" s="6" t="s">
        <v>577</v>
      </c>
      <c r="K2529" s="6" t="s">
        <v>17029</v>
      </c>
      <c r="L2529" s="6">
        <v>8.6970824902E10</v>
      </c>
      <c r="M2529" s="6" t="s">
        <v>17030</v>
      </c>
      <c r="N2529" s="6" t="s">
        <v>112</v>
      </c>
      <c r="O2529" s="6" t="s">
        <v>178</v>
      </c>
      <c r="P2529" s="10">
        <v>45950.0</v>
      </c>
    </row>
    <row r="2530" ht="22.5" customHeight="1">
      <c r="A2530" s="6" t="s">
        <v>17032</v>
      </c>
      <c r="B2530" s="6" t="s">
        <v>17033</v>
      </c>
      <c r="C2530" s="6" t="s">
        <v>17034</v>
      </c>
      <c r="D2530" s="6" t="s">
        <v>206</v>
      </c>
      <c r="E2530" s="6" t="s">
        <v>210</v>
      </c>
      <c r="F2530" s="8">
        <v>118.0</v>
      </c>
      <c r="G2530" s="9">
        <v>194.98</v>
      </c>
      <c r="H2530" s="9">
        <v>666.16</v>
      </c>
      <c r="I2530" s="6" t="s">
        <v>178</v>
      </c>
      <c r="J2530" s="6" t="s">
        <v>442</v>
      </c>
      <c r="K2530" s="6" t="s">
        <v>259</v>
      </c>
      <c r="L2530" s="6">
        <v>8.3448840479E10</v>
      </c>
      <c r="M2530" s="6" t="s">
        <v>17036</v>
      </c>
      <c r="N2530" s="6" t="s">
        <v>112</v>
      </c>
      <c r="O2530" s="6" t="s">
        <v>161</v>
      </c>
      <c r="P2530" s="10">
        <v>45979.0</v>
      </c>
    </row>
    <row r="2531" ht="22.5" customHeight="1">
      <c r="A2531" s="6" t="s">
        <v>17037</v>
      </c>
      <c r="B2531" s="6" t="s">
        <v>17038</v>
      </c>
      <c r="C2531" s="6" t="s">
        <v>17039</v>
      </c>
      <c r="D2531" s="6" t="s">
        <v>206</v>
      </c>
      <c r="E2531" s="6" t="s">
        <v>147</v>
      </c>
      <c r="F2531" s="8">
        <v>17.0</v>
      </c>
      <c r="G2531" s="9">
        <v>280.99</v>
      </c>
      <c r="H2531" s="9">
        <v>2664.89</v>
      </c>
      <c r="I2531" s="6" t="s">
        <v>161</v>
      </c>
      <c r="J2531" s="6" t="s">
        <v>228</v>
      </c>
      <c r="K2531" s="6" t="s">
        <v>17041</v>
      </c>
      <c r="L2531" s="6">
        <v>2.8832467078E10</v>
      </c>
      <c r="M2531" s="6" t="s">
        <v>17042</v>
      </c>
      <c r="N2531" s="6" t="s">
        <v>283</v>
      </c>
      <c r="O2531" s="6" t="s">
        <v>178</v>
      </c>
      <c r="P2531" s="10">
        <v>45954.0</v>
      </c>
    </row>
    <row r="2532" ht="22.5" customHeight="1">
      <c r="A2532" s="6" t="s">
        <v>17043</v>
      </c>
      <c r="B2532" s="6" t="s">
        <v>17045</v>
      </c>
      <c r="C2532" s="6" t="s">
        <v>17046</v>
      </c>
      <c r="D2532" s="6" t="s">
        <v>383</v>
      </c>
      <c r="E2532" s="6" t="s">
        <v>147</v>
      </c>
      <c r="F2532" s="8">
        <v>16.0</v>
      </c>
      <c r="G2532" s="9">
        <v>966.37</v>
      </c>
      <c r="H2532" s="9">
        <v>1764.44</v>
      </c>
      <c r="I2532" s="6" t="s">
        <v>161</v>
      </c>
      <c r="J2532" s="6" t="s">
        <v>442</v>
      </c>
      <c r="K2532" s="6" t="s">
        <v>17047</v>
      </c>
      <c r="L2532" s="6">
        <v>5.362909751E10</v>
      </c>
      <c r="M2532" s="6" t="s">
        <v>17049</v>
      </c>
      <c r="N2532" s="6" t="s">
        <v>283</v>
      </c>
      <c r="O2532" s="6" t="s">
        <v>178</v>
      </c>
      <c r="P2532" s="10">
        <v>46012.0</v>
      </c>
    </row>
    <row r="2533" ht="22.5" customHeight="1">
      <c r="A2533" s="6" t="s">
        <v>17050</v>
      </c>
      <c r="B2533" s="6" t="s">
        <v>17051</v>
      </c>
      <c r="C2533" s="6" t="s">
        <v>17052</v>
      </c>
      <c r="D2533" s="6" t="s">
        <v>145</v>
      </c>
      <c r="E2533" s="6" t="s">
        <v>210</v>
      </c>
      <c r="F2533" s="8">
        <v>93.0</v>
      </c>
      <c r="G2533" s="9">
        <v>421.37</v>
      </c>
      <c r="H2533" s="9">
        <v>13249.13</v>
      </c>
      <c r="I2533" s="6" t="s">
        <v>178</v>
      </c>
      <c r="J2533" s="6" t="s">
        <v>442</v>
      </c>
      <c r="K2533" s="6" t="s">
        <v>259</v>
      </c>
      <c r="L2533" s="6">
        <v>7.1356290017E10</v>
      </c>
      <c r="M2533" s="6" t="s">
        <v>17054</v>
      </c>
      <c r="N2533" s="6" t="s">
        <v>176</v>
      </c>
      <c r="O2533" s="6" t="s">
        <v>161</v>
      </c>
      <c r="P2533" s="10">
        <v>45983.0</v>
      </c>
    </row>
    <row r="2534" ht="22.5" customHeight="1">
      <c r="A2534" s="6" t="s">
        <v>17056</v>
      </c>
      <c r="B2534" s="6" t="s">
        <v>17057</v>
      </c>
      <c r="C2534" s="6" t="s">
        <v>17058</v>
      </c>
      <c r="D2534" s="6" t="s">
        <v>145</v>
      </c>
      <c r="E2534" s="6" t="s">
        <v>301</v>
      </c>
      <c r="F2534" s="8">
        <v>44.0</v>
      </c>
      <c r="G2534" s="9">
        <v>410.11</v>
      </c>
      <c r="H2534" s="9">
        <v>2174.8</v>
      </c>
      <c r="I2534" s="6" t="s">
        <v>161</v>
      </c>
      <c r="J2534" s="6" t="s">
        <v>312</v>
      </c>
      <c r="K2534" s="6" t="s">
        <v>17060</v>
      </c>
      <c r="L2534" s="6">
        <v>8.8654272463E10</v>
      </c>
      <c r="M2534" s="6" t="s">
        <v>17061</v>
      </c>
      <c r="N2534" s="6" t="s">
        <v>427</v>
      </c>
      <c r="O2534" s="6" t="s">
        <v>178</v>
      </c>
      <c r="P2534" s="10">
        <v>46041.0</v>
      </c>
    </row>
    <row r="2535" ht="22.5" customHeight="1">
      <c r="A2535" s="6" t="s">
        <v>17062</v>
      </c>
      <c r="B2535" s="6" t="s">
        <v>17063</v>
      </c>
      <c r="C2535" s="6" t="s">
        <v>17065</v>
      </c>
      <c r="D2535" s="6" t="s">
        <v>383</v>
      </c>
      <c r="E2535" s="6" t="s">
        <v>301</v>
      </c>
      <c r="F2535" s="8">
        <v>30.0</v>
      </c>
      <c r="G2535" s="9">
        <v>288.77</v>
      </c>
      <c r="H2535" s="9">
        <v>2960.78</v>
      </c>
      <c r="I2535" s="6" t="s">
        <v>161</v>
      </c>
      <c r="J2535" s="6" t="s">
        <v>393</v>
      </c>
      <c r="K2535" s="6" t="s">
        <v>17066</v>
      </c>
      <c r="L2535" s="6">
        <v>2.1119294614E10</v>
      </c>
      <c r="M2535" s="6" t="s">
        <v>17067</v>
      </c>
      <c r="N2535" s="6" t="s">
        <v>427</v>
      </c>
      <c r="O2535" s="6" t="s">
        <v>178</v>
      </c>
      <c r="P2535" s="10">
        <v>46008.0</v>
      </c>
    </row>
    <row r="2536" ht="22.5" customHeight="1">
      <c r="A2536" s="6" t="s">
        <v>17069</v>
      </c>
      <c r="B2536" s="6" t="s">
        <v>17070</v>
      </c>
      <c r="C2536" s="6" t="s">
        <v>17071</v>
      </c>
      <c r="D2536" s="6" t="s">
        <v>145</v>
      </c>
      <c r="E2536" s="6" t="s">
        <v>301</v>
      </c>
      <c r="F2536" s="8">
        <v>34.0</v>
      </c>
      <c r="G2536" s="9">
        <v>1290.16</v>
      </c>
      <c r="H2536" s="9">
        <v>12187.05</v>
      </c>
      <c r="I2536" s="6" t="s">
        <v>161</v>
      </c>
      <c r="J2536" s="6" t="s">
        <v>312</v>
      </c>
      <c r="K2536" s="6" t="s">
        <v>17073</v>
      </c>
      <c r="L2536" s="6">
        <v>2.0963371682E10</v>
      </c>
      <c r="M2536" s="6" t="s">
        <v>17074</v>
      </c>
      <c r="N2536" s="6" t="s">
        <v>427</v>
      </c>
      <c r="O2536" s="6" t="s">
        <v>178</v>
      </c>
      <c r="P2536" s="10">
        <v>45972.0</v>
      </c>
    </row>
    <row r="2537" ht="22.5" customHeight="1">
      <c r="A2537" s="6" t="s">
        <v>17075</v>
      </c>
      <c r="B2537" s="6" t="s">
        <v>17076</v>
      </c>
      <c r="C2537" s="6" t="s">
        <v>17078</v>
      </c>
      <c r="D2537" s="6" t="s">
        <v>145</v>
      </c>
      <c r="E2537" s="6" t="s">
        <v>147</v>
      </c>
      <c r="F2537" s="8">
        <v>16.0</v>
      </c>
      <c r="G2537" s="9">
        <v>1135.34</v>
      </c>
      <c r="H2537" s="9">
        <v>12582.13</v>
      </c>
      <c r="I2537" s="6" t="s">
        <v>161</v>
      </c>
      <c r="J2537" s="6" t="s">
        <v>577</v>
      </c>
      <c r="K2537" s="6" t="s">
        <v>17079</v>
      </c>
      <c r="L2537" s="6" t="s">
        <v>259</v>
      </c>
      <c r="M2537" s="6" t="s">
        <v>17080</v>
      </c>
      <c r="N2537" s="6" t="s">
        <v>259</v>
      </c>
      <c r="O2537" s="6" t="s">
        <v>178</v>
      </c>
      <c r="P2537" s="10">
        <v>46032.0</v>
      </c>
    </row>
    <row r="2538" ht="22.5" customHeight="1">
      <c r="A2538" s="6" t="s">
        <v>17082</v>
      </c>
      <c r="B2538" s="6" t="s">
        <v>17083</v>
      </c>
      <c r="C2538" s="6" t="s">
        <v>17084</v>
      </c>
      <c r="D2538" s="6" t="s">
        <v>145</v>
      </c>
      <c r="E2538" s="6" t="s">
        <v>147</v>
      </c>
      <c r="F2538" s="8">
        <v>14.0</v>
      </c>
      <c r="G2538" s="9">
        <v>475.42</v>
      </c>
      <c r="H2538" s="9">
        <v>3134.91</v>
      </c>
      <c r="I2538" s="6" t="s">
        <v>161</v>
      </c>
      <c r="J2538" s="6" t="s">
        <v>577</v>
      </c>
      <c r="K2538" s="6" t="s">
        <v>17086</v>
      </c>
      <c r="L2538" s="6">
        <v>8.1809242494E10</v>
      </c>
      <c r="M2538" s="6" t="s">
        <v>17087</v>
      </c>
      <c r="N2538" s="6" t="s">
        <v>283</v>
      </c>
      <c r="O2538" s="6" t="s">
        <v>178</v>
      </c>
      <c r="P2538" s="10">
        <v>45953.0</v>
      </c>
    </row>
    <row r="2539" ht="22.5" customHeight="1">
      <c r="A2539" s="6" t="s">
        <v>17089</v>
      </c>
      <c r="B2539" s="6" t="s">
        <v>17090</v>
      </c>
      <c r="C2539" s="6" t="s">
        <v>17091</v>
      </c>
      <c r="D2539" s="6" t="s">
        <v>383</v>
      </c>
      <c r="E2539" s="6" t="s">
        <v>147</v>
      </c>
      <c r="F2539" s="8">
        <v>16.0</v>
      </c>
      <c r="G2539" s="9">
        <v>1106.96</v>
      </c>
      <c r="H2539" s="9">
        <v>13490.23</v>
      </c>
      <c r="I2539" s="6" t="s">
        <v>161</v>
      </c>
      <c r="J2539" s="6" t="s">
        <v>163</v>
      </c>
      <c r="K2539" s="6" t="s">
        <v>17092</v>
      </c>
      <c r="L2539" s="6">
        <v>9.7161051693E10</v>
      </c>
      <c r="M2539" s="6" t="s">
        <v>17094</v>
      </c>
      <c r="N2539" s="6" t="s">
        <v>259</v>
      </c>
      <c r="O2539" s="6" t="s">
        <v>178</v>
      </c>
      <c r="P2539" s="10">
        <v>45981.0</v>
      </c>
    </row>
    <row r="2540" ht="22.5" customHeight="1">
      <c r="A2540" s="6" t="s">
        <v>17095</v>
      </c>
      <c r="B2540" s="6" t="s">
        <v>17096</v>
      </c>
      <c r="C2540" s="6" t="s">
        <v>17097</v>
      </c>
      <c r="D2540" s="6" t="s">
        <v>206</v>
      </c>
      <c r="E2540" s="6" t="s">
        <v>301</v>
      </c>
      <c r="F2540" s="8">
        <v>30.0</v>
      </c>
      <c r="G2540" s="9">
        <v>327.21</v>
      </c>
      <c r="H2540" s="9">
        <v>4586.58</v>
      </c>
      <c r="I2540" s="6" t="s">
        <v>161</v>
      </c>
      <c r="J2540" s="6" t="s">
        <v>228</v>
      </c>
      <c r="K2540" s="6" t="s">
        <v>17099</v>
      </c>
      <c r="L2540" s="6">
        <v>1.9944764504E10</v>
      </c>
      <c r="M2540" s="6" t="s">
        <v>17100</v>
      </c>
      <c r="N2540" s="6" t="s">
        <v>259</v>
      </c>
      <c r="O2540" s="6" t="s">
        <v>178</v>
      </c>
      <c r="P2540" s="10">
        <v>45970.0</v>
      </c>
    </row>
    <row r="2541" ht="22.5" customHeight="1">
      <c r="A2541" s="6" t="s">
        <v>17101</v>
      </c>
      <c r="B2541" s="6" t="s">
        <v>17103</v>
      </c>
      <c r="C2541" s="6" t="s">
        <v>17104</v>
      </c>
      <c r="D2541" s="6" t="s">
        <v>206</v>
      </c>
      <c r="E2541" s="6" t="s">
        <v>147</v>
      </c>
      <c r="F2541" s="8">
        <v>28.0</v>
      </c>
      <c r="G2541" s="9">
        <v>467.42</v>
      </c>
      <c r="H2541" s="9">
        <v>5618.11</v>
      </c>
      <c r="I2541" s="6" t="s">
        <v>161</v>
      </c>
      <c r="J2541" s="6" t="s">
        <v>442</v>
      </c>
      <c r="K2541" s="6" t="s">
        <v>17105</v>
      </c>
      <c r="L2541" s="6">
        <v>9.8619443431E10</v>
      </c>
      <c r="M2541" s="6" t="s">
        <v>17107</v>
      </c>
      <c r="N2541" s="6" t="s">
        <v>283</v>
      </c>
      <c r="O2541" s="6" t="s">
        <v>178</v>
      </c>
      <c r="P2541" s="10">
        <v>46015.0</v>
      </c>
    </row>
    <row r="2542" ht="22.5" customHeight="1">
      <c r="A2542" s="6" t="s">
        <v>17108</v>
      </c>
      <c r="B2542" s="6" t="s">
        <v>17109</v>
      </c>
      <c r="C2542" s="6" t="s">
        <v>17110</v>
      </c>
      <c r="D2542" s="6" t="s">
        <v>145</v>
      </c>
      <c r="E2542" s="6" t="s">
        <v>210</v>
      </c>
      <c r="F2542" s="8">
        <v>63.0</v>
      </c>
      <c r="G2542" s="9">
        <v>271.78</v>
      </c>
      <c r="H2542" s="9">
        <v>9928.72</v>
      </c>
      <c r="I2542" s="6" t="s">
        <v>161</v>
      </c>
      <c r="J2542" s="6" t="s">
        <v>228</v>
      </c>
      <c r="K2542" s="6" t="s">
        <v>17111</v>
      </c>
      <c r="L2542" s="6">
        <v>6.8310400322E10</v>
      </c>
      <c r="M2542" s="6" t="s">
        <v>17113</v>
      </c>
      <c r="N2542" s="6" t="s">
        <v>259</v>
      </c>
      <c r="O2542" s="6" t="s">
        <v>161</v>
      </c>
      <c r="P2542" s="10">
        <v>45949.0</v>
      </c>
    </row>
    <row r="2543" ht="22.5" customHeight="1">
      <c r="A2543" s="6" t="s">
        <v>17114</v>
      </c>
      <c r="B2543" s="6" t="s">
        <v>17115</v>
      </c>
      <c r="C2543" s="6" t="s">
        <v>17116</v>
      </c>
      <c r="D2543" s="6" t="s">
        <v>383</v>
      </c>
      <c r="E2543" s="6" t="s">
        <v>147</v>
      </c>
      <c r="F2543" s="8">
        <v>13.0</v>
      </c>
      <c r="G2543" s="9">
        <v>1275.69</v>
      </c>
      <c r="H2543" s="9">
        <v>9840.54</v>
      </c>
      <c r="I2543" s="6" t="s">
        <v>161</v>
      </c>
      <c r="J2543" s="6" t="s">
        <v>357</v>
      </c>
      <c r="K2543" s="6" t="s">
        <v>17118</v>
      </c>
      <c r="L2543" s="6">
        <v>4.3195590968E10</v>
      </c>
      <c r="M2543" s="6" t="s">
        <v>17119</v>
      </c>
      <c r="N2543" s="6" t="s">
        <v>112</v>
      </c>
      <c r="O2543" s="6" t="s">
        <v>178</v>
      </c>
      <c r="P2543" s="10">
        <v>45971.0</v>
      </c>
    </row>
    <row r="2544" ht="22.5" customHeight="1">
      <c r="A2544" s="6" t="s">
        <v>17120</v>
      </c>
      <c r="B2544" s="6" t="s">
        <v>17121</v>
      </c>
      <c r="C2544" s="6" t="s">
        <v>17123</v>
      </c>
      <c r="D2544" s="6" t="s">
        <v>206</v>
      </c>
      <c r="E2544" s="6" t="s">
        <v>301</v>
      </c>
      <c r="F2544" s="8">
        <v>34.0</v>
      </c>
      <c r="G2544" s="9">
        <v>128.93</v>
      </c>
      <c r="H2544" s="9">
        <v>6629.39</v>
      </c>
      <c r="I2544" s="6" t="s">
        <v>161</v>
      </c>
      <c r="J2544" s="6" t="s">
        <v>421</v>
      </c>
      <c r="K2544" s="6" t="s">
        <v>17124</v>
      </c>
      <c r="L2544" s="6">
        <v>3.7608115168E10</v>
      </c>
      <c r="M2544" s="6" t="s">
        <v>17125</v>
      </c>
      <c r="N2544" s="6" t="s">
        <v>176</v>
      </c>
      <c r="O2544" s="6" t="s">
        <v>178</v>
      </c>
      <c r="P2544" s="10">
        <v>46047.0</v>
      </c>
    </row>
    <row r="2545" ht="22.5" customHeight="1">
      <c r="A2545" s="6" t="s">
        <v>17127</v>
      </c>
      <c r="B2545" s="6" t="s">
        <v>17128</v>
      </c>
      <c r="C2545" s="6" t="s">
        <v>17129</v>
      </c>
      <c r="D2545" s="6" t="s">
        <v>145</v>
      </c>
      <c r="E2545" s="6" t="s">
        <v>147</v>
      </c>
      <c r="F2545" s="8">
        <v>7.0</v>
      </c>
      <c r="G2545" s="9">
        <v>287.19</v>
      </c>
      <c r="H2545" s="9">
        <v>7775.82</v>
      </c>
      <c r="I2545" s="6" t="s">
        <v>161</v>
      </c>
      <c r="J2545" s="6" t="s">
        <v>577</v>
      </c>
      <c r="K2545" s="6" t="s">
        <v>17131</v>
      </c>
      <c r="L2545" s="6">
        <v>9.5110961652E10</v>
      </c>
      <c r="M2545" s="6" t="s">
        <v>17132</v>
      </c>
      <c r="N2545" s="6" t="s">
        <v>283</v>
      </c>
      <c r="O2545" s="6" t="s">
        <v>178</v>
      </c>
      <c r="P2545" s="10">
        <v>46045.0</v>
      </c>
    </row>
    <row r="2546" ht="22.5" customHeight="1">
      <c r="A2546" s="6" t="s">
        <v>17133</v>
      </c>
      <c r="B2546" s="6" t="s">
        <v>17135</v>
      </c>
      <c r="C2546" s="6" t="s">
        <v>17136</v>
      </c>
      <c r="D2546" s="6" t="s">
        <v>145</v>
      </c>
      <c r="E2546" s="6" t="s">
        <v>147</v>
      </c>
      <c r="F2546" s="8">
        <v>7.0</v>
      </c>
      <c r="G2546" s="9">
        <v>716.64</v>
      </c>
      <c r="H2546" s="9">
        <v>10485.84</v>
      </c>
      <c r="I2546" s="6" t="s">
        <v>161</v>
      </c>
      <c r="J2546" s="6" t="s">
        <v>228</v>
      </c>
      <c r="K2546" s="6" t="s">
        <v>17137</v>
      </c>
      <c r="L2546" s="6">
        <v>2.4068031333E10</v>
      </c>
      <c r="M2546" s="6" t="s">
        <v>17138</v>
      </c>
      <c r="N2546" s="6" t="s">
        <v>427</v>
      </c>
      <c r="O2546" s="6" t="s">
        <v>178</v>
      </c>
      <c r="P2546" s="10">
        <v>46038.0</v>
      </c>
    </row>
    <row r="2547" ht="22.5" customHeight="1">
      <c r="A2547" s="6" t="s">
        <v>17140</v>
      </c>
      <c r="B2547" s="6" t="s">
        <v>17141</v>
      </c>
      <c r="C2547" s="6" t="s">
        <v>17142</v>
      </c>
      <c r="D2547" s="6" t="s">
        <v>145</v>
      </c>
      <c r="E2547" s="6" t="s">
        <v>301</v>
      </c>
      <c r="F2547" s="8">
        <v>59.0</v>
      </c>
      <c r="G2547" s="9">
        <v>1638.6</v>
      </c>
      <c r="H2547" s="9">
        <v>14285.43</v>
      </c>
      <c r="I2547" s="6" t="s">
        <v>161</v>
      </c>
      <c r="J2547" s="6" t="s">
        <v>442</v>
      </c>
      <c r="K2547" s="6" t="s">
        <v>17144</v>
      </c>
      <c r="L2547" s="6">
        <v>3.8477484528E10</v>
      </c>
      <c r="M2547" s="6" t="s">
        <v>17145</v>
      </c>
      <c r="N2547" s="6" t="s">
        <v>112</v>
      </c>
      <c r="O2547" s="6" t="s">
        <v>178</v>
      </c>
      <c r="P2547" s="10">
        <v>45978.0</v>
      </c>
    </row>
    <row r="2548" ht="22.5" customHeight="1">
      <c r="A2548" s="6" t="s">
        <v>17146</v>
      </c>
      <c r="B2548" s="6" t="s">
        <v>17147</v>
      </c>
      <c r="C2548" s="6" t="s">
        <v>17149</v>
      </c>
      <c r="D2548" s="6" t="s">
        <v>145</v>
      </c>
      <c r="E2548" s="6" t="s">
        <v>301</v>
      </c>
      <c r="F2548" s="8">
        <v>50.0</v>
      </c>
      <c r="G2548" s="9">
        <v>1490.08</v>
      </c>
      <c r="H2548" s="9">
        <v>12341.57</v>
      </c>
      <c r="I2548" s="6" t="s">
        <v>161</v>
      </c>
      <c r="J2548" s="6" t="s">
        <v>393</v>
      </c>
      <c r="K2548" s="6" t="s">
        <v>17150</v>
      </c>
      <c r="L2548" s="6">
        <v>8.7051176134E10</v>
      </c>
      <c r="M2548" s="6" t="s">
        <v>17151</v>
      </c>
      <c r="N2548" s="6" t="s">
        <v>259</v>
      </c>
      <c r="O2548" s="6" t="s">
        <v>178</v>
      </c>
      <c r="P2548" s="10">
        <v>46035.0</v>
      </c>
    </row>
    <row r="2549" ht="22.5" customHeight="1">
      <c r="A2549" s="6" t="s">
        <v>17153</v>
      </c>
      <c r="B2549" s="6" t="s">
        <v>17154</v>
      </c>
      <c r="C2549" s="6" t="s">
        <v>17155</v>
      </c>
      <c r="D2549" s="6" t="s">
        <v>145</v>
      </c>
      <c r="E2549" s="6" t="s">
        <v>147</v>
      </c>
      <c r="F2549" s="8">
        <v>17.0</v>
      </c>
      <c r="G2549" s="9">
        <v>1563.26</v>
      </c>
      <c r="H2549" s="9">
        <v>13394.93</v>
      </c>
      <c r="I2549" s="6" t="s">
        <v>161</v>
      </c>
      <c r="J2549" s="6" t="s">
        <v>312</v>
      </c>
      <c r="K2549" s="6" t="s">
        <v>17157</v>
      </c>
      <c r="L2549" s="6">
        <v>2.2789293493E10</v>
      </c>
      <c r="M2549" s="6" t="s">
        <v>17158</v>
      </c>
      <c r="N2549" s="6" t="s">
        <v>283</v>
      </c>
      <c r="O2549" s="6" t="s">
        <v>178</v>
      </c>
      <c r="P2549" s="10">
        <v>45937.0</v>
      </c>
    </row>
    <row r="2550" ht="22.5" customHeight="1">
      <c r="A2550" s="6" t="s">
        <v>17159</v>
      </c>
      <c r="B2550" s="6" t="s">
        <v>17160</v>
      </c>
      <c r="C2550" s="6" t="s">
        <v>17162</v>
      </c>
      <c r="D2550" s="6" t="s">
        <v>383</v>
      </c>
      <c r="E2550" s="6" t="s">
        <v>147</v>
      </c>
      <c r="F2550" s="8">
        <v>23.0</v>
      </c>
      <c r="G2550" s="9">
        <v>1030.02</v>
      </c>
      <c r="H2550" s="9">
        <v>11526.54</v>
      </c>
      <c r="I2550" s="6" t="s">
        <v>161</v>
      </c>
      <c r="J2550" s="6" t="s">
        <v>163</v>
      </c>
      <c r="K2550" s="6" t="s">
        <v>17163</v>
      </c>
      <c r="L2550" s="6">
        <v>9.7105200628E10</v>
      </c>
      <c r="M2550" s="6" t="s">
        <v>17164</v>
      </c>
      <c r="N2550" s="6" t="s">
        <v>283</v>
      </c>
      <c r="O2550" s="6" t="s">
        <v>178</v>
      </c>
      <c r="P2550" s="10">
        <v>45952.0</v>
      </c>
    </row>
    <row r="2551" ht="22.5" customHeight="1">
      <c r="A2551" s="6" t="s">
        <v>17166</v>
      </c>
      <c r="B2551" s="6" t="s">
        <v>17167</v>
      </c>
      <c r="C2551" s="6" t="s">
        <v>17168</v>
      </c>
      <c r="D2551" s="6" t="s">
        <v>145</v>
      </c>
      <c r="E2551" s="6" t="s">
        <v>210</v>
      </c>
      <c r="F2551" s="8">
        <v>63.0</v>
      </c>
      <c r="G2551" s="9">
        <v>1441.39</v>
      </c>
      <c r="H2551" s="9">
        <v>3952.28</v>
      </c>
      <c r="I2551" s="6" t="s">
        <v>178</v>
      </c>
      <c r="J2551" s="6" t="s">
        <v>577</v>
      </c>
      <c r="K2551" s="6" t="s">
        <v>17170</v>
      </c>
      <c r="L2551" s="6">
        <v>6.9724178699E10</v>
      </c>
      <c r="M2551" s="6" t="s">
        <v>17171</v>
      </c>
      <c r="N2551" s="6" t="s">
        <v>283</v>
      </c>
      <c r="O2551" s="6" t="s">
        <v>161</v>
      </c>
      <c r="P2551" s="10">
        <v>46049.0</v>
      </c>
    </row>
    <row r="2552" ht="22.5" customHeight="1">
      <c r="A2552" s="6" t="s">
        <v>17172</v>
      </c>
      <c r="B2552" s="6" t="s">
        <v>17173</v>
      </c>
      <c r="C2552" s="6" t="s">
        <v>17174</v>
      </c>
      <c r="D2552" s="6" t="s">
        <v>206</v>
      </c>
      <c r="E2552" s="6" t="s">
        <v>301</v>
      </c>
      <c r="F2552" s="8">
        <v>37.0</v>
      </c>
      <c r="G2552" s="9">
        <v>1530.83</v>
      </c>
      <c r="H2552" s="9">
        <v>6729.54</v>
      </c>
      <c r="I2552" s="6" t="s">
        <v>178</v>
      </c>
      <c r="J2552" s="6" t="s">
        <v>312</v>
      </c>
      <c r="K2552" s="6" t="s">
        <v>17176</v>
      </c>
      <c r="L2552" s="6">
        <v>4.9448159142E10</v>
      </c>
      <c r="M2552" s="6" t="s">
        <v>17178</v>
      </c>
      <c r="N2552" s="6" t="s">
        <v>283</v>
      </c>
      <c r="O2552" s="6" t="s">
        <v>161</v>
      </c>
      <c r="P2552" s="10">
        <v>45958.0</v>
      </c>
    </row>
    <row r="2553" ht="22.5" customHeight="1">
      <c r="A2553" s="6" t="s">
        <v>17179</v>
      </c>
      <c r="B2553" s="6" t="s">
        <v>17180</v>
      </c>
      <c r="C2553" s="6" t="s">
        <v>17181</v>
      </c>
      <c r="D2553" s="6" t="s">
        <v>206</v>
      </c>
      <c r="E2553" s="6" t="s">
        <v>210</v>
      </c>
      <c r="F2553" s="8">
        <v>71.0</v>
      </c>
      <c r="G2553" s="9">
        <v>681.06</v>
      </c>
      <c r="H2553" s="9">
        <v>8693.14</v>
      </c>
      <c r="I2553" s="6" t="s">
        <v>161</v>
      </c>
      <c r="J2553" s="6" t="s">
        <v>357</v>
      </c>
      <c r="K2553" s="6" t="s">
        <v>17183</v>
      </c>
      <c r="L2553" s="6">
        <v>8.4911456806E10</v>
      </c>
      <c r="M2553" s="6" t="s">
        <v>17184</v>
      </c>
      <c r="N2553" s="6" t="s">
        <v>259</v>
      </c>
      <c r="O2553" s="6" t="s">
        <v>161</v>
      </c>
      <c r="P2553" s="10">
        <v>45966.0</v>
      </c>
    </row>
    <row r="2554" ht="22.5" customHeight="1">
      <c r="A2554" s="6" t="s">
        <v>17186</v>
      </c>
      <c r="B2554" s="6" t="s">
        <v>17187</v>
      </c>
      <c r="C2554" s="6" t="s">
        <v>17188</v>
      </c>
      <c r="D2554" s="6" t="s">
        <v>145</v>
      </c>
      <c r="E2554" s="6" t="s">
        <v>147</v>
      </c>
      <c r="F2554" s="8">
        <v>15.0</v>
      </c>
      <c r="G2554" s="9">
        <v>307.1</v>
      </c>
      <c r="H2554" s="9">
        <v>4883.79</v>
      </c>
      <c r="I2554" s="6" t="s">
        <v>161</v>
      </c>
      <c r="J2554" s="6" t="s">
        <v>228</v>
      </c>
      <c r="K2554" s="6" t="s">
        <v>17189</v>
      </c>
      <c r="L2554" s="6">
        <v>5.6790749049E10</v>
      </c>
      <c r="M2554" s="6" t="s">
        <v>17191</v>
      </c>
      <c r="N2554" s="6" t="s">
        <v>112</v>
      </c>
      <c r="O2554" s="6" t="s">
        <v>178</v>
      </c>
      <c r="P2554" s="10">
        <v>45941.0</v>
      </c>
    </row>
    <row r="2555" ht="22.5" customHeight="1">
      <c r="A2555" s="6" t="s">
        <v>17192</v>
      </c>
      <c r="B2555" s="6" t="s">
        <v>17193</v>
      </c>
      <c r="C2555" s="6" t="s">
        <v>17194</v>
      </c>
      <c r="D2555" s="6" t="s">
        <v>145</v>
      </c>
      <c r="E2555" s="6" t="s">
        <v>301</v>
      </c>
      <c r="F2555" s="8">
        <v>57.0</v>
      </c>
      <c r="G2555" s="9">
        <v>1369.66</v>
      </c>
      <c r="H2555" s="9">
        <v>11526.92</v>
      </c>
      <c r="I2555" s="6" t="s">
        <v>178</v>
      </c>
      <c r="J2555" s="6" t="s">
        <v>393</v>
      </c>
      <c r="K2555" s="6" t="s">
        <v>17196</v>
      </c>
      <c r="L2555" s="6">
        <v>7.5429774306E10</v>
      </c>
      <c r="M2555" s="6" t="s">
        <v>17197</v>
      </c>
      <c r="N2555" s="6" t="s">
        <v>112</v>
      </c>
      <c r="O2555" s="6" t="s">
        <v>161</v>
      </c>
      <c r="P2555" s="10">
        <v>45968.0</v>
      </c>
    </row>
    <row r="2556" ht="22.5" customHeight="1">
      <c r="A2556" s="6" t="s">
        <v>17198</v>
      </c>
      <c r="B2556" s="6" t="s">
        <v>17199</v>
      </c>
      <c r="C2556" s="6" t="s">
        <v>17201</v>
      </c>
      <c r="D2556" s="6" t="s">
        <v>145</v>
      </c>
      <c r="E2556" s="6" t="s">
        <v>301</v>
      </c>
      <c r="F2556" s="8">
        <v>35.0</v>
      </c>
      <c r="G2556" s="9">
        <v>1241.02</v>
      </c>
      <c r="H2556" s="9">
        <v>12834.59</v>
      </c>
      <c r="I2556" s="6" t="s">
        <v>161</v>
      </c>
      <c r="J2556" s="6" t="s">
        <v>163</v>
      </c>
      <c r="K2556" s="6" t="s">
        <v>17202</v>
      </c>
      <c r="L2556" s="6">
        <v>6.9977656238E10</v>
      </c>
      <c r="M2556" s="6" t="s">
        <v>17203</v>
      </c>
      <c r="N2556" s="6" t="s">
        <v>176</v>
      </c>
      <c r="O2556" s="6" t="s">
        <v>178</v>
      </c>
      <c r="P2556" s="10">
        <v>46011.0</v>
      </c>
    </row>
    <row r="2557" ht="22.5" customHeight="1">
      <c r="A2557" s="6" t="s">
        <v>17205</v>
      </c>
      <c r="B2557" s="6" t="s">
        <v>17206</v>
      </c>
      <c r="C2557" s="6" t="s">
        <v>17207</v>
      </c>
      <c r="D2557" s="6" t="s">
        <v>145</v>
      </c>
      <c r="E2557" s="6" t="s">
        <v>210</v>
      </c>
      <c r="F2557" s="8">
        <v>60.0</v>
      </c>
      <c r="G2557" s="9">
        <v>1371.73</v>
      </c>
      <c r="H2557" s="9">
        <v>12512.71</v>
      </c>
      <c r="I2557" s="6" t="s">
        <v>178</v>
      </c>
      <c r="J2557" s="6" t="s">
        <v>479</v>
      </c>
      <c r="K2557" s="6" t="s">
        <v>17209</v>
      </c>
      <c r="L2557" s="6">
        <v>2.7054639501E10</v>
      </c>
      <c r="M2557" s="6" t="s">
        <v>17210</v>
      </c>
      <c r="N2557" s="6" t="s">
        <v>427</v>
      </c>
      <c r="O2557" s="6" t="s">
        <v>161</v>
      </c>
      <c r="P2557" s="10">
        <v>45982.0</v>
      </c>
    </row>
    <row r="2558" ht="22.5" customHeight="1">
      <c r="A2558" s="6" t="s">
        <v>17212</v>
      </c>
      <c r="B2558" s="6" t="s">
        <v>17213</v>
      </c>
      <c r="C2558" s="6" t="s">
        <v>17214</v>
      </c>
      <c r="D2558" s="6" t="s">
        <v>145</v>
      </c>
      <c r="E2558" s="6" t="s">
        <v>147</v>
      </c>
      <c r="F2558" s="8">
        <v>19.0</v>
      </c>
      <c r="G2558" s="9">
        <v>976.38</v>
      </c>
      <c r="H2558" s="9">
        <v>10582.81</v>
      </c>
      <c r="I2558" s="6" t="s">
        <v>161</v>
      </c>
      <c r="J2558" s="6" t="s">
        <v>393</v>
      </c>
      <c r="K2558" s="6" t="s">
        <v>17215</v>
      </c>
      <c r="L2558" s="6">
        <v>4.6945215562E10</v>
      </c>
      <c r="M2558" s="6" t="s">
        <v>17217</v>
      </c>
      <c r="N2558" s="6" t="s">
        <v>283</v>
      </c>
      <c r="O2558" s="6" t="s">
        <v>178</v>
      </c>
      <c r="P2558" s="10">
        <v>45932.0</v>
      </c>
    </row>
    <row r="2559" ht="22.5" customHeight="1">
      <c r="A2559" s="6" t="s">
        <v>17218</v>
      </c>
      <c r="B2559" s="6" t="s">
        <v>17219</v>
      </c>
      <c r="C2559" s="6" t="s">
        <v>17220</v>
      </c>
      <c r="D2559" s="6" t="s">
        <v>145</v>
      </c>
      <c r="E2559" s="6" t="s">
        <v>147</v>
      </c>
      <c r="F2559" s="8">
        <v>21.0</v>
      </c>
      <c r="G2559" s="9">
        <v>569.1</v>
      </c>
      <c r="H2559" s="9">
        <v>10804.81</v>
      </c>
      <c r="I2559" s="6" t="s">
        <v>161</v>
      </c>
      <c r="J2559" s="6" t="s">
        <v>442</v>
      </c>
      <c r="K2559" s="6" t="s">
        <v>17222</v>
      </c>
      <c r="L2559" s="6">
        <v>7.6996169126E10</v>
      </c>
      <c r="M2559" s="6" t="s">
        <v>17223</v>
      </c>
      <c r="N2559" s="6" t="s">
        <v>283</v>
      </c>
      <c r="O2559" s="6" t="s">
        <v>178</v>
      </c>
      <c r="P2559" s="10">
        <v>46034.0</v>
      </c>
    </row>
    <row r="2560" ht="22.5" customHeight="1">
      <c r="A2560" s="6" t="s">
        <v>17225</v>
      </c>
      <c r="B2560" s="6" t="s">
        <v>17226</v>
      </c>
      <c r="C2560" s="6" t="s">
        <v>17227</v>
      </c>
      <c r="D2560" s="6" t="s">
        <v>145</v>
      </c>
      <c r="E2560" s="6" t="s">
        <v>301</v>
      </c>
      <c r="F2560" s="8">
        <v>57.0</v>
      </c>
      <c r="G2560" s="9">
        <v>1623.14</v>
      </c>
      <c r="H2560" s="9">
        <v>2590.67</v>
      </c>
      <c r="I2560" s="6" t="s">
        <v>178</v>
      </c>
      <c r="J2560" s="6" t="s">
        <v>163</v>
      </c>
      <c r="K2560" s="6" t="s">
        <v>17228</v>
      </c>
      <c r="L2560" s="6">
        <v>1.2223610406E10</v>
      </c>
      <c r="M2560" s="6" t="s">
        <v>17230</v>
      </c>
      <c r="N2560" s="6" t="s">
        <v>283</v>
      </c>
      <c r="O2560" s="6" t="s">
        <v>161</v>
      </c>
      <c r="P2560" s="10">
        <v>46048.0</v>
      </c>
    </row>
    <row r="2561" ht="22.5" customHeight="1">
      <c r="A2561" s="6" t="s">
        <v>17231</v>
      </c>
      <c r="B2561" s="6" t="s">
        <v>17232</v>
      </c>
      <c r="C2561" s="6" t="s">
        <v>17233</v>
      </c>
      <c r="D2561" s="6" t="s">
        <v>145</v>
      </c>
      <c r="E2561" s="6" t="s">
        <v>301</v>
      </c>
      <c r="F2561" s="8">
        <v>46.0</v>
      </c>
      <c r="G2561" s="9">
        <v>96.36</v>
      </c>
      <c r="H2561" s="9">
        <v>9279.78</v>
      </c>
      <c r="I2561" s="6" t="s">
        <v>161</v>
      </c>
      <c r="J2561" s="6" t="s">
        <v>357</v>
      </c>
      <c r="K2561" s="6" t="s">
        <v>17235</v>
      </c>
      <c r="L2561" s="6">
        <v>8.696892694E9</v>
      </c>
      <c r="M2561" s="6" t="s">
        <v>17237</v>
      </c>
      <c r="N2561" s="6" t="s">
        <v>112</v>
      </c>
      <c r="O2561" s="6" t="s">
        <v>178</v>
      </c>
      <c r="P2561" s="10">
        <v>46049.0</v>
      </c>
    </row>
    <row r="2562" ht="22.5" customHeight="1">
      <c r="A2562" s="6" t="s">
        <v>17238</v>
      </c>
      <c r="B2562" s="6" t="s">
        <v>17240</v>
      </c>
      <c r="C2562" s="6" t="s">
        <v>17241</v>
      </c>
      <c r="D2562" s="6" t="s">
        <v>206</v>
      </c>
      <c r="E2562" s="6" t="s">
        <v>301</v>
      </c>
      <c r="F2562" s="8">
        <v>31.0</v>
      </c>
      <c r="G2562" s="9">
        <v>356.5</v>
      </c>
      <c r="H2562" s="9">
        <v>3094.5</v>
      </c>
      <c r="I2562" s="6" t="s">
        <v>161</v>
      </c>
      <c r="J2562" s="6" t="s">
        <v>479</v>
      </c>
      <c r="K2562" s="6" t="s">
        <v>17242</v>
      </c>
      <c r="L2562" s="6">
        <v>5.7056393885E10</v>
      </c>
      <c r="M2562" s="6" t="s">
        <v>17244</v>
      </c>
      <c r="N2562" s="6" t="s">
        <v>176</v>
      </c>
      <c r="O2562" s="6" t="s">
        <v>178</v>
      </c>
      <c r="P2562" s="10">
        <v>45931.0</v>
      </c>
    </row>
    <row r="2563" ht="22.5" customHeight="1">
      <c r="A2563" s="6" t="s">
        <v>17245</v>
      </c>
      <c r="B2563" s="6" t="s">
        <v>17247</v>
      </c>
      <c r="C2563" s="6" t="s">
        <v>17248</v>
      </c>
      <c r="D2563" s="6" t="s">
        <v>206</v>
      </c>
      <c r="E2563" s="6" t="s">
        <v>210</v>
      </c>
      <c r="F2563" s="8">
        <v>120.0</v>
      </c>
      <c r="G2563" s="9">
        <v>1258.08</v>
      </c>
      <c r="H2563" s="9">
        <v>12573.68</v>
      </c>
      <c r="I2563" s="6" t="s">
        <v>161</v>
      </c>
      <c r="J2563" s="6" t="s">
        <v>357</v>
      </c>
      <c r="K2563" s="6" t="s">
        <v>17249</v>
      </c>
      <c r="L2563" s="6">
        <v>7.1182438224E10</v>
      </c>
      <c r="M2563" s="6" t="s">
        <v>17250</v>
      </c>
      <c r="N2563" s="6" t="s">
        <v>427</v>
      </c>
      <c r="O2563" s="6" t="s">
        <v>161</v>
      </c>
      <c r="P2563" s="10">
        <v>46043.0</v>
      </c>
    </row>
    <row r="2564" ht="22.5" customHeight="1">
      <c r="A2564" s="6" t="s">
        <v>17252</v>
      </c>
      <c r="B2564" s="6" t="s">
        <v>17253</v>
      </c>
      <c r="C2564" s="6" t="s">
        <v>17254</v>
      </c>
      <c r="D2564" s="6" t="s">
        <v>383</v>
      </c>
      <c r="E2564" s="6" t="s">
        <v>147</v>
      </c>
      <c r="F2564" s="8">
        <v>6.0</v>
      </c>
      <c r="G2564" s="9">
        <v>695.68</v>
      </c>
      <c r="H2564" s="9">
        <v>2796.78</v>
      </c>
      <c r="I2564" s="6" t="s">
        <v>161</v>
      </c>
      <c r="J2564" s="6" t="s">
        <v>163</v>
      </c>
      <c r="K2564" s="6" t="s">
        <v>17256</v>
      </c>
      <c r="L2564" s="6">
        <v>7.6488040195E10</v>
      </c>
      <c r="M2564" s="6" t="s">
        <v>17257</v>
      </c>
      <c r="N2564" s="6" t="s">
        <v>176</v>
      </c>
      <c r="O2564" s="6" t="s">
        <v>178</v>
      </c>
      <c r="P2564" s="10">
        <v>45971.0</v>
      </c>
    </row>
    <row r="2565" ht="22.5" customHeight="1">
      <c r="A2565" s="6" t="s">
        <v>17258</v>
      </c>
      <c r="B2565" s="6" t="s">
        <v>17259</v>
      </c>
      <c r="C2565" s="6" t="s">
        <v>17260</v>
      </c>
      <c r="D2565" s="6" t="s">
        <v>383</v>
      </c>
      <c r="E2565" s="6" t="s">
        <v>210</v>
      </c>
      <c r="F2565" s="8">
        <v>89.0</v>
      </c>
      <c r="G2565" s="9">
        <v>1428.56</v>
      </c>
      <c r="H2565" s="9">
        <v>2149.53</v>
      </c>
      <c r="I2565" s="6" t="s">
        <v>161</v>
      </c>
      <c r="J2565" s="6" t="s">
        <v>357</v>
      </c>
      <c r="K2565" s="6" t="s">
        <v>17262</v>
      </c>
      <c r="L2565" s="6">
        <v>7.601330019E9</v>
      </c>
      <c r="M2565" s="6" t="s">
        <v>17263</v>
      </c>
      <c r="N2565" s="6" t="s">
        <v>427</v>
      </c>
      <c r="O2565" s="6" t="s">
        <v>161</v>
      </c>
      <c r="P2565" s="10">
        <v>45972.0</v>
      </c>
    </row>
    <row r="2566" ht="22.5" customHeight="1">
      <c r="A2566" s="6" t="s">
        <v>17265</v>
      </c>
      <c r="B2566" s="6" t="s">
        <v>17266</v>
      </c>
      <c r="C2566" s="6" t="s">
        <v>17267</v>
      </c>
      <c r="D2566" s="6" t="s">
        <v>206</v>
      </c>
      <c r="E2566" s="6" t="s">
        <v>147</v>
      </c>
      <c r="F2566" s="8">
        <v>15.0</v>
      </c>
      <c r="G2566" s="9">
        <v>509.38</v>
      </c>
      <c r="H2566" s="9">
        <v>7070.45</v>
      </c>
      <c r="I2566" s="6" t="s">
        <v>161</v>
      </c>
      <c r="J2566" s="6" t="s">
        <v>465</v>
      </c>
      <c r="K2566" s="6" t="s">
        <v>17268</v>
      </c>
      <c r="L2566" s="6">
        <v>8.8054731398E10</v>
      </c>
      <c r="M2566" s="6" t="s">
        <v>17270</v>
      </c>
      <c r="N2566" s="6" t="s">
        <v>259</v>
      </c>
      <c r="O2566" s="6" t="s">
        <v>178</v>
      </c>
      <c r="P2566" s="10">
        <v>46035.0</v>
      </c>
    </row>
    <row r="2567" ht="22.5" customHeight="1">
      <c r="A2567" s="6" t="s">
        <v>17271</v>
      </c>
      <c r="B2567" s="6" t="s">
        <v>17272</v>
      </c>
      <c r="C2567" s="6" t="s">
        <v>17273</v>
      </c>
      <c r="D2567" s="6" t="s">
        <v>206</v>
      </c>
      <c r="E2567" s="6" t="s">
        <v>147</v>
      </c>
      <c r="F2567" s="8">
        <v>9.0</v>
      </c>
      <c r="G2567" s="9">
        <v>971.79</v>
      </c>
      <c r="H2567" s="9">
        <v>2347.45</v>
      </c>
      <c r="I2567" s="6" t="s">
        <v>161</v>
      </c>
      <c r="J2567" s="6" t="s">
        <v>228</v>
      </c>
      <c r="K2567" s="6" t="s">
        <v>17275</v>
      </c>
      <c r="L2567" s="6">
        <v>5.0191201643E10</v>
      </c>
      <c r="M2567" s="6" t="s">
        <v>17276</v>
      </c>
      <c r="N2567" s="6" t="s">
        <v>176</v>
      </c>
      <c r="O2567" s="6" t="s">
        <v>178</v>
      </c>
      <c r="P2567" s="10">
        <v>46034.0</v>
      </c>
    </row>
    <row r="2568" ht="22.5" customHeight="1">
      <c r="A2568" s="6" t="s">
        <v>17278</v>
      </c>
      <c r="B2568" s="6" t="s">
        <v>17279</v>
      </c>
      <c r="C2568" s="6" t="s">
        <v>17280</v>
      </c>
      <c r="D2568" s="6" t="s">
        <v>145</v>
      </c>
      <c r="E2568" s="6" t="s">
        <v>147</v>
      </c>
      <c r="F2568" s="8">
        <v>21.0</v>
      </c>
      <c r="G2568" s="9">
        <v>543.08</v>
      </c>
      <c r="H2568" s="9">
        <v>8414.12</v>
      </c>
      <c r="I2568" s="6" t="s">
        <v>161</v>
      </c>
      <c r="J2568" s="6" t="s">
        <v>577</v>
      </c>
      <c r="K2568" s="6" t="s">
        <v>17281</v>
      </c>
      <c r="L2568" s="6">
        <v>1.3099008816E10</v>
      </c>
      <c r="M2568" s="6" t="s">
        <v>17283</v>
      </c>
      <c r="N2568" s="6" t="s">
        <v>259</v>
      </c>
      <c r="O2568" s="6" t="s">
        <v>178</v>
      </c>
      <c r="P2568" s="10">
        <v>45935.0</v>
      </c>
    </row>
    <row r="2569" ht="22.5" customHeight="1">
      <c r="A2569" s="6" t="s">
        <v>17284</v>
      </c>
      <c r="B2569" s="6" t="s">
        <v>17285</v>
      </c>
      <c r="C2569" s="6" t="s">
        <v>17286</v>
      </c>
      <c r="D2569" s="6" t="s">
        <v>206</v>
      </c>
      <c r="E2569" s="6" t="s">
        <v>210</v>
      </c>
      <c r="F2569" s="8">
        <v>102.0</v>
      </c>
      <c r="G2569" s="9">
        <v>1216.96</v>
      </c>
      <c r="H2569" s="9">
        <v>5208.92</v>
      </c>
      <c r="I2569" s="6" t="s">
        <v>178</v>
      </c>
      <c r="J2569" s="6" t="s">
        <v>163</v>
      </c>
      <c r="K2569" s="6" t="s">
        <v>17288</v>
      </c>
      <c r="L2569" s="6" t="s">
        <v>259</v>
      </c>
      <c r="M2569" s="6" t="s">
        <v>17289</v>
      </c>
      <c r="N2569" s="6" t="s">
        <v>427</v>
      </c>
      <c r="O2569" s="6" t="s">
        <v>161</v>
      </c>
      <c r="P2569" s="10">
        <v>46002.0</v>
      </c>
    </row>
    <row r="2570" ht="22.5" customHeight="1">
      <c r="A2570" s="6" t="s">
        <v>17290</v>
      </c>
      <c r="B2570" s="6" t="s">
        <v>17291</v>
      </c>
      <c r="C2570" s="6" t="s">
        <v>17293</v>
      </c>
      <c r="D2570" s="6" t="s">
        <v>206</v>
      </c>
      <c r="E2570" s="6" t="s">
        <v>301</v>
      </c>
      <c r="F2570" s="8">
        <v>58.0</v>
      </c>
      <c r="G2570" s="9">
        <v>743.04</v>
      </c>
      <c r="H2570" s="9">
        <v>9597.53</v>
      </c>
      <c r="I2570" s="6" t="s">
        <v>161</v>
      </c>
      <c r="J2570" s="6" t="s">
        <v>393</v>
      </c>
      <c r="K2570" s="6" t="s">
        <v>17294</v>
      </c>
      <c r="L2570" s="6">
        <v>2.5156432576E10</v>
      </c>
      <c r="M2570" s="6" t="s">
        <v>17295</v>
      </c>
      <c r="N2570" s="6" t="s">
        <v>112</v>
      </c>
      <c r="O2570" s="6" t="s">
        <v>178</v>
      </c>
      <c r="P2570" s="10">
        <v>45960.0</v>
      </c>
    </row>
    <row r="2571" ht="22.5" customHeight="1">
      <c r="A2571" s="6" t="s">
        <v>17297</v>
      </c>
      <c r="B2571" s="6" t="s">
        <v>17298</v>
      </c>
      <c r="C2571" s="6" t="s">
        <v>17299</v>
      </c>
      <c r="D2571" s="6" t="s">
        <v>145</v>
      </c>
      <c r="E2571" s="6" t="s">
        <v>210</v>
      </c>
      <c r="F2571" s="8">
        <v>60.0</v>
      </c>
      <c r="G2571" s="9">
        <v>809.57</v>
      </c>
      <c r="H2571" s="9">
        <v>6528.41</v>
      </c>
      <c r="I2571" s="6" t="s">
        <v>178</v>
      </c>
      <c r="J2571" s="6" t="s">
        <v>1229</v>
      </c>
      <c r="K2571" s="6" t="s">
        <v>17301</v>
      </c>
      <c r="L2571" s="6">
        <v>9.122890918E9</v>
      </c>
      <c r="M2571" s="6" t="s">
        <v>17302</v>
      </c>
      <c r="N2571" s="6" t="s">
        <v>427</v>
      </c>
      <c r="O2571" s="6" t="s">
        <v>161</v>
      </c>
      <c r="P2571" s="10">
        <v>46002.0</v>
      </c>
    </row>
    <row r="2572" ht="22.5" customHeight="1">
      <c r="A2572" s="6" t="s">
        <v>17303</v>
      </c>
      <c r="B2572" s="6" t="s">
        <v>17304</v>
      </c>
      <c r="C2572" s="6" t="s">
        <v>17305</v>
      </c>
      <c r="D2572" s="6" t="s">
        <v>145</v>
      </c>
      <c r="E2572" s="6" t="s">
        <v>147</v>
      </c>
      <c r="F2572" s="8">
        <v>11.0</v>
      </c>
      <c r="G2572" s="9">
        <v>1255.71</v>
      </c>
      <c r="H2572" s="9">
        <v>8054.66</v>
      </c>
      <c r="I2572" s="6" t="s">
        <v>161</v>
      </c>
      <c r="J2572" s="6" t="s">
        <v>421</v>
      </c>
      <c r="K2572" s="6" t="s">
        <v>17307</v>
      </c>
      <c r="L2572" s="6">
        <v>9.1233403824E10</v>
      </c>
      <c r="M2572" s="6" t="s">
        <v>17309</v>
      </c>
      <c r="N2572" s="6" t="s">
        <v>112</v>
      </c>
      <c r="O2572" s="6" t="s">
        <v>178</v>
      </c>
      <c r="P2572" s="10">
        <v>46045.0</v>
      </c>
    </row>
    <row r="2573" ht="22.5" customHeight="1">
      <c r="A2573" s="6" t="s">
        <v>17310</v>
      </c>
      <c r="B2573" s="6" t="s">
        <v>17312</v>
      </c>
      <c r="C2573" s="6" t="s">
        <v>17313</v>
      </c>
      <c r="D2573" s="6" t="s">
        <v>145</v>
      </c>
      <c r="E2573" s="6" t="s">
        <v>147</v>
      </c>
      <c r="F2573" s="8">
        <v>23.0</v>
      </c>
      <c r="G2573" s="9">
        <v>1472.17</v>
      </c>
      <c r="H2573" s="9">
        <v>11276.79</v>
      </c>
      <c r="I2573" s="6" t="s">
        <v>161</v>
      </c>
      <c r="J2573" s="6" t="s">
        <v>259</v>
      </c>
      <c r="K2573" s="6" t="s">
        <v>17315</v>
      </c>
      <c r="L2573" s="6">
        <v>6.6697601946E10</v>
      </c>
      <c r="M2573" s="6" t="s">
        <v>17316</v>
      </c>
      <c r="N2573" s="6" t="s">
        <v>283</v>
      </c>
      <c r="O2573" s="6" t="s">
        <v>178</v>
      </c>
      <c r="P2573" s="10">
        <v>45958.0</v>
      </c>
    </row>
    <row r="2574" ht="22.5" customHeight="1">
      <c r="A2574" s="6" t="s">
        <v>17318</v>
      </c>
      <c r="B2574" s="6" t="s">
        <v>17319</v>
      </c>
      <c r="C2574" s="6" t="s">
        <v>17320</v>
      </c>
      <c r="D2574" s="6" t="s">
        <v>206</v>
      </c>
      <c r="E2574" s="6" t="s">
        <v>147</v>
      </c>
      <c r="F2574" s="8">
        <v>23.0</v>
      </c>
      <c r="G2574" s="9">
        <v>1322.21</v>
      </c>
      <c r="H2574" s="9">
        <v>14874.56</v>
      </c>
      <c r="I2574" s="6" t="s">
        <v>161</v>
      </c>
      <c r="J2574" s="6" t="s">
        <v>465</v>
      </c>
      <c r="K2574" s="6" t="s">
        <v>17322</v>
      </c>
      <c r="L2574" s="6">
        <v>2.2491067534E10</v>
      </c>
      <c r="M2574" s="6" t="s">
        <v>17323</v>
      </c>
      <c r="N2574" s="6" t="s">
        <v>112</v>
      </c>
      <c r="O2574" s="6" t="s">
        <v>178</v>
      </c>
      <c r="P2574" s="10">
        <v>45975.0</v>
      </c>
    </row>
    <row r="2575" ht="22.5" customHeight="1">
      <c r="A2575" s="6" t="s">
        <v>17324</v>
      </c>
      <c r="B2575" s="6" t="s">
        <v>17326</v>
      </c>
      <c r="C2575" s="6" t="s">
        <v>17327</v>
      </c>
      <c r="D2575" s="6" t="s">
        <v>383</v>
      </c>
      <c r="E2575" s="6" t="s">
        <v>210</v>
      </c>
      <c r="F2575" s="8">
        <v>67.0</v>
      </c>
      <c r="G2575" s="9">
        <v>535.81</v>
      </c>
      <c r="H2575" s="9">
        <v>1165.14</v>
      </c>
      <c r="I2575" s="6" t="s">
        <v>161</v>
      </c>
      <c r="J2575" s="6" t="s">
        <v>228</v>
      </c>
      <c r="K2575" s="6" t="s">
        <v>17328</v>
      </c>
      <c r="L2575" s="6">
        <v>2.3049866781E10</v>
      </c>
      <c r="M2575" s="6" t="s">
        <v>17330</v>
      </c>
      <c r="N2575" s="6" t="s">
        <v>176</v>
      </c>
      <c r="O2575" s="6" t="s">
        <v>161</v>
      </c>
      <c r="P2575" s="10">
        <v>46035.0</v>
      </c>
    </row>
    <row r="2576" ht="22.5" customHeight="1">
      <c r="A2576" s="6" t="s">
        <v>17331</v>
      </c>
      <c r="B2576" s="6" t="s">
        <v>17332</v>
      </c>
      <c r="C2576" s="6" t="s">
        <v>17333</v>
      </c>
      <c r="D2576" s="6" t="s">
        <v>206</v>
      </c>
      <c r="E2576" s="6" t="s">
        <v>301</v>
      </c>
      <c r="F2576" s="8">
        <v>59.0</v>
      </c>
      <c r="G2576" s="9">
        <v>284.92</v>
      </c>
      <c r="H2576" s="9">
        <v>10048.41</v>
      </c>
      <c r="I2576" s="6" t="s">
        <v>161</v>
      </c>
      <c r="J2576" s="6" t="s">
        <v>421</v>
      </c>
      <c r="K2576" s="6" t="s">
        <v>259</v>
      </c>
      <c r="L2576" s="6">
        <v>1.4185765729E10</v>
      </c>
      <c r="M2576" s="6" t="s">
        <v>17335</v>
      </c>
      <c r="N2576" s="6" t="s">
        <v>176</v>
      </c>
      <c r="O2576" s="6" t="s">
        <v>178</v>
      </c>
      <c r="P2576" s="10">
        <v>46004.0</v>
      </c>
    </row>
    <row r="2577" ht="22.5" customHeight="1">
      <c r="A2577" s="6" t="s">
        <v>17336</v>
      </c>
      <c r="B2577" s="6" t="s">
        <v>17337</v>
      </c>
      <c r="C2577" s="6" t="s">
        <v>17338</v>
      </c>
      <c r="D2577" s="6" t="s">
        <v>145</v>
      </c>
      <c r="E2577" s="6" t="s">
        <v>147</v>
      </c>
      <c r="F2577" s="8">
        <v>20.0</v>
      </c>
      <c r="G2577" s="9">
        <v>1055.14</v>
      </c>
      <c r="H2577" s="9">
        <v>8346.07</v>
      </c>
      <c r="I2577" s="6" t="s">
        <v>161</v>
      </c>
      <c r="J2577" s="6" t="s">
        <v>442</v>
      </c>
      <c r="K2577" s="6" t="s">
        <v>17340</v>
      </c>
      <c r="L2577" s="6">
        <v>5.3500644114E10</v>
      </c>
      <c r="M2577" s="6" t="s">
        <v>17341</v>
      </c>
      <c r="N2577" s="6" t="s">
        <v>427</v>
      </c>
      <c r="O2577" s="6" t="s">
        <v>178</v>
      </c>
      <c r="P2577" s="10">
        <v>45938.0</v>
      </c>
    </row>
    <row r="2578" ht="22.5" customHeight="1">
      <c r="A2578" s="6" t="s">
        <v>17342</v>
      </c>
      <c r="B2578" s="6" t="s">
        <v>17343</v>
      </c>
      <c r="C2578" s="6" t="s">
        <v>17344</v>
      </c>
      <c r="D2578" s="6" t="s">
        <v>145</v>
      </c>
      <c r="E2578" s="6" t="s">
        <v>301</v>
      </c>
      <c r="F2578" s="8">
        <v>44.0</v>
      </c>
      <c r="G2578" s="9">
        <v>1461.74</v>
      </c>
      <c r="H2578" s="9">
        <v>6934.8</v>
      </c>
      <c r="I2578" s="6" t="s">
        <v>161</v>
      </c>
      <c r="J2578" s="6" t="s">
        <v>163</v>
      </c>
      <c r="K2578" s="6" t="s">
        <v>17346</v>
      </c>
      <c r="L2578" s="6">
        <v>5.8048635533E10</v>
      </c>
      <c r="M2578" s="6" t="s">
        <v>17347</v>
      </c>
      <c r="N2578" s="6" t="s">
        <v>176</v>
      </c>
      <c r="O2578" s="6" t="s">
        <v>178</v>
      </c>
      <c r="P2578" s="10">
        <v>46011.0</v>
      </c>
    </row>
    <row r="2579" ht="22.5" customHeight="1">
      <c r="A2579" s="6" t="s">
        <v>17349</v>
      </c>
      <c r="B2579" s="6" t="s">
        <v>17350</v>
      </c>
      <c r="C2579" s="6" t="s">
        <v>17351</v>
      </c>
      <c r="D2579" s="6" t="s">
        <v>206</v>
      </c>
      <c r="E2579" s="6" t="s">
        <v>147</v>
      </c>
      <c r="F2579" s="8">
        <v>9.0</v>
      </c>
      <c r="G2579" s="9">
        <v>910.81</v>
      </c>
      <c r="H2579" s="9">
        <v>12680.99</v>
      </c>
      <c r="I2579" s="6" t="s">
        <v>161</v>
      </c>
      <c r="J2579" s="6" t="s">
        <v>442</v>
      </c>
      <c r="K2579" s="6" t="s">
        <v>17353</v>
      </c>
      <c r="L2579" s="6">
        <v>5.3676889391E10</v>
      </c>
      <c r="M2579" s="6" t="s">
        <v>17354</v>
      </c>
      <c r="N2579" s="6" t="s">
        <v>176</v>
      </c>
      <c r="O2579" s="6" t="s">
        <v>178</v>
      </c>
      <c r="P2579" s="10">
        <v>45979.0</v>
      </c>
    </row>
    <row r="2580" ht="22.5" customHeight="1">
      <c r="A2580" s="6" t="s">
        <v>17355</v>
      </c>
      <c r="B2580" s="6" t="s">
        <v>17356</v>
      </c>
      <c r="C2580" s="6" t="s">
        <v>17357</v>
      </c>
      <c r="D2580" s="6" t="s">
        <v>206</v>
      </c>
      <c r="E2580" s="6" t="s">
        <v>147</v>
      </c>
      <c r="F2580" s="8">
        <v>21.0</v>
      </c>
      <c r="G2580" s="9">
        <v>866.66</v>
      </c>
      <c r="H2580" s="9">
        <v>2344.96</v>
      </c>
      <c r="I2580" s="6" t="s">
        <v>161</v>
      </c>
      <c r="J2580" s="6" t="s">
        <v>228</v>
      </c>
      <c r="K2580" s="6" t="s">
        <v>17359</v>
      </c>
      <c r="L2580" s="6">
        <v>6.8760139676E10</v>
      </c>
      <c r="M2580" s="6" t="s">
        <v>17360</v>
      </c>
      <c r="N2580" s="6" t="s">
        <v>283</v>
      </c>
      <c r="O2580" s="6" t="s">
        <v>178</v>
      </c>
      <c r="P2580" s="10">
        <v>45976.0</v>
      </c>
    </row>
    <row r="2581" ht="22.5" customHeight="1">
      <c r="A2581" s="6" t="s">
        <v>17362</v>
      </c>
      <c r="B2581" s="6" t="s">
        <v>17363</v>
      </c>
      <c r="C2581" s="6" t="s">
        <v>17364</v>
      </c>
      <c r="D2581" s="6" t="s">
        <v>383</v>
      </c>
      <c r="E2581" s="6" t="s">
        <v>301</v>
      </c>
      <c r="F2581" s="8">
        <v>47.0</v>
      </c>
      <c r="G2581" s="9">
        <v>1251.02</v>
      </c>
      <c r="H2581" s="9">
        <v>6510.63</v>
      </c>
      <c r="I2581" s="6" t="s">
        <v>178</v>
      </c>
      <c r="J2581" s="6" t="s">
        <v>312</v>
      </c>
      <c r="K2581" s="6" t="s">
        <v>17366</v>
      </c>
      <c r="L2581" s="6">
        <v>6.9381526788E10</v>
      </c>
      <c r="M2581" s="6" t="s">
        <v>17367</v>
      </c>
      <c r="N2581" s="6" t="s">
        <v>283</v>
      </c>
      <c r="O2581" s="6" t="s">
        <v>161</v>
      </c>
      <c r="P2581" s="10">
        <v>46006.0</v>
      </c>
    </row>
    <row r="2582" ht="22.5" customHeight="1">
      <c r="A2582" s="6" t="s">
        <v>17369</v>
      </c>
      <c r="B2582" s="6" t="s">
        <v>17370</v>
      </c>
      <c r="C2582" s="6" t="s">
        <v>17371</v>
      </c>
      <c r="D2582" s="6" t="s">
        <v>206</v>
      </c>
      <c r="E2582" s="6" t="s">
        <v>301</v>
      </c>
      <c r="F2582" s="8">
        <v>54.0</v>
      </c>
      <c r="G2582" s="9">
        <v>511.7</v>
      </c>
      <c r="H2582" s="9">
        <v>1894.83</v>
      </c>
      <c r="I2582" s="6" t="s">
        <v>161</v>
      </c>
      <c r="J2582" s="6" t="s">
        <v>479</v>
      </c>
      <c r="K2582" s="6" t="s">
        <v>17373</v>
      </c>
      <c r="L2582" s="6">
        <v>9.8432932958E10</v>
      </c>
      <c r="M2582" s="6" t="s">
        <v>17374</v>
      </c>
      <c r="N2582" s="6" t="s">
        <v>176</v>
      </c>
      <c r="O2582" s="6" t="s">
        <v>178</v>
      </c>
      <c r="P2582" s="10">
        <v>46026.0</v>
      </c>
    </row>
    <row r="2583" ht="22.5" customHeight="1">
      <c r="A2583" s="6" t="s">
        <v>17375</v>
      </c>
      <c r="B2583" s="6" t="s">
        <v>17376</v>
      </c>
      <c r="C2583" s="6" t="s">
        <v>17377</v>
      </c>
      <c r="D2583" s="6" t="s">
        <v>383</v>
      </c>
      <c r="E2583" s="6" t="s">
        <v>147</v>
      </c>
      <c r="F2583" s="8">
        <v>12.0</v>
      </c>
      <c r="G2583" s="9">
        <v>1601.0</v>
      </c>
      <c r="H2583" s="9">
        <v>15467.92</v>
      </c>
      <c r="I2583" s="6" t="s">
        <v>161</v>
      </c>
      <c r="J2583" s="6" t="s">
        <v>577</v>
      </c>
      <c r="K2583" s="6" t="s">
        <v>17379</v>
      </c>
      <c r="L2583" s="6">
        <v>7.5833712202E10</v>
      </c>
      <c r="M2583" s="6" t="s">
        <v>17380</v>
      </c>
      <c r="N2583" s="6" t="s">
        <v>259</v>
      </c>
      <c r="O2583" s="6" t="s">
        <v>178</v>
      </c>
      <c r="P2583" s="10">
        <v>46010.0</v>
      </c>
    </row>
    <row r="2584" ht="22.5" customHeight="1">
      <c r="A2584" s="6" t="s">
        <v>17381</v>
      </c>
      <c r="B2584" s="6" t="s">
        <v>17382</v>
      </c>
      <c r="C2584" s="6" t="s">
        <v>17383</v>
      </c>
      <c r="D2584" s="6" t="s">
        <v>145</v>
      </c>
      <c r="E2584" s="6" t="s">
        <v>147</v>
      </c>
      <c r="F2584" s="8">
        <v>27.0</v>
      </c>
      <c r="G2584" s="9">
        <v>1717.81</v>
      </c>
      <c r="H2584" s="9">
        <v>14143.18</v>
      </c>
      <c r="I2584" s="6" t="s">
        <v>161</v>
      </c>
      <c r="J2584" s="6" t="s">
        <v>312</v>
      </c>
      <c r="K2584" s="6" t="s">
        <v>17385</v>
      </c>
      <c r="L2584" s="6">
        <v>9.4821365473E10</v>
      </c>
      <c r="M2584" s="6" t="s">
        <v>17386</v>
      </c>
      <c r="N2584" s="6" t="s">
        <v>427</v>
      </c>
      <c r="O2584" s="6" t="s">
        <v>178</v>
      </c>
      <c r="P2584" s="10">
        <v>46050.0</v>
      </c>
    </row>
    <row r="2585" ht="22.5" customHeight="1">
      <c r="A2585" s="6" t="s">
        <v>17387</v>
      </c>
      <c r="B2585" s="6" t="s">
        <v>17388</v>
      </c>
      <c r="C2585" s="6" t="s">
        <v>17389</v>
      </c>
      <c r="D2585" s="6" t="s">
        <v>145</v>
      </c>
      <c r="E2585" s="6" t="s">
        <v>301</v>
      </c>
      <c r="F2585" s="8">
        <v>33.0</v>
      </c>
      <c r="G2585" s="9">
        <v>1446.59</v>
      </c>
      <c r="H2585" s="9">
        <v>2458.03</v>
      </c>
      <c r="I2585" s="6" t="s">
        <v>161</v>
      </c>
      <c r="J2585" s="6" t="s">
        <v>1787</v>
      </c>
      <c r="K2585" s="6" t="s">
        <v>17391</v>
      </c>
      <c r="L2585" s="6" t="s">
        <v>259</v>
      </c>
      <c r="M2585" s="6" t="s">
        <v>17392</v>
      </c>
      <c r="N2585" s="6" t="s">
        <v>283</v>
      </c>
      <c r="O2585" s="6" t="s">
        <v>178</v>
      </c>
      <c r="P2585" s="10">
        <v>46009.0</v>
      </c>
    </row>
    <row r="2586" ht="22.5" customHeight="1">
      <c r="A2586" s="6" t="s">
        <v>17393</v>
      </c>
      <c r="B2586" s="6" t="s">
        <v>17394</v>
      </c>
      <c r="C2586" s="6" t="s">
        <v>17395</v>
      </c>
      <c r="D2586" s="6" t="s">
        <v>206</v>
      </c>
      <c r="E2586" s="6" t="s">
        <v>147</v>
      </c>
      <c r="F2586" s="8">
        <v>15.0</v>
      </c>
      <c r="G2586" s="9">
        <v>776.52</v>
      </c>
      <c r="H2586" s="9">
        <v>9578.16</v>
      </c>
      <c r="I2586" s="6" t="s">
        <v>161</v>
      </c>
      <c r="J2586" s="6" t="s">
        <v>357</v>
      </c>
      <c r="K2586" s="6" t="s">
        <v>17396</v>
      </c>
      <c r="L2586" s="6">
        <v>1.226570417E10</v>
      </c>
      <c r="M2586" s="6" t="s">
        <v>17398</v>
      </c>
      <c r="N2586" s="6" t="s">
        <v>259</v>
      </c>
      <c r="O2586" s="6" t="s">
        <v>178</v>
      </c>
      <c r="P2586" s="10">
        <v>45970.0</v>
      </c>
    </row>
    <row r="2587" ht="22.5" customHeight="1">
      <c r="A2587" s="6" t="s">
        <v>17399</v>
      </c>
      <c r="B2587" s="6" t="s">
        <v>17400</v>
      </c>
      <c r="C2587" s="6" t="s">
        <v>17401</v>
      </c>
      <c r="D2587" s="6" t="s">
        <v>145</v>
      </c>
      <c r="E2587" s="6" t="s">
        <v>147</v>
      </c>
      <c r="F2587" s="8">
        <v>7.0</v>
      </c>
      <c r="G2587" s="9">
        <v>1565.8</v>
      </c>
      <c r="H2587" s="9">
        <v>7584.02</v>
      </c>
      <c r="I2587" s="6" t="s">
        <v>161</v>
      </c>
      <c r="J2587" s="6" t="s">
        <v>479</v>
      </c>
      <c r="K2587" s="6" t="s">
        <v>17403</v>
      </c>
      <c r="L2587" s="6">
        <v>2.6177537038E10</v>
      </c>
      <c r="M2587" s="6" t="s">
        <v>17404</v>
      </c>
      <c r="N2587" s="6" t="s">
        <v>283</v>
      </c>
      <c r="O2587" s="6" t="s">
        <v>178</v>
      </c>
      <c r="P2587" s="10">
        <v>45938.0</v>
      </c>
    </row>
    <row r="2588" ht="22.5" customHeight="1">
      <c r="A2588" s="6" t="s">
        <v>17405</v>
      </c>
      <c r="B2588" s="6" t="s">
        <v>17406</v>
      </c>
      <c r="C2588" s="6" t="s">
        <v>17407</v>
      </c>
      <c r="D2588" s="6" t="s">
        <v>206</v>
      </c>
      <c r="E2588" s="6" t="s">
        <v>147</v>
      </c>
      <c r="F2588" s="8">
        <v>20.0</v>
      </c>
      <c r="G2588" s="9">
        <v>1556.61</v>
      </c>
      <c r="H2588" s="9">
        <v>10781.27</v>
      </c>
      <c r="I2588" s="6" t="s">
        <v>161</v>
      </c>
      <c r="J2588" s="6" t="s">
        <v>163</v>
      </c>
      <c r="K2588" s="6" t="s">
        <v>17408</v>
      </c>
      <c r="L2588" s="6">
        <v>4.9417030456E10</v>
      </c>
      <c r="M2588" s="6" t="s">
        <v>17410</v>
      </c>
      <c r="N2588" s="6" t="s">
        <v>112</v>
      </c>
      <c r="O2588" s="6" t="s">
        <v>178</v>
      </c>
      <c r="P2588" s="10">
        <v>46038.0</v>
      </c>
    </row>
    <row r="2589" ht="22.5" customHeight="1">
      <c r="A2589" s="6" t="s">
        <v>17411</v>
      </c>
      <c r="B2589" s="6" t="s">
        <v>17412</v>
      </c>
      <c r="C2589" s="6" t="s">
        <v>17413</v>
      </c>
      <c r="D2589" s="6" t="s">
        <v>383</v>
      </c>
      <c r="E2589" s="6" t="s">
        <v>147</v>
      </c>
      <c r="F2589" s="8">
        <v>26.0</v>
      </c>
      <c r="G2589" s="9">
        <v>347.46</v>
      </c>
      <c r="H2589" s="9">
        <v>10329.85</v>
      </c>
      <c r="I2589" s="6" t="s">
        <v>161</v>
      </c>
      <c r="J2589" s="6" t="s">
        <v>442</v>
      </c>
      <c r="K2589" s="6" t="s">
        <v>17414</v>
      </c>
      <c r="L2589" s="6" t="s">
        <v>259</v>
      </c>
      <c r="M2589" s="6" t="s">
        <v>17415</v>
      </c>
      <c r="N2589" s="6" t="s">
        <v>259</v>
      </c>
      <c r="O2589" s="6" t="s">
        <v>178</v>
      </c>
      <c r="P2589" s="10">
        <v>46030.0</v>
      </c>
    </row>
    <row r="2590" ht="22.5" customHeight="1">
      <c r="A2590" s="6" t="s">
        <v>17417</v>
      </c>
      <c r="B2590" s="6" t="s">
        <v>17418</v>
      </c>
      <c r="C2590" s="6" t="s">
        <v>17419</v>
      </c>
      <c r="D2590" s="6" t="s">
        <v>145</v>
      </c>
      <c r="E2590" s="6" t="s">
        <v>147</v>
      </c>
      <c r="F2590" s="8">
        <v>23.0</v>
      </c>
      <c r="G2590" s="9">
        <v>199.2</v>
      </c>
      <c r="H2590" s="9">
        <v>8186.21</v>
      </c>
      <c r="I2590" s="6" t="s">
        <v>161</v>
      </c>
      <c r="J2590" s="6" t="s">
        <v>479</v>
      </c>
      <c r="K2590" s="6" t="s">
        <v>17420</v>
      </c>
      <c r="L2590" s="6">
        <v>5.392842268E10</v>
      </c>
      <c r="M2590" s="6" t="s">
        <v>17421</v>
      </c>
      <c r="N2590" s="6" t="s">
        <v>112</v>
      </c>
      <c r="O2590" s="6" t="s">
        <v>178</v>
      </c>
      <c r="P2590" s="10">
        <v>46036.0</v>
      </c>
    </row>
    <row r="2591" ht="22.5" customHeight="1">
      <c r="A2591" s="6" t="s">
        <v>17423</v>
      </c>
      <c r="B2591" s="6" t="s">
        <v>17424</v>
      </c>
      <c r="C2591" s="6" t="s">
        <v>17425</v>
      </c>
      <c r="D2591" s="6" t="s">
        <v>206</v>
      </c>
      <c r="E2591" s="6" t="s">
        <v>147</v>
      </c>
      <c r="F2591" s="8">
        <v>19.0</v>
      </c>
      <c r="G2591" s="9">
        <v>1226.45</v>
      </c>
      <c r="H2591" s="9">
        <v>7639.8</v>
      </c>
      <c r="I2591" s="6" t="s">
        <v>161</v>
      </c>
      <c r="J2591" s="6" t="s">
        <v>577</v>
      </c>
      <c r="K2591" s="6" t="s">
        <v>259</v>
      </c>
      <c r="L2591" s="6" t="s">
        <v>259</v>
      </c>
      <c r="M2591" s="6" t="s">
        <v>17427</v>
      </c>
      <c r="N2591" s="6" t="s">
        <v>427</v>
      </c>
      <c r="O2591" s="6" t="s">
        <v>178</v>
      </c>
      <c r="P2591" s="10">
        <v>45969.0</v>
      </c>
    </row>
    <row r="2592" ht="22.5" customHeight="1">
      <c r="A2592" s="6" t="s">
        <v>17428</v>
      </c>
      <c r="B2592" s="6" t="s">
        <v>17429</v>
      </c>
      <c r="C2592" s="6" t="s">
        <v>17431</v>
      </c>
      <c r="D2592" s="6" t="s">
        <v>145</v>
      </c>
      <c r="E2592" s="6" t="s">
        <v>301</v>
      </c>
      <c r="F2592" s="8">
        <v>55.0</v>
      </c>
      <c r="G2592" s="9">
        <v>1788.96</v>
      </c>
      <c r="H2592" s="9">
        <v>11149.64</v>
      </c>
      <c r="I2592" s="6" t="s">
        <v>161</v>
      </c>
      <c r="J2592" s="6" t="s">
        <v>421</v>
      </c>
      <c r="K2592" s="6" t="s">
        <v>17432</v>
      </c>
      <c r="L2592" s="6">
        <v>5.0550885464E10</v>
      </c>
      <c r="M2592" s="6" t="s">
        <v>17433</v>
      </c>
      <c r="N2592" s="6" t="s">
        <v>283</v>
      </c>
      <c r="O2592" s="6" t="s">
        <v>178</v>
      </c>
      <c r="P2592" s="10">
        <v>45989.0</v>
      </c>
    </row>
    <row r="2593" ht="22.5" customHeight="1">
      <c r="A2593" s="6" t="s">
        <v>17435</v>
      </c>
      <c r="B2593" s="6" t="s">
        <v>17436</v>
      </c>
      <c r="C2593" s="6" t="s">
        <v>17437</v>
      </c>
      <c r="D2593" s="6" t="s">
        <v>145</v>
      </c>
      <c r="E2593" s="6" t="s">
        <v>210</v>
      </c>
      <c r="F2593" s="8">
        <v>61.0</v>
      </c>
      <c r="G2593" s="9">
        <v>1347.17</v>
      </c>
      <c r="H2593" s="9">
        <v>10087.96</v>
      </c>
      <c r="I2593" s="6" t="s">
        <v>178</v>
      </c>
      <c r="J2593" s="6" t="s">
        <v>465</v>
      </c>
      <c r="K2593" s="6" t="s">
        <v>17439</v>
      </c>
      <c r="L2593" s="6">
        <v>6.4624698432E10</v>
      </c>
      <c r="M2593" s="6" t="s">
        <v>17440</v>
      </c>
      <c r="N2593" s="6" t="s">
        <v>112</v>
      </c>
      <c r="O2593" s="6" t="s">
        <v>161</v>
      </c>
      <c r="P2593" s="10">
        <v>46009.0</v>
      </c>
    </row>
    <row r="2594" ht="22.5" customHeight="1">
      <c r="A2594" s="6" t="s">
        <v>17441</v>
      </c>
      <c r="B2594" s="6" t="s">
        <v>17442</v>
      </c>
      <c r="C2594" s="6" t="s">
        <v>17444</v>
      </c>
      <c r="D2594" s="6" t="s">
        <v>206</v>
      </c>
      <c r="E2594" s="6" t="s">
        <v>210</v>
      </c>
      <c r="F2594" s="8">
        <v>110.0</v>
      </c>
      <c r="G2594" s="9">
        <v>1127.75</v>
      </c>
      <c r="H2594" s="9">
        <v>2604.75</v>
      </c>
      <c r="I2594" s="6" t="s">
        <v>178</v>
      </c>
      <c r="J2594" s="6" t="s">
        <v>357</v>
      </c>
      <c r="K2594" s="6" t="s">
        <v>17445</v>
      </c>
      <c r="L2594" s="6">
        <v>4.0531587298E10</v>
      </c>
      <c r="M2594" s="6" t="s">
        <v>17447</v>
      </c>
      <c r="N2594" s="6" t="s">
        <v>112</v>
      </c>
      <c r="O2594" s="6" t="s">
        <v>161</v>
      </c>
      <c r="P2594" s="10">
        <v>46007.0</v>
      </c>
    </row>
    <row r="2595" ht="22.5" customHeight="1">
      <c r="A2595" s="6" t="s">
        <v>17448</v>
      </c>
      <c r="B2595" s="6" t="s">
        <v>17449</v>
      </c>
      <c r="C2595" s="6" t="s">
        <v>17450</v>
      </c>
      <c r="D2595" s="6" t="s">
        <v>383</v>
      </c>
      <c r="E2595" s="6" t="s">
        <v>147</v>
      </c>
      <c r="F2595" s="8">
        <v>29.0</v>
      </c>
      <c r="G2595" s="9">
        <v>171.31</v>
      </c>
      <c r="H2595" s="9">
        <v>4286.04</v>
      </c>
      <c r="I2595" s="6" t="s">
        <v>161</v>
      </c>
      <c r="J2595" s="6" t="s">
        <v>163</v>
      </c>
      <c r="K2595" s="6" t="s">
        <v>17452</v>
      </c>
      <c r="L2595" s="6">
        <v>9.5878851312E10</v>
      </c>
      <c r="M2595" s="6" t="s">
        <v>17453</v>
      </c>
      <c r="N2595" s="6" t="s">
        <v>112</v>
      </c>
      <c r="O2595" s="6" t="s">
        <v>178</v>
      </c>
      <c r="P2595" s="10">
        <v>45974.0</v>
      </c>
    </row>
    <row r="2596" ht="22.5" customHeight="1">
      <c r="A2596" s="6" t="s">
        <v>17455</v>
      </c>
      <c r="B2596" s="6" t="s">
        <v>17456</v>
      </c>
      <c r="C2596" s="6" t="s">
        <v>17457</v>
      </c>
      <c r="D2596" s="6" t="s">
        <v>383</v>
      </c>
      <c r="E2596" s="6" t="s">
        <v>210</v>
      </c>
      <c r="F2596" s="8">
        <v>118.0</v>
      </c>
      <c r="G2596" s="9">
        <v>216.89</v>
      </c>
      <c r="H2596" s="9">
        <v>5744.71</v>
      </c>
      <c r="I2596" s="6" t="s">
        <v>178</v>
      </c>
      <c r="J2596" s="6" t="s">
        <v>421</v>
      </c>
      <c r="K2596" s="6" t="s">
        <v>17458</v>
      </c>
      <c r="L2596" s="6" t="s">
        <v>259</v>
      </c>
      <c r="M2596" s="6" t="s">
        <v>17460</v>
      </c>
      <c r="N2596" s="6" t="s">
        <v>176</v>
      </c>
      <c r="O2596" s="6" t="s">
        <v>161</v>
      </c>
      <c r="P2596" s="10">
        <v>45947.0</v>
      </c>
    </row>
    <row r="2597" ht="22.5" customHeight="1">
      <c r="A2597" s="6" t="s">
        <v>17461</v>
      </c>
      <c r="B2597" s="6" t="s">
        <v>17462</v>
      </c>
      <c r="C2597" s="6" t="s">
        <v>17463</v>
      </c>
      <c r="D2597" s="6" t="s">
        <v>145</v>
      </c>
      <c r="E2597" s="6" t="s">
        <v>147</v>
      </c>
      <c r="F2597" s="8">
        <v>6.0</v>
      </c>
      <c r="G2597" s="9">
        <v>1021.21</v>
      </c>
      <c r="H2597" s="9">
        <v>1649.93</v>
      </c>
      <c r="I2597" s="6" t="s">
        <v>161</v>
      </c>
      <c r="J2597" s="6" t="s">
        <v>163</v>
      </c>
      <c r="K2597" s="6" t="s">
        <v>17465</v>
      </c>
      <c r="L2597" s="6">
        <v>2.818134633E10</v>
      </c>
      <c r="M2597" s="6" t="s">
        <v>17466</v>
      </c>
      <c r="N2597" s="6" t="s">
        <v>176</v>
      </c>
      <c r="O2597" s="6" t="s">
        <v>178</v>
      </c>
      <c r="P2597" s="10">
        <v>45975.0</v>
      </c>
    </row>
    <row r="2598" ht="22.5" customHeight="1">
      <c r="A2598" s="6" t="s">
        <v>17468</v>
      </c>
      <c r="B2598" s="6" t="s">
        <v>17469</v>
      </c>
      <c r="C2598" s="6" t="s">
        <v>17470</v>
      </c>
      <c r="D2598" s="6" t="s">
        <v>206</v>
      </c>
      <c r="E2598" s="6" t="s">
        <v>301</v>
      </c>
      <c r="F2598" s="8">
        <v>36.0</v>
      </c>
      <c r="G2598" s="9">
        <v>480.83</v>
      </c>
      <c r="H2598" s="9">
        <v>8588.02</v>
      </c>
      <c r="I2598" s="6" t="s">
        <v>161</v>
      </c>
      <c r="J2598" s="6" t="s">
        <v>479</v>
      </c>
      <c r="K2598" s="6" t="s">
        <v>17472</v>
      </c>
      <c r="L2598" s="6">
        <v>3.808663332E10</v>
      </c>
      <c r="M2598" s="6" t="s">
        <v>17473</v>
      </c>
      <c r="N2598" s="6" t="s">
        <v>112</v>
      </c>
      <c r="O2598" s="6" t="s">
        <v>178</v>
      </c>
      <c r="P2598" s="10">
        <v>45986.0</v>
      </c>
    </row>
    <row r="2599" ht="22.5" customHeight="1">
      <c r="A2599" s="6" t="s">
        <v>17475</v>
      </c>
      <c r="B2599" s="6" t="s">
        <v>17476</v>
      </c>
      <c r="C2599" s="6" t="s">
        <v>17477</v>
      </c>
      <c r="D2599" s="6" t="s">
        <v>145</v>
      </c>
      <c r="E2599" s="6" t="s">
        <v>301</v>
      </c>
      <c r="F2599" s="8">
        <v>41.0</v>
      </c>
      <c r="G2599" s="9">
        <v>458.92</v>
      </c>
      <c r="H2599" s="9">
        <v>948.57</v>
      </c>
      <c r="I2599" s="6" t="s">
        <v>161</v>
      </c>
      <c r="J2599" s="6" t="s">
        <v>465</v>
      </c>
      <c r="K2599" s="6" t="s">
        <v>17478</v>
      </c>
      <c r="L2599" s="6">
        <v>1.229849444E9</v>
      </c>
      <c r="M2599" s="6" t="s">
        <v>17480</v>
      </c>
      <c r="N2599" s="6" t="s">
        <v>176</v>
      </c>
      <c r="O2599" s="6" t="s">
        <v>178</v>
      </c>
      <c r="P2599" s="10">
        <v>45956.0</v>
      </c>
    </row>
    <row r="2600" ht="22.5" customHeight="1">
      <c r="A2600" s="6" t="s">
        <v>17481</v>
      </c>
      <c r="B2600" s="6" t="s">
        <v>17482</v>
      </c>
      <c r="C2600" s="6" t="s">
        <v>17483</v>
      </c>
      <c r="D2600" s="6" t="s">
        <v>145</v>
      </c>
      <c r="E2600" s="6" t="s">
        <v>147</v>
      </c>
      <c r="F2600" s="8">
        <v>27.0</v>
      </c>
      <c r="G2600" s="9">
        <v>148.52</v>
      </c>
      <c r="H2600" s="9">
        <v>5040.83</v>
      </c>
      <c r="I2600" s="6" t="s">
        <v>161</v>
      </c>
      <c r="J2600" s="6" t="s">
        <v>421</v>
      </c>
      <c r="K2600" s="6" t="s">
        <v>17485</v>
      </c>
      <c r="L2600" s="6">
        <v>5.2939209168E10</v>
      </c>
      <c r="M2600" s="6" t="s">
        <v>17486</v>
      </c>
      <c r="N2600" s="6" t="s">
        <v>176</v>
      </c>
      <c r="O2600" s="6" t="s">
        <v>178</v>
      </c>
      <c r="P2600" s="10">
        <v>46010.0</v>
      </c>
    </row>
    <row r="2601" ht="22.5" customHeight="1">
      <c r="A2601" s="6" t="s">
        <v>17487</v>
      </c>
      <c r="B2601" s="6" t="s">
        <v>17488</v>
      </c>
      <c r="C2601" s="6" t="s">
        <v>17489</v>
      </c>
      <c r="D2601" s="6" t="s">
        <v>383</v>
      </c>
      <c r="E2601" s="6" t="s">
        <v>147</v>
      </c>
      <c r="F2601" s="8">
        <v>7.0</v>
      </c>
      <c r="G2601" s="9">
        <v>720.64</v>
      </c>
      <c r="H2601" s="9">
        <v>12618.61</v>
      </c>
      <c r="I2601" s="6" t="s">
        <v>161</v>
      </c>
      <c r="J2601" s="6" t="s">
        <v>393</v>
      </c>
      <c r="K2601" s="6" t="s">
        <v>17491</v>
      </c>
      <c r="L2601" s="6">
        <v>2.9193943634E10</v>
      </c>
      <c r="M2601" s="6" t="s">
        <v>17492</v>
      </c>
      <c r="N2601" s="6" t="s">
        <v>427</v>
      </c>
      <c r="O2601" s="6" t="s">
        <v>178</v>
      </c>
      <c r="P2601" s="10">
        <v>45947.0</v>
      </c>
    </row>
    <row r="2602" ht="22.5" customHeight="1">
      <c r="A2602" s="6" t="s">
        <v>17494</v>
      </c>
      <c r="B2602" s="6" t="s">
        <v>17495</v>
      </c>
      <c r="C2602" s="6" t="s">
        <v>17496</v>
      </c>
      <c r="D2602" s="6" t="s">
        <v>206</v>
      </c>
      <c r="E2602" s="6" t="s">
        <v>147</v>
      </c>
      <c r="F2602" s="8">
        <v>7.0</v>
      </c>
      <c r="G2602" s="9">
        <v>353.23</v>
      </c>
      <c r="H2602" s="9">
        <v>10670.35</v>
      </c>
      <c r="I2602" s="6" t="s">
        <v>161</v>
      </c>
      <c r="J2602" s="6" t="s">
        <v>577</v>
      </c>
      <c r="K2602" s="6" t="s">
        <v>259</v>
      </c>
      <c r="L2602" s="6">
        <v>1.7228636605E10</v>
      </c>
      <c r="M2602" s="6" t="s">
        <v>17498</v>
      </c>
      <c r="N2602" s="6" t="s">
        <v>112</v>
      </c>
      <c r="O2602" s="6" t="s">
        <v>178</v>
      </c>
      <c r="P2602" s="10">
        <v>45985.0</v>
      </c>
    </row>
    <row r="2603" ht="22.5" customHeight="1">
      <c r="A2603" s="6" t="s">
        <v>17499</v>
      </c>
      <c r="B2603" s="6" t="s">
        <v>17500</v>
      </c>
      <c r="C2603" s="6" t="s">
        <v>17502</v>
      </c>
      <c r="D2603" s="6" t="s">
        <v>206</v>
      </c>
      <c r="E2603" s="6" t="s">
        <v>301</v>
      </c>
      <c r="F2603" s="8">
        <v>46.0</v>
      </c>
      <c r="G2603" s="9">
        <v>1451.39</v>
      </c>
      <c r="H2603" s="9">
        <v>9372.52</v>
      </c>
      <c r="I2603" s="6" t="s">
        <v>161</v>
      </c>
      <c r="J2603" s="6" t="s">
        <v>577</v>
      </c>
      <c r="K2603" s="6" t="s">
        <v>17503</v>
      </c>
      <c r="L2603" s="6">
        <v>5.2236260077E10</v>
      </c>
      <c r="M2603" s="6" t="s">
        <v>17504</v>
      </c>
      <c r="N2603" s="6" t="s">
        <v>427</v>
      </c>
      <c r="O2603" s="6" t="s">
        <v>178</v>
      </c>
      <c r="P2603" s="10">
        <v>45948.0</v>
      </c>
    </row>
    <row r="2604" ht="22.5" customHeight="1">
      <c r="A2604" s="6" t="s">
        <v>17506</v>
      </c>
      <c r="B2604" s="6" t="s">
        <v>17507</v>
      </c>
      <c r="C2604" s="6" t="s">
        <v>17508</v>
      </c>
      <c r="D2604" s="6" t="s">
        <v>383</v>
      </c>
      <c r="E2604" s="6" t="s">
        <v>147</v>
      </c>
      <c r="F2604" s="8">
        <v>11.0</v>
      </c>
      <c r="G2604" s="9">
        <v>586.11</v>
      </c>
      <c r="H2604" s="9">
        <v>8441.63</v>
      </c>
      <c r="I2604" s="6" t="s">
        <v>161</v>
      </c>
      <c r="J2604" s="6" t="s">
        <v>442</v>
      </c>
      <c r="K2604" s="6" t="s">
        <v>17510</v>
      </c>
      <c r="L2604" s="6" t="s">
        <v>259</v>
      </c>
      <c r="M2604" s="6" t="s">
        <v>17511</v>
      </c>
      <c r="N2604" s="6" t="s">
        <v>176</v>
      </c>
      <c r="O2604" s="6" t="s">
        <v>178</v>
      </c>
      <c r="P2604" s="10">
        <v>46039.0</v>
      </c>
    </row>
    <row r="2605" ht="22.5" customHeight="1">
      <c r="A2605" s="6" t="s">
        <v>17512</v>
      </c>
      <c r="B2605" s="6" t="s">
        <v>17513</v>
      </c>
      <c r="C2605" s="6" t="s">
        <v>17514</v>
      </c>
      <c r="D2605" s="6" t="s">
        <v>383</v>
      </c>
      <c r="E2605" s="6" t="s">
        <v>210</v>
      </c>
      <c r="F2605" s="8">
        <v>88.0</v>
      </c>
      <c r="G2605" s="9">
        <v>785.05</v>
      </c>
      <c r="H2605" s="9">
        <v>7922.32</v>
      </c>
      <c r="I2605" s="6" t="s">
        <v>178</v>
      </c>
      <c r="J2605" s="6" t="s">
        <v>357</v>
      </c>
      <c r="K2605" s="6" t="s">
        <v>17516</v>
      </c>
      <c r="L2605" s="6">
        <v>7.5639517231E10</v>
      </c>
      <c r="M2605" s="6" t="s">
        <v>17517</v>
      </c>
      <c r="N2605" s="6" t="s">
        <v>112</v>
      </c>
      <c r="O2605" s="6" t="s">
        <v>161</v>
      </c>
      <c r="P2605" s="10">
        <v>46019.0</v>
      </c>
    </row>
    <row r="2606" ht="22.5" customHeight="1">
      <c r="A2606" s="6" t="s">
        <v>17518</v>
      </c>
      <c r="B2606" s="6" t="s">
        <v>17519</v>
      </c>
      <c r="C2606" s="6" t="s">
        <v>17520</v>
      </c>
      <c r="D2606" s="6" t="s">
        <v>145</v>
      </c>
      <c r="E2606" s="6" t="s">
        <v>210</v>
      </c>
      <c r="F2606" s="8">
        <v>107.0</v>
      </c>
      <c r="G2606" s="9">
        <v>604.07</v>
      </c>
      <c r="H2606" s="9">
        <v>6983.88</v>
      </c>
      <c r="I2606" s="6" t="s">
        <v>178</v>
      </c>
      <c r="J2606" s="6" t="s">
        <v>421</v>
      </c>
      <c r="K2606" s="6" t="s">
        <v>17521</v>
      </c>
      <c r="L2606" s="6">
        <v>5.4122577921E10</v>
      </c>
      <c r="M2606" s="6" t="s">
        <v>17522</v>
      </c>
      <c r="N2606" s="6" t="s">
        <v>283</v>
      </c>
      <c r="O2606" s="6" t="s">
        <v>161</v>
      </c>
      <c r="P2606" s="10">
        <v>45987.0</v>
      </c>
    </row>
    <row r="2607" ht="22.5" customHeight="1">
      <c r="A2607" s="6" t="s">
        <v>17524</v>
      </c>
      <c r="B2607" s="6" t="s">
        <v>17525</v>
      </c>
      <c r="C2607" s="6" t="s">
        <v>17526</v>
      </c>
      <c r="D2607" s="6" t="s">
        <v>206</v>
      </c>
      <c r="E2607" s="6" t="s">
        <v>147</v>
      </c>
      <c r="F2607" s="8">
        <v>21.0</v>
      </c>
      <c r="G2607" s="9">
        <v>218.99</v>
      </c>
      <c r="H2607" s="9">
        <v>12894.19</v>
      </c>
      <c r="I2607" s="6" t="s">
        <v>161</v>
      </c>
      <c r="J2607" s="6" t="s">
        <v>393</v>
      </c>
      <c r="K2607" s="6" t="s">
        <v>17527</v>
      </c>
      <c r="L2607" s="6">
        <v>8.3665776664E10</v>
      </c>
      <c r="M2607" s="6" t="s">
        <v>17528</v>
      </c>
      <c r="N2607" s="6" t="s">
        <v>259</v>
      </c>
      <c r="O2607" s="6" t="s">
        <v>178</v>
      </c>
      <c r="P2607" s="10">
        <v>46015.0</v>
      </c>
    </row>
    <row r="2608" ht="22.5" customHeight="1">
      <c r="A2608" s="6" t="s">
        <v>17529</v>
      </c>
      <c r="B2608" s="6" t="s">
        <v>17531</v>
      </c>
      <c r="C2608" s="6" t="s">
        <v>17532</v>
      </c>
      <c r="D2608" s="6" t="s">
        <v>206</v>
      </c>
      <c r="E2608" s="6" t="s">
        <v>301</v>
      </c>
      <c r="F2608" s="8">
        <v>43.0</v>
      </c>
      <c r="G2608" s="9">
        <v>537.64</v>
      </c>
      <c r="H2608" s="9">
        <v>11576.95</v>
      </c>
      <c r="I2608" s="6" t="s">
        <v>161</v>
      </c>
      <c r="J2608" s="6" t="s">
        <v>228</v>
      </c>
      <c r="K2608" s="6" t="s">
        <v>17533</v>
      </c>
      <c r="L2608" s="6">
        <v>3.3263277171E10</v>
      </c>
      <c r="M2608" s="6" t="s">
        <v>17534</v>
      </c>
      <c r="N2608" s="6" t="s">
        <v>283</v>
      </c>
      <c r="O2608" s="6" t="s">
        <v>178</v>
      </c>
      <c r="P2608" s="10">
        <v>45995.0</v>
      </c>
    </row>
    <row r="2609" ht="22.5" customHeight="1">
      <c r="A2609" s="6" t="s">
        <v>17535</v>
      </c>
      <c r="B2609" s="6" t="s">
        <v>17537</v>
      </c>
      <c r="C2609" s="6" t="s">
        <v>17538</v>
      </c>
      <c r="D2609" s="6" t="s">
        <v>145</v>
      </c>
      <c r="E2609" s="6" t="s">
        <v>301</v>
      </c>
      <c r="F2609" s="8">
        <v>36.0</v>
      </c>
      <c r="G2609" s="9">
        <v>776.45</v>
      </c>
      <c r="H2609" s="9">
        <v>10334.72</v>
      </c>
      <c r="I2609" s="6" t="s">
        <v>161</v>
      </c>
      <c r="J2609" s="6" t="s">
        <v>163</v>
      </c>
      <c r="K2609" s="6" t="s">
        <v>17539</v>
      </c>
      <c r="L2609" s="6">
        <v>5.0819941249E10</v>
      </c>
      <c r="M2609" s="6" t="s">
        <v>17540</v>
      </c>
      <c r="N2609" s="6" t="s">
        <v>259</v>
      </c>
      <c r="O2609" s="6" t="s">
        <v>178</v>
      </c>
      <c r="P2609" s="10">
        <v>46038.0</v>
      </c>
    </row>
    <row r="2610" ht="22.5" customHeight="1">
      <c r="A2610" s="6" t="s">
        <v>17541</v>
      </c>
      <c r="B2610" s="6" t="s">
        <v>17542</v>
      </c>
      <c r="C2610" s="6" t="s">
        <v>17543</v>
      </c>
      <c r="D2610" s="6" t="s">
        <v>206</v>
      </c>
      <c r="E2610" s="6" t="s">
        <v>147</v>
      </c>
      <c r="F2610" s="8">
        <v>12.0</v>
      </c>
      <c r="G2610" s="9">
        <v>1341.87</v>
      </c>
      <c r="H2610" s="9">
        <v>11001.9</v>
      </c>
      <c r="I2610" s="6" t="s">
        <v>161</v>
      </c>
      <c r="J2610" s="6" t="s">
        <v>228</v>
      </c>
      <c r="K2610" s="6" t="s">
        <v>17545</v>
      </c>
      <c r="L2610" s="6">
        <v>4.7968956533E10</v>
      </c>
      <c r="M2610" s="6" t="s">
        <v>17546</v>
      </c>
      <c r="N2610" s="6" t="s">
        <v>259</v>
      </c>
      <c r="O2610" s="6" t="s">
        <v>178</v>
      </c>
      <c r="P2610" s="10">
        <v>46014.0</v>
      </c>
    </row>
    <row r="2611" ht="22.5" customHeight="1">
      <c r="A2611" s="6" t="s">
        <v>17547</v>
      </c>
      <c r="B2611" s="6" t="s">
        <v>17548</v>
      </c>
      <c r="C2611" s="6" t="s">
        <v>17549</v>
      </c>
      <c r="D2611" s="6" t="s">
        <v>206</v>
      </c>
      <c r="E2611" s="6" t="s">
        <v>147</v>
      </c>
      <c r="F2611" s="8">
        <v>19.0</v>
      </c>
      <c r="G2611" s="9">
        <v>901.8</v>
      </c>
      <c r="H2611" s="9">
        <v>14148.4</v>
      </c>
      <c r="I2611" s="6" t="s">
        <v>161</v>
      </c>
      <c r="J2611" s="6" t="s">
        <v>259</v>
      </c>
      <c r="K2611" s="6" t="s">
        <v>17551</v>
      </c>
      <c r="L2611" s="6">
        <v>6.0800128625E10</v>
      </c>
      <c r="M2611" s="6" t="s">
        <v>17552</v>
      </c>
      <c r="N2611" s="6" t="s">
        <v>259</v>
      </c>
      <c r="O2611" s="6" t="s">
        <v>178</v>
      </c>
      <c r="P2611" s="10">
        <v>46026.0</v>
      </c>
    </row>
    <row r="2612" ht="22.5" customHeight="1">
      <c r="A2612" s="6" t="s">
        <v>17554</v>
      </c>
      <c r="B2612" s="6" t="s">
        <v>17555</v>
      </c>
      <c r="C2612" s="6" t="s">
        <v>17556</v>
      </c>
      <c r="D2612" s="6" t="s">
        <v>206</v>
      </c>
      <c r="E2612" s="6" t="s">
        <v>147</v>
      </c>
      <c r="F2612" s="8">
        <v>16.0</v>
      </c>
      <c r="G2612" s="9">
        <v>1032.73</v>
      </c>
      <c r="H2612" s="9">
        <v>10055.18</v>
      </c>
      <c r="I2612" s="6" t="s">
        <v>161</v>
      </c>
      <c r="J2612" s="6" t="s">
        <v>421</v>
      </c>
      <c r="K2612" s="6" t="s">
        <v>17557</v>
      </c>
      <c r="L2612" s="6">
        <v>4.1746145419E10</v>
      </c>
      <c r="M2612" s="6" t="s">
        <v>17559</v>
      </c>
      <c r="N2612" s="6" t="s">
        <v>112</v>
      </c>
      <c r="O2612" s="6" t="s">
        <v>178</v>
      </c>
      <c r="P2612" s="10">
        <v>45989.0</v>
      </c>
    </row>
    <row r="2613" ht="22.5" customHeight="1">
      <c r="A2613" s="6" t="s">
        <v>17560</v>
      </c>
      <c r="B2613" s="6" t="s">
        <v>17561</v>
      </c>
      <c r="C2613" s="6" t="s">
        <v>17562</v>
      </c>
      <c r="D2613" s="6" t="s">
        <v>206</v>
      </c>
      <c r="E2613" s="6" t="s">
        <v>301</v>
      </c>
      <c r="F2613" s="8">
        <v>46.0</v>
      </c>
      <c r="G2613" s="9">
        <v>1518.03</v>
      </c>
      <c r="H2613" s="9">
        <v>5922.82</v>
      </c>
      <c r="I2613" s="6" t="s">
        <v>161</v>
      </c>
      <c r="J2613" s="6" t="s">
        <v>479</v>
      </c>
      <c r="K2613" s="6" t="s">
        <v>17564</v>
      </c>
      <c r="L2613" s="6" t="s">
        <v>259</v>
      </c>
      <c r="M2613" s="6" t="s">
        <v>17565</v>
      </c>
      <c r="N2613" s="6" t="s">
        <v>176</v>
      </c>
      <c r="O2613" s="6" t="s">
        <v>178</v>
      </c>
      <c r="P2613" s="10">
        <v>45931.0</v>
      </c>
    </row>
    <row r="2614" ht="22.5" customHeight="1">
      <c r="A2614" s="6" t="s">
        <v>17566</v>
      </c>
      <c r="B2614" s="6" t="s">
        <v>17567</v>
      </c>
      <c r="C2614" s="6" t="s">
        <v>17568</v>
      </c>
      <c r="D2614" s="6" t="s">
        <v>145</v>
      </c>
      <c r="E2614" s="6" t="s">
        <v>210</v>
      </c>
      <c r="F2614" s="8">
        <v>87.0</v>
      </c>
      <c r="G2614" s="9">
        <v>249.53</v>
      </c>
      <c r="H2614" s="9">
        <v>13897.32</v>
      </c>
      <c r="I2614" s="6" t="s">
        <v>178</v>
      </c>
      <c r="J2614" s="6" t="s">
        <v>442</v>
      </c>
      <c r="K2614" s="6" t="s">
        <v>17570</v>
      </c>
      <c r="L2614" s="6" t="s">
        <v>259</v>
      </c>
      <c r="M2614" s="6" t="s">
        <v>17571</v>
      </c>
      <c r="N2614" s="6" t="s">
        <v>259</v>
      </c>
      <c r="O2614" s="6" t="s">
        <v>161</v>
      </c>
      <c r="P2614" s="10">
        <v>45969.0</v>
      </c>
    </row>
    <row r="2615" ht="22.5" customHeight="1">
      <c r="A2615" s="6" t="s">
        <v>17572</v>
      </c>
      <c r="B2615" s="6" t="s">
        <v>17574</v>
      </c>
      <c r="C2615" s="6" t="s">
        <v>17575</v>
      </c>
      <c r="D2615" s="6" t="s">
        <v>145</v>
      </c>
      <c r="E2615" s="6" t="s">
        <v>147</v>
      </c>
      <c r="F2615" s="8">
        <v>29.0</v>
      </c>
      <c r="G2615" s="9">
        <v>933.75</v>
      </c>
      <c r="H2615" s="9">
        <v>4808.26</v>
      </c>
      <c r="I2615" s="6" t="s">
        <v>161</v>
      </c>
      <c r="J2615" s="6" t="s">
        <v>479</v>
      </c>
      <c r="K2615" s="6" t="s">
        <v>17576</v>
      </c>
      <c r="L2615" s="6">
        <v>7.6408469452E10</v>
      </c>
      <c r="M2615" s="6" t="s">
        <v>17577</v>
      </c>
      <c r="N2615" s="6" t="s">
        <v>176</v>
      </c>
      <c r="O2615" s="6" t="s">
        <v>178</v>
      </c>
      <c r="P2615" s="10">
        <v>46049.0</v>
      </c>
    </row>
    <row r="2616" ht="22.5" customHeight="1">
      <c r="A2616" s="6" t="s">
        <v>17579</v>
      </c>
      <c r="B2616" s="6" t="s">
        <v>17580</v>
      </c>
      <c r="C2616" s="6" t="s">
        <v>561</v>
      </c>
      <c r="D2616" s="6" t="s">
        <v>206</v>
      </c>
      <c r="E2616" s="6" t="s">
        <v>301</v>
      </c>
      <c r="F2616" s="8">
        <v>57.0</v>
      </c>
      <c r="G2616" s="9">
        <v>333.44</v>
      </c>
      <c r="H2616" s="9">
        <v>2643.26</v>
      </c>
      <c r="I2616" s="6" t="s">
        <v>161</v>
      </c>
      <c r="J2616" s="6" t="s">
        <v>228</v>
      </c>
      <c r="K2616" s="6" t="s">
        <v>17582</v>
      </c>
      <c r="L2616" s="6">
        <v>8.0200549703E10</v>
      </c>
      <c r="M2616" s="6" t="s">
        <v>17583</v>
      </c>
      <c r="N2616" s="6" t="s">
        <v>112</v>
      </c>
      <c r="O2616" s="6" t="s">
        <v>178</v>
      </c>
      <c r="P2616" s="10">
        <v>46034.0</v>
      </c>
    </row>
    <row r="2617" ht="22.5" customHeight="1">
      <c r="A2617" s="6" t="s">
        <v>17584</v>
      </c>
      <c r="B2617" s="6" t="s">
        <v>17585</v>
      </c>
      <c r="C2617" s="6" t="s">
        <v>17587</v>
      </c>
      <c r="D2617" s="6" t="s">
        <v>145</v>
      </c>
      <c r="E2617" s="6" t="s">
        <v>147</v>
      </c>
      <c r="F2617" s="8">
        <v>23.0</v>
      </c>
      <c r="G2617" s="9">
        <v>1731.27</v>
      </c>
      <c r="H2617" s="9">
        <v>5104.51</v>
      </c>
      <c r="I2617" s="6" t="s">
        <v>161</v>
      </c>
      <c r="J2617" s="6" t="s">
        <v>421</v>
      </c>
      <c r="K2617" s="6" t="s">
        <v>17588</v>
      </c>
      <c r="L2617" s="6" t="s">
        <v>259</v>
      </c>
      <c r="M2617" s="6" t="s">
        <v>17589</v>
      </c>
      <c r="N2617" s="6" t="s">
        <v>176</v>
      </c>
      <c r="O2617" s="6" t="s">
        <v>178</v>
      </c>
      <c r="P2617" s="10">
        <v>45999.0</v>
      </c>
    </row>
    <row r="2618" ht="22.5" customHeight="1">
      <c r="A2618" s="6" t="s">
        <v>17591</v>
      </c>
      <c r="B2618" s="6" t="s">
        <v>17592</v>
      </c>
      <c r="C2618" s="6" t="s">
        <v>17593</v>
      </c>
      <c r="D2618" s="6" t="s">
        <v>145</v>
      </c>
      <c r="E2618" s="6" t="s">
        <v>147</v>
      </c>
      <c r="F2618" s="8">
        <v>7.0</v>
      </c>
      <c r="G2618" s="9">
        <v>131.09</v>
      </c>
      <c r="H2618" s="9">
        <v>5124.62</v>
      </c>
      <c r="I2618" s="6" t="s">
        <v>161</v>
      </c>
      <c r="J2618" s="6" t="s">
        <v>312</v>
      </c>
      <c r="K2618" s="6" t="s">
        <v>17595</v>
      </c>
      <c r="L2618" s="6">
        <v>3.2406954966E10</v>
      </c>
      <c r="M2618" s="6" t="s">
        <v>17596</v>
      </c>
      <c r="N2618" s="6" t="s">
        <v>112</v>
      </c>
      <c r="O2618" s="6" t="s">
        <v>178</v>
      </c>
      <c r="P2618" s="10">
        <v>45955.0</v>
      </c>
    </row>
    <row r="2619" ht="22.5" customHeight="1">
      <c r="A2619" s="6" t="s">
        <v>17597</v>
      </c>
      <c r="B2619" s="6" t="s">
        <v>17599</v>
      </c>
      <c r="C2619" s="6" t="s">
        <v>17600</v>
      </c>
      <c r="D2619" s="6" t="s">
        <v>383</v>
      </c>
      <c r="E2619" s="6" t="s">
        <v>147</v>
      </c>
      <c r="F2619" s="8">
        <v>23.0</v>
      </c>
      <c r="G2619" s="9">
        <v>1572.15</v>
      </c>
      <c r="H2619" s="9">
        <v>4070.1</v>
      </c>
      <c r="I2619" s="6" t="s">
        <v>161</v>
      </c>
      <c r="J2619" s="6" t="s">
        <v>465</v>
      </c>
      <c r="K2619" s="6" t="s">
        <v>17601</v>
      </c>
      <c r="L2619" s="6">
        <v>3.1963089258E10</v>
      </c>
      <c r="M2619" s="6" t="s">
        <v>17603</v>
      </c>
      <c r="N2619" s="6" t="s">
        <v>283</v>
      </c>
      <c r="O2619" s="6" t="s">
        <v>178</v>
      </c>
      <c r="P2619" s="10">
        <v>46031.0</v>
      </c>
    </row>
    <row r="2620" ht="22.5" customHeight="1">
      <c r="A2620" s="6" t="s">
        <v>17604</v>
      </c>
      <c r="B2620" s="6" t="s">
        <v>17605</v>
      </c>
      <c r="C2620" s="6" t="s">
        <v>17606</v>
      </c>
      <c r="D2620" s="6" t="s">
        <v>206</v>
      </c>
      <c r="E2620" s="6" t="s">
        <v>147</v>
      </c>
      <c r="F2620" s="8">
        <v>13.0</v>
      </c>
      <c r="G2620" s="9">
        <v>1636.02</v>
      </c>
      <c r="H2620" s="9">
        <v>6208.98</v>
      </c>
      <c r="I2620" s="6" t="s">
        <v>161</v>
      </c>
      <c r="J2620" s="6" t="s">
        <v>393</v>
      </c>
      <c r="K2620" s="6" t="s">
        <v>17608</v>
      </c>
      <c r="L2620" s="6">
        <v>5.5655179746E10</v>
      </c>
      <c r="M2620" s="6" t="s">
        <v>17610</v>
      </c>
      <c r="N2620" s="6" t="s">
        <v>427</v>
      </c>
      <c r="O2620" s="6" t="s">
        <v>178</v>
      </c>
      <c r="P2620" s="10">
        <v>45966.0</v>
      </c>
    </row>
    <row r="2621" ht="22.5" customHeight="1">
      <c r="A2621" s="6" t="s">
        <v>17611</v>
      </c>
      <c r="B2621" s="6" t="s">
        <v>17612</v>
      </c>
      <c r="C2621" s="6" t="s">
        <v>17613</v>
      </c>
      <c r="D2621" s="6" t="s">
        <v>206</v>
      </c>
      <c r="E2621" s="6" t="s">
        <v>301</v>
      </c>
      <c r="F2621" s="8">
        <v>41.0</v>
      </c>
      <c r="G2621" s="9">
        <v>1758.25</v>
      </c>
      <c r="H2621" s="9">
        <v>15322.09</v>
      </c>
      <c r="I2621" s="6" t="s">
        <v>161</v>
      </c>
      <c r="J2621" s="6" t="s">
        <v>421</v>
      </c>
      <c r="K2621" s="6" t="s">
        <v>17615</v>
      </c>
      <c r="L2621" s="6">
        <v>3.6639152377E10</v>
      </c>
      <c r="M2621" s="6" t="s">
        <v>17616</v>
      </c>
      <c r="N2621" s="6" t="s">
        <v>112</v>
      </c>
      <c r="O2621" s="6" t="s">
        <v>178</v>
      </c>
      <c r="P2621" s="10">
        <v>45940.0</v>
      </c>
    </row>
    <row r="2622" ht="22.5" customHeight="1">
      <c r="A2622" s="6" t="s">
        <v>17617</v>
      </c>
      <c r="B2622" s="6" t="s">
        <v>17619</v>
      </c>
      <c r="C2622" s="6" t="s">
        <v>11286</v>
      </c>
      <c r="D2622" s="6" t="s">
        <v>206</v>
      </c>
      <c r="E2622" s="6" t="s">
        <v>301</v>
      </c>
      <c r="F2622" s="8">
        <v>36.0</v>
      </c>
      <c r="G2622" s="9">
        <v>503.6</v>
      </c>
      <c r="H2622" s="9">
        <v>14391.03</v>
      </c>
      <c r="I2622" s="6" t="s">
        <v>161</v>
      </c>
      <c r="J2622" s="6" t="s">
        <v>163</v>
      </c>
      <c r="K2622" s="6" t="s">
        <v>17620</v>
      </c>
      <c r="L2622" s="6">
        <v>8.4673453478E10</v>
      </c>
      <c r="M2622" s="6" t="s">
        <v>17622</v>
      </c>
      <c r="N2622" s="6" t="s">
        <v>259</v>
      </c>
      <c r="O2622" s="6" t="s">
        <v>178</v>
      </c>
      <c r="P2622" s="10">
        <v>46012.0</v>
      </c>
    </row>
    <row r="2623" ht="22.5" customHeight="1">
      <c r="A2623" s="6" t="s">
        <v>17623</v>
      </c>
      <c r="B2623" s="6" t="s">
        <v>17624</v>
      </c>
      <c r="C2623" s="6" t="s">
        <v>17625</v>
      </c>
      <c r="D2623" s="6" t="s">
        <v>206</v>
      </c>
      <c r="E2623" s="6" t="s">
        <v>301</v>
      </c>
      <c r="F2623" s="8">
        <v>45.0</v>
      </c>
      <c r="G2623" s="9">
        <v>963.13</v>
      </c>
      <c r="H2623" s="9">
        <v>5150.03</v>
      </c>
      <c r="I2623" s="6" t="s">
        <v>161</v>
      </c>
      <c r="J2623" s="6" t="s">
        <v>479</v>
      </c>
      <c r="K2623" s="6" t="s">
        <v>17627</v>
      </c>
      <c r="L2623" s="6">
        <v>9.7474993158E10</v>
      </c>
      <c r="M2623" s="6" t="s">
        <v>17628</v>
      </c>
      <c r="N2623" s="6" t="s">
        <v>259</v>
      </c>
      <c r="O2623" s="6" t="s">
        <v>178</v>
      </c>
      <c r="P2623" s="10">
        <v>46042.0</v>
      </c>
    </row>
    <row r="2624" ht="22.5" customHeight="1">
      <c r="A2624" s="6" t="s">
        <v>17629</v>
      </c>
      <c r="B2624" s="6" t="s">
        <v>17631</v>
      </c>
      <c r="C2624" s="6" t="s">
        <v>17632</v>
      </c>
      <c r="D2624" s="6" t="s">
        <v>145</v>
      </c>
      <c r="E2624" s="6" t="s">
        <v>147</v>
      </c>
      <c r="F2624" s="8">
        <v>5.0</v>
      </c>
      <c r="G2624" s="9">
        <v>1009.23</v>
      </c>
      <c r="H2624" s="9">
        <v>3405.35</v>
      </c>
      <c r="I2624" s="6" t="s">
        <v>161</v>
      </c>
      <c r="J2624" s="6" t="s">
        <v>1584</v>
      </c>
      <c r="K2624" s="6" t="s">
        <v>17633</v>
      </c>
      <c r="L2624" s="6">
        <v>7.9966603856E10</v>
      </c>
      <c r="M2624" s="6" t="s">
        <v>17635</v>
      </c>
      <c r="N2624" s="6" t="s">
        <v>283</v>
      </c>
      <c r="O2624" s="6" t="s">
        <v>178</v>
      </c>
      <c r="P2624" s="10">
        <v>46026.0</v>
      </c>
    </row>
    <row r="2625" ht="22.5" customHeight="1">
      <c r="A2625" s="6" t="s">
        <v>17636</v>
      </c>
      <c r="B2625" s="6" t="s">
        <v>17637</v>
      </c>
      <c r="C2625" s="6" t="s">
        <v>17638</v>
      </c>
      <c r="D2625" s="6" t="s">
        <v>145</v>
      </c>
      <c r="E2625" s="6" t="s">
        <v>301</v>
      </c>
      <c r="F2625" s="8">
        <v>39.0</v>
      </c>
      <c r="G2625" s="9">
        <v>1702.63</v>
      </c>
      <c r="H2625" s="9">
        <v>12069.87</v>
      </c>
      <c r="I2625" s="6" t="s">
        <v>161</v>
      </c>
      <c r="J2625" s="6" t="s">
        <v>442</v>
      </c>
      <c r="K2625" s="6" t="s">
        <v>17640</v>
      </c>
      <c r="L2625" s="6">
        <v>1.4982578754E10</v>
      </c>
      <c r="M2625" s="6" t="s">
        <v>17641</v>
      </c>
      <c r="N2625" s="6" t="s">
        <v>427</v>
      </c>
      <c r="O2625" s="6" t="s">
        <v>178</v>
      </c>
      <c r="P2625" s="10">
        <v>45944.0</v>
      </c>
    </row>
    <row r="2626" ht="22.5" customHeight="1">
      <c r="A2626" s="6" t="s">
        <v>17642</v>
      </c>
      <c r="B2626" s="6" t="s">
        <v>17643</v>
      </c>
      <c r="C2626" s="6" t="s">
        <v>17645</v>
      </c>
      <c r="D2626" s="6" t="s">
        <v>145</v>
      </c>
      <c r="E2626" s="6" t="s">
        <v>147</v>
      </c>
      <c r="F2626" s="8">
        <v>24.0</v>
      </c>
      <c r="G2626" s="9">
        <v>122.3</v>
      </c>
      <c r="H2626" s="9">
        <v>12685.76</v>
      </c>
      <c r="I2626" s="6" t="s">
        <v>161</v>
      </c>
      <c r="J2626" s="6" t="s">
        <v>393</v>
      </c>
      <c r="K2626" s="6" t="s">
        <v>17646</v>
      </c>
      <c r="L2626" s="6">
        <v>5.4214729328E10</v>
      </c>
      <c r="M2626" s="6" t="s">
        <v>17647</v>
      </c>
      <c r="N2626" s="6" t="s">
        <v>176</v>
      </c>
      <c r="O2626" s="6" t="s">
        <v>178</v>
      </c>
      <c r="P2626" s="10">
        <v>45974.0</v>
      </c>
    </row>
    <row r="2627" ht="22.5" customHeight="1">
      <c r="A2627" s="6" t="s">
        <v>17649</v>
      </c>
      <c r="B2627" s="6" t="s">
        <v>17650</v>
      </c>
      <c r="C2627" s="6" t="s">
        <v>17651</v>
      </c>
      <c r="D2627" s="6" t="s">
        <v>145</v>
      </c>
      <c r="E2627" s="6" t="s">
        <v>147</v>
      </c>
      <c r="F2627" s="8">
        <v>7.0</v>
      </c>
      <c r="G2627" s="9">
        <v>260.2</v>
      </c>
      <c r="H2627" s="9">
        <v>12776.5</v>
      </c>
      <c r="I2627" s="6" t="s">
        <v>161</v>
      </c>
      <c r="J2627" s="6" t="s">
        <v>479</v>
      </c>
      <c r="K2627" s="6" t="s">
        <v>17653</v>
      </c>
      <c r="L2627" s="6">
        <v>2.9963024228E10</v>
      </c>
      <c r="M2627" s="6" t="s">
        <v>17654</v>
      </c>
      <c r="N2627" s="6" t="s">
        <v>112</v>
      </c>
      <c r="O2627" s="6" t="s">
        <v>178</v>
      </c>
      <c r="P2627" s="10">
        <v>46044.0</v>
      </c>
    </row>
    <row r="2628" ht="22.5" customHeight="1">
      <c r="A2628" s="6" t="s">
        <v>17655</v>
      </c>
      <c r="B2628" s="6" t="s">
        <v>17657</v>
      </c>
      <c r="C2628" s="6" t="s">
        <v>17658</v>
      </c>
      <c r="D2628" s="6" t="s">
        <v>206</v>
      </c>
      <c r="E2628" s="6" t="s">
        <v>147</v>
      </c>
      <c r="F2628" s="8">
        <v>25.0</v>
      </c>
      <c r="G2628" s="9">
        <v>1305.13</v>
      </c>
      <c r="H2628" s="9">
        <v>12659.19</v>
      </c>
      <c r="I2628" s="6" t="s">
        <v>161</v>
      </c>
      <c r="J2628" s="6" t="s">
        <v>228</v>
      </c>
      <c r="K2628" s="6" t="s">
        <v>17659</v>
      </c>
      <c r="L2628" s="6">
        <v>9.9706235147E10</v>
      </c>
      <c r="M2628" s="6" t="s">
        <v>17661</v>
      </c>
      <c r="N2628" s="6" t="s">
        <v>427</v>
      </c>
      <c r="O2628" s="6" t="s">
        <v>178</v>
      </c>
      <c r="P2628" s="10">
        <v>45934.0</v>
      </c>
    </row>
    <row r="2629" ht="22.5" customHeight="1">
      <c r="A2629" s="6" t="s">
        <v>17662</v>
      </c>
      <c r="B2629" s="6" t="s">
        <v>17663</v>
      </c>
      <c r="C2629" s="6" t="s">
        <v>17664</v>
      </c>
      <c r="D2629" s="6" t="s">
        <v>206</v>
      </c>
      <c r="E2629" s="6" t="s">
        <v>147</v>
      </c>
      <c r="F2629" s="8">
        <v>10.0</v>
      </c>
      <c r="G2629" s="9">
        <v>492.01</v>
      </c>
      <c r="H2629" s="9">
        <v>2298.78</v>
      </c>
      <c r="I2629" s="6" t="s">
        <v>161</v>
      </c>
      <c r="J2629" s="6" t="s">
        <v>393</v>
      </c>
      <c r="K2629" s="6" t="s">
        <v>17665</v>
      </c>
      <c r="L2629" s="6" t="s">
        <v>259</v>
      </c>
      <c r="M2629" s="6" t="s">
        <v>17667</v>
      </c>
      <c r="N2629" s="6" t="s">
        <v>283</v>
      </c>
      <c r="O2629" s="6" t="s">
        <v>178</v>
      </c>
      <c r="P2629" s="10">
        <v>45933.0</v>
      </c>
    </row>
    <row r="2630" ht="22.5" customHeight="1">
      <c r="A2630" s="6" t="s">
        <v>17668</v>
      </c>
      <c r="B2630" s="6" t="s">
        <v>17669</v>
      </c>
      <c r="C2630" s="6" t="s">
        <v>17670</v>
      </c>
      <c r="D2630" s="6" t="s">
        <v>145</v>
      </c>
      <c r="E2630" s="6" t="s">
        <v>147</v>
      </c>
      <c r="F2630" s="8">
        <v>22.0</v>
      </c>
      <c r="G2630" s="9">
        <v>524.23</v>
      </c>
      <c r="H2630" s="9">
        <v>14051.56</v>
      </c>
      <c r="I2630" s="6" t="s">
        <v>161</v>
      </c>
      <c r="J2630" s="6" t="s">
        <v>421</v>
      </c>
      <c r="K2630" s="6" t="s">
        <v>17672</v>
      </c>
      <c r="L2630" s="6">
        <v>2.0920395379E10</v>
      </c>
      <c r="M2630" s="6" t="s">
        <v>17673</v>
      </c>
      <c r="N2630" s="6" t="s">
        <v>283</v>
      </c>
      <c r="O2630" s="6" t="s">
        <v>178</v>
      </c>
      <c r="P2630" s="10">
        <v>45954.0</v>
      </c>
    </row>
    <row r="2631" ht="22.5" customHeight="1">
      <c r="A2631" s="6" t="s">
        <v>17675</v>
      </c>
      <c r="B2631" s="6" t="s">
        <v>17676</v>
      </c>
      <c r="C2631" s="6" t="s">
        <v>17677</v>
      </c>
      <c r="D2631" s="6" t="s">
        <v>383</v>
      </c>
      <c r="E2631" s="6" t="s">
        <v>147</v>
      </c>
      <c r="F2631" s="8">
        <v>7.0</v>
      </c>
      <c r="G2631" s="9">
        <v>765.54</v>
      </c>
      <c r="H2631" s="9">
        <v>11543.26</v>
      </c>
      <c r="I2631" s="6" t="s">
        <v>161</v>
      </c>
      <c r="J2631" s="6" t="s">
        <v>163</v>
      </c>
      <c r="K2631" s="6" t="s">
        <v>17679</v>
      </c>
      <c r="L2631" s="6">
        <v>2.9890662904E10</v>
      </c>
      <c r="M2631" s="6" t="s">
        <v>17680</v>
      </c>
      <c r="N2631" s="6" t="s">
        <v>112</v>
      </c>
      <c r="O2631" s="6" t="s">
        <v>178</v>
      </c>
      <c r="P2631" s="10">
        <v>45941.0</v>
      </c>
    </row>
    <row r="2632" ht="22.5" customHeight="1">
      <c r="A2632" s="6" t="s">
        <v>17682</v>
      </c>
      <c r="B2632" s="6" t="s">
        <v>17683</v>
      </c>
      <c r="C2632" s="6" t="s">
        <v>17684</v>
      </c>
      <c r="D2632" s="6" t="s">
        <v>206</v>
      </c>
      <c r="E2632" s="6" t="s">
        <v>210</v>
      </c>
      <c r="F2632" s="8">
        <v>100.0</v>
      </c>
      <c r="G2632" s="9">
        <v>653.75</v>
      </c>
      <c r="H2632" s="9">
        <v>7097.14</v>
      </c>
      <c r="I2632" s="6" t="s">
        <v>161</v>
      </c>
      <c r="J2632" s="6" t="s">
        <v>465</v>
      </c>
      <c r="K2632" s="6" t="s">
        <v>17686</v>
      </c>
      <c r="L2632" s="6">
        <v>1.6150616045E10</v>
      </c>
      <c r="M2632" s="6" t="s">
        <v>17687</v>
      </c>
      <c r="N2632" s="6" t="s">
        <v>283</v>
      </c>
      <c r="O2632" s="6" t="s">
        <v>161</v>
      </c>
      <c r="P2632" s="10">
        <v>45984.0</v>
      </c>
    </row>
    <row r="2633" ht="22.5" customHeight="1">
      <c r="A2633" s="6" t="s">
        <v>17689</v>
      </c>
      <c r="B2633" s="6" t="s">
        <v>17690</v>
      </c>
      <c r="C2633" s="6" t="s">
        <v>17691</v>
      </c>
      <c r="D2633" s="6" t="s">
        <v>206</v>
      </c>
      <c r="E2633" s="6" t="s">
        <v>301</v>
      </c>
      <c r="F2633" s="8">
        <v>30.0</v>
      </c>
      <c r="G2633" s="9">
        <v>1527.09</v>
      </c>
      <c r="H2633" s="9">
        <v>2726.26</v>
      </c>
      <c r="I2633" s="6" t="s">
        <v>161</v>
      </c>
      <c r="J2633" s="6" t="s">
        <v>312</v>
      </c>
      <c r="K2633" s="6" t="s">
        <v>17693</v>
      </c>
      <c r="L2633" s="6">
        <v>4.1187363803E10</v>
      </c>
      <c r="M2633" s="6" t="s">
        <v>17694</v>
      </c>
      <c r="N2633" s="6" t="s">
        <v>283</v>
      </c>
      <c r="O2633" s="6" t="s">
        <v>178</v>
      </c>
      <c r="P2633" s="10">
        <v>45980.0</v>
      </c>
    </row>
    <row r="2634" ht="22.5" customHeight="1">
      <c r="A2634" s="6" t="s">
        <v>17695</v>
      </c>
      <c r="B2634" s="6" t="s">
        <v>17697</v>
      </c>
      <c r="C2634" s="6" t="s">
        <v>17698</v>
      </c>
      <c r="D2634" s="6" t="s">
        <v>206</v>
      </c>
      <c r="E2634" s="6" t="s">
        <v>301</v>
      </c>
      <c r="F2634" s="8">
        <v>37.0</v>
      </c>
      <c r="G2634" s="9">
        <v>438.62</v>
      </c>
      <c r="H2634" s="9">
        <v>13033.13</v>
      </c>
      <c r="I2634" s="6" t="s">
        <v>161</v>
      </c>
      <c r="J2634" s="6" t="s">
        <v>163</v>
      </c>
      <c r="K2634" s="6" t="s">
        <v>259</v>
      </c>
      <c r="L2634" s="6">
        <v>6.6161930539E10</v>
      </c>
      <c r="M2634" s="6" t="s">
        <v>17699</v>
      </c>
      <c r="N2634" s="6" t="s">
        <v>259</v>
      </c>
      <c r="O2634" s="6" t="s">
        <v>178</v>
      </c>
      <c r="P2634" s="10">
        <v>45939.0</v>
      </c>
    </row>
    <row r="2635" ht="22.5" customHeight="1">
      <c r="A2635" s="6" t="s">
        <v>17701</v>
      </c>
      <c r="B2635" s="6" t="s">
        <v>17702</v>
      </c>
      <c r="C2635" s="6" t="s">
        <v>17703</v>
      </c>
      <c r="D2635" s="6" t="s">
        <v>206</v>
      </c>
      <c r="E2635" s="6" t="s">
        <v>301</v>
      </c>
      <c r="F2635" s="8">
        <v>57.0</v>
      </c>
      <c r="G2635" s="9">
        <v>473.99</v>
      </c>
      <c r="H2635" s="9">
        <v>7627.95</v>
      </c>
      <c r="I2635" s="6" t="s">
        <v>161</v>
      </c>
      <c r="J2635" s="6" t="s">
        <v>163</v>
      </c>
      <c r="K2635" s="6" t="s">
        <v>17705</v>
      </c>
      <c r="L2635" s="6">
        <v>1.7877928267E10</v>
      </c>
      <c r="M2635" s="6" t="s">
        <v>17706</v>
      </c>
      <c r="N2635" s="6" t="s">
        <v>259</v>
      </c>
      <c r="O2635" s="6" t="s">
        <v>178</v>
      </c>
      <c r="P2635" s="10">
        <v>46041.0</v>
      </c>
    </row>
    <row r="2636" ht="22.5" customHeight="1">
      <c r="A2636" s="6" t="s">
        <v>17707</v>
      </c>
      <c r="B2636" s="6" t="s">
        <v>17708</v>
      </c>
      <c r="C2636" s="6" t="s">
        <v>17709</v>
      </c>
      <c r="D2636" s="6" t="s">
        <v>145</v>
      </c>
      <c r="E2636" s="6" t="s">
        <v>301</v>
      </c>
      <c r="F2636" s="8">
        <v>44.0</v>
      </c>
      <c r="G2636" s="9">
        <v>655.66</v>
      </c>
      <c r="H2636" s="9">
        <v>11772.74</v>
      </c>
      <c r="I2636" s="6" t="s">
        <v>178</v>
      </c>
      <c r="J2636" s="6" t="s">
        <v>393</v>
      </c>
      <c r="K2636" s="6" t="s">
        <v>17711</v>
      </c>
      <c r="L2636" s="6">
        <v>9.5012064807E10</v>
      </c>
      <c r="M2636" s="6" t="s">
        <v>17712</v>
      </c>
      <c r="N2636" s="6" t="s">
        <v>283</v>
      </c>
      <c r="O2636" s="6" t="s">
        <v>161</v>
      </c>
      <c r="P2636" s="10">
        <v>45999.0</v>
      </c>
    </row>
    <row r="2637" ht="22.5" customHeight="1">
      <c r="A2637" s="6" t="s">
        <v>17714</v>
      </c>
      <c r="B2637" s="6" t="s">
        <v>17715</v>
      </c>
      <c r="C2637" s="6" t="s">
        <v>17716</v>
      </c>
      <c r="D2637" s="6" t="s">
        <v>206</v>
      </c>
      <c r="E2637" s="6" t="s">
        <v>147</v>
      </c>
      <c r="F2637" s="8">
        <v>8.0</v>
      </c>
      <c r="G2637" s="9">
        <v>1780.17</v>
      </c>
      <c r="H2637" s="9">
        <v>8094.44</v>
      </c>
      <c r="I2637" s="6" t="s">
        <v>161</v>
      </c>
      <c r="J2637" s="6" t="s">
        <v>228</v>
      </c>
      <c r="K2637" s="6" t="s">
        <v>17717</v>
      </c>
      <c r="L2637" s="6">
        <v>9.9917042683E10</v>
      </c>
      <c r="M2637" s="6" t="s">
        <v>17719</v>
      </c>
      <c r="N2637" s="6" t="s">
        <v>259</v>
      </c>
      <c r="O2637" s="6" t="s">
        <v>178</v>
      </c>
      <c r="P2637" s="10">
        <v>45936.0</v>
      </c>
    </row>
    <row r="2638" ht="22.5" customHeight="1">
      <c r="A2638" s="6" t="s">
        <v>17720</v>
      </c>
      <c r="B2638" s="6" t="s">
        <v>17721</v>
      </c>
      <c r="C2638" s="6" t="s">
        <v>17722</v>
      </c>
      <c r="D2638" s="6" t="s">
        <v>206</v>
      </c>
      <c r="E2638" s="6" t="s">
        <v>147</v>
      </c>
      <c r="F2638" s="8">
        <v>13.0</v>
      </c>
      <c r="G2638" s="9">
        <v>1052.0</v>
      </c>
      <c r="H2638" s="9">
        <v>10341.17</v>
      </c>
      <c r="I2638" s="6" t="s">
        <v>161</v>
      </c>
      <c r="J2638" s="6" t="s">
        <v>442</v>
      </c>
      <c r="K2638" s="6" t="s">
        <v>17724</v>
      </c>
      <c r="L2638" s="6">
        <v>7.952367873E9</v>
      </c>
      <c r="M2638" s="6" t="s">
        <v>17725</v>
      </c>
      <c r="N2638" s="6" t="s">
        <v>112</v>
      </c>
      <c r="O2638" s="6" t="s">
        <v>178</v>
      </c>
      <c r="P2638" s="10">
        <v>46013.0</v>
      </c>
    </row>
    <row r="2639" ht="22.5" customHeight="1">
      <c r="A2639" s="6" t="s">
        <v>17727</v>
      </c>
      <c r="B2639" s="6" t="s">
        <v>17728</v>
      </c>
      <c r="C2639" s="6" t="s">
        <v>17729</v>
      </c>
      <c r="D2639" s="6" t="s">
        <v>206</v>
      </c>
      <c r="E2639" s="6" t="s">
        <v>147</v>
      </c>
      <c r="F2639" s="8">
        <v>12.0</v>
      </c>
      <c r="G2639" s="9">
        <v>1023.83</v>
      </c>
      <c r="H2639" s="9">
        <v>10230.22</v>
      </c>
      <c r="I2639" s="6" t="s">
        <v>161</v>
      </c>
      <c r="J2639" s="6" t="s">
        <v>577</v>
      </c>
      <c r="K2639" s="6" t="s">
        <v>17730</v>
      </c>
      <c r="L2639" s="6" t="s">
        <v>259</v>
      </c>
      <c r="M2639" s="6" t="s">
        <v>17732</v>
      </c>
      <c r="N2639" s="6" t="s">
        <v>283</v>
      </c>
      <c r="O2639" s="6" t="s">
        <v>178</v>
      </c>
      <c r="P2639" s="10">
        <v>45960.0</v>
      </c>
    </row>
    <row r="2640" ht="22.5" customHeight="1">
      <c r="A2640" s="6" t="s">
        <v>17733</v>
      </c>
      <c r="B2640" s="6" t="s">
        <v>17734</v>
      </c>
      <c r="C2640" s="6" t="s">
        <v>17735</v>
      </c>
      <c r="D2640" s="6" t="s">
        <v>383</v>
      </c>
      <c r="E2640" s="6" t="s">
        <v>210</v>
      </c>
      <c r="F2640" s="8">
        <v>112.0</v>
      </c>
      <c r="G2640" s="9">
        <v>182.24</v>
      </c>
      <c r="H2640" s="9">
        <v>4037.33</v>
      </c>
      <c r="I2640" s="6" t="s">
        <v>161</v>
      </c>
      <c r="J2640" s="6" t="s">
        <v>442</v>
      </c>
      <c r="K2640" s="6" t="s">
        <v>17737</v>
      </c>
      <c r="L2640" s="6">
        <v>3.1355243877E10</v>
      </c>
      <c r="M2640" s="6" t="s">
        <v>17738</v>
      </c>
      <c r="N2640" s="6" t="s">
        <v>259</v>
      </c>
      <c r="O2640" s="6" t="s">
        <v>161</v>
      </c>
      <c r="P2640" s="10">
        <v>45933.0</v>
      </c>
    </row>
    <row r="2641" ht="22.5" customHeight="1">
      <c r="A2641" s="6" t="s">
        <v>17740</v>
      </c>
      <c r="B2641" s="6" t="s">
        <v>17741</v>
      </c>
      <c r="C2641" s="6" t="s">
        <v>17742</v>
      </c>
      <c r="D2641" s="6" t="s">
        <v>206</v>
      </c>
      <c r="E2641" s="6" t="s">
        <v>147</v>
      </c>
      <c r="F2641" s="8">
        <v>19.0</v>
      </c>
      <c r="G2641" s="9">
        <v>1522.67</v>
      </c>
      <c r="H2641" s="9">
        <v>6025.92</v>
      </c>
      <c r="I2641" s="6" t="s">
        <v>161</v>
      </c>
      <c r="J2641" s="6" t="s">
        <v>465</v>
      </c>
      <c r="K2641" s="6" t="s">
        <v>17743</v>
      </c>
      <c r="L2641" s="6">
        <v>8.3905113717E10</v>
      </c>
      <c r="M2641" s="6" t="s">
        <v>17744</v>
      </c>
      <c r="N2641" s="6" t="s">
        <v>283</v>
      </c>
      <c r="O2641" s="6" t="s">
        <v>178</v>
      </c>
      <c r="P2641" s="10">
        <v>46043.0</v>
      </c>
    </row>
    <row r="2642" ht="22.5" customHeight="1">
      <c r="A2642" s="6" t="s">
        <v>17746</v>
      </c>
      <c r="B2642" s="6" t="s">
        <v>17747</v>
      </c>
      <c r="C2642" s="6" t="s">
        <v>17748</v>
      </c>
      <c r="D2642" s="6" t="s">
        <v>145</v>
      </c>
      <c r="E2642" s="6" t="s">
        <v>147</v>
      </c>
      <c r="F2642" s="8">
        <v>11.0</v>
      </c>
      <c r="G2642" s="9">
        <v>422.01</v>
      </c>
      <c r="H2642" s="9">
        <v>6520.86</v>
      </c>
      <c r="I2642" s="6" t="s">
        <v>161</v>
      </c>
      <c r="J2642" s="6" t="s">
        <v>163</v>
      </c>
      <c r="K2642" s="6" t="s">
        <v>17749</v>
      </c>
      <c r="L2642" s="6">
        <v>7.1261408563E10</v>
      </c>
      <c r="M2642" s="6" t="s">
        <v>17751</v>
      </c>
      <c r="N2642" s="6" t="s">
        <v>283</v>
      </c>
      <c r="O2642" s="6" t="s">
        <v>178</v>
      </c>
      <c r="P2642" s="10">
        <v>45978.0</v>
      </c>
    </row>
    <row r="2643" ht="22.5" customHeight="1">
      <c r="A2643" s="6" t="s">
        <v>17752</v>
      </c>
      <c r="B2643" s="6" t="s">
        <v>17753</v>
      </c>
      <c r="C2643" s="6" t="s">
        <v>17754</v>
      </c>
      <c r="D2643" s="6" t="s">
        <v>383</v>
      </c>
      <c r="E2643" s="6" t="s">
        <v>147</v>
      </c>
      <c r="F2643" s="8">
        <v>8.0</v>
      </c>
      <c r="G2643" s="9">
        <v>1404.82</v>
      </c>
      <c r="H2643" s="9">
        <v>3041.63</v>
      </c>
      <c r="I2643" s="6" t="s">
        <v>161</v>
      </c>
      <c r="J2643" s="6" t="s">
        <v>465</v>
      </c>
      <c r="K2643" s="6" t="s">
        <v>17756</v>
      </c>
      <c r="L2643" s="6">
        <v>7.3202804564E10</v>
      </c>
      <c r="M2643" s="6" t="s">
        <v>17757</v>
      </c>
      <c r="N2643" s="6" t="s">
        <v>112</v>
      </c>
      <c r="O2643" s="6" t="s">
        <v>178</v>
      </c>
      <c r="P2643" s="10">
        <v>45962.0</v>
      </c>
    </row>
    <row r="2644" ht="22.5" customHeight="1">
      <c r="A2644" s="6" t="s">
        <v>17759</v>
      </c>
      <c r="B2644" s="6" t="s">
        <v>17760</v>
      </c>
      <c r="C2644" s="6" t="s">
        <v>17761</v>
      </c>
      <c r="D2644" s="6" t="s">
        <v>145</v>
      </c>
      <c r="E2644" s="6" t="s">
        <v>147</v>
      </c>
      <c r="F2644" s="8">
        <v>15.0</v>
      </c>
      <c r="G2644" s="9">
        <v>303.71</v>
      </c>
      <c r="H2644" s="9">
        <v>11479.05</v>
      </c>
      <c r="I2644" s="6" t="s">
        <v>161</v>
      </c>
      <c r="J2644" s="6" t="s">
        <v>357</v>
      </c>
      <c r="K2644" s="6" t="s">
        <v>17762</v>
      </c>
      <c r="L2644" s="6">
        <v>5.86173241E10</v>
      </c>
      <c r="M2644" s="6" t="s">
        <v>17764</v>
      </c>
      <c r="N2644" s="6" t="s">
        <v>112</v>
      </c>
      <c r="O2644" s="6" t="s">
        <v>178</v>
      </c>
      <c r="P2644" s="10">
        <v>45956.0</v>
      </c>
    </row>
    <row r="2645" ht="22.5" customHeight="1">
      <c r="A2645" s="6" t="s">
        <v>17765</v>
      </c>
      <c r="B2645" s="6" t="s">
        <v>17766</v>
      </c>
      <c r="C2645" s="6" t="s">
        <v>17767</v>
      </c>
      <c r="D2645" s="6" t="s">
        <v>206</v>
      </c>
      <c r="E2645" s="6" t="s">
        <v>301</v>
      </c>
      <c r="F2645" s="8">
        <v>47.0</v>
      </c>
      <c r="G2645" s="9">
        <v>951.37</v>
      </c>
      <c r="H2645" s="9">
        <v>1851.53</v>
      </c>
      <c r="I2645" s="6" t="s">
        <v>161</v>
      </c>
      <c r="J2645" s="6" t="s">
        <v>421</v>
      </c>
      <c r="K2645" s="6" t="s">
        <v>17769</v>
      </c>
      <c r="L2645" s="6" t="s">
        <v>259</v>
      </c>
      <c r="M2645" s="6" t="s">
        <v>17770</v>
      </c>
      <c r="N2645" s="6" t="s">
        <v>176</v>
      </c>
      <c r="O2645" s="6" t="s">
        <v>178</v>
      </c>
      <c r="P2645" s="10">
        <v>45988.0</v>
      </c>
    </row>
    <row r="2646" ht="22.5" customHeight="1">
      <c r="A2646" s="6" t="s">
        <v>17771</v>
      </c>
      <c r="B2646" s="6" t="s">
        <v>17772</v>
      </c>
      <c r="C2646" s="6" t="s">
        <v>17773</v>
      </c>
      <c r="D2646" s="6" t="s">
        <v>145</v>
      </c>
      <c r="E2646" s="6" t="s">
        <v>301</v>
      </c>
      <c r="F2646" s="8">
        <v>39.0</v>
      </c>
      <c r="G2646" s="9">
        <v>158.22</v>
      </c>
      <c r="H2646" s="9">
        <v>8918.17</v>
      </c>
      <c r="I2646" s="6" t="s">
        <v>161</v>
      </c>
      <c r="J2646" s="6" t="s">
        <v>595</v>
      </c>
      <c r="K2646" s="6" t="s">
        <v>17775</v>
      </c>
      <c r="L2646" s="6">
        <v>4.8285149412E10</v>
      </c>
      <c r="M2646" s="6" t="s">
        <v>17776</v>
      </c>
      <c r="N2646" s="6" t="s">
        <v>176</v>
      </c>
      <c r="O2646" s="6" t="s">
        <v>178</v>
      </c>
      <c r="P2646" s="10">
        <v>46005.0</v>
      </c>
    </row>
    <row r="2647" ht="22.5" customHeight="1">
      <c r="A2647" s="6" t="s">
        <v>17778</v>
      </c>
      <c r="B2647" s="6" t="s">
        <v>17779</v>
      </c>
      <c r="C2647" s="6" t="s">
        <v>17780</v>
      </c>
      <c r="D2647" s="6" t="s">
        <v>145</v>
      </c>
      <c r="E2647" s="6" t="s">
        <v>301</v>
      </c>
      <c r="F2647" s="8">
        <v>45.0</v>
      </c>
      <c r="G2647" s="9">
        <v>571.12</v>
      </c>
      <c r="H2647" s="9">
        <v>2395.6</v>
      </c>
      <c r="I2647" s="6" t="s">
        <v>161</v>
      </c>
      <c r="J2647" s="6" t="s">
        <v>393</v>
      </c>
      <c r="K2647" s="6" t="s">
        <v>17782</v>
      </c>
      <c r="L2647" s="6">
        <v>4.4118408049E10</v>
      </c>
      <c r="M2647" s="6" t="s">
        <v>17783</v>
      </c>
      <c r="N2647" s="6" t="s">
        <v>112</v>
      </c>
      <c r="O2647" s="6" t="s">
        <v>178</v>
      </c>
      <c r="P2647" s="10">
        <v>45947.0</v>
      </c>
    </row>
    <row r="2648" ht="22.5" customHeight="1">
      <c r="A2648" s="6" t="s">
        <v>17785</v>
      </c>
      <c r="B2648" s="6" t="s">
        <v>17786</v>
      </c>
      <c r="C2648" s="6" t="s">
        <v>17787</v>
      </c>
      <c r="D2648" s="6" t="s">
        <v>383</v>
      </c>
      <c r="E2648" s="6" t="s">
        <v>210</v>
      </c>
      <c r="F2648" s="8">
        <v>106.0</v>
      </c>
      <c r="G2648" s="9">
        <v>322.39</v>
      </c>
      <c r="H2648" s="9">
        <v>13614.36</v>
      </c>
      <c r="I2648" s="6" t="s">
        <v>161</v>
      </c>
      <c r="J2648" s="6" t="s">
        <v>442</v>
      </c>
      <c r="K2648" s="6" t="s">
        <v>17790</v>
      </c>
      <c r="L2648" s="6">
        <v>3.1550527142E10</v>
      </c>
      <c r="M2648" s="6" t="s">
        <v>17791</v>
      </c>
      <c r="N2648" s="6" t="s">
        <v>427</v>
      </c>
      <c r="O2648" s="6" t="s">
        <v>161</v>
      </c>
      <c r="P2648" s="10">
        <v>46042.0</v>
      </c>
    </row>
    <row r="2649" ht="22.5" customHeight="1">
      <c r="A2649" s="6" t="s">
        <v>17792</v>
      </c>
      <c r="B2649" s="6" t="s">
        <v>17793</v>
      </c>
      <c r="C2649" s="6" t="s">
        <v>17794</v>
      </c>
      <c r="D2649" s="6" t="s">
        <v>206</v>
      </c>
      <c r="E2649" s="6" t="s">
        <v>147</v>
      </c>
      <c r="F2649" s="8">
        <v>18.0</v>
      </c>
      <c r="G2649" s="9">
        <v>1668.55</v>
      </c>
      <c r="H2649" s="9">
        <v>6785.61</v>
      </c>
      <c r="I2649" s="6" t="s">
        <v>161</v>
      </c>
      <c r="J2649" s="6" t="s">
        <v>442</v>
      </c>
      <c r="K2649" s="6" t="s">
        <v>17796</v>
      </c>
      <c r="L2649" s="6">
        <v>3.9983564824E10</v>
      </c>
      <c r="M2649" s="6" t="s">
        <v>17797</v>
      </c>
      <c r="N2649" s="6" t="s">
        <v>283</v>
      </c>
      <c r="O2649" s="6" t="s">
        <v>178</v>
      </c>
      <c r="P2649" s="10">
        <v>45994.0</v>
      </c>
    </row>
    <row r="2650" ht="22.5" customHeight="1">
      <c r="A2650" s="6" t="s">
        <v>17799</v>
      </c>
      <c r="B2650" s="6" t="s">
        <v>17800</v>
      </c>
      <c r="C2650" s="6" t="s">
        <v>17801</v>
      </c>
      <c r="D2650" s="6" t="s">
        <v>145</v>
      </c>
      <c r="E2650" s="6" t="s">
        <v>147</v>
      </c>
      <c r="F2650" s="8">
        <v>27.0</v>
      </c>
      <c r="G2650" s="9">
        <v>796.26</v>
      </c>
      <c r="H2650" s="9">
        <v>6169.04</v>
      </c>
      <c r="I2650" s="6" t="s">
        <v>161</v>
      </c>
      <c r="J2650" s="6" t="s">
        <v>479</v>
      </c>
      <c r="K2650" s="6" t="s">
        <v>17803</v>
      </c>
      <c r="L2650" s="6">
        <v>8.5955444727E10</v>
      </c>
      <c r="M2650" s="6" t="s">
        <v>17804</v>
      </c>
      <c r="N2650" s="6" t="s">
        <v>112</v>
      </c>
      <c r="O2650" s="6" t="s">
        <v>178</v>
      </c>
      <c r="P2650" s="10">
        <v>45957.0</v>
      </c>
    </row>
    <row r="2651" ht="22.5" customHeight="1">
      <c r="A2651" s="6" t="s">
        <v>17805</v>
      </c>
      <c r="B2651" s="6" t="s">
        <v>17806</v>
      </c>
      <c r="C2651" s="6" t="s">
        <v>17807</v>
      </c>
      <c r="D2651" s="6" t="s">
        <v>206</v>
      </c>
      <c r="E2651" s="6" t="s">
        <v>147</v>
      </c>
      <c r="F2651" s="8">
        <v>6.0</v>
      </c>
      <c r="G2651" s="9">
        <v>1564.33</v>
      </c>
      <c r="H2651" s="9">
        <v>2020.91</v>
      </c>
      <c r="I2651" s="6" t="s">
        <v>161</v>
      </c>
      <c r="J2651" s="6" t="s">
        <v>163</v>
      </c>
      <c r="K2651" s="6" t="s">
        <v>17809</v>
      </c>
      <c r="L2651" s="6">
        <v>2.123077113E9</v>
      </c>
      <c r="M2651" s="6" t="s">
        <v>17810</v>
      </c>
      <c r="N2651" s="6" t="s">
        <v>176</v>
      </c>
      <c r="O2651" s="6" t="s">
        <v>178</v>
      </c>
      <c r="P2651" s="10">
        <v>45986.0</v>
      </c>
    </row>
    <row r="2652" ht="22.5" customHeight="1">
      <c r="A2652" s="6" t="s">
        <v>17811</v>
      </c>
      <c r="B2652" s="6" t="s">
        <v>17812</v>
      </c>
      <c r="C2652" s="6" t="s">
        <v>17814</v>
      </c>
      <c r="D2652" s="6" t="s">
        <v>145</v>
      </c>
      <c r="E2652" s="6" t="s">
        <v>301</v>
      </c>
      <c r="F2652" s="8">
        <v>30.0</v>
      </c>
      <c r="G2652" s="9">
        <v>722.59</v>
      </c>
      <c r="H2652" s="9">
        <v>4171.16</v>
      </c>
      <c r="I2652" s="6" t="s">
        <v>161</v>
      </c>
      <c r="J2652" s="6" t="s">
        <v>357</v>
      </c>
      <c r="K2652" s="6" t="s">
        <v>17815</v>
      </c>
      <c r="L2652" s="6">
        <v>2.7935622279E10</v>
      </c>
      <c r="M2652" s="6" t="s">
        <v>17816</v>
      </c>
      <c r="N2652" s="6" t="s">
        <v>259</v>
      </c>
      <c r="O2652" s="6" t="s">
        <v>178</v>
      </c>
      <c r="P2652" s="10">
        <v>45931.0</v>
      </c>
    </row>
    <row r="2653" ht="22.5" customHeight="1">
      <c r="A2653" s="6" t="s">
        <v>17817</v>
      </c>
      <c r="B2653" s="6" t="s">
        <v>17818</v>
      </c>
      <c r="C2653" s="6" t="s">
        <v>17819</v>
      </c>
      <c r="D2653" s="6" t="s">
        <v>206</v>
      </c>
      <c r="E2653" s="6" t="s">
        <v>210</v>
      </c>
      <c r="F2653" s="8">
        <v>90.0</v>
      </c>
      <c r="G2653" s="9">
        <v>1026.89</v>
      </c>
      <c r="H2653" s="9">
        <v>11551.72</v>
      </c>
      <c r="I2653" s="6" t="s">
        <v>178</v>
      </c>
      <c r="J2653" s="6" t="s">
        <v>163</v>
      </c>
      <c r="K2653" s="6" t="s">
        <v>17821</v>
      </c>
      <c r="L2653" s="6">
        <v>5.7266517762E10</v>
      </c>
      <c r="M2653" s="6" t="s">
        <v>17822</v>
      </c>
      <c r="N2653" s="6" t="s">
        <v>112</v>
      </c>
      <c r="O2653" s="6" t="s">
        <v>161</v>
      </c>
      <c r="P2653" s="10">
        <v>45932.0</v>
      </c>
    </row>
    <row r="2654" ht="22.5" customHeight="1">
      <c r="A2654" s="6" t="s">
        <v>17824</v>
      </c>
      <c r="B2654" s="6" t="s">
        <v>17825</v>
      </c>
      <c r="C2654" s="6" t="s">
        <v>17826</v>
      </c>
      <c r="D2654" s="6" t="s">
        <v>206</v>
      </c>
      <c r="E2654" s="6" t="s">
        <v>301</v>
      </c>
      <c r="F2654" s="8">
        <v>58.0</v>
      </c>
      <c r="G2654" s="9">
        <v>500.6</v>
      </c>
      <c r="H2654" s="9">
        <v>8885.15</v>
      </c>
      <c r="I2654" s="6" t="s">
        <v>161</v>
      </c>
      <c r="J2654" s="6" t="s">
        <v>312</v>
      </c>
      <c r="K2654" s="6" t="s">
        <v>259</v>
      </c>
      <c r="L2654" s="6">
        <v>9.8999885986E10</v>
      </c>
      <c r="M2654" s="6" t="s">
        <v>17828</v>
      </c>
      <c r="N2654" s="6" t="s">
        <v>283</v>
      </c>
      <c r="O2654" s="6" t="s">
        <v>178</v>
      </c>
      <c r="P2654" s="10">
        <v>46046.0</v>
      </c>
    </row>
    <row r="2655" ht="22.5" customHeight="1">
      <c r="A2655" s="6" t="s">
        <v>17830</v>
      </c>
      <c r="B2655" s="6" t="s">
        <v>17831</v>
      </c>
      <c r="C2655" s="6" t="s">
        <v>17832</v>
      </c>
      <c r="D2655" s="6" t="s">
        <v>206</v>
      </c>
      <c r="E2655" s="6" t="s">
        <v>301</v>
      </c>
      <c r="F2655" s="8">
        <v>48.0</v>
      </c>
      <c r="G2655" s="9">
        <v>1110.0</v>
      </c>
      <c r="H2655" s="9">
        <v>11108.27</v>
      </c>
      <c r="I2655" s="6" t="s">
        <v>161</v>
      </c>
      <c r="J2655" s="6" t="s">
        <v>465</v>
      </c>
      <c r="K2655" s="6" t="s">
        <v>17834</v>
      </c>
      <c r="L2655" s="6">
        <v>2.0514772381E10</v>
      </c>
      <c r="M2655" s="6" t="s">
        <v>17835</v>
      </c>
      <c r="N2655" s="6" t="s">
        <v>259</v>
      </c>
      <c r="O2655" s="6" t="s">
        <v>178</v>
      </c>
      <c r="P2655" s="10">
        <v>46028.0</v>
      </c>
    </row>
    <row r="2656" ht="22.5" customHeight="1">
      <c r="A2656" s="6" t="s">
        <v>17836</v>
      </c>
      <c r="B2656" s="6" t="s">
        <v>17837</v>
      </c>
      <c r="C2656" s="6" t="s">
        <v>17838</v>
      </c>
      <c r="D2656" s="6" t="s">
        <v>145</v>
      </c>
      <c r="E2656" s="6" t="s">
        <v>147</v>
      </c>
      <c r="F2656" s="8">
        <v>24.0</v>
      </c>
      <c r="G2656" s="9">
        <v>1133.3</v>
      </c>
      <c r="H2656" s="9">
        <v>2143.86</v>
      </c>
      <c r="I2656" s="6" t="s">
        <v>161</v>
      </c>
      <c r="J2656" s="6" t="s">
        <v>465</v>
      </c>
      <c r="K2656" s="6" t="s">
        <v>17840</v>
      </c>
      <c r="L2656" s="6">
        <v>6.2094146634E10</v>
      </c>
      <c r="M2656" s="6" t="s">
        <v>17841</v>
      </c>
      <c r="N2656" s="6" t="s">
        <v>283</v>
      </c>
      <c r="O2656" s="6" t="s">
        <v>178</v>
      </c>
      <c r="P2656" s="10">
        <v>46011.0</v>
      </c>
    </row>
    <row r="2657" ht="22.5" customHeight="1">
      <c r="A2657" s="6" t="s">
        <v>17842</v>
      </c>
      <c r="B2657" s="6" t="s">
        <v>17843</v>
      </c>
      <c r="C2657" s="6" t="s">
        <v>17844</v>
      </c>
      <c r="D2657" s="6" t="s">
        <v>145</v>
      </c>
      <c r="E2657" s="6" t="s">
        <v>147</v>
      </c>
      <c r="F2657" s="8">
        <v>20.0</v>
      </c>
      <c r="G2657" s="9">
        <v>1328.63</v>
      </c>
      <c r="H2657" s="9">
        <v>13191.48</v>
      </c>
      <c r="I2657" s="6" t="s">
        <v>161</v>
      </c>
      <c r="J2657" s="6" t="s">
        <v>421</v>
      </c>
      <c r="K2657" s="6" t="s">
        <v>17846</v>
      </c>
      <c r="L2657" s="6">
        <v>6.3463528301E10</v>
      </c>
      <c r="M2657" s="6" t="s">
        <v>17847</v>
      </c>
      <c r="N2657" s="6" t="s">
        <v>112</v>
      </c>
      <c r="O2657" s="6" t="s">
        <v>178</v>
      </c>
      <c r="P2657" s="10">
        <v>45967.0</v>
      </c>
    </row>
    <row r="2658" ht="22.5" customHeight="1">
      <c r="A2658" s="6" t="s">
        <v>17848</v>
      </c>
      <c r="B2658" s="6" t="s">
        <v>17849</v>
      </c>
      <c r="C2658" s="6" t="s">
        <v>17850</v>
      </c>
      <c r="D2658" s="6" t="s">
        <v>206</v>
      </c>
      <c r="E2658" s="6" t="s">
        <v>301</v>
      </c>
      <c r="F2658" s="8">
        <v>46.0</v>
      </c>
      <c r="G2658" s="9">
        <v>1097.62</v>
      </c>
      <c r="H2658" s="9">
        <v>4104.33</v>
      </c>
      <c r="I2658" s="6" t="s">
        <v>161</v>
      </c>
      <c r="J2658" s="6" t="s">
        <v>421</v>
      </c>
      <c r="K2658" s="6" t="s">
        <v>17851</v>
      </c>
      <c r="L2658" s="6">
        <v>2.7609045981E10</v>
      </c>
      <c r="M2658" s="6" t="s">
        <v>17852</v>
      </c>
      <c r="N2658" s="6" t="s">
        <v>112</v>
      </c>
      <c r="O2658" s="6" t="s">
        <v>178</v>
      </c>
      <c r="P2658" s="10">
        <v>46043.0</v>
      </c>
    </row>
    <row r="2659" ht="22.5" customHeight="1">
      <c r="A2659" s="6" t="s">
        <v>17854</v>
      </c>
      <c r="B2659" s="6" t="s">
        <v>17855</v>
      </c>
      <c r="C2659" s="6" t="s">
        <v>17856</v>
      </c>
      <c r="D2659" s="6" t="s">
        <v>206</v>
      </c>
      <c r="E2659" s="6" t="s">
        <v>147</v>
      </c>
      <c r="F2659" s="8">
        <v>15.0</v>
      </c>
      <c r="G2659" s="9">
        <v>277.4</v>
      </c>
      <c r="H2659" s="9">
        <v>7065.74</v>
      </c>
      <c r="I2659" s="6" t="s">
        <v>161</v>
      </c>
      <c r="J2659" s="6" t="s">
        <v>393</v>
      </c>
      <c r="K2659" s="6" t="s">
        <v>17858</v>
      </c>
      <c r="L2659" s="6">
        <v>6.1434411923E10</v>
      </c>
      <c r="M2659" s="6" t="s">
        <v>17859</v>
      </c>
      <c r="N2659" s="6" t="s">
        <v>427</v>
      </c>
      <c r="O2659" s="6" t="s">
        <v>178</v>
      </c>
      <c r="P2659" s="10">
        <v>46018.0</v>
      </c>
    </row>
    <row r="2660" ht="22.5" customHeight="1">
      <c r="A2660" s="6" t="s">
        <v>17860</v>
      </c>
      <c r="B2660" s="6" t="s">
        <v>17861</v>
      </c>
      <c r="C2660" s="6" t="s">
        <v>17862</v>
      </c>
      <c r="D2660" s="6" t="s">
        <v>206</v>
      </c>
      <c r="E2660" s="6" t="s">
        <v>210</v>
      </c>
      <c r="F2660" s="8">
        <v>96.0</v>
      </c>
      <c r="G2660" s="9">
        <v>390.51</v>
      </c>
      <c r="H2660" s="9">
        <v>9948.6</v>
      </c>
      <c r="I2660" s="6" t="s">
        <v>178</v>
      </c>
      <c r="J2660" s="6" t="s">
        <v>465</v>
      </c>
      <c r="K2660" s="6" t="s">
        <v>17864</v>
      </c>
      <c r="L2660" s="6">
        <v>1.360052417E10</v>
      </c>
      <c r="M2660" s="6" t="s">
        <v>17865</v>
      </c>
      <c r="N2660" s="6" t="s">
        <v>112</v>
      </c>
      <c r="O2660" s="6" t="s">
        <v>161</v>
      </c>
      <c r="P2660" s="10">
        <v>46033.0</v>
      </c>
    </row>
    <row r="2661" ht="22.5" customHeight="1">
      <c r="A2661" s="6" t="s">
        <v>17867</v>
      </c>
      <c r="B2661" s="6" t="s">
        <v>17868</v>
      </c>
      <c r="C2661" s="6" t="s">
        <v>17869</v>
      </c>
      <c r="D2661" s="6" t="s">
        <v>206</v>
      </c>
      <c r="E2661" s="6" t="s">
        <v>301</v>
      </c>
      <c r="F2661" s="8">
        <v>34.0</v>
      </c>
      <c r="G2661" s="9">
        <v>427.28</v>
      </c>
      <c r="H2661" s="9">
        <v>12668.4</v>
      </c>
      <c r="I2661" s="6" t="s">
        <v>161</v>
      </c>
      <c r="J2661" s="6" t="s">
        <v>312</v>
      </c>
      <c r="K2661" s="6" t="s">
        <v>17871</v>
      </c>
      <c r="L2661" s="6">
        <v>8.7408240343E10</v>
      </c>
      <c r="M2661" s="6" t="s">
        <v>17872</v>
      </c>
      <c r="N2661" s="6" t="s">
        <v>259</v>
      </c>
      <c r="O2661" s="6" t="s">
        <v>178</v>
      </c>
      <c r="P2661" s="10">
        <v>46029.0</v>
      </c>
    </row>
    <row r="2662" ht="22.5" customHeight="1">
      <c r="A2662" s="6" t="s">
        <v>17874</v>
      </c>
      <c r="B2662" s="6" t="s">
        <v>17875</v>
      </c>
      <c r="C2662" s="6" t="s">
        <v>17876</v>
      </c>
      <c r="D2662" s="6" t="s">
        <v>145</v>
      </c>
      <c r="E2662" s="6" t="s">
        <v>147</v>
      </c>
      <c r="F2662" s="8">
        <v>18.0</v>
      </c>
      <c r="G2662" s="9">
        <v>1327.27</v>
      </c>
      <c r="H2662" s="9">
        <v>9056.54</v>
      </c>
      <c r="I2662" s="6" t="s">
        <v>161</v>
      </c>
      <c r="J2662" s="6" t="s">
        <v>577</v>
      </c>
      <c r="K2662" s="6" t="s">
        <v>17877</v>
      </c>
      <c r="L2662" s="6">
        <v>8.4978816506E10</v>
      </c>
      <c r="M2662" s="6" t="s">
        <v>17879</v>
      </c>
      <c r="N2662" s="6" t="s">
        <v>259</v>
      </c>
      <c r="O2662" s="6" t="s">
        <v>178</v>
      </c>
      <c r="P2662" s="10">
        <v>45952.0</v>
      </c>
    </row>
    <row r="2663" ht="22.5" customHeight="1">
      <c r="A2663" s="6" t="s">
        <v>17880</v>
      </c>
      <c r="B2663" s="6" t="s">
        <v>17881</v>
      </c>
      <c r="C2663" s="6" t="s">
        <v>17882</v>
      </c>
      <c r="D2663" s="6" t="s">
        <v>145</v>
      </c>
      <c r="E2663" s="6" t="s">
        <v>301</v>
      </c>
      <c r="F2663" s="8">
        <v>39.0</v>
      </c>
      <c r="G2663" s="9">
        <v>898.63</v>
      </c>
      <c r="H2663" s="9">
        <v>7782.09</v>
      </c>
      <c r="I2663" s="6" t="s">
        <v>161</v>
      </c>
      <c r="J2663" s="6" t="s">
        <v>393</v>
      </c>
      <c r="K2663" s="6" t="s">
        <v>259</v>
      </c>
      <c r="L2663" s="6">
        <v>2.153127781E10</v>
      </c>
      <c r="M2663" s="6" t="s">
        <v>17884</v>
      </c>
      <c r="N2663" s="6" t="s">
        <v>283</v>
      </c>
      <c r="O2663" s="6" t="s">
        <v>178</v>
      </c>
      <c r="P2663" s="10">
        <v>46038.0</v>
      </c>
    </row>
    <row r="2664" ht="22.5" customHeight="1">
      <c r="A2664" s="6" t="s">
        <v>17886</v>
      </c>
      <c r="B2664" s="6" t="s">
        <v>17887</v>
      </c>
      <c r="C2664" s="6" t="s">
        <v>17888</v>
      </c>
      <c r="D2664" s="6" t="s">
        <v>383</v>
      </c>
      <c r="E2664" s="6" t="s">
        <v>147</v>
      </c>
      <c r="F2664" s="8">
        <v>11.0</v>
      </c>
      <c r="G2664" s="9">
        <v>861.45</v>
      </c>
      <c r="H2664" s="9">
        <v>13570.53</v>
      </c>
      <c r="I2664" s="6" t="s">
        <v>161</v>
      </c>
      <c r="J2664" s="6" t="s">
        <v>393</v>
      </c>
      <c r="K2664" s="6" t="s">
        <v>17889</v>
      </c>
      <c r="L2664" s="6">
        <v>4.790479399E9</v>
      </c>
      <c r="M2664" s="6" t="s">
        <v>17891</v>
      </c>
      <c r="N2664" s="6" t="s">
        <v>259</v>
      </c>
      <c r="O2664" s="6" t="s">
        <v>178</v>
      </c>
      <c r="P2664" s="10">
        <v>45945.0</v>
      </c>
    </row>
    <row r="2665" ht="22.5" customHeight="1">
      <c r="A2665" s="6" t="s">
        <v>17892</v>
      </c>
      <c r="B2665" s="6" t="s">
        <v>17893</v>
      </c>
      <c r="C2665" s="6" t="s">
        <v>17894</v>
      </c>
      <c r="D2665" s="6" t="s">
        <v>145</v>
      </c>
      <c r="E2665" s="6" t="s">
        <v>147</v>
      </c>
      <c r="F2665" s="8">
        <v>12.0</v>
      </c>
      <c r="G2665" s="9">
        <v>744.43</v>
      </c>
      <c r="H2665" s="9">
        <v>13163.91</v>
      </c>
      <c r="I2665" s="6" t="s">
        <v>161</v>
      </c>
      <c r="J2665" s="6" t="s">
        <v>357</v>
      </c>
      <c r="K2665" s="6" t="s">
        <v>17896</v>
      </c>
      <c r="L2665" s="6">
        <v>7.341663971E10</v>
      </c>
      <c r="M2665" s="6" t="s">
        <v>17897</v>
      </c>
      <c r="N2665" s="6" t="s">
        <v>112</v>
      </c>
      <c r="O2665" s="6" t="s">
        <v>178</v>
      </c>
      <c r="P2665" s="10">
        <v>46026.0</v>
      </c>
    </row>
    <row r="2666" ht="22.5" customHeight="1">
      <c r="A2666" s="6" t="s">
        <v>17898</v>
      </c>
      <c r="B2666" s="6" t="s">
        <v>17899</v>
      </c>
      <c r="C2666" s="6" t="s">
        <v>17900</v>
      </c>
      <c r="D2666" s="6" t="s">
        <v>145</v>
      </c>
      <c r="E2666" s="6" t="s">
        <v>301</v>
      </c>
      <c r="F2666" s="8">
        <v>35.0</v>
      </c>
      <c r="G2666" s="9">
        <v>366.0</v>
      </c>
      <c r="H2666" s="9">
        <v>6464.88</v>
      </c>
      <c r="I2666" s="6" t="s">
        <v>161</v>
      </c>
      <c r="J2666" s="6" t="s">
        <v>163</v>
      </c>
      <c r="K2666" s="6" t="s">
        <v>17902</v>
      </c>
      <c r="L2666" s="6">
        <v>5.8323029245E10</v>
      </c>
      <c r="M2666" s="6" t="s">
        <v>17903</v>
      </c>
      <c r="N2666" s="6" t="s">
        <v>112</v>
      </c>
      <c r="O2666" s="6" t="s">
        <v>178</v>
      </c>
      <c r="P2666" s="10">
        <v>45947.0</v>
      </c>
    </row>
    <row r="2667" ht="22.5" customHeight="1">
      <c r="A2667" s="6" t="s">
        <v>17905</v>
      </c>
      <c r="B2667" s="6" t="s">
        <v>17906</v>
      </c>
      <c r="C2667" s="6" t="s">
        <v>17907</v>
      </c>
      <c r="D2667" s="6" t="s">
        <v>206</v>
      </c>
      <c r="E2667" s="6" t="s">
        <v>210</v>
      </c>
      <c r="F2667" s="8">
        <v>81.0</v>
      </c>
      <c r="G2667" s="9">
        <v>625.67</v>
      </c>
      <c r="H2667" s="9">
        <v>8693.37</v>
      </c>
      <c r="I2667" s="6" t="s">
        <v>178</v>
      </c>
      <c r="J2667" s="6" t="s">
        <v>421</v>
      </c>
      <c r="K2667" s="6" t="s">
        <v>17908</v>
      </c>
      <c r="L2667" s="6">
        <v>3.189008571E9</v>
      </c>
      <c r="M2667" s="6" t="s">
        <v>17909</v>
      </c>
      <c r="N2667" s="6" t="s">
        <v>427</v>
      </c>
      <c r="O2667" s="6" t="s">
        <v>161</v>
      </c>
      <c r="P2667" s="10">
        <v>45977.0</v>
      </c>
    </row>
    <row r="2668" ht="22.5" customHeight="1">
      <c r="A2668" s="6" t="s">
        <v>17911</v>
      </c>
      <c r="B2668" s="6" t="s">
        <v>17912</v>
      </c>
      <c r="C2668" s="6" t="s">
        <v>17913</v>
      </c>
      <c r="D2668" s="6" t="s">
        <v>145</v>
      </c>
      <c r="E2668" s="6" t="s">
        <v>301</v>
      </c>
      <c r="F2668" s="8">
        <v>46.0</v>
      </c>
      <c r="G2668" s="9">
        <v>1284.02</v>
      </c>
      <c r="H2668" s="9">
        <v>4545.72</v>
      </c>
      <c r="I2668" s="6" t="s">
        <v>161</v>
      </c>
      <c r="J2668" s="6" t="s">
        <v>393</v>
      </c>
      <c r="K2668" s="6" t="s">
        <v>17915</v>
      </c>
      <c r="L2668" s="6">
        <v>5.3197645435E10</v>
      </c>
      <c r="M2668" s="6" t="s">
        <v>17916</v>
      </c>
      <c r="N2668" s="6" t="s">
        <v>427</v>
      </c>
      <c r="O2668" s="6" t="s">
        <v>178</v>
      </c>
      <c r="P2668" s="10">
        <v>45954.0</v>
      </c>
    </row>
    <row r="2669" ht="22.5" customHeight="1">
      <c r="A2669" s="6" t="s">
        <v>17918</v>
      </c>
      <c r="B2669" s="6" t="s">
        <v>17919</v>
      </c>
      <c r="C2669" s="6" t="s">
        <v>17920</v>
      </c>
      <c r="D2669" s="6" t="s">
        <v>383</v>
      </c>
      <c r="E2669" s="6" t="s">
        <v>301</v>
      </c>
      <c r="F2669" s="8">
        <v>41.0</v>
      </c>
      <c r="G2669" s="9">
        <v>1711.33</v>
      </c>
      <c r="H2669" s="9">
        <v>6806.65</v>
      </c>
      <c r="I2669" s="6" t="s">
        <v>161</v>
      </c>
      <c r="J2669" s="6" t="s">
        <v>228</v>
      </c>
      <c r="K2669" s="6" t="s">
        <v>17922</v>
      </c>
      <c r="L2669" s="6">
        <v>4.6948396772E10</v>
      </c>
      <c r="M2669" s="6" t="s">
        <v>17924</v>
      </c>
      <c r="N2669" s="6" t="s">
        <v>112</v>
      </c>
      <c r="O2669" s="6" t="s">
        <v>178</v>
      </c>
      <c r="P2669" s="10">
        <v>45981.0</v>
      </c>
    </row>
    <row r="2670" ht="22.5" customHeight="1">
      <c r="A2670" s="6" t="s">
        <v>17925</v>
      </c>
      <c r="B2670" s="6" t="s">
        <v>17927</v>
      </c>
      <c r="C2670" s="6" t="s">
        <v>17928</v>
      </c>
      <c r="D2670" s="6" t="s">
        <v>206</v>
      </c>
      <c r="E2670" s="6" t="s">
        <v>301</v>
      </c>
      <c r="F2670" s="8">
        <v>48.0</v>
      </c>
      <c r="G2670" s="9">
        <v>1322.22</v>
      </c>
      <c r="H2670" s="9">
        <v>5307.65</v>
      </c>
      <c r="I2670" s="6" t="s">
        <v>161</v>
      </c>
      <c r="J2670" s="6" t="s">
        <v>393</v>
      </c>
      <c r="K2670" s="6" t="s">
        <v>17930</v>
      </c>
      <c r="L2670" s="6">
        <v>7.105842408E10</v>
      </c>
      <c r="M2670" s="6" t="s">
        <v>17931</v>
      </c>
      <c r="N2670" s="6" t="s">
        <v>176</v>
      </c>
      <c r="O2670" s="6" t="s">
        <v>178</v>
      </c>
      <c r="P2670" s="10">
        <v>45975.0</v>
      </c>
    </row>
    <row r="2671" ht="22.5" customHeight="1">
      <c r="A2671" s="6" t="s">
        <v>17933</v>
      </c>
      <c r="B2671" s="6" t="s">
        <v>17934</v>
      </c>
      <c r="C2671" s="6" t="s">
        <v>17935</v>
      </c>
      <c r="D2671" s="6" t="s">
        <v>145</v>
      </c>
      <c r="E2671" s="6" t="s">
        <v>147</v>
      </c>
      <c r="F2671" s="8">
        <v>24.0</v>
      </c>
      <c r="G2671" s="9">
        <v>1752.96</v>
      </c>
      <c r="H2671" s="9">
        <v>8566.27</v>
      </c>
      <c r="I2671" s="6" t="s">
        <v>161</v>
      </c>
      <c r="J2671" s="6" t="s">
        <v>393</v>
      </c>
      <c r="K2671" s="6" t="s">
        <v>17937</v>
      </c>
      <c r="L2671" s="6" t="s">
        <v>259</v>
      </c>
      <c r="M2671" s="6" t="s">
        <v>17939</v>
      </c>
      <c r="N2671" s="6" t="s">
        <v>427</v>
      </c>
      <c r="O2671" s="6" t="s">
        <v>178</v>
      </c>
      <c r="P2671" s="10">
        <v>46024.0</v>
      </c>
    </row>
    <row r="2672" ht="22.5" customHeight="1">
      <c r="A2672" s="6" t="s">
        <v>17940</v>
      </c>
      <c r="B2672" s="6" t="s">
        <v>17941</v>
      </c>
      <c r="C2672" s="6" t="s">
        <v>17942</v>
      </c>
      <c r="D2672" s="6" t="s">
        <v>206</v>
      </c>
      <c r="E2672" s="6" t="s">
        <v>210</v>
      </c>
      <c r="F2672" s="8">
        <v>113.0</v>
      </c>
      <c r="G2672" s="9">
        <v>1374.18</v>
      </c>
      <c r="H2672" s="9">
        <v>14946.76</v>
      </c>
      <c r="I2672" s="6" t="s">
        <v>161</v>
      </c>
      <c r="J2672" s="6" t="s">
        <v>393</v>
      </c>
      <c r="K2672" s="6" t="s">
        <v>17945</v>
      </c>
      <c r="L2672" s="6" t="s">
        <v>259</v>
      </c>
      <c r="M2672" s="6" t="s">
        <v>17946</v>
      </c>
      <c r="N2672" s="6" t="s">
        <v>283</v>
      </c>
      <c r="O2672" s="6" t="s">
        <v>161</v>
      </c>
      <c r="P2672" s="10">
        <v>45993.0</v>
      </c>
    </row>
    <row r="2673" ht="22.5" customHeight="1">
      <c r="A2673" s="6" t="s">
        <v>17947</v>
      </c>
      <c r="B2673" s="6" t="s">
        <v>17948</v>
      </c>
      <c r="C2673" s="6" t="s">
        <v>17949</v>
      </c>
      <c r="D2673" s="6" t="s">
        <v>383</v>
      </c>
      <c r="E2673" s="6" t="s">
        <v>147</v>
      </c>
      <c r="F2673" s="8">
        <v>22.0</v>
      </c>
      <c r="G2673" s="9">
        <v>1447.07</v>
      </c>
      <c r="H2673" s="9">
        <v>9985.64</v>
      </c>
      <c r="I2673" s="6" t="s">
        <v>161</v>
      </c>
      <c r="J2673" s="6" t="s">
        <v>1787</v>
      </c>
      <c r="K2673" s="6" t="s">
        <v>17951</v>
      </c>
      <c r="L2673" s="6">
        <v>2.3180823175E10</v>
      </c>
      <c r="M2673" s="6" t="s">
        <v>17952</v>
      </c>
      <c r="N2673" s="6" t="s">
        <v>259</v>
      </c>
      <c r="O2673" s="6" t="s">
        <v>178</v>
      </c>
      <c r="P2673" s="10">
        <v>45952.0</v>
      </c>
    </row>
    <row r="2674" ht="22.5" customHeight="1">
      <c r="A2674" s="6" t="s">
        <v>17954</v>
      </c>
      <c r="B2674" s="6" t="s">
        <v>17955</v>
      </c>
      <c r="C2674" s="6" t="s">
        <v>17956</v>
      </c>
      <c r="D2674" s="6" t="s">
        <v>206</v>
      </c>
      <c r="E2674" s="6" t="s">
        <v>301</v>
      </c>
      <c r="F2674" s="8">
        <v>46.0</v>
      </c>
      <c r="G2674" s="9">
        <v>350.02</v>
      </c>
      <c r="H2674" s="9">
        <v>5556.41</v>
      </c>
      <c r="I2674" s="6" t="s">
        <v>161</v>
      </c>
      <c r="J2674" s="6" t="s">
        <v>577</v>
      </c>
      <c r="K2674" s="6" t="s">
        <v>17957</v>
      </c>
      <c r="L2674" s="6">
        <v>5.2839252727E10</v>
      </c>
      <c r="M2674" s="6" t="s">
        <v>17959</v>
      </c>
      <c r="N2674" s="6" t="s">
        <v>112</v>
      </c>
      <c r="O2674" s="6" t="s">
        <v>178</v>
      </c>
      <c r="P2674" s="10">
        <v>45969.0</v>
      </c>
    </row>
    <row r="2675" ht="22.5" customHeight="1">
      <c r="A2675" s="6" t="s">
        <v>17960</v>
      </c>
      <c r="B2675" s="6" t="s">
        <v>17961</v>
      </c>
      <c r="C2675" s="6" t="s">
        <v>17962</v>
      </c>
      <c r="D2675" s="6" t="s">
        <v>145</v>
      </c>
      <c r="E2675" s="6" t="s">
        <v>210</v>
      </c>
      <c r="F2675" s="8">
        <v>112.0</v>
      </c>
      <c r="G2675" s="9">
        <v>1023.21</v>
      </c>
      <c r="H2675" s="9">
        <v>9535.76</v>
      </c>
      <c r="I2675" s="6" t="s">
        <v>178</v>
      </c>
      <c r="J2675" s="6" t="s">
        <v>393</v>
      </c>
      <c r="K2675" s="6" t="s">
        <v>17963</v>
      </c>
      <c r="L2675" s="6">
        <v>7.7040323159E10</v>
      </c>
      <c r="M2675" s="6" t="s">
        <v>17965</v>
      </c>
      <c r="N2675" s="6" t="s">
        <v>259</v>
      </c>
      <c r="O2675" s="6" t="s">
        <v>161</v>
      </c>
      <c r="P2675" s="10">
        <v>46039.0</v>
      </c>
    </row>
    <row r="2676" ht="22.5" customHeight="1">
      <c r="A2676" s="6" t="s">
        <v>17966</v>
      </c>
      <c r="B2676" s="6" t="s">
        <v>17967</v>
      </c>
      <c r="C2676" s="6" t="s">
        <v>17968</v>
      </c>
      <c r="D2676" s="6" t="s">
        <v>145</v>
      </c>
      <c r="E2676" s="6" t="s">
        <v>301</v>
      </c>
      <c r="F2676" s="8">
        <v>45.0</v>
      </c>
      <c r="G2676" s="9">
        <v>1354.91</v>
      </c>
      <c r="H2676" s="9">
        <v>7861.7</v>
      </c>
      <c r="I2676" s="6" t="s">
        <v>161</v>
      </c>
      <c r="J2676" s="6" t="s">
        <v>465</v>
      </c>
      <c r="K2676" s="6" t="s">
        <v>17970</v>
      </c>
      <c r="L2676" s="6">
        <v>2.204160958E10</v>
      </c>
      <c r="M2676" s="6" t="s">
        <v>17971</v>
      </c>
      <c r="N2676" s="6" t="s">
        <v>176</v>
      </c>
      <c r="O2676" s="6" t="s">
        <v>178</v>
      </c>
      <c r="P2676" s="10">
        <v>45961.0</v>
      </c>
    </row>
    <row r="2677" ht="22.5" customHeight="1">
      <c r="A2677" s="6" t="s">
        <v>17973</v>
      </c>
      <c r="B2677" s="6" t="s">
        <v>17974</v>
      </c>
      <c r="C2677" s="6" t="s">
        <v>17975</v>
      </c>
      <c r="D2677" s="6" t="s">
        <v>206</v>
      </c>
      <c r="E2677" s="6" t="s">
        <v>147</v>
      </c>
      <c r="F2677" s="8">
        <v>23.0</v>
      </c>
      <c r="G2677" s="9">
        <v>577.48</v>
      </c>
      <c r="H2677" s="9">
        <v>1511.38</v>
      </c>
      <c r="I2677" s="6" t="s">
        <v>161</v>
      </c>
      <c r="J2677" s="6" t="s">
        <v>312</v>
      </c>
      <c r="K2677" s="6" t="s">
        <v>17976</v>
      </c>
      <c r="L2677" s="6">
        <v>7.560452416E10</v>
      </c>
      <c r="M2677" s="6" t="s">
        <v>17978</v>
      </c>
      <c r="N2677" s="6" t="s">
        <v>427</v>
      </c>
      <c r="O2677" s="6" t="s">
        <v>178</v>
      </c>
      <c r="P2677" s="10">
        <v>45932.0</v>
      </c>
    </row>
    <row r="2678" ht="22.5" customHeight="1">
      <c r="A2678" s="6" t="s">
        <v>17979</v>
      </c>
      <c r="B2678" s="6" t="s">
        <v>17980</v>
      </c>
      <c r="C2678" s="6" t="s">
        <v>17981</v>
      </c>
      <c r="D2678" s="6" t="s">
        <v>145</v>
      </c>
      <c r="E2678" s="6" t="s">
        <v>147</v>
      </c>
      <c r="F2678" s="8">
        <v>6.0</v>
      </c>
      <c r="G2678" s="9">
        <v>595.87</v>
      </c>
      <c r="H2678" s="9">
        <v>8664.42</v>
      </c>
      <c r="I2678" s="6" t="s">
        <v>161</v>
      </c>
      <c r="J2678" s="6" t="s">
        <v>393</v>
      </c>
      <c r="K2678" s="6" t="s">
        <v>17983</v>
      </c>
      <c r="L2678" s="6">
        <v>8.327681066E10</v>
      </c>
      <c r="M2678" s="6" t="s">
        <v>17984</v>
      </c>
      <c r="N2678" s="6" t="s">
        <v>176</v>
      </c>
      <c r="O2678" s="6" t="s">
        <v>178</v>
      </c>
      <c r="P2678" s="10">
        <v>46007.0</v>
      </c>
    </row>
    <row r="2679" ht="22.5" customHeight="1">
      <c r="A2679" s="6" t="s">
        <v>17985</v>
      </c>
      <c r="B2679" s="6" t="s">
        <v>17986</v>
      </c>
      <c r="C2679" s="6" t="s">
        <v>17988</v>
      </c>
      <c r="D2679" s="6" t="s">
        <v>383</v>
      </c>
      <c r="E2679" s="6" t="s">
        <v>301</v>
      </c>
      <c r="F2679" s="8">
        <v>52.0</v>
      </c>
      <c r="G2679" s="9">
        <v>898.06</v>
      </c>
      <c r="H2679" s="9">
        <v>5880.55</v>
      </c>
      <c r="I2679" s="6" t="s">
        <v>161</v>
      </c>
      <c r="J2679" s="6" t="s">
        <v>479</v>
      </c>
      <c r="K2679" s="6" t="s">
        <v>17989</v>
      </c>
      <c r="L2679" s="6">
        <v>7.4189350884E10</v>
      </c>
      <c r="M2679" s="6" t="s">
        <v>17990</v>
      </c>
      <c r="N2679" s="6" t="s">
        <v>259</v>
      </c>
      <c r="O2679" s="6" t="s">
        <v>178</v>
      </c>
      <c r="P2679" s="10">
        <v>46050.0</v>
      </c>
    </row>
    <row r="2680" ht="22.5" customHeight="1">
      <c r="A2680" s="6" t="s">
        <v>17992</v>
      </c>
      <c r="B2680" s="6" t="s">
        <v>17993</v>
      </c>
      <c r="C2680" s="6" t="s">
        <v>17994</v>
      </c>
      <c r="D2680" s="6" t="s">
        <v>206</v>
      </c>
      <c r="E2680" s="6" t="s">
        <v>147</v>
      </c>
      <c r="F2680" s="8">
        <v>24.0</v>
      </c>
      <c r="G2680" s="9">
        <v>1769.72</v>
      </c>
      <c r="H2680" s="9">
        <v>10691.01</v>
      </c>
      <c r="I2680" s="6" t="s">
        <v>161</v>
      </c>
      <c r="J2680" s="6" t="s">
        <v>228</v>
      </c>
      <c r="K2680" s="6" t="s">
        <v>17996</v>
      </c>
      <c r="L2680" s="6">
        <v>1.5104903984E10</v>
      </c>
      <c r="M2680" s="6" t="s">
        <v>17997</v>
      </c>
      <c r="N2680" s="6" t="s">
        <v>176</v>
      </c>
      <c r="O2680" s="6" t="s">
        <v>178</v>
      </c>
      <c r="P2680" s="10">
        <v>45981.0</v>
      </c>
    </row>
    <row r="2681" ht="22.5" customHeight="1">
      <c r="A2681" s="6" t="s">
        <v>17998</v>
      </c>
      <c r="B2681" s="6" t="s">
        <v>17999</v>
      </c>
      <c r="C2681" s="6" t="s">
        <v>18000</v>
      </c>
      <c r="D2681" s="6" t="s">
        <v>145</v>
      </c>
      <c r="E2681" s="6" t="s">
        <v>301</v>
      </c>
      <c r="F2681" s="8">
        <v>53.0</v>
      </c>
      <c r="G2681" s="9">
        <v>1491.26</v>
      </c>
      <c r="H2681" s="9">
        <v>11459.69</v>
      </c>
      <c r="I2681" s="6" t="s">
        <v>161</v>
      </c>
      <c r="J2681" s="6" t="s">
        <v>312</v>
      </c>
      <c r="K2681" s="6" t="s">
        <v>18002</v>
      </c>
      <c r="L2681" s="6">
        <v>8.1952206406E10</v>
      </c>
      <c r="M2681" s="6" t="s">
        <v>18003</v>
      </c>
      <c r="N2681" s="6" t="s">
        <v>427</v>
      </c>
      <c r="O2681" s="6" t="s">
        <v>178</v>
      </c>
      <c r="P2681" s="10">
        <v>46042.0</v>
      </c>
    </row>
    <row r="2682" ht="22.5" customHeight="1">
      <c r="A2682" s="6" t="s">
        <v>18004</v>
      </c>
      <c r="B2682" s="6" t="s">
        <v>18005</v>
      </c>
      <c r="C2682" s="6" t="s">
        <v>18006</v>
      </c>
      <c r="D2682" s="6" t="s">
        <v>383</v>
      </c>
      <c r="E2682" s="6" t="s">
        <v>210</v>
      </c>
      <c r="F2682" s="8">
        <v>105.0</v>
      </c>
      <c r="G2682" s="9">
        <v>1050.16</v>
      </c>
      <c r="H2682" s="9">
        <v>4164.75</v>
      </c>
      <c r="I2682" s="6" t="s">
        <v>178</v>
      </c>
      <c r="J2682" s="6" t="s">
        <v>228</v>
      </c>
      <c r="K2682" s="6" t="s">
        <v>259</v>
      </c>
      <c r="L2682" s="6">
        <v>2.8858081358E10</v>
      </c>
      <c r="M2682" s="6" t="s">
        <v>18008</v>
      </c>
      <c r="N2682" s="6" t="s">
        <v>176</v>
      </c>
      <c r="O2682" s="6" t="s">
        <v>161</v>
      </c>
      <c r="P2682" s="10">
        <v>45957.0</v>
      </c>
    </row>
    <row r="2683" ht="22.5" customHeight="1">
      <c r="A2683" s="6" t="s">
        <v>18009</v>
      </c>
      <c r="B2683" s="6" t="s">
        <v>18011</v>
      </c>
      <c r="C2683" s="6" t="s">
        <v>18012</v>
      </c>
      <c r="D2683" s="6" t="s">
        <v>206</v>
      </c>
      <c r="E2683" s="6" t="s">
        <v>147</v>
      </c>
      <c r="F2683" s="8">
        <v>12.0</v>
      </c>
      <c r="G2683" s="9">
        <v>156.95</v>
      </c>
      <c r="H2683" s="9">
        <v>2487.78</v>
      </c>
      <c r="I2683" s="6" t="s">
        <v>161</v>
      </c>
      <c r="J2683" s="6" t="s">
        <v>228</v>
      </c>
      <c r="K2683" s="6" t="s">
        <v>18013</v>
      </c>
      <c r="L2683" s="6">
        <v>8.2885158966E10</v>
      </c>
      <c r="M2683" s="6" t="s">
        <v>18015</v>
      </c>
      <c r="N2683" s="6" t="s">
        <v>176</v>
      </c>
      <c r="O2683" s="6" t="s">
        <v>178</v>
      </c>
      <c r="P2683" s="10">
        <v>46003.0</v>
      </c>
    </row>
    <row r="2684" ht="22.5" customHeight="1">
      <c r="A2684" s="6" t="s">
        <v>18016</v>
      </c>
      <c r="B2684" s="6" t="s">
        <v>18017</v>
      </c>
      <c r="C2684" s="6" t="s">
        <v>18018</v>
      </c>
      <c r="D2684" s="6" t="s">
        <v>206</v>
      </c>
      <c r="E2684" s="6" t="s">
        <v>301</v>
      </c>
      <c r="F2684" s="8">
        <v>43.0</v>
      </c>
      <c r="G2684" s="9">
        <v>774.79</v>
      </c>
      <c r="H2684" s="9">
        <v>10411.23</v>
      </c>
      <c r="I2684" s="6" t="s">
        <v>161</v>
      </c>
      <c r="J2684" s="6" t="s">
        <v>465</v>
      </c>
      <c r="K2684" s="6" t="s">
        <v>18020</v>
      </c>
      <c r="L2684" s="6">
        <v>5.0344044417E10</v>
      </c>
      <c r="M2684" s="6" t="s">
        <v>18021</v>
      </c>
      <c r="N2684" s="6" t="s">
        <v>283</v>
      </c>
      <c r="O2684" s="6" t="s">
        <v>178</v>
      </c>
      <c r="P2684" s="10">
        <v>45948.0</v>
      </c>
    </row>
    <row r="2685" ht="22.5" customHeight="1">
      <c r="A2685" s="6" t="s">
        <v>18023</v>
      </c>
      <c r="B2685" s="6" t="s">
        <v>18024</v>
      </c>
      <c r="C2685" s="6" t="s">
        <v>18025</v>
      </c>
      <c r="D2685" s="6" t="s">
        <v>145</v>
      </c>
      <c r="E2685" s="6" t="s">
        <v>210</v>
      </c>
      <c r="F2685" s="8">
        <v>114.0</v>
      </c>
      <c r="G2685" s="9">
        <v>116.63</v>
      </c>
      <c r="H2685" s="9">
        <v>11874.97</v>
      </c>
      <c r="I2685" s="6" t="s">
        <v>178</v>
      </c>
      <c r="J2685" s="6" t="s">
        <v>421</v>
      </c>
      <c r="K2685" s="6" t="s">
        <v>18027</v>
      </c>
      <c r="L2685" s="6">
        <v>8.3336750683E10</v>
      </c>
      <c r="M2685" s="6" t="s">
        <v>18028</v>
      </c>
      <c r="N2685" s="6" t="s">
        <v>427</v>
      </c>
      <c r="O2685" s="6" t="s">
        <v>161</v>
      </c>
      <c r="P2685" s="10">
        <v>46030.0</v>
      </c>
    </row>
    <row r="2686" ht="22.5" customHeight="1">
      <c r="A2686" s="6" t="s">
        <v>18030</v>
      </c>
      <c r="B2686" s="6" t="s">
        <v>18031</v>
      </c>
      <c r="C2686" s="6" t="s">
        <v>18032</v>
      </c>
      <c r="D2686" s="6" t="s">
        <v>145</v>
      </c>
      <c r="E2686" s="6" t="s">
        <v>301</v>
      </c>
      <c r="F2686" s="8">
        <v>35.0</v>
      </c>
      <c r="G2686" s="9">
        <v>776.1</v>
      </c>
      <c r="H2686" s="9">
        <v>6504.5</v>
      </c>
      <c r="I2686" s="6" t="s">
        <v>161</v>
      </c>
      <c r="J2686" s="6" t="s">
        <v>442</v>
      </c>
      <c r="K2686" s="6" t="s">
        <v>18034</v>
      </c>
      <c r="L2686" s="6">
        <v>7.7804906806E10</v>
      </c>
      <c r="M2686" s="6" t="s">
        <v>18035</v>
      </c>
      <c r="N2686" s="6" t="s">
        <v>427</v>
      </c>
      <c r="O2686" s="6" t="s">
        <v>178</v>
      </c>
      <c r="P2686" s="10">
        <v>46015.0</v>
      </c>
    </row>
    <row r="2687" ht="22.5" customHeight="1">
      <c r="A2687" s="6" t="s">
        <v>18037</v>
      </c>
      <c r="B2687" s="6" t="s">
        <v>18038</v>
      </c>
      <c r="C2687" s="6" t="s">
        <v>18039</v>
      </c>
      <c r="D2687" s="6" t="s">
        <v>145</v>
      </c>
      <c r="E2687" s="6" t="s">
        <v>147</v>
      </c>
      <c r="F2687" s="8">
        <v>17.0</v>
      </c>
      <c r="G2687" s="9">
        <v>553.81</v>
      </c>
      <c r="H2687" s="9">
        <v>10103.17</v>
      </c>
      <c r="I2687" s="6" t="s">
        <v>161</v>
      </c>
      <c r="J2687" s="6" t="s">
        <v>228</v>
      </c>
      <c r="K2687" s="6" t="s">
        <v>18041</v>
      </c>
      <c r="L2687" s="6">
        <v>5.6232445033E10</v>
      </c>
      <c r="M2687" s="6" t="s">
        <v>18042</v>
      </c>
      <c r="N2687" s="6" t="s">
        <v>427</v>
      </c>
      <c r="O2687" s="6" t="s">
        <v>178</v>
      </c>
      <c r="P2687" s="10">
        <v>45935.0</v>
      </c>
    </row>
    <row r="2688" ht="22.5" customHeight="1">
      <c r="A2688" s="6" t="s">
        <v>18044</v>
      </c>
      <c r="B2688" s="6" t="s">
        <v>18045</v>
      </c>
      <c r="C2688" s="6" t="s">
        <v>18046</v>
      </c>
      <c r="D2688" s="6" t="s">
        <v>145</v>
      </c>
      <c r="E2688" s="6" t="s">
        <v>147</v>
      </c>
      <c r="F2688" s="8">
        <v>12.0</v>
      </c>
      <c r="G2688" s="9">
        <v>867.95</v>
      </c>
      <c r="H2688" s="9">
        <v>7105.35</v>
      </c>
      <c r="I2688" s="6" t="s">
        <v>178</v>
      </c>
      <c r="J2688" s="6" t="s">
        <v>357</v>
      </c>
      <c r="K2688" s="6" t="s">
        <v>18048</v>
      </c>
      <c r="L2688" s="6">
        <v>5.882157671E9</v>
      </c>
      <c r="M2688" s="6" t="s">
        <v>18049</v>
      </c>
      <c r="N2688" s="6" t="s">
        <v>427</v>
      </c>
      <c r="O2688" s="6" t="s">
        <v>161</v>
      </c>
      <c r="P2688" s="10">
        <v>46010.0</v>
      </c>
    </row>
    <row r="2689" ht="22.5" customHeight="1">
      <c r="A2689" s="6" t="s">
        <v>18051</v>
      </c>
      <c r="B2689" s="6" t="s">
        <v>18052</v>
      </c>
      <c r="C2689" s="6" t="s">
        <v>18053</v>
      </c>
      <c r="D2689" s="6" t="s">
        <v>206</v>
      </c>
      <c r="E2689" s="6" t="s">
        <v>147</v>
      </c>
      <c r="F2689" s="8">
        <v>16.0</v>
      </c>
      <c r="G2689" s="9">
        <v>1027.68</v>
      </c>
      <c r="H2689" s="9">
        <v>7162.46</v>
      </c>
      <c r="I2689" s="6" t="s">
        <v>178</v>
      </c>
      <c r="J2689" s="6" t="s">
        <v>312</v>
      </c>
      <c r="K2689" s="6" t="s">
        <v>18054</v>
      </c>
      <c r="L2689" s="6">
        <v>6.2556352697E10</v>
      </c>
      <c r="M2689" s="6" t="s">
        <v>18055</v>
      </c>
      <c r="N2689" s="6" t="s">
        <v>112</v>
      </c>
      <c r="O2689" s="6" t="s">
        <v>161</v>
      </c>
      <c r="P2689" s="10">
        <v>45966.0</v>
      </c>
    </row>
    <row r="2690" ht="22.5" customHeight="1">
      <c r="A2690" s="6" t="s">
        <v>18056</v>
      </c>
      <c r="B2690" s="6" t="s">
        <v>18057</v>
      </c>
      <c r="C2690" s="6" t="s">
        <v>18059</v>
      </c>
      <c r="D2690" s="6" t="s">
        <v>206</v>
      </c>
      <c r="E2690" s="6" t="s">
        <v>210</v>
      </c>
      <c r="F2690" s="8">
        <v>72.0</v>
      </c>
      <c r="G2690" s="9">
        <v>297.13</v>
      </c>
      <c r="H2690" s="9">
        <v>6098.36</v>
      </c>
      <c r="I2690" s="6" t="s">
        <v>178</v>
      </c>
      <c r="J2690" s="6" t="s">
        <v>577</v>
      </c>
      <c r="K2690" s="6" t="s">
        <v>18060</v>
      </c>
      <c r="L2690" s="6">
        <v>9.0842716448E10</v>
      </c>
      <c r="M2690" s="6" t="s">
        <v>18061</v>
      </c>
      <c r="N2690" s="6" t="s">
        <v>427</v>
      </c>
      <c r="O2690" s="6" t="s">
        <v>161</v>
      </c>
      <c r="P2690" s="10">
        <v>46048.0</v>
      </c>
    </row>
    <row r="2691" ht="22.5" customHeight="1">
      <c r="A2691" s="6" t="s">
        <v>18062</v>
      </c>
      <c r="B2691" s="6" t="s">
        <v>18063</v>
      </c>
      <c r="C2691" s="6" t="s">
        <v>18064</v>
      </c>
      <c r="D2691" s="6" t="s">
        <v>145</v>
      </c>
      <c r="E2691" s="6" t="s">
        <v>301</v>
      </c>
      <c r="F2691" s="8">
        <v>49.0</v>
      </c>
      <c r="G2691" s="9">
        <v>450.37</v>
      </c>
      <c r="H2691" s="9">
        <v>7655.23</v>
      </c>
      <c r="I2691" s="6" t="s">
        <v>178</v>
      </c>
      <c r="J2691" s="6" t="s">
        <v>163</v>
      </c>
      <c r="K2691" s="6" t="s">
        <v>18066</v>
      </c>
      <c r="L2691" s="6">
        <v>8.4988621837E10</v>
      </c>
      <c r="M2691" s="6" t="s">
        <v>18067</v>
      </c>
      <c r="N2691" s="6" t="s">
        <v>283</v>
      </c>
      <c r="O2691" s="6" t="s">
        <v>161</v>
      </c>
      <c r="P2691" s="10">
        <v>45984.0</v>
      </c>
    </row>
    <row r="2692" ht="22.5" customHeight="1">
      <c r="A2692" s="6" t="s">
        <v>18068</v>
      </c>
      <c r="B2692" s="6" t="s">
        <v>18069</v>
      </c>
      <c r="C2692" s="6" t="s">
        <v>18070</v>
      </c>
      <c r="D2692" s="6" t="s">
        <v>145</v>
      </c>
      <c r="E2692" s="6" t="s">
        <v>147</v>
      </c>
      <c r="F2692" s="8">
        <v>20.0</v>
      </c>
      <c r="G2692" s="9">
        <v>779.5</v>
      </c>
      <c r="H2692" s="9">
        <v>11410.07</v>
      </c>
      <c r="I2692" s="6" t="s">
        <v>161</v>
      </c>
      <c r="J2692" s="6" t="s">
        <v>465</v>
      </c>
      <c r="K2692" s="6" t="s">
        <v>18071</v>
      </c>
      <c r="L2692" s="6" t="s">
        <v>259</v>
      </c>
      <c r="M2692" s="6" t="s">
        <v>18073</v>
      </c>
      <c r="N2692" s="6" t="s">
        <v>259</v>
      </c>
      <c r="O2692" s="6" t="s">
        <v>178</v>
      </c>
      <c r="P2692" s="10">
        <v>45966.0</v>
      </c>
    </row>
    <row r="2693" ht="22.5" customHeight="1">
      <c r="A2693" s="6" t="s">
        <v>18074</v>
      </c>
      <c r="B2693" s="6" t="s">
        <v>18075</v>
      </c>
      <c r="C2693" s="6" t="s">
        <v>18076</v>
      </c>
      <c r="D2693" s="6" t="s">
        <v>206</v>
      </c>
      <c r="E2693" s="6" t="s">
        <v>147</v>
      </c>
      <c r="F2693" s="8">
        <v>20.0</v>
      </c>
      <c r="G2693" s="9">
        <v>445.36</v>
      </c>
      <c r="H2693" s="9">
        <v>4232.78</v>
      </c>
      <c r="I2693" s="6" t="s">
        <v>161</v>
      </c>
      <c r="J2693" s="6" t="s">
        <v>479</v>
      </c>
      <c r="K2693" s="6" t="s">
        <v>18078</v>
      </c>
      <c r="L2693" s="6">
        <v>1.0270582392E10</v>
      </c>
      <c r="M2693" s="6" t="s">
        <v>18079</v>
      </c>
      <c r="N2693" s="6" t="s">
        <v>283</v>
      </c>
      <c r="O2693" s="6" t="s">
        <v>178</v>
      </c>
      <c r="P2693" s="10">
        <v>46009.0</v>
      </c>
    </row>
    <row r="2694" ht="22.5" customHeight="1">
      <c r="A2694" s="6" t="s">
        <v>18080</v>
      </c>
      <c r="B2694" s="6" t="s">
        <v>18081</v>
      </c>
      <c r="C2694" s="6" t="s">
        <v>18082</v>
      </c>
      <c r="D2694" s="6" t="s">
        <v>206</v>
      </c>
      <c r="E2694" s="6" t="s">
        <v>147</v>
      </c>
      <c r="F2694" s="8">
        <v>9.0</v>
      </c>
      <c r="G2694" s="9">
        <v>1286.39</v>
      </c>
      <c r="H2694" s="9">
        <v>9896.87</v>
      </c>
      <c r="I2694" s="6" t="s">
        <v>161</v>
      </c>
      <c r="J2694" s="6" t="s">
        <v>577</v>
      </c>
      <c r="K2694" s="6" t="s">
        <v>18084</v>
      </c>
      <c r="L2694" s="6">
        <v>3.6100486835E10</v>
      </c>
      <c r="M2694" s="6" t="s">
        <v>18085</v>
      </c>
      <c r="N2694" s="6" t="s">
        <v>427</v>
      </c>
      <c r="O2694" s="6" t="s">
        <v>178</v>
      </c>
      <c r="P2694" s="10">
        <v>45941.0</v>
      </c>
    </row>
    <row r="2695" ht="22.5" customHeight="1">
      <c r="A2695" s="6" t="s">
        <v>18087</v>
      </c>
      <c r="B2695" s="6" t="s">
        <v>18088</v>
      </c>
      <c r="C2695" s="6" t="s">
        <v>18089</v>
      </c>
      <c r="D2695" s="6" t="s">
        <v>145</v>
      </c>
      <c r="E2695" s="6" t="s">
        <v>147</v>
      </c>
      <c r="F2695" s="8">
        <v>25.0</v>
      </c>
      <c r="G2695" s="9">
        <v>614.63</v>
      </c>
      <c r="H2695" s="9">
        <v>6725.41</v>
      </c>
      <c r="I2695" s="6" t="s">
        <v>161</v>
      </c>
      <c r="J2695" s="6" t="s">
        <v>465</v>
      </c>
      <c r="K2695" s="6" t="s">
        <v>18090</v>
      </c>
      <c r="L2695" s="6">
        <v>5.1522317957E10</v>
      </c>
      <c r="M2695" s="6" t="s">
        <v>18091</v>
      </c>
      <c r="N2695" s="6" t="s">
        <v>176</v>
      </c>
      <c r="O2695" s="6" t="s">
        <v>178</v>
      </c>
      <c r="P2695" s="10">
        <v>45932.0</v>
      </c>
    </row>
    <row r="2696" ht="22.5" customHeight="1">
      <c r="A2696" s="6" t="s">
        <v>18093</v>
      </c>
      <c r="B2696" s="6" t="s">
        <v>18094</v>
      </c>
      <c r="C2696" s="6" t="s">
        <v>18095</v>
      </c>
      <c r="D2696" s="6" t="s">
        <v>145</v>
      </c>
      <c r="E2696" s="6" t="s">
        <v>301</v>
      </c>
      <c r="F2696" s="8">
        <v>59.0</v>
      </c>
      <c r="G2696" s="9">
        <v>1797.45</v>
      </c>
      <c r="H2696" s="9">
        <v>2950.57</v>
      </c>
      <c r="I2696" s="6" t="s">
        <v>161</v>
      </c>
      <c r="J2696" s="6" t="s">
        <v>163</v>
      </c>
      <c r="K2696" s="6" t="s">
        <v>18096</v>
      </c>
      <c r="L2696" s="6">
        <v>8.79230304E9</v>
      </c>
      <c r="M2696" s="6" t="s">
        <v>18097</v>
      </c>
      <c r="N2696" s="6" t="s">
        <v>176</v>
      </c>
      <c r="O2696" s="6" t="s">
        <v>178</v>
      </c>
      <c r="P2696" s="10">
        <v>45997.0</v>
      </c>
    </row>
    <row r="2697" ht="22.5" customHeight="1">
      <c r="A2697" s="6" t="s">
        <v>18098</v>
      </c>
      <c r="B2697" s="6" t="s">
        <v>18099</v>
      </c>
      <c r="C2697" s="6" t="s">
        <v>18100</v>
      </c>
      <c r="D2697" s="6" t="s">
        <v>383</v>
      </c>
      <c r="E2697" s="6" t="s">
        <v>301</v>
      </c>
      <c r="F2697" s="8">
        <v>54.0</v>
      </c>
      <c r="G2697" s="9">
        <v>1365.19</v>
      </c>
      <c r="H2697" s="9">
        <v>2943.38</v>
      </c>
      <c r="I2697" s="6" t="s">
        <v>161</v>
      </c>
      <c r="J2697" s="6" t="s">
        <v>312</v>
      </c>
      <c r="K2697" s="6" t="s">
        <v>18102</v>
      </c>
      <c r="L2697" s="6" t="s">
        <v>259</v>
      </c>
      <c r="M2697" s="6" t="s">
        <v>18103</v>
      </c>
      <c r="N2697" s="6" t="s">
        <v>176</v>
      </c>
      <c r="O2697" s="6" t="s">
        <v>178</v>
      </c>
      <c r="P2697" s="10">
        <v>46018.0</v>
      </c>
    </row>
    <row r="2698" ht="22.5" customHeight="1">
      <c r="A2698" s="6" t="s">
        <v>18104</v>
      </c>
      <c r="B2698" s="6" t="s">
        <v>18105</v>
      </c>
      <c r="C2698" s="6" t="s">
        <v>18106</v>
      </c>
      <c r="D2698" s="6" t="s">
        <v>206</v>
      </c>
      <c r="E2698" s="6" t="s">
        <v>147</v>
      </c>
      <c r="F2698" s="8">
        <v>24.0</v>
      </c>
      <c r="G2698" s="9">
        <v>1413.61</v>
      </c>
      <c r="H2698" s="9">
        <v>12378.13</v>
      </c>
      <c r="I2698" s="6" t="s">
        <v>161</v>
      </c>
      <c r="J2698" s="6" t="s">
        <v>465</v>
      </c>
      <c r="K2698" s="6" t="s">
        <v>18108</v>
      </c>
      <c r="L2698" s="6">
        <v>7.0885351594E10</v>
      </c>
      <c r="M2698" s="6" t="s">
        <v>18109</v>
      </c>
      <c r="N2698" s="6" t="s">
        <v>112</v>
      </c>
      <c r="O2698" s="6" t="s">
        <v>178</v>
      </c>
      <c r="P2698" s="10">
        <v>45932.0</v>
      </c>
    </row>
    <row r="2699" ht="22.5" customHeight="1">
      <c r="A2699" s="6" t="s">
        <v>18110</v>
      </c>
      <c r="B2699" s="6" t="s">
        <v>18111</v>
      </c>
      <c r="C2699" s="6" t="s">
        <v>18112</v>
      </c>
      <c r="D2699" s="6" t="s">
        <v>145</v>
      </c>
      <c r="E2699" s="6" t="s">
        <v>147</v>
      </c>
      <c r="F2699" s="8">
        <v>20.0</v>
      </c>
      <c r="G2699" s="9">
        <v>1254.0</v>
      </c>
      <c r="H2699" s="9">
        <v>4226.41</v>
      </c>
      <c r="I2699" s="6" t="s">
        <v>178</v>
      </c>
      <c r="J2699" s="6" t="s">
        <v>228</v>
      </c>
      <c r="K2699" s="6" t="s">
        <v>18114</v>
      </c>
      <c r="L2699" s="6">
        <v>8.7057113502E10</v>
      </c>
      <c r="M2699" s="6" t="s">
        <v>18115</v>
      </c>
      <c r="N2699" s="6" t="s">
        <v>427</v>
      </c>
      <c r="O2699" s="6" t="s">
        <v>161</v>
      </c>
      <c r="P2699" s="10">
        <v>45981.0</v>
      </c>
    </row>
    <row r="2700" ht="22.5" customHeight="1">
      <c r="A2700" s="6" t="s">
        <v>18116</v>
      </c>
      <c r="B2700" s="6" t="s">
        <v>18117</v>
      </c>
      <c r="C2700" s="6" t="s">
        <v>18118</v>
      </c>
      <c r="D2700" s="6" t="s">
        <v>383</v>
      </c>
      <c r="E2700" s="6" t="s">
        <v>210</v>
      </c>
      <c r="F2700" s="8">
        <v>120.0</v>
      </c>
      <c r="G2700" s="9">
        <v>646.83</v>
      </c>
      <c r="H2700" s="9">
        <v>10354.18</v>
      </c>
      <c r="I2700" s="6" t="s">
        <v>178</v>
      </c>
      <c r="J2700" s="6" t="s">
        <v>465</v>
      </c>
      <c r="K2700" s="6" t="s">
        <v>18120</v>
      </c>
      <c r="L2700" s="6">
        <v>4.995604698E9</v>
      </c>
      <c r="M2700" s="6" t="s">
        <v>18121</v>
      </c>
      <c r="N2700" s="6" t="s">
        <v>176</v>
      </c>
      <c r="O2700" s="6" t="s">
        <v>161</v>
      </c>
      <c r="P2700" s="10">
        <v>45980.0</v>
      </c>
    </row>
    <row r="2701" ht="22.5" customHeight="1">
      <c r="A2701" s="6" t="s">
        <v>18122</v>
      </c>
      <c r="B2701" s="6" t="s">
        <v>18124</v>
      </c>
      <c r="C2701" s="6" t="s">
        <v>18125</v>
      </c>
      <c r="D2701" s="6" t="s">
        <v>206</v>
      </c>
      <c r="E2701" s="6" t="s">
        <v>147</v>
      </c>
      <c r="F2701" s="8">
        <v>29.0</v>
      </c>
      <c r="G2701" s="9">
        <v>1467.38</v>
      </c>
      <c r="H2701" s="9">
        <v>4579.93</v>
      </c>
      <c r="I2701" s="6" t="s">
        <v>161</v>
      </c>
      <c r="J2701" s="6" t="s">
        <v>442</v>
      </c>
      <c r="K2701" s="6" t="s">
        <v>18126</v>
      </c>
      <c r="L2701" s="6">
        <v>9.0349535714E10</v>
      </c>
      <c r="M2701" s="6" t="s">
        <v>18127</v>
      </c>
      <c r="N2701" s="6" t="s">
        <v>427</v>
      </c>
      <c r="O2701" s="6" t="s">
        <v>178</v>
      </c>
      <c r="P2701" s="10">
        <v>45978.0</v>
      </c>
    </row>
    <row r="2702" ht="22.5" customHeight="1">
      <c r="A2702" s="6" t="s">
        <v>18129</v>
      </c>
      <c r="B2702" s="6" t="s">
        <v>18130</v>
      </c>
      <c r="C2702" s="6" t="s">
        <v>18131</v>
      </c>
      <c r="D2702" s="6" t="s">
        <v>145</v>
      </c>
      <c r="E2702" s="6" t="s">
        <v>147</v>
      </c>
      <c r="F2702" s="8">
        <v>13.0</v>
      </c>
      <c r="G2702" s="9">
        <v>345.95</v>
      </c>
      <c r="H2702" s="9">
        <v>8518.33</v>
      </c>
      <c r="I2702" s="6" t="s">
        <v>161</v>
      </c>
      <c r="J2702" s="6" t="s">
        <v>577</v>
      </c>
      <c r="K2702" s="6" t="s">
        <v>18132</v>
      </c>
      <c r="L2702" s="6">
        <v>5.9328529135E10</v>
      </c>
      <c r="M2702" s="6" t="s">
        <v>18133</v>
      </c>
      <c r="N2702" s="6" t="s">
        <v>283</v>
      </c>
      <c r="O2702" s="6" t="s">
        <v>178</v>
      </c>
      <c r="P2702" s="10">
        <v>45973.0</v>
      </c>
    </row>
    <row r="2703" ht="22.5" customHeight="1">
      <c r="A2703" s="6" t="s">
        <v>18135</v>
      </c>
      <c r="B2703" s="6" t="s">
        <v>18136</v>
      </c>
      <c r="C2703" s="6" t="s">
        <v>18137</v>
      </c>
      <c r="D2703" s="6" t="s">
        <v>206</v>
      </c>
      <c r="E2703" s="6" t="s">
        <v>210</v>
      </c>
      <c r="F2703" s="8">
        <v>92.0</v>
      </c>
      <c r="G2703" s="9">
        <v>1039.93</v>
      </c>
      <c r="H2703" s="9">
        <v>14916.18</v>
      </c>
      <c r="I2703" s="6" t="s">
        <v>178</v>
      </c>
      <c r="J2703" s="6" t="s">
        <v>393</v>
      </c>
      <c r="K2703" s="6" t="s">
        <v>18138</v>
      </c>
      <c r="L2703" s="6" t="s">
        <v>259</v>
      </c>
      <c r="M2703" s="6" t="s">
        <v>18139</v>
      </c>
      <c r="N2703" s="6" t="s">
        <v>259</v>
      </c>
      <c r="O2703" s="6" t="s">
        <v>161</v>
      </c>
      <c r="P2703" s="10">
        <v>45944.0</v>
      </c>
    </row>
    <row r="2704" ht="22.5" customHeight="1">
      <c r="A2704" s="6" t="s">
        <v>18141</v>
      </c>
      <c r="B2704" s="6" t="s">
        <v>18142</v>
      </c>
      <c r="C2704" s="6" t="s">
        <v>18143</v>
      </c>
      <c r="D2704" s="6" t="s">
        <v>383</v>
      </c>
      <c r="E2704" s="6" t="s">
        <v>301</v>
      </c>
      <c r="F2704" s="8">
        <v>31.0</v>
      </c>
      <c r="G2704" s="9">
        <v>514.04</v>
      </c>
      <c r="H2704" s="9">
        <v>8765.05</v>
      </c>
      <c r="I2704" s="6" t="s">
        <v>161</v>
      </c>
      <c r="J2704" s="6" t="s">
        <v>421</v>
      </c>
      <c r="K2704" s="6" t="s">
        <v>18145</v>
      </c>
      <c r="L2704" s="6">
        <v>6.6490352721E10</v>
      </c>
      <c r="M2704" s="6" t="s">
        <v>18146</v>
      </c>
      <c r="N2704" s="6" t="s">
        <v>176</v>
      </c>
      <c r="O2704" s="6" t="s">
        <v>178</v>
      </c>
      <c r="P2704" s="10">
        <v>46015.0</v>
      </c>
    </row>
    <row r="2705" ht="22.5" customHeight="1">
      <c r="A2705" s="6" t="s">
        <v>18148</v>
      </c>
      <c r="B2705" s="6" t="s">
        <v>18149</v>
      </c>
      <c r="C2705" s="6" t="s">
        <v>18150</v>
      </c>
      <c r="D2705" s="6" t="s">
        <v>206</v>
      </c>
      <c r="E2705" s="6" t="s">
        <v>147</v>
      </c>
      <c r="F2705" s="8">
        <v>18.0</v>
      </c>
      <c r="G2705" s="9">
        <v>1710.91</v>
      </c>
      <c r="H2705" s="9">
        <v>15396.33</v>
      </c>
      <c r="I2705" s="6" t="s">
        <v>161</v>
      </c>
      <c r="J2705" s="6" t="s">
        <v>442</v>
      </c>
      <c r="K2705" s="6" t="s">
        <v>18152</v>
      </c>
      <c r="L2705" s="6">
        <v>7.4234783479E10</v>
      </c>
      <c r="M2705" s="6" t="s">
        <v>18153</v>
      </c>
      <c r="N2705" s="6" t="s">
        <v>112</v>
      </c>
      <c r="O2705" s="6" t="s">
        <v>178</v>
      </c>
      <c r="P2705" s="10">
        <v>46047.0</v>
      </c>
    </row>
    <row r="2706" ht="22.5" customHeight="1">
      <c r="A2706" s="6" t="s">
        <v>18155</v>
      </c>
      <c r="B2706" s="6" t="s">
        <v>18156</v>
      </c>
      <c r="C2706" s="6" t="s">
        <v>18157</v>
      </c>
      <c r="D2706" s="6" t="s">
        <v>206</v>
      </c>
      <c r="E2706" s="6" t="s">
        <v>147</v>
      </c>
      <c r="F2706" s="8">
        <v>10.0</v>
      </c>
      <c r="G2706" s="9">
        <v>813.68</v>
      </c>
      <c r="H2706" s="9">
        <v>13341.0</v>
      </c>
      <c r="I2706" s="6" t="s">
        <v>161</v>
      </c>
      <c r="J2706" s="6" t="s">
        <v>465</v>
      </c>
      <c r="K2706" s="6" t="s">
        <v>18159</v>
      </c>
      <c r="L2706" s="6">
        <v>3.296182849E10</v>
      </c>
      <c r="M2706" s="6" t="s">
        <v>18160</v>
      </c>
      <c r="N2706" s="6" t="s">
        <v>427</v>
      </c>
      <c r="O2706" s="6" t="s">
        <v>178</v>
      </c>
      <c r="P2706" s="10">
        <v>46038.0</v>
      </c>
    </row>
    <row r="2707" ht="22.5" customHeight="1">
      <c r="A2707" s="6" t="s">
        <v>18162</v>
      </c>
      <c r="B2707" s="6" t="s">
        <v>18163</v>
      </c>
      <c r="C2707" s="6" t="s">
        <v>18164</v>
      </c>
      <c r="D2707" s="6" t="s">
        <v>145</v>
      </c>
      <c r="E2707" s="6" t="s">
        <v>147</v>
      </c>
      <c r="F2707" s="8">
        <v>27.0</v>
      </c>
      <c r="G2707" s="9">
        <v>727.93</v>
      </c>
      <c r="H2707" s="9">
        <v>4320.88</v>
      </c>
      <c r="I2707" s="6" t="s">
        <v>161</v>
      </c>
      <c r="J2707" s="6" t="s">
        <v>357</v>
      </c>
      <c r="K2707" s="6" t="s">
        <v>18166</v>
      </c>
      <c r="L2707" s="6">
        <v>5.6878206037E10</v>
      </c>
      <c r="M2707" s="6" t="s">
        <v>18168</v>
      </c>
      <c r="N2707" s="6" t="s">
        <v>176</v>
      </c>
      <c r="O2707" s="6" t="s">
        <v>178</v>
      </c>
      <c r="P2707" s="10">
        <v>45944.0</v>
      </c>
    </row>
    <row r="2708" ht="22.5" customHeight="1">
      <c r="A2708" s="6" t="s">
        <v>18169</v>
      </c>
      <c r="B2708" s="6" t="s">
        <v>18170</v>
      </c>
      <c r="C2708" s="6" t="s">
        <v>18172</v>
      </c>
      <c r="D2708" s="6" t="s">
        <v>206</v>
      </c>
      <c r="E2708" s="6" t="s">
        <v>147</v>
      </c>
      <c r="F2708" s="8">
        <v>15.0</v>
      </c>
      <c r="G2708" s="9">
        <v>1038.59</v>
      </c>
      <c r="H2708" s="9">
        <v>6484.66</v>
      </c>
      <c r="I2708" s="6" t="s">
        <v>161</v>
      </c>
      <c r="J2708" s="6" t="s">
        <v>312</v>
      </c>
      <c r="K2708" s="6" t="s">
        <v>18173</v>
      </c>
      <c r="L2708" s="6">
        <v>6.5072933706E10</v>
      </c>
      <c r="M2708" s="6" t="s">
        <v>18175</v>
      </c>
      <c r="N2708" s="6" t="s">
        <v>112</v>
      </c>
      <c r="O2708" s="6" t="s">
        <v>178</v>
      </c>
      <c r="P2708" s="10">
        <v>45962.0</v>
      </c>
    </row>
    <row r="2709" ht="22.5" customHeight="1">
      <c r="A2709" s="6" t="s">
        <v>18176</v>
      </c>
      <c r="B2709" s="6" t="s">
        <v>18177</v>
      </c>
      <c r="C2709" s="6" t="s">
        <v>18178</v>
      </c>
      <c r="D2709" s="6" t="s">
        <v>206</v>
      </c>
      <c r="E2709" s="6" t="s">
        <v>301</v>
      </c>
      <c r="F2709" s="8">
        <v>31.0</v>
      </c>
      <c r="G2709" s="9">
        <v>482.42</v>
      </c>
      <c r="H2709" s="9">
        <v>13863.54</v>
      </c>
      <c r="I2709" s="6" t="s">
        <v>161</v>
      </c>
      <c r="J2709" s="6" t="s">
        <v>465</v>
      </c>
      <c r="K2709" s="6" t="s">
        <v>18180</v>
      </c>
      <c r="L2709" s="6">
        <v>5.163359974E9</v>
      </c>
      <c r="M2709" s="6" t="s">
        <v>18182</v>
      </c>
      <c r="N2709" s="6" t="s">
        <v>283</v>
      </c>
      <c r="O2709" s="6" t="s">
        <v>178</v>
      </c>
      <c r="P2709" s="10">
        <v>45988.0</v>
      </c>
    </row>
    <row r="2710" ht="22.5" customHeight="1">
      <c r="A2710" s="6" t="s">
        <v>18183</v>
      </c>
      <c r="B2710" s="6" t="s">
        <v>18184</v>
      </c>
      <c r="C2710" s="6" t="s">
        <v>18185</v>
      </c>
      <c r="D2710" s="6" t="s">
        <v>206</v>
      </c>
      <c r="E2710" s="6" t="s">
        <v>147</v>
      </c>
      <c r="F2710" s="8">
        <v>25.0</v>
      </c>
      <c r="G2710" s="9">
        <v>151.23</v>
      </c>
      <c r="H2710" s="9">
        <v>9625.19</v>
      </c>
      <c r="I2710" s="6" t="s">
        <v>161</v>
      </c>
      <c r="J2710" s="6" t="s">
        <v>228</v>
      </c>
      <c r="K2710" s="6" t="s">
        <v>18187</v>
      </c>
      <c r="L2710" s="6">
        <v>9.6888833369E10</v>
      </c>
      <c r="M2710" s="6" t="s">
        <v>18189</v>
      </c>
      <c r="N2710" s="6" t="s">
        <v>427</v>
      </c>
      <c r="O2710" s="6" t="s">
        <v>178</v>
      </c>
      <c r="P2710" s="10">
        <v>45960.0</v>
      </c>
    </row>
    <row r="2711" ht="22.5" customHeight="1">
      <c r="A2711" s="6" t="s">
        <v>18190</v>
      </c>
      <c r="B2711" s="6" t="s">
        <v>18191</v>
      </c>
      <c r="C2711" s="6" t="s">
        <v>18192</v>
      </c>
      <c r="D2711" s="6" t="s">
        <v>145</v>
      </c>
      <c r="E2711" s="6" t="s">
        <v>301</v>
      </c>
      <c r="F2711" s="8">
        <v>51.0</v>
      </c>
      <c r="G2711" s="9">
        <v>635.69</v>
      </c>
      <c r="H2711" s="9">
        <v>12681.99</v>
      </c>
      <c r="I2711" s="6" t="s">
        <v>161</v>
      </c>
      <c r="J2711" s="6" t="s">
        <v>357</v>
      </c>
      <c r="K2711" s="6" t="s">
        <v>18194</v>
      </c>
      <c r="L2711" s="6">
        <v>2.3545751237E10</v>
      </c>
      <c r="M2711" s="6" t="s">
        <v>18195</v>
      </c>
      <c r="N2711" s="6" t="s">
        <v>283</v>
      </c>
      <c r="O2711" s="6" t="s">
        <v>178</v>
      </c>
      <c r="P2711" s="10">
        <v>46034.0</v>
      </c>
    </row>
    <row r="2712" ht="22.5" customHeight="1">
      <c r="A2712" s="6" t="s">
        <v>18196</v>
      </c>
      <c r="B2712" s="6" t="s">
        <v>18197</v>
      </c>
      <c r="C2712" s="6" t="s">
        <v>18198</v>
      </c>
      <c r="D2712" s="6" t="s">
        <v>383</v>
      </c>
      <c r="E2712" s="6" t="s">
        <v>147</v>
      </c>
      <c r="F2712" s="8">
        <v>17.0</v>
      </c>
      <c r="G2712" s="9">
        <v>1106.7</v>
      </c>
      <c r="H2712" s="9">
        <v>9920.78</v>
      </c>
      <c r="I2712" s="6" t="s">
        <v>161</v>
      </c>
      <c r="J2712" s="6" t="s">
        <v>421</v>
      </c>
      <c r="K2712" s="6" t="s">
        <v>18199</v>
      </c>
      <c r="L2712" s="6">
        <v>4.4677739575E10</v>
      </c>
      <c r="M2712" s="6" t="s">
        <v>18200</v>
      </c>
      <c r="N2712" s="6" t="s">
        <v>112</v>
      </c>
      <c r="O2712" s="6" t="s">
        <v>178</v>
      </c>
      <c r="P2712" s="10">
        <v>46018.0</v>
      </c>
    </row>
    <row r="2713" ht="22.5" customHeight="1">
      <c r="A2713" s="6" t="s">
        <v>18202</v>
      </c>
      <c r="B2713" s="6" t="s">
        <v>18203</v>
      </c>
      <c r="C2713" s="6" t="s">
        <v>18204</v>
      </c>
      <c r="D2713" s="6" t="s">
        <v>383</v>
      </c>
      <c r="E2713" s="6" t="s">
        <v>147</v>
      </c>
      <c r="F2713" s="8">
        <v>29.0</v>
      </c>
      <c r="G2713" s="9">
        <v>1017.32</v>
      </c>
      <c r="H2713" s="9">
        <v>12301.12</v>
      </c>
      <c r="I2713" s="6" t="s">
        <v>161</v>
      </c>
      <c r="J2713" s="6" t="s">
        <v>465</v>
      </c>
      <c r="K2713" s="6" t="s">
        <v>259</v>
      </c>
      <c r="L2713" s="6">
        <v>2.59227684E9</v>
      </c>
      <c r="M2713" s="6" t="s">
        <v>18205</v>
      </c>
      <c r="N2713" s="6" t="s">
        <v>427</v>
      </c>
      <c r="O2713" s="6" t="s">
        <v>178</v>
      </c>
      <c r="P2713" s="10">
        <v>45974.0</v>
      </c>
    </row>
    <row r="2714" ht="22.5" customHeight="1">
      <c r="A2714" s="6" t="s">
        <v>18206</v>
      </c>
      <c r="B2714" s="6" t="s">
        <v>18207</v>
      </c>
      <c r="C2714" s="6" t="s">
        <v>18209</v>
      </c>
      <c r="D2714" s="6" t="s">
        <v>206</v>
      </c>
      <c r="E2714" s="6" t="s">
        <v>147</v>
      </c>
      <c r="F2714" s="8">
        <v>17.0</v>
      </c>
      <c r="G2714" s="9">
        <v>1774.19</v>
      </c>
      <c r="H2714" s="9">
        <v>8630.71</v>
      </c>
      <c r="I2714" s="6" t="s">
        <v>161</v>
      </c>
      <c r="J2714" s="6" t="s">
        <v>577</v>
      </c>
      <c r="K2714" s="6" t="s">
        <v>18210</v>
      </c>
      <c r="L2714" s="6">
        <v>1.6437694545E10</v>
      </c>
      <c r="M2714" s="6" t="s">
        <v>18211</v>
      </c>
      <c r="N2714" s="6" t="s">
        <v>427</v>
      </c>
      <c r="O2714" s="6" t="s">
        <v>178</v>
      </c>
      <c r="P2714" s="10">
        <v>46044.0</v>
      </c>
    </row>
    <row r="2715" ht="22.5" customHeight="1">
      <c r="A2715" s="6" t="s">
        <v>18212</v>
      </c>
      <c r="B2715" s="6" t="s">
        <v>18213</v>
      </c>
      <c r="C2715" s="6" t="s">
        <v>18214</v>
      </c>
      <c r="D2715" s="6" t="s">
        <v>145</v>
      </c>
      <c r="E2715" s="6" t="s">
        <v>147</v>
      </c>
      <c r="F2715" s="8">
        <v>9.0</v>
      </c>
      <c r="G2715" s="9">
        <v>1318.97</v>
      </c>
      <c r="H2715" s="9">
        <v>7390.74</v>
      </c>
      <c r="I2715" s="6" t="s">
        <v>161</v>
      </c>
      <c r="J2715" s="6" t="s">
        <v>479</v>
      </c>
      <c r="K2715" s="6" t="s">
        <v>18216</v>
      </c>
      <c r="L2715" s="6">
        <v>3.448475858E9</v>
      </c>
      <c r="M2715" s="6" t="s">
        <v>18217</v>
      </c>
      <c r="N2715" s="6" t="s">
        <v>283</v>
      </c>
      <c r="O2715" s="6" t="s">
        <v>178</v>
      </c>
      <c r="P2715" s="10">
        <v>45941.0</v>
      </c>
    </row>
    <row r="2716" ht="22.5" customHeight="1">
      <c r="A2716" s="6" t="s">
        <v>18219</v>
      </c>
      <c r="B2716" s="6" t="s">
        <v>18220</v>
      </c>
      <c r="C2716" s="6" t="s">
        <v>18221</v>
      </c>
      <c r="D2716" s="6" t="s">
        <v>206</v>
      </c>
      <c r="E2716" s="6" t="s">
        <v>301</v>
      </c>
      <c r="F2716" s="8">
        <v>38.0</v>
      </c>
      <c r="G2716" s="9">
        <v>115.5</v>
      </c>
      <c r="H2716" s="9">
        <v>7129.82</v>
      </c>
      <c r="I2716" s="6" t="s">
        <v>161</v>
      </c>
      <c r="J2716" s="6" t="s">
        <v>163</v>
      </c>
      <c r="K2716" s="6" t="s">
        <v>18223</v>
      </c>
      <c r="L2716" s="6">
        <v>2.7207098991E10</v>
      </c>
      <c r="M2716" s="6" t="s">
        <v>18224</v>
      </c>
      <c r="N2716" s="6" t="s">
        <v>176</v>
      </c>
      <c r="O2716" s="6" t="s">
        <v>178</v>
      </c>
      <c r="P2716" s="10">
        <v>45949.0</v>
      </c>
    </row>
    <row r="2717" ht="22.5" customHeight="1">
      <c r="A2717" s="6" t="s">
        <v>18225</v>
      </c>
      <c r="B2717" s="6" t="s">
        <v>18226</v>
      </c>
      <c r="C2717" s="6" t="s">
        <v>18227</v>
      </c>
      <c r="D2717" s="6" t="s">
        <v>145</v>
      </c>
      <c r="E2717" s="6" t="s">
        <v>147</v>
      </c>
      <c r="F2717" s="8">
        <v>12.0</v>
      </c>
      <c r="G2717" s="9">
        <v>146.28</v>
      </c>
      <c r="H2717" s="9">
        <v>5499.32</v>
      </c>
      <c r="I2717" s="6" t="s">
        <v>161</v>
      </c>
      <c r="J2717" s="6" t="s">
        <v>393</v>
      </c>
      <c r="K2717" s="6" t="s">
        <v>18228</v>
      </c>
      <c r="L2717" s="6">
        <v>1.226375534E9</v>
      </c>
      <c r="M2717" s="6" t="s">
        <v>18229</v>
      </c>
      <c r="N2717" s="6" t="s">
        <v>259</v>
      </c>
      <c r="O2717" s="6" t="s">
        <v>178</v>
      </c>
      <c r="P2717" s="10">
        <v>46044.0</v>
      </c>
    </row>
    <row r="2718" ht="22.5" customHeight="1">
      <c r="A2718" s="6" t="s">
        <v>18231</v>
      </c>
      <c r="B2718" s="6" t="s">
        <v>18232</v>
      </c>
      <c r="C2718" s="6" t="s">
        <v>18233</v>
      </c>
      <c r="D2718" s="6" t="s">
        <v>145</v>
      </c>
      <c r="E2718" s="6" t="s">
        <v>210</v>
      </c>
      <c r="F2718" s="8">
        <v>71.0</v>
      </c>
      <c r="G2718" s="9">
        <v>1314.18</v>
      </c>
      <c r="H2718" s="9">
        <v>9805.91</v>
      </c>
      <c r="I2718" s="6" t="s">
        <v>178</v>
      </c>
      <c r="J2718" s="6" t="s">
        <v>228</v>
      </c>
      <c r="K2718" s="6" t="s">
        <v>18234</v>
      </c>
      <c r="L2718" s="6">
        <v>7.6297509461E10</v>
      </c>
      <c r="M2718" s="6" t="s">
        <v>18236</v>
      </c>
      <c r="N2718" s="6" t="s">
        <v>283</v>
      </c>
      <c r="O2718" s="6" t="s">
        <v>161</v>
      </c>
      <c r="P2718" s="10">
        <v>45947.0</v>
      </c>
    </row>
    <row r="2719" ht="22.5" customHeight="1">
      <c r="A2719" s="6" t="s">
        <v>18237</v>
      </c>
      <c r="B2719" s="6" t="s">
        <v>18238</v>
      </c>
      <c r="C2719" s="6" t="s">
        <v>18239</v>
      </c>
      <c r="D2719" s="6" t="s">
        <v>145</v>
      </c>
      <c r="E2719" s="6" t="s">
        <v>147</v>
      </c>
      <c r="F2719" s="8">
        <v>19.0</v>
      </c>
      <c r="G2719" s="9">
        <v>705.85</v>
      </c>
      <c r="H2719" s="9">
        <v>7127.42</v>
      </c>
      <c r="I2719" s="6" t="s">
        <v>161</v>
      </c>
      <c r="J2719" s="6" t="s">
        <v>421</v>
      </c>
      <c r="K2719" s="6" t="s">
        <v>18240</v>
      </c>
      <c r="L2719" s="6">
        <v>8.72067674E9</v>
      </c>
      <c r="M2719" s="6" t="s">
        <v>18241</v>
      </c>
      <c r="N2719" s="6" t="s">
        <v>112</v>
      </c>
      <c r="O2719" s="6" t="s">
        <v>178</v>
      </c>
      <c r="P2719" s="10">
        <v>45981.0</v>
      </c>
    </row>
    <row r="2720" ht="22.5" customHeight="1">
      <c r="A2720" s="6" t="s">
        <v>18243</v>
      </c>
      <c r="B2720" s="6" t="s">
        <v>18244</v>
      </c>
      <c r="C2720" s="6" t="s">
        <v>18245</v>
      </c>
      <c r="D2720" s="6" t="s">
        <v>145</v>
      </c>
      <c r="E2720" s="6" t="s">
        <v>301</v>
      </c>
      <c r="F2720" s="8">
        <v>54.0</v>
      </c>
      <c r="G2720" s="9">
        <v>1739.0</v>
      </c>
      <c r="H2720" s="9">
        <v>7634.5</v>
      </c>
      <c r="I2720" s="6" t="s">
        <v>161</v>
      </c>
      <c r="J2720" s="6" t="s">
        <v>465</v>
      </c>
      <c r="K2720" s="6" t="s">
        <v>18246</v>
      </c>
      <c r="L2720" s="6">
        <v>8.0896226021E10</v>
      </c>
      <c r="M2720" s="6" t="s">
        <v>18247</v>
      </c>
      <c r="N2720" s="6" t="s">
        <v>283</v>
      </c>
      <c r="O2720" s="6" t="s">
        <v>178</v>
      </c>
      <c r="P2720" s="10">
        <v>46003.0</v>
      </c>
    </row>
    <row r="2721" ht="22.5" customHeight="1">
      <c r="A2721" s="6" t="s">
        <v>18249</v>
      </c>
      <c r="B2721" s="6" t="s">
        <v>18250</v>
      </c>
      <c r="C2721" s="6" t="s">
        <v>18251</v>
      </c>
      <c r="D2721" s="6" t="s">
        <v>206</v>
      </c>
      <c r="E2721" s="6" t="s">
        <v>147</v>
      </c>
      <c r="F2721" s="8">
        <v>27.0</v>
      </c>
      <c r="G2721" s="9">
        <v>468.2</v>
      </c>
      <c r="H2721" s="9">
        <v>6740.25</v>
      </c>
      <c r="I2721" s="6" t="s">
        <v>161</v>
      </c>
      <c r="J2721" s="6" t="s">
        <v>479</v>
      </c>
      <c r="K2721" s="6" t="s">
        <v>18253</v>
      </c>
      <c r="L2721" s="6">
        <v>5.8098284618E10</v>
      </c>
      <c r="M2721" s="6" t="s">
        <v>18254</v>
      </c>
      <c r="N2721" s="6" t="s">
        <v>259</v>
      </c>
      <c r="O2721" s="6" t="s">
        <v>178</v>
      </c>
      <c r="P2721" s="10">
        <v>46035.0</v>
      </c>
    </row>
    <row r="2722" ht="22.5" customHeight="1">
      <c r="A2722" s="6" t="s">
        <v>18255</v>
      </c>
      <c r="B2722" s="6" t="s">
        <v>18256</v>
      </c>
      <c r="C2722" s="6" t="s">
        <v>18257</v>
      </c>
      <c r="D2722" s="6" t="s">
        <v>145</v>
      </c>
      <c r="E2722" s="6" t="s">
        <v>147</v>
      </c>
      <c r="F2722" s="8">
        <v>28.0</v>
      </c>
      <c r="G2722" s="9">
        <v>93.22</v>
      </c>
      <c r="H2722" s="9">
        <v>10441.14</v>
      </c>
      <c r="I2722" s="6" t="s">
        <v>161</v>
      </c>
      <c r="J2722" s="6" t="s">
        <v>163</v>
      </c>
      <c r="K2722" s="6" t="s">
        <v>18259</v>
      </c>
      <c r="L2722" s="6">
        <v>2.954065195E10</v>
      </c>
      <c r="M2722" s="6" t="s">
        <v>18260</v>
      </c>
      <c r="N2722" s="6" t="s">
        <v>112</v>
      </c>
      <c r="O2722" s="6" t="s">
        <v>178</v>
      </c>
      <c r="P2722" s="10">
        <v>46022.0</v>
      </c>
    </row>
    <row r="2723" ht="22.5" customHeight="1">
      <c r="A2723" s="6" t="s">
        <v>18262</v>
      </c>
      <c r="B2723" s="6" t="s">
        <v>18263</v>
      </c>
      <c r="C2723" s="6" t="s">
        <v>18264</v>
      </c>
      <c r="D2723" s="6" t="s">
        <v>145</v>
      </c>
      <c r="E2723" s="6" t="s">
        <v>147</v>
      </c>
      <c r="F2723" s="8">
        <v>25.0</v>
      </c>
      <c r="G2723" s="9">
        <v>343.67</v>
      </c>
      <c r="H2723" s="9">
        <v>871.11</v>
      </c>
      <c r="I2723" s="6" t="s">
        <v>178</v>
      </c>
      <c r="J2723" s="6" t="s">
        <v>312</v>
      </c>
      <c r="K2723" s="6" t="s">
        <v>18266</v>
      </c>
      <c r="L2723" s="6">
        <v>7.5297234049E10</v>
      </c>
      <c r="M2723" s="6" t="s">
        <v>14037</v>
      </c>
      <c r="N2723" s="6" t="s">
        <v>176</v>
      </c>
      <c r="O2723" s="6" t="s">
        <v>161</v>
      </c>
      <c r="P2723" s="10">
        <v>45956.0</v>
      </c>
    </row>
    <row r="2724" ht="22.5" customHeight="1">
      <c r="A2724" s="6" t="s">
        <v>18267</v>
      </c>
      <c r="B2724" s="6" t="s">
        <v>18268</v>
      </c>
      <c r="C2724" s="6" t="s">
        <v>18269</v>
      </c>
      <c r="D2724" s="6" t="s">
        <v>206</v>
      </c>
      <c r="E2724" s="6" t="s">
        <v>147</v>
      </c>
      <c r="F2724" s="8">
        <v>16.0</v>
      </c>
      <c r="G2724" s="9">
        <v>967.21</v>
      </c>
      <c r="H2724" s="9">
        <v>8219.81</v>
      </c>
      <c r="I2724" s="6" t="s">
        <v>161</v>
      </c>
      <c r="J2724" s="6" t="s">
        <v>393</v>
      </c>
      <c r="K2724" s="6" t="s">
        <v>18270</v>
      </c>
      <c r="L2724" s="6">
        <v>9.0120497467E10</v>
      </c>
      <c r="M2724" s="6" t="s">
        <v>18271</v>
      </c>
      <c r="N2724" s="6" t="s">
        <v>259</v>
      </c>
      <c r="O2724" s="6" t="s">
        <v>178</v>
      </c>
      <c r="P2724" s="10">
        <v>45947.0</v>
      </c>
    </row>
    <row r="2725" ht="22.5" customHeight="1">
      <c r="A2725" s="6" t="s">
        <v>18273</v>
      </c>
      <c r="B2725" s="6" t="s">
        <v>18274</v>
      </c>
      <c r="C2725" s="6" t="s">
        <v>18275</v>
      </c>
      <c r="D2725" s="6" t="s">
        <v>206</v>
      </c>
      <c r="E2725" s="6" t="s">
        <v>210</v>
      </c>
      <c r="F2725" s="8">
        <v>86.0</v>
      </c>
      <c r="G2725" s="9">
        <v>147.13</v>
      </c>
      <c r="H2725" s="9">
        <v>3185.52</v>
      </c>
      <c r="I2725" s="6" t="s">
        <v>178</v>
      </c>
      <c r="J2725" s="6" t="s">
        <v>163</v>
      </c>
      <c r="K2725" s="6" t="s">
        <v>259</v>
      </c>
      <c r="L2725" s="6">
        <v>5.3120813094E10</v>
      </c>
      <c r="M2725" s="6" t="s">
        <v>18277</v>
      </c>
      <c r="N2725" s="6" t="s">
        <v>427</v>
      </c>
      <c r="O2725" s="6" t="s">
        <v>161</v>
      </c>
      <c r="P2725" s="10">
        <v>45988.0</v>
      </c>
    </row>
    <row r="2726" ht="22.5" customHeight="1">
      <c r="A2726" s="6" t="s">
        <v>18278</v>
      </c>
      <c r="B2726" s="6" t="s">
        <v>18279</v>
      </c>
      <c r="C2726" s="6" t="s">
        <v>18280</v>
      </c>
      <c r="D2726" s="6" t="s">
        <v>383</v>
      </c>
      <c r="E2726" s="6" t="s">
        <v>301</v>
      </c>
      <c r="F2726" s="8">
        <v>30.0</v>
      </c>
      <c r="G2726" s="9">
        <v>408.51</v>
      </c>
      <c r="H2726" s="9">
        <v>11557.74</v>
      </c>
      <c r="I2726" s="6" t="s">
        <v>161</v>
      </c>
      <c r="J2726" s="6" t="s">
        <v>421</v>
      </c>
      <c r="K2726" s="6" t="s">
        <v>259</v>
      </c>
      <c r="L2726" s="6">
        <v>8.5588400774E10</v>
      </c>
      <c r="M2726" s="6" t="s">
        <v>18282</v>
      </c>
      <c r="N2726" s="6" t="s">
        <v>176</v>
      </c>
      <c r="O2726" s="6" t="s">
        <v>178</v>
      </c>
      <c r="P2726" s="10">
        <v>46025.0</v>
      </c>
    </row>
    <row r="2727" ht="22.5" customHeight="1">
      <c r="A2727" s="6" t="s">
        <v>18284</v>
      </c>
      <c r="B2727" s="6" t="s">
        <v>18285</v>
      </c>
      <c r="C2727" s="6" t="s">
        <v>18286</v>
      </c>
      <c r="D2727" s="6" t="s">
        <v>145</v>
      </c>
      <c r="E2727" s="6" t="s">
        <v>147</v>
      </c>
      <c r="F2727" s="8">
        <v>22.0</v>
      </c>
      <c r="G2727" s="9">
        <v>1086.71</v>
      </c>
      <c r="H2727" s="9">
        <v>7226.08</v>
      </c>
      <c r="I2727" s="6" t="s">
        <v>161</v>
      </c>
      <c r="J2727" s="6" t="s">
        <v>421</v>
      </c>
      <c r="K2727" s="6" t="s">
        <v>18287</v>
      </c>
      <c r="L2727" s="6">
        <v>2.927472833E9</v>
      </c>
      <c r="M2727" s="6" t="s">
        <v>18288</v>
      </c>
      <c r="N2727" s="6" t="s">
        <v>176</v>
      </c>
      <c r="O2727" s="6" t="s">
        <v>178</v>
      </c>
      <c r="P2727" s="10">
        <v>45994.0</v>
      </c>
    </row>
    <row r="2728" ht="22.5" customHeight="1">
      <c r="A2728" s="6" t="s">
        <v>18290</v>
      </c>
      <c r="B2728" s="6" t="s">
        <v>18291</v>
      </c>
      <c r="C2728" s="6" t="s">
        <v>18292</v>
      </c>
      <c r="D2728" s="6" t="s">
        <v>383</v>
      </c>
      <c r="E2728" s="6" t="s">
        <v>210</v>
      </c>
      <c r="F2728" s="8">
        <v>99.0</v>
      </c>
      <c r="G2728" s="9">
        <v>727.87</v>
      </c>
      <c r="H2728" s="9">
        <v>9256.92</v>
      </c>
      <c r="I2728" s="6" t="s">
        <v>161</v>
      </c>
      <c r="J2728" s="6" t="s">
        <v>442</v>
      </c>
      <c r="K2728" s="6" t="s">
        <v>18294</v>
      </c>
      <c r="L2728" s="6">
        <v>5.898129508E10</v>
      </c>
      <c r="M2728" s="6" t="s">
        <v>18295</v>
      </c>
      <c r="N2728" s="6" t="s">
        <v>176</v>
      </c>
      <c r="O2728" s="6" t="s">
        <v>161</v>
      </c>
      <c r="P2728" s="10">
        <v>45968.0</v>
      </c>
    </row>
    <row r="2729" ht="22.5" customHeight="1">
      <c r="A2729" s="6" t="s">
        <v>18296</v>
      </c>
      <c r="B2729" s="6" t="s">
        <v>18297</v>
      </c>
      <c r="C2729" s="6" t="s">
        <v>18299</v>
      </c>
      <c r="D2729" s="6" t="s">
        <v>145</v>
      </c>
      <c r="E2729" s="6" t="s">
        <v>210</v>
      </c>
      <c r="F2729" s="8">
        <v>95.0</v>
      </c>
      <c r="G2729" s="9">
        <v>1514.17</v>
      </c>
      <c r="H2729" s="9">
        <v>8045.21</v>
      </c>
      <c r="I2729" s="6" t="s">
        <v>178</v>
      </c>
      <c r="J2729" s="6" t="s">
        <v>357</v>
      </c>
      <c r="K2729" s="6" t="s">
        <v>18300</v>
      </c>
      <c r="L2729" s="6">
        <v>5.9738404827E10</v>
      </c>
      <c r="M2729" s="6" t="s">
        <v>18301</v>
      </c>
      <c r="N2729" s="6" t="s">
        <v>259</v>
      </c>
      <c r="O2729" s="6" t="s">
        <v>161</v>
      </c>
      <c r="P2729" s="10">
        <v>45999.0</v>
      </c>
    </row>
    <row r="2730" ht="22.5" customHeight="1">
      <c r="A2730" s="6" t="s">
        <v>18303</v>
      </c>
      <c r="B2730" s="6" t="s">
        <v>18304</v>
      </c>
      <c r="C2730" s="6" t="s">
        <v>18305</v>
      </c>
      <c r="D2730" s="6" t="s">
        <v>145</v>
      </c>
      <c r="E2730" s="6" t="s">
        <v>301</v>
      </c>
      <c r="F2730" s="8">
        <v>49.0</v>
      </c>
      <c r="G2730" s="9">
        <v>307.95</v>
      </c>
      <c r="H2730" s="9">
        <v>12858.86</v>
      </c>
      <c r="I2730" s="6" t="s">
        <v>161</v>
      </c>
      <c r="J2730" s="6" t="s">
        <v>228</v>
      </c>
      <c r="K2730" s="6" t="s">
        <v>18307</v>
      </c>
      <c r="L2730" s="6">
        <v>7.2550237127E10</v>
      </c>
      <c r="M2730" s="6" t="s">
        <v>18308</v>
      </c>
      <c r="N2730" s="6" t="s">
        <v>112</v>
      </c>
      <c r="O2730" s="6" t="s">
        <v>178</v>
      </c>
      <c r="P2730" s="10">
        <v>45975.0</v>
      </c>
    </row>
    <row r="2731" ht="22.5" customHeight="1">
      <c r="A2731" s="6" t="s">
        <v>18310</v>
      </c>
      <c r="B2731" s="6" t="s">
        <v>18311</v>
      </c>
      <c r="C2731" s="6" t="s">
        <v>18312</v>
      </c>
      <c r="D2731" s="6" t="s">
        <v>206</v>
      </c>
      <c r="E2731" s="6" t="s">
        <v>147</v>
      </c>
      <c r="F2731" s="8">
        <v>17.0</v>
      </c>
      <c r="G2731" s="9">
        <v>1440.43</v>
      </c>
      <c r="H2731" s="9">
        <v>3083.44</v>
      </c>
      <c r="I2731" s="6" t="s">
        <v>161</v>
      </c>
      <c r="J2731" s="6" t="s">
        <v>421</v>
      </c>
      <c r="K2731" s="6" t="s">
        <v>18314</v>
      </c>
      <c r="L2731" s="6">
        <v>9.692149778E10</v>
      </c>
      <c r="M2731" s="6" t="s">
        <v>18315</v>
      </c>
      <c r="N2731" s="6" t="s">
        <v>283</v>
      </c>
      <c r="O2731" s="6" t="s">
        <v>178</v>
      </c>
      <c r="P2731" s="10">
        <v>46014.0</v>
      </c>
    </row>
    <row r="2732" ht="22.5" customHeight="1">
      <c r="A2732" s="6" t="s">
        <v>18316</v>
      </c>
      <c r="B2732" s="6" t="s">
        <v>18317</v>
      </c>
      <c r="C2732" s="6" t="s">
        <v>18318</v>
      </c>
      <c r="D2732" s="6" t="s">
        <v>206</v>
      </c>
      <c r="E2732" s="6" t="s">
        <v>210</v>
      </c>
      <c r="F2732" s="8">
        <v>62.0</v>
      </c>
      <c r="G2732" s="9">
        <v>1267.12</v>
      </c>
      <c r="H2732" s="9">
        <v>7476.16</v>
      </c>
      <c r="I2732" s="6" t="s">
        <v>178</v>
      </c>
      <c r="J2732" s="6" t="s">
        <v>577</v>
      </c>
      <c r="K2732" s="6" t="s">
        <v>18320</v>
      </c>
      <c r="L2732" s="6">
        <v>9.2043920432E10</v>
      </c>
      <c r="M2732" s="6" t="s">
        <v>18321</v>
      </c>
      <c r="N2732" s="6" t="s">
        <v>176</v>
      </c>
      <c r="O2732" s="6" t="s">
        <v>161</v>
      </c>
      <c r="P2732" s="10">
        <v>46011.0</v>
      </c>
    </row>
    <row r="2733" ht="22.5" customHeight="1">
      <c r="A2733" s="6" t="s">
        <v>18323</v>
      </c>
      <c r="B2733" s="6" t="s">
        <v>18324</v>
      </c>
      <c r="C2733" s="6" t="s">
        <v>18325</v>
      </c>
      <c r="D2733" s="6" t="s">
        <v>383</v>
      </c>
      <c r="E2733" s="6" t="s">
        <v>147</v>
      </c>
      <c r="F2733" s="8">
        <v>20.0</v>
      </c>
      <c r="G2733" s="9">
        <v>1053.07</v>
      </c>
      <c r="H2733" s="9">
        <v>1879.3</v>
      </c>
      <c r="I2733" s="6" t="s">
        <v>161</v>
      </c>
      <c r="J2733" s="6" t="s">
        <v>577</v>
      </c>
      <c r="K2733" s="6" t="s">
        <v>18327</v>
      </c>
      <c r="L2733" s="6">
        <v>3.3482584243E10</v>
      </c>
      <c r="M2733" s="6" t="s">
        <v>18328</v>
      </c>
      <c r="N2733" s="6" t="s">
        <v>427</v>
      </c>
      <c r="O2733" s="6" t="s">
        <v>178</v>
      </c>
      <c r="P2733" s="10">
        <v>45972.0</v>
      </c>
    </row>
    <row r="2734" ht="22.5" customHeight="1">
      <c r="A2734" s="6" t="s">
        <v>18329</v>
      </c>
      <c r="B2734" s="6" t="s">
        <v>18330</v>
      </c>
      <c r="C2734" s="6" t="s">
        <v>18331</v>
      </c>
      <c r="D2734" s="6" t="s">
        <v>145</v>
      </c>
      <c r="E2734" s="6" t="s">
        <v>147</v>
      </c>
      <c r="F2734" s="8">
        <v>20.0</v>
      </c>
      <c r="G2734" s="9">
        <v>1552.51</v>
      </c>
      <c r="H2734" s="9">
        <v>12660.75</v>
      </c>
      <c r="I2734" s="6" t="s">
        <v>178</v>
      </c>
      <c r="J2734" s="6" t="s">
        <v>259</v>
      </c>
      <c r="K2734" s="6" t="s">
        <v>18333</v>
      </c>
      <c r="L2734" s="6">
        <v>4.4502997156E10</v>
      </c>
      <c r="M2734" s="6" t="s">
        <v>18335</v>
      </c>
      <c r="N2734" s="6" t="s">
        <v>283</v>
      </c>
      <c r="O2734" s="6" t="s">
        <v>161</v>
      </c>
      <c r="P2734" s="10">
        <v>46029.0</v>
      </c>
    </row>
    <row r="2735" ht="22.5" customHeight="1">
      <c r="A2735" s="6" t="s">
        <v>18337</v>
      </c>
      <c r="B2735" s="6" t="s">
        <v>18338</v>
      </c>
      <c r="C2735" s="6" t="s">
        <v>12218</v>
      </c>
      <c r="D2735" s="6" t="s">
        <v>206</v>
      </c>
      <c r="E2735" s="6" t="s">
        <v>301</v>
      </c>
      <c r="F2735" s="8">
        <v>45.0</v>
      </c>
      <c r="G2735" s="9">
        <v>1274.17</v>
      </c>
      <c r="H2735" s="9">
        <v>11112.97</v>
      </c>
      <c r="I2735" s="6" t="s">
        <v>161</v>
      </c>
      <c r="J2735" s="6" t="s">
        <v>421</v>
      </c>
      <c r="K2735" s="6" t="s">
        <v>18340</v>
      </c>
      <c r="L2735" s="6">
        <v>7.5069425077E10</v>
      </c>
      <c r="M2735" s="6" t="s">
        <v>18341</v>
      </c>
      <c r="N2735" s="6" t="s">
        <v>176</v>
      </c>
      <c r="O2735" s="6" t="s">
        <v>178</v>
      </c>
      <c r="P2735" s="10">
        <v>46029.0</v>
      </c>
    </row>
    <row r="2736" ht="22.5" customHeight="1">
      <c r="A2736" s="6" t="s">
        <v>18342</v>
      </c>
      <c r="B2736" s="6" t="s">
        <v>18343</v>
      </c>
      <c r="C2736" s="6" t="s">
        <v>18344</v>
      </c>
      <c r="D2736" s="6" t="s">
        <v>145</v>
      </c>
      <c r="E2736" s="6" t="s">
        <v>147</v>
      </c>
      <c r="F2736" s="8">
        <v>17.0</v>
      </c>
      <c r="G2736" s="9">
        <v>1388.25</v>
      </c>
      <c r="H2736" s="9">
        <v>14368.37</v>
      </c>
      <c r="I2736" s="6" t="s">
        <v>178</v>
      </c>
      <c r="J2736" s="6" t="s">
        <v>312</v>
      </c>
      <c r="K2736" s="6" t="s">
        <v>18346</v>
      </c>
      <c r="L2736" s="6">
        <v>2.7074133691E10</v>
      </c>
      <c r="M2736" s="6" t="s">
        <v>18347</v>
      </c>
      <c r="N2736" s="6" t="s">
        <v>283</v>
      </c>
      <c r="O2736" s="6" t="s">
        <v>161</v>
      </c>
      <c r="P2736" s="10">
        <v>46042.0</v>
      </c>
    </row>
    <row r="2737" ht="22.5" customHeight="1">
      <c r="A2737" s="6" t="s">
        <v>18349</v>
      </c>
      <c r="B2737" s="6" t="s">
        <v>18350</v>
      </c>
      <c r="C2737" s="6" t="s">
        <v>18351</v>
      </c>
      <c r="D2737" s="6" t="s">
        <v>383</v>
      </c>
      <c r="E2737" s="6" t="s">
        <v>147</v>
      </c>
      <c r="F2737" s="8">
        <v>8.0</v>
      </c>
      <c r="G2737" s="9">
        <v>584.11</v>
      </c>
      <c r="H2737" s="9">
        <v>1974.31</v>
      </c>
      <c r="I2737" s="6" t="s">
        <v>161</v>
      </c>
      <c r="J2737" s="6" t="s">
        <v>357</v>
      </c>
      <c r="K2737" s="6" t="s">
        <v>18353</v>
      </c>
      <c r="L2737" s="6">
        <v>4.2611180285E10</v>
      </c>
      <c r="M2737" s="6" t="s">
        <v>18354</v>
      </c>
      <c r="N2737" s="6" t="s">
        <v>259</v>
      </c>
      <c r="O2737" s="6" t="s">
        <v>178</v>
      </c>
      <c r="P2737" s="10">
        <v>45990.0</v>
      </c>
    </row>
    <row r="2738" ht="22.5" customHeight="1">
      <c r="A2738" s="6" t="s">
        <v>18355</v>
      </c>
      <c r="B2738" s="6" t="s">
        <v>18356</v>
      </c>
      <c r="C2738" s="6" t="s">
        <v>18358</v>
      </c>
      <c r="D2738" s="6" t="s">
        <v>206</v>
      </c>
      <c r="E2738" s="6" t="s">
        <v>147</v>
      </c>
      <c r="F2738" s="8">
        <v>9.0</v>
      </c>
      <c r="G2738" s="9">
        <v>755.08</v>
      </c>
      <c r="H2738" s="9">
        <v>6806.43</v>
      </c>
      <c r="I2738" s="6" t="s">
        <v>161</v>
      </c>
      <c r="J2738" s="6" t="s">
        <v>421</v>
      </c>
      <c r="K2738" s="6" t="s">
        <v>18359</v>
      </c>
      <c r="L2738" s="6" t="s">
        <v>259</v>
      </c>
      <c r="M2738" s="6" t="s">
        <v>18360</v>
      </c>
      <c r="N2738" s="6" t="s">
        <v>112</v>
      </c>
      <c r="O2738" s="6" t="s">
        <v>178</v>
      </c>
      <c r="P2738" s="10">
        <v>46019.0</v>
      </c>
    </row>
    <row r="2739" ht="22.5" customHeight="1">
      <c r="A2739" s="6" t="s">
        <v>18362</v>
      </c>
      <c r="B2739" s="6" t="s">
        <v>18363</v>
      </c>
      <c r="C2739" s="6" t="s">
        <v>18364</v>
      </c>
      <c r="D2739" s="6" t="s">
        <v>145</v>
      </c>
      <c r="E2739" s="6" t="s">
        <v>210</v>
      </c>
      <c r="F2739" s="8">
        <v>109.0</v>
      </c>
      <c r="G2739" s="9">
        <v>308.34</v>
      </c>
      <c r="H2739" s="9">
        <v>3058.13</v>
      </c>
      <c r="I2739" s="6" t="s">
        <v>161</v>
      </c>
      <c r="J2739" s="6" t="s">
        <v>163</v>
      </c>
      <c r="K2739" s="6" t="s">
        <v>18366</v>
      </c>
      <c r="L2739" s="6" t="s">
        <v>259</v>
      </c>
      <c r="M2739" s="6" t="s">
        <v>18367</v>
      </c>
      <c r="N2739" s="6" t="s">
        <v>259</v>
      </c>
      <c r="O2739" s="6" t="s">
        <v>161</v>
      </c>
      <c r="P2739" s="10">
        <v>45970.0</v>
      </c>
    </row>
    <row r="2740" ht="22.5" customHeight="1">
      <c r="A2740" s="6" t="s">
        <v>18369</v>
      </c>
      <c r="B2740" s="6" t="s">
        <v>18370</v>
      </c>
      <c r="C2740" s="6" t="s">
        <v>18371</v>
      </c>
      <c r="D2740" s="6" t="s">
        <v>145</v>
      </c>
      <c r="E2740" s="6" t="s">
        <v>301</v>
      </c>
      <c r="F2740" s="8">
        <v>57.0</v>
      </c>
      <c r="G2740" s="9">
        <v>541.3</v>
      </c>
      <c r="H2740" s="9">
        <v>5833.23</v>
      </c>
      <c r="I2740" s="6" t="s">
        <v>161</v>
      </c>
      <c r="J2740" s="6" t="s">
        <v>2502</v>
      </c>
      <c r="K2740" s="6" t="s">
        <v>18373</v>
      </c>
      <c r="L2740" s="6">
        <v>5.1149620285E10</v>
      </c>
      <c r="M2740" s="6" t="s">
        <v>18374</v>
      </c>
      <c r="N2740" s="6" t="s">
        <v>176</v>
      </c>
      <c r="O2740" s="6" t="s">
        <v>178</v>
      </c>
      <c r="P2740" s="10">
        <v>46049.0</v>
      </c>
    </row>
    <row r="2741" ht="22.5" customHeight="1">
      <c r="A2741" s="6" t="s">
        <v>18375</v>
      </c>
      <c r="B2741" s="6" t="s">
        <v>18376</v>
      </c>
      <c r="C2741" s="6" t="s">
        <v>18377</v>
      </c>
      <c r="D2741" s="6" t="s">
        <v>206</v>
      </c>
      <c r="E2741" s="6" t="s">
        <v>147</v>
      </c>
      <c r="F2741" s="8">
        <v>12.0</v>
      </c>
      <c r="G2741" s="9">
        <v>936.16</v>
      </c>
      <c r="H2741" s="9">
        <v>8357.52</v>
      </c>
      <c r="I2741" s="6" t="s">
        <v>161</v>
      </c>
      <c r="J2741" s="6" t="s">
        <v>393</v>
      </c>
      <c r="K2741" s="6" t="s">
        <v>18378</v>
      </c>
      <c r="L2741" s="6">
        <v>9.1814705845E10</v>
      </c>
      <c r="M2741" s="6" t="s">
        <v>18380</v>
      </c>
      <c r="N2741" s="6" t="s">
        <v>176</v>
      </c>
      <c r="O2741" s="6" t="s">
        <v>178</v>
      </c>
      <c r="P2741" s="10">
        <v>46041.0</v>
      </c>
    </row>
    <row r="2742" ht="22.5" customHeight="1">
      <c r="A2742" s="6" t="s">
        <v>18381</v>
      </c>
      <c r="B2742" s="6" t="s">
        <v>18382</v>
      </c>
      <c r="C2742" s="6" t="s">
        <v>18383</v>
      </c>
      <c r="D2742" s="6" t="s">
        <v>145</v>
      </c>
      <c r="E2742" s="6" t="s">
        <v>301</v>
      </c>
      <c r="F2742" s="8">
        <v>59.0</v>
      </c>
      <c r="G2742" s="9">
        <v>1638.96</v>
      </c>
      <c r="H2742" s="9">
        <v>8913.41</v>
      </c>
      <c r="I2742" s="6" t="s">
        <v>161</v>
      </c>
      <c r="J2742" s="6" t="s">
        <v>393</v>
      </c>
      <c r="K2742" s="6" t="s">
        <v>18384</v>
      </c>
      <c r="L2742" s="6">
        <v>8.047808131E9</v>
      </c>
      <c r="M2742" s="6" t="s">
        <v>18385</v>
      </c>
      <c r="N2742" s="6" t="s">
        <v>283</v>
      </c>
      <c r="O2742" s="6" t="s">
        <v>178</v>
      </c>
      <c r="P2742" s="10">
        <v>45960.0</v>
      </c>
    </row>
    <row r="2743" ht="22.5" customHeight="1">
      <c r="A2743" s="6" t="s">
        <v>18387</v>
      </c>
      <c r="B2743" s="6" t="s">
        <v>18388</v>
      </c>
      <c r="C2743" s="6" t="s">
        <v>18389</v>
      </c>
      <c r="D2743" s="6" t="s">
        <v>145</v>
      </c>
      <c r="E2743" s="6" t="s">
        <v>147</v>
      </c>
      <c r="F2743" s="8">
        <v>13.0</v>
      </c>
      <c r="G2743" s="9">
        <v>1293.73</v>
      </c>
      <c r="H2743" s="9">
        <v>13469.36</v>
      </c>
      <c r="I2743" s="6" t="s">
        <v>161</v>
      </c>
      <c r="J2743" s="6" t="s">
        <v>393</v>
      </c>
      <c r="K2743" s="6" t="s">
        <v>18390</v>
      </c>
      <c r="L2743" s="6">
        <v>5.2018694097E10</v>
      </c>
      <c r="M2743" s="6" t="s">
        <v>18392</v>
      </c>
      <c r="N2743" s="6" t="s">
        <v>259</v>
      </c>
      <c r="O2743" s="6" t="s">
        <v>178</v>
      </c>
      <c r="P2743" s="10">
        <v>45967.0</v>
      </c>
    </row>
    <row r="2744" ht="22.5" customHeight="1">
      <c r="A2744" s="6" t="s">
        <v>18393</v>
      </c>
      <c r="B2744" s="6" t="s">
        <v>18394</v>
      </c>
      <c r="C2744" s="6" t="s">
        <v>18395</v>
      </c>
      <c r="D2744" s="6" t="s">
        <v>145</v>
      </c>
      <c r="E2744" s="6" t="s">
        <v>301</v>
      </c>
      <c r="F2744" s="8">
        <v>53.0</v>
      </c>
      <c r="G2744" s="9">
        <v>102.8</v>
      </c>
      <c r="H2744" s="9">
        <v>8972.25</v>
      </c>
      <c r="I2744" s="6" t="s">
        <v>161</v>
      </c>
      <c r="J2744" s="6" t="s">
        <v>163</v>
      </c>
      <c r="K2744" s="6" t="s">
        <v>18397</v>
      </c>
      <c r="L2744" s="6">
        <v>4.0582208409E10</v>
      </c>
      <c r="M2744" s="6" t="s">
        <v>18398</v>
      </c>
      <c r="N2744" s="6" t="s">
        <v>427</v>
      </c>
      <c r="O2744" s="6" t="s">
        <v>178</v>
      </c>
      <c r="P2744" s="10">
        <v>46013.0</v>
      </c>
    </row>
    <row r="2745" ht="22.5" customHeight="1">
      <c r="A2745" s="6" t="s">
        <v>18400</v>
      </c>
      <c r="B2745" s="6" t="s">
        <v>18401</v>
      </c>
      <c r="C2745" s="6" t="s">
        <v>18402</v>
      </c>
      <c r="D2745" s="6" t="s">
        <v>145</v>
      </c>
      <c r="E2745" s="6" t="s">
        <v>210</v>
      </c>
      <c r="F2745" s="8">
        <v>80.0</v>
      </c>
      <c r="G2745" s="9">
        <v>1664.75</v>
      </c>
      <c r="H2745" s="9">
        <v>9409.43</v>
      </c>
      <c r="I2745" s="6" t="s">
        <v>178</v>
      </c>
      <c r="J2745" s="6" t="s">
        <v>442</v>
      </c>
      <c r="K2745" s="6" t="s">
        <v>18403</v>
      </c>
      <c r="L2745" s="6">
        <v>1.1917870902E10</v>
      </c>
      <c r="M2745" s="6" t="s">
        <v>18405</v>
      </c>
      <c r="N2745" s="6" t="s">
        <v>112</v>
      </c>
      <c r="O2745" s="6" t="s">
        <v>161</v>
      </c>
      <c r="P2745" s="10">
        <v>46007.0</v>
      </c>
    </row>
    <row r="2746" ht="22.5" customHeight="1">
      <c r="A2746" s="6" t="s">
        <v>18406</v>
      </c>
      <c r="B2746" s="6" t="s">
        <v>18407</v>
      </c>
      <c r="C2746" s="6" t="s">
        <v>18408</v>
      </c>
      <c r="D2746" s="6" t="s">
        <v>145</v>
      </c>
      <c r="E2746" s="6" t="s">
        <v>147</v>
      </c>
      <c r="F2746" s="8">
        <v>25.0</v>
      </c>
      <c r="G2746" s="9">
        <v>687.27</v>
      </c>
      <c r="H2746" s="9">
        <v>11528.78</v>
      </c>
      <c r="I2746" s="6" t="s">
        <v>161</v>
      </c>
      <c r="J2746" s="6" t="s">
        <v>465</v>
      </c>
      <c r="K2746" s="6" t="s">
        <v>18410</v>
      </c>
      <c r="L2746" s="6">
        <v>3.0090838944E10</v>
      </c>
      <c r="M2746" s="6" t="s">
        <v>18411</v>
      </c>
      <c r="N2746" s="6" t="s">
        <v>176</v>
      </c>
      <c r="O2746" s="6" t="s">
        <v>178</v>
      </c>
      <c r="P2746" s="10">
        <v>45941.0</v>
      </c>
    </row>
    <row r="2747" ht="22.5" customHeight="1">
      <c r="A2747" s="6" t="s">
        <v>18412</v>
      </c>
      <c r="B2747" s="6" t="s">
        <v>18414</v>
      </c>
      <c r="C2747" s="6" t="s">
        <v>18415</v>
      </c>
      <c r="D2747" s="6" t="s">
        <v>206</v>
      </c>
      <c r="E2747" s="6" t="s">
        <v>147</v>
      </c>
      <c r="F2747" s="8">
        <v>26.0</v>
      </c>
      <c r="G2747" s="9">
        <v>1314.82</v>
      </c>
      <c r="H2747" s="9">
        <v>14286.33</v>
      </c>
      <c r="I2747" s="6" t="s">
        <v>161</v>
      </c>
      <c r="J2747" s="6" t="s">
        <v>312</v>
      </c>
      <c r="K2747" s="6" t="s">
        <v>18416</v>
      </c>
      <c r="L2747" s="6">
        <v>4.4455961277E10</v>
      </c>
      <c r="M2747" s="6" t="s">
        <v>18417</v>
      </c>
      <c r="N2747" s="6" t="s">
        <v>176</v>
      </c>
      <c r="O2747" s="6" t="s">
        <v>178</v>
      </c>
      <c r="P2747" s="10">
        <v>46026.0</v>
      </c>
    </row>
    <row r="2748" ht="22.5" customHeight="1">
      <c r="A2748" s="6" t="s">
        <v>18419</v>
      </c>
      <c r="B2748" s="6" t="s">
        <v>18420</v>
      </c>
      <c r="C2748" s="6" t="s">
        <v>18421</v>
      </c>
      <c r="D2748" s="6" t="s">
        <v>383</v>
      </c>
      <c r="E2748" s="6" t="s">
        <v>210</v>
      </c>
      <c r="F2748" s="8">
        <v>94.0</v>
      </c>
      <c r="G2748" s="9">
        <v>320.53</v>
      </c>
      <c r="H2748" s="9">
        <v>4449.88</v>
      </c>
      <c r="I2748" s="6" t="s">
        <v>178</v>
      </c>
      <c r="J2748" s="6" t="s">
        <v>163</v>
      </c>
      <c r="K2748" s="6" t="s">
        <v>18423</v>
      </c>
      <c r="L2748" s="6" t="s">
        <v>259</v>
      </c>
      <c r="M2748" s="6" t="s">
        <v>18424</v>
      </c>
      <c r="N2748" s="6" t="s">
        <v>176</v>
      </c>
      <c r="O2748" s="6" t="s">
        <v>161</v>
      </c>
      <c r="P2748" s="10">
        <v>45997.0</v>
      </c>
    </row>
    <row r="2749" ht="22.5" customHeight="1">
      <c r="A2749" s="6" t="s">
        <v>18425</v>
      </c>
      <c r="B2749" s="6" t="s">
        <v>18426</v>
      </c>
      <c r="C2749" s="6" t="s">
        <v>18427</v>
      </c>
      <c r="D2749" s="6" t="s">
        <v>206</v>
      </c>
      <c r="E2749" s="6" t="s">
        <v>147</v>
      </c>
      <c r="F2749" s="8">
        <v>9.0</v>
      </c>
      <c r="G2749" s="9">
        <v>1766.1</v>
      </c>
      <c r="H2749" s="9">
        <v>4806.92</v>
      </c>
      <c r="I2749" s="6" t="s">
        <v>161</v>
      </c>
      <c r="J2749" s="6" t="s">
        <v>421</v>
      </c>
      <c r="K2749" s="6" t="s">
        <v>18428</v>
      </c>
      <c r="L2749" s="6">
        <v>3.5264099973E10</v>
      </c>
      <c r="M2749" s="6" t="s">
        <v>18429</v>
      </c>
      <c r="N2749" s="6" t="s">
        <v>427</v>
      </c>
      <c r="O2749" s="6" t="s">
        <v>178</v>
      </c>
      <c r="P2749" s="10">
        <v>45946.0</v>
      </c>
    </row>
    <row r="2750" ht="22.5" customHeight="1">
      <c r="A2750" s="6" t="s">
        <v>18430</v>
      </c>
      <c r="B2750" s="6" t="s">
        <v>18432</v>
      </c>
      <c r="C2750" s="6" t="s">
        <v>18433</v>
      </c>
      <c r="D2750" s="6" t="s">
        <v>206</v>
      </c>
      <c r="E2750" s="6" t="s">
        <v>301</v>
      </c>
      <c r="F2750" s="8">
        <v>33.0</v>
      </c>
      <c r="G2750" s="9">
        <v>751.53</v>
      </c>
      <c r="H2750" s="9">
        <v>3476.14</v>
      </c>
      <c r="I2750" s="6" t="s">
        <v>178</v>
      </c>
      <c r="J2750" s="6" t="s">
        <v>393</v>
      </c>
      <c r="K2750" s="6" t="s">
        <v>18434</v>
      </c>
      <c r="L2750" s="6">
        <v>2.1371330205E10</v>
      </c>
      <c r="M2750" s="6" t="s">
        <v>18435</v>
      </c>
      <c r="N2750" s="6" t="s">
        <v>112</v>
      </c>
      <c r="O2750" s="6" t="s">
        <v>161</v>
      </c>
      <c r="P2750" s="10">
        <v>45956.0</v>
      </c>
    </row>
    <row r="2751" ht="22.5" customHeight="1">
      <c r="A2751" s="6" t="s">
        <v>18436</v>
      </c>
      <c r="B2751" s="6" t="s">
        <v>18437</v>
      </c>
      <c r="C2751" s="6" t="s">
        <v>18438</v>
      </c>
      <c r="D2751" s="6" t="s">
        <v>145</v>
      </c>
      <c r="E2751" s="6" t="s">
        <v>147</v>
      </c>
      <c r="F2751" s="8">
        <v>7.0</v>
      </c>
      <c r="G2751" s="9">
        <v>1480.78</v>
      </c>
      <c r="H2751" s="9">
        <v>6094.24</v>
      </c>
      <c r="I2751" s="6" t="s">
        <v>161</v>
      </c>
      <c r="J2751" s="6" t="s">
        <v>228</v>
      </c>
      <c r="K2751" s="6" t="s">
        <v>18439</v>
      </c>
      <c r="L2751" s="6">
        <v>6.2683286133E10</v>
      </c>
      <c r="M2751" s="6" t="s">
        <v>18441</v>
      </c>
      <c r="N2751" s="6" t="s">
        <v>176</v>
      </c>
      <c r="O2751" s="6" t="s">
        <v>178</v>
      </c>
      <c r="P2751" s="10">
        <v>45940.0</v>
      </c>
    </row>
    <row r="2752" ht="22.5" customHeight="1">
      <c r="A2752" s="6" t="s">
        <v>18442</v>
      </c>
      <c r="B2752" s="6" t="s">
        <v>18443</v>
      </c>
      <c r="C2752" s="6" t="s">
        <v>18444</v>
      </c>
      <c r="D2752" s="6" t="s">
        <v>145</v>
      </c>
      <c r="E2752" s="6" t="s">
        <v>301</v>
      </c>
      <c r="F2752" s="8">
        <v>44.0</v>
      </c>
      <c r="G2752" s="9">
        <v>1621.22</v>
      </c>
      <c r="H2752" s="9">
        <v>14308.36</v>
      </c>
      <c r="I2752" s="6" t="s">
        <v>178</v>
      </c>
      <c r="J2752" s="6" t="s">
        <v>163</v>
      </c>
      <c r="K2752" s="6" t="s">
        <v>18445</v>
      </c>
      <c r="L2752" s="6">
        <v>4.5379145941E10</v>
      </c>
      <c r="M2752" s="6" t="s">
        <v>18446</v>
      </c>
      <c r="N2752" s="6" t="s">
        <v>259</v>
      </c>
      <c r="O2752" s="6" t="s">
        <v>161</v>
      </c>
      <c r="P2752" s="10">
        <v>45981.0</v>
      </c>
    </row>
    <row r="2753" ht="22.5" customHeight="1">
      <c r="A2753" s="6" t="s">
        <v>18447</v>
      </c>
      <c r="B2753" s="6" t="s">
        <v>18448</v>
      </c>
      <c r="C2753" s="6" t="s">
        <v>18449</v>
      </c>
      <c r="D2753" s="6" t="s">
        <v>383</v>
      </c>
      <c r="E2753" s="6" t="s">
        <v>147</v>
      </c>
      <c r="F2753" s="8">
        <v>14.0</v>
      </c>
      <c r="G2753" s="9">
        <v>1617.41</v>
      </c>
      <c r="H2753" s="9">
        <v>5626.04</v>
      </c>
      <c r="I2753" s="6" t="s">
        <v>161</v>
      </c>
      <c r="J2753" s="6" t="s">
        <v>479</v>
      </c>
      <c r="K2753" s="6" t="s">
        <v>259</v>
      </c>
      <c r="L2753" s="6">
        <v>8.2765365191E10</v>
      </c>
      <c r="M2753" s="6" t="s">
        <v>18451</v>
      </c>
      <c r="N2753" s="6" t="s">
        <v>427</v>
      </c>
      <c r="O2753" s="6" t="s">
        <v>178</v>
      </c>
      <c r="P2753" s="10">
        <v>46013.0</v>
      </c>
    </row>
    <row r="2754" ht="22.5" customHeight="1">
      <c r="A2754" s="6" t="s">
        <v>18453</v>
      </c>
      <c r="B2754" s="6" t="s">
        <v>18454</v>
      </c>
      <c r="C2754" s="6" t="s">
        <v>18455</v>
      </c>
      <c r="D2754" s="6" t="s">
        <v>145</v>
      </c>
      <c r="E2754" s="6" t="s">
        <v>301</v>
      </c>
      <c r="F2754" s="8">
        <v>33.0</v>
      </c>
      <c r="G2754" s="9">
        <v>407.3</v>
      </c>
      <c r="H2754" s="9">
        <v>13234.72</v>
      </c>
      <c r="I2754" s="6" t="s">
        <v>161</v>
      </c>
      <c r="J2754" s="6" t="s">
        <v>577</v>
      </c>
      <c r="K2754" s="6" t="s">
        <v>18457</v>
      </c>
      <c r="L2754" s="6">
        <v>5.8348247776E10</v>
      </c>
      <c r="M2754" s="6" t="s">
        <v>18458</v>
      </c>
      <c r="N2754" s="6" t="s">
        <v>283</v>
      </c>
      <c r="O2754" s="6" t="s">
        <v>178</v>
      </c>
      <c r="P2754" s="10">
        <v>46010.0</v>
      </c>
    </row>
    <row r="2755" ht="22.5" customHeight="1">
      <c r="A2755" s="6" t="s">
        <v>18459</v>
      </c>
      <c r="B2755" s="6" t="s">
        <v>18460</v>
      </c>
      <c r="C2755" s="6" t="s">
        <v>18461</v>
      </c>
      <c r="D2755" s="6" t="s">
        <v>145</v>
      </c>
      <c r="E2755" s="6" t="s">
        <v>147</v>
      </c>
      <c r="F2755" s="8">
        <v>25.0</v>
      </c>
      <c r="G2755" s="9">
        <v>244.83</v>
      </c>
      <c r="H2755" s="9">
        <v>6668.11</v>
      </c>
      <c r="I2755" s="6" t="s">
        <v>161</v>
      </c>
      <c r="J2755" s="6" t="s">
        <v>312</v>
      </c>
      <c r="K2755" s="6" t="s">
        <v>18463</v>
      </c>
      <c r="L2755" s="6">
        <v>8.1448828536E10</v>
      </c>
      <c r="M2755" s="6" t="s">
        <v>18464</v>
      </c>
      <c r="N2755" s="6" t="s">
        <v>112</v>
      </c>
      <c r="O2755" s="6" t="s">
        <v>178</v>
      </c>
      <c r="P2755" s="10">
        <v>46031.0</v>
      </c>
    </row>
    <row r="2756" ht="22.5" customHeight="1">
      <c r="A2756" s="6" t="s">
        <v>18465</v>
      </c>
      <c r="B2756" s="6" t="s">
        <v>18467</v>
      </c>
      <c r="C2756" s="6" t="s">
        <v>18468</v>
      </c>
      <c r="D2756" s="6" t="s">
        <v>383</v>
      </c>
      <c r="E2756" s="6" t="s">
        <v>210</v>
      </c>
      <c r="F2756" s="8">
        <v>74.0</v>
      </c>
      <c r="G2756" s="9">
        <v>1087.99</v>
      </c>
      <c r="H2756" s="9">
        <v>8252.18</v>
      </c>
      <c r="I2756" s="6" t="s">
        <v>178</v>
      </c>
      <c r="J2756" s="6" t="s">
        <v>357</v>
      </c>
      <c r="K2756" s="6" t="s">
        <v>18470</v>
      </c>
      <c r="L2756" s="6">
        <v>7.1311345083E10</v>
      </c>
      <c r="M2756" s="6" t="s">
        <v>18471</v>
      </c>
      <c r="N2756" s="6" t="s">
        <v>112</v>
      </c>
      <c r="O2756" s="6" t="s">
        <v>161</v>
      </c>
      <c r="P2756" s="10">
        <v>45951.0</v>
      </c>
    </row>
    <row r="2757" ht="22.5" customHeight="1">
      <c r="A2757" s="6" t="s">
        <v>18472</v>
      </c>
      <c r="B2757" s="6" t="s">
        <v>18473</v>
      </c>
      <c r="C2757" s="6" t="s">
        <v>18474</v>
      </c>
      <c r="D2757" s="6" t="s">
        <v>206</v>
      </c>
      <c r="E2757" s="6" t="s">
        <v>301</v>
      </c>
      <c r="F2757" s="8">
        <v>49.0</v>
      </c>
      <c r="G2757" s="9">
        <v>1752.94</v>
      </c>
      <c r="H2757" s="9">
        <v>14364.2</v>
      </c>
      <c r="I2757" s="6" t="s">
        <v>161</v>
      </c>
      <c r="J2757" s="6" t="s">
        <v>228</v>
      </c>
      <c r="K2757" s="6" t="s">
        <v>18476</v>
      </c>
      <c r="L2757" s="6">
        <v>9.037115926E10</v>
      </c>
      <c r="M2757" s="6" t="s">
        <v>18478</v>
      </c>
      <c r="N2757" s="6" t="s">
        <v>176</v>
      </c>
      <c r="O2757" s="6" t="s">
        <v>178</v>
      </c>
      <c r="P2757" s="10">
        <v>45975.0</v>
      </c>
    </row>
    <row r="2758" ht="22.5" customHeight="1">
      <c r="A2758" s="6" t="s">
        <v>18480</v>
      </c>
      <c r="B2758" s="6" t="s">
        <v>18481</v>
      </c>
      <c r="C2758" s="6" t="s">
        <v>18482</v>
      </c>
      <c r="D2758" s="6" t="s">
        <v>383</v>
      </c>
      <c r="E2758" s="6" t="s">
        <v>147</v>
      </c>
      <c r="F2758" s="8">
        <v>22.0</v>
      </c>
      <c r="G2758" s="9">
        <v>341.95</v>
      </c>
      <c r="H2758" s="9">
        <v>5795.26</v>
      </c>
      <c r="I2758" s="6" t="s">
        <v>161</v>
      </c>
      <c r="J2758" s="6" t="s">
        <v>393</v>
      </c>
      <c r="K2758" s="6" t="s">
        <v>18483</v>
      </c>
      <c r="L2758" s="6">
        <v>7.7359209105E10</v>
      </c>
      <c r="M2758" s="6" t="s">
        <v>18485</v>
      </c>
      <c r="N2758" s="6" t="s">
        <v>259</v>
      </c>
      <c r="O2758" s="6" t="s">
        <v>178</v>
      </c>
      <c r="P2758" s="10">
        <v>45957.0</v>
      </c>
    </row>
    <row r="2759" ht="22.5" customHeight="1">
      <c r="A2759" s="6" t="s">
        <v>18486</v>
      </c>
      <c r="B2759" s="6" t="s">
        <v>18487</v>
      </c>
      <c r="C2759" s="6" t="s">
        <v>18488</v>
      </c>
      <c r="D2759" s="6" t="s">
        <v>145</v>
      </c>
      <c r="E2759" s="6" t="s">
        <v>301</v>
      </c>
      <c r="F2759" s="8">
        <v>51.0</v>
      </c>
      <c r="G2759" s="9">
        <v>1141.28</v>
      </c>
      <c r="H2759" s="9">
        <v>4125.15</v>
      </c>
      <c r="I2759" s="6" t="s">
        <v>161</v>
      </c>
      <c r="J2759" s="6" t="s">
        <v>163</v>
      </c>
      <c r="K2759" s="6" t="s">
        <v>18490</v>
      </c>
      <c r="L2759" s="6">
        <v>8.3982351665E10</v>
      </c>
      <c r="M2759" s="6" t="s">
        <v>18491</v>
      </c>
      <c r="N2759" s="6" t="s">
        <v>259</v>
      </c>
      <c r="O2759" s="6" t="s">
        <v>178</v>
      </c>
      <c r="P2759" s="10">
        <v>45984.0</v>
      </c>
    </row>
    <row r="2760" ht="22.5" customHeight="1">
      <c r="A2760" s="6" t="s">
        <v>18493</v>
      </c>
      <c r="B2760" s="6" t="s">
        <v>18494</v>
      </c>
      <c r="C2760" s="6" t="s">
        <v>18495</v>
      </c>
      <c r="D2760" s="6" t="s">
        <v>145</v>
      </c>
      <c r="E2760" s="6" t="s">
        <v>147</v>
      </c>
      <c r="F2760" s="8">
        <v>23.0</v>
      </c>
      <c r="G2760" s="9">
        <v>1423.75</v>
      </c>
      <c r="H2760" s="9">
        <v>9124.94</v>
      </c>
      <c r="I2760" s="6" t="s">
        <v>161</v>
      </c>
      <c r="J2760" s="6" t="s">
        <v>393</v>
      </c>
      <c r="K2760" s="6" t="s">
        <v>18496</v>
      </c>
      <c r="L2760" s="6">
        <v>3.1042069201E10</v>
      </c>
      <c r="M2760" s="6" t="s">
        <v>18497</v>
      </c>
      <c r="N2760" s="6" t="s">
        <v>176</v>
      </c>
      <c r="O2760" s="6" t="s">
        <v>6373</v>
      </c>
      <c r="P2760" s="10">
        <v>45948.0</v>
      </c>
    </row>
    <row r="2761" ht="22.5" customHeight="1">
      <c r="A2761" s="6" t="s">
        <v>18499</v>
      </c>
      <c r="B2761" s="6" t="s">
        <v>18500</v>
      </c>
      <c r="C2761" s="6" t="s">
        <v>18501</v>
      </c>
      <c r="D2761" s="6" t="s">
        <v>145</v>
      </c>
      <c r="E2761" s="6" t="s">
        <v>301</v>
      </c>
      <c r="F2761" s="8">
        <v>53.0</v>
      </c>
      <c r="G2761" s="9">
        <v>971.15</v>
      </c>
      <c r="H2761" s="9">
        <v>11711.99</v>
      </c>
      <c r="I2761" s="6" t="s">
        <v>161</v>
      </c>
      <c r="J2761" s="6" t="s">
        <v>465</v>
      </c>
      <c r="K2761" s="6" t="s">
        <v>18503</v>
      </c>
      <c r="L2761" s="6">
        <v>8.0013938572E10</v>
      </c>
      <c r="M2761" s="6" t="s">
        <v>18504</v>
      </c>
      <c r="N2761" s="6" t="s">
        <v>176</v>
      </c>
      <c r="O2761" s="6" t="s">
        <v>178</v>
      </c>
      <c r="P2761" s="10">
        <v>46026.0</v>
      </c>
    </row>
    <row r="2762" ht="22.5" customHeight="1">
      <c r="A2762" s="6" t="s">
        <v>18505</v>
      </c>
      <c r="B2762" s="6" t="s">
        <v>18506</v>
      </c>
      <c r="C2762" s="6" t="s">
        <v>18507</v>
      </c>
      <c r="D2762" s="6" t="s">
        <v>383</v>
      </c>
      <c r="E2762" s="6" t="s">
        <v>147</v>
      </c>
      <c r="F2762" s="8">
        <v>22.0</v>
      </c>
      <c r="G2762" s="9">
        <v>1494.28</v>
      </c>
      <c r="H2762" s="9">
        <v>7992.75</v>
      </c>
      <c r="I2762" s="6" t="s">
        <v>161</v>
      </c>
      <c r="J2762" s="6" t="s">
        <v>228</v>
      </c>
      <c r="K2762" s="6" t="s">
        <v>18509</v>
      </c>
      <c r="L2762" s="6">
        <v>6.5602091474E10</v>
      </c>
      <c r="M2762" s="6" t="s">
        <v>18510</v>
      </c>
      <c r="N2762" s="6" t="s">
        <v>427</v>
      </c>
      <c r="O2762" s="6" t="s">
        <v>178</v>
      </c>
      <c r="P2762" s="10">
        <v>45978.0</v>
      </c>
    </row>
    <row r="2763" ht="22.5" customHeight="1">
      <c r="A2763" s="6" t="s">
        <v>18512</v>
      </c>
      <c r="B2763" s="6" t="s">
        <v>18513</v>
      </c>
      <c r="C2763" s="6" t="s">
        <v>18514</v>
      </c>
      <c r="D2763" s="6" t="s">
        <v>145</v>
      </c>
      <c r="E2763" s="6" t="s">
        <v>210</v>
      </c>
      <c r="F2763" s="8">
        <v>63.0</v>
      </c>
      <c r="G2763" s="9">
        <v>675.95</v>
      </c>
      <c r="H2763" s="9">
        <v>13022.05</v>
      </c>
      <c r="I2763" s="6" t="s">
        <v>178</v>
      </c>
      <c r="J2763" s="6" t="s">
        <v>259</v>
      </c>
      <c r="K2763" s="6" t="s">
        <v>18515</v>
      </c>
      <c r="L2763" s="6">
        <v>9.608508779E10</v>
      </c>
      <c r="M2763" s="6" t="s">
        <v>18517</v>
      </c>
      <c r="N2763" s="6" t="s">
        <v>283</v>
      </c>
      <c r="O2763" s="6" t="s">
        <v>161</v>
      </c>
      <c r="P2763" s="10">
        <v>46002.0</v>
      </c>
    </row>
    <row r="2764" ht="22.5" customHeight="1">
      <c r="A2764" s="6" t="s">
        <v>18518</v>
      </c>
      <c r="B2764" s="6" t="s">
        <v>18519</v>
      </c>
      <c r="C2764" s="6" t="s">
        <v>18520</v>
      </c>
      <c r="D2764" s="6" t="s">
        <v>145</v>
      </c>
      <c r="E2764" s="6" t="s">
        <v>301</v>
      </c>
      <c r="F2764" s="8">
        <v>35.0</v>
      </c>
      <c r="G2764" s="9">
        <v>844.27</v>
      </c>
      <c r="H2764" s="9">
        <v>5777.79</v>
      </c>
      <c r="I2764" s="6" t="s">
        <v>161</v>
      </c>
      <c r="J2764" s="6" t="s">
        <v>442</v>
      </c>
      <c r="K2764" s="6" t="s">
        <v>18522</v>
      </c>
      <c r="L2764" s="6">
        <v>8.7793870344E10</v>
      </c>
      <c r="M2764" s="6" t="s">
        <v>18523</v>
      </c>
      <c r="N2764" s="6" t="s">
        <v>259</v>
      </c>
      <c r="O2764" s="6" t="s">
        <v>178</v>
      </c>
      <c r="P2764" s="10">
        <v>46021.0</v>
      </c>
    </row>
    <row r="2765" ht="22.5" customHeight="1">
      <c r="A2765" s="6" t="s">
        <v>18524</v>
      </c>
      <c r="B2765" s="6" t="s">
        <v>18526</v>
      </c>
      <c r="C2765" s="6" t="s">
        <v>18527</v>
      </c>
      <c r="D2765" s="6" t="s">
        <v>206</v>
      </c>
      <c r="E2765" s="6" t="s">
        <v>301</v>
      </c>
      <c r="F2765" s="8">
        <v>50.0</v>
      </c>
      <c r="G2765" s="9">
        <v>645.8</v>
      </c>
      <c r="H2765" s="9">
        <v>11674.38</v>
      </c>
      <c r="I2765" s="6" t="s">
        <v>161</v>
      </c>
      <c r="J2765" s="6" t="s">
        <v>442</v>
      </c>
      <c r="K2765" s="6" t="s">
        <v>18528</v>
      </c>
      <c r="L2765" s="6">
        <v>9.960694781E9</v>
      </c>
      <c r="M2765" s="6" t="s">
        <v>18529</v>
      </c>
      <c r="N2765" s="6" t="s">
        <v>176</v>
      </c>
      <c r="O2765" s="6" t="s">
        <v>178</v>
      </c>
      <c r="P2765" s="10">
        <v>45952.0</v>
      </c>
    </row>
    <row r="2766" ht="22.5" customHeight="1">
      <c r="A2766" s="6" t="s">
        <v>18531</v>
      </c>
      <c r="B2766" s="6" t="s">
        <v>18532</v>
      </c>
      <c r="C2766" s="6" t="s">
        <v>18533</v>
      </c>
      <c r="D2766" s="6" t="s">
        <v>206</v>
      </c>
      <c r="E2766" s="6" t="s">
        <v>147</v>
      </c>
      <c r="F2766" s="8">
        <v>15.0</v>
      </c>
      <c r="G2766" s="9">
        <v>1277.51</v>
      </c>
      <c r="H2766" s="9">
        <v>7818.0</v>
      </c>
      <c r="I2766" s="6" t="s">
        <v>161</v>
      </c>
      <c r="J2766" s="6" t="s">
        <v>312</v>
      </c>
      <c r="K2766" s="6" t="s">
        <v>18535</v>
      </c>
      <c r="L2766" s="6">
        <v>4.826839415E9</v>
      </c>
      <c r="M2766" s="6" t="s">
        <v>18536</v>
      </c>
      <c r="N2766" s="6" t="s">
        <v>176</v>
      </c>
      <c r="O2766" s="6" t="s">
        <v>178</v>
      </c>
      <c r="P2766" s="10">
        <v>46043.0</v>
      </c>
    </row>
    <row r="2767" ht="22.5" customHeight="1">
      <c r="A2767" s="6" t="s">
        <v>18537</v>
      </c>
      <c r="B2767" s="6" t="s">
        <v>18538</v>
      </c>
      <c r="C2767" s="6" t="s">
        <v>18539</v>
      </c>
      <c r="D2767" s="6" t="s">
        <v>206</v>
      </c>
      <c r="E2767" s="6" t="s">
        <v>147</v>
      </c>
      <c r="F2767" s="8">
        <v>13.0</v>
      </c>
      <c r="G2767" s="9">
        <v>1629.42</v>
      </c>
      <c r="H2767" s="9">
        <v>6667.84</v>
      </c>
      <c r="I2767" s="6" t="s">
        <v>161</v>
      </c>
      <c r="J2767" s="6" t="s">
        <v>163</v>
      </c>
      <c r="K2767" s="6" t="s">
        <v>259</v>
      </c>
      <c r="L2767" s="6">
        <v>3.034946107E10</v>
      </c>
      <c r="M2767" s="6" t="s">
        <v>18541</v>
      </c>
      <c r="N2767" s="6" t="s">
        <v>283</v>
      </c>
      <c r="O2767" s="6" t="s">
        <v>178</v>
      </c>
      <c r="P2767" s="10">
        <v>46002.0</v>
      </c>
    </row>
    <row r="2768" ht="22.5" customHeight="1">
      <c r="A2768" s="6" t="s">
        <v>18542</v>
      </c>
      <c r="B2768" s="6" t="s">
        <v>18543</v>
      </c>
      <c r="C2768" s="6" t="s">
        <v>18544</v>
      </c>
      <c r="D2768" s="6" t="s">
        <v>145</v>
      </c>
      <c r="E2768" s="6" t="s">
        <v>301</v>
      </c>
      <c r="F2768" s="8">
        <v>49.0</v>
      </c>
      <c r="G2768" s="9">
        <v>140.78</v>
      </c>
      <c r="H2768" s="9">
        <v>2498.05</v>
      </c>
      <c r="I2768" s="6" t="s">
        <v>161</v>
      </c>
      <c r="J2768" s="6" t="s">
        <v>479</v>
      </c>
      <c r="K2768" s="6" t="s">
        <v>18545</v>
      </c>
      <c r="L2768" s="6">
        <v>4.060787364E9</v>
      </c>
      <c r="M2768" s="6" t="s">
        <v>18546</v>
      </c>
      <c r="N2768" s="6" t="s">
        <v>427</v>
      </c>
      <c r="O2768" s="6" t="s">
        <v>178</v>
      </c>
      <c r="P2768" s="10">
        <v>45953.0</v>
      </c>
    </row>
    <row r="2769" ht="22.5" customHeight="1">
      <c r="A2769" s="6" t="s">
        <v>18548</v>
      </c>
      <c r="B2769" s="6" t="s">
        <v>18549</v>
      </c>
      <c r="C2769" s="6" t="s">
        <v>18550</v>
      </c>
      <c r="D2769" s="6" t="s">
        <v>145</v>
      </c>
      <c r="E2769" s="6" t="s">
        <v>210</v>
      </c>
      <c r="F2769" s="8">
        <v>80.0</v>
      </c>
      <c r="G2769" s="9">
        <v>652.5</v>
      </c>
      <c r="H2769" s="9">
        <v>3224.9</v>
      </c>
      <c r="I2769" s="6" t="s">
        <v>178</v>
      </c>
      <c r="J2769" s="6" t="s">
        <v>259</v>
      </c>
      <c r="K2769" s="6" t="s">
        <v>18551</v>
      </c>
      <c r="L2769" s="6">
        <v>5.3139730453E10</v>
      </c>
      <c r="M2769" s="6" t="s">
        <v>18552</v>
      </c>
      <c r="N2769" s="6" t="s">
        <v>259</v>
      </c>
      <c r="O2769" s="6" t="s">
        <v>161</v>
      </c>
      <c r="P2769" s="10">
        <v>45938.0</v>
      </c>
    </row>
    <row r="2770" ht="22.5" customHeight="1">
      <c r="A2770" s="6" t="s">
        <v>18553</v>
      </c>
      <c r="B2770" s="6" t="s">
        <v>18555</v>
      </c>
      <c r="C2770" s="6" t="s">
        <v>18556</v>
      </c>
      <c r="D2770" s="6" t="s">
        <v>383</v>
      </c>
      <c r="E2770" s="6" t="s">
        <v>147</v>
      </c>
      <c r="F2770" s="8">
        <v>11.0</v>
      </c>
      <c r="G2770" s="9">
        <v>1177.24</v>
      </c>
      <c r="H2770" s="9">
        <v>1852.71</v>
      </c>
      <c r="I2770" s="6" t="s">
        <v>161</v>
      </c>
      <c r="J2770" s="6" t="s">
        <v>228</v>
      </c>
      <c r="K2770" s="6" t="s">
        <v>18557</v>
      </c>
      <c r="L2770" s="6">
        <v>6.621041274E10</v>
      </c>
      <c r="M2770" s="6" t="s">
        <v>18558</v>
      </c>
      <c r="N2770" s="6" t="s">
        <v>283</v>
      </c>
      <c r="O2770" s="6" t="s">
        <v>178</v>
      </c>
      <c r="P2770" s="10">
        <v>45961.0</v>
      </c>
    </row>
    <row r="2771" ht="22.5" customHeight="1">
      <c r="A2771" s="6" t="s">
        <v>18559</v>
      </c>
      <c r="B2771" s="6" t="s">
        <v>18561</v>
      </c>
      <c r="C2771" s="6" t="s">
        <v>18562</v>
      </c>
      <c r="D2771" s="6" t="s">
        <v>383</v>
      </c>
      <c r="E2771" s="6" t="s">
        <v>147</v>
      </c>
      <c r="F2771" s="8">
        <v>5.0</v>
      </c>
      <c r="G2771" s="9">
        <v>1679.88</v>
      </c>
      <c r="H2771" s="9">
        <v>14545.24</v>
      </c>
      <c r="I2771" s="6" t="s">
        <v>161</v>
      </c>
      <c r="J2771" s="6" t="s">
        <v>421</v>
      </c>
      <c r="K2771" s="6" t="s">
        <v>18563</v>
      </c>
      <c r="L2771" s="6">
        <v>7.3091623219E10</v>
      </c>
      <c r="M2771" s="6" t="s">
        <v>18564</v>
      </c>
      <c r="N2771" s="6" t="s">
        <v>283</v>
      </c>
      <c r="O2771" s="6" t="s">
        <v>178</v>
      </c>
      <c r="P2771" s="10">
        <v>45992.0</v>
      </c>
    </row>
    <row r="2772" ht="22.5" customHeight="1">
      <c r="A2772" s="6" t="s">
        <v>18566</v>
      </c>
      <c r="B2772" s="6" t="s">
        <v>18567</v>
      </c>
      <c r="C2772" s="6" t="s">
        <v>18568</v>
      </c>
      <c r="D2772" s="6" t="s">
        <v>145</v>
      </c>
      <c r="E2772" s="6" t="s">
        <v>147</v>
      </c>
      <c r="F2772" s="8">
        <v>23.0</v>
      </c>
      <c r="G2772" s="9">
        <v>1062.62</v>
      </c>
      <c r="H2772" s="9">
        <v>9469.89</v>
      </c>
      <c r="I2772" s="6" t="s">
        <v>161</v>
      </c>
      <c r="J2772" s="6" t="s">
        <v>421</v>
      </c>
      <c r="K2772" s="6" t="s">
        <v>18569</v>
      </c>
      <c r="L2772" s="6">
        <v>1.4376068989E10</v>
      </c>
      <c r="M2772" s="6" t="s">
        <v>18570</v>
      </c>
      <c r="N2772" s="6" t="s">
        <v>427</v>
      </c>
      <c r="O2772" s="6" t="s">
        <v>178</v>
      </c>
      <c r="P2772" s="10">
        <v>45993.0</v>
      </c>
    </row>
    <row r="2773" ht="22.5" customHeight="1">
      <c r="A2773" s="6" t="s">
        <v>18571</v>
      </c>
      <c r="B2773" s="6" t="s">
        <v>18572</v>
      </c>
      <c r="C2773" s="6" t="s">
        <v>18573</v>
      </c>
      <c r="D2773" s="6" t="s">
        <v>145</v>
      </c>
      <c r="E2773" s="6" t="s">
        <v>147</v>
      </c>
      <c r="F2773" s="8">
        <v>20.0</v>
      </c>
      <c r="G2773" s="9">
        <v>548.44</v>
      </c>
      <c r="H2773" s="9">
        <v>10232.02</v>
      </c>
      <c r="I2773" s="6" t="s">
        <v>161</v>
      </c>
      <c r="J2773" s="6" t="s">
        <v>163</v>
      </c>
      <c r="K2773" s="6" t="s">
        <v>18575</v>
      </c>
      <c r="L2773" s="6">
        <v>1.6550488663E10</v>
      </c>
      <c r="M2773" s="6" t="s">
        <v>18576</v>
      </c>
      <c r="N2773" s="6" t="s">
        <v>259</v>
      </c>
      <c r="O2773" s="6" t="s">
        <v>178</v>
      </c>
      <c r="P2773" s="10">
        <v>46029.0</v>
      </c>
    </row>
    <row r="2774" ht="22.5" customHeight="1">
      <c r="A2774" s="6" t="s">
        <v>18577</v>
      </c>
      <c r="B2774" s="6" t="s">
        <v>18578</v>
      </c>
      <c r="C2774" s="6" t="s">
        <v>18579</v>
      </c>
      <c r="D2774" s="6" t="s">
        <v>145</v>
      </c>
      <c r="E2774" s="6" t="s">
        <v>147</v>
      </c>
      <c r="F2774" s="8">
        <v>21.0</v>
      </c>
      <c r="G2774" s="9">
        <v>891.92</v>
      </c>
      <c r="H2774" s="9">
        <v>3438.61</v>
      </c>
      <c r="I2774" s="6" t="s">
        <v>161</v>
      </c>
      <c r="J2774" s="6" t="s">
        <v>228</v>
      </c>
      <c r="K2774" s="6" t="s">
        <v>18581</v>
      </c>
      <c r="L2774" s="6">
        <v>9.1387150008E10</v>
      </c>
      <c r="M2774" s="6" t="s">
        <v>18582</v>
      </c>
      <c r="N2774" s="6" t="s">
        <v>283</v>
      </c>
      <c r="O2774" s="6" t="s">
        <v>178</v>
      </c>
      <c r="P2774" s="10">
        <v>46032.0</v>
      </c>
    </row>
    <row r="2775" ht="22.5" customHeight="1">
      <c r="A2775" s="6" t="s">
        <v>18583</v>
      </c>
      <c r="B2775" s="6" t="s">
        <v>18584</v>
      </c>
      <c r="C2775" s="6" t="s">
        <v>18585</v>
      </c>
      <c r="D2775" s="6" t="s">
        <v>145</v>
      </c>
      <c r="E2775" s="6" t="s">
        <v>210</v>
      </c>
      <c r="F2775" s="8">
        <v>87.0</v>
      </c>
      <c r="G2775" s="9">
        <v>1273.18</v>
      </c>
      <c r="H2775" s="9">
        <v>9446.08</v>
      </c>
      <c r="I2775" s="6" t="s">
        <v>178</v>
      </c>
      <c r="J2775" s="6" t="s">
        <v>479</v>
      </c>
      <c r="K2775" s="6" t="s">
        <v>18587</v>
      </c>
      <c r="L2775" s="6">
        <v>7.5123628789E10</v>
      </c>
      <c r="M2775" s="6" t="s">
        <v>18588</v>
      </c>
      <c r="N2775" s="6" t="s">
        <v>259</v>
      </c>
      <c r="O2775" s="6" t="s">
        <v>161</v>
      </c>
      <c r="P2775" s="10">
        <v>45996.0</v>
      </c>
    </row>
    <row r="2776" ht="22.5" customHeight="1">
      <c r="A2776" s="6" t="s">
        <v>18589</v>
      </c>
      <c r="B2776" s="6" t="s">
        <v>18590</v>
      </c>
      <c r="C2776" s="6" t="s">
        <v>18591</v>
      </c>
      <c r="D2776" s="6" t="s">
        <v>145</v>
      </c>
      <c r="E2776" s="6" t="s">
        <v>147</v>
      </c>
      <c r="F2776" s="8">
        <v>6.0</v>
      </c>
      <c r="G2776" s="9">
        <v>482.94</v>
      </c>
      <c r="H2776" s="9">
        <v>8665.99</v>
      </c>
      <c r="I2776" s="6" t="s">
        <v>161</v>
      </c>
      <c r="J2776" s="6" t="s">
        <v>357</v>
      </c>
      <c r="K2776" s="6" t="s">
        <v>18593</v>
      </c>
      <c r="L2776" s="6">
        <v>6.873749875E9</v>
      </c>
      <c r="M2776" s="6" t="s">
        <v>18594</v>
      </c>
      <c r="N2776" s="6" t="s">
        <v>259</v>
      </c>
      <c r="O2776" s="6" t="s">
        <v>178</v>
      </c>
      <c r="P2776" s="10">
        <v>45950.0</v>
      </c>
    </row>
    <row r="2777" ht="22.5" customHeight="1">
      <c r="A2777" s="6" t="s">
        <v>18595</v>
      </c>
      <c r="B2777" s="6" t="s">
        <v>18596</v>
      </c>
      <c r="C2777" s="6" t="s">
        <v>18597</v>
      </c>
      <c r="D2777" s="6" t="s">
        <v>383</v>
      </c>
      <c r="E2777" s="6" t="s">
        <v>147</v>
      </c>
      <c r="F2777" s="8">
        <v>14.0</v>
      </c>
      <c r="G2777" s="9">
        <v>1037.45</v>
      </c>
      <c r="H2777" s="9">
        <v>6331.07</v>
      </c>
      <c r="I2777" s="6" t="s">
        <v>161</v>
      </c>
      <c r="J2777" s="6" t="s">
        <v>442</v>
      </c>
      <c r="K2777" s="6" t="s">
        <v>18598</v>
      </c>
      <c r="L2777" s="6">
        <v>8.0686956248E10</v>
      </c>
      <c r="M2777" s="6" t="s">
        <v>18600</v>
      </c>
      <c r="N2777" s="6" t="s">
        <v>283</v>
      </c>
      <c r="O2777" s="6" t="s">
        <v>178</v>
      </c>
      <c r="P2777" s="10">
        <v>45955.0</v>
      </c>
    </row>
    <row r="2778" ht="22.5" customHeight="1">
      <c r="A2778" s="6" t="s">
        <v>18601</v>
      </c>
      <c r="B2778" s="6" t="s">
        <v>18602</v>
      </c>
      <c r="C2778" s="6" t="s">
        <v>18603</v>
      </c>
      <c r="D2778" s="6" t="s">
        <v>383</v>
      </c>
      <c r="E2778" s="6" t="s">
        <v>301</v>
      </c>
      <c r="F2778" s="8">
        <v>51.0</v>
      </c>
      <c r="G2778" s="9">
        <v>176.44</v>
      </c>
      <c r="H2778" s="9">
        <v>9536.68</v>
      </c>
      <c r="I2778" s="6" t="s">
        <v>161</v>
      </c>
      <c r="J2778" s="6" t="s">
        <v>577</v>
      </c>
      <c r="K2778" s="6" t="s">
        <v>18604</v>
      </c>
      <c r="L2778" s="6">
        <v>6.998474123E10</v>
      </c>
      <c r="M2778" s="6" t="s">
        <v>18605</v>
      </c>
      <c r="N2778" s="6" t="s">
        <v>112</v>
      </c>
      <c r="O2778" s="6" t="s">
        <v>178</v>
      </c>
      <c r="P2778" s="10">
        <v>45972.0</v>
      </c>
    </row>
    <row r="2779" ht="22.5" customHeight="1">
      <c r="A2779" s="6" t="s">
        <v>18607</v>
      </c>
      <c r="B2779" s="6" t="s">
        <v>18608</v>
      </c>
      <c r="C2779" s="6" t="s">
        <v>18609</v>
      </c>
      <c r="D2779" s="6" t="s">
        <v>383</v>
      </c>
      <c r="E2779" s="6" t="s">
        <v>147</v>
      </c>
      <c r="F2779" s="8">
        <v>28.0</v>
      </c>
      <c r="G2779" s="9">
        <v>1146.76</v>
      </c>
      <c r="H2779" s="9">
        <v>2469.23</v>
      </c>
      <c r="I2779" s="6" t="s">
        <v>161</v>
      </c>
      <c r="J2779" s="6" t="s">
        <v>228</v>
      </c>
      <c r="K2779" s="6" t="s">
        <v>18610</v>
      </c>
      <c r="L2779" s="6">
        <v>4.8865820684E10</v>
      </c>
      <c r="M2779" s="6" t="s">
        <v>18612</v>
      </c>
      <c r="N2779" s="6" t="s">
        <v>112</v>
      </c>
      <c r="O2779" s="6" t="s">
        <v>178</v>
      </c>
      <c r="P2779" s="10">
        <v>45949.0</v>
      </c>
    </row>
    <row r="2780" ht="22.5" customHeight="1">
      <c r="A2780" s="6" t="s">
        <v>18613</v>
      </c>
      <c r="B2780" s="6" t="s">
        <v>18615</v>
      </c>
      <c r="C2780" s="6" t="s">
        <v>18616</v>
      </c>
      <c r="D2780" s="6" t="s">
        <v>206</v>
      </c>
      <c r="E2780" s="6" t="s">
        <v>210</v>
      </c>
      <c r="F2780" s="8">
        <v>60.0</v>
      </c>
      <c r="G2780" s="9">
        <v>1300.67</v>
      </c>
      <c r="H2780" s="9">
        <v>14909.07</v>
      </c>
      <c r="I2780" s="6" t="s">
        <v>178</v>
      </c>
      <c r="J2780" s="6" t="s">
        <v>577</v>
      </c>
      <c r="K2780" s="6" t="s">
        <v>18617</v>
      </c>
      <c r="L2780" s="6">
        <v>2.6685921866E10</v>
      </c>
      <c r="M2780" s="6" t="s">
        <v>18618</v>
      </c>
      <c r="N2780" s="6" t="s">
        <v>427</v>
      </c>
      <c r="O2780" s="6" t="s">
        <v>161</v>
      </c>
      <c r="P2780" s="10">
        <v>46009.0</v>
      </c>
    </row>
    <row r="2781" ht="22.5" customHeight="1">
      <c r="A2781" s="6" t="s">
        <v>18620</v>
      </c>
      <c r="B2781" s="6" t="s">
        <v>18621</v>
      </c>
      <c r="C2781" s="6" t="s">
        <v>18622</v>
      </c>
      <c r="D2781" s="6" t="s">
        <v>145</v>
      </c>
      <c r="E2781" s="6" t="s">
        <v>147</v>
      </c>
      <c r="F2781" s="8">
        <v>17.0</v>
      </c>
      <c r="G2781" s="9">
        <v>1620.86</v>
      </c>
      <c r="H2781" s="9">
        <v>10124.0</v>
      </c>
      <c r="I2781" s="6" t="s">
        <v>161</v>
      </c>
      <c r="J2781" s="6" t="s">
        <v>479</v>
      </c>
      <c r="K2781" s="6" t="s">
        <v>18623</v>
      </c>
      <c r="L2781" s="6" t="s">
        <v>259</v>
      </c>
      <c r="M2781" s="6" t="s">
        <v>18624</v>
      </c>
      <c r="N2781" s="6" t="s">
        <v>427</v>
      </c>
      <c r="O2781" s="6" t="s">
        <v>178</v>
      </c>
      <c r="P2781" s="10">
        <v>46048.0</v>
      </c>
    </row>
    <row r="2782" ht="22.5" customHeight="1">
      <c r="A2782" s="6" t="s">
        <v>18625</v>
      </c>
      <c r="B2782" s="6" t="s">
        <v>18626</v>
      </c>
      <c r="C2782" s="6" t="s">
        <v>18628</v>
      </c>
      <c r="D2782" s="6" t="s">
        <v>145</v>
      </c>
      <c r="E2782" s="6" t="s">
        <v>301</v>
      </c>
      <c r="F2782" s="8">
        <v>43.0</v>
      </c>
      <c r="G2782" s="9">
        <v>931.9</v>
      </c>
      <c r="H2782" s="9">
        <v>9674.22</v>
      </c>
      <c r="I2782" s="6" t="s">
        <v>161</v>
      </c>
      <c r="J2782" s="6" t="s">
        <v>259</v>
      </c>
      <c r="K2782" s="6" t="s">
        <v>259</v>
      </c>
      <c r="L2782" s="6">
        <v>3.7567047155E10</v>
      </c>
      <c r="M2782" s="6" t="s">
        <v>18629</v>
      </c>
      <c r="N2782" s="6" t="s">
        <v>427</v>
      </c>
      <c r="O2782" s="6" t="s">
        <v>178</v>
      </c>
      <c r="P2782" s="10">
        <v>45956.0</v>
      </c>
    </row>
    <row r="2783" ht="22.5" customHeight="1">
      <c r="A2783" s="6" t="s">
        <v>18630</v>
      </c>
      <c r="B2783" s="6" t="s">
        <v>18631</v>
      </c>
      <c r="C2783" s="6" t="s">
        <v>18632</v>
      </c>
      <c r="D2783" s="6" t="s">
        <v>206</v>
      </c>
      <c r="E2783" s="6" t="s">
        <v>301</v>
      </c>
      <c r="F2783" s="8">
        <v>33.0</v>
      </c>
      <c r="G2783" s="9">
        <v>1357.2</v>
      </c>
      <c r="H2783" s="9">
        <v>13123.55</v>
      </c>
      <c r="I2783" s="6" t="s">
        <v>161</v>
      </c>
      <c r="J2783" s="6" t="s">
        <v>465</v>
      </c>
      <c r="K2783" s="6" t="s">
        <v>18634</v>
      </c>
      <c r="L2783" s="6">
        <v>1.256785126E10</v>
      </c>
      <c r="M2783" s="6" t="s">
        <v>18635</v>
      </c>
      <c r="N2783" s="6" t="s">
        <v>259</v>
      </c>
      <c r="O2783" s="6" t="s">
        <v>178</v>
      </c>
      <c r="P2783" s="10">
        <v>46032.0</v>
      </c>
    </row>
    <row r="2784" ht="22.5" customHeight="1">
      <c r="A2784" s="6" t="s">
        <v>18636</v>
      </c>
      <c r="B2784" s="6" t="s">
        <v>18637</v>
      </c>
      <c r="C2784" s="6" t="s">
        <v>18638</v>
      </c>
      <c r="D2784" s="6" t="s">
        <v>206</v>
      </c>
      <c r="E2784" s="6" t="s">
        <v>301</v>
      </c>
      <c r="F2784" s="8">
        <v>55.0</v>
      </c>
      <c r="G2784" s="9">
        <v>1055.42</v>
      </c>
      <c r="H2784" s="9">
        <v>5973.39</v>
      </c>
      <c r="I2784" s="6" t="s">
        <v>161</v>
      </c>
      <c r="J2784" s="6" t="s">
        <v>312</v>
      </c>
      <c r="K2784" s="6" t="s">
        <v>18640</v>
      </c>
      <c r="L2784" s="6">
        <v>6.310962056E10</v>
      </c>
      <c r="M2784" s="6" t="s">
        <v>18641</v>
      </c>
      <c r="N2784" s="6" t="s">
        <v>283</v>
      </c>
      <c r="O2784" s="6" t="s">
        <v>178</v>
      </c>
      <c r="P2784" s="10">
        <v>45950.0</v>
      </c>
    </row>
    <row r="2785" ht="22.5" customHeight="1">
      <c r="A2785" s="6" t="s">
        <v>18642</v>
      </c>
      <c r="B2785" s="6" t="s">
        <v>18643</v>
      </c>
      <c r="C2785" s="6" t="s">
        <v>18644</v>
      </c>
      <c r="D2785" s="6" t="s">
        <v>383</v>
      </c>
      <c r="E2785" s="6" t="s">
        <v>301</v>
      </c>
      <c r="F2785" s="8">
        <v>30.0</v>
      </c>
      <c r="G2785" s="9">
        <v>1349.84</v>
      </c>
      <c r="H2785" s="9">
        <v>14048.62</v>
      </c>
      <c r="I2785" s="6" t="s">
        <v>161</v>
      </c>
      <c r="J2785" s="6" t="s">
        <v>442</v>
      </c>
      <c r="K2785" s="6" t="s">
        <v>18645</v>
      </c>
      <c r="L2785" s="6">
        <v>3.6911166806E10</v>
      </c>
      <c r="M2785" s="6" t="s">
        <v>18646</v>
      </c>
      <c r="N2785" s="6" t="s">
        <v>112</v>
      </c>
      <c r="O2785" s="6" t="s">
        <v>178</v>
      </c>
      <c r="P2785" s="10">
        <v>46044.0</v>
      </c>
    </row>
    <row r="2786" ht="22.5" customHeight="1">
      <c r="A2786" s="6" t="s">
        <v>18647</v>
      </c>
      <c r="B2786" s="6" t="s">
        <v>18649</v>
      </c>
      <c r="C2786" s="6" t="s">
        <v>18650</v>
      </c>
      <c r="D2786" s="6" t="s">
        <v>206</v>
      </c>
      <c r="E2786" s="6" t="s">
        <v>301</v>
      </c>
      <c r="F2786" s="8">
        <v>30.0</v>
      </c>
      <c r="G2786" s="9">
        <v>1075.2</v>
      </c>
      <c r="H2786" s="9">
        <v>1591.97</v>
      </c>
      <c r="I2786" s="6" t="s">
        <v>161</v>
      </c>
      <c r="J2786" s="6" t="s">
        <v>479</v>
      </c>
      <c r="K2786" s="6" t="s">
        <v>18651</v>
      </c>
      <c r="L2786" s="6">
        <v>3.9400760491E10</v>
      </c>
      <c r="M2786" s="6" t="s">
        <v>18652</v>
      </c>
      <c r="N2786" s="6" t="s">
        <v>283</v>
      </c>
      <c r="O2786" s="6" t="s">
        <v>178</v>
      </c>
      <c r="P2786" s="10">
        <v>45936.0</v>
      </c>
    </row>
    <row r="2787" ht="22.5" customHeight="1">
      <c r="A2787" s="6" t="s">
        <v>18653</v>
      </c>
      <c r="B2787" s="6" t="s">
        <v>18654</v>
      </c>
      <c r="C2787" s="6" t="s">
        <v>18655</v>
      </c>
      <c r="D2787" s="6" t="s">
        <v>206</v>
      </c>
      <c r="E2787" s="6" t="s">
        <v>301</v>
      </c>
      <c r="F2787" s="8">
        <v>48.0</v>
      </c>
      <c r="G2787" s="9">
        <v>887.84</v>
      </c>
      <c r="H2787" s="9">
        <v>6579.6</v>
      </c>
      <c r="I2787" s="6" t="s">
        <v>161</v>
      </c>
      <c r="J2787" s="6" t="s">
        <v>393</v>
      </c>
      <c r="K2787" s="6" t="s">
        <v>18657</v>
      </c>
      <c r="L2787" s="6">
        <v>5.4826212856E10</v>
      </c>
      <c r="M2787" s="6" t="s">
        <v>18658</v>
      </c>
      <c r="N2787" s="6" t="s">
        <v>112</v>
      </c>
      <c r="O2787" s="6" t="s">
        <v>178</v>
      </c>
      <c r="P2787" s="10">
        <v>45969.0</v>
      </c>
    </row>
    <row r="2788" ht="22.5" customHeight="1">
      <c r="A2788" s="6" t="s">
        <v>18660</v>
      </c>
      <c r="B2788" s="6" t="s">
        <v>18661</v>
      </c>
      <c r="C2788" s="6" t="s">
        <v>18662</v>
      </c>
      <c r="D2788" s="6" t="s">
        <v>145</v>
      </c>
      <c r="E2788" s="6" t="s">
        <v>301</v>
      </c>
      <c r="F2788" s="8">
        <v>34.0</v>
      </c>
      <c r="G2788" s="9">
        <v>287.52</v>
      </c>
      <c r="H2788" s="9">
        <v>8411.78</v>
      </c>
      <c r="I2788" s="6" t="s">
        <v>178</v>
      </c>
      <c r="J2788" s="6" t="s">
        <v>357</v>
      </c>
      <c r="K2788" s="6" t="s">
        <v>259</v>
      </c>
      <c r="L2788" s="6">
        <v>7.5226369735E10</v>
      </c>
      <c r="M2788" s="6" t="s">
        <v>18664</v>
      </c>
      <c r="N2788" s="6" t="s">
        <v>176</v>
      </c>
      <c r="O2788" s="6" t="s">
        <v>161</v>
      </c>
      <c r="P2788" s="10">
        <v>46034.0</v>
      </c>
    </row>
    <row r="2789" ht="22.5" customHeight="1">
      <c r="A2789" s="6" t="s">
        <v>18665</v>
      </c>
      <c r="B2789" s="6" t="s">
        <v>18666</v>
      </c>
      <c r="C2789" s="6" t="s">
        <v>18667</v>
      </c>
      <c r="D2789" s="6" t="s">
        <v>145</v>
      </c>
      <c r="E2789" s="6" t="s">
        <v>301</v>
      </c>
      <c r="F2789" s="8">
        <v>54.0</v>
      </c>
      <c r="G2789" s="9">
        <v>397.47</v>
      </c>
      <c r="H2789" s="9">
        <v>1847.81</v>
      </c>
      <c r="I2789" s="6" t="s">
        <v>161</v>
      </c>
      <c r="J2789" s="6" t="s">
        <v>577</v>
      </c>
      <c r="K2789" s="6" t="s">
        <v>18669</v>
      </c>
      <c r="L2789" s="6">
        <v>6.6257617283E10</v>
      </c>
      <c r="M2789" s="6" t="s">
        <v>18670</v>
      </c>
      <c r="N2789" s="6" t="s">
        <v>112</v>
      </c>
      <c r="O2789" s="6" t="s">
        <v>178</v>
      </c>
      <c r="P2789" s="10">
        <v>46024.0</v>
      </c>
    </row>
    <row r="2790" ht="22.5" customHeight="1">
      <c r="A2790" s="6" t="s">
        <v>18672</v>
      </c>
      <c r="B2790" s="6" t="s">
        <v>18673</v>
      </c>
      <c r="C2790" s="6" t="s">
        <v>18674</v>
      </c>
      <c r="D2790" s="6" t="s">
        <v>206</v>
      </c>
      <c r="E2790" s="6" t="s">
        <v>147</v>
      </c>
      <c r="F2790" s="8">
        <v>16.0</v>
      </c>
      <c r="G2790" s="9">
        <v>1072.1</v>
      </c>
      <c r="H2790" s="9">
        <v>9779.49</v>
      </c>
      <c r="I2790" s="6" t="s">
        <v>161</v>
      </c>
      <c r="J2790" s="6" t="s">
        <v>163</v>
      </c>
      <c r="K2790" s="6" t="s">
        <v>18675</v>
      </c>
      <c r="L2790" s="6">
        <v>7.3376106873E10</v>
      </c>
      <c r="M2790" s="6" t="s">
        <v>18677</v>
      </c>
      <c r="N2790" s="6" t="s">
        <v>176</v>
      </c>
      <c r="O2790" s="6" t="s">
        <v>178</v>
      </c>
      <c r="P2790" s="10">
        <v>45949.0</v>
      </c>
    </row>
    <row r="2791" ht="22.5" customHeight="1">
      <c r="A2791" s="6" t="s">
        <v>18678</v>
      </c>
      <c r="B2791" s="6" t="s">
        <v>18679</v>
      </c>
      <c r="C2791" s="6" t="s">
        <v>18680</v>
      </c>
      <c r="D2791" s="6" t="s">
        <v>206</v>
      </c>
      <c r="E2791" s="6" t="s">
        <v>147</v>
      </c>
      <c r="F2791" s="8">
        <v>18.0</v>
      </c>
      <c r="G2791" s="9">
        <v>756.63</v>
      </c>
      <c r="H2791" s="9">
        <v>2335.52</v>
      </c>
      <c r="I2791" s="6" t="s">
        <v>161</v>
      </c>
      <c r="J2791" s="6" t="s">
        <v>465</v>
      </c>
      <c r="K2791" s="6" t="s">
        <v>18682</v>
      </c>
      <c r="L2791" s="6">
        <v>2.653212713E10</v>
      </c>
      <c r="M2791" s="6" t="s">
        <v>18683</v>
      </c>
      <c r="N2791" s="6" t="s">
        <v>259</v>
      </c>
      <c r="O2791" s="6" t="s">
        <v>178</v>
      </c>
      <c r="P2791" s="10">
        <v>45963.0</v>
      </c>
    </row>
    <row r="2792" ht="22.5" customHeight="1">
      <c r="A2792" s="6" t="s">
        <v>18684</v>
      </c>
      <c r="B2792" s="6" t="s">
        <v>18685</v>
      </c>
      <c r="C2792" s="6" t="s">
        <v>18687</v>
      </c>
      <c r="D2792" s="6" t="s">
        <v>383</v>
      </c>
      <c r="E2792" s="6" t="s">
        <v>210</v>
      </c>
      <c r="F2792" s="8">
        <v>107.0</v>
      </c>
      <c r="G2792" s="9">
        <v>315.59</v>
      </c>
      <c r="H2792" s="9">
        <v>10513.84</v>
      </c>
      <c r="I2792" s="6" t="s">
        <v>178</v>
      </c>
      <c r="J2792" s="6" t="s">
        <v>421</v>
      </c>
      <c r="K2792" s="6" t="s">
        <v>18688</v>
      </c>
      <c r="L2792" s="6">
        <v>7.9394109924E10</v>
      </c>
      <c r="M2792" s="6" t="s">
        <v>18689</v>
      </c>
      <c r="N2792" s="6" t="s">
        <v>176</v>
      </c>
      <c r="O2792" s="6" t="s">
        <v>161</v>
      </c>
      <c r="P2792" s="10">
        <v>45979.0</v>
      </c>
    </row>
    <row r="2793" ht="22.5" customHeight="1">
      <c r="A2793" s="6" t="s">
        <v>18691</v>
      </c>
      <c r="B2793" s="6" t="s">
        <v>18692</v>
      </c>
      <c r="C2793" s="6" t="s">
        <v>18693</v>
      </c>
      <c r="D2793" s="6" t="s">
        <v>145</v>
      </c>
      <c r="E2793" s="6" t="s">
        <v>147</v>
      </c>
      <c r="F2793" s="8">
        <v>26.0</v>
      </c>
      <c r="G2793" s="9">
        <v>1117.67</v>
      </c>
      <c r="H2793" s="9">
        <v>3658.53</v>
      </c>
      <c r="I2793" s="6" t="s">
        <v>161</v>
      </c>
      <c r="J2793" s="6" t="s">
        <v>312</v>
      </c>
      <c r="K2793" s="6" t="s">
        <v>18695</v>
      </c>
      <c r="L2793" s="6">
        <v>9.0123278328E10</v>
      </c>
      <c r="M2793" s="6" t="s">
        <v>18696</v>
      </c>
      <c r="N2793" s="6" t="s">
        <v>176</v>
      </c>
      <c r="O2793" s="6" t="s">
        <v>178</v>
      </c>
      <c r="P2793" s="10">
        <v>46033.0</v>
      </c>
    </row>
    <row r="2794" ht="22.5" customHeight="1">
      <c r="A2794" s="6" t="s">
        <v>18697</v>
      </c>
      <c r="B2794" s="6" t="s">
        <v>18698</v>
      </c>
      <c r="C2794" s="6" t="s">
        <v>18699</v>
      </c>
      <c r="D2794" s="6" t="s">
        <v>145</v>
      </c>
      <c r="E2794" s="6" t="s">
        <v>147</v>
      </c>
      <c r="F2794" s="8">
        <v>9.0</v>
      </c>
      <c r="G2794" s="9">
        <v>1581.49</v>
      </c>
      <c r="H2794" s="9">
        <v>4076.24</v>
      </c>
      <c r="I2794" s="6" t="s">
        <v>161</v>
      </c>
      <c r="J2794" s="6" t="s">
        <v>442</v>
      </c>
      <c r="K2794" s="6" t="s">
        <v>18701</v>
      </c>
      <c r="L2794" s="6">
        <v>3.492825253E10</v>
      </c>
      <c r="M2794" s="6" t="s">
        <v>18702</v>
      </c>
      <c r="N2794" s="6" t="s">
        <v>283</v>
      </c>
      <c r="O2794" s="6" t="s">
        <v>178</v>
      </c>
      <c r="P2794" s="10">
        <v>45989.0</v>
      </c>
    </row>
    <row r="2795" ht="22.5" customHeight="1">
      <c r="A2795" s="6" t="s">
        <v>18704</v>
      </c>
      <c r="B2795" s="6" t="s">
        <v>18705</v>
      </c>
      <c r="C2795" s="6" t="s">
        <v>18706</v>
      </c>
      <c r="D2795" s="6" t="s">
        <v>145</v>
      </c>
      <c r="E2795" s="6" t="s">
        <v>147</v>
      </c>
      <c r="F2795" s="8">
        <v>7.0</v>
      </c>
      <c r="G2795" s="9">
        <v>208.03</v>
      </c>
      <c r="H2795" s="9">
        <v>9293.47</v>
      </c>
      <c r="I2795" s="6" t="s">
        <v>161</v>
      </c>
      <c r="J2795" s="6" t="s">
        <v>312</v>
      </c>
      <c r="K2795" s="6" t="s">
        <v>18708</v>
      </c>
      <c r="L2795" s="6">
        <v>7.0370681891E10</v>
      </c>
      <c r="M2795" s="6" t="s">
        <v>18709</v>
      </c>
      <c r="N2795" s="6" t="s">
        <v>283</v>
      </c>
      <c r="O2795" s="6" t="s">
        <v>178</v>
      </c>
      <c r="P2795" s="10">
        <v>46025.0</v>
      </c>
    </row>
    <row r="2796" ht="22.5" customHeight="1">
      <c r="A2796" s="6" t="s">
        <v>18711</v>
      </c>
      <c r="B2796" s="6" t="s">
        <v>18712</v>
      </c>
      <c r="C2796" s="6" t="s">
        <v>18714</v>
      </c>
      <c r="D2796" s="6" t="s">
        <v>145</v>
      </c>
      <c r="E2796" s="6" t="s">
        <v>147</v>
      </c>
      <c r="F2796" s="8">
        <v>8.0</v>
      </c>
      <c r="G2796" s="9">
        <v>929.62</v>
      </c>
      <c r="H2796" s="9">
        <v>12667.63</v>
      </c>
      <c r="I2796" s="6" t="s">
        <v>161</v>
      </c>
      <c r="J2796" s="6" t="s">
        <v>312</v>
      </c>
      <c r="K2796" s="6" t="s">
        <v>18715</v>
      </c>
      <c r="L2796" s="6">
        <v>8.6954105911E10</v>
      </c>
      <c r="M2796" s="6" t="s">
        <v>18716</v>
      </c>
      <c r="N2796" s="6" t="s">
        <v>176</v>
      </c>
      <c r="O2796" s="6" t="s">
        <v>178</v>
      </c>
      <c r="P2796" s="10">
        <v>45987.0</v>
      </c>
    </row>
    <row r="2797" ht="22.5" customHeight="1">
      <c r="A2797" s="6" t="s">
        <v>18718</v>
      </c>
      <c r="B2797" s="6" t="s">
        <v>18719</v>
      </c>
      <c r="C2797" s="6" t="s">
        <v>18720</v>
      </c>
      <c r="D2797" s="6" t="s">
        <v>145</v>
      </c>
      <c r="E2797" s="6" t="s">
        <v>301</v>
      </c>
      <c r="F2797" s="8">
        <v>56.0</v>
      </c>
      <c r="G2797" s="9">
        <v>886.72</v>
      </c>
      <c r="H2797" s="9">
        <v>1912.91</v>
      </c>
      <c r="I2797" s="6" t="s">
        <v>161</v>
      </c>
      <c r="J2797" s="6" t="s">
        <v>421</v>
      </c>
      <c r="K2797" s="6" t="s">
        <v>18721</v>
      </c>
      <c r="L2797" s="6" t="s">
        <v>259</v>
      </c>
      <c r="M2797" s="6" t="s">
        <v>18722</v>
      </c>
      <c r="N2797" s="6" t="s">
        <v>259</v>
      </c>
      <c r="O2797" s="6" t="s">
        <v>178</v>
      </c>
      <c r="P2797" s="10">
        <v>46048.0</v>
      </c>
    </row>
    <row r="2798" ht="22.5" customHeight="1">
      <c r="A2798" s="6" t="s">
        <v>18723</v>
      </c>
      <c r="B2798" s="6" t="s">
        <v>18724</v>
      </c>
      <c r="C2798" s="6" t="s">
        <v>18726</v>
      </c>
      <c r="D2798" s="6" t="s">
        <v>383</v>
      </c>
      <c r="E2798" s="6" t="s">
        <v>147</v>
      </c>
      <c r="F2798" s="8">
        <v>14.0</v>
      </c>
      <c r="G2798" s="9">
        <v>797.31</v>
      </c>
      <c r="H2798" s="9">
        <v>9326.54</v>
      </c>
      <c r="I2798" s="6" t="s">
        <v>161</v>
      </c>
      <c r="J2798" s="6" t="s">
        <v>421</v>
      </c>
      <c r="K2798" s="6" t="s">
        <v>18727</v>
      </c>
      <c r="L2798" s="6">
        <v>7.7941147351E10</v>
      </c>
      <c r="M2798" s="6" t="s">
        <v>18728</v>
      </c>
      <c r="N2798" s="6" t="s">
        <v>427</v>
      </c>
      <c r="O2798" s="6" t="s">
        <v>178</v>
      </c>
      <c r="P2798" s="10">
        <v>45982.0</v>
      </c>
    </row>
    <row r="2799" ht="22.5" customHeight="1">
      <c r="A2799" s="6" t="s">
        <v>18729</v>
      </c>
      <c r="B2799" s="6" t="s">
        <v>18730</v>
      </c>
      <c r="C2799" s="6" t="s">
        <v>18731</v>
      </c>
      <c r="D2799" s="6" t="s">
        <v>145</v>
      </c>
      <c r="E2799" s="6" t="s">
        <v>147</v>
      </c>
      <c r="F2799" s="8">
        <v>20.0</v>
      </c>
      <c r="G2799" s="9">
        <v>142.53</v>
      </c>
      <c r="H2799" s="9">
        <v>5712.96</v>
      </c>
      <c r="I2799" s="6" t="s">
        <v>161</v>
      </c>
      <c r="J2799" s="6" t="s">
        <v>228</v>
      </c>
      <c r="K2799" s="6" t="s">
        <v>18733</v>
      </c>
      <c r="L2799" s="6">
        <v>4.8576327771E10</v>
      </c>
      <c r="M2799" s="6" t="s">
        <v>18734</v>
      </c>
      <c r="N2799" s="6" t="s">
        <v>112</v>
      </c>
      <c r="O2799" s="6" t="s">
        <v>178</v>
      </c>
      <c r="P2799" s="10">
        <v>46004.0</v>
      </c>
    </row>
    <row r="2800" ht="22.5" customHeight="1">
      <c r="A2800" s="6" t="s">
        <v>18735</v>
      </c>
      <c r="B2800" s="6" t="s">
        <v>18736</v>
      </c>
      <c r="C2800" s="6" t="s">
        <v>18737</v>
      </c>
      <c r="D2800" s="6" t="s">
        <v>145</v>
      </c>
      <c r="E2800" s="6" t="s">
        <v>147</v>
      </c>
      <c r="F2800" s="8">
        <v>27.0</v>
      </c>
      <c r="G2800" s="9">
        <v>827.84</v>
      </c>
      <c r="H2800" s="9">
        <v>4113.15</v>
      </c>
      <c r="I2800" s="6" t="s">
        <v>161</v>
      </c>
      <c r="J2800" s="6" t="s">
        <v>312</v>
      </c>
      <c r="K2800" s="6" t="s">
        <v>18739</v>
      </c>
      <c r="L2800" s="6">
        <v>6.2157728997E10</v>
      </c>
      <c r="M2800" s="6" t="s">
        <v>18740</v>
      </c>
      <c r="N2800" s="6" t="s">
        <v>283</v>
      </c>
      <c r="O2800" s="6" t="s">
        <v>178</v>
      </c>
      <c r="P2800" s="10">
        <v>45980.0</v>
      </c>
    </row>
    <row r="2801" ht="22.5" customHeight="1">
      <c r="A2801" s="6" t="s">
        <v>18741</v>
      </c>
      <c r="B2801" s="6" t="s">
        <v>18742</v>
      </c>
      <c r="C2801" s="6" t="s">
        <v>18743</v>
      </c>
      <c r="D2801" s="6" t="s">
        <v>383</v>
      </c>
      <c r="E2801" s="6" t="s">
        <v>301</v>
      </c>
      <c r="F2801" s="8">
        <v>45.0</v>
      </c>
      <c r="G2801" s="9">
        <v>1173.19</v>
      </c>
      <c r="H2801" s="9">
        <v>4385.95</v>
      </c>
      <c r="I2801" s="6" t="s">
        <v>161</v>
      </c>
      <c r="J2801" s="6" t="s">
        <v>465</v>
      </c>
      <c r="K2801" s="6" t="s">
        <v>18745</v>
      </c>
      <c r="L2801" s="6">
        <v>2.256867338E10</v>
      </c>
      <c r="M2801" s="6" t="s">
        <v>18746</v>
      </c>
      <c r="N2801" s="6" t="s">
        <v>112</v>
      </c>
      <c r="O2801" s="6" t="s">
        <v>178</v>
      </c>
      <c r="P2801" s="10">
        <v>45997.0</v>
      </c>
    </row>
    <row r="2802" ht="22.5" customHeight="1">
      <c r="A2802" s="6" t="s">
        <v>18747</v>
      </c>
      <c r="B2802" s="6" t="s">
        <v>18748</v>
      </c>
      <c r="C2802" s="6" t="s">
        <v>18749</v>
      </c>
      <c r="D2802" s="6" t="s">
        <v>206</v>
      </c>
      <c r="E2802" s="6" t="s">
        <v>147</v>
      </c>
      <c r="F2802" s="8">
        <v>12.0</v>
      </c>
      <c r="G2802" s="9">
        <v>1381.63</v>
      </c>
      <c r="H2802" s="9">
        <v>13847.79</v>
      </c>
      <c r="I2802" s="6" t="s">
        <v>161</v>
      </c>
      <c r="J2802" s="6" t="s">
        <v>465</v>
      </c>
      <c r="K2802" s="6" t="s">
        <v>18751</v>
      </c>
      <c r="L2802" s="6">
        <v>8.8524232757E10</v>
      </c>
      <c r="M2802" s="6" t="s">
        <v>18752</v>
      </c>
      <c r="N2802" s="6" t="s">
        <v>427</v>
      </c>
      <c r="O2802" s="6" t="s">
        <v>178</v>
      </c>
      <c r="P2802" s="10">
        <v>45939.0</v>
      </c>
    </row>
    <row r="2803" ht="22.5" customHeight="1">
      <c r="A2803" s="6" t="s">
        <v>18753</v>
      </c>
      <c r="B2803" s="6" t="s">
        <v>18754</v>
      </c>
      <c r="C2803" s="6" t="s">
        <v>18755</v>
      </c>
      <c r="D2803" s="6" t="s">
        <v>145</v>
      </c>
      <c r="E2803" s="6" t="s">
        <v>210</v>
      </c>
      <c r="F2803" s="8">
        <v>71.0</v>
      </c>
      <c r="G2803" s="9">
        <v>844.19</v>
      </c>
      <c r="H2803" s="9">
        <v>12435.27</v>
      </c>
      <c r="I2803" s="6" t="s">
        <v>178</v>
      </c>
      <c r="J2803" s="6" t="s">
        <v>421</v>
      </c>
      <c r="K2803" s="6" t="s">
        <v>18757</v>
      </c>
      <c r="L2803" s="6">
        <v>6.6599704857E10</v>
      </c>
      <c r="M2803" s="6" t="s">
        <v>18758</v>
      </c>
      <c r="N2803" s="6" t="s">
        <v>283</v>
      </c>
      <c r="O2803" s="6" t="s">
        <v>161</v>
      </c>
      <c r="P2803" s="10">
        <v>45975.0</v>
      </c>
    </row>
    <row r="2804" ht="22.5" customHeight="1">
      <c r="A2804" s="6" t="s">
        <v>18759</v>
      </c>
      <c r="B2804" s="6" t="s">
        <v>18760</v>
      </c>
      <c r="C2804" s="6" t="s">
        <v>18761</v>
      </c>
      <c r="D2804" s="6" t="s">
        <v>383</v>
      </c>
      <c r="E2804" s="6" t="s">
        <v>147</v>
      </c>
      <c r="F2804" s="8">
        <v>27.0</v>
      </c>
      <c r="G2804" s="9">
        <v>1609.43</v>
      </c>
      <c r="H2804" s="9">
        <v>9585.56</v>
      </c>
      <c r="I2804" s="6" t="s">
        <v>161</v>
      </c>
      <c r="J2804" s="6" t="s">
        <v>479</v>
      </c>
      <c r="K2804" s="6" t="s">
        <v>18763</v>
      </c>
      <c r="L2804" s="6">
        <v>8.73711864E8</v>
      </c>
      <c r="M2804" s="6" t="s">
        <v>18764</v>
      </c>
      <c r="N2804" s="6" t="s">
        <v>283</v>
      </c>
      <c r="O2804" s="6" t="s">
        <v>178</v>
      </c>
      <c r="P2804" s="10">
        <v>46031.0</v>
      </c>
    </row>
    <row r="2805" ht="22.5" customHeight="1">
      <c r="A2805" s="6" t="s">
        <v>18766</v>
      </c>
      <c r="B2805" s="6" t="s">
        <v>18767</v>
      </c>
      <c r="C2805" s="6" t="s">
        <v>18768</v>
      </c>
      <c r="D2805" s="6" t="s">
        <v>206</v>
      </c>
      <c r="E2805" s="6" t="s">
        <v>147</v>
      </c>
      <c r="F2805" s="8">
        <v>19.0</v>
      </c>
      <c r="G2805" s="9">
        <v>1499.68</v>
      </c>
      <c r="H2805" s="9">
        <v>8675.17</v>
      </c>
      <c r="I2805" s="6" t="s">
        <v>161</v>
      </c>
      <c r="J2805" s="6" t="s">
        <v>479</v>
      </c>
      <c r="K2805" s="6" t="s">
        <v>18770</v>
      </c>
      <c r="L2805" s="6">
        <v>6.6561953695E10</v>
      </c>
      <c r="M2805" s="6" t="s">
        <v>18772</v>
      </c>
      <c r="N2805" s="6" t="s">
        <v>427</v>
      </c>
      <c r="O2805" s="6" t="s">
        <v>178</v>
      </c>
      <c r="P2805" s="10">
        <v>46001.0</v>
      </c>
    </row>
    <row r="2806" ht="22.5" customHeight="1">
      <c r="A2806" s="6" t="s">
        <v>18773</v>
      </c>
      <c r="B2806" s="6" t="s">
        <v>18774</v>
      </c>
      <c r="C2806" s="6" t="s">
        <v>18775</v>
      </c>
      <c r="D2806" s="6" t="s">
        <v>145</v>
      </c>
      <c r="E2806" s="6" t="s">
        <v>301</v>
      </c>
      <c r="F2806" s="8">
        <v>44.0</v>
      </c>
      <c r="G2806" s="9">
        <v>137.07</v>
      </c>
      <c r="H2806" s="9">
        <v>13064.99</v>
      </c>
      <c r="I2806" s="6" t="s">
        <v>161</v>
      </c>
      <c r="J2806" s="6" t="s">
        <v>421</v>
      </c>
      <c r="K2806" s="6" t="s">
        <v>18777</v>
      </c>
      <c r="L2806" s="6">
        <v>4.2111673468E10</v>
      </c>
      <c r="M2806" s="6" t="s">
        <v>18778</v>
      </c>
      <c r="N2806" s="6" t="s">
        <v>427</v>
      </c>
      <c r="O2806" s="6" t="s">
        <v>178</v>
      </c>
      <c r="P2806" s="10">
        <v>45943.0</v>
      </c>
    </row>
    <row r="2807" ht="22.5" customHeight="1">
      <c r="A2807" s="6" t="s">
        <v>18779</v>
      </c>
      <c r="B2807" s="6" t="s">
        <v>18780</v>
      </c>
      <c r="C2807" s="6" t="s">
        <v>18782</v>
      </c>
      <c r="D2807" s="6" t="s">
        <v>206</v>
      </c>
      <c r="E2807" s="6" t="s">
        <v>147</v>
      </c>
      <c r="F2807" s="8">
        <v>26.0</v>
      </c>
      <c r="G2807" s="9">
        <v>550.84</v>
      </c>
      <c r="H2807" s="9">
        <v>1815.13</v>
      </c>
      <c r="I2807" s="6" t="s">
        <v>161</v>
      </c>
      <c r="J2807" s="6" t="s">
        <v>163</v>
      </c>
      <c r="K2807" s="6" t="s">
        <v>18783</v>
      </c>
      <c r="L2807" s="6">
        <v>8.234268201E10</v>
      </c>
      <c r="M2807" s="6" t="s">
        <v>18784</v>
      </c>
      <c r="N2807" s="6" t="s">
        <v>259</v>
      </c>
      <c r="O2807" s="6" t="s">
        <v>178</v>
      </c>
      <c r="P2807" s="10">
        <v>46023.0</v>
      </c>
    </row>
    <row r="2808" ht="22.5" customHeight="1">
      <c r="A2808" s="6" t="s">
        <v>18786</v>
      </c>
      <c r="B2808" s="6" t="s">
        <v>18787</v>
      </c>
      <c r="C2808" s="6" t="s">
        <v>18788</v>
      </c>
      <c r="D2808" s="6" t="s">
        <v>145</v>
      </c>
      <c r="E2808" s="6" t="s">
        <v>147</v>
      </c>
      <c r="F2808" s="8">
        <v>28.0</v>
      </c>
      <c r="G2808" s="9">
        <v>1561.6</v>
      </c>
      <c r="H2808" s="9">
        <v>12074.32</v>
      </c>
      <c r="I2808" s="6" t="s">
        <v>178</v>
      </c>
      <c r="J2808" s="6" t="s">
        <v>163</v>
      </c>
      <c r="K2808" s="6" t="s">
        <v>18790</v>
      </c>
      <c r="L2808" s="6">
        <v>5.6428606834E10</v>
      </c>
      <c r="M2808" s="6" t="s">
        <v>18791</v>
      </c>
      <c r="N2808" s="6" t="s">
        <v>176</v>
      </c>
      <c r="O2808" s="6" t="s">
        <v>161</v>
      </c>
      <c r="P2808" s="10">
        <v>45974.0</v>
      </c>
    </row>
    <row r="2809" ht="22.5" customHeight="1">
      <c r="A2809" s="6" t="s">
        <v>18793</v>
      </c>
      <c r="B2809" s="6" t="s">
        <v>18794</v>
      </c>
      <c r="C2809" s="6" t="s">
        <v>18795</v>
      </c>
      <c r="D2809" s="6" t="s">
        <v>145</v>
      </c>
      <c r="E2809" s="6" t="s">
        <v>147</v>
      </c>
      <c r="F2809" s="8">
        <v>10.0</v>
      </c>
      <c r="G2809" s="9">
        <v>217.19</v>
      </c>
      <c r="H2809" s="9">
        <v>3813.78</v>
      </c>
      <c r="I2809" s="6" t="s">
        <v>178</v>
      </c>
      <c r="J2809" s="6" t="s">
        <v>163</v>
      </c>
      <c r="K2809" s="6" t="s">
        <v>18797</v>
      </c>
      <c r="L2809" s="6">
        <v>3.4734685644E10</v>
      </c>
      <c r="M2809" s="6" t="s">
        <v>18798</v>
      </c>
      <c r="N2809" s="6" t="s">
        <v>283</v>
      </c>
      <c r="O2809" s="6" t="s">
        <v>161</v>
      </c>
      <c r="P2809" s="10">
        <v>45986.0</v>
      </c>
    </row>
    <row r="2810" ht="22.5" customHeight="1">
      <c r="A2810" s="6" t="s">
        <v>18799</v>
      </c>
      <c r="B2810" s="6" t="s">
        <v>18801</v>
      </c>
      <c r="C2810" s="6" t="s">
        <v>18802</v>
      </c>
      <c r="D2810" s="6" t="s">
        <v>206</v>
      </c>
      <c r="E2810" s="6" t="s">
        <v>147</v>
      </c>
      <c r="F2810" s="8">
        <v>20.0</v>
      </c>
      <c r="G2810" s="9">
        <v>115.29</v>
      </c>
      <c r="H2810" s="9">
        <v>11819.51</v>
      </c>
      <c r="I2810" s="6" t="s">
        <v>161</v>
      </c>
      <c r="J2810" s="6" t="s">
        <v>163</v>
      </c>
      <c r="K2810" s="6" t="s">
        <v>18803</v>
      </c>
      <c r="L2810" s="6">
        <v>6.1616348108E10</v>
      </c>
      <c r="M2810" s="6" t="s">
        <v>18805</v>
      </c>
      <c r="N2810" s="6" t="s">
        <v>112</v>
      </c>
      <c r="O2810" s="6" t="s">
        <v>178</v>
      </c>
      <c r="P2810" s="10">
        <v>46036.0</v>
      </c>
    </row>
    <row r="2811" ht="22.5" customHeight="1">
      <c r="A2811" s="6" t="s">
        <v>18806</v>
      </c>
      <c r="B2811" s="6" t="s">
        <v>18807</v>
      </c>
      <c r="C2811" s="6" t="s">
        <v>18808</v>
      </c>
      <c r="D2811" s="6" t="s">
        <v>145</v>
      </c>
      <c r="E2811" s="6" t="s">
        <v>147</v>
      </c>
      <c r="F2811" s="8">
        <v>13.0</v>
      </c>
      <c r="G2811" s="9">
        <v>253.39</v>
      </c>
      <c r="H2811" s="9">
        <v>4198.75</v>
      </c>
      <c r="I2811" s="6" t="s">
        <v>178</v>
      </c>
      <c r="J2811" s="6" t="s">
        <v>479</v>
      </c>
      <c r="K2811" s="6" t="s">
        <v>18810</v>
      </c>
      <c r="L2811" s="6">
        <v>1.1933456996E10</v>
      </c>
      <c r="M2811" s="6" t="s">
        <v>18811</v>
      </c>
      <c r="N2811" s="6" t="s">
        <v>176</v>
      </c>
      <c r="O2811" s="6" t="s">
        <v>161</v>
      </c>
      <c r="P2811" s="10">
        <v>46038.0</v>
      </c>
    </row>
    <row r="2812" ht="22.5" customHeight="1">
      <c r="A2812" s="6" t="s">
        <v>18813</v>
      </c>
      <c r="B2812" s="6" t="s">
        <v>18814</v>
      </c>
      <c r="C2812" s="6" t="s">
        <v>18815</v>
      </c>
      <c r="D2812" s="6" t="s">
        <v>145</v>
      </c>
      <c r="E2812" s="6" t="s">
        <v>210</v>
      </c>
      <c r="F2812" s="8">
        <v>74.0</v>
      </c>
      <c r="G2812" s="9">
        <v>983.35</v>
      </c>
      <c r="H2812" s="9">
        <v>13586.2</v>
      </c>
      <c r="I2812" s="6" t="s">
        <v>178</v>
      </c>
      <c r="J2812" s="6" t="s">
        <v>442</v>
      </c>
      <c r="K2812" s="6" t="s">
        <v>18817</v>
      </c>
      <c r="L2812" s="6">
        <v>1.9047221042E10</v>
      </c>
      <c r="M2812" s="6" t="s">
        <v>18818</v>
      </c>
      <c r="N2812" s="6" t="s">
        <v>112</v>
      </c>
      <c r="O2812" s="6" t="s">
        <v>161</v>
      </c>
      <c r="P2812" s="10">
        <v>45975.0</v>
      </c>
    </row>
    <row r="2813" ht="22.5" customHeight="1">
      <c r="A2813" s="6" t="s">
        <v>18819</v>
      </c>
      <c r="B2813" s="6" t="s">
        <v>18820</v>
      </c>
      <c r="C2813" s="6" t="s">
        <v>18821</v>
      </c>
      <c r="D2813" s="6" t="s">
        <v>206</v>
      </c>
      <c r="E2813" s="6" t="s">
        <v>147</v>
      </c>
      <c r="F2813" s="8">
        <v>25.0</v>
      </c>
      <c r="G2813" s="9">
        <v>1537.0</v>
      </c>
      <c r="H2813" s="9">
        <v>5251.64</v>
      </c>
      <c r="I2813" s="6" t="s">
        <v>161</v>
      </c>
      <c r="J2813" s="6" t="s">
        <v>479</v>
      </c>
      <c r="K2813" s="6" t="s">
        <v>18823</v>
      </c>
      <c r="L2813" s="6">
        <v>8.766797473E9</v>
      </c>
      <c r="M2813" s="6" t="s">
        <v>18824</v>
      </c>
      <c r="N2813" s="6" t="s">
        <v>283</v>
      </c>
      <c r="O2813" s="6" t="s">
        <v>178</v>
      </c>
      <c r="P2813" s="10">
        <v>46045.0</v>
      </c>
    </row>
    <row r="2814" ht="22.5" customHeight="1">
      <c r="A2814" s="6" t="s">
        <v>18825</v>
      </c>
      <c r="B2814" s="6" t="s">
        <v>18826</v>
      </c>
      <c r="C2814" s="6" t="s">
        <v>18827</v>
      </c>
      <c r="D2814" s="6" t="s">
        <v>145</v>
      </c>
      <c r="E2814" s="6" t="s">
        <v>147</v>
      </c>
      <c r="F2814" s="8">
        <v>29.0</v>
      </c>
      <c r="G2814" s="9">
        <v>577.95</v>
      </c>
      <c r="H2814" s="9">
        <v>11366.17</v>
      </c>
      <c r="I2814" s="6" t="s">
        <v>161</v>
      </c>
      <c r="J2814" s="6" t="s">
        <v>577</v>
      </c>
      <c r="K2814" s="6" t="s">
        <v>18829</v>
      </c>
      <c r="L2814" s="6">
        <v>6.8941285937E10</v>
      </c>
      <c r="M2814" s="6" t="s">
        <v>18830</v>
      </c>
      <c r="N2814" s="6" t="s">
        <v>259</v>
      </c>
      <c r="O2814" s="6" t="s">
        <v>178</v>
      </c>
      <c r="P2814" s="10">
        <v>45982.0</v>
      </c>
    </row>
    <row r="2815" ht="22.5" customHeight="1">
      <c r="A2815" s="6" t="s">
        <v>18831</v>
      </c>
      <c r="B2815" s="6" t="s">
        <v>18832</v>
      </c>
      <c r="C2815" s="6" t="s">
        <v>18833</v>
      </c>
      <c r="D2815" s="6" t="s">
        <v>145</v>
      </c>
      <c r="E2815" s="6" t="s">
        <v>147</v>
      </c>
      <c r="F2815" s="8">
        <v>8.0</v>
      </c>
      <c r="G2815" s="9">
        <v>794.87</v>
      </c>
      <c r="H2815" s="9">
        <v>9519.29</v>
      </c>
      <c r="I2815" s="6" t="s">
        <v>161</v>
      </c>
      <c r="J2815" s="6" t="s">
        <v>1584</v>
      </c>
      <c r="K2815" s="6" t="s">
        <v>18834</v>
      </c>
      <c r="L2815" s="6">
        <v>3.070885232E9</v>
      </c>
      <c r="M2815" s="6" t="s">
        <v>18835</v>
      </c>
      <c r="N2815" s="6" t="s">
        <v>112</v>
      </c>
      <c r="O2815" s="6" t="s">
        <v>178</v>
      </c>
      <c r="P2815" s="10">
        <v>46029.0</v>
      </c>
    </row>
    <row r="2816" ht="22.5" customHeight="1">
      <c r="A2816" s="6" t="s">
        <v>18837</v>
      </c>
      <c r="B2816" s="6" t="s">
        <v>18838</v>
      </c>
      <c r="C2816" s="6" t="s">
        <v>18839</v>
      </c>
      <c r="D2816" s="6" t="s">
        <v>206</v>
      </c>
      <c r="E2816" s="6" t="s">
        <v>210</v>
      </c>
      <c r="F2816" s="8">
        <v>115.0</v>
      </c>
      <c r="G2816" s="9">
        <v>1492.99</v>
      </c>
      <c r="H2816" s="9">
        <v>7094.0</v>
      </c>
      <c r="I2816" s="6" t="s">
        <v>161</v>
      </c>
      <c r="J2816" s="6" t="s">
        <v>577</v>
      </c>
      <c r="K2816" s="6" t="s">
        <v>18841</v>
      </c>
      <c r="L2816" s="6">
        <v>6.37677574E9</v>
      </c>
      <c r="M2816" s="6" t="s">
        <v>18842</v>
      </c>
      <c r="N2816" s="6" t="s">
        <v>427</v>
      </c>
      <c r="O2816" s="6" t="s">
        <v>161</v>
      </c>
      <c r="P2816" s="10">
        <v>45955.0</v>
      </c>
    </row>
    <row r="2817" ht="22.5" customHeight="1">
      <c r="A2817" s="6" t="s">
        <v>18843</v>
      </c>
      <c r="B2817" s="6" t="s">
        <v>18844</v>
      </c>
      <c r="C2817" s="6" t="s">
        <v>18846</v>
      </c>
      <c r="D2817" s="6" t="s">
        <v>206</v>
      </c>
      <c r="E2817" s="6" t="s">
        <v>147</v>
      </c>
      <c r="F2817" s="8">
        <v>26.0</v>
      </c>
      <c r="G2817" s="9">
        <v>393.9</v>
      </c>
      <c r="H2817" s="9">
        <v>11475.15</v>
      </c>
      <c r="I2817" s="6" t="s">
        <v>161</v>
      </c>
      <c r="J2817" s="6" t="s">
        <v>479</v>
      </c>
      <c r="K2817" s="6" t="s">
        <v>18847</v>
      </c>
      <c r="L2817" s="6">
        <v>3.1384550455E10</v>
      </c>
      <c r="M2817" s="6" t="s">
        <v>18848</v>
      </c>
      <c r="N2817" s="6" t="s">
        <v>112</v>
      </c>
      <c r="O2817" s="6" t="s">
        <v>178</v>
      </c>
      <c r="P2817" s="10">
        <v>46031.0</v>
      </c>
    </row>
    <row r="2818" ht="22.5" customHeight="1">
      <c r="A2818" s="6" t="s">
        <v>18849</v>
      </c>
      <c r="B2818" s="6" t="s">
        <v>18850</v>
      </c>
      <c r="C2818" s="6" t="s">
        <v>18851</v>
      </c>
      <c r="D2818" s="6" t="s">
        <v>145</v>
      </c>
      <c r="E2818" s="6" t="s">
        <v>301</v>
      </c>
      <c r="F2818" s="8">
        <v>42.0</v>
      </c>
      <c r="G2818" s="9">
        <v>542.43</v>
      </c>
      <c r="H2818" s="9">
        <v>2081.64</v>
      </c>
      <c r="I2818" s="6" t="s">
        <v>161</v>
      </c>
      <c r="J2818" s="6" t="s">
        <v>163</v>
      </c>
      <c r="K2818" s="6" t="s">
        <v>18853</v>
      </c>
      <c r="L2818" s="6">
        <v>4.59119805E9</v>
      </c>
      <c r="M2818" s="6" t="s">
        <v>18854</v>
      </c>
      <c r="N2818" s="6" t="s">
        <v>259</v>
      </c>
      <c r="O2818" s="6" t="s">
        <v>178</v>
      </c>
      <c r="P2818" s="10">
        <v>46051.0</v>
      </c>
    </row>
    <row r="2819" ht="22.5" customHeight="1">
      <c r="A2819" s="6" t="s">
        <v>18855</v>
      </c>
      <c r="B2819" s="6" t="s">
        <v>18856</v>
      </c>
      <c r="C2819" s="6" t="s">
        <v>18857</v>
      </c>
      <c r="D2819" s="6" t="s">
        <v>145</v>
      </c>
      <c r="E2819" s="6" t="s">
        <v>301</v>
      </c>
      <c r="F2819" s="8">
        <v>52.0</v>
      </c>
      <c r="G2819" s="9">
        <v>467.75</v>
      </c>
      <c r="H2819" s="9">
        <v>9750.23</v>
      </c>
      <c r="I2819" s="6" t="s">
        <v>161</v>
      </c>
      <c r="J2819" s="6" t="s">
        <v>228</v>
      </c>
      <c r="K2819" s="6" t="s">
        <v>18858</v>
      </c>
      <c r="L2819" s="6">
        <v>3.9117975016E10</v>
      </c>
      <c r="M2819" s="6" t="s">
        <v>18860</v>
      </c>
      <c r="N2819" s="6" t="s">
        <v>427</v>
      </c>
      <c r="O2819" s="6" t="s">
        <v>178</v>
      </c>
      <c r="P2819" s="10">
        <v>46034.0</v>
      </c>
    </row>
    <row r="2820" ht="22.5" customHeight="1">
      <c r="A2820" s="6" t="s">
        <v>18861</v>
      </c>
      <c r="B2820" s="6" t="s">
        <v>18862</v>
      </c>
      <c r="C2820" s="6" t="s">
        <v>18863</v>
      </c>
      <c r="D2820" s="6" t="s">
        <v>145</v>
      </c>
      <c r="E2820" s="6" t="s">
        <v>147</v>
      </c>
      <c r="F2820" s="8">
        <v>24.0</v>
      </c>
      <c r="G2820" s="9">
        <v>893.92</v>
      </c>
      <c r="H2820" s="9">
        <v>10234.39</v>
      </c>
      <c r="I2820" s="6" t="s">
        <v>161</v>
      </c>
      <c r="J2820" s="6" t="s">
        <v>393</v>
      </c>
      <c r="K2820" s="6" t="s">
        <v>18864</v>
      </c>
      <c r="L2820" s="6">
        <v>3.7669913798E10</v>
      </c>
      <c r="M2820" s="6" t="s">
        <v>18865</v>
      </c>
      <c r="N2820" s="6" t="s">
        <v>283</v>
      </c>
      <c r="O2820" s="6" t="s">
        <v>178</v>
      </c>
      <c r="P2820" s="10">
        <v>46001.0</v>
      </c>
    </row>
    <row r="2821" ht="22.5" customHeight="1">
      <c r="A2821" s="6" t="s">
        <v>18866</v>
      </c>
      <c r="B2821" s="6" t="s">
        <v>18867</v>
      </c>
      <c r="C2821" s="6" t="s">
        <v>18869</v>
      </c>
      <c r="D2821" s="6" t="s">
        <v>145</v>
      </c>
      <c r="E2821" s="6" t="s">
        <v>301</v>
      </c>
      <c r="F2821" s="8">
        <v>33.0</v>
      </c>
      <c r="G2821" s="9">
        <v>929.19</v>
      </c>
      <c r="H2821" s="9">
        <v>2355.82</v>
      </c>
      <c r="I2821" s="6" t="s">
        <v>161</v>
      </c>
      <c r="J2821" s="6" t="s">
        <v>357</v>
      </c>
      <c r="K2821" s="6" t="s">
        <v>18870</v>
      </c>
      <c r="L2821" s="6">
        <v>9.6428193816E10</v>
      </c>
      <c r="M2821" s="6" t="s">
        <v>18871</v>
      </c>
      <c r="N2821" s="6" t="s">
        <v>176</v>
      </c>
      <c r="O2821" s="6" t="s">
        <v>178</v>
      </c>
      <c r="P2821" s="10">
        <v>46040.0</v>
      </c>
    </row>
    <row r="2822" ht="22.5" customHeight="1">
      <c r="A2822" s="6" t="s">
        <v>18872</v>
      </c>
      <c r="B2822" s="6" t="s">
        <v>18874</v>
      </c>
      <c r="C2822" s="6" t="s">
        <v>18875</v>
      </c>
      <c r="D2822" s="6" t="s">
        <v>145</v>
      </c>
      <c r="E2822" s="6" t="s">
        <v>147</v>
      </c>
      <c r="F2822" s="8">
        <v>18.0</v>
      </c>
      <c r="G2822" s="9">
        <v>1266.16</v>
      </c>
      <c r="H2822" s="9">
        <v>1893.8</v>
      </c>
      <c r="I2822" s="6" t="s">
        <v>161</v>
      </c>
      <c r="J2822" s="6" t="s">
        <v>312</v>
      </c>
      <c r="K2822" s="6" t="s">
        <v>18877</v>
      </c>
      <c r="L2822" s="6">
        <v>3.9165221569E10</v>
      </c>
      <c r="M2822" s="6" t="s">
        <v>18878</v>
      </c>
      <c r="N2822" s="6" t="s">
        <v>427</v>
      </c>
      <c r="O2822" s="6" t="s">
        <v>178</v>
      </c>
      <c r="P2822" s="10">
        <v>45949.0</v>
      </c>
    </row>
    <row r="2823" ht="22.5" customHeight="1">
      <c r="A2823" s="6" t="s">
        <v>18880</v>
      </c>
      <c r="B2823" s="6" t="s">
        <v>18881</v>
      </c>
      <c r="C2823" s="6" t="s">
        <v>18882</v>
      </c>
      <c r="D2823" s="6" t="s">
        <v>145</v>
      </c>
      <c r="E2823" s="6" t="s">
        <v>147</v>
      </c>
      <c r="F2823" s="8">
        <v>14.0</v>
      </c>
      <c r="G2823" s="9">
        <v>1177.19</v>
      </c>
      <c r="H2823" s="9">
        <v>11454.7</v>
      </c>
      <c r="I2823" s="6" t="s">
        <v>161</v>
      </c>
      <c r="J2823" s="6" t="s">
        <v>479</v>
      </c>
      <c r="K2823" s="6" t="s">
        <v>18884</v>
      </c>
      <c r="L2823" s="6">
        <v>2.5242112494E10</v>
      </c>
      <c r="M2823" s="6" t="s">
        <v>18885</v>
      </c>
      <c r="N2823" s="6" t="s">
        <v>427</v>
      </c>
      <c r="O2823" s="6" t="s">
        <v>178</v>
      </c>
      <c r="P2823" s="10">
        <v>46018.0</v>
      </c>
    </row>
    <row r="2824" ht="22.5" customHeight="1">
      <c r="A2824" s="6" t="s">
        <v>18887</v>
      </c>
      <c r="B2824" s="6" t="s">
        <v>18888</v>
      </c>
      <c r="C2824" s="6" t="s">
        <v>18889</v>
      </c>
      <c r="D2824" s="6" t="s">
        <v>206</v>
      </c>
      <c r="E2824" s="6" t="s">
        <v>147</v>
      </c>
      <c r="F2824" s="8">
        <v>17.0</v>
      </c>
      <c r="G2824" s="9">
        <v>1252.6</v>
      </c>
      <c r="H2824" s="9">
        <v>7766.86</v>
      </c>
      <c r="I2824" s="6" t="s">
        <v>178</v>
      </c>
      <c r="J2824" s="6" t="s">
        <v>577</v>
      </c>
      <c r="K2824" s="6" t="s">
        <v>18891</v>
      </c>
      <c r="L2824" s="6">
        <v>2.671099657E9</v>
      </c>
      <c r="M2824" s="6" t="s">
        <v>18892</v>
      </c>
      <c r="N2824" s="6" t="s">
        <v>427</v>
      </c>
      <c r="O2824" s="6" t="s">
        <v>161</v>
      </c>
      <c r="P2824" s="10">
        <v>45946.0</v>
      </c>
    </row>
    <row r="2825" ht="22.5" customHeight="1">
      <c r="A2825" s="6" t="s">
        <v>18893</v>
      </c>
      <c r="B2825" s="6" t="s">
        <v>18894</v>
      </c>
      <c r="C2825" s="6" t="s">
        <v>18895</v>
      </c>
      <c r="D2825" s="6" t="s">
        <v>145</v>
      </c>
      <c r="E2825" s="6" t="s">
        <v>301</v>
      </c>
      <c r="F2825" s="8">
        <v>43.0</v>
      </c>
      <c r="G2825" s="9">
        <v>956.06</v>
      </c>
      <c r="H2825" s="9">
        <v>8872.6</v>
      </c>
      <c r="I2825" s="6" t="s">
        <v>161</v>
      </c>
      <c r="J2825" s="6" t="s">
        <v>479</v>
      </c>
      <c r="K2825" s="6" t="s">
        <v>18897</v>
      </c>
      <c r="L2825" s="6">
        <v>1.217097962E9</v>
      </c>
      <c r="M2825" s="6" t="s">
        <v>18898</v>
      </c>
      <c r="N2825" s="6" t="s">
        <v>112</v>
      </c>
      <c r="O2825" s="6" t="s">
        <v>178</v>
      </c>
      <c r="P2825" s="10">
        <v>46040.0</v>
      </c>
    </row>
    <row r="2826" ht="22.5" customHeight="1">
      <c r="A2826" s="6" t="s">
        <v>18900</v>
      </c>
      <c r="B2826" s="6" t="s">
        <v>18901</v>
      </c>
      <c r="C2826" s="6" t="s">
        <v>18902</v>
      </c>
      <c r="D2826" s="6" t="s">
        <v>206</v>
      </c>
      <c r="E2826" s="6" t="s">
        <v>301</v>
      </c>
      <c r="F2826" s="8">
        <v>59.0</v>
      </c>
      <c r="G2826" s="9">
        <v>149.2</v>
      </c>
      <c r="H2826" s="9">
        <v>4579.22</v>
      </c>
      <c r="I2826" s="6" t="s">
        <v>178</v>
      </c>
      <c r="J2826" s="6" t="s">
        <v>465</v>
      </c>
      <c r="K2826" s="6" t="s">
        <v>18904</v>
      </c>
      <c r="L2826" s="6">
        <v>4.3801663227E10</v>
      </c>
      <c r="M2826" s="6" t="s">
        <v>18905</v>
      </c>
      <c r="N2826" s="6" t="s">
        <v>259</v>
      </c>
      <c r="O2826" s="6" t="s">
        <v>161</v>
      </c>
      <c r="P2826" s="10">
        <v>45961.0</v>
      </c>
    </row>
    <row r="2827" ht="22.5" customHeight="1">
      <c r="A2827" s="6" t="s">
        <v>18907</v>
      </c>
      <c r="B2827" s="6" t="s">
        <v>18908</v>
      </c>
      <c r="C2827" s="6" t="s">
        <v>18909</v>
      </c>
      <c r="D2827" s="6" t="s">
        <v>145</v>
      </c>
      <c r="E2827" s="6" t="s">
        <v>210</v>
      </c>
      <c r="F2827" s="8">
        <v>80.0</v>
      </c>
      <c r="G2827" s="9">
        <v>194.33</v>
      </c>
      <c r="H2827" s="9">
        <v>5802.63</v>
      </c>
      <c r="I2827" s="6" t="s">
        <v>161</v>
      </c>
      <c r="J2827" s="6" t="s">
        <v>312</v>
      </c>
      <c r="K2827" s="6" t="s">
        <v>18910</v>
      </c>
      <c r="L2827" s="6">
        <v>2.6535468611E10</v>
      </c>
      <c r="M2827" s="6" t="s">
        <v>18911</v>
      </c>
      <c r="N2827" s="6" t="s">
        <v>259</v>
      </c>
      <c r="O2827" s="6" t="s">
        <v>178</v>
      </c>
      <c r="P2827" s="10">
        <v>46016.0</v>
      </c>
    </row>
    <row r="2828" ht="22.5" customHeight="1">
      <c r="A2828" s="6" t="s">
        <v>18913</v>
      </c>
      <c r="B2828" s="6" t="s">
        <v>18914</v>
      </c>
      <c r="C2828" s="6" t="s">
        <v>18915</v>
      </c>
      <c r="D2828" s="6" t="s">
        <v>206</v>
      </c>
      <c r="E2828" s="6" t="s">
        <v>147</v>
      </c>
      <c r="F2828" s="8">
        <v>14.0</v>
      </c>
      <c r="G2828" s="9">
        <v>1174.97</v>
      </c>
      <c r="H2828" s="9">
        <v>13469.02</v>
      </c>
      <c r="I2828" s="6" t="s">
        <v>161</v>
      </c>
      <c r="J2828" s="6" t="s">
        <v>421</v>
      </c>
      <c r="K2828" s="6" t="s">
        <v>18917</v>
      </c>
      <c r="L2828" s="6" t="s">
        <v>259</v>
      </c>
      <c r="M2828" s="6" t="s">
        <v>18918</v>
      </c>
      <c r="N2828" s="6" t="s">
        <v>259</v>
      </c>
      <c r="O2828" s="6" t="s">
        <v>178</v>
      </c>
      <c r="P2828" s="10">
        <v>46038.0</v>
      </c>
    </row>
    <row r="2829" ht="22.5" customHeight="1">
      <c r="A2829" s="6" t="s">
        <v>18920</v>
      </c>
      <c r="B2829" s="6" t="s">
        <v>18921</v>
      </c>
      <c r="C2829" s="6" t="s">
        <v>18922</v>
      </c>
      <c r="D2829" s="6" t="s">
        <v>145</v>
      </c>
      <c r="E2829" s="6" t="s">
        <v>301</v>
      </c>
      <c r="F2829" s="8">
        <v>57.0</v>
      </c>
      <c r="G2829" s="9">
        <v>1752.92</v>
      </c>
      <c r="H2829" s="9">
        <v>13938.36</v>
      </c>
      <c r="I2829" s="6" t="s">
        <v>161</v>
      </c>
      <c r="J2829" s="6" t="s">
        <v>312</v>
      </c>
      <c r="K2829" s="6" t="s">
        <v>18924</v>
      </c>
      <c r="L2829" s="6">
        <v>3.0074008713E10</v>
      </c>
      <c r="M2829" s="6" t="s">
        <v>18926</v>
      </c>
      <c r="N2829" s="6" t="s">
        <v>283</v>
      </c>
      <c r="O2829" s="6" t="s">
        <v>178</v>
      </c>
      <c r="P2829" s="10">
        <v>46038.0</v>
      </c>
    </row>
    <row r="2830" ht="22.5" customHeight="1">
      <c r="A2830" s="6" t="s">
        <v>18927</v>
      </c>
      <c r="B2830" s="6" t="s">
        <v>18928</v>
      </c>
      <c r="C2830" s="6" t="s">
        <v>18929</v>
      </c>
      <c r="D2830" s="6" t="s">
        <v>383</v>
      </c>
      <c r="E2830" s="6" t="s">
        <v>210</v>
      </c>
      <c r="F2830" s="8">
        <v>80.0</v>
      </c>
      <c r="G2830" s="9">
        <v>1174.63</v>
      </c>
      <c r="H2830" s="9">
        <v>4900.52</v>
      </c>
      <c r="I2830" s="6" t="s">
        <v>161</v>
      </c>
      <c r="J2830" s="6" t="s">
        <v>312</v>
      </c>
      <c r="K2830" s="6" t="s">
        <v>18931</v>
      </c>
      <c r="L2830" s="6">
        <v>6.210044581E9</v>
      </c>
      <c r="M2830" s="6" t="s">
        <v>18933</v>
      </c>
      <c r="N2830" s="6" t="s">
        <v>283</v>
      </c>
      <c r="O2830" s="6" t="s">
        <v>161</v>
      </c>
      <c r="P2830" s="10">
        <v>46022.0</v>
      </c>
    </row>
    <row r="2831" ht="22.5" customHeight="1">
      <c r="A2831" s="6" t="s">
        <v>18934</v>
      </c>
      <c r="B2831" s="6" t="s">
        <v>18936</v>
      </c>
      <c r="C2831" s="6" t="s">
        <v>18937</v>
      </c>
      <c r="D2831" s="6" t="s">
        <v>206</v>
      </c>
      <c r="E2831" s="6" t="s">
        <v>147</v>
      </c>
      <c r="F2831" s="8">
        <v>22.0</v>
      </c>
      <c r="G2831" s="9">
        <v>1520.17</v>
      </c>
      <c r="H2831" s="9">
        <v>7957.32</v>
      </c>
      <c r="I2831" s="6" t="s">
        <v>161</v>
      </c>
      <c r="J2831" s="6" t="s">
        <v>421</v>
      </c>
      <c r="K2831" s="6" t="s">
        <v>18939</v>
      </c>
      <c r="L2831" s="6">
        <v>8.9408424648E10</v>
      </c>
      <c r="M2831" s="6" t="s">
        <v>18940</v>
      </c>
      <c r="N2831" s="6" t="s">
        <v>259</v>
      </c>
      <c r="O2831" s="6" t="s">
        <v>178</v>
      </c>
      <c r="P2831" s="10">
        <v>45955.0</v>
      </c>
    </row>
    <row r="2832" ht="22.5" customHeight="1">
      <c r="A2832" s="6" t="s">
        <v>18942</v>
      </c>
      <c r="B2832" s="6" t="s">
        <v>18943</v>
      </c>
      <c r="C2832" s="6" t="s">
        <v>18944</v>
      </c>
      <c r="D2832" s="6" t="s">
        <v>206</v>
      </c>
      <c r="E2832" s="6" t="s">
        <v>301</v>
      </c>
      <c r="F2832" s="8">
        <v>41.0</v>
      </c>
      <c r="G2832" s="9">
        <v>1200.11</v>
      </c>
      <c r="H2832" s="9">
        <v>8367.96</v>
      </c>
      <c r="I2832" s="6" t="s">
        <v>178</v>
      </c>
      <c r="J2832" s="6" t="s">
        <v>442</v>
      </c>
      <c r="K2832" s="6" t="s">
        <v>18946</v>
      </c>
      <c r="L2832" s="6">
        <v>4.7616277135E10</v>
      </c>
      <c r="M2832" s="6" t="s">
        <v>18947</v>
      </c>
      <c r="N2832" s="6" t="s">
        <v>283</v>
      </c>
      <c r="O2832" s="6" t="s">
        <v>161</v>
      </c>
      <c r="P2832" s="10">
        <v>45961.0</v>
      </c>
    </row>
    <row r="2833" ht="22.5" customHeight="1">
      <c r="A2833" s="6" t="s">
        <v>18949</v>
      </c>
      <c r="B2833" s="6" t="s">
        <v>18950</v>
      </c>
      <c r="C2833" s="6" t="s">
        <v>18952</v>
      </c>
      <c r="D2833" s="6" t="s">
        <v>145</v>
      </c>
      <c r="E2833" s="6" t="s">
        <v>147</v>
      </c>
      <c r="F2833" s="8">
        <v>24.0</v>
      </c>
      <c r="G2833" s="9">
        <v>1577.56</v>
      </c>
      <c r="H2833" s="9">
        <v>9849.69</v>
      </c>
      <c r="I2833" s="6" t="s">
        <v>161</v>
      </c>
      <c r="J2833" s="6" t="s">
        <v>465</v>
      </c>
      <c r="K2833" s="6" t="s">
        <v>18954</v>
      </c>
      <c r="L2833" s="6">
        <v>6.4179999088E10</v>
      </c>
      <c r="M2833" s="6" t="s">
        <v>18955</v>
      </c>
      <c r="N2833" s="6" t="s">
        <v>112</v>
      </c>
      <c r="O2833" s="6" t="s">
        <v>178</v>
      </c>
      <c r="P2833" s="10">
        <v>46000.0</v>
      </c>
    </row>
    <row r="2834" ht="22.5" customHeight="1">
      <c r="A2834" s="6" t="s">
        <v>18957</v>
      </c>
      <c r="B2834" s="6" t="s">
        <v>18958</v>
      </c>
      <c r="C2834" s="6" t="s">
        <v>18959</v>
      </c>
      <c r="D2834" s="6" t="s">
        <v>206</v>
      </c>
      <c r="E2834" s="6" t="s">
        <v>301</v>
      </c>
      <c r="F2834" s="8">
        <v>44.0</v>
      </c>
      <c r="G2834" s="9">
        <v>1220.83</v>
      </c>
      <c r="H2834" s="9">
        <v>2108.1</v>
      </c>
      <c r="I2834" s="6" t="s">
        <v>161</v>
      </c>
      <c r="J2834" s="6" t="s">
        <v>479</v>
      </c>
      <c r="K2834" s="6" t="s">
        <v>18961</v>
      </c>
      <c r="L2834" s="6">
        <v>6.2812393022E10</v>
      </c>
      <c r="M2834" s="6" t="s">
        <v>18962</v>
      </c>
      <c r="N2834" s="6" t="s">
        <v>176</v>
      </c>
      <c r="O2834" s="6" t="s">
        <v>178</v>
      </c>
      <c r="P2834" s="10">
        <v>46017.0</v>
      </c>
    </row>
    <row r="2835" ht="22.5" customHeight="1">
      <c r="A2835" s="6" t="s">
        <v>18964</v>
      </c>
      <c r="B2835" s="6" t="s">
        <v>18965</v>
      </c>
      <c r="C2835" s="6" t="s">
        <v>18966</v>
      </c>
      <c r="D2835" s="6" t="s">
        <v>145</v>
      </c>
      <c r="E2835" s="6" t="s">
        <v>301</v>
      </c>
      <c r="F2835" s="8">
        <v>56.0</v>
      </c>
      <c r="G2835" s="9">
        <v>922.03</v>
      </c>
      <c r="H2835" s="9">
        <v>5001.43</v>
      </c>
      <c r="I2835" s="6" t="s">
        <v>161</v>
      </c>
      <c r="J2835" s="6" t="s">
        <v>312</v>
      </c>
      <c r="K2835" s="6" t="s">
        <v>259</v>
      </c>
      <c r="L2835" s="6">
        <v>2.8335063479E10</v>
      </c>
      <c r="M2835" s="6" t="s">
        <v>18967</v>
      </c>
      <c r="N2835" s="6" t="s">
        <v>283</v>
      </c>
      <c r="O2835" s="6" t="s">
        <v>178</v>
      </c>
      <c r="P2835" s="10">
        <v>46011.0</v>
      </c>
    </row>
    <row r="2836" ht="22.5" customHeight="1">
      <c r="A2836" s="6" t="s">
        <v>18969</v>
      </c>
      <c r="B2836" s="6" t="s">
        <v>18970</v>
      </c>
      <c r="C2836" s="6" t="s">
        <v>18971</v>
      </c>
      <c r="D2836" s="6" t="s">
        <v>383</v>
      </c>
      <c r="E2836" s="6" t="s">
        <v>147</v>
      </c>
      <c r="F2836" s="8">
        <v>7.0</v>
      </c>
      <c r="G2836" s="9">
        <v>1192.74</v>
      </c>
      <c r="H2836" s="9">
        <v>9884.12</v>
      </c>
      <c r="I2836" s="6" t="s">
        <v>178</v>
      </c>
      <c r="J2836" s="6" t="s">
        <v>465</v>
      </c>
      <c r="K2836" s="6" t="s">
        <v>18973</v>
      </c>
      <c r="L2836" s="6">
        <v>7.0754702722E10</v>
      </c>
      <c r="M2836" s="6" t="s">
        <v>18974</v>
      </c>
      <c r="N2836" s="6" t="s">
        <v>283</v>
      </c>
      <c r="O2836" s="6" t="s">
        <v>161</v>
      </c>
      <c r="P2836" s="10">
        <v>46033.0</v>
      </c>
    </row>
    <row r="2837" ht="22.5" customHeight="1">
      <c r="A2837" s="6" t="s">
        <v>18975</v>
      </c>
      <c r="B2837" s="6" t="s">
        <v>18976</v>
      </c>
      <c r="C2837" s="6" t="s">
        <v>18977</v>
      </c>
      <c r="D2837" s="6" t="s">
        <v>206</v>
      </c>
      <c r="E2837" s="6" t="s">
        <v>147</v>
      </c>
      <c r="F2837" s="8">
        <v>13.0</v>
      </c>
      <c r="G2837" s="9">
        <v>507.91</v>
      </c>
      <c r="H2837" s="9">
        <v>10814.11</v>
      </c>
      <c r="I2837" s="6" t="s">
        <v>161</v>
      </c>
      <c r="J2837" s="6" t="s">
        <v>357</v>
      </c>
      <c r="K2837" s="6" t="s">
        <v>18979</v>
      </c>
      <c r="L2837" s="6">
        <v>8.7023845267E10</v>
      </c>
      <c r="M2837" s="6" t="s">
        <v>18980</v>
      </c>
      <c r="N2837" s="6" t="s">
        <v>427</v>
      </c>
      <c r="O2837" s="6" t="s">
        <v>178</v>
      </c>
      <c r="P2837" s="10">
        <v>45995.0</v>
      </c>
    </row>
    <row r="2838" ht="22.5" customHeight="1">
      <c r="A2838" s="6" t="s">
        <v>18982</v>
      </c>
      <c r="B2838" s="6" t="s">
        <v>18983</v>
      </c>
      <c r="C2838" s="6" t="s">
        <v>18984</v>
      </c>
      <c r="D2838" s="6" t="s">
        <v>145</v>
      </c>
      <c r="E2838" s="6" t="s">
        <v>147</v>
      </c>
      <c r="F2838" s="8">
        <v>9.0</v>
      </c>
      <c r="G2838" s="9">
        <v>385.31</v>
      </c>
      <c r="H2838" s="9">
        <v>9623.42</v>
      </c>
      <c r="I2838" s="6" t="s">
        <v>161</v>
      </c>
      <c r="J2838" s="6" t="s">
        <v>393</v>
      </c>
      <c r="K2838" s="6" t="s">
        <v>18986</v>
      </c>
      <c r="L2838" s="6">
        <v>9.3008472184E10</v>
      </c>
      <c r="M2838" s="6" t="s">
        <v>18987</v>
      </c>
      <c r="N2838" s="6" t="s">
        <v>112</v>
      </c>
      <c r="O2838" s="6" t="s">
        <v>178</v>
      </c>
      <c r="P2838" s="10">
        <v>45999.0</v>
      </c>
    </row>
    <row r="2839" ht="22.5" customHeight="1">
      <c r="A2839" s="6" t="s">
        <v>18989</v>
      </c>
      <c r="B2839" s="6" t="s">
        <v>18990</v>
      </c>
      <c r="C2839" s="6" t="s">
        <v>18991</v>
      </c>
      <c r="D2839" s="6" t="s">
        <v>145</v>
      </c>
      <c r="E2839" s="6" t="s">
        <v>147</v>
      </c>
      <c r="F2839" s="8">
        <v>7.0</v>
      </c>
      <c r="G2839" s="9">
        <v>1570.83</v>
      </c>
      <c r="H2839" s="9">
        <v>2235.62</v>
      </c>
      <c r="I2839" s="6" t="s">
        <v>161</v>
      </c>
      <c r="J2839" s="6" t="s">
        <v>228</v>
      </c>
      <c r="K2839" s="6" t="s">
        <v>18992</v>
      </c>
      <c r="L2839" s="6">
        <v>7.0220818866E10</v>
      </c>
      <c r="M2839" s="6" t="s">
        <v>18993</v>
      </c>
      <c r="N2839" s="6" t="s">
        <v>427</v>
      </c>
      <c r="O2839" s="6" t="s">
        <v>178</v>
      </c>
      <c r="P2839" s="10">
        <v>46035.0</v>
      </c>
    </row>
    <row r="2840" ht="22.5" customHeight="1">
      <c r="A2840" s="6" t="s">
        <v>18994</v>
      </c>
      <c r="B2840" s="6" t="s">
        <v>18995</v>
      </c>
      <c r="C2840" s="6" t="s">
        <v>18996</v>
      </c>
      <c r="D2840" s="6" t="s">
        <v>206</v>
      </c>
      <c r="E2840" s="6" t="s">
        <v>147</v>
      </c>
      <c r="F2840" s="8">
        <v>9.0</v>
      </c>
      <c r="G2840" s="9">
        <v>106.99</v>
      </c>
      <c r="H2840" s="9">
        <v>7271.25</v>
      </c>
      <c r="I2840" s="6" t="s">
        <v>161</v>
      </c>
      <c r="J2840" s="6" t="s">
        <v>357</v>
      </c>
      <c r="K2840" s="6" t="s">
        <v>259</v>
      </c>
      <c r="L2840" s="6">
        <v>2.96179946E8</v>
      </c>
      <c r="M2840" s="6" t="s">
        <v>18998</v>
      </c>
      <c r="N2840" s="6" t="s">
        <v>259</v>
      </c>
      <c r="O2840" s="6" t="s">
        <v>178</v>
      </c>
      <c r="P2840" s="10">
        <v>45979.0</v>
      </c>
    </row>
    <row r="2841" ht="22.5" customHeight="1">
      <c r="A2841" s="6" t="s">
        <v>18999</v>
      </c>
      <c r="B2841" s="6" t="s">
        <v>19000</v>
      </c>
      <c r="C2841" s="6" t="s">
        <v>19001</v>
      </c>
      <c r="D2841" s="6" t="s">
        <v>383</v>
      </c>
      <c r="E2841" s="6" t="s">
        <v>210</v>
      </c>
      <c r="F2841" s="8">
        <v>114.0</v>
      </c>
      <c r="G2841" s="9">
        <v>1434.63</v>
      </c>
      <c r="H2841" s="9">
        <v>12746.62</v>
      </c>
      <c r="I2841" s="6" t="s">
        <v>178</v>
      </c>
      <c r="J2841" s="6" t="s">
        <v>465</v>
      </c>
      <c r="K2841" s="6" t="s">
        <v>19003</v>
      </c>
      <c r="L2841" s="6">
        <v>5.8528169771E10</v>
      </c>
      <c r="M2841" s="6" t="s">
        <v>19004</v>
      </c>
      <c r="N2841" s="6" t="s">
        <v>176</v>
      </c>
      <c r="O2841" s="6" t="s">
        <v>161</v>
      </c>
      <c r="P2841" s="10">
        <v>46031.0</v>
      </c>
    </row>
    <row r="2842" ht="22.5" customHeight="1">
      <c r="A2842" s="6" t="s">
        <v>19005</v>
      </c>
      <c r="B2842" s="6" t="s">
        <v>19007</v>
      </c>
      <c r="C2842" s="6" t="s">
        <v>19008</v>
      </c>
      <c r="D2842" s="6" t="s">
        <v>145</v>
      </c>
      <c r="E2842" s="6" t="s">
        <v>147</v>
      </c>
      <c r="F2842" s="8">
        <v>19.0</v>
      </c>
      <c r="G2842" s="9">
        <v>1420.94</v>
      </c>
      <c r="H2842" s="9">
        <v>6496.37</v>
      </c>
      <c r="I2842" s="6" t="s">
        <v>161</v>
      </c>
      <c r="J2842" s="6" t="s">
        <v>421</v>
      </c>
      <c r="K2842" s="6" t="s">
        <v>19009</v>
      </c>
      <c r="L2842" s="6">
        <v>1.7578250764E10</v>
      </c>
      <c r="M2842" s="6" t="s">
        <v>19010</v>
      </c>
      <c r="N2842" s="6" t="s">
        <v>283</v>
      </c>
      <c r="O2842" s="6" t="s">
        <v>178</v>
      </c>
      <c r="P2842" s="10">
        <v>45996.0</v>
      </c>
    </row>
    <row r="2843" ht="22.5" customHeight="1">
      <c r="A2843" s="6" t="s">
        <v>19012</v>
      </c>
      <c r="B2843" s="6" t="s">
        <v>19013</v>
      </c>
      <c r="C2843" s="6" t="s">
        <v>19014</v>
      </c>
      <c r="D2843" s="6" t="s">
        <v>383</v>
      </c>
      <c r="E2843" s="6" t="s">
        <v>147</v>
      </c>
      <c r="F2843" s="8">
        <v>14.0</v>
      </c>
      <c r="G2843" s="9">
        <v>1112.3</v>
      </c>
      <c r="H2843" s="9">
        <v>6988.04</v>
      </c>
      <c r="I2843" s="6" t="s">
        <v>161</v>
      </c>
      <c r="J2843" s="6" t="s">
        <v>465</v>
      </c>
      <c r="K2843" s="6" t="s">
        <v>19016</v>
      </c>
      <c r="L2843" s="6">
        <v>4.4514096467E10</v>
      </c>
      <c r="M2843" s="6" t="s">
        <v>19017</v>
      </c>
      <c r="N2843" s="6" t="s">
        <v>283</v>
      </c>
      <c r="O2843" s="6" t="s">
        <v>178</v>
      </c>
      <c r="P2843" s="10">
        <v>46032.0</v>
      </c>
    </row>
    <row r="2844" ht="22.5" customHeight="1">
      <c r="A2844" s="6" t="s">
        <v>19018</v>
      </c>
      <c r="B2844" s="6" t="s">
        <v>19019</v>
      </c>
      <c r="C2844" s="6" t="s">
        <v>19020</v>
      </c>
      <c r="D2844" s="6" t="s">
        <v>145</v>
      </c>
      <c r="E2844" s="6" t="s">
        <v>147</v>
      </c>
      <c r="F2844" s="8">
        <v>21.0</v>
      </c>
      <c r="G2844" s="9">
        <v>725.74</v>
      </c>
      <c r="H2844" s="9">
        <v>5371.21</v>
      </c>
      <c r="I2844" s="6" t="s">
        <v>161</v>
      </c>
      <c r="J2844" s="6" t="s">
        <v>163</v>
      </c>
      <c r="K2844" s="6" t="s">
        <v>19022</v>
      </c>
      <c r="L2844" s="6">
        <v>8.4026203139E10</v>
      </c>
      <c r="M2844" s="6" t="s">
        <v>19023</v>
      </c>
      <c r="N2844" s="6" t="s">
        <v>112</v>
      </c>
      <c r="O2844" s="6" t="s">
        <v>178</v>
      </c>
      <c r="P2844" s="10">
        <v>46007.0</v>
      </c>
    </row>
    <row r="2845" ht="22.5" customHeight="1">
      <c r="A2845" s="6" t="s">
        <v>19024</v>
      </c>
      <c r="B2845" s="6" t="s">
        <v>19025</v>
      </c>
      <c r="C2845" s="6" t="s">
        <v>19027</v>
      </c>
      <c r="D2845" s="6" t="s">
        <v>145</v>
      </c>
      <c r="E2845" s="6" t="s">
        <v>210</v>
      </c>
      <c r="F2845" s="8">
        <v>80.0</v>
      </c>
      <c r="G2845" s="9">
        <v>1391.06</v>
      </c>
      <c r="H2845" s="9">
        <v>13154.27</v>
      </c>
      <c r="I2845" s="6" t="s">
        <v>178</v>
      </c>
      <c r="J2845" s="6" t="s">
        <v>312</v>
      </c>
      <c r="K2845" s="6" t="s">
        <v>19028</v>
      </c>
      <c r="L2845" s="6">
        <v>9.5131282916E10</v>
      </c>
      <c r="M2845" s="6" t="s">
        <v>19030</v>
      </c>
      <c r="N2845" s="6" t="s">
        <v>283</v>
      </c>
      <c r="O2845" s="6" t="s">
        <v>161</v>
      </c>
      <c r="P2845" s="10">
        <v>45975.0</v>
      </c>
    </row>
    <row r="2846" ht="22.5" customHeight="1">
      <c r="A2846" s="6" t="s">
        <v>19032</v>
      </c>
      <c r="B2846" s="6" t="s">
        <v>19033</v>
      </c>
      <c r="C2846" s="6" t="s">
        <v>19034</v>
      </c>
      <c r="D2846" s="6" t="s">
        <v>206</v>
      </c>
      <c r="E2846" s="6" t="s">
        <v>147</v>
      </c>
      <c r="F2846" s="8">
        <v>5.0</v>
      </c>
      <c r="G2846" s="9">
        <v>1220.3</v>
      </c>
      <c r="H2846" s="9">
        <v>8010.57</v>
      </c>
      <c r="I2846" s="6" t="s">
        <v>161</v>
      </c>
      <c r="J2846" s="6" t="s">
        <v>421</v>
      </c>
      <c r="K2846" s="6" t="s">
        <v>19036</v>
      </c>
      <c r="L2846" s="6">
        <v>3.0428696777E10</v>
      </c>
      <c r="M2846" s="6" t="s">
        <v>19037</v>
      </c>
      <c r="N2846" s="6" t="s">
        <v>176</v>
      </c>
      <c r="O2846" s="6" t="s">
        <v>178</v>
      </c>
      <c r="P2846" s="10">
        <v>46018.0</v>
      </c>
    </row>
    <row r="2847" ht="22.5" customHeight="1">
      <c r="A2847" s="6" t="s">
        <v>19038</v>
      </c>
      <c r="B2847" s="6" t="s">
        <v>19040</v>
      </c>
      <c r="C2847" s="6" t="s">
        <v>19041</v>
      </c>
      <c r="D2847" s="6" t="s">
        <v>145</v>
      </c>
      <c r="E2847" s="6" t="s">
        <v>147</v>
      </c>
      <c r="F2847" s="8">
        <v>22.0</v>
      </c>
      <c r="G2847" s="9">
        <v>959.1</v>
      </c>
      <c r="H2847" s="9">
        <v>14594.82</v>
      </c>
      <c r="I2847" s="6" t="s">
        <v>178</v>
      </c>
      <c r="J2847" s="6" t="s">
        <v>228</v>
      </c>
      <c r="K2847" s="6" t="s">
        <v>19043</v>
      </c>
      <c r="L2847" s="6">
        <v>1.6609764723E10</v>
      </c>
      <c r="M2847" s="6" t="s">
        <v>19044</v>
      </c>
      <c r="N2847" s="6" t="s">
        <v>112</v>
      </c>
      <c r="O2847" s="6" t="s">
        <v>161</v>
      </c>
      <c r="P2847" s="10">
        <v>45950.0</v>
      </c>
    </row>
    <row r="2848" ht="22.5" customHeight="1">
      <c r="A2848" s="6" t="s">
        <v>19045</v>
      </c>
      <c r="B2848" s="6" t="s">
        <v>19047</v>
      </c>
      <c r="C2848" s="6" t="s">
        <v>19048</v>
      </c>
      <c r="D2848" s="6" t="s">
        <v>145</v>
      </c>
      <c r="E2848" s="6" t="s">
        <v>147</v>
      </c>
      <c r="F2848" s="8">
        <v>12.0</v>
      </c>
      <c r="G2848" s="9">
        <v>1733.08</v>
      </c>
      <c r="H2848" s="9">
        <v>2727.88</v>
      </c>
      <c r="I2848" s="6" t="s">
        <v>178</v>
      </c>
      <c r="J2848" s="6" t="s">
        <v>465</v>
      </c>
      <c r="K2848" s="6" t="s">
        <v>19049</v>
      </c>
      <c r="L2848" s="6">
        <v>9.5185504807E10</v>
      </c>
      <c r="M2848" s="6" t="s">
        <v>19051</v>
      </c>
      <c r="N2848" s="6" t="s">
        <v>176</v>
      </c>
      <c r="O2848" s="6" t="s">
        <v>161</v>
      </c>
      <c r="P2848" s="10">
        <v>45965.0</v>
      </c>
    </row>
    <row r="2849" ht="22.5" customHeight="1">
      <c r="A2849" s="6" t="s">
        <v>19052</v>
      </c>
      <c r="B2849" s="6" t="s">
        <v>19053</v>
      </c>
      <c r="C2849" s="6" t="s">
        <v>19054</v>
      </c>
      <c r="D2849" s="6" t="s">
        <v>145</v>
      </c>
      <c r="E2849" s="6" t="s">
        <v>147</v>
      </c>
      <c r="F2849" s="8">
        <v>12.0</v>
      </c>
      <c r="G2849" s="9">
        <v>1513.97</v>
      </c>
      <c r="H2849" s="9">
        <v>1980.34</v>
      </c>
      <c r="I2849" s="6" t="s">
        <v>161</v>
      </c>
      <c r="J2849" s="6" t="s">
        <v>357</v>
      </c>
      <c r="K2849" s="6" t="s">
        <v>259</v>
      </c>
      <c r="L2849" s="6">
        <v>7.2457353673E10</v>
      </c>
      <c r="M2849" s="6" t="s">
        <v>19056</v>
      </c>
      <c r="N2849" s="6" t="s">
        <v>427</v>
      </c>
      <c r="O2849" s="6" t="s">
        <v>178</v>
      </c>
      <c r="P2849" s="10">
        <v>46035.0</v>
      </c>
    </row>
    <row r="2850" ht="22.5" customHeight="1">
      <c r="A2850" s="6" t="s">
        <v>19058</v>
      </c>
      <c r="B2850" s="6" t="s">
        <v>19059</v>
      </c>
      <c r="C2850" s="6" t="s">
        <v>19060</v>
      </c>
      <c r="D2850" s="6" t="s">
        <v>145</v>
      </c>
      <c r="E2850" s="6" t="s">
        <v>147</v>
      </c>
      <c r="F2850" s="8">
        <v>29.0</v>
      </c>
      <c r="G2850" s="9">
        <v>1452.46</v>
      </c>
      <c r="H2850" s="9">
        <v>3415.72</v>
      </c>
      <c r="I2850" s="6" t="s">
        <v>161</v>
      </c>
      <c r="J2850" s="6" t="s">
        <v>163</v>
      </c>
      <c r="K2850" s="6" t="s">
        <v>19061</v>
      </c>
      <c r="L2850" s="6">
        <v>8.9710684687E10</v>
      </c>
      <c r="M2850" s="6" t="s">
        <v>19063</v>
      </c>
      <c r="N2850" s="6" t="s">
        <v>112</v>
      </c>
      <c r="O2850" s="6" t="s">
        <v>178</v>
      </c>
      <c r="P2850" s="10">
        <v>46029.0</v>
      </c>
    </row>
    <row r="2851" ht="22.5" customHeight="1">
      <c r="A2851" s="6" t="s">
        <v>19064</v>
      </c>
      <c r="B2851" s="6" t="s">
        <v>19065</v>
      </c>
      <c r="C2851" s="6" t="s">
        <v>19066</v>
      </c>
      <c r="D2851" s="6" t="s">
        <v>206</v>
      </c>
      <c r="E2851" s="6" t="s">
        <v>301</v>
      </c>
      <c r="F2851" s="8">
        <v>48.0</v>
      </c>
      <c r="G2851" s="9">
        <v>1694.81</v>
      </c>
      <c r="H2851" s="9">
        <v>10522.99</v>
      </c>
      <c r="I2851" s="6" t="s">
        <v>161</v>
      </c>
      <c r="J2851" s="6" t="s">
        <v>357</v>
      </c>
      <c r="K2851" s="6" t="s">
        <v>19068</v>
      </c>
      <c r="L2851" s="6">
        <v>7.027570306E10</v>
      </c>
      <c r="M2851" s="6" t="s">
        <v>19069</v>
      </c>
      <c r="N2851" s="6" t="s">
        <v>176</v>
      </c>
      <c r="O2851" s="6" t="s">
        <v>178</v>
      </c>
      <c r="P2851" s="10">
        <v>46038.0</v>
      </c>
    </row>
    <row r="2852" ht="22.5" customHeight="1">
      <c r="A2852" s="6" t="s">
        <v>19070</v>
      </c>
      <c r="B2852" s="6" t="s">
        <v>19071</v>
      </c>
      <c r="C2852" s="6" t="s">
        <v>19072</v>
      </c>
      <c r="D2852" s="6" t="s">
        <v>145</v>
      </c>
      <c r="E2852" s="6" t="s">
        <v>147</v>
      </c>
      <c r="F2852" s="8">
        <v>10.0</v>
      </c>
      <c r="G2852" s="9">
        <v>192.0</v>
      </c>
      <c r="H2852" s="9">
        <v>3303.95</v>
      </c>
      <c r="I2852" s="6" t="s">
        <v>161</v>
      </c>
      <c r="J2852" s="6" t="s">
        <v>479</v>
      </c>
      <c r="K2852" s="6" t="s">
        <v>19074</v>
      </c>
      <c r="L2852" s="6">
        <v>5.1386925406E10</v>
      </c>
      <c r="M2852" s="6" t="s">
        <v>19075</v>
      </c>
      <c r="N2852" s="6" t="s">
        <v>112</v>
      </c>
      <c r="O2852" s="6" t="s">
        <v>6373</v>
      </c>
      <c r="P2852" s="10">
        <v>45932.0</v>
      </c>
    </row>
    <row r="2853" ht="22.5" customHeight="1">
      <c r="A2853" s="6" t="s">
        <v>19077</v>
      </c>
      <c r="B2853" s="6" t="s">
        <v>19078</v>
      </c>
      <c r="C2853" s="6" t="s">
        <v>19079</v>
      </c>
      <c r="D2853" s="6" t="s">
        <v>206</v>
      </c>
      <c r="E2853" s="6" t="s">
        <v>210</v>
      </c>
      <c r="F2853" s="8">
        <v>67.0</v>
      </c>
      <c r="G2853" s="9">
        <v>1511.55</v>
      </c>
      <c r="H2853" s="9">
        <v>2250.81</v>
      </c>
      <c r="I2853" s="6" t="s">
        <v>178</v>
      </c>
      <c r="J2853" s="6" t="s">
        <v>465</v>
      </c>
      <c r="K2853" s="6" t="s">
        <v>19081</v>
      </c>
      <c r="L2853" s="6">
        <v>5.8370763657E10</v>
      </c>
      <c r="M2853" s="6" t="s">
        <v>19083</v>
      </c>
      <c r="N2853" s="6" t="s">
        <v>427</v>
      </c>
      <c r="O2853" s="6" t="s">
        <v>161</v>
      </c>
      <c r="P2853" s="10">
        <v>46026.0</v>
      </c>
    </row>
    <row r="2854" ht="22.5" customHeight="1">
      <c r="A2854" s="6" t="s">
        <v>19085</v>
      </c>
      <c r="B2854" s="6" t="s">
        <v>19086</v>
      </c>
      <c r="C2854" s="6" t="s">
        <v>19087</v>
      </c>
      <c r="D2854" s="6" t="s">
        <v>206</v>
      </c>
      <c r="E2854" s="6" t="s">
        <v>147</v>
      </c>
      <c r="F2854" s="8">
        <v>5.0</v>
      </c>
      <c r="G2854" s="9">
        <v>1740.63</v>
      </c>
      <c r="H2854" s="9">
        <v>10406.28</v>
      </c>
      <c r="I2854" s="6" t="s">
        <v>178</v>
      </c>
      <c r="J2854" s="6" t="s">
        <v>357</v>
      </c>
      <c r="K2854" s="6" t="s">
        <v>19089</v>
      </c>
      <c r="L2854" s="6">
        <v>1.9496201935E10</v>
      </c>
      <c r="M2854" s="6" t="s">
        <v>19090</v>
      </c>
      <c r="N2854" s="6" t="s">
        <v>283</v>
      </c>
      <c r="O2854" s="6" t="s">
        <v>161</v>
      </c>
      <c r="P2854" s="10">
        <v>45950.0</v>
      </c>
    </row>
    <row r="2855" ht="22.5" customHeight="1">
      <c r="A2855" s="6" t="s">
        <v>19092</v>
      </c>
      <c r="B2855" s="6" t="s">
        <v>19093</v>
      </c>
      <c r="C2855" s="6" t="s">
        <v>19094</v>
      </c>
      <c r="D2855" s="6" t="s">
        <v>383</v>
      </c>
      <c r="E2855" s="6" t="s">
        <v>210</v>
      </c>
      <c r="F2855" s="8">
        <v>63.0</v>
      </c>
      <c r="G2855" s="9">
        <v>807.83</v>
      </c>
      <c r="H2855" s="9">
        <v>2311.93</v>
      </c>
      <c r="I2855" s="6" t="s">
        <v>178</v>
      </c>
      <c r="J2855" s="6" t="s">
        <v>479</v>
      </c>
      <c r="K2855" s="6" t="s">
        <v>19096</v>
      </c>
      <c r="L2855" s="6">
        <v>8.112812139E10</v>
      </c>
      <c r="M2855" s="6" t="s">
        <v>19097</v>
      </c>
      <c r="N2855" s="6" t="s">
        <v>176</v>
      </c>
      <c r="O2855" s="6" t="s">
        <v>6373</v>
      </c>
      <c r="P2855" s="10">
        <v>45969.0</v>
      </c>
    </row>
    <row r="2856" ht="22.5" customHeight="1">
      <c r="A2856" s="6" t="s">
        <v>19098</v>
      </c>
      <c r="B2856" s="6" t="s">
        <v>19100</v>
      </c>
      <c r="C2856" s="6" t="s">
        <v>19101</v>
      </c>
      <c r="D2856" s="6" t="s">
        <v>145</v>
      </c>
      <c r="E2856" s="6" t="s">
        <v>147</v>
      </c>
      <c r="F2856" s="8">
        <v>12.0</v>
      </c>
      <c r="G2856" s="9">
        <v>632.91</v>
      </c>
      <c r="H2856" s="9">
        <v>3142.44</v>
      </c>
      <c r="I2856" s="6" t="s">
        <v>161</v>
      </c>
      <c r="J2856" s="6" t="s">
        <v>465</v>
      </c>
      <c r="K2856" s="6" t="s">
        <v>19102</v>
      </c>
      <c r="L2856" s="6">
        <v>4.9856411459E10</v>
      </c>
      <c r="M2856" s="6" t="s">
        <v>19103</v>
      </c>
      <c r="N2856" s="6" t="s">
        <v>259</v>
      </c>
      <c r="O2856" s="6" t="s">
        <v>178</v>
      </c>
      <c r="P2856" s="10">
        <v>46010.0</v>
      </c>
    </row>
    <row r="2857" ht="22.5" customHeight="1">
      <c r="A2857" s="6" t="s">
        <v>19105</v>
      </c>
      <c r="B2857" s="6" t="s">
        <v>19106</v>
      </c>
      <c r="C2857" s="6" t="s">
        <v>19107</v>
      </c>
      <c r="D2857" s="6" t="s">
        <v>206</v>
      </c>
      <c r="E2857" s="6" t="s">
        <v>147</v>
      </c>
      <c r="F2857" s="8">
        <v>15.0</v>
      </c>
      <c r="G2857" s="9">
        <v>735.38</v>
      </c>
      <c r="H2857" s="9">
        <v>6265.38</v>
      </c>
      <c r="I2857" s="6" t="s">
        <v>161</v>
      </c>
      <c r="J2857" s="6" t="s">
        <v>357</v>
      </c>
      <c r="K2857" s="6" t="s">
        <v>19109</v>
      </c>
      <c r="L2857" s="6">
        <v>1.4599410067E10</v>
      </c>
      <c r="M2857" s="6" t="s">
        <v>19110</v>
      </c>
      <c r="N2857" s="6" t="s">
        <v>283</v>
      </c>
      <c r="O2857" s="6" t="s">
        <v>178</v>
      </c>
      <c r="P2857" s="10">
        <v>45991.0</v>
      </c>
    </row>
    <row r="2858" ht="22.5" customHeight="1">
      <c r="A2858" s="6" t="s">
        <v>19111</v>
      </c>
      <c r="B2858" s="6" t="s">
        <v>19113</v>
      </c>
      <c r="C2858" s="6" t="s">
        <v>19114</v>
      </c>
      <c r="D2858" s="6" t="s">
        <v>145</v>
      </c>
      <c r="E2858" s="6" t="s">
        <v>147</v>
      </c>
      <c r="F2858" s="8">
        <v>29.0</v>
      </c>
      <c r="G2858" s="9">
        <v>742.98</v>
      </c>
      <c r="H2858" s="9">
        <v>11104.76</v>
      </c>
      <c r="I2858" s="6" t="s">
        <v>161</v>
      </c>
      <c r="J2858" s="6" t="s">
        <v>312</v>
      </c>
      <c r="K2858" s="6" t="s">
        <v>19115</v>
      </c>
      <c r="L2858" s="6">
        <v>7.5200922369E10</v>
      </c>
      <c r="M2858" s="6" t="s">
        <v>19116</v>
      </c>
      <c r="N2858" s="6" t="s">
        <v>112</v>
      </c>
      <c r="O2858" s="6" t="s">
        <v>178</v>
      </c>
      <c r="P2858" s="10">
        <v>45957.0</v>
      </c>
    </row>
    <row r="2859" ht="22.5" customHeight="1">
      <c r="A2859" s="6" t="s">
        <v>19118</v>
      </c>
      <c r="B2859" s="6" t="s">
        <v>19119</v>
      </c>
      <c r="C2859" s="6" t="s">
        <v>19120</v>
      </c>
      <c r="D2859" s="6" t="s">
        <v>145</v>
      </c>
      <c r="E2859" s="6" t="s">
        <v>301</v>
      </c>
      <c r="F2859" s="8">
        <v>53.0</v>
      </c>
      <c r="G2859" s="9">
        <v>104.34</v>
      </c>
      <c r="H2859" s="9">
        <v>4255.68</v>
      </c>
      <c r="I2859" s="6" t="s">
        <v>161</v>
      </c>
      <c r="J2859" s="6" t="s">
        <v>357</v>
      </c>
      <c r="K2859" s="6" t="s">
        <v>19122</v>
      </c>
      <c r="L2859" s="6">
        <v>2.080123777E10</v>
      </c>
      <c r="M2859" s="6" t="s">
        <v>19123</v>
      </c>
      <c r="N2859" s="6" t="s">
        <v>112</v>
      </c>
      <c r="O2859" s="6" t="s">
        <v>178</v>
      </c>
      <c r="P2859" s="10">
        <v>46033.0</v>
      </c>
    </row>
    <row r="2860" ht="22.5" customHeight="1">
      <c r="A2860" s="6" t="s">
        <v>19124</v>
      </c>
      <c r="B2860" s="6" t="s">
        <v>19125</v>
      </c>
      <c r="C2860" s="6" t="s">
        <v>19127</v>
      </c>
      <c r="D2860" s="6" t="s">
        <v>145</v>
      </c>
      <c r="E2860" s="6" t="s">
        <v>301</v>
      </c>
      <c r="F2860" s="8">
        <v>38.0</v>
      </c>
      <c r="G2860" s="9">
        <v>1740.73</v>
      </c>
      <c r="H2860" s="9">
        <v>13636.69</v>
      </c>
      <c r="I2860" s="6" t="s">
        <v>161</v>
      </c>
      <c r="J2860" s="6" t="s">
        <v>228</v>
      </c>
      <c r="K2860" s="6" t="s">
        <v>19128</v>
      </c>
      <c r="L2860" s="6">
        <v>1.4212981424E10</v>
      </c>
      <c r="M2860" s="6" t="s">
        <v>19130</v>
      </c>
      <c r="N2860" s="6" t="s">
        <v>259</v>
      </c>
      <c r="O2860" s="6" t="s">
        <v>178</v>
      </c>
      <c r="P2860" s="10">
        <v>45944.0</v>
      </c>
    </row>
    <row r="2861" ht="22.5" customHeight="1">
      <c r="A2861" s="6" t="s">
        <v>19132</v>
      </c>
      <c r="B2861" s="6" t="s">
        <v>19133</v>
      </c>
      <c r="C2861" s="6" t="s">
        <v>19134</v>
      </c>
      <c r="D2861" s="6" t="s">
        <v>383</v>
      </c>
      <c r="E2861" s="6" t="s">
        <v>301</v>
      </c>
      <c r="F2861" s="8">
        <v>56.0</v>
      </c>
      <c r="G2861" s="9">
        <v>1379.37</v>
      </c>
      <c r="H2861" s="9">
        <v>11059.19</v>
      </c>
      <c r="I2861" s="6" t="s">
        <v>161</v>
      </c>
      <c r="J2861" s="6" t="s">
        <v>312</v>
      </c>
      <c r="K2861" s="6" t="s">
        <v>19136</v>
      </c>
      <c r="L2861" s="6">
        <v>4.9786889111E10</v>
      </c>
      <c r="M2861" s="6" t="s">
        <v>19137</v>
      </c>
      <c r="N2861" s="6" t="s">
        <v>427</v>
      </c>
      <c r="O2861" s="6" t="s">
        <v>178</v>
      </c>
      <c r="P2861" s="10">
        <v>46036.0</v>
      </c>
    </row>
    <row r="2862" ht="22.5" customHeight="1">
      <c r="A2862" s="6" t="s">
        <v>19139</v>
      </c>
      <c r="B2862" s="6" t="s">
        <v>19140</v>
      </c>
      <c r="C2862" s="6" t="s">
        <v>19141</v>
      </c>
      <c r="D2862" s="6" t="s">
        <v>383</v>
      </c>
      <c r="E2862" s="6" t="s">
        <v>147</v>
      </c>
      <c r="F2862" s="8">
        <v>13.0</v>
      </c>
      <c r="G2862" s="9">
        <v>271.21</v>
      </c>
      <c r="H2862" s="9">
        <v>3452.8</v>
      </c>
      <c r="I2862" s="6" t="s">
        <v>161</v>
      </c>
      <c r="J2862" s="6" t="s">
        <v>393</v>
      </c>
      <c r="K2862" s="6" t="s">
        <v>259</v>
      </c>
      <c r="L2862" s="6">
        <v>4.9986832216E10</v>
      </c>
      <c r="M2862" s="6" t="s">
        <v>19143</v>
      </c>
      <c r="N2862" s="6" t="s">
        <v>176</v>
      </c>
      <c r="O2862" s="6" t="s">
        <v>178</v>
      </c>
      <c r="P2862" s="10">
        <v>45941.0</v>
      </c>
    </row>
    <row r="2863" ht="22.5" customHeight="1">
      <c r="A2863" s="6" t="s">
        <v>19144</v>
      </c>
      <c r="B2863" s="6" t="s">
        <v>19145</v>
      </c>
      <c r="C2863" s="6" t="s">
        <v>19146</v>
      </c>
      <c r="D2863" s="6" t="s">
        <v>383</v>
      </c>
      <c r="E2863" s="6" t="s">
        <v>147</v>
      </c>
      <c r="F2863" s="8">
        <v>6.0</v>
      </c>
      <c r="G2863" s="9">
        <v>1529.41</v>
      </c>
      <c r="H2863" s="9">
        <v>14241.61</v>
      </c>
      <c r="I2863" s="6" t="s">
        <v>161</v>
      </c>
      <c r="J2863" s="6" t="s">
        <v>479</v>
      </c>
      <c r="K2863" s="6" t="s">
        <v>19148</v>
      </c>
      <c r="L2863" s="6">
        <v>2.7995090879E10</v>
      </c>
      <c r="M2863" s="6" t="s">
        <v>19149</v>
      </c>
      <c r="N2863" s="6" t="s">
        <v>283</v>
      </c>
      <c r="O2863" s="6" t="s">
        <v>178</v>
      </c>
      <c r="P2863" s="10">
        <v>46008.0</v>
      </c>
    </row>
    <row r="2864" ht="22.5" customHeight="1">
      <c r="A2864" s="6" t="s">
        <v>19151</v>
      </c>
      <c r="B2864" s="6" t="s">
        <v>19152</v>
      </c>
      <c r="C2864" s="6" t="s">
        <v>19153</v>
      </c>
      <c r="D2864" s="6" t="s">
        <v>206</v>
      </c>
      <c r="E2864" s="6" t="s">
        <v>147</v>
      </c>
      <c r="F2864" s="8">
        <v>5.0</v>
      </c>
      <c r="G2864" s="9">
        <v>779.44</v>
      </c>
      <c r="H2864" s="9">
        <v>9973.33</v>
      </c>
      <c r="I2864" s="6" t="s">
        <v>161</v>
      </c>
      <c r="J2864" s="6" t="s">
        <v>577</v>
      </c>
      <c r="K2864" s="6" t="s">
        <v>19155</v>
      </c>
      <c r="L2864" s="6">
        <v>8.3240757135E10</v>
      </c>
      <c r="M2864" s="6" t="s">
        <v>19156</v>
      </c>
      <c r="N2864" s="6" t="s">
        <v>112</v>
      </c>
      <c r="O2864" s="6" t="s">
        <v>178</v>
      </c>
      <c r="P2864" s="10">
        <v>45949.0</v>
      </c>
    </row>
    <row r="2865" ht="22.5" customHeight="1">
      <c r="A2865" s="6" t="s">
        <v>19157</v>
      </c>
      <c r="B2865" s="6" t="s">
        <v>19158</v>
      </c>
      <c r="C2865" s="6" t="s">
        <v>19159</v>
      </c>
      <c r="D2865" s="6" t="s">
        <v>206</v>
      </c>
      <c r="E2865" s="6" t="s">
        <v>301</v>
      </c>
      <c r="F2865" s="8">
        <v>52.0</v>
      </c>
      <c r="G2865" s="9">
        <v>1322.06</v>
      </c>
      <c r="H2865" s="9">
        <v>5341.94</v>
      </c>
      <c r="I2865" s="6" t="s">
        <v>161</v>
      </c>
      <c r="J2865" s="6" t="s">
        <v>421</v>
      </c>
      <c r="K2865" s="6" t="s">
        <v>19161</v>
      </c>
      <c r="L2865" s="6">
        <v>9.1790940497E10</v>
      </c>
      <c r="M2865" s="6" t="s">
        <v>19162</v>
      </c>
      <c r="N2865" s="6" t="s">
        <v>259</v>
      </c>
      <c r="O2865" s="6" t="s">
        <v>178</v>
      </c>
      <c r="P2865" s="10">
        <v>45973.0</v>
      </c>
    </row>
    <row r="2866" ht="22.5" customHeight="1">
      <c r="A2866" s="6" t="s">
        <v>19164</v>
      </c>
      <c r="B2866" s="6" t="s">
        <v>19165</v>
      </c>
      <c r="C2866" s="6" t="s">
        <v>19166</v>
      </c>
      <c r="D2866" s="6" t="s">
        <v>145</v>
      </c>
      <c r="E2866" s="6" t="s">
        <v>147</v>
      </c>
      <c r="F2866" s="8">
        <v>9.0</v>
      </c>
      <c r="G2866" s="9">
        <v>1569.9</v>
      </c>
      <c r="H2866" s="9">
        <v>4051.29</v>
      </c>
      <c r="I2866" s="6" t="s">
        <v>161</v>
      </c>
      <c r="J2866" s="6" t="s">
        <v>163</v>
      </c>
      <c r="K2866" s="6" t="s">
        <v>19168</v>
      </c>
      <c r="L2866" s="6">
        <v>1.59597049E8</v>
      </c>
      <c r="M2866" s="6" t="s">
        <v>19169</v>
      </c>
      <c r="N2866" s="6" t="s">
        <v>283</v>
      </c>
      <c r="O2866" s="6" t="s">
        <v>178</v>
      </c>
      <c r="P2866" s="10">
        <v>45998.0</v>
      </c>
    </row>
    <row r="2867" ht="22.5" customHeight="1">
      <c r="A2867" s="6" t="s">
        <v>19170</v>
      </c>
      <c r="B2867" s="6" t="s">
        <v>19171</v>
      </c>
      <c r="C2867" s="6" t="s">
        <v>19172</v>
      </c>
      <c r="D2867" s="6" t="s">
        <v>145</v>
      </c>
      <c r="E2867" s="6" t="s">
        <v>147</v>
      </c>
      <c r="F2867" s="8">
        <v>17.0</v>
      </c>
      <c r="G2867" s="9">
        <v>1704.73</v>
      </c>
      <c r="H2867" s="9">
        <v>15392.72</v>
      </c>
      <c r="I2867" s="6" t="s">
        <v>161</v>
      </c>
      <c r="J2867" s="6" t="s">
        <v>228</v>
      </c>
      <c r="K2867" s="6" t="s">
        <v>19174</v>
      </c>
      <c r="L2867" s="6">
        <v>4.3800352154E10</v>
      </c>
      <c r="M2867" s="6" t="s">
        <v>19175</v>
      </c>
      <c r="N2867" s="6" t="s">
        <v>259</v>
      </c>
      <c r="O2867" s="6" t="s">
        <v>178</v>
      </c>
      <c r="P2867" s="10">
        <v>46019.0</v>
      </c>
    </row>
    <row r="2868" ht="22.5" customHeight="1">
      <c r="A2868" s="6" t="s">
        <v>19177</v>
      </c>
      <c r="B2868" s="6" t="s">
        <v>19178</v>
      </c>
      <c r="C2868" s="6" t="s">
        <v>19179</v>
      </c>
      <c r="D2868" s="6" t="s">
        <v>206</v>
      </c>
      <c r="E2868" s="6" t="s">
        <v>301</v>
      </c>
      <c r="F2868" s="8">
        <v>54.0</v>
      </c>
      <c r="G2868" s="9">
        <v>763.58</v>
      </c>
      <c r="H2868" s="9">
        <v>5050.67</v>
      </c>
      <c r="I2868" s="6" t="s">
        <v>161</v>
      </c>
      <c r="J2868" s="6" t="s">
        <v>442</v>
      </c>
      <c r="K2868" s="6" t="s">
        <v>19181</v>
      </c>
      <c r="L2868" s="6">
        <v>1.7253835335E10</v>
      </c>
      <c r="M2868" s="6" t="s">
        <v>19182</v>
      </c>
      <c r="N2868" s="6" t="s">
        <v>176</v>
      </c>
      <c r="O2868" s="6" t="s">
        <v>178</v>
      </c>
      <c r="P2868" s="10">
        <v>45962.0</v>
      </c>
    </row>
    <row r="2869" ht="22.5" customHeight="1">
      <c r="A2869" s="6" t="s">
        <v>19183</v>
      </c>
      <c r="B2869" s="6" t="s">
        <v>19184</v>
      </c>
      <c r="C2869" s="6" t="s">
        <v>19185</v>
      </c>
      <c r="D2869" s="6" t="s">
        <v>206</v>
      </c>
      <c r="E2869" s="6" t="s">
        <v>301</v>
      </c>
      <c r="F2869" s="8">
        <v>57.0</v>
      </c>
      <c r="G2869" s="9">
        <v>1543.17</v>
      </c>
      <c r="H2869" s="9">
        <v>2286.84</v>
      </c>
      <c r="I2869" s="6" t="s">
        <v>161</v>
      </c>
      <c r="J2869" s="6" t="s">
        <v>442</v>
      </c>
      <c r="K2869" s="6" t="s">
        <v>19187</v>
      </c>
      <c r="L2869" s="6">
        <v>7.5296734277E10</v>
      </c>
      <c r="M2869" s="6" t="s">
        <v>19188</v>
      </c>
      <c r="N2869" s="6" t="s">
        <v>176</v>
      </c>
      <c r="O2869" s="6" t="s">
        <v>178</v>
      </c>
      <c r="P2869" s="10">
        <v>45933.0</v>
      </c>
    </row>
    <row r="2870" ht="22.5" customHeight="1">
      <c r="A2870" s="6" t="s">
        <v>19189</v>
      </c>
      <c r="B2870" s="6" t="s">
        <v>19190</v>
      </c>
      <c r="C2870" s="6" t="s">
        <v>19192</v>
      </c>
      <c r="D2870" s="6" t="s">
        <v>145</v>
      </c>
      <c r="E2870" s="6" t="s">
        <v>147</v>
      </c>
      <c r="F2870" s="8">
        <v>5.0</v>
      </c>
      <c r="G2870" s="9">
        <v>669.24</v>
      </c>
      <c r="H2870" s="9">
        <v>11118.73</v>
      </c>
      <c r="I2870" s="6" t="s">
        <v>161</v>
      </c>
      <c r="J2870" s="6" t="s">
        <v>442</v>
      </c>
      <c r="K2870" s="6" t="s">
        <v>19194</v>
      </c>
      <c r="L2870" s="6">
        <v>5.169480106E10</v>
      </c>
      <c r="M2870" s="6" t="s">
        <v>19195</v>
      </c>
      <c r="N2870" s="6" t="s">
        <v>259</v>
      </c>
      <c r="O2870" s="6" t="s">
        <v>178</v>
      </c>
      <c r="P2870" s="10">
        <v>46008.0</v>
      </c>
    </row>
    <row r="2871" ht="22.5" customHeight="1">
      <c r="A2871" s="6" t="s">
        <v>19197</v>
      </c>
      <c r="B2871" s="6" t="s">
        <v>19198</v>
      </c>
      <c r="C2871" s="6" t="s">
        <v>19199</v>
      </c>
      <c r="D2871" s="6" t="s">
        <v>206</v>
      </c>
      <c r="E2871" s="6" t="s">
        <v>147</v>
      </c>
      <c r="F2871" s="8">
        <v>27.0</v>
      </c>
      <c r="G2871" s="9">
        <v>703.94</v>
      </c>
      <c r="H2871" s="9">
        <v>11609.5</v>
      </c>
      <c r="I2871" s="6" t="s">
        <v>161</v>
      </c>
      <c r="J2871" s="6" t="s">
        <v>465</v>
      </c>
      <c r="K2871" s="6" t="s">
        <v>19201</v>
      </c>
      <c r="L2871" s="6">
        <v>2.4682267717E10</v>
      </c>
      <c r="M2871" s="6" t="s">
        <v>19203</v>
      </c>
      <c r="N2871" s="6" t="s">
        <v>112</v>
      </c>
      <c r="O2871" s="6" t="s">
        <v>178</v>
      </c>
      <c r="P2871" s="10">
        <v>45934.0</v>
      </c>
    </row>
    <row r="2872" ht="22.5" customHeight="1">
      <c r="A2872" s="6" t="s">
        <v>19204</v>
      </c>
      <c r="B2872" s="6" t="s">
        <v>19206</v>
      </c>
      <c r="C2872" s="6" t="s">
        <v>19207</v>
      </c>
      <c r="D2872" s="6" t="s">
        <v>145</v>
      </c>
      <c r="E2872" s="6" t="s">
        <v>147</v>
      </c>
      <c r="F2872" s="8">
        <v>7.0</v>
      </c>
      <c r="G2872" s="9">
        <v>327.07</v>
      </c>
      <c r="H2872" s="9">
        <v>14125.7</v>
      </c>
      <c r="I2872" s="6" t="s">
        <v>161</v>
      </c>
      <c r="J2872" s="6" t="s">
        <v>228</v>
      </c>
      <c r="K2872" s="6" t="s">
        <v>19208</v>
      </c>
      <c r="L2872" s="6">
        <v>7.9531190445E10</v>
      </c>
      <c r="M2872" s="6" t="s">
        <v>19209</v>
      </c>
      <c r="N2872" s="6" t="s">
        <v>176</v>
      </c>
      <c r="O2872" s="6" t="s">
        <v>178</v>
      </c>
      <c r="P2872" s="10">
        <v>45981.0</v>
      </c>
    </row>
    <row r="2873" ht="22.5" customHeight="1">
      <c r="A2873" s="6" t="s">
        <v>19211</v>
      </c>
      <c r="B2873" s="6" t="s">
        <v>19212</v>
      </c>
      <c r="C2873" s="6" t="s">
        <v>19213</v>
      </c>
      <c r="D2873" s="6" t="s">
        <v>145</v>
      </c>
      <c r="E2873" s="6" t="s">
        <v>147</v>
      </c>
      <c r="F2873" s="8">
        <v>15.0</v>
      </c>
      <c r="G2873" s="9">
        <v>1353.81</v>
      </c>
      <c r="H2873" s="9">
        <v>12162.22</v>
      </c>
      <c r="I2873" s="6" t="s">
        <v>161</v>
      </c>
      <c r="J2873" s="6" t="s">
        <v>465</v>
      </c>
      <c r="K2873" s="6" t="s">
        <v>19214</v>
      </c>
      <c r="L2873" s="6">
        <v>7.6201830685E10</v>
      </c>
      <c r="M2873" s="6" t="s">
        <v>19215</v>
      </c>
      <c r="N2873" s="6" t="s">
        <v>427</v>
      </c>
      <c r="O2873" s="6" t="s">
        <v>178</v>
      </c>
      <c r="P2873" s="10">
        <v>46041.0</v>
      </c>
    </row>
    <row r="2874" ht="22.5" customHeight="1">
      <c r="A2874" s="6" t="s">
        <v>19217</v>
      </c>
      <c r="B2874" s="6" t="s">
        <v>19218</v>
      </c>
      <c r="C2874" s="6" t="s">
        <v>19219</v>
      </c>
      <c r="D2874" s="6" t="s">
        <v>206</v>
      </c>
      <c r="E2874" s="6" t="s">
        <v>147</v>
      </c>
      <c r="F2874" s="8">
        <v>14.0</v>
      </c>
      <c r="G2874" s="9">
        <v>1455.8</v>
      </c>
      <c r="H2874" s="9">
        <v>9411.37</v>
      </c>
      <c r="I2874" s="6" t="s">
        <v>161</v>
      </c>
      <c r="J2874" s="6" t="s">
        <v>577</v>
      </c>
      <c r="K2874" s="6" t="s">
        <v>19220</v>
      </c>
      <c r="L2874" s="6" t="s">
        <v>259</v>
      </c>
      <c r="M2874" s="6" t="s">
        <v>19222</v>
      </c>
      <c r="N2874" s="6" t="s">
        <v>427</v>
      </c>
      <c r="O2874" s="6" t="s">
        <v>178</v>
      </c>
      <c r="P2874" s="10">
        <v>45973.0</v>
      </c>
    </row>
    <row r="2875" ht="22.5" customHeight="1">
      <c r="A2875" s="6" t="s">
        <v>19223</v>
      </c>
      <c r="B2875" s="6" t="s">
        <v>19225</v>
      </c>
      <c r="C2875" s="6" t="s">
        <v>19226</v>
      </c>
      <c r="D2875" s="6" t="s">
        <v>206</v>
      </c>
      <c r="E2875" s="6" t="s">
        <v>147</v>
      </c>
      <c r="F2875" s="8">
        <v>20.0</v>
      </c>
      <c r="G2875" s="9">
        <v>561.21</v>
      </c>
      <c r="H2875" s="9">
        <v>1687.09</v>
      </c>
      <c r="I2875" s="6" t="s">
        <v>161</v>
      </c>
      <c r="J2875" s="6" t="s">
        <v>228</v>
      </c>
      <c r="K2875" s="6" t="s">
        <v>19228</v>
      </c>
      <c r="L2875" s="6">
        <v>1.9888324715E10</v>
      </c>
      <c r="M2875" s="6" t="s">
        <v>19229</v>
      </c>
      <c r="N2875" s="6" t="s">
        <v>176</v>
      </c>
      <c r="O2875" s="6" t="s">
        <v>178</v>
      </c>
      <c r="P2875" s="10">
        <v>46051.0</v>
      </c>
    </row>
    <row r="2876" ht="22.5" customHeight="1">
      <c r="A2876" s="6" t="s">
        <v>19231</v>
      </c>
      <c r="B2876" s="6" t="s">
        <v>19232</v>
      </c>
      <c r="C2876" s="6" t="s">
        <v>19233</v>
      </c>
      <c r="D2876" s="6" t="s">
        <v>145</v>
      </c>
      <c r="E2876" s="6" t="s">
        <v>147</v>
      </c>
      <c r="F2876" s="8">
        <v>19.0</v>
      </c>
      <c r="G2876" s="9">
        <v>1199.17</v>
      </c>
      <c r="H2876" s="9">
        <v>3209.8</v>
      </c>
      <c r="I2876" s="6" t="s">
        <v>161</v>
      </c>
      <c r="J2876" s="6" t="s">
        <v>393</v>
      </c>
      <c r="K2876" s="6" t="s">
        <v>19235</v>
      </c>
      <c r="L2876" s="6">
        <v>5.6405700995E10</v>
      </c>
      <c r="M2876" s="6" t="s">
        <v>19236</v>
      </c>
      <c r="N2876" s="6" t="s">
        <v>427</v>
      </c>
      <c r="O2876" s="6" t="s">
        <v>178</v>
      </c>
      <c r="P2876" s="10">
        <v>46032.0</v>
      </c>
    </row>
    <row r="2877" ht="22.5" customHeight="1">
      <c r="A2877" s="6" t="s">
        <v>19238</v>
      </c>
      <c r="B2877" s="6" t="s">
        <v>19239</v>
      </c>
      <c r="C2877" s="6" t="s">
        <v>19240</v>
      </c>
      <c r="D2877" s="6" t="s">
        <v>206</v>
      </c>
      <c r="E2877" s="6" t="s">
        <v>147</v>
      </c>
      <c r="F2877" s="8">
        <v>13.0</v>
      </c>
      <c r="G2877" s="9">
        <v>798.7</v>
      </c>
      <c r="H2877" s="9">
        <v>3072.81</v>
      </c>
      <c r="I2877" s="6" t="s">
        <v>161</v>
      </c>
      <c r="J2877" s="6" t="s">
        <v>465</v>
      </c>
      <c r="K2877" s="6" t="s">
        <v>19243</v>
      </c>
      <c r="L2877" s="6">
        <v>9.176470271E9</v>
      </c>
      <c r="M2877" s="6" t="s">
        <v>19244</v>
      </c>
      <c r="N2877" s="6" t="s">
        <v>112</v>
      </c>
      <c r="O2877" s="6" t="s">
        <v>178</v>
      </c>
      <c r="P2877" s="10">
        <v>46016.0</v>
      </c>
    </row>
    <row r="2878" ht="22.5" customHeight="1">
      <c r="A2878" s="6" t="s">
        <v>19246</v>
      </c>
      <c r="B2878" s="6" t="s">
        <v>19247</v>
      </c>
      <c r="C2878" s="6" t="s">
        <v>19248</v>
      </c>
      <c r="D2878" s="6" t="s">
        <v>145</v>
      </c>
      <c r="E2878" s="6" t="s">
        <v>147</v>
      </c>
      <c r="F2878" s="8">
        <v>23.0</v>
      </c>
      <c r="G2878" s="9">
        <v>783.92</v>
      </c>
      <c r="H2878" s="9">
        <v>8784.81</v>
      </c>
      <c r="I2878" s="6" t="s">
        <v>161</v>
      </c>
      <c r="J2878" s="6" t="s">
        <v>393</v>
      </c>
      <c r="K2878" s="6" t="s">
        <v>259</v>
      </c>
      <c r="L2878" s="6">
        <v>3.7231898102E10</v>
      </c>
      <c r="M2878" s="6" t="s">
        <v>19250</v>
      </c>
      <c r="N2878" s="6" t="s">
        <v>176</v>
      </c>
      <c r="O2878" s="6" t="s">
        <v>178</v>
      </c>
      <c r="P2878" s="10">
        <v>45962.0</v>
      </c>
    </row>
    <row r="2879" ht="22.5" customHeight="1">
      <c r="A2879" s="6" t="s">
        <v>19252</v>
      </c>
      <c r="B2879" s="6" t="s">
        <v>19253</v>
      </c>
      <c r="C2879" s="6" t="s">
        <v>19255</v>
      </c>
      <c r="D2879" s="6" t="s">
        <v>206</v>
      </c>
      <c r="E2879" s="6" t="s">
        <v>147</v>
      </c>
      <c r="F2879" s="8">
        <v>21.0</v>
      </c>
      <c r="G2879" s="9">
        <v>1397.66</v>
      </c>
      <c r="H2879" s="9">
        <v>10634.51</v>
      </c>
      <c r="I2879" s="6" t="s">
        <v>178</v>
      </c>
      <c r="J2879" s="6" t="s">
        <v>393</v>
      </c>
      <c r="K2879" s="6" t="s">
        <v>19257</v>
      </c>
      <c r="L2879" s="6">
        <v>5.6413821044E10</v>
      </c>
      <c r="M2879" s="6" t="s">
        <v>19258</v>
      </c>
      <c r="N2879" s="6" t="s">
        <v>176</v>
      </c>
      <c r="O2879" s="6" t="s">
        <v>161</v>
      </c>
      <c r="P2879" s="10">
        <v>46040.0</v>
      </c>
    </row>
    <row r="2880" ht="22.5" customHeight="1">
      <c r="A2880" s="6" t="s">
        <v>19260</v>
      </c>
      <c r="B2880" s="6" t="s">
        <v>19261</v>
      </c>
      <c r="C2880" s="6" t="s">
        <v>19262</v>
      </c>
      <c r="D2880" s="6" t="s">
        <v>206</v>
      </c>
      <c r="E2880" s="6" t="s">
        <v>210</v>
      </c>
      <c r="F2880" s="8">
        <v>105.0</v>
      </c>
      <c r="G2880" s="9">
        <v>904.59</v>
      </c>
      <c r="H2880" s="9">
        <v>7736.42</v>
      </c>
      <c r="I2880" s="6" t="s">
        <v>178</v>
      </c>
      <c r="J2880" s="6" t="s">
        <v>228</v>
      </c>
      <c r="K2880" s="6" t="s">
        <v>19265</v>
      </c>
      <c r="L2880" s="6">
        <v>9.55932618E9</v>
      </c>
      <c r="M2880" s="6" t="s">
        <v>19266</v>
      </c>
      <c r="N2880" s="6" t="s">
        <v>427</v>
      </c>
      <c r="O2880" s="6" t="s">
        <v>161</v>
      </c>
      <c r="P2880" s="10">
        <v>45979.0</v>
      </c>
    </row>
    <row r="2881" ht="22.5" customHeight="1">
      <c r="A2881" s="6" t="s">
        <v>19268</v>
      </c>
      <c r="B2881" s="6" t="s">
        <v>19269</v>
      </c>
      <c r="C2881" s="6" t="s">
        <v>19270</v>
      </c>
      <c r="D2881" s="6" t="s">
        <v>206</v>
      </c>
      <c r="E2881" s="6" t="s">
        <v>147</v>
      </c>
      <c r="F2881" s="8">
        <v>10.0</v>
      </c>
      <c r="G2881" s="9">
        <v>1492.75</v>
      </c>
      <c r="H2881" s="9">
        <v>6450.64</v>
      </c>
      <c r="I2881" s="6" t="s">
        <v>161</v>
      </c>
      <c r="J2881" s="6" t="s">
        <v>465</v>
      </c>
      <c r="K2881" s="6" t="s">
        <v>19272</v>
      </c>
      <c r="L2881" s="6">
        <v>9.7374667463E10</v>
      </c>
      <c r="M2881" s="6" t="s">
        <v>19274</v>
      </c>
      <c r="N2881" s="6" t="s">
        <v>112</v>
      </c>
      <c r="O2881" s="6" t="s">
        <v>178</v>
      </c>
      <c r="P2881" s="10">
        <v>45992.0</v>
      </c>
    </row>
    <row r="2882" ht="22.5" customHeight="1">
      <c r="A2882" s="6" t="s">
        <v>19275</v>
      </c>
      <c r="B2882" s="6" t="s">
        <v>19276</v>
      </c>
      <c r="C2882" s="6" t="s">
        <v>19277</v>
      </c>
      <c r="D2882" s="6" t="s">
        <v>206</v>
      </c>
      <c r="E2882" s="6" t="s">
        <v>301</v>
      </c>
      <c r="F2882" s="8">
        <v>44.0</v>
      </c>
      <c r="G2882" s="9">
        <v>712.96</v>
      </c>
      <c r="H2882" s="9">
        <v>7485.27</v>
      </c>
      <c r="I2882" s="6" t="s">
        <v>178</v>
      </c>
      <c r="J2882" s="6" t="s">
        <v>228</v>
      </c>
      <c r="K2882" s="6" t="s">
        <v>19280</v>
      </c>
      <c r="L2882" s="6">
        <v>1.0348704708E10</v>
      </c>
      <c r="M2882" s="6" t="s">
        <v>19282</v>
      </c>
      <c r="N2882" s="6" t="s">
        <v>283</v>
      </c>
      <c r="O2882" s="6" t="s">
        <v>161</v>
      </c>
      <c r="P2882" s="10">
        <v>45983.0</v>
      </c>
    </row>
    <row r="2883" ht="22.5" customHeight="1">
      <c r="A2883" s="6" t="s">
        <v>19284</v>
      </c>
      <c r="B2883" s="6" t="s">
        <v>19285</v>
      </c>
      <c r="C2883" s="6" t="s">
        <v>19286</v>
      </c>
      <c r="D2883" s="6" t="s">
        <v>206</v>
      </c>
      <c r="E2883" s="6" t="s">
        <v>147</v>
      </c>
      <c r="F2883" s="8">
        <v>5.0</v>
      </c>
      <c r="G2883" s="9">
        <v>745.68</v>
      </c>
      <c r="H2883" s="9">
        <v>2190.71</v>
      </c>
      <c r="I2883" s="6" t="s">
        <v>161</v>
      </c>
      <c r="J2883" s="6" t="s">
        <v>421</v>
      </c>
      <c r="K2883" s="6" t="s">
        <v>19288</v>
      </c>
      <c r="L2883" s="6">
        <v>2.840036591E9</v>
      </c>
      <c r="M2883" s="6" t="s">
        <v>19289</v>
      </c>
      <c r="N2883" s="6" t="s">
        <v>427</v>
      </c>
      <c r="O2883" s="6" t="s">
        <v>178</v>
      </c>
      <c r="P2883" s="10">
        <v>45974.0</v>
      </c>
    </row>
    <row r="2884" ht="22.5" customHeight="1">
      <c r="A2884" s="6" t="s">
        <v>19291</v>
      </c>
      <c r="B2884" s="6" t="s">
        <v>19292</v>
      </c>
      <c r="C2884" s="6" t="s">
        <v>19294</v>
      </c>
      <c r="D2884" s="6" t="s">
        <v>145</v>
      </c>
      <c r="E2884" s="6" t="s">
        <v>147</v>
      </c>
      <c r="F2884" s="8">
        <v>24.0</v>
      </c>
      <c r="G2884" s="9">
        <v>374.51</v>
      </c>
      <c r="H2884" s="9">
        <v>10074.11</v>
      </c>
      <c r="I2884" s="6" t="s">
        <v>161</v>
      </c>
      <c r="J2884" s="6" t="s">
        <v>479</v>
      </c>
      <c r="K2884" s="6" t="s">
        <v>259</v>
      </c>
      <c r="L2884" s="6">
        <v>4.7918068879E10</v>
      </c>
      <c r="M2884" s="6" t="s">
        <v>19296</v>
      </c>
      <c r="N2884" s="6" t="s">
        <v>176</v>
      </c>
      <c r="O2884" s="6" t="s">
        <v>178</v>
      </c>
      <c r="P2884" s="10">
        <v>46037.0</v>
      </c>
    </row>
    <row r="2885" ht="22.5" customHeight="1">
      <c r="A2885" s="6" t="s">
        <v>19298</v>
      </c>
      <c r="B2885" s="6" t="s">
        <v>19299</v>
      </c>
      <c r="C2885" s="6" t="s">
        <v>19300</v>
      </c>
      <c r="D2885" s="6" t="s">
        <v>145</v>
      </c>
      <c r="E2885" s="6" t="s">
        <v>147</v>
      </c>
      <c r="F2885" s="8">
        <v>7.0</v>
      </c>
      <c r="G2885" s="9">
        <v>1149.9</v>
      </c>
      <c r="H2885" s="9">
        <v>5716.05</v>
      </c>
      <c r="I2885" s="6" t="s">
        <v>161</v>
      </c>
      <c r="J2885" s="6" t="s">
        <v>479</v>
      </c>
      <c r="K2885" s="6" t="s">
        <v>19303</v>
      </c>
      <c r="L2885" s="6">
        <v>5.271113272E10</v>
      </c>
      <c r="M2885" s="6" t="s">
        <v>19304</v>
      </c>
      <c r="N2885" s="6" t="s">
        <v>112</v>
      </c>
      <c r="O2885" s="6" t="s">
        <v>178</v>
      </c>
      <c r="P2885" s="10">
        <v>46023.0</v>
      </c>
    </row>
    <row r="2886" ht="22.5" customHeight="1">
      <c r="A2886" s="6" t="s">
        <v>19306</v>
      </c>
      <c r="B2886" s="6" t="s">
        <v>19307</v>
      </c>
      <c r="C2886" s="6" t="s">
        <v>19308</v>
      </c>
      <c r="D2886" s="6" t="s">
        <v>145</v>
      </c>
      <c r="E2886" s="6" t="s">
        <v>147</v>
      </c>
      <c r="F2886" s="8">
        <v>17.0</v>
      </c>
      <c r="G2886" s="9">
        <v>205.45</v>
      </c>
      <c r="H2886" s="9">
        <v>5235.41</v>
      </c>
      <c r="I2886" s="6" t="s">
        <v>161</v>
      </c>
      <c r="J2886" s="6" t="s">
        <v>357</v>
      </c>
      <c r="K2886" s="6" t="s">
        <v>19311</v>
      </c>
      <c r="L2886" s="6">
        <v>7.6413017418E10</v>
      </c>
      <c r="M2886" s="6" t="s">
        <v>19312</v>
      </c>
      <c r="N2886" s="6" t="s">
        <v>259</v>
      </c>
      <c r="O2886" s="6" t="s">
        <v>178</v>
      </c>
      <c r="P2886" s="10">
        <v>46020.0</v>
      </c>
    </row>
    <row r="2887" ht="22.5" customHeight="1">
      <c r="A2887" s="6" t="s">
        <v>19314</v>
      </c>
      <c r="B2887" s="6" t="s">
        <v>19315</v>
      </c>
      <c r="C2887" s="6" t="s">
        <v>19316</v>
      </c>
      <c r="D2887" s="6" t="s">
        <v>206</v>
      </c>
      <c r="E2887" s="6" t="s">
        <v>210</v>
      </c>
      <c r="F2887" s="8">
        <v>73.0</v>
      </c>
      <c r="G2887" s="9">
        <v>1099.31</v>
      </c>
      <c r="H2887" s="9">
        <v>3953.65</v>
      </c>
      <c r="I2887" s="6" t="s">
        <v>178</v>
      </c>
      <c r="J2887" s="6" t="s">
        <v>163</v>
      </c>
      <c r="K2887" s="6" t="s">
        <v>19317</v>
      </c>
      <c r="L2887" s="6">
        <v>8.7158614564E10</v>
      </c>
      <c r="M2887" s="6" t="s">
        <v>19319</v>
      </c>
      <c r="N2887" s="6" t="s">
        <v>176</v>
      </c>
      <c r="O2887" s="6" t="s">
        <v>161</v>
      </c>
      <c r="P2887" s="10">
        <v>45977.0</v>
      </c>
    </row>
    <row r="2888" ht="22.5" customHeight="1">
      <c r="A2888" s="6" t="s">
        <v>19320</v>
      </c>
      <c r="B2888" s="6" t="s">
        <v>19321</v>
      </c>
      <c r="C2888" s="6" t="s">
        <v>19322</v>
      </c>
      <c r="D2888" s="6" t="s">
        <v>145</v>
      </c>
      <c r="E2888" s="6" t="s">
        <v>147</v>
      </c>
      <c r="F2888" s="8">
        <v>6.0</v>
      </c>
      <c r="G2888" s="9">
        <v>544.43</v>
      </c>
      <c r="H2888" s="9">
        <v>1989.83</v>
      </c>
      <c r="I2888" s="6" t="s">
        <v>161</v>
      </c>
      <c r="J2888" s="6" t="s">
        <v>442</v>
      </c>
      <c r="K2888" s="6" t="s">
        <v>19323</v>
      </c>
      <c r="L2888" s="6">
        <v>6.6380052437E10</v>
      </c>
      <c r="M2888" s="6" t="s">
        <v>19324</v>
      </c>
      <c r="N2888" s="6" t="s">
        <v>259</v>
      </c>
      <c r="O2888" s="6" t="s">
        <v>178</v>
      </c>
      <c r="P2888" s="10">
        <v>45999.0</v>
      </c>
    </row>
    <row r="2889" ht="22.5" customHeight="1">
      <c r="A2889" s="6" t="s">
        <v>19326</v>
      </c>
      <c r="B2889" s="6" t="s">
        <v>19327</v>
      </c>
      <c r="C2889" s="6" t="s">
        <v>19328</v>
      </c>
      <c r="D2889" s="6" t="s">
        <v>145</v>
      </c>
      <c r="E2889" s="6" t="s">
        <v>301</v>
      </c>
      <c r="F2889" s="8">
        <v>47.0</v>
      </c>
      <c r="G2889" s="9">
        <v>834.39</v>
      </c>
      <c r="H2889" s="9">
        <v>2349.42</v>
      </c>
      <c r="I2889" s="6" t="s">
        <v>161</v>
      </c>
      <c r="J2889" s="6" t="s">
        <v>163</v>
      </c>
      <c r="K2889" s="6" t="s">
        <v>19329</v>
      </c>
      <c r="L2889" s="6">
        <v>9.3494278303E10</v>
      </c>
      <c r="M2889" s="6" t="s">
        <v>19330</v>
      </c>
      <c r="N2889" s="6" t="s">
        <v>112</v>
      </c>
      <c r="O2889" s="6" t="s">
        <v>178</v>
      </c>
      <c r="P2889" s="10">
        <v>46034.0</v>
      </c>
    </row>
    <row r="2890" ht="22.5" customHeight="1">
      <c r="A2890" s="6" t="s">
        <v>19332</v>
      </c>
      <c r="B2890" s="6" t="s">
        <v>19333</v>
      </c>
      <c r="C2890" s="6" t="s">
        <v>19334</v>
      </c>
      <c r="D2890" s="6" t="s">
        <v>206</v>
      </c>
      <c r="E2890" s="6" t="s">
        <v>147</v>
      </c>
      <c r="F2890" s="8">
        <v>12.0</v>
      </c>
      <c r="G2890" s="9">
        <v>894.12</v>
      </c>
      <c r="H2890" s="9">
        <v>9305.72</v>
      </c>
      <c r="I2890" s="6" t="s">
        <v>161</v>
      </c>
      <c r="J2890" s="6" t="s">
        <v>312</v>
      </c>
      <c r="K2890" s="6" t="s">
        <v>19336</v>
      </c>
      <c r="L2890" s="6" t="s">
        <v>259</v>
      </c>
      <c r="M2890" s="6" t="s">
        <v>19337</v>
      </c>
      <c r="N2890" s="6" t="s">
        <v>427</v>
      </c>
      <c r="O2890" s="6" t="s">
        <v>178</v>
      </c>
      <c r="P2890" s="10">
        <v>45977.0</v>
      </c>
    </row>
    <row r="2891" ht="22.5" customHeight="1">
      <c r="A2891" s="6" t="s">
        <v>19339</v>
      </c>
      <c r="B2891" s="6" t="s">
        <v>19340</v>
      </c>
      <c r="C2891" s="6" t="s">
        <v>19341</v>
      </c>
      <c r="D2891" s="6" t="s">
        <v>383</v>
      </c>
      <c r="E2891" s="6" t="s">
        <v>210</v>
      </c>
      <c r="F2891" s="8">
        <v>106.0</v>
      </c>
      <c r="G2891" s="9">
        <v>1186.04</v>
      </c>
      <c r="H2891" s="9">
        <v>10246.65</v>
      </c>
      <c r="I2891" s="6" t="s">
        <v>178</v>
      </c>
      <c r="J2891" s="6" t="s">
        <v>163</v>
      </c>
      <c r="K2891" s="6" t="s">
        <v>19343</v>
      </c>
      <c r="L2891" s="6">
        <v>9.5763982805E10</v>
      </c>
      <c r="M2891" s="6" t="s">
        <v>19344</v>
      </c>
      <c r="N2891" s="6" t="s">
        <v>427</v>
      </c>
      <c r="O2891" s="6" t="s">
        <v>161</v>
      </c>
      <c r="P2891" s="10">
        <v>46025.0</v>
      </c>
    </row>
    <row r="2892" ht="22.5" customHeight="1">
      <c r="A2892" s="6" t="s">
        <v>19346</v>
      </c>
      <c r="B2892" s="6" t="s">
        <v>19347</v>
      </c>
      <c r="C2892" s="6" t="s">
        <v>19348</v>
      </c>
      <c r="D2892" s="6" t="s">
        <v>206</v>
      </c>
      <c r="E2892" s="6" t="s">
        <v>147</v>
      </c>
      <c r="F2892" s="8">
        <v>13.0</v>
      </c>
      <c r="G2892" s="9">
        <v>861.5</v>
      </c>
      <c r="H2892" s="9">
        <v>11294.5</v>
      </c>
      <c r="I2892" s="6" t="s">
        <v>161</v>
      </c>
      <c r="J2892" s="6" t="s">
        <v>1693</v>
      </c>
      <c r="K2892" s="6" t="s">
        <v>19350</v>
      </c>
      <c r="L2892" s="6">
        <v>5.413483979E9</v>
      </c>
      <c r="M2892" s="6" t="s">
        <v>19352</v>
      </c>
      <c r="N2892" s="6" t="s">
        <v>283</v>
      </c>
      <c r="O2892" s="6" t="s">
        <v>178</v>
      </c>
      <c r="P2892" s="10">
        <v>46025.0</v>
      </c>
    </row>
    <row r="2893" ht="22.5" customHeight="1">
      <c r="A2893" s="6" t="s">
        <v>19353</v>
      </c>
      <c r="B2893" s="6" t="s">
        <v>19354</v>
      </c>
      <c r="C2893" s="6" t="s">
        <v>19355</v>
      </c>
      <c r="D2893" s="6" t="s">
        <v>145</v>
      </c>
      <c r="E2893" s="6" t="s">
        <v>147</v>
      </c>
      <c r="F2893" s="8">
        <v>9.0</v>
      </c>
      <c r="G2893" s="9">
        <v>1550.33</v>
      </c>
      <c r="H2893" s="9">
        <v>13103.23</v>
      </c>
      <c r="I2893" s="6" t="s">
        <v>161</v>
      </c>
      <c r="J2893" s="6" t="s">
        <v>479</v>
      </c>
      <c r="K2893" s="6" t="s">
        <v>19357</v>
      </c>
      <c r="L2893" s="6">
        <v>5.2770815738E10</v>
      </c>
      <c r="M2893" s="6" t="s">
        <v>19358</v>
      </c>
      <c r="N2893" s="6" t="s">
        <v>112</v>
      </c>
      <c r="O2893" s="6" t="s">
        <v>178</v>
      </c>
      <c r="P2893" s="10">
        <v>46048.0</v>
      </c>
    </row>
    <row r="2894" ht="22.5" customHeight="1">
      <c r="A2894" s="6" t="s">
        <v>19359</v>
      </c>
      <c r="B2894" s="6" t="s">
        <v>19360</v>
      </c>
      <c r="C2894" s="6" t="s">
        <v>19361</v>
      </c>
      <c r="D2894" s="6" t="s">
        <v>206</v>
      </c>
      <c r="E2894" s="6" t="s">
        <v>301</v>
      </c>
      <c r="F2894" s="8">
        <v>48.0</v>
      </c>
      <c r="G2894" s="9">
        <v>1038.36</v>
      </c>
      <c r="H2894" s="9">
        <v>13838.18</v>
      </c>
      <c r="I2894" s="6" t="s">
        <v>161</v>
      </c>
      <c r="J2894" s="6" t="s">
        <v>163</v>
      </c>
      <c r="K2894" s="6" t="s">
        <v>19364</v>
      </c>
      <c r="L2894" s="6">
        <v>3.5916240629E10</v>
      </c>
      <c r="M2894" s="6" t="s">
        <v>19365</v>
      </c>
      <c r="N2894" s="6" t="s">
        <v>427</v>
      </c>
      <c r="O2894" s="6" t="s">
        <v>178</v>
      </c>
      <c r="P2894" s="10">
        <v>46026.0</v>
      </c>
    </row>
    <row r="2895" ht="22.5" customHeight="1">
      <c r="A2895" s="6" t="s">
        <v>19366</v>
      </c>
      <c r="B2895" s="6" t="s">
        <v>19368</v>
      </c>
      <c r="C2895" s="6" t="s">
        <v>19369</v>
      </c>
      <c r="D2895" s="6" t="s">
        <v>145</v>
      </c>
      <c r="E2895" s="6" t="s">
        <v>147</v>
      </c>
      <c r="F2895" s="8">
        <v>13.0</v>
      </c>
      <c r="G2895" s="9">
        <v>1583.14</v>
      </c>
      <c r="H2895" s="9">
        <v>10861.29</v>
      </c>
      <c r="I2895" s="6" t="s">
        <v>161</v>
      </c>
      <c r="J2895" s="6" t="s">
        <v>357</v>
      </c>
      <c r="K2895" s="6" t="s">
        <v>19370</v>
      </c>
      <c r="L2895" s="6">
        <v>5.6378225012E10</v>
      </c>
      <c r="M2895" s="6" t="s">
        <v>19371</v>
      </c>
      <c r="N2895" s="6" t="s">
        <v>427</v>
      </c>
      <c r="O2895" s="6" t="s">
        <v>178</v>
      </c>
      <c r="P2895" s="10">
        <v>45959.0</v>
      </c>
    </row>
    <row r="2896" ht="22.5" customHeight="1">
      <c r="A2896" s="6" t="s">
        <v>19373</v>
      </c>
      <c r="B2896" s="6" t="s">
        <v>19374</v>
      </c>
      <c r="C2896" s="6" t="s">
        <v>19375</v>
      </c>
      <c r="D2896" s="6" t="s">
        <v>145</v>
      </c>
      <c r="E2896" s="6" t="s">
        <v>301</v>
      </c>
      <c r="F2896" s="8">
        <v>34.0</v>
      </c>
      <c r="G2896" s="9">
        <v>1267.41</v>
      </c>
      <c r="H2896" s="9">
        <v>2068.11</v>
      </c>
      <c r="I2896" s="6" t="s">
        <v>161</v>
      </c>
      <c r="J2896" s="6" t="s">
        <v>312</v>
      </c>
      <c r="K2896" s="6" t="s">
        <v>19376</v>
      </c>
      <c r="L2896" s="6">
        <v>9.4201487047E10</v>
      </c>
      <c r="M2896" s="6" t="s">
        <v>19377</v>
      </c>
      <c r="N2896" s="6" t="s">
        <v>283</v>
      </c>
      <c r="O2896" s="6" t="s">
        <v>178</v>
      </c>
      <c r="P2896" s="10">
        <v>46006.0</v>
      </c>
    </row>
    <row r="2897" ht="22.5" customHeight="1">
      <c r="A2897" s="6" t="s">
        <v>19379</v>
      </c>
      <c r="B2897" s="6" t="s">
        <v>19380</v>
      </c>
      <c r="C2897" s="6" t="s">
        <v>19381</v>
      </c>
      <c r="D2897" s="6" t="s">
        <v>145</v>
      </c>
      <c r="E2897" s="6" t="s">
        <v>301</v>
      </c>
      <c r="F2897" s="8">
        <v>59.0</v>
      </c>
      <c r="G2897" s="9">
        <v>418.74</v>
      </c>
      <c r="H2897" s="9">
        <v>6826.68</v>
      </c>
      <c r="I2897" s="6" t="s">
        <v>161</v>
      </c>
      <c r="J2897" s="6" t="s">
        <v>577</v>
      </c>
      <c r="K2897" s="6" t="s">
        <v>19383</v>
      </c>
      <c r="L2897" s="6">
        <v>9.7621066099E10</v>
      </c>
      <c r="M2897" s="6" t="s">
        <v>19384</v>
      </c>
      <c r="N2897" s="6" t="s">
        <v>283</v>
      </c>
      <c r="O2897" s="6" t="s">
        <v>178</v>
      </c>
      <c r="P2897" s="10">
        <v>45979.0</v>
      </c>
    </row>
    <row r="2898" ht="22.5" customHeight="1">
      <c r="A2898" s="6" t="s">
        <v>19385</v>
      </c>
      <c r="B2898" s="6" t="s">
        <v>19386</v>
      </c>
      <c r="C2898" s="6" t="s">
        <v>19387</v>
      </c>
      <c r="D2898" s="6" t="s">
        <v>206</v>
      </c>
      <c r="E2898" s="6" t="s">
        <v>147</v>
      </c>
      <c r="F2898" s="8">
        <v>27.0</v>
      </c>
      <c r="G2898" s="9">
        <v>1714.54</v>
      </c>
      <c r="H2898" s="9">
        <v>11512.7</v>
      </c>
      <c r="I2898" s="6" t="s">
        <v>161</v>
      </c>
      <c r="J2898" s="6" t="s">
        <v>442</v>
      </c>
      <c r="K2898" s="6" t="s">
        <v>19389</v>
      </c>
      <c r="L2898" s="6">
        <v>7.3196978483E10</v>
      </c>
      <c r="M2898" s="6" t="s">
        <v>19390</v>
      </c>
      <c r="N2898" s="6" t="s">
        <v>427</v>
      </c>
      <c r="O2898" s="6" t="s">
        <v>178</v>
      </c>
      <c r="P2898" s="10">
        <v>45985.0</v>
      </c>
    </row>
    <row r="2899" ht="22.5" customHeight="1">
      <c r="A2899" s="6" t="s">
        <v>19392</v>
      </c>
      <c r="B2899" s="6" t="s">
        <v>19393</v>
      </c>
      <c r="C2899" s="6" t="s">
        <v>19394</v>
      </c>
      <c r="D2899" s="6" t="s">
        <v>145</v>
      </c>
      <c r="E2899" s="6" t="s">
        <v>147</v>
      </c>
      <c r="F2899" s="8">
        <v>10.0</v>
      </c>
      <c r="G2899" s="9">
        <v>1113.49</v>
      </c>
      <c r="H2899" s="9">
        <v>9049.63</v>
      </c>
      <c r="I2899" s="6" t="s">
        <v>161</v>
      </c>
      <c r="J2899" s="6" t="s">
        <v>442</v>
      </c>
      <c r="K2899" s="6" t="s">
        <v>19396</v>
      </c>
      <c r="L2899" s="6">
        <v>6.8493313906E10</v>
      </c>
      <c r="M2899" s="6" t="s">
        <v>19397</v>
      </c>
      <c r="N2899" s="6" t="s">
        <v>112</v>
      </c>
      <c r="O2899" s="6" t="s">
        <v>178</v>
      </c>
      <c r="P2899" s="10">
        <v>46016.0</v>
      </c>
    </row>
    <row r="2900" ht="22.5" customHeight="1">
      <c r="A2900" s="6" t="s">
        <v>19398</v>
      </c>
      <c r="B2900" s="6" t="s">
        <v>19399</v>
      </c>
      <c r="C2900" s="6" t="s">
        <v>19400</v>
      </c>
      <c r="D2900" s="6" t="s">
        <v>145</v>
      </c>
      <c r="E2900" s="6" t="s">
        <v>147</v>
      </c>
      <c r="F2900" s="8">
        <v>22.0</v>
      </c>
      <c r="G2900" s="9">
        <v>1349.87</v>
      </c>
      <c r="H2900" s="9">
        <v>6151.87</v>
      </c>
      <c r="I2900" s="6" t="s">
        <v>178</v>
      </c>
      <c r="J2900" s="6" t="s">
        <v>228</v>
      </c>
      <c r="K2900" s="6" t="s">
        <v>19402</v>
      </c>
      <c r="L2900" s="6">
        <v>9.3639428947E10</v>
      </c>
      <c r="M2900" s="6" t="s">
        <v>19403</v>
      </c>
      <c r="N2900" s="6" t="s">
        <v>112</v>
      </c>
      <c r="O2900" s="6" t="s">
        <v>161</v>
      </c>
      <c r="P2900" s="10">
        <v>46025.0</v>
      </c>
    </row>
    <row r="2901" ht="22.5" customHeight="1">
      <c r="A2901" s="6" t="s">
        <v>19404</v>
      </c>
      <c r="B2901" s="6" t="s">
        <v>19405</v>
      </c>
      <c r="C2901" s="6" t="s">
        <v>19406</v>
      </c>
      <c r="D2901" s="6" t="s">
        <v>145</v>
      </c>
      <c r="E2901" s="6" t="s">
        <v>301</v>
      </c>
      <c r="F2901" s="8">
        <v>35.0</v>
      </c>
      <c r="G2901" s="9">
        <v>330.23</v>
      </c>
      <c r="H2901" s="9">
        <v>9417.18</v>
      </c>
      <c r="I2901" s="6" t="s">
        <v>178</v>
      </c>
      <c r="J2901" s="6" t="s">
        <v>357</v>
      </c>
      <c r="K2901" s="6" t="s">
        <v>19408</v>
      </c>
      <c r="L2901" s="6">
        <v>6.3435404313E10</v>
      </c>
      <c r="M2901" s="6" t="s">
        <v>19409</v>
      </c>
      <c r="N2901" s="6" t="s">
        <v>283</v>
      </c>
      <c r="O2901" s="6" t="s">
        <v>161</v>
      </c>
      <c r="P2901" s="10">
        <v>45988.0</v>
      </c>
    </row>
    <row r="2902" ht="22.5" customHeight="1">
      <c r="A2902" s="6" t="s">
        <v>19411</v>
      </c>
      <c r="B2902" s="6" t="s">
        <v>19412</v>
      </c>
      <c r="C2902" s="6" t="s">
        <v>19413</v>
      </c>
      <c r="D2902" s="6" t="s">
        <v>145</v>
      </c>
      <c r="E2902" s="6" t="s">
        <v>301</v>
      </c>
      <c r="F2902" s="8">
        <v>31.0</v>
      </c>
      <c r="G2902" s="9">
        <v>588.79</v>
      </c>
      <c r="H2902" s="9">
        <v>8397.39</v>
      </c>
      <c r="I2902" s="6" t="s">
        <v>161</v>
      </c>
      <c r="J2902" s="6" t="s">
        <v>357</v>
      </c>
      <c r="K2902" s="6" t="s">
        <v>19415</v>
      </c>
      <c r="L2902" s="6">
        <v>4.9521709495E10</v>
      </c>
      <c r="M2902" s="6" t="s">
        <v>19416</v>
      </c>
      <c r="N2902" s="6" t="s">
        <v>176</v>
      </c>
      <c r="O2902" s="6" t="s">
        <v>178</v>
      </c>
      <c r="P2902" s="10">
        <v>46030.0</v>
      </c>
    </row>
    <row r="2903" ht="22.5" customHeight="1">
      <c r="A2903" s="6" t="s">
        <v>19417</v>
      </c>
      <c r="B2903" s="6" t="s">
        <v>19418</v>
      </c>
      <c r="C2903" s="6" t="s">
        <v>19420</v>
      </c>
      <c r="D2903" s="6" t="s">
        <v>145</v>
      </c>
      <c r="E2903" s="6" t="s">
        <v>301</v>
      </c>
      <c r="F2903" s="8">
        <v>34.0</v>
      </c>
      <c r="G2903" s="9">
        <v>1639.25</v>
      </c>
      <c r="H2903" s="9">
        <v>2665.76</v>
      </c>
      <c r="I2903" s="6" t="s">
        <v>161</v>
      </c>
      <c r="J2903" s="6" t="s">
        <v>1229</v>
      </c>
      <c r="K2903" s="6" t="s">
        <v>19421</v>
      </c>
      <c r="L2903" s="6">
        <v>4.0074462004E10</v>
      </c>
      <c r="M2903" s="6" t="s">
        <v>19423</v>
      </c>
      <c r="N2903" s="6" t="s">
        <v>283</v>
      </c>
      <c r="O2903" s="6" t="s">
        <v>178</v>
      </c>
      <c r="P2903" s="10">
        <v>45992.0</v>
      </c>
    </row>
    <row r="2904" ht="22.5" customHeight="1">
      <c r="A2904" s="6" t="s">
        <v>19424</v>
      </c>
      <c r="B2904" s="6" t="s">
        <v>19425</v>
      </c>
      <c r="C2904" s="6" t="s">
        <v>19426</v>
      </c>
      <c r="D2904" s="6" t="s">
        <v>206</v>
      </c>
      <c r="E2904" s="6" t="s">
        <v>210</v>
      </c>
      <c r="F2904" s="8">
        <v>92.0</v>
      </c>
      <c r="G2904" s="9">
        <v>1007.12</v>
      </c>
      <c r="H2904" s="9">
        <v>10458.21</v>
      </c>
      <c r="I2904" s="6" t="s">
        <v>161</v>
      </c>
      <c r="J2904" s="6" t="s">
        <v>479</v>
      </c>
      <c r="K2904" s="6" t="s">
        <v>19428</v>
      </c>
      <c r="L2904" s="6">
        <v>5.4668959024E10</v>
      </c>
      <c r="M2904" s="6" t="s">
        <v>19429</v>
      </c>
      <c r="N2904" s="6" t="s">
        <v>283</v>
      </c>
      <c r="O2904" s="6" t="s">
        <v>161</v>
      </c>
      <c r="P2904" s="10">
        <v>45939.0</v>
      </c>
    </row>
    <row r="2905" ht="22.5" customHeight="1">
      <c r="A2905" s="6" t="s">
        <v>19430</v>
      </c>
      <c r="B2905" s="6" t="s">
        <v>19431</v>
      </c>
      <c r="C2905" s="6" t="s">
        <v>19432</v>
      </c>
      <c r="D2905" s="6" t="s">
        <v>206</v>
      </c>
      <c r="E2905" s="6" t="s">
        <v>210</v>
      </c>
      <c r="F2905" s="8">
        <v>91.0</v>
      </c>
      <c r="G2905" s="9">
        <v>1140.75</v>
      </c>
      <c r="H2905" s="9">
        <v>8251.12</v>
      </c>
      <c r="I2905" s="6" t="s">
        <v>178</v>
      </c>
      <c r="J2905" s="6" t="s">
        <v>357</v>
      </c>
      <c r="K2905" s="6" t="s">
        <v>19434</v>
      </c>
      <c r="L2905" s="6">
        <v>6.7627606633E10</v>
      </c>
      <c r="M2905" s="6" t="s">
        <v>19435</v>
      </c>
      <c r="N2905" s="6" t="s">
        <v>176</v>
      </c>
      <c r="O2905" s="6" t="s">
        <v>161</v>
      </c>
      <c r="P2905" s="10">
        <v>45958.0</v>
      </c>
    </row>
    <row r="2906" ht="22.5" customHeight="1">
      <c r="A2906" s="6" t="s">
        <v>19437</v>
      </c>
      <c r="B2906" s="6" t="s">
        <v>19438</v>
      </c>
      <c r="C2906" s="6" t="s">
        <v>19439</v>
      </c>
      <c r="D2906" s="6" t="s">
        <v>383</v>
      </c>
      <c r="E2906" s="6" t="s">
        <v>210</v>
      </c>
      <c r="F2906" s="8">
        <v>81.0</v>
      </c>
      <c r="G2906" s="9">
        <v>1126.83</v>
      </c>
      <c r="H2906" s="9">
        <v>13712.25</v>
      </c>
      <c r="I2906" s="6" t="s">
        <v>178</v>
      </c>
      <c r="J2906" s="6" t="s">
        <v>393</v>
      </c>
      <c r="K2906" s="6" t="s">
        <v>19440</v>
      </c>
      <c r="L2906" s="6">
        <v>3.802850985E9</v>
      </c>
      <c r="M2906" s="6" t="s">
        <v>19442</v>
      </c>
      <c r="N2906" s="6" t="s">
        <v>259</v>
      </c>
      <c r="O2906" s="6" t="s">
        <v>161</v>
      </c>
      <c r="P2906" s="10">
        <v>46037.0</v>
      </c>
    </row>
    <row r="2907" ht="22.5" customHeight="1">
      <c r="A2907" s="6" t="s">
        <v>19443</v>
      </c>
      <c r="B2907" s="6" t="s">
        <v>19444</v>
      </c>
      <c r="C2907" s="6" t="s">
        <v>19445</v>
      </c>
      <c r="D2907" s="6" t="s">
        <v>383</v>
      </c>
      <c r="E2907" s="6" t="s">
        <v>301</v>
      </c>
      <c r="F2907" s="8">
        <v>31.0</v>
      </c>
      <c r="G2907" s="9">
        <v>1373.7</v>
      </c>
      <c r="H2907" s="9">
        <v>7236.56</v>
      </c>
      <c r="I2907" s="6" t="s">
        <v>161</v>
      </c>
      <c r="J2907" s="6" t="s">
        <v>228</v>
      </c>
      <c r="K2907" s="6" t="s">
        <v>19447</v>
      </c>
      <c r="L2907" s="6" t="s">
        <v>259</v>
      </c>
      <c r="M2907" s="6" t="s">
        <v>19448</v>
      </c>
      <c r="N2907" s="6" t="s">
        <v>176</v>
      </c>
      <c r="O2907" s="6" t="s">
        <v>178</v>
      </c>
      <c r="P2907" s="10">
        <v>45999.0</v>
      </c>
    </row>
    <row r="2908" ht="22.5" customHeight="1">
      <c r="A2908" s="6" t="s">
        <v>19450</v>
      </c>
      <c r="B2908" s="6" t="s">
        <v>19451</v>
      </c>
      <c r="C2908" s="6" t="s">
        <v>19452</v>
      </c>
      <c r="D2908" s="6" t="s">
        <v>206</v>
      </c>
      <c r="E2908" s="6" t="s">
        <v>301</v>
      </c>
      <c r="F2908" s="8">
        <v>52.0</v>
      </c>
      <c r="G2908" s="9">
        <v>1651.12</v>
      </c>
      <c r="H2908" s="9">
        <v>7168.02</v>
      </c>
      <c r="I2908" s="6" t="s">
        <v>161</v>
      </c>
      <c r="J2908" s="6" t="s">
        <v>163</v>
      </c>
      <c r="K2908" s="6" t="s">
        <v>19453</v>
      </c>
      <c r="L2908" s="6">
        <v>3.2991096611E10</v>
      </c>
      <c r="M2908" s="6" t="s">
        <v>19455</v>
      </c>
      <c r="N2908" s="6" t="s">
        <v>283</v>
      </c>
      <c r="O2908" s="6" t="s">
        <v>178</v>
      </c>
      <c r="P2908" s="10">
        <v>45975.0</v>
      </c>
    </row>
    <row r="2909" ht="22.5" customHeight="1">
      <c r="A2909" s="6" t="s">
        <v>19456</v>
      </c>
      <c r="B2909" s="6" t="s">
        <v>19457</v>
      </c>
      <c r="C2909" s="6" t="s">
        <v>19458</v>
      </c>
      <c r="D2909" s="6" t="s">
        <v>145</v>
      </c>
      <c r="E2909" s="6" t="s">
        <v>147</v>
      </c>
      <c r="F2909" s="8">
        <v>26.0</v>
      </c>
      <c r="G2909" s="9">
        <v>662.48</v>
      </c>
      <c r="H2909" s="9">
        <v>5691.65</v>
      </c>
      <c r="I2909" s="6" t="s">
        <v>161</v>
      </c>
      <c r="J2909" s="6" t="s">
        <v>393</v>
      </c>
      <c r="K2909" s="6" t="s">
        <v>19460</v>
      </c>
      <c r="L2909" s="6">
        <v>5.9109012302E10</v>
      </c>
      <c r="M2909" s="6" t="s">
        <v>19461</v>
      </c>
      <c r="N2909" s="6" t="s">
        <v>427</v>
      </c>
      <c r="O2909" s="6" t="s">
        <v>178</v>
      </c>
      <c r="P2909" s="10">
        <v>46009.0</v>
      </c>
    </row>
    <row r="2910" ht="22.5" customHeight="1">
      <c r="A2910" s="6" t="s">
        <v>19462</v>
      </c>
      <c r="B2910" s="6" t="s">
        <v>19463</v>
      </c>
      <c r="C2910" s="6" t="s">
        <v>19465</v>
      </c>
      <c r="D2910" s="6" t="s">
        <v>206</v>
      </c>
      <c r="E2910" s="6" t="s">
        <v>147</v>
      </c>
      <c r="F2910" s="8">
        <v>15.0</v>
      </c>
      <c r="G2910" s="9">
        <v>1590.54</v>
      </c>
      <c r="H2910" s="9">
        <v>3235.54</v>
      </c>
      <c r="I2910" s="6" t="s">
        <v>161</v>
      </c>
      <c r="J2910" s="6" t="s">
        <v>393</v>
      </c>
      <c r="K2910" s="6" t="s">
        <v>19466</v>
      </c>
      <c r="L2910" s="6">
        <v>8.2220630199E10</v>
      </c>
      <c r="M2910" s="6" t="s">
        <v>19467</v>
      </c>
      <c r="N2910" s="6" t="s">
        <v>176</v>
      </c>
      <c r="O2910" s="6" t="s">
        <v>178</v>
      </c>
      <c r="P2910" s="10">
        <v>46046.0</v>
      </c>
    </row>
    <row r="2911" ht="22.5" customHeight="1">
      <c r="A2911" s="6" t="s">
        <v>19469</v>
      </c>
      <c r="B2911" s="6" t="s">
        <v>19470</v>
      </c>
      <c r="C2911" s="6" t="s">
        <v>19471</v>
      </c>
      <c r="D2911" s="6" t="s">
        <v>145</v>
      </c>
      <c r="E2911" s="6" t="s">
        <v>147</v>
      </c>
      <c r="F2911" s="8">
        <v>25.0</v>
      </c>
      <c r="G2911" s="9">
        <v>1190.48</v>
      </c>
      <c r="H2911" s="9">
        <v>12767.43</v>
      </c>
      <c r="I2911" s="6" t="s">
        <v>161</v>
      </c>
      <c r="J2911" s="6" t="s">
        <v>228</v>
      </c>
      <c r="K2911" s="6" t="s">
        <v>259</v>
      </c>
      <c r="L2911" s="6">
        <v>2.8425740969E10</v>
      </c>
      <c r="M2911" s="6" t="s">
        <v>19473</v>
      </c>
      <c r="N2911" s="6" t="s">
        <v>176</v>
      </c>
      <c r="O2911" s="6" t="s">
        <v>178</v>
      </c>
      <c r="P2911" s="10">
        <v>46036.0</v>
      </c>
    </row>
    <row r="2912" ht="22.5" customHeight="1">
      <c r="A2912" s="6" t="s">
        <v>19474</v>
      </c>
      <c r="B2912" s="6" t="s">
        <v>19475</v>
      </c>
      <c r="C2912" s="6" t="s">
        <v>19476</v>
      </c>
      <c r="D2912" s="6" t="s">
        <v>145</v>
      </c>
      <c r="E2912" s="6" t="s">
        <v>147</v>
      </c>
      <c r="F2912" s="8">
        <v>18.0</v>
      </c>
      <c r="G2912" s="9">
        <v>128.98</v>
      </c>
      <c r="H2912" s="9">
        <v>742.8</v>
      </c>
      <c r="I2912" s="6" t="s">
        <v>161</v>
      </c>
      <c r="J2912" s="6" t="s">
        <v>357</v>
      </c>
      <c r="K2912" s="6" t="s">
        <v>19478</v>
      </c>
      <c r="L2912" s="6">
        <v>7.1267930951E10</v>
      </c>
      <c r="M2912" s="6" t="s">
        <v>19479</v>
      </c>
      <c r="N2912" s="6" t="s">
        <v>283</v>
      </c>
      <c r="O2912" s="6" t="s">
        <v>178</v>
      </c>
      <c r="P2912" s="10">
        <v>45966.0</v>
      </c>
    </row>
    <row r="2913" ht="22.5" customHeight="1">
      <c r="A2913" s="6" t="s">
        <v>19481</v>
      </c>
      <c r="B2913" s="6" t="s">
        <v>19482</v>
      </c>
      <c r="C2913" s="6" t="s">
        <v>19483</v>
      </c>
      <c r="D2913" s="6" t="s">
        <v>383</v>
      </c>
      <c r="E2913" s="6" t="s">
        <v>301</v>
      </c>
      <c r="F2913" s="8">
        <v>34.0</v>
      </c>
      <c r="G2913" s="9">
        <v>1075.99</v>
      </c>
      <c r="H2913" s="9">
        <v>3939.75</v>
      </c>
      <c r="I2913" s="6" t="s">
        <v>161</v>
      </c>
      <c r="J2913" s="6" t="s">
        <v>393</v>
      </c>
      <c r="K2913" s="6" t="s">
        <v>19485</v>
      </c>
      <c r="L2913" s="6">
        <v>2.4931294881E10</v>
      </c>
      <c r="M2913" s="6" t="s">
        <v>19486</v>
      </c>
      <c r="N2913" s="6" t="s">
        <v>176</v>
      </c>
      <c r="O2913" s="6" t="s">
        <v>178</v>
      </c>
      <c r="P2913" s="10">
        <v>45972.0</v>
      </c>
    </row>
    <row r="2914" ht="22.5" customHeight="1">
      <c r="A2914" s="6" t="s">
        <v>19488</v>
      </c>
      <c r="B2914" s="6" t="s">
        <v>19489</v>
      </c>
      <c r="C2914" s="6" t="s">
        <v>19490</v>
      </c>
      <c r="D2914" s="6" t="s">
        <v>206</v>
      </c>
      <c r="E2914" s="6" t="s">
        <v>147</v>
      </c>
      <c r="F2914" s="8">
        <v>22.0</v>
      </c>
      <c r="G2914" s="9">
        <v>919.26</v>
      </c>
      <c r="H2914" s="9">
        <v>3723.21</v>
      </c>
      <c r="I2914" s="6" t="s">
        <v>178</v>
      </c>
      <c r="J2914" s="6" t="s">
        <v>312</v>
      </c>
      <c r="K2914" s="6" t="s">
        <v>19491</v>
      </c>
      <c r="L2914" s="6">
        <v>9.0383514524E10</v>
      </c>
      <c r="M2914" s="6" t="s">
        <v>19493</v>
      </c>
      <c r="N2914" s="6" t="s">
        <v>259</v>
      </c>
      <c r="O2914" s="6" t="s">
        <v>161</v>
      </c>
      <c r="P2914" s="10">
        <v>45960.0</v>
      </c>
    </row>
    <row r="2915" ht="22.5" customHeight="1">
      <c r="A2915" s="6" t="s">
        <v>19494</v>
      </c>
      <c r="B2915" s="6" t="s">
        <v>19495</v>
      </c>
      <c r="C2915" s="6" t="s">
        <v>19496</v>
      </c>
      <c r="D2915" s="6" t="s">
        <v>145</v>
      </c>
      <c r="E2915" s="6" t="s">
        <v>210</v>
      </c>
      <c r="F2915" s="8">
        <v>107.0</v>
      </c>
      <c r="G2915" s="9">
        <v>85.04</v>
      </c>
      <c r="H2915" s="9">
        <v>11056.89</v>
      </c>
      <c r="I2915" s="6" t="s">
        <v>178</v>
      </c>
      <c r="J2915" s="6" t="s">
        <v>421</v>
      </c>
      <c r="K2915" s="6" t="s">
        <v>19498</v>
      </c>
      <c r="L2915" s="6">
        <v>1.8763331099E10</v>
      </c>
      <c r="M2915" s="6" t="s">
        <v>19499</v>
      </c>
      <c r="N2915" s="6" t="s">
        <v>427</v>
      </c>
      <c r="O2915" s="6" t="s">
        <v>161</v>
      </c>
      <c r="P2915" s="10">
        <v>45979.0</v>
      </c>
    </row>
    <row r="2916" ht="22.5" customHeight="1">
      <c r="A2916" s="6" t="s">
        <v>19501</v>
      </c>
      <c r="B2916" s="6" t="s">
        <v>19502</v>
      </c>
      <c r="C2916" s="6" t="s">
        <v>8233</v>
      </c>
      <c r="D2916" s="6" t="s">
        <v>145</v>
      </c>
      <c r="E2916" s="6" t="s">
        <v>210</v>
      </c>
      <c r="F2916" s="8">
        <v>81.0</v>
      </c>
      <c r="G2916" s="9">
        <v>674.64</v>
      </c>
      <c r="H2916" s="9">
        <v>4420.69</v>
      </c>
      <c r="I2916" s="6" t="s">
        <v>178</v>
      </c>
      <c r="J2916" s="6" t="s">
        <v>442</v>
      </c>
      <c r="K2916" s="6" t="s">
        <v>8542</v>
      </c>
      <c r="L2916" s="6">
        <v>2.2771332614E10</v>
      </c>
      <c r="M2916" s="6" t="s">
        <v>19504</v>
      </c>
      <c r="N2916" s="6" t="s">
        <v>427</v>
      </c>
      <c r="O2916" s="6" t="s">
        <v>161</v>
      </c>
      <c r="P2916" s="10">
        <v>45947.0</v>
      </c>
    </row>
    <row r="2917" ht="22.5" customHeight="1">
      <c r="A2917" s="6" t="s">
        <v>19505</v>
      </c>
      <c r="B2917" s="6" t="s">
        <v>19506</v>
      </c>
      <c r="C2917" s="6" t="s">
        <v>19507</v>
      </c>
      <c r="D2917" s="6" t="s">
        <v>145</v>
      </c>
      <c r="E2917" s="6" t="s">
        <v>210</v>
      </c>
      <c r="F2917" s="8">
        <v>102.0</v>
      </c>
      <c r="G2917" s="9">
        <v>234.28</v>
      </c>
      <c r="H2917" s="9">
        <v>1804.47</v>
      </c>
      <c r="I2917" s="6" t="s">
        <v>178</v>
      </c>
      <c r="J2917" s="6" t="s">
        <v>479</v>
      </c>
      <c r="K2917" s="6" t="s">
        <v>19509</v>
      </c>
      <c r="L2917" s="6">
        <v>4.588347383E9</v>
      </c>
      <c r="M2917" s="6" t="s">
        <v>19510</v>
      </c>
      <c r="N2917" s="6" t="s">
        <v>283</v>
      </c>
      <c r="O2917" s="6" t="s">
        <v>161</v>
      </c>
      <c r="P2917" s="10">
        <v>46012.0</v>
      </c>
    </row>
    <row r="2918" ht="22.5" customHeight="1">
      <c r="A2918" s="6" t="s">
        <v>19512</v>
      </c>
      <c r="B2918" s="6" t="s">
        <v>19513</v>
      </c>
      <c r="C2918" s="6" t="s">
        <v>19514</v>
      </c>
      <c r="D2918" s="6" t="s">
        <v>145</v>
      </c>
      <c r="E2918" s="6" t="s">
        <v>147</v>
      </c>
      <c r="F2918" s="8">
        <v>7.0</v>
      </c>
      <c r="G2918" s="9">
        <v>1277.47</v>
      </c>
      <c r="H2918" s="9">
        <v>3356.22</v>
      </c>
      <c r="I2918" s="6" t="s">
        <v>161</v>
      </c>
      <c r="J2918" s="6" t="s">
        <v>421</v>
      </c>
      <c r="K2918" s="6" t="s">
        <v>19516</v>
      </c>
      <c r="L2918" s="6">
        <v>9.9223449802E10</v>
      </c>
      <c r="M2918" s="6" t="s">
        <v>19517</v>
      </c>
      <c r="N2918" s="6" t="s">
        <v>176</v>
      </c>
      <c r="O2918" s="6" t="s">
        <v>178</v>
      </c>
      <c r="P2918" s="10">
        <v>45981.0</v>
      </c>
    </row>
    <row r="2919" ht="22.5" customHeight="1">
      <c r="A2919" s="6" t="s">
        <v>19518</v>
      </c>
      <c r="B2919" s="6" t="s">
        <v>19519</v>
      </c>
      <c r="C2919" s="6" t="s">
        <v>19521</v>
      </c>
      <c r="D2919" s="6" t="s">
        <v>206</v>
      </c>
      <c r="E2919" s="6" t="s">
        <v>147</v>
      </c>
      <c r="F2919" s="8">
        <v>8.0</v>
      </c>
      <c r="G2919" s="9">
        <v>233.1</v>
      </c>
      <c r="H2919" s="9">
        <v>5441.93</v>
      </c>
      <c r="I2919" s="6" t="s">
        <v>161</v>
      </c>
      <c r="J2919" s="6" t="s">
        <v>595</v>
      </c>
      <c r="K2919" s="6" t="s">
        <v>19522</v>
      </c>
      <c r="L2919" s="6">
        <v>7.4003026774E10</v>
      </c>
      <c r="M2919" s="6" t="s">
        <v>19523</v>
      </c>
      <c r="N2919" s="6" t="s">
        <v>259</v>
      </c>
      <c r="O2919" s="6" t="s">
        <v>178</v>
      </c>
      <c r="P2919" s="10">
        <v>45944.0</v>
      </c>
    </row>
    <row r="2920" ht="22.5" customHeight="1">
      <c r="A2920" s="6" t="s">
        <v>19524</v>
      </c>
      <c r="B2920" s="6" t="s">
        <v>19526</v>
      </c>
      <c r="C2920" s="6" t="s">
        <v>19527</v>
      </c>
      <c r="D2920" s="6" t="s">
        <v>145</v>
      </c>
      <c r="E2920" s="6" t="s">
        <v>147</v>
      </c>
      <c r="F2920" s="8">
        <v>5.0</v>
      </c>
      <c r="G2920" s="9">
        <v>484.4</v>
      </c>
      <c r="H2920" s="9">
        <v>2606.51</v>
      </c>
      <c r="I2920" s="6" t="s">
        <v>161</v>
      </c>
      <c r="J2920" s="6" t="s">
        <v>465</v>
      </c>
      <c r="K2920" s="6" t="s">
        <v>19528</v>
      </c>
      <c r="L2920" s="6">
        <v>4.0066527729E10</v>
      </c>
      <c r="M2920" s="6" t="s">
        <v>19529</v>
      </c>
      <c r="N2920" s="6" t="s">
        <v>283</v>
      </c>
      <c r="O2920" s="6" t="s">
        <v>178</v>
      </c>
      <c r="P2920" s="10">
        <v>45939.0</v>
      </c>
    </row>
    <row r="2921" ht="22.5" customHeight="1">
      <c r="A2921" s="6" t="s">
        <v>19531</v>
      </c>
      <c r="B2921" s="6" t="s">
        <v>19532</v>
      </c>
      <c r="C2921" s="6" t="s">
        <v>19533</v>
      </c>
      <c r="D2921" s="6" t="s">
        <v>206</v>
      </c>
      <c r="E2921" s="6" t="s">
        <v>301</v>
      </c>
      <c r="F2921" s="8">
        <v>47.0</v>
      </c>
      <c r="G2921" s="9">
        <v>714.14</v>
      </c>
      <c r="H2921" s="9">
        <v>6464.46</v>
      </c>
      <c r="I2921" s="6" t="s">
        <v>161</v>
      </c>
      <c r="J2921" s="6" t="s">
        <v>393</v>
      </c>
      <c r="K2921" s="6" t="s">
        <v>19534</v>
      </c>
      <c r="L2921" s="6">
        <v>4.4094024173E10</v>
      </c>
      <c r="M2921" s="6" t="s">
        <v>19536</v>
      </c>
      <c r="N2921" s="6" t="s">
        <v>427</v>
      </c>
      <c r="O2921" s="6" t="s">
        <v>178</v>
      </c>
      <c r="P2921" s="10">
        <v>46006.0</v>
      </c>
    </row>
    <row r="2922" ht="22.5" customHeight="1">
      <c r="A2922" s="6" t="s">
        <v>19537</v>
      </c>
      <c r="B2922" s="6" t="s">
        <v>19538</v>
      </c>
      <c r="C2922" s="6" t="s">
        <v>19539</v>
      </c>
      <c r="D2922" s="6" t="s">
        <v>206</v>
      </c>
      <c r="E2922" s="6" t="s">
        <v>301</v>
      </c>
      <c r="F2922" s="8">
        <v>54.0</v>
      </c>
      <c r="G2922" s="9">
        <v>1448.13</v>
      </c>
      <c r="H2922" s="9">
        <v>7031.14</v>
      </c>
      <c r="I2922" s="6" t="s">
        <v>161</v>
      </c>
      <c r="J2922" s="6" t="s">
        <v>393</v>
      </c>
      <c r="K2922" s="6" t="s">
        <v>19541</v>
      </c>
      <c r="L2922" s="6">
        <v>8.1221345746E10</v>
      </c>
      <c r="M2922" s="6" t="s">
        <v>19542</v>
      </c>
      <c r="N2922" s="6" t="s">
        <v>427</v>
      </c>
      <c r="O2922" s="6" t="s">
        <v>178</v>
      </c>
      <c r="P2922" s="10">
        <v>46004.0</v>
      </c>
    </row>
    <row r="2923" ht="22.5" customHeight="1">
      <c r="A2923" s="6" t="s">
        <v>19544</v>
      </c>
      <c r="B2923" s="6" t="s">
        <v>19545</v>
      </c>
      <c r="C2923" s="6" t="s">
        <v>19546</v>
      </c>
      <c r="D2923" s="6" t="s">
        <v>206</v>
      </c>
      <c r="E2923" s="6" t="s">
        <v>210</v>
      </c>
      <c r="F2923" s="8">
        <v>115.0</v>
      </c>
      <c r="G2923" s="9">
        <v>401.17</v>
      </c>
      <c r="H2923" s="9">
        <v>4703.89</v>
      </c>
      <c r="I2923" s="6" t="s">
        <v>161</v>
      </c>
      <c r="J2923" s="6" t="s">
        <v>479</v>
      </c>
      <c r="K2923" s="6" t="s">
        <v>19548</v>
      </c>
      <c r="L2923" s="6">
        <v>2.176498407E9</v>
      </c>
      <c r="M2923" s="6" t="s">
        <v>19549</v>
      </c>
      <c r="N2923" s="6" t="s">
        <v>112</v>
      </c>
      <c r="O2923" s="6" t="s">
        <v>161</v>
      </c>
      <c r="P2923" s="10">
        <v>45938.0</v>
      </c>
    </row>
    <row r="2924" ht="22.5" customHeight="1">
      <c r="A2924" s="6" t="s">
        <v>19551</v>
      </c>
      <c r="B2924" s="6" t="s">
        <v>19552</v>
      </c>
      <c r="C2924" s="6" t="s">
        <v>19553</v>
      </c>
      <c r="D2924" s="6" t="s">
        <v>145</v>
      </c>
      <c r="E2924" s="6" t="s">
        <v>147</v>
      </c>
      <c r="F2924" s="8">
        <v>29.0</v>
      </c>
      <c r="G2924" s="9">
        <v>908.07</v>
      </c>
      <c r="H2924" s="9">
        <v>6268.11</v>
      </c>
      <c r="I2924" s="6" t="s">
        <v>161</v>
      </c>
      <c r="J2924" s="6" t="s">
        <v>421</v>
      </c>
      <c r="K2924" s="6" t="s">
        <v>259</v>
      </c>
      <c r="L2924" s="6">
        <v>6.2113741115E10</v>
      </c>
      <c r="M2924" s="6" t="s">
        <v>19555</v>
      </c>
      <c r="N2924" s="6" t="s">
        <v>283</v>
      </c>
      <c r="O2924" s="6" t="s">
        <v>178</v>
      </c>
      <c r="P2924" s="10">
        <v>46018.0</v>
      </c>
    </row>
    <row r="2925" ht="22.5" customHeight="1">
      <c r="A2925" s="6" t="s">
        <v>19557</v>
      </c>
      <c r="B2925" s="6" t="s">
        <v>19558</v>
      </c>
      <c r="C2925" s="6" t="s">
        <v>19559</v>
      </c>
      <c r="D2925" s="6" t="s">
        <v>145</v>
      </c>
      <c r="E2925" s="6" t="s">
        <v>301</v>
      </c>
      <c r="F2925" s="8">
        <v>30.0</v>
      </c>
      <c r="G2925" s="9">
        <v>1347.38</v>
      </c>
      <c r="H2925" s="9">
        <v>7654.53</v>
      </c>
      <c r="I2925" s="6" t="s">
        <v>161</v>
      </c>
      <c r="J2925" s="6" t="s">
        <v>1584</v>
      </c>
      <c r="K2925" s="6" t="s">
        <v>19560</v>
      </c>
      <c r="L2925" s="6">
        <v>1.302095759E9</v>
      </c>
      <c r="M2925" s="6" t="s">
        <v>19562</v>
      </c>
      <c r="N2925" s="6" t="s">
        <v>283</v>
      </c>
      <c r="O2925" s="6" t="s">
        <v>178</v>
      </c>
      <c r="P2925" s="10">
        <v>45949.0</v>
      </c>
    </row>
    <row r="2926" ht="22.5" customHeight="1">
      <c r="A2926" s="6" t="s">
        <v>19563</v>
      </c>
      <c r="B2926" s="6" t="s">
        <v>19564</v>
      </c>
      <c r="C2926" s="6" t="s">
        <v>19565</v>
      </c>
      <c r="D2926" s="6" t="s">
        <v>206</v>
      </c>
      <c r="E2926" s="6" t="s">
        <v>147</v>
      </c>
      <c r="F2926" s="8">
        <v>10.0</v>
      </c>
      <c r="G2926" s="9">
        <v>1295.17</v>
      </c>
      <c r="H2926" s="9">
        <v>13986.91</v>
      </c>
      <c r="I2926" s="6" t="s">
        <v>161</v>
      </c>
      <c r="J2926" s="6" t="s">
        <v>163</v>
      </c>
      <c r="K2926" s="6" t="s">
        <v>19567</v>
      </c>
      <c r="L2926" s="6">
        <v>6.3451986395E10</v>
      </c>
      <c r="M2926" s="6" t="s">
        <v>19568</v>
      </c>
      <c r="N2926" s="6" t="s">
        <v>427</v>
      </c>
      <c r="O2926" s="6" t="s">
        <v>178</v>
      </c>
      <c r="P2926" s="10">
        <v>45966.0</v>
      </c>
    </row>
    <row r="2927" ht="22.5" customHeight="1">
      <c r="A2927" s="6" t="s">
        <v>19570</v>
      </c>
      <c r="B2927" s="6" t="s">
        <v>19571</v>
      </c>
      <c r="C2927" s="6" t="s">
        <v>19572</v>
      </c>
      <c r="D2927" s="6" t="s">
        <v>206</v>
      </c>
      <c r="E2927" s="6" t="s">
        <v>301</v>
      </c>
      <c r="F2927" s="8">
        <v>57.0</v>
      </c>
      <c r="G2927" s="9">
        <v>1466.66</v>
      </c>
      <c r="H2927" s="9">
        <v>12013.05</v>
      </c>
      <c r="I2927" s="6" t="s">
        <v>161</v>
      </c>
      <c r="J2927" s="6" t="s">
        <v>577</v>
      </c>
      <c r="K2927" s="6" t="s">
        <v>19573</v>
      </c>
      <c r="L2927" s="6">
        <v>1.998828678E10</v>
      </c>
      <c r="M2927" s="6" t="s">
        <v>19575</v>
      </c>
      <c r="N2927" s="6" t="s">
        <v>427</v>
      </c>
      <c r="O2927" s="6" t="s">
        <v>178</v>
      </c>
      <c r="P2927" s="10">
        <v>45995.0</v>
      </c>
    </row>
    <row r="2928" ht="22.5" customHeight="1">
      <c r="A2928" s="6" t="s">
        <v>19576</v>
      </c>
      <c r="B2928" s="6" t="s">
        <v>19577</v>
      </c>
      <c r="C2928" s="6" t="s">
        <v>19578</v>
      </c>
      <c r="D2928" s="6" t="s">
        <v>145</v>
      </c>
      <c r="E2928" s="6" t="s">
        <v>147</v>
      </c>
      <c r="F2928" s="8">
        <v>5.0</v>
      </c>
      <c r="G2928" s="9">
        <v>1135.45</v>
      </c>
      <c r="H2928" s="9">
        <v>3106.03</v>
      </c>
      <c r="I2928" s="6" t="s">
        <v>161</v>
      </c>
      <c r="J2928" s="6" t="s">
        <v>163</v>
      </c>
      <c r="K2928" s="6" t="s">
        <v>19580</v>
      </c>
      <c r="L2928" s="6">
        <v>4.2563698497E10</v>
      </c>
      <c r="M2928" s="6" t="s">
        <v>19581</v>
      </c>
      <c r="N2928" s="6" t="s">
        <v>427</v>
      </c>
      <c r="O2928" s="6" t="s">
        <v>178</v>
      </c>
      <c r="P2928" s="10">
        <v>45956.0</v>
      </c>
    </row>
    <row r="2929" ht="22.5" customHeight="1">
      <c r="A2929" s="6" t="s">
        <v>19582</v>
      </c>
      <c r="B2929" s="6" t="s">
        <v>19584</v>
      </c>
      <c r="C2929" s="6" t="s">
        <v>19585</v>
      </c>
      <c r="D2929" s="6" t="s">
        <v>145</v>
      </c>
      <c r="E2929" s="6" t="s">
        <v>301</v>
      </c>
      <c r="F2929" s="8">
        <v>43.0</v>
      </c>
      <c r="G2929" s="9">
        <v>1437.71</v>
      </c>
      <c r="H2929" s="9">
        <v>4254.91</v>
      </c>
      <c r="I2929" s="6" t="s">
        <v>178</v>
      </c>
      <c r="J2929" s="6" t="s">
        <v>465</v>
      </c>
      <c r="K2929" s="6" t="s">
        <v>19586</v>
      </c>
      <c r="L2929" s="6">
        <v>5.0786530918E10</v>
      </c>
      <c r="M2929" s="6" t="s">
        <v>19588</v>
      </c>
      <c r="N2929" s="6" t="s">
        <v>176</v>
      </c>
      <c r="O2929" s="6" t="s">
        <v>161</v>
      </c>
      <c r="P2929" s="10">
        <v>45964.0</v>
      </c>
    </row>
    <row r="2930" ht="22.5" customHeight="1">
      <c r="A2930" s="6" t="s">
        <v>19589</v>
      </c>
      <c r="B2930" s="6" t="s">
        <v>19590</v>
      </c>
      <c r="C2930" s="6" t="s">
        <v>19591</v>
      </c>
      <c r="D2930" s="6" t="s">
        <v>206</v>
      </c>
      <c r="E2930" s="6" t="s">
        <v>147</v>
      </c>
      <c r="F2930" s="8">
        <v>16.0</v>
      </c>
      <c r="G2930" s="9">
        <v>1133.92</v>
      </c>
      <c r="H2930" s="9">
        <v>2823.42</v>
      </c>
      <c r="I2930" s="6" t="s">
        <v>161</v>
      </c>
      <c r="J2930" s="6" t="s">
        <v>465</v>
      </c>
      <c r="K2930" s="6" t="s">
        <v>19593</v>
      </c>
      <c r="L2930" s="6">
        <v>5.1407620698E10</v>
      </c>
      <c r="M2930" s="6" t="s">
        <v>19594</v>
      </c>
      <c r="N2930" s="6" t="s">
        <v>427</v>
      </c>
      <c r="O2930" s="6" t="s">
        <v>178</v>
      </c>
      <c r="P2930" s="10">
        <v>45977.0</v>
      </c>
    </row>
    <row r="2931" ht="22.5" customHeight="1">
      <c r="A2931" s="6" t="s">
        <v>19595</v>
      </c>
      <c r="B2931" s="6" t="s">
        <v>19596</v>
      </c>
      <c r="C2931" s="6" t="s">
        <v>19597</v>
      </c>
      <c r="D2931" s="6" t="s">
        <v>145</v>
      </c>
      <c r="E2931" s="6" t="s">
        <v>301</v>
      </c>
      <c r="F2931" s="8">
        <v>42.0</v>
      </c>
      <c r="G2931" s="9">
        <v>328.43</v>
      </c>
      <c r="H2931" s="9">
        <v>7706.58</v>
      </c>
      <c r="I2931" s="6" t="s">
        <v>161</v>
      </c>
      <c r="J2931" s="6" t="s">
        <v>163</v>
      </c>
      <c r="K2931" s="6" t="s">
        <v>19599</v>
      </c>
      <c r="L2931" s="6">
        <v>1.9068384979E10</v>
      </c>
      <c r="M2931" s="6" t="s">
        <v>19600</v>
      </c>
      <c r="N2931" s="6" t="s">
        <v>176</v>
      </c>
      <c r="O2931" s="6" t="s">
        <v>178</v>
      </c>
      <c r="P2931" s="10">
        <v>45986.0</v>
      </c>
    </row>
    <row r="2932" ht="22.5" customHeight="1">
      <c r="A2932" s="6" t="s">
        <v>19601</v>
      </c>
      <c r="B2932" s="6" t="s">
        <v>19603</v>
      </c>
      <c r="C2932" s="6" t="s">
        <v>19604</v>
      </c>
      <c r="D2932" s="6" t="s">
        <v>206</v>
      </c>
      <c r="E2932" s="6" t="s">
        <v>301</v>
      </c>
      <c r="F2932" s="8">
        <v>31.0</v>
      </c>
      <c r="G2932" s="9">
        <v>140.0</v>
      </c>
      <c r="H2932" s="9">
        <v>11678.92</v>
      </c>
      <c r="I2932" s="6" t="s">
        <v>161</v>
      </c>
      <c r="J2932" s="6" t="s">
        <v>465</v>
      </c>
      <c r="K2932" s="6" t="s">
        <v>19605</v>
      </c>
      <c r="L2932" s="6">
        <v>6.682505462E9</v>
      </c>
      <c r="M2932" s="6" t="s">
        <v>19606</v>
      </c>
      <c r="N2932" s="6" t="s">
        <v>176</v>
      </c>
      <c r="O2932" s="6" t="s">
        <v>178</v>
      </c>
      <c r="P2932" s="10">
        <v>46002.0</v>
      </c>
    </row>
    <row r="2933" ht="22.5" customHeight="1">
      <c r="A2933" s="6" t="s">
        <v>19608</v>
      </c>
      <c r="B2933" s="6" t="s">
        <v>19609</v>
      </c>
      <c r="C2933" s="6" t="s">
        <v>19610</v>
      </c>
      <c r="D2933" s="6" t="s">
        <v>206</v>
      </c>
      <c r="E2933" s="6" t="s">
        <v>301</v>
      </c>
      <c r="F2933" s="8">
        <v>32.0</v>
      </c>
      <c r="G2933" s="9">
        <v>1656.18</v>
      </c>
      <c r="H2933" s="9">
        <v>2117.3</v>
      </c>
      <c r="I2933" s="6" t="s">
        <v>161</v>
      </c>
      <c r="J2933" s="6" t="s">
        <v>357</v>
      </c>
      <c r="K2933" s="6" t="s">
        <v>19611</v>
      </c>
      <c r="L2933" s="6">
        <v>4.2638552949E10</v>
      </c>
      <c r="M2933" s="6" t="s">
        <v>19613</v>
      </c>
      <c r="N2933" s="6" t="s">
        <v>112</v>
      </c>
      <c r="O2933" s="6" t="s">
        <v>178</v>
      </c>
      <c r="P2933" s="10">
        <v>46003.0</v>
      </c>
    </row>
    <row r="2934" ht="22.5" customHeight="1">
      <c r="A2934" s="6" t="s">
        <v>19614</v>
      </c>
      <c r="B2934" s="6" t="s">
        <v>19615</v>
      </c>
      <c r="C2934" s="6" t="s">
        <v>19616</v>
      </c>
      <c r="D2934" s="6" t="s">
        <v>206</v>
      </c>
      <c r="E2934" s="6" t="s">
        <v>210</v>
      </c>
      <c r="F2934" s="8">
        <v>115.0</v>
      </c>
      <c r="G2934" s="9">
        <v>813.18</v>
      </c>
      <c r="H2934" s="9">
        <v>2520.72</v>
      </c>
      <c r="I2934" s="6" t="s">
        <v>161</v>
      </c>
      <c r="J2934" s="6" t="s">
        <v>393</v>
      </c>
      <c r="K2934" s="6" t="s">
        <v>19618</v>
      </c>
      <c r="L2934" s="6">
        <v>2.6956553413E10</v>
      </c>
      <c r="M2934" s="6" t="s">
        <v>19619</v>
      </c>
      <c r="N2934" s="6" t="s">
        <v>283</v>
      </c>
      <c r="O2934" s="6" t="s">
        <v>161</v>
      </c>
      <c r="P2934" s="10">
        <v>45937.0</v>
      </c>
    </row>
    <row r="2935" ht="22.5" customHeight="1">
      <c r="A2935" s="6" t="s">
        <v>19621</v>
      </c>
      <c r="B2935" s="6" t="s">
        <v>19622</v>
      </c>
      <c r="C2935" s="6" t="s">
        <v>19623</v>
      </c>
      <c r="D2935" s="6" t="s">
        <v>383</v>
      </c>
      <c r="E2935" s="6" t="s">
        <v>301</v>
      </c>
      <c r="F2935" s="8">
        <v>49.0</v>
      </c>
      <c r="G2935" s="9">
        <v>617.44</v>
      </c>
      <c r="H2935" s="9">
        <v>2127.5</v>
      </c>
      <c r="I2935" s="6" t="s">
        <v>161</v>
      </c>
      <c r="J2935" s="6" t="s">
        <v>357</v>
      </c>
      <c r="K2935" s="6" t="s">
        <v>19625</v>
      </c>
      <c r="L2935" s="6">
        <v>8.4533120045E10</v>
      </c>
      <c r="M2935" s="6" t="s">
        <v>19626</v>
      </c>
      <c r="N2935" s="6" t="s">
        <v>112</v>
      </c>
      <c r="O2935" s="6" t="s">
        <v>178</v>
      </c>
      <c r="P2935" s="10">
        <v>45944.0</v>
      </c>
    </row>
    <row r="2936" ht="22.5" customHeight="1">
      <c r="A2936" s="6" t="s">
        <v>19627</v>
      </c>
      <c r="B2936" s="6" t="s">
        <v>19628</v>
      </c>
      <c r="C2936" s="6" t="s">
        <v>19630</v>
      </c>
      <c r="D2936" s="6" t="s">
        <v>145</v>
      </c>
      <c r="E2936" s="6" t="s">
        <v>301</v>
      </c>
      <c r="F2936" s="8">
        <v>34.0</v>
      </c>
      <c r="G2936" s="9">
        <v>422.98</v>
      </c>
      <c r="H2936" s="9">
        <v>12783.65</v>
      </c>
      <c r="I2936" s="6" t="s">
        <v>161</v>
      </c>
      <c r="J2936" s="6" t="s">
        <v>442</v>
      </c>
      <c r="K2936" s="6" t="s">
        <v>19631</v>
      </c>
      <c r="L2936" s="6">
        <v>2.8691267686E10</v>
      </c>
      <c r="M2936" s="6" t="s">
        <v>19632</v>
      </c>
      <c r="N2936" s="6" t="s">
        <v>259</v>
      </c>
      <c r="O2936" s="6" t="s">
        <v>178</v>
      </c>
      <c r="P2936" s="10">
        <v>45971.0</v>
      </c>
    </row>
    <row r="2937" ht="22.5" customHeight="1">
      <c r="A2937" s="6" t="s">
        <v>19634</v>
      </c>
      <c r="B2937" s="6" t="s">
        <v>19635</v>
      </c>
      <c r="C2937" s="6" t="s">
        <v>19636</v>
      </c>
      <c r="D2937" s="6" t="s">
        <v>383</v>
      </c>
      <c r="E2937" s="6" t="s">
        <v>301</v>
      </c>
      <c r="F2937" s="8">
        <v>38.0</v>
      </c>
      <c r="G2937" s="9">
        <v>197.12</v>
      </c>
      <c r="H2937" s="9">
        <v>4430.09</v>
      </c>
      <c r="I2937" s="6" t="s">
        <v>161</v>
      </c>
      <c r="J2937" s="6" t="s">
        <v>228</v>
      </c>
      <c r="K2937" s="6" t="s">
        <v>19638</v>
      </c>
      <c r="L2937" s="6">
        <v>9.9892731282E10</v>
      </c>
      <c r="M2937" s="6" t="s">
        <v>19639</v>
      </c>
      <c r="N2937" s="6" t="s">
        <v>176</v>
      </c>
      <c r="O2937" s="6" t="s">
        <v>178</v>
      </c>
      <c r="P2937" s="10">
        <v>46029.0</v>
      </c>
    </row>
    <row r="2938" ht="22.5" customHeight="1">
      <c r="A2938" s="6" t="s">
        <v>19641</v>
      </c>
      <c r="B2938" s="6" t="s">
        <v>19642</v>
      </c>
      <c r="C2938" s="6" t="s">
        <v>19643</v>
      </c>
      <c r="D2938" s="6" t="s">
        <v>145</v>
      </c>
      <c r="E2938" s="6" t="s">
        <v>210</v>
      </c>
      <c r="F2938" s="8">
        <v>84.0</v>
      </c>
      <c r="G2938" s="9">
        <v>1508.13</v>
      </c>
      <c r="H2938" s="9">
        <v>9826.58</v>
      </c>
      <c r="I2938" s="6" t="s">
        <v>178</v>
      </c>
      <c r="J2938" s="6" t="s">
        <v>479</v>
      </c>
      <c r="K2938" s="6" t="s">
        <v>19645</v>
      </c>
      <c r="L2938" s="6">
        <v>7.6363408477E10</v>
      </c>
      <c r="M2938" s="6" t="s">
        <v>19646</v>
      </c>
      <c r="N2938" s="6" t="s">
        <v>259</v>
      </c>
      <c r="O2938" s="6" t="s">
        <v>161</v>
      </c>
      <c r="P2938" s="10">
        <v>45931.0</v>
      </c>
    </row>
    <row r="2939" ht="22.5" customHeight="1">
      <c r="A2939" s="6" t="s">
        <v>19648</v>
      </c>
      <c r="B2939" s="6" t="s">
        <v>19649</v>
      </c>
      <c r="C2939" s="6" t="s">
        <v>19650</v>
      </c>
      <c r="D2939" s="6" t="s">
        <v>206</v>
      </c>
      <c r="E2939" s="6" t="s">
        <v>147</v>
      </c>
      <c r="F2939" s="8">
        <v>26.0</v>
      </c>
      <c r="G2939" s="9">
        <v>1472.15</v>
      </c>
      <c r="H2939" s="9">
        <v>10669.58</v>
      </c>
      <c r="I2939" s="6" t="s">
        <v>161</v>
      </c>
      <c r="J2939" s="6" t="s">
        <v>357</v>
      </c>
      <c r="K2939" s="6" t="s">
        <v>19652</v>
      </c>
      <c r="L2939" s="6">
        <v>3.4620364042E10</v>
      </c>
      <c r="M2939" s="6" t="s">
        <v>19653</v>
      </c>
      <c r="N2939" s="6" t="s">
        <v>112</v>
      </c>
      <c r="O2939" s="6" t="s">
        <v>178</v>
      </c>
      <c r="P2939" s="10">
        <v>46040.0</v>
      </c>
    </row>
    <row r="2940" ht="22.5" customHeight="1">
      <c r="A2940" s="6" t="s">
        <v>19654</v>
      </c>
      <c r="B2940" s="6" t="s">
        <v>19655</v>
      </c>
      <c r="C2940" s="6" t="s">
        <v>19656</v>
      </c>
      <c r="D2940" s="6" t="s">
        <v>383</v>
      </c>
      <c r="E2940" s="6" t="s">
        <v>147</v>
      </c>
      <c r="F2940" s="8">
        <v>14.0</v>
      </c>
      <c r="G2940" s="9">
        <v>1391.39</v>
      </c>
      <c r="H2940" s="9">
        <v>6068.87</v>
      </c>
      <c r="I2940" s="6" t="s">
        <v>161</v>
      </c>
      <c r="J2940" s="6" t="s">
        <v>312</v>
      </c>
      <c r="K2940" s="6" t="s">
        <v>19659</v>
      </c>
      <c r="L2940" s="6" t="s">
        <v>259</v>
      </c>
      <c r="M2940" s="6" t="s">
        <v>19660</v>
      </c>
      <c r="N2940" s="6" t="s">
        <v>112</v>
      </c>
      <c r="O2940" s="6" t="s">
        <v>178</v>
      </c>
      <c r="P2940" s="10">
        <v>45967.0</v>
      </c>
    </row>
    <row r="2941" ht="22.5" customHeight="1">
      <c r="A2941" s="6" t="s">
        <v>19661</v>
      </c>
      <c r="B2941" s="6" t="s">
        <v>19662</v>
      </c>
      <c r="C2941" s="6" t="s">
        <v>19663</v>
      </c>
      <c r="D2941" s="6" t="s">
        <v>206</v>
      </c>
      <c r="E2941" s="6" t="s">
        <v>147</v>
      </c>
      <c r="F2941" s="8">
        <v>27.0</v>
      </c>
      <c r="G2941" s="9">
        <v>1182.82</v>
      </c>
      <c r="H2941" s="9">
        <v>1861.49</v>
      </c>
      <c r="I2941" s="6" t="s">
        <v>161</v>
      </c>
      <c r="J2941" s="6" t="s">
        <v>465</v>
      </c>
      <c r="K2941" s="6" t="s">
        <v>19665</v>
      </c>
      <c r="L2941" s="6">
        <v>6.6079205306E10</v>
      </c>
      <c r="M2941" s="6" t="s">
        <v>19666</v>
      </c>
      <c r="N2941" s="6" t="s">
        <v>283</v>
      </c>
      <c r="O2941" s="6" t="s">
        <v>178</v>
      </c>
      <c r="P2941" s="10">
        <v>45977.0</v>
      </c>
    </row>
    <row r="2942" ht="22.5" customHeight="1">
      <c r="A2942" s="6" t="s">
        <v>19668</v>
      </c>
      <c r="B2942" s="6" t="s">
        <v>19669</v>
      </c>
      <c r="C2942" s="6" t="s">
        <v>19670</v>
      </c>
      <c r="D2942" s="6" t="s">
        <v>145</v>
      </c>
      <c r="E2942" s="6" t="s">
        <v>147</v>
      </c>
      <c r="F2942" s="8">
        <v>16.0</v>
      </c>
      <c r="G2942" s="9">
        <v>328.71</v>
      </c>
      <c r="H2942" s="9">
        <v>6589.87</v>
      </c>
      <c r="I2942" s="6" t="s">
        <v>161</v>
      </c>
      <c r="J2942" s="6" t="s">
        <v>312</v>
      </c>
      <c r="K2942" s="6" t="s">
        <v>19672</v>
      </c>
      <c r="L2942" s="6" t="s">
        <v>259</v>
      </c>
      <c r="M2942" s="6" t="s">
        <v>19673</v>
      </c>
      <c r="N2942" s="6" t="s">
        <v>283</v>
      </c>
      <c r="O2942" s="6" t="s">
        <v>178</v>
      </c>
      <c r="P2942" s="10">
        <v>46022.0</v>
      </c>
    </row>
    <row r="2943" ht="22.5" customHeight="1">
      <c r="A2943" s="6" t="s">
        <v>19675</v>
      </c>
      <c r="B2943" s="6" t="s">
        <v>19676</v>
      </c>
      <c r="C2943" s="6" t="s">
        <v>19678</v>
      </c>
      <c r="D2943" s="6" t="s">
        <v>145</v>
      </c>
      <c r="E2943" s="6" t="s">
        <v>147</v>
      </c>
      <c r="F2943" s="8">
        <v>8.0</v>
      </c>
      <c r="G2943" s="9">
        <v>1121.54</v>
      </c>
      <c r="H2943" s="9">
        <v>7994.17</v>
      </c>
      <c r="I2943" s="6" t="s">
        <v>161</v>
      </c>
      <c r="J2943" s="6" t="s">
        <v>479</v>
      </c>
      <c r="K2943" s="6" t="s">
        <v>19679</v>
      </c>
      <c r="L2943" s="6">
        <v>3.2246497459E10</v>
      </c>
      <c r="M2943" s="6" t="s">
        <v>19681</v>
      </c>
      <c r="N2943" s="6" t="s">
        <v>176</v>
      </c>
      <c r="O2943" s="6" t="s">
        <v>178</v>
      </c>
      <c r="P2943" s="10">
        <v>46044.0</v>
      </c>
    </row>
    <row r="2944" ht="22.5" customHeight="1">
      <c r="A2944" s="6" t="s">
        <v>19682</v>
      </c>
      <c r="B2944" s="6" t="s">
        <v>19684</v>
      </c>
      <c r="C2944" s="6" t="s">
        <v>19685</v>
      </c>
      <c r="D2944" s="6" t="s">
        <v>206</v>
      </c>
      <c r="E2944" s="6" t="s">
        <v>301</v>
      </c>
      <c r="F2944" s="8">
        <v>53.0</v>
      </c>
      <c r="G2944" s="9">
        <v>262.81</v>
      </c>
      <c r="H2944" s="9">
        <v>1598.94</v>
      </c>
      <c r="I2944" s="6" t="s">
        <v>161</v>
      </c>
      <c r="J2944" s="6" t="s">
        <v>577</v>
      </c>
      <c r="K2944" s="6" t="s">
        <v>19687</v>
      </c>
      <c r="L2944" s="6" t="s">
        <v>259</v>
      </c>
      <c r="M2944" s="6" t="s">
        <v>19688</v>
      </c>
      <c r="N2944" s="6" t="s">
        <v>427</v>
      </c>
      <c r="O2944" s="6" t="s">
        <v>178</v>
      </c>
      <c r="P2944" s="10">
        <v>45969.0</v>
      </c>
    </row>
    <row r="2945" ht="22.5" customHeight="1">
      <c r="A2945" s="6" t="s">
        <v>19690</v>
      </c>
      <c r="B2945" s="6" t="s">
        <v>19691</v>
      </c>
      <c r="C2945" s="6" t="s">
        <v>19692</v>
      </c>
      <c r="D2945" s="6" t="s">
        <v>383</v>
      </c>
      <c r="E2945" s="6" t="s">
        <v>147</v>
      </c>
      <c r="F2945" s="8">
        <v>8.0</v>
      </c>
      <c r="G2945" s="9">
        <v>272.78</v>
      </c>
      <c r="H2945" s="9">
        <v>3894.65</v>
      </c>
      <c r="I2945" s="6" t="s">
        <v>161</v>
      </c>
      <c r="J2945" s="6" t="s">
        <v>163</v>
      </c>
      <c r="K2945" s="6" t="s">
        <v>19693</v>
      </c>
      <c r="L2945" s="6">
        <v>3.4453876134E10</v>
      </c>
      <c r="M2945" s="6" t="s">
        <v>19694</v>
      </c>
      <c r="N2945" s="6" t="s">
        <v>176</v>
      </c>
      <c r="O2945" s="6" t="s">
        <v>178</v>
      </c>
      <c r="P2945" s="10">
        <v>46011.0</v>
      </c>
    </row>
    <row r="2946" ht="22.5" customHeight="1">
      <c r="A2946" s="6" t="s">
        <v>19696</v>
      </c>
      <c r="B2946" s="6" t="s">
        <v>19697</v>
      </c>
      <c r="C2946" s="6" t="s">
        <v>19698</v>
      </c>
      <c r="D2946" s="6" t="s">
        <v>206</v>
      </c>
      <c r="E2946" s="6" t="s">
        <v>301</v>
      </c>
      <c r="F2946" s="8">
        <v>43.0</v>
      </c>
      <c r="G2946" s="9">
        <v>314.65</v>
      </c>
      <c r="H2946" s="9">
        <v>12446.3</v>
      </c>
      <c r="I2946" s="6" t="s">
        <v>161</v>
      </c>
      <c r="J2946" s="6" t="s">
        <v>421</v>
      </c>
      <c r="K2946" s="6" t="s">
        <v>19699</v>
      </c>
      <c r="L2946" s="6">
        <v>4.332212486E10</v>
      </c>
      <c r="M2946" s="6" t="s">
        <v>19701</v>
      </c>
      <c r="N2946" s="6" t="s">
        <v>427</v>
      </c>
      <c r="O2946" s="6" t="s">
        <v>178</v>
      </c>
      <c r="P2946" s="10">
        <v>46039.0</v>
      </c>
    </row>
    <row r="2947" ht="22.5" customHeight="1">
      <c r="A2947" s="6" t="s">
        <v>19702</v>
      </c>
      <c r="B2947" s="6" t="s">
        <v>19703</v>
      </c>
      <c r="C2947" s="6" t="s">
        <v>19704</v>
      </c>
      <c r="D2947" s="6" t="s">
        <v>383</v>
      </c>
      <c r="E2947" s="6" t="s">
        <v>147</v>
      </c>
      <c r="F2947" s="8">
        <v>12.0</v>
      </c>
      <c r="G2947" s="9">
        <v>1271.66</v>
      </c>
      <c r="H2947" s="9">
        <v>6137.63</v>
      </c>
      <c r="I2947" s="6" t="s">
        <v>161</v>
      </c>
      <c r="J2947" s="6" t="s">
        <v>357</v>
      </c>
      <c r="K2947" s="6" t="s">
        <v>19706</v>
      </c>
      <c r="L2947" s="6">
        <v>1.6149263743E10</v>
      </c>
      <c r="M2947" s="6" t="s">
        <v>19707</v>
      </c>
      <c r="N2947" s="6" t="s">
        <v>427</v>
      </c>
      <c r="O2947" s="6" t="s">
        <v>178</v>
      </c>
      <c r="P2947" s="10">
        <v>45976.0</v>
      </c>
    </row>
    <row r="2948" ht="22.5" customHeight="1">
      <c r="A2948" s="6" t="s">
        <v>19709</v>
      </c>
      <c r="B2948" s="6" t="s">
        <v>19710</v>
      </c>
      <c r="C2948" s="6" t="s">
        <v>19711</v>
      </c>
      <c r="D2948" s="6" t="s">
        <v>206</v>
      </c>
      <c r="E2948" s="6" t="s">
        <v>147</v>
      </c>
      <c r="F2948" s="8">
        <v>27.0</v>
      </c>
      <c r="G2948" s="9">
        <v>1270.68</v>
      </c>
      <c r="H2948" s="9">
        <v>1935.82</v>
      </c>
      <c r="I2948" s="6" t="s">
        <v>161</v>
      </c>
      <c r="J2948" s="6" t="s">
        <v>259</v>
      </c>
      <c r="K2948" s="6" t="s">
        <v>19713</v>
      </c>
      <c r="L2948" s="6">
        <v>4.1379760314E10</v>
      </c>
      <c r="M2948" s="6" t="s">
        <v>19714</v>
      </c>
      <c r="N2948" s="6" t="s">
        <v>176</v>
      </c>
      <c r="O2948" s="6" t="s">
        <v>178</v>
      </c>
      <c r="P2948" s="10">
        <v>46022.0</v>
      </c>
    </row>
    <row r="2949" ht="22.5" customHeight="1">
      <c r="A2949" s="6" t="s">
        <v>19715</v>
      </c>
      <c r="B2949" s="6" t="s">
        <v>19716</v>
      </c>
      <c r="C2949" s="6" t="s">
        <v>19717</v>
      </c>
      <c r="D2949" s="6" t="s">
        <v>206</v>
      </c>
      <c r="E2949" s="6" t="s">
        <v>147</v>
      </c>
      <c r="F2949" s="8">
        <v>19.0</v>
      </c>
      <c r="G2949" s="9">
        <v>1392.51</v>
      </c>
      <c r="H2949" s="9">
        <v>5575.85</v>
      </c>
      <c r="I2949" s="6" t="s">
        <v>161</v>
      </c>
      <c r="J2949" s="6" t="s">
        <v>421</v>
      </c>
      <c r="K2949" s="6" t="s">
        <v>19719</v>
      </c>
      <c r="L2949" s="6">
        <v>5.6278123564E10</v>
      </c>
      <c r="M2949" s="6" t="s">
        <v>19720</v>
      </c>
      <c r="N2949" s="6" t="s">
        <v>283</v>
      </c>
      <c r="O2949" s="6" t="s">
        <v>178</v>
      </c>
      <c r="P2949" s="10">
        <v>45982.0</v>
      </c>
    </row>
    <row r="2950" ht="22.5" customHeight="1">
      <c r="A2950" s="6" t="s">
        <v>19721</v>
      </c>
      <c r="B2950" s="6" t="s">
        <v>19722</v>
      </c>
      <c r="C2950" s="6" t="s">
        <v>19724</v>
      </c>
      <c r="D2950" s="6" t="s">
        <v>206</v>
      </c>
      <c r="E2950" s="6" t="s">
        <v>301</v>
      </c>
      <c r="F2950" s="8">
        <v>49.0</v>
      </c>
      <c r="G2950" s="9">
        <v>1724.73</v>
      </c>
      <c r="H2950" s="9">
        <v>2469.18</v>
      </c>
      <c r="I2950" s="6" t="s">
        <v>161</v>
      </c>
      <c r="J2950" s="6" t="s">
        <v>577</v>
      </c>
      <c r="K2950" s="6" t="s">
        <v>19726</v>
      </c>
      <c r="L2950" s="6">
        <v>6.1112363569E10</v>
      </c>
      <c r="M2950" s="6" t="s">
        <v>19727</v>
      </c>
      <c r="N2950" s="6" t="s">
        <v>176</v>
      </c>
      <c r="O2950" s="6" t="s">
        <v>178</v>
      </c>
      <c r="P2950" s="10">
        <v>46040.0</v>
      </c>
    </row>
    <row r="2951" ht="22.5" customHeight="1">
      <c r="A2951" s="6" t="s">
        <v>19728</v>
      </c>
      <c r="B2951" s="6" t="s">
        <v>19729</v>
      </c>
      <c r="C2951" s="6" t="s">
        <v>19730</v>
      </c>
      <c r="D2951" s="6" t="s">
        <v>145</v>
      </c>
      <c r="E2951" s="6" t="s">
        <v>210</v>
      </c>
      <c r="F2951" s="8">
        <v>73.0</v>
      </c>
      <c r="G2951" s="9">
        <v>341.95</v>
      </c>
      <c r="H2951" s="9">
        <v>9322.75</v>
      </c>
      <c r="I2951" s="6" t="s">
        <v>178</v>
      </c>
      <c r="J2951" s="6" t="s">
        <v>312</v>
      </c>
      <c r="K2951" s="6" t="s">
        <v>19733</v>
      </c>
      <c r="L2951" s="6">
        <v>3.8584022416E10</v>
      </c>
      <c r="M2951" s="6" t="s">
        <v>19734</v>
      </c>
      <c r="N2951" s="6" t="s">
        <v>427</v>
      </c>
      <c r="O2951" s="6" t="s">
        <v>161</v>
      </c>
      <c r="P2951" s="10">
        <v>45992.0</v>
      </c>
    </row>
    <row r="2952" ht="22.5" customHeight="1">
      <c r="A2952" s="6" t="s">
        <v>19735</v>
      </c>
      <c r="B2952" s="6" t="s">
        <v>19737</v>
      </c>
      <c r="C2952" s="6" t="s">
        <v>19738</v>
      </c>
      <c r="D2952" s="6" t="s">
        <v>383</v>
      </c>
      <c r="E2952" s="6" t="s">
        <v>147</v>
      </c>
      <c r="F2952" s="8">
        <v>24.0</v>
      </c>
      <c r="G2952" s="9">
        <v>552.41</v>
      </c>
      <c r="H2952" s="9">
        <v>13108.53</v>
      </c>
      <c r="I2952" s="6" t="s">
        <v>161</v>
      </c>
      <c r="J2952" s="6" t="s">
        <v>163</v>
      </c>
      <c r="K2952" s="6" t="s">
        <v>19739</v>
      </c>
      <c r="L2952" s="6">
        <v>6.6810041936E10</v>
      </c>
      <c r="M2952" s="6" t="s">
        <v>19741</v>
      </c>
      <c r="N2952" s="6" t="s">
        <v>427</v>
      </c>
      <c r="O2952" s="6" t="s">
        <v>178</v>
      </c>
      <c r="P2952" s="10">
        <v>46035.0</v>
      </c>
    </row>
    <row r="2953" ht="22.5" customHeight="1">
      <c r="A2953" s="6" t="s">
        <v>19742</v>
      </c>
      <c r="B2953" s="6" t="s">
        <v>19743</v>
      </c>
      <c r="C2953" s="6" t="s">
        <v>19744</v>
      </c>
      <c r="D2953" s="6" t="s">
        <v>145</v>
      </c>
      <c r="E2953" s="6" t="s">
        <v>210</v>
      </c>
      <c r="F2953" s="8">
        <v>93.0</v>
      </c>
      <c r="G2953" s="9">
        <v>754.16</v>
      </c>
      <c r="H2953" s="9">
        <v>8955.55</v>
      </c>
      <c r="I2953" s="6" t="s">
        <v>178</v>
      </c>
      <c r="J2953" s="6" t="s">
        <v>393</v>
      </c>
      <c r="K2953" s="6" t="s">
        <v>19746</v>
      </c>
      <c r="L2953" s="6">
        <v>2.4721016973E10</v>
      </c>
      <c r="M2953" s="6" t="s">
        <v>19747</v>
      </c>
      <c r="N2953" s="6" t="s">
        <v>427</v>
      </c>
      <c r="O2953" s="6" t="s">
        <v>161</v>
      </c>
      <c r="P2953" s="10">
        <v>45934.0</v>
      </c>
    </row>
    <row r="2954" ht="22.5" customHeight="1">
      <c r="A2954" s="6" t="s">
        <v>19749</v>
      </c>
      <c r="B2954" s="6" t="s">
        <v>19750</v>
      </c>
      <c r="C2954" s="6" t="s">
        <v>19751</v>
      </c>
      <c r="D2954" s="6" t="s">
        <v>145</v>
      </c>
      <c r="E2954" s="6" t="s">
        <v>301</v>
      </c>
      <c r="F2954" s="8">
        <v>43.0</v>
      </c>
      <c r="G2954" s="9">
        <v>474.33</v>
      </c>
      <c r="H2954" s="9">
        <v>12706.78</v>
      </c>
      <c r="I2954" s="6" t="s">
        <v>161</v>
      </c>
      <c r="J2954" s="6" t="s">
        <v>4705</v>
      </c>
      <c r="K2954" s="6" t="s">
        <v>19753</v>
      </c>
      <c r="L2954" s="6">
        <v>8.8035338624E10</v>
      </c>
      <c r="M2954" s="6" t="s">
        <v>19754</v>
      </c>
      <c r="N2954" s="6" t="s">
        <v>427</v>
      </c>
      <c r="O2954" s="6" t="s">
        <v>178</v>
      </c>
      <c r="P2954" s="10">
        <v>46046.0</v>
      </c>
    </row>
    <row r="2955" ht="22.5" customHeight="1">
      <c r="A2955" s="6" t="s">
        <v>19755</v>
      </c>
      <c r="B2955" s="6" t="s">
        <v>19756</v>
      </c>
      <c r="C2955" s="6" t="s">
        <v>19757</v>
      </c>
      <c r="D2955" s="6" t="s">
        <v>383</v>
      </c>
      <c r="E2955" s="6" t="s">
        <v>301</v>
      </c>
      <c r="F2955" s="8">
        <v>46.0</v>
      </c>
      <c r="G2955" s="9">
        <v>210.73</v>
      </c>
      <c r="H2955" s="9">
        <v>3165.96</v>
      </c>
      <c r="I2955" s="6" t="s">
        <v>161</v>
      </c>
      <c r="J2955" s="6" t="s">
        <v>312</v>
      </c>
      <c r="K2955" s="6" t="s">
        <v>19759</v>
      </c>
      <c r="L2955" s="6">
        <v>4.660852842E9</v>
      </c>
      <c r="M2955" s="6" t="s">
        <v>19760</v>
      </c>
      <c r="N2955" s="6" t="s">
        <v>283</v>
      </c>
      <c r="O2955" s="6" t="s">
        <v>178</v>
      </c>
      <c r="P2955" s="10">
        <v>45999.0</v>
      </c>
    </row>
    <row r="2956" ht="22.5" customHeight="1">
      <c r="A2956" s="6" t="s">
        <v>19761</v>
      </c>
      <c r="B2956" s="6" t="s">
        <v>19762</v>
      </c>
      <c r="C2956" s="6" t="s">
        <v>19763</v>
      </c>
      <c r="D2956" s="6" t="s">
        <v>145</v>
      </c>
      <c r="E2956" s="6" t="s">
        <v>301</v>
      </c>
      <c r="F2956" s="8">
        <v>38.0</v>
      </c>
      <c r="G2956" s="9">
        <v>1573.39</v>
      </c>
      <c r="H2956" s="9">
        <v>15279.37</v>
      </c>
      <c r="I2956" s="6" t="s">
        <v>161</v>
      </c>
      <c r="J2956" s="6" t="s">
        <v>312</v>
      </c>
      <c r="K2956" s="6" t="s">
        <v>19765</v>
      </c>
      <c r="L2956" s="6">
        <v>4.8703536823E10</v>
      </c>
      <c r="M2956" s="6" t="s">
        <v>19766</v>
      </c>
      <c r="N2956" s="6" t="s">
        <v>176</v>
      </c>
      <c r="O2956" s="6" t="s">
        <v>178</v>
      </c>
      <c r="P2956" s="10">
        <v>45986.0</v>
      </c>
    </row>
    <row r="2957" ht="22.5" customHeight="1">
      <c r="A2957" s="6" t="s">
        <v>19767</v>
      </c>
      <c r="B2957" s="6" t="s">
        <v>19768</v>
      </c>
      <c r="C2957" s="6" t="s">
        <v>19769</v>
      </c>
      <c r="D2957" s="6" t="s">
        <v>383</v>
      </c>
      <c r="E2957" s="6" t="s">
        <v>147</v>
      </c>
      <c r="F2957" s="8">
        <v>10.0</v>
      </c>
      <c r="G2957" s="9">
        <v>147.85</v>
      </c>
      <c r="H2957" s="9">
        <v>644.93</v>
      </c>
      <c r="I2957" s="6" t="s">
        <v>161</v>
      </c>
      <c r="J2957" s="6" t="s">
        <v>421</v>
      </c>
      <c r="K2957" s="6" t="s">
        <v>19771</v>
      </c>
      <c r="L2957" s="6">
        <v>2.4494664984E10</v>
      </c>
      <c r="M2957" s="6" t="s">
        <v>19772</v>
      </c>
      <c r="N2957" s="6" t="s">
        <v>283</v>
      </c>
      <c r="O2957" s="6" t="s">
        <v>178</v>
      </c>
      <c r="P2957" s="10">
        <v>46047.0</v>
      </c>
    </row>
    <row r="2958" ht="22.5" customHeight="1">
      <c r="A2958" s="6" t="s">
        <v>19774</v>
      </c>
      <c r="B2958" s="6" t="s">
        <v>19775</v>
      </c>
      <c r="C2958" s="6" t="s">
        <v>19776</v>
      </c>
      <c r="D2958" s="6" t="s">
        <v>206</v>
      </c>
      <c r="E2958" s="6" t="s">
        <v>301</v>
      </c>
      <c r="F2958" s="8">
        <v>52.0</v>
      </c>
      <c r="G2958" s="9">
        <v>87.39</v>
      </c>
      <c r="H2958" s="9">
        <v>8181.84</v>
      </c>
      <c r="I2958" s="6" t="s">
        <v>161</v>
      </c>
      <c r="J2958" s="6" t="s">
        <v>393</v>
      </c>
      <c r="K2958" s="6" t="s">
        <v>19778</v>
      </c>
      <c r="L2958" s="6">
        <v>6.2703403306E10</v>
      </c>
      <c r="M2958" s="6" t="s">
        <v>19779</v>
      </c>
      <c r="N2958" s="6" t="s">
        <v>176</v>
      </c>
      <c r="O2958" s="6" t="s">
        <v>178</v>
      </c>
      <c r="P2958" s="10">
        <v>45955.0</v>
      </c>
    </row>
    <row r="2959" ht="22.5" customHeight="1">
      <c r="A2959" s="6" t="s">
        <v>19780</v>
      </c>
      <c r="B2959" s="6" t="s">
        <v>19781</v>
      </c>
      <c r="C2959" s="6" t="s">
        <v>19782</v>
      </c>
      <c r="D2959" s="6" t="s">
        <v>206</v>
      </c>
      <c r="E2959" s="6" t="s">
        <v>147</v>
      </c>
      <c r="F2959" s="8">
        <v>23.0</v>
      </c>
      <c r="G2959" s="9">
        <v>1035.61</v>
      </c>
      <c r="H2959" s="9">
        <v>3464.53</v>
      </c>
      <c r="I2959" s="6" t="s">
        <v>161</v>
      </c>
      <c r="J2959" s="6" t="s">
        <v>577</v>
      </c>
      <c r="K2959" s="6" t="s">
        <v>19784</v>
      </c>
      <c r="L2959" s="6">
        <v>8.2191172869E10</v>
      </c>
      <c r="M2959" s="6" t="s">
        <v>19785</v>
      </c>
      <c r="N2959" s="6" t="s">
        <v>427</v>
      </c>
      <c r="O2959" s="6" t="s">
        <v>178</v>
      </c>
      <c r="P2959" s="10">
        <v>45950.0</v>
      </c>
    </row>
    <row r="2960" ht="22.5" customHeight="1">
      <c r="A2960" s="6" t="s">
        <v>19787</v>
      </c>
      <c r="B2960" s="6" t="s">
        <v>19788</v>
      </c>
      <c r="C2960" s="6" t="s">
        <v>19789</v>
      </c>
      <c r="D2960" s="6" t="s">
        <v>206</v>
      </c>
      <c r="E2960" s="6" t="s">
        <v>301</v>
      </c>
      <c r="F2960" s="8">
        <v>53.0</v>
      </c>
      <c r="G2960" s="9">
        <v>298.16</v>
      </c>
      <c r="H2960" s="9">
        <v>5139.96</v>
      </c>
      <c r="I2960" s="6" t="s">
        <v>161</v>
      </c>
      <c r="J2960" s="6" t="s">
        <v>163</v>
      </c>
      <c r="K2960" s="6" t="s">
        <v>19791</v>
      </c>
      <c r="L2960" s="6">
        <v>7.726018265E10</v>
      </c>
      <c r="M2960" s="6" t="s">
        <v>19792</v>
      </c>
      <c r="N2960" s="6" t="s">
        <v>259</v>
      </c>
      <c r="O2960" s="6" t="s">
        <v>178</v>
      </c>
      <c r="P2960" s="10">
        <v>45965.0</v>
      </c>
    </row>
    <row r="2961" ht="22.5" customHeight="1">
      <c r="A2961" s="6" t="s">
        <v>19793</v>
      </c>
      <c r="B2961" s="6" t="s">
        <v>19794</v>
      </c>
      <c r="C2961" s="6" t="s">
        <v>19795</v>
      </c>
      <c r="D2961" s="6" t="s">
        <v>145</v>
      </c>
      <c r="E2961" s="6" t="s">
        <v>301</v>
      </c>
      <c r="F2961" s="8">
        <v>57.0</v>
      </c>
      <c r="G2961" s="9">
        <v>240.97</v>
      </c>
      <c r="H2961" s="9">
        <v>13857.61</v>
      </c>
      <c r="I2961" s="6" t="s">
        <v>161</v>
      </c>
      <c r="J2961" s="6" t="s">
        <v>421</v>
      </c>
      <c r="K2961" s="6" t="s">
        <v>19797</v>
      </c>
      <c r="L2961" s="6">
        <v>6.8930704507E10</v>
      </c>
      <c r="M2961" s="6" t="s">
        <v>19798</v>
      </c>
      <c r="N2961" s="6" t="s">
        <v>283</v>
      </c>
      <c r="O2961" s="6" t="s">
        <v>178</v>
      </c>
      <c r="P2961" s="10">
        <v>45963.0</v>
      </c>
    </row>
    <row r="2962" ht="22.5" customHeight="1">
      <c r="A2962" s="6" t="s">
        <v>19800</v>
      </c>
      <c r="B2962" s="6" t="s">
        <v>19801</v>
      </c>
      <c r="C2962" s="6" t="s">
        <v>19802</v>
      </c>
      <c r="D2962" s="6" t="s">
        <v>145</v>
      </c>
      <c r="E2962" s="6" t="s">
        <v>210</v>
      </c>
      <c r="F2962" s="8">
        <v>112.0</v>
      </c>
      <c r="G2962" s="9">
        <v>1018.72</v>
      </c>
      <c r="H2962" s="9">
        <v>4724.64</v>
      </c>
      <c r="I2962" s="6" t="s">
        <v>161</v>
      </c>
      <c r="J2962" s="6" t="s">
        <v>479</v>
      </c>
      <c r="K2962" s="6" t="s">
        <v>19804</v>
      </c>
      <c r="L2962" s="6">
        <v>5.2369177129E10</v>
      </c>
      <c r="M2962" s="6" t="s">
        <v>19805</v>
      </c>
      <c r="N2962" s="6" t="s">
        <v>259</v>
      </c>
      <c r="O2962" s="6" t="s">
        <v>161</v>
      </c>
      <c r="P2962" s="10">
        <v>45998.0</v>
      </c>
    </row>
    <row r="2963" ht="22.5" customHeight="1">
      <c r="A2963" s="6" t="s">
        <v>19807</v>
      </c>
      <c r="B2963" s="6" t="s">
        <v>19808</v>
      </c>
      <c r="C2963" s="6" t="s">
        <v>19809</v>
      </c>
      <c r="D2963" s="6" t="s">
        <v>145</v>
      </c>
      <c r="E2963" s="6" t="s">
        <v>147</v>
      </c>
      <c r="F2963" s="8">
        <v>24.0</v>
      </c>
      <c r="G2963" s="9">
        <v>766.9</v>
      </c>
      <c r="H2963" s="9">
        <v>9349.35</v>
      </c>
      <c r="I2963" s="6" t="s">
        <v>161</v>
      </c>
      <c r="J2963" s="6" t="s">
        <v>393</v>
      </c>
      <c r="K2963" s="6" t="s">
        <v>19811</v>
      </c>
      <c r="L2963" s="6">
        <v>9.8984505075E10</v>
      </c>
      <c r="M2963" s="6" t="s">
        <v>19812</v>
      </c>
      <c r="N2963" s="6" t="s">
        <v>112</v>
      </c>
      <c r="O2963" s="6" t="s">
        <v>178</v>
      </c>
      <c r="P2963" s="10">
        <v>45940.0</v>
      </c>
    </row>
    <row r="2964" ht="22.5" customHeight="1">
      <c r="A2964" s="6" t="s">
        <v>19813</v>
      </c>
      <c r="B2964" s="6" t="s">
        <v>19814</v>
      </c>
      <c r="C2964" s="6" t="s">
        <v>19815</v>
      </c>
      <c r="D2964" s="6" t="s">
        <v>145</v>
      </c>
      <c r="E2964" s="6" t="s">
        <v>301</v>
      </c>
      <c r="F2964" s="8">
        <v>42.0</v>
      </c>
      <c r="G2964" s="9">
        <v>829.25</v>
      </c>
      <c r="H2964" s="9">
        <v>12395.25</v>
      </c>
      <c r="I2964" s="6" t="s">
        <v>161</v>
      </c>
      <c r="J2964" s="6" t="s">
        <v>312</v>
      </c>
      <c r="K2964" s="6" t="s">
        <v>19817</v>
      </c>
      <c r="L2964" s="6">
        <v>7.8400101707E10</v>
      </c>
      <c r="M2964" s="6" t="s">
        <v>19818</v>
      </c>
      <c r="N2964" s="6" t="s">
        <v>259</v>
      </c>
      <c r="O2964" s="6" t="s">
        <v>178</v>
      </c>
      <c r="P2964" s="10">
        <v>46032.0</v>
      </c>
    </row>
    <row r="2965" ht="22.5" customHeight="1">
      <c r="A2965" s="6" t="s">
        <v>19819</v>
      </c>
      <c r="B2965" s="6" t="s">
        <v>19821</v>
      </c>
      <c r="C2965" s="6" t="s">
        <v>19822</v>
      </c>
      <c r="D2965" s="6" t="s">
        <v>206</v>
      </c>
      <c r="E2965" s="6" t="s">
        <v>301</v>
      </c>
      <c r="F2965" s="8">
        <v>43.0</v>
      </c>
      <c r="G2965" s="9">
        <v>1649.46</v>
      </c>
      <c r="H2965" s="9">
        <v>5377.38</v>
      </c>
      <c r="I2965" s="6" t="s">
        <v>161</v>
      </c>
      <c r="J2965" s="6" t="s">
        <v>228</v>
      </c>
      <c r="K2965" s="6" t="s">
        <v>19823</v>
      </c>
      <c r="L2965" s="6">
        <v>5.5401355332E10</v>
      </c>
      <c r="M2965" s="6" t="s">
        <v>19825</v>
      </c>
      <c r="N2965" s="6" t="s">
        <v>112</v>
      </c>
      <c r="O2965" s="6" t="s">
        <v>178</v>
      </c>
      <c r="P2965" s="10">
        <v>45953.0</v>
      </c>
    </row>
    <row r="2966" ht="22.5" customHeight="1">
      <c r="A2966" s="6" t="s">
        <v>19827</v>
      </c>
      <c r="B2966" s="6" t="s">
        <v>19828</v>
      </c>
      <c r="C2966" s="6" t="s">
        <v>19829</v>
      </c>
      <c r="D2966" s="6" t="s">
        <v>145</v>
      </c>
      <c r="E2966" s="6" t="s">
        <v>147</v>
      </c>
      <c r="F2966" s="8">
        <v>26.0</v>
      </c>
      <c r="G2966" s="9">
        <v>1438.47</v>
      </c>
      <c r="H2966" s="9">
        <v>11505.72</v>
      </c>
      <c r="I2966" s="6" t="s">
        <v>178</v>
      </c>
      <c r="J2966" s="6" t="s">
        <v>312</v>
      </c>
      <c r="K2966" s="6" t="s">
        <v>19831</v>
      </c>
      <c r="L2966" s="6" t="s">
        <v>259</v>
      </c>
      <c r="M2966" s="6" t="s">
        <v>19832</v>
      </c>
      <c r="N2966" s="6" t="s">
        <v>112</v>
      </c>
      <c r="O2966" s="6" t="s">
        <v>161</v>
      </c>
      <c r="P2966" s="10">
        <v>46017.0</v>
      </c>
    </row>
    <row r="2967" ht="22.5" customHeight="1">
      <c r="A2967" s="6" t="s">
        <v>19834</v>
      </c>
      <c r="B2967" s="6" t="s">
        <v>19835</v>
      </c>
      <c r="C2967" s="6" t="s">
        <v>19836</v>
      </c>
      <c r="D2967" s="6" t="s">
        <v>145</v>
      </c>
      <c r="E2967" s="6" t="s">
        <v>301</v>
      </c>
      <c r="F2967" s="8">
        <v>58.0</v>
      </c>
      <c r="G2967" s="9">
        <v>1587.99</v>
      </c>
      <c r="H2967" s="9">
        <v>9536.42</v>
      </c>
      <c r="I2967" s="6" t="s">
        <v>161</v>
      </c>
      <c r="J2967" s="6" t="s">
        <v>163</v>
      </c>
      <c r="K2967" s="6" t="s">
        <v>19838</v>
      </c>
      <c r="L2967" s="6">
        <v>2.824831283E10</v>
      </c>
      <c r="M2967" s="6" t="s">
        <v>19839</v>
      </c>
      <c r="N2967" s="6" t="s">
        <v>427</v>
      </c>
      <c r="O2967" s="6" t="s">
        <v>178</v>
      </c>
      <c r="P2967" s="10">
        <v>46032.0</v>
      </c>
    </row>
    <row r="2968" ht="22.5" customHeight="1">
      <c r="A2968" s="6" t="s">
        <v>19840</v>
      </c>
      <c r="B2968" s="6" t="s">
        <v>19841</v>
      </c>
      <c r="C2968" s="6" t="s">
        <v>19843</v>
      </c>
      <c r="D2968" s="6" t="s">
        <v>145</v>
      </c>
      <c r="E2968" s="6" t="s">
        <v>301</v>
      </c>
      <c r="F2968" s="8">
        <v>30.0</v>
      </c>
      <c r="G2968" s="9">
        <v>696.1</v>
      </c>
      <c r="H2968" s="9">
        <v>1623.41</v>
      </c>
      <c r="I2968" s="6" t="s">
        <v>161</v>
      </c>
      <c r="J2968" s="6" t="s">
        <v>228</v>
      </c>
      <c r="K2968" s="6" t="s">
        <v>19844</v>
      </c>
      <c r="L2968" s="6">
        <v>4.2962569703E10</v>
      </c>
      <c r="M2968" s="6" t="s">
        <v>19845</v>
      </c>
      <c r="N2968" s="6" t="s">
        <v>176</v>
      </c>
      <c r="O2968" s="6" t="s">
        <v>178</v>
      </c>
      <c r="P2968" s="10">
        <v>46045.0</v>
      </c>
    </row>
    <row r="2969" ht="22.5" customHeight="1">
      <c r="A2969" s="6" t="s">
        <v>19847</v>
      </c>
      <c r="B2969" s="6" t="s">
        <v>19848</v>
      </c>
      <c r="C2969" s="6" t="s">
        <v>19849</v>
      </c>
      <c r="D2969" s="6" t="s">
        <v>145</v>
      </c>
      <c r="E2969" s="6" t="s">
        <v>301</v>
      </c>
      <c r="F2969" s="8">
        <v>36.0</v>
      </c>
      <c r="G2969" s="9">
        <v>1470.69</v>
      </c>
      <c r="H2969" s="9">
        <v>6337.8</v>
      </c>
      <c r="I2969" s="6" t="s">
        <v>161</v>
      </c>
      <c r="J2969" s="6" t="s">
        <v>228</v>
      </c>
      <c r="K2969" s="6" t="s">
        <v>19851</v>
      </c>
      <c r="L2969" s="6">
        <v>8.1567075452E10</v>
      </c>
      <c r="M2969" s="6" t="s">
        <v>19852</v>
      </c>
      <c r="N2969" s="6" t="s">
        <v>259</v>
      </c>
      <c r="O2969" s="6" t="s">
        <v>178</v>
      </c>
      <c r="P2969" s="10">
        <v>46009.0</v>
      </c>
    </row>
    <row r="2970" ht="22.5" customHeight="1">
      <c r="A2970" s="6" t="s">
        <v>19854</v>
      </c>
      <c r="B2970" s="6" t="s">
        <v>19855</v>
      </c>
      <c r="C2970" s="6" t="s">
        <v>19856</v>
      </c>
      <c r="D2970" s="6" t="s">
        <v>206</v>
      </c>
      <c r="E2970" s="6" t="s">
        <v>301</v>
      </c>
      <c r="F2970" s="8">
        <v>40.0</v>
      </c>
      <c r="G2970" s="9">
        <v>1529.9</v>
      </c>
      <c r="H2970" s="9">
        <v>5298.51</v>
      </c>
      <c r="I2970" s="6" t="s">
        <v>161</v>
      </c>
      <c r="J2970" s="6" t="s">
        <v>163</v>
      </c>
      <c r="K2970" s="6" t="s">
        <v>19858</v>
      </c>
      <c r="L2970" s="6">
        <v>9.1818444968E10</v>
      </c>
      <c r="M2970" s="6" t="s">
        <v>19859</v>
      </c>
      <c r="N2970" s="6" t="s">
        <v>427</v>
      </c>
      <c r="O2970" s="6" t="s">
        <v>178</v>
      </c>
      <c r="P2970" s="10">
        <v>46048.0</v>
      </c>
    </row>
    <row r="2971" ht="22.5" customHeight="1">
      <c r="A2971" s="6" t="s">
        <v>19860</v>
      </c>
      <c r="B2971" s="6" t="s">
        <v>19862</v>
      </c>
      <c r="C2971" s="6" t="s">
        <v>19863</v>
      </c>
      <c r="D2971" s="6" t="s">
        <v>206</v>
      </c>
      <c r="E2971" s="6" t="s">
        <v>147</v>
      </c>
      <c r="F2971" s="8">
        <v>11.0</v>
      </c>
      <c r="G2971" s="9">
        <v>1686.56</v>
      </c>
      <c r="H2971" s="9">
        <v>15479.38</v>
      </c>
      <c r="I2971" s="6" t="s">
        <v>161</v>
      </c>
      <c r="J2971" s="6" t="s">
        <v>1584</v>
      </c>
      <c r="K2971" s="6" t="s">
        <v>19864</v>
      </c>
      <c r="L2971" s="6">
        <v>3.1082305891E10</v>
      </c>
      <c r="M2971" s="6" t="s">
        <v>19865</v>
      </c>
      <c r="N2971" s="6" t="s">
        <v>176</v>
      </c>
      <c r="O2971" s="6" t="s">
        <v>178</v>
      </c>
      <c r="P2971" s="10">
        <v>46039.0</v>
      </c>
    </row>
    <row r="2972" ht="22.5" customHeight="1">
      <c r="A2972" s="6" t="s">
        <v>19867</v>
      </c>
      <c r="B2972" s="6" t="s">
        <v>19868</v>
      </c>
      <c r="C2972" s="6" t="s">
        <v>19869</v>
      </c>
      <c r="D2972" s="6" t="s">
        <v>145</v>
      </c>
      <c r="E2972" s="6" t="s">
        <v>147</v>
      </c>
      <c r="F2972" s="8">
        <v>17.0</v>
      </c>
      <c r="G2972" s="9">
        <v>797.29</v>
      </c>
      <c r="H2972" s="9">
        <v>10470.76</v>
      </c>
      <c r="I2972" s="6" t="s">
        <v>161</v>
      </c>
      <c r="J2972" s="6" t="s">
        <v>577</v>
      </c>
      <c r="K2972" s="6" t="s">
        <v>19871</v>
      </c>
      <c r="L2972" s="6">
        <v>3.579390949E9</v>
      </c>
      <c r="M2972" s="6" t="s">
        <v>19872</v>
      </c>
      <c r="N2972" s="6" t="s">
        <v>283</v>
      </c>
      <c r="O2972" s="6" t="s">
        <v>178</v>
      </c>
      <c r="P2972" s="10">
        <v>46050.0</v>
      </c>
    </row>
    <row r="2973" ht="22.5" customHeight="1">
      <c r="A2973" s="6" t="s">
        <v>19873</v>
      </c>
      <c r="B2973" s="6" t="s">
        <v>19874</v>
      </c>
      <c r="C2973" s="6" t="s">
        <v>19876</v>
      </c>
      <c r="D2973" s="6" t="s">
        <v>383</v>
      </c>
      <c r="E2973" s="6" t="s">
        <v>301</v>
      </c>
      <c r="F2973" s="8">
        <v>36.0</v>
      </c>
      <c r="G2973" s="9">
        <v>415.07</v>
      </c>
      <c r="H2973" s="9">
        <v>3091.52</v>
      </c>
      <c r="I2973" s="6" t="s">
        <v>178</v>
      </c>
      <c r="J2973" s="6" t="s">
        <v>357</v>
      </c>
      <c r="K2973" s="6" t="s">
        <v>19877</v>
      </c>
      <c r="L2973" s="6">
        <v>3.8256603419E10</v>
      </c>
      <c r="M2973" s="6" t="s">
        <v>19878</v>
      </c>
      <c r="N2973" s="6" t="s">
        <v>283</v>
      </c>
      <c r="O2973" s="6" t="s">
        <v>161</v>
      </c>
      <c r="P2973" s="10">
        <v>46004.0</v>
      </c>
    </row>
    <row r="2974" ht="22.5" customHeight="1">
      <c r="A2974" s="6" t="s">
        <v>19880</v>
      </c>
      <c r="B2974" s="6" t="s">
        <v>19881</v>
      </c>
      <c r="C2974" s="6" t="s">
        <v>19882</v>
      </c>
      <c r="D2974" s="6" t="s">
        <v>145</v>
      </c>
      <c r="E2974" s="6" t="s">
        <v>301</v>
      </c>
      <c r="F2974" s="8">
        <v>51.0</v>
      </c>
      <c r="G2974" s="9">
        <v>884.34</v>
      </c>
      <c r="H2974" s="9">
        <v>1718.38</v>
      </c>
      <c r="I2974" s="6" t="s">
        <v>161</v>
      </c>
      <c r="J2974" s="6" t="s">
        <v>357</v>
      </c>
      <c r="K2974" s="6" t="s">
        <v>19883</v>
      </c>
      <c r="L2974" s="6">
        <v>6.644383702E10</v>
      </c>
      <c r="M2974" s="6" t="s">
        <v>19884</v>
      </c>
      <c r="N2974" s="6" t="s">
        <v>259</v>
      </c>
      <c r="O2974" s="6" t="s">
        <v>178</v>
      </c>
      <c r="P2974" s="10">
        <v>46002.0</v>
      </c>
    </row>
    <row r="2975" ht="22.5" customHeight="1">
      <c r="A2975" s="6" t="s">
        <v>19885</v>
      </c>
      <c r="B2975" s="6" t="s">
        <v>19886</v>
      </c>
      <c r="C2975" s="6" t="s">
        <v>19887</v>
      </c>
      <c r="D2975" s="6" t="s">
        <v>145</v>
      </c>
      <c r="E2975" s="6" t="s">
        <v>301</v>
      </c>
      <c r="F2975" s="8">
        <v>49.0</v>
      </c>
      <c r="G2975" s="9">
        <v>1768.8</v>
      </c>
      <c r="H2975" s="9">
        <v>13173.58</v>
      </c>
      <c r="I2975" s="6" t="s">
        <v>161</v>
      </c>
      <c r="J2975" s="6" t="s">
        <v>479</v>
      </c>
      <c r="K2975" s="6" t="s">
        <v>19889</v>
      </c>
      <c r="L2975" s="6">
        <v>9.361516156E9</v>
      </c>
      <c r="M2975" s="6" t="s">
        <v>19890</v>
      </c>
      <c r="N2975" s="6" t="s">
        <v>112</v>
      </c>
      <c r="O2975" s="6" t="s">
        <v>178</v>
      </c>
      <c r="P2975" s="10">
        <v>45935.0</v>
      </c>
    </row>
    <row r="2976" ht="22.5" customHeight="1">
      <c r="A2976" s="6" t="s">
        <v>19892</v>
      </c>
      <c r="B2976" s="6" t="s">
        <v>19893</v>
      </c>
      <c r="C2976" s="6" t="s">
        <v>19894</v>
      </c>
      <c r="D2976" s="6" t="s">
        <v>206</v>
      </c>
      <c r="E2976" s="6" t="s">
        <v>210</v>
      </c>
      <c r="F2976" s="8">
        <v>103.0</v>
      </c>
      <c r="G2976" s="9">
        <v>1721.12</v>
      </c>
      <c r="H2976" s="9">
        <v>6775.59</v>
      </c>
      <c r="I2976" s="6" t="s">
        <v>178</v>
      </c>
      <c r="J2976" s="6" t="s">
        <v>465</v>
      </c>
      <c r="K2976" s="6" t="s">
        <v>19896</v>
      </c>
      <c r="L2976" s="6">
        <v>8.3946105598E10</v>
      </c>
      <c r="M2976" s="6" t="s">
        <v>19897</v>
      </c>
      <c r="N2976" s="6" t="s">
        <v>283</v>
      </c>
      <c r="O2976" s="6" t="s">
        <v>161</v>
      </c>
      <c r="P2976" s="10">
        <v>46046.0</v>
      </c>
    </row>
    <row r="2977" ht="22.5" customHeight="1">
      <c r="A2977" s="6" t="s">
        <v>19898</v>
      </c>
      <c r="B2977" s="6" t="s">
        <v>19899</v>
      </c>
      <c r="C2977" s="6" t="s">
        <v>19900</v>
      </c>
      <c r="D2977" s="6" t="s">
        <v>206</v>
      </c>
      <c r="E2977" s="6" t="s">
        <v>301</v>
      </c>
      <c r="F2977" s="8">
        <v>49.0</v>
      </c>
      <c r="G2977" s="9">
        <v>93.15</v>
      </c>
      <c r="H2977" s="9">
        <v>1701.36</v>
      </c>
      <c r="I2977" s="6" t="s">
        <v>161</v>
      </c>
      <c r="J2977" s="6" t="s">
        <v>421</v>
      </c>
      <c r="K2977" s="6" t="s">
        <v>19902</v>
      </c>
      <c r="L2977" s="6">
        <v>9.0295891014E10</v>
      </c>
      <c r="M2977" s="6" t="s">
        <v>19903</v>
      </c>
      <c r="N2977" s="6" t="s">
        <v>427</v>
      </c>
      <c r="O2977" s="6" t="s">
        <v>178</v>
      </c>
      <c r="P2977" s="10">
        <v>45949.0</v>
      </c>
    </row>
    <row r="2978" ht="22.5" customHeight="1">
      <c r="A2978" s="6" t="s">
        <v>19905</v>
      </c>
      <c r="B2978" s="6" t="s">
        <v>19906</v>
      </c>
      <c r="C2978" s="6" t="s">
        <v>19907</v>
      </c>
      <c r="D2978" s="6" t="s">
        <v>145</v>
      </c>
      <c r="E2978" s="6" t="s">
        <v>147</v>
      </c>
      <c r="F2978" s="8">
        <v>29.0</v>
      </c>
      <c r="G2978" s="9">
        <v>801.97</v>
      </c>
      <c r="H2978" s="9">
        <v>6662.15</v>
      </c>
      <c r="I2978" s="6" t="s">
        <v>161</v>
      </c>
      <c r="J2978" s="6" t="s">
        <v>312</v>
      </c>
      <c r="K2978" s="6" t="s">
        <v>259</v>
      </c>
      <c r="L2978" s="6">
        <v>5.7737193913E10</v>
      </c>
      <c r="M2978" s="6" t="s">
        <v>19909</v>
      </c>
      <c r="N2978" s="6" t="s">
        <v>112</v>
      </c>
      <c r="O2978" s="6" t="s">
        <v>178</v>
      </c>
      <c r="P2978" s="10">
        <v>46031.0</v>
      </c>
    </row>
    <row r="2979" ht="22.5" customHeight="1">
      <c r="A2979" s="6" t="s">
        <v>19910</v>
      </c>
      <c r="B2979" s="6" t="s">
        <v>19911</v>
      </c>
      <c r="C2979" s="6" t="s">
        <v>19912</v>
      </c>
      <c r="D2979" s="6" t="s">
        <v>145</v>
      </c>
      <c r="E2979" s="6" t="s">
        <v>147</v>
      </c>
      <c r="F2979" s="8">
        <v>21.0</v>
      </c>
      <c r="G2979" s="9">
        <v>1469.88</v>
      </c>
      <c r="H2979" s="9">
        <v>7754.74</v>
      </c>
      <c r="I2979" s="6" t="s">
        <v>161</v>
      </c>
      <c r="J2979" s="6" t="s">
        <v>442</v>
      </c>
      <c r="K2979" s="6" t="s">
        <v>19914</v>
      </c>
      <c r="L2979" s="6">
        <v>3.9982414717E10</v>
      </c>
      <c r="M2979" s="6" t="s">
        <v>19915</v>
      </c>
      <c r="N2979" s="6" t="s">
        <v>176</v>
      </c>
      <c r="O2979" s="6" t="s">
        <v>178</v>
      </c>
      <c r="P2979" s="10">
        <v>45976.0</v>
      </c>
    </row>
    <row r="2980" ht="22.5" customHeight="1">
      <c r="A2980" s="6" t="s">
        <v>19916</v>
      </c>
      <c r="B2980" s="6" t="s">
        <v>19917</v>
      </c>
      <c r="C2980" s="6" t="s">
        <v>19919</v>
      </c>
      <c r="D2980" s="6" t="s">
        <v>145</v>
      </c>
      <c r="E2980" s="6" t="s">
        <v>301</v>
      </c>
      <c r="F2980" s="8">
        <v>58.0</v>
      </c>
      <c r="G2980" s="9">
        <v>1361.37</v>
      </c>
      <c r="H2980" s="9">
        <v>6921.79</v>
      </c>
      <c r="I2980" s="6" t="s">
        <v>161</v>
      </c>
      <c r="J2980" s="6" t="s">
        <v>442</v>
      </c>
      <c r="K2980" s="6" t="s">
        <v>19920</v>
      </c>
      <c r="L2980" s="6">
        <v>4.5134186351E10</v>
      </c>
      <c r="M2980" s="6" t="s">
        <v>19921</v>
      </c>
      <c r="N2980" s="6" t="s">
        <v>427</v>
      </c>
      <c r="O2980" s="6" t="s">
        <v>178</v>
      </c>
      <c r="P2980" s="10">
        <v>45999.0</v>
      </c>
    </row>
    <row r="2981" ht="22.5" customHeight="1">
      <c r="A2981" s="6" t="s">
        <v>19923</v>
      </c>
      <c r="B2981" s="6" t="s">
        <v>19924</v>
      </c>
      <c r="C2981" s="6" t="s">
        <v>19925</v>
      </c>
      <c r="D2981" s="6" t="s">
        <v>145</v>
      </c>
      <c r="E2981" s="6" t="s">
        <v>147</v>
      </c>
      <c r="F2981" s="8">
        <v>5.0</v>
      </c>
      <c r="G2981" s="9">
        <v>544.3</v>
      </c>
      <c r="H2981" s="9">
        <v>4134.23</v>
      </c>
      <c r="I2981" s="6" t="s">
        <v>161</v>
      </c>
      <c r="J2981" s="6" t="s">
        <v>577</v>
      </c>
      <c r="K2981" s="6" t="s">
        <v>19927</v>
      </c>
      <c r="L2981" s="6">
        <v>3.6498696469E10</v>
      </c>
      <c r="M2981" s="6" t="s">
        <v>19928</v>
      </c>
      <c r="N2981" s="6" t="s">
        <v>283</v>
      </c>
      <c r="O2981" s="6" t="s">
        <v>178</v>
      </c>
      <c r="P2981" s="10">
        <v>46043.0</v>
      </c>
    </row>
    <row r="2982" ht="22.5" customHeight="1">
      <c r="A2982" s="6" t="s">
        <v>19929</v>
      </c>
      <c r="B2982" s="6" t="s">
        <v>19930</v>
      </c>
      <c r="C2982" s="6" t="s">
        <v>19932</v>
      </c>
      <c r="D2982" s="6" t="s">
        <v>206</v>
      </c>
      <c r="E2982" s="6" t="s">
        <v>210</v>
      </c>
      <c r="F2982" s="8">
        <v>113.0</v>
      </c>
      <c r="G2982" s="9">
        <v>1279.78</v>
      </c>
      <c r="H2982" s="9">
        <v>1753.33</v>
      </c>
      <c r="I2982" s="6" t="s">
        <v>161</v>
      </c>
      <c r="J2982" s="6" t="s">
        <v>465</v>
      </c>
      <c r="K2982" s="6" t="s">
        <v>19933</v>
      </c>
      <c r="L2982" s="6">
        <v>1.8845380152E10</v>
      </c>
      <c r="M2982" s="6" t="s">
        <v>19934</v>
      </c>
      <c r="N2982" s="6" t="s">
        <v>283</v>
      </c>
      <c r="O2982" s="6" t="s">
        <v>161</v>
      </c>
      <c r="P2982" s="10">
        <v>46024.0</v>
      </c>
    </row>
    <row r="2983" ht="22.5" customHeight="1">
      <c r="A2983" s="6" t="s">
        <v>19936</v>
      </c>
      <c r="B2983" s="6" t="s">
        <v>19937</v>
      </c>
      <c r="C2983" s="6" t="s">
        <v>19938</v>
      </c>
      <c r="D2983" s="6" t="s">
        <v>206</v>
      </c>
      <c r="E2983" s="6" t="s">
        <v>147</v>
      </c>
      <c r="F2983" s="8">
        <v>23.0</v>
      </c>
      <c r="G2983" s="9">
        <v>344.31</v>
      </c>
      <c r="H2983" s="9">
        <v>8964.51</v>
      </c>
      <c r="I2983" s="6" t="s">
        <v>161</v>
      </c>
      <c r="J2983" s="6" t="s">
        <v>465</v>
      </c>
      <c r="K2983" s="6" t="s">
        <v>19940</v>
      </c>
      <c r="L2983" s="6">
        <v>8.6697025469E10</v>
      </c>
      <c r="M2983" s="6" t="s">
        <v>19942</v>
      </c>
      <c r="N2983" s="6" t="s">
        <v>283</v>
      </c>
      <c r="O2983" s="6" t="s">
        <v>178</v>
      </c>
      <c r="P2983" s="10">
        <v>45946.0</v>
      </c>
    </row>
    <row r="2984" ht="22.5" customHeight="1">
      <c r="A2984" s="6" t="s">
        <v>19943</v>
      </c>
      <c r="B2984" s="6" t="s">
        <v>19945</v>
      </c>
      <c r="C2984" s="6" t="s">
        <v>19946</v>
      </c>
      <c r="D2984" s="6" t="s">
        <v>206</v>
      </c>
      <c r="E2984" s="6" t="s">
        <v>147</v>
      </c>
      <c r="F2984" s="8">
        <v>29.0</v>
      </c>
      <c r="G2984" s="9">
        <v>1599.88</v>
      </c>
      <c r="H2984" s="9">
        <v>14836.35</v>
      </c>
      <c r="I2984" s="6" t="s">
        <v>161</v>
      </c>
      <c r="J2984" s="6" t="s">
        <v>357</v>
      </c>
      <c r="K2984" s="6" t="s">
        <v>19947</v>
      </c>
      <c r="L2984" s="6">
        <v>8.1545778772E10</v>
      </c>
      <c r="M2984" s="6" t="s">
        <v>19948</v>
      </c>
      <c r="N2984" s="6" t="s">
        <v>176</v>
      </c>
      <c r="O2984" s="6" t="s">
        <v>178</v>
      </c>
      <c r="P2984" s="10">
        <v>46029.0</v>
      </c>
    </row>
    <row r="2985" ht="22.5" customHeight="1">
      <c r="A2985" s="6" t="s">
        <v>19950</v>
      </c>
      <c r="B2985" s="6" t="s">
        <v>19951</v>
      </c>
      <c r="C2985" s="6" t="s">
        <v>19952</v>
      </c>
      <c r="D2985" s="6" t="s">
        <v>206</v>
      </c>
      <c r="E2985" s="6" t="s">
        <v>301</v>
      </c>
      <c r="F2985" s="8">
        <v>32.0</v>
      </c>
      <c r="G2985" s="9">
        <v>1065.17</v>
      </c>
      <c r="H2985" s="9">
        <v>4162.46</v>
      </c>
      <c r="I2985" s="6" t="s">
        <v>161</v>
      </c>
      <c r="J2985" s="6" t="s">
        <v>442</v>
      </c>
      <c r="K2985" s="6" t="s">
        <v>19953</v>
      </c>
      <c r="L2985" s="6">
        <v>6.3717754511E10</v>
      </c>
      <c r="M2985" s="6" t="s">
        <v>19954</v>
      </c>
      <c r="N2985" s="6" t="s">
        <v>427</v>
      </c>
      <c r="O2985" s="6" t="s">
        <v>178</v>
      </c>
      <c r="P2985" s="10">
        <v>46019.0</v>
      </c>
    </row>
    <row r="2986" ht="22.5" customHeight="1">
      <c r="A2986" s="6" t="s">
        <v>19956</v>
      </c>
      <c r="B2986" s="6" t="s">
        <v>19957</v>
      </c>
      <c r="C2986" s="6" t="s">
        <v>19958</v>
      </c>
      <c r="D2986" s="6" t="s">
        <v>206</v>
      </c>
      <c r="E2986" s="6" t="s">
        <v>301</v>
      </c>
      <c r="F2986" s="8">
        <v>54.0</v>
      </c>
      <c r="G2986" s="9">
        <v>431.08</v>
      </c>
      <c r="H2986" s="9">
        <v>12488.97</v>
      </c>
      <c r="I2986" s="6" t="s">
        <v>161</v>
      </c>
      <c r="J2986" s="6" t="s">
        <v>465</v>
      </c>
      <c r="K2986" s="6" t="s">
        <v>19960</v>
      </c>
      <c r="L2986" s="6">
        <v>7.5183913652E10</v>
      </c>
      <c r="M2986" s="6" t="s">
        <v>19961</v>
      </c>
      <c r="N2986" s="6" t="s">
        <v>259</v>
      </c>
      <c r="O2986" s="6" t="s">
        <v>178</v>
      </c>
      <c r="P2986" s="10">
        <v>45941.0</v>
      </c>
    </row>
    <row r="2987" ht="22.5" customHeight="1">
      <c r="A2987" s="6" t="s">
        <v>19962</v>
      </c>
      <c r="B2987" s="6" t="s">
        <v>19963</v>
      </c>
      <c r="C2987" s="6" t="s">
        <v>19964</v>
      </c>
      <c r="D2987" s="6" t="s">
        <v>206</v>
      </c>
      <c r="E2987" s="6" t="s">
        <v>147</v>
      </c>
      <c r="F2987" s="8">
        <v>21.0</v>
      </c>
      <c r="G2987" s="9">
        <v>276.78</v>
      </c>
      <c r="H2987" s="9">
        <v>859.75</v>
      </c>
      <c r="I2987" s="6" t="s">
        <v>161</v>
      </c>
      <c r="J2987" s="6" t="s">
        <v>259</v>
      </c>
      <c r="K2987" s="6" t="s">
        <v>19966</v>
      </c>
      <c r="L2987" s="6">
        <v>2.8960179957E10</v>
      </c>
      <c r="M2987" s="6" t="s">
        <v>19967</v>
      </c>
      <c r="N2987" s="6" t="s">
        <v>176</v>
      </c>
      <c r="O2987" s="6" t="s">
        <v>178</v>
      </c>
      <c r="P2987" s="10">
        <v>45994.0</v>
      </c>
    </row>
    <row r="2988" ht="22.5" customHeight="1">
      <c r="A2988" s="6" t="s">
        <v>19969</v>
      </c>
      <c r="B2988" s="6" t="s">
        <v>19970</v>
      </c>
      <c r="C2988" s="6" t="s">
        <v>19971</v>
      </c>
      <c r="D2988" s="6" t="s">
        <v>145</v>
      </c>
      <c r="E2988" s="6" t="s">
        <v>147</v>
      </c>
      <c r="F2988" s="8">
        <v>9.0</v>
      </c>
      <c r="G2988" s="9">
        <v>1028.6</v>
      </c>
      <c r="H2988" s="9">
        <v>8573.63</v>
      </c>
      <c r="I2988" s="6" t="s">
        <v>161</v>
      </c>
      <c r="J2988" s="6" t="s">
        <v>228</v>
      </c>
      <c r="K2988" s="6" t="s">
        <v>19972</v>
      </c>
      <c r="L2988" s="6">
        <v>9.6626024806E10</v>
      </c>
      <c r="M2988" s="6" t="s">
        <v>19974</v>
      </c>
      <c r="N2988" s="6" t="s">
        <v>259</v>
      </c>
      <c r="O2988" s="6" t="s">
        <v>178</v>
      </c>
      <c r="P2988" s="10">
        <v>46039.0</v>
      </c>
    </row>
    <row r="2989" ht="22.5" customHeight="1">
      <c r="A2989" s="6" t="s">
        <v>19975</v>
      </c>
      <c r="B2989" s="6" t="s">
        <v>19976</v>
      </c>
      <c r="C2989" s="6" t="s">
        <v>19977</v>
      </c>
      <c r="D2989" s="6" t="s">
        <v>206</v>
      </c>
      <c r="E2989" s="6" t="s">
        <v>301</v>
      </c>
      <c r="F2989" s="8">
        <v>44.0</v>
      </c>
      <c r="G2989" s="9">
        <v>1057.82</v>
      </c>
      <c r="H2989" s="9">
        <v>9183.82</v>
      </c>
      <c r="I2989" s="6" t="s">
        <v>161</v>
      </c>
      <c r="J2989" s="6" t="s">
        <v>163</v>
      </c>
      <c r="K2989" s="6" t="s">
        <v>259</v>
      </c>
      <c r="L2989" s="6">
        <v>9.6563877295E10</v>
      </c>
      <c r="M2989" s="6" t="s">
        <v>19979</v>
      </c>
      <c r="N2989" s="6" t="s">
        <v>176</v>
      </c>
      <c r="O2989" s="6" t="s">
        <v>178</v>
      </c>
      <c r="P2989" s="10">
        <v>46051.0</v>
      </c>
    </row>
    <row r="2990" ht="22.5" customHeight="1">
      <c r="A2990" s="6" t="s">
        <v>19980</v>
      </c>
      <c r="B2990" s="6" t="s">
        <v>19981</v>
      </c>
      <c r="C2990" s="6" t="s">
        <v>19983</v>
      </c>
      <c r="D2990" s="6" t="s">
        <v>145</v>
      </c>
      <c r="E2990" s="6" t="s">
        <v>147</v>
      </c>
      <c r="F2990" s="8">
        <v>8.0</v>
      </c>
      <c r="G2990" s="9">
        <v>454.54</v>
      </c>
      <c r="H2990" s="9">
        <v>13087.47</v>
      </c>
      <c r="I2990" s="6" t="s">
        <v>161</v>
      </c>
      <c r="J2990" s="6" t="s">
        <v>442</v>
      </c>
      <c r="K2990" s="6" t="s">
        <v>19984</v>
      </c>
      <c r="L2990" s="6" t="s">
        <v>259</v>
      </c>
      <c r="M2990" s="6" t="s">
        <v>19985</v>
      </c>
      <c r="N2990" s="6" t="s">
        <v>259</v>
      </c>
      <c r="O2990" s="6" t="s">
        <v>178</v>
      </c>
      <c r="P2990" s="10">
        <v>46021.0</v>
      </c>
    </row>
    <row r="2991" ht="22.5" customHeight="1">
      <c r="A2991" s="6" t="s">
        <v>19987</v>
      </c>
      <c r="B2991" s="6" t="s">
        <v>19988</v>
      </c>
      <c r="C2991" s="6" t="s">
        <v>19989</v>
      </c>
      <c r="D2991" s="6" t="s">
        <v>206</v>
      </c>
      <c r="E2991" s="6" t="s">
        <v>301</v>
      </c>
      <c r="F2991" s="8">
        <v>41.0</v>
      </c>
      <c r="G2991" s="9">
        <v>251.89</v>
      </c>
      <c r="H2991" s="9">
        <v>3894.32</v>
      </c>
      <c r="I2991" s="6" t="s">
        <v>161</v>
      </c>
      <c r="J2991" s="6" t="s">
        <v>163</v>
      </c>
      <c r="K2991" s="6" t="s">
        <v>19991</v>
      </c>
      <c r="L2991" s="6">
        <v>4.0838971258E10</v>
      </c>
      <c r="M2991" s="6" t="s">
        <v>19992</v>
      </c>
      <c r="N2991" s="6" t="s">
        <v>176</v>
      </c>
      <c r="O2991" s="6" t="s">
        <v>178</v>
      </c>
      <c r="P2991" s="10">
        <v>46042.0</v>
      </c>
    </row>
    <row r="2992" ht="22.5" customHeight="1">
      <c r="A2992" s="6" t="s">
        <v>19994</v>
      </c>
      <c r="B2992" s="6" t="s">
        <v>19995</v>
      </c>
      <c r="C2992" s="6" t="s">
        <v>19996</v>
      </c>
      <c r="D2992" s="6" t="s">
        <v>383</v>
      </c>
      <c r="E2992" s="6" t="s">
        <v>301</v>
      </c>
      <c r="F2992" s="8">
        <v>54.0</v>
      </c>
      <c r="G2992" s="9">
        <v>806.58</v>
      </c>
      <c r="H2992" s="9">
        <v>13053.94</v>
      </c>
      <c r="I2992" s="6" t="s">
        <v>161</v>
      </c>
      <c r="J2992" s="6" t="s">
        <v>393</v>
      </c>
      <c r="K2992" s="6" t="s">
        <v>19998</v>
      </c>
      <c r="L2992" s="6">
        <v>7.0277777089E10</v>
      </c>
      <c r="M2992" s="6" t="s">
        <v>19999</v>
      </c>
      <c r="N2992" s="6" t="s">
        <v>259</v>
      </c>
      <c r="O2992" s="6" t="s">
        <v>178</v>
      </c>
      <c r="P2992" s="10">
        <v>46009.0</v>
      </c>
    </row>
    <row r="2993" ht="22.5" customHeight="1">
      <c r="A2993" s="6" t="s">
        <v>20001</v>
      </c>
      <c r="B2993" s="6" t="s">
        <v>20002</v>
      </c>
      <c r="C2993" s="6" t="s">
        <v>20003</v>
      </c>
      <c r="D2993" s="6" t="s">
        <v>145</v>
      </c>
      <c r="E2993" s="6" t="s">
        <v>210</v>
      </c>
      <c r="F2993" s="8">
        <v>119.0</v>
      </c>
      <c r="G2993" s="9">
        <v>1235.22</v>
      </c>
      <c r="H2993" s="9">
        <v>14040.49</v>
      </c>
      <c r="I2993" s="6" t="s">
        <v>161</v>
      </c>
      <c r="J2993" s="6" t="s">
        <v>228</v>
      </c>
      <c r="K2993" s="6" t="s">
        <v>20005</v>
      </c>
      <c r="L2993" s="6">
        <v>2.2346577264E10</v>
      </c>
      <c r="M2993" s="6" t="s">
        <v>20006</v>
      </c>
      <c r="N2993" s="6" t="s">
        <v>427</v>
      </c>
      <c r="O2993" s="6" t="s">
        <v>161</v>
      </c>
      <c r="P2993" s="10">
        <v>45985.0</v>
      </c>
    </row>
    <row r="2994" ht="22.5" customHeight="1">
      <c r="A2994" s="6" t="s">
        <v>20008</v>
      </c>
      <c r="B2994" s="6" t="s">
        <v>20009</v>
      </c>
      <c r="C2994" s="6" t="s">
        <v>20010</v>
      </c>
      <c r="D2994" s="6" t="s">
        <v>206</v>
      </c>
      <c r="E2994" s="6" t="s">
        <v>301</v>
      </c>
      <c r="F2994" s="8">
        <v>36.0</v>
      </c>
      <c r="G2994" s="9">
        <v>861.18</v>
      </c>
      <c r="H2994" s="9">
        <v>4847.79</v>
      </c>
      <c r="I2994" s="6" t="s">
        <v>161</v>
      </c>
      <c r="J2994" s="6" t="s">
        <v>163</v>
      </c>
      <c r="K2994" s="6" t="s">
        <v>259</v>
      </c>
      <c r="L2994" s="6">
        <v>5.1386967345E10</v>
      </c>
      <c r="M2994" s="6" t="s">
        <v>20012</v>
      </c>
      <c r="N2994" s="6" t="s">
        <v>427</v>
      </c>
      <c r="O2994" s="6" t="s">
        <v>178</v>
      </c>
      <c r="P2994" s="10">
        <v>46047.0</v>
      </c>
    </row>
    <row r="2995" ht="22.5" customHeight="1">
      <c r="A2995" s="6" t="s">
        <v>20013</v>
      </c>
      <c r="B2995" s="6" t="s">
        <v>20014</v>
      </c>
      <c r="C2995" s="6" t="s">
        <v>20015</v>
      </c>
      <c r="D2995" s="6" t="s">
        <v>206</v>
      </c>
      <c r="E2995" s="6" t="s">
        <v>147</v>
      </c>
      <c r="F2995" s="8">
        <v>21.0</v>
      </c>
      <c r="G2995" s="9">
        <v>161.13</v>
      </c>
      <c r="H2995" s="9">
        <v>13824.08</v>
      </c>
      <c r="I2995" s="6" t="s">
        <v>161</v>
      </c>
      <c r="J2995" s="6" t="s">
        <v>163</v>
      </c>
      <c r="K2995" s="6" t="s">
        <v>20017</v>
      </c>
      <c r="L2995" s="6" t="s">
        <v>259</v>
      </c>
      <c r="M2995" s="6" t="s">
        <v>20018</v>
      </c>
      <c r="N2995" s="6" t="s">
        <v>176</v>
      </c>
      <c r="O2995" s="6" t="s">
        <v>178</v>
      </c>
      <c r="P2995" s="10">
        <v>46050.0</v>
      </c>
    </row>
    <row r="2996" ht="22.5" customHeight="1">
      <c r="A2996" s="6" t="s">
        <v>20020</v>
      </c>
      <c r="B2996" s="6" t="s">
        <v>20021</v>
      </c>
      <c r="C2996" s="6" t="s">
        <v>20022</v>
      </c>
      <c r="D2996" s="6" t="s">
        <v>206</v>
      </c>
      <c r="E2996" s="6" t="s">
        <v>147</v>
      </c>
      <c r="F2996" s="8">
        <v>6.0</v>
      </c>
      <c r="G2996" s="9">
        <v>1495.64</v>
      </c>
      <c r="H2996" s="9">
        <v>2701.88</v>
      </c>
      <c r="I2996" s="6" t="s">
        <v>161</v>
      </c>
      <c r="J2996" s="6" t="s">
        <v>465</v>
      </c>
      <c r="K2996" s="6" t="s">
        <v>20023</v>
      </c>
      <c r="L2996" s="6">
        <v>4.482326233E10</v>
      </c>
      <c r="M2996" s="6" t="s">
        <v>20024</v>
      </c>
      <c r="N2996" s="6" t="s">
        <v>176</v>
      </c>
      <c r="O2996" s="6" t="s">
        <v>178</v>
      </c>
      <c r="P2996" s="10">
        <v>45971.0</v>
      </c>
    </row>
    <row r="2997" ht="22.5" customHeight="1">
      <c r="A2997" s="6" t="s">
        <v>20025</v>
      </c>
      <c r="B2997" s="6" t="s">
        <v>20026</v>
      </c>
      <c r="C2997" s="6" t="s">
        <v>20028</v>
      </c>
      <c r="D2997" s="6" t="s">
        <v>145</v>
      </c>
      <c r="E2997" s="6" t="s">
        <v>301</v>
      </c>
      <c r="F2997" s="8">
        <v>31.0</v>
      </c>
      <c r="G2997" s="9">
        <v>957.3</v>
      </c>
      <c r="H2997" s="9">
        <v>9445.46</v>
      </c>
      <c r="I2997" s="6" t="s">
        <v>161</v>
      </c>
      <c r="J2997" s="6" t="s">
        <v>577</v>
      </c>
      <c r="K2997" s="6" t="s">
        <v>20029</v>
      </c>
      <c r="L2997" s="6">
        <v>1.8000778448E10</v>
      </c>
      <c r="M2997" s="6" t="s">
        <v>20030</v>
      </c>
      <c r="N2997" s="6" t="s">
        <v>283</v>
      </c>
      <c r="O2997" s="6" t="s">
        <v>178</v>
      </c>
      <c r="P2997" s="10">
        <v>45970.0</v>
      </c>
    </row>
    <row r="2998" ht="22.5" customHeight="1">
      <c r="A2998" s="6" t="s">
        <v>20031</v>
      </c>
      <c r="B2998" s="6" t="s">
        <v>20032</v>
      </c>
      <c r="C2998" s="6" t="s">
        <v>20033</v>
      </c>
      <c r="D2998" s="6" t="s">
        <v>383</v>
      </c>
      <c r="E2998" s="6" t="s">
        <v>147</v>
      </c>
      <c r="F2998" s="8">
        <v>14.0</v>
      </c>
      <c r="G2998" s="9">
        <v>365.28</v>
      </c>
      <c r="H2998" s="9">
        <v>10731.32</v>
      </c>
      <c r="I2998" s="6" t="s">
        <v>161</v>
      </c>
      <c r="J2998" s="6" t="s">
        <v>228</v>
      </c>
      <c r="K2998" s="6" t="s">
        <v>20035</v>
      </c>
      <c r="L2998" s="6">
        <v>5.7295844094E10</v>
      </c>
      <c r="M2998" s="6" t="s">
        <v>20036</v>
      </c>
      <c r="N2998" s="6" t="s">
        <v>112</v>
      </c>
      <c r="O2998" s="6" t="s">
        <v>178</v>
      </c>
      <c r="P2998" s="10">
        <v>46032.0</v>
      </c>
    </row>
    <row r="2999" ht="22.5" customHeight="1">
      <c r="A2999" s="6" t="s">
        <v>20038</v>
      </c>
      <c r="B2999" s="6" t="s">
        <v>20039</v>
      </c>
      <c r="C2999" s="6" t="s">
        <v>20040</v>
      </c>
      <c r="D2999" s="6" t="s">
        <v>145</v>
      </c>
      <c r="E2999" s="6" t="s">
        <v>147</v>
      </c>
      <c r="F2999" s="8">
        <v>12.0</v>
      </c>
      <c r="G2999" s="9">
        <v>394.72</v>
      </c>
      <c r="H2999" s="9">
        <v>11136.72</v>
      </c>
      <c r="I2999" s="6" t="s">
        <v>161</v>
      </c>
      <c r="J2999" s="6" t="s">
        <v>577</v>
      </c>
      <c r="K2999" s="6" t="s">
        <v>20042</v>
      </c>
      <c r="L2999" s="6">
        <v>3.6856796923E10</v>
      </c>
      <c r="M2999" s="6" t="s">
        <v>20044</v>
      </c>
      <c r="N2999" s="6" t="s">
        <v>259</v>
      </c>
      <c r="O2999" s="6" t="s">
        <v>178</v>
      </c>
      <c r="P2999" s="10">
        <v>45979.0</v>
      </c>
    </row>
    <row r="3000" ht="22.5" customHeight="1">
      <c r="A3000" s="6" t="s">
        <v>20045</v>
      </c>
      <c r="B3000" s="6" t="s">
        <v>20046</v>
      </c>
      <c r="C3000" s="6" t="s">
        <v>20047</v>
      </c>
      <c r="D3000" s="6" t="s">
        <v>206</v>
      </c>
      <c r="E3000" s="6" t="s">
        <v>301</v>
      </c>
      <c r="F3000" s="8">
        <v>41.0</v>
      </c>
      <c r="G3000" s="9">
        <v>156.52</v>
      </c>
      <c r="H3000" s="9">
        <v>3990.85</v>
      </c>
      <c r="I3000" s="6" t="s">
        <v>161</v>
      </c>
      <c r="J3000" s="6" t="s">
        <v>228</v>
      </c>
      <c r="K3000" s="6" t="s">
        <v>20049</v>
      </c>
      <c r="L3000" s="6">
        <v>1.95426486E9</v>
      </c>
      <c r="M3000" s="6" t="s">
        <v>20050</v>
      </c>
      <c r="N3000" s="6" t="s">
        <v>427</v>
      </c>
      <c r="O3000" s="6" t="s">
        <v>178</v>
      </c>
      <c r="P3000" s="10">
        <v>45938.0</v>
      </c>
    </row>
    <row r="3001" ht="22.5" customHeight="1">
      <c r="A3001" s="6" t="s">
        <v>20051</v>
      </c>
      <c r="B3001" s="6" t="s">
        <v>20052</v>
      </c>
      <c r="C3001" s="6" t="s">
        <v>20054</v>
      </c>
      <c r="D3001" s="6" t="s">
        <v>145</v>
      </c>
      <c r="E3001" s="6" t="s">
        <v>301</v>
      </c>
      <c r="F3001" s="8">
        <v>55.0</v>
      </c>
      <c r="G3001" s="9">
        <v>611.72</v>
      </c>
      <c r="H3001" s="9">
        <v>8526.85</v>
      </c>
      <c r="I3001" s="6" t="s">
        <v>178</v>
      </c>
      <c r="J3001" s="6" t="s">
        <v>479</v>
      </c>
      <c r="K3001" s="6" t="s">
        <v>20055</v>
      </c>
      <c r="L3001" s="6">
        <v>4.7634868144E10</v>
      </c>
      <c r="M3001" s="6" t="s">
        <v>20057</v>
      </c>
      <c r="N3001" s="6" t="s">
        <v>176</v>
      </c>
      <c r="O3001" s="6" t="s">
        <v>161</v>
      </c>
      <c r="P3001" s="10">
        <v>45981.0</v>
      </c>
    </row>
    <row r="3002" ht="22.5" customHeight="1">
      <c r="A3002" s="6" t="s">
        <v>20058</v>
      </c>
      <c r="B3002" s="6" t="s">
        <v>20059</v>
      </c>
      <c r="C3002" s="6" t="s">
        <v>20060</v>
      </c>
      <c r="D3002" s="6" t="s">
        <v>145</v>
      </c>
      <c r="E3002" s="6" t="s">
        <v>210</v>
      </c>
      <c r="F3002" s="8">
        <v>79.0</v>
      </c>
      <c r="G3002" s="9">
        <v>421.37</v>
      </c>
      <c r="H3002" s="9">
        <v>2789.14</v>
      </c>
      <c r="I3002" s="6" t="s">
        <v>161</v>
      </c>
      <c r="J3002" s="6" t="s">
        <v>577</v>
      </c>
      <c r="K3002" s="6" t="s">
        <v>20062</v>
      </c>
      <c r="L3002" s="6">
        <v>1.7229655779E10</v>
      </c>
      <c r="M3002" s="6" t="s">
        <v>20063</v>
      </c>
      <c r="N3002" s="6" t="s">
        <v>427</v>
      </c>
      <c r="O3002" s="6" t="s">
        <v>161</v>
      </c>
      <c r="P3002" s="10">
        <v>45944.0</v>
      </c>
    </row>
    <row r="3003" ht="22.5" customHeight="1">
      <c r="A3003" s="6" t="s">
        <v>20064</v>
      </c>
      <c r="B3003" s="6" t="s">
        <v>20066</v>
      </c>
      <c r="C3003" s="6" t="s">
        <v>20067</v>
      </c>
      <c r="D3003" s="6" t="s">
        <v>206</v>
      </c>
      <c r="E3003" s="6" t="s">
        <v>301</v>
      </c>
      <c r="F3003" s="8">
        <v>46.0</v>
      </c>
      <c r="G3003" s="9">
        <v>1721.41</v>
      </c>
      <c r="H3003" s="9">
        <v>12752.85</v>
      </c>
      <c r="I3003" s="6" t="s">
        <v>161</v>
      </c>
      <c r="J3003" s="6" t="s">
        <v>163</v>
      </c>
      <c r="K3003" s="6" t="s">
        <v>20068</v>
      </c>
      <c r="L3003" s="6">
        <v>1.3079059379E10</v>
      </c>
      <c r="M3003" s="6" t="s">
        <v>20070</v>
      </c>
      <c r="N3003" s="6" t="s">
        <v>176</v>
      </c>
      <c r="O3003" s="6" t="s">
        <v>178</v>
      </c>
      <c r="P3003" s="10">
        <v>46036.0</v>
      </c>
    </row>
    <row r="3004" ht="22.5" customHeight="1">
      <c r="A3004" s="6" t="s">
        <v>20071</v>
      </c>
      <c r="B3004" s="6" t="s">
        <v>20072</v>
      </c>
      <c r="C3004" s="6" t="s">
        <v>20073</v>
      </c>
      <c r="D3004" s="6" t="s">
        <v>206</v>
      </c>
      <c r="E3004" s="6" t="s">
        <v>147</v>
      </c>
      <c r="F3004" s="8">
        <v>15.0</v>
      </c>
      <c r="G3004" s="9">
        <v>786.48</v>
      </c>
      <c r="H3004" s="9">
        <v>14679.94</v>
      </c>
      <c r="I3004" s="6" t="s">
        <v>178</v>
      </c>
      <c r="J3004" s="6" t="s">
        <v>357</v>
      </c>
      <c r="K3004" s="6" t="s">
        <v>259</v>
      </c>
      <c r="L3004" s="6">
        <v>2.0314808186E10</v>
      </c>
      <c r="M3004" s="6" t="s">
        <v>20075</v>
      </c>
      <c r="N3004" s="6" t="s">
        <v>259</v>
      </c>
      <c r="O3004" s="6" t="s">
        <v>161</v>
      </c>
      <c r="P3004" s="10">
        <v>45969.0</v>
      </c>
    </row>
    <row r="3005" ht="22.5" customHeight="1">
      <c r="A3005" s="6" t="s">
        <v>20076</v>
      </c>
      <c r="B3005" s="6" t="s">
        <v>20077</v>
      </c>
      <c r="C3005" s="6" t="s">
        <v>20078</v>
      </c>
      <c r="D3005" s="6" t="s">
        <v>206</v>
      </c>
      <c r="E3005" s="6" t="s">
        <v>147</v>
      </c>
      <c r="F3005" s="8">
        <v>15.0</v>
      </c>
      <c r="G3005" s="9">
        <v>1698.88</v>
      </c>
      <c r="H3005" s="9">
        <v>13327.32</v>
      </c>
      <c r="I3005" s="6" t="s">
        <v>161</v>
      </c>
      <c r="J3005" s="6" t="s">
        <v>577</v>
      </c>
      <c r="K3005" s="6" t="s">
        <v>20080</v>
      </c>
      <c r="L3005" s="6">
        <v>2.8702862664E10</v>
      </c>
      <c r="M3005" s="6" t="s">
        <v>20081</v>
      </c>
      <c r="N3005" s="6" t="s">
        <v>112</v>
      </c>
      <c r="O3005" s="6" t="s">
        <v>178</v>
      </c>
      <c r="P3005" s="10">
        <v>46024.0</v>
      </c>
    </row>
    <row r="3006" ht="22.5" customHeight="1">
      <c r="A3006" s="6" t="s">
        <v>20083</v>
      </c>
      <c r="B3006" s="6" t="s">
        <v>20084</v>
      </c>
      <c r="C3006" s="6" t="s">
        <v>20085</v>
      </c>
      <c r="D3006" s="6" t="s">
        <v>145</v>
      </c>
      <c r="E3006" s="6" t="s">
        <v>147</v>
      </c>
      <c r="F3006" s="8">
        <v>23.0</v>
      </c>
      <c r="G3006" s="9">
        <v>1540.33</v>
      </c>
      <c r="H3006" s="9">
        <v>13370.95</v>
      </c>
      <c r="I3006" s="6" t="s">
        <v>161</v>
      </c>
      <c r="J3006" s="6" t="s">
        <v>465</v>
      </c>
      <c r="K3006" s="6" t="s">
        <v>20087</v>
      </c>
      <c r="L3006" s="6">
        <v>5.0680569E10</v>
      </c>
      <c r="M3006" s="6" t="s">
        <v>20088</v>
      </c>
      <c r="N3006" s="6" t="s">
        <v>259</v>
      </c>
      <c r="O3006" s="6" t="s">
        <v>178</v>
      </c>
      <c r="P3006" s="10">
        <v>45984.0</v>
      </c>
    </row>
    <row r="3007" ht="22.5" customHeight="1">
      <c r="A3007" s="6" t="s">
        <v>20089</v>
      </c>
      <c r="B3007" s="6" t="s">
        <v>20090</v>
      </c>
      <c r="C3007" s="6" t="s">
        <v>20091</v>
      </c>
      <c r="D3007" s="6" t="s">
        <v>145</v>
      </c>
      <c r="E3007" s="6" t="s">
        <v>147</v>
      </c>
      <c r="F3007" s="8">
        <v>11.0</v>
      </c>
      <c r="G3007" s="9">
        <v>1655.86</v>
      </c>
      <c r="H3007" s="9">
        <v>12652.27</v>
      </c>
      <c r="I3007" s="6" t="s">
        <v>161</v>
      </c>
      <c r="J3007" s="6" t="s">
        <v>465</v>
      </c>
      <c r="K3007" s="6" t="s">
        <v>20093</v>
      </c>
      <c r="L3007" s="6">
        <v>9.6519197198E10</v>
      </c>
      <c r="M3007" s="6" t="s">
        <v>20094</v>
      </c>
      <c r="N3007" s="6" t="s">
        <v>112</v>
      </c>
      <c r="O3007" s="6" t="s">
        <v>178</v>
      </c>
      <c r="P3007" s="10">
        <v>46038.0</v>
      </c>
    </row>
    <row r="3008" ht="22.5" customHeight="1">
      <c r="A3008" s="6" t="s">
        <v>20096</v>
      </c>
      <c r="B3008" s="6" t="s">
        <v>20097</v>
      </c>
      <c r="C3008" s="6" t="s">
        <v>20098</v>
      </c>
      <c r="D3008" s="6" t="s">
        <v>383</v>
      </c>
      <c r="E3008" s="6" t="s">
        <v>147</v>
      </c>
      <c r="F3008" s="8">
        <v>18.0</v>
      </c>
      <c r="G3008" s="9">
        <v>1658.57</v>
      </c>
      <c r="H3008" s="9">
        <v>2100.22</v>
      </c>
      <c r="I3008" s="6" t="s">
        <v>178</v>
      </c>
      <c r="J3008" s="6" t="s">
        <v>163</v>
      </c>
      <c r="K3008" s="6" t="s">
        <v>20099</v>
      </c>
      <c r="L3008" s="6">
        <v>4.245366698E10</v>
      </c>
      <c r="M3008" s="6" t="s">
        <v>20101</v>
      </c>
      <c r="N3008" s="6" t="s">
        <v>427</v>
      </c>
      <c r="O3008" s="6" t="s">
        <v>161</v>
      </c>
      <c r="P3008" s="10">
        <v>46013.0</v>
      </c>
    </row>
    <row r="3009" ht="22.5" customHeight="1">
      <c r="A3009" s="6" t="s">
        <v>20102</v>
      </c>
      <c r="B3009" s="6" t="s">
        <v>20103</v>
      </c>
      <c r="C3009" s="6" t="s">
        <v>20104</v>
      </c>
      <c r="D3009" s="6" t="s">
        <v>145</v>
      </c>
      <c r="E3009" s="6" t="s">
        <v>147</v>
      </c>
      <c r="F3009" s="8">
        <v>24.0</v>
      </c>
      <c r="G3009" s="9">
        <v>1404.17</v>
      </c>
      <c r="H3009" s="9">
        <v>9991.68</v>
      </c>
      <c r="I3009" s="6" t="s">
        <v>161</v>
      </c>
      <c r="J3009" s="6" t="s">
        <v>393</v>
      </c>
      <c r="K3009" s="6" t="s">
        <v>20106</v>
      </c>
      <c r="L3009" s="6">
        <v>2.5298437191E10</v>
      </c>
      <c r="M3009" s="6" t="s">
        <v>20107</v>
      </c>
      <c r="N3009" s="6" t="s">
        <v>176</v>
      </c>
      <c r="O3009" s="6" t="s">
        <v>178</v>
      </c>
      <c r="P3009" s="10">
        <v>45986.0</v>
      </c>
    </row>
    <row r="3010" ht="22.5" customHeight="1">
      <c r="A3010" s="6" t="s">
        <v>20108</v>
      </c>
      <c r="B3010" s="6" t="s">
        <v>20110</v>
      </c>
      <c r="C3010" s="6" t="s">
        <v>20111</v>
      </c>
      <c r="D3010" s="6" t="s">
        <v>206</v>
      </c>
      <c r="E3010" s="6" t="s">
        <v>147</v>
      </c>
      <c r="F3010" s="8">
        <v>22.0</v>
      </c>
      <c r="G3010" s="9">
        <v>1675.09</v>
      </c>
      <c r="H3010" s="9">
        <v>12871.4</v>
      </c>
      <c r="I3010" s="6" t="s">
        <v>161</v>
      </c>
      <c r="J3010" s="6" t="s">
        <v>421</v>
      </c>
      <c r="K3010" s="6" t="s">
        <v>20112</v>
      </c>
      <c r="L3010" s="6">
        <v>7.0528578258E10</v>
      </c>
      <c r="M3010" s="6" t="s">
        <v>20113</v>
      </c>
      <c r="N3010" s="6" t="s">
        <v>283</v>
      </c>
      <c r="O3010" s="6" t="s">
        <v>178</v>
      </c>
      <c r="P3010" s="10">
        <v>46004.0</v>
      </c>
    </row>
    <row r="3011" ht="22.5" customHeight="1">
      <c r="A3011" s="6" t="s">
        <v>20114</v>
      </c>
      <c r="B3011" s="6" t="s">
        <v>20115</v>
      </c>
      <c r="C3011" s="6" t="s">
        <v>20116</v>
      </c>
      <c r="D3011" s="6" t="s">
        <v>145</v>
      </c>
      <c r="E3011" s="6" t="s">
        <v>147</v>
      </c>
      <c r="F3011" s="8">
        <v>14.0</v>
      </c>
      <c r="G3011" s="9">
        <v>1066.6</v>
      </c>
      <c r="H3011" s="9">
        <v>1758.72</v>
      </c>
      <c r="I3011" s="6" t="s">
        <v>178</v>
      </c>
      <c r="J3011" s="6" t="s">
        <v>163</v>
      </c>
      <c r="K3011" s="6" t="s">
        <v>20118</v>
      </c>
      <c r="L3011" s="6">
        <v>6.1249069701E10</v>
      </c>
      <c r="M3011" s="6" t="s">
        <v>20119</v>
      </c>
      <c r="N3011" s="6" t="s">
        <v>427</v>
      </c>
      <c r="O3011" s="6" t="s">
        <v>161</v>
      </c>
      <c r="P3011" s="10">
        <v>45941.0</v>
      </c>
    </row>
    <row r="3012" ht="22.5" customHeight="1">
      <c r="A3012" s="6" t="s">
        <v>20120</v>
      </c>
      <c r="B3012" s="6" t="s">
        <v>20121</v>
      </c>
      <c r="C3012" s="6" t="s">
        <v>20122</v>
      </c>
      <c r="D3012" s="6" t="s">
        <v>383</v>
      </c>
      <c r="E3012" s="6" t="s">
        <v>147</v>
      </c>
      <c r="F3012" s="8">
        <v>11.0</v>
      </c>
      <c r="G3012" s="9">
        <v>1083.09</v>
      </c>
      <c r="H3012" s="9">
        <v>10108.7</v>
      </c>
      <c r="I3012" s="6" t="s">
        <v>161</v>
      </c>
      <c r="J3012" s="6" t="s">
        <v>442</v>
      </c>
      <c r="K3012" s="6" t="s">
        <v>20123</v>
      </c>
      <c r="L3012" s="6">
        <v>2.8652925264E10</v>
      </c>
      <c r="M3012" s="6" t="s">
        <v>20124</v>
      </c>
      <c r="N3012" s="6" t="s">
        <v>283</v>
      </c>
      <c r="O3012" s="6" t="s">
        <v>178</v>
      </c>
      <c r="P3012" s="10">
        <v>45982.0</v>
      </c>
    </row>
    <row r="3013" ht="22.5" customHeight="1">
      <c r="A3013" s="6" t="s">
        <v>20126</v>
      </c>
      <c r="B3013" s="6" t="s">
        <v>20127</v>
      </c>
      <c r="C3013" s="6" t="s">
        <v>20128</v>
      </c>
      <c r="D3013" s="6" t="s">
        <v>206</v>
      </c>
      <c r="E3013" s="6" t="s">
        <v>147</v>
      </c>
      <c r="F3013" s="8">
        <v>12.0</v>
      </c>
      <c r="G3013" s="9">
        <v>135.49</v>
      </c>
      <c r="H3013" s="9">
        <v>12409.38</v>
      </c>
      <c r="I3013" s="6" t="s">
        <v>161</v>
      </c>
      <c r="J3013" s="6" t="s">
        <v>312</v>
      </c>
      <c r="K3013" s="6" t="s">
        <v>20129</v>
      </c>
      <c r="L3013" s="6">
        <v>7.1022283887E10</v>
      </c>
      <c r="M3013" s="6" t="s">
        <v>20130</v>
      </c>
      <c r="N3013" s="6" t="s">
        <v>259</v>
      </c>
      <c r="O3013" s="6" t="s">
        <v>178</v>
      </c>
      <c r="P3013" s="10">
        <v>45949.0</v>
      </c>
    </row>
    <row r="3014" ht="22.5" customHeight="1">
      <c r="A3014" s="6" t="s">
        <v>20132</v>
      </c>
      <c r="B3014" s="6" t="s">
        <v>20133</v>
      </c>
      <c r="C3014" s="6" t="s">
        <v>20134</v>
      </c>
      <c r="D3014" s="6" t="s">
        <v>145</v>
      </c>
      <c r="E3014" s="6" t="s">
        <v>301</v>
      </c>
      <c r="F3014" s="8">
        <v>51.0</v>
      </c>
      <c r="G3014" s="9">
        <v>1075.09</v>
      </c>
      <c r="H3014" s="9">
        <v>12674.88</v>
      </c>
      <c r="I3014" s="6" t="s">
        <v>161</v>
      </c>
      <c r="J3014" s="6" t="s">
        <v>393</v>
      </c>
      <c r="K3014" s="6" t="s">
        <v>20136</v>
      </c>
      <c r="L3014" s="6">
        <v>8.0945777085E10</v>
      </c>
      <c r="M3014" s="6" t="s">
        <v>20137</v>
      </c>
      <c r="N3014" s="6" t="s">
        <v>112</v>
      </c>
      <c r="O3014" s="6" t="s">
        <v>178</v>
      </c>
      <c r="P3014" s="10">
        <v>46028.0</v>
      </c>
    </row>
    <row r="3015" ht="22.5" customHeight="1">
      <c r="A3015" s="6" t="s">
        <v>20138</v>
      </c>
      <c r="B3015" s="6" t="s">
        <v>20139</v>
      </c>
      <c r="C3015" s="6" t="s">
        <v>20140</v>
      </c>
      <c r="D3015" s="6" t="s">
        <v>383</v>
      </c>
      <c r="E3015" s="6" t="s">
        <v>301</v>
      </c>
      <c r="F3015" s="8">
        <v>59.0</v>
      </c>
      <c r="G3015" s="9">
        <v>1337.08</v>
      </c>
      <c r="H3015" s="9">
        <v>11180.09</v>
      </c>
      <c r="I3015" s="6" t="s">
        <v>161</v>
      </c>
      <c r="J3015" s="6" t="s">
        <v>577</v>
      </c>
      <c r="K3015" s="6" t="s">
        <v>20142</v>
      </c>
      <c r="L3015" s="6">
        <v>7.6646859233E10</v>
      </c>
      <c r="M3015" s="6" t="s">
        <v>20143</v>
      </c>
      <c r="N3015" s="6" t="s">
        <v>283</v>
      </c>
      <c r="O3015" s="6" t="s">
        <v>178</v>
      </c>
      <c r="P3015" s="10">
        <v>46051.0</v>
      </c>
    </row>
    <row r="3016" ht="22.5" customHeight="1">
      <c r="A3016" s="6" t="s">
        <v>20144</v>
      </c>
      <c r="B3016" s="6" t="s">
        <v>20145</v>
      </c>
      <c r="C3016" s="6" t="s">
        <v>20146</v>
      </c>
      <c r="D3016" s="6" t="s">
        <v>145</v>
      </c>
      <c r="E3016" s="6" t="s">
        <v>210</v>
      </c>
      <c r="F3016" s="8">
        <v>88.0</v>
      </c>
      <c r="G3016" s="9">
        <v>364.74</v>
      </c>
      <c r="H3016" s="9">
        <v>1573.7</v>
      </c>
      <c r="I3016" s="6" t="s">
        <v>178</v>
      </c>
      <c r="J3016" s="6" t="s">
        <v>228</v>
      </c>
      <c r="K3016" s="6" t="s">
        <v>20148</v>
      </c>
      <c r="L3016" s="6">
        <v>8.4990153383E10</v>
      </c>
      <c r="M3016" s="6" t="s">
        <v>20150</v>
      </c>
      <c r="N3016" s="6" t="s">
        <v>112</v>
      </c>
      <c r="O3016" s="6" t="s">
        <v>161</v>
      </c>
      <c r="P3016" s="10">
        <v>46001.0</v>
      </c>
    </row>
    <row r="3017" ht="22.5" customHeight="1">
      <c r="A3017" s="6" t="s">
        <v>20151</v>
      </c>
      <c r="B3017" s="6" t="s">
        <v>20152</v>
      </c>
      <c r="C3017" s="6" t="s">
        <v>20153</v>
      </c>
      <c r="D3017" s="6" t="s">
        <v>145</v>
      </c>
      <c r="E3017" s="6" t="s">
        <v>147</v>
      </c>
      <c r="F3017" s="8">
        <v>10.0</v>
      </c>
      <c r="G3017" s="9">
        <v>1539.17</v>
      </c>
      <c r="H3017" s="9">
        <v>3047.44</v>
      </c>
      <c r="I3017" s="6" t="s">
        <v>178</v>
      </c>
      <c r="J3017" s="6" t="s">
        <v>465</v>
      </c>
      <c r="K3017" s="6" t="s">
        <v>20155</v>
      </c>
      <c r="L3017" s="6">
        <v>7.2014625584E10</v>
      </c>
      <c r="M3017" s="6" t="s">
        <v>20156</v>
      </c>
      <c r="N3017" s="6" t="s">
        <v>112</v>
      </c>
      <c r="O3017" s="6" t="s">
        <v>161</v>
      </c>
      <c r="P3017" s="10">
        <v>45934.0</v>
      </c>
    </row>
    <row r="3018" ht="22.5" customHeight="1">
      <c r="A3018" s="6" t="s">
        <v>20158</v>
      </c>
      <c r="B3018" s="6" t="s">
        <v>20159</v>
      </c>
      <c r="C3018" s="6" t="s">
        <v>20160</v>
      </c>
      <c r="D3018" s="6" t="s">
        <v>145</v>
      </c>
      <c r="E3018" s="6" t="s">
        <v>301</v>
      </c>
      <c r="F3018" s="8">
        <v>31.0</v>
      </c>
      <c r="G3018" s="9">
        <v>347.78</v>
      </c>
      <c r="H3018" s="9">
        <v>2722.25</v>
      </c>
      <c r="I3018" s="6" t="s">
        <v>161</v>
      </c>
      <c r="J3018" s="6" t="s">
        <v>421</v>
      </c>
      <c r="K3018" s="6" t="s">
        <v>20161</v>
      </c>
      <c r="L3018" s="6">
        <v>6.6275685658E10</v>
      </c>
      <c r="M3018" s="6" t="s">
        <v>20163</v>
      </c>
      <c r="N3018" s="6" t="s">
        <v>427</v>
      </c>
      <c r="O3018" s="6" t="s">
        <v>178</v>
      </c>
      <c r="P3018" s="10">
        <v>46041.0</v>
      </c>
    </row>
    <row r="3019" ht="22.5" customHeight="1">
      <c r="A3019" s="6" t="s">
        <v>20164</v>
      </c>
      <c r="B3019" s="6" t="s">
        <v>20165</v>
      </c>
      <c r="C3019" s="6" t="s">
        <v>20166</v>
      </c>
      <c r="D3019" s="6" t="s">
        <v>206</v>
      </c>
      <c r="E3019" s="6" t="s">
        <v>147</v>
      </c>
      <c r="F3019" s="8">
        <v>7.0</v>
      </c>
      <c r="G3019" s="9">
        <v>1678.55</v>
      </c>
      <c r="H3019" s="9">
        <v>15262.26</v>
      </c>
      <c r="I3019" s="6" t="s">
        <v>161</v>
      </c>
      <c r="J3019" s="6" t="s">
        <v>163</v>
      </c>
      <c r="K3019" s="6" t="s">
        <v>20168</v>
      </c>
      <c r="L3019" s="6">
        <v>8.6545107436E10</v>
      </c>
      <c r="M3019" s="6" t="s">
        <v>20169</v>
      </c>
      <c r="N3019" s="6" t="s">
        <v>427</v>
      </c>
      <c r="O3019" s="6" t="s">
        <v>178</v>
      </c>
      <c r="P3019" s="10">
        <v>46036.0</v>
      </c>
    </row>
    <row r="3020" ht="22.5" customHeight="1">
      <c r="A3020" s="6" t="s">
        <v>20170</v>
      </c>
      <c r="B3020" s="6" t="s">
        <v>20171</v>
      </c>
      <c r="C3020" s="6" t="s">
        <v>20172</v>
      </c>
      <c r="D3020" s="6" t="s">
        <v>206</v>
      </c>
      <c r="E3020" s="6" t="s">
        <v>301</v>
      </c>
      <c r="F3020" s="8">
        <v>46.0</v>
      </c>
      <c r="G3020" s="9">
        <v>798.07</v>
      </c>
      <c r="H3020" s="9">
        <v>5701.62</v>
      </c>
      <c r="I3020" s="6" t="s">
        <v>161</v>
      </c>
      <c r="J3020" s="6" t="s">
        <v>577</v>
      </c>
      <c r="K3020" s="6" t="s">
        <v>20174</v>
      </c>
      <c r="L3020" s="6">
        <v>5.3594587828E10</v>
      </c>
      <c r="M3020" s="6" t="s">
        <v>20175</v>
      </c>
      <c r="N3020" s="6" t="s">
        <v>427</v>
      </c>
      <c r="O3020" s="6" t="s">
        <v>178</v>
      </c>
      <c r="P3020" s="10">
        <v>45970.0</v>
      </c>
    </row>
    <row r="3021" ht="22.5" customHeight="1">
      <c r="A3021" s="6" t="s">
        <v>20177</v>
      </c>
      <c r="B3021" s="6" t="s">
        <v>20178</v>
      </c>
      <c r="C3021" s="6" t="s">
        <v>20179</v>
      </c>
      <c r="D3021" s="6" t="s">
        <v>383</v>
      </c>
      <c r="E3021" s="6" t="s">
        <v>147</v>
      </c>
      <c r="F3021" s="8">
        <v>22.0</v>
      </c>
      <c r="G3021" s="9">
        <v>1193.73</v>
      </c>
      <c r="H3021" s="9">
        <v>5804.92</v>
      </c>
      <c r="I3021" s="6" t="s">
        <v>161</v>
      </c>
      <c r="J3021" s="6" t="s">
        <v>228</v>
      </c>
      <c r="K3021" s="6" t="s">
        <v>20181</v>
      </c>
      <c r="L3021" s="6">
        <v>5.9895628806E10</v>
      </c>
      <c r="M3021" s="6" t="s">
        <v>20182</v>
      </c>
      <c r="N3021" s="6" t="s">
        <v>259</v>
      </c>
      <c r="O3021" s="6" t="s">
        <v>178</v>
      </c>
      <c r="P3021" s="10">
        <v>45963.0</v>
      </c>
    </row>
    <row r="3022" ht="22.5" customHeight="1">
      <c r="A3022" s="6" t="s">
        <v>20183</v>
      </c>
      <c r="B3022" s="6" t="s">
        <v>20184</v>
      </c>
      <c r="C3022" s="6" t="s">
        <v>20185</v>
      </c>
      <c r="D3022" s="6" t="s">
        <v>383</v>
      </c>
      <c r="E3022" s="6" t="s">
        <v>147</v>
      </c>
      <c r="F3022" s="8">
        <v>13.0</v>
      </c>
      <c r="G3022" s="9">
        <v>94.29</v>
      </c>
      <c r="H3022" s="9">
        <v>842.58</v>
      </c>
      <c r="I3022" s="6" t="s">
        <v>161</v>
      </c>
      <c r="J3022" s="6" t="s">
        <v>479</v>
      </c>
      <c r="K3022" s="6" t="s">
        <v>20187</v>
      </c>
      <c r="L3022" s="6">
        <v>5.3299322433E10</v>
      </c>
      <c r="M3022" s="6" t="s">
        <v>20188</v>
      </c>
      <c r="N3022" s="6" t="s">
        <v>176</v>
      </c>
      <c r="O3022" s="6" t="s">
        <v>178</v>
      </c>
      <c r="P3022" s="10">
        <v>45976.0</v>
      </c>
    </row>
    <row r="3023" ht="22.5" customHeight="1">
      <c r="A3023" s="6" t="s">
        <v>20190</v>
      </c>
      <c r="B3023" s="6" t="s">
        <v>20191</v>
      </c>
      <c r="C3023" s="6" t="s">
        <v>3702</v>
      </c>
      <c r="D3023" s="6" t="s">
        <v>206</v>
      </c>
      <c r="E3023" s="6" t="s">
        <v>301</v>
      </c>
      <c r="F3023" s="8">
        <v>41.0</v>
      </c>
      <c r="G3023" s="9">
        <v>1656.89</v>
      </c>
      <c r="H3023" s="9">
        <v>12110.68</v>
      </c>
      <c r="I3023" s="6" t="s">
        <v>178</v>
      </c>
      <c r="J3023" s="6" t="s">
        <v>465</v>
      </c>
      <c r="K3023" s="6" t="s">
        <v>20192</v>
      </c>
      <c r="L3023" s="6">
        <v>4.030263382E10</v>
      </c>
      <c r="M3023" s="6" t="s">
        <v>20194</v>
      </c>
      <c r="N3023" s="6" t="s">
        <v>283</v>
      </c>
      <c r="O3023" s="6" t="s">
        <v>161</v>
      </c>
      <c r="P3023" s="10">
        <v>46012.0</v>
      </c>
    </row>
    <row r="3024" ht="22.5" customHeight="1">
      <c r="A3024" s="6" t="s">
        <v>20195</v>
      </c>
      <c r="B3024" s="6" t="s">
        <v>20196</v>
      </c>
      <c r="C3024" s="6" t="s">
        <v>20197</v>
      </c>
      <c r="D3024" s="6" t="s">
        <v>206</v>
      </c>
      <c r="E3024" s="6" t="s">
        <v>301</v>
      </c>
      <c r="F3024" s="8">
        <v>56.0</v>
      </c>
      <c r="G3024" s="9">
        <v>466.37</v>
      </c>
      <c r="H3024" s="9">
        <v>14181.29</v>
      </c>
      <c r="I3024" s="6" t="s">
        <v>161</v>
      </c>
      <c r="J3024" s="6" t="s">
        <v>421</v>
      </c>
      <c r="K3024" s="6" t="s">
        <v>20199</v>
      </c>
      <c r="L3024" s="6">
        <v>5.6190604601E10</v>
      </c>
      <c r="M3024" s="6" t="s">
        <v>20200</v>
      </c>
      <c r="N3024" s="6" t="s">
        <v>259</v>
      </c>
      <c r="O3024" s="6" t="s">
        <v>178</v>
      </c>
      <c r="P3024" s="10">
        <v>46031.0</v>
      </c>
    </row>
    <row r="3025" ht="22.5" customHeight="1">
      <c r="A3025" s="6" t="s">
        <v>20201</v>
      </c>
      <c r="B3025" s="6" t="s">
        <v>20203</v>
      </c>
      <c r="C3025" s="6" t="s">
        <v>20204</v>
      </c>
      <c r="D3025" s="6" t="s">
        <v>383</v>
      </c>
      <c r="E3025" s="6" t="s">
        <v>147</v>
      </c>
      <c r="F3025" s="8">
        <v>26.0</v>
      </c>
      <c r="G3025" s="9">
        <v>1731.03</v>
      </c>
      <c r="H3025" s="9">
        <v>6340.38</v>
      </c>
      <c r="I3025" s="6" t="s">
        <v>161</v>
      </c>
      <c r="J3025" s="6" t="s">
        <v>163</v>
      </c>
      <c r="K3025" s="6" t="s">
        <v>20205</v>
      </c>
      <c r="L3025" s="6">
        <v>4.0025093324E10</v>
      </c>
      <c r="M3025" s="6" t="s">
        <v>20207</v>
      </c>
      <c r="N3025" s="6" t="s">
        <v>283</v>
      </c>
      <c r="O3025" s="6" t="s">
        <v>178</v>
      </c>
      <c r="P3025" s="10">
        <v>46025.0</v>
      </c>
    </row>
    <row r="3026" ht="22.5" customHeight="1">
      <c r="A3026" s="6" t="s">
        <v>20208</v>
      </c>
      <c r="B3026" s="6" t="s">
        <v>20209</v>
      </c>
      <c r="C3026" s="6" t="s">
        <v>20210</v>
      </c>
      <c r="D3026" s="6" t="s">
        <v>145</v>
      </c>
      <c r="E3026" s="6" t="s">
        <v>147</v>
      </c>
      <c r="F3026" s="8">
        <v>19.0</v>
      </c>
      <c r="G3026" s="9">
        <v>1727.51</v>
      </c>
      <c r="H3026" s="9">
        <v>2750.05</v>
      </c>
      <c r="I3026" s="6" t="s">
        <v>161</v>
      </c>
      <c r="J3026" s="6" t="s">
        <v>421</v>
      </c>
      <c r="K3026" s="6" t="s">
        <v>20212</v>
      </c>
      <c r="L3026" s="6">
        <v>5.812311828E10</v>
      </c>
      <c r="M3026" s="6" t="s">
        <v>20213</v>
      </c>
      <c r="N3026" s="6" t="s">
        <v>176</v>
      </c>
      <c r="O3026" s="6" t="s">
        <v>178</v>
      </c>
      <c r="P3026" s="10">
        <v>45938.0</v>
      </c>
    </row>
    <row r="3027" ht="22.5" customHeight="1">
      <c r="A3027" s="6" t="s">
        <v>20214</v>
      </c>
      <c r="B3027" s="6" t="s">
        <v>20215</v>
      </c>
      <c r="C3027" s="6" t="s">
        <v>20216</v>
      </c>
      <c r="D3027" s="6" t="s">
        <v>145</v>
      </c>
      <c r="E3027" s="6" t="s">
        <v>147</v>
      </c>
      <c r="F3027" s="8">
        <v>29.0</v>
      </c>
      <c r="G3027" s="9">
        <v>1204.57</v>
      </c>
      <c r="H3027" s="9">
        <v>10313.04</v>
      </c>
      <c r="I3027" s="6" t="s">
        <v>161</v>
      </c>
      <c r="J3027" s="6" t="s">
        <v>465</v>
      </c>
      <c r="K3027" s="6" t="s">
        <v>20218</v>
      </c>
      <c r="L3027" s="6">
        <v>1.2485699667E10</v>
      </c>
      <c r="M3027" s="6" t="s">
        <v>20219</v>
      </c>
      <c r="N3027" s="6" t="s">
        <v>259</v>
      </c>
      <c r="O3027" s="6" t="s">
        <v>178</v>
      </c>
      <c r="P3027" s="10">
        <v>45991.0</v>
      </c>
    </row>
    <row r="3028" ht="22.5" customHeight="1">
      <c r="A3028" s="6" t="s">
        <v>20221</v>
      </c>
      <c r="B3028" s="6" t="s">
        <v>20222</v>
      </c>
      <c r="C3028" s="6" t="s">
        <v>20223</v>
      </c>
      <c r="D3028" s="6" t="s">
        <v>206</v>
      </c>
      <c r="E3028" s="6" t="s">
        <v>147</v>
      </c>
      <c r="F3028" s="8">
        <v>8.0</v>
      </c>
      <c r="G3028" s="9">
        <v>1091.5</v>
      </c>
      <c r="H3028" s="9">
        <v>8498.85</v>
      </c>
      <c r="I3028" s="6" t="s">
        <v>161</v>
      </c>
      <c r="J3028" s="6" t="s">
        <v>479</v>
      </c>
      <c r="K3028" s="6" t="s">
        <v>20225</v>
      </c>
      <c r="L3028" s="6">
        <v>3.6408462406E10</v>
      </c>
      <c r="M3028" s="6" t="s">
        <v>20226</v>
      </c>
      <c r="N3028" s="6" t="s">
        <v>259</v>
      </c>
      <c r="O3028" s="6" t="s">
        <v>178</v>
      </c>
      <c r="P3028" s="10">
        <v>45979.0</v>
      </c>
    </row>
    <row r="3029" ht="22.5" customHeight="1">
      <c r="A3029" s="6" t="s">
        <v>20227</v>
      </c>
      <c r="B3029" s="6" t="s">
        <v>20228</v>
      </c>
      <c r="C3029" s="6" t="s">
        <v>20229</v>
      </c>
      <c r="D3029" s="6" t="s">
        <v>145</v>
      </c>
      <c r="E3029" s="6" t="s">
        <v>210</v>
      </c>
      <c r="F3029" s="8">
        <v>80.0</v>
      </c>
      <c r="G3029" s="9">
        <v>1079.99</v>
      </c>
      <c r="H3029" s="9">
        <v>15059.67</v>
      </c>
      <c r="I3029" s="6" t="s">
        <v>161</v>
      </c>
      <c r="J3029" s="6" t="s">
        <v>163</v>
      </c>
      <c r="K3029" s="6" t="s">
        <v>20231</v>
      </c>
      <c r="L3029" s="6">
        <v>3.1059794051E10</v>
      </c>
      <c r="M3029" s="6" t="s">
        <v>20232</v>
      </c>
      <c r="N3029" s="6" t="s">
        <v>112</v>
      </c>
      <c r="O3029" s="6" t="s">
        <v>161</v>
      </c>
      <c r="P3029" s="10">
        <v>45978.0</v>
      </c>
    </row>
    <row r="3030" ht="22.5" customHeight="1">
      <c r="A3030" s="6" t="s">
        <v>20234</v>
      </c>
      <c r="B3030" s="6" t="s">
        <v>20235</v>
      </c>
      <c r="C3030" s="6" t="s">
        <v>20236</v>
      </c>
      <c r="D3030" s="6" t="s">
        <v>206</v>
      </c>
      <c r="E3030" s="6" t="s">
        <v>301</v>
      </c>
      <c r="F3030" s="8">
        <v>36.0</v>
      </c>
      <c r="G3030" s="9">
        <v>944.22</v>
      </c>
      <c r="H3030" s="9">
        <v>14425.59</v>
      </c>
      <c r="I3030" s="6" t="s">
        <v>161</v>
      </c>
      <c r="J3030" s="6" t="s">
        <v>465</v>
      </c>
      <c r="K3030" s="6" t="s">
        <v>20237</v>
      </c>
      <c r="L3030" s="6">
        <v>3.2641858581E10</v>
      </c>
      <c r="M3030" s="6" t="s">
        <v>20239</v>
      </c>
      <c r="N3030" s="6" t="s">
        <v>427</v>
      </c>
      <c r="O3030" s="6" t="s">
        <v>178</v>
      </c>
      <c r="P3030" s="10">
        <v>45998.0</v>
      </c>
    </row>
    <row r="3031" ht="22.5" customHeight="1">
      <c r="A3031" s="6" t="s">
        <v>20240</v>
      </c>
      <c r="B3031" s="6" t="s">
        <v>20241</v>
      </c>
      <c r="C3031" s="6" t="s">
        <v>16413</v>
      </c>
      <c r="D3031" s="6" t="s">
        <v>206</v>
      </c>
      <c r="E3031" s="6" t="s">
        <v>210</v>
      </c>
      <c r="F3031" s="8">
        <v>67.0</v>
      </c>
      <c r="G3031" s="9">
        <v>556.23</v>
      </c>
      <c r="H3031" s="9">
        <v>9850.44</v>
      </c>
      <c r="I3031" s="6" t="s">
        <v>178</v>
      </c>
      <c r="J3031" s="6" t="s">
        <v>465</v>
      </c>
      <c r="K3031" s="6" t="s">
        <v>20243</v>
      </c>
      <c r="L3031" s="6">
        <v>1.252572892E10</v>
      </c>
      <c r="M3031" s="6" t="s">
        <v>20244</v>
      </c>
      <c r="N3031" s="6" t="s">
        <v>283</v>
      </c>
      <c r="O3031" s="6" t="s">
        <v>161</v>
      </c>
      <c r="P3031" s="10">
        <v>46030.0</v>
      </c>
    </row>
    <row r="3032" ht="22.5" customHeight="1">
      <c r="A3032" s="6" t="s">
        <v>20246</v>
      </c>
      <c r="B3032" s="6" t="s">
        <v>20247</v>
      </c>
      <c r="C3032" s="6" t="s">
        <v>20248</v>
      </c>
      <c r="D3032" s="6" t="s">
        <v>145</v>
      </c>
      <c r="E3032" s="6" t="s">
        <v>301</v>
      </c>
      <c r="F3032" s="8">
        <v>57.0</v>
      </c>
      <c r="G3032" s="9">
        <v>435.22</v>
      </c>
      <c r="H3032" s="9">
        <v>7218.81</v>
      </c>
      <c r="I3032" s="6" t="s">
        <v>161</v>
      </c>
      <c r="J3032" s="6" t="s">
        <v>163</v>
      </c>
      <c r="K3032" s="6" t="s">
        <v>20249</v>
      </c>
      <c r="L3032" s="6">
        <v>2.9883492171E10</v>
      </c>
      <c r="M3032" s="6" t="s">
        <v>20251</v>
      </c>
      <c r="N3032" s="6" t="s">
        <v>176</v>
      </c>
      <c r="O3032" s="6" t="s">
        <v>178</v>
      </c>
      <c r="P3032" s="10">
        <v>46018.0</v>
      </c>
    </row>
    <row r="3033" ht="22.5" customHeight="1">
      <c r="A3033" s="6" t="s">
        <v>20252</v>
      </c>
      <c r="B3033" s="6" t="s">
        <v>20253</v>
      </c>
      <c r="C3033" s="6" t="s">
        <v>20254</v>
      </c>
      <c r="D3033" s="6" t="s">
        <v>145</v>
      </c>
      <c r="E3033" s="6" t="s">
        <v>147</v>
      </c>
      <c r="F3033" s="8">
        <v>29.0</v>
      </c>
      <c r="G3033" s="9">
        <v>773.72</v>
      </c>
      <c r="H3033" s="9">
        <v>12324.72</v>
      </c>
      <c r="I3033" s="6" t="s">
        <v>161</v>
      </c>
      <c r="J3033" s="6" t="s">
        <v>228</v>
      </c>
      <c r="K3033" s="6" t="s">
        <v>20256</v>
      </c>
      <c r="L3033" s="6">
        <v>2.6085868395E10</v>
      </c>
      <c r="M3033" s="6" t="s">
        <v>20257</v>
      </c>
      <c r="N3033" s="6" t="s">
        <v>176</v>
      </c>
      <c r="O3033" s="6" t="s">
        <v>178</v>
      </c>
      <c r="P3033" s="10">
        <v>46024.0</v>
      </c>
    </row>
    <row r="3034" ht="22.5" customHeight="1">
      <c r="A3034" s="6" t="s">
        <v>20258</v>
      </c>
      <c r="B3034" s="6" t="s">
        <v>20260</v>
      </c>
      <c r="C3034" s="6" t="s">
        <v>20261</v>
      </c>
      <c r="D3034" s="6" t="s">
        <v>383</v>
      </c>
      <c r="E3034" s="6" t="s">
        <v>301</v>
      </c>
      <c r="F3034" s="8">
        <v>40.0</v>
      </c>
      <c r="G3034" s="9">
        <v>756.43</v>
      </c>
      <c r="H3034" s="9">
        <v>11186.69</v>
      </c>
      <c r="I3034" s="6" t="s">
        <v>161</v>
      </c>
      <c r="J3034" s="6" t="s">
        <v>228</v>
      </c>
      <c r="K3034" s="6" t="s">
        <v>20262</v>
      </c>
      <c r="L3034" s="6">
        <v>1.251711367E9</v>
      </c>
      <c r="M3034" s="6" t="s">
        <v>20263</v>
      </c>
      <c r="N3034" s="6" t="s">
        <v>112</v>
      </c>
      <c r="O3034" s="6" t="s">
        <v>178</v>
      </c>
      <c r="P3034" s="10">
        <v>45978.0</v>
      </c>
    </row>
    <row r="3035" ht="22.5" customHeight="1">
      <c r="A3035" s="6" t="s">
        <v>20265</v>
      </c>
      <c r="B3035" s="6" t="s">
        <v>20266</v>
      </c>
      <c r="C3035" s="6" t="s">
        <v>20267</v>
      </c>
      <c r="D3035" s="6" t="s">
        <v>383</v>
      </c>
      <c r="E3035" s="6" t="s">
        <v>147</v>
      </c>
      <c r="F3035" s="8">
        <v>10.0</v>
      </c>
      <c r="G3035" s="9">
        <v>1171.41</v>
      </c>
      <c r="H3035" s="9">
        <v>13882.88</v>
      </c>
      <c r="I3035" s="6" t="s">
        <v>178</v>
      </c>
      <c r="J3035" s="6" t="s">
        <v>421</v>
      </c>
      <c r="K3035" s="6" t="s">
        <v>10853</v>
      </c>
      <c r="L3035" s="6">
        <v>4.2049765683E10</v>
      </c>
      <c r="M3035" s="6" t="s">
        <v>20269</v>
      </c>
      <c r="N3035" s="6" t="s">
        <v>283</v>
      </c>
      <c r="O3035" s="6" t="s">
        <v>161</v>
      </c>
      <c r="P3035" s="10">
        <v>45981.0</v>
      </c>
    </row>
    <row r="3036" ht="22.5" customHeight="1">
      <c r="A3036" s="6" t="s">
        <v>20270</v>
      </c>
      <c r="B3036" s="6" t="s">
        <v>20271</v>
      </c>
      <c r="C3036" s="6" t="s">
        <v>20272</v>
      </c>
      <c r="D3036" s="6" t="s">
        <v>383</v>
      </c>
      <c r="E3036" s="6" t="s">
        <v>147</v>
      </c>
      <c r="F3036" s="8">
        <v>7.0</v>
      </c>
      <c r="G3036" s="9">
        <v>1709.03</v>
      </c>
      <c r="H3036" s="9">
        <v>7090.71</v>
      </c>
      <c r="I3036" s="6" t="s">
        <v>161</v>
      </c>
      <c r="J3036" s="6" t="s">
        <v>421</v>
      </c>
      <c r="K3036" s="6" t="s">
        <v>20274</v>
      </c>
      <c r="L3036" s="6">
        <v>6.1137073476E10</v>
      </c>
      <c r="M3036" s="6" t="s">
        <v>20275</v>
      </c>
      <c r="N3036" s="6" t="s">
        <v>427</v>
      </c>
      <c r="O3036" s="6" t="s">
        <v>178</v>
      </c>
      <c r="P3036" s="10">
        <v>46023.0</v>
      </c>
    </row>
    <row r="3037" ht="22.5" customHeight="1">
      <c r="A3037" s="6" t="s">
        <v>20277</v>
      </c>
      <c r="B3037" s="6" t="s">
        <v>20278</v>
      </c>
      <c r="C3037" s="6" t="s">
        <v>20280</v>
      </c>
      <c r="D3037" s="6" t="s">
        <v>145</v>
      </c>
      <c r="E3037" s="6" t="s">
        <v>147</v>
      </c>
      <c r="F3037" s="8">
        <v>26.0</v>
      </c>
      <c r="G3037" s="9">
        <v>568.69</v>
      </c>
      <c r="H3037" s="9">
        <v>6483.45</v>
      </c>
      <c r="I3037" s="6" t="s">
        <v>161</v>
      </c>
      <c r="J3037" s="6" t="s">
        <v>393</v>
      </c>
      <c r="K3037" s="6" t="s">
        <v>259</v>
      </c>
      <c r="L3037" s="6">
        <v>4.2204062478E10</v>
      </c>
      <c r="M3037" s="6" t="s">
        <v>20282</v>
      </c>
      <c r="N3037" s="6" t="s">
        <v>259</v>
      </c>
      <c r="O3037" s="6" t="s">
        <v>178</v>
      </c>
      <c r="P3037" s="10">
        <v>45966.0</v>
      </c>
    </row>
    <row r="3038" ht="22.5" customHeight="1">
      <c r="A3038" s="6" t="s">
        <v>20284</v>
      </c>
      <c r="B3038" s="6" t="s">
        <v>20285</v>
      </c>
      <c r="C3038" s="6" t="s">
        <v>20286</v>
      </c>
      <c r="D3038" s="6" t="s">
        <v>145</v>
      </c>
      <c r="E3038" s="6" t="s">
        <v>301</v>
      </c>
      <c r="F3038" s="8">
        <v>56.0</v>
      </c>
      <c r="G3038" s="9">
        <v>196.99</v>
      </c>
      <c r="H3038" s="9">
        <v>12937.18</v>
      </c>
      <c r="I3038" s="6" t="s">
        <v>161</v>
      </c>
      <c r="J3038" s="6" t="s">
        <v>577</v>
      </c>
      <c r="K3038" s="6" t="s">
        <v>20287</v>
      </c>
      <c r="L3038" s="6">
        <v>4.855260521E9</v>
      </c>
      <c r="M3038" s="6" t="s">
        <v>20289</v>
      </c>
      <c r="N3038" s="6" t="s">
        <v>176</v>
      </c>
      <c r="O3038" s="6" t="s">
        <v>178</v>
      </c>
      <c r="P3038" s="10">
        <v>45937.0</v>
      </c>
    </row>
    <row r="3039" ht="22.5" customHeight="1">
      <c r="A3039" s="6" t="s">
        <v>20290</v>
      </c>
      <c r="B3039" s="6" t="s">
        <v>20291</v>
      </c>
      <c r="C3039" s="6" t="s">
        <v>20292</v>
      </c>
      <c r="D3039" s="6" t="s">
        <v>145</v>
      </c>
      <c r="E3039" s="6" t="s">
        <v>210</v>
      </c>
      <c r="F3039" s="8">
        <v>101.0</v>
      </c>
      <c r="G3039" s="9">
        <v>1708.06</v>
      </c>
      <c r="H3039" s="9">
        <v>15465.95</v>
      </c>
      <c r="I3039" s="6" t="s">
        <v>178</v>
      </c>
      <c r="J3039" s="6" t="s">
        <v>479</v>
      </c>
      <c r="K3039" s="6" t="s">
        <v>20294</v>
      </c>
      <c r="L3039" s="6">
        <v>2.856053084E9</v>
      </c>
      <c r="M3039" s="6" t="s">
        <v>20296</v>
      </c>
      <c r="N3039" s="6" t="s">
        <v>176</v>
      </c>
      <c r="O3039" s="6" t="s">
        <v>161</v>
      </c>
      <c r="P3039" s="10">
        <v>46035.0</v>
      </c>
    </row>
    <row r="3040" ht="22.5" customHeight="1">
      <c r="A3040" s="6" t="s">
        <v>20297</v>
      </c>
      <c r="B3040" s="6" t="s">
        <v>20298</v>
      </c>
      <c r="C3040" s="6" t="s">
        <v>20299</v>
      </c>
      <c r="D3040" s="6" t="s">
        <v>145</v>
      </c>
      <c r="E3040" s="6" t="s">
        <v>147</v>
      </c>
      <c r="F3040" s="8">
        <v>24.0</v>
      </c>
      <c r="G3040" s="9">
        <v>1144.14</v>
      </c>
      <c r="H3040" s="9">
        <v>13124.09</v>
      </c>
      <c r="I3040" s="6" t="s">
        <v>161</v>
      </c>
      <c r="J3040" s="6" t="s">
        <v>228</v>
      </c>
      <c r="K3040" s="6" t="s">
        <v>20301</v>
      </c>
      <c r="L3040" s="6">
        <v>6.2087882664E10</v>
      </c>
      <c r="M3040" s="6" t="s">
        <v>20302</v>
      </c>
      <c r="N3040" s="6" t="s">
        <v>259</v>
      </c>
      <c r="O3040" s="6" t="s">
        <v>178</v>
      </c>
      <c r="P3040" s="10">
        <v>46017.0</v>
      </c>
    </row>
    <row r="3041" ht="22.5" customHeight="1">
      <c r="A3041" s="6" t="s">
        <v>20304</v>
      </c>
      <c r="B3041" s="6" t="s">
        <v>20305</v>
      </c>
      <c r="C3041" s="6" t="s">
        <v>20306</v>
      </c>
      <c r="D3041" s="6" t="s">
        <v>145</v>
      </c>
      <c r="E3041" s="6" t="s">
        <v>301</v>
      </c>
      <c r="F3041" s="8">
        <v>58.0</v>
      </c>
      <c r="G3041" s="9">
        <v>1780.84</v>
      </c>
      <c r="H3041" s="9">
        <v>12661.8</v>
      </c>
      <c r="I3041" s="6" t="s">
        <v>161</v>
      </c>
      <c r="J3041" s="6" t="s">
        <v>577</v>
      </c>
      <c r="K3041" s="6" t="s">
        <v>20308</v>
      </c>
      <c r="L3041" s="6">
        <v>2.1171124641E10</v>
      </c>
      <c r="M3041" s="6" t="s">
        <v>20309</v>
      </c>
      <c r="N3041" s="6" t="s">
        <v>176</v>
      </c>
      <c r="O3041" s="6" t="s">
        <v>178</v>
      </c>
      <c r="P3041" s="10">
        <v>46026.0</v>
      </c>
    </row>
    <row r="3042" ht="22.5" customHeight="1">
      <c r="A3042" s="6" t="s">
        <v>20310</v>
      </c>
      <c r="B3042" s="6" t="s">
        <v>20311</v>
      </c>
      <c r="C3042" s="6" t="s">
        <v>20312</v>
      </c>
      <c r="D3042" s="6" t="s">
        <v>145</v>
      </c>
      <c r="E3042" s="6" t="s">
        <v>147</v>
      </c>
      <c r="F3042" s="8">
        <v>19.0</v>
      </c>
      <c r="G3042" s="9">
        <v>704.2</v>
      </c>
      <c r="H3042" s="9">
        <v>10626.3</v>
      </c>
      <c r="I3042" s="6" t="s">
        <v>161</v>
      </c>
      <c r="J3042" s="6" t="s">
        <v>465</v>
      </c>
      <c r="K3042" s="6" t="s">
        <v>20314</v>
      </c>
      <c r="L3042" s="6">
        <v>4.5378618477E10</v>
      </c>
      <c r="M3042" s="6" t="s">
        <v>20316</v>
      </c>
      <c r="N3042" s="6" t="s">
        <v>259</v>
      </c>
      <c r="O3042" s="6" t="s">
        <v>178</v>
      </c>
      <c r="P3042" s="10">
        <v>46019.0</v>
      </c>
    </row>
    <row r="3043" ht="22.5" customHeight="1">
      <c r="A3043" s="6" t="s">
        <v>20317</v>
      </c>
      <c r="B3043" s="6" t="s">
        <v>20319</v>
      </c>
      <c r="C3043" s="6" t="s">
        <v>20320</v>
      </c>
      <c r="D3043" s="6" t="s">
        <v>383</v>
      </c>
      <c r="E3043" s="6" t="s">
        <v>210</v>
      </c>
      <c r="F3043" s="8">
        <v>100.0</v>
      </c>
      <c r="G3043" s="9">
        <v>1677.35</v>
      </c>
      <c r="H3043" s="9">
        <v>3932.47</v>
      </c>
      <c r="I3043" s="6" t="s">
        <v>161</v>
      </c>
      <c r="J3043" s="6" t="s">
        <v>577</v>
      </c>
      <c r="K3043" s="6" t="s">
        <v>20322</v>
      </c>
      <c r="L3043" s="6">
        <v>6.096738473E10</v>
      </c>
      <c r="M3043" s="6" t="s">
        <v>20323</v>
      </c>
      <c r="N3043" s="6" t="s">
        <v>112</v>
      </c>
      <c r="O3043" s="6" t="s">
        <v>161</v>
      </c>
      <c r="P3043" s="10">
        <v>46039.0</v>
      </c>
    </row>
    <row r="3044" ht="22.5" customHeight="1">
      <c r="A3044" s="6" t="s">
        <v>20325</v>
      </c>
      <c r="B3044" s="6" t="s">
        <v>20326</v>
      </c>
      <c r="C3044" s="6" t="s">
        <v>20327</v>
      </c>
      <c r="D3044" s="6" t="s">
        <v>145</v>
      </c>
      <c r="E3044" s="6" t="s">
        <v>301</v>
      </c>
      <c r="F3044" s="8">
        <v>50.0</v>
      </c>
      <c r="G3044" s="9">
        <v>452.19</v>
      </c>
      <c r="H3044" s="9">
        <v>6185.44</v>
      </c>
      <c r="I3044" s="6" t="s">
        <v>178</v>
      </c>
      <c r="J3044" s="6" t="s">
        <v>393</v>
      </c>
      <c r="K3044" s="6" t="s">
        <v>20329</v>
      </c>
      <c r="L3044" s="6">
        <v>3.4705849184E10</v>
      </c>
      <c r="M3044" s="6" t="s">
        <v>20330</v>
      </c>
      <c r="N3044" s="6" t="s">
        <v>283</v>
      </c>
      <c r="O3044" s="6" t="s">
        <v>161</v>
      </c>
      <c r="P3044" s="10">
        <v>46004.0</v>
      </c>
    </row>
    <row r="3045" ht="22.5" customHeight="1">
      <c r="A3045" s="6" t="s">
        <v>20332</v>
      </c>
      <c r="B3045" s="6" t="s">
        <v>20333</v>
      </c>
      <c r="C3045" s="6" t="s">
        <v>20334</v>
      </c>
      <c r="D3045" s="6" t="s">
        <v>145</v>
      </c>
      <c r="E3045" s="6" t="s">
        <v>147</v>
      </c>
      <c r="F3045" s="8">
        <v>14.0</v>
      </c>
      <c r="G3045" s="9">
        <v>380.38</v>
      </c>
      <c r="H3045" s="9">
        <v>13229.73</v>
      </c>
      <c r="I3045" s="6" t="s">
        <v>161</v>
      </c>
      <c r="J3045" s="6" t="s">
        <v>421</v>
      </c>
      <c r="K3045" s="6" t="s">
        <v>20336</v>
      </c>
      <c r="L3045" s="6">
        <v>5.155341701E10</v>
      </c>
      <c r="M3045" s="6" t="s">
        <v>20337</v>
      </c>
      <c r="N3045" s="6" t="s">
        <v>176</v>
      </c>
      <c r="O3045" s="6" t="s">
        <v>178</v>
      </c>
      <c r="P3045" s="10">
        <v>45977.0</v>
      </c>
    </row>
    <row r="3046" ht="22.5" customHeight="1">
      <c r="A3046" s="6" t="s">
        <v>20339</v>
      </c>
      <c r="B3046" s="6" t="s">
        <v>20340</v>
      </c>
      <c r="C3046" s="6" t="s">
        <v>20341</v>
      </c>
      <c r="D3046" s="6" t="s">
        <v>145</v>
      </c>
      <c r="E3046" s="6" t="s">
        <v>147</v>
      </c>
      <c r="F3046" s="8">
        <v>22.0</v>
      </c>
      <c r="G3046" s="9">
        <v>1655.77</v>
      </c>
      <c r="H3046" s="9">
        <v>8676.31</v>
      </c>
      <c r="I3046" s="6" t="s">
        <v>161</v>
      </c>
      <c r="J3046" s="6" t="s">
        <v>421</v>
      </c>
      <c r="K3046" s="6" t="s">
        <v>20343</v>
      </c>
      <c r="L3046" s="6">
        <v>4.4223179599E10</v>
      </c>
      <c r="M3046" s="6" t="s">
        <v>20344</v>
      </c>
      <c r="N3046" s="6" t="s">
        <v>112</v>
      </c>
      <c r="O3046" s="6" t="s">
        <v>178</v>
      </c>
      <c r="P3046" s="10">
        <v>46016.0</v>
      </c>
    </row>
    <row r="3047" ht="22.5" customHeight="1">
      <c r="A3047" s="6" t="s">
        <v>20346</v>
      </c>
      <c r="B3047" s="6" t="s">
        <v>20347</v>
      </c>
      <c r="C3047" s="6" t="s">
        <v>20348</v>
      </c>
      <c r="D3047" s="6" t="s">
        <v>383</v>
      </c>
      <c r="E3047" s="6" t="s">
        <v>147</v>
      </c>
      <c r="F3047" s="8">
        <v>20.0</v>
      </c>
      <c r="G3047" s="9">
        <v>1666.73</v>
      </c>
      <c r="H3047" s="9">
        <v>12120.17</v>
      </c>
      <c r="I3047" s="6" t="s">
        <v>178</v>
      </c>
      <c r="J3047" s="6" t="s">
        <v>577</v>
      </c>
      <c r="K3047" s="6" t="s">
        <v>259</v>
      </c>
      <c r="L3047" s="6">
        <v>9.4331687276E10</v>
      </c>
      <c r="M3047" s="6" t="s">
        <v>20351</v>
      </c>
      <c r="N3047" s="6" t="s">
        <v>283</v>
      </c>
      <c r="O3047" s="6" t="s">
        <v>161</v>
      </c>
      <c r="P3047" s="10">
        <v>45935.0</v>
      </c>
    </row>
    <row r="3048" ht="22.5" customHeight="1">
      <c r="A3048" s="6" t="s">
        <v>20352</v>
      </c>
      <c r="B3048" s="6" t="s">
        <v>20353</v>
      </c>
      <c r="C3048" s="6" t="s">
        <v>20355</v>
      </c>
      <c r="D3048" s="6" t="s">
        <v>145</v>
      </c>
      <c r="E3048" s="6" t="s">
        <v>301</v>
      </c>
      <c r="F3048" s="8">
        <v>57.0</v>
      </c>
      <c r="G3048" s="9">
        <v>139.22</v>
      </c>
      <c r="H3048" s="9">
        <v>5442.22</v>
      </c>
      <c r="I3048" s="6" t="s">
        <v>161</v>
      </c>
      <c r="J3048" s="6" t="s">
        <v>465</v>
      </c>
      <c r="K3048" s="6" t="s">
        <v>20357</v>
      </c>
      <c r="L3048" s="6">
        <v>7.3019225871E10</v>
      </c>
      <c r="M3048" s="6" t="s">
        <v>20358</v>
      </c>
      <c r="N3048" s="6" t="s">
        <v>112</v>
      </c>
      <c r="O3048" s="6" t="s">
        <v>178</v>
      </c>
      <c r="P3048" s="10">
        <v>45958.0</v>
      </c>
    </row>
    <row r="3049" ht="22.5" customHeight="1">
      <c r="A3049" s="6" t="s">
        <v>20360</v>
      </c>
      <c r="B3049" s="6" t="s">
        <v>20361</v>
      </c>
      <c r="C3049" s="6" t="s">
        <v>20362</v>
      </c>
      <c r="D3049" s="6" t="s">
        <v>145</v>
      </c>
      <c r="E3049" s="6" t="s">
        <v>147</v>
      </c>
      <c r="F3049" s="8">
        <v>6.0</v>
      </c>
      <c r="G3049" s="9">
        <v>1598.33</v>
      </c>
      <c r="H3049" s="9">
        <v>8644.09</v>
      </c>
      <c r="I3049" s="6" t="s">
        <v>178</v>
      </c>
      <c r="J3049" s="6" t="s">
        <v>312</v>
      </c>
      <c r="K3049" s="6" t="s">
        <v>20365</v>
      </c>
      <c r="L3049" s="6">
        <v>3.2926101568E10</v>
      </c>
      <c r="M3049" s="6" t="s">
        <v>20366</v>
      </c>
      <c r="N3049" s="6" t="s">
        <v>427</v>
      </c>
      <c r="O3049" s="6" t="s">
        <v>161</v>
      </c>
      <c r="P3049" s="10">
        <v>45996.0</v>
      </c>
    </row>
    <row r="3050" ht="22.5" customHeight="1">
      <c r="A3050" s="6" t="s">
        <v>20367</v>
      </c>
      <c r="B3050" s="6" t="s">
        <v>20369</v>
      </c>
      <c r="C3050" s="6" t="s">
        <v>20370</v>
      </c>
      <c r="D3050" s="6" t="s">
        <v>206</v>
      </c>
      <c r="E3050" s="6" t="s">
        <v>147</v>
      </c>
      <c r="F3050" s="8">
        <v>12.0</v>
      </c>
      <c r="G3050" s="9">
        <v>851.01</v>
      </c>
      <c r="H3050" s="9">
        <v>4100.32</v>
      </c>
      <c r="I3050" s="6" t="s">
        <v>161</v>
      </c>
      <c r="J3050" s="6" t="s">
        <v>228</v>
      </c>
      <c r="K3050" s="6" t="s">
        <v>20372</v>
      </c>
      <c r="L3050" s="6">
        <v>1.8090212129E10</v>
      </c>
      <c r="M3050" s="6" t="s">
        <v>20373</v>
      </c>
      <c r="N3050" s="6" t="s">
        <v>112</v>
      </c>
      <c r="O3050" s="6" t="s">
        <v>178</v>
      </c>
      <c r="P3050" s="10">
        <v>45997.0</v>
      </c>
    </row>
    <row r="3051" ht="22.5" customHeight="1">
      <c r="A3051" s="6" t="s">
        <v>20375</v>
      </c>
      <c r="B3051" s="6" t="s">
        <v>20376</v>
      </c>
      <c r="C3051" s="6" t="s">
        <v>20378</v>
      </c>
      <c r="D3051" s="6" t="s">
        <v>206</v>
      </c>
      <c r="E3051" s="6" t="s">
        <v>210</v>
      </c>
      <c r="F3051" s="8">
        <v>62.0</v>
      </c>
      <c r="G3051" s="9">
        <v>523.28</v>
      </c>
      <c r="H3051" s="9">
        <v>8393.43</v>
      </c>
      <c r="I3051" s="6" t="s">
        <v>178</v>
      </c>
      <c r="J3051" s="6" t="s">
        <v>163</v>
      </c>
      <c r="K3051" s="6" t="s">
        <v>20379</v>
      </c>
      <c r="L3051" s="6">
        <v>4.580484082E9</v>
      </c>
      <c r="M3051" s="6" t="s">
        <v>20381</v>
      </c>
      <c r="N3051" s="6" t="s">
        <v>259</v>
      </c>
      <c r="O3051" s="6" t="s">
        <v>161</v>
      </c>
      <c r="P3051" s="10">
        <v>46030.0</v>
      </c>
    </row>
    <row r="3052" ht="22.5" customHeight="1">
      <c r="A3052" s="6" t="s">
        <v>20382</v>
      </c>
      <c r="B3052" s="6" t="s">
        <v>20384</v>
      </c>
      <c r="C3052" s="6" t="s">
        <v>20385</v>
      </c>
      <c r="D3052" s="6" t="s">
        <v>206</v>
      </c>
      <c r="E3052" s="6" t="s">
        <v>147</v>
      </c>
      <c r="F3052" s="8">
        <v>12.0</v>
      </c>
      <c r="G3052" s="9">
        <v>590.84</v>
      </c>
      <c r="H3052" s="9">
        <v>12523.15</v>
      </c>
      <c r="I3052" s="6" t="s">
        <v>161</v>
      </c>
      <c r="J3052" s="6" t="s">
        <v>465</v>
      </c>
      <c r="K3052" s="6" t="s">
        <v>20387</v>
      </c>
      <c r="L3052" s="6">
        <v>8.987809648E9</v>
      </c>
      <c r="M3052" s="6" t="s">
        <v>20388</v>
      </c>
      <c r="N3052" s="6" t="s">
        <v>112</v>
      </c>
      <c r="O3052" s="6" t="s">
        <v>178</v>
      </c>
      <c r="P3052" s="10">
        <v>45932.0</v>
      </c>
    </row>
    <row r="3053" ht="22.5" customHeight="1">
      <c r="A3053" s="6" t="s">
        <v>20390</v>
      </c>
      <c r="B3053" s="6" t="s">
        <v>20391</v>
      </c>
      <c r="C3053" s="6" t="s">
        <v>20392</v>
      </c>
      <c r="D3053" s="6" t="s">
        <v>145</v>
      </c>
      <c r="E3053" s="6" t="s">
        <v>301</v>
      </c>
      <c r="F3053" s="8">
        <v>33.0</v>
      </c>
      <c r="G3053" s="9">
        <v>1210.22</v>
      </c>
      <c r="H3053" s="9">
        <v>11243.06</v>
      </c>
      <c r="I3053" s="6" t="s">
        <v>161</v>
      </c>
      <c r="J3053" s="6" t="s">
        <v>421</v>
      </c>
      <c r="K3053" s="6" t="s">
        <v>20394</v>
      </c>
      <c r="L3053" s="6">
        <v>8.6884113255E10</v>
      </c>
      <c r="M3053" s="6" t="s">
        <v>20395</v>
      </c>
      <c r="N3053" s="6" t="s">
        <v>176</v>
      </c>
      <c r="O3053" s="6" t="s">
        <v>178</v>
      </c>
      <c r="P3053" s="10">
        <v>46046.0</v>
      </c>
    </row>
    <row r="3054" ht="22.5" customHeight="1">
      <c r="A3054" s="6" t="s">
        <v>20397</v>
      </c>
      <c r="B3054" s="6" t="s">
        <v>20398</v>
      </c>
      <c r="C3054" s="6" t="s">
        <v>20399</v>
      </c>
      <c r="D3054" s="6" t="s">
        <v>206</v>
      </c>
      <c r="E3054" s="6" t="s">
        <v>147</v>
      </c>
      <c r="F3054" s="8">
        <v>9.0</v>
      </c>
      <c r="G3054" s="9">
        <v>1567.64</v>
      </c>
      <c r="H3054" s="9">
        <v>4207.52</v>
      </c>
      <c r="I3054" s="6" t="s">
        <v>161</v>
      </c>
      <c r="J3054" s="6" t="s">
        <v>163</v>
      </c>
      <c r="K3054" s="6" t="s">
        <v>20400</v>
      </c>
      <c r="L3054" s="6">
        <v>5.3187433105E10</v>
      </c>
      <c r="M3054" s="6" t="s">
        <v>20402</v>
      </c>
      <c r="N3054" s="6" t="s">
        <v>259</v>
      </c>
      <c r="O3054" s="6" t="s">
        <v>178</v>
      </c>
      <c r="P3054" s="10">
        <v>46020.0</v>
      </c>
    </row>
    <row r="3055" ht="22.5" customHeight="1">
      <c r="A3055" s="6" t="s">
        <v>20403</v>
      </c>
      <c r="B3055" s="6" t="s">
        <v>20404</v>
      </c>
      <c r="C3055" s="6" t="s">
        <v>20405</v>
      </c>
      <c r="D3055" s="6" t="s">
        <v>145</v>
      </c>
      <c r="E3055" s="6" t="s">
        <v>147</v>
      </c>
      <c r="F3055" s="8">
        <v>10.0</v>
      </c>
      <c r="G3055" s="9">
        <v>117.78</v>
      </c>
      <c r="H3055" s="9">
        <v>10568.98</v>
      </c>
      <c r="I3055" s="6" t="s">
        <v>161</v>
      </c>
      <c r="J3055" s="6" t="s">
        <v>163</v>
      </c>
      <c r="K3055" s="6" t="s">
        <v>259</v>
      </c>
      <c r="L3055" s="6">
        <v>6.997659979E9</v>
      </c>
      <c r="M3055" s="6" t="s">
        <v>20407</v>
      </c>
      <c r="N3055" s="6" t="s">
        <v>259</v>
      </c>
      <c r="O3055" s="6" t="s">
        <v>178</v>
      </c>
      <c r="P3055" s="10">
        <v>46045.0</v>
      </c>
    </row>
    <row r="3056" ht="22.5" customHeight="1">
      <c r="A3056" s="6" t="s">
        <v>20409</v>
      </c>
      <c r="B3056" s="6" t="s">
        <v>20410</v>
      </c>
      <c r="C3056" s="6" t="s">
        <v>20411</v>
      </c>
      <c r="D3056" s="6" t="s">
        <v>206</v>
      </c>
      <c r="E3056" s="6" t="s">
        <v>301</v>
      </c>
      <c r="F3056" s="8">
        <v>49.0</v>
      </c>
      <c r="G3056" s="9">
        <v>819.33</v>
      </c>
      <c r="H3056" s="9">
        <v>6322.31</v>
      </c>
      <c r="I3056" s="6" t="s">
        <v>161</v>
      </c>
      <c r="J3056" s="6" t="s">
        <v>357</v>
      </c>
      <c r="K3056" s="6" t="s">
        <v>20413</v>
      </c>
      <c r="L3056" s="6">
        <v>1.1648268463E10</v>
      </c>
      <c r="M3056" s="6" t="s">
        <v>20414</v>
      </c>
      <c r="N3056" s="6" t="s">
        <v>283</v>
      </c>
      <c r="O3056" s="6" t="s">
        <v>178</v>
      </c>
      <c r="P3056" s="10">
        <v>46036.0</v>
      </c>
    </row>
    <row r="3057" ht="22.5" customHeight="1">
      <c r="A3057" s="6" t="s">
        <v>20416</v>
      </c>
      <c r="B3057" s="6" t="s">
        <v>20417</v>
      </c>
      <c r="C3057" s="6" t="s">
        <v>20418</v>
      </c>
      <c r="D3057" s="6" t="s">
        <v>206</v>
      </c>
      <c r="E3057" s="6" t="s">
        <v>147</v>
      </c>
      <c r="F3057" s="8">
        <v>23.0</v>
      </c>
      <c r="G3057" s="9">
        <v>917.83</v>
      </c>
      <c r="H3057" s="9">
        <v>6673.44</v>
      </c>
      <c r="I3057" s="6" t="s">
        <v>161</v>
      </c>
      <c r="J3057" s="6" t="s">
        <v>393</v>
      </c>
      <c r="K3057" s="6" t="s">
        <v>20420</v>
      </c>
      <c r="L3057" s="6">
        <v>3.0431395976E10</v>
      </c>
      <c r="M3057" s="6" t="s">
        <v>20421</v>
      </c>
      <c r="N3057" s="6" t="s">
        <v>283</v>
      </c>
      <c r="O3057" s="6" t="s">
        <v>178</v>
      </c>
      <c r="P3057" s="10">
        <v>45976.0</v>
      </c>
    </row>
    <row r="3058" ht="22.5" customHeight="1">
      <c r="A3058" s="6" t="s">
        <v>20422</v>
      </c>
      <c r="B3058" s="6" t="s">
        <v>20424</v>
      </c>
      <c r="C3058" s="6" t="s">
        <v>20425</v>
      </c>
      <c r="D3058" s="6" t="s">
        <v>145</v>
      </c>
      <c r="E3058" s="6" t="s">
        <v>301</v>
      </c>
      <c r="F3058" s="8">
        <v>32.0</v>
      </c>
      <c r="G3058" s="9">
        <v>636.91</v>
      </c>
      <c r="H3058" s="9">
        <v>2282.43</v>
      </c>
      <c r="I3058" s="6" t="s">
        <v>161</v>
      </c>
      <c r="J3058" s="6" t="s">
        <v>312</v>
      </c>
      <c r="K3058" s="6" t="s">
        <v>20427</v>
      </c>
      <c r="L3058" s="6">
        <v>9.6366232838E10</v>
      </c>
      <c r="M3058" s="6" t="s">
        <v>20428</v>
      </c>
      <c r="N3058" s="6" t="s">
        <v>283</v>
      </c>
      <c r="O3058" s="6" t="s">
        <v>178</v>
      </c>
      <c r="P3058" s="10">
        <v>45932.0</v>
      </c>
    </row>
    <row r="3059" ht="22.5" customHeight="1">
      <c r="A3059" s="6" t="s">
        <v>20430</v>
      </c>
      <c r="B3059" s="6" t="s">
        <v>20431</v>
      </c>
      <c r="C3059" s="6" t="s">
        <v>20432</v>
      </c>
      <c r="D3059" s="6" t="s">
        <v>145</v>
      </c>
      <c r="E3059" s="6" t="s">
        <v>301</v>
      </c>
      <c r="F3059" s="8">
        <v>40.0</v>
      </c>
      <c r="G3059" s="9">
        <v>1148.2</v>
      </c>
      <c r="H3059" s="9">
        <v>7091.76</v>
      </c>
      <c r="I3059" s="6" t="s">
        <v>161</v>
      </c>
      <c r="J3059" s="6" t="s">
        <v>465</v>
      </c>
      <c r="K3059" s="6" t="s">
        <v>20435</v>
      </c>
      <c r="L3059" s="6">
        <v>8.5180937282E10</v>
      </c>
      <c r="M3059" s="6" t="s">
        <v>20436</v>
      </c>
      <c r="N3059" s="6" t="s">
        <v>259</v>
      </c>
      <c r="O3059" s="6" t="s">
        <v>178</v>
      </c>
      <c r="P3059" s="10">
        <v>46019.0</v>
      </c>
    </row>
    <row r="3060" ht="22.5" customHeight="1">
      <c r="A3060" s="6" t="s">
        <v>20437</v>
      </c>
      <c r="B3060" s="6" t="s">
        <v>20438</v>
      </c>
      <c r="C3060" s="6" t="s">
        <v>20439</v>
      </c>
      <c r="D3060" s="6" t="s">
        <v>206</v>
      </c>
      <c r="E3060" s="6" t="s">
        <v>147</v>
      </c>
      <c r="F3060" s="8">
        <v>29.0</v>
      </c>
      <c r="G3060" s="9">
        <v>169.29</v>
      </c>
      <c r="H3060" s="9">
        <v>8368.72</v>
      </c>
      <c r="I3060" s="6" t="s">
        <v>161</v>
      </c>
      <c r="J3060" s="6" t="s">
        <v>577</v>
      </c>
      <c r="K3060" s="6" t="s">
        <v>20441</v>
      </c>
      <c r="L3060" s="6">
        <v>9.9822282245E10</v>
      </c>
      <c r="M3060" s="6" t="s">
        <v>20443</v>
      </c>
      <c r="N3060" s="6" t="s">
        <v>259</v>
      </c>
      <c r="O3060" s="6" t="s">
        <v>178</v>
      </c>
      <c r="P3060" s="10">
        <v>45972.0</v>
      </c>
    </row>
    <row r="3061" ht="22.5" customHeight="1">
      <c r="A3061" s="6" t="s">
        <v>20444</v>
      </c>
      <c r="B3061" s="6" t="s">
        <v>20445</v>
      </c>
      <c r="C3061" s="6" t="s">
        <v>20447</v>
      </c>
      <c r="D3061" s="6" t="s">
        <v>206</v>
      </c>
      <c r="E3061" s="6" t="s">
        <v>147</v>
      </c>
      <c r="F3061" s="8">
        <v>25.0</v>
      </c>
      <c r="G3061" s="9">
        <v>868.53</v>
      </c>
      <c r="H3061" s="9">
        <v>11251.45</v>
      </c>
      <c r="I3061" s="6" t="s">
        <v>161</v>
      </c>
      <c r="J3061" s="6" t="s">
        <v>479</v>
      </c>
      <c r="K3061" s="6" t="s">
        <v>20448</v>
      </c>
      <c r="L3061" s="6">
        <v>2.9997316221E10</v>
      </c>
      <c r="M3061" s="6" t="s">
        <v>20449</v>
      </c>
      <c r="N3061" s="6" t="s">
        <v>176</v>
      </c>
      <c r="O3061" s="6" t="s">
        <v>178</v>
      </c>
      <c r="P3061" s="10">
        <v>45939.0</v>
      </c>
    </row>
    <row r="3062" ht="22.5" customHeight="1">
      <c r="A3062" s="6" t="s">
        <v>20451</v>
      </c>
      <c r="B3062" s="6" t="s">
        <v>20452</v>
      </c>
      <c r="C3062" s="6" t="s">
        <v>20453</v>
      </c>
      <c r="D3062" s="6" t="s">
        <v>145</v>
      </c>
      <c r="E3062" s="6" t="s">
        <v>210</v>
      </c>
      <c r="F3062" s="8">
        <v>82.0</v>
      </c>
      <c r="G3062" s="9">
        <v>1618.31</v>
      </c>
      <c r="H3062" s="9">
        <v>2272.44</v>
      </c>
      <c r="I3062" s="6" t="s">
        <v>178</v>
      </c>
      <c r="J3062" s="6" t="s">
        <v>312</v>
      </c>
      <c r="K3062" s="6" t="s">
        <v>20456</v>
      </c>
      <c r="L3062" s="6">
        <v>4.67093838E9</v>
      </c>
      <c r="M3062" s="6" t="s">
        <v>20457</v>
      </c>
      <c r="N3062" s="6" t="s">
        <v>427</v>
      </c>
      <c r="O3062" s="6" t="s">
        <v>161</v>
      </c>
      <c r="P3062" s="10">
        <v>45993.0</v>
      </c>
    </row>
    <row r="3063" ht="22.5" customHeight="1">
      <c r="A3063" s="6" t="s">
        <v>20458</v>
      </c>
      <c r="B3063" s="6" t="s">
        <v>20460</v>
      </c>
      <c r="C3063" s="6" t="s">
        <v>20461</v>
      </c>
      <c r="D3063" s="6" t="s">
        <v>206</v>
      </c>
      <c r="E3063" s="6" t="s">
        <v>210</v>
      </c>
      <c r="F3063" s="8">
        <v>90.0</v>
      </c>
      <c r="G3063" s="9">
        <v>1595.94</v>
      </c>
      <c r="H3063" s="9">
        <v>5581.6</v>
      </c>
      <c r="I3063" s="6" t="s">
        <v>178</v>
      </c>
      <c r="J3063" s="6" t="s">
        <v>393</v>
      </c>
      <c r="K3063" s="6" t="s">
        <v>20463</v>
      </c>
      <c r="L3063" s="6">
        <v>7.4921029968E10</v>
      </c>
      <c r="M3063" s="6" t="s">
        <v>20464</v>
      </c>
      <c r="N3063" s="6" t="s">
        <v>176</v>
      </c>
      <c r="O3063" s="6" t="s">
        <v>161</v>
      </c>
      <c r="P3063" s="10">
        <v>45973.0</v>
      </c>
    </row>
    <row r="3064" ht="22.5" customHeight="1">
      <c r="A3064" s="6" t="s">
        <v>20466</v>
      </c>
      <c r="B3064" s="6" t="s">
        <v>20467</v>
      </c>
      <c r="C3064" s="6" t="s">
        <v>20468</v>
      </c>
      <c r="D3064" s="6" t="s">
        <v>206</v>
      </c>
      <c r="E3064" s="6" t="s">
        <v>301</v>
      </c>
      <c r="F3064" s="8">
        <v>30.0</v>
      </c>
      <c r="G3064" s="9">
        <v>645.81</v>
      </c>
      <c r="H3064" s="9">
        <v>7742.21</v>
      </c>
      <c r="I3064" s="6" t="s">
        <v>178</v>
      </c>
      <c r="J3064" s="6" t="s">
        <v>421</v>
      </c>
      <c r="K3064" s="6" t="s">
        <v>20470</v>
      </c>
      <c r="L3064" s="6">
        <v>5.5559399302E10</v>
      </c>
      <c r="M3064" s="6" t="s">
        <v>20471</v>
      </c>
      <c r="N3064" s="6" t="s">
        <v>112</v>
      </c>
      <c r="O3064" s="6" t="s">
        <v>161</v>
      </c>
      <c r="P3064" s="10">
        <v>45996.0</v>
      </c>
    </row>
    <row r="3065" ht="22.5" customHeight="1">
      <c r="A3065" s="6" t="s">
        <v>20473</v>
      </c>
      <c r="B3065" s="6" t="s">
        <v>20474</v>
      </c>
      <c r="C3065" s="6" t="s">
        <v>20475</v>
      </c>
      <c r="D3065" s="6" t="s">
        <v>206</v>
      </c>
      <c r="E3065" s="6" t="s">
        <v>301</v>
      </c>
      <c r="F3065" s="8">
        <v>35.0</v>
      </c>
      <c r="G3065" s="9">
        <v>924.41</v>
      </c>
      <c r="H3065" s="9">
        <v>12561.39</v>
      </c>
      <c r="I3065" s="6" t="s">
        <v>161</v>
      </c>
      <c r="J3065" s="6" t="s">
        <v>228</v>
      </c>
      <c r="K3065" s="6" t="s">
        <v>20477</v>
      </c>
      <c r="L3065" s="6">
        <v>2.3881466867E10</v>
      </c>
      <c r="M3065" s="6" t="s">
        <v>20478</v>
      </c>
      <c r="N3065" s="6" t="s">
        <v>427</v>
      </c>
      <c r="O3065" s="6" t="s">
        <v>178</v>
      </c>
      <c r="P3065" s="10">
        <v>46042.0</v>
      </c>
    </row>
    <row r="3066" ht="22.5" customHeight="1">
      <c r="A3066" s="6" t="s">
        <v>20480</v>
      </c>
      <c r="B3066" s="6" t="s">
        <v>20482</v>
      </c>
      <c r="C3066" s="6" t="s">
        <v>20483</v>
      </c>
      <c r="D3066" s="6" t="s">
        <v>206</v>
      </c>
      <c r="E3066" s="6" t="s">
        <v>147</v>
      </c>
      <c r="F3066" s="8">
        <v>9.0</v>
      </c>
      <c r="G3066" s="9">
        <v>651.19</v>
      </c>
      <c r="H3066" s="9">
        <v>12850.31</v>
      </c>
      <c r="I3066" s="6" t="s">
        <v>161</v>
      </c>
      <c r="J3066" s="6" t="s">
        <v>465</v>
      </c>
      <c r="K3066" s="6" t="s">
        <v>20485</v>
      </c>
      <c r="L3066" s="6">
        <v>9.6101690636E10</v>
      </c>
      <c r="M3066" s="6" t="s">
        <v>20487</v>
      </c>
      <c r="N3066" s="6" t="s">
        <v>176</v>
      </c>
      <c r="O3066" s="6" t="s">
        <v>178</v>
      </c>
      <c r="P3066" s="10">
        <v>46020.0</v>
      </c>
    </row>
    <row r="3067" ht="22.5" customHeight="1">
      <c r="A3067" s="6" t="s">
        <v>20488</v>
      </c>
      <c r="B3067" s="6" t="s">
        <v>20489</v>
      </c>
      <c r="C3067" s="6" t="s">
        <v>20490</v>
      </c>
      <c r="D3067" s="6" t="s">
        <v>145</v>
      </c>
      <c r="E3067" s="6" t="s">
        <v>301</v>
      </c>
      <c r="F3067" s="8">
        <v>30.0</v>
      </c>
      <c r="G3067" s="9">
        <v>1730.93</v>
      </c>
      <c r="H3067" s="9">
        <v>9741.43</v>
      </c>
      <c r="I3067" s="6" t="s">
        <v>161</v>
      </c>
      <c r="J3067" s="6" t="s">
        <v>163</v>
      </c>
      <c r="K3067" s="6" t="s">
        <v>20492</v>
      </c>
      <c r="L3067" s="6">
        <v>5.9093450927E10</v>
      </c>
      <c r="M3067" s="6" t="s">
        <v>20494</v>
      </c>
      <c r="N3067" s="6" t="s">
        <v>259</v>
      </c>
      <c r="O3067" s="6" t="s">
        <v>178</v>
      </c>
      <c r="P3067" s="10">
        <v>46008.0</v>
      </c>
    </row>
    <row r="3068" ht="22.5" customHeight="1">
      <c r="A3068" s="6" t="s">
        <v>20495</v>
      </c>
      <c r="B3068" s="6" t="s">
        <v>20496</v>
      </c>
      <c r="C3068" s="6" t="s">
        <v>20498</v>
      </c>
      <c r="D3068" s="6" t="s">
        <v>145</v>
      </c>
      <c r="E3068" s="6" t="s">
        <v>210</v>
      </c>
      <c r="F3068" s="8">
        <v>80.0</v>
      </c>
      <c r="G3068" s="9">
        <v>1178.87</v>
      </c>
      <c r="H3068" s="9">
        <v>10390.16</v>
      </c>
      <c r="I3068" s="6" t="s">
        <v>178</v>
      </c>
      <c r="J3068" s="6" t="s">
        <v>393</v>
      </c>
      <c r="K3068" s="6" t="s">
        <v>20500</v>
      </c>
      <c r="L3068" s="6">
        <v>4.3285290704E10</v>
      </c>
      <c r="M3068" s="6" t="s">
        <v>20501</v>
      </c>
      <c r="N3068" s="6" t="s">
        <v>176</v>
      </c>
      <c r="O3068" s="6" t="s">
        <v>161</v>
      </c>
      <c r="P3068" s="10">
        <v>45953.0</v>
      </c>
    </row>
    <row r="3069" ht="22.5" customHeight="1">
      <c r="A3069" s="6" t="s">
        <v>20503</v>
      </c>
      <c r="B3069" s="6" t="s">
        <v>20504</v>
      </c>
      <c r="C3069" s="6" t="s">
        <v>20505</v>
      </c>
      <c r="D3069" s="6" t="s">
        <v>206</v>
      </c>
      <c r="E3069" s="6" t="s">
        <v>210</v>
      </c>
      <c r="F3069" s="8">
        <v>66.0</v>
      </c>
      <c r="G3069" s="9">
        <v>503.06</v>
      </c>
      <c r="H3069" s="9">
        <v>13689.89</v>
      </c>
      <c r="I3069" s="6" t="s">
        <v>161</v>
      </c>
      <c r="J3069" s="6" t="s">
        <v>312</v>
      </c>
      <c r="K3069" s="6" t="s">
        <v>20507</v>
      </c>
      <c r="L3069" s="6">
        <v>8.3525756829E10</v>
      </c>
      <c r="M3069" s="6" t="s">
        <v>20508</v>
      </c>
      <c r="N3069" s="6" t="s">
        <v>112</v>
      </c>
      <c r="O3069" s="6" t="s">
        <v>161</v>
      </c>
      <c r="P3069" s="10">
        <v>45968.0</v>
      </c>
    </row>
    <row r="3070" ht="22.5" customHeight="1">
      <c r="A3070" s="6" t="s">
        <v>20510</v>
      </c>
      <c r="B3070" s="6" t="s">
        <v>20511</v>
      </c>
      <c r="C3070" s="6" t="s">
        <v>20513</v>
      </c>
      <c r="D3070" s="6" t="s">
        <v>206</v>
      </c>
      <c r="E3070" s="6" t="s">
        <v>210</v>
      </c>
      <c r="F3070" s="8">
        <v>117.0</v>
      </c>
      <c r="G3070" s="9">
        <v>100.18</v>
      </c>
      <c r="H3070" s="9">
        <v>8650.29</v>
      </c>
      <c r="I3070" s="6" t="s">
        <v>178</v>
      </c>
      <c r="J3070" s="6" t="s">
        <v>479</v>
      </c>
      <c r="K3070" s="6" t="s">
        <v>20514</v>
      </c>
      <c r="L3070" s="6">
        <v>4.5438913416E10</v>
      </c>
      <c r="M3070" s="6" t="s">
        <v>20516</v>
      </c>
      <c r="N3070" s="6" t="s">
        <v>112</v>
      </c>
      <c r="O3070" s="6" t="s">
        <v>161</v>
      </c>
      <c r="P3070" s="10">
        <v>46045.0</v>
      </c>
    </row>
    <row r="3071" ht="22.5" customHeight="1">
      <c r="A3071" s="6" t="s">
        <v>20518</v>
      </c>
      <c r="B3071" s="6" t="s">
        <v>20519</v>
      </c>
      <c r="C3071" s="6" t="s">
        <v>20520</v>
      </c>
      <c r="D3071" s="6" t="s">
        <v>206</v>
      </c>
      <c r="E3071" s="6" t="s">
        <v>147</v>
      </c>
      <c r="F3071" s="8">
        <v>15.0</v>
      </c>
      <c r="G3071" s="9">
        <v>321.32</v>
      </c>
      <c r="H3071" s="9">
        <v>9709.98</v>
      </c>
      <c r="I3071" s="6" t="s">
        <v>161</v>
      </c>
      <c r="J3071" s="6" t="s">
        <v>393</v>
      </c>
      <c r="K3071" s="6" t="s">
        <v>20522</v>
      </c>
      <c r="L3071" s="6">
        <v>4.3350571306E10</v>
      </c>
      <c r="M3071" s="6" t="s">
        <v>20524</v>
      </c>
      <c r="N3071" s="6" t="s">
        <v>427</v>
      </c>
      <c r="O3071" s="6" t="s">
        <v>178</v>
      </c>
      <c r="P3071" s="10">
        <v>45999.0</v>
      </c>
    </row>
    <row r="3072" ht="22.5" customHeight="1">
      <c r="A3072" s="6" t="s">
        <v>20525</v>
      </c>
      <c r="B3072" s="6" t="s">
        <v>20527</v>
      </c>
      <c r="C3072" s="6" t="s">
        <v>20528</v>
      </c>
      <c r="D3072" s="6" t="s">
        <v>206</v>
      </c>
      <c r="E3072" s="6" t="s">
        <v>147</v>
      </c>
      <c r="F3072" s="8">
        <v>23.0</v>
      </c>
      <c r="G3072" s="9">
        <v>1570.13</v>
      </c>
      <c r="H3072" s="9">
        <v>5681.99</v>
      </c>
      <c r="I3072" s="6" t="s">
        <v>161</v>
      </c>
      <c r="J3072" s="6" t="s">
        <v>442</v>
      </c>
      <c r="K3072" s="6" t="s">
        <v>20530</v>
      </c>
      <c r="L3072" s="6">
        <v>6.6149604637E10</v>
      </c>
      <c r="M3072" s="6" t="s">
        <v>20531</v>
      </c>
      <c r="N3072" s="6" t="s">
        <v>112</v>
      </c>
      <c r="O3072" s="6" t="s">
        <v>178</v>
      </c>
      <c r="P3072" s="10">
        <v>46039.0</v>
      </c>
    </row>
    <row r="3073" ht="22.5" customHeight="1">
      <c r="A3073" s="6" t="s">
        <v>20533</v>
      </c>
      <c r="B3073" s="6" t="s">
        <v>20534</v>
      </c>
      <c r="C3073" s="6" t="s">
        <v>20536</v>
      </c>
      <c r="D3073" s="6" t="s">
        <v>145</v>
      </c>
      <c r="E3073" s="6" t="s">
        <v>147</v>
      </c>
      <c r="F3073" s="8">
        <v>5.0</v>
      </c>
      <c r="G3073" s="9">
        <v>1546.09</v>
      </c>
      <c r="H3073" s="9">
        <v>7313.43</v>
      </c>
      <c r="I3073" s="6" t="s">
        <v>161</v>
      </c>
      <c r="J3073" s="6" t="s">
        <v>393</v>
      </c>
      <c r="K3073" s="6" t="s">
        <v>20538</v>
      </c>
      <c r="L3073" s="6">
        <v>3.006664105E10</v>
      </c>
      <c r="M3073" s="6" t="s">
        <v>20539</v>
      </c>
      <c r="N3073" s="6" t="s">
        <v>283</v>
      </c>
      <c r="O3073" s="6" t="s">
        <v>178</v>
      </c>
      <c r="P3073" s="10">
        <v>45933.0</v>
      </c>
    </row>
    <row r="3074" ht="22.5" customHeight="1">
      <c r="A3074" s="6" t="s">
        <v>20541</v>
      </c>
      <c r="B3074" s="6" t="s">
        <v>20542</v>
      </c>
      <c r="C3074" s="6" t="s">
        <v>20543</v>
      </c>
      <c r="D3074" s="6" t="s">
        <v>206</v>
      </c>
      <c r="E3074" s="6" t="s">
        <v>301</v>
      </c>
      <c r="F3074" s="8">
        <v>48.0</v>
      </c>
      <c r="G3074" s="9">
        <v>1538.58</v>
      </c>
      <c r="H3074" s="9">
        <v>8675.51</v>
      </c>
      <c r="I3074" s="6" t="s">
        <v>161</v>
      </c>
      <c r="J3074" s="6" t="s">
        <v>259</v>
      </c>
      <c r="K3074" s="6" t="s">
        <v>20545</v>
      </c>
      <c r="L3074" s="6">
        <v>7.5706586804E10</v>
      </c>
      <c r="M3074" s="6" t="s">
        <v>20546</v>
      </c>
      <c r="N3074" s="6" t="s">
        <v>176</v>
      </c>
      <c r="O3074" s="6" t="s">
        <v>178</v>
      </c>
      <c r="P3074" s="10">
        <v>46024.0</v>
      </c>
    </row>
    <row r="3075" ht="22.5" customHeight="1">
      <c r="A3075" s="6" t="s">
        <v>20548</v>
      </c>
      <c r="B3075" s="6" t="s">
        <v>20549</v>
      </c>
      <c r="C3075" s="6" t="s">
        <v>20550</v>
      </c>
      <c r="D3075" s="6" t="s">
        <v>145</v>
      </c>
      <c r="E3075" s="6" t="s">
        <v>147</v>
      </c>
      <c r="F3075" s="8">
        <v>16.0</v>
      </c>
      <c r="G3075" s="9">
        <v>793.93</v>
      </c>
      <c r="H3075" s="9">
        <v>13809.59</v>
      </c>
      <c r="I3075" s="6" t="s">
        <v>161</v>
      </c>
      <c r="J3075" s="6" t="s">
        <v>2502</v>
      </c>
      <c r="K3075" s="6" t="s">
        <v>259</v>
      </c>
      <c r="L3075" s="6">
        <v>2.778781777E10</v>
      </c>
      <c r="M3075" s="6" t="s">
        <v>20553</v>
      </c>
      <c r="N3075" s="6" t="s">
        <v>283</v>
      </c>
      <c r="O3075" s="6" t="s">
        <v>178</v>
      </c>
      <c r="P3075" s="10">
        <v>45946.0</v>
      </c>
    </row>
    <row r="3076" ht="22.5" customHeight="1">
      <c r="A3076" s="6" t="s">
        <v>20555</v>
      </c>
      <c r="B3076" s="6" t="s">
        <v>20556</v>
      </c>
      <c r="C3076" s="6" t="s">
        <v>20557</v>
      </c>
      <c r="D3076" s="6" t="s">
        <v>145</v>
      </c>
      <c r="E3076" s="6" t="s">
        <v>210</v>
      </c>
      <c r="F3076" s="8">
        <v>105.0</v>
      </c>
      <c r="G3076" s="9">
        <v>778.66</v>
      </c>
      <c r="H3076" s="9">
        <v>10674.95</v>
      </c>
      <c r="I3076" s="6" t="s">
        <v>178</v>
      </c>
      <c r="J3076" s="6" t="s">
        <v>163</v>
      </c>
      <c r="K3076" s="6" t="s">
        <v>20559</v>
      </c>
      <c r="L3076" s="6">
        <v>1.6231418167E10</v>
      </c>
      <c r="M3076" s="6" t="s">
        <v>20560</v>
      </c>
      <c r="N3076" s="6" t="s">
        <v>176</v>
      </c>
      <c r="O3076" s="6" t="s">
        <v>161</v>
      </c>
      <c r="P3076" s="10">
        <v>45984.0</v>
      </c>
    </row>
    <row r="3077" ht="22.5" customHeight="1">
      <c r="A3077" s="6" t="s">
        <v>20561</v>
      </c>
      <c r="B3077" s="6" t="s">
        <v>20563</v>
      </c>
      <c r="C3077" s="6" t="s">
        <v>20564</v>
      </c>
      <c r="D3077" s="6" t="s">
        <v>145</v>
      </c>
      <c r="E3077" s="6" t="s">
        <v>301</v>
      </c>
      <c r="F3077" s="8">
        <v>41.0</v>
      </c>
      <c r="G3077" s="9">
        <v>119.51</v>
      </c>
      <c r="H3077" s="9">
        <v>13087.89</v>
      </c>
      <c r="I3077" s="6" t="s">
        <v>161</v>
      </c>
      <c r="J3077" s="6" t="s">
        <v>479</v>
      </c>
      <c r="K3077" s="6" t="s">
        <v>20566</v>
      </c>
      <c r="L3077" s="6">
        <v>7.1755060936E10</v>
      </c>
      <c r="M3077" s="6" t="s">
        <v>20567</v>
      </c>
      <c r="N3077" s="6" t="s">
        <v>259</v>
      </c>
      <c r="O3077" s="6" t="s">
        <v>178</v>
      </c>
      <c r="P3077" s="10">
        <v>45940.0</v>
      </c>
    </row>
    <row r="3078" ht="22.5" customHeight="1">
      <c r="A3078" s="6" t="s">
        <v>20569</v>
      </c>
      <c r="B3078" s="6" t="s">
        <v>20570</v>
      </c>
      <c r="C3078" s="6" t="s">
        <v>20571</v>
      </c>
      <c r="D3078" s="6" t="s">
        <v>145</v>
      </c>
      <c r="E3078" s="6" t="s">
        <v>147</v>
      </c>
      <c r="F3078" s="8">
        <v>24.0</v>
      </c>
      <c r="G3078" s="9">
        <v>1761.24</v>
      </c>
      <c r="H3078" s="9">
        <v>2572.48</v>
      </c>
      <c r="I3078" s="6" t="s">
        <v>161</v>
      </c>
      <c r="J3078" s="6" t="s">
        <v>577</v>
      </c>
      <c r="K3078" s="6" t="s">
        <v>20573</v>
      </c>
      <c r="L3078" s="6">
        <v>7.0083640287E10</v>
      </c>
      <c r="M3078" s="6" t="s">
        <v>20574</v>
      </c>
      <c r="N3078" s="6" t="s">
        <v>283</v>
      </c>
      <c r="O3078" s="6" t="s">
        <v>178</v>
      </c>
      <c r="P3078" s="10">
        <v>45991.0</v>
      </c>
    </row>
    <row r="3079" ht="22.5" customHeight="1">
      <c r="A3079" s="6" t="s">
        <v>20576</v>
      </c>
      <c r="B3079" s="6" t="s">
        <v>20577</v>
      </c>
      <c r="C3079" s="6" t="s">
        <v>20579</v>
      </c>
      <c r="D3079" s="6" t="s">
        <v>383</v>
      </c>
      <c r="E3079" s="6" t="s">
        <v>301</v>
      </c>
      <c r="F3079" s="8">
        <v>44.0</v>
      </c>
      <c r="G3079" s="9">
        <v>1252.11</v>
      </c>
      <c r="H3079" s="9">
        <v>10528.14</v>
      </c>
      <c r="I3079" s="6" t="s">
        <v>161</v>
      </c>
      <c r="J3079" s="6" t="s">
        <v>421</v>
      </c>
      <c r="K3079" s="6" t="s">
        <v>20581</v>
      </c>
      <c r="L3079" s="6">
        <v>6.88246523E10</v>
      </c>
      <c r="M3079" s="6" t="s">
        <v>20582</v>
      </c>
      <c r="N3079" s="6" t="s">
        <v>259</v>
      </c>
      <c r="O3079" s="6" t="s">
        <v>178</v>
      </c>
      <c r="P3079" s="10">
        <v>45980.0</v>
      </c>
    </row>
    <row r="3080" ht="22.5" customHeight="1">
      <c r="A3080" s="6" t="s">
        <v>20584</v>
      </c>
      <c r="B3080" s="6" t="s">
        <v>20585</v>
      </c>
      <c r="C3080" s="6" t="s">
        <v>20586</v>
      </c>
      <c r="D3080" s="6" t="s">
        <v>145</v>
      </c>
      <c r="E3080" s="6" t="s">
        <v>147</v>
      </c>
      <c r="F3080" s="8">
        <v>24.0</v>
      </c>
      <c r="G3080" s="9">
        <v>422.36</v>
      </c>
      <c r="H3080" s="9">
        <v>13604.8</v>
      </c>
      <c r="I3080" s="6" t="s">
        <v>161</v>
      </c>
      <c r="J3080" s="6" t="s">
        <v>577</v>
      </c>
      <c r="K3080" s="6" t="s">
        <v>20588</v>
      </c>
      <c r="L3080" s="6">
        <v>3.8180594821E10</v>
      </c>
      <c r="M3080" s="6" t="s">
        <v>20590</v>
      </c>
      <c r="N3080" s="6" t="s">
        <v>112</v>
      </c>
      <c r="O3080" s="6" t="s">
        <v>178</v>
      </c>
      <c r="P3080" s="10">
        <v>45933.0</v>
      </c>
    </row>
    <row r="3081" ht="22.5" customHeight="1">
      <c r="A3081" s="6" t="s">
        <v>20592</v>
      </c>
      <c r="B3081" s="6" t="s">
        <v>20593</v>
      </c>
      <c r="C3081" s="6" t="s">
        <v>20594</v>
      </c>
      <c r="D3081" s="6" t="s">
        <v>145</v>
      </c>
      <c r="E3081" s="6" t="s">
        <v>147</v>
      </c>
      <c r="F3081" s="8">
        <v>20.0</v>
      </c>
      <c r="G3081" s="9">
        <v>1329.7</v>
      </c>
      <c r="H3081" s="9">
        <v>4452.06</v>
      </c>
      <c r="I3081" s="6" t="s">
        <v>161</v>
      </c>
      <c r="J3081" s="6" t="s">
        <v>393</v>
      </c>
      <c r="K3081" s="6" t="s">
        <v>20596</v>
      </c>
      <c r="L3081" s="6">
        <v>9.2928518048E10</v>
      </c>
      <c r="M3081" s="6" t="s">
        <v>20598</v>
      </c>
      <c r="N3081" s="6" t="s">
        <v>259</v>
      </c>
      <c r="O3081" s="6" t="s">
        <v>178</v>
      </c>
      <c r="P3081" s="10">
        <v>45982.0</v>
      </c>
    </row>
    <row r="3082" ht="22.5" customHeight="1">
      <c r="A3082" s="6" t="s">
        <v>20599</v>
      </c>
      <c r="B3082" s="6" t="s">
        <v>20601</v>
      </c>
      <c r="C3082" s="6" t="s">
        <v>20602</v>
      </c>
      <c r="D3082" s="6" t="s">
        <v>145</v>
      </c>
      <c r="E3082" s="6" t="s">
        <v>301</v>
      </c>
      <c r="F3082" s="8">
        <v>56.0</v>
      </c>
      <c r="G3082" s="9">
        <v>545.5</v>
      </c>
      <c r="H3082" s="9">
        <v>12023.94</v>
      </c>
      <c r="I3082" s="6" t="s">
        <v>161</v>
      </c>
      <c r="J3082" s="6" t="s">
        <v>312</v>
      </c>
      <c r="K3082" s="6" t="s">
        <v>20604</v>
      </c>
      <c r="L3082" s="6">
        <v>9.6503851945E10</v>
      </c>
      <c r="M3082" s="6" t="s">
        <v>20605</v>
      </c>
      <c r="N3082" s="6" t="s">
        <v>259</v>
      </c>
      <c r="O3082" s="6" t="s">
        <v>178</v>
      </c>
      <c r="P3082" s="10">
        <v>45958.0</v>
      </c>
    </row>
    <row r="3083" ht="22.5" customHeight="1">
      <c r="A3083" s="6" t="s">
        <v>20607</v>
      </c>
      <c r="B3083" s="6" t="s">
        <v>20608</v>
      </c>
      <c r="C3083" s="6" t="s">
        <v>20609</v>
      </c>
      <c r="D3083" s="6" t="s">
        <v>145</v>
      </c>
      <c r="E3083" s="6" t="s">
        <v>301</v>
      </c>
      <c r="F3083" s="8">
        <v>35.0</v>
      </c>
      <c r="G3083" s="9">
        <v>344.13</v>
      </c>
      <c r="H3083" s="9">
        <v>3359.99</v>
      </c>
      <c r="I3083" s="6" t="s">
        <v>161</v>
      </c>
      <c r="J3083" s="6" t="s">
        <v>228</v>
      </c>
      <c r="K3083" s="6" t="s">
        <v>20611</v>
      </c>
      <c r="L3083" s="6">
        <v>9.829954789E10</v>
      </c>
      <c r="M3083" s="6" t="s">
        <v>20612</v>
      </c>
      <c r="N3083" s="6" t="s">
        <v>283</v>
      </c>
      <c r="O3083" s="6" t="s">
        <v>178</v>
      </c>
      <c r="P3083" s="10">
        <v>45955.0</v>
      </c>
    </row>
    <row r="3084" ht="22.5" customHeight="1">
      <c r="A3084" s="6" t="s">
        <v>20613</v>
      </c>
      <c r="B3084" s="6" t="s">
        <v>20615</v>
      </c>
      <c r="C3084" s="6" t="s">
        <v>20616</v>
      </c>
      <c r="D3084" s="6" t="s">
        <v>206</v>
      </c>
      <c r="E3084" s="6" t="s">
        <v>147</v>
      </c>
      <c r="F3084" s="8">
        <v>28.0</v>
      </c>
      <c r="G3084" s="9">
        <v>419.89</v>
      </c>
      <c r="H3084" s="9">
        <v>12514.92</v>
      </c>
      <c r="I3084" s="6" t="s">
        <v>178</v>
      </c>
      <c r="J3084" s="6" t="s">
        <v>479</v>
      </c>
      <c r="K3084" s="6" t="s">
        <v>20618</v>
      </c>
      <c r="L3084" s="6">
        <v>1.1441607354E10</v>
      </c>
      <c r="M3084" s="6" t="s">
        <v>20619</v>
      </c>
      <c r="N3084" s="6" t="s">
        <v>112</v>
      </c>
      <c r="O3084" s="6" t="s">
        <v>161</v>
      </c>
      <c r="P3084" s="10">
        <v>46049.0</v>
      </c>
    </row>
    <row r="3085" ht="22.5" customHeight="1">
      <c r="A3085" s="6" t="s">
        <v>20621</v>
      </c>
      <c r="B3085" s="6" t="s">
        <v>20622</v>
      </c>
      <c r="C3085" s="6" t="s">
        <v>20623</v>
      </c>
      <c r="D3085" s="6" t="s">
        <v>145</v>
      </c>
      <c r="E3085" s="6" t="s">
        <v>147</v>
      </c>
      <c r="F3085" s="8">
        <v>7.0</v>
      </c>
      <c r="G3085" s="9">
        <v>609.79</v>
      </c>
      <c r="H3085" s="9">
        <v>1902.16</v>
      </c>
      <c r="I3085" s="6" t="s">
        <v>178</v>
      </c>
      <c r="J3085" s="6" t="s">
        <v>4705</v>
      </c>
      <c r="K3085" s="6" t="s">
        <v>20625</v>
      </c>
      <c r="L3085" s="6">
        <v>1.0232642844E10</v>
      </c>
      <c r="M3085" s="6" t="s">
        <v>20626</v>
      </c>
      <c r="N3085" s="6" t="s">
        <v>176</v>
      </c>
      <c r="O3085" s="6" t="s">
        <v>161</v>
      </c>
      <c r="P3085" s="10">
        <v>45978.0</v>
      </c>
    </row>
    <row r="3086" ht="22.5" customHeight="1">
      <c r="A3086" s="6" t="s">
        <v>20628</v>
      </c>
      <c r="B3086" s="6" t="s">
        <v>20629</v>
      </c>
      <c r="C3086" s="6" t="s">
        <v>20630</v>
      </c>
      <c r="D3086" s="6" t="s">
        <v>206</v>
      </c>
      <c r="E3086" s="6" t="s">
        <v>210</v>
      </c>
      <c r="F3086" s="8">
        <v>93.0</v>
      </c>
      <c r="G3086" s="9">
        <v>1080.31</v>
      </c>
      <c r="H3086" s="9">
        <v>10222.77</v>
      </c>
      <c r="I3086" s="6" t="s">
        <v>161</v>
      </c>
      <c r="J3086" s="6" t="s">
        <v>228</v>
      </c>
      <c r="K3086" s="6" t="s">
        <v>20632</v>
      </c>
      <c r="L3086" s="6">
        <v>4.7979260533E10</v>
      </c>
      <c r="M3086" s="6" t="s">
        <v>20633</v>
      </c>
      <c r="N3086" s="6" t="s">
        <v>112</v>
      </c>
      <c r="O3086" s="6" t="s">
        <v>161</v>
      </c>
      <c r="P3086" s="10">
        <v>45993.0</v>
      </c>
    </row>
    <row r="3087" ht="22.5" customHeight="1">
      <c r="A3087" s="6" t="s">
        <v>20635</v>
      </c>
      <c r="B3087" s="6" t="s">
        <v>20636</v>
      </c>
      <c r="C3087" s="6" t="s">
        <v>20637</v>
      </c>
      <c r="D3087" s="6" t="s">
        <v>206</v>
      </c>
      <c r="E3087" s="6" t="s">
        <v>147</v>
      </c>
      <c r="F3087" s="8">
        <v>12.0</v>
      </c>
      <c r="G3087" s="9">
        <v>724.82</v>
      </c>
      <c r="H3087" s="9">
        <v>14641.44</v>
      </c>
      <c r="I3087" s="6" t="s">
        <v>161</v>
      </c>
      <c r="J3087" s="6" t="s">
        <v>312</v>
      </c>
      <c r="K3087" s="6" t="s">
        <v>20639</v>
      </c>
      <c r="L3087" s="6">
        <v>4.23933269E8</v>
      </c>
      <c r="M3087" s="6" t="s">
        <v>20641</v>
      </c>
      <c r="N3087" s="6" t="s">
        <v>259</v>
      </c>
      <c r="O3087" s="6" t="s">
        <v>178</v>
      </c>
      <c r="P3087" s="10">
        <v>46018.0</v>
      </c>
    </row>
    <row r="3088" ht="22.5" customHeight="1">
      <c r="A3088" s="6" t="s">
        <v>20642</v>
      </c>
      <c r="B3088" s="6" t="s">
        <v>20644</v>
      </c>
      <c r="C3088" s="6" t="s">
        <v>20645</v>
      </c>
      <c r="D3088" s="6" t="s">
        <v>206</v>
      </c>
      <c r="E3088" s="6" t="s">
        <v>147</v>
      </c>
      <c r="F3088" s="8">
        <v>13.0</v>
      </c>
      <c r="G3088" s="9">
        <v>1524.94</v>
      </c>
      <c r="H3088" s="9">
        <v>6603.71</v>
      </c>
      <c r="I3088" s="6" t="s">
        <v>161</v>
      </c>
      <c r="J3088" s="6" t="s">
        <v>228</v>
      </c>
      <c r="K3088" s="6" t="s">
        <v>20647</v>
      </c>
      <c r="L3088" s="6">
        <v>5.0393920881E10</v>
      </c>
      <c r="M3088" s="6" t="s">
        <v>20648</v>
      </c>
      <c r="N3088" s="6" t="s">
        <v>259</v>
      </c>
      <c r="O3088" s="6" t="s">
        <v>178</v>
      </c>
      <c r="P3088" s="10">
        <v>45998.0</v>
      </c>
    </row>
    <row r="3089" ht="22.5" customHeight="1">
      <c r="A3089" s="6" t="s">
        <v>20649</v>
      </c>
      <c r="B3089" s="6" t="s">
        <v>20650</v>
      </c>
      <c r="C3089" s="6" t="s">
        <v>20651</v>
      </c>
      <c r="D3089" s="6" t="s">
        <v>145</v>
      </c>
      <c r="E3089" s="6" t="s">
        <v>301</v>
      </c>
      <c r="F3089" s="8">
        <v>56.0</v>
      </c>
      <c r="G3089" s="9">
        <v>1050.24</v>
      </c>
      <c r="H3089" s="9">
        <v>11723.98</v>
      </c>
      <c r="I3089" s="6" t="s">
        <v>161</v>
      </c>
      <c r="J3089" s="6" t="s">
        <v>357</v>
      </c>
      <c r="K3089" s="6" t="s">
        <v>20653</v>
      </c>
      <c r="L3089" s="6">
        <v>3.0734398153E10</v>
      </c>
      <c r="M3089" s="6" t="s">
        <v>20654</v>
      </c>
      <c r="N3089" s="6" t="s">
        <v>112</v>
      </c>
      <c r="O3089" s="6" t="s">
        <v>178</v>
      </c>
      <c r="P3089" s="10">
        <v>45977.0</v>
      </c>
    </row>
    <row r="3090" ht="22.5" customHeight="1">
      <c r="A3090" s="6" t="s">
        <v>20655</v>
      </c>
      <c r="B3090" s="6" t="s">
        <v>20656</v>
      </c>
      <c r="C3090" s="6" t="s">
        <v>20658</v>
      </c>
      <c r="D3090" s="6" t="s">
        <v>383</v>
      </c>
      <c r="E3090" s="6" t="s">
        <v>210</v>
      </c>
      <c r="F3090" s="8">
        <v>66.0</v>
      </c>
      <c r="G3090" s="9">
        <v>1732.46</v>
      </c>
      <c r="H3090" s="9">
        <v>6741.52</v>
      </c>
      <c r="I3090" s="6" t="s">
        <v>178</v>
      </c>
      <c r="J3090" s="6" t="s">
        <v>421</v>
      </c>
      <c r="K3090" s="6" t="s">
        <v>259</v>
      </c>
      <c r="L3090" s="6">
        <v>3.094784405E10</v>
      </c>
      <c r="M3090" s="6" t="s">
        <v>20660</v>
      </c>
      <c r="N3090" s="6" t="s">
        <v>176</v>
      </c>
      <c r="O3090" s="6" t="s">
        <v>161</v>
      </c>
      <c r="P3090" s="10">
        <v>45987.0</v>
      </c>
    </row>
    <row r="3091" ht="22.5" customHeight="1">
      <c r="A3091" s="6" t="s">
        <v>20661</v>
      </c>
      <c r="B3091" s="6" t="s">
        <v>20662</v>
      </c>
      <c r="C3091" s="6" t="s">
        <v>20663</v>
      </c>
      <c r="D3091" s="6" t="s">
        <v>206</v>
      </c>
      <c r="E3091" s="6" t="s">
        <v>147</v>
      </c>
      <c r="F3091" s="8">
        <v>20.0</v>
      </c>
      <c r="G3091" s="9">
        <v>1602.42</v>
      </c>
      <c r="H3091" s="9">
        <v>8573.24</v>
      </c>
      <c r="I3091" s="6" t="s">
        <v>161</v>
      </c>
      <c r="J3091" s="6" t="s">
        <v>479</v>
      </c>
      <c r="K3091" s="6" t="s">
        <v>20665</v>
      </c>
      <c r="L3091" s="6">
        <v>3.0320530455E10</v>
      </c>
      <c r="M3091" s="6" t="s">
        <v>20666</v>
      </c>
      <c r="N3091" s="6" t="s">
        <v>283</v>
      </c>
      <c r="O3091" s="6" t="s">
        <v>178</v>
      </c>
      <c r="P3091" s="10">
        <v>45976.0</v>
      </c>
    </row>
    <row r="3092" ht="22.5" customHeight="1">
      <c r="A3092" s="6" t="s">
        <v>20668</v>
      </c>
      <c r="B3092" s="6" t="s">
        <v>20669</v>
      </c>
      <c r="C3092" s="6" t="s">
        <v>20670</v>
      </c>
      <c r="D3092" s="6" t="s">
        <v>145</v>
      </c>
      <c r="E3092" s="6" t="s">
        <v>147</v>
      </c>
      <c r="F3092" s="8">
        <v>25.0</v>
      </c>
      <c r="G3092" s="9">
        <v>271.16</v>
      </c>
      <c r="H3092" s="9">
        <v>704.66</v>
      </c>
      <c r="I3092" s="6" t="s">
        <v>161</v>
      </c>
      <c r="J3092" s="6" t="s">
        <v>442</v>
      </c>
      <c r="K3092" s="6" t="s">
        <v>20672</v>
      </c>
      <c r="L3092" s="6">
        <v>6.6892854026E10</v>
      </c>
      <c r="M3092" s="6" t="s">
        <v>20674</v>
      </c>
      <c r="N3092" s="6" t="s">
        <v>112</v>
      </c>
      <c r="O3092" s="6" t="s">
        <v>178</v>
      </c>
      <c r="P3092" s="10">
        <v>46050.0</v>
      </c>
    </row>
    <row r="3093" ht="22.5" customHeight="1">
      <c r="A3093" s="6" t="s">
        <v>20675</v>
      </c>
      <c r="B3093" s="6" t="s">
        <v>20676</v>
      </c>
      <c r="C3093" s="6" t="s">
        <v>20677</v>
      </c>
      <c r="D3093" s="6" t="s">
        <v>206</v>
      </c>
      <c r="E3093" s="6" t="s">
        <v>301</v>
      </c>
      <c r="F3093" s="8">
        <v>35.0</v>
      </c>
      <c r="G3093" s="9">
        <v>533.64</v>
      </c>
      <c r="H3093" s="9">
        <v>10041.76</v>
      </c>
      <c r="I3093" s="6" t="s">
        <v>161</v>
      </c>
      <c r="J3093" s="6" t="s">
        <v>465</v>
      </c>
      <c r="K3093" s="6" t="s">
        <v>20679</v>
      </c>
      <c r="L3093" s="6">
        <v>2.4917424131E10</v>
      </c>
      <c r="M3093" s="6" t="s">
        <v>20680</v>
      </c>
      <c r="N3093" s="6" t="s">
        <v>259</v>
      </c>
      <c r="O3093" s="6" t="s">
        <v>178</v>
      </c>
      <c r="P3093" s="10">
        <v>46045.0</v>
      </c>
    </row>
    <row r="3094" ht="22.5" customHeight="1">
      <c r="A3094" s="6" t="s">
        <v>20681</v>
      </c>
      <c r="B3094" s="6" t="s">
        <v>20683</v>
      </c>
      <c r="C3094" s="6" t="s">
        <v>20684</v>
      </c>
      <c r="D3094" s="6" t="s">
        <v>145</v>
      </c>
      <c r="E3094" s="6" t="s">
        <v>147</v>
      </c>
      <c r="F3094" s="8">
        <v>29.0</v>
      </c>
      <c r="G3094" s="9">
        <v>677.21</v>
      </c>
      <c r="H3094" s="9">
        <v>4067.17</v>
      </c>
      <c r="I3094" s="6" t="s">
        <v>178</v>
      </c>
      <c r="J3094" s="6" t="s">
        <v>479</v>
      </c>
      <c r="K3094" s="6" t="s">
        <v>20685</v>
      </c>
      <c r="L3094" s="6">
        <v>2.331056298E10</v>
      </c>
      <c r="M3094" s="6" t="s">
        <v>20686</v>
      </c>
      <c r="N3094" s="6" t="s">
        <v>283</v>
      </c>
      <c r="O3094" s="6" t="s">
        <v>161</v>
      </c>
      <c r="P3094" s="10">
        <v>46022.0</v>
      </c>
    </row>
    <row r="3095" ht="22.5" customHeight="1">
      <c r="A3095" s="6" t="s">
        <v>20688</v>
      </c>
      <c r="B3095" s="6" t="s">
        <v>20689</v>
      </c>
      <c r="C3095" s="6" t="s">
        <v>20690</v>
      </c>
      <c r="D3095" s="6" t="s">
        <v>383</v>
      </c>
      <c r="E3095" s="6" t="s">
        <v>210</v>
      </c>
      <c r="F3095" s="8">
        <v>87.0</v>
      </c>
      <c r="G3095" s="9">
        <v>1283.94</v>
      </c>
      <c r="H3095" s="9">
        <v>12750.01</v>
      </c>
      <c r="I3095" s="6" t="s">
        <v>161</v>
      </c>
      <c r="J3095" s="6" t="s">
        <v>312</v>
      </c>
      <c r="K3095" s="6" t="s">
        <v>20691</v>
      </c>
      <c r="L3095" s="6">
        <v>9.3779367783E10</v>
      </c>
      <c r="M3095" s="6" t="s">
        <v>20693</v>
      </c>
      <c r="N3095" s="6" t="s">
        <v>259</v>
      </c>
      <c r="O3095" s="6" t="s">
        <v>161</v>
      </c>
      <c r="P3095" s="10">
        <v>46007.0</v>
      </c>
    </row>
    <row r="3096" ht="22.5" customHeight="1">
      <c r="A3096" s="6" t="s">
        <v>20694</v>
      </c>
      <c r="B3096" s="6" t="s">
        <v>20695</v>
      </c>
      <c r="C3096" s="6" t="s">
        <v>20696</v>
      </c>
      <c r="D3096" s="6" t="s">
        <v>145</v>
      </c>
      <c r="E3096" s="6" t="s">
        <v>147</v>
      </c>
      <c r="F3096" s="8">
        <v>6.0</v>
      </c>
      <c r="G3096" s="9">
        <v>1669.65</v>
      </c>
      <c r="H3096" s="9">
        <v>10585.75</v>
      </c>
      <c r="I3096" s="6" t="s">
        <v>161</v>
      </c>
      <c r="J3096" s="6" t="s">
        <v>1584</v>
      </c>
      <c r="K3096" s="6" t="s">
        <v>20698</v>
      </c>
      <c r="L3096" s="6">
        <v>7.8191782408E10</v>
      </c>
      <c r="M3096" s="6" t="s">
        <v>20699</v>
      </c>
      <c r="N3096" s="6" t="s">
        <v>283</v>
      </c>
      <c r="O3096" s="6" t="s">
        <v>178</v>
      </c>
      <c r="P3096" s="10">
        <v>46019.0</v>
      </c>
    </row>
    <row r="3097" ht="22.5" customHeight="1">
      <c r="A3097" s="6" t="s">
        <v>20701</v>
      </c>
      <c r="B3097" s="6" t="s">
        <v>20702</v>
      </c>
      <c r="C3097" s="6" t="s">
        <v>20703</v>
      </c>
      <c r="D3097" s="6" t="s">
        <v>206</v>
      </c>
      <c r="E3097" s="6" t="s">
        <v>301</v>
      </c>
      <c r="F3097" s="8">
        <v>56.0</v>
      </c>
      <c r="G3097" s="9">
        <v>1000.24</v>
      </c>
      <c r="H3097" s="9">
        <v>6364.69</v>
      </c>
      <c r="I3097" s="6" t="s">
        <v>161</v>
      </c>
      <c r="J3097" s="6" t="s">
        <v>163</v>
      </c>
      <c r="K3097" s="6" t="s">
        <v>20704</v>
      </c>
      <c r="L3097" s="6">
        <v>1.2136028806E10</v>
      </c>
      <c r="M3097" s="6" t="s">
        <v>20706</v>
      </c>
      <c r="N3097" s="6" t="s">
        <v>259</v>
      </c>
      <c r="O3097" s="6" t="s">
        <v>178</v>
      </c>
      <c r="P3097" s="10">
        <v>45950.0</v>
      </c>
    </row>
    <row r="3098" ht="22.5" customHeight="1">
      <c r="A3098" s="6" t="s">
        <v>20707</v>
      </c>
      <c r="B3098" s="6" t="s">
        <v>20708</v>
      </c>
      <c r="C3098" s="6" t="s">
        <v>20709</v>
      </c>
      <c r="D3098" s="6" t="s">
        <v>145</v>
      </c>
      <c r="E3098" s="6" t="s">
        <v>301</v>
      </c>
      <c r="F3098" s="8">
        <v>52.0</v>
      </c>
      <c r="G3098" s="9">
        <v>476.0</v>
      </c>
      <c r="H3098" s="9">
        <v>8232.92</v>
      </c>
      <c r="I3098" s="6" t="s">
        <v>161</v>
      </c>
      <c r="J3098" s="6" t="s">
        <v>357</v>
      </c>
      <c r="K3098" s="6" t="s">
        <v>20711</v>
      </c>
      <c r="L3098" s="6">
        <v>3.6491122286E10</v>
      </c>
      <c r="M3098" s="6" t="s">
        <v>20712</v>
      </c>
      <c r="N3098" s="6" t="s">
        <v>176</v>
      </c>
      <c r="O3098" s="6" t="s">
        <v>178</v>
      </c>
      <c r="P3098" s="10">
        <v>45943.0</v>
      </c>
    </row>
    <row r="3099" ht="22.5" customHeight="1">
      <c r="A3099" s="6" t="s">
        <v>20713</v>
      </c>
      <c r="B3099" s="6" t="s">
        <v>20714</v>
      </c>
      <c r="C3099" s="6" t="s">
        <v>20715</v>
      </c>
      <c r="D3099" s="6" t="s">
        <v>206</v>
      </c>
      <c r="E3099" s="6" t="s">
        <v>147</v>
      </c>
      <c r="F3099" s="8">
        <v>22.0</v>
      </c>
      <c r="G3099" s="9">
        <v>808.44</v>
      </c>
      <c r="H3099" s="9">
        <v>7320.85</v>
      </c>
      <c r="I3099" s="6" t="s">
        <v>161</v>
      </c>
      <c r="J3099" s="6" t="s">
        <v>465</v>
      </c>
      <c r="K3099" s="6" t="s">
        <v>20717</v>
      </c>
      <c r="L3099" s="6">
        <v>4.143638559E9</v>
      </c>
      <c r="M3099" s="6" t="s">
        <v>20719</v>
      </c>
      <c r="N3099" s="6" t="s">
        <v>259</v>
      </c>
      <c r="O3099" s="6" t="s">
        <v>178</v>
      </c>
      <c r="P3099" s="10">
        <v>46026.0</v>
      </c>
    </row>
    <row r="3100" ht="22.5" customHeight="1">
      <c r="A3100" s="6" t="s">
        <v>20721</v>
      </c>
      <c r="B3100" s="6" t="s">
        <v>20722</v>
      </c>
      <c r="C3100" s="6" t="s">
        <v>20723</v>
      </c>
      <c r="D3100" s="6" t="s">
        <v>206</v>
      </c>
      <c r="E3100" s="6" t="s">
        <v>147</v>
      </c>
      <c r="F3100" s="8">
        <v>17.0</v>
      </c>
      <c r="G3100" s="9">
        <v>1124.0</v>
      </c>
      <c r="H3100" s="9">
        <v>14831.29</v>
      </c>
      <c r="I3100" s="6" t="s">
        <v>161</v>
      </c>
      <c r="J3100" s="6" t="s">
        <v>465</v>
      </c>
      <c r="K3100" s="6" t="s">
        <v>20725</v>
      </c>
      <c r="L3100" s="6">
        <v>2.810233908E10</v>
      </c>
      <c r="M3100" s="6" t="s">
        <v>20726</v>
      </c>
      <c r="N3100" s="6" t="s">
        <v>176</v>
      </c>
      <c r="O3100" s="6" t="s">
        <v>178</v>
      </c>
      <c r="P3100" s="10">
        <v>46050.0</v>
      </c>
    </row>
    <row r="3101" ht="22.5" customHeight="1">
      <c r="A3101" s="6" t="s">
        <v>20728</v>
      </c>
      <c r="B3101" s="6" t="s">
        <v>20729</v>
      </c>
      <c r="C3101" s="6" t="s">
        <v>20730</v>
      </c>
      <c r="D3101" s="6" t="s">
        <v>206</v>
      </c>
      <c r="E3101" s="6" t="s">
        <v>210</v>
      </c>
      <c r="F3101" s="8">
        <v>120.0</v>
      </c>
      <c r="G3101" s="9">
        <v>107.58</v>
      </c>
      <c r="H3101" s="9">
        <v>8903.14</v>
      </c>
      <c r="I3101" s="6" t="s">
        <v>161</v>
      </c>
      <c r="J3101" s="6" t="s">
        <v>421</v>
      </c>
      <c r="K3101" s="6" t="s">
        <v>20732</v>
      </c>
      <c r="L3101" s="6">
        <v>4.3717469428E10</v>
      </c>
      <c r="M3101" s="6" t="s">
        <v>20733</v>
      </c>
      <c r="N3101" s="6" t="s">
        <v>259</v>
      </c>
      <c r="O3101" s="6" t="s">
        <v>161</v>
      </c>
      <c r="P3101" s="10">
        <v>46028.0</v>
      </c>
    </row>
    <row r="3102" ht="22.5" customHeight="1">
      <c r="A3102" s="6" t="s">
        <v>20735</v>
      </c>
      <c r="B3102" s="6" t="s">
        <v>20736</v>
      </c>
      <c r="C3102" s="6" t="s">
        <v>20737</v>
      </c>
      <c r="D3102" s="6" t="s">
        <v>145</v>
      </c>
      <c r="E3102" s="6" t="s">
        <v>147</v>
      </c>
      <c r="F3102" s="8">
        <v>24.0</v>
      </c>
      <c r="G3102" s="9">
        <v>1592.37</v>
      </c>
      <c r="H3102" s="9">
        <v>14502.35</v>
      </c>
      <c r="I3102" s="6" t="s">
        <v>161</v>
      </c>
      <c r="J3102" s="6" t="s">
        <v>312</v>
      </c>
      <c r="K3102" s="6" t="s">
        <v>20740</v>
      </c>
      <c r="L3102" s="6">
        <v>3.1644618408E10</v>
      </c>
      <c r="M3102" s="6" t="s">
        <v>20741</v>
      </c>
      <c r="N3102" s="6" t="s">
        <v>259</v>
      </c>
      <c r="O3102" s="6" t="s">
        <v>178</v>
      </c>
      <c r="P3102" s="10">
        <v>45961.0</v>
      </c>
    </row>
    <row r="3103" ht="22.5" customHeight="1">
      <c r="A3103" s="6" t="s">
        <v>20743</v>
      </c>
      <c r="B3103" s="6" t="s">
        <v>20744</v>
      </c>
      <c r="C3103" s="6" t="s">
        <v>20745</v>
      </c>
      <c r="D3103" s="6" t="s">
        <v>145</v>
      </c>
      <c r="E3103" s="6" t="s">
        <v>147</v>
      </c>
      <c r="F3103" s="8">
        <v>24.0</v>
      </c>
      <c r="G3103" s="9">
        <v>1030.2</v>
      </c>
      <c r="H3103" s="9">
        <v>6099.52</v>
      </c>
      <c r="I3103" s="6" t="s">
        <v>161</v>
      </c>
      <c r="J3103" s="6" t="s">
        <v>577</v>
      </c>
      <c r="K3103" s="6" t="s">
        <v>20747</v>
      </c>
      <c r="L3103" s="6">
        <v>3.6898502093E10</v>
      </c>
      <c r="M3103" s="6" t="s">
        <v>20748</v>
      </c>
      <c r="N3103" s="6" t="s">
        <v>176</v>
      </c>
      <c r="O3103" s="6" t="s">
        <v>178</v>
      </c>
      <c r="P3103" s="10">
        <v>46020.0</v>
      </c>
    </row>
    <row r="3104" ht="22.5" customHeight="1">
      <c r="A3104" s="6" t="s">
        <v>20750</v>
      </c>
      <c r="B3104" s="6" t="s">
        <v>20751</v>
      </c>
      <c r="C3104" s="6" t="s">
        <v>20752</v>
      </c>
      <c r="D3104" s="6" t="s">
        <v>145</v>
      </c>
      <c r="E3104" s="6" t="s">
        <v>147</v>
      </c>
      <c r="F3104" s="8">
        <v>29.0</v>
      </c>
      <c r="G3104" s="9">
        <v>437.94</v>
      </c>
      <c r="H3104" s="9">
        <v>12590.2</v>
      </c>
      <c r="I3104" s="6" t="s">
        <v>161</v>
      </c>
      <c r="J3104" s="6" t="s">
        <v>357</v>
      </c>
      <c r="K3104" s="6" t="s">
        <v>20754</v>
      </c>
      <c r="L3104" s="6">
        <v>7.1717612795E10</v>
      </c>
      <c r="M3104" s="6" t="s">
        <v>20756</v>
      </c>
      <c r="N3104" s="6" t="s">
        <v>176</v>
      </c>
      <c r="O3104" s="6" t="s">
        <v>178</v>
      </c>
      <c r="P3104" s="10">
        <v>46018.0</v>
      </c>
    </row>
    <row r="3105" ht="22.5" customHeight="1">
      <c r="A3105" s="6" t="s">
        <v>20758</v>
      </c>
      <c r="B3105" s="6" t="s">
        <v>20759</v>
      </c>
      <c r="C3105" s="6" t="s">
        <v>20760</v>
      </c>
      <c r="D3105" s="6" t="s">
        <v>145</v>
      </c>
      <c r="E3105" s="6" t="s">
        <v>147</v>
      </c>
      <c r="F3105" s="8">
        <v>21.0</v>
      </c>
      <c r="G3105" s="9">
        <v>1572.61</v>
      </c>
      <c r="H3105" s="9">
        <v>9662.91</v>
      </c>
      <c r="I3105" s="6" t="s">
        <v>161</v>
      </c>
      <c r="J3105" s="6" t="s">
        <v>393</v>
      </c>
      <c r="K3105" s="6" t="s">
        <v>20762</v>
      </c>
      <c r="L3105" s="6">
        <v>3.8325894272E10</v>
      </c>
      <c r="M3105" s="6" t="s">
        <v>20763</v>
      </c>
      <c r="N3105" s="6" t="s">
        <v>176</v>
      </c>
      <c r="O3105" s="6" t="s">
        <v>178</v>
      </c>
      <c r="P3105" s="10">
        <v>46011.0</v>
      </c>
    </row>
    <row r="3106" ht="22.5" customHeight="1">
      <c r="A3106" s="6" t="s">
        <v>20765</v>
      </c>
      <c r="B3106" s="6" t="s">
        <v>20766</v>
      </c>
      <c r="C3106" s="6" t="s">
        <v>20768</v>
      </c>
      <c r="D3106" s="6" t="s">
        <v>145</v>
      </c>
      <c r="E3106" s="6" t="s">
        <v>147</v>
      </c>
      <c r="F3106" s="8">
        <v>16.0</v>
      </c>
      <c r="G3106" s="9">
        <v>539.95</v>
      </c>
      <c r="H3106" s="9">
        <v>10426.3</v>
      </c>
      <c r="I3106" s="6" t="s">
        <v>161</v>
      </c>
      <c r="J3106" s="6" t="s">
        <v>393</v>
      </c>
      <c r="K3106" s="6" t="s">
        <v>20770</v>
      </c>
      <c r="L3106" s="6">
        <v>2.248294315E10</v>
      </c>
      <c r="M3106" s="6" t="s">
        <v>20771</v>
      </c>
      <c r="N3106" s="6" t="s">
        <v>112</v>
      </c>
      <c r="O3106" s="6" t="s">
        <v>178</v>
      </c>
      <c r="P3106" s="10">
        <v>45971.0</v>
      </c>
    </row>
    <row r="3107" ht="22.5" customHeight="1">
      <c r="A3107" s="6" t="s">
        <v>20773</v>
      </c>
      <c r="B3107" s="6" t="s">
        <v>20774</v>
      </c>
      <c r="C3107" s="6" t="s">
        <v>20775</v>
      </c>
      <c r="D3107" s="6" t="s">
        <v>145</v>
      </c>
      <c r="E3107" s="6" t="s">
        <v>147</v>
      </c>
      <c r="F3107" s="8">
        <v>18.0</v>
      </c>
      <c r="G3107" s="9">
        <v>1521.3</v>
      </c>
      <c r="H3107" s="9">
        <v>9209.76</v>
      </c>
      <c r="I3107" s="6" t="s">
        <v>161</v>
      </c>
      <c r="J3107" s="6" t="s">
        <v>479</v>
      </c>
      <c r="K3107" s="6" t="s">
        <v>20778</v>
      </c>
      <c r="L3107" s="6">
        <v>5.6053163518E10</v>
      </c>
      <c r="M3107" s="6" t="s">
        <v>20779</v>
      </c>
      <c r="N3107" s="6" t="s">
        <v>176</v>
      </c>
      <c r="O3107" s="6" t="s">
        <v>178</v>
      </c>
      <c r="P3107" s="10">
        <v>45971.0</v>
      </c>
    </row>
    <row r="3108" ht="22.5" customHeight="1">
      <c r="A3108" s="6" t="s">
        <v>20781</v>
      </c>
      <c r="B3108" s="6" t="s">
        <v>20782</v>
      </c>
      <c r="C3108" s="6" t="s">
        <v>20783</v>
      </c>
      <c r="D3108" s="6" t="s">
        <v>145</v>
      </c>
      <c r="E3108" s="6" t="s">
        <v>301</v>
      </c>
      <c r="F3108" s="8">
        <v>40.0</v>
      </c>
      <c r="G3108" s="9">
        <v>1025.59</v>
      </c>
      <c r="H3108" s="9">
        <v>11280.76</v>
      </c>
      <c r="I3108" s="6" t="s">
        <v>161</v>
      </c>
      <c r="J3108" s="6" t="s">
        <v>259</v>
      </c>
      <c r="K3108" s="6" t="s">
        <v>20786</v>
      </c>
      <c r="L3108" s="6">
        <v>3.0250232491E10</v>
      </c>
      <c r="M3108" s="6" t="s">
        <v>20787</v>
      </c>
      <c r="N3108" s="6" t="s">
        <v>283</v>
      </c>
      <c r="O3108" s="6" t="s">
        <v>178</v>
      </c>
      <c r="P3108" s="10">
        <v>46036.0</v>
      </c>
    </row>
    <row r="3109" ht="22.5" customHeight="1">
      <c r="A3109" s="6" t="s">
        <v>20789</v>
      </c>
      <c r="B3109" s="6" t="s">
        <v>20790</v>
      </c>
      <c r="C3109" s="6" t="s">
        <v>20791</v>
      </c>
      <c r="D3109" s="6" t="s">
        <v>206</v>
      </c>
      <c r="E3109" s="6" t="s">
        <v>210</v>
      </c>
      <c r="F3109" s="8">
        <v>108.0</v>
      </c>
      <c r="G3109" s="9">
        <v>1283.9</v>
      </c>
      <c r="H3109" s="9">
        <v>5255.79</v>
      </c>
      <c r="I3109" s="6" t="s">
        <v>161</v>
      </c>
      <c r="J3109" s="6" t="s">
        <v>577</v>
      </c>
      <c r="K3109" s="6" t="s">
        <v>20794</v>
      </c>
      <c r="L3109" s="6">
        <v>4.2351133101E10</v>
      </c>
      <c r="M3109" s="6" t="s">
        <v>20795</v>
      </c>
      <c r="N3109" s="6" t="s">
        <v>259</v>
      </c>
      <c r="O3109" s="6" t="s">
        <v>161</v>
      </c>
      <c r="P3109" s="10">
        <v>46000.0</v>
      </c>
    </row>
    <row r="3110" ht="22.5" customHeight="1">
      <c r="A3110" s="6" t="s">
        <v>20797</v>
      </c>
      <c r="B3110" s="6" t="s">
        <v>20798</v>
      </c>
      <c r="C3110" s="6" t="s">
        <v>20799</v>
      </c>
      <c r="D3110" s="6" t="s">
        <v>206</v>
      </c>
      <c r="E3110" s="6" t="s">
        <v>301</v>
      </c>
      <c r="F3110" s="8">
        <v>35.0</v>
      </c>
      <c r="G3110" s="9">
        <v>1478.94</v>
      </c>
      <c r="H3110" s="9">
        <v>8737.77</v>
      </c>
      <c r="I3110" s="6" t="s">
        <v>161</v>
      </c>
      <c r="J3110" s="6" t="s">
        <v>228</v>
      </c>
      <c r="K3110" s="6" t="s">
        <v>20801</v>
      </c>
      <c r="L3110" s="6">
        <v>3.8138252402E10</v>
      </c>
      <c r="M3110" s="6" t="s">
        <v>20802</v>
      </c>
      <c r="N3110" s="6" t="s">
        <v>283</v>
      </c>
      <c r="O3110" s="6" t="s">
        <v>178</v>
      </c>
      <c r="P3110" s="10">
        <v>45989.0</v>
      </c>
    </row>
    <row r="3111" ht="22.5" customHeight="1">
      <c r="A3111" s="6" t="s">
        <v>20804</v>
      </c>
      <c r="B3111" s="6" t="s">
        <v>20805</v>
      </c>
      <c r="C3111" s="6" t="s">
        <v>20806</v>
      </c>
      <c r="D3111" s="6" t="s">
        <v>383</v>
      </c>
      <c r="E3111" s="6" t="s">
        <v>210</v>
      </c>
      <c r="F3111" s="8">
        <v>85.0</v>
      </c>
      <c r="G3111" s="9">
        <v>1675.14</v>
      </c>
      <c r="H3111" s="9">
        <v>11943.47</v>
      </c>
      <c r="I3111" s="6" t="s">
        <v>161</v>
      </c>
      <c r="J3111" s="6" t="s">
        <v>228</v>
      </c>
      <c r="K3111" s="6" t="s">
        <v>20808</v>
      </c>
      <c r="L3111" s="6">
        <v>2.297979435E9</v>
      </c>
      <c r="M3111" s="6" t="s">
        <v>20809</v>
      </c>
      <c r="N3111" s="6" t="s">
        <v>283</v>
      </c>
      <c r="O3111" s="6" t="s">
        <v>161</v>
      </c>
      <c r="P3111" s="10">
        <v>45942.0</v>
      </c>
    </row>
    <row r="3112" ht="22.5" customHeight="1">
      <c r="A3112" s="6" t="s">
        <v>20810</v>
      </c>
      <c r="B3112" s="6" t="s">
        <v>20811</v>
      </c>
      <c r="C3112" s="6" t="s">
        <v>20812</v>
      </c>
      <c r="D3112" s="6" t="s">
        <v>383</v>
      </c>
      <c r="E3112" s="6" t="s">
        <v>301</v>
      </c>
      <c r="F3112" s="8">
        <v>55.0</v>
      </c>
      <c r="G3112" s="9">
        <v>169.07</v>
      </c>
      <c r="H3112" s="9">
        <v>10345.93</v>
      </c>
      <c r="I3112" s="6" t="s">
        <v>161</v>
      </c>
      <c r="J3112" s="6" t="s">
        <v>163</v>
      </c>
      <c r="K3112" s="6" t="s">
        <v>20814</v>
      </c>
      <c r="L3112" s="6">
        <v>4.9588859147E10</v>
      </c>
      <c r="M3112" s="6" t="s">
        <v>20815</v>
      </c>
      <c r="N3112" s="6" t="s">
        <v>112</v>
      </c>
      <c r="O3112" s="6" t="s">
        <v>178</v>
      </c>
      <c r="P3112" s="10">
        <v>45983.0</v>
      </c>
    </row>
    <row r="3113" ht="22.5" customHeight="1">
      <c r="A3113" s="6" t="s">
        <v>20817</v>
      </c>
      <c r="B3113" s="6" t="s">
        <v>20818</v>
      </c>
      <c r="C3113" s="6" t="s">
        <v>20819</v>
      </c>
      <c r="D3113" s="6" t="s">
        <v>383</v>
      </c>
      <c r="E3113" s="6" t="s">
        <v>147</v>
      </c>
      <c r="F3113" s="8">
        <v>10.0</v>
      </c>
      <c r="G3113" s="9">
        <v>966.41</v>
      </c>
      <c r="H3113" s="9">
        <v>10616.91</v>
      </c>
      <c r="I3113" s="6" t="s">
        <v>161</v>
      </c>
      <c r="J3113" s="6" t="s">
        <v>357</v>
      </c>
      <c r="K3113" s="6" t="s">
        <v>20821</v>
      </c>
      <c r="L3113" s="6">
        <v>8.0070805159E10</v>
      </c>
      <c r="M3113" s="6" t="s">
        <v>20822</v>
      </c>
      <c r="N3113" s="6" t="s">
        <v>112</v>
      </c>
      <c r="O3113" s="6" t="s">
        <v>178</v>
      </c>
      <c r="P3113" s="10">
        <v>45933.0</v>
      </c>
    </row>
    <row r="3114" ht="22.5" customHeight="1">
      <c r="A3114" s="6" t="s">
        <v>20824</v>
      </c>
      <c r="B3114" s="6" t="s">
        <v>20825</v>
      </c>
      <c r="C3114" s="6" t="s">
        <v>20826</v>
      </c>
      <c r="D3114" s="6" t="s">
        <v>145</v>
      </c>
      <c r="E3114" s="6" t="s">
        <v>147</v>
      </c>
      <c r="F3114" s="8">
        <v>10.0</v>
      </c>
      <c r="G3114" s="9">
        <v>1521.76</v>
      </c>
      <c r="H3114" s="9">
        <v>2734.08</v>
      </c>
      <c r="I3114" s="6" t="s">
        <v>161</v>
      </c>
      <c r="J3114" s="6" t="s">
        <v>357</v>
      </c>
      <c r="K3114" s="6" t="s">
        <v>20827</v>
      </c>
      <c r="L3114" s="6">
        <v>7.2514887883E10</v>
      </c>
      <c r="M3114" s="6" t="s">
        <v>20829</v>
      </c>
      <c r="N3114" s="6" t="s">
        <v>283</v>
      </c>
      <c r="O3114" s="6" t="s">
        <v>178</v>
      </c>
      <c r="P3114" s="10">
        <v>45978.0</v>
      </c>
    </row>
    <row r="3115" ht="22.5" customHeight="1">
      <c r="A3115" s="6" t="s">
        <v>20830</v>
      </c>
      <c r="B3115" s="6" t="s">
        <v>20831</v>
      </c>
      <c r="C3115" s="6" t="s">
        <v>20832</v>
      </c>
      <c r="D3115" s="6" t="s">
        <v>206</v>
      </c>
      <c r="E3115" s="6" t="s">
        <v>147</v>
      </c>
      <c r="F3115" s="8">
        <v>20.0</v>
      </c>
      <c r="G3115" s="9">
        <v>578.31</v>
      </c>
      <c r="H3115" s="9">
        <v>10966.5</v>
      </c>
      <c r="I3115" s="6" t="s">
        <v>161</v>
      </c>
      <c r="J3115" s="6" t="s">
        <v>1787</v>
      </c>
      <c r="K3115" s="6" t="s">
        <v>20834</v>
      </c>
      <c r="L3115" s="6">
        <v>5.1460161463E10</v>
      </c>
      <c r="M3115" s="6" t="s">
        <v>20835</v>
      </c>
      <c r="N3115" s="6" t="s">
        <v>112</v>
      </c>
      <c r="O3115" s="6" t="s">
        <v>178</v>
      </c>
      <c r="P3115" s="10">
        <v>45991.0</v>
      </c>
    </row>
    <row r="3116" ht="22.5" customHeight="1">
      <c r="A3116" s="6" t="s">
        <v>20836</v>
      </c>
      <c r="B3116" s="6" t="s">
        <v>20838</v>
      </c>
      <c r="C3116" s="6" t="s">
        <v>20839</v>
      </c>
      <c r="D3116" s="6" t="s">
        <v>383</v>
      </c>
      <c r="E3116" s="6" t="s">
        <v>301</v>
      </c>
      <c r="F3116" s="8">
        <v>52.0</v>
      </c>
      <c r="G3116" s="9">
        <v>693.81</v>
      </c>
      <c r="H3116" s="9">
        <v>6546.48</v>
      </c>
      <c r="I3116" s="6" t="s">
        <v>161</v>
      </c>
      <c r="J3116" s="6" t="s">
        <v>312</v>
      </c>
      <c r="K3116" s="6" t="s">
        <v>20840</v>
      </c>
      <c r="L3116" s="6">
        <v>5.4674236805E10</v>
      </c>
      <c r="M3116" s="6" t="s">
        <v>20841</v>
      </c>
      <c r="N3116" s="6" t="s">
        <v>176</v>
      </c>
      <c r="O3116" s="6" t="s">
        <v>178</v>
      </c>
      <c r="P3116" s="10">
        <v>45959.0</v>
      </c>
    </row>
    <row r="3117" ht="22.5" customHeight="1">
      <c r="A3117" s="6" t="s">
        <v>20843</v>
      </c>
      <c r="B3117" s="6" t="s">
        <v>20844</v>
      </c>
      <c r="C3117" s="6" t="s">
        <v>20845</v>
      </c>
      <c r="D3117" s="6" t="s">
        <v>145</v>
      </c>
      <c r="E3117" s="6" t="s">
        <v>301</v>
      </c>
      <c r="F3117" s="8">
        <v>50.0</v>
      </c>
      <c r="G3117" s="9">
        <v>411.19</v>
      </c>
      <c r="H3117" s="9">
        <v>8967.03</v>
      </c>
      <c r="I3117" s="6" t="s">
        <v>161</v>
      </c>
      <c r="J3117" s="6" t="s">
        <v>393</v>
      </c>
      <c r="K3117" s="6" t="s">
        <v>20847</v>
      </c>
      <c r="L3117" s="6">
        <v>7.0952194349E10</v>
      </c>
      <c r="M3117" s="6" t="s">
        <v>20848</v>
      </c>
      <c r="N3117" s="6" t="s">
        <v>283</v>
      </c>
      <c r="O3117" s="6" t="s">
        <v>178</v>
      </c>
      <c r="P3117" s="10">
        <v>46031.0</v>
      </c>
    </row>
    <row r="3118" ht="22.5" customHeight="1">
      <c r="A3118" s="6" t="s">
        <v>20849</v>
      </c>
      <c r="B3118" s="6" t="s">
        <v>20850</v>
      </c>
      <c r="C3118" s="6" t="s">
        <v>20851</v>
      </c>
      <c r="D3118" s="6" t="s">
        <v>145</v>
      </c>
      <c r="E3118" s="6" t="s">
        <v>147</v>
      </c>
      <c r="F3118" s="8">
        <v>25.0</v>
      </c>
      <c r="G3118" s="9">
        <v>1584.9</v>
      </c>
      <c r="H3118" s="9">
        <v>4863.59</v>
      </c>
      <c r="I3118" s="6" t="s">
        <v>161</v>
      </c>
      <c r="J3118" s="6" t="s">
        <v>2502</v>
      </c>
      <c r="K3118" s="6" t="s">
        <v>20853</v>
      </c>
      <c r="L3118" s="6">
        <v>7.5231031303E10</v>
      </c>
      <c r="M3118" s="6" t="s">
        <v>20854</v>
      </c>
      <c r="N3118" s="6" t="s">
        <v>283</v>
      </c>
      <c r="O3118" s="6" t="s">
        <v>178</v>
      </c>
      <c r="P3118" s="10">
        <v>45945.0</v>
      </c>
    </row>
    <row r="3119" ht="22.5" customHeight="1">
      <c r="A3119" s="6" t="s">
        <v>20856</v>
      </c>
      <c r="B3119" s="6" t="s">
        <v>20857</v>
      </c>
      <c r="C3119" s="6" t="s">
        <v>20858</v>
      </c>
      <c r="D3119" s="6" t="s">
        <v>145</v>
      </c>
      <c r="E3119" s="6" t="s">
        <v>147</v>
      </c>
      <c r="F3119" s="8">
        <v>11.0</v>
      </c>
      <c r="G3119" s="9">
        <v>168.73</v>
      </c>
      <c r="H3119" s="9">
        <v>5616.35</v>
      </c>
      <c r="I3119" s="6" t="s">
        <v>161</v>
      </c>
      <c r="J3119" s="6" t="s">
        <v>228</v>
      </c>
      <c r="K3119" s="6" t="s">
        <v>20859</v>
      </c>
      <c r="L3119" s="6">
        <v>2.8848651527E10</v>
      </c>
      <c r="M3119" s="6" t="s">
        <v>20861</v>
      </c>
      <c r="N3119" s="6" t="s">
        <v>176</v>
      </c>
      <c r="O3119" s="6" t="s">
        <v>178</v>
      </c>
      <c r="P3119" s="10">
        <v>46045.0</v>
      </c>
    </row>
    <row r="3120" ht="22.5" customHeight="1">
      <c r="A3120" s="6" t="s">
        <v>20862</v>
      </c>
      <c r="B3120" s="6" t="s">
        <v>20863</v>
      </c>
      <c r="C3120" s="6" t="s">
        <v>20864</v>
      </c>
      <c r="D3120" s="6" t="s">
        <v>145</v>
      </c>
      <c r="E3120" s="6" t="s">
        <v>147</v>
      </c>
      <c r="F3120" s="8">
        <v>29.0</v>
      </c>
      <c r="G3120" s="9">
        <v>478.43</v>
      </c>
      <c r="H3120" s="9">
        <v>7587.12</v>
      </c>
      <c r="I3120" s="6" t="s">
        <v>161</v>
      </c>
      <c r="J3120" s="6" t="s">
        <v>228</v>
      </c>
      <c r="K3120" s="6" t="s">
        <v>20866</v>
      </c>
      <c r="L3120" s="6">
        <v>4.4597564294E10</v>
      </c>
      <c r="M3120" s="6" t="s">
        <v>20867</v>
      </c>
      <c r="N3120" s="6" t="s">
        <v>259</v>
      </c>
      <c r="O3120" s="6" t="s">
        <v>178</v>
      </c>
      <c r="P3120" s="10">
        <v>45963.0</v>
      </c>
    </row>
    <row r="3121" ht="22.5" customHeight="1">
      <c r="A3121" s="6" t="s">
        <v>20869</v>
      </c>
      <c r="B3121" s="6" t="s">
        <v>20870</v>
      </c>
      <c r="C3121" s="6" t="s">
        <v>20871</v>
      </c>
      <c r="D3121" s="6" t="s">
        <v>383</v>
      </c>
      <c r="E3121" s="6" t="s">
        <v>147</v>
      </c>
      <c r="F3121" s="8">
        <v>7.0</v>
      </c>
      <c r="G3121" s="9">
        <v>1149.75</v>
      </c>
      <c r="H3121" s="9">
        <v>5178.61</v>
      </c>
      <c r="I3121" s="6" t="s">
        <v>178</v>
      </c>
      <c r="J3121" s="6" t="s">
        <v>479</v>
      </c>
      <c r="K3121" s="6" t="s">
        <v>20873</v>
      </c>
      <c r="L3121" s="6">
        <v>2.8024407454E10</v>
      </c>
      <c r="M3121" s="6" t="s">
        <v>20874</v>
      </c>
      <c r="N3121" s="6" t="s">
        <v>176</v>
      </c>
      <c r="O3121" s="6" t="s">
        <v>161</v>
      </c>
      <c r="P3121" s="10">
        <v>45978.0</v>
      </c>
    </row>
    <row r="3122" ht="22.5" customHeight="1">
      <c r="A3122" s="6" t="s">
        <v>20875</v>
      </c>
      <c r="B3122" s="6" t="s">
        <v>20876</v>
      </c>
      <c r="C3122" s="6" t="s">
        <v>20877</v>
      </c>
      <c r="D3122" s="6" t="s">
        <v>206</v>
      </c>
      <c r="E3122" s="6" t="s">
        <v>147</v>
      </c>
      <c r="F3122" s="8">
        <v>7.0</v>
      </c>
      <c r="G3122" s="9">
        <v>1679.13</v>
      </c>
      <c r="H3122" s="9">
        <v>3913.96</v>
      </c>
      <c r="I3122" s="6" t="s">
        <v>161</v>
      </c>
      <c r="J3122" s="6" t="s">
        <v>357</v>
      </c>
      <c r="K3122" s="6" t="s">
        <v>20879</v>
      </c>
      <c r="L3122" s="6">
        <v>7.5145531019E10</v>
      </c>
      <c r="M3122" s="6" t="s">
        <v>20880</v>
      </c>
      <c r="N3122" s="6" t="s">
        <v>259</v>
      </c>
      <c r="O3122" s="6" t="s">
        <v>178</v>
      </c>
      <c r="P3122" s="10">
        <v>45998.0</v>
      </c>
    </row>
    <row r="3123" ht="22.5" customHeight="1">
      <c r="A3123" s="6" t="s">
        <v>20882</v>
      </c>
      <c r="B3123" s="6" t="s">
        <v>20883</v>
      </c>
      <c r="C3123" s="6" t="s">
        <v>20884</v>
      </c>
      <c r="D3123" s="6" t="s">
        <v>206</v>
      </c>
      <c r="E3123" s="6" t="s">
        <v>210</v>
      </c>
      <c r="F3123" s="8">
        <v>112.0</v>
      </c>
      <c r="G3123" s="9">
        <v>1231.18</v>
      </c>
      <c r="H3123" s="9">
        <v>8971.76</v>
      </c>
      <c r="I3123" s="6" t="s">
        <v>161</v>
      </c>
      <c r="J3123" s="6" t="s">
        <v>577</v>
      </c>
      <c r="K3123" s="6" t="s">
        <v>20886</v>
      </c>
      <c r="L3123" s="6">
        <v>9.259116784E10</v>
      </c>
      <c r="M3123" s="6" t="s">
        <v>20887</v>
      </c>
      <c r="N3123" s="6" t="s">
        <v>112</v>
      </c>
      <c r="O3123" s="6" t="s">
        <v>161</v>
      </c>
      <c r="P3123" s="10">
        <v>46028.0</v>
      </c>
    </row>
    <row r="3124" ht="22.5" customHeight="1">
      <c r="A3124" s="6" t="s">
        <v>20888</v>
      </c>
      <c r="B3124" s="6" t="s">
        <v>20889</v>
      </c>
      <c r="C3124" s="6" t="s">
        <v>20890</v>
      </c>
      <c r="D3124" s="6" t="s">
        <v>145</v>
      </c>
      <c r="E3124" s="6" t="s">
        <v>301</v>
      </c>
      <c r="F3124" s="8">
        <v>35.0</v>
      </c>
      <c r="G3124" s="9">
        <v>506.07</v>
      </c>
      <c r="H3124" s="9">
        <v>11856.47</v>
      </c>
      <c r="I3124" s="6" t="s">
        <v>161</v>
      </c>
      <c r="J3124" s="6" t="s">
        <v>163</v>
      </c>
      <c r="K3124" s="6" t="s">
        <v>20892</v>
      </c>
      <c r="L3124" s="6">
        <v>2.2117465104E10</v>
      </c>
      <c r="M3124" s="6" t="s">
        <v>20893</v>
      </c>
      <c r="N3124" s="6" t="s">
        <v>176</v>
      </c>
      <c r="O3124" s="6" t="s">
        <v>178</v>
      </c>
      <c r="P3124" s="10">
        <v>45961.0</v>
      </c>
    </row>
    <row r="3125" ht="22.5" customHeight="1">
      <c r="A3125" s="6" t="s">
        <v>20895</v>
      </c>
      <c r="B3125" s="6" t="s">
        <v>20896</v>
      </c>
      <c r="C3125" s="6" t="s">
        <v>20897</v>
      </c>
      <c r="D3125" s="6" t="s">
        <v>145</v>
      </c>
      <c r="E3125" s="6" t="s">
        <v>147</v>
      </c>
      <c r="F3125" s="8">
        <v>10.0</v>
      </c>
      <c r="G3125" s="9">
        <v>317.65</v>
      </c>
      <c r="H3125" s="9">
        <v>8882.28</v>
      </c>
      <c r="I3125" s="6" t="s">
        <v>161</v>
      </c>
      <c r="J3125" s="6" t="s">
        <v>577</v>
      </c>
      <c r="K3125" s="6" t="s">
        <v>20898</v>
      </c>
      <c r="L3125" s="6">
        <v>3.571153501E10</v>
      </c>
      <c r="M3125" s="6" t="s">
        <v>20900</v>
      </c>
      <c r="N3125" s="6" t="s">
        <v>259</v>
      </c>
      <c r="O3125" s="6" t="s">
        <v>178</v>
      </c>
      <c r="P3125" s="10">
        <v>46028.0</v>
      </c>
    </row>
    <row r="3126" ht="22.5" customHeight="1">
      <c r="A3126" s="6" t="s">
        <v>20901</v>
      </c>
      <c r="B3126" s="6" t="s">
        <v>20902</v>
      </c>
      <c r="C3126" s="6" t="s">
        <v>20903</v>
      </c>
      <c r="D3126" s="6" t="s">
        <v>145</v>
      </c>
      <c r="E3126" s="6" t="s">
        <v>147</v>
      </c>
      <c r="F3126" s="8">
        <v>22.0</v>
      </c>
      <c r="G3126" s="9">
        <v>976.15</v>
      </c>
      <c r="H3126" s="9">
        <v>6040.36</v>
      </c>
      <c r="I3126" s="6" t="s">
        <v>161</v>
      </c>
      <c r="J3126" s="6" t="s">
        <v>163</v>
      </c>
      <c r="K3126" s="6" t="s">
        <v>20904</v>
      </c>
      <c r="L3126" s="6">
        <v>9.6725896607E10</v>
      </c>
      <c r="M3126" s="6" t="s">
        <v>20906</v>
      </c>
      <c r="N3126" s="6" t="s">
        <v>283</v>
      </c>
      <c r="O3126" s="6" t="s">
        <v>178</v>
      </c>
      <c r="P3126" s="10">
        <v>45959.0</v>
      </c>
    </row>
    <row r="3127" ht="22.5" customHeight="1">
      <c r="A3127" s="6" t="s">
        <v>20907</v>
      </c>
      <c r="B3127" s="6" t="s">
        <v>20908</v>
      </c>
      <c r="C3127" s="6" t="s">
        <v>20909</v>
      </c>
      <c r="D3127" s="6" t="s">
        <v>145</v>
      </c>
      <c r="E3127" s="6" t="s">
        <v>301</v>
      </c>
      <c r="F3127" s="8">
        <v>56.0</v>
      </c>
      <c r="G3127" s="9">
        <v>217.61</v>
      </c>
      <c r="H3127" s="9">
        <v>4584.81</v>
      </c>
      <c r="I3127" s="6" t="s">
        <v>161</v>
      </c>
      <c r="J3127" s="6" t="s">
        <v>465</v>
      </c>
      <c r="K3127" s="6" t="s">
        <v>20911</v>
      </c>
      <c r="L3127" s="6">
        <v>1.307571806E9</v>
      </c>
      <c r="M3127" s="6" t="s">
        <v>20912</v>
      </c>
      <c r="N3127" s="6" t="s">
        <v>112</v>
      </c>
      <c r="O3127" s="6" t="s">
        <v>178</v>
      </c>
      <c r="P3127" s="10">
        <v>45996.0</v>
      </c>
    </row>
    <row r="3128" ht="22.5" customHeight="1">
      <c r="A3128" s="6" t="s">
        <v>20913</v>
      </c>
      <c r="B3128" s="6" t="s">
        <v>20914</v>
      </c>
      <c r="C3128" s="6" t="s">
        <v>20915</v>
      </c>
      <c r="D3128" s="6" t="s">
        <v>145</v>
      </c>
      <c r="E3128" s="6" t="s">
        <v>301</v>
      </c>
      <c r="F3128" s="8">
        <v>59.0</v>
      </c>
      <c r="G3128" s="9">
        <v>438.15</v>
      </c>
      <c r="H3128" s="9">
        <v>2315.79</v>
      </c>
      <c r="I3128" s="6" t="s">
        <v>161</v>
      </c>
      <c r="J3128" s="6" t="s">
        <v>421</v>
      </c>
      <c r="K3128" s="6" t="s">
        <v>20917</v>
      </c>
      <c r="L3128" s="6">
        <v>1.6508249785E10</v>
      </c>
      <c r="M3128" s="6" t="s">
        <v>20918</v>
      </c>
      <c r="N3128" s="6" t="s">
        <v>283</v>
      </c>
      <c r="O3128" s="6" t="s">
        <v>178</v>
      </c>
      <c r="P3128" s="10">
        <v>46043.0</v>
      </c>
    </row>
    <row r="3129" ht="22.5" customHeight="1">
      <c r="A3129" s="6" t="s">
        <v>20920</v>
      </c>
      <c r="B3129" s="6" t="s">
        <v>20921</v>
      </c>
      <c r="C3129" s="6" t="s">
        <v>20922</v>
      </c>
      <c r="D3129" s="6" t="s">
        <v>145</v>
      </c>
      <c r="E3129" s="6" t="s">
        <v>301</v>
      </c>
      <c r="F3129" s="8">
        <v>44.0</v>
      </c>
      <c r="G3129" s="9">
        <v>1128.08</v>
      </c>
      <c r="H3129" s="9">
        <v>6143.18</v>
      </c>
      <c r="I3129" s="6" t="s">
        <v>161</v>
      </c>
      <c r="J3129" s="6" t="s">
        <v>393</v>
      </c>
      <c r="K3129" s="6" t="s">
        <v>20924</v>
      </c>
      <c r="L3129" s="6">
        <v>7.92335024E10</v>
      </c>
      <c r="M3129" s="6" t="s">
        <v>20925</v>
      </c>
      <c r="N3129" s="6" t="s">
        <v>427</v>
      </c>
      <c r="O3129" s="6" t="s">
        <v>178</v>
      </c>
      <c r="P3129" s="10">
        <v>46050.0</v>
      </c>
    </row>
    <row r="3130" ht="22.5" customHeight="1">
      <c r="A3130" s="6" t="s">
        <v>20927</v>
      </c>
      <c r="B3130" s="6" t="s">
        <v>20928</v>
      </c>
      <c r="C3130" s="6" t="s">
        <v>20929</v>
      </c>
      <c r="D3130" s="6" t="s">
        <v>145</v>
      </c>
      <c r="E3130" s="6" t="s">
        <v>301</v>
      </c>
      <c r="F3130" s="8">
        <v>48.0</v>
      </c>
      <c r="G3130" s="9">
        <v>309.47</v>
      </c>
      <c r="H3130" s="9">
        <v>6146.61</v>
      </c>
      <c r="I3130" s="6" t="s">
        <v>161</v>
      </c>
      <c r="J3130" s="6" t="s">
        <v>421</v>
      </c>
      <c r="K3130" s="6" t="s">
        <v>20931</v>
      </c>
      <c r="L3130" s="6">
        <v>3.5955902333E10</v>
      </c>
      <c r="M3130" s="6" t="s">
        <v>20932</v>
      </c>
      <c r="N3130" s="6" t="s">
        <v>259</v>
      </c>
      <c r="O3130" s="6" t="s">
        <v>178</v>
      </c>
      <c r="P3130" s="10">
        <v>45978.0</v>
      </c>
    </row>
    <row r="3131" ht="22.5" customHeight="1">
      <c r="A3131" s="6" t="s">
        <v>20934</v>
      </c>
      <c r="B3131" s="6" t="s">
        <v>20935</v>
      </c>
      <c r="C3131" s="6" t="s">
        <v>20936</v>
      </c>
      <c r="D3131" s="6" t="s">
        <v>206</v>
      </c>
      <c r="E3131" s="6" t="s">
        <v>301</v>
      </c>
      <c r="F3131" s="8">
        <v>35.0</v>
      </c>
      <c r="G3131" s="9">
        <v>395.83</v>
      </c>
      <c r="H3131" s="9">
        <v>10572.46</v>
      </c>
      <c r="I3131" s="6" t="s">
        <v>161</v>
      </c>
      <c r="J3131" s="6" t="s">
        <v>14523</v>
      </c>
      <c r="K3131" s="6" t="s">
        <v>20938</v>
      </c>
      <c r="L3131" s="6" t="s">
        <v>259</v>
      </c>
      <c r="M3131" s="6" t="s">
        <v>20939</v>
      </c>
      <c r="N3131" s="6" t="s">
        <v>259</v>
      </c>
      <c r="O3131" s="6" t="s">
        <v>178</v>
      </c>
      <c r="P3131" s="10">
        <v>46047.0</v>
      </c>
    </row>
    <row r="3132" ht="22.5" customHeight="1">
      <c r="A3132" s="6" t="s">
        <v>20940</v>
      </c>
      <c r="B3132" s="6" t="s">
        <v>20942</v>
      </c>
      <c r="C3132" s="6" t="s">
        <v>20943</v>
      </c>
      <c r="D3132" s="6" t="s">
        <v>206</v>
      </c>
      <c r="E3132" s="6" t="s">
        <v>147</v>
      </c>
      <c r="F3132" s="8">
        <v>21.0</v>
      </c>
      <c r="G3132" s="9">
        <v>1167.35</v>
      </c>
      <c r="H3132" s="9">
        <v>4193.64</v>
      </c>
      <c r="I3132" s="6" t="s">
        <v>161</v>
      </c>
      <c r="J3132" s="6" t="s">
        <v>577</v>
      </c>
      <c r="K3132" s="6" t="s">
        <v>20944</v>
      </c>
      <c r="L3132" s="6" t="s">
        <v>259</v>
      </c>
      <c r="M3132" s="6" t="s">
        <v>20945</v>
      </c>
      <c r="N3132" s="6" t="s">
        <v>427</v>
      </c>
      <c r="O3132" s="6" t="s">
        <v>178</v>
      </c>
      <c r="P3132" s="10">
        <v>45961.0</v>
      </c>
    </row>
    <row r="3133" ht="22.5" customHeight="1">
      <c r="A3133" s="6" t="s">
        <v>20947</v>
      </c>
      <c r="B3133" s="6" t="s">
        <v>20948</v>
      </c>
      <c r="C3133" s="6" t="s">
        <v>20949</v>
      </c>
      <c r="D3133" s="6" t="s">
        <v>383</v>
      </c>
      <c r="E3133" s="6" t="s">
        <v>147</v>
      </c>
      <c r="F3133" s="8">
        <v>11.0</v>
      </c>
      <c r="G3133" s="9">
        <v>141.32</v>
      </c>
      <c r="H3133" s="9">
        <v>3368.41</v>
      </c>
      <c r="I3133" s="6" t="s">
        <v>161</v>
      </c>
      <c r="J3133" s="6" t="s">
        <v>163</v>
      </c>
      <c r="K3133" s="6" t="s">
        <v>20951</v>
      </c>
      <c r="L3133" s="6">
        <v>6.8282447704E10</v>
      </c>
      <c r="M3133" s="6" t="s">
        <v>20952</v>
      </c>
      <c r="N3133" s="6" t="s">
        <v>283</v>
      </c>
      <c r="O3133" s="6" t="s">
        <v>178</v>
      </c>
      <c r="P3133" s="10">
        <v>45941.0</v>
      </c>
    </row>
    <row r="3134" ht="22.5" customHeight="1">
      <c r="A3134" s="6" t="s">
        <v>20953</v>
      </c>
      <c r="B3134" s="6" t="s">
        <v>20955</v>
      </c>
      <c r="C3134" s="6" t="s">
        <v>20956</v>
      </c>
      <c r="D3134" s="6" t="s">
        <v>206</v>
      </c>
      <c r="E3134" s="6" t="s">
        <v>147</v>
      </c>
      <c r="F3134" s="8">
        <v>9.0</v>
      </c>
      <c r="G3134" s="9">
        <v>519.58</v>
      </c>
      <c r="H3134" s="9">
        <v>6548.07</v>
      </c>
      <c r="I3134" s="6" t="s">
        <v>161</v>
      </c>
      <c r="J3134" s="6" t="s">
        <v>2502</v>
      </c>
      <c r="K3134" s="6" t="s">
        <v>20957</v>
      </c>
      <c r="L3134" s="6">
        <v>9.1376165411E10</v>
      </c>
      <c r="M3134" s="6" t="s">
        <v>20959</v>
      </c>
      <c r="N3134" s="6" t="s">
        <v>283</v>
      </c>
      <c r="O3134" s="6" t="s">
        <v>178</v>
      </c>
      <c r="P3134" s="10">
        <v>45949.0</v>
      </c>
    </row>
    <row r="3135" ht="22.5" customHeight="1">
      <c r="A3135" s="6" t="s">
        <v>20960</v>
      </c>
      <c r="B3135" s="6" t="s">
        <v>20961</v>
      </c>
      <c r="C3135" s="6" t="s">
        <v>20962</v>
      </c>
      <c r="D3135" s="6" t="s">
        <v>206</v>
      </c>
      <c r="E3135" s="6" t="s">
        <v>147</v>
      </c>
      <c r="F3135" s="8">
        <v>27.0</v>
      </c>
      <c r="G3135" s="9">
        <v>790.91</v>
      </c>
      <c r="H3135" s="9">
        <v>9315.1</v>
      </c>
      <c r="I3135" s="6" t="s">
        <v>161</v>
      </c>
      <c r="J3135" s="6" t="s">
        <v>357</v>
      </c>
      <c r="K3135" s="6" t="s">
        <v>20964</v>
      </c>
      <c r="L3135" s="6">
        <v>3.4057888963E10</v>
      </c>
      <c r="M3135" s="6" t="s">
        <v>20966</v>
      </c>
      <c r="N3135" s="6" t="s">
        <v>427</v>
      </c>
      <c r="O3135" s="6" t="s">
        <v>178</v>
      </c>
      <c r="P3135" s="10">
        <v>45948.0</v>
      </c>
    </row>
    <row r="3136" ht="22.5" customHeight="1">
      <c r="A3136" s="6" t="s">
        <v>20967</v>
      </c>
      <c r="B3136" s="6" t="s">
        <v>20968</v>
      </c>
      <c r="C3136" s="6" t="s">
        <v>20969</v>
      </c>
      <c r="D3136" s="6" t="s">
        <v>145</v>
      </c>
      <c r="E3136" s="6" t="s">
        <v>147</v>
      </c>
      <c r="F3136" s="8">
        <v>11.0</v>
      </c>
      <c r="G3136" s="9">
        <v>660.94</v>
      </c>
      <c r="H3136" s="9">
        <v>3473.99</v>
      </c>
      <c r="I3136" s="6" t="s">
        <v>161</v>
      </c>
      <c r="J3136" s="6" t="s">
        <v>163</v>
      </c>
      <c r="K3136" s="6" t="s">
        <v>13166</v>
      </c>
      <c r="L3136" s="6">
        <v>2.5785948848E10</v>
      </c>
      <c r="M3136" s="6" t="s">
        <v>20971</v>
      </c>
      <c r="N3136" s="6" t="s">
        <v>112</v>
      </c>
      <c r="O3136" s="6" t="s">
        <v>178</v>
      </c>
      <c r="P3136" s="10">
        <v>45963.0</v>
      </c>
    </row>
    <row r="3137" ht="22.5" customHeight="1">
      <c r="A3137" s="6" t="s">
        <v>20972</v>
      </c>
      <c r="B3137" s="6" t="s">
        <v>20973</v>
      </c>
      <c r="C3137" s="6" t="s">
        <v>20974</v>
      </c>
      <c r="D3137" s="6" t="s">
        <v>206</v>
      </c>
      <c r="E3137" s="6" t="s">
        <v>301</v>
      </c>
      <c r="F3137" s="8">
        <v>36.0</v>
      </c>
      <c r="G3137" s="9">
        <v>1781.16</v>
      </c>
      <c r="H3137" s="9">
        <v>13537.64</v>
      </c>
      <c r="I3137" s="6" t="s">
        <v>161</v>
      </c>
      <c r="J3137" s="6" t="s">
        <v>421</v>
      </c>
      <c r="K3137" s="6" t="s">
        <v>20976</v>
      </c>
      <c r="L3137" s="6">
        <v>5.1735660159E10</v>
      </c>
      <c r="M3137" s="6" t="s">
        <v>20978</v>
      </c>
      <c r="N3137" s="6" t="s">
        <v>427</v>
      </c>
      <c r="O3137" s="6" t="s">
        <v>178</v>
      </c>
      <c r="P3137" s="10">
        <v>46009.0</v>
      </c>
    </row>
    <row r="3138" ht="22.5" customHeight="1">
      <c r="A3138" s="6" t="s">
        <v>20979</v>
      </c>
      <c r="B3138" s="6" t="s">
        <v>20981</v>
      </c>
      <c r="C3138" s="6" t="s">
        <v>20982</v>
      </c>
      <c r="D3138" s="6" t="s">
        <v>145</v>
      </c>
      <c r="E3138" s="6" t="s">
        <v>301</v>
      </c>
      <c r="F3138" s="8">
        <v>36.0</v>
      </c>
      <c r="G3138" s="9">
        <v>1790.79</v>
      </c>
      <c r="H3138" s="9">
        <v>3735.99</v>
      </c>
      <c r="I3138" s="6" t="s">
        <v>161</v>
      </c>
      <c r="J3138" s="6" t="s">
        <v>228</v>
      </c>
      <c r="K3138" s="6" t="s">
        <v>20984</v>
      </c>
      <c r="L3138" s="6">
        <v>6.2836504054E10</v>
      </c>
      <c r="M3138" s="6" t="s">
        <v>20985</v>
      </c>
      <c r="N3138" s="6" t="s">
        <v>283</v>
      </c>
      <c r="O3138" s="6" t="s">
        <v>178</v>
      </c>
      <c r="P3138" s="10">
        <v>46039.0</v>
      </c>
    </row>
    <row r="3139" ht="22.5" customHeight="1">
      <c r="A3139" s="6" t="s">
        <v>20986</v>
      </c>
      <c r="B3139" s="6" t="s">
        <v>20987</v>
      </c>
      <c r="C3139" s="6" t="s">
        <v>20988</v>
      </c>
      <c r="D3139" s="6" t="s">
        <v>206</v>
      </c>
      <c r="E3139" s="6" t="s">
        <v>210</v>
      </c>
      <c r="F3139" s="8">
        <v>60.0</v>
      </c>
      <c r="G3139" s="9">
        <v>986.8</v>
      </c>
      <c r="H3139" s="9">
        <v>5040.35</v>
      </c>
      <c r="I3139" s="6" t="s">
        <v>161</v>
      </c>
      <c r="J3139" s="6" t="s">
        <v>163</v>
      </c>
      <c r="K3139" s="6" t="s">
        <v>20990</v>
      </c>
      <c r="L3139" s="6">
        <v>5.4169556708E10</v>
      </c>
      <c r="M3139" s="6" t="s">
        <v>20991</v>
      </c>
      <c r="N3139" s="6" t="s">
        <v>176</v>
      </c>
      <c r="O3139" s="6" t="s">
        <v>161</v>
      </c>
      <c r="P3139" s="10">
        <v>45960.0</v>
      </c>
    </row>
    <row r="3140" ht="22.5" customHeight="1">
      <c r="A3140" s="6" t="s">
        <v>20993</v>
      </c>
      <c r="B3140" s="6" t="s">
        <v>20994</v>
      </c>
      <c r="C3140" s="6" t="s">
        <v>20995</v>
      </c>
      <c r="D3140" s="6" t="s">
        <v>145</v>
      </c>
      <c r="E3140" s="6" t="s">
        <v>147</v>
      </c>
      <c r="F3140" s="8">
        <v>6.0</v>
      </c>
      <c r="G3140" s="9">
        <v>468.49</v>
      </c>
      <c r="H3140" s="9">
        <v>4035.14</v>
      </c>
      <c r="I3140" s="6" t="s">
        <v>161</v>
      </c>
      <c r="J3140" s="6" t="s">
        <v>421</v>
      </c>
      <c r="K3140" s="6" t="s">
        <v>20997</v>
      </c>
      <c r="L3140" s="6">
        <v>7.1881024092E10</v>
      </c>
      <c r="M3140" s="6" t="s">
        <v>20998</v>
      </c>
      <c r="N3140" s="6" t="s">
        <v>112</v>
      </c>
      <c r="O3140" s="6" t="s">
        <v>178</v>
      </c>
      <c r="P3140" s="10">
        <v>46015.0</v>
      </c>
    </row>
    <row r="3141" ht="22.5" customHeight="1">
      <c r="A3141" s="6" t="s">
        <v>21000</v>
      </c>
      <c r="B3141" s="6" t="s">
        <v>21001</v>
      </c>
      <c r="C3141" s="6" t="s">
        <v>21002</v>
      </c>
      <c r="D3141" s="6" t="s">
        <v>206</v>
      </c>
      <c r="E3141" s="6" t="s">
        <v>147</v>
      </c>
      <c r="F3141" s="8">
        <v>18.0</v>
      </c>
      <c r="G3141" s="9">
        <v>167.92</v>
      </c>
      <c r="H3141" s="9">
        <v>5432.17</v>
      </c>
      <c r="I3141" s="6" t="s">
        <v>161</v>
      </c>
      <c r="J3141" s="6" t="s">
        <v>393</v>
      </c>
      <c r="K3141" s="6" t="s">
        <v>21003</v>
      </c>
      <c r="L3141" s="6">
        <v>7.7324726015E10</v>
      </c>
      <c r="M3141" s="6" t="s">
        <v>21005</v>
      </c>
      <c r="N3141" s="6" t="s">
        <v>259</v>
      </c>
      <c r="O3141" s="6" t="s">
        <v>178</v>
      </c>
      <c r="P3141" s="10">
        <v>46013.0</v>
      </c>
    </row>
    <row r="3142" ht="22.5" customHeight="1">
      <c r="A3142" s="6" t="s">
        <v>21006</v>
      </c>
      <c r="B3142" s="6" t="s">
        <v>21007</v>
      </c>
      <c r="C3142" s="6" t="s">
        <v>21008</v>
      </c>
      <c r="D3142" s="6" t="s">
        <v>383</v>
      </c>
      <c r="E3142" s="6" t="s">
        <v>301</v>
      </c>
      <c r="F3142" s="8">
        <v>47.0</v>
      </c>
      <c r="G3142" s="9">
        <v>718.95</v>
      </c>
      <c r="H3142" s="9">
        <v>1507.64</v>
      </c>
      <c r="I3142" s="6" t="s">
        <v>161</v>
      </c>
      <c r="J3142" s="6" t="s">
        <v>357</v>
      </c>
      <c r="K3142" s="6" t="s">
        <v>21010</v>
      </c>
      <c r="L3142" s="6">
        <v>8.0493304815E10</v>
      </c>
      <c r="M3142" s="6" t="s">
        <v>21011</v>
      </c>
      <c r="N3142" s="6" t="s">
        <v>427</v>
      </c>
      <c r="O3142" s="6" t="s">
        <v>178</v>
      </c>
      <c r="P3142" s="10">
        <v>45940.0</v>
      </c>
    </row>
    <row r="3143" ht="22.5" customHeight="1">
      <c r="A3143" s="6" t="s">
        <v>21012</v>
      </c>
      <c r="B3143" s="6" t="s">
        <v>21014</v>
      </c>
      <c r="C3143" s="6" t="s">
        <v>21015</v>
      </c>
      <c r="D3143" s="6" t="s">
        <v>206</v>
      </c>
      <c r="E3143" s="6" t="s">
        <v>301</v>
      </c>
      <c r="F3143" s="8">
        <v>55.0</v>
      </c>
      <c r="G3143" s="9">
        <v>717.73</v>
      </c>
      <c r="H3143" s="9">
        <v>12897.14</v>
      </c>
      <c r="I3143" s="6" t="s">
        <v>161</v>
      </c>
      <c r="J3143" s="6" t="s">
        <v>479</v>
      </c>
      <c r="K3143" s="6" t="s">
        <v>21016</v>
      </c>
      <c r="L3143" s="6">
        <v>4.99091436E8</v>
      </c>
      <c r="M3143" s="6" t="s">
        <v>21017</v>
      </c>
      <c r="N3143" s="6" t="s">
        <v>112</v>
      </c>
      <c r="O3143" s="6" t="s">
        <v>178</v>
      </c>
      <c r="P3143" s="10">
        <v>45931.0</v>
      </c>
    </row>
    <row r="3144" ht="22.5" customHeight="1">
      <c r="A3144" s="6" t="s">
        <v>21019</v>
      </c>
      <c r="B3144" s="6" t="s">
        <v>21020</v>
      </c>
      <c r="C3144" s="6" t="s">
        <v>21021</v>
      </c>
      <c r="D3144" s="6" t="s">
        <v>145</v>
      </c>
      <c r="E3144" s="6" t="s">
        <v>147</v>
      </c>
      <c r="F3144" s="8">
        <v>19.0</v>
      </c>
      <c r="G3144" s="9">
        <v>1349.0</v>
      </c>
      <c r="H3144" s="9">
        <v>4073.62</v>
      </c>
      <c r="I3144" s="6" t="s">
        <v>161</v>
      </c>
      <c r="J3144" s="6" t="s">
        <v>465</v>
      </c>
      <c r="K3144" s="6" t="s">
        <v>21023</v>
      </c>
      <c r="L3144" s="6">
        <v>2.3201815482E10</v>
      </c>
      <c r="M3144" s="6" t="s">
        <v>21024</v>
      </c>
      <c r="N3144" s="6" t="s">
        <v>259</v>
      </c>
      <c r="O3144" s="6" t="s">
        <v>178</v>
      </c>
      <c r="P3144" s="10">
        <v>46031.0</v>
      </c>
    </row>
    <row r="3145" ht="22.5" customHeight="1">
      <c r="A3145" s="6" t="s">
        <v>21025</v>
      </c>
      <c r="B3145" s="6" t="s">
        <v>21026</v>
      </c>
      <c r="C3145" s="6" t="s">
        <v>21027</v>
      </c>
      <c r="D3145" s="6" t="s">
        <v>383</v>
      </c>
      <c r="E3145" s="6" t="s">
        <v>301</v>
      </c>
      <c r="F3145" s="8">
        <v>39.0</v>
      </c>
      <c r="G3145" s="9">
        <v>753.26</v>
      </c>
      <c r="H3145" s="9">
        <v>5189.86</v>
      </c>
      <c r="I3145" s="6" t="s">
        <v>161</v>
      </c>
      <c r="J3145" s="6" t="s">
        <v>163</v>
      </c>
      <c r="K3145" s="6" t="s">
        <v>21029</v>
      </c>
      <c r="L3145" s="6">
        <v>5.6044692632E10</v>
      </c>
      <c r="M3145" s="6" t="s">
        <v>21030</v>
      </c>
      <c r="N3145" s="6" t="s">
        <v>176</v>
      </c>
      <c r="O3145" s="6" t="s">
        <v>178</v>
      </c>
      <c r="P3145" s="10">
        <v>46044.0</v>
      </c>
    </row>
    <row r="3146" ht="22.5" customHeight="1">
      <c r="A3146" s="6" t="s">
        <v>21031</v>
      </c>
      <c r="B3146" s="6" t="s">
        <v>21033</v>
      </c>
      <c r="C3146" s="6" t="s">
        <v>21034</v>
      </c>
      <c r="D3146" s="6" t="s">
        <v>145</v>
      </c>
      <c r="E3146" s="6" t="s">
        <v>301</v>
      </c>
      <c r="F3146" s="8">
        <v>31.0</v>
      </c>
      <c r="G3146" s="9">
        <v>1774.69</v>
      </c>
      <c r="H3146" s="9">
        <v>11100.39</v>
      </c>
      <c r="I3146" s="6" t="s">
        <v>161</v>
      </c>
      <c r="J3146" s="6" t="s">
        <v>357</v>
      </c>
      <c r="K3146" s="6" t="s">
        <v>21035</v>
      </c>
      <c r="L3146" s="6">
        <v>5.5487739274E10</v>
      </c>
      <c r="M3146" s="6" t="s">
        <v>21036</v>
      </c>
      <c r="N3146" s="6" t="s">
        <v>427</v>
      </c>
      <c r="O3146" s="6" t="s">
        <v>178</v>
      </c>
      <c r="P3146" s="10">
        <v>45998.0</v>
      </c>
    </row>
    <row r="3147" ht="22.5" customHeight="1">
      <c r="A3147" s="6" t="s">
        <v>21038</v>
      </c>
      <c r="B3147" s="6" t="s">
        <v>21039</v>
      </c>
      <c r="C3147" s="6" t="s">
        <v>21040</v>
      </c>
      <c r="D3147" s="6" t="s">
        <v>383</v>
      </c>
      <c r="E3147" s="6" t="s">
        <v>147</v>
      </c>
      <c r="F3147" s="8">
        <v>22.0</v>
      </c>
      <c r="G3147" s="9">
        <v>425.21</v>
      </c>
      <c r="H3147" s="9">
        <v>14323.87</v>
      </c>
      <c r="I3147" s="6" t="s">
        <v>161</v>
      </c>
      <c r="J3147" s="6" t="s">
        <v>577</v>
      </c>
      <c r="K3147" s="6" t="s">
        <v>21042</v>
      </c>
      <c r="L3147" s="6">
        <v>6.7782611283E10</v>
      </c>
      <c r="M3147" s="6" t="s">
        <v>21043</v>
      </c>
      <c r="N3147" s="6" t="s">
        <v>176</v>
      </c>
      <c r="O3147" s="6" t="s">
        <v>178</v>
      </c>
      <c r="P3147" s="10">
        <v>46021.0</v>
      </c>
    </row>
    <row r="3148" ht="22.5" customHeight="1">
      <c r="A3148" s="6" t="s">
        <v>21044</v>
      </c>
      <c r="B3148" s="6" t="s">
        <v>21046</v>
      </c>
      <c r="C3148" s="6" t="s">
        <v>21047</v>
      </c>
      <c r="D3148" s="6" t="s">
        <v>145</v>
      </c>
      <c r="E3148" s="6" t="s">
        <v>147</v>
      </c>
      <c r="F3148" s="8">
        <v>5.0</v>
      </c>
      <c r="G3148" s="9">
        <v>366.67</v>
      </c>
      <c r="H3148" s="9">
        <v>5090.01</v>
      </c>
      <c r="I3148" s="6" t="s">
        <v>161</v>
      </c>
      <c r="J3148" s="6" t="s">
        <v>357</v>
      </c>
      <c r="K3148" s="6" t="s">
        <v>21048</v>
      </c>
      <c r="L3148" s="6">
        <v>8.0430469104E10</v>
      </c>
      <c r="M3148" s="6" t="s">
        <v>21050</v>
      </c>
      <c r="N3148" s="6" t="s">
        <v>176</v>
      </c>
      <c r="O3148" s="6" t="s">
        <v>178</v>
      </c>
      <c r="P3148" s="10">
        <v>45945.0</v>
      </c>
    </row>
    <row r="3149" ht="22.5" customHeight="1">
      <c r="A3149" s="6" t="s">
        <v>21051</v>
      </c>
      <c r="B3149" s="6" t="s">
        <v>21052</v>
      </c>
      <c r="C3149" s="6" t="s">
        <v>21053</v>
      </c>
      <c r="D3149" s="6" t="s">
        <v>145</v>
      </c>
      <c r="E3149" s="6" t="s">
        <v>147</v>
      </c>
      <c r="F3149" s="8">
        <v>6.0</v>
      </c>
      <c r="G3149" s="9">
        <v>680.28</v>
      </c>
      <c r="H3149" s="9">
        <v>3452.09</v>
      </c>
      <c r="I3149" s="6" t="s">
        <v>161</v>
      </c>
      <c r="J3149" s="6" t="s">
        <v>421</v>
      </c>
      <c r="K3149" s="6" t="s">
        <v>21055</v>
      </c>
      <c r="L3149" s="6">
        <v>7.6945590878E10</v>
      </c>
      <c r="M3149" s="6" t="s">
        <v>21056</v>
      </c>
      <c r="N3149" s="6" t="s">
        <v>112</v>
      </c>
      <c r="O3149" s="6" t="s">
        <v>178</v>
      </c>
      <c r="P3149" s="10">
        <v>45954.0</v>
      </c>
    </row>
    <row r="3150" ht="22.5" customHeight="1">
      <c r="A3150" s="6" t="s">
        <v>21057</v>
      </c>
      <c r="B3150" s="6" t="s">
        <v>21058</v>
      </c>
      <c r="C3150" s="6" t="s">
        <v>21059</v>
      </c>
      <c r="D3150" s="6" t="s">
        <v>145</v>
      </c>
      <c r="E3150" s="6" t="s">
        <v>147</v>
      </c>
      <c r="F3150" s="8">
        <v>5.0</v>
      </c>
      <c r="G3150" s="9">
        <v>1062.35</v>
      </c>
      <c r="H3150" s="9">
        <v>2146.56</v>
      </c>
      <c r="I3150" s="6" t="s">
        <v>161</v>
      </c>
      <c r="J3150" s="6" t="s">
        <v>465</v>
      </c>
      <c r="K3150" s="6" t="s">
        <v>21061</v>
      </c>
      <c r="L3150" s="6">
        <v>8.136946387E9</v>
      </c>
      <c r="M3150" s="6" t="s">
        <v>21062</v>
      </c>
      <c r="N3150" s="6" t="s">
        <v>176</v>
      </c>
      <c r="O3150" s="6" t="s">
        <v>178</v>
      </c>
      <c r="P3150" s="10">
        <v>46018.0</v>
      </c>
    </row>
    <row r="3151" ht="22.5" customHeight="1">
      <c r="A3151" s="6" t="s">
        <v>21064</v>
      </c>
      <c r="B3151" s="6" t="s">
        <v>21065</v>
      </c>
      <c r="C3151" s="6" t="s">
        <v>21066</v>
      </c>
      <c r="D3151" s="6" t="s">
        <v>383</v>
      </c>
      <c r="E3151" s="6" t="s">
        <v>147</v>
      </c>
      <c r="F3151" s="8">
        <v>6.0</v>
      </c>
      <c r="G3151" s="9">
        <v>223.57</v>
      </c>
      <c r="H3151" s="9">
        <v>774.43</v>
      </c>
      <c r="I3151" s="6" t="s">
        <v>161</v>
      </c>
      <c r="J3151" s="6" t="s">
        <v>393</v>
      </c>
      <c r="K3151" s="6" t="s">
        <v>21068</v>
      </c>
      <c r="L3151" s="6">
        <v>9.8775790024E10</v>
      </c>
      <c r="M3151" s="6" t="s">
        <v>21069</v>
      </c>
      <c r="N3151" s="6" t="s">
        <v>112</v>
      </c>
      <c r="O3151" s="6" t="s">
        <v>178</v>
      </c>
      <c r="P3151" s="10">
        <v>46050.0</v>
      </c>
    </row>
    <row r="3152" ht="22.5" customHeight="1">
      <c r="A3152" s="6" t="s">
        <v>21070</v>
      </c>
      <c r="B3152" s="6" t="s">
        <v>21071</v>
      </c>
      <c r="C3152" s="6" t="s">
        <v>21072</v>
      </c>
      <c r="D3152" s="6" t="s">
        <v>383</v>
      </c>
      <c r="E3152" s="6" t="s">
        <v>147</v>
      </c>
      <c r="F3152" s="8">
        <v>17.0</v>
      </c>
      <c r="G3152" s="9">
        <v>863.51</v>
      </c>
      <c r="H3152" s="9">
        <v>14117.76</v>
      </c>
      <c r="I3152" s="6" t="s">
        <v>161</v>
      </c>
      <c r="J3152" s="6" t="s">
        <v>577</v>
      </c>
      <c r="K3152" s="6" t="s">
        <v>21074</v>
      </c>
      <c r="L3152" s="6">
        <v>9.950798826E10</v>
      </c>
      <c r="M3152" s="6" t="s">
        <v>21075</v>
      </c>
      <c r="N3152" s="6" t="s">
        <v>283</v>
      </c>
      <c r="O3152" s="6" t="s">
        <v>178</v>
      </c>
      <c r="P3152" s="10">
        <v>45968.0</v>
      </c>
    </row>
    <row r="3153" ht="22.5" customHeight="1">
      <c r="A3153" s="6" t="s">
        <v>21077</v>
      </c>
      <c r="B3153" s="6" t="s">
        <v>21078</v>
      </c>
      <c r="C3153" s="6" t="s">
        <v>21079</v>
      </c>
      <c r="D3153" s="6" t="s">
        <v>145</v>
      </c>
      <c r="E3153" s="6" t="s">
        <v>147</v>
      </c>
      <c r="F3153" s="8">
        <v>5.0</v>
      </c>
      <c r="G3153" s="9">
        <v>1156.89</v>
      </c>
      <c r="H3153" s="9">
        <v>14434.01</v>
      </c>
      <c r="I3153" s="6" t="s">
        <v>161</v>
      </c>
      <c r="J3153" s="6" t="s">
        <v>577</v>
      </c>
      <c r="K3153" s="6" t="s">
        <v>21080</v>
      </c>
      <c r="L3153" s="6">
        <v>6.8232277379E10</v>
      </c>
      <c r="M3153" s="6" t="s">
        <v>21082</v>
      </c>
      <c r="N3153" s="6" t="s">
        <v>176</v>
      </c>
      <c r="O3153" s="6" t="s">
        <v>178</v>
      </c>
      <c r="P3153" s="10">
        <v>46002.0</v>
      </c>
    </row>
    <row r="3154" ht="22.5" customHeight="1">
      <c r="A3154" s="6" t="s">
        <v>21083</v>
      </c>
      <c r="B3154" s="6" t="s">
        <v>21084</v>
      </c>
      <c r="C3154" s="6" t="s">
        <v>21085</v>
      </c>
      <c r="D3154" s="6" t="s">
        <v>206</v>
      </c>
      <c r="E3154" s="6" t="s">
        <v>301</v>
      </c>
      <c r="F3154" s="8">
        <v>41.0</v>
      </c>
      <c r="G3154" s="9">
        <v>292.9</v>
      </c>
      <c r="H3154" s="9">
        <v>1445.69</v>
      </c>
      <c r="I3154" s="6" t="s">
        <v>161</v>
      </c>
      <c r="J3154" s="6" t="s">
        <v>421</v>
      </c>
      <c r="K3154" s="6" t="s">
        <v>21087</v>
      </c>
      <c r="L3154" s="6">
        <v>1.772232807E10</v>
      </c>
      <c r="M3154" s="6" t="s">
        <v>21088</v>
      </c>
      <c r="N3154" s="6" t="s">
        <v>427</v>
      </c>
      <c r="O3154" s="6" t="s">
        <v>178</v>
      </c>
      <c r="P3154" s="10">
        <v>45939.0</v>
      </c>
    </row>
    <row r="3155" ht="22.5" customHeight="1">
      <c r="A3155" s="6" t="s">
        <v>21090</v>
      </c>
      <c r="B3155" s="6" t="s">
        <v>21091</v>
      </c>
      <c r="C3155" s="6" t="s">
        <v>21092</v>
      </c>
      <c r="D3155" s="6" t="s">
        <v>145</v>
      </c>
      <c r="E3155" s="6" t="s">
        <v>210</v>
      </c>
      <c r="F3155" s="8">
        <v>70.0</v>
      </c>
      <c r="G3155" s="9">
        <v>920.43</v>
      </c>
      <c r="H3155" s="9">
        <v>12617.67</v>
      </c>
      <c r="I3155" s="6" t="s">
        <v>178</v>
      </c>
      <c r="J3155" s="6" t="s">
        <v>357</v>
      </c>
      <c r="K3155" s="6" t="s">
        <v>21093</v>
      </c>
      <c r="L3155" s="6">
        <v>4.0271848912E10</v>
      </c>
      <c r="M3155" s="6" t="s">
        <v>21095</v>
      </c>
      <c r="N3155" s="6" t="s">
        <v>112</v>
      </c>
      <c r="O3155" s="6" t="s">
        <v>161</v>
      </c>
      <c r="P3155" s="10">
        <v>45972.0</v>
      </c>
    </row>
    <row r="3156" ht="22.5" customHeight="1">
      <c r="A3156" s="6" t="s">
        <v>21096</v>
      </c>
      <c r="B3156" s="6" t="s">
        <v>21097</v>
      </c>
      <c r="C3156" s="6" t="s">
        <v>21098</v>
      </c>
      <c r="D3156" s="6" t="s">
        <v>206</v>
      </c>
      <c r="E3156" s="6" t="s">
        <v>210</v>
      </c>
      <c r="F3156" s="8">
        <v>103.0</v>
      </c>
      <c r="G3156" s="9">
        <v>1578.3</v>
      </c>
      <c r="H3156" s="9">
        <v>10434.41</v>
      </c>
      <c r="I3156" s="6" t="s">
        <v>161</v>
      </c>
      <c r="J3156" s="6" t="s">
        <v>577</v>
      </c>
      <c r="K3156" s="6" t="s">
        <v>21100</v>
      </c>
      <c r="L3156" s="6">
        <v>1.0086969379E10</v>
      </c>
      <c r="M3156" s="6" t="s">
        <v>21101</v>
      </c>
      <c r="N3156" s="6" t="s">
        <v>176</v>
      </c>
      <c r="O3156" s="6" t="s">
        <v>161</v>
      </c>
      <c r="P3156" s="10">
        <v>45946.0</v>
      </c>
    </row>
    <row r="3157" ht="22.5" customHeight="1">
      <c r="A3157" s="6" t="s">
        <v>21102</v>
      </c>
      <c r="B3157" s="6" t="s">
        <v>21103</v>
      </c>
      <c r="C3157" s="6" t="s">
        <v>21105</v>
      </c>
      <c r="D3157" s="6" t="s">
        <v>145</v>
      </c>
      <c r="E3157" s="6" t="s">
        <v>210</v>
      </c>
      <c r="F3157" s="8">
        <v>106.0</v>
      </c>
      <c r="G3157" s="9">
        <v>262.17</v>
      </c>
      <c r="H3157" s="9">
        <v>12687.82</v>
      </c>
      <c r="I3157" s="6" t="s">
        <v>178</v>
      </c>
      <c r="J3157" s="6" t="s">
        <v>421</v>
      </c>
      <c r="K3157" s="6" t="s">
        <v>21106</v>
      </c>
      <c r="L3157" s="6" t="s">
        <v>259</v>
      </c>
      <c r="M3157" s="6" t="s">
        <v>21107</v>
      </c>
      <c r="N3157" s="6" t="s">
        <v>283</v>
      </c>
      <c r="O3157" s="6" t="s">
        <v>161</v>
      </c>
      <c r="P3157" s="10">
        <v>45978.0</v>
      </c>
    </row>
    <row r="3158" ht="22.5" customHeight="1">
      <c r="A3158" s="6" t="s">
        <v>21109</v>
      </c>
      <c r="B3158" s="6" t="s">
        <v>21110</v>
      </c>
      <c r="C3158" s="6" t="s">
        <v>21111</v>
      </c>
      <c r="D3158" s="6" t="s">
        <v>206</v>
      </c>
      <c r="E3158" s="6" t="s">
        <v>301</v>
      </c>
      <c r="F3158" s="8">
        <v>31.0</v>
      </c>
      <c r="G3158" s="9">
        <v>316.34</v>
      </c>
      <c r="H3158" s="9">
        <v>3567.71</v>
      </c>
      <c r="I3158" s="6" t="s">
        <v>161</v>
      </c>
      <c r="J3158" s="6" t="s">
        <v>312</v>
      </c>
      <c r="K3158" s="6" t="s">
        <v>21113</v>
      </c>
      <c r="L3158" s="6" t="s">
        <v>259</v>
      </c>
      <c r="M3158" s="6" t="s">
        <v>21114</v>
      </c>
      <c r="N3158" s="6" t="s">
        <v>283</v>
      </c>
      <c r="O3158" s="6" t="s">
        <v>178</v>
      </c>
      <c r="P3158" s="10">
        <v>45948.0</v>
      </c>
    </row>
    <row r="3159" ht="22.5" customHeight="1">
      <c r="A3159" s="6" t="s">
        <v>21116</v>
      </c>
      <c r="B3159" s="6" t="s">
        <v>21118</v>
      </c>
      <c r="C3159" s="6" t="s">
        <v>21119</v>
      </c>
      <c r="D3159" s="6" t="s">
        <v>206</v>
      </c>
      <c r="E3159" s="6" t="s">
        <v>147</v>
      </c>
      <c r="F3159" s="8">
        <v>28.0</v>
      </c>
      <c r="G3159" s="9">
        <v>210.65</v>
      </c>
      <c r="H3159" s="9">
        <v>1710.21</v>
      </c>
      <c r="I3159" s="6" t="s">
        <v>161</v>
      </c>
      <c r="J3159" s="6" t="s">
        <v>421</v>
      </c>
      <c r="K3159" s="6" t="s">
        <v>21121</v>
      </c>
      <c r="L3159" s="6">
        <v>7.0652057014E10</v>
      </c>
      <c r="M3159" s="6" t="s">
        <v>21122</v>
      </c>
      <c r="N3159" s="6" t="s">
        <v>283</v>
      </c>
      <c r="O3159" s="6" t="s">
        <v>178</v>
      </c>
      <c r="P3159" s="10">
        <v>45975.0</v>
      </c>
    </row>
    <row r="3160" ht="22.5" customHeight="1">
      <c r="A3160" s="6" t="s">
        <v>21124</v>
      </c>
      <c r="B3160" s="6" t="s">
        <v>21125</v>
      </c>
      <c r="C3160" s="6" t="s">
        <v>21126</v>
      </c>
      <c r="D3160" s="6" t="s">
        <v>383</v>
      </c>
      <c r="E3160" s="6" t="s">
        <v>147</v>
      </c>
      <c r="F3160" s="8">
        <v>26.0</v>
      </c>
      <c r="G3160" s="9">
        <v>878.04</v>
      </c>
      <c r="H3160" s="9">
        <v>11820.66</v>
      </c>
      <c r="I3160" s="6" t="s">
        <v>161</v>
      </c>
      <c r="J3160" s="6" t="s">
        <v>421</v>
      </c>
      <c r="K3160" s="6" t="s">
        <v>21128</v>
      </c>
      <c r="L3160" s="6">
        <v>8.616338982E10</v>
      </c>
      <c r="M3160" s="6" t="s">
        <v>21129</v>
      </c>
      <c r="N3160" s="6" t="s">
        <v>283</v>
      </c>
      <c r="O3160" s="6" t="s">
        <v>178</v>
      </c>
      <c r="P3160" s="10">
        <v>45967.0</v>
      </c>
    </row>
    <row r="3161" ht="22.5" customHeight="1">
      <c r="A3161" s="6" t="s">
        <v>21130</v>
      </c>
      <c r="B3161" s="6" t="s">
        <v>21132</v>
      </c>
      <c r="C3161" s="6" t="s">
        <v>21133</v>
      </c>
      <c r="D3161" s="6" t="s">
        <v>206</v>
      </c>
      <c r="E3161" s="6" t="s">
        <v>147</v>
      </c>
      <c r="F3161" s="8">
        <v>10.0</v>
      </c>
      <c r="G3161" s="9">
        <v>915.16</v>
      </c>
      <c r="H3161" s="9">
        <v>8123.83</v>
      </c>
      <c r="I3161" s="6" t="s">
        <v>161</v>
      </c>
      <c r="J3161" s="6" t="s">
        <v>465</v>
      </c>
      <c r="K3161" s="6" t="s">
        <v>21135</v>
      </c>
      <c r="L3161" s="6">
        <v>1.7160400512E10</v>
      </c>
      <c r="M3161" s="6" t="s">
        <v>21136</v>
      </c>
      <c r="N3161" s="6" t="s">
        <v>283</v>
      </c>
      <c r="O3161" s="6" t="s">
        <v>178</v>
      </c>
      <c r="P3161" s="10">
        <v>46017.0</v>
      </c>
    </row>
    <row r="3162" ht="22.5" customHeight="1">
      <c r="A3162" s="6" t="s">
        <v>21138</v>
      </c>
      <c r="B3162" s="6" t="s">
        <v>21139</v>
      </c>
      <c r="C3162" s="6" t="s">
        <v>21140</v>
      </c>
      <c r="D3162" s="6" t="s">
        <v>145</v>
      </c>
      <c r="E3162" s="6" t="s">
        <v>147</v>
      </c>
      <c r="F3162" s="8">
        <v>24.0</v>
      </c>
      <c r="G3162" s="9">
        <v>1710.9</v>
      </c>
      <c r="H3162" s="9">
        <v>6809.71</v>
      </c>
      <c r="I3162" s="6" t="s">
        <v>161</v>
      </c>
      <c r="J3162" s="6" t="s">
        <v>228</v>
      </c>
      <c r="K3162" s="6" t="s">
        <v>21142</v>
      </c>
      <c r="L3162" s="6">
        <v>1.939927727E9</v>
      </c>
      <c r="M3162" s="6" t="s">
        <v>21143</v>
      </c>
      <c r="N3162" s="6" t="s">
        <v>259</v>
      </c>
      <c r="O3162" s="6" t="s">
        <v>178</v>
      </c>
      <c r="P3162" s="10">
        <v>45986.0</v>
      </c>
    </row>
    <row r="3163" ht="22.5" customHeight="1">
      <c r="A3163" s="6" t="s">
        <v>21145</v>
      </c>
      <c r="B3163" s="6" t="s">
        <v>21146</v>
      </c>
      <c r="C3163" s="6" t="s">
        <v>21148</v>
      </c>
      <c r="D3163" s="6" t="s">
        <v>145</v>
      </c>
      <c r="E3163" s="6" t="s">
        <v>301</v>
      </c>
      <c r="F3163" s="8">
        <v>37.0</v>
      </c>
      <c r="G3163" s="9">
        <v>1427.6</v>
      </c>
      <c r="H3163" s="9">
        <v>8760.35</v>
      </c>
      <c r="I3163" s="6" t="s">
        <v>161</v>
      </c>
      <c r="J3163" s="6" t="s">
        <v>479</v>
      </c>
      <c r="K3163" s="6" t="s">
        <v>21149</v>
      </c>
      <c r="L3163" s="6" t="s">
        <v>259</v>
      </c>
      <c r="M3163" s="6" t="s">
        <v>21150</v>
      </c>
      <c r="N3163" s="6" t="s">
        <v>176</v>
      </c>
      <c r="O3163" s="6" t="s">
        <v>178</v>
      </c>
      <c r="P3163" s="10">
        <v>46005.0</v>
      </c>
    </row>
    <row r="3164" ht="22.5" customHeight="1">
      <c r="A3164" s="6" t="s">
        <v>21151</v>
      </c>
      <c r="B3164" s="6" t="s">
        <v>21153</v>
      </c>
      <c r="C3164" s="6" t="s">
        <v>21154</v>
      </c>
      <c r="D3164" s="6" t="s">
        <v>145</v>
      </c>
      <c r="E3164" s="6" t="s">
        <v>147</v>
      </c>
      <c r="F3164" s="8">
        <v>15.0</v>
      </c>
      <c r="G3164" s="9">
        <v>1220.18</v>
      </c>
      <c r="H3164" s="9">
        <v>10610.44</v>
      </c>
      <c r="I3164" s="6" t="s">
        <v>161</v>
      </c>
      <c r="J3164" s="6" t="s">
        <v>577</v>
      </c>
      <c r="K3164" s="6" t="s">
        <v>21155</v>
      </c>
      <c r="L3164" s="6">
        <v>3.5957964743E10</v>
      </c>
      <c r="M3164" s="6" t="s">
        <v>21156</v>
      </c>
      <c r="N3164" s="6" t="s">
        <v>176</v>
      </c>
      <c r="O3164" s="6" t="s">
        <v>178</v>
      </c>
      <c r="P3164" s="10">
        <v>46012.0</v>
      </c>
    </row>
    <row r="3165" ht="22.5" customHeight="1">
      <c r="A3165" s="6" t="s">
        <v>21158</v>
      </c>
      <c r="B3165" s="6" t="s">
        <v>21159</v>
      </c>
      <c r="C3165" s="6" t="s">
        <v>21160</v>
      </c>
      <c r="D3165" s="6" t="s">
        <v>206</v>
      </c>
      <c r="E3165" s="6" t="s">
        <v>210</v>
      </c>
      <c r="F3165" s="8">
        <v>70.0</v>
      </c>
      <c r="G3165" s="9">
        <v>1584.05</v>
      </c>
      <c r="H3165" s="9">
        <v>15395.18</v>
      </c>
      <c r="I3165" s="6" t="s">
        <v>178</v>
      </c>
      <c r="J3165" s="6" t="s">
        <v>228</v>
      </c>
      <c r="K3165" s="6" t="s">
        <v>21162</v>
      </c>
      <c r="L3165" s="6">
        <v>2.1617169459E10</v>
      </c>
      <c r="M3165" s="6" t="s">
        <v>21163</v>
      </c>
      <c r="N3165" s="6" t="s">
        <v>176</v>
      </c>
      <c r="O3165" s="6" t="s">
        <v>161</v>
      </c>
      <c r="P3165" s="10">
        <v>46042.0</v>
      </c>
    </row>
    <row r="3166" ht="22.5" customHeight="1">
      <c r="A3166" s="6" t="s">
        <v>21164</v>
      </c>
      <c r="B3166" s="6" t="s">
        <v>21165</v>
      </c>
      <c r="C3166" s="6" t="s">
        <v>21166</v>
      </c>
      <c r="D3166" s="6" t="s">
        <v>206</v>
      </c>
      <c r="E3166" s="6" t="s">
        <v>301</v>
      </c>
      <c r="F3166" s="8">
        <v>56.0</v>
      </c>
      <c r="G3166" s="9">
        <v>290.86</v>
      </c>
      <c r="H3166" s="9">
        <v>6762.12</v>
      </c>
      <c r="I3166" s="6" t="s">
        <v>161</v>
      </c>
      <c r="J3166" s="6" t="s">
        <v>577</v>
      </c>
      <c r="K3166" s="6" t="s">
        <v>21168</v>
      </c>
      <c r="L3166" s="6">
        <v>1.1859082285E10</v>
      </c>
      <c r="M3166" s="6" t="s">
        <v>21170</v>
      </c>
      <c r="N3166" s="6" t="s">
        <v>176</v>
      </c>
      <c r="O3166" s="6" t="s">
        <v>178</v>
      </c>
      <c r="P3166" s="10">
        <v>46012.0</v>
      </c>
    </row>
    <row r="3167" ht="22.5" customHeight="1">
      <c r="A3167" s="6" t="s">
        <v>21171</v>
      </c>
      <c r="B3167" s="6" t="s">
        <v>21172</v>
      </c>
      <c r="C3167" s="6" t="s">
        <v>21173</v>
      </c>
      <c r="D3167" s="6" t="s">
        <v>206</v>
      </c>
      <c r="E3167" s="6" t="s">
        <v>147</v>
      </c>
      <c r="F3167" s="8">
        <v>8.0</v>
      </c>
      <c r="G3167" s="9">
        <v>1428.05</v>
      </c>
      <c r="H3167" s="9">
        <v>8704.75</v>
      </c>
      <c r="I3167" s="6" t="s">
        <v>161</v>
      </c>
      <c r="J3167" s="6" t="s">
        <v>479</v>
      </c>
      <c r="K3167" s="6" t="s">
        <v>21175</v>
      </c>
      <c r="L3167" s="6">
        <v>3.1197976368E10</v>
      </c>
      <c r="M3167" s="6" t="s">
        <v>21176</v>
      </c>
      <c r="N3167" s="6" t="s">
        <v>176</v>
      </c>
      <c r="O3167" s="6" t="s">
        <v>178</v>
      </c>
      <c r="P3167" s="10">
        <v>45986.0</v>
      </c>
    </row>
    <row r="3168" ht="22.5" customHeight="1">
      <c r="A3168" s="6" t="s">
        <v>21178</v>
      </c>
      <c r="B3168" s="6" t="s">
        <v>21179</v>
      </c>
      <c r="C3168" s="6" t="s">
        <v>21180</v>
      </c>
      <c r="D3168" s="6" t="s">
        <v>206</v>
      </c>
      <c r="E3168" s="6" t="s">
        <v>147</v>
      </c>
      <c r="F3168" s="8">
        <v>10.0</v>
      </c>
      <c r="G3168" s="9">
        <v>432.9</v>
      </c>
      <c r="H3168" s="9">
        <v>8678.05</v>
      </c>
      <c r="I3168" s="6" t="s">
        <v>178</v>
      </c>
      <c r="J3168" s="6" t="s">
        <v>163</v>
      </c>
      <c r="K3168" s="6" t="s">
        <v>21182</v>
      </c>
      <c r="L3168" s="6">
        <v>1.4399055101E10</v>
      </c>
      <c r="M3168" s="6" t="s">
        <v>21183</v>
      </c>
      <c r="N3168" s="6" t="s">
        <v>176</v>
      </c>
      <c r="O3168" s="6" t="s">
        <v>161</v>
      </c>
      <c r="P3168" s="10">
        <v>45969.0</v>
      </c>
    </row>
    <row r="3169" ht="22.5" customHeight="1">
      <c r="A3169" s="6" t="s">
        <v>21185</v>
      </c>
      <c r="B3169" s="6" t="s">
        <v>21186</v>
      </c>
      <c r="C3169" s="6" t="s">
        <v>21187</v>
      </c>
      <c r="D3169" s="6" t="s">
        <v>145</v>
      </c>
      <c r="E3169" s="6" t="s">
        <v>210</v>
      </c>
      <c r="F3169" s="8">
        <v>109.0</v>
      </c>
      <c r="G3169" s="9">
        <v>1673.34</v>
      </c>
      <c r="H3169" s="9">
        <v>7163.95</v>
      </c>
      <c r="I3169" s="6" t="s">
        <v>178</v>
      </c>
      <c r="J3169" s="6" t="s">
        <v>465</v>
      </c>
      <c r="K3169" s="6" t="s">
        <v>21189</v>
      </c>
      <c r="L3169" s="6">
        <v>8.9676048406E10</v>
      </c>
      <c r="M3169" s="6" t="s">
        <v>21190</v>
      </c>
      <c r="N3169" s="6" t="s">
        <v>283</v>
      </c>
      <c r="O3169" s="6" t="s">
        <v>161</v>
      </c>
      <c r="P3169" s="10">
        <v>46039.0</v>
      </c>
    </row>
    <row r="3170" ht="22.5" customHeight="1">
      <c r="A3170" s="6" t="s">
        <v>21192</v>
      </c>
      <c r="B3170" s="6" t="s">
        <v>21193</v>
      </c>
      <c r="C3170" s="6" t="s">
        <v>21194</v>
      </c>
      <c r="D3170" s="6" t="s">
        <v>206</v>
      </c>
      <c r="E3170" s="6" t="s">
        <v>301</v>
      </c>
      <c r="F3170" s="8">
        <v>45.0</v>
      </c>
      <c r="G3170" s="9">
        <v>1388.43</v>
      </c>
      <c r="H3170" s="9">
        <v>13927.52</v>
      </c>
      <c r="I3170" s="6" t="s">
        <v>161</v>
      </c>
      <c r="J3170" s="6" t="s">
        <v>163</v>
      </c>
      <c r="K3170" s="6" t="s">
        <v>21197</v>
      </c>
      <c r="L3170" s="6">
        <v>5.2969157792E10</v>
      </c>
      <c r="M3170" s="6" t="s">
        <v>21198</v>
      </c>
      <c r="N3170" s="6" t="s">
        <v>112</v>
      </c>
      <c r="O3170" s="6" t="s">
        <v>178</v>
      </c>
      <c r="P3170" s="10">
        <v>46050.0</v>
      </c>
    </row>
    <row r="3171" ht="22.5" customHeight="1">
      <c r="A3171" s="6" t="s">
        <v>21200</v>
      </c>
      <c r="B3171" s="6" t="s">
        <v>21201</v>
      </c>
      <c r="C3171" s="6" t="s">
        <v>21202</v>
      </c>
      <c r="D3171" s="6" t="s">
        <v>145</v>
      </c>
      <c r="E3171" s="6" t="s">
        <v>147</v>
      </c>
      <c r="F3171" s="8">
        <v>29.0</v>
      </c>
      <c r="G3171" s="9">
        <v>82.32</v>
      </c>
      <c r="H3171" s="9">
        <v>9786.73</v>
      </c>
      <c r="I3171" s="6" t="s">
        <v>178</v>
      </c>
      <c r="J3171" s="6" t="s">
        <v>393</v>
      </c>
      <c r="K3171" s="6" t="s">
        <v>21204</v>
      </c>
      <c r="L3171" s="6">
        <v>5.8697830298E10</v>
      </c>
      <c r="M3171" s="6" t="s">
        <v>21205</v>
      </c>
      <c r="N3171" s="6" t="s">
        <v>283</v>
      </c>
      <c r="O3171" s="6" t="s">
        <v>161</v>
      </c>
      <c r="P3171" s="10">
        <v>45936.0</v>
      </c>
    </row>
    <row r="3172" ht="22.5" customHeight="1">
      <c r="A3172" s="6" t="s">
        <v>21207</v>
      </c>
      <c r="B3172" s="6" t="s">
        <v>21208</v>
      </c>
      <c r="C3172" s="6" t="s">
        <v>21209</v>
      </c>
      <c r="D3172" s="6" t="s">
        <v>145</v>
      </c>
      <c r="E3172" s="6" t="s">
        <v>301</v>
      </c>
      <c r="F3172" s="8">
        <v>38.0</v>
      </c>
      <c r="G3172" s="9">
        <v>1116.3</v>
      </c>
      <c r="H3172" s="9">
        <v>14160.73</v>
      </c>
      <c r="I3172" s="6" t="s">
        <v>161</v>
      </c>
      <c r="J3172" s="6" t="s">
        <v>312</v>
      </c>
      <c r="K3172" s="6" t="s">
        <v>21212</v>
      </c>
      <c r="L3172" s="6">
        <v>4.2475238994E10</v>
      </c>
      <c r="M3172" s="6" t="s">
        <v>21213</v>
      </c>
      <c r="N3172" s="6" t="s">
        <v>259</v>
      </c>
      <c r="O3172" s="6" t="s">
        <v>178</v>
      </c>
      <c r="P3172" s="10">
        <v>45951.0</v>
      </c>
    </row>
    <row r="3173" ht="22.5" customHeight="1">
      <c r="A3173" s="6" t="s">
        <v>21214</v>
      </c>
      <c r="B3173" s="6" t="s">
        <v>21215</v>
      </c>
      <c r="C3173" s="6" t="s">
        <v>21216</v>
      </c>
      <c r="D3173" s="6" t="s">
        <v>145</v>
      </c>
      <c r="E3173" s="6" t="s">
        <v>210</v>
      </c>
      <c r="F3173" s="8">
        <v>111.0</v>
      </c>
      <c r="G3173" s="9">
        <v>1649.65</v>
      </c>
      <c r="H3173" s="9">
        <v>6085.41</v>
      </c>
      <c r="I3173" s="6" t="s">
        <v>178</v>
      </c>
      <c r="J3173" s="6" t="s">
        <v>465</v>
      </c>
      <c r="K3173" s="6" t="s">
        <v>21218</v>
      </c>
      <c r="L3173" s="6">
        <v>1.4651717717E10</v>
      </c>
      <c r="M3173" s="6" t="s">
        <v>21219</v>
      </c>
      <c r="N3173" s="6" t="s">
        <v>427</v>
      </c>
      <c r="O3173" s="6" t="s">
        <v>161</v>
      </c>
      <c r="P3173" s="10">
        <v>45987.0</v>
      </c>
    </row>
    <row r="3174" ht="22.5" customHeight="1">
      <c r="A3174" s="6" t="s">
        <v>21221</v>
      </c>
      <c r="B3174" s="6" t="s">
        <v>21222</v>
      </c>
      <c r="C3174" s="6" t="s">
        <v>21223</v>
      </c>
      <c r="D3174" s="6" t="s">
        <v>206</v>
      </c>
      <c r="E3174" s="6" t="s">
        <v>147</v>
      </c>
      <c r="F3174" s="8">
        <v>12.0</v>
      </c>
      <c r="G3174" s="9">
        <v>1190.45</v>
      </c>
      <c r="H3174" s="9">
        <v>7277.26</v>
      </c>
      <c r="I3174" s="6" t="s">
        <v>161</v>
      </c>
      <c r="J3174" s="6" t="s">
        <v>357</v>
      </c>
      <c r="K3174" s="6" t="s">
        <v>21224</v>
      </c>
      <c r="L3174" s="6">
        <v>7.3697111288E10</v>
      </c>
      <c r="M3174" s="6" t="s">
        <v>21226</v>
      </c>
      <c r="N3174" s="6" t="s">
        <v>427</v>
      </c>
      <c r="O3174" s="6" t="s">
        <v>178</v>
      </c>
      <c r="P3174" s="10">
        <v>45939.0</v>
      </c>
    </row>
    <row r="3175" ht="22.5" customHeight="1">
      <c r="A3175" s="6" t="s">
        <v>21227</v>
      </c>
      <c r="B3175" s="6" t="s">
        <v>21228</v>
      </c>
      <c r="C3175" s="6" t="s">
        <v>21229</v>
      </c>
      <c r="D3175" s="6" t="s">
        <v>383</v>
      </c>
      <c r="E3175" s="6" t="s">
        <v>147</v>
      </c>
      <c r="F3175" s="8">
        <v>27.0</v>
      </c>
      <c r="G3175" s="9">
        <v>1316.14</v>
      </c>
      <c r="H3175" s="9">
        <v>5693.0</v>
      </c>
      <c r="I3175" s="6" t="s">
        <v>161</v>
      </c>
      <c r="J3175" s="6" t="s">
        <v>442</v>
      </c>
      <c r="K3175" s="6" t="s">
        <v>21231</v>
      </c>
      <c r="L3175" s="6">
        <v>9.5469916175E10</v>
      </c>
      <c r="M3175" s="6" t="s">
        <v>21233</v>
      </c>
      <c r="N3175" s="6" t="s">
        <v>176</v>
      </c>
      <c r="O3175" s="6" t="s">
        <v>178</v>
      </c>
      <c r="P3175" s="10">
        <v>45989.0</v>
      </c>
    </row>
    <row r="3176" ht="22.5" customHeight="1">
      <c r="A3176" s="6" t="s">
        <v>21234</v>
      </c>
      <c r="B3176" s="6" t="s">
        <v>21235</v>
      </c>
      <c r="C3176" s="6" t="s">
        <v>21237</v>
      </c>
      <c r="D3176" s="6" t="s">
        <v>145</v>
      </c>
      <c r="E3176" s="6" t="s">
        <v>147</v>
      </c>
      <c r="F3176" s="8">
        <v>22.0</v>
      </c>
      <c r="G3176" s="9">
        <v>917.99</v>
      </c>
      <c r="H3176" s="9">
        <v>4697.85</v>
      </c>
      <c r="I3176" s="6" t="s">
        <v>161</v>
      </c>
      <c r="J3176" s="6" t="s">
        <v>228</v>
      </c>
      <c r="K3176" s="6" t="s">
        <v>21239</v>
      </c>
      <c r="L3176" s="6">
        <v>7.5218221438E10</v>
      </c>
      <c r="M3176" s="6" t="s">
        <v>21240</v>
      </c>
      <c r="N3176" s="6" t="s">
        <v>259</v>
      </c>
      <c r="O3176" s="6" t="s">
        <v>178</v>
      </c>
      <c r="P3176" s="10">
        <v>45961.0</v>
      </c>
    </row>
    <row r="3177" ht="22.5" customHeight="1">
      <c r="A3177" s="6" t="s">
        <v>21242</v>
      </c>
      <c r="B3177" s="6" t="s">
        <v>21243</v>
      </c>
      <c r="C3177" s="6" t="s">
        <v>21245</v>
      </c>
      <c r="D3177" s="6" t="s">
        <v>206</v>
      </c>
      <c r="E3177" s="6" t="s">
        <v>301</v>
      </c>
      <c r="F3177" s="8">
        <v>44.0</v>
      </c>
      <c r="G3177" s="9">
        <v>1485.38</v>
      </c>
      <c r="H3177" s="9">
        <v>13183.49</v>
      </c>
      <c r="I3177" s="6" t="s">
        <v>161</v>
      </c>
      <c r="J3177" s="6" t="s">
        <v>465</v>
      </c>
      <c r="K3177" s="6" t="s">
        <v>21247</v>
      </c>
      <c r="L3177" s="6">
        <v>4.2088449381E10</v>
      </c>
      <c r="M3177" s="6" t="s">
        <v>21248</v>
      </c>
      <c r="N3177" s="6" t="s">
        <v>259</v>
      </c>
      <c r="O3177" s="6" t="s">
        <v>178</v>
      </c>
      <c r="P3177" s="10">
        <v>46026.0</v>
      </c>
    </row>
    <row r="3178" ht="22.5" customHeight="1">
      <c r="A3178" s="6" t="s">
        <v>21250</v>
      </c>
      <c r="B3178" s="6" t="s">
        <v>21251</v>
      </c>
      <c r="C3178" s="6" t="s">
        <v>21252</v>
      </c>
      <c r="D3178" s="6" t="s">
        <v>145</v>
      </c>
      <c r="E3178" s="6" t="s">
        <v>210</v>
      </c>
      <c r="F3178" s="8">
        <v>60.0</v>
      </c>
      <c r="G3178" s="9">
        <v>1281.44</v>
      </c>
      <c r="H3178" s="9">
        <v>7208.32</v>
      </c>
      <c r="I3178" s="6" t="s">
        <v>178</v>
      </c>
      <c r="J3178" s="6" t="s">
        <v>357</v>
      </c>
      <c r="K3178" s="6" t="s">
        <v>21254</v>
      </c>
      <c r="L3178" s="6">
        <v>1.6488481896E10</v>
      </c>
      <c r="M3178" s="6" t="s">
        <v>21255</v>
      </c>
      <c r="N3178" s="6" t="s">
        <v>112</v>
      </c>
      <c r="O3178" s="6" t="s">
        <v>161</v>
      </c>
      <c r="P3178" s="10">
        <v>45958.0</v>
      </c>
    </row>
    <row r="3179" ht="22.5" customHeight="1">
      <c r="A3179" s="6" t="s">
        <v>21257</v>
      </c>
      <c r="B3179" s="6" t="s">
        <v>21258</v>
      </c>
      <c r="C3179" s="6" t="s">
        <v>21259</v>
      </c>
      <c r="D3179" s="6" t="s">
        <v>206</v>
      </c>
      <c r="E3179" s="6" t="s">
        <v>147</v>
      </c>
      <c r="F3179" s="8">
        <v>25.0</v>
      </c>
      <c r="G3179" s="9">
        <v>570.51</v>
      </c>
      <c r="H3179" s="9">
        <v>9742.28</v>
      </c>
      <c r="I3179" s="6" t="s">
        <v>161</v>
      </c>
      <c r="J3179" s="6" t="s">
        <v>393</v>
      </c>
      <c r="K3179" s="6" t="s">
        <v>21262</v>
      </c>
      <c r="L3179" s="6">
        <v>2.6161175855E10</v>
      </c>
      <c r="M3179" s="6" t="s">
        <v>21263</v>
      </c>
      <c r="N3179" s="6" t="s">
        <v>176</v>
      </c>
      <c r="O3179" s="6" t="s">
        <v>178</v>
      </c>
      <c r="P3179" s="10">
        <v>46015.0</v>
      </c>
    </row>
    <row r="3180" ht="22.5" customHeight="1">
      <c r="A3180" s="6" t="s">
        <v>21265</v>
      </c>
      <c r="B3180" s="6" t="s">
        <v>21266</v>
      </c>
      <c r="C3180" s="6" t="s">
        <v>21267</v>
      </c>
      <c r="D3180" s="6" t="s">
        <v>145</v>
      </c>
      <c r="E3180" s="6" t="s">
        <v>147</v>
      </c>
      <c r="F3180" s="8">
        <v>19.0</v>
      </c>
      <c r="G3180" s="9">
        <v>620.44</v>
      </c>
      <c r="H3180" s="9">
        <v>7653.28</v>
      </c>
      <c r="I3180" s="6" t="s">
        <v>161</v>
      </c>
      <c r="J3180" s="6" t="s">
        <v>442</v>
      </c>
      <c r="K3180" s="6" t="s">
        <v>21269</v>
      </c>
      <c r="L3180" s="6">
        <v>9.6265930282E10</v>
      </c>
      <c r="M3180" s="6" t="s">
        <v>21270</v>
      </c>
      <c r="N3180" s="6" t="s">
        <v>427</v>
      </c>
      <c r="O3180" s="6" t="s">
        <v>178</v>
      </c>
      <c r="P3180" s="10">
        <v>45931.0</v>
      </c>
    </row>
    <row r="3181" ht="22.5" customHeight="1">
      <c r="A3181" s="6" t="s">
        <v>21272</v>
      </c>
      <c r="B3181" s="6" t="s">
        <v>21273</v>
      </c>
      <c r="C3181" s="6" t="s">
        <v>21275</v>
      </c>
      <c r="D3181" s="6" t="s">
        <v>206</v>
      </c>
      <c r="E3181" s="6" t="s">
        <v>147</v>
      </c>
      <c r="F3181" s="8">
        <v>18.0</v>
      </c>
      <c r="G3181" s="9">
        <v>1402.25</v>
      </c>
      <c r="H3181" s="9">
        <v>5790.53</v>
      </c>
      <c r="I3181" s="6" t="s">
        <v>161</v>
      </c>
      <c r="J3181" s="6" t="s">
        <v>465</v>
      </c>
      <c r="K3181" s="6" t="s">
        <v>21277</v>
      </c>
      <c r="L3181" s="6">
        <v>8.797146703E10</v>
      </c>
      <c r="M3181" s="6" t="s">
        <v>21278</v>
      </c>
      <c r="N3181" s="6" t="s">
        <v>176</v>
      </c>
      <c r="O3181" s="6" t="s">
        <v>178</v>
      </c>
      <c r="P3181" s="10">
        <v>46005.0</v>
      </c>
    </row>
    <row r="3182" ht="22.5" customHeight="1">
      <c r="A3182" s="6" t="s">
        <v>21280</v>
      </c>
      <c r="B3182" s="6" t="s">
        <v>21281</v>
      </c>
      <c r="C3182" s="6" t="s">
        <v>21282</v>
      </c>
      <c r="D3182" s="6" t="s">
        <v>206</v>
      </c>
      <c r="E3182" s="6" t="s">
        <v>147</v>
      </c>
      <c r="F3182" s="8">
        <v>21.0</v>
      </c>
      <c r="G3182" s="9">
        <v>1207.05</v>
      </c>
      <c r="H3182" s="9">
        <v>2393.64</v>
      </c>
      <c r="I3182" s="6" t="s">
        <v>161</v>
      </c>
      <c r="J3182" s="6" t="s">
        <v>228</v>
      </c>
      <c r="K3182" s="6" t="s">
        <v>21284</v>
      </c>
      <c r="L3182" s="6" t="s">
        <v>259</v>
      </c>
      <c r="M3182" s="6" t="s">
        <v>21285</v>
      </c>
      <c r="N3182" s="6" t="s">
        <v>176</v>
      </c>
      <c r="O3182" s="6" t="s">
        <v>178</v>
      </c>
      <c r="P3182" s="10">
        <v>46035.0</v>
      </c>
    </row>
    <row r="3183" ht="22.5" customHeight="1">
      <c r="A3183" s="6" t="s">
        <v>21286</v>
      </c>
      <c r="B3183" s="6" t="s">
        <v>21288</v>
      </c>
      <c r="C3183" s="6" t="s">
        <v>21289</v>
      </c>
      <c r="D3183" s="6" t="s">
        <v>145</v>
      </c>
      <c r="E3183" s="6" t="s">
        <v>147</v>
      </c>
      <c r="F3183" s="8">
        <v>22.0</v>
      </c>
      <c r="G3183" s="9">
        <v>637.3</v>
      </c>
      <c r="H3183" s="9">
        <v>4262.83</v>
      </c>
      <c r="I3183" s="6" t="s">
        <v>161</v>
      </c>
      <c r="J3183" s="6" t="s">
        <v>421</v>
      </c>
      <c r="K3183" s="6" t="s">
        <v>21290</v>
      </c>
      <c r="L3183" s="6">
        <v>9.0294630356E10</v>
      </c>
      <c r="M3183" s="6" t="s">
        <v>21291</v>
      </c>
      <c r="N3183" s="6" t="s">
        <v>176</v>
      </c>
      <c r="O3183" s="6" t="s">
        <v>178</v>
      </c>
      <c r="P3183" s="10">
        <v>46024.0</v>
      </c>
    </row>
    <row r="3184" ht="22.5" customHeight="1">
      <c r="A3184" s="6" t="s">
        <v>21293</v>
      </c>
      <c r="B3184" s="6" t="s">
        <v>21294</v>
      </c>
      <c r="C3184" s="6" t="s">
        <v>21296</v>
      </c>
      <c r="D3184" s="6" t="s">
        <v>145</v>
      </c>
      <c r="E3184" s="6" t="s">
        <v>301</v>
      </c>
      <c r="F3184" s="8">
        <v>57.0</v>
      </c>
      <c r="G3184" s="9">
        <v>1749.34</v>
      </c>
      <c r="H3184" s="9">
        <v>12506.25</v>
      </c>
      <c r="I3184" s="6" t="s">
        <v>161</v>
      </c>
      <c r="J3184" s="6" t="s">
        <v>479</v>
      </c>
      <c r="K3184" s="6" t="s">
        <v>21298</v>
      </c>
      <c r="L3184" s="6">
        <v>8.5500408274E10</v>
      </c>
      <c r="M3184" s="6" t="s">
        <v>21299</v>
      </c>
      <c r="N3184" s="6" t="s">
        <v>427</v>
      </c>
      <c r="O3184" s="6" t="s">
        <v>178</v>
      </c>
      <c r="P3184" s="10">
        <v>46035.0</v>
      </c>
    </row>
    <row r="3185" ht="22.5" customHeight="1">
      <c r="A3185" s="6" t="s">
        <v>21301</v>
      </c>
      <c r="B3185" s="6" t="s">
        <v>21302</v>
      </c>
      <c r="C3185" s="6" t="s">
        <v>21303</v>
      </c>
      <c r="D3185" s="6" t="s">
        <v>383</v>
      </c>
      <c r="E3185" s="6" t="s">
        <v>147</v>
      </c>
      <c r="F3185" s="8">
        <v>7.0</v>
      </c>
      <c r="G3185" s="9">
        <v>508.26</v>
      </c>
      <c r="H3185" s="9">
        <v>9034.83</v>
      </c>
      <c r="I3185" s="6" t="s">
        <v>178</v>
      </c>
      <c r="J3185" s="6" t="s">
        <v>163</v>
      </c>
      <c r="K3185" s="6" t="s">
        <v>259</v>
      </c>
      <c r="L3185" s="6">
        <v>7.2918177564E10</v>
      </c>
      <c r="M3185" s="6" t="s">
        <v>21306</v>
      </c>
      <c r="N3185" s="6" t="s">
        <v>283</v>
      </c>
      <c r="O3185" s="6" t="s">
        <v>161</v>
      </c>
      <c r="P3185" s="10">
        <v>45941.0</v>
      </c>
    </row>
    <row r="3186" ht="22.5" customHeight="1">
      <c r="A3186" s="6" t="s">
        <v>21308</v>
      </c>
      <c r="B3186" s="6" t="s">
        <v>21309</v>
      </c>
      <c r="C3186" s="6" t="s">
        <v>21310</v>
      </c>
      <c r="D3186" s="6" t="s">
        <v>145</v>
      </c>
      <c r="E3186" s="6" t="s">
        <v>147</v>
      </c>
      <c r="F3186" s="8">
        <v>13.0</v>
      </c>
      <c r="G3186" s="9">
        <v>1457.78</v>
      </c>
      <c r="H3186" s="9">
        <v>13223.84</v>
      </c>
      <c r="I3186" s="6" t="s">
        <v>178</v>
      </c>
      <c r="J3186" s="6" t="s">
        <v>479</v>
      </c>
      <c r="K3186" s="6" t="s">
        <v>21312</v>
      </c>
      <c r="L3186" s="6">
        <v>5.2574307562E10</v>
      </c>
      <c r="M3186" s="6" t="s">
        <v>21313</v>
      </c>
      <c r="N3186" s="6" t="s">
        <v>176</v>
      </c>
      <c r="O3186" s="6" t="s">
        <v>161</v>
      </c>
      <c r="P3186" s="10">
        <v>46033.0</v>
      </c>
    </row>
    <row r="3187" ht="22.5" customHeight="1">
      <c r="A3187" s="6" t="s">
        <v>21315</v>
      </c>
      <c r="B3187" s="6" t="s">
        <v>21317</v>
      </c>
      <c r="C3187" s="6" t="s">
        <v>21318</v>
      </c>
      <c r="D3187" s="6" t="s">
        <v>206</v>
      </c>
      <c r="E3187" s="6" t="s">
        <v>210</v>
      </c>
      <c r="F3187" s="8">
        <v>82.0</v>
      </c>
      <c r="G3187" s="9">
        <v>161.1</v>
      </c>
      <c r="H3187" s="9">
        <v>8803.96</v>
      </c>
      <c r="I3187" s="6" t="s">
        <v>178</v>
      </c>
      <c r="J3187" s="6" t="s">
        <v>577</v>
      </c>
      <c r="K3187" s="6" t="s">
        <v>21320</v>
      </c>
      <c r="L3187" s="6">
        <v>3.0415164896E10</v>
      </c>
      <c r="M3187" s="6" t="s">
        <v>21322</v>
      </c>
      <c r="N3187" s="6" t="s">
        <v>176</v>
      </c>
      <c r="O3187" s="6" t="s">
        <v>161</v>
      </c>
      <c r="P3187" s="10">
        <v>45986.0</v>
      </c>
    </row>
    <row r="3188" ht="22.5" customHeight="1">
      <c r="A3188" s="6" t="s">
        <v>21323</v>
      </c>
      <c r="B3188" s="6" t="s">
        <v>21324</v>
      </c>
      <c r="C3188" s="6" t="s">
        <v>21325</v>
      </c>
      <c r="D3188" s="6" t="s">
        <v>206</v>
      </c>
      <c r="E3188" s="6" t="s">
        <v>301</v>
      </c>
      <c r="F3188" s="8">
        <v>51.0</v>
      </c>
      <c r="G3188" s="9">
        <v>1257.78</v>
      </c>
      <c r="H3188" s="9">
        <v>7728.96</v>
      </c>
      <c r="I3188" s="6" t="s">
        <v>161</v>
      </c>
      <c r="J3188" s="6" t="s">
        <v>357</v>
      </c>
      <c r="K3188" s="6" t="s">
        <v>21328</v>
      </c>
      <c r="L3188" s="6">
        <v>8.7416030962E10</v>
      </c>
      <c r="M3188" s="6" t="s">
        <v>21329</v>
      </c>
      <c r="N3188" s="6" t="s">
        <v>112</v>
      </c>
      <c r="O3188" s="6" t="s">
        <v>178</v>
      </c>
      <c r="P3188" s="10">
        <v>46027.0</v>
      </c>
    </row>
    <row r="3189" ht="22.5" customHeight="1">
      <c r="A3189" s="6" t="s">
        <v>21330</v>
      </c>
      <c r="B3189" s="6" t="s">
        <v>21331</v>
      </c>
      <c r="C3189" s="6" t="s">
        <v>21333</v>
      </c>
      <c r="D3189" s="6" t="s">
        <v>383</v>
      </c>
      <c r="E3189" s="6" t="s">
        <v>301</v>
      </c>
      <c r="F3189" s="8">
        <v>54.0</v>
      </c>
      <c r="G3189" s="9">
        <v>1374.62</v>
      </c>
      <c r="H3189" s="9">
        <v>7376.1</v>
      </c>
      <c r="I3189" s="6" t="s">
        <v>161</v>
      </c>
      <c r="J3189" s="6" t="s">
        <v>421</v>
      </c>
      <c r="K3189" s="6" t="s">
        <v>21334</v>
      </c>
      <c r="L3189" s="6" t="s">
        <v>259</v>
      </c>
      <c r="M3189" s="6" t="s">
        <v>21335</v>
      </c>
      <c r="N3189" s="6" t="s">
        <v>283</v>
      </c>
      <c r="O3189" s="6" t="s">
        <v>178</v>
      </c>
      <c r="P3189" s="10">
        <v>46027.0</v>
      </c>
    </row>
    <row r="3190" ht="22.5" customHeight="1">
      <c r="A3190" s="6" t="s">
        <v>21337</v>
      </c>
      <c r="B3190" s="6" t="s">
        <v>21338</v>
      </c>
      <c r="C3190" s="6" t="s">
        <v>21340</v>
      </c>
      <c r="D3190" s="6" t="s">
        <v>145</v>
      </c>
      <c r="E3190" s="6" t="s">
        <v>147</v>
      </c>
      <c r="F3190" s="8">
        <v>25.0</v>
      </c>
      <c r="G3190" s="9">
        <v>306.64</v>
      </c>
      <c r="H3190" s="9">
        <v>3551.75</v>
      </c>
      <c r="I3190" s="6" t="s">
        <v>161</v>
      </c>
      <c r="J3190" s="6" t="s">
        <v>465</v>
      </c>
      <c r="K3190" s="6" t="s">
        <v>21342</v>
      </c>
      <c r="L3190" s="6" t="s">
        <v>259</v>
      </c>
      <c r="M3190" s="6" t="s">
        <v>21343</v>
      </c>
      <c r="N3190" s="6" t="s">
        <v>283</v>
      </c>
      <c r="O3190" s="6" t="s">
        <v>178</v>
      </c>
      <c r="P3190" s="10">
        <v>45982.0</v>
      </c>
    </row>
    <row r="3191" ht="22.5" customHeight="1">
      <c r="A3191" s="6" t="s">
        <v>21345</v>
      </c>
      <c r="B3191" s="6" t="s">
        <v>21346</v>
      </c>
      <c r="C3191" s="6" t="s">
        <v>21347</v>
      </c>
      <c r="D3191" s="6" t="s">
        <v>206</v>
      </c>
      <c r="E3191" s="6" t="s">
        <v>147</v>
      </c>
      <c r="F3191" s="8">
        <v>22.0</v>
      </c>
      <c r="G3191" s="9">
        <v>412.75</v>
      </c>
      <c r="H3191" s="9">
        <v>13900.05</v>
      </c>
      <c r="I3191" s="6" t="s">
        <v>161</v>
      </c>
      <c r="J3191" s="6" t="s">
        <v>163</v>
      </c>
      <c r="K3191" s="6" t="s">
        <v>21350</v>
      </c>
      <c r="L3191" s="6">
        <v>4.8328033133E10</v>
      </c>
      <c r="M3191" s="6" t="s">
        <v>21351</v>
      </c>
      <c r="N3191" s="6" t="s">
        <v>427</v>
      </c>
      <c r="O3191" s="6" t="s">
        <v>178</v>
      </c>
      <c r="P3191" s="10">
        <v>45955.0</v>
      </c>
    </row>
    <row r="3192" ht="22.5" customHeight="1">
      <c r="A3192" s="6" t="s">
        <v>21352</v>
      </c>
      <c r="B3192" s="6" t="s">
        <v>21354</v>
      </c>
      <c r="C3192" s="6" t="s">
        <v>21355</v>
      </c>
      <c r="D3192" s="6" t="s">
        <v>383</v>
      </c>
      <c r="E3192" s="6" t="s">
        <v>147</v>
      </c>
      <c r="F3192" s="8">
        <v>23.0</v>
      </c>
      <c r="G3192" s="9">
        <v>870.37</v>
      </c>
      <c r="H3192" s="9">
        <v>12385.54</v>
      </c>
      <c r="I3192" s="6" t="s">
        <v>161</v>
      </c>
      <c r="J3192" s="6" t="s">
        <v>228</v>
      </c>
      <c r="K3192" s="6" t="s">
        <v>21357</v>
      </c>
      <c r="L3192" s="6">
        <v>3.849576809E10</v>
      </c>
      <c r="M3192" s="6" t="s">
        <v>21358</v>
      </c>
      <c r="N3192" s="6" t="s">
        <v>112</v>
      </c>
      <c r="O3192" s="6" t="s">
        <v>178</v>
      </c>
      <c r="P3192" s="10">
        <v>45971.0</v>
      </c>
    </row>
    <row r="3193" ht="22.5" customHeight="1">
      <c r="A3193" s="6" t="s">
        <v>21359</v>
      </c>
      <c r="B3193" s="6" t="s">
        <v>21360</v>
      </c>
      <c r="C3193" s="6" t="s">
        <v>21361</v>
      </c>
      <c r="D3193" s="6" t="s">
        <v>206</v>
      </c>
      <c r="E3193" s="6" t="s">
        <v>301</v>
      </c>
      <c r="F3193" s="8">
        <v>54.0</v>
      </c>
      <c r="G3193" s="9">
        <v>82.44</v>
      </c>
      <c r="H3193" s="9">
        <v>9280.71</v>
      </c>
      <c r="I3193" s="6" t="s">
        <v>161</v>
      </c>
      <c r="J3193" s="6" t="s">
        <v>259</v>
      </c>
      <c r="K3193" s="6" t="s">
        <v>21364</v>
      </c>
      <c r="L3193" s="6">
        <v>4.7905258704E10</v>
      </c>
      <c r="M3193" s="6" t="s">
        <v>21365</v>
      </c>
      <c r="N3193" s="6" t="s">
        <v>259</v>
      </c>
      <c r="O3193" s="6" t="s">
        <v>178</v>
      </c>
      <c r="P3193" s="10">
        <v>45931.0</v>
      </c>
    </row>
    <row r="3194" ht="22.5" customHeight="1">
      <c r="A3194" s="6" t="s">
        <v>21366</v>
      </c>
      <c r="B3194" s="6" t="s">
        <v>21367</v>
      </c>
      <c r="C3194" s="6" t="s">
        <v>21368</v>
      </c>
      <c r="D3194" s="6" t="s">
        <v>145</v>
      </c>
      <c r="E3194" s="6" t="s">
        <v>301</v>
      </c>
      <c r="F3194" s="8">
        <v>58.0</v>
      </c>
      <c r="G3194" s="9">
        <v>1740.99</v>
      </c>
      <c r="H3194" s="9">
        <v>6264.96</v>
      </c>
      <c r="I3194" s="6" t="s">
        <v>161</v>
      </c>
      <c r="J3194" s="6" t="s">
        <v>259</v>
      </c>
      <c r="K3194" s="6" t="s">
        <v>21370</v>
      </c>
      <c r="L3194" s="6" t="s">
        <v>259</v>
      </c>
      <c r="M3194" s="6" t="s">
        <v>21371</v>
      </c>
      <c r="N3194" s="6" t="s">
        <v>259</v>
      </c>
      <c r="O3194" s="6" t="s">
        <v>178</v>
      </c>
      <c r="P3194" s="10">
        <v>46002.0</v>
      </c>
    </row>
    <row r="3195" ht="22.5" customHeight="1">
      <c r="A3195" s="6" t="s">
        <v>21373</v>
      </c>
      <c r="B3195" s="6" t="s">
        <v>21374</v>
      </c>
      <c r="C3195" s="6" t="s">
        <v>21375</v>
      </c>
      <c r="D3195" s="6" t="s">
        <v>206</v>
      </c>
      <c r="E3195" s="6" t="s">
        <v>210</v>
      </c>
      <c r="F3195" s="8">
        <v>119.0</v>
      </c>
      <c r="G3195" s="9">
        <v>183.61</v>
      </c>
      <c r="H3195" s="9">
        <v>12835.94</v>
      </c>
      <c r="I3195" s="6" t="s">
        <v>178</v>
      </c>
      <c r="J3195" s="6" t="s">
        <v>393</v>
      </c>
      <c r="K3195" s="6" t="s">
        <v>21377</v>
      </c>
      <c r="L3195" s="6">
        <v>1.3364251803E10</v>
      </c>
      <c r="M3195" s="6" t="s">
        <v>21379</v>
      </c>
      <c r="N3195" s="6" t="s">
        <v>259</v>
      </c>
      <c r="O3195" s="6" t="s">
        <v>161</v>
      </c>
      <c r="P3195" s="10">
        <v>45943.0</v>
      </c>
    </row>
    <row r="3196" ht="22.5" customHeight="1">
      <c r="A3196" s="6" t="s">
        <v>21380</v>
      </c>
      <c r="B3196" s="6" t="s">
        <v>21382</v>
      </c>
      <c r="C3196" s="6" t="s">
        <v>21383</v>
      </c>
      <c r="D3196" s="6" t="s">
        <v>145</v>
      </c>
      <c r="E3196" s="6" t="s">
        <v>210</v>
      </c>
      <c r="F3196" s="8">
        <v>79.0</v>
      </c>
      <c r="G3196" s="9">
        <v>629.1</v>
      </c>
      <c r="H3196" s="9">
        <v>11092.56</v>
      </c>
      <c r="I3196" s="6" t="s">
        <v>178</v>
      </c>
      <c r="J3196" s="6" t="s">
        <v>442</v>
      </c>
      <c r="K3196" s="6" t="s">
        <v>21385</v>
      </c>
      <c r="L3196" s="6">
        <v>9.1266597177E10</v>
      </c>
      <c r="M3196" s="6" t="s">
        <v>21386</v>
      </c>
      <c r="N3196" s="6" t="s">
        <v>427</v>
      </c>
      <c r="O3196" s="6" t="s">
        <v>161</v>
      </c>
      <c r="P3196" s="10">
        <v>46024.0</v>
      </c>
    </row>
    <row r="3197" ht="22.5" customHeight="1">
      <c r="A3197" s="6" t="s">
        <v>21388</v>
      </c>
      <c r="B3197" s="6" t="s">
        <v>21389</v>
      </c>
      <c r="C3197" s="6" t="s">
        <v>19496</v>
      </c>
      <c r="D3197" s="6" t="s">
        <v>206</v>
      </c>
      <c r="E3197" s="6" t="s">
        <v>210</v>
      </c>
      <c r="F3197" s="8">
        <v>110.0</v>
      </c>
      <c r="G3197" s="9">
        <v>1399.49</v>
      </c>
      <c r="H3197" s="9">
        <v>7547.0</v>
      </c>
      <c r="I3197" s="6" t="s">
        <v>178</v>
      </c>
      <c r="J3197" s="6" t="s">
        <v>465</v>
      </c>
      <c r="K3197" s="6" t="s">
        <v>21391</v>
      </c>
      <c r="L3197" s="6">
        <v>7.259519641E9</v>
      </c>
      <c r="M3197" s="6" t="s">
        <v>21393</v>
      </c>
      <c r="N3197" s="6" t="s">
        <v>427</v>
      </c>
      <c r="O3197" s="6" t="s">
        <v>161</v>
      </c>
      <c r="P3197" s="10">
        <v>45949.0</v>
      </c>
    </row>
    <row r="3198" ht="22.5" customHeight="1">
      <c r="A3198" s="6" t="s">
        <v>21395</v>
      </c>
      <c r="B3198" s="6" t="s">
        <v>21396</v>
      </c>
      <c r="C3198" s="6" t="s">
        <v>21397</v>
      </c>
      <c r="D3198" s="6" t="s">
        <v>206</v>
      </c>
      <c r="E3198" s="6" t="s">
        <v>301</v>
      </c>
      <c r="F3198" s="8">
        <v>35.0</v>
      </c>
      <c r="G3198" s="9">
        <v>1489.31</v>
      </c>
      <c r="H3198" s="9">
        <v>14195.81</v>
      </c>
      <c r="I3198" s="6" t="s">
        <v>161</v>
      </c>
      <c r="J3198" s="6" t="s">
        <v>312</v>
      </c>
      <c r="K3198" s="6" t="s">
        <v>21399</v>
      </c>
      <c r="L3198" s="6">
        <v>7.0169058187E10</v>
      </c>
      <c r="M3198" s="6" t="s">
        <v>21400</v>
      </c>
      <c r="N3198" s="6" t="s">
        <v>427</v>
      </c>
      <c r="O3198" s="6" t="s">
        <v>178</v>
      </c>
      <c r="P3198" s="10">
        <v>45991.0</v>
      </c>
    </row>
    <row r="3199" ht="22.5" customHeight="1">
      <c r="A3199" s="6" t="s">
        <v>21401</v>
      </c>
      <c r="B3199" s="6" t="s">
        <v>21402</v>
      </c>
      <c r="C3199" s="6" t="s">
        <v>21404</v>
      </c>
      <c r="D3199" s="6" t="s">
        <v>145</v>
      </c>
      <c r="E3199" s="6" t="s">
        <v>301</v>
      </c>
      <c r="F3199" s="8">
        <v>58.0</v>
      </c>
      <c r="G3199" s="9">
        <v>1498.44</v>
      </c>
      <c r="H3199" s="9">
        <v>8467.52</v>
      </c>
      <c r="I3199" s="6" t="s">
        <v>161</v>
      </c>
      <c r="J3199" s="6" t="s">
        <v>442</v>
      </c>
      <c r="K3199" s="6" t="s">
        <v>21406</v>
      </c>
      <c r="L3199" s="6">
        <v>4.0373447361E10</v>
      </c>
      <c r="M3199" s="6" t="s">
        <v>21407</v>
      </c>
      <c r="N3199" s="6" t="s">
        <v>427</v>
      </c>
      <c r="O3199" s="6" t="s">
        <v>178</v>
      </c>
      <c r="P3199" s="10">
        <v>46008.0</v>
      </c>
    </row>
    <row r="3200" ht="22.5" customHeight="1">
      <c r="A3200" s="6" t="s">
        <v>21409</v>
      </c>
      <c r="B3200" s="6" t="s">
        <v>21410</v>
      </c>
      <c r="C3200" s="6" t="s">
        <v>21411</v>
      </c>
      <c r="D3200" s="6" t="s">
        <v>145</v>
      </c>
      <c r="E3200" s="6" t="s">
        <v>147</v>
      </c>
      <c r="F3200" s="8">
        <v>5.0</v>
      </c>
      <c r="G3200" s="9">
        <v>1224.49</v>
      </c>
      <c r="H3200" s="9">
        <v>3549.94</v>
      </c>
      <c r="I3200" s="6" t="s">
        <v>161</v>
      </c>
      <c r="J3200" s="6" t="s">
        <v>442</v>
      </c>
      <c r="K3200" s="6" t="s">
        <v>21413</v>
      </c>
      <c r="L3200" s="6">
        <v>9.574917284E10</v>
      </c>
      <c r="M3200" s="6" t="s">
        <v>21414</v>
      </c>
      <c r="N3200" s="6" t="s">
        <v>427</v>
      </c>
      <c r="O3200" s="6" t="s">
        <v>178</v>
      </c>
      <c r="P3200" s="10">
        <v>45994.0</v>
      </c>
    </row>
    <row r="3201" ht="22.5" customHeight="1">
      <c r="A3201" s="6" t="s">
        <v>21416</v>
      </c>
      <c r="B3201" s="6" t="s">
        <v>21417</v>
      </c>
      <c r="C3201" s="6" t="s">
        <v>21418</v>
      </c>
      <c r="D3201" s="6" t="s">
        <v>383</v>
      </c>
      <c r="E3201" s="6" t="s">
        <v>210</v>
      </c>
      <c r="F3201" s="8">
        <v>81.0</v>
      </c>
      <c r="G3201" s="9">
        <v>473.06</v>
      </c>
      <c r="H3201" s="9">
        <v>10506.24</v>
      </c>
      <c r="I3201" s="6" t="s">
        <v>178</v>
      </c>
      <c r="J3201" s="6" t="s">
        <v>312</v>
      </c>
      <c r="K3201" s="6" t="s">
        <v>21420</v>
      </c>
      <c r="L3201" s="6">
        <v>5.4910498497E10</v>
      </c>
      <c r="M3201" s="6" t="s">
        <v>21422</v>
      </c>
      <c r="N3201" s="6" t="s">
        <v>259</v>
      </c>
      <c r="O3201" s="6" t="s">
        <v>161</v>
      </c>
      <c r="P3201" s="10">
        <v>46040.0</v>
      </c>
    </row>
    <row r="3202" ht="22.5" customHeight="1">
      <c r="A3202" s="6" t="s">
        <v>21424</v>
      </c>
      <c r="B3202" s="6" t="s">
        <v>21425</v>
      </c>
      <c r="C3202" s="6" t="s">
        <v>21426</v>
      </c>
      <c r="D3202" s="6" t="s">
        <v>206</v>
      </c>
      <c r="E3202" s="6" t="s">
        <v>301</v>
      </c>
      <c r="F3202" s="8">
        <v>52.0</v>
      </c>
      <c r="G3202" s="9">
        <v>1290.84</v>
      </c>
      <c r="H3202" s="9">
        <v>3430.5</v>
      </c>
      <c r="I3202" s="6" t="s">
        <v>161</v>
      </c>
      <c r="J3202" s="6" t="s">
        <v>312</v>
      </c>
      <c r="K3202" s="6" t="s">
        <v>21428</v>
      </c>
      <c r="L3202" s="6">
        <v>9.794502608E10</v>
      </c>
      <c r="M3202" s="6" t="s">
        <v>21430</v>
      </c>
      <c r="N3202" s="6" t="s">
        <v>112</v>
      </c>
      <c r="O3202" s="6" t="s">
        <v>178</v>
      </c>
      <c r="P3202" s="10">
        <v>45981.0</v>
      </c>
    </row>
    <row r="3203" ht="22.5" customHeight="1">
      <c r="A3203" s="6" t="s">
        <v>21431</v>
      </c>
      <c r="B3203" s="6" t="s">
        <v>21433</v>
      </c>
      <c r="C3203" s="6" t="s">
        <v>21434</v>
      </c>
      <c r="D3203" s="6" t="s">
        <v>206</v>
      </c>
      <c r="E3203" s="6" t="s">
        <v>147</v>
      </c>
      <c r="F3203" s="8">
        <v>22.0</v>
      </c>
      <c r="G3203" s="9">
        <v>235.05</v>
      </c>
      <c r="H3203" s="9">
        <v>4977.57</v>
      </c>
      <c r="I3203" s="6" t="s">
        <v>161</v>
      </c>
      <c r="J3203" s="6" t="s">
        <v>479</v>
      </c>
      <c r="K3203" s="6" t="s">
        <v>21436</v>
      </c>
      <c r="L3203" s="6">
        <v>9.1406745216E10</v>
      </c>
      <c r="M3203" s="6" t="s">
        <v>21437</v>
      </c>
      <c r="N3203" s="6" t="s">
        <v>283</v>
      </c>
      <c r="O3203" s="6" t="s">
        <v>178</v>
      </c>
      <c r="P3203" s="10">
        <v>46032.0</v>
      </c>
    </row>
    <row r="3204" ht="22.5" customHeight="1">
      <c r="A3204" s="6" t="s">
        <v>21439</v>
      </c>
      <c r="B3204" s="6" t="s">
        <v>21440</v>
      </c>
      <c r="C3204" s="6" t="s">
        <v>21441</v>
      </c>
      <c r="D3204" s="6" t="s">
        <v>206</v>
      </c>
      <c r="E3204" s="6" t="s">
        <v>147</v>
      </c>
      <c r="F3204" s="8">
        <v>10.0</v>
      </c>
      <c r="G3204" s="9">
        <v>661.65</v>
      </c>
      <c r="H3204" s="9">
        <v>12196.92</v>
      </c>
      <c r="I3204" s="6" t="s">
        <v>161</v>
      </c>
      <c r="J3204" s="6" t="s">
        <v>479</v>
      </c>
      <c r="K3204" s="6" t="s">
        <v>21444</v>
      </c>
      <c r="L3204" s="6">
        <v>4.9418625106E10</v>
      </c>
      <c r="M3204" s="6" t="s">
        <v>21445</v>
      </c>
      <c r="N3204" s="6" t="s">
        <v>259</v>
      </c>
      <c r="O3204" s="6" t="s">
        <v>178</v>
      </c>
      <c r="P3204" s="10">
        <v>46044.0</v>
      </c>
    </row>
    <row r="3205" ht="22.5" customHeight="1">
      <c r="A3205" s="6" t="s">
        <v>21446</v>
      </c>
      <c r="B3205" s="6" t="s">
        <v>21448</v>
      </c>
      <c r="C3205" s="6" t="s">
        <v>21449</v>
      </c>
      <c r="D3205" s="6" t="s">
        <v>206</v>
      </c>
      <c r="E3205" s="6" t="s">
        <v>301</v>
      </c>
      <c r="F3205" s="8">
        <v>45.0</v>
      </c>
      <c r="G3205" s="9">
        <v>1743.32</v>
      </c>
      <c r="H3205" s="9">
        <v>9146.45</v>
      </c>
      <c r="I3205" s="6" t="s">
        <v>161</v>
      </c>
      <c r="J3205" s="6" t="s">
        <v>465</v>
      </c>
      <c r="K3205" s="6" t="s">
        <v>21451</v>
      </c>
      <c r="L3205" s="6">
        <v>4.2203608167E10</v>
      </c>
      <c r="M3205" s="6" t="s">
        <v>21452</v>
      </c>
      <c r="N3205" s="6" t="s">
        <v>112</v>
      </c>
      <c r="O3205" s="6" t="s">
        <v>178</v>
      </c>
      <c r="P3205" s="10">
        <v>46046.0</v>
      </c>
    </row>
    <row r="3206" ht="22.5" customHeight="1">
      <c r="A3206" s="6" t="s">
        <v>21454</v>
      </c>
      <c r="B3206" s="6" t="s">
        <v>21455</v>
      </c>
      <c r="C3206" s="6" t="s">
        <v>21456</v>
      </c>
      <c r="D3206" s="6" t="s">
        <v>206</v>
      </c>
      <c r="E3206" s="6" t="s">
        <v>210</v>
      </c>
      <c r="F3206" s="8">
        <v>107.0</v>
      </c>
      <c r="G3206" s="9">
        <v>133.93</v>
      </c>
      <c r="H3206" s="9">
        <v>6180.45</v>
      </c>
      <c r="I3206" s="6" t="s">
        <v>178</v>
      </c>
      <c r="J3206" s="6" t="s">
        <v>465</v>
      </c>
      <c r="K3206" s="6" t="s">
        <v>21459</v>
      </c>
      <c r="L3206" s="6">
        <v>6.2683780704E10</v>
      </c>
      <c r="M3206" s="6" t="s">
        <v>21460</v>
      </c>
      <c r="N3206" s="6" t="s">
        <v>259</v>
      </c>
      <c r="O3206" s="6" t="s">
        <v>161</v>
      </c>
      <c r="P3206" s="10">
        <v>45956.0</v>
      </c>
    </row>
    <row r="3207" ht="22.5" customHeight="1">
      <c r="A3207" s="6" t="s">
        <v>21462</v>
      </c>
      <c r="B3207" s="6" t="s">
        <v>21463</v>
      </c>
      <c r="C3207" s="6" t="s">
        <v>21464</v>
      </c>
      <c r="D3207" s="6" t="s">
        <v>383</v>
      </c>
      <c r="E3207" s="6" t="s">
        <v>210</v>
      </c>
      <c r="F3207" s="8">
        <v>94.0</v>
      </c>
      <c r="G3207" s="9">
        <v>1370.38</v>
      </c>
      <c r="H3207" s="9">
        <v>2406.27</v>
      </c>
      <c r="I3207" s="6" t="s">
        <v>178</v>
      </c>
      <c r="J3207" s="6" t="s">
        <v>312</v>
      </c>
      <c r="K3207" s="6" t="s">
        <v>21465</v>
      </c>
      <c r="L3207" s="6">
        <v>9.7987186306E10</v>
      </c>
      <c r="M3207" s="6" t="s">
        <v>21467</v>
      </c>
      <c r="N3207" s="6" t="s">
        <v>283</v>
      </c>
      <c r="O3207" s="6" t="s">
        <v>161</v>
      </c>
      <c r="P3207" s="10">
        <v>45944.0</v>
      </c>
    </row>
    <row r="3208" ht="22.5" customHeight="1">
      <c r="A3208" s="6" t="s">
        <v>21468</v>
      </c>
      <c r="B3208" s="6" t="s">
        <v>21469</v>
      </c>
      <c r="C3208" s="6" t="s">
        <v>21470</v>
      </c>
      <c r="D3208" s="6" t="s">
        <v>206</v>
      </c>
      <c r="E3208" s="6" t="s">
        <v>301</v>
      </c>
      <c r="F3208" s="8">
        <v>32.0</v>
      </c>
      <c r="G3208" s="9">
        <v>958.55</v>
      </c>
      <c r="H3208" s="9">
        <v>1845.49</v>
      </c>
      <c r="I3208" s="6" t="s">
        <v>161</v>
      </c>
      <c r="J3208" s="6" t="s">
        <v>393</v>
      </c>
      <c r="K3208" s="6" t="s">
        <v>21472</v>
      </c>
      <c r="L3208" s="6">
        <v>5.4464238264E10</v>
      </c>
      <c r="M3208" s="6" t="s">
        <v>21473</v>
      </c>
      <c r="N3208" s="6" t="s">
        <v>112</v>
      </c>
      <c r="O3208" s="6" t="s">
        <v>178</v>
      </c>
      <c r="P3208" s="10">
        <v>45946.0</v>
      </c>
    </row>
    <row r="3209" ht="22.5" customHeight="1">
      <c r="A3209" s="6" t="s">
        <v>21475</v>
      </c>
      <c r="B3209" s="6" t="s">
        <v>21476</v>
      </c>
      <c r="C3209" s="6" t="s">
        <v>21477</v>
      </c>
      <c r="D3209" s="6" t="s">
        <v>145</v>
      </c>
      <c r="E3209" s="6" t="s">
        <v>147</v>
      </c>
      <c r="F3209" s="8">
        <v>19.0</v>
      </c>
      <c r="G3209" s="9">
        <v>839.1</v>
      </c>
      <c r="H3209" s="9">
        <v>14625.41</v>
      </c>
      <c r="I3209" s="6" t="s">
        <v>161</v>
      </c>
      <c r="J3209" s="6" t="s">
        <v>228</v>
      </c>
      <c r="K3209" s="6" t="s">
        <v>6921</v>
      </c>
      <c r="L3209" s="6">
        <v>1.8843256337E10</v>
      </c>
      <c r="M3209" s="6" t="s">
        <v>21479</v>
      </c>
      <c r="N3209" s="6" t="s">
        <v>112</v>
      </c>
      <c r="O3209" s="6" t="s">
        <v>178</v>
      </c>
      <c r="P3209" s="10">
        <v>45961.0</v>
      </c>
    </row>
    <row r="3210" ht="22.5" customHeight="1">
      <c r="A3210" s="6" t="s">
        <v>21481</v>
      </c>
      <c r="B3210" s="6" t="s">
        <v>21482</v>
      </c>
      <c r="C3210" s="6" t="s">
        <v>21483</v>
      </c>
      <c r="D3210" s="6" t="s">
        <v>145</v>
      </c>
      <c r="E3210" s="6" t="s">
        <v>210</v>
      </c>
      <c r="F3210" s="8">
        <v>66.0</v>
      </c>
      <c r="G3210" s="9">
        <v>588.79</v>
      </c>
      <c r="H3210" s="9">
        <v>9265.96</v>
      </c>
      <c r="I3210" s="6" t="s">
        <v>178</v>
      </c>
      <c r="J3210" s="6" t="s">
        <v>393</v>
      </c>
      <c r="K3210" s="6" t="s">
        <v>21485</v>
      </c>
      <c r="L3210" s="6">
        <v>6.9720425776E10</v>
      </c>
      <c r="M3210" s="6" t="s">
        <v>21486</v>
      </c>
      <c r="N3210" s="6" t="s">
        <v>283</v>
      </c>
      <c r="O3210" s="6" t="s">
        <v>161</v>
      </c>
      <c r="P3210" s="10">
        <v>45957.0</v>
      </c>
    </row>
    <row r="3211" ht="22.5" customHeight="1">
      <c r="A3211" s="6" t="s">
        <v>21488</v>
      </c>
      <c r="B3211" s="6" t="s">
        <v>21489</v>
      </c>
      <c r="C3211" s="6" t="s">
        <v>21490</v>
      </c>
      <c r="D3211" s="6" t="s">
        <v>206</v>
      </c>
      <c r="E3211" s="6" t="s">
        <v>301</v>
      </c>
      <c r="F3211" s="8">
        <v>58.0</v>
      </c>
      <c r="G3211" s="9">
        <v>1599.65</v>
      </c>
      <c r="H3211" s="9">
        <v>7429.52</v>
      </c>
      <c r="I3211" s="6" t="s">
        <v>161</v>
      </c>
      <c r="J3211" s="6" t="s">
        <v>421</v>
      </c>
      <c r="K3211" s="6" t="s">
        <v>21493</v>
      </c>
      <c r="L3211" s="6">
        <v>6.9886953826E10</v>
      </c>
      <c r="M3211" s="6" t="s">
        <v>21494</v>
      </c>
      <c r="N3211" s="6" t="s">
        <v>259</v>
      </c>
      <c r="O3211" s="6" t="s">
        <v>178</v>
      </c>
      <c r="P3211" s="10">
        <v>46021.0</v>
      </c>
    </row>
    <row r="3212" ht="22.5" customHeight="1">
      <c r="A3212" s="6" t="s">
        <v>21495</v>
      </c>
      <c r="B3212" s="6" t="s">
        <v>21497</v>
      </c>
      <c r="C3212" s="6" t="s">
        <v>21498</v>
      </c>
      <c r="D3212" s="6" t="s">
        <v>383</v>
      </c>
      <c r="E3212" s="6" t="s">
        <v>301</v>
      </c>
      <c r="F3212" s="8">
        <v>54.0</v>
      </c>
      <c r="G3212" s="9">
        <v>1582.0</v>
      </c>
      <c r="H3212" s="9">
        <v>10059.94</v>
      </c>
      <c r="I3212" s="6" t="s">
        <v>161</v>
      </c>
      <c r="J3212" s="6" t="s">
        <v>312</v>
      </c>
      <c r="K3212" s="6" t="s">
        <v>21499</v>
      </c>
      <c r="L3212" s="6">
        <v>2.0677493597E10</v>
      </c>
      <c r="M3212" s="6" t="s">
        <v>21500</v>
      </c>
      <c r="N3212" s="6" t="s">
        <v>427</v>
      </c>
      <c r="O3212" s="6" t="s">
        <v>178</v>
      </c>
      <c r="P3212" s="10">
        <v>45978.0</v>
      </c>
    </row>
    <row r="3213" ht="22.5" customHeight="1">
      <c r="A3213" s="6" t="s">
        <v>21502</v>
      </c>
      <c r="B3213" s="6" t="s">
        <v>21503</v>
      </c>
      <c r="C3213" s="6" t="s">
        <v>21504</v>
      </c>
      <c r="D3213" s="6" t="s">
        <v>145</v>
      </c>
      <c r="E3213" s="6" t="s">
        <v>301</v>
      </c>
      <c r="F3213" s="8">
        <v>46.0</v>
      </c>
      <c r="G3213" s="9">
        <v>447.91</v>
      </c>
      <c r="H3213" s="9">
        <v>6387.96</v>
      </c>
      <c r="I3213" s="6" t="s">
        <v>161</v>
      </c>
      <c r="J3213" s="6" t="s">
        <v>312</v>
      </c>
      <c r="K3213" s="6" t="s">
        <v>21506</v>
      </c>
      <c r="L3213" s="6">
        <v>8.584174277E9</v>
      </c>
      <c r="M3213" s="6" t="s">
        <v>21507</v>
      </c>
      <c r="N3213" s="6" t="s">
        <v>176</v>
      </c>
      <c r="O3213" s="6" t="s">
        <v>178</v>
      </c>
      <c r="P3213" s="10">
        <v>45980.0</v>
      </c>
    </row>
    <row r="3214" ht="22.5" customHeight="1">
      <c r="A3214" s="6" t="s">
        <v>21509</v>
      </c>
      <c r="B3214" s="6" t="s">
        <v>21510</v>
      </c>
      <c r="C3214" s="6" t="s">
        <v>21511</v>
      </c>
      <c r="D3214" s="6" t="s">
        <v>145</v>
      </c>
      <c r="E3214" s="6" t="s">
        <v>147</v>
      </c>
      <c r="F3214" s="8">
        <v>18.0</v>
      </c>
      <c r="G3214" s="9">
        <v>643.17</v>
      </c>
      <c r="H3214" s="9">
        <v>8621.69</v>
      </c>
      <c r="I3214" s="6" t="s">
        <v>161</v>
      </c>
      <c r="J3214" s="6" t="s">
        <v>357</v>
      </c>
      <c r="K3214" s="6" t="s">
        <v>21513</v>
      </c>
      <c r="L3214" s="6">
        <v>9.5707912274E10</v>
      </c>
      <c r="M3214" s="6" t="s">
        <v>21514</v>
      </c>
      <c r="N3214" s="6" t="s">
        <v>283</v>
      </c>
      <c r="O3214" s="6" t="s">
        <v>178</v>
      </c>
      <c r="P3214" s="10">
        <v>45973.0</v>
      </c>
    </row>
    <row r="3215" ht="22.5" customHeight="1">
      <c r="A3215" s="6" t="s">
        <v>21515</v>
      </c>
      <c r="B3215" s="6" t="s">
        <v>21516</v>
      </c>
      <c r="C3215" s="6" t="s">
        <v>21518</v>
      </c>
      <c r="D3215" s="6" t="s">
        <v>206</v>
      </c>
      <c r="E3215" s="6" t="s">
        <v>147</v>
      </c>
      <c r="F3215" s="8">
        <v>17.0</v>
      </c>
      <c r="G3215" s="9">
        <v>1064.72</v>
      </c>
      <c r="H3215" s="9">
        <v>10712.01</v>
      </c>
      <c r="I3215" s="6" t="s">
        <v>161</v>
      </c>
      <c r="J3215" s="6" t="s">
        <v>465</v>
      </c>
      <c r="K3215" s="6" t="s">
        <v>21519</v>
      </c>
      <c r="L3215" s="6">
        <v>2.6679066214E10</v>
      </c>
      <c r="M3215" s="6" t="s">
        <v>21520</v>
      </c>
      <c r="N3215" s="6" t="s">
        <v>176</v>
      </c>
      <c r="O3215" s="6" t="s">
        <v>178</v>
      </c>
      <c r="P3215" s="10">
        <v>45958.0</v>
      </c>
    </row>
    <row r="3216" ht="22.5" customHeight="1">
      <c r="A3216" s="6" t="s">
        <v>11594</v>
      </c>
      <c r="B3216" s="6" t="s">
        <v>11595</v>
      </c>
      <c r="C3216" s="6" t="s">
        <v>11596</v>
      </c>
      <c r="D3216" s="6" t="s">
        <v>206</v>
      </c>
      <c r="E3216" s="6" t="s">
        <v>301</v>
      </c>
      <c r="F3216" s="8">
        <v>55.0</v>
      </c>
      <c r="G3216" s="9">
        <v>261.16</v>
      </c>
      <c r="H3216" s="9">
        <v>2733.96</v>
      </c>
      <c r="I3216" s="6" t="s">
        <v>161</v>
      </c>
      <c r="J3216" s="6" t="s">
        <v>357</v>
      </c>
      <c r="K3216" s="6" t="s">
        <v>11598</v>
      </c>
      <c r="L3216" s="6">
        <v>1.8393262671E10</v>
      </c>
      <c r="M3216" s="6" t="s">
        <v>11599</v>
      </c>
      <c r="N3216" s="6" t="s">
        <v>259</v>
      </c>
      <c r="O3216" s="6" t="s">
        <v>178</v>
      </c>
      <c r="P3216" s="10">
        <v>45969.0</v>
      </c>
    </row>
    <row r="3217" ht="22.5" customHeight="1">
      <c r="A3217" s="6" t="s">
        <v>2008</v>
      </c>
      <c r="B3217" s="6" t="s">
        <v>2009</v>
      </c>
      <c r="C3217" s="6" t="s">
        <v>2010</v>
      </c>
      <c r="D3217" s="6" t="s">
        <v>145</v>
      </c>
      <c r="E3217" s="6" t="s">
        <v>147</v>
      </c>
      <c r="F3217" s="8">
        <v>26.0</v>
      </c>
      <c r="G3217" s="9">
        <v>188.98</v>
      </c>
      <c r="H3217" s="9">
        <v>6365.66</v>
      </c>
      <c r="I3217" s="6" t="s">
        <v>161</v>
      </c>
      <c r="J3217" s="6" t="s">
        <v>393</v>
      </c>
      <c r="K3217" s="6" t="s">
        <v>2012</v>
      </c>
      <c r="L3217" s="6">
        <v>7.5301073933E10</v>
      </c>
      <c r="M3217" s="6" t="s">
        <v>2013</v>
      </c>
      <c r="N3217" s="6" t="s">
        <v>259</v>
      </c>
      <c r="O3217" s="6" t="s">
        <v>178</v>
      </c>
      <c r="P3217" s="10">
        <v>46011.0</v>
      </c>
    </row>
    <row r="3218" ht="22.5" customHeight="1">
      <c r="A3218" s="6" t="s">
        <v>2780</v>
      </c>
      <c r="B3218" s="6" t="s">
        <v>2781</v>
      </c>
      <c r="C3218" s="6" t="s">
        <v>2782</v>
      </c>
      <c r="D3218" s="6" t="s">
        <v>206</v>
      </c>
      <c r="E3218" s="6" t="s">
        <v>147</v>
      </c>
      <c r="F3218" s="8">
        <v>16.0</v>
      </c>
      <c r="G3218" s="9">
        <v>440.63</v>
      </c>
      <c r="H3218" s="9">
        <v>12616.24</v>
      </c>
      <c r="I3218" s="6" t="s">
        <v>161</v>
      </c>
      <c r="J3218" s="6" t="s">
        <v>479</v>
      </c>
      <c r="K3218" s="6" t="s">
        <v>2783</v>
      </c>
      <c r="L3218" s="6">
        <v>6.2428093687E10</v>
      </c>
      <c r="M3218" s="6" t="s">
        <v>2785</v>
      </c>
      <c r="N3218" s="6" t="s">
        <v>112</v>
      </c>
      <c r="O3218" s="6" t="s">
        <v>178</v>
      </c>
      <c r="P3218" s="10">
        <v>46023.0</v>
      </c>
    </row>
    <row r="3219" ht="22.5" customHeight="1">
      <c r="A3219" s="6" t="s">
        <v>13300</v>
      </c>
      <c r="B3219" s="6" t="s">
        <v>13301</v>
      </c>
      <c r="C3219" s="6" t="s">
        <v>13302</v>
      </c>
      <c r="D3219" s="6" t="s">
        <v>383</v>
      </c>
      <c r="E3219" s="6" t="s">
        <v>147</v>
      </c>
      <c r="F3219" s="8">
        <v>19.0</v>
      </c>
      <c r="G3219" s="9">
        <v>260.48</v>
      </c>
      <c r="H3219" s="9">
        <v>5552.33</v>
      </c>
      <c r="I3219" s="6" t="s">
        <v>178</v>
      </c>
      <c r="J3219" s="6" t="s">
        <v>163</v>
      </c>
      <c r="K3219" s="6" t="s">
        <v>13304</v>
      </c>
      <c r="L3219" s="6">
        <v>6.9623489411E10</v>
      </c>
      <c r="M3219" s="6" t="s">
        <v>13305</v>
      </c>
      <c r="N3219" s="6" t="s">
        <v>283</v>
      </c>
      <c r="O3219" s="6" t="s">
        <v>161</v>
      </c>
      <c r="P3219" s="10">
        <v>46049.0</v>
      </c>
    </row>
    <row r="3220" ht="22.5" customHeight="1">
      <c r="A3220" s="6" t="s">
        <v>4967</v>
      </c>
      <c r="B3220" s="6" t="s">
        <v>4969</v>
      </c>
      <c r="C3220" s="6" t="s">
        <v>4970</v>
      </c>
      <c r="D3220" s="6" t="s">
        <v>206</v>
      </c>
      <c r="E3220" s="6" t="s">
        <v>147</v>
      </c>
      <c r="F3220" s="8">
        <v>29.0</v>
      </c>
      <c r="G3220" s="9">
        <v>551.24</v>
      </c>
      <c r="H3220" s="9">
        <v>14209.57</v>
      </c>
      <c r="I3220" s="6" t="s">
        <v>161</v>
      </c>
      <c r="J3220" s="6" t="s">
        <v>442</v>
      </c>
      <c r="K3220" s="6" t="s">
        <v>4971</v>
      </c>
      <c r="L3220" s="6">
        <v>5.6586048847E10</v>
      </c>
      <c r="M3220" s="6" t="s">
        <v>4973</v>
      </c>
      <c r="N3220" s="6" t="s">
        <v>176</v>
      </c>
      <c r="O3220" s="6" t="s">
        <v>178</v>
      </c>
      <c r="P3220" s="10">
        <v>45987.0</v>
      </c>
    </row>
    <row r="3221" ht="22.5" customHeight="1">
      <c r="A3221" s="6" t="s">
        <v>8669</v>
      </c>
      <c r="B3221" s="6" t="s">
        <v>8670</v>
      </c>
      <c r="C3221" s="6" t="s">
        <v>8671</v>
      </c>
      <c r="D3221" s="6" t="s">
        <v>145</v>
      </c>
      <c r="E3221" s="6" t="s">
        <v>147</v>
      </c>
      <c r="F3221" s="8">
        <v>8.0</v>
      </c>
      <c r="G3221" s="9">
        <v>1473.73</v>
      </c>
      <c r="H3221" s="9">
        <v>2700.94</v>
      </c>
      <c r="I3221" s="6" t="s">
        <v>161</v>
      </c>
      <c r="J3221" s="6" t="s">
        <v>228</v>
      </c>
      <c r="K3221" s="6" t="s">
        <v>8673</v>
      </c>
      <c r="L3221" s="6">
        <v>7.7078523438E10</v>
      </c>
      <c r="M3221" s="6" t="s">
        <v>8674</v>
      </c>
      <c r="N3221" s="6" t="s">
        <v>112</v>
      </c>
      <c r="O3221" s="6" t="s">
        <v>178</v>
      </c>
      <c r="P3221" s="10">
        <v>45970.0</v>
      </c>
    </row>
    <row r="3222" ht="22.5" customHeight="1">
      <c r="A3222" s="6" t="s">
        <v>19392</v>
      </c>
      <c r="B3222" s="6" t="s">
        <v>19393</v>
      </c>
      <c r="C3222" s="6" t="s">
        <v>19394</v>
      </c>
      <c r="D3222" s="6" t="s">
        <v>145</v>
      </c>
      <c r="E3222" s="6" t="s">
        <v>147</v>
      </c>
      <c r="F3222" s="8">
        <v>10.0</v>
      </c>
      <c r="G3222" s="9">
        <v>1113.49</v>
      </c>
      <c r="H3222" s="9">
        <v>9049.63</v>
      </c>
      <c r="I3222" s="6" t="s">
        <v>161</v>
      </c>
      <c r="J3222" s="6" t="s">
        <v>442</v>
      </c>
      <c r="K3222" s="6" t="s">
        <v>19396</v>
      </c>
      <c r="L3222" s="6">
        <v>6.8493313906E10</v>
      </c>
      <c r="M3222" s="6" t="s">
        <v>19397</v>
      </c>
      <c r="N3222" s="6" t="s">
        <v>112</v>
      </c>
      <c r="O3222" s="6" t="s">
        <v>178</v>
      </c>
      <c r="P3222" s="10">
        <v>46016.0</v>
      </c>
    </row>
    <row r="3223" ht="22.5" customHeight="1">
      <c r="A3223" s="6" t="s">
        <v>11067</v>
      </c>
      <c r="B3223" s="6" t="s">
        <v>11068</v>
      </c>
      <c r="C3223" s="6" t="s">
        <v>11069</v>
      </c>
      <c r="D3223" s="6" t="s">
        <v>145</v>
      </c>
      <c r="E3223" s="6" t="s">
        <v>147</v>
      </c>
      <c r="F3223" s="8">
        <v>18.0</v>
      </c>
      <c r="G3223" s="9">
        <v>1033.96</v>
      </c>
      <c r="H3223" s="9">
        <v>6275.22</v>
      </c>
      <c r="I3223" s="6" t="s">
        <v>161</v>
      </c>
      <c r="J3223" s="6" t="s">
        <v>312</v>
      </c>
      <c r="K3223" s="6" t="s">
        <v>11071</v>
      </c>
      <c r="L3223" s="6">
        <v>5.882391374E10</v>
      </c>
      <c r="M3223" s="6" t="s">
        <v>11072</v>
      </c>
      <c r="N3223" s="6" t="s">
        <v>112</v>
      </c>
      <c r="O3223" s="6" t="s">
        <v>178</v>
      </c>
      <c r="P3223" s="10">
        <v>45997.0</v>
      </c>
    </row>
    <row r="3224" ht="22.5" customHeight="1">
      <c r="A3224" s="6" t="s">
        <v>20913</v>
      </c>
      <c r="B3224" s="6" t="s">
        <v>20914</v>
      </c>
      <c r="C3224" s="6" t="s">
        <v>20915</v>
      </c>
      <c r="D3224" s="6" t="s">
        <v>145</v>
      </c>
      <c r="E3224" s="6" t="s">
        <v>301</v>
      </c>
      <c r="F3224" s="8">
        <v>59.0</v>
      </c>
      <c r="G3224" s="9">
        <v>438.15</v>
      </c>
      <c r="H3224" s="9">
        <v>2315.79</v>
      </c>
      <c r="I3224" s="6" t="s">
        <v>161</v>
      </c>
      <c r="J3224" s="6" t="s">
        <v>421</v>
      </c>
      <c r="K3224" s="6" t="s">
        <v>20917</v>
      </c>
      <c r="L3224" s="6">
        <v>1.6508249785E10</v>
      </c>
      <c r="M3224" s="6" t="s">
        <v>20918</v>
      </c>
      <c r="N3224" s="6" t="s">
        <v>283</v>
      </c>
      <c r="O3224" s="6" t="s">
        <v>178</v>
      </c>
      <c r="P3224" s="10">
        <v>46043.0</v>
      </c>
    </row>
    <row r="3225" ht="22.5" customHeight="1">
      <c r="A3225" s="6" t="s">
        <v>2842</v>
      </c>
      <c r="B3225" s="6" t="s">
        <v>2843</v>
      </c>
      <c r="C3225" s="6" t="s">
        <v>2844</v>
      </c>
      <c r="D3225" s="6" t="s">
        <v>145</v>
      </c>
      <c r="E3225" s="6" t="s">
        <v>210</v>
      </c>
      <c r="F3225" s="8">
        <v>107.0</v>
      </c>
      <c r="G3225" s="9">
        <v>1278.38</v>
      </c>
      <c r="H3225" s="9">
        <v>10839.51</v>
      </c>
      <c r="I3225" s="6" t="s">
        <v>161</v>
      </c>
      <c r="J3225" s="6" t="s">
        <v>228</v>
      </c>
      <c r="K3225" s="6" t="s">
        <v>2846</v>
      </c>
      <c r="L3225" s="6">
        <v>8.8935301927E10</v>
      </c>
      <c r="M3225" s="6" t="s">
        <v>2847</v>
      </c>
      <c r="N3225" s="6" t="s">
        <v>283</v>
      </c>
      <c r="O3225" s="6" t="s">
        <v>161</v>
      </c>
      <c r="P3225" s="10">
        <v>45958.0</v>
      </c>
    </row>
    <row r="3226" ht="22.5" customHeight="1">
      <c r="A3226" s="6" t="s">
        <v>18601</v>
      </c>
      <c r="B3226" s="6" t="s">
        <v>18602</v>
      </c>
      <c r="C3226" s="6" t="s">
        <v>18603</v>
      </c>
      <c r="D3226" s="6" t="s">
        <v>383</v>
      </c>
      <c r="E3226" s="6" t="s">
        <v>301</v>
      </c>
      <c r="F3226" s="8">
        <v>51.0</v>
      </c>
      <c r="G3226" s="9">
        <v>176.44</v>
      </c>
      <c r="H3226" s="9">
        <v>9536.68</v>
      </c>
      <c r="I3226" s="6" t="s">
        <v>161</v>
      </c>
      <c r="J3226" s="6" t="s">
        <v>577</v>
      </c>
      <c r="K3226" s="6" t="s">
        <v>18604</v>
      </c>
      <c r="L3226" s="6">
        <v>6.998474123E10</v>
      </c>
      <c r="M3226" s="6" t="s">
        <v>18605</v>
      </c>
      <c r="N3226" s="6" t="s">
        <v>112</v>
      </c>
      <c r="O3226" s="6" t="s">
        <v>178</v>
      </c>
      <c r="P3226" s="10">
        <v>45972.0</v>
      </c>
    </row>
    <row r="3227" ht="22.5" customHeight="1">
      <c r="A3227" s="6" t="s">
        <v>17056</v>
      </c>
      <c r="B3227" s="6" t="s">
        <v>17057</v>
      </c>
      <c r="C3227" s="6" t="s">
        <v>17058</v>
      </c>
      <c r="D3227" s="6" t="s">
        <v>145</v>
      </c>
      <c r="E3227" s="6" t="s">
        <v>301</v>
      </c>
      <c r="F3227" s="8">
        <v>44.0</v>
      </c>
      <c r="G3227" s="9">
        <v>410.11</v>
      </c>
      <c r="H3227" s="9">
        <v>2174.8</v>
      </c>
      <c r="I3227" s="6" t="s">
        <v>161</v>
      </c>
      <c r="J3227" s="6" t="s">
        <v>312</v>
      </c>
      <c r="K3227" s="6" t="s">
        <v>17060</v>
      </c>
      <c r="L3227" s="6">
        <v>8.8654272463E10</v>
      </c>
      <c r="M3227" s="6" t="s">
        <v>17061</v>
      </c>
      <c r="N3227" s="6" t="s">
        <v>427</v>
      </c>
      <c r="O3227" s="6" t="s">
        <v>178</v>
      </c>
      <c r="P3227" s="10">
        <v>46041.0</v>
      </c>
    </row>
    <row r="3228" ht="22.5" customHeight="1">
      <c r="A3228" s="6" t="s">
        <v>20797</v>
      </c>
      <c r="B3228" s="6" t="s">
        <v>20798</v>
      </c>
      <c r="C3228" s="6" t="s">
        <v>20799</v>
      </c>
      <c r="D3228" s="6" t="s">
        <v>206</v>
      </c>
      <c r="E3228" s="6" t="s">
        <v>301</v>
      </c>
      <c r="F3228" s="8">
        <v>35.0</v>
      </c>
      <c r="G3228" s="9">
        <v>1478.94</v>
      </c>
      <c r="H3228" s="9">
        <v>8737.77</v>
      </c>
      <c r="I3228" s="6" t="s">
        <v>161</v>
      </c>
      <c r="J3228" s="6" t="s">
        <v>228</v>
      </c>
      <c r="K3228" s="6" t="s">
        <v>20801</v>
      </c>
      <c r="L3228" s="6">
        <v>3.8138252402E10</v>
      </c>
      <c r="M3228" s="6" t="s">
        <v>20802</v>
      </c>
      <c r="N3228" s="6" t="s">
        <v>283</v>
      </c>
      <c r="O3228" s="6" t="s">
        <v>178</v>
      </c>
      <c r="P3228" s="10">
        <v>45989.0</v>
      </c>
    </row>
    <row r="3229" ht="22.5" customHeight="1">
      <c r="A3229" s="6" t="s">
        <v>5264</v>
      </c>
      <c r="B3229" s="6" t="s">
        <v>5265</v>
      </c>
      <c r="C3229" s="6" t="s">
        <v>5266</v>
      </c>
      <c r="D3229" s="6" t="s">
        <v>383</v>
      </c>
      <c r="E3229" s="6" t="s">
        <v>301</v>
      </c>
      <c r="F3229" s="8">
        <v>42.0</v>
      </c>
      <c r="G3229" s="9">
        <v>702.35</v>
      </c>
      <c r="H3229" s="9">
        <v>8052.33</v>
      </c>
      <c r="I3229" s="6" t="s">
        <v>161</v>
      </c>
      <c r="J3229" s="6" t="s">
        <v>479</v>
      </c>
      <c r="K3229" s="6" t="s">
        <v>5268</v>
      </c>
      <c r="L3229" s="6" t="s">
        <v>259</v>
      </c>
      <c r="M3229" s="6" t="s">
        <v>5269</v>
      </c>
      <c r="N3229" s="6" t="s">
        <v>427</v>
      </c>
      <c r="O3229" s="6" t="s">
        <v>178</v>
      </c>
      <c r="P3229" s="10">
        <v>45991.0</v>
      </c>
    </row>
    <row r="3230" ht="22.5" customHeight="1">
      <c r="A3230" s="6" t="s">
        <v>11845</v>
      </c>
      <c r="B3230" s="6" t="s">
        <v>11846</v>
      </c>
      <c r="C3230" s="6" t="s">
        <v>11847</v>
      </c>
      <c r="D3230" s="6" t="s">
        <v>145</v>
      </c>
      <c r="E3230" s="6" t="s">
        <v>301</v>
      </c>
      <c r="F3230" s="8">
        <v>55.0</v>
      </c>
      <c r="G3230" s="9">
        <v>1056.03</v>
      </c>
      <c r="H3230" s="9">
        <v>3231.51</v>
      </c>
      <c r="I3230" s="6" t="s">
        <v>161</v>
      </c>
      <c r="J3230" s="6" t="s">
        <v>479</v>
      </c>
      <c r="K3230" s="6" t="s">
        <v>259</v>
      </c>
      <c r="L3230" s="6">
        <v>3.9428003419E10</v>
      </c>
      <c r="M3230" s="6" t="s">
        <v>11849</v>
      </c>
      <c r="N3230" s="6" t="s">
        <v>176</v>
      </c>
      <c r="O3230" s="6" t="s">
        <v>178</v>
      </c>
      <c r="P3230" s="10">
        <v>45970.0</v>
      </c>
    </row>
    <row r="3231" ht="22.5" customHeight="1">
      <c r="A3231" s="6" t="s">
        <v>4124</v>
      </c>
      <c r="B3231" s="6" t="s">
        <v>4125</v>
      </c>
      <c r="C3231" s="6" t="s">
        <v>4126</v>
      </c>
      <c r="D3231" s="6" t="s">
        <v>383</v>
      </c>
      <c r="E3231" s="6" t="s">
        <v>147</v>
      </c>
      <c r="F3231" s="8">
        <v>26.0</v>
      </c>
      <c r="G3231" s="9">
        <v>357.06</v>
      </c>
      <c r="H3231" s="9">
        <v>4292.43</v>
      </c>
      <c r="I3231" s="6" t="s">
        <v>161</v>
      </c>
      <c r="J3231" s="6" t="s">
        <v>465</v>
      </c>
      <c r="K3231" s="6" t="s">
        <v>4128</v>
      </c>
      <c r="L3231" s="6">
        <v>6.8703144512E10</v>
      </c>
      <c r="M3231" s="6" t="s">
        <v>4129</v>
      </c>
      <c r="N3231" s="6" t="s">
        <v>427</v>
      </c>
      <c r="O3231" s="6" t="s">
        <v>178</v>
      </c>
      <c r="P3231" s="10">
        <v>45953.0</v>
      </c>
    </row>
    <row r="3232" ht="22.5" customHeight="1">
      <c r="A3232" s="6" t="s">
        <v>4623</v>
      </c>
      <c r="B3232" s="6" t="s">
        <v>4624</v>
      </c>
      <c r="C3232" s="6" t="s">
        <v>4625</v>
      </c>
      <c r="D3232" s="6" t="s">
        <v>206</v>
      </c>
      <c r="E3232" s="6" t="s">
        <v>147</v>
      </c>
      <c r="F3232" s="8">
        <v>18.0</v>
      </c>
      <c r="G3232" s="9">
        <v>1614.37</v>
      </c>
      <c r="H3232" s="9">
        <v>15373.38</v>
      </c>
      <c r="I3232" s="6" t="s">
        <v>161</v>
      </c>
      <c r="J3232" s="6" t="s">
        <v>357</v>
      </c>
      <c r="K3232" s="6" t="s">
        <v>4626</v>
      </c>
      <c r="L3232" s="6">
        <v>8.1783718091E10</v>
      </c>
      <c r="M3232" s="6" t="s">
        <v>4627</v>
      </c>
      <c r="N3232" s="6" t="s">
        <v>259</v>
      </c>
      <c r="O3232" s="6" t="s">
        <v>178</v>
      </c>
      <c r="P3232" s="10">
        <v>45989.0</v>
      </c>
    </row>
    <row r="3233" ht="22.5" customHeight="1">
      <c r="A3233" s="6" t="s">
        <v>7823</v>
      </c>
      <c r="B3233" s="6" t="s">
        <v>7824</v>
      </c>
      <c r="C3233" s="6" t="s">
        <v>7825</v>
      </c>
      <c r="D3233" s="6" t="s">
        <v>145</v>
      </c>
      <c r="E3233" s="6" t="s">
        <v>301</v>
      </c>
      <c r="F3233" s="8">
        <v>59.0</v>
      </c>
      <c r="G3233" s="9">
        <v>1056.52</v>
      </c>
      <c r="H3233" s="9">
        <v>3712.08</v>
      </c>
      <c r="I3233" s="6" t="s">
        <v>161</v>
      </c>
      <c r="J3233" s="6" t="s">
        <v>465</v>
      </c>
      <c r="K3233" s="6" t="s">
        <v>7826</v>
      </c>
      <c r="L3233" s="6">
        <v>5.959868896E9</v>
      </c>
      <c r="M3233" s="6" t="s">
        <v>7828</v>
      </c>
      <c r="N3233" s="6" t="s">
        <v>283</v>
      </c>
      <c r="O3233" s="6" t="s">
        <v>178</v>
      </c>
      <c r="P3233" s="10">
        <v>46015.0</v>
      </c>
    </row>
    <row r="3234" ht="22.5" customHeight="1">
      <c r="A3234" s="6" t="s">
        <v>7463</v>
      </c>
      <c r="B3234" s="6" t="s">
        <v>7464</v>
      </c>
      <c r="C3234" s="6" t="s">
        <v>7465</v>
      </c>
      <c r="D3234" s="6" t="s">
        <v>206</v>
      </c>
      <c r="E3234" s="6" t="s">
        <v>301</v>
      </c>
      <c r="F3234" s="8">
        <v>34.0</v>
      </c>
      <c r="G3234" s="9">
        <v>289.33</v>
      </c>
      <c r="H3234" s="9">
        <v>2994.34</v>
      </c>
      <c r="I3234" s="6" t="s">
        <v>161</v>
      </c>
      <c r="J3234" s="6" t="s">
        <v>577</v>
      </c>
      <c r="K3234" s="6" t="s">
        <v>7466</v>
      </c>
      <c r="L3234" s="6">
        <v>7.9124906146E10</v>
      </c>
      <c r="M3234" s="6" t="s">
        <v>7467</v>
      </c>
      <c r="N3234" s="6" t="s">
        <v>259</v>
      </c>
      <c r="O3234" s="6" t="s">
        <v>178</v>
      </c>
      <c r="P3234" s="10">
        <v>46031.0</v>
      </c>
    </row>
    <row r="3235" ht="22.5" customHeight="1">
      <c r="A3235" s="6" t="s">
        <v>19291</v>
      </c>
      <c r="B3235" s="6" t="s">
        <v>19292</v>
      </c>
      <c r="C3235" s="6" t="s">
        <v>19294</v>
      </c>
      <c r="D3235" s="6" t="s">
        <v>145</v>
      </c>
      <c r="E3235" s="6" t="s">
        <v>147</v>
      </c>
      <c r="F3235" s="8">
        <v>24.0</v>
      </c>
      <c r="G3235" s="9">
        <v>374.51</v>
      </c>
      <c r="H3235" s="9">
        <v>10074.11</v>
      </c>
      <c r="I3235" s="6" t="s">
        <v>161</v>
      </c>
      <c r="J3235" s="6" t="s">
        <v>479</v>
      </c>
      <c r="K3235" s="6" t="s">
        <v>259</v>
      </c>
      <c r="L3235" s="6">
        <v>4.7918068879E10</v>
      </c>
      <c r="M3235" s="6" t="s">
        <v>19296</v>
      </c>
      <c r="N3235" s="6" t="s">
        <v>176</v>
      </c>
      <c r="O3235" s="6" t="s">
        <v>178</v>
      </c>
      <c r="P3235" s="10">
        <v>46037.0</v>
      </c>
    </row>
    <row r="3236" ht="22.5" customHeight="1">
      <c r="A3236" s="6" t="s">
        <v>20064</v>
      </c>
      <c r="B3236" s="6" t="s">
        <v>20066</v>
      </c>
      <c r="C3236" s="6" t="s">
        <v>20067</v>
      </c>
      <c r="D3236" s="6" t="s">
        <v>206</v>
      </c>
      <c r="E3236" s="6" t="s">
        <v>301</v>
      </c>
      <c r="F3236" s="8">
        <v>46.0</v>
      </c>
      <c r="G3236" s="9">
        <v>1721.41</v>
      </c>
      <c r="H3236" s="9">
        <v>12752.85</v>
      </c>
      <c r="I3236" s="6" t="s">
        <v>161</v>
      </c>
      <c r="J3236" s="6" t="s">
        <v>163</v>
      </c>
      <c r="K3236" s="6" t="s">
        <v>20068</v>
      </c>
      <c r="L3236" s="6">
        <v>1.3079059379E10</v>
      </c>
      <c r="M3236" s="6" t="s">
        <v>20070</v>
      </c>
      <c r="N3236" s="6" t="s">
        <v>176</v>
      </c>
      <c r="O3236" s="6" t="s">
        <v>178</v>
      </c>
      <c r="P3236" s="10">
        <v>46036.0</v>
      </c>
    </row>
    <row r="3237" ht="22.5" customHeight="1">
      <c r="A3237" s="6" t="s">
        <v>5609</v>
      </c>
      <c r="B3237" s="6" t="s">
        <v>5610</v>
      </c>
      <c r="C3237" s="6" t="s">
        <v>5611</v>
      </c>
      <c r="D3237" s="6" t="s">
        <v>145</v>
      </c>
      <c r="E3237" s="6" t="s">
        <v>147</v>
      </c>
      <c r="F3237" s="8">
        <v>27.0</v>
      </c>
      <c r="G3237" s="9">
        <v>816.62</v>
      </c>
      <c r="H3237" s="9">
        <v>12322.87</v>
      </c>
      <c r="I3237" s="6" t="s">
        <v>161</v>
      </c>
      <c r="J3237" s="6" t="s">
        <v>421</v>
      </c>
      <c r="K3237" s="6" t="s">
        <v>5613</v>
      </c>
      <c r="L3237" s="6">
        <v>9.7934910959E10</v>
      </c>
      <c r="M3237" s="6" t="s">
        <v>5614</v>
      </c>
      <c r="N3237" s="6" t="s">
        <v>259</v>
      </c>
      <c r="O3237" s="6" t="s">
        <v>178</v>
      </c>
      <c r="P3237" s="10">
        <v>45959.0</v>
      </c>
    </row>
    <row r="3238" ht="22.5" customHeight="1">
      <c r="A3238" s="6" t="s">
        <v>19268</v>
      </c>
      <c r="B3238" s="6" t="s">
        <v>19269</v>
      </c>
      <c r="C3238" s="6" t="s">
        <v>19270</v>
      </c>
      <c r="D3238" s="6" t="s">
        <v>206</v>
      </c>
      <c r="E3238" s="6" t="s">
        <v>147</v>
      </c>
      <c r="F3238" s="8">
        <v>10.0</v>
      </c>
      <c r="G3238" s="9">
        <v>1492.75</v>
      </c>
      <c r="H3238" s="9">
        <v>6450.64</v>
      </c>
      <c r="I3238" s="6" t="s">
        <v>161</v>
      </c>
      <c r="J3238" s="6" t="s">
        <v>465</v>
      </c>
      <c r="K3238" s="6" t="s">
        <v>19272</v>
      </c>
      <c r="L3238" s="6">
        <v>9.7374667463E10</v>
      </c>
      <c r="M3238" s="6" t="s">
        <v>19274</v>
      </c>
      <c r="N3238" s="6" t="s">
        <v>112</v>
      </c>
      <c r="O3238" s="6" t="s">
        <v>178</v>
      </c>
      <c r="P3238" s="10">
        <v>45992.0</v>
      </c>
    </row>
    <row r="3239" ht="22.5" customHeight="1">
      <c r="A3239" s="6" t="s">
        <v>2040</v>
      </c>
      <c r="B3239" s="6" t="s">
        <v>2041</v>
      </c>
      <c r="C3239" s="6" t="s">
        <v>2042</v>
      </c>
      <c r="D3239" s="6" t="s">
        <v>383</v>
      </c>
      <c r="E3239" s="6" t="s">
        <v>301</v>
      </c>
      <c r="F3239" s="8">
        <v>59.0</v>
      </c>
      <c r="G3239" s="9">
        <v>817.1</v>
      </c>
      <c r="H3239" s="9">
        <v>3409.38</v>
      </c>
      <c r="I3239" s="6" t="s">
        <v>178</v>
      </c>
      <c r="J3239" s="6" t="s">
        <v>228</v>
      </c>
      <c r="K3239" s="6" t="s">
        <v>2044</v>
      </c>
      <c r="L3239" s="6">
        <v>5.8799948013E10</v>
      </c>
      <c r="M3239" s="6" t="s">
        <v>2045</v>
      </c>
      <c r="N3239" s="6" t="s">
        <v>283</v>
      </c>
      <c r="O3239" s="6" t="s">
        <v>161</v>
      </c>
      <c r="P3239" s="10">
        <v>45998.0</v>
      </c>
    </row>
    <row r="3240" ht="22.5" customHeight="1">
      <c r="A3240" s="6" t="s">
        <v>5437</v>
      </c>
      <c r="B3240" s="6" t="s">
        <v>5438</v>
      </c>
      <c r="C3240" s="6" t="s">
        <v>5439</v>
      </c>
      <c r="D3240" s="6" t="s">
        <v>206</v>
      </c>
      <c r="E3240" s="6" t="s">
        <v>147</v>
      </c>
      <c r="F3240" s="8">
        <v>16.0</v>
      </c>
      <c r="G3240" s="9">
        <v>335.02</v>
      </c>
      <c r="H3240" s="9">
        <v>9645.42</v>
      </c>
      <c r="I3240" s="6" t="s">
        <v>161</v>
      </c>
      <c r="J3240" s="6" t="s">
        <v>163</v>
      </c>
      <c r="K3240" s="6" t="s">
        <v>5440</v>
      </c>
      <c r="L3240" s="6">
        <v>1.571934956E9</v>
      </c>
      <c r="M3240" s="6" t="s">
        <v>5441</v>
      </c>
      <c r="N3240" s="6" t="s">
        <v>283</v>
      </c>
      <c r="O3240" s="6" t="s">
        <v>178</v>
      </c>
      <c r="P3240" s="10">
        <v>45984.0</v>
      </c>
    </row>
    <row r="3241" ht="22.5" customHeight="1">
      <c r="A3241" s="6" t="s">
        <v>20584</v>
      </c>
      <c r="B3241" s="6" t="s">
        <v>20585</v>
      </c>
      <c r="C3241" s="6" t="s">
        <v>20586</v>
      </c>
      <c r="D3241" s="6" t="s">
        <v>145</v>
      </c>
      <c r="E3241" s="6" t="s">
        <v>147</v>
      </c>
      <c r="F3241" s="8">
        <v>24.0</v>
      </c>
      <c r="G3241" s="9">
        <v>422.36</v>
      </c>
      <c r="H3241" s="9">
        <v>13604.8</v>
      </c>
      <c r="I3241" s="6" t="s">
        <v>161</v>
      </c>
      <c r="J3241" s="6" t="s">
        <v>577</v>
      </c>
      <c r="K3241" s="6" t="s">
        <v>20588</v>
      </c>
      <c r="L3241" s="6">
        <v>3.8180594821E10</v>
      </c>
      <c r="M3241" s="6" t="s">
        <v>20590</v>
      </c>
      <c r="N3241" s="6" t="s">
        <v>112</v>
      </c>
      <c r="O3241" s="6" t="s">
        <v>178</v>
      </c>
      <c r="P3241" s="10">
        <v>45933.0</v>
      </c>
    </row>
    <row r="3242" ht="22.5" customHeight="1">
      <c r="A3242" s="6" t="s">
        <v>3366</v>
      </c>
      <c r="B3242" s="6" t="s">
        <v>3368</v>
      </c>
      <c r="C3242" s="6" t="s">
        <v>3369</v>
      </c>
      <c r="D3242" s="6" t="s">
        <v>145</v>
      </c>
      <c r="E3242" s="6" t="s">
        <v>301</v>
      </c>
      <c r="F3242" s="8">
        <v>48.0</v>
      </c>
      <c r="G3242" s="9">
        <v>94.25</v>
      </c>
      <c r="H3242" s="9">
        <v>11214.75</v>
      </c>
      <c r="I3242" s="6" t="s">
        <v>161</v>
      </c>
      <c r="J3242" s="6" t="s">
        <v>228</v>
      </c>
      <c r="K3242" s="6" t="s">
        <v>3370</v>
      </c>
      <c r="L3242" s="6">
        <v>5.4680500049E10</v>
      </c>
      <c r="M3242" s="6" t="s">
        <v>3371</v>
      </c>
      <c r="N3242" s="6" t="s">
        <v>259</v>
      </c>
      <c r="O3242" s="6" t="s">
        <v>178</v>
      </c>
      <c r="P3242" s="10">
        <v>46018.0</v>
      </c>
    </row>
    <row r="3243" ht="22.5" customHeight="1">
      <c r="A3243" s="6" t="s">
        <v>19767</v>
      </c>
      <c r="B3243" s="6" t="s">
        <v>19768</v>
      </c>
      <c r="C3243" s="6" t="s">
        <v>19769</v>
      </c>
      <c r="D3243" s="6" t="s">
        <v>383</v>
      </c>
      <c r="E3243" s="6" t="s">
        <v>147</v>
      </c>
      <c r="F3243" s="8">
        <v>10.0</v>
      </c>
      <c r="G3243" s="9">
        <v>147.85</v>
      </c>
      <c r="H3243" s="9">
        <v>644.93</v>
      </c>
      <c r="I3243" s="6" t="s">
        <v>161</v>
      </c>
      <c r="J3243" s="6" t="s">
        <v>421</v>
      </c>
      <c r="K3243" s="6" t="s">
        <v>19771</v>
      </c>
      <c r="L3243" s="6">
        <v>2.4494664984E10</v>
      </c>
      <c r="M3243" s="6" t="s">
        <v>19772</v>
      </c>
      <c r="N3243" s="6" t="s">
        <v>283</v>
      </c>
      <c r="O3243" s="6" t="s">
        <v>178</v>
      </c>
      <c r="P3243" s="10">
        <v>46047.0</v>
      </c>
    </row>
    <row r="3244" ht="22.5" customHeight="1">
      <c r="A3244" s="6" t="s">
        <v>20013</v>
      </c>
      <c r="B3244" s="6" t="s">
        <v>20014</v>
      </c>
      <c r="C3244" s="6" t="s">
        <v>20015</v>
      </c>
      <c r="D3244" s="6" t="s">
        <v>206</v>
      </c>
      <c r="E3244" s="6" t="s">
        <v>147</v>
      </c>
      <c r="F3244" s="8">
        <v>21.0</v>
      </c>
      <c r="G3244" s="9">
        <v>161.13</v>
      </c>
      <c r="H3244" s="9">
        <v>13824.08</v>
      </c>
      <c r="I3244" s="6" t="s">
        <v>161</v>
      </c>
      <c r="J3244" s="6" t="s">
        <v>163</v>
      </c>
      <c r="K3244" s="6" t="s">
        <v>20017</v>
      </c>
      <c r="L3244" s="6" t="s">
        <v>259</v>
      </c>
      <c r="M3244" s="6" t="s">
        <v>20018</v>
      </c>
      <c r="N3244" s="6" t="s">
        <v>176</v>
      </c>
      <c r="O3244" s="6" t="s">
        <v>178</v>
      </c>
      <c r="P3244" s="10">
        <v>46050.0</v>
      </c>
    </row>
    <row r="3245" ht="22.5" customHeight="1">
      <c r="A3245" s="6" t="s">
        <v>8735</v>
      </c>
      <c r="B3245" s="6" t="s">
        <v>8736</v>
      </c>
      <c r="C3245" s="6" t="s">
        <v>8738</v>
      </c>
      <c r="D3245" s="6" t="s">
        <v>145</v>
      </c>
      <c r="E3245" s="6" t="s">
        <v>210</v>
      </c>
      <c r="F3245" s="8">
        <v>85.0</v>
      </c>
      <c r="G3245" s="9">
        <v>829.01</v>
      </c>
      <c r="H3245" s="9">
        <v>5022.25</v>
      </c>
      <c r="I3245" s="6" t="s">
        <v>161</v>
      </c>
      <c r="J3245" s="6" t="s">
        <v>228</v>
      </c>
      <c r="K3245" s="6" t="s">
        <v>8739</v>
      </c>
      <c r="L3245" s="6">
        <v>2.5160378653E10</v>
      </c>
      <c r="M3245" s="6" t="s">
        <v>8740</v>
      </c>
      <c r="N3245" s="6" t="s">
        <v>176</v>
      </c>
      <c r="O3245" s="6" t="s">
        <v>161</v>
      </c>
      <c r="P3245" s="10">
        <v>45940.0</v>
      </c>
    </row>
    <row r="3246" ht="22.5" customHeight="1">
      <c r="A3246" s="6" t="s">
        <v>6421</v>
      </c>
      <c r="B3246" s="6" t="s">
        <v>6422</v>
      </c>
      <c r="C3246" s="6" t="s">
        <v>6423</v>
      </c>
      <c r="D3246" s="6" t="s">
        <v>145</v>
      </c>
      <c r="E3246" s="6" t="s">
        <v>210</v>
      </c>
      <c r="F3246" s="8">
        <v>120.0</v>
      </c>
      <c r="G3246" s="9">
        <v>414.8</v>
      </c>
      <c r="H3246" s="9">
        <v>13435.04</v>
      </c>
      <c r="I3246" s="6" t="s">
        <v>178</v>
      </c>
      <c r="J3246" s="6" t="s">
        <v>479</v>
      </c>
      <c r="K3246" s="6" t="s">
        <v>6425</v>
      </c>
      <c r="L3246" s="6" t="s">
        <v>259</v>
      </c>
      <c r="M3246" s="6" t="s">
        <v>6427</v>
      </c>
      <c r="N3246" s="6" t="s">
        <v>283</v>
      </c>
      <c r="O3246" s="6" t="s">
        <v>161</v>
      </c>
      <c r="P3246" s="10">
        <v>45978.0</v>
      </c>
    </row>
    <row r="3247" ht="22.5" customHeight="1">
      <c r="A3247" s="6" t="s">
        <v>12274</v>
      </c>
      <c r="B3247" s="6" t="s">
        <v>12275</v>
      </c>
      <c r="C3247" s="6" t="s">
        <v>12276</v>
      </c>
      <c r="D3247" s="6" t="s">
        <v>383</v>
      </c>
      <c r="E3247" s="6" t="s">
        <v>147</v>
      </c>
      <c r="F3247" s="8">
        <v>20.0</v>
      </c>
      <c r="G3247" s="9">
        <v>465.53</v>
      </c>
      <c r="H3247" s="9">
        <v>14084.01</v>
      </c>
      <c r="I3247" s="6" t="s">
        <v>178</v>
      </c>
      <c r="J3247" s="6" t="s">
        <v>312</v>
      </c>
      <c r="K3247" s="6" t="s">
        <v>12278</v>
      </c>
      <c r="L3247" s="6">
        <v>7.9263989777E10</v>
      </c>
      <c r="M3247" s="6" t="s">
        <v>12279</v>
      </c>
      <c r="N3247" s="6" t="s">
        <v>112</v>
      </c>
      <c r="O3247" s="6" t="s">
        <v>161</v>
      </c>
      <c r="P3247" s="10">
        <v>45974.0</v>
      </c>
    </row>
  </sheetData>
  <dataValidations>
    <dataValidation type="custom" allowBlank="1" showDropDown="1" sqref="P2:P3247">
      <formula1>OR(NOT(ISERROR(DATEVALUE(P2))), AND(ISNUMBER(P2), LEFT(CELL("format", P2))="D"))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10.38"/>
    <col customWidth="1" min="3" max="3" width="17.63"/>
    <col customWidth="1" min="4" max="4" width="18.38"/>
    <col customWidth="1" min="5" max="5" width="15.0"/>
    <col customWidth="1" min="6" max="6" width="13.13"/>
    <col customWidth="1" min="7" max="7" width="16.63"/>
    <col customWidth="1" min="8" max="8" width="21.38"/>
    <col customWidth="1" min="9" max="9" width="17.63"/>
    <col customWidth="1" min="10" max="10" width="21.38"/>
  </cols>
  <sheetData>
    <row r="1" ht="22.5" customHeight="1">
      <c r="A1" s="5" t="s">
        <v>183</v>
      </c>
      <c r="B1" s="5" t="s">
        <v>66</v>
      </c>
      <c r="C1" s="5" t="s">
        <v>193</v>
      </c>
      <c r="D1" s="5" t="s">
        <v>198</v>
      </c>
      <c r="E1" s="5" t="s">
        <v>204</v>
      </c>
      <c r="F1" s="5" t="s">
        <v>207</v>
      </c>
      <c r="G1" s="5" t="s">
        <v>212</v>
      </c>
      <c r="H1" s="5" t="s">
        <v>216</v>
      </c>
      <c r="I1" s="5" t="s">
        <v>220</v>
      </c>
      <c r="J1" s="5" t="s">
        <v>224</v>
      </c>
    </row>
    <row r="2" ht="22.5" customHeight="1">
      <c r="A2" s="6" t="s">
        <v>230</v>
      </c>
      <c r="B2" s="6" t="s">
        <v>134</v>
      </c>
      <c r="C2" s="10">
        <v>46056.0</v>
      </c>
      <c r="D2" s="6" t="s">
        <v>242</v>
      </c>
      <c r="E2" s="6" t="s">
        <v>246</v>
      </c>
      <c r="F2" s="6" t="s">
        <v>249</v>
      </c>
      <c r="G2" s="6" t="s">
        <v>254</v>
      </c>
      <c r="H2" s="11" t="s">
        <v>259</v>
      </c>
      <c r="I2" s="12">
        <v>3.0</v>
      </c>
      <c r="J2" s="6" t="s">
        <v>161</v>
      </c>
    </row>
    <row r="3" ht="22.5" customHeight="1">
      <c r="A3" s="6" t="s">
        <v>279</v>
      </c>
      <c r="B3" s="6" t="s">
        <v>134</v>
      </c>
      <c r="C3" s="10">
        <v>46041.0</v>
      </c>
      <c r="D3" s="6" t="s">
        <v>289</v>
      </c>
      <c r="E3" s="6" t="s">
        <v>291</v>
      </c>
      <c r="F3" s="6" t="s">
        <v>283</v>
      </c>
      <c r="G3" s="6" t="s">
        <v>297</v>
      </c>
      <c r="H3" s="10">
        <v>46046.0</v>
      </c>
      <c r="I3" s="12">
        <v>8.0</v>
      </c>
      <c r="J3" s="6" t="s">
        <v>161</v>
      </c>
    </row>
    <row r="4" ht="22.5" customHeight="1">
      <c r="A4" s="6" t="s">
        <v>310</v>
      </c>
      <c r="B4" s="6" t="s">
        <v>134</v>
      </c>
      <c r="C4" s="10">
        <v>46049.0</v>
      </c>
      <c r="D4" s="6" t="s">
        <v>242</v>
      </c>
      <c r="E4" s="6" t="s">
        <v>320</v>
      </c>
      <c r="F4" s="6" t="s">
        <v>283</v>
      </c>
      <c r="G4" s="6" t="s">
        <v>326</v>
      </c>
      <c r="H4" s="10">
        <v>46056.0</v>
      </c>
      <c r="I4" s="12">
        <v>4.0</v>
      </c>
      <c r="J4" s="6" t="s">
        <v>178</v>
      </c>
    </row>
    <row r="5" ht="22.5" customHeight="1">
      <c r="A5" s="6" t="s">
        <v>349</v>
      </c>
      <c r="B5" s="6" t="s">
        <v>134</v>
      </c>
      <c r="C5" s="10">
        <v>46061.0</v>
      </c>
      <c r="D5" s="6" t="s">
        <v>312</v>
      </c>
      <c r="E5" s="6" t="s">
        <v>365</v>
      </c>
      <c r="F5" s="6" t="s">
        <v>283</v>
      </c>
      <c r="G5" s="6" t="s">
        <v>369</v>
      </c>
      <c r="H5" s="10">
        <v>46066.0</v>
      </c>
      <c r="I5" s="12">
        <v>4.0</v>
      </c>
      <c r="J5" s="6" t="s">
        <v>161</v>
      </c>
    </row>
    <row r="6" ht="22.5" customHeight="1">
      <c r="A6" s="6" t="s">
        <v>385</v>
      </c>
      <c r="B6" s="6" t="s">
        <v>134</v>
      </c>
      <c r="C6" s="10">
        <v>46059.0</v>
      </c>
      <c r="D6" s="6" t="s">
        <v>391</v>
      </c>
      <c r="E6" s="6" t="s">
        <v>394</v>
      </c>
      <c r="F6" s="6" t="s">
        <v>249</v>
      </c>
      <c r="G6" s="6" t="s">
        <v>254</v>
      </c>
      <c r="H6" s="11" t="s">
        <v>259</v>
      </c>
      <c r="I6" s="12">
        <v>8.0</v>
      </c>
      <c r="J6" s="6" t="s">
        <v>161</v>
      </c>
    </row>
    <row r="7" ht="22.5" customHeight="1">
      <c r="A7" s="6" t="s">
        <v>408</v>
      </c>
      <c r="B7" s="6" t="s">
        <v>195</v>
      </c>
      <c r="C7" s="10">
        <v>46027.0</v>
      </c>
      <c r="D7" s="6" t="s">
        <v>416</v>
      </c>
      <c r="E7" s="6" t="s">
        <v>417</v>
      </c>
      <c r="F7" s="6" t="s">
        <v>283</v>
      </c>
      <c r="G7" s="6" t="s">
        <v>326</v>
      </c>
      <c r="H7" s="10">
        <v>46028.0</v>
      </c>
      <c r="I7" s="12">
        <v>11.0</v>
      </c>
      <c r="J7" s="6" t="s">
        <v>161</v>
      </c>
    </row>
    <row r="8" ht="22.5" customHeight="1">
      <c r="A8" s="6" t="s">
        <v>430</v>
      </c>
      <c r="B8" s="6" t="s">
        <v>195</v>
      </c>
      <c r="C8" s="10">
        <v>46034.0</v>
      </c>
      <c r="D8" s="6" t="s">
        <v>436</v>
      </c>
      <c r="E8" s="6" t="s">
        <v>438</v>
      </c>
      <c r="F8" s="6" t="s">
        <v>439</v>
      </c>
      <c r="G8" s="6" t="s">
        <v>254</v>
      </c>
      <c r="H8" s="10">
        <v>46034.0</v>
      </c>
      <c r="I8" s="12">
        <v>9.0</v>
      </c>
      <c r="J8" s="6" t="s">
        <v>178</v>
      </c>
    </row>
    <row r="9" ht="22.5" customHeight="1">
      <c r="A9" s="6" t="s">
        <v>445</v>
      </c>
      <c r="B9" s="6" t="s">
        <v>195</v>
      </c>
      <c r="C9" s="10">
        <v>46039.0</v>
      </c>
      <c r="D9" s="6" t="s">
        <v>312</v>
      </c>
      <c r="E9" s="6" t="s">
        <v>450</v>
      </c>
      <c r="F9" s="6" t="s">
        <v>283</v>
      </c>
      <c r="G9" s="6" t="s">
        <v>452</v>
      </c>
      <c r="H9" s="10">
        <v>46045.0</v>
      </c>
      <c r="I9" s="12">
        <v>5.0</v>
      </c>
      <c r="J9" s="6" t="s">
        <v>161</v>
      </c>
    </row>
    <row r="10" ht="22.5" customHeight="1">
      <c r="A10" s="6" t="s">
        <v>454</v>
      </c>
      <c r="B10" s="6" t="s">
        <v>195</v>
      </c>
      <c r="C10" s="10">
        <v>46025.0</v>
      </c>
      <c r="D10" s="6" t="s">
        <v>391</v>
      </c>
      <c r="E10" s="6" t="s">
        <v>438</v>
      </c>
      <c r="F10" s="6" t="s">
        <v>439</v>
      </c>
      <c r="G10" s="6" t="s">
        <v>458</v>
      </c>
      <c r="H10" s="10">
        <v>46025.0</v>
      </c>
      <c r="I10" s="12">
        <v>6.0</v>
      </c>
      <c r="J10" s="6" t="s">
        <v>161</v>
      </c>
    </row>
    <row r="11" ht="22.5" customHeight="1">
      <c r="A11" s="6" t="s">
        <v>462</v>
      </c>
      <c r="B11" s="6" t="s">
        <v>195</v>
      </c>
      <c r="C11" s="10">
        <v>46028.0</v>
      </c>
      <c r="D11" s="6" t="s">
        <v>289</v>
      </c>
      <c r="E11" s="6" t="s">
        <v>466</v>
      </c>
      <c r="F11" s="6" t="s">
        <v>283</v>
      </c>
      <c r="G11" s="6" t="s">
        <v>452</v>
      </c>
      <c r="H11" s="10">
        <v>46031.0</v>
      </c>
      <c r="I11" s="12">
        <v>10.0</v>
      </c>
      <c r="J11" s="6" t="s">
        <v>161</v>
      </c>
    </row>
    <row r="12" ht="22.5" customHeight="1">
      <c r="A12" s="6" t="s">
        <v>472</v>
      </c>
      <c r="B12" s="6" t="s">
        <v>252</v>
      </c>
      <c r="C12" s="10">
        <v>46068.0</v>
      </c>
      <c r="D12" s="6" t="s">
        <v>289</v>
      </c>
      <c r="E12" s="6" t="s">
        <v>475</v>
      </c>
      <c r="F12" s="6" t="s">
        <v>283</v>
      </c>
      <c r="G12" s="6" t="s">
        <v>477</v>
      </c>
      <c r="H12" s="11" t="s">
        <v>259</v>
      </c>
      <c r="I12" s="12">
        <v>10.0</v>
      </c>
      <c r="J12" s="6" t="s">
        <v>161</v>
      </c>
    </row>
    <row r="13" ht="22.5" customHeight="1">
      <c r="A13" s="6" t="s">
        <v>482</v>
      </c>
      <c r="B13" s="6" t="s">
        <v>252</v>
      </c>
      <c r="C13" s="10">
        <v>46066.0</v>
      </c>
      <c r="D13" s="6" t="s">
        <v>312</v>
      </c>
      <c r="E13" s="6" t="s">
        <v>291</v>
      </c>
      <c r="F13" s="6" t="s">
        <v>439</v>
      </c>
      <c r="G13" s="6" t="s">
        <v>369</v>
      </c>
      <c r="H13" s="10">
        <v>46072.0</v>
      </c>
      <c r="I13" s="12">
        <v>4.0</v>
      </c>
      <c r="J13" s="6" t="s">
        <v>161</v>
      </c>
    </row>
    <row r="14" ht="22.5" customHeight="1">
      <c r="A14" s="6" t="s">
        <v>488</v>
      </c>
      <c r="B14" s="6" t="s">
        <v>252</v>
      </c>
      <c r="C14" s="10">
        <v>46062.0</v>
      </c>
      <c r="D14" s="6" t="s">
        <v>436</v>
      </c>
      <c r="E14" s="6" t="s">
        <v>466</v>
      </c>
      <c r="F14" s="6" t="s">
        <v>112</v>
      </c>
      <c r="G14" s="6" t="s">
        <v>494</v>
      </c>
      <c r="H14" s="10">
        <v>46063.0</v>
      </c>
      <c r="I14" s="12">
        <v>12.0</v>
      </c>
      <c r="J14" s="6" t="s">
        <v>161</v>
      </c>
    </row>
    <row r="15" ht="22.5" customHeight="1">
      <c r="A15" s="6" t="s">
        <v>506</v>
      </c>
      <c r="B15" s="6" t="s">
        <v>252</v>
      </c>
      <c r="C15" s="10">
        <v>46061.0</v>
      </c>
      <c r="D15" s="6" t="s">
        <v>242</v>
      </c>
      <c r="E15" s="6" t="s">
        <v>512</v>
      </c>
      <c r="F15" s="6" t="s">
        <v>249</v>
      </c>
      <c r="G15" s="6" t="s">
        <v>254</v>
      </c>
      <c r="H15" s="10">
        <v>46063.0</v>
      </c>
      <c r="I15" s="12">
        <v>5.0</v>
      </c>
      <c r="J15" s="6" t="s">
        <v>178</v>
      </c>
    </row>
    <row r="16" ht="22.5" customHeight="1">
      <c r="A16" s="6" t="s">
        <v>521</v>
      </c>
      <c r="B16" s="6" t="s">
        <v>252</v>
      </c>
      <c r="C16" s="10">
        <v>46076.0</v>
      </c>
      <c r="D16" s="6" t="s">
        <v>242</v>
      </c>
      <c r="E16" s="6" t="s">
        <v>291</v>
      </c>
      <c r="F16" s="6" t="s">
        <v>112</v>
      </c>
      <c r="G16" s="6" t="s">
        <v>452</v>
      </c>
      <c r="H16" s="10">
        <v>46083.0</v>
      </c>
      <c r="I16" s="12">
        <v>3.0</v>
      </c>
      <c r="J16" s="6" t="s">
        <v>178</v>
      </c>
    </row>
    <row r="17" ht="22.5" customHeight="1">
      <c r="A17" s="6" t="s">
        <v>554</v>
      </c>
      <c r="B17" s="6" t="s">
        <v>293</v>
      </c>
      <c r="C17" s="10">
        <v>46066.0</v>
      </c>
      <c r="D17" s="6" t="s">
        <v>436</v>
      </c>
      <c r="E17" s="6" t="s">
        <v>566</v>
      </c>
      <c r="F17" s="6" t="s">
        <v>283</v>
      </c>
      <c r="G17" s="6" t="s">
        <v>458</v>
      </c>
      <c r="H17" s="10">
        <v>46072.0</v>
      </c>
      <c r="I17" s="12">
        <v>10.0</v>
      </c>
      <c r="J17" s="6" t="s">
        <v>161</v>
      </c>
    </row>
    <row r="18" ht="22.5" customHeight="1">
      <c r="A18" s="6" t="s">
        <v>581</v>
      </c>
      <c r="B18" s="6" t="s">
        <v>293</v>
      </c>
      <c r="C18" s="10">
        <v>46068.0</v>
      </c>
      <c r="D18" s="6" t="s">
        <v>416</v>
      </c>
      <c r="E18" s="6" t="s">
        <v>583</v>
      </c>
      <c r="F18" s="6" t="s">
        <v>249</v>
      </c>
      <c r="G18" s="6" t="s">
        <v>494</v>
      </c>
      <c r="H18" s="10">
        <v>46068.0</v>
      </c>
      <c r="I18" s="12">
        <v>11.0</v>
      </c>
      <c r="J18" s="6" t="s">
        <v>161</v>
      </c>
    </row>
    <row r="19" ht="22.5" customHeight="1">
      <c r="A19" s="6" t="s">
        <v>592</v>
      </c>
      <c r="B19" s="6" t="s">
        <v>335</v>
      </c>
      <c r="C19" s="10">
        <v>46049.0</v>
      </c>
      <c r="D19" s="6" t="s">
        <v>312</v>
      </c>
      <c r="E19" s="6" t="s">
        <v>466</v>
      </c>
      <c r="F19" s="6" t="s">
        <v>283</v>
      </c>
      <c r="G19" s="6" t="s">
        <v>458</v>
      </c>
      <c r="H19" s="11" t="s">
        <v>259</v>
      </c>
      <c r="I19" s="12">
        <v>4.0</v>
      </c>
      <c r="J19" s="6" t="s">
        <v>161</v>
      </c>
    </row>
    <row r="20" ht="22.5" customHeight="1">
      <c r="A20" s="6" t="s">
        <v>608</v>
      </c>
      <c r="B20" s="6" t="s">
        <v>373</v>
      </c>
      <c r="C20" s="10">
        <v>46052.0</v>
      </c>
      <c r="D20" s="6" t="s">
        <v>416</v>
      </c>
      <c r="E20" s="6" t="s">
        <v>610</v>
      </c>
      <c r="F20" s="6" t="s">
        <v>283</v>
      </c>
      <c r="G20" s="6" t="s">
        <v>369</v>
      </c>
      <c r="H20" s="11" t="s">
        <v>259</v>
      </c>
      <c r="I20" s="12">
        <v>12.0</v>
      </c>
      <c r="J20" s="6" t="s">
        <v>161</v>
      </c>
    </row>
    <row r="21" ht="22.5" customHeight="1">
      <c r="A21" s="6" t="s">
        <v>616</v>
      </c>
      <c r="B21" s="6" t="s">
        <v>407</v>
      </c>
      <c r="C21" s="10">
        <v>46044.0</v>
      </c>
      <c r="D21" s="6" t="s">
        <v>416</v>
      </c>
      <c r="E21" s="6" t="s">
        <v>618</v>
      </c>
      <c r="F21" s="6" t="s">
        <v>439</v>
      </c>
      <c r="G21" s="6" t="s">
        <v>254</v>
      </c>
      <c r="H21" s="10">
        <v>46049.0</v>
      </c>
      <c r="I21" s="12">
        <v>11.0</v>
      </c>
      <c r="J21" s="6" t="s">
        <v>161</v>
      </c>
    </row>
    <row r="22" ht="22.5" customHeight="1">
      <c r="A22" s="6" t="s">
        <v>623</v>
      </c>
      <c r="B22" s="6" t="s">
        <v>407</v>
      </c>
      <c r="C22" s="10">
        <v>46046.0</v>
      </c>
      <c r="D22" s="6" t="s">
        <v>242</v>
      </c>
      <c r="E22" s="6" t="s">
        <v>628</v>
      </c>
      <c r="F22" s="6" t="s">
        <v>283</v>
      </c>
      <c r="G22" s="6" t="s">
        <v>477</v>
      </c>
      <c r="H22" s="10">
        <v>46048.0</v>
      </c>
      <c r="I22" s="12">
        <v>4.0</v>
      </c>
      <c r="J22" s="6" t="s">
        <v>178</v>
      </c>
    </row>
    <row r="23" ht="22.5" customHeight="1">
      <c r="A23" s="6" t="s">
        <v>631</v>
      </c>
      <c r="B23" s="6" t="s">
        <v>407</v>
      </c>
      <c r="C23" s="10">
        <v>46046.0</v>
      </c>
      <c r="D23" s="6" t="s">
        <v>416</v>
      </c>
      <c r="E23" s="6" t="s">
        <v>634</v>
      </c>
      <c r="F23" s="6" t="s">
        <v>283</v>
      </c>
      <c r="G23" s="6" t="s">
        <v>494</v>
      </c>
      <c r="H23" s="10">
        <v>46051.0</v>
      </c>
      <c r="I23" s="12">
        <v>9.0</v>
      </c>
      <c r="J23" s="6" t="s">
        <v>161</v>
      </c>
    </row>
    <row r="24" ht="22.5" customHeight="1">
      <c r="A24" s="6" t="s">
        <v>639</v>
      </c>
      <c r="B24" s="6" t="s">
        <v>434</v>
      </c>
      <c r="C24" s="10">
        <v>46066.0</v>
      </c>
      <c r="D24" s="6" t="s">
        <v>312</v>
      </c>
      <c r="E24" s="6" t="s">
        <v>634</v>
      </c>
      <c r="F24" s="6" t="s">
        <v>283</v>
      </c>
      <c r="G24" s="6" t="s">
        <v>452</v>
      </c>
      <c r="H24" s="10">
        <v>46066.0</v>
      </c>
      <c r="I24" s="12">
        <v>7.0</v>
      </c>
      <c r="J24" s="6" t="s">
        <v>161</v>
      </c>
    </row>
    <row r="25" ht="22.5" customHeight="1">
      <c r="A25" s="6" t="s">
        <v>644</v>
      </c>
      <c r="B25" s="6" t="s">
        <v>434</v>
      </c>
      <c r="C25" s="10">
        <v>46054.0</v>
      </c>
      <c r="D25" s="6" t="s">
        <v>289</v>
      </c>
      <c r="E25" s="6" t="s">
        <v>628</v>
      </c>
      <c r="F25" s="6" t="s">
        <v>439</v>
      </c>
      <c r="G25" s="6" t="s">
        <v>458</v>
      </c>
      <c r="H25" s="10">
        <v>46056.0</v>
      </c>
      <c r="I25" s="12">
        <v>5.0</v>
      </c>
      <c r="J25" s="6" t="s">
        <v>161</v>
      </c>
    </row>
    <row r="26" ht="22.5" customHeight="1">
      <c r="A26" s="6" t="s">
        <v>653</v>
      </c>
      <c r="B26" s="6" t="s">
        <v>447</v>
      </c>
      <c r="C26" s="10">
        <v>46062.0</v>
      </c>
      <c r="D26" s="6" t="s">
        <v>436</v>
      </c>
      <c r="E26" s="6" t="s">
        <v>658</v>
      </c>
      <c r="F26" s="6" t="s">
        <v>112</v>
      </c>
      <c r="G26" s="6" t="s">
        <v>458</v>
      </c>
      <c r="H26" s="10">
        <v>46066.0</v>
      </c>
      <c r="I26" s="12">
        <v>9.0</v>
      </c>
      <c r="J26" s="6" t="s">
        <v>178</v>
      </c>
    </row>
    <row r="27" ht="22.5" customHeight="1">
      <c r="A27" s="6" t="s">
        <v>667</v>
      </c>
      <c r="B27" s="6" t="s">
        <v>447</v>
      </c>
      <c r="C27" s="10">
        <v>46058.0</v>
      </c>
      <c r="D27" s="6" t="s">
        <v>416</v>
      </c>
      <c r="E27" s="6" t="s">
        <v>670</v>
      </c>
      <c r="F27" s="6" t="s">
        <v>439</v>
      </c>
      <c r="G27" s="6" t="s">
        <v>369</v>
      </c>
      <c r="H27" s="10">
        <v>46064.0</v>
      </c>
      <c r="I27" s="12">
        <v>14.0</v>
      </c>
      <c r="J27" s="6" t="s">
        <v>161</v>
      </c>
    </row>
    <row r="28" ht="22.5" customHeight="1">
      <c r="A28" s="6" t="s">
        <v>676</v>
      </c>
      <c r="B28" s="6" t="s">
        <v>447</v>
      </c>
      <c r="C28" s="10">
        <v>46076.0</v>
      </c>
      <c r="D28" s="6" t="s">
        <v>677</v>
      </c>
      <c r="E28" s="6" t="s">
        <v>475</v>
      </c>
      <c r="F28" s="6" t="s">
        <v>249</v>
      </c>
      <c r="G28" s="6" t="s">
        <v>477</v>
      </c>
      <c r="H28" s="10">
        <v>46079.0</v>
      </c>
      <c r="I28" s="12">
        <v>4.0</v>
      </c>
      <c r="J28" s="6" t="s">
        <v>161</v>
      </c>
    </row>
    <row r="29" ht="22.5" customHeight="1">
      <c r="A29" s="6" t="s">
        <v>681</v>
      </c>
      <c r="B29" s="6" t="s">
        <v>459</v>
      </c>
      <c r="C29" s="10">
        <v>46051.0</v>
      </c>
      <c r="D29" s="6" t="s">
        <v>391</v>
      </c>
      <c r="E29" s="6" t="s">
        <v>687</v>
      </c>
      <c r="F29" s="6" t="s">
        <v>283</v>
      </c>
      <c r="G29" s="6" t="s">
        <v>494</v>
      </c>
      <c r="H29" s="10">
        <v>46052.0</v>
      </c>
      <c r="I29" s="12">
        <v>11.0</v>
      </c>
      <c r="J29" s="6" t="s">
        <v>161</v>
      </c>
    </row>
    <row r="30" ht="22.5" customHeight="1">
      <c r="A30" s="6" t="s">
        <v>693</v>
      </c>
      <c r="B30" s="6" t="s">
        <v>459</v>
      </c>
      <c r="C30" s="10">
        <v>46039.0</v>
      </c>
      <c r="D30" s="6" t="s">
        <v>436</v>
      </c>
      <c r="E30" s="6" t="s">
        <v>695</v>
      </c>
      <c r="F30" s="6" t="s">
        <v>439</v>
      </c>
      <c r="G30" s="6" t="s">
        <v>458</v>
      </c>
      <c r="H30" s="10">
        <v>46039.0</v>
      </c>
      <c r="I30" s="12">
        <v>10.0</v>
      </c>
      <c r="J30" s="6" t="s">
        <v>178</v>
      </c>
    </row>
    <row r="31" ht="22.5" customHeight="1">
      <c r="A31" s="6" t="s">
        <v>700</v>
      </c>
      <c r="B31" s="6" t="s">
        <v>459</v>
      </c>
      <c r="C31" s="10">
        <v>46046.0</v>
      </c>
      <c r="D31" s="6" t="s">
        <v>416</v>
      </c>
      <c r="E31" s="6" t="s">
        <v>704</v>
      </c>
      <c r="F31" s="6" t="s">
        <v>249</v>
      </c>
      <c r="G31" s="6" t="s">
        <v>452</v>
      </c>
      <c r="H31" s="10">
        <v>46048.0</v>
      </c>
      <c r="I31" s="12">
        <v>14.0</v>
      </c>
      <c r="J31" s="6" t="s">
        <v>161</v>
      </c>
    </row>
    <row r="32" ht="22.5" customHeight="1">
      <c r="A32" s="6" t="s">
        <v>710</v>
      </c>
      <c r="B32" s="6" t="s">
        <v>459</v>
      </c>
      <c r="C32" s="10">
        <v>46047.0</v>
      </c>
      <c r="D32" s="6" t="s">
        <v>677</v>
      </c>
      <c r="E32" s="6" t="s">
        <v>716</v>
      </c>
      <c r="F32" s="6" t="s">
        <v>249</v>
      </c>
      <c r="G32" s="6" t="s">
        <v>254</v>
      </c>
      <c r="H32" s="11" t="s">
        <v>259</v>
      </c>
      <c r="I32" s="12">
        <v>3.0</v>
      </c>
      <c r="J32" s="6" t="s">
        <v>161</v>
      </c>
    </row>
    <row r="33" ht="22.5" customHeight="1">
      <c r="A33" s="6" t="s">
        <v>721</v>
      </c>
      <c r="B33" s="6" t="s">
        <v>459</v>
      </c>
      <c r="C33" s="10">
        <v>46054.0</v>
      </c>
      <c r="D33" s="6" t="s">
        <v>312</v>
      </c>
      <c r="E33" s="6" t="s">
        <v>291</v>
      </c>
      <c r="F33" s="6" t="s">
        <v>439</v>
      </c>
      <c r="G33" s="6" t="s">
        <v>458</v>
      </c>
      <c r="H33" s="10">
        <v>46056.0</v>
      </c>
      <c r="I33" s="12">
        <v>4.0</v>
      </c>
      <c r="J33" s="6" t="s">
        <v>161</v>
      </c>
    </row>
    <row r="34" ht="22.5" customHeight="1">
      <c r="A34" s="6" t="s">
        <v>726</v>
      </c>
      <c r="B34" s="6" t="s">
        <v>471</v>
      </c>
      <c r="C34" s="10">
        <v>46081.0</v>
      </c>
      <c r="D34" s="6" t="s">
        <v>391</v>
      </c>
      <c r="E34" s="6" t="s">
        <v>731</v>
      </c>
      <c r="F34" s="6" t="s">
        <v>249</v>
      </c>
      <c r="G34" s="6" t="s">
        <v>452</v>
      </c>
      <c r="H34" s="10">
        <v>46086.0</v>
      </c>
      <c r="I34" s="12">
        <v>10.0</v>
      </c>
      <c r="J34" s="6" t="s">
        <v>161</v>
      </c>
    </row>
    <row r="35" ht="22.5" customHeight="1">
      <c r="A35" s="6" t="s">
        <v>735</v>
      </c>
      <c r="B35" s="6" t="s">
        <v>471</v>
      </c>
      <c r="C35" s="10">
        <v>46064.0</v>
      </c>
      <c r="D35" s="6" t="s">
        <v>436</v>
      </c>
      <c r="E35" s="6" t="s">
        <v>738</v>
      </c>
      <c r="F35" s="6" t="s">
        <v>283</v>
      </c>
      <c r="G35" s="6" t="s">
        <v>477</v>
      </c>
      <c r="H35" s="10">
        <v>46067.0</v>
      </c>
      <c r="I35" s="12">
        <v>9.0</v>
      </c>
      <c r="J35" s="6" t="s">
        <v>161</v>
      </c>
    </row>
    <row r="36" ht="22.5" customHeight="1">
      <c r="A36" s="6" t="s">
        <v>741</v>
      </c>
      <c r="B36" s="6" t="s">
        <v>471</v>
      </c>
      <c r="C36" s="10">
        <v>46068.0</v>
      </c>
      <c r="D36" s="6" t="s">
        <v>416</v>
      </c>
      <c r="E36" s="6" t="s">
        <v>738</v>
      </c>
      <c r="F36" s="6" t="s">
        <v>439</v>
      </c>
      <c r="G36" s="6" t="s">
        <v>297</v>
      </c>
      <c r="H36" s="10">
        <v>46068.0</v>
      </c>
      <c r="I36" s="12">
        <v>13.0</v>
      </c>
      <c r="J36" s="6" t="s">
        <v>161</v>
      </c>
    </row>
    <row r="37" ht="22.5" customHeight="1">
      <c r="A37" s="6" t="s">
        <v>749</v>
      </c>
      <c r="B37" s="6" t="s">
        <v>484</v>
      </c>
      <c r="C37" s="10">
        <v>46074.0</v>
      </c>
      <c r="D37" s="6" t="s">
        <v>312</v>
      </c>
      <c r="E37" s="6" t="s">
        <v>658</v>
      </c>
      <c r="F37" s="6" t="s">
        <v>439</v>
      </c>
      <c r="G37" s="6" t="s">
        <v>494</v>
      </c>
      <c r="H37" s="10">
        <v>46076.0</v>
      </c>
      <c r="I37" s="12">
        <v>5.0</v>
      </c>
      <c r="J37" s="6" t="s">
        <v>161</v>
      </c>
    </row>
    <row r="38" ht="22.5" customHeight="1">
      <c r="A38" s="6" t="s">
        <v>757</v>
      </c>
      <c r="B38" s="6" t="s">
        <v>484</v>
      </c>
      <c r="C38" s="10">
        <v>46072.0</v>
      </c>
      <c r="D38" s="6" t="s">
        <v>416</v>
      </c>
      <c r="E38" s="6" t="s">
        <v>394</v>
      </c>
      <c r="F38" s="6" t="s">
        <v>249</v>
      </c>
      <c r="G38" s="6" t="s">
        <v>254</v>
      </c>
      <c r="H38" s="10">
        <v>46077.0</v>
      </c>
      <c r="I38" s="12">
        <v>11.0</v>
      </c>
      <c r="J38" s="6" t="s">
        <v>161</v>
      </c>
    </row>
    <row r="39" ht="22.5" customHeight="1">
      <c r="A39" s="6" t="s">
        <v>769</v>
      </c>
      <c r="B39" s="6" t="s">
        <v>484</v>
      </c>
      <c r="C39" s="10">
        <v>46071.0</v>
      </c>
      <c r="D39" s="6" t="s">
        <v>312</v>
      </c>
      <c r="E39" s="6" t="s">
        <v>775</v>
      </c>
      <c r="F39" s="6" t="s">
        <v>249</v>
      </c>
      <c r="G39" s="6" t="s">
        <v>297</v>
      </c>
      <c r="H39" s="10">
        <v>46071.0</v>
      </c>
      <c r="I39" s="12">
        <v>5.0</v>
      </c>
      <c r="J39" s="6" t="s">
        <v>161</v>
      </c>
    </row>
    <row r="40" ht="22.5" customHeight="1">
      <c r="A40" s="6" t="s">
        <v>782</v>
      </c>
      <c r="B40" s="6" t="s">
        <v>484</v>
      </c>
      <c r="C40" s="10">
        <v>46075.0</v>
      </c>
      <c r="D40" s="6" t="s">
        <v>677</v>
      </c>
      <c r="E40" s="6" t="s">
        <v>787</v>
      </c>
      <c r="F40" s="6" t="s">
        <v>439</v>
      </c>
      <c r="G40" s="6" t="s">
        <v>458</v>
      </c>
      <c r="H40" s="10">
        <v>46079.0</v>
      </c>
      <c r="I40" s="12">
        <v>4.0</v>
      </c>
      <c r="J40" s="6" t="s">
        <v>161</v>
      </c>
    </row>
    <row r="41" ht="22.5" customHeight="1">
      <c r="A41" s="6" t="s">
        <v>794</v>
      </c>
      <c r="B41" s="6" t="s">
        <v>484</v>
      </c>
      <c r="C41" s="10">
        <v>46083.0</v>
      </c>
      <c r="D41" s="6" t="s">
        <v>436</v>
      </c>
      <c r="E41" s="6" t="s">
        <v>798</v>
      </c>
      <c r="F41" s="6" t="s">
        <v>439</v>
      </c>
      <c r="G41" s="6" t="s">
        <v>494</v>
      </c>
      <c r="H41" s="11" t="s">
        <v>259</v>
      </c>
      <c r="I41" s="12">
        <v>12.0</v>
      </c>
      <c r="J41" s="6" t="s">
        <v>178</v>
      </c>
    </row>
    <row r="42" ht="22.5" customHeight="1">
      <c r="A42" s="6" t="s">
        <v>806</v>
      </c>
      <c r="B42" s="6" t="s">
        <v>497</v>
      </c>
      <c r="C42" s="10">
        <v>46067.0</v>
      </c>
      <c r="D42" s="6" t="s">
        <v>289</v>
      </c>
      <c r="E42" s="6" t="s">
        <v>812</v>
      </c>
      <c r="F42" s="6" t="s">
        <v>112</v>
      </c>
      <c r="G42" s="6" t="s">
        <v>254</v>
      </c>
      <c r="H42" s="10">
        <v>46073.0</v>
      </c>
      <c r="I42" s="12">
        <v>8.0</v>
      </c>
      <c r="J42" s="6" t="s">
        <v>161</v>
      </c>
    </row>
    <row r="43" ht="22.5" customHeight="1">
      <c r="A43" s="6" t="s">
        <v>819</v>
      </c>
      <c r="B43" s="6" t="s">
        <v>522</v>
      </c>
      <c r="C43" s="10">
        <v>46043.0</v>
      </c>
      <c r="D43" s="6" t="s">
        <v>242</v>
      </c>
      <c r="E43" s="6" t="s">
        <v>687</v>
      </c>
      <c r="F43" s="6" t="s">
        <v>112</v>
      </c>
      <c r="G43" s="6" t="s">
        <v>458</v>
      </c>
      <c r="H43" s="10">
        <v>46045.0</v>
      </c>
      <c r="I43" s="12">
        <v>3.0</v>
      </c>
      <c r="J43" s="6" t="s">
        <v>178</v>
      </c>
    </row>
    <row r="44" ht="22.5" customHeight="1">
      <c r="A44" s="6" t="s">
        <v>829</v>
      </c>
      <c r="B44" s="6" t="s">
        <v>522</v>
      </c>
      <c r="C44" s="10">
        <v>46028.0</v>
      </c>
      <c r="D44" s="6" t="s">
        <v>312</v>
      </c>
      <c r="E44" s="6" t="s">
        <v>833</v>
      </c>
      <c r="F44" s="6" t="s">
        <v>112</v>
      </c>
      <c r="G44" s="6" t="s">
        <v>452</v>
      </c>
      <c r="H44" s="10">
        <v>46031.0</v>
      </c>
      <c r="I44" s="12">
        <v>4.0</v>
      </c>
      <c r="J44" s="6" t="s">
        <v>161</v>
      </c>
    </row>
    <row r="45" ht="22.5" customHeight="1">
      <c r="A45" s="6" t="s">
        <v>838</v>
      </c>
      <c r="B45" s="6" t="s">
        <v>564</v>
      </c>
      <c r="C45" s="10">
        <v>46027.0</v>
      </c>
      <c r="D45" s="6" t="s">
        <v>391</v>
      </c>
      <c r="E45" s="6" t="s">
        <v>658</v>
      </c>
      <c r="F45" s="6" t="s">
        <v>439</v>
      </c>
      <c r="G45" s="6" t="s">
        <v>297</v>
      </c>
      <c r="H45" s="10">
        <v>46029.0</v>
      </c>
      <c r="I45" s="12">
        <v>7.0</v>
      </c>
      <c r="J45" s="6" t="s">
        <v>161</v>
      </c>
    </row>
    <row r="46" ht="22.5" customHeight="1">
      <c r="A46" s="6" t="s">
        <v>847</v>
      </c>
      <c r="B46" s="6" t="s">
        <v>564</v>
      </c>
      <c r="C46" s="10">
        <v>46040.0</v>
      </c>
      <c r="D46" s="6" t="s">
        <v>677</v>
      </c>
      <c r="E46" s="6" t="s">
        <v>394</v>
      </c>
      <c r="F46" s="6" t="s">
        <v>112</v>
      </c>
      <c r="G46" s="6" t="s">
        <v>494</v>
      </c>
      <c r="H46" s="10">
        <v>46044.0</v>
      </c>
      <c r="I46" s="12">
        <v>3.0</v>
      </c>
      <c r="J46" s="6" t="s">
        <v>161</v>
      </c>
    </row>
    <row r="47" ht="22.5" customHeight="1">
      <c r="A47" s="6" t="s">
        <v>858</v>
      </c>
      <c r="B47" s="6" t="s">
        <v>586</v>
      </c>
      <c r="C47" s="10">
        <v>46056.0</v>
      </c>
      <c r="D47" s="6" t="s">
        <v>242</v>
      </c>
      <c r="E47" s="6" t="s">
        <v>863</v>
      </c>
      <c r="F47" s="6" t="s">
        <v>283</v>
      </c>
      <c r="G47" s="6" t="s">
        <v>254</v>
      </c>
      <c r="H47" s="10">
        <v>46062.0</v>
      </c>
      <c r="I47" s="12">
        <v>6.0</v>
      </c>
      <c r="J47" s="6" t="s">
        <v>178</v>
      </c>
    </row>
    <row r="48" ht="22.5" customHeight="1">
      <c r="A48" s="6" t="s">
        <v>870</v>
      </c>
      <c r="B48" s="6" t="s">
        <v>586</v>
      </c>
      <c r="C48" s="10">
        <v>46047.0</v>
      </c>
      <c r="D48" s="6" t="s">
        <v>677</v>
      </c>
      <c r="E48" s="6" t="s">
        <v>704</v>
      </c>
      <c r="F48" s="6" t="s">
        <v>283</v>
      </c>
      <c r="G48" s="6" t="s">
        <v>494</v>
      </c>
      <c r="H48" s="10">
        <v>46047.0</v>
      </c>
      <c r="I48" s="12">
        <v>2.0</v>
      </c>
      <c r="J48" s="6" t="s">
        <v>161</v>
      </c>
    </row>
    <row r="49" ht="22.5" customHeight="1">
      <c r="A49" s="6" t="s">
        <v>879</v>
      </c>
      <c r="B49" s="6" t="s">
        <v>604</v>
      </c>
      <c r="C49" s="10">
        <v>46057.0</v>
      </c>
      <c r="D49" s="6" t="s">
        <v>242</v>
      </c>
      <c r="E49" s="6" t="s">
        <v>885</v>
      </c>
      <c r="F49" s="6" t="s">
        <v>249</v>
      </c>
      <c r="G49" s="6" t="s">
        <v>452</v>
      </c>
      <c r="H49" s="10">
        <v>46064.0</v>
      </c>
      <c r="I49" s="12">
        <v>5.0</v>
      </c>
      <c r="J49" s="6" t="s">
        <v>178</v>
      </c>
    </row>
    <row r="50" ht="22.5" customHeight="1">
      <c r="A50" s="6" t="s">
        <v>891</v>
      </c>
      <c r="B50" s="6" t="s">
        <v>604</v>
      </c>
      <c r="C50" s="10">
        <v>46049.0</v>
      </c>
      <c r="D50" s="6" t="s">
        <v>289</v>
      </c>
      <c r="E50" s="6" t="s">
        <v>896</v>
      </c>
      <c r="F50" s="6" t="s">
        <v>249</v>
      </c>
      <c r="G50" s="6" t="s">
        <v>452</v>
      </c>
      <c r="H50" s="10">
        <v>46053.0</v>
      </c>
      <c r="I50" s="12">
        <v>5.0</v>
      </c>
      <c r="J50" s="6" t="s">
        <v>161</v>
      </c>
    </row>
    <row r="51" ht="22.5" customHeight="1">
      <c r="A51" s="6" t="s">
        <v>902</v>
      </c>
      <c r="B51" s="6" t="s">
        <v>604</v>
      </c>
      <c r="C51" s="10">
        <v>46058.0</v>
      </c>
      <c r="D51" s="6" t="s">
        <v>436</v>
      </c>
      <c r="E51" s="6" t="s">
        <v>438</v>
      </c>
      <c r="F51" s="6" t="s">
        <v>439</v>
      </c>
      <c r="G51" s="6" t="s">
        <v>297</v>
      </c>
      <c r="H51" s="10">
        <v>46059.0</v>
      </c>
      <c r="I51" s="12">
        <v>9.0</v>
      </c>
      <c r="J51" s="6" t="s">
        <v>178</v>
      </c>
    </row>
    <row r="52" ht="22.5" customHeight="1">
      <c r="A52" s="6" t="s">
        <v>908</v>
      </c>
      <c r="B52" s="6" t="s">
        <v>604</v>
      </c>
      <c r="C52" s="10">
        <v>46042.0</v>
      </c>
      <c r="D52" s="6" t="s">
        <v>312</v>
      </c>
      <c r="E52" s="6" t="s">
        <v>610</v>
      </c>
      <c r="F52" s="6" t="s">
        <v>112</v>
      </c>
      <c r="G52" s="6" t="s">
        <v>326</v>
      </c>
      <c r="H52" s="11" t="s">
        <v>259</v>
      </c>
      <c r="I52" s="12">
        <v>7.0</v>
      </c>
      <c r="J52" s="6" t="s">
        <v>161</v>
      </c>
    </row>
    <row r="53" ht="22.5" customHeight="1">
      <c r="A53" s="6" t="s">
        <v>921</v>
      </c>
      <c r="B53" s="6" t="s">
        <v>614</v>
      </c>
      <c r="C53" s="10">
        <v>46056.0</v>
      </c>
      <c r="D53" s="6" t="s">
        <v>289</v>
      </c>
      <c r="E53" s="6" t="s">
        <v>438</v>
      </c>
      <c r="F53" s="6" t="s">
        <v>439</v>
      </c>
      <c r="G53" s="6" t="s">
        <v>297</v>
      </c>
      <c r="H53" s="10">
        <v>46060.0</v>
      </c>
      <c r="I53" s="12">
        <v>10.0</v>
      </c>
      <c r="J53" s="6" t="s">
        <v>161</v>
      </c>
    </row>
    <row r="54" ht="22.5" customHeight="1">
      <c r="A54" s="6" t="s">
        <v>932</v>
      </c>
      <c r="B54" s="6" t="s">
        <v>626</v>
      </c>
      <c r="C54" s="10">
        <v>46037.0</v>
      </c>
      <c r="D54" s="6" t="s">
        <v>242</v>
      </c>
      <c r="E54" s="6" t="s">
        <v>716</v>
      </c>
      <c r="F54" s="6" t="s">
        <v>439</v>
      </c>
      <c r="G54" s="6" t="s">
        <v>326</v>
      </c>
      <c r="H54" s="10">
        <v>46042.0</v>
      </c>
      <c r="I54" s="12">
        <v>5.0</v>
      </c>
      <c r="J54" s="6" t="s">
        <v>178</v>
      </c>
    </row>
    <row r="55" ht="22.5" customHeight="1">
      <c r="A55" s="6" t="s">
        <v>943</v>
      </c>
      <c r="B55" s="6" t="s">
        <v>626</v>
      </c>
      <c r="C55" s="10">
        <v>46041.0</v>
      </c>
      <c r="D55" s="6" t="s">
        <v>242</v>
      </c>
      <c r="E55" s="6" t="s">
        <v>798</v>
      </c>
      <c r="F55" s="6" t="s">
        <v>112</v>
      </c>
      <c r="G55" s="6" t="s">
        <v>254</v>
      </c>
      <c r="H55" s="10">
        <v>46043.0</v>
      </c>
      <c r="I55" s="12">
        <v>5.0</v>
      </c>
      <c r="J55" s="6" t="s">
        <v>178</v>
      </c>
    </row>
    <row r="56" ht="22.5" customHeight="1">
      <c r="A56" s="6" t="s">
        <v>951</v>
      </c>
      <c r="B56" s="6" t="s">
        <v>635</v>
      </c>
      <c r="C56" s="10">
        <v>46064.0</v>
      </c>
      <c r="D56" s="6" t="s">
        <v>677</v>
      </c>
      <c r="E56" s="6" t="s">
        <v>955</v>
      </c>
      <c r="F56" s="6" t="s">
        <v>112</v>
      </c>
      <c r="G56" s="6" t="s">
        <v>369</v>
      </c>
      <c r="H56" s="10">
        <v>46064.0</v>
      </c>
      <c r="I56" s="12">
        <v>2.0</v>
      </c>
      <c r="J56" s="6" t="s">
        <v>161</v>
      </c>
    </row>
    <row r="57" ht="22.5" customHeight="1">
      <c r="A57" s="6" t="s">
        <v>963</v>
      </c>
      <c r="B57" s="6" t="s">
        <v>645</v>
      </c>
      <c r="C57" s="10">
        <v>46078.0</v>
      </c>
      <c r="D57" s="6" t="s">
        <v>289</v>
      </c>
      <c r="E57" s="6" t="s">
        <v>670</v>
      </c>
      <c r="F57" s="6" t="s">
        <v>283</v>
      </c>
      <c r="G57" s="6" t="s">
        <v>297</v>
      </c>
      <c r="H57" s="10">
        <v>46085.0</v>
      </c>
      <c r="I57" s="12">
        <v>5.0</v>
      </c>
      <c r="J57" s="6" t="s">
        <v>161</v>
      </c>
    </row>
    <row r="58" ht="22.5" customHeight="1">
      <c r="A58" s="6" t="s">
        <v>971</v>
      </c>
      <c r="B58" s="6" t="s">
        <v>645</v>
      </c>
      <c r="C58" s="10">
        <v>46080.0</v>
      </c>
      <c r="D58" s="6" t="s">
        <v>436</v>
      </c>
      <c r="E58" s="6" t="s">
        <v>955</v>
      </c>
      <c r="F58" s="6" t="s">
        <v>283</v>
      </c>
      <c r="G58" s="6" t="s">
        <v>297</v>
      </c>
      <c r="H58" s="10">
        <v>46080.0</v>
      </c>
      <c r="I58" s="12">
        <v>7.0</v>
      </c>
      <c r="J58" s="6" t="s">
        <v>161</v>
      </c>
    </row>
    <row r="59" ht="22.5" customHeight="1">
      <c r="A59" s="6" t="s">
        <v>984</v>
      </c>
      <c r="B59" s="6" t="s">
        <v>660</v>
      </c>
      <c r="C59" s="10">
        <v>46058.0</v>
      </c>
      <c r="D59" s="6" t="s">
        <v>289</v>
      </c>
      <c r="E59" s="6" t="s">
        <v>775</v>
      </c>
      <c r="F59" s="6" t="s">
        <v>439</v>
      </c>
      <c r="G59" s="6" t="s">
        <v>297</v>
      </c>
      <c r="H59" s="10">
        <v>46064.0</v>
      </c>
      <c r="I59" s="12">
        <v>7.0</v>
      </c>
      <c r="J59" s="6" t="s">
        <v>161</v>
      </c>
    </row>
    <row r="60" ht="22.5" customHeight="1">
      <c r="A60" s="6" t="s">
        <v>1001</v>
      </c>
      <c r="B60" s="6" t="s">
        <v>660</v>
      </c>
      <c r="C60" s="10">
        <v>46053.0</v>
      </c>
      <c r="D60" s="6" t="s">
        <v>312</v>
      </c>
      <c r="E60" s="6" t="s">
        <v>246</v>
      </c>
      <c r="F60" s="6" t="s">
        <v>283</v>
      </c>
      <c r="G60" s="6" t="s">
        <v>254</v>
      </c>
      <c r="H60" s="10">
        <v>46060.0</v>
      </c>
      <c r="I60" s="12">
        <v>4.0</v>
      </c>
      <c r="J60" s="6" t="s">
        <v>161</v>
      </c>
    </row>
    <row r="61" ht="22.5" customHeight="1">
      <c r="A61" s="6" t="s">
        <v>1018</v>
      </c>
      <c r="B61" s="6" t="s">
        <v>660</v>
      </c>
      <c r="C61" s="10">
        <v>46065.0</v>
      </c>
      <c r="D61" s="6" t="s">
        <v>436</v>
      </c>
      <c r="E61" s="6" t="s">
        <v>628</v>
      </c>
      <c r="F61" s="6" t="s">
        <v>439</v>
      </c>
      <c r="G61" s="6" t="s">
        <v>326</v>
      </c>
      <c r="H61" s="10">
        <v>46071.0</v>
      </c>
      <c r="I61" s="12">
        <v>11.0</v>
      </c>
      <c r="J61" s="6" t="s">
        <v>161</v>
      </c>
    </row>
    <row r="62" ht="22.5" customHeight="1">
      <c r="A62" s="6" t="s">
        <v>1029</v>
      </c>
      <c r="B62" s="6" t="s">
        <v>672</v>
      </c>
      <c r="C62" s="10">
        <v>46070.0</v>
      </c>
      <c r="D62" s="6" t="s">
        <v>416</v>
      </c>
      <c r="E62" s="6" t="s">
        <v>1035</v>
      </c>
      <c r="F62" s="6" t="s">
        <v>249</v>
      </c>
      <c r="G62" s="6" t="s">
        <v>297</v>
      </c>
      <c r="H62" s="10">
        <v>46077.0</v>
      </c>
      <c r="I62" s="12">
        <v>8.0</v>
      </c>
      <c r="J62" s="6" t="s">
        <v>161</v>
      </c>
    </row>
    <row r="63" ht="22.5" customHeight="1">
      <c r="A63" s="6" t="s">
        <v>1040</v>
      </c>
      <c r="B63" s="6" t="s">
        <v>672</v>
      </c>
      <c r="C63" s="10">
        <v>46056.0</v>
      </c>
      <c r="D63" s="6" t="s">
        <v>289</v>
      </c>
      <c r="E63" s="6" t="s">
        <v>618</v>
      </c>
      <c r="F63" s="6" t="s">
        <v>283</v>
      </c>
      <c r="G63" s="6" t="s">
        <v>494</v>
      </c>
      <c r="H63" s="11" t="s">
        <v>259</v>
      </c>
      <c r="I63" s="12">
        <v>8.0</v>
      </c>
      <c r="J63" s="6" t="s">
        <v>161</v>
      </c>
    </row>
    <row r="64" ht="22.5" customHeight="1">
      <c r="A64" s="6" t="s">
        <v>1051</v>
      </c>
      <c r="B64" s="6" t="s">
        <v>672</v>
      </c>
      <c r="C64" s="10">
        <v>46062.0</v>
      </c>
      <c r="D64" s="6" t="s">
        <v>242</v>
      </c>
      <c r="E64" s="6" t="s">
        <v>1055</v>
      </c>
      <c r="F64" s="6" t="s">
        <v>439</v>
      </c>
      <c r="G64" s="6" t="s">
        <v>452</v>
      </c>
      <c r="H64" s="10">
        <v>46069.0</v>
      </c>
      <c r="I64" s="12">
        <v>5.0</v>
      </c>
      <c r="J64" s="6" t="s">
        <v>178</v>
      </c>
    </row>
    <row r="65" ht="22.5" customHeight="1">
      <c r="A65" s="6" t="s">
        <v>1060</v>
      </c>
      <c r="B65" s="6" t="s">
        <v>672</v>
      </c>
      <c r="C65" s="10">
        <v>46069.0</v>
      </c>
      <c r="D65" s="6" t="s">
        <v>312</v>
      </c>
      <c r="E65" s="6" t="s">
        <v>896</v>
      </c>
      <c r="F65" s="6" t="s">
        <v>283</v>
      </c>
      <c r="G65" s="6" t="s">
        <v>477</v>
      </c>
      <c r="H65" s="10">
        <v>46076.0</v>
      </c>
      <c r="I65" s="12">
        <v>4.0</v>
      </c>
      <c r="J65" s="6" t="s">
        <v>161</v>
      </c>
    </row>
    <row r="66" ht="22.5" customHeight="1">
      <c r="A66" s="6" t="s">
        <v>1068</v>
      </c>
      <c r="B66" s="6" t="s">
        <v>672</v>
      </c>
      <c r="C66" s="10">
        <v>46054.0</v>
      </c>
      <c r="D66" s="6" t="s">
        <v>391</v>
      </c>
      <c r="E66" s="6" t="s">
        <v>1070</v>
      </c>
      <c r="F66" s="6" t="s">
        <v>283</v>
      </c>
      <c r="G66" s="6" t="s">
        <v>458</v>
      </c>
      <c r="H66" s="10">
        <v>46056.0</v>
      </c>
      <c r="I66" s="12">
        <v>7.0</v>
      </c>
      <c r="J66" s="6" t="s">
        <v>161</v>
      </c>
    </row>
    <row r="67" ht="22.5" customHeight="1">
      <c r="A67" s="6" t="s">
        <v>1076</v>
      </c>
      <c r="B67" s="6" t="s">
        <v>682</v>
      </c>
      <c r="C67" s="10">
        <v>46074.0</v>
      </c>
      <c r="D67" s="6" t="s">
        <v>242</v>
      </c>
      <c r="E67" s="6" t="s">
        <v>1070</v>
      </c>
      <c r="F67" s="6" t="s">
        <v>112</v>
      </c>
      <c r="G67" s="6" t="s">
        <v>494</v>
      </c>
      <c r="H67" s="11" t="s">
        <v>259</v>
      </c>
      <c r="I67" s="12">
        <v>4.0</v>
      </c>
      <c r="J67" s="6" t="s">
        <v>161</v>
      </c>
    </row>
    <row r="68" ht="22.5" customHeight="1">
      <c r="A68" s="6" t="s">
        <v>1084</v>
      </c>
      <c r="B68" s="6" t="s">
        <v>682</v>
      </c>
      <c r="C68" s="10">
        <v>46080.0</v>
      </c>
      <c r="D68" s="6" t="s">
        <v>289</v>
      </c>
      <c r="E68" s="6" t="s">
        <v>438</v>
      </c>
      <c r="F68" s="6" t="s">
        <v>112</v>
      </c>
      <c r="G68" s="6" t="s">
        <v>369</v>
      </c>
      <c r="H68" s="10">
        <v>46086.0</v>
      </c>
      <c r="I68" s="12">
        <v>8.0</v>
      </c>
      <c r="J68" s="6" t="s">
        <v>161</v>
      </c>
    </row>
    <row r="69" ht="22.5" customHeight="1">
      <c r="A69" s="6" t="s">
        <v>1092</v>
      </c>
      <c r="B69" s="6" t="s">
        <v>682</v>
      </c>
      <c r="C69" s="10">
        <v>46076.0</v>
      </c>
      <c r="D69" s="6" t="s">
        <v>677</v>
      </c>
      <c r="E69" s="6" t="s">
        <v>1070</v>
      </c>
      <c r="F69" s="6" t="s">
        <v>249</v>
      </c>
      <c r="G69" s="6" t="s">
        <v>297</v>
      </c>
      <c r="H69" s="10">
        <v>46078.0</v>
      </c>
      <c r="I69" s="12">
        <v>4.0</v>
      </c>
      <c r="J69" s="6" t="s">
        <v>161</v>
      </c>
    </row>
    <row r="70" ht="22.5" customHeight="1">
      <c r="A70" s="6" t="s">
        <v>1098</v>
      </c>
      <c r="B70" s="6" t="s">
        <v>682</v>
      </c>
      <c r="C70" s="10">
        <v>46083.0</v>
      </c>
      <c r="D70" s="6" t="s">
        <v>391</v>
      </c>
      <c r="E70" s="6" t="s">
        <v>1102</v>
      </c>
      <c r="F70" s="6" t="s">
        <v>283</v>
      </c>
      <c r="G70" s="6" t="s">
        <v>458</v>
      </c>
      <c r="H70" s="11" t="s">
        <v>259</v>
      </c>
      <c r="I70" s="12">
        <v>8.0</v>
      </c>
      <c r="J70" s="6" t="s">
        <v>161</v>
      </c>
    </row>
    <row r="71" ht="22.5" customHeight="1">
      <c r="A71" s="6" t="s">
        <v>1107</v>
      </c>
      <c r="B71" s="6" t="s">
        <v>694</v>
      </c>
      <c r="C71" s="10">
        <v>46051.0</v>
      </c>
      <c r="D71" s="6" t="s">
        <v>677</v>
      </c>
      <c r="E71" s="6" t="s">
        <v>716</v>
      </c>
      <c r="F71" s="6" t="s">
        <v>249</v>
      </c>
      <c r="G71" s="6" t="s">
        <v>452</v>
      </c>
      <c r="H71" s="11" t="s">
        <v>259</v>
      </c>
      <c r="I71" s="12">
        <v>2.0</v>
      </c>
      <c r="J71" s="6" t="s">
        <v>161</v>
      </c>
    </row>
    <row r="72" ht="22.5" customHeight="1">
      <c r="A72" s="6" t="s">
        <v>1118</v>
      </c>
      <c r="B72" s="6" t="s">
        <v>694</v>
      </c>
      <c r="C72" s="10">
        <v>46037.0</v>
      </c>
      <c r="D72" s="6" t="s">
        <v>289</v>
      </c>
      <c r="E72" s="6" t="s">
        <v>1122</v>
      </c>
      <c r="F72" s="6" t="s">
        <v>439</v>
      </c>
      <c r="G72" s="6" t="s">
        <v>477</v>
      </c>
      <c r="H72" s="11" t="s">
        <v>259</v>
      </c>
      <c r="I72" s="12">
        <v>10.0</v>
      </c>
      <c r="J72" s="6" t="s">
        <v>161</v>
      </c>
    </row>
    <row r="73" ht="22.5" customHeight="1">
      <c r="A73" s="6" t="s">
        <v>1125</v>
      </c>
      <c r="B73" s="6" t="s">
        <v>694</v>
      </c>
      <c r="C73" s="10">
        <v>46034.0</v>
      </c>
      <c r="D73" s="6" t="s">
        <v>416</v>
      </c>
      <c r="E73" s="6" t="s">
        <v>885</v>
      </c>
      <c r="F73" s="6" t="s">
        <v>112</v>
      </c>
      <c r="G73" s="6" t="s">
        <v>452</v>
      </c>
      <c r="H73" s="10">
        <v>46038.0</v>
      </c>
      <c r="I73" s="12">
        <v>13.0</v>
      </c>
      <c r="J73" s="6" t="s">
        <v>161</v>
      </c>
    </row>
    <row r="74" ht="22.5" customHeight="1">
      <c r="A74" s="6" t="s">
        <v>1136</v>
      </c>
      <c r="B74" s="6" t="s">
        <v>694</v>
      </c>
      <c r="C74" s="10">
        <v>46041.0</v>
      </c>
      <c r="D74" s="6" t="s">
        <v>289</v>
      </c>
      <c r="E74" s="6" t="s">
        <v>566</v>
      </c>
      <c r="F74" s="6" t="s">
        <v>439</v>
      </c>
      <c r="G74" s="6" t="s">
        <v>477</v>
      </c>
      <c r="H74" s="10">
        <v>46048.0</v>
      </c>
      <c r="I74" s="12">
        <v>7.0</v>
      </c>
      <c r="J74" s="6" t="s">
        <v>161</v>
      </c>
    </row>
    <row r="75" ht="22.5" customHeight="1">
      <c r="A75" s="6" t="s">
        <v>1148</v>
      </c>
      <c r="B75" s="6" t="s">
        <v>705</v>
      </c>
      <c r="C75" s="10">
        <v>46077.0</v>
      </c>
      <c r="D75" s="6" t="s">
        <v>242</v>
      </c>
      <c r="E75" s="6" t="s">
        <v>1149</v>
      </c>
      <c r="F75" s="6" t="s">
        <v>439</v>
      </c>
      <c r="G75" s="6" t="s">
        <v>452</v>
      </c>
      <c r="H75" s="10">
        <v>46078.0</v>
      </c>
      <c r="I75" s="12">
        <v>3.0</v>
      </c>
      <c r="J75" s="6" t="s">
        <v>161</v>
      </c>
    </row>
    <row r="76" ht="22.5" customHeight="1">
      <c r="A76" s="6" t="s">
        <v>1159</v>
      </c>
      <c r="B76" s="6" t="s">
        <v>705</v>
      </c>
      <c r="C76" s="10">
        <v>46078.0</v>
      </c>
      <c r="D76" s="6" t="s">
        <v>677</v>
      </c>
      <c r="E76" s="6" t="s">
        <v>246</v>
      </c>
      <c r="F76" s="6" t="s">
        <v>249</v>
      </c>
      <c r="G76" s="6" t="s">
        <v>494</v>
      </c>
      <c r="H76" s="11" t="s">
        <v>259</v>
      </c>
      <c r="I76" s="12">
        <v>3.0</v>
      </c>
      <c r="J76" s="6" t="s">
        <v>161</v>
      </c>
    </row>
    <row r="77" ht="22.5" customHeight="1">
      <c r="A77" s="6" t="s">
        <v>1168</v>
      </c>
      <c r="B77" s="6" t="s">
        <v>717</v>
      </c>
      <c r="C77" s="10">
        <v>46054.0</v>
      </c>
      <c r="D77" s="6" t="s">
        <v>391</v>
      </c>
      <c r="E77" s="6" t="s">
        <v>320</v>
      </c>
      <c r="F77" s="6" t="s">
        <v>249</v>
      </c>
      <c r="G77" s="6" t="s">
        <v>494</v>
      </c>
      <c r="H77" s="10">
        <v>46055.0</v>
      </c>
      <c r="I77" s="12">
        <v>8.0</v>
      </c>
      <c r="J77" s="6" t="s">
        <v>161</v>
      </c>
    </row>
    <row r="78" ht="22.5" customHeight="1">
      <c r="A78" s="6" t="s">
        <v>1178</v>
      </c>
      <c r="B78" s="6" t="s">
        <v>717</v>
      </c>
      <c r="C78" s="10">
        <v>46050.0</v>
      </c>
      <c r="D78" s="6" t="s">
        <v>289</v>
      </c>
      <c r="E78" s="6" t="s">
        <v>738</v>
      </c>
      <c r="F78" s="6" t="s">
        <v>112</v>
      </c>
      <c r="G78" s="6" t="s">
        <v>452</v>
      </c>
      <c r="H78" s="10">
        <v>46057.0</v>
      </c>
      <c r="I78" s="12">
        <v>8.0</v>
      </c>
      <c r="J78" s="6" t="s">
        <v>161</v>
      </c>
    </row>
    <row r="79" ht="22.5" customHeight="1">
      <c r="A79" s="6" t="s">
        <v>1198</v>
      </c>
      <c r="B79" s="6" t="s">
        <v>727</v>
      </c>
      <c r="C79" s="10">
        <v>46060.0</v>
      </c>
      <c r="D79" s="6" t="s">
        <v>677</v>
      </c>
      <c r="E79" s="6" t="s">
        <v>833</v>
      </c>
      <c r="F79" s="6" t="s">
        <v>283</v>
      </c>
      <c r="G79" s="6" t="s">
        <v>326</v>
      </c>
      <c r="H79" s="10">
        <v>46060.0</v>
      </c>
      <c r="I79" s="12">
        <v>3.0</v>
      </c>
      <c r="J79" s="6" t="s">
        <v>161</v>
      </c>
    </row>
    <row r="80" ht="22.5" customHeight="1">
      <c r="A80" s="6" t="s">
        <v>1211</v>
      </c>
      <c r="B80" s="6" t="s">
        <v>727</v>
      </c>
      <c r="C80" s="10">
        <v>46059.0</v>
      </c>
      <c r="D80" s="6" t="s">
        <v>436</v>
      </c>
      <c r="E80" s="6" t="s">
        <v>731</v>
      </c>
      <c r="F80" s="6" t="s">
        <v>112</v>
      </c>
      <c r="G80" s="6" t="s">
        <v>452</v>
      </c>
      <c r="H80" s="11" t="s">
        <v>259</v>
      </c>
      <c r="I80" s="12">
        <v>6.0</v>
      </c>
      <c r="J80" s="6" t="s">
        <v>178</v>
      </c>
    </row>
    <row r="81" ht="22.5" customHeight="1">
      <c r="A81" s="6" t="s">
        <v>1217</v>
      </c>
      <c r="B81" s="6" t="s">
        <v>727</v>
      </c>
      <c r="C81" s="10">
        <v>46064.0</v>
      </c>
      <c r="D81" s="6" t="s">
        <v>289</v>
      </c>
      <c r="E81" s="6" t="s">
        <v>704</v>
      </c>
      <c r="F81" s="6" t="s">
        <v>439</v>
      </c>
      <c r="G81" s="6" t="s">
        <v>297</v>
      </c>
      <c r="H81" s="10">
        <v>46065.0</v>
      </c>
      <c r="I81" s="12">
        <v>9.0</v>
      </c>
      <c r="J81" s="6" t="s">
        <v>161</v>
      </c>
    </row>
    <row r="82" ht="22.5" customHeight="1">
      <c r="A82" s="6" t="s">
        <v>1226</v>
      </c>
      <c r="B82" s="6" t="s">
        <v>737</v>
      </c>
      <c r="C82" s="10">
        <v>46043.0</v>
      </c>
      <c r="D82" s="6" t="s">
        <v>677</v>
      </c>
      <c r="E82" s="6" t="s">
        <v>618</v>
      </c>
      <c r="F82" s="6" t="s">
        <v>439</v>
      </c>
      <c r="G82" s="6" t="s">
        <v>369</v>
      </c>
      <c r="H82" s="11" t="s">
        <v>259</v>
      </c>
      <c r="I82" s="12">
        <v>2.0</v>
      </c>
      <c r="J82" s="6" t="s">
        <v>161</v>
      </c>
    </row>
    <row r="83" ht="22.5" customHeight="1">
      <c r="A83" s="6" t="s">
        <v>1233</v>
      </c>
      <c r="B83" s="6" t="s">
        <v>737</v>
      </c>
      <c r="C83" s="10">
        <v>46039.0</v>
      </c>
      <c r="D83" s="6" t="s">
        <v>677</v>
      </c>
      <c r="E83" s="6" t="s">
        <v>1241</v>
      </c>
      <c r="F83" s="6" t="s">
        <v>112</v>
      </c>
      <c r="G83" s="6" t="s">
        <v>326</v>
      </c>
      <c r="H83" s="10">
        <v>46046.0</v>
      </c>
      <c r="I83" s="12">
        <v>3.0</v>
      </c>
      <c r="J83" s="6" t="s">
        <v>161</v>
      </c>
    </row>
    <row r="84" ht="22.5" customHeight="1">
      <c r="A84" s="6" t="s">
        <v>1242</v>
      </c>
      <c r="B84" s="6" t="s">
        <v>737</v>
      </c>
      <c r="C84" s="10">
        <v>46051.0</v>
      </c>
      <c r="D84" s="6" t="s">
        <v>391</v>
      </c>
      <c r="E84" s="6" t="s">
        <v>695</v>
      </c>
      <c r="F84" s="6" t="s">
        <v>283</v>
      </c>
      <c r="G84" s="6" t="s">
        <v>477</v>
      </c>
      <c r="H84" s="10">
        <v>46051.0</v>
      </c>
      <c r="I84" s="12">
        <v>10.0</v>
      </c>
      <c r="J84" s="6" t="s">
        <v>161</v>
      </c>
    </row>
    <row r="85" ht="22.5" customHeight="1">
      <c r="A85" s="6" t="s">
        <v>1248</v>
      </c>
      <c r="B85" s="6" t="s">
        <v>745</v>
      </c>
      <c r="C85" s="10">
        <v>46061.0</v>
      </c>
      <c r="D85" s="6" t="s">
        <v>436</v>
      </c>
      <c r="E85" s="6" t="s">
        <v>1149</v>
      </c>
      <c r="F85" s="6" t="s">
        <v>439</v>
      </c>
      <c r="G85" s="6" t="s">
        <v>452</v>
      </c>
      <c r="H85" s="10">
        <v>46064.0</v>
      </c>
      <c r="I85" s="12">
        <v>12.0</v>
      </c>
      <c r="J85" s="6" t="s">
        <v>161</v>
      </c>
    </row>
    <row r="86" ht="22.5" customHeight="1">
      <c r="A86" s="6" t="s">
        <v>1266</v>
      </c>
      <c r="B86" s="6" t="s">
        <v>745</v>
      </c>
      <c r="C86" s="10">
        <v>46062.0</v>
      </c>
      <c r="D86" s="6" t="s">
        <v>391</v>
      </c>
      <c r="E86" s="6" t="s">
        <v>1055</v>
      </c>
      <c r="F86" s="6" t="s">
        <v>112</v>
      </c>
      <c r="G86" s="6" t="s">
        <v>326</v>
      </c>
      <c r="H86" s="10">
        <v>46066.0</v>
      </c>
      <c r="I86" s="12">
        <v>7.0</v>
      </c>
      <c r="J86" s="6" t="s">
        <v>161</v>
      </c>
    </row>
    <row r="87" ht="22.5" customHeight="1">
      <c r="A87" s="6" t="s">
        <v>1271</v>
      </c>
      <c r="B87" s="6" t="s">
        <v>756</v>
      </c>
      <c r="C87" s="10">
        <v>46049.0</v>
      </c>
      <c r="D87" s="6" t="s">
        <v>677</v>
      </c>
      <c r="E87" s="6" t="s">
        <v>1273</v>
      </c>
      <c r="F87" s="6" t="s">
        <v>439</v>
      </c>
      <c r="G87" s="6" t="s">
        <v>458</v>
      </c>
      <c r="H87" s="10">
        <v>46055.0</v>
      </c>
      <c r="I87" s="12">
        <v>2.0</v>
      </c>
      <c r="J87" s="6" t="s">
        <v>161</v>
      </c>
    </row>
    <row r="88" ht="22.5" customHeight="1">
      <c r="A88" s="6" t="s">
        <v>1278</v>
      </c>
      <c r="B88" s="6" t="s">
        <v>776</v>
      </c>
      <c r="C88" s="10">
        <v>46067.0</v>
      </c>
      <c r="D88" s="6" t="s">
        <v>242</v>
      </c>
      <c r="E88" s="6" t="s">
        <v>1280</v>
      </c>
      <c r="F88" s="6" t="s">
        <v>249</v>
      </c>
      <c r="G88" s="6" t="s">
        <v>326</v>
      </c>
      <c r="H88" s="10">
        <v>46068.0</v>
      </c>
      <c r="I88" s="12">
        <v>5.0</v>
      </c>
      <c r="J88" s="6" t="s">
        <v>178</v>
      </c>
    </row>
    <row r="89" ht="22.5" customHeight="1">
      <c r="A89" s="6" t="s">
        <v>1287</v>
      </c>
      <c r="B89" s="6" t="s">
        <v>776</v>
      </c>
      <c r="C89" s="10">
        <v>46075.0</v>
      </c>
      <c r="D89" s="6" t="s">
        <v>436</v>
      </c>
      <c r="E89" s="6" t="s">
        <v>1102</v>
      </c>
      <c r="F89" s="6" t="s">
        <v>249</v>
      </c>
      <c r="G89" s="6" t="s">
        <v>326</v>
      </c>
      <c r="H89" s="10">
        <v>46075.0</v>
      </c>
      <c r="I89" s="12">
        <v>9.0</v>
      </c>
      <c r="J89" s="6" t="s">
        <v>161</v>
      </c>
    </row>
    <row r="90" ht="22.5" customHeight="1">
      <c r="A90" s="6" t="s">
        <v>1293</v>
      </c>
      <c r="B90" s="6" t="s">
        <v>776</v>
      </c>
      <c r="C90" s="10">
        <v>46075.0</v>
      </c>
      <c r="D90" s="6" t="s">
        <v>391</v>
      </c>
      <c r="E90" s="6" t="s">
        <v>1296</v>
      </c>
      <c r="F90" s="6" t="s">
        <v>283</v>
      </c>
      <c r="G90" s="6" t="s">
        <v>458</v>
      </c>
      <c r="H90" s="10">
        <v>46076.0</v>
      </c>
      <c r="I90" s="12">
        <v>9.0</v>
      </c>
      <c r="J90" s="6" t="s">
        <v>161</v>
      </c>
    </row>
    <row r="91" ht="22.5" customHeight="1">
      <c r="A91" s="6" t="s">
        <v>1302</v>
      </c>
      <c r="B91" s="6" t="s">
        <v>776</v>
      </c>
      <c r="C91" s="10">
        <v>46070.0</v>
      </c>
      <c r="D91" s="6" t="s">
        <v>391</v>
      </c>
      <c r="E91" s="6" t="s">
        <v>1070</v>
      </c>
      <c r="F91" s="6" t="s">
        <v>112</v>
      </c>
      <c r="G91" s="6" t="s">
        <v>326</v>
      </c>
      <c r="H91" s="10">
        <v>46074.0</v>
      </c>
      <c r="I91" s="12">
        <v>9.0</v>
      </c>
      <c r="J91" s="6" t="s">
        <v>161</v>
      </c>
    </row>
    <row r="92" ht="22.5" customHeight="1">
      <c r="A92" s="6" t="s">
        <v>1309</v>
      </c>
      <c r="B92" s="6" t="s">
        <v>790</v>
      </c>
      <c r="C92" s="10">
        <v>46061.0</v>
      </c>
      <c r="D92" s="6" t="s">
        <v>391</v>
      </c>
      <c r="E92" s="6" t="s">
        <v>1310</v>
      </c>
      <c r="F92" s="6" t="s">
        <v>283</v>
      </c>
      <c r="G92" s="6" t="s">
        <v>297</v>
      </c>
      <c r="H92" s="10">
        <v>46062.0</v>
      </c>
      <c r="I92" s="12">
        <v>11.0</v>
      </c>
      <c r="J92" s="6" t="s">
        <v>161</v>
      </c>
    </row>
    <row r="93" ht="22.5" customHeight="1">
      <c r="A93" s="6" t="s">
        <v>1314</v>
      </c>
      <c r="B93" s="6" t="s">
        <v>790</v>
      </c>
      <c r="C93" s="10">
        <v>46071.0</v>
      </c>
      <c r="D93" s="6" t="s">
        <v>677</v>
      </c>
      <c r="E93" s="6" t="s">
        <v>466</v>
      </c>
      <c r="F93" s="6" t="s">
        <v>112</v>
      </c>
      <c r="G93" s="6" t="s">
        <v>326</v>
      </c>
      <c r="H93" s="10">
        <v>46071.0</v>
      </c>
      <c r="I93" s="12">
        <v>4.0</v>
      </c>
      <c r="J93" s="6" t="s">
        <v>161</v>
      </c>
    </row>
    <row r="94" ht="22.5" customHeight="1">
      <c r="A94" s="6" t="s">
        <v>1324</v>
      </c>
      <c r="B94" s="6" t="s">
        <v>790</v>
      </c>
      <c r="C94" s="10">
        <v>46071.0</v>
      </c>
      <c r="D94" s="6" t="s">
        <v>436</v>
      </c>
      <c r="E94" s="6" t="s">
        <v>438</v>
      </c>
      <c r="F94" s="6" t="s">
        <v>439</v>
      </c>
      <c r="G94" s="6" t="s">
        <v>326</v>
      </c>
      <c r="H94" s="10">
        <v>46075.0</v>
      </c>
      <c r="I94" s="12">
        <v>8.0</v>
      </c>
      <c r="J94" s="6" t="s">
        <v>161</v>
      </c>
    </row>
    <row r="95" ht="22.5" customHeight="1">
      <c r="A95" s="6" t="s">
        <v>1333</v>
      </c>
      <c r="B95" s="6" t="s">
        <v>790</v>
      </c>
      <c r="C95" s="10">
        <v>46076.0</v>
      </c>
      <c r="D95" s="6" t="s">
        <v>391</v>
      </c>
      <c r="E95" s="6" t="s">
        <v>798</v>
      </c>
      <c r="F95" s="6" t="s">
        <v>112</v>
      </c>
      <c r="G95" s="6" t="s">
        <v>494</v>
      </c>
      <c r="H95" s="10">
        <v>46079.0</v>
      </c>
      <c r="I95" s="12">
        <v>7.0</v>
      </c>
      <c r="J95" s="6" t="s">
        <v>161</v>
      </c>
    </row>
    <row r="96" ht="22.5" customHeight="1">
      <c r="A96" s="6" t="s">
        <v>1339</v>
      </c>
      <c r="B96" s="6" t="s">
        <v>790</v>
      </c>
      <c r="C96" s="10">
        <v>46080.0</v>
      </c>
      <c r="D96" s="6" t="s">
        <v>312</v>
      </c>
      <c r="E96" s="6" t="s">
        <v>798</v>
      </c>
      <c r="F96" s="6" t="s">
        <v>112</v>
      </c>
      <c r="G96" s="6" t="s">
        <v>494</v>
      </c>
      <c r="H96" s="10">
        <v>46080.0</v>
      </c>
      <c r="I96" s="12">
        <v>5.0</v>
      </c>
      <c r="J96" s="6" t="s">
        <v>161</v>
      </c>
    </row>
    <row r="97" ht="22.5" customHeight="1">
      <c r="A97" s="6" t="s">
        <v>1344</v>
      </c>
      <c r="B97" s="6" t="s">
        <v>805</v>
      </c>
      <c r="C97" s="10">
        <v>46032.0</v>
      </c>
      <c r="D97" s="6" t="s">
        <v>677</v>
      </c>
      <c r="E97" s="6" t="s">
        <v>812</v>
      </c>
      <c r="F97" s="6" t="s">
        <v>112</v>
      </c>
      <c r="G97" s="6" t="s">
        <v>477</v>
      </c>
      <c r="H97" s="11" t="s">
        <v>259</v>
      </c>
      <c r="I97" s="12">
        <v>3.0</v>
      </c>
      <c r="J97" s="6" t="s">
        <v>161</v>
      </c>
    </row>
    <row r="98" ht="22.5" customHeight="1">
      <c r="A98" s="6" t="s">
        <v>1354</v>
      </c>
      <c r="B98" s="6" t="s">
        <v>805</v>
      </c>
      <c r="C98" s="10">
        <v>46038.0</v>
      </c>
      <c r="D98" s="6" t="s">
        <v>416</v>
      </c>
      <c r="E98" s="6" t="s">
        <v>1273</v>
      </c>
      <c r="F98" s="6" t="s">
        <v>249</v>
      </c>
      <c r="G98" s="6" t="s">
        <v>494</v>
      </c>
      <c r="H98" s="10">
        <v>46042.0</v>
      </c>
      <c r="I98" s="12">
        <v>8.0</v>
      </c>
      <c r="J98" s="6" t="s">
        <v>161</v>
      </c>
    </row>
    <row r="99" ht="22.5" customHeight="1">
      <c r="A99" s="6" t="s">
        <v>1359</v>
      </c>
      <c r="B99" s="6" t="s">
        <v>805</v>
      </c>
      <c r="C99" s="10">
        <v>46046.0</v>
      </c>
      <c r="D99" s="6" t="s">
        <v>312</v>
      </c>
      <c r="E99" s="6" t="s">
        <v>812</v>
      </c>
      <c r="F99" s="6" t="s">
        <v>283</v>
      </c>
      <c r="G99" s="6" t="s">
        <v>369</v>
      </c>
      <c r="H99" s="10">
        <v>46049.0</v>
      </c>
      <c r="I99" s="12">
        <v>5.0</v>
      </c>
      <c r="J99" s="6" t="s">
        <v>161</v>
      </c>
    </row>
    <row r="100" ht="22.5" customHeight="1">
      <c r="A100" s="6" t="s">
        <v>1364</v>
      </c>
      <c r="B100" s="6" t="s">
        <v>823</v>
      </c>
      <c r="C100" s="10">
        <v>46066.0</v>
      </c>
      <c r="D100" s="6" t="s">
        <v>677</v>
      </c>
      <c r="E100" s="6" t="s">
        <v>670</v>
      </c>
      <c r="F100" s="6" t="s">
        <v>249</v>
      </c>
      <c r="G100" s="6" t="s">
        <v>458</v>
      </c>
      <c r="H100" s="10">
        <v>46067.0</v>
      </c>
      <c r="I100" s="12">
        <v>3.0</v>
      </c>
      <c r="J100" s="6" t="s">
        <v>161</v>
      </c>
    </row>
    <row r="101" ht="22.5" customHeight="1">
      <c r="A101" s="6" t="s">
        <v>1370</v>
      </c>
      <c r="B101" s="6" t="s">
        <v>837</v>
      </c>
      <c r="C101" s="10">
        <v>46050.0</v>
      </c>
      <c r="D101" s="6" t="s">
        <v>289</v>
      </c>
      <c r="E101" s="6" t="s">
        <v>466</v>
      </c>
      <c r="F101" s="6" t="s">
        <v>283</v>
      </c>
      <c r="G101" s="6" t="s">
        <v>326</v>
      </c>
      <c r="H101" s="10">
        <v>46051.0</v>
      </c>
      <c r="I101" s="12">
        <v>8.0</v>
      </c>
      <c r="J101" s="6" t="s">
        <v>161</v>
      </c>
    </row>
    <row r="102" ht="22.5" customHeight="1">
      <c r="A102" s="6" t="s">
        <v>1374</v>
      </c>
      <c r="B102" s="6" t="s">
        <v>853</v>
      </c>
      <c r="C102" s="10">
        <v>46045.0</v>
      </c>
      <c r="D102" s="6" t="s">
        <v>242</v>
      </c>
      <c r="E102" s="6" t="s">
        <v>787</v>
      </c>
      <c r="F102" s="6" t="s">
        <v>249</v>
      </c>
      <c r="G102" s="6" t="s">
        <v>458</v>
      </c>
      <c r="H102" s="10">
        <v>46050.0</v>
      </c>
      <c r="I102" s="12">
        <v>3.0</v>
      </c>
      <c r="J102" s="6" t="s">
        <v>178</v>
      </c>
    </row>
    <row r="103" ht="22.5" customHeight="1">
      <c r="A103" s="6" t="s">
        <v>1380</v>
      </c>
      <c r="B103" s="6" t="s">
        <v>853</v>
      </c>
      <c r="C103" s="10">
        <v>46039.0</v>
      </c>
      <c r="D103" s="6" t="s">
        <v>436</v>
      </c>
      <c r="E103" s="6" t="s">
        <v>466</v>
      </c>
      <c r="F103" s="6" t="s">
        <v>112</v>
      </c>
      <c r="G103" s="6" t="s">
        <v>297</v>
      </c>
      <c r="H103" s="11" t="s">
        <v>259</v>
      </c>
      <c r="I103" s="12">
        <v>12.0</v>
      </c>
      <c r="J103" s="6" t="s">
        <v>161</v>
      </c>
    </row>
    <row r="104" ht="22.5" customHeight="1">
      <c r="A104" s="6" t="s">
        <v>1385</v>
      </c>
      <c r="B104" s="6" t="s">
        <v>868</v>
      </c>
      <c r="C104" s="10">
        <v>46033.0</v>
      </c>
      <c r="D104" s="6" t="s">
        <v>289</v>
      </c>
      <c r="E104" s="6" t="s">
        <v>1386</v>
      </c>
      <c r="F104" s="6" t="s">
        <v>283</v>
      </c>
      <c r="G104" s="6" t="s">
        <v>297</v>
      </c>
      <c r="H104" s="10">
        <v>46034.0</v>
      </c>
      <c r="I104" s="12">
        <v>5.0</v>
      </c>
      <c r="J104" s="6" t="s">
        <v>161</v>
      </c>
    </row>
    <row r="105" ht="22.5" customHeight="1">
      <c r="A105" s="6" t="s">
        <v>1389</v>
      </c>
      <c r="B105" s="6" t="s">
        <v>868</v>
      </c>
      <c r="C105" s="10">
        <v>46050.0</v>
      </c>
      <c r="D105" s="6" t="s">
        <v>416</v>
      </c>
      <c r="E105" s="6" t="s">
        <v>365</v>
      </c>
      <c r="F105" s="6" t="s">
        <v>283</v>
      </c>
      <c r="G105" s="6" t="s">
        <v>326</v>
      </c>
      <c r="H105" s="10">
        <v>46051.0</v>
      </c>
      <c r="I105" s="12">
        <v>14.0</v>
      </c>
      <c r="J105" s="6" t="s">
        <v>161</v>
      </c>
    </row>
    <row r="106" ht="22.5" customHeight="1">
      <c r="A106" s="6" t="s">
        <v>1393</v>
      </c>
      <c r="B106" s="6" t="s">
        <v>882</v>
      </c>
      <c r="C106" s="10">
        <v>46044.0</v>
      </c>
      <c r="D106" s="6" t="s">
        <v>391</v>
      </c>
      <c r="E106" s="6" t="s">
        <v>955</v>
      </c>
      <c r="F106" s="6" t="s">
        <v>249</v>
      </c>
      <c r="G106" s="6" t="s">
        <v>477</v>
      </c>
      <c r="H106" s="10">
        <v>46046.0</v>
      </c>
      <c r="I106" s="12">
        <v>9.0</v>
      </c>
      <c r="J106" s="6" t="s">
        <v>161</v>
      </c>
    </row>
    <row r="107" ht="22.5" customHeight="1">
      <c r="A107" s="6" t="s">
        <v>1400</v>
      </c>
      <c r="B107" s="6" t="s">
        <v>897</v>
      </c>
      <c r="C107" s="10">
        <v>46040.0</v>
      </c>
      <c r="D107" s="6" t="s">
        <v>312</v>
      </c>
      <c r="E107" s="6" t="s">
        <v>291</v>
      </c>
      <c r="F107" s="6" t="s">
        <v>439</v>
      </c>
      <c r="G107" s="6" t="s">
        <v>369</v>
      </c>
      <c r="H107" s="10">
        <v>46041.0</v>
      </c>
      <c r="I107" s="12">
        <v>6.0</v>
      </c>
      <c r="J107" s="6" t="s">
        <v>161</v>
      </c>
    </row>
    <row r="108" ht="22.5" customHeight="1">
      <c r="A108" s="6" t="s">
        <v>1405</v>
      </c>
      <c r="B108" s="6" t="s">
        <v>897</v>
      </c>
      <c r="C108" s="10">
        <v>46041.0</v>
      </c>
      <c r="D108" s="6" t="s">
        <v>436</v>
      </c>
      <c r="E108" s="6" t="s">
        <v>1310</v>
      </c>
      <c r="F108" s="6" t="s">
        <v>439</v>
      </c>
      <c r="G108" s="6" t="s">
        <v>477</v>
      </c>
      <c r="H108" s="10">
        <v>46043.0</v>
      </c>
      <c r="I108" s="12">
        <v>10.0</v>
      </c>
      <c r="J108" s="6" t="s">
        <v>178</v>
      </c>
    </row>
    <row r="109" ht="22.5" customHeight="1">
      <c r="A109" s="6" t="s">
        <v>1411</v>
      </c>
      <c r="B109" s="6" t="s">
        <v>897</v>
      </c>
      <c r="C109" s="10">
        <v>46048.0</v>
      </c>
      <c r="D109" s="6" t="s">
        <v>416</v>
      </c>
      <c r="E109" s="6" t="s">
        <v>438</v>
      </c>
      <c r="F109" s="6" t="s">
        <v>439</v>
      </c>
      <c r="G109" s="6" t="s">
        <v>369</v>
      </c>
      <c r="H109" s="10">
        <v>46049.0</v>
      </c>
      <c r="I109" s="12">
        <v>12.0</v>
      </c>
      <c r="J109" s="6" t="s">
        <v>161</v>
      </c>
    </row>
    <row r="110" ht="22.5" customHeight="1">
      <c r="A110" s="6" t="s">
        <v>1417</v>
      </c>
      <c r="B110" s="6" t="s">
        <v>909</v>
      </c>
      <c r="C110" s="10">
        <v>46050.0</v>
      </c>
      <c r="D110" s="6" t="s">
        <v>436</v>
      </c>
      <c r="E110" s="6" t="s">
        <v>291</v>
      </c>
      <c r="F110" s="6" t="s">
        <v>439</v>
      </c>
      <c r="G110" s="6" t="s">
        <v>494</v>
      </c>
      <c r="H110" s="10">
        <v>46055.0</v>
      </c>
      <c r="I110" s="12">
        <v>8.0</v>
      </c>
      <c r="J110" s="6" t="s">
        <v>178</v>
      </c>
    </row>
    <row r="111" ht="22.5" customHeight="1">
      <c r="A111" s="6" t="s">
        <v>1423</v>
      </c>
      <c r="B111" s="6" t="s">
        <v>923</v>
      </c>
      <c r="C111" s="10">
        <v>46044.0</v>
      </c>
      <c r="D111" s="6" t="s">
        <v>416</v>
      </c>
      <c r="E111" s="6" t="s">
        <v>1035</v>
      </c>
      <c r="F111" s="6" t="s">
        <v>249</v>
      </c>
      <c r="G111" s="6" t="s">
        <v>452</v>
      </c>
      <c r="H111" s="10">
        <v>46050.0</v>
      </c>
      <c r="I111" s="12">
        <v>8.0</v>
      </c>
      <c r="J111" s="6" t="s">
        <v>161</v>
      </c>
    </row>
    <row r="112" ht="22.5" customHeight="1">
      <c r="A112" s="6" t="s">
        <v>1429</v>
      </c>
      <c r="B112" s="6" t="s">
        <v>940</v>
      </c>
      <c r="C112" s="10">
        <v>46037.0</v>
      </c>
      <c r="D112" s="6" t="s">
        <v>416</v>
      </c>
      <c r="E112" s="6" t="s">
        <v>512</v>
      </c>
      <c r="F112" s="6" t="s">
        <v>249</v>
      </c>
      <c r="G112" s="6" t="s">
        <v>452</v>
      </c>
      <c r="H112" s="10">
        <v>46038.0</v>
      </c>
      <c r="I112" s="12">
        <v>8.0</v>
      </c>
      <c r="J112" s="6" t="s">
        <v>161</v>
      </c>
    </row>
    <row r="113" ht="22.5" customHeight="1">
      <c r="A113" s="6" t="s">
        <v>1439</v>
      </c>
      <c r="B113" s="6" t="s">
        <v>940</v>
      </c>
      <c r="C113" s="10">
        <v>46026.0</v>
      </c>
      <c r="D113" s="6" t="s">
        <v>289</v>
      </c>
      <c r="E113" s="6" t="s">
        <v>450</v>
      </c>
      <c r="F113" s="6" t="s">
        <v>283</v>
      </c>
      <c r="G113" s="6" t="s">
        <v>458</v>
      </c>
      <c r="H113" s="11" t="s">
        <v>259</v>
      </c>
      <c r="I113" s="12">
        <v>9.0</v>
      </c>
      <c r="J113" s="6" t="s">
        <v>161</v>
      </c>
    </row>
    <row r="114" ht="22.5" customHeight="1">
      <c r="A114" s="6" t="s">
        <v>1443</v>
      </c>
      <c r="B114" s="6" t="s">
        <v>940</v>
      </c>
      <c r="C114" s="10">
        <v>46025.0</v>
      </c>
      <c r="D114" s="6" t="s">
        <v>391</v>
      </c>
      <c r="E114" s="6" t="s">
        <v>291</v>
      </c>
      <c r="F114" s="6" t="s">
        <v>249</v>
      </c>
      <c r="G114" s="6" t="s">
        <v>326</v>
      </c>
      <c r="H114" s="10">
        <v>46027.0</v>
      </c>
      <c r="I114" s="12">
        <v>10.0</v>
      </c>
      <c r="J114" s="6" t="s">
        <v>161</v>
      </c>
    </row>
    <row r="115" ht="22.5" customHeight="1">
      <c r="A115" s="6" t="s">
        <v>1449</v>
      </c>
      <c r="B115" s="6" t="s">
        <v>940</v>
      </c>
      <c r="C115" s="10">
        <v>46040.0</v>
      </c>
      <c r="D115" s="6" t="s">
        <v>289</v>
      </c>
      <c r="E115" s="6" t="s">
        <v>417</v>
      </c>
      <c r="F115" s="6" t="s">
        <v>249</v>
      </c>
      <c r="G115" s="6" t="s">
        <v>494</v>
      </c>
      <c r="H115" s="11" t="s">
        <v>259</v>
      </c>
      <c r="I115" s="12">
        <v>5.0</v>
      </c>
      <c r="J115" s="6" t="s">
        <v>161</v>
      </c>
    </row>
    <row r="116" ht="22.5" customHeight="1">
      <c r="A116" s="6" t="s">
        <v>1455</v>
      </c>
      <c r="B116" s="6" t="s">
        <v>959</v>
      </c>
      <c r="C116" s="10">
        <v>46031.0</v>
      </c>
      <c r="D116" s="6" t="s">
        <v>436</v>
      </c>
      <c r="E116" s="6" t="s">
        <v>1055</v>
      </c>
      <c r="F116" s="6" t="s">
        <v>249</v>
      </c>
      <c r="G116" s="6" t="s">
        <v>326</v>
      </c>
      <c r="H116" s="11" t="s">
        <v>259</v>
      </c>
      <c r="I116" s="12">
        <v>11.0</v>
      </c>
      <c r="J116" s="6" t="s">
        <v>161</v>
      </c>
    </row>
    <row r="117" ht="22.5" customHeight="1">
      <c r="A117" s="6" t="s">
        <v>1462</v>
      </c>
      <c r="B117" s="6" t="s">
        <v>959</v>
      </c>
      <c r="C117" s="10">
        <v>46047.0</v>
      </c>
      <c r="D117" s="6" t="s">
        <v>436</v>
      </c>
      <c r="E117" s="6" t="s">
        <v>687</v>
      </c>
      <c r="F117" s="6" t="s">
        <v>439</v>
      </c>
      <c r="G117" s="6" t="s">
        <v>477</v>
      </c>
      <c r="H117" s="10">
        <v>46049.0</v>
      </c>
      <c r="I117" s="12">
        <v>12.0</v>
      </c>
      <c r="J117" s="6" t="s">
        <v>161</v>
      </c>
    </row>
    <row r="118" ht="22.5" customHeight="1">
      <c r="A118" s="6" t="s">
        <v>1465</v>
      </c>
      <c r="B118" s="6" t="s">
        <v>959</v>
      </c>
      <c r="C118" s="10">
        <v>46043.0</v>
      </c>
      <c r="D118" s="6" t="s">
        <v>436</v>
      </c>
      <c r="E118" s="6" t="s">
        <v>798</v>
      </c>
      <c r="F118" s="6" t="s">
        <v>439</v>
      </c>
      <c r="G118" s="6" t="s">
        <v>326</v>
      </c>
      <c r="H118" s="10">
        <v>46043.0</v>
      </c>
      <c r="I118" s="12">
        <v>12.0</v>
      </c>
      <c r="J118" s="6" t="s">
        <v>178</v>
      </c>
    </row>
    <row r="119" ht="22.5" customHeight="1">
      <c r="A119" s="6" t="s">
        <v>1473</v>
      </c>
      <c r="B119" s="6" t="s">
        <v>959</v>
      </c>
      <c r="C119" s="10">
        <v>46040.0</v>
      </c>
      <c r="D119" s="6" t="s">
        <v>677</v>
      </c>
      <c r="E119" s="6" t="s">
        <v>365</v>
      </c>
      <c r="F119" s="6" t="s">
        <v>112</v>
      </c>
      <c r="G119" s="6" t="s">
        <v>254</v>
      </c>
      <c r="H119" s="10">
        <v>46043.0</v>
      </c>
      <c r="I119" s="12">
        <v>4.0</v>
      </c>
      <c r="J119" s="6" t="s">
        <v>161</v>
      </c>
    </row>
    <row r="120" ht="22.5" customHeight="1">
      <c r="A120" s="6" t="s">
        <v>1480</v>
      </c>
      <c r="B120" s="6" t="s">
        <v>959</v>
      </c>
      <c r="C120" s="10">
        <v>46032.0</v>
      </c>
      <c r="D120" s="6" t="s">
        <v>312</v>
      </c>
      <c r="E120" s="6" t="s">
        <v>1241</v>
      </c>
      <c r="F120" s="6" t="s">
        <v>112</v>
      </c>
      <c r="G120" s="6" t="s">
        <v>494</v>
      </c>
      <c r="H120" s="10">
        <v>46039.0</v>
      </c>
      <c r="I120" s="12">
        <v>6.0</v>
      </c>
      <c r="J120" s="6" t="s">
        <v>161</v>
      </c>
    </row>
    <row r="121" ht="22.5" customHeight="1">
      <c r="A121" s="6" t="s">
        <v>1486</v>
      </c>
      <c r="B121" s="6" t="s">
        <v>974</v>
      </c>
      <c r="C121" s="10">
        <v>46026.0</v>
      </c>
      <c r="D121" s="6" t="s">
        <v>289</v>
      </c>
      <c r="E121" s="6" t="s">
        <v>1102</v>
      </c>
      <c r="F121" s="6" t="s">
        <v>283</v>
      </c>
      <c r="G121" s="6" t="s">
        <v>477</v>
      </c>
      <c r="H121" s="10">
        <v>46030.0</v>
      </c>
      <c r="I121" s="12">
        <v>8.0</v>
      </c>
      <c r="J121" s="6" t="s">
        <v>161</v>
      </c>
    </row>
    <row r="122" ht="22.5" customHeight="1">
      <c r="A122" s="6" t="s">
        <v>1492</v>
      </c>
      <c r="B122" s="6" t="s">
        <v>974</v>
      </c>
      <c r="C122" s="10">
        <v>46034.0</v>
      </c>
      <c r="D122" s="6" t="s">
        <v>677</v>
      </c>
      <c r="E122" s="6" t="s">
        <v>1241</v>
      </c>
      <c r="F122" s="6" t="s">
        <v>439</v>
      </c>
      <c r="G122" s="6" t="s">
        <v>254</v>
      </c>
      <c r="H122" s="10">
        <v>46041.0</v>
      </c>
      <c r="I122" s="12">
        <v>2.0</v>
      </c>
      <c r="J122" s="6" t="s">
        <v>161</v>
      </c>
    </row>
    <row r="123" ht="22.5" customHeight="1">
      <c r="A123" s="6" t="s">
        <v>1500</v>
      </c>
      <c r="B123" s="6" t="s">
        <v>974</v>
      </c>
      <c r="C123" s="10">
        <v>46027.0</v>
      </c>
      <c r="D123" s="6" t="s">
        <v>242</v>
      </c>
      <c r="E123" s="6" t="s">
        <v>583</v>
      </c>
      <c r="F123" s="6" t="s">
        <v>249</v>
      </c>
      <c r="G123" s="6" t="s">
        <v>458</v>
      </c>
      <c r="H123" s="10">
        <v>46033.0</v>
      </c>
      <c r="I123" s="12">
        <v>4.0</v>
      </c>
      <c r="J123" s="6" t="s">
        <v>178</v>
      </c>
    </row>
    <row r="124" ht="22.5" customHeight="1">
      <c r="A124" s="6" t="s">
        <v>1503</v>
      </c>
      <c r="B124" s="6" t="s">
        <v>974</v>
      </c>
      <c r="C124" s="10">
        <v>46025.0</v>
      </c>
      <c r="D124" s="6" t="s">
        <v>391</v>
      </c>
      <c r="E124" s="6" t="s">
        <v>833</v>
      </c>
      <c r="F124" s="6" t="s">
        <v>112</v>
      </c>
      <c r="G124" s="6" t="s">
        <v>477</v>
      </c>
      <c r="H124" s="10">
        <v>46026.0</v>
      </c>
      <c r="I124" s="12">
        <v>6.0</v>
      </c>
      <c r="J124" s="6" t="s">
        <v>161</v>
      </c>
    </row>
    <row r="125" ht="22.5" customHeight="1">
      <c r="A125" s="6" t="s">
        <v>1508</v>
      </c>
      <c r="B125" s="6" t="s">
        <v>974</v>
      </c>
      <c r="C125" s="10">
        <v>46042.0</v>
      </c>
      <c r="D125" s="6" t="s">
        <v>312</v>
      </c>
      <c r="E125" s="6" t="s">
        <v>320</v>
      </c>
      <c r="F125" s="6" t="s">
        <v>249</v>
      </c>
      <c r="G125" s="6" t="s">
        <v>477</v>
      </c>
      <c r="H125" s="10">
        <v>46044.0</v>
      </c>
      <c r="I125" s="12">
        <v>5.0</v>
      </c>
      <c r="J125" s="6" t="s">
        <v>161</v>
      </c>
    </row>
    <row r="126" ht="22.5" customHeight="1">
      <c r="A126" s="6" t="s">
        <v>1515</v>
      </c>
      <c r="B126" s="6" t="s">
        <v>993</v>
      </c>
      <c r="C126" s="10">
        <v>46056.0</v>
      </c>
      <c r="D126" s="6" t="s">
        <v>289</v>
      </c>
      <c r="E126" s="6" t="s">
        <v>1517</v>
      </c>
      <c r="F126" s="6" t="s">
        <v>283</v>
      </c>
      <c r="G126" s="6" t="s">
        <v>369</v>
      </c>
      <c r="H126" s="10">
        <v>46057.0</v>
      </c>
      <c r="I126" s="12">
        <v>9.0</v>
      </c>
      <c r="J126" s="6" t="s">
        <v>161</v>
      </c>
    </row>
    <row r="127" ht="22.5" customHeight="1">
      <c r="A127" s="6" t="s">
        <v>1519</v>
      </c>
      <c r="B127" s="6" t="s">
        <v>1013</v>
      </c>
      <c r="C127" s="10">
        <v>46058.0</v>
      </c>
      <c r="D127" s="6" t="s">
        <v>416</v>
      </c>
      <c r="E127" s="6" t="s">
        <v>512</v>
      </c>
      <c r="F127" s="6" t="s">
        <v>439</v>
      </c>
      <c r="G127" s="6" t="s">
        <v>254</v>
      </c>
      <c r="H127" s="10">
        <v>46061.0</v>
      </c>
      <c r="I127" s="12">
        <v>10.0</v>
      </c>
      <c r="J127" s="6" t="s">
        <v>161</v>
      </c>
    </row>
    <row r="128" ht="22.5" customHeight="1">
      <c r="A128" s="6" t="s">
        <v>1525</v>
      </c>
      <c r="B128" s="6" t="s">
        <v>1013</v>
      </c>
      <c r="C128" s="10">
        <v>46056.0</v>
      </c>
      <c r="D128" s="6" t="s">
        <v>677</v>
      </c>
      <c r="E128" s="6" t="s">
        <v>1310</v>
      </c>
      <c r="F128" s="6" t="s">
        <v>283</v>
      </c>
      <c r="G128" s="6" t="s">
        <v>254</v>
      </c>
      <c r="H128" s="11" t="s">
        <v>259</v>
      </c>
      <c r="I128" s="12">
        <v>4.0</v>
      </c>
      <c r="J128" s="6" t="s">
        <v>161</v>
      </c>
    </row>
    <row r="129" ht="22.5" customHeight="1">
      <c r="A129" s="6" t="s">
        <v>1531</v>
      </c>
      <c r="B129" s="6" t="s">
        <v>1013</v>
      </c>
      <c r="C129" s="10">
        <v>46069.0</v>
      </c>
      <c r="D129" s="6" t="s">
        <v>416</v>
      </c>
      <c r="E129" s="6" t="s">
        <v>628</v>
      </c>
      <c r="F129" s="6" t="s">
        <v>249</v>
      </c>
      <c r="G129" s="6" t="s">
        <v>458</v>
      </c>
      <c r="H129" s="10">
        <v>46073.0</v>
      </c>
      <c r="I129" s="12">
        <v>10.0</v>
      </c>
      <c r="J129" s="6" t="s">
        <v>161</v>
      </c>
    </row>
    <row r="130" ht="22.5" customHeight="1">
      <c r="A130" s="6" t="s">
        <v>1538</v>
      </c>
      <c r="B130" s="6" t="s">
        <v>1013</v>
      </c>
      <c r="C130" s="10">
        <v>46067.0</v>
      </c>
      <c r="D130" s="6" t="s">
        <v>677</v>
      </c>
      <c r="E130" s="6" t="s">
        <v>320</v>
      </c>
      <c r="F130" s="6" t="s">
        <v>283</v>
      </c>
      <c r="G130" s="6" t="s">
        <v>369</v>
      </c>
      <c r="H130" s="10">
        <v>46072.0</v>
      </c>
      <c r="I130" s="12">
        <v>3.0</v>
      </c>
      <c r="J130" s="6" t="s">
        <v>161</v>
      </c>
    </row>
    <row r="131" ht="22.5" customHeight="1">
      <c r="A131" s="6" t="s">
        <v>1541</v>
      </c>
      <c r="B131" s="6" t="s">
        <v>1013</v>
      </c>
      <c r="C131" s="10">
        <v>46069.0</v>
      </c>
      <c r="D131" s="6" t="s">
        <v>242</v>
      </c>
      <c r="E131" s="6" t="s">
        <v>1546</v>
      </c>
      <c r="F131" s="6" t="s">
        <v>249</v>
      </c>
      <c r="G131" s="6" t="s">
        <v>297</v>
      </c>
      <c r="H131" s="10">
        <v>46071.0</v>
      </c>
      <c r="I131" s="12">
        <v>5.0</v>
      </c>
      <c r="J131" s="6" t="s">
        <v>178</v>
      </c>
    </row>
    <row r="132" ht="22.5" customHeight="1">
      <c r="A132" s="6" t="s">
        <v>1549</v>
      </c>
      <c r="B132" s="6" t="s">
        <v>1033</v>
      </c>
      <c r="C132" s="10">
        <v>46025.0</v>
      </c>
      <c r="D132" s="6" t="s">
        <v>436</v>
      </c>
      <c r="E132" s="6" t="s">
        <v>1552</v>
      </c>
      <c r="F132" s="6" t="s">
        <v>439</v>
      </c>
      <c r="G132" s="6" t="s">
        <v>494</v>
      </c>
      <c r="H132" s="10">
        <v>46025.0</v>
      </c>
      <c r="I132" s="12">
        <v>9.0</v>
      </c>
      <c r="J132" s="6" t="s">
        <v>178</v>
      </c>
    </row>
    <row r="133" ht="22.5" customHeight="1">
      <c r="A133" s="6" t="s">
        <v>1557</v>
      </c>
      <c r="B133" s="6" t="s">
        <v>1033</v>
      </c>
      <c r="C133" s="10">
        <v>46029.0</v>
      </c>
      <c r="D133" s="6" t="s">
        <v>289</v>
      </c>
      <c r="E133" s="6" t="s">
        <v>787</v>
      </c>
      <c r="F133" s="6" t="s">
        <v>439</v>
      </c>
      <c r="G133" s="6" t="s">
        <v>254</v>
      </c>
      <c r="H133" s="10">
        <v>46032.0</v>
      </c>
      <c r="I133" s="12">
        <v>10.0</v>
      </c>
      <c r="J133" s="6" t="s">
        <v>161</v>
      </c>
    </row>
    <row r="134" ht="22.5" customHeight="1">
      <c r="A134" s="6" t="s">
        <v>1564</v>
      </c>
      <c r="B134" s="6" t="s">
        <v>1046</v>
      </c>
      <c r="C134" s="10">
        <v>46067.0</v>
      </c>
      <c r="D134" s="6" t="s">
        <v>242</v>
      </c>
      <c r="E134" s="6" t="s">
        <v>320</v>
      </c>
      <c r="F134" s="6" t="s">
        <v>283</v>
      </c>
      <c r="G134" s="6" t="s">
        <v>458</v>
      </c>
      <c r="H134" s="10">
        <v>46070.0</v>
      </c>
      <c r="I134" s="12">
        <v>4.0</v>
      </c>
      <c r="J134" s="6" t="s">
        <v>178</v>
      </c>
    </row>
    <row r="135" ht="22.5" customHeight="1">
      <c r="A135" s="6" t="s">
        <v>1568</v>
      </c>
      <c r="B135" s="6" t="s">
        <v>1046</v>
      </c>
      <c r="C135" s="10">
        <v>46067.0</v>
      </c>
      <c r="D135" s="6" t="s">
        <v>391</v>
      </c>
      <c r="E135" s="6" t="s">
        <v>1570</v>
      </c>
      <c r="F135" s="6" t="s">
        <v>283</v>
      </c>
      <c r="G135" s="6" t="s">
        <v>477</v>
      </c>
      <c r="H135" s="10">
        <v>46074.0</v>
      </c>
      <c r="I135" s="12">
        <v>6.0</v>
      </c>
      <c r="J135" s="6" t="s">
        <v>161</v>
      </c>
    </row>
    <row r="136" ht="22.5" customHeight="1">
      <c r="A136" s="6" t="s">
        <v>1572</v>
      </c>
      <c r="B136" s="6" t="s">
        <v>1046</v>
      </c>
      <c r="C136" s="10">
        <v>46064.0</v>
      </c>
      <c r="D136" s="6" t="s">
        <v>391</v>
      </c>
      <c r="E136" s="6" t="s">
        <v>1570</v>
      </c>
      <c r="F136" s="6" t="s">
        <v>439</v>
      </c>
      <c r="G136" s="6" t="s">
        <v>297</v>
      </c>
      <c r="H136" s="10">
        <v>46066.0</v>
      </c>
      <c r="I136" s="12">
        <v>6.0</v>
      </c>
      <c r="J136" s="6" t="s">
        <v>161</v>
      </c>
    </row>
    <row r="137" ht="22.5" customHeight="1">
      <c r="A137" s="6" t="s">
        <v>1577</v>
      </c>
      <c r="B137" s="6" t="s">
        <v>1046</v>
      </c>
      <c r="C137" s="10">
        <v>46067.0</v>
      </c>
      <c r="D137" s="6" t="s">
        <v>436</v>
      </c>
      <c r="E137" s="6" t="s">
        <v>1280</v>
      </c>
      <c r="F137" s="6" t="s">
        <v>249</v>
      </c>
      <c r="G137" s="6" t="s">
        <v>326</v>
      </c>
      <c r="H137" s="10">
        <v>46071.0</v>
      </c>
      <c r="I137" s="12">
        <v>12.0</v>
      </c>
      <c r="J137" s="6" t="s">
        <v>161</v>
      </c>
    </row>
    <row r="138" ht="22.5" customHeight="1">
      <c r="A138" s="6" t="s">
        <v>1583</v>
      </c>
      <c r="B138" s="6" t="s">
        <v>1056</v>
      </c>
      <c r="C138" s="10">
        <v>46051.0</v>
      </c>
      <c r="D138" s="6" t="s">
        <v>677</v>
      </c>
      <c r="E138" s="6" t="s">
        <v>1273</v>
      </c>
      <c r="F138" s="6" t="s">
        <v>439</v>
      </c>
      <c r="G138" s="6" t="s">
        <v>326</v>
      </c>
      <c r="H138" s="10">
        <v>46051.0</v>
      </c>
      <c r="I138" s="12">
        <v>3.0</v>
      </c>
      <c r="J138" s="6" t="s">
        <v>161</v>
      </c>
    </row>
    <row r="139" ht="22.5" customHeight="1">
      <c r="A139" s="6" t="s">
        <v>1588</v>
      </c>
      <c r="B139" s="6" t="s">
        <v>1056</v>
      </c>
      <c r="C139" s="10">
        <v>46050.0</v>
      </c>
      <c r="D139" s="6" t="s">
        <v>242</v>
      </c>
      <c r="E139" s="6" t="s">
        <v>812</v>
      </c>
      <c r="F139" s="6" t="s">
        <v>283</v>
      </c>
      <c r="G139" s="6" t="s">
        <v>452</v>
      </c>
      <c r="H139" s="10">
        <v>46056.0</v>
      </c>
      <c r="I139" s="12">
        <v>3.0</v>
      </c>
      <c r="J139" s="6" t="s">
        <v>178</v>
      </c>
    </row>
    <row r="140" ht="22.5" customHeight="1">
      <c r="A140" s="6" t="s">
        <v>1593</v>
      </c>
      <c r="B140" s="6" t="s">
        <v>1056</v>
      </c>
      <c r="C140" s="10">
        <v>46051.0</v>
      </c>
      <c r="D140" s="6" t="s">
        <v>436</v>
      </c>
      <c r="E140" s="6" t="s">
        <v>634</v>
      </c>
      <c r="F140" s="6" t="s">
        <v>283</v>
      </c>
      <c r="G140" s="6" t="s">
        <v>494</v>
      </c>
      <c r="H140" s="10">
        <v>46056.0</v>
      </c>
      <c r="I140" s="12">
        <v>10.0</v>
      </c>
      <c r="J140" s="6" t="s">
        <v>161</v>
      </c>
    </row>
    <row r="141" ht="22.5" customHeight="1">
      <c r="A141" s="6" t="s">
        <v>1598</v>
      </c>
      <c r="B141" s="6" t="s">
        <v>1056</v>
      </c>
      <c r="C141" s="10">
        <v>46051.0</v>
      </c>
      <c r="D141" s="6" t="s">
        <v>416</v>
      </c>
      <c r="E141" s="6" t="s">
        <v>1600</v>
      </c>
      <c r="F141" s="6" t="s">
        <v>439</v>
      </c>
      <c r="G141" s="6" t="s">
        <v>494</v>
      </c>
      <c r="H141" s="10">
        <v>46053.0</v>
      </c>
      <c r="I141" s="12">
        <v>11.0</v>
      </c>
      <c r="J141" s="6" t="s">
        <v>161</v>
      </c>
    </row>
    <row r="142" ht="22.5" customHeight="1">
      <c r="A142" s="6" t="s">
        <v>1604</v>
      </c>
      <c r="B142" s="6" t="s">
        <v>1056</v>
      </c>
      <c r="C142" s="10">
        <v>46041.0</v>
      </c>
      <c r="D142" s="6" t="s">
        <v>677</v>
      </c>
      <c r="E142" s="6" t="s">
        <v>1552</v>
      </c>
      <c r="F142" s="6" t="s">
        <v>112</v>
      </c>
      <c r="G142" s="6" t="s">
        <v>458</v>
      </c>
      <c r="H142" s="10">
        <v>46045.0</v>
      </c>
      <c r="I142" s="12">
        <v>3.0</v>
      </c>
      <c r="J142" s="6" t="s">
        <v>161</v>
      </c>
    </row>
    <row r="143" ht="22.5" customHeight="1">
      <c r="A143" s="6" t="s">
        <v>1610</v>
      </c>
      <c r="B143" s="6" t="s">
        <v>1065</v>
      </c>
      <c r="C143" s="10">
        <v>46047.0</v>
      </c>
      <c r="D143" s="6" t="s">
        <v>416</v>
      </c>
      <c r="E143" s="6" t="s">
        <v>775</v>
      </c>
      <c r="F143" s="6" t="s">
        <v>283</v>
      </c>
      <c r="G143" s="6" t="s">
        <v>477</v>
      </c>
      <c r="H143" s="10">
        <v>46049.0</v>
      </c>
      <c r="I143" s="12">
        <v>14.0</v>
      </c>
      <c r="J143" s="6" t="s">
        <v>161</v>
      </c>
    </row>
    <row r="144" ht="22.5" customHeight="1">
      <c r="A144" s="6" t="s">
        <v>1613</v>
      </c>
      <c r="B144" s="6" t="s">
        <v>1065</v>
      </c>
      <c r="C144" s="10">
        <v>46054.0</v>
      </c>
      <c r="D144" s="6" t="s">
        <v>436</v>
      </c>
      <c r="E144" s="6" t="s">
        <v>863</v>
      </c>
      <c r="F144" s="6" t="s">
        <v>249</v>
      </c>
      <c r="G144" s="6" t="s">
        <v>458</v>
      </c>
      <c r="H144" s="10">
        <v>46060.0</v>
      </c>
      <c r="I144" s="12">
        <v>8.0</v>
      </c>
      <c r="J144" s="6" t="s">
        <v>178</v>
      </c>
    </row>
    <row r="145" ht="22.5" customHeight="1">
      <c r="A145" s="6" t="s">
        <v>1619</v>
      </c>
      <c r="B145" s="6" t="s">
        <v>1065</v>
      </c>
      <c r="C145" s="10">
        <v>46050.0</v>
      </c>
      <c r="D145" s="6" t="s">
        <v>312</v>
      </c>
      <c r="E145" s="6" t="s">
        <v>610</v>
      </c>
      <c r="F145" s="6" t="s">
        <v>283</v>
      </c>
      <c r="G145" s="6" t="s">
        <v>369</v>
      </c>
      <c r="H145" s="10">
        <v>46053.0</v>
      </c>
      <c r="I145" s="12">
        <v>5.0</v>
      </c>
      <c r="J145" s="6" t="s">
        <v>161</v>
      </c>
    </row>
    <row r="146" ht="22.5" customHeight="1">
      <c r="A146" s="6" t="s">
        <v>1623</v>
      </c>
      <c r="B146" s="6" t="s">
        <v>1065</v>
      </c>
      <c r="C146" s="10">
        <v>46047.0</v>
      </c>
      <c r="D146" s="6" t="s">
        <v>391</v>
      </c>
      <c r="E146" s="6" t="s">
        <v>1626</v>
      </c>
      <c r="F146" s="6" t="s">
        <v>112</v>
      </c>
      <c r="G146" s="6" t="s">
        <v>477</v>
      </c>
      <c r="H146" s="10">
        <v>46052.0</v>
      </c>
      <c r="I146" s="12">
        <v>10.0</v>
      </c>
      <c r="J146" s="6" t="s">
        <v>161</v>
      </c>
    </row>
    <row r="147" ht="22.5" customHeight="1">
      <c r="A147" s="6" t="s">
        <v>1630</v>
      </c>
      <c r="B147" s="6" t="s">
        <v>1080</v>
      </c>
      <c r="C147" s="10">
        <v>46042.0</v>
      </c>
      <c r="D147" s="6" t="s">
        <v>289</v>
      </c>
      <c r="E147" s="6" t="s">
        <v>246</v>
      </c>
      <c r="F147" s="6" t="s">
        <v>439</v>
      </c>
      <c r="G147" s="6" t="s">
        <v>254</v>
      </c>
      <c r="H147" s="10">
        <v>46046.0</v>
      </c>
      <c r="I147" s="12">
        <v>7.0</v>
      </c>
      <c r="J147" s="6" t="s">
        <v>161</v>
      </c>
    </row>
    <row r="148" ht="22.5" customHeight="1">
      <c r="A148" s="6" t="s">
        <v>1635</v>
      </c>
      <c r="B148" s="6" t="s">
        <v>1080</v>
      </c>
      <c r="C148" s="10">
        <v>46045.0</v>
      </c>
      <c r="D148" s="6" t="s">
        <v>436</v>
      </c>
      <c r="E148" s="6" t="s">
        <v>787</v>
      </c>
      <c r="F148" s="6" t="s">
        <v>112</v>
      </c>
      <c r="G148" s="6" t="s">
        <v>297</v>
      </c>
      <c r="H148" s="10">
        <v>46051.0</v>
      </c>
      <c r="I148" s="12">
        <v>6.0</v>
      </c>
      <c r="J148" s="6" t="s">
        <v>178</v>
      </c>
    </row>
    <row r="149" ht="22.5" customHeight="1">
      <c r="A149" s="6" t="s">
        <v>1638</v>
      </c>
      <c r="B149" s="6" t="s">
        <v>1080</v>
      </c>
      <c r="C149" s="10">
        <v>46035.0</v>
      </c>
      <c r="D149" s="6" t="s">
        <v>242</v>
      </c>
      <c r="E149" s="6" t="s">
        <v>417</v>
      </c>
      <c r="F149" s="6" t="s">
        <v>112</v>
      </c>
      <c r="G149" s="6" t="s">
        <v>326</v>
      </c>
      <c r="H149" s="11" t="s">
        <v>259</v>
      </c>
      <c r="I149" s="12">
        <v>6.0</v>
      </c>
      <c r="J149" s="6" t="s">
        <v>178</v>
      </c>
    </row>
    <row r="150" ht="22.5" customHeight="1">
      <c r="A150" s="6" t="s">
        <v>1643</v>
      </c>
      <c r="B150" s="6" t="s">
        <v>1080</v>
      </c>
      <c r="C150" s="10">
        <v>46039.0</v>
      </c>
      <c r="D150" s="6" t="s">
        <v>312</v>
      </c>
      <c r="E150" s="6" t="s">
        <v>833</v>
      </c>
      <c r="F150" s="6" t="s">
        <v>112</v>
      </c>
      <c r="G150" s="6" t="s">
        <v>297</v>
      </c>
      <c r="H150" s="10">
        <v>46040.0</v>
      </c>
      <c r="I150" s="12">
        <v>6.0</v>
      </c>
      <c r="J150" s="6" t="s">
        <v>161</v>
      </c>
    </row>
    <row r="151" ht="22.5" customHeight="1">
      <c r="A151" s="6" t="s">
        <v>1648</v>
      </c>
      <c r="B151" s="6" t="s">
        <v>1089</v>
      </c>
      <c r="C151" s="10">
        <v>46030.0</v>
      </c>
      <c r="D151" s="6" t="s">
        <v>416</v>
      </c>
      <c r="E151" s="6" t="s">
        <v>833</v>
      </c>
      <c r="F151" s="6" t="s">
        <v>112</v>
      </c>
      <c r="G151" s="6" t="s">
        <v>477</v>
      </c>
      <c r="H151" s="10">
        <v>46033.0</v>
      </c>
      <c r="I151" s="12">
        <v>10.0</v>
      </c>
      <c r="J151" s="6" t="s">
        <v>161</v>
      </c>
    </row>
    <row r="152" ht="22.5" customHeight="1">
      <c r="A152" s="6" t="s">
        <v>1654</v>
      </c>
      <c r="B152" s="6" t="s">
        <v>1089</v>
      </c>
      <c r="C152" s="10">
        <v>46028.0</v>
      </c>
      <c r="D152" s="6" t="s">
        <v>677</v>
      </c>
      <c r="E152" s="6" t="s">
        <v>1552</v>
      </c>
      <c r="F152" s="6" t="s">
        <v>112</v>
      </c>
      <c r="G152" s="6" t="s">
        <v>458</v>
      </c>
      <c r="H152" s="11" t="s">
        <v>259</v>
      </c>
      <c r="I152" s="12">
        <v>4.0</v>
      </c>
      <c r="J152" s="6" t="s">
        <v>161</v>
      </c>
    </row>
    <row r="153" ht="22.5" customHeight="1">
      <c r="A153" s="6" t="s">
        <v>1659</v>
      </c>
      <c r="B153" s="6" t="s">
        <v>1099</v>
      </c>
      <c r="C153" s="10">
        <v>46051.0</v>
      </c>
      <c r="D153" s="6" t="s">
        <v>677</v>
      </c>
      <c r="E153" s="6" t="s">
        <v>863</v>
      </c>
      <c r="F153" s="6" t="s">
        <v>249</v>
      </c>
      <c r="G153" s="6" t="s">
        <v>452</v>
      </c>
      <c r="H153" s="10">
        <v>46053.0</v>
      </c>
      <c r="I153" s="12">
        <v>3.0</v>
      </c>
      <c r="J153" s="6" t="s">
        <v>161</v>
      </c>
    </row>
    <row r="154" ht="22.5" customHeight="1">
      <c r="A154" s="6" t="s">
        <v>1663</v>
      </c>
      <c r="B154" s="6" t="s">
        <v>1099</v>
      </c>
      <c r="C154" s="10">
        <v>46061.0</v>
      </c>
      <c r="D154" s="6" t="s">
        <v>677</v>
      </c>
      <c r="E154" s="6" t="s">
        <v>1035</v>
      </c>
      <c r="F154" s="6" t="s">
        <v>112</v>
      </c>
      <c r="G154" s="6" t="s">
        <v>494</v>
      </c>
      <c r="H154" s="10">
        <v>46065.0</v>
      </c>
      <c r="I154" s="12">
        <v>3.0</v>
      </c>
      <c r="J154" s="6" t="s">
        <v>161</v>
      </c>
    </row>
    <row r="155" ht="22.5" customHeight="1">
      <c r="A155" s="6" t="s">
        <v>1668</v>
      </c>
      <c r="B155" s="6" t="s">
        <v>1099</v>
      </c>
      <c r="C155" s="10">
        <v>46060.0</v>
      </c>
      <c r="D155" s="6" t="s">
        <v>242</v>
      </c>
      <c r="E155" s="6" t="s">
        <v>863</v>
      </c>
      <c r="F155" s="6" t="s">
        <v>249</v>
      </c>
      <c r="G155" s="6" t="s">
        <v>458</v>
      </c>
      <c r="H155" s="11" t="s">
        <v>259</v>
      </c>
      <c r="I155" s="12">
        <v>3.0</v>
      </c>
      <c r="J155" s="6" t="s">
        <v>161</v>
      </c>
    </row>
    <row r="156" ht="22.5" customHeight="1">
      <c r="A156" s="6" t="s">
        <v>1673</v>
      </c>
      <c r="B156" s="6" t="s">
        <v>1114</v>
      </c>
      <c r="C156" s="10">
        <v>46073.0</v>
      </c>
      <c r="D156" s="6" t="s">
        <v>416</v>
      </c>
      <c r="E156" s="6" t="s">
        <v>1600</v>
      </c>
      <c r="F156" s="6" t="s">
        <v>112</v>
      </c>
      <c r="G156" s="6" t="s">
        <v>297</v>
      </c>
      <c r="H156" s="10">
        <v>46079.0</v>
      </c>
      <c r="I156" s="12">
        <v>12.0</v>
      </c>
      <c r="J156" s="6" t="s">
        <v>161</v>
      </c>
    </row>
    <row r="157" ht="22.5" customHeight="1">
      <c r="A157" s="6" t="s">
        <v>1676</v>
      </c>
      <c r="B157" s="6" t="s">
        <v>1114</v>
      </c>
      <c r="C157" s="10">
        <v>46082.0</v>
      </c>
      <c r="D157" s="6" t="s">
        <v>242</v>
      </c>
      <c r="E157" s="6" t="s">
        <v>1570</v>
      </c>
      <c r="F157" s="6" t="s">
        <v>249</v>
      </c>
      <c r="G157" s="6" t="s">
        <v>494</v>
      </c>
      <c r="H157" s="10">
        <v>46087.0</v>
      </c>
      <c r="I157" s="12">
        <v>5.0</v>
      </c>
      <c r="J157" s="6" t="s">
        <v>178</v>
      </c>
    </row>
    <row r="158" ht="22.5" customHeight="1">
      <c r="A158" s="6" t="s">
        <v>1682</v>
      </c>
      <c r="B158" s="6" t="s">
        <v>1114</v>
      </c>
      <c r="C158" s="10">
        <v>46084.0</v>
      </c>
      <c r="D158" s="6" t="s">
        <v>436</v>
      </c>
      <c r="E158" s="6" t="s">
        <v>1296</v>
      </c>
      <c r="F158" s="6" t="s">
        <v>283</v>
      </c>
      <c r="G158" s="6" t="s">
        <v>458</v>
      </c>
      <c r="H158" s="10">
        <v>46086.0</v>
      </c>
      <c r="I158" s="12">
        <v>10.0</v>
      </c>
      <c r="J158" s="6" t="s">
        <v>178</v>
      </c>
    </row>
    <row r="159" ht="22.5" customHeight="1">
      <c r="A159" s="6" t="s">
        <v>1686</v>
      </c>
      <c r="B159" s="6" t="s">
        <v>1114</v>
      </c>
      <c r="C159" s="10">
        <v>46069.0</v>
      </c>
      <c r="D159" s="6" t="s">
        <v>416</v>
      </c>
      <c r="E159" s="6" t="s">
        <v>1386</v>
      </c>
      <c r="F159" s="6" t="s">
        <v>439</v>
      </c>
      <c r="G159" s="6" t="s">
        <v>452</v>
      </c>
      <c r="H159" s="10">
        <v>46076.0</v>
      </c>
      <c r="I159" s="12">
        <v>14.0</v>
      </c>
      <c r="J159" s="6" t="s">
        <v>161</v>
      </c>
    </row>
    <row r="160" ht="22.5" customHeight="1">
      <c r="A160" s="6" t="s">
        <v>1690</v>
      </c>
      <c r="B160" s="6" t="s">
        <v>1129</v>
      </c>
      <c r="C160" s="10">
        <v>46074.0</v>
      </c>
      <c r="D160" s="6" t="s">
        <v>289</v>
      </c>
      <c r="E160" s="6" t="s">
        <v>618</v>
      </c>
      <c r="F160" s="6" t="s">
        <v>283</v>
      </c>
      <c r="G160" s="6" t="s">
        <v>254</v>
      </c>
      <c r="H160" s="10">
        <v>46077.0</v>
      </c>
      <c r="I160" s="12">
        <v>6.0</v>
      </c>
      <c r="J160" s="6" t="s">
        <v>161</v>
      </c>
    </row>
    <row r="161" ht="22.5" customHeight="1">
      <c r="A161" s="6" t="s">
        <v>1696</v>
      </c>
      <c r="B161" s="6" t="s">
        <v>1141</v>
      </c>
      <c r="C161" s="10">
        <v>46052.0</v>
      </c>
      <c r="D161" s="6" t="s">
        <v>242</v>
      </c>
      <c r="E161" s="6" t="s">
        <v>1700</v>
      </c>
      <c r="F161" s="6" t="s">
        <v>283</v>
      </c>
      <c r="G161" s="6" t="s">
        <v>254</v>
      </c>
      <c r="H161" s="10">
        <v>46052.0</v>
      </c>
      <c r="I161" s="12">
        <v>5.0</v>
      </c>
      <c r="J161" s="6" t="s">
        <v>178</v>
      </c>
    </row>
    <row r="162" ht="22.5" customHeight="1">
      <c r="A162" s="6" t="s">
        <v>1702</v>
      </c>
      <c r="B162" s="6" t="s">
        <v>1157</v>
      </c>
      <c r="C162" s="10">
        <v>46076.0</v>
      </c>
      <c r="D162" s="6" t="s">
        <v>289</v>
      </c>
      <c r="E162" s="6" t="s">
        <v>885</v>
      </c>
      <c r="F162" s="6" t="s">
        <v>249</v>
      </c>
      <c r="G162" s="6" t="s">
        <v>297</v>
      </c>
      <c r="H162" s="10">
        <v>46082.0</v>
      </c>
      <c r="I162" s="12">
        <v>6.0</v>
      </c>
      <c r="J162" s="6" t="s">
        <v>161</v>
      </c>
    </row>
    <row r="163" ht="22.5" customHeight="1">
      <c r="A163" s="6" t="s">
        <v>1707</v>
      </c>
      <c r="B163" s="6" t="s">
        <v>1173</v>
      </c>
      <c r="C163" s="10">
        <v>46054.0</v>
      </c>
      <c r="D163" s="6" t="s">
        <v>312</v>
      </c>
      <c r="E163" s="6" t="s">
        <v>1517</v>
      </c>
      <c r="F163" s="6" t="s">
        <v>283</v>
      </c>
      <c r="G163" s="6" t="s">
        <v>326</v>
      </c>
      <c r="H163" s="10">
        <v>46056.0</v>
      </c>
      <c r="I163" s="12">
        <v>5.0</v>
      </c>
      <c r="J163" s="6" t="s">
        <v>161</v>
      </c>
    </row>
    <row r="164" ht="22.5" customHeight="1">
      <c r="A164" s="6" t="s">
        <v>1713</v>
      </c>
      <c r="B164" s="6" t="s">
        <v>1173</v>
      </c>
      <c r="C164" s="10">
        <v>46049.0</v>
      </c>
      <c r="D164" s="6" t="s">
        <v>242</v>
      </c>
      <c r="E164" s="6" t="s">
        <v>738</v>
      </c>
      <c r="F164" s="6" t="s">
        <v>283</v>
      </c>
      <c r="G164" s="6" t="s">
        <v>458</v>
      </c>
      <c r="H164" s="10">
        <v>46052.0</v>
      </c>
      <c r="I164" s="12">
        <v>3.0</v>
      </c>
      <c r="J164" s="6" t="s">
        <v>178</v>
      </c>
    </row>
    <row r="165" ht="22.5" customHeight="1">
      <c r="A165" s="6" t="s">
        <v>1718</v>
      </c>
      <c r="B165" s="6" t="s">
        <v>1173</v>
      </c>
      <c r="C165" s="10">
        <v>46047.0</v>
      </c>
      <c r="D165" s="6" t="s">
        <v>289</v>
      </c>
      <c r="E165" s="6" t="s">
        <v>1720</v>
      </c>
      <c r="F165" s="6" t="s">
        <v>283</v>
      </c>
      <c r="G165" s="6" t="s">
        <v>297</v>
      </c>
      <c r="H165" s="10">
        <v>46052.0</v>
      </c>
      <c r="I165" s="12">
        <v>10.0</v>
      </c>
      <c r="J165" s="6" t="s">
        <v>161</v>
      </c>
    </row>
    <row r="166" ht="22.5" customHeight="1">
      <c r="A166" s="6" t="s">
        <v>1723</v>
      </c>
      <c r="B166" s="6" t="s">
        <v>1193</v>
      </c>
      <c r="C166" s="10">
        <v>46062.0</v>
      </c>
      <c r="D166" s="6" t="s">
        <v>677</v>
      </c>
      <c r="E166" s="6" t="s">
        <v>512</v>
      </c>
      <c r="F166" s="6" t="s">
        <v>112</v>
      </c>
      <c r="G166" s="6" t="s">
        <v>369</v>
      </c>
      <c r="H166" s="10">
        <v>46066.0</v>
      </c>
      <c r="I166" s="12">
        <v>4.0</v>
      </c>
      <c r="J166" s="6" t="s">
        <v>161</v>
      </c>
    </row>
    <row r="167" ht="22.5" customHeight="1">
      <c r="A167" s="6" t="s">
        <v>1727</v>
      </c>
      <c r="B167" s="6" t="s">
        <v>1193</v>
      </c>
      <c r="C167" s="10">
        <v>46078.0</v>
      </c>
      <c r="D167" s="6" t="s">
        <v>436</v>
      </c>
      <c r="E167" s="6" t="s">
        <v>450</v>
      </c>
      <c r="F167" s="6" t="s">
        <v>283</v>
      </c>
      <c r="G167" s="6" t="s">
        <v>254</v>
      </c>
      <c r="H167" s="11" t="s">
        <v>259</v>
      </c>
      <c r="I167" s="12">
        <v>12.0</v>
      </c>
      <c r="J167" s="6" t="s">
        <v>161</v>
      </c>
    </row>
    <row r="168" ht="22.5" customHeight="1">
      <c r="A168" s="6" t="s">
        <v>1733</v>
      </c>
      <c r="B168" s="6" t="s">
        <v>1193</v>
      </c>
      <c r="C168" s="10">
        <v>46080.0</v>
      </c>
      <c r="D168" s="6" t="s">
        <v>436</v>
      </c>
      <c r="E168" s="6" t="s">
        <v>1102</v>
      </c>
      <c r="F168" s="6" t="s">
        <v>439</v>
      </c>
      <c r="G168" s="6" t="s">
        <v>494</v>
      </c>
      <c r="H168" s="10">
        <v>46084.0</v>
      </c>
      <c r="I168" s="12">
        <v>12.0</v>
      </c>
      <c r="J168" s="6" t="s">
        <v>178</v>
      </c>
    </row>
    <row r="169" ht="22.5" customHeight="1">
      <c r="A169" s="6" t="s">
        <v>1740</v>
      </c>
      <c r="B169" s="6" t="s">
        <v>1214</v>
      </c>
      <c r="C169" s="10">
        <v>46073.0</v>
      </c>
      <c r="D169" s="6" t="s">
        <v>391</v>
      </c>
      <c r="E169" s="6" t="s">
        <v>1741</v>
      </c>
      <c r="F169" s="6" t="s">
        <v>249</v>
      </c>
      <c r="G169" s="6" t="s">
        <v>297</v>
      </c>
      <c r="H169" s="11" t="s">
        <v>259</v>
      </c>
      <c r="I169" s="12">
        <v>6.0</v>
      </c>
      <c r="J169" s="6" t="s">
        <v>161</v>
      </c>
    </row>
    <row r="170" ht="22.5" customHeight="1">
      <c r="A170" s="6" t="s">
        <v>1744</v>
      </c>
      <c r="B170" s="6" t="s">
        <v>1214</v>
      </c>
      <c r="C170" s="10">
        <v>46074.0</v>
      </c>
      <c r="D170" s="6" t="s">
        <v>242</v>
      </c>
      <c r="E170" s="6" t="s">
        <v>1700</v>
      </c>
      <c r="F170" s="6" t="s">
        <v>249</v>
      </c>
      <c r="G170" s="6" t="s">
        <v>452</v>
      </c>
      <c r="H170" s="10">
        <v>46079.0</v>
      </c>
      <c r="I170" s="12">
        <v>4.0</v>
      </c>
      <c r="J170" s="6" t="s">
        <v>178</v>
      </c>
    </row>
    <row r="171" ht="22.5" customHeight="1">
      <c r="A171" s="6" t="s">
        <v>1749</v>
      </c>
      <c r="B171" s="6" t="s">
        <v>1223</v>
      </c>
      <c r="C171" s="10">
        <v>46042.0</v>
      </c>
      <c r="D171" s="6" t="s">
        <v>416</v>
      </c>
      <c r="E171" s="6" t="s">
        <v>1546</v>
      </c>
      <c r="F171" s="6" t="s">
        <v>112</v>
      </c>
      <c r="G171" s="6" t="s">
        <v>297</v>
      </c>
      <c r="H171" s="10">
        <v>46049.0</v>
      </c>
      <c r="I171" s="12">
        <v>13.0</v>
      </c>
      <c r="J171" s="6" t="s">
        <v>161</v>
      </c>
    </row>
    <row r="172" ht="22.5" customHeight="1">
      <c r="A172" s="6" t="s">
        <v>1754</v>
      </c>
      <c r="B172" s="6" t="s">
        <v>1223</v>
      </c>
      <c r="C172" s="10">
        <v>46026.0</v>
      </c>
      <c r="D172" s="6" t="s">
        <v>677</v>
      </c>
      <c r="E172" s="6" t="s">
        <v>885</v>
      </c>
      <c r="F172" s="6" t="s">
        <v>112</v>
      </c>
      <c r="G172" s="6" t="s">
        <v>458</v>
      </c>
      <c r="H172" s="10">
        <v>46029.0</v>
      </c>
      <c r="I172" s="12">
        <v>2.0</v>
      </c>
      <c r="J172" s="6" t="s">
        <v>161</v>
      </c>
    </row>
    <row r="173" ht="22.5" customHeight="1">
      <c r="A173" s="6" t="s">
        <v>1757</v>
      </c>
      <c r="B173" s="6" t="s">
        <v>1237</v>
      </c>
      <c r="C173" s="10">
        <v>46036.0</v>
      </c>
      <c r="D173" s="6" t="s">
        <v>242</v>
      </c>
      <c r="E173" s="6" t="s">
        <v>1386</v>
      </c>
      <c r="F173" s="6" t="s">
        <v>249</v>
      </c>
      <c r="G173" s="6" t="s">
        <v>494</v>
      </c>
      <c r="H173" s="10">
        <v>46037.0</v>
      </c>
      <c r="I173" s="12">
        <v>6.0</v>
      </c>
      <c r="J173" s="6" t="s">
        <v>178</v>
      </c>
    </row>
    <row r="174" ht="22.5" customHeight="1">
      <c r="A174" s="6" t="s">
        <v>1763</v>
      </c>
      <c r="B174" s="6" t="s">
        <v>1237</v>
      </c>
      <c r="C174" s="10">
        <v>46039.0</v>
      </c>
      <c r="D174" s="6" t="s">
        <v>677</v>
      </c>
      <c r="E174" s="6" t="s">
        <v>670</v>
      </c>
      <c r="F174" s="6" t="s">
        <v>439</v>
      </c>
      <c r="G174" s="6" t="s">
        <v>458</v>
      </c>
      <c r="H174" s="10">
        <v>46045.0</v>
      </c>
      <c r="I174" s="12">
        <v>2.0</v>
      </c>
      <c r="J174" s="6" t="s">
        <v>161</v>
      </c>
    </row>
    <row r="175" ht="22.5" customHeight="1">
      <c r="A175" s="6" t="s">
        <v>1767</v>
      </c>
      <c r="B175" s="6" t="s">
        <v>1245</v>
      </c>
      <c r="C175" s="10">
        <v>46060.0</v>
      </c>
      <c r="D175" s="6" t="s">
        <v>416</v>
      </c>
      <c r="E175" s="6" t="s">
        <v>512</v>
      </c>
      <c r="F175" s="6" t="s">
        <v>283</v>
      </c>
      <c r="G175" s="6" t="s">
        <v>326</v>
      </c>
      <c r="H175" s="10">
        <v>46067.0</v>
      </c>
      <c r="I175" s="12">
        <v>10.0</v>
      </c>
      <c r="J175" s="6" t="s">
        <v>161</v>
      </c>
    </row>
    <row r="176" ht="22.5" customHeight="1">
      <c r="A176" s="6" t="s">
        <v>1773</v>
      </c>
      <c r="B176" s="6" t="s">
        <v>1245</v>
      </c>
      <c r="C176" s="10">
        <v>46054.0</v>
      </c>
      <c r="D176" s="6" t="s">
        <v>391</v>
      </c>
      <c r="E176" s="6" t="s">
        <v>695</v>
      </c>
      <c r="F176" s="6" t="s">
        <v>112</v>
      </c>
      <c r="G176" s="6" t="s">
        <v>254</v>
      </c>
      <c r="H176" s="10">
        <v>46054.0</v>
      </c>
      <c r="I176" s="12">
        <v>9.0</v>
      </c>
      <c r="J176" s="6" t="s">
        <v>161</v>
      </c>
    </row>
    <row r="177" ht="22.5" customHeight="1">
      <c r="A177" s="6" t="s">
        <v>1776</v>
      </c>
      <c r="B177" s="6" t="s">
        <v>1245</v>
      </c>
      <c r="C177" s="10">
        <v>46046.0</v>
      </c>
      <c r="D177" s="6" t="s">
        <v>289</v>
      </c>
      <c r="E177" s="6" t="s">
        <v>628</v>
      </c>
      <c r="F177" s="6" t="s">
        <v>283</v>
      </c>
      <c r="G177" s="6" t="s">
        <v>452</v>
      </c>
      <c r="H177" s="10">
        <v>46049.0</v>
      </c>
      <c r="I177" s="12">
        <v>5.0</v>
      </c>
      <c r="J177" s="6" t="s">
        <v>161</v>
      </c>
    </row>
    <row r="178" ht="22.5" customHeight="1">
      <c r="A178" s="6" t="s">
        <v>1781</v>
      </c>
      <c r="B178" s="6" t="s">
        <v>1245</v>
      </c>
      <c r="C178" s="10">
        <v>46058.0</v>
      </c>
      <c r="D178" s="6" t="s">
        <v>391</v>
      </c>
      <c r="E178" s="6" t="s">
        <v>320</v>
      </c>
      <c r="F178" s="6" t="s">
        <v>283</v>
      </c>
      <c r="G178" s="6" t="s">
        <v>458</v>
      </c>
      <c r="H178" s="10">
        <v>46062.0</v>
      </c>
      <c r="I178" s="12">
        <v>6.0</v>
      </c>
      <c r="J178" s="6" t="s">
        <v>161</v>
      </c>
    </row>
    <row r="179" ht="22.5" customHeight="1">
      <c r="A179" s="6" t="s">
        <v>1786</v>
      </c>
      <c r="B179" s="6" t="s">
        <v>1267</v>
      </c>
      <c r="C179" s="10">
        <v>46045.0</v>
      </c>
      <c r="D179" s="6" t="s">
        <v>312</v>
      </c>
      <c r="E179" s="6" t="s">
        <v>704</v>
      </c>
      <c r="F179" s="6" t="s">
        <v>439</v>
      </c>
      <c r="G179" s="6" t="s">
        <v>477</v>
      </c>
      <c r="H179" s="10">
        <v>46045.0</v>
      </c>
      <c r="I179" s="12">
        <v>5.0</v>
      </c>
      <c r="J179" s="6" t="s">
        <v>161</v>
      </c>
    </row>
    <row r="180" ht="22.5" customHeight="1">
      <c r="A180" s="6" t="s">
        <v>1793</v>
      </c>
      <c r="B180" s="6" t="s">
        <v>1267</v>
      </c>
      <c r="C180" s="10">
        <v>46042.0</v>
      </c>
      <c r="D180" s="6" t="s">
        <v>416</v>
      </c>
      <c r="E180" s="6" t="s">
        <v>618</v>
      </c>
      <c r="F180" s="6" t="s">
        <v>283</v>
      </c>
      <c r="G180" s="6" t="s">
        <v>458</v>
      </c>
      <c r="H180" s="10">
        <v>46044.0</v>
      </c>
      <c r="I180" s="12">
        <v>10.0</v>
      </c>
      <c r="J180" s="6" t="s">
        <v>161</v>
      </c>
    </row>
    <row r="181" ht="22.5" customHeight="1">
      <c r="A181" s="6" t="s">
        <v>1797</v>
      </c>
      <c r="B181" s="6" t="s">
        <v>1267</v>
      </c>
      <c r="C181" s="10">
        <v>46040.0</v>
      </c>
      <c r="D181" s="6" t="s">
        <v>289</v>
      </c>
      <c r="E181" s="6" t="s">
        <v>1741</v>
      </c>
      <c r="F181" s="6" t="s">
        <v>439</v>
      </c>
      <c r="G181" s="6" t="s">
        <v>326</v>
      </c>
      <c r="H181" s="10">
        <v>46047.0</v>
      </c>
      <c r="I181" s="12">
        <v>10.0</v>
      </c>
      <c r="J181" s="6" t="s">
        <v>161</v>
      </c>
    </row>
    <row r="182" ht="22.5" customHeight="1">
      <c r="A182" s="6" t="s">
        <v>1802</v>
      </c>
      <c r="B182" s="6" t="s">
        <v>1274</v>
      </c>
      <c r="C182" s="10">
        <v>46063.0</v>
      </c>
      <c r="D182" s="6" t="s">
        <v>312</v>
      </c>
      <c r="E182" s="6" t="s">
        <v>775</v>
      </c>
      <c r="F182" s="6" t="s">
        <v>283</v>
      </c>
      <c r="G182" s="6" t="s">
        <v>477</v>
      </c>
      <c r="H182" s="10">
        <v>46070.0</v>
      </c>
      <c r="I182" s="12">
        <v>5.0</v>
      </c>
      <c r="J182" s="6" t="s">
        <v>161</v>
      </c>
    </row>
    <row r="183" ht="22.5" customHeight="1">
      <c r="A183" s="6" t="s">
        <v>1806</v>
      </c>
      <c r="B183" s="6" t="s">
        <v>1274</v>
      </c>
      <c r="C183" s="10">
        <v>46061.0</v>
      </c>
      <c r="D183" s="6" t="s">
        <v>677</v>
      </c>
      <c r="E183" s="6" t="s">
        <v>438</v>
      </c>
      <c r="F183" s="6" t="s">
        <v>439</v>
      </c>
      <c r="G183" s="6" t="s">
        <v>458</v>
      </c>
      <c r="H183" s="10">
        <v>46066.0</v>
      </c>
      <c r="I183" s="12">
        <v>4.0</v>
      </c>
      <c r="J183" s="6" t="s">
        <v>161</v>
      </c>
    </row>
    <row r="184" ht="22.5" customHeight="1">
      <c r="A184" s="6" t="s">
        <v>1812</v>
      </c>
      <c r="B184" s="6" t="s">
        <v>1274</v>
      </c>
      <c r="C184" s="10">
        <v>46058.0</v>
      </c>
      <c r="D184" s="6" t="s">
        <v>391</v>
      </c>
      <c r="E184" s="6" t="s">
        <v>833</v>
      </c>
      <c r="F184" s="6" t="s">
        <v>249</v>
      </c>
      <c r="G184" s="6" t="s">
        <v>477</v>
      </c>
      <c r="H184" s="10">
        <v>46059.0</v>
      </c>
      <c r="I184" s="12">
        <v>6.0</v>
      </c>
      <c r="J184" s="6" t="s">
        <v>161</v>
      </c>
    </row>
    <row r="185" ht="22.5" customHeight="1">
      <c r="A185" s="6" t="s">
        <v>1817</v>
      </c>
      <c r="B185" s="6" t="s">
        <v>1274</v>
      </c>
      <c r="C185" s="10">
        <v>46070.0</v>
      </c>
      <c r="D185" s="6" t="s">
        <v>416</v>
      </c>
      <c r="E185" s="6" t="s">
        <v>1122</v>
      </c>
      <c r="F185" s="6" t="s">
        <v>249</v>
      </c>
      <c r="G185" s="6" t="s">
        <v>326</v>
      </c>
      <c r="H185" s="11" t="s">
        <v>259</v>
      </c>
      <c r="I185" s="12">
        <v>8.0</v>
      </c>
      <c r="J185" s="6" t="s">
        <v>161</v>
      </c>
    </row>
    <row r="186" ht="22.5" customHeight="1">
      <c r="A186" s="6" t="s">
        <v>1821</v>
      </c>
      <c r="B186" s="6" t="s">
        <v>1286</v>
      </c>
      <c r="C186" s="10">
        <v>46057.0</v>
      </c>
      <c r="D186" s="6" t="s">
        <v>312</v>
      </c>
      <c r="E186" s="6" t="s">
        <v>670</v>
      </c>
      <c r="F186" s="6" t="s">
        <v>283</v>
      </c>
      <c r="G186" s="6" t="s">
        <v>254</v>
      </c>
      <c r="H186" s="10">
        <v>46059.0</v>
      </c>
      <c r="I186" s="12">
        <v>7.0</v>
      </c>
      <c r="J186" s="6" t="s">
        <v>161</v>
      </c>
    </row>
    <row r="187" ht="22.5" customHeight="1">
      <c r="A187" s="6" t="s">
        <v>1825</v>
      </c>
      <c r="B187" s="6" t="s">
        <v>1286</v>
      </c>
      <c r="C187" s="10">
        <v>46049.0</v>
      </c>
      <c r="D187" s="6" t="s">
        <v>312</v>
      </c>
      <c r="E187" s="6" t="s">
        <v>1720</v>
      </c>
      <c r="F187" s="6" t="s">
        <v>439</v>
      </c>
      <c r="G187" s="6" t="s">
        <v>494</v>
      </c>
      <c r="H187" s="10">
        <v>46055.0</v>
      </c>
      <c r="I187" s="12">
        <v>7.0</v>
      </c>
      <c r="J187" s="6" t="s">
        <v>161</v>
      </c>
    </row>
    <row r="188" ht="22.5" customHeight="1">
      <c r="A188" s="6" t="s">
        <v>1831</v>
      </c>
      <c r="B188" s="6" t="s">
        <v>1286</v>
      </c>
      <c r="C188" s="10">
        <v>46065.0</v>
      </c>
      <c r="D188" s="6" t="s">
        <v>436</v>
      </c>
      <c r="E188" s="6" t="s">
        <v>1570</v>
      </c>
      <c r="F188" s="6" t="s">
        <v>283</v>
      </c>
      <c r="G188" s="6" t="s">
        <v>494</v>
      </c>
      <c r="H188" s="10">
        <v>46071.0</v>
      </c>
      <c r="I188" s="12">
        <v>6.0</v>
      </c>
      <c r="J188" s="6" t="s">
        <v>178</v>
      </c>
    </row>
    <row r="189" ht="22.5" customHeight="1">
      <c r="A189" s="6" t="s">
        <v>1834</v>
      </c>
      <c r="B189" s="6" t="s">
        <v>1286</v>
      </c>
      <c r="C189" s="10">
        <v>46055.0</v>
      </c>
      <c r="D189" s="6" t="s">
        <v>677</v>
      </c>
      <c r="E189" s="6" t="s">
        <v>670</v>
      </c>
      <c r="F189" s="6" t="s">
        <v>283</v>
      </c>
      <c r="G189" s="6" t="s">
        <v>458</v>
      </c>
      <c r="H189" s="10">
        <v>46058.0</v>
      </c>
      <c r="I189" s="12">
        <v>2.0</v>
      </c>
      <c r="J189" s="6" t="s">
        <v>161</v>
      </c>
    </row>
    <row r="190" ht="22.5" customHeight="1">
      <c r="A190" s="6" t="s">
        <v>1840</v>
      </c>
      <c r="B190" s="6" t="s">
        <v>1294</v>
      </c>
      <c r="C190" s="10">
        <v>46077.0</v>
      </c>
      <c r="D190" s="6" t="s">
        <v>677</v>
      </c>
      <c r="E190" s="6" t="s">
        <v>695</v>
      </c>
      <c r="F190" s="6" t="s">
        <v>112</v>
      </c>
      <c r="G190" s="6" t="s">
        <v>254</v>
      </c>
      <c r="H190" s="10">
        <v>46078.0</v>
      </c>
      <c r="I190" s="12">
        <v>4.0</v>
      </c>
      <c r="J190" s="6" t="s">
        <v>161</v>
      </c>
    </row>
    <row r="191" ht="22.5" customHeight="1">
      <c r="A191" s="6" t="s">
        <v>1845</v>
      </c>
      <c r="B191" s="6" t="s">
        <v>1306</v>
      </c>
      <c r="C191" s="10">
        <v>46068.0</v>
      </c>
      <c r="D191" s="6" t="s">
        <v>436</v>
      </c>
      <c r="E191" s="6" t="s">
        <v>320</v>
      </c>
      <c r="F191" s="6" t="s">
        <v>112</v>
      </c>
      <c r="G191" s="6" t="s">
        <v>369</v>
      </c>
      <c r="H191" s="11" t="s">
        <v>259</v>
      </c>
      <c r="I191" s="12">
        <v>11.0</v>
      </c>
      <c r="J191" s="6" t="s">
        <v>161</v>
      </c>
    </row>
    <row r="192" ht="22.5" customHeight="1">
      <c r="A192" s="6" t="s">
        <v>1850</v>
      </c>
      <c r="B192" s="6" t="s">
        <v>1306</v>
      </c>
      <c r="C192" s="10">
        <v>46068.0</v>
      </c>
      <c r="D192" s="6" t="s">
        <v>242</v>
      </c>
      <c r="E192" s="6" t="s">
        <v>1102</v>
      </c>
      <c r="F192" s="6" t="s">
        <v>283</v>
      </c>
      <c r="G192" s="6" t="s">
        <v>297</v>
      </c>
      <c r="H192" s="10">
        <v>46075.0</v>
      </c>
      <c r="I192" s="12">
        <v>4.0</v>
      </c>
      <c r="J192" s="6" t="s">
        <v>178</v>
      </c>
    </row>
    <row r="193" ht="22.5" customHeight="1">
      <c r="A193" s="6" t="s">
        <v>1855</v>
      </c>
      <c r="B193" s="6" t="s">
        <v>1306</v>
      </c>
      <c r="C193" s="10">
        <v>46071.0</v>
      </c>
      <c r="D193" s="6" t="s">
        <v>677</v>
      </c>
      <c r="E193" s="6" t="s">
        <v>1070</v>
      </c>
      <c r="F193" s="6" t="s">
        <v>283</v>
      </c>
      <c r="G193" s="6" t="s">
        <v>369</v>
      </c>
      <c r="H193" s="10">
        <v>46076.0</v>
      </c>
      <c r="I193" s="12">
        <v>2.0</v>
      </c>
      <c r="J193" s="6" t="s">
        <v>161</v>
      </c>
    </row>
    <row r="194" ht="22.5" customHeight="1">
      <c r="A194" s="6" t="s">
        <v>1859</v>
      </c>
      <c r="B194" s="6" t="s">
        <v>1306</v>
      </c>
      <c r="C194" s="10">
        <v>46062.0</v>
      </c>
      <c r="D194" s="6" t="s">
        <v>312</v>
      </c>
      <c r="E194" s="6" t="s">
        <v>833</v>
      </c>
      <c r="F194" s="6" t="s">
        <v>112</v>
      </c>
      <c r="G194" s="6" t="s">
        <v>452</v>
      </c>
      <c r="H194" s="11" t="s">
        <v>259</v>
      </c>
      <c r="I194" s="12">
        <v>7.0</v>
      </c>
      <c r="J194" s="6" t="s">
        <v>161</v>
      </c>
    </row>
    <row r="195" ht="22.5" customHeight="1">
      <c r="A195" s="6" t="s">
        <v>1863</v>
      </c>
      <c r="B195" s="6" t="s">
        <v>1306</v>
      </c>
      <c r="C195" s="10">
        <v>46065.0</v>
      </c>
      <c r="D195" s="6" t="s">
        <v>242</v>
      </c>
      <c r="E195" s="6" t="s">
        <v>1035</v>
      </c>
      <c r="F195" s="6" t="s">
        <v>283</v>
      </c>
      <c r="G195" s="6" t="s">
        <v>369</v>
      </c>
      <c r="H195" s="10">
        <v>46066.0</v>
      </c>
      <c r="I195" s="12">
        <v>3.0</v>
      </c>
      <c r="J195" s="6" t="s">
        <v>161</v>
      </c>
    </row>
    <row r="196" ht="22.5" customHeight="1">
      <c r="A196" s="6" t="s">
        <v>1869</v>
      </c>
      <c r="B196" s="6" t="s">
        <v>1317</v>
      </c>
      <c r="C196" s="10">
        <v>46053.0</v>
      </c>
      <c r="D196" s="6" t="s">
        <v>242</v>
      </c>
      <c r="E196" s="6" t="s">
        <v>1035</v>
      </c>
      <c r="F196" s="6" t="s">
        <v>112</v>
      </c>
      <c r="G196" s="6" t="s">
        <v>477</v>
      </c>
      <c r="H196" s="10">
        <v>46055.0</v>
      </c>
      <c r="I196" s="12">
        <v>6.0</v>
      </c>
      <c r="J196" s="6" t="s">
        <v>178</v>
      </c>
    </row>
    <row r="197" ht="22.5" customHeight="1">
      <c r="A197" s="6" t="s">
        <v>1872</v>
      </c>
      <c r="B197" s="6" t="s">
        <v>1317</v>
      </c>
      <c r="C197" s="10">
        <v>46041.0</v>
      </c>
      <c r="D197" s="6" t="s">
        <v>677</v>
      </c>
      <c r="E197" s="6" t="s">
        <v>512</v>
      </c>
      <c r="F197" s="6" t="s">
        <v>249</v>
      </c>
      <c r="G197" s="6" t="s">
        <v>297</v>
      </c>
      <c r="H197" s="10">
        <v>46046.0</v>
      </c>
      <c r="I197" s="12">
        <v>2.0</v>
      </c>
      <c r="J197" s="6" t="s">
        <v>161</v>
      </c>
    </row>
    <row r="198" ht="22.5" customHeight="1">
      <c r="A198" s="6" t="s">
        <v>1876</v>
      </c>
      <c r="B198" s="6" t="s">
        <v>1327</v>
      </c>
      <c r="C198" s="10">
        <v>46036.0</v>
      </c>
      <c r="D198" s="6" t="s">
        <v>242</v>
      </c>
      <c r="E198" s="6" t="s">
        <v>1273</v>
      </c>
      <c r="F198" s="6" t="s">
        <v>112</v>
      </c>
      <c r="G198" s="6" t="s">
        <v>452</v>
      </c>
      <c r="H198" s="10">
        <v>46042.0</v>
      </c>
      <c r="I198" s="12">
        <v>5.0</v>
      </c>
      <c r="J198" s="6" t="s">
        <v>161</v>
      </c>
    </row>
    <row r="199" ht="22.5" customHeight="1">
      <c r="A199" s="6" t="s">
        <v>1882</v>
      </c>
      <c r="B199" s="6" t="s">
        <v>1327</v>
      </c>
      <c r="C199" s="10">
        <v>46045.0</v>
      </c>
      <c r="D199" s="6" t="s">
        <v>416</v>
      </c>
      <c r="E199" s="6" t="s">
        <v>885</v>
      </c>
      <c r="F199" s="6" t="s">
        <v>249</v>
      </c>
      <c r="G199" s="6" t="s">
        <v>477</v>
      </c>
      <c r="H199" s="11" t="s">
        <v>259</v>
      </c>
      <c r="I199" s="12">
        <v>13.0</v>
      </c>
      <c r="J199" s="6" t="s">
        <v>161</v>
      </c>
    </row>
    <row r="200" ht="22.5" customHeight="1">
      <c r="A200" s="6" t="s">
        <v>1885</v>
      </c>
      <c r="B200" s="6" t="s">
        <v>1336</v>
      </c>
      <c r="C200" s="10">
        <v>46044.0</v>
      </c>
      <c r="D200" s="6" t="s">
        <v>416</v>
      </c>
      <c r="E200" s="6" t="s">
        <v>658</v>
      </c>
      <c r="F200" s="6" t="s">
        <v>249</v>
      </c>
      <c r="G200" s="6" t="s">
        <v>458</v>
      </c>
      <c r="H200" s="10">
        <v>46044.0</v>
      </c>
      <c r="I200" s="12">
        <v>11.0</v>
      </c>
      <c r="J200" s="6" t="s">
        <v>161</v>
      </c>
    </row>
    <row r="201" ht="22.5" customHeight="1">
      <c r="A201" s="6" t="s">
        <v>1889</v>
      </c>
      <c r="B201" s="6" t="s">
        <v>1336</v>
      </c>
      <c r="C201" s="10">
        <v>46047.0</v>
      </c>
      <c r="D201" s="6" t="s">
        <v>391</v>
      </c>
      <c r="E201" s="6" t="s">
        <v>1626</v>
      </c>
      <c r="F201" s="6" t="s">
        <v>249</v>
      </c>
      <c r="G201" s="6" t="s">
        <v>477</v>
      </c>
      <c r="H201" s="10">
        <v>46054.0</v>
      </c>
      <c r="I201" s="12">
        <v>9.0</v>
      </c>
      <c r="J201" s="6" t="s">
        <v>161</v>
      </c>
    </row>
    <row r="202" ht="22.5" customHeight="1">
      <c r="A202" s="6" t="s">
        <v>1892</v>
      </c>
      <c r="B202" s="6" t="s">
        <v>1336</v>
      </c>
      <c r="C202" s="10">
        <v>46050.0</v>
      </c>
      <c r="D202" s="6" t="s">
        <v>242</v>
      </c>
      <c r="E202" s="6" t="s">
        <v>1310</v>
      </c>
      <c r="F202" s="6" t="s">
        <v>249</v>
      </c>
      <c r="G202" s="6" t="s">
        <v>297</v>
      </c>
      <c r="H202" s="11" t="s">
        <v>259</v>
      </c>
      <c r="I202" s="12">
        <v>6.0</v>
      </c>
      <c r="J202" s="6" t="s">
        <v>178</v>
      </c>
    </row>
    <row r="203" ht="22.5" customHeight="1">
      <c r="A203" s="6" t="s">
        <v>1896</v>
      </c>
      <c r="B203" s="6" t="s">
        <v>1336</v>
      </c>
      <c r="C203" s="10">
        <v>46038.0</v>
      </c>
      <c r="D203" s="6" t="s">
        <v>436</v>
      </c>
      <c r="E203" s="6" t="s">
        <v>512</v>
      </c>
      <c r="F203" s="6" t="s">
        <v>249</v>
      </c>
      <c r="G203" s="6" t="s">
        <v>326</v>
      </c>
      <c r="H203" s="10">
        <v>46039.0</v>
      </c>
      <c r="I203" s="12">
        <v>8.0</v>
      </c>
      <c r="J203" s="6" t="s">
        <v>178</v>
      </c>
    </row>
    <row r="204" ht="22.5" customHeight="1">
      <c r="A204" s="6" t="s">
        <v>1901</v>
      </c>
      <c r="B204" s="6" t="s">
        <v>1342</v>
      </c>
      <c r="C204" s="10">
        <v>46052.0</v>
      </c>
      <c r="D204" s="6" t="s">
        <v>312</v>
      </c>
      <c r="E204" s="6" t="s">
        <v>417</v>
      </c>
      <c r="F204" s="6" t="s">
        <v>112</v>
      </c>
      <c r="G204" s="6" t="s">
        <v>326</v>
      </c>
      <c r="H204" s="10">
        <v>46053.0</v>
      </c>
      <c r="I204" s="12">
        <v>4.0</v>
      </c>
      <c r="J204" s="6" t="s">
        <v>161</v>
      </c>
    </row>
    <row r="205" ht="22.5" customHeight="1">
      <c r="A205" s="6" t="s">
        <v>1905</v>
      </c>
      <c r="B205" s="6" t="s">
        <v>1342</v>
      </c>
      <c r="C205" s="10">
        <v>46047.0</v>
      </c>
      <c r="D205" s="6" t="s">
        <v>416</v>
      </c>
      <c r="E205" s="6" t="s">
        <v>628</v>
      </c>
      <c r="F205" s="6" t="s">
        <v>249</v>
      </c>
      <c r="G205" s="6" t="s">
        <v>458</v>
      </c>
      <c r="H205" s="10">
        <v>46051.0</v>
      </c>
      <c r="I205" s="12">
        <v>13.0</v>
      </c>
      <c r="J205" s="6" t="s">
        <v>161</v>
      </c>
    </row>
    <row r="206" ht="22.5" customHeight="1">
      <c r="A206" s="6" t="s">
        <v>1909</v>
      </c>
      <c r="B206" s="6" t="s">
        <v>1342</v>
      </c>
      <c r="C206" s="10">
        <v>46054.0</v>
      </c>
      <c r="D206" s="6" t="s">
        <v>312</v>
      </c>
      <c r="E206" s="6" t="s">
        <v>438</v>
      </c>
      <c r="F206" s="6" t="s">
        <v>439</v>
      </c>
      <c r="G206" s="6" t="s">
        <v>369</v>
      </c>
      <c r="H206" s="11" t="s">
        <v>259</v>
      </c>
      <c r="I206" s="12">
        <v>5.0</v>
      </c>
      <c r="J206" s="6" t="s">
        <v>161</v>
      </c>
    </row>
    <row r="207" ht="22.5" customHeight="1">
      <c r="A207" s="6" t="s">
        <v>1913</v>
      </c>
      <c r="B207" s="6" t="s">
        <v>1355</v>
      </c>
      <c r="C207" s="10">
        <v>46027.0</v>
      </c>
      <c r="D207" s="6" t="s">
        <v>289</v>
      </c>
      <c r="E207" s="6" t="s">
        <v>1273</v>
      </c>
      <c r="F207" s="6" t="s">
        <v>249</v>
      </c>
      <c r="G207" s="6" t="s">
        <v>254</v>
      </c>
      <c r="H207" s="10">
        <v>46030.0</v>
      </c>
      <c r="I207" s="12">
        <v>10.0</v>
      </c>
      <c r="J207" s="6" t="s">
        <v>161</v>
      </c>
    </row>
    <row r="208" ht="22.5" customHeight="1">
      <c r="A208" s="6" t="s">
        <v>1917</v>
      </c>
      <c r="B208" s="6" t="s">
        <v>1355</v>
      </c>
      <c r="C208" s="10">
        <v>46032.0</v>
      </c>
      <c r="D208" s="6" t="s">
        <v>677</v>
      </c>
      <c r="E208" s="6" t="s">
        <v>618</v>
      </c>
      <c r="F208" s="6" t="s">
        <v>249</v>
      </c>
      <c r="G208" s="6" t="s">
        <v>297</v>
      </c>
      <c r="H208" s="10">
        <v>46032.0</v>
      </c>
      <c r="I208" s="12">
        <v>3.0</v>
      </c>
      <c r="J208" s="6" t="s">
        <v>161</v>
      </c>
    </row>
    <row r="209" ht="22.5" customHeight="1">
      <c r="A209" s="6" t="s">
        <v>1922</v>
      </c>
      <c r="B209" s="6" t="s">
        <v>1355</v>
      </c>
      <c r="C209" s="10">
        <v>46027.0</v>
      </c>
      <c r="D209" s="6" t="s">
        <v>391</v>
      </c>
      <c r="E209" s="6" t="s">
        <v>812</v>
      </c>
      <c r="F209" s="6" t="s">
        <v>439</v>
      </c>
      <c r="G209" s="6" t="s">
        <v>326</v>
      </c>
      <c r="H209" s="10">
        <v>46031.0</v>
      </c>
      <c r="I209" s="12">
        <v>10.0</v>
      </c>
      <c r="J209" s="6" t="s">
        <v>161</v>
      </c>
    </row>
    <row r="210" ht="22.5" customHeight="1">
      <c r="A210" s="6" t="s">
        <v>1925</v>
      </c>
      <c r="B210" s="6" t="s">
        <v>1355</v>
      </c>
      <c r="C210" s="10">
        <v>46034.0</v>
      </c>
      <c r="D210" s="6" t="s">
        <v>312</v>
      </c>
      <c r="E210" s="6" t="s">
        <v>1055</v>
      </c>
      <c r="F210" s="6" t="s">
        <v>249</v>
      </c>
      <c r="G210" s="6" t="s">
        <v>254</v>
      </c>
      <c r="H210" s="10">
        <v>46035.0</v>
      </c>
      <c r="I210" s="12">
        <v>4.0</v>
      </c>
      <c r="J210" s="6" t="s">
        <v>161</v>
      </c>
    </row>
    <row r="211" ht="22.5" customHeight="1">
      <c r="A211" s="6" t="s">
        <v>1929</v>
      </c>
      <c r="B211" s="6" t="s">
        <v>1361</v>
      </c>
      <c r="C211" s="10">
        <v>46033.0</v>
      </c>
      <c r="D211" s="6" t="s">
        <v>436</v>
      </c>
      <c r="E211" s="6" t="s">
        <v>512</v>
      </c>
      <c r="F211" s="6" t="s">
        <v>283</v>
      </c>
      <c r="G211" s="6" t="s">
        <v>477</v>
      </c>
      <c r="H211" s="10">
        <v>46033.0</v>
      </c>
      <c r="I211" s="12">
        <v>6.0</v>
      </c>
      <c r="J211" s="6" t="s">
        <v>178</v>
      </c>
    </row>
    <row r="212" ht="22.5" customHeight="1">
      <c r="A212" s="6" t="s">
        <v>1935</v>
      </c>
      <c r="B212" s="6" t="s">
        <v>1361</v>
      </c>
      <c r="C212" s="10">
        <v>46043.0</v>
      </c>
      <c r="D212" s="6" t="s">
        <v>416</v>
      </c>
      <c r="E212" s="6" t="s">
        <v>512</v>
      </c>
      <c r="F212" s="6" t="s">
        <v>283</v>
      </c>
      <c r="G212" s="6" t="s">
        <v>326</v>
      </c>
      <c r="H212" s="10">
        <v>46046.0</v>
      </c>
      <c r="I212" s="12">
        <v>9.0</v>
      </c>
      <c r="J212" s="6" t="s">
        <v>161</v>
      </c>
    </row>
    <row r="213" ht="22.5" customHeight="1">
      <c r="A213" s="6" t="s">
        <v>1940</v>
      </c>
      <c r="B213" s="6" t="s">
        <v>1361</v>
      </c>
      <c r="C213" s="10">
        <v>46032.0</v>
      </c>
      <c r="D213" s="6" t="s">
        <v>242</v>
      </c>
      <c r="E213" s="6" t="s">
        <v>731</v>
      </c>
      <c r="F213" s="6" t="s">
        <v>439</v>
      </c>
      <c r="G213" s="6" t="s">
        <v>297</v>
      </c>
      <c r="H213" s="11" t="s">
        <v>259</v>
      </c>
      <c r="I213" s="12">
        <v>5.0</v>
      </c>
      <c r="J213" s="6" t="s">
        <v>178</v>
      </c>
    </row>
    <row r="214" ht="22.5" customHeight="1">
      <c r="A214" s="6" t="s">
        <v>1944</v>
      </c>
      <c r="B214" s="6" t="s">
        <v>1367</v>
      </c>
      <c r="C214" s="10">
        <v>46059.0</v>
      </c>
      <c r="D214" s="6" t="s">
        <v>289</v>
      </c>
      <c r="E214" s="6" t="s">
        <v>1280</v>
      </c>
      <c r="F214" s="6" t="s">
        <v>112</v>
      </c>
      <c r="G214" s="6" t="s">
        <v>477</v>
      </c>
      <c r="H214" s="10">
        <v>46064.0</v>
      </c>
      <c r="I214" s="12">
        <v>8.0</v>
      </c>
      <c r="J214" s="6" t="s">
        <v>161</v>
      </c>
    </row>
    <row r="215" ht="22.5" customHeight="1">
      <c r="A215" s="6" t="s">
        <v>1948</v>
      </c>
      <c r="B215" s="6" t="s">
        <v>1375</v>
      </c>
      <c r="C215" s="10">
        <v>46063.0</v>
      </c>
      <c r="D215" s="6" t="s">
        <v>312</v>
      </c>
      <c r="E215" s="6" t="s">
        <v>1273</v>
      </c>
      <c r="F215" s="6" t="s">
        <v>249</v>
      </c>
      <c r="G215" s="6" t="s">
        <v>458</v>
      </c>
      <c r="H215" s="10">
        <v>46069.0</v>
      </c>
      <c r="I215" s="12">
        <v>4.0</v>
      </c>
      <c r="J215" s="6" t="s">
        <v>161</v>
      </c>
    </row>
    <row r="216" ht="22.5" customHeight="1">
      <c r="A216" s="6" t="s">
        <v>1952</v>
      </c>
      <c r="B216" s="6" t="s">
        <v>1375</v>
      </c>
      <c r="C216" s="10">
        <v>46057.0</v>
      </c>
      <c r="D216" s="6" t="s">
        <v>289</v>
      </c>
      <c r="E216" s="6" t="s">
        <v>738</v>
      </c>
      <c r="F216" s="6" t="s">
        <v>283</v>
      </c>
      <c r="G216" s="6" t="s">
        <v>254</v>
      </c>
      <c r="H216" s="10">
        <v>46061.0</v>
      </c>
      <c r="I216" s="12">
        <v>6.0</v>
      </c>
      <c r="J216" s="6" t="s">
        <v>161</v>
      </c>
    </row>
    <row r="217" ht="22.5" customHeight="1">
      <c r="A217" s="6" t="s">
        <v>1956</v>
      </c>
      <c r="B217" s="6" t="s">
        <v>1375</v>
      </c>
      <c r="C217" s="10">
        <v>46055.0</v>
      </c>
      <c r="D217" s="6" t="s">
        <v>289</v>
      </c>
      <c r="E217" s="6" t="s">
        <v>1035</v>
      </c>
      <c r="F217" s="6" t="s">
        <v>112</v>
      </c>
      <c r="G217" s="6" t="s">
        <v>477</v>
      </c>
      <c r="H217" s="10">
        <v>46057.0</v>
      </c>
      <c r="I217" s="12">
        <v>7.0</v>
      </c>
      <c r="J217" s="6" t="s">
        <v>161</v>
      </c>
    </row>
    <row r="218" ht="22.5" customHeight="1">
      <c r="A218" s="6" t="s">
        <v>1960</v>
      </c>
      <c r="B218" s="6" t="s">
        <v>1375</v>
      </c>
      <c r="C218" s="10">
        <v>46063.0</v>
      </c>
      <c r="D218" s="6" t="s">
        <v>289</v>
      </c>
      <c r="E218" s="6" t="s">
        <v>1517</v>
      </c>
      <c r="F218" s="6" t="s">
        <v>112</v>
      </c>
      <c r="G218" s="6" t="s">
        <v>297</v>
      </c>
      <c r="H218" s="10">
        <v>46070.0</v>
      </c>
      <c r="I218" s="12">
        <v>7.0</v>
      </c>
      <c r="J218" s="6" t="s">
        <v>161</v>
      </c>
    </row>
    <row r="219" ht="22.5" customHeight="1">
      <c r="A219" s="6" t="s">
        <v>1966</v>
      </c>
      <c r="B219" s="6" t="s">
        <v>1375</v>
      </c>
      <c r="C219" s="10">
        <v>46048.0</v>
      </c>
      <c r="D219" s="6" t="s">
        <v>312</v>
      </c>
      <c r="E219" s="6" t="s">
        <v>1969</v>
      </c>
      <c r="F219" s="6" t="s">
        <v>439</v>
      </c>
      <c r="G219" s="6" t="s">
        <v>494</v>
      </c>
      <c r="H219" s="10">
        <v>46055.0</v>
      </c>
      <c r="I219" s="12">
        <v>4.0</v>
      </c>
      <c r="J219" s="6" t="s">
        <v>161</v>
      </c>
    </row>
    <row r="220" ht="22.5" customHeight="1">
      <c r="A220" s="6" t="s">
        <v>1973</v>
      </c>
      <c r="B220" s="6" t="s">
        <v>1381</v>
      </c>
      <c r="C220" s="10">
        <v>46081.0</v>
      </c>
      <c r="D220" s="6" t="s">
        <v>289</v>
      </c>
      <c r="E220" s="6" t="s">
        <v>566</v>
      </c>
      <c r="F220" s="6" t="s">
        <v>283</v>
      </c>
      <c r="G220" s="6" t="s">
        <v>297</v>
      </c>
      <c r="H220" s="10">
        <v>46081.0</v>
      </c>
      <c r="I220" s="12">
        <v>8.0</v>
      </c>
      <c r="J220" s="6" t="s">
        <v>161</v>
      </c>
    </row>
    <row r="221" ht="22.5" customHeight="1">
      <c r="A221" s="6" t="s">
        <v>1978</v>
      </c>
      <c r="B221" s="6" t="s">
        <v>1381</v>
      </c>
      <c r="C221" s="10">
        <v>46078.0</v>
      </c>
      <c r="D221" s="6" t="s">
        <v>312</v>
      </c>
      <c r="E221" s="6" t="s">
        <v>1720</v>
      </c>
      <c r="F221" s="6" t="s">
        <v>283</v>
      </c>
      <c r="G221" s="6" t="s">
        <v>477</v>
      </c>
      <c r="H221" s="10">
        <v>46081.0</v>
      </c>
      <c r="I221" s="12">
        <v>7.0</v>
      </c>
      <c r="J221" s="6" t="s">
        <v>161</v>
      </c>
    </row>
    <row r="222" ht="22.5" customHeight="1">
      <c r="A222" s="6" t="s">
        <v>1982</v>
      </c>
      <c r="B222" s="6" t="s">
        <v>1390</v>
      </c>
      <c r="C222" s="10">
        <v>46055.0</v>
      </c>
      <c r="D222" s="6" t="s">
        <v>312</v>
      </c>
      <c r="E222" s="6" t="s">
        <v>1102</v>
      </c>
      <c r="F222" s="6" t="s">
        <v>283</v>
      </c>
      <c r="G222" s="6" t="s">
        <v>494</v>
      </c>
      <c r="H222" s="10">
        <v>46059.0</v>
      </c>
      <c r="I222" s="12">
        <v>6.0</v>
      </c>
      <c r="J222" s="6" t="s">
        <v>161</v>
      </c>
    </row>
    <row r="223" ht="22.5" customHeight="1">
      <c r="A223" s="6" t="s">
        <v>1987</v>
      </c>
      <c r="B223" s="6" t="s">
        <v>1397</v>
      </c>
      <c r="C223" s="10">
        <v>46072.0</v>
      </c>
      <c r="D223" s="6" t="s">
        <v>391</v>
      </c>
      <c r="E223" s="6" t="s">
        <v>394</v>
      </c>
      <c r="F223" s="6" t="s">
        <v>439</v>
      </c>
      <c r="G223" s="6" t="s">
        <v>477</v>
      </c>
      <c r="H223" s="10">
        <v>46079.0</v>
      </c>
      <c r="I223" s="12">
        <v>6.0</v>
      </c>
      <c r="J223" s="6" t="s">
        <v>161</v>
      </c>
    </row>
    <row r="224" ht="22.5" customHeight="1">
      <c r="A224" s="6" t="s">
        <v>1992</v>
      </c>
      <c r="B224" s="6" t="s">
        <v>1404</v>
      </c>
      <c r="C224" s="10">
        <v>46070.0</v>
      </c>
      <c r="D224" s="6" t="s">
        <v>289</v>
      </c>
      <c r="E224" s="6" t="s">
        <v>583</v>
      </c>
      <c r="F224" s="6" t="s">
        <v>249</v>
      </c>
      <c r="G224" s="6" t="s">
        <v>458</v>
      </c>
      <c r="H224" s="10">
        <v>46074.0</v>
      </c>
      <c r="I224" s="12">
        <v>7.0</v>
      </c>
      <c r="J224" s="6" t="s">
        <v>161</v>
      </c>
    </row>
    <row r="225" ht="22.5" customHeight="1">
      <c r="A225" s="6" t="s">
        <v>1998</v>
      </c>
      <c r="B225" s="6" t="s">
        <v>1404</v>
      </c>
      <c r="C225" s="10">
        <v>46086.0</v>
      </c>
      <c r="D225" s="6" t="s">
        <v>312</v>
      </c>
      <c r="E225" s="6" t="s">
        <v>658</v>
      </c>
      <c r="F225" s="6" t="s">
        <v>283</v>
      </c>
      <c r="G225" s="6" t="s">
        <v>477</v>
      </c>
      <c r="H225" s="10">
        <v>46092.0</v>
      </c>
      <c r="I225" s="12">
        <v>6.0</v>
      </c>
      <c r="J225" s="6" t="s">
        <v>161</v>
      </c>
    </row>
    <row r="226" ht="22.5" customHeight="1">
      <c r="A226" s="6" t="s">
        <v>2001</v>
      </c>
      <c r="B226" s="6" t="s">
        <v>1404</v>
      </c>
      <c r="C226" s="10">
        <v>46084.0</v>
      </c>
      <c r="D226" s="6" t="s">
        <v>416</v>
      </c>
      <c r="E226" s="6" t="s">
        <v>1600</v>
      </c>
      <c r="F226" s="6" t="s">
        <v>439</v>
      </c>
      <c r="G226" s="6" t="s">
        <v>297</v>
      </c>
      <c r="H226" s="10">
        <v>46087.0</v>
      </c>
      <c r="I226" s="12">
        <v>11.0</v>
      </c>
      <c r="J226" s="6" t="s">
        <v>161</v>
      </c>
    </row>
    <row r="227" ht="22.5" customHeight="1">
      <c r="A227" s="6" t="s">
        <v>2006</v>
      </c>
      <c r="B227" s="6" t="s">
        <v>1404</v>
      </c>
      <c r="C227" s="10">
        <v>46069.0</v>
      </c>
      <c r="D227" s="6" t="s">
        <v>312</v>
      </c>
      <c r="E227" s="6" t="s">
        <v>1241</v>
      </c>
      <c r="F227" s="6" t="s">
        <v>112</v>
      </c>
      <c r="G227" s="6" t="s">
        <v>326</v>
      </c>
      <c r="H227" s="11" t="s">
        <v>259</v>
      </c>
      <c r="I227" s="12">
        <v>4.0</v>
      </c>
      <c r="J227" s="6" t="s">
        <v>161</v>
      </c>
    </row>
    <row r="228" ht="22.5" customHeight="1">
      <c r="A228" s="6" t="s">
        <v>2011</v>
      </c>
      <c r="B228" s="6" t="s">
        <v>1404</v>
      </c>
      <c r="C228" s="10">
        <v>46078.0</v>
      </c>
      <c r="D228" s="6" t="s">
        <v>391</v>
      </c>
      <c r="E228" s="6" t="s">
        <v>731</v>
      </c>
      <c r="F228" s="6" t="s">
        <v>112</v>
      </c>
      <c r="G228" s="6" t="s">
        <v>326</v>
      </c>
      <c r="H228" s="10">
        <v>46083.0</v>
      </c>
      <c r="I228" s="12">
        <v>8.0</v>
      </c>
      <c r="J228" s="6" t="s">
        <v>161</v>
      </c>
    </row>
    <row r="229" ht="22.5" customHeight="1">
      <c r="A229" s="6" t="s">
        <v>2016</v>
      </c>
      <c r="B229" s="6" t="s">
        <v>1412</v>
      </c>
      <c r="C229" s="10">
        <v>46071.0</v>
      </c>
      <c r="D229" s="6" t="s">
        <v>391</v>
      </c>
      <c r="E229" s="6" t="s">
        <v>1386</v>
      </c>
      <c r="F229" s="6" t="s">
        <v>283</v>
      </c>
      <c r="G229" s="6" t="s">
        <v>326</v>
      </c>
      <c r="H229" s="10">
        <v>46071.0</v>
      </c>
      <c r="I229" s="12">
        <v>8.0</v>
      </c>
      <c r="J229" s="6" t="s">
        <v>161</v>
      </c>
    </row>
    <row r="230" ht="22.5" customHeight="1">
      <c r="A230" s="6" t="s">
        <v>2019</v>
      </c>
      <c r="B230" s="6" t="s">
        <v>1412</v>
      </c>
      <c r="C230" s="10">
        <v>46060.0</v>
      </c>
      <c r="D230" s="6" t="s">
        <v>289</v>
      </c>
      <c r="E230" s="6" t="s">
        <v>863</v>
      </c>
      <c r="F230" s="6" t="s">
        <v>112</v>
      </c>
      <c r="G230" s="6" t="s">
        <v>452</v>
      </c>
      <c r="H230" s="10">
        <v>46062.0</v>
      </c>
      <c r="I230" s="12">
        <v>10.0</v>
      </c>
      <c r="J230" s="6" t="s">
        <v>161</v>
      </c>
    </row>
    <row r="231" ht="22.5" customHeight="1">
      <c r="A231" s="6" t="s">
        <v>2024</v>
      </c>
      <c r="B231" s="6" t="s">
        <v>1412</v>
      </c>
      <c r="C231" s="10">
        <v>46068.0</v>
      </c>
      <c r="D231" s="6" t="s">
        <v>436</v>
      </c>
      <c r="E231" s="6" t="s">
        <v>812</v>
      </c>
      <c r="F231" s="6" t="s">
        <v>112</v>
      </c>
      <c r="G231" s="6" t="s">
        <v>326</v>
      </c>
      <c r="H231" s="10">
        <v>46071.0</v>
      </c>
      <c r="I231" s="12">
        <v>7.0</v>
      </c>
      <c r="J231" s="6" t="s">
        <v>178</v>
      </c>
    </row>
    <row r="232" ht="22.5" customHeight="1">
      <c r="A232" s="6" t="s">
        <v>2027</v>
      </c>
      <c r="B232" s="6" t="s">
        <v>1419</v>
      </c>
      <c r="C232" s="10">
        <v>46043.0</v>
      </c>
      <c r="D232" s="6" t="s">
        <v>312</v>
      </c>
      <c r="E232" s="6" t="s">
        <v>955</v>
      </c>
      <c r="F232" s="6" t="s">
        <v>112</v>
      </c>
      <c r="G232" s="6" t="s">
        <v>326</v>
      </c>
      <c r="H232" s="11" t="s">
        <v>259</v>
      </c>
      <c r="I232" s="12">
        <v>5.0</v>
      </c>
      <c r="J232" s="6" t="s">
        <v>161</v>
      </c>
    </row>
    <row r="233" ht="22.5" customHeight="1">
      <c r="A233" s="6" t="s">
        <v>2031</v>
      </c>
      <c r="B233" s="6" t="s">
        <v>1419</v>
      </c>
      <c r="C233" s="10">
        <v>46025.0</v>
      </c>
      <c r="D233" s="6" t="s">
        <v>391</v>
      </c>
      <c r="E233" s="6" t="s">
        <v>1969</v>
      </c>
      <c r="F233" s="6" t="s">
        <v>439</v>
      </c>
      <c r="G233" s="6" t="s">
        <v>297</v>
      </c>
      <c r="H233" s="10">
        <v>46026.0</v>
      </c>
      <c r="I233" s="12">
        <v>11.0</v>
      </c>
      <c r="J233" s="6" t="s">
        <v>161</v>
      </c>
    </row>
    <row r="234" ht="22.5" customHeight="1">
      <c r="A234" s="6" t="s">
        <v>2037</v>
      </c>
      <c r="B234" s="6" t="s">
        <v>1419</v>
      </c>
      <c r="C234" s="10">
        <v>46045.0</v>
      </c>
      <c r="D234" s="6" t="s">
        <v>436</v>
      </c>
      <c r="E234" s="6" t="s">
        <v>704</v>
      </c>
      <c r="F234" s="6" t="s">
        <v>249</v>
      </c>
      <c r="G234" s="6" t="s">
        <v>452</v>
      </c>
      <c r="H234" s="10">
        <v>46047.0</v>
      </c>
      <c r="I234" s="12">
        <v>7.0</v>
      </c>
      <c r="J234" s="6" t="s">
        <v>178</v>
      </c>
    </row>
    <row r="235" ht="22.5" customHeight="1">
      <c r="A235" s="6" t="s">
        <v>2043</v>
      </c>
      <c r="B235" s="6" t="s">
        <v>1426</v>
      </c>
      <c r="C235" s="10">
        <v>46080.0</v>
      </c>
      <c r="D235" s="6" t="s">
        <v>677</v>
      </c>
      <c r="E235" s="6" t="s">
        <v>812</v>
      </c>
      <c r="F235" s="6" t="s">
        <v>283</v>
      </c>
      <c r="G235" s="6" t="s">
        <v>477</v>
      </c>
      <c r="H235" s="10">
        <v>46086.0</v>
      </c>
      <c r="I235" s="12">
        <v>3.0</v>
      </c>
      <c r="J235" s="6" t="s">
        <v>161</v>
      </c>
    </row>
    <row r="236" ht="22.5" customHeight="1">
      <c r="A236" s="6" t="s">
        <v>2049</v>
      </c>
      <c r="B236" s="6" t="s">
        <v>1426</v>
      </c>
      <c r="C236" s="10">
        <v>46083.0</v>
      </c>
      <c r="D236" s="6" t="s">
        <v>289</v>
      </c>
      <c r="E236" s="6" t="s">
        <v>1969</v>
      </c>
      <c r="F236" s="6" t="s">
        <v>283</v>
      </c>
      <c r="G236" s="6" t="s">
        <v>254</v>
      </c>
      <c r="H236" s="10">
        <v>46085.0</v>
      </c>
      <c r="I236" s="12">
        <v>10.0</v>
      </c>
      <c r="J236" s="6" t="s">
        <v>161</v>
      </c>
    </row>
    <row r="237" ht="22.5" customHeight="1">
      <c r="A237" s="6" t="s">
        <v>2052</v>
      </c>
      <c r="B237" s="6" t="s">
        <v>1426</v>
      </c>
      <c r="C237" s="10">
        <v>46083.0</v>
      </c>
      <c r="D237" s="6" t="s">
        <v>242</v>
      </c>
      <c r="E237" s="6" t="s">
        <v>1310</v>
      </c>
      <c r="F237" s="6" t="s">
        <v>283</v>
      </c>
      <c r="G237" s="6" t="s">
        <v>477</v>
      </c>
      <c r="H237" s="10">
        <v>46089.0</v>
      </c>
      <c r="I237" s="12">
        <v>3.0</v>
      </c>
      <c r="J237" s="6" t="s">
        <v>161</v>
      </c>
    </row>
    <row r="238" ht="22.5" customHeight="1">
      <c r="A238" s="6" t="s">
        <v>2057</v>
      </c>
      <c r="B238" s="6" t="s">
        <v>1437</v>
      </c>
      <c r="C238" s="10">
        <v>46067.0</v>
      </c>
      <c r="D238" s="6" t="s">
        <v>391</v>
      </c>
      <c r="E238" s="6" t="s">
        <v>450</v>
      </c>
      <c r="F238" s="6" t="s">
        <v>112</v>
      </c>
      <c r="G238" s="6" t="s">
        <v>477</v>
      </c>
      <c r="H238" s="11" t="s">
        <v>259</v>
      </c>
      <c r="I238" s="12">
        <v>9.0</v>
      </c>
      <c r="J238" s="6" t="s">
        <v>161</v>
      </c>
    </row>
    <row r="239" ht="22.5" customHeight="1">
      <c r="A239" s="6" t="s">
        <v>2062</v>
      </c>
      <c r="B239" s="6" t="s">
        <v>1437</v>
      </c>
      <c r="C239" s="10">
        <v>46069.0</v>
      </c>
      <c r="D239" s="6" t="s">
        <v>391</v>
      </c>
      <c r="E239" s="6" t="s">
        <v>1700</v>
      </c>
      <c r="F239" s="6" t="s">
        <v>112</v>
      </c>
      <c r="G239" s="6" t="s">
        <v>452</v>
      </c>
      <c r="H239" s="10">
        <v>46076.0</v>
      </c>
      <c r="I239" s="12">
        <v>7.0</v>
      </c>
      <c r="J239" s="6" t="s">
        <v>161</v>
      </c>
    </row>
    <row r="240" ht="22.5" customHeight="1">
      <c r="A240" s="6" t="s">
        <v>2068</v>
      </c>
      <c r="B240" s="6" t="s">
        <v>1437</v>
      </c>
      <c r="C240" s="10">
        <v>46057.0</v>
      </c>
      <c r="D240" s="6" t="s">
        <v>391</v>
      </c>
      <c r="E240" s="6" t="s">
        <v>738</v>
      </c>
      <c r="F240" s="6" t="s">
        <v>439</v>
      </c>
      <c r="G240" s="6" t="s">
        <v>254</v>
      </c>
      <c r="H240" s="10">
        <v>46057.0</v>
      </c>
      <c r="I240" s="12">
        <v>7.0</v>
      </c>
      <c r="J240" s="6" t="s">
        <v>161</v>
      </c>
    </row>
    <row r="241" ht="22.5" customHeight="1">
      <c r="A241" s="6" t="s">
        <v>2071</v>
      </c>
      <c r="B241" s="6" t="s">
        <v>1437</v>
      </c>
      <c r="C241" s="10">
        <v>46053.0</v>
      </c>
      <c r="D241" s="6" t="s">
        <v>289</v>
      </c>
      <c r="E241" s="6" t="s">
        <v>1273</v>
      </c>
      <c r="F241" s="6" t="s">
        <v>283</v>
      </c>
      <c r="G241" s="6" t="s">
        <v>326</v>
      </c>
      <c r="H241" s="10">
        <v>46055.0</v>
      </c>
      <c r="I241" s="12">
        <v>5.0</v>
      </c>
      <c r="J241" s="6" t="s">
        <v>161</v>
      </c>
    </row>
    <row r="242" ht="22.5" customHeight="1">
      <c r="A242" s="6" t="s">
        <v>2076</v>
      </c>
      <c r="B242" s="6" t="s">
        <v>1437</v>
      </c>
      <c r="C242" s="10">
        <v>46050.0</v>
      </c>
      <c r="D242" s="6" t="s">
        <v>436</v>
      </c>
      <c r="E242" s="6" t="s">
        <v>365</v>
      </c>
      <c r="F242" s="6" t="s">
        <v>112</v>
      </c>
      <c r="G242" s="6" t="s">
        <v>452</v>
      </c>
      <c r="H242" s="11" t="s">
        <v>259</v>
      </c>
      <c r="I242" s="12">
        <v>12.0</v>
      </c>
      <c r="J242" s="6" t="s">
        <v>161</v>
      </c>
    </row>
    <row r="243" ht="22.5" customHeight="1">
      <c r="A243" s="6" t="s">
        <v>2082</v>
      </c>
      <c r="B243" s="6" t="s">
        <v>1444</v>
      </c>
      <c r="C243" s="10">
        <v>46066.0</v>
      </c>
      <c r="D243" s="6" t="s">
        <v>436</v>
      </c>
      <c r="E243" s="6" t="s">
        <v>1546</v>
      </c>
      <c r="F243" s="6" t="s">
        <v>283</v>
      </c>
      <c r="G243" s="6" t="s">
        <v>452</v>
      </c>
      <c r="H243" s="10">
        <v>46071.0</v>
      </c>
      <c r="I243" s="12">
        <v>7.0</v>
      </c>
      <c r="J243" s="6" t="s">
        <v>178</v>
      </c>
    </row>
    <row r="244" ht="22.5" customHeight="1">
      <c r="A244" s="6" t="s">
        <v>2087</v>
      </c>
      <c r="B244" s="6" t="s">
        <v>1444</v>
      </c>
      <c r="C244" s="10">
        <v>46068.0</v>
      </c>
      <c r="D244" s="6" t="s">
        <v>242</v>
      </c>
      <c r="E244" s="6" t="s">
        <v>1720</v>
      </c>
      <c r="F244" s="6" t="s">
        <v>249</v>
      </c>
      <c r="G244" s="6" t="s">
        <v>326</v>
      </c>
      <c r="H244" s="11" t="s">
        <v>259</v>
      </c>
      <c r="I244" s="12">
        <v>3.0</v>
      </c>
      <c r="J244" s="6" t="s">
        <v>178</v>
      </c>
    </row>
    <row r="245" ht="22.5" customHeight="1">
      <c r="A245" s="6" t="s">
        <v>2092</v>
      </c>
      <c r="B245" s="6" t="s">
        <v>1444</v>
      </c>
      <c r="C245" s="10">
        <v>46059.0</v>
      </c>
      <c r="D245" s="6" t="s">
        <v>391</v>
      </c>
      <c r="E245" s="6" t="s">
        <v>246</v>
      </c>
      <c r="F245" s="6" t="s">
        <v>249</v>
      </c>
      <c r="G245" s="6" t="s">
        <v>254</v>
      </c>
      <c r="H245" s="10">
        <v>46062.0</v>
      </c>
      <c r="I245" s="12">
        <v>11.0</v>
      </c>
      <c r="J245" s="6" t="s">
        <v>161</v>
      </c>
    </row>
    <row r="246" ht="22.5" customHeight="1">
      <c r="A246" s="6" t="s">
        <v>2095</v>
      </c>
      <c r="B246" s="6" t="s">
        <v>1451</v>
      </c>
      <c r="C246" s="10">
        <v>46034.0</v>
      </c>
      <c r="D246" s="6" t="s">
        <v>391</v>
      </c>
      <c r="E246" s="6" t="s">
        <v>394</v>
      </c>
      <c r="F246" s="6" t="s">
        <v>283</v>
      </c>
      <c r="G246" s="6" t="s">
        <v>326</v>
      </c>
      <c r="H246" s="10">
        <v>46040.0</v>
      </c>
      <c r="I246" s="12">
        <v>6.0</v>
      </c>
      <c r="J246" s="6" t="s">
        <v>161</v>
      </c>
    </row>
    <row r="247" ht="22.5" customHeight="1">
      <c r="A247" s="6" t="s">
        <v>2101</v>
      </c>
      <c r="B247" s="6" t="s">
        <v>1458</v>
      </c>
      <c r="C247" s="10">
        <v>46051.0</v>
      </c>
      <c r="D247" s="6" t="s">
        <v>312</v>
      </c>
      <c r="E247" s="6" t="s">
        <v>450</v>
      </c>
      <c r="F247" s="6" t="s">
        <v>112</v>
      </c>
      <c r="G247" s="6" t="s">
        <v>458</v>
      </c>
      <c r="H247" s="10">
        <v>46051.0</v>
      </c>
      <c r="I247" s="12">
        <v>6.0</v>
      </c>
      <c r="J247" s="6" t="s">
        <v>161</v>
      </c>
    </row>
    <row r="248" ht="22.5" customHeight="1">
      <c r="A248" s="6" t="s">
        <v>2106</v>
      </c>
      <c r="B248" s="6" t="s">
        <v>1458</v>
      </c>
      <c r="C248" s="10">
        <v>46064.0</v>
      </c>
      <c r="D248" s="6" t="s">
        <v>242</v>
      </c>
      <c r="E248" s="6" t="s">
        <v>885</v>
      </c>
      <c r="F248" s="6" t="s">
        <v>283</v>
      </c>
      <c r="G248" s="6" t="s">
        <v>452</v>
      </c>
      <c r="H248" s="10">
        <v>46068.0</v>
      </c>
      <c r="I248" s="12">
        <v>5.0</v>
      </c>
      <c r="J248" s="6" t="s">
        <v>161</v>
      </c>
    </row>
    <row r="249" ht="22.5" customHeight="1">
      <c r="A249" s="6" t="s">
        <v>2111</v>
      </c>
      <c r="B249" s="6" t="s">
        <v>1458</v>
      </c>
      <c r="C249" s="10">
        <v>46061.0</v>
      </c>
      <c r="D249" s="6" t="s">
        <v>289</v>
      </c>
      <c r="E249" s="6" t="s">
        <v>687</v>
      </c>
      <c r="F249" s="6" t="s">
        <v>249</v>
      </c>
      <c r="G249" s="6" t="s">
        <v>494</v>
      </c>
      <c r="H249" s="10">
        <v>46067.0</v>
      </c>
      <c r="I249" s="12">
        <v>7.0</v>
      </c>
      <c r="J249" s="6" t="s">
        <v>161</v>
      </c>
    </row>
    <row r="250" ht="22.5" customHeight="1">
      <c r="A250" s="6" t="s">
        <v>2116</v>
      </c>
      <c r="B250" s="6" t="s">
        <v>1458</v>
      </c>
      <c r="C250" s="10">
        <v>46063.0</v>
      </c>
      <c r="D250" s="6" t="s">
        <v>312</v>
      </c>
      <c r="E250" s="6" t="s">
        <v>466</v>
      </c>
      <c r="F250" s="6" t="s">
        <v>249</v>
      </c>
      <c r="G250" s="6" t="s">
        <v>452</v>
      </c>
      <c r="H250" s="10">
        <v>46067.0</v>
      </c>
      <c r="I250" s="12">
        <v>7.0</v>
      </c>
      <c r="J250" s="6" t="s">
        <v>161</v>
      </c>
    </row>
    <row r="251" ht="22.5" customHeight="1">
      <c r="A251" s="6" t="s">
        <v>2119</v>
      </c>
      <c r="B251" s="6" t="s">
        <v>1466</v>
      </c>
      <c r="C251" s="10">
        <v>46047.0</v>
      </c>
      <c r="D251" s="6" t="s">
        <v>677</v>
      </c>
      <c r="E251" s="6" t="s">
        <v>1310</v>
      </c>
      <c r="F251" s="6" t="s">
        <v>249</v>
      </c>
      <c r="G251" s="6" t="s">
        <v>458</v>
      </c>
      <c r="H251" s="10">
        <v>46050.0</v>
      </c>
      <c r="I251" s="12">
        <v>3.0</v>
      </c>
      <c r="J251" s="6" t="s">
        <v>161</v>
      </c>
    </row>
    <row r="252" ht="22.5" customHeight="1">
      <c r="A252" s="6" t="s">
        <v>2124</v>
      </c>
      <c r="B252" s="6" t="s">
        <v>1466</v>
      </c>
      <c r="C252" s="10">
        <v>46045.0</v>
      </c>
      <c r="D252" s="6" t="s">
        <v>436</v>
      </c>
      <c r="E252" s="6" t="s">
        <v>1969</v>
      </c>
      <c r="F252" s="6" t="s">
        <v>249</v>
      </c>
      <c r="G252" s="6" t="s">
        <v>254</v>
      </c>
      <c r="H252" s="10">
        <v>46047.0</v>
      </c>
      <c r="I252" s="12">
        <v>8.0</v>
      </c>
      <c r="J252" s="6" t="s">
        <v>161</v>
      </c>
    </row>
    <row r="253" ht="22.5" customHeight="1">
      <c r="A253" s="6" t="s">
        <v>2129</v>
      </c>
      <c r="B253" s="6" t="s">
        <v>1466</v>
      </c>
      <c r="C253" s="10">
        <v>46051.0</v>
      </c>
      <c r="D253" s="6" t="s">
        <v>436</v>
      </c>
      <c r="E253" s="6" t="s">
        <v>566</v>
      </c>
      <c r="F253" s="6" t="s">
        <v>112</v>
      </c>
      <c r="G253" s="6" t="s">
        <v>326</v>
      </c>
      <c r="H253" s="10">
        <v>46051.0</v>
      </c>
      <c r="I253" s="12">
        <v>8.0</v>
      </c>
      <c r="J253" s="6" t="s">
        <v>161</v>
      </c>
    </row>
    <row r="254" ht="22.5" customHeight="1">
      <c r="A254" s="6" t="s">
        <v>2135</v>
      </c>
      <c r="B254" s="6" t="s">
        <v>1474</v>
      </c>
      <c r="C254" s="10">
        <v>46086.0</v>
      </c>
      <c r="D254" s="6" t="s">
        <v>289</v>
      </c>
      <c r="E254" s="6" t="s">
        <v>246</v>
      </c>
      <c r="F254" s="6" t="s">
        <v>439</v>
      </c>
      <c r="G254" s="6" t="s">
        <v>254</v>
      </c>
      <c r="H254" s="10">
        <v>46087.0</v>
      </c>
      <c r="I254" s="12">
        <v>6.0</v>
      </c>
      <c r="J254" s="6" t="s">
        <v>161</v>
      </c>
    </row>
    <row r="255" ht="22.5" customHeight="1">
      <c r="A255" s="6" t="s">
        <v>2137</v>
      </c>
      <c r="B255" s="6" t="s">
        <v>1474</v>
      </c>
      <c r="C255" s="10">
        <v>46076.0</v>
      </c>
      <c r="D255" s="6" t="s">
        <v>242</v>
      </c>
      <c r="E255" s="6" t="s">
        <v>320</v>
      </c>
      <c r="F255" s="6" t="s">
        <v>439</v>
      </c>
      <c r="G255" s="6" t="s">
        <v>369</v>
      </c>
      <c r="H255" s="11" t="s">
        <v>259</v>
      </c>
      <c r="I255" s="12">
        <v>6.0</v>
      </c>
      <c r="J255" s="6" t="s">
        <v>178</v>
      </c>
    </row>
    <row r="256" ht="22.5" customHeight="1">
      <c r="A256" s="6" t="s">
        <v>2143</v>
      </c>
      <c r="B256" s="6" t="s">
        <v>1474</v>
      </c>
      <c r="C256" s="10">
        <v>46083.0</v>
      </c>
      <c r="D256" s="6" t="s">
        <v>289</v>
      </c>
      <c r="E256" s="6" t="s">
        <v>1600</v>
      </c>
      <c r="F256" s="6" t="s">
        <v>249</v>
      </c>
      <c r="G256" s="6" t="s">
        <v>452</v>
      </c>
      <c r="H256" s="10">
        <v>46087.0</v>
      </c>
      <c r="I256" s="12">
        <v>5.0</v>
      </c>
      <c r="J256" s="6" t="s">
        <v>161</v>
      </c>
    </row>
    <row r="257" ht="22.5" customHeight="1">
      <c r="A257" s="6" t="s">
        <v>2147</v>
      </c>
      <c r="B257" s="6" t="s">
        <v>1474</v>
      </c>
      <c r="C257" s="10">
        <v>46071.0</v>
      </c>
      <c r="D257" s="6" t="s">
        <v>391</v>
      </c>
      <c r="E257" s="6" t="s">
        <v>670</v>
      </c>
      <c r="F257" s="6" t="s">
        <v>112</v>
      </c>
      <c r="G257" s="6" t="s">
        <v>494</v>
      </c>
      <c r="H257" s="10">
        <v>46077.0</v>
      </c>
      <c r="I257" s="12">
        <v>6.0</v>
      </c>
      <c r="J257" s="6" t="s">
        <v>161</v>
      </c>
    </row>
    <row r="258" ht="22.5" customHeight="1">
      <c r="A258" s="6" t="s">
        <v>2153</v>
      </c>
      <c r="B258" s="6" t="s">
        <v>1481</v>
      </c>
      <c r="C258" s="10">
        <v>46070.0</v>
      </c>
      <c r="D258" s="6" t="s">
        <v>416</v>
      </c>
      <c r="E258" s="6" t="s">
        <v>1552</v>
      </c>
      <c r="F258" s="6" t="s">
        <v>249</v>
      </c>
      <c r="G258" s="6" t="s">
        <v>254</v>
      </c>
      <c r="H258" s="10">
        <v>46070.0</v>
      </c>
      <c r="I258" s="12">
        <v>8.0</v>
      </c>
      <c r="J258" s="6" t="s">
        <v>161</v>
      </c>
    </row>
    <row r="259" ht="22.5" customHeight="1">
      <c r="A259" s="6" t="s">
        <v>2156</v>
      </c>
      <c r="B259" s="6" t="s">
        <v>1489</v>
      </c>
      <c r="C259" s="10">
        <v>46044.0</v>
      </c>
      <c r="D259" s="6" t="s">
        <v>391</v>
      </c>
      <c r="E259" s="6" t="s">
        <v>812</v>
      </c>
      <c r="F259" s="6" t="s">
        <v>283</v>
      </c>
      <c r="G259" s="6" t="s">
        <v>369</v>
      </c>
      <c r="H259" s="10">
        <v>46046.0</v>
      </c>
      <c r="I259" s="12">
        <v>11.0</v>
      </c>
      <c r="J259" s="6" t="s">
        <v>161</v>
      </c>
    </row>
    <row r="260" ht="22.5" customHeight="1">
      <c r="A260" s="6" t="s">
        <v>2162</v>
      </c>
      <c r="B260" s="6" t="s">
        <v>1489</v>
      </c>
      <c r="C260" s="10">
        <v>46050.0</v>
      </c>
      <c r="D260" s="6" t="s">
        <v>289</v>
      </c>
      <c r="E260" s="6" t="s">
        <v>716</v>
      </c>
      <c r="F260" s="6" t="s">
        <v>283</v>
      </c>
      <c r="G260" s="6" t="s">
        <v>369</v>
      </c>
      <c r="H260" s="10">
        <v>46052.0</v>
      </c>
      <c r="I260" s="12">
        <v>9.0</v>
      </c>
      <c r="J260" s="6" t="s">
        <v>161</v>
      </c>
    </row>
    <row r="261" ht="22.5" customHeight="1">
      <c r="A261" s="6" t="s">
        <v>2166</v>
      </c>
      <c r="B261" s="6" t="s">
        <v>1489</v>
      </c>
      <c r="C261" s="10">
        <v>46054.0</v>
      </c>
      <c r="D261" s="6" t="s">
        <v>677</v>
      </c>
      <c r="E261" s="6" t="s">
        <v>512</v>
      </c>
      <c r="F261" s="6" t="s">
        <v>439</v>
      </c>
      <c r="G261" s="6" t="s">
        <v>369</v>
      </c>
      <c r="H261" s="10">
        <v>46055.0</v>
      </c>
      <c r="I261" s="12">
        <v>4.0</v>
      </c>
      <c r="J261" s="6" t="s">
        <v>161</v>
      </c>
    </row>
    <row r="262" ht="22.5" customHeight="1">
      <c r="A262" s="6" t="s">
        <v>2172</v>
      </c>
      <c r="B262" s="6" t="s">
        <v>1489</v>
      </c>
      <c r="C262" s="10">
        <v>46048.0</v>
      </c>
      <c r="D262" s="6" t="s">
        <v>677</v>
      </c>
      <c r="E262" s="6" t="s">
        <v>1280</v>
      </c>
      <c r="F262" s="6" t="s">
        <v>249</v>
      </c>
      <c r="G262" s="6" t="s">
        <v>369</v>
      </c>
      <c r="H262" s="10">
        <v>46048.0</v>
      </c>
      <c r="I262" s="12">
        <v>2.0</v>
      </c>
      <c r="J262" s="6" t="s">
        <v>161</v>
      </c>
    </row>
    <row r="263" ht="22.5" customHeight="1">
      <c r="A263" s="6" t="s">
        <v>2176</v>
      </c>
      <c r="B263" s="6" t="s">
        <v>1489</v>
      </c>
      <c r="C263" s="10">
        <v>46044.0</v>
      </c>
      <c r="D263" s="6" t="s">
        <v>312</v>
      </c>
      <c r="E263" s="6" t="s">
        <v>583</v>
      </c>
      <c r="F263" s="6" t="s">
        <v>439</v>
      </c>
      <c r="G263" s="6" t="s">
        <v>477</v>
      </c>
      <c r="H263" s="10">
        <v>46046.0</v>
      </c>
      <c r="I263" s="12">
        <v>5.0</v>
      </c>
      <c r="J263" s="6" t="s">
        <v>161</v>
      </c>
    </row>
    <row r="264" ht="22.5" customHeight="1">
      <c r="A264" s="6" t="s">
        <v>2181</v>
      </c>
      <c r="B264" s="6" t="s">
        <v>1497</v>
      </c>
      <c r="C264" s="10">
        <v>46045.0</v>
      </c>
      <c r="D264" s="6" t="s">
        <v>242</v>
      </c>
      <c r="E264" s="6" t="s">
        <v>417</v>
      </c>
      <c r="F264" s="6" t="s">
        <v>439</v>
      </c>
      <c r="G264" s="6" t="s">
        <v>477</v>
      </c>
      <c r="H264" s="10">
        <v>46047.0</v>
      </c>
      <c r="I264" s="12">
        <v>4.0</v>
      </c>
      <c r="J264" s="6" t="s">
        <v>161</v>
      </c>
    </row>
    <row r="265" ht="22.5" customHeight="1">
      <c r="A265" s="6" t="s">
        <v>2186</v>
      </c>
      <c r="B265" s="6" t="s">
        <v>1497</v>
      </c>
      <c r="C265" s="10">
        <v>46032.0</v>
      </c>
      <c r="D265" s="6" t="s">
        <v>312</v>
      </c>
      <c r="E265" s="6" t="s">
        <v>738</v>
      </c>
      <c r="F265" s="6" t="s">
        <v>439</v>
      </c>
      <c r="G265" s="6" t="s">
        <v>254</v>
      </c>
      <c r="H265" s="11" t="s">
        <v>259</v>
      </c>
      <c r="I265" s="12">
        <v>6.0</v>
      </c>
      <c r="J265" s="6" t="s">
        <v>161</v>
      </c>
    </row>
    <row r="266" ht="22.5" customHeight="1">
      <c r="A266" s="6" t="s">
        <v>2191</v>
      </c>
      <c r="B266" s="6" t="s">
        <v>1497</v>
      </c>
      <c r="C266" s="10">
        <v>46028.0</v>
      </c>
      <c r="D266" s="6" t="s">
        <v>677</v>
      </c>
      <c r="E266" s="6" t="s">
        <v>566</v>
      </c>
      <c r="F266" s="6" t="s">
        <v>249</v>
      </c>
      <c r="G266" s="6" t="s">
        <v>494</v>
      </c>
      <c r="H266" s="11" t="s">
        <v>259</v>
      </c>
      <c r="I266" s="12">
        <v>2.0</v>
      </c>
      <c r="J266" s="6" t="s">
        <v>161</v>
      </c>
    </row>
    <row r="267" ht="22.5" customHeight="1">
      <c r="A267" s="6" t="s">
        <v>2194</v>
      </c>
      <c r="B267" s="6" t="s">
        <v>1497</v>
      </c>
      <c r="C267" s="10">
        <v>46036.0</v>
      </c>
      <c r="D267" s="6" t="s">
        <v>677</v>
      </c>
      <c r="E267" s="6" t="s">
        <v>787</v>
      </c>
      <c r="F267" s="6" t="s">
        <v>249</v>
      </c>
      <c r="G267" s="6" t="s">
        <v>477</v>
      </c>
      <c r="H267" s="10">
        <v>46038.0</v>
      </c>
      <c r="I267" s="12">
        <v>2.0</v>
      </c>
      <c r="J267" s="6" t="s">
        <v>161</v>
      </c>
    </row>
    <row r="268" ht="22.5" customHeight="1">
      <c r="A268" s="6" t="s">
        <v>2198</v>
      </c>
      <c r="B268" s="6" t="s">
        <v>1497</v>
      </c>
      <c r="C268" s="10">
        <v>46043.0</v>
      </c>
      <c r="D268" s="6" t="s">
        <v>416</v>
      </c>
      <c r="E268" s="6" t="s">
        <v>1386</v>
      </c>
      <c r="F268" s="6" t="s">
        <v>283</v>
      </c>
      <c r="G268" s="6" t="s">
        <v>369</v>
      </c>
      <c r="H268" s="10">
        <v>46044.0</v>
      </c>
      <c r="I268" s="12">
        <v>8.0</v>
      </c>
      <c r="J268" s="6" t="s">
        <v>161</v>
      </c>
    </row>
    <row r="269" ht="22.5" customHeight="1">
      <c r="A269" s="6" t="s">
        <v>2202</v>
      </c>
      <c r="B269" s="6" t="s">
        <v>1504</v>
      </c>
      <c r="C269" s="10">
        <v>46035.0</v>
      </c>
      <c r="D269" s="6" t="s">
        <v>242</v>
      </c>
      <c r="E269" s="6" t="s">
        <v>670</v>
      </c>
      <c r="F269" s="6" t="s">
        <v>249</v>
      </c>
      <c r="G269" s="6" t="s">
        <v>254</v>
      </c>
      <c r="H269" s="10">
        <v>46037.0</v>
      </c>
      <c r="I269" s="12">
        <v>3.0</v>
      </c>
      <c r="J269" s="6" t="s">
        <v>161</v>
      </c>
    </row>
    <row r="270" ht="22.5" customHeight="1">
      <c r="A270" s="6" t="s">
        <v>2207</v>
      </c>
      <c r="B270" s="6" t="s">
        <v>1511</v>
      </c>
      <c r="C270" s="10">
        <v>46062.0</v>
      </c>
      <c r="D270" s="6" t="s">
        <v>436</v>
      </c>
      <c r="E270" s="6" t="s">
        <v>695</v>
      </c>
      <c r="F270" s="6" t="s">
        <v>249</v>
      </c>
      <c r="G270" s="6" t="s">
        <v>369</v>
      </c>
      <c r="H270" s="10">
        <v>46063.0</v>
      </c>
      <c r="I270" s="12">
        <v>12.0</v>
      </c>
      <c r="J270" s="6" t="s">
        <v>161</v>
      </c>
    </row>
    <row r="271" ht="22.5" customHeight="1">
      <c r="A271" s="6" t="s">
        <v>2212</v>
      </c>
      <c r="B271" s="6" t="s">
        <v>1511</v>
      </c>
      <c r="C271" s="10">
        <v>46056.0</v>
      </c>
      <c r="D271" s="6" t="s">
        <v>242</v>
      </c>
      <c r="E271" s="6" t="s">
        <v>1720</v>
      </c>
      <c r="F271" s="6" t="s">
        <v>249</v>
      </c>
      <c r="G271" s="6" t="s">
        <v>494</v>
      </c>
      <c r="H271" s="10">
        <v>46060.0</v>
      </c>
      <c r="I271" s="12">
        <v>6.0</v>
      </c>
      <c r="J271" s="6" t="s">
        <v>161</v>
      </c>
    </row>
    <row r="272" ht="22.5" customHeight="1">
      <c r="A272" s="6" t="s">
        <v>2217</v>
      </c>
      <c r="B272" s="6" t="s">
        <v>1511</v>
      </c>
      <c r="C272" s="10">
        <v>46059.0</v>
      </c>
      <c r="D272" s="6" t="s">
        <v>242</v>
      </c>
      <c r="E272" s="6" t="s">
        <v>1517</v>
      </c>
      <c r="F272" s="6" t="s">
        <v>249</v>
      </c>
      <c r="G272" s="6" t="s">
        <v>297</v>
      </c>
      <c r="H272" s="10">
        <v>46064.0</v>
      </c>
      <c r="I272" s="12">
        <v>3.0</v>
      </c>
      <c r="J272" s="6" t="s">
        <v>178</v>
      </c>
    </row>
    <row r="273" ht="22.5" customHeight="1">
      <c r="A273" s="6" t="s">
        <v>2223</v>
      </c>
      <c r="B273" s="6" t="s">
        <v>1511</v>
      </c>
      <c r="C273" s="10">
        <v>46054.0</v>
      </c>
      <c r="D273" s="6" t="s">
        <v>677</v>
      </c>
      <c r="E273" s="6" t="s">
        <v>466</v>
      </c>
      <c r="F273" s="6" t="s">
        <v>439</v>
      </c>
      <c r="G273" s="6" t="s">
        <v>452</v>
      </c>
      <c r="H273" s="10">
        <v>46055.0</v>
      </c>
      <c r="I273" s="12">
        <v>3.0</v>
      </c>
      <c r="J273" s="6" t="s">
        <v>161</v>
      </c>
    </row>
    <row r="274" ht="22.5" customHeight="1">
      <c r="A274" s="6" t="s">
        <v>2227</v>
      </c>
      <c r="B274" s="6" t="s">
        <v>1511</v>
      </c>
      <c r="C274" s="10">
        <v>46054.0</v>
      </c>
      <c r="D274" s="6" t="s">
        <v>242</v>
      </c>
      <c r="E274" s="6" t="s">
        <v>787</v>
      </c>
      <c r="F274" s="6" t="s">
        <v>249</v>
      </c>
      <c r="G274" s="6" t="s">
        <v>254</v>
      </c>
      <c r="H274" s="10">
        <v>46054.0</v>
      </c>
      <c r="I274" s="12">
        <v>6.0</v>
      </c>
      <c r="J274" s="6" t="s">
        <v>178</v>
      </c>
    </row>
    <row r="275" ht="22.5" customHeight="1">
      <c r="A275" s="6" t="s">
        <v>2232</v>
      </c>
      <c r="B275" s="6" t="s">
        <v>1520</v>
      </c>
      <c r="C275" s="10">
        <v>46066.0</v>
      </c>
      <c r="D275" s="6" t="s">
        <v>242</v>
      </c>
      <c r="E275" s="6" t="s">
        <v>1102</v>
      </c>
      <c r="F275" s="6" t="s">
        <v>439</v>
      </c>
      <c r="G275" s="6" t="s">
        <v>458</v>
      </c>
      <c r="H275" s="10">
        <v>46068.0</v>
      </c>
      <c r="I275" s="12">
        <v>5.0</v>
      </c>
      <c r="J275" s="6" t="s">
        <v>178</v>
      </c>
    </row>
    <row r="276" ht="22.5" customHeight="1">
      <c r="A276" s="6" t="s">
        <v>2238</v>
      </c>
      <c r="B276" s="6" t="s">
        <v>1520</v>
      </c>
      <c r="C276" s="10">
        <v>46052.0</v>
      </c>
      <c r="D276" s="6" t="s">
        <v>312</v>
      </c>
      <c r="E276" s="6" t="s">
        <v>1600</v>
      </c>
      <c r="F276" s="6" t="s">
        <v>112</v>
      </c>
      <c r="G276" s="6" t="s">
        <v>254</v>
      </c>
      <c r="H276" s="10">
        <v>46052.0</v>
      </c>
      <c r="I276" s="12">
        <v>4.0</v>
      </c>
      <c r="J276" s="6" t="s">
        <v>161</v>
      </c>
    </row>
    <row r="277" ht="22.5" customHeight="1">
      <c r="A277" s="6" t="s">
        <v>2243</v>
      </c>
      <c r="B277" s="6" t="s">
        <v>1520</v>
      </c>
      <c r="C277" s="10">
        <v>46052.0</v>
      </c>
      <c r="D277" s="6" t="s">
        <v>391</v>
      </c>
      <c r="E277" s="6" t="s">
        <v>628</v>
      </c>
      <c r="F277" s="6" t="s">
        <v>249</v>
      </c>
      <c r="G277" s="6" t="s">
        <v>452</v>
      </c>
      <c r="H277" s="11" t="s">
        <v>259</v>
      </c>
      <c r="I277" s="12">
        <v>6.0</v>
      </c>
      <c r="J277" s="6" t="s">
        <v>161</v>
      </c>
    </row>
    <row r="278" ht="22.5" customHeight="1">
      <c r="A278" s="6" t="s">
        <v>2248</v>
      </c>
      <c r="B278" s="6" t="s">
        <v>1527</v>
      </c>
      <c r="C278" s="10">
        <v>46050.0</v>
      </c>
      <c r="D278" s="6" t="s">
        <v>416</v>
      </c>
      <c r="E278" s="6" t="s">
        <v>320</v>
      </c>
      <c r="F278" s="6" t="s">
        <v>112</v>
      </c>
      <c r="G278" s="6" t="s">
        <v>369</v>
      </c>
      <c r="H278" s="10">
        <v>46051.0</v>
      </c>
      <c r="I278" s="12">
        <v>14.0</v>
      </c>
      <c r="J278" s="6" t="s">
        <v>161</v>
      </c>
    </row>
    <row r="279" ht="22.5" customHeight="1">
      <c r="A279" s="6" t="s">
        <v>2251</v>
      </c>
      <c r="B279" s="6" t="s">
        <v>1527</v>
      </c>
      <c r="C279" s="10">
        <v>46058.0</v>
      </c>
      <c r="D279" s="6" t="s">
        <v>312</v>
      </c>
      <c r="E279" s="6" t="s">
        <v>246</v>
      </c>
      <c r="F279" s="6" t="s">
        <v>439</v>
      </c>
      <c r="G279" s="6" t="s">
        <v>369</v>
      </c>
      <c r="H279" s="10">
        <v>46059.0</v>
      </c>
      <c r="I279" s="12">
        <v>5.0</v>
      </c>
      <c r="J279" s="6" t="s">
        <v>161</v>
      </c>
    </row>
    <row r="280" ht="22.5" customHeight="1">
      <c r="A280" s="6" t="s">
        <v>2255</v>
      </c>
      <c r="B280" s="6" t="s">
        <v>1527</v>
      </c>
      <c r="C280" s="10">
        <v>46057.0</v>
      </c>
      <c r="D280" s="6" t="s">
        <v>391</v>
      </c>
      <c r="E280" s="6" t="s">
        <v>1720</v>
      </c>
      <c r="F280" s="6" t="s">
        <v>283</v>
      </c>
      <c r="G280" s="6" t="s">
        <v>254</v>
      </c>
      <c r="H280" s="10">
        <v>46062.0</v>
      </c>
      <c r="I280" s="12">
        <v>11.0</v>
      </c>
      <c r="J280" s="6" t="s">
        <v>161</v>
      </c>
    </row>
    <row r="281" ht="22.5" customHeight="1">
      <c r="A281" s="6" t="s">
        <v>2261</v>
      </c>
      <c r="B281" s="6" t="s">
        <v>1527</v>
      </c>
      <c r="C281" s="10">
        <v>46057.0</v>
      </c>
      <c r="D281" s="6" t="s">
        <v>416</v>
      </c>
      <c r="E281" s="6" t="s">
        <v>863</v>
      </c>
      <c r="F281" s="6" t="s">
        <v>283</v>
      </c>
      <c r="G281" s="6" t="s">
        <v>458</v>
      </c>
      <c r="H281" s="10">
        <v>46064.0</v>
      </c>
      <c r="I281" s="12">
        <v>13.0</v>
      </c>
      <c r="J281" s="6" t="s">
        <v>161</v>
      </c>
    </row>
    <row r="282" ht="22.5" customHeight="1">
      <c r="A282" s="6" t="s">
        <v>2266</v>
      </c>
      <c r="B282" s="6" t="s">
        <v>1527</v>
      </c>
      <c r="C282" s="10">
        <v>46065.0</v>
      </c>
      <c r="D282" s="6" t="s">
        <v>436</v>
      </c>
      <c r="E282" s="6" t="s">
        <v>512</v>
      </c>
      <c r="F282" s="6" t="s">
        <v>249</v>
      </c>
      <c r="G282" s="6" t="s">
        <v>452</v>
      </c>
      <c r="H282" s="10">
        <v>46067.0</v>
      </c>
      <c r="I282" s="12">
        <v>8.0</v>
      </c>
      <c r="J282" s="6" t="s">
        <v>161</v>
      </c>
    </row>
    <row r="283" ht="22.5" customHeight="1">
      <c r="A283" s="6" t="s">
        <v>2270</v>
      </c>
      <c r="B283" s="6" t="s">
        <v>1534</v>
      </c>
      <c r="C283" s="10">
        <v>46046.0</v>
      </c>
      <c r="D283" s="6" t="s">
        <v>677</v>
      </c>
      <c r="E283" s="6" t="s">
        <v>1386</v>
      </c>
      <c r="F283" s="6" t="s">
        <v>112</v>
      </c>
      <c r="G283" s="6" t="s">
        <v>297</v>
      </c>
      <c r="H283" s="10">
        <v>46050.0</v>
      </c>
      <c r="I283" s="12">
        <v>3.0</v>
      </c>
      <c r="J283" s="6" t="s">
        <v>161</v>
      </c>
    </row>
    <row r="284" ht="22.5" customHeight="1">
      <c r="A284" s="6" t="s">
        <v>2274</v>
      </c>
      <c r="B284" s="6" t="s">
        <v>1534</v>
      </c>
      <c r="C284" s="10">
        <v>46034.0</v>
      </c>
      <c r="D284" s="6" t="s">
        <v>436</v>
      </c>
      <c r="E284" s="6" t="s">
        <v>365</v>
      </c>
      <c r="F284" s="6" t="s">
        <v>112</v>
      </c>
      <c r="G284" s="6" t="s">
        <v>477</v>
      </c>
      <c r="H284" s="10">
        <v>46038.0</v>
      </c>
      <c r="I284" s="12">
        <v>7.0</v>
      </c>
      <c r="J284" s="6" t="s">
        <v>161</v>
      </c>
    </row>
    <row r="285" ht="22.5" customHeight="1">
      <c r="A285" s="6" t="s">
        <v>2280</v>
      </c>
      <c r="B285" s="6" t="s">
        <v>1543</v>
      </c>
      <c r="C285" s="10">
        <v>46051.0</v>
      </c>
      <c r="D285" s="6" t="s">
        <v>391</v>
      </c>
      <c r="E285" s="6" t="s">
        <v>566</v>
      </c>
      <c r="F285" s="6" t="s">
        <v>283</v>
      </c>
      <c r="G285" s="6" t="s">
        <v>452</v>
      </c>
      <c r="H285" s="10">
        <v>46056.0</v>
      </c>
      <c r="I285" s="12">
        <v>8.0</v>
      </c>
      <c r="J285" s="6" t="s">
        <v>161</v>
      </c>
    </row>
    <row r="286" ht="22.5" customHeight="1">
      <c r="A286" s="6" t="s">
        <v>2286</v>
      </c>
      <c r="B286" s="6" t="s">
        <v>1543</v>
      </c>
      <c r="C286" s="10">
        <v>46056.0</v>
      </c>
      <c r="D286" s="6" t="s">
        <v>391</v>
      </c>
      <c r="E286" s="6" t="s">
        <v>1700</v>
      </c>
      <c r="F286" s="6" t="s">
        <v>112</v>
      </c>
      <c r="G286" s="6" t="s">
        <v>452</v>
      </c>
      <c r="H286" s="11" t="s">
        <v>259</v>
      </c>
      <c r="I286" s="12">
        <v>10.0</v>
      </c>
      <c r="J286" s="6" t="s">
        <v>161</v>
      </c>
    </row>
    <row r="287" ht="22.5" customHeight="1">
      <c r="A287" s="6" t="s">
        <v>2289</v>
      </c>
      <c r="B287" s="6" t="s">
        <v>1543</v>
      </c>
      <c r="C287" s="10">
        <v>46053.0</v>
      </c>
      <c r="D287" s="6" t="s">
        <v>436</v>
      </c>
      <c r="E287" s="6" t="s">
        <v>1700</v>
      </c>
      <c r="F287" s="6" t="s">
        <v>249</v>
      </c>
      <c r="G287" s="6" t="s">
        <v>494</v>
      </c>
      <c r="H287" s="10">
        <v>46054.0</v>
      </c>
      <c r="I287" s="12">
        <v>9.0</v>
      </c>
      <c r="J287" s="6" t="s">
        <v>178</v>
      </c>
    </row>
    <row r="288" ht="22.5" customHeight="1">
      <c r="A288" s="6" t="s">
        <v>2293</v>
      </c>
      <c r="B288" s="6" t="s">
        <v>1543</v>
      </c>
      <c r="C288" s="10">
        <v>46061.0</v>
      </c>
      <c r="D288" s="6" t="s">
        <v>289</v>
      </c>
      <c r="E288" s="6" t="s">
        <v>1969</v>
      </c>
      <c r="F288" s="6" t="s">
        <v>112</v>
      </c>
      <c r="G288" s="6" t="s">
        <v>477</v>
      </c>
      <c r="H288" s="10">
        <v>46061.0</v>
      </c>
      <c r="I288" s="12">
        <v>9.0</v>
      </c>
      <c r="J288" s="6" t="s">
        <v>161</v>
      </c>
    </row>
    <row r="289" ht="22.5" customHeight="1">
      <c r="A289" s="6" t="s">
        <v>2299</v>
      </c>
      <c r="B289" s="6" t="s">
        <v>1543</v>
      </c>
      <c r="C289" s="10">
        <v>46048.0</v>
      </c>
      <c r="D289" s="6" t="s">
        <v>677</v>
      </c>
      <c r="E289" s="6" t="s">
        <v>246</v>
      </c>
      <c r="F289" s="6" t="s">
        <v>249</v>
      </c>
      <c r="G289" s="6" t="s">
        <v>326</v>
      </c>
      <c r="H289" s="11" t="s">
        <v>259</v>
      </c>
      <c r="I289" s="12">
        <v>3.0</v>
      </c>
      <c r="J289" s="6" t="s">
        <v>161</v>
      </c>
    </row>
    <row r="290" ht="22.5" customHeight="1">
      <c r="A290" s="6" t="s">
        <v>2302</v>
      </c>
      <c r="B290" s="6" t="s">
        <v>1553</v>
      </c>
      <c r="C290" s="10">
        <v>46038.0</v>
      </c>
      <c r="D290" s="6" t="s">
        <v>312</v>
      </c>
      <c r="E290" s="6" t="s">
        <v>438</v>
      </c>
      <c r="F290" s="6" t="s">
        <v>112</v>
      </c>
      <c r="G290" s="6" t="s">
        <v>326</v>
      </c>
      <c r="H290" s="10">
        <v>46045.0</v>
      </c>
      <c r="I290" s="12">
        <v>5.0</v>
      </c>
      <c r="J290" s="6" t="s">
        <v>161</v>
      </c>
    </row>
    <row r="291" ht="22.5" customHeight="1">
      <c r="A291" s="6" t="s">
        <v>2307</v>
      </c>
      <c r="B291" s="6" t="s">
        <v>1553</v>
      </c>
      <c r="C291" s="10">
        <v>46030.0</v>
      </c>
      <c r="D291" s="6" t="s">
        <v>242</v>
      </c>
      <c r="E291" s="6" t="s">
        <v>798</v>
      </c>
      <c r="F291" s="6" t="s">
        <v>249</v>
      </c>
      <c r="G291" s="6" t="s">
        <v>452</v>
      </c>
      <c r="H291" s="10">
        <v>46036.0</v>
      </c>
      <c r="I291" s="12">
        <v>6.0</v>
      </c>
      <c r="J291" s="6" t="s">
        <v>178</v>
      </c>
    </row>
    <row r="292" ht="22.5" customHeight="1">
      <c r="A292" s="6" t="s">
        <v>2312</v>
      </c>
      <c r="B292" s="6" t="s">
        <v>1553</v>
      </c>
      <c r="C292" s="10">
        <v>46035.0</v>
      </c>
      <c r="D292" s="6" t="s">
        <v>391</v>
      </c>
      <c r="E292" s="6" t="s">
        <v>1035</v>
      </c>
      <c r="F292" s="6" t="s">
        <v>439</v>
      </c>
      <c r="G292" s="6" t="s">
        <v>326</v>
      </c>
      <c r="H292" s="11" t="s">
        <v>259</v>
      </c>
      <c r="I292" s="12">
        <v>6.0</v>
      </c>
      <c r="J292" s="6" t="s">
        <v>161</v>
      </c>
    </row>
    <row r="293" ht="22.5" customHeight="1">
      <c r="A293" s="6" t="s">
        <v>2315</v>
      </c>
      <c r="B293" s="6" t="s">
        <v>1561</v>
      </c>
      <c r="C293" s="10">
        <v>46076.0</v>
      </c>
      <c r="D293" s="6" t="s">
        <v>242</v>
      </c>
      <c r="E293" s="6" t="s">
        <v>1552</v>
      </c>
      <c r="F293" s="6" t="s">
        <v>112</v>
      </c>
      <c r="G293" s="6" t="s">
        <v>494</v>
      </c>
      <c r="H293" s="10">
        <v>46080.0</v>
      </c>
      <c r="I293" s="12">
        <v>6.0</v>
      </c>
      <c r="J293" s="6" t="s">
        <v>178</v>
      </c>
    </row>
    <row r="294" ht="22.5" customHeight="1">
      <c r="A294" s="6" t="s">
        <v>2320</v>
      </c>
      <c r="B294" s="6" t="s">
        <v>1561</v>
      </c>
      <c r="C294" s="10">
        <v>46067.0</v>
      </c>
      <c r="D294" s="6" t="s">
        <v>289</v>
      </c>
      <c r="E294" s="6" t="s">
        <v>1310</v>
      </c>
      <c r="F294" s="6" t="s">
        <v>283</v>
      </c>
      <c r="G294" s="6" t="s">
        <v>297</v>
      </c>
      <c r="H294" s="11" t="s">
        <v>259</v>
      </c>
      <c r="I294" s="12">
        <v>7.0</v>
      </c>
      <c r="J294" s="6" t="s">
        <v>161</v>
      </c>
    </row>
    <row r="295" ht="22.5" customHeight="1">
      <c r="A295" s="6" t="s">
        <v>2325</v>
      </c>
      <c r="B295" s="6" t="s">
        <v>1566</v>
      </c>
      <c r="C295" s="10">
        <v>46051.0</v>
      </c>
      <c r="D295" s="6" t="s">
        <v>312</v>
      </c>
      <c r="E295" s="6" t="s">
        <v>566</v>
      </c>
      <c r="F295" s="6" t="s">
        <v>283</v>
      </c>
      <c r="G295" s="6" t="s">
        <v>254</v>
      </c>
      <c r="H295" s="11" t="s">
        <v>259</v>
      </c>
      <c r="I295" s="12">
        <v>7.0</v>
      </c>
      <c r="J295" s="6" t="s">
        <v>161</v>
      </c>
    </row>
    <row r="296" ht="22.5" customHeight="1">
      <c r="A296" s="6" t="s">
        <v>2330</v>
      </c>
      <c r="B296" s="6" t="s">
        <v>1566</v>
      </c>
      <c r="C296" s="10">
        <v>46049.0</v>
      </c>
      <c r="D296" s="6" t="s">
        <v>391</v>
      </c>
      <c r="E296" s="6" t="s">
        <v>798</v>
      </c>
      <c r="F296" s="6" t="s">
        <v>283</v>
      </c>
      <c r="G296" s="6" t="s">
        <v>297</v>
      </c>
      <c r="H296" s="10">
        <v>46051.0</v>
      </c>
      <c r="I296" s="12">
        <v>11.0</v>
      </c>
      <c r="J296" s="6" t="s">
        <v>161</v>
      </c>
    </row>
    <row r="297" ht="22.5" customHeight="1">
      <c r="A297" s="6" t="s">
        <v>2333</v>
      </c>
      <c r="B297" s="6" t="s">
        <v>1566</v>
      </c>
      <c r="C297" s="10">
        <v>46039.0</v>
      </c>
      <c r="D297" s="6" t="s">
        <v>289</v>
      </c>
      <c r="E297" s="6" t="s">
        <v>512</v>
      </c>
      <c r="F297" s="6" t="s">
        <v>249</v>
      </c>
      <c r="G297" s="6" t="s">
        <v>297</v>
      </c>
      <c r="H297" s="10">
        <v>46044.0</v>
      </c>
      <c r="I297" s="12">
        <v>7.0</v>
      </c>
      <c r="J297" s="6" t="s">
        <v>161</v>
      </c>
    </row>
    <row r="298" ht="22.5" customHeight="1">
      <c r="A298" s="6" t="s">
        <v>2338</v>
      </c>
      <c r="B298" s="6" t="s">
        <v>1566</v>
      </c>
      <c r="C298" s="10">
        <v>46040.0</v>
      </c>
      <c r="D298" s="6" t="s">
        <v>289</v>
      </c>
      <c r="E298" s="6" t="s">
        <v>610</v>
      </c>
      <c r="F298" s="6" t="s">
        <v>112</v>
      </c>
      <c r="G298" s="6" t="s">
        <v>254</v>
      </c>
      <c r="H298" s="11" t="s">
        <v>259</v>
      </c>
      <c r="I298" s="12">
        <v>9.0</v>
      </c>
      <c r="J298" s="6" t="s">
        <v>161</v>
      </c>
    </row>
    <row r="299" ht="22.5" customHeight="1">
      <c r="A299" s="6" t="s">
        <v>2343</v>
      </c>
      <c r="B299" s="6" t="s">
        <v>1574</v>
      </c>
      <c r="C299" s="10">
        <v>46079.0</v>
      </c>
      <c r="D299" s="6" t="s">
        <v>677</v>
      </c>
      <c r="E299" s="6" t="s">
        <v>466</v>
      </c>
      <c r="F299" s="6" t="s">
        <v>439</v>
      </c>
      <c r="G299" s="6" t="s">
        <v>458</v>
      </c>
      <c r="H299" s="10">
        <v>46081.0</v>
      </c>
      <c r="I299" s="12">
        <v>3.0</v>
      </c>
      <c r="J299" s="6" t="s">
        <v>161</v>
      </c>
    </row>
    <row r="300" ht="22.5" customHeight="1">
      <c r="A300" s="6" t="s">
        <v>2349</v>
      </c>
      <c r="B300" s="6" t="s">
        <v>1574</v>
      </c>
      <c r="C300" s="10">
        <v>46076.0</v>
      </c>
      <c r="D300" s="6" t="s">
        <v>242</v>
      </c>
      <c r="E300" s="6" t="s">
        <v>320</v>
      </c>
      <c r="F300" s="6" t="s">
        <v>283</v>
      </c>
      <c r="G300" s="6" t="s">
        <v>458</v>
      </c>
      <c r="H300" s="11" t="s">
        <v>259</v>
      </c>
      <c r="I300" s="12">
        <v>3.0</v>
      </c>
      <c r="J300" s="6" t="s">
        <v>178</v>
      </c>
    </row>
    <row r="301" ht="22.5" customHeight="1">
      <c r="A301" s="6" t="s">
        <v>2352</v>
      </c>
      <c r="B301" s="6" t="s">
        <v>1574</v>
      </c>
      <c r="C301" s="10">
        <v>46082.0</v>
      </c>
      <c r="D301" s="6" t="s">
        <v>416</v>
      </c>
      <c r="E301" s="6" t="s">
        <v>450</v>
      </c>
      <c r="F301" s="6" t="s">
        <v>112</v>
      </c>
      <c r="G301" s="6" t="s">
        <v>452</v>
      </c>
      <c r="H301" s="11" t="s">
        <v>259</v>
      </c>
      <c r="I301" s="12">
        <v>11.0</v>
      </c>
      <c r="J301" s="6" t="s">
        <v>161</v>
      </c>
    </row>
    <row r="302" ht="22.5" customHeight="1">
      <c r="A302" s="6" t="s">
        <v>2357</v>
      </c>
      <c r="B302" s="6" t="s">
        <v>1574</v>
      </c>
      <c r="C302" s="10">
        <v>46066.0</v>
      </c>
      <c r="D302" s="6" t="s">
        <v>391</v>
      </c>
      <c r="E302" s="6" t="s">
        <v>634</v>
      </c>
      <c r="F302" s="6" t="s">
        <v>249</v>
      </c>
      <c r="G302" s="6" t="s">
        <v>458</v>
      </c>
      <c r="H302" s="10">
        <v>46068.0</v>
      </c>
      <c r="I302" s="12">
        <v>7.0</v>
      </c>
      <c r="J302" s="6" t="s">
        <v>161</v>
      </c>
    </row>
    <row r="303" ht="22.5" customHeight="1">
      <c r="A303" s="6" t="s">
        <v>2362</v>
      </c>
      <c r="B303" s="6" t="s">
        <v>1580</v>
      </c>
      <c r="C303" s="10">
        <v>46068.0</v>
      </c>
      <c r="D303" s="6" t="s">
        <v>677</v>
      </c>
      <c r="E303" s="6" t="s">
        <v>2365</v>
      </c>
      <c r="F303" s="6" t="s">
        <v>439</v>
      </c>
      <c r="G303" s="6" t="s">
        <v>458</v>
      </c>
      <c r="H303" s="10">
        <v>46068.0</v>
      </c>
      <c r="I303" s="12">
        <v>3.0</v>
      </c>
      <c r="J303" s="6" t="s">
        <v>161</v>
      </c>
    </row>
    <row r="304" ht="22.5" customHeight="1">
      <c r="A304" s="6" t="s">
        <v>2369</v>
      </c>
      <c r="B304" s="6" t="s">
        <v>1580</v>
      </c>
      <c r="C304" s="10">
        <v>46078.0</v>
      </c>
      <c r="D304" s="6" t="s">
        <v>677</v>
      </c>
      <c r="E304" s="6" t="s">
        <v>885</v>
      </c>
      <c r="F304" s="6" t="s">
        <v>112</v>
      </c>
      <c r="G304" s="6" t="s">
        <v>494</v>
      </c>
      <c r="H304" s="10">
        <v>46081.0</v>
      </c>
      <c r="I304" s="12">
        <v>2.0</v>
      </c>
      <c r="J304" s="6" t="s">
        <v>161</v>
      </c>
    </row>
    <row r="305" ht="22.5" customHeight="1">
      <c r="A305" s="6" t="s">
        <v>2372</v>
      </c>
      <c r="B305" s="6" t="s">
        <v>1580</v>
      </c>
      <c r="C305" s="10">
        <v>46075.0</v>
      </c>
      <c r="D305" s="6" t="s">
        <v>391</v>
      </c>
      <c r="E305" s="6" t="s">
        <v>1149</v>
      </c>
      <c r="F305" s="6" t="s">
        <v>249</v>
      </c>
      <c r="G305" s="6" t="s">
        <v>477</v>
      </c>
      <c r="H305" s="10">
        <v>46076.0</v>
      </c>
      <c r="I305" s="12">
        <v>8.0</v>
      </c>
      <c r="J305" s="6" t="s">
        <v>161</v>
      </c>
    </row>
    <row r="306" ht="22.5" customHeight="1">
      <c r="A306" s="6" t="s">
        <v>2376</v>
      </c>
      <c r="B306" s="6" t="s">
        <v>1580</v>
      </c>
      <c r="C306" s="10">
        <v>46060.0</v>
      </c>
      <c r="D306" s="6" t="s">
        <v>242</v>
      </c>
      <c r="E306" s="6" t="s">
        <v>450</v>
      </c>
      <c r="F306" s="6" t="s">
        <v>249</v>
      </c>
      <c r="G306" s="6" t="s">
        <v>458</v>
      </c>
      <c r="H306" s="10">
        <v>46061.0</v>
      </c>
      <c r="I306" s="12">
        <v>3.0</v>
      </c>
      <c r="J306" s="6" t="s">
        <v>178</v>
      </c>
    </row>
    <row r="307" ht="22.5" customHeight="1">
      <c r="A307" s="6" t="s">
        <v>2381</v>
      </c>
      <c r="B307" s="6" t="s">
        <v>1580</v>
      </c>
      <c r="C307" s="10">
        <v>46070.0</v>
      </c>
      <c r="D307" s="6" t="s">
        <v>677</v>
      </c>
      <c r="E307" s="6" t="s">
        <v>1296</v>
      </c>
      <c r="F307" s="6" t="s">
        <v>249</v>
      </c>
      <c r="G307" s="6" t="s">
        <v>297</v>
      </c>
      <c r="H307" s="10">
        <v>46073.0</v>
      </c>
      <c r="I307" s="12">
        <v>4.0</v>
      </c>
      <c r="J307" s="6" t="s">
        <v>161</v>
      </c>
    </row>
    <row r="308" ht="22.5" customHeight="1">
      <c r="A308" s="6" t="s">
        <v>2384</v>
      </c>
      <c r="B308" s="6" t="s">
        <v>1587</v>
      </c>
      <c r="C308" s="10">
        <v>46054.0</v>
      </c>
      <c r="D308" s="6" t="s">
        <v>677</v>
      </c>
      <c r="E308" s="6" t="s">
        <v>1552</v>
      </c>
      <c r="F308" s="6" t="s">
        <v>439</v>
      </c>
      <c r="G308" s="6" t="s">
        <v>254</v>
      </c>
      <c r="H308" s="10">
        <v>46058.0</v>
      </c>
      <c r="I308" s="12">
        <v>2.0</v>
      </c>
      <c r="J308" s="6" t="s">
        <v>161</v>
      </c>
    </row>
    <row r="309" ht="22.5" customHeight="1">
      <c r="A309" s="6" t="s">
        <v>2389</v>
      </c>
      <c r="B309" s="6" t="s">
        <v>1587</v>
      </c>
      <c r="C309" s="10">
        <v>46057.0</v>
      </c>
      <c r="D309" s="6" t="s">
        <v>312</v>
      </c>
      <c r="E309" s="6" t="s">
        <v>1241</v>
      </c>
      <c r="F309" s="6" t="s">
        <v>283</v>
      </c>
      <c r="G309" s="6" t="s">
        <v>458</v>
      </c>
      <c r="H309" s="10">
        <v>46060.0</v>
      </c>
      <c r="I309" s="12">
        <v>7.0</v>
      </c>
      <c r="J309" s="6" t="s">
        <v>161</v>
      </c>
    </row>
    <row r="310" ht="22.5" customHeight="1">
      <c r="A310" s="6" t="s">
        <v>2394</v>
      </c>
      <c r="B310" s="6" t="s">
        <v>1587</v>
      </c>
      <c r="C310" s="10">
        <v>46069.0</v>
      </c>
      <c r="D310" s="6" t="s">
        <v>677</v>
      </c>
      <c r="E310" s="6" t="s">
        <v>2365</v>
      </c>
      <c r="F310" s="6" t="s">
        <v>249</v>
      </c>
      <c r="G310" s="6" t="s">
        <v>458</v>
      </c>
      <c r="H310" s="10">
        <v>46072.0</v>
      </c>
      <c r="I310" s="12">
        <v>3.0</v>
      </c>
      <c r="J310" s="6" t="s">
        <v>161</v>
      </c>
    </row>
    <row r="311" ht="22.5" customHeight="1">
      <c r="A311" s="6" t="s">
        <v>2398</v>
      </c>
      <c r="B311" s="6" t="s">
        <v>1587</v>
      </c>
      <c r="C311" s="10">
        <v>46062.0</v>
      </c>
      <c r="D311" s="6" t="s">
        <v>677</v>
      </c>
      <c r="E311" s="6" t="s">
        <v>1055</v>
      </c>
      <c r="F311" s="6" t="s">
        <v>283</v>
      </c>
      <c r="G311" s="6" t="s">
        <v>254</v>
      </c>
      <c r="H311" s="10">
        <v>46065.0</v>
      </c>
      <c r="I311" s="12">
        <v>2.0</v>
      </c>
      <c r="J311" s="6" t="s">
        <v>161</v>
      </c>
    </row>
    <row r="312" ht="22.5" customHeight="1">
      <c r="A312" s="6" t="s">
        <v>2402</v>
      </c>
      <c r="B312" s="6" t="s">
        <v>1587</v>
      </c>
      <c r="C312" s="10">
        <v>46074.0</v>
      </c>
      <c r="D312" s="6" t="s">
        <v>242</v>
      </c>
      <c r="E312" s="6" t="s">
        <v>394</v>
      </c>
      <c r="F312" s="6" t="s">
        <v>249</v>
      </c>
      <c r="G312" s="6" t="s">
        <v>369</v>
      </c>
      <c r="H312" s="10">
        <v>46077.0</v>
      </c>
      <c r="I312" s="12">
        <v>3.0</v>
      </c>
      <c r="J312" s="6" t="s">
        <v>178</v>
      </c>
    </row>
    <row r="313" ht="22.5" customHeight="1">
      <c r="A313" s="6" t="s">
        <v>2408</v>
      </c>
      <c r="B313" s="6" t="s">
        <v>1594</v>
      </c>
      <c r="C313" s="10">
        <v>46032.0</v>
      </c>
      <c r="D313" s="6" t="s">
        <v>289</v>
      </c>
      <c r="E313" s="6" t="s">
        <v>1700</v>
      </c>
      <c r="F313" s="6" t="s">
        <v>249</v>
      </c>
      <c r="G313" s="6" t="s">
        <v>452</v>
      </c>
      <c r="H313" s="11" t="s">
        <v>259</v>
      </c>
      <c r="I313" s="12">
        <v>8.0</v>
      </c>
      <c r="J313" s="6" t="s">
        <v>161</v>
      </c>
    </row>
    <row r="314" ht="22.5" customHeight="1">
      <c r="A314" s="6" t="s">
        <v>2413</v>
      </c>
      <c r="B314" s="6" t="s">
        <v>1594</v>
      </c>
      <c r="C314" s="10">
        <v>46045.0</v>
      </c>
      <c r="D314" s="6" t="s">
        <v>677</v>
      </c>
      <c r="E314" s="6" t="s">
        <v>833</v>
      </c>
      <c r="F314" s="6" t="s">
        <v>112</v>
      </c>
      <c r="G314" s="6" t="s">
        <v>452</v>
      </c>
      <c r="H314" s="10">
        <v>46045.0</v>
      </c>
      <c r="I314" s="12">
        <v>4.0</v>
      </c>
      <c r="J314" s="6" t="s">
        <v>161</v>
      </c>
    </row>
    <row r="315" ht="22.5" customHeight="1">
      <c r="A315" s="6" t="s">
        <v>2417</v>
      </c>
      <c r="B315" s="6" t="s">
        <v>1594</v>
      </c>
      <c r="C315" s="10">
        <v>46047.0</v>
      </c>
      <c r="D315" s="6" t="s">
        <v>312</v>
      </c>
      <c r="E315" s="6" t="s">
        <v>618</v>
      </c>
      <c r="F315" s="6" t="s">
        <v>283</v>
      </c>
      <c r="G315" s="6" t="s">
        <v>326</v>
      </c>
      <c r="H315" s="10">
        <v>46054.0</v>
      </c>
      <c r="I315" s="12">
        <v>4.0</v>
      </c>
      <c r="J315" s="6" t="s">
        <v>161</v>
      </c>
    </row>
    <row r="316" ht="22.5" customHeight="1">
      <c r="A316" s="6" t="s">
        <v>2421</v>
      </c>
      <c r="B316" s="6" t="s">
        <v>1594</v>
      </c>
      <c r="C316" s="10">
        <v>46033.0</v>
      </c>
      <c r="D316" s="6" t="s">
        <v>677</v>
      </c>
      <c r="E316" s="6" t="s">
        <v>566</v>
      </c>
      <c r="F316" s="6" t="s">
        <v>283</v>
      </c>
      <c r="G316" s="6" t="s">
        <v>326</v>
      </c>
      <c r="H316" s="10">
        <v>46036.0</v>
      </c>
      <c r="I316" s="12">
        <v>4.0</v>
      </c>
      <c r="J316" s="6" t="s">
        <v>161</v>
      </c>
    </row>
    <row r="317" ht="22.5" customHeight="1">
      <c r="A317" s="6" t="s">
        <v>2427</v>
      </c>
      <c r="B317" s="6" t="s">
        <v>1594</v>
      </c>
      <c r="C317" s="10">
        <v>46047.0</v>
      </c>
      <c r="D317" s="6" t="s">
        <v>677</v>
      </c>
      <c r="E317" s="6" t="s">
        <v>628</v>
      </c>
      <c r="F317" s="6" t="s">
        <v>249</v>
      </c>
      <c r="G317" s="6" t="s">
        <v>369</v>
      </c>
      <c r="H317" s="11" t="s">
        <v>259</v>
      </c>
      <c r="I317" s="12">
        <v>4.0</v>
      </c>
      <c r="J317" s="6" t="s">
        <v>161</v>
      </c>
    </row>
    <row r="318" ht="22.5" customHeight="1">
      <c r="A318" s="6" t="s">
        <v>2430</v>
      </c>
      <c r="B318" s="6" t="s">
        <v>1601</v>
      </c>
      <c r="C318" s="10">
        <v>46059.0</v>
      </c>
      <c r="D318" s="6" t="s">
        <v>391</v>
      </c>
      <c r="E318" s="6" t="s">
        <v>365</v>
      </c>
      <c r="F318" s="6" t="s">
        <v>249</v>
      </c>
      <c r="G318" s="6" t="s">
        <v>452</v>
      </c>
      <c r="H318" s="10">
        <v>46061.0</v>
      </c>
      <c r="I318" s="12">
        <v>7.0</v>
      </c>
      <c r="J318" s="6" t="s">
        <v>161</v>
      </c>
    </row>
    <row r="319" ht="22.5" customHeight="1">
      <c r="A319" s="6" t="s">
        <v>2434</v>
      </c>
      <c r="B319" s="6" t="s">
        <v>1601</v>
      </c>
      <c r="C319" s="10">
        <v>46062.0</v>
      </c>
      <c r="D319" s="6" t="s">
        <v>312</v>
      </c>
      <c r="E319" s="6" t="s">
        <v>566</v>
      </c>
      <c r="F319" s="6" t="s">
        <v>439</v>
      </c>
      <c r="G319" s="6" t="s">
        <v>477</v>
      </c>
      <c r="H319" s="10">
        <v>46063.0</v>
      </c>
      <c r="I319" s="12">
        <v>4.0</v>
      </c>
      <c r="J319" s="6" t="s">
        <v>161</v>
      </c>
    </row>
    <row r="320" ht="22.5" customHeight="1">
      <c r="A320" s="6" t="s">
        <v>2440</v>
      </c>
      <c r="B320" s="6" t="s">
        <v>1601</v>
      </c>
      <c r="C320" s="10">
        <v>46069.0</v>
      </c>
      <c r="D320" s="6" t="s">
        <v>416</v>
      </c>
      <c r="E320" s="6" t="s">
        <v>1546</v>
      </c>
      <c r="F320" s="6" t="s">
        <v>249</v>
      </c>
      <c r="G320" s="6" t="s">
        <v>452</v>
      </c>
      <c r="H320" s="10">
        <v>46071.0</v>
      </c>
      <c r="I320" s="12">
        <v>13.0</v>
      </c>
      <c r="J320" s="6" t="s">
        <v>161</v>
      </c>
    </row>
    <row r="321" ht="22.5" customHeight="1">
      <c r="A321" s="6" t="s">
        <v>2446</v>
      </c>
      <c r="B321" s="6" t="s">
        <v>1601</v>
      </c>
      <c r="C321" s="10">
        <v>46064.0</v>
      </c>
      <c r="D321" s="6" t="s">
        <v>416</v>
      </c>
      <c r="E321" s="6" t="s">
        <v>1273</v>
      </c>
      <c r="F321" s="6" t="s">
        <v>112</v>
      </c>
      <c r="G321" s="6" t="s">
        <v>458</v>
      </c>
      <c r="H321" s="10">
        <v>46070.0</v>
      </c>
      <c r="I321" s="12">
        <v>13.0</v>
      </c>
      <c r="J321" s="6" t="s">
        <v>161</v>
      </c>
    </row>
    <row r="322" ht="22.5" customHeight="1">
      <c r="A322" s="6" t="s">
        <v>2450</v>
      </c>
      <c r="B322" s="6" t="s">
        <v>1607</v>
      </c>
      <c r="C322" s="10">
        <v>46086.0</v>
      </c>
      <c r="D322" s="6" t="s">
        <v>289</v>
      </c>
      <c r="E322" s="6" t="s">
        <v>1720</v>
      </c>
      <c r="F322" s="6" t="s">
        <v>439</v>
      </c>
      <c r="G322" s="6" t="s">
        <v>326</v>
      </c>
      <c r="H322" s="10">
        <v>46088.0</v>
      </c>
      <c r="I322" s="12">
        <v>9.0</v>
      </c>
      <c r="J322" s="6" t="s">
        <v>161</v>
      </c>
    </row>
    <row r="323" ht="22.5" customHeight="1">
      <c r="A323" s="6" t="s">
        <v>2455</v>
      </c>
      <c r="B323" s="6" t="s">
        <v>1614</v>
      </c>
      <c r="C323" s="10">
        <v>46070.0</v>
      </c>
      <c r="D323" s="6" t="s">
        <v>312</v>
      </c>
      <c r="E323" s="6" t="s">
        <v>320</v>
      </c>
      <c r="F323" s="6" t="s">
        <v>112</v>
      </c>
      <c r="G323" s="6" t="s">
        <v>369</v>
      </c>
      <c r="H323" s="10">
        <v>46071.0</v>
      </c>
      <c r="I323" s="12">
        <v>4.0</v>
      </c>
      <c r="J323" s="6" t="s">
        <v>161</v>
      </c>
    </row>
    <row r="324" ht="22.5" customHeight="1">
      <c r="A324" s="6" t="s">
        <v>2459</v>
      </c>
      <c r="B324" s="6" t="s">
        <v>1614</v>
      </c>
      <c r="C324" s="10">
        <v>46072.0</v>
      </c>
      <c r="D324" s="6" t="s">
        <v>242</v>
      </c>
      <c r="E324" s="6" t="s">
        <v>1122</v>
      </c>
      <c r="F324" s="6" t="s">
        <v>249</v>
      </c>
      <c r="G324" s="6" t="s">
        <v>326</v>
      </c>
      <c r="H324" s="10">
        <v>46079.0</v>
      </c>
      <c r="I324" s="12">
        <v>4.0</v>
      </c>
      <c r="J324" s="6" t="s">
        <v>161</v>
      </c>
    </row>
    <row r="325" ht="22.5" customHeight="1">
      <c r="A325" s="6" t="s">
        <v>2465</v>
      </c>
      <c r="B325" s="6" t="s">
        <v>1620</v>
      </c>
      <c r="C325" s="10">
        <v>46079.0</v>
      </c>
      <c r="D325" s="6" t="s">
        <v>677</v>
      </c>
      <c r="E325" s="6" t="s">
        <v>394</v>
      </c>
      <c r="F325" s="6" t="s">
        <v>249</v>
      </c>
      <c r="G325" s="6" t="s">
        <v>369</v>
      </c>
      <c r="H325" s="10">
        <v>46079.0</v>
      </c>
      <c r="I325" s="12">
        <v>3.0</v>
      </c>
      <c r="J325" s="6" t="s">
        <v>161</v>
      </c>
    </row>
    <row r="326" ht="22.5" customHeight="1">
      <c r="A326" s="6" t="s">
        <v>2470</v>
      </c>
      <c r="B326" s="6" t="s">
        <v>1620</v>
      </c>
      <c r="C326" s="10">
        <v>46059.0</v>
      </c>
      <c r="D326" s="6" t="s">
        <v>677</v>
      </c>
      <c r="E326" s="6" t="s">
        <v>1720</v>
      </c>
      <c r="F326" s="6" t="s">
        <v>439</v>
      </c>
      <c r="G326" s="6" t="s">
        <v>369</v>
      </c>
      <c r="H326" s="10">
        <v>46065.0</v>
      </c>
      <c r="I326" s="12">
        <v>3.0</v>
      </c>
      <c r="J326" s="6" t="s">
        <v>161</v>
      </c>
    </row>
    <row r="327" ht="22.5" customHeight="1">
      <c r="A327" s="6" t="s">
        <v>2474</v>
      </c>
      <c r="B327" s="6" t="s">
        <v>1620</v>
      </c>
      <c r="C327" s="10">
        <v>46064.0</v>
      </c>
      <c r="D327" s="6" t="s">
        <v>242</v>
      </c>
      <c r="E327" s="6" t="s">
        <v>1386</v>
      </c>
      <c r="F327" s="6" t="s">
        <v>283</v>
      </c>
      <c r="G327" s="6" t="s">
        <v>297</v>
      </c>
      <c r="H327" s="11" t="s">
        <v>259</v>
      </c>
      <c r="I327" s="12">
        <v>3.0</v>
      </c>
      <c r="J327" s="6" t="s">
        <v>178</v>
      </c>
    </row>
    <row r="328" ht="22.5" customHeight="1">
      <c r="A328" s="6" t="s">
        <v>2479</v>
      </c>
      <c r="B328" s="6" t="s">
        <v>1620</v>
      </c>
      <c r="C328" s="10">
        <v>46071.0</v>
      </c>
      <c r="D328" s="6" t="s">
        <v>436</v>
      </c>
      <c r="E328" s="6" t="s">
        <v>1570</v>
      </c>
      <c r="F328" s="6" t="s">
        <v>439</v>
      </c>
      <c r="G328" s="6" t="s">
        <v>254</v>
      </c>
      <c r="H328" s="11" t="s">
        <v>259</v>
      </c>
      <c r="I328" s="12">
        <v>12.0</v>
      </c>
      <c r="J328" s="6" t="s">
        <v>178</v>
      </c>
    </row>
    <row r="329" ht="22.5" customHeight="1">
      <c r="A329" s="6" t="s">
        <v>2483</v>
      </c>
      <c r="B329" s="6" t="s">
        <v>1620</v>
      </c>
      <c r="C329" s="10">
        <v>46075.0</v>
      </c>
      <c r="D329" s="6" t="s">
        <v>416</v>
      </c>
      <c r="E329" s="6" t="s">
        <v>1517</v>
      </c>
      <c r="F329" s="6" t="s">
        <v>439</v>
      </c>
      <c r="G329" s="6" t="s">
        <v>477</v>
      </c>
      <c r="H329" s="10">
        <v>46082.0</v>
      </c>
      <c r="I329" s="12">
        <v>12.0</v>
      </c>
      <c r="J329" s="6" t="s">
        <v>161</v>
      </c>
    </row>
    <row r="330" ht="22.5" customHeight="1">
      <c r="A330" s="6" t="s">
        <v>2488</v>
      </c>
      <c r="B330" s="6" t="s">
        <v>1627</v>
      </c>
      <c r="C330" s="10">
        <v>46040.0</v>
      </c>
      <c r="D330" s="6" t="s">
        <v>436</v>
      </c>
      <c r="E330" s="6" t="s">
        <v>1310</v>
      </c>
      <c r="F330" s="6" t="s">
        <v>439</v>
      </c>
      <c r="G330" s="6" t="s">
        <v>477</v>
      </c>
      <c r="H330" s="10">
        <v>46046.0</v>
      </c>
      <c r="I330" s="12">
        <v>6.0</v>
      </c>
      <c r="J330" s="6" t="s">
        <v>178</v>
      </c>
    </row>
    <row r="331" ht="22.5" customHeight="1">
      <c r="A331" s="6" t="s">
        <v>2490</v>
      </c>
      <c r="B331" s="6" t="s">
        <v>1627</v>
      </c>
      <c r="C331" s="10">
        <v>46035.0</v>
      </c>
      <c r="D331" s="6" t="s">
        <v>416</v>
      </c>
      <c r="E331" s="6" t="s">
        <v>812</v>
      </c>
      <c r="F331" s="6" t="s">
        <v>249</v>
      </c>
      <c r="G331" s="6" t="s">
        <v>369</v>
      </c>
      <c r="H331" s="10">
        <v>46042.0</v>
      </c>
      <c r="I331" s="12">
        <v>12.0</v>
      </c>
      <c r="J331" s="6" t="s">
        <v>161</v>
      </c>
    </row>
    <row r="332" ht="22.5" customHeight="1">
      <c r="A332" s="6" t="s">
        <v>2495</v>
      </c>
      <c r="B332" s="6" t="s">
        <v>1632</v>
      </c>
      <c r="C332" s="10">
        <v>46042.0</v>
      </c>
      <c r="D332" s="6" t="s">
        <v>416</v>
      </c>
      <c r="E332" s="6" t="s">
        <v>628</v>
      </c>
      <c r="F332" s="6" t="s">
        <v>283</v>
      </c>
      <c r="G332" s="6" t="s">
        <v>458</v>
      </c>
      <c r="H332" s="11" t="s">
        <v>259</v>
      </c>
      <c r="I332" s="12">
        <v>11.0</v>
      </c>
      <c r="J332" s="6" t="s">
        <v>161</v>
      </c>
    </row>
    <row r="333" ht="22.5" customHeight="1">
      <c r="A333" s="6" t="s">
        <v>2498</v>
      </c>
      <c r="B333" s="6" t="s">
        <v>1632</v>
      </c>
      <c r="C333" s="10">
        <v>46042.0</v>
      </c>
      <c r="D333" s="6" t="s">
        <v>242</v>
      </c>
      <c r="E333" s="6" t="s">
        <v>394</v>
      </c>
      <c r="F333" s="6" t="s">
        <v>439</v>
      </c>
      <c r="G333" s="6" t="s">
        <v>452</v>
      </c>
      <c r="H333" s="10">
        <v>46042.0</v>
      </c>
      <c r="I333" s="12">
        <v>5.0</v>
      </c>
      <c r="J333" s="6" t="s">
        <v>178</v>
      </c>
    </row>
    <row r="334" ht="22.5" customHeight="1">
      <c r="A334" s="6" t="s">
        <v>2504</v>
      </c>
      <c r="B334" s="6" t="s">
        <v>1639</v>
      </c>
      <c r="C334" s="10">
        <v>46063.0</v>
      </c>
      <c r="D334" s="6" t="s">
        <v>312</v>
      </c>
      <c r="E334" s="6" t="s">
        <v>716</v>
      </c>
      <c r="F334" s="6" t="s">
        <v>439</v>
      </c>
      <c r="G334" s="6" t="s">
        <v>297</v>
      </c>
      <c r="H334" s="10">
        <v>46066.0</v>
      </c>
      <c r="I334" s="12">
        <v>7.0</v>
      </c>
      <c r="J334" s="6" t="s">
        <v>161</v>
      </c>
    </row>
    <row r="335" ht="22.5" customHeight="1">
      <c r="A335" s="6" t="s">
        <v>2509</v>
      </c>
      <c r="B335" s="6" t="s">
        <v>1639</v>
      </c>
      <c r="C335" s="10">
        <v>46066.0</v>
      </c>
      <c r="D335" s="6" t="s">
        <v>391</v>
      </c>
      <c r="E335" s="6" t="s">
        <v>738</v>
      </c>
      <c r="F335" s="6" t="s">
        <v>283</v>
      </c>
      <c r="G335" s="6" t="s">
        <v>326</v>
      </c>
      <c r="H335" s="10">
        <v>46066.0</v>
      </c>
      <c r="I335" s="12">
        <v>6.0</v>
      </c>
      <c r="J335" s="6" t="s">
        <v>161</v>
      </c>
    </row>
    <row r="336" ht="22.5" customHeight="1">
      <c r="A336" s="6" t="s">
        <v>2514</v>
      </c>
      <c r="B336" s="6" t="s">
        <v>1639</v>
      </c>
      <c r="C336" s="10">
        <v>46061.0</v>
      </c>
      <c r="D336" s="6" t="s">
        <v>391</v>
      </c>
      <c r="E336" s="6" t="s">
        <v>291</v>
      </c>
      <c r="F336" s="6" t="s">
        <v>439</v>
      </c>
      <c r="G336" s="6" t="s">
        <v>326</v>
      </c>
      <c r="H336" s="10">
        <v>46067.0</v>
      </c>
      <c r="I336" s="12">
        <v>7.0</v>
      </c>
      <c r="J336" s="6" t="s">
        <v>161</v>
      </c>
    </row>
    <row r="337" ht="22.5" customHeight="1">
      <c r="A337" s="6" t="s">
        <v>2518</v>
      </c>
      <c r="B337" s="6" t="s">
        <v>1639</v>
      </c>
      <c r="C337" s="10">
        <v>46052.0</v>
      </c>
      <c r="D337" s="6" t="s">
        <v>677</v>
      </c>
      <c r="E337" s="6" t="s">
        <v>731</v>
      </c>
      <c r="F337" s="6" t="s">
        <v>112</v>
      </c>
      <c r="G337" s="6" t="s">
        <v>369</v>
      </c>
      <c r="H337" s="10">
        <v>46057.0</v>
      </c>
      <c r="I337" s="12">
        <v>2.0</v>
      </c>
      <c r="J337" s="6" t="s">
        <v>161</v>
      </c>
    </row>
    <row r="338" ht="22.5" customHeight="1">
      <c r="A338" s="6" t="s">
        <v>2522</v>
      </c>
      <c r="B338" s="6" t="s">
        <v>1639</v>
      </c>
      <c r="C338" s="10">
        <v>46053.0</v>
      </c>
      <c r="D338" s="6" t="s">
        <v>312</v>
      </c>
      <c r="E338" s="6" t="s">
        <v>1626</v>
      </c>
      <c r="F338" s="6" t="s">
        <v>112</v>
      </c>
      <c r="G338" s="6" t="s">
        <v>254</v>
      </c>
      <c r="H338" s="11" t="s">
        <v>259</v>
      </c>
      <c r="I338" s="12">
        <v>4.0</v>
      </c>
      <c r="J338" s="6" t="s">
        <v>161</v>
      </c>
    </row>
    <row r="339" ht="22.5" customHeight="1">
      <c r="A339" s="6" t="s">
        <v>2528</v>
      </c>
      <c r="B339" s="6" t="s">
        <v>1645</v>
      </c>
      <c r="C339" s="10">
        <v>46048.0</v>
      </c>
      <c r="D339" s="6" t="s">
        <v>289</v>
      </c>
      <c r="E339" s="6" t="s">
        <v>896</v>
      </c>
      <c r="F339" s="6" t="s">
        <v>439</v>
      </c>
      <c r="G339" s="6" t="s">
        <v>494</v>
      </c>
      <c r="H339" s="10">
        <v>46053.0</v>
      </c>
      <c r="I339" s="12">
        <v>9.0</v>
      </c>
      <c r="J339" s="6" t="s">
        <v>161</v>
      </c>
    </row>
    <row r="340" ht="22.5" customHeight="1">
      <c r="A340" s="6" t="s">
        <v>2534</v>
      </c>
      <c r="B340" s="6" t="s">
        <v>1645</v>
      </c>
      <c r="C340" s="10">
        <v>46042.0</v>
      </c>
      <c r="D340" s="6" t="s">
        <v>312</v>
      </c>
      <c r="E340" s="6" t="s">
        <v>704</v>
      </c>
      <c r="F340" s="6" t="s">
        <v>112</v>
      </c>
      <c r="G340" s="6" t="s">
        <v>254</v>
      </c>
      <c r="H340" s="10">
        <v>46049.0</v>
      </c>
      <c r="I340" s="12">
        <v>7.0</v>
      </c>
      <c r="J340" s="6" t="s">
        <v>161</v>
      </c>
    </row>
    <row r="341" ht="22.5" customHeight="1">
      <c r="A341" s="6" t="s">
        <v>2536</v>
      </c>
      <c r="B341" s="6" t="s">
        <v>1645</v>
      </c>
      <c r="C341" s="10">
        <v>46036.0</v>
      </c>
      <c r="D341" s="6" t="s">
        <v>242</v>
      </c>
      <c r="E341" s="6" t="s">
        <v>583</v>
      </c>
      <c r="F341" s="6" t="s">
        <v>283</v>
      </c>
      <c r="G341" s="6" t="s">
        <v>452</v>
      </c>
      <c r="H341" s="10">
        <v>46041.0</v>
      </c>
      <c r="I341" s="12">
        <v>4.0</v>
      </c>
      <c r="J341" s="6" t="s">
        <v>178</v>
      </c>
    </row>
    <row r="342" ht="22.5" customHeight="1">
      <c r="A342" s="6" t="s">
        <v>2541</v>
      </c>
      <c r="B342" s="6" t="s">
        <v>1651</v>
      </c>
      <c r="C342" s="10">
        <v>46031.0</v>
      </c>
      <c r="D342" s="6" t="s">
        <v>436</v>
      </c>
      <c r="E342" s="6" t="s">
        <v>475</v>
      </c>
      <c r="F342" s="6" t="s">
        <v>283</v>
      </c>
      <c r="G342" s="6" t="s">
        <v>452</v>
      </c>
      <c r="H342" s="10">
        <v>46031.0</v>
      </c>
      <c r="I342" s="12">
        <v>7.0</v>
      </c>
      <c r="J342" s="6" t="s">
        <v>178</v>
      </c>
    </row>
    <row r="343" ht="22.5" customHeight="1">
      <c r="A343" s="6" t="s">
        <v>2546</v>
      </c>
      <c r="B343" s="6" t="s">
        <v>1657</v>
      </c>
      <c r="C343" s="10">
        <v>46064.0</v>
      </c>
      <c r="D343" s="6" t="s">
        <v>436</v>
      </c>
      <c r="E343" s="6" t="s">
        <v>1626</v>
      </c>
      <c r="F343" s="6" t="s">
        <v>249</v>
      </c>
      <c r="G343" s="6" t="s">
        <v>369</v>
      </c>
      <c r="H343" s="10">
        <v>46071.0</v>
      </c>
      <c r="I343" s="12">
        <v>8.0</v>
      </c>
      <c r="J343" s="6" t="s">
        <v>161</v>
      </c>
    </row>
    <row r="344" ht="22.5" customHeight="1">
      <c r="A344" s="6" t="s">
        <v>2550</v>
      </c>
      <c r="B344" s="6" t="s">
        <v>1664</v>
      </c>
      <c r="C344" s="10">
        <v>46055.0</v>
      </c>
      <c r="D344" s="6" t="s">
        <v>436</v>
      </c>
      <c r="E344" s="6" t="s">
        <v>1296</v>
      </c>
      <c r="F344" s="6" t="s">
        <v>283</v>
      </c>
      <c r="G344" s="6" t="s">
        <v>369</v>
      </c>
      <c r="H344" s="10">
        <v>46061.0</v>
      </c>
      <c r="I344" s="12">
        <v>7.0</v>
      </c>
      <c r="J344" s="6" t="s">
        <v>161</v>
      </c>
    </row>
    <row r="345" ht="22.5" customHeight="1">
      <c r="A345" s="6" t="s">
        <v>2555</v>
      </c>
      <c r="B345" s="6" t="s">
        <v>1664</v>
      </c>
      <c r="C345" s="10">
        <v>46066.0</v>
      </c>
      <c r="D345" s="6" t="s">
        <v>312</v>
      </c>
      <c r="E345" s="6" t="s">
        <v>628</v>
      </c>
      <c r="F345" s="6" t="s">
        <v>249</v>
      </c>
      <c r="G345" s="6" t="s">
        <v>297</v>
      </c>
      <c r="H345" s="10">
        <v>46068.0</v>
      </c>
      <c r="I345" s="12">
        <v>5.0</v>
      </c>
      <c r="J345" s="6" t="s">
        <v>161</v>
      </c>
    </row>
    <row r="346" ht="22.5" customHeight="1">
      <c r="A346" s="6" t="s">
        <v>2560</v>
      </c>
      <c r="B346" s="6" t="s">
        <v>1664</v>
      </c>
      <c r="C346" s="10">
        <v>46054.0</v>
      </c>
      <c r="D346" s="6" t="s">
        <v>416</v>
      </c>
      <c r="E346" s="6" t="s">
        <v>798</v>
      </c>
      <c r="F346" s="6" t="s">
        <v>439</v>
      </c>
      <c r="G346" s="6" t="s">
        <v>494</v>
      </c>
      <c r="H346" s="11" t="s">
        <v>259</v>
      </c>
      <c r="I346" s="12">
        <v>14.0</v>
      </c>
      <c r="J346" s="6" t="s">
        <v>161</v>
      </c>
    </row>
    <row r="347" ht="22.5" customHeight="1">
      <c r="A347" s="6" t="s">
        <v>2566</v>
      </c>
      <c r="B347" s="6" t="s">
        <v>1664</v>
      </c>
      <c r="C347" s="10">
        <v>46060.0</v>
      </c>
      <c r="D347" s="6" t="s">
        <v>391</v>
      </c>
      <c r="E347" s="6" t="s">
        <v>731</v>
      </c>
      <c r="F347" s="6" t="s">
        <v>112</v>
      </c>
      <c r="G347" s="6" t="s">
        <v>458</v>
      </c>
      <c r="H347" s="10">
        <v>46061.0</v>
      </c>
      <c r="I347" s="12">
        <v>9.0</v>
      </c>
      <c r="J347" s="6" t="s">
        <v>161</v>
      </c>
    </row>
    <row r="348" ht="22.5" customHeight="1">
      <c r="A348" s="6" t="s">
        <v>2569</v>
      </c>
      <c r="B348" s="6" t="s">
        <v>1664</v>
      </c>
      <c r="C348" s="10">
        <v>46063.0</v>
      </c>
      <c r="D348" s="6" t="s">
        <v>677</v>
      </c>
      <c r="E348" s="6" t="s">
        <v>833</v>
      </c>
      <c r="F348" s="6" t="s">
        <v>439</v>
      </c>
      <c r="G348" s="6" t="s">
        <v>458</v>
      </c>
      <c r="H348" s="10">
        <v>46063.0</v>
      </c>
      <c r="I348" s="12">
        <v>4.0</v>
      </c>
      <c r="J348" s="6" t="s">
        <v>161</v>
      </c>
    </row>
    <row r="349" ht="22.5" customHeight="1">
      <c r="A349" s="6" t="s">
        <v>2575</v>
      </c>
      <c r="B349" s="6" t="s">
        <v>1670</v>
      </c>
      <c r="C349" s="10">
        <v>46083.0</v>
      </c>
      <c r="D349" s="6" t="s">
        <v>312</v>
      </c>
      <c r="E349" s="6" t="s">
        <v>1969</v>
      </c>
      <c r="F349" s="6" t="s">
        <v>112</v>
      </c>
      <c r="G349" s="6" t="s">
        <v>458</v>
      </c>
      <c r="H349" s="11" t="s">
        <v>259</v>
      </c>
      <c r="I349" s="12">
        <v>4.0</v>
      </c>
      <c r="J349" s="6" t="s">
        <v>161</v>
      </c>
    </row>
    <row r="350" ht="22.5" customHeight="1">
      <c r="A350" s="6" t="s">
        <v>2579</v>
      </c>
      <c r="B350" s="6" t="s">
        <v>1670</v>
      </c>
      <c r="C350" s="10">
        <v>46081.0</v>
      </c>
      <c r="D350" s="6" t="s">
        <v>242</v>
      </c>
      <c r="E350" s="6" t="s">
        <v>812</v>
      </c>
      <c r="F350" s="6" t="s">
        <v>249</v>
      </c>
      <c r="G350" s="6" t="s">
        <v>494</v>
      </c>
      <c r="H350" s="10">
        <v>46081.0</v>
      </c>
      <c r="I350" s="12">
        <v>5.0</v>
      </c>
      <c r="J350" s="6" t="s">
        <v>178</v>
      </c>
    </row>
    <row r="351" ht="22.5" customHeight="1">
      <c r="A351" s="6" t="s">
        <v>2581</v>
      </c>
      <c r="B351" s="6" t="s">
        <v>1677</v>
      </c>
      <c r="C351" s="10">
        <v>46035.0</v>
      </c>
      <c r="D351" s="6" t="s">
        <v>312</v>
      </c>
      <c r="E351" s="6" t="s">
        <v>2365</v>
      </c>
      <c r="F351" s="6" t="s">
        <v>249</v>
      </c>
      <c r="G351" s="6" t="s">
        <v>458</v>
      </c>
      <c r="H351" s="11" t="s">
        <v>259</v>
      </c>
      <c r="I351" s="12">
        <v>6.0</v>
      </c>
      <c r="J351" s="6" t="s">
        <v>161</v>
      </c>
    </row>
    <row r="352" ht="22.5" customHeight="1">
      <c r="A352" s="6" t="s">
        <v>2585</v>
      </c>
      <c r="B352" s="6" t="s">
        <v>1677</v>
      </c>
      <c r="C352" s="10">
        <v>46027.0</v>
      </c>
      <c r="D352" s="6" t="s">
        <v>312</v>
      </c>
      <c r="E352" s="6" t="s">
        <v>618</v>
      </c>
      <c r="F352" s="6" t="s">
        <v>249</v>
      </c>
      <c r="G352" s="6" t="s">
        <v>297</v>
      </c>
      <c r="H352" s="11" t="s">
        <v>259</v>
      </c>
      <c r="I352" s="12">
        <v>7.0</v>
      </c>
      <c r="J352" s="6" t="s">
        <v>161</v>
      </c>
    </row>
    <row r="353" ht="22.5" customHeight="1">
      <c r="A353" s="6" t="s">
        <v>2591</v>
      </c>
      <c r="B353" s="6" t="s">
        <v>1677</v>
      </c>
      <c r="C353" s="10">
        <v>46040.0</v>
      </c>
      <c r="D353" s="6" t="s">
        <v>416</v>
      </c>
      <c r="E353" s="6" t="s">
        <v>438</v>
      </c>
      <c r="F353" s="6" t="s">
        <v>249</v>
      </c>
      <c r="G353" s="6" t="s">
        <v>458</v>
      </c>
      <c r="H353" s="10">
        <v>46044.0</v>
      </c>
      <c r="I353" s="12">
        <v>8.0</v>
      </c>
      <c r="J353" s="6" t="s">
        <v>161</v>
      </c>
    </row>
    <row r="354" ht="22.5" customHeight="1">
      <c r="A354" s="6" t="s">
        <v>2597</v>
      </c>
      <c r="B354" s="6" t="s">
        <v>1677</v>
      </c>
      <c r="C354" s="10">
        <v>46034.0</v>
      </c>
      <c r="D354" s="6" t="s">
        <v>289</v>
      </c>
      <c r="E354" s="6" t="s">
        <v>1241</v>
      </c>
      <c r="F354" s="6" t="s">
        <v>283</v>
      </c>
      <c r="G354" s="6" t="s">
        <v>369</v>
      </c>
      <c r="H354" s="10">
        <v>46037.0</v>
      </c>
      <c r="I354" s="12">
        <v>5.0</v>
      </c>
      <c r="J354" s="6" t="s">
        <v>161</v>
      </c>
    </row>
    <row r="355" ht="22.5" customHeight="1">
      <c r="A355" s="6" t="s">
        <v>2603</v>
      </c>
      <c r="B355" s="6" t="s">
        <v>1677</v>
      </c>
      <c r="C355" s="10">
        <v>46038.0</v>
      </c>
      <c r="D355" s="6" t="s">
        <v>677</v>
      </c>
      <c r="E355" s="6" t="s">
        <v>955</v>
      </c>
      <c r="F355" s="6" t="s">
        <v>249</v>
      </c>
      <c r="G355" s="6" t="s">
        <v>494</v>
      </c>
      <c r="H355" s="10">
        <v>46042.0</v>
      </c>
      <c r="I355" s="12">
        <v>4.0</v>
      </c>
      <c r="J355" s="6" t="s">
        <v>161</v>
      </c>
    </row>
    <row r="356" ht="22.5" customHeight="1">
      <c r="A356" s="6" t="s">
        <v>2607</v>
      </c>
      <c r="B356" s="6" t="s">
        <v>1683</v>
      </c>
      <c r="C356" s="10">
        <v>46039.0</v>
      </c>
      <c r="D356" s="6" t="s">
        <v>242</v>
      </c>
      <c r="E356" s="6" t="s">
        <v>512</v>
      </c>
      <c r="F356" s="6" t="s">
        <v>249</v>
      </c>
      <c r="G356" s="6" t="s">
        <v>297</v>
      </c>
      <c r="H356" s="10">
        <v>46041.0</v>
      </c>
      <c r="I356" s="12">
        <v>5.0</v>
      </c>
      <c r="J356" s="6" t="s">
        <v>178</v>
      </c>
    </row>
    <row r="357" ht="22.5" customHeight="1">
      <c r="A357" s="6" t="s">
        <v>2611</v>
      </c>
      <c r="B357" s="6" t="s">
        <v>1689</v>
      </c>
      <c r="C357" s="10">
        <v>46034.0</v>
      </c>
      <c r="D357" s="6" t="s">
        <v>391</v>
      </c>
      <c r="E357" s="6" t="s">
        <v>738</v>
      </c>
      <c r="F357" s="6" t="s">
        <v>249</v>
      </c>
      <c r="G357" s="6" t="s">
        <v>452</v>
      </c>
      <c r="H357" s="10">
        <v>46034.0</v>
      </c>
      <c r="I357" s="12">
        <v>10.0</v>
      </c>
      <c r="J357" s="6" t="s">
        <v>161</v>
      </c>
    </row>
    <row r="358" ht="22.5" customHeight="1">
      <c r="A358" s="6" t="s">
        <v>2616</v>
      </c>
      <c r="B358" s="6" t="s">
        <v>1689</v>
      </c>
      <c r="C358" s="10">
        <v>46028.0</v>
      </c>
      <c r="D358" s="6" t="s">
        <v>416</v>
      </c>
      <c r="E358" s="6" t="s">
        <v>365</v>
      </c>
      <c r="F358" s="6" t="s">
        <v>112</v>
      </c>
      <c r="G358" s="6" t="s">
        <v>494</v>
      </c>
      <c r="H358" s="10">
        <v>46029.0</v>
      </c>
      <c r="I358" s="12">
        <v>11.0</v>
      </c>
      <c r="J358" s="6" t="s">
        <v>161</v>
      </c>
    </row>
    <row r="359" ht="22.5" customHeight="1">
      <c r="A359" s="6" t="s">
        <v>2621</v>
      </c>
      <c r="B359" s="6" t="s">
        <v>1689</v>
      </c>
      <c r="C359" s="10">
        <v>46045.0</v>
      </c>
      <c r="D359" s="6" t="s">
        <v>289</v>
      </c>
      <c r="E359" s="6" t="s">
        <v>291</v>
      </c>
      <c r="F359" s="6" t="s">
        <v>439</v>
      </c>
      <c r="G359" s="6" t="s">
        <v>452</v>
      </c>
      <c r="H359" s="10">
        <v>46049.0</v>
      </c>
      <c r="I359" s="12">
        <v>10.0</v>
      </c>
      <c r="J359" s="6" t="s">
        <v>161</v>
      </c>
    </row>
    <row r="360" ht="22.5" customHeight="1">
      <c r="A360" s="6" t="s">
        <v>2626</v>
      </c>
      <c r="B360" s="6" t="s">
        <v>1689</v>
      </c>
      <c r="C360" s="10">
        <v>46027.0</v>
      </c>
      <c r="D360" s="6" t="s">
        <v>677</v>
      </c>
      <c r="E360" s="6" t="s">
        <v>896</v>
      </c>
      <c r="F360" s="6" t="s">
        <v>112</v>
      </c>
      <c r="G360" s="6" t="s">
        <v>369</v>
      </c>
      <c r="H360" s="11" t="s">
        <v>259</v>
      </c>
      <c r="I360" s="12">
        <v>4.0</v>
      </c>
      <c r="J360" s="6" t="s">
        <v>161</v>
      </c>
    </row>
    <row r="361" ht="22.5" customHeight="1">
      <c r="A361" s="6" t="s">
        <v>2629</v>
      </c>
      <c r="B361" s="6" t="s">
        <v>1697</v>
      </c>
      <c r="C361" s="10">
        <v>46053.0</v>
      </c>
      <c r="D361" s="6" t="s">
        <v>416</v>
      </c>
      <c r="E361" s="6" t="s">
        <v>1310</v>
      </c>
      <c r="F361" s="6" t="s">
        <v>439</v>
      </c>
      <c r="G361" s="6" t="s">
        <v>369</v>
      </c>
      <c r="H361" s="10">
        <v>46059.0</v>
      </c>
      <c r="I361" s="12">
        <v>10.0</v>
      </c>
      <c r="J361" s="6" t="s">
        <v>161</v>
      </c>
    </row>
    <row r="362" ht="22.5" customHeight="1">
      <c r="A362" s="6" t="s">
        <v>2634</v>
      </c>
      <c r="B362" s="6" t="s">
        <v>1697</v>
      </c>
      <c r="C362" s="10">
        <v>46059.0</v>
      </c>
      <c r="D362" s="6" t="s">
        <v>312</v>
      </c>
      <c r="E362" s="6" t="s">
        <v>1386</v>
      </c>
      <c r="F362" s="6" t="s">
        <v>439</v>
      </c>
      <c r="G362" s="6" t="s">
        <v>477</v>
      </c>
      <c r="H362" s="10">
        <v>46061.0</v>
      </c>
      <c r="I362" s="12">
        <v>4.0</v>
      </c>
      <c r="J362" s="6" t="s">
        <v>161</v>
      </c>
    </row>
    <row r="363" ht="22.5" customHeight="1">
      <c r="A363" s="6" t="s">
        <v>2639</v>
      </c>
      <c r="B363" s="6" t="s">
        <v>1697</v>
      </c>
      <c r="C363" s="10">
        <v>46048.0</v>
      </c>
      <c r="D363" s="6" t="s">
        <v>391</v>
      </c>
      <c r="E363" s="6" t="s">
        <v>291</v>
      </c>
      <c r="F363" s="6" t="s">
        <v>249</v>
      </c>
      <c r="G363" s="6" t="s">
        <v>458</v>
      </c>
      <c r="H363" s="10">
        <v>46052.0</v>
      </c>
      <c r="I363" s="12">
        <v>6.0</v>
      </c>
      <c r="J363" s="6" t="s">
        <v>161</v>
      </c>
    </row>
    <row r="364" ht="22.5" customHeight="1">
      <c r="A364" s="6" t="s">
        <v>2645</v>
      </c>
      <c r="B364" s="6" t="s">
        <v>1697</v>
      </c>
      <c r="C364" s="10">
        <v>46057.0</v>
      </c>
      <c r="D364" s="6" t="s">
        <v>391</v>
      </c>
      <c r="E364" s="6" t="s">
        <v>1273</v>
      </c>
      <c r="F364" s="6" t="s">
        <v>249</v>
      </c>
      <c r="G364" s="6" t="s">
        <v>369</v>
      </c>
      <c r="H364" s="10">
        <v>46057.0</v>
      </c>
      <c r="I364" s="12">
        <v>11.0</v>
      </c>
      <c r="J364" s="6" t="s">
        <v>161</v>
      </c>
    </row>
    <row r="365" ht="22.5" customHeight="1">
      <c r="A365" s="6" t="s">
        <v>2648</v>
      </c>
      <c r="B365" s="6" t="s">
        <v>1704</v>
      </c>
      <c r="C365" s="10">
        <v>46046.0</v>
      </c>
      <c r="D365" s="6" t="s">
        <v>289</v>
      </c>
      <c r="E365" s="6" t="s">
        <v>798</v>
      </c>
      <c r="F365" s="6" t="s">
        <v>112</v>
      </c>
      <c r="G365" s="6" t="s">
        <v>297</v>
      </c>
      <c r="H365" s="10">
        <v>46050.0</v>
      </c>
      <c r="I365" s="12">
        <v>5.0</v>
      </c>
      <c r="J365" s="6" t="s">
        <v>161</v>
      </c>
    </row>
    <row r="366" ht="22.5" customHeight="1">
      <c r="A366" s="6" t="s">
        <v>2653</v>
      </c>
      <c r="B366" s="6" t="s">
        <v>1704</v>
      </c>
      <c r="C366" s="10">
        <v>46049.0</v>
      </c>
      <c r="D366" s="6" t="s">
        <v>391</v>
      </c>
      <c r="E366" s="6" t="s">
        <v>1969</v>
      </c>
      <c r="F366" s="6" t="s">
        <v>439</v>
      </c>
      <c r="G366" s="6" t="s">
        <v>254</v>
      </c>
      <c r="H366" s="10">
        <v>46052.0</v>
      </c>
      <c r="I366" s="12">
        <v>7.0</v>
      </c>
      <c r="J366" s="6" t="s">
        <v>161</v>
      </c>
    </row>
    <row r="367" ht="22.5" customHeight="1">
      <c r="A367" s="6" t="s">
        <v>2658</v>
      </c>
      <c r="B367" s="6" t="s">
        <v>1710</v>
      </c>
      <c r="C367" s="10">
        <v>46032.0</v>
      </c>
      <c r="D367" s="6" t="s">
        <v>242</v>
      </c>
      <c r="E367" s="6" t="s">
        <v>2365</v>
      </c>
      <c r="F367" s="6" t="s">
        <v>112</v>
      </c>
      <c r="G367" s="6" t="s">
        <v>452</v>
      </c>
      <c r="H367" s="10">
        <v>46035.0</v>
      </c>
      <c r="I367" s="12">
        <v>5.0</v>
      </c>
      <c r="J367" s="6" t="s">
        <v>178</v>
      </c>
    </row>
    <row r="368" ht="22.5" customHeight="1">
      <c r="A368" s="6" t="s">
        <v>2664</v>
      </c>
      <c r="B368" s="6" t="s">
        <v>1710</v>
      </c>
      <c r="C368" s="10">
        <v>46030.0</v>
      </c>
      <c r="D368" s="6" t="s">
        <v>416</v>
      </c>
      <c r="E368" s="6" t="s">
        <v>833</v>
      </c>
      <c r="F368" s="6" t="s">
        <v>283</v>
      </c>
      <c r="G368" s="6" t="s">
        <v>494</v>
      </c>
      <c r="H368" s="10">
        <v>46035.0</v>
      </c>
      <c r="I368" s="12">
        <v>14.0</v>
      </c>
      <c r="J368" s="6" t="s">
        <v>161</v>
      </c>
    </row>
    <row r="369" ht="22.5" customHeight="1">
      <c r="A369" s="6" t="s">
        <v>2668</v>
      </c>
      <c r="B369" s="6" t="s">
        <v>1710</v>
      </c>
      <c r="C369" s="10">
        <v>46041.0</v>
      </c>
      <c r="D369" s="6" t="s">
        <v>289</v>
      </c>
      <c r="E369" s="6" t="s">
        <v>1552</v>
      </c>
      <c r="F369" s="6" t="s">
        <v>112</v>
      </c>
      <c r="G369" s="6" t="s">
        <v>494</v>
      </c>
      <c r="H369" s="11" t="s">
        <v>259</v>
      </c>
      <c r="I369" s="12">
        <v>10.0</v>
      </c>
      <c r="J369" s="6" t="s">
        <v>161</v>
      </c>
    </row>
    <row r="370" ht="22.5" customHeight="1">
      <c r="A370" s="6" t="s">
        <v>2672</v>
      </c>
      <c r="B370" s="6" t="s">
        <v>1710</v>
      </c>
      <c r="C370" s="10">
        <v>46041.0</v>
      </c>
      <c r="D370" s="6" t="s">
        <v>416</v>
      </c>
      <c r="E370" s="6" t="s">
        <v>1626</v>
      </c>
      <c r="F370" s="6" t="s">
        <v>283</v>
      </c>
      <c r="G370" s="6" t="s">
        <v>297</v>
      </c>
      <c r="H370" s="10">
        <v>46041.0</v>
      </c>
      <c r="I370" s="12">
        <v>10.0</v>
      </c>
      <c r="J370" s="6" t="s">
        <v>161</v>
      </c>
    </row>
    <row r="371" ht="22.5" customHeight="1">
      <c r="A371" s="6" t="s">
        <v>2677</v>
      </c>
      <c r="B371" s="6" t="s">
        <v>1710</v>
      </c>
      <c r="C371" s="10">
        <v>46033.0</v>
      </c>
      <c r="D371" s="6" t="s">
        <v>416</v>
      </c>
      <c r="E371" s="6" t="s">
        <v>2365</v>
      </c>
      <c r="F371" s="6" t="s">
        <v>249</v>
      </c>
      <c r="G371" s="6" t="s">
        <v>254</v>
      </c>
      <c r="H371" s="10">
        <v>46039.0</v>
      </c>
      <c r="I371" s="12">
        <v>12.0</v>
      </c>
      <c r="J371" s="6" t="s">
        <v>161</v>
      </c>
    </row>
    <row r="372" ht="22.5" customHeight="1">
      <c r="A372" s="6" t="s">
        <v>2682</v>
      </c>
      <c r="B372" s="6" t="s">
        <v>1716</v>
      </c>
      <c r="C372" s="10">
        <v>46043.0</v>
      </c>
      <c r="D372" s="6" t="s">
        <v>391</v>
      </c>
      <c r="E372" s="6" t="s">
        <v>1122</v>
      </c>
      <c r="F372" s="6" t="s">
        <v>112</v>
      </c>
      <c r="G372" s="6" t="s">
        <v>458</v>
      </c>
      <c r="H372" s="11" t="s">
        <v>259</v>
      </c>
      <c r="I372" s="12">
        <v>8.0</v>
      </c>
      <c r="J372" s="6" t="s">
        <v>161</v>
      </c>
    </row>
    <row r="373" ht="22.5" customHeight="1">
      <c r="A373" s="6" t="s">
        <v>2688</v>
      </c>
      <c r="B373" s="6" t="s">
        <v>1716</v>
      </c>
      <c r="C373" s="10">
        <v>46039.0</v>
      </c>
      <c r="D373" s="6" t="s">
        <v>416</v>
      </c>
      <c r="E373" s="6" t="s">
        <v>738</v>
      </c>
      <c r="F373" s="6" t="s">
        <v>249</v>
      </c>
      <c r="G373" s="6" t="s">
        <v>254</v>
      </c>
      <c r="H373" s="11" t="s">
        <v>259</v>
      </c>
      <c r="I373" s="12">
        <v>14.0</v>
      </c>
      <c r="J373" s="6" t="s">
        <v>161</v>
      </c>
    </row>
    <row r="374" ht="22.5" customHeight="1">
      <c r="A374" s="6" t="s">
        <v>2694</v>
      </c>
      <c r="B374" s="6" t="s">
        <v>1716</v>
      </c>
      <c r="C374" s="10">
        <v>46056.0</v>
      </c>
      <c r="D374" s="6" t="s">
        <v>436</v>
      </c>
      <c r="E374" s="6" t="s">
        <v>438</v>
      </c>
      <c r="F374" s="6" t="s">
        <v>283</v>
      </c>
      <c r="G374" s="6" t="s">
        <v>452</v>
      </c>
      <c r="H374" s="10">
        <v>46062.0</v>
      </c>
      <c r="I374" s="12">
        <v>11.0</v>
      </c>
      <c r="J374" s="6" t="s">
        <v>161</v>
      </c>
    </row>
    <row r="375" ht="22.5" customHeight="1">
      <c r="A375" s="6" t="s">
        <v>2697</v>
      </c>
      <c r="B375" s="6" t="s">
        <v>1724</v>
      </c>
      <c r="C375" s="10">
        <v>46073.0</v>
      </c>
      <c r="D375" s="6" t="s">
        <v>289</v>
      </c>
      <c r="E375" s="6" t="s">
        <v>1296</v>
      </c>
      <c r="F375" s="6" t="s">
        <v>112</v>
      </c>
      <c r="G375" s="6" t="s">
        <v>369</v>
      </c>
      <c r="H375" s="10">
        <v>46077.0</v>
      </c>
      <c r="I375" s="12">
        <v>8.0</v>
      </c>
      <c r="J375" s="6" t="s">
        <v>161</v>
      </c>
    </row>
    <row r="376" ht="22.5" customHeight="1">
      <c r="A376" s="6" t="s">
        <v>2702</v>
      </c>
      <c r="B376" s="6" t="s">
        <v>1724</v>
      </c>
      <c r="C376" s="10">
        <v>46082.0</v>
      </c>
      <c r="D376" s="6" t="s">
        <v>677</v>
      </c>
      <c r="E376" s="6" t="s">
        <v>955</v>
      </c>
      <c r="F376" s="6" t="s">
        <v>439</v>
      </c>
      <c r="G376" s="6" t="s">
        <v>326</v>
      </c>
      <c r="H376" s="10">
        <v>46083.0</v>
      </c>
      <c r="I376" s="12">
        <v>3.0</v>
      </c>
      <c r="J376" s="6" t="s">
        <v>161</v>
      </c>
    </row>
    <row r="377" ht="22.5" customHeight="1">
      <c r="A377" s="6" t="s">
        <v>2707</v>
      </c>
      <c r="B377" s="6" t="s">
        <v>1724</v>
      </c>
      <c r="C377" s="10">
        <v>46073.0</v>
      </c>
      <c r="D377" s="6" t="s">
        <v>677</v>
      </c>
      <c r="E377" s="6" t="s">
        <v>1122</v>
      </c>
      <c r="F377" s="6" t="s">
        <v>112</v>
      </c>
      <c r="G377" s="6" t="s">
        <v>494</v>
      </c>
      <c r="H377" s="11" t="s">
        <v>259</v>
      </c>
      <c r="I377" s="12">
        <v>3.0</v>
      </c>
      <c r="J377" s="6" t="s">
        <v>161</v>
      </c>
    </row>
    <row r="378" ht="22.5" customHeight="1">
      <c r="A378" s="6" t="s">
        <v>2712</v>
      </c>
      <c r="B378" s="6" t="s">
        <v>1724</v>
      </c>
      <c r="C378" s="10">
        <v>46076.0</v>
      </c>
      <c r="D378" s="6" t="s">
        <v>436</v>
      </c>
      <c r="E378" s="6" t="s">
        <v>610</v>
      </c>
      <c r="F378" s="6" t="s">
        <v>249</v>
      </c>
      <c r="G378" s="6" t="s">
        <v>297</v>
      </c>
      <c r="H378" s="10">
        <v>46080.0</v>
      </c>
      <c r="I378" s="12">
        <v>8.0</v>
      </c>
      <c r="J378" s="6" t="s">
        <v>161</v>
      </c>
    </row>
    <row r="379" ht="22.5" customHeight="1">
      <c r="A379" s="6" t="s">
        <v>2716</v>
      </c>
      <c r="B379" s="6" t="s">
        <v>1730</v>
      </c>
      <c r="C379" s="10">
        <v>46080.0</v>
      </c>
      <c r="D379" s="6" t="s">
        <v>289</v>
      </c>
      <c r="E379" s="6" t="s">
        <v>1273</v>
      </c>
      <c r="F379" s="6" t="s">
        <v>249</v>
      </c>
      <c r="G379" s="6" t="s">
        <v>369</v>
      </c>
      <c r="H379" s="10">
        <v>46086.0</v>
      </c>
      <c r="I379" s="12">
        <v>5.0</v>
      </c>
      <c r="J379" s="6" t="s">
        <v>161</v>
      </c>
    </row>
    <row r="380" ht="22.5" customHeight="1">
      <c r="A380" s="6" t="s">
        <v>2721</v>
      </c>
      <c r="B380" s="6" t="s">
        <v>1737</v>
      </c>
      <c r="C380" s="10">
        <v>46071.0</v>
      </c>
      <c r="D380" s="6" t="s">
        <v>677</v>
      </c>
      <c r="E380" s="6" t="s">
        <v>658</v>
      </c>
      <c r="F380" s="6" t="s">
        <v>112</v>
      </c>
      <c r="G380" s="6" t="s">
        <v>477</v>
      </c>
      <c r="H380" s="10">
        <v>46077.0</v>
      </c>
      <c r="I380" s="12">
        <v>3.0</v>
      </c>
      <c r="J380" s="6" t="s">
        <v>161</v>
      </c>
    </row>
    <row r="381" ht="22.5" customHeight="1">
      <c r="A381" s="6" t="s">
        <v>2726</v>
      </c>
      <c r="B381" s="6" t="s">
        <v>1745</v>
      </c>
      <c r="C381" s="10">
        <v>46042.0</v>
      </c>
      <c r="D381" s="6" t="s">
        <v>416</v>
      </c>
      <c r="E381" s="6" t="s">
        <v>1070</v>
      </c>
      <c r="F381" s="6" t="s">
        <v>283</v>
      </c>
      <c r="G381" s="6" t="s">
        <v>477</v>
      </c>
      <c r="H381" s="10">
        <v>46046.0</v>
      </c>
      <c r="I381" s="12">
        <v>13.0</v>
      </c>
      <c r="J381" s="6" t="s">
        <v>161</v>
      </c>
    </row>
    <row r="382" ht="22.5" customHeight="1">
      <c r="A382" s="6" t="s">
        <v>2732</v>
      </c>
      <c r="B382" s="6" t="s">
        <v>1745</v>
      </c>
      <c r="C382" s="10">
        <v>46037.0</v>
      </c>
      <c r="D382" s="6" t="s">
        <v>242</v>
      </c>
      <c r="E382" s="6" t="s">
        <v>246</v>
      </c>
      <c r="F382" s="6" t="s">
        <v>283</v>
      </c>
      <c r="G382" s="6" t="s">
        <v>458</v>
      </c>
      <c r="H382" s="10">
        <v>46038.0</v>
      </c>
      <c r="I382" s="12">
        <v>3.0</v>
      </c>
      <c r="J382" s="6" t="s">
        <v>178</v>
      </c>
    </row>
    <row r="383" ht="22.5" customHeight="1">
      <c r="A383" s="6" t="s">
        <v>2738</v>
      </c>
      <c r="B383" s="6" t="s">
        <v>1745</v>
      </c>
      <c r="C383" s="10">
        <v>46047.0</v>
      </c>
      <c r="D383" s="6" t="s">
        <v>436</v>
      </c>
      <c r="E383" s="6" t="s">
        <v>1552</v>
      </c>
      <c r="F383" s="6" t="s">
        <v>283</v>
      </c>
      <c r="G383" s="6" t="s">
        <v>297</v>
      </c>
      <c r="H383" s="10">
        <v>46052.0</v>
      </c>
      <c r="I383" s="12">
        <v>11.0</v>
      </c>
      <c r="J383" s="6" t="s">
        <v>178</v>
      </c>
    </row>
    <row r="384" ht="22.5" customHeight="1">
      <c r="A384" s="6" t="s">
        <v>2743</v>
      </c>
      <c r="B384" s="6" t="s">
        <v>1745</v>
      </c>
      <c r="C384" s="10">
        <v>46033.0</v>
      </c>
      <c r="D384" s="6" t="s">
        <v>677</v>
      </c>
      <c r="E384" s="6" t="s">
        <v>1700</v>
      </c>
      <c r="F384" s="6" t="s">
        <v>283</v>
      </c>
      <c r="G384" s="6" t="s">
        <v>369</v>
      </c>
      <c r="H384" s="10">
        <v>46033.0</v>
      </c>
      <c r="I384" s="12">
        <v>3.0</v>
      </c>
      <c r="J384" s="6" t="s">
        <v>161</v>
      </c>
    </row>
    <row r="385" ht="22.5" customHeight="1">
      <c r="A385" s="6" t="s">
        <v>2747</v>
      </c>
      <c r="B385" s="6" t="s">
        <v>1745</v>
      </c>
      <c r="C385" s="10">
        <v>46046.0</v>
      </c>
      <c r="D385" s="6" t="s">
        <v>416</v>
      </c>
      <c r="E385" s="6" t="s">
        <v>1122</v>
      </c>
      <c r="F385" s="6" t="s">
        <v>283</v>
      </c>
      <c r="G385" s="6" t="s">
        <v>477</v>
      </c>
      <c r="H385" s="10">
        <v>46052.0</v>
      </c>
      <c r="I385" s="12">
        <v>11.0</v>
      </c>
      <c r="J385" s="6" t="s">
        <v>161</v>
      </c>
    </row>
    <row r="386" ht="22.5" customHeight="1">
      <c r="A386" s="6" t="s">
        <v>2751</v>
      </c>
      <c r="B386" s="6" t="s">
        <v>1751</v>
      </c>
      <c r="C386" s="10">
        <v>46070.0</v>
      </c>
      <c r="D386" s="6" t="s">
        <v>677</v>
      </c>
      <c r="E386" s="6" t="s">
        <v>1626</v>
      </c>
      <c r="F386" s="6" t="s">
        <v>249</v>
      </c>
      <c r="G386" s="6" t="s">
        <v>297</v>
      </c>
      <c r="H386" s="10">
        <v>46076.0</v>
      </c>
      <c r="I386" s="12">
        <v>2.0</v>
      </c>
      <c r="J386" s="6" t="s">
        <v>161</v>
      </c>
    </row>
    <row r="387" ht="22.5" customHeight="1">
      <c r="A387" s="6" t="s">
        <v>2757</v>
      </c>
      <c r="B387" s="6" t="s">
        <v>1751</v>
      </c>
      <c r="C387" s="10">
        <v>46075.0</v>
      </c>
      <c r="D387" s="6" t="s">
        <v>242</v>
      </c>
      <c r="E387" s="6" t="s">
        <v>583</v>
      </c>
      <c r="F387" s="6" t="s">
        <v>439</v>
      </c>
      <c r="G387" s="6" t="s">
        <v>297</v>
      </c>
      <c r="H387" s="10">
        <v>46080.0</v>
      </c>
      <c r="I387" s="12">
        <v>6.0</v>
      </c>
      <c r="J387" s="6" t="s">
        <v>178</v>
      </c>
    </row>
    <row r="388" ht="22.5" customHeight="1">
      <c r="A388" s="6" t="s">
        <v>2761</v>
      </c>
      <c r="B388" s="6" t="s">
        <v>1751</v>
      </c>
      <c r="C388" s="10">
        <v>46087.0</v>
      </c>
      <c r="D388" s="6" t="s">
        <v>312</v>
      </c>
      <c r="E388" s="6" t="s">
        <v>610</v>
      </c>
      <c r="F388" s="6" t="s">
        <v>249</v>
      </c>
      <c r="G388" s="6" t="s">
        <v>326</v>
      </c>
      <c r="H388" s="10">
        <v>46087.0</v>
      </c>
      <c r="I388" s="12">
        <v>4.0</v>
      </c>
      <c r="J388" s="6" t="s">
        <v>161</v>
      </c>
    </row>
    <row r="389" ht="22.5" customHeight="1">
      <c r="A389" s="6" t="s">
        <v>2765</v>
      </c>
      <c r="B389" s="6" t="s">
        <v>1751</v>
      </c>
      <c r="C389" s="10">
        <v>46087.0</v>
      </c>
      <c r="D389" s="6" t="s">
        <v>436</v>
      </c>
      <c r="E389" s="6" t="s">
        <v>628</v>
      </c>
      <c r="F389" s="6" t="s">
        <v>249</v>
      </c>
      <c r="G389" s="6" t="s">
        <v>494</v>
      </c>
      <c r="H389" s="10">
        <v>46087.0</v>
      </c>
      <c r="I389" s="12">
        <v>8.0</v>
      </c>
      <c r="J389" s="6" t="s">
        <v>178</v>
      </c>
    </row>
    <row r="390" ht="22.5" customHeight="1">
      <c r="A390" s="6" t="s">
        <v>2770</v>
      </c>
      <c r="B390" s="6" t="s">
        <v>1751</v>
      </c>
      <c r="C390" s="10">
        <v>46083.0</v>
      </c>
      <c r="D390" s="6" t="s">
        <v>289</v>
      </c>
      <c r="E390" s="6" t="s">
        <v>438</v>
      </c>
      <c r="F390" s="6" t="s">
        <v>283</v>
      </c>
      <c r="G390" s="6" t="s">
        <v>494</v>
      </c>
      <c r="H390" s="10">
        <v>46083.0</v>
      </c>
      <c r="I390" s="12">
        <v>8.0</v>
      </c>
      <c r="J390" s="6" t="s">
        <v>161</v>
      </c>
    </row>
    <row r="391" ht="22.5" customHeight="1">
      <c r="A391" s="6" t="s">
        <v>2776</v>
      </c>
      <c r="B391" s="6" t="s">
        <v>1758</v>
      </c>
      <c r="C391" s="10">
        <v>46075.0</v>
      </c>
      <c r="D391" s="6" t="s">
        <v>436</v>
      </c>
      <c r="E391" s="6" t="s">
        <v>1296</v>
      </c>
      <c r="F391" s="6" t="s">
        <v>439</v>
      </c>
      <c r="G391" s="6" t="s">
        <v>297</v>
      </c>
      <c r="H391" s="10">
        <v>46076.0</v>
      </c>
      <c r="I391" s="12">
        <v>9.0</v>
      </c>
      <c r="J391" s="6" t="s">
        <v>178</v>
      </c>
    </row>
    <row r="392" ht="22.5" customHeight="1">
      <c r="A392" s="6" t="s">
        <v>2779</v>
      </c>
      <c r="B392" s="6" t="s">
        <v>1758</v>
      </c>
      <c r="C392" s="10">
        <v>46067.0</v>
      </c>
      <c r="D392" s="6" t="s">
        <v>436</v>
      </c>
      <c r="E392" s="6" t="s">
        <v>1102</v>
      </c>
      <c r="F392" s="6" t="s">
        <v>112</v>
      </c>
      <c r="G392" s="6" t="s">
        <v>452</v>
      </c>
      <c r="H392" s="10">
        <v>46070.0</v>
      </c>
      <c r="I392" s="12">
        <v>11.0</v>
      </c>
      <c r="J392" s="6" t="s">
        <v>178</v>
      </c>
    </row>
    <row r="393" ht="22.5" customHeight="1">
      <c r="A393" s="6" t="s">
        <v>2784</v>
      </c>
      <c r="B393" s="6" t="s">
        <v>1758</v>
      </c>
      <c r="C393" s="10">
        <v>46060.0</v>
      </c>
      <c r="D393" s="6" t="s">
        <v>416</v>
      </c>
      <c r="E393" s="6" t="s">
        <v>885</v>
      </c>
      <c r="F393" s="6" t="s">
        <v>439</v>
      </c>
      <c r="G393" s="6" t="s">
        <v>458</v>
      </c>
      <c r="H393" s="10">
        <v>46064.0</v>
      </c>
      <c r="I393" s="12">
        <v>13.0</v>
      </c>
      <c r="J393" s="6" t="s">
        <v>161</v>
      </c>
    </row>
    <row r="394" ht="22.5" customHeight="1">
      <c r="A394" s="6" t="s">
        <v>2789</v>
      </c>
      <c r="B394" s="6" t="s">
        <v>1764</v>
      </c>
      <c r="C394" s="10">
        <v>46065.0</v>
      </c>
      <c r="D394" s="6" t="s">
        <v>391</v>
      </c>
      <c r="E394" s="6" t="s">
        <v>246</v>
      </c>
      <c r="F394" s="6" t="s">
        <v>112</v>
      </c>
      <c r="G394" s="6" t="s">
        <v>494</v>
      </c>
      <c r="H394" s="10">
        <v>46070.0</v>
      </c>
      <c r="I394" s="12">
        <v>8.0</v>
      </c>
      <c r="J394" s="6" t="s">
        <v>161</v>
      </c>
    </row>
    <row r="395" ht="22.5" customHeight="1">
      <c r="A395" s="6" t="s">
        <v>2793</v>
      </c>
      <c r="B395" s="6" t="s">
        <v>1770</v>
      </c>
      <c r="C395" s="10">
        <v>46077.0</v>
      </c>
      <c r="D395" s="6" t="s">
        <v>416</v>
      </c>
      <c r="E395" s="6" t="s">
        <v>1102</v>
      </c>
      <c r="F395" s="6" t="s">
        <v>249</v>
      </c>
      <c r="G395" s="6" t="s">
        <v>458</v>
      </c>
      <c r="H395" s="11" t="s">
        <v>259</v>
      </c>
      <c r="I395" s="12">
        <v>10.0</v>
      </c>
      <c r="J395" s="6" t="s">
        <v>161</v>
      </c>
    </row>
    <row r="396" ht="22.5" customHeight="1">
      <c r="A396" s="6" t="s">
        <v>2798</v>
      </c>
      <c r="B396" s="6" t="s">
        <v>1777</v>
      </c>
      <c r="C396" s="10">
        <v>46055.0</v>
      </c>
      <c r="D396" s="6" t="s">
        <v>312</v>
      </c>
      <c r="E396" s="6" t="s">
        <v>775</v>
      </c>
      <c r="F396" s="6" t="s">
        <v>249</v>
      </c>
      <c r="G396" s="6" t="s">
        <v>458</v>
      </c>
      <c r="H396" s="10">
        <v>46055.0</v>
      </c>
      <c r="I396" s="12">
        <v>5.0</v>
      </c>
      <c r="J396" s="6" t="s">
        <v>161</v>
      </c>
    </row>
    <row r="397" ht="22.5" customHeight="1">
      <c r="A397" s="6" t="s">
        <v>2804</v>
      </c>
      <c r="B397" s="6" t="s">
        <v>1783</v>
      </c>
      <c r="C397" s="10">
        <v>46054.0</v>
      </c>
      <c r="D397" s="6" t="s">
        <v>436</v>
      </c>
      <c r="E397" s="6" t="s">
        <v>798</v>
      </c>
      <c r="F397" s="6" t="s">
        <v>249</v>
      </c>
      <c r="G397" s="6" t="s">
        <v>369</v>
      </c>
      <c r="H397" s="11" t="s">
        <v>259</v>
      </c>
      <c r="I397" s="12">
        <v>10.0</v>
      </c>
      <c r="J397" s="6" t="s">
        <v>161</v>
      </c>
    </row>
    <row r="398" ht="22.5" customHeight="1">
      <c r="A398" s="6" t="s">
        <v>2810</v>
      </c>
      <c r="B398" s="6" t="s">
        <v>1790</v>
      </c>
      <c r="C398" s="10">
        <v>46051.0</v>
      </c>
      <c r="D398" s="6" t="s">
        <v>436</v>
      </c>
      <c r="E398" s="6" t="s">
        <v>1122</v>
      </c>
      <c r="F398" s="6" t="s">
        <v>249</v>
      </c>
      <c r="G398" s="6" t="s">
        <v>326</v>
      </c>
      <c r="H398" s="10">
        <v>46054.0</v>
      </c>
      <c r="I398" s="12">
        <v>6.0</v>
      </c>
      <c r="J398" s="6" t="s">
        <v>178</v>
      </c>
    </row>
    <row r="399" ht="22.5" customHeight="1">
      <c r="A399" s="6" t="s">
        <v>2814</v>
      </c>
      <c r="B399" s="6" t="s">
        <v>1790</v>
      </c>
      <c r="C399" s="10">
        <v>46034.0</v>
      </c>
      <c r="D399" s="6" t="s">
        <v>242</v>
      </c>
      <c r="E399" s="6" t="s">
        <v>1741</v>
      </c>
      <c r="F399" s="6" t="s">
        <v>249</v>
      </c>
      <c r="G399" s="6" t="s">
        <v>297</v>
      </c>
      <c r="H399" s="10">
        <v>46040.0</v>
      </c>
      <c r="I399" s="12">
        <v>4.0</v>
      </c>
      <c r="J399" s="6" t="s">
        <v>178</v>
      </c>
    </row>
    <row r="400" ht="22.5" customHeight="1">
      <c r="A400" s="6" t="s">
        <v>2819</v>
      </c>
      <c r="B400" s="6" t="s">
        <v>1790</v>
      </c>
      <c r="C400" s="10">
        <v>46049.0</v>
      </c>
      <c r="D400" s="6" t="s">
        <v>242</v>
      </c>
      <c r="E400" s="6" t="s">
        <v>1552</v>
      </c>
      <c r="F400" s="6" t="s">
        <v>283</v>
      </c>
      <c r="G400" s="6" t="s">
        <v>297</v>
      </c>
      <c r="H400" s="10">
        <v>46056.0</v>
      </c>
      <c r="I400" s="12">
        <v>6.0</v>
      </c>
      <c r="J400" s="6" t="s">
        <v>161</v>
      </c>
    </row>
    <row r="401" ht="22.5" customHeight="1">
      <c r="A401" s="6" t="s">
        <v>2822</v>
      </c>
      <c r="B401" s="6" t="s">
        <v>1790</v>
      </c>
      <c r="C401" s="10">
        <v>46039.0</v>
      </c>
      <c r="D401" s="6" t="s">
        <v>289</v>
      </c>
      <c r="E401" s="6" t="s">
        <v>634</v>
      </c>
      <c r="F401" s="6" t="s">
        <v>439</v>
      </c>
      <c r="G401" s="6" t="s">
        <v>477</v>
      </c>
      <c r="H401" s="10">
        <v>46046.0</v>
      </c>
      <c r="I401" s="12">
        <v>8.0</v>
      </c>
      <c r="J401" s="6" t="s">
        <v>161</v>
      </c>
    </row>
    <row r="402" ht="22.5" customHeight="1">
      <c r="A402" s="6" t="s">
        <v>2827</v>
      </c>
      <c r="B402" s="6" t="s">
        <v>1790</v>
      </c>
      <c r="C402" s="10">
        <v>46043.0</v>
      </c>
      <c r="D402" s="6" t="s">
        <v>242</v>
      </c>
      <c r="E402" s="6" t="s">
        <v>812</v>
      </c>
      <c r="F402" s="6" t="s">
        <v>249</v>
      </c>
      <c r="G402" s="6" t="s">
        <v>477</v>
      </c>
      <c r="H402" s="10">
        <v>46046.0</v>
      </c>
      <c r="I402" s="12">
        <v>3.0</v>
      </c>
      <c r="J402" s="6" t="s">
        <v>178</v>
      </c>
    </row>
    <row r="403" ht="22.5" customHeight="1">
      <c r="A403" s="6" t="s">
        <v>2832</v>
      </c>
      <c r="B403" s="6" t="s">
        <v>1796</v>
      </c>
      <c r="C403" s="10">
        <v>46054.0</v>
      </c>
      <c r="D403" s="6" t="s">
        <v>312</v>
      </c>
      <c r="E403" s="6" t="s">
        <v>512</v>
      </c>
      <c r="F403" s="6" t="s">
        <v>439</v>
      </c>
      <c r="G403" s="6" t="s">
        <v>494</v>
      </c>
      <c r="H403" s="10">
        <v>46060.0</v>
      </c>
      <c r="I403" s="12">
        <v>4.0</v>
      </c>
      <c r="J403" s="6" t="s">
        <v>161</v>
      </c>
    </row>
    <row r="404" ht="22.5" customHeight="1">
      <c r="A404" s="6" t="s">
        <v>2835</v>
      </c>
      <c r="B404" s="6" t="s">
        <v>1796</v>
      </c>
      <c r="C404" s="10">
        <v>46041.0</v>
      </c>
      <c r="D404" s="6" t="s">
        <v>289</v>
      </c>
      <c r="E404" s="6" t="s">
        <v>1552</v>
      </c>
      <c r="F404" s="6" t="s">
        <v>439</v>
      </c>
      <c r="G404" s="6" t="s">
        <v>254</v>
      </c>
      <c r="H404" s="10">
        <v>46043.0</v>
      </c>
      <c r="I404" s="12">
        <v>6.0</v>
      </c>
      <c r="J404" s="6" t="s">
        <v>161</v>
      </c>
    </row>
    <row r="405" ht="22.5" customHeight="1">
      <c r="A405" s="6" t="s">
        <v>2840</v>
      </c>
      <c r="B405" s="6" t="s">
        <v>1796</v>
      </c>
      <c r="C405" s="10">
        <v>46054.0</v>
      </c>
      <c r="D405" s="6" t="s">
        <v>391</v>
      </c>
      <c r="E405" s="6" t="s">
        <v>1280</v>
      </c>
      <c r="F405" s="6" t="s">
        <v>112</v>
      </c>
      <c r="G405" s="6" t="s">
        <v>326</v>
      </c>
      <c r="H405" s="11" t="s">
        <v>259</v>
      </c>
      <c r="I405" s="12">
        <v>8.0</v>
      </c>
      <c r="J405" s="6" t="s">
        <v>161</v>
      </c>
    </row>
    <row r="406" ht="22.5" customHeight="1">
      <c r="A406" s="6" t="s">
        <v>2845</v>
      </c>
      <c r="B406" s="6" t="s">
        <v>1803</v>
      </c>
      <c r="C406" s="10">
        <v>46055.0</v>
      </c>
      <c r="D406" s="6" t="s">
        <v>416</v>
      </c>
      <c r="E406" s="6" t="s">
        <v>731</v>
      </c>
      <c r="F406" s="6" t="s">
        <v>283</v>
      </c>
      <c r="G406" s="6" t="s">
        <v>452</v>
      </c>
      <c r="H406" s="10">
        <v>46062.0</v>
      </c>
      <c r="I406" s="12">
        <v>12.0</v>
      </c>
      <c r="J406" s="6" t="s">
        <v>161</v>
      </c>
    </row>
    <row r="407" ht="22.5" customHeight="1">
      <c r="A407" s="6" t="s">
        <v>2850</v>
      </c>
      <c r="B407" s="6" t="s">
        <v>1803</v>
      </c>
      <c r="C407" s="10">
        <v>46041.0</v>
      </c>
      <c r="D407" s="6" t="s">
        <v>289</v>
      </c>
      <c r="E407" s="6" t="s">
        <v>787</v>
      </c>
      <c r="F407" s="6" t="s">
        <v>112</v>
      </c>
      <c r="G407" s="6" t="s">
        <v>326</v>
      </c>
      <c r="H407" s="11" t="s">
        <v>259</v>
      </c>
      <c r="I407" s="12">
        <v>10.0</v>
      </c>
      <c r="J407" s="6" t="s">
        <v>161</v>
      </c>
    </row>
    <row r="408" ht="22.5" customHeight="1">
      <c r="A408" s="6" t="s">
        <v>2853</v>
      </c>
      <c r="B408" s="6" t="s">
        <v>1809</v>
      </c>
      <c r="C408" s="10">
        <v>46026.0</v>
      </c>
      <c r="D408" s="6" t="s">
        <v>391</v>
      </c>
      <c r="E408" s="6" t="s">
        <v>610</v>
      </c>
      <c r="F408" s="6" t="s">
        <v>439</v>
      </c>
      <c r="G408" s="6" t="s">
        <v>458</v>
      </c>
      <c r="H408" s="10">
        <v>46029.0</v>
      </c>
      <c r="I408" s="12">
        <v>8.0</v>
      </c>
      <c r="J408" s="6" t="s">
        <v>161</v>
      </c>
    </row>
    <row r="409" ht="22.5" customHeight="1">
      <c r="A409" s="6" t="s">
        <v>2857</v>
      </c>
      <c r="B409" s="6" t="s">
        <v>1809</v>
      </c>
      <c r="C409" s="10">
        <v>46032.0</v>
      </c>
      <c r="D409" s="6" t="s">
        <v>391</v>
      </c>
      <c r="E409" s="6" t="s">
        <v>634</v>
      </c>
      <c r="F409" s="6" t="s">
        <v>112</v>
      </c>
      <c r="G409" s="6" t="s">
        <v>452</v>
      </c>
      <c r="H409" s="10">
        <v>46039.0</v>
      </c>
      <c r="I409" s="12">
        <v>11.0</v>
      </c>
      <c r="J409" s="6" t="s">
        <v>161</v>
      </c>
    </row>
    <row r="410" ht="22.5" customHeight="1">
      <c r="A410" s="6" t="s">
        <v>2862</v>
      </c>
      <c r="B410" s="6" t="s">
        <v>1809</v>
      </c>
      <c r="C410" s="10">
        <v>46032.0</v>
      </c>
      <c r="D410" s="6" t="s">
        <v>312</v>
      </c>
      <c r="E410" s="6" t="s">
        <v>450</v>
      </c>
      <c r="F410" s="6" t="s">
        <v>283</v>
      </c>
      <c r="G410" s="6" t="s">
        <v>477</v>
      </c>
      <c r="H410" s="10">
        <v>46037.0</v>
      </c>
      <c r="I410" s="12">
        <v>6.0</v>
      </c>
      <c r="J410" s="6" t="s">
        <v>161</v>
      </c>
    </row>
    <row r="411" ht="22.5" customHeight="1">
      <c r="A411" s="6" t="s">
        <v>2868</v>
      </c>
      <c r="B411" s="6" t="s">
        <v>1809</v>
      </c>
      <c r="C411" s="10">
        <v>46027.0</v>
      </c>
      <c r="D411" s="6" t="s">
        <v>436</v>
      </c>
      <c r="E411" s="6" t="s">
        <v>1055</v>
      </c>
      <c r="F411" s="6" t="s">
        <v>439</v>
      </c>
      <c r="G411" s="6" t="s">
        <v>369</v>
      </c>
      <c r="H411" s="10">
        <v>46032.0</v>
      </c>
      <c r="I411" s="12">
        <v>9.0</v>
      </c>
      <c r="J411" s="6" t="s">
        <v>178</v>
      </c>
    </row>
    <row r="412" ht="22.5" customHeight="1">
      <c r="A412" s="6" t="s">
        <v>2872</v>
      </c>
      <c r="B412" s="6" t="s">
        <v>1815</v>
      </c>
      <c r="C412" s="10">
        <v>46033.0</v>
      </c>
      <c r="D412" s="6" t="s">
        <v>677</v>
      </c>
      <c r="E412" s="6" t="s">
        <v>1055</v>
      </c>
      <c r="F412" s="6" t="s">
        <v>283</v>
      </c>
      <c r="G412" s="6" t="s">
        <v>297</v>
      </c>
      <c r="H412" s="10">
        <v>46040.0</v>
      </c>
      <c r="I412" s="12">
        <v>2.0</v>
      </c>
      <c r="J412" s="6" t="s">
        <v>161</v>
      </c>
    </row>
    <row r="413" ht="22.5" customHeight="1">
      <c r="A413" s="6" t="s">
        <v>2877</v>
      </c>
      <c r="B413" s="6" t="s">
        <v>1815</v>
      </c>
      <c r="C413" s="10">
        <v>46029.0</v>
      </c>
      <c r="D413" s="6" t="s">
        <v>436</v>
      </c>
      <c r="E413" s="6" t="s">
        <v>2881</v>
      </c>
      <c r="F413" s="6" t="s">
        <v>249</v>
      </c>
      <c r="G413" s="6" t="s">
        <v>369</v>
      </c>
      <c r="H413" s="11" t="s">
        <v>259</v>
      </c>
      <c r="I413" s="12">
        <v>10.0</v>
      </c>
      <c r="J413" s="6" t="s">
        <v>178</v>
      </c>
    </row>
    <row r="414" ht="22.5" customHeight="1">
      <c r="A414" s="6" t="s">
        <v>2883</v>
      </c>
      <c r="B414" s="6" t="s">
        <v>1815</v>
      </c>
      <c r="C414" s="10">
        <v>46044.0</v>
      </c>
      <c r="D414" s="6" t="s">
        <v>242</v>
      </c>
      <c r="E414" s="6" t="s">
        <v>1741</v>
      </c>
      <c r="F414" s="6" t="s">
        <v>112</v>
      </c>
      <c r="G414" s="6" t="s">
        <v>326</v>
      </c>
      <c r="H414" s="11" t="s">
        <v>259</v>
      </c>
      <c r="I414" s="12">
        <v>4.0</v>
      </c>
      <c r="J414" s="6" t="s">
        <v>178</v>
      </c>
    </row>
    <row r="415" ht="22.5" customHeight="1">
      <c r="A415" s="6" t="s">
        <v>2889</v>
      </c>
      <c r="B415" s="6" t="s">
        <v>1815</v>
      </c>
      <c r="C415" s="10">
        <v>46028.0</v>
      </c>
      <c r="D415" s="6" t="s">
        <v>416</v>
      </c>
      <c r="E415" s="6" t="s">
        <v>450</v>
      </c>
      <c r="F415" s="6" t="s">
        <v>249</v>
      </c>
      <c r="G415" s="6" t="s">
        <v>369</v>
      </c>
      <c r="H415" s="10">
        <v>46033.0</v>
      </c>
      <c r="I415" s="12">
        <v>8.0</v>
      </c>
      <c r="J415" s="6" t="s">
        <v>161</v>
      </c>
    </row>
    <row r="416" ht="22.5" customHeight="1">
      <c r="A416" s="6" t="s">
        <v>2894</v>
      </c>
      <c r="B416" s="6" t="s">
        <v>1822</v>
      </c>
      <c r="C416" s="10">
        <v>46054.0</v>
      </c>
      <c r="D416" s="6" t="s">
        <v>416</v>
      </c>
      <c r="E416" s="6" t="s">
        <v>417</v>
      </c>
      <c r="F416" s="6" t="s">
        <v>439</v>
      </c>
      <c r="G416" s="6" t="s">
        <v>477</v>
      </c>
      <c r="H416" s="10">
        <v>46055.0</v>
      </c>
      <c r="I416" s="12">
        <v>9.0</v>
      </c>
      <c r="J416" s="6" t="s">
        <v>161</v>
      </c>
    </row>
    <row r="417" ht="22.5" customHeight="1">
      <c r="A417" s="6" t="s">
        <v>2897</v>
      </c>
      <c r="B417" s="6" t="s">
        <v>1828</v>
      </c>
      <c r="C417" s="10">
        <v>46041.0</v>
      </c>
      <c r="D417" s="6" t="s">
        <v>677</v>
      </c>
      <c r="E417" s="6" t="s">
        <v>798</v>
      </c>
      <c r="F417" s="6" t="s">
        <v>249</v>
      </c>
      <c r="G417" s="6" t="s">
        <v>458</v>
      </c>
      <c r="H417" s="10">
        <v>46048.0</v>
      </c>
      <c r="I417" s="12">
        <v>2.0</v>
      </c>
      <c r="J417" s="6" t="s">
        <v>161</v>
      </c>
    </row>
    <row r="418" ht="22.5" customHeight="1">
      <c r="A418" s="6" t="s">
        <v>2902</v>
      </c>
      <c r="B418" s="6" t="s">
        <v>1828</v>
      </c>
      <c r="C418" s="10">
        <v>46047.0</v>
      </c>
      <c r="D418" s="6" t="s">
        <v>391</v>
      </c>
      <c r="E418" s="6" t="s">
        <v>2365</v>
      </c>
      <c r="F418" s="6" t="s">
        <v>283</v>
      </c>
      <c r="G418" s="6" t="s">
        <v>297</v>
      </c>
      <c r="H418" s="10">
        <v>46047.0</v>
      </c>
      <c r="I418" s="12">
        <v>10.0</v>
      </c>
      <c r="J418" s="6" t="s">
        <v>161</v>
      </c>
    </row>
    <row r="419" ht="22.5" customHeight="1">
      <c r="A419" s="6" t="s">
        <v>2907</v>
      </c>
      <c r="B419" s="6" t="s">
        <v>1828</v>
      </c>
      <c r="C419" s="10">
        <v>46050.0</v>
      </c>
      <c r="D419" s="6" t="s">
        <v>289</v>
      </c>
      <c r="E419" s="6" t="s">
        <v>863</v>
      </c>
      <c r="F419" s="6" t="s">
        <v>439</v>
      </c>
      <c r="G419" s="6" t="s">
        <v>369</v>
      </c>
      <c r="H419" s="10">
        <v>46053.0</v>
      </c>
      <c r="I419" s="12">
        <v>7.0</v>
      </c>
      <c r="J419" s="6" t="s">
        <v>161</v>
      </c>
    </row>
    <row r="420" ht="22.5" customHeight="1">
      <c r="A420" s="6" t="s">
        <v>2913</v>
      </c>
      <c r="B420" s="6" t="s">
        <v>1835</v>
      </c>
      <c r="C420" s="10">
        <v>46062.0</v>
      </c>
      <c r="D420" s="6" t="s">
        <v>391</v>
      </c>
      <c r="E420" s="6" t="s">
        <v>863</v>
      </c>
      <c r="F420" s="6" t="s">
        <v>283</v>
      </c>
      <c r="G420" s="6" t="s">
        <v>452</v>
      </c>
      <c r="H420" s="10">
        <v>46065.0</v>
      </c>
      <c r="I420" s="12">
        <v>10.0</v>
      </c>
      <c r="J420" s="6" t="s">
        <v>161</v>
      </c>
    </row>
    <row r="421" ht="22.5" customHeight="1">
      <c r="A421" s="6" t="s">
        <v>2916</v>
      </c>
      <c r="B421" s="6" t="s">
        <v>1835</v>
      </c>
      <c r="C421" s="10">
        <v>46063.0</v>
      </c>
      <c r="D421" s="6" t="s">
        <v>416</v>
      </c>
      <c r="E421" s="6" t="s">
        <v>1122</v>
      </c>
      <c r="F421" s="6" t="s">
        <v>249</v>
      </c>
      <c r="G421" s="6" t="s">
        <v>297</v>
      </c>
      <c r="H421" s="11" t="s">
        <v>259</v>
      </c>
      <c r="I421" s="12">
        <v>11.0</v>
      </c>
      <c r="J421" s="6" t="s">
        <v>161</v>
      </c>
    </row>
    <row r="422" ht="22.5" customHeight="1">
      <c r="A422" s="6" t="s">
        <v>2921</v>
      </c>
      <c r="B422" s="6" t="s">
        <v>1841</v>
      </c>
      <c r="C422" s="10">
        <v>46048.0</v>
      </c>
      <c r="D422" s="6" t="s">
        <v>416</v>
      </c>
      <c r="E422" s="6" t="s">
        <v>1700</v>
      </c>
      <c r="F422" s="6" t="s">
        <v>249</v>
      </c>
      <c r="G422" s="6" t="s">
        <v>477</v>
      </c>
      <c r="H422" s="10">
        <v>46053.0</v>
      </c>
      <c r="I422" s="12">
        <v>9.0</v>
      </c>
      <c r="J422" s="6" t="s">
        <v>161</v>
      </c>
    </row>
    <row r="423" ht="22.5" customHeight="1">
      <c r="A423" s="6" t="s">
        <v>2926</v>
      </c>
      <c r="B423" s="6" t="s">
        <v>1841</v>
      </c>
      <c r="C423" s="10">
        <v>46042.0</v>
      </c>
      <c r="D423" s="6" t="s">
        <v>242</v>
      </c>
      <c r="E423" s="6" t="s">
        <v>1149</v>
      </c>
      <c r="F423" s="6" t="s">
        <v>112</v>
      </c>
      <c r="G423" s="6" t="s">
        <v>458</v>
      </c>
      <c r="H423" s="10">
        <v>46049.0</v>
      </c>
      <c r="I423" s="12">
        <v>4.0</v>
      </c>
      <c r="J423" s="6" t="s">
        <v>178</v>
      </c>
    </row>
    <row r="424" ht="22.5" customHeight="1">
      <c r="A424" s="6" t="s">
        <v>2932</v>
      </c>
      <c r="B424" s="6" t="s">
        <v>1847</v>
      </c>
      <c r="C424" s="10">
        <v>46086.0</v>
      </c>
      <c r="D424" s="6" t="s">
        <v>436</v>
      </c>
      <c r="E424" s="6" t="s">
        <v>566</v>
      </c>
      <c r="F424" s="6" t="s">
        <v>112</v>
      </c>
      <c r="G424" s="6" t="s">
        <v>369</v>
      </c>
      <c r="H424" s="10">
        <v>46087.0</v>
      </c>
      <c r="I424" s="12">
        <v>8.0</v>
      </c>
      <c r="J424" s="6" t="s">
        <v>178</v>
      </c>
    </row>
    <row r="425" ht="22.5" customHeight="1">
      <c r="A425" s="6" t="s">
        <v>2935</v>
      </c>
      <c r="B425" s="6" t="s">
        <v>1847</v>
      </c>
      <c r="C425" s="10">
        <v>46084.0</v>
      </c>
      <c r="D425" s="6" t="s">
        <v>312</v>
      </c>
      <c r="E425" s="6" t="s">
        <v>365</v>
      </c>
      <c r="F425" s="6" t="s">
        <v>283</v>
      </c>
      <c r="G425" s="6" t="s">
        <v>326</v>
      </c>
      <c r="H425" s="10">
        <v>46089.0</v>
      </c>
      <c r="I425" s="12">
        <v>6.0</v>
      </c>
      <c r="J425" s="6" t="s">
        <v>161</v>
      </c>
    </row>
    <row r="426" ht="22.5" customHeight="1">
      <c r="A426" s="6" t="s">
        <v>2941</v>
      </c>
      <c r="B426" s="6" t="s">
        <v>1847</v>
      </c>
      <c r="C426" s="10">
        <v>46086.0</v>
      </c>
      <c r="D426" s="6" t="s">
        <v>391</v>
      </c>
      <c r="E426" s="6" t="s">
        <v>812</v>
      </c>
      <c r="F426" s="6" t="s">
        <v>439</v>
      </c>
      <c r="G426" s="6" t="s">
        <v>254</v>
      </c>
      <c r="H426" s="10">
        <v>46093.0</v>
      </c>
      <c r="I426" s="12">
        <v>11.0</v>
      </c>
      <c r="J426" s="6" t="s">
        <v>161</v>
      </c>
    </row>
    <row r="427" ht="22.5" customHeight="1">
      <c r="A427" s="6" t="s">
        <v>2946</v>
      </c>
      <c r="B427" s="6" t="s">
        <v>1847</v>
      </c>
      <c r="C427" s="10">
        <v>46075.0</v>
      </c>
      <c r="D427" s="6" t="s">
        <v>416</v>
      </c>
      <c r="E427" s="6" t="s">
        <v>1273</v>
      </c>
      <c r="F427" s="6" t="s">
        <v>249</v>
      </c>
      <c r="G427" s="6" t="s">
        <v>369</v>
      </c>
      <c r="H427" s="10">
        <v>46077.0</v>
      </c>
      <c r="I427" s="12">
        <v>10.0</v>
      </c>
      <c r="J427" s="6" t="s">
        <v>161</v>
      </c>
    </row>
    <row r="428" ht="22.5" customHeight="1">
      <c r="A428" s="6" t="s">
        <v>2951</v>
      </c>
      <c r="B428" s="6" t="s">
        <v>1847</v>
      </c>
      <c r="C428" s="10">
        <v>46084.0</v>
      </c>
      <c r="D428" s="6" t="s">
        <v>312</v>
      </c>
      <c r="E428" s="6" t="s">
        <v>610</v>
      </c>
      <c r="F428" s="6" t="s">
        <v>439</v>
      </c>
      <c r="G428" s="6" t="s">
        <v>494</v>
      </c>
      <c r="H428" s="10">
        <v>46085.0</v>
      </c>
      <c r="I428" s="12">
        <v>6.0</v>
      </c>
      <c r="J428" s="6" t="s">
        <v>161</v>
      </c>
    </row>
    <row r="429" ht="22.5" customHeight="1">
      <c r="A429" s="6" t="s">
        <v>2956</v>
      </c>
      <c r="B429" s="6" t="s">
        <v>1853</v>
      </c>
      <c r="C429" s="10">
        <v>46050.0</v>
      </c>
      <c r="D429" s="6" t="s">
        <v>391</v>
      </c>
      <c r="E429" s="6" t="s">
        <v>618</v>
      </c>
      <c r="F429" s="6" t="s">
        <v>439</v>
      </c>
      <c r="G429" s="6" t="s">
        <v>477</v>
      </c>
      <c r="H429" s="11" t="s">
        <v>259</v>
      </c>
      <c r="I429" s="12">
        <v>7.0</v>
      </c>
      <c r="J429" s="6" t="s">
        <v>161</v>
      </c>
    </row>
    <row r="430" ht="22.5" customHeight="1">
      <c r="A430" s="6" t="s">
        <v>2960</v>
      </c>
      <c r="B430" s="6" t="s">
        <v>1853</v>
      </c>
      <c r="C430" s="10">
        <v>46052.0</v>
      </c>
      <c r="D430" s="6" t="s">
        <v>677</v>
      </c>
      <c r="E430" s="6" t="s">
        <v>1296</v>
      </c>
      <c r="F430" s="6" t="s">
        <v>439</v>
      </c>
      <c r="G430" s="6" t="s">
        <v>477</v>
      </c>
      <c r="H430" s="10">
        <v>46057.0</v>
      </c>
      <c r="I430" s="12">
        <v>3.0</v>
      </c>
      <c r="J430" s="6" t="s">
        <v>161</v>
      </c>
    </row>
    <row r="431" ht="22.5" customHeight="1">
      <c r="A431" s="6" t="s">
        <v>2965</v>
      </c>
      <c r="B431" s="6" t="s">
        <v>1853</v>
      </c>
      <c r="C431" s="10">
        <v>46046.0</v>
      </c>
      <c r="D431" s="6" t="s">
        <v>436</v>
      </c>
      <c r="E431" s="6" t="s">
        <v>466</v>
      </c>
      <c r="F431" s="6" t="s">
        <v>249</v>
      </c>
      <c r="G431" s="6" t="s">
        <v>477</v>
      </c>
      <c r="H431" s="10">
        <v>46047.0</v>
      </c>
      <c r="I431" s="12">
        <v>12.0</v>
      </c>
      <c r="J431" s="6" t="s">
        <v>178</v>
      </c>
    </row>
    <row r="432" ht="22.5" customHeight="1">
      <c r="A432" s="6" t="s">
        <v>2970</v>
      </c>
      <c r="B432" s="6" t="s">
        <v>1860</v>
      </c>
      <c r="C432" s="10">
        <v>46064.0</v>
      </c>
      <c r="D432" s="6" t="s">
        <v>436</v>
      </c>
      <c r="E432" s="6" t="s">
        <v>2881</v>
      </c>
      <c r="F432" s="6" t="s">
        <v>439</v>
      </c>
      <c r="G432" s="6" t="s">
        <v>452</v>
      </c>
      <c r="H432" s="10">
        <v>46069.0</v>
      </c>
      <c r="I432" s="12">
        <v>10.0</v>
      </c>
      <c r="J432" s="6" t="s">
        <v>178</v>
      </c>
    </row>
    <row r="433" ht="22.5" customHeight="1">
      <c r="A433" s="6" t="s">
        <v>2976</v>
      </c>
      <c r="B433" s="6" t="s">
        <v>1860</v>
      </c>
      <c r="C433" s="10">
        <v>46054.0</v>
      </c>
      <c r="D433" s="6" t="s">
        <v>416</v>
      </c>
      <c r="E433" s="6" t="s">
        <v>1700</v>
      </c>
      <c r="F433" s="6" t="s">
        <v>283</v>
      </c>
      <c r="G433" s="6" t="s">
        <v>326</v>
      </c>
      <c r="H433" s="10">
        <v>46060.0</v>
      </c>
      <c r="I433" s="12">
        <v>14.0</v>
      </c>
      <c r="J433" s="6" t="s">
        <v>161</v>
      </c>
    </row>
    <row r="434" ht="22.5" customHeight="1">
      <c r="A434" s="6" t="s">
        <v>2979</v>
      </c>
      <c r="B434" s="6" t="s">
        <v>1860</v>
      </c>
      <c r="C434" s="10">
        <v>46071.0</v>
      </c>
      <c r="D434" s="6" t="s">
        <v>391</v>
      </c>
      <c r="E434" s="6" t="s">
        <v>1600</v>
      </c>
      <c r="F434" s="6" t="s">
        <v>249</v>
      </c>
      <c r="G434" s="6" t="s">
        <v>452</v>
      </c>
      <c r="H434" s="10">
        <v>46076.0</v>
      </c>
      <c r="I434" s="12">
        <v>6.0</v>
      </c>
      <c r="J434" s="6" t="s">
        <v>161</v>
      </c>
    </row>
    <row r="435" ht="22.5" customHeight="1">
      <c r="A435" s="6" t="s">
        <v>2985</v>
      </c>
      <c r="B435" s="6" t="s">
        <v>1860</v>
      </c>
      <c r="C435" s="10">
        <v>46071.0</v>
      </c>
      <c r="D435" s="6" t="s">
        <v>312</v>
      </c>
      <c r="E435" s="6" t="s">
        <v>731</v>
      </c>
      <c r="F435" s="6" t="s">
        <v>112</v>
      </c>
      <c r="G435" s="6" t="s">
        <v>494</v>
      </c>
      <c r="H435" s="11" t="s">
        <v>259</v>
      </c>
      <c r="I435" s="12">
        <v>7.0</v>
      </c>
      <c r="J435" s="6" t="s">
        <v>161</v>
      </c>
    </row>
    <row r="436" ht="22.5" customHeight="1">
      <c r="A436" s="6" t="s">
        <v>2989</v>
      </c>
      <c r="B436" s="6" t="s">
        <v>1860</v>
      </c>
      <c r="C436" s="10">
        <v>46061.0</v>
      </c>
      <c r="D436" s="6" t="s">
        <v>416</v>
      </c>
      <c r="E436" s="6" t="s">
        <v>320</v>
      </c>
      <c r="F436" s="6" t="s">
        <v>249</v>
      </c>
      <c r="G436" s="6" t="s">
        <v>458</v>
      </c>
      <c r="H436" s="10">
        <v>46063.0</v>
      </c>
      <c r="I436" s="12">
        <v>13.0</v>
      </c>
      <c r="J436" s="6" t="s">
        <v>161</v>
      </c>
    </row>
    <row r="437" ht="22.5" customHeight="1">
      <c r="A437" s="6" t="s">
        <v>2995</v>
      </c>
      <c r="B437" s="6" t="s">
        <v>1866</v>
      </c>
      <c r="C437" s="10">
        <v>46046.0</v>
      </c>
      <c r="D437" s="6" t="s">
        <v>436</v>
      </c>
      <c r="E437" s="6" t="s">
        <v>1570</v>
      </c>
      <c r="F437" s="6" t="s">
        <v>283</v>
      </c>
      <c r="G437" s="6" t="s">
        <v>458</v>
      </c>
      <c r="H437" s="10">
        <v>46051.0</v>
      </c>
      <c r="I437" s="12">
        <v>8.0</v>
      </c>
      <c r="J437" s="6" t="s">
        <v>178</v>
      </c>
    </row>
    <row r="438" ht="22.5" customHeight="1">
      <c r="A438" s="6" t="s">
        <v>3000</v>
      </c>
      <c r="B438" s="6" t="s">
        <v>1866</v>
      </c>
      <c r="C438" s="10">
        <v>46027.0</v>
      </c>
      <c r="D438" s="6" t="s">
        <v>391</v>
      </c>
      <c r="E438" s="6" t="s">
        <v>787</v>
      </c>
      <c r="F438" s="6" t="s">
        <v>112</v>
      </c>
      <c r="G438" s="6" t="s">
        <v>297</v>
      </c>
      <c r="H438" s="10">
        <v>46029.0</v>
      </c>
      <c r="I438" s="12">
        <v>8.0</v>
      </c>
      <c r="J438" s="6" t="s">
        <v>161</v>
      </c>
    </row>
    <row r="439" ht="22.5" customHeight="1">
      <c r="A439" s="6" t="s">
        <v>3004</v>
      </c>
      <c r="B439" s="6" t="s">
        <v>1866</v>
      </c>
      <c r="C439" s="10">
        <v>46046.0</v>
      </c>
      <c r="D439" s="6" t="s">
        <v>312</v>
      </c>
      <c r="E439" s="6" t="s">
        <v>1552</v>
      </c>
      <c r="F439" s="6" t="s">
        <v>112</v>
      </c>
      <c r="G439" s="6" t="s">
        <v>494</v>
      </c>
      <c r="H439" s="10">
        <v>46051.0</v>
      </c>
      <c r="I439" s="12">
        <v>6.0</v>
      </c>
      <c r="J439" s="6" t="s">
        <v>161</v>
      </c>
    </row>
    <row r="440" ht="22.5" customHeight="1">
      <c r="A440" s="6" t="s">
        <v>3009</v>
      </c>
      <c r="B440" s="6" t="s">
        <v>1873</v>
      </c>
      <c r="C440" s="10">
        <v>46045.0</v>
      </c>
      <c r="D440" s="6" t="s">
        <v>436</v>
      </c>
      <c r="E440" s="6" t="s">
        <v>417</v>
      </c>
      <c r="F440" s="6" t="s">
        <v>283</v>
      </c>
      <c r="G440" s="6" t="s">
        <v>452</v>
      </c>
      <c r="H440" s="10">
        <v>46045.0</v>
      </c>
      <c r="I440" s="12">
        <v>11.0</v>
      </c>
      <c r="J440" s="6" t="s">
        <v>178</v>
      </c>
    </row>
    <row r="441" ht="22.5" customHeight="1">
      <c r="A441" s="6" t="s">
        <v>3014</v>
      </c>
      <c r="B441" s="6" t="s">
        <v>1873</v>
      </c>
      <c r="C441" s="10">
        <v>46045.0</v>
      </c>
      <c r="D441" s="6" t="s">
        <v>312</v>
      </c>
      <c r="E441" s="6" t="s">
        <v>1552</v>
      </c>
      <c r="F441" s="6" t="s">
        <v>249</v>
      </c>
      <c r="G441" s="6" t="s">
        <v>254</v>
      </c>
      <c r="H441" s="10">
        <v>46045.0</v>
      </c>
      <c r="I441" s="12">
        <v>4.0</v>
      </c>
      <c r="J441" s="6" t="s">
        <v>161</v>
      </c>
    </row>
    <row r="442" ht="22.5" customHeight="1">
      <c r="A442" s="6" t="s">
        <v>3018</v>
      </c>
      <c r="B442" s="6" t="s">
        <v>1873</v>
      </c>
      <c r="C442" s="10">
        <v>46039.0</v>
      </c>
      <c r="D442" s="6" t="s">
        <v>677</v>
      </c>
      <c r="E442" s="6" t="s">
        <v>1102</v>
      </c>
      <c r="F442" s="6" t="s">
        <v>112</v>
      </c>
      <c r="G442" s="6" t="s">
        <v>369</v>
      </c>
      <c r="H442" s="10">
        <v>46043.0</v>
      </c>
      <c r="I442" s="12">
        <v>2.0</v>
      </c>
      <c r="J442" s="6" t="s">
        <v>161</v>
      </c>
    </row>
    <row r="443" ht="22.5" customHeight="1">
      <c r="A443" s="6" t="s">
        <v>3023</v>
      </c>
      <c r="B443" s="6" t="s">
        <v>1873</v>
      </c>
      <c r="C443" s="10">
        <v>46050.0</v>
      </c>
      <c r="D443" s="6" t="s">
        <v>242</v>
      </c>
      <c r="E443" s="6" t="s">
        <v>1102</v>
      </c>
      <c r="F443" s="6" t="s">
        <v>112</v>
      </c>
      <c r="G443" s="6" t="s">
        <v>494</v>
      </c>
      <c r="H443" s="10">
        <v>46052.0</v>
      </c>
      <c r="I443" s="12">
        <v>6.0</v>
      </c>
      <c r="J443" s="6" t="s">
        <v>161</v>
      </c>
    </row>
    <row r="444" ht="22.5" customHeight="1">
      <c r="A444" s="6" t="s">
        <v>3029</v>
      </c>
      <c r="B444" s="6" t="s">
        <v>1879</v>
      </c>
      <c r="C444" s="10">
        <v>46055.0</v>
      </c>
      <c r="D444" s="6" t="s">
        <v>677</v>
      </c>
      <c r="E444" s="6" t="s">
        <v>1102</v>
      </c>
      <c r="F444" s="6" t="s">
        <v>112</v>
      </c>
      <c r="G444" s="6" t="s">
        <v>494</v>
      </c>
      <c r="H444" s="11" t="s">
        <v>259</v>
      </c>
      <c r="I444" s="12">
        <v>2.0</v>
      </c>
      <c r="J444" s="6" t="s">
        <v>161</v>
      </c>
    </row>
    <row r="445" ht="22.5" customHeight="1">
      <c r="A445" s="6" t="s">
        <v>3033</v>
      </c>
      <c r="B445" s="6" t="s">
        <v>1886</v>
      </c>
      <c r="C445" s="10">
        <v>46075.0</v>
      </c>
      <c r="D445" s="6" t="s">
        <v>391</v>
      </c>
      <c r="E445" s="6" t="s">
        <v>1552</v>
      </c>
      <c r="F445" s="6" t="s">
        <v>249</v>
      </c>
      <c r="G445" s="6" t="s">
        <v>452</v>
      </c>
      <c r="H445" s="10">
        <v>46076.0</v>
      </c>
      <c r="I445" s="12">
        <v>10.0</v>
      </c>
      <c r="J445" s="6" t="s">
        <v>161</v>
      </c>
    </row>
    <row r="446" ht="22.5" customHeight="1">
      <c r="A446" s="6" t="s">
        <v>3039</v>
      </c>
      <c r="B446" s="6" t="s">
        <v>1893</v>
      </c>
      <c r="C446" s="10">
        <v>46042.0</v>
      </c>
      <c r="D446" s="6" t="s">
        <v>289</v>
      </c>
      <c r="E446" s="6" t="s">
        <v>246</v>
      </c>
      <c r="F446" s="6" t="s">
        <v>283</v>
      </c>
      <c r="G446" s="6" t="s">
        <v>369</v>
      </c>
      <c r="H446" s="11" t="s">
        <v>259</v>
      </c>
      <c r="I446" s="12">
        <v>7.0</v>
      </c>
      <c r="J446" s="6" t="s">
        <v>161</v>
      </c>
    </row>
    <row r="447" ht="22.5" customHeight="1">
      <c r="A447" s="6" t="s">
        <v>3045</v>
      </c>
      <c r="B447" s="6" t="s">
        <v>1893</v>
      </c>
      <c r="C447" s="10">
        <v>46046.0</v>
      </c>
      <c r="D447" s="6" t="s">
        <v>436</v>
      </c>
      <c r="E447" s="6" t="s">
        <v>610</v>
      </c>
      <c r="F447" s="6" t="s">
        <v>283</v>
      </c>
      <c r="G447" s="6" t="s">
        <v>254</v>
      </c>
      <c r="H447" s="10">
        <v>46046.0</v>
      </c>
      <c r="I447" s="12">
        <v>7.0</v>
      </c>
      <c r="J447" s="6" t="s">
        <v>178</v>
      </c>
    </row>
    <row r="448" ht="22.5" customHeight="1">
      <c r="A448" s="6" t="s">
        <v>3048</v>
      </c>
      <c r="B448" s="6" t="s">
        <v>1899</v>
      </c>
      <c r="C448" s="10">
        <v>46053.0</v>
      </c>
      <c r="D448" s="6" t="s">
        <v>242</v>
      </c>
      <c r="E448" s="6" t="s">
        <v>2365</v>
      </c>
      <c r="F448" s="6" t="s">
        <v>283</v>
      </c>
      <c r="G448" s="6" t="s">
        <v>458</v>
      </c>
      <c r="H448" s="10">
        <v>46054.0</v>
      </c>
      <c r="I448" s="12">
        <v>3.0</v>
      </c>
      <c r="J448" s="6" t="s">
        <v>178</v>
      </c>
    </row>
    <row r="449" ht="22.5" customHeight="1">
      <c r="A449" s="6" t="s">
        <v>3054</v>
      </c>
      <c r="B449" s="6" t="s">
        <v>1906</v>
      </c>
      <c r="C449" s="10">
        <v>46028.0</v>
      </c>
      <c r="D449" s="6" t="s">
        <v>312</v>
      </c>
      <c r="E449" s="6" t="s">
        <v>320</v>
      </c>
      <c r="F449" s="6" t="s">
        <v>249</v>
      </c>
      <c r="G449" s="6" t="s">
        <v>326</v>
      </c>
      <c r="H449" s="11" t="s">
        <v>259</v>
      </c>
      <c r="I449" s="12">
        <v>4.0</v>
      </c>
      <c r="J449" s="6" t="s">
        <v>161</v>
      </c>
    </row>
    <row r="450" ht="22.5" customHeight="1">
      <c r="A450" s="6" t="s">
        <v>3059</v>
      </c>
      <c r="B450" s="6" t="s">
        <v>1906</v>
      </c>
      <c r="C450" s="10">
        <v>46029.0</v>
      </c>
      <c r="D450" s="6" t="s">
        <v>289</v>
      </c>
      <c r="E450" s="6" t="s">
        <v>687</v>
      </c>
      <c r="F450" s="6" t="s">
        <v>439</v>
      </c>
      <c r="G450" s="6" t="s">
        <v>369</v>
      </c>
      <c r="H450" s="10">
        <v>46033.0</v>
      </c>
      <c r="I450" s="12">
        <v>9.0</v>
      </c>
      <c r="J450" s="6" t="s">
        <v>161</v>
      </c>
    </row>
    <row r="451" ht="22.5" customHeight="1">
      <c r="A451" s="6" t="s">
        <v>3064</v>
      </c>
      <c r="B451" s="6" t="s">
        <v>1906</v>
      </c>
      <c r="C451" s="10">
        <v>46046.0</v>
      </c>
      <c r="D451" s="6" t="s">
        <v>289</v>
      </c>
      <c r="E451" s="6" t="s">
        <v>1626</v>
      </c>
      <c r="F451" s="6" t="s">
        <v>439</v>
      </c>
      <c r="G451" s="6" t="s">
        <v>326</v>
      </c>
      <c r="H451" s="11" t="s">
        <v>259</v>
      </c>
      <c r="I451" s="12">
        <v>5.0</v>
      </c>
      <c r="J451" s="6" t="s">
        <v>161</v>
      </c>
    </row>
    <row r="452" ht="22.5" customHeight="1">
      <c r="A452" s="6" t="s">
        <v>3070</v>
      </c>
      <c r="B452" s="6" t="s">
        <v>1906</v>
      </c>
      <c r="C452" s="10">
        <v>46040.0</v>
      </c>
      <c r="D452" s="6" t="s">
        <v>242</v>
      </c>
      <c r="E452" s="6" t="s">
        <v>2365</v>
      </c>
      <c r="F452" s="6" t="s">
        <v>439</v>
      </c>
      <c r="G452" s="6" t="s">
        <v>494</v>
      </c>
      <c r="H452" s="10">
        <v>46046.0</v>
      </c>
      <c r="I452" s="12">
        <v>6.0</v>
      </c>
      <c r="J452" s="6" t="s">
        <v>161</v>
      </c>
    </row>
    <row r="453" ht="22.5" customHeight="1">
      <c r="A453" s="6" t="s">
        <v>3076</v>
      </c>
      <c r="B453" s="6" t="s">
        <v>1912</v>
      </c>
      <c r="C453" s="10">
        <v>46044.0</v>
      </c>
      <c r="D453" s="6" t="s">
        <v>391</v>
      </c>
      <c r="E453" s="6" t="s">
        <v>716</v>
      </c>
      <c r="F453" s="6" t="s">
        <v>112</v>
      </c>
      <c r="G453" s="6" t="s">
        <v>477</v>
      </c>
      <c r="H453" s="10">
        <v>46045.0</v>
      </c>
      <c r="I453" s="12">
        <v>10.0</v>
      </c>
      <c r="J453" s="6" t="s">
        <v>161</v>
      </c>
    </row>
    <row r="454" ht="22.5" customHeight="1">
      <c r="A454" s="6" t="s">
        <v>3079</v>
      </c>
      <c r="B454" s="6" t="s">
        <v>1912</v>
      </c>
      <c r="C454" s="10">
        <v>46029.0</v>
      </c>
      <c r="D454" s="6" t="s">
        <v>312</v>
      </c>
      <c r="E454" s="6" t="s">
        <v>885</v>
      </c>
      <c r="F454" s="6" t="s">
        <v>283</v>
      </c>
      <c r="G454" s="6" t="s">
        <v>254</v>
      </c>
      <c r="H454" s="10">
        <v>46032.0</v>
      </c>
      <c r="I454" s="12">
        <v>4.0</v>
      </c>
      <c r="J454" s="6" t="s">
        <v>161</v>
      </c>
    </row>
    <row r="455" ht="22.5" customHeight="1">
      <c r="A455" s="6" t="s">
        <v>3085</v>
      </c>
      <c r="B455" s="6" t="s">
        <v>1912</v>
      </c>
      <c r="C455" s="10">
        <v>46033.0</v>
      </c>
      <c r="D455" s="6" t="s">
        <v>289</v>
      </c>
      <c r="E455" s="6" t="s">
        <v>1280</v>
      </c>
      <c r="F455" s="6" t="s">
        <v>283</v>
      </c>
      <c r="G455" s="6" t="s">
        <v>369</v>
      </c>
      <c r="H455" s="11" t="s">
        <v>259</v>
      </c>
      <c r="I455" s="12">
        <v>6.0</v>
      </c>
      <c r="J455" s="6" t="s">
        <v>161</v>
      </c>
    </row>
    <row r="456" ht="22.5" customHeight="1">
      <c r="A456" s="6" t="s">
        <v>3090</v>
      </c>
      <c r="B456" s="6" t="s">
        <v>1912</v>
      </c>
      <c r="C456" s="10">
        <v>46030.0</v>
      </c>
      <c r="D456" s="6" t="s">
        <v>436</v>
      </c>
      <c r="E456" s="6" t="s">
        <v>731</v>
      </c>
      <c r="F456" s="6" t="s">
        <v>283</v>
      </c>
      <c r="G456" s="6" t="s">
        <v>452</v>
      </c>
      <c r="H456" s="11" t="s">
        <v>259</v>
      </c>
      <c r="I456" s="12">
        <v>7.0</v>
      </c>
      <c r="J456" s="6" t="s">
        <v>161</v>
      </c>
    </row>
    <row r="457" ht="22.5" customHeight="1">
      <c r="A457" s="6" t="s">
        <v>3095</v>
      </c>
      <c r="B457" s="6" t="s">
        <v>1912</v>
      </c>
      <c r="C457" s="10">
        <v>46035.0</v>
      </c>
      <c r="D457" s="6" t="s">
        <v>242</v>
      </c>
      <c r="E457" s="6" t="s">
        <v>1273</v>
      </c>
      <c r="F457" s="6" t="s">
        <v>283</v>
      </c>
      <c r="G457" s="6" t="s">
        <v>458</v>
      </c>
      <c r="H457" s="10">
        <v>46037.0</v>
      </c>
      <c r="I457" s="12">
        <v>3.0</v>
      </c>
      <c r="J457" s="6" t="s">
        <v>178</v>
      </c>
    </row>
    <row r="458" ht="22.5" customHeight="1">
      <c r="A458" s="6" t="s">
        <v>3098</v>
      </c>
      <c r="B458" s="6" t="s">
        <v>1919</v>
      </c>
      <c r="C458" s="10">
        <v>46081.0</v>
      </c>
      <c r="D458" s="6" t="s">
        <v>289</v>
      </c>
      <c r="E458" s="6" t="s">
        <v>716</v>
      </c>
      <c r="F458" s="6" t="s">
        <v>439</v>
      </c>
      <c r="G458" s="6" t="s">
        <v>326</v>
      </c>
      <c r="H458" s="10">
        <v>46086.0</v>
      </c>
      <c r="I458" s="12">
        <v>8.0</v>
      </c>
      <c r="J458" s="6" t="s">
        <v>161</v>
      </c>
    </row>
    <row r="459" ht="22.5" customHeight="1">
      <c r="A459" s="6" t="s">
        <v>3102</v>
      </c>
      <c r="B459" s="6" t="s">
        <v>1919</v>
      </c>
      <c r="C459" s="10">
        <v>46073.0</v>
      </c>
      <c r="D459" s="6" t="s">
        <v>242</v>
      </c>
      <c r="E459" s="6" t="s">
        <v>2881</v>
      </c>
      <c r="F459" s="6" t="s">
        <v>283</v>
      </c>
      <c r="G459" s="6" t="s">
        <v>326</v>
      </c>
      <c r="H459" s="10">
        <v>46078.0</v>
      </c>
      <c r="I459" s="12">
        <v>4.0</v>
      </c>
      <c r="J459" s="6" t="s">
        <v>178</v>
      </c>
    </row>
    <row r="460" ht="22.5" customHeight="1">
      <c r="A460" s="6" t="s">
        <v>3108</v>
      </c>
      <c r="B460" s="6" t="s">
        <v>1919</v>
      </c>
      <c r="C460" s="10">
        <v>46083.0</v>
      </c>
      <c r="D460" s="6" t="s">
        <v>312</v>
      </c>
      <c r="E460" s="6" t="s">
        <v>955</v>
      </c>
      <c r="F460" s="6" t="s">
        <v>112</v>
      </c>
      <c r="G460" s="6" t="s">
        <v>452</v>
      </c>
      <c r="H460" s="10">
        <v>46090.0</v>
      </c>
      <c r="I460" s="12">
        <v>4.0</v>
      </c>
      <c r="J460" s="6" t="s">
        <v>161</v>
      </c>
    </row>
    <row r="461" ht="22.5" customHeight="1">
      <c r="A461" s="6" t="s">
        <v>3114</v>
      </c>
      <c r="B461" s="6" t="s">
        <v>1919</v>
      </c>
      <c r="C461" s="10">
        <v>46077.0</v>
      </c>
      <c r="D461" s="6" t="s">
        <v>312</v>
      </c>
      <c r="E461" s="6" t="s">
        <v>716</v>
      </c>
      <c r="F461" s="6" t="s">
        <v>112</v>
      </c>
      <c r="G461" s="6" t="s">
        <v>254</v>
      </c>
      <c r="H461" s="10">
        <v>46083.0</v>
      </c>
      <c r="I461" s="12">
        <v>5.0</v>
      </c>
      <c r="J461" s="6" t="s">
        <v>161</v>
      </c>
    </row>
    <row r="462" ht="22.5" customHeight="1">
      <c r="A462" s="6" t="s">
        <v>3116</v>
      </c>
      <c r="B462" s="6" t="s">
        <v>1919</v>
      </c>
      <c r="C462" s="10">
        <v>46078.0</v>
      </c>
      <c r="D462" s="6" t="s">
        <v>312</v>
      </c>
      <c r="E462" s="6" t="s">
        <v>704</v>
      </c>
      <c r="F462" s="6" t="s">
        <v>439</v>
      </c>
      <c r="G462" s="6" t="s">
        <v>458</v>
      </c>
      <c r="H462" s="10">
        <v>46085.0</v>
      </c>
      <c r="I462" s="12">
        <v>5.0</v>
      </c>
      <c r="J462" s="6" t="s">
        <v>161</v>
      </c>
    </row>
    <row r="463" ht="22.5" customHeight="1">
      <c r="A463" s="6" t="s">
        <v>3122</v>
      </c>
      <c r="B463" s="6" t="s">
        <v>1926</v>
      </c>
      <c r="C463" s="10">
        <v>46047.0</v>
      </c>
      <c r="D463" s="6" t="s">
        <v>391</v>
      </c>
      <c r="E463" s="6" t="s">
        <v>1241</v>
      </c>
      <c r="F463" s="6" t="s">
        <v>112</v>
      </c>
      <c r="G463" s="6" t="s">
        <v>326</v>
      </c>
      <c r="H463" s="10">
        <v>46054.0</v>
      </c>
      <c r="I463" s="12">
        <v>10.0</v>
      </c>
      <c r="J463" s="6" t="s">
        <v>161</v>
      </c>
    </row>
    <row r="464" ht="22.5" customHeight="1">
      <c r="A464" s="6" t="s">
        <v>3126</v>
      </c>
      <c r="B464" s="6" t="s">
        <v>1926</v>
      </c>
      <c r="C464" s="10">
        <v>46034.0</v>
      </c>
      <c r="D464" s="6" t="s">
        <v>391</v>
      </c>
      <c r="E464" s="6" t="s">
        <v>812</v>
      </c>
      <c r="F464" s="6" t="s">
        <v>283</v>
      </c>
      <c r="G464" s="6" t="s">
        <v>297</v>
      </c>
      <c r="H464" s="10">
        <v>46036.0</v>
      </c>
      <c r="I464" s="12">
        <v>6.0</v>
      </c>
      <c r="J464" s="6" t="s">
        <v>161</v>
      </c>
    </row>
    <row r="465" ht="22.5" customHeight="1">
      <c r="A465" s="6" t="s">
        <v>3131</v>
      </c>
      <c r="B465" s="6" t="s">
        <v>1932</v>
      </c>
      <c r="C465" s="10">
        <v>46052.0</v>
      </c>
      <c r="D465" s="6" t="s">
        <v>312</v>
      </c>
      <c r="E465" s="6" t="s">
        <v>1296</v>
      </c>
      <c r="F465" s="6" t="s">
        <v>283</v>
      </c>
      <c r="G465" s="6" t="s">
        <v>477</v>
      </c>
      <c r="H465" s="11" t="s">
        <v>259</v>
      </c>
      <c r="I465" s="12">
        <v>6.0</v>
      </c>
      <c r="J465" s="6" t="s">
        <v>161</v>
      </c>
    </row>
    <row r="466" ht="22.5" customHeight="1">
      <c r="A466" s="6" t="s">
        <v>3137</v>
      </c>
      <c r="B466" s="6" t="s">
        <v>1938</v>
      </c>
      <c r="C466" s="10">
        <v>46035.0</v>
      </c>
      <c r="D466" s="6" t="s">
        <v>289</v>
      </c>
      <c r="E466" s="6" t="s">
        <v>2365</v>
      </c>
      <c r="F466" s="6" t="s">
        <v>112</v>
      </c>
      <c r="G466" s="6" t="s">
        <v>494</v>
      </c>
      <c r="H466" s="10">
        <v>46035.0</v>
      </c>
      <c r="I466" s="12">
        <v>6.0</v>
      </c>
      <c r="J466" s="6" t="s">
        <v>161</v>
      </c>
    </row>
    <row r="467" ht="22.5" customHeight="1">
      <c r="A467" s="6" t="s">
        <v>3142</v>
      </c>
      <c r="B467" s="6" t="s">
        <v>1938</v>
      </c>
      <c r="C467" s="10">
        <v>46030.0</v>
      </c>
      <c r="D467" s="6" t="s">
        <v>289</v>
      </c>
      <c r="E467" s="6" t="s">
        <v>1517</v>
      </c>
      <c r="F467" s="6" t="s">
        <v>112</v>
      </c>
      <c r="G467" s="6" t="s">
        <v>369</v>
      </c>
      <c r="H467" s="10">
        <v>46033.0</v>
      </c>
      <c r="I467" s="12">
        <v>6.0</v>
      </c>
      <c r="J467" s="6" t="s">
        <v>161</v>
      </c>
    </row>
    <row r="468" ht="22.5" customHeight="1">
      <c r="A468" s="6" t="s">
        <v>3146</v>
      </c>
      <c r="B468" s="6" t="s">
        <v>1938</v>
      </c>
      <c r="C468" s="10">
        <v>46043.0</v>
      </c>
      <c r="D468" s="6" t="s">
        <v>289</v>
      </c>
      <c r="E468" s="6" t="s">
        <v>291</v>
      </c>
      <c r="F468" s="6" t="s">
        <v>112</v>
      </c>
      <c r="G468" s="6" t="s">
        <v>297</v>
      </c>
      <c r="H468" s="10">
        <v>46048.0</v>
      </c>
      <c r="I468" s="12">
        <v>8.0</v>
      </c>
      <c r="J468" s="6" t="s">
        <v>161</v>
      </c>
    </row>
    <row r="469" ht="22.5" customHeight="1">
      <c r="A469" s="6" t="s">
        <v>3150</v>
      </c>
      <c r="B469" s="6" t="s">
        <v>1938</v>
      </c>
      <c r="C469" s="10">
        <v>46042.0</v>
      </c>
      <c r="D469" s="6" t="s">
        <v>677</v>
      </c>
      <c r="E469" s="6" t="s">
        <v>618</v>
      </c>
      <c r="F469" s="6" t="s">
        <v>283</v>
      </c>
      <c r="G469" s="6" t="s">
        <v>477</v>
      </c>
      <c r="H469" s="10">
        <v>46048.0</v>
      </c>
      <c r="I469" s="12">
        <v>2.0</v>
      </c>
      <c r="J469" s="6" t="s">
        <v>161</v>
      </c>
    </row>
    <row r="470" ht="22.5" customHeight="1">
      <c r="A470" s="6" t="s">
        <v>3156</v>
      </c>
      <c r="B470" s="6" t="s">
        <v>1945</v>
      </c>
      <c r="C470" s="10">
        <v>46026.0</v>
      </c>
      <c r="D470" s="6" t="s">
        <v>391</v>
      </c>
      <c r="E470" s="6" t="s">
        <v>1969</v>
      </c>
      <c r="F470" s="6" t="s">
        <v>283</v>
      </c>
      <c r="G470" s="6" t="s">
        <v>458</v>
      </c>
      <c r="H470" s="10">
        <v>46029.0</v>
      </c>
      <c r="I470" s="12">
        <v>9.0</v>
      </c>
      <c r="J470" s="6" t="s">
        <v>161</v>
      </c>
    </row>
    <row r="471" ht="22.5" customHeight="1">
      <c r="A471" s="6" t="s">
        <v>3159</v>
      </c>
      <c r="B471" s="6" t="s">
        <v>1945</v>
      </c>
      <c r="C471" s="10">
        <v>46035.0</v>
      </c>
      <c r="D471" s="6" t="s">
        <v>416</v>
      </c>
      <c r="E471" s="6" t="s">
        <v>1280</v>
      </c>
      <c r="F471" s="6" t="s">
        <v>439</v>
      </c>
      <c r="G471" s="6" t="s">
        <v>477</v>
      </c>
      <c r="H471" s="11" t="s">
        <v>259</v>
      </c>
      <c r="I471" s="12">
        <v>10.0</v>
      </c>
      <c r="J471" s="6" t="s">
        <v>161</v>
      </c>
    </row>
    <row r="472" ht="22.5" customHeight="1">
      <c r="A472" s="6" t="s">
        <v>3164</v>
      </c>
      <c r="B472" s="6" t="s">
        <v>1945</v>
      </c>
      <c r="C472" s="10">
        <v>46028.0</v>
      </c>
      <c r="D472" s="6" t="s">
        <v>242</v>
      </c>
      <c r="E472" s="6" t="s">
        <v>787</v>
      </c>
      <c r="F472" s="6" t="s">
        <v>249</v>
      </c>
      <c r="G472" s="6" t="s">
        <v>254</v>
      </c>
      <c r="H472" s="10">
        <v>46033.0</v>
      </c>
      <c r="I472" s="12">
        <v>6.0</v>
      </c>
      <c r="J472" s="6" t="s">
        <v>178</v>
      </c>
    </row>
    <row r="473" ht="22.5" customHeight="1">
      <c r="A473" s="6" t="s">
        <v>3169</v>
      </c>
      <c r="B473" s="6" t="s">
        <v>1951</v>
      </c>
      <c r="C473" s="10">
        <v>46060.0</v>
      </c>
      <c r="D473" s="6" t="s">
        <v>677</v>
      </c>
      <c r="E473" s="6" t="s">
        <v>695</v>
      </c>
      <c r="F473" s="6" t="s">
        <v>439</v>
      </c>
      <c r="G473" s="6" t="s">
        <v>458</v>
      </c>
      <c r="H473" s="10">
        <v>46066.0</v>
      </c>
      <c r="I473" s="12">
        <v>3.0</v>
      </c>
      <c r="J473" s="6" t="s">
        <v>161</v>
      </c>
    </row>
    <row r="474" ht="22.5" customHeight="1">
      <c r="A474" s="6" t="s">
        <v>3173</v>
      </c>
      <c r="B474" s="6" t="s">
        <v>1951</v>
      </c>
      <c r="C474" s="10">
        <v>46050.0</v>
      </c>
      <c r="D474" s="6" t="s">
        <v>677</v>
      </c>
      <c r="E474" s="6" t="s">
        <v>863</v>
      </c>
      <c r="F474" s="6" t="s">
        <v>249</v>
      </c>
      <c r="G474" s="6" t="s">
        <v>297</v>
      </c>
      <c r="H474" s="11" t="s">
        <v>259</v>
      </c>
      <c r="I474" s="12">
        <v>4.0</v>
      </c>
      <c r="J474" s="6" t="s">
        <v>161</v>
      </c>
    </row>
    <row r="475" ht="22.5" customHeight="1">
      <c r="A475" s="6" t="s">
        <v>3178</v>
      </c>
      <c r="B475" s="6" t="s">
        <v>1951</v>
      </c>
      <c r="C475" s="10">
        <v>46042.0</v>
      </c>
      <c r="D475" s="6" t="s">
        <v>436</v>
      </c>
      <c r="E475" s="6" t="s">
        <v>1280</v>
      </c>
      <c r="F475" s="6" t="s">
        <v>112</v>
      </c>
      <c r="G475" s="6" t="s">
        <v>458</v>
      </c>
      <c r="H475" s="10">
        <v>46042.0</v>
      </c>
      <c r="I475" s="12">
        <v>6.0</v>
      </c>
      <c r="J475" s="6" t="s">
        <v>178</v>
      </c>
    </row>
    <row r="476" ht="22.5" customHeight="1">
      <c r="A476" s="6" t="s">
        <v>3182</v>
      </c>
      <c r="B476" s="6" t="s">
        <v>1951</v>
      </c>
      <c r="C476" s="10">
        <v>46060.0</v>
      </c>
      <c r="D476" s="6" t="s">
        <v>312</v>
      </c>
      <c r="E476" s="6" t="s">
        <v>885</v>
      </c>
      <c r="F476" s="6" t="s">
        <v>249</v>
      </c>
      <c r="G476" s="6" t="s">
        <v>494</v>
      </c>
      <c r="H476" s="10">
        <v>46061.0</v>
      </c>
      <c r="I476" s="12">
        <v>5.0</v>
      </c>
      <c r="J476" s="6" t="s">
        <v>161</v>
      </c>
    </row>
    <row r="477" ht="22.5" customHeight="1">
      <c r="A477" s="6" t="s">
        <v>3188</v>
      </c>
      <c r="B477" s="6" t="s">
        <v>1951</v>
      </c>
      <c r="C477" s="10">
        <v>46042.0</v>
      </c>
      <c r="D477" s="6" t="s">
        <v>242</v>
      </c>
      <c r="E477" s="6" t="s">
        <v>695</v>
      </c>
      <c r="F477" s="6" t="s">
        <v>283</v>
      </c>
      <c r="G477" s="6" t="s">
        <v>326</v>
      </c>
      <c r="H477" s="10">
        <v>46043.0</v>
      </c>
      <c r="I477" s="12">
        <v>4.0</v>
      </c>
      <c r="J477" s="6" t="s">
        <v>161</v>
      </c>
    </row>
    <row r="478" ht="22.5" customHeight="1">
      <c r="A478" s="6" t="s">
        <v>3192</v>
      </c>
      <c r="B478" s="6" t="s">
        <v>1957</v>
      </c>
      <c r="C478" s="10">
        <v>46037.0</v>
      </c>
      <c r="D478" s="6" t="s">
        <v>242</v>
      </c>
      <c r="E478" s="6" t="s">
        <v>1280</v>
      </c>
      <c r="F478" s="6" t="s">
        <v>439</v>
      </c>
      <c r="G478" s="6" t="s">
        <v>369</v>
      </c>
      <c r="H478" s="10">
        <v>46042.0</v>
      </c>
      <c r="I478" s="12">
        <v>5.0</v>
      </c>
      <c r="J478" s="6" t="s">
        <v>178</v>
      </c>
    </row>
    <row r="479" ht="22.5" customHeight="1">
      <c r="A479" s="6" t="s">
        <v>3197</v>
      </c>
      <c r="B479" s="6" t="s">
        <v>1957</v>
      </c>
      <c r="C479" s="10">
        <v>46042.0</v>
      </c>
      <c r="D479" s="6" t="s">
        <v>242</v>
      </c>
      <c r="E479" s="6" t="s">
        <v>1741</v>
      </c>
      <c r="F479" s="6" t="s">
        <v>112</v>
      </c>
      <c r="G479" s="6" t="s">
        <v>254</v>
      </c>
      <c r="H479" s="10">
        <v>46046.0</v>
      </c>
      <c r="I479" s="12">
        <v>4.0</v>
      </c>
      <c r="J479" s="6" t="s">
        <v>161</v>
      </c>
    </row>
    <row r="480" ht="22.5" customHeight="1">
      <c r="A480" s="6" t="s">
        <v>3202</v>
      </c>
      <c r="B480" s="6" t="s">
        <v>1957</v>
      </c>
      <c r="C480" s="10">
        <v>46041.0</v>
      </c>
      <c r="D480" s="6" t="s">
        <v>677</v>
      </c>
      <c r="E480" s="6" t="s">
        <v>583</v>
      </c>
      <c r="F480" s="6" t="s">
        <v>249</v>
      </c>
      <c r="G480" s="6" t="s">
        <v>458</v>
      </c>
      <c r="H480" s="10">
        <v>46043.0</v>
      </c>
      <c r="I480" s="12">
        <v>4.0</v>
      </c>
      <c r="J480" s="6" t="s">
        <v>161</v>
      </c>
    </row>
    <row r="481" ht="22.5" customHeight="1">
      <c r="A481" s="6" t="s">
        <v>3207</v>
      </c>
      <c r="B481" s="6" t="s">
        <v>1957</v>
      </c>
      <c r="C481" s="10">
        <v>46055.0</v>
      </c>
      <c r="D481" s="6" t="s">
        <v>677</v>
      </c>
      <c r="E481" s="6" t="s">
        <v>1296</v>
      </c>
      <c r="F481" s="6" t="s">
        <v>249</v>
      </c>
      <c r="G481" s="6" t="s">
        <v>369</v>
      </c>
      <c r="H481" s="10">
        <v>46060.0</v>
      </c>
      <c r="I481" s="12">
        <v>4.0</v>
      </c>
      <c r="J481" s="6" t="s">
        <v>161</v>
      </c>
    </row>
    <row r="482" ht="22.5" customHeight="1">
      <c r="A482" s="6" t="s">
        <v>3213</v>
      </c>
      <c r="B482" s="6" t="s">
        <v>1963</v>
      </c>
      <c r="C482" s="10">
        <v>46073.0</v>
      </c>
      <c r="D482" s="6" t="s">
        <v>436</v>
      </c>
      <c r="E482" s="6" t="s">
        <v>610</v>
      </c>
      <c r="F482" s="6" t="s">
        <v>249</v>
      </c>
      <c r="G482" s="6" t="s">
        <v>477</v>
      </c>
      <c r="H482" s="10">
        <v>46075.0</v>
      </c>
      <c r="I482" s="12">
        <v>11.0</v>
      </c>
      <c r="J482" s="6" t="s">
        <v>161</v>
      </c>
    </row>
    <row r="483" ht="22.5" customHeight="1">
      <c r="A483" s="6" t="s">
        <v>3219</v>
      </c>
      <c r="B483" s="6" t="s">
        <v>1963</v>
      </c>
      <c r="C483" s="10">
        <v>46077.0</v>
      </c>
      <c r="D483" s="6" t="s">
        <v>677</v>
      </c>
      <c r="E483" s="6" t="s">
        <v>1969</v>
      </c>
      <c r="F483" s="6" t="s">
        <v>439</v>
      </c>
      <c r="G483" s="6" t="s">
        <v>452</v>
      </c>
      <c r="H483" s="10">
        <v>46077.0</v>
      </c>
      <c r="I483" s="12">
        <v>4.0</v>
      </c>
      <c r="J483" s="6" t="s">
        <v>161</v>
      </c>
    </row>
    <row r="484" ht="22.5" customHeight="1">
      <c r="A484" s="6" t="s">
        <v>3224</v>
      </c>
      <c r="B484" s="6" t="s">
        <v>1963</v>
      </c>
      <c r="C484" s="10">
        <v>46070.0</v>
      </c>
      <c r="D484" s="6" t="s">
        <v>391</v>
      </c>
      <c r="E484" s="6" t="s">
        <v>738</v>
      </c>
      <c r="F484" s="6" t="s">
        <v>283</v>
      </c>
      <c r="G484" s="6" t="s">
        <v>297</v>
      </c>
      <c r="H484" s="10">
        <v>46075.0</v>
      </c>
      <c r="I484" s="12">
        <v>8.0</v>
      </c>
      <c r="J484" s="6" t="s">
        <v>161</v>
      </c>
    </row>
    <row r="485" ht="22.5" customHeight="1">
      <c r="A485" s="6" t="s">
        <v>3228</v>
      </c>
      <c r="B485" s="6" t="s">
        <v>1963</v>
      </c>
      <c r="C485" s="10">
        <v>46080.0</v>
      </c>
      <c r="D485" s="6" t="s">
        <v>416</v>
      </c>
      <c r="E485" s="6" t="s">
        <v>716</v>
      </c>
      <c r="F485" s="6" t="s">
        <v>283</v>
      </c>
      <c r="G485" s="6" t="s">
        <v>477</v>
      </c>
      <c r="H485" s="10">
        <v>46084.0</v>
      </c>
      <c r="I485" s="12">
        <v>12.0</v>
      </c>
      <c r="J485" s="6" t="s">
        <v>161</v>
      </c>
    </row>
    <row r="486" ht="22.5" customHeight="1">
      <c r="A486" s="6" t="s">
        <v>3233</v>
      </c>
      <c r="B486" s="6" t="s">
        <v>1963</v>
      </c>
      <c r="C486" s="10">
        <v>46067.0</v>
      </c>
      <c r="D486" s="6" t="s">
        <v>242</v>
      </c>
      <c r="E486" s="6" t="s">
        <v>1517</v>
      </c>
      <c r="F486" s="6" t="s">
        <v>439</v>
      </c>
      <c r="G486" s="6" t="s">
        <v>477</v>
      </c>
      <c r="H486" s="10">
        <v>46071.0</v>
      </c>
      <c r="I486" s="12">
        <v>4.0</v>
      </c>
      <c r="J486" s="6" t="s">
        <v>161</v>
      </c>
    </row>
    <row r="487" ht="22.5" customHeight="1">
      <c r="A487" s="6" t="s">
        <v>3238</v>
      </c>
      <c r="B487" s="6" t="s">
        <v>1970</v>
      </c>
      <c r="C487" s="10">
        <v>46067.0</v>
      </c>
      <c r="D487" s="6" t="s">
        <v>677</v>
      </c>
      <c r="E487" s="6" t="s">
        <v>787</v>
      </c>
      <c r="F487" s="6" t="s">
        <v>439</v>
      </c>
      <c r="G487" s="6" t="s">
        <v>369</v>
      </c>
      <c r="H487" s="10">
        <v>46071.0</v>
      </c>
      <c r="I487" s="12">
        <v>4.0</v>
      </c>
      <c r="J487" s="6" t="s">
        <v>161</v>
      </c>
    </row>
    <row r="488" ht="22.5" customHeight="1">
      <c r="A488" s="6" t="s">
        <v>3241</v>
      </c>
      <c r="B488" s="6" t="s">
        <v>1976</v>
      </c>
      <c r="C488" s="10">
        <v>46026.0</v>
      </c>
      <c r="D488" s="6" t="s">
        <v>289</v>
      </c>
      <c r="E488" s="6" t="s">
        <v>566</v>
      </c>
      <c r="F488" s="6" t="s">
        <v>112</v>
      </c>
      <c r="G488" s="6" t="s">
        <v>452</v>
      </c>
      <c r="H488" s="10">
        <v>46032.0</v>
      </c>
      <c r="I488" s="12">
        <v>8.0</v>
      </c>
      <c r="J488" s="6" t="s">
        <v>161</v>
      </c>
    </row>
    <row r="489" ht="22.5" customHeight="1">
      <c r="A489" s="6" t="s">
        <v>3245</v>
      </c>
      <c r="B489" s="6" t="s">
        <v>1976</v>
      </c>
      <c r="C489" s="10">
        <v>46039.0</v>
      </c>
      <c r="D489" s="6" t="s">
        <v>242</v>
      </c>
      <c r="E489" s="6" t="s">
        <v>798</v>
      </c>
      <c r="F489" s="6" t="s">
        <v>283</v>
      </c>
      <c r="G489" s="6" t="s">
        <v>297</v>
      </c>
      <c r="H489" s="10">
        <v>46044.0</v>
      </c>
      <c r="I489" s="12">
        <v>6.0</v>
      </c>
      <c r="J489" s="6" t="s">
        <v>178</v>
      </c>
    </row>
    <row r="490" ht="22.5" customHeight="1">
      <c r="A490" s="6" t="s">
        <v>3251</v>
      </c>
      <c r="B490" s="6" t="s">
        <v>1983</v>
      </c>
      <c r="C490" s="10">
        <v>46056.0</v>
      </c>
      <c r="D490" s="6" t="s">
        <v>242</v>
      </c>
      <c r="E490" s="6" t="s">
        <v>1310</v>
      </c>
      <c r="F490" s="6" t="s">
        <v>249</v>
      </c>
      <c r="G490" s="6" t="s">
        <v>369</v>
      </c>
      <c r="H490" s="10">
        <v>46061.0</v>
      </c>
      <c r="I490" s="12">
        <v>5.0</v>
      </c>
      <c r="J490" s="6" t="s">
        <v>178</v>
      </c>
    </row>
    <row r="491" ht="22.5" customHeight="1">
      <c r="A491" s="6" t="s">
        <v>3257</v>
      </c>
      <c r="B491" s="6" t="s">
        <v>1983</v>
      </c>
      <c r="C491" s="10">
        <v>46063.0</v>
      </c>
      <c r="D491" s="6" t="s">
        <v>289</v>
      </c>
      <c r="E491" s="6" t="s">
        <v>955</v>
      </c>
      <c r="F491" s="6" t="s">
        <v>112</v>
      </c>
      <c r="G491" s="6" t="s">
        <v>477</v>
      </c>
      <c r="H491" s="10">
        <v>46068.0</v>
      </c>
      <c r="I491" s="12">
        <v>7.0</v>
      </c>
      <c r="J491" s="6" t="s">
        <v>161</v>
      </c>
    </row>
    <row r="492" ht="22.5" customHeight="1">
      <c r="A492" s="6" t="s">
        <v>3262</v>
      </c>
      <c r="B492" s="6" t="s">
        <v>1983</v>
      </c>
      <c r="C492" s="10">
        <v>46058.0</v>
      </c>
      <c r="D492" s="6" t="s">
        <v>436</v>
      </c>
      <c r="E492" s="6" t="s">
        <v>1626</v>
      </c>
      <c r="F492" s="6" t="s">
        <v>439</v>
      </c>
      <c r="G492" s="6" t="s">
        <v>254</v>
      </c>
      <c r="H492" s="10">
        <v>46065.0</v>
      </c>
      <c r="I492" s="12">
        <v>11.0</v>
      </c>
      <c r="J492" s="6" t="s">
        <v>178</v>
      </c>
    </row>
    <row r="493" ht="22.5" customHeight="1">
      <c r="A493" s="6" t="s">
        <v>3266</v>
      </c>
      <c r="B493" s="6" t="s">
        <v>1983</v>
      </c>
      <c r="C493" s="10">
        <v>46059.0</v>
      </c>
      <c r="D493" s="6" t="s">
        <v>391</v>
      </c>
      <c r="E493" s="6" t="s">
        <v>1122</v>
      </c>
      <c r="F493" s="6" t="s">
        <v>112</v>
      </c>
      <c r="G493" s="6" t="s">
        <v>494</v>
      </c>
      <c r="H493" s="10">
        <v>46064.0</v>
      </c>
      <c r="I493" s="12">
        <v>11.0</v>
      </c>
      <c r="J493" s="6" t="s">
        <v>161</v>
      </c>
    </row>
    <row r="494" ht="22.5" customHeight="1">
      <c r="A494" s="6" t="s">
        <v>3272</v>
      </c>
      <c r="B494" s="6" t="s">
        <v>1983</v>
      </c>
      <c r="C494" s="10">
        <v>46067.0</v>
      </c>
      <c r="D494" s="6" t="s">
        <v>436</v>
      </c>
      <c r="E494" s="6" t="s">
        <v>955</v>
      </c>
      <c r="F494" s="6" t="s">
        <v>283</v>
      </c>
      <c r="G494" s="6" t="s">
        <v>494</v>
      </c>
      <c r="H494" s="10">
        <v>46067.0</v>
      </c>
      <c r="I494" s="12">
        <v>6.0</v>
      </c>
      <c r="J494" s="6" t="s">
        <v>178</v>
      </c>
    </row>
    <row r="495" ht="22.5" customHeight="1">
      <c r="A495" s="6" t="s">
        <v>3277</v>
      </c>
      <c r="B495" s="6" t="s">
        <v>1989</v>
      </c>
      <c r="C495" s="10">
        <v>46064.0</v>
      </c>
      <c r="D495" s="6" t="s">
        <v>289</v>
      </c>
      <c r="E495" s="6" t="s">
        <v>1552</v>
      </c>
      <c r="F495" s="6" t="s">
        <v>439</v>
      </c>
      <c r="G495" s="6" t="s">
        <v>326</v>
      </c>
      <c r="H495" s="10">
        <v>46069.0</v>
      </c>
      <c r="I495" s="12">
        <v>10.0</v>
      </c>
      <c r="J495" s="6" t="s">
        <v>161</v>
      </c>
    </row>
    <row r="496" ht="22.5" customHeight="1">
      <c r="A496" s="6" t="s">
        <v>3285</v>
      </c>
      <c r="B496" s="6" t="s">
        <v>1995</v>
      </c>
      <c r="C496" s="10">
        <v>46055.0</v>
      </c>
      <c r="D496" s="6" t="s">
        <v>289</v>
      </c>
      <c r="E496" s="6" t="s">
        <v>896</v>
      </c>
      <c r="F496" s="6" t="s">
        <v>249</v>
      </c>
      <c r="G496" s="6" t="s">
        <v>477</v>
      </c>
      <c r="H496" s="10">
        <v>46059.0</v>
      </c>
      <c r="I496" s="12">
        <v>8.0</v>
      </c>
      <c r="J496" s="6" t="s">
        <v>161</v>
      </c>
    </row>
    <row r="497" ht="22.5" customHeight="1">
      <c r="A497" s="6" t="s">
        <v>3290</v>
      </c>
      <c r="B497" s="6" t="s">
        <v>1995</v>
      </c>
      <c r="C497" s="10">
        <v>46045.0</v>
      </c>
      <c r="D497" s="6" t="s">
        <v>242</v>
      </c>
      <c r="E497" s="6" t="s">
        <v>394</v>
      </c>
      <c r="F497" s="6" t="s">
        <v>112</v>
      </c>
      <c r="G497" s="6" t="s">
        <v>369</v>
      </c>
      <c r="H497" s="10">
        <v>46047.0</v>
      </c>
      <c r="I497" s="12">
        <v>5.0</v>
      </c>
      <c r="J497" s="6" t="s">
        <v>161</v>
      </c>
    </row>
    <row r="498" ht="22.5" customHeight="1">
      <c r="A498" s="6" t="s">
        <v>3296</v>
      </c>
      <c r="B498" s="6" t="s">
        <v>2002</v>
      </c>
      <c r="C498" s="10">
        <v>46059.0</v>
      </c>
      <c r="D498" s="6" t="s">
        <v>312</v>
      </c>
      <c r="E498" s="6" t="s">
        <v>863</v>
      </c>
      <c r="F498" s="6" t="s">
        <v>283</v>
      </c>
      <c r="G498" s="6" t="s">
        <v>477</v>
      </c>
      <c r="H498" s="10">
        <v>46062.0</v>
      </c>
      <c r="I498" s="12">
        <v>6.0</v>
      </c>
      <c r="J498" s="6" t="s">
        <v>161</v>
      </c>
    </row>
    <row r="499" ht="22.5" customHeight="1">
      <c r="A499" s="6" t="s">
        <v>3301</v>
      </c>
      <c r="B499" s="6" t="s">
        <v>2002</v>
      </c>
      <c r="C499" s="10">
        <v>46068.0</v>
      </c>
      <c r="D499" s="6" t="s">
        <v>289</v>
      </c>
      <c r="E499" s="6" t="s">
        <v>417</v>
      </c>
      <c r="F499" s="6" t="s">
        <v>283</v>
      </c>
      <c r="G499" s="6" t="s">
        <v>369</v>
      </c>
      <c r="H499" s="10">
        <v>46071.0</v>
      </c>
      <c r="I499" s="12">
        <v>6.0</v>
      </c>
      <c r="J499" s="6" t="s">
        <v>161</v>
      </c>
    </row>
    <row r="500" ht="22.5" customHeight="1">
      <c r="A500" s="6" t="s">
        <v>3307</v>
      </c>
      <c r="B500" s="6" t="s">
        <v>2002</v>
      </c>
      <c r="C500" s="10">
        <v>46067.0</v>
      </c>
      <c r="D500" s="6" t="s">
        <v>289</v>
      </c>
      <c r="E500" s="6" t="s">
        <v>695</v>
      </c>
      <c r="F500" s="6" t="s">
        <v>112</v>
      </c>
      <c r="G500" s="6" t="s">
        <v>452</v>
      </c>
      <c r="H500" s="10">
        <v>46067.0</v>
      </c>
      <c r="I500" s="12">
        <v>7.0</v>
      </c>
      <c r="J500" s="6" t="s">
        <v>161</v>
      </c>
    </row>
    <row r="501" ht="22.5" customHeight="1">
      <c r="A501" s="6" t="s">
        <v>3311</v>
      </c>
      <c r="B501" s="6" t="s">
        <v>2002</v>
      </c>
      <c r="C501" s="10">
        <v>46065.0</v>
      </c>
      <c r="D501" s="6" t="s">
        <v>242</v>
      </c>
      <c r="E501" s="6" t="s">
        <v>1310</v>
      </c>
      <c r="F501" s="6" t="s">
        <v>249</v>
      </c>
      <c r="G501" s="6" t="s">
        <v>458</v>
      </c>
      <c r="H501" s="10">
        <v>46066.0</v>
      </c>
      <c r="I501" s="12">
        <v>4.0</v>
      </c>
      <c r="J501" s="6" t="s">
        <v>178</v>
      </c>
    </row>
    <row r="502" ht="22.5" customHeight="1">
      <c r="A502" s="6" t="s">
        <v>3316</v>
      </c>
      <c r="B502" s="6" t="s">
        <v>2008</v>
      </c>
      <c r="C502" s="10">
        <v>46033.0</v>
      </c>
      <c r="D502" s="6" t="s">
        <v>391</v>
      </c>
      <c r="E502" s="6" t="s">
        <v>885</v>
      </c>
      <c r="F502" s="6" t="s">
        <v>283</v>
      </c>
      <c r="G502" s="6" t="s">
        <v>297</v>
      </c>
      <c r="H502" s="10">
        <v>46036.0</v>
      </c>
      <c r="I502" s="12">
        <v>9.0</v>
      </c>
      <c r="J502" s="6" t="s">
        <v>161</v>
      </c>
    </row>
    <row r="503" ht="22.5" customHeight="1">
      <c r="A503" s="6" t="s">
        <v>3321</v>
      </c>
      <c r="B503" s="6" t="s">
        <v>2008</v>
      </c>
      <c r="C503" s="10">
        <v>46038.0</v>
      </c>
      <c r="D503" s="6" t="s">
        <v>436</v>
      </c>
      <c r="E503" s="6" t="s">
        <v>1055</v>
      </c>
      <c r="F503" s="6" t="s">
        <v>439</v>
      </c>
      <c r="G503" s="6" t="s">
        <v>477</v>
      </c>
      <c r="H503" s="11" t="s">
        <v>259</v>
      </c>
      <c r="I503" s="12">
        <v>8.0</v>
      </c>
      <c r="J503" s="6" t="s">
        <v>161</v>
      </c>
    </row>
    <row r="504" ht="22.5" customHeight="1">
      <c r="A504" s="6" t="s">
        <v>3324</v>
      </c>
      <c r="B504" s="6" t="s">
        <v>2014</v>
      </c>
      <c r="C504" s="10">
        <v>46042.0</v>
      </c>
      <c r="D504" s="6" t="s">
        <v>436</v>
      </c>
      <c r="E504" s="6" t="s">
        <v>687</v>
      </c>
      <c r="F504" s="6" t="s">
        <v>439</v>
      </c>
      <c r="G504" s="6" t="s">
        <v>254</v>
      </c>
      <c r="H504" s="10">
        <v>46044.0</v>
      </c>
      <c r="I504" s="12">
        <v>6.0</v>
      </c>
      <c r="J504" s="6" t="s">
        <v>161</v>
      </c>
    </row>
    <row r="505" ht="22.5" customHeight="1">
      <c r="A505" s="6" t="s">
        <v>3329</v>
      </c>
      <c r="B505" s="6" t="s">
        <v>2021</v>
      </c>
      <c r="C505" s="10">
        <v>46032.0</v>
      </c>
      <c r="D505" s="6" t="s">
        <v>677</v>
      </c>
      <c r="E505" s="6" t="s">
        <v>687</v>
      </c>
      <c r="F505" s="6" t="s">
        <v>112</v>
      </c>
      <c r="G505" s="6" t="s">
        <v>458</v>
      </c>
      <c r="H505" s="10">
        <v>46033.0</v>
      </c>
      <c r="I505" s="12">
        <v>2.0</v>
      </c>
      <c r="J505" s="6" t="s">
        <v>161</v>
      </c>
    </row>
    <row r="506" ht="22.5" customHeight="1">
      <c r="A506" s="6" t="s">
        <v>3334</v>
      </c>
      <c r="B506" s="6" t="s">
        <v>2021</v>
      </c>
      <c r="C506" s="10">
        <v>46038.0</v>
      </c>
      <c r="D506" s="6" t="s">
        <v>289</v>
      </c>
      <c r="E506" s="6" t="s">
        <v>695</v>
      </c>
      <c r="F506" s="6" t="s">
        <v>439</v>
      </c>
      <c r="G506" s="6" t="s">
        <v>254</v>
      </c>
      <c r="H506" s="10">
        <v>46041.0</v>
      </c>
      <c r="I506" s="12">
        <v>6.0</v>
      </c>
      <c r="J506" s="6" t="s">
        <v>161</v>
      </c>
    </row>
    <row r="507" ht="22.5" customHeight="1">
      <c r="A507" s="6" t="s">
        <v>3340</v>
      </c>
      <c r="B507" s="6" t="s">
        <v>2021</v>
      </c>
      <c r="C507" s="10">
        <v>46039.0</v>
      </c>
      <c r="D507" s="6" t="s">
        <v>436</v>
      </c>
      <c r="E507" s="6" t="s">
        <v>1570</v>
      </c>
      <c r="F507" s="6" t="s">
        <v>439</v>
      </c>
      <c r="G507" s="6" t="s">
        <v>254</v>
      </c>
      <c r="H507" s="10">
        <v>46039.0</v>
      </c>
      <c r="I507" s="12">
        <v>9.0</v>
      </c>
      <c r="J507" s="6" t="s">
        <v>178</v>
      </c>
    </row>
    <row r="508" ht="22.5" customHeight="1">
      <c r="A508" s="6" t="s">
        <v>3345</v>
      </c>
      <c r="B508" s="6" t="s">
        <v>2021</v>
      </c>
      <c r="C508" s="10">
        <v>46039.0</v>
      </c>
      <c r="D508" s="6" t="s">
        <v>416</v>
      </c>
      <c r="E508" s="6" t="s">
        <v>1720</v>
      </c>
      <c r="F508" s="6" t="s">
        <v>283</v>
      </c>
      <c r="G508" s="6" t="s">
        <v>452</v>
      </c>
      <c r="H508" s="10">
        <v>46044.0</v>
      </c>
      <c r="I508" s="12">
        <v>12.0</v>
      </c>
      <c r="J508" s="6" t="s">
        <v>161</v>
      </c>
    </row>
    <row r="509" ht="22.5" customHeight="1">
      <c r="A509" s="6" t="s">
        <v>3350</v>
      </c>
      <c r="B509" s="6" t="s">
        <v>2021</v>
      </c>
      <c r="C509" s="10">
        <v>46035.0</v>
      </c>
      <c r="D509" s="6" t="s">
        <v>416</v>
      </c>
      <c r="E509" s="6" t="s">
        <v>365</v>
      </c>
      <c r="F509" s="6" t="s">
        <v>283</v>
      </c>
      <c r="G509" s="6" t="s">
        <v>369</v>
      </c>
      <c r="H509" s="11" t="s">
        <v>259</v>
      </c>
      <c r="I509" s="12">
        <v>8.0</v>
      </c>
      <c r="J509" s="6" t="s">
        <v>161</v>
      </c>
    </row>
    <row r="510" ht="22.5" customHeight="1">
      <c r="A510" s="6" t="s">
        <v>3356</v>
      </c>
      <c r="B510" s="6" t="s">
        <v>2028</v>
      </c>
      <c r="C510" s="10">
        <v>46059.0</v>
      </c>
      <c r="D510" s="6" t="s">
        <v>391</v>
      </c>
      <c r="E510" s="6" t="s">
        <v>2881</v>
      </c>
      <c r="F510" s="6" t="s">
        <v>439</v>
      </c>
      <c r="G510" s="6" t="s">
        <v>494</v>
      </c>
      <c r="H510" s="10">
        <v>46059.0</v>
      </c>
      <c r="I510" s="12">
        <v>9.0</v>
      </c>
      <c r="J510" s="6" t="s">
        <v>161</v>
      </c>
    </row>
    <row r="511" ht="22.5" customHeight="1">
      <c r="A511" s="6" t="s">
        <v>3357</v>
      </c>
      <c r="B511" s="6" t="s">
        <v>2028</v>
      </c>
      <c r="C511" s="10">
        <v>46056.0</v>
      </c>
      <c r="D511" s="6" t="s">
        <v>289</v>
      </c>
      <c r="E511" s="6" t="s">
        <v>1149</v>
      </c>
      <c r="F511" s="6" t="s">
        <v>112</v>
      </c>
      <c r="G511" s="6" t="s">
        <v>477</v>
      </c>
      <c r="H511" s="11" t="s">
        <v>259</v>
      </c>
      <c r="I511" s="12">
        <v>10.0</v>
      </c>
      <c r="J511" s="6" t="s">
        <v>161</v>
      </c>
    </row>
    <row r="512" ht="22.5" customHeight="1">
      <c r="A512" s="6" t="s">
        <v>3363</v>
      </c>
      <c r="B512" s="6" t="s">
        <v>2028</v>
      </c>
      <c r="C512" s="10">
        <v>46066.0</v>
      </c>
      <c r="D512" s="6" t="s">
        <v>242</v>
      </c>
      <c r="E512" s="6" t="s">
        <v>1741</v>
      </c>
      <c r="F512" s="6" t="s">
        <v>249</v>
      </c>
      <c r="G512" s="6" t="s">
        <v>326</v>
      </c>
      <c r="H512" s="10">
        <v>46070.0</v>
      </c>
      <c r="I512" s="12">
        <v>3.0</v>
      </c>
      <c r="J512" s="6" t="s">
        <v>161</v>
      </c>
    </row>
    <row r="513" ht="22.5" customHeight="1">
      <c r="A513" s="6" t="s">
        <v>3367</v>
      </c>
      <c r="B513" s="6" t="s">
        <v>2028</v>
      </c>
      <c r="C513" s="10">
        <v>46066.0</v>
      </c>
      <c r="D513" s="6" t="s">
        <v>391</v>
      </c>
      <c r="E513" s="6" t="s">
        <v>1280</v>
      </c>
      <c r="F513" s="6" t="s">
        <v>249</v>
      </c>
      <c r="G513" s="6" t="s">
        <v>326</v>
      </c>
      <c r="H513" s="11" t="s">
        <v>259</v>
      </c>
      <c r="I513" s="12">
        <v>6.0</v>
      </c>
      <c r="J513" s="6" t="s">
        <v>161</v>
      </c>
    </row>
    <row r="514" ht="22.5" customHeight="1">
      <c r="A514" s="6" t="s">
        <v>3372</v>
      </c>
      <c r="B514" s="6" t="s">
        <v>2028</v>
      </c>
      <c r="C514" s="10">
        <v>46074.0</v>
      </c>
      <c r="D514" s="6" t="s">
        <v>391</v>
      </c>
      <c r="E514" s="6" t="s">
        <v>1241</v>
      </c>
      <c r="F514" s="6" t="s">
        <v>439</v>
      </c>
      <c r="G514" s="6" t="s">
        <v>477</v>
      </c>
      <c r="H514" s="10">
        <v>46077.0</v>
      </c>
      <c r="I514" s="12">
        <v>11.0</v>
      </c>
      <c r="J514" s="6" t="s">
        <v>161</v>
      </c>
    </row>
    <row r="515" ht="22.5" customHeight="1">
      <c r="A515" s="6" t="s">
        <v>3377</v>
      </c>
      <c r="B515" s="6" t="s">
        <v>2034</v>
      </c>
      <c r="C515" s="10">
        <v>46035.0</v>
      </c>
      <c r="D515" s="6" t="s">
        <v>242</v>
      </c>
      <c r="E515" s="6" t="s">
        <v>1241</v>
      </c>
      <c r="F515" s="6" t="s">
        <v>249</v>
      </c>
      <c r="G515" s="6" t="s">
        <v>369</v>
      </c>
      <c r="H515" s="10">
        <v>46035.0</v>
      </c>
      <c r="I515" s="12">
        <v>5.0</v>
      </c>
      <c r="J515" s="6" t="s">
        <v>178</v>
      </c>
    </row>
    <row r="516" ht="22.5" customHeight="1">
      <c r="A516" s="6" t="s">
        <v>3382</v>
      </c>
      <c r="B516" s="6" t="s">
        <v>2040</v>
      </c>
      <c r="C516" s="10">
        <v>46077.0</v>
      </c>
      <c r="D516" s="6" t="s">
        <v>312</v>
      </c>
      <c r="E516" s="6" t="s">
        <v>1273</v>
      </c>
      <c r="F516" s="6" t="s">
        <v>439</v>
      </c>
      <c r="G516" s="6" t="s">
        <v>254</v>
      </c>
      <c r="H516" s="10">
        <v>46081.0</v>
      </c>
      <c r="I516" s="12">
        <v>7.0</v>
      </c>
      <c r="J516" s="6" t="s">
        <v>161</v>
      </c>
    </row>
    <row r="517" ht="22.5" customHeight="1">
      <c r="A517" s="6" t="s">
        <v>3388</v>
      </c>
      <c r="B517" s="6" t="s">
        <v>2040</v>
      </c>
      <c r="C517" s="10">
        <v>46067.0</v>
      </c>
      <c r="D517" s="6" t="s">
        <v>416</v>
      </c>
      <c r="E517" s="6" t="s">
        <v>695</v>
      </c>
      <c r="F517" s="6" t="s">
        <v>112</v>
      </c>
      <c r="G517" s="6" t="s">
        <v>494</v>
      </c>
      <c r="H517" s="10">
        <v>46070.0</v>
      </c>
      <c r="I517" s="12">
        <v>8.0</v>
      </c>
      <c r="J517" s="6" t="s">
        <v>161</v>
      </c>
    </row>
    <row r="518" ht="22.5" customHeight="1">
      <c r="A518" s="6" t="s">
        <v>3393</v>
      </c>
      <c r="B518" s="6" t="s">
        <v>2040</v>
      </c>
      <c r="C518" s="10">
        <v>46059.0</v>
      </c>
      <c r="D518" s="6" t="s">
        <v>436</v>
      </c>
      <c r="E518" s="6" t="s">
        <v>1070</v>
      </c>
      <c r="F518" s="6" t="s">
        <v>249</v>
      </c>
      <c r="G518" s="6" t="s">
        <v>458</v>
      </c>
      <c r="H518" s="10">
        <v>46060.0</v>
      </c>
      <c r="I518" s="12">
        <v>8.0</v>
      </c>
      <c r="J518" s="6" t="s">
        <v>161</v>
      </c>
    </row>
    <row r="519" ht="22.5" customHeight="1">
      <c r="A519" s="6" t="s">
        <v>3399</v>
      </c>
      <c r="B519" s="6" t="s">
        <v>2040</v>
      </c>
      <c r="C519" s="10">
        <v>46060.0</v>
      </c>
      <c r="D519" s="6" t="s">
        <v>677</v>
      </c>
      <c r="E519" s="6" t="s">
        <v>695</v>
      </c>
      <c r="F519" s="6" t="s">
        <v>249</v>
      </c>
      <c r="G519" s="6" t="s">
        <v>326</v>
      </c>
      <c r="H519" s="11" t="s">
        <v>259</v>
      </c>
      <c r="I519" s="12">
        <v>3.0</v>
      </c>
      <c r="J519" s="6" t="s">
        <v>161</v>
      </c>
    </row>
    <row r="520" ht="22.5" customHeight="1">
      <c r="A520" s="6" t="s">
        <v>3403</v>
      </c>
      <c r="B520" s="6" t="s">
        <v>2040</v>
      </c>
      <c r="C520" s="10">
        <v>46066.0</v>
      </c>
      <c r="D520" s="6" t="s">
        <v>289</v>
      </c>
      <c r="E520" s="6" t="s">
        <v>618</v>
      </c>
      <c r="F520" s="6" t="s">
        <v>249</v>
      </c>
      <c r="G520" s="6" t="s">
        <v>369</v>
      </c>
      <c r="H520" s="10">
        <v>46073.0</v>
      </c>
      <c r="I520" s="12">
        <v>6.0</v>
      </c>
      <c r="J520" s="6" t="s">
        <v>161</v>
      </c>
    </row>
    <row r="521" ht="22.5" customHeight="1">
      <c r="A521" s="6" t="s">
        <v>3409</v>
      </c>
      <c r="B521" s="6" t="s">
        <v>2046</v>
      </c>
      <c r="C521" s="10">
        <v>46080.0</v>
      </c>
      <c r="D521" s="6" t="s">
        <v>436</v>
      </c>
      <c r="E521" s="6" t="s">
        <v>716</v>
      </c>
      <c r="F521" s="6" t="s">
        <v>112</v>
      </c>
      <c r="G521" s="6" t="s">
        <v>297</v>
      </c>
      <c r="H521" s="10">
        <v>46085.0</v>
      </c>
      <c r="I521" s="12">
        <v>6.0</v>
      </c>
      <c r="J521" s="6" t="s">
        <v>178</v>
      </c>
    </row>
    <row r="522" ht="22.5" customHeight="1">
      <c r="A522" s="6" t="s">
        <v>3415</v>
      </c>
      <c r="B522" s="6" t="s">
        <v>2046</v>
      </c>
      <c r="C522" s="10">
        <v>46084.0</v>
      </c>
      <c r="D522" s="6" t="s">
        <v>436</v>
      </c>
      <c r="E522" s="6" t="s">
        <v>1969</v>
      </c>
      <c r="F522" s="6" t="s">
        <v>112</v>
      </c>
      <c r="G522" s="6" t="s">
        <v>369</v>
      </c>
      <c r="H522" s="10">
        <v>46091.0</v>
      </c>
      <c r="I522" s="12">
        <v>7.0</v>
      </c>
      <c r="J522" s="6" t="s">
        <v>178</v>
      </c>
    </row>
    <row r="523" ht="22.5" customHeight="1">
      <c r="A523" s="6" t="s">
        <v>3419</v>
      </c>
      <c r="B523" s="6" t="s">
        <v>2046</v>
      </c>
      <c r="C523" s="10">
        <v>46072.0</v>
      </c>
      <c r="D523" s="6" t="s">
        <v>391</v>
      </c>
      <c r="E523" s="6" t="s">
        <v>450</v>
      </c>
      <c r="F523" s="6" t="s">
        <v>249</v>
      </c>
      <c r="G523" s="6" t="s">
        <v>458</v>
      </c>
      <c r="H523" s="10">
        <v>46078.0</v>
      </c>
      <c r="I523" s="12">
        <v>9.0</v>
      </c>
      <c r="J523" s="6" t="s">
        <v>161</v>
      </c>
    </row>
    <row r="524" ht="22.5" customHeight="1">
      <c r="A524" s="6" t="s">
        <v>3425</v>
      </c>
      <c r="B524" s="6" t="s">
        <v>2053</v>
      </c>
      <c r="C524" s="10">
        <v>46072.0</v>
      </c>
      <c r="D524" s="6" t="s">
        <v>242</v>
      </c>
      <c r="E524" s="6" t="s">
        <v>731</v>
      </c>
      <c r="F524" s="6" t="s">
        <v>283</v>
      </c>
      <c r="G524" s="6" t="s">
        <v>458</v>
      </c>
      <c r="H524" s="11" t="s">
        <v>259</v>
      </c>
      <c r="I524" s="12">
        <v>5.0</v>
      </c>
      <c r="J524" s="6" t="s">
        <v>161</v>
      </c>
    </row>
    <row r="525" ht="22.5" customHeight="1">
      <c r="A525" s="6" t="s">
        <v>3430</v>
      </c>
      <c r="B525" s="6" t="s">
        <v>2059</v>
      </c>
      <c r="C525" s="10">
        <v>46051.0</v>
      </c>
      <c r="D525" s="6" t="s">
        <v>312</v>
      </c>
      <c r="E525" s="6" t="s">
        <v>1102</v>
      </c>
      <c r="F525" s="6" t="s">
        <v>283</v>
      </c>
      <c r="G525" s="6" t="s">
        <v>452</v>
      </c>
      <c r="H525" s="10">
        <v>46051.0</v>
      </c>
      <c r="I525" s="12">
        <v>5.0</v>
      </c>
      <c r="J525" s="6" t="s">
        <v>161</v>
      </c>
    </row>
    <row r="526" ht="22.5" customHeight="1">
      <c r="A526" s="6" t="s">
        <v>3434</v>
      </c>
      <c r="B526" s="6" t="s">
        <v>2059</v>
      </c>
      <c r="C526" s="10">
        <v>46041.0</v>
      </c>
      <c r="D526" s="6" t="s">
        <v>677</v>
      </c>
      <c r="E526" s="6" t="s">
        <v>833</v>
      </c>
      <c r="F526" s="6" t="s">
        <v>249</v>
      </c>
      <c r="G526" s="6" t="s">
        <v>297</v>
      </c>
      <c r="H526" s="10">
        <v>46043.0</v>
      </c>
      <c r="I526" s="12">
        <v>3.0</v>
      </c>
      <c r="J526" s="6" t="s">
        <v>161</v>
      </c>
    </row>
    <row r="527" ht="22.5" customHeight="1">
      <c r="A527" s="6" t="s">
        <v>3439</v>
      </c>
      <c r="B527" s="6" t="s">
        <v>2059</v>
      </c>
      <c r="C527" s="10">
        <v>46051.0</v>
      </c>
      <c r="D527" s="6" t="s">
        <v>416</v>
      </c>
      <c r="E527" s="6" t="s">
        <v>2365</v>
      </c>
      <c r="F527" s="6" t="s">
        <v>439</v>
      </c>
      <c r="G527" s="6" t="s">
        <v>326</v>
      </c>
      <c r="H527" s="10">
        <v>46051.0</v>
      </c>
      <c r="I527" s="12">
        <v>8.0</v>
      </c>
      <c r="J527" s="6" t="s">
        <v>161</v>
      </c>
    </row>
    <row r="528" ht="22.5" customHeight="1">
      <c r="A528" s="6" t="s">
        <v>3444</v>
      </c>
      <c r="B528" s="6" t="s">
        <v>2065</v>
      </c>
      <c r="C528" s="10">
        <v>46051.0</v>
      </c>
      <c r="D528" s="6" t="s">
        <v>416</v>
      </c>
      <c r="E528" s="6" t="s">
        <v>1035</v>
      </c>
      <c r="F528" s="6" t="s">
        <v>112</v>
      </c>
      <c r="G528" s="6" t="s">
        <v>477</v>
      </c>
      <c r="H528" s="10">
        <v>46058.0</v>
      </c>
      <c r="I528" s="12">
        <v>8.0</v>
      </c>
      <c r="J528" s="6" t="s">
        <v>161</v>
      </c>
    </row>
    <row r="529" ht="22.5" customHeight="1">
      <c r="A529" s="6" t="s">
        <v>3449</v>
      </c>
      <c r="B529" s="6" t="s">
        <v>2065</v>
      </c>
      <c r="C529" s="10">
        <v>46049.0</v>
      </c>
      <c r="D529" s="6" t="s">
        <v>436</v>
      </c>
      <c r="E529" s="6" t="s">
        <v>738</v>
      </c>
      <c r="F529" s="6" t="s">
        <v>439</v>
      </c>
      <c r="G529" s="6" t="s">
        <v>297</v>
      </c>
      <c r="H529" s="10">
        <v>46055.0</v>
      </c>
      <c r="I529" s="12">
        <v>6.0</v>
      </c>
      <c r="J529" s="6" t="s">
        <v>178</v>
      </c>
    </row>
    <row r="530" ht="22.5" customHeight="1">
      <c r="A530" s="6" t="s">
        <v>3453</v>
      </c>
      <c r="B530" s="6" t="s">
        <v>2065</v>
      </c>
      <c r="C530" s="10">
        <v>46051.0</v>
      </c>
      <c r="D530" s="6" t="s">
        <v>416</v>
      </c>
      <c r="E530" s="6" t="s">
        <v>695</v>
      </c>
      <c r="F530" s="6" t="s">
        <v>112</v>
      </c>
      <c r="G530" s="6" t="s">
        <v>297</v>
      </c>
      <c r="H530" s="11" t="s">
        <v>259</v>
      </c>
      <c r="I530" s="12">
        <v>9.0</v>
      </c>
      <c r="J530" s="6" t="s">
        <v>161</v>
      </c>
    </row>
    <row r="531" ht="22.5" customHeight="1">
      <c r="A531" s="6" t="s">
        <v>3457</v>
      </c>
      <c r="B531" s="6" t="s">
        <v>2065</v>
      </c>
      <c r="C531" s="10">
        <v>46059.0</v>
      </c>
      <c r="D531" s="6" t="s">
        <v>677</v>
      </c>
      <c r="E531" s="6" t="s">
        <v>628</v>
      </c>
      <c r="F531" s="6" t="s">
        <v>249</v>
      </c>
      <c r="G531" s="6" t="s">
        <v>458</v>
      </c>
      <c r="H531" s="10">
        <v>46061.0</v>
      </c>
      <c r="I531" s="12">
        <v>2.0</v>
      </c>
      <c r="J531" s="6" t="s">
        <v>161</v>
      </c>
    </row>
    <row r="532" ht="22.5" customHeight="1">
      <c r="A532" s="6" t="s">
        <v>3462</v>
      </c>
      <c r="B532" s="6" t="s">
        <v>2065</v>
      </c>
      <c r="C532" s="10">
        <v>46056.0</v>
      </c>
      <c r="D532" s="6" t="s">
        <v>289</v>
      </c>
      <c r="E532" s="6" t="s">
        <v>1552</v>
      </c>
      <c r="F532" s="6" t="s">
        <v>283</v>
      </c>
      <c r="G532" s="6" t="s">
        <v>326</v>
      </c>
      <c r="H532" s="10">
        <v>46057.0</v>
      </c>
      <c r="I532" s="12">
        <v>8.0</v>
      </c>
      <c r="J532" s="6" t="s">
        <v>161</v>
      </c>
    </row>
    <row r="533" ht="22.5" customHeight="1">
      <c r="A533" s="6" t="s">
        <v>3468</v>
      </c>
      <c r="B533" s="6" t="s">
        <v>2072</v>
      </c>
      <c r="C533" s="10">
        <v>46056.0</v>
      </c>
      <c r="D533" s="6" t="s">
        <v>391</v>
      </c>
      <c r="E533" s="6" t="s">
        <v>320</v>
      </c>
      <c r="F533" s="6" t="s">
        <v>283</v>
      </c>
      <c r="G533" s="6" t="s">
        <v>458</v>
      </c>
      <c r="H533" s="10">
        <v>46060.0</v>
      </c>
      <c r="I533" s="12">
        <v>10.0</v>
      </c>
      <c r="J533" s="6" t="s">
        <v>161</v>
      </c>
    </row>
    <row r="534" ht="22.5" customHeight="1">
      <c r="A534" s="6" t="s">
        <v>3471</v>
      </c>
      <c r="B534" s="6" t="s">
        <v>2072</v>
      </c>
      <c r="C534" s="10">
        <v>46058.0</v>
      </c>
      <c r="D534" s="6" t="s">
        <v>289</v>
      </c>
      <c r="E534" s="6" t="s">
        <v>833</v>
      </c>
      <c r="F534" s="6" t="s">
        <v>283</v>
      </c>
      <c r="G534" s="6" t="s">
        <v>452</v>
      </c>
      <c r="H534" s="10">
        <v>46058.0</v>
      </c>
      <c r="I534" s="12">
        <v>10.0</v>
      </c>
      <c r="J534" s="6" t="s">
        <v>161</v>
      </c>
    </row>
    <row r="535" ht="22.5" customHeight="1">
      <c r="A535" s="6" t="s">
        <v>3475</v>
      </c>
      <c r="B535" s="6" t="s">
        <v>2072</v>
      </c>
      <c r="C535" s="10">
        <v>46048.0</v>
      </c>
      <c r="D535" s="6" t="s">
        <v>416</v>
      </c>
      <c r="E535" s="6" t="s">
        <v>798</v>
      </c>
      <c r="F535" s="6" t="s">
        <v>283</v>
      </c>
      <c r="G535" s="6" t="s">
        <v>494</v>
      </c>
      <c r="H535" s="10">
        <v>46049.0</v>
      </c>
      <c r="I535" s="12">
        <v>8.0</v>
      </c>
      <c r="J535" s="6" t="s">
        <v>161</v>
      </c>
    </row>
    <row r="536" ht="22.5" customHeight="1">
      <c r="A536" s="6" t="s">
        <v>3478</v>
      </c>
      <c r="B536" s="6" t="s">
        <v>2072</v>
      </c>
      <c r="C536" s="10">
        <v>46059.0</v>
      </c>
      <c r="D536" s="6" t="s">
        <v>416</v>
      </c>
      <c r="E536" s="6" t="s">
        <v>610</v>
      </c>
      <c r="F536" s="6" t="s">
        <v>249</v>
      </c>
      <c r="G536" s="6" t="s">
        <v>326</v>
      </c>
      <c r="H536" s="10">
        <v>46061.0</v>
      </c>
      <c r="I536" s="12">
        <v>9.0</v>
      </c>
      <c r="J536" s="6" t="s">
        <v>161</v>
      </c>
    </row>
    <row r="537" ht="22.5" customHeight="1">
      <c r="A537" s="6" t="s">
        <v>3482</v>
      </c>
      <c r="B537" s="6" t="s">
        <v>2078</v>
      </c>
      <c r="C537" s="10">
        <v>46078.0</v>
      </c>
      <c r="D537" s="6" t="s">
        <v>312</v>
      </c>
      <c r="E537" s="6" t="s">
        <v>1273</v>
      </c>
      <c r="F537" s="6" t="s">
        <v>439</v>
      </c>
      <c r="G537" s="6" t="s">
        <v>477</v>
      </c>
      <c r="H537" s="10">
        <v>46084.0</v>
      </c>
      <c r="I537" s="12">
        <v>6.0</v>
      </c>
      <c r="J537" s="6" t="s">
        <v>161</v>
      </c>
    </row>
    <row r="538" ht="22.5" customHeight="1">
      <c r="A538" s="6" t="s">
        <v>3488</v>
      </c>
      <c r="B538" s="6" t="s">
        <v>2078</v>
      </c>
      <c r="C538" s="10">
        <v>46087.0</v>
      </c>
      <c r="D538" s="6" t="s">
        <v>289</v>
      </c>
      <c r="E538" s="6" t="s">
        <v>628</v>
      </c>
      <c r="F538" s="6" t="s">
        <v>439</v>
      </c>
      <c r="G538" s="6" t="s">
        <v>452</v>
      </c>
      <c r="H538" s="10">
        <v>46094.0</v>
      </c>
      <c r="I538" s="12">
        <v>9.0</v>
      </c>
      <c r="J538" s="6" t="s">
        <v>161</v>
      </c>
    </row>
    <row r="539" ht="22.5" customHeight="1">
      <c r="A539" s="6" t="s">
        <v>3494</v>
      </c>
      <c r="B539" s="6" t="s">
        <v>2078</v>
      </c>
      <c r="C539" s="10">
        <v>46087.0</v>
      </c>
      <c r="D539" s="6" t="s">
        <v>677</v>
      </c>
      <c r="E539" s="6" t="s">
        <v>1969</v>
      </c>
      <c r="F539" s="6" t="s">
        <v>112</v>
      </c>
      <c r="G539" s="6" t="s">
        <v>297</v>
      </c>
      <c r="H539" s="10">
        <v>46087.0</v>
      </c>
      <c r="I539" s="12">
        <v>3.0</v>
      </c>
      <c r="J539" s="6" t="s">
        <v>161</v>
      </c>
    </row>
    <row r="540" ht="22.5" customHeight="1">
      <c r="A540" s="6" t="s">
        <v>3497</v>
      </c>
      <c r="B540" s="6" t="s">
        <v>2078</v>
      </c>
      <c r="C540" s="10">
        <v>46075.0</v>
      </c>
      <c r="D540" s="6" t="s">
        <v>677</v>
      </c>
      <c r="E540" s="6" t="s">
        <v>787</v>
      </c>
      <c r="F540" s="6" t="s">
        <v>249</v>
      </c>
      <c r="G540" s="6" t="s">
        <v>452</v>
      </c>
      <c r="H540" s="10">
        <v>46080.0</v>
      </c>
      <c r="I540" s="12">
        <v>2.0</v>
      </c>
      <c r="J540" s="6" t="s">
        <v>161</v>
      </c>
    </row>
    <row r="541" ht="22.5" customHeight="1">
      <c r="A541" s="6" t="s">
        <v>3502</v>
      </c>
      <c r="B541" s="6" t="s">
        <v>2084</v>
      </c>
      <c r="C541" s="10">
        <v>46054.0</v>
      </c>
      <c r="D541" s="6" t="s">
        <v>677</v>
      </c>
      <c r="E541" s="6" t="s">
        <v>512</v>
      </c>
      <c r="F541" s="6" t="s">
        <v>439</v>
      </c>
      <c r="G541" s="6" t="s">
        <v>458</v>
      </c>
      <c r="H541" s="10">
        <v>46058.0</v>
      </c>
      <c r="I541" s="12">
        <v>4.0</v>
      </c>
      <c r="J541" s="6" t="s">
        <v>161</v>
      </c>
    </row>
    <row r="542" ht="22.5" customHeight="1">
      <c r="A542" s="6" t="s">
        <v>3503</v>
      </c>
      <c r="B542" s="6" t="s">
        <v>2084</v>
      </c>
      <c r="C542" s="10">
        <v>46044.0</v>
      </c>
      <c r="D542" s="6" t="s">
        <v>242</v>
      </c>
      <c r="E542" s="6" t="s">
        <v>1122</v>
      </c>
      <c r="F542" s="6" t="s">
        <v>249</v>
      </c>
      <c r="G542" s="6" t="s">
        <v>297</v>
      </c>
      <c r="H542" s="10">
        <v>46051.0</v>
      </c>
      <c r="I542" s="12">
        <v>5.0</v>
      </c>
      <c r="J542" s="6" t="s">
        <v>178</v>
      </c>
    </row>
    <row r="543" ht="22.5" customHeight="1">
      <c r="A543" s="6" t="s">
        <v>3504</v>
      </c>
      <c r="B543" s="6" t="s">
        <v>2084</v>
      </c>
      <c r="C543" s="10">
        <v>46039.0</v>
      </c>
      <c r="D543" s="6" t="s">
        <v>436</v>
      </c>
      <c r="E543" s="6" t="s">
        <v>687</v>
      </c>
      <c r="F543" s="6" t="s">
        <v>283</v>
      </c>
      <c r="G543" s="6" t="s">
        <v>326</v>
      </c>
      <c r="H543" s="10">
        <v>46044.0</v>
      </c>
      <c r="I543" s="12">
        <v>12.0</v>
      </c>
      <c r="J543" s="6" t="s">
        <v>178</v>
      </c>
    </row>
    <row r="544" ht="22.5" customHeight="1">
      <c r="A544" s="6" t="s">
        <v>3505</v>
      </c>
      <c r="B544" s="6" t="s">
        <v>2084</v>
      </c>
      <c r="C544" s="10">
        <v>46057.0</v>
      </c>
      <c r="D544" s="6" t="s">
        <v>416</v>
      </c>
      <c r="E544" s="6" t="s">
        <v>1273</v>
      </c>
      <c r="F544" s="6" t="s">
        <v>283</v>
      </c>
      <c r="G544" s="6" t="s">
        <v>477</v>
      </c>
      <c r="H544" s="11" t="s">
        <v>259</v>
      </c>
      <c r="I544" s="12">
        <v>11.0</v>
      </c>
      <c r="J544" s="6" t="s">
        <v>161</v>
      </c>
    </row>
    <row r="545" ht="22.5" customHeight="1">
      <c r="A545" s="6" t="s">
        <v>3507</v>
      </c>
      <c r="B545" s="6" t="s">
        <v>2084</v>
      </c>
      <c r="C545" s="10">
        <v>46041.0</v>
      </c>
      <c r="D545" s="6" t="s">
        <v>436</v>
      </c>
      <c r="E545" s="6" t="s">
        <v>885</v>
      </c>
      <c r="F545" s="6" t="s">
        <v>249</v>
      </c>
      <c r="G545" s="6" t="s">
        <v>458</v>
      </c>
      <c r="H545" s="10">
        <v>46044.0</v>
      </c>
      <c r="I545" s="12">
        <v>10.0</v>
      </c>
      <c r="J545" s="6" t="s">
        <v>178</v>
      </c>
    </row>
    <row r="546" ht="22.5" customHeight="1">
      <c r="A546" s="6" t="s">
        <v>3512</v>
      </c>
      <c r="B546" s="6" t="s">
        <v>2089</v>
      </c>
      <c r="C546" s="10">
        <v>46067.0</v>
      </c>
      <c r="D546" s="6" t="s">
        <v>416</v>
      </c>
      <c r="E546" s="6" t="s">
        <v>1600</v>
      </c>
      <c r="F546" s="6" t="s">
        <v>249</v>
      </c>
      <c r="G546" s="6" t="s">
        <v>477</v>
      </c>
      <c r="H546" s="10">
        <v>46073.0</v>
      </c>
      <c r="I546" s="12">
        <v>11.0</v>
      </c>
      <c r="J546" s="6" t="s">
        <v>161</v>
      </c>
    </row>
    <row r="547" ht="22.5" customHeight="1">
      <c r="A547" s="6" t="s">
        <v>3517</v>
      </c>
      <c r="B547" s="6" t="s">
        <v>2089</v>
      </c>
      <c r="C547" s="10">
        <v>46079.0</v>
      </c>
      <c r="D547" s="6" t="s">
        <v>391</v>
      </c>
      <c r="E547" s="6" t="s">
        <v>1600</v>
      </c>
      <c r="F547" s="6" t="s">
        <v>112</v>
      </c>
      <c r="G547" s="6" t="s">
        <v>326</v>
      </c>
      <c r="H547" s="11" t="s">
        <v>259</v>
      </c>
      <c r="I547" s="12">
        <v>7.0</v>
      </c>
      <c r="J547" s="6" t="s">
        <v>161</v>
      </c>
    </row>
    <row r="548" ht="22.5" customHeight="1">
      <c r="A548" s="6" t="s">
        <v>3523</v>
      </c>
      <c r="B548" s="6" t="s">
        <v>2089</v>
      </c>
      <c r="C548" s="10">
        <v>46069.0</v>
      </c>
      <c r="D548" s="6" t="s">
        <v>391</v>
      </c>
      <c r="E548" s="6" t="s">
        <v>896</v>
      </c>
      <c r="F548" s="6" t="s">
        <v>283</v>
      </c>
      <c r="G548" s="6" t="s">
        <v>254</v>
      </c>
      <c r="H548" s="10">
        <v>46075.0</v>
      </c>
      <c r="I548" s="12">
        <v>10.0</v>
      </c>
      <c r="J548" s="6" t="s">
        <v>161</v>
      </c>
    </row>
    <row r="549" ht="22.5" customHeight="1">
      <c r="A549" s="6" t="s">
        <v>3529</v>
      </c>
      <c r="B549" s="6" t="s">
        <v>2089</v>
      </c>
      <c r="C549" s="10">
        <v>46077.0</v>
      </c>
      <c r="D549" s="6" t="s">
        <v>289</v>
      </c>
      <c r="E549" s="6" t="s">
        <v>610</v>
      </c>
      <c r="F549" s="6" t="s">
        <v>283</v>
      </c>
      <c r="G549" s="6" t="s">
        <v>458</v>
      </c>
      <c r="H549" s="10">
        <v>46083.0</v>
      </c>
      <c r="I549" s="12">
        <v>7.0</v>
      </c>
      <c r="J549" s="6" t="s">
        <v>161</v>
      </c>
    </row>
    <row r="550" ht="22.5" customHeight="1">
      <c r="A550" s="6" t="s">
        <v>3535</v>
      </c>
      <c r="B550" s="6" t="s">
        <v>2089</v>
      </c>
      <c r="C550" s="10">
        <v>46068.0</v>
      </c>
      <c r="D550" s="6" t="s">
        <v>391</v>
      </c>
      <c r="E550" s="6" t="s">
        <v>1280</v>
      </c>
      <c r="F550" s="6" t="s">
        <v>249</v>
      </c>
      <c r="G550" s="6" t="s">
        <v>369</v>
      </c>
      <c r="H550" s="10">
        <v>46072.0</v>
      </c>
      <c r="I550" s="12">
        <v>6.0</v>
      </c>
      <c r="J550" s="6" t="s">
        <v>161</v>
      </c>
    </row>
    <row r="551" ht="22.5" customHeight="1">
      <c r="A551" s="6" t="s">
        <v>3541</v>
      </c>
      <c r="B551" s="6" t="s">
        <v>2096</v>
      </c>
      <c r="C551" s="10">
        <v>46073.0</v>
      </c>
      <c r="D551" s="6" t="s">
        <v>242</v>
      </c>
      <c r="E551" s="6" t="s">
        <v>1280</v>
      </c>
      <c r="F551" s="6" t="s">
        <v>439</v>
      </c>
      <c r="G551" s="6" t="s">
        <v>326</v>
      </c>
      <c r="H551" s="10">
        <v>46073.0</v>
      </c>
      <c r="I551" s="12">
        <v>3.0</v>
      </c>
      <c r="J551" s="6" t="s">
        <v>161</v>
      </c>
    </row>
    <row r="552" ht="22.5" customHeight="1">
      <c r="A552" s="6" t="s">
        <v>3547</v>
      </c>
      <c r="B552" s="6" t="s">
        <v>2096</v>
      </c>
      <c r="C552" s="10">
        <v>46064.0</v>
      </c>
      <c r="D552" s="6" t="s">
        <v>242</v>
      </c>
      <c r="E552" s="6" t="s">
        <v>1517</v>
      </c>
      <c r="F552" s="6" t="s">
        <v>283</v>
      </c>
      <c r="G552" s="6" t="s">
        <v>452</v>
      </c>
      <c r="H552" s="10">
        <v>46070.0</v>
      </c>
      <c r="I552" s="12">
        <v>3.0</v>
      </c>
      <c r="J552" s="6" t="s">
        <v>161</v>
      </c>
    </row>
    <row r="553" ht="22.5" customHeight="1">
      <c r="A553" s="6" t="s">
        <v>3550</v>
      </c>
      <c r="B553" s="6" t="s">
        <v>2096</v>
      </c>
      <c r="C553" s="10">
        <v>46082.0</v>
      </c>
      <c r="D553" s="6" t="s">
        <v>391</v>
      </c>
      <c r="E553" s="6" t="s">
        <v>798</v>
      </c>
      <c r="F553" s="6" t="s">
        <v>249</v>
      </c>
      <c r="G553" s="6" t="s">
        <v>494</v>
      </c>
      <c r="H553" s="10">
        <v>46084.0</v>
      </c>
      <c r="I553" s="12">
        <v>10.0</v>
      </c>
      <c r="J553" s="6" t="s">
        <v>161</v>
      </c>
    </row>
    <row r="554" ht="22.5" customHeight="1">
      <c r="A554" s="6" t="s">
        <v>3554</v>
      </c>
      <c r="B554" s="6" t="s">
        <v>2096</v>
      </c>
      <c r="C554" s="10">
        <v>46078.0</v>
      </c>
      <c r="D554" s="6" t="s">
        <v>242</v>
      </c>
      <c r="E554" s="6" t="s">
        <v>566</v>
      </c>
      <c r="F554" s="6" t="s">
        <v>439</v>
      </c>
      <c r="G554" s="6" t="s">
        <v>477</v>
      </c>
      <c r="H554" s="10">
        <v>46079.0</v>
      </c>
      <c r="I554" s="12">
        <v>4.0</v>
      </c>
      <c r="J554" s="6" t="s">
        <v>178</v>
      </c>
    </row>
    <row r="555" ht="22.5" customHeight="1">
      <c r="A555" s="6" t="s">
        <v>3557</v>
      </c>
      <c r="B555" s="6" t="s">
        <v>2096</v>
      </c>
      <c r="C555" s="10">
        <v>46069.0</v>
      </c>
      <c r="D555" s="6" t="s">
        <v>436</v>
      </c>
      <c r="E555" s="6" t="s">
        <v>450</v>
      </c>
      <c r="F555" s="6" t="s">
        <v>112</v>
      </c>
      <c r="G555" s="6" t="s">
        <v>297</v>
      </c>
      <c r="H555" s="10">
        <v>46076.0</v>
      </c>
      <c r="I555" s="12">
        <v>10.0</v>
      </c>
      <c r="J555" s="6" t="s">
        <v>161</v>
      </c>
    </row>
    <row r="556" ht="22.5" customHeight="1">
      <c r="A556" s="6" t="s">
        <v>3561</v>
      </c>
      <c r="B556" s="6" t="s">
        <v>2102</v>
      </c>
      <c r="C556" s="10">
        <v>46040.0</v>
      </c>
      <c r="D556" s="6" t="s">
        <v>391</v>
      </c>
      <c r="E556" s="6" t="s">
        <v>731</v>
      </c>
      <c r="F556" s="6" t="s">
        <v>249</v>
      </c>
      <c r="G556" s="6" t="s">
        <v>458</v>
      </c>
      <c r="H556" s="10">
        <v>46046.0</v>
      </c>
      <c r="I556" s="12">
        <v>6.0</v>
      </c>
      <c r="J556" s="6" t="s">
        <v>161</v>
      </c>
    </row>
    <row r="557" ht="22.5" customHeight="1">
      <c r="A557" s="6" t="s">
        <v>3564</v>
      </c>
      <c r="B557" s="6" t="s">
        <v>2102</v>
      </c>
      <c r="C557" s="10">
        <v>46045.0</v>
      </c>
      <c r="D557" s="6" t="s">
        <v>289</v>
      </c>
      <c r="E557" s="6" t="s">
        <v>885</v>
      </c>
      <c r="F557" s="6" t="s">
        <v>112</v>
      </c>
      <c r="G557" s="6" t="s">
        <v>494</v>
      </c>
      <c r="H557" s="10">
        <v>46050.0</v>
      </c>
      <c r="I557" s="12">
        <v>8.0</v>
      </c>
      <c r="J557" s="6" t="s">
        <v>161</v>
      </c>
    </row>
    <row r="558" ht="22.5" customHeight="1">
      <c r="A558" s="6" t="s">
        <v>3568</v>
      </c>
      <c r="B558" s="6" t="s">
        <v>2108</v>
      </c>
      <c r="C558" s="10">
        <v>46036.0</v>
      </c>
      <c r="D558" s="6" t="s">
        <v>436</v>
      </c>
      <c r="E558" s="6" t="s">
        <v>450</v>
      </c>
      <c r="F558" s="6" t="s">
        <v>249</v>
      </c>
      <c r="G558" s="6" t="s">
        <v>477</v>
      </c>
      <c r="H558" s="11" t="s">
        <v>259</v>
      </c>
      <c r="I558" s="12">
        <v>12.0</v>
      </c>
      <c r="J558" s="6" t="s">
        <v>178</v>
      </c>
    </row>
    <row r="559" ht="22.5" customHeight="1">
      <c r="A559" s="6" t="s">
        <v>3571</v>
      </c>
      <c r="B559" s="6" t="s">
        <v>2113</v>
      </c>
      <c r="C559" s="10">
        <v>46048.0</v>
      </c>
      <c r="D559" s="6" t="s">
        <v>436</v>
      </c>
      <c r="E559" s="6" t="s">
        <v>738</v>
      </c>
      <c r="F559" s="6" t="s">
        <v>112</v>
      </c>
      <c r="G559" s="6" t="s">
        <v>458</v>
      </c>
      <c r="H559" s="10">
        <v>46048.0</v>
      </c>
      <c r="I559" s="12">
        <v>10.0</v>
      </c>
      <c r="J559" s="6" t="s">
        <v>161</v>
      </c>
    </row>
    <row r="560" ht="22.5" customHeight="1">
      <c r="A560" s="6" t="s">
        <v>3575</v>
      </c>
      <c r="B560" s="6" t="s">
        <v>2113</v>
      </c>
      <c r="C560" s="10">
        <v>46043.0</v>
      </c>
      <c r="D560" s="6" t="s">
        <v>416</v>
      </c>
      <c r="E560" s="6" t="s">
        <v>634</v>
      </c>
      <c r="F560" s="6" t="s">
        <v>249</v>
      </c>
      <c r="G560" s="6" t="s">
        <v>369</v>
      </c>
      <c r="H560" s="10">
        <v>46043.0</v>
      </c>
      <c r="I560" s="12">
        <v>9.0</v>
      </c>
      <c r="J560" s="6" t="s">
        <v>161</v>
      </c>
    </row>
    <row r="561" ht="22.5" customHeight="1">
      <c r="A561" s="6" t="s">
        <v>3581</v>
      </c>
      <c r="B561" s="6" t="s">
        <v>2120</v>
      </c>
      <c r="C561" s="10">
        <v>46056.0</v>
      </c>
      <c r="D561" s="6" t="s">
        <v>436</v>
      </c>
      <c r="E561" s="6" t="s">
        <v>1570</v>
      </c>
      <c r="F561" s="6" t="s">
        <v>249</v>
      </c>
      <c r="G561" s="6" t="s">
        <v>297</v>
      </c>
      <c r="H561" s="10">
        <v>46062.0</v>
      </c>
      <c r="I561" s="12">
        <v>11.0</v>
      </c>
      <c r="J561" s="6" t="s">
        <v>161</v>
      </c>
    </row>
    <row r="562" ht="22.5" customHeight="1">
      <c r="A562" s="6" t="s">
        <v>3582</v>
      </c>
      <c r="B562" s="6" t="s">
        <v>2120</v>
      </c>
      <c r="C562" s="10">
        <v>46068.0</v>
      </c>
      <c r="D562" s="6" t="s">
        <v>391</v>
      </c>
      <c r="E562" s="6" t="s">
        <v>885</v>
      </c>
      <c r="F562" s="6" t="s">
        <v>283</v>
      </c>
      <c r="G562" s="6" t="s">
        <v>452</v>
      </c>
      <c r="H562" s="10">
        <v>46069.0</v>
      </c>
      <c r="I562" s="12">
        <v>9.0</v>
      </c>
      <c r="J562" s="6" t="s">
        <v>161</v>
      </c>
    </row>
    <row r="563" ht="22.5" customHeight="1">
      <c r="A563" s="6" t="s">
        <v>3587</v>
      </c>
      <c r="B563" s="6" t="s">
        <v>2126</v>
      </c>
      <c r="C563" s="10">
        <v>46049.0</v>
      </c>
      <c r="D563" s="6" t="s">
        <v>289</v>
      </c>
      <c r="E563" s="6" t="s">
        <v>466</v>
      </c>
      <c r="F563" s="6" t="s">
        <v>283</v>
      </c>
      <c r="G563" s="6" t="s">
        <v>254</v>
      </c>
      <c r="H563" s="10">
        <v>46051.0</v>
      </c>
      <c r="I563" s="12">
        <v>6.0</v>
      </c>
      <c r="J563" s="6" t="s">
        <v>161</v>
      </c>
    </row>
    <row r="564" ht="22.5" customHeight="1">
      <c r="A564" s="6" t="s">
        <v>3591</v>
      </c>
      <c r="B564" s="6" t="s">
        <v>2132</v>
      </c>
      <c r="C564" s="10">
        <v>46053.0</v>
      </c>
      <c r="D564" s="6" t="s">
        <v>677</v>
      </c>
      <c r="E564" s="6" t="s">
        <v>695</v>
      </c>
      <c r="F564" s="6" t="s">
        <v>249</v>
      </c>
      <c r="G564" s="6" t="s">
        <v>494</v>
      </c>
      <c r="H564" s="10">
        <v>46055.0</v>
      </c>
      <c r="I564" s="12">
        <v>2.0</v>
      </c>
      <c r="J564" s="6" t="s">
        <v>161</v>
      </c>
    </row>
    <row r="565" ht="22.5" customHeight="1">
      <c r="A565" s="6" t="s">
        <v>3596</v>
      </c>
      <c r="B565" s="6" t="s">
        <v>2132</v>
      </c>
      <c r="C565" s="10">
        <v>46034.0</v>
      </c>
      <c r="D565" s="6" t="s">
        <v>436</v>
      </c>
      <c r="E565" s="6" t="s">
        <v>687</v>
      </c>
      <c r="F565" s="6" t="s">
        <v>439</v>
      </c>
      <c r="G565" s="6" t="s">
        <v>494</v>
      </c>
      <c r="H565" s="10">
        <v>46035.0</v>
      </c>
      <c r="I565" s="12">
        <v>8.0</v>
      </c>
      <c r="J565" s="6" t="s">
        <v>178</v>
      </c>
    </row>
    <row r="566" ht="22.5" customHeight="1">
      <c r="A566" s="6" t="s">
        <v>3601</v>
      </c>
      <c r="B566" s="6" t="s">
        <v>2132</v>
      </c>
      <c r="C566" s="10">
        <v>46047.0</v>
      </c>
      <c r="D566" s="6" t="s">
        <v>289</v>
      </c>
      <c r="E566" s="6" t="s">
        <v>1055</v>
      </c>
      <c r="F566" s="6" t="s">
        <v>112</v>
      </c>
      <c r="G566" s="6" t="s">
        <v>326</v>
      </c>
      <c r="H566" s="10">
        <v>46049.0</v>
      </c>
      <c r="I566" s="12">
        <v>10.0</v>
      </c>
      <c r="J566" s="6" t="s">
        <v>161</v>
      </c>
    </row>
    <row r="567" ht="22.5" customHeight="1">
      <c r="A567" s="6" t="s">
        <v>3604</v>
      </c>
      <c r="B567" s="6" t="s">
        <v>2138</v>
      </c>
      <c r="C567" s="10">
        <v>46043.0</v>
      </c>
      <c r="D567" s="6" t="s">
        <v>391</v>
      </c>
      <c r="E567" s="6" t="s">
        <v>833</v>
      </c>
      <c r="F567" s="6" t="s">
        <v>439</v>
      </c>
      <c r="G567" s="6" t="s">
        <v>369</v>
      </c>
      <c r="H567" s="10">
        <v>46050.0</v>
      </c>
      <c r="I567" s="12">
        <v>9.0</v>
      </c>
      <c r="J567" s="6" t="s">
        <v>161</v>
      </c>
    </row>
    <row r="568" ht="22.5" customHeight="1">
      <c r="A568" s="6" t="s">
        <v>3609</v>
      </c>
      <c r="B568" s="6" t="s">
        <v>2138</v>
      </c>
      <c r="C568" s="10">
        <v>46034.0</v>
      </c>
      <c r="D568" s="6" t="s">
        <v>312</v>
      </c>
      <c r="E568" s="6" t="s">
        <v>1546</v>
      </c>
      <c r="F568" s="6" t="s">
        <v>249</v>
      </c>
      <c r="G568" s="6" t="s">
        <v>477</v>
      </c>
      <c r="H568" s="10">
        <v>46039.0</v>
      </c>
      <c r="I568" s="12">
        <v>6.0</v>
      </c>
      <c r="J568" s="6" t="s">
        <v>161</v>
      </c>
    </row>
    <row r="569" ht="22.5" customHeight="1">
      <c r="A569" s="6" t="s">
        <v>3614</v>
      </c>
      <c r="B569" s="6" t="s">
        <v>2144</v>
      </c>
      <c r="C569" s="10">
        <v>46042.0</v>
      </c>
      <c r="D569" s="6" t="s">
        <v>436</v>
      </c>
      <c r="E569" s="6" t="s">
        <v>466</v>
      </c>
      <c r="F569" s="6" t="s">
        <v>283</v>
      </c>
      <c r="G569" s="6" t="s">
        <v>458</v>
      </c>
      <c r="H569" s="11" t="s">
        <v>259</v>
      </c>
      <c r="I569" s="12">
        <v>12.0</v>
      </c>
      <c r="J569" s="6" t="s">
        <v>178</v>
      </c>
    </row>
    <row r="570" ht="22.5" customHeight="1">
      <c r="A570" s="6" t="s">
        <v>3617</v>
      </c>
      <c r="B570" s="6" t="s">
        <v>2144</v>
      </c>
      <c r="C570" s="10">
        <v>46046.0</v>
      </c>
      <c r="D570" s="6" t="s">
        <v>391</v>
      </c>
      <c r="E570" s="6" t="s">
        <v>1386</v>
      </c>
      <c r="F570" s="6" t="s">
        <v>112</v>
      </c>
      <c r="G570" s="6" t="s">
        <v>326</v>
      </c>
      <c r="H570" s="10">
        <v>46048.0</v>
      </c>
      <c r="I570" s="12">
        <v>9.0</v>
      </c>
      <c r="J570" s="6" t="s">
        <v>161</v>
      </c>
    </row>
    <row r="571" ht="22.5" customHeight="1">
      <c r="A571" s="6" t="s">
        <v>3622</v>
      </c>
      <c r="B571" s="6" t="s">
        <v>2144</v>
      </c>
      <c r="C571" s="10">
        <v>46051.0</v>
      </c>
      <c r="D571" s="6" t="s">
        <v>416</v>
      </c>
      <c r="E571" s="6" t="s">
        <v>1122</v>
      </c>
      <c r="F571" s="6" t="s">
        <v>249</v>
      </c>
      <c r="G571" s="6" t="s">
        <v>494</v>
      </c>
      <c r="H571" s="10">
        <v>46056.0</v>
      </c>
      <c r="I571" s="12">
        <v>14.0</v>
      </c>
      <c r="J571" s="6" t="s">
        <v>161</v>
      </c>
    </row>
    <row r="572" ht="22.5" customHeight="1">
      <c r="A572" s="6" t="s">
        <v>3631</v>
      </c>
      <c r="B572" s="6" t="s">
        <v>2144</v>
      </c>
      <c r="C572" s="10">
        <v>46054.0</v>
      </c>
      <c r="D572" s="6" t="s">
        <v>242</v>
      </c>
      <c r="E572" s="6" t="s">
        <v>438</v>
      </c>
      <c r="F572" s="6" t="s">
        <v>112</v>
      </c>
      <c r="G572" s="6" t="s">
        <v>494</v>
      </c>
      <c r="H572" s="10">
        <v>46055.0</v>
      </c>
      <c r="I572" s="12">
        <v>4.0</v>
      </c>
      <c r="J572" s="6" t="s">
        <v>161</v>
      </c>
    </row>
    <row r="573" ht="22.5" customHeight="1">
      <c r="A573" s="6" t="s">
        <v>3635</v>
      </c>
      <c r="B573" s="6" t="s">
        <v>2144</v>
      </c>
      <c r="C573" s="10">
        <v>46046.0</v>
      </c>
      <c r="D573" s="6" t="s">
        <v>677</v>
      </c>
      <c r="E573" s="6" t="s">
        <v>1386</v>
      </c>
      <c r="F573" s="6" t="s">
        <v>112</v>
      </c>
      <c r="G573" s="6" t="s">
        <v>494</v>
      </c>
      <c r="H573" s="10">
        <v>46053.0</v>
      </c>
      <c r="I573" s="12">
        <v>4.0</v>
      </c>
      <c r="J573" s="6" t="s">
        <v>161</v>
      </c>
    </row>
    <row r="574" ht="22.5" customHeight="1">
      <c r="A574" s="6" t="s">
        <v>3639</v>
      </c>
      <c r="B574" s="6" t="s">
        <v>2150</v>
      </c>
      <c r="C574" s="10">
        <v>46056.0</v>
      </c>
      <c r="D574" s="6" t="s">
        <v>289</v>
      </c>
      <c r="E574" s="6" t="s">
        <v>610</v>
      </c>
      <c r="F574" s="6" t="s">
        <v>439</v>
      </c>
      <c r="G574" s="6" t="s">
        <v>254</v>
      </c>
      <c r="H574" s="10">
        <v>46058.0</v>
      </c>
      <c r="I574" s="12">
        <v>7.0</v>
      </c>
      <c r="J574" s="6" t="s">
        <v>161</v>
      </c>
    </row>
    <row r="575" ht="22.5" customHeight="1">
      <c r="A575" s="6" t="s">
        <v>3642</v>
      </c>
      <c r="B575" s="6" t="s">
        <v>2150</v>
      </c>
      <c r="C575" s="10">
        <v>46060.0</v>
      </c>
      <c r="D575" s="6" t="s">
        <v>289</v>
      </c>
      <c r="E575" s="6" t="s">
        <v>628</v>
      </c>
      <c r="F575" s="6" t="s">
        <v>249</v>
      </c>
      <c r="G575" s="6" t="s">
        <v>494</v>
      </c>
      <c r="H575" s="10">
        <v>46062.0</v>
      </c>
      <c r="I575" s="12">
        <v>8.0</v>
      </c>
      <c r="J575" s="6" t="s">
        <v>161</v>
      </c>
    </row>
    <row r="576" ht="22.5" customHeight="1">
      <c r="A576" s="6" t="s">
        <v>3646</v>
      </c>
      <c r="B576" s="6" t="s">
        <v>2157</v>
      </c>
      <c r="C576" s="10">
        <v>46055.0</v>
      </c>
      <c r="D576" s="6" t="s">
        <v>312</v>
      </c>
      <c r="E576" s="6" t="s">
        <v>291</v>
      </c>
      <c r="F576" s="6" t="s">
        <v>112</v>
      </c>
      <c r="G576" s="6" t="s">
        <v>452</v>
      </c>
      <c r="H576" s="10">
        <v>46058.0</v>
      </c>
      <c r="I576" s="12">
        <v>4.0</v>
      </c>
      <c r="J576" s="6" t="s">
        <v>161</v>
      </c>
    </row>
    <row r="577" ht="22.5" customHeight="1">
      <c r="A577" s="6" t="s">
        <v>3652</v>
      </c>
      <c r="B577" s="6" t="s">
        <v>2163</v>
      </c>
      <c r="C577" s="10">
        <v>46053.0</v>
      </c>
      <c r="D577" s="6" t="s">
        <v>289</v>
      </c>
      <c r="E577" s="6" t="s">
        <v>687</v>
      </c>
      <c r="F577" s="6" t="s">
        <v>439</v>
      </c>
      <c r="G577" s="6" t="s">
        <v>326</v>
      </c>
      <c r="H577" s="11" t="s">
        <v>259</v>
      </c>
      <c r="I577" s="12">
        <v>5.0</v>
      </c>
      <c r="J577" s="6" t="s">
        <v>161</v>
      </c>
    </row>
    <row r="578" ht="22.5" customHeight="1">
      <c r="A578" s="6" t="s">
        <v>3655</v>
      </c>
      <c r="B578" s="6" t="s">
        <v>2163</v>
      </c>
      <c r="C578" s="10">
        <v>46036.0</v>
      </c>
      <c r="D578" s="6" t="s">
        <v>289</v>
      </c>
      <c r="E578" s="6" t="s">
        <v>438</v>
      </c>
      <c r="F578" s="6" t="s">
        <v>249</v>
      </c>
      <c r="G578" s="6" t="s">
        <v>326</v>
      </c>
      <c r="H578" s="10">
        <v>46042.0</v>
      </c>
      <c r="I578" s="12">
        <v>7.0</v>
      </c>
      <c r="J578" s="6" t="s">
        <v>161</v>
      </c>
    </row>
    <row r="579" ht="22.5" customHeight="1">
      <c r="A579" s="6" t="s">
        <v>3659</v>
      </c>
      <c r="B579" s="6" t="s">
        <v>2163</v>
      </c>
      <c r="C579" s="10">
        <v>46033.0</v>
      </c>
      <c r="D579" s="6" t="s">
        <v>242</v>
      </c>
      <c r="E579" s="6" t="s">
        <v>618</v>
      </c>
      <c r="F579" s="6" t="s">
        <v>249</v>
      </c>
      <c r="G579" s="6" t="s">
        <v>369</v>
      </c>
      <c r="H579" s="10">
        <v>46036.0</v>
      </c>
      <c r="I579" s="12">
        <v>4.0</v>
      </c>
      <c r="J579" s="6" t="s">
        <v>178</v>
      </c>
    </row>
    <row r="580" ht="22.5" customHeight="1">
      <c r="A580" s="6" t="s">
        <v>3664</v>
      </c>
      <c r="B580" s="6" t="s">
        <v>2169</v>
      </c>
      <c r="C580" s="10">
        <v>46082.0</v>
      </c>
      <c r="D580" s="6" t="s">
        <v>242</v>
      </c>
      <c r="E580" s="6" t="s">
        <v>863</v>
      </c>
      <c r="F580" s="6" t="s">
        <v>112</v>
      </c>
      <c r="G580" s="6" t="s">
        <v>254</v>
      </c>
      <c r="H580" s="10">
        <v>46085.0</v>
      </c>
      <c r="I580" s="12">
        <v>6.0</v>
      </c>
      <c r="J580" s="6" t="s">
        <v>161</v>
      </c>
    </row>
    <row r="581" ht="22.5" customHeight="1">
      <c r="A581" s="6" t="s">
        <v>3668</v>
      </c>
      <c r="B581" s="6" t="s">
        <v>2169</v>
      </c>
      <c r="C581" s="10">
        <v>46076.0</v>
      </c>
      <c r="D581" s="6" t="s">
        <v>289</v>
      </c>
      <c r="E581" s="6" t="s">
        <v>1626</v>
      </c>
      <c r="F581" s="6" t="s">
        <v>283</v>
      </c>
      <c r="G581" s="6" t="s">
        <v>297</v>
      </c>
      <c r="H581" s="10">
        <v>46076.0</v>
      </c>
      <c r="I581" s="12">
        <v>7.0</v>
      </c>
      <c r="J581" s="6" t="s">
        <v>161</v>
      </c>
    </row>
    <row r="582" ht="22.5" customHeight="1">
      <c r="A582" s="6" t="s">
        <v>3672</v>
      </c>
      <c r="B582" s="6" t="s">
        <v>2169</v>
      </c>
      <c r="C582" s="10">
        <v>46067.0</v>
      </c>
      <c r="D582" s="6" t="s">
        <v>312</v>
      </c>
      <c r="E582" s="6" t="s">
        <v>775</v>
      </c>
      <c r="F582" s="6" t="s">
        <v>439</v>
      </c>
      <c r="G582" s="6" t="s">
        <v>254</v>
      </c>
      <c r="H582" s="11" t="s">
        <v>259</v>
      </c>
      <c r="I582" s="12">
        <v>5.0</v>
      </c>
      <c r="J582" s="6" t="s">
        <v>161</v>
      </c>
    </row>
    <row r="583" ht="22.5" customHeight="1">
      <c r="A583" s="6" t="s">
        <v>3678</v>
      </c>
      <c r="B583" s="6" t="s">
        <v>2169</v>
      </c>
      <c r="C583" s="10">
        <v>46081.0</v>
      </c>
      <c r="D583" s="6" t="s">
        <v>391</v>
      </c>
      <c r="E583" s="6" t="s">
        <v>670</v>
      </c>
      <c r="F583" s="6" t="s">
        <v>283</v>
      </c>
      <c r="G583" s="6" t="s">
        <v>254</v>
      </c>
      <c r="H583" s="10">
        <v>46082.0</v>
      </c>
      <c r="I583" s="12">
        <v>6.0</v>
      </c>
      <c r="J583" s="6" t="s">
        <v>161</v>
      </c>
    </row>
    <row r="584" ht="22.5" customHeight="1">
      <c r="A584" s="6" t="s">
        <v>3682</v>
      </c>
      <c r="B584" s="6" t="s">
        <v>2175</v>
      </c>
      <c r="C584" s="10">
        <v>46058.0</v>
      </c>
      <c r="D584" s="6" t="s">
        <v>436</v>
      </c>
      <c r="E584" s="6" t="s">
        <v>704</v>
      </c>
      <c r="F584" s="6" t="s">
        <v>249</v>
      </c>
      <c r="G584" s="6" t="s">
        <v>458</v>
      </c>
      <c r="H584" s="10">
        <v>46062.0</v>
      </c>
      <c r="I584" s="12">
        <v>10.0</v>
      </c>
      <c r="J584" s="6" t="s">
        <v>178</v>
      </c>
    </row>
    <row r="585" ht="22.5" customHeight="1">
      <c r="A585" s="6" t="s">
        <v>3687</v>
      </c>
      <c r="B585" s="6" t="s">
        <v>2182</v>
      </c>
      <c r="C585" s="10">
        <v>46055.0</v>
      </c>
      <c r="D585" s="6" t="s">
        <v>677</v>
      </c>
      <c r="E585" s="6" t="s">
        <v>610</v>
      </c>
      <c r="F585" s="6" t="s">
        <v>112</v>
      </c>
      <c r="G585" s="6" t="s">
        <v>494</v>
      </c>
      <c r="H585" s="10">
        <v>46060.0</v>
      </c>
      <c r="I585" s="12">
        <v>3.0</v>
      </c>
      <c r="J585" s="6" t="s">
        <v>161</v>
      </c>
    </row>
    <row r="586" ht="22.5" customHeight="1">
      <c r="A586" s="6" t="s">
        <v>3692</v>
      </c>
      <c r="B586" s="6" t="s">
        <v>2182</v>
      </c>
      <c r="C586" s="10">
        <v>46049.0</v>
      </c>
      <c r="D586" s="6" t="s">
        <v>677</v>
      </c>
      <c r="E586" s="6" t="s">
        <v>438</v>
      </c>
      <c r="F586" s="6" t="s">
        <v>249</v>
      </c>
      <c r="G586" s="6" t="s">
        <v>458</v>
      </c>
      <c r="H586" s="10">
        <v>46055.0</v>
      </c>
      <c r="I586" s="12">
        <v>2.0</v>
      </c>
      <c r="J586" s="6" t="s">
        <v>161</v>
      </c>
    </row>
    <row r="587" ht="22.5" customHeight="1">
      <c r="A587" s="6" t="s">
        <v>3698</v>
      </c>
      <c r="B587" s="6" t="s">
        <v>2182</v>
      </c>
      <c r="C587" s="10">
        <v>46056.0</v>
      </c>
      <c r="D587" s="6" t="s">
        <v>391</v>
      </c>
      <c r="E587" s="6" t="s">
        <v>1273</v>
      </c>
      <c r="F587" s="6" t="s">
        <v>112</v>
      </c>
      <c r="G587" s="6" t="s">
        <v>458</v>
      </c>
      <c r="H587" s="10">
        <v>46062.0</v>
      </c>
      <c r="I587" s="12">
        <v>10.0</v>
      </c>
      <c r="J587" s="6" t="s">
        <v>161</v>
      </c>
    </row>
    <row r="588" ht="22.5" customHeight="1">
      <c r="A588" s="6" t="s">
        <v>3703</v>
      </c>
      <c r="B588" s="6" t="s">
        <v>2188</v>
      </c>
      <c r="C588" s="10">
        <v>46079.0</v>
      </c>
      <c r="D588" s="6" t="s">
        <v>436</v>
      </c>
      <c r="E588" s="6" t="s">
        <v>863</v>
      </c>
      <c r="F588" s="6" t="s">
        <v>439</v>
      </c>
      <c r="G588" s="6" t="s">
        <v>369</v>
      </c>
      <c r="H588" s="10">
        <v>46079.0</v>
      </c>
      <c r="I588" s="12">
        <v>11.0</v>
      </c>
      <c r="J588" s="6" t="s">
        <v>178</v>
      </c>
    </row>
    <row r="589" ht="22.5" customHeight="1">
      <c r="A589" s="6" t="s">
        <v>3709</v>
      </c>
      <c r="B589" s="6" t="s">
        <v>2188</v>
      </c>
      <c r="C589" s="10">
        <v>46079.0</v>
      </c>
      <c r="D589" s="6" t="s">
        <v>289</v>
      </c>
      <c r="E589" s="6" t="s">
        <v>695</v>
      </c>
      <c r="F589" s="6" t="s">
        <v>439</v>
      </c>
      <c r="G589" s="6" t="s">
        <v>326</v>
      </c>
      <c r="H589" s="10">
        <v>46081.0</v>
      </c>
      <c r="I589" s="12">
        <v>7.0</v>
      </c>
      <c r="J589" s="6" t="s">
        <v>161</v>
      </c>
    </row>
    <row r="590" ht="22.5" customHeight="1">
      <c r="A590" s="6" t="s">
        <v>3715</v>
      </c>
      <c r="B590" s="6" t="s">
        <v>2188</v>
      </c>
      <c r="C590" s="10">
        <v>46082.0</v>
      </c>
      <c r="D590" s="6" t="s">
        <v>677</v>
      </c>
      <c r="E590" s="6" t="s">
        <v>512</v>
      </c>
      <c r="F590" s="6" t="s">
        <v>249</v>
      </c>
      <c r="G590" s="6" t="s">
        <v>369</v>
      </c>
      <c r="H590" s="10">
        <v>46088.0</v>
      </c>
      <c r="I590" s="12">
        <v>3.0</v>
      </c>
      <c r="J590" s="6" t="s">
        <v>161</v>
      </c>
    </row>
    <row r="591" ht="22.5" customHeight="1">
      <c r="A591" s="6" t="s">
        <v>3719</v>
      </c>
      <c r="B591" s="6" t="s">
        <v>2195</v>
      </c>
      <c r="C591" s="10">
        <v>46033.0</v>
      </c>
      <c r="D591" s="6" t="s">
        <v>677</v>
      </c>
      <c r="E591" s="6" t="s">
        <v>1552</v>
      </c>
      <c r="F591" s="6" t="s">
        <v>439</v>
      </c>
      <c r="G591" s="6" t="s">
        <v>254</v>
      </c>
      <c r="H591" s="10">
        <v>46037.0</v>
      </c>
      <c r="I591" s="12">
        <v>4.0</v>
      </c>
      <c r="J591" s="6" t="s">
        <v>161</v>
      </c>
    </row>
    <row r="592" ht="22.5" customHeight="1">
      <c r="A592" s="6" t="s">
        <v>3723</v>
      </c>
      <c r="B592" s="6" t="s">
        <v>2195</v>
      </c>
      <c r="C592" s="10">
        <v>46042.0</v>
      </c>
      <c r="D592" s="6" t="s">
        <v>289</v>
      </c>
      <c r="E592" s="6" t="s">
        <v>1310</v>
      </c>
      <c r="F592" s="6" t="s">
        <v>439</v>
      </c>
      <c r="G592" s="6" t="s">
        <v>297</v>
      </c>
      <c r="H592" s="10">
        <v>46045.0</v>
      </c>
      <c r="I592" s="12">
        <v>7.0</v>
      </c>
      <c r="J592" s="6" t="s">
        <v>161</v>
      </c>
    </row>
    <row r="593" ht="22.5" customHeight="1">
      <c r="A593" s="6" t="s">
        <v>3729</v>
      </c>
      <c r="B593" s="6" t="s">
        <v>2195</v>
      </c>
      <c r="C593" s="10">
        <v>46031.0</v>
      </c>
      <c r="D593" s="6" t="s">
        <v>436</v>
      </c>
      <c r="E593" s="6" t="s">
        <v>583</v>
      </c>
      <c r="F593" s="6" t="s">
        <v>283</v>
      </c>
      <c r="G593" s="6" t="s">
        <v>326</v>
      </c>
      <c r="H593" s="10">
        <v>46035.0</v>
      </c>
      <c r="I593" s="12">
        <v>8.0</v>
      </c>
      <c r="J593" s="6" t="s">
        <v>161</v>
      </c>
    </row>
    <row r="594" ht="22.5" customHeight="1">
      <c r="A594" s="6" t="s">
        <v>3733</v>
      </c>
      <c r="B594" s="6" t="s">
        <v>2195</v>
      </c>
      <c r="C594" s="10">
        <v>46047.0</v>
      </c>
      <c r="D594" s="6" t="s">
        <v>391</v>
      </c>
      <c r="E594" s="6" t="s">
        <v>475</v>
      </c>
      <c r="F594" s="6" t="s">
        <v>249</v>
      </c>
      <c r="G594" s="6" t="s">
        <v>297</v>
      </c>
      <c r="H594" s="11" t="s">
        <v>259</v>
      </c>
      <c r="I594" s="12">
        <v>6.0</v>
      </c>
      <c r="J594" s="6" t="s">
        <v>161</v>
      </c>
    </row>
    <row r="595" ht="22.5" customHeight="1">
      <c r="A595" s="6" t="s">
        <v>3739</v>
      </c>
      <c r="B595" s="6" t="s">
        <v>2195</v>
      </c>
      <c r="C595" s="10">
        <v>46041.0</v>
      </c>
      <c r="D595" s="6" t="s">
        <v>242</v>
      </c>
      <c r="E595" s="6" t="s">
        <v>658</v>
      </c>
      <c r="F595" s="6" t="s">
        <v>283</v>
      </c>
      <c r="G595" s="6" t="s">
        <v>477</v>
      </c>
      <c r="H595" s="10">
        <v>46044.0</v>
      </c>
      <c r="I595" s="12">
        <v>3.0</v>
      </c>
      <c r="J595" s="6" t="s">
        <v>178</v>
      </c>
    </row>
    <row r="596" ht="22.5" customHeight="1">
      <c r="A596" s="6" t="s">
        <v>3744</v>
      </c>
      <c r="B596" s="6" t="s">
        <v>2201</v>
      </c>
      <c r="C596" s="10">
        <v>46061.0</v>
      </c>
      <c r="D596" s="6" t="s">
        <v>677</v>
      </c>
      <c r="E596" s="6" t="s">
        <v>1741</v>
      </c>
      <c r="F596" s="6" t="s">
        <v>439</v>
      </c>
      <c r="G596" s="6" t="s">
        <v>494</v>
      </c>
      <c r="H596" s="10">
        <v>46065.0</v>
      </c>
      <c r="I596" s="12">
        <v>4.0</v>
      </c>
      <c r="J596" s="6" t="s">
        <v>161</v>
      </c>
    </row>
    <row r="597" ht="22.5" customHeight="1">
      <c r="A597" s="6" t="s">
        <v>3747</v>
      </c>
      <c r="B597" s="6" t="s">
        <v>2201</v>
      </c>
      <c r="C597" s="10">
        <v>46075.0</v>
      </c>
      <c r="D597" s="6" t="s">
        <v>391</v>
      </c>
      <c r="E597" s="6" t="s">
        <v>634</v>
      </c>
      <c r="F597" s="6" t="s">
        <v>439</v>
      </c>
      <c r="G597" s="6" t="s">
        <v>494</v>
      </c>
      <c r="H597" s="10">
        <v>46078.0</v>
      </c>
      <c r="I597" s="12">
        <v>9.0</v>
      </c>
      <c r="J597" s="6" t="s">
        <v>161</v>
      </c>
    </row>
    <row r="598" ht="22.5" customHeight="1">
      <c r="A598" s="6" t="s">
        <v>3752</v>
      </c>
      <c r="B598" s="6" t="s">
        <v>2208</v>
      </c>
      <c r="C598" s="10">
        <v>46063.0</v>
      </c>
      <c r="D598" s="6" t="s">
        <v>242</v>
      </c>
      <c r="E598" s="6" t="s">
        <v>438</v>
      </c>
      <c r="F598" s="6" t="s">
        <v>439</v>
      </c>
      <c r="G598" s="6" t="s">
        <v>369</v>
      </c>
      <c r="H598" s="10">
        <v>46066.0</v>
      </c>
      <c r="I598" s="12">
        <v>6.0</v>
      </c>
      <c r="J598" s="6" t="s">
        <v>178</v>
      </c>
    </row>
    <row r="599" ht="22.5" customHeight="1">
      <c r="A599" s="6" t="s">
        <v>3757</v>
      </c>
      <c r="B599" s="6" t="s">
        <v>2208</v>
      </c>
      <c r="C599" s="10">
        <v>46064.0</v>
      </c>
      <c r="D599" s="6" t="s">
        <v>436</v>
      </c>
      <c r="E599" s="6" t="s">
        <v>1570</v>
      </c>
      <c r="F599" s="6" t="s">
        <v>439</v>
      </c>
      <c r="G599" s="6" t="s">
        <v>369</v>
      </c>
      <c r="H599" s="10">
        <v>46064.0</v>
      </c>
      <c r="I599" s="12">
        <v>12.0</v>
      </c>
      <c r="J599" s="6" t="s">
        <v>178</v>
      </c>
    </row>
    <row r="600" ht="22.5" customHeight="1">
      <c r="A600" s="6" t="s">
        <v>3760</v>
      </c>
      <c r="B600" s="6" t="s">
        <v>2208</v>
      </c>
      <c r="C600" s="10">
        <v>46060.0</v>
      </c>
      <c r="D600" s="6" t="s">
        <v>289</v>
      </c>
      <c r="E600" s="6" t="s">
        <v>1102</v>
      </c>
      <c r="F600" s="6" t="s">
        <v>439</v>
      </c>
      <c r="G600" s="6" t="s">
        <v>477</v>
      </c>
      <c r="H600" s="11" t="s">
        <v>259</v>
      </c>
      <c r="I600" s="12">
        <v>10.0</v>
      </c>
      <c r="J600" s="6" t="s">
        <v>161</v>
      </c>
    </row>
    <row r="601" ht="22.5" customHeight="1">
      <c r="A601" s="6" t="s">
        <v>3764</v>
      </c>
      <c r="B601" s="6" t="s">
        <v>2208</v>
      </c>
      <c r="C601" s="10">
        <v>46064.0</v>
      </c>
      <c r="D601" s="6" t="s">
        <v>391</v>
      </c>
      <c r="E601" s="6" t="s">
        <v>1386</v>
      </c>
      <c r="F601" s="6" t="s">
        <v>439</v>
      </c>
      <c r="G601" s="6" t="s">
        <v>452</v>
      </c>
      <c r="H601" s="10">
        <v>46070.0</v>
      </c>
      <c r="I601" s="12">
        <v>7.0</v>
      </c>
      <c r="J601" s="6" t="s">
        <v>161</v>
      </c>
    </row>
    <row r="602" ht="22.5" customHeight="1">
      <c r="A602" s="6" t="s">
        <v>3768</v>
      </c>
      <c r="B602" s="6" t="s">
        <v>2208</v>
      </c>
      <c r="C602" s="10">
        <v>46062.0</v>
      </c>
      <c r="D602" s="6" t="s">
        <v>312</v>
      </c>
      <c r="E602" s="6" t="s">
        <v>1517</v>
      </c>
      <c r="F602" s="6" t="s">
        <v>249</v>
      </c>
      <c r="G602" s="6" t="s">
        <v>369</v>
      </c>
      <c r="H602" s="10">
        <v>46064.0</v>
      </c>
      <c r="I602" s="12">
        <v>7.0</v>
      </c>
      <c r="J602" s="6" t="s">
        <v>161</v>
      </c>
    </row>
    <row r="603" ht="22.5" customHeight="1">
      <c r="A603" s="6" t="s">
        <v>3773</v>
      </c>
      <c r="B603" s="6" t="s">
        <v>2214</v>
      </c>
      <c r="C603" s="10">
        <v>46049.0</v>
      </c>
      <c r="D603" s="6" t="s">
        <v>677</v>
      </c>
      <c r="E603" s="6" t="s">
        <v>475</v>
      </c>
      <c r="F603" s="6" t="s">
        <v>249</v>
      </c>
      <c r="G603" s="6" t="s">
        <v>254</v>
      </c>
      <c r="H603" s="10">
        <v>46056.0</v>
      </c>
      <c r="I603" s="12">
        <v>3.0</v>
      </c>
      <c r="J603" s="6" t="s">
        <v>161</v>
      </c>
    </row>
    <row r="604" ht="22.5" customHeight="1">
      <c r="A604" s="6" t="s">
        <v>3777</v>
      </c>
      <c r="B604" s="6" t="s">
        <v>2214</v>
      </c>
      <c r="C604" s="10">
        <v>46040.0</v>
      </c>
      <c r="D604" s="6" t="s">
        <v>416</v>
      </c>
      <c r="E604" s="6" t="s">
        <v>1035</v>
      </c>
      <c r="F604" s="6" t="s">
        <v>283</v>
      </c>
      <c r="G604" s="6" t="s">
        <v>477</v>
      </c>
      <c r="H604" s="10">
        <v>46044.0</v>
      </c>
      <c r="I604" s="12">
        <v>10.0</v>
      </c>
      <c r="J604" s="6" t="s">
        <v>161</v>
      </c>
    </row>
    <row r="605" ht="22.5" customHeight="1">
      <c r="A605" s="6" t="s">
        <v>3783</v>
      </c>
      <c r="B605" s="6" t="s">
        <v>2214</v>
      </c>
      <c r="C605" s="10">
        <v>46053.0</v>
      </c>
      <c r="D605" s="6" t="s">
        <v>312</v>
      </c>
      <c r="E605" s="6" t="s">
        <v>896</v>
      </c>
      <c r="F605" s="6" t="s">
        <v>283</v>
      </c>
      <c r="G605" s="6" t="s">
        <v>458</v>
      </c>
      <c r="H605" s="10">
        <v>46055.0</v>
      </c>
      <c r="I605" s="12">
        <v>5.0</v>
      </c>
      <c r="J605" s="6" t="s">
        <v>161</v>
      </c>
    </row>
    <row r="606" ht="22.5" customHeight="1">
      <c r="A606" s="6" t="s">
        <v>3786</v>
      </c>
      <c r="B606" s="6" t="s">
        <v>2214</v>
      </c>
      <c r="C606" s="10">
        <v>46057.0</v>
      </c>
      <c r="D606" s="6" t="s">
        <v>242</v>
      </c>
      <c r="E606" s="6" t="s">
        <v>1969</v>
      </c>
      <c r="F606" s="6" t="s">
        <v>112</v>
      </c>
      <c r="G606" s="6" t="s">
        <v>254</v>
      </c>
      <c r="H606" s="10">
        <v>46064.0</v>
      </c>
      <c r="I606" s="12">
        <v>3.0</v>
      </c>
      <c r="J606" s="6" t="s">
        <v>161</v>
      </c>
    </row>
    <row r="607" ht="22.5" customHeight="1">
      <c r="A607" s="6" t="s">
        <v>3791</v>
      </c>
      <c r="B607" s="6" t="s">
        <v>2220</v>
      </c>
      <c r="C607" s="10">
        <v>46043.0</v>
      </c>
      <c r="D607" s="6" t="s">
        <v>677</v>
      </c>
      <c r="E607" s="6" t="s">
        <v>812</v>
      </c>
      <c r="F607" s="6" t="s">
        <v>283</v>
      </c>
      <c r="G607" s="6" t="s">
        <v>477</v>
      </c>
      <c r="H607" s="11" t="s">
        <v>259</v>
      </c>
      <c r="I607" s="12">
        <v>2.0</v>
      </c>
      <c r="J607" s="6" t="s">
        <v>161</v>
      </c>
    </row>
    <row r="608" ht="22.5" customHeight="1">
      <c r="A608" s="6" t="s">
        <v>3796</v>
      </c>
      <c r="B608" s="6" t="s">
        <v>2220</v>
      </c>
      <c r="C608" s="10">
        <v>46027.0</v>
      </c>
      <c r="D608" s="6" t="s">
        <v>242</v>
      </c>
      <c r="E608" s="6" t="s">
        <v>2881</v>
      </c>
      <c r="F608" s="6" t="s">
        <v>283</v>
      </c>
      <c r="G608" s="6" t="s">
        <v>452</v>
      </c>
      <c r="H608" s="10">
        <v>46033.0</v>
      </c>
      <c r="I608" s="12">
        <v>4.0</v>
      </c>
      <c r="J608" s="6" t="s">
        <v>178</v>
      </c>
    </row>
    <row r="609" ht="22.5" customHeight="1">
      <c r="A609" s="6" t="s">
        <v>3803</v>
      </c>
      <c r="B609" s="6" t="s">
        <v>2220</v>
      </c>
      <c r="C609" s="10">
        <v>46035.0</v>
      </c>
      <c r="D609" s="6" t="s">
        <v>436</v>
      </c>
      <c r="E609" s="6" t="s">
        <v>775</v>
      </c>
      <c r="F609" s="6" t="s">
        <v>283</v>
      </c>
      <c r="G609" s="6" t="s">
        <v>369</v>
      </c>
      <c r="H609" s="10">
        <v>46037.0</v>
      </c>
      <c r="I609" s="12">
        <v>9.0</v>
      </c>
      <c r="J609" s="6" t="s">
        <v>161</v>
      </c>
    </row>
    <row r="610" ht="22.5" customHeight="1">
      <c r="A610" s="6" t="s">
        <v>3813</v>
      </c>
      <c r="B610" s="6" t="s">
        <v>2226</v>
      </c>
      <c r="C610" s="10">
        <v>46062.0</v>
      </c>
      <c r="D610" s="6" t="s">
        <v>289</v>
      </c>
      <c r="E610" s="6" t="s">
        <v>1386</v>
      </c>
      <c r="F610" s="6" t="s">
        <v>249</v>
      </c>
      <c r="G610" s="6" t="s">
        <v>452</v>
      </c>
      <c r="H610" s="10">
        <v>46065.0</v>
      </c>
      <c r="I610" s="12">
        <v>6.0</v>
      </c>
      <c r="J610" s="6" t="s">
        <v>161</v>
      </c>
    </row>
    <row r="611" ht="22.5" customHeight="1">
      <c r="A611" s="6" t="s">
        <v>3819</v>
      </c>
      <c r="B611" s="6" t="s">
        <v>2226</v>
      </c>
      <c r="C611" s="10">
        <v>46075.0</v>
      </c>
      <c r="D611" s="6" t="s">
        <v>289</v>
      </c>
      <c r="E611" s="6" t="s">
        <v>634</v>
      </c>
      <c r="F611" s="6" t="s">
        <v>249</v>
      </c>
      <c r="G611" s="6" t="s">
        <v>254</v>
      </c>
      <c r="H611" s="10">
        <v>46079.0</v>
      </c>
      <c r="I611" s="12">
        <v>10.0</v>
      </c>
      <c r="J611" s="6" t="s">
        <v>161</v>
      </c>
    </row>
    <row r="612" ht="22.5" customHeight="1">
      <c r="A612" s="6" t="s">
        <v>3822</v>
      </c>
      <c r="B612" s="6" t="s">
        <v>2233</v>
      </c>
      <c r="C612" s="10">
        <v>46051.0</v>
      </c>
      <c r="D612" s="6" t="s">
        <v>289</v>
      </c>
      <c r="E612" s="6" t="s">
        <v>365</v>
      </c>
      <c r="F612" s="6" t="s">
        <v>249</v>
      </c>
      <c r="G612" s="6" t="s">
        <v>369</v>
      </c>
      <c r="H612" s="10">
        <v>46051.0</v>
      </c>
      <c r="I612" s="12">
        <v>8.0</v>
      </c>
      <c r="J612" s="6" t="s">
        <v>161</v>
      </c>
    </row>
    <row r="613" ht="22.5" customHeight="1">
      <c r="A613" s="6" t="s">
        <v>3828</v>
      </c>
      <c r="B613" s="6" t="s">
        <v>2233</v>
      </c>
      <c r="C613" s="10">
        <v>46054.0</v>
      </c>
      <c r="D613" s="6" t="s">
        <v>416</v>
      </c>
      <c r="E613" s="6" t="s">
        <v>2881</v>
      </c>
      <c r="F613" s="6" t="s">
        <v>249</v>
      </c>
      <c r="G613" s="6" t="s">
        <v>254</v>
      </c>
      <c r="H613" s="10">
        <v>46054.0</v>
      </c>
      <c r="I613" s="12">
        <v>12.0</v>
      </c>
      <c r="J613" s="6" t="s">
        <v>161</v>
      </c>
    </row>
    <row r="614" ht="22.5" customHeight="1">
      <c r="A614" s="6" t="s">
        <v>3832</v>
      </c>
      <c r="B614" s="6" t="s">
        <v>2233</v>
      </c>
      <c r="C614" s="10">
        <v>46046.0</v>
      </c>
      <c r="D614" s="6" t="s">
        <v>436</v>
      </c>
      <c r="E614" s="6" t="s">
        <v>1741</v>
      </c>
      <c r="F614" s="6" t="s">
        <v>249</v>
      </c>
      <c r="G614" s="6" t="s">
        <v>369</v>
      </c>
      <c r="H614" s="10">
        <v>46053.0</v>
      </c>
      <c r="I614" s="12">
        <v>8.0</v>
      </c>
      <c r="J614" s="6" t="s">
        <v>178</v>
      </c>
    </row>
    <row r="615" ht="22.5" customHeight="1">
      <c r="A615" s="6" t="s">
        <v>3835</v>
      </c>
      <c r="B615" s="6" t="s">
        <v>2233</v>
      </c>
      <c r="C615" s="10">
        <v>46048.0</v>
      </c>
      <c r="D615" s="6" t="s">
        <v>436</v>
      </c>
      <c r="E615" s="6" t="s">
        <v>320</v>
      </c>
      <c r="F615" s="6" t="s">
        <v>112</v>
      </c>
      <c r="G615" s="6" t="s">
        <v>326</v>
      </c>
      <c r="H615" s="10">
        <v>46049.0</v>
      </c>
      <c r="I615" s="12">
        <v>7.0</v>
      </c>
      <c r="J615" s="6" t="s">
        <v>178</v>
      </c>
    </row>
    <row r="616" ht="22.5" customHeight="1">
      <c r="A616" s="6" t="s">
        <v>3839</v>
      </c>
      <c r="B616" s="6" t="s">
        <v>2233</v>
      </c>
      <c r="C616" s="10">
        <v>46050.0</v>
      </c>
      <c r="D616" s="6" t="s">
        <v>391</v>
      </c>
      <c r="E616" s="6" t="s">
        <v>775</v>
      </c>
      <c r="F616" s="6" t="s">
        <v>283</v>
      </c>
      <c r="G616" s="6" t="s">
        <v>254</v>
      </c>
      <c r="H616" s="10">
        <v>46057.0</v>
      </c>
      <c r="I616" s="12">
        <v>9.0</v>
      </c>
      <c r="J616" s="6" t="s">
        <v>161</v>
      </c>
    </row>
    <row r="617" ht="22.5" customHeight="1">
      <c r="A617" s="6" t="s">
        <v>3844</v>
      </c>
      <c r="B617" s="6" t="s">
        <v>2239</v>
      </c>
      <c r="C617" s="10">
        <v>46046.0</v>
      </c>
      <c r="D617" s="6" t="s">
        <v>289</v>
      </c>
      <c r="E617" s="6" t="s">
        <v>1517</v>
      </c>
      <c r="F617" s="6" t="s">
        <v>112</v>
      </c>
      <c r="G617" s="6" t="s">
        <v>326</v>
      </c>
      <c r="H617" s="10">
        <v>46052.0</v>
      </c>
      <c r="I617" s="12">
        <v>6.0</v>
      </c>
      <c r="J617" s="6" t="s">
        <v>161</v>
      </c>
    </row>
    <row r="618" ht="22.5" customHeight="1">
      <c r="A618" s="6" t="s">
        <v>3848</v>
      </c>
      <c r="B618" s="6" t="s">
        <v>2239</v>
      </c>
      <c r="C618" s="10">
        <v>46042.0</v>
      </c>
      <c r="D618" s="6" t="s">
        <v>436</v>
      </c>
      <c r="E618" s="6" t="s">
        <v>731</v>
      </c>
      <c r="F618" s="6" t="s">
        <v>283</v>
      </c>
      <c r="G618" s="6" t="s">
        <v>452</v>
      </c>
      <c r="H618" s="10">
        <v>46047.0</v>
      </c>
      <c r="I618" s="12">
        <v>11.0</v>
      </c>
      <c r="J618" s="6" t="s">
        <v>161</v>
      </c>
    </row>
    <row r="619" ht="22.5" customHeight="1">
      <c r="A619" s="6" t="s">
        <v>3852</v>
      </c>
      <c r="B619" s="6" t="s">
        <v>2245</v>
      </c>
      <c r="C619" s="10">
        <v>46056.0</v>
      </c>
      <c r="D619" s="6" t="s">
        <v>416</v>
      </c>
      <c r="E619" s="6" t="s">
        <v>863</v>
      </c>
      <c r="F619" s="6" t="s">
        <v>112</v>
      </c>
      <c r="G619" s="6" t="s">
        <v>254</v>
      </c>
      <c r="H619" s="10">
        <v>46060.0</v>
      </c>
      <c r="I619" s="12">
        <v>9.0</v>
      </c>
      <c r="J619" s="6" t="s">
        <v>161</v>
      </c>
    </row>
    <row r="620" ht="22.5" customHeight="1">
      <c r="A620" s="6" t="s">
        <v>3858</v>
      </c>
      <c r="B620" s="6" t="s">
        <v>2245</v>
      </c>
      <c r="C620" s="10">
        <v>46059.0</v>
      </c>
      <c r="D620" s="6" t="s">
        <v>416</v>
      </c>
      <c r="E620" s="6" t="s">
        <v>634</v>
      </c>
      <c r="F620" s="6" t="s">
        <v>439</v>
      </c>
      <c r="G620" s="6" t="s">
        <v>369</v>
      </c>
      <c r="H620" s="11" t="s">
        <v>259</v>
      </c>
      <c r="I620" s="12">
        <v>9.0</v>
      </c>
      <c r="J620" s="6" t="s">
        <v>161</v>
      </c>
    </row>
    <row r="621" ht="22.5" customHeight="1">
      <c r="A621" s="6" t="s">
        <v>3861</v>
      </c>
      <c r="B621" s="6" t="s">
        <v>2245</v>
      </c>
      <c r="C621" s="10">
        <v>46069.0</v>
      </c>
      <c r="D621" s="6" t="s">
        <v>289</v>
      </c>
      <c r="E621" s="6" t="s">
        <v>1070</v>
      </c>
      <c r="F621" s="6" t="s">
        <v>112</v>
      </c>
      <c r="G621" s="6" t="s">
        <v>369</v>
      </c>
      <c r="H621" s="10">
        <v>46073.0</v>
      </c>
      <c r="I621" s="12">
        <v>10.0</v>
      </c>
      <c r="J621" s="6" t="s">
        <v>161</v>
      </c>
    </row>
    <row r="622" ht="22.5" customHeight="1">
      <c r="A622" s="6" t="s">
        <v>3866</v>
      </c>
      <c r="B622" s="6" t="s">
        <v>2252</v>
      </c>
      <c r="C622" s="10">
        <v>46061.0</v>
      </c>
      <c r="D622" s="6" t="s">
        <v>289</v>
      </c>
      <c r="E622" s="6" t="s">
        <v>417</v>
      </c>
      <c r="F622" s="6" t="s">
        <v>249</v>
      </c>
      <c r="G622" s="6" t="s">
        <v>297</v>
      </c>
      <c r="H622" s="10">
        <v>46067.0</v>
      </c>
      <c r="I622" s="12">
        <v>9.0</v>
      </c>
      <c r="J622" s="6" t="s">
        <v>161</v>
      </c>
    </row>
    <row r="623" ht="22.5" customHeight="1">
      <c r="A623" s="6" t="s">
        <v>3870</v>
      </c>
      <c r="B623" s="6" t="s">
        <v>2252</v>
      </c>
      <c r="C623" s="10">
        <v>46072.0</v>
      </c>
      <c r="D623" s="6" t="s">
        <v>677</v>
      </c>
      <c r="E623" s="6" t="s">
        <v>1386</v>
      </c>
      <c r="F623" s="6" t="s">
        <v>439</v>
      </c>
      <c r="G623" s="6" t="s">
        <v>494</v>
      </c>
      <c r="H623" s="11" t="s">
        <v>259</v>
      </c>
      <c r="I623" s="12">
        <v>3.0</v>
      </c>
      <c r="J623" s="6" t="s">
        <v>161</v>
      </c>
    </row>
    <row r="624" ht="22.5" customHeight="1">
      <c r="A624" s="6" t="s">
        <v>3872</v>
      </c>
      <c r="B624" s="6" t="s">
        <v>2252</v>
      </c>
      <c r="C624" s="10">
        <v>46079.0</v>
      </c>
      <c r="D624" s="6" t="s">
        <v>312</v>
      </c>
      <c r="E624" s="6" t="s">
        <v>1969</v>
      </c>
      <c r="F624" s="6" t="s">
        <v>112</v>
      </c>
      <c r="G624" s="6" t="s">
        <v>494</v>
      </c>
      <c r="H624" s="10">
        <v>46081.0</v>
      </c>
      <c r="I624" s="12">
        <v>4.0</v>
      </c>
      <c r="J624" s="6" t="s">
        <v>161</v>
      </c>
    </row>
    <row r="625" ht="22.5" customHeight="1">
      <c r="A625" s="6" t="s">
        <v>3877</v>
      </c>
      <c r="B625" s="6" t="s">
        <v>2258</v>
      </c>
      <c r="C625" s="10">
        <v>46080.0</v>
      </c>
      <c r="D625" s="6" t="s">
        <v>391</v>
      </c>
      <c r="E625" s="6" t="s">
        <v>1626</v>
      </c>
      <c r="F625" s="6" t="s">
        <v>283</v>
      </c>
      <c r="G625" s="6" t="s">
        <v>452</v>
      </c>
      <c r="H625" s="10">
        <v>46084.0</v>
      </c>
      <c r="I625" s="12">
        <v>6.0</v>
      </c>
      <c r="J625" s="6" t="s">
        <v>161</v>
      </c>
    </row>
    <row r="626" ht="22.5" customHeight="1">
      <c r="A626" s="6" t="s">
        <v>3881</v>
      </c>
      <c r="B626" s="6" t="s">
        <v>2258</v>
      </c>
      <c r="C626" s="10">
        <v>46079.0</v>
      </c>
      <c r="D626" s="6" t="s">
        <v>416</v>
      </c>
      <c r="E626" s="6" t="s">
        <v>1070</v>
      </c>
      <c r="F626" s="6" t="s">
        <v>283</v>
      </c>
      <c r="G626" s="6" t="s">
        <v>494</v>
      </c>
      <c r="H626" s="11" t="s">
        <v>259</v>
      </c>
      <c r="I626" s="12">
        <v>13.0</v>
      </c>
      <c r="J626" s="6" t="s">
        <v>161</v>
      </c>
    </row>
    <row r="627" ht="22.5" customHeight="1">
      <c r="A627" s="6" t="s">
        <v>3885</v>
      </c>
      <c r="B627" s="6" t="s">
        <v>2258</v>
      </c>
      <c r="C627" s="10">
        <v>46075.0</v>
      </c>
      <c r="D627" s="6" t="s">
        <v>391</v>
      </c>
      <c r="E627" s="6" t="s">
        <v>365</v>
      </c>
      <c r="F627" s="6" t="s">
        <v>249</v>
      </c>
      <c r="G627" s="6" t="s">
        <v>254</v>
      </c>
      <c r="H627" s="10">
        <v>46082.0</v>
      </c>
      <c r="I627" s="12">
        <v>7.0</v>
      </c>
      <c r="J627" s="6" t="s">
        <v>161</v>
      </c>
    </row>
    <row r="628" ht="22.5" customHeight="1">
      <c r="A628" s="6" t="s">
        <v>3888</v>
      </c>
      <c r="B628" s="6" t="s">
        <v>2264</v>
      </c>
      <c r="C628" s="10">
        <v>46084.0</v>
      </c>
      <c r="D628" s="6" t="s">
        <v>289</v>
      </c>
      <c r="E628" s="6" t="s">
        <v>863</v>
      </c>
      <c r="F628" s="6" t="s">
        <v>249</v>
      </c>
      <c r="G628" s="6" t="s">
        <v>369</v>
      </c>
      <c r="H628" s="11" t="s">
        <v>259</v>
      </c>
      <c r="I628" s="12">
        <v>5.0</v>
      </c>
      <c r="J628" s="6" t="s">
        <v>161</v>
      </c>
    </row>
    <row r="629" ht="22.5" customHeight="1">
      <c r="A629" s="6" t="s">
        <v>3894</v>
      </c>
      <c r="B629" s="6" t="s">
        <v>2264</v>
      </c>
      <c r="C629" s="10">
        <v>46079.0</v>
      </c>
      <c r="D629" s="6" t="s">
        <v>436</v>
      </c>
      <c r="E629" s="6" t="s">
        <v>475</v>
      </c>
      <c r="F629" s="6" t="s">
        <v>283</v>
      </c>
      <c r="G629" s="6" t="s">
        <v>452</v>
      </c>
      <c r="H629" s="10">
        <v>46079.0</v>
      </c>
      <c r="I629" s="12">
        <v>7.0</v>
      </c>
      <c r="J629" s="6" t="s">
        <v>178</v>
      </c>
    </row>
    <row r="630" ht="22.5" customHeight="1">
      <c r="A630" s="6" t="s">
        <v>3900</v>
      </c>
      <c r="B630" s="6" t="s">
        <v>2271</v>
      </c>
      <c r="C630" s="10">
        <v>46031.0</v>
      </c>
      <c r="D630" s="6" t="s">
        <v>391</v>
      </c>
      <c r="E630" s="6" t="s">
        <v>1102</v>
      </c>
      <c r="F630" s="6" t="s">
        <v>112</v>
      </c>
      <c r="G630" s="6" t="s">
        <v>369</v>
      </c>
      <c r="H630" s="10">
        <v>46034.0</v>
      </c>
      <c r="I630" s="12">
        <v>11.0</v>
      </c>
      <c r="J630" s="6" t="s">
        <v>161</v>
      </c>
    </row>
    <row r="631" ht="22.5" customHeight="1">
      <c r="A631" s="6" t="s">
        <v>3904</v>
      </c>
      <c r="B631" s="6" t="s">
        <v>2271</v>
      </c>
      <c r="C631" s="10">
        <v>46025.0</v>
      </c>
      <c r="D631" s="6" t="s">
        <v>677</v>
      </c>
      <c r="E631" s="6" t="s">
        <v>885</v>
      </c>
      <c r="F631" s="6" t="s">
        <v>283</v>
      </c>
      <c r="G631" s="6" t="s">
        <v>326</v>
      </c>
      <c r="H631" s="10">
        <v>46030.0</v>
      </c>
      <c r="I631" s="12">
        <v>4.0</v>
      </c>
      <c r="J631" s="6" t="s">
        <v>161</v>
      </c>
    </row>
    <row r="632" ht="22.5" customHeight="1">
      <c r="A632" s="6" t="s">
        <v>3910</v>
      </c>
      <c r="B632" s="6" t="s">
        <v>2271</v>
      </c>
      <c r="C632" s="10">
        <v>46029.0</v>
      </c>
      <c r="D632" s="6" t="s">
        <v>312</v>
      </c>
      <c r="E632" s="6" t="s">
        <v>1273</v>
      </c>
      <c r="F632" s="6" t="s">
        <v>439</v>
      </c>
      <c r="G632" s="6" t="s">
        <v>254</v>
      </c>
      <c r="H632" s="10">
        <v>46035.0</v>
      </c>
      <c r="I632" s="12">
        <v>6.0</v>
      </c>
      <c r="J632" s="6" t="s">
        <v>161</v>
      </c>
    </row>
    <row r="633" ht="22.5" customHeight="1">
      <c r="A633" s="6" t="s">
        <v>3914</v>
      </c>
      <c r="B633" s="6" t="s">
        <v>2271</v>
      </c>
      <c r="C633" s="10">
        <v>46038.0</v>
      </c>
      <c r="D633" s="6" t="s">
        <v>391</v>
      </c>
      <c r="E633" s="6" t="s">
        <v>1546</v>
      </c>
      <c r="F633" s="6" t="s">
        <v>249</v>
      </c>
      <c r="G633" s="6" t="s">
        <v>477</v>
      </c>
      <c r="H633" s="10">
        <v>46045.0</v>
      </c>
      <c r="I633" s="12">
        <v>6.0</v>
      </c>
      <c r="J633" s="6" t="s">
        <v>161</v>
      </c>
    </row>
    <row r="634" ht="22.5" customHeight="1">
      <c r="A634" s="6" t="s">
        <v>3919</v>
      </c>
      <c r="B634" s="6" t="s">
        <v>2271</v>
      </c>
      <c r="C634" s="10">
        <v>46041.0</v>
      </c>
      <c r="D634" s="6" t="s">
        <v>312</v>
      </c>
      <c r="E634" s="6" t="s">
        <v>716</v>
      </c>
      <c r="F634" s="6" t="s">
        <v>439</v>
      </c>
      <c r="G634" s="6" t="s">
        <v>452</v>
      </c>
      <c r="H634" s="10">
        <v>46046.0</v>
      </c>
      <c r="I634" s="12">
        <v>4.0</v>
      </c>
      <c r="J634" s="6" t="s">
        <v>161</v>
      </c>
    </row>
    <row r="635" ht="22.5" customHeight="1">
      <c r="A635" s="6" t="s">
        <v>3923</v>
      </c>
      <c r="B635" s="6" t="s">
        <v>2277</v>
      </c>
      <c r="C635" s="10">
        <v>46069.0</v>
      </c>
      <c r="D635" s="6" t="s">
        <v>416</v>
      </c>
      <c r="E635" s="6" t="s">
        <v>704</v>
      </c>
      <c r="F635" s="6" t="s">
        <v>249</v>
      </c>
      <c r="G635" s="6" t="s">
        <v>452</v>
      </c>
      <c r="H635" s="11" t="s">
        <v>259</v>
      </c>
      <c r="I635" s="12">
        <v>14.0</v>
      </c>
      <c r="J635" s="6" t="s">
        <v>161</v>
      </c>
    </row>
    <row r="636" ht="22.5" customHeight="1">
      <c r="A636" s="6" t="s">
        <v>3929</v>
      </c>
      <c r="B636" s="6" t="s">
        <v>2277</v>
      </c>
      <c r="C636" s="10">
        <v>46074.0</v>
      </c>
      <c r="D636" s="6" t="s">
        <v>312</v>
      </c>
      <c r="E636" s="6" t="s">
        <v>1122</v>
      </c>
      <c r="F636" s="6" t="s">
        <v>112</v>
      </c>
      <c r="G636" s="6" t="s">
        <v>477</v>
      </c>
      <c r="H636" s="11" t="s">
        <v>259</v>
      </c>
      <c r="I636" s="12">
        <v>7.0</v>
      </c>
      <c r="J636" s="6" t="s">
        <v>161</v>
      </c>
    </row>
    <row r="637" ht="22.5" customHeight="1">
      <c r="A637" s="6" t="s">
        <v>3934</v>
      </c>
      <c r="B637" s="6" t="s">
        <v>2277</v>
      </c>
      <c r="C637" s="10">
        <v>46066.0</v>
      </c>
      <c r="D637" s="6" t="s">
        <v>312</v>
      </c>
      <c r="E637" s="6" t="s">
        <v>1102</v>
      </c>
      <c r="F637" s="6" t="s">
        <v>283</v>
      </c>
      <c r="G637" s="6" t="s">
        <v>254</v>
      </c>
      <c r="H637" s="11" t="s">
        <v>259</v>
      </c>
      <c r="I637" s="12">
        <v>7.0</v>
      </c>
      <c r="J637" s="6" t="s">
        <v>161</v>
      </c>
    </row>
    <row r="638" ht="22.5" customHeight="1">
      <c r="A638" s="6" t="s">
        <v>3940</v>
      </c>
      <c r="B638" s="6" t="s">
        <v>2283</v>
      </c>
      <c r="C638" s="10">
        <v>46052.0</v>
      </c>
      <c r="D638" s="6" t="s">
        <v>416</v>
      </c>
      <c r="E638" s="6" t="s">
        <v>1700</v>
      </c>
      <c r="F638" s="6" t="s">
        <v>439</v>
      </c>
      <c r="G638" s="6" t="s">
        <v>297</v>
      </c>
      <c r="H638" s="10">
        <v>46052.0</v>
      </c>
      <c r="I638" s="12">
        <v>10.0</v>
      </c>
      <c r="J638" s="6" t="s">
        <v>161</v>
      </c>
    </row>
    <row r="639" ht="22.5" customHeight="1">
      <c r="A639" s="6" t="s">
        <v>3944</v>
      </c>
      <c r="B639" s="6" t="s">
        <v>2283</v>
      </c>
      <c r="C639" s="10">
        <v>46062.0</v>
      </c>
      <c r="D639" s="6" t="s">
        <v>436</v>
      </c>
      <c r="E639" s="6" t="s">
        <v>1280</v>
      </c>
      <c r="F639" s="6" t="s">
        <v>439</v>
      </c>
      <c r="G639" s="6" t="s">
        <v>297</v>
      </c>
      <c r="H639" s="10">
        <v>46068.0</v>
      </c>
      <c r="I639" s="12">
        <v>10.0</v>
      </c>
      <c r="J639" s="6" t="s">
        <v>178</v>
      </c>
    </row>
    <row r="640" ht="22.5" customHeight="1">
      <c r="A640" s="6" t="s">
        <v>3949</v>
      </c>
      <c r="B640" s="6" t="s">
        <v>2283</v>
      </c>
      <c r="C640" s="10">
        <v>46057.0</v>
      </c>
      <c r="D640" s="6" t="s">
        <v>391</v>
      </c>
      <c r="E640" s="6" t="s">
        <v>365</v>
      </c>
      <c r="F640" s="6" t="s">
        <v>439</v>
      </c>
      <c r="G640" s="6" t="s">
        <v>494</v>
      </c>
      <c r="H640" s="10">
        <v>46059.0</v>
      </c>
      <c r="I640" s="12">
        <v>11.0</v>
      </c>
      <c r="J640" s="6" t="s">
        <v>161</v>
      </c>
    </row>
    <row r="641" ht="22.5" customHeight="1">
      <c r="A641" s="6" t="s">
        <v>3953</v>
      </c>
      <c r="B641" s="6" t="s">
        <v>2283</v>
      </c>
      <c r="C641" s="10">
        <v>46045.0</v>
      </c>
      <c r="D641" s="6" t="s">
        <v>391</v>
      </c>
      <c r="E641" s="6" t="s">
        <v>1517</v>
      </c>
      <c r="F641" s="6" t="s">
        <v>249</v>
      </c>
      <c r="G641" s="6" t="s">
        <v>369</v>
      </c>
      <c r="H641" s="10">
        <v>46049.0</v>
      </c>
      <c r="I641" s="12">
        <v>11.0</v>
      </c>
      <c r="J641" s="6" t="s">
        <v>161</v>
      </c>
    </row>
    <row r="642" ht="22.5" customHeight="1">
      <c r="A642" s="6" t="s">
        <v>3957</v>
      </c>
      <c r="B642" s="6" t="s">
        <v>2283</v>
      </c>
      <c r="C642" s="10">
        <v>46063.0</v>
      </c>
      <c r="D642" s="6" t="s">
        <v>312</v>
      </c>
      <c r="E642" s="6" t="s">
        <v>658</v>
      </c>
      <c r="F642" s="6" t="s">
        <v>283</v>
      </c>
      <c r="G642" s="6" t="s">
        <v>458</v>
      </c>
      <c r="H642" s="10">
        <v>46069.0</v>
      </c>
      <c r="I642" s="12">
        <v>5.0</v>
      </c>
      <c r="J642" s="6" t="s">
        <v>161</v>
      </c>
    </row>
    <row r="643" ht="22.5" customHeight="1">
      <c r="A643" s="6" t="s">
        <v>3962</v>
      </c>
      <c r="B643" s="6" t="s">
        <v>2290</v>
      </c>
      <c r="C643" s="10">
        <v>46056.0</v>
      </c>
      <c r="D643" s="6" t="s">
        <v>391</v>
      </c>
      <c r="E643" s="6" t="s">
        <v>716</v>
      </c>
      <c r="F643" s="6" t="s">
        <v>249</v>
      </c>
      <c r="G643" s="6" t="s">
        <v>452</v>
      </c>
      <c r="H643" s="10">
        <v>46059.0</v>
      </c>
      <c r="I643" s="12">
        <v>10.0</v>
      </c>
      <c r="J643" s="6" t="s">
        <v>161</v>
      </c>
    </row>
    <row r="644" ht="22.5" customHeight="1">
      <c r="A644" s="6" t="s">
        <v>3967</v>
      </c>
      <c r="B644" s="6" t="s">
        <v>2290</v>
      </c>
      <c r="C644" s="10">
        <v>46065.0</v>
      </c>
      <c r="D644" s="6" t="s">
        <v>312</v>
      </c>
      <c r="E644" s="6" t="s">
        <v>634</v>
      </c>
      <c r="F644" s="6" t="s">
        <v>249</v>
      </c>
      <c r="G644" s="6" t="s">
        <v>452</v>
      </c>
      <c r="H644" s="11" t="s">
        <v>259</v>
      </c>
      <c r="I644" s="12">
        <v>7.0</v>
      </c>
      <c r="J644" s="6" t="s">
        <v>161</v>
      </c>
    </row>
    <row r="645" ht="22.5" customHeight="1">
      <c r="A645" s="6" t="s">
        <v>3972</v>
      </c>
      <c r="B645" s="6" t="s">
        <v>2290</v>
      </c>
      <c r="C645" s="10">
        <v>46065.0</v>
      </c>
      <c r="D645" s="6" t="s">
        <v>391</v>
      </c>
      <c r="E645" s="6" t="s">
        <v>1546</v>
      </c>
      <c r="F645" s="6" t="s">
        <v>439</v>
      </c>
      <c r="G645" s="6" t="s">
        <v>477</v>
      </c>
      <c r="H645" s="10">
        <v>46068.0</v>
      </c>
      <c r="I645" s="12">
        <v>9.0</v>
      </c>
      <c r="J645" s="6" t="s">
        <v>161</v>
      </c>
    </row>
    <row r="646" ht="22.5" customHeight="1">
      <c r="A646" s="6" t="s">
        <v>3977</v>
      </c>
      <c r="B646" s="6" t="s">
        <v>2296</v>
      </c>
      <c r="C646" s="10">
        <v>46042.0</v>
      </c>
      <c r="D646" s="6" t="s">
        <v>289</v>
      </c>
      <c r="E646" s="6" t="s">
        <v>704</v>
      </c>
      <c r="F646" s="6" t="s">
        <v>112</v>
      </c>
      <c r="G646" s="6" t="s">
        <v>452</v>
      </c>
      <c r="H646" s="10">
        <v>46044.0</v>
      </c>
      <c r="I646" s="12">
        <v>10.0</v>
      </c>
      <c r="J646" s="6" t="s">
        <v>161</v>
      </c>
    </row>
    <row r="647" ht="22.5" customHeight="1">
      <c r="A647" s="6" t="s">
        <v>3981</v>
      </c>
      <c r="B647" s="6" t="s">
        <v>2303</v>
      </c>
      <c r="C647" s="10">
        <v>46029.0</v>
      </c>
      <c r="D647" s="6" t="s">
        <v>677</v>
      </c>
      <c r="E647" s="6" t="s">
        <v>1241</v>
      </c>
      <c r="F647" s="6" t="s">
        <v>283</v>
      </c>
      <c r="G647" s="6" t="s">
        <v>297</v>
      </c>
      <c r="H647" s="10">
        <v>46036.0</v>
      </c>
      <c r="I647" s="12">
        <v>4.0</v>
      </c>
      <c r="J647" s="6" t="s">
        <v>161</v>
      </c>
    </row>
    <row r="648" ht="22.5" customHeight="1">
      <c r="A648" s="6" t="s">
        <v>3987</v>
      </c>
      <c r="B648" s="6" t="s">
        <v>2303</v>
      </c>
      <c r="C648" s="10">
        <v>46034.0</v>
      </c>
      <c r="D648" s="6" t="s">
        <v>391</v>
      </c>
      <c r="E648" s="6" t="s">
        <v>1546</v>
      </c>
      <c r="F648" s="6" t="s">
        <v>439</v>
      </c>
      <c r="G648" s="6" t="s">
        <v>458</v>
      </c>
      <c r="H648" s="11" t="s">
        <v>259</v>
      </c>
      <c r="I648" s="12">
        <v>8.0</v>
      </c>
      <c r="J648" s="6" t="s">
        <v>161</v>
      </c>
    </row>
    <row r="649" ht="22.5" customHeight="1">
      <c r="A649" s="6" t="s">
        <v>3991</v>
      </c>
      <c r="B649" s="6" t="s">
        <v>2309</v>
      </c>
      <c r="C649" s="10">
        <v>46072.0</v>
      </c>
      <c r="D649" s="6" t="s">
        <v>312</v>
      </c>
      <c r="E649" s="6" t="s">
        <v>863</v>
      </c>
      <c r="F649" s="6" t="s">
        <v>249</v>
      </c>
      <c r="G649" s="6" t="s">
        <v>326</v>
      </c>
      <c r="H649" s="10">
        <v>46072.0</v>
      </c>
      <c r="I649" s="12">
        <v>4.0</v>
      </c>
      <c r="J649" s="6" t="s">
        <v>161</v>
      </c>
    </row>
    <row r="650" ht="22.5" customHeight="1">
      <c r="A650" s="6" t="s">
        <v>3997</v>
      </c>
      <c r="B650" s="6" t="s">
        <v>2309</v>
      </c>
      <c r="C650" s="10">
        <v>46073.0</v>
      </c>
      <c r="D650" s="6" t="s">
        <v>416</v>
      </c>
      <c r="E650" s="6" t="s">
        <v>658</v>
      </c>
      <c r="F650" s="6" t="s">
        <v>283</v>
      </c>
      <c r="G650" s="6" t="s">
        <v>458</v>
      </c>
      <c r="H650" s="10">
        <v>46076.0</v>
      </c>
      <c r="I650" s="12">
        <v>12.0</v>
      </c>
      <c r="J650" s="6" t="s">
        <v>161</v>
      </c>
    </row>
    <row r="651" ht="22.5" customHeight="1">
      <c r="A651" s="6" t="s">
        <v>4003</v>
      </c>
      <c r="B651" s="6" t="s">
        <v>2309</v>
      </c>
      <c r="C651" s="10">
        <v>46061.0</v>
      </c>
      <c r="D651" s="6" t="s">
        <v>242</v>
      </c>
      <c r="E651" s="6" t="s">
        <v>896</v>
      </c>
      <c r="F651" s="6" t="s">
        <v>249</v>
      </c>
      <c r="G651" s="6" t="s">
        <v>254</v>
      </c>
      <c r="H651" s="10">
        <v>46065.0</v>
      </c>
      <c r="I651" s="12">
        <v>3.0</v>
      </c>
      <c r="J651" s="6" t="s">
        <v>178</v>
      </c>
    </row>
    <row r="652" ht="22.5" customHeight="1">
      <c r="A652" s="6" t="s">
        <v>4009</v>
      </c>
      <c r="B652" s="6" t="s">
        <v>2309</v>
      </c>
      <c r="C652" s="10">
        <v>46073.0</v>
      </c>
      <c r="D652" s="6" t="s">
        <v>436</v>
      </c>
      <c r="E652" s="6" t="s">
        <v>438</v>
      </c>
      <c r="F652" s="6" t="s">
        <v>439</v>
      </c>
      <c r="G652" s="6" t="s">
        <v>477</v>
      </c>
      <c r="H652" s="11" t="s">
        <v>259</v>
      </c>
      <c r="I652" s="12">
        <v>12.0</v>
      </c>
      <c r="J652" s="6" t="s">
        <v>178</v>
      </c>
    </row>
    <row r="653" ht="22.5" customHeight="1">
      <c r="A653" s="6" t="s">
        <v>4015</v>
      </c>
      <c r="B653" s="6" t="s">
        <v>2309</v>
      </c>
      <c r="C653" s="10">
        <v>46060.0</v>
      </c>
      <c r="D653" s="6" t="s">
        <v>242</v>
      </c>
      <c r="E653" s="6" t="s">
        <v>885</v>
      </c>
      <c r="F653" s="6" t="s">
        <v>249</v>
      </c>
      <c r="G653" s="6" t="s">
        <v>452</v>
      </c>
      <c r="H653" s="10">
        <v>46067.0</v>
      </c>
      <c r="I653" s="12">
        <v>5.0</v>
      </c>
      <c r="J653" s="6" t="s">
        <v>178</v>
      </c>
    </row>
    <row r="654" ht="22.5" customHeight="1">
      <c r="A654" s="6" t="s">
        <v>4018</v>
      </c>
      <c r="B654" s="6" t="s">
        <v>2316</v>
      </c>
      <c r="C654" s="10">
        <v>46060.0</v>
      </c>
      <c r="D654" s="6" t="s">
        <v>416</v>
      </c>
      <c r="E654" s="6" t="s">
        <v>610</v>
      </c>
      <c r="F654" s="6" t="s">
        <v>283</v>
      </c>
      <c r="G654" s="6" t="s">
        <v>369</v>
      </c>
      <c r="H654" s="10">
        <v>46062.0</v>
      </c>
      <c r="I654" s="12">
        <v>8.0</v>
      </c>
      <c r="J654" s="6" t="s">
        <v>161</v>
      </c>
    </row>
    <row r="655" ht="22.5" customHeight="1">
      <c r="A655" s="6" t="s">
        <v>4022</v>
      </c>
      <c r="B655" s="6" t="s">
        <v>2316</v>
      </c>
      <c r="C655" s="10">
        <v>46061.0</v>
      </c>
      <c r="D655" s="6" t="s">
        <v>242</v>
      </c>
      <c r="E655" s="6" t="s">
        <v>1296</v>
      </c>
      <c r="F655" s="6" t="s">
        <v>112</v>
      </c>
      <c r="G655" s="6" t="s">
        <v>297</v>
      </c>
      <c r="H655" s="11" t="s">
        <v>259</v>
      </c>
      <c r="I655" s="12">
        <v>3.0</v>
      </c>
      <c r="J655" s="6" t="s">
        <v>161</v>
      </c>
    </row>
    <row r="656" ht="22.5" customHeight="1">
      <c r="A656" s="6" t="s">
        <v>4028</v>
      </c>
      <c r="B656" s="6" t="s">
        <v>2322</v>
      </c>
      <c r="C656" s="10">
        <v>46059.0</v>
      </c>
      <c r="D656" s="6" t="s">
        <v>312</v>
      </c>
      <c r="E656" s="6" t="s">
        <v>885</v>
      </c>
      <c r="F656" s="6" t="s">
        <v>283</v>
      </c>
      <c r="G656" s="6" t="s">
        <v>494</v>
      </c>
      <c r="H656" s="10">
        <v>46065.0</v>
      </c>
      <c r="I656" s="12">
        <v>5.0</v>
      </c>
      <c r="J656" s="6" t="s">
        <v>161</v>
      </c>
    </row>
    <row r="657" ht="22.5" customHeight="1">
      <c r="A657" s="6" t="s">
        <v>4032</v>
      </c>
      <c r="B657" s="6" t="s">
        <v>2322</v>
      </c>
      <c r="C657" s="10">
        <v>46050.0</v>
      </c>
      <c r="D657" s="6" t="s">
        <v>677</v>
      </c>
      <c r="E657" s="6" t="s">
        <v>450</v>
      </c>
      <c r="F657" s="6" t="s">
        <v>439</v>
      </c>
      <c r="G657" s="6" t="s">
        <v>326</v>
      </c>
      <c r="H657" s="10">
        <v>46055.0</v>
      </c>
      <c r="I657" s="12">
        <v>2.0</v>
      </c>
      <c r="J657" s="6" t="s">
        <v>161</v>
      </c>
    </row>
    <row r="658" ht="22.5" customHeight="1">
      <c r="A658" s="6" t="s">
        <v>4036</v>
      </c>
      <c r="B658" s="6" t="s">
        <v>2322</v>
      </c>
      <c r="C658" s="10">
        <v>46069.0</v>
      </c>
      <c r="D658" s="6" t="s">
        <v>312</v>
      </c>
      <c r="E658" s="6" t="s">
        <v>1273</v>
      </c>
      <c r="F658" s="6" t="s">
        <v>112</v>
      </c>
      <c r="G658" s="6" t="s">
        <v>458</v>
      </c>
      <c r="H658" s="10">
        <v>46073.0</v>
      </c>
      <c r="I658" s="12">
        <v>4.0</v>
      </c>
      <c r="J658" s="6" t="s">
        <v>161</v>
      </c>
    </row>
    <row r="659" ht="22.5" customHeight="1">
      <c r="A659" s="6" t="s">
        <v>4042</v>
      </c>
      <c r="B659" s="6" t="s">
        <v>2327</v>
      </c>
      <c r="C659" s="10">
        <v>46056.0</v>
      </c>
      <c r="D659" s="6" t="s">
        <v>391</v>
      </c>
      <c r="E659" s="6" t="s">
        <v>687</v>
      </c>
      <c r="F659" s="6" t="s">
        <v>283</v>
      </c>
      <c r="G659" s="6" t="s">
        <v>326</v>
      </c>
      <c r="H659" s="10">
        <v>46060.0</v>
      </c>
      <c r="I659" s="12">
        <v>6.0</v>
      </c>
      <c r="J659" s="6" t="s">
        <v>161</v>
      </c>
    </row>
    <row r="660" ht="22.5" customHeight="1">
      <c r="A660" s="6" t="s">
        <v>4047</v>
      </c>
      <c r="B660" s="6" t="s">
        <v>2334</v>
      </c>
      <c r="C660" s="10">
        <v>46067.0</v>
      </c>
      <c r="D660" s="6" t="s">
        <v>436</v>
      </c>
      <c r="E660" s="6" t="s">
        <v>512</v>
      </c>
      <c r="F660" s="6" t="s">
        <v>439</v>
      </c>
      <c r="G660" s="6" t="s">
        <v>297</v>
      </c>
      <c r="H660" s="10">
        <v>46074.0</v>
      </c>
      <c r="I660" s="12">
        <v>7.0</v>
      </c>
      <c r="J660" s="6" t="s">
        <v>161</v>
      </c>
    </row>
    <row r="661" ht="22.5" customHeight="1">
      <c r="A661" s="6" t="s">
        <v>4049</v>
      </c>
      <c r="B661" s="6" t="s">
        <v>2334</v>
      </c>
      <c r="C661" s="10">
        <v>46075.0</v>
      </c>
      <c r="D661" s="6" t="s">
        <v>416</v>
      </c>
      <c r="E661" s="6" t="s">
        <v>670</v>
      </c>
      <c r="F661" s="6" t="s">
        <v>439</v>
      </c>
      <c r="G661" s="6" t="s">
        <v>477</v>
      </c>
      <c r="H661" s="10">
        <v>46077.0</v>
      </c>
      <c r="I661" s="12">
        <v>9.0</v>
      </c>
      <c r="J661" s="6" t="s">
        <v>161</v>
      </c>
    </row>
    <row r="662" ht="22.5" customHeight="1">
      <c r="A662" s="6" t="s">
        <v>4053</v>
      </c>
      <c r="B662" s="6" t="s">
        <v>2340</v>
      </c>
      <c r="C662" s="10">
        <v>46068.0</v>
      </c>
      <c r="D662" s="6" t="s">
        <v>242</v>
      </c>
      <c r="E662" s="6" t="s">
        <v>896</v>
      </c>
      <c r="F662" s="6" t="s">
        <v>249</v>
      </c>
      <c r="G662" s="6" t="s">
        <v>254</v>
      </c>
      <c r="H662" s="10">
        <v>46071.0</v>
      </c>
      <c r="I662" s="12">
        <v>6.0</v>
      </c>
      <c r="J662" s="6" t="s">
        <v>178</v>
      </c>
    </row>
    <row r="663" ht="22.5" customHeight="1">
      <c r="A663" s="6" t="s">
        <v>4055</v>
      </c>
      <c r="B663" s="6" t="s">
        <v>2340</v>
      </c>
      <c r="C663" s="10">
        <v>46076.0</v>
      </c>
      <c r="D663" s="6" t="s">
        <v>312</v>
      </c>
      <c r="E663" s="6" t="s">
        <v>658</v>
      </c>
      <c r="F663" s="6" t="s">
        <v>249</v>
      </c>
      <c r="G663" s="6" t="s">
        <v>254</v>
      </c>
      <c r="H663" s="11" t="s">
        <v>259</v>
      </c>
      <c r="I663" s="12">
        <v>4.0</v>
      </c>
      <c r="J663" s="6" t="s">
        <v>161</v>
      </c>
    </row>
    <row r="664" ht="22.5" customHeight="1">
      <c r="A664" s="6" t="s">
        <v>4058</v>
      </c>
      <c r="B664" s="6" t="s">
        <v>2340</v>
      </c>
      <c r="C664" s="10">
        <v>46076.0</v>
      </c>
      <c r="D664" s="6" t="s">
        <v>312</v>
      </c>
      <c r="E664" s="6" t="s">
        <v>1055</v>
      </c>
      <c r="F664" s="6" t="s">
        <v>112</v>
      </c>
      <c r="G664" s="6" t="s">
        <v>452</v>
      </c>
      <c r="H664" s="11" t="s">
        <v>259</v>
      </c>
      <c r="I664" s="12">
        <v>6.0</v>
      </c>
      <c r="J664" s="6" t="s">
        <v>161</v>
      </c>
    </row>
    <row r="665" ht="22.5" customHeight="1">
      <c r="A665" s="6" t="s">
        <v>4063</v>
      </c>
      <c r="B665" s="6" t="s">
        <v>2340</v>
      </c>
      <c r="C665" s="10">
        <v>46059.0</v>
      </c>
      <c r="D665" s="6" t="s">
        <v>242</v>
      </c>
      <c r="E665" s="6" t="s">
        <v>1386</v>
      </c>
      <c r="F665" s="6" t="s">
        <v>283</v>
      </c>
      <c r="G665" s="6" t="s">
        <v>297</v>
      </c>
      <c r="H665" s="10">
        <v>46063.0</v>
      </c>
      <c r="I665" s="12">
        <v>3.0</v>
      </c>
      <c r="J665" s="6" t="s">
        <v>178</v>
      </c>
    </row>
    <row r="666" ht="22.5" customHeight="1">
      <c r="A666" s="6" t="s">
        <v>4068</v>
      </c>
      <c r="B666" s="6" t="s">
        <v>2346</v>
      </c>
      <c r="C666" s="10">
        <v>46049.0</v>
      </c>
      <c r="D666" s="6" t="s">
        <v>289</v>
      </c>
      <c r="E666" s="6" t="s">
        <v>566</v>
      </c>
      <c r="F666" s="6" t="s">
        <v>112</v>
      </c>
      <c r="G666" s="6" t="s">
        <v>369</v>
      </c>
      <c r="H666" s="10">
        <v>46055.0</v>
      </c>
      <c r="I666" s="12">
        <v>9.0</v>
      </c>
      <c r="J666" s="6" t="s">
        <v>161</v>
      </c>
    </row>
    <row r="667" ht="22.5" customHeight="1">
      <c r="A667" s="6" t="s">
        <v>4071</v>
      </c>
      <c r="B667" s="6" t="s">
        <v>2353</v>
      </c>
      <c r="C667" s="10">
        <v>46055.0</v>
      </c>
      <c r="D667" s="6" t="s">
        <v>391</v>
      </c>
      <c r="E667" s="6" t="s">
        <v>1700</v>
      </c>
      <c r="F667" s="6" t="s">
        <v>112</v>
      </c>
      <c r="G667" s="6" t="s">
        <v>254</v>
      </c>
      <c r="H667" s="10">
        <v>46059.0</v>
      </c>
      <c r="I667" s="12">
        <v>9.0</v>
      </c>
      <c r="J667" s="6" t="s">
        <v>161</v>
      </c>
    </row>
    <row r="668" ht="22.5" customHeight="1">
      <c r="A668" s="6" t="s">
        <v>4075</v>
      </c>
      <c r="B668" s="6" t="s">
        <v>2359</v>
      </c>
      <c r="C668" s="10">
        <v>46079.0</v>
      </c>
      <c r="D668" s="6" t="s">
        <v>677</v>
      </c>
      <c r="E668" s="6" t="s">
        <v>1149</v>
      </c>
      <c r="F668" s="6" t="s">
        <v>112</v>
      </c>
      <c r="G668" s="6" t="s">
        <v>369</v>
      </c>
      <c r="H668" s="10">
        <v>46083.0</v>
      </c>
      <c r="I668" s="12">
        <v>4.0</v>
      </c>
      <c r="J668" s="6" t="s">
        <v>161</v>
      </c>
    </row>
    <row r="669" ht="22.5" customHeight="1">
      <c r="A669" s="6" t="s">
        <v>4078</v>
      </c>
      <c r="B669" s="6" t="s">
        <v>2359</v>
      </c>
      <c r="C669" s="10">
        <v>46078.0</v>
      </c>
      <c r="D669" s="6" t="s">
        <v>312</v>
      </c>
      <c r="E669" s="6" t="s">
        <v>1386</v>
      </c>
      <c r="F669" s="6" t="s">
        <v>249</v>
      </c>
      <c r="G669" s="6" t="s">
        <v>326</v>
      </c>
      <c r="H669" s="10">
        <v>46082.0</v>
      </c>
      <c r="I669" s="12">
        <v>4.0</v>
      </c>
      <c r="J669" s="6" t="s">
        <v>161</v>
      </c>
    </row>
    <row r="670" ht="22.5" customHeight="1">
      <c r="A670" s="6" t="s">
        <v>4082</v>
      </c>
      <c r="B670" s="6" t="s">
        <v>2359</v>
      </c>
      <c r="C670" s="10">
        <v>46071.0</v>
      </c>
      <c r="D670" s="6" t="s">
        <v>677</v>
      </c>
      <c r="E670" s="6" t="s">
        <v>658</v>
      </c>
      <c r="F670" s="6" t="s">
        <v>249</v>
      </c>
      <c r="G670" s="6" t="s">
        <v>254</v>
      </c>
      <c r="H670" s="10">
        <v>46076.0</v>
      </c>
      <c r="I670" s="12">
        <v>4.0</v>
      </c>
      <c r="J670" s="6" t="s">
        <v>161</v>
      </c>
    </row>
    <row r="671" ht="22.5" customHeight="1">
      <c r="A671" s="6" t="s">
        <v>4088</v>
      </c>
      <c r="B671" s="6" t="s">
        <v>2366</v>
      </c>
      <c r="C671" s="10">
        <v>46063.0</v>
      </c>
      <c r="D671" s="6" t="s">
        <v>242</v>
      </c>
      <c r="E671" s="6" t="s">
        <v>695</v>
      </c>
      <c r="F671" s="6" t="s">
        <v>283</v>
      </c>
      <c r="G671" s="6" t="s">
        <v>458</v>
      </c>
      <c r="H671" s="10">
        <v>46070.0</v>
      </c>
      <c r="I671" s="12">
        <v>5.0</v>
      </c>
      <c r="J671" s="6" t="s">
        <v>178</v>
      </c>
    </row>
    <row r="672" ht="22.5" customHeight="1">
      <c r="A672" s="6" t="s">
        <v>4090</v>
      </c>
      <c r="B672" s="6" t="s">
        <v>2366</v>
      </c>
      <c r="C672" s="10">
        <v>46060.0</v>
      </c>
      <c r="D672" s="6" t="s">
        <v>289</v>
      </c>
      <c r="E672" s="6" t="s">
        <v>394</v>
      </c>
      <c r="F672" s="6" t="s">
        <v>439</v>
      </c>
      <c r="G672" s="6" t="s">
        <v>369</v>
      </c>
      <c r="H672" s="10">
        <v>46060.0</v>
      </c>
      <c r="I672" s="12">
        <v>9.0</v>
      </c>
      <c r="J672" s="6" t="s">
        <v>161</v>
      </c>
    </row>
    <row r="673" ht="22.5" customHeight="1">
      <c r="A673" s="6" t="s">
        <v>4095</v>
      </c>
      <c r="B673" s="6" t="s">
        <v>2366</v>
      </c>
      <c r="C673" s="10">
        <v>46067.0</v>
      </c>
      <c r="D673" s="6" t="s">
        <v>436</v>
      </c>
      <c r="E673" s="6" t="s">
        <v>512</v>
      </c>
      <c r="F673" s="6" t="s">
        <v>112</v>
      </c>
      <c r="G673" s="6" t="s">
        <v>297</v>
      </c>
      <c r="H673" s="10">
        <v>46074.0</v>
      </c>
      <c r="I673" s="12">
        <v>10.0</v>
      </c>
      <c r="J673" s="6" t="s">
        <v>178</v>
      </c>
    </row>
    <row r="674" ht="22.5" customHeight="1">
      <c r="A674" s="6" t="s">
        <v>4098</v>
      </c>
      <c r="B674" s="6" t="s">
        <v>2373</v>
      </c>
      <c r="C674" s="10">
        <v>46060.0</v>
      </c>
      <c r="D674" s="6" t="s">
        <v>677</v>
      </c>
      <c r="E674" s="6" t="s">
        <v>1720</v>
      </c>
      <c r="F674" s="6" t="s">
        <v>249</v>
      </c>
      <c r="G674" s="6" t="s">
        <v>297</v>
      </c>
      <c r="H674" s="10">
        <v>46066.0</v>
      </c>
      <c r="I674" s="12">
        <v>2.0</v>
      </c>
      <c r="J674" s="6" t="s">
        <v>161</v>
      </c>
    </row>
    <row r="675" ht="22.5" customHeight="1">
      <c r="A675" s="6" t="s">
        <v>4102</v>
      </c>
      <c r="B675" s="6" t="s">
        <v>2373</v>
      </c>
      <c r="C675" s="10">
        <v>46073.0</v>
      </c>
      <c r="D675" s="6" t="s">
        <v>416</v>
      </c>
      <c r="E675" s="6" t="s">
        <v>618</v>
      </c>
      <c r="F675" s="6" t="s">
        <v>249</v>
      </c>
      <c r="G675" s="6" t="s">
        <v>477</v>
      </c>
      <c r="H675" s="10">
        <v>46073.0</v>
      </c>
      <c r="I675" s="12">
        <v>9.0</v>
      </c>
      <c r="J675" s="6" t="s">
        <v>161</v>
      </c>
    </row>
    <row r="676" ht="22.5" customHeight="1">
      <c r="A676" s="6" t="s">
        <v>4107</v>
      </c>
      <c r="B676" s="6" t="s">
        <v>2373</v>
      </c>
      <c r="C676" s="10">
        <v>46070.0</v>
      </c>
      <c r="D676" s="6" t="s">
        <v>289</v>
      </c>
      <c r="E676" s="6" t="s">
        <v>1720</v>
      </c>
      <c r="F676" s="6" t="s">
        <v>249</v>
      </c>
      <c r="G676" s="6" t="s">
        <v>494</v>
      </c>
      <c r="H676" s="10">
        <v>46071.0</v>
      </c>
      <c r="I676" s="12">
        <v>9.0</v>
      </c>
      <c r="J676" s="6" t="s">
        <v>161</v>
      </c>
    </row>
    <row r="677" ht="22.5" customHeight="1">
      <c r="A677" s="6" t="s">
        <v>4110</v>
      </c>
      <c r="B677" s="6" t="s">
        <v>2379</v>
      </c>
      <c r="C677" s="10">
        <v>46061.0</v>
      </c>
      <c r="D677" s="6" t="s">
        <v>312</v>
      </c>
      <c r="E677" s="6" t="s">
        <v>658</v>
      </c>
      <c r="F677" s="6" t="s">
        <v>249</v>
      </c>
      <c r="G677" s="6" t="s">
        <v>458</v>
      </c>
      <c r="H677" s="10">
        <v>46065.0</v>
      </c>
      <c r="I677" s="12">
        <v>6.0</v>
      </c>
      <c r="J677" s="6" t="s">
        <v>161</v>
      </c>
    </row>
    <row r="678" ht="22.5" customHeight="1">
      <c r="A678" s="6" t="s">
        <v>4115</v>
      </c>
      <c r="B678" s="6" t="s">
        <v>2386</v>
      </c>
      <c r="C678" s="10">
        <v>46055.0</v>
      </c>
      <c r="D678" s="6" t="s">
        <v>242</v>
      </c>
      <c r="E678" s="6" t="s">
        <v>833</v>
      </c>
      <c r="F678" s="6" t="s">
        <v>283</v>
      </c>
      <c r="G678" s="6" t="s">
        <v>458</v>
      </c>
      <c r="H678" s="10">
        <v>46058.0</v>
      </c>
      <c r="I678" s="12">
        <v>5.0</v>
      </c>
      <c r="J678" s="6" t="s">
        <v>178</v>
      </c>
    </row>
    <row r="679" ht="22.5" customHeight="1">
      <c r="A679" s="6" t="s">
        <v>4119</v>
      </c>
      <c r="B679" s="6" t="s">
        <v>2386</v>
      </c>
      <c r="C679" s="10">
        <v>46071.0</v>
      </c>
      <c r="D679" s="6" t="s">
        <v>391</v>
      </c>
      <c r="E679" s="6" t="s">
        <v>1310</v>
      </c>
      <c r="F679" s="6" t="s">
        <v>439</v>
      </c>
      <c r="G679" s="6" t="s">
        <v>297</v>
      </c>
      <c r="H679" s="10">
        <v>46077.0</v>
      </c>
      <c r="I679" s="12">
        <v>7.0</v>
      </c>
      <c r="J679" s="6" t="s">
        <v>161</v>
      </c>
    </row>
    <row r="680" ht="22.5" customHeight="1">
      <c r="A680" s="6" t="s">
        <v>4122</v>
      </c>
      <c r="B680" s="6" t="s">
        <v>2392</v>
      </c>
      <c r="C680" s="10">
        <v>46032.0</v>
      </c>
      <c r="D680" s="6" t="s">
        <v>677</v>
      </c>
      <c r="E680" s="6" t="s">
        <v>955</v>
      </c>
      <c r="F680" s="6" t="s">
        <v>439</v>
      </c>
      <c r="G680" s="6" t="s">
        <v>477</v>
      </c>
      <c r="H680" s="10">
        <v>46039.0</v>
      </c>
      <c r="I680" s="12">
        <v>4.0</v>
      </c>
      <c r="J680" s="6" t="s">
        <v>161</v>
      </c>
    </row>
    <row r="681" ht="22.5" customHeight="1">
      <c r="A681" s="6" t="s">
        <v>4127</v>
      </c>
      <c r="B681" s="6" t="s">
        <v>2392</v>
      </c>
      <c r="C681" s="10">
        <v>46046.0</v>
      </c>
      <c r="D681" s="6" t="s">
        <v>289</v>
      </c>
      <c r="E681" s="6" t="s">
        <v>1546</v>
      </c>
      <c r="F681" s="6" t="s">
        <v>112</v>
      </c>
      <c r="G681" s="6" t="s">
        <v>477</v>
      </c>
      <c r="H681" s="10">
        <v>46048.0</v>
      </c>
      <c r="I681" s="12">
        <v>5.0</v>
      </c>
      <c r="J681" s="6" t="s">
        <v>161</v>
      </c>
    </row>
    <row r="682" ht="22.5" customHeight="1">
      <c r="A682" s="6" t="s">
        <v>4130</v>
      </c>
      <c r="B682" s="6" t="s">
        <v>2392</v>
      </c>
      <c r="C682" s="10">
        <v>46041.0</v>
      </c>
      <c r="D682" s="6" t="s">
        <v>677</v>
      </c>
      <c r="E682" s="6" t="s">
        <v>1720</v>
      </c>
      <c r="F682" s="6" t="s">
        <v>112</v>
      </c>
      <c r="G682" s="6" t="s">
        <v>458</v>
      </c>
      <c r="H682" s="10">
        <v>46045.0</v>
      </c>
      <c r="I682" s="12">
        <v>3.0</v>
      </c>
      <c r="J682" s="6" t="s">
        <v>161</v>
      </c>
    </row>
    <row r="683" ht="22.5" customHeight="1">
      <c r="A683" s="6" t="s">
        <v>4134</v>
      </c>
      <c r="B683" s="6" t="s">
        <v>2399</v>
      </c>
      <c r="C683" s="10">
        <v>46048.0</v>
      </c>
      <c r="D683" s="6" t="s">
        <v>436</v>
      </c>
      <c r="E683" s="6" t="s">
        <v>1720</v>
      </c>
      <c r="F683" s="6" t="s">
        <v>112</v>
      </c>
      <c r="G683" s="6" t="s">
        <v>452</v>
      </c>
      <c r="H683" s="10">
        <v>46050.0</v>
      </c>
      <c r="I683" s="12">
        <v>6.0</v>
      </c>
      <c r="J683" s="6" t="s">
        <v>178</v>
      </c>
    </row>
    <row r="684" ht="22.5" customHeight="1">
      <c r="A684" s="6" t="s">
        <v>4137</v>
      </c>
      <c r="B684" s="6" t="s">
        <v>2405</v>
      </c>
      <c r="C684" s="10">
        <v>46072.0</v>
      </c>
      <c r="D684" s="6" t="s">
        <v>312</v>
      </c>
      <c r="E684" s="6" t="s">
        <v>1055</v>
      </c>
      <c r="F684" s="6" t="s">
        <v>112</v>
      </c>
      <c r="G684" s="6" t="s">
        <v>494</v>
      </c>
      <c r="H684" s="10">
        <v>46079.0</v>
      </c>
      <c r="I684" s="12">
        <v>6.0</v>
      </c>
      <c r="J684" s="6" t="s">
        <v>161</v>
      </c>
    </row>
    <row r="685" ht="22.5" customHeight="1">
      <c r="A685" s="6" t="s">
        <v>4141</v>
      </c>
      <c r="B685" s="6" t="s">
        <v>2405</v>
      </c>
      <c r="C685" s="10">
        <v>46079.0</v>
      </c>
      <c r="D685" s="6" t="s">
        <v>436</v>
      </c>
      <c r="E685" s="6" t="s">
        <v>731</v>
      </c>
      <c r="F685" s="6" t="s">
        <v>439</v>
      </c>
      <c r="G685" s="6" t="s">
        <v>458</v>
      </c>
      <c r="H685" s="11" t="s">
        <v>259</v>
      </c>
      <c r="I685" s="12">
        <v>12.0</v>
      </c>
      <c r="J685" s="6" t="s">
        <v>178</v>
      </c>
    </row>
    <row r="686" ht="22.5" customHeight="1">
      <c r="A686" s="6" t="s">
        <v>4146</v>
      </c>
      <c r="B686" s="6" t="s">
        <v>2405</v>
      </c>
      <c r="C686" s="10">
        <v>46065.0</v>
      </c>
      <c r="D686" s="6" t="s">
        <v>242</v>
      </c>
      <c r="E686" s="6" t="s">
        <v>512</v>
      </c>
      <c r="F686" s="6" t="s">
        <v>249</v>
      </c>
      <c r="G686" s="6" t="s">
        <v>458</v>
      </c>
      <c r="H686" s="10">
        <v>46068.0</v>
      </c>
      <c r="I686" s="12">
        <v>3.0</v>
      </c>
      <c r="J686" s="6" t="s">
        <v>178</v>
      </c>
    </row>
    <row r="687" ht="22.5" customHeight="1">
      <c r="A687" s="6" t="s">
        <v>4149</v>
      </c>
      <c r="B687" s="6" t="s">
        <v>2411</v>
      </c>
      <c r="C687" s="10">
        <v>46052.0</v>
      </c>
      <c r="D687" s="6" t="s">
        <v>242</v>
      </c>
      <c r="E687" s="6" t="s">
        <v>1546</v>
      </c>
      <c r="F687" s="6" t="s">
        <v>249</v>
      </c>
      <c r="G687" s="6" t="s">
        <v>477</v>
      </c>
      <c r="H687" s="11" t="s">
        <v>259</v>
      </c>
      <c r="I687" s="12">
        <v>3.0</v>
      </c>
      <c r="J687" s="6" t="s">
        <v>178</v>
      </c>
    </row>
    <row r="688" ht="22.5" customHeight="1">
      <c r="A688" s="6" t="s">
        <v>4153</v>
      </c>
      <c r="B688" s="6" t="s">
        <v>2418</v>
      </c>
      <c r="C688" s="10">
        <v>46063.0</v>
      </c>
      <c r="D688" s="6" t="s">
        <v>242</v>
      </c>
      <c r="E688" s="6" t="s">
        <v>704</v>
      </c>
      <c r="F688" s="6" t="s">
        <v>283</v>
      </c>
      <c r="G688" s="6" t="s">
        <v>458</v>
      </c>
      <c r="H688" s="11" t="s">
        <v>259</v>
      </c>
      <c r="I688" s="12">
        <v>4.0</v>
      </c>
      <c r="J688" s="6" t="s">
        <v>161</v>
      </c>
    </row>
    <row r="689" ht="22.5" customHeight="1">
      <c r="A689" s="6" t="s">
        <v>4159</v>
      </c>
      <c r="B689" s="6" t="s">
        <v>2418</v>
      </c>
      <c r="C689" s="10">
        <v>46064.0</v>
      </c>
      <c r="D689" s="6" t="s">
        <v>391</v>
      </c>
      <c r="E689" s="6" t="s">
        <v>1296</v>
      </c>
      <c r="F689" s="6" t="s">
        <v>283</v>
      </c>
      <c r="G689" s="6" t="s">
        <v>326</v>
      </c>
      <c r="H689" s="10">
        <v>46064.0</v>
      </c>
      <c r="I689" s="12">
        <v>6.0</v>
      </c>
      <c r="J689" s="6" t="s">
        <v>161</v>
      </c>
    </row>
    <row r="690" ht="22.5" customHeight="1">
      <c r="A690" s="6" t="s">
        <v>4162</v>
      </c>
      <c r="B690" s="6" t="s">
        <v>2418</v>
      </c>
      <c r="C690" s="10">
        <v>46065.0</v>
      </c>
      <c r="D690" s="6" t="s">
        <v>289</v>
      </c>
      <c r="E690" s="6" t="s">
        <v>583</v>
      </c>
      <c r="F690" s="6" t="s">
        <v>112</v>
      </c>
      <c r="G690" s="6" t="s">
        <v>458</v>
      </c>
      <c r="H690" s="10">
        <v>46066.0</v>
      </c>
      <c r="I690" s="12">
        <v>9.0</v>
      </c>
      <c r="J690" s="6" t="s">
        <v>161</v>
      </c>
    </row>
    <row r="691" ht="22.5" customHeight="1">
      <c r="A691" s="6" t="s">
        <v>4167</v>
      </c>
      <c r="B691" s="6" t="s">
        <v>2424</v>
      </c>
      <c r="C691" s="10">
        <v>46041.0</v>
      </c>
      <c r="D691" s="6" t="s">
        <v>416</v>
      </c>
      <c r="E691" s="6" t="s">
        <v>1070</v>
      </c>
      <c r="F691" s="6" t="s">
        <v>112</v>
      </c>
      <c r="G691" s="6" t="s">
        <v>369</v>
      </c>
      <c r="H691" s="10">
        <v>46042.0</v>
      </c>
      <c r="I691" s="12">
        <v>10.0</v>
      </c>
      <c r="J691" s="6" t="s">
        <v>161</v>
      </c>
    </row>
    <row r="692" ht="22.5" customHeight="1">
      <c r="A692" s="6" t="s">
        <v>4173</v>
      </c>
      <c r="B692" s="6" t="s">
        <v>2424</v>
      </c>
      <c r="C692" s="10">
        <v>46048.0</v>
      </c>
      <c r="D692" s="6" t="s">
        <v>242</v>
      </c>
      <c r="E692" s="6" t="s">
        <v>1055</v>
      </c>
      <c r="F692" s="6" t="s">
        <v>283</v>
      </c>
      <c r="G692" s="6" t="s">
        <v>477</v>
      </c>
      <c r="H692" s="10">
        <v>46054.0</v>
      </c>
      <c r="I692" s="12">
        <v>5.0</v>
      </c>
      <c r="J692" s="6" t="s">
        <v>161</v>
      </c>
    </row>
    <row r="693" ht="22.5" customHeight="1">
      <c r="A693" s="6" t="s">
        <v>4178</v>
      </c>
      <c r="B693" s="6" t="s">
        <v>2424</v>
      </c>
      <c r="C693" s="10">
        <v>46039.0</v>
      </c>
      <c r="D693" s="6" t="s">
        <v>289</v>
      </c>
      <c r="E693" s="6" t="s">
        <v>1386</v>
      </c>
      <c r="F693" s="6" t="s">
        <v>283</v>
      </c>
      <c r="G693" s="6" t="s">
        <v>494</v>
      </c>
      <c r="H693" s="11" t="s">
        <v>259</v>
      </c>
      <c r="I693" s="12">
        <v>5.0</v>
      </c>
      <c r="J693" s="6" t="s">
        <v>161</v>
      </c>
    </row>
    <row r="694" ht="22.5" customHeight="1">
      <c r="A694" s="6" t="s">
        <v>4180</v>
      </c>
      <c r="B694" s="6" t="s">
        <v>2431</v>
      </c>
      <c r="C694" s="10">
        <v>46034.0</v>
      </c>
      <c r="D694" s="6" t="s">
        <v>416</v>
      </c>
      <c r="E694" s="6" t="s">
        <v>365</v>
      </c>
      <c r="F694" s="6" t="s">
        <v>283</v>
      </c>
      <c r="G694" s="6" t="s">
        <v>477</v>
      </c>
      <c r="H694" s="10">
        <v>46035.0</v>
      </c>
      <c r="I694" s="12">
        <v>8.0</v>
      </c>
      <c r="J694" s="6" t="s">
        <v>161</v>
      </c>
    </row>
    <row r="695" ht="22.5" customHeight="1">
      <c r="A695" s="6" t="s">
        <v>4182</v>
      </c>
      <c r="B695" s="6" t="s">
        <v>2431</v>
      </c>
      <c r="C695" s="10">
        <v>46043.0</v>
      </c>
      <c r="D695" s="6" t="s">
        <v>416</v>
      </c>
      <c r="E695" s="6" t="s">
        <v>658</v>
      </c>
      <c r="F695" s="6" t="s">
        <v>439</v>
      </c>
      <c r="G695" s="6" t="s">
        <v>297</v>
      </c>
      <c r="H695" s="10">
        <v>46046.0</v>
      </c>
      <c r="I695" s="12">
        <v>13.0</v>
      </c>
      <c r="J695" s="6" t="s">
        <v>161</v>
      </c>
    </row>
    <row r="696" ht="22.5" customHeight="1">
      <c r="A696" s="6" t="s">
        <v>4186</v>
      </c>
      <c r="B696" s="6" t="s">
        <v>2437</v>
      </c>
      <c r="C696" s="10">
        <v>46028.0</v>
      </c>
      <c r="D696" s="6" t="s">
        <v>416</v>
      </c>
      <c r="E696" s="6" t="s">
        <v>1310</v>
      </c>
      <c r="F696" s="6" t="s">
        <v>283</v>
      </c>
      <c r="G696" s="6" t="s">
        <v>369</v>
      </c>
      <c r="H696" s="11" t="s">
        <v>259</v>
      </c>
      <c r="I696" s="12">
        <v>14.0</v>
      </c>
      <c r="J696" s="6" t="s">
        <v>161</v>
      </c>
    </row>
    <row r="697" ht="22.5" customHeight="1">
      <c r="A697" s="6" t="s">
        <v>4191</v>
      </c>
      <c r="B697" s="6" t="s">
        <v>2443</v>
      </c>
      <c r="C697" s="10">
        <v>46046.0</v>
      </c>
      <c r="D697" s="6" t="s">
        <v>312</v>
      </c>
      <c r="E697" s="6" t="s">
        <v>466</v>
      </c>
      <c r="F697" s="6" t="s">
        <v>439</v>
      </c>
      <c r="G697" s="6" t="s">
        <v>477</v>
      </c>
      <c r="H697" s="10">
        <v>46049.0</v>
      </c>
      <c r="I697" s="12">
        <v>7.0</v>
      </c>
      <c r="J697" s="6" t="s">
        <v>161</v>
      </c>
    </row>
    <row r="698" ht="22.5" customHeight="1">
      <c r="A698" s="6" t="s">
        <v>4194</v>
      </c>
      <c r="B698" s="6" t="s">
        <v>2443</v>
      </c>
      <c r="C698" s="10">
        <v>46039.0</v>
      </c>
      <c r="D698" s="6" t="s">
        <v>677</v>
      </c>
      <c r="E698" s="6" t="s">
        <v>618</v>
      </c>
      <c r="F698" s="6" t="s">
        <v>439</v>
      </c>
      <c r="G698" s="6" t="s">
        <v>369</v>
      </c>
      <c r="H698" s="10">
        <v>46045.0</v>
      </c>
      <c r="I698" s="12">
        <v>2.0</v>
      </c>
      <c r="J698" s="6" t="s">
        <v>161</v>
      </c>
    </row>
    <row r="699" ht="22.5" customHeight="1">
      <c r="A699" s="6" t="s">
        <v>4199</v>
      </c>
      <c r="B699" s="6" t="s">
        <v>2443</v>
      </c>
      <c r="C699" s="10">
        <v>46030.0</v>
      </c>
      <c r="D699" s="6" t="s">
        <v>242</v>
      </c>
      <c r="E699" s="6" t="s">
        <v>475</v>
      </c>
      <c r="F699" s="6" t="s">
        <v>249</v>
      </c>
      <c r="G699" s="6" t="s">
        <v>369</v>
      </c>
      <c r="H699" s="11" t="s">
        <v>259</v>
      </c>
      <c r="I699" s="12">
        <v>5.0</v>
      </c>
      <c r="J699" s="6" t="s">
        <v>178</v>
      </c>
    </row>
    <row r="700" ht="22.5" customHeight="1">
      <c r="A700" s="6" t="s">
        <v>4203</v>
      </c>
      <c r="B700" s="6" t="s">
        <v>2443</v>
      </c>
      <c r="C700" s="10">
        <v>46046.0</v>
      </c>
      <c r="D700" s="6" t="s">
        <v>436</v>
      </c>
      <c r="E700" s="6" t="s">
        <v>634</v>
      </c>
      <c r="F700" s="6" t="s">
        <v>283</v>
      </c>
      <c r="G700" s="6" t="s">
        <v>369</v>
      </c>
      <c r="H700" s="10">
        <v>46052.0</v>
      </c>
      <c r="I700" s="12">
        <v>11.0</v>
      </c>
      <c r="J700" s="6" t="s">
        <v>178</v>
      </c>
    </row>
    <row r="701" ht="22.5" customHeight="1">
      <c r="A701" s="6" t="s">
        <v>4208</v>
      </c>
      <c r="B701" s="6" t="s">
        <v>2443</v>
      </c>
      <c r="C701" s="10">
        <v>46037.0</v>
      </c>
      <c r="D701" s="6" t="s">
        <v>391</v>
      </c>
      <c r="E701" s="6" t="s">
        <v>1969</v>
      </c>
      <c r="F701" s="6" t="s">
        <v>112</v>
      </c>
      <c r="G701" s="6" t="s">
        <v>458</v>
      </c>
      <c r="H701" s="10">
        <v>46042.0</v>
      </c>
      <c r="I701" s="12">
        <v>7.0</v>
      </c>
      <c r="J701" s="6" t="s">
        <v>161</v>
      </c>
    </row>
    <row r="702" ht="22.5" customHeight="1">
      <c r="A702" s="6" t="s">
        <v>4214</v>
      </c>
      <c r="B702" s="6" t="s">
        <v>2449</v>
      </c>
      <c r="C702" s="10">
        <v>46073.0</v>
      </c>
      <c r="D702" s="6" t="s">
        <v>436</v>
      </c>
      <c r="E702" s="6" t="s">
        <v>1035</v>
      </c>
      <c r="F702" s="6" t="s">
        <v>439</v>
      </c>
      <c r="G702" s="6" t="s">
        <v>297</v>
      </c>
      <c r="H702" s="10">
        <v>46073.0</v>
      </c>
      <c r="I702" s="12">
        <v>7.0</v>
      </c>
      <c r="J702" s="6" t="s">
        <v>178</v>
      </c>
    </row>
    <row r="703" ht="22.5" customHeight="1">
      <c r="A703" s="6" t="s">
        <v>4218</v>
      </c>
      <c r="B703" s="6" t="s">
        <v>2456</v>
      </c>
      <c r="C703" s="10">
        <v>46060.0</v>
      </c>
      <c r="D703" s="6" t="s">
        <v>391</v>
      </c>
      <c r="E703" s="6" t="s">
        <v>1552</v>
      </c>
      <c r="F703" s="6" t="s">
        <v>439</v>
      </c>
      <c r="G703" s="6" t="s">
        <v>369</v>
      </c>
      <c r="H703" s="10">
        <v>46061.0</v>
      </c>
      <c r="I703" s="12">
        <v>7.0</v>
      </c>
      <c r="J703" s="6" t="s">
        <v>161</v>
      </c>
    </row>
    <row r="704" ht="22.5" customHeight="1">
      <c r="A704" s="6" t="s">
        <v>4224</v>
      </c>
      <c r="B704" s="6" t="s">
        <v>2456</v>
      </c>
      <c r="C704" s="10">
        <v>46055.0</v>
      </c>
      <c r="D704" s="6" t="s">
        <v>391</v>
      </c>
      <c r="E704" s="6" t="s">
        <v>628</v>
      </c>
      <c r="F704" s="6" t="s">
        <v>283</v>
      </c>
      <c r="G704" s="6" t="s">
        <v>452</v>
      </c>
      <c r="H704" s="10">
        <v>46057.0</v>
      </c>
      <c r="I704" s="12">
        <v>8.0</v>
      </c>
      <c r="J704" s="6" t="s">
        <v>161</v>
      </c>
    </row>
    <row r="705" ht="22.5" customHeight="1">
      <c r="A705" s="6" t="s">
        <v>4230</v>
      </c>
      <c r="B705" s="6" t="s">
        <v>2456</v>
      </c>
      <c r="C705" s="10">
        <v>46057.0</v>
      </c>
      <c r="D705" s="6" t="s">
        <v>391</v>
      </c>
      <c r="E705" s="6" t="s">
        <v>658</v>
      </c>
      <c r="F705" s="6" t="s">
        <v>439</v>
      </c>
      <c r="G705" s="6" t="s">
        <v>369</v>
      </c>
      <c r="H705" s="11" t="s">
        <v>259</v>
      </c>
      <c r="I705" s="12">
        <v>6.0</v>
      </c>
      <c r="J705" s="6" t="s">
        <v>161</v>
      </c>
    </row>
    <row r="706" ht="22.5" customHeight="1">
      <c r="A706" s="6" t="s">
        <v>4235</v>
      </c>
      <c r="B706" s="6" t="s">
        <v>2462</v>
      </c>
      <c r="C706" s="10">
        <v>46060.0</v>
      </c>
      <c r="D706" s="6" t="s">
        <v>416</v>
      </c>
      <c r="E706" s="6" t="s">
        <v>658</v>
      </c>
      <c r="F706" s="6" t="s">
        <v>112</v>
      </c>
      <c r="G706" s="6" t="s">
        <v>494</v>
      </c>
      <c r="H706" s="10">
        <v>46060.0</v>
      </c>
      <c r="I706" s="12">
        <v>8.0</v>
      </c>
      <c r="J706" s="6" t="s">
        <v>161</v>
      </c>
    </row>
    <row r="707" ht="22.5" customHeight="1">
      <c r="A707" s="6" t="s">
        <v>4239</v>
      </c>
      <c r="B707" s="6" t="s">
        <v>2468</v>
      </c>
      <c r="C707" s="10">
        <v>46072.0</v>
      </c>
      <c r="D707" s="6" t="s">
        <v>391</v>
      </c>
      <c r="E707" s="6" t="s">
        <v>1386</v>
      </c>
      <c r="F707" s="6" t="s">
        <v>112</v>
      </c>
      <c r="G707" s="6" t="s">
        <v>458</v>
      </c>
      <c r="H707" s="11" t="s">
        <v>259</v>
      </c>
      <c r="I707" s="12">
        <v>8.0</v>
      </c>
      <c r="J707" s="6" t="s">
        <v>161</v>
      </c>
    </row>
    <row r="708" ht="22.5" customHeight="1">
      <c r="A708" s="6" t="s">
        <v>4243</v>
      </c>
      <c r="B708" s="6" t="s">
        <v>2475</v>
      </c>
      <c r="C708" s="10">
        <v>46048.0</v>
      </c>
      <c r="D708" s="6" t="s">
        <v>677</v>
      </c>
      <c r="E708" s="6" t="s">
        <v>1149</v>
      </c>
      <c r="F708" s="6" t="s">
        <v>283</v>
      </c>
      <c r="G708" s="6" t="s">
        <v>477</v>
      </c>
      <c r="H708" s="10">
        <v>46051.0</v>
      </c>
      <c r="I708" s="12">
        <v>4.0</v>
      </c>
      <c r="J708" s="6" t="s">
        <v>161</v>
      </c>
    </row>
    <row r="709" ht="22.5" customHeight="1">
      <c r="A709" s="6" t="s">
        <v>4246</v>
      </c>
      <c r="B709" s="6" t="s">
        <v>2475</v>
      </c>
      <c r="C709" s="10">
        <v>46045.0</v>
      </c>
      <c r="D709" s="6" t="s">
        <v>289</v>
      </c>
      <c r="E709" s="6" t="s">
        <v>1720</v>
      </c>
      <c r="F709" s="6" t="s">
        <v>112</v>
      </c>
      <c r="G709" s="6" t="s">
        <v>458</v>
      </c>
      <c r="H709" s="10">
        <v>46050.0</v>
      </c>
      <c r="I709" s="12">
        <v>5.0</v>
      </c>
      <c r="J709" s="6" t="s">
        <v>161</v>
      </c>
    </row>
    <row r="710" ht="22.5" customHeight="1">
      <c r="A710" s="6" t="s">
        <v>4250</v>
      </c>
      <c r="B710" s="6" t="s">
        <v>2475</v>
      </c>
      <c r="C710" s="10">
        <v>46057.0</v>
      </c>
      <c r="D710" s="6" t="s">
        <v>312</v>
      </c>
      <c r="E710" s="6" t="s">
        <v>695</v>
      </c>
      <c r="F710" s="6" t="s">
        <v>112</v>
      </c>
      <c r="G710" s="6" t="s">
        <v>254</v>
      </c>
      <c r="H710" s="11" t="s">
        <v>259</v>
      </c>
      <c r="I710" s="12">
        <v>5.0</v>
      </c>
      <c r="J710" s="6" t="s">
        <v>161</v>
      </c>
    </row>
    <row r="711" ht="22.5" customHeight="1">
      <c r="A711" s="6" t="s">
        <v>4252</v>
      </c>
      <c r="B711" s="6" t="s">
        <v>2475</v>
      </c>
      <c r="C711" s="10">
        <v>46046.0</v>
      </c>
      <c r="D711" s="6" t="s">
        <v>677</v>
      </c>
      <c r="E711" s="6" t="s">
        <v>1149</v>
      </c>
      <c r="F711" s="6" t="s">
        <v>439</v>
      </c>
      <c r="G711" s="6" t="s">
        <v>494</v>
      </c>
      <c r="H711" s="10">
        <v>46046.0</v>
      </c>
      <c r="I711" s="12">
        <v>3.0</v>
      </c>
      <c r="J711" s="6" t="s">
        <v>161</v>
      </c>
    </row>
    <row r="712" ht="22.5" customHeight="1">
      <c r="A712" s="6" t="s">
        <v>4256</v>
      </c>
      <c r="B712" s="6" t="s">
        <v>2475</v>
      </c>
      <c r="C712" s="10">
        <v>46060.0</v>
      </c>
      <c r="D712" s="6" t="s">
        <v>312</v>
      </c>
      <c r="E712" s="6" t="s">
        <v>2365</v>
      </c>
      <c r="F712" s="6" t="s">
        <v>439</v>
      </c>
      <c r="G712" s="6" t="s">
        <v>477</v>
      </c>
      <c r="H712" s="10">
        <v>46063.0</v>
      </c>
      <c r="I712" s="12">
        <v>5.0</v>
      </c>
      <c r="J712" s="6" t="s">
        <v>161</v>
      </c>
    </row>
    <row r="713" ht="22.5" customHeight="1">
      <c r="A713" s="6" t="s">
        <v>4262</v>
      </c>
      <c r="B713" s="6" t="s">
        <v>2480</v>
      </c>
      <c r="C713" s="10">
        <v>46038.0</v>
      </c>
      <c r="D713" s="6" t="s">
        <v>677</v>
      </c>
      <c r="E713" s="6" t="s">
        <v>1122</v>
      </c>
      <c r="F713" s="6" t="s">
        <v>439</v>
      </c>
      <c r="G713" s="6" t="s">
        <v>452</v>
      </c>
      <c r="H713" s="10">
        <v>46041.0</v>
      </c>
      <c r="I713" s="12">
        <v>4.0</v>
      </c>
      <c r="J713" s="6" t="s">
        <v>161</v>
      </c>
    </row>
    <row r="714" ht="22.5" customHeight="1">
      <c r="A714" s="6" t="s">
        <v>4266</v>
      </c>
      <c r="B714" s="6" t="s">
        <v>2486</v>
      </c>
      <c r="C714" s="10">
        <v>46049.0</v>
      </c>
      <c r="D714" s="6" t="s">
        <v>416</v>
      </c>
      <c r="E714" s="6" t="s">
        <v>291</v>
      </c>
      <c r="F714" s="6" t="s">
        <v>439</v>
      </c>
      <c r="G714" s="6" t="s">
        <v>458</v>
      </c>
      <c r="H714" s="10">
        <v>46054.0</v>
      </c>
      <c r="I714" s="12">
        <v>13.0</v>
      </c>
      <c r="J714" s="6" t="s">
        <v>161</v>
      </c>
    </row>
    <row r="715" ht="22.5" customHeight="1">
      <c r="A715" s="6" t="s">
        <v>4270</v>
      </c>
      <c r="B715" s="6" t="s">
        <v>2486</v>
      </c>
      <c r="C715" s="10">
        <v>46052.0</v>
      </c>
      <c r="D715" s="6" t="s">
        <v>312</v>
      </c>
      <c r="E715" s="6" t="s">
        <v>394</v>
      </c>
      <c r="F715" s="6" t="s">
        <v>112</v>
      </c>
      <c r="G715" s="6" t="s">
        <v>458</v>
      </c>
      <c r="H715" s="10">
        <v>46056.0</v>
      </c>
      <c r="I715" s="12">
        <v>5.0</v>
      </c>
      <c r="J715" s="6" t="s">
        <v>161</v>
      </c>
    </row>
    <row r="716" ht="22.5" customHeight="1">
      <c r="A716" s="6" t="s">
        <v>4275</v>
      </c>
      <c r="B716" s="6" t="s">
        <v>2486</v>
      </c>
      <c r="C716" s="10">
        <v>46059.0</v>
      </c>
      <c r="D716" s="6" t="s">
        <v>391</v>
      </c>
      <c r="E716" s="6" t="s">
        <v>687</v>
      </c>
      <c r="F716" s="6" t="s">
        <v>112</v>
      </c>
      <c r="G716" s="6" t="s">
        <v>458</v>
      </c>
      <c r="H716" s="10">
        <v>46064.0</v>
      </c>
      <c r="I716" s="12">
        <v>9.0</v>
      </c>
      <c r="J716" s="6" t="s">
        <v>161</v>
      </c>
    </row>
    <row r="717" ht="22.5" customHeight="1">
      <c r="A717" s="6" t="s">
        <v>4277</v>
      </c>
      <c r="B717" s="6" t="s">
        <v>2486</v>
      </c>
      <c r="C717" s="10">
        <v>46047.0</v>
      </c>
      <c r="D717" s="6" t="s">
        <v>312</v>
      </c>
      <c r="E717" s="6" t="s">
        <v>1102</v>
      </c>
      <c r="F717" s="6" t="s">
        <v>249</v>
      </c>
      <c r="G717" s="6" t="s">
        <v>477</v>
      </c>
      <c r="H717" s="11" t="s">
        <v>259</v>
      </c>
      <c r="I717" s="12">
        <v>4.0</v>
      </c>
      <c r="J717" s="6" t="s">
        <v>161</v>
      </c>
    </row>
    <row r="718" ht="22.5" customHeight="1">
      <c r="A718" s="6" t="s">
        <v>4282</v>
      </c>
      <c r="B718" s="6" t="s">
        <v>2486</v>
      </c>
      <c r="C718" s="10">
        <v>46063.0</v>
      </c>
      <c r="D718" s="6" t="s">
        <v>289</v>
      </c>
      <c r="E718" s="6" t="s">
        <v>738</v>
      </c>
      <c r="F718" s="6" t="s">
        <v>112</v>
      </c>
      <c r="G718" s="6" t="s">
        <v>452</v>
      </c>
      <c r="H718" s="10">
        <v>46069.0</v>
      </c>
      <c r="I718" s="12">
        <v>8.0</v>
      </c>
      <c r="J718" s="6" t="s">
        <v>161</v>
      </c>
    </row>
    <row r="719" ht="22.5" customHeight="1">
      <c r="A719" s="6" t="s">
        <v>4287</v>
      </c>
      <c r="B719" s="6" t="s">
        <v>2492</v>
      </c>
      <c r="C719" s="10">
        <v>46054.0</v>
      </c>
      <c r="D719" s="6" t="s">
        <v>677</v>
      </c>
      <c r="E719" s="6" t="s">
        <v>246</v>
      </c>
      <c r="F719" s="6" t="s">
        <v>249</v>
      </c>
      <c r="G719" s="6" t="s">
        <v>494</v>
      </c>
      <c r="H719" s="11" t="s">
        <v>259</v>
      </c>
      <c r="I719" s="12">
        <v>2.0</v>
      </c>
      <c r="J719" s="6" t="s">
        <v>161</v>
      </c>
    </row>
    <row r="720" ht="22.5" customHeight="1">
      <c r="A720" s="6" t="s">
        <v>4290</v>
      </c>
      <c r="B720" s="6" t="s">
        <v>2492</v>
      </c>
      <c r="C720" s="10">
        <v>46052.0</v>
      </c>
      <c r="D720" s="6" t="s">
        <v>242</v>
      </c>
      <c r="E720" s="6" t="s">
        <v>738</v>
      </c>
      <c r="F720" s="6" t="s">
        <v>439</v>
      </c>
      <c r="G720" s="6" t="s">
        <v>254</v>
      </c>
      <c r="H720" s="10">
        <v>46059.0</v>
      </c>
      <c r="I720" s="12">
        <v>3.0</v>
      </c>
      <c r="J720" s="6" t="s">
        <v>178</v>
      </c>
    </row>
    <row r="721" ht="22.5" customHeight="1">
      <c r="A721" s="6" t="s">
        <v>4295</v>
      </c>
      <c r="B721" s="6" t="s">
        <v>2492</v>
      </c>
      <c r="C721" s="10">
        <v>46052.0</v>
      </c>
      <c r="D721" s="6" t="s">
        <v>312</v>
      </c>
      <c r="E721" s="6" t="s">
        <v>695</v>
      </c>
      <c r="F721" s="6" t="s">
        <v>112</v>
      </c>
      <c r="G721" s="6" t="s">
        <v>452</v>
      </c>
      <c r="H721" s="10">
        <v>46056.0</v>
      </c>
      <c r="I721" s="12">
        <v>5.0</v>
      </c>
      <c r="J721" s="6" t="s">
        <v>161</v>
      </c>
    </row>
    <row r="722" ht="22.5" customHeight="1">
      <c r="A722" s="6" t="s">
        <v>4301</v>
      </c>
      <c r="B722" s="6" t="s">
        <v>2499</v>
      </c>
      <c r="C722" s="10">
        <v>46049.0</v>
      </c>
      <c r="D722" s="6" t="s">
        <v>289</v>
      </c>
      <c r="E722" s="6" t="s">
        <v>695</v>
      </c>
      <c r="F722" s="6" t="s">
        <v>439</v>
      </c>
      <c r="G722" s="6" t="s">
        <v>369</v>
      </c>
      <c r="H722" s="11" t="s">
        <v>259</v>
      </c>
      <c r="I722" s="12">
        <v>7.0</v>
      </c>
      <c r="J722" s="6" t="s">
        <v>161</v>
      </c>
    </row>
    <row r="723" ht="22.5" customHeight="1">
      <c r="A723" s="6" t="s">
        <v>4306</v>
      </c>
      <c r="B723" s="6" t="s">
        <v>2499</v>
      </c>
      <c r="C723" s="10">
        <v>46058.0</v>
      </c>
      <c r="D723" s="6" t="s">
        <v>289</v>
      </c>
      <c r="E723" s="6" t="s">
        <v>1241</v>
      </c>
      <c r="F723" s="6" t="s">
        <v>249</v>
      </c>
      <c r="G723" s="6" t="s">
        <v>477</v>
      </c>
      <c r="H723" s="10">
        <v>46064.0</v>
      </c>
      <c r="I723" s="12">
        <v>10.0</v>
      </c>
      <c r="J723" s="6" t="s">
        <v>161</v>
      </c>
    </row>
    <row r="724" ht="22.5" customHeight="1">
      <c r="A724" s="6" t="s">
        <v>4314</v>
      </c>
      <c r="B724" s="6" t="s">
        <v>2499</v>
      </c>
      <c r="C724" s="10">
        <v>46051.0</v>
      </c>
      <c r="D724" s="6" t="s">
        <v>242</v>
      </c>
      <c r="E724" s="6" t="s">
        <v>1546</v>
      </c>
      <c r="F724" s="6" t="s">
        <v>112</v>
      </c>
      <c r="G724" s="6" t="s">
        <v>477</v>
      </c>
      <c r="H724" s="11" t="s">
        <v>259</v>
      </c>
      <c r="I724" s="12">
        <v>6.0</v>
      </c>
      <c r="J724" s="6" t="s">
        <v>178</v>
      </c>
    </row>
    <row r="725" ht="22.5" customHeight="1">
      <c r="A725" s="6" t="s">
        <v>4318</v>
      </c>
      <c r="B725" s="6" t="s">
        <v>2506</v>
      </c>
      <c r="C725" s="10">
        <v>46083.0</v>
      </c>
      <c r="D725" s="6" t="s">
        <v>391</v>
      </c>
      <c r="E725" s="6" t="s">
        <v>670</v>
      </c>
      <c r="F725" s="6" t="s">
        <v>249</v>
      </c>
      <c r="G725" s="6" t="s">
        <v>254</v>
      </c>
      <c r="H725" s="10">
        <v>46089.0</v>
      </c>
      <c r="I725" s="12">
        <v>11.0</v>
      </c>
      <c r="J725" s="6" t="s">
        <v>161</v>
      </c>
    </row>
    <row r="726" ht="22.5" customHeight="1">
      <c r="A726" s="6" t="s">
        <v>4324</v>
      </c>
      <c r="B726" s="6" t="s">
        <v>2506</v>
      </c>
      <c r="C726" s="10">
        <v>46081.0</v>
      </c>
      <c r="D726" s="6" t="s">
        <v>242</v>
      </c>
      <c r="E726" s="6" t="s">
        <v>885</v>
      </c>
      <c r="F726" s="6" t="s">
        <v>283</v>
      </c>
      <c r="G726" s="6" t="s">
        <v>458</v>
      </c>
      <c r="H726" s="10">
        <v>46082.0</v>
      </c>
      <c r="I726" s="12">
        <v>5.0</v>
      </c>
      <c r="J726" s="6" t="s">
        <v>161</v>
      </c>
    </row>
    <row r="727" ht="22.5" customHeight="1">
      <c r="A727" s="6" t="s">
        <v>4327</v>
      </c>
      <c r="B727" s="6" t="s">
        <v>2506</v>
      </c>
      <c r="C727" s="10">
        <v>46075.0</v>
      </c>
      <c r="D727" s="6" t="s">
        <v>436</v>
      </c>
      <c r="E727" s="6" t="s">
        <v>365</v>
      </c>
      <c r="F727" s="6" t="s">
        <v>112</v>
      </c>
      <c r="G727" s="6" t="s">
        <v>494</v>
      </c>
      <c r="H727" s="10">
        <v>46077.0</v>
      </c>
      <c r="I727" s="12">
        <v>12.0</v>
      </c>
      <c r="J727" s="6" t="s">
        <v>161</v>
      </c>
    </row>
    <row r="728" ht="22.5" customHeight="1">
      <c r="A728" s="6" t="s">
        <v>4332</v>
      </c>
      <c r="B728" s="6" t="s">
        <v>2506</v>
      </c>
      <c r="C728" s="10">
        <v>46082.0</v>
      </c>
      <c r="D728" s="6" t="s">
        <v>677</v>
      </c>
      <c r="E728" s="6" t="s">
        <v>812</v>
      </c>
      <c r="F728" s="6" t="s">
        <v>249</v>
      </c>
      <c r="G728" s="6" t="s">
        <v>254</v>
      </c>
      <c r="H728" s="11" t="s">
        <v>259</v>
      </c>
      <c r="I728" s="12">
        <v>2.0</v>
      </c>
      <c r="J728" s="6" t="s">
        <v>161</v>
      </c>
    </row>
    <row r="729" ht="22.5" customHeight="1">
      <c r="A729" s="6" t="s">
        <v>4337</v>
      </c>
      <c r="B729" s="6" t="s">
        <v>2506</v>
      </c>
      <c r="C729" s="10">
        <v>46063.0</v>
      </c>
      <c r="D729" s="6" t="s">
        <v>289</v>
      </c>
      <c r="E729" s="6" t="s">
        <v>1035</v>
      </c>
      <c r="F729" s="6" t="s">
        <v>283</v>
      </c>
      <c r="G729" s="6" t="s">
        <v>254</v>
      </c>
      <c r="H729" s="10">
        <v>46064.0</v>
      </c>
      <c r="I729" s="12">
        <v>5.0</v>
      </c>
      <c r="J729" s="6" t="s">
        <v>161</v>
      </c>
    </row>
    <row r="730" ht="22.5" customHeight="1">
      <c r="A730" s="6" t="s">
        <v>4343</v>
      </c>
      <c r="B730" s="6" t="s">
        <v>2512</v>
      </c>
      <c r="C730" s="10">
        <v>46037.0</v>
      </c>
      <c r="D730" s="6" t="s">
        <v>242</v>
      </c>
      <c r="E730" s="6" t="s">
        <v>695</v>
      </c>
      <c r="F730" s="6" t="s">
        <v>249</v>
      </c>
      <c r="G730" s="6" t="s">
        <v>477</v>
      </c>
      <c r="H730" s="10">
        <v>46043.0</v>
      </c>
      <c r="I730" s="12">
        <v>3.0</v>
      </c>
      <c r="J730" s="6" t="s">
        <v>178</v>
      </c>
    </row>
    <row r="731" ht="22.5" customHeight="1">
      <c r="A731" s="6" t="s">
        <v>4347</v>
      </c>
      <c r="B731" s="6" t="s">
        <v>2512</v>
      </c>
      <c r="C731" s="10">
        <v>46052.0</v>
      </c>
      <c r="D731" s="6" t="s">
        <v>312</v>
      </c>
      <c r="E731" s="6" t="s">
        <v>1310</v>
      </c>
      <c r="F731" s="6" t="s">
        <v>249</v>
      </c>
      <c r="G731" s="6" t="s">
        <v>494</v>
      </c>
      <c r="H731" s="11" t="s">
        <v>259</v>
      </c>
      <c r="I731" s="12">
        <v>5.0</v>
      </c>
      <c r="J731" s="6" t="s">
        <v>161</v>
      </c>
    </row>
    <row r="732" ht="22.5" customHeight="1">
      <c r="A732" s="6" t="s">
        <v>4352</v>
      </c>
      <c r="B732" s="6" t="s">
        <v>2512</v>
      </c>
      <c r="C732" s="10">
        <v>46041.0</v>
      </c>
      <c r="D732" s="6" t="s">
        <v>416</v>
      </c>
      <c r="E732" s="6" t="s">
        <v>798</v>
      </c>
      <c r="F732" s="6" t="s">
        <v>112</v>
      </c>
      <c r="G732" s="6" t="s">
        <v>297</v>
      </c>
      <c r="H732" s="10">
        <v>46044.0</v>
      </c>
      <c r="I732" s="12">
        <v>10.0</v>
      </c>
      <c r="J732" s="6" t="s">
        <v>161</v>
      </c>
    </row>
    <row r="733" ht="22.5" customHeight="1">
      <c r="A733" s="6" t="s">
        <v>4356</v>
      </c>
      <c r="B733" s="6" t="s">
        <v>2512</v>
      </c>
      <c r="C733" s="10">
        <v>46044.0</v>
      </c>
      <c r="D733" s="6" t="s">
        <v>436</v>
      </c>
      <c r="E733" s="6" t="s">
        <v>365</v>
      </c>
      <c r="F733" s="6" t="s">
        <v>439</v>
      </c>
      <c r="G733" s="6" t="s">
        <v>458</v>
      </c>
      <c r="H733" s="10">
        <v>46046.0</v>
      </c>
      <c r="I733" s="12">
        <v>9.0</v>
      </c>
      <c r="J733" s="6" t="s">
        <v>178</v>
      </c>
    </row>
    <row r="734" ht="22.5" customHeight="1">
      <c r="A734" s="6" t="s">
        <v>4360</v>
      </c>
      <c r="B734" s="6" t="s">
        <v>2512</v>
      </c>
      <c r="C734" s="10">
        <v>46048.0</v>
      </c>
      <c r="D734" s="6" t="s">
        <v>436</v>
      </c>
      <c r="E734" s="6" t="s">
        <v>450</v>
      </c>
      <c r="F734" s="6" t="s">
        <v>283</v>
      </c>
      <c r="G734" s="6" t="s">
        <v>458</v>
      </c>
      <c r="H734" s="10">
        <v>46054.0</v>
      </c>
      <c r="I734" s="12">
        <v>10.0</v>
      </c>
      <c r="J734" s="6" t="s">
        <v>178</v>
      </c>
    </row>
    <row r="735" ht="22.5" customHeight="1">
      <c r="A735" s="6" t="s">
        <v>4365</v>
      </c>
      <c r="B735" s="6" t="s">
        <v>2519</v>
      </c>
      <c r="C735" s="10">
        <v>46034.0</v>
      </c>
      <c r="D735" s="6" t="s">
        <v>289</v>
      </c>
      <c r="E735" s="6" t="s">
        <v>896</v>
      </c>
      <c r="F735" s="6" t="s">
        <v>439</v>
      </c>
      <c r="G735" s="6" t="s">
        <v>254</v>
      </c>
      <c r="H735" s="10">
        <v>46034.0</v>
      </c>
      <c r="I735" s="12">
        <v>10.0</v>
      </c>
      <c r="J735" s="6" t="s">
        <v>161</v>
      </c>
    </row>
    <row r="736" ht="22.5" customHeight="1">
      <c r="A736" s="6" t="s">
        <v>4370</v>
      </c>
      <c r="B736" s="6" t="s">
        <v>2525</v>
      </c>
      <c r="C736" s="10">
        <v>46036.0</v>
      </c>
      <c r="D736" s="6" t="s">
        <v>391</v>
      </c>
      <c r="E736" s="6" t="s">
        <v>466</v>
      </c>
      <c r="F736" s="6" t="s">
        <v>439</v>
      </c>
      <c r="G736" s="6" t="s">
        <v>494</v>
      </c>
      <c r="H736" s="10">
        <v>46037.0</v>
      </c>
      <c r="I736" s="12">
        <v>11.0</v>
      </c>
      <c r="J736" s="6" t="s">
        <v>161</v>
      </c>
    </row>
    <row r="737" ht="22.5" customHeight="1">
      <c r="A737" s="6" t="s">
        <v>4376</v>
      </c>
      <c r="B737" s="6" t="s">
        <v>2525</v>
      </c>
      <c r="C737" s="10">
        <v>46028.0</v>
      </c>
      <c r="D737" s="6" t="s">
        <v>312</v>
      </c>
      <c r="E737" s="6" t="s">
        <v>1600</v>
      </c>
      <c r="F737" s="6" t="s">
        <v>112</v>
      </c>
      <c r="G737" s="6" t="s">
        <v>452</v>
      </c>
      <c r="H737" s="10">
        <v>46033.0</v>
      </c>
      <c r="I737" s="12">
        <v>4.0</v>
      </c>
      <c r="J737" s="6" t="s">
        <v>161</v>
      </c>
    </row>
    <row r="738" ht="22.5" customHeight="1">
      <c r="A738" s="6" t="s">
        <v>4380</v>
      </c>
      <c r="B738" s="6" t="s">
        <v>2531</v>
      </c>
      <c r="C738" s="10">
        <v>46073.0</v>
      </c>
      <c r="D738" s="6" t="s">
        <v>677</v>
      </c>
      <c r="E738" s="6" t="s">
        <v>1035</v>
      </c>
      <c r="F738" s="6" t="s">
        <v>439</v>
      </c>
      <c r="G738" s="6" t="s">
        <v>297</v>
      </c>
      <c r="H738" s="11" t="s">
        <v>259</v>
      </c>
      <c r="I738" s="12">
        <v>2.0</v>
      </c>
      <c r="J738" s="6" t="s">
        <v>161</v>
      </c>
    </row>
    <row r="739" ht="22.5" customHeight="1">
      <c r="A739" s="6" t="s">
        <v>4386</v>
      </c>
      <c r="B739" s="6" t="s">
        <v>2531</v>
      </c>
      <c r="C739" s="10">
        <v>46071.0</v>
      </c>
      <c r="D739" s="6" t="s">
        <v>677</v>
      </c>
      <c r="E739" s="6" t="s">
        <v>450</v>
      </c>
      <c r="F739" s="6" t="s">
        <v>249</v>
      </c>
      <c r="G739" s="6" t="s">
        <v>326</v>
      </c>
      <c r="H739" s="10">
        <v>46071.0</v>
      </c>
      <c r="I739" s="12">
        <v>2.0</v>
      </c>
      <c r="J739" s="6" t="s">
        <v>161</v>
      </c>
    </row>
    <row r="740" ht="22.5" customHeight="1">
      <c r="A740" s="6" t="s">
        <v>4392</v>
      </c>
      <c r="B740" s="6" t="s">
        <v>2538</v>
      </c>
      <c r="C740" s="10">
        <v>46080.0</v>
      </c>
      <c r="D740" s="6" t="s">
        <v>289</v>
      </c>
      <c r="E740" s="6" t="s">
        <v>618</v>
      </c>
      <c r="F740" s="6" t="s">
        <v>112</v>
      </c>
      <c r="G740" s="6" t="s">
        <v>254</v>
      </c>
      <c r="H740" s="10">
        <v>46081.0</v>
      </c>
      <c r="I740" s="12">
        <v>10.0</v>
      </c>
      <c r="J740" s="6" t="s">
        <v>161</v>
      </c>
    </row>
    <row r="741" ht="22.5" customHeight="1">
      <c r="A741" s="6" t="s">
        <v>4398</v>
      </c>
      <c r="B741" s="6" t="s">
        <v>2538</v>
      </c>
      <c r="C741" s="10">
        <v>46074.0</v>
      </c>
      <c r="D741" s="6" t="s">
        <v>242</v>
      </c>
      <c r="E741" s="6" t="s">
        <v>1517</v>
      </c>
      <c r="F741" s="6" t="s">
        <v>439</v>
      </c>
      <c r="G741" s="6" t="s">
        <v>254</v>
      </c>
      <c r="H741" s="10">
        <v>46080.0</v>
      </c>
      <c r="I741" s="12">
        <v>5.0</v>
      </c>
      <c r="J741" s="6" t="s">
        <v>161</v>
      </c>
    </row>
    <row r="742" ht="22.5" customHeight="1">
      <c r="A742" s="6" t="s">
        <v>4401</v>
      </c>
      <c r="B742" s="6" t="s">
        <v>2538</v>
      </c>
      <c r="C742" s="10">
        <v>46072.0</v>
      </c>
      <c r="D742" s="6" t="s">
        <v>289</v>
      </c>
      <c r="E742" s="6" t="s">
        <v>687</v>
      </c>
      <c r="F742" s="6" t="s">
        <v>283</v>
      </c>
      <c r="G742" s="6" t="s">
        <v>458</v>
      </c>
      <c r="H742" s="10">
        <v>46079.0</v>
      </c>
      <c r="I742" s="12">
        <v>5.0</v>
      </c>
      <c r="J742" s="6" t="s">
        <v>161</v>
      </c>
    </row>
    <row r="743" ht="22.5" customHeight="1">
      <c r="A743" s="6" t="s">
        <v>4407</v>
      </c>
      <c r="B743" s="6" t="s">
        <v>2538</v>
      </c>
      <c r="C743" s="10">
        <v>46077.0</v>
      </c>
      <c r="D743" s="6" t="s">
        <v>391</v>
      </c>
      <c r="E743" s="6" t="s">
        <v>833</v>
      </c>
      <c r="F743" s="6" t="s">
        <v>112</v>
      </c>
      <c r="G743" s="6" t="s">
        <v>326</v>
      </c>
      <c r="H743" s="10">
        <v>46081.0</v>
      </c>
      <c r="I743" s="12">
        <v>11.0</v>
      </c>
      <c r="J743" s="6" t="s">
        <v>161</v>
      </c>
    </row>
    <row r="744" ht="22.5" customHeight="1">
      <c r="A744" s="6" t="s">
        <v>4413</v>
      </c>
      <c r="B744" s="6" t="s">
        <v>2544</v>
      </c>
      <c r="C744" s="10">
        <v>46045.0</v>
      </c>
      <c r="D744" s="6" t="s">
        <v>677</v>
      </c>
      <c r="E744" s="6" t="s">
        <v>670</v>
      </c>
      <c r="F744" s="6" t="s">
        <v>283</v>
      </c>
      <c r="G744" s="6" t="s">
        <v>297</v>
      </c>
      <c r="H744" s="10">
        <v>46051.0</v>
      </c>
      <c r="I744" s="12">
        <v>2.0</v>
      </c>
      <c r="J744" s="6" t="s">
        <v>161</v>
      </c>
    </row>
    <row r="745" ht="22.5" customHeight="1">
      <c r="A745" s="6" t="s">
        <v>4417</v>
      </c>
      <c r="B745" s="6" t="s">
        <v>2544</v>
      </c>
      <c r="C745" s="10">
        <v>46030.0</v>
      </c>
      <c r="D745" s="6" t="s">
        <v>312</v>
      </c>
      <c r="E745" s="6" t="s">
        <v>687</v>
      </c>
      <c r="F745" s="6" t="s">
        <v>249</v>
      </c>
      <c r="G745" s="6" t="s">
        <v>369</v>
      </c>
      <c r="H745" s="10">
        <v>46031.0</v>
      </c>
      <c r="I745" s="12">
        <v>6.0</v>
      </c>
      <c r="J745" s="6" t="s">
        <v>161</v>
      </c>
    </row>
    <row r="746" ht="22.5" customHeight="1">
      <c r="A746" s="6" t="s">
        <v>4422</v>
      </c>
      <c r="B746" s="6" t="s">
        <v>2544</v>
      </c>
      <c r="C746" s="10">
        <v>46039.0</v>
      </c>
      <c r="D746" s="6" t="s">
        <v>677</v>
      </c>
      <c r="E746" s="6" t="s">
        <v>716</v>
      </c>
      <c r="F746" s="6" t="s">
        <v>112</v>
      </c>
      <c r="G746" s="6" t="s">
        <v>297</v>
      </c>
      <c r="H746" s="10">
        <v>46040.0</v>
      </c>
      <c r="I746" s="12">
        <v>3.0</v>
      </c>
      <c r="J746" s="6" t="s">
        <v>161</v>
      </c>
    </row>
    <row r="747" ht="22.5" customHeight="1">
      <c r="A747" s="6" t="s">
        <v>4428</v>
      </c>
      <c r="B747" s="6" t="s">
        <v>2551</v>
      </c>
      <c r="C747" s="10">
        <v>46077.0</v>
      </c>
      <c r="D747" s="6" t="s">
        <v>677</v>
      </c>
      <c r="E747" s="6" t="s">
        <v>1626</v>
      </c>
      <c r="F747" s="6" t="s">
        <v>112</v>
      </c>
      <c r="G747" s="6" t="s">
        <v>494</v>
      </c>
      <c r="H747" s="10">
        <v>46081.0</v>
      </c>
      <c r="I747" s="12">
        <v>4.0</v>
      </c>
      <c r="J747" s="6" t="s">
        <v>161</v>
      </c>
    </row>
    <row r="748" ht="22.5" customHeight="1">
      <c r="A748" s="6" t="s">
        <v>4431</v>
      </c>
      <c r="B748" s="6" t="s">
        <v>2551</v>
      </c>
      <c r="C748" s="10">
        <v>46080.0</v>
      </c>
      <c r="D748" s="6" t="s">
        <v>436</v>
      </c>
      <c r="E748" s="6" t="s">
        <v>670</v>
      </c>
      <c r="F748" s="6" t="s">
        <v>112</v>
      </c>
      <c r="G748" s="6" t="s">
        <v>297</v>
      </c>
      <c r="H748" s="10">
        <v>46084.0</v>
      </c>
      <c r="I748" s="12">
        <v>9.0</v>
      </c>
      <c r="J748" s="6" t="s">
        <v>178</v>
      </c>
    </row>
    <row r="749" ht="22.5" customHeight="1">
      <c r="A749" s="6" t="s">
        <v>4436</v>
      </c>
      <c r="B749" s="6" t="s">
        <v>2551</v>
      </c>
      <c r="C749" s="10">
        <v>46072.0</v>
      </c>
      <c r="D749" s="6" t="s">
        <v>436</v>
      </c>
      <c r="E749" s="6" t="s">
        <v>1626</v>
      </c>
      <c r="F749" s="6" t="s">
        <v>112</v>
      </c>
      <c r="G749" s="6" t="s">
        <v>494</v>
      </c>
      <c r="H749" s="10">
        <v>46072.0</v>
      </c>
      <c r="I749" s="12">
        <v>6.0</v>
      </c>
      <c r="J749" s="6" t="s">
        <v>178</v>
      </c>
    </row>
    <row r="750" ht="22.5" customHeight="1">
      <c r="A750" s="6" t="s">
        <v>4441</v>
      </c>
      <c r="B750" s="6" t="s">
        <v>2551</v>
      </c>
      <c r="C750" s="10">
        <v>46080.0</v>
      </c>
      <c r="D750" s="6" t="s">
        <v>289</v>
      </c>
      <c r="E750" s="6" t="s">
        <v>1055</v>
      </c>
      <c r="F750" s="6" t="s">
        <v>283</v>
      </c>
      <c r="G750" s="6" t="s">
        <v>326</v>
      </c>
      <c r="H750" s="10">
        <v>46086.0</v>
      </c>
      <c r="I750" s="12">
        <v>6.0</v>
      </c>
      <c r="J750" s="6" t="s">
        <v>161</v>
      </c>
    </row>
    <row r="751" ht="22.5" customHeight="1">
      <c r="A751" s="6" t="s">
        <v>4444</v>
      </c>
      <c r="B751" s="6" t="s">
        <v>2557</v>
      </c>
      <c r="C751" s="10">
        <v>46049.0</v>
      </c>
      <c r="D751" s="6" t="s">
        <v>677</v>
      </c>
      <c r="E751" s="6" t="s">
        <v>695</v>
      </c>
      <c r="F751" s="6" t="s">
        <v>439</v>
      </c>
      <c r="G751" s="6" t="s">
        <v>452</v>
      </c>
      <c r="H751" s="10">
        <v>46054.0</v>
      </c>
      <c r="I751" s="12">
        <v>2.0</v>
      </c>
      <c r="J751" s="6" t="s">
        <v>161</v>
      </c>
    </row>
    <row r="752" ht="22.5" customHeight="1">
      <c r="A752" s="6" t="s">
        <v>4450</v>
      </c>
      <c r="B752" s="6" t="s">
        <v>2557</v>
      </c>
      <c r="C752" s="10">
        <v>46061.0</v>
      </c>
      <c r="D752" s="6" t="s">
        <v>242</v>
      </c>
      <c r="E752" s="6" t="s">
        <v>1273</v>
      </c>
      <c r="F752" s="6" t="s">
        <v>249</v>
      </c>
      <c r="G752" s="6" t="s">
        <v>297</v>
      </c>
      <c r="H752" s="10">
        <v>46064.0</v>
      </c>
      <c r="I752" s="12">
        <v>3.0</v>
      </c>
      <c r="J752" s="6" t="s">
        <v>178</v>
      </c>
    </row>
    <row r="753" ht="22.5" customHeight="1">
      <c r="A753" s="6" t="s">
        <v>4455</v>
      </c>
      <c r="B753" s="6" t="s">
        <v>2563</v>
      </c>
      <c r="C753" s="10">
        <v>46077.0</v>
      </c>
      <c r="D753" s="6" t="s">
        <v>391</v>
      </c>
      <c r="E753" s="6" t="s">
        <v>438</v>
      </c>
      <c r="F753" s="6" t="s">
        <v>283</v>
      </c>
      <c r="G753" s="6" t="s">
        <v>297</v>
      </c>
      <c r="H753" s="10">
        <v>46083.0</v>
      </c>
      <c r="I753" s="12">
        <v>10.0</v>
      </c>
      <c r="J753" s="6" t="s">
        <v>161</v>
      </c>
    </row>
    <row r="754" ht="22.5" customHeight="1">
      <c r="A754" s="6" t="s">
        <v>4460</v>
      </c>
      <c r="B754" s="6" t="s">
        <v>2563</v>
      </c>
      <c r="C754" s="10">
        <v>46073.0</v>
      </c>
      <c r="D754" s="6" t="s">
        <v>391</v>
      </c>
      <c r="E754" s="6" t="s">
        <v>885</v>
      </c>
      <c r="F754" s="6" t="s">
        <v>112</v>
      </c>
      <c r="G754" s="6" t="s">
        <v>477</v>
      </c>
      <c r="H754" s="10">
        <v>46079.0</v>
      </c>
      <c r="I754" s="12">
        <v>11.0</v>
      </c>
      <c r="J754" s="6" t="s">
        <v>161</v>
      </c>
    </row>
    <row r="755" ht="22.5" customHeight="1">
      <c r="A755" s="6" t="s">
        <v>4466</v>
      </c>
      <c r="B755" s="6" t="s">
        <v>2563</v>
      </c>
      <c r="C755" s="10">
        <v>46075.0</v>
      </c>
      <c r="D755" s="6" t="s">
        <v>416</v>
      </c>
      <c r="E755" s="6" t="s">
        <v>475</v>
      </c>
      <c r="F755" s="6" t="s">
        <v>283</v>
      </c>
      <c r="G755" s="6" t="s">
        <v>452</v>
      </c>
      <c r="H755" s="10">
        <v>46081.0</v>
      </c>
      <c r="I755" s="12">
        <v>8.0</v>
      </c>
      <c r="J755" s="6" t="s">
        <v>161</v>
      </c>
    </row>
    <row r="756" ht="22.5" customHeight="1">
      <c r="A756" s="6" t="s">
        <v>4472</v>
      </c>
      <c r="B756" s="6" t="s">
        <v>2563</v>
      </c>
      <c r="C756" s="10">
        <v>46070.0</v>
      </c>
      <c r="D756" s="6" t="s">
        <v>416</v>
      </c>
      <c r="E756" s="6" t="s">
        <v>450</v>
      </c>
      <c r="F756" s="6" t="s">
        <v>283</v>
      </c>
      <c r="G756" s="6" t="s">
        <v>477</v>
      </c>
      <c r="H756" s="11" t="s">
        <v>259</v>
      </c>
      <c r="I756" s="12">
        <v>10.0</v>
      </c>
      <c r="J756" s="6" t="s">
        <v>161</v>
      </c>
    </row>
    <row r="757" ht="22.5" customHeight="1">
      <c r="A757" s="6" t="s">
        <v>4478</v>
      </c>
      <c r="B757" s="6" t="s">
        <v>2563</v>
      </c>
      <c r="C757" s="10">
        <v>46067.0</v>
      </c>
      <c r="D757" s="6" t="s">
        <v>677</v>
      </c>
      <c r="E757" s="6" t="s">
        <v>1122</v>
      </c>
      <c r="F757" s="6" t="s">
        <v>112</v>
      </c>
      <c r="G757" s="6" t="s">
        <v>254</v>
      </c>
      <c r="H757" s="10">
        <v>46068.0</v>
      </c>
      <c r="I757" s="12">
        <v>4.0</v>
      </c>
      <c r="J757" s="6" t="s">
        <v>161</v>
      </c>
    </row>
    <row r="758" ht="22.5" customHeight="1">
      <c r="A758" s="6" t="s">
        <v>4481</v>
      </c>
      <c r="B758" s="6" t="s">
        <v>2570</v>
      </c>
      <c r="C758" s="10">
        <v>46040.0</v>
      </c>
      <c r="D758" s="6" t="s">
        <v>436</v>
      </c>
      <c r="E758" s="6" t="s">
        <v>1241</v>
      </c>
      <c r="F758" s="6" t="s">
        <v>112</v>
      </c>
      <c r="G758" s="6" t="s">
        <v>477</v>
      </c>
      <c r="H758" s="10">
        <v>46041.0</v>
      </c>
      <c r="I758" s="12">
        <v>9.0</v>
      </c>
      <c r="J758" s="6" t="s">
        <v>161</v>
      </c>
    </row>
    <row r="759" ht="22.5" customHeight="1">
      <c r="A759" s="6" t="s">
        <v>4486</v>
      </c>
      <c r="B759" s="6" t="s">
        <v>2570</v>
      </c>
      <c r="C759" s="10">
        <v>46046.0</v>
      </c>
      <c r="D759" s="6" t="s">
        <v>391</v>
      </c>
      <c r="E759" s="6" t="s">
        <v>704</v>
      </c>
      <c r="F759" s="6" t="s">
        <v>112</v>
      </c>
      <c r="G759" s="6" t="s">
        <v>458</v>
      </c>
      <c r="H759" s="10">
        <v>46047.0</v>
      </c>
      <c r="I759" s="12">
        <v>9.0</v>
      </c>
      <c r="J759" s="6" t="s">
        <v>161</v>
      </c>
    </row>
    <row r="760" ht="22.5" customHeight="1">
      <c r="A760" s="6" t="s">
        <v>4491</v>
      </c>
      <c r="B760" s="6" t="s">
        <v>2570</v>
      </c>
      <c r="C760" s="10">
        <v>46040.0</v>
      </c>
      <c r="D760" s="6" t="s">
        <v>677</v>
      </c>
      <c r="E760" s="6" t="s">
        <v>365</v>
      </c>
      <c r="F760" s="6" t="s">
        <v>249</v>
      </c>
      <c r="G760" s="6" t="s">
        <v>452</v>
      </c>
      <c r="H760" s="10">
        <v>46047.0</v>
      </c>
      <c r="I760" s="12">
        <v>2.0</v>
      </c>
      <c r="J760" s="6" t="s">
        <v>161</v>
      </c>
    </row>
    <row r="761" ht="22.5" customHeight="1">
      <c r="A761" s="6" t="s">
        <v>4497</v>
      </c>
      <c r="B761" s="6" t="s">
        <v>2570</v>
      </c>
      <c r="C761" s="10">
        <v>46043.0</v>
      </c>
      <c r="D761" s="6" t="s">
        <v>391</v>
      </c>
      <c r="E761" s="6" t="s">
        <v>365</v>
      </c>
      <c r="F761" s="6" t="s">
        <v>112</v>
      </c>
      <c r="G761" s="6" t="s">
        <v>494</v>
      </c>
      <c r="H761" s="10">
        <v>46044.0</v>
      </c>
      <c r="I761" s="12">
        <v>7.0</v>
      </c>
      <c r="J761" s="6" t="s">
        <v>161</v>
      </c>
    </row>
    <row r="762" ht="22.5" customHeight="1">
      <c r="A762" s="6" t="s">
        <v>4505</v>
      </c>
      <c r="B762" s="6" t="s">
        <v>2576</v>
      </c>
      <c r="C762" s="10">
        <v>46035.0</v>
      </c>
      <c r="D762" s="6" t="s">
        <v>312</v>
      </c>
      <c r="E762" s="6" t="s">
        <v>475</v>
      </c>
      <c r="F762" s="6" t="s">
        <v>439</v>
      </c>
      <c r="G762" s="6" t="s">
        <v>477</v>
      </c>
      <c r="H762" s="11" t="s">
        <v>259</v>
      </c>
      <c r="I762" s="12">
        <v>7.0</v>
      </c>
      <c r="J762" s="6" t="s">
        <v>161</v>
      </c>
    </row>
    <row r="763" ht="22.5" customHeight="1">
      <c r="A763" s="6" t="s">
        <v>4511</v>
      </c>
      <c r="B763" s="6" t="s">
        <v>2582</v>
      </c>
      <c r="C763" s="10">
        <v>46035.0</v>
      </c>
      <c r="D763" s="6" t="s">
        <v>289</v>
      </c>
      <c r="E763" s="6" t="s">
        <v>1741</v>
      </c>
      <c r="F763" s="6" t="s">
        <v>112</v>
      </c>
      <c r="G763" s="6" t="s">
        <v>297</v>
      </c>
      <c r="H763" s="10">
        <v>46040.0</v>
      </c>
      <c r="I763" s="12">
        <v>9.0</v>
      </c>
      <c r="J763" s="6" t="s">
        <v>161</v>
      </c>
    </row>
    <row r="764" ht="22.5" customHeight="1">
      <c r="A764" s="6" t="s">
        <v>4517</v>
      </c>
      <c r="B764" s="6" t="s">
        <v>2588</v>
      </c>
      <c r="C764" s="10">
        <v>46050.0</v>
      </c>
      <c r="D764" s="6" t="s">
        <v>242</v>
      </c>
      <c r="E764" s="6" t="s">
        <v>658</v>
      </c>
      <c r="F764" s="6" t="s">
        <v>439</v>
      </c>
      <c r="G764" s="6" t="s">
        <v>458</v>
      </c>
      <c r="H764" s="10">
        <v>46057.0</v>
      </c>
      <c r="I764" s="12">
        <v>6.0</v>
      </c>
      <c r="J764" s="6" t="s">
        <v>161</v>
      </c>
    </row>
    <row r="765" ht="22.5" customHeight="1">
      <c r="A765" s="6" t="s">
        <v>4521</v>
      </c>
      <c r="B765" s="6" t="s">
        <v>2588</v>
      </c>
      <c r="C765" s="10">
        <v>46045.0</v>
      </c>
      <c r="D765" s="6" t="s">
        <v>391</v>
      </c>
      <c r="E765" s="6" t="s">
        <v>731</v>
      </c>
      <c r="F765" s="6" t="s">
        <v>112</v>
      </c>
      <c r="G765" s="6" t="s">
        <v>477</v>
      </c>
      <c r="H765" s="10">
        <v>46047.0</v>
      </c>
      <c r="I765" s="12">
        <v>8.0</v>
      </c>
      <c r="J765" s="6" t="s">
        <v>161</v>
      </c>
    </row>
    <row r="766" ht="22.5" customHeight="1">
      <c r="A766" s="6" t="s">
        <v>4524</v>
      </c>
      <c r="B766" s="6" t="s">
        <v>2588</v>
      </c>
      <c r="C766" s="10">
        <v>46044.0</v>
      </c>
      <c r="D766" s="6" t="s">
        <v>677</v>
      </c>
      <c r="E766" s="6" t="s">
        <v>1700</v>
      </c>
      <c r="F766" s="6" t="s">
        <v>249</v>
      </c>
      <c r="G766" s="6" t="s">
        <v>452</v>
      </c>
      <c r="H766" s="10">
        <v>46048.0</v>
      </c>
      <c r="I766" s="12">
        <v>4.0</v>
      </c>
      <c r="J766" s="6" t="s">
        <v>161</v>
      </c>
    </row>
    <row r="767" ht="22.5" customHeight="1">
      <c r="A767" s="6" t="s">
        <v>4525</v>
      </c>
      <c r="B767" s="6" t="s">
        <v>2594</v>
      </c>
      <c r="C767" s="10">
        <v>46038.0</v>
      </c>
      <c r="D767" s="6" t="s">
        <v>416</v>
      </c>
      <c r="E767" s="6" t="s">
        <v>1552</v>
      </c>
      <c r="F767" s="6" t="s">
        <v>439</v>
      </c>
      <c r="G767" s="6" t="s">
        <v>297</v>
      </c>
      <c r="H767" s="11" t="s">
        <v>259</v>
      </c>
      <c r="I767" s="12">
        <v>12.0</v>
      </c>
      <c r="J767" s="6" t="s">
        <v>161</v>
      </c>
    </row>
    <row r="768" ht="22.5" customHeight="1">
      <c r="A768" s="6" t="s">
        <v>4526</v>
      </c>
      <c r="B768" s="6" t="s">
        <v>2594</v>
      </c>
      <c r="C768" s="10">
        <v>46043.0</v>
      </c>
      <c r="D768" s="6" t="s">
        <v>289</v>
      </c>
      <c r="E768" s="6" t="s">
        <v>1741</v>
      </c>
      <c r="F768" s="6" t="s">
        <v>112</v>
      </c>
      <c r="G768" s="6" t="s">
        <v>297</v>
      </c>
      <c r="H768" s="10">
        <v>46045.0</v>
      </c>
      <c r="I768" s="12">
        <v>10.0</v>
      </c>
      <c r="J768" s="6" t="s">
        <v>161</v>
      </c>
    </row>
    <row r="769" ht="22.5" customHeight="1">
      <c r="A769" s="6" t="s">
        <v>4527</v>
      </c>
      <c r="B769" s="6" t="s">
        <v>2594</v>
      </c>
      <c r="C769" s="10">
        <v>46042.0</v>
      </c>
      <c r="D769" s="6" t="s">
        <v>436</v>
      </c>
      <c r="E769" s="6" t="s">
        <v>1517</v>
      </c>
      <c r="F769" s="6" t="s">
        <v>439</v>
      </c>
      <c r="G769" s="6" t="s">
        <v>326</v>
      </c>
      <c r="H769" s="10">
        <v>46047.0</v>
      </c>
      <c r="I769" s="12">
        <v>10.0</v>
      </c>
      <c r="J769" s="6" t="s">
        <v>178</v>
      </c>
    </row>
    <row r="770" ht="22.5" customHeight="1">
      <c r="A770" s="6" t="s">
        <v>4532</v>
      </c>
      <c r="B770" s="6" t="s">
        <v>2594</v>
      </c>
      <c r="C770" s="10">
        <v>46036.0</v>
      </c>
      <c r="D770" s="6" t="s">
        <v>436</v>
      </c>
      <c r="E770" s="6" t="s">
        <v>1273</v>
      </c>
      <c r="F770" s="6" t="s">
        <v>249</v>
      </c>
      <c r="G770" s="6" t="s">
        <v>254</v>
      </c>
      <c r="H770" s="10">
        <v>46042.0</v>
      </c>
      <c r="I770" s="12">
        <v>7.0</v>
      </c>
      <c r="J770" s="6" t="s">
        <v>178</v>
      </c>
    </row>
    <row r="771" ht="22.5" customHeight="1">
      <c r="A771" s="6" t="s">
        <v>4537</v>
      </c>
      <c r="B771" s="6" t="s">
        <v>2594</v>
      </c>
      <c r="C771" s="10">
        <v>46034.0</v>
      </c>
      <c r="D771" s="6" t="s">
        <v>242</v>
      </c>
      <c r="E771" s="6" t="s">
        <v>1070</v>
      </c>
      <c r="F771" s="6" t="s">
        <v>439</v>
      </c>
      <c r="G771" s="6" t="s">
        <v>452</v>
      </c>
      <c r="H771" s="10">
        <v>46041.0</v>
      </c>
      <c r="I771" s="12">
        <v>4.0</v>
      </c>
      <c r="J771" s="6" t="s">
        <v>178</v>
      </c>
    </row>
    <row r="772" ht="22.5" customHeight="1">
      <c r="A772" s="6" t="s">
        <v>4543</v>
      </c>
      <c r="B772" s="6" t="s">
        <v>2600</v>
      </c>
      <c r="C772" s="10">
        <v>46047.0</v>
      </c>
      <c r="D772" s="6" t="s">
        <v>416</v>
      </c>
      <c r="E772" s="6" t="s">
        <v>687</v>
      </c>
      <c r="F772" s="6" t="s">
        <v>439</v>
      </c>
      <c r="G772" s="6" t="s">
        <v>494</v>
      </c>
      <c r="H772" s="10">
        <v>46047.0</v>
      </c>
      <c r="I772" s="12">
        <v>12.0</v>
      </c>
      <c r="J772" s="6" t="s">
        <v>161</v>
      </c>
    </row>
    <row r="773" ht="22.5" customHeight="1">
      <c r="A773" s="6" t="s">
        <v>4550</v>
      </c>
      <c r="B773" s="6" t="s">
        <v>2600</v>
      </c>
      <c r="C773" s="10">
        <v>46034.0</v>
      </c>
      <c r="D773" s="6" t="s">
        <v>289</v>
      </c>
      <c r="E773" s="6" t="s">
        <v>320</v>
      </c>
      <c r="F773" s="6" t="s">
        <v>283</v>
      </c>
      <c r="G773" s="6" t="s">
        <v>477</v>
      </c>
      <c r="H773" s="10">
        <v>46039.0</v>
      </c>
      <c r="I773" s="12">
        <v>7.0</v>
      </c>
      <c r="J773" s="6" t="s">
        <v>161</v>
      </c>
    </row>
    <row r="774" ht="22.5" customHeight="1">
      <c r="A774" s="6" t="s">
        <v>4557</v>
      </c>
      <c r="B774" s="6" t="s">
        <v>2606</v>
      </c>
      <c r="C774" s="10">
        <v>46037.0</v>
      </c>
      <c r="D774" s="6" t="s">
        <v>677</v>
      </c>
      <c r="E774" s="6" t="s">
        <v>438</v>
      </c>
      <c r="F774" s="6" t="s">
        <v>112</v>
      </c>
      <c r="G774" s="6" t="s">
        <v>477</v>
      </c>
      <c r="H774" s="10">
        <v>46043.0</v>
      </c>
      <c r="I774" s="12">
        <v>2.0</v>
      </c>
      <c r="J774" s="6" t="s">
        <v>161</v>
      </c>
    </row>
    <row r="775" ht="22.5" customHeight="1">
      <c r="A775" s="6" t="s">
        <v>4561</v>
      </c>
      <c r="B775" s="6" t="s">
        <v>2606</v>
      </c>
      <c r="C775" s="10">
        <v>46045.0</v>
      </c>
      <c r="D775" s="6" t="s">
        <v>677</v>
      </c>
      <c r="E775" s="6" t="s">
        <v>1386</v>
      </c>
      <c r="F775" s="6" t="s">
        <v>249</v>
      </c>
      <c r="G775" s="6" t="s">
        <v>369</v>
      </c>
      <c r="H775" s="10">
        <v>46052.0</v>
      </c>
      <c r="I775" s="12">
        <v>3.0</v>
      </c>
      <c r="J775" s="6" t="s">
        <v>161</v>
      </c>
    </row>
    <row r="776" ht="22.5" customHeight="1">
      <c r="A776" s="6" t="s">
        <v>4567</v>
      </c>
      <c r="B776" s="6" t="s">
        <v>2606</v>
      </c>
      <c r="C776" s="10">
        <v>46037.0</v>
      </c>
      <c r="D776" s="6" t="s">
        <v>242</v>
      </c>
      <c r="E776" s="6" t="s">
        <v>1600</v>
      </c>
      <c r="F776" s="6" t="s">
        <v>439</v>
      </c>
      <c r="G776" s="6" t="s">
        <v>494</v>
      </c>
      <c r="H776" s="10">
        <v>46042.0</v>
      </c>
      <c r="I776" s="12">
        <v>4.0</v>
      </c>
      <c r="J776" s="6" t="s">
        <v>161</v>
      </c>
    </row>
    <row r="777" ht="22.5" customHeight="1">
      <c r="A777" s="6" t="s">
        <v>4571</v>
      </c>
      <c r="B777" s="6" t="s">
        <v>2612</v>
      </c>
      <c r="C777" s="10">
        <v>46049.0</v>
      </c>
      <c r="D777" s="6" t="s">
        <v>391</v>
      </c>
      <c r="E777" s="6" t="s">
        <v>394</v>
      </c>
      <c r="F777" s="6" t="s">
        <v>112</v>
      </c>
      <c r="G777" s="6" t="s">
        <v>477</v>
      </c>
      <c r="H777" s="10">
        <v>46056.0</v>
      </c>
      <c r="I777" s="12">
        <v>7.0</v>
      </c>
      <c r="J777" s="6" t="s">
        <v>161</v>
      </c>
    </row>
    <row r="778" ht="22.5" customHeight="1">
      <c r="A778" s="6" t="s">
        <v>4579</v>
      </c>
      <c r="B778" s="6" t="s">
        <v>2612</v>
      </c>
      <c r="C778" s="10">
        <v>46044.0</v>
      </c>
      <c r="D778" s="6" t="s">
        <v>677</v>
      </c>
      <c r="E778" s="6" t="s">
        <v>475</v>
      </c>
      <c r="F778" s="6" t="s">
        <v>283</v>
      </c>
      <c r="G778" s="6" t="s">
        <v>326</v>
      </c>
      <c r="H778" s="10">
        <v>46046.0</v>
      </c>
      <c r="I778" s="12">
        <v>2.0</v>
      </c>
      <c r="J778" s="6" t="s">
        <v>161</v>
      </c>
    </row>
    <row r="779" ht="22.5" customHeight="1">
      <c r="A779" s="6" t="s">
        <v>4587</v>
      </c>
      <c r="B779" s="6" t="s">
        <v>2612</v>
      </c>
      <c r="C779" s="10">
        <v>46037.0</v>
      </c>
      <c r="D779" s="6" t="s">
        <v>416</v>
      </c>
      <c r="E779" s="6" t="s">
        <v>438</v>
      </c>
      <c r="F779" s="6" t="s">
        <v>249</v>
      </c>
      <c r="G779" s="6" t="s">
        <v>326</v>
      </c>
      <c r="H779" s="10">
        <v>46041.0</v>
      </c>
      <c r="I779" s="12">
        <v>13.0</v>
      </c>
      <c r="J779" s="6" t="s">
        <v>161</v>
      </c>
    </row>
    <row r="780" ht="22.5" customHeight="1">
      <c r="A780" s="6" t="s">
        <v>4592</v>
      </c>
      <c r="B780" s="6" t="s">
        <v>2612</v>
      </c>
      <c r="C780" s="10">
        <v>46030.0</v>
      </c>
      <c r="D780" s="6" t="s">
        <v>436</v>
      </c>
      <c r="E780" s="6" t="s">
        <v>246</v>
      </c>
      <c r="F780" s="6" t="s">
        <v>249</v>
      </c>
      <c r="G780" s="6" t="s">
        <v>494</v>
      </c>
      <c r="H780" s="10">
        <v>46030.0</v>
      </c>
      <c r="I780" s="12">
        <v>12.0</v>
      </c>
      <c r="J780" s="6" t="s">
        <v>161</v>
      </c>
    </row>
    <row r="781" ht="22.5" customHeight="1">
      <c r="A781" s="6" t="s">
        <v>4599</v>
      </c>
      <c r="B781" s="6" t="s">
        <v>2618</v>
      </c>
      <c r="C781" s="10">
        <v>46073.0</v>
      </c>
      <c r="D781" s="6" t="s">
        <v>391</v>
      </c>
      <c r="E781" s="6" t="s">
        <v>1310</v>
      </c>
      <c r="F781" s="6" t="s">
        <v>249</v>
      </c>
      <c r="G781" s="6" t="s">
        <v>452</v>
      </c>
      <c r="H781" s="10">
        <v>46080.0</v>
      </c>
      <c r="I781" s="12">
        <v>9.0</v>
      </c>
      <c r="J781" s="6" t="s">
        <v>161</v>
      </c>
    </row>
    <row r="782" ht="22.5" customHeight="1">
      <c r="A782" s="6" t="s">
        <v>4608</v>
      </c>
      <c r="B782" s="6" t="s">
        <v>2618</v>
      </c>
      <c r="C782" s="10">
        <v>46071.0</v>
      </c>
      <c r="D782" s="6" t="s">
        <v>289</v>
      </c>
      <c r="E782" s="6" t="s">
        <v>775</v>
      </c>
      <c r="F782" s="6" t="s">
        <v>249</v>
      </c>
      <c r="G782" s="6" t="s">
        <v>477</v>
      </c>
      <c r="H782" s="10">
        <v>46077.0</v>
      </c>
      <c r="I782" s="12">
        <v>7.0</v>
      </c>
      <c r="J782" s="6" t="s">
        <v>161</v>
      </c>
    </row>
    <row r="783" ht="22.5" customHeight="1">
      <c r="A783" s="6" t="s">
        <v>4614</v>
      </c>
      <c r="B783" s="6" t="s">
        <v>2618</v>
      </c>
      <c r="C783" s="10">
        <v>46078.0</v>
      </c>
      <c r="D783" s="6" t="s">
        <v>391</v>
      </c>
      <c r="E783" s="6" t="s">
        <v>955</v>
      </c>
      <c r="F783" s="6" t="s">
        <v>439</v>
      </c>
      <c r="G783" s="6" t="s">
        <v>458</v>
      </c>
      <c r="H783" s="10">
        <v>46078.0</v>
      </c>
      <c r="I783" s="12">
        <v>10.0</v>
      </c>
      <c r="J783" s="6" t="s">
        <v>161</v>
      </c>
    </row>
    <row r="784" ht="22.5" customHeight="1">
      <c r="A784" s="6" t="s">
        <v>4622</v>
      </c>
      <c r="B784" s="6" t="s">
        <v>2618</v>
      </c>
      <c r="C784" s="10">
        <v>46085.0</v>
      </c>
      <c r="D784" s="6" t="s">
        <v>677</v>
      </c>
      <c r="E784" s="6" t="s">
        <v>1280</v>
      </c>
      <c r="F784" s="6" t="s">
        <v>112</v>
      </c>
      <c r="G784" s="6" t="s">
        <v>369</v>
      </c>
      <c r="H784" s="10">
        <v>46088.0</v>
      </c>
      <c r="I784" s="12">
        <v>4.0</v>
      </c>
      <c r="J784" s="6" t="s">
        <v>161</v>
      </c>
    </row>
    <row r="785" ht="22.5" customHeight="1">
      <c r="A785" s="6" t="s">
        <v>4628</v>
      </c>
      <c r="B785" s="6" t="s">
        <v>2623</v>
      </c>
      <c r="C785" s="10">
        <v>46040.0</v>
      </c>
      <c r="D785" s="6" t="s">
        <v>391</v>
      </c>
      <c r="E785" s="6" t="s">
        <v>863</v>
      </c>
      <c r="F785" s="6" t="s">
        <v>439</v>
      </c>
      <c r="G785" s="6" t="s">
        <v>297</v>
      </c>
      <c r="H785" s="10">
        <v>46045.0</v>
      </c>
      <c r="I785" s="12">
        <v>11.0</v>
      </c>
      <c r="J785" s="6" t="s">
        <v>161</v>
      </c>
    </row>
    <row r="786" ht="22.5" customHeight="1">
      <c r="A786" s="6" t="s">
        <v>4634</v>
      </c>
      <c r="B786" s="6" t="s">
        <v>2623</v>
      </c>
      <c r="C786" s="10">
        <v>46050.0</v>
      </c>
      <c r="D786" s="6" t="s">
        <v>677</v>
      </c>
      <c r="E786" s="6" t="s">
        <v>1741</v>
      </c>
      <c r="F786" s="6" t="s">
        <v>249</v>
      </c>
      <c r="G786" s="6" t="s">
        <v>297</v>
      </c>
      <c r="H786" s="10">
        <v>46053.0</v>
      </c>
      <c r="I786" s="12">
        <v>4.0</v>
      </c>
      <c r="J786" s="6" t="s">
        <v>161</v>
      </c>
    </row>
    <row r="787" ht="22.5" customHeight="1">
      <c r="A787" s="6" t="s">
        <v>4640</v>
      </c>
      <c r="B787" s="6" t="s">
        <v>2623</v>
      </c>
      <c r="C787" s="10">
        <v>46034.0</v>
      </c>
      <c r="D787" s="6" t="s">
        <v>242</v>
      </c>
      <c r="E787" s="6" t="s">
        <v>1122</v>
      </c>
      <c r="F787" s="6" t="s">
        <v>283</v>
      </c>
      <c r="G787" s="6" t="s">
        <v>369</v>
      </c>
      <c r="H787" s="10">
        <v>46038.0</v>
      </c>
      <c r="I787" s="12">
        <v>5.0</v>
      </c>
      <c r="J787" s="6" t="s">
        <v>161</v>
      </c>
    </row>
    <row r="788" ht="22.5" customHeight="1">
      <c r="A788" s="6" t="s">
        <v>4646</v>
      </c>
      <c r="B788" s="6" t="s">
        <v>2623</v>
      </c>
      <c r="C788" s="10">
        <v>46036.0</v>
      </c>
      <c r="D788" s="6" t="s">
        <v>677</v>
      </c>
      <c r="E788" s="6" t="s">
        <v>1720</v>
      </c>
      <c r="F788" s="6" t="s">
        <v>112</v>
      </c>
      <c r="G788" s="6" t="s">
        <v>477</v>
      </c>
      <c r="H788" s="10">
        <v>46041.0</v>
      </c>
      <c r="I788" s="12">
        <v>4.0</v>
      </c>
      <c r="J788" s="6" t="s">
        <v>161</v>
      </c>
    </row>
    <row r="789" ht="22.5" customHeight="1">
      <c r="A789" s="6" t="s">
        <v>4650</v>
      </c>
      <c r="B789" s="6" t="s">
        <v>2630</v>
      </c>
      <c r="C789" s="10">
        <v>46066.0</v>
      </c>
      <c r="D789" s="6" t="s">
        <v>416</v>
      </c>
      <c r="E789" s="6" t="s">
        <v>1102</v>
      </c>
      <c r="F789" s="6" t="s">
        <v>112</v>
      </c>
      <c r="G789" s="6" t="s">
        <v>254</v>
      </c>
      <c r="H789" s="10">
        <v>46070.0</v>
      </c>
      <c r="I789" s="12">
        <v>8.0</v>
      </c>
      <c r="J789" s="6" t="s">
        <v>161</v>
      </c>
    </row>
    <row r="790" ht="22.5" customHeight="1">
      <c r="A790" s="6" t="s">
        <v>4656</v>
      </c>
      <c r="B790" s="6" t="s">
        <v>2630</v>
      </c>
      <c r="C790" s="10">
        <v>46050.0</v>
      </c>
      <c r="D790" s="6" t="s">
        <v>416</v>
      </c>
      <c r="E790" s="6" t="s">
        <v>716</v>
      </c>
      <c r="F790" s="6" t="s">
        <v>249</v>
      </c>
      <c r="G790" s="6" t="s">
        <v>254</v>
      </c>
      <c r="H790" s="10">
        <v>46053.0</v>
      </c>
      <c r="I790" s="12">
        <v>13.0</v>
      </c>
      <c r="J790" s="6" t="s">
        <v>161</v>
      </c>
    </row>
    <row r="791" ht="22.5" customHeight="1">
      <c r="A791" s="6" t="s">
        <v>4662</v>
      </c>
      <c r="B791" s="6" t="s">
        <v>2630</v>
      </c>
      <c r="C791" s="10">
        <v>46057.0</v>
      </c>
      <c r="D791" s="6" t="s">
        <v>391</v>
      </c>
      <c r="E791" s="6" t="s">
        <v>1386</v>
      </c>
      <c r="F791" s="6" t="s">
        <v>439</v>
      </c>
      <c r="G791" s="6" t="s">
        <v>326</v>
      </c>
      <c r="H791" s="10">
        <v>46064.0</v>
      </c>
      <c r="I791" s="12">
        <v>6.0</v>
      </c>
      <c r="J791" s="6" t="s">
        <v>161</v>
      </c>
    </row>
    <row r="792" ht="22.5" customHeight="1">
      <c r="A792" s="6" t="s">
        <v>4665</v>
      </c>
      <c r="B792" s="6" t="s">
        <v>2630</v>
      </c>
      <c r="C792" s="10">
        <v>46065.0</v>
      </c>
      <c r="D792" s="6" t="s">
        <v>289</v>
      </c>
      <c r="E792" s="6" t="s">
        <v>716</v>
      </c>
      <c r="F792" s="6" t="s">
        <v>112</v>
      </c>
      <c r="G792" s="6" t="s">
        <v>458</v>
      </c>
      <c r="H792" s="10">
        <v>46067.0</v>
      </c>
      <c r="I792" s="12">
        <v>9.0</v>
      </c>
      <c r="J792" s="6" t="s">
        <v>161</v>
      </c>
    </row>
    <row r="793" ht="22.5" customHeight="1">
      <c r="A793" s="6" t="s">
        <v>4670</v>
      </c>
      <c r="B793" s="6" t="s">
        <v>2636</v>
      </c>
      <c r="C793" s="10">
        <v>46076.0</v>
      </c>
      <c r="D793" s="6" t="s">
        <v>416</v>
      </c>
      <c r="E793" s="6" t="s">
        <v>670</v>
      </c>
      <c r="F793" s="6" t="s">
        <v>249</v>
      </c>
      <c r="G793" s="6" t="s">
        <v>254</v>
      </c>
      <c r="H793" s="10">
        <v>46079.0</v>
      </c>
      <c r="I793" s="12">
        <v>14.0</v>
      </c>
      <c r="J793" s="6" t="s">
        <v>161</v>
      </c>
    </row>
    <row r="794" ht="22.5" customHeight="1">
      <c r="A794" s="6" t="s">
        <v>4675</v>
      </c>
      <c r="B794" s="6" t="s">
        <v>2642</v>
      </c>
      <c r="C794" s="10">
        <v>46076.0</v>
      </c>
      <c r="D794" s="6" t="s">
        <v>436</v>
      </c>
      <c r="E794" s="6" t="s">
        <v>291</v>
      </c>
      <c r="F794" s="6" t="s">
        <v>249</v>
      </c>
      <c r="G794" s="6" t="s">
        <v>369</v>
      </c>
      <c r="H794" s="10">
        <v>46077.0</v>
      </c>
      <c r="I794" s="12">
        <v>12.0</v>
      </c>
      <c r="J794" s="6" t="s">
        <v>178</v>
      </c>
    </row>
    <row r="795" ht="22.5" customHeight="1">
      <c r="A795" s="6" t="s">
        <v>4681</v>
      </c>
      <c r="B795" s="6" t="s">
        <v>2642</v>
      </c>
      <c r="C795" s="10">
        <v>46066.0</v>
      </c>
      <c r="D795" s="6" t="s">
        <v>416</v>
      </c>
      <c r="E795" s="6" t="s">
        <v>885</v>
      </c>
      <c r="F795" s="6" t="s">
        <v>283</v>
      </c>
      <c r="G795" s="6" t="s">
        <v>494</v>
      </c>
      <c r="H795" s="10">
        <v>46066.0</v>
      </c>
      <c r="I795" s="12">
        <v>10.0</v>
      </c>
      <c r="J795" s="6" t="s">
        <v>161</v>
      </c>
    </row>
    <row r="796" ht="22.5" customHeight="1">
      <c r="A796" s="6" t="s">
        <v>4687</v>
      </c>
      <c r="B796" s="6" t="s">
        <v>2649</v>
      </c>
      <c r="C796" s="10">
        <v>46041.0</v>
      </c>
      <c r="D796" s="6" t="s">
        <v>242</v>
      </c>
      <c r="E796" s="6" t="s">
        <v>1102</v>
      </c>
      <c r="F796" s="6" t="s">
        <v>249</v>
      </c>
      <c r="G796" s="6" t="s">
        <v>494</v>
      </c>
      <c r="H796" s="10">
        <v>46042.0</v>
      </c>
      <c r="I796" s="12">
        <v>6.0</v>
      </c>
      <c r="J796" s="6" t="s">
        <v>178</v>
      </c>
    </row>
    <row r="797" ht="22.5" customHeight="1">
      <c r="A797" s="6" t="s">
        <v>4690</v>
      </c>
      <c r="B797" s="6" t="s">
        <v>2649</v>
      </c>
      <c r="C797" s="10">
        <v>46055.0</v>
      </c>
      <c r="D797" s="6" t="s">
        <v>436</v>
      </c>
      <c r="E797" s="6" t="s">
        <v>687</v>
      </c>
      <c r="F797" s="6" t="s">
        <v>283</v>
      </c>
      <c r="G797" s="6" t="s">
        <v>369</v>
      </c>
      <c r="H797" s="10">
        <v>46055.0</v>
      </c>
      <c r="I797" s="12">
        <v>10.0</v>
      </c>
      <c r="J797" s="6" t="s">
        <v>178</v>
      </c>
    </row>
    <row r="798" ht="22.5" customHeight="1">
      <c r="A798" s="6" t="s">
        <v>4695</v>
      </c>
      <c r="B798" s="6" t="s">
        <v>2655</v>
      </c>
      <c r="C798" s="10">
        <v>46055.0</v>
      </c>
      <c r="D798" s="6" t="s">
        <v>391</v>
      </c>
      <c r="E798" s="6" t="s">
        <v>1273</v>
      </c>
      <c r="F798" s="6" t="s">
        <v>249</v>
      </c>
      <c r="G798" s="6" t="s">
        <v>477</v>
      </c>
      <c r="H798" s="10">
        <v>46060.0</v>
      </c>
      <c r="I798" s="12">
        <v>11.0</v>
      </c>
      <c r="J798" s="6" t="s">
        <v>161</v>
      </c>
    </row>
    <row r="799" ht="22.5" customHeight="1">
      <c r="A799" s="6" t="s">
        <v>4700</v>
      </c>
      <c r="B799" s="6" t="s">
        <v>2655</v>
      </c>
      <c r="C799" s="10">
        <v>46046.0</v>
      </c>
      <c r="D799" s="6" t="s">
        <v>677</v>
      </c>
      <c r="E799" s="6" t="s">
        <v>246</v>
      </c>
      <c r="F799" s="6" t="s">
        <v>439</v>
      </c>
      <c r="G799" s="6" t="s">
        <v>297</v>
      </c>
      <c r="H799" s="10">
        <v>46048.0</v>
      </c>
      <c r="I799" s="12">
        <v>4.0</v>
      </c>
      <c r="J799" s="6" t="s">
        <v>161</v>
      </c>
    </row>
    <row r="800" ht="22.5" customHeight="1">
      <c r="A800" s="6" t="s">
        <v>4706</v>
      </c>
      <c r="B800" s="6" t="s">
        <v>2661</v>
      </c>
      <c r="C800" s="10">
        <v>46047.0</v>
      </c>
      <c r="D800" s="6" t="s">
        <v>242</v>
      </c>
      <c r="E800" s="6" t="s">
        <v>731</v>
      </c>
      <c r="F800" s="6" t="s">
        <v>249</v>
      </c>
      <c r="G800" s="6" t="s">
        <v>477</v>
      </c>
      <c r="H800" s="10">
        <v>46051.0</v>
      </c>
      <c r="I800" s="12">
        <v>3.0</v>
      </c>
      <c r="J800" s="6" t="s">
        <v>178</v>
      </c>
    </row>
    <row r="801" ht="22.5" customHeight="1">
      <c r="A801" s="6" t="s">
        <v>4712</v>
      </c>
      <c r="B801" s="6" t="s">
        <v>2667</v>
      </c>
      <c r="C801" s="10">
        <v>46044.0</v>
      </c>
      <c r="D801" s="6" t="s">
        <v>312</v>
      </c>
      <c r="E801" s="6" t="s">
        <v>885</v>
      </c>
      <c r="F801" s="6" t="s">
        <v>112</v>
      </c>
      <c r="G801" s="6" t="s">
        <v>494</v>
      </c>
      <c r="H801" s="10">
        <v>46046.0</v>
      </c>
      <c r="I801" s="12">
        <v>6.0</v>
      </c>
      <c r="J801" s="6" t="s">
        <v>161</v>
      </c>
    </row>
    <row r="802" ht="22.5" customHeight="1">
      <c r="A802" s="6" t="s">
        <v>4715</v>
      </c>
      <c r="B802" s="6" t="s">
        <v>2673</v>
      </c>
      <c r="C802" s="10">
        <v>46042.0</v>
      </c>
      <c r="D802" s="6" t="s">
        <v>436</v>
      </c>
      <c r="E802" s="6" t="s">
        <v>634</v>
      </c>
      <c r="F802" s="6" t="s">
        <v>112</v>
      </c>
      <c r="G802" s="6" t="s">
        <v>254</v>
      </c>
      <c r="H802" s="10">
        <v>46043.0</v>
      </c>
      <c r="I802" s="12">
        <v>8.0</v>
      </c>
      <c r="J802" s="6" t="s">
        <v>161</v>
      </c>
    </row>
    <row r="803" ht="22.5" customHeight="1">
      <c r="A803" s="6" t="s">
        <v>4719</v>
      </c>
      <c r="B803" s="6" t="s">
        <v>2673</v>
      </c>
      <c r="C803" s="10">
        <v>46039.0</v>
      </c>
      <c r="D803" s="6" t="s">
        <v>436</v>
      </c>
      <c r="E803" s="6" t="s">
        <v>1570</v>
      </c>
      <c r="F803" s="6" t="s">
        <v>283</v>
      </c>
      <c r="G803" s="6" t="s">
        <v>458</v>
      </c>
      <c r="H803" s="11" t="s">
        <v>259</v>
      </c>
      <c r="I803" s="12">
        <v>10.0</v>
      </c>
      <c r="J803" s="6" t="s">
        <v>178</v>
      </c>
    </row>
    <row r="804" ht="22.5" customHeight="1">
      <c r="A804" s="6" t="s">
        <v>4723</v>
      </c>
      <c r="B804" s="6" t="s">
        <v>2673</v>
      </c>
      <c r="C804" s="10">
        <v>46043.0</v>
      </c>
      <c r="D804" s="6" t="s">
        <v>436</v>
      </c>
      <c r="E804" s="6" t="s">
        <v>365</v>
      </c>
      <c r="F804" s="6" t="s">
        <v>249</v>
      </c>
      <c r="G804" s="6" t="s">
        <v>494</v>
      </c>
      <c r="H804" s="10">
        <v>46047.0</v>
      </c>
      <c r="I804" s="12">
        <v>9.0</v>
      </c>
      <c r="J804" s="6" t="s">
        <v>161</v>
      </c>
    </row>
    <row r="805" ht="22.5" customHeight="1">
      <c r="A805" s="6" t="s">
        <v>4727</v>
      </c>
      <c r="B805" s="6" t="s">
        <v>2673</v>
      </c>
      <c r="C805" s="10">
        <v>46027.0</v>
      </c>
      <c r="D805" s="6" t="s">
        <v>391</v>
      </c>
      <c r="E805" s="6" t="s">
        <v>246</v>
      </c>
      <c r="F805" s="6" t="s">
        <v>283</v>
      </c>
      <c r="G805" s="6" t="s">
        <v>458</v>
      </c>
      <c r="H805" s="10">
        <v>46027.0</v>
      </c>
      <c r="I805" s="12">
        <v>9.0</v>
      </c>
      <c r="J805" s="6" t="s">
        <v>161</v>
      </c>
    </row>
    <row r="806" ht="22.5" customHeight="1">
      <c r="A806" s="6" t="s">
        <v>4733</v>
      </c>
      <c r="B806" s="6" t="s">
        <v>2673</v>
      </c>
      <c r="C806" s="10">
        <v>46039.0</v>
      </c>
      <c r="D806" s="6" t="s">
        <v>436</v>
      </c>
      <c r="E806" s="6" t="s">
        <v>775</v>
      </c>
      <c r="F806" s="6" t="s">
        <v>249</v>
      </c>
      <c r="G806" s="6" t="s">
        <v>297</v>
      </c>
      <c r="H806" s="10">
        <v>46041.0</v>
      </c>
      <c r="I806" s="12">
        <v>12.0</v>
      </c>
      <c r="J806" s="6" t="s">
        <v>161</v>
      </c>
    </row>
    <row r="807" ht="22.5" customHeight="1">
      <c r="A807" s="6" t="s">
        <v>4740</v>
      </c>
      <c r="B807" s="6" t="s">
        <v>2679</v>
      </c>
      <c r="C807" s="10">
        <v>46056.0</v>
      </c>
      <c r="D807" s="6" t="s">
        <v>677</v>
      </c>
      <c r="E807" s="6" t="s">
        <v>1035</v>
      </c>
      <c r="F807" s="6" t="s">
        <v>283</v>
      </c>
      <c r="G807" s="6" t="s">
        <v>458</v>
      </c>
      <c r="H807" s="10">
        <v>46061.0</v>
      </c>
      <c r="I807" s="12">
        <v>2.0</v>
      </c>
      <c r="J807" s="6" t="s">
        <v>161</v>
      </c>
    </row>
    <row r="808" ht="22.5" customHeight="1">
      <c r="A808" s="6" t="s">
        <v>4749</v>
      </c>
      <c r="B808" s="6" t="s">
        <v>2679</v>
      </c>
      <c r="C808" s="10">
        <v>46064.0</v>
      </c>
      <c r="D808" s="6" t="s">
        <v>312</v>
      </c>
      <c r="E808" s="6" t="s">
        <v>658</v>
      </c>
      <c r="F808" s="6" t="s">
        <v>112</v>
      </c>
      <c r="G808" s="6" t="s">
        <v>477</v>
      </c>
      <c r="H808" s="11" t="s">
        <v>259</v>
      </c>
      <c r="I808" s="12">
        <v>5.0</v>
      </c>
      <c r="J808" s="6" t="s">
        <v>161</v>
      </c>
    </row>
    <row r="809" ht="22.5" customHeight="1">
      <c r="A809" s="6" t="s">
        <v>4752</v>
      </c>
      <c r="B809" s="6" t="s">
        <v>2679</v>
      </c>
      <c r="C809" s="10">
        <v>46061.0</v>
      </c>
      <c r="D809" s="6" t="s">
        <v>242</v>
      </c>
      <c r="E809" s="6" t="s">
        <v>475</v>
      </c>
      <c r="F809" s="6" t="s">
        <v>249</v>
      </c>
      <c r="G809" s="6" t="s">
        <v>452</v>
      </c>
      <c r="H809" s="11" t="s">
        <v>259</v>
      </c>
      <c r="I809" s="12">
        <v>5.0</v>
      </c>
      <c r="J809" s="6" t="s">
        <v>161</v>
      </c>
    </row>
    <row r="810" ht="22.5" customHeight="1">
      <c r="A810" s="6" t="s">
        <v>4758</v>
      </c>
      <c r="B810" s="6" t="s">
        <v>2679</v>
      </c>
      <c r="C810" s="10">
        <v>46064.0</v>
      </c>
      <c r="D810" s="6" t="s">
        <v>242</v>
      </c>
      <c r="E810" s="6" t="s">
        <v>885</v>
      </c>
      <c r="F810" s="6" t="s">
        <v>112</v>
      </c>
      <c r="G810" s="6" t="s">
        <v>326</v>
      </c>
      <c r="H810" s="10">
        <v>46065.0</v>
      </c>
      <c r="I810" s="12">
        <v>5.0</v>
      </c>
      <c r="J810" s="6" t="s">
        <v>178</v>
      </c>
    </row>
    <row r="811" ht="22.5" customHeight="1">
      <c r="A811" s="6" t="s">
        <v>4764</v>
      </c>
      <c r="B811" s="6" t="s">
        <v>2679</v>
      </c>
      <c r="C811" s="10">
        <v>46071.0</v>
      </c>
      <c r="D811" s="6" t="s">
        <v>242</v>
      </c>
      <c r="E811" s="6" t="s">
        <v>365</v>
      </c>
      <c r="F811" s="6" t="s">
        <v>283</v>
      </c>
      <c r="G811" s="6" t="s">
        <v>477</v>
      </c>
      <c r="H811" s="10">
        <v>46074.0</v>
      </c>
      <c r="I811" s="12">
        <v>3.0</v>
      </c>
      <c r="J811" s="6" t="s">
        <v>178</v>
      </c>
    </row>
    <row r="812" ht="22.5" customHeight="1">
      <c r="A812" s="6" t="s">
        <v>4770</v>
      </c>
      <c r="B812" s="6" t="s">
        <v>2685</v>
      </c>
      <c r="C812" s="10">
        <v>46036.0</v>
      </c>
      <c r="D812" s="6" t="s">
        <v>391</v>
      </c>
      <c r="E812" s="6" t="s">
        <v>1070</v>
      </c>
      <c r="F812" s="6" t="s">
        <v>112</v>
      </c>
      <c r="G812" s="6" t="s">
        <v>452</v>
      </c>
      <c r="H812" s="11" t="s">
        <v>259</v>
      </c>
      <c r="I812" s="12">
        <v>10.0</v>
      </c>
      <c r="J812" s="6" t="s">
        <v>161</v>
      </c>
    </row>
    <row r="813" ht="22.5" customHeight="1">
      <c r="A813" s="6" t="s">
        <v>4775</v>
      </c>
      <c r="B813" s="6" t="s">
        <v>2685</v>
      </c>
      <c r="C813" s="10">
        <v>46025.0</v>
      </c>
      <c r="D813" s="6" t="s">
        <v>289</v>
      </c>
      <c r="E813" s="6" t="s">
        <v>610</v>
      </c>
      <c r="F813" s="6" t="s">
        <v>439</v>
      </c>
      <c r="G813" s="6" t="s">
        <v>477</v>
      </c>
      <c r="H813" s="10">
        <v>46027.0</v>
      </c>
      <c r="I813" s="12">
        <v>10.0</v>
      </c>
      <c r="J813" s="6" t="s">
        <v>161</v>
      </c>
    </row>
    <row r="814" ht="22.5" customHeight="1">
      <c r="A814" s="6" t="s">
        <v>4779</v>
      </c>
      <c r="B814" s="6" t="s">
        <v>2691</v>
      </c>
      <c r="C814" s="10">
        <v>46043.0</v>
      </c>
      <c r="D814" s="6" t="s">
        <v>677</v>
      </c>
      <c r="E814" s="6" t="s">
        <v>291</v>
      </c>
      <c r="F814" s="6" t="s">
        <v>283</v>
      </c>
      <c r="G814" s="6" t="s">
        <v>326</v>
      </c>
      <c r="H814" s="10">
        <v>46045.0</v>
      </c>
      <c r="I814" s="12">
        <v>3.0</v>
      </c>
      <c r="J814" s="6" t="s">
        <v>161</v>
      </c>
    </row>
    <row r="815" ht="22.5" customHeight="1">
      <c r="A815" s="6" t="s">
        <v>4784</v>
      </c>
      <c r="B815" s="6" t="s">
        <v>2691</v>
      </c>
      <c r="C815" s="10">
        <v>46061.0</v>
      </c>
      <c r="D815" s="6" t="s">
        <v>312</v>
      </c>
      <c r="E815" s="6" t="s">
        <v>896</v>
      </c>
      <c r="F815" s="6" t="s">
        <v>249</v>
      </c>
      <c r="G815" s="6" t="s">
        <v>494</v>
      </c>
      <c r="H815" s="10">
        <v>46067.0</v>
      </c>
      <c r="I815" s="12">
        <v>5.0</v>
      </c>
      <c r="J815" s="6" t="s">
        <v>161</v>
      </c>
    </row>
    <row r="816" ht="22.5" customHeight="1">
      <c r="A816" s="6" t="s">
        <v>4790</v>
      </c>
      <c r="B816" s="6" t="s">
        <v>2691</v>
      </c>
      <c r="C816" s="10">
        <v>46052.0</v>
      </c>
      <c r="D816" s="6" t="s">
        <v>312</v>
      </c>
      <c r="E816" s="6" t="s">
        <v>731</v>
      </c>
      <c r="F816" s="6" t="s">
        <v>439</v>
      </c>
      <c r="G816" s="6" t="s">
        <v>494</v>
      </c>
      <c r="H816" s="10">
        <v>46057.0</v>
      </c>
      <c r="I816" s="12">
        <v>6.0</v>
      </c>
      <c r="J816" s="6" t="s">
        <v>161</v>
      </c>
    </row>
    <row r="817" ht="22.5" customHeight="1">
      <c r="A817" s="6" t="s">
        <v>4794</v>
      </c>
      <c r="B817" s="6" t="s">
        <v>2691</v>
      </c>
      <c r="C817" s="10">
        <v>46053.0</v>
      </c>
      <c r="D817" s="6" t="s">
        <v>677</v>
      </c>
      <c r="E817" s="6" t="s">
        <v>1552</v>
      </c>
      <c r="F817" s="6" t="s">
        <v>283</v>
      </c>
      <c r="G817" s="6" t="s">
        <v>494</v>
      </c>
      <c r="H817" s="10">
        <v>46055.0</v>
      </c>
      <c r="I817" s="12">
        <v>4.0</v>
      </c>
      <c r="J817" s="6" t="s">
        <v>161</v>
      </c>
    </row>
    <row r="818" ht="22.5" customHeight="1">
      <c r="A818" s="6" t="s">
        <v>4799</v>
      </c>
      <c r="B818" s="6" t="s">
        <v>2698</v>
      </c>
      <c r="C818" s="10">
        <v>46051.0</v>
      </c>
      <c r="D818" s="6" t="s">
        <v>391</v>
      </c>
      <c r="E818" s="6" t="s">
        <v>716</v>
      </c>
      <c r="F818" s="6" t="s">
        <v>112</v>
      </c>
      <c r="G818" s="6" t="s">
        <v>458</v>
      </c>
      <c r="H818" s="10">
        <v>46058.0</v>
      </c>
      <c r="I818" s="12">
        <v>8.0</v>
      </c>
      <c r="J818" s="6" t="s">
        <v>161</v>
      </c>
    </row>
    <row r="819" ht="22.5" customHeight="1">
      <c r="A819" s="6" t="s">
        <v>4807</v>
      </c>
      <c r="B819" s="6" t="s">
        <v>2698</v>
      </c>
      <c r="C819" s="10">
        <v>46070.0</v>
      </c>
      <c r="D819" s="6" t="s">
        <v>416</v>
      </c>
      <c r="E819" s="6" t="s">
        <v>738</v>
      </c>
      <c r="F819" s="6" t="s">
        <v>249</v>
      </c>
      <c r="G819" s="6" t="s">
        <v>326</v>
      </c>
      <c r="H819" s="10">
        <v>46075.0</v>
      </c>
      <c r="I819" s="12">
        <v>9.0</v>
      </c>
      <c r="J819" s="6" t="s">
        <v>161</v>
      </c>
    </row>
    <row r="820" ht="22.5" customHeight="1">
      <c r="A820" s="6" t="s">
        <v>4811</v>
      </c>
      <c r="B820" s="6" t="s">
        <v>2704</v>
      </c>
      <c r="C820" s="10">
        <v>46047.0</v>
      </c>
      <c r="D820" s="6" t="s">
        <v>289</v>
      </c>
      <c r="E820" s="6" t="s">
        <v>1969</v>
      </c>
      <c r="F820" s="6" t="s">
        <v>439</v>
      </c>
      <c r="G820" s="6" t="s">
        <v>369</v>
      </c>
      <c r="H820" s="10">
        <v>46049.0</v>
      </c>
      <c r="I820" s="12">
        <v>5.0</v>
      </c>
      <c r="J820" s="6" t="s">
        <v>161</v>
      </c>
    </row>
    <row r="821" ht="22.5" customHeight="1">
      <c r="A821" s="6" t="s">
        <v>4817</v>
      </c>
      <c r="B821" s="6" t="s">
        <v>2704</v>
      </c>
      <c r="C821" s="10">
        <v>46059.0</v>
      </c>
      <c r="D821" s="6" t="s">
        <v>677</v>
      </c>
      <c r="E821" s="6" t="s">
        <v>450</v>
      </c>
      <c r="F821" s="6" t="s">
        <v>249</v>
      </c>
      <c r="G821" s="6" t="s">
        <v>452</v>
      </c>
      <c r="H821" s="10">
        <v>46061.0</v>
      </c>
      <c r="I821" s="12">
        <v>4.0</v>
      </c>
      <c r="J821" s="6" t="s">
        <v>161</v>
      </c>
    </row>
    <row r="822" ht="22.5" customHeight="1">
      <c r="A822" s="6" t="s">
        <v>4821</v>
      </c>
      <c r="B822" s="6" t="s">
        <v>2710</v>
      </c>
      <c r="C822" s="10">
        <v>46068.0</v>
      </c>
      <c r="D822" s="6" t="s">
        <v>312</v>
      </c>
      <c r="E822" s="6" t="s">
        <v>738</v>
      </c>
      <c r="F822" s="6" t="s">
        <v>112</v>
      </c>
      <c r="G822" s="6" t="s">
        <v>297</v>
      </c>
      <c r="H822" s="10">
        <v>46073.0</v>
      </c>
      <c r="I822" s="12">
        <v>6.0</v>
      </c>
      <c r="J822" s="6" t="s">
        <v>161</v>
      </c>
    </row>
    <row r="823" ht="22.5" customHeight="1">
      <c r="A823" s="6" t="s">
        <v>4826</v>
      </c>
      <c r="B823" s="6" t="s">
        <v>2710</v>
      </c>
      <c r="C823" s="10">
        <v>46059.0</v>
      </c>
      <c r="D823" s="6" t="s">
        <v>312</v>
      </c>
      <c r="E823" s="6" t="s">
        <v>394</v>
      </c>
      <c r="F823" s="6" t="s">
        <v>283</v>
      </c>
      <c r="G823" s="6" t="s">
        <v>494</v>
      </c>
      <c r="H823" s="10">
        <v>46065.0</v>
      </c>
      <c r="I823" s="12">
        <v>4.0</v>
      </c>
      <c r="J823" s="6" t="s">
        <v>161</v>
      </c>
    </row>
    <row r="824" ht="22.5" customHeight="1">
      <c r="A824" s="6" t="s">
        <v>4830</v>
      </c>
      <c r="B824" s="6" t="s">
        <v>2710</v>
      </c>
      <c r="C824" s="10">
        <v>46063.0</v>
      </c>
      <c r="D824" s="6" t="s">
        <v>242</v>
      </c>
      <c r="E824" s="6" t="s">
        <v>1969</v>
      </c>
      <c r="F824" s="6" t="s">
        <v>439</v>
      </c>
      <c r="G824" s="6" t="s">
        <v>458</v>
      </c>
      <c r="H824" s="10">
        <v>46063.0</v>
      </c>
      <c r="I824" s="12">
        <v>3.0</v>
      </c>
      <c r="J824" s="6" t="s">
        <v>178</v>
      </c>
    </row>
    <row r="825" ht="22.5" customHeight="1">
      <c r="A825" s="6" t="s">
        <v>4834</v>
      </c>
      <c r="B825" s="6" t="s">
        <v>2710</v>
      </c>
      <c r="C825" s="10">
        <v>46065.0</v>
      </c>
      <c r="D825" s="6" t="s">
        <v>242</v>
      </c>
      <c r="E825" s="6" t="s">
        <v>566</v>
      </c>
      <c r="F825" s="6" t="s">
        <v>249</v>
      </c>
      <c r="G825" s="6" t="s">
        <v>458</v>
      </c>
      <c r="H825" s="11" t="s">
        <v>259</v>
      </c>
      <c r="I825" s="12">
        <v>4.0</v>
      </c>
      <c r="J825" s="6" t="s">
        <v>178</v>
      </c>
    </row>
    <row r="826" ht="22.5" customHeight="1">
      <c r="A826" s="6" t="s">
        <v>4840</v>
      </c>
      <c r="B826" s="6" t="s">
        <v>2717</v>
      </c>
      <c r="C826" s="10">
        <v>46077.0</v>
      </c>
      <c r="D826" s="6" t="s">
        <v>677</v>
      </c>
      <c r="E826" s="6" t="s">
        <v>466</v>
      </c>
      <c r="F826" s="6" t="s">
        <v>249</v>
      </c>
      <c r="G826" s="6" t="s">
        <v>254</v>
      </c>
      <c r="H826" s="10">
        <v>46080.0</v>
      </c>
      <c r="I826" s="12">
        <v>3.0</v>
      </c>
      <c r="J826" s="6" t="s">
        <v>161</v>
      </c>
    </row>
    <row r="827" ht="22.5" customHeight="1">
      <c r="A827" s="6" t="s">
        <v>4843</v>
      </c>
      <c r="B827" s="6" t="s">
        <v>2723</v>
      </c>
      <c r="C827" s="10">
        <v>46079.0</v>
      </c>
      <c r="D827" s="6" t="s">
        <v>436</v>
      </c>
      <c r="E827" s="6" t="s">
        <v>1310</v>
      </c>
      <c r="F827" s="6" t="s">
        <v>112</v>
      </c>
      <c r="G827" s="6" t="s">
        <v>326</v>
      </c>
      <c r="H827" s="10">
        <v>46082.0</v>
      </c>
      <c r="I827" s="12">
        <v>9.0</v>
      </c>
      <c r="J827" s="6" t="s">
        <v>178</v>
      </c>
    </row>
    <row r="828" ht="22.5" customHeight="1">
      <c r="A828" s="6" t="s">
        <v>4848</v>
      </c>
      <c r="B828" s="6" t="s">
        <v>2723</v>
      </c>
      <c r="C828" s="10">
        <v>46075.0</v>
      </c>
      <c r="D828" s="6" t="s">
        <v>242</v>
      </c>
      <c r="E828" s="6" t="s">
        <v>618</v>
      </c>
      <c r="F828" s="6" t="s">
        <v>112</v>
      </c>
      <c r="G828" s="6" t="s">
        <v>452</v>
      </c>
      <c r="H828" s="11" t="s">
        <v>259</v>
      </c>
      <c r="I828" s="12">
        <v>5.0</v>
      </c>
      <c r="J828" s="6" t="s">
        <v>178</v>
      </c>
    </row>
    <row r="829" ht="22.5" customHeight="1">
      <c r="A829" s="6" t="s">
        <v>4853</v>
      </c>
      <c r="B829" s="6" t="s">
        <v>2723</v>
      </c>
      <c r="C829" s="10">
        <v>46075.0</v>
      </c>
      <c r="D829" s="6" t="s">
        <v>436</v>
      </c>
      <c r="E829" s="6" t="s">
        <v>775</v>
      </c>
      <c r="F829" s="6" t="s">
        <v>249</v>
      </c>
      <c r="G829" s="6" t="s">
        <v>452</v>
      </c>
      <c r="H829" s="10">
        <v>46081.0</v>
      </c>
      <c r="I829" s="12">
        <v>11.0</v>
      </c>
      <c r="J829" s="6" t="s">
        <v>161</v>
      </c>
    </row>
    <row r="830" ht="22.5" customHeight="1">
      <c r="A830" s="6" t="s">
        <v>4856</v>
      </c>
      <c r="B830" s="6" t="s">
        <v>2723</v>
      </c>
      <c r="C830" s="10">
        <v>46076.0</v>
      </c>
      <c r="D830" s="6" t="s">
        <v>289</v>
      </c>
      <c r="E830" s="6" t="s">
        <v>1102</v>
      </c>
      <c r="F830" s="6" t="s">
        <v>439</v>
      </c>
      <c r="G830" s="6" t="s">
        <v>326</v>
      </c>
      <c r="H830" s="10">
        <v>46083.0</v>
      </c>
      <c r="I830" s="12">
        <v>5.0</v>
      </c>
      <c r="J830" s="6" t="s">
        <v>161</v>
      </c>
    </row>
    <row r="831" ht="22.5" customHeight="1">
      <c r="A831" s="6" t="s">
        <v>4861</v>
      </c>
      <c r="B831" s="6" t="s">
        <v>2723</v>
      </c>
      <c r="C831" s="10">
        <v>46086.0</v>
      </c>
      <c r="D831" s="6" t="s">
        <v>391</v>
      </c>
      <c r="E831" s="6" t="s">
        <v>1741</v>
      </c>
      <c r="F831" s="6" t="s">
        <v>439</v>
      </c>
      <c r="G831" s="6" t="s">
        <v>452</v>
      </c>
      <c r="H831" s="11" t="s">
        <v>259</v>
      </c>
      <c r="I831" s="12">
        <v>11.0</v>
      </c>
      <c r="J831" s="6" t="s">
        <v>161</v>
      </c>
    </row>
    <row r="832" ht="22.5" customHeight="1">
      <c r="A832" s="6" t="s">
        <v>4866</v>
      </c>
      <c r="B832" s="6" t="s">
        <v>2729</v>
      </c>
      <c r="C832" s="10">
        <v>46071.0</v>
      </c>
      <c r="D832" s="6" t="s">
        <v>289</v>
      </c>
      <c r="E832" s="6" t="s">
        <v>833</v>
      </c>
      <c r="F832" s="6" t="s">
        <v>283</v>
      </c>
      <c r="G832" s="6" t="s">
        <v>494</v>
      </c>
      <c r="H832" s="11" t="s">
        <v>259</v>
      </c>
      <c r="I832" s="12">
        <v>6.0</v>
      </c>
      <c r="J832" s="6" t="s">
        <v>161</v>
      </c>
    </row>
    <row r="833" ht="22.5" customHeight="1">
      <c r="A833" s="6" t="s">
        <v>4867</v>
      </c>
      <c r="B833" s="6" t="s">
        <v>2729</v>
      </c>
      <c r="C833" s="10">
        <v>46082.0</v>
      </c>
      <c r="D833" s="6" t="s">
        <v>312</v>
      </c>
      <c r="E833" s="6" t="s">
        <v>716</v>
      </c>
      <c r="F833" s="6" t="s">
        <v>439</v>
      </c>
      <c r="G833" s="6" t="s">
        <v>494</v>
      </c>
      <c r="H833" s="10">
        <v>46086.0</v>
      </c>
      <c r="I833" s="12">
        <v>5.0</v>
      </c>
      <c r="J833" s="6" t="s">
        <v>161</v>
      </c>
    </row>
    <row r="834" ht="22.5" customHeight="1">
      <c r="A834" s="6" t="s">
        <v>4873</v>
      </c>
      <c r="B834" s="6" t="s">
        <v>2729</v>
      </c>
      <c r="C834" s="10">
        <v>46080.0</v>
      </c>
      <c r="D834" s="6" t="s">
        <v>416</v>
      </c>
      <c r="E834" s="6" t="s">
        <v>512</v>
      </c>
      <c r="F834" s="6" t="s">
        <v>249</v>
      </c>
      <c r="G834" s="6" t="s">
        <v>369</v>
      </c>
      <c r="H834" s="10">
        <v>46081.0</v>
      </c>
      <c r="I834" s="12">
        <v>12.0</v>
      </c>
      <c r="J834" s="6" t="s">
        <v>161</v>
      </c>
    </row>
    <row r="835" ht="22.5" customHeight="1">
      <c r="A835" s="6" t="s">
        <v>4876</v>
      </c>
      <c r="B835" s="6" t="s">
        <v>2735</v>
      </c>
      <c r="C835" s="10">
        <v>46060.0</v>
      </c>
      <c r="D835" s="6" t="s">
        <v>312</v>
      </c>
      <c r="E835" s="6" t="s">
        <v>1720</v>
      </c>
      <c r="F835" s="6" t="s">
        <v>283</v>
      </c>
      <c r="G835" s="6" t="s">
        <v>254</v>
      </c>
      <c r="H835" s="10">
        <v>46063.0</v>
      </c>
      <c r="I835" s="12">
        <v>6.0</v>
      </c>
      <c r="J835" s="6" t="s">
        <v>161</v>
      </c>
    </row>
    <row r="836" ht="22.5" customHeight="1">
      <c r="A836" s="6" t="s">
        <v>4880</v>
      </c>
      <c r="B836" s="6" t="s">
        <v>2735</v>
      </c>
      <c r="C836" s="10">
        <v>46075.0</v>
      </c>
      <c r="D836" s="6" t="s">
        <v>242</v>
      </c>
      <c r="E836" s="6" t="s">
        <v>1296</v>
      </c>
      <c r="F836" s="6" t="s">
        <v>112</v>
      </c>
      <c r="G836" s="6" t="s">
        <v>369</v>
      </c>
      <c r="H836" s="10">
        <v>46079.0</v>
      </c>
      <c r="I836" s="12">
        <v>3.0</v>
      </c>
      <c r="J836" s="6" t="s">
        <v>178</v>
      </c>
    </row>
    <row r="837" ht="22.5" customHeight="1">
      <c r="A837" s="6" t="s">
        <v>4884</v>
      </c>
      <c r="B837" s="6" t="s">
        <v>2741</v>
      </c>
      <c r="C837" s="10">
        <v>46045.0</v>
      </c>
      <c r="D837" s="6" t="s">
        <v>677</v>
      </c>
      <c r="E837" s="6" t="s">
        <v>466</v>
      </c>
      <c r="F837" s="6" t="s">
        <v>439</v>
      </c>
      <c r="G837" s="6" t="s">
        <v>297</v>
      </c>
      <c r="H837" s="10">
        <v>46051.0</v>
      </c>
      <c r="I837" s="12">
        <v>3.0</v>
      </c>
      <c r="J837" s="6" t="s">
        <v>161</v>
      </c>
    </row>
    <row r="838" ht="22.5" customHeight="1">
      <c r="A838" s="6" t="s">
        <v>4888</v>
      </c>
      <c r="B838" s="6" t="s">
        <v>2741</v>
      </c>
      <c r="C838" s="10">
        <v>46030.0</v>
      </c>
      <c r="D838" s="6" t="s">
        <v>242</v>
      </c>
      <c r="E838" s="6" t="s">
        <v>1149</v>
      </c>
      <c r="F838" s="6" t="s">
        <v>112</v>
      </c>
      <c r="G838" s="6" t="s">
        <v>297</v>
      </c>
      <c r="H838" s="10">
        <v>46034.0</v>
      </c>
      <c r="I838" s="12">
        <v>5.0</v>
      </c>
      <c r="J838" s="6" t="s">
        <v>161</v>
      </c>
    </row>
    <row r="839" ht="22.5" customHeight="1">
      <c r="A839" s="6" t="s">
        <v>4893</v>
      </c>
      <c r="B839" s="6" t="s">
        <v>2741</v>
      </c>
      <c r="C839" s="10">
        <v>46048.0</v>
      </c>
      <c r="D839" s="6" t="s">
        <v>677</v>
      </c>
      <c r="E839" s="6" t="s">
        <v>1720</v>
      </c>
      <c r="F839" s="6" t="s">
        <v>112</v>
      </c>
      <c r="G839" s="6" t="s">
        <v>494</v>
      </c>
      <c r="H839" s="10">
        <v>46050.0</v>
      </c>
      <c r="I839" s="12">
        <v>3.0</v>
      </c>
      <c r="J839" s="6" t="s">
        <v>161</v>
      </c>
    </row>
    <row r="840" ht="22.5" customHeight="1">
      <c r="A840" s="6" t="s">
        <v>4896</v>
      </c>
      <c r="B840" s="6" t="s">
        <v>2748</v>
      </c>
      <c r="C840" s="10">
        <v>46063.0</v>
      </c>
      <c r="D840" s="6" t="s">
        <v>677</v>
      </c>
      <c r="E840" s="6" t="s">
        <v>658</v>
      </c>
      <c r="F840" s="6" t="s">
        <v>112</v>
      </c>
      <c r="G840" s="6" t="s">
        <v>494</v>
      </c>
      <c r="H840" s="10">
        <v>46068.0</v>
      </c>
      <c r="I840" s="12">
        <v>2.0</v>
      </c>
      <c r="J840" s="6" t="s">
        <v>161</v>
      </c>
    </row>
    <row r="841" ht="22.5" customHeight="1">
      <c r="A841" s="6" t="s">
        <v>4900</v>
      </c>
      <c r="B841" s="6" t="s">
        <v>2748</v>
      </c>
      <c r="C841" s="10">
        <v>46075.0</v>
      </c>
      <c r="D841" s="6" t="s">
        <v>391</v>
      </c>
      <c r="E841" s="6" t="s">
        <v>1035</v>
      </c>
      <c r="F841" s="6" t="s">
        <v>439</v>
      </c>
      <c r="G841" s="6" t="s">
        <v>254</v>
      </c>
      <c r="H841" s="10">
        <v>46075.0</v>
      </c>
      <c r="I841" s="12">
        <v>7.0</v>
      </c>
      <c r="J841" s="6" t="s">
        <v>161</v>
      </c>
    </row>
    <row r="842" ht="22.5" customHeight="1">
      <c r="A842" s="6" t="s">
        <v>4905</v>
      </c>
      <c r="B842" s="6" t="s">
        <v>2748</v>
      </c>
      <c r="C842" s="10">
        <v>46071.0</v>
      </c>
      <c r="D842" s="6" t="s">
        <v>416</v>
      </c>
      <c r="E842" s="6" t="s">
        <v>1280</v>
      </c>
      <c r="F842" s="6" t="s">
        <v>283</v>
      </c>
      <c r="G842" s="6" t="s">
        <v>254</v>
      </c>
      <c r="H842" s="10">
        <v>46075.0</v>
      </c>
      <c r="I842" s="12">
        <v>10.0</v>
      </c>
      <c r="J842" s="6" t="s">
        <v>161</v>
      </c>
    </row>
    <row r="843" ht="22.5" customHeight="1">
      <c r="A843" s="6" t="s">
        <v>4909</v>
      </c>
      <c r="B843" s="6" t="s">
        <v>2748</v>
      </c>
      <c r="C843" s="10">
        <v>46072.0</v>
      </c>
      <c r="D843" s="6" t="s">
        <v>416</v>
      </c>
      <c r="E843" s="6" t="s">
        <v>566</v>
      </c>
      <c r="F843" s="6" t="s">
        <v>439</v>
      </c>
      <c r="G843" s="6" t="s">
        <v>452</v>
      </c>
      <c r="H843" s="10">
        <v>46075.0</v>
      </c>
      <c r="I843" s="12">
        <v>11.0</v>
      </c>
      <c r="J843" s="6" t="s">
        <v>161</v>
      </c>
    </row>
    <row r="844" ht="22.5" customHeight="1">
      <c r="A844" s="6" t="s">
        <v>4913</v>
      </c>
      <c r="B844" s="6" t="s">
        <v>2754</v>
      </c>
      <c r="C844" s="10">
        <v>46070.0</v>
      </c>
      <c r="D844" s="6" t="s">
        <v>416</v>
      </c>
      <c r="E844" s="6" t="s">
        <v>618</v>
      </c>
      <c r="F844" s="6" t="s">
        <v>249</v>
      </c>
      <c r="G844" s="6" t="s">
        <v>254</v>
      </c>
      <c r="H844" s="10">
        <v>46073.0</v>
      </c>
      <c r="I844" s="12">
        <v>13.0</v>
      </c>
      <c r="J844" s="6" t="s">
        <v>161</v>
      </c>
    </row>
    <row r="845" ht="22.5" customHeight="1">
      <c r="A845" s="6" t="s">
        <v>4916</v>
      </c>
      <c r="B845" s="6" t="s">
        <v>2754</v>
      </c>
      <c r="C845" s="10">
        <v>46076.0</v>
      </c>
      <c r="D845" s="6" t="s">
        <v>416</v>
      </c>
      <c r="E845" s="6" t="s">
        <v>1720</v>
      </c>
      <c r="F845" s="6" t="s">
        <v>112</v>
      </c>
      <c r="G845" s="6" t="s">
        <v>326</v>
      </c>
      <c r="H845" s="10">
        <v>46083.0</v>
      </c>
      <c r="I845" s="12">
        <v>13.0</v>
      </c>
      <c r="J845" s="6" t="s">
        <v>161</v>
      </c>
    </row>
    <row r="846" ht="22.5" customHeight="1">
      <c r="A846" s="6" t="s">
        <v>4920</v>
      </c>
      <c r="B846" s="6" t="s">
        <v>2754</v>
      </c>
      <c r="C846" s="10">
        <v>46071.0</v>
      </c>
      <c r="D846" s="6" t="s">
        <v>242</v>
      </c>
      <c r="E846" s="6" t="s">
        <v>1626</v>
      </c>
      <c r="F846" s="6" t="s">
        <v>249</v>
      </c>
      <c r="G846" s="6" t="s">
        <v>477</v>
      </c>
      <c r="H846" s="10">
        <v>46073.0</v>
      </c>
      <c r="I846" s="12">
        <v>6.0</v>
      </c>
      <c r="J846" s="6" t="s">
        <v>178</v>
      </c>
    </row>
    <row r="847" ht="22.5" customHeight="1">
      <c r="A847" s="6" t="s">
        <v>4925</v>
      </c>
      <c r="B847" s="6" t="s">
        <v>2754</v>
      </c>
      <c r="C847" s="10">
        <v>46081.0</v>
      </c>
      <c r="D847" s="6" t="s">
        <v>436</v>
      </c>
      <c r="E847" s="6" t="s">
        <v>566</v>
      </c>
      <c r="F847" s="6" t="s">
        <v>283</v>
      </c>
      <c r="G847" s="6" t="s">
        <v>369</v>
      </c>
      <c r="H847" s="10">
        <v>46083.0</v>
      </c>
      <c r="I847" s="12">
        <v>12.0</v>
      </c>
      <c r="J847" s="6" t="s">
        <v>161</v>
      </c>
    </row>
    <row r="848" ht="22.5" customHeight="1">
      <c r="A848" s="6" t="s">
        <v>4929</v>
      </c>
      <c r="B848" s="6" t="s">
        <v>2760</v>
      </c>
      <c r="C848" s="10">
        <v>46064.0</v>
      </c>
      <c r="D848" s="6" t="s">
        <v>312</v>
      </c>
      <c r="E848" s="6" t="s">
        <v>695</v>
      </c>
      <c r="F848" s="6" t="s">
        <v>249</v>
      </c>
      <c r="G848" s="6" t="s">
        <v>494</v>
      </c>
      <c r="H848" s="11" t="s">
        <v>259</v>
      </c>
      <c r="I848" s="12">
        <v>4.0</v>
      </c>
      <c r="J848" s="6" t="s">
        <v>161</v>
      </c>
    </row>
    <row r="849" ht="22.5" customHeight="1">
      <c r="A849" s="6" t="s">
        <v>4933</v>
      </c>
      <c r="B849" s="6" t="s">
        <v>2760</v>
      </c>
      <c r="C849" s="10">
        <v>46058.0</v>
      </c>
      <c r="D849" s="6" t="s">
        <v>436</v>
      </c>
      <c r="E849" s="6" t="s">
        <v>1386</v>
      </c>
      <c r="F849" s="6" t="s">
        <v>283</v>
      </c>
      <c r="G849" s="6" t="s">
        <v>494</v>
      </c>
      <c r="H849" s="10">
        <v>46059.0</v>
      </c>
      <c r="I849" s="12">
        <v>10.0</v>
      </c>
      <c r="J849" s="6" t="s">
        <v>178</v>
      </c>
    </row>
    <row r="850" ht="22.5" customHeight="1">
      <c r="A850" s="6" t="s">
        <v>4936</v>
      </c>
      <c r="B850" s="6" t="s">
        <v>2760</v>
      </c>
      <c r="C850" s="10">
        <v>46067.0</v>
      </c>
      <c r="D850" s="6" t="s">
        <v>436</v>
      </c>
      <c r="E850" s="6" t="s">
        <v>704</v>
      </c>
      <c r="F850" s="6" t="s">
        <v>249</v>
      </c>
      <c r="G850" s="6" t="s">
        <v>369</v>
      </c>
      <c r="H850" s="10">
        <v>46071.0</v>
      </c>
      <c r="I850" s="12">
        <v>8.0</v>
      </c>
      <c r="J850" s="6" t="s">
        <v>178</v>
      </c>
    </row>
    <row r="851" ht="22.5" customHeight="1">
      <c r="A851" s="6" t="s">
        <v>4941</v>
      </c>
      <c r="B851" s="6" t="s">
        <v>2760</v>
      </c>
      <c r="C851" s="10">
        <v>46063.0</v>
      </c>
      <c r="D851" s="6" t="s">
        <v>416</v>
      </c>
      <c r="E851" s="6" t="s">
        <v>812</v>
      </c>
      <c r="F851" s="6" t="s">
        <v>249</v>
      </c>
      <c r="G851" s="6" t="s">
        <v>452</v>
      </c>
      <c r="H851" s="11" t="s">
        <v>259</v>
      </c>
      <c r="I851" s="12">
        <v>13.0</v>
      </c>
      <c r="J851" s="6" t="s">
        <v>161</v>
      </c>
    </row>
    <row r="852" ht="22.5" customHeight="1">
      <c r="A852" s="6" t="s">
        <v>4945</v>
      </c>
      <c r="B852" s="6" t="s">
        <v>2760</v>
      </c>
      <c r="C852" s="10">
        <v>46076.0</v>
      </c>
      <c r="D852" s="6" t="s">
        <v>242</v>
      </c>
      <c r="E852" s="6" t="s">
        <v>955</v>
      </c>
      <c r="F852" s="6" t="s">
        <v>439</v>
      </c>
      <c r="G852" s="6" t="s">
        <v>477</v>
      </c>
      <c r="H852" s="10">
        <v>46078.0</v>
      </c>
      <c r="I852" s="12">
        <v>4.0</v>
      </c>
      <c r="J852" s="6" t="s">
        <v>161</v>
      </c>
    </row>
    <row r="853" ht="22.5" customHeight="1">
      <c r="A853" s="6" t="s">
        <v>4949</v>
      </c>
      <c r="B853" s="6" t="s">
        <v>2767</v>
      </c>
      <c r="C853" s="10">
        <v>46055.0</v>
      </c>
      <c r="D853" s="6" t="s">
        <v>312</v>
      </c>
      <c r="E853" s="6" t="s">
        <v>2365</v>
      </c>
      <c r="F853" s="6" t="s">
        <v>283</v>
      </c>
      <c r="G853" s="6" t="s">
        <v>494</v>
      </c>
      <c r="H853" s="10">
        <v>46062.0</v>
      </c>
      <c r="I853" s="12">
        <v>6.0</v>
      </c>
      <c r="J853" s="6" t="s">
        <v>161</v>
      </c>
    </row>
    <row r="854" ht="22.5" customHeight="1">
      <c r="A854" s="6" t="s">
        <v>4953</v>
      </c>
      <c r="B854" s="6" t="s">
        <v>2767</v>
      </c>
      <c r="C854" s="10">
        <v>46039.0</v>
      </c>
      <c r="D854" s="6" t="s">
        <v>312</v>
      </c>
      <c r="E854" s="6" t="s">
        <v>1122</v>
      </c>
      <c r="F854" s="6" t="s">
        <v>283</v>
      </c>
      <c r="G854" s="6" t="s">
        <v>369</v>
      </c>
      <c r="H854" s="10">
        <v>46039.0</v>
      </c>
      <c r="I854" s="12">
        <v>6.0</v>
      </c>
      <c r="J854" s="6" t="s">
        <v>161</v>
      </c>
    </row>
    <row r="855" ht="22.5" customHeight="1">
      <c r="A855" s="6" t="s">
        <v>4958</v>
      </c>
      <c r="B855" s="6" t="s">
        <v>2767</v>
      </c>
      <c r="C855" s="10">
        <v>46043.0</v>
      </c>
      <c r="D855" s="6" t="s">
        <v>312</v>
      </c>
      <c r="E855" s="6" t="s">
        <v>1055</v>
      </c>
      <c r="F855" s="6" t="s">
        <v>249</v>
      </c>
      <c r="G855" s="6" t="s">
        <v>254</v>
      </c>
      <c r="H855" s="10">
        <v>46050.0</v>
      </c>
      <c r="I855" s="12">
        <v>6.0</v>
      </c>
      <c r="J855" s="6" t="s">
        <v>161</v>
      </c>
    </row>
    <row r="856" ht="22.5" customHeight="1">
      <c r="A856" s="6" t="s">
        <v>4961</v>
      </c>
      <c r="B856" s="6" t="s">
        <v>2773</v>
      </c>
      <c r="C856" s="10">
        <v>46068.0</v>
      </c>
      <c r="D856" s="6" t="s">
        <v>391</v>
      </c>
      <c r="E856" s="6" t="s">
        <v>634</v>
      </c>
      <c r="F856" s="6" t="s">
        <v>249</v>
      </c>
      <c r="G856" s="6" t="s">
        <v>254</v>
      </c>
      <c r="H856" s="10">
        <v>46070.0</v>
      </c>
      <c r="I856" s="12">
        <v>6.0</v>
      </c>
      <c r="J856" s="6" t="s">
        <v>161</v>
      </c>
    </row>
    <row r="857" ht="22.5" customHeight="1">
      <c r="A857" s="6" t="s">
        <v>4968</v>
      </c>
      <c r="B857" s="6" t="s">
        <v>2773</v>
      </c>
      <c r="C857" s="10">
        <v>46083.0</v>
      </c>
      <c r="D857" s="6" t="s">
        <v>312</v>
      </c>
      <c r="E857" s="6" t="s">
        <v>833</v>
      </c>
      <c r="F857" s="6" t="s">
        <v>283</v>
      </c>
      <c r="G857" s="6" t="s">
        <v>458</v>
      </c>
      <c r="H857" s="10">
        <v>46083.0</v>
      </c>
      <c r="I857" s="12">
        <v>5.0</v>
      </c>
      <c r="J857" s="6" t="s">
        <v>161</v>
      </c>
    </row>
    <row r="858" ht="22.5" customHeight="1">
      <c r="A858" s="6" t="s">
        <v>4972</v>
      </c>
      <c r="B858" s="6" t="s">
        <v>2773</v>
      </c>
      <c r="C858" s="10">
        <v>46083.0</v>
      </c>
      <c r="D858" s="6" t="s">
        <v>416</v>
      </c>
      <c r="E858" s="6" t="s">
        <v>738</v>
      </c>
      <c r="F858" s="6" t="s">
        <v>249</v>
      </c>
      <c r="G858" s="6" t="s">
        <v>458</v>
      </c>
      <c r="H858" s="10">
        <v>46083.0</v>
      </c>
      <c r="I858" s="12">
        <v>11.0</v>
      </c>
      <c r="J858" s="6" t="s">
        <v>161</v>
      </c>
    </row>
    <row r="859" ht="22.5" customHeight="1">
      <c r="A859" s="6" t="s">
        <v>4977</v>
      </c>
      <c r="B859" s="6" t="s">
        <v>2773</v>
      </c>
      <c r="C859" s="10">
        <v>46072.0</v>
      </c>
      <c r="D859" s="6" t="s">
        <v>416</v>
      </c>
      <c r="E859" s="6" t="s">
        <v>1741</v>
      </c>
      <c r="F859" s="6" t="s">
        <v>283</v>
      </c>
      <c r="G859" s="6" t="s">
        <v>477</v>
      </c>
      <c r="H859" s="10">
        <v>46079.0</v>
      </c>
      <c r="I859" s="12">
        <v>14.0</v>
      </c>
      <c r="J859" s="6" t="s">
        <v>161</v>
      </c>
    </row>
    <row r="860" ht="22.5" customHeight="1">
      <c r="A860" s="6" t="s">
        <v>4980</v>
      </c>
      <c r="B860" s="6" t="s">
        <v>2773</v>
      </c>
      <c r="C860" s="10">
        <v>46078.0</v>
      </c>
      <c r="D860" s="6" t="s">
        <v>312</v>
      </c>
      <c r="E860" s="6" t="s">
        <v>2365</v>
      </c>
      <c r="F860" s="6" t="s">
        <v>283</v>
      </c>
      <c r="G860" s="6" t="s">
        <v>297</v>
      </c>
      <c r="H860" s="10">
        <v>46082.0</v>
      </c>
      <c r="I860" s="12">
        <v>4.0</v>
      </c>
      <c r="J860" s="6" t="s">
        <v>161</v>
      </c>
    </row>
    <row r="861" ht="22.5" customHeight="1">
      <c r="A861" s="6" t="s">
        <v>4986</v>
      </c>
      <c r="B861" s="6" t="s">
        <v>2780</v>
      </c>
      <c r="C861" s="10">
        <v>46069.0</v>
      </c>
      <c r="D861" s="6" t="s">
        <v>436</v>
      </c>
      <c r="E861" s="6" t="s">
        <v>955</v>
      </c>
      <c r="F861" s="6" t="s">
        <v>249</v>
      </c>
      <c r="G861" s="6" t="s">
        <v>458</v>
      </c>
      <c r="H861" s="11" t="s">
        <v>259</v>
      </c>
      <c r="I861" s="12">
        <v>8.0</v>
      </c>
      <c r="J861" s="6" t="s">
        <v>178</v>
      </c>
    </row>
    <row r="862" ht="22.5" customHeight="1">
      <c r="A862" s="6" t="s">
        <v>4990</v>
      </c>
      <c r="B862" s="6" t="s">
        <v>2786</v>
      </c>
      <c r="C862" s="10">
        <v>46038.0</v>
      </c>
      <c r="D862" s="6" t="s">
        <v>312</v>
      </c>
      <c r="E862" s="6" t="s">
        <v>1273</v>
      </c>
      <c r="F862" s="6" t="s">
        <v>112</v>
      </c>
      <c r="G862" s="6" t="s">
        <v>254</v>
      </c>
      <c r="H862" s="10">
        <v>46044.0</v>
      </c>
      <c r="I862" s="12">
        <v>5.0</v>
      </c>
      <c r="J862" s="6" t="s">
        <v>161</v>
      </c>
    </row>
    <row r="863" ht="22.5" customHeight="1">
      <c r="A863" s="6" t="s">
        <v>4996</v>
      </c>
      <c r="B863" s="6" t="s">
        <v>2786</v>
      </c>
      <c r="C863" s="10">
        <v>46044.0</v>
      </c>
      <c r="D863" s="6" t="s">
        <v>677</v>
      </c>
      <c r="E863" s="6" t="s">
        <v>394</v>
      </c>
      <c r="F863" s="6" t="s">
        <v>249</v>
      </c>
      <c r="G863" s="6" t="s">
        <v>297</v>
      </c>
      <c r="H863" s="10">
        <v>46049.0</v>
      </c>
      <c r="I863" s="12">
        <v>2.0</v>
      </c>
      <c r="J863" s="6" t="s">
        <v>161</v>
      </c>
    </row>
    <row r="864" ht="22.5" customHeight="1">
      <c r="A864" s="6" t="s">
        <v>5002</v>
      </c>
      <c r="B864" s="6" t="s">
        <v>2786</v>
      </c>
      <c r="C864" s="10">
        <v>46045.0</v>
      </c>
      <c r="D864" s="6" t="s">
        <v>436</v>
      </c>
      <c r="E864" s="6" t="s">
        <v>1280</v>
      </c>
      <c r="F864" s="6" t="s">
        <v>249</v>
      </c>
      <c r="G864" s="6" t="s">
        <v>326</v>
      </c>
      <c r="H864" s="10">
        <v>46049.0</v>
      </c>
      <c r="I864" s="12">
        <v>10.0</v>
      </c>
      <c r="J864" s="6" t="s">
        <v>178</v>
      </c>
    </row>
    <row r="865" ht="22.5" customHeight="1">
      <c r="A865" s="6" t="s">
        <v>5008</v>
      </c>
      <c r="B865" s="6" t="s">
        <v>2786</v>
      </c>
      <c r="C865" s="10">
        <v>46039.0</v>
      </c>
      <c r="D865" s="6" t="s">
        <v>312</v>
      </c>
      <c r="E865" s="6" t="s">
        <v>1035</v>
      </c>
      <c r="F865" s="6" t="s">
        <v>249</v>
      </c>
      <c r="G865" s="6" t="s">
        <v>326</v>
      </c>
      <c r="H865" s="10">
        <v>46046.0</v>
      </c>
      <c r="I865" s="12">
        <v>7.0</v>
      </c>
      <c r="J865" s="6" t="s">
        <v>161</v>
      </c>
    </row>
    <row r="866" ht="22.5" customHeight="1">
      <c r="A866" s="6" t="s">
        <v>5014</v>
      </c>
      <c r="B866" s="6" t="s">
        <v>2786</v>
      </c>
      <c r="C866" s="10">
        <v>46048.0</v>
      </c>
      <c r="D866" s="6" t="s">
        <v>312</v>
      </c>
      <c r="E866" s="6" t="s">
        <v>1070</v>
      </c>
      <c r="F866" s="6" t="s">
        <v>439</v>
      </c>
      <c r="G866" s="6" t="s">
        <v>369</v>
      </c>
      <c r="H866" s="10">
        <v>46051.0</v>
      </c>
      <c r="I866" s="12">
        <v>4.0</v>
      </c>
      <c r="J866" s="6" t="s">
        <v>161</v>
      </c>
    </row>
    <row r="867" ht="22.5" customHeight="1">
      <c r="A867" s="6" t="s">
        <v>5017</v>
      </c>
      <c r="B867" s="6" t="s">
        <v>2792</v>
      </c>
      <c r="C867" s="10">
        <v>46069.0</v>
      </c>
      <c r="D867" s="6" t="s">
        <v>289</v>
      </c>
      <c r="E867" s="6" t="s">
        <v>731</v>
      </c>
      <c r="F867" s="6" t="s">
        <v>439</v>
      </c>
      <c r="G867" s="6" t="s">
        <v>326</v>
      </c>
      <c r="H867" s="10">
        <v>46073.0</v>
      </c>
      <c r="I867" s="12">
        <v>9.0</v>
      </c>
      <c r="J867" s="6" t="s">
        <v>161</v>
      </c>
    </row>
    <row r="868" ht="22.5" customHeight="1">
      <c r="A868" s="6" t="s">
        <v>5021</v>
      </c>
      <c r="B868" s="6" t="s">
        <v>2792</v>
      </c>
      <c r="C868" s="10">
        <v>46079.0</v>
      </c>
      <c r="D868" s="6" t="s">
        <v>391</v>
      </c>
      <c r="E868" s="6" t="s">
        <v>670</v>
      </c>
      <c r="F868" s="6" t="s">
        <v>112</v>
      </c>
      <c r="G868" s="6" t="s">
        <v>477</v>
      </c>
      <c r="H868" s="10">
        <v>46083.0</v>
      </c>
      <c r="I868" s="12">
        <v>7.0</v>
      </c>
      <c r="J868" s="6" t="s">
        <v>161</v>
      </c>
    </row>
    <row r="869" ht="22.5" customHeight="1">
      <c r="A869" s="6" t="s">
        <v>5025</v>
      </c>
      <c r="B869" s="6" t="s">
        <v>2792</v>
      </c>
      <c r="C869" s="10">
        <v>46064.0</v>
      </c>
      <c r="D869" s="6" t="s">
        <v>436</v>
      </c>
      <c r="E869" s="6" t="s">
        <v>466</v>
      </c>
      <c r="F869" s="6" t="s">
        <v>283</v>
      </c>
      <c r="G869" s="6" t="s">
        <v>458</v>
      </c>
      <c r="H869" s="10">
        <v>46064.0</v>
      </c>
      <c r="I869" s="12">
        <v>10.0</v>
      </c>
      <c r="J869" s="6" t="s">
        <v>178</v>
      </c>
    </row>
    <row r="870" ht="22.5" customHeight="1">
      <c r="A870" s="6" t="s">
        <v>5030</v>
      </c>
      <c r="B870" s="6" t="s">
        <v>2792</v>
      </c>
      <c r="C870" s="10">
        <v>46079.0</v>
      </c>
      <c r="D870" s="6" t="s">
        <v>677</v>
      </c>
      <c r="E870" s="6" t="s">
        <v>246</v>
      </c>
      <c r="F870" s="6" t="s">
        <v>249</v>
      </c>
      <c r="G870" s="6" t="s">
        <v>452</v>
      </c>
      <c r="H870" s="10">
        <v>46084.0</v>
      </c>
      <c r="I870" s="12">
        <v>2.0</v>
      </c>
      <c r="J870" s="6" t="s">
        <v>161</v>
      </c>
    </row>
    <row r="871" ht="22.5" customHeight="1">
      <c r="A871" s="6" t="s">
        <v>5034</v>
      </c>
      <c r="B871" s="6" t="s">
        <v>2799</v>
      </c>
      <c r="C871" s="10">
        <v>46080.0</v>
      </c>
      <c r="D871" s="6" t="s">
        <v>391</v>
      </c>
      <c r="E871" s="6" t="s">
        <v>1241</v>
      </c>
      <c r="F871" s="6" t="s">
        <v>283</v>
      </c>
      <c r="G871" s="6" t="s">
        <v>326</v>
      </c>
      <c r="H871" s="10">
        <v>46082.0</v>
      </c>
      <c r="I871" s="12">
        <v>10.0</v>
      </c>
      <c r="J871" s="6" t="s">
        <v>161</v>
      </c>
    </row>
    <row r="872" ht="22.5" customHeight="1">
      <c r="A872" s="6" t="s">
        <v>5040</v>
      </c>
      <c r="B872" s="6" t="s">
        <v>2799</v>
      </c>
      <c r="C872" s="10">
        <v>46079.0</v>
      </c>
      <c r="D872" s="6" t="s">
        <v>312</v>
      </c>
      <c r="E872" s="6" t="s">
        <v>512</v>
      </c>
      <c r="F872" s="6" t="s">
        <v>439</v>
      </c>
      <c r="G872" s="6" t="s">
        <v>369</v>
      </c>
      <c r="H872" s="11" t="s">
        <v>259</v>
      </c>
      <c r="I872" s="12">
        <v>6.0</v>
      </c>
      <c r="J872" s="6" t="s">
        <v>161</v>
      </c>
    </row>
    <row r="873" ht="22.5" customHeight="1">
      <c r="A873" s="6" t="s">
        <v>5043</v>
      </c>
      <c r="B873" s="6" t="s">
        <v>2799</v>
      </c>
      <c r="C873" s="10">
        <v>46073.0</v>
      </c>
      <c r="D873" s="6" t="s">
        <v>242</v>
      </c>
      <c r="E873" s="6" t="s">
        <v>658</v>
      </c>
      <c r="F873" s="6" t="s">
        <v>283</v>
      </c>
      <c r="G873" s="6" t="s">
        <v>254</v>
      </c>
      <c r="H873" s="10">
        <v>46073.0</v>
      </c>
      <c r="I873" s="12">
        <v>5.0</v>
      </c>
      <c r="J873" s="6" t="s">
        <v>178</v>
      </c>
    </row>
    <row r="874" ht="22.5" customHeight="1">
      <c r="A874" s="6" t="s">
        <v>5047</v>
      </c>
      <c r="B874" s="6" t="s">
        <v>2805</v>
      </c>
      <c r="C874" s="10">
        <v>46069.0</v>
      </c>
      <c r="D874" s="6" t="s">
        <v>242</v>
      </c>
      <c r="E874" s="6" t="s">
        <v>704</v>
      </c>
      <c r="F874" s="6" t="s">
        <v>283</v>
      </c>
      <c r="G874" s="6" t="s">
        <v>494</v>
      </c>
      <c r="H874" s="10">
        <v>46073.0</v>
      </c>
      <c r="I874" s="12">
        <v>6.0</v>
      </c>
      <c r="J874" s="6" t="s">
        <v>178</v>
      </c>
    </row>
    <row r="875" ht="22.5" customHeight="1">
      <c r="A875" s="6" t="s">
        <v>5049</v>
      </c>
      <c r="B875" s="6" t="s">
        <v>2811</v>
      </c>
      <c r="C875" s="10">
        <v>46039.0</v>
      </c>
      <c r="D875" s="6" t="s">
        <v>436</v>
      </c>
      <c r="E875" s="6" t="s">
        <v>1600</v>
      </c>
      <c r="F875" s="6" t="s">
        <v>249</v>
      </c>
      <c r="G875" s="6" t="s">
        <v>477</v>
      </c>
      <c r="H875" s="11" t="s">
        <v>259</v>
      </c>
      <c r="I875" s="12">
        <v>11.0</v>
      </c>
      <c r="J875" s="6" t="s">
        <v>178</v>
      </c>
    </row>
    <row r="876" ht="22.5" customHeight="1">
      <c r="A876" s="6" t="s">
        <v>5053</v>
      </c>
      <c r="B876" s="6" t="s">
        <v>2816</v>
      </c>
      <c r="C876" s="10">
        <v>46080.0</v>
      </c>
      <c r="D876" s="6" t="s">
        <v>289</v>
      </c>
      <c r="E876" s="6" t="s">
        <v>955</v>
      </c>
      <c r="F876" s="6" t="s">
        <v>283</v>
      </c>
      <c r="G876" s="6" t="s">
        <v>297</v>
      </c>
      <c r="H876" s="10">
        <v>46082.0</v>
      </c>
      <c r="I876" s="12">
        <v>6.0</v>
      </c>
      <c r="J876" s="6" t="s">
        <v>161</v>
      </c>
    </row>
    <row r="877" ht="22.5" customHeight="1">
      <c r="A877" s="6" t="s">
        <v>5057</v>
      </c>
      <c r="B877" s="6" t="s">
        <v>2816</v>
      </c>
      <c r="C877" s="10">
        <v>46070.0</v>
      </c>
      <c r="D877" s="6" t="s">
        <v>391</v>
      </c>
      <c r="E877" s="6" t="s">
        <v>863</v>
      </c>
      <c r="F877" s="6" t="s">
        <v>439</v>
      </c>
      <c r="G877" s="6" t="s">
        <v>297</v>
      </c>
      <c r="H877" s="10">
        <v>46073.0</v>
      </c>
      <c r="I877" s="12">
        <v>10.0</v>
      </c>
      <c r="J877" s="6" t="s">
        <v>161</v>
      </c>
    </row>
    <row r="878" ht="22.5" customHeight="1">
      <c r="A878" s="6" t="s">
        <v>5060</v>
      </c>
      <c r="B878" s="6" t="s">
        <v>2823</v>
      </c>
      <c r="C878" s="10">
        <v>46045.0</v>
      </c>
      <c r="D878" s="6" t="s">
        <v>436</v>
      </c>
      <c r="E878" s="6" t="s">
        <v>798</v>
      </c>
      <c r="F878" s="6" t="s">
        <v>439</v>
      </c>
      <c r="G878" s="6" t="s">
        <v>477</v>
      </c>
      <c r="H878" s="10">
        <v>46052.0</v>
      </c>
      <c r="I878" s="12">
        <v>11.0</v>
      </c>
      <c r="J878" s="6" t="s">
        <v>161</v>
      </c>
    </row>
    <row r="879" ht="22.5" customHeight="1">
      <c r="A879" s="6" t="s">
        <v>5064</v>
      </c>
      <c r="B879" s="6" t="s">
        <v>2823</v>
      </c>
      <c r="C879" s="10">
        <v>46048.0</v>
      </c>
      <c r="D879" s="6" t="s">
        <v>312</v>
      </c>
      <c r="E879" s="6" t="s">
        <v>438</v>
      </c>
      <c r="F879" s="6" t="s">
        <v>439</v>
      </c>
      <c r="G879" s="6" t="s">
        <v>369</v>
      </c>
      <c r="H879" s="10">
        <v>46053.0</v>
      </c>
      <c r="I879" s="12">
        <v>4.0</v>
      </c>
      <c r="J879" s="6" t="s">
        <v>161</v>
      </c>
    </row>
    <row r="880" ht="22.5" customHeight="1">
      <c r="A880" s="6" t="s">
        <v>5068</v>
      </c>
      <c r="B880" s="6" t="s">
        <v>2823</v>
      </c>
      <c r="C880" s="10">
        <v>46048.0</v>
      </c>
      <c r="D880" s="6" t="s">
        <v>242</v>
      </c>
      <c r="E880" s="6" t="s">
        <v>566</v>
      </c>
      <c r="F880" s="6" t="s">
        <v>112</v>
      </c>
      <c r="G880" s="6" t="s">
        <v>326</v>
      </c>
      <c r="H880" s="11" t="s">
        <v>259</v>
      </c>
      <c r="I880" s="12">
        <v>6.0</v>
      </c>
      <c r="J880" s="6" t="s">
        <v>178</v>
      </c>
    </row>
    <row r="881" ht="22.5" customHeight="1">
      <c r="A881" s="6" t="s">
        <v>5071</v>
      </c>
      <c r="B881" s="6" t="s">
        <v>2829</v>
      </c>
      <c r="C881" s="10">
        <v>46073.0</v>
      </c>
      <c r="D881" s="6" t="s">
        <v>416</v>
      </c>
      <c r="E881" s="6" t="s">
        <v>2365</v>
      </c>
      <c r="F881" s="6" t="s">
        <v>283</v>
      </c>
      <c r="G881" s="6" t="s">
        <v>326</v>
      </c>
      <c r="H881" s="10">
        <v>46073.0</v>
      </c>
      <c r="I881" s="12">
        <v>13.0</v>
      </c>
      <c r="J881" s="6" t="s">
        <v>161</v>
      </c>
    </row>
    <row r="882" ht="22.5" customHeight="1">
      <c r="A882" s="6" t="s">
        <v>5074</v>
      </c>
      <c r="B882" s="6" t="s">
        <v>2829</v>
      </c>
      <c r="C882" s="10">
        <v>46068.0</v>
      </c>
      <c r="D882" s="6" t="s">
        <v>436</v>
      </c>
      <c r="E882" s="6" t="s">
        <v>610</v>
      </c>
      <c r="F882" s="6" t="s">
        <v>439</v>
      </c>
      <c r="G882" s="6" t="s">
        <v>369</v>
      </c>
      <c r="H882" s="10">
        <v>46073.0</v>
      </c>
      <c r="I882" s="12">
        <v>6.0</v>
      </c>
      <c r="J882" s="6" t="s">
        <v>178</v>
      </c>
    </row>
    <row r="883" ht="22.5" customHeight="1">
      <c r="A883" s="6" t="s">
        <v>5078</v>
      </c>
      <c r="B883" s="6" t="s">
        <v>2836</v>
      </c>
      <c r="C883" s="10">
        <v>46042.0</v>
      </c>
      <c r="D883" s="6" t="s">
        <v>416</v>
      </c>
      <c r="E883" s="6" t="s">
        <v>1273</v>
      </c>
      <c r="F883" s="6" t="s">
        <v>439</v>
      </c>
      <c r="G883" s="6" t="s">
        <v>369</v>
      </c>
      <c r="H883" s="10">
        <v>46044.0</v>
      </c>
      <c r="I883" s="12">
        <v>12.0</v>
      </c>
      <c r="J883" s="6" t="s">
        <v>161</v>
      </c>
    </row>
    <row r="884" ht="22.5" customHeight="1">
      <c r="A884" s="6" t="s">
        <v>5081</v>
      </c>
      <c r="B884" s="6" t="s">
        <v>2836</v>
      </c>
      <c r="C884" s="10">
        <v>46044.0</v>
      </c>
      <c r="D884" s="6" t="s">
        <v>391</v>
      </c>
      <c r="E884" s="6" t="s">
        <v>687</v>
      </c>
      <c r="F884" s="6" t="s">
        <v>439</v>
      </c>
      <c r="G884" s="6" t="s">
        <v>326</v>
      </c>
      <c r="H884" s="10">
        <v>46051.0</v>
      </c>
      <c r="I884" s="12">
        <v>7.0</v>
      </c>
      <c r="J884" s="6" t="s">
        <v>161</v>
      </c>
    </row>
    <row r="885" ht="22.5" customHeight="1">
      <c r="A885" s="6" t="s">
        <v>5085</v>
      </c>
      <c r="B885" s="6" t="s">
        <v>2836</v>
      </c>
      <c r="C885" s="10">
        <v>46053.0</v>
      </c>
      <c r="D885" s="6" t="s">
        <v>242</v>
      </c>
      <c r="E885" s="6" t="s">
        <v>1296</v>
      </c>
      <c r="F885" s="6" t="s">
        <v>439</v>
      </c>
      <c r="G885" s="6" t="s">
        <v>477</v>
      </c>
      <c r="H885" s="10">
        <v>46059.0</v>
      </c>
      <c r="I885" s="12">
        <v>4.0</v>
      </c>
      <c r="J885" s="6" t="s">
        <v>161</v>
      </c>
    </row>
    <row r="886" ht="22.5" customHeight="1">
      <c r="A886" s="6" t="s">
        <v>5088</v>
      </c>
      <c r="B886" s="6" t="s">
        <v>2842</v>
      </c>
      <c r="C886" s="10">
        <v>46023.0</v>
      </c>
      <c r="D886" s="6" t="s">
        <v>416</v>
      </c>
      <c r="E886" s="6" t="s">
        <v>566</v>
      </c>
      <c r="F886" s="6" t="s">
        <v>283</v>
      </c>
      <c r="G886" s="6" t="s">
        <v>297</v>
      </c>
      <c r="H886" s="10">
        <v>46023.0</v>
      </c>
      <c r="I886" s="12">
        <v>9.0</v>
      </c>
      <c r="J886" s="6" t="s">
        <v>161</v>
      </c>
    </row>
    <row r="887" ht="22.5" customHeight="1">
      <c r="A887" s="6" t="s">
        <v>5092</v>
      </c>
      <c r="B887" s="6" t="s">
        <v>2842</v>
      </c>
      <c r="C887" s="10">
        <v>46038.0</v>
      </c>
      <c r="D887" s="6" t="s">
        <v>289</v>
      </c>
      <c r="E887" s="6" t="s">
        <v>365</v>
      </c>
      <c r="F887" s="6" t="s">
        <v>249</v>
      </c>
      <c r="G887" s="6" t="s">
        <v>458</v>
      </c>
      <c r="H887" s="10">
        <v>46039.0</v>
      </c>
      <c r="I887" s="12">
        <v>8.0</v>
      </c>
      <c r="J887" s="6" t="s">
        <v>161</v>
      </c>
    </row>
    <row r="888" ht="22.5" customHeight="1">
      <c r="A888" s="6" t="s">
        <v>5094</v>
      </c>
      <c r="B888" s="6" t="s">
        <v>2848</v>
      </c>
      <c r="C888" s="10">
        <v>46027.0</v>
      </c>
      <c r="D888" s="6" t="s">
        <v>416</v>
      </c>
      <c r="E888" s="6" t="s">
        <v>885</v>
      </c>
      <c r="F888" s="6" t="s">
        <v>249</v>
      </c>
      <c r="G888" s="6" t="s">
        <v>369</v>
      </c>
      <c r="H888" s="10">
        <v>46030.0</v>
      </c>
      <c r="I888" s="12">
        <v>8.0</v>
      </c>
      <c r="J888" s="6" t="s">
        <v>161</v>
      </c>
    </row>
    <row r="889" ht="22.5" customHeight="1">
      <c r="A889" s="6" t="s">
        <v>5099</v>
      </c>
      <c r="B889" s="6" t="s">
        <v>2848</v>
      </c>
      <c r="C889" s="10">
        <v>46035.0</v>
      </c>
      <c r="D889" s="6" t="s">
        <v>677</v>
      </c>
      <c r="E889" s="6" t="s">
        <v>1386</v>
      </c>
      <c r="F889" s="6" t="s">
        <v>283</v>
      </c>
      <c r="G889" s="6" t="s">
        <v>452</v>
      </c>
      <c r="H889" s="10">
        <v>46042.0</v>
      </c>
      <c r="I889" s="12">
        <v>2.0</v>
      </c>
      <c r="J889" s="6" t="s">
        <v>161</v>
      </c>
    </row>
    <row r="890" ht="22.5" customHeight="1">
      <c r="A890" s="6" t="s">
        <v>5102</v>
      </c>
      <c r="B890" s="6" t="s">
        <v>2848</v>
      </c>
      <c r="C890" s="10">
        <v>46039.0</v>
      </c>
      <c r="D890" s="6" t="s">
        <v>312</v>
      </c>
      <c r="E890" s="6" t="s">
        <v>394</v>
      </c>
      <c r="F890" s="6" t="s">
        <v>112</v>
      </c>
      <c r="G890" s="6" t="s">
        <v>254</v>
      </c>
      <c r="H890" s="10">
        <v>46042.0</v>
      </c>
      <c r="I890" s="12">
        <v>6.0</v>
      </c>
      <c r="J890" s="6" t="s">
        <v>161</v>
      </c>
    </row>
    <row r="891" ht="22.5" customHeight="1">
      <c r="A891" s="6" t="s">
        <v>5107</v>
      </c>
      <c r="B891" s="6" t="s">
        <v>2854</v>
      </c>
      <c r="C891" s="10">
        <v>46034.0</v>
      </c>
      <c r="D891" s="6" t="s">
        <v>436</v>
      </c>
      <c r="E891" s="6" t="s">
        <v>716</v>
      </c>
      <c r="F891" s="6" t="s">
        <v>439</v>
      </c>
      <c r="G891" s="6" t="s">
        <v>254</v>
      </c>
      <c r="H891" s="10">
        <v>46037.0</v>
      </c>
      <c r="I891" s="12">
        <v>10.0</v>
      </c>
      <c r="J891" s="6" t="s">
        <v>178</v>
      </c>
    </row>
    <row r="892" ht="22.5" customHeight="1">
      <c r="A892" s="6" t="s">
        <v>5110</v>
      </c>
      <c r="B892" s="6" t="s">
        <v>2854</v>
      </c>
      <c r="C892" s="10">
        <v>46034.0</v>
      </c>
      <c r="D892" s="6" t="s">
        <v>677</v>
      </c>
      <c r="E892" s="6" t="s">
        <v>1102</v>
      </c>
      <c r="F892" s="6" t="s">
        <v>283</v>
      </c>
      <c r="G892" s="6" t="s">
        <v>254</v>
      </c>
      <c r="H892" s="10">
        <v>46039.0</v>
      </c>
      <c r="I892" s="12">
        <v>2.0</v>
      </c>
      <c r="J892" s="6" t="s">
        <v>161</v>
      </c>
    </row>
    <row r="893" ht="22.5" customHeight="1">
      <c r="A893" s="6" t="s">
        <v>5114</v>
      </c>
      <c r="B893" s="6" t="s">
        <v>2854</v>
      </c>
      <c r="C893" s="10">
        <v>46041.0</v>
      </c>
      <c r="D893" s="6" t="s">
        <v>289</v>
      </c>
      <c r="E893" s="6" t="s">
        <v>475</v>
      </c>
      <c r="F893" s="6" t="s">
        <v>283</v>
      </c>
      <c r="G893" s="6" t="s">
        <v>477</v>
      </c>
      <c r="H893" s="10">
        <v>46042.0</v>
      </c>
      <c r="I893" s="12">
        <v>9.0</v>
      </c>
      <c r="J893" s="6" t="s">
        <v>161</v>
      </c>
    </row>
    <row r="894" ht="22.5" customHeight="1">
      <c r="A894" s="6" t="s">
        <v>5120</v>
      </c>
      <c r="B894" s="6" t="s">
        <v>2859</v>
      </c>
      <c r="C894" s="10">
        <v>46070.0</v>
      </c>
      <c r="D894" s="6" t="s">
        <v>289</v>
      </c>
      <c r="E894" s="6" t="s">
        <v>1035</v>
      </c>
      <c r="F894" s="6" t="s">
        <v>249</v>
      </c>
      <c r="G894" s="6" t="s">
        <v>477</v>
      </c>
      <c r="H894" s="10">
        <v>46072.0</v>
      </c>
      <c r="I894" s="12">
        <v>5.0</v>
      </c>
      <c r="J894" s="6" t="s">
        <v>161</v>
      </c>
    </row>
    <row r="895" ht="22.5" customHeight="1">
      <c r="A895" s="6" t="s">
        <v>5123</v>
      </c>
      <c r="B895" s="6" t="s">
        <v>2859</v>
      </c>
      <c r="C895" s="10">
        <v>46084.0</v>
      </c>
      <c r="D895" s="6" t="s">
        <v>312</v>
      </c>
      <c r="E895" s="6" t="s">
        <v>618</v>
      </c>
      <c r="F895" s="6" t="s">
        <v>112</v>
      </c>
      <c r="G895" s="6" t="s">
        <v>494</v>
      </c>
      <c r="H895" s="10">
        <v>46085.0</v>
      </c>
      <c r="I895" s="12">
        <v>6.0</v>
      </c>
      <c r="J895" s="6" t="s">
        <v>161</v>
      </c>
    </row>
    <row r="896" ht="22.5" customHeight="1">
      <c r="A896" s="6" t="s">
        <v>5129</v>
      </c>
      <c r="B896" s="6" t="s">
        <v>2859</v>
      </c>
      <c r="C896" s="10">
        <v>46065.0</v>
      </c>
      <c r="D896" s="6" t="s">
        <v>416</v>
      </c>
      <c r="E896" s="6" t="s">
        <v>863</v>
      </c>
      <c r="F896" s="6" t="s">
        <v>439</v>
      </c>
      <c r="G896" s="6" t="s">
        <v>297</v>
      </c>
      <c r="H896" s="10">
        <v>46069.0</v>
      </c>
      <c r="I896" s="12">
        <v>11.0</v>
      </c>
      <c r="J896" s="6" t="s">
        <v>161</v>
      </c>
    </row>
    <row r="897" ht="22.5" customHeight="1">
      <c r="A897" s="6" t="s">
        <v>5133</v>
      </c>
      <c r="B897" s="6" t="s">
        <v>2865</v>
      </c>
      <c r="C897" s="10">
        <v>46077.0</v>
      </c>
      <c r="D897" s="6" t="s">
        <v>436</v>
      </c>
      <c r="E897" s="6" t="s">
        <v>583</v>
      </c>
      <c r="F897" s="6" t="s">
        <v>283</v>
      </c>
      <c r="G897" s="6" t="s">
        <v>254</v>
      </c>
      <c r="H897" s="10">
        <v>46081.0</v>
      </c>
      <c r="I897" s="12">
        <v>9.0</v>
      </c>
      <c r="J897" s="6" t="s">
        <v>178</v>
      </c>
    </row>
    <row r="898" ht="22.5" customHeight="1">
      <c r="A898" s="6" t="s">
        <v>5138</v>
      </c>
      <c r="B898" s="6" t="s">
        <v>2871</v>
      </c>
      <c r="C898" s="10">
        <v>46050.0</v>
      </c>
      <c r="D898" s="6" t="s">
        <v>677</v>
      </c>
      <c r="E898" s="6" t="s">
        <v>583</v>
      </c>
      <c r="F898" s="6" t="s">
        <v>112</v>
      </c>
      <c r="G898" s="6" t="s">
        <v>254</v>
      </c>
      <c r="H898" s="10">
        <v>46056.0</v>
      </c>
      <c r="I898" s="12">
        <v>2.0</v>
      </c>
      <c r="J898" s="6" t="s">
        <v>161</v>
      </c>
    </row>
    <row r="899" ht="22.5" customHeight="1">
      <c r="A899" s="6" t="s">
        <v>5142</v>
      </c>
      <c r="B899" s="6" t="s">
        <v>2871</v>
      </c>
      <c r="C899" s="10">
        <v>46051.0</v>
      </c>
      <c r="D899" s="6" t="s">
        <v>242</v>
      </c>
      <c r="E899" s="6" t="s">
        <v>1310</v>
      </c>
      <c r="F899" s="6" t="s">
        <v>112</v>
      </c>
      <c r="G899" s="6" t="s">
        <v>452</v>
      </c>
      <c r="H899" s="10">
        <v>46055.0</v>
      </c>
      <c r="I899" s="12">
        <v>6.0</v>
      </c>
      <c r="J899" s="6" t="s">
        <v>178</v>
      </c>
    </row>
    <row r="900" ht="22.5" customHeight="1">
      <c r="A900" s="6" t="s">
        <v>5147</v>
      </c>
      <c r="B900" s="6" t="s">
        <v>2871</v>
      </c>
      <c r="C900" s="10">
        <v>46042.0</v>
      </c>
      <c r="D900" s="6" t="s">
        <v>436</v>
      </c>
      <c r="E900" s="6" t="s">
        <v>618</v>
      </c>
      <c r="F900" s="6" t="s">
        <v>249</v>
      </c>
      <c r="G900" s="6" t="s">
        <v>494</v>
      </c>
      <c r="H900" s="10">
        <v>46044.0</v>
      </c>
      <c r="I900" s="12">
        <v>10.0</v>
      </c>
      <c r="J900" s="6" t="s">
        <v>161</v>
      </c>
    </row>
    <row r="901" ht="22.5" customHeight="1">
      <c r="A901" s="6" t="s">
        <v>5152</v>
      </c>
      <c r="B901" s="6" t="s">
        <v>2871</v>
      </c>
      <c r="C901" s="10">
        <v>46041.0</v>
      </c>
      <c r="D901" s="6" t="s">
        <v>416</v>
      </c>
      <c r="E901" s="6" t="s">
        <v>1552</v>
      </c>
      <c r="F901" s="6" t="s">
        <v>283</v>
      </c>
      <c r="G901" s="6" t="s">
        <v>326</v>
      </c>
      <c r="H901" s="10">
        <v>46045.0</v>
      </c>
      <c r="I901" s="12">
        <v>12.0</v>
      </c>
      <c r="J901" s="6" t="s">
        <v>161</v>
      </c>
    </row>
    <row r="902" ht="22.5" customHeight="1">
      <c r="A902" s="6" t="s">
        <v>5155</v>
      </c>
      <c r="B902" s="6" t="s">
        <v>2878</v>
      </c>
      <c r="C902" s="10">
        <v>46067.0</v>
      </c>
      <c r="D902" s="6" t="s">
        <v>391</v>
      </c>
      <c r="E902" s="6" t="s">
        <v>394</v>
      </c>
      <c r="F902" s="6" t="s">
        <v>249</v>
      </c>
      <c r="G902" s="6" t="s">
        <v>297</v>
      </c>
      <c r="H902" s="10">
        <v>46073.0</v>
      </c>
      <c r="I902" s="12">
        <v>9.0</v>
      </c>
      <c r="J902" s="6" t="s">
        <v>161</v>
      </c>
    </row>
    <row r="903" ht="22.5" customHeight="1">
      <c r="A903" s="6" t="s">
        <v>5160</v>
      </c>
      <c r="B903" s="6" t="s">
        <v>2885</v>
      </c>
      <c r="C903" s="10">
        <v>46043.0</v>
      </c>
      <c r="D903" s="6" t="s">
        <v>312</v>
      </c>
      <c r="E903" s="6" t="s">
        <v>610</v>
      </c>
      <c r="F903" s="6" t="s">
        <v>439</v>
      </c>
      <c r="G903" s="6" t="s">
        <v>494</v>
      </c>
      <c r="H903" s="10">
        <v>46049.0</v>
      </c>
      <c r="I903" s="12">
        <v>7.0</v>
      </c>
      <c r="J903" s="6" t="s">
        <v>161</v>
      </c>
    </row>
    <row r="904" ht="22.5" customHeight="1">
      <c r="A904" s="6" t="s">
        <v>5165</v>
      </c>
      <c r="B904" s="6" t="s">
        <v>2885</v>
      </c>
      <c r="C904" s="10">
        <v>46039.0</v>
      </c>
      <c r="D904" s="6" t="s">
        <v>242</v>
      </c>
      <c r="E904" s="6" t="s">
        <v>1102</v>
      </c>
      <c r="F904" s="6" t="s">
        <v>112</v>
      </c>
      <c r="G904" s="6" t="s">
        <v>326</v>
      </c>
      <c r="H904" s="10">
        <v>46040.0</v>
      </c>
      <c r="I904" s="12">
        <v>5.0</v>
      </c>
      <c r="J904" s="6" t="s">
        <v>178</v>
      </c>
    </row>
    <row r="905" ht="22.5" customHeight="1">
      <c r="A905" s="6" t="s">
        <v>5168</v>
      </c>
      <c r="B905" s="6" t="s">
        <v>2885</v>
      </c>
      <c r="C905" s="10">
        <v>46048.0</v>
      </c>
      <c r="D905" s="6" t="s">
        <v>416</v>
      </c>
      <c r="E905" s="6" t="s">
        <v>320</v>
      </c>
      <c r="F905" s="6" t="s">
        <v>283</v>
      </c>
      <c r="G905" s="6" t="s">
        <v>477</v>
      </c>
      <c r="H905" s="11" t="s">
        <v>259</v>
      </c>
      <c r="I905" s="12">
        <v>11.0</v>
      </c>
      <c r="J905" s="6" t="s">
        <v>161</v>
      </c>
    </row>
    <row r="906" ht="22.5" customHeight="1">
      <c r="A906" s="6" t="s">
        <v>5174</v>
      </c>
      <c r="B906" s="6" t="s">
        <v>2885</v>
      </c>
      <c r="C906" s="10">
        <v>46041.0</v>
      </c>
      <c r="D906" s="6" t="s">
        <v>391</v>
      </c>
      <c r="E906" s="6" t="s">
        <v>1600</v>
      </c>
      <c r="F906" s="6" t="s">
        <v>249</v>
      </c>
      <c r="G906" s="6" t="s">
        <v>297</v>
      </c>
      <c r="H906" s="10">
        <v>46041.0</v>
      </c>
      <c r="I906" s="12">
        <v>8.0</v>
      </c>
      <c r="J906" s="6" t="s">
        <v>161</v>
      </c>
    </row>
    <row r="907" ht="22.5" customHeight="1">
      <c r="A907" s="6" t="s">
        <v>5180</v>
      </c>
      <c r="B907" s="6" t="s">
        <v>2891</v>
      </c>
      <c r="C907" s="10">
        <v>46035.0</v>
      </c>
      <c r="D907" s="6" t="s">
        <v>416</v>
      </c>
      <c r="E907" s="6" t="s">
        <v>787</v>
      </c>
      <c r="F907" s="6" t="s">
        <v>112</v>
      </c>
      <c r="G907" s="6" t="s">
        <v>494</v>
      </c>
      <c r="H907" s="10">
        <v>46037.0</v>
      </c>
      <c r="I907" s="12">
        <v>9.0</v>
      </c>
      <c r="J907" s="6" t="s">
        <v>161</v>
      </c>
    </row>
    <row r="908" ht="22.5" customHeight="1">
      <c r="A908" s="6" t="s">
        <v>5186</v>
      </c>
      <c r="B908" s="6" t="s">
        <v>2891</v>
      </c>
      <c r="C908" s="10">
        <v>46037.0</v>
      </c>
      <c r="D908" s="6" t="s">
        <v>391</v>
      </c>
      <c r="E908" s="6" t="s">
        <v>1149</v>
      </c>
      <c r="F908" s="6" t="s">
        <v>249</v>
      </c>
      <c r="G908" s="6" t="s">
        <v>369</v>
      </c>
      <c r="H908" s="10">
        <v>46044.0</v>
      </c>
      <c r="I908" s="12">
        <v>9.0</v>
      </c>
      <c r="J908" s="6" t="s">
        <v>161</v>
      </c>
    </row>
    <row r="909" ht="22.5" customHeight="1">
      <c r="A909" s="6" t="s">
        <v>5191</v>
      </c>
      <c r="B909" s="6" t="s">
        <v>2891</v>
      </c>
      <c r="C909" s="10">
        <v>46034.0</v>
      </c>
      <c r="D909" s="6" t="s">
        <v>312</v>
      </c>
      <c r="E909" s="6" t="s">
        <v>610</v>
      </c>
      <c r="F909" s="6" t="s">
        <v>283</v>
      </c>
      <c r="G909" s="6" t="s">
        <v>477</v>
      </c>
      <c r="H909" s="10">
        <v>46040.0</v>
      </c>
      <c r="I909" s="12">
        <v>4.0</v>
      </c>
      <c r="J909" s="6" t="s">
        <v>161</v>
      </c>
    </row>
    <row r="910" ht="22.5" customHeight="1">
      <c r="A910" s="6" t="s">
        <v>5199</v>
      </c>
      <c r="B910" s="6" t="s">
        <v>2898</v>
      </c>
      <c r="C910" s="10">
        <v>46083.0</v>
      </c>
      <c r="D910" s="6" t="s">
        <v>677</v>
      </c>
      <c r="E910" s="6" t="s">
        <v>787</v>
      </c>
      <c r="F910" s="6" t="s">
        <v>112</v>
      </c>
      <c r="G910" s="6" t="s">
        <v>494</v>
      </c>
      <c r="H910" s="10">
        <v>46088.0</v>
      </c>
      <c r="I910" s="12">
        <v>2.0</v>
      </c>
      <c r="J910" s="6" t="s">
        <v>161</v>
      </c>
    </row>
    <row r="911" ht="22.5" customHeight="1">
      <c r="A911" s="6" t="s">
        <v>5207</v>
      </c>
      <c r="B911" s="6" t="s">
        <v>2904</v>
      </c>
      <c r="C911" s="10">
        <v>46044.0</v>
      </c>
      <c r="D911" s="6" t="s">
        <v>391</v>
      </c>
      <c r="E911" s="6" t="s">
        <v>450</v>
      </c>
      <c r="F911" s="6" t="s">
        <v>112</v>
      </c>
      <c r="G911" s="6" t="s">
        <v>452</v>
      </c>
      <c r="H911" s="10">
        <v>46050.0</v>
      </c>
      <c r="I911" s="12">
        <v>6.0</v>
      </c>
      <c r="J911" s="6" t="s">
        <v>161</v>
      </c>
    </row>
    <row r="912" ht="22.5" customHeight="1">
      <c r="A912" s="6" t="s">
        <v>5212</v>
      </c>
      <c r="B912" s="6" t="s">
        <v>2904</v>
      </c>
      <c r="C912" s="10">
        <v>46047.0</v>
      </c>
      <c r="D912" s="6" t="s">
        <v>391</v>
      </c>
      <c r="E912" s="6" t="s">
        <v>628</v>
      </c>
      <c r="F912" s="6" t="s">
        <v>439</v>
      </c>
      <c r="G912" s="6" t="s">
        <v>458</v>
      </c>
      <c r="H912" s="11" t="s">
        <v>259</v>
      </c>
      <c r="I912" s="12">
        <v>8.0</v>
      </c>
      <c r="J912" s="6" t="s">
        <v>161</v>
      </c>
    </row>
    <row r="913" ht="22.5" customHeight="1">
      <c r="A913" s="6" t="s">
        <v>5218</v>
      </c>
      <c r="B913" s="6" t="s">
        <v>2904</v>
      </c>
      <c r="C913" s="10">
        <v>46049.0</v>
      </c>
      <c r="D913" s="6" t="s">
        <v>242</v>
      </c>
      <c r="E913" s="6" t="s">
        <v>896</v>
      </c>
      <c r="F913" s="6" t="s">
        <v>439</v>
      </c>
      <c r="G913" s="6" t="s">
        <v>477</v>
      </c>
      <c r="H913" s="10">
        <v>46053.0</v>
      </c>
      <c r="I913" s="12">
        <v>3.0</v>
      </c>
      <c r="J913" s="6" t="s">
        <v>161</v>
      </c>
    </row>
    <row r="914" ht="22.5" customHeight="1">
      <c r="A914" s="6" t="s">
        <v>5221</v>
      </c>
      <c r="B914" s="6" t="s">
        <v>2904</v>
      </c>
      <c r="C914" s="10">
        <v>46055.0</v>
      </c>
      <c r="D914" s="6" t="s">
        <v>242</v>
      </c>
      <c r="E914" s="6" t="s">
        <v>1241</v>
      </c>
      <c r="F914" s="6" t="s">
        <v>439</v>
      </c>
      <c r="G914" s="6" t="s">
        <v>452</v>
      </c>
      <c r="H914" s="10">
        <v>46059.0</v>
      </c>
      <c r="I914" s="12">
        <v>6.0</v>
      </c>
      <c r="J914" s="6" t="s">
        <v>161</v>
      </c>
    </row>
    <row r="915" ht="22.5" customHeight="1">
      <c r="A915" s="6" t="s">
        <v>5226</v>
      </c>
      <c r="B915" s="6" t="s">
        <v>2910</v>
      </c>
      <c r="C915" s="10">
        <v>46056.0</v>
      </c>
      <c r="D915" s="6" t="s">
        <v>391</v>
      </c>
      <c r="E915" s="6" t="s">
        <v>798</v>
      </c>
      <c r="F915" s="6" t="s">
        <v>283</v>
      </c>
      <c r="G915" s="6" t="s">
        <v>326</v>
      </c>
      <c r="H915" s="10">
        <v>46059.0</v>
      </c>
      <c r="I915" s="12">
        <v>8.0</v>
      </c>
      <c r="J915" s="6" t="s">
        <v>161</v>
      </c>
    </row>
    <row r="916" ht="22.5" customHeight="1">
      <c r="A916" s="6" t="s">
        <v>5231</v>
      </c>
      <c r="B916" s="6" t="s">
        <v>2910</v>
      </c>
      <c r="C916" s="10">
        <v>46061.0</v>
      </c>
      <c r="D916" s="6" t="s">
        <v>312</v>
      </c>
      <c r="E916" s="6" t="s">
        <v>634</v>
      </c>
      <c r="F916" s="6" t="s">
        <v>249</v>
      </c>
      <c r="G916" s="6" t="s">
        <v>254</v>
      </c>
      <c r="H916" s="10">
        <v>46067.0</v>
      </c>
      <c r="I916" s="12">
        <v>4.0</v>
      </c>
      <c r="J916" s="6" t="s">
        <v>161</v>
      </c>
    </row>
    <row r="917" ht="22.5" customHeight="1">
      <c r="A917" s="6" t="s">
        <v>5237</v>
      </c>
      <c r="B917" s="6" t="s">
        <v>2910</v>
      </c>
      <c r="C917" s="10">
        <v>46059.0</v>
      </c>
      <c r="D917" s="6" t="s">
        <v>289</v>
      </c>
      <c r="E917" s="6" t="s">
        <v>1546</v>
      </c>
      <c r="F917" s="6" t="s">
        <v>439</v>
      </c>
      <c r="G917" s="6" t="s">
        <v>494</v>
      </c>
      <c r="H917" s="10">
        <v>46063.0</v>
      </c>
      <c r="I917" s="12">
        <v>10.0</v>
      </c>
      <c r="J917" s="6" t="s">
        <v>161</v>
      </c>
    </row>
    <row r="918" ht="22.5" customHeight="1">
      <c r="A918" s="6" t="s">
        <v>5243</v>
      </c>
      <c r="B918" s="6" t="s">
        <v>2910</v>
      </c>
      <c r="C918" s="10">
        <v>46071.0</v>
      </c>
      <c r="D918" s="6" t="s">
        <v>416</v>
      </c>
      <c r="E918" s="6" t="s">
        <v>775</v>
      </c>
      <c r="F918" s="6" t="s">
        <v>112</v>
      </c>
      <c r="G918" s="6" t="s">
        <v>452</v>
      </c>
      <c r="H918" s="11" t="s">
        <v>259</v>
      </c>
      <c r="I918" s="12">
        <v>12.0</v>
      </c>
      <c r="J918" s="6" t="s">
        <v>161</v>
      </c>
    </row>
    <row r="919" ht="22.5" customHeight="1">
      <c r="A919" s="6" t="s">
        <v>5249</v>
      </c>
      <c r="B919" s="6" t="s">
        <v>2917</v>
      </c>
      <c r="C919" s="10">
        <v>46043.0</v>
      </c>
      <c r="D919" s="6" t="s">
        <v>677</v>
      </c>
      <c r="E919" s="6" t="s">
        <v>775</v>
      </c>
      <c r="F919" s="6" t="s">
        <v>112</v>
      </c>
      <c r="G919" s="6" t="s">
        <v>452</v>
      </c>
      <c r="H919" s="10">
        <v>46044.0</v>
      </c>
      <c r="I919" s="12">
        <v>4.0</v>
      </c>
      <c r="J919" s="6" t="s">
        <v>161</v>
      </c>
    </row>
    <row r="920" ht="22.5" customHeight="1">
      <c r="A920" s="6" t="s">
        <v>5255</v>
      </c>
      <c r="B920" s="6" t="s">
        <v>2917</v>
      </c>
      <c r="C920" s="10">
        <v>46037.0</v>
      </c>
      <c r="D920" s="6" t="s">
        <v>242</v>
      </c>
      <c r="E920" s="6" t="s">
        <v>704</v>
      </c>
      <c r="F920" s="6" t="s">
        <v>249</v>
      </c>
      <c r="G920" s="6" t="s">
        <v>458</v>
      </c>
      <c r="H920" s="10">
        <v>46042.0</v>
      </c>
      <c r="I920" s="12">
        <v>5.0</v>
      </c>
      <c r="J920" s="6" t="s">
        <v>178</v>
      </c>
    </row>
    <row r="921" ht="22.5" customHeight="1">
      <c r="A921" s="6" t="s">
        <v>5261</v>
      </c>
      <c r="B921" s="6" t="s">
        <v>2917</v>
      </c>
      <c r="C921" s="10">
        <v>46046.0</v>
      </c>
      <c r="D921" s="6" t="s">
        <v>312</v>
      </c>
      <c r="E921" s="6" t="s">
        <v>1969</v>
      </c>
      <c r="F921" s="6" t="s">
        <v>112</v>
      </c>
      <c r="G921" s="6" t="s">
        <v>452</v>
      </c>
      <c r="H921" s="10">
        <v>46051.0</v>
      </c>
      <c r="I921" s="12">
        <v>6.0</v>
      </c>
      <c r="J921" s="6" t="s">
        <v>161</v>
      </c>
    </row>
    <row r="922" ht="22.5" customHeight="1">
      <c r="A922" s="6" t="s">
        <v>5267</v>
      </c>
      <c r="B922" s="6" t="s">
        <v>2917</v>
      </c>
      <c r="C922" s="10">
        <v>46044.0</v>
      </c>
      <c r="D922" s="6" t="s">
        <v>436</v>
      </c>
      <c r="E922" s="6" t="s">
        <v>863</v>
      </c>
      <c r="F922" s="6" t="s">
        <v>439</v>
      </c>
      <c r="G922" s="6" t="s">
        <v>254</v>
      </c>
      <c r="H922" s="10">
        <v>46049.0</v>
      </c>
      <c r="I922" s="12">
        <v>8.0</v>
      </c>
      <c r="J922" s="6" t="s">
        <v>178</v>
      </c>
    </row>
    <row r="923" ht="22.5" customHeight="1">
      <c r="A923" s="6" t="s">
        <v>5273</v>
      </c>
      <c r="B923" s="6" t="s">
        <v>2917</v>
      </c>
      <c r="C923" s="10">
        <v>46054.0</v>
      </c>
      <c r="D923" s="6" t="s">
        <v>677</v>
      </c>
      <c r="E923" s="6" t="s">
        <v>1626</v>
      </c>
      <c r="F923" s="6" t="s">
        <v>283</v>
      </c>
      <c r="G923" s="6" t="s">
        <v>369</v>
      </c>
      <c r="H923" s="11" t="s">
        <v>259</v>
      </c>
      <c r="I923" s="12">
        <v>3.0</v>
      </c>
      <c r="J923" s="6" t="s">
        <v>161</v>
      </c>
    </row>
    <row r="924" ht="22.5" customHeight="1">
      <c r="A924" s="6" t="s">
        <v>5278</v>
      </c>
      <c r="B924" s="6" t="s">
        <v>2923</v>
      </c>
      <c r="C924" s="10">
        <v>46051.0</v>
      </c>
      <c r="D924" s="6" t="s">
        <v>242</v>
      </c>
      <c r="E924" s="6" t="s">
        <v>618</v>
      </c>
      <c r="F924" s="6" t="s">
        <v>112</v>
      </c>
      <c r="G924" s="6" t="s">
        <v>369</v>
      </c>
      <c r="H924" s="10">
        <v>46052.0</v>
      </c>
      <c r="I924" s="12">
        <v>5.0</v>
      </c>
      <c r="J924" s="6" t="s">
        <v>178</v>
      </c>
    </row>
    <row r="925" ht="22.5" customHeight="1">
      <c r="A925" s="6" t="s">
        <v>5284</v>
      </c>
      <c r="B925" s="6" t="s">
        <v>2923</v>
      </c>
      <c r="C925" s="10">
        <v>46040.0</v>
      </c>
      <c r="D925" s="6" t="s">
        <v>312</v>
      </c>
      <c r="E925" s="6" t="s">
        <v>670</v>
      </c>
      <c r="F925" s="6" t="s">
        <v>249</v>
      </c>
      <c r="G925" s="6" t="s">
        <v>452</v>
      </c>
      <c r="H925" s="10">
        <v>46043.0</v>
      </c>
      <c r="I925" s="12">
        <v>5.0</v>
      </c>
      <c r="J925" s="6" t="s">
        <v>161</v>
      </c>
    </row>
    <row r="926" ht="22.5" customHeight="1">
      <c r="A926" s="6" t="s">
        <v>5292</v>
      </c>
      <c r="B926" s="6" t="s">
        <v>2923</v>
      </c>
      <c r="C926" s="10">
        <v>46033.0</v>
      </c>
      <c r="D926" s="6" t="s">
        <v>312</v>
      </c>
      <c r="E926" s="6" t="s">
        <v>320</v>
      </c>
      <c r="F926" s="6" t="s">
        <v>112</v>
      </c>
      <c r="G926" s="6" t="s">
        <v>326</v>
      </c>
      <c r="H926" s="10">
        <v>46040.0</v>
      </c>
      <c r="I926" s="12">
        <v>7.0</v>
      </c>
      <c r="J926" s="6" t="s">
        <v>161</v>
      </c>
    </row>
    <row r="927" ht="22.5" customHeight="1">
      <c r="A927" s="6" t="s">
        <v>5298</v>
      </c>
      <c r="B927" s="6" t="s">
        <v>2923</v>
      </c>
      <c r="C927" s="10">
        <v>46048.0</v>
      </c>
      <c r="D927" s="6" t="s">
        <v>391</v>
      </c>
      <c r="E927" s="6" t="s">
        <v>1552</v>
      </c>
      <c r="F927" s="6" t="s">
        <v>112</v>
      </c>
      <c r="G927" s="6" t="s">
        <v>494</v>
      </c>
      <c r="H927" s="10">
        <v>46051.0</v>
      </c>
      <c r="I927" s="12">
        <v>10.0</v>
      </c>
      <c r="J927" s="6" t="s">
        <v>161</v>
      </c>
    </row>
    <row r="928" ht="22.5" customHeight="1">
      <c r="A928" s="6" t="s">
        <v>5302</v>
      </c>
      <c r="B928" s="6" t="s">
        <v>2923</v>
      </c>
      <c r="C928" s="10">
        <v>46035.0</v>
      </c>
      <c r="D928" s="6" t="s">
        <v>242</v>
      </c>
      <c r="E928" s="6" t="s">
        <v>812</v>
      </c>
      <c r="F928" s="6" t="s">
        <v>439</v>
      </c>
      <c r="G928" s="6" t="s">
        <v>458</v>
      </c>
      <c r="H928" s="10">
        <v>46041.0</v>
      </c>
      <c r="I928" s="12">
        <v>6.0</v>
      </c>
      <c r="J928" s="6" t="s">
        <v>178</v>
      </c>
    </row>
    <row r="929" ht="22.5" customHeight="1">
      <c r="A929" s="6" t="s">
        <v>5308</v>
      </c>
      <c r="B929" s="6" t="s">
        <v>2929</v>
      </c>
      <c r="C929" s="10">
        <v>46032.0</v>
      </c>
      <c r="D929" s="6" t="s">
        <v>677</v>
      </c>
      <c r="E929" s="6" t="s">
        <v>618</v>
      </c>
      <c r="F929" s="6" t="s">
        <v>249</v>
      </c>
      <c r="G929" s="6" t="s">
        <v>458</v>
      </c>
      <c r="H929" s="10">
        <v>46033.0</v>
      </c>
      <c r="I929" s="12">
        <v>2.0</v>
      </c>
      <c r="J929" s="6" t="s">
        <v>161</v>
      </c>
    </row>
    <row r="930" ht="22.5" customHeight="1">
      <c r="A930" s="6" t="s">
        <v>5311</v>
      </c>
      <c r="B930" s="6" t="s">
        <v>2929</v>
      </c>
      <c r="C930" s="10">
        <v>46034.0</v>
      </c>
      <c r="D930" s="6" t="s">
        <v>391</v>
      </c>
      <c r="E930" s="6" t="s">
        <v>1720</v>
      </c>
      <c r="F930" s="6" t="s">
        <v>112</v>
      </c>
      <c r="G930" s="6" t="s">
        <v>254</v>
      </c>
      <c r="H930" s="11" t="s">
        <v>259</v>
      </c>
      <c r="I930" s="12">
        <v>7.0</v>
      </c>
      <c r="J930" s="6" t="s">
        <v>161</v>
      </c>
    </row>
    <row r="931" ht="22.5" customHeight="1">
      <c r="A931" s="6" t="s">
        <v>5315</v>
      </c>
      <c r="B931" s="6" t="s">
        <v>2929</v>
      </c>
      <c r="C931" s="10">
        <v>46032.0</v>
      </c>
      <c r="D931" s="6" t="s">
        <v>391</v>
      </c>
      <c r="E931" s="6" t="s">
        <v>812</v>
      </c>
      <c r="F931" s="6" t="s">
        <v>283</v>
      </c>
      <c r="G931" s="6" t="s">
        <v>458</v>
      </c>
      <c r="H931" s="10">
        <v>46038.0</v>
      </c>
      <c r="I931" s="12">
        <v>6.0</v>
      </c>
      <c r="J931" s="6" t="s">
        <v>161</v>
      </c>
    </row>
    <row r="932" ht="22.5" customHeight="1">
      <c r="A932" s="6" t="s">
        <v>5316</v>
      </c>
      <c r="B932" s="6" t="s">
        <v>2929</v>
      </c>
      <c r="C932" s="10">
        <v>46028.0</v>
      </c>
      <c r="D932" s="6" t="s">
        <v>289</v>
      </c>
      <c r="E932" s="6" t="s">
        <v>738</v>
      </c>
      <c r="F932" s="6" t="s">
        <v>439</v>
      </c>
      <c r="G932" s="6" t="s">
        <v>369</v>
      </c>
      <c r="H932" s="10">
        <v>46032.0</v>
      </c>
      <c r="I932" s="12">
        <v>10.0</v>
      </c>
      <c r="J932" s="6" t="s">
        <v>161</v>
      </c>
    </row>
    <row r="933" ht="22.5" customHeight="1">
      <c r="A933" s="6" t="s">
        <v>5319</v>
      </c>
      <c r="B933" s="6" t="s">
        <v>2936</v>
      </c>
      <c r="C933" s="10">
        <v>46053.0</v>
      </c>
      <c r="D933" s="6" t="s">
        <v>436</v>
      </c>
      <c r="E933" s="6" t="s">
        <v>466</v>
      </c>
      <c r="F933" s="6" t="s">
        <v>283</v>
      </c>
      <c r="G933" s="6" t="s">
        <v>369</v>
      </c>
      <c r="H933" s="10">
        <v>46058.0</v>
      </c>
      <c r="I933" s="12">
        <v>6.0</v>
      </c>
      <c r="J933" s="6" t="s">
        <v>178</v>
      </c>
    </row>
    <row r="934" ht="22.5" customHeight="1">
      <c r="A934" s="6" t="s">
        <v>5323</v>
      </c>
      <c r="B934" s="6" t="s">
        <v>2936</v>
      </c>
      <c r="C934" s="10">
        <v>46050.0</v>
      </c>
      <c r="D934" s="6" t="s">
        <v>242</v>
      </c>
      <c r="E934" s="6" t="s">
        <v>365</v>
      </c>
      <c r="F934" s="6" t="s">
        <v>249</v>
      </c>
      <c r="G934" s="6" t="s">
        <v>326</v>
      </c>
      <c r="H934" s="10">
        <v>46056.0</v>
      </c>
      <c r="I934" s="12">
        <v>6.0</v>
      </c>
      <c r="J934" s="6" t="s">
        <v>178</v>
      </c>
    </row>
    <row r="935" ht="22.5" customHeight="1">
      <c r="A935" s="6" t="s">
        <v>5326</v>
      </c>
      <c r="B935" s="6" t="s">
        <v>2936</v>
      </c>
      <c r="C935" s="10">
        <v>46052.0</v>
      </c>
      <c r="D935" s="6" t="s">
        <v>312</v>
      </c>
      <c r="E935" s="6" t="s">
        <v>1517</v>
      </c>
      <c r="F935" s="6" t="s">
        <v>283</v>
      </c>
      <c r="G935" s="6" t="s">
        <v>369</v>
      </c>
      <c r="H935" s="10">
        <v>46056.0</v>
      </c>
      <c r="I935" s="12">
        <v>5.0</v>
      </c>
      <c r="J935" s="6" t="s">
        <v>161</v>
      </c>
    </row>
    <row r="936" ht="22.5" customHeight="1">
      <c r="A936" s="6" t="s">
        <v>5330</v>
      </c>
      <c r="B936" s="6" t="s">
        <v>2936</v>
      </c>
      <c r="C936" s="10">
        <v>46043.0</v>
      </c>
      <c r="D936" s="6" t="s">
        <v>289</v>
      </c>
      <c r="E936" s="6" t="s">
        <v>885</v>
      </c>
      <c r="F936" s="6" t="s">
        <v>283</v>
      </c>
      <c r="G936" s="6" t="s">
        <v>452</v>
      </c>
      <c r="H936" s="11" t="s">
        <v>259</v>
      </c>
      <c r="I936" s="12">
        <v>8.0</v>
      </c>
      <c r="J936" s="6" t="s">
        <v>161</v>
      </c>
    </row>
    <row r="937" ht="22.5" customHeight="1">
      <c r="A937" s="6" t="s">
        <v>5333</v>
      </c>
      <c r="B937" s="6" t="s">
        <v>2936</v>
      </c>
      <c r="C937" s="10">
        <v>46040.0</v>
      </c>
      <c r="D937" s="6" t="s">
        <v>289</v>
      </c>
      <c r="E937" s="6" t="s">
        <v>512</v>
      </c>
      <c r="F937" s="6" t="s">
        <v>439</v>
      </c>
      <c r="G937" s="6" t="s">
        <v>254</v>
      </c>
      <c r="H937" s="10">
        <v>46043.0</v>
      </c>
      <c r="I937" s="12">
        <v>9.0</v>
      </c>
      <c r="J937" s="6" t="s">
        <v>161</v>
      </c>
    </row>
    <row r="938" ht="22.5" customHeight="1">
      <c r="A938" s="6" t="s">
        <v>5337</v>
      </c>
      <c r="B938" s="6" t="s">
        <v>2942</v>
      </c>
      <c r="C938" s="10">
        <v>46065.0</v>
      </c>
      <c r="D938" s="6" t="s">
        <v>242</v>
      </c>
      <c r="E938" s="6" t="s">
        <v>1546</v>
      </c>
      <c r="F938" s="6" t="s">
        <v>283</v>
      </c>
      <c r="G938" s="6" t="s">
        <v>477</v>
      </c>
      <c r="H938" s="10">
        <v>46068.0</v>
      </c>
      <c r="I938" s="12">
        <v>5.0</v>
      </c>
      <c r="J938" s="6" t="s">
        <v>178</v>
      </c>
    </row>
    <row r="939" ht="22.5" customHeight="1">
      <c r="A939" s="6" t="s">
        <v>5343</v>
      </c>
      <c r="B939" s="6" t="s">
        <v>2942</v>
      </c>
      <c r="C939" s="10">
        <v>46085.0</v>
      </c>
      <c r="D939" s="6" t="s">
        <v>677</v>
      </c>
      <c r="E939" s="6" t="s">
        <v>1055</v>
      </c>
      <c r="F939" s="6" t="s">
        <v>112</v>
      </c>
      <c r="G939" s="6" t="s">
        <v>297</v>
      </c>
      <c r="H939" s="10">
        <v>46091.0</v>
      </c>
      <c r="I939" s="12">
        <v>3.0</v>
      </c>
      <c r="J939" s="6" t="s">
        <v>161</v>
      </c>
    </row>
    <row r="940" ht="22.5" customHeight="1">
      <c r="A940" s="6" t="s">
        <v>5346</v>
      </c>
      <c r="B940" s="6" t="s">
        <v>2942</v>
      </c>
      <c r="C940" s="10">
        <v>46071.0</v>
      </c>
      <c r="D940" s="6" t="s">
        <v>436</v>
      </c>
      <c r="E940" s="6" t="s">
        <v>1570</v>
      </c>
      <c r="F940" s="6" t="s">
        <v>112</v>
      </c>
      <c r="G940" s="6" t="s">
        <v>494</v>
      </c>
      <c r="H940" s="10">
        <v>46073.0</v>
      </c>
      <c r="I940" s="12">
        <v>12.0</v>
      </c>
      <c r="J940" s="6" t="s">
        <v>178</v>
      </c>
    </row>
    <row r="941" ht="22.5" customHeight="1">
      <c r="A941" s="6" t="s">
        <v>5351</v>
      </c>
      <c r="B941" s="6" t="s">
        <v>2942</v>
      </c>
      <c r="C941" s="10">
        <v>46068.0</v>
      </c>
      <c r="D941" s="6" t="s">
        <v>436</v>
      </c>
      <c r="E941" s="6" t="s">
        <v>1241</v>
      </c>
      <c r="F941" s="6" t="s">
        <v>439</v>
      </c>
      <c r="G941" s="6" t="s">
        <v>477</v>
      </c>
      <c r="H941" s="10">
        <v>46075.0</v>
      </c>
      <c r="I941" s="12">
        <v>11.0</v>
      </c>
      <c r="J941" s="6" t="s">
        <v>161</v>
      </c>
    </row>
    <row r="942" ht="22.5" customHeight="1">
      <c r="A942" s="6" t="s">
        <v>5356</v>
      </c>
      <c r="B942" s="6" t="s">
        <v>2948</v>
      </c>
      <c r="C942" s="10">
        <v>46041.0</v>
      </c>
      <c r="D942" s="6" t="s">
        <v>436</v>
      </c>
      <c r="E942" s="6" t="s">
        <v>704</v>
      </c>
      <c r="F942" s="6" t="s">
        <v>283</v>
      </c>
      <c r="G942" s="6" t="s">
        <v>494</v>
      </c>
      <c r="H942" s="10">
        <v>46047.0</v>
      </c>
      <c r="I942" s="12">
        <v>6.0</v>
      </c>
      <c r="J942" s="6" t="s">
        <v>178</v>
      </c>
    </row>
    <row r="943" ht="22.5" customHeight="1">
      <c r="A943" s="6" t="s">
        <v>5359</v>
      </c>
      <c r="B943" s="6" t="s">
        <v>2954</v>
      </c>
      <c r="C943" s="10">
        <v>46075.0</v>
      </c>
      <c r="D943" s="6" t="s">
        <v>677</v>
      </c>
      <c r="E943" s="6" t="s">
        <v>695</v>
      </c>
      <c r="F943" s="6" t="s">
        <v>283</v>
      </c>
      <c r="G943" s="6" t="s">
        <v>297</v>
      </c>
      <c r="H943" s="11" t="s">
        <v>259</v>
      </c>
      <c r="I943" s="12">
        <v>2.0</v>
      </c>
      <c r="J943" s="6" t="s">
        <v>161</v>
      </c>
    </row>
    <row r="944" ht="22.5" customHeight="1">
      <c r="A944" s="6" t="s">
        <v>5363</v>
      </c>
      <c r="B944" s="6" t="s">
        <v>2954</v>
      </c>
      <c r="C944" s="10">
        <v>46079.0</v>
      </c>
      <c r="D944" s="6" t="s">
        <v>391</v>
      </c>
      <c r="E944" s="6" t="s">
        <v>1035</v>
      </c>
      <c r="F944" s="6" t="s">
        <v>112</v>
      </c>
      <c r="G944" s="6" t="s">
        <v>452</v>
      </c>
      <c r="H944" s="10">
        <v>46085.0</v>
      </c>
      <c r="I944" s="12">
        <v>7.0</v>
      </c>
      <c r="J944" s="6" t="s">
        <v>161</v>
      </c>
    </row>
    <row r="945" ht="22.5" customHeight="1">
      <c r="A945" s="6" t="s">
        <v>5366</v>
      </c>
      <c r="B945" s="6" t="s">
        <v>2954</v>
      </c>
      <c r="C945" s="10">
        <v>46068.0</v>
      </c>
      <c r="D945" s="6" t="s">
        <v>242</v>
      </c>
      <c r="E945" s="6" t="s">
        <v>863</v>
      </c>
      <c r="F945" s="6" t="s">
        <v>439</v>
      </c>
      <c r="G945" s="6" t="s">
        <v>326</v>
      </c>
      <c r="H945" s="10">
        <v>46074.0</v>
      </c>
      <c r="I945" s="12">
        <v>4.0</v>
      </c>
      <c r="J945" s="6" t="s">
        <v>178</v>
      </c>
    </row>
    <row r="946" ht="22.5" customHeight="1">
      <c r="A946" s="6" t="s">
        <v>5370</v>
      </c>
      <c r="B946" s="6" t="s">
        <v>2954</v>
      </c>
      <c r="C946" s="10">
        <v>46080.0</v>
      </c>
      <c r="D946" s="6" t="s">
        <v>416</v>
      </c>
      <c r="E946" s="6" t="s">
        <v>634</v>
      </c>
      <c r="F946" s="6" t="s">
        <v>439</v>
      </c>
      <c r="G946" s="6" t="s">
        <v>494</v>
      </c>
      <c r="H946" s="10">
        <v>46081.0</v>
      </c>
      <c r="I946" s="12">
        <v>13.0</v>
      </c>
      <c r="J946" s="6" t="s">
        <v>161</v>
      </c>
    </row>
    <row r="947" ht="22.5" customHeight="1">
      <c r="A947" s="6" t="s">
        <v>5376</v>
      </c>
      <c r="B947" s="6" t="s">
        <v>2961</v>
      </c>
      <c r="C947" s="10">
        <v>46043.0</v>
      </c>
      <c r="D947" s="6" t="s">
        <v>242</v>
      </c>
      <c r="E947" s="6" t="s">
        <v>583</v>
      </c>
      <c r="F947" s="6" t="s">
        <v>112</v>
      </c>
      <c r="G947" s="6" t="s">
        <v>369</v>
      </c>
      <c r="H947" s="10">
        <v>46043.0</v>
      </c>
      <c r="I947" s="12">
        <v>3.0</v>
      </c>
      <c r="J947" s="6" t="s">
        <v>178</v>
      </c>
    </row>
    <row r="948" ht="22.5" customHeight="1">
      <c r="A948" s="6" t="s">
        <v>5381</v>
      </c>
      <c r="B948" s="6" t="s">
        <v>2961</v>
      </c>
      <c r="C948" s="10">
        <v>46025.0</v>
      </c>
      <c r="D948" s="6" t="s">
        <v>289</v>
      </c>
      <c r="E948" s="6" t="s">
        <v>955</v>
      </c>
      <c r="F948" s="6" t="s">
        <v>249</v>
      </c>
      <c r="G948" s="6" t="s">
        <v>369</v>
      </c>
      <c r="H948" s="10">
        <v>46025.0</v>
      </c>
      <c r="I948" s="12">
        <v>9.0</v>
      </c>
      <c r="J948" s="6" t="s">
        <v>161</v>
      </c>
    </row>
    <row r="949" ht="22.5" customHeight="1">
      <c r="A949" s="6" t="s">
        <v>5384</v>
      </c>
      <c r="B949" s="6" t="s">
        <v>2967</v>
      </c>
      <c r="C949" s="10">
        <v>46048.0</v>
      </c>
      <c r="D949" s="6" t="s">
        <v>436</v>
      </c>
      <c r="E949" s="6" t="s">
        <v>704</v>
      </c>
      <c r="F949" s="6" t="s">
        <v>249</v>
      </c>
      <c r="G949" s="6" t="s">
        <v>254</v>
      </c>
      <c r="H949" s="10">
        <v>46054.0</v>
      </c>
      <c r="I949" s="12">
        <v>12.0</v>
      </c>
      <c r="J949" s="6" t="s">
        <v>178</v>
      </c>
    </row>
    <row r="950" ht="22.5" customHeight="1">
      <c r="A950" s="6" t="s">
        <v>5388</v>
      </c>
      <c r="B950" s="6" t="s">
        <v>2973</v>
      </c>
      <c r="C950" s="10">
        <v>46058.0</v>
      </c>
      <c r="D950" s="6" t="s">
        <v>289</v>
      </c>
      <c r="E950" s="6" t="s">
        <v>896</v>
      </c>
      <c r="F950" s="6" t="s">
        <v>439</v>
      </c>
      <c r="G950" s="6" t="s">
        <v>254</v>
      </c>
      <c r="H950" s="10">
        <v>46058.0</v>
      </c>
      <c r="I950" s="12">
        <v>7.0</v>
      </c>
      <c r="J950" s="6" t="s">
        <v>161</v>
      </c>
    </row>
    <row r="951" ht="22.5" customHeight="1">
      <c r="A951" s="6" t="s">
        <v>5394</v>
      </c>
      <c r="B951" s="6" t="s">
        <v>2980</v>
      </c>
      <c r="C951" s="10">
        <v>46063.0</v>
      </c>
      <c r="D951" s="6" t="s">
        <v>677</v>
      </c>
      <c r="E951" s="6" t="s">
        <v>475</v>
      </c>
      <c r="F951" s="6" t="s">
        <v>112</v>
      </c>
      <c r="G951" s="6" t="s">
        <v>254</v>
      </c>
      <c r="H951" s="11" t="s">
        <v>259</v>
      </c>
      <c r="I951" s="12">
        <v>2.0</v>
      </c>
      <c r="J951" s="6" t="s">
        <v>161</v>
      </c>
    </row>
    <row r="952" ht="22.5" customHeight="1">
      <c r="A952" s="6" t="s">
        <v>5397</v>
      </c>
      <c r="B952" s="6" t="s">
        <v>2980</v>
      </c>
      <c r="C952" s="10">
        <v>46073.0</v>
      </c>
      <c r="D952" s="6" t="s">
        <v>242</v>
      </c>
      <c r="E952" s="6" t="s">
        <v>365</v>
      </c>
      <c r="F952" s="6" t="s">
        <v>112</v>
      </c>
      <c r="G952" s="6" t="s">
        <v>452</v>
      </c>
      <c r="H952" s="10">
        <v>46075.0</v>
      </c>
      <c r="I952" s="12">
        <v>6.0</v>
      </c>
      <c r="J952" s="6" t="s">
        <v>178</v>
      </c>
    </row>
    <row r="953" ht="22.5" customHeight="1">
      <c r="A953" s="6" t="s">
        <v>5402</v>
      </c>
      <c r="B953" s="6" t="s">
        <v>2986</v>
      </c>
      <c r="C953" s="10">
        <v>46077.0</v>
      </c>
      <c r="D953" s="6" t="s">
        <v>242</v>
      </c>
      <c r="E953" s="6" t="s">
        <v>618</v>
      </c>
      <c r="F953" s="6" t="s">
        <v>283</v>
      </c>
      <c r="G953" s="6" t="s">
        <v>254</v>
      </c>
      <c r="H953" s="10">
        <v>46080.0</v>
      </c>
      <c r="I953" s="12">
        <v>5.0</v>
      </c>
      <c r="J953" s="6" t="s">
        <v>161</v>
      </c>
    </row>
    <row r="954" ht="22.5" customHeight="1">
      <c r="A954" s="6" t="s">
        <v>5407</v>
      </c>
      <c r="B954" s="6" t="s">
        <v>2986</v>
      </c>
      <c r="C954" s="10">
        <v>46073.0</v>
      </c>
      <c r="D954" s="6" t="s">
        <v>312</v>
      </c>
      <c r="E954" s="6" t="s">
        <v>1626</v>
      </c>
      <c r="F954" s="6" t="s">
        <v>283</v>
      </c>
      <c r="G954" s="6" t="s">
        <v>458</v>
      </c>
      <c r="H954" s="11" t="s">
        <v>259</v>
      </c>
      <c r="I954" s="12">
        <v>6.0</v>
      </c>
      <c r="J954" s="6" t="s">
        <v>161</v>
      </c>
    </row>
    <row r="955" ht="22.5" customHeight="1">
      <c r="A955" s="6" t="s">
        <v>5411</v>
      </c>
      <c r="B955" s="6" t="s">
        <v>2986</v>
      </c>
      <c r="C955" s="10">
        <v>46078.0</v>
      </c>
      <c r="D955" s="6" t="s">
        <v>391</v>
      </c>
      <c r="E955" s="6" t="s">
        <v>670</v>
      </c>
      <c r="F955" s="6" t="s">
        <v>112</v>
      </c>
      <c r="G955" s="6" t="s">
        <v>477</v>
      </c>
      <c r="H955" s="10">
        <v>46083.0</v>
      </c>
      <c r="I955" s="12">
        <v>6.0</v>
      </c>
      <c r="J955" s="6" t="s">
        <v>161</v>
      </c>
    </row>
    <row r="956" ht="22.5" customHeight="1">
      <c r="A956" s="6" t="s">
        <v>5415</v>
      </c>
      <c r="B956" s="6" t="s">
        <v>2986</v>
      </c>
      <c r="C956" s="10">
        <v>46068.0</v>
      </c>
      <c r="D956" s="6" t="s">
        <v>312</v>
      </c>
      <c r="E956" s="6" t="s">
        <v>475</v>
      </c>
      <c r="F956" s="6" t="s">
        <v>439</v>
      </c>
      <c r="G956" s="6" t="s">
        <v>297</v>
      </c>
      <c r="H956" s="10">
        <v>46071.0</v>
      </c>
      <c r="I956" s="12">
        <v>6.0</v>
      </c>
      <c r="J956" s="6" t="s">
        <v>161</v>
      </c>
    </row>
    <row r="957" ht="22.5" customHeight="1">
      <c r="A957" s="6" t="s">
        <v>5420</v>
      </c>
      <c r="B957" s="6" t="s">
        <v>2986</v>
      </c>
      <c r="C957" s="10">
        <v>46072.0</v>
      </c>
      <c r="D957" s="6" t="s">
        <v>391</v>
      </c>
      <c r="E957" s="6" t="s">
        <v>634</v>
      </c>
      <c r="F957" s="6" t="s">
        <v>112</v>
      </c>
      <c r="G957" s="6" t="s">
        <v>297</v>
      </c>
      <c r="H957" s="10">
        <v>46077.0</v>
      </c>
      <c r="I957" s="12">
        <v>7.0</v>
      </c>
      <c r="J957" s="6" t="s">
        <v>161</v>
      </c>
    </row>
    <row r="958" ht="22.5" customHeight="1">
      <c r="A958" s="6" t="s">
        <v>5426</v>
      </c>
      <c r="B958" s="6" t="s">
        <v>2992</v>
      </c>
      <c r="C958" s="10">
        <v>46060.0</v>
      </c>
      <c r="D958" s="6" t="s">
        <v>416</v>
      </c>
      <c r="E958" s="6" t="s">
        <v>1969</v>
      </c>
      <c r="F958" s="6" t="s">
        <v>439</v>
      </c>
      <c r="G958" s="6" t="s">
        <v>254</v>
      </c>
      <c r="H958" s="10">
        <v>46061.0</v>
      </c>
      <c r="I958" s="12">
        <v>9.0</v>
      </c>
      <c r="J958" s="6" t="s">
        <v>161</v>
      </c>
    </row>
    <row r="959" ht="22.5" customHeight="1">
      <c r="A959" s="6" t="s">
        <v>5430</v>
      </c>
      <c r="B959" s="6" t="s">
        <v>2992</v>
      </c>
      <c r="C959" s="10">
        <v>46072.0</v>
      </c>
      <c r="D959" s="6" t="s">
        <v>289</v>
      </c>
      <c r="E959" s="6" t="s">
        <v>2365</v>
      </c>
      <c r="F959" s="6" t="s">
        <v>439</v>
      </c>
      <c r="G959" s="6" t="s">
        <v>494</v>
      </c>
      <c r="H959" s="10">
        <v>46079.0</v>
      </c>
      <c r="I959" s="12">
        <v>6.0</v>
      </c>
      <c r="J959" s="6" t="s">
        <v>161</v>
      </c>
    </row>
    <row r="960" ht="22.5" customHeight="1">
      <c r="A960" s="6" t="s">
        <v>5433</v>
      </c>
      <c r="B960" s="6" t="s">
        <v>2992</v>
      </c>
      <c r="C960" s="10">
        <v>46075.0</v>
      </c>
      <c r="D960" s="6" t="s">
        <v>242</v>
      </c>
      <c r="E960" s="6" t="s">
        <v>2881</v>
      </c>
      <c r="F960" s="6" t="s">
        <v>283</v>
      </c>
      <c r="G960" s="6" t="s">
        <v>254</v>
      </c>
      <c r="H960" s="10">
        <v>46075.0</v>
      </c>
      <c r="I960" s="12">
        <v>6.0</v>
      </c>
      <c r="J960" s="6" t="s">
        <v>178</v>
      </c>
    </row>
    <row r="961" ht="22.5" customHeight="1">
      <c r="A961" s="6" t="s">
        <v>5436</v>
      </c>
      <c r="B961" s="6" t="s">
        <v>2998</v>
      </c>
      <c r="C961" s="10">
        <v>46044.0</v>
      </c>
      <c r="D961" s="6" t="s">
        <v>312</v>
      </c>
      <c r="E961" s="6" t="s">
        <v>1552</v>
      </c>
      <c r="F961" s="6" t="s">
        <v>249</v>
      </c>
      <c r="G961" s="6" t="s">
        <v>297</v>
      </c>
      <c r="H961" s="10">
        <v>46046.0</v>
      </c>
      <c r="I961" s="12">
        <v>7.0</v>
      </c>
      <c r="J961" s="6" t="s">
        <v>161</v>
      </c>
    </row>
    <row r="962" ht="22.5" customHeight="1">
      <c r="A962" s="6" t="s">
        <v>5442</v>
      </c>
      <c r="B962" s="6" t="s">
        <v>3005</v>
      </c>
      <c r="C962" s="10">
        <v>46073.0</v>
      </c>
      <c r="D962" s="6" t="s">
        <v>242</v>
      </c>
      <c r="E962" s="6" t="s">
        <v>1386</v>
      </c>
      <c r="F962" s="6" t="s">
        <v>112</v>
      </c>
      <c r="G962" s="6" t="s">
        <v>452</v>
      </c>
      <c r="H962" s="10">
        <v>46080.0</v>
      </c>
      <c r="I962" s="12">
        <v>4.0</v>
      </c>
      <c r="J962" s="6" t="s">
        <v>178</v>
      </c>
    </row>
    <row r="963" ht="22.5" customHeight="1">
      <c r="A963" s="6" t="s">
        <v>5447</v>
      </c>
      <c r="B963" s="6" t="s">
        <v>3011</v>
      </c>
      <c r="C963" s="10">
        <v>46050.0</v>
      </c>
      <c r="D963" s="6" t="s">
        <v>289</v>
      </c>
      <c r="E963" s="6" t="s">
        <v>417</v>
      </c>
      <c r="F963" s="6" t="s">
        <v>112</v>
      </c>
      <c r="G963" s="6" t="s">
        <v>326</v>
      </c>
      <c r="H963" s="10">
        <v>46056.0</v>
      </c>
      <c r="I963" s="12">
        <v>7.0</v>
      </c>
      <c r="J963" s="6" t="s">
        <v>161</v>
      </c>
    </row>
    <row r="964" ht="22.5" customHeight="1">
      <c r="A964" s="6" t="s">
        <v>5452</v>
      </c>
      <c r="B964" s="6" t="s">
        <v>3011</v>
      </c>
      <c r="C964" s="10">
        <v>46044.0</v>
      </c>
      <c r="D964" s="6" t="s">
        <v>312</v>
      </c>
      <c r="E964" s="6" t="s">
        <v>863</v>
      </c>
      <c r="F964" s="6" t="s">
        <v>439</v>
      </c>
      <c r="G964" s="6" t="s">
        <v>494</v>
      </c>
      <c r="H964" s="10">
        <v>46049.0</v>
      </c>
      <c r="I964" s="12">
        <v>5.0</v>
      </c>
      <c r="J964" s="6" t="s">
        <v>161</v>
      </c>
    </row>
    <row r="965" ht="22.5" customHeight="1">
      <c r="A965" s="6" t="s">
        <v>5458</v>
      </c>
      <c r="B965" s="6" t="s">
        <v>3011</v>
      </c>
      <c r="C965" s="10">
        <v>46038.0</v>
      </c>
      <c r="D965" s="6" t="s">
        <v>391</v>
      </c>
      <c r="E965" s="6" t="s">
        <v>1546</v>
      </c>
      <c r="F965" s="6" t="s">
        <v>439</v>
      </c>
      <c r="G965" s="6" t="s">
        <v>326</v>
      </c>
      <c r="H965" s="10">
        <v>46039.0</v>
      </c>
      <c r="I965" s="12">
        <v>7.0</v>
      </c>
      <c r="J965" s="6" t="s">
        <v>161</v>
      </c>
    </row>
    <row r="966" ht="22.5" customHeight="1">
      <c r="A966" s="6" t="s">
        <v>5463</v>
      </c>
      <c r="B966" s="6" t="s">
        <v>3017</v>
      </c>
      <c r="C966" s="10">
        <v>46073.0</v>
      </c>
      <c r="D966" s="6" t="s">
        <v>677</v>
      </c>
      <c r="E966" s="6" t="s">
        <v>628</v>
      </c>
      <c r="F966" s="6" t="s">
        <v>439</v>
      </c>
      <c r="G966" s="6" t="s">
        <v>452</v>
      </c>
      <c r="H966" s="10">
        <v>46076.0</v>
      </c>
      <c r="I966" s="12">
        <v>4.0</v>
      </c>
      <c r="J966" s="6" t="s">
        <v>161</v>
      </c>
    </row>
    <row r="967" ht="22.5" customHeight="1">
      <c r="A967" s="6" t="s">
        <v>5466</v>
      </c>
      <c r="B967" s="6" t="s">
        <v>3017</v>
      </c>
      <c r="C967" s="10">
        <v>46073.0</v>
      </c>
      <c r="D967" s="6" t="s">
        <v>436</v>
      </c>
      <c r="E967" s="6" t="s">
        <v>787</v>
      </c>
      <c r="F967" s="6" t="s">
        <v>112</v>
      </c>
      <c r="G967" s="6" t="s">
        <v>458</v>
      </c>
      <c r="H967" s="10">
        <v>46078.0</v>
      </c>
      <c r="I967" s="12">
        <v>10.0</v>
      </c>
      <c r="J967" s="6" t="s">
        <v>178</v>
      </c>
    </row>
    <row r="968" ht="22.5" customHeight="1">
      <c r="A968" s="6" t="s">
        <v>5470</v>
      </c>
      <c r="B968" s="6" t="s">
        <v>3017</v>
      </c>
      <c r="C968" s="10">
        <v>46069.0</v>
      </c>
      <c r="D968" s="6" t="s">
        <v>436</v>
      </c>
      <c r="E968" s="6" t="s">
        <v>833</v>
      </c>
      <c r="F968" s="6" t="s">
        <v>283</v>
      </c>
      <c r="G968" s="6" t="s">
        <v>494</v>
      </c>
      <c r="H968" s="10">
        <v>46073.0</v>
      </c>
      <c r="I968" s="12">
        <v>8.0</v>
      </c>
      <c r="J968" s="6" t="s">
        <v>178</v>
      </c>
    </row>
    <row r="969" ht="22.5" customHeight="1">
      <c r="A969" s="6" t="s">
        <v>5473</v>
      </c>
      <c r="B969" s="6" t="s">
        <v>3017</v>
      </c>
      <c r="C969" s="10">
        <v>46075.0</v>
      </c>
      <c r="D969" s="6" t="s">
        <v>436</v>
      </c>
      <c r="E969" s="6" t="s">
        <v>1720</v>
      </c>
      <c r="F969" s="6" t="s">
        <v>283</v>
      </c>
      <c r="G969" s="6" t="s">
        <v>477</v>
      </c>
      <c r="H969" s="10">
        <v>46080.0</v>
      </c>
      <c r="I969" s="12">
        <v>11.0</v>
      </c>
      <c r="J969" s="6" t="s">
        <v>178</v>
      </c>
    </row>
    <row r="970" ht="22.5" customHeight="1">
      <c r="A970" s="6" t="s">
        <v>5477</v>
      </c>
      <c r="B970" s="6" t="s">
        <v>3017</v>
      </c>
      <c r="C970" s="10">
        <v>46061.0</v>
      </c>
      <c r="D970" s="6" t="s">
        <v>436</v>
      </c>
      <c r="E970" s="6" t="s">
        <v>634</v>
      </c>
      <c r="F970" s="6" t="s">
        <v>439</v>
      </c>
      <c r="G970" s="6" t="s">
        <v>254</v>
      </c>
      <c r="H970" s="11" t="s">
        <v>259</v>
      </c>
      <c r="I970" s="12">
        <v>12.0</v>
      </c>
      <c r="J970" s="6" t="s">
        <v>178</v>
      </c>
    </row>
    <row r="971" ht="22.5" customHeight="1">
      <c r="A971" s="6" t="s">
        <v>5480</v>
      </c>
      <c r="B971" s="6" t="s">
        <v>3024</v>
      </c>
      <c r="C971" s="10">
        <v>46054.0</v>
      </c>
      <c r="D971" s="6" t="s">
        <v>436</v>
      </c>
      <c r="E971" s="6" t="s">
        <v>320</v>
      </c>
      <c r="F971" s="6" t="s">
        <v>112</v>
      </c>
      <c r="G971" s="6" t="s">
        <v>254</v>
      </c>
      <c r="H971" s="10">
        <v>46054.0</v>
      </c>
      <c r="I971" s="12">
        <v>12.0</v>
      </c>
      <c r="J971" s="6" t="s">
        <v>178</v>
      </c>
    </row>
    <row r="972" ht="22.5" customHeight="1">
      <c r="A972" s="6" t="s">
        <v>5484</v>
      </c>
      <c r="B972" s="6" t="s">
        <v>3024</v>
      </c>
      <c r="C972" s="10">
        <v>46044.0</v>
      </c>
      <c r="D972" s="6" t="s">
        <v>391</v>
      </c>
      <c r="E972" s="6" t="s">
        <v>1969</v>
      </c>
      <c r="F972" s="6" t="s">
        <v>112</v>
      </c>
      <c r="G972" s="6" t="s">
        <v>494</v>
      </c>
      <c r="H972" s="10">
        <v>46047.0</v>
      </c>
      <c r="I972" s="12">
        <v>10.0</v>
      </c>
      <c r="J972" s="6" t="s">
        <v>161</v>
      </c>
    </row>
    <row r="973" ht="22.5" customHeight="1">
      <c r="A973" s="6" t="s">
        <v>5487</v>
      </c>
      <c r="B973" s="6" t="s">
        <v>3024</v>
      </c>
      <c r="C973" s="10">
        <v>46049.0</v>
      </c>
      <c r="D973" s="6" t="s">
        <v>242</v>
      </c>
      <c r="E973" s="6" t="s">
        <v>438</v>
      </c>
      <c r="F973" s="6" t="s">
        <v>439</v>
      </c>
      <c r="G973" s="6" t="s">
        <v>452</v>
      </c>
      <c r="H973" s="10">
        <v>46049.0</v>
      </c>
      <c r="I973" s="12">
        <v>3.0</v>
      </c>
      <c r="J973" s="6" t="s">
        <v>178</v>
      </c>
    </row>
    <row r="974" ht="22.5" customHeight="1">
      <c r="A974" s="6" t="s">
        <v>5491</v>
      </c>
      <c r="B974" s="6" t="s">
        <v>3024</v>
      </c>
      <c r="C974" s="10">
        <v>46050.0</v>
      </c>
      <c r="D974" s="6" t="s">
        <v>677</v>
      </c>
      <c r="E974" s="6" t="s">
        <v>1517</v>
      </c>
      <c r="F974" s="6" t="s">
        <v>283</v>
      </c>
      <c r="G974" s="6" t="s">
        <v>458</v>
      </c>
      <c r="H974" s="11" t="s">
        <v>259</v>
      </c>
      <c r="I974" s="12">
        <v>3.0</v>
      </c>
      <c r="J974" s="6" t="s">
        <v>161</v>
      </c>
    </row>
    <row r="975" ht="22.5" customHeight="1">
      <c r="A975" s="6" t="s">
        <v>5493</v>
      </c>
      <c r="B975" s="6" t="s">
        <v>3024</v>
      </c>
      <c r="C975" s="10">
        <v>46052.0</v>
      </c>
      <c r="D975" s="6" t="s">
        <v>416</v>
      </c>
      <c r="E975" s="6" t="s">
        <v>695</v>
      </c>
      <c r="F975" s="6" t="s">
        <v>439</v>
      </c>
      <c r="G975" s="6" t="s">
        <v>254</v>
      </c>
      <c r="H975" s="10">
        <v>46053.0</v>
      </c>
      <c r="I975" s="12">
        <v>12.0</v>
      </c>
      <c r="J975" s="6" t="s">
        <v>161</v>
      </c>
    </row>
    <row r="976" ht="22.5" customHeight="1">
      <c r="A976" s="6" t="s">
        <v>5497</v>
      </c>
      <c r="B976" s="6" t="s">
        <v>3030</v>
      </c>
      <c r="C976" s="10">
        <v>46061.0</v>
      </c>
      <c r="D976" s="6" t="s">
        <v>391</v>
      </c>
      <c r="E976" s="6" t="s">
        <v>246</v>
      </c>
      <c r="F976" s="6" t="s">
        <v>112</v>
      </c>
      <c r="G976" s="6" t="s">
        <v>326</v>
      </c>
      <c r="H976" s="11" t="s">
        <v>259</v>
      </c>
      <c r="I976" s="12">
        <v>6.0</v>
      </c>
      <c r="J976" s="6" t="s">
        <v>161</v>
      </c>
    </row>
    <row r="977" ht="22.5" customHeight="1">
      <c r="A977" s="6" t="s">
        <v>5499</v>
      </c>
      <c r="B977" s="6" t="s">
        <v>3030</v>
      </c>
      <c r="C977" s="10">
        <v>46057.0</v>
      </c>
      <c r="D977" s="6" t="s">
        <v>242</v>
      </c>
      <c r="E977" s="6" t="s">
        <v>1626</v>
      </c>
      <c r="F977" s="6" t="s">
        <v>249</v>
      </c>
      <c r="G977" s="6" t="s">
        <v>452</v>
      </c>
      <c r="H977" s="10">
        <v>46057.0</v>
      </c>
      <c r="I977" s="12">
        <v>6.0</v>
      </c>
      <c r="J977" s="6" t="s">
        <v>161</v>
      </c>
    </row>
    <row r="978" ht="22.5" customHeight="1">
      <c r="A978" s="6" t="s">
        <v>5502</v>
      </c>
      <c r="B978" s="6" t="s">
        <v>3036</v>
      </c>
      <c r="C978" s="10">
        <v>46074.0</v>
      </c>
      <c r="D978" s="6" t="s">
        <v>436</v>
      </c>
      <c r="E978" s="6" t="s">
        <v>1122</v>
      </c>
      <c r="F978" s="6" t="s">
        <v>112</v>
      </c>
      <c r="G978" s="6" t="s">
        <v>297</v>
      </c>
      <c r="H978" s="10">
        <v>46079.0</v>
      </c>
      <c r="I978" s="12">
        <v>9.0</v>
      </c>
      <c r="J978" s="6" t="s">
        <v>178</v>
      </c>
    </row>
    <row r="979" ht="22.5" customHeight="1">
      <c r="A979" s="6" t="s">
        <v>5505</v>
      </c>
      <c r="B979" s="6" t="s">
        <v>3036</v>
      </c>
      <c r="C979" s="10">
        <v>46067.0</v>
      </c>
      <c r="D979" s="6" t="s">
        <v>677</v>
      </c>
      <c r="E979" s="6" t="s">
        <v>955</v>
      </c>
      <c r="F979" s="6" t="s">
        <v>439</v>
      </c>
      <c r="G979" s="6" t="s">
        <v>326</v>
      </c>
      <c r="H979" s="10">
        <v>46070.0</v>
      </c>
      <c r="I979" s="12">
        <v>2.0</v>
      </c>
      <c r="J979" s="6" t="s">
        <v>161</v>
      </c>
    </row>
    <row r="980" ht="22.5" customHeight="1">
      <c r="A980" s="6" t="s">
        <v>5508</v>
      </c>
      <c r="B980" s="6" t="s">
        <v>3036</v>
      </c>
      <c r="C980" s="10">
        <v>46070.0</v>
      </c>
      <c r="D980" s="6" t="s">
        <v>289</v>
      </c>
      <c r="E980" s="6" t="s">
        <v>1969</v>
      </c>
      <c r="F980" s="6" t="s">
        <v>439</v>
      </c>
      <c r="G980" s="6" t="s">
        <v>477</v>
      </c>
      <c r="H980" s="11" t="s">
        <v>259</v>
      </c>
      <c r="I980" s="12">
        <v>8.0</v>
      </c>
      <c r="J980" s="6" t="s">
        <v>161</v>
      </c>
    </row>
    <row r="981" ht="22.5" customHeight="1">
      <c r="A981" s="6" t="s">
        <v>5511</v>
      </c>
      <c r="B981" s="6" t="s">
        <v>3036</v>
      </c>
      <c r="C981" s="10">
        <v>46068.0</v>
      </c>
      <c r="D981" s="6" t="s">
        <v>242</v>
      </c>
      <c r="E981" s="6" t="s">
        <v>1296</v>
      </c>
      <c r="F981" s="6" t="s">
        <v>112</v>
      </c>
      <c r="G981" s="6" t="s">
        <v>369</v>
      </c>
      <c r="H981" s="10">
        <v>46073.0</v>
      </c>
      <c r="I981" s="12">
        <v>6.0</v>
      </c>
      <c r="J981" s="6" t="s">
        <v>161</v>
      </c>
    </row>
    <row r="982" ht="22.5" customHeight="1">
      <c r="A982" s="6" t="s">
        <v>5513</v>
      </c>
      <c r="B982" s="6" t="s">
        <v>3036</v>
      </c>
      <c r="C982" s="10">
        <v>46063.0</v>
      </c>
      <c r="D982" s="6" t="s">
        <v>677</v>
      </c>
      <c r="E982" s="6" t="s">
        <v>1546</v>
      </c>
      <c r="F982" s="6" t="s">
        <v>249</v>
      </c>
      <c r="G982" s="6" t="s">
        <v>477</v>
      </c>
      <c r="H982" s="10">
        <v>46070.0</v>
      </c>
      <c r="I982" s="12">
        <v>3.0</v>
      </c>
      <c r="J982" s="6" t="s">
        <v>161</v>
      </c>
    </row>
    <row r="983" ht="22.5" customHeight="1">
      <c r="A983" s="6" t="s">
        <v>5516</v>
      </c>
      <c r="B983" s="6" t="s">
        <v>3042</v>
      </c>
      <c r="C983" s="10">
        <v>46064.0</v>
      </c>
      <c r="D983" s="6" t="s">
        <v>312</v>
      </c>
      <c r="E983" s="6" t="s">
        <v>320</v>
      </c>
      <c r="F983" s="6" t="s">
        <v>249</v>
      </c>
      <c r="G983" s="6" t="s">
        <v>254</v>
      </c>
      <c r="H983" s="10">
        <v>46067.0</v>
      </c>
      <c r="I983" s="12">
        <v>4.0</v>
      </c>
      <c r="J983" s="6" t="s">
        <v>161</v>
      </c>
    </row>
    <row r="984" ht="22.5" customHeight="1">
      <c r="A984" s="6" t="s">
        <v>5520</v>
      </c>
      <c r="B984" s="6" t="s">
        <v>3042</v>
      </c>
      <c r="C984" s="10">
        <v>46078.0</v>
      </c>
      <c r="D984" s="6" t="s">
        <v>289</v>
      </c>
      <c r="E984" s="6" t="s">
        <v>1273</v>
      </c>
      <c r="F984" s="6" t="s">
        <v>249</v>
      </c>
      <c r="G984" s="6" t="s">
        <v>452</v>
      </c>
      <c r="H984" s="10">
        <v>46080.0</v>
      </c>
      <c r="I984" s="12">
        <v>8.0</v>
      </c>
      <c r="J984" s="6" t="s">
        <v>161</v>
      </c>
    </row>
    <row r="985" ht="22.5" customHeight="1">
      <c r="A985" s="6" t="s">
        <v>5523</v>
      </c>
      <c r="B985" s="6" t="s">
        <v>3042</v>
      </c>
      <c r="C985" s="10">
        <v>46074.0</v>
      </c>
      <c r="D985" s="6" t="s">
        <v>289</v>
      </c>
      <c r="E985" s="6" t="s">
        <v>1720</v>
      </c>
      <c r="F985" s="6" t="s">
        <v>249</v>
      </c>
      <c r="G985" s="6" t="s">
        <v>326</v>
      </c>
      <c r="H985" s="10">
        <v>46079.0</v>
      </c>
      <c r="I985" s="12">
        <v>9.0</v>
      </c>
      <c r="J985" s="6" t="s">
        <v>161</v>
      </c>
    </row>
    <row r="986" ht="22.5" customHeight="1">
      <c r="A986" s="6" t="s">
        <v>5527</v>
      </c>
      <c r="B986" s="6" t="s">
        <v>3049</v>
      </c>
      <c r="C986" s="10">
        <v>46042.0</v>
      </c>
      <c r="D986" s="6" t="s">
        <v>677</v>
      </c>
      <c r="E986" s="6" t="s">
        <v>1296</v>
      </c>
      <c r="F986" s="6" t="s">
        <v>112</v>
      </c>
      <c r="G986" s="6" t="s">
        <v>254</v>
      </c>
      <c r="H986" s="10">
        <v>46043.0</v>
      </c>
      <c r="I986" s="12">
        <v>4.0</v>
      </c>
      <c r="J986" s="6" t="s">
        <v>161</v>
      </c>
    </row>
    <row r="987" ht="22.5" customHeight="1">
      <c r="A987" s="6" t="s">
        <v>5528</v>
      </c>
      <c r="B987" s="6" t="s">
        <v>3049</v>
      </c>
      <c r="C987" s="10">
        <v>46040.0</v>
      </c>
      <c r="D987" s="6" t="s">
        <v>312</v>
      </c>
      <c r="E987" s="6" t="s">
        <v>1600</v>
      </c>
      <c r="F987" s="6" t="s">
        <v>439</v>
      </c>
      <c r="G987" s="6" t="s">
        <v>494</v>
      </c>
      <c r="H987" s="11" t="s">
        <v>259</v>
      </c>
      <c r="I987" s="12">
        <v>4.0</v>
      </c>
      <c r="J987" s="6" t="s">
        <v>161</v>
      </c>
    </row>
    <row r="988" ht="22.5" customHeight="1">
      <c r="A988" s="6" t="s">
        <v>5533</v>
      </c>
      <c r="B988" s="6" t="s">
        <v>3049</v>
      </c>
      <c r="C988" s="10">
        <v>46044.0</v>
      </c>
      <c r="D988" s="6" t="s">
        <v>436</v>
      </c>
      <c r="E988" s="6" t="s">
        <v>628</v>
      </c>
      <c r="F988" s="6" t="s">
        <v>249</v>
      </c>
      <c r="G988" s="6" t="s">
        <v>326</v>
      </c>
      <c r="H988" s="10">
        <v>46044.0</v>
      </c>
      <c r="I988" s="12">
        <v>11.0</v>
      </c>
      <c r="J988" s="6" t="s">
        <v>161</v>
      </c>
    </row>
    <row r="989" ht="22.5" customHeight="1">
      <c r="A989" s="6" t="s">
        <v>5535</v>
      </c>
      <c r="B989" s="6" t="s">
        <v>3055</v>
      </c>
      <c r="C989" s="10">
        <v>46034.0</v>
      </c>
      <c r="D989" s="6" t="s">
        <v>312</v>
      </c>
      <c r="E989" s="6" t="s">
        <v>738</v>
      </c>
      <c r="F989" s="6" t="s">
        <v>439</v>
      </c>
      <c r="G989" s="6" t="s">
        <v>477</v>
      </c>
      <c r="H989" s="10">
        <v>46036.0</v>
      </c>
      <c r="I989" s="12">
        <v>5.0</v>
      </c>
      <c r="J989" s="6" t="s">
        <v>161</v>
      </c>
    </row>
    <row r="990" ht="22.5" customHeight="1">
      <c r="A990" s="6" t="s">
        <v>5538</v>
      </c>
      <c r="B990" s="6" t="s">
        <v>3055</v>
      </c>
      <c r="C990" s="10">
        <v>46051.0</v>
      </c>
      <c r="D990" s="6" t="s">
        <v>242</v>
      </c>
      <c r="E990" s="6" t="s">
        <v>1546</v>
      </c>
      <c r="F990" s="6" t="s">
        <v>112</v>
      </c>
      <c r="G990" s="6" t="s">
        <v>254</v>
      </c>
      <c r="H990" s="10">
        <v>46056.0</v>
      </c>
      <c r="I990" s="12">
        <v>3.0</v>
      </c>
      <c r="J990" s="6" t="s">
        <v>161</v>
      </c>
    </row>
    <row r="991" ht="22.5" customHeight="1">
      <c r="A991" s="6" t="s">
        <v>5542</v>
      </c>
      <c r="B991" s="6" t="s">
        <v>3055</v>
      </c>
      <c r="C991" s="10">
        <v>46051.0</v>
      </c>
      <c r="D991" s="6" t="s">
        <v>312</v>
      </c>
      <c r="E991" s="6" t="s">
        <v>695</v>
      </c>
      <c r="F991" s="6" t="s">
        <v>439</v>
      </c>
      <c r="G991" s="6" t="s">
        <v>369</v>
      </c>
      <c r="H991" s="11" t="s">
        <v>259</v>
      </c>
      <c r="I991" s="12">
        <v>5.0</v>
      </c>
      <c r="J991" s="6" t="s">
        <v>161</v>
      </c>
    </row>
    <row r="992" ht="22.5" customHeight="1">
      <c r="A992" s="6" t="s">
        <v>5545</v>
      </c>
      <c r="B992" s="6" t="s">
        <v>3055</v>
      </c>
      <c r="C992" s="10">
        <v>46035.0</v>
      </c>
      <c r="D992" s="6" t="s">
        <v>289</v>
      </c>
      <c r="E992" s="6" t="s">
        <v>1310</v>
      </c>
      <c r="F992" s="6" t="s">
        <v>283</v>
      </c>
      <c r="G992" s="6" t="s">
        <v>452</v>
      </c>
      <c r="H992" s="11" t="s">
        <v>259</v>
      </c>
      <c r="I992" s="12">
        <v>10.0</v>
      </c>
      <c r="J992" s="6" t="s">
        <v>161</v>
      </c>
    </row>
    <row r="993" ht="22.5" customHeight="1">
      <c r="A993" s="6" t="s">
        <v>5549</v>
      </c>
      <c r="B993" s="6" t="s">
        <v>3061</v>
      </c>
      <c r="C993" s="10">
        <v>46066.0</v>
      </c>
      <c r="D993" s="6" t="s">
        <v>242</v>
      </c>
      <c r="E993" s="6" t="s">
        <v>863</v>
      </c>
      <c r="F993" s="6" t="s">
        <v>249</v>
      </c>
      <c r="G993" s="6" t="s">
        <v>297</v>
      </c>
      <c r="H993" s="10">
        <v>46069.0</v>
      </c>
      <c r="I993" s="12">
        <v>3.0</v>
      </c>
      <c r="J993" s="6" t="s">
        <v>178</v>
      </c>
    </row>
    <row r="994" ht="22.5" customHeight="1">
      <c r="A994" s="6" t="s">
        <v>5552</v>
      </c>
      <c r="B994" s="6" t="s">
        <v>3061</v>
      </c>
      <c r="C994" s="10">
        <v>46058.0</v>
      </c>
      <c r="D994" s="6" t="s">
        <v>289</v>
      </c>
      <c r="E994" s="6" t="s">
        <v>1626</v>
      </c>
      <c r="F994" s="6" t="s">
        <v>112</v>
      </c>
      <c r="G994" s="6" t="s">
        <v>254</v>
      </c>
      <c r="H994" s="10">
        <v>46063.0</v>
      </c>
      <c r="I994" s="12">
        <v>8.0</v>
      </c>
      <c r="J994" s="6" t="s">
        <v>161</v>
      </c>
    </row>
    <row r="995" ht="22.5" customHeight="1">
      <c r="A995" s="6" t="s">
        <v>5556</v>
      </c>
      <c r="B995" s="6" t="s">
        <v>3061</v>
      </c>
      <c r="C995" s="10">
        <v>46067.0</v>
      </c>
      <c r="D995" s="6" t="s">
        <v>391</v>
      </c>
      <c r="E995" s="6" t="s">
        <v>475</v>
      </c>
      <c r="F995" s="6" t="s">
        <v>249</v>
      </c>
      <c r="G995" s="6" t="s">
        <v>494</v>
      </c>
      <c r="H995" s="10">
        <v>46073.0</v>
      </c>
      <c r="I995" s="12">
        <v>8.0</v>
      </c>
      <c r="J995" s="6" t="s">
        <v>161</v>
      </c>
    </row>
    <row r="996" ht="22.5" customHeight="1">
      <c r="A996" s="6" t="s">
        <v>5562</v>
      </c>
      <c r="B996" s="6" t="s">
        <v>3061</v>
      </c>
      <c r="C996" s="10">
        <v>46058.0</v>
      </c>
      <c r="D996" s="6" t="s">
        <v>416</v>
      </c>
      <c r="E996" s="6" t="s">
        <v>2881</v>
      </c>
      <c r="F996" s="6" t="s">
        <v>249</v>
      </c>
      <c r="G996" s="6" t="s">
        <v>326</v>
      </c>
      <c r="H996" s="10">
        <v>46059.0</v>
      </c>
      <c r="I996" s="12">
        <v>13.0</v>
      </c>
      <c r="J996" s="6" t="s">
        <v>161</v>
      </c>
    </row>
    <row r="997" ht="22.5" customHeight="1">
      <c r="A997" s="6" t="s">
        <v>5567</v>
      </c>
      <c r="B997" s="6" t="s">
        <v>3061</v>
      </c>
      <c r="C997" s="10">
        <v>46073.0</v>
      </c>
      <c r="D997" s="6" t="s">
        <v>242</v>
      </c>
      <c r="E997" s="6" t="s">
        <v>618</v>
      </c>
      <c r="F997" s="6" t="s">
        <v>112</v>
      </c>
      <c r="G997" s="6" t="s">
        <v>254</v>
      </c>
      <c r="H997" s="10">
        <v>46076.0</v>
      </c>
      <c r="I997" s="12">
        <v>6.0</v>
      </c>
      <c r="J997" s="6" t="s">
        <v>178</v>
      </c>
    </row>
    <row r="998" ht="22.5" customHeight="1">
      <c r="A998" s="6" t="s">
        <v>5569</v>
      </c>
      <c r="B998" s="6" t="s">
        <v>3067</v>
      </c>
      <c r="C998" s="10">
        <v>46047.0</v>
      </c>
      <c r="D998" s="6" t="s">
        <v>436</v>
      </c>
      <c r="E998" s="6" t="s">
        <v>394</v>
      </c>
      <c r="F998" s="6" t="s">
        <v>283</v>
      </c>
      <c r="G998" s="6" t="s">
        <v>458</v>
      </c>
      <c r="H998" s="10">
        <v>46047.0</v>
      </c>
      <c r="I998" s="12">
        <v>8.0</v>
      </c>
      <c r="J998" s="6" t="s">
        <v>178</v>
      </c>
    </row>
    <row r="999" ht="22.5" customHeight="1">
      <c r="A999" s="6" t="s">
        <v>5572</v>
      </c>
      <c r="B999" s="6" t="s">
        <v>3073</v>
      </c>
      <c r="C999" s="10">
        <v>46054.0</v>
      </c>
      <c r="D999" s="6" t="s">
        <v>416</v>
      </c>
      <c r="E999" s="6" t="s">
        <v>291</v>
      </c>
      <c r="F999" s="6" t="s">
        <v>249</v>
      </c>
      <c r="G999" s="6" t="s">
        <v>254</v>
      </c>
      <c r="H999" s="11" t="s">
        <v>259</v>
      </c>
      <c r="I999" s="12">
        <v>9.0</v>
      </c>
      <c r="J999" s="6" t="s">
        <v>161</v>
      </c>
    </row>
    <row r="1000" ht="22.5" customHeight="1">
      <c r="A1000" s="6" t="s">
        <v>5576</v>
      </c>
      <c r="B1000" s="6" t="s">
        <v>3073</v>
      </c>
      <c r="C1000" s="10">
        <v>46069.0</v>
      </c>
      <c r="D1000" s="6" t="s">
        <v>436</v>
      </c>
      <c r="E1000" s="6" t="s">
        <v>687</v>
      </c>
      <c r="F1000" s="6" t="s">
        <v>112</v>
      </c>
      <c r="G1000" s="6" t="s">
        <v>494</v>
      </c>
      <c r="H1000" s="11" t="s">
        <v>259</v>
      </c>
      <c r="I1000" s="12">
        <v>7.0</v>
      </c>
      <c r="J1000" s="6" t="s">
        <v>178</v>
      </c>
    </row>
    <row r="1001" ht="22.5" customHeight="1">
      <c r="A1001" s="6" t="s">
        <v>5582</v>
      </c>
      <c r="B1001" s="6" t="s">
        <v>3080</v>
      </c>
      <c r="C1001" s="10">
        <v>46057.0</v>
      </c>
      <c r="D1001" s="6" t="s">
        <v>436</v>
      </c>
      <c r="E1001" s="6" t="s">
        <v>1741</v>
      </c>
      <c r="F1001" s="6" t="s">
        <v>249</v>
      </c>
      <c r="G1001" s="6" t="s">
        <v>458</v>
      </c>
      <c r="H1001" s="10">
        <v>46060.0</v>
      </c>
      <c r="I1001" s="12">
        <v>7.0</v>
      </c>
      <c r="J1001" s="6" t="s">
        <v>161</v>
      </c>
    </row>
    <row r="1002" ht="22.5" customHeight="1">
      <c r="A1002" s="6" t="s">
        <v>5589</v>
      </c>
      <c r="B1002" s="6" t="s">
        <v>3080</v>
      </c>
      <c r="C1002" s="10">
        <v>46064.0</v>
      </c>
      <c r="D1002" s="6" t="s">
        <v>391</v>
      </c>
      <c r="E1002" s="6" t="s">
        <v>246</v>
      </c>
      <c r="F1002" s="6" t="s">
        <v>249</v>
      </c>
      <c r="G1002" s="6" t="s">
        <v>297</v>
      </c>
      <c r="H1002" s="10">
        <v>46065.0</v>
      </c>
      <c r="I1002" s="12">
        <v>6.0</v>
      </c>
      <c r="J1002" s="6" t="s">
        <v>161</v>
      </c>
    </row>
    <row r="1003" ht="22.5" customHeight="1">
      <c r="A1003" s="6" t="s">
        <v>5595</v>
      </c>
      <c r="B1003" s="6" t="s">
        <v>3080</v>
      </c>
      <c r="C1003" s="10">
        <v>46057.0</v>
      </c>
      <c r="D1003" s="6" t="s">
        <v>436</v>
      </c>
      <c r="E1003" s="6" t="s">
        <v>2365</v>
      </c>
      <c r="F1003" s="6" t="s">
        <v>249</v>
      </c>
      <c r="G1003" s="6" t="s">
        <v>254</v>
      </c>
      <c r="H1003" s="10">
        <v>46057.0</v>
      </c>
      <c r="I1003" s="12">
        <v>10.0</v>
      </c>
      <c r="J1003" s="6" t="s">
        <v>178</v>
      </c>
    </row>
    <row r="1004" ht="22.5" customHeight="1">
      <c r="A1004" s="6" t="s">
        <v>5602</v>
      </c>
      <c r="B1004" s="6" t="s">
        <v>3086</v>
      </c>
      <c r="C1004" s="10">
        <v>46042.0</v>
      </c>
      <c r="D1004" s="6" t="s">
        <v>289</v>
      </c>
      <c r="E1004" s="6" t="s">
        <v>798</v>
      </c>
      <c r="F1004" s="6" t="s">
        <v>112</v>
      </c>
      <c r="G1004" s="6" t="s">
        <v>452</v>
      </c>
      <c r="H1004" s="10">
        <v>46047.0</v>
      </c>
      <c r="I1004" s="12">
        <v>10.0</v>
      </c>
      <c r="J1004" s="6" t="s">
        <v>161</v>
      </c>
    </row>
    <row r="1005" ht="22.5" customHeight="1">
      <c r="A1005" s="6" t="s">
        <v>5607</v>
      </c>
      <c r="B1005" s="6" t="s">
        <v>3086</v>
      </c>
      <c r="C1005" s="10">
        <v>46035.0</v>
      </c>
      <c r="D1005" s="6" t="s">
        <v>416</v>
      </c>
      <c r="E1005" s="6" t="s">
        <v>885</v>
      </c>
      <c r="F1005" s="6" t="s">
        <v>439</v>
      </c>
      <c r="G1005" s="6" t="s">
        <v>452</v>
      </c>
      <c r="H1005" s="10">
        <v>46039.0</v>
      </c>
      <c r="I1005" s="12">
        <v>14.0</v>
      </c>
      <c r="J1005" s="6" t="s">
        <v>161</v>
      </c>
    </row>
    <row r="1006" ht="22.5" customHeight="1">
      <c r="A1006" s="6" t="s">
        <v>5612</v>
      </c>
      <c r="B1006" s="6" t="s">
        <v>3086</v>
      </c>
      <c r="C1006" s="10">
        <v>46032.0</v>
      </c>
      <c r="D1006" s="6" t="s">
        <v>416</v>
      </c>
      <c r="E1006" s="6" t="s">
        <v>1969</v>
      </c>
      <c r="F1006" s="6" t="s">
        <v>249</v>
      </c>
      <c r="G1006" s="6" t="s">
        <v>369</v>
      </c>
      <c r="H1006" s="10">
        <v>46035.0</v>
      </c>
      <c r="I1006" s="12">
        <v>14.0</v>
      </c>
      <c r="J1006" s="6" t="s">
        <v>161</v>
      </c>
    </row>
    <row r="1007" ht="22.5" customHeight="1">
      <c r="A1007" s="6" t="s">
        <v>5616</v>
      </c>
      <c r="B1007" s="6" t="s">
        <v>3092</v>
      </c>
      <c r="C1007" s="10">
        <v>46071.0</v>
      </c>
      <c r="D1007" s="6" t="s">
        <v>289</v>
      </c>
      <c r="E1007" s="6" t="s">
        <v>1570</v>
      </c>
      <c r="F1007" s="6" t="s">
        <v>249</v>
      </c>
      <c r="G1007" s="6" t="s">
        <v>452</v>
      </c>
      <c r="H1007" s="10">
        <v>46073.0</v>
      </c>
      <c r="I1007" s="12">
        <v>10.0</v>
      </c>
      <c r="J1007" s="6" t="s">
        <v>161</v>
      </c>
    </row>
    <row r="1008" ht="22.5" customHeight="1">
      <c r="A1008" s="6" t="s">
        <v>5621</v>
      </c>
      <c r="B1008" s="6" t="s">
        <v>3092</v>
      </c>
      <c r="C1008" s="10">
        <v>46065.0</v>
      </c>
      <c r="D1008" s="6" t="s">
        <v>289</v>
      </c>
      <c r="E1008" s="6" t="s">
        <v>896</v>
      </c>
      <c r="F1008" s="6" t="s">
        <v>283</v>
      </c>
      <c r="G1008" s="6" t="s">
        <v>452</v>
      </c>
      <c r="H1008" s="10">
        <v>46066.0</v>
      </c>
      <c r="I1008" s="12">
        <v>9.0</v>
      </c>
      <c r="J1008" s="6" t="s">
        <v>161</v>
      </c>
    </row>
    <row r="1009" ht="22.5" customHeight="1">
      <c r="A1009" s="6" t="s">
        <v>5625</v>
      </c>
      <c r="B1009" s="6" t="s">
        <v>3092</v>
      </c>
      <c r="C1009" s="10">
        <v>46066.0</v>
      </c>
      <c r="D1009" s="6" t="s">
        <v>391</v>
      </c>
      <c r="E1009" s="6" t="s">
        <v>695</v>
      </c>
      <c r="F1009" s="6" t="s">
        <v>112</v>
      </c>
      <c r="G1009" s="6" t="s">
        <v>458</v>
      </c>
      <c r="H1009" s="10">
        <v>46069.0</v>
      </c>
      <c r="I1009" s="12">
        <v>7.0</v>
      </c>
      <c r="J1009" s="6" t="s">
        <v>161</v>
      </c>
    </row>
    <row r="1010" ht="22.5" customHeight="1">
      <c r="A1010" s="6" t="s">
        <v>5628</v>
      </c>
      <c r="B1010" s="6" t="s">
        <v>3092</v>
      </c>
      <c r="C1010" s="10">
        <v>46069.0</v>
      </c>
      <c r="D1010" s="6" t="s">
        <v>677</v>
      </c>
      <c r="E1010" s="6" t="s">
        <v>466</v>
      </c>
      <c r="F1010" s="6" t="s">
        <v>249</v>
      </c>
      <c r="G1010" s="6" t="s">
        <v>369</v>
      </c>
      <c r="H1010" s="10">
        <v>46076.0</v>
      </c>
      <c r="I1010" s="12">
        <v>2.0</v>
      </c>
      <c r="J1010" s="6" t="s">
        <v>161</v>
      </c>
    </row>
    <row r="1011" ht="22.5" customHeight="1">
      <c r="A1011" s="6" t="s">
        <v>5634</v>
      </c>
      <c r="B1011" s="6" t="s">
        <v>3092</v>
      </c>
      <c r="C1011" s="10">
        <v>46072.0</v>
      </c>
      <c r="D1011" s="6" t="s">
        <v>391</v>
      </c>
      <c r="E1011" s="6" t="s">
        <v>885</v>
      </c>
      <c r="F1011" s="6" t="s">
        <v>249</v>
      </c>
      <c r="G1011" s="6" t="s">
        <v>297</v>
      </c>
      <c r="H1011" s="10">
        <v>46072.0</v>
      </c>
      <c r="I1011" s="12">
        <v>8.0</v>
      </c>
      <c r="J1011" s="6" t="s">
        <v>161</v>
      </c>
    </row>
    <row r="1012" ht="22.5" customHeight="1">
      <c r="A1012" s="6" t="s">
        <v>5638</v>
      </c>
      <c r="B1012" s="6" t="s">
        <v>3099</v>
      </c>
      <c r="C1012" s="10">
        <v>46070.0</v>
      </c>
      <c r="D1012" s="6" t="s">
        <v>312</v>
      </c>
      <c r="E1012" s="6" t="s">
        <v>885</v>
      </c>
      <c r="F1012" s="6" t="s">
        <v>249</v>
      </c>
      <c r="G1012" s="6" t="s">
        <v>494</v>
      </c>
      <c r="H1012" s="10">
        <v>46074.0</v>
      </c>
      <c r="I1012" s="12">
        <v>7.0</v>
      </c>
      <c r="J1012" s="6" t="s">
        <v>161</v>
      </c>
    </row>
    <row r="1013" ht="22.5" customHeight="1">
      <c r="A1013" s="6" t="s">
        <v>5643</v>
      </c>
      <c r="B1013" s="6" t="s">
        <v>3099</v>
      </c>
      <c r="C1013" s="10">
        <v>46069.0</v>
      </c>
      <c r="D1013" s="6" t="s">
        <v>391</v>
      </c>
      <c r="E1013" s="6" t="s">
        <v>1552</v>
      </c>
      <c r="F1013" s="6" t="s">
        <v>249</v>
      </c>
      <c r="G1013" s="6" t="s">
        <v>494</v>
      </c>
      <c r="H1013" s="10">
        <v>46069.0</v>
      </c>
      <c r="I1013" s="12">
        <v>9.0</v>
      </c>
      <c r="J1013" s="6" t="s">
        <v>161</v>
      </c>
    </row>
    <row r="1014" ht="22.5" customHeight="1">
      <c r="A1014" s="6" t="s">
        <v>5647</v>
      </c>
      <c r="B1014" s="6" t="s">
        <v>3099</v>
      </c>
      <c r="C1014" s="10">
        <v>46066.0</v>
      </c>
      <c r="D1014" s="6" t="s">
        <v>242</v>
      </c>
      <c r="E1014" s="6" t="s">
        <v>658</v>
      </c>
      <c r="F1014" s="6" t="s">
        <v>439</v>
      </c>
      <c r="G1014" s="6" t="s">
        <v>326</v>
      </c>
      <c r="H1014" s="10">
        <v>46073.0</v>
      </c>
      <c r="I1014" s="12">
        <v>6.0</v>
      </c>
      <c r="J1014" s="6" t="s">
        <v>161</v>
      </c>
    </row>
    <row r="1015" ht="22.5" customHeight="1">
      <c r="A1015" s="6" t="s">
        <v>5652</v>
      </c>
      <c r="B1015" s="6" t="s">
        <v>3099</v>
      </c>
      <c r="C1015" s="10">
        <v>46072.0</v>
      </c>
      <c r="D1015" s="6" t="s">
        <v>391</v>
      </c>
      <c r="E1015" s="6" t="s">
        <v>787</v>
      </c>
      <c r="F1015" s="6" t="s">
        <v>283</v>
      </c>
      <c r="G1015" s="6" t="s">
        <v>477</v>
      </c>
      <c r="H1015" s="10">
        <v>46072.0</v>
      </c>
      <c r="I1015" s="12">
        <v>8.0</v>
      </c>
      <c r="J1015" s="6" t="s">
        <v>161</v>
      </c>
    </row>
    <row r="1016" ht="22.5" customHeight="1">
      <c r="A1016" s="6" t="s">
        <v>5659</v>
      </c>
      <c r="B1016" s="6" t="s">
        <v>3099</v>
      </c>
      <c r="C1016" s="10">
        <v>46069.0</v>
      </c>
      <c r="D1016" s="6" t="s">
        <v>677</v>
      </c>
      <c r="E1016" s="6" t="s">
        <v>1241</v>
      </c>
      <c r="F1016" s="6" t="s">
        <v>112</v>
      </c>
      <c r="G1016" s="6" t="s">
        <v>458</v>
      </c>
      <c r="H1016" s="10">
        <v>46073.0</v>
      </c>
      <c r="I1016" s="12">
        <v>4.0</v>
      </c>
      <c r="J1016" s="6" t="s">
        <v>161</v>
      </c>
    </row>
    <row r="1017" ht="22.5" customHeight="1">
      <c r="A1017" s="6" t="s">
        <v>5663</v>
      </c>
      <c r="B1017" s="6" t="s">
        <v>3105</v>
      </c>
      <c r="C1017" s="10">
        <v>46035.0</v>
      </c>
      <c r="D1017" s="6" t="s">
        <v>391</v>
      </c>
      <c r="E1017" s="6" t="s">
        <v>658</v>
      </c>
      <c r="F1017" s="6" t="s">
        <v>112</v>
      </c>
      <c r="G1017" s="6" t="s">
        <v>369</v>
      </c>
      <c r="H1017" s="10">
        <v>46038.0</v>
      </c>
      <c r="I1017" s="12">
        <v>7.0</v>
      </c>
      <c r="J1017" s="6" t="s">
        <v>161</v>
      </c>
    </row>
    <row r="1018" ht="22.5" customHeight="1">
      <c r="A1018" s="6" t="s">
        <v>5666</v>
      </c>
      <c r="B1018" s="6" t="s">
        <v>3111</v>
      </c>
      <c r="C1018" s="10">
        <v>46076.0</v>
      </c>
      <c r="D1018" s="6" t="s">
        <v>242</v>
      </c>
      <c r="E1018" s="6" t="s">
        <v>695</v>
      </c>
      <c r="F1018" s="6" t="s">
        <v>112</v>
      </c>
      <c r="G1018" s="6" t="s">
        <v>297</v>
      </c>
      <c r="H1018" s="10">
        <v>46078.0</v>
      </c>
      <c r="I1018" s="12">
        <v>5.0</v>
      </c>
      <c r="J1018" s="6" t="s">
        <v>178</v>
      </c>
    </row>
    <row r="1019" ht="22.5" customHeight="1">
      <c r="A1019" s="6" t="s">
        <v>5671</v>
      </c>
      <c r="B1019" s="6" t="s">
        <v>3111</v>
      </c>
      <c r="C1019" s="10">
        <v>46077.0</v>
      </c>
      <c r="D1019" s="6" t="s">
        <v>677</v>
      </c>
      <c r="E1019" s="6" t="s">
        <v>2881</v>
      </c>
      <c r="F1019" s="6" t="s">
        <v>249</v>
      </c>
      <c r="G1019" s="6" t="s">
        <v>297</v>
      </c>
      <c r="H1019" s="10">
        <v>46084.0</v>
      </c>
      <c r="I1019" s="12">
        <v>3.0</v>
      </c>
      <c r="J1019" s="6" t="s">
        <v>161</v>
      </c>
    </row>
    <row r="1020" ht="22.5" customHeight="1">
      <c r="A1020" s="6" t="s">
        <v>5676</v>
      </c>
      <c r="B1020" s="6" t="s">
        <v>3111</v>
      </c>
      <c r="C1020" s="10">
        <v>46073.0</v>
      </c>
      <c r="D1020" s="6" t="s">
        <v>312</v>
      </c>
      <c r="E1020" s="6" t="s">
        <v>716</v>
      </c>
      <c r="F1020" s="6" t="s">
        <v>283</v>
      </c>
      <c r="G1020" s="6" t="s">
        <v>254</v>
      </c>
      <c r="H1020" s="10">
        <v>46075.0</v>
      </c>
      <c r="I1020" s="12">
        <v>4.0</v>
      </c>
      <c r="J1020" s="6" t="s">
        <v>161</v>
      </c>
    </row>
    <row r="1021" ht="22.5" customHeight="1">
      <c r="A1021" s="6" t="s">
        <v>5681</v>
      </c>
      <c r="B1021" s="6" t="s">
        <v>3111</v>
      </c>
      <c r="C1021" s="10">
        <v>46063.0</v>
      </c>
      <c r="D1021" s="6" t="s">
        <v>391</v>
      </c>
      <c r="E1021" s="6" t="s">
        <v>566</v>
      </c>
      <c r="F1021" s="6" t="s">
        <v>112</v>
      </c>
      <c r="G1021" s="6" t="s">
        <v>494</v>
      </c>
      <c r="H1021" s="10">
        <v>46067.0</v>
      </c>
      <c r="I1021" s="12">
        <v>7.0</v>
      </c>
      <c r="J1021" s="6" t="s">
        <v>161</v>
      </c>
    </row>
    <row r="1022" ht="22.5" customHeight="1">
      <c r="A1022" s="6" t="s">
        <v>5685</v>
      </c>
      <c r="B1022" s="6" t="s">
        <v>3117</v>
      </c>
      <c r="C1022" s="10">
        <v>46071.0</v>
      </c>
      <c r="D1022" s="6" t="s">
        <v>289</v>
      </c>
      <c r="E1022" s="6" t="s">
        <v>687</v>
      </c>
      <c r="F1022" s="6" t="s">
        <v>249</v>
      </c>
      <c r="G1022" s="6" t="s">
        <v>297</v>
      </c>
      <c r="H1022" s="10">
        <v>46073.0</v>
      </c>
      <c r="I1022" s="12">
        <v>6.0</v>
      </c>
      <c r="J1022" s="6" t="s">
        <v>161</v>
      </c>
    </row>
    <row r="1023" ht="22.5" customHeight="1">
      <c r="A1023" s="6" t="s">
        <v>5690</v>
      </c>
      <c r="B1023" s="6" t="s">
        <v>3117</v>
      </c>
      <c r="C1023" s="10">
        <v>46070.0</v>
      </c>
      <c r="D1023" s="6" t="s">
        <v>436</v>
      </c>
      <c r="E1023" s="6" t="s">
        <v>610</v>
      </c>
      <c r="F1023" s="6" t="s">
        <v>249</v>
      </c>
      <c r="G1023" s="6" t="s">
        <v>458</v>
      </c>
      <c r="H1023" s="10">
        <v>46073.0</v>
      </c>
      <c r="I1023" s="12">
        <v>12.0</v>
      </c>
      <c r="J1023" s="6" t="s">
        <v>178</v>
      </c>
    </row>
    <row r="1024" ht="22.5" customHeight="1">
      <c r="A1024" s="6" t="s">
        <v>5695</v>
      </c>
      <c r="B1024" s="6" t="s">
        <v>3117</v>
      </c>
      <c r="C1024" s="10">
        <v>46068.0</v>
      </c>
      <c r="D1024" s="6" t="s">
        <v>289</v>
      </c>
      <c r="E1024" s="6" t="s">
        <v>1296</v>
      </c>
      <c r="F1024" s="6" t="s">
        <v>112</v>
      </c>
      <c r="G1024" s="6" t="s">
        <v>297</v>
      </c>
      <c r="H1024" s="10">
        <v>46072.0</v>
      </c>
      <c r="I1024" s="12">
        <v>6.0</v>
      </c>
      <c r="J1024" s="6" t="s">
        <v>161</v>
      </c>
    </row>
    <row r="1025" ht="22.5" customHeight="1">
      <c r="A1025" s="6" t="s">
        <v>5698</v>
      </c>
      <c r="B1025" s="6" t="s">
        <v>3117</v>
      </c>
      <c r="C1025" s="10">
        <v>46061.0</v>
      </c>
      <c r="D1025" s="6" t="s">
        <v>289</v>
      </c>
      <c r="E1025" s="6" t="s">
        <v>466</v>
      </c>
      <c r="F1025" s="6" t="s">
        <v>283</v>
      </c>
      <c r="G1025" s="6" t="s">
        <v>369</v>
      </c>
      <c r="H1025" s="10">
        <v>46062.0</v>
      </c>
      <c r="I1025" s="12">
        <v>5.0</v>
      </c>
      <c r="J1025" s="6" t="s">
        <v>161</v>
      </c>
    </row>
    <row r="1026" ht="22.5" customHeight="1">
      <c r="A1026" s="6" t="s">
        <v>5703</v>
      </c>
      <c r="B1026" s="6" t="s">
        <v>3117</v>
      </c>
      <c r="C1026" s="10">
        <v>46072.0</v>
      </c>
      <c r="D1026" s="6" t="s">
        <v>289</v>
      </c>
      <c r="E1026" s="6" t="s">
        <v>320</v>
      </c>
      <c r="F1026" s="6" t="s">
        <v>283</v>
      </c>
      <c r="G1026" s="6" t="s">
        <v>477</v>
      </c>
      <c r="H1026" s="10">
        <v>46079.0</v>
      </c>
      <c r="I1026" s="12">
        <v>6.0</v>
      </c>
      <c r="J1026" s="6" t="s">
        <v>161</v>
      </c>
    </row>
    <row r="1027" ht="22.5" customHeight="1">
      <c r="A1027" s="6" t="s">
        <v>5707</v>
      </c>
      <c r="B1027" s="6" t="s">
        <v>3123</v>
      </c>
      <c r="C1027" s="10">
        <v>46043.0</v>
      </c>
      <c r="D1027" s="6" t="s">
        <v>436</v>
      </c>
      <c r="E1027" s="6" t="s">
        <v>1546</v>
      </c>
      <c r="F1027" s="6" t="s">
        <v>249</v>
      </c>
      <c r="G1027" s="6" t="s">
        <v>494</v>
      </c>
      <c r="H1027" s="11" t="s">
        <v>259</v>
      </c>
      <c r="I1027" s="12">
        <v>11.0</v>
      </c>
      <c r="J1027" s="6" t="s">
        <v>178</v>
      </c>
    </row>
    <row r="1028" ht="22.5" customHeight="1">
      <c r="A1028" s="6" t="s">
        <v>5713</v>
      </c>
      <c r="B1028" s="6" t="s">
        <v>3123</v>
      </c>
      <c r="C1028" s="10">
        <v>46047.0</v>
      </c>
      <c r="D1028" s="6" t="s">
        <v>391</v>
      </c>
      <c r="E1028" s="6" t="s">
        <v>716</v>
      </c>
      <c r="F1028" s="6" t="s">
        <v>283</v>
      </c>
      <c r="G1028" s="6" t="s">
        <v>254</v>
      </c>
      <c r="H1028" s="11" t="s">
        <v>259</v>
      </c>
      <c r="I1028" s="12">
        <v>11.0</v>
      </c>
      <c r="J1028" s="6" t="s">
        <v>161</v>
      </c>
    </row>
    <row r="1029" ht="22.5" customHeight="1">
      <c r="A1029" s="6" t="s">
        <v>5716</v>
      </c>
      <c r="B1029" s="6" t="s">
        <v>3128</v>
      </c>
      <c r="C1029" s="10">
        <v>46073.0</v>
      </c>
      <c r="D1029" s="6" t="s">
        <v>391</v>
      </c>
      <c r="E1029" s="6" t="s">
        <v>610</v>
      </c>
      <c r="F1029" s="6" t="s">
        <v>249</v>
      </c>
      <c r="G1029" s="6" t="s">
        <v>326</v>
      </c>
      <c r="H1029" s="10">
        <v>46079.0</v>
      </c>
      <c r="I1029" s="12">
        <v>7.0</v>
      </c>
      <c r="J1029" s="6" t="s">
        <v>161</v>
      </c>
    </row>
    <row r="1030" ht="22.5" customHeight="1">
      <c r="A1030" s="6" t="s">
        <v>5720</v>
      </c>
      <c r="B1030" s="6" t="s">
        <v>3128</v>
      </c>
      <c r="C1030" s="10">
        <v>46070.0</v>
      </c>
      <c r="D1030" s="6" t="s">
        <v>436</v>
      </c>
      <c r="E1030" s="6" t="s">
        <v>1296</v>
      </c>
      <c r="F1030" s="6" t="s">
        <v>249</v>
      </c>
      <c r="G1030" s="6" t="s">
        <v>369</v>
      </c>
      <c r="H1030" s="10">
        <v>46077.0</v>
      </c>
      <c r="I1030" s="12">
        <v>6.0</v>
      </c>
      <c r="J1030" s="6" t="s">
        <v>161</v>
      </c>
    </row>
    <row r="1031" ht="22.5" customHeight="1">
      <c r="A1031" s="6" t="s">
        <v>5725</v>
      </c>
      <c r="B1031" s="6" t="s">
        <v>3134</v>
      </c>
      <c r="C1031" s="10">
        <v>46071.0</v>
      </c>
      <c r="D1031" s="6" t="s">
        <v>416</v>
      </c>
      <c r="E1031" s="6" t="s">
        <v>738</v>
      </c>
      <c r="F1031" s="6" t="s">
        <v>283</v>
      </c>
      <c r="G1031" s="6" t="s">
        <v>452</v>
      </c>
      <c r="H1031" s="11" t="s">
        <v>259</v>
      </c>
      <c r="I1031" s="12">
        <v>12.0</v>
      </c>
      <c r="J1031" s="6" t="s">
        <v>161</v>
      </c>
    </row>
    <row r="1032" ht="22.5" customHeight="1">
      <c r="A1032" s="6" t="s">
        <v>5730</v>
      </c>
      <c r="B1032" s="6" t="s">
        <v>3134</v>
      </c>
      <c r="C1032" s="10">
        <v>46075.0</v>
      </c>
      <c r="D1032" s="6" t="s">
        <v>416</v>
      </c>
      <c r="E1032" s="6" t="s">
        <v>731</v>
      </c>
      <c r="F1032" s="6" t="s">
        <v>249</v>
      </c>
      <c r="G1032" s="6" t="s">
        <v>452</v>
      </c>
      <c r="H1032" s="10">
        <v>46080.0</v>
      </c>
      <c r="I1032" s="12">
        <v>10.0</v>
      </c>
      <c r="J1032" s="6" t="s">
        <v>161</v>
      </c>
    </row>
    <row r="1033" ht="22.5" customHeight="1">
      <c r="A1033" s="6" t="s">
        <v>5736</v>
      </c>
      <c r="B1033" s="6" t="s">
        <v>3134</v>
      </c>
      <c r="C1033" s="10">
        <v>46068.0</v>
      </c>
      <c r="D1033" s="6" t="s">
        <v>677</v>
      </c>
      <c r="E1033" s="6" t="s">
        <v>2365</v>
      </c>
      <c r="F1033" s="6" t="s">
        <v>112</v>
      </c>
      <c r="G1033" s="6" t="s">
        <v>477</v>
      </c>
      <c r="H1033" s="10">
        <v>46074.0</v>
      </c>
      <c r="I1033" s="12">
        <v>3.0</v>
      </c>
      <c r="J1033" s="6" t="s">
        <v>161</v>
      </c>
    </row>
    <row r="1034" ht="22.5" customHeight="1">
      <c r="A1034" s="6" t="s">
        <v>5739</v>
      </c>
      <c r="B1034" s="6" t="s">
        <v>3140</v>
      </c>
      <c r="C1034" s="10">
        <v>46061.0</v>
      </c>
      <c r="D1034" s="6" t="s">
        <v>391</v>
      </c>
      <c r="E1034" s="6" t="s">
        <v>634</v>
      </c>
      <c r="F1034" s="6" t="s">
        <v>249</v>
      </c>
      <c r="G1034" s="6" t="s">
        <v>458</v>
      </c>
      <c r="H1034" s="10">
        <v>46061.0</v>
      </c>
      <c r="I1034" s="12">
        <v>11.0</v>
      </c>
      <c r="J1034" s="6" t="s">
        <v>161</v>
      </c>
    </row>
    <row r="1035" ht="22.5" customHeight="1">
      <c r="A1035" s="6" t="s">
        <v>5745</v>
      </c>
      <c r="B1035" s="6" t="s">
        <v>3140</v>
      </c>
      <c r="C1035" s="10">
        <v>46067.0</v>
      </c>
      <c r="D1035" s="6" t="s">
        <v>391</v>
      </c>
      <c r="E1035" s="6" t="s">
        <v>246</v>
      </c>
      <c r="F1035" s="6" t="s">
        <v>249</v>
      </c>
      <c r="G1035" s="6" t="s">
        <v>494</v>
      </c>
      <c r="H1035" s="10">
        <v>46071.0</v>
      </c>
      <c r="I1035" s="12">
        <v>7.0</v>
      </c>
      <c r="J1035" s="6" t="s">
        <v>161</v>
      </c>
    </row>
    <row r="1036" ht="22.5" customHeight="1">
      <c r="A1036" s="6" t="s">
        <v>5749</v>
      </c>
      <c r="B1036" s="6" t="s">
        <v>3147</v>
      </c>
      <c r="C1036" s="10">
        <v>46040.0</v>
      </c>
      <c r="D1036" s="6" t="s">
        <v>391</v>
      </c>
      <c r="E1036" s="6" t="s">
        <v>291</v>
      </c>
      <c r="F1036" s="6" t="s">
        <v>283</v>
      </c>
      <c r="G1036" s="6" t="s">
        <v>494</v>
      </c>
      <c r="H1036" s="10">
        <v>46047.0</v>
      </c>
      <c r="I1036" s="12">
        <v>7.0</v>
      </c>
      <c r="J1036" s="6" t="s">
        <v>161</v>
      </c>
    </row>
    <row r="1037" ht="22.5" customHeight="1">
      <c r="A1037" s="6" t="s">
        <v>5755</v>
      </c>
      <c r="B1037" s="6" t="s">
        <v>3153</v>
      </c>
      <c r="C1037" s="10">
        <v>46062.0</v>
      </c>
      <c r="D1037" s="6" t="s">
        <v>391</v>
      </c>
      <c r="E1037" s="6" t="s">
        <v>466</v>
      </c>
      <c r="F1037" s="6" t="s">
        <v>112</v>
      </c>
      <c r="G1037" s="6" t="s">
        <v>297</v>
      </c>
      <c r="H1037" s="10">
        <v>46064.0</v>
      </c>
      <c r="I1037" s="12">
        <v>7.0</v>
      </c>
      <c r="J1037" s="6" t="s">
        <v>161</v>
      </c>
    </row>
    <row r="1038" ht="22.5" customHeight="1">
      <c r="A1038" s="6" t="s">
        <v>5759</v>
      </c>
      <c r="B1038" s="6" t="s">
        <v>3153</v>
      </c>
      <c r="C1038" s="10">
        <v>46066.0</v>
      </c>
      <c r="D1038" s="6" t="s">
        <v>416</v>
      </c>
      <c r="E1038" s="6" t="s">
        <v>466</v>
      </c>
      <c r="F1038" s="6" t="s">
        <v>439</v>
      </c>
      <c r="G1038" s="6" t="s">
        <v>494</v>
      </c>
      <c r="H1038" s="10">
        <v>46067.0</v>
      </c>
      <c r="I1038" s="12">
        <v>12.0</v>
      </c>
      <c r="J1038" s="6" t="s">
        <v>161</v>
      </c>
    </row>
    <row r="1039" ht="22.5" customHeight="1">
      <c r="A1039" s="6" t="s">
        <v>5764</v>
      </c>
      <c r="B1039" s="6" t="s">
        <v>3160</v>
      </c>
      <c r="C1039" s="10">
        <v>46074.0</v>
      </c>
      <c r="D1039" s="6" t="s">
        <v>677</v>
      </c>
      <c r="E1039" s="6" t="s">
        <v>716</v>
      </c>
      <c r="F1039" s="6" t="s">
        <v>249</v>
      </c>
      <c r="G1039" s="6" t="s">
        <v>369</v>
      </c>
      <c r="H1039" s="11" t="s">
        <v>259</v>
      </c>
      <c r="I1039" s="12">
        <v>4.0</v>
      </c>
      <c r="J1039" s="6" t="s">
        <v>161</v>
      </c>
    </row>
    <row r="1040" ht="22.5" customHeight="1">
      <c r="A1040" s="6" t="s">
        <v>5768</v>
      </c>
      <c r="B1040" s="6" t="s">
        <v>3160</v>
      </c>
      <c r="C1040" s="10">
        <v>46071.0</v>
      </c>
      <c r="D1040" s="6" t="s">
        <v>242</v>
      </c>
      <c r="E1040" s="6" t="s">
        <v>610</v>
      </c>
      <c r="F1040" s="6" t="s">
        <v>112</v>
      </c>
      <c r="G1040" s="6" t="s">
        <v>494</v>
      </c>
      <c r="H1040" s="11" t="s">
        <v>259</v>
      </c>
      <c r="I1040" s="12">
        <v>5.0</v>
      </c>
      <c r="J1040" s="6" t="s">
        <v>178</v>
      </c>
    </row>
    <row r="1041" ht="22.5" customHeight="1">
      <c r="A1041" s="6" t="s">
        <v>5773</v>
      </c>
      <c r="B1041" s="6" t="s">
        <v>3160</v>
      </c>
      <c r="C1041" s="10">
        <v>46064.0</v>
      </c>
      <c r="D1041" s="6" t="s">
        <v>391</v>
      </c>
      <c r="E1041" s="6" t="s">
        <v>1570</v>
      </c>
      <c r="F1041" s="6" t="s">
        <v>439</v>
      </c>
      <c r="G1041" s="6" t="s">
        <v>369</v>
      </c>
      <c r="H1041" s="10">
        <v>46064.0</v>
      </c>
      <c r="I1041" s="12">
        <v>9.0</v>
      </c>
      <c r="J1041" s="6" t="s">
        <v>161</v>
      </c>
    </row>
    <row r="1042" ht="22.5" customHeight="1">
      <c r="A1042" s="6" t="s">
        <v>5776</v>
      </c>
      <c r="B1042" s="6" t="s">
        <v>3160</v>
      </c>
      <c r="C1042" s="10">
        <v>46070.0</v>
      </c>
      <c r="D1042" s="6" t="s">
        <v>416</v>
      </c>
      <c r="E1042" s="6" t="s">
        <v>1122</v>
      </c>
      <c r="F1042" s="6" t="s">
        <v>283</v>
      </c>
      <c r="G1042" s="6" t="s">
        <v>369</v>
      </c>
      <c r="H1042" s="10">
        <v>46070.0</v>
      </c>
      <c r="I1042" s="12">
        <v>13.0</v>
      </c>
      <c r="J1042" s="6" t="s">
        <v>161</v>
      </c>
    </row>
    <row r="1043" ht="22.5" customHeight="1">
      <c r="A1043" s="6" t="s">
        <v>5782</v>
      </c>
      <c r="B1043" s="6" t="s">
        <v>3160</v>
      </c>
      <c r="C1043" s="10">
        <v>46078.0</v>
      </c>
      <c r="D1043" s="6" t="s">
        <v>677</v>
      </c>
      <c r="E1043" s="6" t="s">
        <v>1626</v>
      </c>
      <c r="F1043" s="6" t="s">
        <v>439</v>
      </c>
      <c r="G1043" s="6" t="s">
        <v>452</v>
      </c>
      <c r="H1043" s="10">
        <v>46082.0</v>
      </c>
      <c r="I1043" s="12">
        <v>2.0</v>
      </c>
      <c r="J1043" s="6" t="s">
        <v>161</v>
      </c>
    </row>
    <row r="1044" ht="22.5" customHeight="1">
      <c r="A1044" s="6" t="s">
        <v>5786</v>
      </c>
      <c r="B1044" s="6" t="s">
        <v>3166</v>
      </c>
      <c r="C1044" s="10">
        <v>46068.0</v>
      </c>
      <c r="D1044" s="6" t="s">
        <v>416</v>
      </c>
      <c r="E1044" s="6" t="s">
        <v>1102</v>
      </c>
      <c r="F1044" s="6" t="s">
        <v>283</v>
      </c>
      <c r="G1044" s="6" t="s">
        <v>254</v>
      </c>
      <c r="H1044" s="10">
        <v>46068.0</v>
      </c>
      <c r="I1044" s="12">
        <v>11.0</v>
      </c>
      <c r="J1044" s="6" t="s">
        <v>161</v>
      </c>
    </row>
    <row r="1045" ht="22.5" customHeight="1">
      <c r="A1045" s="6" t="s">
        <v>5788</v>
      </c>
      <c r="B1045" s="6" t="s">
        <v>3166</v>
      </c>
      <c r="C1045" s="10">
        <v>46070.0</v>
      </c>
      <c r="D1045" s="6" t="s">
        <v>436</v>
      </c>
      <c r="E1045" s="6" t="s">
        <v>775</v>
      </c>
      <c r="F1045" s="6" t="s">
        <v>439</v>
      </c>
      <c r="G1045" s="6" t="s">
        <v>494</v>
      </c>
      <c r="H1045" s="10">
        <v>46072.0</v>
      </c>
      <c r="I1045" s="12">
        <v>11.0</v>
      </c>
      <c r="J1045" s="6" t="s">
        <v>178</v>
      </c>
    </row>
    <row r="1046" ht="22.5" customHeight="1">
      <c r="A1046" s="6" t="s">
        <v>5790</v>
      </c>
      <c r="B1046" s="6" t="s">
        <v>3166</v>
      </c>
      <c r="C1046" s="10">
        <v>46074.0</v>
      </c>
      <c r="D1046" s="6" t="s">
        <v>289</v>
      </c>
      <c r="E1046" s="6" t="s">
        <v>738</v>
      </c>
      <c r="F1046" s="6" t="s">
        <v>439</v>
      </c>
      <c r="G1046" s="6" t="s">
        <v>494</v>
      </c>
      <c r="H1046" s="11" t="s">
        <v>259</v>
      </c>
      <c r="I1046" s="12">
        <v>6.0</v>
      </c>
      <c r="J1046" s="6" t="s">
        <v>161</v>
      </c>
    </row>
    <row r="1047" ht="22.5" customHeight="1">
      <c r="A1047" s="6" t="s">
        <v>5794</v>
      </c>
      <c r="B1047" s="6" t="s">
        <v>3166</v>
      </c>
      <c r="C1047" s="10">
        <v>46066.0</v>
      </c>
      <c r="D1047" s="6" t="s">
        <v>677</v>
      </c>
      <c r="E1047" s="6" t="s">
        <v>695</v>
      </c>
      <c r="F1047" s="6" t="s">
        <v>283</v>
      </c>
      <c r="G1047" s="6" t="s">
        <v>458</v>
      </c>
      <c r="H1047" s="10">
        <v>46068.0</v>
      </c>
      <c r="I1047" s="12">
        <v>3.0</v>
      </c>
      <c r="J1047" s="6" t="s">
        <v>161</v>
      </c>
    </row>
    <row r="1048" ht="22.5" customHeight="1">
      <c r="A1048" s="6" t="s">
        <v>5796</v>
      </c>
      <c r="B1048" s="6" t="s">
        <v>3172</v>
      </c>
      <c r="C1048" s="10">
        <v>46037.0</v>
      </c>
      <c r="D1048" s="6" t="s">
        <v>416</v>
      </c>
      <c r="E1048" s="6" t="s">
        <v>566</v>
      </c>
      <c r="F1048" s="6" t="s">
        <v>439</v>
      </c>
      <c r="G1048" s="6" t="s">
        <v>297</v>
      </c>
      <c r="H1048" s="10">
        <v>46038.0</v>
      </c>
      <c r="I1048" s="12">
        <v>8.0</v>
      </c>
      <c r="J1048" s="6" t="s">
        <v>161</v>
      </c>
    </row>
    <row r="1049" ht="22.5" customHeight="1">
      <c r="A1049" s="6" t="s">
        <v>5799</v>
      </c>
      <c r="B1049" s="6" t="s">
        <v>3172</v>
      </c>
      <c r="C1049" s="10">
        <v>46034.0</v>
      </c>
      <c r="D1049" s="6" t="s">
        <v>416</v>
      </c>
      <c r="E1049" s="6" t="s">
        <v>955</v>
      </c>
      <c r="F1049" s="6" t="s">
        <v>249</v>
      </c>
      <c r="G1049" s="6" t="s">
        <v>452</v>
      </c>
      <c r="H1049" s="10">
        <v>46034.0</v>
      </c>
      <c r="I1049" s="12">
        <v>12.0</v>
      </c>
      <c r="J1049" s="6" t="s">
        <v>161</v>
      </c>
    </row>
    <row r="1050" ht="22.5" customHeight="1">
      <c r="A1050" s="6" t="s">
        <v>5803</v>
      </c>
      <c r="B1050" s="6" t="s">
        <v>3172</v>
      </c>
      <c r="C1050" s="10">
        <v>46034.0</v>
      </c>
      <c r="D1050" s="6" t="s">
        <v>436</v>
      </c>
      <c r="E1050" s="6" t="s">
        <v>687</v>
      </c>
      <c r="F1050" s="6" t="s">
        <v>249</v>
      </c>
      <c r="G1050" s="6" t="s">
        <v>494</v>
      </c>
      <c r="H1050" s="10">
        <v>46041.0</v>
      </c>
      <c r="I1050" s="12">
        <v>11.0</v>
      </c>
      <c r="J1050" s="6" t="s">
        <v>161</v>
      </c>
    </row>
    <row r="1051" ht="22.5" customHeight="1">
      <c r="A1051" s="6" t="s">
        <v>5807</v>
      </c>
      <c r="B1051" s="6" t="s">
        <v>3172</v>
      </c>
      <c r="C1051" s="10">
        <v>46043.0</v>
      </c>
      <c r="D1051" s="6" t="s">
        <v>416</v>
      </c>
      <c r="E1051" s="6" t="s">
        <v>1969</v>
      </c>
      <c r="F1051" s="6" t="s">
        <v>439</v>
      </c>
      <c r="G1051" s="6" t="s">
        <v>452</v>
      </c>
      <c r="H1051" s="10">
        <v>46050.0</v>
      </c>
      <c r="I1051" s="12">
        <v>14.0</v>
      </c>
      <c r="J1051" s="6" t="s">
        <v>161</v>
      </c>
    </row>
    <row r="1052" ht="22.5" customHeight="1">
      <c r="A1052" s="6" t="s">
        <v>5809</v>
      </c>
      <c r="B1052" s="6" t="s">
        <v>3179</v>
      </c>
      <c r="C1052" s="10">
        <v>46040.0</v>
      </c>
      <c r="D1052" s="6" t="s">
        <v>289</v>
      </c>
      <c r="E1052" s="6" t="s">
        <v>716</v>
      </c>
      <c r="F1052" s="6" t="s">
        <v>249</v>
      </c>
      <c r="G1052" s="6" t="s">
        <v>297</v>
      </c>
      <c r="H1052" s="10">
        <v>46047.0</v>
      </c>
      <c r="I1052" s="12">
        <v>7.0</v>
      </c>
      <c r="J1052" s="6" t="s">
        <v>161</v>
      </c>
    </row>
    <row r="1053" ht="22.5" customHeight="1">
      <c r="A1053" s="6" t="s">
        <v>5812</v>
      </c>
      <c r="B1053" s="6" t="s">
        <v>3179</v>
      </c>
      <c r="C1053" s="10">
        <v>46046.0</v>
      </c>
      <c r="D1053" s="6" t="s">
        <v>416</v>
      </c>
      <c r="E1053" s="6" t="s">
        <v>1241</v>
      </c>
      <c r="F1053" s="6" t="s">
        <v>283</v>
      </c>
      <c r="G1053" s="6" t="s">
        <v>458</v>
      </c>
      <c r="H1053" s="10">
        <v>46052.0</v>
      </c>
      <c r="I1053" s="12">
        <v>11.0</v>
      </c>
      <c r="J1053" s="6" t="s">
        <v>161</v>
      </c>
    </row>
    <row r="1054" ht="22.5" customHeight="1">
      <c r="A1054" s="6" t="s">
        <v>5818</v>
      </c>
      <c r="B1054" s="6" t="s">
        <v>3179</v>
      </c>
      <c r="C1054" s="10">
        <v>46037.0</v>
      </c>
      <c r="D1054" s="6" t="s">
        <v>242</v>
      </c>
      <c r="E1054" s="6" t="s">
        <v>2365</v>
      </c>
      <c r="F1054" s="6" t="s">
        <v>283</v>
      </c>
      <c r="G1054" s="6" t="s">
        <v>297</v>
      </c>
      <c r="H1054" s="11" t="s">
        <v>259</v>
      </c>
      <c r="I1054" s="12">
        <v>3.0</v>
      </c>
      <c r="J1054" s="6" t="s">
        <v>178</v>
      </c>
    </row>
    <row r="1055" ht="22.5" customHeight="1">
      <c r="A1055" s="6" t="s">
        <v>5822</v>
      </c>
      <c r="B1055" s="6" t="s">
        <v>3179</v>
      </c>
      <c r="C1055" s="10">
        <v>46036.0</v>
      </c>
      <c r="D1055" s="6" t="s">
        <v>677</v>
      </c>
      <c r="E1055" s="6" t="s">
        <v>475</v>
      </c>
      <c r="F1055" s="6" t="s">
        <v>249</v>
      </c>
      <c r="G1055" s="6" t="s">
        <v>477</v>
      </c>
      <c r="H1055" s="10">
        <v>46038.0</v>
      </c>
      <c r="I1055" s="12">
        <v>2.0</v>
      </c>
      <c r="J1055" s="6" t="s">
        <v>161</v>
      </c>
    </row>
    <row r="1056" ht="22.5" customHeight="1">
      <c r="A1056" s="6" t="s">
        <v>5828</v>
      </c>
      <c r="B1056" s="6" t="s">
        <v>3179</v>
      </c>
      <c r="C1056" s="10">
        <v>46034.0</v>
      </c>
      <c r="D1056" s="6" t="s">
        <v>312</v>
      </c>
      <c r="E1056" s="6" t="s">
        <v>1122</v>
      </c>
      <c r="F1056" s="6" t="s">
        <v>439</v>
      </c>
      <c r="G1056" s="6" t="s">
        <v>326</v>
      </c>
      <c r="H1056" s="10">
        <v>46034.0</v>
      </c>
      <c r="I1056" s="12">
        <v>5.0</v>
      </c>
      <c r="J1056" s="6" t="s">
        <v>161</v>
      </c>
    </row>
    <row r="1057" ht="22.5" customHeight="1">
      <c r="A1057" s="6" t="s">
        <v>5831</v>
      </c>
      <c r="B1057" s="6" t="s">
        <v>3185</v>
      </c>
      <c r="C1057" s="10">
        <v>46064.0</v>
      </c>
      <c r="D1057" s="6" t="s">
        <v>416</v>
      </c>
      <c r="E1057" s="6" t="s">
        <v>670</v>
      </c>
      <c r="F1057" s="6" t="s">
        <v>249</v>
      </c>
      <c r="G1057" s="6" t="s">
        <v>458</v>
      </c>
      <c r="H1057" s="11" t="s">
        <v>259</v>
      </c>
      <c r="I1057" s="12">
        <v>13.0</v>
      </c>
      <c r="J1057" s="6" t="s">
        <v>161</v>
      </c>
    </row>
    <row r="1058" ht="22.5" customHeight="1">
      <c r="A1058" s="6" t="s">
        <v>5834</v>
      </c>
      <c r="B1058" s="6" t="s">
        <v>3185</v>
      </c>
      <c r="C1058" s="10">
        <v>46067.0</v>
      </c>
      <c r="D1058" s="6" t="s">
        <v>677</v>
      </c>
      <c r="E1058" s="6" t="s">
        <v>618</v>
      </c>
      <c r="F1058" s="6" t="s">
        <v>112</v>
      </c>
      <c r="G1058" s="6" t="s">
        <v>477</v>
      </c>
      <c r="H1058" s="10">
        <v>46068.0</v>
      </c>
      <c r="I1058" s="12">
        <v>4.0</v>
      </c>
      <c r="J1058" s="6" t="s">
        <v>161</v>
      </c>
    </row>
    <row r="1059" ht="22.5" customHeight="1">
      <c r="A1059" s="6" t="s">
        <v>5837</v>
      </c>
      <c r="B1059" s="6" t="s">
        <v>3191</v>
      </c>
      <c r="C1059" s="10">
        <v>46066.0</v>
      </c>
      <c r="D1059" s="6" t="s">
        <v>312</v>
      </c>
      <c r="E1059" s="6" t="s">
        <v>1055</v>
      </c>
      <c r="F1059" s="6" t="s">
        <v>112</v>
      </c>
      <c r="G1059" s="6" t="s">
        <v>458</v>
      </c>
      <c r="H1059" s="10">
        <v>46066.0</v>
      </c>
      <c r="I1059" s="12">
        <v>5.0</v>
      </c>
      <c r="J1059" s="6" t="s">
        <v>161</v>
      </c>
    </row>
    <row r="1060" ht="22.5" customHeight="1">
      <c r="A1060" s="6" t="s">
        <v>5842</v>
      </c>
      <c r="B1060" s="6" t="s">
        <v>3198</v>
      </c>
      <c r="C1060" s="10">
        <v>46043.0</v>
      </c>
      <c r="D1060" s="6" t="s">
        <v>677</v>
      </c>
      <c r="E1060" s="6" t="s">
        <v>731</v>
      </c>
      <c r="F1060" s="6" t="s">
        <v>112</v>
      </c>
      <c r="G1060" s="6" t="s">
        <v>494</v>
      </c>
      <c r="H1060" s="10">
        <v>46050.0</v>
      </c>
      <c r="I1060" s="12">
        <v>2.0</v>
      </c>
      <c r="J1060" s="6" t="s">
        <v>161</v>
      </c>
    </row>
    <row r="1061" ht="22.5" customHeight="1">
      <c r="A1061" s="6" t="s">
        <v>5846</v>
      </c>
      <c r="B1061" s="6" t="s">
        <v>3198</v>
      </c>
      <c r="C1061" s="10">
        <v>46046.0</v>
      </c>
      <c r="D1061" s="6" t="s">
        <v>289</v>
      </c>
      <c r="E1061" s="6" t="s">
        <v>417</v>
      </c>
      <c r="F1061" s="6" t="s">
        <v>439</v>
      </c>
      <c r="G1061" s="6" t="s">
        <v>458</v>
      </c>
      <c r="H1061" s="10">
        <v>46047.0</v>
      </c>
      <c r="I1061" s="12">
        <v>6.0</v>
      </c>
      <c r="J1061" s="6" t="s">
        <v>161</v>
      </c>
    </row>
    <row r="1062" ht="22.5" customHeight="1">
      <c r="A1062" s="6" t="s">
        <v>5848</v>
      </c>
      <c r="B1062" s="6" t="s">
        <v>3204</v>
      </c>
      <c r="C1062" s="10">
        <v>46026.0</v>
      </c>
      <c r="D1062" s="6" t="s">
        <v>677</v>
      </c>
      <c r="E1062" s="6" t="s">
        <v>320</v>
      </c>
      <c r="F1062" s="6" t="s">
        <v>283</v>
      </c>
      <c r="G1062" s="6" t="s">
        <v>369</v>
      </c>
      <c r="H1062" s="11" t="s">
        <v>259</v>
      </c>
      <c r="I1062" s="12">
        <v>2.0</v>
      </c>
      <c r="J1062" s="6" t="s">
        <v>161</v>
      </c>
    </row>
    <row r="1063" ht="22.5" customHeight="1">
      <c r="A1063" s="6" t="s">
        <v>5851</v>
      </c>
      <c r="B1063" s="6" t="s">
        <v>3204</v>
      </c>
      <c r="C1063" s="10">
        <v>46025.0</v>
      </c>
      <c r="D1063" s="6" t="s">
        <v>436</v>
      </c>
      <c r="E1063" s="6" t="s">
        <v>394</v>
      </c>
      <c r="F1063" s="6" t="s">
        <v>249</v>
      </c>
      <c r="G1063" s="6" t="s">
        <v>254</v>
      </c>
      <c r="H1063" s="10">
        <v>46025.0</v>
      </c>
      <c r="I1063" s="12">
        <v>6.0</v>
      </c>
      <c r="J1063" s="6" t="s">
        <v>178</v>
      </c>
    </row>
    <row r="1064" ht="22.5" customHeight="1">
      <c r="A1064" s="6" t="s">
        <v>5855</v>
      </c>
      <c r="B1064" s="6" t="s">
        <v>3204</v>
      </c>
      <c r="C1064" s="10">
        <v>46028.0</v>
      </c>
      <c r="D1064" s="6" t="s">
        <v>289</v>
      </c>
      <c r="E1064" s="6" t="s">
        <v>1741</v>
      </c>
      <c r="F1064" s="6" t="s">
        <v>283</v>
      </c>
      <c r="G1064" s="6" t="s">
        <v>254</v>
      </c>
      <c r="H1064" s="10">
        <v>46034.0</v>
      </c>
      <c r="I1064" s="12">
        <v>5.0</v>
      </c>
      <c r="J1064" s="6" t="s">
        <v>161</v>
      </c>
    </row>
    <row r="1065" ht="22.5" customHeight="1">
      <c r="A1065" s="6" t="s">
        <v>5857</v>
      </c>
      <c r="B1065" s="6" t="s">
        <v>3204</v>
      </c>
      <c r="C1065" s="10">
        <v>46023.0</v>
      </c>
      <c r="D1065" s="6" t="s">
        <v>436</v>
      </c>
      <c r="E1065" s="6" t="s">
        <v>1280</v>
      </c>
      <c r="F1065" s="6" t="s">
        <v>283</v>
      </c>
      <c r="G1065" s="6" t="s">
        <v>452</v>
      </c>
      <c r="H1065" s="10">
        <v>46027.0</v>
      </c>
      <c r="I1065" s="12">
        <v>9.0</v>
      </c>
      <c r="J1065" s="6" t="s">
        <v>178</v>
      </c>
    </row>
    <row r="1066" ht="22.5" customHeight="1">
      <c r="A1066" s="6" t="s">
        <v>5861</v>
      </c>
      <c r="B1066" s="6" t="s">
        <v>3204</v>
      </c>
      <c r="C1066" s="10">
        <v>46043.0</v>
      </c>
      <c r="D1066" s="6" t="s">
        <v>416</v>
      </c>
      <c r="E1066" s="6" t="s">
        <v>787</v>
      </c>
      <c r="F1066" s="6" t="s">
        <v>283</v>
      </c>
      <c r="G1066" s="6" t="s">
        <v>458</v>
      </c>
      <c r="H1066" s="10">
        <v>46043.0</v>
      </c>
      <c r="I1066" s="12">
        <v>10.0</v>
      </c>
      <c r="J1066" s="6" t="s">
        <v>161</v>
      </c>
    </row>
    <row r="1067" ht="22.5" customHeight="1">
      <c r="A1067" s="6" t="s">
        <v>5863</v>
      </c>
      <c r="B1067" s="6" t="s">
        <v>3210</v>
      </c>
      <c r="C1067" s="10">
        <v>46053.0</v>
      </c>
      <c r="D1067" s="6" t="s">
        <v>677</v>
      </c>
      <c r="E1067" s="6" t="s">
        <v>628</v>
      </c>
      <c r="F1067" s="6" t="s">
        <v>249</v>
      </c>
      <c r="G1067" s="6" t="s">
        <v>477</v>
      </c>
      <c r="H1067" s="10">
        <v>46054.0</v>
      </c>
      <c r="I1067" s="12">
        <v>3.0</v>
      </c>
      <c r="J1067" s="6" t="s">
        <v>161</v>
      </c>
    </row>
    <row r="1068" ht="22.5" customHeight="1">
      <c r="A1068" s="6" t="s">
        <v>5866</v>
      </c>
      <c r="B1068" s="6" t="s">
        <v>3216</v>
      </c>
      <c r="C1068" s="10">
        <v>46078.0</v>
      </c>
      <c r="D1068" s="6" t="s">
        <v>416</v>
      </c>
      <c r="E1068" s="6" t="s">
        <v>365</v>
      </c>
      <c r="F1068" s="6" t="s">
        <v>249</v>
      </c>
      <c r="G1068" s="6" t="s">
        <v>326</v>
      </c>
      <c r="H1068" s="10">
        <v>46081.0</v>
      </c>
      <c r="I1068" s="12">
        <v>11.0</v>
      </c>
      <c r="J1068" s="6" t="s">
        <v>161</v>
      </c>
    </row>
    <row r="1069" ht="22.5" customHeight="1">
      <c r="A1069" s="6" t="s">
        <v>5870</v>
      </c>
      <c r="B1069" s="6" t="s">
        <v>3222</v>
      </c>
      <c r="C1069" s="10">
        <v>46069.0</v>
      </c>
      <c r="D1069" s="6" t="s">
        <v>312</v>
      </c>
      <c r="E1069" s="6" t="s">
        <v>1122</v>
      </c>
      <c r="F1069" s="6" t="s">
        <v>249</v>
      </c>
      <c r="G1069" s="6" t="s">
        <v>452</v>
      </c>
      <c r="H1069" s="11" t="s">
        <v>259</v>
      </c>
      <c r="I1069" s="12">
        <v>7.0</v>
      </c>
      <c r="J1069" s="6" t="s">
        <v>161</v>
      </c>
    </row>
    <row r="1070" ht="22.5" customHeight="1">
      <c r="A1070" s="6" t="s">
        <v>5872</v>
      </c>
      <c r="B1070" s="6" t="s">
        <v>3229</v>
      </c>
      <c r="C1070" s="10">
        <v>46038.0</v>
      </c>
      <c r="D1070" s="6" t="s">
        <v>391</v>
      </c>
      <c r="E1070" s="6" t="s">
        <v>246</v>
      </c>
      <c r="F1070" s="6" t="s">
        <v>249</v>
      </c>
      <c r="G1070" s="6" t="s">
        <v>494</v>
      </c>
      <c r="H1070" s="10">
        <v>46042.0</v>
      </c>
      <c r="I1070" s="12">
        <v>7.0</v>
      </c>
      <c r="J1070" s="6" t="s">
        <v>161</v>
      </c>
    </row>
    <row r="1071" ht="22.5" customHeight="1">
      <c r="A1071" s="6" t="s">
        <v>5875</v>
      </c>
      <c r="B1071" s="6" t="s">
        <v>3229</v>
      </c>
      <c r="C1071" s="10">
        <v>46050.0</v>
      </c>
      <c r="D1071" s="6" t="s">
        <v>416</v>
      </c>
      <c r="E1071" s="6" t="s">
        <v>1386</v>
      </c>
      <c r="F1071" s="6" t="s">
        <v>112</v>
      </c>
      <c r="G1071" s="6" t="s">
        <v>326</v>
      </c>
      <c r="H1071" s="10">
        <v>46055.0</v>
      </c>
      <c r="I1071" s="12">
        <v>12.0</v>
      </c>
      <c r="J1071" s="6" t="s">
        <v>161</v>
      </c>
    </row>
    <row r="1072" ht="22.5" customHeight="1">
      <c r="A1072" s="6" t="s">
        <v>5878</v>
      </c>
      <c r="B1072" s="6" t="s">
        <v>3235</v>
      </c>
      <c r="C1072" s="10">
        <v>46041.0</v>
      </c>
      <c r="D1072" s="6" t="s">
        <v>677</v>
      </c>
      <c r="E1072" s="6" t="s">
        <v>320</v>
      </c>
      <c r="F1072" s="6" t="s">
        <v>249</v>
      </c>
      <c r="G1072" s="6" t="s">
        <v>494</v>
      </c>
      <c r="H1072" s="10">
        <v>46042.0</v>
      </c>
      <c r="I1072" s="12">
        <v>3.0</v>
      </c>
      <c r="J1072" s="6" t="s">
        <v>161</v>
      </c>
    </row>
    <row r="1073" ht="22.5" customHeight="1">
      <c r="A1073" s="6" t="s">
        <v>5881</v>
      </c>
      <c r="B1073" s="6" t="s">
        <v>3235</v>
      </c>
      <c r="C1073" s="10">
        <v>46045.0</v>
      </c>
      <c r="D1073" s="6" t="s">
        <v>416</v>
      </c>
      <c r="E1073" s="6" t="s">
        <v>695</v>
      </c>
      <c r="F1073" s="6" t="s">
        <v>439</v>
      </c>
      <c r="G1073" s="6" t="s">
        <v>458</v>
      </c>
      <c r="H1073" s="10">
        <v>46048.0</v>
      </c>
      <c r="I1073" s="12">
        <v>14.0</v>
      </c>
      <c r="J1073" s="6" t="s">
        <v>161</v>
      </c>
    </row>
    <row r="1074" ht="22.5" customHeight="1">
      <c r="A1074" s="6" t="s">
        <v>5887</v>
      </c>
      <c r="B1074" s="6" t="s">
        <v>3242</v>
      </c>
      <c r="C1074" s="10">
        <v>46078.0</v>
      </c>
      <c r="D1074" s="6" t="s">
        <v>289</v>
      </c>
      <c r="E1074" s="6" t="s">
        <v>1741</v>
      </c>
      <c r="F1074" s="6" t="s">
        <v>112</v>
      </c>
      <c r="G1074" s="6" t="s">
        <v>494</v>
      </c>
      <c r="H1074" s="10">
        <v>46083.0</v>
      </c>
      <c r="I1074" s="12">
        <v>7.0</v>
      </c>
      <c r="J1074" s="6" t="s">
        <v>161</v>
      </c>
    </row>
    <row r="1075" ht="22.5" customHeight="1">
      <c r="A1075" s="6" t="s">
        <v>5892</v>
      </c>
      <c r="B1075" s="6" t="s">
        <v>3242</v>
      </c>
      <c r="C1075" s="10">
        <v>46081.0</v>
      </c>
      <c r="D1075" s="6" t="s">
        <v>677</v>
      </c>
      <c r="E1075" s="6" t="s">
        <v>610</v>
      </c>
      <c r="F1075" s="6" t="s">
        <v>439</v>
      </c>
      <c r="G1075" s="6" t="s">
        <v>326</v>
      </c>
      <c r="H1075" s="10">
        <v>46086.0</v>
      </c>
      <c r="I1075" s="12">
        <v>2.0</v>
      </c>
      <c r="J1075" s="6" t="s">
        <v>161</v>
      </c>
    </row>
    <row r="1076" ht="22.5" customHeight="1">
      <c r="A1076" s="6" t="s">
        <v>5898</v>
      </c>
      <c r="B1076" s="6" t="s">
        <v>3242</v>
      </c>
      <c r="C1076" s="10">
        <v>46072.0</v>
      </c>
      <c r="D1076" s="6" t="s">
        <v>312</v>
      </c>
      <c r="E1076" s="6" t="s">
        <v>1241</v>
      </c>
      <c r="F1076" s="6" t="s">
        <v>249</v>
      </c>
      <c r="G1076" s="6" t="s">
        <v>369</v>
      </c>
      <c r="H1076" s="10">
        <v>46079.0</v>
      </c>
      <c r="I1076" s="12">
        <v>7.0</v>
      </c>
      <c r="J1076" s="6" t="s">
        <v>161</v>
      </c>
    </row>
    <row r="1077" ht="22.5" customHeight="1">
      <c r="A1077" s="6" t="s">
        <v>5903</v>
      </c>
      <c r="B1077" s="6" t="s">
        <v>3242</v>
      </c>
      <c r="C1077" s="10">
        <v>46068.0</v>
      </c>
      <c r="D1077" s="6" t="s">
        <v>242</v>
      </c>
      <c r="E1077" s="6" t="s">
        <v>1310</v>
      </c>
      <c r="F1077" s="6" t="s">
        <v>283</v>
      </c>
      <c r="G1077" s="6" t="s">
        <v>297</v>
      </c>
      <c r="H1077" s="10">
        <v>46074.0</v>
      </c>
      <c r="I1077" s="12">
        <v>6.0</v>
      </c>
      <c r="J1077" s="6" t="s">
        <v>178</v>
      </c>
    </row>
    <row r="1078" ht="22.5" customHeight="1">
      <c r="A1078" s="6" t="s">
        <v>5906</v>
      </c>
      <c r="B1078" s="6" t="s">
        <v>3248</v>
      </c>
      <c r="C1078" s="10">
        <v>46036.0</v>
      </c>
      <c r="D1078" s="6" t="s">
        <v>242</v>
      </c>
      <c r="E1078" s="6" t="s">
        <v>1280</v>
      </c>
      <c r="F1078" s="6" t="s">
        <v>439</v>
      </c>
      <c r="G1078" s="6" t="s">
        <v>458</v>
      </c>
      <c r="H1078" s="11" t="s">
        <v>259</v>
      </c>
      <c r="I1078" s="12">
        <v>5.0</v>
      </c>
      <c r="J1078" s="6" t="s">
        <v>178</v>
      </c>
    </row>
    <row r="1079" ht="22.5" customHeight="1">
      <c r="A1079" s="6" t="s">
        <v>5910</v>
      </c>
      <c r="B1079" s="6" t="s">
        <v>3248</v>
      </c>
      <c r="C1079" s="10">
        <v>46039.0</v>
      </c>
      <c r="D1079" s="6" t="s">
        <v>242</v>
      </c>
      <c r="E1079" s="6" t="s">
        <v>618</v>
      </c>
      <c r="F1079" s="6" t="s">
        <v>439</v>
      </c>
      <c r="G1079" s="6" t="s">
        <v>369</v>
      </c>
      <c r="H1079" s="11" t="s">
        <v>259</v>
      </c>
      <c r="I1079" s="12">
        <v>4.0</v>
      </c>
      <c r="J1079" s="6" t="s">
        <v>161</v>
      </c>
    </row>
    <row r="1080" ht="22.5" customHeight="1">
      <c r="A1080" s="6" t="s">
        <v>5912</v>
      </c>
      <c r="B1080" s="6" t="s">
        <v>3254</v>
      </c>
      <c r="C1080" s="10">
        <v>46033.0</v>
      </c>
      <c r="D1080" s="6" t="s">
        <v>677</v>
      </c>
      <c r="E1080" s="6" t="s">
        <v>1700</v>
      </c>
      <c r="F1080" s="6" t="s">
        <v>283</v>
      </c>
      <c r="G1080" s="6" t="s">
        <v>494</v>
      </c>
      <c r="H1080" s="10">
        <v>46039.0</v>
      </c>
      <c r="I1080" s="12">
        <v>3.0</v>
      </c>
      <c r="J1080" s="6" t="s">
        <v>161</v>
      </c>
    </row>
    <row r="1081" ht="22.5" customHeight="1">
      <c r="A1081" s="6" t="s">
        <v>5916</v>
      </c>
      <c r="B1081" s="6" t="s">
        <v>3254</v>
      </c>
      <c r="C1081" s="10">
        <v>46035.0</v>
      </c>
      <c r="D1081" s="6" t="s">
        <v>289</v>
      </c>
      <c r="E1081" s="6" t="s">
        <v>246</v>
      </c>
      <c r="F1081" s="6" t="s">
        <v>249</v>
      </c>
      <c r="G1081" s="6" t="s">
        <v>477</v>
      </c>
      <c r="H1081" s="10">
        <v>46040.0</v>
      </c>
      <c r="I1081" s="12">
        <v>7.0</v>
      </c>
      <c r="J1081" s="6" t="s">
        <v>161</v>
      </c>
    </row>
    <row r="1082" ht="22.5" customHeight="1">
      <c r="A1082" s="6" t="s">
        <v>5918</v>
      </c>
      <c r="B1082" s="6" t="s">
        <v>3260</v>
      </c>
      <c r="C1082" s="10">
        <v>46068.0</v>
      </c>
      <c r="D1082" s="6" t="s">
        <v>391</v>
      </c>
      <c r="E1082" s="6" t="s">
        <v>1149</v>
      </c>
      <c r="F1082" s="6" t="s">
        <v>283</v>
      </c>
      <c r="G1082" s="6" t="s">
        <v>326</v>
      </c>
      <c r="H1082" s="10">
        <v>46070.0</v>
      </c>
      <c r="I1082" s="12">
        <v>11.0</v>
      </c>
      <c r="J1082" s="6" t="s">
        <v>161</v>
      </c>
    </row>
    <row r="1083" ht="22.5" customHeight="1">
      <c r="A1083" s="6" t="s">
        <v>5923</v>
      </c>
      <c r="B1083" s="6" t="s">
        <v>3260</v>
      </c>
      <c r="C1083" s="10">
        <v>46063.0</v>
      </c>
      <c r="D1083" s="6" t="s">
        <v>391</v>
      </c>
      <c r="E1083" s="6" t="s">
        <v>1122</v>
      </c>
      <c r="F1083" s="6" t="s">
        <v>439</v>
      </c>
      <c r="G1083" s="6" t="s">
        <v>477</v>
      </c>
      <c r="H1083" s="10">
        <v>46069.0</v>
      </c>
      <c r="I1083" s="12">
        <v>7.0</v>
      </c>
      <c r="J1083" s="6" t="s">
        <v>161</v>
      </c>
    </row>
    <row r="1084" ht="22.5" customHeight="1">
      <c r="A1084" s="6" t="s">
        <v>5925</v>
      </c>
      <c r="B1084" s="6" t="s">
        <v>3267</v>
      </c>
      <c r="C1084" s="10">
        <v>46068.0</v>
      </c>
      <c r="D1084" s="6" t="s">
        <v>391</v>
      </c>
      <c r="E1084" s="6" t="s">
        <v>1386</v>
      </c>
      <c r="F1084" s="6" t="s">
        <v>112</v>
      </c>
      <c r="G1084" s="6" t="s">
        <v>369</v>
      </c>
      <c r="H1084" s="10">
        <v>46074.0</v>
      </c>
      <c r="I1084" s="12">
        <v>7.0</v>
      </c>
      <c r="J1084" s="6" t="s">
        <v>161</v>
      </c>
    </row>
    <row r="1085" ht="22.5" customHeight="1">
      <c r="A1085" s="6" t="s">
        <v>5928</v>
      </c>
      <c r="B1085" s="6" t="s">
        <v>3273</v>
      </c>
      <c r="C1085" s="10">
        <v>46044.0</v>
      </c>
      <c r="D1085" s="6" t="s">
        <v>312</v>
      </c>
      <c r="E1085" s="6" t="s">
        <v>885</v>
      </c>
      <c r="F1085" s="6" t="s">
        <v>249</v>
      </c>
      <c r="G1085" s="6" t="s">
        <v>297</v>
      </c>
      <c r="H1085" s="10">
        <v>46049.0</v>
      </c>
      <c r="I1085" s="12">
        <v>6.0</v>
      </c>
      <c r="J1085" s="6" t="s">
        <v>161</v>
      </c>
    </row>
    <row r="1086" ht="22.5" customHeight="1">
      <c r="A1086" s="6" t="s">
        <v>5932</v>
      </c>
      <c r="B1086" s="6" t="s">
        <v>3273</v>
      </c>
      <c r="C1086" s="10">
        <v>46035.0</v>
      </c>
      <c r="D1086" s="6" t="s">
        <v>436</v>
      </c>
      <c r="E1086" s="6" t="s">
        <v>896</v>
      </c>
      <c r="F1086" s="6" t="s">
        <v>439</v>
      </c>
      <c r="G1086" s="6" t="s">
        <v>369</v>
      </c>
      <c r="H1086" s="10">
        <v>46042.0</v>
      </c>
      <c r="I1086" s="12">
        <v>9.0</v>
      </c>
      <c r="J1086" s="6" t="s">
        <v>161</v>
      </c>
    </row>
    <row r="1087" ht="22.5" customHeight="1">
      <c r="A1087" s="6" t="s">
        <v>5934</v>
      </c>
      <c r="B1087" s="6" t="s">
        <v>3273</v>
      </c>
      <c r="C1087" s="10">
        <v>46049.0</v>
      </c>
      <c r="D1087" s="6" t="s">
        <v>391</v>
      </c>
      <c r="E1087" s="6" t="s">
        <v>438</v>
      </c>
      <c r="F1087" s="6" t="s">
        <v>249</v>
      </c>
      <c r="G1087" s="6" t="s">
        <v>458</v>
      </c>
      <c r="H1087" s="10">
        <v>46054.0</v>
      </c>
      <c r="I1087" s="12">
        <v>6.0</v>
      </c>
      <c r="J1087" s="6" t="s">
        <v>161</v>
      </c>
    </row>
    <row r="1088" ht="22.5" customHeight="1">
      <c r="A1088" s="6" t="s">
        <v>5936</v>
      </c>
      <c r="B1088" s="6" t="s">
        <v>3279</v>
      </c>
      <c r="C1088" s="10">
        <v>46052.0</v>
      </c>
      <c r="D1088" s="6" t="s">
        <v>312</v>
      </c>
      <c r="E1088" s="6" t="s">
        <v>394</v>
      </c>
      <c r="F1088" s="6" t="s">
        <v>249</v>
      </c>
      <c r="G1088" s="6" t="s">
        <v>254</v>
      </c>
      <c r="H1088" s="10">
        <v>46055.0</v>
      </c>
      <c r="I1088" s="12">
        <v>7.0</v>
      </c>
      <c r="J1088" s="6" t="s">
        <v>161</v>
      </c>
    </row>
    <row r="1089" ht="22.5" customHeight="1">
      <c r="A1089" s="6" t="s">
        <v>5940</v>
      </c>
      <c r="B1089" s="6" t="s">
        <v>3279</v>
      </c>
      <c r="C1089" s="10">
        <v>46051.0</v>
      </c>
      <c r="D1089" s="6" t="s">
        <v>242</v>
      </c>
      <c r="E1089" s="6" t="s">
        <v>885</v>
      </c>
      <c r="F1089" s="6" t="s">
        <v>439</v>
      </c>
      <c r="G1089" s="6" t="s">
        <v>452</v>
      </c>
      <c r="H1089" s="11" t="s">
        <v>259</v>
      </c>
      <c r="I1089" s="12">
        <v>3.0</v>
      </c>
      <c r="J1089" s="6" t="s">
        <v>178</v>
      </c>
    </row>
    <row r="1090" ht="22.5" customHeight="1">
      <c r="A1090" s="6" t="s">
        <v>5943</v>
      </c>
      <c r="B1090" s="6" t="s">
        <v>3279</v>
      </c>
      <c r="C1090" s="10">
        <v>46062.0</v>
      </c>
      <c r="D1090" s="6" t="s">
        <v>242</v>
      </c>
      <c r="E1090" s="6" t="s">
        <v>1035</v>
      </c>
      <c r="F1090" s="6" t="s">
        <v>112</v>
      </c>
      <c r="G1090" s="6" t="s">
        <v>477</v>
      </c>
      <c r="H1090" s="11" t="s">
        <v>259</v>
      </c>
      <c r="I1090" s="12">
        <v>5.0</v>
      </c>
      <c r="J1090" s="6" t="s">
        <v>161</v>
      </c>
    </row>
    <row r="1091" ht="22.5" customHeight="1">
      <c r="A1091" s="6" t="s">
        <v>5947</v>
      </c>
      <c r="B1091" s="6" t="s">
        <v>3279</v>
      </c>
      <c r="C1091" s="10">
        <v>46056.0</v>
      </c>
      <c r="D1091" s="6" t="s">
        <v>436</v>
      </c>
      <c r="E1091" s="6" t="s">
        <v>1517</v>
      </c>
      <c r="F1091" s="6" t="s">
        <v>249</v>
      </c>
      <c r="G1091" s="6" t="s">
        <v>297</v>
      </c>
      <c r="H1091" s="10">
        <v>46058.0</v>
      </c>
      <c r="I1091" s="12">
        <v>12.0</v>
      </c>
      <c r="J1091" s="6" t="s">
        <v>161</v>
      </c>
    </row>
    <row r="1092" ht="22.5" customHeight="1">
      <c r="A1092" s="6" t="s">
        <v>5949</v>
      </c>
      <c r="B1092" s="6" t="s">
        <v>3279</v>
      </c>
      <c r="C1092" s="10">
        <v>46055.0</v>
      </c>
      <c r="D1092" s="6" t="s">
        <v>416</v>
      </c>
      <c r="E1092" s="6" t="s">
        <v>1600</v>
      </c>
      <c r="F1092" s="6" t="s">
        <v>439</v>
      </c>
      <c r="G1092" s="6" t="s">
        <v>369</v>
      </c>
      <c r="H1092" s="10">
        <v>46062.0</v>
      </c>
      <c r="I1092" s="12">
        <v>14.0</v>
      </c>
      <c r="J1092" s="6" t="s">
        <v>161</v>
      </c>
    </row>
    <row r="1093" ht="22.5" customHeight="1">
      <c r="A1093" s="6" t="s">
        <v>5952</v>
      </c>
      <c r="B1093" s="6" t="s">
        <v>3284</v>
      </c>
      <c r="C1093" s="10">
        <v>46074.0</v>
      </c>
      <c r="D1093" s="6" t="s">
        <v>289</v>
      </c>
      <c r="E1093" s="6" t="s">
        <v>1546</v>
      </c>
      <c r="F1093" s="6" t="s">
        <v>112</v>
      </c>
      <c r="G1093" s="6" t="s">
        <v>494</v>
      </c>
      <c r="H1093" s="10">
        <v>46075.0</v>
      </c>
      <c r="I1093" s="12">
        <v>8.0</v>
      </c>
      <c r="J1093" s="6" t="s">
        <v>161</v>
      </c>
    </row>
    <row r="1094" ht="22.5" customHeight="1">
      <c r="A1094" s="6" t="s">
        <v>5955</v>
      </c>
      <c r="B1094" s="6" t="s">
        <v>3284</v>
      </c>
      <c r="C1094" s="10">
        <v>46059.0</v>
      </c>
      <c r="D1094" s="6" t="s">
        <v>391</v>
      </c>
      <c r="E1094" s="6" t="s">
        <v>618</v>
      </c>
      <c r="F1094" s="6" t="s">
        <v>249</v>
      </c>
      <c r="G1094" s="6" t="s">
        <v>452</v>
      </c>
      <c r="H1094" s="10">
        <v>46062.0</v>
      </c>
      <c r="I1094" s="12">
        <v>8.0</v>
      </c>
      <c r="J1094" s="6" t="s">
        <v>161</v>
      </c>
    </row>
    <row r="1095" ht="22.5" customHeight="1">
      <c r="A1095" s="6" t="s">
        <v>5958</v>
      </c>
      <c r="B1095" s="6" t="s">
        <v>3291</v>
      </c>
      <c r="C1095" s="10">
        <v>46083.0</v>
      </c>
      <c r="D1095" s="6" t="s">
        <v>436</v>
      </c>
      <c r="E1095" s="6" t="s">
        <v>1570</v>
      </c>
      <c r="F1095" s="6" t="s">
        <v>249</v>
      </c>
      <c r="G1095" s="6" t="s">
        <v>254</v>
      </c>
      <c r="H1095" s="10">
        <v>46088.0</v>
      </c>
      <c r="I1095" s="12">
        <v>8.0</v>
      </c>
      <c r="J1095" s="6" t="s">
        <v>161</v>
      </c>
    </row>
    <row r="1096" ht="22.5" customHeight="1">
      <c r="A1096" s="6" t="s">
        <v>5962</v>
      </c>
      <c r="B1096" s="6" t="s">
        <v>3297</v>
      </c>
      <c r="C1096" s="10">
        <v>46066.0</v>
      </c>
      <c r="D1096" s="6" t="s">
        <v>312</v>
      </c>
      <c r="E1096" s="6" t="s">
        <v>1035</v>
      </c>
      <c r="F1096" s="6" t="s">
        <v>249</v>
      </c>
      <c r="G1096" s="6" t="s">
        <v>254</v>
      </c>
      <c r="H1096" s="10">
        <v>46067.0</v>
      </c>
      <c r="I1096" s="12">
        <v>4.0</v>
      </c>
      <c r="J1096" s="6" t="s">
        <v>161</v>
      </c>
    </row>
    <row r="1097" ht="22.5" customHeight="1">
      <c r="A1097" s="6" t="s">
        <v>5964</v>
      </c>
      <c r="B1097" s="6" t="s">
        <v>3297</v>
      </c>
      <c r="C1097" s="10">
        <v>46070.0</v>
      </c>
      <c r="D1097" s="6" t="s">
        <v>677</v>
      </c>
      <c r="E1097" s="6" t="s">
        <v>787</v>
      </c>
      <c r="F1097" s="6" t="s">
        <v>249</v>
      </c>
      <c r="G1097" s="6" t="s">
        <v>254</v>
      </c>
      <c r="H1097" s="10">
        <v>46072.0</v>
      </c>
      <c r="I1097" s="12">
        <v>3.0</v>
      </c>
      <c r="J1097" s="6" t="s">
        <v>161</v>
      </c>
    </row>
    <row r="1098" ht="22.5" customHeight="1">
      <c r="A1098" s="6" t="s">
        <v>5967</v>
      </c>
      <c r="B1098" s="6" t="s">
        <v>3297</v>
      </c>
      <c r="C1098" s="10">
        <v>46064.0</v>
      </c>
      <c r="D1098" s="6" t="s">
        <v>289</v>
      </c>
      <c r="E1098" s="6" t="s">
        <v>885</v>
      </c>
      <c r="F1098" s="6" t="s">
        <v>439</v>
      </c>
      <c r="G1098" s="6" t="s">
        <v>326</v>
      </c>
      <c r="H1098" s="10">
        <v>46067.0</v>
      </c>
      <c r="I1098" s="12">
        <v>10.0</v>
      </c>
      <c r="J1098" s="6" t="s">
        <v>161</v>
      </c>
    </row>
    <row r="1099" ht="22.5" customHeight="1">
      <c r="A1099" s="6" t="s">
        <v>5970</v>
      </c>
      <c r="B1099" s="6" t="s">
        <v>3297</v>
      </c>
      <c r="C1099" s="10">
        <v>46064.0</v>
      </c>
      <c r="D1099" s="6" t="s">
        <v>289</v>
      </c>
      <c r="E1099" s="6" t="s">
        <v>1296</v>
      </c>
      <c r="F1099" s="6" t="s">
        <v>283</v>
      </c>
      <c r="G1099" s="6" t="s">
        <v>452</v>
      </c>
      <c r="H1099" s="10">
        <v>46068.0</v>
      </c>
      <c r="I1099" s="12">
        <v>8.0</v>
      </c>
      <c r="J1099" s="6" t="s">
        <v>161</v>
      </c>
    </row>
    <row r="1100" ht="22.5" customHeight="1">
      <c r="A1100" s="6" t="s">
        <v>5973</v>
      </c>
      <c r="B1100" s="6" t="s">
        <v>3302</v>
      </c>
      <c r="C1100" s="10">
        <v>46052.0</v>
      </c>
      <c r="D1100" s="6" t="s">
        <v>391</v>
      </c>
      <c r="E1100" s="6" t="s">
        <v>738</v>
      </c>
      <c r="F1100" s="6" t="s">
        <v>249</v>
      </c>
      <c r="G1100" s="6" t="s">
        <v>326</v>
      </c>
      <c r="H1100" s="11" t="s">
        <v>259</v>
      </c>
      <c r="I1100" s="12">
        <v>11.0</v>
      </c>
      <c r="J1100" s="6" t="s">
        <v>161</v>
      </c>
    </row>
    <row r="1101" ht="22.5" customHeight="1">
      <c r="A1101" s="6" t="s">
        <v>5977</v>
      </c>
      <c r="B1101" s="6" t="s">
        <v>3302</v>
      </c>
      <c r="C1101" s="10">
        <v>46066.0</v>
      </c>
      <c r="D1101" s="6" t="s">
        <v>242</v>
      </c>
      <c r="E1101" s="6" t="s">
        <v>438</v>
      </c>
      <c r="F1101" s="6" t="s">
        <v>283</v>
      </c>
      <c r="G1101" s="6" t="s">
        <v>452</v>
      </c>
      <c r="H1101" s="10">
        <v>46068.0</v>
      </c>
      <c r="I1101" s="12">
        <v>6.0</v>
      </c>
      <c r="J1101" s="6" t="s">
        <v>161</v>
      </c>
    </row>
    <row r="1102" ht="22.5" customHeight="1">
      <c r="A1102" s="6" t="s">
        <v>5980</v>
      </c>
      <c r="B1102" s="6" t="s">
        <v>3302</v>
      </c>
      <c r="C1102" s="10">
        <v>46053.0</v>
      </c>
      <c r="D1102" s="6" t="s">
        <v>242</v>
      </c>
      <c r="E1102" s="6" t="s">
        <v>246</v>
      </c>
      <c r="F1102" s="6" t="s">
        <v>249</v>
      </c>
      <c r="G1102" s="6" t="s">
        <v>254</v>
      </c>
      <c r="H1102" s="10">
        <v>46054.0</v>
      </c>
      <c r="I1102" s="12">
        <v>4.0</v>
      </c>
      <c r="J1102" s="6" t="s">
        <v>161</v>
      </c>
    </row>
    <row r="1103" ht="22.5" customHeight="1">
      <c r="A1103" s="6" t="s">
        <v>5983</v>
      </c>
      <c r="B1103" s="6" t="s">
        <v>3308</v>
      </c>
      <c r="C1103" s="10">
        <v>46055.0</v>
      </c>
      <c r="D1103" s="6" t="s">
        <v>436</v>
      </c>
      <c r="E1103" s="6" t="s">
        <v>2881</v>
      </c>
      <c r="F1103" s="6" t="s">
        <v>249</v>
      </c>
      <c r="G1103" s="6" t="s">
        <v>458</v>
      </c>
      <c r="H1103" s="10">
        <v>46056.0</v>
      </c>
      <c r="I1103" s="12">
        <v>9.0</v>
      </c>
      <c r="J1103" s="6" t="s">
        <v>178</v>
      </c>
    </row>
    <row r="1104" ht="22.5" customHeight="1">
      <c r="A1104" s="6" t="s">
        <v>5986</v>
      </c>
      <c r="B1104" s="6" t="s">
        <v>3308</v>
      </c>
      <c r="C1104" s="10">
        <v>46052.0</v>
      </c>
      <c r="D1104" s="6" t="s">
        <v>416</v>
      </c>
      <c r="E1104" s="6" t="s">
        <v>1570</v>
      </c>
      <c r="F1104" s="6" t="s">
        <v>249</v>
      </c>
      <c r="G1104" s="6" t="s">
        <v>297</v>
      </c>
      <c r="H1104" s="10">
        <v>46056.0</v>
      </c>
      <c r="I1104" s="12">
        <v>8.0</v>
      </c>
      <c r="J1104" s="6" t="s">
        <v>161</v>
      </c>
    </row>
    <row r="1105" ht="22.5" customHeight="1">
      <c r="A1105" s="6" t="s">
        <v>5990</v>
      </c>
      <c r="B1105" s="6" t="s">
        <v>3308</v>
      </c>
      <c r="C1105" s="10">
        <v>46041.0</v>
      </c>
      <c r="D1105" s="6" t="s">
        <v>312</v>
      </c>
      <c r="E1105" s="6" t="s">
        <v>1546</v>
      </c>
      <c r="F1105" s="6" t="s">
        <v>439</v>
      </c>
      <c r="G1105" s="6" t="s">
        <v>494</v>
      </c>
      <c r="H1105" s="10">
        <v>46045.0</v>
      </c>
      <c r="I1105" s="12">
        <v>7.0</v>
      </c>
      <c r="J1105" s="6" t="s">
        <v>161</v>
      </c>
    </row>
    <row r="1106" ht="22.5" customHeight="1">
      <c r="A1106" s="6" t="s">
        <v>5992</v>
      </c>
      <c r="B1106" s="6" t="s">
        <v>3308</v>
      </c>
      <c r="C1106" s="10">
        <v>46054.0</v>
      </c>
      <c r="D1106" s="6" t="s">
        <v>312</v>
      </c>
      <c r="E1106" s="6" t="s">
        <v>716</v>
      </c>
      <c r="F1106" s="6" t="s">
        <v>439</v>
      </c>
      <c r="G1106" s="6" t="s">
        <v>369</v>
      </c>
      <c r="H1106" s="10">
        <v>46057.0</v>
      </c>
      <c r="I1106" s="12">
        <v>7.0</v>
      </c>
      <c r="J1106" s="6" t="s">
        <v>161</v>
      </c>
    </row>
    <row r="1107" ht="22.5" customHeight="1">
      <c r="A1107" s="6" t="s">
        <v>5995</v>
      </c>
      <c r="B1107" s="6" t="s">
        <v>3308</v>
      </c>
      <c r="C1107" s="10">
        <v>46049.0</v>
      </c>
      <c r="D1107" s="6" t="s">
        <v>436</v>
      </c>
      <c r="E1107" s="6" t="s">
        <v>394</v>
      </c>
      <c r="F1107" s="6" t="s">
        <v>249</v>
      </c>
      <c r="G1107" s="6" t="s">
        <v>458</v>
      </c>
      <c r="H1107" s="10">
        <v>46056.0</v>
      </c>
      <c r="I1107" s="12">
        <v>6.0</v>
      </c>
      <c r="J1107" s="6" t="s">
        <v>178</v>
      </c>
    </row>
    <row r="1108" ht="22.5" customHeight="1">
      <c r="A1108" s="6" t="s">
        <v>5999</v>
      </c>
      <c r="B1108" s="6" t="s">
        <v>3313</v>
      </c>
      <c r="C1108" s="10">
        <v>46072.0</v>
      </c>
      <c r="D1108" s="6" t="s">
        <v>436</v>
      </c>
      <c r="E1108" s="6" t="s">
        <v>1149</v>
      </c>
      <c r="F1108" s="6" t="s">
        <v>249</v>
      </c>
      <c r="G1108" s="6" t="s">
        <v>477</v>
      </c>
      <c r="H1108" s="10">
        <v>46079.0</v>
      </c>
      <c r="I1108" s="12">
        <v>11.0</v>
      </c>
      <c r="J1108" s="6" t="s">
        <v>178</v>
      </c>
    </row>
    <row r="1109" ht="22.5" customHeight="1">
      <c r="A1109" s="6" t="s">
        <v>6001</v>
      </c>
      <c r="B1109" s="6" t="s">
        <v>3318</v>
      </c>
      <c r="C1109" s="10">
        <v>46054.0</v>
      </c>
      <c r="D1109" s="6" t="s">
        <v>391</v>
      </c>
      <c r="E1109" s="6" t="s">
        <v>1386</v>
      </c>
      <c r="F1109" s="6" t="s">
        <v>249</v>
      </c>
      <c r="G1109" s="6" t="s">
        <v>452</v>
      </c>
      <c r="H1109" s="10">
        <v>46059.0</v>
      </c>
      <c r="I1109" s="12">
        <v>7.0</v>
      </c>
      <c r="J1109" s="6" t="s">
        <v>161</v>
      </c>
    </row>
    <row r="1110" ht="22.5" customHeight="1">
      <c r="A1110" s="6" t="s">
        <v>6004</v>
      </c>
      <c r="B1110" s="6" t="s">
        <v>3318</v>
      </c>
      <c r="C1110" s="10">
        <v>46060.0</v>
      </c>
      <c r="D1110" s="6" t="s">
        <v>416</v>
      </c>
      <c r="E1110" s="6" t="s">
        <v>1386</v>
      </c>
      <c r="F1110" s="6" t="s">
        <v>439</v>
      </c>
      <c r="G1110" s="6" t="s">
        <v>458</v>
      </c>
      <c r="H1110" s="10">
        <v>46062.0</v>
      </c>
      <c r="I1110" s="12">
        <v>11.0</v>
      </c>
      <c r="J1110" s="6" t="s">
        <v>161</v>
      </c>
    </row>
    <row r="1111" ht="22.5" customHeight="1">
      <c r="A1111" s="6" t="s">
        <v>6007</v>
      </c>
      <c r="B1111" s="6" t="s">
        <v>3318</v>
      </c>
      <c r="C1111" s="10">
        <v>46051.0</v>
      </c>
      <c r="D1111" s="6" t="s">
        <v>242</v>
      </c>
      <c r="E1111" s="6" t="s">
        <v>1386</v>
      </c>
      <c r="F1111" s="6" t="s">
        <v>283</v>
      </c>
      <c r="G1111" s="6" t="s">
        <v>297</v>
      </c>
      <c r="H1111" s="11" t="s">
        <v>259</v>
      </c>
      <c r="I1111" s="12">
        <v>5.0</v>
      </c>
      <c r="J1111" s="6" t="s">
        <v>161</v>
      </c>
    </row>
    <row r="1112" ht="22.5" customHeight="1">
      <c r="A1112" s="6" t="s">
        <v>6010</v>
      </c>
      <c r="B1112" s="6" t="s">
        <v>3318</v>
      </c>
      <c r="C1112" s="10">
        <v>46055.0</v>
      </c>
      <c r="D1112" s="6" t="s">
        <v>242</v>
      </c>
      <c r="E1112" s="6" t="s">
        <v>955</v>
      </c>
      <c r="F1112" s="6" t="s">
        <v>283</v>
      </c>
      <c r="G1112" s="6" t="s">
        <v>458</v>
      </c>
      <c r="H1112" s="10">
        <v>46057.0</v>
      </c>
      <c r="I1112" s="12">
        <v>3.0</v>
      </c>
      <c r="J1112" s="6" t="s">
        <v>178</v>
      </c>
    </row>
    <row r="1113" ht="22.5" customHeight="1">
      <c r="A1113" s="6" t="s">
        <v>6014</v>
      </c>
      <c r="B1113" s="6" t="s">
        <v>3318</v>
      </c>
      <c r="C1113" s="10">
        <v>46059.0</v>
      </c>
      <c r="D1113" s="6" t="s">
        <v>677</v>
      </c>
      <c r="E1113" s="6" t="s">
        <v>1517</v>
      </c>
      <c r="F1113" s="6" t="s">
        <v>249</v>
      </c>
      <c r="G1113" s="6" t="s">
        <v>477</v>
      </c>
      <c r="H1113" s="11" t="s">
        <v>259</v>
      </c>
      <c r="I1113" s="12">
        <v>3.0</v>
      </c>
      <c r="J1113" s="6" t="s">
        <v>161</v>
      </c>
    </row>
    <row r="1114" ht="22.5" customHeight="1">
      <c r="A1114" s="6" t="s">
        <v>6017</v>
      </c>
      <c r="B1114" s="6" t="s">
        <v>3323</v>
      </c>
      <c r="C1114" s="10">
        <v>46041.0</v>
      </c>
      <c r="D1114" s="6" t="s">
        <v>289</v>
      </c>
      <c r="E1114" s="6" t="s">
        <v>438</v>
      </c>
      <c r="F1114" s="6" t="s">
        <v>249</v>
      </c>
      <c r="G1114" s="6" t="s">
        <v>452</v>
      </c>
      <c r="H1114" s="11" t="s">
        <v>259</v>
      </c>
      <c r="I1114" s="12">
        <v>10.0</v>
      </c>
      <c r="J1114" s="6" t="s">
        <v>161</v>
      </c>
    </row>
    <row r="1115" ht="22.5" customHeight="1">
      <c r="A1115" s="6" t="s">
        <v>6021</v>
      </c>
      <c r="B1115" s="6" t="s">
        <v>3323</v>
      </c>
      <c r="C1115" s="10">
        <v>46054.0</v>
      </c>
      <c r="D1115" s="6" t="s">
        <v>242</v>
      </c>
      <c r="E1115" s="6" t="s">
        <v>583</v>
      </c>
      <c r="F1115" s="6" t="s">
        <v>249</v>
      </c>
      <c r="G1115" s="6" t="s">
        <v>254</v>
      </c>
      <c r="H1115" s="10">
        <v>46060.0</v>
      </c>
      <c r="I1115" s="12">
        <v>3.0</v>
      </c>
      <c r="J1115" s="6" t="s">
        <v>178</v>
      </c>
    </row>
    <row r="1116" ht="22.5" customHeight="1">
      <c r="A1116" s="6" t="s">
        <v>6024</v>
      </c>
      <c r="B1116" s="6" t="s">
        <v>3323</v>
      </c>
      <c r="C1116" s="10">
        <v>46048.0</v>
      </c>
      <c r="D1116" s="6" t="s">
        <v>416</v>
      </c>
      <c r="E1116" s="6" t="s">
        <v>658</v>
      </c>
      <c r="F1116" s="6" t="s">
        <v>249</v>
      </c>
      <c r="G1116" s="6" t="s">
        <v>494</v>
      </c>
      <c r="H1116" s="10">
        <v>46054.0</v>
      </c>
      <c r="I1116" s="12">
        <v>8.0</v>
      </c>
      <c r="J1116" s="6" t="s">
        <v>161</v>
      </c>
    </row>
    <row r="1117" ht="22.5" customHeight="1">
      <c r="A1117" s="6" t="s">
        <v>6027</v>
      </c>
      <c r="B1117" s="6" t="s">
        <v>3323</v>
      </c>
      <c r="C1117" s="10">
        <v>46037.0</v>
      </c>
      <c r="D1117" s="6" t="s">
        <v>677</v>
      </c>
      <c r="E1117" s="6" t="s">
        <v>863</v>
      </c>
      <c r="F1117" s="6" t="s">
        <v>283</v>
      </c>
      <c r="G1117" s="6" t="s">
        <v>326</v>
      </c>
      <c r="H1117" s="10">
        <v>46042.0</v>
      </c>
      <c r="I1117" s="12">
        <v>4.0</v>
      </c>
      <c r="J1117" s="6" t="s">
        <v>161</v>
      </c>
    </row>
    <row r="1118" ht="22.5" customHeight="1">
      <c r="A1118" s="6" t="s">
        <v>6029</v>
      </c>
      <c r="B1118" s="6" t="s">
        <v>3328</v>
      </c>
      <c r="C1118" s="10">
        <v>46058.0</v>
      </c>
      <c r="D1118" s="6" t="s">
        <v>289</v>
      </c>
      <c r="E1118" s="6" t="s">
        <v>1149</v>
      </c>
      <c r="F1118" s="6" t="s">
        <v>283</v>
      </c>
      <c r="G1118" s="6" t="s">
        <v>458</v>
      </c>
      <c r="H1118" s="10">
        <v>46065.0</v>
      </c>
      <c r="I1118" s="12">
        <v>6.0</v>
      </c>
      <c r="J1118" s="6" t="s">
        <v>161</v>
      </c>
    </row>
    <row r="1119" ht="22.5" customHeight="1">
      <c r="A1119" s="6" t="s">
        <v>6032</v>
      </c>
      <c r="B1119" s="6" t="s">
        <v>3335</v>
      </c>
      <c r="C1119" s="10">
        <v>46037.0</v>
      </c>
      <c r="D1119" s="6" t="s">
        <v>312</v>
      </c>
      <c r="E1119" s="6" t="s">
        <v>1102</v>
      </c>
      <c r="F1119" s="6" t="s">
        <v>439</v>
      </c>
      <c r="G1119" s="6" t="s">
        <v>458</v>
      </c>
      <c r="H1119" s="10">
        <v>46043.0</v>
      </c>
      <c r="I1119" s="12">
        <v>6.0</v>
      </c>
      <c r="J1119" s="6" t="s">
        <v>161</v>
      </c>
    </row>
    <row r="1120" ht="22.5" customHeight="1">
      <c r="A1120" s="6" t="s">
        <v>6036</v>
      </c>
      <c r="B1120" s="6" t="s">
        <v>3335</v>
      </c>
      <c r="C1120" s="10">
        <v>46035.0</v>
      </c>
      <c r="D1120" s="6" t="s">
        <v>416</v>
      </c>
      <c r="E1120" s="6" t="s">
        <v>1273</v>
      </c>
      <c r="F1120" s="6" t="s">
        <v>439</v>
      </c>
      <c r="G1120" s="6" t="s">
        <v>458</v>
      </c>
      <c r="H1120" s="10">
        <v>46042.0</v>
      </c>
      <c r="I1120" s="12">
        <v>14.0</v>
      </c>
      <c r="J1120" s="6" t="s">
        <v>161</v>
      </c>
    </row>
    <row r="1121" ht="22.5" customHeight="1">
      <c r="A1121" s="6" t="s">
        <v>6038</v>
      </c>
      <c r="B1121" s="6" t="s">
        <v>3335</v>
      </c>
      <c r="C1121" s="10">
        <v>46033.0</v>
      </c>
      <c r="D1121" s="6" t="s">
        <v>289</v>
      </c>
      <c r="E1121" s="6" t="s">
        <v>320</v>
      </c>
      <c r="F1121" s="6" t="s">
        <v>283</v>
      </c>
      <c r="G1121" s="6" t="s">
        <v>369</v>
      </c>
      <c r="H1121" s="11" t="s">
        <v>259</v>
      </c>
      <c r="I1121" s="12">
        <v>5.0</v>
      </c>
      <c r="J1121" s="6" t="s">
        <v>161</v>
      </c>
    </row>
    <row r="1122" ht="22.5" customHeight="1">
      <c r="A1122" s="6" t="s">
        <v>6041</v>
      </c>
      <c r="B1122" s="6" t="s">
        <v>3335</v>
      </c>
      <c r="C1122" s="10">
        <v>46038.0</v>
      </c>
      <c r="D1122" s="6" t="s">
        <v>312</v>
      </c>
      <c r="E1122" s="6" t="s">
        <v>291</v>
      </c>
      <c r="F1122" s="6" t="s">
        <v>112</v>
      </c>
      <c r="G1122" s="6" t="s">
        <v>494</v>
      </c>
      <c r="H1122" s="11" t="s">
        <v>259</v>
      </c>
      <c r="I1122" s="12">
        <v>7.0</v>
      </c>
      <c r="J1122" s="6" t="s">
        <v>161</v>
      </c>
    </row>
    <row r="1123" ht="22.5" customHeight="1">
      <c r="A1123" s="6" t="s">
        <v>6044</v>
      </c>
      <c r="B1123" s="6" t="s">
        <v>3335</v>
      </c>
      <c r="C1123" s="10">
        <v>46045.0</v>
      </c>
      <c r="D1123" s="6" t="s">
        <v>242</v>
      </c>
      <c r="E1123" s="6" t="s">
        <v>896</v>
      </c>
      <c r="F1123" s="6" t="s">
        <v>283</v>
      </c>
      <c r="G1123" s="6" t="s">
        <v>326</v>
      </c>
      <c r="H1123" s="10">
        <v>46049.0</v>
      </c>
      <c r="I1123" s="12">
        <v>3.0</v>
      </c>
      <c r="J1123" s="6" t="s">
        <v>178</v>
      </c>
    </row>
    <row r="1124" ht="22.5" customHeight="1">
      <c r="A1124" s="6" t="s">
        <v>6047</v>
      </c>
      <c r="B1124" s="6" t="s">
        <v>3341</v>
      </c>
      <c r="C1124" s="10">
        <v>46042.0</v>
      </c>
      <c r="D1124" s="6" t="s">
        <v>242</v>
      </c>
      <c r="E1124" s="6" t="s">
        <v>320</v>
      </c>
      <c r="F1124" s="6" t="s">
        <v>439</v>
      </c>
      <c r="G1124" s="6" t="s">
        <v>458</v>
      </c>
      <c r="H1124" s="10">
        <v>46044.0</v>
      </c>
      <c r="I1124" s="12">
        <v>6.0</v>
      </c>
      <c r="J1124" s="6" t="s">
        <v>161</v>
      </c>
    </row>
    <row r="1125" ht="22.5" customHeight="1">
      <c r="A1125" s="6" t="s">
        <v>6051</v>
      </c>
      <c r="B1125" s="6" t="s">
        <v>3341</v>
      </c>
      <c r="C1125" s="10">
        <v>46026.0</v>
      </c>
      <c r="D1125" s="6" t="s">
        <v>436</v>
      </c>
      <c r="E1125" s="6" t="s">
        <v>1626</v>
      </c>
      <c r="F1125" s="6" t="s">
        <v>112</v>
      </c>
      <c r="G1125" s="6" t="s">
        <v>297</v>
      </c>
      <c r="H1125" s="10">
        <v>46027.0</v>
      </c>
      <c r="I1125" s="12">
        <v>9.0</v>
      </c>
      <c r="J1125" s="6" t="s">
        <v>161</v>
      </c>
    </row>
    <row r="1126" ht="22.5" customHeight="1">
      <c r="A1126" s="6" t="s">
        <v>6053</v>
      </c>
      <c r="B1126" s="6" t="s">
        <v>3341</v>
      </c>
      <c r="C1126" s="10">
        <v>46042.0</v>
      </c>
      <c r="D1126" s="6" t="s">
        <v>289</v>
      </c>
      <c r="E1126" s="6" t="s">
        <v>320</v>
      </c>
      <c r="F1126" s="6" t="s">
        <v>249</v>
      </c>
      <c r="G1126" s="6" t="s">
        <v>326</v>
      </c>
      <c r="H1126" s="11" t="s">
        <v>259</v>
      </c>
      <c r="I1126" s="12">
        <v>6.0</v>
      </c>
      <c r="J1126" s="6" t="s">
        <v>161</v>
      </c>
    </row>
    <row r="1127" ht="22.5" customHeight="1">
      <c r="A1127" s="6" t="s">
        <v>6055</v>
      </c>
      <c r="B1127" s="6" t="s">
        <v>3347</v>
      </c>
      <c r="C1127" s="10">
        <v>46042.0</v>
      </c>
      <c r="D1127" s="6" t="s">
        <v>289</v>
      </c>
      <c r="E1127" s="6" t="s">
        <v>896</v>
      </c>
      <c r="F1127" s="6" t="s">
        <v>439</v>
      </c>
      <c r="G1127" s="6" t="s">
        <v>254</v>
      </c>
      <c r="H1127" s="10">
        <v>46044.0</v>
      </c>
      <c r="I1127" s="12">
        <v>5.0</v>
      </c>
      <c r="J1127" s="6" t="s">
        <v>161</v>
      </c>
    </row>
    <row r="1128" ht="22.5" customHeight="1">
      <c r="A1128" s="6" t="s">
        <v>6059</v>
      </c>
      <c r="B1128" s="6" t="s">
        <v>3347</v>
      </c>
      <c r="C1128" s="10">
        <v>46031.0</v>
      </c>
      <c r="D1128" s="6" t="s">
        <v>416</v>
      </c>
      <c r="E1128" s="6" t="s">
        <v>775</v>
      </c>
      <c r="F1128" s="6" t="s">
        <v>439</v>
      </c>
      <c r="G1128" s="6" t="s">
        <v>254</v>
      </c>
      <c r="H1128" s="11" t="s">
        <v>259</v>
      </c>
      <c r="I1128" s="12">
        <v>10.0</v>
      </c>
      <c r="J1128" s="6" t="s">
        <v>161</v>
      </c>
    </row>
    <row r="1129" ht="22.5" customHeight="1">
      <c r="A1129" s="6" t="s">
        <v>6064</v>
      </c>
      <c r="B1129" s="6" t="s">
        <v>3353</v>
      </c>
      <c r="C1129" s="10">
        <v>46059.0</v>
      </c>
      <c r="D1129" s="6" t="s">
        <v>312</v>
      </c>
      <c r="E1129" s="6" t="s">
        <v>1070</v>
      </c>
      <c r="F1129" s="6" t="s">
        <v>249</v>
      </c>
      <c r="G1129" s="6" t="s">
        <v>494</v>
      </c>
      <c r="H1129" s="10">
        <v>46060.0</v>
      </c>
      <c r="I1129" s="12">
        <v>7.0</v>
      </c>
      <c r="J1129" s="6" t="s">
        <v>161</v>
      </c>
    </row>
    <row r="1130" ht="22.5" customHeight="1">
      <c r="A1130" s="6" t="s">
        <v>6068</v>
      </c>
      <c r="B1130" s="6" t="s">
        <v>3353</v>
      </c>
      <c r="C1130" s="10">
        <v>46060.0</v>
      </c>
      <c r="D1130" s="6" t="s">
        <v>416</v>
      </c>
      <c r="E1130" s="6" t="s">
        <v>512</v>
      </c>
      <c r="F1130" s="6" t="s">
        <v>249</v>
      </c>
      <c r="G1130" s="6" t="s">
        <v>254</v>
      </c>
      <c r="H1130" s="10">
        <v>46062.0</v>
      </c>
      <c r="I1130" s="12">
        <v>14.0</v>
      </c>
      <c r="J1130" s="6" t="s">
        <v>161</v>
      </c>
    </row>
    <row r="1131" ht="22.5" customHeight="1">
      <c r="A1131" s="6" t="s">
        <v>6072</v>
      </c>
      <c r="B1131" s="6" t="s">
        <v>3353</v>
      </c>
      <c r="C1131" s="10">
        <v>46052.0</v>
      </c>
      <c r="D1131" s="6" t="s">
        <v>416</v>
      </c>
      <c r="E1131" s="6" t="s">
        <v>2881</v>
      </c>
      <c r="F1131" s="6" t="s">
        <v>439</v>
      </c>
      <c r="G1131" s="6" t="s">
        <v>326</v>
      </c>
      <c r="H1131" s="10">
        <v>46055.0</v>
      </c>
      <c r="I1131" s="12">
        <v>13.0</v>
      </c>
      <c r="J1131" s="6" t="s">
        <v>161</v>
      </c>
    </row>
    <row r="1132" ht="22.5" customHeight="1">
      <c r="A1132" s="6" t="s">
        <v>6077</v>
      </c>
      <c r="B1132" s="6" t="s">
        <v>3360</v>
      </c>
      <c r="C1132" s="10">
        <v>46045.0</v>
      </c>
      <c r="D1132" s="6" t="s">
        <v>677</v>
      </c>
      <c r="E1132" s="6" t="s">
        <v>787</v>
      </c>
      <c r="F1132" s="6" t="s">
        <v>249</v>
      </c>
      <c r="G1132" s="6" t="s">
        <v>494</v>
      </c>
      <c r="H1132" s="10">
        <v>46048.0</v>
      </c>
      <c r="I1132" s="12">
        <v>2.0</v>
      </c>
      <c r="J1132" s="6" t="s">
        <v>161</v>
      </c>
    </row>
    <row r="1133" ht="22.5" customHeight="1">
      <c r="A1133" s="6" t="s">
        <v>6080</v>
      </c>
      <c r="B1133" s="6" t="s">
        <v>3360</v>
      </c>
      <c r="C1133" s="10">
        <v>46063.0</v>
      </c>
      <c r="D1133" s="6" t="s">
        <v>312</v>
      </c>
      <c r="E1133" s="6" t="s">
        <v>566</v>
      </c>
      <c r="F1133" s="6" t="s">
        <v>439</v>
      </c>
      <c r="G1133" s="6" t="s">
        <v>458</v>
      </c>
      <c r="H1133" s="10">
        <v>46064.0</v>
      </c>
      <c r="I1133" s="12">
        <v>4.0</v>
      </c>
      <c r="J1133" s="6" t="s">
        <v>161</v>
      </c>
    </row>
    <row r="1134" ht="22.5" customHeight="1">
      <c r="A1134" s="6" t="s">
        <v>6086</v>
      </c>
      <c r="B1134" s="6" t="s">
        <v>3360</v>
      </c>
      <c r="C1134" s="10">
        <v>46061.0</v>
      </c>
      <c r="D1134" s="6" t="s">
        <v>436</v>
      </c>
      <c r="E1134" s="6" t="s">
        <v>695</v>
      </c>
      <c r="F1134" s="6" t="s">
        <v>249</v>
      </c>
      <c r="G1134" s="6" t="s">
        <v>326</v>
      </c>
      <c r="H1134" s="10">
        <v>46061.0</v>
      </c>
      <c r="I1134" s="12">
        <v>9.0</v>
      </c>
      <c r="J1134" s="6" t="s">
        <v>178</v>
      </c>
    </row>
    <row r="1135" ht="22.5" customHeight="1">
      <c r="A1135" s="6" t="s">
        <v>6090</v>
      </c>
      <c r="B1135" s="6" t="s">
        <v>3360</v>
      </c>
      <c r="C1135" s="10">
        <v>46061.0</v>
      </c>
      <c r="D1135" s="6" t="s">
        <v>391</v>
      </c>
      <c r="E1135" s="6" t="s">
        <v>1700</v>
      </c>
      <c r="F1135" s="6" t="s">
        <v>439</v>
      </c>
      <c r="G1135" s="6" t="s">
        <v>494</v>
      </c>
      <c r="H1135" s="10">
        <v>46067.0</v>
      </c>
      <c r="I1135" s="12">
        <v>10.0</v>
      </c>
      <c r="J1135" s="6" t="s">
        <v>161</v>
      </c>
    </row>
    <row r="1136" ht="22.5" customHeight="1">
      <c r="A1136" s="6" t="s">
        <v>6096</v>
      </c>
      <c r="B1136" s="6" t="s">
        <v>3360</v>
      </c>
      <c r="C1136" s="10">
        <v>46060.0</v>
      </c>
      <c r="D1136" s="6" t="s">
        <v>242</v>
      </c>
      <c r="E1136" s="6" t="s">
        <v>320</v>
      </c>
      <c r="F1136" s="6" t="s">
        <v>439</v>
      </c>
      <c r="G1136" s="6" t="s">
        <v>254</v>
      </c>
      <c r="H1136" s="10">
        <v>46067.0</v>
      </c>
      <c r="I1136" s="12">
        <v>3.0</v>
      </c>
      <c r="J1136" s="6" t="s">
        <v>178</v>
      </c>
    </row>
    <row r="1137" ht="22.5" customHeight="1">
      <c r="A1137" s="6" t="s">
        <v>6099</v>
      </c>
      <c r="B1137" s="6" t="s">
        <v>3366</v>
      </c>
      <c r="C1137" s="10">
        <v>46079.0</v>
      </c>
      <c r="D1137" s="6" t="s">
        <v>242</v>
      </c>
      <c r="E1137" s="6" t="s">
        <v>1517</v>
      </c>
      <c r="F1137" s="6" t="s">
        <v>439</v>
      </c>
      <c r="G1137" s="6" t="s">
        <v>297</v>
      </c>
      <c r="H1137" s="10">
        <v>46086.0</v>
      </c>
      <c r="I1137" s="12">
        <v>5.0</v>
      </c>
      <c r="J1137" s="6" t="s">
        <v>178</v>
      </c>
    </row>
    <row r="1138" ht="22.5" customHeight="1">
      <c r="A1138" s="6" t="s">
        <v>6104</v>
      </c>
      <c r="B1138" s="6" t="s">
        <v>3373</v>
      </c>
      <c r="C1138" s="10">
        <v>46084.0</v>
      </c>
      <c r="D1138" s="6" t="s">
        <v>289</v>
      </c>
      <c r="E1138" s="6" t="s">
        <v>863</v>
      </c>
      <c r="F1138" s="6" t="s">
        <v>249</v>
      </c>
      <c r="G1138" s="6" t="s">
        <v>452</v>
      </c>
      <c r="H1138" s="10">
        <v>46091.0</v>
      </c>
      <c r="I1138" s="12">
        <v>7.0</v>
      </c>
      <c r="J1138" s="6" t="s">
        <v>161</v>
      </c>
    </row>
    <row r="1139" ht="22.5" customHeight="1">
      <c r="A1139" s="6" t="s">
        <v>6109</v>
      </c>
      <c r="B1139" s="6" t="s">
        <v>3373</v>
      </c>
      <c r="C1139" s="10">
        <v>46082.0</v>
      </c>
      <c r="D1139" s="6" t="s">
        <v>289</v>
      </c>
      <c r="E1139" s="6" t="s">
        <v>291</v>
      </c>
      <c r="F1139" s="6" t="s">
        <v>439</v>
      </c>
      <c r="G1139" s="6" t="s">
        <v>494</v>
      </c>
      <c r="H1139" s="10">
        <v>46084.0</v>
      </c>
      <c r="I1139" s="12">
        <v>7.0</v>
      </c>
      <c r="J1139" s="6" t="s">
        <v>161</v>
      </c>
    </row>
    <row r="1140" ht="22.5" customHeight="1">
      <c r="A1140" s="6" t="s">
        <v>6113</v>
      </c>
      <c r="B1140" s="6" t="s">
        <v>3373</v>
      </c>
      <c r="C1140" s="10">
        <v>46067.0</v>
      </c>
      <c r="D1140" s="6" t="s">
        <v>312</v>
      </c>
      <c r="E1140" s="6" t="s">
        <v>1310</v>
      </c>
      <c r="F1140" s="6" t="s">
        <v>112</v>
      </c>
      <c r="G1140" s="6" t="s">
        <v>254</v>
      </c>
      <c r="H1140" s="10">
        <v>46072.0</v>
      </c>
      <c r="I1140" s="12">
        <v>7.0</v>
      </c>
      <c r="J1140" s="6" t="s">
        <v>161</v>
      </c>
    </row>
    <row r="1141" ht="22.5" customHeight="1">
      <c r="A1141" s="6" t="s">
        <v>6121</v>
      </c>
      <c r="B1141" s="6" t="s">
        <v>3373</v>
      </c>
      <c r="C1141" s="10">
        <v>46070.0</v>
      </c>
      <c r="D1141" s="6" t="s">
        <v>312</v>
      </c>
      <c r="E1141" s="6" t="s">
        <v>1241</v>
      </c>
      <c r="F1141" s="6" t="s">
        <v>439</v>
      </c>
      <c r="G1141" s="6" t="s">
        <v>326</v>
      </c>
      <c r="H1141" s="11" t="s">
        <v>259</v>
      </c>
      <c r="I1141" s="12">
        <v>4.0</v>
      </c>
      <c r="J1141" s="6" t="s">
        <v>161</v>
      </c>
    </row>
    <row r="1142" ht="22.5" customHeight="1">
      <c r="A1142" s="6" t="s">
        <v>6126</v>
      </c>
      <c r="B1142" s="6" t="s">
        <v>3373</v>
      </c>
      <c r="C1142" s="10">
        <v>46068.0</v>
      </c>
      <c r="D1142" s="6" t="s">
        <v>416</v>
      </c>
      <c r="E1142" s="6" t="s">
        <v>438</v>
      </c>
      <c r="F1142" s="6" t="s">
        <v>249</v>
      </c>
      <c r="G1142" s="6" t="s">
        <v>369</v>
      </c>
      <c r="H1142" s="10">
        <v>46072.0</v>
      </c>
      <c r="I1142" s="12">
        <v>13.0</v>
      </c>
      <c r="J1142" s="6" t="s">
        <v>161</v>
      </c>
    </row>
    <row r="1143" ht="22.5" customHeight="1">
      <c r="A1143" s="6" t="s">
        <v>6130</v>
      </c>
      <c r="B1143" s="6" t="s">
        <v>3379</v>
      </c>
      <c r="C1143" s="10">
        <v>46058.0</v>
      </c>
      <c r="D1143" s="6" t="s">
        <v>312</v>
      </c>
      <c r="E1143" s="6" t="s">
        <v>1741</v>
      </c>
      <c r="F1143" s="6" t="s">
        <v>112</v>
      </c>
      <c r="G1143" s="6" t="s">
        <v>254</v>
      </c>
      <c r="H1143" s="10">
        <v>46060.0</v>
      </c>
      <c r="I1143" s="12">
        <v>4.0</v>
      </c>
      <c r="J1143" s="6" t="s">
        <v>161</v>
      </c>
    </row>
    <row r="1144" ht="22.5" customHeight="1">
      <c r="A1144" s="6" t="s">
        <v>6134</v>
      </c>
      <c r="B1144" s="6" t="s">
        <v>3385</v>
      </c>
      <c r="C1144" s="10">
        <v>46071.0</v>
      </c>
      <c r="D1144" s="6" t="s">
        <v>436</v>
      </c>
      <c r="E1144" s="6" t="s">
        <v>618</v>
      </c>
      <c r="F1144" s="6" t="s">
        <v>439</v>
      </c>
      <c r="G1144" s="6" t="s">
        <v>477</v>
      </c>
      <c r="H1144" s="11" t="s">
        <v>259</v>
      </c>
      <c r="I1144" s="12">
        <v>11.0</v>
      </c>
      <c r="J1144" s="6" t="s">
        <v>178</v>
      </c>
    </row>
    <row r="1145" ht="22.5" customHeight="1">
      <c r="A1145" s="6" t="s">
        <v>6139</v>
      </c>
      <c r="B1145" s="6" t="s">
        <v>3391</v>
      </c>
      <c r="C1145" s="10">
        <v>46075.0</v>
      </c>
      <c r="D1145" s="6" t="s">
        <v>436</v>
      </c>
      <c r="E1145" s="6" t="s">
        <v>1570</v>
      </c>
      <c r="F1145" s="6" t="s">
        <v>112</v>
      </c>
      <c r="G1145" s="6" t="s">
        <v>369</v>
      </c>
      <c r="H1145" s="10">
        <v>46075.0</v>
      </c>
      <c r="I1145" s="12">
        <v>6.0</v>
      </c>
      <c r="J1145" s="6" t="s">
        <v>178</v>
      </c>
    </row>
    <row r="1146" ht="22.5" customHeight="1">
      <c r="A1146" s="6" t="s">
        <v>6143</v>
      </c>
      <c r="B1146" s="6" t="s">
        <v>3391</v>
      </c>
      <c r="C1146" s="10">
        <v>46072.0</v>
      </c>
      <c r="D1146" s="6" t="s">
        <v>242</v>
      </c>
      <c r="E1146" s="6" t="s">
        <v>670</v>
      </c>
      <c r="F1146" s="6" t="s">
        <v>439</v>
      </c>
      <c r="G1146" s="6" t="s">
        <v>369</v>
      </c>
      <c r="H1146" s="10">
        <v>46072.0</v>
      </c>
      <c r="I1146" s="12">
        <v>3.0</v>
      </c>
      <c r="J1146" s="6" t="s">
        <v>178</v>
      </c>
    </row>
    <row r="1147" ht="22.5" customHeight="1">
      <c r="A1147" s="6" t="s">
        <v>6149</v>
      </c>
      <c r="B1147" s="6" t="s">
        <v>3391</v>
      </c>
      <c r="C1147" s="10">
        <v>46073.0</v>
      </c>
      <c r="D1147" s="6" t="s">
        <v>677</v>
      </c>
      <c r="E1147" s="6" t="s">
        <v>1280</v>
      </c>
      <c r="F1147" s="6" t="s">
        <v>249</v>
      </c>
      <c r="G1147" s="6" t="s">
        <v>326</v>
      </c>
      <c r="H1147" s="10">
        <v>46079.0</v>
      </c>
      <c r="I1147" s="12">
        <v>3.0</v>
      </c>
      <c r="J1147" s="6" t="s">
        <v>161</v>
      </c>
    </row>
    <row r="1148" ht="22.5" customHeight="1">
      <c r="A1148" s="6" t="s">
        <v>6153</v>
      </c>
      <c r="B1148" s="6" t="s">
        <v>3397</v>
      </c>
      <c r="C1148" s="10">
        <v>46067.0</v>
      </c>
      <c r="D1148" s="6" t="s">
        <v>312</v>
      </c>
      <c r="E1148" s="6" t="s">
        <v>775</v>
      </c>
      <c r="F1148" s="6" t="s">
        <v>283</v>
      </c>
      <c r="G1148" s="6" t="s">
        <v>369</v>
      </c>
      <c r="H1148" s="10">
        <v>46072.0</v>
      </c>
      <c r="I1148" s="12">
        <v>6.0</v>
      </c>
      <c r="J1148" s="6" t="s">
        <v>161</v>
      </c>
    </row>
    <row r="1149" ht="22.5" customHeight="1">
      <c r="A1149" s="6" t="s">
        <v>6155</v>
      </c>
      <c r="B1149" s="6" t="s">
        <v>3397</v>
      </c>
      <c r="C1149" s="10">
        <v>46055.0</v>
      </c>
      <c r="D1149" s="6" t="s">
        <v>416</v>
      </c>
      <c r="E1149" s="6" t="s">
        <v>775</v>
      </c>
      <c r="F1149" s="6" t="s">
        <v>283</v>
      </c>
      <c r="G1149" s="6" t="s">
        <v>452</v>
      </c>
      <c r="H1149" s="10">
        <v>46061.0</v>
      </c>
      <c r="I1149" s="12">
        <v>13.0</v>
      </c>
      <c r="J1149" s="6" t="s">
        <v>161</v>
      </c>
    </row>
    <row r="1150" ht="22.5" customHeight="1">
      <c r="A1150" s="6" t="s">
        <v>6160</v>
      </c>
      <c r="B1150" s="6" t="s">
        <v>3404</v>
      </c>
      <c r="C1150" s="10">
        <v>46043.0</v>
      </c>
      <c r="D1150" s="6" t="s">
        <v>416</v>
      </c>
      <c r="E1150" s="6" t="s">
        <v>1122</v>
      </c>
      <c r="F1150" s="6" t="s">
        <v>249</v>
      </c>
      <c r="G1150" s="6" t="s">
        <v>369</v>
      </c>
      <c r="H1150" s="11" t="s">
        <v>259</v>
      </c>
      <c r="I1150" s="12">
        <v>11.0</v>
      </c>
      <c r="J1150" s="6" t="s">
        <v>161</v>
      </c>
    </row>
    <row r="1151" ht="22.5" customHeight="1">
      <c r="A1151" s="6" t="s">
        <v>6166</v>
      </c>
      <c r="B1151" s="6" t="s">
        <v>3404</v>
      </c>
      <c r="C1151" s="10">
        <v>46060.0</v>
      </c>
      <c r="D1151" s="6" t="s">
        <v>416</v>
      </c>
      <c r="E1151" s="6" t="s">
        <v>365</v>
      </c>
      <c r="F1151" s="6" t="s">
        <v>249</v>
      </c>
      <c r="G1151" s="6" t="s">
        <v>477</v>
      </c>
      <c r="H1151" s="10">
        <v>46062.0</v>
      </c>
      <c r="I1151" s="12">
        <v>9.0</v>
      </c>
      <c r="J1151" s="6" t="s">
        <v>161</v>
      </c>
    </row>
    <row r="1152" ht="22.5" customHeight="1">
      <c r="A1152" s="6" t="s">
        <v>6169</v>
      </c>
      <c r="B1152" s="6" t="s">
        <v>3410</v>
      </c>
      <c r="C1152" s="10">
        <v>46051.0</v>
      </c>
      <c r="D1152" s="6" t="s">
        <v>436</v>
      </c>
      <c r="E1152" s="6" t="s">
        <v>1700</v>
      </c>
      <c r="F1152" s="6" t="s">
        <v>283</v>
      </c>
      <c r="G1152" s="6" t="s">
        <v>452</v>
      </c>
      <c r="H1152" s="10">
        <v>46057.0</v>
      </c>
      <c r="I1152" s="12">
        <v>9.0</v>
      </c>
      <c r="J1152" s="6" t="s">
        <v>161</v>
      </c>
    </row>
    <row r="1153" ht="22.5" customHeight="1">
      <c r="A1153" s="6" t="s">
        <v>6173</v>
      </c>
      <c r="B1153" s="6" t="s">
        <v>3410</v>
      </c>
      <c r="C1153" s="10">
        <v>46044.0</v>
      </c>
      <c r="D1153" s="6" t="s">
        <v>242</v>
      </c>
      <c r="E1153" s="6" t="s">
        <v>1626</v>
      </c>
      <c r="F1153" s="6" t="s">
        <v>283</v>
      </c>
      <c r="G1153" s="6" t="s">
        <v>477</v>
      </c>
      <c r="H1153" s="10">
        <v>46044.0</v>
      </c>
      <c r="I1153" s="12">
        <v>4.0</v>
      </c>
      <c r="J1153" s="6" t="s">
        <v>178</v>
      </c>
    </row>
    <row r="1154" ht="22.5" customHeight="1">
      <c r="A1154" s="6" t="s">
        <v>6179</v>
      </c>
      <c r="B1154" s="6" t="s">
        <v>3416</v>
      </c>
      <c r="C1154" s="10">
        <v>46083.0</v>
      </c>
      <c r="D1154" s="6" t="s">
        <v>289</v>
      </c>
      <c r="E1154" s="6" t="s">
        <v>583</v>
      </c>
      <c r="F1154" s="6" t="s">
        <v>249</v>
      </c>
      <c r="G1154" s="6" t="s">
        <v>326</v>
      </c>
      <c r="H1154" s="10">
        <v>46085.0</v>
      </c>
      <c r="I1154" s="12">
        <v>7.0</v>
      </c>
      <c r="J1154" s="6" t="s">
        <v>161</v>
      </c>
    </row>
    <row r="1155" ht="22.5" customHeight="1">
      <c r="A1155" s="6" t="s">
        <v>6185</v>
      </c>
      <c r="B1155" s="6" t="s">
        <v>3416</v>
      </c>
      <c r="C1155" s="10">
        <v>46068.0</v>
      </c>
      <c r="D1155" s="6" t="s">
        <v>436</v>
      </c>
      <c r="E1155" s="6" t="s">
        <v>365</v>
      </c>
      <c r="F1155" s="6" t="s">
        <v>283</v>
      </c>
      <c r="G1155" s="6" t="s">
        <v>254</v>
      </c>
      <c r="H1155" s="11" t="s">
        <v>259</v>
      </c>
      <c r="I1155" s="12">
        <v>10.0</v>
      </c>
      <c r="J1155" s="6" t="s">
        <v>178</v>
      </c>
    </row>
    <row r="1156" ht="22.5" customHeight="1">
      <c r="A1156" s="6" t="s">
        <v>6189</v>
      </c>
      <c r="B1156" s="6" t="s">
        <v>3416</v>
      </c>
      <c r="C1156" s="10">
        <v>46077.0</v>
      </c>
      <c r="D1156" s="6" t="s">
        <v>436</v>
      </c>
      <c r="E1156" s="6" t="s">
        <v>687</v>
      </c>
      <c r="F1156" s="6" t="s">
        <v>112</v>
      </c>
      <c r="G1156" s="6" t="s">
        <v>369</v>
      </c>
      <c r="H1156" s="10">
        <v>46084.0</v>
      </c>
      <c r="I1156" s="12">
        <v>10.0</v>
      </c>
      <c r="J1156" s="6" t="s">
        <v>161</v>
      </c>
    </row>
    <row r="1157" ht="22.5" customHeight="1">
      <c r="A1157" s="6" t="s">
        <v>6194</v>
      </c>
      <c r="B1157" s="6" t="s">
        <v>3416</v>
      </c>
      <c r="C1157" s="10">
        <v>46077.0</v>
      </c>
      <c r="D1157" s="6" t="s">
        <v>289</v>
      </c>
      <c r="E1157" s="6" t="s">
        <v>955</v>
      </c>
      <c r="F1157" s="6" t="s">
        <v>112</v>
      </c>
      <c r="G1157" s="6" t="s">
        <v>326</v>
      </c>
      <c r="H1157" s="10">
        <v>46081.0</v>
      </c>
      <c r="I1157" s="12">
        <v>8.0</v>
      </c>
      <c r="J1157" s="6" t="s">
        <v>161</v>
      </c>
    </row>
    <row r="1158" ht="22.5" customHeight="1">
      <c r="A1158" s="6" t="s">
        <v>6198</v>
      </c>
      <c r="B1158" s="6" t="s">
        <v>3416</v>
      </c>
      <c r="C1158" s="10">
        <v>46072.0</v>
      </c>
      <c r="D1158" s="6" t="s">
        <v>312</v>
      </c>
      <c r="E1158" s="6" t="s">
        <v>1700</v>
      </c>
      <c r="F1158" s="6" t="s">
        <v>112</v>
      </c>
      <c r="G1158" s="6" t="s">
        <v>477</v>
      </c>
      <c r="H1158" s="10">
        <v>46074.0</v>
      </c>
      <c r="I1158" s="12">
        <v>6.0</v>
      </c>
      <c r="J1158" s="6" t="s">
        <v>161</v>
      </c>
    </row>
    <row r="1159" ht="22.5" customHeight="1">
      <c r="A1159" s="6" t="s">
        <v>6204</v>
      </c>
      <c r="B1159" s="6" t="s">
        <v>3422</v>
      </c>
      <c r="C1159" s="10">
        <v>46036.0</v>
      </c>
      <c r="D1159" s="6" t="s">
        <v>436</v>
      </c>
      <c r="E1159" s="6" t="s">
        <v>885</v>
      </c>
      <c r="F1159" s="6" t="s">
        <v>439</v>
      </c>
      <c r="G1159" s="6" t="s">
        <v>458</v>
      </c>
      <c r="H1159" s="10">
        <v>46041.0</v>
      </c>
      <c r="I1159" s="12">
        <v>9.0</v>
      </c>
      <c r="J1159" s="6" t="s">
        <v>178</v>
      </c>
    </row>
    <row r="1160" ht="22.5" customHeight="1">
      <c r="A1160" s="6" t="s">
        <v>6212</v>
      </c>
      <c r="B1160" s="6" t="s">
        <v>3422</v>
      </c>
      <c r="C1160" s="10">
        <v>46047.0</v>
      </c>
      <c r="D1160" s="6" t="s">
        <v>416</v>
      </c>
      <c r="E1160" s="6" t="s">
        <v>896</v>
      </c>
      <c r="F1160" s="6" t="s">
        <v>283</v>
      </c>
      <c r="G1160" s="6" t="s">
        <v>369</v>
      </c>
      <c r="H1160" s="10">
        <v>46049.0</v>
      </c>
      <c r="I1160" s="12">
        <v>13.0</v>
      </c>
      <c r="J1160" s="6" t="s">
        <v>161</v>
      </c>
    </row>
    <row r="1161" ht="22.5" customHeight="1">
      <c r="A1161" s="6" t="s">
        <v>6218</v>
      </c>
      <c r="B1161" s="6" t="s">
        <v>3422</v>
      </c>
      <c r="C1161" s="10">
        <v>46045.0</v>
      </c>
      <c r="D1161" s="6" t="s">
        <v>242</v>
      </c>
      <c r="E1161" s="6" t="s">
        <v>1720</v>
      </c>
      <c r="F1161" s="6" t="s">
        <v>249</v>
      </c>
      <c r="G1161" s="6" t="s">
        <v>458</v>
      </c>
      <c r="H1161" s="11" t="s">
        <v>259</v>
      </c>
      <c r="I1161" s="12">
        <v>3.0</v>
      </c>
      <c r="J1161" s="6" t="s">
        <v>178</v>
      </c>
    </row>
    <row r="1162" ht="22.5" customHeight="1">
      <c r="A1162" s="6" t="s">
        <v>6222</v>
      </c>
      <c r="B1162" s="6" t="s">
        <v>3428</v>
      </c>
      <c r="C1162" s="10">
        <v>46043.0</v>
      </c>
      <c r="D1162" s="6" t="s">
        <v>391</v>
      </c>
      <c r="E1162" s="6" t="s">
        <v>1720</v>
      </c>
      <c r="F1162" s="6" t="s">
        <v>112</v>
      </c>
      <c r="G1162" s="6" t="s">
        <v>494</v>
      </c>
      <c r="H1162" s="10">
        <v>46043.0</v>
      </c>
      <c r="I1162" s="12">
        <v>6.0</v>
      </c>
      <c r="J1162" s="6" t="s">
        <v>161</v>
      </c>
    </row>
    <row r="1163" ht="22.5" customHeight="1">
      <c r="A1163" s="6" t="s">
        <v>6228</v>
      </c>
      <c r="B1163" s="6" t="s">
        <v>3428</v>
      </c>
      <c r="C1163" s="10">
        <v>46038.0</v>
      </c>
      <c r="D1163" s="6" t="s">
        <v>391</v>
      </c>
      <c r="E1163" s="6" t="s">
        <v>365</v>
      </c>
      <c r="F1163" s="6" t="s">
        <v>249</v>
      </c>
      <c r="G1163" s="6" t="s">
        <v>477</v>
      </c>
      <c r="H1163" s="10">
        <v>46039.0</v>
      </c>
      <c r="I1163" s="12">
        <v>8.0</v>
      </c>
      <c r="J1163" s="6" t="s">
        <v>161</v>
      </c>
    </row>
    <row r="1164" ht="22.5" customHeight="1">
      <c r="A1164" s="6" t="s">
        <v>6231</v>
      </c>
      <c r="B1164" s="6" t="s">
        <v>3435</v>
      </c>
      <c r="C1164" s="10">
        <v>46067.0</v>
      </c>
      <c r="D1164" s="6" t="s">
        <v>436</v>
      </c>
      <c r="E1164" s="6" t="s">
        <v>716</v>
      </c>
      <c r="F1164" s="6" t="s">
        <v>439</v>
      </c>
      <c r="G1164" s="6" t="s">
        <v>254</v>
      </c>
      <c r="H1164" s="10">
        <v>46074.0</v>
      </c>
      <c r="I1164" s="12">
        <v>6.0</v>
      </c>
      <c r="J1164" s="6" t="s">
        <v>178</v>
      </c>
    </row>
    <row r="1165" ht="22.5" customHeight="1">
      <c r="A1165" s="6" t="s">
        <v>6235</v>
      </c>
      <c r="B1165" s="6" t="s">
        <v>3435</v>
      </c>
      <c r="C1165" s="10">
        <v>46069.0</v>
      </c>
      <c r="D1165" s="6" t="s">
        <v>677</v>
      </c>
      <c r="E1165" s="6" t="s">
        <v>1102</v>
      </c>
      <c r="F1165" s="6" t="s">
        <v>112</v>
      </c>
      <c r="G1165" s="6" t="s">
        <v>297</v>
      </c>
      <c r="H1165" s="10">
        <v>46076.0</v>
      </c>
      <c r="I1165" s="12">
        <v>2.0</v>
      </c>
      <c r="J1165" s="6" t="s">
        <v>161</v>
      </c>
    </row>
    <row r="1166" ht="22.5" customHeight="1">
      <c r="A1166" s="6" t="s">
        <v>6241</v>
      </c>
      <c r="B1166" s="6" t="s">
        <v>3435</v>
      </c>
      <c r="C1166" s="10">
        <v>46081.0</v>
      </c>
      <c r="D1166" s="6" t="s">
        <v>312</v>
      </c>
      <c r="E1166" s="6" t="s">
        <v>896</v>
      </c>
      <c r="F1166" s="6" t="s">
        <v>112</v>
      </c>
      <c r="G1166" s="6" t="s">
        <v>369</v>
      </c>
      <c r="H1166" s="10">
        <v>46087.0</v>
      </c>
      <c r="I1166" s="12">
        <v>7.0</v>
      </c>
      <c r="J1166" s="6" t="s">
        <v>161</v>
      </c>
    </row>
    <row r="1167" ht="22.5" customHeight="1">
      <c r="A1167" s="6" t="s">
        <v>6249</v>
      </c>
      <c r="B1167" s="6" t="s">
        <v>3441</v>
      </c>
      <c r="C1167" s="10">
        <v>46052.0</v>
      </c>
      <c r="D1167" s="6" t="s">
        <v>416</v>
      </c>
      <c r="E1167" s="6" t="s">
        <v>1552</v>
      </c>
      <c r="F1167" s="6" t="s">
        <v>283</v>
      </c>
      <c r="G1167" s="6" t="s">
        <v>458</v>
      </c>
      <c r="H1167" s="10">
        <v>46056.0</v>
      </c>
      <c r="I1167" s="12">
        <v>11.0</v>
      </c>
      <c r="J1167" s="6" t="s">
        <v>161</v>
      </c>
    </row>
    <row r="1168" ht="22.5" customHeight="1">
      <c r="A1168" s="6" t="s">
        <v>6258</v>
      </c>
      <c r="B1168" s="6" t="s">
        <v>3441</v>
      </c>
      <c r="C1168" s="10">
        <v>46051.0</v>
      </c>
      <c r="D1168" s="6" t="s">
        <v>416</v>
      </c>
      <c r="E1168" s="6" t="s">
        <v>687</v>
      </c>
      <c r="F1168" s="6" t="s">
        <v>249</v>
      </c>
      <c r="G1168" s="6" t="s">
        <v>477</v>
      </c>
      <c r="H1168" s="10">
        <v>46052.0</v>
      </c>
      <c r="I1168" s="12">
        <v>10.0</v>
      </c>
      <c r="J1168" s="6" t="s">
        <v>161</v>
      </c>
    </row>
    <row r="1169" ht="22.5" customHeight="1">
      <c r="A1169" s="6" t="s">
        <v>6264</v>
      </c>
      <c r="B1169" s="6" t="s">
        <v>3447</v>
      </c>
      <c r="C1169" s="10">
        <v>46063.0</v>
      </c>
      <c r="D1169" s="6" t="s">
        <v>416</v>
      </c>
      <c r="E1169" s="6" t="s">
        <v>1280</v>
      </c>
      <c r="F1169" s="6" t="s">
        <v>249</v>
      </c>
      <c r="G1169" s="6" t="s">
        <v>326</v>
      </c>
      <c r="H1169" s="10">
        <v>46068.0</v>
      </c>
      <c r="I1169" s="12">
        <v>9.0</v>
      </c>
      <c r="J1169" s="6" t="s">
        <v>161</v>
      </c>
    </row>
    <row r="1170" ht="22.5" customHeight="1">
      <c r="A1170" s="6" t="s">
        <v>6270</v>
      </c>
      <c r="B1170" s="6" t="s">
        <v>3447</v>
      </c>
      <c r="C1170" s="10">
        <v>46078.0</v>
      </c>
      <c r="D1170" s="6" t="s">
        <v>436</v>
      </c>
      <c r="E1170" s="6" t="s">
        <v>628</v>
      </c>
      <c r="F1170" s="6" t="s">
        <v>112</v>
      </c>
      <c r="G1170" s="6" t="s">
        <v>297</v>
      </c>
      <c r="H1170" s="10">
        <v>46083.0</v>
      </c>
      <c r="I1170" s="12">
        <v>11.0</v>
      </c>
      <c r="J1170" s="6" t="s">
        <v>178</v>
      </c>
    </row>
    <row r="1171" ht="22.5" customHeight="1">
      <c r="A1171" s="6" t="s">
        <v>6276</v>
      </c>
      <c r="B1171" s="6" t="s">
        <v>3447</v>
      </c>
      <c r="C1171" s="10">
        <v>46063.0</v>
      </c>
      <c r="D1171" s="6" t="s">
        <v>312</v>
      </c>
      <c r="E1171" s="6" t="s">
        <v>1552</v>
      </c>
      <c r="F1171" s="6" t="s">
        <v>249</v>
      </c>
      <c r="G1171" s="6" t="s">
        <v>494</v>
      </c>
      <c r="H1171" s="10">
        <v>46070.0</v>
      </c>
      <c r="I1171" s="12">
        <v>5.0</v>
      </c>
      <c r="J1171" s="6" t="s">
        <v>161</v>
      </c>
    </row>
    <row r="1172" ht="22.5" customHeight="1">
      <c r="A1172" s="6" t="s">
        <v>6282</v>
      </c>
      <c r="B1172" s="6" t="s">
        <v>3447</v>
      </c>
      <c r="C1172" s="10">
        <v>46079.0</v>
      </c>
      <c r="D1172" s="6" t="s">
        <v>289</v>
      </c>
      <c r="E1172" s="6" t="s">
        <v>1626</v>
      </c>
      <c r="F1172" s="6" t="s">
        <v>439</v>
      </c>
      <c r="G1172" s="6" t="s">
        <v>452</v>
      </c>
      <c r="H1172" s="11" t="s">
        <v>259</v>
      </c>
      <c r="I1172" s="12">
        <v>10.0</v>
      </c>
      <c r="J1172" s="6" t="s">
        <v>161</v>
      </c>
    </row>
    <row r="1173" ht="22.5" customHeight="1">
      <c r="A1173" s="6" t="s">
        <v>6285</v>
      </c>
      <c r="B1173" s="6" t="s">
        <v>3454</v>
      </c>
      <c r="C1173" s="10">
        <v>46067.0</v>
      </c>
      <c r="D1173" s="6" t="s">
        <v>242</v>
      </c>
      <c r="E1173" s="6" t="s">
        <v>1741</v>
      </c>
      <c r="F1173" s="6" t="s">
        <v>439</v>
      </c>
      <c r="G1173" s="6" t="s">
        <v>369</v>
      </c>
      <c r="H1173" s="10">
        <v>46068.0</v>
      </c>
      <c r="I1173" s="12">
        <v>6.0</v>
      </c>
      <c r="J1173" s="6" t="s">
        <v>161</v>
      </c>
    </row>
    <row r="1174" ht="22.5" customHeight="1">
      <c r="A1174" s="6" t="s">
        <v>6289</v>
      </c>
      <c r="B1174" s="6" t="s">
        <v>3454</v>
      </c>
      <c r="C1174" s="10">
        <v>46068.0</v>
      </c>
      <c r="D1174" s="6" t="s">
        <v>677</v>
      </c>
      <c r="E1174" s="6" t="s">
        <v>634</v>
      </c>
      <c r="F1174" s="6" t="s">
        <v>249</v>
      </c>
      <c r="G1174" s="6" t="s">
        <v>297</v>
      </c>
      <c r="H1174" s="10">
        <v>46069.0</v>
      </c>
      <c r="I1174" s="12">
        <v>2.0</v>
      </c>
      <c r="J1174" s="6" t="s">
        <v>161</v>
      </c>
    </row>
    <row r="1175" ht="22.5" customHeight="1">
      <c r="A1175" s="6" t="s">
        <v>6290</v>
      </c>
      <c r="B1175" s="6" t="s">
        <v>3454</v>
      </c>
      <c r="C1175" s="10">
        <v>46066.0</v>
      </c>
      <c r="D1175" s="6" t="s">
        <v>436</v>
      </c>
      <c r="E1175" s="6" t="s">
        <v>1600</v>
      </c>
      <c r="F1175" s="6" t="s">
        <v>283</v>
      </c>
      <c r="G1175" s="6" t="s">
        <v>297</v>
      </c>
      <c r="H1175" s="11" t="s">
        <v>259</v>
      </c>
      <c r="I1175" s="12">
        <v>9.0</v>
      </c>
      <c r="J1175" s="6" t="s">
        <v>178</v>
      </c>
    </row>
    <row r="1176" ht="22.5" customHeight="1">
      <c r="A1176" s="6" t="s">
        <v>6293</v>
      </c>
      <c r="B1176" s="6" t="s">
        <v>3454</v>
      </c>
      <c r="C1176" s="10">
        <v>46052.0</v>
      </c>
      <c r="D1176" s="6" t="s">
        <v>242</v>
      </c>
      <c r="E1176" s="6" t="s">
        <v>583</v>
      </c>
      <c r="F1176" s="6" t="s">
        <v>249</v>
      </c>
      <c r="G1176" s="6" t="s">
        <v>326</v>
      </c>
      <c r="H1176" s="11" t="s">
        <v>259</v>
      </c>
      <c r="I1176" s="12">
        <v>3.0</v>
      </c>
      <c r="J1176" s="6" t="s">
        <v>178</v>
      </c>
    </row>
    <row r="1177" ht="22.5" customHeight="1">
      <c r="A1177" s="6" t="s">
        <v>6297</v>
      </c>
      <c r="B1177" s="6" t="s">
        <v>3454</v>
      </c>
      <c r="C1177" s="10">
        <v>46070.0</v>
      </c>
      <c r="D1177" s="6" t="s">
        <v>677</v>
      </c>
      <c r="E1177" s="6" t="s">
        <v>812</v>
      </c>
      <c r="F1177" s="6" t="s">
        <v>283</v>
      </c>
      <c r="G1177" s="6" t="s">
        <v>458</v>
      </c>
      <c r="H1177" s="10">
        <v>46072.0</v>
      </c>
      <c r="I1177" s="12">
        <v>4.0</v>
      </c>
      <c r="J1177" s="6" t="s">
        <v>161</v>
      </c>
    </row>
    <row r="1178" ht="22.5" customHeight="1">
      <c r="A1178" s="6" t="s">
        <v>6300</v>
      </c>
      <c r="B1178" s="6" t="s">
        <v>3459</v>
      </c>
      <c r="C1178" s="10">
        <v>46053.0</v>
      </c>
      <c r="D1178" s="6" t="s">
        <v>312</v>
      </c>
      <c r="E1178" s="6" t="s">
        <v>731</v>
      </c>
      <c r="F1178" s="6" t="s">
        <v>283</v>
      </c>
      <c r="G1178" s="6" t="s">
        <v>458</v>
      </c>
      <c r="H1178" s="10">
        <v>46060.0</v>
      </c>
      <c r="I1178" s="12">
        <v>5.0</v>
      </c>
      <c r="J1178" s="6" t="s">
        <v>161</v>
      </c>
    </row>
    <row r="1179" ht="22.5" customHeight="1">
      <c r="A1179" s="6" t="s">
        <v>6304</v>
      </c>
      <c r="B1179" s="6" t="s">
        <v>3459</v>
      </c>
      <c r="C1179" s="10">
        <v>46054.0</v>
      </c>
      <c r="D1179" s="6" t="s">
        <v>677</v>
      </c>
      <c r="E1179" s="6" t="s">
        <v>1741</v>
      </c>
      <c r="F1179" s="6" t="s">
        <v>283</v>
      </c>
      <c r="G1179" s="6" t="s">
        <v>254</v>
      </c>
      <c r="H1179" s="10">
        <v>46054.0</v>
      </c>
      <c r="I1179" s="12">
        <v>4.0</v>
      </c>
      <c r="J1179" s="6" t="s">
        <v>161</v>
      </c>
    </row>
    <row r="1180" ht="22.5" customHeight="1">
      <c r="A1180" s="6" t="s">
        <v>6305</v>
      </c>
      <c r="B1180" s="6" t="s">
        <v>3465</v>
      </c>
      <c r="C1180" s="10">
        <v>46062.0</v>
      </c>
      <c r="D1180" s="6" t="s">
        <v>436</v>
      </c>
      <c r="E1180" s="6" t="s">
        <v>695</v>
      </c>
      <c r="F1180" s="6" t="s">
        <v>249</v>
      </c>
      <c r="G1180" s="6" t="s">
        <v>494</v>
      </c>
      <c r="H1180" s="10">
        <v>46063.0</v>
      </c>
      <c r="I1180" s="12">
        <v>10.0</v>
      </c>
      <c r="J1180" s="6" t="s">
        <v>178</v>
      </c>
    </row>
    <row r="1181" ht="22.5" customHeight="1">
      <c r="A1181" s="6" t="s">
        <v>6308</v>
      </c>
      <c r="B1181" s="6" t="s">
        <v>3465</v>
      </c>
      <c r="C1181" s="10">
        <v>46065.0</v>
      </c>
      <c r="D1181" s="6" t="s">
        <v>242</v>
      </c>
      <c r="E1181" s="6" t="s">
        <v>1035</v>
      </c>
      <c r="F1181" s="6" t="s">
        <v>112</v>
      </c>
      <c r="G1181" s="6" t="s">
        <v>458</v>
      </c>
      <c r="H1181" s="10">
        <v>46069.0</v>
      </c>
      <c r="I1181" s="12">
        <v>4.0</v>
      </c>
      <c r="J1181" s="6" t="s">
        <v>178</v>
      </c>
    </row>
    <row r="1182" ht="22.5" customHeight="1">
      <c r="A1182" s="6" t="s">
        <v>6312</v>
      </c>
      <c r="B1182" s="6" t="s">
        <v>3472</v>
      </c>
      <c r="C1182" s="10">
        <v>46072.0</v>
      </c>
      <c r="D1182" s="6" t="s">
        <v>242</v>
      </c>
      <c r="E1182" s="6" t="s">
        <v>670</v>
      </c>
      <c r="F1182" s="6" t="s">
        <v>112</v>
      </c>
      <c r="G1182" s="6" t="s">
        <v>477</v>
      </c>
      <c r="H1182" s="10">
        <v>46076.0</v>
      </c>
      <c r="I1182" s="12">
        <v>3.0</v>
      </c>
      <c r="J1182" s="6" t="s">
        <v>178</v>
      </c>
    </row>
    <row r="1183" ht="22.5" customHeight="1">
      <c r="A1183" s="6" t="s">
        <v>6315</v>
      </c>
      <c r="B1183" s="6" t="s">
        <v>3479</v>
      </c>
      <c r="C1183" s="10">
        <v>46054.0</v>
      </c>
      <c r="D1183" s="6" t="s">
        <v>436</v>
      </c>
      <c r="E1183" s="6" t="s">
        <v>1102</v>
      </c>
      <c r="F1183" s="6" t="s">
        <v>249</v>
      </c>
      <c r="G1183" s="6" t="s">
        <v>297</v>
      </c>
      <c r="H1183" s="10">
        <v>46057.0</v>
      </c>
      <c r="I1183" s="12">
        <v>6.0</v>
      </c>
      <c r="J1183" s="6" t="s">
        <v>178</v>
      </c>
    </row>
    <row r="1184" ht="22.5" customHeight="1">
      <c r="A1184" s="6" t="s">
        <v>6318</v>
      </c>
      <c r="B1184" s="6" t="s">
        <v>3479</v>
      </c>
      <c r="C1184" s="10">
        <v>46058.0</v>
      </c>
      <c r="D1184" s="6" t="s">
        <v>242</v>
      </c>
      <c r="E1184" s="6" t="s">
        <v>812</v>
      </c>
      <c r="F1184" s="6" t="s">
        <v>439</v>
      </c>
      <c r="G1184" s="6" t="s">
        <v>477</v>
      </c>
      <c r="H1184" s="11" t="s">
        <v>259</v>
      </c>
      <c r="I1184" s="12">
        <v>4.0</v>
      </c>
      <c r="J1184" s="6" t="s">
        <v>178</v>
      </c>
    </row>
    <row r="1185" ht="22.5" customHeight="1">
      <c r="A1185" s="6" t="s">
        <v>6320</v>
      </c>
      <c r="B1185" s="6" t="s">
        <v>3479</v>
      </c>
      <c r="C1185" s="10">
        <v>46054.0</v>
      </c>
      <c r="D1185" s="6" t="s">
        <v>416</v>
      </c>
      <c r="E1185" s="6" t="s">
        <v>246</v>
      </c>
      <c r="F1185" s="6" t="s">
        <v>112</v>
      </c>
      <c r="G1185" s="6" t="s">
        <v>369</v>
      </c>
      <c r="H1185" s="10">
        <v>46059.0</v>
      </c>
      <c r="I1185" s="12">
        <v>14.0</v>
      </c>
      <c r="J1185" s="6" t="s">
        <v>161</v>
      </c>
    </row>
    <row r="1186" ht="22.5" customHeight="1">
      <c r="A1186" s="6" t="s">
        <v>6323</v>
      </c>
      <c r="B1186" s="6" t="s">
        <v>3479</v>
      </c>
      <c r="C1186" s="10">
        <v>46042.0</v>
      </c>
      <c r="D1186" s="6" t="s">
        <v>416</v>
      </c>
      <c r="E1186" s="6" t="s">
        <v>716</v>
      </c>
      <c r="F1186" s="6" t="s">
        <v>439</v>
      </c>
      <c r="G1186" s="6" t="s">
        <v>458</v>
      </c>
      <c r="H1186" s="10">
        <v>46048.0</v>
      </c>
      <c r="I1186" s="12">
        <v>14.0</v>
      </c>
      <c r="J1186" s="6" t="s">
        <v>161</v>
      </c>
    </row>
    <row r="1187" ht="22.5" customHeight="1">
      <c r="A1187" s="6" t="s">
        <v>6327</v>
      </c>
      <c r="B1187" s="6" t="s">
        <v>3479</v>
      </c>
      <c r="C1187" s="10">
        <v>46054.0</v>
      </c>
      <c r="D1187" s="6" t="s">
        <v>312</v>
      </c>
      <c r="E1187" s="6" t="s">
        <v>583</v>
      </c>
      <c r="F1187" s="6" t="s">
        <v>439</v>
      </c>
      <c r="G1187" s="6" t="s">
        <v>452</v>
      </c>
      <c r="H1187" s="10">
        <v>46056.0</v>
      </c>
      <c r="I1187" s="12">
        <v>7.0</v>
      </c>
      <c r="J1187" s="6" t="s">
        <v>161</v>
      </c>
    </row>
    <row r="1188" ht="22.5" customHeight="1">
      <c r="A1188" s="6" t="s">
        <v>6330</v>
      </c>
      <c r="B1188" s="6" t="s">
        <v>3485</v>
      </c>
      <c r="C1188" s="10">
        <v>46058.0</v>
      </c>
      <c r="D1188" s="6" t="s">
        <v>289</v>
      </c>
      <c r="E1188" s="6" t="s">
        <v>704</v>
      </c>
      <c r="F1188" s="6" t="s">
        <v>439</v>
      </c>
      <c r="G1188" s="6" t="s">
        <v>477</v>
      </c>
      <c r="H1188" s="10">
        <v>46059.0</v>
      </c>
      <c r="I1188" s="12">
        <v>7.0</v>
      </c>
      <c r="J1188" s="6" t="s">
        <v>161</v>
      </c>
    </row>
    <row r="1189" ht="22.5" customHeight="1">
      <c r="A1189" s="6" t="s">
        <v>6334</v>
      </c>
      <c r="B1189" s="6" t="s">
        <v>3491</v>
      </c>
      <c r="C1189" s="10">
        <v>46040.0</v>
      </c>
      <c r="D1189" s="6" t="s">
        <v>436</v>
      </c>
      <c r="E1189" s="6" t="s">
        <v>394</v>
      </c>
      <c r="F1189" s="6" t="s">
        <v>439</v>
      </c>
      <c r="G1189" s="6" t="s">
        <v>369</v>
      </c>
      <c r="H1189" s="10">
        <v>46046.0</v>
      </c>
      <c r="I1189" s="12">
        <v>12.0</v>
      </c>
      <c r="J1189" s="6" t="s">
        <v>178</v>
      </c>
    </row>
    <row r="1190" ht="22.5" customHeight="1">
      <c r="A1190" s="6" t="s">
        <v>6335</v>
      </c>
      <c r="B1190" s="6" t="s">
        <v>3491</v>
      </c>
      <c r="C1190" s="10">
        <v>46054.0</v>
      </c>
      <c r="D1190" s="6" t="s">
        <v>391</v>
      </c>
      <c r="E1190" s="6" t="s">
        <v>1241</v>
      </c>
      <c r="F1190" s="6" t="s">
        <v>439</v>
      </c>
      <c r="G1190" s="6" t="s">
        <v>458</v>
      </c>
      <c r="H1190" s="11" t="s">
        <v>259</v>
      </c>
      <c r="I1190" s="12">
        <v>9.0</v>
      </c>
      <c r="J1190" s="6" t="s">
        <v>161</v>
      </c>
    </row>
    <row r="1191" ht="22.5" customHeight="1">
      <c r="A1191" s="6" t="s">
        <v>6341</v>
      </c>
      <c r="B1191" s="6" t="s">
        <v>3491</v>
      </c>
      <c r="C1191" s="10">
        <v>46047.0</v>
      </c>
      <c r="D1191" s="6" t="s">
        <v>416</v>
      </c>
      <c r="E1191" s="6" t="s">
        <v>512</v>
      </c>
      <c r="F1191" s="6" t="s">
        <v>283</v>
      </c>
      <c r="G1191" s="6" t="s">
        <v>326</v>
      </c>
      <c r="H1191" s="10">
        <v>46047.0</v>
      </c>
      <c r="I1191" s="12">
        <v>11.0</v>
      </c>
      <c r="J1191" s="6" t="s">
        <v>161</v>
      </c>
    </row>
    <row r="1192" ht="22.5" customHeight="1">
      <c r="A1192" s="6" t="s">
        <v>6342</v>
      </c>
      <c r="B1192" s="6" t="s">
        <v>3491</v>
      </c>
      <c r="C1192" s="10">
        <v>46060.0</v>
      </c>
      <c r="D1192" s="6" t="s">
        <v>391</v>
      </c>
      <c r="E1192" s="6" t="s">
        <v>1310</v>
      </c>
      <c r="F1192" s="6" t="s">
        <v>249</v>
      </c>
      <c r="G1192" s="6" t="s">
        <v>458</v>
      </c>
      <c r="H1192" s="10">
        <v>46061.0</v>
      </c>
      <c r="I1192" s="12">
        <v>8.0</v>
      </c>
      <c r="J1192" s="6" t="s">
        <v>161</v>
      </c>
    </row>
    <row r="1193" ht="22.5" customHeight="1">
      <c r="A1193" s="6" t="s">
        <v>6345</v>
      </c>
      <c r="B1193" s="6" t="s">
        <v>3491</v>
      </c>
      <c r="C1193" s="10">
        <v>46055.0</v>
      </c>
      <c r="D1193" s="6" t="s">
        <v>242</v>
      </c>
      <c r="E1193" s="6" t="s">
        <v>610</v>
      </c>
      <c r="F1193" s="6" t="s">
        <v>283</v>
      </c>
      <c r="G1193" s="6" t="s">
        <v>477</v>
      </c>
      <c r="H1193" s="11" t="s">
        <v>259</v>
      </c>
      <c r="I1193" s="12">
        <v>3.0</v>
      </c>
      <c r="J1193" s="6" t="s">
        <v>178</v>
      </c>
    </row>
    <row r="1194" ht="22.5" customHeight="1">
      <c r="A1194" s="6" t="s">
        <v>6349</v>
      </c>
      <c r="B1194" s="6" t="s">
        <v>3498</v>
      </c>
      <c r="C1194" s="10">
        <v>46068.0</v>
      </c>
      <c r="D1194" s="6" t="s">
        <v>436</v>
      </c>
      <c r="E1194" s="6" t="s">
        <v>716</v>
      </c>
      <c r="F1194" s="6" t="s">
        <v>249</v>
      </c>
      <c r="G1194" s="6" t="s">
        <v>494</v>
      </c>
      <c r="H1194" s="11" t="s">
        <v>259</v>
      </c>
      <c r="I1194" s="12">
        <v>10.0</v>
      </c>
      <c r="J1194" s="6" t="s">
        <v>178</v>
      </c>
    </row>
    <row r="1195" ht="22.5" customHeight="1">
      <c r="A1195" s="6" t="s">
        <v>6351</v>
      </c>
      <c r="B1195" s="6" t="s">
        <v>3508</v>
      </c>
      <c r="C1195" s="10">
        <v>46077.0</v>
      </c>
      <c r="D1195" s="6" t="s">
        <v>391</v>
      </c>
      <c r="E1195" s="6" t="s">
        <v>775</v>
      </c>
      <c r="F1195" s="6" t="s">
        <v>283</v>
      </c>
      <c r="G1195" s="6" t="s">
        <v>297</v>
      </c>
      <c r="H1195" s="10">
        <v>46079.0</v>
      </c>
      <c r="I1195" s="12">
        <v>10.0</v>
      </c>
      <c r="J1195" s="6" t="s">
        <v>161</v>
      </c>
    </row>
    <row r="1196" ht="22.5" customHeight="1">
      <c r="A1196" s="6" t="s">
        <v>6355</v>
      </c>
      <c r="B1196" s="6" t="s">
        <v>3508</v>
      </c>
      <c r="C1196" s="10">
        <v>46061.0</v>
      </c>
      <c r="D1196" s="6" t="s">
        <v>289</v>
      </c>
      <c r="E1196" s="6" t="s">
        <v>1552</v>
      </c>
      <c r="F1196" s="6" t="s">
        <v>439</v>
      </c>
      <c r="G1196" s="6" t="s">
        <v>297</v>
      </c>
      <c r="H1196" s="10">
        <v>46065.0</v>
      </c>
      <c r="I1196" s="12">
        <v>9.0</v>
      </c>
      <c r="J1196" s="6" t="s">
        <v>161</v>
      </c>
    </row>
    <row r="1197" ht="22.5" customHeight="1">
      <c r="A1197" s="6" t="s">
        <v>6357</v>
      </c>
      <c r="B1197" s="6" t="s">
        <v>3508</v>
      </c>
      <c r="C1197" s="10">
        <v>46068.0</v>
      </c>
      <c r="D1197" s="6" t="s">
        <v>289</v>
      </c>
      <c r="E1197" s="6" t="s">
        <v>833</v>
      </c>
      <c r="F1197" s="6" t="s">
        <v>112</v>
      </c>
      <c r="G1197" s="6" t="s">
        <v>458</v>
      </c>
      <c r="H1197" s="10">
        <v>46068.0</v>
      </c>
      <c r="I1197" s="12">
        <v>10.0</v>
      </c>
      <c r="J1197" s="6" t="s">
        <v>161</v>
      </c>
    </row>
    <row r="1198" ht="22.5" customHeight="1">
      <c r="A1198" s="6" t="s">
        <v>6361</v>
      </c>
      <c r="B1198" s="6" t="s">
        <v>3508</v>
      </c>
      <c r="C1198" s="10">
        <v>46066.0</v>
      </c>
      <c r="D1198" s="6" t="s">
        <v>242</v>
      </c>
      <c r="E1198" s="6" t="s">
        <v>634</v>
      </c>
      <c r="F1198" s="6" t="s">
        <v>283</v>
      </c>
      <c r="G1198" s="6" t="s">
        <v>494</v>
      </c>
      <c r="H1198" s="10">
        <v>46073.0</v>
      </c>
      <c r="I1198" s="12">
        <v>3.0</v>
      </c>
      <c r="J1198" s="6" t="s">
        <v>178</v>
      </c>
    </row>
    <row r="1199" ht="22.5" customHeight="1">
      <c r="A1199" s="6" t="s">
        <v>6363</v>
      </c>
      <c r="B1199" s="6" t="s">
        <v>3514</v>
      </c>
      <c r="C1199" s="10">
        <v>46079.0</v>
      </c>
      <c r="D1199" s="6" t="s">
        <v>289</v>
      </c>
      <c r="E1199" s="6" t="s">
        <v>583</v>
      </c>
      <c r="F1199" s="6" t="s">
        <v>112</v>
      </c>
      <c r="G1199" s="6" t="s">
        <v>477</v>
      </c>
      <c r="H1199" s="10">
        <v>46083.0</v>
      </c>
      <c r="I1199" s="12">
        <v>10.0</v>
      </c>
      <c r="J1199" s="6" t="s">
        <v>161</v>
      </c>
    </row>
    <row r="1200" ht="22.5" customHeight="1">
      <c r="A1200" s="6" t="s">
        <v>6366</v>
      </c>
      <c r="B1200" s="6" t="s">
        <v>3514</v>
      </c>
      <c r="C1200" s="10">
        <v>46084.0</v>
      </c>
      <c r="D1200" s="6" t="s">
        <v>677</v>
      </c>
      <c r="E1200" s="6" t="s">
        <v>1969</v>
      </c>
      <c r="F1200" s="6" t="s">
        <v>283</v>
      </c>
      <c r="G1200" s="6" t="s">
        <v>326</v>
      </c>
      <c r="H1200" s="10">
        <v>46086.0</v>
      </c>
      <c r="I1200" s="12">
        <v>2.0</v>
      </c>
      <c r="J1200" s="6" t="s">
        <v>161</v>
      </c>
    </row>
    <row r="1201" ht="22.5" customHeight="1">
      <c r="A1201" s="6" t="s">
        <v>6372</v>
      </c>
      <c r="B1201" s="6" t="s">
        <v>3514</v>
      </c>
      <c r="C1201" s="10">
        <v>46079.0</v>
      </c>
      <c r="D1201" s="6" t="s">
        <v>312</v>
      </c>
      <c r="E1201" s="6" t="s">
        <v>417</v>
      </c>
      <c r="F1201" s="6" t="s">
        <v>112</v>
      </c>
      <c r="G1201" s="6" t="s">
        <v>254</v>
      </c>
      <c r="H1201" s="10">
        <v>46081.0</v>
      </c>
      <c r="I1201" s="12">
        <v>5.0</v>
      </c>
      <c r="J1201" s="6" t="s">
        <v>161</v>
      </c>
    </row>
    <row r="1202" ht="22.5" customHeight="1">
      <c r="A1202" s="6" t="s">
        <v>6377</v>
      </c>
      <c r="B1202" s="6" t="s">
        <v>3520</v>
      </c>
      <c r="C1202" s="10">
        <v>46040.0</v>
      </c>
      <c r="D1202" s="6" t="s">
        <v>436</v>
      </c>
      <c r="E1202" s="6" t="s">
        <v>1552</v>
      </c>
      <c r="F1202" s="6" t="s">
        <v>112</v>
      </c>
      <c r="G1202" s="6" t="s">
        <v>477</v>
      </c>
      <c r="H1202" s="10">
        <v>46047.0</v>
      </c>
      <c r="I1202" s="12">
        <v>6.0</v>
      </c>
      <c r="J1202" s="6" t="s">
        <v>178</v>
      </c>
    </row>
    <row r="1203" ht="22.5" customHeight="1">
      <c r="A1203" s="6" t="s">
        <v>6383</v>
      </c>
      <c r="B1203" s="6" t="s">
        <v>3520</v>
      </c>
      <c r="C1203" s="10">
        <v>46049.0</v>
      </c>
      <c r="D1203" s="6" t="s">
        <v>312</v>
      </c>
      <c r="E1203" s="6" t="s">
        <v>955</v>
      </c>
      <c r="F1203" s="6" t="s">
        <v>439</v>
      </c>
      <c r="G1203" s="6" t="s">
        <v>494</v>
      </c>
      <c r="H1203" s="10">
        <v>46049.0</v>
      </c>
      <c r="I1203" s="12">
        <v>4.0</v>
      </c>
      <c r="J1203" s="6" t="s">
        <v>161</v>
      </c>
    </row>
    <row r="1204" ht="22.5" customHeight="1">
      <c r="A1204" s="6" t="s">
        <v>6389</v>
      </c>
      <c r="B1204" s="6" t="s">
        <v>3526</v>
      </c>
      <c r="C1204" s="10">
        <v>46058.0</v>
      </c>
      <c r="D1204" s="6" t="s">
        <v>312</v>
      </c>
      <c r="E1204" s="6" t="s">
        <v>704</v>
      </c>
      <c r="F1204" s="6" t="s">
        <v>112</v>
      </c>
      <c r="G1204" s="6" t="s">
        <v>297</v>
      </c>
      <c r="H1204" s="10">
        <v>46060.0</v>
      </c>
      <c r="I1204" s="12">
        <v>6.0</v>
      </c>
      <c r="J1204" s="6" t="s">
        <v>161</v>
      </c>
    </row>
    <row r="1205" ht="22.5" customHeight="1">
      <c r="A1205" s="6" t="s">
        <v>6391</v>
      </c>
      <c r="B1205" s="6" t="s">
        <v>3532</v>
      </c>
      <c r="C1205" s="10">
        <v>46043.0</v>
      </c>
      <c r="D1205" s="6" t="s">
        <v>416</v>
      </c>
      <c r="E1205" s="6" t="s">
        <v>394</v>
      </c>
      <c r="F1205" s="6" t="s">
        <v>112</v>
      </c>
      <c r="G1205" s="6" t="s">
        <v>458</v>
      </c>
      <c r="H1205" s="10">
        <v>46046.0</v>
      </c>
      <c r="I1205" s="12">
        <v>8.0</v>
      </c>
      <c r="J1205" s="6" t="s">
        <v>161</v>
      </c>
    </row>
    <row r="1206" ht="22.5" customHeight="1">
      <c r="A1206" s="6" t="s">
        <v>6395</v>
      </c>
      <c r="B1206" s="6" t="s">
        <v>3532</v>
      </c>
      <c r="C1206" s="10">
        <v>46038.0</v>
      </c>
      <c r="D1206" s="6" t="s">
        <v>677</v>
      </c>
      <c r="E1206" s="6" t="s">
        <v>1517</v>
      </c>
      <c r="F1206" s="6" t="s">
        <v>439</v>
      </c>
      <c r="G1206" s="6" t="s">
        <v>326</v>
      </c>
      <c r="H1206" s="10">
        <v>46045.0</v>
      </c>
      <c r="I1206" s="12">
        <v>2.0</v>
      </c>
      <c r="J1206" s="6" t="s">
        <v>161</v>
      </c>
    </row>
    <row r="1207" ht="22.5" customHeight="1">
      <c r="A1207" s="6" t="s">
        <v>6399</v>
      </c>
      <c r="B1207" s="6" t="s">
        <v>3532</v>
      </c>
      <c r="C1207" s="10">
        <v>46040.0</v>
      </c>
      <c r="D1207" s="6" t="s">
        <v>677</v>
      </c>
      <c r="E1207" s="6" t="s">
        <v>885</v>
      </c>
      <c r="F1207" s="6" t="s">
        <v>112</v>
      </c>
      <c r="G1207" s="6" t="s">
        <v>254</v>
      </c>
      <c r="H1207" s="11" t="s">
        <v>259</v>
      </c>
      <c r="I1207" s="12">
        <v>2.0</v>
      </c>
      <c r="J1207" s="6" t="s">
        <v>161</v>
      </c>
    </row>
    <row r="1208" ht="22.5" customHeight="1">
      <c r="A1208" s="6" t="s">
        <v>6402</v>
      </c>
      <c r="B1208" s="6" t="s">
        <v>3532</v>
      </c>
      <c r="C1208" s="10">
        <v>46042.0</v>
      </c>
      <c r="D1208" s="6" t="s">
        <v>391</v>
      </c>
      <c r="E1208" s="6" t="s">
        <v>2881</v>
      </c>
      <c r="F1208" s="6" t="s">
        <v>283</v>
      </c>
      <c r="G1208" s="6" t="s">
        <v>458</v>
      </c>
      <c r="H1208" s="10">
        <v>46045.0</v>
      </c>
      <c r="I1208" s="12">
        <v>9.0</v>
      </c>
      <c r="J1208" s="6" t="s">
        <v>161</v>
      </c>
    </row>
    <row r="1209" ht="22.5" customHeight="1">
      <c r="A1209" s="6" t="s">
        <v>6405</v>
      </c>
      <c r="B1209" s="6" t="s">
        <v>3538</v>
      </c>
      <c r="C1209" s="10">
        <v>46076.0</v>
      </c>
      <c r="D1209" s="6" t="s">
        <v>312</v>
      </c>
      <c r="E1209" s="6" t="s">
        <v>812</v>
      </c>
      <c r="F1209" s="6" t="s">
        <v>249</v>
      </c>
      <c r="G1209" s="6" t="s">
        <v>494</v>
      </c>
      <c r="H1209" s="10">
        <v>46080.0</v>
      </c>
      <c r="I1209" s="12">
        <v>4.0</v>
      </c>
      <c r="J1209" s="6" t="s">
        <v>161</v>
      </c>
    </row>
    <row r="1210" ht="22.5" customHeight="1">
      <c r="A1210" s="6" t="s">
        <v>6409</v>
      </c>
      <c r="B1210" s="6" t="s">
        <v>3538</v>
      </c>
      <c r="C1210" s="10">
        <v>46082.0</v>
      </c>
      <c r="D1210" s="6" t="s">
        <v>436</v>
      </c>
      <c r="E1210" s="6" t="s">
        <v>1310</v>
      </c>
      <c r="F1210" s="6" t="s">
        <v>112</v>
      </c>
      <c r="G1210" s="6" t="s">
        <v>494</v>
      </c>
      <c r="H1210" s="10">
        <v>46087.0</v>
      </c>
      <c r="I1210" s="12">
        <v>6.0</v>
      </c>
      <c r="J1210" s="6" t="s">
        <v>178</v>
      </c>
    </row>
    <row r="1211" ht="22.5" customHeight="1">
      <c r="A1211" s="6" t="s">
        <v>6411</v>
      </c>
      <c r="B1211" s="6" t="s">
        <v>3538</v>
      </c>
      <c r="C1211" s="10">
        <v>46069.0</v>
      </c>
      <c r="D1211" s="6" t="s">
        <v>391</v>
      </c>
      <c r="E1211" s="6" t="s">
        <v>1600</v>
      </c>
      <c r="F1211" s="6" t="s">
        <v>439</v>
      </c>
      <c r="G1211" s="6" t="s">
        <v>477</v>
      </c>
      <c r="H1211" s="10">
        <v>46071.0</v>
      </c>
      <c r="I1211" s="12">
        <v>6.0</v>
      </c>
      <c r="J1211" s="6" t="s">
        <v>161</v>
      </c>
    </row>
    <row r="1212" ht="22.5" customHeight="1">
      <c r="A1212" s="6" t="s">
        <v>6413</v>
      </c>
      <c r="B1212" s="6" t="s">
        <v>3538</v>
      </c>
      <c r="C1212" s="10">
        <v>46078.0</v>
      </c>
      <c r="D1212" s="6" t="s">
        <v>289</v>
      </c>
      <c r="E1212" s="6" t="s">
        <v>833</v>
      </c>
      <c r="F1212" s="6" t="s">
        <v>249</v>
      </c>
      <c r="G1212" s="6" t="s">
        <v>369</v>
      </c>
      <c r="H1212" s="10">
        <v>46080.0</v>
      </c>
      <c r="I1212" s="12">
        <v>9.0</v>
      </c>
      <c r="J1212" s="6" t="s">
        <v>161</v>
      </c>
    </row>
    <row r="1213" ht="22.5" customHeight="1">
      <c r="A1213" s="6" t="s">
        <v>6417</v>
      </c>
      <c r="B1213" s="6" t="s">
        <v>3538</v>
      </c>
      <c r="C1213" s="10">
        <v>46082.0</v>
      </c>
      <c r="D1213" s="6" t="s">
        <v>242</v>
      </c>
      <c r="E1213" s="6" t="s">
        <v>1386</v>
      </c>
      <c r="F1213" s="6" t="s">
        <v>283</v>
      </c>
      <c r="G1213" s="6" t="s">
        <v>458</v>
      </c>
      <c r="H1213" s="10">
        <v>46089.0</v>
      </c>
      <c r="I1213" s="12">
        <v>5.0</v>
      </c>
      <c r="J1213" s="6" t="s">
        <v>161</v>
      </c>
    </row>
    <row r="1214" ht="22.5" customHeight="1">
      <c r="A1214" s="6" t="s">
        <v>6420</v>
      </c>
      <c r="B1214" s="6" t="s">
        <v>3544</v>
      </c>
      <c r="C1214" s="10">
        <v>46086.0</v>
      </c>
      <c r="D1214" s="6" t="s">
        <v>436</v>
      </c>
      <c r="E1214" s="6" t="s">
        <v>812</v>
      </c>
      <c r="F1214" s="6" t="s">
        <v>439</v>
      </c>
      <c r="G1214" s="6" t="s">
        <v>494</v>
      </c>
      <c r="H1214" s="10">
        <v>46087.0</v>
      </c>
      <c r="I1214" s="12">
        <v>9.0</v>
      </c>
      <c r="J1214" s="6" t="s">
        <v>161</v>
      </c>
    </row>
    <row r="1215" ht="22.5" customHeight="1">
      <c r="A1215" s="6" t="s">
        <v>6424</v>
      </c>
      <c r="B1215" s="6" t="s">
        <v>3544</v>
      </c>
      <c r="C1215" s="10">
        <v>46079.0</v>
      </c>
      <c r="D1215" s="6" t="s">
        <v>242</v>
      </c>
      <c r="E1215" s="6" t="s">
        <v>833</v>
      </c>
      <c r="F1215" s="6" t="s">
        <v>439</v>
      </c>
      <c r="G1215" s="6" t="s">
        <v>494</v>
      </c>
      <c r="H1215" s="10">
        <v>46084.0</v>
      </c>
      <c r="I1215" s="12">
        <v>6.0</v>
      </c>
      <c r="J1215" s="6" t="s">
        <v>178</v>
      </c>
    </row>
    <row r="1216" ht="22.5" customHeight="1">
      <c r="A1216" s="6" t="s">
        <v>6426</v>
      </c>
      <c r="B1216" s="6" t="s">
        <v>3551</v>
      </c>
      <c r="C1216" s="10">
        <v>46047.0</v>
      </c>
      <c r="D1216" s="6" t="s">
        <v>289</v>
      </c>
      <c r="E1216" s="6" t="s">
        <v>610</v>
      </c>
      <c r="F1216" s="6" t="s">
        <v>112</v>
      </c>
      <c r="G1216" s="6" t="s">
        <v>452</v>
      </c>
      <c r="H1216" s="10">
        <v>46051.0</v>
      </c>
      <c r="I1216" s="12">
        <v>10.0</v>
      </c>
      <c r="J1216" s="6" t="s">
        <v>161</v>
      </c>
    </row>
    <row r="1217" ht="22.5" customHeight="1">
      <c r="A1217" s="6" t="s">
        <v>6431</v>
      </c>
      <c r="B1217" s="6" t="s">
        <v>3551</v>
      </c>
      <c r="C1217" s="10">
        <v>46035.0</v>
      </c>
      <c r="D1217" s="6" t="s">
        <v>289</v>
      </c>
      <c r="E1217" s="6" t="s">
        <v>812</v>
      </c>
      <c r="F1217" s="6" t="s">
        <v>283</v>
      </c>
      <c r="G1217" s="6" t="s">
        <v>254</v>
      </c>
      <c r="H1217" s="10">
        <v>46040.0</v>
      </c>
      <c r="I1217" s="12">
        <v>5.0</v>
      </c>
      <c r="J1217" s="6" t="s">
        <v>161</v>
      </c>
    </row>
    <row r="1218" ht="22.5" customHeight="1">
      <c r="A1218" s="6" t="s">
        <v>6432</v>
      </c>
      <c r="B1218" s="6" t="s">
        <v>3558</v>
      </c>
      <c r="C1218" s="10">
        <v>46050.0</v>
      </c>
      <c r="D1218" s="6" t="s">
        <v>677</v>
      </c>
      <c r="E1218" s="6" t="s">
        <v>1310</v>
      </c>
      <c r="F1218" s="6" t="s">
        <v>439</v>
      </c>
      <c r="G1218" s="6" t="s">
        <v>254</v>
      </c>
      <c r="H1218" s="10">
        <v>46054.0</v>
      </c>
      <c r="I1218" s="12">
        <v>4.0</v>
      </c>
      <c r="J1218" s="6" t="s">
        <v>161</v>
      </c>
    </row>
    <row r="1219" ht="22.5" customHeight="1">
      <c r="A1219" s="6" t="s">
        <v>6435</v>
      </c>
      <c r="B1219" s="6" t="s">
        <v>3558</v>
      </c>
      <c r="C1219" s="10">
        <v>46061.0</v>
      </c>
      <c r="D1219" s="6" t="s">
        <v>416</v>
      </c>
      <c r="E1219" s="6" t="s">
        <v>1626</v>
      </c>
      <c r="F1219" s="6" t="s">
        <v>439</v>
      </c>
      <c r="G1219" s="6" t="s">
        <v>458</v>
      </c>
      <c r="H1219" s="10">
        <v>46068.0</v>
      </c>
      <c r="I1219" s="12">
        <v>12.0</v>
      </c>
      <c r="J1219" s="6" t="s">
        <v>161</v>
      </c>
    </row>
    <row r="1220" ht="22.5" customHeight="1">
      <c r="A1220" s="6" t="s">
        <v>6439</v>
      </c>
      <c r="B1220" s="6" t="s">
        <v>3558</v>
      </c>
      <c r="C1220" s="10">
        <v>46067.0</v>
      </c>
      <c r="D1220" s="6" t="s">
        <v>312</v>
      </c>
      <c r="E1220" s="6" t="s">
        <v>1149</v>
      </c>
      <c r="F1220" s="6" t="s">
        <v>439</v>
      </c>
      <c r="G1220" s="6" t="s">
        <v>254</v>
      </c>
      <c r="H1220" s="10">
        <v>46069.0</v>
      </c>
      <c r="I1220" s="12">
        <v>6.0</v>
      </c>
      <c r="J1220" s="6" t="s">
        <v>161</v>
      </c>
    </row>
    <row r="1221" ht="22.5" customHeight="1">
      <c r="A1221" s="6" t="s">
        <v>6442</v>
      </c>
      <c r="B1221" s="6" t="s">
        <v>3558</v>
      </c>
      <c r="C1221" s="10">
        <v>46047.0</v>
      </c>
      <c r="D1221" s="6" t="s">
        <v>289</v>
      </c>
      <c r="E1221" s="6" t="s">
        <v>885</v>
      </c>
      <c r="F1221" s="6" t="s">
        <v>439</v>
      </c>
      <c r="G1221" s="6" t="s">
        <v>494</v>
      </c>
      <c r="H1221" s="10">
        <v>46053.0</v>
      </c>
      <c r="I1221" s="12">
        <v>5.0</v>
      </c>
      <c r="J1221" s="6" t="s">
        <v>161</v>
      </c>
    </row>
    <row r="1222" ht="22.5" customHeight="1">
      <c r="A1222" s="6" t="s">
        <v>6446</v>
      </c>
      <c r="B1222" s="6" t="s">
        <v>3558</v>
      </c>
      <c r="C1222" s="10">
        <v>46051.0</v>
      </c>
      <c r="D1222" s="6" t="s">
        <v>416</v>
      </c>
      <c r="E1222" s="6" t="s">
        <v>1070</v>
      </c>
      <c r="F1222" s="6" t="s">
        <v>112</v>
      </c>
      <c r="G1222" s="6" t="s">
        <v>494</v>
      </c>
      <c r="H1222" s="10">
        <v>46051.0</v>
      </c>
      <c r="I1222" s="12">
        <v>14.0</v>
      </c>
      <c r="J1222" s="6" t="s">
        <v>161</v>
      </c>
    </row>
    <row r="1223" ht="22.5" customHeight="1">
      <c r="A1223" s="6" t="s">
        <v>6447</v>
      </c>
      <c r="B1223" s="6" t="s">
        <v>3565</v>
      </c>
      <c r="C1223" s="10">
        <v>46059.0</v>
      </c>
      <c r="D1223" s="6" t="s">
        <v>436</v>
      </c>
      <c r="E1223" s="6" t="s">
        <v>1546</v>
      </c>
      <c r="F1223" s="6" t="s">
        <v>439</v>
      </c>
      <c r="G1223" s="6" t="s">
        <v>326</v>
      </c>
      <c r="H1223" s="10">
        <v>46061.0</v>
      </c>
      <c r="I1223" s="12">
        <v>9.0</v>
      </c>
      <c r="J1223" s="6" t="s">
        <v>178</v>
      </c>
    </row>
    <row r="1224" ht="22.5" customHeight="1">
      <c r="A1224" s="6" t="s">
        <v>6451</v>
      </c>
      <c r="B1224" s="6" t="s">
        <v>3565</v>
      </c>
      <c r="C1224" s="10">
        <v>46075.0</v>
      </c>
      <c r="D1224" s="6" t="s">
        <v>312</v>
      </c>
      <c r="E1224" s="6" t="s">
        <v>1055</v>
      </c>
      <c r="F1224" s="6" t="s">
        <v>112</v>
      </c>
      <c r="G1224" s="6" t="s">
        <v>452</v>
      </c>
      <c r="H1224" s="10">
        <v>46079.0</v>
      </c>
      <c r="I1224" s="12">
        <v>7.0</v>
      </c>
      <c r="J1224" s="6" t="s">
        <v>161</v>
      </c>
    </row>
    <row r="1225" ht="22.5" customHeight="1">
      <c r="A1225" s="6" t="s">
        <v>6454</v>
      </c>
      <c r="B1225" s="6" t="s">
        <v>3565</v>
      </c>
      <c r="C1225" s="10">
        <v>46076.0</v>
      </c>
      <c r="D1225" s="6" t="s">
        <v>242</v>
      </c>
      <c r="E1225" s="6" t="s">
        <v>738</v>
      </c>
      <c r="F1225" s="6" t="s">
        <v>249</v>
      </c>
      <c r="G1225" s="6" t="s">
        <v>494</v>
      </c>
      <c r="H1225" s="10">
        <v>46081.0</v>
      </c>
      <c r="I1225" s="12">
        <v>3.0</v>
      </c>
      <c r="J1225" s="6" t="s">
        <v>178</v>
      </c>
    </row>
    <row r="1226" ht="22.5" customHeight="1">
      <c r="A1226" s="6" t="s">
        <v>6457</v>
      </c>
      <c r="B1226" s="6" t="s">
        <v>3572</v>
      </c>
      <c r="C1226" s="10">
        <v>46048.0</v>
      </c>
      <c r="D1226" s="6" t="s">
        <v>416</v>
      </c>
      <c r="E1226" s="6" t="s">
        <v>731</v>
      </c>
      <c r="F1226" s="6" t="s">
        <v>249</v>
      </c>
      <c r="G1226" s="6" t="s">
        <v>369</v>
      </c>
      <c r="H1226" s="10">
        <v>46050.0</v>
      </c>
      <c r="I1226" s="12">
        <v>9.0</v>
      </c>
      <c r="J1226" s="6" t="s">
        <v>161</v>
      </c>
    </row>
    <row r="1227" ht="22.5" customHeight="1">
      <c r="A1227" s="6" t="s">
        <v>6460</v>
      </c>
      <c r="B1227" s="6" t="s">
        <v>3572</v>
      </c>
      <c r="C1227" s="10">
        <v>46046.0</v>
      </c>
      <c r="D1227" s="6" t="s">
        <v>312</v>
      </c>
      <c r="E1227" s="6" t="s">
        <v>670</v>
      </c>
      <c r="F1227" s="6" t="s">
        <v>283</v>
      </c>
      <c r="G1227" s="6" t="s">
        <v>477</v>
      </c>
      <c r="H1227" s="10">
        <v>46049.0</v>
      </c>
      <c r="I1227" s="12">
        <v>5.0</v>
      </c>
      <c r="J1227" s="6" t="s">
        <v>161</v>
      </c>
    </row>
    <row r="1228" ht="22.5" customHeight="1">
      <c r="A1228" s="6" t="s">
        <v>6462</v>
      </c>
      <c r="B1228" s="6" t="s">
        <v>3572</v>
      </c>
      <c r="C1228" s="10">
        <v>46065.0</v>
      </c>
      <c r="D1228" s="6" t="s">
        <v>312</v>
      </c>
      <c r="E1228" s="6" t="s">
        <v>738</v>
      </c>
      <c r="F1228" s="6" t="s">
        <v>283</v>
      </c>
      <c r="G1228" s="6" t="s">
        <v>452</v>
      </c>
      <c r="H1228" s="10">
        <v>46069.0</v>
      </c>
      <c r="I1228" s="12">
        <v>5.0</v>
      </c>
      <c r="J1228" s="6" t="s">
        <v>161</v>
      </c>
    </row>
    <row r="1229" ht="22.5" customHeight="1">
      <c r="A1229" s="6" t="s">
        <v>6468</v>
      </c>
      <c r="B1229" s="6" t="s">
        <v>3578</v>
      </c>
      <c r="C1229" s="10">
        <v>46050.0</v>
      </c>
      <c r="D1229" s="6" t="s">
        <v>391</v>
      </c>
      <c r="E1229" s="6" t="s">
        <v>775</v>
      </c>
      <c r="F1229" s="6" t="s">
        <v>439</v>
      </c>
      <c r="G1229" s="6" t="s">
        <v>452</v>
      </c>
      <c r="H1229" s="10">
        <v>46057.0</v>
      </c>
      <c r="I1229" s="12">
        <v>9.0</v>
      </c>
      <c r="J1229" s="6" t="s">
        <v>161</v>
      </c>
    </row>
    <row r="1230" ht="22.5" customHeight="1">
      <c r="A1230" s="6" t="s">
        <v>6471</v>
      </c>
      <c r="B1230" s="6" t="s">
        <v>3578</v>
      </c>
      <c r="C1230" s="10">
        <v>46054.0</v>
      </c>
      <c r="D1230" s="6" t="s">
        <v>391</v>
      </c>
      <c r="E1230" s="6" t="s">
        <v>365</v>
      </c>
      <c r="F1230" s="6" t="s">
        <v>112</v>
      </c>
      <c r="G1230" s="6" t="s">
        <v>369</v>
      </c>
      <c r="H1230" s="11" t="s">
        <v>259</v>
      </c>
      <c r="I1230" s="12">
        <v>10.0</v>
      </c>
      <c r="J1230" s="6" t="s">
        <v>161</v>
      </c>
    </row>
    <row r="1231" ht="22.5" customHeight="1">
      <c r="A1231" s="6" t="s">
        <v>6475</v>
      </c>
      <c r="B1231" s="6" t="s">
        <v>3578</v>
      </c>
      <c r="C1231" s="10">
        <v>46046.0</v>
      </c>
      <c r="D1231" s="6" t="s">
        <v>436</v>
      </c>
      <c r="E1231" s="6" t="s">
        <v>738</v>
      </c>
      <c r="F1231" s="6" t="s">
        <v>439</v>
      </c>
      <c r="G1231" s="6" t="s">
        <v>477</v>
      </c>
      <c r="H1231" s="10">
        <v>46047.0</v>
      </c>
      <c r="I1231" s="12">
        <v>7.0</v>
      </c>
      <c r="J1231" s="6" t="s">
        <v>161</v>
      </c>
    </row>
    <row r="1232" ht="22.5" customHeight="1">
      <c r="A1232" s="6" t="s">
        <v>6480</v>
      </c>
      <c r="B1232" s="6" t="s">
        <v>3585</v>
      </c>
      <c r="C1232" s="10">
        <v>46077.0</v>
      </c>
      <c r="D1232" s="6" t="s">
        <v>289</v>
      </c>
      <c r="E1232" s="6" t="s">
        <v>658</v>
      </c>
      <c r="F1232" s="6" t="s">
        <v>439</v>
      </c>
      <c r="G1232" s="6" t="s">
        <v>297</v>
      </c>
      <c r="H1232" s="10">
        <v>46078.0</v>
      </c>
      <c r="I1232" s="12">
        <v>5.0</v>
      </c>
      <c r="J1232" s="6" t="s">
        <v>161</v>
      </c>
    </row>
    <row r="1233" ht="22.5" customHeight="1">
      <c r="A1233" s="6" t="s">
        <v>6483</v>
      </c>
      <c r="B1233" s="6" t="s">
        <v>3585</v>
      </c>
      <c r="C1233" s="10">
        <v>46064.0</v>
      </c>
      <c r="D1233" s="6" t="s">
        <v>289</v>
      </c>
      <c r="E1233" s="6" t="s">
        <v>704</v>
      </c>
      <c r="F1233" s="6" t="s">
        <v>112</v>
      </c>
      <c r="G1233" s="6" t="s">
        <v>494</v>
      </c>
      <c r="H1233" s="11" t="s">
        <v>259</v>
      </c>
      <c r="I1233" s="12">
        <v>9.0</v>
      </c>
      <c r="J1233" s="6" t="s">
        <v>161</v>
      </c>
    </row>
    <row r="1234" ht="22.5" customHeight="1">
      <c r="A1234" s="6" t="s">
        <v>6487</v>
      </c>
      <c r="B1234" s="6" t="s">
        <v>3592</v>
      </c>
      <c r="C1234" s="10">
        <v>46074.0</v>
      </c>
      <c r="D1234" s="6" t="s">
        <v>677</v>
      </c>
      <c r="E1234" s="6" t="s">
        <v>704</v>
      </c>
      <c r="F1234" s="6" t="s">
        <v>283</v>
      </c>
      <c r="G1234" s="6" t="s">
        <v>452</v>
      </c>
      <c r="H1234" s="10">
        <v>46076.0</v>
      </c>
      <c r="I1234" s="12">
        <v>2.0</v>
      </c>
      <c r="J1234" s="6" t="s">
        <v>161</v>
      </c>
    </row>
    <row r="1235" ht="22.5" customHeight="1">
      <c r="A1235" s="6" t="s">
        <v>6491</v>
      </c>
      <c r="B1235" s="6" t="s">
        <v>3592</v>
      </c>
      <c r="C1235" s="10">
        <v>46085.0</v>
      </c>
      <c r="D1235" s="6" t="s">
        <v>677</v>
      </c>
      <c r="E1235" s="6" t="s">
        <v>634</v>
      </c>
      <c r="F1235" s="6" t="s">
        <v>112</v>
      </c>
      <c r="G1235" s="6" t="s">
        <v>452</v>
      </c>
      <c r="H1235" s="10">
        <v>46087.0</v>
      </c>
      <c r="I1235" s="12">
        <v>2.0</v>
      </c>
      <c r="J1235" s="6" t="s">
        <v>161</v>
      </c>
    </row>
    <row r="1236" ht="22.5" customHeight="1">
      <c r="A1236" s="6" t="s">
        <v>6494</v>
      </c>
      <c r="B1236" s="6" t="s">
        <v>3592</v>
      </c>
      <c r="C1236" s="10">
        <v>46079.0</v>
      </c>
      <c r="D1236" s="6" t="s">
        <v>677</v>
      </c>
      <c r="E1236" s="6" t="s">
        <v>394</v>
      </c>
      <c r="F1236" s="6" t="s">
        <v>112</v>
      </c>
      <c r="G1236" s="6" t="s">
        <v>477</v>
      </c>
      <c r="H1236" s="11" t="s">
        <v>259</v>
      </c>
      <c r="I1236" s="12">
        <v>2.0</v>
      </c>
      <c r="J1236" s="6" t="s">
        <v>161</v>
      </c>
    </row>
    <row r="1237" ht="22.5" customHeight="1">
      <c r="A1237" s="6" t="s">
        <v>6497</v>
      </c>
      <c r="B1237" s="6" t="s">
        <v>3598</v>
      </c>
      <c r="C1237" s="10">
        <v>46063.0</v>
      </c>
      <c r="D1237" s="6" t="s">
        <v>312</v>
      </c>
      <c r="E1237" s="6" t="s">
        <v>775</v>
      </c>
      <c r="F1237" s="6" t="s">
        <v>249</v>
      </c>
      <c r="G1237" s="6" t="s">
        <v>254</v>
      </c>
      <c r="H1237" s="10">
        <v>46064.0</v>
      </c>
      <c r="I1237" s="12">
        <v>7.0</v>
      </c>
      <c r="J1237" s="6" t="s">
        <v>161</v>
      </c>
    </row>
    <row r="1238" ht="22.5" customHeight="1">
      <c r="A1238" s="6" t="s">
        <v>6502</v>
      </c>
      <c r="B1238" s="6" t="s">
        <v>3598</v>
      </c>
      <c r="C1238" s="10">
        <v>46054.0</v>
      </c>
      <c r="D1238" s="6" t="s">
        <v>416</v>
      </c>
      <c r="E1238" s="6" t="s">
        <v>1626</v>
      </c>
      <c r="F1238" s="6" t="s">
        <v>283</v>
      </c>
      <c r="G1238" s="6" t="s">
        <v>494</v>
      </c>
      <c r="H1238" s="10">
        <v>46057.0</v>
      </c>
      <c r="I1238" s="12">
        <v>12.0</v>
      </c>
      <c r="J1238" s="6" t="s">
        <v>161</v>
      </c>
    </row>
    <row r="1239" ht="22.5" customHeight="1">
      <c r="A1239" s="6" t="s">
        <v>6507</v>
      </c>
      <c r="B1239" s="6" t="s">
        <v>3598</v>
      </c>
      <c r="C1239" s="10">
        <v>46073.0</v>
      </c>
      <c r="D1239" s="6" t="s">
        <v>416</v>
      </c>
      <c r="E1239" s="6" t="s">
        <v>450</v>
      </c>
      <c r="F1239" s="6" t="s">
        <v>283</v>
      </c>
      <c r="G1239" s="6" t="s">
        <v>477</v>
      </c>
      <c r="H1239" s="10">
        <v>46077.0</v>
      </c>
      <c r="I1239" s="12">
        <v>10.0</v>
      </c>
      <c r="J1239" s="6" t="s">
        <v>161</v>
      </c>
    </row>
    <row r="1240" ht="22.5" customHeight="1">
      <c r="A1240" s="6" t="s">
        <v>6510</v>
      </c>
      <c r="B1240" s="6" t="s">
        <v>3598</v>
      </c>
      <c r="C1240" s="10">
        <v>46064.0</v>
      </c>
      <c r="D1240" s="6" t="s">
        <v>242</v>
      </c>
      <c r="E1240" s="6" t="s">
        <v>1241</v>
      </c>
      <c r="F1240" s="6" t="s">
        <v>439</v>
      </c>
      <c r="G1240" s="6" t="s">
        <v>452</v>
      </c>
      <c r="H1240" s="10">
        <v>46067.0</v>
      </c>
      <c r="I1240" s="12">
        <v>4.0</v>
      </c>
      <c r="J1240" s="6" t="s">
        <v>161</v>
      </c>
    </row>
    <row r="1241" ht="22.5" customHeight="1">
      <c r="A1241" s="6" t="s">
        <v>6515</v>
      </c>
      <c r="B1241" s="6" t="s">
        <v>3598</v>
      </c>
      <c r="C1241" s="10">
        <v>46066.0</v>
      </c>
      <c r="D1241" s="6" t="s">
        <v>242</v>
      </c>
      <c r="E1241" s="6" t="s">
        <v>1741</v>
      </c>
      <c r="F1241" s="6" t="s">
        <v>439</v>
      </c>
      <c r="G1241" s="6" t="s">
        <v>254</v>
      </c>
      <c r="H1241" s="10">
        <v>46069.0</v>
      </c>
      <c r="I1241" s="12">
        <v>6.0</v>
      </c>
      <c r="J1241" s="6" t="s">
        <v>161</v>
      </c>
    </row>
    <row r="1242" ht="22.5" customHeight="1">
      <c r="A1242" s="6" t="s">
        <v>6519</v>
      </c>
      <c r="B1242" s="6" t="s">
        <v>3605</v>
      </c>
      <c r="C1242" s="10">
        <v>46046.0</v>
      </c>
      <c r="D1242" s="6" t="s">
        <v>416</v>
      </c>
      <c r="E1242" s="6" t="s">
        <v>1386</v>
      </c>
      <c r="F1242" s="6" t="s">
        <v>439</v>
      </c>
      <c r="G1242" s="6" t="s">
        <v>452</v>
      </c>
      <c r="H1242" s="11" t="s">
        <v>259</v>
      </c>
      <c r="I1242" s="12">
        <v>11.0</v>
      </c>
      <c r="J1242" s="6" t="s">
        <v>161</v>
      </c>
    </row>
    <row r="1243" ht="22.5" customHeight="1">
      <c r="A1243" s="6" t="s">
        <v>6523</v>
      </c>
      <c r="B1243" s="6" t="s">
        <v>3605</v>
      </c>
      <c r="C1243" s="10">
        <v>46036.0</v>
      </c>
      <c r="D1243" s="6" t="s">
        <v>677</v>
      </c>
      <c r="E1243" s="6" t="s">
        <v>1626</v>
      </c>
      <c r="F1243" s="6" t="s">
        <v>249</v>
      </c>
      <c r="G1243" s="6" t="s">
        <v>369</v>
      </c>
      <c r="H1243" s="11" t="s">
        <v>259</v>
      </c>
      <c r="I1243" s="12">
        <v>2.0</v>
      </c>
      <c r="J1243" s="6" t="s">
        <v>161</v>
      </c>
    </row>
    <row r="1244" ht="22.5" customHeight="1">
      <c r="A1244" s="6" t="s">
        <v>6527</v>
      </c>
      <c r="B1244" s="6" t="s">
        <v>3605</v>
      </c>
      <c r="C1244" s="10">
        <v>46038.0</v>
      </c>
      <c r="D1244" s="6" t="s">
        <v>289</v>
      </c>
      <c r="E1244" s="6" t="s">
        <v>320</v>
      </c>
      <c r="F1244" s="6" t="s">
        <v>249</v>
      </c>
      <c r="G1244" s="6" t="s">
        <v>452</v>
      </c>
      <c r="H1244" s="10">
        <v>46045.0</v>
      </c>
      <c r="I1244" s="12">
        <v>7.0</v>
      </c>
      <c r="J1244" s="6" t="s">
        <v>161</v>
      </c>
    </row>
    <row r="1245" ht="22.5" customHeight="1">
      <c r="A1245" s="6" t="s">
        <v>6532</v>
      </c>
      <c r="B1245" s="6" t="s">
        <v>3605</v>
      </c>
      <c r="C1245" s="10">
        <v>46041.0</v>
      </c>
      <c r="D1245" s="6" t="s">
        <v>416</v>
      </c>
      <c r="E1245" s="6" t="s">
        <v>1280</v>
      </c>
      <c r="F1245" s="6" t="s">
        <v>283</v>
      </c>
      <c r="G1245" s="6" t="s">
        <v>452</v>
      </c>
      <c r="H1245" s="11" t="s">
        <v>259</v>
      </c>
      <c r="I1245" s="12">
        <v>9.0</v>
      </c>
      <c r="J1245" s="6" t="s">
        <v>161</v>
      </c>
    </row>
    <row r="1246" ht="22.5" customHeight="1">
      <c r="A1246" s="6" t="s">
        <v>6535</v>
      </c>
      <c r="B1246" s="6" t="s">
        <v>3611</v>
      </c>
      <c r="C1246" s="10">
        <v>46080.0</v>
      </c>
      <c r="D1246" s="6" t="s">
        <v>289</v>
      </c>
      <c r="E1246" s="6" t="s">
        <v>394</v>
      </c>
      <c r="F1246" s="6" t="s">
        <v>283</v>
      </c>
      <c r="G1246" s="6" t="s">
        <v>254</v>
      </c>
      <c r="H1246" s="11" t="s">
        <v>259</v>
      </c>
      <c r="I1246" s="12">
        <v>5.0</v>
      </c>
      <c r="J1246" s="6" t="s">
        <v>161</v>
      </c>
    </row>
    <row r="1247" ht="22.5" customHeight="1">
      <c r="A1247" s="6" t="s">
        <v>6540</v>
      </c>
      <c r="B1247" s="6" t="s">
        <v>3611</v>
      </c>
      <c r="C1247" s="10">
        <v>46070.0</v>
      </c>
      <c r="D1247" s="6" t="s">
        <v>312</v>
      </c>
      <c r="E1247" s="6" t="s">
        <v>1035</v>
      </c>
      <c r="F1247" s="6" t="s">
        <v>112</v>
      </c>
      <c r="G1247" s="6" t="s">
        <v>369</v>
      </c>
      <c r="H1247" s="10">
        <v>46074.0</v>
      </c>
      <c r="I1247" s="12">
        <v>4.0</v>
      </c>
      <c r="J1247" s="6" t="s">
        <v>161</v>
      </c>
    </row>
    <row r="1248" ht="22.5" customHeight="1">
      <c r="A1248" s="6" t="s">
        <v>6545</v>
      </c>
      <c r="B1248" s="6" t="s">
        <v>3611</v>
      </c>
      <c r="C1248" s="10">
        <v>46080.0</v>
      </c>
      <c r="D1248" s="6" t="s">
        <v>312</v>
      </c>
      <c r="E1248" s="6" t="s">
        <v>1969</v>
      </c>
      <c r="F1248" s="6" t="s">
        <v>249</v>
      </c>
      <c r="G1248" s="6" t="s">
        <v>369</v>
      </c>
      <c r="H1248" s="10">
        <v>46084.0</v>
      </c>
      <c r="I1248" s="12">
        <v>5.0</v>
      </c>
      <c r="J1248" s="6" t="s">
        <v>161</v>
      </c>
    </row>
    <row r="1249" ht="22.5" customHeight="1">
      <c r="A1249" s="6" t="s">
        <v>6551</v>
      </c>
      <c r="B1249" s="6" t="s">
        <v>3611</v>
      </c>
      <c r="C1249" s="10">
        <v>46075.0</v>
      </c>
      <c r="D1249" s="6" t="s">
        <v>416</v>
      </c>
      <c r="E1249" s="6" t="s">
        <v>716</v>
      </c>
      <c r="F1249" s="6" t="s">
        <v>249</v>
      </c>
      <c r="G1249" s="6" t="s">
        <v>458</v>
      </c>
      <c r="H1249" s="10">
        <v>46078.0</v>
      </c>
      <c r="I1249" s="12">
        <v>8.0</v>
      </c>
      <c r="J1249" s="6" t="s">
        <v>161</v>
      </c>
    </row>
    <row r="1250" ht="22.5" customHeight="1">
      <c r="A1250" s="6" t="s">
        <v>6554</v>
      </c>
      <c r="B1250" s="6" t="s">
        <v>3618</v>
      </c>
      <c r="C1250" s="10">
        <v>46033.0</v>
      </c>
      <c r="D1250" s="6" t="s">
        <v>436</v>
      </c>
      <c r="E1250" s="6" t="s">
        <v>896</v>
      </c>
      <c r="F1250" s="6" t="s">
        <v>112</v>
      </c>
      <c r="G1250" s="6" t="s">
        <v>452</v>
      </c>
      <c r="H1250" s="11" t="s">
        <v>259</v>
      </c>
      <c r="I1250" s="12">
        <v>9.0</v>
      </c>
      <c r="J1250" s="6" t="s">
        <v>178</v>
      </c>
    </row>
    <row r="1251" ht="22.5" customHeight="1">
      <c r="A1251" s="6" t="s">
        <v>6559</v>
      </c>
      <c r="B1251" s="6" t="s">
        <v>3618</v>
      </c>
      <c r="C1251" s="10">
        <v>46037.0</v>
      </c>
      <c r="D1251" s="6" t="s">
        <v>436</v>
      </c>
      <c r="E1251" s="6" t="s">
        <v>618</v>
      </c>
      <c r="F1251" s="6" t="s">
        <v>112</v>
      </c>
      <c r="G1251" s="6" t="s">
        <v>326</v>
      </c>
      <c r="H1251" s="10">
        <v>46044.0</v>
      </c>
      <c r="I1251" s="12">
        <v>9.0</v>
      </c>
      <c r="J1251" s="6" t="s">
        <v>178</v>
      </c>
    </row>
    <row r="1252" ht="22.5" customHeight="1">
      <c r="A1252" s="6" t="s">
        <v>6567</v>
      </c>
      <c r="B1252" s="6" t="s">
        <v>3618</v>
      </c>
      <c r="C1252" s="10">
        <v>46034.0</v>
      </c>
      <c r="D1252" s="6" t="s">
        <v>242</v>
      </c>
      <c r="E1252" s="6" t="s">
        <v>1310</v>
      </c>
      <c r="F1252" s="6" t="s">
        <v>283</v>
      </c>
      <c r="G1252" s="6" t="s">
        <v>297</v>
      </c>
      <c r="H1252" s="11" t="s">
        <v>259</v>
      </c>
      <c r="I1252" s="12">
        <v>6.0</v>
      </c>
      <c r="J1252" s="6" t="s">
        <v>178</v>
      </c>
    </row>
    <row r="1253" ht="22.5" customHeight="1">
      <c r="A1253" s="6" t="s">
        <v>6572</v>
      </c>
      <c r="B1253" s="6" t="s">
        <v>3618</v>
      </c>
      <c r="C1253" s="10">
        <v>46032.0</v>
      </c>
      <c r="D1253" s="6" t="s">
        <v>312</v>
      </c>
      <c r="E1253" s="6" t="s">
        <v>628</v>
      </c>
      <c r="F1253" s="6" t="s">
        <v>249</v>
      </c>
      <c r="G1253" s="6" t="s">
        <v>369</v>
      </c>
      <c r="H1253" s="10">
        <v>46036.0</v>
      </c>
      <c r="I1253" s="12">
        <v>7.0</v>
      </c>
      <c r="J1253" s="6" t="s">
        <v>161</v>
      </c>
    </row>
    <row r="1254" ht="22.5" customHeight="1">
      <c r="A1254" s="6" t="s">
        <v>6576</v>
      </c>
      <c r="B1254" s="6" t="s">
        <v>3624</v>
      </c>
      <c r="C1254" s="10">
        <v>46039.0</v>
      </c>
      <c r="D1254" s="6" t="s">
        <v>312</v>
      </c>
      <c r="E1254" s="6" t="s">
        <v>618</v>
      </c>
      <c r="F1254" s="6" t="s">
        <v>112</v>
      </c>
      <c r="G1254" s="6" t="s">
        <v>297</v>
      </c>
      <c r="H1254" s="10">
        <v>46045.0</v>
      </c>
      <c r="I1254" s="12">
        <v>4.0</v>
      </c>
      <c r="J1254" s="6" t="s">
        <v>161</v>
      </c>
    </row>
    <row r="1255" ht="22.5" customHeight="1">
      <c r="A1255" s="6" t="s">
        <v>6582</v>
      </c>
      <c r="B1255" s="6" t="s">
        <v>3624</v>
      </c>
      <c r="C1255" s="10">
        <v>46047.0</v>
      </c>
      <c r="D1255" s="6" t="s">
        <v>391</v>
      </c>
      <c r="E1255" s="6" t="s">
        <v>566</v>
      </c>
      <c r="F1255" s="6" t="s">
        <v>112</v>
      </c>
      <c r="G1255" s="6" t="s">
        <v>452</v>
      </c>
      <c r="H1255" s="11" t="s">
        <v>259</v>
      </c>
      <c r="I1255" s="12">
        <v>8.0</v>
      </c>
      <c r="J1255" s="6" t="s">
        <v>161</v>
      </c>
    </row>
    <row r="1256" ht="22.5" customHeight="1">
      <c r="A1256" s="6" t="s">
        <v>6585</v>
      </c>
      <c r="B1256" s="6" t="s">
        <v>3629</v>
      </c>
      <c r="C1256" s="10">
        <v>46085.0</v>
      </c>
      <c r="D1256" s="6" t="s">
        <v>677</v>
      </c>
      <c r="E1256" s="6" t="s">
        <v>512</v>
      </c>
      <c r="F1256" s="6" t="s">
        <v>283</v>
      </c>
      <c r="G1256" s="6" t="s">
        <v>477</v>
      </c>
      <c r="H1256" s="10">
        <v>46091.0</v>
      </c>
      <c r="I1256" s="12">
        <v>3.0</v>
      </c>
      <c r="J1256" s="6" t="s">
        <v>161</v>
      </c>
    </row>
    <row r="1257" ht="22.5" customHeight="1">
      <c r="A1257" s="6" t="s">
        <v>6590</v>
      </c>
      <c r="B1257" s="6" t="s">
        <v>3629</v>
      </c>
      <c r="C1257" s="10">
        <v>46070.0</v>
      </c>
      <c r="D1257" s="6" t="s">
        <v>289</v>
      </c>
      <c r="E1257" s="6" t="s">
        <v>1035</v>
      </c>
      <c r="F1257" s="6" t="s">
        <v>439</v>
      </c>
      <c r="G1257" s="6" t="s">
        <v>254</v>
      </c>
      <c r="H1257" s="11" t="s">
        <v>259</v>
      </c>
      <c r="I1257" s="12">
        <v>8.0</v>
      </c>
      <c r="J1257" s="6" t="s">
        <v>161</v>
      </c>
    </row>
    <row r="1258" ht="22.5" customHeight="1">
      <c r="A1258" s="6" t="s">
        <v>6595</v>
      </c>
      <c r="B1258" s="6" t="s">
        <v>3629</v>
      </c>
      <c r="C1258" s="10">
        <v>46085.0</v>
      </c>
      <c r="D1258" s="6" t="s">
        <v>677</v>
      </c>
      <c r="E1258" s="6" t="s">
        <v>1035</v>
      </c>
      <c r="F1258" s="6" t="s">
        <v>283</v>
      </c>
      <c r="G1258" s="6" t="s">
        <v>458</v>
      </c>
      <c r="H1258" s="10">
        <v>46088.0</v>
      </c>
      <c r="I1258" s="12">
        <v>3.0</v>
      </c>
      <c r="J1258" s="6" t="s">
        <v>161</v>
      </c>
    </row>
    <row r="1259" ht="22.5" customHeight="1">
      <c r="A1259" s="6" t="s">
        <v>6600</v>
      </c>
      <c r="B1259" s="6" t="s">
        <v>3629</v>
      </c>
      <c r="C1259" s="10">
        <v>46086.0</v>
      </c>
      <c r="D1259" s="6" t="s">
        <v>242</v>
      </c>
      <c r="E1259" s="6" t="s">
        <v>1600</v>
      </c>
      <c r="F1259" s="6" t="s">
        <v>439</v>
      </c>
      <c r="G1259" s="6" t="s">
        <v>254</v>
      </c>
      <c r="H1259" s="10">
        <v>46092.0</v>
      </c>
      <c r="I1259" s="12">
        <v>3.0</v>
      </c>
      <c r="J1259" s="6" t="s">
        <v>178</v>
      </c>
    </row>
    <row r="1260" ht="22.5" customHeight="1">
      <c r="A1260" s="6" t="s">
        <v>6604</v>
      </c>
      <c r="B1260" s="6" t="s">
        <v>3636</v>
      </c>
      <c r="C1260" s="10">
        <v>46053.0</v>
      </c>
      <c r="D1260" s="6" t="s">
        <v>677</v>
      </c>
      <c r="E1260" s="6" t="s">
        <v>1386</v>
      </c>
      <c r="F1260" s="6" t="s">
        <v>439</v>
      </c>
      <c r="G1260" s="6" t="s">
        <v>254</v>
      </c>
      <c r="H1260" s="10">
        <v>46055.0</v>
      </c>
      <c r="I1260" s="12">
        <v>2.0</v>
      </c>
      <c r="J1260" s="6" t="s">
        <v>161</v>
      </c>
    </row>
    <row r="1261" ht="22.5" customHeight="1">
      <c r="A1261" s="6" t="s">
        <v>6612</v>
      </c>
      <c r="B1261" s="6" t="s">
        <v>3636</v>
      </c>
      <c r="C1261" s="10">
        <v>46043.0</v>
      </c>
      <c r="D1261" s="6" t="s">
        <v>391</v>
      </c>
      <c r="E1261" s="6" t="s">
        <v>583</v>
      </c>
      <c r="F1261" s="6" t="s">
        <v>283</v>
      </c>
      <c r="G1261" s="6" t="s">
        <v>254</v>
      </c>
      <c r="H1261" s="10">
        <v>46049.0</v>
      </c>
      <c r="I1261" s="12">
        <v>11.0</v>
      </c>
      <c r="J1261" s="6" t="s">
        <v>161</v>
      </c>
    </row>
    <row r="1262" ht="22.5" customHeight="1">
      <c r="A1262" s="6" t="s">
        <v>6616</v>
      </c>
      <c r="B1262" s="6" t="s">
        <v>3636</v>
      </c>
      <c r="C1262" s="10">
        <v>46038.0</v>
      </c>
      <c r="D1262" s="6" t="s">
        <v>289</v>
      </c>
      <c r="E1262" s="6" t="s">
        <v>1570</v>
      </c>
      <c r="F1262" s="6" t="s">
        <v>112</v>
      </c>
      <c r="G1262" s="6" t="s">
        <v>369</v>
      </c>
      <c r="H1262" s="10">
        <v>46042.0</v>
      </c>
      <c r="I1262" s="12">
        <v>5.0</v>
      </c>
      <c r="J1262" s="6" t="s">
        <v>161</v>
      </c>
    </row>
    <row r="1263" ht="22.5" customHeight="1">
      <c r="A1263" s="6" t="s">
        <v>6620</v>
      </c>
      <c r="B1263" s="6" t="s">
        <v>3643</v>
      </c>
      <c r="C1263" s="10">
        <v>46034.0</v>
      </c>
      <c r="D1263" s="6" t="s">
        <v>677</v>
      </c>
      <c r="E1263" s="6" t="s">
        <v>731</v>
      </c>
      <c r="F1263" s="6" t="s">
        <v>283</v>
      </c>
      <c r="G1263" s="6" t="s">
        <v>254</v>
      </c>
      <c r="H1263" s="11" t="s">
        <v>259</v>
      </c>
      <c r="I1263" s="12">
        <v>2.0</v>
      </c>
      <c r="J1263" s="6" t="s">
        <v>161</v>
      </c>
    </row>
    <row r="1264" ht="22.5" customHeight="1">
      <c r="A1264" s="6" t="s">
        <v>6626</v>
      </c>
      <c r="B1264" s="6" t="s">
        <v>3643</v>
      </c>
      <c r="C1264" s="10">
        <v>46028.0</v>
      </c>
      <c r="D1264" s="6" t="s">
        <v>312</v>
      </c>
      <c r="E1264" s="6" t="s">
        <v>1720</v>
      </c>
      <c r="F1264" s="6" t="s">
        <v>439</v>
      </c>
      <c r="G1264" s="6" t="s">
        <v>326</v>
      </c>
      <c r="H1264" s="10">
        <v>46028.0</v>
      </c>
      <c r="I1264" s="12">
        <v>5.0</v>
      </c>
      <c r="J1264" s="6" t="s">
        <v>161</v>
      </c>
    </row>
    <row r="1265" ht="22.5" customHeight="1">
      <c r="A1265" s="6" t="s">
        <v>6628</v>
      </c>
      <c r="B1265" s="6" t="s">
        <v>3643</v>
      </c>
      <c r="C1265" s="10">
        <v>46047.0</v>
      </c>
      <c r="D1265" s="6" t="s">
        <v>312</v>
      </c>
      <c r="E1265" s="6" t="s">
        <v>1546</v>
      </c>
      <c r="F1265" s="6" t="s">
        <v>249</v>
      </c>
      <c r="G1265" s="6" t="s">
        <v>326</v>
      </c>
      <c r="H1265" s="10">
        <v>46047.0</v>
      </c>
      <c r="I1265" s="12">
        <v>4.0</v>
      </c>
      <c r="J1265" s="6" t="s">
        <v>161</v>
      </c>
    </row>
    <row r="1266" ht="22.5" customHeight="1">
      <c r="A1266" s="6" t="s">
        <v>6632</v>
      </c>
      <c r="B1266" s="6" t="s">
        <v>3643</v>
      </c>
      <c r="C1266" s="10">
        <v>46044.0</v>
      </c>
      <c r="D1266" s="6" t="s">
        <v>436</v>
      </c>
      <c r="E1266" s="6" t="s">
        <v>1296</v>
      </c>
      <c r="F1266" s="6" t="s">
        <v>439</v>
      </c>
      <c r="G1266" s="6" t="s">
        <v>326</v>
      </c>
      <c r="H1266" s="10">
        <v>46047.0</v>
      </c>
      <c r="I1266" s="12">
        <v>12.0</v>
      </c>
      <c r="J1266" s="6" t="s">
        <v>178</v>
      </c>
    </row>
    <row r="1267" ht="22.5" customHeight="1">
      <c r="A1267" s="6" t="s">
        <v>6638</v>
      </c>
      <c r="B1267" s="6" t="s">
        <v>3649</v>
      </c>
      <c r="C1267" s="10">
        <v>46044.0</v>
      </c>
      <c r="D1267" s="6" t="s">
        <v>289</v>
      </c>
      <c r="E1267" s="6" t="s">
        <v>634</v>
      </c>
      <c r="F1267" s="6" t="s">
        <v>439</v>
      </c>
      <c r="G1267" s="6" t="s">
        <v>369</v>
      </c>
      <c r="H1267" s="10">
        <v>46045.0</v>
      </c>
      <c r="I1267" s="12">
        <v>9.0</v>
      </c>
      <c r="J1267" s="6" t="s">
        <v>161</v>
      </c>
    </row>
    <row r="1268" ht="22.5" customHeight="1">
      <c r="A1268" s="6" t="s">
        <v>6641</v>
      </c>
      <c r="B1268" s="6" t="s">
        <v>3649</v>
      </c>
      <c r="C1268" s="10">
        <v>46047.0</v>
      </c>
      <c r="D1268" s="6" t="s">
        <v>416</v>
      </c>
      <c r="E1268" s="6" t="s">
        <v>716</v>
      </c>
      <c r="F1268" s="6" t="s">
        <v>249</v>
      </c>
      <c r="G1268" s="6" t="s">
        <v>458</v>
      </c>
      <c r="H1268" s="10">
        <v>46049.0</v>
      </c>
      <c r="I1268" s="12">
        <v>10.0</v>
      </c>
      <c r="J1268" s="6" t="s">
        <v>161</v>
      </c>
    </row>
    <row r="1269" ht="22.5" customHeight="1">
      <c r="A1269" s="6" t="s">
        <v>6646</v>
      </c>
      <c r="B1269" s="6" t="s">
        <v>3649</v>
      </c>
      <c r="C1269" s="10">
        <v>46036.0</v>
      </c>
      <c r="D1269" s="6" t="s">
        <v>312</v>
      </c>
      <c r="E1269" s="6" t="s">
        <v>512</v>
      </c>
      <c r="F1269" s="6" t="s">
        <v>439</v>
      </c>
      <c r="G1269" s="6" t="s">
        <v>369</v>
      </c>
      <c r="H1269" s="10">
        <v>46039.0</v>
      </c>
      <c r="I1269" s="12">
        <v>6.0</v>
      </c>
      <c r="J1269" s="6" t="s">
        <v>161</v>
      </c>
    </row>
    <row r="1270" ht="22.5" customHeight="1">
      <c r="A1270" s="6" t="s">
        <v>6651</v>
      </c>
      <c r="B1270" s="6" t="s">
        <v>3649</v>
      </c>
      <c r="C1270" s="10">
        <v>46043.0</v>
      </c>
      <c r="D1270" s="6" t="s">
        <v>436</v>
      </c>
      <c r="E1270" s="6" t="s">
        <v>798</v>
      </c>
      <c r="F1270" s="6" t="s">
        <v>283</v>
      </c>
      <c r="G1270" s="6" t="s">
        <v>494</v>
      </c>
      <c r="H1270" s="10">
        <v>46045.0</v>
      </c>
      <c r="I1270" s="12">
        <v>6.0</v>
      </c>
      <c r="J1270" s="6" t="s">
        <v>161</v>
      </c>
    </row>
    <row r="1271" ht="22.5" customHeight="1">
      <c r="A1271" s="6" t="s">
        <v>6655</v>
      </c>
      <c r="B1271" s="6" t="s">
        <v>3649</v>
      </c>
      <c r="C1271" s="10">
        <v>46040.0</v>
      </c>
      <c r="D1271" s="6" t="s">
        <v>312</v>
      </c>
      <c r="E1271" s="6" t="s">
        <v>695</v>
      </c>
      <c r="F1271" s="6" t="s">
        <v>112</v>
      </c>
      <c r="G1271" s="6" t="s">
        <v>369</v>
      </c>
      <c r="H1271" s="10">
        <v>46046.0</v>
      </c>
      <c r="I1271" s="12">
        <v>7.0</v>
      </c>
      <c r="J1271" s="6" t="s">
        <v>161</v>
      </c>
    </row>
    <row r="1272" ht="22.5" customHeight="1">
      <c r="A1272" s="6" t="s">
        <v>6660</v>
      </c>
      <c r="B1272" s="6" t="s">
        <v>3656</v>
      </c>
      <c r="C1272" s="10">
        <v>46072.0</v>
      </c>
      <c r="D1272" s="6" t="s">
        <v>289</v>
      </c>
      <c r="E1272" s="6" t="s">
        <v>833</v>
      </c>
      <c r="F1272" s="6" t="s">
        <v>112</v>
      </c>
      <c r="G1272" s="6" t="s">
        <v>369</v>
      </c>
      <c r="H1272" s="11" t="s">
        <v>259</v>
      </c>
      <c r="I1272" s="12">
        <v>9.0</v>
      </c>
      <c r="J1272" s="6" t="s">
        <v>161</v>
      </c>
    </row>
    <row r="1273" ht="22.5" customHeight="1">
      <c r="A1273" s="6" t="s">
        <v>6664</v>
      </c>
      <c r="B1273" s="6" t="s">
        <v>3656</v>
      </c>
      <c r="C1273" s="10">
        <v>46060.0</v>
      </c>
      <c r="D1273" s="6" t="s">
        <v>416</v>
      </c>
      <c r="E1273" s="6" t="s">
        <v>1741</v>
      </c>
      <c r="F1273" s="6" t="s">
        <v>283</v>
      </c>
      <c r="G1273" s="6" t="s">
        <v>494</v>
      </c>
      <c r="H1273" s="10">
        <v>46065.0</v>
      </c>
      <c r="I1273" s="12">
        <v>11.0</v>
      </c>
      <c r="J1273" s="6" t="s">
        <v>161</v>
      </c>
    </row>
    <row r="1274" ht="22.5" customHeight="1">
      <c r="A1274" s="6" t="s">
        <v>6670</v>
      </c>
      <c r="B1274" s="6" t="s">
        <v>3656</v>
      </c>
      <c r="C1274" s="10">
        <v>46056.0</v>
      </c>
      <c r="D1274" s="6" t="s">
        <v>677</v>
      </c>
      <c r="E1274" s="6" t="s">
        <v>1626</v>
      </c>
      <c r="F1274" s="6" t="s">
        <v>112</v>
      </c>
      <c r="G1274" s="6" t="s">
        <v>369</v>
      </c>
      <c r="H1274" s="10">
        <v>46059.0</v>
      </c>
      <c r="I1274" s="12">
        <v>4.0</v>
      </c>
      <c r="J1274" s="6" t="s">
        <v>161</v>
      </c>
    </row>
    <row r="1275" ht="22.5" customHeight="1">
      <c r="A1275" s="6" t="s">
        <v>6673</v>
      </c>
      <c r="B1275" s="6" t="s">
        <v>3656</v>
      </c>
      <c r="C1275" s="10">
        <v>46058.0</v>
      </c>
      <c r="D1275" s="6" t="s">
        <v>289</v>
      </c>
      <c r="E1275" s="6" t="s">
        <v>716</v>
      </c>
      <c r="F1275" s="6" t="s">
        <v>249</v>
      </c>
      <c r="G1275" s="6" t="s">
        <v>452</v>
      </c>
      <c r="H1275" s="10">
        <v>46060.0</v>
      </c>
      <c r="I1275" s="12">
        <v>5.0</v>
      </c>
      <c r="J1275" s="6" t="s">
        <v>161</v>
      </c>
    </row>
    <row r="1276" ht="22.5" customHeight="1">
      <c r="A1276" s="6" t="s">
        <v>6677</v>
      </c>
      <c r="B1276" s="6" t="s">
        <v>3662</v>
      </c>
      <c r="C1276" s="10">
        <v>46046.0</v>
      </c>
      <c r="D1276" s="6" t="s">
        <v>677</v>
      </c>
      <c r="E1276" s="6" t="s">
        <v>731</v>
      </c>
      <c r="F1276" s="6" t="s">
        <v>112</v>
      </c>
      <c r="G1276" s="6" t="s">
        <v>297</v>
      </c>
      <c r="H1276" s="10">
        <v>46047.0</v>
      </c>
      <c r="I1276" s="12">
        <v>4.0</v>
      </c>
      <c r="J1276" s="6" t="s">
        <v>161</v>
      </c>
    </row>
    <row r="1277" ht="22.5" customHeight="1">
      <c r="A1277" s="6" t="s">
        <v>6681</v>
      </c>
      <c r="B1277" s="6" t="s">
        <v>3662</v>
      </c>
      <c r="C1277" s="10">
        <v>46038.0</v>
      </c>
      <c r="D1277" s="6" t="s">
        <v>312</v>
      </c>
      <c r="E1277" s="6" t="s">
        <v>1280</v>
      </c>
      <c r="F1277" s="6" t="s">
        <v>249</v>
      </c>
      <c r="G1277" s="6" t="s">
        <v>297</v>
      </c>
      <c r="H1277" s="10">
        <v>46038.0</v>
      </c>
      <c r="I1277" s="12">
        <v>5.0</v>
      </c>
      <c r="J1277" s="6" t="s">
        <v>161</v>
      </c>
    </row>
    <row r="1278" ht="22.5" customHeight="1">
      <c r="A1278" s="6" t="s">
        <v>6686</v>
      </c>
      <c r="B1278" s="6" t="s">
        <v>3662</v>
      </c>
      <c r="C1278" s="10">
        <v>46042.0</v>
      </c>
      <c r="D1278" s="6" t="s">
        <v>312</v>
      </c>
      <c r="E1278" s="6" t="s">
        <v>812</v>
      </c>
      <c r="F1278" s="6" t="s">
        <v>283</v>
      </c>
      <c r="G1278" s="6" t="s">
        <v>452</v>
      </c>
      <c r="H1278" s="10">
        <v>46047.0</v>
      </c>
      <c r="I1278" s="12">
        <v>5.0</v>
      </c>
      <c r="J1278" s="6" t="s">
        <v>161</v>
      </c>
    </row>
    <row r="1279" ht="22.5" customHeight="1">
      <c r="A1279" s="6" t="s">
        <v>6690</v>
      </c>
      <c r="B1279" s="6" t="s">
        <v>3662</v>
      </c>
      <c r="C1279" s="10">
        <v>46042.0</v>
      </c>
      <c r="D1279" s="6" t="s">
        <v>436</v>
      </c>
      <c r="E1279" s="6" t="s">
        <v>1035</v>
      </c>
      <c r="F1279" s="6" t="s">
        <v>112</v>
      </c>
      <c r="G1279" s="6" t="s">
        <v>452</v>
      </c>
      <c r="H1279" s="10">
        <v>46042.0</v>
      </c>
      <c r="I1279" s="12">
        <v>11.0</v>
      </c>
      <c r="J1279" s="6" t="s">
        <v>178</v>
      </c>
    </row>
    <row r="1280" ht="22.5" customHeight="1">
      <c r="A1280" s="6" t="s">
        <v>6697</v>
      </c>
      <c r="B1280" s="6" t="s">
        <v>3662</v>
      </c>
      <c r="C1280" s="10">
        <v>46034.0</v>
      </c>
      <c r="D1280" s="6" t="s">
        <v>391</v>
      </c>
      <c r="E1280" s="6" t="s">
        <v>687</v>
      </c>
      <c r="F1280" s="6" t="s">
        <v>112</v>
      </c>
      <c r="G1280" s="6" t="s">
        <v>477</v>
      </c>
      <c r="H1280" s="10">
        <v>46034.0</v>
      </c>
      <c r="I1280" s="12">
        <v>9.0</v>
      </c>
      <c r="J1280" s="6" t="s">
        <v>161</v>
      </c>
    </row>
    <row r="1281" ht="22.5" customHeight="1">
      <c r="A1281" s="6" t="s">
        <v>6701</v>
      </c>
      <c r="B1281" s="6" t="s">
        <v>3669</v>
      </c>
      <c r="C1281" s="10">
        <v>46076.0</v>
      </c>
      <c r="D1281" s="6" t="s">
        <v>436</v>
      </c>
      <c r="E1281" s="6" t="s">
        <v>1149</v>
      </c>
      <c r="F1281" s="6" t="s">
        <v>249</v>
      </c>
      <c r="G1281" s="6" t="s">
        <v>297</v>
      </c>
      <c r="H1281" s="10">
        <v>46079.0</v>
      </c>
      <c r="I1281" s="12">
        <v>10.0</v>
      </c>
      <c r="J1281" s="6" t="s">
        <v>161</v>
      </c>
    </row>
    <row r="1282" ht="22.5" customHeight="1">
      <c r="A1282" s="6" t="s">
        <v>6707</v>
      </c>
      <c r="B1282" s="6" t="s">
        <v>3669</v>
      </c>
      <c r="C1282" s="10">
        <v>46067.0</v>
      </c>
      <c r="D1282" s="6" t="s">
        <v>677</v>
      </c>
      <c r="E1282" s="6" t="s">
        <v>466</v>
      </c>
      <c r="F1282" s="6" t="s">
        <v>439</v>
      </c>
      <c r="G1282" s="6" t="s">
        <v>458</v>
      </c>
      <c r="H1282" s="10">
        <v>46067.0</v>
      </c>
      <c r="I1282" s="12">
        <v>2.0</v>
      </c>
      <c r="J1282" s="6" t="s">
        <v>161</v>
      </c>
    </row>
    <row r="1283" ht="22.5" customHeight="1">
      <c r="A1283" s="6" t="s">
        <v>6711</v>
      </c>
      <c r="B1283" s="6" t="s">
        <v>3669</v>
      </c>
      <c r="C1283" s="10">
        <v>46080.0</v>
      </c>
      <c r="D1283" s="6" t="s">
        <v>436</v>
      </c>
      <c r="E1283" s="6" t="s">
        <v>1626</v>
      </c>
      <c r="F1283" s="6" t="s">
        <v>439</v>
      </c>
      <c r="G1283" s="6" t="s">
        <v>458</v>
      </c>
      <c r="H1283" s="10">
        <v>46081.0</v>
      </c>
      <c r="I1283" s="12">
        <v>12.0</v>
      </c>
      <c r="J1283" s="6" t="s">
        <v>178</v>
      </c>
    </row>
    <row r="1284" ht="22.5" customHeight="1">
      <c r="A1284" s="6" t="s">
        <v>6716</v>
      </c>
      <c r="B1284" s="6" t="s">
        <v>3669</v>
      </c>
      <c r="C1284" s="10">
        <v>46075.0</v>
      </c>
      <c r="D1284" s="6" t="s">
        <v>677</v>
      </c>
      <c r="E1284" s="6" t="s">
        <v>1552</v>
      </c>
      <c r="F1284" s="6" t="s">
        <v>283</v>
      </c>
      <c r="G1284" s="6" t="s">
        <v>494</v>
      </c>
      <c r="H1284" s="10">
        <v>46079.0</v>
      </c>
      <c r="I1284" s="12">
        <v>3.0</v>
      </c>
      <c r="J1284" s="6" t="s">
        <v>161</v>
      </c>
    </row>
    <row r="1285" ht="22.5" customHeight="1">
      <c r="A1285" s="6" t="s">
        <v>6720</v>
      </c>
      <c r="B1285" s="6" t="s">
        <v>3675</v>
      </c>
      <c r="C1285" s="10">
        <v>46062.0</v>
      </c>
      <c r="D1285" s="6" t="s">
        <v>289</v>
      </c>
      <c r="E1285" s="6" t="s">
        <v>466</v>
      </c>
      <c r="F1285" s="6" t="s">
        <v>249</v>
      </c>
      <c r="G1285" s="6" t="s">
        <v>458</v>
      </c>
      <c r="H1285" s="10">
        <v>46069.0</v>
      </c>
      <c r="I1285" s="12">
        <v>6.0</v>
      </c>
      <c r="J1285" s="6" t="s">
        <v>161</v>
      </c>
    </row>
    <row r="1286" ht="22.5" customHeight="1">
      <c r="A1286" s="6" t="s">
        <v>6722</v>
      </c>
      <c r="B1286" s="6" t="s">
        <v>3681</v>
      </c>
      <c r="C1286" s="10">
        <v>46036.0</v>
      </c>
      <c r="D1286" s="6" t="s">
        <v>416</v>
      </c>
      <c r="E1286" s="6" t="s">
        <v>618</v>
      </c>
      <c r="F1286" s="6" t="s">
        <v>283</v>
      </c>
      <c r="G1286" s="6" t="s">
        <v>477</v>
      </c>
      <c r="H1286" s="10">
        <v>46036.0</v>
      </c>
      <c r="I1286" s="12">
        <v>10.0</v>
      </c>
      <c r="J1286" s="6" t="s">
        <v>161</v>
      </c>
    </row>
    <row r="1287" ht="22.5" customHeight="1">
      <c r="A1287" s="6" t="s">
        <v>6727</v>
      </c>
      <c r="B1287" s="6" t="s">
        <v>3681</v>
      </c>
      <c r="C1287" s="10">
        <v>46046.0</v>
      </c>
      <c r="D1287" s="6" t="s">
        <v>312</v>
      </c>
      <c r="E1287" s="6" t="s">
        <v>896</v>
      </c>
      <c r="F1287" s="6" t="s">
        <v>439</v>
      </c>
      <c r="G1287" s="6" t="s">
        <v>494</v>
      </c>
      <c r="H1287" s="10">
        <v>46048.0</v>
      </c>
      <c r="I1287" s="12">
        <v>5.0</v>
      </c>
      <c r="J1287" s="6" t="s">
        <v>161</v>
      </c>
    </row>
    <row r="1288" ht="22.5" customHeight="1">
      <c r="A1288" s="6" t="s">
        <v>6730</v>
      </c>
      <c r="B1288" s="6" t="s">
        <v>3681</v>
      </c>
      <c r="C1288" s="10">
        <v>46046.0</v>
      </c>
      <c r="D1288" s="6" t="s">
        <v>391</v>
      </c>
      <c r="E1288" s="6" t="s">
        <v>716</v>
      </c>
      <c r="F1288" s="6" t="s">
        <v>249</v>
      </c>
      <c r="G1288" s="6" t="s">
        <v>477</v>
      </c>
      <c r="H1288" s="10">
        <v>46049.0</v>
      </c>
      <c r="I1288" s="12">
        <v>7.0</v>
      </c>
      <c r="J1288" s="6" t="s">
        <v>161</v>
      </c>
    </row>
    <row r="1289" ht="22.5" customHeight="1">
      <c r="A1289" s="6" t="s">
        <v>6734</v>
      </c>
      <c r="B1289" s="6" t="s">
        <v>3688</v>
      </c>
      <c r="C1289" s="10">
        <v>46048.0</v>
      </c>
      <c r="D1289" s="6" t="s">
        <v>289</v>
      </c>
      <c r="E1289" s="6" t="s">
        <v>1241</v>
      </c>
      <c r="F1289" s="6" t="s">
        <v>439</v>
      </c>
      <c r="G1289" s="6" t="s">
        <v>458</v>
      </c>
      <c r="H1289" s="10">
        <v>46054.0</v>
      </c>
      <c r="I1289" s="12">
        <v>8.0</v>
      </c>
      <c r="J1289" s="6" t="s">
        <v>161</v>
      </c>
    </row>
    <row r="1290" ht="22.5" customHeight="1">
      <c r="A1290" s="6" t="s">
        <v>6737</v>
      </c>
      <c r="B1290" s="6" t="s">
        <v>3688</v>
      </c>
      <c r="C1290" s="10">
        <v>46045.0</v>
      </c>
      <c r="D1290" s="6" t="s">
        <v>436</v>
      </c>
      <c r="E1290" s="6" t="s">
        <v>1273</v>
      </c>
      <c r="F1290" s="6" t="s">
        <v>112</v>
      </c>
      <c r="G1290" s="6" t="s">
        <v>369</v>
      </c>
      <c r="H1290" s="10">
        <v>46048.0</v>
      </c>
      <c r="I1290" s="12">
        <v>6.0</v>
      </c>
      <c r="J1290" s="6" t="s">
        <v>178</v>
      </c>
    </row>
    <row r="1291" ht="22.5" customHeight="1">
      <c r="A1291" s="6" t="s">
        <v>6741</v>
      </c>
      <c r="B1291" s="6" t="s">
        <v>3688</v>
      </c>
      <c r="C1291" s="10">
        <v>46057.0</v>
      </c>
      <c r="D1291" s="6" t="s">
        <v>436</v>
      </c>
      <c r="E1291" s="6" t="s">
        <v>687</v>
      </c>
      <c r="F1291" s="6" t="s">
        <v>283</v>
      </c>
      <c r="G1291" s="6" t="s">
        <v>297</v>
      </c>
      <c r="H1291" s="10">
        <v>46064.0</v>
      </c>
      <c r="I1291" s="12">
        <v>7.0</v>
      </c>
      <c r="J1291" s="6" t="s">
        <v>161</v>
      </c>
    </row>
    <row r="1292" ht="22.5" customHeight="1">
      <c r="A1292" s="6" t="s">
        <v>6743</v>
      </c>
      <c r="B1292" s="6" t="s">
        <v>3694</v>
      </c>
      <c r="C1292" s="10">
        <v>46049.0</v>
      </c>
      <c r="D1292" s="6" t="s">
        <v>242</v>
      </c>
      <c r="E1292" s="6" t="s">
        <v>1122</v>
      </c>
      <c r="F1292" s="6" t="s">
        <v>439</v>
      </c>
      <c r="G1292" s="6" t="s">
        <v>458</v>
      </c>
      <c r="H1292" s="11" t="s">
        <v>259</v>
      </c>
      <c r="I1292" s="12">
        <v>6.0</v>
      </c>
      <c r="J1292" s="6" t="s">
        <v>178</v>
      </c>
    </row>
    <row r="1293" ht="22.5" customHeight="1">
      <c r="A1293" s="6" t="s">
        <v>6746</v>
      </c>
      <c r="B1293" s="6" t="s">
        <v>3700</v>
      </c>
      <c r="C1293" s="10">
        <v>46055.0</v>
      </c>
      <c r="D1293" s="6" t="s">
        <v>289</v>
      </c>
      <c r="E1293" s="6" t="s">
        <v>246</v>
      </c>
      <c r="F1293" s="6" t="s">
        <v>112</v>
      </c>
      <c r="G1293" s="6" t="s">
        <v>326</v>
      </c>
      <c r="H1293" s="10">
        <v>46061.0</v>
      </c>
      <c r="I1293" s="12">
        <v>10.0</v>
      </c>
      <c r="J1293" s="6" t="s">
        <v>161</v>
      </c>
    </row>
    <row r="1294" ht="22.5" customHeight="1">
      <c r="A1294" s="6" t="s">
        <v>6751</v>
      </c>
      <c r="B1294" s="6" t="s">
        <v>3700</v>
      </c>
      <c r="C1294" s="10">
        <v>46072.0</v>
      </c>
      <c r="D1294" s="6" t="s">
        <v>677</v>
      </c>
      <c r="E1294" s="6" t="s">
        <v>716</v>
      </c>
      <c r="F1294" s="6" t="s">
        <v>249</v>
      </c>
      <c r="G1294" s="6" t="s">
        <v>494</v>
      </c>
      <c r="H1294" s="10">
        <v>46074.0</v>
      </c>
      <c r="I1294" s="12">
        <v>2.0</v>
      </c>
      <c r="J1294" s="6" t="s">
        <v>161</v>
      </c>
    </row>
    <row r="1295" ht="22.5" customHeight="1">
      <c r="A1295" s="6" t="s">
        <v>6755</v>
      </c>
      <c r="B1295" s="6" t="s">
        <v>3700</v>
      </c>
      <c r="C1295" s="10">
        <v>46070.0</v>
      </c>
      <c r="D1295" s="6" t="s">
        <v>312</v>
      </c>
      <c r="E1295" s="6" t="s">
        <v>1055</v>
      </c>
      <c r="F1295" s="6" t="s">
        <v>112</v>
      </c>
      <c r="G1295" s="6" t="s">
        <v>369</v>
      </c>
      <c r="H1295" s="10">
        <v>46075.0</v>
      </c>
      <c r="I1295" s="12">
        <v>4.0</v>
      </c>
      <c r="J1295" s="6" t="s">
        <v>161</v>
      </c>
    </row>
    <row r="1296" ht="22.5" customHeight="1">
      <c r="A1296" s="6" t="s">
        <v>6766</v>
      </c>
      <c r="B1296" s="6" t="s">
        <v>3700</v>
      </c>
      <c r="C1296" s="10">
        <v>46066.0</v>
      </c>
      <c r="D1296" s="6" t="s">
        <v>391</v>
      </c>
      <c r="E1296" s="6" t="s">
        <v>438</v>
      </c>
      <c r="F1296" s="6" t="s">
        <v>439</v>
      </c>
      <c r="G1296" s="6" t="s">
        <v>477</v>
      </c>
      <c r="H1296" s="10">
        <v>46069.0</v>
      </c>
      <c r="I1296" s="12">
        <v>7.0</v>
      </c>
      <c r="J1296" s="6" t="s">
        <v>161</v>
      </c>
    </row>
    <row r="1297" ht="22.5" customHeight="1">
      <c r="A1297" s="6" t="s">
        <v>6772</v>
      </c>
      <c r="B1297" s="6" t="s">
        <v>3700</v>
      </c>
      <c r="C1297" s="10">
        <v>46056.0</v>
      </c>
      <c r="D1297" s="6" t="s">
        <v>242</v>
      </c>
      <c r="E1297" s="6" t="s">
        <v>1570</v>
      </c>
      <c r="F1297" s="6" t="s">
        <v>283</v>
      </c>
      <c r="G1297" s="6" t="s">
        <v>458</v>
      </c>
      <c r="H1297" s="10">
        <v>46063.0</v>
      </c>
      <c r="I1297" s="12">
        <v>5.0</v>
      </c>
      <c r="J1297" s="6" t="s">
        <v>178</v>
      </c>
    </row>
    <row r="1298" ht="22.5" customHeight="1">
      <c r="A1298" s="6" t="s">
        <v>6778</v>
      </c>
      <c r="B1298" s="6" t="s">
        <v>3706</v>
      </c>
      <c r="C1298" s="10">
        <v>46048.0</v>
      </c>
      <c r="D1298" s="6" t="s">
        <v>436</v>
      </c>
      <c r="E1298" s="6" t="s">
        <v>812</v>
      </c>
      <c r="F1298" s="6" t="s">
        <v>283</v>
      </c>
      <c r="G1298" s="6" t="s">
        <v>369</v>
      </c>
      <c r="H1298" s="11" t="s">
        <v>259</v>
      </c>
      <c r="I1298" s="12">
        <v>8.0</v>
      </c>
      <c r="J1298" s="6" t="s">
        <v>178</v>
      </c>
    </row>
    <row r="1299" ht="22.5" customHeight="1">
      <c r="A1299" s="6" t="s">
        <v>6784</v>
      </c>
      <c r="B1299" s="6" t="s">
        <v>3712</v>
      </c>
      <c r="C1299" s="10">
        <v>46060.0</v>
      </c>
      <c r="D1299" s="6" t="s">
        <v>312</v>
      </c>
      <c r="E1299" s="6" t="s">
        <v>438</v>
      </c>
      <c r="F1299" s="6" t="s">
        <v>283</v>
      </c>
      <c r="G1299" s="6" t="s">
        <v>452</v>
      </c>
      <c r="H1299" s="10">
        <v>46063.0</v>
      </c>
      <c r="I1299" s="12">
        <v>4.0</v>
      </c>
      <c r="J1299" s="6" t="s">
        <v>161</v>
      </c>
    </row>
    <row r="1300" ht="22.5" customHeight="1">
      <c r="A1300" s="6" t="s">
        <v>6790</v>
      </c>
      <c r="B1300" s="6" t="s">
        <v>3718</v>
      </c>
      <c r="C1300" s="10">
        <v>46053.0</v>
      </c>
      <c r="D1300" s="6" t="s">
        <v>242</v>
      </c>
      <c r="E1300" s="6" t="s">
        <v>628</v>
      </c>
      <c r="F1300" s="6" t="s">
        <v>283</v>
      </c>
      <c r="G1300" s="6" t="s">
        <v>452</v>
      </c>
      <c r="H1300" s="10">
        <v>46059.0</v>
      </c>
      <c r="I1300" s="12">
        <v>3.0</v>
      </c>
      <c r="J1300" s="6" t="s">
        <v>178</v>
      </c>
    </row>
    <row r="1301" ht="22.5" customHeight="1">
      <c r="A1301" s="6" t="s">
        <v>6798</v>
      </c>
      <c r="B1301" s="6" t="s">
        <v>3718</v>
      </c>
      <c r="C1301" s="10">
        <v>46050.0</v>
      </c>
      <c r="D1301" s="6" t="s">
        <v>312</v>
      </c>
      <c r="E1301" s="6" t="s">
        <v>658</v>
      </c>
      <c r="F1301" s="6" t="s">
        <v>439</v>
      </c>
      <c r="G1301" s="6" t="s">
        <v>369</v>
      </c>
      <c r="H1301" s="10">
        <v>46056.0</v>
      </c>
      <c r="I1301" s="12">
        <v>7.0</v>
      </c>
      <c r="J1301" s="6" t="s">
        <v>161</v>
      </c>
    </row>
    <row r="1302" ht="22.5" customHeight="1">
      <c r="A1302" s="6" t="s">
        <v>6805</v>
      </c>
      <c r="B1302" s="6" t="s">
        <v>3718</v>
      </c>
      <c r="C1302" s="10">
        <v>46051.0</v>
      </c>
      <c r="D1302" s="6" t="s">
        <v>416</v>
      </c>
      <c r="E1302" s="6" t="s">
        <v>450</v>
      </c>
      <c r="F1302" s="6" t="s">
        <v>249</v>
      </c>
      <c r="G1302" s="6" t="s">
        <v>494</v>
      </c>
      <c r="H1302" s="10">
        <v>46053.0</v>
      </c>
      <c r="I1302" s="12">
        <v>13.0</v>
      </c>
      <c r="J1302" s="6" t="s">
        <v>161</v>
      </c>
    </row>
    <row r="1303" ht="22.5" customHeight="1">
      <c r="A1303" s="6" t="s">
        <v>6813</v>
      </c>
      <c r="B1303" s="6" t="s">
        <v>3724</v>
      </c>
      <c r="C1303" s="10">
        <v>46038.0</v>
      </c>
      <c r="D1303" s="6" t="s">
        <v>312</v>
      </c>
      <c r="E1303" s="6" t="s">
        <v>1241</v>
      </c>
      <c r="F1303" s="6" t="s">
        <v>112</v>
      </c>
      <c r="G1303" s="6" t="s">
        <v>458</v>
      </c>
      <c r="H1303" s="10">
        <v>46039.0</v>
      </c>
      <c r="I1303" s="12">
        <v>7.0</v>
      </c>
      <c r="J1303" s="6" t="s">
        <v>161</v>
      </c>
    </row>
    <row r="1304" ht="22.5" customHeight="1">
      <c r="A1304" s="6" t="s">
        <v>6819</v>
      </c>
      <c r="B1304" s="6" t="s">
        <v>3724</v>
      </c>
      <c r="C1304" s="10">
        <v>46033.0</v>
      </c>
      <c r="D1304" s="6" t="s">
        <v>436</v>
      </c>
      <c r="E1304" s="6" t="s">
        <v>1296</v>
      </c>
      <c r="F1304" s="6" t="s">
        <v>112</v>
      </c>
      <c r="G1304" s="6" t="s">
        <v>494</v>
      </c>
      <c r="H1304" s="10">
        <v>46035.0</v>
      </c>
      <c r="I1304" s="12">
        <v>6.0</v>
      </c>
      <c r="J1304" s="6" t="s">
        <v>178</v>
      </c>
    </row>
    <row r="1305" ht="22.5" customHeight="1">
      <c r="A1305" s="6" t="s">
        <v>6830</v>
      </c>
      <c r="B1305" s="6" t="s">
        <v>3724</v>
      </c>
      <c r="C1305" s="10">
        <v>46043.0</v>
      </c>
      <c r="D1305" s="6" t="s">
        <v>391</v>
      </c>
      <c r="E1305" s="6" t="s">
        <v>2365</v>
      </c>
      <c r="F1305" s="6" t="s">
        <v>112</v>
      </c>
      <c r="G1305" s="6" t="s">
        <v>452</v>
      </c>
      <c r="H1305" s="10">
        <v>46047.0</v>
      </c>
      <c r="I1305" s="12">
        <v>6.0</v>
      </c>
      <c r="J1305" s="6" t="s">
        <v>161</v>
      </c>
    </row>
    <row r="1306" ht="22.5" customHeight="1">
      <c r="A1306" s="6" t="s">
        <v>6837</v>
      </c>
      <c r="B1306" s="6" t="s">
        <v>3724</v>
      </c>
      <c r="C1306" s="10">
        <v>46035.0</v>
      </c>
      <c r="D1306" s="6" t="s">
        <v>677</v>
      </c>
      <c r="E1306" s="6" t="s">
        <v>885</v>
      </c>
      <c r="F1306" s="6" t="s">
        <v>439</v>
      </c>
      <c r="G1306" s="6" t="s">
        <v>297</v>
      </c>
      <c r="H1306" s="11" t="s">
        <v>259</v>
      </c>
      <c r="I1306" s="12">
        <v>2.0</v>
      </c>
      <c r="J1306" s="6" t="s">
        <v>161</v>
      </c>
    </row>
    <row r="1307" ht="22.5" customHeight="1">
      <c r="A1307" s="6" t="s">
        <v>6844</v>
      </c>
      <c r="B1307" s="6" t="s">
        <v>3730</v>
      </c>
      <c r="C1307" s="10">
        <v>46035.0</v>
      </c>
      <c r="D1307" s="6" t="s">
        <v>391</v>
      </c>
      <c r="E1307" s="6" t="s">
        <v>1070</v>
      </c>
      <c r="F1307" s="6" t="s">
        <v>283</v>
      </c>
      <c r="G1307" s="6" t="s">
        <v>369</v>
      </c>
      <c r="H1307" s="10">
        <v>46041.0</v>
      </c>
      <c r="I1307" s="12">
        <v>8.0</v>
      </c>
      <c r="J1307" s="6" t="s">
        <v>161</v>
      </c>
    </row>
    <row r="1308" ht="22.5" customHeight="1">
      <c r="A1308" s="6" t="s">
        <v>6853</v>
      </c>
      <c r="B1308" s="6" t="s">
        <v>3730</v>
      </c>
      <c r="C1308" s="10">
        <v>46050.0</v>
      </c>
      <c r="D1308" s="6" t="s">
        <v>436</v>
      </c>
      <c r="E1308" s="6" t="s">
        <v>885</v>
      </c>
      <c r="F1308" s="6" t="s">
        <v>249</v>
      </c>
      <c r="G1308" s="6" t="s">
        <v>369</v>
      </c>
      <c r="H1308" s="11" t="s">
        <v>259</v>
      </c>
      <c r="I1308" s="12">
        <v>11.0</v>
      </c>
      <c r="J1308" s="6" t="s">
        <v>178</v>
      </c>
    </row>
    <row r="1309" ht="22.5" customHeight="1">
      <c r="A1309" s="6" t="s">
        <v>6861</v>
      </c>
      <c r="B1309" s="6" t="s">
        <v>3730</v>
      </c>
      <c r="C1309" s="10">
        <v>46040.0</v>
      </c>
      <c r="D1309" s="6" t="s">
        <v>289</v>
      </c>
      <c r="E1309" s="6" t="s">
        <v>1241</v>
      </c>
      <c r="F1309" s="6" t="s">
        <v>283</v>
      </c>
      <c r="G1309" s="6" t="s">
        <v>369</v>
      </c>
      <c r="H1309" s="10">
        <v>46044.0</v>
      </c>
      <c r="I1309" s="12">
        <v>5.0</v>
      </c>
      <c r="J1309" s="6" t="s">
        <v>161</v>
      </c>
    </row>
    <row r="1310" ht="22.5" customHeight="1">
      <c r="A1310" s="6" t="s">
        <v>6870</v>
      </c>
      <c r="B1310" s="6" t="s">
        <v>3730</v>
      </c>
      <c r="C1310" s="10">
        <v>46050.0</v>
      </c>
      <c r="D1310" s="6" t="s">
        <v>242</v>
      </c>
      <c r="E1310" s="6" t="s">
        <v>1241</v>
      </c>
      <c r="F1310" s="6" t="s">
        <v>283</v>
      </c>
      <c r="G1310" s="6" t="s">
        <v>452</v>
      </c>
      <c r="H1310" s="10">
        <v>46051.0</v>
      </c>
      <c r="I1310" s="12">
        <v>4.0</v>
      </c>
      <c r="J1310" s="6" t="s">
        <v>178</v>
      </c>
    </row>
    <row r="1311" ht="22.5" customHeight="1">
      <c r="A1311" s="6" t="s">
        <v>6876</v>
      </c>
      <c r="B1311" s="6" t="s">
        <v>3736</v>
      </c>
      <c r="C1311" s="10">
        <v>46080.0</v>
      </c>
      <c r="D1311" s="6" t="s">
        <v>436</v>
      </c>
      <c r="E1311" s="6" t="s">
        <v>1241</v>
      </c>
      <c r="F1311" s="6" t="s">
        <v>283</v>
      </c>
      <c r="G1311" s="6" t="s">
        <v>326</v>
      </c>
      <c r="H1311" s="10">
        <v>46087.0</v>
      </c>
      <c r="I1311" s="12">
        <v>8.0</v>
      </c>
      <c r="J1311" s="6" t="s">
        <v>178</v>
      </c>
    </row>
    <row r="1312" ht="22.5" customHeight="1">
      <c r="A1312" s="6" t="s">
        <v>6884</v>
      </c>
      <c r="B1312" s="6" t="s">
        <v>3741</v>
      </c>
      <c r="C1312" s="10">
        <v>46044.0</v>
      </c>
      <c r="D1312" s="6" t="s">
        <v>312</v>
      </c>
      <c r="E1312" s="6" t="s">
        <v>1273</v>
      </c>
      <c r="F1312" s="6" t="s">
        <v>439</v>
      </c>
      <c r="G1312" s="6" t="s">
        <v>494</v>
      </c>
      <c r="H1312" s="10">
        <v>46047.0</v>
      </c>
      <c r="I1312" s="12">
        <v>7.0</v>
      </c>
      <c r="J1312" s="6" t="s">
        <v>161</v>
      </c>
    </row>
    <row r="1313" ht="22.5" customHeight="1">
      <c r="A1313" s="6" t="s">
        <v>6893</v>
      </c>
      <c r="B1313" s="6" t="s">
        <v>3741</v>
      </c>
      <c r="C1313" s="10">
        <v>46056.0</v>
      </c>
      <c r="D1313" s="6" t="s">
        <v>289</v>
      </c>
      <c r="E1313" s="6" t="s">
        <v>695</v>
      </c>
      <c r="F1313" s="6" t="s">
        <v>249</v>
      </c>
      <c r="G1313" s="6" t="s">
        <v>477</v>
      </c>
      <c r="H1313" s="10">
        <v>46061.0</v>
      </c>
      <c r="I1313" s="12">
        <v>8.0</v>
      </c>
      <c r="J1313" s="6" t="s">
        <v>161</v>
      </c>
    </row>
    <row r="1314" ht="22.5" customHeight="1">
      <c r="A1314" s="6" t="s">
        <v>6898</v>
      </c>
      <c r="B1314" s="6" t="s">
        <v>3741</v>
      </c>
      <c r="C1314" s="10">
        <v>46050.0</v>
      </c>
      <c r="D1314" s="6" t="s">
        <v>391</v>
      </c>
      <c r="E1314" s="6" t="s">
        <v>716</v>
      </c>
      <c r="F1314" s="6" t="s">
        <v>283</v>
      </c>
      <c r="G1314" s="6" t="s">
        <v>297</v>
      </c>
      <c r="H1314" s="10">
        <v>46057.0</v>
      </c>
      <c r="I1314" s="12">
        <v>10.0</v>
      </c>
      <c r="J1314" s="6" t="s">
        <v>161</v>
      </c>
    </row>
    <row r="1315" ht="22.5" customHeight="1">
      <c r="A1315" s="6" t="s">
        <v>6906</v>
      </c>
      <c r="B1315" s="6" t="s">
        <v>3741</v>
      </c>
      <c r="C1315" s="10">
        <v>46048.0</v>
      </c>
      <c r="D1315" s="6" t="s">
        <v>416</v>
      </c>
      <c r="E1315" s="6" t="s">
        <v>1969</v>
      </c>
      <c r="F1315" s="6" t="s">
        <v>249</v>
      </c>
      <c r="G1315" s="6" t="s">
        <v>254</v>
      </c>
      <c r="H1315" s="11" t="s">
        <v>259</v>
      </c>
      <c r="I1315" s="12">
        <v>13.0</v>
      </c>
      <c r="J1315" s="6" t="s">
        <v>161</v>
      </c>
    </row>
    <row r="1316" ht="22.5" customHeight="1">
      <c r="A1316" s="6" t="s">
        <v>6915</v>
      </c>
      <c r="B1316" s="6" t="s">
        <v>3741</v>
      </c>
      <c r="C1316" s="10">
        <v>46049.0</v>
      </c>
      <c r="D1316" s="6" t="s">
        <v>677</v>
      </c>
      <c r="E1316" s="6" t="s">
        <v>955</v>
      </c>
      <c r="F1316" s="6" t="s">
        <v>439</v>
      </c>
      <c r="G1316" s="6" t="s">
        <v>452</v>
      </c>
      <c r="H1316" s="10">
        <v>46050.0</v>
      </c>
      <c r="I1316" s="12">
        <v>3.0</v>
      </c>
      <c r="J1316" s="6" t="s">
        <v>161</v>
      </c>
    </row>
    <row r="1317" ht="22.5" customHeight="1">
      <c r="A1317" s="6" t="s">
        <v>6922</v>
      </c>
      <c r="B1317" s="6" t="s">
        <v>3748</v>
      </c>
      <c r="C1317" s="10">
        <v>46070.0</v>
      </c>
      <c r="D1317" s="6" t="s">
        <v>312</v>
      </c>
      <c r="E1317" s="6" t="s">
        <v>1969</v>
      </c>
      <c r="F1317" s="6" t="s">
        <v>283</v>
      </c>
      <c r="G1317" s="6" t="s">
        <v>477</v>
      </c>
      <c r="H1317" s="10">
        <v>46070.0</v>
      </c>
      <c r="I1317" s="12">
        <v>4.0</v>
      </c>
      <c r="J1317" s="6" t="s">
        <v>161</v>
      </c>
    </row>
    <row r="1318" ht="22.5" customHeight="1">
      <c r="A1318" s="6" t="s">
        <v>6930</v>
      </c>
      <c r="B1318" s="6" t="s">
        <v>3748</v>
      </c>
      <c r="C1318" s="10">
        <v>46052.0</v>
      </c>
      <c r="D1318" s="6" t="s">
        <v>312</v>
      </c>
      <c r="E1318" s="6" t="s">
        <v>475</v>
      </c>
      <c r="F1318" s="6" t="s">
        <v>112</v>
      </c>
      <c r="G1318" s="6" t="s">
        <v>254</v>
      </c>
      <c r="H1318" s="10">
        <v>46054.0</v>
      </c>
      <c r="I1318" s="12">
        <v>5.0</v>
      </c>
      <c r="J1318" s="6" t="s">
        <v>161</v>
      </c>
    </row>
    <row r="1319" ht="22.5" customHeight="1">
      <c r="A1319" s="6" t="s">
        <v>6937</v>
      </c>
      <c r="B1319" s="6" t="s">
        <v>3748</v>
      </c>
      <c r="C1319" s="10">
        <v>46059.0</v>
      </c>
      <c r="D1319" s="6" t="s">
        <v>289</v>
      </c>
      <c r="E1319" s="6" t="s">
        <v>417</v>
      </c>
      <c r="F1319" s="6" t="s">
        <v>439</v>
      </c>
      <c r="G1319" s="6" t="s">
        <v>494</v>
      </c>
      <c r="H1319" s="10">
        <v>46060.0</v>
      </c>
      <c r="I1319" s="12">
        <v>6.0</v>
      </c>
      <c r="J1319" s="6" t="s">
        <v>161</v>
      </c>
    </row>
    <row r="1320" ht="22.5" customHeight="1">
      <c r="A1320" s="6" t="s">
        <v>6943</v>
      </c>
      <c r="B1320" s="6" t="s">
        <v>3748</v>
      </c>
      <c r="C1320" s="10">
        <v>46072.0</v>
      </c>
      <c r="D1320" s="6" t="s">
        <v>436</v>
      </c>
      <c r="E1320" s="6" t="s">
        <v>1552</v>
      </c>
      <c r="F1320" s="6" t="s">
        <v>439</v>
      </c>
      <c r="G1320" s="6" t="s">
        <v>452</v>
      </c>
      <c r="H1320" s="10">
        <v>46078.0</v>
      </c>
      <c r="I1320" s="12">
        <v>7.0</v>
      </c>
      <c r="J1320" s="6" t="s">
        <v>178</v>
      </c>
    </row>
    <row r="1321" ht="22.5" customHeight="1">
      <c r="A1321" s="6" t="s">
        <v>6949</v>
      </c>
      <c r="B1321" s="6" t="s">
        <v>3748</v>
      </c>
      <c r="C1321" s="10">
        <v>46072.0</v>
      </c>
      <c r="D1321" s="6" t="s">
        <v>391</v>
      </c>
      <c r="E1321" s="6" t="s">
        <v>1741</v>
      </c>
      <c r="F1321" s="6" t="s">
        <v>439</v>
      </c>
      <c r="G1321" s="6" t="s">
        <v>494</v>
      </c>
      <c r="H1321" s="11" t="s">
        <v>259</v>
      </c>
      <c r="I1321" s="12">
        <v>6.0</v>
      </c>
      <c r="J1321" s="6" t="s">
        <v>161</v>
      </c>
    </row>
    <row r="1322" ht="22.5" customHeight="1">
      <c r="A1322" s="6" t="s">
        <v>6956</v>
      </c>
      <c r="B1322" s="6" t="s">
        <v>3754</v>
      </c>
      <c r="C1322" s="10">
        <v>46045.0</v>
      </c>
      <c r="D1322" s="6" t="s">
        <v>312</v>
      </c>
      <c r="E1322" s="6" t="s">
        <v>670</v>
      </c>
      <c r="F1322" s="6" t="s">
        <v>439</v>
      </c>
      <c r="G1322" s="6" t="s">
        <v>369</v>
      </c>
      <c r="H1322" s="10">
        <v>46046.0</v>
      </c>
      <c r="I1322" s="12">
        <v>5.0</v>
      </c>
      <c r="J1322" s="6" t="s">
        <v>161</v>
      </c>
    </row>
    <row r="1323" ht="22.5" customHeight="1">
      <c r="A1323" s="6" t="s">
        <v>6965</v>
      </c>
      <c r="B1323" s="6" t="s">
        <v>3754</v>
      </c>
      <c r="C1323" s="10">
        <v>46035.0</v>
      </c>
      <c r="D1323" s="6" t="s">
        <v>312</v>
      </c>
      <c r="E1323" s="6" t="s">
        <v>2881</v>
      </c>
      <c r="F1323" s="6" t="s">
        <v>112</v>
      </c>
      <c r="G1323" s="6" t="s">
        <v>297</v>
      </c>
      <c r="H1323" s="10">
        <v>46037.0</v>
      </c>
      <c r="I1323" s="12">
        <v>7.0</v>
      </c>
      <c r="J1323" s="6" t="s">
        <v>161</v>
      </c>
    </row>
    <row r="1324" ht="22.5" customHeight="1">
      <c r="A1324" s="6" t="s">
        <v>6972</v>
      </c>
      <c r="B1324" s="6" t="s">
        <v>3754</v>
      </c>
      <c r="C1324" s="10">
        <v>46042.0</v>
      </c>
      <c r="D1324" s="6" t="s">
        <v>312</v>
      </c>
      <c r="E1324" s="6" t="s">
        <v>716</v>
      </c>
      <c r="F1324" s="6" t="s">
        <v>249</v>
      </c>
      <c r="G1324" s="6" t="s">
        <v>458</v>
      </c>
      <c r="H1324" s="11" t="s">
        <v>259</v>
      </c>
      <c r="I1324" s="12">
        <v>7.0</v>
      </c>
      <c r="J1324" s="6" t="s">
        <v>161</v>
      </c>
    </row>
    <row r="1325" ht="22.5" customHeight="1">
      <c r="A1325" s="6" t="s">
        <v>6980</v>
      </c>
      <c r="B1325" s="6" t="s">
        <v>3761</v>
      </c>
      <c r="C1325" s="10">
        <v>46057.0</v>
      </c>
      <c r="D1325" s="6" t="s">
        <v>391</v>
      </c>
      <c r="E1325" s="6" t="s">
        <v>1546</v>
      </c>
      <c r="F1325" s="6" t="s">
        <v>283</v>
      </c>
      <c r="G1325" s="6" t="s">
        <v>369</v>
      </c>
      <c r="H1325" s="10">
        <v>46064.0</v>
      </c>
      <c r="I1325" s="12">
        <v>9.0</v>
      </c>
      <c r="J1325" s="6" t="s">
        <v>161</v>
      </c>
    </row>
    <row r="1326" ht="22.5" customHeight="1">
      <c r="A1326" s="6" t="s">
        <v>6984</v>
      </c>
      <c r="B1326" s="6" t="s">
        <v>3761</v>
      </c>
      <c r="C1326" s="10">
        <v>46046.0</v>
      </c>
      <c r="D1326" s="6" t="s">
        <v>242</v>
      </c>
      <c r="E1326" s="6" t="s">
        <v>246</v>
      </c>
      <c r="F1326" s="6" t="s">
        <v>283</v>
      </c>
      <c r="G1326" s="6" t="s">
        <v>326</v>
      </c>
      <c r="H1326" s="10">
        <v>46048.0</v>
      </c>
      <c r="I1326" s="12">
        <v>5.0</v>
      </c>
      <c r="J1326" s="6" t="s">
        <v>178</v>
      </c>
    </row>
    <row r="1327" ht="22.5" customHeight="1">
      <c r="A1327" s="6" t="s">
        <v>6988</v>
      </c>
      <c r="B1327" s="6" t="s">
        <v>3761</v>
      </c>
      <c r="C1327" s="10">
        <v>46058.0</v>
      </c>
      <c r="D1327" s="6" t="s">
        <v>312</v>
      </c>
      <c r="E1327" s="6" t="s">
        <v>1517</v>
      </c>
      <c r="F1327" s="6" t="s">
        <v>112</v>
      </c>
      <c r="G1327" s="6" t="s">
        <v>452</v>
      </c>
      <c r="H1327" s="11" t="s">
        <v>259</v>
      </c>
      <c r="I1327" s="12">
        <v>6.0</v>
      </c>
      <c r="J1327" s="6" t="s">
        <v>161</v>
      </c>
    </row>
    <row r="1328" ht="22.5" customHeight="1">
      <c r="A1328" s="6" t="s">
        <v>6993</v>
      </c>
      <c r="B1328" s="6" t="s">
        <v>3767</v>
      </c>
      <c r="C1328" s="10">
        <v>46061.0</v>
      </c>
      <c r="D1328" s="6" t="s">
        <v>312</v>
      </c>
      <c r="E1328" s="6" t="s">
        <v>1969</v>
      </c>
      <c r="F1328" s="6" t="s">
        <v>439</v>
      </c>
      <c r="G1328" s="6" t="s">
        <v>494</v>
      </c>
      <c r="H1328" s="10">
        <v>46062.0</v>
      </c>
      <c r="I1328" s="12">
        <v>5.0</v>
      </c>
      <c r="J1328" s="6" t="s">
        <v>161</v>
      </c>
    </row>
    <row r="1329" ht="22.5" customHeight="1">
      <c r="A1329" s="6" t="s">
        <v>6997</v>
      </c>
      <c r="B1329" s="6" t="s">
        <v>3767</v>
      </c>
      <c r="C1329" s="10">
        <v>46066.0</v>
      </c>
      <c r="D1329" s="6" t="s">
        <v>416</v>
      </c>
      <c r="E1329" s="6" t="s">
        <v>618</v>
      </c>
      <c r="F1329" s="6" t="s">
        <v>249</v>
      </c>
      <c r="G1329" s="6" t="s">
        <v>326</v>
      </c>
      <c r="H1329" s="10">
        <v>46069.0</v>
      </c>
      <c r="I1329" s="12">
        <v>12.0</v>
      </c>
      <c r="J1329" s="6" t="s">
        <v>161</v>
      </c>
    </row>
    <row r="1330" ht="22.5" customHeight="1">
      <c r="A1330" s="6" t="s">
        <v>7003</v>
      </c>
      <c r="B1330" s="6" t="s">
        <v>3774</v>
      </c>
      <c r="C1330" s="10">
        <v>46075.0</v>
      </c>
      <c r="D1330" s="6" t="s">
        <v>416</v>
      </c>
      <c r="E1330" s="6" t="s">
        <v>885</v>
      </c>
      <c r="F1330" s="6" t="s">
        <v>283</v>
      </c>
      <c r="G1330" s="6" t="s">
        <v>452</v>
      </c>
      <c r="H1330" s="10">
        <v>46078.0</v>
      </c>
      <c r="I1330" s="12">
        <v>10.0</v>
      </c>
      <c r="J1330" s="6" t="s">
        <v>161</v>
      </c>
    </row>
    <row r="1331" ht="22.5" customHeight="1">
      <c r="A1331" s="6" t="s">
        <v>7006</v>
      </c>
      <c r="B1331" s="6" t="s">
        <v>3774</v>
      </c>
      <c r="C1331" s="10">
        <v>46079.0</v>
      </c>
      <c r="D1331" s="6" t="s">
        <v>312</v>
      </c>
      <c r="E1331" s="6" t="s">
        <v>1969</v>
      </c>
      <c r="F1331" s="6" t="s">
        <v>249</v>
      </c>
      <c r="G1331" s="6" t="s">
        <v>297</v>
      </c>
      <c r="H1331" s="10">
        <v>46085.0</v>
      </c>
      <c r="I1331" s="12">
        <v>7.0</v>
      </c>
      <c r="J1331" s="6" t="s">
        <v>161</v>
      </c>
    </row>
    <row r="1332" ht="22.5" customHeight="1">
      <c r="A1332" s="6" t="s">
        <v>7010</v>
      </c>
      <c r="B1332" s="6" t="s">
        <v>3780</v>
      </c>
      <c r="C1332" s="10">
        <v>46030.0</v>
      </c>
      <c r="D1332" s="6" t="s">
        <v>416</v>
      </c>
      <c r="E1332" s="6" t="s">
        <v>833</v>
      </c>
      <c r="F1332" s="6" t="s">
        <v>283</v>
      </c>
      <c r="G1332" s="6" t="s">
        <v>254</v>
      </c>
      <c r="H1332" s="10">
        <v>46035.0</v>
      </c>
      <c r="I1332" s="12">
        <v>9.0</v>
      </c>
      <c r="J1332" s="6" t="s">
        <v>161</v>
      </c>
    </row>
    <row r="1333" ht="22.5" customHeight="1">
      <c r="A1333" s="6" t="s">
        <v>7015</v>
      </c>
      <c r="B1333" s="6" t="s">
        <v>3780</v>
      </c>
      <c r="C1333" s="10">
        <v>46035.0</v>
      </c>
      <c r="D1333" s="6" t="s">
        <v>436</v>
      </c>
      <c r="E1333" s="6" t="s">
        <v>628</v>
      </c>
      <c r="F1333" s="6" t="s">
        <v>439</v>
      </c>
      <c r="G1333" s="6" t="s">
        <v>297</v>
      </c>
      <c r="H1333" s="10">
        <v>46040.0</v>
      </c>
      <c r="I1333" s="12">
        <v>12.0</v>
      </c>
      <c r="J1333" s="6" t="s">
        <v>161</v>
      </c>
    </row>
    <row r="1334" ht="22.5" customHeight="1">
      <c r="A1334" s="6" t="s">
        <v>7018</v>
      </c>
      <c r="B1334" s="6" t="s">
        <v>3780</v>
      </c>
      <c r="C1334" s="10">
        <v>46032.0</v>
      </c>
      <c r="D1334" s="6" t="s">
        <v>416</v>
      </c>
      <c r="E1334" s="6" t="s">
        <v>812</v>
      </c>
      <c r="F1334" s="6" t="s">
        <v>439</v>
      </c>
      <c r="G1334" s="6" t="s">
        <v>254</v>
      </c>
      <c r="H1334" s="11" t="s">
        <v>259</v>
      </c>
      <c r="I1334" s="12">
        <v>12.0</v>
      </c>
      <c r="J1334" s="6" t="s">
        <v>161</v>
      </c>
    </row>
    <row r="1335" ht="22.5" customHeight="1">
      <c r="A1335" s="6" t="s">
        <v>7023</v>
      </c>
      <c r="B1335" s="6" t="s">
        <v>3780</v>
      </c>
      <c r="C1335" s="10">
        <v>46028.0</v>
      </c>
      <c r="D1335" s="6" t="s">
        <v>416</v>
      </c>
      <c r="E1335" s="6" t="s">
        <v>738</v>
      </c>
      <c r="F1335" s="6" t="s">
        <v>439</v>
      </c>
      <c r="G1335" s="6" t="s">
        <v>326</v>
      </c>
      <c r="H1335" s="10">
        <v>46034.0</v>
      </c>
      <c r="I1335" s="12">
        <v>8.0</v>
      </c>
      <c r="J1335" s="6" t="s">
        <v>161</v>
      </c>
    </row>
    <row r="1336" ht="22.5" customHeight="1">
      <c r="A1336" s="6" t="s">
        <v>7028</v>
      </c>
      <c r="B1336" s="6" t="s">
        <v>3787</v>
      </c>
      <c r="C1336" s="10">
        <v>46040.0</v>
      </c>
      <c r="D1336" s="6" t="s">
        <v>436</v>
      </c>
      <c r="E1336" s="6" t="s">
        <v>896</v>
      </c>
      <c r="F1336" s="6" t="s">
        <v>249</v>
      </c>
      <c r="G1336" s="6" t="s">
        <v>297</v>
      </c>
      <c r="H1336" s="11" t="s">
        <v>259</v>
      </c>
      <c r="I1336" s="12">
        <v>7.0</v>
      </c>
      <c r="J1336" s="6" t="s">
        <v>178</v>
      </c>
    </row>
    <row r="1337" ht="22.5" customHeight="1">
      <c r="A1337" s="6" t="s">
        <v>7032</v>
      </c>
      <c r="B1337" s="6" t="s">
        <v>3787</v>
      </c>
      <c r="C1337" s="10">
        <v>46041.0</v>
      </c>
      <c r="D1337" s="6" t="s">
        <v>436</v>
      </c>
      <c r="E1337" s="6" t="s">
        <v>1741</v>
      </c>
      <c r="F1337" s="6" t="s">
        <v>249</v>
      </c>
      <c r="G1337" s="6" t="s">
        <v>369</v>
      </c>
      <c r="H1337" s="10">
        <v>46046.0</v>
      </c>
      <c r="I1337" s="12">
        <v>7.0</v>
      </c>
      <c r="J1337" s="6" t="s">
        <v>178</v>
      </c>
    </row>
    <row r="1338" ht="22.5" customHeight="1">
      <c r="A1338" s="6" t="s">
        <v>7037</v>
      </c>
      <c r="B1338" s="6" t="s">
        <v>3787</v>
      </c>
      <c r="C1338" s="10">
        <v>46040.0</v>
      </c>
      <c r="D1338" s="6" t="s">
        <v>436</v>
      </c>
      <c r="E1338" s="6" t="s">
        <v>1570</v>
      </c>
      <c r="F1338" s="6" t="s">
        <v>112</v>
      </c>
      <c r="G1338" s="6" t="s">
        <v>477</v>
      </c>
      <c r="H1338" s="10">
        <v>46045.0</v>
      </c>
      <c r="I1338" s="12">
        <v>11.0</v>
      </c>
      <c r="J1338" s="6" t="s">
        <v>178</v>
      </c>
    </row>
    <row r="1339" ht="22.5" customHeight="1">
      <c r="A1339" s="6" t="s">
        <v>7041</v>
      </c>
      <c r="B1339" s="6" t="s">
        <v>3787</v>
      </c>
      <c r="C1339" s="10">
        <v>46045.0</v>
      </c>
      <c r="D1339" s="6" t="s">
        <v>312</v>
      </c>
      <c r="E1339" s="6" t="s">
        <v>731</v>
      </c>
      <c r="F1339" s="6" t="s">
        <v>112</v>
      </c>
      <c r="G1339" s="6" t="s">
        <v>458</v>
      </c>
      <c r="H1339" s="10">
        <v>46052.0</v>
      </c>
      <c r="I1339" s="12">
        <v>5.0</v>
      </c>
      <c r="J1339" s="6" t="s">
        <v>161</v>
      </c>
    </row>
    <row r="1340" ht="22.5" customHeight="1">
      <c r="A1340" s="6" t="s">
        <v>7047</v>
      </c>
      <c r="B1340" s="6" t="s">
        <v>3793</v>
      </c>
      <c r="C1340" s="10">
        <v>46055.0</v>
      </c>
      <c r="D1340" s="6" t="s">
        <v>391</v>
      </c>
      <c r="E1340" s="6" t="s">
        <v>1296</v>
      </c>
      <c r="F1340" s="6" t="s">
        <v>283</v>
      </c>
      <c r="G1340" s="6" t="s">
        <v>494</v>
      </c>
      <c r="H1340" s="11" t="s">
        <v>259</v>
      </c>
      <c r="I1340" s="12">
        <v>11.0</v>
      </c>
      <c r="J1340" s="6" t="s">
        <v>161</v>
      </c>
    </row>
    <row r="1341" ht="22.5" customHeight="1">
      <c r="A1341" s="6" t="s">
        <v>7050</v>
      </c>
      <c r="B1341" s="6" t="s">
        <v>3799</v>
      </c>
      <c r="C1341" s="10">
        <v>46053.0</v>
      </c>
      <c r="D1341" s="6" t="s">
        <v>416</v>
      </c>
      <c r="E1341" s="6" t="s">
        <v>291</v>
      </c>
      <c r="F1341" s="6" t="s">
        <v>283</v>
      </c>
      <c r="G1341" s="6" t="s">
        <v>254</v>
      </c>
      <c r="H1341" s="10">
        <v>46053.0</v>
      </c>
      <c r="I1341" s="12">
        <v>12.0</v>
      </c>
      <c r="J1341" s="6" t="s">
        <v>161</v>
      </c>
    </row>
    <row r="1342" ht="22.5" customHeight="1">
      <c r="A1342" s="6" t="s">
        <v>7055</v>
      </c>
      <c r="B1342" s="6" t="s">
        <v>3799</v>
      </c>
      <c r="C1342" s="10">
        <v>46064.0</v>
      </c>
      <c r="D1342" s="6" t="s">
        <v>436</v>
      </c>
      <c r="E1342" s="6" t="s">
        <v>320</v>
      </c>
      <c r="F1342" s="6" t="s">
        <v>283</v>
      </c>
      <c r="G1342" s="6" t="s">
        <v>254</v>
      </c>
      <c r="H1342" s="10">
        <v>46066.0</v>
      </c>
      <c r="I1342" s="12">
        <v>7.0</v>
      </c>
      <c r="J1342" s="6" t="s">
        <v>178</v>
      </c>
    </row>
    <row r="1343" ht="22.5" customHeight="1">
      <c r="A1343" s="6" t="s">
        <v>7060</v>
      </c>
      <c r="B1343" s="6" t="s">
        <v>3799</v>
      </c>
      <c r="C1343" s="10">
        <v>46063.0</v>
      </c>
      <c r="D1343" s="6" t="s">
        <v>242</v>
      </c>
      <c r="E1343" s="6" t="s">
        <v>670</v>
      </c>
      <c r="F1343" s="6" t="s">
        <v>283</v>
      </c>
      <c r="G1343" s="6" t="s">
        <v>452</v>
      </c>
      <c r="H1343" s="10">
        <v>46070.0</v>
      </c>
      <c r="I1343" s="12">
        <v>5.0</v>
      </c>
      <c r="J1343" s="6" t="s">
        <v>178</v>
      </c>
    </row>
    <row r="1344" ht="22.5" customHeight="1">
      <c r="A1344" s="6" t="s">
        <v>7064</v>
      </c>
      <c r="B1344" s="6" t="s">
        <v>3799</v>
      </c>
      <c r="C1344" s="10">
        <v>46048.0</v>
      </c>
      <c r="D1344" s="6" t="s">
        <v>391</v>
      </c>
      <c r="E1344" s="6" t="s">
        <v>466</v>
      </c>
      <c r="F1344" s="6" t="s">
        <v>439</v>
      </c>
      <c r="G1344" s="6" t="s">
        <v>297</v>
      </c>
      <c r="H1344" s="10">
        <v>46049.0</v>
      </c>
      <c r="I1344" s="12">
        <v>10.0</v>
      </c>
      <c r="J1344" s="6" t="s">
        <v>161</v>
      </c>
    </row>
    <row r="1345" ht="22.5" customHeight="1">
      <c r="A1345" s="6" t="s">
        <v>7069</v>
      </c>
      <c r="B1345" s="6" t="s">
        <v>3805</v>
      </c>
      <c r="C1345" s="10">
        <v>46069.0</v>
      </c>
      <c r="D1345" s="6" t="s">
        <v>242</v>
      </c>
      <c r="E1345" s="6" t="s">
        <v>896</v>
      </c>
      <c r="F1345" s="6" t="s">
        <v>112</v>
      </c>
      <c r="G1345" s="6" t="s">
        <v>369</v>
      </c>
      <c r="H1345" s="10">
        <v>46069.0</v>
      </c>
      <c r="I1345" s="12">
        <v>5.0</v>
      </c>
      <c r="J1345" s="6" t="s">
        <v>161</v>
      </c>
    </row>
    <row r="1346" ht="22.5" customHeight="1">
      <c r="A1346" s="6" t="s">
        <v>7073</v>
      </c>
      <c r="B1346" s="6" t="s">
        <v>3810</v>
      </c>
      <c r="C1346" s="10">
        <v>46051.0</v>
      </c>
      <c r="D1346" s="6" t="s">
        <v>391</v>
      </c>
      <c r="E1346" s="6" t="s">
        <v>1296</v>
      </c>
      <c r="F1346" s="6" t="s">
        <v>249</v>
      </c>
      <c r="G1346" s="6" t="s">
        <v>452</v>
      </c>
      <c r="H1346" s="10">
        <v>46054.0</v>
      </c>
      <c r="I1346" s="12">
        <v>11.0</v>
      </c>
      <c r="J1346" s="6" t="s">
        <v>161</v>
      </c>
    </row>
    <row r="1347" ht="22.5" customHeight="1">
      <c r="A1347" s="6" t="s">
        <v>7077</v>
      </c>
      <c r="B1347" s="6" t="s">
        <v>3810</v>
      </c>
      <c r="C1347" s="10">
        <v>46055.0</v>
      </c>
      <c r="D1347" s="6" t="s">
        <v>289</v>
      </c>
      <c r="E1347" s="6" t="s">
        <v>955</v>
      </c>
      <c r="F1347" s="6" t="s">
        <v>439</v>
      </c>
      <c r="G1347" s="6" t="s">
        <v>369</v>
      </c>
      <c r="H1347" s="11" t="s">
        <v>259</v>
      </c>
      <c r="I1347" s="12">
        <v>9.0</v>
      </c>
      <c r="J1347" s="6" t="s">
        <v>161</v>
      </c>
    </row>
    <row r="1348" ht="22.5" customHeight="1">
      <c r="A1348" s="6" t="s">
        <v>7082</v>
      </c>
      <c r="B1348" s="6" t="s">
        <v>3810</v>
      </c>
      <c r="C1348" s="10">
        <v>46050.0</v>
      </c>
      <c r="D1348" s="6" t="s">
        <v>242</v>
      </c>
      <c r="E1348" s="6" t="s">
        <v>885</v>
      </c>
      <c r="F1348" s="6" t="s">
        <v>249</v>
      </c>
      <c r="G1348" s="6" t="s">
        <v>326</v>
      </c>
      <c r="H1348" s="11" t="s">
        <v>259</v>
      </c>
      <c r="I1348" s="12">
        <v>4.0</v>
      </c>
      <c r="J1348" s="6" t="s">
        <v>178</v>
      </c>
    </row>
    <row r="1349" ht="22.5" customHeight="1">
      <c r="A1349" s="6" t="s">
        <v>7086</v>
      </c>
      <c r="B1349" s="6" t="s">
        <v>3810</v>
      </c>
      <c r="C1349" s="10">
        <v>46061.0</v>
      </c>
      <c r="D1349" s="6" t="s">
        <v>391</v>
      </c>
      <c r="E1349" s="6" t="s">
        <v>1102</v>
      </c>
      <c r="F1349" s="6" t="s">
        <v>112</v>
      </c>
      <c r="G1349" s="6" t="s">
        <v>297</v>
      </c>
      <c r="H1349" s="10">
        <v>46063.0</v>
      </c>
      <c r="I1349" s="12">
        <v>8.0</v>
      </c>
      <c r="J1349" s="6" t="s">
        <v>161</v>
      </c>
    </row>
    <row r="1350" ht="22.5" customHeight="1">
      <c r="A1350" s="6" t="s">
        <v>7092</v>
      </c>
      <c r="B1350" s="6" t="s">
        <v>3816</v>
      </c>
      <c r="C1350" s="10">
        <v>46074.0</v>
      </c>
      <c r="D1350" s="6" t="s">
        <v>242</v>
      </c>
      <c r="E1350" s="6" t="s">
        <v>716</v>
      </c>
      <c r="F1350" s="6" t="s">
        <v>249</v>
      </c>
      <c r="G1350" s="6" t="s">
        <v>477</v>
      </c>
      <c r="H1350" s="10">
        <v>46079.0</v>
      </c>
      <c r="I1350" s="12">
        <v>5.0</v>
      </c>
      <c r="J1350" s="6" t="s">
        <v>161</v>
      </c>
    </row>
    <row r="1351" ht="22.5" customHeight="1">
      <c r="A1351" s="6" t="s">
        <v>7095</v>
      </c>
      <c r="B1351" s="6" t="s">
        <v>3816</v>
      </c>
      <c r="C1351" s="10">
        <v>46081.0</v>
      </c>
      <c r="D1351" s="6" t="s">
        <v>312</v>
      </c>
      <c r="E1351" s="6" t="s">
        <v>1035</v>
      </c>
      <c r="F1351" s="6" t="s">
        <v>439</v>
      </c>
      <c r="G1351" s="6" t="s">
        <v>254</v>
      </c>
      <c r="H1351" s="10">
        <v>46086.0</v>
      </c>
      <c r="I1351" s="12">
        <v>6.0</v>
      </c>
      <c r="J1351" s="6" t="s">
        <v>161</v>
      </c>
    </row>
    <row r="1352" ht="22.5" customHeight="1">
      <c r="A1352" s="6" t="s">
        <v>7100</v>
      </c>
      <c r="B1352" s="6" t="s">
        <v>3816</v>
      </c>
      <c r="C1352" s="10">
        <v>46082.0</v>
      </c>
      <c r="D1352" s="6" t="s">
        <v>242</v>
      </c>
      <c r="E1352" s="6" t="s">
        <v>731</v>
      </c>
      <c r="F1352" s="6" t="s">
        <v>249</v>
      </c>
      <c r="G1352" s="6" t="s">
        <v>458</v>
      </c>
      <c r="H1352" s="10">
        <v>46089.0</v>
      </c>
      <c r="I1352" s="12">
        <v>3.0</v>
      </c>
      <c r="J1352" s="6" t="s">
        <v>178</v>
      </c>
    </row>
    <row r="1353" ht="22.5" customHeight="1">
      <c r="A1353" s="6" t="s">
        <v>7105</v>
      </c>
      <c r="B1353" s="6" t="s">
        <v>3816</v>
      </c>
      <c r="C1353" s="10">
        <v>46078.0</v>
      </c>
      <c r="D1353" s="6" t="s">
        <v>242</v>
      </c>
      <c r="E1353" s="6" t="s">
        <v>583</v>
      </c>
      <c r="F1353" s="6" t="s">
        <v>439</v>
      </c>
      <c r="G1353" s="6" t="s">
        <v>494</v>
      </c>
      <c r="H1353" s="11" t="s">
        <v>259</v>
      </c>
      <c r="I1353" s="12">
        <v>4.0</v>
      </c>
      <c r="J1353" s="6" t="s">
        <v>161</v>
      </c>
    </row>
    <row r="1354" ht="22.5" customHeight="1">
      <c r="A1354" s="6" t="s">
        <v>7109</v>
      </c>
      <c r="B1354" s="6" t="s">
        <v>3823</v>
      </c>
      <c r="C1354" s="10">
        <v>46030.0</v>
      </c>
      <c r="D1354" s="6" t="s">
        <v>677</v>
      </c>
      <c r="E1354" s="6" t="s">
        <v>438</v>
      </c>
      <c r="F1354" s="6" t="s">
        <v>112</v>
      </c>
      <c r="G1354" s="6" t="s">
        <v>494</v>
      </c>
      <c r="H1354" s="10">
        <v>46036.0</v>
      </c>
      <c r="I1354" s="12">
        <v>2.0</v>
      </c>
      <c r="J1354" s="6" t="s">
        <v>161</v>
      </c>
    </row>
    <row r="1355" ht="22.5" customHeight="1">
      <c r="A1355" s="6" t="s">
        <v>7114</v>
      </c>
      <c r="B1355" s="6" t="s">
        <v>3823</v>
      </c>
      <c r="C1355" s="10">
        <v>46027.0</v>
      </c>
      <c r="D1355" s="6" t="s">
        <v>416</v>
      </c>
      <c r="E1355" s="6" t="s">
        <v>695</v>
      </c>
      <c r="F1355" s="6" t="s">
        <v>112</v>
      </c>
      <c r="G1355" s="6" t="s">
        <v>369</v>
      </c>
      <c r="H1355" s="10">
        <v>46031.0</v>
      </c>
      <c r="I1355" s="12">
        <v>13.0</v>
      </c>
      <c r="J1355" s="6" t="s">
        <v>161</v>
      </c>
    </row>
    <row r="1356" ht="22.5" customHeight="1">
      <c r="A1356" s="6" t="s">
        <v>7118</v>
      </c>
      <c r="B1356" s="6" t="s">
        <v>3823</v>
      </c>
      <c r="C1356" s="10">
        <v>46038.0</v>
      </c>
      <c r="D1356" s="6" t="s">
        <v>416</v>
      </c>
      <c r="E1356" s="6" t="s">
        <v>566</v>
      </c>
      <c r="F1356" s="6" t="s">
        <v>439</v>
      </c>
      <c r="G1356" s="6" t="s">
        <v>326</v>
      </c>
      <c r="H1356" s="10">
        <v>46040.0</v>
      </c>
      <c r="I1356" s="12">
        <v>13.0</v>
      </c>
      <c r="J1356" s="6" t="s">
        <v>161</v>
      </c>
    </row>
    <row r="1357" ht="22.5" customHeight="1">
      <c r="A1357" s="6" t="s">
        <v>7124</v>
      </c>
      <c r="B1357" s="6" t="s">
        <v>3823</v>
      </c>
      <c r="C1357" s="10">
        <v>46034.0</v>
      </c>
      <c r="D1357" s="6" t="s">
        <v>312</v>
      </c>
      <c r="E1357" s="6" t="s">
        <v>1741</v>
      </c>
      <c r="F1357" s="6" t="s">
        <v>439</v>
      </c>
      <c r="G1357" s="6" t="s">
        <v>369</v>
      </c>
      <c r="H1357" s="10">
        <v>46035.0</v>
      </c>
      <c r="I1357" s="12">
        <v>5.0</v>
      </c>
      <c r="J1357" s="6" t="s">
        <v>161</v>
      </c>
    </row>
    <row r="1358" ht="22.5" customHeight="1">
      <c r="A1358" s="6" t="s">
        <v>7126</v>
      </c>
      <c r="B1358" s="6" t="s">
        <v>3829</v>
      </c>
      <c r="C1358" s="10">
        <v>46058.0</v>
      </c>
      <c r="D1358" s="6" t="s">
        <v>242</v>
      </c>
      <c r="E1358" s="6" t="s">
        <v>955</v>
      </c>
      <c r="F1358" s="6" t="s">
        <v>283</v>
      </c>
      <c r="G1358" s="6" t="s">
        <v>458</v>
      </c>
      <c r="H1358" s="10">
        <v>46062.0</v>
      </c>
      <c r="I1358" s="12">
        <v>4.0</v>
      </c>
      <c r="J1358" s="6" t="s">
        <v>161</v>
      </c>
    </row>
    <row r="1359" ht="22.5" customHeight="1">
      <c r="A1359" s="6" t="s">
        <v>7129</v>
      </c>
      <c r="B1359" s="6" t="s">
        <v>3829</v>
      </c>
      <c r="C1359" s="10">
        <v>46051.0</v>
      </c>
      <c r="D1359" s="6" t="s">
        <v>416</v>
      </c>
      <c r="E1359" s="6" t="s">
        <v>2365</v>
      </c>
      <c r="F1359" s="6" t="s">
        <v>283</v>
      </c>
      <c r="G1359" s="6" t="s">
        <v>494</v>
      </c>
      <c r="H1359" s="10">
        <v>46055.0</v>
      </c>
      <c r="I1359" s="12">
        <v>13.0</v>
      </c>
      <c r="J1359" s="6" t="s">
        <v>161</v>
      </c>
    </row>
    <row r="1360" ht="22.5" customHeight="1">
      <c r="A1360" s="6" t="s">
        <v>7136</v>
      </c>
      <c r="B1360" s="6" t="s">
        <v>3829</v>
      </c>
      <c r="C1360" s="10">
        <v>46056.0</v>
      </c>
      <c r="D1360" s="6" t="s">
        <v>312</v>
      </c>
      <c r="E1360" s="6" t="s">
        <v>1273</v>
      </c>
      <c r="F1360" s="6" t="s">
        <v>439</v>
      </c>
      <c r="G1360" s="6" t="s">
        <v>254</v>
      </c>
      <c r="H1360" s="10">
        <v>46062.0</v>
      </c>
      <c r="I1360" s="12">
        <v>6.0</v>
      </c>
      <c r="J1360" s="6" t="s">
        <v>161</v>
      </c>
    </row>
    <row r="1361" ht="22.5" customHeight="1">
      <c r="A1361" s="6" t="s">
        <v>7140</v>
      </c>
      <c r="B1361" s="6" t="s">
        <v>3829</v>
      </c>
      <c r="C1361" s="10">
        <v>46054.0</v>
      </c>
      <c r="D1361" s="6" t="s">
        <v>391</v>
      </c>
      <c r="E1361" s="6" t="s">
        <v>775</v>
      </c>
      <c r="F1361" s="6" t="s">
        <v>112</v>
      </c>
      <c r="G1361" s="6" t="s">
        <v>494</v>
      </c>
      <c r="H1361" s="11" t="s">
        <v>259</v>
      </c>
      <c r="I1361" s="12">
        <v>6.0</v>
      </c>
      <c r="J1361" s="6" t="s">
        <v>161</v>
      </c>
    </row>
    <row r="1362" ht="22.5" customHeight="1">
      <c r="A1362" s="6" t="s">
        <v>7144</v>
      </c>
      <c r="B1362" s="6" t="s">
        <v>3829</v>
      </c>
      <c r="C1362" s="10">
        <v>46061.0</v>
      </c>
      <c r="D1362" s="6" t="s">
        <v>677</v>
      </c>
      <c r="E1362" s="6" t="s">
        <v>955</v>
      </c>
      <c r="F1362" s="6" t="s">
        <v>283</v>
      </c>
      <c r="G1362" s="6" t="s">
        <v>477</v>
      </c>
      <c r="H1362" s="10">
        <v>46063.0</v>
      </c>
      <c r="I1362" s="12">
        <v>4.0</v>
      </c>
      <c r="J1362" s="6" t="s">
        <v>161</v>
      </c>
    </row>
    <row r="1363" ht="22.5" customHeight="1">
      <c r="A1363" s="6" t="s">
        <v>7150</v>
      </c>
      <c r="B1363" s="6" t="s">
        <v>3836</v>
      </c>
      <c r="C1363" s="10">
        <v>46043.0</v>
      </c>
      <c r="D1363" s="6" t="s">
        <v>289</v>
      </c>
      <c r="E1363" s="6" t="s">
        <v>695</v>
      </c>
      <c r="F1363" s="6" t="s">
        <v>112</v>
      </c>
      <c r="G1363" s="6" t="s">
        <v>369</v>
      </c>
      <c r="H1363" s="10">
        <v>46046.0</v>
      </c>
      <c r="I1363" s="12">
        <v>10.0</v>
      </c>
      <c r="J1363" s="6" t="s">
        <v>161</v>
      </c>
    </row>
    <row r="1364" ht="22.5" customHeight="1">
      <c r="A1364" s="6" t="s">
        <v>7153</v>
      </c>
      <c r="B1364" s="6" t="s">
        <v>3836</v>
      </c>
      <c r="C1364" s="10">
        <v>46039.0</v>
      </c>
      <c r="D1364" s="6" t="s">
        <v>416</v>
      </c>
      <c r="E1364" s="6" t="s">
        <v>1280</v>
      </c>
      <c r="F1364" s="6" t="s">
        <v>112</v>
      </c>
      <c r="G1364" s="6" t="s">
        <v>326</v>
      </c>
      <c r="H1364" s="10">
        <v>46043.0</v>
      </c>
      <c r="I1364" s="12">
        <v>8.0</v>
      </c>
      <c r="J1364" s="6" t="s">
        <v>161</v>
      </c>
    </row>
    <row r="1365" ht="22.5" customHeight="1">
      <c r="A1365" s="6" t="s">
        <v>7158</v>
      </c>
      <c r="B1365" s="6" t="s">
        <v>3842</v>
      </c>
      <c r="C1365" s="10">
        <v>46069.0</v>
      </c>
      <c r="D1365" s="6" t="s">
        <v>289</v>
      </c>
      <c r="E1365" s="6" t="s">
        <v>1600</v>
      </c>
      <c r="F1365" s="6" t="s">
        <v>249</v>
      </c>
      <c r="G1365" s="6" t="s">
        <v>494</v>
      </c>
      <c r="H1365" s="10">
        <v>46073.0</v>
      </c>
      <c r="I1365" s="12">
        <v>7.0</v>
      </c>
      <c r="J1365" s="6" t="s">
        <v>161</v>
      </c>
    </row>
    <row r="1366" ht="22.5" customHeight="1">
      <c r="A1366" s="6" t="s">
        <v>7163</v>
      </c>
      <c r="B1366" s="6" t="s">
        <v>3849</v>
      </c>
      <c r="C1366" s="10">
        <v>46081.0</v>
      </c>
      <c r="D1366" s="6" t="s">
        <v>312</v>
      </c>
      <c r="E1366" s="6" t="s">
        <v>1055</v>
      </c>
      <c r="F1366" s="6" t="s">
        <v>439</v>
      </c>
      <c r="G1366" s="6" t="s">
        <v>458</v>
      </c>
      <c r="H1366" s="10">
        <v>46087.0</v>
      </c>
      <c r="I1366" s="12">
        <v>6.0</v>
      </c>
      <c r="J1366" s="6" t="s">
        <v>161</v>
      </c>
    </row>
    <row r="1367" ht="22.5" customHeight="1">
      <c r="A1367" s="6" t="s">
        <v>7169</v>
      </c>
      <c r="B1367" s="6" t="s">
        <v>3849</v>
      </c>
      <c r="C1367" s="10">
        <v>46077.0</v>
      </c>
      <c r="D1367" s="6" t="s">
        <v>289</v>
      </c>
      <c r="E1367" s="6" t="s">
        <v>670</v>
      </c>
      <c r="F1367" s="6" t="s">
        <v>439</v>
      </c>
      <c r="G1367" s="6" t="s">
        <v>254</v>
      </c>
      <c r="H1367" s="10">
        <v>46079.0</v>
      </c>
      <c r="I1367" s="12">
        <v>9.0</v>
      </c>
      <c r="J1367" s="6" t="s">
        <v>161</v>
      </c>
    </row>
    <row r="1368" ht="22.5" customHeight="1">
      <c r="A1368" s="6" t="s">
        <v>7173</v>
      </c>
      <c r="B1368" s="6" t="s">
        <v>3849</v>
      </c>
      <c r="C1368" s="10">
        <v>46072.0</v>
      </c>
      <c r="D1368" s="6" t="s">
        <v>677</v>
      </c>
      <c r="E1368" s="6" t="s">
        <v>1310</v>
      </c>
      <c r="F1368" s="6" t="s">
        <v>249</v>
      </c>
      <c r="G1368" s="6" t="s">
        <v>254</v>
      </c>
      <c r="H1368" s="10">
        <v>46075.0</v>
      </c>
      <c r="I1368" s="12">
        <v>3.0</v>
      </c>
      <c r="J1368" s="6" t="s">
        <v>161</v>
      </c>
    </row>
    <row r="1369" ht="22.5" customHeight="1">
      <c r="A1369" s="6" t="s">
        <v>7178</v>
      </c>
      <c r="B1369" s="6" t="s">
        <v>3855</v>
      </c>
      <c r="C1369" s="10">
        <v>46069.0</v>
      </c>
      <c r="D1369" s="6" t="s">
        <v>677</v>
      </c>
      <c r="E1369" s="6" t="s">
        <v>863</v>
      </c>
      <c r="F1369" s="6" t="s">
        <v>283</v>
      </c>
      <c r="G1369" s="6" t="s">
        <v>458</v>
      </c>
      <c r="H1369" s="11" t="s">
        <v>259</v>
      </c>
      <c r="I1369" s="12">
        <v>4.0</v>
      </c>
      <c r="J1369" s="6" t="s">
        <v>161</v>
      </c>
    </row>
    <row r="1370" ht="22.5" customHeight="1">
      <c r="A1370" s="6" t="s">
        <v>7182</v>
      </c>
      <c r="B1370" s="6" t="s">
        <v>3855</v>
      </c>
      <c r="C1370" s="10">
        <v>46057.0</v>
      </c>
      <c r="D1370" s="6" t="s">
        <v>677</v>
      </c>
      <c r="E1370" s="6" t="s">
        <v>246</v>
      </c>
      <c r="F1370" s="6" t="s">
        <v>283</v>
      </c>
      <c r="G1370" s="6" t="s">
        <v>452</v>
      </c>
      <c r="H1370" s="11" t="s">
        <v>259</v>
      </c>
      <c r="I1370" s="12">
        <v>3.0</v>
      </c>
      <c r="J1370" s="6" t="s">
        <v>161</v>
      </c>
    </row>
    <row r="1371" ht="22.5" customHeight="1">
      <c r="A1371" s="6" t="s">
        <v>7188</v>
      </c>
      <c r="B1371" s="6" t="s">
        <v>3855</v>
      </c>
      <c r="C1371" s="10">
        <v>46059.0</v>
      </c>
      <c r="D1371" s="6" t="s">
        <v>289</v>
      </c>
      <c r="E1371" s="6" t="s">
        <v>475</v>
      </c>
      <c r="F1371" s="6" t="s">
        <v>112</v>
      </c>
      <c r="G1371" s="6" t="s">
        <v>297</v>
      </c>
      <c r="H1371" s="10">
        <v>46060.0</v>
      </c>
      <c r="I1371" s="12">
        <v>7.0</v>
      </c>
      <c r="J1371" s="6" t="s">
        <v>161</v>
      </c>
    </row>
    <row r="1372" ht="22.5" customHeight="1">
      <c r="A1372" s="6" t="s">
        <v>7192</v>
      </c>
      <c r="B1372" s="6" t="s">
        <v>3862</v>
      </c>
      <c r="C1372" s="10">
        <v>46045.0</v>
      </c>
      <c r="D1372" s="6" t="s">
        <v>391</v>
      </c>
      <c r="E1372" s="6" t="s">
        <v>618</v>
      </c>
      <c r="F1372" s="6" t="s">
        <v>439</v>
      </c>
      <c r="G1372" s="6" t="s">
        <v>297</v>
      </c>
      <c r="H1372" s="10">
        <v>46051.0</v>
      </c>
      <c r="I1372" s="12">
        <v>9.0</v>
      </c>
      <c r="J1372" s="6" t="s">
        <v>161</v>
      </c>
    </row>
    <row r="1373" ht="22.5" customHeight="1">
      <c r="A1373" s="6" t="s">
        <v>7197</v>
      </c>
      <c r="B1373" s="6" t="s">
        <v>3862</v>
      </c>
      <c r="C1373" s="10">
        <v>46061.0</v>
      </c>
      <c r="D1373" s="6" t="s">
        <v>391</v>
      </c>
      <c r="E1373" s="6" t="s">
        <v>1720</v>
      </c>
      <c r="F1373" s="6" t="s">
        <v>439</v>
      </c>
      <c r="G1373" s="6" t="s">
        <v>254</v>
      </c>
      <c r="H1373" s="10">
        <v>46064.0</v>
      </c>
      <c r="I1373" s="12">
        <v>10.0</v>
      </c>
      <c r="J1373" s="6" t="s">
        <v>161</v>
      </c>
    </row>
    <row r="1374" ht="22.5" customHeight="1">
      <c r="A1374" s="6" t="s">
        <v>7201</v>
      </c>
      <c r="B1374" s="6" t="s">
        <v>3862</v>
      </c>
      <c r="C1374" s="10">
        <v>46042.0</v>
      </c>
      <c r="D1374" s="6" t="s">
        <v>391</v>
      </c>
      <c r="E1374" s="6" t="s">
        <v>798</v>
      </c>
      <c r="F1374" s="6" t="s">
        <v>112</v>
      </c>
      <c r="G1374" s="6" t="s">
        <v>477</v>
      </c>
      <c r="H1374" s="10">
        <v>46045.0</v>
      </c>
      <c r="I1374" s="12">
        <v>6.0</v>
      </c>
      <c r="J1374" s="6" t="s">
        <v>161</v>
      </c>
    </row>
    <row r="1375" ht="22.5" customHeight="1">
      <c r="A1375" s="6" t="s">
        <v>7206</v>
      </c>
      <c r="B1375" s="6" t="s">
        <v>3862</v>
      </c>
      <c r="C1375" s="10">
        <v>46053.0</v>
      </c>
      <c r="D1375" s="6" t="s">
        <v>436</v>
      </c>
      <c r="E1375" s="6" t="s">
        <v>320</v>
      </c>
      <c r="F1375" s="6" t="s">
        <v>439</v>
      </c>
      <c r="G1375" s="6" t="s">
        <v>458</v>
      </c>
      <c r="H1375" s="10">
        <v>46057.0</v>
      </c>
      <c r="I1375" s="12">
        <v>6.0</v>
      </c>
      <c r="J1375" s="6" t="s">
        <v>178</v>
      </c>
    </row>
    <row r="1376" ht="22.5" customHeight="1">
      <c r="A1376" s="6" t="s">
        <v>7208</v>
      </c>
      <c r="B1376" s="6" t="s">
        <v>3868</v>
      </c>
      <c r="C1376" s="10">
        <v>46046.0</v>
      </c>
      <c r="D1376" s="6" t="s">
        <v>289</v>
      </c>
      <c r="E1376" s="6" t="s">
        <v>438</v>
      </c>
      <c r="F1376" s="6" t="s">
        <v>249</v>
      </c>
      <c r="G1376" s="6" t="s">
        <v>254</v>
      </c>
      <c r="H1376" s="10">
        <v>46053.0</v>
      </c>
      <c r="I1376" s="12">
        <v>10.0</v>
      </c>
      <c r="J1376" s="6" t="s">
        <v>161</v>
      </c>
    </row>
    <row r="1377" ht="22.5" customHeight="1">
      <c r="A1377" s="6" t="s">
        <v>7213</v>
      </c>
      <c r="B1377" s="6" t="s">
        <v>3868</v>
      </c>
      <c r="C1377" s="10">
        <v>46036.0</v>
      </c>
      <c r="D1377" s="6" t="s">
        <v>677</v>
      </c>
      <c r="E1377" s="6" t="s">
        <v>438</v>
      </c>
      <c r="F1377" s="6" t="s">
        <v>439</v>
      </c>
      <c r="G1377" s="6" t="s">
        <v>326</v>
      </c>
      <c r="H1377" s="10">
        <v>46039.0</v>
      </c>
      <c r="I1377" s="12">
        <v>2.0</v>
      </c>
      <c r="J1377" s="6" t="s">
        <v>161</v>
      </c>
    </row>
    <row r="1378" ht="22.5" customHeight="1">
      <c r="A1378" s="6" t="s">
        <v>7216</v>
      </c>
      <c r="B1378" s="6" t="s">
        <v>3868</v>
      </c>
      <c r="C1378" s="10">
        <v>46045.0</v>
      </c>
      <c r="D1378" s="6" t="s">
        <v>391</v>
      </c>
      <c r="E1378" s="6" t="s">
        <v>1570</v>
      </c>
      <c r="F1378" s="6" t="s">
        <v>249</v>
      </c>
      <c r="G1378" s="6" t="s">
        <v>369</v>
      </c>
      <c r="H1378" s="10">
        <v>46047.0</v>
      </c>
      <c r="I1378" s="12">
        <v>9.0</v>
      </c>
      <c r="J1378" s="6" t="s">
        <v>161</v>
      </c>
    </row>
    <row r="1379" ht="22.5" customHeight="1">
      <c r="A1379" s="6" t="s">
        <v>7220</v>
      </c>
      <c r="B1379" s="6" t="s">
        <v>3875</v>
      </c>
      <c r="C1379" s="10">
        <v>46062.0</v>
      </c>
      <c r="D1379" s="6" t="s">
        <v>436</v>
      </c>
      <c r="E1379" s="6" t="s">
        <v>955</v>
      </c>
      <c r="F1379" s="6" t="s">
        <v>439</v>
      </c>
      <c r="G1379" s="6" t="s">
        <v>477</v>
      </c>
      <c r="H1379" s="10">
        <v>46064.0</v>
      </c>
      <c r="I1379" s="12">
        <v>7.0</v>
      </c>
      <c r="J1379" s="6" t="s">
        <v>178</v>
      </c>
    </row>
    <row r="1380" ht="22.5" customHeight="1">
      <c r="A1380" s="6" t="s">
        <v>7226</v>
      </c>
      <c r="B1380" s="6" t="s">
        <v>3875</v>
      </c>
      <c r="C1380" s="10">
        <v>46072.0</v>
      </c>
      <c r="D1380" s="6" t="s">
        <v>391</v>
      </c>
      <c r="E1380" s="6" t="s">
        <v>1122</v>
      </c>
      <c r="F1380" s="6" t="s">
        <v>439</v>
      </c>
      <c r="G1380" s="6" t="s">
        <v>494</v>
      </c>
      <c r="H1380" s="10">
        <v>46077.0</v>
      </c>
      <c r="I1380" s="12">
        <v>7.0</v>
      </c>
      <c r="J1380" s="6" t="s">
        <v>161</v>
      </c>
    </row>
    <row r="1381" ht="22.5" customHeight="1">
      <c r="A1381" s="6" t="s">
        <v>7232</v>
      </c>
      <c r="B1381" s="6" t="s">
        <v>3882</v>
      </c>
      <c r="C1381" s="10">
        <v>46088.0</v>
      </c>
      <c r="D1381" s="6" t="s">
        <v>416</v>
      </c>
      <c r="E1381" s="6" t="s">
        <v>775</v>
      </c>
      <c r="F1381" s="6" t="s">
        <v>283</v>
      </c>
      <c r="G1381" s="6" t="s">
        <v>477</v>
      </c>
      <c r="H1381" s="10">
        <v>46088.0</v>
      </c>
      <c r="I1381" s="12">
        <v>11.0</v>
      </c>
      <c r="J1381" s="6" t="s">
        <v>161</v>
      </c>
    </row>
    <row r="1382" ht="22.5" customHeight="1">
      <c r="A1382" s="6" t="s">
        <v>7236</v>
      </c>
      <c r="B1382" s="6" t="s">
        <v>3882</v>
      </c>
      <c r="C1382" s="10">
        <v>46083.0</v>
      </c>
      <c r="D1382" s="6" t="s">
        <v>436</v>
      </c>
      <c r="E1382" s="6" t="s">
        <v>2365</v>
      </c>
      <c r="F1382" s="6" t="s">
        <v>283</v>
      </c>
      <c r="G1382" s="6" t="s">
        <v>369</v>
      </c>
      <c r="H1382" s="11" t="s">
        <v>259</v>
      </c>
      <c r="I1382" s="12">
        <v>6.0</v>
      </c>
      <c r="J1382" s="6" t="s">
        <v>178</v>
      </c>
    </row>
    <row r="1383" ht="22.5" customHeight="1">
      <c r="A1383" s="6" t="s">
        <v>7241</v>
      </c>
      <c r="B1383" s="6" t="s">
        <v>3882</v>
      </c>
      <c r="C1383" s="10">
        <v>46077.0</v>
      </c>
      <c r="D1383" s="6" t="s">
        <v>312</v>
      </c>
      <c r="E1383" s="6" t="s">
        <v>512</v>
      </c>
      <c r="F1383" s="6" t="s">
        <v>249</v>
      </c>
      <c r="G1383" s="6" t="s">
        <v>452</v>
      </c>
      <c r="H1383" s="11" t="s">
        <v>259</v>
      </c>
      <c r="I1383" s="12">
        <v>7.0</v>
      </c>
      <c r="J1383" s="6" t="s">
        <v>161</v>
      </c>
    </row>
    <row r="1384" ht="22.5" customHeight="1">
      <c r="A1384" s="6" t="s">
        <v>7245</v>
      </c>
      <c r="B1384" s="6" t="s">
        <v>3889</v>
      </c>
      <c r="C1384" s="10">
        <v>46075.0</v>
      </c>
      <c r="D1384" s="6" t="s">
        <v>677</v>
      </c>
      <c r="E1384" s="6" t="s">
        <v>450</v>
      </c>
      <c r="F1384" s="6" t="s">
        <v>249</v>
      </c>
      <c r="G1384" s="6" t="s">
        <v>254</v>
      </c>
      <c r="H1384" s="10">
        <v>46077.0</v>
      </c>
      <c r="I1384" s="12">
        <v>2.0</v>
      </c>
      <c r="J1384" s="6" t="s">
        <v>161</v>
      </c>
    </row>
    <row r="1385" ht="22.5" customHeight="1">
      <c r="A1385" s="6" t="s">
        <v>7251</v>
      </c>
      <c r="B1385" s="6" t="s">
        <v>3889</v>
      </c>
      <c r="C1385" s="10">
        <v>46070.0</v>
      </c>
      <c r="D1385" s="6" t="s">
        <v>436</v>
      </c>
      <c r="E1385" s="6" t="s">
        <v>1273</v>
      </c>
      <c r="F1385" s="6" t="s">
        <v>439</v>
      </c>
      <c r="G1385" s="6" t="s">
        <v>254</v>
      </c>
      <c r="H1385" s="10">
        <v>46075.0</v>
      </c>
      <c r="I1385" s="12">
        <v>10.0</v>
      </c>
      <c r="J1385" s="6" t="s">
        <v>178</v>
      </c>
    </row>
    <row r="1386" ht="22.5" customHeight="1">
      <c r="A1386" s="6" t="s">
        <v>7254</v>
      </c>
      <c r="B1386" s="6" t="s">
        <v>3889</v>
      </c>
      <c r="C1386" s="10">
        <v>46074.0</v>
      </c>
      <c r="D1386" s="6" t="s">
        <v>242</v>
      </c>
      <c r="E1386" s="6" t="s">
        <v>738</v>
      </c>
      <c r="F1386" s="6" t="s">
        <v>249</v>
      </c>
      <c r="G1386" s="6" t="s">
        <v>369</v>
      </c>
      <c r="H1386" s="10">
        <v>46080.0</v>
      </c>
      <c r="I1386" s="12">
        <v>4.0</v>
      </c>
      <c r="J1386" s="6" t="s">
        <v>178</v>
      </c>
    </row>
    <row r="1387" ht="22.5" customHeight="1">
      <c r="A1387" s="6" t="s">
        <v>7260</v>
      </c>
      <c r="B1387" s="6" t="s">
        <v>3889</v>
      </c>
      <c r="C1387" s="10">
        <v>46062.0</v>
      </c>
      <c r="D1387" s="6" t="s">
        <v>312</v>
      </c>
      <c r="E1387" s="6" t="s">
        <v>1149</v>
      </c>
      <c r="F1387" s="6" t="s">
        <v>439</v>
      </c>
      <c r="G1387" s="6" t="s">
        <v>494</v>
      </c>
      <c r="H1387" s="10">
        <v>46066.0</v>
      </c>
      <c r="I1387" s="12">
        <v>6.0</v>
      </c>
      <c r="J1387" s="6" t="s">
        <v>161</v>
      </c>
    </row>
    <row r="1388" ht="22.5" customHeight="1">
      <c r="A1388" s="6" t="s">
        <v>7264</v>
      </c>
      <c r="B1388" s="6" t="s">
        <v>3889</v>
      </c>
      <c r="C1388" s="10">
        <v>46070.0</v>
      </c>
      <c r="D1388" s="6" t="s">
        <v>391</v>
      </c>
      <c r="E1388" s="6" t="s">
        <v>566</v>
      </c>
      <c r="F1388" s="6" t="s">
        <v>439</v>
      </c>
      <c r="G1388" s="6" t="s">
        <v>452</v>
      </c>
      <c r="H1388" s="10">
        <v>46075.0</v>
      </c>
      <c r="I1388" s="12">
        <v>11.0</v>
      </c>
      <c r="J1388" s="6" t="s">
        <v>161</v>
      </c>
    </row>
    <row r="1389" ht="22.5" customHeight="1">
      <c r="A1389" s="6" t="s">
        <v>7270</v>
      </c>
      <c r="B1389" s="6" t="s">
        <v>3895</v>
      </c>
      <c r="C1389" s="10">
        <v>46032.0</v>
      </c>
      <c r="D1389" s="6" t="s">
        <v>677</v>
      </c>
      <c r="E1389" s="6" t="s">
        <v>687</v>
      </c>
      <c r="F1389" s="6" t="s">
        <v>249</v>
      </c>
      <c r="G1389" s="6" t="s">
        <v>254</v>
      </c>
      <c r="H1389" s="10">
        <v>46037.0</v>
      </c>
      <c r="I1389" s="12">
        <v>4.0</v>
      </c>
      <c r="J1389" s="6" t="s">
        <v>161</v>
      </c>
    </row>
    <row r="1390" ht="22.5" customHeight="1">
      <c r="A1390" s="6" t="s">
        <v>7273</v>
      </c>
      <c r="B1390" s="6" t="s">
        <v>3895</v>
      </c>
      <c r="C1390" s="10">
        <v>46026.0</v>
      </c>
      <c r="D1390" s="6" t="s">
        <v>312</v>
      </c>
      <c r="E1390" s="6" t="s">
        <v>1626</v>
      </c>
      <c r="F1390" s="6" t="s">
        <v>439</v>
      </c>
      <c r="G1390" s="6" t="s">
        <v>477</v>
      </c>
      <c r="H1390" s="10">
        <v>46030.0</v>
      </c>
      <c r="I1390" s="12">
        <v>4.0</v>
      </c>
      <c r="J1390" s="6" t="s">
        <v>161</v>
      </c>
    </row>
    <row r="1391" ht="22.5" customHeight="1">
      <c r="A1391" s="6" t="s">
        <v>7277</v>
      </c>
      <c r="B1391" s="6" t="s">
        <v>3901</v>
      </c>
      <c r="C1391" s="10">
        <v>46057.0</v>
      </c>
      <c r="D1391" s="6" t="s">
        <v>242</v>
      </c>
      <c r="E1391" s="6" t="s">
        <v>955</v>
      </c>
      <c r="F1391" s="6" t="s">
        <v>439</v>
      </c>
      <c r="G1391" s="6" t="s">
        <v>458</v>
      </c>
      <c r="H1391" s="10">
        <v>46062.0</v>
      </c>
      <c r="I1391" s="12">
        <v>6.0</v>
      </c>
      <c r="J1391" s="6" t="s">
        <v>178</v>
      </c>
    </row>
    <row r="1392" ht="22.5" customHeight="1">
      <c r="A1392" s="6" t="s">
        <v>7283</v>
      </c>
      <c r="B1392" s="6" t="s">
        <v>3901</v>
      </c>
      <c r="C1392" s="10">
        <v>46062.0</v>
      </c>
      <c r="D1392" s="6" t="s">
        <v>677</v>
      </c>
      <c r="E1392" s="6" t="s">
        <v>658</v>
      </c>
      <c r="F1392" s="6" t="s">
        <v>249</v>
      </c>
      <c r="G1392" s="6" t="s">
        <v>326</v>
      </c>
      <c r="H1392" s="10">
        <v>46067.0</v>
      </c>
      <c r="I1392" s="12">
        <v>2.0</v>
      </c>
      <c r="J1392" s="6" t="s">
        <v>161</v>
      </c>
    </row>
    <row r="1393" ht="22.5" customHeight="1">
      <c r="A1393" s="6" t="s">
        <v>7288</v>
      </c>
      <c r="B1393" s="6" t="s">
        <v>3901</v>
      </c>
      <c r="C1393" s="10">
        <v>46047.0</v>
      </c>
      <c r="D1393" s="6" t="s">
        <v>312</v>
      </c>
      <c r="E1393" s="6" t="s">
        <v>738</v>
      </c>
      <c r="F1393" s="6" t="s">
        <v>249</v>
      </c>
      <c r="G1393" s="6" t="s">
        <v>477</v>
      </c>
      <c r="H1393" s="10">
        <v>46049.0</v>
      </c>
      <c r="I1393" s="12">
        <v>7.0</v>
      </c>
      <c r="J1393" s="6" t="s">
        <v>161</v>
      </c>
    </row>
    <row r="1394" ht="22.5" customHeight="1">
      <c r="A1394" s="6" t="s">
        <v>7292</v>
      </c>
      <c r="B1394" s="6" t="s">
        <v>3907</v>
      </c>
      <c r="C1394" s="10">
        <v>46066.0</v>
      </c>
      <c r="D1394" s="6" t="s">
        <v>312</v>
      </c>
      <c r="E1394" s="6" t="s">
        <v>1546</v>
      </c>
      <c r="F1394" s="6" t="s">
        <v>283</v>
      </c>
      <c r="G1394" s="6" t="s">
        <v>369</v>
      </c>
      <c r="H1394" s="10">
        <v>46067.0</v>
      </c>
      <c r="I1394" s="12">
        <v>6.0</v>
      </c>
      <c r="J1394" s="6" t="s">
        <v>161</v>
      </c>
    </row>
    <row r="1395" ht="22.5" customHeight="1">
      <c r="A1395" s="6" t="s">
        <v>7296</v>
      </c>
      <c r="B1395" s="6" t="s">
        <v>3907</v>
      </c>
      <c r="C1395" s="10">
        <v>46061.0</v>
      </c>
      <c r="D1395" s="6" t="s">
        <v>289</v>
      </c>
      <c r="E1395" s="6" t="s">
        <v>1969</v>
      </c>
      <c r="F1395" s="6" t="s">
        <v>283</v>
      </c>
      <c r="G1395" s="6" t="s">
        <v>369</v>
      </c>
      <c r="H1395" s="10">
        <v>46066.0</v>
      </c>
      <c r="I1395" s="12">
        <v>8.0</v>
      </c>
      <c r="J1395" s="6" t="s">
        <v>161</v>
      </c>
    </row>
    <row r="1396" ht="22.5" customHeight="1">
      <c r="A1396" s="6" t="s">
        <v>7302</v>
      </c>
      <c r="B1396" s="6" t="s">
        <v>3907</v>
      </c>
      <c r="C1396" s="10">
        <v>46063.0</v>
      </c>
      <c r="D1396" s="6" t="s">
        <v>242</v>
      </c>
      <c r="E1396" s="6" t="s">
        <v>716</v>
      </c>
      <c r="F1396" s="6" t="s">
        <v>283</v>
      </c>
      <c r="G1396" s="6" t="s">
        <v>326</v>
      </c>
      <c r="H1396" s="10">
        <v>46069.0</v>
      </c>
      <c r="I1396" s="12">
        <v>4.0</v>
      </c>
      <c r="J1396" s="6" t="s">
        <v>178</v>
      </c>
    </row>
    <row r="1397" ht="22.5" customHeight="1">
      <c r="A1397" s="6" t="s">
        <v>7305</v>
      </c>
      <c r="B1397" s="6" t="s">
        <v>3907</v>
      </c>
      <c r="C1397" s="10">
        <v>46066.0</v>
      </c>
      <c r="D1397" s="6" t="s">
        <v>416</v>
      </c>
      <c r="E1397" s="6" t="s">
        <v>365</v>
      </c>
      <c r="F1397" s="6" t="s">
        <v>249</v>
      </c>
      <c r="G1397" s="6" t="s">
        <v>297</v>
      </c>
      <c r="H1397" s="10">
        <v>46072.0</v>
      </c>
      <c r="I1397" s="12">
        <v>11.0</v>
      </c>
      <c r="J1397" s="6" t="s">
        <v>161</v>
      </c>
    </row>
    <row r="1398" ht="22.5" customHeight="1">
      <c r="A1398" s="6" t="s">
        <v>7309</v>
      </c>
      <c r="B1398" s="6" t="s">
        <v>3907</v>
      </c>
      <c r="C1398" s="10">
        <v>46072.0</v>
      </c>
      <c r="D1398" s="6" t="s">
        <v>416</v>
      </c>
      <c r="E1398" s="6" t="s">
        <v>798</v>
      </c>
      <c r="F1398" s="6" t="s">
        <v>439</v>
      </c>
      <c r="G1398" s="6" t="s">
        <v>458</v>
      </c>
      <c r="H1398" s="10">
        <v>46077.0</v>
      </c>
      <c r="I1398" s="12">
        <v>13.0</v>
      </c>
      <c r="J1398" s="6" t="s">
        <v>161</v>
      </c>
    </row>
    <row r="1399" ht="22.5" customHeight="1">
      <c r="A1399" s="6" t="s">
        <v>7311</v>
      </c>
      <c r="B1399" s="6" t="s">
        <v>3913</v>
      </c>
      <c r="C1399" s="10">
        <v>46042.0</v>
      </c>
      <c r="D1399" s="6" t="s">
        <v>436</v>
      </c>
      <c r="E1399" s="6" t="s">
        <v>365</v>
      </c>
      <c r="F1399" s="6" t="s">
        <v>283</v>
      </c>
      <c r="G1399" s="6" t="s">
        <v>369</v>
      </c>
      <c r="H1399" s="11" t="s">
        <v>259</v>
      </c>
      <c r="I1399" s="12">
        <v>9.0</v>
      </c>
      <c r="J1399" s="6" t="s">
        <v>178</v>
      </c>
    </row>
    <row r="1400" ht="22.5" customHeight="1">
      <c r="A1400" s="6" t="s">
        <v>7314</v>
      </c>
      <c r="B1400" s="6" t="s">
        <v>3913</v>
      </c>
      <c r="C1400" s="10">
        <v>46042.0</v>
      </c>
      <c r="D1400" s="6" t="s">
        <v>416</v>
      </c>
      <c r="E1400" s="6" t="s">
        <v>417</v>
      </c>
      <c r="F1400" s="6" t="s">
        <v>439</v>
      </c>
      <c r="G1400" s="6" t="s">
        <v>297</v>
      </c>
      <c r="H1400" s="10">
        <v>46043.0</v>
      </c>
      <c r="I1400" s="12">
        <v>13.0</v>
      </c>
      <c r="J1400" s="6" t="s">
        <v>161</v>
      </c>
    </row>
    <row r="1401" ht="22.5" customHeight="1">
      <c r="A1401" s="6" t="s">
        <v>7318</v>
      </c>
      <c r="B1401" s="6" t="s">
        <v>3913</v>
      </c>
      <c r="C1401" s="10">
        <v>46038.0</v>
      </c>
      <c r="D1401" s="6" t="s">
        <v>677</v>
      </c>
      <c r="E1401" s="6" t="s">
        <v>1720</v>
      </c>
      <c r="F1401" s="6" t="s">
        <v>112</v>
      </c>
      <c r="G1401" s="6" t="s">
        <v>326</v>
      </c>
      <c r="H1401" s="10">
        <v>46039.0</v>
      </c>
      <c r="I1401" s="12">
        <v>4.0</v>
      </c>
      <c r="J1401" s="6" t="s">
        <v>161</v>
      </c>
    </row>
    <row r="1402" ht="22.5" customHeight="1">
      <c r="A1402" s="6" t="s">
        <v>7322</v>
      </c>
      <c r="B1402" s="6" t="s">
        <v>3920</v>
      </c>
      <c r="C1402" s="10">
        <v>46048.0</v>
      </c>
      <c r="D1402" s="6" t="s">
        <v>289</v>
      </c>
      <c r="E1402" s="6" t="s">
        <v>1570</v>
      </c>
      <c r="F1402" s="6" t="s">
        <v>249</v>
      </c>
      <c r="G1402" s="6" t="s">
        <v>452</v>
      </c>
      <c r="H1402" s="10">
        <v>46053.0</v>
      </c>
      <c r="I1402" s="12">
        <v>7.0</v>
      </c>
      <c r="J1402" s="6" t="s">
        <v>161</v>
      </c>
    </row>
    <row r="1403" ht="22.5" customHeight="1">
      <c r="A1403" s="6" t="s">
        <v>7329</v>
      </c>
      <c r="B1403" s="6" t="s">
        <v>3920</v>
      </c>
      <c r="C1403" s="10">
        <v>46050.0</v>
      </c>
      <c r="D1403" s="6" t="s">
        <v>242</v>
      </c>
      <c r="E1403" s="6" t="s">
        <v>775</v>
      </c>
      <c r="F1403" s="6" t="s">
        <v>249</v>
      </c>
      <c r="G1403" s="6" t="s">
        <v>477</v>
      </c>
      <c r="H1403" s="10">
        <v>46057.0</v>
      </c>
      <c r="I1403" s="12">
        <v>3.0</v>
      </c>
      <c r="J1403" s="6" t="s">
        <v>178</v>
      </c>
    </row>
    <row r="1404" ht="22.5" customHeight="1">
      <c r="A1404" s="6" t="s">
        <v>7332</v>
      </c>
      <c r="B1404" s="6" t="s">
        <v>3920</v>
      </c>
      <c r="C1404" s="10">
        <v>46042.0</v>
      </c>
      <c r="D1404" s="6" t="s">
        <v>289</v>
      </c>
      <c r="E1404" s="6" t="s">
        <v>2365</v>
      </c>
      <c r="F1404" s="6" t="s">
        <v>283</v>
      </c>
      <c r="G1404" s="6" t="s">
        <v>254</v>
      </c>
      <c r="H1404" s="10">
        <v>46047.0</v>
      </c>
      <c r="I1404" s="12">
        <v>10.0</v>
      </c>
      <c r="J1404" s="6" t="s">
        <v>161</v>
      </c>
    </row>
    <row r="1405" ht="22.5" customHeight="1">
      <c r="A1405" s="6" t="s">
        <v>7337</v>
      </c>
      <c r="B1405" s="6" t="s">
        <v>3926</v>
      </c>
      <c r="C1405" s="10">
        <v>46036.0</v>
      </c>
      <c r="D1405" s="6" t="s">
        <v>436</v>
      </c>
      <c r="E1405" s="6" t="s">
        <v>1102</v>
      </c>
      <c r="F1405" s="6" t="s">
        <v>439</v>
      </c>
      <c r="G1405" s="6" t="s">
        <v>458</v>
      </c>
      <c r="H1405" s="10">
        <v>46040.0</v>
      </c>
      <c r="I1405" s="12">
        <v>7.0</v>
      </c>
      <c r="J1405" s="6" t="s">
        <v>178</v>
      </c>
    </row>
    <row r="1406" ht="22.5" customHeight="1">
      <c r="A1406" s="6" t="s">
        <v>7342</v>
      </c>
      <c r="B1406" s="6" t="s">
        <v>3926</v>
      </c>
      <c r="C1406" s="10">
        <v>46035.0</v>
      </c>
      <c r="D1406" s="6" t="s">
        <v>391</v>
      </c>
      <c r="E1406" s="6" t="s">
        <v>1280</v>
      </c>
      <c r="F1406" s="6" t="s">
        <v>283</v>
      </c>
      <c r="G1406" s="6" t="s">
        <v>477</v>
      </c>
      <c r="H1406" s="10">
        <v>46041.0</v>
      </c>
      <c r="I1406" s="12">
        <v>9.0</v>
      </c>
      <c r="J1406" s="6" t="s">
        <v>161</v>
      </c>
    </row>
    <row r="1407" ht="22.5" customHeight="1">
      <c r="A1407" s="6" t="s">
        <v>7348</v>
      </c>
      <c r="B1407" s="6" t="s">
        <v>3926</v>
      </c>
      <c r="C1407" s="10">
        <v>46049.0</v>
      </c>
      <c r="D1407" s="6" t="s">
        <v>289</v>
      </c>
      <c r="E1407" s="6" t="s">
        <v>1149</v>
      </c>
      <c r="F1407" s="6" t="s">
        <v>249</v>
      </c>
      <c r="G1407" s="6" t="s">
        <v>477</v>
      </c>
      <c r="H1407" s="10">
        <v>46050.0</v>
      </c>
      <c r="I1407" s="12">
        <v>5.0</v>
      </c>
      <c r="J1407" s="6" t="s">
        <v>161</v>
      </c>
    </row>
    <row r="1408" ht="22.5" customHeight="1">
      <c r="A1408" s="6" t="s">
        <v>7351</v>
      </c>
      <c r="B1408" s="6" t="s">
        <v>3926</v>
      </c>
      <c r="C1408" s="10">
        <v>46047.0</v>
      </c>
      <c r="D1408" s="6" t="s">
        <v>312</v>
      </c>
      <c r="E1408" s="6" t="s">
        <v>618</v>
      </c>
      <c r="F1408" s="6" t="s">
        <v>283</v>
      </c>
      <c r="G1408" s="6" t="s">
        <v>297</v>
      </c>
      <c r="H1408" s="10">
        <v>46047.0</v>
      </c>
      <c r="I1408" s="12">
        <v>6.0</v>
      </c>
      <c r="J1408" s="6" t="s">
        <v>161</v>
      </c>
    </row>
    <row r="1409" ht="22.5" customHeight="1">
      <c r="A1409" s="6" t="s">
        <v>7355</v>
      </c>
      <c r="B1409" s="6" t="s">
        <v>3931</v>
      </c>
      <c r="C1409" s="10">
        <v>46040.0</v>
      </c>
      <c r="D1409" s="6" t="s">
        <v>677</v>
      </c>
      <c r="E1409" s="6" t="s">
        <v>1700</v>
      </c>
      <c r="F1409" s="6" t="s">
        <v>112</v>
      </c>
      <c r="G1409" s="6" t="s">
        <v>326</v>
      </c>
      <c r="H1409" s="10">
        <v>46045.0</v>
      </c>
      <c r="I1409" s="12">
        <v>4.0</v>
      </c>
      <c r="J1409" s="6" t="s">
        <v>161</v>
      </c>
    </row>
    <row r="1410" ht="22.5" customHeight="1">
      <c r="A1410" s="6" t="s">
        <v>7361</v>
      </c>
      <c r="B1410" s="6" t="s">
        <v>3931</v>
      </c>
      <c r="C1410" s="10">
        <v>46047.0</v>
      </c>
      <c r="D1410" s="6" t="s">
        <v>312</v>
      </c>
      <c r="E1410" s="6" t="s">
        <v>475</v>
      </c>
      <c r="F1410" s="6" t="s">
        <v>112</v>
      </c>
      <c r="G1410" s="6" t="s">
        <v>326</v>
      </c>
      <c r="H1410" s="10">
        <v>46048.0</v>
      </c>
      <c r="I1410" s="12">
        <v>4.0</v>
      </c>
      <c r="J1410" s="6" t="s">
        <v>161</v>
      </c>
    </row>
    <row r="1411" ht="22.5" customHeight="1">
      <c r="A1411" s="6" t="s">
        <v>7364</v>
      </c>
      <c r="B1411" s="6" t="s">
        <v>3931</v>
      </c>
      <c r="C1411" s="10">
        <v>46046.0</v>
      </c>
      <c r="D1411" s="6" t="s">
        <v>677</v>
      </c>
      <c r="E1411" s="6" t="s">
        <v>394</v>
      </c>
      <c r="F1411" s="6" t="s">
        <v>283</v>
      </c>
      <c r="G1411" s="6" t="s">
        <v>477</v>
      </c>
      <c r="H1411" s="10">
        <v>46049.0</v>
      </c>
      <c r="I1411" s="12">
        <v>3.0</v>
      </c>
      <c r="J1411" s="6" t="s">
        <v>161</v>
      </c>
    </row>
    <row r="1412" ht="22.5" customHeight="1">
      <c r="A1412" s="6" t="s">
        <v>7369</v>
      </c>
      <c r="B1412" s="6" t="s">
        <v>3931</v>
      </c>
      <c r="C1412" s="10">
        <v>46057.0</v>
      </c>
      <c r="D1412" s="6" t="s">
        <v>677</v>
      </c>
      <c r="E1412" s="6" t="s">
        <v>1280</v>
      </c>
      <c r="F1412" s="6" t="s">
        <v>283</v>
      </c>
      <c r="G1412" s="6" t="s">
        <v>297</v>
      </c>
      <c r="H1412" s="10">
        <v>46057.0</v>
      </c>
      <c r="I1412" s="12">
        <v>4.0</v>
      </c>
      <c r="J1412" s="6" t="s">
        <v>161</v>
      </c>
    </row>
    <row r="1413" ht="22.5" customHeight="1">
      <c r="A1413" s="6" t="s">
        <v>7374</v>
      </c>
      <c r="B1413" s="6" t="s">
        <v>3931</v>
      </c>
      <c r="C1413" s="10">
        <v>46054.0</v>
      </c>
      <c r="D1413" s="6" t="s">
        <v>677</v>
      </c>
      <c r="E1413" s="6" t="s">
        <v>1296</v>
      </c>
      <c r="F1413" s="6" t="s">
        <v>112</v>
      </c>
      <c r="G1413" s="6" t="s">
        <v>452</v>
      </c>
      <c r="H1413" s="10">
        <v>46059.0</v>
      </c>
      <c r="I1413" s="12">
        <v>2.0</v>
      </c>
      <c r="J1413" s="6" t="s">
        <v>161</v>
      </c>
    </row>
    <row r="1414" ht="22.5" customHeight="1">
      <c r="A1414" s="6" t="s">
        <v>7380</v>
      </c>
      <c r="B1414" s="6" t="s">
        <v>3937</v>
      </c>
      <c r="C1414" s="10">
        <v>46078.0</v>
      </c>
      <c r="D1414" s="6" t="s">
        <v>416</v>
      </c>
      <c r="E1414" s="6" t="s">
        <v>1386</v>
      </c>
      <c r="F1414" s="6" t="s">
        <v>283</v>
      </c>
      <c r="G1414" s="6" t="s">
        <v>477</v>
      </c>
      <c r="H1414" s="10">
        <v>46083.0</v>
      </c>
      <c r="I1414" s="12">
        <v>9.0</v>
      </c>
      <c r="J1414" s="6" t="s">
        <v>161</v>
      </c>
    </row>
    <row r="1415" ht="22.5" customHeight="1">
      <c r="A1415" s="6" t="s">
        <v>7386</v>
      </c>
      <c r="B1415" s="6" t="s">
        <v>3937</v>
      </c>
      <c r="C1415" s="10">
        <v>46070.0</v>
      </c>
      <c r="D1415" s="6" t="s">
        <v>242</v>
      </c>
      <c r="E1415" s="6" t="s">
        <v>833</v>
      </c>
      <c r="F1415" s="6" t="s">
        <v>112</v>
      </c>
      <c r="G1415" s="6" t="s">
        <v>369</v>
      </c>
      <c r="H1415" s="10">
        <v>46074.0</v>
      </c>
      <c r="I1415" s="12">
        <v>3.0</v>
      </c>
      <c r="J1415" s="6" t="s">
        <v>178</v>
      </c>
    </row>
    <row r="1416" ht="22.5" customHeight="1">
      <c r="A1416" s="6" t="s">
        <v>7392</v>
      </c>
      <c r="B1416" s="6" t="s">
        <v>3943</v>
      </c>
      <c r="C1416" s="10">
        <v>46066.0</v>
      </c>
      <c r="D1416" s="6" t="s">
        <v>391</v>
      </c>
      <c r="E1416" s="6" t="s">
        <v>775</v>
      </c>
      <c r="F1416" s="6" t="s">
        <v>249</v>
      </c>
      <c r="G1416" s="6" t="s">
        <v>452</v>
      </c>
      <c r="H1416" s="10">
        <v>46067.0</v>
      </c>
      <c r="I1416" s="12">
        <v>6.0</v>
      </c>
      <c r="J1416" s="6" t="s">
        <v>161</v>
      </c>
    </row>
    <row r="1417" ht="22.5" customHeight="1">
      <c r="A1417" s="6" t="s">
        <v>7395</v>
      </c>
      <c r="B1417" s="6" t="s">
        <v>3943</v>
      </c>
      <c r="C1417" s="10">
        <v>46060.0</v>
      </c>
      <c r="D1417" s="6" t="s">
        <v>312</v>
      </c>
      <c r="E1417" s="6" t="s">
        <v>833</v>
      </c>
      <c r="F1417" s="6" t="s">
        <v>249</v>
      </c>
      <c r="G1417" s="6" t="s">
        <v>452</v>
      </c>
      <c r="H1417" s="10">
        <v>46065.0</v>
      </c>
      <c r="I1417" s="12">
        <v>4.0</v>
      </c>
      <c r="J1417" s="6" t="s">
        <v>161</v>
      </c>
    </row>
    <row r="1418" ht="22.5" customHeight="1">
      <c r="A1418" s="6" t="s">
        <v>7401</v>
      </c>
      <c r="B1418" s="6" t="s">
        <v>3943</v>
      </c>
      <c r="C1418" s="10">
        <v>46065.0</v>
      </c>
      <c r="D1418" s="6" t="s">
        <v>242</v>
      </c>
      <c r="E1418" s="6" t="s">
        <v>738</v>
      </c>
      <c r="F1418" s="6" t="s">
        <v>249</v>
      </c>
      <c r="G1418" s="6" t="s">
        <v>452</v>
      </c>
      <c r="H1418" s="11" t="s">
        <v>259</v>
      </c>
      <c r="I1418" s="12">
        <v>5.0</v>
      </c>
      <c r="J1418" s="6" t="s">
        <v>178</v>
      </c>
    </row>
    <row r="1419" ht="22.5" customHeight="1">
      <c r="A1419" s="6" t="s">
        <v>7407</v>
      </c>
      <c r="B1419" s="6" t="s">
        <v>3943</v>
      </c>
      <c r="C1419" s="10">
        <v>46069.0</v>
      </c>
      <c r="D1419" s="6" t="s">
        <v>416</v>
      </c>
      <c r="E1419" s="6" t="s">
        <v>1122</v>
      </c>
      <c r="F1419" s="6" t="s">
        <v>439</v>
      </c>
      <c r="G1419" s="6" t="s">
        <v>458</v>
      </c>
      <c r="H1419" s="11" t="s">
        <v>259</v>
      </c>
      <c r="I1419" s="12">
        <v>13.0</v>
      </c>
      <c r="J1419" s="6" t="s">
        <v>161</v>
      </c>
    </row>
    <row r="1420" ht="22.5" customHeight="1">
      <c r="A1420" s="6" t="s">
        <v>7413</v>
      </c>
      <c r="B1420" s="6" t="s">
        <v>3943</v>
      </c>
      <c r="C1420" s="10">
        <v>46071.0</v>
      </c>
      <c r="D1420" s="6" t="s">
        <v>242</v>
      </c>
      <c r="E1420" s="6" t="s">
        <v>896</v>
      </c>
      <c r="F1420" s="6" t="s">
        <v>112</v>
      </c>
      <c r="G1420" s="6" t="s">
        <v>494</v>
      </c>
      <c r="H1420" s="10">
        <v>46072.0</v>
      </c>
      <c r="I1420" s="12">
        <v>3.0</v>
      </c>
      <c r="J1420" s="6" t="s">
        <v>161</v>
      </c>
    </row>
    <row r="1421" ht="22.5" customHeight="1">
      <c r="A1421" s="6" t="s">
        <v>7419</v>
      </c>
      <c r="B1421" s="6" t="s">
        <v>3950</v>
      </c>
      <c r="C1421" s="10">
        <v>46055.0</v>
      </c>
      <c r="D1421" s="6" t="s">
        <v>416</v>
      </c>
      <c r="E1421" s="6" t="s">
        <v>658</v>
      </c>
      <c r="F1421" s="6" t="s">
        <v>249</v>
      </c>
      <c r="G1421" s="6" t="s">
        <v>452</v>
      </c>
      <c r="H1421" s="10">
        <v>46057.0</v>
      </c>
      <c r="I1421" s="12">
        <v>11.0</v>
      </c>
      <c r="J1421" s="6" t="s">
        <v>161</v>
      </c>
    </row>
    <row r="1422" ht="22.5" customHeight="1">
      <c r="A1422" s="6" t="s">
        <v>7428</v>
      </c>
      <c r="B1422" s="6" t="s">
        <v>3950</v>
      </c>
      <c r="C1422" s="10">
        <v>46046.0</v>
      </c>
      <c r="D1422" s="6" t="s">
        <v>416</v>
      </c>
      <c r="E1422" s="6" t="s">
        <v>1241</v>
      </c>
      <c r="F1422" s="6" t="s">
        <v>249</v>
      </c>
      <c r="G1422" s="6" t="s">
        <v>369</v>
      </c>
      <c r="H1422" s="10">
        <v>46052.0</v>
      </c>
      <c r="I1422" s="12">
        <v>9.0</v>
      </c>
      <c r="J1422" s="6" t="s">
        <v>161</v>
      </c>
    </row>
    <row r="1423" ht="22.5" customHeight="1">
      <c r="A1423" s="6" t="s">
        <v>7431</v>
      </c>
      <c r="B1423" s="6" t="s">
        <v>3950</v>
      </c>
      <c r="C1423" s="10">
        <v>46040.0</v>
      </c>
      <c r="D1423" s="6" t="s">
        <v>312</v>
      </c>
      <c r="E1423" s="6" t="s">
        <v>365</v>
      </c>
      <c r="F1423" s="6" t="s">
        <v>112</v>
      </c>
      <c r="G1423" s="6" t="s">
        <v>326</v>
      </c>
      <c r="H1423" s="10">
        <v>46047.0</v>
      </c>
      <c r="I1423" s="12">
        <v>4.0</v>
      </c>
      <c r="J1423" s="6" t="s">
        <v>161</v>
      </c>
    </row>
    <row r="1424" ht="22.5" customHeight="1">
      <c r="A1424" s="6" t="s">
        <v>7435</v>
      </c>
      <c r="B1424" s="6" t="s">
        <v>3956</v>
      </c>
      <c r="C1424" s="10">
        <v>46058.0</v>
      </c>
      <c r="D1424" s="6" t="s">
        <v>391</v>
      </c>
      <c r="E1424" s="6" t="s">
        <v>731</v>
      </c>
      <c r="F1424" s="6" t="s">
        <v>249</v>
      </c>
      <c r="G1424" s="6" t="s">
        <v>458</v>
      </c>
      <c r="H1424" s="10">
        <v>46059.0</v>
      </c>
      <c r="I1424" s="12">
        <v>10.0</v>
      </c>
      <c r="J1424" s="6" t="s">
        <v>161</v>
      </c>
    </row>
    <row r="1425" ht="22.5" customHeight="1">
      <c r="A1425" s="6" t="s">
        <v>7438</v>
      </c>
      <c r="B1425" s="6" t="s">
        <v>3956</v>
      </c>
      <c r="C1425" s="10">
        <v>46057.0</v>
      </c>
      <c r="D1425" s="6" t="s">
        <v>416</v>
      </c>
      <c r="E1425" s="6" t="s">
        <v>775</v>
      </c>
      <c r="F1425" s="6" t="s">
        <v>112</v>
      </c>
      <c r="G1425" s="6" t="s">
        <v>369</v>
      </c>
      <c r="H1425" s="10">
        <v>46059.0</v>
      </c>
      <c r="I1425" s="12">
        <v>11.0</v>
      </c>
      <c r="J1425" s="6" t="s">
        <v>161</v>
      </c>
    </row>
    <row r="1426" ht="22.5" customHeight="1">
      <c r="A1426" s="6" t="s">
        <v>7442</v>
      </c>
      <c r="B1426" s="6" t="s">
        <v>3956</v>
      </c>
      <c r="C1426" s="10">
        <v>46047.0</v>
      </c>
      <c r="D1426" s="6" t="s">
        <v>312</v>
      </c>
      <c r="E1426" s="6" t="s">
        <v>450</v>
      </c>
      <c r="F1426" s="6" t="s">
        <v>439</v>
      </c>
      <c r="G1426" s="6" t="s">
        <v>369</v>
      </c>
      <c r="H1426" s="10">
        <v>46052.0</v>
      </c>
      <c r="I1426" s="12">
        <v>6.0</v>
      </c>
      <c r="J1426" s="6" t="s">
        <v>161</v>
      </c>
    </row>
    <row r="1427" ht="22.5" customHeight="1">
      <c r="A1427" s="6" t="s">
        <v>7449</v>
      </c>
      <c r="B1427" s="6" t="s">
        <v>3956</v>
      </c>
      <c r="C1427" s="10">
        <v>46057.0</v>
      </c>
      <c r="D1427" s="6" t="s">
        <v>677</v>
      </c>
      <c r="E1427" s="6" t="s">
        <v>2365</v>
      </c>
      <c r="F1427" s="6" t="s">
        <v>439</v>
      </c>
      <c r="G1427" s="6" t="s">
        <v>452</v>
      </c>
      <c r="H1427" s="10">
        <v>46062.0</v>
      </c>
      <c r="I1427" s="12">
        <v>2.0</v>
      </c>
      <c r="J1427" s="6" t="s">
        <v>161</v>
      </c>
    </row>
    <row r="1428" ht="22.5" customHeight="1">
      <c r="A1428" s="6" t="s">
        <v>7456</v>
      </c>
      <c r="B1428" s="6" t="s">
        <v>3963</v>
      </c>
      <c r="C1428" s="10">
        <v>46064.0</v>
      </c>
      <c r="D1428" s="6" t="s">
        <v>416</v>
      </c>
      <c r="E1428" s="6" t="s">
        <v>417</v>
      </c>
      <c r="F1428" s="6" t="s">
        <v>283</v>
      </c>
      <c r="G1428" s="6" t="s">
        <v>494</v>
      </c>
      <c r="H1428" s="11" t="s">
        <v>259</v>
      </c>
      <c r="I1428" s="12">
        <v>8.0</v>
      </c>
      <c r="J1428" s="6" t="s">
        <v>161</v>
      </c>
    </row>
    <row r="1429" ht="22.5" customHeight="1">
      <c r="A1429" s="6" t="s">
        <v>7462</v>
      </c>
      <c r="B1429" s="6" t="s">
        <v>3963</v>
      </c>
      <c r="C1429" s="10">
        <v>46050.0</v>
      </c>
      <c r="D1429" s="6" t="s">
        <v>312</v>
      </c>
      <c r="E1429" s="6" t="s">
        <v>687</v>
      </c>
      <c r="F1429" s="6" t="s">
        <v>112</v>
      </c>
      <c r="G1429" s="6" t="s">
        <v>458</v>
      </c>
      <c r="H1429" s="10">
        <v>46056.0</v>
      </c>
      <c r="I1429" s="12">
        <v>4.0</v>
      </c>
      <c r="J1429" s="6" t="s">
        <v>161</v>
      </c>
    </row>
    <row r="1430" ht="22.5" customHeight="1">
      <c r="A1430" s="6" t="s">
        <v>7470</v>
      </c>
      <c r="B1430" s="6" t="s">
        <v>3963</v>
      </c>
      <c r="C1430" s="10">
        <v>46061.0</v>
      </c>
      <c r="D1430" s="6" t="s">
        <v>677</v>
      </c>
      <c r="E1430" s="6" t="s">
        <v>885</v>
      </c>
      <c r="F1430" s="6" t="s">
        <v>439</v>
      </c>
      <c r="G1430" s="6" t="s">
        <v>326</v>
      </c>
      <c r="H1430" s="10">
        <v>46062.0</v>
      </c>
      <c r="I1430" s="12">
        <v>2.0</v>
      </c>
      <c r="J1430" s="6" t="s">
        <v>161</v>
      </c>
    </row>
    <row r="1431" ht="22.5" customHeight="1">
      <c r="A1431" s="6" t="s">
        <v>7476</v>
      </c>
      <c r="B1431" s="6" t="s">
        <v>3969</v>
      </c>
      <c r="C1431" s="10">
        <v>46077.0</v>
      </c>
      <c r="D1431" s="6" t="s">
        <v>416</v>
      </c>
      <c r="E1431" s="6" t="s">
        <v>512</v>
      </c>
      <c r="F1431" s="6" t="s">
        <v>249</v>
      </c>
      <c r="G1431" s="6" t="s">
        <v>297</v>
      </c>
      <c r="H1431" s="10">
        <v>46078.0</v>
      </c>
      <c r="I1431" s="12">
        <v>13.0</v>
      </c>
      <c r="J1431" s="6" t="s">
        <v>161</v>
      </c>
    </row>
    <row r="1432" ht="22.5" customHeight="1">
      <c r="A1432" s="6" t="s">
        <v>7482</v>
      </c>
      <c r="B1432" s="6" t="s">
        <v>3975</v>
      </c>
      <c r="C1432" s="10">
        <v>46060.0</v>
      </c>
      <c r="D1432" s="6" t="s">
        <v>391</v>
      </c>
      <c r="E1432" s="6" t="s">
        <v>628</v>
      </c>
      <c r="F1432" s="6" t="s">
        <v>249</v>
      </c>
      <c r="G1432" s="6" t="s">
        <v>369</v>
      </c>
      <c r="H1432" s="10">
        <v>46063.0</v>
      </c>
      <c r="I1432" s="12">
        <v>7.0</v>
      </c>
      <c r="J1432" s="6" t="s">
        <v>161</v>
      </c>
    </row>
    <row r="1433" ht="22.5" customHeight="1">
      <c r="A1433" s="6" t="s">
        <v>7487</v>
      </c>
      <c r="B1433" s="6" t="s">
        <v>3975</v>
      </c>
      <c r="C1433" s="10">
        <v>46067.0</v>
      </c>
      <c r="D1433" s="6" t="s">
        <v>677</v>
      </c>
      <c r="E1433" s="6" t="s">
        <v>1310</v>
      </c>
      <c r="F1433" s="6" t="s">
        <v>249</v>
      </c>
      <c r="G1433" s="6" t="s">
        <v>297</v>
      </c>
      <c r="H1433" s="10">
        <v>46067.0</v>
      </c>
      <c r="I1433" s="12">
        <v>2.0</v>
      </c>
      <c r="J1433" s="6" t="s">
        <v>161</v>
      </c>
    </row>
    <row r="1434" ht="22.5" customHeight="1">
      <c r="A1434" s="6" t="s">
        <v>7490</v>
      </c>
      <c r="B1434" s="6" t="s">
        <v>3975</v>
      </c>
      <c r="C1434" s="10">
        <v>46059.0</v>
      </c>
      <c r="D1434" s="6" t="s">
        <v>677</v>
      </c>
      <c r="E1434" s="6" t="s">
        <v>566</v>
      </c>
      <c r="F1434" s="6" t="s">
        <v>439</v>
      </c>
      <c r="G1434" s="6" t="s">
        <v>254</v>
      </c>
      <c r="H1434" s="10">
        <v>46061.0</v>
      </c>
      <c r="I1434" s="12">
        <v>4.0</v>
      </c>
      <c r="J1434" s="6" t="s">
        <v>161</v>
      </c>
    </row>
    <row r="1435" ht="22.5" customHeight="1">
      <c r="A1435" s="6" t="s">
        <v>7494</v>
      </c>
      <c r="B1435" s="6" t="s">
        <v>3982</v>
      </c>
      <c r="C1435" s="10">
        <v>46072.0</v>
      </c>
      <c r="D1435" s="6" t="s">
        <v>312</v>
      </c>
      <c r="E1435" s="6" t="s">
        <v>833</v>
      </c>
      <c r="F1435" s="6" t="s">
        <v>283</v>
      </c>
      <c r="G1435" s="6" t="s">
        <v>477</v>
      </c>
      <c r="H1435" s="10">
        <v>46077.0</v>
      </c>
      <c r="I1435" s="12">
        <v>5.0</v>
      </c>
      <c r="J1435" s="6" t="s">
        <v>161</v>
      </c>
    </row>
    <row r="1436" ht="22.5" customHeight="1">
      <c r="A1436" s="6" t="s">
        <v>7500</v>
      </c>
      <c r="B1436" s="6" t="s">
        <v>3982</v>
      </c>
      <c r="C1436" s="10">
        <v>46074.0</v>
      </c>
      <c r="D1436" s="6" t="s">
        <v>416</v>
      </c>
      <c r="E1436" s="6" t="s">
        <v>610</v>
      </c>
      <c r="F1436" s="6" t="s">
        <v>283</v>
      </c>
      <c r="G1436" s="6" t="s">
        <v>494</v>
      </c>
      <c r="H1436" s="10">
        <v>46075.0</v>
      </c>
      <c r="I1436" s="12">
        <v>9.0</v>
      </c>
      <c r="J1436" s="6" t="s">
        <v>161</v>
      </c>
    </row>
    <row r="1437" ht="22.5" customHeight="1">
      <c r="A1437" s="6" t="s">
        <v>7503</v>
      </c>
      <c r="B1437" s="6" t="s">
        <v>3982</v>
      </c>
      <c r="C1437" s="10">
        <v>46076.0</v>
      </c>
      <c r="D1437" s="6" t="s">
        <v>312</v>
      </c>
      <c r="E1437" s="6" t="s">
        <v>775</v>
      </c>
      <c r="F1437" s="6" t="s">
        <v>112</v>
      </c>
      <c r="G1437" s="6" t="s">
        <v>458</v>
      </c>
      <c r="H1437" s="10">
        <v>46078.0</v>
      </c>
      <c r="I1437" s="12">
        <v>6.0</v>
      </c>
      <c r="J1437" s="6" t="s">
        <v>161</v>
      </c>
    </row>
    <row r="1438" ht="22.5" customHeight="1">
      <c r="A1438" s="6" t="s">
        <v>7507</v>
      </c>
      <c r="B1438" s="6" t="s">
        <v>3982</v>
      </c>
      <c r="C1438" s="10">
        <v>46058.0</v>
      </c>
      <c r="D1438" s="6" t="s">
        <v>677</v>
      </c>
      <c r="E1438" s="6" t="s">
        <v>246</v>
      </c>
      <c r="F1438" s="6" t="s">
        <v>439</v>
      </c>
      <c r="G1438" s="6" t="s">
        <v>254</v>
      </c>
      <c r="H1438" s="10">
        <v>46060.0</v>
      </c>
      <c r="I1438" s="12">
        <v>4.0</v>
      </c>
      <c r="J1438" s="6" t="s">
        <v>161</v>
      </c>
    </row>
    <row r="1439" ht="22.5" customHeight="1">
      <c r="A1439" s="6" t="s">
        <v>7511</v>
      </c>
      <c r="B1439" s="6" t="s">
        <v>3982</v>
      </c>
      <c r="C1439" s="10">
        <v>46066.0</v>
      </c>
      <c r="D1439" s="6" t="s">
        <v>436</v>
      </c>
      <c r="E1439" s="6" t="s">
        <v>1626</v>
      </c>
      <c r="F1439" s="6" t="s">
        <v>112</v>
      </c>
      <c r="G1439" s="6" t="s">
        <v>369</v>
      </c>
      <c r="H1439" s="11" t="s">
        <v>259</v>
      </c>
      <c r="I1439" s="12">
        <v>7.0</v>
      </c>
      <c r="J1439" s="6" t="s">
        <v>178</v>
      </c>
    </row>
    <row r="1440" ht="22.5" customHeight="1">
      <c r="A1440" s="6" t="s">
        <v>7516</v>
      </c>
      <c r="B1440" s="6" t="s">
        <v>3988</v>
      </c>
      <c r="C1440" s="10">
        <v>46060.0</v>
      </c>
      <c r="D1440" s="6" t="s">
        <v>312</v>
      </c>
      <c r="E1440" s="6" t="s">
        <v>1070</v>
      </c>
      <c r="F1440" s="6" t="s">
        <v>112</v>
      </c>
      <c r="G1440" s="6" t="s">
        <v>452</v>
      </c>
      <c r="H1440" s="10">
        <v>46067.0</v>
      </c>
      <c r="I1440" s="12">
        <v>6.0</v>
      </c>
      <c r="J1440" s="6" t="s">
        <v>161</v>
      </c>
    </row>
    <row r="1441" ht="22.5" customHeight="1">
      <c r="A1441" s="6" t="s">
        <v>7520</v>
      </c>
      <c r="B1441" s="6" t="s">
        <v>3988</v>
      </c>
      <c r="C1441" s="10">
        <v>46069.0</v>
      </c>
      <c r="D1441" s="6" t="s">
        <v>312</v>
      </c>
      <c r="E1441" s="6" t="s">
        <v>955</v>
      </c>
      <c r="F1441" s="6" t="s">
        <v>249</v>
      </c>
      <c r="G1441" s="6" t="s">
        <v>452</v>
      </c>
      <c r="H1441" s="10">
        <v>46076.0</v>
      </c>
      <c r="I1441" s="12">
        <v>4.0</v>
      </c>
      <c r="J1441" s="6" t="s">
        <v>161</v>
      </c>
    </row>
    <row r="1442" ht="22.5" customHeight="1">
      <c r="A1442" s="6" t="s">
        <v>7525</v>
      </c>
      <c r="B1442" s="6" t="s">
        <v>3988</v>
      </c>
      <c r="C1442" s="10">
        <v>46068.0</v>
      </c>
      <c r="D1442" s="6" t="s">
        <v>312</v>
      </c>
      <c r="E1442" s="6" t="s">
        <v>1280</v>
      </c>
      <c r="F1442" s="6" t="s">
        <v>112</v>
      </c>
      <c r="G1442" s="6" t="s">
        <v>254</v>
      </c>
      <c r="H1442" s="10">
        <v>46069.0</v>
      </c>
      <c r="I1442" s="12">
        <v>6.0</v>
      </c>
      <c r="J1442" s="6" t="s">
        <v>161</v>
      </c>
    </row>
    <row r="1443" ht="22.5" customHeight="1">
      <c r="A1443" s="6" t="s">
        <v>7529</v>
      </c>
      <c r="B1443" s="6" t="s">
        <v>3988</v>
      </c>
      <c r="C1443" s="10">
        <v>46061.0</v>
      </c>
      <c r="D1443" s="6" t="s">
        <v>289</v>
      </c>
      <c r="E1443" s="6" t="s">
        <v>475</v>
      </c>
      <c r="F1443" s="6" t="s">
        <v>283</v>
      </c>
      <c r="G1443" s="6" t="s">
        <v>458</v>
      </c>
      <c r="H1443" s="10">
        <v>46068.0</v>
      </c>
      <c r="I1443" s="12">
        <v>5.0</v>
      </c>
      <c r="J1443" s="6" t="s">
        <v>161</v>
      </c>
    </row>
    <row r="1444" ht="22.5" customHeight="1">
      <c r="A1444" s="6" t="s">
        <v>7532</v>
      </c>
      <c r="B1444" s="6" t="s">
        <v>3988</v>
      </c>
      <c r="C1444" s="10">
        <v>46062.0</v>
      </c>
      <c r="D1444" s="6" t="s">
        <v>289</v>
      </c>
      <c r="E1444" s="6" t="s">
        <v>291</v>
      </c>
      <c r="F1444" s="6" t="s">
        <v>249</v>
      </c>
      <c r="G1444" s="6" t="s">
        <v>458</v>
      </c>
      <c r="H1444" s="11" t="s">
        <v>259</v>
      </c>
      <c r="I1444" s="12">
        <v>10.0</v>
      </c>
      <c r="J1444" s="6" t="s">
        <v>161</v>
      </c>
    </row>
    <row r="1445" ht="22.5" customHeight="1">
      <c r="A1445" s="6" t="s">
        <v>7538</v>
      </c>
      <c r="B1445" s="6" t="s">
        <v>3994</v>
      </c>
      <c r="C1445" s="10">
        <v>46040.0</v>
      </c>
      <c r="D1445" s="6" t="s">
        <v>242</v>
      </c>
      <c r="E1445" s="6" t="s">
        <v>634</v>
      </c>
      <c r="F1445" s="6" t="s">
        <v>283</v>
      </c>
      <c r="G1445" s="6" t="s">
        <v>477</v>
      </c>
      <c r="H1445" s="10">
        <v>46047.0</v>
      </c>
      <c r="I1445" s="12">
        <v>6.0</v>
      </c>
      <c r="J1445" s="6" t="s">
        <v>178</v>
      </c>
    </row>
    <row r="1446" ht="22.5" customHeight="1">
      <c r="A1446" s="6" t="s">
        <v>7544</v>
      </c>
      <c r="B1446" s="6" t="s">
        <v>3994</v>
      </c>
      <c r="C1446" s="10">
        <v>46048.0</v>
      </c>
      <c r="D1446" s="6" t="s">
        <v>289</v>
      </c>
      <c r="E1446" s="6" t="s">
        <v>1517</v>
      </c>
      <c r="F1446" s="6" t="s">
        <v>283</v>
      </c>
      <c r="G1446" s="6" t="s">
        <v>452</v>
      </c>
      <c r="H1446" s="10">
        <v>46050.0</v>
      </c>
      <c r="I1446" s="12">
        <v>8.0</v>
      </c>
      <c r="J1446" s="6" t="s">
        <v>161</v>
      </c>
    </row>
    <row r="1447" ht="22.5" customHeight="1">
      <c r="A1447" s="6" t="s">
        <v>7547</v>
      </c>
      <c r="B1447" s="6" t="s">
        <v>3994</v>
      </c>
      <c r="C1447" s="10">
        <v>46053.0</v>
      </c>
      <c r="D1447" s="6" t="s">
        <v>677</v>
      </c>
      <c r="E1447" s="6" t="s">
        <v>610</v>
      </c>
      <c r="F1447" s="6" t="s">
        <v>249</v>
      </c>
      <c r="G1447" s="6" t="s">
        <v>477</v>
      </c>
      <c r="H1447" s="10">
        <v>46055.0</v>
      </c>
      <c r="I1447" s="12">
        <v>2.0</v>
      </c>
      <c r="J1447" s="6" t="s">
        <v>161</v>
      </c>
    </row>
    <row r="1448" ht="22.5" customHeight="1">
      <c r="A1448" s="6" t="s">
        <v>7551</v>
      </c>
      <c r="B1448" s="6" t="s">
        <v>4000</v>
      </c>
      <c r="C1448" s="10">
        <v>46066.0</v>
      </c>
      <c r="D1448" s="6" t="s">
        <v>677</v>
      </c>
      <c r="E1448" s="6" t="s">
        <v>812</v>
      </c>
      <c r="F1448" s="6" t="s">
        <v>283</v>
      </c>
      <c r="G1448" s="6" t="s">
        <v>458</v>
      </c>
      <c r="H1448" s="10">
        <v>46073.0</v>
      </c>
      <c r="I1448" s="12">
        <v>3.0</v>
      </c>
      <c r="J1448" s="6" t="s">
        <v>161</v>
      </c>
    </row>
    <row r="1449" ht="22.5" customHeight="1">
      <c r="A1449" s="6" t="s">
        <v>7557</v>
      </c>
      <c r="B1449" s="6" t="s">
        <v>4000</v>
      </c>
      <c r="C1449" s="10">
        <v>46058.0</v>
      </c>
      <c r="D1449" s="6" t="s">
        <v>677</v>
      </c>
      <c r="E1449" s="6" t="s">
        <v>775</v>
      </c>
      <c r="F1449" s="6" t="s">
        <v>283</v>
      </c>
      <c r="G1449" s="6" t="s">
        <v>326</v>
      </c>
      <c r="H1449" s="11" t="s">
        <v>259</v>
      </c>
      <c r="I1449" s="12">
        <v>2.0</v>
      </c>
      <c r="J1449" s="6" t="s">
        <v>161</v>
      </c>
    </row>
    <row r="1450" ht="22.5" customHeight="1">
      <c r="A1450" s="6" t="s">
        <v>7560</v>
      </c>
      <c r="B1450" s="6" t="s">
        <v>4000</v>
      </c>
      <c r="C1450" s="10">
        <v>46075.0</v>
      </c>
      <c r="D1450" s="6" t="s">
        <v>677</v>
      </c>
      <c r="E1450" s="6" t="s">
        <v>1386</v>
      </c>
      <c r="F1450" s="6" t="s">
        <v>112</v>
      </c>
      <c r="G1450" s="6" t="s">
        <v>477</v>
      </c>
      <c r="H1450" s="10">
        <v>46077.0</v>
      </c>
      <c r="I1450" s="12">
        <v>2.0</v>
      </c>
      <c r="J1450" s="6" t="s">
        <v>161</v>
      </c>
    </row>
    <row r="1451" ht="22.5" customHeight="1">
      <c r="A1451" s="6" t="s">
        <v>7564</v>
      </c>
      <c r="B1451" s="6" t="s">
        <v>4000</v>
      </c>
      <c r="C1451" s="10">
        <v>46055.0</v>
      </c>
      <c r="D1451" s="6" t="s">
        <v>436</v>
      </c>
      <c r="E1451" s="6" t="s">
        <v>466</v>
      </c>
      <c r="F1451" s="6" t="s">
        <v>249</v>
      </c>
      <c r="G1451" s="6" t="s">
        <v>297</v>
      </c>
      <c r="H1451" s="10">
        <v>46060.0</v>
      </c>
      <c r="I1451" s="12">
        <v>7.0</v>
      </c>
      <c r="J1451" s="6" t="s">
        <v>178</v>
      </c>
    </row>
    <row r="1452" ht="22.5" customHeight="1">
      <c r="A1452" s="6" t="s">
        <v>7567</v>
      </c>
      <c r="B1452" s="6" t="s">
        <v>4006</v>
      </c>
      <c r="C1452" s="10">
        <v>46040.0</v>
      </c>
      <c r="D1452" s="6" t="s">
        <v>391</v>
      </c>
      <c r="E1452" s="6" t="s">
        <v>1055</v>
      </c>
      <c r="F1452" s="6" t="s">
        <v>439</v>
      </c>
      <c r="G1452" s="6" t="s">
        <v>452</v>
      </c>
      <c r="H1452" s="11" t="s">
        <v>259</v>
      </c>
      <c r="I1452" s="12">
        <v>8.0</v>
      </c>
      <c r="J1452" s="6" t="s">
        <v>161</v>
      </c>
    </row>
    <row r="1453" ht="22.5" customHeight="1">
      <c r="A1453" s="6" t="s">
        <v>7572</v>
      </c>
      <c r="B1453" s="6" t="s">
        <v>4012</v>
      </c>
      <c r="C1453" s="10">
        <v>46064.0</v>
      </c>
      <c r="D1453" s="6" t="s">
        <v>391</v>
      </c>
      <c r="E1453" s="6" t="s">
        <v>246</v>
      </c>
      <c r="F1453" s="6" t="s">
        <v>112</v>
      </c>
      <c r="G1453" s="6" t="s">
        <v>452</v>
      </c>
      <c r="H1453" s="10">
        <v>46067.0</v>
      </c>
      <c r="I1453" s="12">
        <v>8.0</v>
      </c>
      <c r="J1453" s="6" t="s">
        <v>161</v>
      </c>
    </row>
    <row r="1454" ht="22.5" customHeight="1">
      <c r="A1454" s="6" t="s">
        <v>7577</v>
      </c>
      <c r="B1454" s="6" t="s">
        <v>4012</v>
      </c>
      <c r="C1454" s="10">
        <v>46073.0</v>
      </c>
      <c r="D1454" s="6" t="s">
        <v>436</v>
      </c>
      <c r="E1454" s="6" t="s">
        <v>658</v>
      </c>
      <c r="F1454" s="6" t="s">
        <v>283</v>
      </c>
      <c r="G1454" s="6" t="s">
        <v>297</v>
      </c>
      <c r="H1454" s="10">
        <v>46077.0</v>
      </c>
      <c r="I1454" s="12">
        <v>8.0</v>
      </c>
      <c r="J1454" s="6" t="s">
        <v>178</v>
      </c>
    </row>
    <row r="1455" ht="22.5" customHeight="1">
      <c r="A1455" s="6" t="s">
        <v>7581</v>
      </c>
      <c r="B1455" s="6" t="s">
        <v>4012</v>
      </c>
      <c r="C1455" s="10">
        <v>46077.0</v>
      </c>
      <c r="D1455" s="6" t="s">
        <v>416</v>
      </c>
      <c r="E1455" s="6" t="s">
        <v>1969</v>
      </c>
      <c r="F1455" s="6" t="s">
        <v>112</v>
      </c>
      <c r="G1455" s="6" t="s">
        <v>254</v>
      </c>
      <c r="H1455" s="11" t="s">
        <v>259</v>
      </c>
      <c r="I1455" s="12">
        <v>8.0</v>
      </c>
      <c r="J1455" s="6" t="s">
        <v>161</v>
      </c>
    </row>
    <row r="1456" ht="22.5" customHeight="1">
      <c r="A1456" s="6" t="s">
        <v>7586</v>
      </c>
      <c r="B1456" s="6" t="s">
        <v>4012</v>
      </c>
      <c r="C1456" s="10">
        <v>46070.0</v>
      </c>
      <c r="D1456" s="6" t="s">
        <v>391</v>
      </c>
      <c r="E1456" s="6" t="s">
        <v>1720</v>
      </c>
      <c r="F1456" s="6" t="s">
        <v>283</v>
      </c>
      <c r="G1456" s="6" t="s">
        <v>494</v>
      </c>
      <c r="H1456" s="10">
        <v>46073.0</v>
      </c>
      <c r="I1456" s="12">
        <v>10.0</v>
      </c>
      <c r="J1456" s="6" t="s">
        <v>161</v>
      </c>
    </row>
    <row r="1457" ht="22.5" customHeight="1">
      <c r="A1457" s="6" t="s">
        <v>7590</v>
      </c>
      <c r="B1457" s="6" t="s">
        <v>4019</v>
      </c>
      <c r="C1457" s="10">
        <v>46065.0</v>
      </c>
      <c r="D1457" s="6" t="s">
        <v>242</v>
      </c>
      <c r="E1457" s="6" t="s">
        <v>438</v>
      </c>
      <c r="F1457" s="6" t="s">
        <v>112</v>
      </c>
      <c r="G1457" s="6" t="s">
        <v>369</v>
      </c>
      <c r="H1457" s="10">
        <v>46065.0</v>
      </c>
      <c r="I1457" s="12">
        <v>4.0</v>
      </c>
      <c r="J1457" s="6" t="s">
        <v>178</v>
      </c>
    </row>
    <row r="1458" ht="22.5" customHeight="1">
      <c r="A1458" s="6" t="s">
        <v>7596</v>
      </c>
      <c r="B1458" s="6" t="s">
        <v>4019</v>
      </c>
      <c r="C1458" s="10">
        <v>46081.0</v>
      </c>
      <c r="D1458" s="6" t="s">
        <v>391</v>
      </c>
      <c r="E1458" s="6" t="s">
        <v>438</v>
      </c>
      <c r="F1458" s="6" t="s">
        <v>283</v>
      </c>
      <c r="G1458" s="6" t="s">
        <v>254</v>
      </c>
      <c r="H1458" s="10">
        <v>46081.0</v>
      </c>
      <c r="I1458" s="12">
        <v>11.0</v>
      </c>
      <c r="J1458" s="6" t="s">
        <v>161</v>
      </c>
    </row>
    <row r="1459" ht="22.5" customHeight="1">
      <c r="A1459" s="6" t="s">
        <v>7600</v>
      </c>
      <c r="B1459" s="6" t="s">
        <v>4019</v>
      </c>
      <c r="C1459" s="10">
        <v>46068.0</v>
      </c>
      <c r="D1459" s="6" t="s">
        <v>436</v>
      </c>
      <c r="E1459" s="6" t="s">
        <v>2881</v>
      </c>
      <c r="F1459" s="6" t="s">
        <v>283</v>
      </c>
      <c r="G1459" s="6" t="s">
        <v>458</v>
      </c>
      <c r="H1459" s="10">
        <v>46068.0</v>
      </c>
      <c r="I1459" s="12">
        <v>6.0</v>
      </c>
      <c r="J1459" s="6" t="s">
        <v>161</v>
      </c>
    </row>
    <row r="1460" ht="22.5" customHeight="1">
      <c r="A1460" s="6" t="s">
        <v>7605</v>
      </c>
      <c r="B1460" s="6" t="s">
        <v>4025</v>
      </c>
      <c r="C1460" s="10">
        <v>46052.0</v>
      </c>
      <c r="D1460" s="6" t="s">
        <v>312</v>
      </c>
      <c r="E1460" s="6" t="s">
        <v>658</v>
      </c>
      <c r="F1460" s="6" t="s">
        <v>112</v>
      </c>
      <c r="G1460" s="6" t="s">
        <v>452</v>
      </c>
      <c r="H1460" s="10">
        <v>46058.0</v>
      </c>
      <c r="I1460" s="12">
        <v>5.0</v>
      </c>
      <c r="J1460" s="6" t="s">
        <v>161</v>
      </c>
    </row>
    <row r="1461" ht="22.5" customHeight="1">
      <c r="A1461" s="6" t="s">
        <v>7609</v>
      </c>
      <c r="B1461" s="6" t="s">
        <v>4025</v>
      </c>
      <c r="C1461" s="10">
        <v>46050.0</v>
      </c>
      <c r="D1461" s="6" t="s">
        <v>677</v>
      </c>
      <c r="E1461" s="6" t="s">
        <v>833</v>
      </c>
      <c r="F1461" s="6" t="s">
        <v>283</v>
      </c>
      <c r="G1461" s="6" t="s">
        <v>369</v>
      </c>
      <c r="H1461" s="10">
        <v>46051.0</v>
      </c>
      <c r="I1461" s="12">
        <v>4.0</v>
      </c>
      <c r="J1461" s="6" t="s">
        <v>161</v>
      </c>
    </row>
    <row r="1462" ht="22.5" customHeight="1">
      <c r="A1462" s="6" t="s">
        <v>7614</v>
      </c>
      <c r="B1462" s="6" t="s">
        <v>4025</v>
      </c>
      <c r="C1462" s="10">
        <v>46048.0</v>
      </c>
      <c r="D1462" s="6" t="s">
        <v>436</v>
      </c>
      <c r="E1462" s="6" t="s">
        <v>466</v>
      </c>
      <c r="F1462" s="6" t="s">
        <v>283</v>
      </c>
      <c r="G1462" s="6" t="s">
        <v>452</v>
      </c>
      <c r="H1462" s="10">
        <v>46048.0</v>
      </c>
      <c r="I1462" s="12">
        <v>12.0</v>
      </c>
      <c r="J1462" s="6" t="s">
        <v>178</v>
      </c>
    </row>
    <row r="1463" ht="22.5" customHeight="1">
      <c r="A1463" s="6" t="s">
        <v>7616</v>
      </c>
      <c r="B1463" s="6" t="s">
        <v>4033</v>
      </c>
      <c r="C1463" s="10">
        <v>46078.0</v>
      </c>
      <c r="D1463" s="6" t="s">
        <v>242</v>
      </c>
      <c r="E1463" s="6" t="s">
        <v>394</v>
      </c>
      <c r="F1463" s="6" t="s">
        <v>439</v>
      </c>
      <c r="G1463" s="6" t="s">
        <v>458</v>
      </c>
      <c r="H1463" s="10">
        <v>46080.0</v>
      </c>
      <c r="I1463" s="12">
        <v>4.0</v>
      </c>
      <c r="J1463" s="6" t="s">
        <v>178</v>
      </c>
    </row>
    <row r="1464" ht="22.5" customHeight="1">
      <c r="A1464" s="6" t="s">
        <v>7621</v>
      </c>
      <c r="B1464" s="6" t="s">
        <v>4033</v>
      </c>
      <c r="C1464" s="10">
        <v>46086.0</v>
      </c>
      <c r="D1464" s="6" t="s">
        <v>436</v>
      </c>
      <c r="E1464" s="6" t="s">
        <v>731</v>
      </c>
      <c r="F1464" s="6" t="s">
        <v>112</v>
      </c>
      <c r="G1464" s="6" t="s">
        <v>254</v>
      </c>
      <c r="H1464" s="10">
        <v>46088.0</v>
      </c>
      <c r="I1464" s="12">
        <v>11.0</v>
      </c>
      <c r="J1464" s="6" t="s">
        <v>178</v>
      </c>
    </row>
    <row r="1465" ht="22.5" customHeight="1">
      <c r="A1465" s="6" t="s">
        <v>7624</v>
      </c>
      <c r="B1465" s="6" t="s">
        <v>4039</v>
      </c>
      <c r="C1465" s="10">
        <v>46076.0</v>
      </c>
      <c r="D1465" s="6" t="s">
        <v>391</v>
      </c>
      <c r="E1465" s="6" t="s">
        <v>1386</v>
      </c>
      <c r="F1465" s="6" t="s">
        <v>112</v>
      </c>
      <c r="G1465" s="6" t="s">
        <v>477</v>
      </c>
      <c r="H1465" s="10">
        <v>46082.0</v>
      </c>
      <c r="I1465" s="12">
        <v>11.0</v>
      </c>
      <c r="J1465" s="6" t="s">
        <v>161</v>
      </c>
    </row>
    <row r="1466" ht="22.5" customHeight="1">
      <c r="A1466" s="6" t="s">
        <v>7628</v>
      </c>
      <c r="B1466" s="6" t="s">
        <v>4039</v>
      </c>
      <c r="C1466" s="10">
        <v>46076.0</v>
      </c>
      <c r="D1466" s="6" t="s">
        <v>436</v>
      </c>
      <c r="E1466" s="6" t="s">
        <v>1273</v>
      </c>
      <c r="F1466" s="6" t="s">
        <v>112</v>
      </c>
      <c r="G1466" s="6" t="s">
        <v>458</v>
      </c>
      <c r="H1466" s="11" t="s">
        <v>259</v>
      </c>
      <c r="I1466" s="12">
        <v>8.0</v>
      </c>
      <c r="J1466" s="6" t="s">
        <v>161</v>
      </c>
    </row>
    <row r="1467" ht="22.5" customHeight="1">
      <c r="A1467" s="6" t="s">
        <v>7634</v>
      </c>
      <c r="B1467" s="6" t="s">
        <v>4039</v>
      </c>
      <c r="C1467" s="10">
        <v>46060.0</v>
      </c>
      <c r="D1467" s="6" t="s">
        <v>677</v>
      </c>
      <c r="E1467" s="6" t="s">
        <v>1600</v>
      </c>
      <c r="F1467" s="6" t="s">
        <v>439</v>
      </c>
      <c r="G1467" s="6" t="s">
        <v>458</v>
      </c>
      <c r="H1467" s="10">
        <v>46067.0</v>
      </c>
      <c r="I1467" s="12">
        <v>4.0</v>
      </c>
      <c r="J1467" s="6" t="s">
        <v>161</v>
      </c>
    </row>
    <row r="1468" ht="22.5" customHeight="1">
      <c r="A1468" s="6" t="s">
        <v>7636</v>
      </c>
      <c r="B1468" s="6" t="s">
        <v>4039</v>
      </c>
      <c r="C1468" s="10">
        <v>46068.0</v>
      </c>
      <c r="D1468" s="6" t="s">
        <v>436</v>
      </c>
      <c r="E1468" s="6" t="s">
        <v>1720</v>
      </c>
      <c r="F1468" s="6" t="s">
        <v>283</v>
      </c>
      <c r="G1468" s="6" t="s">
        <v>369</v>
      </c>
      <c r="H1468" s="10">
        <v>46073.0</v>
      </c>
      <c r="I1468" s="12">
        <v>6.0</v>
      </c>
      <c r="J1468" s="6" t="s">
        <v>178</v>
      </c>
    </row>
    <row r="1469" ht="22.5" customHeight="1">
      <c r="A1469" s="6" t="s">
        <v>7640</v>
      </c>
      <c r="B1469" s="6" t="s">
        <v>4039</v>
      </c>
      <c r="C1469" s="10">
        <v>46066.0</v>
      </c>
      <c r="D1469" s="6" t="s">
        <v>242</v>
      </c>
      <c r="E1469" s="6" t="s">
        <v>466</v>
      </c>
      <c r="F1469" s="6" t="s">
        <v>283</v>
      </c>
      <c r="G1469" s="6" t="s">
        <v>494</v>
      </c>
      <c r="H1469" s="10">
        <v>46067.0</v>
      </c>
      <c r="I1469" s="12">
        <v>6.0</v>
      </c>
      <c r="J1469" s="6" t="s">
        <v>178</v>
      </c>
    </row>
    <row r="1470" ht="22.5" customHeight="1">
      <c r="A1470" s="6" t="s">
        <v>7646</v>
      </c>
      <c r="B1470" s="6" t="s">
        <v>4044</v>
      </c>
      <c r="C1470" s="10">
        <v>46038.0</v>
      </c>
      <c r="D1470" s="6" t="s">
        <v>289</v>
      </c>
      <c r="E1470" s="6" t="s">
        <v>1102</v>
      </c>
      <c r="F1470" s="6" t="s">
        <v>249</v>
      </c>
      <c r="G1470" s="6" t="s">
        <v>452</v>
      </c>
      <c r="H1470" s="10">
        <v>46043.0</v>
      </c>
      <c r="I1470" s="12">
        <v>10.0</v>
      </c>
      <c r="J1470" s="6" t="s">
        <v>161</v>
      </c>
    </row>
    <row r="1471" ht="22.5" customHeight="1">
      <c r="A1471" s="6" t="s">
        <v>7652</v>
      </c>
      <c r="B1471" s="6" t="s">
        <v>4044</v>
      </c>
      <c r="C1471" s="10">
        <v>46047.0</v>
      </c>
      <c r="D1471" s="6" t="s">
        <v>416</v>
      </c>
      <c r="E1471" s="6" t="s">
        <v>1273</v>
      </c>
      <c r="F1471" s="6" t="s">
        <v>283</v>
      </c>
      <c r="G1471" s="6" t="s">
        <v>452</v>
      </c>
      <c r="H1471" s="11" t="s">
        <v>259</v>
      </c>
      <c r="I1471" s="12">
        <v>9.0</v>
      </c>
      <c r="J1471" s="6" t="s">
        <v>161</v>
      </c>
    </row>
    <row r="1472" ht="22.5" customHeight="1">
      <c r="A1472" s="6" t="s">
        <v>7655</v>
      </c>
      <c r="B1472" s="6" t="s">
        <v>4051</v>
      </c>
      <c r="C1472" s="10">
        <v>46046.0</v>
      </c>
      <c r="D1472" s="6" t="s">
        <v>289</v>
      </c>
      <c r="E1472" s="6" t="s">
        <v>618</v>
      </c>
      <c r="F1472" s="6" t="s">
        <v>249</v>
      </c>
      <c r="G1472" s="6" t="s">
        <v>458</v>
      </c>
      <c r="H1472" s="10">
        <v>46049.0</v>
      </c>
      <c r="I1472" s="12">
        <v>6.0</v>
      </c>
      <c r="J1472" s="6" t="s">
        <v>161</v>
      </c>
    </row>
    <row r="1473" ht="22.5" customHeight="1">
      <c r="A1473" s="6" t="s">
        <v>7659</v>
      </c>
      <c r="B1473" s="6" t="s">
        <v>4051</v>
      </c>
      <c r="C1473" s="10">
        <v>46050.0</v>
      </c>
      <c r="D1473" s="6" t="s">
        <v>677</v>
      </c>
      <c r="E1473" s="6" t="s">
        <v>417</v>
      </c>
      <c r="F1473" s="6" t="s">
        <v>439</v>
      </c>
      <c r="G1473" s="6" t="s">
        <v>254</v>
      </c>
      <c r="H1473" s="10">
        <v>46051.0</v>
      </c>
      <c r="I1473" s="12">
        <v>2.0</v>
      </c>
      <c r="J1473" s="6" t="s">
        <v>161</v>
      </c>
    </row>
    <row r="1474" ht="22.5" customHeight="1">
      <c r="A1474" s="6" t="s">
        <v>7662</v>
      </c>
      <c r="B1474" s="6" t="s">
        <v>4051</v>
      </c>
      <c r="C1474" s="10">
        <v>46051.0</v>
      </c>
      <c r="D1474" s="6" t="s">
        <v>312</v>
      </c>
      <c r="E1474" s="6" t="s">
        <v>246</v>
      </c>
      <c r="F1474" s="6" t="s">
        <v>439</v>
      </c>
      <c r="G1474" s="6" t="s">
        <v>452</v>
      </c>
      <c r="H1474" s="10">
        <v>46054.0</v>
      </c>
      <c r="I1474" s="12">
        <v>6.0</v>
      </c>
      <c r="J1474" s="6" t="s">
        <v>161</v>
      </c>
    </row>
    <row r="1475" ht="22.5" customHeight="1">
      <c r="A1475" s="6" t="s">
        <v>7666</v>
      </c>
      <c r="B1475" s="6" t="s">
        <v>4059</v>
      </c>
      <c r="C1475" s="10">
        <v>46062.0</v>
      </c>
      <c r="D1475" s="6" t="s">
        <v>242</v>
      </c>
      <c r="E1475" s="6" t="s">
        <v>704</v>
      </c>
      <c r="F1475" s="6" t="s">
        <v>112</v>
      </c>
      <c r="G1475" s="6" t="s">
        <v>297</v>
      </c>
      <c r="H1475" s="10">
        <v>46066.0</v>
      </c>
      <c r="I1475" s="12">
        <v>3.0</v>
      </c>
      <c r="J1475" s="6" t="s">
        <v>178</v>
      </c>
    </row>
    <row r="1476" ht="22.5" customHeight="1">
      <c r="A1476" s="6" t="s">
        <v>7668</v>
      </c>
      <c r="B1476" s="6" t="s">
        <v>4059</v>
      </c>
      <c r="C1476" s="10">
        <v>46060.0</v>
      </c>
      <c r="D1476" s="6" t="s">
        <v>391</v>
      </c>
      <c r="E1476" s="6" t="s">
        <v>466</v>
      </c>
      <c r="F1476" s="6" t="s">
        <v>112</v>
      </c>
      <c r="G1476" s="6" t="s">
        <v>326</v>
      </c>
      <c r="H1476" s="11" t="s">
        <v>259</v>
      </c>
      <c r="I1476" s="12">
        <v>8.0</v>
      </c>
      <c r="J1476" s="6" t="s">
        <v>161</v>
      </c>
    </row>
    <row r="1477" ht="22.5" customHeight="1">
      <c r="A1477" s="6" t="s">
        <v>7673</v>
      </c>
      <c r="B1477" s="6" t="s">
        <v>4065</v>
      </c>
      <c r="C1477" s="10">
        <v>46062.0</v>
      </c>
      <c r="D1477" s="6" t="s">
        <v>677</v>
      </c>
      <c r="E1477" s="6" t="s">
        <v>438</v>
      </c>
      <c r="F1477" s="6" t="s">
        <v>112</v>
      </c>
      <c r="G1477" s="6" t="s">
        <v>452</v>
      </c>
      <c r="H1477" s="10">
        <v>46065.0</v>
      </c>
      <c r="I1477" s="12">
        <v>4.0</v>
      </c>
      <c r="J1477" s="6" t="s">
        <v>161</v>
      </c>
    </row>
    <row r="1478" ht="22.5" customHeight="1">
      <c r="A1478" s="6" t="s">
        <v>7677</v>
      </c>
      <c r="B1478" s="6" t="s">
        <v>4065</v>
      </c>
      <c r="C1478" s="10">
        <v>46074.0</v>
      </c>
      <c r="D1478" s="6" t="s">
        <v>391</v>
      </c>
      <c r="E1478" s="6" t="s">
        <v>618</v>
      </c>
      <c r="F1478" s="6" t="s">
        <v>249</v>
      </c>
      <c r="G1478" s="6" t="s">
        <v>494</v>
      </c>
      <c r="H1478" s="10">
        <v>46081.0</v>
      </c>
      <c r="I1478" s="12">
        <v>6.0</v>
      </c>
      <c r="J1478" s="6" t="s">
        <v>161</v>
      </c>
    </row>
    <row r="1479" ht="22.5" customHeight="1">
      <c r="A1479" s="6" t="s">
        <v>7682</v>
      </c>
      <c r="B1479" s="6" t="s">
        <v>4065</v>
      </c>
      <c r="C1479" s="10">
        <v>46063.0</v>
      </c>
      <c r="D1479" s="6" t="s">
        <v>416</v>
      </c>
      <c r="E1479" s="6" t="s">
        <v>610</v>
      </c>
      <c r="F1479" s="6" t="s">
        <v>439</v>
      </c>
      <c r="G1479" s="6" t="s">
        <v>254</v>
      </c>
      <c r="H1479" s="10">
        <v>46069.0</v>
      </c>
      <c r="I1479" s="12">
        <v>11.0</v>
      </c>
      <c r="J1479" s="6" t="s">
        <v>161</v>
      </c>
    </row>
    <row r="1480" ht="22.5" customHeight="1">
      <c r="A1480" s="6" t="s">
        <v>7686</v>
      </c>
      <c r="B1480" s="6" t="s">
        <v>4072</v>
      </c>
      <c r="C1480" s="10">
        <v>46041.0</v>
      </c>
      <c r="D1480" s="6" t="s">
        <v>289</v>
      </c>
      <c r="E1480" s="6" t="s">
        <v>450</v>
      </c>
      <c r="F1480" s="6" t="s">
        <v>112</v>
      </c>
      <c r="G1480" s="6" t="s">
        <v>458</v>
      </c>
      <c r="H1480" s="10">
        <v>46043.0</v>
      </c>
      <c r="I1480" s="12">
        <v>10.0</v>
      </c>
      <c r="J1480" s="6" t="s">
        <v>161</v>
      </c>
    </row>
    <row r="1481" ht="22.5" customHeight="1">
      <c r="A1481" s="6" t="s">
        <v>7691</v>
      </c>
      <c r="B1481" s="6" t="s">
        <v>4072</v>
      </c>
      <c r="C1481" s="10">
        <v>46052.0</v>
      </c>
      <c r="D1481" s="6" t="s">
        <v>436</v>
      </c>
      <c r="E1481" s="6" t="s">
        <v>798</v>
      </c>
      <c r="F1481" s="6" t="s">
        <v>283</v>
      </c>
      <c r="G1481" s="6" t="s">
        <v>254</v>
      </c>
      <c r="H1481" s="10">
        <v>46055.0</v>
      </c>
      <c r="I1481" s="12">
        <v>6.0</v>
      </c>
      <c r="J1481" s="6" t="s">
        <v>178</v>
      </c>
    </row>
    <row r="1482" ht="22.5" customHeight="1">
      <c r="A1482" s="6" t="s">
        <v>7695</v>
      </c>
      <c r="B1482" s="6" t="s">
        <v>4072</v>
      </c>
      <c r="C1482" s="10">
        <v>46058.0</v>
      </c>
      <c r="D1482" s="6" t="s">
        <v>312</v>
      </c>
      <c r="E1482" s="6" t="s">
        <v>610</v>
      </c>
      <c r="F1482" s="6" t="s">
        <v>112</v>
      </c>
      <c r="G1482" s="6" t="s">
        <v>297</v>
      </c>
      <c r="H1482" s="10">
        <v>46063.0</v>
      </c>
      <c r="I1482" s="12">
        <v>6.0</v>
      </c>
      <c r="J1482" s="6" t="s">
        <v>161</v>
      </c>
    </row>
    <row r="1483" ht="22.5" customHeight="1">
      <c r="A1483" s="6" t="s">
        <v>7700</v>
      </c>
      <c r="B1483" s="6" t="s">
        <v>4072</v>
      </c>
      <c r="C1483" s="10">
        <v>46056.0</v>
      </c>
      <c r="D1483" s="6" t="s">
        <v>391</v>
      </c>
      <c r="E1483" s="6" t="s">
        <v>775</v>
      </c>
      <c r="F1483" s="6" t="s">
        <v>283</v>
      </c>
      <c r="G1483" s="6" t="s">
        <v>477</v>
      </c>
      <c r="H1483" s="10">
        <v>46058.0</v>
      </c>
      <c r="I1483" s="12">
        <v>6.0</v>
      </c>
      <c r="J1483" s="6" t="s">
        <v>161</v>
      </c>
    </row>
    <row r="1484" ht="22.5" customHeight="1">
      <c r="A1484" s="6" t="s">
        <v>7704</v>
      </c>
      <c r="B1484" s="6" t="s">
        <v>4079</v>
      </c>
      <c r="C1484" s="10">
        <v>46051.0</v>
      </c>
      <c r="D1484" s="6" t="s">
        <v>242</v>
      </c>
      <c r="E1484" s="6" t="s">
        <v>787</v>
      </c>
      <c r="F1484" s="6" t="s">
        <v>249</v>
      </c>
      <c r="G1484" s="6" t="s">
        <v>326</v>
      </c>
      <c r="H1484" s="10">
        <v>46055.0</v>
      </c>
      <c r="I1484" s="12">
        <v>5.0</v>
      </c>
      <c r="J1484" s="6" t="s">
        <v>178</v>
      </c>
    </row>
    <row r="1485" ht="22.5" customHeight="1">
      <c r="A1485" s="6" t="s">
        <v>7706</v>
      </c>
      <c r="B1485" s="6" t="s">
        <v>4085</v>
      </c>
      <c r="C1485" s="10">
        <v>46042.0</v>
      </c>
      <c r="D1485" s="6" t="s">
        <v>289</v>
      </c>
      <c r="E1485" s="6" t="s">
        <v>1552</v>
      </c>
      <c r="F1485" s="6" t="s">
        <v>249</v>
      </c>
      <c r="G1485" s="6" t="s">
        <v>369</v>
      </c>
      <c r="H1485" s="11" t="s">
        <v>259</v>
      </c>
      <c r="I1485" s="12">
        <v>5.0</v>
      </c>
      <c r="J1485" s="6" t="s">
        <v>161</v>
      </c>
    </row>
    <row r="1486" ht="22.5" customHeight="1">
      <c r="A1486" s="6" t="s">
        <v>7710</v>
      </c>
      <c r="B1486" s="6" t="s">
        <v>4085</v>
      </c>
      <c r="C1486" s="10">
        <v>46050.0</v>
      </c>
      <c r="D1486" s="6" t="s">
        <v>677</v>
      </c>
      <c r="E1486" s="6" t="s">
        <v>1386</v>
      </c>
      <c r="F1486" s="6" t="s">
        <v>112</v>
      </c>
      <c r="G1486" s="6" t="s">
        <v>326</v>
      </c>
      <c r="H1486" s="10">
        <v>46055.0</v>
      </c>
      <c r="I1486" s="12">
        <v>2.0</v>
      </c>
      <c r="J1486" s="6" t="s">
        <v>161</v>
      </c>
    </row>
    <row r="1487" ht="22.5" customHeight="1">
      <c r="A1487" s="6" t="s">
        <v>7713</v>
      </c>
      <c r="B1487" s="6" t="s">
        <v>4085</v>
      </c>
      <c r="C1487" s="10">
        <v>46040.0</v>
      </c>
      <c r="D1487" s="6" t="s">
        <v>391</v>
      </c>
      <c r="E1487" s="6" t="s">
        <v>1969</v>
      </c>
      <c r="F1487" s="6" t="s">
        <v>112</v>
      </c>
      <c r="G1487" s="6" t="s">
        <v>477</v>
      </c>
      <c r="H1487" s="10">
        <v>46044.0</v>
      </c>
      <c r="I1487" s="12">
        <v>7.0</v>
      </c>
      <c r="J1487" s="6" t="s">
        <v>161</v>
      </c>
    </row>
    <row r="1488" ht="22.5" customHeight="1">
      <c r="A1488" s="6" t="s">
        <v>7719</v>
      </c>
      <c r="B1488" s="6" t="s">
        <v>4092</v>
      </c>
      <c r="C1488" s="10">
        <v>46056.0</v>
      </c>
      <c r="D1488" s="6" t="s">
        <v>391</v>
      </c>
      <c r="E1488" s="6" t="s">
        <v>246</v>
      </c>
      <c r="F1488" s="6" t="s">
        <v>283</v>
      </c>
      <c r="G1488" s="6" t="s">
        <v>326</v>
      </c>
      <c r="H1488" s="10">
        <v>46060.0</v>
      </c>
      <c r="I1488" s="12">
        <v>9.0</v>
      </c>
      <c r="J1488" s="6" t="s">
        <v>161</v>
      </c>
    </row>
    <row r="1489" ht="22.5" customHeight="1">
      <c r="A1489" s="6" t="s">
        <v>7724</v>
      </c>
      <c r="B1489" s="6" t="s">
        <v>4092</v>
      </c>
      <c r="C1489" s="10">
        <v>46066.0</v>
      </c>
      <c r="D1489" s="6" t="s">
        <v>312</v>
      </c>
      <c r="E1489" s="6" t="s">
        <v>1070</v>
      </c>
      <c r="F1489" s="6" t="s">
        <v>112</v>
      </c>
      <c r="G1489" s="6" t="s">
        <v>326</v>
      </c>
      <c r="H1489" s="10">
        <v>46068.0</v>
      </c>
      <c r="I1489" s="12">
        <v>7.0</v>
      </c>
      <c r="J1489" s="6" t="s">
        <v>161</v>
      </c>
    </row>
    <row r="1490" ht="22.5" customHeight="1">
      <c r="A1490" s="6" t="s">
        <v>7729</v>
      </c>
      <c r="B1490" s="6" t="s">
        <v>4092</v>
      </c>
      <c r="C1490" s="10">
        <v>46066.0</v>
      </c>
      <c r="D1490" s="6" t="s">
        <v>416</v>
      </c>
      <c r="E1490" s="6" t="s">
        <v>618</v>
      </c>
      <c r="F1490" s="6" t="s">
        <v>112</v>
      </c>
      <c r="G1490" s="6" t="s">
        <v>494</v>
      </c>
      <c r="H1490" s="10">
        <v>46066.0</v>
      </c>
      <c r="I1490" s="12">
        <v>9.0</v>
      </c>
      <c r="J1490" s="6" t="s">
        <v>161</v>
      </c>
    </row>
    <row r="1491" ht="22.5" customHeight="1">
      <c r="A1491" s="6" t="s">
        <v>7731</v>
      </c>
      <c r="B1491" s="6" t="s">
        <v>4092</v>
      </c>
      <c r="C1491" s="10">
        <v>46056.0</v>
      </c>
      <c r="D1491" s="6" t="s">
        <v>416</v>
      </c>
      <c r="E1491" s="6" t="s">
        <v>566</v>
      </c>
      <c r="F1491" s="6" t="s">
        <v>439</v>
      </c>
      <c r="G1491" s="6" t="s">
        <v>452</v>
      </c>
      <c r="H1491" s="10">
        <v>46059.0</v>
      </c>
      <c r="I1491" s="12">
        <v>10.0</v>
      </c>
      <c r="J1491" s="6" t="s">
        <v>161</v>
      </c>
    </row>
    <row r="1492" ht="22.5" customHeight="1">
      <c r="A1492" s="6" t="s">
        <v>7737</v>
      </c>
      <c r="B1492" s="6" t="s">
        <v>4099</v>
      </c>
      <c r="C1492" s="10">
        <v>46066.0</v>
      </c>
      <c r="D1492" s="6" t="s">
        <v>677</v>
      </c>
      <c r="E1492" s="6" t="s">
        <v>863</v>
      </c>
      <c r="F1492" s="6" t="s">
        <v>249</v>
      </c>
      <c r="G1492" s="6" t="s">
        <v>477</v>
      </c>
      <c r="H1492" s="10">
        <v>46071.0</v>
      </c>
      <c r="I1492" s="12">
        <v>4.0</v>
      </c>
      <c r="J1492" s="6" t="s">
        <v>161</v>
      </c>
    </row>
    <row r="1493" ht="22.5" customHeight="1">
      <c r="A1493" s="6" t="s">
        <v>7741</v>
      </c>
      <c r="B1493" s="6" t="s">
        <v>4099</v>
      </c>
      <c r="C1493" s="10">
        <v>46064.0</v>
      </c>
      <c r="D1493" s="6" t="s">
        <v>436</v>
      </c>
      <c r="E1493" s="6" t="s">
        <v>1273</v>
      </c>
      <c r="F1493" s="6" t="s">
        <v>249</v>
      </c>
      <c r="G1493" s="6" t="s">
        <v>297</v>
      </c>
      <c r="H1493" s="10">
        <v>46066.0</v>
      </c>
      <c r="I1493" s="12">
        <v>6.0</v>
      </c>
      <c r="J1493" s="6" t="s">
        <v>178</v>
      </c>
    </row>
    <row r="1494" ht="22.5" customHeight="1">
      <c r="A1494" s="6" t="s">
        <v>7747</v>
      </c>
      <c r="B1494" s="6" t="s">
        <v>4104</v>
      </c>
      <c r="C1494" s="10">
        <v>46074.0</v>
      </c>
      <c r="D1494" s="6" t="s">
        <v>677</v>
      </c>
      <c r="E1494" s="6" t="s">
        <v>1517</v>
      </c>
      <c r="F1494" s="6" t="s">
        <v>283</v>
      </c>
      <c r="G1494" s="6" t="s">
        <v>326</v>
      </c>
      <c r="H1494" s="10">
        <v>46076.0</v>
      </c>
      <c r="I1494" s="12">
        <v>4.0</v>
      </c>
      <c r="J1494" s="6" t="s">
        <v>161</v>
      </c>
    </row>
    <row r="1495" ht="22.5" customHeight="1">
      <c r="A1495" s="6" t="s">
        <v>7751</v>
      </c>
      <c r="B1495" s="6" t="s">
        <v>4104</v>
      </c>
      <c r="C1495" s="10">
        <v>46081.0</v>
      </c>
      <c r="D1495" s="6" t="s">
        <v>436</v>
      </c>
      <c r="E1495" s="6" t="s">
        <v>1070</v>
      </c>
      <c r="F1495" s="6" t="s">
        <v>249</v>
      </c>
      <c r="G1495" s="6" t="s">
        <v>452</v>
      </c>
      <c r="H1495" s="10">
        <v>46087.0</v>
      </c>
      <c r="I1495" s="12">
        <v>11.0</v>
      </c>
      <c r="J1495" s="6" t="s">
        <v>178</v>
      </c>
    </row>
    <row r="1496" ht="22.5" customHeight="1">
      <c r="A1496" s="6" t="s">
        <v>7756</v>
      </c>
      <c r="B1496" s="6" t="s">
        <v>4111</v>
      </c>
      <c r="C1496" s="10">
        <v>46063.0</v>
      </c>
      <c r="D1496" s="6" t="s">
        <v>312</v>
      </c>
      <c r="E1496" s="6" t="s">
        <v>1280</v>
      </c>
      <c r="F1496" s="6" t="s">
        <v>283</v>
      </c>
      <c r="G1496" s="6" t="s">
        <v>458</v>
      </c>
      <c r="H1496" s="11" t="s">
        <v>259</v>
      </c>
      <c r="I1496" s="12">
        <v>5.0</v>
      </c>
      <c r="J1496" s="6" t="s">
        <v>161</v>
      </c>
    </row>
    <row r="1497" ht="22.5" customHeight="1">
      <c r="A1497" s="6" t="s">
        <v>7760</v>
      </c>
      <c r="B1497" s="6" t="s">
        <v>4111</v>
      </c>
      <c r="C1497" s="10">
        <v>46063.0</v>
      </c>
      <c r="D1497" s="6" t="s">
        <v>242</v>
      </c>
      <c r="E1497" s="6" t="s">
        <v>896</v>
      </c>
      <c r="F1497" s="6" t="s">
        <v>249</v>
      </c>
      <c r="G1497" s="6" t="s">
        <v>326</v>
      </c>
      <c r="H1497" s="10">
        <v>46065.0</v>
      </c>
      <c r="I1497" s="12">
        <v>5.0</v>
      </c>
      <c r="J1497" s="6" t="s">
        <v>178</v>
      </c>
    </row>
    <row r="1498" ht="22.5" customHeight="1">
      <c r="A1498" s="6" t="s">
        <v>7763</v>
      </c>
      <c r="B1498" s="6" t="s">
        <v>4111</v>
      </c>
      <c r="C1498" s="10">
        <v>46072.0</v>
      </c>
      <c r="D1498" s="6" t="s">
        <v>312</v>
      </c>
      <c r="E1498" s="6" t="s">
        <v>628</v>
      </c>
      <c r="F1498" s="6" t="s">
        <v>283</v>
      </c>
      <c r="G1498" s="6" t="s">
        <v>297</v>
      </c>
      <c r="H1498" s="10">
        <v>46073.0</v>
      </c>
      <c r="I1498" s="12">
        <v>5.0</v>
      </c>
      <c r="J1498" s="6" t="s">
        <v>161</v>
      </c>
    </row>
    <row r="1499" ht="22.5" customHeight="1">
      <c r="A1499" s="6" t="s">
        <v>7767</v>
      </c>
      <c r="B1499" s="6" t="s">
        <v>4111</v>
      </c>
      <c r="C1499" s="10">
        <v>46057.0</v>
      </c>
      <c r="D1499" s="6" t="s">
        <v>289</v>
      </c>
      <c r="E1499" s="6" t="s">
        <v>1570</v>
      </c>
      <c r="F1499" s="6" t="s">
        <v>439</v>
      </c>
      <c r="G1499" s="6" t="s">
        <v>477</v>
      </c>
      <c r="H1499" s="10">
        <v>46059.0</v>
      </c>
      <c r="I1499" s="12">
        <v>8.0</v>
      </c>
      <c r="J1499" s="6" t="s">
        <v>161</v>
      </c>
    </row>
    <row r="1500" ht="22.5" customHeight="1">
      <c r="A1500" s="6" t="s">
        <v>7773</v>
      </c>
      <c r="B1500" s="6" t="s">
        <v>4111</v>
      </c>
      <c r="C1500" s="10">
        <v>46056.0</v>
      </c>
      <c r="D1500" s="6" t="s">
        <v>677</v>
      </c>
      <c r="E1500" s="6" t="s">
        <v>291</v>
      </c>
      <c r="F1500" s="6" t="s">
        <v>112</v>
      </c>
      <c r="G1500" s="6" t="s">
        <v>297</v>
      </c>
      <c r="H1500" s="10">
        <v>46059.0</v>
      </c>
      <c r="I1500" s="12">
        <v>3.0</v>
      </c>
      <c r="J1500" s="6" t="s">
        <v>161</v>
      </c>
    </row>
    <row r="1501" ht="22.5" customHeight="1">
      <c r="A1501" s="6" t="s">
        <v>7776</v>
      </c>
      <c r="B1501" s="6" t="s">
        <v>4117</v>
      </c>
      <c r="C1501" s="10">
        <v>46069.0</v>
      </c>
      <c r="D1501" s="6" t="s">
        <v>289</v>
      </c>
      <c r="E1501" s="6" t="s">
        <v>787</v>
      </c>
      <c r="F1501" s="6" t="s">
        <v>249</v>
      </c>
      <c r="G1501" s="6" t="s">
        <v>458</v>
      </c>
      <c r="H1501" s="10">
        <v>46070.0</v>
      </c>
      <c r="I1501" s="12">
        <v>7.0</v>
      </c>
      <c r="J1501" s="6" t="s">
        <v>161</v>
      </c>
    </row>
    <row r="1502" ht="22.5" customHeight="1">
      <c r="A1502" s="6" t="s">
        <v>7780</v>
      </c>
      <c r="B1502" s="6" t="s">
        <v>4124</v>
      </c>
      <c r="C1502" s="10">
        <v>46030.0</v>
      </c>
      <c r="D1502" s="6" t="s">
        <v>289</v>
      </c>
      <c r="E1502" s="6" t="s">
        <v>1600</v>
      </c>
      <c r="F1502" s="6" t="s">
        <v>249</v>
      </c>
      <c r="G1502" s="6" t="s">
        <v>477</v>
      </c>
      <c r="H1502" s="11" t="s">
        <v>259</v>
      </c>
      <c r="I1502" s="12">
        <v>10.0</v>
      </c>
      <c r="J1502" s="6" t="s">
        <v>161</v>
      </c>
    </row>
    <row r="1503" ht="22.5" customHeight="1">
      <c r="A1503" s="6" t="s">
        <v>7786</v>
      </c>
      <c r="B1503" s="6" t="s">
        <v>4124</v>
      </c>
      <c r="C1503" s="10">
        <v>46030.0</v>
      </c>
      <c r="D1503" s="6" t="s">
        <v>242</v>
      </c>
      <c r="E1503" s="6" t="s">
        <v>1296</v>
      </c>
      <c r="F1503" s="6" t="s">
        <v>439</v>
      </c>
      <c r="G1503" s="6" t="s">
        <v>494</v>
      </c>
      <c r="H1503" s="10">
        <v>46034.0</v>
      </c>
      <c r="I1503" s="12">
        <v>6.0</v>
      </c>
      <c r="J1503" s="6" t="s">
        <v>178</v>
      </c>
    </row>
    <row r="1504" ht="22.5" customHeight="1">
      <c r="A1504" s="6" t="s">
        <v>7789</v>
      </c>
      <c r="B1504" s="6" t="s">
        <v>4131</v>
      </c>
      <c r="C1504" s="10">
        <v>46051.0</v>
      </c>
      <c r="D1504" s="6" t="s">
        <v>416</v>
      </c>
      <c r="E1504" s="6" t="s">
        <v>1720</v>
      </c>
      <c r="F1504" s="6" t="s">
        <v>112</v>
      </c>
      <c r="G1504" s="6" t="s">
        <v>326</v>
      </c>
      <c r="H1504" s="10">
        <v>46057.0</v>
      </c>
      <c r="I1504" s="12">
        <v>11.0</v>
      </c>
      <c r="J1504" s="6" t="s">
        <v>161</v>
      </c>
    </row>
    <row r="1505" ht="22.5" customHeight="1">
      <c r="A1505" s="6" t="s">
        <v>7793</v>
      </c>
      <c r="B1505" s="6" t="s">
        <v>4138</v>
      </c>
      <c r="C1505" s="10">
        <v>46038.0</v>
      </c>
      <c r="D1505" s="6" t="s">
        <v>391</v>
      </c>
      <c r="E1505" s="6" t="s">
        <v>833</v>
      </c>
      <c r="F1505" s="6" t="s">
        <v>112</v>
      </c>
      <c r="G1505" s="6" t="s">
        <v>326</v>
      </c>
      <c r="H1505" s="10">
        <v>46045.0</v>
      </c>
      <c r="I1505" s="12">
        <v>9.0</v>
      </c>
      <c r="J1505" s="6" t="s">
        <v>161</v>
      </c>
    </row>
    <row r="1506" ht="22.5" customHeight="1">
      <c r="A1506" s="6" t="s">
        <v>7799</v>
      </c>
      <c r="B1506" s="6" t="s">
        <v>4138</v>
      </c>
      <c r="C1506" s="10">
        <v>46041.0</v>
      </c>
      <c r="D1506" s="6" t="s">
        <v>677</v>
      </c>
      <c r="E1506" s="6" t="s">
        <v>1296</v>
      </c>
      <c r="F1506" s="6" t="s">
        <v>439</v>
      </c>
      <c r="G1506" s="6" t="s">
        <v>477</v>
      </c>
      <c r="H1506" s="10">
        <v>46046.0</v>
      </c>
      <c r="I1506" s="12">
        <v>4.0</v>
      </c>
      <c r="J1506" s="6" t="s">
        <v>161</v>
      </c>
    </row>
    <row r="1507" ht="22.5" customHeight="1">
      <c r="A1507" s="6" t="s">
        <v>7802</v>
      </c>
      <c r="B1507" s="6" t="s">
        <v>4143</v>
      </c>
      <c r="C1507" s="10">
        <v>46056.0</v>
      </c>
      <c r="D1507" s="6" t="s">
        <v>289</v>
      </c>
      <c r="E1507" s="6" t="s">
        <v>704</v>
      </c>
      <c r="F1507" s="6" t="s">
        <v>283</v>
      </c>
      <c r="G1507" s="6" t="s">
        <v>254</v>
      </c>
      <c r="H1507" s="10">
        <v>46059.0</v>
      </c>
      <c r="I1507" s="12">
        <v>5.0</v>
      </c>
      <c r="J1507" s="6" t="s">
        <v>161</v>
      </c>
    </row>
    <row r="1508" ht="22.5" customHeight="1">
      <c r="A1508" s="6" t="s">
        <v>7806</v>
      </c>
      <c r="B1508" s="6" t="s">
        <v>4143</v>
      </c>
      <c r="C1508" s="10">
        <v>46064.0</v>
      </c>
      <c r="D1508" s="6" t="s">
        <v>242</v>
      </c>
      <c r="E1508" s="6" t="s">
        <v>1700</v>
      </c>
      <c r="F1508" s="6" t="s">
        <v>249</v>
      </c>
      <c r="G1508" s="6" t="s">
        <v>254</v>
      </c>
      <c r="H1508" s="10">
        <v>46067.0</v>
      </c>
      <c r="I1508" s="12">
        <v>3.0</v>
      </c>
      <c r="J1508" s="6" t="s">
        <v>178</v>
      </c>
    </row>
    <row r="1509" ht="22.5" customHeight="1">
      <c r="A1509" s="6" t="s">
        <v>7809</v>
      </c>
      <c r="B1509" s="6" t="s">
        <v>4143</v>
      </c>
      <c r="C1509" s="10">
        <v>46053.0</v>
      </c>
      <c r="D1509" s="6" t="s">
        <v>391</v>
      </c>
      <c r="E1509" s="6" t="s">
        <v>1626</v>
      </c>
      <c r="F1509" s="6" t="s">
        <v>112</v>
      </c>
      <c r="G1509" s="6" t="s">
        <v>458</v>
      </c>
      <c r="H1509" s="10">
        <v>46059.0</v>
      </c>
      <c r="I1509" s="12">
        <v>9.0</v>
      </c>
      <c r="J1509" s="6" t="s">
        <v>161</v>
      </c>
    </row>
    <row r="1510" ht="22.5" customHeight="1">
      <c r="A1510" s="6" t="s">
        <v>7813</v>
      </c>
      <c r="B1510" s="6" t="s">
        <v>4143</v>
      </c>
      <c r="C1510" s="10">
        <v>46053.0</v>
      </c>
      <c r="D1510" s="6" t="s">
        <v>289</v>
      </c>
      <c r="E1510" s="6" t="s">
        <v>1280</v>
      </c>
      <c r="F1510" s="6" t="s">
        <v>249</v>
      </c>
      <c r="G1510" s="6" t="s">
        <v>494</v>
      </c>
      <c r="H1510" s="10">
        <v>46059.0</v>
      </c>
      <c r="I1510" s="12">
        <v>6.0</v>
      </c>
      <c r="J1510" s="6" t="s">
        <v>161</v>
      </c>
    </row>
    <row r="1511" ht="22.5" customHeight="1">
      <c r="A1511" s="6" t="s">
        <v>7817</v>
      </c>
      <c r="B1511" s="6" t="s">
        <v>4143</v>
      </c>
      <c r="C1511" s="10">
        <v>46060.0</v>
      </c>
      <c r="D1511" s="6" t="s">
        <v>289</v>
      </c>
      <c r="E1511" s="6" t="s">
        <v>1600</v>
      </c>
      <c r="F1511" s="6" t="s">
        <v>283</v>
      </c>
      <c r="G1511" s="6" t="s">
        <v>369</v>
      </c>
      <c r="H1511" s="10">
        <v>46060.0</v>
      </c>
      <c r="I1511" s="12">
        <v>5.0</v>
      </c>
      <c r="J1511" s="6" t="s">
        <v>161</v>
      </c>
    </row>
    <row r="1512" ht="22.5" customHeight="1">
      <c r="A1512" s="6" t="s">
        <v>7820</v>
      </c>
      <c r="B1512" s="6" t="s">
        <v>4150</v>
      </c>
      <c r="C1512" s="10">
        <v>46055.0</v>
      </c>
      <c r="D1512" s="6" t="s">
        <v>677</v>
      </c>
      <c r="E1512" s="6" t="s">
        <v>798</v>
      </c>
      <c r="F1512" s="6" t="s">
        <v>439</v>
      </c>
      <c r="G1512" s="6" t="s">
        <v>494</v>
      </c>
      <c r="H1512" s="11" t="s">
        <v>259</v>
      </c>
      <c r="I1512" s="12">
        <v>2.0</v>
      </c>
      <c r="J1512" s="6" t="s">
        <v>161</v>
      </c>
    </row>
    <row r="1513" ht="22.5" customHeight="1">
      <c r="A1513" s="6" t="s">
        <v>7827</v>
      </c>
      <c r="B1513" s="6" t="s">
        <v>4150</v>
      </c>
      <c r="C1513" s="10">
        <v>46042.0</v>
      </c>
      <c r="D1513" s="6" t="s">
        <v>391</v>
      </c>
      <c r="E1513" s="6" t="s">
        <v>787</v>
      </c>
      <c r="F1513" s="6" t="s">
        <v>249</v>
      </c>
      <c r="G1513" s="6" t="s">
        <v>326</v>
      </c>
      <c r="H1513" s="10">
        <v>46044.0</v>
      </c>
      <c r="I1513" s="12">
        <v>7.0</v>
      </c>
      <c r="J1513" s="6" t="s">
        <v>161</v>
      </c>
    </row>
    <row r="1514" ht="22.5" customHeight="1">
      <c r="A1514" s="6" t="s">
        <v>7833</v>
      </c>
      <c r="B1514" s="6" t="s">
        <v>4156</v>
      </c>
      <c r="C1514" s="10">
        <v>46047.0</v>
      </c>
      <c r="D1514" s="6" t="s">
        <v>242</v>
      </c>
      <c r="E1514" s="6" t="s">
        <v>670</v>
      </c>
      <c r="F1514" s="6" t="s">
        <v>249</v>
      </c>
      <c r="G1514" s="6" t="s">
        <v>458</v>
      </c>
      <c r="H1514" s="10">
        <v>46051.0</v>
      </c>
      <c r="I1514" s="12">
        <v>5.0</v>
      </c>
      <c r="J1514" s="6" t="s">
        <v>161</v>
      </c>
    </row>
    <row r="1515" ht="22.5" customHeight="1">
      <c r="A1515" s="6" t="s">
        <v>7838</v>
      </c>
      <c r="B1515" s="6" t="s">
        <v>4156</v>
      </c>
      <c r="C1515" s="10">
        <v>46047.0</v>
      </c>
      <c r="D1515" s="6" t="s">
        <v>312</v>
      </c>
      <c r="E1515" s="6" t="s">
        <v>670</v>
      </c>
      <c r="F1515" s="6" t="s">
        <v>249</v>
      </c>
      <c r="G1515" s="6" t="s">
        <v>369</v>
      </c>
      <c r="H1515" s="10">
        <v>46050.0</v>
      </c>
      <c r="I1515" s="12">
        <v>5.0</v>
      </c>
      <c r="J1515" s="6" t="s">
        <v>161</v>
      </c>
    </row>
    <row r="1516" ht="22.5" customHeight="1">
      <c r="A1516" s="6" t="s">
        <v>7839</v>
      </c>
      <c r="B1516" s="6" t="s">
        <v>4163</v>
      </c>
      <c r="C1516" s="10">
        <v>46082.0</v>
      </c>
      <c r="D1516" s="6" t="s">
        <v>416</v>
      </c>
      <c r="E1516" s="6" t="s">
        <v>658</v>
      </c>
      <c r="F1516" s="6" t="s">
        <v>249</v>
      </c>
      <c r="G1516" s="6" t="s">
        <v>297</v>
      </c>
      <c r="H1516" s="11" t="s">
        <v>259</v>
      </c>
      <c r="I1516" s="12">
        <v>14.0</v>
      </c>
      <c r="J1516" s="6" t="s">
        <v>161</v>
      </c>
    </row>
    <row r="1517" ht="22.5" customHeight="1">
      <c r="A1517" s="6" t="s">
        <v>7842</v>
      </c>
      <c r="B1517" s="6" t="s">
        <v>4163</v>
      </c>
      <c r="C1517" s="10">
        <v>46071.0</v>
      </c>
      <c r="D1517" s="6" t="s">
        <v>289</v>
      </c>
      <c r="E1517" s="6" t="s">
        <v>475</v>
      </c>
      <c r="F1517" s="6" t="s">
        <v>249</v>
      </c>
      <c r="G1517" s="6" t="s">
        <v>494</v>
      </c>
      <c r="H1517" s="10">
        <v>46076.0</v>
      </c>
      <c r="I1517" s="12">
        <v>5.0</v>
      </c>
      <c r="J1517" s="6" t="s">
        <v>161</v>
      </c>
    </row>
    <row r="1518" ht="22.5" customHeight="1">
      <c r="A1518" s="6" t="s">
        <v>7846</v>
      </c>
      <c r="B1518" s="6" t="s">
        <v>4169</v>
      </c>
      <c r="C1518" s="10">
        <v>46039.0</v>
      </c>
      <c r="D1518" s="6" t="s">
        <v>312</v>
      </c>
      <c r="E1518" s="6" t="s">
        <v>438</v>
      </c>
      <c r="F1518" s="6" t="s">
        <v>112</v>
      </c>
      <c r="G1518" s="6" t="s">
        <v>494</v>
      </c>
      <c r="H1518" s="10">
        <v>46046.0</v>
      </c>
      <c r="I1518" s="12">
        <v>6.0</v>
      </c>
      <c r="J1518" s="6" t="s">
        <v>161</v>
      </c>
    </row>
    <row r="1519" ht="22.5" customHeight="1">
      <c r="A1519" s="6" t="s">
        <v>7849</v>
      </c>
      <c r="B1519" s="6" t="s">
        <v>4169</v>
      </c>
      <c r="C1519" s="10">
        <v>46041.0</v>
      </c>
      <c r="D1519" s="6" t="s">
        <v>416</v>
      </c>
      <c r="E1519" s="6" t="s">
        <v>618</v>
      </c>
      <c r="F1519" s="6" t="s">
        <v>283</v>
      </c>
      <c r="G1519" s="6" t="s">
        <v>477</v>
      </c>
      <c r="H1519" s="11" t="s">
        <v>259</v>
      </c>
      <c r="I1519" s="12">
        <v>9.0</v>
      </c>
      <c r="J1519" s="6" t="s">
        <v>161</v>
      </c>
    </row>
    <row r="1520" ht="22.5" customHeight="1">
      <c r="A1520" s="6" t="s">
        <v>7853</v>
      </c>
      <c r="B1520" s="6" t="s">
        <v>4169</v>
      </c>
      <c r="C1520" s="10">
        <v>46042.0</v>
      </c>
      <c r="D1520" s="6" t="s">
        <v>242</v>
      </c>
      <c r="E1520" s="6" t="s">
        <v>1570</v>
      </c>
      <c r="F1520" s="6" t="s">
        <v>283</v>
      </c>
      <c r="G1520" s="6" t="s">
        <v>458</v>
      </c>
      <c r="H1520" s="11" t="s">
        <v>259</v>
      </c>
      <c r="I1520" s="12">
        <v>6.0</v>
      </c>
      <c r="J1520" s="6" t="s">
        <v>178</v>
      </c>
    </row>
    <row r="1521" ht="22.5" customHeight="1">
      <c r="A1521" s="6" t="s">
        <v>7855</v>
      </c>
      <c r="B1521" s="6" t="s">
        <v>4169</v>
      </c>
      <c r="C1521" s="10">
        <v>46034.0</v>
      </c>
      <c r="D1521" s="6" t="s">
        <v>416</v>
      </c>
      <c r="E1521" s="6" t="s">
        <v>628</v>
      </c>
      <c r="F1521" s="6" t="s">
        <v>283</v>
      </c>
      <c r="G1521" s="6" t="s">
        <v>477</v>
      </c>
      <c r="H1521" s="10">
        <v>46039.0</v>
      </c>
      <c r="I1521" s="12">
        <v>10.0</v>
      </c>
      <c r="J1521" s="6" t="s">
        <v>161</v>
      </c>
    </row>
    <row r="1522" ht="22.5" customHeight="1">
      <c r="A1522" s="6" t="s">
        <v>7859</v>
      </c>
      <c r="B1522" s="6" t="s">
        <v>4169</v>
      </c>
      <c r="C1522" s="10">
        <v>46033.0</v>
      </c>
      <c r="D1522" s="6" t="s">
        <v>677</v>
      </c>
      <c r="E1522" s="6" t="s">
        <v>658</v>
      </c>
      <c r="F1522" s="6" t="s">
        <v>249</v>
      </c>
      <c r="G1522" s="6" t="s">
        <v>326</v>
      </c>
      <c r="H1522" s="11" t="s">
        <v>259</v>
      </c>
      <c r="I1522" s="12">
        <v>2.0</v>
      </c>
      <c r="J1522" s="6" t="s">
        <v>161</v>
      </c>
    </row>
    <row r="1523" ht="22.5" customHeight="1">
      <c r="A1523" s="6" t="s">
        <v>7862</v>
      </c>
      <c r="B1523" s="6" t="s">
        <v>4175</v>
      </c>
      <c r="C1523" s="10">
        <v>46041.0</v>
      </c>
      <c r="D1523" s="6" t="s">
        <v>677</v>
      </c>
      <c r="E1523" s="6" t="s">
        <v>610</v>
      </c>
      <c r="F1523" s="6" t="s">
        <v>283</v>
      </c>
      <c r="G1523" s="6" t="s">
        <v>452</v>
      </c>
      <c r="H1523" s="10">
        <v>46048.0</v>
      </c>
      <c r="I1523" s="12">
        <v>2.0</v>
      </c>
      <c r="J1523" s="6" t="s">
        <v>161</v>
      </c>
    </row>
    <row r="1524" ht="22.5" customHeight="1">
      <c r="A1524" s="6" t="s">
        <v>7866</v>
      </c>
      <c r="B1524" s="6" t="s">
        <v>4175</v>
      </c>
      <c r="C1524" s="10">
        <v>46027.0</v>
      </c>
      <c r="D1524" s="6" t="s">
        <v>289</v>
      </c>
      <c r="E1524" s="6" t="s">
        <v>628</v>
      </c>
      <c r="F1524" s="6" t="s">
        <v>283</v>
      </c>
      <c r="G1524" s="6" t="s">
        <v>369</v>
      </c>
      <c r="H1524" s="10">
        <v>46031.0</v>
      </c>
      <c r="I1524" s="12">
        <v>10.0</v>
      </c>
      <c r="J1524" s="6" t="s">
        <v>161</v>
      </c>
    </row>
    <row r="1525" ht="22.5" customHeight="1">
      <c r="A1525" s="6" t="s">
        <v>7867</v>
      </c>
      <c r="B1525" s="6" t="s">
        <v>4175</v>
      </c>
      <c r="C1525" s="10">
        <v>46030.0</v>
      </c>
      <c r="D1525" s="6" t="s">
        <v>242</v>
      </c>
      <c r="E1525" s="6" t="s">
        <v>775</v>
      </c>
      <c r="F1525" s="6" t="s">
        <v>112</v>
      </c>
      <c r="G1525" s="6" t="s">
        <v>477</v>
      </c>
      <c r="H1525" s="10">
        <v>46034.0</v>
      </c>
      <c r="I1525" s="12">
        <v>4.0</v>
      </c>
      <c r="J1525" s="6" t="s">
        <v>178</v>
      </c>
    </row>
    <row r="1526" ht="22.5" customHeight="1">
      <c r="A1526" s="6" t="s">
        <v>7870</v>
      </c>
      <c r="B1526" s="6" t="s">
        <v>4183</v>
      </c>
      <c r="C1526" s="10">
        <v>46056.0</v>
      </c>
      <c r="D1526" s="6" t="s">
        <v>391</v>
      </c>
      <c r="E1526" s="6" t="s">
        <v>1296</v>
      </c>
      <c r="F1526" s="6" t="s">
        <v>249</v>
      </c>
      <c r="G1526" s="6" t="s">
        <v>458</v>
      </c>
      <c r="H1526" s="10">
        <v>46059.0</v>
      </c>
      <c r="I1526" s="12">
        <v>10.0</v>
      </c>
      <c r="J1526" s="6" t="s">
        <v>161</v>
      </c>
    </row>
    <row r="1527" ht="22.5" customHeight="1">
      <c r="A1527" s="6" t="s">
        <v>7874</v>
      </c>
      <c r="B1527" s="6" t="s">
        <v>4189</v>
      </c>
      <c r="C1527" s="10">
        <v>46064.0</v>
      </c>
      <c r="D1527" s="6" t="s">
        <v>289</v>
      </c>
      <c r="E1527" s="6" t="s">
        <v>1969</v>
      </c>
      <c r="F1527" s="6" t="s">
        <v>112</v>
      </c>
      <c r="G1527" s="6" t="s">
        <v>477</v>
      </c>
      <c r="H1527" s="10">
        <v>46066.0</v>
      </c>
      <c r="I1527" s="12">
        <v>6.0</v>
      </c>
      <c r="J1527" s="6" t="s">
        <v>161</v>
      </c>
    </row>
    <row r="1528" ht="22.5" customHeight="1">
      <c r="A1528" s="6" t="s">
        <v>7875</v>
      </c>
      <c r="B1528" s="6" t="s">
        <v>4189</v>
      </c>
      <c r="C1528" s="10">
        <v>46054.0</v>
      </c>
      <c r="D1528" s="6" t="s">
        <v>391</v>
      </c>
      <c r="E1528" s="6" t="s">
        <v>1600</v>
      </c>
      <c r="F1528" s="6" t="s">
        <v>439</v>
      </c>
      <c r="G1528" s="6" t="s">
        <v>254</v>
      </c>
      <c r="H1528" s="10">
        <v>46058.0</v>
      </c>
      <c r="I1528" s="12">
        <v>8.0</v>
      </c>
      <c r="J1528" s="6" t="s">
        <v>161</v>
      </c>
    </row>
    <row r="1529" ht="22.5" customHeight="1">
      <c r="A1529" s="6" t="s">
        <v>7878</v>
      </c>
      <c r="B1529" s="6" t="s">
        <v>4189</v>
      </c>
      <c r="C1529" s="10">
        <v>46062.0</v>
      </c>
      <c r="D1529" s="6" t="s">
        <v>312</v>
      </c>
      <c r="E1529" s="6" t="s">
        <v>475</v>
      </c>
      <c r="F1529" s="6" t="s">
        <v>283</v>
      </c>
      <c r="G1529" s="6" t="s">
        <v>458</v>
      </c>
      <c r="H1529" s="10">
        <v>46067.0</v>
      </c>
      <c r="I1529" s="12">
        <v>7.0</v>
      </c>
      <c r="J1529" s="6" t="s">
        <v>161</v>
      </c>
    </row>
    <row r="1530" ht="22.5" customHeight="1">
      <c r="A1530" s="6" t="s">
        <v>7882</v>
      </c>
      <c r="B1530" s="6" t="s">
        <v>4196</v>
      </c>
      <c r="C1530" s="10">
        <v>46052.0</v>
      </c>
      <c r="D1530" s="6" t="s">
        <v>416</v>
      </c>
      <c r="E1530" s="6" t="s">
        <v>885</v>
      </c>
      <c r="F1530" s="6" t="s">
        <v>112</v>
      </c>
      <c r="G1530" s="6" t="s">
        <v>297</v>
      </c>
      <c r="H1530" s="10">
        <v>46053.0</v>
      </c>
      <c r="I1530" s="12">
        <v>9.0</v>
      </c>
      <c r="J1530" s="6" t="s">
        <v>161</v>
      </c>
    </row>
    <row r="1531" ht="22.5" customHeight="1">
      <c r="A1531" s="6" t="s">
        <v>7883</v>
      </c>
      <c r="B1531" s="6" t="s">
        <v>4196</v>
      </c>
      <c r="C1531" s="10">
        <v>46053.0</v>
      </c>
      <c r="D1531" s="6" t="s">
        <v>242</v>
      </c>
      <c r="E1531" s="6" t="s">
        <v>1517</v>
      </c>
      <c r="F1531" s="6" t="s">
        <v>283</v>
      </c>
      <c r="G1531" s="6" t="s">
        <v>494</v>
      </c>
      <c r="H1531" s="10">
        <v>46053.0</v>
      </c>
      <c r="I1531" s="12">
        <v>5.0</v>
      </c>
      <c r="J1531" s="6" t="s">
        <v>161</v>
      </c>
    </row>
    <row r="1532" ht="22.5" customHeight="1">
      <c r="A1532" s="6" t="s">
        <v>7886</v>
      </c>
      <c r="B1532" s="6" t="s">
        <v>4196</v>
      </c>
      <c r="C1532" s="10">
        <v>46067.0</v>
      </c>
      <c r="D1532" s="6" t="s">
        <v>416</v>
      </c>
      <c r="E1532" s="6" t="s">
        <v>1700</v>
      </c>
      <c r="F1532" s="6" t="s">
        <v>249</v>
      </c>
      <c r="G1532" s="6" t="s">
        <v>494</v>
      </c>
      <c r="H1532" s="10">
        <v>46067.0</v>
      </c>
      <c r="I1532" s="12">
        <v>8.0</v>
      </c>
      <c r="J1532" s="6" t="s">
        <v>161</v>
      </c>
    </row>
    <row r="1533" ht="22.5" customHeight="1">
      <c r="A1533" s="6" t="s">
        <v>7890</v>
      </c>
      <c r="B1533" s="6" t="s">
        <v>4196</v>
      </c>
      <c r="C1533" s="10">
        <v>46062.0</v>
      </c>
      <c r="D1533" s="6" t="s">
        <v>416</v>
      </c>
      <c r="E1533" s="6" t="s">
        <v>787</v>
      </c>
      <c r="F1533" s="6" t="s">
        <v>283</v>
      </c>
      <c r="G1533" s="6" t="s">
        <v>254</v>
      </c>
      <c r="H1533" s="11" t="s">
        <v>259</v>
      </c>
      <c r="I1533" s="12">
        <v>9.0</v>
      </c>
      <c r="J1533" s="6" t="s">
        <v>161</v>
      </c>
    </row>
    <row r="1534" ht="22.5" customHeight="1">
      <c r="A1534" s="6" t="s">
        <v>7891</v>
      </c>
      <c r="B1534" s="6" t="s">
        <v>4196</v>
      </c>
      <c r="C1534" s="10">
        <v>46065.0</v>
      </c>
      <c r="D1534" s="6" t="s">
        <v>289</v>
      </c>
      <c r="E1534" s="6" t="s">
        <v>2365</v>
      </c>
      <c r="F1534" s="6" t="s">
        <v>439</v>
      </c>
      <c r="G1534" s="6" t="s">
        <v>326</v>
      </c>
      <c r="H1534" s="10">
        <v>46069.0</v>
      </c>
      <c r="I1534" s="12">
        <v>6.0</v>
      </c>
      <c r="J1534" s="6" t="s">
        <v>161</v>
      </c>
    </row>
    <row r="1535" ht="22.5" customHeight="1">
      <c r="A1535" s="6" t="s">
        <v>7894</v>
      </c>
      <c r="B1535" s="6" t="s">
        <v>4202</v>
      </c>
      <c r="C1535" s="10">
        <v>46057.0</v>
      </c>
      <c r="D1535" s="6" t="s">
        <v>416</v>
      </c>
      <c r="E1535" s="6" t="s">
        <v>716</v>
      </c>
      <c r="F1535" s="6" t="s">
        <v>283</v>
      </c>
      <c r="G1535" s="6" t="s">
        <v>477</v>
      </c>
      <c r="H1535" s="10">
        <v>46064.0</v>
      </c>
      <c r="I1535" s="12">
        <v>13.0</v>
      </c>
      <c r="J1535" s="6" t="s">
        <v>161</v>
      </c>
    </row>
    <row r="1536" ht="22.5" customHeight="1">
      <c r="A1536" s="6" t="s">
        <v>7898</v>
      </c>
      <c r="B1536" s="6" t="s">
        <v>4202</v>
      </c>
      <c r="C1536" s="10">
        <v>46049.0</v>
      </c>
      <c r="D1536" s="6" t="s">
        <v>416</v>
      </c>
      <c r="E1536" s="6" t="s">
        <v>1122</v>
      </c>
      <c r="F1536" s="6" t="s">
        <v>112</v>
      </c>
      <c r="G1536" s="6" t="s">
        <v>477</v>
      </c>
      <c r="H1536" s="10">
        <v>46050.0</v>
      </c>
      <c r="I1536" s="12">
        <v>12.0</v>
      </c>
      <c r="J1536" s="6" t="s">
        <v>161</v>
      </c>
    </row>
    <row r="1537" ht="22.5" customHeight="1">
      <c r="A1537" s="6" t="s">
        <v>7899</v>
      </c>
      <c r="B1537" s="6" t="s">
        <v>4209</v>
      </c>
      <c r="C1537" s="10">
        <v>46072.0</v>
      </c>
      <c r="D1537" s="6" t="s">
        <v>312</v>
      </c>
      <c r="E1537" s="6" t="s">
        <v>1552</v>
      </c>
      <c r="F1537" s="6" t="s">
        <v>439</v>
      </c>
      <c r="G1537" s="6" t="s">
        <v>458</v>
      </c>
      <c r="H1537" s="10">
        <v>46077.0</v>
      </c>
      <c r="I1537" s="12">
        <v>6.0</v>
      </c>
      <c r="J1537" s="6" t="s">
        <v>161</v>
      </c>
    </row>
    <row r="1538" ht="22.5" customHeight="1">
      <c r="A1538" s="6" t="s">
        <v>7901</v>
      </c>
      <c r="B1538" s="6" t="s">
        <v>4209</v>
      </c>
      <c r="C1538" s="10">
        <v>46054.0</v>
      </c>
      <c r="D1538" s="6" t="s">
        <v>242</v>
      </c>
      <c r="E1538" s="6" t="s">
        <v>1241</v>
      </c>
      <c r="F1538" s="6" t="s">
        <v>283</v>
      </c>
      <c r="G1538" s="6" t="s">
        <v>494</v>
      </c>
      <c r="H1538" s="11" t="s">
        <v>259</v>
      </c>
      <c r="I1538" s="12">
        <v>5.0</v>
      </c>
      <c r="J1538" s="6" t="s">
        <v>161</v>
      </c>
    </row>
    <row r="1539" ht="22.5" customHeight="1">
      <c r="A1539" s="6" t="s">
        <v>7905</v>
      </c>
      <c r="B1539" s="6" t="s">
        <v>4209</v>
      </c>
      <c r="C1539" s="10">
        <v>46059.0</v>
      </c>
      <c r="D1539" s="6" t="s">
        <v>289</v>
      </c>
      <c r="E1539" s="6" t="s">
        <v>885</v>
      </c>
      <c r="F1539" s="6" t="s">
        <v>249</v>
      </c>
      <c r="G1539" s="6" t="s">
        <v>326</v>
      </c>
      <c r="H1539" s="11" t="s">
        <v>259</v>
      </c>
      <c r="I1539" s="12">
        <v>10.0</v>
      </c>
      <c r="J1539" s="6" t="s">
        <v>161</v>
      </c>
    </row>
    <row r="1540" ht="22.5" customHeight="1">
      <c r="A1540" s="6" t="s">
        <v>7907</v>
      </c>
      <c r="B1540" s="6" t="s">
        <v>4209</v>
      </c>
      <c r="C1540" s="10">
        <v>46074.0</v>
      </c>
      <c r="D1540" s="6" t="s">
        <v>312</v>
      </c>
      <c r="E1540" s="6" t="s">
        <v>1310</v>
      </c>
      <c r="F1540" s="6" t="s">
        <v>112</v>
      </c>
      <c r="G1540" s="6" t="s">
        <v>452</v>
      </c>
      <c r="H1540" s="11" t="s">
        <v>259</v>
      </c>
      <c r="I1540" s="12">
        <v>6.0</v>
      </c>
      <c r="J1540" s="6" t="s">
        <v>161</v>
      </c>
    </row>
    <row r="1541" ht="22.5" customHeight="1">
      <c r="A1541" s="6" t="s">
        <v>7909</v>
      </c>
      <c r="B1541" s="6" t="s">
        <v>4215</v>
      </c>
      <c r="C1541" s="10">
        <v>46065.0</v>
      </c>
      <c r="D1541" s="6" t="s">
        <v>391</v>
      </c>
      <c r="E1541" s="6" t="s">
        <v>291</v>
      </c>
      <c r="F1541" s="6" t="s">
        <v>283</v>
      </c>
      <c r="G1541" s="6" t="s">
        <v>458</v>
      </c>
      <c r="H1541" s="10">
        <v>46069.0</v>
      </c>
      <c r="I1541" s="12">
        <v>9.0</v>
      </c>
      <c r="J1541" s="6" t="s">
        <v>161</v>
      </c>
    </row>
    <row r="1542" ht="22.5" customHeight="1">
      <c r="A1542" s="6" t="s">
        <v>7913</v>
      </c>
      <c r="B1542" s="6" t="s">
        <v>4215</v>
      </c>
      <c r="C1542" s="10">
        <v>46065.0</v>
      </c>
      <c r="D1542" s="6" t="s">
        <v>289</v>
      </c>
      <c r="E1542" s="6" t="s">
        <v>1055</v>
      </c>
      <c r="F1542" s="6" t="s">
        <v>249</v>
      </c>
      <c r="G1542" s="6" t="s">
        <v>369</v>
      </c>
      <c r="H1542" s="10">
        <v>46070.0</v>
      </c>
      <c r="I1542" s="12">
        <v>5.0</v>
      </c>
      <c r="J1542" s="6" t="s">
        <v>161</v>
      </c>
    </row>
    <row r="1543" ht="22.5" customHeight="1">
      <c r="A1543" s="6" t="s">
        <v>7915</v>
      </c>
      <c r="B1543" s="6" t="s">
        <v>4215</v>
      </c>
      <c r="C1543" s="10">
        <v>46063.0</v>
      </c>
      <c r="D1543" s="6" t="s">
        <v>416</v>
      </c>
      <c r="E1543" s="6" t="s">
        <v>863</v>
      </c>
      <c r="F1543" s="6" t="s">
        <v>112</v>
      </c>
      <c r="G1543" s="6" t="s">
        <v>477</v>
      </c>
      <c r="H1543" s="10">
        <v>46068.0</v>
      </c>
      <c r="I1543" s="12">
        <v>9.0</v>
      </c>
      <c r="J1543" s="6" t="s">
        <v>161</v>
      </c>
    </row>
    <row r="1544" ht="22.5" customHeight="1">
      <c r="A1544" s="6" t="s">
        <v>7918</v>
      </c>
      <c r="B1544" s="6" t="s">
        <v>4215</v>
      </c>
      <c r="C1544" s="10">
        <v>46050.0</v>
      </c>
      <c r="D1544" s="6" t="s">
        <v>416</v>
      </c>
      <c r="E1544" s="6" t="s">
        <v>438</v>
      </c>
      <c r="F1544" s="6" t="s">
        <v>439</v>
      </c>
      <c r="G1544" s="6" t="s">
        <v>369</v>
      </c>
      <c r="H1544" s="11" t="s">
        <v>259</v>
      </c>
      <c r="I1544" s="12">
        <v>9.0</v>
      </c>
      <c r="J1544" s="6" t="s">
        <v>161</v>
      </c>
    </row>
    <row r="1545" ht="22.5" customHeight="1">
      <c r="A1545" s="6" t="s">
        <v>7922</v>
      </c>
      <c r="B1545" s="6" t="s">
        <v>4221</v>
      </c>
      <c r="C1545" s="10">
        <v>46081.0</v>
      </c>
      <c r="D1545" s="6" t="s">
        <v>391</v>
      </c>
      <c r="E1545" s="6" t="s">
        <v>787</v>
      </c>
      <c r="F1545" s="6" t="s">
        <v>283</v>
      </c>
      <c r="G1545" s="6" t="s">
        <v>458</v>
      </c>
      <c r="H1545" s="10">
        <v>46087.0</v>
      </c>
      <c r="I1545" s="12">
        <v>11.0</v>
      </c>
      <c r="J1545" s="6" t="s">
        <v>161</v>
      </c>
    </row>
    <row r="1546" ht="22.5" customHeight="1">
      <c r="A1546" s="6" t="s">
        <v>7924</v>
      </c>
      <c r="B1546" s="6" t="s">
        <v>4221</v>
      </c>
      <c r="C1546" s="10">
        <v>46062.0</v>
      </c>
      <c r="D1546" s="6" t="s">
        <v>677</v>
      </c>
      <c r="E1546" s="6" t="s">
        <v>1741</v>
      </c>
      <c r="F1546" s="6" t="s">
        <v>112</v>
      </c>
      <c r="G1546" s="6" t="s">
        <v>458</v>
      </c>
      <c r="H1546" s="10">
        <v>46063.0</v>
      </c>
      <c r="I1546" s="12">
        <v>3.0</v>
      </c>
      <c r="J1546" s="6" t="s">
        <v>161</v>
      </c>
    </row>
    <row r="1547" ht="22.5" customHeight="1">
      <c r="A1547" s="6" t="s">
        <v>7928</v>
      </c>
      <c r="B1547" s="6" t="s">
        <v>4221</v>
      </c>
      <c r="C1547" s="10">
        <v>46063.0</v>
      </c>
      <c r="D1547" s="6" t="s">
        <v>289</v>
      </c>
      <c r="E1547" s="6" t="s">
        <v>1720</v>
      </c>
      <c r="F1547" s="6" t="s">
        <v>283</v>
      </c>
      <c r="G1547" s="6" t="s">
        <v>326</v>
      </c>
      <c r="H1547" s="10">
        <v>46065.0</v>
      </c>
      <c r="I1547" s="12">
        <v>7.0</v>
      </c>
      <c r="J1547" s="6" t="s">
        <v>161</v>
      </c>
    </row>
    <row r="1548" ht="22.5" customHeight="1">
      <c r="A1548" s="6" t="s">
        <v>7929</v>
      </c>
      <c r="B1548" s="6" t="s">
        <v>4227</v>
      </c>
      <c r="C1548" s="10">
        <v>46053.0</v>
      </c>
      <c r="D1548" s="6" t="s">
        <v>416</v>
      </c>
      <c r="E1548" s="6" t="s">
        <v>896</v>
      </c>
      <c r="F1548" s="6" t="s">
        <v>283</v>
      </c>
      <c r="G1548" s="6" t="s">
        <v>494</v>
      </c>
      <c r="H1548" s="10">
        <v>46057.0</v>
      </c>
      <c r="I1548" s="12">
        <v>14.0</v>
      </c>
      <c r="J1548" s="6" t="s">
        <v>161</v>
      </c>
    </row>
    <row r="1549" ht="22.5" customHeight="1">
      <c r="A1549" s="6" t="s">
        <v>7932</v>
      </c>
      <c r="B1549" s="6" t="s">
        <v>4227</v>
      </c>
      <c r="C1549" s="10">
        <v>46064.0</v>
      </c>
      <c r="D1549" s="6" t="s">
        <v>242</v>
      </c>
      <c r="E1549" s="6" t="s">
        <v>1552</v>
      </c>
      <c r="F1549" s="6" t="s">
        <v>283</v>
      </c>
      <c r="G1549" s="6" t="s">
        <v>369</v>
      </c>
      <c r="H1549" s="10">
        <v>46069.0</v>
      </c>
      <c r="I1549" s="12">
        <v>3.0</v>
      </c>
      <c r="J1549" s="6" t="s">
        <v>178</v>
      </c>
    </row>
    <row r="1550" ht="22.5" customHeight="1">
      <c r="A1550" s="6" t="s">
        <v>7936</v>
      </c>
      <c r="B1550" s="6" t="s">
        <v>4227</v>
      </c>
      <c r="C1550" s="10">
        <v>46061.0</v>
      </c>
      <c r="D1550" s="6" t="s">
        <v>436</v>
      </c>
      <c r="E1550" s="6" t="s">
        <v>1720</v>
      </c>
      <c r="F1550" s="6" t="s">
        <v>112</v>
      </c>
      <c r="G1550" s="6" t="s">
        <v>452</v>
      </c>
      <c r="H1550" s="10">
        <v>46061.0</v>
      </c>
      <c r="I1550" s="12">
        <v>9.0</v>
      </c>
      <c r="J1550" s="6" t="s">
        <v>178</v>
      </c>
    </row>
    <row r="1551" ht="22.5" customHeight="1">
      <c r="A1551" s="6" t="s">
        <v>7939</v>
      </c>
      <c r="B1551" s="6" t="s">
        <v>4227</v>
      </c>
      <c r="C1551" s="10">
        <v>46070.0</v>
      </c>
      <c r="D1551" s="6" t="s">
        <v>312</v>
      </c>
      <c r="E1551" s="6" t="s">
        <v>687</v>
      </c>
      <c r="F1551" s="6" t="s">
        <v>283</v>
      </c>
      <c r="G1551" s="6" t="s">
        <v>369</v>
      </c>
      <c r="H1551" s="10">
        <v>46070.0</v>
      </c>
      <c r="I1551" s="12">
        <v>4.0</v>
      </c>
      <c r="J1551" s="6" t="s">
        <v>161</v>
      </c>
    </row>
    <row r="1552" ht="22.5" customHeight="1">
      <c r="A1552" s="6" t="s">
        <v>7943</v>
      </c>
      <c r="B1552" s="6" t="s">
        <v>4227</v>
      </c>
      <c r="C1552" s="10">
        <v>46054.0</v>
      </c>
      <c r="D1552" s="6" t="s">
        <v>312</v>
      </c>
      <c r="E1552" s="6" t="s">
        <v>1296</v>
      </c>
      <c r="F1552" s="6" t="s">
        <v>283</v>
      </c>
      <c r="G1552" s="6" t="s">
        <v>477</v>
      </c>
      <c r="H1552" s="11" t="s">
        <v>259</v>
      </c>
      <c r="I1552" s="12">
        <v>7.0</v>
      </c>
      <c r="J1552" s="6" t="s">
        <v>161</v>
      </c>
    </row>
    <row r="1553" ht="22.5" customHeight="1">
      <c r="A1553" s="6" t="s">
        <v>7948</v>
      </c>
      <c r="B1553" s="6" t="s">
        <v>4233</v>
      </c>
      <c r="C1553" s="10">
        <v>46072.0</v>
      </c>
      <c r="D1553" s="6" t="s">
        <v>416</v>
      </c>
      <c r="E1553" s="6" t="s">
        <v>417</v>
      </c>
      <c r="F1553" s="6" t="s">
        <v>249</v>
      </c>
      <c r="G1553" s="6" t="s">
        <v>369</v>
      </c>
      <c r="H1553" s="10">
        <v>46077.0</v>
      </c>
      <c r="I1553" s="12">
        <v>13.0</v>
      </c>
      <c r="J1553" s="6" t="s">
        <v>161</v>
      </c>
    </row>
    <row r="1554" ht="22.5" customHeight="1">
      <c r="A1554" s="6" t="s">
        <v>7952</v>
      </c>
      <c r="B1554" s="6" t="s">
        <v>4233</v>
      </c>
      <c r="C1554" s="10">
        <v>46069.0</v>
      </c>
      <c r="D1554" s="6" t="s">
        <v>391</v>
      </c>
      <c r="E1554" s="6" t="s">
        <v>1241</v>
      </c>
      <c r="F1554" s="6" t="s">
        <v>249</v>
      </c>
      <c r="G1554" s="6" t="s">
        <v>297</v>
      </c>
      <c r="H1554" s="11" t="s">
        <v>259</v>
      </c>
      <c r="I1554" s="12">
        <v>11.0</v>
      </c>
      <c r="J1554" s="6" t="s">
        <v>161</v>
      </c>
    </row>
    <row r="1555" ht="22.5" customHeight="1">
      <c r="A1555" s="6" t="s">
        <v>7956</v>
      </c>
      <c r="B1555" s="6" t="s">
        <v>4233</v>
      </c>
      <c r="C1555" s="10">
        <v>46055.0</v>
      </c>
      <c r="D1555" s="6" t="s">
        <v>242</v>
      </c>
      <c r="E1555" s="6" t="s">
        <v>438</v>
      </c>
      <c r="F1555" s="6" t="s">
        <v>112</v>
      </c>
      <c r="G1555" s="6" t="s">
        <v>326</v>
      </c>
      <c r="H1555" s="10">
        <v>46055.0</v>
      </c>
      <c r="I1555" s="12">
        <v>4.0</v>
      </c>
      <c r="J1555" s="6" t="s">
        <v>161</v>
      </c>
    </row>
    <row r="1556" ht="22.5" customHeight="1">
      <c r="A1556" s="6" t="s">
        <v>7962</v>
      </c>
      <c r="B1556" s="6" t="s">
        <v>4240</v>
      </c>
      <c r="C1556" s="10">
        <v>46053.0</v>
      </c>
      <c r="D1556" s="6" t="s">
        <v>289</v>
      </c>
      <c r="E1556" s="6" t="s">
        <v>246</v>
      </c>
      <c r="F1556" s="6" t="s">
        <v>249</v>
      </c>
      <c r="G1556" s="6" t="s">
        <v>458</v>
      </c>
      <c r="H1556" s="10">
        <v>46053.0</v>
      </c>
      <c r="I1556" s="12">
        <v>7.0</v>
      </c>
      <c r="J1556" s="6" t="s">
        <v>161</v>
      </c>
    </row>
    <row r="1557" ht="22.5" customHeight="1">
      <c r="A1557" s="6" t="s">
        <v>7967</v>
      </c>
      <c r="B1557" s="6" t="s">
        <v>4240</v>
      </c>
      <c r="C1557" s="10">
        <v>46058.0</v>
      </c>
      <c r="D1557" s="6" t="s">
        <v>436</v>
      </c>
      <c r="E1557" s="6" t="s">
        <v>658</v>
      </c>
      <c r="F1557" s="6" t="s">
        <v>439</v>
      </c>
      <c r="G1557" s="6" t="s">
        <v>494</v>
      </c>
      <c r="H1557" s="10">
        <v>46061.0</v>
      </c>
      <c r="I1557" s="12">
        <v>10.0</v>
      </c>
      <c r="J1557" s="6" t="s">
        <v>178</v>
      </c>
    </row>
    <row r="1558" ht="22.5" customHeight="1">
      <c r="A1558" s="6" t="s">
        <v>7971</v>
      </c>
      <c r="B1558" s="6" t="s">
        <v>4247</v>
      </c>
      <c r="C1558" s="10">
        <v>46071.0</v>
      </c>
      <c r="D1558" s="6" t="s">
        <v>242</v>
      </c>
      <c r="E1558" s="6" t="s">
        <v>1720</v>
      </c>
      <c r="F1558" s="6" t="s">
        <v>112</v>
      </c>
      <c r="G1558" s="6" t="s">
        <v>254</v>
      </c>
      <c r="H1558" s="10">
        <v>46071.0</v>
      </c>
      <c r="I1558" s="12">
        <v>5.0</v>
      </c>
      <c r="J1558" s="6" t="s">
        <v>161</v>
      </c>
    </row>
    <row r="1559" ht="22.5" customHeight="1">
      <c r="A1559" s="6" t="s">
        <v>7975</v>
      </c>
      <c r="B1559" s="6" t="s">
        <v>4247</v>
      </c>
      <c r="C1559" s="10">
        <v>46069.0</v>
      </c>
      <c r="D1559" s="6" t="s">
        <v>416</v>
      </c>
      <c r="E1559" s="6" t="s">
        <v>775</v>
      </c>
      <c r="F1559" s="6" t="s">
        <v>112</v>
      </c>
      <c r="G1559" s="6" t="s">
        <v>458</v>
      </c>
      <c r="H1559" s="11" t="s">
        <v>259</v>
      </c>
      <c r="I1559" s="12">
        <v>9.0</v>
      </c>
      <c r="J1559" s="6" t="s">
        <v>161</v>
      </c>
    </row>
    <row r="1560" ht="22.5" customHeight="1">
      <c r="A1560" s="6" t="s">
        <v>7978</v>
      </c>
      <c r="B1560" s="6" t="s">
        <v>4247</v>
      </c>
      <c r="C1560" s="10">
        <v>46075.0</v>
      </c>
      <c r="D1560" s="6" t="s">
        <v>242</v>
      </c>
      <c r="E1560" s="6" t="s">
        <v>438</v>
      </c>
      <c r="F1560" s="6" t="s">
        <v>112</v>
      </c>
      <c r="G1560" s="6" t="s">
        <v>369</v>
      </c>
      <c r="H1560" s="10">
        <v>46078.0</v>
      </c>
      <c r="I1560" s="12">
        <v>3.0</v>
      </c>
      <c r="J1560" s="6" t="s">
        <v>161</v>
      </c>
    </row>
    <row r="1561" ht="22.5" customHeight="1">
      <c r="A1561" s="6" t="s">
        <v>7982</v>
      </c>
      <c r="B1561" s="6" t="s">
        <v>4247</v>
      </c>
      <c r="C1561" s="10">
        <v>46069.0</v>
      </c>
      <c r="D1561" s="6" t="s">
        <v>242</v>
      </c>
      <c r="E1561" s="6" t="s">
        <v>583</v>
      </c>
      <c r="F1561" s="6" t="s">
        <v>112</v>
      </c>
      <c r="G1561" s="6" t="s">
        <v>297</v>
      </c>
      <c r="H1561" s="10">
        <v>46074.0</v>
      </c>
      <c r="I1561" s="12">
        <v>6.0</v>
      </c>
      <c r="J1561" s="6" t="s">
        <v>161</v>
      </c>
    </row>
    <row r="1562" ht="22.5" customHeight="1">
      <c r="A1562" s="6" t="s">
        <v>7985</v>
      </c>
      <c r="B1562" s="6" t="s">
        <v>4247</v>
      </c>
      <c r="C1562" s="10">
        <v>46081.0</v>
      </c>
      <c r="D1562" s="6" t="s">
        <v>391</v>
      </c>
      <c r="E1562" s="6" t="s">
        <v>1273</v>
      </c>
      <c r="F1562" s="6" t="s">
        <v>112</v>
      </c>
      <c r="G1562" s="6" t="s">
        <v>369</v>
      </c>
      <c r="H1562" s="10">
        <v>46085.0</v>
      </c>
      <c r="I1562" s="12">
        <v>8.0</v>
      </c>
      <c r="J1562" s="6" t="s">
        <v>161</v>
      </c>
    </row>
    <row r="1563" ht="22.5" customHeight="1">
      <c r="A1563" s="6" t="s">
        <v>7989</v>
      </c>
      <c r="B1563" s="6" t="s">
        <v>4253</v>
      </c>
      <c r="C1563" s="10">
        <v>46074.0</v>
      </c>
      <c r="D1563" s="6" t="s">
        <v>242</v>
      </c>
      <c r="E1563" s="6" t="s">
        <v>1102</v>
      </c>
      <c r="F1563" s="6" t="s">
        <v>439</v>
      </c>
      <c r="G1563" s="6" t="s">
        <v>452</v>
      </c>
      <c r="H1563" s="10">
        <v>46076.0</v>
      </c>
      <c r="I1563" s="12">
        <v>3.0</v>
      </c>
      <c r="J1563" s="6" t="s">
        <v>161</v>
      </c>
    </row>
    <row r="1564" ht="22.5" customHeight="1">
      <c r="A1564" s="6" t="s">
        <v>7993</v>
      </c>
      <c r="B1564" s="6" t="s">
        <v>4253</v>
      </c>
      <c r="C1564" s="10">
        <v>46064.0</v>
      </c>
      <c r="D1564" s="6" t="s">
        <v>436</v>
      </c>
      <c r="E1564" s="6" t="s">
        <v>1546</v>
      </c>
      <c r="F1564" s="6" t="s">
        <v>112</v>
      </c>
      <c r="G1564" s="6" t="s">
        <v>369</v>
      </c>
      <c r="H1564" s="10">
        <v>46071.0</v>
      </c>
      <c r="I1564" s="12">
        <v>7.0</v>
      </c>
      <c r="J1564" s="6" t="s">
        <v>178</v>
      </c>
    </row>
    <row r="1565" ht="22.5" customHeight="1">
      <c r="A1565" s="6" t="s">
        <v>8001</v>
      </c>
      <c r="B1565" s="6" t="s">
        <v>4253</v>
      </c>
      <c r="C1565" s="10">
        <v>46055.0</v>
      </c>
      <c r="D1565" s="6" t="s">
        <v>677</v>
      </c>
      <c r="E1565" s="6" t="s">
        <v>1969</v>
      </c>
      <c r="F1565" s="6" t="s">
        <v>249</v>
      </c>
      <c r="G1565" s="6" t="s">
        <v>326</v>
      </c>
      <c r="H1565" s="11" t="s">
        <v>259</v>
      </c>
      <c r="I1565" s="12">
        <v>3.0</v>
      </c>
      <c r="J1565" s="6" t="s">
        <v>161</v>
      </c>
    </row>
    <row r="1566" ht="22.5" customHeight="1">
      <c r="A1566" s="6" t="s">
        <v>8004</v>
      </c>
      <c r="B1566" s="6" t="s">
        <v>4259</v>
      </c>
      <c r="C1566" s="10">
        <v>46084.0</v>
      </c>
      <c r="D1566" s="6" t="s">
        <v>242</v>
      </c>
      <c r="E1566" s="6" t="s">
        <v>731</v>
      </c>
      <c r="F1566" s="6" t="s">
        <v>112</v>
      </c>
      <c r="G1566" s="6" t="s">
        <v>494</v>
      </c>
      <c r="H1566" s="10">
        <v>46084.0</v>
      </c>
      <c r="I1566" s="12">
        <v>5.0</v>
      </c>
      <c r="J1566" s="6" t="s">
        <v>161</v>
      </c>
    </row>
    <row r="1567" ht="22.5" customHeight="1">
      <c r="A1567" s="6" t="s">
        <v>8008</v>
      </c>
      <c r="B1567" s="6" t="s">
        <v>4259</v>
      </c>
      <c r="C1567" s="10">
        <v>46079.0</v>
      </c>
      <c r="D1567" s="6" t="s">
        <v>677</v>
      </c>
      <c r="E1567" s="6" t="s">
        <v>634</v>
      </c>
      <c r="F1567" s="6" t="s">
        <v>249</v>
      </c>
      <c r="G1567" s="6" t="s">
        <v>254</v>
      </c>
      <c r="H1567" s="10">
        <v>46085.0</v>
      </c>
      <c r="I1567" s="12">
        <v>3.0</v>
      </c>
      <c r="J1567" s="6" t="s">
        <v>161</v>
      </c>
    </row>
    <row r="1568" ht="22.5" customHeight="1">
      <c r="A1568" s="6" t="s">
        <v>8013</v>
      </c>
      <c r="B1568" s="6" t="s">
        <v>4259</v>
      </c>
      <c r="C1568" s="10">
        <v>46072.0</v>
      </c>
      <c r="D1568" s="6" t="s">
        <v>677</v>
      </c>
      <c r="E1568" s="6" t="s">
        <v>716</v>
      </c>
      <c r="F1568" s="6" t="s">
        <v>249</v>
      </c>
      <c r="G1568" s="6" t="s">
        <v>477</v>
      </c>
      <c r="H1568" s="10">
        <v>46079.0</v>
      </c>
      <c r="I1568" s="12">
        <v>4.0</v>
      </c>
      <c r="J1568" s="6" t="s">
        <v>161</v>
      </c>
    </row>
    <row r="1569" ht="22.5" customHeight="1">
      <c r="A1569" s="6" t="s">
        <v>8017</v>
      </c>
      <c r="B1569" s="6" t="s">
        <v>4265</v>
      </c>
      <c r="C1569" s="10">
        <v>46047.0</v>
      </c>
      <c r="D1569" s="6" t="s">
        <v>416</v>
      </c>
      <c r="E1569" s="6" t="s">
        <v>885</v>
      </c>
      <c r="F1569" s="6" t="s">
        <v>439</v>
      </c>
      <c r="G1569" s="6" t="s">
        <v>494</v>
      </c>
      <c r="H1569" s="10">
        <v>46047.0</v>
      </c>
      <c r="I1569" s="12">
        <v>12.0</v>
      </c>
      <c r="J1569" s="6" t="s">
        <v>161</v>
      </c>
    </row>
    <row r="1570" ht="22.5" customHeight="1">
      <c r="A1570" s="6" t="s">
        <v>8021</v>
      </c>
      <c r="B1570" s="6" t="s">
        <v>4265</v>
      </c>
      <c r="C1570" s="10">
        <v>46047.0</v>
      </c>
      <c r="D1570" s="6" t="s">
        <v>436</v>
      </c>
      <c r="E1570" s="6" t="s">
        <v>798</v>
      </c>
      <c r="F1570" s="6" t="s">
        <v>249</v>
      </c>
      <c r="G1570" s="6" t="s">
        <v>369</v>
      </c>
      <c r="H1570" s="11" t="s">
        <v>259</v>
      </c>
      <c r="I1570" s="12">
        <v>12.0</v>
      </c>
      <c r="J1570" s="6" t="s">
        <v>178</v>
      </c>
    </row>
    <row r="1571" ht="22.5" customHeight="1">
      <c r="A1571" s="6" t="s">
        <v>8025</v>
      </c>
      <c r="B1571" s="6" t="s">
        <v>4272</v>
      </c>
      <c r="C1571" s="10">
        <v>46071.0</v>
      </c>
      <c r="D1571" s="6" t="s">
        <v>436</v>
      </c>
      <c r="E1571" s="6" t="s">
        <v>1055</v>
      </c>
      <c r="F1571" s="6" t="s">
        <v>439</v>
      </c>
      <c r="G1571" s="6" t="s">
        <v>477</v>
      </c>
      <c r="H1571" s="10">
        <v>46071.0</v>
      </c>
      <c r="I1571" s="12">
        <v>11.0</v>
      </c>
      <c r="J1571" s="6" t="s">
        <v>161</v>
      </c>
    </row>
    <row r="1572" ht="22.5" customHeight="1">
      <c r="A1572" s="6" t="s">
        <v>8030</v>
      </c>
      <c r="B1572" s="6" t="s">
        <v>4272</v>
      </c>
      <c r="C1572" s="10">
        <v>46070.0</v>
      </c>
      <c r="D1572" s="6" t="s">
        <v>436</v>
      </c>
      <c r="E1572" s="6" t="s">
        <v>833</v>
      </c>
      <c r="F1572" s="6" t="s">
        <v>439</v>
      </c>
      <c r="G1572" s="6" t="s">
        <v>458</v>
      </c>
      <c r="H1572" s="10">
        <v>46070.0</v>
      </c>
      <c r="I1572" s="12">
        <v>8.0</v>
      </c>
      <c r="J1572" s="6" t="s">
        <v>178</v>
      </c>
    </row>
    <row r="1573" ht="22.5" customHeight="1">
      <c r="A1573" s="6" t="s">
        <v>8034</v>
      </c>
      <c r="B1573" s="6" t="s">
        <v>4272</v>
      </c>
      <c r="C1573" s="10">
        <v>46070.0</v>
      </c>
      <c r="D1573" s="6" t="s">
        <v>312</v>
      </c>
      <c r="E1573" s="6" t="s">
        <v>438</v>
      </c>
      <c r="F1573" s="6" t="s">
        <v>249</v>
      </c>
      <c r="G1573" s="6" t="s">
        <v>452</v>
      </c>
      <c r="H1573" s="11" t="s">
        <v>259</v>
      </c>
      <c r="I1573" s="12">
        <v>4.0</v>
      </c>
      <c r="J1573" s="6" t="s">
        <v>161</v>
      </c>
    </row>
    <row r="1574" ht="22.5" customHeight="1">
      <c r="A1574" s="6" t="s">
        <v>8039</v>
      </c>
      <c r="B1574" s="6" t="s">
        <v>4272</v>
      </c>
      <c r="C1574" s="10">
        <v>46061.0</v>
      </c>
      <c r="D1574" s="6" t="s">
        <v>416</v>
      </c>
      <c r="E1574" s="6" t="s">
        <v>1546</v>
      </c>
      <c r="F1574" s="6" t="s">
        <v>112</v>
      </c>
      <c r="G1574" s="6" t="s">
        <v>452</v>
      </c>
      <c r="H1574" s="11" t="s">
        <v>259</v>
      </c>
      <c r="I1574" s="12">
        <v>12.0</v>
      </c>
      <c r="J1574" s="6" t="s">
        <v>161</v>
      </c>
    </row>
    <row r="1575" ht="22.5" customHeight="1">
      <c r="A1575" s="6" t="s">
        <v>8043</v>
      </c>
      <c r="B1575" s="6" t="s">
        <v>4272</v>
      </c>
      <c r="C1575" s="10">
        <v>46058.0</v>
      </c>
      <c r="D1575" s="6" t="s">
        <v>312</v>
      </c>
      <c r="E1575" s="6" t="s">
        <v>583</v>
      </c>
      <c r="F1575" s="6" t="s">
        <v>249</v>
      </c>
      <c r="G1575" s="6" t="s">
        <v>254</v>
      </c>
      <c r="H1575" s="10">
        <v>46059.0</v>
      </c>
      <c r="I1575" s="12">
        <v>6.0</v>
      </c>
      <c r="J1575" s="6" t="s">
        <v>161</v>
      </c>
    </row>
    <row r="1576" ht="22.5" customHeight="1">
      <c r="A1576" s="6" t="s">
        <v>8047</v>
      </c>
      <c r="B1576" s="6" t="s">
        <v>4278</v>
      </c>
      <c r="C1576" s="10">
        <v>46063.0</v>
      </c>
      <c r="D1576" s="6" t="s">
        <v>677</v>
      </c>
      <c r="E1576" s="6" t="s">
        <v>320</v>
      </c>
      <c r="F1576" s="6" t="s">
        <v>112</v>
      </c>
      <c r="G1576" s="6" t="s">
        <v>326</v>
      </c>
      <c r="H1576" s="10">
        <v>46067.0</v>
      </c>
      <c r="I1576" s="12">
        <v>2.0</v>
      </c>
      <c r="J1576" s="6" t="s">
        <v>161</v>
      </c>
    </row>
    <row r="1577" ht="22.5" customHeight="1">
      <c r="A1577" s="6" t="s">
        <v>8051</v>
      </c>
      <c r="B1577" s="6" t="s">
        <v>4278</v>
      </c>
      <c r="C1577" s="10">
        <v>46051.0</v>
      </c>
      <c r="D1577" s="6" t="s">
        <v>391</v>
      </c>
      <c r="E1577" s="6" t="s">
        <v>775</v>
      </c>
      <c r="F1577" s="6" t="s">
        <v>112</v>
      </c>
      <c r="G1577" s="6" t="s">
        <v>452</v>
      </c>
      <c r="H1577" s="11" t="s">
        <v>259</v>
      </c>
      <c r="I1577" s="12">
        <v>8.0</v>
      </c>
      <c r="J1577" s="6" t="s">
        <v>161</v>
      </c>
    </row>
    <row r="1578" ht="22.5" customHeight="1">
      <c r="A1578" s="6" t="s">
        <v>8055</v>
      </c>
      <c r="B1578" s="6" t="s">
        <v>4284</v>
      </c>
      <c r="C1578" s="10">
        <v>46042.0</v>
      </c>
      <c r="D1578" s="6" t="s">
        <v>312</v>
      </c>
      <c r="E1578" s="6" t="s">
        <v>885</v>
      </c>
      <c r="F1578" s="6" t="s">
        <v>249</v>
      </c>
      <c r="G1578" s="6" t="s">
        <v>452</v>
      </c>
      <c r="H1578" s="10">
        <v>46049.0</v>
      </c>
      <c r="I1578" s="12">
        <v>6.0</v>
      </c>
      <c r="J1578" s="6" t="s">
        <v>161</v>
      </c>
    </row>
    <row r="1579" ht="22.5" customHeight="1">
      <c r="A1579" s="6" t="s">
        <v>8059</v>
      </c>
      <c r="B1579" s="6" t="s">
        <v>4284</v>
      </c>
      <c r="C1579" s="10">
        <v>46036.0</v>
      </c>
      <c r="D1579" s="6" t="s">
        <v>677</v>
      </c>
      <c r="E1579" s="6" t="s">
        <v>1055</v>
      </c>
      <c r="F1579" s="6" t="s">
        <v>249</v>
      </c>
      <c r="G1579" s="6" t="s">
        <v>494</v>
      </c>
      <c r="H1579" s="11" t="s">
        <v>259</v>
      </c>
      <c r="I1579" s="12">
        <v>3.0</v>
      </c>
      <c r="J1579" s="6" t="s">
        <v>161</v>
      </c>
    </row>
    <row r="1580" ht="22.5" customHeight="1">
      <c r="A1580" s="6" t="s">
        <v>8065</v>
      </c>
      <c r="B1580" s="6" t="s">
        <v>4284</v>
      </c>
      <c r="C1580" s="10">
        <v>46023.0</v>
      </c>
      <c r="D1580" s="6" t="s">
        <v>416</v>
      </c>
      <c r="E1580" s="6" t="s">
        <v>787</v>
      </c>
      <c r="F1580" s="6" t="s">
        <v>283</v>
      </c>
      <c r="G1580" s="6" t="s">
        <v>458</v>
      </c>
      <c r="H1580" s="10">
        <v>46029.0</v>
      </c>
      <c r="I1580" s="12">
        <v>10.0</v>
      </c>
      <c r="J1580" s="6" t="s">
        <v>161</v>
      </c>
    </row>
    <row r="1581" ht="22.5" customHeight="1">
      <c r="A1581" s="6" t="s">
        <v>8068</v>
      </c>
      <c r="B1581" s="6" t="s">
        <v>4291</v>
      </c>
      <c r="C1581" s="10">
        <v>46064.0</v>
      </c>
      <c r="D1581" s="6" t="s">
        <v>242</v>
      </c>
      <c r="E1581" s="6" t="s">
        <v>1241</v>
      </c>
      <c r="F1581" s="6" t="s">
        <v>283</v>
      </c>
      <c r="G1581" s="6" t="s">
        <v>477</v>
      </c>
      <c r="H1581" s="10">
        <v>46067.0</v>
      </c>
      <c r="I1581" s="12">
        <v>6.0</v>
      </c>
      <c r="J1581" s="6" t="s">
        <v>178</v>
      </c>
    </row>
    <row r="1582" ht="22.5" customHeight="1">
      <c r="A1582" s="6" t="s">
        <v>8072</v>
      </c>
      <c r="B1582" s="6" t="s">
        <v>4291</v>
      </c>
      <c r="C1582" s="10">
        <v>46069.0</v>
      </c>
      <c r="D1582" s="6" t="s">
        <v>312</v>
      </c>
      <c r="E1582" s="6" t="s">
        <v>658</v>
      </c>
      <c r="F1582" s="6" t="s">
        <v>439</v>
      </c>
      <c r="G1582" s="6" t="s">
        <v>369</v>
      </c>
      <c r="H1582" s="10">
        <v>46075.0</v>
      </c>
      <c r="I1582" s="12">
        <v>7.0</v>
      </c>
      <c r="J1582" s="6" t="s">
        <v>161</v>
      </c>
    </row>
    <row r="1583" ht="22.5" customHeight="1">
      <c r="A1583" s="6" t="s">
        <v>8078</v>
      </c>
      <c r="B1583" s="6" t="s">
        <v>4297</v>
      </c>
      <c r="C1583" s="10">
        <v>46043.0</v>
      </c>
      <c r="D1583" s="6" t="s">
        <v>416</v>
      </c>
      <c r="E1583" s="6" t="s">
        <v>365</v>
      </c>
      <c r="F1583" s="6" t="s">
        <v>249</v>
      </c>
      <c r="G1583" s="6" t="s">
        <v>369</v>
      </c>
      <c r="H1583" s="10">
        <v>46050.0</v>
      </c>
      <c r="I1583" s="12">
        <v>9.0</v>
      </c>
      <c r="J1583" s="6" t="s">
        <v>161</v>
      </c>
    </row>
    <row r="1584" ht="22.5" customHeight="1">
      <c r="A1584" s="6" t="s">
        <v>8081</v>
      </c>
      <c r="B1584" s="6" t="s">
        <v>4297</v>
      </c>
      <c r="C1584" s="10">
        <v>46047.0</v>
      </c>
      <c r="D1584" s="6" t="s">
        <v>242</v>
      </c>
      <c r="E1584" s="6" t="s">
        <v>1517</v>
      </c>
      <c r="F1584" s="6" t="s">
        <v>283</v>
      </c>
      <c r="G1584" s="6" t="s">
        <v>458</v>
      </c>
      <c r="H1584" s="11" t="s">
        <v>259</v>
      </c>
      <c r="I1584" s="12">
        <v>3.0</v>
      </c>
      <c r="J1584" s="6" t="s">
        <v>178</v>
      </c>
    </row>
    <row r="1585" ht="22.5" customHeight="1">
      <c r="A1585" s="6" t="s">
        <v>8086</v>
      </c>
      <c r="B1585" s="6" t="s">
        <v>4303</v>
      </c>
      <c r="C1585" s="10">
        <v>46069.0</v>
      </c>
      <c r="D1585" s="6" t="s">
        <v>416</v>
      </c>
      <c r="E1585" s="6" t="s">
        <v>291</v>
      </c>
      <c r="F1585" s="6" t="s">
        <v>439</v>
      </c>
      <c r="G1585" s="6" t="s">
        <v>458</v>
      </c>
      <c r="H1585" s="10">
        <v>46072.0</v>
      </c>
      <c r="I1585" s="12">
        <v>8.0</v>
      </c>
      <c r="J1585" s="6" t="s">
        <v>161</v>
      </c>
    </row>
    <row r="1586" ht="22.5" customHeight="1">
      <c r="A1586" s="6" t="s">
        <v>8091</v>
      </c>
      <c r="B1586" s="6" t="s">
        <v>4303</v>
      </c>
      <c r="C1586" s="10">
        <v>46065.0</v>
      </c>
      <c r="D1586" s="6" t="s">
        <v>416</v>
      </c>
      <c r="E1586" s="6" t="s">
        <v>1296</v>
      </c>
      <c r="F1586" s="6" t="s">
        <v>283</v>
      </c>
      <c r="G1586" s="6" t="s">
        <v>297</v>
      </c>
      <c r="H1586" s="10">
        <v>46071.0</v>
      </c>
      <c r="I1586" s="12">
        <v>10.0</v>
      </c>
      <c r="J1586" s="6" t="s">
        <v>161</v>
      </c>
    </row>
    <row r="1587" ht="22.5" customHeight="1">
      <c r="A1587" s="6" t="s">
        <v>8094</v>
      </c>
      <c r="B1587" s="6" t="s">
        <v>4303</v>
      </c>
      <c r="C1587" s="10">
        <v>46069.0</v>
      </c>
      <c r="D1587" s="6" t="s">
        <v>312</v>
      </c>
      <c r="E1587" s="6" t="s">
        <v>1386</v>
      </c>
      <c r="F1587" s="6" t="s">
        <v>439</v>
      </c>
      <c r="G1587" s="6" t="s">
        <v>254</v>
      </c>
      <c r="H1587" s="10">
        <v>46069.0</v>
      </c>
      <c r="I1587" s="12">
        <v>4.0</v>
      </c>
      <c r="J1587" s="6" t="s">
        <v>161</v>
      </c>
    </row>
    <row r="1588" ht="22.5" customHeight="1">
      <c r="A1588" s="6" t="s">
        <v>8098</v>
      </c>
      <c r="B1588" s="6" t="s">
        <v>4303</v>
      </c>
      <c r="C1588" s="10">
        <v>46072.0</v>
      </c>
      <c r="D1588" s="6" t="s">
        <v>289</v>
      </c>
      <c r="E1588" s="6" t="s">
        <v>896</v>
      </c>
      <c r="F1588" s="6" t="s">
        <v>249</v>
      </c>
      <c r="G1588" s="6" t="s">
        <v>494</v>
      </c>
      <c r="H1588" s="10">
        <v>46074.0</v>
      </c>
      <c r="I1588" s="12">
        <v>6.0</v>
      </c>
      <c r="J1588" s="6" t="s">
        <v>161</v>
      </c>
    </row>
    <row r="1589" ht="22.5" customHeight="1">
      <c r="A1589" s="6" t="s">
        <v>8104</v>
      </c>
      <c r="B1589" s="6" t="s">
        <v>4303</v>
      </c>
      <c r="C1589" s="10">
        <v>46066.0</v>
      </c>
      <c r="D1589" s="6" t="s">
        <v>242</v>
      </c>
      <c r="E1589" s="6" t="s">
        <v>687</v>
      </c>
      <c r="F1589" s="6" t="s">
        <v>283</v>
      </c>
      <c r="G1589" s="6" t="s">
        <v>458</v>
      </c>
      <c r="H1589" s="10">
        <v>46070.0</v>
      </c>
      <c r="I1589" s="12">
        <v>6.0</v>
      </c>
      <c r="J1589" s="6" t="s">
        <v>178</v>
      </c>
    </row>
    <row r="1590" ht="22.5" customHeight="1">
      <c r="A1590" s="6" t="s">
        <v>8107</v>
      </c>
      <c r="B1590" s="6" t="s">
        <v>4309</v>
      </c>
      <c r="C1590" s="10">
        <v>46029.0</v>
      </c>
      <c r="D1590" s="6" t="s">
        <v>677</v>
      </c>
      <c r="E1590" s="6" t="s">
        <v>1273</v>
      </c>
      <c r="F1590" s="6" t="s">
        <v>439</v>
      </c>
      <c r="G1590" s="6" t="s">
        <v>297</v>
      </c>
      <c r="H1590" s="10">
        <v>46029.0</v>
      </c>
      <c r="I1590" s="12">
        <v>4.0</v>
      </c>
      <c r="J1590" s="6" t="s">
        <v>161</v>
      </c>
    </row>
    <row r="1591" ht="22.5" customHeight="1">
      <c r="A1591" s="6" t="s">
        <v>8111</v>
      </c>
      <c r="B1591" s="6" t="s">
        <v>4309</v>
      </c>
      <c r="C1591" s="10">
        <v>46048.0</v>
      </c>
      <c r="D1591" s="6" t="s">
        <v>416</v>
      </c>
      <c r="E1591" s="6" t="s">
        <v>2365</v>
      </c>
      <c r="F1591" s="6" t="s">
        <v>439</v>
      </c>
      <c r="G1591" s="6" t="s">
        <v>494</v>
      </c>
      <c r="H1591" s="10">
        <v>46055.0</v>
      </c>
      <c r="I1591" s="12">
        <v>12.0</v>
      </c>
      <c r="J1591" s="6" t="s">
        <v>161</v>
      </c>
    </row>
    <row r="1592" ht="22.5" customHeight="1">
      <c r="A1592" s="6" t="s">
        <v>8115</v>
      </c>
      <c r="B1592" s="6" t="s">
        <v>4309</v>
      </c>
      <c r="C1592" s="10">
        <v>46033.0</v>
      </c>
      <c r="D1592" s="6" t="s">
        <v>391</v>
      </c>
      <c r="E1592" s="6" t="s">
        <v>863</v>
      </c>
      <c r="F1592" s="6" t="s">
        <v>439</v>
      </c>
      <c r="G1592" s="6" t="s">
        <v>369</v>
      </c>
      <c r="H1592" s="10">
        <v>46034.0</v>
      </c>
      <c r="I1592" s="12">
        <v>11.0</v>
      </c>
      <c r="J1592" s="6" t="s">
        <v>161</v>
      </c>
    </row>
    <row r="1593" ht="22.5" customHeight="1">
      <c r="A1593" s="6" t="s">
        <v>8119</v>
      </c>
      <c r="B1593" s="6" t="s">
        <v>4309</v>
      </c>
      <c r="C1593" s="10">
        <v>46045.0</v>
      </c>
      <c r="D1593" s="6" t="s">
        <v>436</v>
      </c>
      <c r="E1593" s="6" t="s">
        <v>658</v>
      </c>
      <c r="F1593" s="6" t="s">
        <v>439</v>
      </c>
      <c r="G1593" s="6" t="s">
        <v>477</v>
      </c>
      <c r="H1593" s="10">
        <v>46045.0</v>
      </c>
      <c r="I1593" s="12">
        <v>8.0</v>
      </c>
      <c r="J1593" s="6" t="s">
        <v>178</v>
      </c>
    </row>
    <row r="1594" ht="22.5" customHeight="1">
      <c r="A1594" s="6" t="s">
        <v>8124</v>
      </c>
      <c r="B1594" s="6" t="s">
        <v>4315</v>
      </c>
      <c r="C1594" s="10">
        <v>46083.0</v>
      </c>
      <c r="D1594" s="6" t="s">
        <v>391</v>
      </c>
      <c r="E1594" s="6" t="s">
        <v>246</v>
      </c>
      <c r="F1594" s="6" t="s">
        <v>283</v>
      </c>
      <c r="G1594" s="6" t="s">
        <v>326</v>
      </c>
      <c r="H1594" s="10">
        <v>46084.0</v>
      </c>
      <c r="I1594" s="12">
        <v>7.0</v>
      </c>
      <c r="J1594" s="6" t="s">
        <v>161</v>
      </c>
    </row>
    <row r="1595" ht="22.5" customHeight="1">
      <c r="A1595" s="6" t="s">
        <v>8127</v>
      </c>
      <c r="B1595" s="6" t="s">
        <v>4321</v>
      </c>
      <c r="C1595" s="10">
        <v>46051.0</v>
      </c>
      <c r="D1595" s="6" t="s">
        <v>416</v>
      </c>
      <c r="E1595" s="6" t="s">
        <v>1386</v>
      </c>
      <c r="F1595" s="6" t="s">
        <v>112</v>
      </c>
      <c r="G1595" s="6" t="s">
        <v>494</v>
      </c>
      <c r="H1595" s="10">
        <v>46051.0</v>
      </c>
      <c r="I1595" s="12">
        <v>11.0</v>
      </c>
      <c r="J1595" s="6" t="s">
        <v>161</v>
      </c>
    </row>
    <row r="1596" ht="22.5" customHeight="1">
      <c r="A1596" s="6" t="s">
        <v>8133</v>
      </c>
      <c r="B1596" s="6" t="s">
        <v>4321</v>
      </c>
      <c r="C1596" s="10">
        <v>46052.0</v>
      </c>
      <c r="D1596" s="6" t="s">
        <v>677</v>
      </c>
      <c r="E1596" s="6" t="s">
        <v>320</v>
      </c>
      <c r="F1596" s="6" t="s">
        <v>283</v>
      </c>
      <c r="G1596" s="6" t="s">
        <v>369</v>
      </c>
      <c r="H1596" s="10">
        <v>46052.0</v>
      </c>
      <c r="I1596" s="12">
        <v>3.0</v>
      </c>
      <c r="J1596" s="6" t="s">
        <v>161</v>
      </c>
    </row>
    <row r="1597" ht="22.5" customHeight="1">
      <c r="A1597" s="6" t="s">
        <v>8137</v>
      </c>
      <c r="B1597" s="6" t="s">
        <v>4321</v>
      </c>
      <c r="C1597" s="10">
        <v>46060.0</v>
      </c>
      <c r="D1597" s="6" t="s">
        <v>312</v>
      </c>
      <c r="E1597" s="6" t="s">
        <v>775</v>
      </c>
      <c r="F1597" s="6" t="s">
        <v>283</v>
      </c>
      <c r="G1597" s="6" t="s">
        <v>254</v>
      </c>
      <c r="H1597" s="10">
        <v>46062.0</v>
      </c>
      <c r="I1597" s="12">
        <v>5.0</v>
      </c>
      <c r="J1597" s="6" t="s">
        <v>161</v>
      </c>
    </row>
    <row r="1598" ht="22.5" customHeight="1">
      <c r="A1598" s="6" t="s">
        <v>8143</v>
      </c>
      <c r="B1598" s="6" t="s">
        <v>4321</v>
      </c>
      <c r="C1598" s="10">
        <v>46046.0</v>
      </c>
      <c r="D1598" s="6" t="s">
        <v>391</v>
      </c>
      <c r="E1598" s="6" t="s">
        <v>1035</v>
      </c>
      <c r="F1598" s="6" t="s">
        <v>249</v>
      </c>
      <c r="G1598" s="6" t="s">
        <v>369</v>
      </c>
      <c r="H1598" s="10">
        <v>46047.0</v>
      </c>
      <c r="I1598" s="12">
        <v>11.0</v>
      </c>
      <c r="J1598" s="6" t="s">
        <v>161</v>
      </c>
    </row>
    <row r="1599" ht="22.5" customHeight="1">
      <c r="A1599" s="6" t="s">
        <v>8146</v>
      </c>
      <c r="B1599" s="6" t="s">
        <v>4328</v>
      </c>
      <c r="C1599" s="10">
        <v>46041.0</v>
      </c>
      <c r="D1599" s="6" t="s">
        <v>416</v>
      </c>
      <c r="E1599" s="6" t="s">
        <v>566</v>
      </c>
      <c r="F1599" s="6" t="s">
        <v>439</v>
      </c>
      <c r="G1599" s="6" t="s">
        <v>458</v>
      </c>
      <c r="H1599" s="10">
        <v>46047.0</v>
      </c>
      <c r="I1599" s="12">
        <v>10.0</v>
      </c>
      <c r="J1599" s="6" t="s">
        <v>161</v>
      </c>
    </row>
    <row r="1600" ht="22.5" customHeight="1">
      <c r="A1600" s="6" t="s">
        <v>8151</v>
      </c>
      <c r="B1600" s="6" t="s">
        <v>4328</v>
      </c>
      <c r="C1600" s="10">
        <v>46032.0</v>
      </c>
      <c r="D1600" s="6" t="s">
        <v>677</v>
      </c>
      <c r="E1600" s="6" t="s">
        <v>466</v>
      </c>
      <c r="F1600" s="6" t="s">
        <v>249</v>
      </c>
      <c r="G1600" s="6" t="s">
        <v>326</v>
      </c>
      <c r="H1600" s="10">
        <v>46036.0</v>
      </c>
      <c r="I1600" s="12">
        <v>3.0</v>
      </c>
      <c r="J1600" s="6" t="s">
        <v>161</v>
      </c>
    </row>
    <row r="1601" ht="22.5" customHeight="1">
      <c r="A1601" s="6" t="s">
        <v>8156</v>
      </c>
      <c r="B1601" s="6" t="s">
        <v>4334</v>
      </c>
      <c r="C1601" s="10">
        <v>46080.0</v>
      </c>
      <c r="D1601" s="6" t="s">
        <v>416</v>
      </c>
      <c r="E1601" s="6" t="s">
        <v>417</v>
      </c>
      <c r="F1601" s="6" t="s">
        <v>112</v>
      </c>
      <c r="G1601" s="6" t="s">
        <v>452</v>
      </c>
      <c r="H1601" s="10">
        <v>46082.0</v>
      </c>
      <c r="I1601" s="12">
        <v>13.0</v>
      </c>
      <c r="J1601" s="6" t="s">
        <v>161</v>
      </c>
    </row>
    <row r="1602" ht="22.5" customHeight="1">
      <c r="A1602" s="6" t="s">
        <v>8162</v>
      </c>
      <c r="B1602" s="6" t="s">
        <v>4340</v>
      </c>
      <c r="C1602" s="10">
        <v>46066.0</v>
      </c>
      <c r="D1602" s="6" t="s">
        <v>436</v>
      </c>
      <c r="E1602" s="6" t="s">
        <v>417</v>
      </c>
      <c r="F1602" s="6" t="s">
        <v>439</v>
      </c>
      <c r="G1602" s="6" t="s">
        <v>254</v>
      </c>
      <c r="H1602" s="10">
        <v>46067.0</v>
      </c>
      <c r="I1602" s="12">
        <v>12.0</v>
      </c>
      <c r="J1602" s="6" t="s">
        <v>178</v>
      </c>
    </row>
    <row r="1603" ht="22.5" customHeight="1">
      <c r="A1603" s="6" t="s">
        <v>8165</v>
      </c>
      <c r="B1603" s="6" t="s">
        <v>4340</v>
      </c>
      <c r="C1603" s="10">
        <v>46071.0</v>
      </c>
      <c r="D1603" s="6" t="s">
        <v>312</v>
      </c>
      <c r="E1603" s="6" t="s">
        <v>1055</v>
      </c>
      <c r="F1603" s="6" t="s">
        <v>439</v>
      </c>
      <c r="G1603" s="6" t="s">
        <v>477</v>
      </c>
      <c r="H1603" s="10">
        <v>46076.0</v>
      </c>
      <c r="I1603" s="12">
        <v>5.0</v>
      </c>
      <c r="J1603" s="6" t="s">
        <v>161</v>
      </c>
    </row>
    <row r="1604" ht="22.5" customHeight="1">
      <c r="A1604" s="6" t="s">
        <v>8169</v>
      </c>
      <c r="B1604" s="6" t="s">
        <v>4346</v>
      </c>
      <c r="C1604" s="10">
        <v>46045.0</v>
      </c>
      <c r="D1604" s="6" t="s">
        <v>289</v>
      </c>
      <c r="E1604" s="6" t="s">
        <v>1070</v>
      </c>
      <c r="F1604" s="6" t="s">
        <v>249</v>
      </c>
      <c r="G1604" s="6" t="s">
        <v>369</v>
      </c>
      <c r="H1604" s="10">
        <v>46046.0</v>
      </c>
      <c r="I1604" s="12">
        <v>5.0</v>
      </c>
      <c r="J1604" s="6" t="s">
        <v>161</v>
      </c>
    </row>
    <row r="1605" ht="22.5" customHeight="1">
      <c r="A1605" s="6" t="s">
        <v>8175</v>
      </c>
      <c r="B1605" s="6" t="s">
        <v>4346</v>
      </c>
      <c r="C1605" s="10">
        <v>46046.0</v>
      </c>
      <c r="D1605" s="6" t="s">
        <v>312</v>
      </c>
      <c r="E1605" s="6" t="s">
        <v>863</v>
      </c>
      <c r="F1605" s="6" t="s">
        <v>249</v>
      </c>
      <c r="G1605" s="6" t="s">
        <v>254</v>
      </c>
      <c r="H1605" s="10">
        <v>46048.0</v>
      </c>
      <c r="I1605" s="12">
        <v>6.0</v>
      </c>
      <c r="J1605" s="6" t="s">
        <v>161</v>
      </c>
    </row>
    <row r="1606" ht="22.5" customHeight="1">
      <c r="A1606" s="6" t="s">
        <v>8178</v>
      </c>
      <c r="B1606" s="6" t="s">
        <v>4346</v>
      </c>
      <c r="C1606" s="10">
        <v>46050.0</v>
      </c>
      <c r="D1606" s="6" t="s">
        <v>677</v>
      </c>
      <c r="E1606" s="6" t="s">
        <v>885</v>
      </c>
      <c r="F1606" s="6" t="s">
        <v>112</v>
      </c>
      <c r="G1606" s="6" t="s">
        <v>458</v>
      </c>
      <c r="H1606" s="11" t="s">
        <v>259</v>
      </c>
      <c r="I1606" s="12">
        <v>3.0</v>
      </c>
      <c r="J1606" s="6" t="s">
        <v>161</v>
      </c>
    </row>
    <row r="1607" ht="22.5" customHeight="1">
      <c r="A1607" s="6" t="s">
        <v>8182</v>
      </c>
      <c r="B1607" s="6" t="s">
        <v>4346</v>
      </c>
      <c r="C1607" s="10">
        <v>46045.0</v>
      </c>
      <c r="D1607" s="6" t="s">
        <v>677</v>
      </c>
      <c r="E1607" s="6" t="s">
        <v>438</v>
      </c>
      <c r="F1607" s="6" t="s">
        <v>439</v>
      </c>
      <c r="G1607" s="6" t="s">
        <v>458</v>
      </c>
      <c r="H1607" s="11" t="s">
        <v>259</v>
      </c>
      <c r="I1607" s="12">
        <v>4.0</v>
      </c>
      <c r="J1607" s="6" t="s">
        <v>161</v>
      </c>
    </row>
    <row r="1608" ht="22.5" customHeight="1">
      <c r="A1608" s="6" t="s">
        <v>8185</v>
      </c>
      <c r="B1608" s="6" t="s">
        <v>4353</v>
      </c>
      <c r="C1608" s="10">
        <v>46061.0</v>
      </c>
      <c r="D1608" s="6" t="s">
        <v>416</v>
      </c>
      <c r="E1608" s="6" t="s">
        <v>1700</v>
      </c>
      <c r="F1608" s="6" t="s">
        <v>283</v>
      </c>
      <c r="G1608" s="6" t="s">
        <v>369</v>
      </c>
      <c r="H1608" s="11" t="s">
        <v>259</v>
      </c>
      <c r="I1608" s="12">
        <v>10.0</v>
      </c>
      <c r="J1608" s="6" t="s">
        <v>161</v>
      </c>
    </row>
    <row r="1609" ht="22.5" customHeight="1">
      <c r="A1609" s="6" t="s">
        <v>8189</v>
      </c>
      <c r="B1609" s="6" t="s">
        <v>4353</v>
      </c>
      <c r="C1609" s="10">
        <v>46071.0</v>
      </c>
      <c r="D1609" s="6" t="s">
        <v>289</v>
      </c>
      <c r="E1609" s="6" t="s">
        <v>738</v>
      </c>
      <c r="F1609" s="6" t="s">
        <v>439</v>
      </c>
      <c r="G1609" s="6" t="s">
        <v>297</v>
      </c>
      <c r="H1609" s="10">
        <v>46077.0</v>
      </c>
      <c r="I1609" s="12">
        <v>6.0</v>
      </c>
      <c r="J1609" s="6" t="s">
        <v>161</v>
      </c>
    </row>
    <row r="1610" ht="22.5" customHeight="1">
      <c r="A1610" s="6" t="s">
        <v>8193</v>
      </c>
      <c r="B1610" s="6" t="s">
        <v>4353</v>
      </c>
      <c r="C1610" s="10">
        <v>46070.0</v>
      </c>
      <c r="D1610" s="6" t="s">
        <v>391</v>
      </c>
      <c r="E1610" s="6" t="s">
        <v>365</v>
      </c>
      <c r="F1610" s="6" t="s">
        <v>283</v>
      </c>
      <c r="G1610" s="6" t="s">
        <v>297</v>
      </c>
      <c r="H1610" s="10">
        <v>46076.0</v>
      </c>
      <c r="I1610" s="12">
        <v>11.0</v>
      </c>
      <c r="J1610" s="6" t="s">
        <v>161</v>
      </c>
    </row>
    <row r="1611" ht="22.5" customHeight="1">
      <c r="A1611" s="6" t="s">
        <v>8197</v>
      </c>
      <c r="B1611" s="6" t="s">
        <v>4359</v>
      </c>
      <c r="C1611" s="10">
        <v>46034.0</v>
      </c>
      <c r="D1611" s="6" t="s">
        <v>416</v>
      </c>
      <c r="E1611" s="6" t="s">
        <v>2881</v>
      </c>
      <c r="F1611" s="6" t="s">
        <v>112</v>
      </c>
      <c r="G1611" s="6" t="s">
        <v>494</v>
      </c>
      <c r="H1611" s="10">
        <v>46039.0</v>
      </c>
      <c r="I1611" s="12">
        <v>12.0</v>
      </c>
      <c r="J1611" s="6" t="s">
        <v>161</v>
      </c>
    </row>
    <row r="1612" ht="22.5" customHeight="1">
      <c r="A1612" s="6" t="s">
        <v>8202</v>
      </c>
      <c r="B1612" s="6" t="s">
        <v>4359</v>
      </c>
      <c r="C1612" s="10">
        <v>46032.0</v>
      </c>
      <c r="D1612" s="6" t="s">
        <v>436</v>
      </c>
      <c r="E1612" s="6" t="s">
        <v>704</v>
      </c>
      <c r="F1612" s="6" t="s">
        <v>112</v>
      </c>
      <c r="G1612" s="6" t="s">
        <v>477</v>
      </c>
      <c r="H1612" s="11" t="s">
        <v>259</v>
      </c>
      <c r="I1612" s="12">
        <v>7.0</v>
      </c>
      <c r="J1612" s="6" t="s">
        <v>178</v>
      </c>
    </row>
    <row r="1613" ht="22.5" customHeight="1">
      <c r="A1613" s="6" t="s">
        <v>8206</v>
      </c>
      <c r="B1613" s="6" t="s">
        <v>4366</v>
      </c>
      <c r="C1613" s="10">
        <v>46065.0</v>
      </c>
      <c r="D1613" s="6" t="s">
        <v>436</v>
      </c>
      <c r="E1613" s="6" t="s">
        <v>1741</v>
      </c>
      <c r="F1613" s="6" t="s">
        <v>439</v>
      </c>
      <c r="G1613" s="6" t="s">
        <v>452</v>
      </c>
      <c r="H1613" s="10">
        <v>46068.0</v>
      </c>
      <c r="I1613" s="12">
        <v>10.0</v>
      </c>
      <c r="J1613" s="6" t="s">
        <v>161</v>
      </c>
    </row>
    <row r="1614" ht="22.5" customHeight="1">
      <c r="A1614" s="6" t="s">
        <v>8211</v>
      </c>
      <c r="B1614" s="6" t="s">
        <v>4366</v>
      </c>
      <c r="C1614" s="10">
        <v>46070.0</v>
      </c>
      <c r="D1614" s="6" t="s">
        <v>677</v>
      </c>
      <c r="E1614" s="6" t="s">
        <v>1310</v>
      </c>
      <c r="F1614" s="6" t="s">
        <v>439</v>
      </c>
      <c r="G1614" s="6" t="s">
        <v>326</v>
      </c>
      <c r="H1614" s="10">
        <v>46071.0</v>
      </c>
      <c r="I1614" s="12">
        <v>3.0</v>
      </c>
      <c r="J1614" s="6" t="s">
        <v>161</v>
      </c>
    </row>
    <row r="1615" ht="22.5" customHeight="1">
      <c r="A1615" s="6" t="s">
        <v>8215</v>
      </c>
      <c r="B1615" s="6" t="s">
        <v>4372</v>
      </c>
      <c r="C1615" s="10">
        <v>46060.0</v>
      </c>
      <c r="D1615" s="6" t="s">
        <v>391</v>
      </c>
      <c r="E1615" s="6" t="s">
        <v>1070</v>
      </c>
      <c r="F1615" s="6" t="s">
        <v>439</v>
      </c>
      <c r="G1615" s="6" t="s">
        <v>477</v>
      </c>
      <c r="H1615" s="10">
        <v>46064.0</v>
      </c>
      <c r="I1615" s="12">
        <v>7.0</v>
      </c>
      <c r="J1615" s="6" t="s">
        <v>161</v>
      </c>
    </row>
    <row r="1616" ht="22.5" customHeight="1">
      <c r="A1616" s="6" t="s">
        <v>8221</v>
      </c>
      <c r="B1616" s="6" t="s">
        <v>4372</v>
      </c>
      <c r="C1616" s="10">
        <v>46056.0</v>
      </c>
      <c r="D1616" s="6" t="s">
        <v>436</v>
      </c>
      <c r="E1616" s="6" t="s">
        <v>1720</v>
      </c>
      <c r="F1616" s="6" t="s">
        <v>439</v>
      </c>
      <c r="G1616" s="6" t="s">
        <v>458</v>
      </c>
      <c r="H1616" s="10">
        <v>46059.0</v>
      </c>
      <c r="I1616" s="12">
        <v>12.0</v>
      </c>
      <c r="J1616" s="6" t="s">
        <v>178</v>
      </c>
    </row>
    <row r="1617" ht="22.5" customHeight="1">
      <c r="A1617" s="6" t="s">
        <v>8224</v>
      </c>
      <c r="B1617" s="6" t="s">
        <v>4372</v>
      </c>
      <c r="C1617" s="10">
        <v>46075.0</v>
      </c>
      <c r="D1617" s="6" t="s">
        <v>289</v>
      </c>
      <c r="E1617" s="6" t="s">
        <v>1310</v>
      </c>
      <c r="F1617" s="6" t="s">
        <v>439</v>
      </c>
      <c r="G1617" s="6" t="s">
        <v>458</v>
      </c>
      <c r="H1617" s="11" t="s">
        <v>259</v>
      </c>
      <c r="I1617" s="12">
        <v>9.0</v>
      </c>
      <c r="J1617" s="6" t="s">
        <v>161</v>
      </c>
    </row>
    <row r="1618" ht="22.5" customHeight="1">
      <c r="A1618" s="6" t="s">
        <v>8228</v>
      </c>
      <c r="B1618" s="6" t="s">
        <v>4377</v>
      </c>
      <c r="C1618" s="10">
        <v>46068.0</v>
      </c>
      <c r="D1618" s="6" t="s">
        <v>677</v>
      </c>
      <c r="E1618" s="6" t="s">
        <v>1149</v>
      </c>
      <c r="F1618" s="6" t="s">
        <v>439</v>
      </c>
      <c r="G1618" s="6" t="s">
        <v>326</v>
      </c>
      <c r="H1618" s="10">
        <v>46075.0</v>
      </c>
      <c r="I1618" s="12">
        <v>2.0</v>
      </c>
      <c r="J1618" s="6" t="s">
        <v>161</v>
      </c>
    </row>
    <row r="1619" ht="22.5" customHeight="1">
      <c r="A1619" s="6" t="s">
        <v>8234</v>
      </c>
      <c r="B1619" s="6" t="s">
        <v>4377</v>
      </c>
      <c r="C1619" s="10">
        <v>46064.0</v>
      </c>
      <c r="D1619" s="6" t="s">
        <v>289</v>
      </c>
      <c r="E1619" s="6" t="s">
        <v>1969</v>
      </c>
      <c r="F1619" s="6" t="s">
        <v>112</v>
      </c>
      <c r="G1619" s="6" t="s">
        <v>494</v>
      </c>
      <c r="H1619" s="10">
        <v>46070.0</v>
      </c>
      <c r="I1619" s="12">
        <v>6.0</v>
      </c>
      <c r="J1619" s="6" t="s">
        <v>161</v>
      </c>
    </row>
    <row r="1620" ht="22.5" customHeight="1">
      <c r="A1620" s="6" t="s">
        <v>8237</v>
      </c>
      <c r="B1620" s="6" t="s">
        <v>4377</v>
      </c>
      <c r="C1620" s="10">
        <v>46073.0</v>
      </c>
      <c r="D1620" s="6" t="s">
        <v>242</v>
      </c>
      <c r="E1620" s="6" t="s">
        <v>246</v>
      </c>
      <c r="F1620" s="6" t="s">
        <v>283</v>
      </c>
      <c r="G1620" s="6" t="s">
        <v>458</v>
      </c>
      <c r="H1620" s="10">
        <v>46078.0</v>
      </c>
      <c r="I1620" s="12">
        <v>4.0</v>
      </c>
      <c r="J1620" s="6" t="s">
        <v>178</v>
      </c>
    </row>
    <row r="1621" ht="22.5" customHeight="1">
      <c r="A1621" s="6" t="s">
        <v>8243</v>
      </c>
      <c r="B1621" s="6" t="s">
        <v>4383</v>
      </c>
      <c r="C1621" s="10">
        <v>46050.0</v>
      </c>
      <c r="D1621" s="6" t="s">
        <v>677</v>
      </c>
      <c r="E1621" s="6" t="s">
        <v>1552</v>
      </c>
      <c r="F1621" s="6" t="s">
        <v>439</v>
      </c>
      <c r="G1621" s="6" t="s">
        <v>254</v>
      </c>
      <c r="H1621" s="10">
        <v>46053.0</v>
      </c>
      <c r="I1621" s="12">
        <v>3.0</v>
      </c>
      <c r="J1621" s="6" t="s">
        <v>161</v>
      </c>
    </row>
    <row r="1622" ht="22.5" customHeight="1">
      <c r="A1622" s="6" t="s">
        <v>8248</v>
      </c>
      <c r="B1622" s="6" t="s">
        <v>4383</v>
      </c>
      <c r="C1622" s="10">
        <v>46054.0</v>
      </c>
      <c r="D1622" s="6" t="s">
        <v>289</v>
      </c>
      <c r="E1622" s="6" t="s">
        <v>1280</v>
      </c>
      <c r="F1622" s="6" t="s">
        <v>439</v>
      </c>
      <c r="G1622" s="6" t="s">
        <v>477</v>
      </c>
      <c r="H1622" s="10">
        <v>46054.0</v>
      </c>
      <c r="I1622" s="12">
        <v>7.0</v>
      </c>
      <c r="J1622" s="6" t="s">
        <v>161</v>
      </c>
    </row>
    <row r="1623" ht="22.5" customHeight="1">
      <c r="A1623" s="6" t="s">
        <v>8253</v>
      </c>
      <c r="B1623" s="6" t="s">
        <v>4389</v>
      </c>
      <c r="C1623" s="10">
        <v>46079.0</v>
      </c>
      <c r="D1623" s="6" t="s">
        <v>312</v>
      </c>
      <c r="E1623" s="6" t="s">
        <v>2881</v>
      </c>
      <c r="F1623" s="6" t="s">
        <v>283</v>
      </c>
      <c r="G1623" s="6" t="s">
        <v>326</v>
      </c>
      <c r="H1623" s="10">
        <v>46085.0</v>
      </c>
      <c r="I1623" s="12">
        <v>5.0</v>
      </c>
      <c r="J1623" s="6" t="s">
        <v>161</v>
      </c>
    </row>
    <row r="1624" ht="22.5" customHeight="1">
      <c r="A1624" s="6" t="s">
        <v>8257</v>
      </c>
      <c r="B1624" s="6" t="s">
        <v>4389</v>
      </c>
      <c r="C1624" s="10">
        <v>46084.0</v>
      </c>
      <c r="D1624" s="6" t="s">
        <v>391</v>
      </c>
      <c r="E1624" s="6" t="s">
        <v>1035</v>
      </c>
      <c r="F1624" s="6" t="s">
        <v>112</v>
      </c>
      <c r="G1624" s="6" t="s">
        <v>297</v>
      </c>
      <c r="H1624" s="10">
        <v>46085.0</v>
      </c>
      <c r="I1624" s="12">
        <v>6.0</v>
      </c>
      <c r="J1624" s="6" t="s">
        <v>161</v>
      </c>
    </row>
    <row r="1625" ht="22.5" customHeight="1">
      <c r="A1625" s="6" t="s">
        <v>8262</v>
      </c>
      <c r="B1625" s="6" t="s">
        <v>4389</v>
      </c>
      <c r="C1625" s="10">
        <v>46082.0</v>
      </c>
      <c r="D1625" s="6" t="s">
        <v>289</v>
      </c>
      <c r="E1625" s="6" t="s">
        <v>1310</v>
      </c>
      <c r="F1625" s="6" t="s">
        <v>249</v>
      </c>
      <c r="G1625" s="6" t="s">
        <v>494</v>
      </c>
      <c r="H1625" s="10">
        <v>46083.0</v>
      </c>
      <c r="I1625" s="12">
        <v>9.0</v>
      </c>
      <c r="J1625" s="6" t="s">
        <v>161</v>
      </c>
    </row>
    <row r="1626" ht="22.5" customHeight="1">
      <c r="A1626" s="6" t="s">
        <v>8266</v>
      </c>
      <c r="B1626" s="6" t="s">
        <v>4389</v>
      </c>
      <c r="C1626" s="10">
        <v>46067.0</v>
      </c>
      <c r="D1626" s="6" t="s">
        <v>391</v>
      </c>
      <c r="E1626" s="6" t="s">
        <v>885</v>
      </c>
      <c r="F1626" s="6" t="s">
        <v>439</v>
      </c>
      <c r="G1626" s="6" t="s">
        <v>326</v>
      </c>
      <c r="H1626" s="10">
        <v>46067.0</v>
      </c>
      <c r="I1626" s="12">
        <v>7.0</v>
      </c>
      <c r="J1626" s="6" t="s">
        <v>161</v>
      </c>
    </row>
    <row r="1627" ht="22.5" customHeight="1">
      <c r="A1627" s="6" t="s">
        <v>8272</v>
      </c>
      <c r="B1627" s="6" t="s">
        <v>4395</v>
      </c>
      <c r="C1627" s="10">
        <v>46051.0</v>
      </c>
      <c r="D1627" s="6" t="s">
        <v>677</v>
      </c>
      <c r="E1627" s="6" t="s">
        <v>512</v>
      </c>
      <c r="F1627" s="6" t="s">
        <v>439</v>
      </c>
      <c r="G1627" s="6" t="s">
        <v>494</v>
      </c>
      <c r="H1627" s="10">
        <v>46057.0</v>
      </c>
      <c r="I1627" s="12">
        <v>3.0</v>
      </c>
      <c r="J1627" s="6" t="s">
        <v>161</v>
      </c>
    </row>
    <row r="1628" ht="22.5" customHeight="1">
      <c r="A1628" s="6" t="s">
        <v>8276</v>
      </c>
      <c r="B1628" s="6" t="s">
        <v>4395</v>
      </c>
      <c r="C1628" s="10">
        <v>46042.0</v>
      </c>
      <c r="D1628" s="6" t="s">
        <v>677</v>
      </c>
      <c r="E1628" s="6" t="s">
        <v>896</v>
      </c>
      <c r="F1628" s="6" t="s">
        <v>249</v>
      </c>
      <c r="G1628" s="6" t="s">
        <v>452</v>
      </c>
      <c r="H1628" s="10">
        <v>46045.0</v>
      </c>
      <c r="I1628" s="12">
        <v>2.0</v>
      </c>
      <c r="J1628" s="6" t="s">
        <v>161</v>
      </c>
    </row>
    <row r="1629" ht="22.5" customHeight="1">
      <c r="A1629" s="6" t="s">
        <v>8281</v>
      </c>
      <c r="B1629" s="6" t="s">
        <v>4395</v>
      </c>
      <c r="C1629" s="10">
        <v>46050.0</v>
      </c>
      <c r="D1629" s="6" t="s">
        <v>289</v>
      </c>
      <c r="E1629" s="6" t="s">
        <v>812</v>
      </c>
      <c r="F1629" s="6" t="s">
        <v>439</v>
      </c>
      <c r="G1629" s="6" t="s">
        <v>297</v>
      </c>
      <c r="H1629" s="10">
        <v>46057.0</v>
      </c>
      <c r="I1629" s="12">
        <v>8.0</v>
      </c>
      <c r="J1629" s="6" t="s">
        <v>161</v>
      </c>
    </row>
    <row r="1630" ht="22.5" customHeight="1">
      <c r="A1630" s="6" t="s">
        <v>8285</v>
      </c>
      <c r="B1630" s="6" t="s">
        <v>4395</v>
      </c>
      <c r="C1630" s="10">
        <v>46044.0</v>
      </c>
      <c r="D1630" s="6" t="s">
        <v>242</v>
      </c>
      <c r="E1630" s="6" t="s">
        <v>320</v>
      </c>
      <c r="F1630" s="6" t="s">
        <v>249</v>
      </c>
      <c r="G1630" s="6" t="s">
        <v>494</v>
      </c>
      <c r="H1630" s="10">
        <v>46051.0</v>
      </c>
      <c r="I1630" s="12">
        <v>5.0</v>
      </c>
      <c r="J1630" s="6" t="s">
        <v>161</v>
      </c>
    </row>
    <row r="1631" ht="22.5" customHeight="1">
      <c r="A1631" s="6" t="s">
        <v>8291</v>
      </c>
      <c r="B1631" s="6" t="s">
        <v>4395</v>
      </c>
      <c r="C1631" s="10">
        <v>46053.0</v>
      </c>
      <c r="D1631" s="6" t="s">
        <v>677</v>
      </c>
      <c r="E1631" s="6" t="s">
        <v>775</v>
      </c>
      <c r="F1631" s="6" t="s">
        <v>112</v>
      </c>
      <c r="G1631" s="6" t="s">
        <v>369</v>
      </c>
      <c r="H1631" s="10">
        <v>46056.0</v>
      </c>
      <c r="I1631" s="12">
        <v>3.0</v>
      </c>
      <c r="J1631" s="6" t="s">
        <v>161</v>
      </c>
    </row>
    <row r="1632" ht="22.5" customHeight="1">
      <c r="A1632" s="6" t="s">
        <v>8294</v>
      </c>
      <c r="B1632" s="6" t="s">
        <v>4402</v>
      </c>
      <c r="C1632" s="10">
        <v>46068.0</v>
      </c>
      <c r="D1632" s="6" t="s">
        <v>677</v>
      </c>
      <c r="E1632" s="6" t="s">
        <v>1969</v>
      </c>
      <c r="F1632" s="6" t="s">
        <v>283</v>
      </c>
      <c r="G1632" s="6" t="s">
        <v>297</v>
      </c>
      <c r="H1632" s="10">
        <v>46068.0</v>
      </c>
      <c r="I1632" s="12">
        <v>3.0</v>
      </c>
      <c r="J1632" s="6" t="s">
        <v>161</v>
      </c>
    </row>
    <row r="1633" ht="22.5" customHeight="1">
      <c r="A1633" s="6" t="s">
        <v>8300</v>
      </c>
      <c r="B1633" s="6" t="s">
        <v>4402</v>
      </c>
      <c r="C1633" s="10">
        <v>46057.0</v>
      </c>
      <c r="D1633" s="6" t="s">
        <v>289</v>
      </c>
      <c r="E1633" s="6" t="s">
        <v>291</v>
      </c>
      <c r="F1633" s="6" t="s">
        <v>112</v>
      </c>
      <c r="G1633" s="6" t="s">
        <v>452</v>
      </c>
      <c r="H1633" s="10">
        <v>46064.0</v>
      </c>
      <c r="I1633" s="12">
        <v>5.0</v>
      </c>
      <c r="J1633" s="6" t="s">
        <v>161</v>
      </c>
    </row>
    <row r="1634" ht="22.5" customHeight="1">
      <c r="A1634" s="6" t="s">
        <v>8305</v>
      </c>
      <c r="B1634" s="6" t="s">
        <v>4402</v>
      </c>
      <c r="C1634" s="10">
        <v>46067.0</v>
      </c>
      <c r="D1634" s="6" t="s">
        <v>312</v>
      </c>
      <c r="E1634" s="6" t="s">
        <v>812</v>
      </c>
      <c r="F1634" s="6" t="s">
        <v>283</v>
      </c>
      <c r="G1634" s="6" t="s">
        <v>254</v>
      </c>
      <c r="H1634" s="10">
        <v>46067.0</v>
      </c>
      <c r="I1634" s="12">
        <v>7.0</v>
      </c>
      <c r="J1634" s="6" t="s">
        <v>161</v>
      </c>
    </row>
    <row r="1635" ht="22.5" customHeight="1">
      <c r="A1635" s="6" t="s">
        <v>8314</v>
      </c>
      <c r="B1635" s="6" t="s">
        <v>4402</v>
      </c>
      <c r="C1635" s="10">
        <v>46065.0</v>
      </c>
      <c r="D1635" s="6" t="s">
        <v>289</v>
      </c>
      <c r="E1635" s="6" t="s">
        <v>475</v>
      </c>
      <c r="F1635" s="6" t="s">
        <v>249</v>
      </c>
      <c r="G1635" s="6" t="s">
        <v>494</v>
      </c>
      <c r="H1635" s="10">
        <v>46065.0</v>
      </c>
      <c r="I1635" s="12">
        <v>9.0</v>
      </c>
      <c r="J1635" s="6" t="s">
        <v>161</v>
      </c>
    </row>
    <row r="1636" ht="22.5" customHeight="1">
      <c r="A1636" s="6" t="s">
        <v>8321</v>
      </c>
      <c r="B1636" s="6" t="s">
        <v>4402</v>
      </c>
      <c r="C1636" s="10">
        <v>46055.0</v>
      </c>
      <c r="D1636" s="6" t="s">
        <v>436</v>
      </c>
      <c r="E1636" s="6" t="s">
        <v>955</v>
      </c>
      <c r="F1636" s="6" t="s">
        <v>249</v>
      </c>
      <c r="G1636" s="6" t="s">
        <v>369</v>
      </c>
      <c r="H1636" s="10">
        <v>46059.0</v>
      </c>
      <c r="I1636" s="12">
        <v>10.0</v>
      </c>
      <c r="J1636" s="6" t="s">
        <v>161</v>
      </c>
    </row>
    <row r="1637" ht="22.5" customHeight="1">
      <c r="A1637" s="6" t="s">
        <v>8329</v>
      </c>
      <c r="B1637" s="6" t="s">
        <v>4408</v>
      </c>
      <c r="C1637" s="10">
        <v>46047.0</v>
      </c>
      <c r="D1637" s="6" t="s">
        <v>436</v>
      </c>
      <c r="E1637" s="6" t="s">
        <v>365</v>
      </c>
      <c r="F1637" s="6" t="s">
        <v>112</v>
      </c>
      <c r="G1637" s="6" t="s">
        <v>297</v>
      </c>
      <c r="H1637" s="10">
        <v>46050.0</v>
      </c>
      <c r="I1637" s="12">
        <v>11.0</v>
      </c>
      <c r="J1637" s="6" t="s">
        <v>161</v>
      </c>
    </row>
    <row r="1638" ht="22.5" customHeight="1">
      <c r="A1638" s="6" t="s">
        <v>8336</v>
      </c>
      <c r="B1638" s="6" t="s">
        <v>4408</v>
      </c>
      <c r="C1638" s="10">
        <v>46048.0</v>
      </c>
      <c r="D1638" s="6" t="s">
        <v>391</v>
      </c>
      <c r="E1638" s="6" t="s">
        <v>833</v>
      </c>
      <c r="F1638" s="6" t="s">
        <v>249</v>
      </c>
      <c r="G1638" s="6" t="s">
        <v>369</v>
      </c>
      <c r="H1638" s="10">
        <v>46054.0</v>
      </c>
      <c r="I1638" s="12">
        <v>8.0</v>
      </c>
      <c r="J1638" s="6" t="s">
        <v>161</v>
      </c>
    </row>
    <row r="1639" ht="22.5" customHeight="1">
      <c r="A1639" s="6" t="s">
        <v>8344</v>
      </c>
      <c r="B1639" s="6" t="s">
        <v>4408</v>
      </c>
      <c r="C1639" s="10">
        <v>46034.0</v>
      </c>
      <c r="D1639" s="6" t="s">
        <v>436</v>
      </c>
      <c r="E1639" s="6" t="s">
        <v>1280</v>
      </c>
      <c r="F1639" s="6" t="s">
        <v>439</v>
      </c>
      <c r="G1639" s="6" t="s">
        <v>369</v>
      </c>
      <c r="H1639" s="10">
        <v>46034.0</v>
      </c>
      <c r="I1639" s="12">
        <v>7.0</v>
      </c>
      <c r="J1639" s="6" t="s">
        <v>178</v>
      </c>
    </row>
    <row r="1640" ht="22.5" customHeight="1">
      <c r="A1640" s="6" t="s">
        <v>8350</v>
      </c>
      <c r="B1640" s="6" t="s">
        <v>4408</v>
      </c>
      <c r="C1640" s="10">
        <v>46051.0</v>
      </c>
      <c r="D1640" s="6" t="s">
        <v>677</v>
      </c>
      <c r="E1640" s="6" t="s">
        <v>1552</v>
      </c>
      <c r="F1640" s="6" t="s">
        <v>283</v>
      </c>
      <c r="G1640" s="6" t="s">
        <v>458</v>
      </c>
      <c r="H1640" s="10">
        <v>46054.0</v>
      </c>
      <c r="I1640" s="12">
        <v>2.0</v>
      </c>
      <c r="J1640" s="6" t="s">
        <v>161</v>
      </c>
    </row>
    <row r="1641" ht="22.5" customHeight="1">
      <c r="A1641" s="6" t="s">
        <v>8358</v>
      </c>
      <c r="B1641" s="6" t="s">
        <v>4408</v>
      </c>
      <c r="C1641" s="10">
        <v>46046.0</v>
      </c>
      <c r="D1641" s="6" t="s">
        <v>242</v>
      </c>
      <c r="E1641" s="6" t="s">
        <v>833</v>
      </c>
      <c r="F1641" s="6" t="s">
        <v>112</v>
      </c>
      <c r="G1641" s="6" t="s">
        <v>458</v>
      </c>
      <c r="H1641" s="11" t="s">
        <v>259</v>
      </c>
      <c r="I1641" s="12">
        <v>4.0</v>
      </c>
      <c r="J1641" s="6" t="s">
        <v>161</v>
      </c>
    </row>
    <row r="1642" ht="22.5" customHeight="1">
      <c r="A1642" s="6" t="s">
        <v>8365</v>
      </c>
      <c r="B1642" s="6" t="s">
        <v>4414</v>
      </c>
      <c r="C1642" s="10">
        <v>46071.0</v>
      </c>
      <c r="D1642" s="6" t="s">
        <v>677</v>
      </c>
      <c r="E1642" s="6" t="s">
        <v>417</v>
      </c>
      <c r="F1642" s="6" t="s">
        <v>112</v>
      </c>
      <c r="G1642" s="6" t="s">
        <v>452</v>
      </c>
      <c r="H1642" s="11" t="s">
        <v>259</v>
      </c>
      <c r="I1642" s="12">
        <v>4.0</v>
      </c>
      <c r="J1642" s="6" t="s">
        <v>161</v>
      </c>
    </row>
    <row r="1643" ht="22.5" customHeight="1">
      <c r="A1643" s="6" t="s">
        <v>8373</v>
      </c>
      <c r="B1643" s="6" t="s">
        <v>4414</v>
      </c>
      <c r="C1643" s="10">
        <v>46086.0</v>
      </c>
      <c r="D1643" s="6" t="s">
        <v>312</v>
      </c>
      <c r="E1643" s="6" t="s">
        <v>1720</v>
      </c>
      <c r="F1643" s="6" t="s">
        <v>439</v>
      </c>
      <c r="G1643" s="6" t="s">
        <v>369</v>
      </c>
      <c r="H1643" s="10">
        <v>46093.0</v>
      </c>
      <c r="I1643" s="12">
        <v>4.0</v>
      </c>
      <c r="J1643" s="6" t="s">
        <v>161</v>
      </c>
    </row>
    <row r="1644" ht="22.5" customHeight="1">
      <c r="A1644" s="6" t="s">
        <v>8384</v>
      </c>
      <c r="B1644" s="6" t="s">
        <v>4414</v>
      </c>
      <c r="C1644" s="10">
        <v>46072.0</v>
      </c>
      <c r="D1644" s="6" t="s">
        <v>677</v>
      </c>
      <c r="E1644" s="6" t="s">
        <v>1273</v>
      </c>
      <c r="F1644" s="6" t="s">
        <v>283</v>
      </c>
      <c r="G1644" s="6" t="s">
        <v>452</v>
      </c>
      <c r="H1644" s="10">
        <v>46076.0</v>
      </c>
      <c r="I1644" s="12">
        <v>3.0</v>
      </c>
      <c r="J1644" s="6" t="s">
        <v>161</v>
      </c>
    </row>
    <row r="1645" ht="22.5" customHeight="1">
      <c r="A1645" s="6" t="s">
        <v>8390</v>
      </c>
      <c r="B1645" s="6" t="s">
        <v>4414</v>
      </c>
      <c r="C1645" s="10">
        <v>46070.0</v>
      </c>
      <c r="D1645" s="6" t="s">
        <v>391</v>
      </c>
      <c r="E1645" s="6" t="s">
        <v>1102</v>
      </c>
      <c r="F1645" s="6" t="s">
        <v>283</v>
      </c>
      <c r="G1645" s="6" t="s">
        <v>458</v>
      </c>
      <c r="H1645" s="10">
        <v>46070.0</v>
      </c>
      <c r="I1645" s="12">
        <v>6.0</v>
      </c>
      <c r="J1645" s="6" t="s">
        <v>161</v>
      </c>
    </row>
    <row r="1646" ht="22.5" customHeight="1">
      <c r="A1646" s="6" t="s">
        <v>8396</v>
      </c>
      <c r="B1646" s="6" t="s">
        <v>4414</v>
      </c>
      <c r="C1646" s="10">
        <v>46072.0</v>
      </c>
      <c r="D1646" s="6" t="s">
        <v>436</v>
      </c>
      <c r="E1646" s="6" t="s">
        <v>1700</v>
      </c>
      <c r="F1646" s="6" t="s">
        <v>283</v>
      </c>
      <c r="G1646" s="6" t="s">
        <v>369</v>
      </c>
      <c r="H1646" s="10">
        <v>46079.0</v>
      </c>
      <c r="I1646" s="12">
        <v>11.0</v>
      </c>
      <c r="J1646" s="6" t="s">
        <v>178</v>
      </c>
    </row>
    <row r="1647" ht="22.5" customHeight="1">
      <c r="A1647" s="6" t="s">
        <v>8402</v>
      </c>
      <c r="B1647" s="6" t="s">
        <v>4419</v>
      </c>
      <c r="C1647" s="10">
        <v>46073.0</v>
      </c>
      <c r="D1647" s="6" t="s">
        <v>242</v>
      </c>
      <c r="E1647" s="6" t="s">
        <v>2365</v>
      </c>
      <c r="F1647" s="6" t="s">
        <v>439</v>
      </c>
      <c r="G1647" s="6" t="s">
        <v>477</v>
      </c>
      <c r="H1647" s="10">
        <v>46075.0</v>
      </c>
      <c r="I1647" s="12">
        <v>4.0</v>
      </c>
      <c r="J1647" s="6" t="s">
        <v>178</v>
      </c>
    </row>
    <row r="1648" ht="22.5" customHeight="1">
      <c r="A1648" s="6" t="s">
        <v>8408</v>
      </c>
      <c r="B1648" s="6" t="s">
        <v>4425</v>
      </c>
      <c r="C1648" s="10">
        <v>46037.0</v>
      </c>
      <c r="D1648" s="6" t="s">
        <v>312</v>
      </c>
      <c r="E1648" s="6" t="s">
        <v>1546</v>
      </c>
      <c r="F1648" s="6" t="s">
        <v>283</v>
      </c>
      <c r="G1648" s="6" t="s">
        <v>458</v>
      </c>
      <c r="H1648" s="10">
        <v>46043.0</v>
      </c>
      <c r="I1648" s="12">
        <v>7.0</v>
      </c>
      <c r="J1648" s="6" t="s">
        <v>161</v>
      </c>
    </row>
    <row r="1649" ht="22.5" customHeight="1">
      <c r="A1649" s="6" t="s">
        <v>8412</v>
      </c>
      <c r="B1649" s="6" t="s">
        <v>4425</v>
      </c>
      <c r="C1649" s="10">
        <v>46055.0</v>
      </c>
      <c r="D1649" s="6" t="s">
        <v>289</v>
      </c>
      <c r="E1649" s="6" t="s">
        <v>716</v>
      </c>
      <c r="F1649" s="6" t="s">
        <v>112</v>
      </c>
      <c r="G1649" s="6" t="s">
        <v>297</v>
      </c>
      <c r="H1649" s="10">
        <v>46059.0</v>
      </c>
      <c r="I1649" s="12">
        <v>8.0</v>
      </c>
      <c r="J1649" s="6" t="s">
        <v>161</v>
      </c>
    </row>
    <row r="1650" ht="22.5" customHeight="1">
      <c r="A1650" s="6" t="s">
        <v>8417</v>
      </c>
      <c r="B1650" s="6" t="s">
        <v>4425</v>
      </c>
      <c r="C1650" s="10">
        <v>46049.0</v>
      </c>
      <c r="D1650" s="6" t="s">
        <v>242</v>
      </c>
      <c r="E1650" s="6" t="s">
        <v>812</v>
      </c>
      <c r="F1650" s="6" t="s">
        <v>283</v>
      </c>
      <c r="G1650" s="6" t="s">
        <v>297</v>
      </c>
      <c r="H1650" s="10">
        <v>46055.0</v>
      </c>
      <c r="I1650" s="12">
        <v>6.0</v>
      </c>
      <c r="J1650" s="6" t="s">
        <v>161</v>
      </c>
    </row>
    <row r="1651" ht="22.5" customHeight="1">
      <c r="A1651" s="6" t="s">
        <v>8423</v>
      </c>
      <c r="B1651" s="6" t="s">
        <v>4425</v>
      </c>
      <c r="C1651" s="10">
        <v>46044.0</v>
      </c>
      <c r="D1651" s="6" t="s">
        <v>242</v>
      </c>
      <c r="E1651" s="6" t="s">
        <v>628</v>
      </c>
      <c r="F1651" s="6" t="s">
        <v>439</v>
      </c>
      <c r="G1651" s="6" t="s">
        <v>297</v>
      </c>
      <c r="H1651" s="11" t="s">
        <v>259</v>
      </c>
      <c r="I1651" s="12">
        <v>6.0</v>
      </c>
      <c r="J1651" s="6" t="s">
        <v>178</v>
      </c>
    </row>
    <row r="1652" ht="22.5" customHeight="1">
      <c r="A1652" s="6" t="s">
        <v>8432</v>
      </c>
      <c r="B1652" s="6" t="s">
        <v>4425</v>
      </c>
      <c r="C1652" s="10">
        <v>46056.0</v>
      </c>
      <c r="D1652" s="6" t="s">
        <v>312</v>
      </c>
      <c r="E1652" s="6" t="s">
        <v>634</v>
      </c>
      <c r="F1652" s="6" t="s">
        <v>112</v>
      </c>
      <c r="G1652" s="6" t="s">
        <v>369</v>
      </c>
      <c r="H1652" s="10">
        <v>46057.0</v>
      </c>
      <c r="I1652" s="12">
        <v>7.0</v>
      </c>
      <c r="J1652" s="6" t="s">
        <v>161</v>
      </c>
    </row>
    <row r="1653" ht="22.5" customHeight="1">
      <c r="A1653" s="6" t="s">
        <v>8438</v>
      </c>
      <c r="B1653" s="6" t="s">
        <v>4432</v>
      </c>
      <c r="C1653" s="10">
        <v>46053.0</v>
      </c>
      <c r="D1653" s="6" t="s">
        <v>436</v>
      </c>
      <c r="E1653" s="6" t="s">
        <v>438</v>
      </c>
      <c r="F1653" s="6" t="s">
        <v>283</v>
      </c>
      <c r="G1653" s="6" t="s">
        <v>369</v>
      </c>
      <c r="H1653" s="10">
        <v>46058.0</v>
      </c>
      <c r="I1653" s="12">
        <v>6.0</v>
      </c>
      <c r="J1653" s="6" t="s">
        <v>161</v>
      </c>
    </row>
    <row r="1654" ht="22.5" customHeight="1">
      <c r="A1654" s="6" t="s">
        <v>8445</v>
      </c>
      <c r="B1654" s="6" t="s">
        <v>4432</v>
      </c>
      <c r="C1654" s="10">
        <v>46054.0</v>
      </c>
      <c r="D1654" s="6" t="s">
        <v>436</v>
      </c>
      <c r="E1654" s="6" t="s">
        <v>365</v>
      </c>
      <c r="F1654" s="6" t="s">
        <v>439</v>
      </c>
      <c r="G1654" s="6" t="s">
        <v>254</v>
      </c>
      <c r="H1654" s="10">
        <v>46059.0</v>
      </c>
      <c r="I1654" s="12">
        <v>7.0</v>
      </c>
      <c r="J1654" s="6" t="s">
        <v>161</v>
      </c>
    </row>
    <row r="1655" ht="22.5" customHeight="1">
      <c r="A1655" s="6" t="s">
        <v>8452</v>
      </c>
      <c r="B1655" s="6" t="s">
        <v>4432</v>
      </c>
      <c r="C1655" s="10">
        <v>46045.0</v>
      </c>
      <c r="D1655" s="6" t="s">
        <v>312</v>
      </c>
      <c r="E1655" s="6" t="s">
        <v>320</v>
      </c>
      <c r="F1655" s="6" t="s">
        <v>439</v>
      </c>
      <c r="G1655" s="6" t="s">
        <v>458</v>
      </c>
      <c r="H1655" s="10">
        <v>46047.0</v>
      </c>
      <c r="I1655" s="12">
        <v>6.0</v>
      </c>
      <c r="J1655" s="6" t="s">
        <v>161</v>
      </c>
    </row>
    <row r="1656" ht="22.5" customHeight="1">
      <c r="A1656" s="6" t="s">
        <v>8459</v>
      </c>
      <c r="B1656" s="6" t="s">
        <v>4438</v>
      </c>
      <c r="C1656" s="10">
        <v>46079.0</v>
      </c>
      <c r="D1656" s="6" t="s">
        <v>391</v>
      </c>
      <c r="E1656" s="6" t="s">
        <v>450</v>
      </c>
      <c r="F1656" s="6" t="s">
        <v>112</v>
      </c>
      <c r="G1656" s="6" t="s">
        <v>297</v>
      </c>
      <c r="H1656" s="10">
        <v>46086.0</v>
      </c>
      <c r="I1656" s="12">
        <v>6.0</v>
      </c>
      <c r="J1656" s="6" t="s">
        <v>161</v>
      </c>
    </row>
    <row r="1657" ht="22.5" customHeight="1">
      <c r="A1657" s="6" t="s">
        <v>8465</v>
      </c>
      <c r="B1657" s="6" t="s">
        <v>4438</v>
      </c>
      <c r="C1657" s="10">
        <v>46065.0</v>
      </c>
      <c r="D1657" s="6" t="s">
        <v>242</v>
      </c>
      <c r="E1657" s="6" t="s">
        <v>1517</v>
      </c>
      <c r="F1657" s="6" t="s">
        <v>439</v>
      </c>
      <c r="G1657" s="6" t="s">
        <v>494</v>
      </c>
      <c r="H1657" s="10">
        <v>46067.0</v>
      </c>
      <c r="I1657" s="12">
        <v>3.0</v>
      </c>
      <c r="J1657" s="6" t="s">
        <v>178</v>
      </c>
    </row>
    <row r="1658" ht="22.5" customHeight="1">
      <c r="A1658" s="6" t="s">
        <v>8469</v>
      </c>
      <c r="B1658" s="6" t="s">
        <v>4438</v>
      </c>
      <c r="C1658" s="10">
        <v>46074.0</v>
      </c>
      <c r="D1658" s="6" t="s">
        <v>416</v>
      </c>
      <c r="E1658" s="6" t="s">
        <v>775</v>
      </c>
      <c r="F1658" s="6" t="s">
        <v>283</v>
      </c>
      <c r="G1658" s="6" t="s">
        <v>452</v>
      </c>
      <c r="H1658" s="10">
        <v>46076.0</v>
      </c>
      <c r="I1658" s="12">
        <v>11.0</v>
      </c>
      <c r="J1658" s="6" t="s">
        <v>161</v>
      </c>
    </row>
    <row r="1659" ht="22.5" customHeight="1">
      <c r="A1659" s="6" t="s">
        <v>8474</v>
      </c>
      <c r="B1659" s="6" t="s">
        <v>4445</v>
      </c>
      <c r="C1659" s="10">
        <v>46074.0</v>
      </c>
      <c r="D1659" s="6" t="s">
        <v>677</v>
      </c>
      <c r="E1659" s="6" t="s">
        <v>634</v>
      </c>
      <c r="F1659" s="6" t="s">
        <v>283</v>
      </c>
      <c r="G1659" s="6" t="s">
        <v>369</v>
      </c>
      <c r="H1659" s="10">
        <v>46077.0</v>
      </c>
      <c r="I1659" s="12">
        <v>2.0</v>
      </c>
      <c r="J1659" s="6" t="s">
        <v>161</v>
      </c>
    </row>
    <row r="1660" ht="22.5" customHeight="1">
      <c r="A1660" s="6" t="s">
        <v>8479</v>
      </c>
      <c r="B1660" s="6" t="s">
        <v>4445</v>
      </c>
      <c r="C1660" s="10">
        <v>46072.0</v>
      </c>
      <c r="D1660" s="6" t="s">
        <v>391</v>
      </c>
      <c r="E1660" s="6" t="s">
        <v>1386</v>
      </c>
      <c r="F1660" s="6" t="s">
        <v>112</v>
      </c>
      <c r="G1660" s="6" t="s">
        <v>452</v>
      </c>
      <c r="H1660" s="10">
        <v>46074.0</v>
      </c>
      <c r="I1660" s="12">
        <v>10.0</v>
      </c>
      <c r="J1660" s="6" t="s">
        <v>161</v>
      </c>
    </row>
    <row r="1661" ht="22.5" customHeight="1">
      <c r="A1661" s="6" t="s">
        <v>8486</v>
      </c>
      <c r="B1661" s="6" t="s">
        <v>4445</v>
      </c>
      <c r="C1661" s="10">
        <v>46071.0</v>
      </c>
      <c r="D1661" s="6" t="s">
        <v>677</v>
      </c>
      <c r="E1661" s="6" t="s">
        <v>1700</v>
      </c>
      <c r="F1661" s="6" t="s">
        <v>283</v>
      </c>
      <c r="G1661" s="6" t="s">
        <v>254</v>
      </c>
      <c r="H1661" s="10">
        <v>46073.0</v>
      </c>
      <c r="I1661" s="12">
        <v>3.0</v>
      </c>
      <c r="J1661" s="6" t="s">
        <v>161</v>
      </c>
    </row>
    <row r="1662" ht="22.5" customHeight="1">
      <c r="A1662" s="6" t="s">
        <v>8491</v>
      </c>
      <c r="B1662" s="6" t="s">
        <v>4445</v>
      </c>
      <c r="C1662" s="10">
        <v>46061.0</v>
      </c>
      <c r="D1662" s="6" t="s">
        <v>312</v>
      </c>
      <c r="E1662" s="6" t="s">
        <v>1969</v>
      </c>
      <c r="F1662" s="6" t="s">
        <v>249</v>
      </c>
      <c r="G1662" s="6" t="s">
        <v>254</v>
      </c>
      <c r="H1662" s="11" t="s">
        <v>259</v>
      </c>
      <c r="I1662" s="12">
        <v>6.0</v>
      </c>
      <c r="J1662" s="6" t="s">
        <v>161</v>
      </c>
    </row>
    <row r="1663" ht="22.5" customHeight="1">
      <c r="A1663" s="6" t="s">
        <v>8497</v>
      </c>
      <c r="B1663" s="6" t="s">
        <v>4451</v>
      </c>
      <c r="C1663" s="10">
        <v>46075.0</v>
      </c>
      <c r="D1663" s="6" t="s">
        <v>416</v>
      </c>
      <c r="E1663" s="6" t="s">
        <v>365</v>
      </c>
      <c r="F1663" s="6" t="s">
        <v>249</v>
      </c>
      <c r="G1663" s="6" t="s">
        <v>494</v>
      </c>
      <c r="H1663" s="10">
        <v>46077.0</v>
      </c>
      <c r="I1663" s="12">
        <v>11.0</v>
      </c>
      <c r="J1663" s="6" t="s">
        <v>161</v>
      </c>
    </row>
    <row r="1664" ht="22.5" customHeight="1">
      <c r="A1664" s="6" t="s">
        <v>8504</v>
      </c>
      <c r="B1664" s="6" t="s">
        <v>4451</v>
      </c>
      <c r="C1664" s="10">
        <v>46071.0</v>
      </c>
      <c r="D1664" s="6" t="s">
        <v>677</v>
      </c>
      <c r="E1664" s="6" t="s">
        <v>1600</v>
      </c>
      <c r="F1664" s="6" t="s">
        <v>283</v>
      </c>
      <c r="G1664" s="6" t="s">
        <v>254</v>
      </c>
      <c r="H1664" s="10">
        <v>46074.0</v>
      </c>
      <c r="I1664" s="12">
        <v>2.0</v>
      </c>
      <c r="J1664" s="6" t="s">
        <v>161</v>
      </c>
    </row>
    <row r="1665" ht="22.5" customHeight="1">
      <c r="A1665" s="6" t="s">
        <v>8512</v>
      </c>
      <c r="B1665" s="6" t="s">
        <v>4451</v>
      </c>
      <c r="C1665" s="10">
        <v>46064.0</v>
      </c>
      <c r="D1665" s="6" t="s">
        <v>436</v>
      </c>
      <c r="E1665" s="6" t="s">
        <v>1969</v>
      </c>
      <c r="F1665" s="6" t="s">
        <v>283</v>
      </c>
      <c r="G1665" s="6" t="s">
        <v>452</v>
      </c>
      <c r="H1665" s="10">
        <v>46067.0</v>
      </c>
      <c r="I1665" s="12">
        <v>9.0</v>
      </c>
      <c r="J1665" s="6" t="s">
        <v>178</v>
      </c>
    </row>
    <row r="1666" ht="22.5" customHeight="1">
      <c r="A1666" s="6" t="s">
        <v>8518</v>
      </c>
      <c r="B1666" s="6" t="s">
        <v>4451</v>
      </c>
      <c r="C1666" s="10">
        <v>46063.0</v>
      </c>
      <c r="D1666" s="6" t="s">
        <v>416</v>
      </c>
      <c r="E1666" s="6" t="s">
        <v>1386</v>
      </c>
      <c r="F1666" s="6" t="s">
        <v>249</v>
      </c>
      <c r="G1666" s="6" t="s">
        <v>477</v>
      </c>
      <c r="H1666" s="10">
        <v>46065.0</v>
      </c>
      <c r="I1666" s="12">
        <v>11.0</v>
      </c>
      <c r="J1666" s="6" t="s">
        <v>161</v>
      </c>
    </row>
    <row r="1667" ht="22.5" customHeight="1">
      <c r="A1667" s="6" t="s">
        <v>8526</v>
      </c>
      <c r="B1667" s="6" t="s">
        <v>4457</v>
      </c>
      <c r="C1667" s="10">
        <v>46040.0</v>
      </c>
      <c r="D1667" s="6" t="s">
        <v>416</v>
      </c>
      <c r="E1667" s="6" t="s">
        <v>1296</v>
      </c>
      <c r="F1667" s="6" t="s">
        <v>112</v>
      </c>
      <c r="G1667" s="6" t="s">
        <v>494</v>
      </c>
      <c r="H1667" s="10">
        <v>46041.0</v>
      </c>
      <c r="I1667" s="12">
        <v>11.0</v>
      </c>
      <c r="J1667" s="6" t="s">
        <v>161</v>
      </c>
    </row>
    <row r="1668" ht="22.5" customHeight="1">
      <c r="A1668" s="6" t="s">
        <v>8534</v>
      </c>
      <c r="B1668" s="6" t="s">
        <v>4457</v>
      </c>
      <c r="C1668" s="10">
        <v>46044.0</v>
      </c>
      <c r="D1668" s="6" t="s">
        <v>436</v>
      </c>
      <c r="E1668" s="6" t="s">
        <v>475</v>
      </c>
      <c r="F1668" s="6" t="s">
        <v>249</v>
      </c>
      <c r="G1668" s="6" t="s">
        <v>326</v>
      </c>
      <c r="H1668" s="10">
        <v>46044.0</v>
      </c>
      <c r="I1668" s="12">
        <v>7.0</v>
      </c>
      <c r="J1668" s="6" t="s">
        <v>178</v>
      </c>
    </row>
    <row r="1669" ht="22.5" customHeight="1">
      <c r="A1669" s="6" t="s">
        <v>8541</v>
      </c>
      <c r="B1669" s="6" t="s">
        <v>4457</v>
      </c>
      <c r="C1669" s="10">
        <v>46026.0</v>
      </c>
      <c r="D1669" s="6" t="s">
        <v>436</v>
      </c>
      <c r="E1669" s="6" t="s">
        <v>704</v>
      </c>
      <c r="F1669" s="6" t="s">
        <v>112</v>
      </c>
      <c r="G1669" s="6" t="s">
        <v>369</v>
      </c>
      <c r="H1669" s="11" t="s">
        <v>259</v>
      </c>
      <c r="I1669" s="12">
        <v>10.0</v>
      </c>
      <c r="J1669" s="6" t="s">
        <v>178</v>
      </c>
    </row>
    <row r="1670" ht="22.5" customHeight="1">
      <c r="A1670" s="6" t="s">
        <v>8548</v>
      </c>
      <c r="B1670" s="6" t="s">
        <v>4457</v>
      </c>
      <c r="C1670" s="10">
        <v>46028.0</v>
      </c>
      <c r="D1670" s="6" t="s">
        <v>416</v>
      </c>
      <c r="E1670" s="6" t="s">
        <v>1386</v>
      </c>
      <c r="F1670" s="6" t="s">
        <v>249</v>
      </c>
      <c r="G1670" s="6" t="s">
        <v>297</v>
      </c>
      <c r="H1670" s="10">
        <v>46029.0</v>
      </c>
      <c r="I1670" s="12">
        <v>9.0</v>
      </c>
      <c r="J1670" s="6" t="s">
        <v>161</v>
      </c>
    </row>
    <row r="1671" ht="22.5" customHeight="1">
      <c r="A1671" s="6" t="s">
        <v>8555</v>
      </c>
      <c r="B1671" s="6" t="s">
        <v>4463</v>
      </c>
      <c r="C1671" s="10">
        <v>46049.0</v>
      </c>
      <c r="D1671" s="6" t="s">
        <v>242</v>
      </c>
      <c r="E1671" s="6" t="s">
        <v>687</v>
      </c>
      <c r="F1671" s="6" t="s">
        <v>112</v>
      </c>
      <c r="G1671" s="6" t="s">
        <v>458</v>
      </c>
      <c r="H1671" s="10">
        <v>46050.0</v>
      </c>
      <c r="I1671" s="12">
        <v>5.0</v>
      </c>
      <c r="J1671" s="6" t="s">
        <v>178</v>
      </c>
    </row>
    <row r="1672" ht="22.5" customHeight="1">
      <c r="A1672" s="6" t="s">
        <v>8564</v>
      </c>
      <c r="B1672" s="6" t="s">
        <v>4463</v>
      </c>
      <c r="C1672" s="10">
        <v>46065.0</v>
      </c>
      <c r="D1672" s="6" t="s">
        <v>677</v>
      </c>
      <c r="E1672" s="6" t="s">
        <v>1600</v>
      </c>
      <c r="F1672" s="6" t="s">
        <v>439</v>
      </c>
      <c r="G1672" s="6" t="s">
        <v>326</v>
      </c>
      <c r="H1672" s="10">
        <v>46067.0</v>
      </c>
      <c r="I1672" s="12">
        <v>2.0</v>
      </c>
      <c r="J1672" s="6" t="s">
        <v>161</v>
      </c>
    </row>
    <row r="1673" ht="22.5" customHeight="1">
      <c r="A1673" s="6" t="s">
        <v>8572</v>
      </c>
      <c r="B1673" s="6" t="s">
        <v>4463</v>
      </c>
      <c r="C1673" s="10">
        <v>46050.0</v>
      </c>
      <c r="D1673" s="6" t="s">
        <v>289</v>
      </c>
      <c r="E1673" s="6" t="s">
        <v>1570</v>
      </c>
      <c r="F1673" s="6" t="s">
        <v>283</v>
      </c>
      <c r="G1673" s="6" t="s">
        <v>452</v>
      </c>
      <c r="H1673" s="10">
        <v>46056.0</v>
      </c>
      <c r="I1673" s="12">
        <v>8.0</v>
      </c>
      <c r="J1673" s="6" t="s">
        <v>161</v>
      </c>
    </row>
    <row r="1674" ht="22.5" customHeight="1">
      <c r="A1674" s="6" t="s">
        <v>8578</v>
      </c>
      <c r="B1674" s="6" t="s">
        <v>4469</v>
      </c>
      <c r="C1674" s="10">
        <v>46047.0</v>
      </c>
      <c r="D1674" s="6" t="s">
        <v>436</v>
      </c>
      <c r="E1674" s="6" t="s">
        <v>1035</v>
      </c>
      <c r="F1674" s="6" t="s">
        <v>283</v>
      </c>
      <c r="G1674" s="6" t="s">
        <v>254</v>
      </c>
      <c r="H1674" s="10">
        <v>46054.0</v>
      </c>
      <c r="I1674" s="12">
        <v>10.0</v>
      </c>
      <c r="J1674" s="6" t="s">
        <v>161</v>
      </c>
    </row>
    <row r="1675" ht="22.5" customHeight="1">
      <c r="A1675" s="6" t="s">
        <v>8587</v>
      </c>
      <c r="B1675" s="6" t="s">
        <v>4469</v>
      </c>
      <c r="C1675" s="10">
        <v>46043.0</v>
      </c>
      <c r="D1675" s="6" t="s">
        <v>436</v>
      </c>
      <c r="E1675" s="6" t="s">
        <v>1070</v>
      </c>
      <c r="F1675" s="6" t="s">
        <v>439</v>
      </c>
      <c r="G1675" s="6" t="s">
        <v>477</v>
      </c>
      <c r="H1675" s="10">
        <v>46046.0</v>
      </c>
      <c r="I1675" s="12">
        <v>10.0</v>
      </c>
      <c r="J1675" s="6" t="s">
        <v>178</v>
      </c>
    </row>
    <row r="1676" ht="22.5" customHeight="1">
      <c r="A1676" s="6" t="s">
        <v>8593</v>
      </c>
      <c r="B1676" s="6" t="s">
        <v>4469</v>
      </c>
      <c r="C1676" s="10">
        <v>46051.0</v>
      </c>
      <c r="D1676" s="6" t="s">
        <v>416</v>
      </c>
      <c r="E1676" s="6" t="s">
        <v>704</v>
      </c>
      <c r="F1676" s="6" t="s">
        <v>249</v>
      </c>
      <c r="G1676" s="6" t="s">
        <v>297</v>
      </c>
      <c r="H1676" s="10">
        <v>46053.0</v>
      </c>
      <c r="I1676" s="12">
        <v>8.0</v>
      </c>
      <c r="J1676" s="6" t="s">
        <v>161</v>
      </c>
    </row>
    <row r="1677" ht="22.5" customHeight="1">
      <c r="A1677" s="6" t="s">
        <v>8600</v>
      </c>
      <c r="B1677" s="6" t="s">
        <v>4469</v>
      </c>
      <c r="C1677" s="10">
        <v>46045.0</v>
      </c>
      <c r="D1677" s="6" t="s">
        <v>416</v>
      </c>
      <c r="E1677" s="6" t="s">
        <v>896</v>
      </c>
      <c r="F1677" s="6" t="s">
        <v>283</v>
      </c>
      <c r="G1677" s="6" t="s">
        <v>254</v>
      </c>
      <c r="H1677" s="10">
        <v>46046.0</v>
      </c>
      <c r="I1677" s="12">
        <v>8.0</v>
      </c>
      <c r="J1677" s="6" t="s">
        <v>161</v>
      </c>
    </row>
    <row r="1678" ht="22.5" customHeight="1">
      <c r="A1678" s="6" t="s">
        <v>8607</v>
      </c>
      <c r="B1678" s="6" t="s">
        <v>4475</v>
      </c>
      <c r="C1678" s="10">
        <v>46050.0</v>
      </c>
      <c r="D1678" s="6" t="s">
        <v>391</v>
      </c>
      <c r="E1678" s="6" t="s">
        <v>658</v>
      </c>
      <c r="F1678" s="6" t="s">
        <v>249</v>
      </c>
      <c r="G1678" s="6" t="s">
        <v>477</v>
      </c>
      <c r="H1678" s="10">
        <v>46052.0</v>
      </c>
      <c r="I1678" s="12">
        <v>7.0</v>
      </c>
      <c r="J1678" s="6" t="s">
        <v>161</v>
      </c>
    </row>
    <row r="1679" ht="22.5" customHeight="1">
      <c r="A1679" s="6" t="s">
        <v>8614</v>
      </c>
      <c r="B1679" s="6" t="s">
        <v>4475</v>
      </c>
      <c r="C1679" s="10">
        <v>46053.0</v>
      </c>
      <c r="D1679" s="6" t="s">
        <v>436</v>
      </c>
      <c r="E1679" s="6" t="s">
        <v>610</v>
      </c>
      <c r="F1679" s="6" t="s">
        <v>283</v>
      </c>
      <c r="G1679" s="6" t="s">
        <v>326</v>
      </c>
      <c r="H1679" s="10">
        <v>46053.0</v>
      </c>
      <c r="I1679" s="12">
        <v>11.0</v>
      </c>
      <c r="J1679" s="6" t="s">
        <v>178</v>
      </c>
    </row>
    <row r="1680" ht="22.5" customHeight="1">
      <c r="A1680" s="6" t="s">
        <v>8619</v>
      </c>
      <c r="B1680" s="6" t="s">
        <v>4475</v>
      </c>
      <c r="C1680" s="10">
        <v>46049.0</v>
      </c>
      <c r="D1680" s="6" t="s">
        <v>391</v>
      </c>
      <c r="E1680" s="6" t="s">
        <v>1700</v>
      </c>
      <c r="F1680" s="6" t="s">
        <v>283</v>
      </c>
      <c r="G1680" s="6" t="s">
        <v>297</v>
      </c>
      <c r="H1680" s="10">
        <v>46052.0</v>
      </c>
      <c r="I1680" s="12">
        <v>6.0</v>
      </c>
      <c r="J1680" s="6" t="s">
        <v>161</v>
      </c>
    </row>
    <row r="1681" ht="22.5" customHeight="1">
      <c r="A1681" s="6" t="s">
        <v>8623</v>
      </c>
      <c r="B1681" s="6" t="s">
        <v>4475</v>
      </c>
      <c r="C1681" s="10">
        <v>46062.0</v>
      </c>
      <c r="D1681" s="6" t="s">
        <v>436</v>
      </c>
      <c r="E1681" s="6" t="s">
        <v>1600</v>
      </c>
      <c r="F1681" s="6" t="s">
        <v>439</v>
      </c>
      <c r="G1681" s="6" t="s">
        <v>326</v>
      </c>
      <c r="H1681" s="10">
        <v>46062.0</v>
      </c>
      <c r="I1681" s="12">
        <v>7.0</v>
      </c>
      <c r="J1681" s="6" t="s">
        <v>161</v>
      </c>
    </row>
    <row r="1682" ht="22.5" customHeight="1">
      <c r="A1682" s="6" t="s">
        <v>8627</v>
      </c>
      <c r="B1682" s="6" t="s">
        <v>4482</v>
      </c>
      <c r="C1682" s="10">
        <v>46060.0</v>
      </c>
      <c r="D1682" s="6" t="s">
        <v>289</v>
      </c>
      <c r="E1682" s="6" t="s">
        <v>1600</v>
      </c>
      <c r="F1682" s="6" t="s">
        <v>439</v>
      </c>
      <c r="G1682" s="6" t="s">
        <v>326</v>
      </c>
      <c r="H1682" s="10">
        <v>46066.0</v>
      </c>
      <c r="I1682" s="12">
        <v>10.0</v>
      </c>
      <c r="J1682" s="6" t="s">
        <v>161</v>
      </c>
    </row>
    <row r="1683" ht="22.5" customHeight="1">
      <c r="A1683" s="6" t="s">
        <v>8635</v>
      </c>
      <c r="B1683" s="6" t="s">
        <v>4482</v>
      </c>
      <c r="C1683" s="10">
        <v>46054.0</v>
      </c>
      <c r="D1683" s="6" t="s">
        <v>677</v>
      </c>
      <c r="E1683" s="6" t="s">
        <v>1102</v>
      </c>
      <c r="F1683" s="6" t="s">
        <v>439</v>
      </c>
      <c r="G1683" s="6" t="s">
        <v>254</v>
      </c>
      <c r="H1683" s="10">
        <v>46056.0</v>
      </c>
      <c r="I1683" s="12">
        <v>2.0</v>
      </c>
      <c r="J1683" s="6" t="s">
        <v>161</v>
      </c>
    </row>
    <row r="1684" ht="22.5" customHeight="1">
      <c r="A1684" s="6" t="s">
        <v>8639</v>
      </c>
      <c r="B1684" s="6" t="s">
        <v>4488</v>
      </c>
      <c r="C1684" s="10">
        <v>46042.0</v>
      </c>
      <c r="D1684" s="6" t="s">
        <v>242</v>
      </c>
      <c r="E1684" s="6" t="s">
        <v>812</v>
      </c>
      <c r="F1684" s="6" t="s">
        <v>249</v>
      </c>
      <c r="G1684" s="6" t="s">
        <v>369</v>
      </c>
      <c r="H1684" s="10">
        <v>46043.0</v>
      </c>
      <c r="I1684" s="12">
        <v>3.0</v>
      </c>
      <c r="J1684" s="6" t="s">
        <v>161</v>
      </c>
    </row>
    <row r="1685" ht="22.5" customHeight="1">
      <c r="A1685" s="6" t="s">
        <v>8644</v>
      </c>
      <c r="B1685" s="6" t="s">
        <v>4494</v>
      </c>
      <c r="C1685" s="10">
        <v>46047.0</v>
      </c>
      <c r="D1685" s="6" t="s">
        <v>242</v>
      </c>
      <c r="E1685" s="6" t="s">
        <v>1122</v>
      </c>
      <c r="F1685" s="6" t="s">
        <v>283</v>
      </c>
      <c r="G1685" s="6" t="s">
        <v>458</v>
      </c>
      <c r="H1685" s="10">
        <v>46049.0</v>
      </c>
      <c r="I1685" s="12">
        <v>5.0</v>
      </c>
      <c r="J1685" s="6" t="s">
        <v>161</v>
      </c>
    </row>
    <row r="1686" ht="22.5" customHeight="1">
      <c r="A1686" s="6" t="s">
        <v>8650</v>
      </c>
      <c r="B1686" s="6" t="s">
        <v>4494</v>
      </c>
      <c r="C1686" s="10">
        <v>46028.0</v>
      </c>
      <c r="D1686" s="6" t="s">
        <v>391</v>
      </c>
      <c r="E1686" s="6" t="s">
        <v>466</v>
      </c>
      <c r="F1686" s="6" t="s">
        <v>283</v>
      </c>
      <c r="G1686" s="6" t="s">
        <v>477</v>
      </c>
      <c r="H1686" s="10">
        <v>46031.0</v>
      </c>
      <c r="I1686" s="12">
        <v>7.0</v>
      </c>
      <c r="J1686" s="6" t="s">
        <v>161</v>
      </c>
    </row>
    <row r="1687" ht="22.5" customHeight="1">
      <c r="A1687" s="6" t="s">
        <v>8656</v>
      </c>
      <c r="B1687" s="6" t="s">
        <v>4494</v>
      </c>
      <c r="C1687" s="10">
        <v>46045.0</v>
      </c>
      <c r="D1687" s="6" t="s">
        <v>416</v>
      </c>
      <c r="E1687" s="6" t="s">
        <v>1741</v>
      </c>
      <c r="F1687" s="6" t="s">
        <v>283</v>
      </c>
      <c r="G1687" s="6" t="s">
        <v>477</v>
      </c>
      <c r="H1687" s="11" t="s">
        <v>259</v>
      </c>
      <c r="I1687" s="12">
        <v>13.0</v>
      </c>
      <c r="J1687" s="6" t="s">
        <v>161</v>
      </c>
    </row>
    <row r="1688" ht="22.5" customHeight="1">
      <c r="A1688" s="6" t="s">
        <v>8665</v>
      </c>
      <c r="B1688" s="6" t="s">
        <v>4500</v>
      </c>
      <c r="C1688" s="10">
        <v>46030.0</v>
      </c>
      <c r="D1688" s="6" t="s">
        <v>312</v>
      </c>
      <c r="E1688" s="6" t="s">
        <v>687</v>
      </c>
      <c r="F1688" s="6" t="s">
        <v>249</v>
      </c>
      <c r="G1688" s="6" t="s">
        <v>494</v>
      </c>
      <c r="H1688" s="11" t="s">
        <v>259</v>
      </c>
      <c r="I1688" s="12">
        <v>5.0</v>
      </c>
      <c r="J1688" s="6" t="s">
        <v>161</v>
      </c>
    </row>
    <row r="1689" ht="22.5" customHeight="1">
      <c r="A1689" s="6" t="s">
        <v>8668</v>
      </c>
      <c r="B1689" s="6" t="s">
        <v>4500</v>
      </c>
      <c r="C1689" s="10">
        <v>46037.0</v>
      </c>
      <c r="D1689" s="6" t="s">
        <v>416</v>
      </c>
      <c r="E1689" s="6" t="s">
        <v>1570</v>
      </c>
      <c r="F1689" s="6" t="s">
        <v>249</v>
      </c>
      <c r="G1689" s="6" t="s">
        <v>297</v>
      </c>
      <c r="H1689" s="10">
        <v>46040.0</v>
      </c>
      <c r="I1689" s="12">
        <v>13.0</v>
      </c>
      <c r="J1689" s="6" t="s">
        <v>161</v>
      </c>
    </row>
    <row r="1690" ht="22.5" customHeight="1">
      <c r="A1690" s="6" t="s">
        <v>8672</v>
      </c>
      <c r="B1690" s="6" t="s">
        <v>4500</v>
      </c>
      <c r="C1690" s="10">
        <v>46031.0</v>
      </c>
      <c r="D1690" s="6" t="s">
        <v>312</v>
      </c>
      <c r="E1690" s="6" t="s">
        <v>798</v>
      </c>
      <c r="F1690" s="6" t="s">
        <v>283</v>
      </c>
      <c r="G1690" s="6" t="s">
        <v>369</v>
      </c>
      <c r="H1690" s="10">
        <v>46036.0</v>
      </c>
      <c r="I1690" s="12">
        <v>7.0</v>
      </c>
      <c r="J1690" s="6" t="s">
        <v>161</v>
      </c>
    </row>
    <row r="1691" ht="22.5" customHeight="1">
      <c r="A1691" s="6" t="s">
        <v>8678</v>
      </c>
      <c r="B1691" s="6" t="s">
        <v>4506</v>
      </c>
      <c r="C1691" s="10">
        <v>46049.0</v>
      </c>
      <c r="D1691" s="6" t="s">
        <v>312</v>
      </c>
      <c r="E1691" s="6" t="s">
        <v>566</v>
      </c>
      <c r="F1691" s="6" t="s">
        <v>283</v>
      </c>
      <c r="G1691" s="6" t="s">
        <v>452</v>
      </c>
      <c r="H1691" s="10">
        <v>46056.0</v>
      </c>
      <c r="I1691" s="12">
        <v>4.0</v>
      </c>
      <c r="J1691" s="6" t="s">
        <v>161</v>
      </c>
    </row>
    <row r="1692" ht="22.5" customHeight="1">
      <c r="A1692" s="6" t="s">
        <v>8681</v>
      </c>
      <c r="B1692" s="6" t="s">
        <v>4506</v>
      </c>
      <c r="C1692" s="10">
        <v>46035.0</v>
      </c>
      <c r="D1692" s="6" t="s">
        <v>391</v>
      </c>
      <c r="E1692" s="6" t="s">
        <v>885</v>
      </c>
      <c r="F1692" s="6" t="s">
        <v>439</v>
      </c>
      <c r="G1692" s="6" t="s">
        <v>452</v>
      </c>
      <c r="H1692" s="10">
        <v>46035.0</v>
      </c>
      <c r="I1692" s="12">
        <v>10.0</v>
      </c>
      <c r="J1692" s="6" t="s">
        <v>161</v>
      </c>
    </row>
    <row r="1693" ht="22.5" customHeight="1">
      <c r="A1693" s="6" t="s">
        <v>8685</v>
      </c>
      <c r="B1693" s="6" t="s">
        <v>4506</v>
      </c>
      <c r="C1693" s="10">
        <v>46032.0</v>
      </c>
      <c r="D1693" s="6" t="s">
        <v>391</v>
      </c>
      <c r="E1693" s="6" t="s">
        <v>863</v>
      </c>
      <c r="F1693" s="6" t="s">
        <v>283</v>
      </c>
      <c r="G1693" s="6" t="s">
        <v>297</v>
      </c>
      <c r="H1693" s="10">
        <v>46033.0</v>
      </c>
      <c r="I1693" s="12">
        <v>8.0</v>
      </c>
      <c r="J1693" s="6" t="s">
        <v>161</v>
      </c>
    </row>
    <row r="1694" ht="22.5" customHeight="1">
      <c r="A1694" s="6" t="s">
        <v>8691</v>
      </c>
      <c r="B1694" s="6" t="s">
        <v>4506</v>
      </c>
      <c r="C1694" s="10">
        <v>46035.0</v>
      </c>
      <c r="D1694" s="6" t="s">
        <v>391</v>
      </c>
      <c r="E1694" s="6" t="s">
        <v>417</v>
      </c>
      <c r="F1694" s="6" t="s">
        <v>112</v>
      </c>
      <c r="G1694" s="6" t="s">
        <v>494</v>
      </c>
      <c r="H1694" s="10">
        <v>46042.0</v>
      </c>
      <c r="I1694" s="12">
        <v>7.0</v>
      </c>
      <c r="J1694" s="6" t="s">
        <v>161</v>
      </c>
    </row>
    <row r="1695" ht="22.5" customHeight="1">
      <c r="A1695" s="6" t="s">
        <v>8697</v>
      </c>
      <c r="B1695" s="6" t="s">
        <v>4506</v>
      </c>
      <c r="C1695" s="10">
        <v>46047.0</v>
      </c>
      <c r="D1695" s="6" t="s">
        <v>312</v>
      </c>
      <c r="E1695" s="6" t="s">
        <v>1720</v>
      </c>
      <c r="F1695" s="6" t="s">
        <v>439</v>
      </c>
      <c r="G1695" s="6" t="s">
        <v>369</v>
      </c>
      <c r="H1695" s="10">
        <v>46053.0</v>
      </c>
      <c r="I1695" s="12">
        <v>4.0</v>
      </c>
      <c r="J1695" s="6" t="s">
        <v>161</v>
      </c>
    </row>
    <row r="1696" ht="22.5" customHeight="1">
      <c r="A1696" s="6" t="s">
        <v>8704</v>
      </c>
      <c r="B1696" s="6" t="s">
        <v>4512</v>
      </c>
      <c r="C1696" s="10">
        <v>46061.0</v>
      </c>
      <c r="D1696" s="6" t="s">
        <v>391</v>
      </c>
      <c r="E1696" s="6" t="s">
        <v>512</v>
      </c>
      <c r="F1696" s="6" t="s">
        <v>283</v>
      </c>
      <c r="G1696" s="6" t="s">
        <v>452</v>
      </c>
      <c r="H1696" s="10">
        <v>46066.0</v>
      </c>
      <c r="I1696" s="12">
        <v>6.0</v>
      </c>
      <c r="J1696" s="6" t="s">
        <v>161</v>
      </c>
    </row>
    <row r="1697" ht="22.5" customHeight="1">
      <c r="A1697" s="6" t="s">
        <v>8711</v>
      </c>
      <c r="B1697" s="6" t="s">
        <v>4512</v>
      </c>
      <c r="C1697" s="10">
        <v>46066.0</v>
      </c>
      <c r="D1697" s="6" t="s">
        <v>242</v>
      </c>
      <c r="E1697" s="6" t="s">
        <v>610</v>
      </c>
      <c r="F1697" s="6" t="s">
        <v>249</v>
      </c>
      <c r="G1697" s="6" t="s">
        <v>477</v>
      </c>
      <c r="H1697" s="11" t="s">
        <v>259</v>
      </c>
      <c r="I1697" s="12">
        <v>3.0</v>
      </c>
      <c r="J1697" s="6" t="s">
        <v>178</v>
      </c>
    </row>
    <row r="1698" ht="22.5" customHeight="1">
      <c r="A1698" s="6" t="s">
        <v>8719</v>
      </c>
      <c r="B1698" s="6" t="s">
        <v>4512</v>
      </c>
      <c r="C1698" s="10">
        <v>46076.0</v>
      </c>
      <c r="D1698" s="6" t="s">
        <v>289</v>
      </c>
      <c r="E1698" s="6" t="s">
        <v>450</v>
      </c>
      <c r="F1698" s="6" t="s">
        <v>283</v>
      </c>
      <c r="G1698" s="6" t="s">
        <v>254</v>
      </c>
      <c r="H1698" s="10">
        <v>46081.0</v>
      </c>
      <c r="I1698" s="12">
        <v>6.0</v>
      </c>
      <c r="J1698" s="6" t="s">
        <v>161</v>
      </c>
    </row>
    <row r="1699" ht="22.5" customHeight="1">
      <c r="A1699" s="6" t="s">
        <v>8726</v>
      </c>
      <c r="B1699" s="6" t="s">
        <v>4512</v>
      </c>
      <c r="C1699" s="10">
        <v>46071.0</v>
      </c>
      <c r="D1699" s="6" t="s">
        <v>289</v>
      </c>
      <c r="E1699" s="6" t="s">
        <v>687</v>
      </c>
      <c r="F1699" s="6" t="s">
        <v>439</v>
      </c>
      <c r="G1699" s="6" t="s">
        <v>458</v>
      </c>
      <c r="H1699" s="10">
        <v>46077.0</v>
      </c>
      <c r="I1699" s="12">
        <v>9.0</v>
      </c>
      <c r="J1699" s="6" t="s">
        <v>161</v>
      </c>
    </row>
    <row r="1700" ht="22.5" customHeight="1">
      <c r="A1700" s="6" t="s">
        <v>8732</v>
      </c>
      <c r="B1700" s="6" t="s">
        <v>4518</v>
      </c>
      <c r="C1700" s="10">
        <v>46037.0</v>
      </c>
      <c r="D1700" s="6" t="s">
        <v>677</v>
      </c>
      <c r="E1700" s="6" t="s">
        <v>1600</v>
      </c>
      <c r="F1700" s="6" t="s">
        <v>249</v>
      </c>
      <c r="G1700" s="6" t="s">
        <v>254</v>
      </c>
      <c r="H1700" s="10">
        <v>46039.0</v>
      </c>
      <c r="I1700" s="12">
        <v>4.0</v>
      </c>
      <c r="J1700" s="6" t="s">
        <v>161</v>
      </c>
    </row>
    <row r="1701" ht="22.5" customHeight="1">
      <c r="A1701" s="6" t="s">
        <v>8737</v>
      </c>
      <c r="B1701" s="6" t="s">
        <v>4518</v>
      </c>
      <c r="C1701" s="10">
        <v>46041.0</v>
      </c>
      <c r="D1701" s="6" t="s">
        <v>436</v>
      </c>
      <c r="E1701" s="6" t="s">
        <v>1122</v>
      </c>
      <c r="F1701" s="6" t="s">
        <v>439</v>
      </c>
      <c r="G1701" s="6" t="s">
        <v>458</v>
      </c>
      <c r="H1701" s="10">
        <v>46041.0</v>
      </c>
      <c r="I1701" s="12">
        <v>11.0</v>
      </c>
      <c r="J1701" s="6" t="s">
        <v>161</v>
      </c>
    </row>
    <row r="1702" ht="22.5" customHeight="1">
      <c r="A1702" s="6" t="s">
        <v>8743</v>
      </c>
      <c r="B1702" s="6" t="s">
        <v>4518</v>
      </c>
      <c r="C1702" s="10">
        <v>46040.0</v>
      </c>
      <c r="D1702" s="6" t="s">
        <v>289</v>
      </c>
      <c r="E1702" s="6" t="s">
        <v>738</v>
      </c>
      <c r="F1702" s="6" t="s">
        <v>249</v>
      </c>
      <c r="G1702" s="6" t="s">
        <v>254</v>
      </c>
      <c r="H1702" s="10">
        <v>46043.0</v>
      </c>
      <c r="I1702" s="12">
        <v>10.0</v>
      </c>
      <c r="J1702" s="6" t="s">
        <v>161</v>
      </c>
    </row>
    <row r="1703" ht="22.5" customHeight="1">
      <c r="A1703" s="6" t="s">
        <v>8750</v>
      </c>
      <c r="B1703" s="6" t="s">
        <v>4528</v>
      </c>
      <c r="C1703" s="10">
        <v>46058.0</v>
      </c>
      <c r="D1703" s="6" t="s">
        <v>391</v>
      </c>
      <c r="E1703" s="6" t="s">
        <v>634</v>
      </c>
      <c r="F1703" s="6" t="s">
        <v>112</v>
      </c>
      <c r="G1703" s="6" t="s">
        <v>477</v>
      </c>
      <c r="H1703" s="11" t="s">
        <v>259</v>
      </c>
      <c r="I1703" s="12">
        <v>7.0</v>
      </c>
      <c r="J1703" s="6" t="s">
        <v>161</v>
      </c>
    </row>
    <row r="1704" ht="22.5" customHeight="1">
      <c r="A1704" s="6" t="s">
        <v>8756</v>
      </c>
      <c r="B1704" s="6" t="s">
        <v>4528</v>
      </c>
      <c r="C1704" s="10">
        <v>46053.0</v>
      </c>
      <c r="D1704" s="6" t="s">
        <v>289</v>
      </c>
      <c r="E1704" s="6" t="s">
        <v>628</v>
      </c>
      <c r="F1704" s="6" t="s">
        <v>439</v>
      </c>
      <c r="G1704" s="6" t="s">
        <v>458</v>
      </c>
      <c r="H1704" s="10">
        <v>46055.0</v>
      </c>
      <c r="I1704" s="12">
        <v>8.0</v>
      </c>
      <c r="J1704" s="6" t="s">
        <v>161</v>
      </c>
    </row>
    <row r="1705" ht="22.5" customHeight="1">
      <c r="A1705" s="6" t="s">
        <v>8759</v>
      </c>
      <c r="B1705" s="6" t="s">
        <v>4528</v>
      </c>
      <c r="C1705" s="10">
        <v>46050.0</v>
      </c>
      <c r="D1705" s="6" t="s">
        <v>312</v>
      </c>
      <c r="E1705" s="6" t="s">
        <v>896</v>
      </c>
      <c r="F1705" s="6" t="s">
        <v>283</v>
      </c>
      <c r="G1705" s="6" t="s">
        <v>369</v>
      </c>
      <c r="H1705" s="10">
        <v>46052.0</v>
      </c>
      <c r="I1705" s="12">
        <v>7.0</v>
      </c>
      <c r="J1705" s="6" t="s">
        <v>161</v>
      </c>
    </row>
    <row r="1706" ht="22.5" customHeight="1">
      <c r="A1706" s="6" t="s">
        <v>8765</v>
      </c>
      <c r="B1706" s="6" t="s">
        <v>4528</v>
      </c>
      <c r="C1706" s="10">
        <v>46062.0</v>
      </c>
      <c r="D1706" s="6" t="s">
        <v>289</v>
      </c>
      <c r="E1706" s="6" t="s">
        <v>394</v>
      </c>
      <c r="F1706" s="6" t="s">
        <v>283</v>
      </c>
      <c r="G1706" s="6" t="s">
        <v>297</v>
      </c>
      <c r="H1706" s="10">
        <v>46069.0</v>
      </c>
      <c r="I1706" s="12">
        <v>10.0</v>
      </c>
      <c r="J1706" s="6" t="s">
        <v>161</v>
      </c>
    </row>
    <row r="1707" ht="22.5" customHeight="1">
      <c r="A1707" s="6" t="s">
        <v>8771</v>
      </c>
      <c r="B1707" s="6" t="s">
        <v>4528</v>
      </c>
      <c r="C1707" s="10">
        <v>46052.0</v>
      </c>
      <c r="D1707" s="6" t="s">
        <v>436</v>
      </c>
      <c r="E1707" s="6" t="s">
        <v>610</v>
      </c>
      <c r="F1707" s="6" t="s">
        <v>112</v>
      </c>
      <c r="G1707" s="6" t="s">
        <v>477</v>
      </c>
      <c r="H1707" s="10">
        <v>46056.0</v>
      </c>
      <c r="I1707" s="12">
        <v>8.0</v>
      </c>
      <c r="J1707" s="6" t="s">
        <v>178</v>
      </c>
    </row>
    <row r="1708" ht="22.5" customHeight="1">
      <c r="A1708" s="6" t="s">
        <v>8780</v>
      </c>
      <c r="B1708" s="6" t="s">
        <v>4534</v>
      </c>
      <c r="C1708" s="10">
        <v>46054.0</v>
      </c>
      <c r="D1708" s="6" t="s">
        <v>242</v>
      </c>
      <c r="E1708" s="6" t="s">
        <v>863</v>
      </c>
      <c r="F1708" s="6" t="s">
        <v>112</v>
      </c>
      <c r="G1708" s="6" t="s">
        <v>452</v>
      </c>
      <c r="H1708" s="10">
        <v>46060.0</v>
      </c>
      <c r="I1708" s="12">
        <v>5.0</v>
      </c>
      <c r="J1708" s="6" t="s">
        <v>178</v>
      </c>
    </row>
    <row r="1709" ht="22.5" customHeight="1">
      <c r="A1709" s="6" t="s">
        <v>8788</v>
      </c>
      <c r="B1709" s="6" t="s">
        <v>4534</v>
      </c>
      <c r="C1709" s="10">
        <v>46071.0</v>
      </c>
      <c r="D1709" s="6" t="s">
        <v>312</v>
      </c>
      <c r="E1709" s="6" t="s">
        <v>955</v>
      </c>
      <c r="F1709" s="6" t="s">
        <v>112</v>
      </c>
      <c r="G1709" s="6" t="s">
        <v>326</v>
      </c>
      <c r="H1709" s="10">
        <v>46078.0</v>
      </c>
      <c r="I1709" s="12">
        <v>5.0</v>
      </c>
      <c r="J1709" s="6" t="s">
        <v>161</v>
      </c>
    </row>
    <row r="1710" ht="22.5" customHeight="1">
      <c r="A1710" s="6" t="s">
        <v>8794</v>
      </c>
      <c r="B1710" s="6" t="s">
        <v>4540</v>
      </c>
      <c r="C1710" s="10">
        <v>46073.0</v>
      </c>
      <c r="D1710" s="6" t="s">
        <v>391</v>
      </c>
      <c r="E1710" s="6" t="s">
        <v>1517</v>
      </c>
      <c r="F1710" s="6" t="s">
        <v>112</v>
      </c>
      <c r="G1710" s="6" t="s">
        <v>254</v>
      </c>
      <c r="H1710" s="11" t="s">
        <v>259</v>
      </c>
      <c r="I1710" s="12">
        <v>9.0</v>
      </c>
      <c r="J1710" s="6" t="s">
        <v>161</v>
      </c>
    </row>
    <row r="1711" ht="22.5" customHeight="1">
      <c r="A1711" s="6" t="s">
        <v>8803</v>
      </c>
      <c r="B1711" s="6" t="s">
        <v>4540</v>
      </c>
      <c r="C1711" s="10">
        <v>46079.0</v>
      </c>
      <c r="D1711" s="6" t="s">
        <v>436</v>
      </c>
      <c r="E1711" s="6" t="s">
        <v>320</v>
      </c>
      <c r="F1711" s="6" t="s">
        <v>112</v>
      </c>
      <c r="G1711" s="6" t="s">
        <v>458</v>
      </c>
      <c r="H1711" s="10">
        <v>46082.0</v>
      </c>
      <c r="I1711" s="12">
        <v>6.0</v>
      </c>
      <c r="J1711" s="6" t="s">
        <v>178</v>
      </c>
    </row>
    <row r="1712" ht="22.5" customHeight="1">
      <c r="A1712" s="6" t="s">
        <v>8809</v>
      </c>
      <c r="B1712" s="6" t="s">
        <v>4540</v>
      </c>
      <c r="C1712" s="10">
        <v>46068.0</v>
      </c>
      <c r="D1712" s="6" t="s">
        <v>416</v>
      </c>
      <c r="E1712" s="6" t="s">
        <v>2365</v>
      </c>
      <c r="F1712" s="6" t="s">
        <v>439</v>
      </c>
      <c r="G1712" s="6" t="s">
        <v>494</v>
      </c>
      <c r="H1712" s="10">
        <v>46075.0</v>
      </c>
      <c r="I1712" s="12">
        <v>14.0</v>
      </c>
      <c r="J1712" s="6" t="s">
        <v>161</v>
      </c>
    </row>
    <row r="1713" ht="22.5" customHeight="1">
      <c r="A1713" s="6" t="s">
        <v>8815</v>
      </c>
      <c r="B1713" s="6" t="s">
        <v>4540</v>
      </c>
      <c r="C1713" s="10">
        <v>46074.0</v>
      </c>
      <c r="D1713" s="6" t="s">
        <v>391</v>
      </c>
      <c r="E1713" s="6" t="s">
        <v>1280</v>
      </c>
      <c r="F1713" s="6" t="s">
        <v>249</v>
      </c>
      <c r="G1713" s="6" t="s">
        <v>477</v>
      </c>
      <c r="H1713" s="10">
        <v>46076.0</v>
      </c>
      <c r="I1713" s="12">
        <v>6.0</v>
      </c>
      <c r="J1713" s="6" t="s">
        <v>161</v>
      </c>
    </row>
    <row r="1714" ht="22.5" customHeight="1">
      <c r="A1714" s="6" t="s">
        <v>8824</v>
      </c>
      <c r="B1714" s="6" t="s">
        <v>4546</v>
      </c>
      <c r="C1714" s="10">
        <v>46040.0</v>
      </c>
      <c r="D1714" s="6" t="s">
        <v>289</v>
      </c>
      <c r="E1714" s="6" t="s">
        <v>466</v>
      </c>
      <c r="F1714" s="6" t="s">
        <v>249</v>
      </c>
      <c r="G1714" s="6" t="s">
        <v>452</v>
      </c>
      <c r="H1714" s="10">
        <v>46043.0</v>
      </c>
      <c r="I1714" s="12">
        <v>8.0</v>
      </c>
      <c r="J1714" s="6" t="s">
        <v>161</v>
      </c>
    </row>
    <row r="1715" ht="22.5" customHeight="1">
      <c r="A1715" s="6" t="s">
        <v>8832</v>
      </c>
      <c r="B1715" s="6" t="s">
        <v>4546</v>
      </c>
      <c r="C1715" s="10">
        <v>46040.0</v>
      </c>
      <c r="D1715" s="6" t="s">
        <v>436</v>
      </c>
      <c r="E1715" s="6" t="s">
        <v>1720</v>
      </c>
      <c r="F1715" s="6" t="s">
        <v>439</v>
      </c>
      <c r="G1715" s="6" t="s">
        <v>297</v>
      </c>
      <c r="H1715" s="10">
        <v>46043.0</v>
      </c>
      <c r="I1715" s="12">
        <v>8.0</v>
      </c>
      <c r="J1715" s="6" t="s">
        <v>178</v>
      </c>
    </row>
    <row r="1716" ht="22.5" customHeight="1">
      <c r="A1716" s="6" t="s">
        <v>8839</v>
      </c>
      <c r="B1716" s="6" t="s">
        <v>4546</v>
      </c>
      <c r="C1716" s="10">
        <v>46037.0</v>
      </c>
      <c r="D1716" s="6" t="s">
        <v>242</v>
      </c>
      <c r="E1716" s="6" t="s">
        <v>2365</v>
      </c>
      <c r="F1716" s="6" t="s">
        <v>283</v>
      </c>
      <c r="G1716" s="6" t="s">
        <v>494</v>
      </c>
      <c r="H1716" s="10">
        <v>46044.0</v>
      </c>
      <c r="I1716" s="12">
        <v>4.0</v>
      </c>
      <c r="J1716" s="6" t="s">
        <v>178</v>
      </c>
    </row>
    <row r="1717" ht="22.5" customHeight="1">
      <c r="A1717" s="6" t="s">
        <v>8846</v>
      </c>
      <c r="B1717" s="6" t="s">
        <v>4552</v>
      </c>
      <c r="C1717" s="10">
        <v>46046.0</v>
      </c>
      <c r="D1717" s="6" t="s">
        <v>677</v>
      </c>
      <c r="E1717" s="6" t="s">
        <v>885</v>
      </c>
      <c r="F1717" s="6" t="s">
        <v>249</v>
      </c>
      <c r="G1717" s="6" t="s">
        <v>326</v>
      </c>
      <c r="H1717" s="10">
        <v>46047.0</v>
      </c>
      <c r="I1717" s="12">
        <v>4.0</v>
      </c>
      <c r="J1717" s="6" t="s">
        <v>161</v>
      </c>
    </row>
    <row r="1718" ht="22.5" customHeight="1">
      <c r="A1718" s="6" t="s">
        <v>8854</v>
      </c>
      <c r="B1718" s="6" t="s">
        <v>4558</v>
      </c>
      <c r="C1718" s="10">
        <v>46062.0</v>
      </c>
      <c r="D1718" s="6" t="s">
        <v>242</v>
      </c>
      <c r="E1718" s="6" t="s">
        <v>1055</v>
      </c>
      <c r="F1718" s="6" t="s">
        <v>112</v>
      </c>
      <c r="G1718" s="6" t="s">
        <v>477</v>
      </c>
      <c r="H1718" s="10">
        <v>46065.0</v>
      </c>
      <c r="I1718" s="12">
        <v>5.0</v>
      </c>
      <c r="J1718" s="6" t="s">
        <v>178</v>
      </c>
    </row>
    <row r="1719" ht="22.5" customHeight="1">
      <c r="A1719" s="6" t="s">
        <v>8861</v>
      </c>
      <c r="B1719" s="6" t="s">
        <v>4564</v>
      </c>
      <c r="C1719" s="10">
        <v>46067.0</v>
      </c>
      <c r="D1719" s="6" t="s">
        <v>289</v>
      </c>
      <c r="E1719" s="6" t="s">
        <v>1070</v>
      </c>
      <c r="F1719" s="6" t="s">
        <v>439</v>
      </c>
      <c r="G1719" s="6" t="s">
        <v>326</v>
      </c>
      <c r="H1719" s="11" t="s">
        <v>259</v>
      </c>
      <c r="I1719" s="12">
        <v>5.0</v>
      </c>
      <c r="J1719" s="6" t="s">
        <v>161</v>
      </c>
    </row>
    <row r="1720" ht="22.5" customHeight="1">
      <c r="A1720" s="6" t="s">
        <v>8867</v>
      </c>
      <c r="B1720" s="6" t="s">
        <v>4564</v>
      </c>
      <c r="C1720" s="10">
        <v>46063.0</v>
      </c>
      <c r="D1720" s="6" t="s">
        <v>677</v>
      </c>
      <c r="E1720" s="6" t="s">
        <v>1741</v>
      </c>
      <c r="F1720" s="6" t="s">
        <v>283</v>
      </c>
      <c r="G1720" s="6" t="s">
        <v>326</v>
      </c>
      <c r="H1720" s="10">
        <v>46069.0</v>
      </c>
      <c r="I1720" s="12">
        <v>3.0</v>
      </c>
      <c r="J1720" s="6" t="s">
        <v>161</v>
      </c>
    </row>
    <row r="1721" ht="22.5" customHeight="1">
      <c r="A1721" s="6" t="s">
        <v>8873</v>
      </c>
      <c r="B1721" s="6" t="s">
        <v>4564</v>
      </c>
      <c r="C1721" s="10">
        <v>46053.0</v>
      </c>
      <c r="D1721" s="6" t="s">
        <v>436</v>
      </c>
      <c r="E1721" s="6" t="s">
        <v>1102</v>
      </c>
      <c r="F1721" s="6" t="s">
        <v>112</v>
      </c>
      <c r="G1721" s="6" t="s">
        <v>369</v>
      </c>
      <c r="H1721" s="10">
        <v>46054.0</v>
      </c>
      <c r="I1721" s="12">
        <v>7.0</v>
      </c>
      <c r="J1721" s="6" t="s">
        <v>178</v>
      </c>
    </row>
    <row r="1722" ht="22.5" customHeight="1">
      <c r="A1722" s="6" t="s">
        <v>8879</v>
      </c>
      <c r="B1722" s="6" t="s">
        <v>4570</v>
      </c>
      <c r="C1722" s="10">
        <v>46060.0</v>
      </c>
      <c r="D1722" s="6" t="s">
        <v>312</v>
      </c>
      <c r="E1722" s="6" t="s">
        <v>1700</v>
      </c>
      <c r="F1722" s="6" t="s">
        <v>439</v>
      </c>
      <c r="G1722" s="6" t="s">
        <v>494</v>
      </c>
      <c r="H1722" s="10">
        <v>46067.0</v>
      </c>
      <c r="I1722" s="12">
        <v>7.0</v>
      </c>
      <c r="J1722" s="6" t="s">
        <v>161</v>
      </c>
    </row>
    <row r="1723" ht="22.5" customHeight="1">
      <c r="A1723" s="6" t="s">
        <v>8889</v>
      </c>
      <c r="B1723" s="6" t="s">
        <v>4576</v>
      </c>
      <c r="C1723" s="10">
        <v>46056.0</v>
      </c>
      <c r="D1723" s="6" t="s">
        <v>312</v>
      </c>
      <c r="E1723" s="6" t="s">
        <v>1122</v>
      </c>
      <c r="F1723" s="6" t="s">
        <v>112</v>
      </c>
      <c r="G1723" s="6" t="s">
        <v>254</v>
      </c>
      <c r="H1723" s="11" t="s">
        <v>259</v>
      </c>
      <c r="I1723" s="12">
        <v>7.0</v>
      </c>
      <c r="J1723" s="6" t="s">
        <v>161</v>
      </c>
    </row>
    <row r="1724" ht="22.5" customHeight="1">
      <c r="A1724" s="6" t="s">
        <v>8896</v>
      </c>
      <c r="B1724" s="6" t="s">
        <v>4576</v>
      </c>
      <c r="C1724" s="10">
        <v>46043.0</v>
      </c>
      <c r="D1724" s="6" t="s">
        <v>312</v>
      </c>
      <c r="E1724" s="6" t="s">
        <v>417</v>
      </c>
      <c r="F1724" s="6" t="s">
        <v>283</v>
      </c>
      <c r="G1724" s="6" t="s">
        <v>458</v>
      </c>
      <c r="H1724" s="10">
        <v>46045.0</v>
      </c>
      <c r="I1724" s="12">
        <v>7.0</v>
      </c>
      <c r="J1724" s="6" t="s">
        <v>161</v>
      </c>
    </row>
    <row r="1725" ht="22.5" customHeight="1">
      <c r="A1725" s="6" t="s">
        <v>8902</v>
      </c>
      <c r="B1725" s="6" t="s">
        <v>4576</v>
      </c>
      <c r="C1725" s="10">
        <v>46060.0</v>
      </c>
      <c r="D1725" s="6" t="s">
        <v>436</v>
      </c>
      <c r="E1725" s="6" t="s">
        <v>775</v>
      </c>
      <c r="F1725" s="6" t="s">
        <v>439</v>
      </c>
      <c r="G1725" s="6" t="s">
        <v>452</v>
      </c>
      <c r="H1725" s="10">
        <v>46065.0</v>
      </c>
      <c r="I1725" s="12">
        <v>9.0</v>
      </c>
      <c r="J1725" s="6" t="s">
        <v>178</v>
      </c>
    </row>
    <row r="1726" ht="22.5" customHeight="1">
      <c r="A1726" s="6" t="s">
        <v>8905</v>
      </c>
      <c r="B1726" s="6" t="s">
        <v>4582</v>
      </c>
      <c r="C1726" s="10">
        <v>46067.0</v>
      </c>
      <c r="D1726" s="6" t="s">
        <v>391</v>
      </c>
      <c r="E1726" s="6" t="s">
        <v>1055</v>
      </c>
      <c r="F1726" s="6" t="s">
        <v>439</v>
      </c>
      <c r="G1726" s="6" t="s">
        <v>452</v>
      </c>
      <c r="H1726" s="10">
        <v>46073.0</v>
      </c>
      <c r="I1726" s="12">
        <v>7.0</v>
      </c>
      <c r="J1726" s="6" t="s">
        <v>161</v>
      </c>
    </row>
    <row r="1727" ht="22.5" customHeight="1">
      <c r="A1727" s="6" t="s">
        <v>8910</v>
      </c>
      <c r="B1727" s="6" t="s">
        <v>4582</v>
      </c>
      <c r="C1727" s="10">
        <v>46066.0</v>
      </c>
      <c r="D1727" s="6" t="s">
        <v>242</v>
      </c>
      <c r="E1727" s="6" t="s">
        <v>1546</v>
      </c>
      <c r="F1727" s="6" t="s">
        <v>112</v>
      </c>
      <c r="G1727" s="6" t="s">
        <v>369</v>
      </c>
      <c r="H1727" s="10">
        <v>46070.0</v>
      </c>
      <c r="I1727" s="12">
        <v>4.0</v>
      </c>
      <c r="J1727" s="6" t="s">
        <v>178</v>
      </c>
    </row>
    <row r="1728" ht="22.5" customHeight="1">
      <c r="A1728" s="6" t="s">
        <v>8915</v>
      </c>
      <c r="B1728" s="6" t="s">
        <v>4588</v>
      </c>
      <c r="C1728" s="10">
        <v>46041.0</v>
      </c>
      <c r="D1728" s="6" t="s">
        <v>436</v>
      </c>
      <c r="E1728" s="6" t="s">
        <v>731</v>
      </c>
      <c r="F1728" s="6" t="s">
        <v>283</v>
      </c>
      <c r="G1728" s="6" t="s">
        <v>297</v>
      </c>
      <c r="H1728" s="10">
        <v>46047.0</v>
      </c>
      <c r="I1728" s="12">
        <v>6.0</v>
      </c>
      <c r="J1728" s="6" t="s">
        <v>178</v>
      </c>
    </row>
    <row r="1729" ht="22.5" customHeight="1">
      <c r="A1729" s="6" t="s">
        <v>8920</v>
      </c>
      <c r="B1729" s="6" t="s">
        <v>4588</v>
      </c>
      <c r="C1729" s="10">
        <v>46050.0</v>
      </c>
      <c r="D1729" s="6" t="s">
        <v>391</v>
      </c>
      <c r="E1729" s="6" t="s">
        <v>365</v>
      </c>
      <c r="F1729" s="6" t="s">
        <v>439</v>
      </c>
      <c r="G1729" s="6" t="s">
        <v>477</v>
      </c>
      <c r="H1729" s="10">
        <v>46056.0</v>
      </c>
      <c r="I1729" s="12">
        <v>6.0</v>
      </c>
      <c r="J1729" s="6" t="s">
        <v>161</v>
      </c>
    </row>
    <row r="1730" ht="22.5" customHeight="1">
      <c r="A1730" s="6" t="s">
        <v>8925</v>
      </c>
      <c r="B1730" s="6" t="s">
        <v>4588</v>
      </c>
      <c r="C1730" s="10">
        <v>46041.0</v>
      </c>
      <c r="D1730" s="6" t="s">
        <v>391</v>
      </c>
      <c r="E1730" s="6" t="s">
        <v>1700</v>
      </c>
      <c r="F1730" s="6" t="s">
        <v>439</v>
      </c>
      <c r="G1730" s="6" t="s">
        <v>452</v>
      </c>
      <c r="H1730" s="10">
        <v>46048.0</v>
      </c>
      <c r="I1730" s="12">
        <v>9.0</v>
      </c>
      <c r="J1730" s="6" t="s">
        <v>161</v>
      </c>
    </row>
    <row r="1731" ht="22.5" customHeight="1">
      <c r="A1731" s="6" t="s">
        <v>8929</v>
      </c>
      <c r="B1731" s="6" t="s">
        <v>4594</v>
      </c>
      <c r="C1731" s="10">
        <v>46052.0</v>
      </c>
      <c r="D1731" s="6" t="s">
        <v>677</v>
      </c>
      <c r="E1731" s="6" t="s">
        <v>787</v>
      </c>
      <c r="F1731" s="6" t="s">
        <v>112</v>
      </c>
      <c r="G1731" s="6" t="s">
        <v>254</v>
      </c>
      <c r="H1731" s="10">
        <v>46057.0</v>
      </c>
      <c r="I1731" s="12">
        <v>4.0</v>
      </c>
      <c r="J1731" s="6" t="s">
        <v>161</v>
      </c>
    </row>
    <row r="1732" ht="22.5" customHeight="1">
      <c r="A1732" s="6" t="s">
        <v>8934</v>
      </c>
      <c r="B1732" s="6" t="s">
        <v>4594</v>
      </c>
      <c r="C1732" s="10">
        <v>46044.0</v>
      </c>
      <c r="D1732" s="6" t="s">
        <v>677</v>
      </c>
      <c r="E1732" s="6" t="s">
        <v>512</v>
      </c>
      <c r="F1732" s="6" t="s">
        <v>439</v>
      </c>
      <c r="G1732" s="6" t="s">
        <v>297</v>
      </c>
      <c r="H1732" s="10">
        <v>46051.0</v>
      </c>
      <c r="I1732" s="12">
        <v>2.0</v>
      </c>
      <c r="J1732" s="6" t="s">
        <v>161</v>
      </c>
    </row>
    <row r="1733" ht="22.5" customHeight="1">
      <c r="A1733" s="6" t="s">
        <v>8939</v>
      </c>
      <c r="B1733" s="6" t="s">
        <v>4594</v>
      </c>
      <c r="C1733" s="10">
        <v>46060.0</v>
      </c>
      <c r="D1733" s="6" t="s">
        <v>242</v>
      </c>
      <c r="E1733" s="6" t="s">
        <v>775</v>
      </c>
      <c r="F1733" s="6" t="s">
        <v>249</v>
      </c>
      <c r="G1733" s="6" t="s">
        <v>458</v>
      </c>
      <c r="H1733" s="10">
        <v>46060.0</v>
      </c>
      <c r="I1733" s="12">
        <v>5.0</v>
      </c>
      <c r="J1733" s="6" t="s">
        <v>178</v>
      </c>
    </row>
    <row r="1734" ht="22.5" customHeight="1">
      <c r="A1734" s="6" t="s">
        <v>8942</v>
      </c>
      <c r="B1734" s="6" t="s">
        <v>4594</v>
      </c>
      <c r="C1734" s="10">
        <v>46042.0</v>
      </c>
      <c r="D1734" s="6" t="s">
        <v>312</v>
      </c>
      <c r="E1734" s="6" t="s">
        <v>885</v>
      </c>
      <c r="F1734" s="6" t="s">
        <v>439</v>
      </c>
      <c r="G1734" s="6" t="s">
        <v>369</v>
      </c>
      <c r="H1734" s="11" t="s">
        <v>259</v>
      </c>
      <c r="I1734" s="12">
        <v>4.0</v>
      </c>
      <c r="J1734" s="6" t="s">
        <v>161</v>
      </c>
    </row>
    <row r="1735" ht="22.5" customHeight="1">
      <c r="A1735" s="6" t="s">
        <v>8946</v>
      </c>
      <c r="B1735" s="6" t="s">
        <v>4594</v>
      </c>
      <c r="C1735" s="10">
        <v>46046.0</v>
      </c>
      <c r="D1735" s="6" t="s">
        <v>242</v>
      </c>
      <c r="E1735" s="6" t="s">
        <v>787</v>
      </c>
      <c r="F1735" s="6" t="s">
        <v>283</v>
      </c>
      <c r="G1735" s="6" t="s">
        <v>458</v>
      </c>
      <c r="H1735" s="10">
        <v>46049.0</v>
      </c>
      <c r="I1735" s="12">
        <v>3.0</v>
      </c>
      <c r="J1735" s="6" t="s">
        <v>161</v>
      </c>
    </row>
    <row r="1736" ht="22.5" customHeight="1">
      <c r="A1736" s="6" t="s">
        <v>8947</v>
      </c>
      <c r="B1736" s="6" t="s">
        <v>4600</v>
      </c>
      <c r="C1736" s="10">
        <v>46031.0</v>
      </c>
      <c r="D1736" s="6" t="s">
        <v>391</v>
      </c>
      <c r="E1736" s="6" t="s">
        <v>583</v>
      </c>
      <c r="F1736" s="6" t="s">
        <v>283</v>
      </c>
      <c r="G1736" s="6" t="s">
        <v>458</v>
      </c>
      <c r="H1736" s="11" t="s">
        <v>259</v>
      </c>
      <c r="I1736" s="12">
        <v>10.0</v>
      </c>
      <c r="J1736" s="6" t="s">
        <v>161</v>
      </c>
    </row>
    <row r="1737" ht="22.5" customHeight="1">
      <c r="A1737" s="6" t="s">
        <v>8949</v>
      </c>
      <c r="B1737" s="6" t="s">
        <v>4600</v>
      </c>
      <c r="C1737" s="10">
        <v>46030.0</v>
      </c>
      <c r="D1737" s="6" t="s">
        <v>289</v>
      </c>
      <c r="E1737" s="6" t="s">
        <v>291</v>
      </c>
      <c r="F1737" s="6" t="s">
        <v>112</v>
      </c>
      <c r="G1737" s="6" t="s">
        <v>458</v>
      </c>
      <c r="H1737" s="11" t="s">
        <v>259</v>
      </c>
      <c r="I1737" s="12">
        <v>6.0</v>
      </c>
      <c r="J1737" s="6" t="s">
        <v>161</v>
      </c>
    </row>
    <row r="1738" ht="22.5" customHeight="1">
      <c r="A1738" s="6" t="s">
        <v>8953</v>
      </c>
      <c r="B1738" s="6" t="s">
        <v>4600</v>
      </c>
      <c r="C1738" s="10">
        <v>46041.0</v>
      </c>
      <c r="D1738" s="6" t="s">
        <v>677</v>
      </c>
      <c r="E1738" s="6" t="s">
        <v>885</v>
      </c>
      <c r="F1738" s="6" t="s">
        <v>439</v>
      </c>
      <c r="G1738" s="6" t="s">
        <v>458</v>
      </c>
      <c r="H1738" s="10">
        <v>46042.0</v>
      </c>
      <c r="I1738" s="12">
        <v>2.0</v>
      </c>
      <c r="J1738" s="6" t="s">
        <v>161</v>
      </c>
    </row>
    <row r="1739" ht="22.5" customHeight="1">
      <c r="A1739" s="6" t="s">
        <v>8958</v>
      </c>
      <c r="B1739" s="6" t="s">
        <v>4600</v>
      </c>
      <c r="C1739" s="10">
        <v>46028.0</v>
      </c>
      <c r="D1739" s="6" t="s">
        <v>312</v>
      </c>
      <c r="E1739" s="6" t="s">
        <v>1969</v>
      </c>
      <c r="F1739" s="6" t="s">
        <v>249</v>
      </c>
      <c r="G1739" s="6" t="s">
        <v>452</v>
      </c>
      <c r="H1739" s="10">
        <v>46035.0</v>
      </c>
      <c r="I1739" s="12">
        <v>6.0</v>
      </c>
      <c r="J1739" s="6" t="s">
        <v>161</v>
      </c>
    </row>
    <row r="1740" ht="22.5" customHeight="1">
      <c r="A1740" s="6" t="s">
        <v>8961</v>
      </c>
      <c r="B1740" s="6" t="s">
        <v>4600</v>
      </c>
      <c r="C1740" s="10">
        <v>46043.0</v>
      </c>
      <c r="D1740" s="6" t="s">
        <v>312</v>
      </c>
      <c r="E1740" s="6" t="s">
        <v>775</v>
      </c>
      <c r="F1740" s="6" t="s">
        <v>112</v>
      </c>
      <c r="G1740" s="6" t="s">
        <v>326</v>
      </c>
      <c r="H1740" s="11" t="s">
        <v>259</v>
      </c>
      <c r="I1740" s="12">
        <v>7.0</v>
      </c>
      <c r="J1740" s="6" t="s">
        <v>161</v>
      </c>
    </row>
    <row r="1741" ht="22.5" customHeight="1">
      <c r="A1741" s="6" t="s">
        <v>8966</v>
      </c>
      <c r="B1741" s="6" t="s">
        <v>4605</v>
      </c>
      <c r="C1741" s="10">
        <v>46053.0</v>
      </c>
      <c r="D1741" s="6" t="s">
        <v>242</v>
      </c>
      <c r="E1741" s="6" t="s">
        <v>896</v>
      </c>
      <c r="F1741" s="6" t="s">
        <v>249</v>
      </c>
      <c r="G1741" s="6" t="s">
        <v>477</v>
      </c>
      <c r="H1741" s="10">
        <v>46054.0</v>
      </c>
      <c r="I1741" s="12">
        <v>3.0</v>
      </c>
      <c r="J1741" s="6" t="s">
        <v>178</v>
      </c>
    </row>
    <row r="1742" ht="22.5" customHeight="1">
      <c r="A1742" s="6" t="s">
        <v>8969</v>
      </c>
      <c r="B1742" s="6" t="s">
        <v>4611</v>
      </c>
      <c r="C1742" s="10">
        <v>46046.0</v>
      </c>
      <c r="D1742" s="6" t="s">
        <v>391</v>
      </c>
      <c r="E1742" s="6" t="s">
        <v>1517</v>
      </c>
      <c r="F1742" s="6" t="s">
        <v>112</v>
      </c>
      <c r="G1742" s="6" t="s">
        <v>452</v>
      </c>
      <c r="H1742" s="10">
        <v>46047.0</v>
      </c>
      <c r="I1742" s="12">
        <v>10.0</v>
      </c>
      <c r="J1742" s="6" t="s">
        <v>161</v>
      </c>
    </row>
    <row r="1743" ht="22.5" customHeight="1">
      <c r="A1743" s="6" t="s">
        <v>8973</v>
      </c>
      <c r="B1743" s="6" t="s">
        <v>4611</v>
      </c>
      <c r="C1743" s="10">
        <v>46049.0</v>
      </c>
      <c r="D1743" s="6" t="s">
        <v>312</v>
      </c>
      <c r="E1743" s="6" t="s">
        <v>618</v>
      </c>
      <c r="F1743" s="6" t="s">
        <v>249</v>
      </c>
      <c r="G1743" s="6" t="s">
        <v>458</v>
      </c>
      <c r="H1743" s="10">
        <v>46055.0</v>
      </c>
      <c r="I1743" s="12">
        <v>4.0</v>
      </c>
      <c r="J1743" s="6" t="s">
        <v>161</v>
      </c>
    </row>
    <row r="1744" ht="22.5" customHeight="1">
      <c r="A1744" s="6" t="s">
        <v>8976</v>
      </c>
      <c r="B1744" s="6" t="s">
        <v>4617</v>
      </c>
      <c r="C1744" s="10">
        <v>46029.0</v>
      </c>
      <c r="D1744" s="6" t="s">
        <v>677</v>
      </c>
      <c r="E1744" s="6" t="s">
        <v>450</v>
      </c>
      <c r="F1744" s="6" t="s">
        <v>249</v>
      </c>
      <c r="G1744" s="6" t="s">
        <v>254</v>
      </c>
      <c r="H1744" s="10">
        <v>46035.0</v>
      </c>
      <c r="I1744" s="12">
        <v>2.0</v>
      </c>
      <c r="J1744" s="6" t="s">
        <v>161</v>
      </c>
    </row>
    <row r="1745" ht="22.5" customHeight="1">
      <c r="A1745" s="6" t="s">
        <v>8980</v>
      </c>
      <c r="B1745" s="6" t="s">
        <v>4617</v>
      </c>
      <c r="C1745" s="10">
        <v>46038.0</v>
      </c>
      <c r="D1745" s="6" t="s">
        <v>391</v>
      </c>
      <c r="E1745" s="6" t="s">
        <v>475</v>
      </c>
      <c r="F1745" s="6" t="s">
        <v>439</v>
      </c>
      <c r="G1745" s="6" t="s">
        <v>254</v>
      </c>
      <c r="H1745" s="10">
        <v>46040.0</v>
      </c>
      <c r="I1745" s="12">
        <v>7.0</v>
      </c>
      <c r="J1745" s="6" t="s">
        <v>161</v>
      </c>
    </row>
    <row r="1746" ht="22.5" customHeight="1">
      <c r="A1746" s="6" t="s">
        <v>8986</v>
      </c>
      <c r="B1746" s="6" t="s">
        <v>4617</v>
      </c>
      <c r="C1746" s="10">
        <v>46041.0</v>
      </c>
      <c r="D1746" s="6" t="s">
        <v>416</v>
      </c>
      <c r="E1746" s="6" t="s">
        <v>658</v>
      </c>
      <c r="F1746" s="6" t="s">
        <v>112</v>
      </c>
      <c r="G1746" s="6" t="s">
        <v>326</v>
      </c>
      <c r="H1746" s="10">
        <v>46043.0</v>
      </c>
      <c r="I1746" s="12">
        <v>14.0</v>
      </c>
      <c r="J1746" s="6" t="s">
        <v>161</v>
      </c>
    </row>
    <row r="1747" ht="22.5" customHeight="1">
      <c r="A1747" s="6" t="s">
        <v>8989</v>
      </c>
      <c r="B1747" s="6" t="s">
        <v>4617</v>
      </c>
      <c r="C1747" s="10">
        <v>46034.0</v>
      </c>
      <c r="D1747" s="6" t="s">
        <v>436</v>
      </c>
      <c r="E1747" s="6" t="s">
        <v>1035</v>
      </c>
      <c r="F1747" s="6" t="s">
        <v>249</v>
      </c>
      <c r="G1747" s="6" t="s">
        <v>297</v>
      </c>
      <c r="H1747" s="10">
        <v>46039.0</v>
      </c>
      <c r="I1747" s="12">
        <v>12.0</v>
      </c>
      <c r="J1747" s="6" t="s">
        <v>178</v>
      </c>
    </row>
    <row r="1748" ht="22.5" customHeight="1">
      <c r="A1748" s="6" t="s">
        <v>8994</v>
      </c>
      <c r="B1748" s="6" t="s">
        <v>4623</v>
      </c>
      <c r="C1748" s="10">
        <v>46046.0</v>
      </c>
      <c r="D1748" s="6" t="s">
        <v>416</v>
      </c>
      <c r="E1748" s="6" t="s">
        <v>658</v>
      </c>
      <c r="F1748" s="6" t="s">
        <v>283</v>
      </c>
      <c r="G1748" s="6" t="s">
        <v>254</v>
      </c>
      <c r="H1748" s="10">
        <v>46052.0</v>
      </c>
      <c r="I1748" s="12">
        <v>9.0</v>
      </c>
      <c r="J1748" s="6" t="s">
        <v>161</v>
      </c>
    </row>
    <row r="1749" ht="22.5" customHeight="1">
      <c r="A1749" s="6" t="s">
        <v>8999</v>
      </c>
      <c r="B1749" s="6" t="s">
        <v>4623</v>
      </c>
      <c r="C1749" s="10">
        <v>46053.0</v>
      </c>
      <c r="D1749" s="6" t="s">
        <v>391</v>
      </c>
      <c r="E1749" s="6" t="s">
        <v>438</v>
      </c>
      <c r="F1749" s="6" t="s">
        <v>439</v>
      </c>
      <c r="G1749" s="6" t="s">
        <v>297</v>
      </c>
      <c r="H1749" s="10">
        <v>46055.0</v>
      </c>
      <c r="I1749" s="12">
        <v>8.0</v>
      </c>
      <c r="J1749" s="6" t="s">
        <v>161</v>
      </c>
    </row>
    <row r="1750" ht="22.5" customHeight="1">
      <c r="A1750" s="6" t="s">
        <v>9004</v>
      </c>
      <c r="B1750" s="6" t="s">
        <v>4623</v>
      </c>
      <c r="C1750" s="10">
        <v>46062.0</v>
      </c>
      <c r="D1750" s="6" t="s">
        <v>436</v>
      </c>
      <c r="E1750" s="6" t="s">
        <v>716</v>
      </c>
      <c r="F1750" s="6" t="s">
        <v>439</v>
      </c>
      <c r="G1750" s="6" t="s">
        <v>254</v>
      </c>
      <c r="H1750" s="10">
        <v>46069.0</v>
      </c>
      <c r="I1750" s="12">
        <v>6.0</v>
      </c>
      <c r="J1750" s="6" t="s">
        <v>178</v>
      </c>
    </row>
    <row r="1751" ht="22.5" customHeight="1">
      <c r="A1751" s="6" t="s">
        <v>9009</v>
      </c>
      <c r="B1751" s="6" t="s">
        <v>4629</v>
      </c>
      <c r="C1751" s="10">
        <v>46058.0</v>
      </c>
      <c r="D1751" s="6" t="s">
        <v>677</v>
      </c>
      <c r="E1751" s="6" t="s">
        <v>704</v>
      </c>
      <c r="F1751" s="6" t="s">
        <v>439</v>
      </c>
      <c r="G1751" s="6" t="s">
        <v>477</v>
      </c>
      <c r="H1751" s="10">
        <v>46065.0</v>
      </c>
      <c r="I1751" s="12">
        <v>3.0</v>
      </c>
      <c r="J1751" s="6" t="s">
        <v>161</v>
      </c>
    </row>
    <row r="1752" ht="22.5" customHeight="1">
      <c r="A1752" s="6" t="s">
        <v>9013</v>
      </c>
      <c r="B1752" s="6" t="s">
        <v>4629</v>
      </c>
      <c r="C1752" s="10">
        <v>46052.0</v>
      </c>
      <c r="D1752" s="6" t="s">
        <v>436</v>
      </c>
      <c r="E1752" s="6" t="s">
        <v>1626</v>
      </c>
      <c r="F1752" s="6" t="s">
        <v>249</v>
      </c>
      <c r="G1752" s="6" t="s">
        <v>254</v>
      </c>
      <c r="H1752" s="11" t="s">
        <v>259</v>
      </c>
      <c r="I1752" s="12">
        <v>6.0</v>
      </c>
      <c r="J1752" s="6" t="s">
        <v>161</v>
      </c>
    </row>
    <row r="1753" ht="22.5" customHeight="1">
      <c r="A1753" s="6" t="s">
        <v>9017</v>
      </c>
      <c r="B1753" s="6" t="s">
        <v>4635</v>
      </c>
      <c r="C1753" s="10">
        <v>46043.0</v>
      </c>
      <c r="D1753" s="6" t="s">
        <v>242</v>
      </c>
      <c r="E1753" s="6" t="s">
        <v>1720</v>
      </c>
      <c r="F1753" s="6" t="s">
        <v>112</v>
      </c>
      <c r="G1753" s="6" t="s">
        <v>458</v>
      </c>
      <c r="H1753" s="10">
        <v>46050.0</v>
      </c>
      <c r="I1753" s="12">
        <v>3.0</v>
      </c>
      <c r="J1753" s="6" t="s">
        <v>178</v>
      </c>
    </row>
    <row r="1754" ht="22.5" customHeight="1">
      <c r="A1754" s="6" t="s">
        <v>9020</v>
      </c>
      <c r="B1754" s="6" t="s">
        <v>4635</v>
      </c>
      <c r="C1754" s="10">
        <v>46062.0</v>
      </c>
      <c r="D1754" s="6" t="s">
        <v>391</v>
      </c>
      <c r="E1754" s="6" t="s">
        <v>833</v>
      </c>
      <c r="F1754" s="6" t="s">
        <v>249</v>
      </c>
      <c r="G1754" s="6" t="s">
        <v>297</v>
      </c>
      <c r="H1754" s="10">
        <v>46067.0</v>
      </c>
      <c r="I1754" s="12">
        <v>8.0</v>
      </c>
      <c r="J1754" s="6" t="s">
        <v>161</v>
      </c>
    </row>
    <row r="1755" ht="22.5" customHeight="1">
      <c r="A1755" s="6" t="s">
        <v>9024</v>
      </c>
      <c r="B1755" s="6" t="s">
        <v>4635</v>
      </c>
      <c r="C1755" s="10">
        <v>46051.0</v>
      </c>
      <c r="D1755" s="6" t="s">
        <v>677</v>
      </c>
      <c r="E1755" s="6" t="s">
        <v>1241</v>
      </c>
      <c r="F1755" s="6" t="s">
        <v>283</v>
      </c>
      <c r="G1755" s="6" t="s">
        <v>326</v>
      </c>
      <c r="H1755" s="10">
        <v>46056.0</v>
      </c>
      <c r="I1755" s="12">
        <v>3.0</v>
      </c>
      <c r="J1755" s="6" t="s">
        <v>161</v>
      </c>
    </row>
    <row r="1756" ht="22.5" customHeight="1">
      <c r="A1756" s="6" t="s">
        <v>9026</v>
      </c>
      <c r="B1756" s="6" t="s">
        <v>4635</v>
      </c>
      <c r="C1756" s="10">
        <v>46052.0</v>
      </c>
      <c r="D1756" s="6" t="s">
        <v>677</v>
      </c>
      <c r="E1756" s="6" t="s">
        <v>1386</v>
      </c>
      <c r="F1756" s="6" t="s">
        <v>439</v>
      </c>
      <c r="G1756" s="6" t="s">
        <v>452</v>
      </c>
      <c r="H1756" s="10">
        <v>46056.0</v>
      </c>
      <c r="I1756" s="12">
        <v>4.0</v>
      </c>
      <c r="J1756" s="6" t="s">
        <v>161</v>
      </c>
    </row>
    <row r="1757" ht="22.5" customHeight="1">
      <c r="A1757" s="6" t="s">
        <v>9029</v>
      </c>
      <c r="B1757" s="6" t="s">
        <v>4641</v>
      </c>
      <c r="C1757" s="10">
        <v>46064.0</v>
      </c>
      <c r="D1757" s="6" t="s">
        <v>416</v>
      </c>
      <c r="E1757" s="6" t="s">
        <v>1570</v>
      </c>
      <c r="F1757" s="6" t="s">
        <v>112</v>
      </c>
      <c r="G1757" s="6" t="s">
        <v>494</v>
      </c>
      <c r="H1757" s="10">
        <v>46069.0</v>
      </c>
      <c r="I1757" s="12">
        <v>11.0</v>
      </c>
      <c r="J1757" s="6" t="s">
        <v>161</v>
      </c>
    </row>
    <row r="1758" ht="22.5" customHeight="1">
      <c r="A1758" s="6" t="s">
        <v>9032</v>
      </c>
      <c r="B1758" s="6" t="s">
        <v>4641</v>
      </c>
      <c r="C1758" s="10">
        <v>46057.0</v>
      </c>
      <c r="D1758" s="6" t="s">
        <v>677</v>
      </c>
      <c r="E1758" s="6" t="s">
        <v>1720</v>
      </c>
      <c r="F1758" s="6" t="s">
        <v>283</v>
      </c>
      <c r="G1758" s="6" t="s">
        <v>254</v>
      </c>
      <c r="H1758" s="11" t="s">
        <v>259</v>
      </c>
      <c r="I1758" s="12">
        <v>3.0</v>
      </c>
      <c r="J1758" s="6" t="s">
        <v>161</v>
      </c>
    </row>
    <row r="1759" ht="22.5" customHeight="1">
      <c r="A1759" s="6" t="s">
        <v>9035</v>
      </c>
      <c r="B1759" s="6" t="s">
        <v>4641</v>
      </c>
      <c r="C1759" s="10">
        <v>46063.0</v>
      </c>
      <c r="D1759" s="6" t="s">
        <v>436</v>
      </c>
      <c r="E1759" s="6" t="s">
        <v>417</v>
      </c>
      <c r="F1759" s="6" t="s">
        <v>249</v>
      </c>
      <c r="G1759" s="6" t="s">
        <v>297</v>
      </c>
      <c r="H1759" s="10">
        <v>46064.0</v>
      </c>
      <c r="I1759" s="12">
        <v>12.0</v>
      </c>
      <c r="J1759" s="6" t="s">
        <v>161</v>
      </c>
    </row>
    <row r="1760" ht="22.5" customHeight="1">
      <c r="A1760" s="6" t="s">
        <v>9039</v>
      </c>
      <c r="B1760" s="6" t="s">
        <v>4647</v>
      </c>
      <c r="C1760" s="10">
        <v>46051.0</v>
      </c>
      <c r="D1760" s="6" t="s">
        <v>436</v>
      </c>
      <c r="E1760" s="6" t="s">
        <v>1241</v>
      </c>
      <c r="F1760" s="6" t="s">
        <v>283</v>
      </c>
      <c r="G1760" s="6" t="s">
        <v>326</v>
      </c>
      <c r="H1760" s="11" t="s">
        <v>259</v>
      </c>
      <c r="I1760" s="12">
        <v>9.0</v>
      </c>
      <c r="J1760" s="6" t="s">
        <v>178</v>
      </c>
    </row>
    <row r="1761" ht="22.5" customHeight="1">
      <c r="A1761" s="6" t="s">
        <v>9042</v>
      </c>
      <c r="B1761" s="6" t="s">
        <v>4653</v>
      </c>
      <c r="C1761" s="10">
        <v>46041.0</v>
      </c>
      <c r="D1761" s="6" t="s">
        <v>289</v>
      </c>
      <c r="E1761" s="6" t="s">
        <v>1310</v>
      </c>
      <c r="F1761" s="6" t="s">
        <v>283</v>
      </c>
      <c r="G1761" s="6" t="s">
        <v>494</v>
      </c>
      <c r="H1761" s="10">
        <v>46042.0</v>
      </c>
      <c r="I1761" s="12">
        <v>7.0</v>
      </c>
      <c r="J1761" s="6" t="s">
        <v>161</v>
      </c>
    </row>
    <row r="1762" ht="22.5" customHeight="1">
      <c r="A1762" s="6" t="s">
        <v>9046</v>
      </c>
      <c r="B1762" s="6" t="s">
        <v>4653</v>
      </c>
      <c r="C1762" s="10">
        <v>46044.0</v>
      </c>
      <c r="D1762" s="6" t="s">
        <v>391</v>
      </c>
      <c r="E1762" s="6" t="s">
        <v>475</v>
      </c>
      <c r="F1762" s="6" t="s">
        <v>249</v>
      </c>
      <c r="G1762" s="6" t="s">
        <v>297</v>
      </c>
      <c r="H1762" s="10">
        <v>46048.0</v>
      </c>
      <c r="I1762" s="12">
        <v>11.0</v>
      </c>
      <c r="J1762" s="6" t="s">
        <v>161</v>
      </c>
    </row>
    <row r="1763" ht="22.5" customHeight="1">
      <c r="A1763" s="6" t="s">
        <v>9049</v>
      </c>
      <c r="B1763" s="6" t="s">
        <v>4653</v>
      </c>
      <c r="C1763" s="10">
        <v>46030.0</v>
      </c>
      <c r="D1763" s="6" t="s">
        <v>391</v>
      </c>
      <c r="E1763" s="6" t="s">
        <v>1570</v>
      </c>
      <c r="F1763" s="6" t="s">
        <v>112</v>
      </c>
      <c r="G1763" s="6" t="s">
        <v>369</v>
      </c>
      <c r="H1763" s="10">
        <v>46033.0</v>
      </c>
      <c r="I1763" s="12">
        <v>8.0</v>
      </c>
      <c r="J1763" s="6" t="s">
        <v>161</v>
      </c>
    </row>
    <row r="1764" ht="22.5" customHeight="1">
      <c r="A1764" s="6" t="s">
        <v>9053</v>
      </c>
      <c r="B1764" s="6" t="s">
        <v>4653</v>
      </c>
      <c r="C1764" s="10">
        <v>46039.0</v>
      </c>
      <c r="D1764" s="6" t="s">
        <v>289</v>
      </c>
      <c r="E1764" s="6" t="s">
        <v>394</v>
      </c>
      <c r="F1764" s="6" t="s">
        <v>249</v>
      </c>
      <c r="G1764" s="6" t="s">
        <v>477</v>
      </c>
      <c r="H1764" s="10">
        <v>46040.0</v>
      </c>
      <c r="I1764" s="12">
        <v>9.0</v>
      </c>
      <c r="J1764" s="6" t="s">
        <v>161</v>
      </c>
    </row>
    <row r="1765" ht="22.5" customHeight="1">
      <c r="A1765" s="6" t="s">
        <v>9059</v>
      </c>
      <c r="B1765" s="6" t="s">
        <v>4653</v>
      </c>
      <c r="C1765" s="10">
        <v>46031.0</v>
      </c>
      <c r="D1765" s="6" t="s">
        <v>677</v>
      </c>
      <c r="E1765" s="6" t="s">
        <v>365</v>
      </c>
      <c r="F1765" s="6" t="s">
        <v>112</v>
      </c>
      <c r="G1765" s="6" t="s">
        <v>452</v>
      </c>
      <c r="H1765" s="10">
        <v>46035.0</v>
      </c>
      <c r="I1765" s="12">
        <v>4.0</v>
      </c>
      <c r="J1765" s="6" t="s">
        <v>161</v>
      </c>
    </row>
    <row r="1766" ht="22.5" customHeight="1">
      <c r="A1766" s="6" t="s">
        <v>9063</v>
      </c>
      <c r="B1766" s="6" t="s">
        <v>4659</v>
      </c>
      <c r="C1766" s="10">
        <v>46057.0</v>
      </c>
      <c r="D1766" s="6" t="s">
        <v>289</v>
      </c>
      <c r="E1766" s="6" t="s">
        <v>2365</v>
      </c>
      <c r="F1766" s="6" t="s">
        <v>283</v>
      </c>
      <c r="G1766" s="6" t="s">
        <v>452</v>
      </c>
      <c r="H1766" s="10">
        <v>46061.0</v>
      </c>
      <c r="I1766" s="12">
        <v>5.0</v>
      </c>
      <c r="J1766" s="6" t="s">
        <v>161</v>
      </c>
    </row>
    <row r="1767" ht="22.5" customHeight="1">
      <c r="A1767" s="6" t="s">
        <v>9068</v>
      </c>
      <c r="B1767" s="6" t="s">
        <v>4659</v>
      </c>
      <c r="C1767" s="10">
        <v>46060.0</v>
      </c>
      <c r="D1767" s="6" t="s">
        <v>677</v>
      </c>
      <c r="E1767" s="6" t="s">
        <v>1969</v>
      </c>
      <c r="F1767" s="6" t="s">
        <v>112</v>
      </c>
      <c r="G1767" s="6" t="s">
        <v>494</v>
      </c>
      <c r="H1767" s="10">
        <v>46062.0</v>
      </c>
      <c r="I1767" s="12">
        <v>2.0</v>
      </c>
      <c r="J1767" s="6" t="s">
        <v>161</v>
      </c>
    </row>
    <row r="1768" ht="22.5" customHeight="1">
      <c r="A1768" s="6" t="s">
        <v>9072</v>
      </c>
      <c r="B1768" s="6" t="s">
        <v>4666</v>
      </c>
      <c r="C1768" s="10">
        <v>46031.0</v>
      </c>
      <c r="D1768" s="6" t="s">
        <v>312</v>
      </c>
      <c r="E1768" s="6" t="s">
        <v>787</v>
      </c>
      <c r="F1768" s="6" t="s">
        <v>249</v>
      </c>
      <c r="G1768" s="6" t="s">
        <v>369</v>
      </c>
      <c r="H1768" s="11" t="s">
        <v>259</v>
      </c>
      <c r="I1768" s="12">
        <v>7.0</v>
      </c>
      <c r="J1768" s="6" t="s">
        <v>161</v>
      </c>
    </row>
    <row r="1769" ht="22.5" customHeight="1">
      <c r="A1769" s="6" t="s">
        <v>9078</v>
      </c>
      <c r="B1769" s="6" t="s">
        <v>4666</v>
      </c>
      <c r="C1769" s="10">
        <v>46035.0</v>
      </c>
      <c r="D1769" s="6" t="s">
        <v>677</v>
      </c>
      <c r="E1769" s="6" t="s">
        <v>1626</v>
      </c>
      <c r="F1769" s="6" t="s">
        <v>283</v>
      </c>
      <c r="G1769" s="6" t="s">
        <v>297</v>
      </c>
      <c r="H1769" s="10">
        <v>46041.0</v>
      </c>
      <c r="I1769" s="12">
        <v>4.0</v>
      </c>
      <c r="J1769" s="6" t="s">
        <v>161</v>
      </c>
    </row>
    <row r="1770" ht="22.5" customHeight="1">
      <c r="A1770" s="6" t="s">
        <v>9080</v>
      </c>
      <c r="B1770" s="6" t="s">
        <v>4666</v>
      </c>
      <c r="C1770" s="10">
        <v>46037.0</v>
      </c>
      <c r="D1770" s="6" t="s">
        <v>677</v>
      </c>
      <c r="E1770" s="6" t="s">
        <v>1700</v>
      </c>
      <c r="F1770" s="6" t="s">
        <v>283</v>
      </c>
      <c r="G1770" s="6" t="s">
        <v>297</v>
      </c>
      <c r="H1770" s="11" t="s">
        <v>259</v>
      </c>
      <c r="I1770" s="12">
        <v>4.0</v>
      </c>
      <c r="J1770" s="6" t="s">
        <v>161</v>
      </c>
    </row>
    <row r="1771" ht="22.5" customHeight="1">
      <c r="A1771" s="6" t="s">
        <v>9085</v>
      </c>
      <c r="B1771" s="6" t="s">
        <v>4666</v>
      </c>
      <c r="C1771" s="10">
        <v>46037.0</v>
      </c>
      <c r="D1771" s="6" t="s">
        <v>289</v>
      </c>
      <c r="E1771" s="6" t="s">
        <v>246</v>
      </c>
      <c r="F1771" s="6" t="s">
        <v>249</v>
      </c>
      <c r="G1771" s="6" t="s">
        <v>452</v>
      </c>
      <c r="H1771" s="10">
        <v>46037.0</v>
      </c>
      <c r="I1771" s="12">
        <v>6.0</v>
      </c>
      <c r="J1771" s="6" t="s">
        <v>161</v>
      </c>
    </row>
    <row r="1772" ht="22.5" customHeight="1">
      <c r="A1772" s="6" t="s">
        <v>9089</v>
      </c>
      <c r="B1772" s="6" t="s">
        <v>4672</v>
      </c>
      <c r="C1772" s="10">
        <v>46082.0</v>
      </c>
      <c r="D1772" s="6" t="s">
        <v>416</v>
      </c>
      <c r="E1772" s="6" t="s">
        <v>1386</v>
      </c>
      <c r="F1772" s="6" t="s">
        <v>283</v>
      </c>
      <c r="G1772" s="6" t="s">
        <v>326</v>
      </c>
      <c r="H1772" s="10">
        <v>46082.0</v>
      </c>
      <c r="I1772" s="12">
        <v>12.0</v>
      </c>
      <c r="J1772" s="6" t="s">
        <v>161</v>
      </c>
    </row>
    <row r="1773" ht="22.5" customHeight="1">
      <c r="A1773" s="6" t="s">
        <v>9093</v>
      </c>
      <c r="B1773" s="6" t="s">
        <v>4672</v>
      </c>
      <c r="C1773" s="10">
        <v>46084.0</v>
      </c>
      <c r="D1773" s="6" t="s">
        <v>312</v>
      </c>
      <c r="E1773" s="6" t="s">
        <v>1517</v>
      </c>
      <c r="F1773" s="6" t="s">
        <v>112</v>
      </c>
      <c r="G1773" s="6" t="s">
        <v>458</v>
      </c>
      <c r="H1773" s="10">
        <v>46086.0</v>
      </c>
      <c r="I1773" s="12">
        <v>4.0</v>
      </c>
      <c r="J1773" s="6" t="s">
        <v>161</v>
      </c>
    </row>
    <row r="1774" ht="22.5" customHeight="1">
      <c r="A1774" s="6" t="s">
        <v>9097</v>
      </c>
      <c r="B1774" s="6" t="s">
        <v>4672</v>
      </c>
      <c r="C1774" s="10">
        <v>46077.0</v>
      </c>
      <c r="D1774" s="6" t="s">
        <v>677</v>
      </c>
      <c r="E1774" s="6" t="s">
        <v>1102</v>
      </c>
      <c r="F1774" s="6" t="s">
        <v>249</v>
      </c>
      <c r="G1774" s="6" t="s">
        <v>254</v>
      </c>
      <c r="H1774" s="10">
        <v>46083.0</v>
      </c>
      <c r="I1774" s="12">
        <v>4.0</v>
      </c>
      <c r="J1774" s="6" t="s">
        <v>161</v>
      </c>
    </row>
    <row r="1775" ht="22.5" customHeight="1">
      <c r="A1775" s="6" t="s">
        <v>9103</v>
      </c>
      <c r="B1775" s="6" t="s">
        <v>4678</v>
      </c>
      <c r="C1775" s="10">
        <v>46030.0</v>
      </c>
      <c r="D1775" s="6" t="s">
        <v>242</v>
      </c>
      <c r="E1775" s="6" t="s">
        <v>450</v>
      </c>
      <c r="F1775" s="6" t="s">
        <v>283</v>
      </c>
      <c r="G1775" s="6" t="s">
        <v>477</v>
      </c>
      <c r="H1775" s="10">
        <v>46036.0</v>
      </c>
      <c r="I1775" s="12">
        <v>3.0</v>
      </c>
      <c r="J1775" s="6" t="s">
        <v>178</v>
      </c>
    </row>
    <row r="1776" ht="22.5" customHeight="1">
      <c r="A1776" s="6" t="s">
        <v>9106</v>
      </c>
      <c r="B1776" s="6" t="s">
        <v>4678</v>
      </c>
      <c r="C1776" s="10">
        <v>46041.0</v>
      </c>
      <c r="D1776" s="6" t="s">
        <v>312</v>
      </c>
      <c r="E1776" s="6" t="s">
        <v>566</v>
      </c>
      <c r="F1776" s="6" t="s">
        <v>112</v>
      </c>
      <c r="G1776" s="6" t="s">
        <v>254</v>
      </c>
      <c r="H1776" s="10">
        <v>46048.0</v>
      </c>
      <c r="I1776" s="12">
        <v>7.0</v>
      </c>
      <c r="J1776" s="6" t="s">
        <v>161</v>
      </c>
    </row>
    <row r="1777" ht="22.5" customHeight="1">
      <c r="A1777" s="6" t="s">
        <v>9110</v>
      </c>
      <c r="B1777" s="6" t="s">
        <v>4678</v>
      </c>
      <c r="C1777" s="10">
        <v>46028.0</v>
      </c>
      <c r="D1777" s="6" t="s">
        <v>391</v>
      </c>
      <c r="E1777" s="6" t="s">
        <v>618</v>
      </c>
      <c r="F1777" s="6" t="s">
        <v>439</v>
      </c>
      <c r="G1777" s="6" t="s">
        <v>494</v>
      </c>
      <c r="H1777" s="10">
        <v>46034.0</v>
      </c>
      <c r="I1777" s="12">
        <v>6.0</v>
      </c>
      <c r="J1777" s="6" t="s">
        <v>161</v>
      </c>
    </row>
    <row r="1778" ht="22.5" customHeight="1">
      <c r="A1778" s="6" t="s">
        <v>9114</v>
      </c>
      <c r="B1778" s="6" t="s">
        <v>4684</v>
      </c>
      <c r="C1778" s="10">
        <v>46079.0</v>
      </c>
      <c r="D1778" s="6" t="s">
        <v>391</v>
      </c>
      <c r="E1778" s="6" t="s">
        <v>583</v>
      </c>
      <c r="F1778" s="6" t="s">
        <v>283</v>
      </c>
      <c r="G1778" s="6" t="s">
        <v>494</v>
      </c>
      <c r="H1778" s="11" t="s">
        <v>259</v>
      </c>
      <c r="I1778" s="12">
        <v>6.0</v>
      </c>
      <c r="J1778" s="6" t="s">
        <v>161</v>
      </c>
    </row>
    <row r="1779" ht="22.5" customHeight="1">
      <c r="A1779" s="6" t="s">
        <v>9119</v>
      </c>
      <c r="B1779" s="6" t="s">
        <v>4684</v>
      </c>
      <c r="C1779" s="10">
        <v>46078.0</v>
      </c>
      <c r="D1779" s="6" t="s">
        <v>312</v>
      </c>
      <c r="E1779" s="6" t="s">
        <v>246</v>
      </c>
      <c r="F1779" s="6" t="s">
        <v>112</v>
      </c>
      <c r="G1779" s="6" t="s">
        <v>494</v>
      </c>
      <c r="H1779" s="10">
        <v>46078.0</v>
      </c>
      <c r="I1779" s="12">
        <v>7.0</v>
      </c>
      <c r="J1779" s="6" t="s">
        <v>161</v>
      </c>
    </row>
    <row r="1780" ht="22.5" customHeight="1">
      <c r="A1780" s="6" t="s">
        <v>9124</v>
      </c>
      <c r="B1780" s="6" t="s">
        <v>4684</v>
      </c>
      <c r="C1780" s="10">
        <v>46072.0</v>
      </c>
      <c r="D1780" s="6" t="s">
        <v>289</v>
      </c>
      <c r="E1780" s="6" t="s">
        <v>1386</v>
      </c>
      <c r="F1780" s="6" t="s">
        <v>112</v>
      </c>
      <c r="G1780" s="6" t="s">
        <v>452</v>
      </c>
      <c r="H1780" s="10">
        <v>46077.0</v>
      </c>
      <c r="I1780" s="12">
        <v>10.0</v>
      </c>
      <c r="J1780" s="6" t="s">
        <v>161</v>
      </c>
    </row>
    <row r="1781" ht="22.5" customHeight="1">
      <c r="A1781" s="6" t="s">
        <v>9129</v>
      </c>
      <c r="B1781" s="6" t="s">
        <v>4684</v>
      </c>
      <c r="C1781" s="10">
        <v>46087.0</v>
      </c>
      <c r="D1781" s="6" t="s">
        <v>416</v>
      </c>
      <c r="E1781" s="6" t="s">
        <v>634</v>
      </c>
      <c r="F1781" s="6" t="s">
        <v>283</v>
      </c>
      <c r="G1781" s="6" t="s">
        <v>458</v>
      </c>
      <c r="H1781" s="10">
        <v>46087.0</v>
      </c>
      <c r="I1781" s="12">
        <v>14.0</v>
      </c>
      <c r="J1781" s="6" t="s">
        <v>161</v>
      </c>
    </row>
    <row r="1782" ht="22.5" customHeight="1">
      <c r="A1782" s="6" t="s">
        <v>9133</v>
      </c>
      <c r="B1782" s="6" t="s">
        <v>4684</v>
      </c>
      <c r="C1782" s="10">
        <v>46082.0</v>
      </c>
      <c r="D1782" s="6" t="s">
        <v>312</v>
      </c>
      <c r="E1782" s="6" t="s">
        <v>475</v>
      </c>
      <c r="F1782" s="6" t="s">
        <v>112</v>
      </c>
      <c r="G1782" s="6" t="s">
        <v>477</v>
      </c>
      <c r="H1782" s="10">
        <v>46084.0</v>
      </c>
      <c r="I1782" s="12">
        <v>6.0</v>
      </c>
      <c r="J1782" s="6" t="s">
        <v>161</v>
      </c>
    </row>
    <row r="1783" ht="22.5" customHeight="1">
      <c r="A1783" s="6" t="s">
        <v>9136</v>
      </c>
      <c r="B1783" s="6" t="s">
        <v>4691</v>
      </c>
      <c r="C1783" s="10">
        <v>46043.0</v>
      </c>
      <c r="D1783" s="6" t="s">
        <v>242</v>
      </c>
      <c r="E1783" s="6" t="s">
        <v>1296</v>
      </c>
      <c r="F1783" s="6" t="s">
        <v>112</v>
      </c>
      <c r="G1783" s="6" t="s">
        <v>297</v>
      </c>
      <c r="H1783" s="10">
        <v>46043.0</v>
      </c>
      <c r="I1783" s="12">
        <v>4.0</v>
      </c>
      <c r="J1783" s="6" t="s">
        <v>161</v>
      </c>
    </row>
    <row r="1784" ht="22.5" customHeight="1">
      <c r="A1784" s="6" t="s">
        <v>9142</v>
      </c>
      <c r="B1784" s="6" t="s">
        <v>4697</v>
      </c>
      <c r="C1784" s="10">
        <v>46063.0</v>
      </c>
      <c r="D1784" s="6" t="s">
        <v>391</v>
      </c>
      <c r="E1784" s="6" t="s">
        <v>1102</v>
      </c>
      <c r="F1784" s="6" t="s">
        <v>249</v>
      </c>
      <c r="G1784" s="6" t="s">
        <v>477</v>
      </c>
      <c r="H1784" s="10">
        <v>46066.0</v>
      </c>
      <c r="I1784" s="12">
        <v>11.0</v>
      </c>
      <c r="J1784" s="6" t="s">
        <v>161</v>
      </c>
    </row>
    <row r="1785" ht="22.5" customHeight="1">
      <c r="A1785" s="6" t="s">
        <v>9145</v>
      </c>
      <c r="B1785" s="6" t="s">
        <v>4702</v>
      </c>
      <c r="C1785" s="10">
        <v>46054.0</v>
      </c>
      <c r="D1785" s="6" t="s">
        <v>242</v>
      </c>
      <c r="E1785" s="6" t="s">
        <v>438</v>
      </c>
      <c r="F1785" s="6" t="s">
        <v>439</v>
      </c>
      <c r="G1785" s="6" t="s">
        <v>458</v>
      </c>
      <c r="H1785" s="10">
        <v>46059.0</v>
      </c>
      <c r="I1785" s="12">
        <v>3.0</v>
      </c>
      <c r="J1785" s="6" t="s">
        <v>161</v>
      </c>
    </row>
    <row r="1786" ht="22.5" customHeight="1">
      <c r="A1786" s="6" t="s">
        <v>9149</v>
      </c>
      <c r="B1786" s="6" t="s">
        <v>4709</v>
      </c>
      <c r="C1786" s="10">
        <v>46048.0</v>
      </c>
      <c r="D1786" s="6" t="s">
        <v>391</v>
      </c>
      <c r="E1786" s="6" t="s">
        <v>863</v>
      </c>
      <c r="F1786" s="6" t="s">
        <v>439</v>
      </c>
      <c r="G1786" s="6" t="s">
        <v>477</v>
      </c>
      <c r="H1786" s="10">
        <v>46054.0</v>
      </c>
      <c r="I1786" s="12">
        <v>7.0</v>
      </c>
      <c r="J1786" s="6" t="s">
        <v>161</v>
      </c>
    </row>
    <row r="1787" ht="22.5" customHeight="1">
      <c r="A1787" s="6" t="s">
        <v>9151</v>
      </c>
      <c r="B1787" s="6" t="s">
        <v>4709</v>
      </c>
      <c r="C1787" s="10">
        <v>46036.0</v>
      </c>
      <c r="D1787" s="6" t="s">
        <v>416</v>
      </c>
      <c r="E1787" s="6" t="s">
        <v>2881</v>
      </c>
      <c r="F1787" s="6" t="s">
        <v>283</v>
      </c>
      <c r="G1787" s="6" t="s">
        <v>326</v>
      </c>
      <c r="H1787" s="10">
        <v>46043.0</v>
      </c>
      <c r="I1787" s="12">
        <v>9.0</v>
      </c>
      <c r="J1787" s="6" t="s">
        <v>161</v>
      </c>
    </row>
    <row r="1788" ht="22.5" customHeight="1">
      <c r="A1788" s="6" t="s">
        <v>9155</v>
      </c>
      <c r="B1788" s="6" t="s">
        <v>4709</v>
      </c>
      <c r="C1788" s="10">
        <v>46051.0</v>
      </c>
      <c r="D1788" s="6" t="s">
        <v>677</v>
      </c>
      <c r="E1788" s="6" t="s">
        <v>833</v>
      </c>
      <c r="F1788" s="6" t="s">
        <v>249</v>
      </c>
      <c r="G1788" s="6" t="s">
        <v>452</v>
      </c>
      <c r="H1788" s="11" t="s">
        <v>259</v>
      </c>
      <c r="I1788" s="12">
        <v>2.0</v>
      </c>
      <c r="J1788" s="6" t="s">
        <v>161</v>
      </c>
    </row>
    <row r="1789" ht="22.5" customHeight="1">
      <c r="A1789" s="6" t="s">
        <v>9158</v>
      </c>
      <c r="B1789" s="6" t="s">
        <v>4716</v>
      </c>
      <c r="C1789" s="10">
        <v>46064.0</v>
      </c>
      <c r="D1789" s="6" t="s">
        <v>677</v>
      </c>
      <c r="E1789" s="6" t="s">
        <v>1741</v>
      </c>
      <c r="F1789" s="6" t="s">
        <v>439</v>
      </c>
      <c r="G1789" s="6" t="s">
        <v>494</v>
      </c>
      <c r="H1789" s="10">
        <v>46065.0</v>
      </c>
      <c r="I1789" s="12">
        <v>2.0</v>
      </c>
      <c r="J1789" s="6" t="s">
        <v>161</v>
      </c>
    </row>
    <row r="1790" ht="22.5" customHeight="1">
      <c r="A1790" s="6" t="s">
        <v>9162</v>
      </c>
      <c r="B1790" s="6" t="s">
        <v>4716</v>
      </c>
      <c r="C1790" s="10">
        <v>46064.0</v>
      </c>
      <c r="D1790" s="6" t="s">
        <v>391</v>
      </c>
      <c r="E1790" s="6" t="s">
        <v>438</v>
      </c>
      <c r="F1790" s="6" t="s">
        <v>249</v>
      </c>
      <c r="G1790" s="6" t="s">
        <v>458</v>
      </c>
      <c r="H1790" s="10">
        <v>46064.0</v>
      </c>
      <c r="I1790" s="12">
        <v>11.0</v>
      </c>
      <c r="J1790" s="6" t="s">
        <v>161</v>
      </c>
    </row>
    <row r="1791" ht="22.5" customHeight="1">
      <c r="A1791" s="6" t="s">
        <v>9165</v>
      </c>
      <c r="B1791" s="6" t="s">
        <v>4716</v>
      </c>
      <c r="C1791" s="10">
        <v>46051.0</v>
      </c>
      <c r="D1791" s="6" t="s">
        <v>289</v>
      </c>
      <c r="E1791" s="6" t="s">
        <v>1310</v>
      </c>
      <c r="F1791" s="6" t="s">
        <v>112</v>
      </c>
      <c r="G1791" s="6" t="s">
        <v>477</v>
      </c>
      <c r="H1791" s="10">
        <v>46054.0</v>
      </c>
      <c r="I1791" s="12">
        <v>8.0</v>
      </c>
      <c r="J1791" s="6" t="s">
        <v>161</v>
      </c>
    </row>
    <row r="1792" ht="22.5" customHeight="1">
      <c r="A1792" s="6" t="s">
        <v>9169</v>
      </c>
      <c r="B1792" s="6" t="s">
        <v>4716</v>
      </c>
      <c r="C1792" s="10">
        <v>46054.0</v>
      </c>
      <c r="D1792" s="6" t="s">
        <v>416</v>
      </c>
      <c r="E1792" s="6" t="s">
        <v>320</v>
      </c>
      <c r="F1792" s="6" t="s">
        <v>283</v>
      </c>
      <c r="G1792" s="6" t="s">
        <v>458</v>
      </c>
      <c r="H1792" s="10">
        <v>46060.0</v>
      </c>
      <c r="I1792" s="12">
        <v>14.0</v>
      </c>
      <c r="J1792" s="6" t="s">
        <v>161</v>
      </c>
    </row>
    <row r="1793" ht="22.5" customHeight="1">
      <c r="A1793" s="6" t="s">
        <v>9174</v>
      </c>
      <c r="B1793" s="6" t="s">
        <v>4722</v>
      </c>
      <c r="C1793" s="10">
        <v>46081.0</v>
      </c>
      <c r="D1793" s="6" t="s">
        <v>312</v>
      </c>
      <c r="E1793" s="6" t="s">
        <v>1296</v>
      </c>
      <c r="F1793" s="6" t="s">
        <v>439</v>
      </c>
      <c r="G1793" s="6" t="s">
        <v>254</v>
      </c>
      <c r="H1793" s="10">
        <v>46083.0</v>
      </c>
      <c r="I1793" s="12">
        <v>7.0</v>
      </c>
      <c r="J1793" s="6" t="s">
        <v>161</v>
      </c>
    </row>
    <row r="1794" ht="22.5" customHeight="1">
      <c r="A1794" s="6" t="s">
        <v>9177</v>
      </c>
      <c r="B1794" s="6" t="s">
        <v>4722</v>
      </c>
      <c r="C1794" s="10">
        <v>46076.0</v>
      </c>
      <c r="D1794" s="6" t="s">
        <v>289</v>
      </c>
      <c r="E1794" s="6" t="s">
        <v>1055</v>
      </c>
      <c r="F1794" s="6" t="s">
        <v>249</v>
      </c>
      <c r="G1794" s="6" t="s">
        <v>452</v>
      </c>
      <c r="H1794" s="10">
        <v>46082.0</v>
      </c>
      <c r="I1794" s="12">
        <v>7.0</v>
      </c>
      <c r="J1794" s="6" t="s">
        <v>161</v>
      </c>
    </row>
    <row r="1795" ht="22.5" customHeight="1">
      <c r="A1795" s="6" t="s">
        <v>9182</v>
      </c>
      <c r="B1795" s="6" t="s">
        <v>4722</v>
      </c>
      <c r="C1795" s="10">
        <v>46087.0</v>
      </c>
      <c r="D1795" s="6" t="s">
        <v>677</v>
      </c>
      <c r="E1795" s="6" t="s">
        <v>787</v>
      </c>
      <c r="F1795" s="6" t="s">
        <v>283</v>
      </c>
      <c r="G1795" s="6" t="s">
        <v>254</v>
      </c>
      <c r="H1795" s="10">
        <v>46091.0</v>
      </c>
      <c r="I1795" s="12">
        <v>2.0</v>
      </c>
      <c r="J1795" s="6" t="s">
        <v>161</v>
      </c>
    </row>
    <row r="1796" ht="22.5" customHeight="1">
      <c r="A1796" s="6" t="s">
        <v>9185</v>
      </c>
      <c r="B1796" s="6" t="s">
        <v>4729</v>
      </c>
      <c r="C1796" s="10">
        <v>46046.0</v>
      </c>
      <c r="D1796" s="6" t="s">
        <v>312</v>
      </c>
      <c r="E1796" s="6" t="s">
        <v>618</v>
      </c>
      <c r="F1796" s="6" t="s">
        <v>439</v>
      </c>
      <c r="G1796" s="6" t="s">
        <v>297</v>
      </c>
      <c r="H1796" s="11" t="s">
        <v>259</v>
      </c>
      <c r="I1796" s="12">
        <v>4.0</v>
      </c>
      <c r="J1796" s="6" t="s">
        <v>161</v>
      </c>
    </row>
    <row r="1797" ht="22.5" customHeight="1">
      <c r="A1797" s="6" t="s">
        <v>9189</v>
      </c>
      <c r="B1797" s="6" t="s">
        <v>4729</v>
      </c>
      <c r="C1797" s="10">
        <v>46036.0</v>
      </c>
      <c r="D1797" s="6" t="s">
        <v>436</v>
      </c>
      <c r="E1797" s="6" t="s">
        <v>1570</v>
      </c>
      <c r="F1797" s="6" t="s">
        <v>249</v>
      </c>
      <c r="G1797" s="6" t="s">
        <v>326</v>
      </c>
      <c r="H1797" s="10">
        <v>46042.0</v>
      </c>
      <c r="I1797" s="12">
        <v>9.0</v>
      </c>
      <c r="J1797" s="6" t="s">
        <v>178</v>
      </c>
    </row>
    <row r="1798" ht="22.5" customHeight="1">
      <c r="A1798" s="6" t="s">
        <v>9192</v>
      </c>
      <c r="B1798" s="6" t="s">
        <v>4729</v>
      </c>
      <c r="C1798" s="10">
        <v>46035.0</v>
      </c>
      <c r="D1798" s="6" t="s">
        <v>416</v>
      </c>
      <c r="E1798" s="6" t="s">
        <v>1122</v>
      </c>
      <c r="F1798" s="6" t="s">
        <v>439</v>
      </c>
      <c r="G1798" s="6" t="s">
        <v>297</v>
      </c>
      <c r="H1798" s="10">
        <v>46035.0</v>
      </c>
      <c r="I1798" s="12">
        <v>10.0</v>
      </c>
      <c r="J1798" s="6" t="s">
        <v>161</v>
      </c>
    </row>
    <row r="1799" ht="22.5" customHeight="1">
      <c r="A1799" s="6" t="s">
        <v>9196</v>
      </c>
      <c r="B1799" s="6" t="s">
        <v>4729</v>
      </c>
      <c r="C1799" s="10">
        <v>46039.0</v>
      </c>
      <c r="D1799" s="6" t="s">
        <v>436</v>
      </c>
      <c r="E1799" s="6" t="s">
        <v>1310</v>
      </c>
      <c r="F1799" s="6" t="s">
        <v>283</v>
      </c>
      <c r="G1799" s="6" t="s">
        <v>458</v>
      </c>
      <c r="H1799" s="10">
        <v>46041.0</v>
      </c>
      <c r="I1799" s="12">
        <v>6.0</v>
      </c>
      <c r="J1799" s="6" t="s">
        <v>161</v>
      </c>
    </row>
    <row r="1800" ht="22.5" customHeight="1">
      <c r="A1800" s="6" t="s">
        <v>9198</v>
      </c>
      <c r="B1800" s="6" t="s">
        <v>4735</v>
      </c>
      <c r="C1800" s="10">
        <v>46064.0</v>
      </c>
      <c r="D1800" s="6" t="s">
        <v>436</v>
      </c>
      <c r="E1800" s="6" t="s">
        <v>1517</v>
      </c>
      <c r="F1800" s="6" t="s">
        <v>283</v>
      </c>
      <c r="G1800" s="6" t="s">
        <v>494</v>
      </c>
      <c r="H1800" s="10">
        <v>46069.0</v>
      </c>
      <c r="I1800" s="12">
        <v>6.0</v>
      </c>
      <c r="J1800" s="6" t="s">
        <v>178</v>
      </c>
    </row>
    <row r="1801" ht="22.5" customHeight="1">
      <c r="A1801" s="6" t="s">
        <v>9204</v>
      </c>
      <c r="B1801" s="6" t="s">
        <v>4735</v>
      </c>
      <c r="C1801" s="10">
        <v>46049.0</v>
      </c>
      <c r="D1801" s="6" t="s">
        <v>436</v>
      </c>
      <c r="E1801" s="6" t="s">
        <v>1310</v>
      </c>
      <c r="F1801" s="6" t="s">
        <v>249</v>
      </c>
      <c r="G1801" s="6" t="s">
        <v>326</v>
      </c>
      <c r="H1801" s="11" t="s">
        <v>259</v>
      </c>
      <c r="I1801" s="12">
        <v>10.0</v>
      </c>
      <c r="J1801" s="6" t="s">
        <v>178</v>
      </c>
    </row>
    <row r="1802" ht="22.5" customHeight="1">
      <c r="A1802" s="6" t="s">
        <v>9208</v>
      </c>
      <c r="B1802" s="6" t="s">
        <v>4735</v>
      </c>
      <c r="C1802" s="10">
        <v>46060.0</v>
      </c>
      <c r="D1802" s="6" t="s">
        <v>391</v>
      </c>
      <c r="E1802" s="6" t="s">
        <v>1310</v>
      </c>
      <c r="F1802" s="6" t="s">
        <v>112</v>
      </c>
      <c r="G1802" s="6" t="s">
        <v>477</v>
      </c>
      <c r="H1802" s="10">
        <v>46064.0</v>
      </c>
      <c r="I1802" s="12">
        <v>9.0</v>
      </c>
      <c r="J1802" s="6" t="s">
        <v>161</v>
      </c>
    </row>
    <row r="1803" ht="22.5" customHeight="1">
      <c r="A1803" s="6" t="s">
        <v>9214</v>
      </c>
      <c r="B1803" s="6" t="s">
        <v>4735</v>
      </c>
      <c r="C1803" s="10">
        <v>46056.0</v>
      </c>
      <c r="D1803" s="6" t="s">
        <v>416</v>
      </c>
      <c r="E1803" s="6" t="s">
        <v>1517</v>
      </c>
      <c r="F1803" s="6" t="s">
        <v>439</v>
      </c>
      <c r="G1803" s="6" t="s">
        <v>477</v>
      </c>
      <c r="H1803" s="10">
        <v>46060.0</v>
      </c>
      <c r="I1803" s="12">
        <v>9.0</v>
      </c>
      <c r="J1803" s="6" t="s">
        <v>161</v>
      </c>
    </row>
    <row r="1804" ht="22.5" customHeight="1">
      <c r="A1804" s="6" t="s">
        <v>9221</v>
      </c>
      <c r="B1804" s="6" t="s">
        <v>4741</v>
      </c>
      <c r="C1804" s="10">
        <v>46071.0</v>
      </c>
      <c r="D1804" s="6" t="s">
        <v>391</v>
      </c>
      <c r="E1804" s="6" t="s">
        <v>1273</v>
      </c>
      <c r="F1804" s="6" t="s">
        <v>439</v>
      </c>
      <c r="G1804" s="6" t="s">
        <v>254</v>
      </c>
      <c r="H1804" s="10">
        <v>46075.0</v>
      </c>
      <c r="I1804" s="12">
        <v>11.0</v>
      </c>
      <c r="J1804" s="6" t="s">
        <v>161</v>
      </c>
    </row>
    <row r="1805" ht="22.5" customHeight="1">
      <c r="A1805" s="6" t="s">
        <v>9226</v>
      </c>
      <c r="B1805" s="6" t="s">
        <v>4746</v>
      </c>
      <c r="C1805" s="10">
        <v>46055.0</v>
      </c>
      <c r="D1805" s="6" t="s">
        <v>289</v>
      </c>
      <c r="E1805" s="6" t="s">
        <v>695</v>
      </c>
      <c r="F1805" s="6" t="s">
        <v>439</v>
      </c>
      <c r="G1805" s="6" t="s">
        <v>326</v>
      </c>
      <c r="H1805" s="10">
        <v>46056.0</v>
      </c>
      <c r="I1805" s="12">
        <v>7.0</v>
      </c>
      <c r="J1805" s="6" t="s">
        <v>161</v>
      </c>
    </row>
    <row r="1806" ht="22.5" customHeight="1">
      <c r="A1806" s="6" t="s">
        <v>9231</v>
      </c>
      <c r="B1806" s="6" t="s">
        <v>4746</v>
      </c>
      <c r="C1806" s="10">
        <v>46054.0</v>
      </c>
      <c r="D1806" s="6" t="s">
        <v>416</v>
      </c>
      <c r="E1806" s="6" t="s">
        <v>1741</v>
      </c>
      <c r="F1806" s="6" t="s">
        <v>249</v>
      </c>
      <c r="G1806" s="6" t="s">
        <v>369</v>
      </c>
      <c r="H1806" s="10">
        <v>46057.0</v>
      </c>
      <c r="I1806" s="12">
        <v>10.0</v>
      </c>
      <c r="J1806" s="6" t="s">
        <v>161</v>
      </c>
    </row>
    <row r="1807" ht="22.5" customHeight="1">
      <c r="A1807" s="6" t="s">
        <v>9234</v>
      </c>
      <c r="B1807" s="6" t="s">
        <v>4746</v>
      </c>
      <c r="C1807" s="10">
        <v>46059.0</v>
      </c>
      <c r="D1807" s="6" t="s">
        <v>312</v>
      </c>
      <c r="E1807" s="6" t="s">
        <v>394</v>
      </c>
      <c r="F1807" s="6" t="s">
        <v>439</v>
      </c>
      <c r="G1807" s="6" t="s">
        <v>326</v>
      </c>
      <c r="H1807" s="10">
        <v>46065.0</v>
      </c>
      <c r="I1807" s="12">
        <v>6.0</v>
      </c>
      <c r="J1807" s="6" t="s">
        <v>161</v>
      </c>
    </row>
    <row r="1808" ht="22.5" customHeight="1">
      <c r="A1808" s="6" t="s">
        <v>9240</v>
      </c>
      <c r="B1808" s="6" t="s">
        <v>4746</v>
      </c>
      <c r="C1808" s="10">
        <v>46044.0</v>
      </c>
      <c r="D1808" s="6" t="s">
        <v>436</v>
      </c>
      <c r="E1808" s="6" t="s">
        <v>704</v>
      </c>
      <c r="F1808" s="6" t="s">
        <v>283</v>
      </c>
      <c r="G1808" s="6" t="s">
        <v>477</v>
      </c>
      <c r="H1808" s="11" t="s">
        <v>259</v>
      </c>
      <c r="I1808" s="12">
        <v>6.0</v>
      </c>
      <c r="J1808" s="6" t="s">
        <v>178</v>
      </c>
    </row>
    <row r="1809" ht="22.5" customHeight="1">
      <c r="A1809" s="6" t="s">
        <v>9244</v>
      </c>
      <c r="B1809" s="6" t="s">
        <v>4753</v>
      </c>
      <c r="C1809" s="10">
        <v>46064.0</v>
      </c>
      <c r="D1809" s="6" t="s">
        <v>677</v>
      </c>
      <c r="E1809" s="6" t="s">
        <v>438</v>
      </c>
      <c r="F1809" s="6" t="s">
        <v>439</v>
      </c>
      <c r="G1809" s="6" t="s">
        <v>297</v>
      </c>
      <c r="H1809" s="11" t="s">
        <v>259</v>
      </c>
      <c r="I1809" s="12">
        <v>2.0</v>
      </c>
      <c r="J1809" s="6" t="s">
        <v>161</v>
      </c>
    </row>
    <row r="1810" ht="22.5" customHeight="1">
      <c r="A1810" s="6" t="s">
        <v>9250</v>
      </c>
      <c r="B1810" s="6" t="s">
        <v>4753</v>
      </c>
      <c r="C1810" s="10">
        <v>46066.0</v>
      </c>
      <c r="D1810" s="6" t="s">
        <v>312</v>
      </c>
      <c r="E1810" s="6" t="s">
        <v>634</v>
      </c>
      <c r="F1810" s="6" t="s">
        <v>439</v>
      </c>
      <c r="G1810" s="6" t="s">
        <v>326</v>
      </c>
      <c r="H1810" s="11" t="s">
        <v>259</v>
      </c>
      <c r="I1810" s="12">
        <v>7.0</v>
      </c>
      <c r="J1810" s="6" t="s">
        <v>161</v>
      </c>
    </row>
    <row r="1811" ht="22.5" customHeight="1">
      <c r="A1811" s="6" t="s">
        <v>9253</v>
      </c>
      <c r="B1811" s="6" t="s">
        <v>4753</v>
      </c>
      <c r="C1811" s="10">
        <v>46056.0</v>
      </c>
      <c r="D1811" s="6" t="s">
        <v>242</v>
      </c>
      <c r="E1811" s="6" t="s">
        <v>566</v>
      </c>
      <c r="F1811" s="6" t="s">
        <v>249</v>
      </c>
      <c r="G1811" s="6" t="s">
        <v>452</v>
      </c>
      <c r="H1811" s="11" t="s">
        <v>259</v>
      </c>
      <c r="I1811" s="12">
        <v>4.0</v>
      </c>
      <c r="J1811" s="6" t="s">
        <v>161</v>
      </c>
    </row>
    <row r="1812" ht="22.5" customHeight="1">
      <c r="A1812" s="6" t="s">
        <v>9258</v>
      </c>
      <c r="B1812" s="6" t="s">
        <v>4759</v>
      </c>
      <c r="C1812" s="10">
        <v>46056.0</v>
      </c>
      <c r="D1812" s="6" t="s">
        <v>436</v>
      </c>
      <c r="E1812" s="6" t="s">
        <v>955</v>
      </c>
      <c r="F1812" s="6" t="s">
        <v>112</v>
      </c>
      <c r="G1812" s="6" t="s">
        <v>326</v>
      </c>
      <c r="H1812" s="10">
        <v>46061.0</v>
      </c>
      <c r="I1812" s="12">
        <v>6.0</v>
      </c>
      <c r="J1812" s="6" t="s">
        <v>178</v>
      </c>
    </row>
    <row r="1813" ht="22.5" customHeight="1">
      <c r="A1813" s="6" t="s">
        <v>9263</v>
      </c>
      <c r="B1813" s="6" t="s">
        <v>4765</v>
      </c>
      <c r="C1813" s="10">
        <v>46048.0</v>
      </c>
      <c r="D1813" s="6" t="s">
        <v>312</v>
      </c>
      <c r="E1813" s="6" t="s">
        <v>775</v>
      </c>
      <c r="F1813" s="6" t="s">
        <v>249</v>
      </c>
      <c r="G1813" s="6" t="s">
        <v>494</v>
      </c>
      <c r="H1813" s="10">
        <v>46048.0</v>
      </c>
      <c r="I1813" s="12">
        <v>7.0</v>
      </c>
      <c r="J1813" s="6" t="s">
        <v>161</v>
      </c>
    </row>
    <row r="1814" ht="22.5" customHeight="1">
      <c r="A1814" s="6" t="s">
        <v>9265</v>
      </c>
      <c r="B1814" s="6" t="s">
        <v>4771</v>
      </c>
      <c r="C1814" s="10">
        <v>46070.0</v>
      </c>
      <c r="D1814" s="6" t="s">
        <v>391</v>
      </c>
      <c r="E1814" s="6" t="s">
        <v>896</v>
      </c>
      <c r="F1814" s="6" t="s">
        <v>439</v>
      </c>
      <c r="G1814" s="6" t="s">
        <v>326</v>
      </c>
      <c r="H1814" s="10">
        <v>46074.0</v>
      </c>
      <c r="I1814" s="12">
        <v>11.0</v>
      </c>
      <c r="J1814" s="6" t="s">
        <v>161</v>
      </c>
    </row>
    <row r="1815" ht="22.5" customHeight="1">
      <c r="A1815" s="6" t="s">
        <v>9269</v>
      </c>
      <c r="B1815" s="6" t="s">
        <v>4771</v>
      </c>
      <c r="C1815" s="10">
        <v>46073.0</v>
      </c>
      <c r="D1815" s="6" t="s">
        <v>677</v>
      </c>
      <c r="E1815" s="6" t="s">
        <v>320</v>
      </c>
      <c r="F1815" s="6" t="s">
        <v>283</v>
      </c>
      <c r="G1815" s="6" t="s">
        <v>452</v>
      </c>
      <c r="H1815" s="11" t="s">
        <v>259</v>
      </c>
      <c r="I1815" s="12">
        <v>3.0</v>
      </c>
      <c r="J1815" s="6" t="s">
        <v>161</v>
      </c>
    </row>
    <row r="1816" ht="22.5" customHeight="1">
      <c r="A1816" s="6" t="s">
        <v>9272</v>
      </c>
      <c r="B1816" s="6" t="s">
        <v>4771</v>
      </c>
      <c r="C1816" s="10">
        <v>46064.0</v>
      </c>
      <c r="D1816" s="6" t="s">
        <v>416</v>
      </c>
      <c r="E1816" s="6" t="s">
        <v>610</v>
      </c>
      <c r="F1816" s="6" t="s">
        <v>249</v>
      </c>
      <c r="G1816" s="6" t="s">
        <v>494</v>
      </c>
      <c r="H1816" s="10">
        <v>46068.0</v>
      </c>
      <c r="I1816" s="12">
        <v>9.0</v>
      </c>
      <c r="J1816" s="6" t="s">
        <v>161</v>
      </c>
    </row>
    <row r="1817" ht="22.5" customHeight="1">
      <c r="A1817" s="6" t="s">
        <v>9276</v>
      </c>
      <c r="B1817" s="6" t="s">
        <v>4771</v>
      </c>
      <c r="C1817" s="10">
        <v>46070.0</v>
      </c>
      <c r="D1817" s="6" t="s">
        <v>677</v>
      </c>
      <c r="E1817" s="6" t="s">
        <v>566</v>
      </c>
      <c r="F1817" s="6" t="s">
        <v>249</v>
      </c>
      <c r="G1817" s="6" t="s">
        <v>458</v>
      </c>
      <c r="H1817" s="11" t="s">
        <v>259</v>
      </c>
      <c r="I1817" s="12">
        <v>3.0</v>
      </c>
      <c r="J1817" s="6" t="s">
        <v>161</v>
      </c>
    </row>
    <row r="1818" ht="22.5" customHeight="1">
      <c r="A1818" s="6" t="s">
        <v>9279</v>
      </c>
      <c r="B1818" s="6" t="s">
        <v>4771</v>
      </c>
      <c r="C1818" s="10">
        <v>46067.0</v>
      </c>
      <c r="D1818" s="6" t="s">
        <v>242</v>
      </c>
      <c r="E1818" s="6" t="s">
        <v>1626</v>
      </c>
      <c r="F1818" s="6" t="s">
        <v>439</v>
      </c>
      <c r="G1818" s="6" t="s">
        <v>254</v>
      </c>
      <c r="H1818" s="10">
        <v>46074.0</v>
      </c>
      <c r="I1818" s="12">
        <v>5.0</v>
      </c>
      <c r="J1818" s="6" t="s">
        <v>178</v>
      </c>
    </row>
    <row r="1819" ht="22.5" customHeight="1">
      <c r="A1819" s="6" t="s">
        <v>9285</v>
      </c>
      <c r="B1819" s="6" t="s">
        <v>4776</v>
      </c>
      <c r="C1819" s="10">
        <v>46059.0</v>
      </c>
      <c r="D1819" s="6" t="s">
        <v>436</v>
      </c>
      <c r="E1819" s="6" t="s">
        <v>320</v>
      </c>
      <c r="F1819" s="6" t="s">
        <v>249</v>
      </c>
      <c r="G1819" s="6" t="s">
        <v>369</v>
      </c>
      <c r="H1819" s="10">
        <v>46065.0</v>
      </c>
      <c r="I1819" s="12">
        <v>10.0</v>
      </c>
      <c r="J1819" s="6" t="s">
        <v>178</v>
      </c>
    </row>
    <row r="1820" ht="22.5" customHeight="1">
      <c r="A1820" s="6" t="s">
        <v>9291</v>
      </c>
      <c r="B1820" s="6" t="s">
        <v>4776</v>
      </c>
      <c r="C1820" s="10">
        <v>46066.0</v>
      </c>
      <c r="D1820" s="6" t="s">
        <v>242</v>
      </c>
      <c r="E1820" s="6" t="s">
        <v>658</v>
      </c>
      <c r="F1820" s="6" t="s">
        <v>439</v>
      </c>
      <c r="G1820" s="6" t="s">
        <v>452</v>
      </c>
      <c r="H1820" s="10">
        <v>46071.0</v>
      </c>
      <c r="I1820" s="12">
        <v>4.0</v>
      </c>
      <c r="J1820" s="6" t="s">
        <v>178</v>
      </c>
    </row>
    <row r="1821" ht="22.5" customHeight="1">
      <c r="A1821" s="6" t="s">
        <v>9296</v>
      </c>
      <c r="B1821" s="6" t="s">
        <v>4776</v>
      </c>
      <c r="C1821" s="10">
        <v>46067.0</v>
      </c>
      <c r="D1821" s="6" t="s">
        <v>312</v>
      </c>
      <c r="E1821" s="6" t="s">
        <v>863</v>
      </c>
      <c r="F1821" s="6" t="s">
        <v>112</v>
      </c>
      <c r="G1821" s="6" t="s">
        <v>369</v>
      </c>
      <c r="H1821" s="10">
        <v>46074.0</v>
      </c>
      <c r="I1821" s="12">
        <v>6.0</v>
      </c>
      <c r="J1821" s="6" t="s">
        <v>161</v>
      </c>
    </row>
    <row r="1822" ht="22.5" customHeight="1">
      <c r="A1822" s="6" t="s">
        <v>9301</v>
      </c>
      <c r="B1822" s="6" t="s">
        <v>4781</v>
      </c>
      <c r="C1822" s="10">
        <v>46073.0</v>
      </c>
      <c r="D1822" s="6" t="s">
        <v>416</v>
      </c>
      <c r="E1822" s="6" t="s">
        <v>1241</v>
      </c>
      <c r="F1822" s="6" t="s">
        <v>283</v>
      </c>
      <c r="G1822" s="6" t="s">
        <v>452</v>
      </c>
      <c r="H1822" s="10">
        <v>46076.0</v>
      </c>
      <c r="I1822" s="12">
        <v>12.0</v>
      </c>
      <c r="J1822" s="6" t="s">
        <v>161</v>
      </c>
    </row>
    <row r="1823" ht="22.5" customHeight="1">
      <c r="A1823" s="6" t="s">
        <v>9306</v>
      </c>
      <c r="B1823" s="6" t="s">
        <v>4781</v>
      </c>
      <c r="C1823" s="10">
        <v>46054.0</v>
      </c>
      <c r="D1823" s="6" t="s">
        <v>391</v>
      </c>
      <c r="E1823" s="6" t="s">
        <v>1122</v>
      </c>
      <c r="F1823" s="6" t="s">
        <v>439</v>
      </c>
      <c r="G1823" s="6" t="s">
        <v>369</v>
      </c>
      <c r="H1823" s="10">
        <v>46057.0</v>
      </c>
      <c r="I1823" s="12">
        <v>6.0</v>
      </c>
      <c r="J1823" s="6" t="s">
        <v>161</v>
      </c>
    </row>
    <row r="1824" ht="22.5" customHeight="1">
      <c r="A1824" s="6" t="s">
        <v>9310</v>
      </c>
      <c r="B1824" s="6" t="s">
        <v>4781</v>
      </c>
      <c r="C1824" s="10">
        <v>46061.0</v>
      </c>
      <c r="D1824" s="6" t="s">
        <v>242</v>
      </c>
      <c r="E1824" s="6" t="s">
        <v>583</v>
      </c>
      <c r="F1824" s="6" t="s">
        <v>283</v>
      </c>
      <c r="G1824" s="6" t="s">
        <v>369</v>
      </c>
      <c r="H1824" s="10">
        <v>46062.0</v>
      </c>
      <c r="I1824" s="12">
        <v>6.0</v>
      </c>
      <c r="J1824" s="6" t="s">
        <v>161</v>
      </c>
    </row>
    <row r="1825" ht="22.5" customHeight="1">
      <c r="A1825" s="6" t="s">
        <v>9314</v>
      </c>
      <c r="B1825" s="6" t="s">
        <v>4781</v>
      </c>
      <c r="C1825" s="10">
        <v>46068.0</v>
      </c>
      <c r="D1825" s="6" t="s">
        <v>289</v>
      </c>
      <c r="E1825" s="6" t="s">
        <v>833</v>
      </c>
      <c r="F1825" s="6" t="s">
        <v>249</v>
      </c>
      <c r="G1825" s="6" t="s">
        <v>369</v>
      </c>
      <c r="H1825" s="10">
        <v>46068.0</v>
      </c>
      <c r="I1825" s="12">
        <v>6.0</v>
      </c>
      <c r="J1825" s="6" t="s">
        <v>161</v>
      </c>
    </row>
    <row r="1826" ht="22.5" customHeight="1">
      <c r="A1826" s="6" t="s">
        <v>9320</v>
      </c>
      <c r="B1826" s="6" t="s">
        <v>4781</v>
      </c>
      <c r="C1826" s="10">
        <v>46055.0</v>
      </c>
      <c r="D1826" s="6" t="s">
        <v>416</v>
      </c>
      <c r="E1826" s="6" t="s">
        <v>687</v>
      </c>
      <c r="F1826" s="6" t="s">
        <v>112</v>
      </c>
      <c r="G1826" s="6" t="s">
        <v>494</v>
      </c>
      <c r="H1826" s="10">
        <v>46056.0</v>
      </c>
      <c r="I1826" s="12">
        <v>9.0</v>
      </c>
      <c r="J1826" s="6" t="s">
        <v>161</v>
      </c>
    </row>
    <row r="1827" ht="22.5" customHeight="1">
      <c r="A1827" s="6" t="s">
        <v>9323</v>
      </c>
      <c r="B1827" s="6" t="s">
        <v>4787</v>
      </c>
      <c r="C1827" s="10">
        <v>46058.0</v>
      </c>
      <c r="D1827" s="6" t="s">
        <v>289</v>
      </c>
      <c r="E1827" s="6" t="s">
        <v>775</v>
      </c>
      <c r="F1827" s="6" t="s">
        <v>112</v>
      </c>
      <c r="G1827" s="6" t="s">
        <v>458</v>
      </c>
      <c r="H1827" s="10">
        <v>46061.0</v>
      </c>
      <c r="I1827" s="12">
        <v>6.0</v>
      </c>
      <c r="J1827" s="6" t="s">
        <v>161</v>
      </c>
    </row>
    <row r="1828" ht="22.5" customHeight="1">
      <c r="A1828" s="6" t="s">
        <v>9327</v>
      </c>
      <c r="B1828" s="6" t="s">
        <v>4787</v>
      </c>
      <c r="C1828" s="10">
        <v>46055.0</v>
      </c>
      <c r="D1828" s="6" t="s">
        <v>312</v>
      </c>
      <c r="E1828" s="6" t="s">
        <v>475</v>
      </c>
      <c r="F1828" s="6" t="s">
        <v>249</v>
      </c>
      <c r="G1828" s="6" t="s">
        <v>458</v>
      </c>
      <c r="H1828" s="10">
        <v>46062.0</v>
      </c>
      <c r="I1828" s="12">
        <v>4.0</v>
      </c>
      <c r="J1828" s="6" t="s">
        <v>161</v>
      </c>
    </row>
    <row r="1829" ht="22.5" customHeight="1">
      <c r="A1829" s="6" t="s">
        <v>9333</v>
      </c>
      <c r="B1829" s="6" t="s">
        <v>4787</v>
      </c>
      <c r="C1829" s="10">
        <v>46062.0</v>
      </c>
      <c r="D1829" s="6" t="s">
        <v>242</v>
      </c>
      <c r="E1829" s="6" t="s">
        <v>610</v>
      </c>
      <c r="F1829" s="6" t="s">
        <v>283</v>
      </c>
      <c r="G1829" s="6" t="s">
        <v>297</v>
      </c>
      <c r="H1829" s="10">
        <v>46066.0</v>
      </c>
      <c r="I1829" s="12">
        <v>5.0</v>
      </c>
      <c r="J1829" s="6" t="s">
        <v>178</v>
      </c>
    </row>
    <row r="1830" ht="22.5" customHeight="1">
      <c r="A1830" s="6" t="s">
        <v>9338</v>
      </c>
      <c r="B1830" s="6" t="s">
        <v>4793</v>
      </c>
      <c r="C1830" s="10">
        <v>46047.0</v>
      </c>
      <c r="D1830" s="6" t="s">
        <v>677</v>
      </c>
      <c r="E1830" s="6" t="s">
        <v>775</v>
      </c>
      <c r="F1830" s="6" t="s">
        <v>249</v>
      </c>
      <c r="G1830" s="6" t="s">
        <v>254</v>
      </c>
      <c r="H1830" s="11" t="s">
        <v>259</v>
      </c>
      <c r="I1830" s="12">
        <v>4.0</v>
      </c>
      <c r="J1830" s="6" t="s">
        <v>161</v>
      </c>
    </row>
    <row r="1831" ht="22.5" customHeight="1">
      <c r="A1831" s="6" t="s">
        <v>9342</v>
      </c>
      <c r="B1831" s="6" t="s">
        <v>4800</v>
      </c>
      <c r="C1831" s="10">
        <v>46084.0</v>
      </c>
      <c r="D1831" s="6" t="s">
        <v>436</v>
      </c>
      <c r="E1831" s="6" t="s">
        <v>1386</v>
      </c>
      <c r="F1831" s="6" t="s">
        <v>283</v>
      </c>
      <c r="G1831" s="6" t="s">
        <v>458</v>
      </c>
      <c r="H1831" s="10">
        <v>46088.0</v>
      </c>
      <c r="I1831" s="12">
        <v>9.0</v>
      </c>
      <c r="J1831" s="6" t="s">
        <v>161</v>
      </c>
    </row>
    <row r="1832" ht="22.5" customHeight="1">
      <c r="A1832" s="6" t="s">
        <v>9346</v>
      </c>
      <c r="B1832" s="6" t="s">
        <v>4805</v>
      </c>
      <c r="C1832" s="10">
        <v>46040.0</v>
      </c>
      <c r="D1832" s="6" t="s">
        <v>289</v>
      </c>
      <c r="E1832" s="6" t="s">
        <v>566</v>
      </c>
      <c r="F1832" s="6" t="s">
        <v>249</v>
      </c>
      <c r="G1832" s="6" t="s">
        <v>452</v>
      </c>
      <c r="H1832" s="10">
        <v>46043.0</v>
      </c>
      <c r="I1832" s="12">
        <v>8.0</v>
      </c>
      <c r="J1832" s="6" t="s">
        <v>161</v>
      </c>
    </row>
    <row r="1833" ht="22.5" customHeight="1">
      <c r="A1833" s="6" t="s">
        <v>9348</v>
      </c>
      <c r="B1833" s="6" t="s">
        <v>4805</v>
      </c>
      <c r="C1833" s="10">
        <v>46034.0</v>
      </c>
      <c r="D1833" s="6" t="s">
        <v>312</v>
      </c>
      <c r="E1833" s="6" t="s">
        <v>670</v>
      </c>
      <c r="F1833" s="6" t="s">
        <v>283</v>
      </c>
      <c r="G1833" s="6" t="s">
        <v>254</v>
      </c>
      <c r="H1833" s="10">
        <v>46040.0</v>
      </c>
      <c r="I1833" s="12">
        <v>7.0</v>
      </c>
      <c r="J1833" s="6" t="s">
        <v>161</v>
      </c>
    </row>
    <row r="1834" ht="22.5" customHeight="1">
      <c r="A1834" s="6" t="s">
        <v>9350</v>
      </c>
      <c r="B1834" s="6" t="s">
        <v>4812</v>
      </c>
      <c r="C1834" s="10">
        <v>46054.0</v>
      </c>
      <c r="D1834" s="6" t="s">
        <v>436</v>
      </c>
      <c r="E1834" s="6" t="s">
        <v>1546</v>
      </c>
      <c r="F1834" s="6" t="s">
        <v>439</v>
      </c>
      <c r="G1834" s="6" t="s">
        <v>326</v>
      </c>
      <c r="H1834" s="11" t="s">
        <v>259</v>
      </c>
      <c r="I1834" s="12">
        <v>9.0</v>
      </c>
      <c r="J1834" s="6" t="s">
        <v>178</v>
      </c>
    </row>
    <row r="1835" ht="22.5" customHeight="1">
      <c r="A1835" s="6" t="s">
        <v>9354</v>
      </c>
      <c r="B1835" s="6" t="s">
        <v>4812</v>
      </c>
      <c r="C1835" s="10">
        <v>46056.0</v>
      </c>
      <c r="D1835" s="6" t="s">
        <v>416</v>
      </c>
      <c r="E1835" s="6" t="s">
        <v>1055</v>
      </c>
      <c r="F1835" s="6" t="s">
        <v>439</v>
      </c>
      <c r="G1835" s="6" t="s">
        <v>458</v>
      </c>
      <c r="H1835" s="10">
        <v>46061.0</v>
      </c>
      <c r="I1835" s="12">
        <v>10.0</v>
      </c>
      <c r="J1835" s="6" t="s">
        <v>161</v>
      </c>
    </row>
    <row r="1836" ht="22.5" customHeight="1">
      <c r="A1836" s="6" t="s">
        <v>9356</v>
      </c>
      <c r="B1836" s="6" t="s">
        <v>4812</v>
      </c>
      <c r="C1836" s="10">
        <v>46061.0</v>
      </c>
      <c r="D1836" s="6" t="s">
        <v>391</v>
      </c>
      <c r="E1836" s="6" t="s">
        <v>628</v>
      </c>
      <c r="F1836" s="6" t="s">
        <v>249</v>
      </c>
      <c r="G1836" s="6" t="s">
        <v>494</v>
      </c>
      <c r="H1836" s="10">
        <v>46067.0</v>
      </c>
      <c r="I1836" s="12">
        <v>6.0</v>
      </c>
      <c r="J1836" s="6" t="s">
        <v>161</v>
      </c>
    </row>
    <row r="1837" ht="22.5" customHeight="1">
      <c r="A1837" s="6" t="s">
        <v>9361</v>
      </c>
      <c r="B1837" s="6" t="s">
        <v>4812</v>
      </c>
      <c r="C1837" s="10">
        <v>46058.0</v>
      </c>
      <c r="D1837" s="6" t="s">
        <v>391</v>
      </c>
      <c r="E1837" s="6" t="s">
        <v>246</v>
      </c>
      <c r="F1837" s="6" t="s">
        <v>439</v>
      </c>
      <c r="G1837" s="6" t="s">
        <v>326</v>
      </c>
      <c r="H1837" s="11" t="s">
        <v>259</v>
      </c>
      <c r="I1837" s="12">
        <v>7.0</v>
      </c>
      <c r="J1837" s="6" t="s">
        <v>161</v>
      </c>
    </row>
    <row r="1838" ht="22.5" customHeight="1">
      <c r="A1838" s="6" t="s">
        <v>9367</v>
      </c>
      <c r="B1838" s="6" t="s">
        <v>4818</v>
      </c>
      <c r="C1838" s="10">
        <v>46060.0</v>
      </c>
      <c r="D1838" s="6" t="s">
        <v>416</v>
      </c>
      <c r="E1838" s="6" t="s">
        <v>1280</v>
      </c>
      <c r="F1838" s="6" t="s">
        <v>283</v>
      </c>
      <c r="G1838" s="6" t="s">
        <v>326</v>
      </c>
      <c r="H1838" s="11" t="s">
        <v>259</v>
      </c>
      <c r="I1838" s="12">
        <v>12.0</v>
      </c>
      <c r="J1838" s="6" t="s">
        <v>161</v>
      </c>
    </row>
    <row r="1839" ht="22.5" customHeight="1">
      <c r="A1839" s="6" t="s">
        <v>9373</v>
      </c>
      <c r="B1839" s="6" t="s">
        <v>4818</v>
      </c>
      <c r="C1839" s="10">
        <v>46054.0</v>
      </c>
      <c r="D1839" s="6" t="s">
        <v>391</v>
      </c>
      <c r="E1839" s="6" t="s">
        <v>566</v>
      </c>
      <c r="F1839" s="6" t="s">
        <v>439</v>
      </c>
      <c r="G1839" s="6" t="s">
        <v>254</v>
      </c>
      <c r="H1839" s="10">
        <v>46057.0</v>
      </c>
      <c r="I1839" s="12">
        <v>6.0</v>
      </c>
      <c r="J1839" s="6" t="s">
        <v>161</v>
      </c>
    </row>
    <row r="1840" ht="22.5" customHeight="1">
      <c r="A1840" s="6" t="s">
        <v>9377</v>
      </c>
      <c r="B1840" s="6" t="s">
        <v>4818</v>
      </c>
      <c r="C1840" s="10">
        <v>46045.0</v>
      </c>
      <c r="D1840" s="6" t="s">
        <v>312</v>
      </c>
      <c r="E1840" s="6" t="s">
        <v>716</v>
      </c>
      <c r="F1840" s="6" t="s">
        <v>283</v>
      </c>
      <c r="G1840" s="6" t="s">
        <v>326</v>
      </c>
      <c r="H1840" s="10">
        <v>46049.0</v>
      </c>
      <c r="I1840" s="12">
        <v>4.0</v>
      </c>
      <c r="J1840" s="6" t="s">
        <v>161</v>
      </c>
    </row>
    <row r="1841" ht="22.5" customHeight="1">
      <c r="A1841" s="6" t="s">
        <v>9382</v>
      </c>
      <c r="B1841" s="6" t="s">
        <v>4824</v>
      </c>
      <c r="C1841" s="10">
        <v>46057.0</v>
      </c>
      <c r="D1841" s="6" t="s">
        <v>289</v>
      </c>
      <c r="E1841" s="6" t="s">
        <v>1280</v>
      </c>
      <c r="F1841" s="6" t="s">
        <v>112</v>
      </c>
      <c r="G1841" s="6" t="s">
        <v>369</v>
      </c>
      <c r="H1841" s="10">
        <v>46062.0</v>
      </c>
      <c r="I1841" s="12">
        <v>8.0</v>
      </c>
      <c r="J1841" s="6" t="s">
        <v>161</v>
      </c>
    </row>
    <row r="1842" ht="22.5" customHeight="1">
      <c r="A1842" s="6" t="s">
        <v>9387</v>
      </c>
      <c r="B1842" s="6" t="s">
        <v>4824</v>
      </c>
      <c r="C1842" s="10">
        <v>46060.0</v>
      </c>
      <c r="D1842" s="6" t="s">
        <v>677</v>
      </c>
      <c r="E1842" s="6" t="s">
        <v>634</v>
      </c>
      <c r="F1842" s="6" t="s">
        <v>439</v>
      </c>
      <c r="G1842" s="6" t="s">
        <v>458</v>
      </c>
      <c r="H1842" s="10">
        <v>46060.0</v>
      </c>
      <c r="I1842" s="12">
        <v>4.0</v>
      </c>
      <c r="J1842" s="6" t="s">
        <v>161</v>
      </c>
    </row>
    <row r="1843" ht="22.5" customHeight="1">
      <c r="A1843" s="6" t="s">
        <v>9391</v>
      </c>
      <c r="B1843" s="6" t="s">
        <v>4824</v>
      </c>
      <c r="C1843" s="10">
        <v>46048.0</v>
      </c>
      <c r="D1843" s="6" t="s">
        <v>242</v>
      </c>
      <c r="E1843" s="6" t="s">
        <v>812</v>
      </c>
      <c r="F1843" s="6" t="s">
        <v>249</v>
      </c>
      <c r="G1843" s="6" t="s">
        <v>369</v>
      </c>
      <c r="H1843" s="10">
        <v>46054.0</v>
      </c>
      <c r="I1843" s="12">
        <v>4.0</v>
      </c>
      <c r="J1843" s="6" t="s">
        <v>178</v>
      </c>
    </row>
    <row r="1844" ht="22.5" customHeight="1">
      <c r="A1844" s="6" t="s">
        <v>9395</v>
      </c>
      <c r="B1844" s="6" t="s">
        <v>4824</v>
      </c>
      <c r="C1844" s="10">
        <v>46049.0</v>
      </c>
      <c r="D1844" s="6" t="s">
        <v>391</v>
      </c>
      <c r="E1844" s="6" t="s">
        <v>885</v>
      </c>
      <c r="F1844" s="6" t="s">
        <v>439</v>
      </c>
      <c r="G1844" s="6" t="s">
        <v>326</v>
      </c>
      <c r="H1844" s="10">
        <v>46056.0</v>
      </c>
      <c r="I1844" s="12">
        <v>7.0</v>
      </c>
      <c r="J1844" s="6" t="s">
        <v>161</v>
      </c>
    </row>
    <row r="1845" ht="22.5" customHeight="1">
      <c r="A1845" s="6" t="s">
        <v>9399</v>
      </c>
      <c r="B1845" s="6" t="s">
        <v>4831</v>
      </c>
      <c r="C1845" s="10">
        <v>46055.0</v>
      </c>
      <c r="D1845" s="6" t="s">
        <v>289</v>
      </c>
      <c r="E1845" s="6" t="s">
        <v>885</v>
      </c>
      <c r="F1845" s="6" t="s">
        <v>249</v>
      </c>
      <c r="G1845" s="6" t="s">
        <v>254</v>
      </c>
      <c r="H1845" s="10">
        <v>46056.0</v>
      </c>
      <c r="I1845" s="12">
        <v>6.0</v>
      </c>
      <c r="J1845" s="6" t="s">
        <v>161</v>
      </c>
    </row>
    <row r="1846" ht="22.5" customHeight="1">
      <c r="A1846" s="6" t="s">
        <v>9407</v>
      </c>
      <c r="B1846" s="6" t="s">
        <v>4831</v>
      </c>
      <c r="C1846" s="10">
        <v>46055.0</v>
      </c>
      <c r="D1846" s="6" t="s">
        <v>289</v>
      </c>
      <c r="E1846" s="6" t="s">
        <v>566</v>
      </c>
      <c r="F1846" s="6" t="s">
        <v>283</v>
      </c>
      <c r="G1846" s="6" t="s">
        <v>494</v>
      </c>
      <c r="H1846" s="10">
        <v>46056.0</v>
      </c>
      <c r="I1846" s="12">
        <v>10.0</v>
      </c>
      <c r="J1846" s="6" t="s">
        <v>161</v>
      </c>
    </row>
    <row r="1847" ht="22.5" customHeight="1">
      <c r="A1847" s="6" t="s">
        <v>9411</v>
      </c>
      <c r="B1847" s="6" t="s">
        <v>4831</v>
      </c>
      <c r="C1847" s="10">
        <v>46054.0</v>
      </c>
      <c r="D1847" s="6" t="s">
        <v>391</v>
      </c>
      <c r="E1847" s="6" t="s">
        <v>566</v>
      </c>
      <c r="F1847" s="6" t="s">
        <v>283</v>
      </c>
      <c r="G1847" s="6" t="s">
        <v>494</v>
      </c>
      <c r="H1847" s="10">
        <v>46059.0</v>
      </c>
      <c r="I1847" s="12">
        <v>9.0</v>
      </c>
      <c r="J1847" s="6" t="s">
        <v>161</v>
      </c>
    </row>
    <row r="1848" ht="22.5" customHeight="1">
      <c r="A1848" s="6" t="s">
        <v>9412</v>
      </c>
      <c r="B1848" s="6" t="s">
        <v>4831</v>
      </c>
      <c r="C1848" s="10">
        <v>46043.0</v>
      </c>
      <c r="D1848" s="6" t="s">
        <v>677</v>
      </c>
      <c r="E1848" s="6" t="s">
        <v>475</v>
      </c>
      <c r="F1848" s="6" t="s">
        <v>439</v>
      </c>
      <c r="G1848" s="6" t="s">
        <v>297</v>
      </c>
      <c r="H1848" s="10">
        <v>46044.0</v>
      </c>
      <c r="I1848" s="12">
        <v>3.0</v>
      </c>
      <c r="J1848" s="6" t="s">
        <v>161</v>
      </c>
    </row>
    <row r="1849" ht="22.5" customHeight="1">
      <c r="A1849" s="6" t="s">
        <v>9416</v>
      </c>
      <c r="B1849" s="6" t="s">
        <v>4831</v>
      </c>
      <c r="C1849" s="10">
        <v>46054.0</v>
      </c>
      <c r="D1849" s="6" t="s">
        <v>436</v>
      </c>
      <c r="E1849" s="6" t="s">
        <v>704</v>
      </c>
      <c r="F1849" s="6" t="s">
        <v>112</v>
      </c>
      <c r="G1849" s="6" t="s">
        <v>494</v>
      </c>
      <c r="H1849" s="10">
        <v>46056.0</v>
      </c>
      <c r="I1849" s="12">
        <v>12.0</v>
      </c>
      <c r="J1849" s="6" t="s">
        <v>178</v>
      </c>
    </row>
    <row r="1850" ht="22.5" customHeight="1">
      <c r="A1850" s="6" t="s">
        <v>9419</v>
      </c>
      <c r="B1850" s="6" t="s">
        <v>4837</v>
      </c>
      <c r="C1850" s="10">
        <v>46030.0</v>
      </c>
      <c r="D1850" s="6" t="s">
        <v>289</v>
      </c>
      <c r="E1850" s="6" t="s">
        <v>1122</v>
      </c>
      <c r="F1850" s="6" t="s">
        <v>283</v>
      </c>
      <c r="G1850" s="6" t="s">
        <v>494</v>
      </c>
      <c r="H1850" s="10">
        <v>46030.0</v>
      </c>
      <c r="I1850" s="12">
        <v>9.0</v>
      </c>
      <c r="J1850" s="6" t="s">
        <v>161</v>
      </c>
    </row>
    <row r="1851" ht="22.5" customHeight="1">
      <c r="A1851" s="6" t="s">
        <v>9423</v>
      </c>
      <c r="B1851" s="6" t="s">
        <v>4837</v>
      </c>
      <c r="C1851" s="10">
        <v>46035.0</v>
      </c>
      <c r="D1851" s="6" t="s">
        <v>416</v>
      </c>
      <c r="E1851" s="6" t="s">
        <v>466</v>
      </c>
      <c r="F1851" s="6" t="s">
        <v>112</v>
      </c>
      <c r="G1851" s="6" t="s">
        <v>254</v>
      </c>
      <c r="H1851" s="10">
        <v>46042.0</v>
      </c>
      <c r="I1851" s="12">
        <v>8.0</v>
      </c>
      <c r="J1851" s="6" t="s">
        <v>161</v>
      </c>
    </row>
    <row r="1852" ht="22.5" customHeight="1">
      <c r="A1852" s="6" t="s">
        <v>9426</v>
      </c>
      <c r="B1852" s="6" t="s">
        <v>4837</v>
      </c>
      <c r="C1852" s="10">
        <v>46038.0</v>
      </c>
      <c r="D1852" s="6" t="s">
        <v>677</v>
      </c>
      <c r="E1852" s="6" t="s">
        <v>1626</v>
      </c>
      <c r="F1852" s="6" t="s">
        <v>283</v>
      </c>
      <c r="G1852" s="6" t="s">
        <v>477</v>
      </c>
      <c r="H1852" s="10">
        <v>46044.0</v>
      </c>
      <c r="I1852" s="12">
        <v>3.0</v>
      </c>
      <c r="J1852" s="6" t="s">
        <v>161</v>
      </c>
    </row>
    <row r="1853" ht="22.5" customHeight="1">
      <c r="A1853" s="6" t="s">
        <v>9430</v>
      </c>
      <c r="B1853" s="6" t="s">
        <v>4837</v>
      </c>
      <c r="C1853" s="10">
        <v>46045.0</v>
      </c>
      <c r="D1853" s="6" t="s">
        <v>312</v>
      </c>
      <c r="E1853" s="6" t="s">
        <v>1600</v>
      </c>
      <c r="F1853" s="6" t="s">
        <v>439</v>
      </c>
      <c r="G1853" s="6" t="s">
        <v>477</v>
      </c>
      <c r="H1853" s="10">
        <v>46050.0</v>
      </c>
      <c r="I1853" s="12">
        <v>6.0</v>
      </c>
      <c r="J1853" s="6" t="s">
        <v>161</v>
      </c>
    </row>
    <row r="1854" ht="22.5" customHeight="1">
      <c r="A1854" s="6" t="s">
        <v>9434</v>
      </c>
      <c r="B1854" s="6" t="s">
        <v>4844</v>
      </c>
      <c r="C1854" s="10">
        <v>46067.0</v>
      </c>
      <c r="D1854" s="6" t="s">
        <v>436</v>
      </c>
      <c r="E1854" s="6" t="s">
        <v>1741</v>
      </c>
      <c r="F1854" s="6" t="s">
        <v>112</v>
      </c>
      <c r="G1854" s="6" t="s">
        <v>369</v>
      </c>
      <c r="H1854" s="10">
        <v>46071.0</v>
      </c>
      <c r="I1854" s="12">
        <v>10.0</v>
      </c>
      <c r="J1854" s="6" t="s">
        <v>161</v>
      </c>
    </row>
    <row r="1855" ht="22.5" customHeight="1">
      <c r="A1855" s="6" t="s">
        <v>9438</v>
      </c>
      <c r="B1855" s="6" t="s">
        <v>4844</v>
      </c>
      <c r="C1855" s="10">
        <v>46073.0</v>
      </c>
      <c r="D1855" s="6" t="s">
        <v>242</v>
      </c>
      <c r="E1855" s="6" t="s">
        <v>450</v>
      </c>
      <c r="F1855" s="6" t="s">
        <v>249</v>
      </c>
      <c r="G1855" s="6" t="s">
        <v>369</v>
      </c>
      <c r="H1855" s="10">
        <v>46075.0</v>
      </c>
      <c r="I1855" s="12">
        <v>3.0</v>
      </c>
      <c r="J1855" s="6" t="s">
        <v>178</v>
      </c>
    </row>
    <row r="1856" ht="22.5" customHeight="1">
      <c r="A1856" s="6" t="s">
        <v>9440</v>
      </c>
      <c r="B1856" s="6" t="s">
        <v>4844</v>
      </c>
      <c r="C1856" s="10">
        <v>46084.0</v>
      </c>
      <c r="D1856" s="6" t="s">
        <v>416</v>
      </c>
      <c r="E1856" s="6" t="s">
        <v>695</v>
      </c>
      <c r="F1856" s="6" t="s">
        <v>249</v>
      </c>
      <c r="G1856" s="6" t="s">
        <v>326</v>
      </c>
      <c r="H1856" s="10">
        <v>46085.0</v>
      </c>
      <c r="I1856" s="12">
        <v>14.0</v>
      </c>
      <c r="J1856" s="6" t="s">
        <v>161</v>
      </c>
    </row>
    <row r="1857" ht="22.5" customHeight="1">
      <c r="A1857" s="6" t="s">
        <v>9443</v>
      </c>
      <c r="B1857" s="6" t="s">
        <v>4844</v>
      </c>
      <c r="C1857" s="10">
        <v>46067.0</v>
      </c>
      <c r="D1857" s="6" t="s">
        <v>289</v>
      </c>
      <c r="E1857" s="6" t="s">
        <v>394</v>
      </c>
      <c r="F1857" s="6" t="s">
        <v>283</v>
      </c>
      <c r="G1857" s="6" t="s">
        <v>297</v>
      </c>
      <c r="H1857" s="10">
        <v>46074.0</v>
      </c>
      <c r="I1857" s="12">
        <v>5.0</v>
      </c>
      <c r="J1857" s="6" t="s">
        <v>161</v>
      </c>
    </row>
    <row r="1858" ht="22.5" customHeight="1">
      <c r="A1858" s="6" t="s">
        <v>9446</v>
      </c>
      <c r="B1858" s="6" t="s">
        <v>4844</v>
      </c>
      <c r="C1858" s="10">
        <v>46086.0</v>
      </c>
      <c r="D1858" s="6" t="s">
        <v>289</v>
      </c>
      <c r="E1858" s="6" t="s">
        <v>475</v>
      </c>
      <c r="F1858" s="6" t="s">
        <v>112</v>
      </c>
      <c r="G1858" s="6" t="s">
        <v>458</v>
      </c>
      <c r="H1858" s="11" t="s">
        <v>259</v>
      </c>
      <c r="I1858" s="12">
        <v>5.0</v>
      </c>
      <c r="J1858" s="6" t="s">
        <v>161</v>
      </c>
    </row>
    <row r="1859" ht="22.5" customHeight="1">
      <c r="A1859" s="6" t="s">
        <v>9448</v>
      </c>
      <c r="B1859" s="6" t="s">
        <v>4850</v>
      </c>
      <c r="C1859" s="10">
        <v>46032.0</v>
      </c>
      <c r="D1859" s="6" t="s">
        <v>242</v>
      </c>
      <c r="E1859" s="6" t="s">
        <v>634</v>
      </c>
      <c r="F1859" s="6" t="s">
        <v>439</v>
      </c>
      <c r="G1859" s="6" t="s">
        <v>477</v>
      </c>
      <c r="H1859" s="10">
        <v>46035.0</v>
      </c>
      <c r="I1859" s="12">
        <v>4.0</v>
      </c>
      <c r="J1859" s="6" t="s">
        <v>178</v>
      </c>
    </row>
    <row r="1860" ht="22.5" customHeight="1">
      <c r="A1860" s="6" t="s">
        <v>9452</v>
      </c>
      <c r="B1860" s="6" t="s">
        <v>4850</v>
      </c>
      <c r="C1860" s="10">
        <v>46049.0</v>
      </c>
      <c r="D1860" s="6" t="s">
        <v>677</v>
      </c>
      <c r="E1860" s="6" t="s">
        <v>628</v>
      </c>
      <c r="F1860" s="6" t="s">
        <v>283</v>
      </c>
      <c r="G1860" s="6" t="s">
        <v>254</v>
      </c>
      <c r="H1860" s="10">
        <v>46050.0</v>
      </c>
      <c r="I1860" s="12">
        <v>2.0</v>
      </c>
      <c r="J1860" s="6" t="s">
        <v>161</v>
      </c>
    </row>
    <row r="1861" ht="22.5" customHeight="1">
      <c r="A1861" s="6" t="s">
        <v>9456</v>
      </c>
      <c r="B1861" s="6" t="s">
        <v>4850</v>
      </c>
      <c r="C1861" s="10">
        <v>46038.0</v>
      </c>
      <c r="D1861" s="6" t="s">
        <v>436</v>
      </c>
      <c r="E1861" s="6" t="s">
        <v>812</v>
      </c>
      <c r="F1861" s="6" t="s">
        <v>249</v>
      </c>
      <c r="G1861" s="6" t="s">
        <v>254</v>
      </c>
      <c r="H1861" s="10">
        <v>46039.0</v>
      </c>
      <c r="I1861" s="12">
        <v>6.0</v>
      </c>
      <c r="J1861" s="6" t="s">
        <v>178</v>
      </c>
    </row>
    <row r="1862" ht="22.5" customHeight="1">
      <c r="A1862" s="6" t="s">
        <v>9461</v>
      </c>
      <c r="B1862" s="6" t="s">
        <v>4850</v>
      </c>
      <c r="C1862" s="10">
        <v>46029.0</v>
      </c>
      <c r="D1862" s="6" t="s">
        <v>677</v>
      </c>
      <c r="E1862" s="6" t="s">
        <v>863</v>
      </c>
      <c r="F1862" s="6" t="s">
        <v>439</v>
      </c>
      <c r="G1862" s="6" t="s">
        <v>254</v>
      </c>
      <c r="H1862" s="10">
        <v>46035.0</v>
      </c>
      <c r="I1862" s="12">
        <v>4.0</v>
      </c>
      <c r="J1862" s="6" t="s">
        <v>161</v>
      </c>
    </row>
    <row r="1863" ht="22.5" customHeight="1">
      <c r="A1863" s="6" t="s">
        <v>9465</v>
      </c>
      <c r="B1863" s="6" t="s">
        <v>4857</v>
      </c>
      <c r="C1863" s="10">
        <v>46071.0</v>
      </c>
      <c r="D1863" s="6" t="s">
        <v>436</v>
      </c>
      <c r="E1863" s="6" t="s">
        <v>320</v>
      </c>
      <c r="F1863" s="6" t="s">
        <v>112</v>
      </c>
      <c r="G1863" s="6" t="s">
        <v>452</v>
      </c>
      <c r="H1863" s="10">
        <v>46076.0</v>
      </c>
      <c r="I1863" s="12">
        <v>11.0</v>
      </c>
      <c r="J1863" s="6" t="s">
        <v>178</v>
      </c>
    </row>
    <row r="1864" ht="22.5" customHeight="1">
      <c r="A1864" s="6" t="s">
        <v>9470</v>
      </c>
      <c r="B1864" s="6" t="s">
        <v>4857</v>
      </c>
      <c r="C1864" s="10">
        <v>46070.0</v>
      </c>
      <c r="D1864" s="6" t="s">
        <v>391</v>
      </c>
      <c r="E1864" s="6" t="s">
        <v>610</v>
      </c>
      <c r="F1864" s="6" t="s">
        <v>249</v>
      </c>
      <c r="G1864" s="6" t="s">
        <v>494</v>
      </c>
      <c r="H1864" s="10">
        <v>46077.0</v>
      </c>
      <c r="I1864" s="12">
        <v>6.0</v>
      </c>
      <c r="J1864" s="6" t="s">
        <v>161</v>
      </c>
    </row>
    <row r="1865" ht="22.5" customHeight="1">
      <c r="A1865" s="6" t="s">
        <v>9474</v>
      </c>
      <c r="B1865" s="6" t="s">
        <v>4857</v>
      </c>
      <c r="C1865" s="10">
        <v>46073.0</v>
      </c>
      <c r="D1865" s="6" t="s">
        <v>416</v>
      </c>
      <c r="E1865" s="6" t="s">
        <v>1055</v>
      </c>
      <c r="F1865" s="6" t="s">
        <v>112</v>
      </c>
      <c r="G1865" s="6" t="s">
        <v>452</v>
      </c>
      <c r="H1865" s="10">
        <v>46073.0</v>
      </c>
      <c r="I1865" s="12">
        <v>10.0</v>
      </c>
      <c r="J1865" s="6" t="s">
        <v>161</v>
      </c>
    </row>
    <row r="1866" ht="22.5" customHeight="1">
      <c r="A1866" s="6" t="s">
        <v>9480</v>
      </c>
      <c r="B1866" s="6" t="s">
        <v>4863</v>
      </c>
      <c r="C1866" s="10">
        <v>46071.0</v>
      </c>
      <c r="D1866" s="6" t="s">
        <v>312</v>
      </c>
      <c r="E1866" s="6" t="s">
        <v>1055</v>
      </c>
      <c r="F1866" s="6" t="s">
        <v>249</v>
      </c>
      <c r="G1866" s="6" t="s">
        <v>254</v>
      </c>
      <c r="H1866" s="10">
        <v>46075.0</v>
      </c>
      <c r="I1866" s="12">
        <v>7.0</v>
      </c>
      <c r="J1866" s="6" t="s">
        <v>161</v>
      </c>
    </row>
    <row r="1867" ht="22.5" customHeight="1">
      <c r="A1867" s="6" t="s">
        <v>9483</v>
      </c>
      <c r="B1867" s="6" t="s">
        <v>4863</v>
      </c>
      <c r="C1867" s="10">
        <v>46073.0</v>
      </c>
      <c r="D1867" s="6" t="s">
        <v>242</v>
      </c>
      <c r="E1867" s="6" t="s">
        <v>1055</v>
      </c>
      <c r="F1867" s="6" t="s">
        <v>439</v>
      </c>
      <c r="G1867" s="6" t="s">
        <v>452</v>
      </c>
      <c r="H1867" s="10">
        <v>46076.0</v>
      </c>
      <c r="I1867" s="12">
        <v>3.0</v>
      </c>
      <c r="J1867" s="6" t="s">
        <v>178</v>
      </c>
    </row>
    <row r="1868" ht="22.5" customHeight="1">
      <c r="A1868" s="6" t="s">
        <v>9487</v>
      </c>
      <c r="B1868" s="6" t="s">
        <v>4863</v>
      </c>
      <c r="C1868" s="10">
        <v>46068.0</v>
      </c>
      <c r="D1868" s="6" t="s">
        <v>677</v>
      </c>
      <c r="E1868" s="6" t="s">
        <v>1386</v>
      </c>
      <c r="F1868" s="6" t="s">
        <v>439</v>
      </c>
      <c r="G1868" s="6" t="s">
        <v>369</v>
      </c>
      <c r="H1868" s="11" t="s">
        <v>259</v>
      </c>
      <c r="I1868" s="12">
        <v>3.0</v>
      </c>
      <c r="J1868" s="6" t="s">
        <v>161</v>
      </c>
    </row>
    <row r="1869" ht="22.5" customHeight="1">
      <c r="A1869" s="6" t="s">
        <v>9493</v>
      </c>
      <c r="B1869" s="6" t="s">
        <v>4863</v>
      </c>
      <c r="C1869" s="10">
        <v>46081.0</v>
      </c>
      <c r="D1869" s="6" t="s">
        <v>289</v>
      </c>
      <c r="E1869" s="6" t="s">
        <v>466</v>
      </c>
      <c r="F1869" s="6" t="s">
        <v>283</v>
      </c>
      <c r="G1869" s="6" t="s">
        <v>254</v>
      </c>
      <c r="H1869" s="10">
        <v>46085.0</v>
      </c>
      <c r="I1869" s="12">
        <v>8.0</v>
      </c>
      <c r="J1869" s="6" t="s">
        <v>161</v>
      </c>
    </row>
    <row r="1870" ht="22.5" customHeight="1">
      <c r="A1870" s="6" t="s">
        <v>9495</v>
      </c>
      <c r="B1870" s="6" t="s">
        <v>4863</v>
      </c>
      <c r="C1870" s="10">
        <v>46079.0</v>
      </c>
      <c r="D1870" s="6" t="s">
        <v>312</v>
      </c>
      <c r="E1870" s="6" t="s">
        <v>566</v>
      </c>
      <c r="F1870" s="6" t="s">
        <v>249</v>
      </c>
      <c r="G1870" s="6" t="s">
        <v>494</v>
      </c>
      <c r="H1870" s="10">
        <v>46079.0</v>
      </c>
      <c r="I1870" s="12">
        <v>7.0</v>
      </c>
      <c r="J1870" s="6" t="s">
        <v>161</v>
      </c>
    </row>
    <row r="1871" ht="22.5" customHeight="1">
      <c r="A1871" s="6" t="s">
        <v>9499</v>
      </c>
      <c r="B1871" s="6" t="s">
        <v>4870</v>
      </c>
      <c r="C1871" s="10">
        <v>46049.0</v>
      </c>
      <c r="D1871" s="6" t="s">
        <v>416</v>
      </c>
      <c r="E1871" s="6" t="s">
        <v>812</v>
      </c>
      <c r="F1871" s="6" t="s">
        <v>249</v>
      </c>
      <c r="G1871" s="6" t="s">
        <v>452</v>
      </c>
      <c r="H1871" s="11" t="s">
        <v>259</v>
      </c>
      <c r="I1871" s="12">
        <v>8.0</v>
      </c>
      <c r="J1871" s="6" t="s">
        <v>161</v>
      </c>
    </row>
    <row r="1872" ht="22.5" customHeight="1">
      <c r="A1872" s="6" t="s">
        <v>9505</v>
      </c>
      <c r="B1872" s="6" t="s">
        <v>4870</v>
      </c>
      <c r="C1872" s="10">
        <v>46051.0</v>
      </c>
      <c r="D1872" s="6" t="s">
        <v>242</v>
      </c>
      <c r="E1872" s="6" t="s">
        <v>1273</v>
      </c>
      <c r="F1872" s="6" t="s">
        <v>249</v>
      </c>
      <c r="G1872" s="6" t="s">
        <v>458</v>
      </c>
      <c r="H1872" s="10">
        <v>46053.0</v>
      </c>
      <c r="I1872" s="12">
        <v>5.0</v>
      </c>
      <c r="J1872" s="6" t="s">
        <v>161</v>
      </c>
    </row>
    <row r="1873" ht="22.5" customHeight="1">
      <c r="A1873" s="6" t="s">
        <v>9509</v>
      </c>
      <c r="B1873" s="6" t="s">
        <v>4870</v>
      </c>
      <c r="C1873" s="10">
        <v>46044.0</v>
      </c>
      <c r="D1873" s="6" t="s">
        <v>416</v>
      </c>
      <c r="E1873" s="6" t="s">
        <v>618</v>
      </c>
      <c r="F1873" s="6" t="s">
        <v>112</v>
      </c>
      <c r="G1873" s="6" t="s">
        <v>326</v>
      </c>
      <c r="H1873" s="10">
        <v>46051.0</v>
      </c>
      <c r="I1873" s="12">
        <v>10.0</v>
      </c>
      <c r="J1873" s="6" t="s">
        <v>161</v>
      </c>
    </row>
    <row r="1874" ht="22.5" customHeight="1">
      <c r="A1874" s="6" t="s">
        <v>9512</v>
      </c>
      <c r="B1874" s="6" t="s">
        <v>4877</v>
      </c>
      <c r="C1874" s="10">
        <v>46035.0</v>
      </c>
      <c r="D1874" s="6" t="s">
        <v>312</v>
      </c>
      <c r="E1874" s="6" t="s">
        <v>812</v>
      </c>
      <c r="F1874" s="6" t="s">
        <v>249</v>
      </c>
      <c r="G1874" s="6" t="s">
        <v>494</v>
      </c>
      <c r="H1874" s="10">
        <v>46038.0</v>
      </c>
      <c r="I1874" s="12">
        <v>6.0</v>
      </c>
      <c r="J1874" s="6" t="s">
        <v>161</v>
      </c>
    </row>
    <row r="1875" ht="22.5" customHeight="1">
      <c r="A1875" s="6" t="s">
        <v>9516</v>
      </c>
      <c r="B1875" s="6" t="s">
        <v>4877</v>
      </c>
      <c r="C1875" s="10">
        <v>46040.0</v>
      </c>
      <c r="D1875" s="6" t="s">
        <v>312</v>
      </c>
      <c r="E1875" s="6" t="s">
        <v>798</v>
      </c>
      <c r="F1875" s="6" t="s">
        <v>112</v>
      </c>
      <c r="G1875" s="6" t="s">
        <v>477</v>
      </c>
      <c r="H1875" s="11" t="s">
        <v>259</v>
      </c>
      <c r="I1875" s="12">
        <v>7.0</v>
      </c>
      <c r="J1875" s="6" t="s">
        <v>161</v>
      </c>
    </row>
    <row r="1876" ht="22.5" customHeight="1">
      <c r="A1876" s="6" t="s">
        <v>9520</v>
      </c>
      <c r="B1876" s="6" t="s">
        <v>4877</v>
      </c>
      <c r="C1876" s="10">
        <v>46040.0</v>
      </c>
      <c r="D1876" s="6" t="s">
        <v>289</v>
      </c>
      <c r="E1876" s="6" t="s">
        <v>1035</v>
      </c>
      <c r="F1876" s="6" t="s">
        <v>249</v>
      </c>
      <c r="G1876" s="6" t="s">
        <v>477</v>
      </c>
      <c r="H1876" s="10">
        <v>46041.0</v>
      </c>
      <c r="I1876" s="12">
        <v>9.0</v>
      </c>
      <c r="J1876" s="6" t="s">
        <v>161</v>
      </c>
    </row>
    <row r="1877" ht="22.5" customHeight="1">
      <c r="A1877" s="6" t="s">
        <v>9525</v>
      </c>
      <c r="B1877" s="6" t="s">
        <v>4883</v>
      </c>
      <c r="C1877" s="10">
        <v>46061.0</v>
      </c>
      <c r="D1877" s="6" t="s">
        <v>677</v>
      </c>
      <c r="E1877" s="6" t="s">
        <v>1122</v>
      </c>
      <c r="F1877" s="6" t="s">
        <v>112</v>
      </c>
      <c r="G1877" s="6" t="s">
        <v>477</v>
      </c>
      <c r="H1877" s="10">
        <v>46063.0</v>
      </c>
      <c r="I1877" s="12">
        <v>4.0</v>
      </c>
      <c r="J1877" s="6" t="s">
        <v>161</v>
      </c>
    </row>
    <row r="1878" ht="22.5" customHeight="1">
      <c r="A1878" s="6" t="s">
        <v>9529</v>
      </c>
      <c r="B1878" s="6" t="s">
        <v>4883</v>
      </c>
      <c r="C1878" s="10">
        <v>46073.0</v>
      </c>
      <c r="D1878" s="6" t="s">
        <v>312</v>
      </c>
      <c r="E1878" s="6" t="s">
        <v>512</v>
      </c>
      <c r="F1878" s="6" t="s">
        <v>249</v>
      </c>
      <c r="G1878" s="6" t="s">
        <v>254</v>
      </c>
      <c r="H1878" s="10">
        <v>46073.0</v>
      </c>
      <c r="I1878" s="12">
        <v>5.0</v>
      </c>
      <c r="J1878" s="6" t="s">
        <v>161</v>
      </c>
    </row>
    <row r="1879" ht="22.5" customHeight="1">
      <c r="A1879" s="6" t="s">
        <v>9534</v>
      </c>
      <c r="B1879" s="6" t="s">
        <v>4883</v>
      </c>
      <c r="C1879" s="10">
        <v>46074.0</v>
      </c>
      <c r="D1879" s="6" t="s">
        <v>416</v>
      </c>
      <c r="E1879" s="6" t="s">
        <v>687</v>
      </c>
      <c r="F1879" s="6" t="s">
        <v>249</v>
      </c>
      <c r="G1879" s="6" t="s">
        <v>326</v>
      </c>
      <c r="H1879" s="11" t="s">
        <v>259</v>
      </c>
      <c r="I1879" s="12">
        <v>13.0</v>
      </c>
      <c r="J1879" s="6" t="s">
        <v>161</v>
      </c>
    </row>
    <row r="1880" ht="22.5" customHeight="1">
      <c r="A1880" s="6" t="s">
        <v>9538</v>
      </c>
      <c r="B1880" s="6" t="s">
        <v>4883</v>
      </c>
      <c r="C1880" s="10">
        <v>46061.0</v>
      </c>
      <c r="D1880" s="6" t="s">
        <v>677</v>
      </c>
      <c r="E1880" s="6" t="s">
        <v>466</v>
      </c>
      <c r="F1880" s="6" t="s">
        <v>112</v>
      </c>
      <c r="G1880" s="6" t="s">
        <v>477</v>
      </c>
      <c r="H1880" s="10">
        <v>46065.0</v>
      </c>
      <c r="I1880" s="12">
        <v>3.0</v>
      </c>
      <c r="J1880" s="6" t="s">
        <v>161</v>
      </c>
    </row>
    <row r="1881" ht="22.5" customHeight="1">
      <c r="A1881" s="6" t="s">
        <v>9542</v>
      </c>
      <c r="B1881" s="6" t="s">
        <v>4890</v>
      </c>
      <c r="C1881" s="10">
        <v>46031.0</v>
      </c>
      <c r="D1881" s="6" t="s">
        <v>242</v>
      </c>
      <c r="E1881" s="6" t="s">
        <v>450</v>
      </c>
      <c r="F1881" s="6" t="s">
        <v>283</v>
      </c>
      <c r="G1881" s="6" t="s">
        <v>458</v>
      </c>
      <c r="H1881" s="10">
        <v>46037.0</v>
      </c>
      <c r="I1881" s="12">
        <v>6.0</v>
      </c>
      <c r="J1881" s="6" t="s">
        <v>161</v>
      </c>
    </row>
    <row r="1882" ht="22.5" customHeight="1">
      <c r="A1882" s="6" t="s">
        <v>9548</v>
      </c>
      <c r="B1882" s="6" t="s">
        <v>4890</v>
      </c>
      <c r="C1882" s="10">
        <v>46035.0</v>
      </c>
      <c r="D1882" s="6" t="s">
        <v>436</v>
      </c>
      <c r="E1882" s="6" t="s">
        <v>634</v>
      </c>
      <c r="F1882" s="6" t="s">
        <v>439</v>
      </c>
      <c r="G1882" s="6" t="s">
        <v>458</v>
      </c>
      <c r="H1882" s="10">
        <v>46041.0</v>
      </c>
      <c r="I1882" s="12">
        <v>6.0</v>
      </c>
      <c r="J1882" s="6" t="s">
        <v>178</v>
      </c>
    </row>
    <row r="1883" ht="22.5" customHeight="1">
      <c r="A1883" s="6" t="s">
        <v>9551</v>
      </c>
      <c r="B1883" s="6" t="s">
        <v>4890</v>
      </c>
      <c r="C1883" s="10">
        <v>46043.0</v>
      </c>
      <c r="D1883" s="6" t="s">
        <v>312</v>
      </c>
      <c r="E1883" s="6" t="s">
        <v>1546</v>
      </c>
      <c r="F1883" s="6" t="s">
        <v>283</v>
      </c>
      <c r="G1883" s="6" t="s">
        <v>254</v>
      </c>
      <c r="H1883" s="10">
        <v>46050.0</v>
      </c>
      <c r="I1883" s="12">
        <v>4.0</v>
      </c>
      <c r="J1883" s="6" t="s">
        <v>161</v>
      </c>
    </row>
    <row r="1884" ht="22.5" customHeight="1">
      <c r="A1884" s="6" t="s">
        <v>9555</v>
      </c>
      <c r="B1884" s="6" t="s">
        <v>4890</v>
      </c>
      <c r="C1884" s="10">
        <v>46042.0</v>
      </c>
      <c r="D1884" s="6" t="s">
        <v>391</v>
      </c>
      <c r="E1884" s="6" t="s">
        <v>394</v>
      </c>
      <c r="F1884" s="6" t="s">
        <v>249</v>
      </c>
      <c r="G1884" s="6" t="s">
        <v>326</v>
      </c>
      <c r="H1884" s="10">
        <v>46048.0</v>
      </c>
      <c r="I1884" s="12">
        <v>7.0</v>
      </c>
      <c r="J1884" s="6" t="s">
        <v>161</v>
      </c>
    </row>
    <row r="1885" ht="22.5" customHeight="1">
      <c r="A1885" s="6" t="s">
        <v>9561</v>
      </c>
      <c r="B1885" s="6" t="s">
        <v>4897</v>
      </c>
      <c r="C1885" s="10">
        <v>46051.0</v>
      </c>
      <c r="D1885" s="6" t="s">
        <v>312</v>
      </c>
      <c r="E1885" s="6" t="s">
        <v>738</v>
      </c>
      <c r="F1885" s="6" t="s">
        <v>283</v>
      </c>
      <c r="G1885" s="6" t="s">
        <v>477</v>
      </c>
      <c r="H1885" s="10">
        <v>46055.0</v>
      </c>
      <c r="I1885" s="12">
        <v>7.0</v>
      </c>
      <c r="J1885" s="6" t="s">
        <v>161</v>
      </c>
    </row>
    <row r="1886" ht="22.5" customHeight="1">
      <c r="A1886" s="6" t="s">
        <v>9564</v>
      </c>
      <c r="B1886" s="6" t="s">
        <v>4897</v>
      </c>
      <c r="C1886" s="10">
        <v>46045.0</v>
      </c>
      <c r="D1886" s="6" t="s">
        <v>289</v>
      </c>
      <c r="E1886" s="6" t="s">
        <v>1546</v>
      </c>
      <c r="F1886" s="6" t="s">
        <v>112</v>
      </c>
      <c r="G1886" s="6" t="s">
        <v>369</v>
      </c>
      <c r="H1886" s="10">
        <v>46051.0</v>
      </c>
      <c r="I1886" s="12">
        <v>9.0</v>
      </c>
      <c r="J1886" s="6" t="s">
        <v>161</v>
      </c>
    </row>
    <row r="1887" ht="22.5" customHeight="1">
      <c r="A1887" s="6" t="s">
        <v>9569</v>
      </c>
      <c r="B1887" s="6" t="s">
        <v>4897</v>
      </c>
      <c r="C1887" s="10">
        <v>46044.0</v>
      </c>
      <c r="D1887" s="6" t="s">
        <v>242</v>
      </c>
      <c r="E1887" s="6" t="s">
        <v>670</v>
      </c>
      <c r="F1887" s="6" t="s">
        <v>283</v>
      </c>
      <c r="G1887" s="6" t="s">
        <v>458</v>
      </c>
      <c r="H1887" s="10">
        <v>46046.0</v>
      </c>
      <c r="I1887" s="12">
        <v>4.0</v>
      </c>
      <c r="J1887" s="6" t="s">
        <v>161</v>
      </c>
    </row>
    <row r="1888" ht="22.5" customHeight="1">
      <c r="A1888" s="6" t="s">
        <v>9574</v>
      </c>
      <c r="B1888" s="6" t="s">
        <v>4897</v>
      </c>
      <c r="C1888" s="10">
        <v>46047.0</v>
      </c>
      <c r="D1888" s="6" t="s">
        <v>677</v>
      </c>
      <c r="E1888" s="6" t="s">
        <v>1626</v>
      </c>
      <c r="F1888" s="6" t="s">
        <v>283</v>
      </c>
      <c r="G1888" s="6" t="s">
        <v>458</v>
      </c>
      <c r="H1888" s="10">
        <v>46047.0</v>
      </c>
      <c r="I1888" s="12">
        <v>4.0</v>
      </c>
      <c r="J1888" s="6" t="s">
        <v>161</v>
      </c>
    </row>
    <row r="1889" ht="22.5" customHeight="1">
      <c r="A1889" s="6" t="s">
        <v>9580</v>
      </c>
      <c r="B1889" s="6" t="s">
        <v>4903</v>
      </c>
      <c r="C1889" s="10">
        <v>46037.0</v>
      </c>
      <c r="D1889" s="6" t="s">
        <v>416</v>
      </c>
      <c r="E1889" s="6" t="s">
        <v>1517</v>
      </c>
      <c r="F1889" s="6" t="s">
        <v>283</v>
      </c>
      <c r="G1889" s="6" t="s">
        <v>494</v>
      </c>
      <c r="H1889" s="11" t="s">
        <v>259</v>
      </c>
      <c r="I1889" s="12">
        <v>12.0</v>
      </c>
      <c r="J1889" s="6" t="s">
        <v>161</v>
      </c>
    </row>
    <row r="1890" ht="22.5" customHeight="1">
      <c r="A1890" s="6" t="s">
        <v>9586</v>
      </c>
      <c r="B1890" s="6" t="s">
        <v>4903</v>
      </c>
      <c r="C1890" s="10">
        <v>46034.0</v>
      </c>
      <c r="D1890" s="6" t="s">
        <v>416</v>
      </c>
      <c r="E1890" s="6" t="s">
        <v>731</v>
      </c>
      <c r="F1890" s="6" t="s">
        <v>283</v>
      </c>
      <c r="G1890" s="6" t="s">
        <v>452</v>
      </c>
      <c r="H1890" s="10">
        <v>46035.0</v>
      </c>
      <c r="I1890" s="12">
        <v>12.0</v>
      </c>
      <c r="J1890" s="6" t="s">
        <v>161</v>
      </c>
    </row>
    <row r="1891" ht="22.5" customHeight="1">
      <c r="A1891" s="6" t="s">
        <v>9592</v>
      </c>
      <c r="B1891" s="6" t="s">
        <v>4910</v>
      </c>
      <c r="C1891" s="10">
        <v>46073.0</v>
      </c>
      <c r="D1891" s="6" t="s">
        <v>242</v>
      </c>
      <c r="E1891" s="6" t="s">
        <v>863</v>
      </c>
      <c r="F1891" s="6" t="s">
        <v>112</v>
      </c>
      <c r="G1891" s="6" t="s">
        <v>326</v>
      </c>
      <c r="H1891" s="10">
        <v>46080.0</v>
      </c>
      <c r="I1891" s="12">
        <v>3.0</v>
      </c>
      <c r="J1891" s="6" t="s">
        <v>161</v>
      </c>
    </row>
    <row r="1892" ht="22.5" customHeight="1">
      <c r="A1892" s="6" t="s">
        <v>9596</v>
      </c>
      <c r="B1892" s="6" t="s">
        <v>4910</v>
      </c>
      <c r="C1892" s="10">
        <v>46071.0</v>
      </c>
      <c r="D1892" s="6" t="s">
        <v>391</v>
      </c>
      <c r="E1892" s="6" t="s">
        <v>731</v>
      </c>
      <c r="F1892" s="6" t="s">
        <v>112</v>
      </c>
      <c r="G1892" s="6" t="s">
        <v>369</v>
      </c>
      <c r="H1892" s="10">
        <v>46077.0</v>
      </c>
      <c r="I1892" s="12">
        <v>10.0</v>
      </c>
      <c r="J1892" s="6" t="s">
        <v>161</v>
      </c>
    </row>
    <row r="1893" ht="22.5" customHeight="1">
      <c r="A1893" s="6" t="s">
        <v>9600</v>
      </c>
      <c r="B1893" s="6" t="s">
        <v>4910</v>
      </c>
      <c r="C1893" s="10">
        <v>46081.0</v>
      </c>
      <c r="D1893" s="6" t="s">
        <v>391</v>
      </c>
      <c r="E1893" s="6" t="s">
        <v>450</v>
      </c>
      <c r="F1893" s="6" t="s">
        <v>112</v>
      </c>
      <c r="G1893" s="6" t="s">
        <v>458</v>
      </c>
      <c r="H1893" s="11" t="s">
        <v>259</v>
      </c>
      <c r="I1893" s="12">
        <v>10.0</v>
      </c>
      <c r="J1893" s="6" t="s">
        <v>161</v>
      </c>
    </row>
    <row r="1894" ht="22.5" customHeight="1">
      <c r="A1894" s="6" t="s">
        <v>9603</v>
      </c>
      <c r="B1894" s="6" t="s">
        <v>4917</v>
      </c>
      <c r="C1894" s="10">
        <v>46068.0</v>
      </c>
      <c r="D1894" s="6" t="s">
        <v>289</v>
      </c>
      <c r="E1894" s="6" t="s">
        <v>1969</v>
      </c>
      <c r="F1894" s="6" t="s">
        <v>283</v>
      </c>
      <c r="G1894" s="6" t="s">
        <v>369</v>
      </c>
      <c r="H1894" s="10">
        <v>46068.0</v>
      </c>
      <c r="I1894" s="12">
        <v>8.0</v>
      </c>
      <c r="J1894" s="6" t="s">
        <v>161</v>
      </c>
    </row>
    <row r="1895" ht="22.5" customHeight="1">
      <c r="A1895" s="6" t="s">
        <v>9606</v>
      </c>
      <c r="B1895" s="6" t="s">
        <v>4917</v>
      </c>
      <c r="C1895" s="10">
        <v>46061.0</v>
      </c>
      <c r="D1895" s="6" t="s">
        <v>312</v>
      </c>
      <c r="E1895" s="6" t="s">
        <v>450</v>
      </c>
      <c r="F1895" s="6" t="s">
        <v>283</v>
      </c>
      <c r="G1895" s="6" t="s">
        <v>254</v>
      </c>
      <c r="H1895" s="10">
        <v>46062.0</v>
      </c>
      <c r="I1895" s="12">
        <v>5.0</v>
      </c>
      <c r="J1895" s="6" t="s">
        <v>161</v>
      </c>
    </row>
    <row r="1896" ht="22.5" customHeight="1">
      <c r="A1896" s="6" t="s">
        <v>9609</v>
      </c>
      <c r="B1896" s="6" t="s">
        <v>4917</v>
      </c>
      <c r="C1896" s="10">
        <v>46057.0</v>
      </c>
      <c r="D1896" s="6" t="s">
        <v>677</v>
      </c>
      <c r="E1896" s="6" t="s">
        <v>812</v>
      </c>
      <c r="F1896" s="6" t="s">
        <v>439</v>
      </c>
      <c r="G1896" s="6" t="s">
        <v>326</v>
      </c>
      <c r="H1896" s="10">
        <v>46063.0</v>
      </c>
      <c r="I1896" s="12">
        <v>2.0</v>
      </c>
      <c r="J1896" s="6" t="s">
        <v>161</v>
      </c>
    </row>
    <row r="1897" ht="22.5" customHeight="1">
      <c r="A1897" s="6" t="s">
        <v>9613</v>
      </c>
      <c r="B1897" s="6" t="s">
        <v>4917</v>
      </c>
      <c r="C1897" s="10">
        <v>46060.0</v>
      </c>
      <c r="D1897" s="6" t="s">
        <v>416</v>
      </c>
      <c r="E1897" s="6" t="s">
        <v>896</v>
      </c>
      <c r="F1897" s="6" t="s">
        <v>249</v>
      </c>
      <c r="G1897" s="6" t="s">
        <v>369</v>
      </c>
      <c r="H1897" s="11" t="s">
        <v>259</v>
      </c>
      <c r="I1897" s="12">
        <v>13.0</v>
      </c>
      <c r="J1897" s="6" t="s">
        <v>161</v>
      </c>
    </row>
    <row r="1898" ht="22.5" customHeight="1">
      <c r="A1898" s="6" t="s">
        <v>9614</v>
      </c>
      <c r="B1898" s="6" t="s">
        <v>4923</v>
      </c>
      <c r="C1898" s="10">
        <v>46070.0</v>
      </c>
      <c r="D1898" s="6" t="s">
        <v>289</v>
      </c>
      <c r="E1898" s="6" t="s">
        <v>1570</v>
      </c>
      <c r="F1898" s="6" t="s">
        <v>249</v>
      </c>
      <c r="G1898" s="6" t="s">
        <v>494</v>
      </c>
      <c r="H1898" s="11" t="s">
        <v>259</v>
      </c>
      <c r="I1898" s="12">
        <v>8.0</v>
      </c>
      <c r="J1898" s="6" t="s">
        <v>161</v>
      </c>
    </row>
    <row r="1899" ht="22.5" customHeight="1">
      <c r="A1899" s="6" t="s">
        <v>9617</v>
      </c>
      <c r="B1899" s="6" t="s">
        <v>4930</v>
      </c>
      <c r="C1899" s="10">
        <v>46029.0</v>
      </c>
      <c r="D1899" s="6" t="s">
        <v>391</v>
      </c>
      <c r="E1899" s="6" t="s">
        <v>787</v>
      </c>
      <c r="F1899" s="6" t="s">
        <v>112</v>
      </c>
      <c r="G1899" s="6" t="s">
        <v>477</v>
      </c>
      <c r="H1899" s="10">
        <v>46036.0</v>
      </c>
      <c r="I1899" s="12">
        <v>6.0</v>
      </c>
      <c r="J1899" s="6" t="s">
        <v>161</v>
      </c>
    </row>
    <row r="1900" ht="22.5" customHeight="1">
      <c r="A1900" s="6" t="s">
        <v>9621</v>
      </c>
      <c r="B1900" s="6" t="s">
        <v>4930</v>
      </c>
      <c r="C1900" s="10">
        <v>46036.0</v>
      </c>
      <c r="D1900" s="6" t="s">
        <v>677</v>
      </c>
      <c r="E1900" s="6" t="s">
        <v>1700</v>
      </c>
      <c r="F1900" s="6" t="s">
        <v>283</v>
      </c>
      <c r="G1900" s="6" t="s">
        <v>326</v>
      </c>
      <c r="H1900" s="10">
        <v>46041.0</v>
      </c>
      <c r="I1900" s="12">
        <v>2.0</v>
      </c>
      <c r="J1900" s="6" t="s">
        <v>161</v>
      </c>
    </row>
    <row r="1901" ht="22.5" customHeight="1">
      <c r="A1901" s="6" t="s">
        <v>9624</v>
      </c>
      <c r="B1901" s="6" t="s">
        <v>4930</v>
      </c>
      <c r="C1901" s="10">
        <v>46047.0</v>
      </c>
      <c r="D1901" s="6" t="s">
        <v>312</v>
      </c>
      <c r="E1901" s="6" t="s">
        <v>1310</v>
      </c>
      <c r="F1901" s="6" t="s">
        <v>249</v>
      </c>
      <c r="G1901" s="6" t="s">
        <v>254</v>
      </c>
      <c r="H1901" s="10">
        <v>46048.0</v>
      </c>
      <c r="I1901" s="12">
        <v>7.0</v>
      </c>
      <c r="J1901" s="6" t="s">
        <v>161</v>
      </c>
    </row>
    <row r="1902" ht="22.5" customHeight="1">
      <c r="A1902" s="6" t="s">
        <v>9628</v>
      </c>
      <c r="B1902" s="6" t="s">
        <v>4937</v>
      </c>
      <c r="C1902" s="10">
        <v>46041.0</v>
      </c>
      <c r="D1902" s="6" t="s">
        <v>436</v>
      </c>
      <c r="E1902" s="6" t="s">
        <v>1720</v>
      </c>
      <c r="F1902" s="6" t="s">
        <v>249</v>
      </c>
      <c r="G1902" s="6" t="s">
        <v>326</v>
      </c>
      <c r="H1902" s="11" t="s">
        <v>259</v>
      </c>
      <c r="I1902" s="12">
        <v>6.0</v>
      </c>
      <c r="J1902" s="6" t="s">
        <v>178</v>
      </c>
    </row>
    <row r="1903" ht="22.5" customHeight="1">
      <c r="A1903" s="6" t="s">
        <v>9629</v>
      </c>
      <c r="B1903" s="6" t="s">
        <v>4942</v>
      </c>
      <c r="C1903" s="10">
        <v>46072.0</v>
      </c>
      <c r="D1903" s="6" t="s">
        <v>312</v>
      </c>
      <c r="E1903" s="6" t="s">
        <v>417</v>
      </c>
      <c r="F1903" s="6" t="s">
        <v>112</v>
      </c>
      <c r="G1903" s="6" t="s">
        <v>494</v>
      </c>
      <c r="H1903" s="10">
        <v>46079.0</v>
      </c>
      <c r="I1903" s="12">
        <v>4.0</v>
      </c>
      <c r="J1903" s="6" t="s">
        <v>161</v>
      </c>
    </row>
    <row r="1904" ht="22.5" customHeight="1">
      <c r="A1904" s="6" t="s">
        <v>9635</v>
      </c>
      <c r="B1904" s="6" t="s">
        <v>4942</v>
      </c>
      <c r="C1904" s="10">
        <v>46083.0</v>
      </c>
      <c r="D1904" s="6" t="s">
        <v>242</v>
      </c>
      <c r="E1904" s="6" t="s">
        <v>716</v>
      </c>
      <c r="F1904" s="6" t="s">
        <v>439</v>
      </c>
      <c r="G1904" s="6" t="s">
        <v>369</v>
      </c>
      <c r="H1904" s="10">
        <v>46087.0</v>
      </c>
      <c r="I1904" s="12">
        <v>4.0</v>
      </c>
      <c r="J1904" s="6" t="s">
        <v>178</v>
      </c>
    </row>
    <row r="1905" ht="22.5" customHeight="1">
      <c r="A1905" s="6" t="s">
        <v>9638</v>
      </c>
      <c r="B1905" s="6" t="s">
        <v>4948</v>
      </c>
      <c r="C1905" s="10">
        <v>46047.0</v>
      </c>
      <c r="D1905" s="6" t="s">
        <v>436</v>
      </c>
      <c r="E1905" s="6" t="s">
        <v>1386</v>
      </c>
      <c r="F1905" s="6" t="s">
        <v>112</v>
      </c>
      <c r="G1905" s="6" t="s">
        <v>326</v>
      </c>
      <c r="H1905" s="11" t="s">
        <v>259</v>
      </c>
      <c r="I1905" s="12">
        <v>9.0</v>
      </c>
      <c r="J1905" s="6" t="s">
        <v>178</v>
      </c>
    </row>
    <row r="1906" ht="22.5" customHeight="1">
      <c r="A1906" s="6" t="s">
        <v>9645</v>
      </c>
      <c r="B1906" s="6" t="s">
        <v>4955</v>
      </c>
      <c r="C1906" s="10">
        <v>46045.0</v>
      </c>
      <c r="D1906" s="6" t="s">
        <v>416</v>
      </c>
      <c r="E1906" s="6" t="s">
        <v>566</v>
      </c>
      <c r="F1906" s="6" t="s">
        <v>112</v>
      </c>
      <c r="G1906" s="6" t="s">
        <v>452</v>
      </c>
      <c r="H1906" s="10">
        <v>46049.0</v>
      </c>
      <c r="I1906" s="12">
        <v>12.0</v>
      </c>
      <c r="J1906" s="6" t="s">
        <v>161</v>
      </c>
    </row>
    <row r="1907" ht="22.5" customHeight="1">
      <c r="A1907" s="6" t="s">
        <v>9652</v>
      </c>
      <c r="B1907" s="6" t="s">
        <v>4955</v>
      </c>
      <c r="C1907" s="10">
        <v>46043.0</v>
      </c>
      <c r="D1907" s="6" t="s">
        <v>416</v>
      </c>
      <c r="E1907" s="6" t="s">
        <v>466</v>
      </c>
      <c r="F1907" s="6" t="s">
        <v>283</v>
      </c>
      <c r="G1907" s="6" t="s">
        <v>254</v>
      </c>
      <c r="H1907" s="10">
        <v>46049.0</v>
      </c>
      <c r="I1907" s="12">
        <v>10.0</v>
      </c>
      <c r="J1907" s="6" t="s">
        <v>161</v>
      </c>
    </row>
    <row r="1908" ht="22.5" customHeight="1">
      <c r="A1908" s="6" t="s">
        <v>9658</v>
      </c>
      <c r="B1908" s="6" t="s">
        <v>4955</v>
      </c>
      <c r="C1908" s="10">
        <v>46038.0</v>
      </c>
      <c r="D1908" s="6" t="s">
        <v>289</v>
      </c>
      <c r="E1908" s="6" t="s">
        <v>1720</v>
      </c>
      <c r="F1908" s="6" t="s">
        <v>439</v>
      </c>
      <c r="G1908" s="6" t="s">
        <v>297</v>
      </c>
      <c r="H1908" s="10">
        <v>46038.0</v>
      </c>
      <c r="I1908" s="12">
        <v>7.0</v>
      </c>
      <c r="J1908" s="6" t="s">
        <v>161</v>
      </c>
    </row>
    <row r="1909" ht="22.5" customHeight="1">
      <c r="A1909" s="6" t="s">
        <v>9662</v>
      </c>
      <c r="B1909" s="6" t="s">
        <v>4962</v>
      </c>
      <c r="C1909" s="10">
        <v>46040.0</v>
      </c>
      <c r="D1909" s="6" t="s">
        <v>391</v>
      </c>
      <c r="E1909" s="6" t="s">
        <v>1273</v>
      </c>
      <c r="F1909" s="6" t="s">
        <v>439</v>
      </c>
      <c r="G1909" s="6" t="s">
        <v>452</v>
      </c>
      <c r="H1909" s="10">
        <v>46047.0</v>
      </c>
      <c r="I1909" s="12">
        <v>6.0</v>
      </c>
      <c r="J1909" s="6" t="s">
        <v>161</v>
      </c>
    </row>
    <row r="1910" ht="22.5" customHeight="1">
      <c r="A1910" s="6" t="s">
        <v>9665</v>
      </c>
      <c r="B1910" s="6" t="s">
        <v>4962</v>
      </c>
      <c r="C1910" s="10">
        <v>46034.0</v>
      </c>
      <c r="D1910" s="6" t="s">
        <v>436</v>
      </c>
      <c r="E1910" s="6" t="s">
        <v>670</v>
      </c>
      <c r="F1910" s="6" t="s">
        <v>112</v>
      </c>
      <c r="G1910" s="6" t="s">
        <v>326</v>
      </c>
      <c r="H1910" s="10">
        <v>46041.0</v>
      </c>
      <c r="I1910" s="12">
        <v>6.0</v>
      </c>
      <c r="J1910" s="6" t="s">
        <v>178</v>
      </c>
    </row>
    <row r="1911" ht="22.5" customHeight="1">
      <c r="A1911" s="6" t="s">
        <v>9671</v>
      </c>
      <c r="B1911" s="6" t="s">
        <v>4962</v>
      </c>
      <c r="C1911" s="10">
        <v>46036.0</v>
      </c>
      <c r="D1911" s="6" t="s">
        <v>391</v>
      </c>
      <c r="E1911" s="6" t="s">
        <v>1070</v>
      </c>
      <c r="F1911" s="6" t="s">
        <v>283</v>
      </c>
      <c r="G1911" s="6" t="s">
        <v>297</v>
      </c>
      <c r="H1911" s="11" t="s">
        <v>259</v>
      </c>
      <c r="I1911" s="12">
        <v>10.0</v>
      </c>
      <c r="J1911" s="6" t="s">
        <v>161</v>
      </c>
    </row>
    <row r="1912" ht="22.5" customHeight="1">
      <c r="A1912" s="6" t="s">
        <v>9674</v>
      </c>
      <c r="B1912" s="6" t="s">
        <v>4962</v>
      </c>
      <c r="C1912" s="10">
        <v>46043.0</v>
      </c>
      <c r="D1912" s="6" t="s">
        <v>391</v>
      </c>
      <c r="E1912" s="6" t="s">
        <v>628</v>
      </c>
      <c r="F1912" s="6" t="s">
        <v>283</v>
      </c>
      <c r="G1912" s="6" t="s">
        <v>254</v>
      </c>
      <c r="H1912" s="10">
        <v>46050.0</v>
      </c>
      <c r="I1912" s="12">
        <v>6.0</v>
      </c>
      <c r="J1912" s="6" t="s">
        <v>161</v>
      </c>
    </row>
    <row r="1913" ht="22.5" customHeight="1">
      <c r="A1913" s="6" t="s">
        <v>9680</v>
      </c>
      <c r="B1913" s="6" t="s">
        <v>4962</v>
      </c>
      <c r="C1913" s="10">
        <v>46053.0</v>
      </c>
      <c r="D1913" s="6" t="s">
        <v>242</v>
      </c>
      <c r="E1913" s="6" t="s">
        <v>1102</v>
      </c>
      <c r="F1913" s="6" t="s">
        <v>112</v>
      </c>
      <c r="G1913" s="6" t="s">
        <v>369</v>
      </c>
      <c r="H1913" s="10">
        <v>46060.0</v>
      </c>
      <c r="I1913" s="12">
        <v>3.0</v>
      </c>
      <c r="J1913" s="6" t="s">
        <v>178</v>
      </c>
    </row>
    <row r="1914" ht="22.5" customHeight="1">
      <c r="A1914" s="6" t="s">
        <v>9683</v>
      </c>
      <c r="B1914" s="6" t="s">
        <v>4967</v>
      </c>
      <c r="C1914" s="10">
        <v>46079.0</v>
      </c>
      <c r="D1914" s="6" t="s">
        <v>242</v>
      </c>
      <c r="E1914" s="6" t="s">
        <v>1149</v>
      </c>
      <c r="F1914" s="6" t="s">
        <v>249</v>
      </c>
      <c r="G1914" s="6" t="s">
        <v>458</v>
      </c>
      <c r="H1914" s="10">
        <v>46084.0</v>
      </c>
      <c r="I1914" s="12">
        <v>4.0</v>
      </c>
      <c r="J1914" s="6" t="s">
        <v>178</v>
      </c>
    </row>
    <row r="1915" ht="22.5" customHeight="1">
      <c r="A1915" s="6" t="s">
        <v>9685</v>
      </c>
      <c r="B1915" s="6" t="s">
        <v>4967</v>
      </c>
      <c r="C1915" s="10">
        <v>46075.0</v>
      </c>
      <c r="D1915" s="6" t="s">
        <v>391</v>
      </c>
      <c r="E1915" s="6" t="s">
        <v>1546</v>
      </c>
      <c r="F1915" s="6" t="s">
        <v>249</v>
      </c>
      <c r="G1915" s="6" t="s">
        <v>254</v>
      </c>
      <c r="H1915" s="10">
        <v>46078.0</v>
      </c>
      <c r="I1915" s="12">
        <v>7.0</v>
      </c>
      <c r="J1915" s="6" t="s">
        <v>161</v>
      </c>
    </row>
    <row r="1916" ht="22.5" customHeight="1">
      <c r="A1916" s="6" t="s">
        <v>9688</v>
      </c>
      <c r="B1916" s="6" t="s">
        <v>4967</v>
      </c>
      <c r="C1916" s="10">
        <v>46071.0</v>
      </c>
      <c r="D1916" s="6" t="s">
        <v>391</v>
      </c>
      <c r="E1916" s="6" t="s">
        <v>787</v>
      </c>
      <c r="F1916" s="6" t="s">
        <v>439</v>
      </c>
      <c r="G1916" s="6" t="s">
        <v>369</v>
      </c>
      <c r="H1916" s="10">
        <v>46076.0</v>
      </c>
      <c r="I1916" s="12">
        <v>10.0</v>
      </c>
      <c r="J1916" s="6" t="s">
        <v>161</v>
      </c>
    </row>
    <row r="1917" ht="22.5" customHeight="1">
      <c r="A1917" s="6" t="s">
        <v>9692</v>
      </c>
      <c r="B1917" s="6" t="s">
        <v>4967</v>
      </c>
      <c r="C1917" s="10">
        <v>46072.0</v>
      </c>
      <c r="D1917" s="6" t="s">
        <v>416</v>
      </c>
      <c r="E1917" s="6" t="s">
        <v>955</v>
      </c>
      <c r="F1917" s="6" t="s">
        <v>439</v>
      </c>
      <c r="G1917" s="6" t="s">
        <v>452</v>
      </c>
      <c r="H1917" s="10">
        <v>46076.0</v>
      </c>
      <c r="I1917" s="12">
        <v>9.0</v>
      </c>
      <c r="J1917" s="6" t="s">
        <v>161</v>
      </c>
    </row>
    <row r="1918" ht="22.5" customHeight="1">
      <c r="A1918" s="6" t="s">
        <v>9695</v>
      </c>
      <c r="B1918" s="6" t="s">
        <v>4974</v>
      </c>
      <c r="C1918" s="10">
        <v>46042.0</v>
      </c>
      <c r="D1918" s="6" t="s">
        <v>312</v>
      </c>
      <c r="E1918" s="6" t="s">
        <v>863</v>
      </c>
      <c r="F1918" s="6" t="s">
        <v>439</v>
      </c>
      <c r="G1918" s="6" t="s">
        <v>326</v>
      </c>
      <c r="H1918" s="10">
        <v>46046.0</v>
      </c>
      <c r="I1918" s="12">
        <v>5.0</v>
      </c>
      <c r="J1918" s="6" t="s">
        <v>161</v>
      </c>
    </row>
    <row r="1919" ht="22.5" customHeight="1">
      <c r="A1919" s="6" t="s">
        <v>9699</v>
      </c>
      <c r="B1919" s="6" t="s">
        <v>4974</v>
      </c>
      <c r="C1919" s="10">
        <v>46038.0</v>
      </c>
      <c r="D1919" s="6" t="s">
        <v>677</v>
      </c>
      <c r="E1919" s="6" t="s">
        <v>438</v>
      </c>
      <c r="F1919" s="6" t="s">
        <v>439</v>
      </c>
      <c r="G1919" s="6" t="s">
        <v>326</v>
      </c>
      <c r="H1919" s="10">
        <v>46044.0</v>
      </c>
      <c r="I1919" s="12">
        <v>3.0</v>
      </c>
      <c r="J1919" s="6" t="s">
        <v>161</v>
      </c>
    </row>
    <row r="1920" ht="22.5" customHeight="1">
      <c r="A1920" s="6" t="s">
        <v>9700</v>
      </c>
      <c r="B1920" s="6" t="s">
        <v>4981</v>
      </c>
      <c r="C1920" s="10">
        <v>46063.0</v>
      </c>
      <c r="D1920" s="6" t="s">
        <v>312</v>
      </c>
      <c r="E1920" s="6" t="s">
        <v>618</v>
      </c>
      <c r="F1920" s="6" t="s">
        <v>439</v>
      </c>
      <c r="G1920" s="6" t="s">
        <v>458</v>
      </c>
      <c r="H1920" s="10">
        <v>46065.0</v>
      </c>
      <c r="I1920" s="12">
        <v>7.0</v>
      </c>
      <c r="J1920" s="6" t="s">
        <v>161</v>
      </c>
    </row>
    <row r="1921" ht="22.5" customHeight="1">
      <c r="A1921" s="6" t="s">
        <v>9704</v>
      </c>
      <c r="B1921" s="6" t="s">
        <v>4987</v>
      </c>
      <c r="C1921" s="10">
        <v>46051.0</v>
      </c>
      <c r="D1921" s="6" t="s">
        <v>416</v>
      </c>
      <c r="E1921" s="6" t="s">
        <v>704</v>
      </c>
      <c r="F1921" s="6" t="s">
        <v>283</v>
      </c>
      <c r="G1921" s="6" t="s">
        <v>369</v>
      </c>
      <c r="H1921" s="10">
        <v>46052.0</v>
      </c>
      <c r="I1921" s="12">
        <v>14.0</v>
      </c>
      <c r="J1921" s="6" t="s">
        <v>161</v>
      </c>
    </row>
    <row r="1922" ht="22.5" customHeight="1">
      <c r="A1922" s="6" t="s">
        <v>9707</v>
      </c>
      <c r="B1922" s="6" t="s">
        <v>4987</v>
      </c>
      <c r="C1922" s="10">
        <v>46044.0</v>
      </c>
      <c r="D1922" s="6" t="s">
        <v>436</v>
      </c>
      <c r="E1922" s="6" t="s">
        <v>2881</v>
      </c>
      <c r="F1922" s="6" t="s">
        <v>112</v>
      </c>
      <c r="G1922" s="6" t="s">
        <v>494</v>
      </c>
      <c r="H1922" s="10">
        <v>46046.0</v>
      </c>
      <c r="I1922" s="12">
        <v>9.0</v>
      </c>
      <c r="J1922" s="6" t="s">
        <v>161</v>
      </c>
    </row>
    <row r="1923" ht="22.5" customHeight="1">
      <c r="A1923" s="6" t="s">
        <v>9710</v>
      </c>
      <c r="B1923" s="6" t="s">
        <v>4987</v>
      </c>
      <c r="C1923" s="10">
        <v>46054.0</v>
      </c>
      <c r="D1923" s="6" t="s">
        <v>242</v>
      </c>
      <c r="E1923" s="6" t="s">
        <v>1741</v>
      </c>
      <c r="F1923" s="6" t="s">
        <v>439</v>
      </c>
      <c r="G1923" s="6" t="s">
        <v>452</v>
      </c>
      <c r="H1923" s="11" t="s">
        <v>259</v>
      </c>
      <c r="I1923" s="12">
        <v>6.0</v>
      </c>
      <c r="J1923" s="6" t="s">
        <v>178</v>
      </c>
    </row>
    <row r="1924" ht="22.5" customHeight="1">
      <c r="A1924" s="6" t="s">
        <v>9714</v>
      </c>
      <c r="B1924" s="6" t="s">
        <v>4987</v>
      </c>
      <c r="C1924" s="10">
        <v>46042.0</v>
      </c>
      <c r="D1924" s="6" t="s">
        <v>391</v>
      </c>
      <c r="E1924" s="6" t="s">
        <v>812</v>
      </c>
      <c r="F1924" s="6" t="s">
        <v>112</v>
      </c>
      <c r="G1924" s="6" t="s">
        <v>494</v>
      </c>
      <c r="H1924" s="10">
        <v>46049.0</v>
      </c>
      <c r="I1924" s="12">
        <v>11.0</v>
      </c>
      <c r="J1924" s="6" t="s">
        <v>161</v>
      </c>
    </row>
    <row r="1925" ht="22.5" customHeight="1">
      <c r="A1925" s="6" t="s">
        <v>9719</v>
      </c>
      <c r="B1925" s="6" t="s">
        <v>4993</v>
      </c>
      <c r="C1925" s="10">
        <v>46049.0</v>
      </c>
      <c r="D1925" s="6" t="s">
        <v>391</v>
      </c>
      <c r="E1925" s="6" t="s">
        <v>1280</v>
      </c>
      <c r="F1925" s="6" t="s">
        <v>439</v>
      </c>
      <c r="G1925" s="6" t="s">
        <v>477</v>
      </c>
      <c r="H1925" s="10">
        <v>46049.0</v>
      </c>
      <c r="I1925" s="12">
        <v>6.0</v>
      </c>
      <c r="J1925" s="6" t="s">
        <v>161</v>
      </c>
    </row>
    <row r="1926" ht="22.5" customHeight="1">
      <c r="A1926" s="6" t="s">
        <v>9723</v>
      </c>
      <c r="B1926" s="6" t="s">
        <v>4993</v>
      </c>
      <c r="C1926" s="10">
        <v>46052.0</v>
      </c>
      <c r="D1926" s="6" t="s">
        <v>436</v>
      </c>
      <c r="E1926" s="6" t="s">
        <v>2881</v>
      </c>
      <c r="F1926" s="6" t="s">
        <v>439</v>
      </c>
      <c r="G1926" s="6" t="s">
        <v>297</v>
      </c>
      <c r="H1926" s="10">
        <v>46058.0</v>
      </c>
      <c r="I1926" s="12">
        <v>8.0</v>
      </c>
      <c r="J1926" s="6" t="s">
        <v>161</v>
      </c>
    </row>
    <row r="1927" ht="22.5" customHeight="1">
      <c r="A1927" s="6" t="s">
        <v>9727</v>
      </c>
      <c r="B1927" s="6" t="s">
        <v>4993</v>
      </c>
      <c r="C1927" s="10">
        <v>46050.0</v>
      </c>
      <c r="D1927" s="6" t="s">
        <v>391</v>
      </c>
      <c r="E1927" s="6" t="s">
        <v>394</v>
      </c>
      <c r="F1927" s="6" t="s">
        <v>112</v>
      </c>
      <c r="G1927" s="6" t="s">
        <v>452</v>
      </c>
      <c r="H1927" s="10">
        <v>46056.0</v>
      </c>
      <c r="I1927" s="12">
        <v>9.0</v>
      </c>
      <c r="J1927" s="6" t="s">
        <v>161</v>
      </c>
    </row>
    <row r="1928" ht="22.5" customHeight="1">
      <c r="A1928" s="6" t="s">
        <v>9733</v>
      </c>
      <c r="B1928" s="6" t="s">
        <v>4993</v>
      </c>
      <c r="C1928" s="10">
        <v>46047.0</v>
      </c>
      <c r="D1928" s="6" t="s">
        <v>242</v>
      </c>
      <c r="E1928" s="6" t="s">
        <v>246</v>
      </c>
      <c r="F1928" s="6" t="s">
        <v>283</v>
      </c>
      <c r="G1928" s="6" t="s">
        <v>452</v>
      </c>
      <c r="H1928" s="10">
        <v>46052.0</v>
      </c>
      <c r="I1928" s="12">
        <v>4.0</v>
      </c>
      <c r="J1928" s="6" t="s">
        <v>161</v>
      </c>
    </row>
    <row r="1929" ht="22.5" customHeight="1">
      <c r="A1929" s="6" t="s">
        <v>9736</v>
      </c>
      <c r="B1929" s="6" t="s">
        <v>4993</v>
      </c>
      <c r="C1929" s="10">
        <v>46055.0</v>
      </c>
      <c r="D1929" s="6" t="s">
        <v>391</v>
      </c>
      <c r="E1929" s="6" t="s">
        <v>670</v>
      </c>
      <c r="F1929" s="6" t="s">
        <v>439</v>
      </c>
      <c r="G1929" s="6" t="s">
        <v>326</v>
      </c>
      <c r="H1929" s="10">
        <v>46061.0</v>
      </c>
      <c r="I1929" s="12">
        <v>9.0</v>
      </c>
      <c r="J1929" s="6" t="s">
        <v>161</v>
      </c>
    </row>
    <row r="1930" ht="22.5" customHeight="1">
      <c r="A1930" s="6" t="s">
        <v>9740</v>
      </c>
      <c r="B1930" s="6" t="s">
        <v>4999</v>
      </c>
      <c r="C1930" s="10">
        <v>46051.0</v>
      </c>
      <c r="D1930" s="6" t="s">
        <v>677</v>
      </c>
      <c r="E1930" s="6" t="s">
        <v>670</v>
      </c>
      <c r="F1930" s="6" t="s">
        <v>439</v>
      </c>
      <c r="G1930" s="6" t="s">
        <v>452</v>
      </c>
      <c r="H1930" s="10">
        <v>46054.0</v>
      </c>
      <c r="I1930" s="12">
        <v>4.0</v>
      </c>
      <c r="J1930" s="6" t="s">
        <v>161</v>
      </c>
    </row>
    <row r="1931" ht="22.5" customHeight="1">
      <c r="A1931" s="6" t="s">
        <v>9743</v>
      </c>
      <c r="B1931" s="6" t="s">
        <v>4999</v>
      </c>
      <c r="C1931" s="10">
        <v>46059.0</v>
      </c>
      <c r="D1931" s="6" t="s">
        <v>416</v>
      </c>
      <c r="E1931" s="6" t="s">
        <v>1517</v>
      </c>
      <c r="F1931" s="6" t="s">
        <v>112</v>
      </c>
      <c r="G1931" s="6" t="s">
        <v>369</v>
      </c>
      <c r="H1931" s="11" t="s">
        <v>259</v>
      </c>
      <c r="I1931" s="12">
        <v>14.0</v>
      </c>
      <c r="J1931" s="6" t="s">
        <v>161</v>
      </c>
    </row>
    <row r="1932" ht="22.5" customHeight="1">
      <c r="A1932" s="6" t="s">
        <v>9747</v>
      </c>
      <c r="B1932" s="6" t="s">
        <v>4999</v>
      </c>
      <c r="C1932" s="10">
        <v>46061.0</v>
      </c>
      <c r="D1932" s="6" t="s">
        <v>391</v>
      </c>
      <c r="E1932" s="6" t="s">
        <v>466</v>
      </c>
      <c r="F1932" s="6" t="s">
        <v>283</v>
      </c>
      <c r="G1932" s="6" t="s">
        <v>458</v>
      </c>
      <c r="H1932" s="11" t="s">
        <v>259</v>
      </c>
      <c r="I1932" s="12">
        <v>10.0</v>
      </c>
      <c r="J1932" s="6" t="s">
        <v>161</v>
      </c>
    </row>
    <row r="1933" ht="22.5" customHeight="1">
      <c r="A1933" s="6" t="s">
        <v>9753</v>
      </c>
      <c r="B1933" s="6" t="s">
        <v>5005</v>
      </c>
      <c r="C1933" s="10">
        <v>46071.0</v>
      </c>
      <c r="D1933" s="6" t="s">
        <v>289</v>
      </c>
      <c r="E1933" s="6" t="s">
        <v>775</v>
      </c>
      <c r="F1933" s="6" t="s">
        <v>249</v>
      </c>
      <c r="G1933" s="6" t="s">
        <v>297</v>
      </c>
      <c r="H1933" s="10">
        <v>46071.0</v>
      </c>
      <c r="I1933" s="12">
        <v>7.0</v>
      </c>
      <c r="J1933" s="6" t="s">
        <v>161</v>
      </c>
    </row>
    <row r="1934" ht="22.5" customHeight="1">
      <c r="A1934" s="6" t="s">
        <v>9756</v>
      </c>
      <c r="B1934" s="6" t="s">
        <v>5005</v>
      </c>
      <c r="C1934" s="10">
        <v>46080.0</v>
      </c>
      <c r="D1934" s="6" t="s">
        <v>416</v>
      </c>
      <c r="E1934" s="6" t="s">
        <v>610</v>
      </c>
      <c r="F1934" s="6" t="s">
        <v>249</v>
      </c>
      <c r="G1934" s="6" t="s">
        <v>297</v>
      </c>
      <c r="H1934" s="10">
        <v>46082.0</v>
      </c>
      <c r="I1934" s="12">
        <v>13.0</v>
      </c>
      <c r="J1934" s="6" t="s">
        <v>161</v>
      </c>
    </row>
    <row r="1935" ht="22.5" customHeight="1">
      <c r="A1935" s="6" t="s">
        <v>9761</v>
      </c>
      <c r="B1935" s="6" t="s">
        <v>5011</v>
      </c>
      <c r="C1935" s="10">
        <v>46078.0</v>
      </c>
      <c r="D1935" s="6" t="s">
        <v>289</v>
      </c>
      <c r="E1935" s="6" t="s">
        <v>658</v>
      </c>
      <c r="F1935" s="6" t="s">
        <v>112</v>
      </c>
      <c r="G1935" s="6" t="s">
        <v>297</v>
      </c>
      <c r="H1935" s="10">
        <v>46080.0</v>
      </c>
      <c r="I1935" s="12">
        <v>5.0</v>
      </c>
      <c r="J1935" s="6" t="s">
        <v>161</v>
      </c>
    </row>
    <row r="1936" ht="22.5" customHeight="1">
      <c r="A1936" s="6" t="s">
        <v>9766</v>
      </c>
      <c r="B1936" s="6" t="s">
        <v>5018</v>
      </c>
      <c r="C1936" s="10">
        <v>46083.0</v>
      </c>
      <c r="D1936" s="6" t="s">
        <v>677</v>
      </c>
      <c r="E1936" s="6" t="s">
        <v>394</v>
      </c>
      <c r="F1936" s="6" t="s">
        <v>112</v>
      </c>
      <c r="G1936" s="6" t="s">
        <v>477</v>
      </c>
      <c r="H1936" s="10">
        <v>46088.0</v>
      </c>
      <c r="I1936" s="12">
        <v>3.0</v>
      </c>
      <c r="J1936" s="6" t="s">
        <v>161</v>
      </c>
    </row>
    <row r="1937" ht="22.5" customHeight="1">
      <c r="A1937" s="6" t="s">
        <v>9770</v>
      </c>
      <c r="B1937" s="6" t="s">
        <v>5018</v>
      </c>
      <c r="C1937" s="10">
        <v>46080.0</v>
      </c>
      <c r="D1937" s="6" t="s">
        <v>289</v>
      </c>
      <c r="E1937" s="6" t="s">
        <v>885</v>
      </c>
      <c r="F1937" s="6" t="s">
        <v>249</v>
      </c>
      <c r="G1937" s="6" t="s">
        <v>452</v>
      </c>
      <c r="H1937" s="10">
        <v>46084.0</v>
      </c>
      <c r="I1937" s="12">
        <v>5.0</v>
      </c>
      <c r="J1937" s="6" t="s">
        <v>161</v>
      </c>
    </row>
    <row r="1938" ht="22.5" customHeight="1">
      <c r="A1938" s="6" t="s">
        <v>9775</v>
      </c>
      <c r="B1938" s="6" t="s">
        <v>5024</v>
      </c>
      <c r="C1938" s="10">
        <v>46052.0</v>
      </c>
      <c r="D1938" s="6" t="s">
        <v>416</v>
      </c>
      <c r="E1938" s="6" t="s">
        <v>583</v>
      </c>
      <c r="F1938" s="6" t="s">
        <v>439</v>
      </c>
      <c r="G1938" s="6" t="s">
        <v>458</v>
      </c>
      <c r="H1938" s="10">
        <v>46056.0</v>
      </c>
      <c r="I1938" s="12">
        <v>8.0</v>
      </c>
      <c r="J1938" s="6" t="s">
        <v>161</v>
      </c>
    </row>
    <row r="1939" ht="22.5" customHeight="1">
      <c r="A1939" s="6" t="s">
        <v>9779</v>
      </c>
      <c r="B1939" s="6" t="s">
        <v>5024</v>
      </c>
      <c r="C1939" s="10">
        <v>46057.0</v>
      </c>
      <c r="D1939" s="6" t="s">
        <v>416</v>
      </c>
      <c r="E1939" s="6" t="s">
        <v>787</v>
      </c>
      <c r="F1939" s="6" t="s">
        <v>439</v>
      </c>
      <c r="G1939" s="6" t="s">
        <v>477</v>
      </c>
      <c r="H1939" s="11" t="s">
        <v>259</v>
      </c>
      <c r="I1939" s="12">
        <v>9.0</v>
      </c>
      <c r="J1939" s="6" t="s">
        <v>161</v>
      </c>
    </row>
    <row r="1940" ht="22.5" customHeight="1">
      <c r="A1940" s="6" t="s">
        <v>9784</v>
      </c>
      <c r="B1940" s="6" t="s">
        <v>5031</v>
      </c>
      <c r="C1940" s="10">
        <v>46050.0</v>
      </c>
      <c r="D1940" s="6" t="s">
        <v>436</v>
      </c>
      <c r="E1940" s="6" t="s">
        <v>394</v>
      </c>
      <c r="F1940" s="6" t="s">
        <v>249</v>
      </c>
      <c r="G1940" s="6" t="s">
        <v>297</v>
      </c>
      <c r="H1940" s="10">
        <v>46055.0</v>
      </c>
      <c r="I1940" s="12">
        <v>12.0</v>
      </c>
      <c r="J1940" s="6" t="s">
        <v>178</v>
      </c>
    </row>
    <row r="1941" ht="22.5" customHeight="1">
      <c r="A1941" s="6" t="s">
        <v>9788</v>
      </c>
      <c r="B1941" s="6" t="s">
        <v>5031</v>
      </c>
      <c r="C1941" s="10">
        <v>46056.0</v>
      </c>
      <c r="D1941" s="6" t="s">
        <v>312</v>
      </c>
      <c r="E1941" s="6" t="s">
        <v>695</v>
      </c>
      <c r="F1941" s="6" t="s">
        <v>112</v>
      </c>
      <c r="G1941" s="6" t="s">
        <v>458</v>
      </c>
      <c r="H1941" s="10">
        <v>46061.0</v>
      </c>
      <c r="I1941" s="12">
        <v>7.0</v>
      </c>
      <c r="J1941" s="6" t="s">
        <v>161</v>
      </c>
    </row>
    <row r="1942" ht="22.5" customHeight="1">
      <c r="A1942" s="6" t="s">
        <v>9792</v>
      </c>
      <c r="B1942" s="6" t="s">
        <v>5031</v>
      </c>
      <c r="C1942" s="10">
        <v>46066.0</v>
      </c>
      <c r="D1942" s="6" t="s">
        <v>677</v>
      </c>
      <c r="E1942" s="6" t="s">
        <v>610</v>
      </c>
      <c r="F1942" s="6" t="s">
        <v>249</v>
      </c>
      <c r="G1942" s="6" t="s">
        <v>297</v>
      </c>
      <c r="H1942" s="10">
        <v>46068.0</v>
      </c>
      <c r="I1942" s="12">
        <v>4.0</v>
      </c>
      <c r="J1942" s="6" t="s">
        <v>161</v>
      </c>
    </row>
    <row r="1943" ht="22.5" customHeight="1">
      <c r="A1943" s="6" t="s">
        <v>9798</v>
      </c>
      <c r="B1943" s="6" t="s">
        <v>5031</v>
      </c>
      <c r="C1943" s="10">
        <v>46053.0</v>
      </c>
      <c r="D1943" s="6" t="s">
        <v>289</v>
      </c>
      <c r="E1943" s="6" t="s">
        <v>670</v>
      </c>
      <c r="F1943" s="6" t="s">
        <v>249</v>
      </c>
      <c r="G1943" s="6" t="s">
        <v>458</v>
      </c>
      <c r="H1943" s="10">
        <v>46056.0</v>
      </c>
      <c r="I1943" s="12">
        <v>6.0</v>
      </c>
      <c r="J1943" s="6" t="s">
        <v>161</v>
      </c>
    </row>
    <row r="1944" ht="22.5" customHeight="1">
      <c r="A1944" s="6" t="s">
        <v>9801</v>
      </c>
      <c r="B1944" s="6" t="s">
        <v>5031</v>
      </c>
      <c r="C1944" s="10">
        <v>46059.0</v>
      </c>
      <c r="D1944" s="6" t="s">
        <v>289</v>
      </c>
      <c r="E1944" s="6" t="s">
        <v>246</v>
      </c>
      <c r="F1944" s="6" t="s">
        <v>112</v>
      </c>
      <c r="G1944" s="6" t="s">
        <v>369</v>
      </c>
      <c r="H1944" s="10">
        <v>46059.0</v>
      </c>
      <c r="I1944" s="12">
        <v>6.0</v>
      </c>
      <c r="J1944" s="6" t="s">
        <v>161</v>
      </c>
    </row>
    <row r="1945" ht="22.5" customHeight="1">
      <c r="A1945" s="6" t="s">
        <v>9807</v>
      </c>
      <c r="B1945" s="6" t="s">
        <v>5037</v>
      </c>
      <c r="C1945" s="10">
        <v>46060.0</v>
      </c>
      <c r="D1945" s="6" t="s">
        <v>312</v>
      </c>
      <c r="E1945" s="6" t="s">
        <v>2365</v>
      </c>
      <c r="F1945" s="6" t="s">
        <v>112</v>
      </c>
      <c r="G1945" s="6" t="s">
        <v>369</v>
      </c>
      <c r="H1945" s="10">
        <v>46061.0</v>
      </c>
      <c r="I1945" s="12">
        <v>6.0</v>
      </c>
      <c r="J1945" s="6" t="s">
        <v>161</v>
      </c>
    </row>
    <row r="1946" ht="22.5" customHeight="1">
      <c r="A1946" s="6" t="s">
        <v>9811</v>
      </c>
      <c r="B1946" s="6" t="s">
        <v>5037</v>
      </c>
      <c r="C1946" s="10">
        <v>46052.0</v>
      </c>
      <c r="D1946" s="6" t="s">
        <v>289</v>
      </c>
      <c r="E1946" s="6" t="s">
        <v>466</v>
      </c>
      <c r="F1946" s="6" t="s">
        <v>249</v>
      </c>
      <c r="G1946" s="6" t="s">
        <v>494</v>
      </c>
      <c r="H1946" s="10">
        <v>46056.0</v>
      </c>
      <c r="I1946" s="12">
        <v>9.0</v>
      </c>
      <c r="J1946" s="6" t="s">
        <v>161</v>
      </c>
    </row>
    <row r="1947" ht="22.5" customHeight="1">
      <c r="A1947" s="6" t="s">
        <v>9814</v>
      </c>
      <c r="B1947" s="6" t="s">
        <v>5044</v>
      </c>
      <c r="C1947" s="10">
        <v>46063.0</v>
      </c>
      <c r="D1947" s="6" t="s">
        <v>436</v>
      </c>
      <c r="E1947" s="6" t="s">
        <v>1570</v>
      </c>
      <c r="F1947" s="6" t="s">
        <v>112</v>
      </c>
      <c r="G1947" s="6" t="s">
        <v>297</v>
      </c>
      <c r="H1947" s="10">
        <v>46065.0</v>
      </c>
      <c r="I1947" s="12">
        <v>10.0</v>
      </c>
      <c r="J1947" s="6" t="s">
        <v>178</v>
      </c>
    </row>
    <row r="1948" ht="22.5" customHeight="1">
      <c r="A1948" s="6" t="s">
        <v>9818</v>
      </c>
      <c r="B1948" s="6" t="s">
        <v>5044</v>
      </c>
      <c r="C1948" s="10">
        <v>46076.0</v>
      </c>
      <c r="D1948" s="6" t="s">
        <v>436</v>
      </c>
      <c r="E1948" s="6" t="s">
        <v>1070</v>
      </c>
      <c r="F1948" s="6" t="s">
        <v>112</v>
      </c>
      <c r="G1948" s="6" t="s">
        <v>369</v>
      </c>
      <c r="H1948" s="10">
        <v>46081.0</v>
      </c>
      <c r="I1948" s="12">
        <v>7.0</v>
      </c>
      <c r="J1948" s="6" t="s">
        <v>178</v>
      </c>
    </row>
    <row r="1949" ht="22.5" customHeight="1">
      <c r="A1949" s="6" t="s">
        <v>9824</v>
      </c>
      <c r="B1949" s="6" t="s">
        <v>5044</v>
      </c>
      <c r="C1949" s="10">
        <v>46076.0</v>
      </c>
      <c r="D1949" s="6" t="s">
        <v>242</v>
      </c>
      <c r="E1949" s="6" t="s">
        <v>628</v>
      </c>
      <c r="F1949" s="6" t="s">
        <v>112</v>
      </c>
      <c r="G1949" s="6" t="s">
        <v>452</v>
      </c>
      <c r="H1949" s="10">
        <v>46078.0</v>
      </c>
      <c r="I1949" s="12">
        <v>5.0</v>
      </c>
      <c r="J1949" s="6" t="s">
        <v>178</v>
      </c>
    </row>
    <row r="1950" ht="22.5" customHeight="1">
      <c r="A1950" s="6" t="s">
        <v>9827</v>
      </c>
      <c r="B1950" s="6" t="s">
        <v>5044</v>
      </c>
      <c r="C1950" s="10">
        <v>46058.0</v>
      </c>
      <c r="D1950" s="6" t="s">
        <v>312</v>
      </c>
      <c r="E1950" s="6" t="s">
        <v>1600</v>
      </c>
      <c r="F1950" s="6" t="s">
        <v>439</v>
      </c>
      <c r="G1950" s="6" t="s">
        <v>477</v>
      </c>
      <c r="H1950" s="10">
        <v>46058.0</v>
      </c>
      <c r="I1950" s="12">
        <v>6.0</v>
      </c>
      <c r="J1950" s="6" t="s">
        <v>161</v>
      </c>
    </row>
    <row r="1951" ht="22.5" customHeight="1">
      <c r="A1951" s="6" t="s">
        <v>9833</v>
      </c>
      <c r="B1951" s="6" t="s">
        <v>5044</v>
      </c>
      <c r="C1951" s="10">
        <v>46069.0</v>
      </c>
      <c r="D1951" s="6" t="s">
        <v>416</v>
      </c>
      <c r="E1951" s="6" t="s">
        <v>738</v>
      </c>
      <c r="F1951" s="6" t="s">
        <v>439</v>
      </c>
      <c r="G1951" s="6" t="s">
        <v>297</v>
      </c>
      <c r="H1951" s="10">
        <v>46070.0</v>
      </c>
      <c r="I1951" s="12">
        <v>14.0</v>
      </c>
      <c r="J1951" s="6" t="s">
        <v>161</v>
      </c>
    </row>
    <row r="1952" ht="22.5" customHeight="1">
      <c r="A1952" s="6" t="s">
        <v>9837</v>
      </c>
      <c r="B1952" s="6" t="s">
        <v>5050</v>
      </c>
      <c r="C1952" s="10">
        <v>46055.0</v>
      </c>
      <c r="D1952" s="6" t="s">
        <v>416</v>
      </c>
      <c r="E1952" s="6" t="s">
        <v>833</v>
      </c>
      <c r="F1952" s="6" t="s">
        <v>112</v>
      </c>
      <c r="G1952" s="6" t="s">
        <v>452</v>
      </c>
      <c r="H1952" s="11" t="s">
        <v>259</v>
      </c>
      <c r="I1952" s="12">
        <v>10.0</v>
      </c>
      <c r="J1952" s="6" t="s">
        <v>161</v>
      </c>
    </row>
    <row r="1953" ht="22.5" customHeight="1">
      <c r="A1953" s="6" t="s">
        <v>9843</v>
      </c>
      <c r="B1953" s="6" t="s">
        <v>5050</v>
      </c>
      <c r="C1953" s="10">
        <v>46063.0</v>
      </c>
      <c r="D1953" s="6" t="s">
        <v>289</v>
      </c>
      <c r="E1953" s="6" t="s">
        <v>1600</v>
      </c>
      <c r="F1953" s="6" t="s">
        <v>283</v>
      </c>
      <c r="G1953" s="6" t="s">
        <v>297</v>
      </c>
      <c r="H1953" s="10">
        <v>46065.0</v>
      </c>
      <c r="I1953" s="12">
        <v>9.0</v>
      </c>
      <c r="J1953" s="6" t="s">
        <v>161</v>
      </c>
    </row>
    <row r="1954" ht="22.5" customHeight="1">
      <c r="A1954" s="6" t="s">
        <v>9846</v>
      </c>
      <c r="B1954" s="6" t="s">
        <v>5050</v>
      </c>
      <c r="C1954" s="10">
        <v>46058.0</v>
      </c>
      <c r="D1954" s="6" t="s">
        <v>391</v>
      </c>
      <c r="E1954" s="6" t="s">
        <v>716</v>
      </c>
      <c r="F1954" s="6" t="s">
        <v>283</v>
      </c>
      <c r="G1954" s="6" t="s">
        <v>477</v>
      </c>
      <c r="H1954" s="10">
        <v>46063.0</v>
      </c>
      <c r="I1954" s="12">
        <v>8.0</v>
      </c>
      <c r="J1954" s="6" t="s">
        <v>161</v>
      </c>
    </row>
    <row r="1955" ht="22.5" customHeight="1">
      <c r="A1955" s="6" t="s">
        <v>9851</v>
      </c>
      <c r="B1955" s="6" t="s">
        <v>5050</v>
      </c>
      <c r="C1955" s="10">
        <v>46056.0</v>
      </c>
      <c r="D1955" s="6" t="s">
        <v>391</v>
      </c>
      <c r="E1955" s="6" t="s">
        <v>1386</v>
      </c>
      <c r="F1955" s="6" t="s">
        <v>283</v>
      </c>
      <c r="G1955" s="6" t="s">
        <v>254</v>
      </c>
      <c r="H1955" s="11" t="s">
        <v>259</v>
      </c>
      <c r="I1955" s="12">
        <v>11.0</v>
      </c>
      <c r="J1955" s="6" t="s">
        <v>161</v>
      </c>
    </row>
    <row r="1956" ht="22.5" customHeight="1">
      <c r="A1956" s="6" t="s">
        <v>9856</v>
      </c>
      <c r="B1956" s="6" t="s">
        <v>5050</v>
      </c>
      <c r="C1956" s="10">
        <v>46059.0</v>
      </c>
      <c r="D1956" s="6" t="s">
        <v>289</v>
      </c>
      <c r="E1956" s="6" t="s">
        <v>695</v>
      </c>
      <c r="F1956" s="6" t="s">
        <v>112</v>
      </c>
      <c r="G1956" s="6" t="s">
        <v>477</v>
      </c>
      <c r="H1956" s="10">
        <v>46061.0</v>
      </c>
      <c r="I1956" s="12">
        <v>6.0</v>
      </c>
      <c r="J1956" s="6" t="s">
        <v>161</v>
      </c>
    </row>
    <row r="1957" ht="22.5" customHeight="1">
      <c r="A1957" s="6" t="s">
        <v>9860</v>
      </c>
      <c r="B1957" s="6" t="s">
        <v>5056</v>
      </c>
      <c r="C1957" s="10">
        <v>46055.0</v>
      </c>
      <c r="D1957" s="6" t="s">
        <v>289</v>
      </c>
      <c r="E1957" s="6" t="s">
        <v>475</v>
      </c>
      <c r="F1957" s="6" t="s">
        <v>283</v>
      </c>
      <c r="G1957" s="6" t="s">
        <v>458</v>
      </c>
      <c r="H1957" s="10">
        <v>46058.0</v>
      </c>
      <c r="I1957" s="12">
        <v>6.0</v>
      </c>
      <c r="J1957" s="6" t="s">
        <v>161</v>
      </c>
    </row>
    <row r="1958" ht="22.5" customHeight="1">
      <c r="A1958" s="6" t="s">
        <v>9865</v>
      </c>
      <c r="B1958" s="6" t="s">
        <v>5056</v>
      </c>
      <c r="C1958" s="10">
        <v>46056.0</v>
      </c>
      <c r="D1958" s="6" t="s">
        <v>436</v>
      </c>
      <c r="E1958" s="6" t="s">
        <v>583</v>
      </c>
      <c r="F1958" s="6" t="s">
        <v>249</v>
      </c>
      <c r="G1958" s="6" t="s">
        <v>297</v>
      </c>
      <c r="H1958" s="10">
        <v>46058.0</v>
      </c>
      <c r="I1958" s="12">
        <v>7.0</v>
      </c>
      <c r="J1958" s="6" t="s">
        <v>178</v>
      </c>
    </row>
    <row r="1959" ht="22.5" customHeight="1">
      <c r="A1959" s="6" t="s">
        <v>9869</v>
      </c>
      <c r="B1959" s="6" t="s">
        <v>5056</v>
      </c>
      <c r="C1959" s="10">
        <v>46038.0</v>
      </c>
      <c r="D1959" s="6" t="s">
        <v>391</v>
      </c>
      <c r="E1959" s="6" t="s">
        <v>687</v>
      </c>
      <c r="F1959" s="6" t="s">
        <v>249</v>
      </c>
      <c r="G1959" s="6" t="s">
        <v>477</v>
      </c>
      <c r="H1959" s="10">
        <v>46042.0</v>
      </c>
      <c r="I1959" s="12">
        <v>8.0</v>
      </c>
      <c r="J1959" s="6" t="s">
        <v>161</v>
      </c>
    </row>
    <row r="1960" ht="22.5" customHeight="1">
      <c r="A1960" s="6" t="s">
        <v>9875</v>
      </c>
      <c r="B1960" s="6" t="s">
        <v>5063</v>
      </c>
      <c r="C1960" s="10">
        <v>46032.0</v>
      </c>
      <c r="D1960" s="6" t="s">
        <v>289</v>
      </c>
      <c r="E1960" s="6" t="s">
        <v>885</v>
      </c>
      <c r="F1960" s="6" t="s">
        <v>112</v>
      </c>
      <c r="G1960" s="6" t="s">
        <v>452</v>
      </c>
      <c r="H1960" s="10">
        <v>46038.0</v>
      </c>
      <c r="I1960" s="12">
        <v>7.0</v>
      </c>
      <c r="J1960" s="6" t="s">
        <v>161</v>
      </c>
    </row>
    <row r="1961" ht="22.5" customHeight="1">
      <c r="A1961" s="6" t="s">
        <v>9879</v>
      </c>
      <c r="B1961" s="6" t="s">
        <v>5063</v>
      </c>
      <c r="C1961" s="10">
        <v>46044.0</v>
      </c>
      <c r="D1961" s="6" t="s">
        <v>677</v>
      </c>
      <c r="E1961" s="6" t="s">
        <v>365</v>
      </c>
      <c r="F1961" s="6" t="s">
        <v>283</v>
      </c>
      <c r="G1961" s="6" t="s">
        <v>297</v>
      </c>
      <c r="H1961" s="10">
        <v>46044.0</v>
      </c>
      <c r="I1961" s="12">
        <v>4.0</v>
      </c>
      <c r="J1961" s="6" t="s">
        <v>161</v>
      </c>
    </row>
    <row r="1962" ht="22.5" customHeight="1">
      <c r="A1962" s="6" t="s">
        <v>9883</v>
      </c>
      <c r="B1962" s="6" t="s">
        <v>5063</v>
      </c>
      <c r="C1962" s="10">
        <v>46048.0</v>
      </c>
      <c r="D1962" s="6" t="s">
        <v>242</v>
      </c>
      <c r="E1962" s="6" t="s">
        <v>1517</v>
      </c>
      <c r="F1962" s="6" t="s">
        <v>439</v>
      </c>
      <c r="G1962" s="6" t="s">
        <v>254</v>
      </c>
      <c r="H1962" s="10">
        <v>46055.0</v>
      </c>
      <c r="I1962" s="12">
        <v>4.0</v>
      </c>
      <c r="J1962" s="6" t="s">
        <v>161</v>
      </c>
    </row>
    <row r="1963" ht="22.5" customHeight="1">
      <c r="A1963" s="6" t="s">
        <v>9888</v>
      </c>
      <c r="B1963" s="6" t="s">
        <v>5070</v>
      </c>
      <c r="C1963" s="10">
        <v>46060.0</v>
      </c>
      <c r="D1963" s="6" t="s">
        <v>289</v>
      </c>
      <c r="E1963" s="6" t="s">
        <v>955</v>
      </c>
      <c r="F1963" s="6" t="s">
        <v>112</v>
      </c>
      <c r="G1963" s="6" t="s">
        <v>477</v>
      </c>
      <c r="H1963" s="10">
        <v>46061.0</v>
      </c>
      <c r="I1963" s="12">
        <v>6.0</v>
      </c>
      <c r="J1963" s="6" t="s">
        <v>161</v>
      </c>
    </row>
    <row r="1964" ht="22.5" customHeight="1">
      <c r="A1964" s="6" t="s">
        <v>9893</v>
      </c>
      <c r="B1964" s="6" t="s">
        <v>5070</v>
      </c>
      <c r="C1964" s="10">
        <v>46067.0</v>
      </c>
      <c r="D1964" s="6" t="s">
        <v>436</v>
      </c>
      <c r="E1964" s="6" t="s">
        <v>1241</v>
      </c>
      <c r="F1964" s="6" t="s">
        <v>249</v>
      </c>
      <c r="G1964" s="6" t="s">
        <v>477</v>
      </c>
      <c r="H1964" s="10">
        <v>46073.0</v>
      </c>
      <c r="I1964" s="12">
        <v>9.0</v>
      </c>
      <c r="J1964" s="6" t="s">
        <v>178</v>
      </c>
    </row>
    <row r="1965" ht="22.5" customHeight="1">
      <c r="A1965" s="6" t="s">
        <v>9895</v>
      </c>
      <c r="B1965" s="6" t="s">
        <v>5070</v>
      </c>
      <c r="C1965" s="10">
        <v>46060.0</v>
      </c>
      <c r="D1965" s="6" t="s">
        <v>436</v>
      </c>
      <c r="E1965" s="6" t="s">
        <v>738</v>
      </c>
      <c r="F1965" s="6" t="s">
        <v>283</v>
      </c>
      <c r="G1965" s="6" t="s">
        <v>254</v>
      </c>
      <c r="H1965" s="10">
        <v>46065.0</v>
      </c>
      <c r="I1965" s="12">
        <v>12.0</v>
      </c>
      <c r="J1965" s="6" t="s">
        <v>178</v>
      </c>
    </row>
    <row r="1966" ht="22.5" customHeight="1">
      <c r="A1966" s="6" t="s">
        <v>9901</v>
      </c>
      <c r="B1966" s="6" t="s">
        <v>5070</v>
      </c>
      <c r="C1966" s="10">
        <v>46068.0</v>
      </c>
      <c r="D1966" s="6" t="s">
        <v>289</v>
      </c>
      <c r="E1966" s="6" t="s">
        <v>583</v>
      </c>
      <c r="F1966" s="6" t="s">
        <v>439</v>
      </c>
      <c r="G1966" s="6" t="s">
        <v>297</v>
      </c>
      <c r="H1966" s="10">
        <v>46069.0</v>
      </c>
      <c r="I1966" s="12">
        <v>8.0</v>
      </c>
      <c r="J1966" s="6" t="s">
        <v>161</v>
      </c>
    </row>
    <row r="1967" ht="22.5" customHeight="1">
      <c r="A1967" s="6" t="s">
        <v>9904</v>
      </c>
      <c r="B1967" s="6" t="s">
        <v>5077</v>
      </c>
      <c r="C1967" s="10">
        <v>46060.0</v>
      </c>
      <c r="D1967" s="6" t="s">
        <v>242</v>
      </c>
      <c r="E1967" s="6" t="s">
        <v>1310</v>
      </c>
      <c r="F1967" s="6" t="s">
        <v>439</v>
      </c>
      <c r="G1967" s="6" t="s">
        <v>297</v>
      </c>
      <c r="H1967" s="10">
        <v>46063.0</v>
      </c>
      <c r="I1967" s="12">
        <v>4.0</v>
      </c>
      <c r="J1967" s="6" t="s">
        <v>178</v>
      </c>
    </row>
    <row r="1968" ht="22.5" customHeight="1">
      <c r="A1968" s="6" t="s">
        <v>9908</v>
      </c>
      <c r="B1968" s="6" t="s">
        <v>5077</v>
      </c>
      <c r="C1968" s="10">
        <v>46059.0</v>
      </c>
      <c r="D1968" s="6" t="s">
        <v>416</v>
      </c>
      <c r="E1968" s="6" t="s">
        <v>618</v>
      </c>
      <c r="F1968" s="6" t="s">
        <v>249</v>
      </c>
      <c r="G1968" s="6" t="s">
        <v>369</v>
      </c>
      <c r="H1968" s="10">
        <v>46064.0</v>
      </c>
      <c r="I1968" s="12">
        <v>11.0</v>
      </c>
      <c r="J1968" s="6" t="s">
        <v>161</v>
      </c>
    </row>
    <row r="1969" ht="22.5" customHeight="1">
      <c r="A1969" s="6" t="s">
        <v>9914</v>
      </c>
      <c r="B1969" s="6" t="s">
        <v>5077</v>
      </c>
      <c r="C1969" s="10">
        <v>46056.0</v>
      </c>
      <c r="D1969" s="6" t="s">
        <v>416</v>
      </c>
      <c r="E1969" s="6" t="s">
        <v>1720</v>
      </c>
      <c r="F1969" s="6" t="s">
        <v>249</v>
      </c>
      <c r="G1969" s="6" t="s">
        <v>452</v>
      </c>
      <c r="H1969" s="10">
        <v>46056.0</v>
      </c>
      <c r="I1969" s="12">
        <v>11.0</v>
      </c>
      <c r="J1969" s="6" t="s">
        <v>161</v>
      </c>
    </row>
    <row r="1970" ht="22.5" customHeight="1">
      <c r="A1970" s="6" t="s">
        <v>9917</v>
      </c>
      <c r="B1970" s="6" t="s">
        <v>5077</v>
      </c>
      <c r="C1970" s="10">
        <v>46058.0</v>
      </c>
      <c r="D1970" s="6" t="s">
        <v>391</v>
      </c>
      <c r="E1970" s="6" t="s">
        <v>417</v>
      </c>
      <c r="F1970" s="6" t="s">
        <v>439</v>
      </c>
      <c r="G1970" s="6" t="s">
        <v>477</v>
      </c>
      <c r="H1970" s="10">
        <v>46064.0</v>
      </c>
      <c r="I1970" s="12">
        <v>9.0</v>
      </c>
      <c r="J1970" s="6" t="s">
        <v>161</v>
      </c>
    </row>
    <row r="1971" ht="22.5" customHeight="1">
      <c r="A1971" s="6" t="s">
        <v>9922</v>
      </c>
      <c r="B1971" s="6" t="s">
        <v>5084</v>
      </c>
      <c r="C1971" s="10">
        <v>46059.0</v>
      </c>
      <c r="D1971" s="6" t="s">
        <v>391</v>
      </c>
      <c r="E1971" s="6" t="s">
        <v>731</v>
      </c>
      <c r="F1971" s="6" t="s">
        <v>283</v>
      </c>
      <c r="G1971" s="6" t="s">
        <v>477</v>
      </c>
      <c r="H1971" s="10">
        <v>46066.0</v>
      </c>
      <c r="I1971" s="12">
        <v>8.0</v>
      </c>
      <c r="J1971" s="6" t="s">
        <v>161</v>
      </c>
    </row>
    <row r="1972" ht="22.5" customHeight="1">
      <c r="A1972" s="6" t="s">
        <v>9926</v>
      </c>
      <c r="B1972" s="6" t="s">
        <v>5091</v>
      </c>
      <c r="C1972" s="10">
        <v>46069.0</v>
      </c>
      <c r="D1972" s="6" t="s">
        <v>677</v>
      </c>
      <c r="E1972" s="6" t="s">
        <v>1280</v>
      </c>
      <c r="F1972" s="6" t="s">
        <v>283</v>
      </c>
      <c r="G1972" s="6" t="s">
        <v>326</v>
      </c>
      <c r="H1972" s="10">
        <v>46073.0</v>
      </c>
      <c r="I1972" s="12">
        <v>3.0</v>
      </c>
      <c r="J1972" s="6" t="s">
        <v>161</v>
      </c>
    </row>
    <row r="1973" ht="22.5" customHeight="1">
      <c r="A1973" s="6" t="s">
        <v>9929</v>
      </c>
      <c r="B1973" s="6" t="s">
        <v>5091</v>
      </c>
      <c r="C1973" s="10">
        <v>46068.0</v>
      </c>
      <c r="D1973" s="6" t="s">
        <v>436</v>
      </c>
      <c r="E1973" s="6" t="s">
        <v>1546</v>
      </c>
      <c r="F1973" s="6" t="s">
        <v>283</v>
      </c>
      <c r="G1973" s="6" t="s">
        <v>254</v>
      </c>
      <c r="H1973" s="10">
        <v>46070.0</v>
      </c>
      <c r="I1973" s="12">
        <v>12.0</v>
      </c>
      <c r="J1973" s="6" t="s">
        <v>178</v>
      </c>
    </row>
    <row r="1974" ht="22.5" customHeight="1">
      <c r="A1974" s="6" t="s">
        <v>9934</v>
      </c>
      <c r="B1974" s="6" t="s">
        <v>5091</v>
      </c>
      <c r="C1974" s="10">
        <v>46074.0</v>
      </c>
      <c r="D1974" s="6" t="s">
        <v>416</v>
      </c>
      <c r="E1974" s="6" t="s">
        <v>1626</v>
      </c>
      <c r="F1974" s="6" t="s">
        <v>112</v>
      </c>
      <c r="G1974" s="6" t="s">
        <v>369</v>
      </c>
      <c r="H1974" s="10">
        <v>46076.0</v>
      </c>
      <c r="I1974" s="12">
        <v>9.0</v>
      </c>
      <c r="J1974" s="6" t="s">
        <v>161</v>
      </c>
    </row>
    <row r="1975" ht="22.5" customHeight="1">
      <c r="A1975" s="6" t="s">
        <v>9938</v>
      </c>
      <c r="B1975" s="6" t="s">
        <v>5091</v>
      </c>
      <c r="C1975" s="10">
        <v>46063.0</v>
      </c>
      <c r="D1975" s="6" t="s">
        <v>416</v>
      </c>
      <c r="E1975" s="6" t="s">
        <v>812</v>
      </c>
      <c r="F1975" s="6" t="s">
        <v>112</v>
      </c>
      <c r="G1975" s="6" t="s">
        <v>458</v>
      </c>
      <c r="H1975" s="10">
        <v>46066.0</v>
      </c>
      <c r="I1975" s="12">
        <v>9.0</v>
      </c>
      <c r="J1975" s="6" t="s">
        <v>161</v>
      </c>
    </row>
    <row r="1976" ht="22.5" customHeight="1">
      <c r="A1976" s="6" t="s">
        <v>9942</v>
      </c>
      <c r="B1976" s="6" t="s">
        <v>5091</v>
      </c>
      <c r="C1976" s="10">
        <v>46059.0</v>
      </c>
      <c r="D1976" s="6" t="s">
        <v>242</v>
      </c>
      <c r="E1976" s="6" t="s">
        <v>738</v>
      </c>
      <c r="F1976" s="6" t="s">
        <v>112</v>
      </c>
      <c r="G1976" s="6" t="s">
        <v>458</v>
      </c>
      <c r="H1976" s="10">
        <v>46061.0</v>
      </c>
      <c r="I1976" s="12">
        <v>6.0</v>
      </c>
      <c r="J1976" s="6" t="s">
        <v>178</v>
      </c>
    </row>
    <row r="1977" ht="22.5" customHeight="1">
      <c r="A1977" s="6" t="s">
        <v>9945</v>
      </c>
      <c r="B1977" s="6" t="s">
        <v>5097</v>
      </c>
      <c r="C1977" s="10">
        <v>46048.0</v>
      </c>
      <c r="D1977" s="6" t="s">
        <v>242</v>
      </c>
      <c r="E1977" s="6" t="s">
        <v>1070</v>
      </c>
      <c r="F1977" s="6" t="s">
        <v>112</v>
      </c>
      <c r="G1977" s="6" t="s">
        <v>297</v>
      </c>
      <c r="H1977" s="11" t="s">
        <v>259</v>
      </c>
      <c r="I1977" s="12">
        <v>4.0</v>
      </c>
      <c r="J1977" s="6" t="s">
        <v>178</v>
      </c>
    </row>
    <row r="1978" ht="22.5" customHeight="1">
      <c r="A1978" s="6" t="s">
        <v>9951</v>
      </c>
      <c r="B1978" s="6" t="s">
        <v>5097</v>
      </c>
      <c r="C1978" s="10">
        <v>46039.0</v>
      </c>
      <c r="D1978" s="6" t="s">
        <v>289</v>
      </c>
      <c r="E1978" s="6" t="s">
        <v>658</v>
      </c>
      <c r="F1978" s="6" t="s">
        <v>283</v>
      </c>
      <c r="G1978" s="6" t="s">
        <v>369</v>
      </c>
      <c r="H1978" s="10">
        <v>46043.0</v>
      </c>
      <c r="I1978" s="12">
        <v>9.0</v>
      </c>
      <c r="J1978" s="6" t="s">
        <v>161</v>
      </c>
    </row>
    <row r="1979" ht="22.5" customHeight="1">
      <c r="A1979" s="6" t="s">
        <v>9954</v>
      </c>
      <c r="B1979" s="6" t="s">
        <v>5097</v>
      </c>
      <c r="C1979" s="10">
        <v>46036.0</v>
      </c>
      <c r="D1979" s="6" t="s">
        <v>677</v>
      </c>
      <c r="E1979" s="6" t="s">
        <v>618</v>
      </c>
      <c r="F1979" s="6" t="s">
        <v>112</v>
      </c>
      <c r="G1979" s="6" t="s">
        <v>452</v>
      </c>
      <c r="H1979" s="10">
        <v>46036.0</v>
      </c>
      <c r="I1979" s="12">
        <v>4.0</v>
      </c>
      <c r="J1979" s="6" t="s">
        <v>161</v>
      </c>
    </row>
    <row r="1980" ht="22.5" customHeight="1">
      <c r="A1980" s="6" t="s">
        <v>9959</v>
      </c>
      <c r="B1980" s="6" t="s">
        <v>5097</v>
      </c>
      <c r="C1980" s="10">
        <v>46039.0</v>
      </c>
      <c r="D1980" s="6" t="s">
        <v>677</v>
      </c>
      <c r="E1980" s="6" t="s">
        <v>1552</v>
      </c>
      <c r="F1980" s="6" t="s">
        <v>439</v>
      </c>
      <c r="G1980" s="6" t="s">
        <v>326</v>
      </c>
      <c r="H1980" s="10">
        <v>46045.0</v>
      </c>
      <c r="I1980" s="12">
        <v>2.0</v>
      </c>
      <c r="J1980" s="6" t="s">
        <v>161</v>
      </c>
    </row>
    <row r="1981" ht="22.5" customHeight="1">
      <c r="A1981" s="6" t="s">
        <v>9963</v>
      </c>
      <c r="B1981" s="6" t="s">
        <v>5104</v>
      </c>
      <c r="C1981" s="10">
        <v>46067.0</v>
      </c>
      <c r="D1981" s="6" t="s">
        <v>391</v>
      </c>
      <c r="E1981" s="6" t="s">
        <v>1517</v>
      </c>
      <c r="F1981" s="6" t="s">
        <v>112</v>
      </c>
      <c r="G1981" s="6" t="s">
        <v>494</v>
      </c>
      <c r="H1981" s="10">
        <v>46067.0</v>
      </c>
      <c r="I1981" s="12">
        <v>9.0</v>
      </c>
      <c r="J1981" s="6" t="s">
        <v>161</v>
      </c>
    </row>
    <row r="1982" ht="22.5" customHeight="1">
      <c r="A1982" s="6" t="s">
        <v>9969</v>
      </c>
      <c r="B1982" s="6" t="s">
        <v>5104</v>
      </c>
      <c r="C1982" s="10">
        <v>46065.0</v>
      </c>
      <c r="D1982" s="6" t="s">
        <v>677</v>
      </c>
      <c r="E1982" s="6" t="s">
        <v>365</v>
      </c>
      <c r="F1982" s="6" t="s">
        <v>249</v>
      </c>
      <c r="G1982" s="6" t="s">
        <v>452</v>
      </c>
      <c r="H1982" s="10">
        <v>46067.0</v>
      </c>
      <c r="I1982" s="12">
        <v>3.0</v>
      </c>
      <c r="J1982" s="6" t="s">
        <v>161</v>
      </c>
    </row>
    <row r="1983" ht="22.5" customHeight="1">
      <c r="A1983" s="6" t="s">
        <v>9973</v>
      </c>
      <c r="B1983" s="6" t="s">
        <v>5104</v>
      </c>
      <c r="C1983" s="10">
        <v>46067.0</v>
      </c>
      <c r="D1983" s="6" t="s">
        <v>242</v>
      </c>
      <c r="E1983" s="6" t="s">
        <v>1149</v>
      </c>
      <c r="F1983" s="6" t="s">
        <v>283</v>
      </c>
      <c r="G1983" s="6" t="s">
        <v>297</v>
      </c>
      <c r="H1983" s="11" t="s">
        <v>259</v>
      </c>
      <c r="I1983" s="12">
        <v>6.0</v>
      </c>
      <c r="J1983" s="6" t="s">
        <v>178</v>
      </c>
    </row>
    <row r="1984" ht="22.5" customHeight="1">
      <c r="A1984" s="6" t="s">
        <v>9978</v>
      </c>
      <c r="B1984" s="6" t="s">
        <v>5104</v>
      </c>
      <c r="C1984" s="10">
        <v>46067.0</v>
      </c>
      <c r="D1984" s="6" t="s">
        <v>312</v>
      </c>
      <c r="E1984" s="6" t="s">
        <v>731</v>
      </c>
      <c r="F1984" s="6" t="s">
        <v>249</v>
      </c>
      <c r="G1984" s="6" t="s">
        <v>369</v>
      </c>
      <c r="H1984" s="11" t="s">
        <v>259</v>
      </c>
      <c r="I1984" s="12">
        <v>5.0</v>
      </c>
      <c r="J1984" s="6" t="s">
        <v>161</v>
      </c>
    </row>
    <row r="1985" ht="22.5" customHeight="1">
      <c r="A1985" s="6" t="s">
        <v>9982</v>
      </c>
      <c r="B1985" s="6" t="s">
        <v>5104</v>
      </c>
      <c r="C1985" s="10">
        <v>46071.0</v>
      </c>
      <c r="D1985" s="6" t="s">
        <v>391</v>
      </c>
      <c r="E1985" s="6" t="s">
        <v>512</v>
      </c>
      <c r="F1985" s="6" t="s">
        <v>249</v>
      </c>
      <c r="G1985" s="6" t="s">
        <v>494</v>
      </c>
      <c r="H1985" s="11" t="s">
        <v>259</v>
      </c>
      <c r="I1985" s="12">
        <v>7.0</v>
      </c>
      <c r="J1985" s="6" t="s">
        <v>161</v>
      </c>
    </row>
    <row r="1986" ht="22.5" customHeight="1">
      <c r="A1986" s="6" t="s">
        <v>9988</v>
      </c>
      <c r="B1986" s="6" t="s">
        <v>5111</v>
      </c>
      <c r="C1986" s="10">
        <v>46069.0</v>
      </c>
      <c r="D1986" s="6" t="s">
        <v>289</v>
      </c>
      <c r="E1986" s="6" t="s">
        <v>1102</v>
      </c>
      <c r="F1986" s="6" t="s">
        <v>439</v>
      </c>
      <c r="G1986" s="6" t="s">
        <v>369</v>
      </c>
      <c r="H1986" s="10">
        <v>46073.0</v>
      </c>
      <c r="I1986" s="12">
        <v>8.0</v>
      </c>
      <c r="J1986" s="6" t="s">
        <v>161</v>
      </c>
    </row>
    <row r="1987" ht="22.5" customHeight="1">
      <c r="A1987" s="6" t="s">
        <v>9991</v>
      </c>
      <c r="B1987" s="6" t="s">
        <v>5111</v>
      </c>
      <c r="C1987" s="10">
        <v>46065.0</v>
      </c>
      <c r="D1987" s="6" t="s">
        <v>391</v>
      </c>
      <c r="E1987" s="6" t="s">
        <v>1546</v>
      </c>
      <c r="F1987" s="6" t="s">
        <v>249</v>
      </c>
      <c r="G1987" s="6" t="s">
        <v>477</v>
      </c>
      <c r="H1987" s="10">
        <v>46065.0</v>
      </c>
      <c r="I1987" s="12">
        <v>6.0</v>
      </c>
      <c r="J1987" s="6" t="s">
        <v>161</v>
      </c>
    </row>
    <row r="1988" ht="22.5" customHeight="1">
      <c r="A1988" s="6" t="s">
        <v>9997</v>
      </c>
      <c r="B1988" s="6" t="s">
        <v>5111</v>
      </c>
      <c r="C1988" s="10">
        <v>46062.0</v>
      </c>
      <c r="D1988" s="6" t="s">
        <v>391</v>
      </c>
      <c r="E1988" s="6" t="s">
        <v>1070</v>
      </c>
      <c r="F1988" s="6" t="s">
        <v>112</v>
      </c>
      <c r="G1988" s="6" t="s">
        <v>477</v>
      </c>
      <c r="H1988" s="11" t="s">
        <v>259</v>
      </c>
      <c r="I1988" s="12">
        <v>6.0</v>
      </c>
      <c r="J1988" s="6" t="s">
        <v>161</v>
      </c>
    </row>
    <row r="1989" ht="22.5" customHeight="1">
      <c r="A1989" s="6" t="s">
        <v>10002</v>
      </c>
      <c r="B1989" s="6" t="s">
        <v>5111</v>
      </c>
      <c r="C1989" s="10">
        <v>46068.0</v>
      </c>
      <c r="D1989" s="6" t="s">
        <v>391</v>
      </c>
      <c r="E1989" s="6" t="s">
        <v>1035</v>
      </c>
      <c r="F1989" s="6" t="s">
        <v>249</v>
      </c>
      <c r="G1989" s="6" t="s">
        <v>477</v>
      </c>
      <c r="H1989" s="10">
        <v>46075.0</v>
      </c>
      <c r="I1989" s="12">
        <v>9.0</v>
      </c>
      <c r="J1989" s="6" t="s">
        <v>161</v>
      </c>
    </row>
    <row r="1990" ht="22.5" customHeight="1">
      <c r="A1990" s="6" t="s">
        <v>10007</v>
      </c>
      <c r="B1990" s="6" t="s">
        <v>5117</v>
      </c>
      <c r="C1990" s="10">
        <v>46083.0</v>
      </c>
      <c r="D1990" s="6" t="s">
        <v>289</v>
      </c>
      <c r="E1990" s="6" t="s">
        <v>1310</v>
      </c>
      <c r="F1990" s="6" t="s">
        <v>249</v>
      </c>
      <c r="G1990" s="6" t="s">
        <v>452</v>
      </c>
      <c r="H1990" s="10">
        <v>46084.0</v>
      </c>
      <c r="I1990" s="12">
        <v>5.0</v>
      </c>
      <c r="J1990" s="6" t="s">
        <v>161</v>
      </c>
    </row>
    <row r="1991" ht="22.5" customHeight="1">
      <c r="A1991" s="6" t="s">
        <v>10012</v>
      </c>
      <c r="B1991" s="6" t="s">
        <v>5117</v>
      </c>
      <c r="C1991" s="10">
        <v>46078.0</v>
      </c>
      <c r="D1991" s="6" t="s">
        <v>242</v>
      </c>
      <c r="E1991" s="6" t="s">
        <v>775</v>
      </c>
      <c r="F1991" s="6" t="s">
        <v>112</v>
      </c>
      <c r="G1991" s="6" t="s">
        <v>297</v>
      </c>
      <c r="H1991" s="11" t="s">
        <v>259</v>
      </c>
      <c r="I1991" s="12">
        <v>4.0</v>
      </c>
      <c r="J1991" s="6" t="s">
        <v>178</v>
      </c>
    </row>
    <row r="1992" ht="22.5" customHeight="1">
      <c r="A1992" s="6" t="s">
        <v>10016</v>
      </c>
      <c r="B1992" s="6" t="s">
        <v>5117</v>
      </c>
      <c r="C1992" s="10">
        <v>46076.0</v>
      </c>
      <c r="D1992" s="6" t="s">
        <v>391</v>
      </c>
      <c r="E1992" s="6" t="s">
        <v>1969</v>
      </c>
      <c r="F1992" s="6" t="s">
        <v>439</v>
      </c>
      <c r="G1992" s="6" t="s">
        <v>369</v>
      </c>
      <c r="H1992" s="10">
        <v>46076.0</v>
      </c>
      <c r="I1992" s="12">
        <v>7.0</v>
      </c>
      <c r="J1992" s="6" t="s">
        <v>161</v>
      </c>
    </row>
    <row r="1993" ht="22.5" customHeight="1">
      <c r="A1993" s="6" t="s">
        <v>10020</v>
      </c>
      <c r="B1993" s="6" t="s">
        <v>5117</v>
      </c>
      <c r="C1993" s="10">
        <v>46083.0</v>
      </c>
      <c r="D1993" s="6" t="s">
        <v>416</v>
      </c>
      <c r="E1993" s="6" t="s">
        <v>812</v>
      </c>
      <c r="F1993" s="6" t="s">
        <v>249</v>
      </c>
      <c r="G1993" s="6" t="s">
        <v>458</v>
      </c>
      <c r="H1993" s="10">
        <v>46084.0</v>
      </c>
      <c r="I1993" s="12">
        <v>11.0</v>
      </c>
      <c r="J1993" s="6" t="s">
        <v>161</v>
      </c>
    </row>
    <row r="1994" ht="22.5" customHeight="1">
      <c r="A1994" s="6" t="s">
        <v>10026</v>
      </c>
      <c r="B1994" s="6" t="s">
        <v>5117</v>
      </c>
      <c r="C1994" s="10">
        <v>46075.0</v>
      </c>
      <c r="D1994" s="6" t="s">
        <v>436</v>
      </c>
      <c r="E1994" s="6" t="s">
        <v>1241</v>
      </c>
      <c r="F1994" s="6" t="s">
        <v>112</v>
      </c>
      <c r="G1994" s="6" t="s">
        <v>254</v>
      </c>
      <c r="H1994" s="10">
        <v>46082.0</v>
      </c>
      <c r="I1994" s="12">
        <v>8.0</v>
      </c>
      <c r="J1994" s="6" t="s">
        <v>178</v>
      </c>
    </row>
    <row r="1995" ht="22.5" customHeight="1">
      <c r="A1995" s="6" t="s">
        <v>10032</v>
      </c>
      <c r="B1995" s="6" t="s">
        <v>5124</v>
      </c>
      <c r="C1995" s="10">
        <v>46060.0</v>
      </c>
      <c r="D1995" s="6" t="s">
        <v>312</v>
      </c>
      <c r="E1995" s="6" t="s">
        <v>798</v>
      </c>
      <c r="F1995" s="6" t="s">
        <v>249</v>
      </c>
      <c r="G1995" s="6" t="s">
        <v>369</v>
      </c>
      <c r="H1995" s="10">
        <v>46061.0</v>
      </c>
      <c r="I1995" s="12">
        <v>7.0</v>
      </c>
      <c r="J1995" s="6" t="s">
        <v>161</v>
      </c>
    </row>
    <row r="1996" ht="22.5" customHeight="1">
      <c r="A1996" s="6" t="s">
        <v>10035</v>
      </c>
      <c r="B1996" s="6" t="s">
        <v>5124</v>
      </c>
      <c r="C1996" s="10">
        <v>46063.0</v>
      </c>
      <c r="D1996" s="6" t="s">
        <v>242</v>
      </c>
      <c r="E1996" s="6" t="s">
        <v>1552</v>
      </c>
      <c r="F1996" s="6" t="s">
        <v>439</v>
      </c>
      <c r="G1996" s="6" t="s">
        <v>326</v>
      </c>
      <c r="H1996" s="10">
        <v>46065.0</v>
      </c>
      <c r="I1996" s="12">
        <v>3.0</v>
      </c>
      <c r="J1996" s="6" t="s">
        <v>178</v>
      </c>
    </row>
    <row r="1997" ht="22.5" customHeight="1">
      <c r="A1997" s="6" t="s">
        <v>10039</v>
      </c>
      <c r="B1997" s="6" t="s">
        <v>5124</v>
      </c>
      <c r="C1997" s="10">
        <v>46060.0</v>
      </c>
      <c r="D1997" s="6" t="s">
        <v>242</v>
      </c>
      <c r="E1997" s="6" t="s">
        <v>731</v>
      </c>
      <c r="F1997" s="6" t="s">
        <v>112</v>
      </c>
      <c r="G1997" s="6" t="s">
        <v>458</v>
      </c>
      <c r="H1997" s="10">
        <v>46062.0</v>
      </c>
      <c r="I1997" s="12">
        <v>6.0</v>
      </c>
      <c r="J1997" s="6" t="s">
        <v>178</v>
      </c>
    </row>
    <row r="1998" ht="22.5" customHeight="1">
      <c r="A1998" s="6" t="s">
        <v>10043</v>
      </c>
      <c r="B1998" s="6" t="s">
        <v>5124</v>
      </c>
      <c r="C1998" s="10">
        <v>46076.0</v>
      </c>
      <c r="D1998" s="6" t="s">
        <v>289</v>
      </c>
      <c r="E1998" s="6" t="s">
        <v>687</v>
      </c>
      <c r="F1998" s="6" t="s">
        <v>439</v>
      </c>
      <c r="G1998" s="6" t="s">
        <v>458</v>
      </c>
      <c r="H1998" s="10">
        <v>46076.0</v>
      </c>
      <c r="I1998" s="12">
        <v>8.0</v>
      </c>
      <c r="J1998" s="6" t="s">
        <v>161</v>
      </c>
    </row>
    <row r="1999" ht="22.5" customHeight="1">
      <c r="A1999" s="6" t="s">
        <v>10048</v>
      </c>
      <c r="B1999" s="6" t="s">
        <v>5130</v>
      </c>
      <c r="C1999" s="10">
        <v>46045.0</v>
      </c>
      <c r="D1999" s="6" t="s">
        <v>391</v>
      </c>
      <c r="E1999" s="6" t="s">
        <v>863</v>
      </c>
      <c r="F1999" s="6" t="s">
        <v>249</v>
      </c>
      <c r="G1999" s="6" t="s">
        <v>297</v>
      </c>
      <c r="H1999" s="10">
        <v>46052.0</v>
      </c>
      <c r="I1999" s="12">
        <v>8.0</v>
      </c>
      <c r="J1999" s="6" t="s">
        <v>161</v>
      </c>
    </row>
    <row r="2000" ht="22.5" customHeight="1">
      <c r="A2000" s="6" t="s">
        <v>10052</v>
      </c>
      <c r="B2000" s="6" t="s">
        <v>5130</v>
      </c>
      <c r="C2000" s="10">
        <v>46057.0</v>
      </c>
      <c r="D2000" s="6" t="s">
        <v>391</v>
      </c>
      <c r="E2000" s="6" t="s">
        <v>246</v>
      </c>
      <c r="F2000" s="6" t="s">
        <v>283</v>
      </c>
      <c r="G2000" s="6" t="s">
        <v>326</v>
      </c>
      <c r="H2000" s="10">
        <v>46057.0</v>
      </c>
      <c r="I2000" s="12">
        <v>7.0</v>
      </c>
      <c r="J2000" s="6" t="s">
        <v>161</v>
      </c>
    </row>
    <row r="2001" ht="22.5" customHeight="1">
      <c r="A2001" s="6" t="s">
        <v>10058</v>
      </c>
      <c r="B2001" s="6" t="s">
        <v>5130</v>
      </c>
      <c r="C2001" s="10">
        <v>46045.0</v>
      </c>
      <c r="D2001" s="6" t="s">
        <v>242</v>
      </c>
      <c r="E2001" s="6" t="s">
        <v>1241</v>
      </c>
      <c r="F2001" s="6" t="s">
        <v>112</v>
      </c>
      <c r="G2001" s="6" t="s">
        <v>326</v>
      </c>
      <c r="H2001" s="10">
        <v>46051.0</v>
      </c>
      <c r="I2001" s="12">
        <v>6.0</v>
      </c>
      <c r="J2001" s="6" t="s">
        <v>178</v>
      </c>
    </row>
    <row r="2002" ht="22.5" customHeight="1">
      <c r="A2002" s="6" t="s">
        <v>10061</v>
      </c>
      <c r="B2002" s="6" t="s">
        <v>5136</v>
      </c>
      <c r="C2002" s="10">
        <v>46081.0</v>
      </c>
      <c r="D2002" s="6" t="s">
        <v>289</v>
      </c>
      <c r="E2002" s="6" t="s">
        <v>1035</v>
      </c>
      <c r="F2002" s="6" t="s">
        <v>439</v>
      </c>
      <c r="G2002" s="6" t="s">
        <v>254</v>
      </c>
      <c r="H2002" s="10">
        <v>46085.0</v>
      </c>
      <c r="I2002" s="12">
        <v>8.0</v>
      </c>
      <c r="J2002" s="6" t="s">
        <v>161</v>
      </c>
    </row>
    <row r="2003" ht="22.5" customHeight="1">
      <c r="A2003" s="6" t="s">
        <v>10065</v>
      </c>
      <c r="B2003" s="6" t="s">
        <v>5136</v>
      </c>
      <c r="C2003" s="10">
        <v>46078.0</v>
      </c>
      <c r="D2003" s="6" t="s">
        <v>416</v>
      </c>
      <c r="E2003" s="6" t="s">
        <v>583</v>
      </c>
      <c r="F2003" s="6" t="s">
        <v>112</v>
      </c>
      <c r="G2003" s="6" t="s">
        <v>452</v>
      </c>
      <c r="H2003" s="10">
        <v>46085.0</v>
      </c>
      <c r="I2003" s="12">
        <v>11.0</v>
      </c>
      <c r="J2003" s="6" t="s">
        <v>161</v>
      </c>
    </row>
    <row r="2004" ht="22.5" customHeight="1">
      <c r="A2004" s="6" t="s">
        <v>10071</v>
      </c>
      <c r="B2004" s="6" t="s">
        <v>5143</v>
      </c>
      <c r="C2004" s="10">
        <v>46066.0</v>
      </c>
      <c r="D2004" s="6" t="s">
        <v>242</v>
      </c>
      <c r="E2004" s="6" t="s">
        <v>2881</v>
      </c>
      <c r="F2004" s="6" t="s">
        <v>283</v>
      </c>
      <c r="G2004" s="6" t="s">
        <v>452</v>
      </c>
      <c r="H2004" s="10">
        <v>46067.0</v>
      </c>
      <c r="I2004" s="12">
        <v>3.0</v>
      </c>
      <c r="J2004" s="6" t="s">
        <v>161</v>
      </c>
    </row>
    <row r="2005" ht="22.5" customHeight="1">
      <c r="A2005" s="6" t="s">
        <v>10074</v>
      </c>
      <c r="B2005" s="6" t="s">
        <v>5143</v>
      </c>
      <c r="C2005" s="10">
        <v>46073.0</v>
      </c>
      <c r="D2005" s="6" t="s">
        <v>416</v>
      </c>
      <c r="E2005" s="6" t="s">
        <v>1741</v>
      </c>
      <c r="F2005" s="6" t="s">
        <v>283</v>
      </c>
      <c r="G2005" s="6" t="s">
        <v>326</v>
      </c>
      <c r="H2005" s="10">
        <v>46076.0</v>
      </c>
      <c r="I2005" s="12">
        <v>10.0</v>
      </c>
      <c r="J2005" s="6" t="s">
        <v>161</v>
      </c>
    </row>
    <row r="2006" ht="22.5" customHeight="1">
      <c r="A2006" s="6" t="s">
        <v>10080</v>
      </c>
      <c r="B2006" s="6" t="s">
        <v>5143</v>
      </c>
      <c r="C2006" s="10">
        <v>46069.0</v>
      </c>
      <c r="D2006" s="6" t="s">
        <v>242</v>
      </c>
      <c r="E2006" s="6" t="s">
        <v>291</v>
      </c>
      <c r="F2006" s="6" t="s">
        <v>283</v>
      </c>
      <c r="G2006" s="6" t="s">
        <v>477</v>
      </c>
      <c r="H2006" s="10">
        <v>46072.0</v>
      </c>
      <c r="I2006" s="12">
        <v>5.0</v>
      </c>
      <c r="J2006" s="6" t="s">
        <v>178</v>
      </c>
    </row>
    <row r="2007" ht="22.5" customHeight="1">
      <c r="A2007" s="6" t="s">
        <v>10084</v>
      </c>
      <c r="B2007" s="6" t="s">
        <v>5149</v>
      </c>
      <c r="C2007" s="10">
        <v>46031.0</v>
      </c>
      <c r="D2007" s="6" t="s">
        <v>289</v>
      </c>
      <c r="E2007" s="6" t="s">
        <v>1969</v>
      </c>
      <c r="F2007" s="6" t="s">
        <v>112</v>
      </c>
      <c r="G2007" s="6" t="s">
        <v>452</v>
      </c>
      <c r="H2007" s="10">
        <v>46031.0</v>
      </c>
      <c r="I2007" s="12">
        <v>5.0</v>
      </c>
      <c r="J2007" s="6" t="s">
        <v>161</v>
      </c>
    </row>
    <row r="2008" ht="22.5" customHeight="1">
      <c r="A2008" s="6" t="s">
        <v>10090</v>
      </c>
      <c r="B2008" s="6" t="s">
        <v>5149</v>
      </c>
      <c r="C2008" s="10">
        <v>46045.0</v>
      </c>
      <c r="D2008" s="6" t="s">
        <v>242</v>
      </c>
      <c r="E2008" s="6" t="s">
        <v>566</v>
      </c>
      <c r="F2008" s="6" t="s">
        <v>439</v>
      </c>
      <c r="G2008" s="6" t="s">
        <v>369</v>
      </c>
      <c r="H2008" s="10">
        <v>46049.0</v>
      </c>
      <c r="I2008" s="12">
        <v>4.0</v>
      </c>
      <c r="J2008" s="6" t="s">
        <v>178</v>
      </c>
    </row>
    <row r="2009" ht="22.5" customHeight="1">
      <c r="A2009" s="6" t="s">
        <v>10093</v>
      </c>
      <c r="B2009" s="6" t="s">
        <v>5149</v>
      </c>
      <c r="C2009" s="10">
        <v>46042.0</v>
      </c>
      <c r="D2009" s="6" t="s">
        <v>436</v>
      </c>
      <c r="E2009" s="6" t="s">
        <v>731</v>
      </c>
      <c r="F2009" s="6" t="s">
        <v>439</v>
      </c>
      <c r="G2009" s="6" t="s">
        <v>458</v>
      </c>
      <c r="H2009" s="10">
        <v>46047.0</v>
      </c>
      <c r="I2009" s="12">
        <v>7.0</v>
      </c>
      <c r="J2009" s="6" t="s">
        <v>161</v>
      </c>
    </row>
    <row r="2010" ht="22.5" customHeight="1">
      <c r="A2010" s="6" t="s">
        <v>10098</v>
      </c>
      <c r="B2010" s="6" t="s">
        <v>5149</v>
      </c>
      <c r="C2010" s="10">
        <v>46031.0</v>
      </c>
      <c r="D2010" s="6" t="s">
        <v>677</v>
      </c>
      <c r="E2010" s="6" t="s">
        <v>438</v>
      </c>
      <c r="F2010" s="6" t="s">
        <v>112</v>
      </c>
      <c r="G2010" s="6" t="s">
        <v>494</v>
      </c>
      <c r="H2010" s="10">
        <v>46032.0</v>
      </c>
      <c r="I2010" s="12">
        <v>4.0</v>
      </c>
      <c r="J2010" s="6" t="s">
        <v>161</v>
      </c>
    </row>
    <row r="2011" ht="22.5" customHeight="1">
      <c r="A2011" s="6" t="s">
        <v>10103</v>
      </c>
      <c r="B2011" s="6" t="s">
        <v>5149</v>
      </c>
      <c r="C2011" s="10">
        <v>46043.0</v>
      </c>
      <c r="D2011" s="6" t="s">
        <v>289</v>
      </c>
      <c r="E2011" s="6" t="s">
        <v>787</v>
      </c>
      <c r="F2011" s="6" t="s">
        <v>283</v>
      </c>
      <c r="G2011" s="6" t="s">
        <v>297</v>
      </c>
      <c r="H2011" s="10">
        <v>46049.0</v>
      </c>
      <c r="I2011" s="12">
        <v>8.0</v>
      </c>
      <c r="J2011" s="6" t="s">
        <v>161</v>
      </c>
    </row>
    <row r="2012" ht="22.5" customHeight="1">
      <c r="A2012" s="6" t="s">
        <v>10109</v>
      </c>
      <c r="B2012" s="6" t="s">
        <v>5156</v>
      </c>
      <c r="C2012" s="10">
        <v>46059.0</v>
      </c>
      <c r="D2012" s="6" t="s">
        <v>242</v>
      </c>
      <c r="E2012" s="6" t="s">
        <v>291</v>
      </c>
      <c r="F2012" s="6" t="s">
        <v>283</v>
      </c>
      <c r="G2012" s="6" t="s">
        <v>452</v>
      </c>
      <c r="H2012" s="11" t="s">
        <v>259</v>
      </c>
      <c r="I2012" s="12">
        <v>3.0</v>
      </c>
      <c r="J2012" s="6" t="s">
        <v>161</v>
      </c>
    </row>
    <row r="2013" ht="22.5" customHeight="1">
      <c r="A2013" s="6" t="s">
        <v>10112</v>
      </c>
      <c r="B2013" s="6" t="s">
        <v>5162</v>
      </c>
      <c r="C2013" s="10">
        <v>46050.0</v>
      </c>
      <c r="D2013" s="6" t="s">
        <v>436</v>
      </c>
      <c r="E2013" s="6" t="s">
        <v>246</v>
      </c>
      <c r="F2013" s="6" t="s">
        <v>439</v>
      </c>
      <c r="G2013" s="6" t="s">
        <v>297</v>
      </c>
      <c r="H2013" s="10">
        <v>46057.0</v>
      </c>
      <c r="I2013" s="12">
        <v>7.0</v>
      </c>
      <c r="J2013" s="6" t="s">
        <v>178</v>
      </c>
    </row>
    <row r="2014" ht="22.5" customHeight="1">
      <c r="A2014" s="6" t="s">
        <v>10117</v>
      </c>
      <c r="B2014" s="6" t="s">
        <v>5162</v>
      </c>
      <c r="C2014" s="10">
        <v>46068.0</v>
      </c>
      <c r="D2014" s="6" t="s">
        <v>289</v>
      </c>
      <c r="E2014" s="6" t="s">
        <v>417</v>
      </c>
      <c r="F2014" s="6" t="s">
        <v>249</v>
      </c>
      <c r="G2014" s="6" t="s">
        <v>452</v>
      </c>
      <c r="H2014" s="10">
        <v>46068.0</v>
      </c>
      <c r="I2014" s="12">
        <v>6.0</v>
      </c>
      <c r="J2014" s="6" t="s">
        <v>161</v>
      </c>
    </row>
    <row r="2015" ht="22.5" customHeight="1">
      <c r="A2015" s="6" t="s">
        <v>10119</v>
      </c>
      <c r="B2015" s="6" t="s">
        <v>5162</v>
      </c>
      <c r="C2015" s="10">
        <v>46059.0</v>
      </c>
      <c r="D2015" s="6" t="s">
        <v>289</v>
      </c>
      <c r="E2015" s="6" t="s">
        <v>1296</v>
      </c>
      <c r="F2015" s="6" t="s">
        <v>249</v>
      </c>
      <c r="G2015" s="6" t="s">
        <v>458</v>
      </c>
      <c r="H2015" s="10">
        <v>46063.0</v>
      </c>
      <c r="I2015" s="12">
        <v>10.0</v>
      </c>
      <c r="J2015" s="6" t="s">
        <v>161</v>
      </c>
    </row>
    <row r="2016" ht="22.5" customHeight="1">
      <c r="A2016" s="6" t="s">
        <v>10123</v>
      </c>
      <c r="B2016" s="6" t="s">
        <v>5169</v>
      </c>
      <c r="C2016" s="10">
        <v>46061.0</v>
      </c>
      <c r="D2016" s="6" t="s">
        <v>416</v>
      </c>
      <c r="E2016" s="6" t="s">
        <v>566</v>
      </c>
      <c r="F2016" s="6" t="s">
        <v>112</v>
      </c>
      <c r="G2016" s="6" t="s">
        <v>297</v>
      </c>
      <c r="H2016" s="10">
        <v>46067.0</v>
      </c>
      <c r="I2016" s="12">
        <v>13.0</v>
      </c>
      <c r="J2016" s="6" t="s">
        <v>161</v>
      </c>
    </row>
    <row r="2017" ht="22.5" customHeight="1">
      <c r="A2017" s="6" t="s">
        <v>10128</v>
      </c>
      <c r="B2017" s="6" t="s">
        <v>5169</v>
      </c>
      <c r="C2017" s="10">
        <v>46056.0</v>
      </c>
      <c r="D2017" s="6" t="s">
        <v>312</v>
      </c>
      <c r="E2017" s="6" t="s">
        <v>687</v>
      </c>
      <c r="F2017" s="6" t="s">
        <v>249</v>
      </c>
      <c r="G2017" s="6" t="s">
        <v>452</v>
      </c>
      <c r="H2017" s="10">
        <v>46056.0</v>
      </c>
      <c r="I2017" s="12">
        <v>4.0</v>
      </c>
      <c r="J2017" s="6" t="s">
        <v>161</v>
      </c>
    </row>
    <row r="2018" ht="22.5" customHeight="1">
      <c r="A2018" s="6" t="s">
        <v>10131</v>
      </c>
      <c r="B2018" s="6" t="s">
        <v>5169</v>
      </c>
      <c r="C2018" s="10">
        <v>46061.0</v>
      </c>
      <c r="D2018" s="6" t="s">
        <v>391</v>
      </c>
      <c r="E2018" s="6" t="s">
        <v>417</v>
      </c>
      <c r="F2018" s="6" t="s">
        <v>439</v>
      </c>
      <c r="G2018" s="6" t="s">
        <v>458</v>
      </c>
      <c r="H2018" s="10">
        <v>46062.0</v>
      </c>
      <c r="I2018" s="12">
        <v>11.0</v>
      </c>
      <c r="J2018" s="6" t="s">
        <v>161</v>
      </c>
    </row>
    <row r="2019" ht="22.5" customHeight="1">
      <c r="A2019" s="6" t="s">
        <v>10136</v>
      </c>
      <c r="B2019" s="6" t="s">
        <v>5169</v>
      </c>
      <c r="C2019" s="10">
        <v>46060.0</v>
      </c>
      <c r="D2019" s="6" t="s">
        <v>242</v>
      </c>
      <c r="E2019" s="6" t="s">
        <v>687</v>
      </c>
      <c r="F2019" s="6" t="s">
        <v>439</v>
      </c>
      <c r="G2019" s="6" t="s">
        <v>458</v>
      </c>
      <c r="H2019" s="11" t="s">
        <v>259</v>
      </c>
      <c r="I2019" s="12">
        <v>5.0</v>
      </c>
      <c r="J2019" s="6" t="s">
        <v>178</v>
      </c>
    </row>
    <row r="2020" ht="22.5" customHeight="1">
      <c r="A2020" s="6" t="s">
        <v>10140</v>
      </c>
      <c r="B2020" s="6" t="s">
        <v>5169</v>
      </c>
      <c r="C2020" s="10">
        <v>46057.0</v>
      </c>
      <c r="D2020" s="6" t="s">
        <v>242</v>
      </c>
      <c r="E2020" s="6" t="s">
        <v>798</v>
      </c>
      <c r="F2020" s="6" t="s">
        <v>249</v>
      </c>
      <c r="G2020" s="6" t="s">
        <v>326</v>
      </c>
      <c r="H2020" s="10">
        <v>46059.0</v>
      </c>
      <c r="I2020" s="12">
        <v>5.0</v>
      </c>
      <c r="J2020" s="6" t="s">
        <v>161</v>
      </c>
    </row>
    <row r="2021" ht="22.5" customHeight="1">
      <c r="A2021" s="6" t="s">
        <v>10144</v>
      </c>
      <c r="B2021" s="6" t="s">
        <v>5175</v>
      </c>
      <c r="C2021" s="10">
        <v>46053.0</v>
      </c>
      <c r="D2021" s="6" t="s">
        <v>391</v>
      </c>
      <c r="E2021" s="6" t="s">
        <v>1741</v>
      </c>
      <c r="F2021" s="6" t="s">
        <v>112</v>
      </c>
      <c r="G2021" s="6" t="s">
        <v>458</v>
      </c>
      <c r="H2021" s="10">
        <v>46054.0</v>
      </c>
      <c r="I2021" s="12">
        <v>7.0</v>
      </c>
      <c r="J2021" s="6" t="s">
        <v>161</v>
      </c>
    </row>
    <row r="2022" ht="22.5" customHeight="1">
      <c r="A2022" s="6" t="s">
        <v>10149</v>
      </c>
      <c r="B2022" s="6" t="s">
        <v>5181</v>
      </c>
      <c r="C2022" s="10">
        <v>46084.0</v>
      </c>
      <c r="D2022" s="6" t="s">
        <v>312</v>
      </c>
      <c r="E2022" s="6" t="s">
        <v>1700</v>
      </c>
      <c r="F2022" s="6" t="s">
        <v>112</v>
      </c>
      <c r="G2022" s="6" t="s">
        <v>297</v>
      </c>
      <c r="H2022" s="10">
        <v>46087.0</v>
      </c>
      <c r="I2022" s="12">
        <v>4.0</v>
      </c>
      <c r="J2022" s="6" t="s">
        <v>161</v>
      </c>
    </row>
    <row r="2023" ht="22.5" customHeight="1">
      <c r="A2023" s="6" t="s">
        <v>10155</v>
      </c>
      <c r="B2023" s="6" t="s">
        <v>5181</v>
      </c>
      <c r="C2023" s="10">
        <v>46086.0</v>
      </c>
      <c r="D2023" s="6" t="s">
        <v>312</v>
      </c>
      <c r="E2023" s="6" t="s">
        <v>670</v>
      </c>
      <c r="F2023" s="6" t="s">
        <v>249</v>
      </c>
      <c r="G2023" s="6" t="s">
        <v>369</v>
      </c>
      <c r="H2023" s="10">
        <v>46087.0</v>
      </c>
      <c r="I2023" s="12">
        <v>6.0</v>
      </c>
      <c r="J2023" s="6" t="s">
        <v>161</v>
      </c>
    </row>
    <row r="2024" ht="22.5" customHeight="1">
      <c r="A2024" s="6" t="s">
        <v>10158</v>
      </c>
      <c r="B2024" s="6" t="s">
        <v>5181</v>
      </c>
      <c r="C2024" s="10">
        <v>46079.0</v>
      </c>
      <c r="D2024" s="6" t="s">
        <v>242</v>
      </c>
      <c r="E2024" s="6" t="s">
        <v>885</v>
      </c>
      <c r="F2024" s="6" t="s">
        <v>249</v>
      </c>
      <c r="G2024" s="6" t="s">
        <v>297</v>
      </c>
      <c r="H2024" s="10">
        <v>46080.0</v>
      </c>
      <c r="I2024" s="12">
        <v>5.0</v>
      </c>
      <c r="J2024" s="6" t="s">
        <v>178</v>
      </c>
    </row>
    <row r="2025" ht="22.5" customHeight="1">
      <c r="A2025" s="6" t="s">
        <v>10162</v>
      </c>
      <c r="B2025" s="6" t="s">
        <v>5187</v>
      </c>
      <c r="C2025" s="10">
        <v>46049.0</v>
      </c>
      <c r="D2025" s="6" t="s">
        <v>416</v>
      </c>
      <c r="E2025" s="6" t="s">
        <v>291</v>
      </c>
      <c r="F2025" s="6" t="s">
        <v>112</v>
      </c>
      <c r="G2025" s="6" t="s">
        <v>458</v>
      </c>
      <c r="H2025" s="10">
        <v>46053.0</v>
      </c>
      <c r="I2025" s="12">
        <v>12.0</v>
      </c>
      <c r="J2025" s="6" t="s">
        <v>161</v>
      </c>
    </row>
    <row r="2026" ht="22.5" customHeight="1">
      <c r="A2026" s="6" t="s">
        <v>10167</v>
      </c>
      <c r="B2026" s="6" t="s">
        <v>5187</v>
      </c>
      <c r="C2026" s="10">
        <v>46051.0</v>
      </c>
      <c r="D2026" s="6" t="s">
        <v>416</v>
      </c>
      <c r="E2026" s="6" t="s">
        <v>1969</v>
      </c>
      <c r="F2026" s="6" t="s">
        <v>112</v>
      </c>
      <c r="G2026" s="6" t="s">
        <v>477</v>
      </c>
      <c r="H2026" s="10">
        <v>46054.0</v>
      </c>
      <c r="I2026" s="12">
        <v>13.0</v>
      </c>
      <c r="J2026" s="6" t="s">
        <v>161</v>
      </c>
    </row>
    <row r="2027" ht="22.5" customHeight="1">
      <c r="A2027" s="6" t="s">
        <v>10171</v>
      </c>
      <c r="B2027" s="6" t="s">
        <v>5192</v>
      </c>
      <c r="C2027" s="10">
        <v>46054.0</v>
      </c>
      <c r="D2027" s="6" t="s">
        <v>416</v>
      </c>
      <c r="E2027" s="6" t="s">
        <v>1552</v>
      </c>
      <c r="F2027" s="6" t="s">
        <v>439</v>
      </c>
      <c r="G2027" s="6" t="s">
        <v>326</v>
      </c>
      <c r="H2027" s="10">
        <v>46060.0</v>
      </c>
      <c r="I2027" s="12">
        <v>9.0</v>
      </c>
      <c r="J2027" s="6" t="s">
        <v>161</v>
      </c>
    </row>
    <row r="2028" ht="22.5" customHeight="1">
      <c r="A2028" s="6" t="s">
        <v>10175</v>
      </c>
      <c r="B2028" s="6" t="s">
        <v>5192</v>
      </c>
      <c r="C2028" s="10">
        <v>46062.0</v>
      </c>
      <c r="D2028" s="6" t="s">
        <v>312</v>
      </c>
      <c r="E2028" s="6" t="s">
        <v>475</v>
      </c>
      <c r="F2028" s="6" t="s">
        <v>439</v>
      </c>
      <c r="G2028" s="6" t="s">
        <v>326</v>
      </c>
      <c r="H2028" s="11" t="s">
        <v>259</v>
      </c>
      <c r="I2028" s="12">
        <v>7.0</v>
      </c>
      <c r="J2028" s="6" t="s">
        <v>161</v>
      </c>
    </row>
    <row r="2029" ht="22.5" customHeight="1">
      <c r="A2029" s="6" t="s">
        <v>10181</v>
      </c>
      <c r="B2029" s="6" t="s">
        <v>5192</v>
      </c>
      <c r="C2029" s="10">
        <v>46074.0</v>
      </c>
      <c r="D2029" s="6" t="s">
        <v>289</v>
      </c>
      <c r="E2029" s="6" t="s">
        <v>1241</v>
      </c>
      <c r="F2029" s="6" t="s">
        <v>439</v>
      </c>
      <c r="G2029" s="6" t="s">
        <v>458</v>
      </c>
      <c r="H2029" s="10">
        <v>46080.0</v>
      </c>
      <c r="I2029" s="12">
        <v>8.0</v>
      </c>
      <c r="J2029" s="6" t="s">
        <v>161</v>
      </c>
    </row>
    <row r="2030" ht="22.5" customHeight="1">
      <c r="A2030" s="6" t="s">
        <v>10184</v>
      </c>
      <c r="B2030" s="6" t="s">
        <v>5197</v>
      </c>
      <c r="C2030" s="10">
        <v>46041.0</v>
      </c>
      <c r="D2030" s="6" t="s">
        <v>312</v>
      </c>
      <c r="E2030" s="6" t="s">
        <v>1700</v>
      </c>
      <c r="F2030" s="6" t="s">
        <v>112</v>
      </c>
      <c r="G2030" s="6" t="s">
        <v>494</v>
      </c>
      <c r="H2030" s="10">
        <v>46047.0</v>
      </c>
      <c r="I2030" s="12">
        <v>6.0</v>
      </c>
      <c r="J2030" s="6" t="s">
        <v>161</v>
      </c>
    </row>
    <row r="2031" ht="22.5" customHeight="1">
      <c r="A2031" s="6" t="s">
        <v>10190</v>
      </c>
      <c r="B2031" s="6" t="s">
        <v>5197</v>
      </c>
      <c r="C2031" s="10">
        <v>46041.0</v>
      </c>
      <c r="D2031" s="6" t="s">
        <v>289</v>
      </c>
      <c r="E2031" s="6" t="s">
        <v>1386</v>
      </c>
      <c r="F2031" s="6" t="s">
        <v>283</v>
      </c>
      <c r="G2031" s="6" t="s">
        <v>452</v>
      </c>
      <c r="H2031" s="10">
        <v>46043.0</v>
      </c>
      <c r="I2031" s="12">
        <v>8.0</v>
      </c>
      <c r="J2031" s="6" t="s">
        <v>161</v>
      </c>
    </row>
    <row r="2032" ht="22.5" customHeight="1">
      <c r="A2032" s="6" t="s">
        <v>10196</v>
      </c>
      <c r="B2032" s="6" t="s">
        <v>5197</v>
      </c>
      <c r="C2032" s="10">
        <v>46041.0</v>
      </c>
      <c r="D2032" s="6" t="s">
        <v>289</v>
      </c>
      <c r="E2032" s="6" t="s">
        <v>1310</v>
      </c>
      <c r="F2032" s="6" t="s">
        <v>249</v>
      </c>
      <c r="G2032" s="6" t="s">
        <v>254</v>
      </c>
      <c r="H2032" s="10">
        <v>46046.0</v>
      </c>
      <c r="I2032" s="12">
        <v>5.0</v>
      </c>
      <c r="J2032" s="6" t="s">
        <v>161</v>
      </c>
    </row>
    <row r="2033" ht="22.5" customHeight="1">
      <c r="A2033" s="6" t="s">
        <v>10200</v>
      </c>
      <c r="B2033" s="6" t="s">
        <v>5197</v>
      </c>
      <c r="C2033" s="10">
        <v>46025.0</v>
      </c>
      <c r="D2033" s="6" t="s">
        <v>416</v>
      </c>
      <c r="E2033" s="6" t="s">
        <v>1035</v>
      </c>
      <c r="F2033" s="6" t="s">
        <v>439</v>
      </c>
      <c r="G2033" s="6" t="s">
        <v>369</v>
      </c>
      <c r="H2033" s="10">
        <v>46031.0</v>
      </c>
      <c r="I2033" s="12">
        <v>14.0</v>
      </c>
      <c r="J2033" s="6" t="s">
        <v>161</v>
      </c>
    </row>
    <row r="2034" ht="22.5" customHeight="1">
      <c r="A2034" s="6" t="s">
        <v>10205</v>
      </c>
      <c r="B2034" s="6" t="s">
        <v>5197</v>
      </c>
      <c r="C2034" s="10">
        <v>46032.0</v>
      </c>
      <c r="D2034" s="6" t="s">
        <v>242</v>
      </c>
      <c r="E2034" s="6" t="s">
        <v>1600</v>
      </c>
      <c r="F2034" s="6" t="s">
        <v>249</v>
      </c>
      <c r="G2034" s="6" t="s">
        <v>254</v>
      </c>
      <c r="H2034" s="11" t="s">
        <v>259</v>
      </c>
      <c r="I2034" s="12">
        <v>4.0</v>
      </c>
      <c r="J2034" s="6" t="s">
        <v>178</v>
      </c>
    </row>
    <row r="2035" ht="22.5" customHeight="1">
      <c r="A2035" s="6" t="s">
        <v>10209</v>
      </c>
      <c r="B2035" s="6" t="s">
        <v>5203</v>
      </c>
      <c r="C2035" s="10">
        <v>46068.0</v>
      </c>
      <c r="D2035" s="6" t="s">
        <v>436</v>
      </c>
      <c r="E2035" s="6" t="s">
        <v>658</v>
      </c>
      <c r="F2035" s="6" t="s">
        <v>249</v>
      </c>
      <c r="G2035" s="6" t="s">
        <v>254</v>
      </c>
      <c r="H2035" s="11" t="s">
        <v>259</v>
      </c>
      <c r="I2035" s="12">
        <v>6.0</v>
      </c>
      <c r="J2035" s="6" t="s">
        <v>178</v>
      </c>
    </row>
    <row r="2036" ht="22.5" customHeight="1">
      <c r="A2036" s="6" t="s">
        <v>10213</v>
      </c>
      <c r="B2036" s="6" t="s">
        <v>5203</v>
      </c>
      <c r="C2036" s="10">
        <v>46062.0</v>
      </c>
      <c r="D2036" s="6" t="s">
        <v>242</v>
      </c>
      <c r="E2036" s="6" t="s">
        <v>1310</v>
      </c>
      <c r="F2036" s="6" t="s">
        <v>112</v>
      </c>
      <c r="G2036" s="6" t="s">
        <v>369</v>
      </c>
      <c r="H2036" s="11" t="s">
        <v>259</v>
      </c>
      <c r="I2036" s="12">
        <v>5.0</v>
      </c>
      <c r="J2036" s="6" t="s">
        <v>161</v>
      </c>
    </row>
    <row r="2037" ht="22.5" customHeight="1">
      <c r="A2037" s="6" t="s">
        <v>10219</v>
      </c>
      <c r="B2037" s="6" t="s">
        <v>5203</v>
      </c>
      <c r="C2037" s="10">
        <v>46080.0</v>
      </c>
      <c r="D2037" s="6" t="s">
        <v>677</v>
      </c>
      <c r="E2037" s="6" t="s">
        <v>1102</v>
      </c>
      <c r="F2037" s="6" t="s">
        <v>283</v>
      </c>
      <c r="G2037" s="6" t="s">
        <v>297</v>
      </c>
      <c r="H2037" s="11" t="s">
        <v>259</v>
      </c>
      <c r="I2037" s="12">
        <v>3.0</v>
      </c>
      <c r="J2037" s="6" t="s">
        <v>161</v>
      </c>
    </row>
    <row r="2038" ht="22.5" customHeight="1">
      <c r="A2038" s="6" t="s">
        <v>10222</v>
      </c>
      <c r="B2038" s="6" t="s">
        <v>5203</v>
      </c>
      <c r="C2038" s="10">
        <v>46072.0</v>
      </c>
      <c r="D2038" s="6" t="s">
        <v>416</v>
      </c>
      <c r="E2038" s="6" t="s">
        <v>863</v>
      </c>
      <c r="F2038" s="6" t="s">
        <v>439</v>
      </c>
      <c r="G2038" s="6" t="s">
        <v>326</v>
      </c>
      <c r="H2038" s="10">
        <v>46076.0</v>
      </c>
      <c r="I2038" s="12">
        <v>10.0</v>
      </c>
      <c r="J2038" s="6" t="s">
        <v>161</v>
      </c>
    </row>
    <row r="2039" ht="22.5" customHeight="1">
      <c r="A2039" s="6" t="s">
        <v>10227</v>
      </c>
      <c r="B2039" s="6" t="s">
        <v>5209</v>
      </c>
      <c r="C2039" s="10">
        <v>46069.0</v>
      </c>
      <c r="D2039" s="6" t="s">
        <v>289</v>
      </c>
      <c r="E2039" s="6" t="s">
        <v>658</v>
      </c>
      <c r="F2039" s="6" t="s">
        <v>112</v>
      </c>
      <c r="G2039" s="6" t="s">
        <v>452</v>
      </c>
      <c r="H2039" s="10">
        <v>46074.0</v>
      </c>
      <c r="I2039" s="12">
        <v>9.0</v>
      </c>
      <c r="J2039" s="6" t="s">
        <v>161</v>
      </c>
    </row>
    <row r="2040" ht="22.5" customHeight="1">
      <c r="A2040" s="6" t="s">
        <v>10232</v>
      </c>
      <c r="B2040" s="6" t="s">
        <v>5209</v>
      </c>
      <c r="C2040" s="10">
        <v>46074.0</v>
      </c>
      <c r="D2040" s="6" t="s">
        <v>436</v>
      </c>
      <c r="E2040" s="6" t="s">
        <v>628</v>
      </c>
      <c r="F2040" s="6" t="s">
        <v>112</v>
      </c>
      <c r="G2040" s="6" t="s">
        <v>494</v>
      </c>
      <c r="H2040" s="10">
        <v>46076.0</v>
      </c>
      <c r="I2040" s="12">
        <v>7.0</v>
      </c>
      <c r="J2040" s="6" t="s">
        <v>178</v>
      </c>
    </row>
    <row r="2041" ht="22.5" customHeight="1">
      <c r="A2041" s="6" t="s">
        <v>10235</v>
      </c>
      <c r="B2041" s="6" t="s">
        <v>5209</v>
      </c>
      <c r="C2041" s="10">
        <v>46077.0</v>
      </c>
      <c r="D2041" s="6" t="s">
        <v>312</v>
      </c>
      <c r="E2041" s="6" t="s">
        <v>812</v>
      </c>
      <c r="F2041" s="6" t="s">
        <v>112</v>
      </c>
      <c r="G2041" s="6" t="s">
        <v>254</v>
      </c>
      <c r="H2041" s="10">
        <v>46077.0</v>
      </c>
      <c r="I2041" s="12">
        <v>7.0</v>
      </c>
      <c r="J2041" s="6" t="s">
        <v>161</v>
      </c>
    </row>
    <row r="2042" ht="22.5" customHeight="1">
      <c r="A2042" s="6" t="s">
        <v>10239</v>
      </c>
      <c r="B2042" s="6" t="s">
        <v>5215</v>
      </c>
      <c r="C2042" s="10">
        <v>46046.0</v>
      </c>
      <c r="D2042" s="6" t="s">
        <v>289</v>
      </c>
      <c r="E2042" s="6" t="s">
        <v>628</v>
      </c>
      <c r="F2042" s="6" t="s">
        <v>283</v>
      </c>
      <c r="G2042" s="6" t="s">
        <v>254</v>
      </c>
      <c r="H2042" s="10">
        <v>46053.0</v>
      </c>
      <c r="I2042" s="12">
        <v>8.0</v>
      </c>
      <c r="J2042" s="6" t="s">
        <v>161</v>
      </c>
    </row>
    <row r="2043" ht="22.5" customHeight="1">
      <c r="A2043" s="6" t="s">
        <v>10245</v>
      </c>
      <c r="B2043" s="6" t="s">
        <v>5215</v>
      </c>
      <c r="C2043" s="10">
        <v>46045.0</v>
      </c>
      <c r="D2043" s="6" t="s">
        <v>391</v>
      </c>
      <c r="E2043" s="6" t="s">
        <v>628</v>
      </c>
      <c r="F2043" s="6" t="s">
        <v>283</v>
      </c>
      <c r="G2043" s="6" t="s">
        <v>458</v>
      </c>
      <c r="H2043" s="10">
        <v>46052.0</v>
      </c>
      <c r="I2043" s="12">
        <v>11.0</v>
      </c>
      <c r="J2043" s="6" t="s">
        <v>161</v>
      </c>
    </row>
    <row r="2044" ht="22.5" customHeight="1">
      <c r="A2044" s="6" t="s">
        <v>10248</v>
      </c>
      <c r="B2044" s="6" t="s">
        <v>5215</v>
      </c>
      <c r="C2044" s="10">
        <v>46038.0</v>
      </c>
      <c r="D2044" s="6" t="s">
        <v>391</v>
      </c>
      <c r="E2044" s="6" t="s">
        <v>955</v>
      </c>
      <c r="F2044" s="6" t="s">
        <v>283</v>
      </c>
      <c r="G2044" s="6" t="s">
        <v>477</v>
      </c>
      <c r="H2044" s="11" t="s">
        <v>259</v>
      </c>
      <c r="I2044" s="12">
        <v>10.0</v>
      </c>
      <c r="J2044" s="6" t="s">
        <v>161</v>
      </c>
    </row>
    <row r="2045" ht="22.5" customHeight="1">
      <c r="A2045" s="6" t="s">
        <v>10252</v>
      </c>
      <c r="B2045" s="6" t="s">
        <v>5222</v>
      </c>
      <c r="C2045" s="10">
        <v>46048.0</v>
      </c>
      <c r="D2045" s="6" t="s">
        <v>391</v>
      </c>
      <c r="E2045" s="6" t="s">
        <v>1700</v>
      </c>
      <c r="F2045" s="6" t="s">
        <v>283</v>
      </c>
      <c r="G2045" s="6" t="s">
        <v>494</v>
      </c>
      <c r="H2045" s="10">
        <v>46050.0</v>
      </c>
      <c r="I2045" s="12">
        <v>10.0</v>
      </c>
      <c r="J2045" s="6" t="s">
        <v>161</v>
      </c>
    </row>
    <row r="2046" ht="22.5" customHeight="1">
      <c r="A2046" s="6" t="s">
        <v>10258</v>
      </c>
      <c r="B2046" s="6" t="s">
        <v>5222</v>
      </c>
      <c r="C2046" s="10">
        <v>46039.0</v>
      </c>
      <c r="D2046" s="6" t="s">
        <v>312</v>
      </c>
      <c r="E2046" s="6" t="s">
        <v>775</v>
      </c>
      <c r="F2046" s="6" t="s">
        <v>112</v>
      </c>
      <c r="G2046" s="6" t="s">
        <v>369</v>
      </c>
      <c r="H2046" s="10">
        <v>46041.0</v>
      </c>
      <c r="I2046" s="12">
        <v>7.0</v>
      </c>
      <c r="J2046" s="6" t="s">
        <v>161</v>
      </c>
    </row>
    <row r="2047" ht="22.5" customHeight="1">
      <c r="A2047" s="6" t="s">
        <v>10261</v>
      </c>
      <c r="B2047" s="6" t="s">
        <v>5222</v>
      </c>
      <c r="C2047" s="10">
        <v>46048.0</v>
      </c>
      <c r="D2047" s="6" t="s">
        <v>312</v>
      </c>
      <c r="E2047" s="6" t="s">
        <v>1122</v>
      </c>
      <c r="F2047" s="6" t="s">
        <v>283</v>
      </c>
      <c r="G2047" s="6" t="s">
        <v>254</v>
      </c>
      <c r="H2047" s="10">
        <v>46048.0</v>
      </c>
      <c r="I2047" s="12">
        <v>6.0</v>
      </c>
      <c r="J2047" s="6" t="s">
        <v>161</v>
      </c>
    </row>
    <row r="2048" ht="22.5" customHeight="1">
      <c r="A2048" s="6" t="s">
        <v>10265</v>
      </c>
      <c r="B2048" s="6" t="s">
        <v>5222</v>
      </c>
      <c r="C2048" s="10">
        <v>46041.0</v>
      </c>
      <c r="D2048" s="6" t="s">
        <v>677</v>
      </c>
      <c r="E2048" s="6" t="s">
        <v>1626</v>
      </c>
      <c r="F2048" s="6" t="s">
        <v>283</v>
      </c>
      <c r="G2048" s="6" t="s">
        <v>494</v>
      </c>
      <c r="H2048" s="10">
        <v>46042.0</v>
      </c>
      <c r="I2048" s="12">
        <v>3.0</v>
      </c>
      <c r="J2048" s="6" t="s">
        <v>161</v>
      </c>
    </row>
    <row r="2049" ht="22.5" customHeight="1">
      <c r="A2049" s="6" t="s">
        <v>10270</v>
      </c>
      <c r="B2049" s="6" t="s">
        <v>5222</v>
      </c>
      <c r="C2049" s="10">
        <v>46053.0</v>
      </c>
      <c r="D2049" s="6" t="s">
        <v>677</v>
      </c>
      <c r="E2049" s="6" t="s">
        <v>833</v>
      </c>
      <c r="F2049" s="6" t="s">
        <v>439</v>
      </c>
      <c r="G2049" s="6" t="s">
        <v>494</v>
      </c>
      <c r="H2049" s="10">
        <v>46059.0</v>
      </c>
      <c r="I2049" s="12">
        <v>2.0</v>
      </c>
      <c r="J2049" s="6" t="s">
        <v>161</v>
      </c>
    </row>
    <row r="2050" ht="22.5" customHeight="1">
      <c r="A2050" s="6" t="s">
        <v>10273</v>
      </c>
      <c r="B2050" s="6" t="s">
        <v>5228</v>
      </c>
      <c r="C2050" s="10">
        <v>46052.0</v>
      </c>
      <c r="D2050" s="6" t="s">
        <v>289</v>
      </c>
      <c r="E2050" s="6" t="s">
        <v>1149</v>
      </c>
      <c r="F2050" s="6" t="s">
        <v>283</v>
      </c>
      <c r="G2050" s="6" t="s">
        <v>477</v>
      </c>
      <c r="H2050" s="10">
        <v>46056.0</v>
      </c>
      <c r="I2050" s="12">
        <v>9.0</v>
      </c>
      <c r="J2050" s="6" t="s">
        <v>161</v>
      </c>
    </row>
    <row r="2051" ht="22.5" customHeight="1">
      <c r="A2051" s="6" t="s">
        <v>10278</v>
      </c>
      <c r="B2051" s="6" t="s">
        <v>5228</v>
      </c>
      <c r="C2051" s="10">
        <v>46047.0</v>
      </c>
      <c r="D2051" s="6" t="s">
        <v>391</v>
      </c>
      <c r="E2051" s="6" t="s">
        <v>896</v>
      </c>
      <c r="F2051" s="6" t="s">
        <v>283</v>
      </c>
      <c r="G2051" s="6" t="s">
        <v>254</v>
      </c>
      <c r="H2051" s="10">
        <v>46051.0</v>
      </c>
      <c r="I2051" s="12">
        <v>11.0</v>
      </c>
      <c r="J2051" s="6" t="s">
        <v>161</v>
      </c>
    </row>
    <row r="2052" ht="22.5" customHeight="1">
      <c r="A2052" s="6" t="s">
        <v>10283</v>
      </c>
      <c r="B2052" s="6" t="s">
        <v>5228</v>
      </c>
      <c r="C2052" s="10">
        <v>46045.0</v>
      </c>
      <c r="D2052" s="6" t="s">
        <v>242</v>
      </c>
      <c r="E2052" s="6" t="s">
        <v>695</v>
      </c>
      <c r="F2052" s="6" t="s">
        <v>112</v>
      </c>
      <c r="G2052" s="6" t="s">
        <v>369</v>
      </c>
      <c r="H2052" s="10">
        <v>46047.0</v>
      </c>
      <c r="I2052" s="12">
        <v>4.0</v>
      </c>
      <c r="J2052" s="6" t="s">
        <v>178</v>
      </c>
    </row>
    <row r="2053" ht="22.5" customHeight="1">
      <c r="A2053" s="6" t="s">
        <v>10287</v>
      </c>
      <c r="B2053" s="6" t="s">
        <v>5228</v>
      </c>
      <c r="C2053" s="10">
        <v>46042.0</v>
      </c>
      <c r="D2053" s="6" t="s">
        <v>436</v>
      </c>
      <c r="E2053" s="6" t="s">
        <v>1102</v>
      </c>
      <c r="F2053" s="6" t="s">
        <v>283</v>
      </c>
      <c r="G2053" s="6" t="s">
        <v>326</v>
      </c>
      <c r="H2053" s="11" t="s">
        <v>259</v>
      </c>
      <c r="I2053" s="12">
        <v>6.0</v>
      </c>
      <c r="J2053" s="6" t="s">
        <v>178</v>
      </c>
    </row>
    <row r="2054" ht="22.5" customHeight="1">
      <c r="A2054" s="6" t="s">
        <v>10292</v>
      </c>
      <c r="B2054" s="6" t="s">
        <v>5228</v>
      </c>
      <c r="C2054" s="10">
        <v>46044.0</v>
      </c>
      <c r="D2054" s="6" t="s">
        <v>436</v>
      </c>
      <c r="E2054" s="6" t="s">
        <v>716</v>
      </c>
      <c r="F2054" s="6" t="s">
        <v>283</v>
      </c>
      <c r="G2054" s="6" t="s">
        <v>254</v>
      </c>
      <c r="H2054" s="11" t="s">
        <v>259</v>
      </c>
      <c r="I2054" s="12">
        <v>7.0</v>
      </c>
      <c r="J2054" s="6" t="s">
        <v>161</v>
      </c>
    </row>
    <row r="2055" ht="22.5" customHeight="1">
      <c r="A2055" s="6" t="s">
        <v>10296</v>
      </c>
      <c r="B2055" s="6" t="s">
        <v>5234</v>
      </c>
      <c r="C2055" s="10">
        <v>46054.0</v>
      </c>
      <c r="D2055" s="6" t="s">
        <v>436</v>
      </c>
      <c r="E2055" s="6" t="s">
        <v>1570</v>
      </c>
      <c r="F2055" s="6" t="s">
        <v>249</v>
      </c>
      <c r="G2055" s="6" t="s">
        <v>494</v>
      </c>
      <c r="H2055" s="10">
        <v>46056.0</v>
      </c>
      <c r="I2055" s="12">
        <v>8.0</v>
      </c>
      <c r="J2055" s="6" t="s">
        <v>161</v>
      </c>
    </row>
    <row r="2056" ht="22.5" customHeight="1">
      <c r="A2056" s="6" t="s">
        <v>10300</v>
      </c>
      <c r="B2056" s="6" t="s">
        <v>5240</v>
      </c>
      <c r="C2056" s="10">
        <v>46050.0</v>
      </c>
      <c r="D2056" s="6" t="s">
        <v>416</v>
      </c>
      <c r="E2056" s="6" t="s">
        <v>1280</v>
      </c>
      <c r="F2056" s="6" t="s">
        <v>112</v>
      </c>
      <c r="G2056" s="6" t="s">
        <v>326</v>
      </c>
      <c r="H2056" s="10">
        <v>46055.0</v>
      </c>
      <c r="I2056" s="12">
        <v>9.0</v>
      </c>
      <c r="J2056" s="6" t="s">
        <v>161</v>
      </c>
    </row>
    <row r="2057" ht="22.5" customHeight="1">
      <c r="A2057" s="6" t="s">
        <v>10304</v>
      </c>
      <c r="B2057" s="6" t="s">
        <v>5240</v>
      </c>
      <c r="C2057" s="10">
        <v>46044.0</v>
      </c>
      <c r="D2057" s="6" t="s">
        <v>436</v>
      </c>
      <c r="E2057" s="6" t="s">
        <v>450</v>
      </c>
      <c r="F2057" s="6" t="s">
        <v>249</v>
      </c>
      <c r="G2057" s="6" t="s">
        <v>254</v>
      </c>
      <c r="H2057" s="10">
        <v>46051.0</v>
      </c>
      <c r="I2057" s="12">
        <v>10.0</v>
      </c>
      <c r="J2057" s="6" t="s">
        <v>178</v>
      </c>
    </row>
    <row r="2058" ht="22.5" customHeight="1">
      <c r="A2058" s="6" t="s">
        <v>10308</v>
      </c>
      <c r="B2058" s="6" t="s">
        <v>5246</v>
      </c>
      <c r="C2058" s="10">
        <v>46044.0</v>
      </c>
      <c r="D2058" s="6" t="s">
        <v>391</v>
      </c>
      <c r="E2058" s="6" t="s">
        <v>955</v>
      </c>
      <c r="F2058" s="6" t="s">
        <v>112</v>
      </c>
      <c r="G2058" s="6" t="s">
        <v>458</v>
      </c>
      <c r="H2058" s="10">
        <v>46049.0</v>
      </c>
      <c r="I2058" s="12">
        <v>8.0</v>
      </c>
      <c r="J2058" s="6" t="s">
        <v>161</v>
      </c>
    </row>
    <row r="2059" ht="22.5" customHeight="1">
      <c r="A2059" s="6" t="s">
        <v>10313</v>
      </c>
      <c r="B2059" s="6" t="s">
        <v>5246</v>
      </c>
      <c r="C2059" s="10">
        <v>46051.0</v>
      </c>
      <c r="D2059" s="6" t="s">
        <v>391</v>
      </c>
      <c r="E2059" s="6" t="s">
        <v>896</v>
      </c>
      <c r="F2059" s="6" t="s">
        <v>439</v>
      </c>
      <c r="G2059" s="6" t="s">
        <v>494</v>
      </c>
      <c r="H2059" s="11" t="s">
        <v>259</v>
      </c>
      <c r="I2059" s="12">
        <v>11.0</v>
      </c>
      <c r="J2059" s="6" t="s">
        <v>161</v>
      </c>
    </row>
    <row r="2060" ht="22.5" customHeight="1">
      <c r="A2060" s="6" t="s">
        <v>10316</v>
      </c>
      <c r="B2060" s="6" t="s">
        <v>5246</v>
      </c>
      <c r="C2060" s="10">
        <v>46053.0</v>
      </c>
      <c r="D2060" s="6" t="s">
        <v>436</v>
      </c>
      <c r="E2060" s="6" t="s">
        <v>566</v>
      </c>
      <c r="F2060" s="6" t="s">
        <v>112</v>
      </c>
      <c r="G2060" s="6" t="s">
        <v>458</v>
      </c>
      <c r="H2060" s="11" t="s">
        <v>259</v>
      </c>
      <c r="I2060" s="12">
        <v>9.0</v>
      </c>
      <c r="J2060" s="6" t="s">
        <v>178</v>
      </c>
    </row>
    <row r="2061" ht="22.5" customHeight="1">
      <c r="A2061" s="6" t="s">
        <v>10320</v>
      </c>
      <c r="B2061" s="6" t="s">
        <v>5246</v>
      </c>
      <c r="C2061" s="10">
        <v>46039.0</v>
      </c>
      <c r="D2061" s="6" t="s">
        <v>391</v>
      </c>
      <c r="E2061" s="6" t="s">
        <v>885</v>
      </c>
      <c r="F2061" s="6" t="s">
        <v>112</v>
      </c>
      <c r="G2061" s="6" t="s">
        <v>452</v>
      </c>
      <c r="H2061" s="10">
        <v>46046.0</v>
      </c>
      <c r="I2061" s="12">
        <v>6.0</v>
      </c>
      <c r="J2061" s="6" t="s">
        <v>161</v>
      </c>
    </row>
    <row r="2062" ht="22.5" customHeight="1">
      <c r="A2062" s="6" t="s">
        <v>10326</v>
      </c>
      <c r="B2062" s="6" t="s">
        <v>5252</v>
      </c>
      <c r="C2062" s="10">
        <v>46036.0</v>
      </c>
      <c r="D2062" s="6" t="s">
        <v>312</v>
      </c>
      <c r="E2062" s="6" t="s">
        <v>1626</v>
      </c>
      <c r="F2062" s="6" t="s">
        <v>249</v>
      </c>
      <c r="G2062" s="6" t="s">
        <v>369</v>
      </c>
      <c r="H2062" s="11" t="s">
        <v>259</v>
      </c>
      <c r="I2062" s="12">
        <v>5.0</v>
      </c>
      <c r="J2062" s="6" t="s">
        <v>161</v>
      </c>
    </row>
    <row r="2063" ht="22.5" customHeight="1">
      <c r="A2063" s="6" t="s">
        <v>10329</v>
      </c>
      <c r="B2063" s="6" t="s">
        <v>5252</v>
      </c>
      <c r="C2063" s="10">
        <v>46041.0</v>
      </c>
      <c r="D2063" s="6" t="s">
        <v>436</v>
      </c>
      <c r="E2063" s="6" t="s">
        <v>687</v>
      </c>
      <c r="F2063" s="6" t="s">
        <v>249</v>
      </c>
      <c r="G2063" s="6" t="s">
        <v>477</v>
      </c>
      <c r="H2063" s="10">
        <v>46044.0</v>
      </c>
      <c r="I2063" s="12">
        <v>11.0</v>
      </c>
      <c r="J2063" s="6" t="s">
        <v>161</v>
      </c>
    </row>
    <row r="2064" ht="22.5" customHeight="1">
      <c r="A2064" s="6" t="s">
        <v>10334</v>
      </c>
      <c r="B2064" s="6" t="s">
        <v>5252</v>
      </c>
      <c r="C2064" s="10">
        <v>46033.0</v>
      </c>
      <c r="D2064" s="6" t="s">
        <v>677</v>
      </c>
      <c r="E2064" s="6" t="s">
        <v>885</v>
      </c>
      <c r="F2064" s="6" t="s">
        <v>249</v>
      </c>
      <c r="G2064" s="6" t="s">
        <v>297</v>
      </c>
      <c r="H2064" s="10">
        <v>46033.0</v>
      </c>
      <c r="I2064" s="12">
        <v>4.0</v>
      </c>
      <c r="J2064" s="6" t="s">
        <v>161</v>
      </c>
    </row>
    <row r="2065" ht="22.5" customHeight="1">
      <c r="A2065" s="6" t="s">
        <v>10339</v>
      </c>
      <c r="B2065" s="6" t="s">
        <v>5252</v>
      </c>
      <c r="C2065" s="10">
        <v>46033.0</v>
      </c>
      <c r="D2065" s="6" t="s">
        <v>677</v>
      </c>
      <c r="E2065" s="6" t="s">
        <v>670</v>
      </c>
      <c r="F2065" s="6" t="s">
        <v>249</v>
      </c>
      <c r="G2065" s="6" t="s">
        <v>494</v>
      </c>
      <c r="H2065" s="10">
        <v>46035.0</v>
      </c>
      <c r="I2065" s="12">
        <v>2.0</v>
      </c>
      <c r="J2065" s="6" t="s">
        <v>161</v>
      </c>
    </row>
    <row r="2066" ht="22.5" customHeight="1">
      <c r="A2066" s="6" t="s">
        <v>10342</v>
      </c>
      <c r="B2066" s="6" t="s">
        <v>5252</v>
      </c>
      <c r="C2066" s="10">
        <v>46049.0</v>
      </c>
      <c r="D2066" s="6" t="s">
        <v>391</v>
      </c>
      <c r="E2066" s="6" t="s">
        <v>1241</v>
      </c>
      <c r="F2066" s="6" t="s">
        <v>112</v>
      </c>
      <c r="G2066" s="6" t="s">
        <v>452</v>
      </c>
      <c r="H2066" s="10">
        <v>46053.0</v>
      </c>
      <c r="I2066" s="12">
        <v>9.0</v>
      </c>
      <c r="J2066" s="6" t="s">
        <v>161</v>
      </c>
    </row>
    <row r="2067" ht="22.5" customHeight="1">
      <c r="A2067" s="6" t="s">
        <v>10347</v>
      </c>
      <c r="B2067" s="6" t="s">
        <v>5258</v>
      </c>
      <c r="C2067" s="10">
        <v>46033.0</v>
      </c>
      <c r="D2067" s="6" t="s">
        <v>416</v>
      </c>
      <c r="E2067" s="6" t="s">
        <v>1517</v>
      </c>
      <c r="F2067" s="6" t="s">
        <v>112</v>
      </c>
      <c r="G2067" s="6" t="s">
        <v>297</v>
      </c>
      <c r="H2067" s="10">
        <v>46040.0</v>
      </c>
      <c r="I2067" s="12">
        <v>14.0</v>
      </c>
      <c r="J2067" s="6" t="s">
        <v>161</v>
      </c>
    </row>
    <row r="2068" ht="22.5" customHeight="1">
      <c r="A2068" s="6" t="s">
        <v>10352</v>
      </c>
      <c r="B2068" s="6" t="s">
        <v>5258</v>
      </c>
      <c r="C2068" s="10">
        <v>46047.0</v>
      </c>
      <c r="D2068" s="6" t="s">
        <v>436</v>
      </c>
      <c r="E2068" s="6" t="s">
        <v>1720</v>
      </c>
      <c r="F2068" s="6" t="s">
        <v>112</v>
      </c>
      <c r="G2068" s="6" t="s">
        <v>494</v>
      </c>
      <c r="H2068" s="10">
        <v>46049.0</v>
      </c>
      <c r="I2068" s="12">
        <v>6.0</v>
      </c>
      <c r="J2068" s="6" t="s">
        <v>178</v>
      </c>
    </row>
    <row r="2069" ht="22.5" customHeight="1">
      <c r="A2069" s="6" t="s">
        <v>10356</v>
      </c>
      <c r="B2069" s="6" t="s">
        <v>5264</v>
      </c>
      <c r="C2069" s="10">
        <v>46055.0</v>
      </c>
      <c r="D2069" s="6" t="s">
        <v>312</v>
      </c>
      <c r="E2069" s="6" t="s">
        <v>618</v>
      </c>
      <c r="F2069" s="6" t="s">
        <v>249</v>
      </c>
      <c r="G2069" s="6" t="s">
        <v>452</v>
      </c>
      <c r="H2069" s="10">
        <v>46058.0</v>
      </c>
      <c r="I2069" s="12">
        <v>4.0</v>
      </c>
      <c r="J2069" s="6" t="s">
        <v>161</v>
      </c>
    </row>
    <row r="2070" ht="22.5" customHeight="1">
      <c r="A2070" s="6" t="s">
        <v>10361</v>
      </c>
      <c r="B2070" s="6" t="s">
        <v>5264</v>
      </c>
      <c r="C2070" s="10">
        <v>46054.0</v>
      </c>
      <c r="D2070" s="6" t="s">
        <v>391</v>
      </c>
      <c r="E2070" s="6" t="s">
        <v>1570</v>
      </c>
      <c r="F2070" s="6" t="s">
        <v>439</v>
      </c>
      <c r="G2070" s="6" t="s">
        <v>369</v>
      </c>
      <c r="H2070" s="10">
        <v>46055.0</v>
      </c>
      <c r="I2070" s="12">
        <v>10.0</v>
      </c>
      <c r="J2070" s="6" t="s">
        <v>161</v>
      </c>
    </row>
    <row r="2071" ht="22.5" customHeight="1">
      <c r="A2071" s="6" t="s">
        <v>10365</v>
      </c>
      <c r="B2071" s="6" t="s">
        <v>5264</v>
      </c>
      <c r="C2071" s="10">
        <v>46060.0</v>
      </c>
      <c r="D2071" s="6" t="s">
        <v>416</v>
      </c>
      <c r="E2071" s="6" t="s">
        <v>1070</v>
      </c>
      <c r="F2071" s="6" t="s">
        <v>283</v>
      </c>
      <c r="G2071" s="6" t="s">
        <v>452</v>
      </c>
      <c r="H2071" s="11" t="s">
        <v>259</v>
      </c>
      <c r="I2071" s="12">
        <v>10.0</v>
      </c>
      <c r="J2071" s="6" t="s">
        <v>161</v>
      </c>
    </row>
    <row r="2072" ht="22.5" customHeight="1">
      <c r="A2072" s="6" t="s">
        <v>10371</v>
      </c>
      <c r="B2072" s="6" t="s">
        <v>5270</v>
      </c>
      <c r="C2072" s="10">
        <v>46074.0</v>
      </c>
      <c r="D2072" s="6" t="s">
        <v>289</v>
      </c>
      <c r="E2072" s="6" t="s">
        <v>1149</v>
      </c>
      <c r="F2072" s="6" t="s">
        <v>249</v>
      </c>
      <c r="G2072" s="6" t="s">
        <v>477</v>
      </c>
      <c r="H2072" s="10">
        <v>46075.0</v>
      </c>
      <c r="I2072" s="12">
        <v>9.0</v>
      </c>
      <c r="J2072" s="6" t="s">
        <v>161</v>
      </c>
    </row>
    <row r="2073" ht="22.5" customHeight="1">
      <c r="A2073" s="6" t="s">
        <v>10374</v>
      </c>
      <c r="B2073" s="6" t="s">
        <v>5270</v>
      </c>
      <c r="C2073" s="10">
        <v>46074.0</v>
      </c>
      <c r="D2073" s="6" t="s">
        <v>312</v>
      </c>
      <c r="E2073" s="6" t="s">
        <v>1296</v>
      </c>
      <c r="F2073" s="6" t="s">
        <v>283</v>
      </c>
      <c r="G2073" s="6" t="s">
        <v>477</v>
      </c>
      <c r="H2073" s="10">
        <v>46077.0</v>
      </c>
      <c r="I2073" s="12">
        <v>5.0</v>
      </c>
      <c r="J2073" s="6" t="s">
        <v>161</v>
      </c>
    </row>
    <row r="2074" ht="22.5" customHeight="1">
      <c r="A2074" s="6" t="s">
        <v>10377</v>
      </c>
      <c r="B2074" s="6" t="s">
        <v>5270</v>
      </c>
      <c r="C2074" s="10">
        <v>46086.0</v>
      </c>
      <c r="D2074" s="6" t="s">
        <v>436</v>
      </c>
      <c r="E2074" s="6" t="s">
        <v>583</v>
      </c>
      <c r="F2074" s="6" t="s">
        <v>249</v>
      </c>
      <c r="G2074" s="6" t="s">
        <v>297</v>
      </c>
      <c r="H2074" s="10">
        <v>46091.0</v>
      </c>
      <c r="I2074" s="12">
        <v>6.0</v>
      </c>
      <c r="J2074" s="6" t="s">
        <v>178</v>
      </c>
    </row>
    <row r="2075" ht="22.5" customHeight="1">
      <c r="A2075" s="6" t="s">
        <v>10379</v>
      </c>
      <c r="B2075" s="6" t="s">
        <v>5270</v>
      </c>
      <c r="C2075" s="10">
        <v>46069.0</v>
      </c>
      <c r="D2075" s="6" t="s">
        <v>391</v>
      </c>
      <c r="E2075" s="6" t="s">
        <v>704</v>
      </c>
      <c r="F2075" s="6" t="s">
        <v>249</v>
      </c>
      <c r="G2075" s="6" t="s">
        <v>494</v>
      </c>
      <c r="H2075" s="11" t="s">
        <v>259</v>
      </c>
      <c r="I2075" s="12">
        <v>6.0</v>
      </c>
      <c r="J2075" s="6" t="s">
        <v>161</v>
      </c>
    </row>
    <row r="2076" ht="22.5" customHeight="1">
      <c r="A2076" s="6" t="s">
        <v>10382</v>
      </c>
      <c r="B2076" s="6" t="s">
        <v>5270</v>
      </c>
      <c r="C2076" s="10">
        <v>46087.0</v>
      </c>
      <c r="D2076" s="6" t="s">
        <v>289</v>
      </c>
      <c r="E2076" s="6" t="s">
        <v>1102</v>
      </c>
      <c r="F2076" s="6" t="s">
        <v>439</v>
      </c>
      <c r="G2076" s="6" t="s">
        <v>297</v>
      </c>
      <c r="H2076" s="10">
        <v>46089.0</v>
      </c>
      <c r="I2076" s="12">
        <v>9.0</v>
      </c>
      <c r="J2076" s="6" t="s">
        <v>161</v>
      </c>
    </row>
    <row r="2077" ht="22.5" customHeight="1">
      <c r="A2077" s="6" t="s">
        <v>10386</v>
      </c>
      <c r="B2077" s="6" t="s">
        <v>5275</v>
      </c>
      <c r="C2077" s="10">
        <v>46077.0</v>
      </c>
      <c r="D2077" s="6" t="s">
        <v>677</v>
      </c>
      <c r="E2077" s="6" t="s">
        <v>566</v>
      </c>
      <c r="F2077" s="6" t="s">
        <v>439</v>
      </c>
      <c r="G2077" s="6" t="s">
        <v>452</v>
      </c>
      <c r="H2077" s="10">
        <v>46082.0</v>
      </c>
      <c r="I2077" s="12">
        <v>2.0</v>
      </c>
      <c r="J2077" s="6" t="s">
        <v>161</v>
      </c>
    </row>
    <row r="2078" ht="22.5" customHeight="1">
      <c r="A2078" s="6" t="s">
        <v>10387</v>
      </c>
      <c r="B2078" s="6" t="s">
        <v>5281</v>
      </c>
      <c r="C2078" s="10">
        <v>46071.0</v>
      </c>
      <c r="D2078" s="6" t="s">
        <v>312</v>
      </c>
      <c r="E2078" s="6" t="s">
        <v>896</v>
      </c>
      <c r="F2078" s="6" t="s">
        <v>439</v>
      </c>
      <c r="G2078" s="6" t="s">
        <v>369</v>
      </c>
      <c r="H2078" s="10">
        <v>46073.0</v>
      </c>
      <c r="I2078" s="12">
        <v>7.0</v>
      </c>
      <c r="J2078" s="6" t="s">
        <v>161</v>
      </c>
    </row>
    <row r="2079" ht="22.5" customHeight="1">
      <c r="A2079" s="6" t="s">
        <v>10390</v>
      </c>
      <c r="B2079" s="6" t="s">
        <v>5281</v>
      </c>
      <c r="C2079" s="10">
        <v>46070.0</v>
      </c>
      <c r="D2079" s="6" t="s">
        <v>391</v>
      </c>
      <c r="E2079" s="6" t="s">
        <v>695</v>
      </c>
      <c r="F2079" s="6" t="s">
        <v>283</v>
      </c>
      <c r="G2079" s="6" t="s">
        <v>297</v>
      </c>
      <c r="H2079" s="10">
        <v>46072.0</v>
      </c>
      <c r="I2079" s="12">
        <v>9.0</v>
      </c>
      <c r="J2079" s="6" t="s">
        <v>161</v>
      </c>
    </row>
    <row r="2080" ht="22.5" customHeight="1">
      <c r="A2080" s="6" t="s">
        <v>10394</v>
      </c>
      <c r="B2080" s="6" t="s">
        <v>5281</v>
      </c>
      <c r="C2080" s="10">
        <v>46073.0</v>
      </c>
      <c r="D2080" s="6" t="s">
        <v>391</v>
      </c>
      <c r="E2080" s="6" t="s">
        <v>1280</v>
      </c>
      <c r="F2080" s="6" t="s">
        <v>283</v>
      </c>
      <c r="G2080" s="6" t="s">
        <v>254</v>
      </c>
      <c r="H2080" s="10">
        <v>46075.0</v>
      </c>
      <c r="I2080" s="12">
        <v>11.0</v>
      </c>
      <c r="J2080" s="6" t="s">
        <v>161</v>
      </c>
    </row>
    <row r="2081" ht="22.5" customHeight="1">
      <c r="A2081" s="6" t="s">
        <v>10397</v>
      </c>
      <c r="B2081" s="6" t="s">
        <v>5281</v>
      </c>
      <c r="C2081" s="10">
        <v>46072.0</v>
      </c>
      <c r="D2081" s="6" t="s">
        <v>242</v>
      </c>
      <c r="E2081" s="6" t="s">
        <v>438</v>
      </c>
      <c r="F2081" s="6" t="s">
        <v>249</v>
      </c>
      <c r="G2081" s="6" t="s">
        <v>369</v>
      </c>
      <c r="H2081" s="10">
        <v>46072.0</v>
      </c>
      <c r="I2081" s="12">
        <v>6.0</v>
      </c>
      <c r="J2081" s="6" t="s">
        <v>178</v>
      </c>
    </row>
    <row r="2082" ht="22.5" customHeight="1">
      <c r="A2082" s="6" t="s">
        <v>10400</v>
      </c>
      <c r="B2082" s="6" t="s">
        <v>5287</v>
      </c>
      <c r="C2082" s="10">
        <v>46029.0</v>
      </c>
      <c r="D2082" s="6" t="s">
        <v>436</v>
      </c>
      <c r="E2082" s="6" t="s">
        <v>812</v>
      </c>
      <c r="F2082" s="6" t="s">
        <v>112</v>
      </c>
      <c r="G2082" s="6" t="s">
        <v>297</v>
      </c>
      <c r="H2082" s="10">
        <v>46031.0</v>
      </c>
      <c r="I2082" s="12">
        <v>10.0</v>
      </c>
      <c r="J2082" s="6" t="s">
        <v>178</v>
      </c>
    </row>
    <row r="2083" ht="22.5" customHeight="1">
      <c r="A2083" s="6" t="s">
        <v>10404</v>
      </c>
      <c r="B2083" s="6" t="s">
        <v>5287</v>
      </c>
      <c r="C2083" s="10">
        <v>46041.0</v>
      </c>
      <c r="D2083" s="6" t="s">
        <v>289</v>
      </c>
      <c r="E2083" s="6" t="s">
        <v>291</v>
      </c>
      <c r="F2083" s="6" t="s">
        <v>283</v>
      </c>
      <c r="G2083" s="6" t="s">
        <v>494</v>
      </c>
      <c r="H2083" s="10">
        <v>46041.0</v>
      </c>
      <c r="I2083" s="12">
        <v>7.0</v>
      </c>
      <c r="J2083" s="6" t="s">
        <v>161</v>
      </c>
    </row>
    <row r="2084" ht="22.5" customHeight="1">
      <c r="A2084" s="6" t="s">
        <v>10408</v>
      </c>
      <c r="B2084" s="6" t="s">
        <v>5287</v>
      </c>
      <c r="C2084" s="10">
        <v>46033.0</v>
      </c>
      <c r="D2084" s="6" t="s">
        <v>391</v>
      </c>
      <c r="E2084" s="6" t="s">
        <v>687</v>
      </c>
      <c r="F2084" s="6" t="s">
        <v>283</v>
      </c>
      <c r="G2084" s="6" t="s">
        <v>297</v>
      </c>
      <c r="H2084" s="10">
        <v>46036.0</v>
      </c>
      <c r="I2084" s="12">
        <v>8.0</v>
      </c>
      <c r="J2084" s="6" t="s">
        <v>161</v>
      </c>
    </row>
    <row r="2085" ht="22.5" customHeight="1">
      <c r="A2085" s="6" t="s">
        <v>10411</v>
      </c>
      <c r="B2085" s="6" t="s">
        <v>5287</v>
      </c>
      <c r="C2085" s="10">
        <v>46047.0</v>
      </c>
      <c r="D2085" s="6" t="s">
        <v>242</v>
      </c>
      <c r="E2085" s="6" t="s">
        <v>1273</v>
      </c>
      <c r="F2085" s="6" t="s">
        <v>439</v>
      </c>
      <c r="G2085" s="6" t="s">
        <v>369</v>
      </c>
      <c r="H2085" s="10">
        <v>46048.0</v>
      </c>
      <c r="I2085" s="12">
        <v>6.0</v>
      </c>
      <c r="J2085" s="6" t="s">
        <v>178</v>
      </c>
    </row>
    <row r="2086" ht="22.5" customHeight="1">
      <c r="A2086" s="6" t="s">
        <v>10414</v>
      </c>
      <c r="B2086" s="6" t="s">
        <v>5293</v>
      </c>
      <c r="C2086" s="10">
        <v>46035.0</v>
      </c>
      <c r="D2086" s="6" t="s">
        <v>416</v>
      </c>
      <c r="E2086" s="6" t="s">
        <v>955</v>
      </c>
      <c r="F2086" s="6" t="s">
        <v>112</v>
      </c>
      <c r="G2086" s="6" t="s">
        <v>494</v>
      </c>
      <c r="H2086" s="10">
        <v>46039.0</v>
      </c>
      <c r="I2086" s="12">
        <v>8.0</v>
      </c>
      <c r="J2086" s="6" t="s">
        <v>161</v>
      </c>
    </row>
    <row r="2087" ht="22.5" customHeight="1">
      <c r="A2087" s="6" t="s">
        <v>10418</v>
      </c>
      <c r="B2087" s="6" t="s">
        <v>5299</v>
      </c>
      <c r="C2087" s="10">
        <v>46056.0</v>
      </c>
      <c r="D2087" s="6" t="s">
        <v>391</v>
      </c>
      <c r="E2087" s="6" t="s">
        <v>863</v>
      </c>
      <c r="F2087" s="6" t="s">
        <v>283</v>
      </c>
      <c r="G2087" s="6" t="s">
        <v>494</v>
      </c>
      <c r="H2087" s="10">
        <v>46062.0</v>
      </c>
      <c r="I2087" s="12">
        <v>7.0</v>
      </c>
      <c r="J2087" s="6" t="s">
        <v>161</v>
      </c>
    </row>
    <row r="2088" ht="22.5" customHeight="1">
      <c r="A2088" s="6" t="s">
        <v>10422</v>
      </c>
      <c r="B2088" s="6" t="s">
        <v>5299</v>
      </c>
      <c r="C2088" s="10">
        <v>46051.0</v>
      </c>
      <c r="D2088" s="6" t="s">
        <v>416</v>
      </c>
      <c r="E2088" s="6" t="s">
        <v>1552</v>
      </c>
      <c r="F2088" s="6" t="s">
        <v>112</v>
      </c>
      <c r="G2088" s="6" t="s">
        <v>477</v>
      </c>
      <c r="H2088" s="10">
        <v>46051.0</v>
      </c>
      <c r="I2088" s="12">
        <v>12.0</v>
      </c>
      <c r="J2088" s="6" t="s">
        <v>161</v>
      </c>
    </row>
    <row r="2089" ht="22.5" customHeight="1">
      <c r="A2089" s="6" t="s">
        <v>10425</v>
      </c>
      <c r="B2089" s="6" t="s">
        <v>5305</v>
      </c>
      <c r="C2089" s="10">
        <v>46050.0</v>
      </c>
      <c r="D2089" s="6" t="s">
        <v>312</v>
      </c>
      <c r="E2089" s="6" t="s">
        <v>787</v>
      </c>
      <c r="F2089" s="6" t="s">
        <v>439</v>
      </c>
      <c r="G2089" s="6" t="s">
        <v>452</v>
      </c>
      <c r="H2089" s="10">
        <v>46050.0</v>
      </c>
      <c r="I2089" s="12">
        <v>5.0</v>
      </c>
      <c r="J2089" s="6" t="s">
        <v>161</v>
      </c>
    </row>
    <row r="2090" ht="22.5" customHeight="1">
      <c r="A2090" s="6" t="s">
        <v>10431</v>
      </c>
      <c r="B2090" s="6" t="s">
        <v>5312</v>
      </c>
      <c r="C2090" s="10">
        <v>46037.0</v>
      </c>
      <c r="D2090" s="6" t="s">
        <v>312</v>
      </c>
      <c r="E2090" s="6" t="s">
        <v>704</v>
      </c>
      <c r="F2090" s="6" t="s">
        <v>283</v>
      </c>
      <c r="G2090" s="6" t="s">
        <v>477</v>
      </c>
      <c r="H2090" s="10">
        <v>46037.0</v>
      </c>
      <c r="I2090" s="12">
        <v>7.0</v>
      </c>
      <c r="J2090" s="6" t="s">
        <v>161</v>
      </c>
    </row>
    <row r="2091" ht="22.5" customHeight="1">
      <c r="A2091" s="6" t="s">
        <v>10436</v>
      </c>
      <c r="B2091" s="6" t="s">
        <v>5312</v>
      </c>
      <c r="C2091" s="10">
        <v>46030.0</v>
      </c>
      <c r="D2091" s="6" t="s">
        <v>242</v>
      </c>
      <c r="E2091" s="6" t="s">
        <v>618</v>
      </c>
      <c r="F2091" s="6" t="s">
        <v>283</v>
      </c>
      <c r="G2091" s="6" t="s">
        <v>326</v>
      </c>
      <c r="H2091" s="10">
        <v>46035.0</v>
      </c>
      <c r="I2091" s="12">
        <v>6.0</v>
      </c>
      <c r="J2091" s="6" t="s">
        <v>161</v>
      </c>
    </row>
    <row r="2092" ht="22.5" customHeight="1">
      <c r="A2092" s="6" t="s">
        <v>10441</v>
      </c>
      <c r="B2092" s="6" t="s">
        <v>5312</v>
      </c>
      <c r="C2092" s="10">
        <v>46034.0</v>
      </c>
      <c r="D2092" s="6" t="s">
        <v>416</v>
      </c>
      <c r="E2092" s="6" t="s">
        <v>1273</v>
      </c>
      <c r="F2092" s="6" t="s">
        <v>439</v>
      </c>
      <c r="G2092" s="6" t="s">
        <v>297</v>
      </c>
      <c r="H2092" s="10">
        <v>46036.0</v>
      </c>
      <c r="I2092" s="12">
        <v>11.0</v>
      </c>
      <c r="J2092" s="6" t="s">
        <v>161</v>
      </c>
    </row>
    <row r="2093" ht="22.5" customHeight="1">
      <c r="A2093" s="6" t="s">
        <v>10446</v>
      </c>
      <c r="B2093" s="6" t="s">
        <v>5312</v>
      </c>
      <c r="C2093" s="10">
        <v>46038.0</v>
      </c>
      <c r="D2093" s="6" t="s">
        <v>436</v>
      </c>
      <c r="E2093" s="6" t="s">
        <v>583</v>
      </c>
      <c r="F2093" s="6" t="s">
        <v>439</v>
      </c>
      <c r="G2093" s="6" t="s">
        <v>254</v>
      </c>
      <c r="H2093" s="10">
        <v>46045.0</v>
      </c>
      <c r="I2093" s="12">
        <v>8.0</v>
      </c>
      <c r="J2093" s="6" t="s">
        <v>178</v>
      </c>
    </row>
    <row r="2094" ht="22.5" customHeight="1">
      <c r="A2094" s="6" t="s">
        <v>10450</v>
      </c>
      <c r="B2094" s="6" t="s">
        <v>5320</v>
      </c>
      <c r="C2094" s="10">
        <v>46073.0</v>
      </c>
      <c r="D2094" s="6" t="s">
        <v>391</v>
      </c>
      <c r="E2094" s="6" t="s">
        <v>1280</v>
      </c>
      <c r="F2094" s="6" t="s">
        <v>283</v>
      </c>
      <c r="G2094" s="6" t="s">
        <v>494</v>
      </c>
      <c r="H2094" s="10">
        <v>46080.0</v>
      </c>
      <c r="I2094" s="12">
        <v>9.0</v>
      </c>
      <c r="J2094" s="6" t="s">
        <v>161</v>
      </c>
    </row>
    <row r="2095" ht="22.5" customHeight="1">
      <c r="A2095" s="6" t="s">
        <v>10454</v>
      </c>
      <c r="B2095" s="6" t="s">
        <v>5320</v>
      </c>
      <c r="C2095" s="10">
        <v>46076.0</v>
      </c>
      <c r="D2095" s="6" t="s">
        <v>391</v>
      </c>
      <c r="E2095" s="6" t="s">
        <v>1969</v>
      </c>
      <c r="F2095" s="6" t="s">
        <v>112</v>
      </c>
      <c r="G2095" s="6" t="s">
        <v>369</v>
      </c>
      <c r="H2095" s="10">
        <v>46077.0</v>
      </c>
      <c r="I2095" s="12">
        <v>11.0</v>
      </c>
      <c r="J2095" s="6" t="s">
        <v>161</v>
      </c>
    </row>
    <row r="2096" ht="22.5" customHeight="1">
      <c r="A2096" s="6" t="s">
        <v>10458</v>
      </c>
      <c r="B2096" s="6" t="s">
        <v>5327</v>
      </c>
      <c r="C2096" s="10">
        <v>46070.0</v>
      </c>
      <c r="D2096" s="6" t="s">
        <v>242</v>
      </c>
      <c r="E2096" s="6" t="s">
        <v>812</v>
      </c>
      <c r="F2096" s="6" t="s">
        <v>283</v>
      </c>
      <c r="G2096" s="6" t="s">
        <v>458</v>
      </c>
      <c r="H2096" s="11" t="s">
        <v>259</v>
      </c>
      <c r="I2096" s="12">
        <v>5.0</v>
      </c>
      <c r="J2096" s="6" t="s">
        <v>178</v>
      </c>
    </row>
    <row r="2097" ht="22.5" customHeight="1">
      <c r="A2097" s="6" t="s">
        <v>10463</v>
      </c>
      <c r="B2097" s="6" t="s">
        <v>5327</v>
      </c>
      <c r="C2097" s="10">
        <v>46056.0</v>
      </c>
      <c r="D2097" s="6" t="s">
        <v>677</v>
      </c>
      <c r="E2097" s="6" t="s">
        <v>1149</v>
      </c>
      <c r="F2097" s="6" t="s">
        <v>249</v>
      </c>
      <c r="G2097" s="6" t="s">
        <v>494</v>
      </c>
      <c r="H2097" s="10">
        <v>46056.0</v>
      </c>
      <c r="I2097" s="12">
        <v>4.0</v>
      </c>
      <c r="J2097" s="6" t="s">
        <v>161</v>
      </c>
    </row>
    <row r="2098" ht="22.5" customHeight="1">
      <c r="A2098" s="6" t="s">
        <v>10467</v>
      </c>
      <c r="B2098" s="6" t="s">
        <v>5327</v>
      </c>
      <c r="C2098" s="10">
        <v>46073.0</v>
      </c>
      <c r="D2098" s="6" t="s">
        <v>677</v>
      </c>
      <c r="E2098" s="6" t="s">
        <v>1149</v>
      </c>
      <c r="F2098" s="6" t="s">
        <v>439</v>
      </c>
      <c r="G2098" s="6" t="s">
        <v>452</v>
      </c>
      <c r="H2098" s="10">
        <v>46073.0</v>
      </c>
      <c r="I2098" s="12">
        <v>3.0</v>
      </c>
      <c r="J2098" s="6" t="s">
        <v>161</v>
      </c>
    </row>
    <row r="2099" ht="22.5" customHeight="1">
      <c r="A2099" s="6" t="s">
        <v>10471</v>
      </c>
      <c r="B2099" s="6" t="s">
        <v>5327</v>
      </c>
      <c r="C2099" s="10">
        <v>46072.0</v>
      </c>
      <c r="D2099" s="6" t="s">
        <v>677</v>
      </c>
      <c r="E2099" s="6" t="s">
        <v>1517</v>
      </c>
      <c r="F2099" s="6" t="s">
        <v>112</v>
      </c>
      <c r="G2099" s="6" t="s">
        <v>458</v>
      </c>
      <c r="H2099" s="11" t="s">
        <v>259</v>
      </c>
      <c r="I2099" s="12">
        <v>2.0</v>
      </c>
      <c r="J2099" s="6" t="s">
        <v>161</v>
      </c>
    </row>
    <row r="2100" ht="22.5" customHeight="1">
      <c r="A2100" s="6" t="s">
        <v>10474</v>
      </c>
      <c r="B2100" s="6" t="s">
        <v>5334</v>
      </c>
      <c r="C2100" s="10">
        <v>46025.0</v>
      </c>
      <c r="D2100" s="6" t="s">
        <v>416</v>
      </c>
      <c r="E2100" s="6" t="s">
        <v>704</v>
      </c>
      <c r="F2100" s="6" t="s">
        <v>439</v>
      </c>
      <c r="G2100" s="6" t="s">
        <v>297</v>
      </c>
      <c r="H2100" s="10">
        <v>46026.0</v>
      </c>
      <c r="I2100" s="12">
        <v>8.0</v>
      </c>
      <c r="J2100" s="6" t="s">
        <v>161</v>
      </c>
    </row>
    <row r="2101" ht="22.5" customHeight="1">
      <c r="A2101" s="6" t="s">
        <v>10480</v>
      </c>
      <c r="B2101" s="6" t="s">
        <v>5334</v>
      </c>
      <c r="C2101" s="10">
        <v>46029.0</v>
      </c>
      <c r="D2101" s="6" t="s">
        <v>436</v>
      </c>
      <c r="E2101" s="6" t="s">
        <v>1741</v>
      </c>
      <c r="F2101" s="6" t="s">
        <v>249</v>
      </c>
      <c r="G2101" s="6" t="s">
        <v>452</v>
      </c>
      <c r="H2101" s="10">
        <v>46029.0</v>
      </c>
      <c r="I2101" s="12">
        <v>9.0</v>
      </c>
      <c r="J2101" s="6" t="s">
        <v>161</v>
      </c>
    </row>
    <row r="2102" ht="22.5" customHeight="1">
      <c r="A2102" s="6" t="s">
        <v>10483</v>
      </c>
      <c r="B2102" s="6" t="s">
        <v>5334</v>
      </c>
      <c r="C2102" s="10">
        <v>46037.0</v>
      </c>
      <c r="D2102" s="6" t="s">
        <v>436</v>
      </c>
      <c r="E2102" s="6" t="s">
        <v>787</v>
      </c>
      <c r="F2102" s="6" t="s">
        <v>283</v>
      </c>
      <c r="G2102" s="6" t="s">
        <v>297</v>
      </c>
      <c r="H2102" s="11" t="s">
        <v>259</v>
      </c>
      <c r="I2102" s="12">
        <v>11.0</v>
      </c>
      <c r="J2102" s="6" t="s">
        <v>178</v>
      </c>
    </row>
    <row r="2103" ht="22.5" customHeight="1">
      <c r="A2103" s="6" t="s">
        <v>10491</v>
      </c>
      <c r="B2103" s="6" t="s">
        <v>5334</v>
      </c>
      <c r="C2103" s="10">
        <v>46037.0</v>
      </c>
      <c r="D2103" s="6" t="s">
        <v>391</v>
      </c>
      <c r="E2103" s="6" t="s">
        <v>1273</v>
      </c>
      <c r="F2103" s="6" t="s">
        <v>112</v>
      </c>
      <c r="G2103" s="6" t="s">
        <v>297</v>
      </c>
      <c r="H2103" s="10">
        <v>46042.0</v>
      </c>
      <c r="I2103" s="12">
        <v>7.0</v>
      </c>
      <c r="J2103" s="6" t="s">
        <v>161</v>
      </c>
    </row>
    <row r="2104" ht="22.5" customHeight="1">
      <c r="A2104" s="6" t="s">
        <v>10498</v>
      </c>
      <c r="B2104" s="6" t="s">
        <v>5340</v>
      </c>
      <c r="C2104" s="10">
        <v>46049.0</v>
      </c>
      <c r="D2104" s="6" t="s">
        <v>391</v>
      </c>
      <c r="E2104" s="6" t="s">
        <v>1700</v>
      </c>
      <c r="F2104" s="6" t="s">
        <v>439</v>
      </c>
      <c r="G2104" s="6" t="s">
        <v>494</v>
      </c>
      <c r="H2104" s="10">
        <v>46052.0</v>
      </c>
      <c r="I2104" s="12">
        <v>8.0</v>
      </c>
      <c r="J2104" s="6" t="s">
        <v>161</v>
      </c>
    </row>
    <row r="2105" ht="22.5" customHeight="1">
      <c r="A2105" s="6" t="s">
        <v>10508</v>
      </c>
      <c r="B2105" s="6" t="s">
        <v>5340</v>
      </c>
      <c r="C2105" s="10">
        <v>46049.0</v>
      </c>
      <c r="D2105" s="6" t="s">
        <v>391</v>
      </c>
      <c r="E2105" s="6" t="s">
        <v>1273</v>
      </c>
      <c r="F2105" s="6" t="s">
        <v>249</v>
      </c>
      <c r="G2105" s="6" t="s">
        <v>254</v>
      </c>
      <c r="H2105" s="10">
        <v>46054.0</v>
      </c>
      <c r="I2105" s="12">
        <v>6.0</v>
      </c>
      <c r="J2105" s="6" t="s">
        <v>161</v>
      </c>
    </row>
    <row r="2106" ht="22.5" customHeight="1">
      <c r="A2106" s="6" t="s">
        <v>10515</v>
      </c>
      <c r="B2106" s="6" t="s">
        <v>5340</v>
      </c>
      <c r="C2106" s="10">
        <v>46053.0</v>
      </c>
      <c r="D2106" s="6" t="s">
        <v>391</v>
      </c>
      <c r="E2106" s="6" t="s">
        <v>466</v>
      </c>
      <c r="F2106" s="6" t="s">
        <v>112</v>
      </c>
      <c r="G2106" s="6" t="s">
        <v>458</v>
      </c>
      <c r="H2106" s="10">
        <v>46055.0</v>
      </c>
      <c r="I2106" s="12">
        <v>8.0</v>
      </c>
      <c r="J2106" s="6" t="s">
        <v>161</v>
      </c>
    </row>
    <row r="2107" ht="22.5" customHeight="1">
      <c r="A2107" s="6" t="s">
        <v>10521</v>
      </c>
      <c r="B2107" s="6" t="s">
        <v>5347</v>
      </c>
      <c r="C2107" s="10">
        <v>46073.0</v>
      </c>
      <c r="D2107" s="6" t="s">
        <v>436</v>
      </c>
      <c r="E2107" s="6" t="s">
        <v>365</v>
      </c>
      <c r="F2107" s="6" t="s">
        <v>249</v>
      </c>
      <c r="G2107" s="6" t="s">
        <v>477</v>
      </c>
      <c r="H2107" s="10">
        <v>46075.0</v>
      </c>
      <c r="I2107" s="12">
        <v>11.0</v>
      </c>
      <c r="J2107" s="6" t="s">
        <v>178</v>
      </c>
    </row>
    <row r="2108" ht="22.5" customHeight="1">
      <c r="A2108" s="6" t="s">
        <v>10527</v>
      </c>
      <c r="B2108" s="6" t="s">
        <v>5347</v>
      </c>
      <c r="C2108" s="10">
        <v>46076.0</v>
      </c>
      <c r="D2108" s="6" t="s">
        <v>436</v>
      </c>
      <c r="E2108" s="6" t="s">
        <v>2365</v>
      </c>
      <c r="F2108" s="6" t="s">
        <v>283</v>
      </c>
      <c r="G2108" s="6" t="s">
        <v>494</v>
      </c>
      <c r="H2108" s="10">
        <v>46079.0</v>
      </c>
      <c r="I2108" s="12">
        <v>8.0</v>
      </c>
      <c r="J2108" s="6" t="s">
        <v>178</v>
      </c>
    </row>
    <row r="2109" ht="22.5" customHeight="1">
      <c r="A2109" s="6" t="s">
        <v>10531</v>
      </c>
      <c r="B2109" s="6" t="s">
        <v>5347</v>
      </c>
      <c r="C2109" s="10">
        <v>46069.0</v>
      </c>
      <c r="D2109" s="6" t="s">
        <v>416</v>
      </c>
      <c r="E2109" s="6" t="s">
        <v>628</v>
      </c>
      <c r="F2109" s="6" t="s">
        <v>439</v>
      </c>
      <c r="G2109" s="6" t="s">
        <v>326</v>
      </c>
      <c r="H2109" s="10">
        <v>46073.0</v>
      </c>
      <c r="I2109" s="12">
        <v>11.0</v>
      </c>
      <c r="J2109" s="6" t="s">
        <v>161</v>
      </c>
    </row>
    <row r="2110" ht="22.5" customHeight="1">
      <c r="A2110" s="6" t="s">
        <v>10536</v>
      </c>
      <c r="B2110" s="6" t="s">
        <v>5353</v>
      </c>
      <c r="C2110" s="10">
        <v>46054.0</v>
      </c>
      <c r="D2110" s="6" t="s">
        <v>242</v>
      </c>
      <c r="E2110" s="6" t="s">
        <v>695</v>
      </c>
      <c r="F2110" s="6" t="s">
        <v>249</v>
      </c>
      <c r="G2110" s="6" t="s">
        <v>458</v>
      </c>
      <c r="H2110" s="10">
        <v>46058.0</v>
      </c>
      <c r="I2110" s="12">
        <v>5.0</v>
      </c>
      <c r="J2110" s="6" t="s">
        <v>178</v>
      </c>
    </row>
    <row r="2111" ht="22.5" customHeight="1">
      <c r="A2111" s="6" t="s">
        <v>10540</v>
      </c>
      <c r="B2111" s="6" t="s">
        <v>5360</v>
      </c>
      <c r="C2111" s="10">
        <v>46056.0</v>
      </c>
      <c r="D2111" s="6" t="s">
        <v>416</v>
      </c>
      <c r="E2111" s="6" t="s">
        <v>798</v>
      </c>
      <c r="F2111" s="6" t="s">
        <v>249</v>
      </c>
      <c r="G2111" s="6" t="s">
        <v>477</v>
      </c>
      <c r="H2111" s="10">
        <v>46056.0</v>
      </c>
      <c r="I2111" s="12">
        <v>10.0</v>
      </c>
      <c r="J2111" s="6" t="s">
        <v>161</v>
      </c>
    </row>
    <row r="2112" ht="22.5" customHeight="1">
      <c r="A2112" s="6" t="s">
        <v>10546</v>
      </c>
      <c r="B2112" s="6" t="s">
        <v>5360</v>
      </c>
      <c r="C2112" s="10">
        <v>46052.0</v>
      </c>
      <c r="D2112" s="6" t="s">
        <v>677</v>
      </c>
      <c r="E2112" s="6" t="s">
        <v>566</v>
      </c>
      <c r="F2112" s="6" t="s">
        <v>439</v>
      </c>
      <c r="G2112" s="6" t="s">
        <v>477</v>
      </c>
      <c r="H2112" s="10">
        <v>46055.0</v>
      </c>
      <c r="I2112" s="12">
        <v>4.0</v>
      </c>
      <c r="J2112" s="6" t="s">
        <v>161</v>
      </c>
    </row>
    <row r="2113" ht="22.5" customHeight="1">
      <c r="A2113" s="6" t="s">
        <v>10549</v>
      </c>
      <c r="B2113" s="6" t="s">
        <v>5360</v>
      </c>
      <c r="C2113" s="10">
        <v>46068.0</v>
      </c>
      <c r="D2113" s="6" t="s">
        <v>677</v>
      </c>
      <c r="E2113" s="6" t="s">
        <v>955</v>
      </c>
      <c r="F2113" s="6" t="s">
        <v>112</v>
      </c>
      <c r="G2113" s="6" t="s">
        <v>494</v>
      </c>
      <c r="H2113" s="10">
        <v>46071.0</v>
      </c>
      <c r="I2113" s="12">
        <v>2.0</v>
      </c>
      <c r="J2113" s="6" t="s">
        <v>161</v>
      </c>
    </row>
    <row r="2114" ht="22.5" customHeight="1">
      <c r="A2114" s="6" t="s">
        <v>10558</v>
      </c>
      <c r="B2114" s="6" t="s">
        <v>5367</v>
      </c>
      <c r="C2114" s="10">
        <v>46078.0</v>
      </c>
      <c r="D2114" s="6" t="s">
        <v>416</v>
      </c>
      <c r="E2114" s="6" t="s">
        <v>512</v>
      </c>
      <c r="F2114" s="6" t="s">
        <v>439</v>
      </c>
      <c r="G2114" s="6" t="s">
        <v>369</v>
      </c>
      <c r="H2114" s="10">
        <v>46079.0</v>
      </c>
      <c r="I2114" s="12">
        <v>14.0</v>
      </c>
      <c r="J2114" s="6" t="s">
        <v>161</v>
      </c>
    </row>
    <row r="2115" ht="22.5" customHeight="1">
      <c r="A2115" s="6" t="s">
        <v>10565</v>
      </c>
      <c r="B2115" s="6" t="s">
        <v>5367</v>
      </c>
      <c r="C2115" s="10">
        <v>46069.0</v>
      </c>
      <c r="D2115" s="6" t="s">
        <v>391</v>
      </c>
      <c r="E2115" s="6" t="s">
        <v>1241</v>
      </c>
      <c r="F2115" s="6" t="s">
        <v>112</v>
      </c>
      <c r="G2115" s="6" t="s">
        <v>369</v>
      </c>
      <c r="H2115" s="11" t="s">
        <v>259</v>
      </c>
      <c r="I2115" s="12">
        <v>10.0</v>
      </c>
      <c r="J2115" s="6" t="s">
        <v>161</v>
      </c>
    </row>
    <row r="2116" ht="22.5" customHeight="1">
      <c r="A2116" s="6" t="s">
        <v>10573</v>
      </c>
      <c r="B2116" s="6" t="s">
        <v>5367</v>
      </c>
      <c r="C2116" s="10">
        <v>46067.0</v>
      </c>
      <c r="D2116" s="6" t="s">
        <v>416</v>
      </c>
      <c r="E2116" s="6" t="s">
        <v>466</v>
      </c>
      <c r="F2116" s="6" t="s">
        <v>439</v>
      </c>
      <c r="G2116" s="6" t="s">
        <v>452</v>
      </c>
      <c r="H2116" s="11" t="s">
        <v>259</v>
      </c>
      <c r="I2116" s="12">
        <v>8.0</v>
      </c>
      <c r="J2116" s="6" t="s">
        <v>161</v>
      </c>
    </row>
    <row r="2117" ht="22.5" customHeight="1">
      <c r="A2117" s="6" t="s">
        <v>10577</v>
      </c>
      <c r="B2117" s="6" t="s">
        <v>5373</v>
      </c>
      <c r="C2117" s="10">
        <v>46071.0</v>
      </c>
      <c r="D2117" s="6" t="s">
        <v>677</v>
      </c>
      <c r="E2117" s="6" t="s">
        <v>695</v>
      </c>
      <c r="F2117" s="6" t="s">
        <v>283</v>
      </c>
      <c r="G2117" s="6" t="s">
        <v>326</v>
      </c>
      <c r="H2117" s="10">
        <v>46077.0</v>
      </c>
      <c r="I2117" s="12">
        <v>3.0</v>
      </c>
      <c r="J2117" s="6" t="s">
        <v>161</v>
      </c>
    </row>
    <row r="2118" ht="22.5" customHeight="1">
      <c r="A2118" s="6" t="s">
        <v>10582</v>
      </c>
      <c r="B2118" s="6" t="s">
        <v>5373</v>
      </c>
      <c r="C2118" s="10">
        <v>46053.0</v>
      </c>
      <c r="D2118" s="6" t="s">
        <v>391</v>
      </c>
      <c r="E2118" s="6" t="s">
        <v>246</v>
      </c>
      <c r="F2118" s="6" t="s">
        <v>249</v>
      </c>
      <c r="G2118" s="6" t="s">
        <v>326</v>
      </c>
      <c r="H2118" s="10">
        <v>46056.0</v>
      </c>
      <c r="I2118" s="12">
        <v>7.0</v>
      </c>
      <c r="J2118" s="6" t="s">
        <v>161</v>
      </c>
    </row>
    <row r="2119" ht="22.5" customHeight="1">
      <c r="A2119" s="6" t="s">
        <v>10587</v>
      </c>
      <c r="B2119" s="6" t="s">
        <v>5373</v>
      </c>
      <c r="C2119" s="10">
        <v>46065.0</v>
      </c>
      <c r="D2119" s="6" t="s">
        <v>436</v>
      </c>
      <c r="E2119" s="6" t="s">
        <v>1070</v>
      </c>
      <c r="F2119" s="6" t="s">
        <v>439</v>
      </c>
      <c r="G2119" s="6" t="s">
        <v>326</v>
      </c>
      <c r="H2119" s="10">
        <v>46072.0</v>
      </c>
      <c r="I2119" s="12">
        <v>9.0</v>
      </c>
      <c r="J2119" s="6" t="s">
        <v>178</v>
      </c>
    </row>
    <row r="2120" ht="22.5" customHeight="1">
      <c r="A2120" s="6" t="s">
        <v>10590</v>
      </c>
      <c r="B2120" s="6" t="s">
        <v>5379</v>
      </c>
      <c r="C2120" s="10">
        <v>46062.0</v>
      </c>
      <c r="D2120" s="6" t="s">
        <v>436</v>
      </c>
      <c r="E2120" s="6" t="s">
        <v>885</v>
      </c>
      <c r="F2120" s="6" t="s">
        <v>249</v>
      </c>
      <c r="G2120" s="6" t="s">
        <v>369</v>
      </c>
      <c r="H2120" s="10">
        <v>46068.0</v>
      </c>
      <c r="I2120" s="12">
        <v>11.0</v>
      </c>
      <c r="J2120" s="6" t="s">
        <v>178</v>
      </c>
    </row>
    <row r="2121" ht="22.5" customHeight="1">
      <c r="A2121" s="6" t="s">
        <v>10594</v>
      </c>
      <c r="B2121" s="6" t="s">
        <v>5379</v>
      </c>
      <c r="C2121" s="10">
        <v>46048.0</v>
      </c>
      <c r="D2121" s="6" t="s">
        <v>436</v>
      </c>
      <c r="E2121" s="6" t="s">
        <v>394</v>
      </c>
      <c r="F2121" s="6" t="s">
        <v>112</v>
      </c>
      <c r="G2121" s="6" t="s">
        <v>369</v>
      </c>
      <c r="H2121" s="10">
        <v>46054.0</v>
      </c>
      <c r="I2121" s="12">
        <v>11.0</v>
      </c>
      <c r="J2121" s="6" t="s">
        <v>178</v>
      </c>
    </row>
    <row r="2122" ht="22.5" customHeight="1">
      <c r="A2122" s="6" t="s">
        <v>10599</v>
      </c>
      <c r="B2122" s="6" t="s">
        <v>5379</v>
      </c>
      <c r="C2122" s="10">
        <v>46055.0</v>
      </c>
      <c r="D2122" s="6" t="s">
        <v>436</v>
      </c>
      <c r="E2122" s="6" t="s">
        <v>787</v>
      </c>
      <c r="F2122" s="6" t="s">
        <v>112</v>
      </c>
      <c r="G2122" s="6" t="s">
        <v>254</v>
      </c>
      <c r="H2122" s="10">
        <v>46058.0</v>
      </c>
      <c r="I2122" s="12">
        <v>12.0</v>
      </c>
      <c r="J2122" s="6" t="s">
        <v>178</v>
      </c>
    </row>
    <row r="2123" ht="22.5" customHeight="1">
      <c r="A2123" s="6" t="s">
        <v>10604</v>
      </c>
      <c r="B2123" s="6" t="s">
        <v>5379</v>
      </c>
      <c r="C2123" s="10">
        <v>46044.0</v>
      </c>
      <c r="D2123" s="6" t="s">
        <v>242</v>
      </c>
      <c r="E2123" s="6" t="s">
        <v>1969</v>
      </c>
      <c r="F2123" s="6" t="s">
        <v>112</v>
      </c>
      <c r="G2123" s="6" t="s">
        <v>254</v>
      </c>
      <c r="H2123" s="10">
        <v>46051.0</v>
      </c>
      <c r="I2123" s="12">
        <v>4.0</v>
      </c>
      <c r="J2123" s="6" t="s">
        <v>161</v>
      </c>
    </row>
    <row r="2124" ht="22.5" customHeight="1">
      <c r="A2124" s="6" t="s">
        <v>10609</v>
      </c>
      <c r="B2124" s="6" t="s">
        <v>5379</v>
      </c>
      <c r="C2124" s="10">
        <v>46046.0</v>
      </c>
      <c r="D2124" s="6" t="s">
        <v>416</v>
      </c>
      <c r="E2124" s="6" t="s">
        <v>1600</v>
      </c>
      <c r="F2124" s="6" t="s">
        <v>439</v>
      </c>
      <c r="G2124" s="6" t="s">
        <v>254</v>
      </c>
      <c r="H2124" s="10">
        <v>46046.0</v>
      </c>
      <c r="I2124" s="12">
        <v>8.0</v>
      </c>
      <c r="J2124" s="6" t="s">
        <v>161</v>
      </c>
    </row>
    <row r="2125" ht="22.5" customHeight="1">
      <c r="A2125" s="6" t="s">
        <v>10613</v>
      </c>
      <c r="B2125" s="6" t="s">
        <v>5385</v>
      </c>
      <c r="C2125" s="10">
        <v>46041.0</v>
      </c>
      <c r="D2125" s="6" t="s">
        <v>312</v>
      </c>
      <c r="E2125" s="6" t="s">
        <v>2881</v>
      </c>
      <c r="F2125" s="6" t="s">
        <v>439</v>
      </c>
      <c r="G2125" s="6" t="s">
        <v>494</v>
      </c>
      <c r="H2125" s="10">
        <v>46043.0</v>
      </c>
      <c r="I2125" s="12">
        <v>6.0</v>
      </c>
      <c r="J2125" s="6" t="s">
        <v>161</v>
      </c>
    </row>
    <row r="2126" ht="22.5" customHeight="1">
      <c r="A2126" s="6" t="s">
        <v>10619</v>
      </c>
      <c r="B2126" s="6" t="s">
        <v>5385</v>
      </c>
      <c r="C2126" s="10">
        <v>46038.0</v>
      </c>
      <c r="D2126" s="6" t="s">
        <v>416</v>
      </c>
      <c r="E2126" s="6" t="s">
        <v>1055</v>
      </c>
      <c r="F2126" s="6" t="s">
        <v>112</v>
      </c>
      <c r="G2126" s="6" t="s">
        <v>297</v>
      </c>
      <c r="H2126" s="10">
        <v>46044.0</v>
      </c>
      <c r="I2126" s="12">
        <v>8.0</v>
      </c>
      <c r="J2126" s="6" t="s">
        <v>161</v>
      </c>
    </row>
    <row r="2127" ht="22.5" customHeight="1">
      <c r="A2127" s="6" t="s">
        <v>10623</v>
      </c>
      <c r="B2127" s="6" t="s">
        <v>5385</v>
      </c>
      <c r="C2127" s="10">
        <v>46037.0</v>
      </c>
      <c r="D2127" s="6" t="s">
        <v>677</v>
      </c>
      <c r="E2127" s="6" t="s">
        <v>1102</v>
      </c>
      <c r="F2127" s="6" t="s">
        <v>439</v>
      </c>
      <c r="G2127" s="6" t="s">
        <v>477</v>
      </c>
      <c r="H2127" s="10">
        <v>46039.0</v>
      </c>
      <c r="I2127" s="12">
        <v>2.0</v>
      </c>
      <c r="J2127" s="6" t="s">
        <v>161</v>
      </c>
    </row>
    <row r="2128" ht="22.5" customHeight="1">
      <c r="A2128" s="6" t="s">
        <v>10627</v>
      </c>
      <c r="B2128" s="6" t="s">
        <v>5391</v>
      </c>
      <c r="C2128" s="10">
        <v>46060.0</v>
      </c>
      <c r="D2128" s="6" t="s">
        <v>242</v>
      </c>
      <c r="E2128" s="6" t="s">
        <v>704</v>
      </c>
      <c r="F2128" s="6" t="s">
        <v>112</v>
      </c>
      <c r="G2128" s="6" t="s">
        <v>369</v>
      </c>
      <c r="H2128" s="10">
        <v>46066.0</v>
      </c>
      <c r="I2128" s="12">
        <v>3.0</v>
      </c>
      <c r="J2128" s="6" t="s">
        <v>178</v>
      </c>
    </row>
    <row r="2129" ht="22.5" customHeight="1">
      <c r="A2129" s="6" t="s">
        <v>10632</v>
      </c>
      <c r="B2129" s="6" t="s">
        <v>5391</v>
      </c>
      <c r="C2129" s="10">
        <v>46065.0</v>
      </c>
      <c r="D2129" s="6" t="s">
        <v>289</v>
      </c>
      <c r="E2129" s="6" t="s">
        <v>475</v>
      </c>
      <c r="F2129" s="6" t="s">
        <v>283</v>
      </c>
      <c r="G2129" s="6" t="s">
        <v>326</v>
      </c>
      <c r="H2129" s="10">
        <v>46069.0</v>
      </c>
      <c r="I2129" s="12">
        <v>10.0</v>
      </c>
      <c r="J2129" s="6" t="s">
        <v>161</v>
      </c>
    </row>
    <row r="2130" ht="22.5" customHeight="1">
      <c r="A2130" s="6" t="s">
        <v>10636</v>
      </c>
      <c r="B2130" s="6" t="s">
        <v>5391</v>
      </c>
      <c r="C2130" s="10">
        <v>46077.0</v>
      </c>
      <c r="D2130" s="6" t="s">
        <v>289</v>
      </c>
      <c r="E2130" s="6" t="s">
        <v>1055</v>
      </c>
      <c r="F2130" s="6" t="s">
        <v>112</v>
      </c>
      <c r="G2130" s="6" t="s">
        <v>477</v>
      </c>
      <c r="H2130" s="10">
        <v>46081.0</v>
      </c>
      <c r="I2130" s="12">
        <v>5.0</v>
      </c>
      <c r="J2130" s="6" t="s">
        <v>161</v>
      </c>
    </row>
    <row r="2131" ht="22.5" customHeight="1">
      <c r="A2131" s="6" t="s">
        <v>10641</v>
      </c>
      <c r="B2131" s="6" t="s">
        <v>5391</v>
      </c>
      <c r="C2131" s="10">
        <v>46063.0</v>
      </c>
      <c r="D2131" s="6" t="s">
        <v>677</v>
      </c>
      <c r="E2131" s="6" t="s">
        <v>885</v>
      </c>
      <c r="F2131" s="6" t="s">
        <v>112</v>
      </c>
      <c r="G2131" s="6" t="s">
        <v>494</v>
      </c>
      <c r="H2131" s="10">
        <v>46069.0</v>
      </c>
      <c r="I2131" s="12">
        <v>4.0</v>
      </c>
      <c r="J2131" s="6" t="s">
        <v>161</v>
      </c>
    </row>
    <row r="2132" ht="22.5" customHeight="1">
      <c r="A2132" s="6" t="s">
        <v>10645</v>
      </c>
      <c r="B2132" s="6" t="s">
        <v>5391</v>
      </c>
      <c r="C2132" s="10">
        <v>46070.0</v>
      </c>
      <c r="D2132" s="6" t="s">
        <v>242</v>
      </c>
      <c r="E2132" s="6" t="s">
        <v>628</v>
      </c>
      <c r="F2132" s="6" t="s">
        <v>112</v>
      </c>
      <c r="G2132" s="6" t="s">
        <v>458</v>
      </c>
      <c r="H2132" s="10">
        <v>46074.0</v>
      </c>
      <c r="I2132" s="12">
        <v>4.0</v>
      </c>
      <c r="J2132" s="6" t="s">
        <v>178</v>
      </c>
    </row>
    <row r="2133" ht="22.5" customHeight="1">
      <c r="A2133" s="6" t="s">
        <v>10651</v>
      </c>
      <c r="B2133" s="6" t="s">
        <v>5398</v>
      </c>
      <c r="C2133" s="10">
        <v>46035.0</v>
      </c>
      <c r="D2133" s="6" t="s">
        <v>242</v>
      </c>
      <c r="E2133" s="6" t="s">
        <v>291</v>
      </c>
      <c r="F2133" s="6" t="s">
        <v>249</v>
      </c>
      <c r="G2133" s="6" t="s">
        <v>297</v>
      </c>
      <c r="H2133" s="11" t="s">
        <v>259</v>
      </c>
      <c r="I2133" s="12">
        <v>6.0</v>
      </c>
      <c r="J2133" s="6" t="s">
        <v>161</v>
      </c>
    </row>
    <row r="2134" ht="22.5" customHeight="1">
      <c r="A2134" s="6" t="s">
        <v>10654</v>
      </c>
      <c r="B2134" s="6" t="s">
        <v>5398</v>
      </c>
      <c r="C2134" s="10">
        <v>46035.0</v>
      </c>
      <c r="D2134" s="6" t="s">
        <v>436</v>
      </c>
      <c r="E2134" s="6" t="s">
        <v>291</v>
      </c>
      <c r="F2134" s="6" t="s">
        <v>439</v>
      </c>
      <c r="G2134" s="6" t="s">
        <v>477</v>
      </c>
      <c r="H2134" s="10">
        <v>46040.0</v>
      </c>
      <c r="I2134" s="12">
        <v>8.0</v>
      </c>
      <c r="J2134" s="6" t="s">
        <v>178</v>
      </c>
    </row>
    <row r="2135" ht="22.5" customHeight="1">
      <c r="A2135" s="6" t="s">
        <v>10660</v>
      </c>
      <c r="B2135" s="6" t="s">
        <v>5398</v>
      </c>
      <c r="C2135" s="10">
        <v>46040.0</v>
      </c>
      <c r="D2135" s="6" t="s">
        <v>436</v>
      </c>
      <c r="E2135" s="6" t="s">
        <v>833</v>
      </c>
      <c r="F2135" s="6" t="s">
        <v>112</v>
      </c>
      <c r="G2135" s="6" t="s">
        <v>254</v>
      </c>
      <c r="H2135" s="10">
        <v>46045.0</v>
      </c>
      <c r="I2135" s="12">
        <v>6.0</v>
      </c>
      <c r="J2135" s="6" t="s">
        <v>178</v>
      </c>
    </row>
    <row r="2136" ht="22.5" customHeight="1">
      <c r="A2136" s="6" t="s">
        <v>10669</v>
      </c>
      <c r="B2136" s="6" t="s">
        <v>5398</v>
      </c>
      <c r="C2136" s="10">
        <v>46040.0</v>
      </c>
      <c r="D2136" s="6" t="s">
        <v>416</v>
      </c>
      <c r="E2136" s="6" t="s">
        <v>687</v>
      </c>
      <c r="F2136" s="6" t="s">
        <v>439</v>
      </c>
      <c r="G2136" s="6" t="s">
        <v>326</v>
      </c>
      <c r="H2136" s="10">
        <v>46045.0</v>
      </c>
      <c r="I2136" s="12">
        <v>12.0</v>
      </c>
      <c r="J2136" s="6" t="s">
        <v>161</v>
      </c>
    </row>
    <row r="2137" ht="22.5" customHeight="1">
      <c r="A2137" s="6" t="s">
        <v>10674</v>
      </c>
      <c r="B2137" s="6" t="s">
        <v>5404</v>
      </c>
      <c r="C2137" s="10">
        <v>46049.0</v>
      </c>
      <c r="D2137" s="6" t="s">
        <v>416</v>
      </c>
      <c r="E2137" s="6" t="s">
        <v>628</v>
      </c>
      <c r="F2137" s="6" t="s">
        <v>439</v>
      </c>
      <c r="G2137" s="6" t="s">
        <v>452</v>
      </c>
      <c r="H2137" s="10">
        <v>46055.0</v>
      </c>
      <c r="I2137" s="12">
        <v>14.0</v>
      </c>
      <c r="J2137" s="6" t="s">
        <v>161</v>
      </c>
    </row>
    <row r="2138" ht="22.5" customHeight="1">
      <c r="A2138" s="6" t="s">
        <v>10678</v>
      </c>
      <c r="B2138" s="6" t="s">
        <v>5404</v>
      </c>
      <c r="C2138" s="10">
        <v>46043.0</v>
      </c>
      <c r="D2138" s="6" t="s">
        <v>242</v>
      </c>
      <c r="E2138" s="6" t="s">
        <v>1122</v>
      </c>
      <c r="F2138" s="6" t="s">
        <v>283</v>
      </c>
      <c r="G2138" s="6" t="s">
        <v>369</v>
      </c>
      <c r="H2138" s="10">
        <v>46049.0</v>
      </c>
      <c r="I2138" s="12">
        <v>3.0</v>
      </c>
      <c r="J2138" s="6" t="s">
        <v>161</v>
      </c>
    </row>
    <row r="2139" ht="22.5" customHeight="1">
      <c r="A2139" s="6" t="s">
        <v>10682</v>
      </c>
      <c r="B2139" s="6" t="s">
        <v>5404</v>
      </c>
      <c r="C2139" s="10">
        <v>46051.0</v>
      </c>
      <c r="D2139" s="6" t="s">
        <v>391</v>
      </c>
      <c r="E2139" s="6" t="s">
        <v>738</v>
      </c>
      <c r="F2139" s="6" t="s">
        <v>249</v>
      </c>
      <c r="G2139" s="6" t="s">
        <v>369</v>
      </c>
      <c r="H2139" s="10">
        <v>46054.0</v>
      </c>
      <c r="I2139" s="12">
        <v>11.0</v>
      </c>
      <c r="J2139" s="6" t="s">
        <v>161</v>
      </c>
    </row>
    <row r="2140" ht="22.5" customHeight="1">
      <c r="A2140" s="6" t="s">
        <v>10688</v>
      </c>
      <c r="B2140" s="6" t="s">
        <v>5404</v>
      </c>
      <c r="C2140" s="10">
        <v>46038.0</v>
      </c>
      <c r="D2140" s="6" t="s">
        <v>242</v>
      </c>
      <c r="E2140" s="6" t="s">
        <v>687</v>
      </c>
      <c r="F2140" s="6" t="s">
        <v>112</v>
      </c>
      <c r="G2140" s="6" t="s">
        <v>494</v>
      </c>
      <c r="H2140" s="10">
        <v>46042.0</v>
      </c>
      <c r="I2140" s="12">
        <v>3.0</v>
      </c>
      <c r="J2140" s="6" t="s">
        <v>178</v>
      </c>
    </row>
    <row r="2141" ht="22.5" customHeight="1">
      <c r="A2141" s="6" t="s">
        <v>10691</v>
      </c>
      <c r="B2141" s="6" t="s">
        <v>5410</v>
      </c>
      <c r="C2141" s="10">
        <v>46034.0</v>
      </c>
      <c r="D2141" s="6" t="s">
        <v>242</v>
      </c>
      <c r="E2141" s="6" t="s">
        <v>1741</v>
      </c>
      <c r="F2141" s="6" t="s">
        <v>283</v>
      </c>
      <c r="G2141" s="6" t="s">
        <v>297</v>
      </c>
      <c r="H2141" s="10">
        <v>46041.0</v>
      </c>
      <c r="I2141" s="12">
        <v>6.0</v>
      </c>
      <c r="J2141" s="6" t="s">
        <v>178</v>
      </c>
    </row>
    <row r="2142" ht="22.5" customHeight="1">
      <c r="A2142" s="6" t="s">
        <v>10695</v>
      </c>
      <c r="B2142" s="6" t="s">
        <v>5410</v>
      </c>
      <c r="C2142" s="10">
        <v>46047.0</v>
      </c>
      <c r="D2142" s="6" t="s">
        <v>391</v>
      </c>
      <c r="E2142" s="6" t="s">
        <v>1741</v>
      </c>
      <c r="F2142" s="6" t="s">
        <v>112</v>
      </c>
      <c r="G2142" s="6" t="s">
        <v>369</v>
      </c>
      <c r="H2142" s="10">
        <v>46052.0</v>
      </c>
      <c r="I2142" s="12">
        <v>11.0</v>
      </c>
      <c r="J2142" s="6" t="s">
        <v>161</v>
      </c>
    </row>
    <row r="2143" ht="22.5" customHeight="1">
      <c r="A2143" s="6" t="s">
        <v>10701</v>
      </c>
      <c r="B2143" s="6" t="s">
        <v>5410</v>
      </c>
      <c r="C2143" s="10">
        <v>46053.0</v>
      </c>
      <c r="D2143" s="6" t="s">
        <v>242</v>
      </c>
      <c r="E2143" s="6" t="s">
        <v>438</v>
      </c>
      <c r="F2143" s="6" t="s">
        <v>439</v>
      </c>
      <c r="G2143" s="6" t="s">
        <v>297</v>
      </c>
      <c r="H2143" s="10">
        <v>46058.0</v>
      </c>
      <c r="I2143" s="12">
        <v>3.0</v>
      </c>
      <c r="J2143" s="6" t="s">
        <v>161</v>
      </c>
    </row>
    <row r="2144" ht="22.5" customHeight="1">
      <c r="A2144" s="6" t="s">
        <v>10704</v>
      </c>
      <c r="B2144" s="6" t="s">
        <v>5417</v>
      </c>
      <c r="C2144" s="10">
        <v>46051.0</v>
      </c>
      <c r="D2144" s="6" t="s">
        <v>391</v>
      </c>
      <c r="E2144" s="6" t="s">
        <v>291</v>
      </c>
      <c r="F2144" s="6" t="s">
        <v>283</v>
      </c>
      <c r="G2144" s="6" t="s">
        <v>477</v>
      </c>
      <c r="H2144" s="10">
        <v>46055.0</v>
      </c>
      <c r="I2144" s="12">
        <v>10.0</v>
      </c>
      <c r="J2144" s="6" t="s">
        <v>161</v>
      </c>
    </row>
    <row r="2145" ht="22.5" customHeight="1">
      <c r="A2145" s="6" t="s">
        <v>10710</v>
      </c>
      <c r="B2145" s="6" t="s">
        <v>5417</v>
      </c>
      <c r="C2145" s="10">
        <v>46051.0</v>
      </c>
      <c r="D2145" s="6" t="s">
        <v>416</v>
      </c>
      <c r="E2145" s="6" t="s">
        <v>798</v>
      </c>
      <c r="F2145" s="6" t="s">
        <v>112</v>
      </c>
      <c r="G2145" s="6" t="s">
        <v>297</v>
      </c>
      <c r="H2145" s="11" t="s">
        <v>259</v>
      </c>
      <c r="I2145" s="12">
        <v>12.0</v>
      </c>
      <c r="J2145" s="6" t="s">
        <v>161</v>
      </c>
    </row>
    <row r="2146" ht="22.5" customHeight="1">
      <c r="A2146" s="6" t="s">
        <v>10716</v>
      </c>
      <c r="B2146" s="6" t="s">
        <v>5423</v>
      </c>
      <c r="C2146" s="10">
        <v>46081.0</v>
      </c>
      <c r="D2146" s="6" t="s">
        <v>677</v>
      </c>
      <c r="E2146" s="6" t="s">
        <v>417</v>
      </c>
      <c r="F2146" s="6" t="s">
        <v>439</v>
      </c>
      <c r="G2146" s="6" t="s">
        <v>477</v>
      </c>
      <c r="H2146" s="10">
        <v>46081.0</v>
      </c>
      <c r="I2146" s="12">
        <v>3.0</v>
      </c>
      <c r="J2146" s="6" t="s">
        <v>161</v>
      </c>
    </row>
    <row r="2147" ht="22.5" customHeight="1">
      <c r="A2147" s="6" t="s">
        <v>10720</v>
      </c>
      <c r="B2147" s="6" t="s">
        <v>5429</v>
      </c>
      <c r="C2147" s="10">
        <v>46043.0</v>
      </c>
      <c r="D2147" s="6" t="s">
        <v>416</v>
      </c>
      <c r="E2147" s="6" t="s">
        <v>704</v>
      </c>
      <c r="F2147" s="6" t="s">
        <v>283</v>
      </c>
      <c r="G2147" s="6" t="s">
        <v>494</v>
      </c>
      <c r="H2147" s="10">
        <v>46047.0</v>
      </c>
      <c r="I2147" s="12">
        <v>14.0</v>
      </c>
      <c r="J2147" s="6" t="s">
        <v>161</v>
      </c>
    </row>
    <row r="2148" ht="22.5" customHeight="1">
      <c r="A2148" s="6" t="s">
        <v>10726</v>
      </c>
      <c r="B2148" s="6" t="s">
        <v>5437</v>
      </c>
      <c r="C2148" s="10">
        <v>46062.0</v>
      </c>
      <c r="D2148" s="6" t="s">
        <v>312</v>
      </c>
      <c r="E2148" s="6" t="s">
        <v>320</v>
      </c>
      <c r="F2148" s="6" t="s">
        <v>283</v>
      </c>
      <c r="G2148" s="6" t="s">
        <v>254</v>
      </c>
      <c r="H2148" s="10">
        <v>46064.0</v>
      </c>
      <c r="I2148" s="12">
        <v>7.0</v>
      </c>
      <c r="J2148" s="6" t="s">
        <v>161</v>
      </c>
    </row>
    <row r="2149" ht="22.5" customHeight="1">
      <c r="A2149" s="6" t="s">
        <v>10731</v>
      </c>
      <c r="B2149" s="6" t="s">
        <v>5437</v>
      </c>
      <c r="C2149" s="10">
        <v>46057.0</v>
      </c>
      <c r="D2149" s="6" t="s">
        <v>677</v>
      </c>
      <c r="E2149" s="6" t="s">
        <v>1102</v>
      </c>
      <c r="F2149" s="6" t="s">
        <v>439</v>
      </c>
      <c r="G2149" s="6" t="s">
        <v>369</v>
      </c>
      <c r="H2149" s="10">
        <v>46062.0</v>
      </c>
      <c r="I2149" s="12">
        <v>3.0</v>
      </c>
      <c r="J2149" s="6" t="s">
        <v>161</v>
      </c>
    </row>
    <row r="2150" ht="22.5" customHeight="1">
      <c r="A2150" s="6" t="s">
        <v>10734</v>
      </c>
      <c r="B2150" s="6" t="s">
        <v>5443</v>
      </c>
      <c r="C2150" s="10">
        <v>46062.0</v>
      </c>
      <c r="D2150" s="6" t="s">
        <v>677</v>
      </c>
      <c r="E2150" s="6" t="s">
        <v>1626</v>
      </c>
      <c r="F2150" s="6" t="s">
        <v>249</v>
      </c>
      <c r="G2150" s="6" t="s">
        <v>254</v>
      </c>
      <c r="H2150" s="10">
        <v>46062.0</v>
      </c>
      <c r="I2150" s="12">
        <v>3.0</v>
      </c>
      <c r="J2150" s="6" t="s">
        <v>161</v>
      </c>
    </row>
    <row r="2151" ht="22.5" customHeight="1">
      <c r="A2151" s="6" t="s">
        <v>10738</v>
      </c>
      <c r="B2151" s="6" t="s">
        <v>5443</v>
      </c>
      <c r="C2151" s="10">
        <v>46058.0</v>
      </c>
      <c r="D2151" s="6" t="s">
        <v>289</v>
      </c>
      <c r="E2151" s="6" t="s">
        <v>1280</v>
      </c>
      <c r="F2151" s="6" t="s">
        <v>112</v>
      </c>
      <c r="G2151" s="6" t="s">
        <v>494</v>
      </c>
      <c r="H2151" s="10">
        <v>46062.0</v>
      </c>
      <c r="I2151" s="12">
        <v>6.0</v>
      </c>
      <c r="J2151" s="6" t="s">
        <v>161</v>
      </c>
    </row>
    <row r="2152" ht="22.5" customHeight="1">
      <c r="A2152" s="6" t="s">
        <v>10740</v>
      </c>
      <c r="B2152" s="6" t="s">
        <v>5443</v>
      </c>
      <c r="C2152" s="10">
        <v>46063.0</v>
      </c>
      <c r="D2152" s="6" t="s">
        <v>312</v>
      </c>
      <c r="E2152" s="6" t="s">
        <v>1296</v>
      </c>
      <c r="F2152" s="6" t="s">
        <v>112</v>
      </c>
      <c r="G2152" s="6" t="s">
        <v>326</v>
      </c>
      <c r="H2152" s="10">
        <v>46069.0</v>
      </c>
      <c r="I2152" s="12">
        <v>6.0</v>
      </c>
      <c r="J2152" s="6" t="s">
        <v>161</v>
      </c>
    </row>
    <row r="2153" ht="22.5" customHeight="1">
      <c r="A2153" s="6" t="s">
        <v>10745</v>
      </c>
      <c r="B2153" s="6" t="s">
        <v>5449</v>
      </c>
      <c r="C2153" s="10">
        <v>46055.0</v>
      </c>
      <c r="D2153" s="6" t="s">
        <v>312</v>
      </c>
      <c r="E2153" s="6" t="s">
        <v>787</v>
      </c>
      <c r="F2153" s="6" t="s">
        <v>112</v>
      </c>
      <c r="G2153" s="6" t="s">
        <v>297</v>
      </c>
      <c r="H2153" s="10">
        <v>46059.0</v>
      </c>
      <c r="I2153" s="12">
        <v>6.0</v>
      </c>
      <c r="J2153" s="6" t="s">
        <v>161</v>
      </c>
    </row>
    <row r="2154" ht="22.5" customHeight="1">
      <c r="A2154" s="6" t="s">
        <v>10749</v>
      </c>
      <c r="B2154" s="6" t="s">
        <v>5449</v>
      </c>
      <c r="C2154" s="10">
        <v>46062.0</v>
      </c>
      <c r="D2154" s="6" t="s">
        <v>312</v>
      </c>
      <c r="E2154" s="6" t="s">
        <v>1720</v>
      </c>
      <c r="F2154" s="6" t="s">
        <v>439</v>
      </c>
      <c r="G2154" s="6" t="s">
        <v>452</v>
      </c>
      <c r="H2154" s="10">
        <v>46063.0</v>
      </c>
      <c r="I2154" s="12">
        <v>4.0</v>
      </c>
      <c r="J2154" s="6" t="s">
        <v>161</v>
      </c>
    </row>
    <row r="2155" ht="22.5" customHeight="1">
      <c r="A2155" s="6" t="s">
        <v>10754</v>
      </c>
      <c r="B2155" s="6" t="s">
        <v>5449</v>
      </c>
      <c r="C2155" s="10">
        <v>46064.0</v>
      </c>
      <c r="D2155" s="6" t="s">
        <v>312</v>
      </c>
      <c r="E2155" s="6" t="s">
        <v>1720</v>
      </c>
      <c r="F2155" s="6" t="s">
        <v>283</v>
      </c>
      <c r="G2155" s="6" t="s">
        <v>254</v>
      </c>
      <c r="H2155" s="10">
        <v>46070.0</v>
      </c>
      <c r="I2155" s="12">
        <v>6.0</v>
      </c>
      <c r="J2155" s="6" t="s">
        <v>161</v>
      </c>
    </row>
    <row r="2156" ht="22.5" customHeight="1">
      <c r="A2156" s="6" t="s">
        <v>10758</v>
      </c>
      <c r="B2156" s="6" t="s">
        <v>5449</v>
      </c>
      <c r="C2156" s="10">
        <v>46060.0</v>
      </c>
      <c r="D2156" s="6" t="s">
        <v>312</v>
      </c>
      <c r="E2156" s="6" t="s">
        <v>1741</v>
      </c>
      <c r="F2156" s="6" t="s">
        <v>283</v>
      </c>
      <c r="G2156" s="6" t="s">
        <v>458</v>
      </c>
      <c r="H2156" s="10">
        <v>46061.0</v>
      </c>
      <c r="I2156" s="12">
        <v>6.0</v>
      </c>
      <c r="J2156" s="6" t="s">
        <v>161</v>
      </c>
    </row>
    <row r="2157" ht="22.5" customHeight="1">
      <c r="A2157" s="6" t="s">
        <v>10766</v>
      </c>
      <c r="B2157" s="6" t="s">
        <v>5455</v>
      </c>
      <c r="C2157" s="10">
        <v>46064.0</v>
      </c>
      <c r="D2157" s="6" t="s">
        <v>242</v>
      </c>
      <c r="E2157" s="6" t="s">
        <v>955</v>
      </c>
      <c r="F2157" s="6" t="s">
        <v>249</v>
      </c>
      <c r="G2157" s="6" t="s">
        <v>452</v>
      </c>
      <c r="H2157" s="10">
        <v>46067.0</v>
      </c>
      <c r="I2157" s="12">
        <v>4.0</v>
      </c>
      <c r="J2157" s="6" t="s">
        <v>178</v>
      </c>
    </row>
    <row r="2158" ht="22.5" customHeight="1">
      <c r="A2158" s="6" t="s">
        <v>10772</v>
      </c>
      <c r="B2158" s="6" t="s">
        <v>5455</v>
      </c>
      <c r="C2158" s="10">
        <v>46070.0</v>
      </c>
      <c r="D2158" s="6" t="s">
        <v>312</v>
      </c>
      <c r="E2158" s="6" t="s">
        <v>885</v>
      </c>
      <c r="F2158" s="6" t="s">
        <v>439</v>
      </c>
      <c r="G2158" s="6" t="s">
        <v>494</v>
      </c>
      <c r="H2158" s="10">
        <v>46076.0</v>
      </c>
      <c r="I2158" s="12">
        <v>5.0</v>
      </c>
      <c r="J2158" s="6" t="s">
        <v>161</v>
      </c>
    </row>
    <row r="2159" ht="22.5" customHeight="1">
      <c r="A2159" s="6" t="s">
        <v>10777</v>
      </c>
      <c r="B2159" s="6" t="s">
        <v>5460</v>
      </c>
      <c r="C2159" s="10">
        <v>46065.0</v>
      </c>
      <c r="D2159" s="6" t="s">
        <v>416</v>
      </c>
      <c r="E2159" s="6" t="s">
        <v>1386</v>
      </c>
      <c r="F2159" s="6" t="s">
        <v>439</v>
      </c>
      <c r="G2159" s="6" t="s">
        <v>458</v>
      </c>
      <c r="H2159" s="10">
        <v>46068.0</v>
      </c>
      <c r="I2159" s="12">
        <v>8.0</v>
      </c>
      <c r="J2159" s="6" t="s">
        <v>161</v>
      </c>
    </row>
    <row r="2160" ht="22.5" customHeight="1">
      <c r="A2160" s="6" t="s">
        <v>10782</v>
      </c>
      <c r="B2160" s="6" t="s">
        <v>5467</v>
      </c>
      <c r="C2160" s="10">
        <v>46061.0</v>
      </c>
      <c r="D2160" s="6" t="s">
        <v>391</v>
      </c>
      <c r="E2160" s="6" t="s">
        <v>394</v>
      </c>
      <c r="F2160" s="6" t="s">
        <v>112</v>
      </c>
      <c r="G2160" s="6" t="s">
        <v>297</v>
      </c>
      <c r="H2160" s="10">
        <v>46068.0</v>
      </c>
      <c r="I2160" s="12">
        <v>6.0</v>
      </c>
      <c r="J2160" s="6" t="s">
        <v>161</v>
      </c>
    </row>
    <row r="2161" ht="22.5" customHeight="1">
      <c r="A2161" s="6" t="s">
        <v>10785</v>
      </c>
      <c r="B2161" s="6" t="s">
        <v>5467</v>
      </c>
      <c r="C2161" s="10">
        <v>46048.0</v>
      </c>
      <c r="D2161" s="6" t="s">
        <v>242</v>
      </c>
      <c r="E2161" s="6" t="s">
        <v>583</v>
      </c>
      <c r="F2161" s="6" t="s">
        <v>283</v>
      </c>
      <c r="G2161" s="6" t="s">
        <v>477</v>
      </c>
      <c r="H2161" s="10">
        <v>46051.0</v>
      </c>
      <c r="I2161" s="12">
        <v>5.0</v>
      </c>
      <c r="J2161" s="6" t="s">
        <v>178</v>
      </c>
    </row>
    <row r="2162" ht="22.5" customHeight="1">
      <c r="A2162" s="6" t="s">
        <v>10789</v>
      </c>
      <c r="B2162" s="6" t="s">
        <v>5474</v>
      </c>
      <c r="C2162" s="10">
        <v>46042.0</v>
      </c>
      <c r="D2162" s="6" t="s">
        <v>677</v>
      </c>
      <c r="E2162" s="6" t="s">
        <v>1149</v>
      </c>
      <c r="F2162" s="6" t="s">
        <v>249</v>
      </c>
      <c r="G2162" s="6" t="s">
        <v>458</v>
      </c>
      <c r="H2162" s="10">
        <v>46044.0</v>
      </c>
      <c r="I2162" s="12">
        <v>3.0</v>
      </c>
      <c r="J2162" s="6" t="s">
        <v>161</v>
      </c>
    </row>
    <row r="2163" ht="22.5" customHeight="1">
      <c r="A2163" s="6" t="s">
        <v>10792</v>
      </c>
      <c r="B2163" s="6" t="s">
        <v>5481</v>
      </c>
      <c r="C2163" s="10">
        <v>46049.0</v>
      </c>
      <c r="D2163" s="6" t="s">
        <v>289</v>
      </c>
      <c r="E2163" s="6" t="s">
        <v>1035</v>
      </c>
      <c r="F2163" s="6" t="s">
        <v>283</v>
      </c>
      <c r="G2163" s="6" t="s">
        <v>477</v>
      </c>
      <c r="H2163" s="11" t="s">
        <v>259</v>
      </c>
      <c r="I2163" s="12">
        <v>10.0</v>
      </c>
      <c r="J2163" s="6" t="s">
        <v>161</v>
      </c>
    </row>
    <row r="2164" ht="22.5" customHeight="1">
      <c r="A2164" s="6" t="s">
        <v>10798</v>
      </c>
      <c r="B2164" s="6" t="s">
        <v>5481</v>
      </c>
      <c r="C2164" s="10">
        <v>46035.0</v>
      </c>
      <c r="D2164" s="6" t="s">
        <v>312</v>
      </c>
      <c r="E2164" s="6" t="s">
        <v>365</v>
      </c>
      <c r="F2164" s="6" t="s">
        <v>112</v>
      </c>
      <c r="G2164" s="6" t="s">
        <v>494</v>
      </c>
      <c r="H2164" s="10">
        <v>46035.0</v>
      </c>
      <c r="I2164" s="12">
        <v>5.0</v>
      </c>
      <c r="J2164" s="6" t="s">
        <v>161</v>
      </c>
    </row>
    <row r="2165" ht="22.5" customHeight="1">
      <c r="A2165" s="6" t="s">
        <v>10803</v>
      </c>
      <c r="B2165" s="6" t="s">
        <v>5488</v>
      </c>
      <c r="C2165" s="10">
        <v>46056.0</v>
      </c>
      <c r="D2165" s="6" t="s">
        <v>416</v>
      </c>
      <c r="E2165" s="6" t="s">
        <v>704</v>
      </c>
      <c r="F2165" s="6" t="s">
        <v>283</v>
      </c>
      <c r="G2165" s="6" t="s">
        <v>452</v>
      </c>
      <c r="H2165" s="10">
        <v>46056.0</v>
      </c>
      <c r="I2165" s="12">
        <v>13.0</v>
      </c>
      <c r="J2165" s="6" t="s">
        <v>161</v>
      </c>
    </row>
    <row r="2166" ht="22.5" customHeight="1">
      <c r="A2166" s="6" t="s">
        <v>10808</v>
      </c>
      <c r="B2166" s="6" t="s">
        <v>5494</v>
      </c>
      <c r="C2166" s="10">
        <v>46066.0</v>
      </c>
      <c r="D2166" s="6" t="s">
        <v>436</v>
      </c>
      <c r="E2166" s="6" t="s">
        <v>320</v>
      </c>
      <c r="F2166" s="6" t="s">
        <v>112</v>
      </c>
      <c r="G2166" s="6" t="s">
        <v>297</v>
      </c>
      <c r="H2166" s="10">
        <v>46067.0</v>
      </c>
      <c r="I2166" s="12">
        <v>12.0</v>
      </c>
      <c r="J2166" s="6" t="s">
        <v>178</v>
      </c>
    </row>
    <row r="2167" ht="22.5" customHeight="1">
      <c r="A2167" s="6" t="s">
        <v>10812</v>
      </c>
      <c r="B2167" s="6" t="s">
        <v>5494</v>
      </c>
      <c r="C2167" s="10">
        <v>46058.0</v>
      </c>
      <c r="D2167" s="6" t="s">
        <v>289</v>
      </c>
      <c r="E2167" s="6" t="s">
        <v>365</v>
      </c>
      <c r="F2167" s="6" t="s">
        <v>249</v>
      </c>
      <c r="G2167" s="6" t="s">
        <v>452</v>
      </c>
      <c r="H2167" s="11" t="s">
        <v>259</v>
      </c>
      <c r="I2167" s="12">
        <v>10.0</v>
      </c>
      <c r="J2167" s="6" t="s">
        <v>161</v>
      </c>
    </row>
    <row r="2168" ht="22.5" customHeight="1">
      <c r="A2168" s="6" t="s">
        <v>10816</v>
      </c>
      <c r="B2168" s="6" t="s">
        <v>5494</v>
      </c>
      <c r="C2168" s="10">
        <v>46078.0</v>
      </c>
      <c r="D2168" s="6" t="s">
        <v>391</v>
      </c>
      <c r="E2168" s="6" t="s">
        <v>2365</v>
      </c>
      <c r="F2168" s="6" t="s">
        <v>112</v>
      </c>
      <c r="G2168" s="6" t="s">
        <v>297</v>
      </c>
      <c r="H2168" s="10">
        <v>46078.0</v>
      </c>
      <c r="I2168" s="12">
        <v>11.0</v>
      </c>
      <c r="J2168" s="6" t="s">
        <v>161</v>
      </c>
    </row>
    <row r="2169" ht="22.5" customHeight="1">
      <c r="A2169" s="6" t="s">
        <v>10821</v>
      </c>
      <c r="B2169" s="6" t="s">
        <v>5494</v>
      </c>
      <c r="C2169" s="10">
        <v>46068.0</v>
      </c>
      <c r="D2169" s="6" t="s">
        <v>416</v>
      </c>
      <c r="E2169" s="6" t="s">
        <v>1055</v>
      </c>
      <c r="F2169" s="6" t="s">
        <v>249</v>
      </c>
      <c r="G2169" s="6" t="s">
        <v>254</v>
      </c>
      <c r="H2169" s="10">
        <v>46071.0</v>
      </c>
      <c r="I2169" s="12">
        <v>10.0</v>
      </c>
      <c r="J2169" s="6" t="s">
        <v>161</v>
      </c>
    </row>
    <row r="2170" ht="22.5" customHeight="1">
      <c r="A2170" s="6" t="s">
        <v>10824</v>
      </c>
      <c r="B2170" s="6" t="s">
        <v>5501</v>
      </c>
      <c r="C2170" s="10">
        <v>46063.0</v>
      </c>
      <c r="D2170" s="6" t="s">
        <v>416</v>
      </c>
      <c r="E2170" s="6" t="s">
        <v>716</v>
      </c>
      <c r="F2170" s="6" t="s">
        <v>112</v>
      </c>
      <c r="G2170" s="6" t="s">
        <v>254</v>
      </c>
      <c r="H2170" s="10">
        <v>46069.0</v>
      </c>
      <c r="I2170" s="12">
        <v>10.0</v>
      </c>
      <c r="J2170" s="6" t="s">
        <v>161</v>
      </c>
    </row>
    <row r="2171" ht="22.5" customHeight="1">
      <c r="A2171" s="6" t="s">
        <v>10828</v>
      </c>
      <c r="B2171" s="6" t="s">
        <v>5509</v>
      </c>
      <c r="C2171" s="10">
        <v>46036.0</v>
      </c>
      <c r="D2171" s="6" t="s">
        <v>391</v>
      </c>
      <c r="E2171" s="6" t="s">
        <v>775</v>
      </c>
      <c r="F2171" s="6" t="s">
        <v>112</v>
      </c>
      <c r="G2171" s="6" t="s">
        <v>369</v>
      </c>
      <c r="H2171" s="10">
        <v>46041.0</v>
      </c>
      <c r="I2171" s="12">
        <v>7.0</v>
      </c>
      <c r="J2171" s="6" t="s">
        <v>161</v>
      </c>
    </row>
    <row r="2172" ht="22.5" customHeight="1">
      <c r="A2172" s="6" t="s">
        <v>10833</v>
      </c>
      <c r="B2172" s="6" t="s">
        <v>5517</v>
      </c>
      <c r="C2172" s="10">
        <v>46054.0</v>
      </c>
      <c r="D2172" s="6" t="s">
        <v>391</v>
      </c>
      <c r="E2172" s="6" t="s">
        <v>1741</v>
      </c>
      <c r="F2172" s="6" t="s">
        <v>112</v>
      </c>
      <c r="G2172" s="6" t="s">
        <v>297</v>
      </c>
      <c r="H2172" s="10">
        <v>46057.0</v>
      </c>
      <c r="I2172" s="12">
        <v>10.0</v>
      </c>
      <c r="J2172" s="6" t="s">
        <v>161</v>
      </c>
    </row>
    <row r="2173" ht="22.5" customHeight="1">
      <c r="A2173" s="6" t="s">
        <v>10836</v>
      </c>
      <c r="B2173" s="6" t="s">
        <v>5517</v>
      </c>
      <c r="C2173" s="10">
        <v>46069.0</v>
      </c>
      <c r="D2173" s="6" t="s">
        <v>391</v>
      </c>
      <c r="E2173" s="6" t="s">
        <v>512</v>
      </c>
      <c r="F2173" s="6" t="s">
        <v>249</v>
      </c>
      <c r="G2173" s="6" t="s">
        <v>494</v>
      </c>
      <c r="H2173" s="10">
        <v>46074.0</v>
      </c>
      <c r="I2173" s="12">
        <v>8.0</v>
      </c>
      <c r="J2173" s="6" t="s">
        <v>161</v>
      </c>
    </row>
    <row r="2174" ht="22.5" customHeight="1">
      <c r="A2174" s="6" t="s">
        <v>10840</v>
      </c>
      <c r="B2174" s="6" t="s">
        <v>5517</v>
      </c>
      <c r="C2174" s="10">
        <v>46067.0</v>
      </c>
      <c r="D2174" s="6" t="s">
        <v>391</v>
      </c>
      <c r="E2174" s="6" t="s">
        <v>610</v>
      </c>
      <c r="F2174" s="6" t="s">
        <v>439</v>
      </c>
      <c r="G2174" s="6" t="s">
        <v>458</v>
      </c>
      <c r="H2174" s="11" t="s">
        <v>259</v>
      </c>
      <c r="I2174" s="12">
        <v>11.0</v>
      </c>
      <c r="J2174" s="6" t="s">
        <v>161</v>
      </c>
    </row>
    <row r="2175" ht="22.5" customHeight="1">
      <c r="A2175" s="6" t="s">
        <v>10845</v>
      </c>
      <c r="B2175" s="6" t="s">
        <v>5517</v>
      </c>
      <c r="C2175" s="10">
        <v>46069.0</v>
      </c>
      <c r="D2175" s="6" t="s">
        <v>242</v>
      </c>
      <c r="E2175" s="6" t="s">
        <v>291</v>
      </c>
      <c r="F2175" s="6" t="s">
        <v>112</v>
      </c>
      <c r="G2175" s="6" t="s">
        <v>369</v>
      </c>
      <c r="H2175" s="10">
        <v>46075.0</v>
      </c>
      <c r="I2175" s="12">
        <v>6.0</v>
      </c>
      <c r="J2175" s="6" t="s">
        <v>161</v>
      </c>
    </row>
    <row r="2176" ht="22.5" customHeight="1">
      <c r="A2176" s="6" t="s">
        <v>10849</v>
      </c>
      <c r="B2176" s="6" t="s">
        <v>5517</v>
      </c>
      <c r="C2176" s="10">
        <v>46060.0</v>
      </c>
      <c r="D2176" s="6" t="s">
        <v>416</v>
      </c>
      <c r="E2176" s="6" t="s">
        <v>628</v>
      </c>
      <c r="F2176" s="6" t="s">
        <v>439</v>
      </c>
      <c r="G2176" s="6" t="s">
        <v>452</v>
      </c>
      <c r="H2176" s="10">
        <v>46061.0</v>
      </c>
      <c r="I2176" s="12">
        <v>12.0</v>
      </c>
      <c r="J2176" s="6" t="s">
        <v>161</v>
      </c>
    </row>
    <row r="2177" ht="22.5" customHeight="1">
      <c r="A2177" s="6" t="s">
        <v>10856</v>
      </c>
      <c r="B2177" s="6" t="s">
        <v>5524</v>
      </c>
      <c r="C2177" s="10">
        <v>46053.0</v>
      </c>
      <c r="D2177" s="6" t="s">
        <v>416</v>
      </c>
      <c r="E2177" s="6" t="s">
        <v>658</v>
      </c>
      <c r="F2177" s="6" t="s">
        <v>283</v>
      </c>
      <c r="G2177" s="6" t="s">
        <v>458</v>
      </c>
      <c r="H2177" s="10">
        <v>46053.0</v>
      </c>
      <c r="I2177" s="12">
        <v>10.0</v>
      </c>
      <c r="J2177" s="6" t="s">
        <v>161</v>
      </c>
    </row>
    <row r="2178" ht="22.5" customHeight="1">
      <c r="A2178" s="6" t="s">
        <v>10859</v>
      </c>
      <c r="B2178" s="6" t="s">
        <v>5524</v>
      </c>
      <c r="C2178" s="10">
        <v>46058.0</v>
      </c>
      <c r="D2178" s="6" t="s">
        <v>312</v>
      </c>
      <c r="E2178" s="6" t="s">
        <v>394</v>
      </c>
      <c r="F2178" s="6" t="s">
        <v>283</v>
      </c>
      <c r="G2178" s="6" t="s">
        <v>477</v>
      </c>
      <c r="H2178" s="10">
        <v>46064.0</v>
      </c>
      <c r="I2178" s="12">
        <v>4.0</v>
      </c>
      <c r="J2178" s="6" t="s">
        <v>161</v>
      </c>
    </row>
    <row r="2179" ht="22.5" customHeight="1">
      <c r="A2179" s="6" t="s">
        <v>10862</v>
      </c>
      <c r="B2179" s="6" t="s">
        <v>5524</v>
      </c>
      <c r="C2179" s="10">
        <v>46053.0</v>
      </c>
      <c r="D2179" s="6" t="s">
        <v>677</v>
      </c>
      <c r="E2179" s="6" t="s">
        <v>687</v>
      </c>
      <c r="F2179" s="6" t="s">
        <v>249</v>
      </c>
      <c r="G2179" s="6" t="s">
        <v>254</v>
      </c>
      <c r="H2179" s="10">
        <v>46057.0</v>
      </c>
      <c r="I2179" s="12">
        <v>4.0</v>
      </c>
      <c r="J2179" s="6" t="s">
        <v>161</v>
      </c>
    </row>
    <row r="2180" ht="22.5" customHeight="1">
      <c r="A2180" s="6" t="s">
        <v>10867</v>
      </c>
      <c r="B2180" s="6" t="s">
        <v>5531</v>
      </c>
      <c r="C2180" s="10">
        <v>46059.0</v>
      </c>
      <c r="D2180" s="6" t="s">
        <v>312</v>
      </c>
      <c r="E2180" s="6" t="s">
        <v>2365</v>
      </c>
      <c r="F2180" s="6" t="s">
        <v>249</v>
      </c>
      <c r="G2180" s="6" t="s">
        <v>254</v>
      </c>
      <c r="H2180" s="10">
        <v>46064.0</v>
      </c>
      <c r="I2180" s="12">
        <v>5.0</v>
      </c>
      <c r="J2180" s="6" t="s">
        <v>161</v>
      </c>
    </row>
    <row r="2181" ht="22.5" customHeight="1">
      <c r="A2181" s="6" t="s">
        <v>10872</v>
      </c>
      <c r="B2181" s="6" t="s">
        <v>5531</v>
      </c>
      <c r="C2181" s="10">
        <v>46068.0</v>
      </c>
      <c r="D2181" s="6" t="s">
        <v>416</v>
      </c>
      <c r="E2181" s="6" t="s">
        <v>885</v>
      </c>
      <c r="F2181" s="6" t="s">
        <v>283</v>
      </c>
      <c r="G2181" s="6" t="s">
        <v>254</v>
      </c>
      <c r="H2181" s="11" t="s">
        <v>259</v>
      </c>
      <c r="I2181" s="12">
        <v>10.0</v>
      </c>
      <c r="J2181" s="6" t="s">
        <v>161</v>
      </c>
    </row>
    <row r="2182" ht="22.5" customHeight="1">
      <c r="A2182" s="6" t="s">
        <v>10878</v>
      </c>
      <c r="B2182" s="6" t="s">
        <v>5539</v>
      </c>
      <c r="C2182" s="10">
        <v>46070.0</v>
      </c>
      <c r="D2182" s="6" t="s">
        <v>242</v>
      </c>
      <c r="E2182" s="6" t="s">
        <v>955</v>
      </c>
      <c r="F2182" s="6" t="s">
        <v>249</v>
      </c>
      <c r="G2182" s="6" t="s">
        <v>254</v>
      </c>
      <c r="H2182" s="11" t="s">
        <v>259</v>
      </c>
      <c r="I2182" s="12">
        <v>4.0</v>
      </c>
      <c r="J2182" s="6" t="s">
        <v>161</v>
      </c>
    </row>
    <row r="2183" ht="22.5" customHeight="1">
      <c r="A2183" s="6" t="s">
        <v>10883</v>
      </c>
      <c r="B2183" s="6" t="s">
        <v>5546</v>
      </c>
      <c r="C2183" s="10">
        <v>46047.0</v>
      </c>
      <c r="D2183" s="6" t="s">
        <v>242</v>
      </c>
      <c r="E2183" s="6" t="s">
        <v>670</v>
      </c>
      <c r="F2183" s="6" t="s">
        <v>283</v>
      </c>
      <c r="G2183" s="6" t="s">
        <v>326</v>
      </c>
      <c r="H2183" s="10">
        <v>46051.0</v>
      </c>
      <c r="I2183" s="12">
        <v>3.0</v>
      </c>
      <c r="J2183" s="6" t="s">
        <v>161</v>
      </c>
    </row>
    <row r="2184" ht="22.5" customHeight="1">
      <c r="A2184" s="6" t="s">
        <v>10886</v>
      </c>
      <c r="B2184" s="6" t="s">
        <v>5546</v>
      </c>
      <c r="C2184" s="10">
        <v>46037.0</v>
      </c>
      <c r="D2184" s="6" t="s">
        <v>677</v>
      </c>
      <c r="E2184" s="6" t="s">
        <v>658</v>
      </c>
      <c r="F2184" s="6" t="s">
        <v>249</v>
      </c>
      <c r="G2184" s="6" t="s">
        <v>458</v>
      </c>
      <c r="H2184" s="10">
        <v>46044.0</v>
      </c>
      <c r="I2184" s="12">
        <v>4.0</v>
      </c>
      <c r="J2184" s="6" t="s">
        <v>161</v>
      </c>
    </row>
    <row r="2185" ht="22.5" customHeight="1">
      <c r="A2185" s="6" t="s">
        <v>10890</v>
      </c>
      <c r="B2185" s="6" t="s">
        <v>5553</v>
      </c>
      <c r="C2185" s="10">
        <v>46043.0</v>
      </c>
      <c r="D2185" s="6" t="s">
        <v>677</v>
      </c>
      <c r="E2185" s="6" t="s">
        <v>1122</v>
      </c>
      <c r="F2185" s="6" t="s">
        <v>283</v>
      </c>
      <c r="G2185" s="6" t="s">
        <v>326</v>
      </c>
      <c r="H2185" s="10">
        <v>46043.0</v>
      </c>
      <c r="I2185" s="12">
        <v>2.0</v>
      </c>
      <c r="J2185" s="6" t="s">
        <v>161</v>
      </c>
    </row>
    <row r="2186" ht="22.5" customHeight="1">
      <c r="A2186" s="6" t="s">
        <v>10894</v>
      </c>
      <c r="B2186" s="6" t="s">
        <v>5553</v>
      </c>
      <c r="C2186" s="10">
        <v>46040.0</v>
      </c>
      <c r="D2186" s="6" t="s">
        <v>677</v>
      </c>
      <c r="E2186" s="6" t="s">
        <v>1600</v>
      </c>
      <c r="F2186" s="6" t="s">
        <v>249</v>
      </c>
      <c r="G2186" s="6" t="s">
        <v>369</v>
      </c>
      <c r="H2186" s="10">
        <v>46043.0</v>
      </c>
      <c r="I2186" s="12">
        <v>2.0</v>
      </c>
      <c r="J2186" s="6" t="s">
        <v>161</v>
      </c>
    </row>
    <row r="2187" ht="22.5" customHeight="1">
      <c r="A2187" s="6" t="s">
        <v>10899</v>
      </c>
      <c r="B2187" s="6" t="s">
        <v>5553</v>
      </c>
      <c r="C2187" s="10">
        <v>46029.0</v>
      </c>
      <c r="D2187" s="6" t="s">
        <v>436</v>
      </c>
      <c r="E2187" s="6" t="s">
        <v>787</v>
      </c>
      <c r="F2187" s="6" t="s">
        <v>283</v>
      </c>
      <c r="G2187" s="6" t="s">
        <v>326</v>
      </c>
      <c r="H2187" s="10">
        <v>46030.0</v>
      </c>
      <c r="I2187" s="12">
        <v>9.0</v>
      </c>
      <c r="J2187" s="6" t="s">
        <v>161</v>
      </c>
    </row>
    <row r="2188" ht="22.5" customHeight="1">
      <c r="A2188" s="6" t="s">
        <v>10903</v>
      </c>
      <c r="B2188" s="6" t="s">
        <v>5553</v>
      </c>
      <c r="C2188" s="10">
        <v>46033.0</v>
      </c>
      <c r="D2188" s="6" t="s">
        <v>391</v>
      </c>
      <c r="E2188" s="6" t="s">
        <v>738</v>
      </c>
      <c r="F2188" s="6" t="s">
        <v>249</v>
      </c>
      <c r="G2188" s="6" t="s">
        <v>254</v>
      </c>
      <c r="H2188" s="11" t="s">
        <v>259</v>
      </c>
      <c r="I2188" s="12">
        <v>7.0</v>
      </c>
      <c r="J2188" s="6" t="s">
        <v>161</v>
      </c>
    </row>
    <row r="2189" ht="22.5" customHeight="1">
      <c r="A2189" s="6" t="s">
        <v>10909</v>
      </c>
      <c r="B2189" s="6" t="s">
        <v>5553</v>
      </c>
      <c r="C2189" s="10">
        <v>46033.0</v>
      </c>
      <c r="D2189" s="6" t="s">
        <v>391</v>
      </c>
      <c r="E2189" s="6" t="s">
        <v>566</v>
      </c>
      <c r="F2189" s="6" t="s">
        <v>249</v>
      </c>
      <c r="G2189" s="6" t="s">
        <v>494</v>
      </c>
      <c r="H2189" s="10">
        <v>46039.0</v>
      </c>
      <c r="I2189" s="12">
        <v>9.0</v>
      </c>
      <c r="J2189" s="6" t="s">
        <v>161</v>
      </c>
    </row>
    <row r="2190" ht="22.5" customHeight="1">
      <c r="A2190" s="6" t="s">
        <v>10912</v>
      </c>
      <c r="B2190" s="6" t="s">
        <v>5559</v>
      </c>
      <c r="C2190" s="10">
        <v>46051.0</v>
      </c>
      <c r="D2190" s="6" t="s">
        <v>677</v>
      </c>
      <c r="E2190" s="6" t="s">
        <v>1700</v>
      </c>
      <c r="F2190" s="6" t="s">
        <v>249</v>
      </c>
      <c r="G2190" s="6" t="s">
        <v>297</v>
      </c>
      <c r="H2190" s="10">
        <v>46057.0</v>
      </c>
      <c r="I2190" s="12">
        <v>4.0</v>
      </c>
      <c r="J2190" s="6" t="s">
        <v>161</v>
      </c>
    </row>
    <row r="2191" ht="22.5" customHeight="1">
      <c r="A2191" s="6" t="s">
        <v>10917</v>
      </c>
      <c r="B2191" s="6" t="s">
        <v>5565</v>
      </c>
      <c r="C2191" s="10">
        <v>46058.0</v>
      </c>
      <c r="D2191" s="6" t="s">
        <v>436</v>
      </c>
      <c r="E2191" s="6" t="s">
        <v>438</v>
      </c>
      <c r="F2191" s="6" t="s">
        <v>283</v>
      </c>
      <c r="G2191" s="6" t="s">
        <v>477</v>
      </c>
      <c r="H2191" s="10">
        <v>46060.0</v>
      </c>
      <c r="I2191" s="12">
        <v>6.0</v>
      </c>
      <c r="J2191" s="6" t="s">
        <v>178</v>
      </c>
    </row>
    <row r="2192" ht="22.5" customHeight="1">
      <c r="A2192" s="6" t="s">
        <v>10922</v>
      </c>
      <c r="B2192" s="6" t="s">
        <v>5565</v>
      </c>
      <c r="C2192" s="10">
        <v>46047.0</v>
      </c>
      <c r="D2192" s="6" t="s">
        <v>436</v>
      </c>
      <c r="E2192" s="6" t="s">
        <v>955</v>
      </c>
      <c r="F2192" s="6" t="s">
        <v>112</v>
      </c>
      <c r="G2192" s="6" t="s">
        <v>458</v>
      </c>
      <c r="H2192" s="10">
        <v>46053.0</v>
      </c>
      <c r="I2192" s="12">
        <v>6.0</v>
      </c>
      <c r="J2192" s="6" t="s">
        <v>178</v>
      </c>
    </row>
    <row r="2193" ht="22.5" customHeight="1">
      <c r="A2193" s="6" t="s">
        <v>10926</v>
      </c>
      <c r="B2193" s="6" t="s">
        <v>5565</v>
      </c>
      <c r="C2193" s="10">
        <v>46044.0</v>
      </c>
      <c r="D2193" s="6" t="s">
        <v>436</v>
      </c>
      <c r="E2193" s="6" t="s">
        <v>1122</v>
      </c>
      <c r="F2193" s="6" t="s">
        <v>112</v>
      </c>
      <c r="G2193" s="6" t="s">
        <v>452</v>
      </c>
      <c r="H2193" s="10">
        <v>46050.0</v>
      </c>
      <c r="I2193" s="12">
        <v>11.0</v>
      </c>
      <c r="J2193" s="6" t="s">
        <v>178</v>
      </c>
    </row>
    <row r="2194" ht="22.5" customHeight="1">
      <c r="A2194" s="6" t="s">
        <v>10929</v>
      </c>
      <c r="B2194" s="6" t="s">
        <v>5565</v>
      </c>
      <c r="C2194" s="10">
        <v>46058.0</v>
      </c>
      <c r="D2194" s="6" t="s">
        <v>312</v>
      </c>
      <c r="E2194" s="6" t="s">
        <v>438</v>
      </c>
      <c r="F2194" s="6" t="s">
        <v>112</v>
      </c>
      <c r="G2194" s="6" t="s">
        <v>494</v>
      </c>
      <c r="H2194" s="11" t="s">
        <v>259</v>
      </c>
      <c r="I2194" s="12">
        <v>7.0</v>
      </c>
      <c r="J2194" s="6" t="s">
        <v>161</v>
      </c>
    </row>
    <row r="2195" ht="22.5" customHeight="1">
      <c r="A2195" s="6" t="s">
        <v>10934</v>
      </c>
      <c r="B2195" s="6" t="s">
        <v>5565</v>
      </c>
      <c r="C2195" s="10">
        <v>46055.0</v>
      </c>
      <c r="D2195" s="6" t="s">
        <v>677</v>
      </c>
      <c r="E2195" s="6" t="s">
        <v>1070</v>
      </c>
      <c r="F2195" s="6" t="s">
        <v>283</v>
      </c>
      <c r="G2195" s="6" t="s">
        <v>369</v>
      </c>
      <c r="H2195" s="10">
        <v>46059.0</v>
      </c>
      <c r="I2195" s="12">
        <v>2.0</v>
      </c>
      <c r="J2195" s="6" t="s">
        <v>161</v>
      </c>
    </row>
    <row r="2196" ht="22.5" customHeight="1">
      <c r="A2196" s="6" t="s">
        <v>10937</v>
      </c>
      <c r="B2196" s="6" t="s">
        <v>5573</v>
      </c>
      <c r="C2196" s="10">
        <v>46053.0</v>
      </c>
      <c r="D2196" s="6" t="s">
        <v>436</v>
      </c>
      <c r="E2196" s="6" t="s">
        <v>634</v>
      </c>
      <c r="F2196" s="6" t="s">
        <v>112</v>
      </c>
      <c r="G2196" s="6" t="s">
        <v>369</v>
      </c>
      <c r="H2196" s="10">
        <v>46055.0</v>
      </c>
      <c r="I2196" s="12">
        <v>10.0</v>
      </c>
      <c r="J2196" s="6" t="s">
        <v>161</v>
      </c>
    </row>
    <row r="2197" ht="22.5" customHeight="1">
      <c r="A2197" s="6" t="s">
        <v>10942</v>
      </c>
      <c r="B2197" s="6" t="s">
        <v>5573</v>
      </c>
      <c r="C2197" s="10">
        <v>46052.0</v>
      </c>
      <c r="D2197" s="6" t="s">
        <v>391</v>
      </c>
      <c r="E2197" s="6" t="s">
        <v>1517</v>
      </c>
      <c r="F2197" s="6" t="s">
        <v>249</v>
      </c>
      <c r="G2197" s="6" t="s">
        <v>477</v>
      </c>
      <c r="H2197" s="11" t="s">
        <v>259</v>
      </c>
      <c r="I2197" s="12">
        <v>9.0</v>
      </c>
      <c r="J2197" s="6" t="s">
        <v>161</v>
      </c>
    </row>
    <row r="2198" ht="22.5" customHeight="1">
      <c r="A2198" s="6" t="s">
        <v>10947</v>
      </c>
      <c r="B2198" s="6" t="s">
        <v>5573</v>
      </c>
      <c r="C2198" s="10">
        <v>46049.0</v>
      </c>
      <c r="D2198" s="6" t="s">
        <v>289</v>
      </c>
      <c r="E2198" s="6" t="s">
        <v>1310</v>
      </c>
      <c r="F2198" s="6" t="s">
        <v>283</v>
      </c>
      <c r="G2198" s="6" t="s">
        <v>369</v>
      </c>
      <c r="H2198" s="10">
        <v>46053.0</v>
      </c>
      <c r="I2198" s="12">
        <v>6.0</v>
      </c>
      <c r="J2198" s="6" t="s">
        <v>161</v>
      </c>
    </row>
    <row r="2199" ht="22.5" customHeight="1">
      <c r="A2199" s="6" t="s">
        <v>10950</v>
      </c>
      <c r="B2199" s="6" t="s">
        <v>5573</v>
      </c>
      <c r="C2199" s="10">
        <v>46053.0</v>
      </c>
      <c r="D2199" s="6" t="s">
        <v>242</v>
      </c>
      <c r="E2199" s="6" t="s">
        <v>1626</v>
      </c>
      <c r="F2199" s="6" t="s">
        <v>249</v>
      </c>
      <c r="G2199" s="6" t="s">
        <v>326</v>
      </c>
      <c r="H2199" s="10">
        <v>46053.0</v>
      </c>
      <c r="I2199" s="12">
        <v>5.0</v>
      </c>
      <c r="J2199" s="6" t="s">
        <v>178</v>
      </c>
    </row>
    <row r="2200" ht="22.5" customHeight="1">
      <c r="A2200" s="6" t="s">
        <v>10955</v>
      </c>
      <c r="B2200" s="6" t="s">
        <v>5573</v>
      </c>
      <c r="C2200" s="10">
        <v>46041.0</v>
      </c>
      <c r="D2200" s="6" t="s">
        <v>312</v>
      </c>
      <c r="E2200" s="6" t="s">
        <v>1310</v>
      </c>
      <c r="F2200" s="6" t="s">
        <v>283</v>
      </c>
      <c r="G2200" s="6" t="s">
        <v>297</v>
      </c>
      <c r="H2200" s="10">
        <v>46041.0</v>
      </c>
      <c r="I2200" s="12">
        <v>5.0</v>
      </c>
      <c r="J2200" s="6" t="s">
        <v>161</v>
      </c>
    </row>
    <row r="2201" ht="22.5" customHeight="1">
      <c r="A2201" s="6" t="s">
        <v>10960</v>
      </c>
      <c r="B2201" s="6" t="s">
        <v>5579</v>
      </c>
      <c r="C2201" s="10">
        <v>46053.0</v>
      </c>
      <c r="D2201" s="6" t="s">
        <v>242</v>
      </c>
      <c r="E2201" s="6" t="s">
        <v>833</v>
      </c>
      <c r="F2201" s="6" t="s">
        <v>283</v>
      </c>
      <c r="G2201" s="6" t="s">
        <v>477</v>
      </c>
      <c r="H2201" s="10">
        <v>46060.0</v>
      </c>
      <c r="I2201" s="12">
        <v>3.0</v>
      </c>
      <c r="J2201" s="6" t="s">
        <v>178</v>
      </c>
    </row>
    <row r="2202" ht="22.5" customHeight="1">
      <c r="A2202" s="6" t="s">
        <v>10962</v>
      </c>
      <c r="B2202" s="6" t="s">
        <v>5579</v>
      </c>
      <c r="C2202" s="10">
        <v>46059.0</v>
      </c>
      <c r="D2202" s="6" t="s">
        <v>242</v>
      </c>
      <c r="E2202" s="6" t="s">
        <v>1386</v>
      </c>
      <c r="F2202" s="6" t="s">
        <v>439</v>
      </c>
      <c r="G2202" s="6" t="s">
        <v>297</v>
      </c>
      <c r="H2202" s="11" t="s">
        <v>259</v>
      </c>
      <c r="I2202" s="12">
        <v>3.0</v>
      </c>
      <c r="J2202" s="6" t="s">
        <v>178</v>
      </c>
    </row>
    <row r="2203" ht="22.5" customHeight="1">
      <c r="A2203" s="6" t="s">
        <v>10967</v>
      </c>
      <c r="B2203" s="6" t="s">
        <v>5585</v>
      </c>
      <c r="C2203" s="10">
        <v>46048.0</v>
      </c>
      <c r="D2203" s="6" t="s">
        <v>436</v>
      </c>
      <c r="E2203" s="6" t="s">
        <v>833</v>
      </c>
      <c r="F2203" s="6" t="s">
        <v>439</v>
      </c>
      <c r="G2203" s="6" t="s">
        <v>494</v>
      </c>
      <c r="H2203" s="10">
        <v>46055.0</v>
      </c>
      <c r="I2203" s="12">
        <v>8.0</v>
      </c>
      <c r="J2203" s="6" t="s">
        <v>178</v>
      </c>
    </row>
    <row r="2204" ht="22.5" customHeight="1">
      <c r="A2204" s="6" t="s">
        <v>10973</v>
      </c>
      <c r="B2204" s="6" t="s">
        <v>5591</v>
      </c>
      <c r="C2204" s="10">
        <v>46077.0</v>
      </c>
      <c r="D2204" s="6" t="s">
        <v>289</v>
      </c>
      <c r="E2204" s="6" t="s">
        <v>365</v>
      </c>
      <c r="F2204" s="6" t="s">
        <v>283</v>
      </c>
      <c r="G2204" s="6" t="s">
        <v>297</v>
      </c>
      <c r="H2204" s="10">
        <v>46083.0</v>
      </c>
      <c r="I2204" s="12">
        <v>6.0</v>
      </c>
      <c r="J2204" s="6" t="s">
        <v>161</v>
      </c>
    </row>
    <row r="2205" ht="22.5" customHeight="1">
      <c r="A2205" s="6" t="s">
        <v>10978</v>
      </c>
      <c r="B2205" s="6" t="s">
        <v>5597</v>
      </c>
      <c r="C2205" s="10">
        <v>46044.0</v>
      </c>
      <c r="D2205" s="6" t="s">
        <v>391</v>
      </c>
      <c r="E2205" s="6" t="s">
        <v>2365</v>
      </c>
      <c r="F2205" s="6" t="s">
        <v>249</v>
      </c>
      <c r="G2205" s="6" t="s">
        <v>326</v>
      </c>
      <c r="H2205" s="11" t="s">
        <v>259</v>
      </c>
      <c r="I2205" s="12">
        <v>6.0</v>
      </c>
      <c r="J2205" s="6" t="s">
        <v>161</v>
      </c>
    </row>
    <row r="2206" ht="22.5" customHeight="1">
      <c r="A2206" s="6" t="s">
        <v>10982</v>
      </c>
      <c r="B2206" s="6" t="s">
        <v>5603</v>
      </c>
      <c r="C2206" s="10">
        <v>46068.0</v>
      </c>
      <c r="D2206" s="6" t="s">
        <v>289</v>
      </c>
      <c r="E2206" s="6" t="s">
        <v>1149</v>
      </c>
      <c r="F2206" s="6" t="s">
        <v>439</v>
      </c>
      <c r="G2206" s="6" t="s">
        <v>297</v>
      </c>
      <c r="H2206" s="10">
        <v>46073.0</v>
      </c>
      <c r="I2206" s="12">
        <v>5.0</v>
      </c>
      <c r="J2206" s="6" t="s">
        <v>161</v>
      </c>
    </row>
    <row r="2207" ht="22.5" customHeight="1">
      <c r="A2207" s="6" t="s">
        <v>10986</v>
      </c>
      <c r="B2207" s="6" t="s">
        <v>5603</v>
      </c>
      <c r="C2207" s="10">
        <v>46060.0</v>
      </c>
      <c r="D2207" s="6" t="s">
        <v>436</v>
      </c>
      <c r="E2207" s="6" t="s">
        <v>634</v>
      </c>
      <c r="F2207" s="6" t="s">
        <v>439</v>
      </c>
      <c r="G2207" s="6" t="s">
        <v>458</v>
      </c>
      <c r="H2207" s="10">
        <v>46062.0</v>
      </c>
      <c r="I2207" s="12">
        <v>12.0</v>
      </c>
      <c r="J2207" s="6" t="s">
        <v>178</v>
      </c>
    </row>
    <row r="2208" ht="22.5" customHeight="1">
      <c r="A2208" s="6" t="s">
        <v>10992</v>
      </c>
      <c r="B2208" s="6" t="s">
        <v>5603</v>
      </c>
      <c r="C2208" s="10">
        <v>46067.0</v>
      </c>
      <c r="D2208" s="6" t="s">
        <v>436</v>
      </c>
      <c r="E2208" s="6" t="s">
        <v>394</v>
      </c>
      <c r="F2208" s="6" t="s">
        <v>249</v>
      </c>
      <c r="G2208" s="6" t="s">
        <v>458</v>
      </c>
      <c r="H2208" s="10">
        <v>46068.0</v>
      </c>
      <c r="I2208" s="12">
        <v>6.0</v>
      </c>
      <c r="J2208" s="6" t="s">
        <v>178</v>
      </c>
    </row>
    <row r="2209" ht="22.5" customHeight="1">
      <c r="A2209" s="6" t="s">
        <v>10993</v>
      </c>
      <c r="B2209" s="6" t="s">
        <v>5603</v>
      </c>
      <c r="C2209" s="10">
        <v>46068.0</v>
      </c>
      <c r="D2209" s="6" t="s">
        <v>391</v>
      </c>
      <c r="E2209" s="6" t="s">
        <v>833</v>
      </c>
      <c r="F2209" s="6" t="s">
        <v>439</v>
      </c>
      <c r="G2209" s="6" t="s">
        <v>369</v>
      </c>
      <c r="H2209" s="10">
        <v>46073.0</v>
      </c>
      <c r="I2209" s="12">
        <v>9.0</v>
      </c>
      <c r="J2209" s="6" t="s">
        <v>161</v>
      </c>
    </row>
    <row r="2210" ht="22.5" customHeight="1">
      <c r="A2210" s="6" t="s">
        <v>10998</v>
      </c>
      <c r="B2210" s="6" t="s">
        <v>5609</v>
      </c>
      <c r="C2210" s="10">
        <v>46067.0</v>
      </c>
      <c r="D2210" s="6" t="s">
        <v>242</v>
      </c>
      <c r="E2210" s="6" t="s">
        <v>566</v>
      </c>
      <c r="F2210" s="6" t="s">
        <v>249</v>
      </c>
      <c r="G2210" s="6" t="s">
        <v>458</v>
      </c>
      <c r="H2210" s="10">
        <v>46074.0</v>
      </c>
      <c r="I2210" s="12">
        <v>5.0</v>
      </c>
      <c r="J2210" s="6" t="s">
        <v>178</v>
      </c>
    </row>
    <row r="2211" ht="22.5" customHeight="1">
      <c r="A2211" s="6" t="s">
        <v>11002</v>
      </c>
      <c r="B2211" s="6" t="s">
        <v>5615</v>
      </c>
      <c r="C2211" s="10">
        <v>46048.0</v>
      </c>
      <c r="D2211" s="6" t="s">
        <v>312</v>
      </c>
      <c r="E2211" s="6" t="s">
        <v>1741</v>
      </c>
      <c r="F2211" s="6" t="s">
        <v>439</v>
      </c>
      <c r="G2211" s="6" t="s">
        <v>297</v>
      </c>
      <c r="H2211" s="10">
        <v>46054.0</v>
      </c>
      <c r="I2211" s="12">
        <v>7.0</v>
      </c>
      <c r="J2211" s="6" t="s">
        <v>161</v>
      </c>
    </row>
    <row r="2212" ht="22.5" customHeight="1">
      <c r="A2212" s="6" t="s">
        <v>11006</v>
      </c>
      <c r="B2212" s="6" t="s">
        <v>5615</v>
      </c>
      <c r="C2212" s="10">
        <v>46052.0</v>
      </c>
      <c r="D2212" s="6" t="s">
        <v>391</v>
      </c>
      <c r="E2212" s="6" t="s">
        <v>291</v>
      </c>
      <c r="F2212" s="6" t="s">
        <v>249</v>
      </c>
      <c r="G2212" s="6" t="s">
        <v>458</v>
      </c>
      <c r="H2212" s="10">
        <v>46053.0</v>
      </c>
      <c r="I2212" s="12">
        <v>9.0</v>
      </c>
      <c r="J2212" s="6" t="s">
        <v>161</v>
      </c>
    </row>
    <row r="2213" ht="22.5" customHeight="1">
      <c r="A2213" s="6" t="s">
        <v>11010</v>
      </c>
      <c r="B2213" s="6" t="s">
        <v>5615</v>
      </c>
      <c r="C2213" s="10">
        <v>46052.0</v>
      </c>
      <c r="D2213" s="6" t="s">
        <v>242</v>
      </c>
      <c r="E2213" s="6" t="s">
        <v>2365</v>
      </c>
      <c r="F2213" s="6" t="s">
        <v>249</v>
      </c>
      <c r="G2213" s="6" t="s">
        <v>369</v>
      </c>
      <c r="H2213" s="10">
        <v>46054.0</v>
      </c>
      <c r="I2213" s="12">
        <v>6.0</v>
      </c>
      <c r="J2213" s="6" t="s">
        <v>178</v>
      </c>
    </row>
    <row r="2214" ht="22.5" customHeight="1">
      <c r="A2214" s="6" t="s">
        <v>11014</v>
      </c>
      <c r="B2214" s="6" t="s">
        <v>5622</v>
      </c>
      <c r="C2214" s="10">
        <v>46060.0</v>
      </c>
      <c r="D2214" s="6" t="s">
        <v>289</v>
      </c>
      <c r="E2214" s="6" t="s">
        <v>833</v>
      </c>
      <c r="F2214" s="6" t="s">
        <v>249</v>
      </c>
      <c r="G2214" s="6" t="s">
        <v>458</v>
      </c>
      <c r="H2214" s="10">
        <v>46067.0</v>
      </c>
      <c r="I2214" s="12">
        <v>6.0</v>
      </c>
      <c r="J2214" s="6" t="s">
        <v>161</v>
      </c>
    </row>
    <row r="2215" ht="22.5" customHeight="1">
      <c r="A2215" s="6" t="s">
        <v>11019</v>
      </c>
      <c r="B2215" s="6" t="s">
        <v>5622</v>
      </c>
      <c r="C2215" s="10">
        <v>46051.0</v>
      </c>
      <c r="D2215" s="6" t="s">
        <v>289</v>
      </c>
      <c r="E2215" s="6" t="s">
        <v>417</v>
      </c>
      <c r="F2215" s="6" t="s">
        <v>439</v>
      </c>
      <c r="G2215" s="6" t="s">
        <v>458</v>
      </c>
      <c r="H2215" s="10">
        <v>46057.0</v>
      </c>
      <c r="I2215" s="12">
        <v>8.0</v>
      </c>
      <c r="J2215" s="6" t="s">
        <v>161</v>
      </c>
    </row>
    <row r="2216" ht="22.5" customHeight="1">
      <c r="A2216" s="6" t="s">
        <v>11023</v>
      </c>
      <c r="B2216" s="6" t="s">
        <v>5629</v>
      </c>
      <c r="C2216" s="10">
        <v>46033.0</v>
      </c>
      <c r="D2216" s="6" t="s">
        <v>677</v>
      </c>
      <c r="E2216" s="6" t="s">
        <v>618</v>
      </c>
      <c r="F2216" s="6" t="s">
        <v>112</v>
      </c>
      <c r="G2216" s="6" t="s">
        <v>297</v>
      </c>
      <c r="H2216" s="10">
        <v>46033.0</v>
      </c>
      <c r="I2216" s="12">
        <v>2.0</v>
      </c>
      <c r="J2216" s="6" t="s">
        <v>161</v>
      </c>
    </row>
    <row r="2217" ht="22.5" customHeight="1">
      <c r="A2217" s="6" t="s">
        <v>11028</v>
      </c>
      <c r="B2217" s="6" t="s">
        <v>5629</v>
      </c>
      <c r="C2217" s="10">
        <v>46047.0</v>
      </c>
      <c r="D2217" s="6" t="s">
        <v>312</v>
      </c>
      <c r="E2217" s="6" t="s">
        <v>628</v>
      </c>
      <c r="F2217" s="6" t="s">
        <v>112</v>
      </c>
      <c r="G2217" s="6" t="s">
        <v>326</v>
      </c>
      <c r="H2217" s="10">
        <v>46048.0</v>
      </c>
      <c r="I2217" s="12">
        <v>6.0</v>
      </c>
      <c r="J2217" s="6" t="s">
        <v>161</v>
      </c>
    </row>
    <row r="2218" ht="22.5" customHeight="1">
      <c r="A2218" s="6" t="s">
        <v>11032</v>
      </c>
      <c r="B2218" s="6" t="s">
        <v>5629</v>
      </c>
      <c r="C2218" s="10">
        <v>46036.0</v>
      </c>
      <c r="D2218" s="6" t="s">
        <v>391</v>
      </c>
      <c r="E2218" s="6" t="s">
        <v>2365</v>
      </c>
      <c r="F2218" s="6" t="s">
        <v>249</v>
      </c>
      <c r="G2218" s="6" t="s">
        <v>254</v>
      </c>
      <c r="H2218" s="10">
        <v>46042.0</v>
      </c>
      <c r="I2218" s="12">
        <v>6.0</v>
      </c>
      <c r="J2218" s="6" t="s">
        <v>161</v>
      </c>
    </row>
    <row r="2219" ht="22.5" customHeight="1">
      <c r="A2219" s="6" t="s">
        <v>11036</v>
      </c>
      <c r="B2219" s="6" t="s">
        <v>5629</v>
      </c>
      <c r="C2219" s="10">
        <v>46035.0</v>
      </c>
      <c r="D2219" s="6" t="s">
        <v>289</v>
      </c>
      <c r="E2219" s="6" t="s">
        <v>1280</v>
      </c>
      <c r="F2219" s="6" t="s">
        <v>439</v>
      </c>
      <c r="G2219" s="6" t="s">
        <v>297</v>
      </c>
      <c r="H2219" s="10">
        <v>46040.0</v>
      </c>
      <c r="I2219" s="12">
        <v>7.0</v>
      </c>
      <c r="J2219" s="6" t="s">
        <v>161</v>
      </c>
    </row>
    <row r="2220" ht="22.5" customHeight="1">
      <c r="A2220" s="6" t="s">
        <v>11041</v>
      </c>
      <c r="B2220" s="6" t="s">
        <v>5629</v>
      </c>
      <c r="C2220" s="10">
        <v>46035.0</v>
      </c>
      <c r="D2220" s="6" t="s">
        <v>436</v>
      </c>
      <c r="E2220" s="6" t="s">
        <v>1386</v>
      </c>
      <c r="F2220" s="6" t="s">
        <v>283</v>
      </c>
      <c r="G2220" s="6" t="s">
        <v>254</v>
      </c>
      <c r="H2220" s="10">
        <v>46040.0</v>
      </c>
      <c r="I2220" s="12">
        <v>12.0</v>
      </c>
      <c r="J2220" s="6" t="s">
        <v>178</v>
      </c>
    </row>
    <row r="2221" ht="22.5" customHeight="1">
      <c r="A2221" s="6" t="s">
        <v>11045</v>
      </c>
      <c r="B2221" s="6" t="s">
        <v>5635</v>
      </c>
      <c r="C2221" s="10">
        <v>46035.0</v>
      </c>
      <c r="D2221" s="6" t="s">
        <v>289</v>
      </c>
      <c r="E2221" s="6" t="s">
        <v>716</v>
      </c>
      <c r="F2221" s="6" t="s">
        <v>249</v>
      </c>
      <c r="G2221" s="6" t="s">
        <v>254</v>
      </c>
      <c r="H2221" s="10">
        <v>46040.0</v>
      </c>
      <c r="I2221" s="12">
        <v>6.0</v>
      </c>
      <c r="J2221" s="6" t="s">
        <v>161</v>
      </c>
    </row>
    <row r="2222" ht="22.5" customHeight="1">
      <c r="A2222" s="6" t="s">
        <v>11051</v>
      </c>
      <c r="B2222" s="6" t="s">
        <v>5635</v>
      </c>
      <c r="C2222" s="10">
        <v>46040.0</v>
      </c>
      <c r="D2222" s="6" t="s">
        <v>677</v>
      </c>
      <c r="E2222" s="6" t="s">
        <v>658</v>
      </c>
      <c r="F2222" s="6" t="s">
        <v>112</v>
      </c>
      <c r="G2222" s="6" t="s">
        <v>477</v>
      </c>
      <c r="H2222" s="10">
        <v>46045.0</v>
      </c>
      <c r="I2222" s="12">
        <v>4.0</v>
      </c>
      <c r="J2222" s="6" t="s">
        <v>161</v>
      </c>
    </row>
    <row r="2223" ht="22.5" customHeight="1">
      <c r="A2223" s="6" t="s">
        <v>11056</v>
      </c>
      <c r="B2223" s="6" t="s">
        <v>5635</v>
      </c>
      <c r="C2223" s="10">
        <v>46032.0</v>
      </c>
      <c r="D2223" s="6" t="s">
        <v>391</v>
      </c>
      <c r="E2223" s="6" t="s">
        <v>1386</v>
      </c>
      <c r="F2223" s="6" t="s">
        <v>439</v>
      </c>
      <c r="G2223" s="6" t="s">
        <v>477</v>
      </c>
      <c r="H2223" s="10">
        <v>46037.0</v>
      </c>
      <c r="I2223" s="12">
        <v>7.0</v>
      </c>
      <c r="J2223" s="6" t="s">
        <v>161</v>
      </c>
    </row>
    <row r="2224" ht="22.5" customHeight="1">
      <c r="A2224" s="6" t="s">
        <v>11060</v>
      </c>
      <c r="B2224" s="6" t="s">
        <v>5641</v>
      </c>
      <c r="C2224" s="10">
        <v>46041.0</v>
      </c>
      <c r="D2224" s="6" t="s">
        <v>289</v>
      </c>
      <c r="E2224" s="6" t="s">
        <v>863</v>
      </c>
      <c r="F2224" s="6" t="s">
        <v>439</v>
      </c>
      <c r="G2224" s="6" t="s">
        <v>494</v>
      </c>
      <c r="H2224" s="10">
        <v>46048.0</v>
      </c>
      <c r="I2224" s="12">
        <v>10.0</v>
      </c>
      <c r="J2224" s="6" t="s">
        <v>161</v>
      </c>
    </row>
    <row r="2225" ht="22.5" customHeight="1">
      <c r="A2225" s="6" t="s">
        <v>11064</v>
      </c>
      <c r="B2225" s="6" t="s">
        <v>5641</v>
      </c>
      <c r="C2225" s="10">
        <v>46039.0</v>
      </c>
      <c r="D2225" s="6" t="s">
        <v>677</v>
      </c>
      <c r="E2225" s="6" t="s">
        <v>291</v>
      </c>
      <c r="F2225" s="6" t="s">
        <v>112</v>
      </c>
      <c r="G2225" s="6" t="s">
        <v>477</v>
      </c>
      <c r="H2225" s="11" t="s">
        <v>259</v>
      </c>
      <c r="I2225" s="12">
        <v>4.0</v>
      </c>
      <c r="J2225" s="6" t="s">
        <v>161</v>
      </c>
    </row>
    <row r="2226" ht="22.5" customHeight="1">
      <c r="A2226" s="6" t="s">
        <v>11070</v>
      </c>
      <c r="B2226" s="6" t="s">
        <v>5648</v>
      </c>
      <c r="C2226" s="10">
        <v>46068.0</v>
      </c>
      <c r="D2226" s="6" t="s">
        <v>416</v>
      </c>
      <c r="E2226" s="6" t="s">
        <v>475</v>
      </c>
      <c r="F2226" s="6" t="s">
        <v>439</v>
      </c>
      <c r="G2226" s="6" t="s">
        <v>458</v>
      </c>
      <c r="H2226" s="10">
        <v>46074.0</v>
      </c>
      <c r="I2226" s="12">
        <v>9.0</v>
      </c>
      <c r="J2226" s="6" t="s">
        <v>161</v>
      </c>
    </row>
    <row r="2227" ht="22.5" customHeight="1">
      <c r="A2227" s="6" t="s">
        <v>11073</v>
      </c>
      <c r="B2227" s="6" t="s">
        <v>5654</v>
      </c>
      <c r="C2227" s="10">
        <v>46059.0</v>
      </c>
      <c r="D2227" s="6" t="s">
        <v>312</v>
      </c>
      <c r="E2227" s="6" t="s">
        <v>320</v>
      </c>
      <c r="F2227" s="6" t="s">
        <v>112</v>
      </c>
      <c r="G2227" s="6" t="s">
        <v>369</v>
      </c>
      <c r="H2227" s="10">
        <v>46063.0</v>
      </c>
      <c r="I2227" s="12">
        <v>5.0</v>
      </c>
      <c r="J2227" s="6" t="s">
        <v>161</v>
      </c>
    </row>
    <row r="2228" ht="22.5" customHeight="1">
      <c r="A2228" s="6" t="s">
        <v>11077</v>
      </c>
      <c r="B2228" s="6" t="s">
        <v>5654</v>
      </c>
      <c r="C2228" s="10">
        <v>46048.0</v>
      </c>
      <c r="D2228" s="6" t="s">
        <v>289</v>
      </c>
      <c r="E2228" s="6" t="s">
        <v>1386</v>
      </c>
      <c r="F2228" s="6" t="s">
        <v>112</v>
      </c>
      <c r="G2228" s="6" t="s">
        <v>477</v>
      </c>
      <c r="H2228" s="10">
        <v>46052.0</v>
      </c>
      <c r="I2228" s="12">
        <v>8.0</v>
      </c>
      <c r="J2228" s="6" t="s">
        <v>161</v>
      </c>
    </row>
    <row r="2229" ht="22.5" customHeight="1">
      <c r="A2229" s="6" t="s">
        <v>11083</v>
      </c>
      <c r="B2229" s="6" t="s">
        <v>5654</v>
      </c>
      <c r="C2229" s="10">
        <v>46047.0</v>
      </c>
      <c r="D2229" s="6" t="s">
        <v>289</v>
      </c>
      <c r="E2229" s="6" t="s">
        <v>738</v>
      </c>
      <c r="F2229" s="6" t="s">
        <v>112</v>
      </c>
      <c r="G2229" s="6" t="s">
        <v>254</v>
      </c>
      <c r="H2229" s="10">
        <v>46053.0</v>
      </c>
      <c r="I2229" s="12">
        <v>8.0</v>
      </c>
      <c r="J2229" s="6" t="s">
        <v>161</v>
      </c>
    </row>
    <row r="2230" ht="22.5" customHeight="1">
      <c r="A2230" s="6" t="s">
        <v>11088</v>
      </c>
      <c r="B2230" s="6" t="s">
        <v>5654</v>
      </c>
      <c r="C2230" s="10">
        <v>46058.0</v>
      </c>
      <c r="D2230" s="6" t="s">
        <v>242</v>
      </c>
      <c r="E2230" s="6" t="s">
        <v>1570</v>
      </c>
      <c r="F2230" s="6" t="s">
        <v>112</v>
      </c>
      <c r="G2230" s="6" t="s">
        <v>369</v>
      </c>
      <c r="H2230" s="10">
        <v>46063.0</v>
      </c>
      <c r="I2230" s="12">
        <v>5.0</v>
      </c>
      <c r="J2230" s="6" t="s">
        <v>161</v>
      </c>
    </row>
    <row r="2231" ht="22.5" customHeight="1">
      <c r="A2231" s="6" t="s">
        <v>11092</v>
      </c>
      <c r="B2231" s="6" t="s">
        <v>5660</v>
      </c>
      <c r="C2231" s="10">
        <v>46063.0</v>
      </c>
      <c r="D2231" s="6" t="s">
        <v>436</v>
      </c>
      <c r="E2231" s="6" t="s">
        <v>1273</v>
      </c>
      <c r="F2231" s="6" t="s">
        <v>112</v>
      </c>
      <c r="G2231" s="6" t="s">
        <v>254</v>
      </c>
      <c r="H2231" s="10">
        <v>46065.0</v>
      </c>
      <c r="I2231" s="12">
        <v>8.0</v>
      </c>
      <c r="J2231" s="6" t="s">
        <v>178</v>
      </c>
    </row>
    <row r="2232" ht="22.5" customHeight="1">
      <c r="A2232" s="6" t="s">
        <v>11098</v>
      </c>
      <c r="B2232" s="6" t="s">
        <v>5660</v>
      </c>
      <c r="C2232" s="10">
        <v>46079.0</v>
      </c>
      <c r="D2232" s="6" t="s">
        <v>677</v>
      </c>
      <c r="E2232" s="6" t="s">
        <v>246</v>
      </c>
      <c r="F2232" s="6" t="s">
        <v>112</v>
      </c>
      <c r="G2232" s="6" t="s">
        <v>297</v>
      </c>
      <c r="H2232" s="10">
        <v>46080.0</v>
      </c>
      <c r="I2232" s="12">
        <v>4.0</v>
      </c>
      <c r="J2232" s="6" t="s">
        <v>161</v>
      </c>
    </row>
    <row r="2233" ht="22.5" customHeight="1">
      <c r="A2233" s="6" t="s">
        <v>11107</v>
      </c>
      <c r="B2233" s="6" t="s">
        <v>5660</v>
      </c>
      <c r="C2233" s="10">
        <v>46066.0</v>
      </c>
      <c r="D2233" s="6" t="s">
        <v>391</v>
      </c>
      <c r="E2233" s="6" t="s">
        <v>731</v>
      </c>
      <c r="F2233" s="6" t="s">
        <v>439</v>
      </c>
      <c r="G2233" s="6" t="s">
        <v>458</v>
      </c>
      <c r="H2233" s="10">
        <v>46068.0</v>
      </c>
      <c r="I2233" s="12">
        <v>7.0</v>
      </c>
      <c r="J2233" s="6" t="s">
        <v>161</v>
      </c>
    </row>
    <row r="2234" ht="22.5" customHeight="1">
      <c r="A2234" s="6" t="s">
        <v>11109</v>
      </c>
      <c r="B2234" s="6" t="s">
        <v>5660</v>
      </c>
      <c r="C2234" s="10">
        <v>46070.0</v>
      </c>
      <c r="D2234" s="6" t="s">
        <v>289</v>
      </c>
      <c r="E2234" s="6" t="s">
        <v>1070</v>
      </c>
      <c r="F2234" s="6" t="s">
        <v>439</v>
      </c>
      <c r="G2234" s="6" t="s">
        <v>458</v>
      </c>
      <c r="H2234" s="10">
        <v>46072.0</v>
      </c>
      <c r="I2234" s="12">
        <v>6.0</v>
      </c>
      <c r="J2234" s="6" t="s">
        <v>161</v>
      </c>
    </row>
    <row r="2235" ht="22.5" customHeight="1">
      <c r="A2235" s="6" t="s">
        <v>11114</v>
      </c>
      <c r="B2235" s="6" t="s">
        <v>5667</v>
      </c>
      <c r="C2235" s="10">
        <v>46082.0</v>
      </c>
      <c r="D2235" s="6" t="s">
        <v>289</v>
      </c>
      <c r="E2235" s="6" t="s">
        <v>610</v>
      </c>
      <c r="F2235" s="6" t="s">
        <v>249</v>
      </c>
      <c r="G2235" s="6" t="s">
        <v>494</v>
      </c>
      <c r="H2235" s="10">
        <v>46083.0</v>
      </c>
      <c r="I2235" s="12">
        <v>5.0</v>
      </c>
      <c r="J2235" s="6" t="s">
        <v>161</v>
      </c>
    </row>
    <row r="2236" ht="22.5" customHeight="1">
      <c r="A2236" s="6" t="s">
        <v>11120</v>
      </c>
      <c r="B2236" s="6" t="s">
        <v>5667</v>
      </c>
      <c r="C2236" s="10">
        <v>46066.0</v>
      </c>
      <c r="D2236" s="6" t="s">
        <v>289</v>
      </c>
      <c r="E2236" s="6" t="s">
        <v>1741</v>
      </c>
      <c r="F2236" s="6" t="s">
        <v>112</v>
      </c>
      <c r="G2236" s="6" t="s">
        <v>369</v>
      </c>
      <c r="H2236" s="10">
        <v>46071.0</v>
      </c>
      <c r="I2236" s="12">
        <v>10.0</v>
      </c>
      <c r="J2236" s="6" t="s">
        <v>161</v>
      </c>
    </row>
    <row r="2237" ht="22.5" customHeight="1">
      <c r="A2237" s="6" t="s">
        <v>11125</v>
      </c>
      <c r="B2237" s="6" t="s">
        <v>5673</v>
      </c>
      <c r="C2237" s="10">
        <v>46036.0</v>
      </c>
      <c r="D2237" s="6" t="s">
        <v>677</v>
      </c>
      <c r="E2237" s="6" t="s">
        <v>1122</v>
      </c>
      <c r="F2237" s="6" t="s">
        <v>439</v>
      </c>
      <c r="G2237" s="6" t="s">
        <v>369</v>
      </c>
      <c r="H2237" s="10">
        <v>46036.0</v>
      </c>
      <c r="I2237" s="12">
        <v>4.0</v>
      </c>
      <c r="J2237" s="6" t="s">
        <v>161</v>
      </c>
    </row>
    <row r="2238" ht="22.5" customHeight="1">
      <c r="A2238" s="6" t="s">
        <v>11129</v>
      </c>
      <c r="B2238" s="6" t="s">
        <v>5673</v>
      </c>
      <c r="C2238" s="10">
        <v>46040.0</v>
      </c>
      <c r="D2238" s="6" t="s">
        <v>677</v>
      </c>
      <c r="E2238" s="6" t="s">
        <v>787</v>
      </c>
      <c r="F2238" s="6" t="s">
        <v>112</v>
      </c>
      <c r="G2238" s="6" t="s">
        <v>369</v>
      </c>
      <c r="H2238" s="10">
        <v>46046.0</v>
      </c>
      <c r="I2238" s="12">
        <v>2.0</v>
      </c>
      <c r="J2238" s="6" t="s">
        <v>161</v>
      </c>
    </row>
    <row r="2239" ht="22.5" customHeight="1">
      <c r="A2239" s="6" t="s">
        <v>11133</v>
      </c>
      <c r="B2239" s="6" t="s">
        <v>5673</v>
      </c>
      <c r="C2239" s="10">
        <v>46041.0</v>
      </c>
      <c r="D2239" s="6" t="s">
        <v>416</v>
      </c>
      <c r="E2239" s="6" t="s">
        <v>1741</v>
      </c>
      <c r="F2239" s="6" t="s">
        <v>439</v>
      </c>
      <c r="G2239" s="6" t="s">
        <v>452</v>
      </c>
      <c r="H2239" s="10">
        <v>46048.0</v>
      </c>
      <c r="I2239" s="12">
        <v>13.0</v>
      </c>
      <c r="J2239" s="6" t="s">
        <v>161</v>
      </c>
    </row>
    <row r="2240" ht="22.5" customHeight="1">
      <c r="A2240" s="6" t="s">
        <v>11139</v>
      </c>
      <c r="B2240" s="6" t="s">
        <v>5679</v>
      </c>
      <c r="C2240" s="10">
        <v>46037.0</v>
      </c>
      <c r="D2240" s="6" t="s">
        <v>242</v>
      </c>
      <c r="E2240" s="6" t="s">
        <v>812</v>
      </c>
      <c r="F2240" s="6" t="s">
        <v>439</v>
      </c>
      <c r="G2240" s="6" t="s">
        <v>452</v>
      </c>
      <c r="H2240" s="10">
        <v>46043.0</v>
      </c>
      <c r="I2240" s="12">
        <v>6.0</v>
      </c>
      <c r="J2240" s="6" t="s">
        <v>178</v>
      </c>
    </row>
    <row r="2241" ht="22.5" customHeight="1">
      <c r="A2241" s="6" t="s">
        <v>11141</v>
      </c>
      <c r="B2241" s="6" t="s">
        <v>5679</v>
      </c>
      <c r="C2241" s="10">
        <v>46031.0</v>
      </c>
      <c r="D2241" s="6" t="s">
        <v>391</v>
      </c>
      <c r="E2241" s="6" t="s">
        <v>1546</v>
      </c>
      <c r="F2241" s="6" t="s">
        <v>283</v>
      </c>
      <c r="G2241" s="6" t="s">
        <v>458</v>
      </c>
      <c r="H2241" s="10">
        <v>46032.0</v>
      </c>
      <c r="I2241" s="12">
        <v>10.0</v>
      </c>
      <c r="J2241" s="6" t="s">
        <v>161</v>
      </c>
    </row>
    <row r="2242" ht="22.5" customHeight="1">
      <c r="A2242" s="6" t="s">
        <v>11146</v>
      </c>
      <c r="B2242" s="6" t="s">
        <v>5686</v>
      </c>
      <c r="C2242" s="10">
        <v>46037.0</v>
      </c>
      <c r="D2242" s="6" t="s">
        <v>436</v>
      </c>
      <c r="E2242" s="6" t="s">
        <v>885</v>
      </c>
      <c r="F2242" s="6" t="s">
        <v>283</v>
      </c>
      <c r="G2242" s="6" t="s">
        <v>297</v>
      </c>
      <c r="H2242" s="10">
        <v>46039.0</v>
      </c>
      <c r="I2242" s="12">
        <v>11.0</v>
      </c>
      <c r="J2242" s="6" t="s">
        <v>178</v>
      </c>
    </row>
    <row r="2243" ht="22.5" customHeight="1">
      <c r="A2243" s="6" t="s">
        <v>11152</v>
      </c>
      <c r="B2243" s="6" t="s">
        <v>5686</v>
      </c>
      <c r="C2243" s="10">
        <v>46044.0</v>
      </c>
      <c r="D2243" s="6" t="s">
        <v>242</v>
      </c>
      <c r="E2243" s="6" t="s">
        <v>475</v>
      </c>
      <c r="F2243" s="6" t="s">
        <v>439</v>
      </c>
      <c r="G2243" s="6" t="s">
        <v>458</v>
      </c>
      <c r="H2243" s="10">
        <v>46044.0</v>
      </c>
      <c r="I2243" s="12">
        <v>3.0</v>
      </c>
      <c r="J2243" s="6" t="s">
        <v>178</v>
      </c>
    </row>
    <row r="2244" ht="22.5" customHeight="1">
      <c r="A2244" s="6" t="s">
        <v>11155</v>
      </c>
      <c r="B2244" s="6" t="s">
        <v>5686</v>
      </c>
      <c r="C2244" s="10">
        <v>46047.0</v>
      </c>
      <c r="D2244" s="6" t="s">
        <v>391</v>
      </c>
      <c r="E2244" s="6" t="s">
        <v>738</v>
      </c>
      <c r="F2244" s="6" t="s">
        <v>112</v>
      </c>
      <c r="G2244" s="6" t="s">
        <v>477</v>
      </c>
      <c r="H2244" s="11" t="s">
        <v>259</v>
      </c>
      <c r="I2244" s="12">
        <v>11.0</v>
      </c>
      <c r="J2244" s="6" t="s">
        <v>161</v>
      </c>
    </row>
    <row r="2245" ht="22.5" customHeight="1">
      <c r="A2245" s="6" t="s">
        <v>11160</v>
      </c>
      <c r="B2245" s="6" t="s">
        <v>5686</v>
      </c>
      <c r="C2245" s="10">
        <v>46031.0</v>
      </c>
      <c r="D2245" s="6" t="s">
        <v>436</v>
      </c>
      <c r="E2245" s="6" t="s">
        <v>775</v>
      </c>
      <c r="F2245" s="6" t="s">
        <v>283</v>
      </c>
      <c r="G2245" s="6" t="s">
        <v>254</v>
      </c>
      <c r="H2245" s="10">
        <v>46033.0</v>
      </c>
      <c r="I2245" s="12">
        <v>11.0</v>
      </c>
      <c r="J2245" s="6" t="s">
        <v>178</v>
      </c>
    </row>
    <row r="2246" ht="22.5" customHeight="1">
      <c r="A2246" s="6" t="s">
        <v>11166</v>
      </c>
      <c r="B2246" s="6" t="s">
        <v>5686</v>
      </c>
      <c r="C2246" s="10">
        <v>46044.0</v>
      </c>
      <c r="D2246" s="6" t="s">
        <v>436</v>
      </c>
      <c r="E2246" s="6" t="s">
        <v>798</v>
      </c>
      <c r="F2246" s="6" t="s">
        <v>283</v>
      </c>
      <c r="G2246" s="6" t="s">
        <v>297</v>
      </c>
      <c r="H2246" s="10">
        <v>46047.0</v>
      </c>
      <c r="I2246" s="12">
        <v>10.0</v>
      </c>
      <c r="J2246" s="6" t="s">
        <v>178</v>
      </c>
    </row>
    <row r="2247" ht="22.5" customHeight="1">
      <c r="A2247" s="6" t="s">
        <v>11170</v>
      </c>
      <c r="B2247" s="6" t="s">
        <v>5692</v>
      </c>
      <c r="C2247" s="10">
        <v>46062.0</v>
      </c>
      <c r="D2247" s="6" t="s">
        <v>436</v>
      </c>
      <c r="E2247" s="6" t="s">
        <v>566</v>
      </c>
      <c r="F2247" s="6" t="s">
        <v>283</v>
      </c>
      <c r="G2247" s="6" t="s">
        <v>326</v>
      </c>
      <c r="H2247" s="10">
        <v>46064.0</v>
      </c>
      <c r="I2247" s="12">
        <v>10.0</v>
      </c>
      <c r="J2247" s="6" t="s">
        <v>161</v>
      </c>
    </row>
    <row r="2248" ht="22.5" customHeight="1">
      <c r="A2248" s="6" t="s">
        <v>11175</v>
      </c>
      <c r="B2248" s="6" t="s">
        <v>5692</v>
      </c>
      <c r="C2248" s="10">
        <v>46051.0</v>
      </c>
      <c r="D2248" s="6" t="s">
        <v>242</v>
      </c>
      <c r="E2248" s="6" t="s">
        <v>1310</v>
      </c>
      <c r="F2248" s="6" t="s">
        <v>439</v>
      </c>
      <c r="G2248" s="6" t="s">
        <v>254</v>
      </c>
      <c r="H2248" s="11" t="s">
        <v>259</v>
      </c>
      <c r="I2248" s="12">
        <v>4.0</v>
      </c>
      <c r="J2248" s="6" t="s">
        <v>161</v>
      </c>
    </row>
    <row r="2249" ht="22.5" customHeight="1">
      <c r="A2249" s="6" t="s">
        <v>11179</v>
      </c>
      <c r="B2249" s="6" t="s">
        <v>5692</v>
      </c>
      <c r="C2249" s="10">
        <v>46054.0</v>
      </c>
      <c r="D2249" s="6" t="s">
        <v>677</v>
      </c>
      <c r="E2249" s="6" t="s">
        <v>2365</v>
      </c>
      <c r="F2249" s="6" t="s">
        <v>249</v>
      </c>
      <c r="G2249" s="6" t="s">
        <v>326</v>
      </c>
      <c r="H2249" s="10">
        <v>46061.0</v>
      </c>
      <c r="I2249" s="12">
        <v>4.0</v>
      </c>
      <c r="J2249" s="6" t="s">
        <v>161</v>
      </c>
    </row>
    <row r="2250" ht="22.5" customHeight="1">
      <c r="A2250" s="6" t="s">
        <v>11183</v>
      </c>
      <c r="B2250" s="6" t="s">
        <v>5692</v>
      </c>
      <c r="C2250" s="10">
        <v>46060.0</v>
      </c>
      <c r="D2250" s="6" t="s">
        <v>289</v>
      </c>
      <c r="E2250" s="6" t="s">
        <v>1296</v>
      </c>
      <c r="F2250" s="6" t="s">
        <v>439</v>
      </c>
      <c r="G2250" s="6" t="s">
        <v>369</v>
      </c>
      <c r="H2250" s="10">
        <v>46060.0</v>
      </c>
      <c r="I2250" s="12">
        <v>8.0</v>
      </c>
      <c r="J2250" s="6" t="s">
        <v>161</v>
      </c>
    </row>
    <row r="2251" ht="22.5" customHeight="1">
      <c r="A2251" s="6" t="s">
        <v>11189</v>
      </c>
      <c r="B2251" s="6" t="s">
        <v>5699</v>
      </c>
      <c r="C2251" s="10">
        <v>46044.0</v>
      </c>
      <c r="D2251" s="6" t="s">
        <v>312</v>
      </c>
      <c r="E2251" s="6" t="s">
        <v>566</v>
      </c>
      <c r="F2251" s="6" t="s">
        <v>249</v>
      </c>
      <c r="G2251" s="6" t="s">
        <v>326</v>
      </c>
      <c r="H2251" s="10">
        <v>46047.0</v>
      </c>
      <c r="I2251" s="12">
        <v>6.0</v>
      </c>
      <c r="J2251" s="6" t="s">
        <v>161</v>
      </c>
    </row>
    <row r="2252" ht="22.5" customHeight="1">
      <c r="A2252" s="6" t="s">
        <v>11192</v>
      </c>
      <c r="B2252" s="6" t="s">
        <v>5699</v>
      </c>
      <c r="C2252" s="10">
        <v>46047.0</v>
      </c>
      <c r="D2252" s="6" t="s">
        <v>436</v>
      </c>
      <c r="E2252" s="6" t="s">
        <v>863</v>
      </c>
      <c r="F2252" s="6" t="s">
        <v>439</v>
      </c>
      <c r="G2252" s="6" t="s">
        <v>297</v>
      </c>
      <c r="H2252" s="10">
        <v>46053.0</v>
      </c>
      <c r="I2252" s="12">
        <v>10.0</v>
      </c>
      <c r="J2252" s="6" t="s">
        <v>178</v>
      </c>
    </row>
    <row r="2253" ht="22.5" customHeight="1">
      <c r="A2253" s="6" t="s">
        <v>11197</v>
      </c>
      <c r="B2253" s="6" t="s">
        <v>5699</v>
      </c>
      <c r="C2253" s="10">
        <v>46053.0</v>
      </c>
      <c r="D2253" s="6" t="s">
        <v>677</v>
      </c>
      <c r="E2253" s="6" t="s">
        <v>2365</v>
      </c>
      <c r="F2253" s="6" t="s">
        <v>112</v>
      </c>
      <c r="G2253" s="6" t="s">
        <v>494</v>
      </c>
      <c r="H2253" s="10">
        <v>46053.0</v>
      </c>
      <c r="I2253" s="12">
        <v>2.0</v>
      </c>
      <c r="J2253" s="6" t="s">
        <v>161</v>
      </c>
    </row>
    <row r="2254" ht="22.5" customHeight="1">
      <c r="A2254" s="6" t="s">
        <v>11202</v>
      </c>
      <c r="B2254" s="6" t="s">
        <v>5704</v>
      </c>
      <c r="C2254" s="10">
        <v>46025.0</v>
      </c>
      <c r="D2254" s="6" t="s">
        <v>677</v>
      </c>
      <c r="E2254" s="6" t="s">
        <v>787</v>
      </c>
      <c r="F2254" s="6" t="s">
        <v>439</v>
      </c>
      <c r="G2254" s="6" t="s">
        <v>452</v>
      </c>
      <c r="H2254" s="10">
        <v>46025.0</v>
      </c>
      <c r="I2254" s="12">
        <v>3.0</v>
      </c>
      <c r="J2254" s="6" t="s">
        <v>161</v>
      </c>
    </row>
    <row r="2255" ht="22.5" customHeight="1">
      <c r="A2255" s="6" t="s">
        <v>11205</v>
      </c>
      <c r="B2255" s="6" t="s">
        <v>5704</v>
      </c>
      <c r="C2255" s="10">
        <v>46041.0</v>
      </c>
      <c r="D2255" s="6" t="s">
        <v>312</v>
      </c>
      <c r="E2255" s="6" t="s">
        <v>775</v>
      </c>
      <c r="F2255" s="6" t="s">
        <v>112</v>
      </c>
      <c r="G2255" s="6" t="s">
        <v>369</v>
      </c>
      <c r="H2255" s="10">
        <v>46042.0</v>
      </c>
      <c r="I2255" s="12">
        <v>5.0</v>
      </c>
      <c r="J2255" s="6" t="s">
        <v>161</v>
      </c>
    </row>
    <row r="2256" ht="22.5" customHeight="1">
      <c r="A2256" s="6" t="s">
        <v>11209</v>
      </c>
      <c r="B2256" s="6" t="s">
        <v>5704</v>
      </c>
      <c r="C2256" s="10">
        <v>46034.0</v>
      </c>
      <c r="D2256" s="6" t="s">
        <v>436</v>
      </c>
      <c r="E2256" s="6" t="s">
        <v>1122</v>
      </c>
      <c r="F2256" s="6" t="s">
        <v>112</v>
      </c>
      <c r="G2256" s="6" t="s">
        <v>297</v>
      </c>
      <c r="H2256" s="10">
        <v>46039.0</v>
      </c>
      <c r="I2256" s="12">
        <v>7.0</v>
      </c>
      <c r="J2256" s="6" t="s">
        <v>178</v>
      </c>
    </row>
    <row r="2257" ht="22.5" customHeight="1">
      <c r="A2257" s="6" t="s">
        <v>11215</v>
      </c>
      <c r="B2257" s="6" t="s">
        <v>5704</v>
      </c>
      <c r="C2257" s="10">
        <v>46034.0</v>
      </c>
      <c r="D2257" s="6" t="s">
        <v>391</v>
      </c>
      <c r="E2257" s="6" t="s">
        <v>787</v>
      </c>
      <c r="F2257" s="6" t="s">
        <v>112</v>
      </c>
      <c r="G2257" s="6" t="s">
        <v>369</v>
      </c>
      <c r="H2257" s="10">
        <v>46040.0</v>
      </c>
      <c r="I2257" s="12">
        <v>10.0</v>
      </c>
      <c r="J2257" s="6" t="s">
        <v>161</v>
      </c>
    </row>
    <row r="2258" ht="22.5" customHeight="1">
      <c r="A2258" s="6" t="s">
        <v>11218</v>
      </c>
      <c r="B2258" s="6" t="s">
        <v>5710</v>
      </c>
      <c r="C2258" s="10">
        <v>46031.0</v>
      </c>
      <c r="D2258" s="6" t="s">
        <v>416</v>
      </c>
      <c r="E2258" s="6" t="s">
        <v>670</v>
      </c>
      <c r="F2258" s="6" t="s">
        <v>112</v>
      </c>
      <c r="G2258" s="6" t="s">
        <v>326</v>
      </c>
      <c r="H2258" s="10">
        <v>46035.0</v>
      </c>
      <c r="I2258" s="12">
        <v>8.0</v>
      </c>
      <c r="J2258" s="6" t="s">
        <v>161</v>
      </c>
    </row>
    <row r="2259" ht="22.5" customHeight="1">
      <c r="A2259" s="6" t="s">
        <v>11223</v>
      </c>
      <c r="B2259" s="6" t="s">
        <v>5710</v>
      </c>
      <c r="C2259" s="10">
        <v>46047.0</v>
      </c>
      <c r="D2259" s="6" t="s">
        <v>312</v>
      </c>
      <c r="E2259" s="6" t="s">
        <v>1720</v>
      </c>
      <c r="F2259" s="6" t="s">
        <v>439</v>
      </c>
      <c r="G2259" s="6" t="s">
        <v>326</v>
      </c>
      <c r="H2259" s="11" t="s">
        <v>259</v>
      </c>
      <c r="I2259" s="12">
        <v>7.0</v>
      </c>
      <c r="J2259" s="6" t="s">
        <v>161</v>
      </c>
    </row>
    <row r="2260" ht="22.5" customHeight="1">
      <c r="A2260" s="6" t="s">
        <v>11227</v>
      </c>
      <c r="B2260" s="6" t="s">
        <v>5710</v>
      </c>
      <c r="C2260" s="10">
        <v>46049.0</v>
      </c>
      <c r="D2260" s="6" t="s">
        <v>289</v>
      </c>
      <c r="E2260" s="6" t="s">
        <v>466</v>
      </c>
      <c r="F2260" s="6" t="s">
        <v>439</v>
      </c>
      <c r="G2260" s="6" t="s">
        <v>494</v>
      </c>
      <c r="H2260" s="10">
        <v>46055.0</v>
      </c>
      <c r="I2260" s="12">
        <v>9.0</v>
      </c>
      <c r="J2260" s="6" t="s">
        <v>161</v>
      </c>
    </row>
    <row r="2261" ht="22.5" customHeight="1">
      <c r="A2261" s="6" t="s">
        <v>11233</v>
      </c>
      <c r="B2261" s="6" t="s">
        <v>5710</v>
      </c>
      <c r="C2261" s="10">
        <v>46036.0</v>
      </c>
      <c r="D2261" s="6" t="s">
        <v>289</v>
      </c>
      <c r="E2261" s="6" t="s">
        <v>1035</v>
      </c>
      <c r="F2261" s="6" t="s">
        <v>249</v>
      </c>
      <c r="G2261" s="6" t="s">
        <v>458</v>
      </c>
      <c r="H2261" s="11" t="s">
        <v>259</v>
      </c>
      <c r="I2261" s="12">
        <v>5.0</v>
      </c>
      <c r="J2261" s="6" t="s">
        <v>161</v>
      </c>
    </row>
    <row r="2262" ht="22.5" customHeight="1">
      <c r="A2262" s="6" t="s">
        <v>11237</v>
      </c>
      <c r="B2262" s="6" t="s">
        <v>5717</v>
      </c>
      <c r="C2262" s="10">
        <v>46063.0</v>
      </c>
      <c r="D2262" s="6" t="s">
        <v>436</v>
      </c>
      <c r="E2262" s="6" t="s">
        <v>394</v>
      </c>
      <c r="F2262" s="6" t="s">
        <v>283</v>
      </c>
      <c r="G2262" s="6" t="s">
        <v>477</v>
      </c>
      <c r="H2262" s="11" t="s">
        <v>259</v>
      </c>
      <c r="I2262" s="12">
        <v>6.0</v>
      </c>
      <c r="J2262" s="6" t="s">
        <v>161</v>
      </c>
    </row>
    <row r="2263" ht="22.5" customHeight="1">
      <c r="A2263" s="6" t="s">
        <v>11241</v>
      </c>
      <c r="B2263" s="6" t="s">
        <v>5717</v>
      </c>
      <c r="C2263" s="10">
        <v>46061.0</v>
      </c>
      <c r="D2263" s="6" t="s">
        <v>677</v>
      </c>
      <c r="E2263" s="6" t="s">
        <v>1969</v>
      </c>
      <c r="F2263" s="6" t="s">
        <v>112</v>
      </c>
      <c r="G2263" s="6" t="s">
        <v>254</v>
      </c>
      <c r="H2263" s="10">
        <v>46062.0</v>
      </c>
      <c r="I2263" s="12">
        <v>2.0</v>
      </c>
      <c r="J2263" s="6" t="s">
        <v>161</v>
      </c>
    </row>
    <row r="2264" ht="22.5" customHeight="1">
      <c r="A2264" s="6" t="s">
        <v>11246</v>
      </c>
      <c r="B2264" s="6" t="s">
        <v>5722</v>
      </c>
      <c r="C2264" s="10">
        <v>46053.0</v>
      </c>
      <c r="D2264" s="6" t="s">
        <v>677</v>
      </c>
      <c r="E2264" s="6" t="s">
        <v>1070</v>
      </c>
      <c r="F2264" s="6" t="s">
        <v>439</v>
      </c>
      <c r="G2264" s="6" t="s">
        <v>477</v>
      </c>
      <c r="H2264" s="10">
        <v>46056.0</v>
      </c>
      <c r="I2264" s="12">
        <v>3.0</v>
      </c>
      <c r="J2264" s="6" t="s">
        <v>161</v>
      </c>
    </row>
    <row r="2265" ht="22.5" customHeight="1">
      <c r="A2265" s="6" t="s">
        <v>11249</v>
      </c>
      <c r="B2265" s="6" t="s">
        <v>5722</v>
      </c>
      <c r="C2265" s="10">
        <v>46044.0</v>
      </c>
      <c r="D2265" s="6" t="s">
        <v>312</v>
      </c>
      <c r="E2265" s="6" t="s">
        <v>1296</v>
      </c>
      <c r="F2265" s="6" t="s">
        <v>112</v>
      </c>
      <c r="G2265" s="6" t="s">
        <v>297</v>
      </c>
      <c r="H2265" s="10">
        <v>46049.0</v>
      </c>
      <c r="I2265" s="12">
        <v>5.0</v>
      </c>
      <c r="J2265" s="6" t="s">
        <v>161</v>
      </c>
    </row>
    <row r="2266" ht="22.5" customHeight="1">
      <c r="A2266" s="6" t="s">
        <v>11255</v>
      </c>
      <c r="B2266" s="6" t="s">
        <v>5722</v>
      </c>
      <c r="C2266" s="10">
        <v>46054.0</v>
      </c>
      <c r="D2266" s="6" t="s">
        <v>677</v>
      </c>
      <c r="E2266" s="6" t="s">
        <v>1122</v>
      </c>
      <c r="F2266" s="6" t="s">
        <v>112</v>
      </c>
      <c r="G2266" s="6" t="s">
        <v>254</v>
      </c>
      <c r="H2266" s="10">
        <v>46056.0</v>
      </c>
      <c r="I2266" s="12">
        <v>3.0</v>
      </c>
      <c r="J2266" s="6" t="s">
        <v>161</v>
      </c>
    </row>
    <row r="2267" ht="22.5" customHeight="1">
      <c r="A2267" s="6" t="s">
        <v>11259</v>
      </c>
      <c r="B2267" s="6" t="s">
        <v>5727</v>
      </c>
      <c r="C2267" s="10">
        <v>46025.0</v>
      </c>
      <c r="D2267" s="6" t="s">
        <v>677</v>
      </c>
      <c r="E2267" s="6" t="s">
        <v>1552</v>
      </c>
      <c r="F2267" s="6" t="s">
        <v>112</v>
      </c>
      <c r="G2267" s="6" t="s">
        <v>369</v>
      </c>
      <c r="H2267" s="11" t="s">
        <v>259</v>
      </c>
      <c r="I2267" s="12">
        <v>3.0</v>
      </c>
      <c r="J2267" s="6" t="s">
        <v>161</v>
      </c>
    </row>
    <row r="2268" ht="22.5" customHeight="1">
      <c r="A2268" s="6" t="s">
        <v>11264</v>
      </c>
      <c r="B2268" s="6" t="s">
        <v>5727</v>
      </c>
      <c r="C2268" s="10">
        <v>46036.0</v>
      </c>
      <c r="D2268" s="6" t="s">
        <v>312</v>
      </c>
      <c r="E2268" s="6" t="s">
        <v>1546</v>
      </c>
      <c r="F2268" s="6" t="s">
        <v>283</v>
      </c>
      <c r="G2268" s="6" t="s">
        <v>452</v>
      </c>
      <c r="H2268" s="10">
        <v>46037.0</v>
      </c>
      <c r="I2268" s="12">
        <v>6.0</v>
      </c>
      <c r="J2268" s="6" t="s">
        <v>161</v>
      </c>
    </row>
    <row r="2269" ht="22.5" customHeight="1">
      <c r="A2269" s="6" t="s">
        <v>11266</v>
      </c>
      <c r="B2269" s="6" t="s">
        <v>5733</v>
      </c>
      <c r="C2269" s="10">
        <v>46055.0</v>
      </c>
      <c r="D2269" s="6" t="s">
        <v>242</v>
      </c>
      <c r="E2269" s="6" t="s">
        <v>695</v>
      </c>
      <c r="F2269" s="6" t="s">
        <v>249</v>
      </c>
      <c r="G2269" s="6" t="s">
        <v>477</v>
      </c>
      <c r="H2269" s="10">
        <v>46060.0</v>
      </c>
      <c r="I2269" s="12">
        <v>4.0</v>
      </c>
      <c r="J2269" s="6" t="s">
        <v>178</v>
      </c>
    </row>
    <row r="2270" ht="22.5" customHeight="1">
      <c r="A2270" s="6" t="s">
        <v>11269</v>
      </c>
      <c r="B2270" s="6" t="s">
        <v>5733</v>
      </c>
      <c r="C2270" s="10">
        <v>46055.0</v>
      </c>
      <c r="D2270" s="6" t="s">
        <v>242</v>
      </c>
      <c r="E2270" s="6" t="s">
        <v>2881</v>
      </c>
      <c r="F2270" s="6" t="s">
        <v>439</v>
      </c>
      <c r="G2270" s="6" t="s">
        <v>369</v>
      </c>
      <c r="H2270" s="11" t="s">
        <v>259</v>
      </c>
      <c r="I2270" s="12">
        <v>4.0</v>
      </c>
      <c r="J2270" s="6" t="s">
        <v>178</v>
      </c>
    </row>
    <row r="2271" ht="22.5" customHeight="1">
      <c r="A2271" s="6" t="s">
        <v>11273</v>
      </c>
      <c r="B2271" s="6" t="s">
        <v>5733</v>
      </c>
      <c r="C2271" s="10">
        <v>46058.0</v>
      </c>
      <c r="D2271" s="6" t="s">
        <v>312</v>
      </c>
      <c r="E2271" s="6" t="s">
        <v>2365</v>
      </c>
      <c r="F2271" s="6" t="s">
        <v>283</v>
      </c>
      <c r="G2271" s="6" t="s">
        <v>297</v>
      </c>
      <c r="H2271" s="11" t="s">
        <v>259</v>
      </c>
      <c r="I2271" s="12">
        <v>5.0</v>
      </c>
      <c r="J2271" s="6" t="s">
        <v>161</v>
      </c>
    </row>
    <row r="2272" ht="22.5" customHeight="1">
      <c r="A2272" s="6" t="s">
        <v>11275</v>
      </c>
      <c r="B2272" s="6" t="s">
        <v>5740</v>
      </c>
      <c r="C2272" s="10">
        <v>46066.0</v>
      </c>
      <c r="D2272" s="6" t="s">
        <v>242</v>
      </c>
      <c r="E2272" s="6" t="s">
        <v>1700</v>
      </c>
      <c r="F2272" s="6" t="s">
        <v>112</v>
      </c>
      <c r="G2272" s="6" t="s">
        <v>458</v>
      </c>
      <c r="H2272" s="10">
        <v>46069.0</v>
      </c>
      <c r="I2272" s="12">
        <v>6.0</v>
      </c>
      <c r="J2272" s="6" t="s">
        <v>178</v>
      </c>
    </row>
    <row r="2273" ht="22.5" customHeight="1">
      <c r="A2273" s="6" t="s">
        <v>11278</v>
      </c>
      <c r="B2273" s="6" t="s">
        <v>5740</v>
      </c>
      <c r="C2273" s="10">
        <v>46066.0</v>
      </c>
      <c r="D2273" s="6" t="s">
        <v>677</v>
      </c>
      <c r="E2273" s="6" t="s">
        <v>1552</v>
      </c>
      <c r="F2273" s="6" t="s">
        <v>112</v>
      </c>
      <c r="G2273" s="6" t="s">
        <v>477</v>
      </c>
      <c r="H2273" s="10">
        <v>46068.0</v>
      </c>
      <c r="I2273" s="12">
        <v>2.0</v>
      </c>
      <c r="J2273" s="6" t="s">
        <v>161</v>
      </c>
    </row>
    <row r="2274" ht="22.5" customHeight="1">
      <c r="A2274" s="6" t="s">
        <v>11282</v>
      </c>
      <c r="B2274" s="6" t="s">
        <v>5746</v>
      </c>
      <c r="C2274" s="10">
        <v>46050.0</v>
      </c>
      <c r="D2274" s="6" t="s">
        <v>312</v>
      </c>
      <c r="E2274" s="6" t="s">
        <v>475</v>
      </c>
      <c r="F2274" s="6" t="s">
        <v>439</v>
      </c>
      <c r="G2274" s="6" t="s">
        <v>297</v>
      </c>
      <c r="H2274" s="10">
        <v>46053.0</v>
      </c>
      <c r="I2274" s="12">
        <v>6.0</v>
      </c>
      <c r="J2274" s="6" t="s">
        <v>161</v>
      </c>
    </row>
    <row r="2275" ht="22.5" customHeight="1">
      <c r="A2275" s="6" t="s">
        <v>11287</v>
      </c>
      <c r="B2275" s="6" t="s">
        <v>5752</v>
      </c>
      <c r="C2275" s="10">
        <v>46083.0</v>
      </c>
      <c r="D2275" s="6" t="s">
        <v>289</v>
      </c>
      <c r="E2275" s="6" t="s">
        <v>1386</v>
      </c>
      <c r="F2275" s="6" t="s">
        <v>249</v>
      </c>
      <c r="G2275" s="6" t="s">
        <v>477</v>
      </c>
      <c r="H2275" s="10">
        <v>46090.0</v>
      </c>
      <c r="I2275" s="12">
        <v>5.0</v>
      </c>
      <c r="J2275" s="6" t="s">
        <v>161</v>
      </c>
    </row>
    <row r="2276" ht="22.5" customHeight="1">
      <c r="A2276" s="6" t="s">
        <v>11291</v>
      </c>
      <c r="B2276" s="6" t="s">
        <v>5752</v>
      </c>
      <c r="C2276" s="10">
        <v>46068.0</v>
      </c>
      <c r="D2276" s="6" t="s">
        <v>312</v>
      </c>
      <c r="E2276" s="6" t="s">
        <v>291</v>
      </c>
      <c r="F2276" s="6" t="s">
        <v>249</v>
      </c>
      <c r="G2276" s="6" t="s">
        <v>452</v>
      </c>
      <c r="H2276" s="10">
        <v>46070.0</v>
      </c>
      <c r="I2276" s="12">
        <v>5.0</v>
      </c>
      <c r="J2276" s="6" t="s">
        <v>161</v>
      </c>
    </row>
    <row r="2277" ht="22.5" customHeight="1">
      <c r="A2277" s="6" t="s">
        <v>11295</v>
      </c>
      <c r="B2277" s="6" t="s">
        <v>5758</v>
      </c>
      <c r="C2277" s="10">
        <v>46074.0</v>
      </c>
      <c r="D2277" s="6" t="s">
        <v>391</v>
      </c>
      <c r="E2277" s="6" t="s">
        <v>1517</v>
      </c>
      <c r="F2277" s="6" t="s">
        <v>283</v>
      </c>
      <c r="G2277" s="6" t="s">
        <v>452</v>
      </c>
      <c r="H2277" s="10">
        <v>46079.0</v>
      </c>
      <c r="I2277" s="12">
        <v>8.0</v>
      </c>
      <c r="J2277" s="6" t="s">
        <v>161</v>
      </c>
    </row>
    <row r="2278" ht="22.5" customHeight="1">
      <c r="A2278" s="6" t="s">
        <v>11300</v>
      </c>
      <c r="B2278" s="6" t="s">
        <v>5758</v>
      </c>
      <c r="C2278" s="10">
        <v>46060.0</v>
      </c>
      <c r="D2278" s="6" t="s">
        <v>242</v>
      </c>
      <c r="E2278" s="6" t="s">
        <v>438</v>
      </c>
      <c r="F2278" s="6" t="s">
        <v>439</v>
      </c>
      <c r="G2278" s="6" t="s">
        <v>254</v>
      </c>
      <c r="H2278" s="10">
        <v>46065.0</v>
      </c>
      <c r="I2278" s="12">
        <v>6.0</v>
      </c>
      <c r="J2278" s="6" t="s">
        <v>161</v>
      </c>
    </row>
    <row r="2279" ht="22.5" customHeight="1">
      <c r="A2279" s="6" t="s">
        <v>11304</v>
      </c>
      <c r="B2279" s="6" t="s">
        <v>5758</v>
      </c>
      <c r="C2279" s="10">
        <v>46059.0</v>
      </c>
      <c r="D2279" s="6" t="s">
        <v>416</v>
      </c>
      <c r="E2279" s="6" t="s">
        <v>863</v>
      </c>
      <c r="F2279" s="6" t="s">
        <v>249</v>
      </c>
      <c r="G2279" s="6" t="s">
        <v>326</v>
      </c>
      <c r="H2279" s="10">
        <v>46064.0</v>
      </c>
      <c r="I2279" s="12">
        <v>11.0</v>
      </c>
      <c r="J2279" s="6" t="s">
        <v>161</v>
      </c>
    </row>
    <row r="2280" ht="22.5" customHeight="1">
      <c r="A2280" s="6" t="s">
        <v>11309</v>
      </c>
      <c r="B2280" s="6" t="s">
        <v>5765</v>
      </c>
      <c r="C2280" s="10">
        <v>46062.0</v>
      </c>
      <c r="D2280" s="6" t="s">
        <v>436</v>
      </c>
      <c r="E2280" s="6" t="s">
        <v>610</v>
      </c>
      <c r="F2280" s="6" t="s">
        <v>249</v>
      </c>
      <c r="G2280" s="6" t="s">
        <v>254</v>
      </c>
      <c r="H2280" s="10">
        <v>46069.0</v>
      </c>
      <c r="I2280" s="12">
        <v>8.0</v>
      </c>
      <c r="J2280" s="6" t="s">
        <v>178</v>
      </c>
    </row>
    <row r="2281" ht="22.5" customHeight="1">
      <c r="A2281" s="6" t="s">
        <v>11313</v>
      </c>
      <c r="B2281" s="6" t="s">
        <v>5765</v>
      </c>
      <c r="C2281" s="10">
        <v>46056.0</v>
      </c>
      <c r="D2281" s="6" t="s">
        <v>242</v>
      </c>
      <c r="E2281" s="6" t="s">
        <v>716</v>
      </c>
      <c r="F2281" s="6" t="s">
        <v>112</v>
      </c>
      <c r="G2281" s="6" t="s">
        <v>494</v>
      </c>
      <c r="H2281" s="10">
        <v>46057.0</v>
      </c>
      <c r="I2281" s="12">
        <v>3.0</v>
      </c>
      <c r="J2281" s="6" t="s">
        <v>161</v>
      </c>
    </row>
    <row r="2282" ht="22.5" customHeight="1">
      <c r="A2282" s="6" t="s">
        <v>11316</v>
      </c>
      <c r="B2282" s="6" t="s">
        <v>5765</v>
      </c>
      <c r="C2282" s="10">
        <v>46058.0</v>
      </c>
      <c r="D2282" s="6" t="s">
        <v>436</v>
      </c>
      <c r="E2282" s="6" t="s">
        <v>394</v>
      </c>
      <c r="F2282" s="6" t="s">
        <v>283</v>
      </c>
      <c r="G2282" s="6" t="s">
        <v>326</v>
      </c>
      <c r="H2282" s="10">
        <v>46062.0</v>
      </c>
      <c r="I2282" s="12">
        <v>6.0</v>
      </c>
      <c r="J2282" s="6" t="s">
        <v>178</v>
      </c>
    </row>
    <row r="2283" ht="22.5" customHeight="1">
      <c r="A2283" s="6" t="s">
        <v>11320</v>
      </c>
      <c r="B2283" s="6" t="s">
        <v>5765</v>
      </c>
      <c r="C2283" s="10">
        <v>46069.0</v>
      </c>
      <c r="D2283" s="6" t="s">
        <v>289</v>
      </c>
      <c r="E2283" s="6" t="s">
        <v>798</v>
      </c>
      <c r="F2283" s="6" t="s">
        <v>249</v>
      </c>
      <c r="G2283" s="6" t="s">
        <v>452</v>
      </c>
      <c r="H2283" s="10">
        <v>46073.0</v>
      </c>
      <c r="I2283" s="12">
        <v>7.0</v>
      </c>
      <c r="J2283" s="6" t="s">
        <v>161</v>
      </c>
    </row>
    <row r="2284" ht="22.5" customHeight="1">
      <c r="A2284" s="6" t="s">
        <v>11323</v>
      </c>
      <c r="B2284" s="6" t="s">
        <v>5765</v>
      </c>
      <c r="C2284" s="10">
        <v>46066.0</v>
      </c>
      <c r="D2284" s="6" t="s">
        <v>242</v>
      </c>
      <c r="E2284" s="6" t="s">
        <v>475</v>
      </c>
      <c r="F2284" s="6" t="s">
        <v>283</v>
      </c>
      <c r="G2284" s="6" t="s">
        <v>326</v>
      </c>
      <c r="H2284" s="11" t="s">
        <v>259</v>
      </c>
      <c r="I2284" s="12">
        <v>4.0</v>
      </c>
      <c r="J2284" s="6" t="s">
        <v>178</v>
      </c>
    </row>
    <row r="2285" ht="22.5" customHeight="1">
      <c r="A2285" s="6" t="s">
        <v>11327</v>
      </c>
      <c r="B2285" s="6" t="s">
        <v>5770</v>
      </c>
      <c r="C2285" s="10">
        <v>46045.0</v>
      </c>
      <c r="D2285" s="6" t="s">
        <v>436</v>
      </c>
      <c r="E2285" s="6" t="s">
        <v>634</v>
      </c>
      <c r="F2285" s="6" t="s">
        <v>439</v>
      </c>
      <c r="G2285" s="6" t="s">
        <v>477</v>
      </c>
      <c r="H2285" s="10">
        <v>46050.0</v>
      </c>
      <c r="I2285" s="12">
        <v>8.0</v>
      </c>
      <c r="J2285" s="6" t="s">
        <v>178</v>
      </c>
    </row>
    <row r="2286" ht="22.5" customHeight="1">
      <c r="A2286" s="6" t="s">
        <v>11332</v>
      </c>
      <c r="B2286" s="6" t="s">
        <v>5770</v>
      </c>
      <c r="C2286" s="10">
        <v>46046.0</v>
      </c>
      <c r="D2286" s="6" t="s">
        <v>242</v>
      </c>
      <c r="E2286" s="6" t="s">
        <v>512</v>
      </c>
      <c r="F2286" s="6" t="s">
        <v>283</v>
      </c>
      <c r="G2286" s="6" t="s">
        <v>326</v>
      </c>
      <c r="H2286" s="10">
        <v>46050.0</v>
      </c>
      <c r="I2286" s="12">
        <v>5.0</v>
      </c>
      <c r="J2286" s="6" t="s">
        <v>178</v>
      </c>
    </row>
    <row r="2287" ht="22.5" customHeight="1">
      <c r="A2287" s="6" t="s">
        <v>11336</v>
      </c>
      <c r="B2287" s="6" t="s">
        <v>5770</v>
      </c>
      <c r="C2287" s="10">
        <v>46052.0</v>
      </c>
      <c r="D2287" s="6" t="s">
        <v>242</v>
      </c>
      <c r="E2287" s="6" t="s">
        <v>1626</v>
      </c>
      <c r="F2287" s="6" t="s">
        <v>112</v>
      </c>
      <c r="G2287" s="6" t="s">
        <v>477</v>
      </c>
      <c r="H2287" s="10">
        <v>46053.0</v>
      </c>
      <c r="I2287" s="12">
        <v>4.0</v>
      </c>
      <c r="J2287" s="6" t="s">
        <v>178</v>
      </c>
    </row>
    <row r="2288" ht="22.5" customHeight="1">
      <c r="A2288" s="6" t="s">
        <v>11340</v>
      </c>
      <c r="B2288" s="6" t="s">
        <v>5770</v>
      </c>
      <c r="C2288" s="10">
        <v>46064.0</v>
      </c>
      <c r="D2288" s="6" t="s">
        <v>242</v>
      </c>
      <c r="E2288" s="6" t="s">
        <v>512</v>
      </c>
      <c r="F2288" s="6" t="s">
        <v>283</v>
      </c>
      <c r="G2288" s="6" t="s">
        <v>452</v>
      </c>
      <c r="H2288" s="10">
        <v>46066.0</v>
      </c>
      <c r="I2288" s="12">
        <v>5.0</v>
      </c>
      <c r="J2288" s="6" t="s">
        <v>178</v>
      </c>
    </row>
    <row r="2289" ht="22.5" customHeight="1">
      <c r="A2289" s="6" t="s">
        <v>11345</v>
      </c>
      <c r="B2289" s="6" t="s">
        <v>5777</v>
      </c>
      <c r="C2289" s="10">
        <v>46075.0</v>
      </c>
      <c r="D2289" s="6" t="s">
        <v>312</v>
      </c>
      <c r="E2289" s="6" t="s">
        <v>1102</v>
      </c>
      <c r="F2289" s="6" t="s">
        <v>249</v>
      </c>
      <c r="G2289" s="6" t="s">
        <v>297</v>
      </c>
      <c r="H2289" s="10">
        <v>46077.0</v>
      </c>
      <c r="I2289" s="12">
        <v>5.0</v>
      </c>
      <c r="J2289" s="6" t="s">
        <v>161</v>
      </c>
    </row>
    <row r="2290" ht="22.5" customHeight="1">
      <c r="A2290" s="6" t="s">
        <v>11349</v>
      </c>
      <c r="B2290" s="6" t="s">
        <v>5777</v>
      </c>
      <c r="C2290" s="10">
        <v>46075.0</v>
      </c>
      <c r="D2290" s="6" t="s">
        <v>416</v>
      </c>
      <c r="E2290" s="6" t="s">
        <v>512</v>
      </c>
      <c r="F2290" s="6" t="s">
        <v>283</v>
      </c>
      <c r="G2290" s="6" t="s">
        <v>452</v>
      </c>
      <c r="H2290" s="10">
        <v>46080.0</v>
      </c>
      <c r="I2290" s="12">
        <v>14.0</v>
      </c>
      <c r="J2290" s="6" t="s">
        <v>161</v>
      </c>
    </row>
    <row r="2291" ht="22.5" customHeight="1">
      <c r="A2291" s="6" t="s">
        <v>11353</v>
      </c>
      <c r="B2291" s="6" t="s">
        <v>5783</v>
      </c>
      <c r="C2291" s="10">
        <v>46046.0</v>
      </c>
      <c r="D2291" s="6" t="s">
        <v>391</v>
      </c>
      <c r="E2291" s="6" t="s">
        <v>1546</v>
      </c>
      <c r="F2291" s="6" t="s">
        <v>249</v>
      </c>
      <c r="G2291" s="6" t="s">
        <v>326</v>
      </c>
      <c r="H2291" s="11" t="s">
        <v>259</v>
      </c>
      <c r="I2291" s="12">
        <v>7.0</v>
      </c>
      <c r="J2291" s="6" t="s">
        <v>161</v>
      </c>
    </row>
    <row r="2292" ht="22.5" customHeight="1">
      <c r="A2292" s="6" t="s">
        <v>11354</v>
      </c>
      <c r="B2292" s="6" t="s">
        <v>5783</v>
      </c>
      <c r="C2292" s="10">
        <v>46032.0</v>
      </c>
      <c r="D2292" s="6" t="s">
        <v>436</v>
      </c>
      <c r="E2292" s="6" t="s">
        <v>1552</v>
      </c>
      <c r="F2292" s="6" t="s">
        <v>283</v>
      </c>
      <c r="G2292" s="6" t="s">
        <v>452</v>
      </c>
      <c r="H2292" s="10">
        <v>46032.0</v>
      </c>
      <c r="I2292" s="12">
        <v>6.0</v>
      </c>
      <c r="J2292" s="6" t="s">
        <v>178</v>
      </c>
    </row>
    <row r="2293" ht="22.5" customHeight="1">
      <c r="A2293" s="6" t="s">
        <v>11357</v>
      </c>
      <c r="B2293" s="6" t="s">
        <v>5783</v>
      </c>
      <c r="C2293" s="10">
        <v>46032.0</v>
      </c>
      <c r="D2293" s="6" t="s">
        <v>436</v>
      </c>
      <c r="E2293" s="6" t="s">
        <v>885</v>
      </c>
      <c r="F2293" s="6" t="s">
        <v>283</v>
      </c>
      <c r="G2293" s="6" t="s">
        <v>494</v>
      </c>
      <c r="H2293" s="10">
        <v>46038.0</v>
      </c>
      <c r="I2293" s="12">
        <v>12.0</v>
      </c>
      <c r="J2293" s="6" t="s">
        <v>161</v>
      </c>
    </row>
    <row r="2294" ht="22.5" customHeight="1">
      <c r="A2294" s="6" t="s">
        <v>11361</v>
      </c>
      <c r="B2294" s="6" t="s">
        <v>5783</v>
      </c>
      <c r="C2294" s="10">
        <v>46038.0</v>
      </c>
      <c r="D2294" s="6" t="s">
        <v>416</v>
      </c>
      <c r="E2294" s="6" t="s">
        <v>1149</v>
      </c>
      <c r="F2294" s="6" t="s">
        <v>112</v>
      </c>
      <c r="G2294" s="6" t="s">
        <v>326</v>
      </c>
      <c r="H2294" s="10">
        <v>46041.0</v>
      </c>
      <c r="I2294" s="12">
        <v>13.0</v>
      </c>
      <c r="J2294" s="6" t="s">
        <v>161</v>
      </c>
    </row>
    <row r="2295" ht="22.5" customHeight="1">
      <c r="A2295" s="6" t="s">
        <v>11364</v>
      </c>
      <c r="B2295" s="6" t="s">
        <v>5783</v>
      </c>
      <c r="C2295" s="10">
        <v>46041.0</v>
      </c>
      <c r="D2295" s="6" t="s">
        <v>416</v>
      </c>
      <c r="E2295" s="6" t="s">
        <v>1570</v>
      </c>
      <c r="F2295" s="6" t="s">
        <v>439</v>
      </c>
      <c r="G2295" s="6" t="s">
        <v>369</v>
      </c>
      <c r="H2295" s="10">
        <v>46043.0</v>
      </c>
      <c r="I2295" s="12">
        <v>13.0</v>
      </c>
      <c r="J2295" s="6" t="s">
        <v>161</v>
      </c>
    </row>
    <row r="2296" ht="22.5" customHeight="1">
      <c r="A2296" s="6" t="s">
        <v>11367</v>
      </c>
      <c r="B2296" s="6" t="s">
        <v>5791</v>
      </c>
      <c r="C2296" s="10">
        <v>46084.0</v>
      </c>
      <c r="D2296" s="6" t="s">
        <v>391</v>
      </c>
      <c r="E2296" s="6" t="s">
        <v>1386</v>
      </c>
      <c r="F2296" s="6" t="s">
        <v>112</v>
      </c>
      <c r="G2296" s="6" t="s">
        <v>369</v>
      </c>
      <c r="H2296" s="10">
        <v>46085.0</v>
      </c>
      <c r="I2296" s="12">
        <v>10.0</v>
      </c>
      <c r="J2296" s="6" t="s">
        <v>161</v>
      </c>
    </row>
    <row r="2297" ht="22.5" customHeight="1">
      <c r="A2297" s="6" t="s">
        <v>11371</v>
      </c>
      <c r="B2297" s="6" t="s">
        <v>5791</v>
      </c>
      <c r="C2297" s="10">
        <v>46080.0</v>
      </c>
      <c r="D2297" s="6" t="s">
        <v>677</v>
      </c>
      <c r="E2297" s="6" t="s">
        <v>798</v>
      </c>
      <c r="F2297" s="6" t="s">
        <v>249</v>
      </c>
      <c r="G2297" s="6" t="s">
        <v>254</v>
      </c>
      <c r="H2297" s="10">
        <v>46085.0</v>
      </c>
      <c r="I2297" s="12">
        <v>3.0</v>
      </c>
      <c r="J2297" s="6" t="s">
        <v>161</v>
      </c>
    </row>
    <row r="2298" ht="22.5" customHeight="1">
      <c r="A2298" s="6" t="s">
        <v>11375</v>
      </c>
      <c r="B2298" s="6" t="s">
        <v>5791</v>
      </c>
      <c r="C2298" s="10">
        <v>46069.0</v>
      </c>
      <c r="D2298" s="6" t="s">
        <v>436</v>
      </c>
      <c r="E2298" s="6" t="s">
        <v>885</v>
      </c>
      <c r="F2298" s="6" t="s">
        <v>439</v>
      </c>
      <c r="G2298" s="6" t="s">
        <v>494</v>
      </c>
      <c r="H2298" s="10">
        <v>46071.0</v>
      </c>
      <c r="I2298" s="12">
        <v>9.0</v>
      </c>
      <c r="J2298" s="6" t="s">
        <v>178</v>
      </c>
    </row>
    <row r="2299" ht="22.5" customHeight="1">
      <c r="A2299" s="6" t="s">
        <v>11378</v>
      </c>
      <c r="B2299" s="6" t="s">
        <v>5798</v>
      </c>
      <c r="C2299" s="10">
        <v>46049.0</v>
      </c>
      <c r="D2299" s="6" t="s">
        <v>436</v>
      </c>
      <c r="E2299" s="6" t="s">
        <v>1700</v>
      </c>
      <c r="F2299" s="6" t="s">
        <v>439</v>
      </c>
      <c r="G2299" s="6" t="s">
        <v>297</v>
      </c>
      <c r="H2299" s="11" t="s">
        <v>259</v>
      </c>
      <c r="I2299" s="12">
        <v>9.0</v>
      </c>
      <c r="J2299" s="6" t="s">
        <v>178</v>
      </c>
    </row>
    <row r="2300" ht="22.5" customHeight="1">
      <c r="A2300" s="6" t="s">
        <v>11382</v>
      </c>
      <c r="B2300" s="6" t="s">
        <v>5798</v>
      </c>
      <c r="C2300" s="10">
        <v>46063.0</v>
      </c>
      <c r="D2300" s="6" t="s">
        <v>416</v>
      </c>
      <c r="E2300" s="6" t="s">
        <v>1552</v>
      </c>
      <c r="F2300" s="6" t="s">
        <v>283</v>
      </c>
      <c r="G2300" s="6" t="s">
        <v>326</v>
      </c>
      <c r="H2300" s="10">
        <v>46064.0</v>
      </c>
      <c r="I2300" s="12">
        <v>9.0</v>
      </c>
      <c r="J2300" s="6" t="s">
        <v>161</v>
      </c>
    </row>
    <row r="2301" ht="22.5" customHeight="1">
      <c r="A2301" s="6" t="s">
        <v>11385</v>
      </c>
      <c r="B2301" s="6" t="s">
        <v>5798</v>
      </c>
      <c r="C2301" s="10">
        <v>46067.0</v>
      </c>
      <c r="D2301" s="6" t="s">
        <v>677</v>
      </c>
      <c r="E2301" s="6" t="s">
        <v>246</v>
      </c>
      <c r="F2301" s="6" t="s">
        <v>283</v>
      </c>
      <c r="G2301" s="6" t="s">
        <v>494</v>
      </c>
      <c r="H2301" s="10">
        <v>46074.0</v>
      </c>
      <c r="I2301" s="12">
        <v>3.0</v>
      </c>
      <c r="J2301" s="6" t="s">
        <v>161</v>
      </c>
    </row>
    <row r="2302" ht="22.5" customHeight="1">
      <c r="A2302" s="6" t="s">
        <v>11388</v>
      </c>
      <c r="B2302" s="6" t="s">
        <v>5798</v>
      </c>
      <c r="C2302" s="10">
        <v>46062.0</v>
      </c>
      <c r="D2302" s="6" t="s">
        <v>436</v>
      </c>
      <c r="E2302" s="6" t="s">
        <v>1600</v>
      </c>
      <c r="F2302" s="6" t="s">
        <v>283</v>
      </c>
      <c r="G2302" s="6" t="s">
        <v>297</v>
      </c>
      <c r="H2302" s="10">
        <v>46064.0</v>
      </c>
      <c r="I2302" s="12">
        <v>6.0</v>
      </c>
      <c r="J2302" s="6" t="s">
        <v>178</v>
      </c>
    </row>
    <row r="2303" ht="22.5" customHeight="1">
      <c r="A2303" s="6" t="s">
        <v>11391</v>
      </c>
      <c r="B2303" s="6" t="s">
        <v>5798</v>
      </c>
      <c r="C2303" s="10">
        <v>46060.0</v>
      </c>
      <c r="D2303" s="6" t="s">
        <v>436</v>
      </c>
      <c r="E2303" s="6" t="s">
        <v>512</v>
      </c>
      <c r="F2303" s="6" t="s">
        <v>249</v>
      </c>
      <c r="G2303" s="6" t="s">
        <v>326</v>
      </c>
      <c r="H2303" s="10">
        <v>46060.0</v>
      </c>
      <c r="I2303" s="12">
        <v>8.0</v>
      </c>
      <c r="J2303" s="6" t="s">
        <v>178</v>
      </c>
    </row>
    <row r="2304" ht="22.5" customHeight="1">
      <c r="A2304" s="6" t="s">
        <v>11394</v>
      </c>
      <c r="B2304" s="6" t="s">
        <v>5805</v>
      </c>
      <c r="C2304" s="10">
        <v>46037.0</v>
      </c>
      <c r="D2304" s="6" t="s">
        <v>391</v>
      </c>
      <c r="E2304" s="6" t="s">
        <v>512</v>
      </c>
      <c r="F2304" s="6" t="s">
        <v>112</v>
      </c>
      <c r="G2304" s="6" t="s">
        <v>452</v>
      </c>
      <c r="H2304" s="10">
        <v>46038.0</v>
      </c>
      <c r="I2304" s="12">
        <v>11.0</v>
      </c>
      <c r="J2304" s="6" t="s">
        <v>161</v>
      </c>
    </row>
    <row r="2305" ht="22.5" customHeight="1">
      <c r="A2305" s="6" t="s">
        <v>11397</v>
      </c>
      <c r="B2305" s="6" t="s">
        <v>5805</v>
      </c>
      <c r="C2305" s="10">
        <v>46037.0</v>
      </c>
      <c r="D2305" s="6" t="s">
        <v>391</v>
      </c>
      <c r="E2305" s="6" t="s">
        <v>863</v>
      </c>
      <c r="F2305" s="6" t="s">
        <v>112</v>
      </c>
      <c r="G2305" s="6" t="s">
        <v>297</v>
      </c>
      <c r="H2305" s="10">
        <v>46038.0</v>
      </c>
      <c r="I2305" s="12">
        <v>9.0</v>
      </c>
      <c r="J2305" s="6" t="s">
        <v>161</v>
      </c>
    </row>
    <row r="2306" ht="22.5" customHeight="1">
      <c r="A2306" s="6" t="s">
        <v>11400</v>
      </c>
      <c r="B2306" s="6" t="s">
        <v>5805</v>
      </c>
      <c r="C2306" s="10">
        <v>46038.0</v>
      </c>
      <c r="D2306" s="6" t="s">
        <v>289</v>
      </c>
      <c r="E2306" s="6" t="s">
        <v>1741</v>
      </c>
      <c r="F2306" s="6" t="s">
        <v>249</v>
      </c>
      <c r="G2306" s="6" t="s">
        <v>494</v>
      </c>
      <c r="H2306" s="10">
        <v>46043.0</v>
      </c>
      <c r="I2306" s="12">
        <v>8.0</v>
      </c>
      <c r="J2306" s="6" t="s">
        <v>161</v>
      </c>
    </row>
    <row r="2307" ht="22.5" customHeight="1">
      <c r="A2307" s="6" t="s">
        <v>11404</v>
      </c>
      <c r="B2307" s="6" t="s">
        <v>5805</v>
      </c>
      <c r="C2307" s="10">
        <v>46043.0</v>
      </c>
      <c r="D2307" s="6" t="s">
        <v>312</v>
      </c>
      <c r="E2307" s="6" t="s">
        <v>291</v>
      </c>
      <c r="F2307" s="6" t="s">
        <v>249</v>
      </c>
      <c r="G2307" s="6" t="s">
        <v>477</v>
      </c>
      <c r="H2307" s="10">
        <v>46050.0</v>
      </c>
      <c r="I2307" s="12">
        <v>4.0</v>
      </c>
      <c r="J2307" s="6" t="s">
        <v>161</v>
      </c>
    </row>
    <row r="2308" ht="22.5" customHeight="1">
      <c r="A2308" s="6" t="s">
        <v>11407</v>
      </c>
      <c r="B2308" s="6" t="s">
        <v>5805</v>
      </c>
      <c r="C2308" s="10">
        <v>46024.0</v>
      </c>
      <c r="D2308" s="6" t="s">
        <v>416</v>
      </c>
      <c r="E2308" s="6" t="s">
        <v>583</v>
      </c>
      <c r="F2308" s="6" t="s">
        <v>249</v>
      </c>
      <c r="G2308" s="6" t="s">
        <v>452</v>
      </c>
      <c r="H2308" s="10">
        <v>46026.0</v>
      </c>
      <c r="I2308" s="12">
        <v>8.0</v>
      </c>
      <c r="J2308" s="6" t="s">
        <v>161</v>
      </c>
    </row>
    <row r="2309" ht="22.5" customHeight="1">
      <c r="A2309" s="6" t="s">
        <v>11410</v>
      </c>
      <c r="B2309" s="6" t="s">
        <v>5813</v>
      </c>
      <c r="C2309" s="10">
        <v>46031.0</v>
      </c>
      <c r="D2309" s="6" t="s">
        <v>391</v>
      </c>
      <c r="E2309" s="6" t="s">
        <v>475</v>
      </c>
      <c r="F2309" s="6" t="s">
        <v>112</v>
      </c>
      <c r="G2309" s="6" t="s">
        <v>494</v>
      </c>
      <c r="H2309" s="10">
        <v>46037.0</v>
      </c>
      <c r="I2309" s="12">
        <v>11.0</v>
      </c>
      <c r="J2309" s="6" t="s">
        <v>161</v>
      </c>
    </row>
    <row r="2310" ht="22.5" customHeight="1">
      <c r="A2310" s="6" t="s">
        <v>11412</v>
      </c>
      <c r="B2310" s="6" t="s">
        <v>5813</v>
      </c>
      <c r="C2310" s="10">
        <v>46034.0</v>
      </c>
      <c r="D2310" s="6" t="s">
        <v>312</v>
      </c>
      <c r="E2310" s="6" t="s">
        <v>365</v>
      </c>
      <c r="F2310" s="6" t="s">
        <v>249</v>
      </c>
      <c r="G2310" s="6" t="s">
        <v>494</v>
      </c>
      <c r="H2310" s="10">
        <v>46037.0</v>
      </c>
      <c r="I2310" s="12">
        <v>5.0</v>
      </c>
      <c r="J2310" s="6" t="s">
        <v>161</v>
      </c>
    </row>
    <row r="2311" ht="22.5" customHeight="1">
      <c r="A2311" s="6" t="s">
        <v>11415</v>
      </c>
      <c r="B2311" s="6" t="s">
        <v>5813</v>
      </c>
      <c r="C2311" s="10">
        <v>46048.0</v>
      </c>
      <c r="D2311" s="6" t="s">
        <v>312</v>
      </c>
      <c r="E2311" s="6" t="s">
        <v>1149</v>
      </c>
      <c r="F2311" s="6" t="s">
        <v>439</v>
      </c>
      <c r="G2311" s="6" t="s">
        <v>494</v>
      </c>
      <c r="H2311" s="10">
        <v>46050.0</v>
      </c>
      <c r="I2311" s="12">
        <v>5.0</v>
      </c>
      <c r="J2311" s="6" t="s">
        <v>161</v>
      </c>
    </row>
    <row r="2312" ht="22.5" customHeight="1">
      <c r="A2312" s="6" t="s">
        <v>11419</v>
      </c>
      <c r="B2312" s="6" t="s">
        <v>5819</v>
      </c>
      <c r="C2312" s="10">
        <v>46039.0</v>
      </c>
      <c r="D2312" s="6" t="s">
        <v>416</v>
      </c>
      <c r="E2312" s="6" t="s">
        <v>1517</v>
      </c>
      <c r="F2312" s="6" t="s">
        <v>283</v>
      </c>
      <c r="G2312" s="6" t="s">
        <v>458</v>
      </c>
      <c r="H2312" s="10">
        <v>46039.0</v>
      </c>
      <c r="I2312" s="12">
        <v>12.0</v>
      </c>
      <c r="J2312" s="6" t="s">
        <v>161</v>
      </c>
    </row>
    <row r="2313" ht="22.5" customHeight="1">
      <c r="A2313" s="6" t="s">
        <v>11420</v>
      </c>
      <c r="B2313" s="6" t="s">
        <v>5825</v>
      </c>
      <c r="C2313" s="10">
        <v>46051.0</v>
      </c>
      <c r="D2313" s="6" t="s">
        <v>677</v>
      </c>
      <c r="E2313" s="6" t="s">
        <v>1122</v>
      </c>
      <c r="F2313" s="6" t="s">
        <v>112</v>
      </c>
      <c r="G2313" s="6" t="s">
        <v>254</v>
      </c>
      <c r="H2313" s="10">
        <v>46057.0</v>
      </c>
      <c r="I2313" s="12">
        <v>2.0</v>
      </c>
      <c r="J2313" s="6" t="s">
        <v>161</v>
      </c>
    </row>
    <row r="2314" ht="22.5" customHeight="1">
      <c r="A2314" s="6" t="s">
        <v>11423</v>
      </c>
      <c r="B2314" s="6" t="s">
        <v>5825</v>
      </c>
      <c r="C2314" s="10">
        <v>46051.0</v>
      </c>
      <c r="D2314" s="6" t="s">
        <v>289</v>
      </c>
      <c r="E2314" s="6" t="s">
        <v>1055</v>
      </c>
      <c r="F2314" s="6" t="s">
        <v>249</v>
      </c>
      <c r="G2314" s="6" t="s">
        <v>477</v>
      </c>
      <c r="H2314" s="10">
        <v>46058.0</v>
      </c>
      <c r="I2314" s="12">
        <v>8.0</v>
      </c>
      <c r="J2314" s="6" t="s">
        <v>161</v>
      </c>
    </row>
    <row r="2315" ht="22.5" customHeight="1">
      <c r="A2315" s="6" t="s">
        <v>11427</v>
      </c>
      <c r="B2315" s="6" t="s">
        <v>5825</v>
      </c>
      <c r="C2315" s="10">
        <v>46045.0</v>
      </c>
      <c r="D2315" s="6" t="s">
        <v>242</v>
      </c>
      <c r="E2315" s="6" t="s">
        <v>1720</v>
      </c>
      <c r="F2315" s="6" t="s">
        <v>249</v>
      </c>
      <c r="G2315" s="6" t="s">
        <v>326</v>
      </c>
      <c r="H2315" s="10">
        <v>46049.0</v>
      </c>
      <c r="I2315" s="12">
        <v>5.0</v>
      </c>
      <c r="J2315" s="6" t="s">
        <v>161</v>
      </c>
    </row>
    <row r="2316" ht="22.5" customHeight="1">
      <c r="A2316" s="6" t="s">
        <v>11429</v>
      </c>
      <c r="B2316" s="6" t="s">
        <v>5832</v>
      </c>
      <c r="C2316" s="10">
        <v>46067.0</v>
      </c>
      <c r="D2316" s="6" t="s">
        <v>242</v>
      </c>
      <c r="E2316" s="6" t="s">
        <v>1273</v>
      </c>
      <c r="F2316" s="6" t="s">
        <v>439</v>
      </c>
      <c r="G2316" s="6" t="s">
        <v>477</v>
      </c>
      <c r="H2316" s="10">
        <v>46074.0</v>
      </c>
      <c r="I2316" s="12">
        <v>6.0</v>
      </c>
      <c r="J2316" s="6" t="s">
        <v>161</v>
      </c>
    </row>
    <row r="2317" ht="22.5" customHeight="1">
      <c r="A2317" s="6" t="s">
        <v>11431</v>
      </c>
      <c r="B2317" s="6" t="s">
        <v>5832</v>
      </c>
      <c r="C2317" s="10">
        <v>46077.0</v>
      </c>
      <c r="D2317" s="6" t="s">
        <v>391</v>
      </c>
      <c r="E2317" s="6" t="s">
        <v>787</v>
      </c>
      <c r="F2317" s="6" t="s">
        <v>112</v>
      </c>
      <c r="G2317" s="6" t="s">
        <v>254</v>
      </c>
      <c r="H2317" s="10">
        <v>46082.0</v>
      </c>
      <c r="I2317" s="12">
        <v>8.0</v>
      </c>
      <c r="J2317" s="6" t="s">
        <v>161</v>
      </c>
    </row>
    <row r="2318" ht="22.5" customHeight="1">
      <c r="A2318" s="6" t="s">
        <v>11436</v>
      </c>
      <c r="B2318" s="6" t="s">
        <v>5838</v>
      </c>
      <c r="C2318" s="10">
        <v>46074.0</v>
      </c>
      <c r="D2318" s="6" t="s">
        <v>289</v>
      </c>
      <c r="E2318" s="6" t="s">
        <v>1070</v>
      </c>
      <c r="F2318" s="6" t="s">
        <v>283</v>
      </c>
      <c r="G2318" s="6" t="s">
        <v>369</v>
      </c>
      <c r="H2318" s="10">
        <v>46080.0</v>
      </c>
      <c r="I2318" s="12">
        <v>8.0</v>
      </c>
      <c r="J2318" s="6" t="s">
        <v>161</v>
      </c>
    </row>
    <row r="2319" ht="22.5" customHeight="1">
      <c r="A2319" s="6" t="s">
        <v>11440</v>
      </c>
      <c r="B2319" s="6" t="s">
        <v>5838</v>
      </c>
      <c r="C2319" s="10">
        <v>46075.0</v>
      </c>
      <c r="D2319" s="6" t="s">
        <v>416</v>
      </c>
      <c r="E2319" s="6" t="s">
        <v>658</v>
      </c>
      <c r="F2319" s="6" t="s">
        <v>112</v>
      </c>
      <c r="G2319" s="6" t="s">
        <v>494</v>
      </c>
      <c r="H2319" s="10">
        <v>46082.0</v>
      </c>
      <c r="I2319" s="12">
        <v>9.0</v>
      </c>
      <c r="J2319" s="6" t="s">
        <v>161</v>
      </c>
    </row>
    <row r="2320" ht="22.5" customHeight="1">
      <c r="A2320" s="6" t="s">
        <v>11445</v>
      </c>
      <c r="B2320" s="6" t="s">
        <v>5838</v>
      </c>
      <c r="C2320" s="10">
        <v>46066.0</v>
      </c>
      <c r="D2320" s="6" t="s">
        <v>416</v>
      </c>
      <c r="E2320" s="6" t="s">
        <v>1280</v>
      </c>
      <c r="F2320" s="6" t="s">
        <v>112</v>
      </c>
      <c r="G2320" s="6" t="s">
        <v>369</v>
      </c>
      <c r="H2320" s="10">
        <v>46071.0</v>
      </c>
      <c r="I2320" s="12">
        <v>8.0</v>
      </c>
      <c r="J2320" s="6" t="s">
        <v>161</v>
      </c>
    </row>
    <row r="2321" ht="22.5" customHeight="1">
      <c r="A2321" s="6" t="s">
        <v>11449</v>
      </c>
      <c r="B2321" s="6" t="s">
        <v>5838</v>
      </c>
      <c r="C2321" s="10">
        <v>46077.0</v>
      </c>
      <c r="D2321" s="6" t="s">
        <v>677</v>
      </c>
      <c r="E2321" s="6" t="s">
        <v>798</v>
      </c>
      <c r="F2321" s="6" t="s">
        <v>283</v>
      </c>
      <c r="G2321" s="6" t="s">
        <v>297</v>
      </c>
      <c r="H2321" s="10">
        <v>46084.0</v>
      </c>
      <c r="I2321" s="12">
        <v>3.0</v>
      </c>
      <c r="J2321" s="6" t="s">
        <v>161</v>
      </c>
    </row>
    <row r="2322" ht="22.5" customHeight="1">
      <c r="A2322" s="6" t="s">
        <v>11454</v>
      </c>
      <c r="B2322" s="6" t="s">
        <v>5844</v>
      </c>
      <c r="C2322" s="10">
        <v>46063.0</v>
      </c>
      <c r="D2322" s="6" t="s">
        <v>312</v>
      </c>
      <c r="E2322" s="6" t="s">
        <v>1720</v>
      </c>
      <c r="F2322" s="6" t="s">
        <v>249</v>
      </c>
      <c r="G2322" s="6" t="s">
        <v>494</v>
      </c>
      <c r="H2322" s="11" t="s">
        <v>259</v>
      </c>
      <c r="I2322" s="12">
        <v>4.0</v>
      </c>
      <c r="J2322" s="6" t="s">
        <v>161</v>
      </c>
    </row>
    <row r="2323" ht="22.5" customHeight="1">
      <c r="A2323" s="6" t="s">
        <v>11459</v>
      </c>
      <c r="B2323" s="6" t="s">
        <v>5844</v>
      </c>
      <c r="C2323" s="10">
        <v>46078.0</v>
      </c>
      <c r="D2323" s="6" t="s">
        <v>312</v>
      </c>
      <c r="E2323" s="6" t="s">
        <v>716</v>
      </c>
      <c r="F2323" s="6" t="s">
        <v>439</v>
      </c>
      <c r="G2323" s="6" t="s">
        <v>494</v>
      </c>
      <c r="H2323" s="10">
        <v>46082.0</v>
      </c>
      <c r="I2323" s="12">
        <v>5.0</v>
      </c>
      <c r="J2323" s="6" t="s">
        <v>161</v>
      </c>
    </row>
    <row r="2324" ht="22.5" customHeight="1">
      <c r="A2324" s="6" t="s">
        <v>11461</v>
      </c>
      <c r="B2324" s="6" t="s">
        <v>5844</v>
      </c>
      <c r="C2324" s="10">
        <v>46081.0</v>
      </c>
      <c r="D2324" s="6" t="s">
        <v>289</v>
      </c>
      <c r="E2324" s="6" t="s">
        <v>658</v>
      </c>
      <c r="F2324" s="6" t="s">
        <v>249</v>
      </c>
      <c r="G2324" s="6" t="s">
        <v>494</v>
      </c>
      <c r="H2324" s="10">
        <v>46087.0</v>
      </c>
      <c r="I2324" s="12">
        <v>5.0</v>
      </c>
      <c r="J2324" s="6" t="s">
        <v>161</v>
      </c>
    </row>
    <row r="2325" ht="22.5" customHeight="1">
      <c r="A2325" s="6" t="s">
        <v>11466</v>
      </c>
      <c r="B2325" s="6" t="s">
        <v>5852</v>
      </c>
      <c r="C2325" s="10">
        <v>46047.0</v>
      </c>
      <c r="D2325" s="6" t="s">
        <v>416</v>
      </c>
      <c r="E2325" s="6" t="s">
        <v>628</v>
      </c>
      <c r="F2325" s="6" t="s">
        <v>439</v>
      </c>
      <c r="G2325" s="6" t="s">
        <v>254</v>
      </c>
      <c r="H2325" s="10">
        <v>46053.0</v>
      </c>
      <c r="I2325" s="12">
        <v>11.0</v>
      </c>
      <c r="J2325" s="6" t="s">
        <v>161</v>
      </c>
    </row>
    <row r="2326" ht="22.5" customHeight="1">
      <c r="A2326" s="6" t="s">
        <v>11471</v>
      </c>
      <c r="B2326" s="6" t="s">
        <v>5852</v>
      </c>
      <c r="C2326" s="10">
        <v>46061.0</v>
      </c>
      <c r="D2326" s="6" t="s">
        <v>436</v>
      </c>
      <c r="E2326" s="6" t="s">
        <v>365</v>
      </c>
      <c r="F2326" s="6" t="s">
        <v>283</v>
      </c>
      <c r="G2326" s="6" t="s">
        <v>297</v>
      </c>
      <c r="H2326" s="10">
        <v>46063.0</v>
      </c>
      <c r="I2326" s="12">
        <v>7.0</v>
      </c>
      <c r="J2326" s="6" t="s">
        <v>178</v>
      </c>
    </row>
    <row r="2327" ht="22.5" customHeight="1">
      <c r="A2327" s="6" t="s">
        <v>11475</v>
      </c>
      <c r="B2327" s="6" t="s">
        <v>5859</v>
      </c>
      <c r="C2327" s="10">
        <v>46041.0</v>
      </c>
      <c r="D2327" s="6" t="s">
        <v>677</v>
      </c>
      <c r="E2327" s="6" t="s">
        <v>787</v>
      </c>
      <c r="F2327" s="6" t="s">
        <v>249</v>
      </c>
      <c r="G2327" s="6" t="s">
        <v>254</v>
      </c>
      <c r="H2327" s="10">
        <v>46041.0</v>
      </c>
      <c r="I2327" s="12">
        <v>2.0</v>
      </c>
      <c r="J2327" s="6" t="s">
        <v>161</v>
      </c>
    </row>
    <row r="2328" ht="22.5" customHeight="1">
      <c r="A2328" s="6" t="s">
        <v>11480</v>
      </c>
      <c r="B2328" s="6" t="s">
        <v>5867</v>
      </c>
      <c r="C2328" s="10">
        <v>46063.0</v>
      </c>
      <c r="D2328" s="6" t="s">
        <v>416</v>
      </c>
      <c r="E2328" s="6" t="s">
        <v>1296</v>
      </c>
      <c r="F2328" s="6" t="s">
        <v>249</v>
      </c>
      <c r="G2328" s="6" t="s">
        <v>254</v>
      </c>
      <c r="H2328" s="10">
        <v>46064.0</v>
      </c>
      <c r="I2328" s="12">
        <v>11.0</v>
      </c>
      <c r="J2328" s="6" t="s">
        <v>161</v>
      </c>
    </row>
    <row r="2329" ht="22.5" customHeight="1">
      <c r="A2329" s="6" t="s">
        <v>11485</v>
      </c>
      <c r="B2329" s="6" t="s">
        <v>5867</v>
      </c>
      <c r="C2329" s="10">
        <v>46048.0</v>
      </c>
      <c r="D2329" s="6" t="s">
        <v>677</v>
      </c>
      <c r="E2329" s="6" t="s">
        <v>1626</v>
      </c>
      <c r="F2329" s="6" t="s">
        <v>439</v>
      </c>
      <c r="G2329" s="6" t="s">
        <v>254</v>
      </c>
      <c r="H2329" s="10">
        <v>46053.0</v>
      </c>
      <c r="I2329" s="12">
        <v>3.0</v>
      </c>
      <c r="J2329" s="6" t="s">
        <v>161</v>
      </c>
    </row>
    <row r="2330" ht="22.5" customHeight="1">
      <c r="A2330" s="6" t="s">
        <v>11490</v>
      </c>
      <c r="B2330" s="6" t="s">
        <v>5874</v>
      </c>
      <c r="C2330" s="10">
        <v>46036.0</v>
      </c>
      <c r="D2330" s="6" t="s">
        <v>416</v>
      </c>
      <c r="E2330" s="6" t="s">
        <v>628</v>
      </c>
      <c r="F2330" s="6" t="s">
        <v>249</v>
      </c>
      <c r="G2330" s="6" t="s">
        <v>452</v>
      </c>
      <c r="H2330" s="10">
        <v>46036.0</v>
      </c>
      <c r="I2330" s="12">
        <v>13.0</v>
      </c>
      <c r="J2330" s="6" t="s">
        <v>161</v>
      </c>
    </row>
    <row r="2331" ht="22.5" customHeight="1">
      <c r="A2331" s="6" t="s">
        <v>11496</v>
      </c>
      <c r="B2331" s="6" t="s">
        <v>5874</v>
      </c>
      <c r="C2331" s="10">
        <v>46024.0</v>
      </c>
      <c r="D2331" s="6" t="s">
        <v>416</v>
      </c>
      <c r="E2331" s="6" t="s">
        <v>1035</v>
      </c>
      <c r="F2331" s="6" t="s">
        <v>249</v>
      </c>
      <c r="G2331" s="6" t="s">
        <v>458</v>
      </c>
      <c r="H2331" s="10">
        <v>46025.0</v>
      </c>
      <c r="I2331" s="12">
        <v>14.0</v>
      </c>
      <c r="J2331" s="6" t="s">
        <v>161</v>
      </c>
    </row>
    <row r="2332" ht="22.5" customHeight="1">
      <c r="A2332" s="6" t="s">
        <v>11499</v>
      </c>
      <c r="B2332" s="6" t="s">
        <v>5874</v>
      </c>
      <c r="C2332" s="10">
        <v>46030.0</v>
      </c>
      <c r="D2332" s="6" t="s">
        <v>391</v>
      </c>
      <c r="E2332" s="6" t="s">
        <v>450</v>
      </c>
      <c r="F2332" s="6" t="s">
        <v>439</v>
      </c>
      <c r="G2332" s="6" t="s">
        <v>369</v>
      </c>
      <c r="H2332" s="10">
        <v>46030.0</v>
      </c>
      <c r="I2332" s="12">
        <v>10.0</v>
      </c>
      <c r="J2332" s="6" t="s">
        <v>161</v>
      </c>
    </row>
    <row r="2333" ht="22.5" customHeight="1">
      <c r="A2333" s="6" t="s">
        <v>11503</v>
      </c>
      <c r="B2333" s="6" t="s">
        <v>5874</v>
      </c>
      <c r="C2333" s="10">
        <v>46038.0</v>
      </c>
      <c r="D2333" s="6" t="s">
        <v>436</v>
      </c>
      <c r="E2333" s="6" t="s">
        <v>1720</v>
      </c>
      <c r="F2333" s="6" t="s">
        <v>112</v>
      </c>
      <c r="G2333" s="6" t="s">
        <v>326</v>
      </c>
      <c r="H2333" s="10">
        <v>46038.0</v>
      </c>
      <c r="I2333" s="12">
        <v>10.0</v>
      </c>
      <c r="J2333" s="6" t="s">
        <v>178</v>
      </c>
    </row>
    <row r="2334" ht="22.5" customHeight="1">
      <c r="A2334" s="6" t="s">
        <v>11508</v>
      </c>
      <c r="B2334" s="6" t="s">
        <v>5874</v>
      </c>
      <c r="C2334" s="10">
        <v>46029.0</v>
      </c>
      <c r="D2334" s="6" t="s">
        <v>677</v>
      </c>
      <c r="E2334" s="6" t="s">
        <v>1720</v>
      </c>
      <c r="F2334" s="6" t="s">
        <v>249</v>
      </c>
      <c r="G2334" s="6" t="s">
        <v>452</v>
      </c>
      <c r="H2334" s="10">
        <v>46032.0</v>
      </c>
      <c r="I2334" s="12">
        <v>3.0</v>
      </c>
      <c r="J2334" s="6" t="s">
        <v>161</v>
      </c>
    </row>
    <row r="2335" ht="22.5" customHeight="1">
      <c r="A2335" s="6" t="s">
        <v>11514</v>
      </c>
      <c r="B2335" s="6" t="s">
        <v>5882</v>
      </c>
      <c r="C2335" s="10">
        <v>46039.0</v>
      </c>
      <c r="D2335" s="6" t="s">
        <v>391</v>
      </c>
      <c r="E2335" s="6" t="s">
        <v>1626</v>
      </c>
      <c r="F2335" s="6" t="s">
        <v>112</v>
      </c>
      <c r="G2335" s="6" t="s">
        <v>297</v>
      </c>
      <c r="H2335" s="10">
        <v>46046.0</v>
      </c>
      <c r="I2335" s="12">
        <v>9.0</v>
      </c>
      <c r="J2335" s="6" t="s">
        <v>161</v>
      </c>
    </row>
    <row r="2336" ht="22.5" customHeight="1">
      <c r="A2336" s="6" t="s">
        <v>11519</v>
      </c>
      <c r="B2336" s="6" t="s">
        <v>5888</v>
      </c>
      <c r="C2336" s="10">
        <v>46060.0</v>
      </c>
      <c r="D2336" s="6" t="s">
        <v>436</v>
      </c>
      <c r="E2336" s="6" t="s">
        <v>1700</v>
      </c>
      <c r="F2336" s="6" t="s">
        <v>283</v>
      </c>
      <c r="G2336" s="6" t="s">
        <v>254</v>
      </c>
      <c r="H2336" s="10">
        <v>46062.0</v>
      </c>
      <c r="I2336" s="12">
        <v>8.0</v>
      </c>
      <c r="J2336" s="6" t="s">
        <v>161</v>
      </c>
    </row>
    <row r="2337" ht="22.5" customHeight="1">
      <c r="A2337" s="6" t="s">
        <v>11525</v>
      </c>
      <c r="B2337" s="6" t="s">
        <v>5888</v>
      </c>
      <c r="C2337" s="10">
        <v>46041.0</v>
      </c>
      <c r="D2337" s="6" t="s">
        <v>312</v>
      </c>
      <c r="E2337" s="6" t="s">
        <v>1035</v>
      </c>
      <c r="F2337" s="6" t="s">
        <v>112</v>
      </c>
      <c r="G2337" s="6" t="s">
        <v>494</v>
      </c>
      <c r="H2337" s="10">
        <v>46041.0</v>
      </c>
      <c r="I2337" s="12">
        <v>7.0</v>
      </c>
      <c r="J2337" s="6" t="s">
        <v>161</v>
      </c>
    </row>
    <row r="2338" ht="22.5" customHeight="1">
      <c r="A2338" s="6" t="s">
        <v>11529</v>
      </c>
      <c r="B2338" s="6" t="s">
        <v>5888</v>
      </c>
      <c r="C2338" s="10">
        <v>46045.0</v>
      </c>
      <c r="D2338" s="6" t="s">
        <v>289</v>
      </c>
      <c r="E2338" s="6" t="s">
        <v>1720</v>
      </c>
      <c r="F2338" s="6" t="s">
        <v>439</v>
      </c>
      <c r="G2338" s="6" t="s">
        <v>297</v>
      </c>
      <c r="H2338" s="10">
        <v>46052.0</v>
      </c>
      <c r="I2338" s="12">
        <v>5.0</v>
      </c>
      <c r="J2338" s="6" t="s">
        <v>161</v>
      </c>
    </row>
    <row r="2339" ht="22.5" customHeight="1">
      <c r="A2339" s="6" t="s">
        <v>11534</v>
      </c>
      <c r="B2339" s="6" t="s">
        <v>5894</v>
      </c>
      <c r="C2339" s="10">
        <v>46043.0</v>
      </c>
      <c r="D2339" s="6" t="s">
        <v>677</v>
      </c>
      <c r="E2339" s="6" t="s">
        <v>2881</v>
      </c>
      <c r="F2339" s="6" t="s">
        <v>283</v>
      </c>
      <c r="G2339" s="6" t="s">
        <v>477</v>
      </c>
      <c r="H2339" s="10">
        <v>46045.0</v>
      </c>
      <c r="I2339" s="12">
        <v>4.0</v>
      </c>
      <c r="J2339" s="6" t="s">
        <v>161</v>
      </c>
    </row>
    <row r="2340" ht="22.5" customHeight="1">
      <c r="A2340" s="6" t="s">
        <v>11538</v>
      </c>
      <c r="B2340" s="6" t="s">
        <v>5894</v>
      </c>
      <c r="C2340" s="10">
        <v>46058.0</v>
      </c>
      <c r="D2340" s="6" t="s">
        <v>312</v>
      </c>
      <c r="E2340" s="6" t="s">
        <v>610</v>
      </c>
      <c r="F2340" s="6" t="s">
        <v>439</v>
      </c>
      <c r="G2340" s="6" t="s">
        <v>254</v>
      </c>
      <c r="H2340" s="10">
        <v>46061.0</v>
      </c>
      <c r="I2340" s="12">
        <v>7.0</v>
      </c>
      <c r="J2340" s="6" t="s">
        <v>161</v>
      </c>
    </row>
    <row r="2341" ht="22.5" customHeight="1">
      <c r="A2341" s="6" t="s">
        <v>11546</v>
      </c>
      <c r="B2341" s="6" t="s">
        <v>5900</v>
      </c>
      <c r="C2341" s="10">
        <v>46077.0</v>
      </c>
      <c r="D2341" s="6" t="s">
        <v>391</v>
      </c>
      <c r="E2341" s="6" t="s">
        <v>417</v>
      </c>
      <c r="F2341" s="6" t="s">
        <v>249</v>
      </c>
      <c r="G2341" s="6" t="s">
        <v>452</v>
      </c>
      <c r="H2341" s="10">
        <v>46081.0</v>
      </c>
      <c r="I2341" s="12">
        <v>10.0</v>
      </c>
      <c r="J2341" s="6" t="s">
        <v>161</v>
      </c>
    </row>
    <row r="2342" ht="22.5" customHeight="1">
      <c r="A2342" s="6" t="s">
        <v>11550</v>
      </c>
      <c r="B2342" s="6" t="s">
        <v>5900</v>
      </c>
      <c r="C2342" s="10">
        <v>46068.0</v>
      </c>
      <c r="D2342" s="6" t="s">
        <v>242</v>
      </c>
      <c r="E2342" s="6" t="s">
        <v>512</v>
      </c>
      <c r="F2342" s="6" t="s">
        <v>439</v>
      </c>
      <c r="G2342" s="6" t="s">
        <v>458</v>
      </c>
      <c r="H2342" s="10">
        <v>46073.0</v>
      </c>
      <c r="I2342" s="12">
        <v>4.0</v>
      </c>
      <c r="J2342" s="6" t="s">
        <v>178</v>
      </c>
    </row>
    <row r="2343" ht="22.5" customHeight="1">
      <c r="A2343" s="6" t="s">
        <v>11554</v>
      </c>
      <c r="B2343" s="6" t="s">
        <v>5900</v>
      </c>
      <c r="C2343" s="10">
        <v>46067.0</v>
      </c>
      <c r="D2343" s="6" t="s">
        <v>416</v>
      </c>
      <c r="E2343" s="6" t="s">
        <v>1241</v>
      </c>
      <c r="F2343" s="6" t="s">
        <v>439</v>
      </c>
      <c r="G2343" s="6" t="s">
        <v>494</v>
      </c>
      <c r="H2343" s="10">
        <v>46067.0</v>
      </c>
      <c r="I2343" s="12">
        <v>14.0</v>
      </c>
      <c r="J2343" s="6" t="s">
        <v>161</v>
      </c>
    </row>
    <row r="2344" ht="22.5" customHeight="1">
      <c r="A2344" s="6" t="s">
        <v>11559</v>
      </c>
      <c r="B2344" s="6" t="s">
        <v>5907</v>
      </c>
      <c r="C2344" s="10">
        <v>46058.0</v>
      </c>
      <c r="D2344" s="6" t="s">
        <v>289</v>
      </c>
      <c r="E2344" s="6" t="s">
        <v>738</v>
      </c>
      <c r="F2344" s="6" t="s">
        <v>283</v>
      </c>
      <c r="G2344" s="6" t="s">
        <v>458</v>
      </c>
      <c r="H2344" s="10">
        <v>46061.0</v>
      </c>
      <c r="I2344" s="12">
        <v>8.0</v>
      </c>
      <c r="J2344" s="6" t="s">
        <v>161</v>
      </c>
    </row>
    <row r="2345" ht="22.5" customHeight="1">
      <c r="A2345" s="6" t="s">
        <v>11565</v>
      </c>
      <c r="B2345" s="6" t="s">
        <v>5907</v>
      </c>
      <c r="C2345" s="10">
        <v>46048.0</v>
      </c>
      <c r="D2345" s="6" t="s">
        <v>242</v>
      </c>
      <c r="E2345" s="6" t="s">
        <v>687</v>
      </c>
      <c r="F2345" s="6" t="s">
        <v>439</v>
      </c>
      <c r="G2345" s="6" t="s">
        <v>458</v>
      </c>
      <c r="H2345" s="10">
        <v>46054.0</v>
      </c>
      <c r="I2345" s="12">
        <v>5.0</v>
      </c>
      <c r="J2345" s="6" t="s">
        <v>178</v>
      </c>
    </row>
    <row r="2346" ht="22.5" customHeight="1">
      <c r="A2346" s="6" t="s">
        <v>11574</v>
      </c>
      <c r="B2346" s="6" t="s">
        <v>5907</v>
      </c>
      <c r="C2346" s="10">
        <v>46042.0</v>
      </c>
      <c r="D2346" s="6" t="s">
        <v>312</v>
      </c>
      <c r="E2346" s="6" t="s">
        <v>610</v>
      </c>
      <c r="F2346" s="6" t="s">
        <v>283</v>
      </c>
      <c r="G2346" s="6" t="s">
        <v>494</v>
      </c>
      <c r="H2346" s="10">
        <v>46043.0</v>
      </c>
      <c r="I2346" s="12">
        <v>5.0</v>
      </c>
      <c r="J2346" s="6" t="s">
        <v>161</v>
      </c>
    </row>
    <row r="2347" ht="22.5" customHeight="1">
      <c r="A2347" s="6" t="s">
        <v>11577</v>
      </c>
      <c r="B2347" s="6" t="s">
        <v>5914</v>
      </c>
      <c r="C2347" s="10">
        <v>46045.0</v>
      </c>
      <c r="D2347" s="6" t="s">
        <v>242</v>
      </c>
      <c r="E2347" s="6" t="s">
        <v>716</v>
      </c>
      <c r="F2347" s="6" t="s">
        <v>249</v>
      </c>
      <c r="G2347" s="6" t="s">
        <v>494</v>
      </c>
      <c r="H2347" s="10">
        <v>46047.0</v>
      </c>
      <c r="I2347" s="12">
        <v>5.0</v>
      </c>
      <c r="J2347" s="6" t="s">
        <v>178</v>
      </c>
    </row>
    <row r="2348" ht="22.5" customHeight="1">
      <c r="A2348" s="6" t="s">
        <v>11581</v>
      </c>
      <c r="B2348" s="6" t="s">
        <v>5914</v>
      </c>
      <c r="C2348" s="10">
        <v>46039.0</v>
      </c>
      <c r="D2348" s="6" t="s">
        <v>312</v>
      </c>
      <c r="E2348" s="6" t="s">
        <v>2881</v>
      </c>
      <c r="F2348" s="6" t="s">
        <v>439</v>
      </c>
      <c r="G2348" s="6" t="s">
        <v>494</v>
      </c>
      <c r="H2348" s="10">
        <v>46046.0</v>
      </c>
      <c r="I2348" s="12">
        <v>5.0</v>
      </c>
      <c r="J2348" s="6" t="s">
        <v>161</v>
      </c>
    </row>
    <row r="2349" ht="22.5" customHeight="1">
      <c r="A2349" s="6" t="s">
        <v>11582</v>
      </c>
      <c r="B2349" s="6" t="s">
        <v>5914</v>
      </c>
      <c r="C2349" s="10">
        <v>46042.0</v>
      </c>
      <c r="D2349" s="6" t="s">
        <v>289</v>
      </c>
      <c r="E2349" s="6" t="s">
        <v>670</v>
      </c>
      <c r="F2349" s="6" t="s">
        <v>439</v>
      </c>
      <c r="G2349" s="6" t="s">
        <v>326</v>
      </c>
      <c r="H2349" s="11" t="s">
        <v>259</v>
      </c>
      <c r="I2349" s="12">
        <v>10.0</v>
      </c>
      <c r="J2349" s="6" t="s">
        <v>161</v>
      </c>
    </row>
    <row r="2350" ht="22.5" customHeight="1">
      <c r="A2350" s="6" t="s">
        <v>11585</v>
      </c>
      <c r="B2350" s="6" t="s">
        <v>5914</v>
      </c>
      <c r="C2350" s="10">
        <v>46035.0</v>
      </c>
      <c r="D2350" s="6" t="s">
        <v>416</v>
      </c>
      <c r="E2350" s="6" t="s">
        <v>695</v>
      </c>
      <c r="F2350" s="6" t="s">
        <v>249</v>
      </c>
      <c r="G2350" s="6" t="s">
        <v>452</v>
      </c>
      <c r="H2350" s="10">
        <v>46035.0</v>
      </c>
      <c r="I2350" s="12">
        <v>10.0</v>
      </c>
      <c r="J2350" s="6" t="s">
        <v>161</v>
      </c>
    </row>
    <row r="2351" ht="22.5" customHeight="1">
      <c r="A2351" s="6" t="s">
        <v>11589</v>
      </c>
      <c r="B2351" s="6" t="s">
        <v>5914</v>
      </c>
      <c r="C2351" s="10">
        <v>46041.0</v>
      </c>
      <c r="D2351" s="6" t="s">
        <v>677</v>
      </c>
      <c r="E2351" s="6" t="s">
        <v>738</v>
      </c>
      <c r="F2351" s="6" t="s">
        <v>283</v>
      </c>
      <c r="G2351" s="6" t="s">
        <v>458</v>
      </c>
      <c r="H2351" s="10">
        <v>46042.0</v>
      </c>
      <c r="I2351" s="12">
        <v>3.0</v>
      </c>
      <c r="J2351" s="6" t="s">
        <v>161</v>
      </c>
    </row>
    <row r="2352" ht="22.5" customHeight="1">
      <c r="A2352" s="6" t="s">
        <v>11590</v>
      </c>
      <c r="B2352" s="6" t="s">
        <v>5921</v>
      </c>
      <c r="C2352" s="10">
        <v>46065.0</v>
      </c>
      <c r="D2352" s="6" t="s">
        <v>677</v>
      </c>
      <c r="E2352" s="6" t="s">
        <v>417</v>
      </c>
      <c r="F2352" s="6" t="s">
        <v>283</v>
      </c>
      <c r="G2352" s="6" t="s">
        <v>254</v>
      </c>
      <c r="H2352" s="10">
        <v>46071.0</v>
      </c>
      <c r="I2352" s="12">
        <v>4.0</v>
      </c>
      <c r="J2352" s="6" t="s">
        <v>161</v>
      </c>
    </row>
    <row r="2353" ht="22.5" customHeight="1">
      <c r="A2353" s="6" t="s">
        <v>11593</v>
      </c>
      <c r="B2353" s="6" t="s">
        <v>5921</v>
      </c>
      <c r="C2353" s="10">
        <v>46062.0</v>
      </c>
      <c r="D2353" s="6" t="s">
        <v>436</v>
      </c>
      <c r="E2353" s="6" t="s">
        <v>628</v>
      </c>
      <c r="F2353" s="6" t="s">
        <v>283</v>
      </c>
      <c r="G2353" s="6" t="s">
        <v>369</v>
      </c>
      <c r="H2353" s="10">
        <v>46064.0</v>
      </c>
      <c r="I2353" s="12">
        <v>10.0</v>
      </c>
      <c r="J2353" s="6" t="s">
        <v>161</v>
      </c>
    </row>
    <row r="2354" ht="22.5" customHeight="1">
      <c r="A2354" s="6" t="s">
        <v>11597</v>
      </c>
      <c r="B2354" s="6" t="s">
        <v>5929</v>
      </c>
      <c r="C2354" s="10">
        <v>46044.0</v>
      </c>
      <c r="D2354" s="6" t="s">
        <v>436</v>
      </c>
      <c r="E2354" s="6" t="s">
        <v>1626</v>
      </c>
      <c r="F2354" s="6" t="s">
        <v>439</v>
      </c>
      <c r="G2354" s="6" t="s">
        <v>494</v>
      </c>
      <c r="H2354" s="10">
        <v>46048.0</v>
      </c>
      <c r="I2354" s="12">
        <v>10.0</v>
      </c>
      <c r="J2354" s="6" t="s">
        <v>161</v>
      </c>
    </row>
    <row r="2355" ht="22.5" customHeight="1">
      <c r="A2355" s="6" t="s">
        <v>11600</v>
      </c>
      <c r="B2355" s="6" t="s">
        <v>5929</v>
      </c>
      <c r="C2355" s="10">
        <v>46044.0</v>
      </c>
      <c r="D2355" s="6" t="s">
        <v>391</v>
      </c>
      <c r="E2355" s="6" t="s">
        <v>1035</v>
      </c>
      <c r="F2355" s="6" t="s">
        <v>112</v>
      </c>
      <c r="G2355" s="6" t="s">
        <v>494</v>
      </c>
      <c r="H2355" s="10">
        <v>46051.0</v>
      </c>
      <c r="I2355" s="12">
        <v>6.0</v>
      </c>
      <c r="J2355" s="6" t="s">
        <v>161</v>
      </c>
    </row>
    <row r="2356" ht="22.5" customHeight="1">
      <c r="A2356" s="6" t="s">
        <v>11604</v>
      </c>
      <c r="B2356" s="6" t="s">
        <v>5929</v>
      </c>
      <c r="C2356" s="10">
        <v>46060.0</v>
      </c>
      <c r="D2356" s="6" t="s">
        <v>416</v>
      </c>
      <c r="E2356" s="6" t="s">
        <v>512</v>
      </c>
      <c r="F2356" s="6" t="s">
        <v>249</v>
      </c>
      <c r="G2356" s="6" t="s">
        <v>458</v>
      </c>
      <c r="H2356" s="10">
        <v>46062.0</v>
      </c>
      <c r="I2356" s="12">
        <v>9.0</v>
      </c>
      <c r="J2356" s="6" t="s">
        <v>161</v>
      </c>
    </row>
    <row r="2357" ht="22.5" customHeight="1">
      <c r="A2357" s="6" t="s">
        <v>11608</v>
      </c>
      <c r="B2357" s="6" t="s">
        <v>5929</v>
      </c>
      <c r="C2357" s="10">
        <v>46040.0</v>
      </c>
      <c r="D2357" s="6" t="s">
        <v>242</v>
      </c>
      <c r="E2357" s="6" t="s">
        <v>812</v>
      </c>
      <c r="F2357" s="6" t="s">
        <v>439</v>
      </c>
      <c r="G2357" s="6" t="s">
        <v>477</v>
      </c>
      <c r="H2357" s="10">
        <v>46046.0</v>
      </c>
      <c r="I2357" s="12">
        <v>6.0</v>
      </c>
      <c r="J2357" s="6" t="s">
        <v>161</v>
      </c>
    </row>
    <row r="2358" ht="22.5" customHeight="1">
      <c r="A2358" s="6" t="s">
        <v>11611</v>
      </c>
      <c r="B2358" s="6" t="s">
        <v>5937</v>
      </c>
      <c r="C2358" s="10">
        <v>46054.0</v>
      </c>
      <c r="D2358" s="6" t="s">
        <v>242</v>
      </c>
      <c r="E2358" s="6" t="s">
        <v>896</v>
      </c>
      <c r="F2358" s="6" t="s">
        <v>112</v>
      </c>
      <c r="G2358" s="6" t="s">
        <v>452</v>
      </c>
      <c r="H2358" s="10">
        <v>46060.0</v>
      </c>
      <c r="I2358" s="12">
        <v>3.0</v>
      </c>
      <c r="J2358" s="6" t="s">
        <v>178</v>
      </c>
    </row>
    <row r="2359" ht="22.5" customHeight="1">
      <c r="A2359" s="6" t="s">
        <v>11614</v>
      </c>
      <c r="B2359" s="6" t="s">
        <v>5937</v>
      </c>
      <c r="C2359" s="10">
        <v>46039.0</v>
      </c>
      <c r="D2359" s="6" t="s">
        <v>391</v>
      </c>
      <c r="E2359" s="6" t="s">
        <v>716</v>
      </c>
      <c r="F2359" s="6" t="s">
        <v>439</v>
      </c>
      <c r="G2359" s="6" t="s">
        <v>297</v>
      </c>
      <c r="H2359" s="10">
        <v>46039.0</v>
      </c>
      <c r="I2359" s="12">
        <v>11.0</v>
      </c>
      <c r="J2359" s="6" t="s">
        <v>161</v>
      </c>
    </row>
    <row r="2360" ht="22.5" customHeight="1">
      <c r="A2360" s="6" t="s">
        <v>11618</v>
      </c>
      <c r="B2360" s="6" t="s">
        <v>5937</v>
      </c>
      <c r="C2360" s="10">
        <v>46035.0</v>
      </c>
      <c r="D2360" s="6" t="s">
        <v>242</v>
      </c>
      <c r="E2360" s="6" t="s">
        <v>731</v>
      </c>
      <c r="F2360" s="6" t="s">
        <v>249</v>
      </c>
      <c r="G2360" s="6" t="s">
        <v>458</v>
      </c>
      <c r="H2360" s="10">
        <v>46035.0</v>
      </c>
      <c r="I2360" s="12">
        <v>6.0</v>
      </c>
      <c r="J2360" s="6" t="s">
        <v>178</v>
      </c>
    </row>
    <row r="2361" ht="22.5" customHeight="1">
      <c r="A2361" s="6" t="s">
        <v>11622</v>
      </c>
      <c r="B2361" s="6" t="s">
        <v>5937</v>
      </c>
      <c r="C2361" s="10">
        <v>46044.0</v>
      </c>
      <c r="D2361" s="6" t="s">
        <v>677</v>
      </c>
      <c r="E2361" s="6" t="s">
        <v>566</v>
      </c>
      <c r="F2361" s="6" t="s">
        <v>283</v>
      </c>
      <c r="G2361" s="6" t="s">
        <v>494</v>
      </c>
      <c r="H2361" s="10">
        <v>46045.0</v>
      </c>
      <c r="I2361" s="12">
        <v>2.0</v>
      </c>
      <c r="J2361" s="6" t="s">
        <v>161</v>
      </c>
    </row>
    <row r="2362" ht="22.5" customHeight="1">
      <c r="A2362" s="6" t="s">
        <v>11627</v>
      </c>
      <c r="B2362" s="6" t="s">
        <v>5944</v>
      </c>
      <c r="C2362" s="10">
        <v>46066.0</v>
      </c>
      <c r="D2362" s="6" t="s">
        <v>242</v>
      </c>
      <c r="E2362" s="6" t="s">
        <v>1386</v>
      </c>
      <c r="F2362" s="6" t="s">
        <v>112</v>
      </c>
      <c r="G2362" s="6" t="s">
        <v>326</v>
      </c>
      <c r="H2362" s="10">
        <v>46071.0</v>
      </c>
      <c r="I2362" s="12">
        <v>4.0</v>
      </c>
      <c r="J2362" s="6" t="s">
        <v>161</v>
      </c>
    </row>
    <row r="2363" ht="22.5" customHeight="1">
      <c r="A2363" s="6" t="s">
        <v>11633</v>
      </c>
      <c r="B2363" s="6" t="s">
        <v>5951</v>
      </c>
      <c r="C2363" s="10">
        <v>46030.0</v>
      </c>
      <c r="D2363" s="6" t="s">
        <v>242</v>
      </c>
      <c r="E2363" s="6" t="s">
        <v>658</v>
      </c>
      <c r="F2363" s="6" t="s">
        <v>283</v>
      </c>
      <c r="G2363" s="6" t="s">
        <v>477</v>
      </c>
      <c r="H2363" s="10">
        <v>46037.0</v>
      </c>
      <c r="I2363" s="12">
        <v>5.0</v>
      </c>
      <c r="J2363" s="6" t="s">
        <v>178</v>
      </c>
    </row>
    <row r="2364" ht="22.5" customHeight="1">
      <c r="A2364" s="6" t="s">
        <v>11637</v>
      </c>
      <c r="B2364" s="6" t="s">
        <v>5951</v>
      </c>
      <c r="C2364" s="10">
        <v>46047.0</v>
      </c>
      <c r="D2364" s="6" t="s">
        <v>391</v>
      </c>
      <c r="E2364" s="6" t="s">
        <v>1600</v>
      </c>
      <c r="F2364" s="6" t="s">
        <v>112</v>
      </c>
      <c r="G2364" s="6" t="s">
        <v>326</v>
      </c>
      <c r="H2364" s="10">
        <v>46049.0</v>
      </c>
      <c r="I2364" s="12">
        <v>9.0</v>
      </c>
      <c r="J2364" s="6" t="s">
        <v>161</v>
      </c>
    </row>
    <row r="2365" ht="22.5" customHeight="1">
      <c r="A2365" s="6" t="s">
        <v>11643</v>
      </c>
      <c r="B2365" s="6" t="s">
        <v>5951</v>
      </c>
      <c r="C2365" s="10">
        <v>46030.0</v>
      </c>
      <c r="D2365" s="6" t="s">
        <v>289</v>
      </c>
      <c r="E2365" s="6" t="s">
        <v>618</v>
      </c>
      <c r="F2365" s="6" t="s">
        <v>439</v>
      </c>
      <c r="G2365" s="6" t="s">
        <v>458</v>
      </c>
      <c r="H2365" s="10">
        <v>46032.0</v>
      </c>
      <c r="I2365" s="12">
        <v>10.0</v>
      </c>
      <c r="J2365" s="6" t="s">
        <v>161</v>
      </c>
    </row>
    <row r="2366" ht="22.5" customHeight="1">
      <c r="A2366" s="6" t="s">
        <v>11648</v>
      </c>
      <c r="B2366" s="6" t="s">
        <v>5951</v>
      </c>
      <c r="C2366" s="10">
        <v>46036.0</v>
      </c>
      <c r="D2366" s="6" t="s">
        <v>242</v>
      </c>
      <c r="E2366" s="6" t="s">
        <v>512</v>
      </c>
      <c r="F2366" s="6" t="s">
        <v>112</v>
      </c>
      <c r="G2366" s="6" t="s">
        <v>477</v>
      </c>
      <c r="H2366" s="10">
        <v>46036.0</v>
      </c>
      <c r="I2366" s="12">
        <v>3.0</v>
      </c>
      <c r="J2366" s="6" t="s">
        <v>178</v>
      </c>
    </row>
    <row r="2367" ht="22.5" customHeight="1">
      <c r="A2367" s="6" t="s">
        <v>11652</v>
      </c>
      <c r="B2367" s="6" t="s">
        <v>5959</v>
      </c>
      <c r="C2367" s="10">
        <v>46042.0</v>
      </c>
      <c r="D2367" s="6" t="s">
        <v>312</v>
      </c>
      <c r="E2367" s="6" t="s">
        <v>1969</v>
      </c>
      <c r="F2367" s="6" t="s">
        <v>249</v>
      </c>
      <c r="G2367" s="6" t="s">
        <v>458</v>
      </c>
      <c r="H2367" s="10">
        <v>46042.0</v>
      </c>
      <c r="I2367" s="12">
        <v>4.0</v>
      </c>
      <c r="J2367" s="6" t="s">
        <v>161</v>
      </c>
    </row>
    <row r="2368" ht="22.5" customHeight="1">
      <c r="A2368" s="6" t="s">
        <v>11658</v>
      </c>
      <c r="B2368" s="6" t="s">
        <v>5959</v>
      </c>
      <c r="C2368" s="10">
        <v>46050.0</v>
      </c>
      <c r="D2368" s="6" t="s">
        <v>677</v>
      </c>
      <c r="E2368" s="6" t="s">
        <v>1741</v>
      </c>
      <c r="F2368" s="6" t="s">
        <v>112</v>
      </c>
      <c r="G2368" s="6" t="s">
        <v>326</v>
      </c>
      <c r="H2368" s="10">
        <v>46052.0</v>
      </c>
      <c r="I2368" s="12">
        <v>4.0</v>
      </c>
      <c r="J2368" s="6" t="s">
        <v>161</v>
      </c>
    </row>
    <row r="2369" ht="22.5" customHeight="1">
      <c r="A2369" s="6" t="s">
        <v>11667</v>
      </c>
      <c r="B2369" s="6" t="s">
        <v>5966</v>
      </c>
      <c r="C2369" s="10">
        <v>46064.0</v>
      </c>
      <c r="D2369" s="6" t="s">
        <v>312</v>
      </c>
      <c r="E2369" s="6" t="s">
        <v>1055</v>
      </c>
      <c r="F2369" s="6" t="s">
        <v>112</v>
      </c>
      <c r="G2369" s="6" t="s">
        <v>477</v>
      </c>
      <c r="H2369" s="11" t="s">
        <v>259</v>
      </c>
      <c r="I2369" s="12">
        <v>7.0</v>
      </c>
      <c r="J2369" s="6" t="s">
        <v>161</v>
      </c>
    </row>
    <row r="2370" ht="22.5" customHeight="1">
      <c r="A2370" s="6" t="s">
        <v>11673</v>
      </c>
      <c r="B2370" s="6" t="s">
        <v>5966</v>
      </c>
      <c r="C2370" s="10">
        <v>46077.0</v>
      </c>
      <c r="D2370" s="6" t="s">
        <v>436</v>
      </c>
      <c r="E2370" s="6" t="s">
        <v>695</v>
      </c>
      <c r="F2370" s="6" t="s">
        <v>439</v>
      </c>
      <c r="G2370" s="6" t="s">
        <v>494</v>
      </c>
      <c r="H2370" s="10">
        <v>46078.0</v>
      </c>
      <c r="I2370" s="12">
        <v>9.0</v>
      </c>
      <c r="J2370" s="6" t="s">
        <v>178</v>
      </c>
    </row>
    <row r="2371" ht="22.5" customHeight="1">
      <c r="A2371" s="6" t="s">
        <v>11676</v>
      </c>
      <c r="B2371" s="6" t="s">
        <v>5966</v>
      </c>
      <c r="C2371" s="10">
        <v>46075.0</v>
      </c>
      <c r="D2371" s="6" t="s">
        <v>289</v>
      </c>
      <c r="E2371" s="6" t="s">
        <v>634</v>
      </c>
      <c r="F2371" s="6" t="s">
        <v>112</v>
      </c>
      <c r="G2371" s="6" t="s">
        <v>297</v>
      </c>
      <c r="H2371" s="10">
        <v>46080.0</v>
      </c>
      <c r="I2371" s="12">
        <v>10.0</v>
      </c>
      <c r="J2371" s="6" t="s">
        <v>161</v>
      </c>
    </row>
    <row r="2372" ht="22.5" customHeight="1">
      <c r="A2372" s="6" t="s">
        <v>11681</v>
      </c>
      <c r="B2372" s="6" t="s">
        <v>5974</v>
      </c>
      <c r="C2372" s="10">
        <v>46035.0</v>
      </c>
      <c r="D2372" s="6" t="s">
        <v>436</v>
      </c>
      <c r="E2372" s="6" t="s">
        <v>1122</v>
      </c>
      <c r="F2372" s="6" t="s">
        <v>283</v>
      </c>
      <c r="G2372" s="6" t="s">
        <v>297</v>
      </c>
      <c r="H2372" s="11" t="s">
        <v>259</v>
      </c>
      <c r="I2372" s="12">
        <v>11.0</v>
      </c>
      <c r="J2372" s="6" t="s">
        <v>161</v>
      </c>
    </row>
    <row r="2373" ht="22.5" customHeight="1">
      <c r="A2373" s="6" t="s">
        <v>11686</v>
      </c>
      <c r="B2373" s="6" t="s">
        <v>5974</v>
      </c>
      <c r="C2373" s="10">
        <v>46034.0</v>
      </c>
      <c r="D2373" s="6" t="s">
        <v>677</v>
      </c>
      <c r="E2373" s="6" t="s">
        <v>583</v>
      </c>
      <c r="F2373" s="6" t="s">
        <v>112</v>
      </c>
      <c r="G2373" s="6" t="s">
        <v>452</v>
      </c>
      <c r="H2373" s="11" t="s">
        <v>259</v>
      </c>
      <c r="I2373" s="12">
        <v>4.0</v>
      </c>
      <c r="J2373" s="6" t="s">
        <v>161</v>
      </c>
    </row>
    <row r="2374" ht="22.5" customHeight="1">
      <c r="A2374" s="6" t="s">
        <v>11692</v>
      </c>
      <c r="B2374" s="6" t="s">
        <v>5981</v>
      </c>
      <c r="C2374" s="10">
        <v>46072.0</v>
      </c>
      <c r="D2374" s="6" t="s">
        <v>436</v>
      </c>
      <c r="E2374" s="6" t="s">
        <v>695</v>
      </c>
      <c r="F2374" s="6" t="s">
        <v>112</v>
      </c>
      <c r="G2374" s="6" t="s">
        <v>297</v>
      </c>
      <c r="H2374" s="10">
        <v>46072.0</v>
      </c>
      <c r="I2374" s="12">
        <v>12.0</v>
      </c>
      <c r="J2374" s="6" t="s">
        <v>161</v>
      </c>
    </row>
    <row r="2375" ht="22.5" customHeight="1">
      <c r="A2375" s="6" t="s">
        <v>11695</v>
      </c>
      <c r="B2375" s="6" t="s">
        <v>5981</v>
      </c>
      <c r="C2375" s="10">
        <v>46063.0</v>
      </c>
      <c r="D2375" s="6" t="s">
        <v>677</v>
      </c>
      <c r="E2375" s="6" t="s">
        <v>787</v>
      </c>
      <c r="F2375" s="6" t="s">
        <v>283</v>
      </c>
      <c r="G2375" s="6" t="s">
        <v>297</v>
      </c>
      <c r="H2375" s="10">
        <v>46065.0</v>
      </c>
      <c r="I2375" s="12">
        <v>4.0</v>
      </c>
      <c r="J2375" s="6" t="s">
        <v>161</v>
      </c>
    </row>
    <row r="2376" ht="22.5" customHeight="1">
      <c r="A2376" s="6" t="s">
        <v>11698</v>
      </c>
      <c r="B2376" s="6" t="s">
        <v>5988</v>
      </c>
      <c r="C2376" s="10">
        <v>46081.0</v>
      </c>
      <c r="D2376" s="6" t="s">
        <v>242</v>
      </c>
      <c r="E2376" s="6" t="s">
        <v>450</v>
      </c>
      <c r="F2376" s="6" t="s">
        <v>283</v>
      </c>
      <c r="G2376" s="6" t="s">
        <v>254</v>
      </c>
      <c r="H2376" s="10">
        <v>46081.0</v>
      </c>
      <c r="I2376" s="12">
        <v>5.0</v>
      </c>
      <c r="J2376" s="6" t="s">
        <v>178</v>
      </c>
    </row>
    <row r="2377" ht="22.5" customHeight="1">
      <c r="A2377" s="6" t="s">
        <v>11700</v>
      </c>
      <c r="B2377" s="6" t="s">
        <v>5996</v>
      </c>
      <c r="C2377" s="10">
        <v>46044.0</v>
      </c>
      <c r="D2377" s="6" t="s">
        <v>242</v>
      </c>
      <c r="E2377" s="6" t="s">
        <v>1969</v>
      </c>
      <c r="F2377" s="6" t="s">
        <v>439</v>
      </c>
      <c r="G2377" s="6" t="s">
        <v>369</v>
      </c>
      <c r="H2377" s="10">
        <v>46049.0</v>
      </c>
      <c r="I2377" s="12">
        <v>3.0</v>
      </c>
      <c r="J2377" s="6" t="s">
        <v>178</v>
      </c>
    </row>
    <row r="2378" ht="22.5" customHeight="1">
      <c r="A2378" s="6" t="s">
        <v>11703</v>
      </c>
      <c r="B2378" s="6" t="s">
        <v>5996</v>
      </c>
      <c r="C2378" s="10">
        <v>46052.0</v>
      </c>
      <c r="D2378" s="6" t="s">
        <v>436</v>
      </c>
      <c r="E2378" s="6" t="s">
        <v>610</v>
      </c>
      <c r="F2378" s="6" t="s">
        <v>439</v>
      </c>
      <c r="G2378" s="6" t="s">
        <v>494</v>
      </c>
      <c r="H2378" s="10">
        <v>46055.0</v>
      </c>
      <c r="I2378" s="12">
        <v>10.0</v>
      </c>
      <c r="J2378" s="6" t="s">
        <v>161</v>
      </c>
    </row>
    <row r="2379" ht="22.5" customHeight="1">
      <c r="A2379" s="6" t="s">
        <v>11707</v>
      </c>
      <c r="B2379" s="6" t="s">
        <v>5996</v>
      </c>
      <c r="C2379" s="10">
        <v>46036.0</v>
      </c>
      <c r="D2379" s="6" t="s">
        <v>436</v>
      </c>
      <c r="E2379" s="6" t="s">
        <v>365</v>
      </c>
      <c r="F2379" s="6" t="s">
        <v>249</v>
      </c>
      <c r="G2379" s="6" t="s">
        <v>477</v>
      </c>
      <c r="H2379" s="11" t="s">
        <v>259</v>
      </c>
      <c r="I2379" s="12">
        <v>10.0</v>
      </c>
      <c r="J2379" s="6" t="s">
        <v>178</v>
      </c>
    </row>
    <row r="2380" ht="22.5" customHeight="1">
      <c r="A2380" s="6" t="s">
        <v>11710</v>
      </c>
      <c r="B2380" s="6" t="s">
        <v>5996</v>
      </c>
      <c r="C2380" s="10">
        <v>46052.0</v>
      </c>
      <c r="D2380" s="6" t="s">
        <v>391</v>
      </c>
      <c r="E2380" s="6" t="s">
        <v>1626</v>
      </c>
      <c r="F2380" s="6" t="s">
        <v>112</v>
      </c>
      <c r="G2380" s="6" t="s">
        <v>297</v>
      </c>
      <c r="H2380" s="10">
        <v>46058.0</v>
      </c>
      <c r="I2380" s="12">
        <v>8.0</v>
      </c>
      <c r="J2380" s="6" t="s">
        <v>161</v>
      </c>
    </row>
    <row r="2381" ht="22.5" customHeight="1">
      <c r="A2381" s="6" t="s">
        <v>11713</v>
      </c>
      <c r="B2381" s="6" t="s">
        <v>5996</v>
      </c>
      <c r="C2381" s="10">
        <v>46044.0</v>
      </c>
      <c r="D2381" s="6" t="s">
        <v>312</v>
      </c>
      <c r="E2381" s="6" t="s">
        <v>1720</v>
      </c>
      <c r="F2381" s="6" t="s">
        <v>439</v>
      </c>
      <c r="G2381" s="6" t="s">
        <v>254</v>
      </c>
      <c r="H2381" s="10">
        <v>46049.0</v>
      </c>
      <c r="I2381" s="12">
        <v>6.0</v>
      </c>
      <c r="J2381" s="6" t="s">
        <v>161</v>
      </c>
    </row>
    <row r="2382" ht="22.5" customHeight="1">
      <c r="A2382" s="6" t="s">
        <v>11715</v>
      </c>
      <c r="B2382" s="6" t="s">
        <v>6003</v>
      </c>
      <c r="C2382" s="10">
        <v>46083.0</v>
      </c>
      <c r="D2382" s="6" t="s">
        <v>436</v>
      </c>
      <c r="E2382" s="6" t="s">
        <v>291</v>
      </c>
      <c r="F2382" s="6" t="s">
        <v>283</v>
      </c>
      <c r="G2382" s="6" t="s">
        <v>458</v>
      </c>
      <c r="H2382" s="11" t="s">
        <v>259</v>
      </c>
      <c r="I2382" s="12">
        <v>10.0</v>
      </c>
      <c r="J2382" s="6" t="s">
        <v>161</v>
      </c>
    </row>
    <row r="2383" ht="22.5" customHeight="1">
      <c r="A2383" s="6" t="s">
        <v>11719</v>
      </c>
      <c r="B2383" s="6" t="s">
        <v>6003</v>
      </c>
      <c r="C2383" s="10">
        <v>46069.0</v>
      </c>
      <c r="D2383" s="6" t="s">
        <v>242</v>
      </c>
      <c r="E2383" s="6" t="s">
        <v>618</v>
      </c>
      <c r="F2383" s="6" t="s">
        <v>439</v>
      </c>
      <c r="G2383" s="6" t="s">
        <v>477</v>
      </c>
      <c r="H2383" s="10">
        <v>46069.0</v>
      </c>
      <c r="I2383" s="12">
        <v>3.0</v>
      </c>
      <c r="J2383" s="6" t="s">
        <v>178</v>
      </c>
    </row>
    <row r="2384" ht="22.5" customHeight="1">
      <c r="A2384" s="6" t="s">
        <v>11722</v>
      </c>
      <c r="B2384" s="6" t="s">
        <v>6003</v>
      </c>
      <c r="C2384" s="10">
        <v>46082.0</v>
      </c>
      <c r="D2384" s="6" t="s">
        <v>677</v>
      </c>
      <c r="E2384" s="6" t="s">
        <v>320</v>
      </c>
      <c r="F2384" s="6" t="s">
        <v>283</v>
      </c>
      <c r="G2384" s="6" t="s">
        <v>477</v>
      </c>
      <c r="H2384" s="10">
        <v>46089.0</v>
      </c>
      <c r="I2384" s="12">
        <v>4.0</v>
      </c>
      <c r="J2384" s="6" t="s">
        <v>161</v>
      </c>
    </row>
    <row r="2385" ht="22.5" customHeight="1">
      <c r="A2385" s="6" t="s">
        <v>11727</v>
      </c>
      <c r="B2385" s="6" t="s">
        <v>6003</v>
      </c>
      <c r="C2385" s="10">
        <v>46081.0</v>
      </c>
      <c r="D2385" s="6" t="s">
        <v>242</v>
      </c>
      <c r="E2385" s="6" t="s">
        <v>1035</v>
      </c>
      <c r="F2385" s="6" t="s">
        <v>249</v>
      </c>
      <c r="G2385" s="6" t="s">
        <v>452</v>
      </c>
      <c r="H2385" s="10">
        <v>46081.0</v>
      </c>
      <c r="I2385" s="12">
        <v>6.0</v>
      </c>
      <c r="J2385" s="6" t="s">
        <v>161</v>
      </c>
    </row>
    <row r="2386" ht="22.5" customHeight="1">
      <c r="A2386" s="6" t="s">
        <v>11731</v>
      </c>
      <c r="B2386" s="6" t="s">
        <v>6003</v>
      </c>
      <c r="C2386" s="10">
        <v>46082.0</v>
      </c>
      <c r="D2386" s="6" t="s">
        <v>289</v>
      </c>
      <c r="E2386" s="6" t="s">
        <v>1280</v>
      </c>
      <c r="F2386" s="6" t="s">
        <v>112</v>
      </c>
      <c r="G2386" s="6" t="s">
        <v>297</v>
      </c>
      <c r="H2386" s="10">
        <v>46086.0</v>
      </c>
      <c r="I2386" s="12">
        <v>10.0</v>
      </c>
      <c r="J2386" s="6" t="s">
        <v>161</v>
      </c>
    </row>
    <row r="2387" ht="22.5" customHeight="1">
      <c r="A2387" s="6" t="s">
        <v>11735</v>
      </c>
      <c r="B2387" s="6" t="s">
        <v>6011</v>
      </c>
      <c r="C2387" s="10">
        <v>46034.0</v>
      </c>
      <c r="D2387" s="6" t="s">
        <v>312</v>
      </c>
      <c r="E2387" s="6" t="s">
        <v>320</v>
      </c>
      <c r="F2387" s="6" t="s">
        <v>439</v>
      </c>
      <c r="G2387" s="6" t="s">
        <v>254</v>
      </c>
      <c r="H2387" s="10">
        <v>46037.0</v>
      </c>
      <c r="I2387" s="12">
        <v>4.0</v>
      </c>
      <c r="J2387" s="6" t="s">
        <v>161</v>
      </c>
    </row>
    <row r="2388" ht="22.5" customHeight="1">
      <c r="A2388" s="6" t="s">
        <v>11740</v>
      </c>
      <c r="B2388" s="6" t="s">
        <v>6018</v>
      </c>
      <c r="C2388" s="10">
        <v>46072.0</v>
      </c>
      <c r="D2388" s="6" t="s">
        <v>416</v>
      </c>
      <c r="E2388" s="6" t="s">
        <v>731</v>
      </c>
      <c r="F2388" s="6" t="s">
        <v>439</v>
      </c>
      <c r="G2388" s="6" t="s">
        <v>254</v>
      </c>
      <c r="H2388" s="11" t="s">
        <v>259</v>
      </c>
      <c r="I2388" s="12">
        <v>14.0</v>
      </c>
      <c r="J2388" s="6" t="s">
        <v>161</v>
      </c>
    </row>
    <row r="2389" ht="22.5" customHeight="1">
      <c r="A2389" s="6" t="s">
        <v>11745</v>
      </c>
      <c r="B2389" s="6" t="s">
        <v>6018</v>
      </c>
      <c r="C2389" s="10">
        <v>46060.0</v>
      </c>
      <c r="D2389" s="6" t="s">
        <v>436</v>
      </c>
      <c r="E2389" s="6" t="s">
        <v>775</v>
      </c>
      <c r="F2389" s="6" t="s">
        <v>249</v>
      </c>
      <c r="G2389" s="6" t="s">
        <v>452</v>
      </c>
      <c r="H2389" s="10">
        <v>46066.0</v>
      </c>
      <c r="I2389" s="12">
        <v>6.0</v>
      </c>
      <c r="J2389" s="6" t="s">
        <v>178</v>
      </c>
    </row>
    <row r="2390" ht="22.5" customHeight="1">
      <c r="A2390" s="6" t="s">
        <v>11749</v>
      </c>
      <c r="B2390" s="6" t="s">
        <v>6018</v>
      </c>
      <c r="C2390" s="10">
        <v>46067.0</v>
      </c>
      <c r="D2390" s="6" t="s">
        <v>416</v>
      </c>
      <c r="E2390" s="6" t="s">
        <v>1552</v>
      </c>
      <c r="F2390" s="6" t="s">
        <v>112</v>
      </c>
      <c r="G2390" s="6" t="s">
        <v>494</v>
      </c>
      <c r="H2390" s="10">
        <v>46069.0</v>
      </c>
      <c r="I2390" s="12">
        <v>12.0</v>
      </c>
      <c r="J2390" s="6" t="s">
        <v>161</v>
      </c>
    </row>
    <row r="2391" ht="22.5" customHeight="1">
      <c r="A2391" s="6" t="s">
        <v>11753</v>
      </c>
      <c r="B2391" s="6" t="s">
        <v>6025</v>
      </c>
      <c r="C2391" s="10">
        <v>46072.0</v>
      </c>
      <c r="D2391" s="6" t="s">
        <v>242</v>
      </c>
      <c r="E2391" s="6" t="s">
        <v>512</v>
      </c>
      <c r="F2391" s="6" t="s">
        <v>439</v>
      </c>
      <c r="G2391" s="6" t="s">
        <v>458</v>
      </c>
      <c r="H2391" s="10">
        <v>46073.0</v>
      </c>
      <c r="I2391" s="12">
        <v>6.0</v>
      </c>
      <c r="J2391" s="6" t="s">
        <v>178</v>
      </c>
    </row>
    <row r="2392" ht="22.5" customHeight="1">
      <c r="A2392" s="6" t="s">
        <v>11759</v>
      </c>
      <c r="B2392" s="6" t="s">
        <v>6025</v>
      </c>
      <c r="C2392" s="10">
        <v>46076.0</v>
      </c>
      <c r="D2392" s="6" t="s">
        <v>416</v>
      </c>
      <c r="E2392" s="6" t="s">
        <v>833</v>
      </c>
      <c r="F2392" s="6" t="s">
        <v>249</v>
      </c>
      <c r="G2392" s="6" t="s">
        <v>477</v>
      </c>
      <c r="H2392" s="11" t="s">
        <v>259</v>
      </c>
      <c r="I2392" s="12">
        <v>11.0</v>
      </c>
      <c r="J2392" s="6" t="s">
        <v>161</v>
      </c>
    </row>
    <row r="2393" ht="22.5" customHeight="1">
      <c r="A2393" s="6" t="s">
        <v>11762</v>
      </c>
      <c r="B2393" s="6" t="s">
        <v>6025</v>
      </c>
      <c r="C2393" s="10">
        <v>46076.0</v>
      </c>
      <c r="D2393" s="6" t="s">
        <v>312</v>
      </c>
      <c r="E2393" s="6" t="s">
        <v>1070</v>
      </c>
      <c r="F2393" s="6" t="s">
        <v>439</v>
      </c>
      <c r="G2393" s="6" t="s">
        <v>494</v>
      </c>
      <c r="H2393" s="10">
        <v>46079.0</v>
      </c>
      <c r="I2393" s="12">
        <v>4.0</v>
      </c>
      <c r="J2393" s="6" t="s">
        <v>161</v>
      </c>
    </row>
    <row r="2394" ht="22.5" customHeight="1">
      <c r="A2394" s="6" t="s">
        <v>11766</v>
      </c>
      <c r="B2394" s="6" t="s">
        <v>6025</v>
      </c>
      <c r="C2394" s="10">
        <v>46077.0</v>
      </c>
      <c r="D2394" s="6" t="s">
        <v>312</v>
      </c>
      <c r="E2394" s="6" t="s">
        <v>658</v>
      </c>
      <c r="F2394" s="6" t="s">
        <v>112</v>
      </c>
      <c r="G2394" s="6" t="s">
        <v>369</v>
      </c>
      <c r="H2394" s="10">
        <v>46080.0</v>
      </c>
      <c r="I2394" s="12">
        <v>5.0</v>
      </c>
      <c r="J2394" s="6" t="s">
        <v>161</v>
      </c>
    </row>
    <row r="2395" ht="22.5" customHeight="1">
      <c r="A2395" s="6" t="s">
        <v>11772</v>
      </c>
      <c r="B2395" s="6" t="s">
        <v>6025</v>
      </c>
      <c r="C2395" s="10">
        <v>46072.0</v>
      </c>
      <c r="D2395" s="6" t="s">
        <v>242</v>
      </c>
      <c r="E2395" s="6" t="s">
        <v>704</v>
      </c>
      <c r="F2395" s="6" t="s">
        <v>439</v>
      </c>
      <c r="G2395" s="6" t="s">
        <v>326</v>
      </c>
      <c r="H2395" s="10">
        <v>46073.0</v>
      </c>
      <c r="I2395" s="12">
        <v>4.0</v>
      </c>
      <c r="J2395" s="6" t="s">
        <v>161</v>
      </c>
    </row>
    <row r="2396" ht="22.5" customHeight="1">
      <c r="A2396" s="6" t="s">
        <v>11775</v>
      </c>
      <c r="B2396" s="6" t="s">
        <v>6033</v>
      </c>
      <c r="C2396" s="10">
        <v>46072.0</v>
      </c>
      <c r="D2396" s="6" t="s">
        <v>312</v>
      </c>
      <c r="E2396" s="6" t="s">
        <v>1517</v>
      </c>
      <c r="F2396" s="6" t="s">
        <v>439</v>
      </c>
      <c r="G2396" s="6" t="s">
        <v>452</v>
      </c>
      <c r="H2396" s="11" t="s">
        <v>259</v>
      </c>
      <c r="I2396" s="12">
        <v>4.0</v>
      </c>
      <c r="J2396" s="6" t="s">
        <v>161</v>
      </c>
    </row>
    <row r="2397" ht="22.5" customHeight="1">
      <c r="A2397" s="6" t="s">
        <v>11781</v>
      </c>
      <c r="B2397" s="6" t="s">
        <v>6033</v>
      </c>
      <c r="C2397" s="10">
        <v>46064.0</v>
      </c>
      <c r="D2397" s="6" t="s">
        <v>436</v>
      </c>
      <c r="E2397" s="6" t="s">
        <v>475</v>
      </c>
      <c r="F2397" s="6" t="s">
        <v>249</v>
      </c>
      <c r="G2397" s="6" t="s">
        <v>297</v>
      </c>
      <c r="H2397" s="10">
        <v>46071.0</v>
      </c>
      <c r="I2397" s="12">
        <v>6.0</v>
      </c>
      <c r="J2397" s="6" t="s">
        <v>178</v>
      </c>
    </row>
    <row r="2398" ht="22.5" customHeight="1">
      <c r="A2398" s="6" t="s">
        <v>11788</v>
      </c>
      <c r="B2398" s="6" t="s">
        <v>6033</v>
      </c>
      <c r="C2398" s="10">
        <v>46065.0</v>
      </c>
      <c r="D2398" s="6" t="s">
        <v>416</v>
      </c>
      <c r="E2398" s="6" t="s">
        <v>1741</v>
      </c>
      <c r="F2398" s="6" t="s">
        <v>112</v>
      </c>
      <c r="G2398" s="6" t="s">
        <v>494</v>
      </c>
      <c r="H2398" s="10">
        <v>46066.0</v>
      </c>
      <c r="I2398" s="12">
        <v>8.0</v>
      </c>
      <c r="J2398" s="6" t="s">
        <v>161</v>
      </c>
    </row>
    <row r="2399" ht="22.5" customHeight="1">
      <c r="A2399" s="6" t="s">
        <v>11791</v>
      </c>
      <c r="B2399" s="6" t="s">
        <v>6040</v>
      </c>
      <c r="C2399" s="10">
        <v>46080.0</v>
      </c>
      <c r="D2399" s="6" t="s">
        <v>242</v>
      </c>
      <c r="E2399" s="6" t="s">
        <v>450</v>
      </c>
      <c r="F2399" s="6" t="s">
        <v>283</v>
      </c>
      <c r="G2399" s="6" t="s">
        <v>477</v>
      </c>
      <c r="H2399" s="10">
        <v>46083.0</v>
      </c>
      <c r="I2399" s="12">
        <v>3.0</v>
      </c>
      <c r="J2399" s="6" t="s">
        <v>161</v>
      </c>
    </row>
    <row r="2400" ht="22.5" customHeight="1">
      <c r="A2400" s="6" t="s">
        <v>11796</v>
      </c>
      <c r="B2400" s="6" t="s">
        <v>6040</v>
      </c>
      <c r="C2400" s="10">
        <v>46081.0</v>
      </c>
      <c r="D2400" s="6" t="s">
        <v>416</v>
      </c>
      <c r="E2400" s="6" t="s">
        <v>1600</v>
      </c>
      <c r="F2400" s="6" t="s">
        <v>283</v>
      </c>
      <c r="G2400" s="6" t="s">
        <v>326</v>
      </c>
      <c r="H2400" s="10">
        <v>46084.0</v>
      </c>
      <c r="I2400" s="12">
        <v>12.0</v>
      </c>
      <c r="J2400" s="6" t="s">
        <v>161</v>
      </c>
    </row>
    <row r="2401" ht="22.5" customHeight="1">
      <c r="A2401" s="6" t="s">
        <v>11799</v>
      </c>
      <c r="B2401" s="6" t="s">
        <v>6040</v>
      </c>
      <c r="C2401" s="10">
        <v>46065.0</v>
      </c>
      <c r="D2401" s="6" t="s">
        <v>416</v>
      </c>
      <c r="E2401" s="6" t="s">
        <v>1386</v>
      </c>
      <c r="F2401" s="6" t="s">
        <v>283</v>
      </c>
      <c r="G2401" s="6" t="s">
        <v>326</v>
      </c>
      <c r="H2401" s="10">
        <v>46070.0</v>
      </c>
      <c r="I2401" s="12">
        <v>13.0</v>
      </c>
      <c r="J2401" s="6" t="s">
        <v>161</v>
      </c>
    </row>
    <row r="2402" ht="22.5" customHeight="1">
      <c r="A2402" s="6" t="s">
        <v>11804</v>
      </c>
      <c r="B2402" s="6" t="s">
        <v>6040</v>
      </c>
      <c r="C2402" s="10">
        <v>46076.0</v>
      </c>
      <c r="D2402" s="6" t="s">
        <v>416</v>
      </c>
      <c r="E2402" s="6" t="s">
        <v>704</v>
      </c>
      <c r="F2402" s="6" t="s">
        <v>439</v>
      </c>
      <c r="G2402" s="6" t="s">
        <v>254</v>
      </c>
      <c r="H2402" s="10">
        <v>46083.0</v>
      </c>
      <c r="I2402" s="12">
        <v>8.0</v>
      </c>
      <c r="J2402" s="6" t="s">
        <v>161</v>
      </c>
    </row>
    <row r="2403" ht="22.5" customHeight="1">
      <c r="A2403" s="6" t="s">
        <v>11809</v>
      </c>
      <c r="B2403" s="6" t="s">
        <v>6040</v>
      </c>
      <c r="C2403" s="10">
        <v>46082.0</v>
      </c>
      <c r="D2403" s="6" t="s">
        <v>391</v>
      </c>
      <c r="E2403" s="6" t="s">
        <v>863</v>
      </c>
      <c r="F2403" s="6" t="s">
        <v>112</v>
      </c>
      <c r="G2403" s="6" t="s">
        <v>369</v>
      </c>
      <c r="H2403" s="10">
        <v>46089.0</v>
      </c>
      <c r="I2403" s="12">
        <v>8.0</v>
      </c>
      <c r="J2403" s="6" t="s">
        <v>161</v>
      </c>
    </row>
    <row r="2404" ht="22.5" customHeight="1">
      <c r="A2404" s="6" t="s">
        <v>11812</v>
      </c>
      <c r="B2404" s="6" t="s">
        <v>6048</v>
      </c>
      <c r="C2404" s="10">
        <v>46054.0</v>
      </c>
      <c r="D2404" s="6" t="s">
        <v>436</v>
      </c>
      <c r="E2404" s="6" t="s">
        <v>1273</v>
      </c>
      <c r="F2404" s="6" t="s">
        <v>112</v>
      </c>
      <c r="G2404" s="6" t="s">
        <v>297</v>
      </c>
      <c r="H2404" s="10">
        <v>46060.0</v>
      </c>
      <c r="I2404" s="12">
        <v>12.0</v>
      </c>
      <c r="J2404" s="6" t="s">
        <v>178</v>
      </c>
    </row>
    <row r="2405" ht="22.5" customHeight="1">
      <c r="A2405" s="6" t="s">
        <v>11817</v>
      </c>
      <c r="B2405" s="6" t="s">
        <v>6048</v>
      </c>
      <c r="C2405" s="10">
        <v>46057.0</v>
      </c>
      <c r="D2405" s="6" t="s">
        <v>391</v>
      </c>
      <c r="E2405" s="6" t="s">
        <v>450</v>
      </c>
      <c r="F2405" s="6" t="s">
        <v>249</v>
      </c>
      <c r="G2405" s="6" t="s">
        <v>369</v>
      </c>
      <c r="H2405" s="10">
        <v>46060.0</v>
      </c>
      <c r="I2405" s="12">
        <v>11.0</v>
      </c>
      <c r="J2405" s="6" t="s">
        <v>161</v>
      </c>
    </row>
    <row r="2406" ht="22.5" customHeight="1">
      <c r="A2406" s="6" t="s">
        <v>11822</v>
      </c>
      <c r="B2406" s="6" t="s">
        <v>6048</v>
      </c>
      <c r="C2406" s="10">
        <v>46050.0</v>
      </c>
      <c r="D2406" s="6" t="s">
        <v>312</v>
      </c>
      <c r="E2406" s="6" t="s">
        <v>1296</v>
      </c>
      <c r="F2406" s="6" t="s">
        <v>283</v>
      </c>
      <c r="G2406" s="6" t="s">
        <v>494</v>
      </c>
      <c r="H2406" s="10">
        <v>46053.0</v>
      </c>
      <c r="I2406" s="12">
        <v>7.0</v>
      </c>
      <c r="J2406" s="6" t="s">
        <v>161</v>
      </c>
    </row>
    <row r="2407" ht="22.5" customHeight="1">
      <c r="A2407" s="6" t="s">
        <v>11825</v>
      </c>
      <c r="B2407" s="6" t="s">
        <v>6048</v>
      </c>
      <c r="C2407" s="10">
        <v>46051.0</v>
      </c>
      <c r="D2407" s="6" t="s">
        <v>312</v>
      </c>
      <c r="E2407" s="6" t="s">
        <v>687</v>
      </c>
      <c r="F2407" s="6" t="s">
        <v>112</v>
      </c>
      <c r="G2407" s="6" t="s">
        <v>494</v>
      </c>
      <c r="H2407" s="10">
        <v>46054.0</v>
      </c>
      <c r="I2407" s="12">
        <v>4.0</v>
      </c>
      <c r="J2407" s="6" t="s">
        <v>161</v>
      </c>
    </row>
    <row r="2408" ht="22.5" customHeight="1">
      <c r="A2408" s="6" t="s">
        <v>11830</v>
      </c>
      <c r="B2408" s="6" t="s">
        <v>6056</v>
      </c>
      <c r="C2408" s="10">
        <v>46043.0</v>
      </c>
      <c r="D2408" s="6" t="s">
        <v>677</v>
      </c>
      <c r="E2408" s="6" t="s">
        <v>246</v>
      </c>
      <c r="F2408" s="6" t="s">
        <v>283</v>
      </c>
      <c r="G2408" s="6" t="s">
        <v>369</v>
      </c>
      <c r="H2408" s="10">
        <v>46045.0</v>
      </c>
      <c r="I2408" s="12">
        <v>3.0</v>
      </c>
      <c r="J2408" s="6" t="s">
        <v>161</v>
      </c>
    </row>
    <row r="2409" ht="22.5" customHeight="1">
      <c r="A2409" s="6" t="s">
        <v>11835</v>
      </c>
      <c r="B2409" s="6" t="s">
        <v>6056</v>
      </c>
      <c r="C2409" s="10">
        <v>46045.0</v>
      </c>
      <c r="D2409" s="6" t="s">
        <v>436</v>
      </c>
      <c r="E2409" s="6" t="s">
        <v>291</v>
      </c>
      <c r="F2409" s="6" t="s">
        <v>283</v>
      </c>
      <c r="G2409" s="6" t="s">
        <v>326</v>
      </c>
      <c r="H2409" s="10">
        <v>46045.0</v>
      </c>
      <c r="I2409" s="12">
        <v>12.0</v>
      </c>
      <c r="J2409" s="6" t="s">
        <v>178</v>
      </c>
    </row>
    <row r="2410" ht="22.5" customHeight="1">
      <c r="A2410" s="6" t="s">
        <v>11837</v>
      </c>
      <c r="B2410" s="6" t="s">
        <v>6056</v>
      </c>
      <c r="C2410" s="10">
        <v>46027.0</v>
      </c>
      <c r="D2410" s="6" t="s">
        <v>312</v>
      </c>
      <c r="E2410" s="6" t="s">
        <v>2365</v>
      </c>
      <c r="F2410" s="6" t="s">
        <v>283</v>
      </c>
      <c r="G2410" s="6" t="s">
        <v>494</v>
      </c>
      <c r="H2410" s="10">
        <v>46029.0</v>
      </c>
      <c r="I2410" s="12">
        <v>5.0</v>
      </c>
      <c r="J2410" s="6" t="s">
        <v>161</v>
      </c>
    </row>
    <row r="2411" ht="22.5" customHeight="1">
      <c r="A2411" s="6" t="s">
        <v>11841</v>
      </c>
      <c r="B2411" s="6" t="s">
        <v>6061</v>
      </c>
      <c r="C2411" s="10">
        <v>46045.0</v>
      </c>
      <c r="D2411" s="6" t="s">
        <v>391</v>
      </c>
      <c r="E2411" s="6" t="s">
        <v>1741</v>
      </c>
      <c r="F2411" s="6" t="s">
        <v>112</v>
      </c>
      <c r="G2411" s="6" t="s">
        <v>254</v>
      </c>
      <c r="H2411" s="11" t="s">
        <v>259</v>
      </c>
      <c r="I2411" s="12">
        <v>7.0</v>
      </c>
      <c r="J2411" s="6" t="s">
        <v>161</v>
      </c>
    </row>
    <row r="2412" ht="22.5" customHeight="1">
      <c r="A2412" s="6" t="s">
        <v>11844</v>
      </c>
      <c r="B2412" s="6" t="s">
        <v>6061</v>
      </c>
      <c r="C2412" s="10">
        <v>46032.0</v>
      </c>
      <c r="D2412" s="6" t="s">
        <v>436</v>
      </c>
      <c r="E2412" s="6" t="s">
        <v>1122</v>
      </c>
      <c r="F2412" s="6" t="s">
        <v>283</v>
      </c>
      <c r="G2412" s="6" t="s">
        <v>458</v>
      </c>
      <c r="H2412" s="10">
        <v>46037.0</v>
      </c>
      <c r="I2412" s="12">
        <v>12.0</v>
      </c>
      <c r="J2412" s="6" t="s">
        <v>161</v>
      </c>
    </row>
    <row r="2413" ht="22.5" customHeight="1">
      <c r="A2413" s="6" t="s">
        <v>11848</v>
      </c>
      <c r="B2413" s="6" t="s">
        <v>6061</v>
      </c>
      <c r="C2413" s="10">
        <v>46036.0</v>
      </c>
      <c r="D2413" s="6" t="s">
        <v>391</v>
      </c>
      <c r="E2413" s="6" t="s">
        <v>1600</v>
      </c>
      <c r="F2413" s="6" t="s">
        <v>249</v>
      </c>
      <c r="G2413" s="6" t="s">
        <v>297</v>
      </c>
      <c r="H2413" s="11" t="s">
        <v>259</v>
      </c>
      <c r="I2413" s="12">
        <v>8.0</v>
      </c>
      <c r="J2413" s="6" t="s">
        <v>161</v>
      </c>
    </row>
    <row r="2414" ht="22.5" customHeight="1">
      <c r="A2414" s="6" t="s">
        <v>11850</v>
      </c>
      <c r="B2414" s="6" t="s">
        <v>6061</v>
      </c>
      <c r="C2414" s="10">
        <v>46030.0</v>
      </c>
      <c r="D2414" s="6" t="s">
        <v>242</v>
      </c>
      <c r="E2414" s="6" t="s">
        <v>566</v>
      </c>
      <c r="F2414" s="6" t="s">
        <v>283</v>
      </c>
      <c r="G2414" s="6" t="s">
        <v>254</v>
      </c>
      <c r="H2414" s="10">
        <v>46037.0</v>
      </c>
      <c r="I2414" s="12">
        <v>6.0</v>
      </c>
      <c r="J2414" s="6" t="s">
        <v>178</v>
      </c>
    </row>
    <row r="2415" ht="22.5" customHeight="1">
      <c r="A2415" s="6" t="s">
        <v>11855</v>
      </c>
      <c r="B2415" s="6" t="s">
        <v>6067</v>
      </c>
      <c r="C2415" s="10">
        <v>46051.0</v>
      </c>
      <c r="D2415" s="6" t="s">
        <v>289</v>
      </c>
      <c r="E2415" s="6" t="s">
        <v>670</v>
      </c>
      <c r="F2415" s="6" t="s">
        <v>249</v>
      </c>
      <c r="G2415" s="6" t="s">
        <v>297</v>
      </c>
      <c r="H2415" s="10">
        <v>46055.0</v>
      </c>
      <c r="I2415" s="12">
        <v>6.0</v>
      </c>
      <c r="J2415" s="6" t="s">
        <v>161</v>
      </c>
    </row>
    <row r="2416" ht="22.5" customHeight="1">
      <c r="A2416" s="6" t="s">
        <v>11860</v>
      </c>
      <c r="B2416" s="6" t="s">
        <v>6067</v>
      </c>
      <c r="C2416" s="10">
        <v>46053.0</v>
      </c>
      <c r="D2416" s="6" t="s">
        <v>436</v>
      </c>
      <c r="E2416" s="6" t="s">
        <v>1310</v>
      </c>
      <c r="F2416" s="6" t="s">
        <v>112</v>
      </c>
      <c r="G2416" s="6" t="s">
        <v>477</v>
      </c>
      <c r="H2416" s="10">
        <v>46055.0</v>
      </c>
      <c r="I2416" s="12">
        <v>10.0</v>
      </c>
      <c r="J2416" s="6" t="s">
        <v>178</v>
      </c>
    </row>
    <row r="2417" ht="22.5" customHeight="1">
      <c r="A2417" s="6" t="s">
        <v>11864</v>
      </c>
      <c r="B2417" s="6" t="s">
        <v>6067</v>
      </c>
      <c r="C2417" s="10">
        <v>46041.0</v>
      </c>
      <c r="D2417" s="6" t="s">
        <v>242</v>
      </c>
      <c r="E2417" s="6" t="s">
        <v>1035</v>
      </c>
      <c r="F2417" s="6" t="s">
        <v>249</v>
      </c>
      <c r="G2417" s="6" t="s">
        <v>452</v>
      </c>
      <c r="H2417" s="10">
        <v>46043.0</v>
      </c>
      <c r="I2417" s="12">
        <v>4.0</v>
      </c>
      <c r="J2417" s="6" t="s">
        <v>161</v>
      </c>
    </row>
    <row r="2418" ht="22.5" customHeight="1">
      <c r="A2418" s="6" t="s">
        <v>11868</v>
      </c>
      <c r="B2418" s="6" t="s">
        <v>6074</v>
      </c>
      <c r="C2418" s="10">
        <v>46030.0</v>
      </c>
      <c r="D2418" s="6" t="s">
        <v>289</v>
      </c>
      <c r="E2418" s="6" t="s">
        <v>512</v>
      </c>
      <c r="F2418" s="6" t="s">
        <v>283</v>
      </c>
      <c r="G2418" s="6" t="s">
        <v>369</v>
      </c>
      <c r="H2418" s="10">
        <v>46031.0</v>
      </c>
      <c r="I2418" s="12">
        <v>8.0</v>
      </c>
      <c r="J2418" s="6" t="s">
        <v>161</v>
      </c>
    </row>
    <row r="2419" ht="22.5" customHeight="1">
      <c r="A2419" s="6" t="s">
        <v>11872</v>
      </c>
      <c r="B2419" s="6" t="s">
        <v>6074</v>
      </c>
      <c r="C2419" s="10">
        <v>46048.0</v>
      </c>
      <c r="D2419" s="6" t="s">
        <v>436</v>
      </c>
      <c r="E2419" s="6" t="s">
        <v>812</v>
      </c>
      <c r="F2419" s="6" t="s">
        <v>283</v>
      </c>
      <c r="G2419" s="6" t="s">
        <v>297</v>
      </c>
      <c r="H2419" s="10">
        <v>46050.0</v>
      </c>
      <c r="I2419" s="12">
        <v>7.0</v>
      </c>
      <c r="J2419" s="6" t="s">
        <v>161</v>
      </c>
    </row>
    <row r="2420" ht="22.5" customHeight="1">
      <c r="A2420" s="6" t="s">
        <v>11877</v>
      </c>
      <c r="B2420" s="6" t="s">
        <v>6081</v>
      </c>
      <c r="C2420" s="10">
        <v>46071.0</v>
      </c>
      <c r="D2420" s="6" t="s">
        <v>289</v>
      </c>
      <c r="E2420" s="6" t="s">
        <v>466</v>
      </c>
      <c r="F2420" s="6" t="s">
        <v>249</v>
      </c>
      <c r="G2420" s="6" t="s">
        <v>369</v>
      </c>
      <c r="H2420" s="10">
        <v>46075.0</v>
      </c>
      <c r="I2420" s="12">
        <v>6.0</v>
      </c>
      <c r="J2420" s="6" t="s">
        <v>161</v>
      </c>
    </row>
    <row r="2421" ht="22.5" customHeight="1">
      <c r="A2421" s="6" t="s">
        <v>11884</v>
      </c>
      <c r="B2421" s="6" t="s">
        <v>6081</v>
      </c>
      <c r="C2421" s="10">
        <v>46075.0</v>
      </c>
      <c r="D2421" s="6" t="s">
        <v>312</v>
      </c>
      <c r="E2421" s="6" t="s">
        <v>704</v>
      </c>
      <c r="F2421" s="6" t="s">
        <v>249</v>
      </c>
      <c r="G2421" s="6" t="s">
        <v>254</v>
      </c>
      <c r="H2421" s="10">
        <v>46077.0</v>
      </c>
      <c r="I2421" s="12">
        <v>6.0</v>
      </c>
      <c r="J2421" s="6" t="s">
        <v>161</v>
      </c>
    </row>
    <row r="2422" ht="22.5" customHeight="1">
      <c r="A2422" s="6" t="s">
        <v>11889</v>
      </c>
      <c r="B2422" s="6" t="s">
        <v>6081</v>
      </c>
      <c r="C2422" s="10">
        <v>46083.0</v>
      </c>
      <c r="D2422" s="6" t="s">
        <v>391</v>
      </c>
      <c r="E2422" s="6" t="s">
        <v>687</v>
      </c>
      <c r="F2422" s="6" t="s">
        <v>283</v>
      </c>
      <c r="G2422" s="6" t="s">
        <v>494</v>
      </c>
      <c r="H2422" s="10">
        <v>46085.0</v>
      </c>
      <c r="I2422" s="12">
        <v>11.0</v>
      </c>
      <c r="J2422" s="6" t="s">
        <v>161</v>
      </c>
    </row>
    <row r="2423" ht="22.5" customHeight="1">
      <c r="A2423" s="6" t="s">
        <v>11893</v>
      </c>
      <c r="B2423" s="6" t="s">
        <v>6081</v>
      </c>
      <c r="C2423" s="10">
        <v>46086.0</v>
      </c>
      <c r="D2423" s="6" t="s">
        <v>677</v>
      </c>
      <c r="E2423" s="6" t="s">
        <v>417</v>
      </c>
      <c r="F2423" s="6" t="s">
        <v>112</v>
      </c>
      <c r="G2423" s="6" t="s">
        <v>326</v>
      </c>
      <c r="H2423" s="10">
        <v>46086.0</v>
      </c>
      <c r="I2423" s="12">
        <v>4.0</v>
      </c>
      <c r="J2423" s="6" t="s">
        <v>161</v>
      </c>
    </row>
    <row r="2424" ht="22.5" customHeight="1">
      <c r="A2424" s="6" t="s">
        <v>11897</v>
      </c>
      <c r="B2424" s="6" t="s">
        <v>6081</v>
      </c>
      <c r="C2424" s="10">
        <v>46068.0</v>
      </c>
      <c r="D2424" s="6" t="s">
        <v>312</v>
      </c>
      <c r="E2424" s="6" t="s">
        <v>787</v>
      </c>
      <c r="F2424" s="6" t="s">
        <v>439</v>
      </c>
      <c r="G2424" s="6" t="s">
        <v>254</v>
      </c>
      <c r="H2424" s="10">
        <v>46068.0</v>
      </c>
      <c r="I2424" s="12">
        <v>5.0</v>
      </c>
      <c r="J2424" s="6" t="s">
        <v>161</v>
      </c>
    </row>
    <row r="2425" ht="22.5" customHeight="1">
      <c r="A2425" s="6" t="s">
        <v>11899</v>
      </c>
      <c r="B2425" s="6" t="s">
        <v>6087</v>
      </c>
      <c r="C2425" s="10">
        <v>46053.0</v>
      </c>
      <c r="D2425" s="6" t="s">
        <v>677</v>
      </c>
      <c r="E2425" s="6" t="s">
        <v>634</v>
      </c>
      <c r="F2425" s="6" t="s">
        <v>439</v>
      </c>
      <c r="G2425" s="6" t="s">
        <v>297</v>
      </c>
      <c r="H2425" s="10">
        <v>46057.0</v>
      </c>
      <c r="I2425" s="12">
        <v>2.0</v>
      </c>
      <c r="J2425" s="6" t="s">
        <v>161</v>
      </c>
    </row>
    <row r="2426" ht="22.5" customHeight="1">
      <c r="A2426" s="6" t="s">
        <v>11904</v>
      </c>
      <c r="B2426" s="6" t="s">
        <v>6087</v>
      </c>
      <c r="C2426" s="10">
        <v>46071.0</v>
      </c>
      <c r="D2426" s="6" t="s">
        <v>436</v>
      </c>
      <c r="E2426" s="6" t="s">
        <v>438</v>
      </c>
      <c r="F2426" s="6" t="s">
        <v>283</v>
      </c>
      <c r="G2426" s="6" t="s">
        <v>326</v>
      </c>
      <c r="H2426" s="10">
        <v>46077.0</v>
      </c>
      <c r="I2426" s="12">
        <v>6.0</v>
      </c>
      <c r="J2426" s="6" t="s">
        <v>178</v>
      </c>
    </row>
    <row r="2427" ht="22.5" customHeight="1">
      <c r="A2427" s="6" t="s">
        <v>11909</v>
      </c>
      <c r="B2427" s="6" t="s">
        <v>6087</v>
      </c>
      <c r="C2427" s="10">
        <v>46060.0</v>
      </c>
      <c r="D2427" s="6" t="s">
        <v>416</v>
      </c>
      <c r="E2427" s="6" t="s">
        <v>2881</v>
      </c>
      <c r="F2427" s="6" t="s">
        <v>439</v>
      </c>
      <c r="G2427" s="6" t="s">
        <v>254</v>
      </c>
      <c r="H2427" s="10">
        <v>46065.0</v>
      </c>
      <c r="I2427" s="12">
        <v>10.0</v>
      </c>
      <c r="J2427" s="6" t="s">
        <v>161</v>
      </c>
    </row>
    <row r="2428" ht="22.5" customHeight="1">
      <c r="A2428" s="6" t="s">
        <v>11911</v>
      </c>
      <c r="B2428" s="6" t="s">
        <v>6087</v>
      </c>
      <c r="C2428" s="10">
        <v>46063.0</v>
      </c>
      <c r="D2428" s="6" t="s">
        <v>391</v>
      </c>
      <c r="E2428" s="6" t="s">
        <v>1720</v>
      </c>
      <c r="F2428" s="6" t="s">
        <v>249</v>
      </c>
      <c r="G2428" s="6" t="s">
        <v>458</v>
      </c>
      <c r="H2428" s="11" t="s">
        <v>259</v>
      </c>
      <c r="I2428" s="12">
        <v>9.0</v>
      </c>
      <c r="J2428" s="6" t="s">
        <v>161</v>
      </c>
    </row>
    <row r="2429" ht="22.5" customHeight="1">
      <c r="A2429" s="6" t="s">
        <v>11915</v>
      </c>
      <c r="B2429" s="6" t="s">
        <v>6087</v>
      </c>
      <c r="C2429" s="10">
        <v>46064.0</v>
      </c>
      <c r="D2429" s="6" t="s">
        <v>677</v>
      </c>
      <c r="E2429" s="6" t="s">
        <v>863</v>
      </c>
      <c r="F2429" s="6" t="s">
        <v>439</v>
      </c>
      <c r="G2429" s="6" t="s">
        <v>326</v>
      </c>
      <c r="H2429" s="10">
        <v>46065.0</v>
      </c>
      <c r="I2429" s="12">
        <v>4.0</v>
      </c>
      <c r="J2429" s="6" t="s">
        <v>161</v>
      </c>
    </row>
    <row r="2430" ht="22.5" customHeight="1">
      <c r="A2430" s="6" t="s">
        <v>11921</v>
      </c>
      <c r="B2430" s="6" t="s">
        <v>6093</v>
      </c>
      <c r="C2430" s="10">
        <v>46068.0</v>
      </c>
      <c r="D2430" s="6" t="s">
        <v>436</v>
      </c>
      <c r="E2430" s="6" t="s">
        <v>610</v>
      </c>
      <c r="F2430" s="6" t="s">
        <v>249</v>
      </c>
      <c r="G2430" s="6" t="s">
        <v>326</v>
      </c>
      <c r="H2430" s="10">
        <v>46074.0</v>
      </c>
      <c r="I2430" s="12">
        <v>7.0</v>
      </c>
      <c r="J2430" s="6" t="s">
        <v>178</v>
      </c>
    </row>
    <row r="2431" ht="22.5" customHeight="1">
      <c r="A2431" s="6" t="s">
        <v>11926</v>
      </c>
      <c r="B2431" s="6" t="s">
        <v>6093</v>
      </c>
      <c r="C2431" s="10">
        <v>46087.0</v>
      </c>
      <c r="D2431" s="6" t="s">
        <v>391</v>
      </c>
      <c r="E2431" s="6" t="s">
        <v>628</v>
      </c>
      <c r="F2431" s="6" t="s">
        <v>439</v>
      </c>
      <c r="G2431" s="6" t="s">
        <v>254</v>
      </c>
      <c r="H2431" s="10">
        <v>46088.0</v>
      </c>
      <c r="I2431" s="12">
        <v>6.0</v>
      </c>
      <c r="J2431" s="6" t="s">
        <v>161</v>
      </c>
    </row>
    <row r="2432" ht="22.5" customHeight="1">
      <c r="A2432" s="6" t="s">
        <v>11931</v>
      </c>
      <c r="B2432" s="6" t="s">
        <v>6100</v>
      </c>
      <c r="C2432" s="10">
        <v>46069.0</v>
      </c>
      <c r="D2432" s="6" t="s">
        <v>391</v>
      </c>
      <c r="E2432" s="6" t="s">
        <v>628</v>
      </c>
      <c r="F2432" s="6" t="s">
        <v>249</v>
      </c>
      <c r="G2432" s="6" t="s">
        <v>254</v>
      </c>
      <c r="H2432" s="10">
        <v>46075.0</v>
      </c>
      <c r="I2432" s="12">
        <v>11.0</v>
      </c>
      <c r="J2432" s="6" t="s">
        <v>161</v>
      </c>
    </row>
    <row r="2433" ht="22.5" customHeight="1">
      <c r="A2433" s="6" t="s">
        <v>11936</v>
      </c>
      <c r="B2433" s="6" t="s">
        <v>6100</v>
      </c>
      <c r="C2433" s="10">
        <v>46082.0</v>
      </c>
      <c r="D2433" s="6" t="s">
        <v>391</v>
      </c>
      <c r="E2433" s="6" t="s">
        <v>2365</v>
      </c>
      <c r="F2433" s="6" t="s">
        <v>439</v>
      </c>
      <c r="G2433" s="6" t="s">
        <v>477</v>
      </c>
      <c r="H2433" s="10">
        <v>46088.0</v>
      </c>
      <c r="I2433" s="12">
        <v>8.0</v>
      </c>
      <c r="J2433" s="6" t="s">
        <v>161</v>
      </c>
    </row>
    <row r="2434" ht="22.5" customHeight="1">
      <c r="A2434" s="6" t="s">
        <v>11942</v>
      </c>
      <c r="B2434" s="6" t="s">
        <v>6100</v>
      </c>
      <c r="C2434" s="10">
        <v>46076.0</v>
      </c>
      <c r="D2434" s="6" t="s">
        <v>677</v>
      </c>
      <c r="E2434" s="6" t="s">
        <v>1280</v>
      </c>
      <c r="F2434" s="6" t="s">
        <v>439</v>
      </c>
      <c r="G2434" s="6" t="s">
        <v>369</v>
      </c>
      <c r="H2434" s="10">
        <v>46076.0</v>
      </c>
      <c r="I2434" s="12">
        <v>3.0</v>
      </c>
      <c r="J2434" s="6" t="s">
        <v>161</v>
      </c>
    </row>
    <row r="2435" ht="22.5" customHeight="1">
      <c r="A2435" s="6" t="s">
        <v>11949</v>
      </c>
      <c r="B2435" s="6" t="s">
        <v>6100</v>
      </c>
      <c r="C2435" s="10">
        <v>46065.0</v>
      </c>
      <c r="D2435" s="6" t="s">
        <v>289</v>
      </c>
      <c r="E2435" s="6" t="s">
        <v>512</v>
      </c>
      <c r="F2435" s="6" t="s">
        <v>283</v>
      </c>
      <c r="G2435" s="6" t="s">
        <v>452</v>
      </c>
      <c r="H2435" s="10">
        <v>46072.0</v>
      </c>
      <c r="I2435" s="12">
        <v>9.0</v>
      </c>
      <c r="J2435" s="6" t="s">
        <v>161</v>
      </c>
    </row>
    <row r="2436" ht="22.5" customHeight="1">
      <c r="A2436" s="6" t="s">
        <v>11955</v>
      </c>
      <c r="B2436" s="6" t="s">
        <v>6100</v>
      </c>
      <c r="C2436" s="10">
        <v>46078.0</v>
      </c>
      <c r="D2436" s="6" t="s">
        <v>289</v>
      </c>
      <c r="E2436" s="6" t="s">
        <v>1035</v>
      </c>
      <c r="F2436" s="6" t="s">
        <v>112</v>
      </c>
      <c r="G2436" s="6" t="s">
        <v>452</v>
      </c>
      <c r="H2436" s="10">
        <v>46078.0</v>
      </c>
      <c r="I2436" s="12">
        <v>6.0</v>
      </c>
      <c r="J2436" s="6" t="s">
        <v>161</v>
      </c>
    </row>
    <row r="2437" ht="22.5" customHeight="1">
      <c r="A2437" s="6" t="s">
        <v>11961</v>
      </c>
      <c r="B2437" s="6" t="s">
        <v>6106</v>
      </c>
      <c r="C2437" s="10">
        <v>46028.0</v>
      </c>
      <c r="D2437" s="6" t="s">
        <v>677</v>
      </c>
      <c r="E2437" s="6" t="s">
        <v>1310</v>
      </c>
      <c r="F2437" s="6" t="s">
        <v>439</v>
      </c>
      <c r="G2437" s="6" t="s">
        <v>452</v>
      </c>
      <c r="H2437" s="11" t="s">
        <v>259</v>
      </c>
      <c r="I2437" s="12">
        <v>2.0</v>
      </c>
      <c r="J2437" s="6" t="s">
        <v>161</v>
      </c>
    </row>
    <row r="2438" ht="22.5" customHeight="1">
      <c r="A2438" s="6" t="s">
        <v>11966</v>
      </c>
      <c r="B2438" s="6" t="s">
        <v>6106</v>
      </c>
      <c r="C2438" s="10">
        <v>46044.0</v>
      </c>
      <c r="D2438" s="6" t="s">
        <v>416</v>
      </c>
      <c r="E2438" s="6" t="s">
        <v>628</v>
      </c>
      <c r="F2438" s="6" t="s">
        <v>112</v>
      </c>
      <c r="G2438" s="6" t="s">
        <v>477</v>
      </c>
      <c r="H2438" s="10">
        <v>46050.0</v>
      </c>
      <c r="I2438" s="12">
        <v>11.0</v>
      </c>
      <c r="J2438" s="6" t="s">
        <v>161</v>
      </c>
    </row>
    <row r="2439" ht="22.5" customHeight="1">
      <c r="A2439" s="6" t="s">
        <v>11972</v>
      </c>
      <c r="B2439" s="6" t="s">
        <v>6106</v>
      </c>
      <c r="C2439" s="10">
        <v>46031.0</v>
      </c>
      <c r="D2439" s="6" t="s">
        <v>436</v>
      </c>
      <c r="E2439" s="6" t="s">
        <v>246</v>
      </c>
      <c r="F2439" s="6" t="s">
        <v>439</v>
      </c>
      <c r="G2439" s="6" t="s">
        <v>254</v>
      </c>
      <c r="H2439" s="11" t="s">
        <v>259</v>
      </c>
      <c r="I2439" s="12">
        <v>12.0</v>
      </c>
      <c r="J2439" s="6" t="s">
        <v>178</v>
      </c>
    </row>
    <row r="2440" ht="22.5" customHeight="1">
      <c r="A2440" s="6" t="s">
        <v>11975</v>
      </c>
      <c r="B2440" s="6" t="s">
        <v>6106</v>
      </c>
      <c r="C2440" s="10">
        <v>46037.0</v>
      </c>
      <c r="D2440" s="6" t="s">
        <v>436</v>
      </c>
      <c r="E2440" s="6" t="s">
        <v>687</v>
      </c>
      <c r="F2440" s="6" t="s">
        <v>112</v>
      </c>
      <c r="G2440" s="6" t="s">
        <v>254</v>
      </c>
      <c r="H2440" s="11" t="s">
        <v>259</v>
      </c>
      <c r="I2440" s="12">
        <v>12.0</v>
      </c>
      <c r="J2440" s="6" t="s">
        <v>178</v>
      </c>
    </row>
    <row r="2441" ht="22.5" customHeight="1">
      <c r="A2441" s="6" t="s">
        <v>11981</v>
      </c>
      <c r="B2441" s="6" t="s">
        <v>6112</v>
      </c>
      <c r="C2441" s="10">
        <v>46053.0</v>
      </c>
      <c r="D2441" s="6" t="s">
        <v>289</v>
      </c>
      <c r="E2441" s="6" t="s">
        <v>450</v>
      </c>
      <c r="F2441" s="6" t="s">
        <v>112</v>
      </c>
      <c r="G2441" s="6" t="s">
        <v>452</v>
      </c>
      <c r="H2441" s="10">
        <v>46058.0</v>
      </c>
      <c r="I2441" s="12">
        <v>9.0</v>
      </c>
      <c r="J2441" s="6" t="s">
        <v>161</v>
      </c>
    </row>
    <row r="2442" ht="22.5" customHeight="1">
      <c r="A2442" s="6" t="s">
        <v>11988</v>
      </c>
      <c r="B2442" s="6" t="s">
        <v>6112</v>
      </c>
      <c r="C2442" s="10">
        <v>46044.0</v>
      </c>
      <c r="D2442" s="6" t="s">
        <v>391</v>
      </c>
      <c r="E2442" s="6" t="s">
        <v>466</v>
      </c>
      <c r="F2442" s="6" t="s">
        <v>249</v>
      </c>
      <c r="G2442" s="6" t="s">
        <v>452</v>
      </c>
      <c r="H2442" s="10">
        <v>46044.0</v>
      </c>
      <c r="I2442" s="12">
        <v>8.0</v>
      </c>
      <c r="J2442" s="6" t="s">
        <v>161</v>
      </c>
    </row>
    <row r="2443" ht="22.5" customHeight="1">
      <c r="A2443" s="6" t="s">
        <v>11997</v>
      </c>
      <c r="B2443" s="6" t="s">
        <v>6112</v>
      </c>
      <c r="C2443" s="10">
        <v>46047.0</v>
      </c>
      <c r="D2443" s="6" t="s">
        <v>436</v>
      </c>
      <c r="E2443" s="6" t="s">
        <v>863</v>
      </c>
      <c r="F2443" s="6" t="s">
        <v>439</v>
      </c>
      <c r="G2443" s="6" t="s">
        <v>458</v>
      </c>
      <c r="H2443" s="11" t="s">
        <v>259</v>
      </c>
      <c r="I2443" s="12">
        <v>12.0</v>
      </c>
      <c r="J2443" s="6" t="s">
        <v>178</v>
      </c>
    </row>
    <row r="2444" ht="22.5" customHeight="1">
      <c r="A2444" s="6" t="s">
        <v>12005</v>
      </c>
      <c r="B2444" s="6" t="s">
        <v>6112</v>
      </c>
      <c r="C2444" s="10">
        <v>46048.0</v>
      </c>
      <c r="D2444" s="6" t="s">
        <v>416</v>
      </c>
      <c r="E2444" s="6" t="s">
        <v>955</v>
      </c>
      <c r="F2444" s="6" t="s">
        <v>439</v>
      </c>
      <c r="G2444" s="6" t="s">
        <v>477</v>
      </c>
      <c r="H2444" s="10">
        <v>46049.0</v>
      </c>
      <c r="I2444" s="12">
        <v>12.0</v>
      </c>
      <c r="J2444" s="6" t="s">
        <v>161</v>
      </c>
    </row>
    <row r="2445" ht="22.5" customHeight="1">
      <c r="A2445" s="6" t="s">
        <v>12014</v>
      </c>
      <c r="B2445" s="6" t="s">
        <v>6112</v>
      </c>
      <c r="C2445" s="10">
        <v>46054.0</v>
      </c>
      <c r="D2445" s="6" t="s">
        <v>391</v>
      </c>
      <c r="E2445" s="6" t="s">
        <v>1273</v>
      </c>
      <c r="F2445" s="6" t="s">
        <v>439</v>
      </c>
      <c r="G2445" s="6" t="s">
        <v>452</v>
      </c>
      <c r="H2445" s="10">
        <v>46061.0</v>
      </c>
      <c r="I2445" s="12">
        <v>8.0</v>
      </c>
      <c r="J2445" s="6" t="s">
        <v>161</v>
      </c>
    </row>
    <row r="2446" ht="22.5" customHeight="1">
      <c r="A2446" s="6" t="s">
        <v>12024</v>
      </c>
      <c r="B2446" s="6" t="s">
        <v>6118</v>
      </c>
      <c r="C2446" s="10">
        <v>46049.0</v>
      </c>
      <c r="D2446" s="6" t="s">
        <v>391</v>
      </c>
      <c r="E2446" s="6" t="s">
        <v>246</v>
      </c>
      <c r="F2446" s="6" t="s">
        <v>283</v>
      </c>
      <c r="G2446" s="6" t="s">
        <v>494</v>
      </c>
      <c r="H2446" s="10">
        <v>46049.0</v>
      </c>
      <c r="I2446" s="12">
        <v>9.0</v>
      </c>
      <c r="J2446" s="6" t="s">
        <v>161</v>
      </c>
    </row>
    <row r="2447" ht="22.5" customHeight="1">
      <c r="A2447" s="6" t="s">
        <v>12032</v>
      </c>
      <c r="B2447" s="6" t="s">
        <v>6118</v>
      </c>
      <c r="C2447" s="10">
        <v>46046.0</v>
      </c>
      <c r="D2447" s="6" t="s">
        <v>242</v>
      </c>
      <c r="E2447" s="6" t="s">
        <v>618</v>
      </c>
      <c r="F2447" s="6" t="s">
        <v>249</v>
      </c>
      <c r="G2447" s="6" t="s">
        <v>369</v>
      </c>
      <c r="H2447" s="10">
        <v>46047.0</v>
      </c>
      <c r="I2447" s="12">
        <v>3.0</v>
      </c>
      <c r="J2447" s="6" t="s">
        <v>161</v>
      </c>
    </row>
    <row r="2448" ht="22.5" customHeight="1">
      <c r="A2448" s="6" t="s">
        <v>12040</v>
      </c>
      <c r="B2448" s="6" t="s">
        <v>6124</v>
      </c>
      <c r="C2448" s="10">
        <v>46064.0</v>
      </c>
      <c r="D2448" s="6" t="s">
        <v>416</v>
      </c>
      <c r="E2448" s="6" t="s">
        <v>1720</v>
      </c>
      <c r="F2448" s="6" t="s">
        <v>283</v>
      </c>
      <c r="G2448" s="6" t="s">
        <v>452</v>
      </c>
      <c r="H2448" s="11" t="s">
        <v>259</v>
      </c>
      <c r="I2448" s="12">
        <v>11.0</v>
      </c>
      <c r="J2448" s="6" t="s">
        <v>161</v>
      </c>
    </row>
    <row r="2449" ht="22.5" customHeight="1">
      <c r="A2449" s="6" t="s">
        <v>12048</v>
      </c>
      <c r="B2449" s="6" t="s">
        <v>6124</v>
      </c>
      <c r="C2449" s="10">
        <v>46067.0</v>
      </c>
      <c r="D2449" s="6" t="s">
        <v>312</v>
      </c>
      <c r="E2449" s="6" t="s">
        <v>687</v>
      </c>
      <c r="F2449" s="6" t="s">
        <v>439</v>
      </c>
      <c r="G2449" s="6" t="s">
        <v>254</v>
      </c>
      <c r="H2449" s="10">
        <v>46074.0</v>
      </c>
      <c r="I2449" s="12">
        <v>7.0</v>
      </c>
      <c r="J2449" s="6" t="s">
        <v>161</v>
      </c>
    </row>
    <row r="2450" ht="22.5" customHeight="1">
      <c r="A2450" s="6" t="s">
        <v>12054</v>
      </c>
      <c r="B2450" s="6" t="s">
        <v>6124</v>
      </c>
      <c r="C2450" s="10">
        <v>46062.0</v>
      </c>
      <c r="D2450" s="6" t="s">
        <v>416</v>
      </c>
      <c r="E2450" s="6" t="s">
        <v>566</v>
      </c>
      <c r="F2450" s="6" t="s">
        <v>249</v>
      </c>
      <c r="G2450" s="6" t="s">
        <v>254</v>
      </c>
      <c r="H2450" s="10">
        <v>46067.0</v>
      </c>
      <c r="I2450" s="12">
        <v>12.0</v>
      </c>
      <c r="J2450" s="6" t="s">
        <v>161</v>
      </c>
    </row>
    <row r="2451" ht="22.5" customHeight="1">
      <c r="A2451" s="6" t="s">
        <v>12060</v>
      </c>
      <c r="B2451" s="6" t="s">
        <v>6124</v>
      </c>
      <c r="C2451" s="10">
        <v>46067.0</v>
      </c>
      <c r="D2451" s="6" t="s">
        <v>312</v>
      </c>
      <c r="E2451" s="6" t="s">
        <v>704</v>
      </c>
      <c r="F2451" s="6" t="s">
        <v>439</v>
      </c>
      <c r="G2451" s="6" t="s">
        <v>458</v>
      </c>
      <c r="H2451" s="10">
        <v>46074.0</v>
      </c>
      <c r="I2451" s="12">
        <v>4.0</v>
      </c>
      <c r="J2451" s="6" t="s">
        <v>161</v>
      </c>
    </row>
    <row r="2452" ht="22.5" customHeight="1">
      <c r="A2452" s="6" t="s">
        <v>12064</v>
      </c>
      <c r="B2452" s="6" t="s">
        <v>6131</v>
      </c>
      <c r="C2452" s="10">
        <v>46051.0</v>
      </c>
      <c r="D2452" s="6" t="s">
        <v>289</v>
      </c>
      <c r="E2452" s="6" t="s">
        <v>1741</v>
      </c>
      <c r="F2452" s="6" t="s">
        <v>249</v>
      </c>
      <c r="G2452" s="6" t="s">
        <v>477</v>
      </c>
      <c r="H2452" s="10">
        <v>46054.0</v>
      </c>
      <c r="I2452" s="12">
        <v>8.0</v>
      </c>
      <c r="J2452" s="6" t="s">
        <v>161</v>
      </c>
    </row>
    <row r="2453" ht="22.5" customHeight="1">
      <c r="A2453" s="6" t="s">
        <v>12070</v>
      </c>
      <c r="B2453" s="6" t="s">
        <v>6131</v>
      </c>
      <c r="C2453" s="10">
        <v>46040.0</v>
      </c>
      <c r="D2453" s="6" t="s">
        <v>416</v>
      </c>
      <c r="E2453" s="6" t="s">
        <v>1035</v>
      </c>
      <c r="F2453" s="6" t="s">
        <v>283</v>
      </c>
      <c r="G2453" s="6" t="s">
        <v>477</v>
      </c>
      <c r="H2453" s="10">
        <v>46045.0</v>
      </c>
      <c r="I2453" s="12">
        <v>13.0</v>
      </c>
      <c r="J2453" s="6" t="s">
        <v>161</v>
      </c>
    </row>
    <row r="2454" ht="22.5" customHeight="1">
      <c r="A2454" s="6" t="s">
        <v>12074</v>
      </c>
      <c r="B2454" s="6" t="s">
        <v>6131</v>
      </c>
      <c r="C2454" s="10">
        <v>46054.0</v>
      </c>
      <c r="D2454" s="6" t="s">
        <v>677</v>
      </c>
      <c r="E2454" s="6" t="s">
        <v>1969</v>
      </c>
      <c r="F2454" s="6" t="s">
        <v>112</v>
      </c>
      <c r="G2454" s="6" t="s">
        <v>452</v>
      </c>
      <c r="H2454" s="10">
        <v>46056.0</v>
      </c>
      <c r="I2454" s="12">
        <v>3.0</v>
      </c>
      <c r="J2454" s="6" t="s">
        <v>161</v>
      </c>
    </row>
    <row r="2455" ht="22.5" customHeight="1">
      <c r="A2455" s="6" t="s">
        <v>12079</v>
      </c>
      <c r="B2455" s="6" t="s">
        <v>6137</v>
      </c>
      <c r="C2455" s="10">
        <v>46068.0</v>
      </c>
      <c r="D2455" s="6" t="s">
        <v>312</v>
      </c>
      <c r="E2455" s="6" t="s">
        <v>1969</v>
      </c>
      <c r="F2455" s="6" t="s">
        <v>439</v>
      </c>
      <c r="G2455" s="6" t="s">
        <v>297</v>
      </c>
      <c r="H2455" s="10">
        <v>46072.0</v>
      </c>
      <c r="I2455" s="12">
        <v>5.0</v>
      </c>
      <c r="J2455" s="6" t="s">
        <v>161</v>
      </c>
    </row>
    <row r="2456" ht="22.5" customHeight="1">
      <c r="A2456" s="6" t="s">
        <v>12085</v>
      </c>
      <c r="B2456" s="6" t="s">
        <v>6137</v>
      </c>
      <c r="C2456" s="10">
        <v>46078.0</v>
      </c>
      <c r="D2456" s="6" t="s">
        <v>416</v>
      </c>
      <c r="E2456" s="6" t="s">
        <v>1600</v>
      </c>
      <c r="F2456" s="6" t="s">
        <v>112</v>
      </c>
      <c r="G2456" s="6" t="s">
        <v>458</v>
      </c>
      <c r="H2456" s="10">
        <v>46080.0</v>
      </c>
      <c r="I2456" s="12">
        <v>12.0</v>
      </c>
      <c r="J2456" s="6" t="s">
        <v>161</v>
      </c>
    </row>
    <row r="2457" ht="22.5" customHeight="1">
      <c r="A2457" s="6" t="s">
        <v>12093</v>
      </c>
      <c r="B2457" s="6" t="s">
        <v>6137</v>
      </c>
      <c r="C2457" s="10">
        <v>46070.0</v>
      </c>
      <c r="D2457" s="6" t="s">
        <v>436</v>
      </c>
      <c r="E2457" s="6" t="s">
        <v>695</v>
      </c>
      <c r="F2457" s="6" t="s">
        <v>439</v>
      </c>
      <c r="G2457" s="6" t="s">
        <v>297</v>
      </c>
      <c r="H2457" s="10">
        <v>46070.0</v>
      </c>
      <c r="I2457" s="12">
        <v>9.0</v>
      </c>
      <c r="J2457" s="6" t="s">
        <v>178</v>
      </c>
    </row>
    <row r="2458" ht="22.5" customHeight="1">
      <c r="A2458" s="6" t="s">
        <v>12100</v>
      </c>
      <c r="B2458" s="6" t="s">
        <v>6137</v>
      </c>
      <c r="C2458" s="10">
        <v>46072.0</v>
      </c>
      <c r="D2458" s="6" t="s">
        <v>677</v>
      </c>
      <c r="E2458" s="6" t="s">
        <v>1552</v>
      </c>
      <c r="F2458" s="6" t="s">
        <v>439</v>
      </c>
      <c r="G2458" s="6" t="s">
        <v>326</v>
      </c>
      <c r="H2458" s="10">
        <v>46074.0</v>
      </c>
      <c r="I2458" s="12">
        <v>3.0</v>
      </c>
      <c r="J2458" s="6" t="s">
        <v>161</v>
      </c>
    </row>
    <row r="2459" ht="22.5" customHeight="1">
      <c r="A2459" s="6" t="s">
        <v>12110</v>
      </c>
      <c r="B2459" s="6" t="s">
        <v>6144</v>
      </c>
      <c r="C2459" s="10">
        <v>46068.0</v>
      </c>
      <c r="D2459" s="6" t="s">
        <v>289</v>
      </c>
      <c r="E2459" s="6" t="s">
        <v>1386</v>
      </c>
      <c r="F2459" s="6" t="s">
        <v>112</v>
      </c>
      <c r="G2459" s="6" t="s">
        <v>452</v>
      </c>
      <c r="H2459" s="11" t="s">
        <v>259</v>
      </c>
      <c r="I2459" s="12">
        <v>5.0</v>
      </c>
      <c r="J2459" s="6" t="s">
        <v>161</v>
      </c>
    </row>
    <row r="2460" ht="22.5" customHeight="1">
      <c r="A2460" s="6" t="s">
        <v>12117</v>
      </c>
      <c r="B2460" s="6" t="s">
        <v>6144</v>
      </c>
      <c r="C2460" s="10">
        <v>46058.0</v>
      </c>
      <c r="D2460" s="6" t="s">
        <v>242</v>
      </c>
      <c r="E2460" s="6" t="s">
        <v>1969</v>
      </c>
      <c r="F2460" s="6" t="s">
        <v>439</v>
      </c>
      <c r="G2460" s="6" t="s">
        <v>326</v>
      </c>
      <c r="H2460" s="10">
        <v>46061.0</v>
      </c>
      <c r="I2460" s="12">
        <v>6.0</v>
      </c>
      <c r="J2460" s="6" t="s">
        <v>178</v>
      </c>
    </row>
    <row r="2461" ht="22.5" customHeight="1">
      <c r="A2461" s="6" t="s">
        <v>12128</v>
      </c>
      <c r="B2461" s="6" t="s">
        <v>6144</v>
      </c>
      <c r="C2461" s="10">
        <v>46069.0</v>
      </c>
      <c r="D2461" s="6" t="s">
        <v>436</v>
      </c>
      <c r="E2461" s="6" t="s">
        <v>566</v>
      </c>
      <c r="F2461" s="6" t="s">
        <v>249</v>
      </c>
      <c r="G2461" s="6" t="s">
        <v>297</v>
      </c>
      <c r="H2461" s="10">
        <v>46076.0</v>
      </c>
      <c r="I2461" s="12">
        <v>8.0</v>
      </c>
      <c r="J2461" s="6" t="s">
        <v>178</v>
      </c>
    </row>
    <row r="2462" ht="22.5" customHeight="1">
      <c r="A2462" s="6" t="s">
        <v>12134</v>
      </c>
      <c r="B2462" s="6" t="s">
        <v>6144</v>
      </c>
      <c r="C2462" s="10">
        <v>46073.0</v>
      </c>
      <c r="D2462" s="6" t="s">
        <v>436</v>
      </c>
      <c r="E2462" s="6" t="s">
        <v>955</v>
      </c>
      <c r="F2462" s="6" t="s">
        <v>439</v>
      </c>
      <c r="G2462" s="6" t="s">
        <v>297</v>
      </c>
      <c r="H2462" s="10">
        <v>46074.0</v>
      </c>
      <c r="I2462" s="12">
        <v>8.0</v>
      </c>
      <c r="J2462" s="6" t="s">
        <v>178</v>
      </c>
    </row>
    <row r="2463" ht="22.5" customHeight="1">
      <c r="A2463" s="6" t="s">
        <v>12140</v>
      </c>
      <c r="B2463" s="6" t="s">
        <v>6144</v>
      </c>
      <c r="C2463" s="10">
        <v>46059.0</v>
      </c>
      <c r="D2463" s="6" t="s">
        <v>416</v>
      </c>
      <c r="E2463" s="6" t="s">
        <v>1296</v>
      </c>
      <c r="F2463" s="6" t="s">
        <v>439</v>
      </c>
      <c r="G2463" s="6" t="s">
        <v>494</v>
      </c>
      <c r="H2463" s="10">
        <v>46066.0</v>
      </c>
      <c r="I2463" s="12">
        <v>13.0</v>
      </c>
      <c r="J2463" s="6" t="s">
        <v>161</v>
      </c>
    </row>
    <row r="2464" ht="22.5" customHeight="1">
      <c r="A2464" s="6" t="s">
        <v>12147</v>
      </c>
      <c r="B2464" s="6" t="s">
        <v>6150</v>
      </c>
      <c r="C2464" s="10">
        <v>46036.0</v>
      </c>
      <c r="D2464" s="6" t="s">
        <v>312</v>
      </c>
      <c r="E2464" s="6" t="s">
        <v>610</v>
      </c>
      <c r="F2464" s="6" t="s">
        <v>112</v>
      </c>
      <c r="G2464" s="6" t="s">
        <v>477</v>
      </c>
      <c r="H2464" s="10">
        <v>46043.0</v>
      </c>
      <c r="I2464" s="12">
        <v>5.0</v>
      </c>
      <c r="J2464" s="6" t="s">
        <v>161</v>
      </c>
    </row>
    <row r="2465" ht="22.5" customHeight="1">
      <c r="A2465" s="6" t="s">
        <v>12152</v>
      </c>
      <c r="B2465" s="6" t="s">
        <v>6157</v>
      </c>
      <c r="C2465" s="10">
        <v>46033.0</v>
      </c>
      <c r="D2465" s="6" t="s">
        <v>677</v>
      </c>
      <c r="E2465" s="6" t="s">
        <v>394</v>
      </c>
      <c r="F2465" s="6" t="s">
        <v>112</v>
      </c>
      <c r="G2465" s="6" t="s">
        <v>326</v>
      </c>
      <c r="H2465" s="11" t="s">
        <v>259</v>
      </c>
      <c r="I2465" s="12">
        <v>3.0</v>
      </c>
      <c r="J2465" s="6" t="s">
        <v>161</v>
      </c>
    </row>
    <row r="2466" ht="22.5" customHeight="1">
      <c r="A2466" s="6" t="s">
        <v>12158</v>
      </c>
      <c r="B2466" s="6" t="s">
        <v>6157</v>
      </c>
      <c r="C2466" s="10">
        <v>46038.0</v>
      </c>
      <c r="D2466" s="6" t="s">
        <v>289</v>
      </c>
      <c r="E2466" s="6" t="s">
        <v>1720</v>
      </c>
      <c r="F2466" s="6" t="s">
        <v>439</v>
      </c>
      <c r="G2466" s="6" t="s">
        <v>326</v>
      </c>
      <c r="H2466" s="11" t="s">
        <v>259</v>
      </c>
      <c r="I2466" s="12">
        <v>10.0</v>
      </c>
      <c r="J2466" s="6" t="s">
        <v>161</v>
      </c>
    </row>
    <row r="2467" ht="22.5" customHeight="1">
      <c r="A2467" s="6" t="s">
        <v>12163</v>
      </c>
      <c r="B2467" s="6" t="s">
        <v>6157</v>
      </c>
      <c r="C2467" s="10">
        <v>46041.0</v>
      </c>
      <c r="D2467" s="6" t="s">
        <v>436</v>
      </c>
      <c r="E2467" s="6" t="s">
        <v>670</v>
      </c>
      <c r="F2467" s="6" t="s">
        <v>249</v>
      </c>
      <c r="G2467" s="6" t="s">
        <v>326</v>
      </c>
      <c r="H2467" s="10">
        <v>46048.0</v>
      </c>
      <c r="I2467" s="12">
        <v>9.0</v>
      </c>
      <c r="J2467" s="6" t="s">
        <v>178</v>
      </c>
    </row>
    <row r="2468" ht="22.5" customHeight="1">
      <c r="A2468" s="6" t="s">
        <v>12170</v>
      </c>
      <c r="B2468" s="6" t="s">
        <v>6157</v>
      </c>
      <c r="C2468" s="10">
        <v>46048.0</v>
      </c>
      <c r="D2468" s="6" t="s">
        <v>289</v>
      </c>
      <c r="E2468" s="6" t="s">
        <v>1055</v>
      </c>
      <c r="F2468" s="6" t="s">
        <v>283</v>
      </c>
      <c r="G2468" s="6" t="s">
        <v>458</v>
      </c>
      <c r="H2468" s="11" t="s">
        <v>259</v>
      </c>
      <c r="I2468" s="12">
        <v>8.0</v>
      </c>
      <c r="J2468" s="6" t="s">
        <v>161</v>
      </c>
    </row>
    <row r="2469" ht="22.5" customHeight="1">
      <c r="A2469" s="6" t="s">
        <v>12176</v>
      </c>
      <c r="B2469" s="6" t="s">
        <v>6157</v>
      </c>
      <c r="C2469" s="10">
        <v>46038.0</v>
      </c>
      <c r="D2469" s="6" t="s">
        <v>289</v>
      </c>
      <c r="E2469" s="6" t="s">
        <v>885</v>
      </c>
      <c r="F2469" s="6" t="s">
        <v>283</v>
      </c>
      <c r="G2469" s="6" t="s">
        <v>477</v>
      </c>
      <c r="H2469" s="10">
        <v>46042.0</v>
      </c>
      <c r="I2469" s="12">
        <v>9.0</v>
      </c>
      <c r="J2469" s="6" t="s">
        <v>161</v>
      </c>
    </row>
    <row r="2470" ht="22.5" customHeight="1">
      <c r="A2470" s="6" t="s">
        <v>12182</v>
      </c>
      <c r="B2470" s="6" t="s">
        <v>6163</v>
      </c>
      <c r="C2470" s="10">
        <v>46044.0</v>
      </c>
      <c r="D2470" s="6" t="s">
        <v>416</v>
      </c>
      <c r="E2470" s="6" t="s">
        <v>438</v>
      </c>
      <c r="F2470" s="6" t="s">
        <v>112</v>
      </c>
      <c r="G2470" s="6" t="s">
        <v>369</v>
      </c>
      <c r="H2470" s="10">
        <v>46047.0</v>
      </c>
      <c r="I2470" s="12">
        <v>11.0</v>
      </c>
      <c r="J2470" s="6" t="s">
        <v>161</v>
      </c>
    </row>
    <row r="2471" ht="22.5" customHeight="1">
      <c r="A2471" s="6" t="s">
        <v>12188</v>
      </c>
      <c r="B2471" s="6" t="s">
        <v>6163</v>
      </c>
      <c r="C2471" s="10">
        <v>46032.0</v>
      </c>
      <c r="D2471" s="6" t="s">
        <v>677</v>
      </c>
      <c r="E2471" s="6" t="s">
        <v>670</v>
      </c>
      <c r="F2471" s="6" t="s">
        <v>439</v>
      </c>
      <c r="G2471" s="6" t="s">
        <v>326</v>
      </c>
      <c r="H2471" s="11" t="s">
        <v>259</v>
      </c>
      <c r="I2471" s="12">
        <v>4.0</v>
      </c>
      <c r="J2471" s="6" t="s">
        <v>161</v>
      </c>
    </row>
    <row r="2472" ht="22.5" customHeight="1">
      <c r="A2472" s="6" t="s">
        <v>12193</v>
      </c>
      <c r="B2472" s="6" t="s">
        <v>6163</v>
      </c>
      <c r="C2472" s="10">
        <v>46038.0</v>
      </c>
      <c r="D2472" s="6" t="s">
        <v>436</v>
      </c>
      <c r="E2472" s="6" t="s">
        <v>885</v>
      </c>
      <c r="F2472" s="6" t="s">
        <v>439</v>
      </c>
      <c r="G2472" s="6" t="s">
        <v>452</v>
      </c>
      <c r="H2472" s="10">
        <v>46038.0</v>
      </c>
      <c r="I2472" s="12">
        <v>12.0</v>
      </c>
      <c r="J2472" s="6" t="s">
        <v>178</v>
      </c>
    </row>
    <row r="2473" ht="22.5" customHeight="1">
      <c r="A2473" s="6" t="s">
        <v>12200</v>
      </c>
      <c r="B2473" s="6" t="s">
        <v>6163</v>
      </c>
      <c r="C2473" s="10">
        <v>46044.0</v>
      </c>
      <c r="D2473" s="6" t="s">
        <v>436</v>
      </c>
      <c r="E2473" s="6" t="s">
        <v>787</v>
      </c>
      <c r="F2473" s="6" t="s">
        <v>439</v>
      </c>
      <c r="G2473" s="6" t="s">
        <v>458</v>
      </c>
      <c r="H2473" s="10">
        <v>46046.0</v>
      </c>
      <c r="I2473" s="12">
        <v>10.0</v>
      </c>
      <c r="J2473" s="6" t="s">
        <v>178</v>
      </c>
    </row>
    <row r="2474" ht="22.5" customHeight="1">
      <c r="A2474" s="6" t="s">
        <v>12203</v>
      </c>
      <c r="B2474" s="6" t="s">
        <v>6163</v>
      </c>
      <c r="C2474" s="10">
        <v>46033.0</v>
      </c>
      <c r="D2474" s="6" t="s">
        <v>416</v>
      </c>
      <c r="E2474" s="6" t="s">
        <v>798</v>
      </c>
      <c r="F2474" s="6" t="s">
        <v>439</v>
      </c>
      <c r="G2474" s="6" t="s">
        <v>494</v>
      </c>
      <c r="H2474" s="10">
        <v>46037.0</v>
      </c>
      <c r="I2474" s="12">
        <v>8.0</v>
      </c>
      <c r="J2474" s="6" t="s">
        <v>161</v>
      </c>
    </row>
    <row r="2475" ht="22.5" customHeight="1">
      <c r="A2475" s="6" t="s">
        <v>12207</v>
      </c>
      <c r="B2475" s="6" t="s">
        <v>6170</v>
      </c>
      <c r="C2475" s="10">
        <v>46058.0</v>
      </c>
      <c r="D2475" s="6" t="s">
        <v>391</v>
      </c>
      <c r="E2475" s="6" t="s">
        <v>1626</v>
      </c>
      <c r="F2475" s="6" t="s">
        <v>283</v>
      </c>
      <c r="G2475" s="6" t="s">
        <v>477</v>
      </c>
      <c r="H2475" s="11" t="s">
        <v>259</v>
      </c>
      <c r="I2475" s="12">
        <v>7.0</v>
      </c>
      <c r="J2475" s="6" t="s">
        <v>161</v>
      </c>
    </row>
    <row r="2476" ht="22.5" customHeight="1">
      <c r="A2476" s="6" t="s">
        <v>12212</v>
      </c>
      <c r="B2476" s="6" t="s">
        <v>6170</v>
      </c>
      <c r="C2476" s="10">
        <v>46046.0</v>
      </c>
      <c r="D2476" s="6" t="s">
        <v>416</v>
      </c>
      <c r="E2476" s="6" t="s">
        <v>618</v>
      </c>
      <c r="F2476" s="6" t="s">
        <v>112</v>
      </c>
      <c r="G2476" s="6" t="s">
        <v>297</v>
      </c>
      <c r="H2476" s="10">
        <v>46047.0</v>
      </c>
      <c r="I2476" s="12">
        <v>12.0</v>
      </c>
      <c r="J2476" s="6" t="s">
        <v>161</v>
      </c>
    </row>
    <row r="2477" ht="22.5" customHeight="1">
      <c r="A2477" s="6" t="s">
        <v>12217</v>
      </c>
      <c r="B2477" s="6" t="s">
        <v>6170</v>
      </c>
      <c r="C2477" s="10">
        <v>46045.0</v>
      </c>
      <c r="D2477" s="6" t="s">
        <v>677</v>
      </c>
      <c r="E2477" s="6" t="s">
        <v>1122</v>
      </c>
      <c r="F2477" s="6" t="s">
        <v>283</v>
      </c>
      <c r="G2477" s="6" t="s">
        <v>494</v>
      </c>
      <c r="H2477" s="10">
        <v>46047.0</v>
      </c>
      <c r="I2477" s="12">
        <v>4.0</v>
      </c>
      <c r="J2477" s="6" t="s">
        <v>161</v>
      </c>
    </row>
    <row r="2478" ht="22.5" customHeight="1">
      <c r="A2478" s="6" t="s">
        <v>12221</v>
      </c>
      <c r="B2478" s="6" t="s">
        <v>6170</v>
      </c>
      <c r="C2478" s="10">
        <v>46047.0</v>
      </c>
      <c r="D2478" s="6" t="s">
        <v>677</v>
      </c>
      <c r="E2478" s="6" t="s">
        <v>1310</v>
      </c>
      <c r="F2478" s="6" t="s">
        <v>112</v>
      </c>
      <c r="G2478" s="6" t="s">
        <v>458</v>
      </c>
      <c r="H2478" s="10">
        <v>46054.0</v>
      </c>
      <c r="I2478" s="12">
        <v>4.0</v>
      </c>
      <c r="J2478" s="6" t="s">
        <v>161</v>
      </c>
    </row>
    <row r="2479" ht="22.5" customHeight="1">
      <c r="A2479" s="6" t="s">
        <v>12225</v>
      </c>
      <c r="B2479" s="6" t="s">
        <v>6176</v>
      </c>
      <c r="C2479" s="10">
        <v>46035.0</v>
      </c>
      <c r="D2479" s="6" t="s">
        <v>289</v>
      </c>
      <c r="E2479" s="6" t="s">
        <v>798</v>
      </c>
      <c r="F2479" s="6" t="s">
        <v>283</v>
      </c>
      <c r="G2479" s="6" t="s">
        <v>369</v>
      </c>
      <c r="H2479" s="11" t="s">
        <v>259</v>
      </c>
      <c r="I2479" s="12">
        <v>10.0</v>
      </c>
      <c r="J2479" s="6" t="s">
        <v>161</v>
      </c>
    </row>
    <row r="2480" ht="22.5" customHeight="1">
      <c r="A2480" s="6" t="s">
        <v>12228</v>
      </c>
      <c r="B2480" s="6" t="s">
        <v>6176</v>
      </c>
      <c r="C2480" s="10">
        <v>46045.0</v>
      </c>
      <c r="D2480" s="6" t="s">
        <v>391</v>
      </c>
      <c r="E2480" s="6" t="s">
        <v>583</v>
      </c>
      <c r="F2480" s="6" t="s">
        <v>249</v>
      </c>
      <c r="G2480" s="6" t="s">
        <v>452</v>
      </c>
      <c r="H2480" s="10">
        <v>46047.0</v>
      </c>
      <c r="I2480" s="12">
        <v>8.0</v>
      </c>
      <c r="J2480" s="6" t="s">
        <v>161</v>
      </c>
    </row>
    <row r="2481" ht="22.5" customHeight="1">
      <c r="A2481" s="6" t="s">
        <v>12232</v>
      </c>
      <c r="B2481" s="6" t="s">
        <v>6176</v>
      </c>
      <c r="C2481" s="10">
        <v>46047.0</v>
      </c>
      <c r="D2481" s="6" t="s">
        <v>436</v>
      </c>
      <c r="E2481" s="6" t="s">
        <v>1122</v>
      </c>
      <c r="F2481" s="6" t="s">
        <v>249</v>
      </c>
      <c r="G2481" s="6" t="s">
        <v>452</v>
      </c>
      <c r="H2481" s="11" t="s">
        <v>259</v>
      </c>
      <c r="I2481" s="12">
        <v>11.0</v>
      </c>
      <c r="J2481" s="6" t="s">
        <v>178</v>
      </c>
    </row>
    <row r="2482" ht="22.5" customHeight="1">
      <c r="A2482" s="6" t="s">
        <v>12234</v>
      </c>
      <c r="B2482" s="6" t="s">
        <v>6176</v>
      </c>
      <c r="C2482" s="10">
        <v>46036.0</v>
      </c>
      <c r="D2482" s="6" t="s">
        <v>312</v>
      </c>
      <c r="E2482" s="6" t="s">
        <v>695</v>
      </c>
      <c r="F2482" s="6" t="s">
        <v>112</v>
      </c>
      <c r="G2482" s="6" t="s">
        <v>452</v>
      </c>
      <c r="H2482" s="10">
        <v>46038.0</v>
      </c>
      <c r="I2482" s="12">
        <v>4.0</v>
      </c>
      <c r="J2482" s="6" t="s">
        <v>161</v>
      </c>
    </row>
    <row r="2483" ht="22.5" customHeight="1">
      <c r="A2483" s="6" t="s">
        <v>12239</v>
      </c>
      <c r="B2483" s="6" t="s">
        <v>6182</v>
      </c>
      <c r="C2483" s="10">
        <v>46061.0</v>
      </c>
      <c r="D2483" s="6" t="s">
        <v>677</v>
      </c>
      <c r="E2483" s="6" t="s">
        <v>1122</v>
      </c>
      <c r="F2483" s="6" t="s">
        <v>283</v>
      </c>
      <c r="G2483" s="6" t="s">
        <v>477</v>
      </c>
      <c r="H2483" s="10">
        <v>46067.0</v>
      </c>
      <c r="I2483" s="12">
        <v>2.0</v>
      </c>
      <c r="J2483" s="6" t="s">
        <v>161</v>
      </c>
    </row>
    <row r="2484" ht="22.5" customHeight="1">
      <c r="A2484" s="6" t="s">
        <v>12243</v>
      </c>
      <c r="B2484" s="6" t="s">
        <v>6182</v>
      </c>
      <c r="C2484" s="10">
        <v>46059.0</v>
      </c>
      <c r="D2484" s="6" t="s">
        <v>416</v>
      </c>
      <c r="E2484" s="6" t="s">
        <v>1241</v>
      </c>
      <c r="F2484" s="6" t="s">
        <v>283</v>
      </c>
      <c r="G2484" s="6" t="s">
        <v>452</v>
      </c>
      <c r="H2484" s="10">
        <v>46059.0</v>
      </c>
      <c r="I2484" s="12">
        <v>9.0</v>
      </c>
      <c r="J2484" s="6" t="s">
        <v>161</v>
      </c>
    </row>
    <row r="2485" ht="22.5" customHeight="1">
      <c r="A2485" s="6" t="s">
        <v>12247</v>
      </c>
      <c r="B2485" s="6" t="s">
        <v>6182</v>
      </c>
      <c r="C2485" s="10">
        <v>46060.0</v>
      </c>
      <c r="D2485" s="6" t="s">
        <v>312</v>
      </c>
      <c r="E2485" s="6" t="s">
        <v>1070</v>
      </c>
      <c r="F2485" s="6" t="s">
        <v>439</v>
      </c>
      <c r="G2485" s="6" t="s">
        <v>326</v>
      </c>
      <c r="H2485" s="10">
        <v>46065.0</v>
      </c>
      <c r="I2485" s="12">
        <v>7.0</v>
      </c>
      <c r="J2485" s="6" t="s">
        <v>161</v>
      </c>
    </row>
    <row r="2486" ht="22.5" customHeight="1">
      <c r="A2486" s="6" t="s">
        <v>12251</v>
      </c>
      <c r="B2486" s="6" t="s">
        <v>6188</v>
      </c>
      <c r="C2486" s="10">
        <v>46073.0</v>
      </c>
      <c r="D2486" s="6" t="s">
        <v>289</v>
      </c>
      <c r="E2486" s="6" t="s">
        <v>812</v>
      </c>
      <c r="F2486" s="6" t="s">
        <v>439</v>
      </c>
      <c r="G2486" s="6" t="s">
        <v>297</v>
      </c>
      <c r="H2486" s="11" t="s">
        <v>259</v>
      </c>
      <c r="I2486" s="12">
        <v>7.0</v>
      </c>
      <c r="J2486" s="6" t="s">
        <v>161</v>
      </c>
    </row>
    <row r="2487" ht="22.5" customHeight="1">
      <c r="A2487" s="6" t="s">
        <v>12257</v>
      </c>
      <c r="B2487" s="6" t="s">
        <v>6195</v>
      </c>
      <c r="C2487" s="10">
        <v>46036.0</v>
      </c>
      <c r="D2487" s="6" t="s">
        <v>289</v>
      </c>
      <c r="E2487" s="6" t="s">
        <v>775</v>
      </c>
      <c r="F2487" s="6" t="s">
        <v>112</v>
      </c>
      <c r="G2487" s="6" t="s">
        <v>254</v>
      </c>
      <c r="H2487" s="10">
        <v>46038.0</v>
      </c>
      <c r="I2487" s="12">
        <v>10.0</v>
      </c>
      <c r="J2487" s="6" t="s">
        <v>161</v>
      </c>
    </row>
    <row r="2488" ht="22.5" customHeight="1">
      <c r="A2488" s="6" t="s">
        <v>12260</v>
      </c>
      <c r="B2488" s="6" t="s">
        <v>6195</v>
      </c>
      <c r="C2488" s="10">
        <v>46050.0</v>
      </c>
      <c r="D2488" s="6" t="s">
        <v>312</v>
      </c>
      <c r="E2488" s="6" t="s">
        <v>246</v>
      </c>
      <c r="F2488" s="6" t="s">
        <v>439</v>
      </c>
      <c r="G2488" s="6" t="s">
        <v>326</v>
      </c>
      <c r="H2488" s="10">
        <v>46056.0</v>
      </c>
      <c r="I2488" s="12">
        <v>5.0</v>
      </c>
      <c r="J2488" s="6" t="s">
        <v>161</v>
      </c>
    </row>
    <row r="2489" ht="22.5" customHeight="1">
      <c r="A2489" s="6" t="s">
        <v>12264</v>
      </c>
      <c r="B2489" s="6" t="s">
        <v>6195</v>
      </c>
      <c r="C2489" s="10">
        <v>46037.0</v>
      </c>
      <c r="D2489" s="6" t="s">
        <v>312</v>
      </c>
      <c r="E2489" s="6" t="s">
        <v>896</v>
      </c>
      <c r="F2489" s="6" t="s">
        <v>439</v>
      </c>
      <c r="G2489" s="6" t="s">
        <v>494</v>
      </c>
      <c r="H2489" s="10">
        <v>46042.0</v>
      </c>
      <c r="I2489" s="12">
        <v>4.0</v>
      </c>
      <c r="J2489" s="6" t="s">
        <v>161</v>
      </c>
    </row>
    <row r="2490" ht="22.5" customHeight="1">
      <c r="A2490" s="6" t="s">
        <v>12270</v>
      </c>
      <c r="B2490" s="6" t="s">
        <v>6195</v>
      </c>
      <c r="C2490" s="10">
        <v>46031.0</v>
      </c>
      <c r="D2490" s="6" t="s">
        <v>677</v>
      </c>
      <c r="E2490" s="6" t="s">
        <v>812</v>
      </c>
      <c r="F2490" s="6" t="s">
        <v>283</v>
      </c>
      <c r="G2490" s="6" t="s">
        <v>297</v>
      </c>
      <c r="H2490" s="10">
        <v>46035.0</v>
      </c>
      <c r="I2490" s="12">
        <v>4.0</v>
      </c>
      <c r="J2490" s="6" t="s">
        <v>161</v>
      </c>
    </row>
    <row r="2491" ht="22.5" customHeight="1">
      <c r="A2491" s="6" t="s">
        <v>12272</v>
      </c>
      <c r="B2491" s="6" t="s">
        <v>6201</v>
      </c>
      <c r="C2491" s="10">
        <v>46062.0</v>
      </c>
      <c r="D2491" s="6" t="s">
        <v>677</v>
      </c>
      <c r="E2491" s="6" t="s">
        <v>1552</v>
      </c>
      <c r="F2491" s="6" t="s">
        <v>283</v>
      </c>
      <c r="G2491" s="6" t="s">
        <v>254</v>
      </c>
      <c r="H2491" s="11" t="s">
        <v>259</v>
      </c>
      <c r="I2491" s="12">
        <v>3.0</v>
      </c>
      <c r="J2491" s="6" t="s">
        <v>161</v>
      </c>
    </row>
    <row r="2492" ht="22.5" customHeight="1">
      <c r="A2492" s="6" t="s">
        <v>12277</v>
      </c>
      <c r="B2492" s="6" t="s">
        <v>6201</v>
      </c>
      <c r="C2492" s="10">
        <v>46070.0</v>
      </c>
      <c r="D2492" s="6" t="s">
        <v>436</v>
      </c>
      <c r="E2492" s="6" t="s">
        <v>2365</v>
      </c>
      <c r="F2492" s="6" t="s">
        <v>249</v>
      </c>
      <c r="G2492" s="6" t="s">
        <v>452</v>
      </c>
      <c r="H2492" s="11" t="s">
        <v>259</v>
      </c>
      <c r="I2492" s="12">
        <v>12.0</v>
      </c>
      <c r="J2492" s="6" t="s">
        <v>178</v>
      </c>
    </row>
    <row r="2493" ht="22.5" customHeight="1">
      <c r="A2493" s="6" t="s">
        <v>12280</v>
      </c>
      <c r="B2493" s="6" t="s">
        <v>6207</v>
      </c>
      <c r="C2493" s="10">
        <v>46040.0</v>
      </c>
      <c r="D2493" s="6" t="s">
        <v>391</v>
      </c>
      <c r="E2493" s="6" t="s">
        <v>438</v>
      </c>
      <c r="F2493" s="6" t="s">
        <v>439</v>
      </c>
      <c r="G2493" s="6" t="s">
        <v>477</v>
      </c>
      <c r="H2493" s="10">
        <v>46045.0</v>
      </c>
      <c r="I2493" s="12">
        <v>11.0</v>
      </c>
      <c r="J2493" s="6" t="s">
        <v>161</v>
      </c>
    </row>
    <row r="2494" ht="22.5" customHeight="1">
      <c r="A2494" s="6" t="s">
        <v>12286</v>
      </c>
      <c r="B2494" s="6" t="s">
        <v>6207</v>
      </c>
      <c r="C2494" s="10">
        <v>46043.0</v>
      </c>
      <c r="D2494" s="6" t="s">
        <v>677</v>
      </c>
      <c r="E2494" s="6" t="s">
        <v>1741</v>
      </c>
      <c r="F2494" s="6" t="s">
        <v>112</v>
      </c>
      <c r="G2494" s="6" t="s">
        <v>297</v>
      </c>
      <c r="H2494" s="10">
        <v>46048.0</v>
      </c>
      <c r="I2494" s="12">
        <v>3.0</v>
      </c>
      <c r="J2494" s="6" t="s">
        <v>161</v>
      </c>
    </row>
    <row r="2495" ht="22.5" customHeight="1">
      <c r="A2495" s="6" t="s">
        <v>12291</v>
      </c>
      <c r="B2495" s="6" t="s">
        <v>6207</v>
      </c>
      <c r="C2495" s="10">
        <v>46051.0</v>
      </c>
      <c r="D2495" s="6" t="s">
        <v>677</v>
      </c>
      <c r="E2495" s="6" t="s">
        <v>1570</v>
      </c>
      <c r="F2495" s="6" t="s">
        <v>249</v>
      </c>
      <c r="G2495" s="6" t="s">
        <v>477</v>
      </c>
      <c r="H2495" s="10">
        <v>46058.0</v>
      </c>
      <c r="I2495" s="12">
        <v>3.0</v>
      </c>
      <c r="J2495" s="6" t="s">
        <v>161</v>
      </c>
    </row>
    <row r="2496" ht="22.5" customHeight="1">
      <c r="A2496" s="6" t="s">
        <v>12296</v>
      </c>
      <c r="B2496" s="6" t="s">
        <v>6207</v>
      </c>
      <c r="C2496" s="10">
        <v>46043.0</v>
      </c>
      <c r="D2496" s="6" t="s">
        <v>312</v>
      </c>
      <c r="E2496" s="6" t="s">
        <v>1102</v>
      </c>
      <c r="F2496" s="6" t="s">
        <v>249</v>
      </c>
      <c r="G2496" s="6" t="s">
        <v>297</v>
      </c>
      <c r="H2496" s="11" t="s">
        <v>259</v>
      </c>
      <c r="I2496" s="12">
        <v>7.0</v>
      </c>
      <c r="J2496" s="6" t="s">
        <v>161</v>
      </c>
    </row>
    <row r="2497" ht="22.5" customHeight="1">
      <c r="A2497" s="6" t="s">
        <v>12299</v>
      </c>
      <c r="B2497" s="6" t="s">
        <v>6207</v>
      </c>
      <c r="C2497" s="10">
        <v>46047.0</v>
      </c>
      <c r="D2497" s="6" t="s">
        <v>436</v>
      </c>
      <c r="E2497" s="6" t="s">
        <v>1241</v>
      </c>
      <c r="F2497" s="6" t="s">
        <v>283</v>
      </c>
      <c r="G2497" s="6" t="s">
        <v>297</v>
      </c>
      <c r="H2497" s="10">
        <v>46050.0</v>
      </c>
      <c r="I2497" s="12">
        <v>10.0</v>
      </c>
      <c r="J2497" s="6" t="s">
        <v>161</v>
      </c>
    </row>
    <row r="2498" ht="22.5" customHeight="1">
      <c r="A2498" s="6" t="s">
        <v>12303</v>
      </c>
      <c r="B2498" s="6" t="s">
        <v>6213</v>
      </c>
      <c r="C2498" s="10">
        <v>46050.0</v>
      </c>
      <c r="D2498" s="6" t="s">
        <v>391</v>
      </c>
      <c r="E2498" s="6" t="s">
        <v>885</v>
      </c>
      <c r="F2498" s="6" t="s">
        <v>249</v>
      </c>
      <c r="G2498" s="6" t="s">
        <v>458</v>
      </c>
      <c r="H2498" s="11" t="s">
        <v>259</v>
      </c>
      <c r="I2498" s="12">
        <v>7.0</v>
      </c>
      <c r="J2498" s="6" t="s">
        <v>161</v>
      </c>
    </row>
    <row r="2499" ht="22.5" customHeight="1">
      <c r="A2499" s="6" t="s">
        <v>12309</v>
      </c>
      <c r="B2499" s="6" t="s">
        <v>6213</v>
      </c>
      <c r="C2499" s="10">
        <v>46056.0</v>
      </c>
      <c r="D2499" s="6" t="s">
        <v>242</v>
      </c>
      <c r="E2499" s="6" t="s">
        <v>417</v>
      </c>
      <c r="F2499" s="6" t="s">
        <v>249</v>
      </c>
      <c r="G2499" s="6" t="s">
        <v>297</v>
      </c>
      <c r="H2499" s="10">
        <v>46063.0</v>
      </c>
      <c r="I2499" s="12">
        <v>6.0</v>
      </c>
      <c r="J2499" s="6" t="s">
        <v>178</v>
      </c>
    </row>
    <row r="2500" ht="22.5" customHeight="1">
      <c r="A2500" s="6" t="s">
        <v>12314</v>
      </c>
      <c r="B2500" s="6" t="s">
        <v>6213</v>
      </c>
      <c r="C2500" s="10">
        <v>46059.0</v>
      </c>
      <c r="D2500" s="6" t="s">
        <v>391</v>
      </c>
      <c r="E2500" s="6" t="s">
        <v>1720</v>
      </c>
      <c r="F2500" s="6" t="s">
        <v>439</v>
      </c>
      <c r="G2500" s="6" t="s">
        <v>477</v>
      </c>
      <c r="H2500" s="10">
        <v>46061.0</v>
      </c>
      <c r="I2500" s="12">
        <v>6.0</v>
      </c>
      <c r="J2500" s="6" t="s">
        <v>161</v>
      </c>
    </row>
    <row r="2501" ht="22.5" customHeight="1">
      <c r="A2501" s="6" t="s">
        <v>12318</v>
      </c>
      <c r="B2501" s="6" t="s">
        <v>6213</v>
      </c>
      <c r="C2501" s="10">
        <v>46058.0</v>
      </c>
      <c r="D2501" s="6" t="s">
        <v>242</v>
      </c>
      <c r="E2501" s="6" t="s">
        <v>955</v>
      </c>
      <c r="F2501" s="6" t="s">
        <v>439</v>
      </c>
      <c r="G2501" s="6" t="s">
        <v>297</v>
      </c>
      <c r="H2501" s="10">
        <v>46062.0</v>
      </c>
      <c r="I2501" s="12">
        <v>6.0</v>
      </c>
      <c r="J2501" s="6" t="s">
        <v>178</v>
      </c>
    </row>
    <row r="2502" ht="22.5" customHeight="1">
      <c r="A2502" s="6" t="s">
        <v>12323</v>
      </c>
      <c r="B2502" s="6" t="s">
        <v>6219</v>
      </c>
      <c r="C2502" s="10">
        <v>46052.0</v>
      </c>
      <c r="D2502" s="6" t="s">
        <v>416</v>
      </c>
      <c r="E2502" s="6" t="s">
        <v>798</v>
      </c>
      <c r="F2502" s="6" t="s">
        <v>439</v>
      </c>
      <c r="G2502" s="6" t="s">
        <v>326</v>
      </c>
      <c r="H2502" s="10">
        <v>46057.0</v>
      </c>
      <c r="I2502" s="12">
        <v>12.0</v>
      </c>
      <c r="J2502" s="6" t="s">
        <v>161</v>
      </c>
    </row>
    <row r="2503" ht="22.5" customHeight="1">
      <c r="A2503" s="6" t="s">
        <v>12328</v>
      </c>
      <c r="B2503" s="6" t="s">
        <v>6219</v>
      </c>
      <c r="C2503" s="10">
        <v>46056.0</v>
      </c>
      <c r="D2503" s="6" t="s">
        <v>677</v>
      </c>
      <c r="E2503" s="6" t="s">
        <v>775</v>
      </c>
      <c r="F2503" s="6" t="s">
        <v>439</v>
      </c>
      <c r="G2503" s="6" t="s">
        <v>458</v>
      </c>
      <c r="H2503" s="10">
        <v>46063.0</v>
      </c>
      <c r="I2503" s="12">
        <v>4.0</v>
      </c>
      <c r="J2503" s="6" t="s">
        <v>161</v>
      </c>
    </row>
    <row r="2504" ht="22.5" customHeight="1">
      <c r="A2504" s="6" t="s">
        <v>12334</v>
      </c>
      <c r="B2504" s="6" t="s">
        <v>6219</v>
      </c>
      <c r="C2504" s="10">
        <v>46056.0</v>
      </c>
      <c r="D2504" s="6" t="s">
        <v>677</v>
      </c>
      <c r="E2504" s="6" t="s">
        <v>1102</v>
      </c>
      <c r="F2504" s="6" t="s">
        <v>439</v>
      </c>
      <c r="G2504" s="6" t="s">
        <v>452</v>
      </c>
      <c r="H2504" s="10">
        <v>46056.0</v>
      </c>
      <c r="I2504" s="12">
        <v>3.0</v>
      </c>
      <c r="J2504" s="6" t="s">
        <v>161</v>
      </c>
    </row>
    <row r="2505" ht="22.5" customHeight="1">
      <c r="A2505" s="6" t="s">
        <v>12336</v>
      </c>
      <c r="B2505" s="6" t="s">
        <v>6225</v>
      </c>
      <c r="C2505" s="10">
        <v>46078.0</v>
      </c>
      <c r="D2505" s="6" t="s">
        <v>416</v>
      </c>
      <c r="E2505" s="6" t="s">
        <v>2365</v>
      </c>
      <c r="F2505" s="6" t="s">
        <v>112</v>
      </c>
      <c r="G2505" s="6" t="s">
        <v>369</v>
      </c>
      <c r="H2505" s="10">
        <v>46085.0</v>
      </c>
      <c r="I2505" s="12">
        <v>9.0</v>
      </c>
      <c r="J2505" s="6" t="s">
        <v>161</v>
      </c>
    </row>
    <row r="2506" ht="22.5" customHeight="1">
      <c r="A2506" s="6" t="s">
        <v>12342</v>
      </c>
      <c r="B2506" s="6" t="s">
        <v>6225</v>
      </c>
      <c r="C2506" s="10">
        <v>46067.0</v>
      </c>
      <c r="D2506" s="6" t="s">
        <v>242</v>
      </c>
      <c r="E2506" s="6" t="s">
        <v>1035</v>
      </c>
      <c r="F2506" s="6" t="s">
        <v>439</v>
      </c>
      <c r="G2506" s="6" t="s">
        <v>254</v>
      </c>
      <c r="H2506" s="11" t="s">
        <v>259</v>
      </c>
      <c r="I2506" s="12">
        <v>3.0</v>
      </c>
      <c r="J2506" s="6" t="s">
        <v>161</v>
      </c>
    </row>
    <row r="2507" ht="22.5" customHeight="1">
      <c r="A2507" s="6" t="s">
        <v>12347</v>
      </c>
      <c r="B2507" s="6" t="s">
        <v>6225</v>
      </c>
      <c r="C2507" s="10">
        <v>46066.0</v>
      </c>
      <c r="D2507" s="6" t="s">
        <v>391</v>
      </c>
      <c r="E2507" s="6" t="s">
        <v>731</v>
      </c>
      <c r="F2507" s="6" t="s">
        <v>249</v>
      </c>
      <c r="G2507" s="6" t="s">
        <v>326</v>
      </c>
      <c r="H2507" s="10">
        <v>46073.0</v>
      </c>
      <c r="I2507" s="12">
        <v>11.0</v>
      </c>
      <c r="J2507" s="6" t="s">
        <v>161</v>
      </c>
    </row>
    <row r="2508" ht="22.5" customHeight="1">
      <c r="A2508" s="6" t="s">
        <v>12352</v>
      </c>
      <c r="B2508" s="6" t="s">
        <v>6232</v>
      </c>
      <c r="C2508" s="10">
        <v>46079.0</v>
      </c>
      <c r="D2508" s="6" t="s">
        <v>391</v>
      </c>
      <c r="E2508" s="6" t="s">
        <v>1700</v>
      </c>
      <c r="F2508" s="6" t="s">
        <v>439</v>
      </c>
      <c r="G2508" s="6" t="s">
        <v>458</v>
      </c>
      <c r="H2508" s="11" t="s">
        <v>259</v>
      </c>
      <c r="I2508" s="12">
        <v>9.0</v>
      </c>
      <c r="J2508" s="6" t="s">
        <v>161</v>
      </c>
    </row>
    <row r="2509" ht="22.5" customHeight="1">
      <c r="A2509" s="6" t="s">
        <v>12358</v>
      </c>
      <c r="B2509" s="6" t="s">
        <v>6238</v>
      </c>
      <c r="C2509" s="10">
        <v>46032.0</v>
      </c>
      <c r="D2509" s="6" t="s">
        <v>677</v>
      </c>
      <c r="E2509" s="6" t="s">
        <v>1296</v>
      </c>
      <c r="F2509" s="6" t="s">
        <v>439</v>
      </c>
      <c r="G2509" s="6" t="s">
        <v>477</v>
      </c>
      <c r="H2509" s="10">
        <v>46033.0</v>
      </c>
      <c r="I2509" s="12">
        <v>3.0</v>
      </c>
      <c r="J2509" s="6" t="s">
        <v>161</v>
      </c>
    </row>
    <row r="2510" ht="22.5" customHeight="1">
      <c r="A2510" s="6" t="s">
        <v>12361</v>
      </c>
      <c r="B2510" s="6" t="s">
        <v>6238</v>
      </c>
      <c r="C2510" s="10">
        <v>46031.0</v>
      </c>
      <c r="D2510" s="6" t="s">
        <v>436</v>
      </c>
      <c r="E2510" s="6" t="s">
        <v>610</v>
      </c>
      <c r="F2510" s="6" t="s">
        <v>249</v>
      </c>
      <c r="G2510" s="6" t="s">
        <v>494</v>
      </c>
      <c r="H2510" s="10">
        <v>46038.0</v>
      </c>
      <c r="I2510" s="12">
        <v>12.0</v>
      </c>
      <c r="J2510" s="6" t="s">
        <v>178</v>
      </c>
    </row>
    <row r="2511" ht="22.5" customHeight="1">
      <c r="A2511" s="6" t="s">
        <v>12367</v>
      </c>
      <c r="B2511" s="6" t="s">
        <v>6238</v>
      </c>
      <c r="C2511" s="10">
        <v>46039.0</v>
      </c>
      <c r="D2511" s="6" t="s">
        <v>677</v>
      </c>
      <c r="E2511" s="6" t="s">
        <v>798</v>
      </c>
      <c r="F2511" s="6" t="s">
        <v>112</v>
      </c>
      <c r="G2511" s="6" t="s">
        <v>452</v>
      </c>
      <c r="H2511" s="10">
        <v>46044.0</v>
      </c>
      <c r="I2511" s="12">
        <v>4.0</v>
      </c>
      <c r="J2511" s="6" t="s">
        <v>161</v>
      </c>
    </row>
    <row r="2512" ht="22.5" customHeight="1">
      <c r="A2512" s="6" t="s">
        <v>12371</v>
      </c>
      <c r="B2512" s="6" t="s">
        <v>6238</v>
      </c>
      <c r="C2512" s="10">
        <v>46030.0</v>
      </c>
      <c r="D2512" s="6" t="s">
        <v>391</v>
      </c>
      <c r="E2512" s="6" t="s">
        <v>1700</v>
      </c>
      <c r="F2512" s="6" t="s">
        <v>283</v>
      </c>
      <c r="G2512" s="6" t="s">
        <v>452</v>
      </c>
      <c r="H2512" s="11" t="s">
        <v>259</v>
      </c>
      <c r="I2512" s="12">
        <v>6.0</v>
      </c>
      <c r="J2512" s="6" t="s">
        <v>161</v>
      </c>
    </row>
    <row r="2513" ht="22.5" customHeight="1">
      <c r="A2513" s="6" t="s">
        <v>12376</v>
      </c>
      <c r="B2513" s="6" t="s">
        <v>6244</v>
      </c>
      <c r="C2513" s="10">
        <v>46067.0</v>
      </c>
      <c r="D2513" s="6" t="s">
        <v>391</v>
      </c>
      <c r="E2513" s="6" t="s">
        <v>1122</v>
      </c>
      <c r="F2513" s="6" t="s">
        <v>249</v>
      </c>
      <c r="G2513" s="6" t="s">
        <v>326</v>
      </c>
      <c r="H2513" s="10">
        <v>46070.0</v>
      </c>
      <c r="I2513" s="12">
        <v>11.0</v>
      </c>
      <c r="J2513" s="6" t="s">
        <v>161</v>
      </c>
    </row>
    <row r="2514" ht="22.5" customHeight="1">
      <c r="A2514" s="6" t="s">
        <v>12378</v>
      </c>
      <c r="B2514" s="6" t="s">
        <v>6244</v>
      </c>
      <c r="C2514" s="10">
        <v>46053.0</v>
      </c>
      <c r="D2514" s="6" t="s">
        <v>289</v>
      </c>
      <c r="E2514" s="6" t="s">
        <v>438</v>
      </c>
      <c r="F2514" s="6" t="s">
        <v>439</v>
      </c>
      <c r="G2514" s="6" t="s">
        <v>477</v>
      </c>
      <c r="H2514" s="10">
        <v>46053.0</v>
      </c>
      <c r="I2514" s="12">
        <v>7.0</v>
      </c>
      <c r="J2514" s="6" t="s">
        <v>161</v>
      </c>
    </row>
    <row r="2515" ht="22.5" customHeight="1">
      <c r="A2515" s="6" t="s">
        <v>12381</v>
      </c>
      <c r="B2515" s="6" t="s">
        <v>6244</v>
      </c>
      <c r="C2515" s="10">
        <v>46060.0</v>
      </c>
      <c r="D2515" s="6" t="s">
        <v>312</v>
      </c>
      <c r="E2515" s="6" t="s">
        <v>1386</v>
      </c>
      <c r="F2515" s="6" t="s">
        <v>283</v>
      </c>
      <c r="G2515" s="6" t="s">
        <v>369</v>
      </c>
      <c r="H2515" s="10">
        <v>46061.0</v>
      </c>
      <c r="I2515" s="12">
        <v>6.0</v>
      </c>
      <c r="J2515" s="6" t="s">
        <v>161</v>
      </c>
    </row>
    <row r="2516" ht="22.5" customHeight="1">
      <c r="A2516" s="6" t="s">
        <v>12385</v>
      </c>
      <c r="B2516" s="6" t="s">
        <v>6244</v>
      </c>
      <c r="C2516" s="10">
        <v>46058.0</v>
      </c>
      <c r="D2516" s="6" t="s">
        <v>312</v>
      </c>
      <c r="E2516" s="6" t="s">
        <v>658</v>
      </c>
      <c r="F2516" s="6" t="s">
        <v>439</v>
      </c>
      <c r="G2516" s="6" t="s">
        <v>254</v>
      </c>
      <c r="H2516" s="10">
        <v>46060.0</v>
      </c>
      <c r="I2516" s="12">
        <v>6.0</v>
      </c>
      <c r="J2516" s="6" t="s">
        <v>161</v>
      </c>
    </row>
    <row r="2517" ht="22.5" customHeight="1">
      <c r="A2517" s="6" t="s">
        <v>12393</v>
      </c>
      <c r="B2517" s="6" t="s">
        <v>6250</v>
      </c>
      <c r="C2517" s="10">
        <v>46041.0</v>
      </c>
      <c r="D2517" s="6" t="s">
        <v>242</v>
      </c>
      <c r="E2517" s="6" t="s">
        <v>896</v>
      </c>
      <c r="F2517" s="6" t="s">
        <v>439</v>
      </c>
      <c r="G2517" s="6" t="s">
        <v>369</v>
      </c>
      <c r="H2517" s="10">
        <v>46046.0</v>
      </c>
      <c r="I2517" s="12">
        <v>5.0</v>
      </c>
      <c r="J2517" s="6" t="s">
        <v>178</v>
      </c>
    </row>
    <row r="2518" ht="22.5" customHeight="1">
      <c r="A2518" s="6" t="s">
        <v>12397</v>
      </c>
      <c r="B2518" s="6" t="s">
        <v>6250</v>
      </c>
      <c r="C2518" s="10">
        <v>46028.0</v>
      </c>
      <c r="D2518" s="6" t="s">
        <v>312</v>
      </c>
      <c r="E2518" s="6" t="s">
        <v>731</v>
      </c>
      <c r="F2518" s="6" t="s">
        <v>283</v>
      </c>
      <c r="G2518" s="6" t="s">
        <v>369</v>
      </c>
      <c r="H2518" s="11" t="s">
        <v>259</v>
      </c>
      <c r="I2518" s="12">
        <v>5.0</v>
      </c>
      <c r="J2518" s="6" t="s">
        <v>161</v>
      </c>
    </row>
    <row r="2519" ht="22.5" customHeight="1">
      <c r="A2519" s="6" t="s">
        <v>12400</v>
      </c>
      <c r="B2519" s="6" t="s">
        <v>6250</v>
      </c>
      <c r="C2519" s="10">
        <v>46041.0</v>
      </c>
      <c r="D2519" s="6" t="s">
        <v>416</v>
      </c>
      <c r="E2519" s="6" t="s">
        <v>1035</v>
      </c>
      <c r="F2519" s="6" t="s">
        <v>249</v>
      </c>
      <c r="G2519" s="6" t="s">
        <v>326</v>
      </c>
      <c r="H2519" s="10">
        <v>46045.0</v>
      </c>
      <c r="I2519" s="12">
        <v>13.0</v>
      </c>
      <c r="J2519" s="6" t="s">
        <v>161</v>
      </c>
    </row>
    <row r="2520" ht="22.5" customHeight="1">
      <c r="A2520" s="6" t="s">
        <v>12405</v>
      </c>
      <c r="B2520" s="6" t="s">
        <v>6250</v>
      </c>
      <c r="C2520" s="10">
        <v>46028.0</v>
      </c>
      <c r="D2520" s="6" t="s">
        <v>242</v>
      </c>
      <c r="E2520" s="6" t="s">
        <v>1241</v>
      </c>
      <c r="F2520" s="6" t="s">
        <v>249</v>
      </c>
      <c r="G2520" s="6" t="s">
        <v>458</v>
      </c>
      <c r="H2520" s="10">
        <v>46035.0</v>
      </c>
      <c r="I2520" s="12">
        <v>5.0</v>
      </c>
      <c r="J2520" s="6" t="s">
        <v>178</v>
      </c>
    </row>
    <row r="2521" ht="22.5" customHeight="1">
      <c r="A2521" s="6" t="s">
        <v>12410</v>
      </c>
      <c r="B2521" s="6" t="s">
        <v>6250</v>
      </c>
      <c r="C2521" s="10">
        <v>46038.0</v>
      </c>
      <c r="D2521" s="6" t="s">
        <v>312</v>
      </c>
      <c r="E2521" s="6" t="s">
        <v>1552</v>
      </c>
      <c r="F2521" s="6" t="s">
        <v>283</v>
      </c>
      <c r="G2521" s="6" t="s">
        <v>326</v>
      </c>
      <c r="H2521" s="11" t="s">
        <v>259</v>
      </c>
      <c r="I2521" s="12">
        <v>6.0</v>
      </c>
      <c r="J2521" s="6" t="s">
        <v>161</v>
      </c>
    </row>
    <row r="2522" ht="22.5" customHeight="1">
      <c r="A2522" s="6" t="s">
        <v>12416</v>
      </c>
      <c r="B2522" s="6" t="s">
        <v>6255</v>
      </c>
      <c r="C2522" s="10">
        <v>46072.0</v>
      </c>
      <c r="D2522" s="6" t="s">
        <v>242</v>
      </c>
      <c r="E2522" s="6" t="s">
        <v>1546</v>
      </c>
      <c r="F2522" s="6" t="s">
        <v>112</v>
      </c>
      <c r="G2522" s="6" t="s">
        <v>494</v>
      </c>
      <c r="H2522" s="10">
        <v>46076.0</v>
      </c>
      <c r="I2522" s="12">
        <v>6.0</v>
      </c>
      <c r="J2522" s="6" t="s">
        <v>178</v>
      </c>
    </row>
    <row r="2523" ht="22.5" customHeight="1">
      <c r="A2523" s="6" t="s">
        <v>12424</v>
      </c>
      <c r="B2523" s="6" t="s">
        <v>6255</v>
      </c>
      <c r="C2523" s="10">
        <v>46062.0</v>
      </c>
      <c r="D2523" s="6" t="s">
        <v>436</v>
      </c>
      <c r="E2523" s="6" t="s">
        <v>394</v>
      </c>
      <c r="F2523" s="6" t="s">
        <v>439</v>
      </c>
      <c r="G2523" s="6" t="s">
        <v>458</v>
      </c>
      <c r="H2523" s="10">
        <v>46064.0</v>
      </c>
      <c r="I2523" s="12">
        <v>7.0</v>
      </c>
      <c r="J2523" s="6" t="s">
        <v>178</v>
      </c>
    </row>
    <row r="2524" ht="22.5" customHeight="1">
      <c r="A2524" s="6" t="s">
        <v>12433</v>
      </c>
      <c r="B2524" s="6" t="s">
        <v>6261</v>
      </c>
      <c r="C2524" s="10">
        <v>46046.0</v>
      </c>
      <c r="D2524" s="6" t="s">
        <v>312</v>
      </c>
      <c r="E2524" s="6" t="s">
        <v>695</v>
      </c>
      <c r="F2524" s="6" t="s">
        <v>439</v>
      </c>
      <c r="G2524" s="6" t="s">
        <v>494</v>
      </c>
      <c r="H2524" s="10">
        <v>46050.0</v>
      </c>
      <c r="I2524" s="12">
        <v>6.0</v>
      </c>
      <c r="J2524" s="6" t="s">
        <v>161</v>
      </c>
    </row>
    <row r="2525" ht="22.5" customHeight="1">
      <c r="A2525" s="6" t="s">
        <v>12439</v>
      </c>
      <c r="B2525" s="6" t="s">
        <v>6261</v>
      </c>
      <c r="C2525" s="10">
        <v>46042.0</v>
      </c>
      <c r="D2525" s="6" t="s">
        <v>677</v>
      </c>
      <c r="E2525" s="6" t="s">
        <v>566</v>
      </c>
      <c r="F2525" s="6" t="s">
        <v>112</v>
      </c>
      <c r="G2525" s="6" t="s">
        <v>326</v>
      </c>
      <c r="H2525" s="10">
        <v>46042.0</v>
      </c>
      <c r="I2525" s="12">
        <v>2.0</v>
      </c>
      <c r="J2525" s="6" t="s">
        <v>161</v>
      </c>
    </row>
    <row r="2526" ht="22.5" customHeight="1">
      <c r="A2526" s="6" t="s">
        <v>12444</v>
      </c>
      <c r="B2526" s="6" t="s">
        <v>6261</v>
      </c>
      <c r="C2526" s="10">
        <v>46042.0</v>
      </c>
      <c r="D2526" s="6" t="s">
        <v>312</v>
      </c>
      <c r="E2526" s="6" t="s">
        <v>450</v>
      </c>
      <c r="F2526" s="6" t="s">
        <v>439</v>
      </c>
      <c r="G2526" s="6" t="s">
        <v>326</v>
      </c>
      <c r="H2526" s="11" t="s">
        <v>259</v>
      </c>
      <c r="I2526" s="12">
        <v>5.0</v>
      </c>
      <c r="J2526" s="6" t="s">
        <v>161</v>
      </c>
    </row>
    <row r="2527" ht="22.5" customHeight="1">
      <c r="A2527" s="6" t="s">
        <v>12447</v>
      </c>
      <c r="B2527" s="6" t="s">
        <v>6261</v>
      </c>
      <c r="C2527" s="10">
        <v>46044.0</v>
      </c>
      <c r="D2527" s="6" t="s">
        <v>289</v>
      </c>
      <c r="E2527" s="6" t="s">
        <v>1310</v>
      </c>
      <c r="F2527" s="6" t="s">
        <v>112</v>
      </c>
      <c r="G2527" s="6" t="s">
        <v>326</v>
      </c>
      <c r="H2527" s="10">
        <v>46050.0</v>
      </c>
      <c r="I2527" s="12">
        <v>6.0</v>
      </c>
      <c r="J2527" s="6" t="s">
        <v>161</v>
      </c>
    </row>
    <row r="2528" ht="22.5" customHeight="1">
      <c r="A2528" s="6" t="s">
        <v>12451</v>
      </c>
      <c r="B2528" s="6" t="s">
        <v>6267</v>
      </c>
      <c r="C2528" s="10">
        <v>46072.0</v>
      </c>
      <c r="D2528" s="6" t="s">
        <v>436</v>
      </c>
      <c r="E2528" s="6" t="s">
        <v>1741</v>
      </c>
      <c r="F2528" s="6" t="s">
        <v>112</v>
      </c>
      <c r="G2528" s="6" t="s">
        <v>494</v>
      </c>
      <c r="H2528" s="10">
        <v>46077.0</v>
      </c>
      <c r="I2528" s="12">
        <v>8.0</v>
      </c>
      <c r="J2528" s="6" t="s">
        <v>178</v>
      </c>
    </row>
    <row r="2529" ht="22.5" customHeight="1">
      <c r="A2529" s="6" t="s">
        <v>12455</v>
      </c>
      <c r="B2529" s="6" t="s">
        <v>6267</v>
      </c>
      <c r="C2529" s="10">
        <v>46063.0</v>
      </c>
      <c r="D2529" s="6" t="s">
        <v>312</v>
      </c>
      <c r="E2529" s="6" t="s">
        <v>863</v>
      </c>
      <c r="F2529" s="6" t="s">
        <v>112</v>
      </c>
      <c r="G2529" s="6" t="s">
        <v>254</v>
      </c>
      <c r="H2529" s="10">
        <v>46068.0</v>
      </c>
      <c r="I2529" s="12">
        <v>5.0</v>
      </c>
      <c r="J2529" s="6" t="s">
        <v>161</v>
      </c>
    </row>
    <row r="2530" ht="22.5" customHeight="1">
      <c r="A2530" s="6" t="s">
        <v>12460</v>
      </c>
      <c r="B2530" s="6" t="s">
        <v>6273</v>
      </c>
      <c r="C2530" s="10">
        <v>46070.0</v>
      </c>
      <c r="D2530" s="6" t="s">
        <v>242</v>
      </c>
      <c r="E2530" s="6" t="s">
        <v>1102</v>
      </c>
      <c r="F2530" s="6" t="s">
        <v>439</v>
      </c>
      <c r="G2530" s="6" t="s">
        <v>326</v>
      </c>
      <c r="H2530" s="10">
        <v>46077.0</v>
      </c>
      <c r="I2530" s="12">
        <v>6.0</v>
      </c>
      <c r="J2530" s="6" t="s">
        <v>178</v>
      </c>
    </row>
    <row r="2531" ht="22.5" customHeight="1">
      <c r="A2531" s="6" t="s">
        <v>12466</v>
      </c>
      <c r="B2531" s="6" t="s">
        <v>6279</v>
      </c>
      <c r="C2531" s="10">
        <v>46046.0</v>
      </c>
      <c r="D2531" s="6" t="s">
        <v>416</v>
      </c>
      <c r="E2531" s="6" t="s">
        <v>583</v>
      </c>
      <c r="F2531" s="6" t="s">
        <v>283</v>
      </c>
      <c r="G2531" s="6" t="s">
        <v>458</v>
      </c>
      <c r="H2531" s="10">
        <v>46053.0</v>
      </c>
      <c r="I2531" s="12">
        <v>9.0</v>
      </c>
      <c r="J2531" s="6" t="s">
        <v>161</v>
      </c>
    </row>
    <row r="2532" ht="22.5" customHeight="1">
      <c r="A2532" s="6" t="s">
        <v>12470</v>
      </c>
      <c r="B2532" s="6" t="s">
        <v>6279</v>
      </c>
      <c r="C2532" s="10">
        <v>46050.0</v>
      </c>
      <c r="D2532" s="6" t="s">
        <v>242</v>
      </c>
      <c r="E2532" s="6" t="s">
        <v>1741</v>
      </c>
      <c r="F2532" s="6" t="s">
        <v>112</v>
      </c>
      <c r="G2532" s="6" t="s">
        <v>326</v>
      </c>
      <c r="H2532" s="10">
        <v>46055.0</v>
      </c>
      <c r="I2532" s="12">
        <v>5.0</v>
      </c>
      <c r="J2532" s="6" t="s">
        <v>178</v>
      </c>
    </row>
    <row r="2533" ht="22.5" customHeight="1">
      <c r="A2533" s="6" t="s">
        <v>12476</v>
      </c>
      <c r="B2533" s="6" t="s">
        <v>6279</v>
      </c>
      <c r="C2533" s="10">
        <v>46050.0</v>
      </c>
      <c r="D2533" s="6" t="s">
        <v>289</v>
      </c>
      <c r="E2533" s="6" t="s">
        <v>450</v>
      </c>
      <c r="F2533" s="6" t="s">
        <v>112</v>
      </c>
      <c r="G2533" s="6" t="s">
        <v>369</v>
      </c>
      <c r="H2533" s="10">
        <v>46052.0</v>
      </c>
      <c r="I2533" s="12">
        <v>6.0</v>
      </c>
      <c r="J2533" s="6" t="s">
        <v>161</v>
      </c>
    </row>
    <row r="2534" ht="22.5" customHeight="1">
      <c r="A2534" s="6" t="s">
        <v>12479</v>
      </c>
      <c r="B2534" s="6" t="s">
        <v>6279</v>
      </c>
      <c r="C2534" s="10">
        <v>46044.0</v>
      </c>
      <c r="D2534" s="6" t="s">
        <v>242</v>
      </c>
      <c r="E2534" s="6" t="s">
        <v>1122</v>
      </c>
      <c r="F2534" s="6" t="s">
        <v>112</v>
      </c>
      <c r="G2534" s="6" t="s">
        <v>297</v>
      </c>
      <c r="H2534" s="11" t="s">
        <v>259</v>
      </c>
      <c r="I2534" s="12">
        <v>6.0</v>
      </c>
      <c r="J2534" s="6" t="s">
        <v>178</v>
      </c>
    </row>
    <row r="2535" ht="22.5" customHeight="1">
      <c r="A2535" s="6" t="s">
        <v>12483</v>
      </c>
      <c r="B2535" s="6" t="s">
        <v>6286</v>
      </c>
      <c r="C2535" s="10">
        <v>46050.0</v>
      </c>
      <c r="D2535" s="6" t="s">
        <v>242</v>
      </c>
      <c r="E2535" s="6" t="s">
        <v>687</v>
      </c>
      <c r="F2535" s="6" t="s">
        <v>112</v>
      </c>
      <c r="G2535" s="6" t="s">
        <v>369</v>
      </c>
      <c r="H2535" s="10">
        <v>46052.0</v>
      </c>
      <c r="I2535" s="12">
        <v>6.0</v>
      </c>
      <c r="J2535" s="6" t="s">
        <v>178</v>
      </c>
    </row>
    <row r="2536" ht="22.5" customHeight="1">
      <c r="A2536" s="6" t="s">
        <v>12490</v>
      </c>
      <c r="B2536" s="6" t="s">
        <v>6294</v>
      </c>
      <c r="C2536" s="10">
        <v>46059.0</v>
      </c>
      <c r="D2536" s="6" t="s">
        <v>312</v>
      </c>
      <c r="E2536" s="6" t="s">
        <v>365</v>
      </c>
      <c r="F2536" s="6" t="s">
        <v>249</v>
      </c>
      <c r="G2536" s="6" t="s">
        <v>494</v>
      </c>
      <c r="H2536" s="11" t="s">
        <v>259</v>
      </c>
      <c r="I2536" s="12">
        <v>4.0</v>
      </c>
      <c r="J2536" s="6" t="s">
        <v>161</v>
      </c>
    </row>
    <row r="2537" ht="22.5" customHeight="1">
      <c r="A2537" s="6" t="s">
        <v>12495</v>
      </c>
      <c r="B2537" s="6" t="s">
        <v>6294</v>
      </c>
      <c r="C2537" s="10">
        <v>46070.0</v>
      </c>
      <c r="D2537" s="6" t="s">
        <v>312</v>
      </c>
      <c r="E2537" s="6" t="s">
        <v>695</v>
      </c>
      <c r="F2537" s="6" t="s">
        <v>112</v>
      </c>
      <c r="G2537" s="6" t="s">
        <v>254</v>
      </c>
      <c r="H2537" s="11" t="s">
        <v>259</v>
      </c>
      <c r="I2537" s="12">
        <v>5.0</v>
      </c>
      <c r="J2537" s="6" t="s">
        <v>161</v>
      </c>
    </row>
    <row r="2538" ht="22.5" customHeight="1">
      <c r="A2538" s="6" t="s">
        <v>12500</v>
      </c>
      <c r="B2538" s="6" t="s">
        <v>6294</v>
      </c>
      <c r="C2538" s="10">
        <v>46069.0</v>
      </c>
      <c r="D2538" s="6" t="s">
        <v>391</v>
      </c>
      <c r="E2538" s="6" t="s">
        <v>566</v>
      </c>
      <c r="F2538" s="6" t="s">
        <v>439</v>
      </c>
      <c r="G2538" s="6" t="s">
        <v>326</v>
      </c>
      <c r="H2538" s="10">
        <v>46075.0</v>
      </c>
      <c r="I2538" s="12">
        <v>10.0</v>
      </c>
      <c r="J2538" s="6" t="s">
        <v>161</v>
      </c>
    </row>
    <row r="2539" ht="22.5" customHeight="1">
      <c r="A2539" s="6" t="s">
        <v>12503</v>
      </c>
      <c r="B2539" s="6" t="s">
        <v>6294</v>
      </c>
      <c r="C2539" s="10">
        <v>46060.0</v>
      </c>
      <c r="D2539" s="6" t="s">
        <v>289</v>
      </c>
      <c r="E2539" s="6" t="s">
        <v>583</v>
      </c>
      <c r="F2539" s="6" t="s">
        <v>283</v>
      </c>
      <c r="G2539" s="6" t="s">
        <v>494</v>
      </c>
      <c r="H2539" s="10">
        <v>46067.0</v>
      </c>
      <c r="I2539" s="12">
        <v>6.0</v>
      </c>
      <c r="J2539" s="6" t="s">
        <v>161</v>
      </c>
    </row>
    <row r="2540" ht="22.5" customHeight="1">
      <c r="A2540" s="6" t="s">
        <v>12508</v>
      </c>
      <c r="B2540" s="6" t="s">
        <v>6294</v>
      </c>
      <c r="C2540" s="10">
        <v>46077.0</v>
      </c>
      <c r="D2540" s="6" t="s">
        <v>436</v>
      </c>
      <c r="E2540" s="6" t="s">
        <v>610</v>
      </c>
      <c r="F2540" s="6" t="s">
        <v>439</v>
      </c>
      <c r="G2540" s="6" t="s">
        <v>326</v>
      </c>
      <c r="H2540" s="10">
        <v>46083.0</v>
      </c>
      <c r="I2540" s="12">
        <v>10.0</v>
      </c>
      <c r="J2540" s="6" t="s">
        <v>178</v>
      </c>
    </row>
    <row r="2541" ht="22.5" customHeight="1">
      <c r="A2541" s="6" t="s">
        <v>12511</v>
      </c>
      <c r="B2541" s="6" t="s">
        <v>6301</v>
      </c>
      <c r="C2541" s="10">
        <v>46033.0</v>
      </c>
      <c r="D2541" s="6" t="s">
        <v>242</v>
      </c>
      <c r="E2541" s="6" t="s">
        <v>775</v>
      </c>
      <c r="F2541" s="6" t="s">
        <v>249</v>
      </c>
      <c r="G2541" s="6" t="s">
        <v>477</v>
      </c>
      <c r="H2541" s="10">
        <v>46035.0</v>
      </c>
      <c r="I2541" s="12">
        <v>4.0</v>
      </c>
      <c r="J2541" s="6" t="s">
        <v>178</v>
      </c>
    </row>
    <row r="2542" ht="22.5" customHeight="1">
      <c r="A2542" s="6" t="s">
        <v>12517</v>
      </c>
      <c r="B2542" s="6" t="s">
        <v>6301</v>
      </c>
      <c r="C2542" s="10">
        <v>46037.0</v>
      </c>
      <c r="D2542" s="6" t="s">
        <v>312</v>
      </c>
      <c r="E2542" s="6" t="s">
        <v>896</v>
      </c>
      <c r="F2542" s="6" t="s">
        <v>249</v>
      </c>
      <c r="G2542" s="6" t="s">
        <v>297</v>
      </c>
      <c r="H2542" s="10">
        <v>46044.0</v>
      </c>
      <c r="I2542" s="12">
        <v>5.0</v>
      </c>
      <c r="J2542" s="6" t="s">
        <v>161</v>
      </c>
    </row>
    <row r="2543" ht="22.5" customHeight="1">
      <c r="A2543" s="6" t="s">
        <v>12521</v>
      </c>
      <c r="B2543" s="6" t="s">
        <v>6301</v>
      </c>
      <c r="C2543" s="10">
        <v>46026.0</v>
      </c>
      <c r="D2543" s="6" t="s">
        <v>242</v>
      </c>
      <c r="E2543" s="6" t="s">
        <v>775</v>
      </c>
      <c r="F2543" s="6" t="s">
        <v>283</v>
      </c>
      <c r="G2543" s="6" t="s">
        <v>369</v>
      </c>
      <c r="H2543" s="10">
        <v>46031.0</v>
      </c>
      <c r="I2543" s="12">
        <v>6.0</v>
      </c>
      <c r="J2543" s="6" t="s">
        <v>178</v>
      </c>
    </row>
    <row r="2544" ht="22.5" customHeight="1">
      <c r="A2544" s="6" t="s">
        <v>12524</v>
      </c>
      <c r="B2544" s="6" t="s">
        <v>6301</v>
      </c>
      <c r="C2544" s="10">
        <v>46030.0</v>
      </c>
      <c r="D2544" s="6" t="s">
        <v>242</v>
      </c>
      <c r="E2544" s="6" t="s">
        <v>566</v>
      </c>
      <c r="F2544" s="6" t="s">
        <v>283</v>
      </c>
      <c r="G2544" s="6" t="s">
        <v>369</v>
      </c>
      <c r="H2544" s="10">
        <v>46030.0</v>
      </c>
      <c r="I2544" s="12">
        <v>6.0</v>
      </c>
      <c r="J2544" s="6" t="s">
        <v>178</v>
      </c>
    </row>
    <row r="2545" ht="22.5" customHeight="1">
      <c r="A2545" s="6" t="s">
        <v>12528</v>
      </c>
      <c r="B2545" s="6" t="s">
        <v>6309</v>
      </c>
      <c r="C2545" s="10">
        <v>46048.0</v>
      </c>
      <c r="D2545" s="6" t="s">
        <v>312</v>
      </c>
      <c r="E2545" s="6" t="s">
        <v>896</v>
      </c>
      <c r="F2545" s="6" t="s">
        <v>112</v>
      </c>
      <c r="G2545" s="6" t="s">
        <v>326</v>
      </c>
      <c r="H2545" s="10">
        <v>46054.0</v>
      </c>
      <c r="I2545" s="12">
        <v>5.0</v>
      </c>
      <c r="J2545" s="6" t="s">
        <v>161</v>
      </c>
    </row>
    <row r="2546" ht="22.5" customHeight="1">
      <c r="A2546" s="6" t="s">
        <v>12531</v>
      </c>
      <c r="B2546" s="6" t="s">
        <v>6316</v>
      </c>
      <c r="C2546" s="10">
        <v>46043.0</v>
      </c>
      <c r="D2546" s="6" t="s">
        <v>416</v>
      </c>
      <c r="E2546" s="6" t="s">
        <v>833</v>
      </c>
      <c r="F2546" s="6" t="s">
        <v>112</v>
      </c>
      <c r="G2546" s="6" t="s">
        <v>326</v>
      </c>
      <c r="H2546" s="10">
        <v>46044.0</v>
      </c>
      <c r="I2546" s="12">
        <v>11.0</v>
      </c>
      <c r="J2546" s="6" t="s">
        <v>161</v>
      </c>
    </row>
    <row r="2547" ht="22.5" customHeight="1">
      <c r="A2547" s="6" t="s">
        <v>12535</v>
      </c>
      <c r="B2547" s="6" t="s">
        <v>6316</v>
      </c>
      <c r="C2547" s="10">
        <v>46048.0</v>
      </c>
      <c r="D2547" s="6" t="s">
        <v>289</v>
      </c>
      <c r="E2547" s="6" t="s">
        <v>1241</v>
      </c>
      <c r="F2547" s="6" t="s">
        <v>439</v>
      </c>
      <c r="G2547" s="6" t="s">
        <v>477</v>
      </c>
      <c r="H2547" s="10">
        <v>46055.0</v>
      </c>
      <c r="I2547" s="12">
        <v>7.0</v>
      </c>
      <c r="J2547" s="6" t="s">
        <v>161</v>
      </c>
    </row>
    <row r="2548" ht="22.5" customHeight="1">
      <c r="A2548" s="6" t="s">
        <v>12538</v>
      </c>
      <c r="B2548" s="6" t="s">
        <v>6316</v>
      </c>
      <c r="C2548" s="10">
        <v>46052.0</v>
      </c>
      <c r="D2548" s="6" t="s">
        <v>416</v>
      </c>
      <c r="E2548" s="6" t="s">
        <v>394</v>
      </c>
      <c r="F2548" s="6" t="s">
        <v>283</v>
      </c>
      <c r="G2548" s="6" t="s">
        <v>369</v>
      </c>
      <c r="H2548" s="10">
        <v>46059.0</v>
      </c>
      <c r="I2548" s="12">
        <v>13.0</v>
      </c>
      <c r="J2548" s="6" t="s">
        <v>161</v>
      </c>
    </row>
    <row r="2549" ht="22.5" customHeight="1">
      <c r="A2549" s="6" t="s">
        <v>12542</v>
      </c>
      <c r="B2549" s="6" t="s">
        <v>6316</v>
      </c>
      <c r="C2549" s="10">
        <v>46051.0</v>
      </c>
      <c r="D2549" s="6" t="s">
        <v>677</v>
      </c>
      <c r="E2549" s="6" t="s">
        <v>1552</v>
      </c>
      <c r="F2549" s="6" t="s">
        <v>283</v>
      </c>
      <c r="G2549" s="6" t="s">
        <v>458</v>
      </c>
      <c r="H2549" s="10">
        <v>46058.0</v>
      </c>
      <c r="I2549" s="12">
        <v>3.0</v>
      </c>
      <c r="J2549" s="6" t="s">
        <v>161</v>
      </c>
    </row>
    <row r="2550" ht="22.5" customHeight="1">
      <c r="A2550" s="6" t="s">
        <v>12545</v>
      </c>
      <c r="B2550" s="6" t="s">
        <v>6316</v>
      </c>
      <c r="C2550" s="10">
        <v>46061.0</v>
      </c>
      <c r="D2550" s="6" t="s">
        <v>436</v>
      </c>
      <c r="E2550" s="6" t="s">
        <v>1386</v>
      </c>
      <c r="F2550" s="6" t="s">
        <v>249</v>
      </c>
      <c r="G2550" s="6" t="s">
        <v>254</v>
      </c>
      <c r="H2550" s="10">
        <v>46062.0</v>
      </c>
      <c r="I2550" s="12">
        <v>9.0</v>
      </c>
      <c r="J2550" s="6" t="s">
        <v>161</v>
      </c>
    </row>
    <row r="2551" ht="22.5" customHeight="1">
      <c r="A2551" s="6" t="s">
        <v>12549</v>
      </c>
      <c r="B2551" s="6" t="s">
        <v>6324</v>
      </c>
      <c r="C2551" s="10">
        <v>46064.0</v>
      </c>
      <c r="D2551" s="6" t="s">
        <v>677</v>
      </c>
      <c r="E2551" s="6" t="s">
        <v>2881</v>
      </c>
      <c r="F2551" s="6" t="s">
        <v>112</v>
      </c>
      <c r="G2551" s="6" t="s">
        <v>326</v>
      </c>
      <c r="H2551" s="10">
        <v>46070.0</v>
      </c>
      <c r="I2551" s="12">
        <v>2.0</v>
      </c>
      <c r="J2551" s="6" t="s">
        <v>161</v>
      </c>
    </row>
    <row r="2552" ht="22.5" customHeight="1">
      <c r="A2552" s="6" t="s">
        <v>12552</v>
      </c>
      <c r="B2552" s="6" t="s">
        <v>6324</v>
      </c>
      <c r="C2552" s="10">
        <v>46057.0</v>
      </c>
      <c r="D2552" s="6" t="s">
        <v>436</v>
      </c>
      <c r="E2552" s="6" t="s">
        <v>1700</v>
      </c>
      <c r="F2552" s="6" t="s">
        <v>112</v>
      </c>
      <c r="G2552" s="6" t="s">
        <v>326</v>
      </c>
      <c r="H2552" s="10">
        <v>46060.0</v>
      </c>
      <c r="I2552" s="12">
        <v>10.0</v>
      </c>
      <c r="J2552" s="6" t="s">
        <v>178</v>
      </c>
    </row>
    <row r="2553" ht="22.5" customHeight="1">
      <c r="A2553" s="6" t="s">
        <v>12556</v>
      </c>
      <c r="B2553" s="6" t="s">
        <v>6331</v>
      </c>
      <c r="C2553" s="10">
        <v>46048.0</v>
      </c>
      <c r="D2553" s="6" t="s">
        <v>677</v>
      </c>
      <c r="E2553" s="6" t="s">
        <v>787</v>
      </c>
      <c r="F2553" s="6" t="s">
        <v>439</v>
      </c>
      <c r="G2553" s="6" t="s">
        <v>458</v>
      </c>
      <c r="H2553" s="10">
        <v>46050.0</v>
      </c>
      <c r="I2553" s="12">
        <v>4.0</v>
      </c>
      <c r="J2553" s="6" t="s">
        <v>161</v>
      </c>
    </row>
    <row r="2554" ht="22.5" customHeight="1">
      <c r="A2554" s="6" t="s">
        <v>12562</v>
      </c>
      <c r="B2554" s="6" t="s">
        <v>6338</v>
      </c>
      <c r="C2554" s="10">
        <v>46059.0</v>
      </c>
      <c r="D2554" s="6" t="s">
        <v>312</v>
      </c>
      <c r="E2554" s="6" t="s">
        <v>775</v>
      </c>
      <c r="F2554" s="6" t="s">
        <v>249</v>
      </c>
      <c r="G2554" s="6" t="s">
        <v>369</v>
      </c>
      <c r="H2554" s="10">
        <v>46065.0</v>
      </c>
      <c r="I2554" s="12">
        <v>5.0</v>
      </c>
      <c r="J2554" s="6" t="s">
        <v>161</v>
      </c>
    </row>
    <row r="2555" ht="22.5" customHeight="1">
      <c r="A2555" s="6" t="s">
        <v>12564</v>
      </c>
      <c r="B2555" s="6" t="s">
        <v>6338</v>
      </c>
      <c r="C2555" s="10">
        <v>46061.0</v>
      </c>
      <c r="D2555" s="6" t="s">
        <v>436</v>
      </c>
      <c r="E2555" s="6" t="s">
        <v>1149</v>
      </c>
      <c r="F2555" s="6" t="s">
        <v>249</v>
      </c>
      <c r="G2555" s="6" t="s">
        <v>494</v>
      </c>
      <c r="H2555" s="10">
        <v>46067.0</v>
      </c>
      <c r="I2555" s="12">
        <v>11.0</v>
      </c>
      <c r="J2555" s="6" t="s">
        <v>178</v>
      </c>
    </row>
    <row r="2556" ht="22.5" customHeight="1">
      <c r="A2556" s="6" t="s">
        <v>12569</v>
      </c>
      <c r="B2556" s="6" t="s">
        <v>6346</v>
      </c>
      <c r="C2556" s="10">
        <v>46076.0</v>
      </c>
      <c r="D2556" s="6" t="s">
        <v>436</v>
      </c>
      <c r="E2556" s="6" t="s">
        <v>1700</v>
      </c>
      <c r="F2556" s="6" t="s">
        <v>112</v>
      </c>
      <c r="G2556" s="6" t="s">
        <v>369</v>
      </c>
      <c r="H2556" s="11" t="s">
        <v>259</v>
      </c>
      <c r="I2556" s="12">
        <v>11.0</v>
      </c>
      <c r="J2556" s="6" t="s">
        <v>161</v>
      </c>
    </row>
    <row r="2557" ht="22.5" customHeight="1">
      <c r="A2557" s="6" t="s">
        <v>12572</v>
      </c>
      <c r="B2557" s="6" t="s">
        <v>6352</v>
      </c>
      <c r="C2557" s="10">
        <v>46049.0</v>
      </c>
      <c r="D2557" s="6" t="s">
        <v>289</v>
      </c>
      <c r="E2557" s="6" t="s">
        <v>417</v>
      </c>
      <c r="F2557" s="6" t="s">
        <v>112</v>
      </c>
      <c r="G2557" s="6" t="s">
        <v>452</v>
      </c>
      <c r="H2557" s="11" t="s">
        <v>259</v>
      </c>
      <c r="I2557" s="12">
        <v>7.0</v>
      </c>
      <c r="J2557" s="6" t="s">
        <v>161</v>
      </c>
    </row>
    <row r="2558" ht="22.5" customHeight="1">
      <c r="A2558" s="6" t="s">
        <v>12578</v>
      </c>
      <c r="B2558" s="6" t="s">
        <v>6352</v>
      </c>
      <c r="C2558" s="10">
        <v>46057.0</v>
      </c>
      <c r="D2558" s="6" t="s">
        <v>677</v>
      </c>
      <c r="E2558" s="6" t="s">
        <v>695</v>
      </c>
      <c r="F2558" s="6" t="s">
        <v>249</v>
      </c>
      <c r="G2558" s="6" t="s">
        <v>477</v>
      </c>
      <c r="H2558" s="10">
        <v>46058.0</v>
      </c>
      <c r="I2558" s="12">
        <v>2.0</v>
      </c>
      <c r="J2558" s="6" t="s">
        <v>161</v>
      </c>
    </row>
    <row r="2559" ht="22.5" customHeight="1">
      <c r="A2559" s="6" t="s">
        <v>12587</v>
      </c>
      <c r="B2559" s="6" t="s">
        <v>6352</v>
      </c>
      <c r="C2559" s="10">
        <v>46052.0</v>
      </c>
      <c r="D2559" s="6" t="s">
        <v>242</v>
      </c>
      <c r="E2559" s="6" t="s">
        <v>466</v>
      </c>
      <c r="F2559" s="6" t="s">
        <v>249</v>
      </c>
      <c r="G2559" s="6" t="s">
        <v>477</v>
      </c>
      <c r="H2559" s="10">
        <v>46056.0</v>
      </c>
      <c r="I2559" s="12">
        <v>5.0</v>
      </c>
      <c r="J2559" s="6" t="s">
        <v>178</v>
      </c>
    </row>
    <row r="2560" ht="22.5" customHeight="1">
      <c r="A2560" s="6" t="s">
        <v>12593</v>
      </c>
      <c r="B2560" s="6" t="s">
        <v>6352</v>
      </c>
      <c r="C2560" s="10">
        <v>46052.0</v>
      </c>
      <c r="D2560" s="6" t="s">
        <v>312</v>
      </c>
      <c r="E2560" s="6" t="s">
        <v>1035</v>
      </c>
      <c r="F2560" s="6" t="s">
        <v>249</v>
      </c>
      <c r="G2560" s="6" t="s">
        <v>369</v>
      </c>
      <c r="H2560" s="10">
        <v>46056.0</v>
      </c>
      <c r="I2560" s="12">
        <v>7.0</v>
      </c>
      <c r="J2560" s="6" t="s">
        <v>161</v>
      </c>
    </row>
    <row r="2561" ht="22.5" customHeight="1">
      <c r="A2561" s="6" t="s">
        <v>12596</v>
      </c>
      <c r="B2561" s="6" t="s">
        <v>6359</v>
      </c>
      <c r="C2561" s="10">
        <v>46056.0</v>
      </c>
      <c r="D2561" s="6" t="s">
        <v>242</v>
      </c>
      <c r="E2561" s="6" t="s">
        <v>2365</v>
      </c>
      <c r="F2561" s="6" t="s">
        <v>439</v>
      </c>
      <c r="G2561" s="6" t="s">
        <v>477</v>
      </c>
      <c r="H2561" s="10">
        <v>46061.0</v>
      </c>
      <c r="I2561" s="12">
        <v>5.0</v>
      </c>
      <c r="J2561" s="6" t="s">
        <v>178</v>
      </c>
    </row>
    <row r="2562" ht="22.5" customHeight="1">
      <c r="A2562" s="6" t="s">
        <v>12600</v>
      </c>
      <c r="B2562" s="6" t="s">
        <v>6359</v>
      </c>
      <c r="C2562" s="10">
        <v>46057.0</v>
      </c>
      <c r="D2562" s="6" t="s">
        <v>677</v>
      </c>
      <c r="E2562" s="6" t="s">
        <v>512</v>
      </c>
      <c r="F2562" s="6" t="s">
        <v>112</v>
      </c>
      <c r="G2562" s="6" t="s">
        <v>297</v>
      </c>
      <c r="H2562" s="11" t="s">
        <v>259</v>
      </c>
      <c r="I2562" s="12">
        <v>2.0</v>
      </c>
      <c r="J2562" s="6" t="s">
        <v>161</v>
      </c>
    </row>
    <row r="2563" ht="22.5" customHeight="1">
      <c r="A2563" s="6" t="s">
        <v>12604</v>
      </c>
      <c r="B2563" s="6" t="s">
        <v>6359</v>
      </c>
      <c r="C2563" s="10">
        <v>46055.0</v>
      </c>
      <c r="D2563" s="6" t="s">
        <v>312</v>
      </c>
      <c r="E2563" s="6" t="s">
        <v>291</v>
      </c>
      <c r="F2563" s="6" t="s">
        <v>283</v>
      </c>
      <c r="G2563" s="6" t="s">
        <v>254</v>
      </c>
      <c r="H2563" s="10">
        <v>46060.0</v>
      </c>
      <c r="I2563" s="12">
        <v>7.0</v>
      </c>
      <c r="J2563" s="6" t="s">
        <v>161</v>
      </c>
    </row>
    <row r="2564" ht="22.5" customHeight="1">
      <c r="A2564" s="6" t="s">
        <v>12607</v>
      </c>
      <c r="B2564" s="6" t="s">
        <v>6359</v>
      </c>
      <c r="C2564" s="10">
        <v>46048.0</v>
      </c>
      <c r="D2564" s="6" t="s">
        <v>312</v>
      </c>
      <c r="E2564" s="6" t="s">
        <v>1386</v>
      </c>
      <c r="F2564" s="6" t="s">
        <v>249</v>
      </c>
      <c r="G2564" s="6" t="s">
        <v>297</v>
      </c>
      <c r="H2564" s="10">
        <v>46053.0</v>
      </c>
      <c r="I2564" s="12">
        <v>4.0</v>
      </c>
      <c r="J2564" s="6" t="s">
        <v>161</v>
      </c>
    </row>
    <row r="2565" ht="22.5" customHeight="1">
      <c r="A2565" s="6" t="s">
        <v>12610</v>
      </c>
      <c r="B2565" s="6" t="s">
        <v>6359</v>
      </c>
      <c r="C2565" s="10">
        <v>46048.0</v>
      </c>
      <c r="D2565" s="6" t="s">
        <v>289</v>
      </c>
      <c r="E2565" s="6" t="s">
        <v>417</v>
      </c>
      <c r="F2565" s="6" t="s">
        <v>249</v>
      </c>
      <c r="G2565" s="6" t="s">
        <v>452</v>
      </c>
      <c r="H2565" s="10">
        <v>46053.0</v>
      </c>
      <c r="I2565" s="12">
        <v>5.0</v>
      </c>
      <c r="J2565" s="6" t="s">
        <v>161</v>
      </c>
    </row>
    <row r="2566" ht="22.5" customHeight="1">
      <c r="A2566" s="6" t="s">
        <v>12614</v>
      </c>
      <c r="B2566" s="6" t="s">
        <v>6367</v>
      </c>
      <c r="C2566" s="10">
        <v>46056.0</v>
      </c>
      <c r="D2566" s="6" t="s">
        <v>312</v>
      </c>
      <c r="E2566" s="6" t="s">
        <v>833</v>
      </c>
      <c r="F2566" s="6" t="s">
        <v>112</v>
      </c>
      <c r="G2566" s="6" t="s">
        <v>297</v>
      </c>
      <c r="H2566" s="10">
        <v>46060.0</v>
      </c>
      <c r="I2566" s="12">
        <v>4.0</v>
      </c>
      <c r="J2566" s="6" t="s">
        <v>161</v>
      </c>
    </row>
    <row r="2567" ht="22.5" customHeight="1">
      <c r="A2567" s="6" t="s">
        <v>12615</v>
      </c>
      <c r="B2567" s="6" t="s">
        <v>6367</v>
      </c>
      <c r="C2567" s="10">
        <v>46065.0</v>
      </c>
      <c r="D2567" s="6" t="s">
        <v>416</v>
      </c>
      <c r="E2567" s="6" t="s">
        <v>246</v>
      </c>
      <c r="F2567" s="6" t="s">
        <v>283</v>
      </c>
      <c r="G2567" s="6" t="s">
        <v>452</v>
      </c>
      <c r="H2567" s="11" t="s">
        <v>259</v>
      </c>
      <c r="I2567" s="12">
        <v>12.0</v>
      </c>
      <c r="J2567" s="6" t="s">
        <v>161</v>
      </c>
    </row>
    <row r="2568" ht="22.5" customHeight="1">
      <c r="A2568" s="6" t="s">
        <v>12621</v>
      </c>
      <c r="B2568" s="6" t="s">
        <v>6374</v>
      </c>
      <c r="C2568" s="10">
        <v>46027.0</v>
      </c>
      <c r="D2568" s="6" t="s">
        <v>416</v>
      </c>
      <c r="E2568" s="6" t="s">
        <v>1386</v>
      </c>
      <c r="F2568" s="6" t="s">
        <v>112</v>
      </c>
      <c r="G2568" s="6" t="s">
        <v>254</v>
      </c>
      <c r="H2568" s="10">
        <v>46031.0</v>
      </c>
      <c r="I2568" s="12">
        <v>12.0</v>
      </c>
      <c r="J2568" s="6" t="s">
        <v>161</v>
      </c>
    </row>
    <row r="2569" ht="22.5" customHeight="1">
      <c r="A2569" s="6" t="s">
        <v>12627</v>
      </c>
      <c r="B2569" s="6" t="s">
        <v>6374</v>
      </c>
      <c r="C2569" s="10">
        <v>46027.0</v>
      </c>
      <c r="D2569" s="6" t="s">
        <v>391</v>
      </c>
      <c r="E2569" s="6" t="s">
        <v>775</v>
      </c>
      <c r="F2569" s="6" t="s">
        <v>112</v>
      </c>
      <c r="G2569" s="6" t="s">
        <v>326</v>
      </c>
      <c r="H2569" s="10">
        <v>46034.0</v>
      </c>
      <c r="I2569" s="12">
        <v>7.0</v>
      </c>
      <c r="J2569" s="6" t="s">
        <v>161</v>
      </c>
    </row>
    <row r="2570" ht="22.5" customHeight="1">
      <c r="A2570" s="6" t="s">
        <v>12630</v>
      </c>
      <c r="B2570" s="6" t="s">
        <v>6374</v>
      </c>
      <c r="C2570" s="10">
        <v>46037.0</v>
      </c>
      <c r="D2570" s="6" t="s">
        <v>289</v>
      </c>
      <c r="E2570" s="6" t="s">
        <v>704</v>
      </c>
      <c r="F2570" s="6" t="s">
        <v>249</v>
      </c>
      <c r="G2570" s="6" t="s">
        <v>297</v>
      </c>
      <c r="H2570" s="10">
        <v>46041.0</v>
      </c>
      <c r="I2570" s="12">
        <v>8.0</v>
      </c>
      <c r="J2570" s="6" t="s">
        <v>161</v>
      </c>
    </row>
    <row r="2571" ht="22.5" customHeight="1">
      <c r="A2571" s="6" t="s">
        <v>12634</v>
      </c>
      <c r="B2571" s="6" t="s">
        <v>6374</v>
      </c>
      <c r="C2571" s="10">
        <v>46024.0</v>
      </c>
      <c r="D2571" s="6" t="s">
        <v>289</v>
      </c>
      <c r="E2571" s="6" t="s">
        <v>2365</v>
      </c>
      <c r="F2571" s="6" t="s">
        <v>439</v>
      </c>
      <c r="G2571" s="6" t="s">
        <v>452</v>
      </c>
      <c r="H2571" s="10">
        <v>46029.0</v>
      </c>
      <c r="I2571" s="12">
        <v>6.0</v>
      </c>
      <c r="J2571" s="6" t="s">
        <v>161</v>
      </c>
    </row>
    <row r="2572" ht="22.5" customHeight="1">
      <c r="A2572" s="6" t="s">
        <v>12640</v>
      </c>
      <c r="B2572" s="6" t="s">
        <v>6374</v>
      </c>
      <c r="C2572" s="10">
        <v>46025.0</v>
      </c>
      <c r="D2572" s="6" t="s">
        <v>416</v>
      </c>
      <c r="E2572" s="6" t="s">
        <v>1969</v>
      </c>
      <c r="F2572" s="6" t="s">
        <v>283</v>
      </c>
      <c r="G2572" s="6" t="s">
        <v>326</v>
      </c>
      <c r="H2572" s="10">
        <v>46028.0</v>
      </c>
      <c r="I2572" s="12">
        <v>13.0</v>
      </c>
      <c r="J2572" s="6" t="s">
        <v>161</v>
      </c>
    </row>
    <row r="2573" ht="22.5" customHeight="1">
      <c r="A2573" s="6" t="s">
        <v>12646</v>
      </c>
      <c r="B2573" s="6" t="s">
        <v>6380</v>
      </c>
      <c r="C2573" s="10">
        <v>46040.0</v>
      </c>
      <c r="D2573" s="6" t="s">
        <v>312</v>
      </c>
      <c r="E2573" s="6" t="s">
        <v>731</v>
      </c>
      <c r="F2573" s="6" t="s">
        <v>439</v>
      </c>
      <c r="G2573" s="6" t="s">
        <v>254</v>
      </c>
      <c r="H2573" s="10">
        <v>46047.0</v>
      </c>
      <c r="I2573" s="12">
        <v>7.0</v>
      </c>
      <c r="J2573" s="6" t="s">
        <v>161</v>
      </c>
    </row>
    <row r="2574" ht="22.5" customHeight="1">
      <c r="A2574" s="6" t="s">
        <v>12649</v>
      </c>
      <c r="B2574" s="6" t="s">
        <v>6380</v>
      </c>
      <c r="C2574" s="10">
        <v>46052.0</v>
      </c>
      <c r="D2574" s="6" t="s">
        <v>242</v>
      </c>
      <c r="E2574" s="6" t="s">
        <v>1700</v>
      </c>
      <c r="F2574" s="6" t="s">
        <v>112</v>
      </c>
      <c r="G2574" s="6" t="s">
        <v>254</v>
      </c>
      <c r="H2574" s="11" t="s">
        <v>259</v>
      </c>
      <c r="I2574" s="12">
        <v>3.0</v>
      </c>
      <c r="J2574" s="6" t="s">
        <v>178</v>
      </c>
    </row>
    <row r="2575" ht="22.5" customHeight="1">
      <c r="A2575" s="6" t="s">
        <v>12653</v>
      </c>
      <c r="B2575" s="6" t="s">
        <v>6380</v>
      </c>
      <c r="C2575" s="10">
        <v>46054.0</v>
      </c>
      <c r="D2575" s="6" t="s">
        <v>677</v>
      </c>
      <c r="E2575" s="6" t="s">
        <v>2365</v>
      </c>
      <c r="F2575" s="6" t="s">
        <v>249</v>
      </c>
      <c r="G2575" s="6" t="s">
        <v>458</v>
      </c>
      <c r="H2575" s="10">
        <v>46054.0</v>
      </c>
      <c r="I2575" s="12">
        <v>3.0</v>
      </c>
      <c r="J2575" s="6" t="s">
        <v>161</v>
      </c>
    </row>
    <row r="2576" ht="22.5" customHeight="1">
      <c r="A2576" s="6" t="s">
        <v>12659</v>
      </c>
      <c r="B2576" s="6" t="s">
        <v>6380</v>
      </c>
      <c r="C2576" s="10">
        <v>46053.0</v>
      </c>
      <c r="D2576" s="6" t="s">
        <v>242</v>
      </c>
      <c r="E2576" s="6" t="s">
        <v>885</v>
      </c>
      <c r="F2576" s="6" t="s">
        <v>439</v>
      </c>
      <c r="G2576" s="6" t="s">
        <v>369</v>
      </c>
      <c r="H2576" s="10">
        <v>46057.0</v>
      </c>
      <c r="I2576" s="12">
        <v>6.0</v>
      </c>
      <c r="J2576" s="6" t="s">
        <v>161</v>
      </c>
    </row>
    <row r="2577" ht="22.5" customHeight="1">
      <c r="A2577" s="6" t="s">
        <v>12662</v>
      </c>
      <c r="B2577" s="6" t="s">
        <v>6386</v>
      </c>
      <c r="C2577" s="10">
        <v>46068.0</v>
      </c>
      <c r="D2577" s="6" t="s">
        <v>242</v>
      </c>
      <c r="E2577" s="6" t="s">
        <v>475</v>
      </c>
      <c r="F2577" s="6" t="s">
        <v>283</v>
      </c>
      <c r="G2577" s="6" t="s">
        <v>494</v>
      </c>
      <c r="H2577" s="10">
        <v>46074.0</v>
      </c>
      <c r="I2577" s="12">
        <v>5.0</v>
      </c>
      <c r="J2577" s="6" t="s">
        <v>161</v>
      </c>
    </row>
    <row r="2578" ht="22.5" customHeight="1">
      <c r="A2578" s="6" t="s">
        <v>12667</v>
      </c>
      <c r="B2578" s="6" t="s">
        <v>6386</v>
      </c>
      <c r="C2578" s="10">
        <v>46067.0</v>
      </c>
      <c r="D2578" s="6" t="s">
        <v>416</v>
      </c>
      <c r="E2578" s="6" t="s">
        <v>1241</v>
      </c>
      <c r="F2578" s="6" t="s">
        <v>283</v>
      </c>
      <c r="G2578" s="6" t="s">
        <v>369</v>
      </c>
      <c r="H2578" s="10">
        <v>46071.0</v>
      </c>
      <c r="I2578" s="12">
        <v>13.0</v>
      </c>
      <c r="J2578" s="6" t="s">
        <v>161</v>
      </c>
    </row>
    <row r="2579" ht="22.5" customHeight="1">
      <c r="A2579" s="6" t="s">
        <v>12672</v>
      </c>
      <c r="B2579" s="6" t="s">
        <v>6386</v>
      </c>
      <c r="C2579" s="10">
        <v>46066.0</v>
      </c>
      <c r="D2579" s="6" t="s">
        <v>289</v>
      </c>
      <c r="E2579" s="6" t="s">
        <v>566</v>
      </c>
      <c r="F2579" s="6" t="s">
        <v>439</v>
      </c>
      <c r="G2579" s="6" t="s">
        <v>452</v>
      </c>
      <c r="H2579" s="11" t="s">
        <v>259</v>
      </c>
      <c r="I2579" s="12">
        <v>5.0</v>
      </c>
      <c r="J2579" s="6" t="s">
        <v>161</v>
      </c>
    </row>
    <row r="2580" ht="22.5" customHeight="1">
      <c r="A2580" s="6" t="s">
        <v>12676</v>
      </c>
      <c r="B2580" s="6" t="s">
        <v>6392</v>
      </c>
      <c r="C2580" s="10">
        <v>46038.0</v>
      </c>
      <c r="D2580" s="6" t="s">
        <v>289</v>
      </c>
      <c r="E2580" s="6" t="s">
        <v>1310</v>
      </c>
      <c r="F2580" s="6" t="s">
        <v>439</v>
      </c>
      <c r="G2580" s="6" t="s">
        <v>452</v>
      </c>
      <c r="H2580" s="10">
        <v>46041.0</v>
      </c>
      <c r="I2580" s="12">
        <v>5.0</v>
      </c>
      <c r="J2580" s="6" t="s">
        <v>161</v>
      </c>
    </row>
    <row r="2581" ht="22.5" customHeight="1">
      <c r="A2581" s="6" t="s">
        <v>12679</v>
      </c>
      <c r="B2581" s="6" t="s">
        <v>6392</v>
      </c>
      <c r="C2581" s="10">
        <v>46050.0</v>
      </c>
      <c r="D2581" s="6" t="s">
        <v>289</v>
      </c>
      <c r="E2581" s="6" t="s">
        <v>695</v>
      </c>
      <c r="F2581" s="6" t="s">
        <v>249</v>
      </c>
      <c r="G2581" s="6" t="s">
        <v>326</v>
      </c>
      <c r="H2581" s="10">
        <v>46055.0</v>
      </c>
      <c r="I2581" s="12">
        <v>8.0</v>
      </c>
      <c r="J2581" s="6" t="s">
        <v>161</v>
      </c>
    </row>
    <row r="2582" ht="22.5" customHeight="1">
      <c r="A2582" s="6" t="s">
        <v>12683</v>
      </c>
      <c r="B2582" s="6" t="s">
        <v>6392</v>
      </c>
      <c r="C2582" s="10">
        <v>46052.0</v>
      </c>
      <c r="D2582" s="6" t="s">
        <v>312</v>
      </c>
      <c r="E2582" s="6" t="s">
        <v>716</v>
      </c>
      <c r="F2582" s="6" t="s">
        <v>283</v>
      </c>
      <c r="G2582" s="6" t="s">
        <v>254</v>
      </c>
      <c r="H2582" s="10">
        <v>46056.0</v>
      </c>
      <c r="I2582" s="12">
        <v>6.0</v>
      </c>
      <c r="J2582" s="6" t="s">
        <v>161</v>
      </c>
    </row>
    <row r="2583" ht="22.5" customHeight="1">
      <c r="A2583" s="6" t="s">
        <v>12688</v>
      </c>
      <c r="B2583" s="6" t="s">
        <v>6398</v>
      </c>
      <c r="C2583" s="10">
        <v>46059.0</v>
      </c>
      <c r="D2583" s="6" t="s">
        <v>416</v>
      </c>
      <c r="E2583" s="6" t="s">
        <v>628</v>
      </c>
      <c r="F2583" s="6" t="s">
        <v>249</v>
      </c>
      <c r="G2583" s="6" t="s">
        <v>297</v>
      </c>
      <c r="H2583" s="10">
        <v>46064.0</v>
      </c>
      <c r="I2583" s="12">
        <v>13.0</v>
      </c>
      <c r="J2583" s="6" t="s">
        <v>161</v>
      </c>
    </row>
    <row r="2584" ht="22.5" customHeight="1">
      <c r="A2584" s="6" t="s">
        <v>12693</v>
      </c>
      <c r="B2584" s="6" t="s">
        <v>6398</v>
      </c>
      <c r="C2584" s="10">
        <v>46059.0</v>
      </c>
      <c r="D2584" s="6" t="s">
        <v>312</v>
      </c>
      <c r="E2584" s="6" t="s">
        <v>1546</v>
      </c>
      <c r="F2584" s="6" t="s">
        <v>439</v>
      </c>
      <c r="G2584" s="6" t="s">
        <v>452</v>
      </c>
      <c r="H2584" s="10">
        <v>46062.0</v>
      </c>
      <c r="I2584" s="12">
        <v>5.0</v>
      </c>
      <c r="J2584" s="6" t="s">
        <v>161</v>
      </c>
    </row>
    <row r="2585" ht="22.5" customHeight="1">
      <c r="A2585" s="6" t="s">
        <v>12697</v>
      </c>
      <c r="B2585" s="6" t="s">
        <v>6398</v>
      </c>
      <c r="C2585" s="10">
        <v>46071.0</v>
      </c>
      <c r="D2585" s="6" t="s">
        <v>242</v>
      </c>
      <c r="E2585" s="6" t="s">
        <v>394</v>
      </c>
      <c r="F2585" s="6" t="s">
        <v>249</v>
      </c>
      <c r="G2585" s="6" t="s">
        <v>458</v>
      </c>
      <c r="H2585" s="10">
        <v>46073.0</v>
      </c>
      <c r="I2585" s="12">
        <v>5.0</v>
      </c>
      <c r="J2585" s="6" t="s">
        <v>161</v>
      </c>
    </row>
    <row r="2586" ht="22.5" customHeight="1">
      <c r="A2586" s="6" t="s">
        <v>12703</v>
      </c>
      <c r="B2586" s="6" t="s">
        <v>6406</v>
      </c>
      <c r="C2586" s="10">
        <v>46054.0</v>
      </c>
      <c r="D2586" s="6" t="s">
        <v>242</v>
      </c>
      <c r="E2586" s="6" t="s">
        <v>1570</v>
      </c>
      <c r="F2586" s="6" t="s">
        <v>283</v>
      </c>
      <c r="G2586" s="6" t="s">
        <v>254</v>
      </c>
      <c r="H2586" s="10">
        <v>46054.0</v>
      </c>
      <c r="I2586" s="12">
        <v>4.0</v>
      </c>
      <c r="J2586" s="6" t="s">
        <v>178</v>
      </c>
    </row>
    <row r="2587" ht="22.5" customHeight="1">
      <c r="A2587" s="6" t="s">
        <v>12709</v>
      </c>
      <c r="B2587" s="6" t="s">
        <v>6406</v>
      </c>
      <c r="C2587" s="10">
        <v>46059.0</v>
      </c>
      <c r="D2587" s="6" t="s">
        <v>391</v>
      </c>
      <c r="E2587" s="6" t="s">
        <v>731</v>
      </c>
      <c r="F2587" s="6" t="s">
        <v>112</v>
      </c>
      <c r="G2587" s="6" t="s">
        <v>254</v>
      </c>
      <c r="H2587" s="10">
        <v>46062.0</v>
      </c>
      <c r="I2587" s="12">
        <v>9.0</v>
      </c>
      <c r="J2587" s="6" t="s">
        <v>161</v>
      </c>
    </row>
    <row r="2588" ht="22.5" customHeight="1">
      <c r="A2588" s="6" t="s">
        <v>12712</v>
      </c>
      <c r="B2588" s="6" t="s">
        <v>6406</v>
      </c>
      <c r="C2588" s="10">
        <v>46055.0</v>
      </c>
      <c r="D2588" s="6" t="s">
        <v>391</v>
      </c>
      <c r="E2588" s="6" t="s">
        <v>695</v>
      </c>
      <c r="F2588" s="6" t="s">
        <v>112</v>
      </c>
      <c r="G2588" s="6" t="s">
        <v>297</v>
      </c>
      <c r="H2588" s="10">
        <v>46059.0</v>
      </c>
      <c r="I2588" s="12">
        <v>6.0</v>
      </c>
      <c r="J2588" s="6" t="s">
        <v>161</v>
      </c>
    </row>
    <row r="2589" ht="22.5" customHeight="1">
      <c r="A2589" s="6" t="s">
        <v>12716</v>
      </c>
      <c r="B2589" s="6" t="s">
        <v>6406</v>
      </c>
      <c r="C2589" s="10">
        <v>46060.0</v>
      </c>
      <c r="D2589" s="6" t="s">
        <v>436</v>
      </c>
      <c r="E2589" s="6" t="s">
        <v>634</v>
      </c>
      <c r="F2589" s="6" t="s">
        <v>283</v>
      </c>
      <c r="G2589" s="6" t="s">
        <v>369</v>
      </c>
      <c r="H2589" s="10">
        <v>46064.0</v>
      </c>
      <c r="I2589" s="12">
        <v>9.0</v>
      </c>
      <c r="J2589" s="6" t="s">
        <v>161</v>
      </c>
    </row>
    <row r="2590" ht="22.5" customHeight="1">
      <c r="A2590" s="6" t="s">
        <v>12722</v>
      </c>
      <c r="B2590" s="6" t="s">
        <v>6414</v>
      </c>
      <c r="C2590" s="10">
        <v>46051.0</v>
      </c>
      <c r="D2590" s="6" t="s">
        <v>289</v>
      </c>
      <c r="E2590" s="6" t="s">
        <v>716</v>
      </c>
      <c r="F2590" s="6" t="s">
        <v>283</v>
      </c>
      <c r="G2590" s="6" t="s">
        <v>494</v>
      </c>
      <c r="H2590" s="10">
        <v>46053.0</v>
      </c>
      <c r="I2590" s="12">
        <v>8.0</v>
      </c>
      <c r="J2590" s="6" t="s">
        <v>161</v>
      </c>
    </row>
    <row r="2591" ht="22.5" customHeight="1">
      <c r="A2591" s="6" t="s">
        <v>12725</v>
      </c>
      <c r="B2591" s="6" t="s">
        <v>6414</v>
      </c>
      <c r="C2591" s="10">
        <v>46049.0</v>
      </c>
      <c r="D2591" s="6" t="s">
        <v>312</v>
      </c>
      <c r="E2591" s="6" t="s">
        <v>1546</v>
      </c>
      <c r="F2591" s="6" t="s">
        <v>112</v>
      </c>
      <c r="G2591" s="6" t="s">
        <v>297</v>
      </c>
      <c r="H2591" s="10">
        <v>46056.0</v>
      </c>
      <c r="I2591" s="12">
        <v>6.0</v>
      </c>
      <c r="J2591" s="6" t="s">
        <v>161</v>
      </c>
    </row>
    <row r="2592" ht="22.5" customHeight="1">
      <c r="A2592" s="6" t="s">
        <v>12730</v>
      </c>
      <c r="B2592" s="6" t="s">
        <v>6414</v>
      </c>
      <c r="C2592" s="10">
        <v>46053.0</v>
      </c>
      <c r="D2592" s="6" t="s">
        <v>242</v>
      </c>
      <c r="E2592" s="6" t="s">
        <v>583</v>
      </c>
      <c r="F2592" s="6" t="s">
        <v>283</v>
      </c>
      <c r="G2592" s="6" t="s">
        <v>458</v>
      </c>
      <c r="H2592" s="10">
        <v>46053.0</v>
      </c>
      <c r="I2592" s="12">
        <v>5.0</v>
      </c>
      <c r="J2592" s="6" t="s">
        <v>161</v>
      </c>
    </row>
    <row r="2593" ht="22.5" customHeight="1">
      <c r="A2593" s="6" t="s">
        <v>12735</v>
      </c>
      <c r="B2593" s="6" t="s">
        <v>6414</v>
      </c>
      <c r="C2593" s="10">
        <v>46048.0</v>
      </c>
      <c r="D2593" s="6" t="s">
        <v>391</v>
      </c>
      <c r="E2593" s="6" t="s">
        <v>1055</v>
      </c>
      <c r="F2593" s="6" t="s">
        <v>439</v>
      </c>
      <c r="G2593" s="6" t="s">
        <v>494</v>
      </c>
      <c r="H2593" s="10">
        <v>46049.0</v>
      </c>
      <c r="I2593" s="12">
        <v>7.0</v>
      </c>
      <c r="J2593" s="6" t="s">
        <v>161</v>
      </c>
    </row>
    <row r="2594" ht="22.5" customHeight="1">
      <c r="A2594" s="6" t="s">
        <v>12740</v>
      </c>
      <c r="B2594" s="6" t="s">
        <v>6414</v>
      </c>
      <c r="C2594" s="10">
        <v>46048.0</v>
      </c>
      <c r="D2594" s="6" t="s">
        <v>436</v>
      </c>
      <c r="E2594" s="6" t="s">
        <v>1720</v>
      </c>
      <c r="F2594" s="6" t="s">
        <v>283</v>
      </c>
      <c r="G2594" s="6" t="s">
        <v>494</v>
      </c>
      <c r="H2594" s="10">
        <v>46052.0</v>
      </c>
      <c r="I2594" s="12">
        <v>12.0</v>
      </c>
      <c r="J2594" s="6" t="s">
        <v>178</v>
      </c>
    </row>
    <row r="2595" ht="22.5" customHeight="1">
      <c r="A2595" s="6" t="s">
        <v>12743</v>
      </c>
      <c r="B2595" s="6" t="s">
        <v>6421</v>
      </c>
      <c r="C2595" s="10">
        <v>46065.0</v>
      </c>
      <c r="D2595" s="6" t="s">
        <v>391</v>
      </c>
      <c r="E2595" s="6" t="s">
        <v>1035</v>
      </c>
      <c r="F2595" s="6" t="s">
        <v>283</v>
      </c>
      <c r="G2595" s="6" t="s">
        <v>458</v>
      </c>
      <c r="H2595" s="10">
        <v>46065.0</v>
      </c>
      <c r="I2595" s="12">
        <v>10.0</v>
      </c>
      <c r="J2595" s="6" t="s">
        <v>161</v>
      </c>
    </row>
    <row r="2596" ht="22.5" customHeight="1">
      <c r="A2596" s="6" t="s">
        <v>12747</v>
      </c>
      <c r="B2596" s="6" t="s">
        <v>6421</v>
      </c>
      <c r="C2596" s="10">
        <v>46075.0</v>
      </c>
      <c r="D2596" s="6" t="s">
        <v>416</v>
      </c>
      <c r="E2596" s="6" t="s">
        <v>1517</v>
      </c>
      <c r="F2596" s="6" t="s">
        <v>249</v>
      </c>
      <c r="G2596" s="6" t="s">
        <v>452</v>
      </c>
      <c r="H2596" s="10">
        <v>46076.0</v>
      </c>
      <c r="I2596" s="12">
        <v>11.0</v>
      </c>
      <c r="J2596" s="6" t="s">
        <v>161</v>
      </c>
    </row>
    <row r="2597" ht="22.5" customHeight="1">
      <c r="A2597" s="6" t="s">
        <v>12753</v>
      </c>
      <c r="B2597" s="6" t="s">
        <v>6421</v>
      </c>
      <c r="C2597" s="10">
        <v>46058.0</v>
      </c>
      <c r="D2597" s="6" t="s">
        <v>242</v>
      </c>
      <c r="E2597" s="6" t="s">
        <v>475</v>
      </c>
      <c r="F2597" s="6" t="s">
        <v>112</v>
      </c>
      <c r="G2597" s="6" t="s">
        <v>254</v>
      </c>
      <c r="H2597" s="10">
        <v>46061.0</v>
      </c>
      <c r="I2597" s="12">
        <v>5.0</v>
      </c>
      <c r="J2597" s="6" t="s">
        <v>178</v>
      </c>
    </row>
    <row r="2598" ht="22.5" customHeight="1">
      <c r="A2598" s="6" t="s">
        <v>12756</v>
      </c>
      <c r="B2598" s="6" t="s">
        <v>6428</v>
      </c>
      <c r="C2598" s="10">
        <v>46073.0</v>
      </c>
      <c r="D2598" s="6" t="s">
        <v>312</v>
      </c>
      <c r="E2598" s="6" t="s">
        <v>618</v>
      </c>
      <c r="F2598" s="6" t="s">
        <v>249</v>
      </c>
      <c r="G2598" s="6" t="s">
        <v>369</v>
      </c>
      <c r="H2598" s="10">
        <v>46079.0</v>
      </c>
      <c r="I2598" s="12">
        <v>7.0</v>
      </c>
      <c r="J2598" s="6" t="s">
        <v>161</v>
      </c>
    </row>
    <row r="2599" ht="22.5" customHeight="1">
      <c r="A2599" s="6" t="s">
        <v>12761</v>
      </c>
      <c r="B2599" s="6" t="s">
        <v>6428</v>
      </c>
      <c r="C2599" s="10">
        <v>46060.0</v>
      </c>
      <c r="D2599" s="6" t="s">
        <v>391</v>
      </c>
      <c r="E2599" s="6" t="s">
        <v>566</v>
      </c>
      <c r="F2599" s="6" t="s">
        <v>283</v>
      </c>
      <c r="G2599" s="6" t="s">
        <v>254</v>
      </c>
      <c r="H2599" s="10">
        <v>46065.0</v>
      </c>
      <c r="I2599" s="12">
        <v>8.0</v>
      </c>
      <c r="J2599" s="6" t="s">
        <v>161</v>
      </c>
    </row>
    <row r="2600" ht="22.5" customHeight="1">
      <c r="A2600" s="6" t="s">
        <v>12765</v>
      </c>
      <c r="B2600" s="6" t="s">
        <v>6428</v>
      </c>
      <c r="C2600" s="10">
        <v>46062.0</v>
      </c>
      <c r="D2600" s="6" t="s">
        <v>289</v>
      </c>
      <c r="E2600" s="6" t="s">
        <v>670</v>
      </c>
      <c r="F2600" s="6" t="s">
        <v>283</v>
      </c>
      <c r="G2600" s="6" t="s">
        <v>254</v>
      </c>
      <c r="H2600" s="10">
        <v>46069.0</v>
      </c>
      <c r="I2600" s="12">
        <v>5.0</v>
      </c>
      <c r="J2600" s="6" t="s">
        <v>161</v>
      </c>
    </row>
    <row r="2601" ht="22.5" customHeight="1">
      <c r="A2601" s="6" t="s">
        <v>12770</v>
      </c>
      <c r="B2601" s="6" t="s">
        <v>6436</v>
      </c>
      <c r="C2601" s="10">
        <v>46039.0</v>
      </c>
      <c r="D2601" s="6" t="s">
        <v>391</v>
      </c>
      <c r="E2601" s="6" t="s">
        <v>394</v>
      </c>
      <c r="F2601" s="6" t="s">
        <v>249</v>
      </c>
      <c r="G2601" s="6" t="s">
        <v>369</v>
      </c>
      <c r="H2601" s="10">
        <v>46040.0</v>
      </c>
      <c r="I2601" s="12">
        <v>10.0</v>
      </c>
      <c r="J2601" s="6" t="s">
        <v>161</v>
      </c>
    </row>
    <row r="2602" ht="22.5" customHeight="1">
      <c r="A2602" s="6" t="s">
        <v>12775</v>
      </c>
      <c r="B2602" s="6" t="s">
        <v>6436</v>
      </c>
      <c r="C2602" s="10">
        <v>46039.0</v>
      </c>
      <c r="D2602" s="6" t="s">
        <v>289</v>
      </c>
      <c r="E2602" s="6" t="s">
        <v>320</v>
      </c>
      <c r="F2602" s="6" t="s">
        <v>439</v>
      </c>
      <c r="G2602" s="6" t="s">
        <v>326</v>
      </c>
      <c r="H2602" s="10">
        <v>46045.0</v>
      </c>
      <c r="I2602" s="12">
        <v>10.0</v>
      </c>
      <c r="J2602" s="6" t="s">
        <v>161</v>
      </c>
    </row>
    <row r="2603" ht="22.5" customHeight="1">
      <c r="A2603" s="6" t="s">
        <v>12779</v>
      </c>
      <c r="B2603" s="6" t="s">
        <v>6436</v>
      </c>
      <c r="C2603" s="10">
        <v>46042.0</v>
      </c>
      <c r="D2603" s="6" t="s">
        <v>436</v>
      </c>
      <c r="E2603" s="6" t="s">
        <v>466</v>
      </c>
      <c r="F2603" s="6" t="s">
        <v>249</v>
      </c>
      <c r="G2603" s="6" t="s">
        <v>494</v>
      </c>
      <c r="H2603" s="10">
        <v>46046.0</v>
      </c>
      <c r="I2603" s="12">
        <v>6.0</v>
      </c>
      <c r="J2603" s="6" t="s">
        <v>178</v>
      </c>
    </row>
    <row r="2604" ht="22.5" customHeight="1">
      <c r="A2604" s="6" t="s">
        <v>12783</v>
      </c>
      <c r="B2604" s="6" t="s">
        <v>6436</v>
      </c>
      <c r="C2604" s="10">
        <v>46039.0</v>
      </c>
      <c r="D2604" s="6" t="s">
        <v>677</v>
      </c>
      <c r="E2604" s="6" t="s">
        <v>1570</v>
      </c>
      <c r="F2604" s="6" t="s">
        <v>112</v>
      </c>
      <c r="G2604" s="6" t="s">
        <v>369</v>
      </c>
      <c r="H2604" s="11" t="s">
        <v>259</v>
      </c>
      <c r="I2604" s="12">
        <v>3.0</v>
      </c>
      <c r="J2604" s="6" t="s">
        <v>161</v>
      </c>
    </row>
    <row r="2605" ht="22.5" customHeight="1">
      <c r="A2605" s="6" t="s">
        <v>12789</v>
      </c>
      <c r="B2605" s="6" t="s">
        <v>6443</v>
      </c>
      <c r="C2605" s="10">
        <v>46034.0</v>
      </c>
      <c r="D2605" s="6" t="s">
        <v>677</v>
      </c>
      <c r="E2605" s="6" t="s">
        <v>475</v>
      </c>
      <c r="F2605" s="6" t="s">
        <v>439</v>
      </c>
      <c r="G2605" s="6" t="s">
        <v>494</v>
      </c>
      <c r="H2605" s="11" t="s">
        <v>259</v>
      </c>
      <c r="I2605" s="12">
        <v>3.0</v>
      </c>
      <c r="J2605" s="6" t="s">
        <v>161</v>
      </c>
    </row>
    <row r="2606" ht="22.5" customHeight="1">
      <c r="A2606" s="6" t="s">
        <v>12792</v>
      </c>
      <c r="B2606" s="6" t="s">
        <v>6443</v>
      </c>
      <c r="C2606" s="10">
        <v>46043.0</v>
      </c>
      <c r="D2606" s="6" t="s">
        <v>312</v>
      </c>
      <c r="E2606" s="6" t="s">
        <v>704</v>
      </c>
      <c r="F2606" s="6" t="s">
        <v>112</v>
      </c>
      <c r="G2606" s="6" t="s">
        <v>452</v>
      </c>
      <c r="H2606" s="10">
        <v>46043.0</v>
      </c>
      <c r="I2606" s="12">
        <v>6.0</v>
      </c>
      <c r="J2606" s="6" t="s">
        <v>161</v>
      </c>
    </row>
    <row r="2607" ht="22.5" customHeight="1">
      <c r="A2607" s="6" t="s">
        <v>12796</v>
      </c>
      <c r="B2607" s="6" t="s">
        <v>6443</v>
      </c>
      <c r="C2607" s="10">
        <v>46033.0</v>
      </c>
      <c r="D2607" s="6" t="s">
        <v>312</v>
      </c>
      <c r="E2607" s="6" t="s">
        <v>618</v>
      </c>
      <c r="F2607" s="6" t="s">
        <v>283</v>
      </c>
      <c r="G2607" s="6" t="s">
        <v>494</v>
      </c>
      <c r="H2607" s="10">
        <v>46035.0</v>
      </c>
      <c r="I2607" s="12">
        <v>5.0</v>
      </c>
      <c r="J2607" s="6" t="s">
        <v>161</v>
      </c>
    </row>
    <row r="2608" ht="22.5" customHeight="1">
      <c r="A2608" s="6" t="s">
        <v>12802</v>
      </c>
      <c r="B2608" s="6" t="s">
        <v>6443</v>
      </c>
      <c r="C2608" s="10">
        <v>46043.0</v>
      </c>
      <c r="D2608" s="6" t="s">
        <v>436</v>
      </c>
      <c r="E2608" s="6" t="s">
        <v>716</v>
      </c>
      <c r="F2608" s="6" t="s">
        <v>283</v>
      </c>
      <c r="G2608" s="6" t="s">
        <v>369</v>
      </c>
      <c r="H2608" s="10">
        <v>46045.0</v>
      </c>
      <c r="I2608" s="12">
        <v>10.0</v>
      </c>
      <c r="J2608" s="6" t="s">
        <v>161</v>
      </c>
    </row>
    <row r="2609" ht="22.5" customHeight="1">
      <c r="A2609" s="6" t="s">
        <v>12805</v>
      </c>
      <c r="B2609" s="6" t="s">
        <v>6443</v>
      </c>
      <c r="C2609" s="10">
        <v>46032.0</v>
      </c>
      <c r="D2609" s="6" t="s">
        <v>416</v>
      </c>
      <c r="E2609" s="6" t="s">
        <v>1102</v>
      </c>
      <c r="F2609" s="6" t="s">
        <v>439</v>
      </c>
      <c r="G2609" s="6" t="s">
        <v>326</v>
      </c>
      <c r="H2609" s="10">
        <v>46037.0</v>
      </c>
      <c r="I2609" s="12">
        <v>8.0</v>
      </c>
      <c r="J2609" s="6" t="s">
        <v>161</v>
      </c>
    </row>
    <row r="2610" ht="22.5" customHeight="1">
      <c r="A2610" s="6" t="s">
        <v>12810</v>
      </c>
      <c r="B2610" s="6" t="s">
        <v>6450</v>
      </c>
      <c r="C2610" s="10">
        <v>46047.0</v>
      </c>
      <c r="D2610" s="6" t="s">
        <v>677</v>
      </c>
      <c r="E2610" s="6" t="s">
        <v>955</v>
      </c>
      <c r="F2610" s="6" t="s">
        <v>439</v>
      </c>
      <c r="G2610" s="6" t="s">
        <v>297</v>
      </c>
      <c r="H2610" s="10">
        <v>46052.0</v>
      </c>
      <c r="I2610" s="12">
        <v>2.0</v>
      </c>
      <c r="J2610" s="6" t="s">
        <v>161</v>
      </c>
    </row>
    <row r="2611" ht="22.5" customHeight="1">
      <c r="A2611" s="6" t="s">
        <v>12815</v>
      </c>
      <c r="B2611" s="6" t="s">
        <v>6450</v>
      </c>
      <c r="C2611" s="10">
        <v>46039.0</v>
      </c>
      <c r="D2611" s="6" t="s">
        <v>242</v>
      </c>
      <c r="E2611" s="6" t="s">
        <v>731</v>
      </c>
      <c r="F2611" s="6" t="s">
        <v>283</v>
      </c>
      <c r="G2611" s="6" t="s">
        <v>369</v>
      </c>
      <c r="H2611" s="11" t="s">
        <v>259</v>
      </c>
      <c r="I2611" s="12">
        <v>3.0</v>
      </c>
      <c r="J2611" s="6" t="s">
        <v>178</v>
      </c>
    </row>
    <row r="2612" ht="22.5" customHeight="1">
      <c r="A2612" s="6" t="s">
        <v>12818</v>
      </c>
      <c r="B2612" s="6" t="s">
        <v>6450</v>
      </c>
      <c r="C2612" s="10">
        <v>46058.0</v>
      </c>
      <c r="D2612" s="6" t="s">
        <v>677</v>
      </c>
      <c r="E2612" s="6" t="s">
        <v>687</v>
      </c>
      <c r="F2612" s="6" t="s">
        <v>112</v>
      </c>
      <c r="G2612" s="6" t="s">
        <v>297</v>
      </c>
      <c r="H2612" s="11" t="s">
        <v>259</v>
      </c>
      <c r="I2612" s="12">
        <v>3.0</v>
      </c>
      <c r="J2612" s="6" t="s">
        <v>161</v>
      </c>
    </row>
    <row r="2613" ht="22.5" customHeight="1">
      <c r="A2613" s="6" t="s">
        <v>12823</v>
      </c>
      <c r="B2613" s="6" t="s">
        <v>6458</v>
      </c>
      <c r="C2613" s="10">
        <v>46041.0</v>
      </c>
      <c r="D2613" s="6" t="s">
        <v>677</v>
      </c>
      <c r="E2613" s="6" t="s">
        <v>1546</v>
      </c>
      <c r="F2613" s="6" t="s">
        <v>439</v>
      </c>
      <c r="G2613" s="6" t="s">
        <v>297</v>
      </c>
      <c r="H2613" s="10">
        <v>46043.0</v>
      </c>
      <c r="I2613" s="12">
        <v>4.0</v>
      </c>
      <c r="J2613" s="6" t="s">
        <v>161</v>
      </c>
    </row>
    <row r="2614" ht="22.5" customHeight="1">
      <c r="A2614" s="6" t="s">
        <v>12828</v>
      </c>
      <c r="B2614" s="6" t="s">
        <v>6458</v>
      </c>
      <c r="C2614" s="10">
        <v>46031.0</v>
      </c>
      <c r="D2614" s="6" t="s">
        <v>312</v>
      </c>
      <c r="E2614" s="6" t="s">
        <v>704</v>
      </c>
      <c r="F2614" s="6" t="s">
        <v>249</v>
      </c>
      <c r="G2614" s="6" t="s">
        <v>494</v>
      </c>
      <c r="H2614" s="10">
        <v>46036.0</v>
      </c>
      <c r="I2614" s="12">
        <v>6.0</v>
      </c>
      <c r="J2614" s="6" t="s">
        <v>161</v>
      </c>
    </row>
    <row r="2615" ht="22.5" customHeight="1">
      <c r="A2615" s="6" t="s">
        <v>12831</v>
      </c>
      <c r="B2615" s="6" t="s">
        <v>6458</v>
      </c>
      <c r="C2615" s="10">
        <v>46033.0</v>
      </c>
      <c r="D2615" s="6" t="s">
        <v>289</v>
      </c>
      <c r="E2615" s="6" t="s">
        <v>394</v>
      </c>
      <c r="F2615" s="6" t="s">
        <v>249</v>
      </c>
      <c r="G2615" s="6" t="s">
        <v>326</v>
      </c>
      <c r="H2615" s="11" t="s">
        <v>259</v>
      </c>
      <c r="I2615" s="12">
        <v>7.0</v>
      </c>
      <c r="J2615" s="6" t="s">
        <v>161</v>
      </c>
    </row>
    <row r="2616" ht="22.5" customHeight="1">
      <c r="A2616" s="6" t="s">
        <v>12836</v>
      </c>
      <c r="B2616" s="6" t="s">
        <v>6458</v>
      </c>
      <c r="C2616" s="10">
        <v>46048.0</v>
      </c>
      <c r="D2616" s="6" t="s">
        <v>416</v>
      </c>
      <c r="E2616" s="6" t="s">
        <v>1386</v>
      </c>
      <c r="F2616" s="6" t="s">
        <v>283</v>
      </c>
      <c r="G2616" s="6" t="s">
        <v>254</v>
      </c>
      <c r="H2616" s="10">
        <v>46053.0</v>
      </c>
      <c r="I2616" s="12">
        <v>8.0</v>
      </c>
      <c r="J2616" s="6" t="s">
        <v>161</v>
      </c>
    </row>
    <row r="2617" ht="22.5" customHeight="1">
      <c r="A2617" s="6" t="s">
        <v>12841</v>
      </c>
      <c r="B2617" s="6" t="s">
        <v>6465</v>
      </c>
      <c r="C2617" s="10">
        <v>46047.0</v>
      </c>
      <c r="D2617" s="6" t="s">
        <v>391</v>
      </c>
      <c r="E2617" s="6" t="s">
        <v>1296</v>
      </c>
      <c r="F2617" s="6" t="s">
        <v>439</v>
      </c>
      <c r="G2617" s="6" t="s">
        <v>452</v>
      </c>
      <c r="H2617" s="10">
        <v>46052.0</v>
      </c>
      <c r="I2617" s="12">
        <v>11.0</v>
      </c>
      <c r="J2617" s="6" t="s">
        <v>161</v>
      </c>
    </row>
    <row r="2618" ht="22.5" customHeight="1">
      <c r="A2618" s="6" t="s">
        <v>12846</v>
      </c>
      <c r="B2618" s="6" t="s">
        <v>6465</v>
      </c>
      <c r="C2618" s="10">
        <v>46044.0</v>
      </c>
      <c r="D2618" s="6" t="s">
        <v>436</v>
      </c>
      <c r="E2618" s="6" t="s">
        <v>246</v>
      </c>
      <c r="F2618" s="6" t="s">
        <v>283</v>
      </c>
      <c r="G2618" s="6" t="s">
        <v>369</v>
      </c>
      <c r="H2618" s="10">
        <v>46047.0</v>
      </c>
      <c r="I2618" s="12">
        <v>6.0</v>
      </c>
      <c r="J2618" s="6" t="s">
        <v>178</v>
      </c>
    </row>
    <row r="2619" ht="22.5" customHeight="1">
      <c r="A2619" s="6" t="s">
        <v>12850</v>
      </c>
      <c r="B2619" s="6" t="s">
        <v>6465</v>
      </c>
      <c r="C2619" s="10">
        <v>46031.0</v>
      </c>
      <c r="D2619" s="6" t="s">
        <v>436</v>
      </c>
      <c r="E2619" s="6" t="s">
        <v>812</v>
      </c>
      <c r="F2619" s="6" t="s">
        <v>283</v>
      </c>
      <c r="G2619" s="6" t="s">
        <v>452</v>
      </c>
      <c r="H2619" s="10">
        <v>46033.0</v>
      </c>
      <c r="I2619" s="12">
        <v>11.0</v>
      </c>
      <c r="J2619" s="6" t="s">
        <v>178</v>
      </c>
    </row>
    <row r="2620" ht="22.5" customHeight="1">
      <c r="A2620" s="6" t="s">
        <v>12855</v>
      </c>
      <c r="B2620" s="6" t="s">
        <v>6465</v>
      </c>
      <c r="C2620" s="10">
        <v>46034.0</v>
      </c>
      <c r="D2620" s="6" t="s">
        <v>242</v>
      </c>
      <c r="E2620" s="6" t="s">
        <v>1600</v>
      </c>
      <c r="F2620" s="6" t="s">
        <v>439</v>
      </c>
      <c r="G2620" s="6" t="s">
        <v>326</v>
      </c>
      <c r="H2620" s="10">
        <v>46040.0</v>
      </c>
      <c r="I2620" s="12">
        <v>5.0</v>
      </c>
      <c r="J2620" s="6" t="s">
        <v>178</v>
      </c>
    </row>
    <row r="2621" ht="22.5" customHeight="1">
      <c r="A2621" s="6" t="s">
        <v>12860</v>
      </c>
      <c r="B2621" s="6" t="s">
        <v>6465</v>
      </c>
      <c r="C2621" s="10">
        <v>46038.0</v>
      </c>
      <c r="D2621" s="6" t="s">
        <v>289</v>
      </c>
      <c r="E2621" s="6" t="s">
        <v>438</v>
      </c>
      <c r="F2621" s="6" t="s">
        <v>249</v>
      </c>
      <c r="G2621" s="6" t="s">
        <v>494</v>
      </c>
      <c r="H2621" s="10">
        <v>46039.0</v>
      </c>
      <c r="I2621" s="12">
        <v>10.0</v>
      </c>
      <c r="J2621" s="6" t="s">
        <v>161</v>
      </c>
    </row>
    <row r="2622" ht="22.5" customHeight="1">
      <c r="A2622" s="6" t="s">
        <v>12866</v>
      </c>
      <c r="B2622" s="6" t="s">
        <v>6472</v>
      </c>
      <c r="C2622" s="10">
        <v>46064.0</v>
      </c>
      <c r="D2622" s="6" t="s">
        <v>312</v>
      </c>
      <c r="E2622" s="6" t="s">
        <v>1102</v>
      </c>
      <c r="F2622" s="6" t="s">
        <v>112</v>
      </c>
      <c r="G2622" s="6" t="s">
        <v>369</v>
      </c>
      <c r="H2622" s="10">
        <v>46068.0</v>
      </c>
      <c r="I2622" s="12">
        <v>5.0</v>
      </c>
      <c r="J2622" s="6" t="s">
        <v>161</v>
      </c>
    </row>
    <row r="2623" ht="22.5" customHeight="1">
      <c r="A2623" s="6" t="s">
        <v>12870</v>
      </c>
      <c r="B2623" s="6" t="s">
        <v>6472</v>
      </c>
      <c r="C2623" s="10">
        <v>46080.0</v>
      </c>
      <c r="D2623" s="6" t="s">
        <v>416</v>
      </c>
      <c r="E2623" s="6" t="s">
        <v>1280</v>
      </c>
      <c r="F2623" s="6" t="s">
        <v>249</v>
      </c>
      <c r="G2623" s="6" t="s">
        <v>494</v>
      </c>
      <c r="H2623" s="10">
        <v>46087.0</v>
      </c>
      <c r="I2623" s="12">
        <v>13.0</v>
      </c>
      <c r="J2623" s="6" t="s">
        <v>161</v>
      </c>
    </row>
    <row r="2624" ht="22.5" customHeight="1">
      <c r="A2624" s="6" t="s">
        <v>12875</v>
      </c>
      <c r="B2624" s="6" t="s">
        <v>6472</v>
      </c>
      <c r="C2624" s="10">
        <v>46060.0</v>
      </c>
      <c r="D2624" s="6" t="s">
        <v>312</v>
      </c>
      <c r="E2624" s="6" t="s">
        <v>658</v>
      </c>
      <c r="F2624" s="6" t="s">
        <v>249</v>
      </c>
      <c r="G2624" s="6" t="s">
        <v>477</v>
      </c>
      <c r="H2624" s="10">
        <v>46062.0</v>
      </c>
      <c r="I2624" s="12">
        <v>5.0</v>
      </c>
      <c r="J2624" s="6" t="s">
        <v>161</v>
      </c>
    </row>
    <row r="2625" ht="22.5" customHeight="1">
      <c r="A2625" s="6" t="s">
        <v>12879</v>
      </c>
      <c r="B2625" s="6" t="s">
        <v>6477</v>
      </c>
      <c r="C2625" s="10">
        <v>46070.0</v>
      </c>
      <c r="D2625" s="6" t="s">
        <v>391</v>
      </c>
      <c r="E2625" s="6" t="s">
        <v>1626</v>
      </c>
      <c r="F2625" s="6" t="s">
        <v>112</v>
      </c>
      <c r="G2625" s="6" t="s">
        <v>494</v>
      </c>
      <c r="H2625" s="10">
        <v>46071.0</v>
      </c>
      <c r="I2625" s="12">
        <v>11.0</v>
      </c>
      <c r="J2625" s="6" t="s">
        <v>161</v>
      </c>
    </row>
    <row r="2626" ht="22.5" customHeight="1">
      <c r="A2626" s="6" t="s">
        <v>12884</v>
      </c>
      <c r="B2626" s="6" t="s">
        <v>6477</v>
      </c>
      <c r="C2626" s="10">
        <v>46077.0</v>
      </c>
      <c r="D2626" s="6" t="s">
        <v>289</v>
      </c>
      <c r="E2626" s="6" t="s">
        <v>438</v>
      </c>
      <c r="F2626" s="6" t="s">
        <v>439</v>
      </c>
      <c r="G2626" s="6" t="s">
        <v>458</v>
      </c>
      <c r="H2626" s="10">
        <v>46081.0</v>
      </c>
      <c r="I2626" s="12">
        <v>5.0</v>
      </c>
      <c r="J2626" s="6" t="s">
        <v>161</v>
      </c>
    </row>
    <row r="2627" ht="22.5" customHeight="1">
      <c r="A2627" s="6" t="s">
        <v>12886</v>
      </c>
      <c r="B2627" s="6" t="s">
        <v>6477</v>
      </c>
      <c r="C2627" s="10">
        <v>46073.0</v>
      </c>
      <c r="D2627" s="6" t="s">
        <v>391</v>
      </c>
      <c r="E2627" s="6" t="s">
        <v>320</v>
      </c>
      <c r="F2627" s="6" t="s">
        <v>283</v>
      </c>
      <c r="G2627" s="6" t="s">
        <v>477</v>
      </c>
      <c r="H2627" s="10">
        <v>46075.0</v>
      </c>
      <c r="I2627" s="12">
        <v>8.0</v>
      </c>
      <c r="J2627" s="6" t="s">
        <v>161</v>
      </c>
    </row>
    <row r="2628" ht="22.5" customHeight="1">
      <c r="A2628" s="6" t="s">
        <v>12892</v>
      </c>
      <c r="B2628" s="6" t="s">
        <v>6484</v>
      </c>
      <c r="C2628" s="10">
        <v>46056.0</v>
      </c>
      <c r="D2628" s="6" t="s">
        <v>416</v>
      </c>
      <c r="E2628" s="6" t="s">
        <v>1273</v>
      </c>
      <c r="F2628" s="6" t="s">
        <v>439</v>
      </c>
      <c r="G2628" s="6" t="s">
        <v>326</v>
      </c>
      <c r="H2628" s="10">
        <v>46057.0</v>
      </c>
      <c r="I2628" s="12">
        <v>12.0</v>
      </c>
      <c r="J2628" s="6" t="s">
        <v>161</v>
      </c>
    </row>
    <row r="2629" ht="22.5" customHeight="1">
      <c r="A2629" s="6" t="s">
        <v>12897</v>
      </c>
      <c r="B2629" s="6" t="s">
        <v>6484</v>
      </c>
      <c r="C2629" s="10">
        <v>46055.0</v>
      </c>
      <c r="D2629" s="6" t="s">
        <v>677</v>
      </c>
      <c r="E2629" s="6" t="s">
        <v>885</v>
      </c>
      <c r="F2629" s="6" t="s">
        <v>112</v>
      </c>
      <c r="G2629" s="6" t="s">
        <v>369</v>
      </c>
      <c r="H2629" s="10">
        <v>46059.0</v>
      </c>
      <c r="I2629" s="12">
        <v>3.0</v>
      </c>
      <c r="J2629" s="6" t="s">
        <v>161</v>
      </c>
    </row>
    <row r="2630" ht="22.5" customHeight="1">
      <c r="A2630" s="6" t="s">
        <v>12901</v>
      </c>
      <c r="B2630" s="6" t="s">
        <v>6490</v>
      </c>
      <c r="C2630" s="10">
        <v>46058.0</v>
      </c>
      <c r="D2630" s="6" t="s">
        <v>242</v>
      </c>
      <c r="E2630" s="6" t="s">
        <v>687</v>
      </c>
      <c r="F2630" s="6" t="s">
        <v>249</v>
      </c>
      <c r="G2630" s="6" t="s">
        <v>458</v>
      </c>
      <c r="H2630" s="10">
        <v>46062.0</v>
      </c>
      <c r="I2630" s="12">
        <v>6.0</v>
      </c>
      <c r="J2630" s="6" t="s">
        <v>178</v>
      </c>
    </row>
    <row r="2631" ht="22.5" customHeight="1">
      <c r="A2631" s="6" t="s">
        <v>12905</v>
      </c>
      <c r="B2631" s="6" t="s">
        <v>6498</v>
      </c>
      <c r="C2631" s="10">
        <v>46072.0</v>
      </c>
      <c r="D2631" s="6" t="s">
        <v>416</v>
      </c>
      <c r="E2631" s="6" t="s">
        <v>2881</v>
      </c>
      <c r="F2631" s="6" t="s">
        <v>249</v>
      </c>
      <c r="G2631" s="6" t="s">
        <v>297</v>
      </c>
      <c r="H2631" s="10">
        <v>46072.0</v>
      </c>
      <c r="I2631" s="12">
        <v>9.0</v>
      </c>
      <c r="J2631" s="6" t="s">
        <v>161</v>
      </c>
    </row>
    <row r="2632" ht="22.5" customHeight="1">
      <c r="A2632" s="6" t="s">
        <v>12911</v>
      </c>
      <c r="B2632" s="6" t="s">
        <v>6498</v>
      </c>
      <c r="C2632" s="10">
        <v>46071.0</v>
      </c>
      <c r="D2632" s="6" t="s">
        <v>391</v>
      </c>
      <c r="E2632" s="6" t="s">
        <v>1741</v>
      </c>
      <c r="F2632" s="6" t="s">
        <v>249</v>
      </c>
      <c r="G2632" s="6" t="s">
        <v>458</v>
      </c>
      <c r="H2632" s="10">
        <v>46073.0</v>
      </c>
      <c r="I2632" s="12">
        <v>6.0</v>
      </c>
      <c r="J2632" s="6" t="s">
        <v>161</v>
      </c>
    </row>
    <row r="2633" ht="22.5" customHeight="1">
      <c r="A2633" s="6" t="s">
        <v>12914</v>
      </c>
      <c r="B2633" s="6" t="s">
        <v>6498</v>
      </c>
      <c r="C2633" s="10">
        <v>46060.0</v>
      </c>
      <c r="D2633" s="6" t="s">
        <v>289</v>
      </c>
      <c r="E2633" s="6" t="s">
        <v>1386</v>
      </c>
      <c r="F2633" s="6" t="s">
        <v>283</v>
      </c>
      <c r="G2633" s="6" t="s">
        <v>494</v>
      </c>
      <c r="H2633" s="10">
        <v>46067.0</v>
      </c>
      <c r="I2633" s="12">
        <v>8.0</v>
      </c>
      <c r="J2633" s="6" t="s">
        <v>161</v>
      </c>
    </row>
    <row r="2634" ht="22.5" customHeight="1">
      <c r="A2634" s="6" t="s">
        <v>12919</v>
      </c>
      <c r="B2634" s="6" t="s">
        <v>6498</v>
      </c>
      <c r="C2634" s="10">
        <v>46067.0</v>
      </c>
      <c r="D2634" s="6" t="s">
        <v>312</v>
      </c>
      <c r="E2634" s="6" t="s">
        <v>1570</v>
      </c>
      <c r="F2634" s="6" t="s">
        <v>249</v>
      </c>
      <c r="G2634" s="6" t="s">
        <v>326</v>
      </c>
      <c r="H2634" s="11" t="s">
        <v>259</v>
      </c>
      <c r="I2634" s="12">
        <v>7.0</v>
      </c>
      <c r="J2634" s="6" t="s">
        <v>161</v>
      </c>
    </row>
    <row r="2635" ht="22.5" customHeight="1">
      <c r="A2635" s="6" t="s">
        <v>12924</v>
      </c>
      <c r="B2635" s="6" t="s">
        <v>6504</v>
      </c>
      <c r="C2635" s="10">
        <v>46043.0</v>
      </c>
      <c r="D2635" s="6" t="s">
        <v>242</v>
      </c>
      <c r="E2635" s="6" t="s">
        <v>833</v>
      </c>
      <c r="F2635" s="6" t="s">
        <v>439</v>
      </c>
      <c r="G2635" s="6" t="s">
        <v>452</v>
      </c>
      <c r="H2635" s="10">
        <v>46046.0</v>
      </c>
      <c r="I2635" s="12">
        <v>3.0</v>
      </c>
      <c r="J2635" s="6" t="s">
        <v>178</v>
      </c>
    </row>
    <row r="2636" ht="22.5" customHeight="1">
      <c r="A2636" s="6" t="s">
        <v>12930</v>
      </c>
      <c r="B2636" s="6" t="s">
        <v>6504</v>
      </c>
      <c r="C2636" s="10">
        <v>46039.0</v>
      </c>
      <c r="D2636" s="6" t="s">
        <v>677</v>
      </c>
      <c r="E2636" s="6" t="s">
        <v>1552</v>
      </c>
      <c r="F2636" s="6" t="s">
        <v>249</v>
      </c>
      <c r="G2636" s="6" t="s">
        <v>494</v>
      </c>
      <c r="H2636" s="10">
        <v>46046.0</v>
      </c>
      <c r="I2636" s="12">
        <v>4.0</v>
      </c>
      <c r="J2636" s="6" t="s">
        <v>161</v>
      </c>
    </row>
    <row r="2637" ht="22.5" customHeight="1">
      <c r="A2637" s="6" t="s">
        <v>12934</v>
      </c>
      <c r="B2637" s="6" t="s">
        <v>6504</v>
      </c>
      <c r="C2637" s="10">
        <v>46045.0</v>
      </c>
      <c r="D2637" s="6" t="s">
        <v>312</v>
      </c>
      <c r="E2637" s="6" t="s">
        <v>738</v>
      </c>
      <c r="F2637" s="6" t="s">
        <v>112</v>
      </c>
      <c r="G2637" s="6" t="s">
        <v>494</v>
      </c>
      <c r="H2637" s="10">
        <v>46051.0</v>
      </c>
      <c r="I2637" s="12">
        <v>7.0</v>
      </c>
      <c r="J2637" s="6" t="s">
        <v>161</v>
      </c>
    </row>
    <row r="2638" ht="22.5" customHeight="1">
      <c r="A2638" s="6" t="s">
        <v>12938</v>
      </c>
      <c r="B2638" s="6" t="s">
        <v>6509</v>
      </c>
      <c r="C2638" s="10">
        <v>46046.0</v>
      </c>
      <c r="D2638" s="6" t="s">
        <v>391</v>
      </c>
      <c r="E2638" s="6" t="s">
        <v>1720</v>
      </c>
      <c r="F2638" s="6" t="s">
        <v>439</v>
      </c>
      <c r="G2638" s="6" t="s">
        <v>297</v>
      </c>
      <c r="H2638" s="10">
        <v>46050.0</v>
      </c>
      <c r="I2638" s="12">
        <v>7.0</v>
      </c>
      <c r="J2638" s="6" t="s">
        <v>161</v>
      </c>
    </row>
    <row r="2639" ht="22.5" customHeight="1">
      <c r="A2639" s="6" t="s">
        <v>12943</v>
      </c>
      <c r="B2639" s="6" t="s">
        <v>6509</v>
      </c>
      <c r="C2639" s="10">
        <v>46038.0</v>
      </c>
      <c r="D2639" s="6" t="s">
        <v>289</v>
      </c>
      <c r="E2639" s="6" t="s">
        <v>775</v>
      </c>
      <c r="F2639" s="6" t="s">
        <v>249</v>
      </c>
      <c r="G2639" s="6" t="s">
        <v>494</v>
      </c>
      <c r="H2639" s="10">
        <v>46041.0</v>
      </c>
      <c r="I2639" s="12">
        <v>7.0</v>
      </c>
      <c r="J2639" s="6" t="s">
        <v>161</v>
      </c>
    </row>
    <row r="2640" ht="22.5" customHeight="1">
      <c r="A2640" s="6" t="s">
        <v>12946</v>
      </c>
      <c r="B2640" s="6" t="s">
        <v>6516</v>
      </c>
      <c r="C2640" s="10">
        <v>46065.0</v>
      </c>
      <c r="D2640" s="6" t="s">
        <v>677</v>
      </c>
      <c r="E2640" s="6" t="s">
        <v>365</v>
      </c>
      <c r="F2640" s="6" t="s">
        <v>112</v>
      </c>
      <c r="G2640" s="6" t="s">
        <v>369</v>
      </c>
      <c r="H2640" s="10">
        <v>46070.0</v>
      </c>
      <c r="I2640" s="12">
        <v>4.0</v>
      </c>
      <c r="J2640" s="6" t="s">
        <v>161</v>
      </c>
    </row>
    <row r="2641" ht="22.5" customHeight="1">
      <c r="A2641" s="6" t="s">
        <v>12950</v>
      </c>
      <c r="B2641" s="6" t="s">
        <v>6516</v>
      </c>
      <c r="C2641" s="10">
        <v>46078.0</v>
      </c>
      <c r="D2641" s="6" t="s">
        <v>312</v>
      </c>
      <c r="E2641" s="6" t="s">
        <v>2881</v>
      </c>
      <c r="F2641" s="6" t="s">
        <v>439</v>
      </c>
      <c r="G2641" s="6" t="s">
        <v>494</v>
      </c>
      <c r="H2641" s="10">
        <v>46084.0</v>
      </c>
      <c r="I2641" s="12">
        <v>5.0</v>
      </c>
      <c r="J2641" s="6" t="s">
        <v>161</v>
      </c>
    </row>
    <row r="2642" ht="22.5" customHeight="1">
      <c r="A2642" s="6" t="s">
        <v>12952</v>
      </c>
      <c r="B2642" s="6" t="s">
        <v>6516</v>
      </c>
      <c r="C2642" s="10">
        <v>46063.0</v>
      </c>
      <c r="D2642" s="6" t="s">
        <v>416</v>
      </c>
      <c r="E2642" s="6" t="s">
        <v>566</v>
      </c>
      <c r="F2642" s="6" t="s">
        <v>112</v>
      </c>
      <c r="G2642" s="6" t="s">
        <v>369</v>
      </c>
      <c r="H2642" s="10">
        <v>46066.0</v>
      </c>
      <c r="I2642" s="12">
        <v>10.0</v>
      </c>
      <c r="J2642" s="6" t="s">
        <v>161</v>
      </c>
    </row>
    <row r="2643" ht="22.5" customHeight="1">
      <c r="A2643" s="6" t="s">
        <v>12956</v>
      </c>
      <c r="B2643" s="6" t="s">
        <v>6516</v>
      </c>
      <c r="C2643" s="10">
        <v>46066.0</v>
      </c>
      <c r="D2643" s="6" t="s">
        <v>289</v>
      </c>
      <c r="E2643" s="6" t="s">
        <v>1035</v>
      </c>
      <c r="F2643" s="6" t="s">
        <v>249</v>
      </c>
      <c r="G2643" s="6" t="s">
        <v>477</v>
      </c>
      <c r="H2643" s="10">
        <v>46073.0</v>
      </c>
      <c r="I2643" s="12">
        <v>8.0</v>
      </c>
      <c r="J2643" s="6" t="s">
        <v>161</v>
      </c>
    </row>
    <row r="2644" ht="22.5" customHeight="1">
      <c r="A2644" s="6" t="s">
        <v>12959</v>
      </c>
      <c r="B2644" s="6" t="s">
        <v>6522</v>
      </c>
      <c r="C2644" s="10">
        <v>46039.0</v>
      </c>
      <c r="D2644" s="6" t="s">
        <v>416</v>
      </c>
      <c r="E2644" s="6" t="s">
        <v>634</v>
      </c>
      <c r="F2644" s="6" t="s">
        <v>283</v>
      </c>
      <c r="G2644" s="6" t="s">
        <v>254</v>
      </c>
      <c r="H2644" s="10">
        <v>46044.0</v>
      </c>
      <c r="I2644" s="12">
        <v>9.0</v>
      </c>
      <c r="J2644" s="6" t="s">
        <v>161</v>
      </c>
    </row>
    <row r="2645" ht="22.5" customHeight="1">
      <c r="A2645" s="6" t="s">
        <v>12964</v>
      </c>
      <c r="B2645" s="6" t="s">
        <v>6522</v>
      </c>
      <c r="C2645" s="10">
        <v>46057.0</v>
      </c>
      <c r="D2645" s="6" t="s">
        <v>242</v>
      </c>
      <c r="E2645" s="6" t="s">
        <v>704</v>
      </c>
      <c r="F2645" s="6" t="s">
        <v>283</v>
      </c>
      <c r="G2645" s="6" t="s">
        <v>254</v>
      </c>
      <c r="H2645" s="10">
        <v>46062.0</v>
      </c>
      <c r="I2645" s="12">
        <v>4.0</v>
      </c>
      <c r="J2645" s="6" t="s">
        <v>178</v>
      </c>
    </row>
    <row r="2646" ht="22.5" customHeight="1">
      <c r="A2646" s="6" t="s">
        <v>12967</v>
      </c>
      <c r="B2646" s="6" t="s">
        <v>6522</v>
      </c>
      <c r="C2646" s="10">
        <v>46054.0</v>
      </c>
      <c r="D2646" s="6" t="s">
        <v>242</v>
      </c>
      <c r="E2646" s="6" t="s">
        <v>618</v>
      </c>
      <c r="F2646" s="6" t="s">
        <v>439</v>
      </c>
      <c r="G2646" s="6" t="s">
        <v>477</v>
      </c>
      <c r="H2646" s="10">
        <v>46060.0</v>
      </c>
      <c r="I2646" s="12">
        <v>3.0</v>
      </c>
      <c r="J2646" s="6" t="s">
        <v>161</v>
      </c>
    </row>
    <row r="2647" ht="22.5" customHeight="1">
      <c r="A2647" s="6" t="s">
        <v>12972</v>
      </c>
      <c r="B2647" s="6" t="s">
        <v>6522</v>
      </c>
      <c r="C2647" s="10">
        <v>46045.0</v>
      </c>
      <c r="D2647" s="6" t="s">
        <v>677</v>
      </c>
      <c r="E2647" s="6" t="s">
        <v>610</v>
      </c>
      <c r="F2647" s="6" t="s">
        <v>439</v>
      </c>
      <c r="G2647" s="6" t="s">
        <v>297</v>
      </c>
      <c r="H2647" s="10">
        <v>46047.0</v>
      </c>
      <c r="I2647" s="12">
        <v>4.0</v>
      </c>
      <c r="J2647" s="6" t="s">
        <v>161</v>
      </c>
    </row>
    <row r="2648" ht="22.5" customHeight="1">
      <c r="A2648" s="6" t="s">
        <v>12977</v>
      </c>
      <c r="B2648" s="6" t="s">
        <v>6529</v>
      </c>
      <c r="C2648" s="10">
        <v>46073.0</v>
      </c>
      <c r="D2648" s="6" t="s">
        <v>289</v>
      </c>
      <c r="E2648" s="6" t="s">
        <v>1149</v>
      </c>
      <c r="F2648" s="6" t="s">
        <v>112</v>
      </c>
      <c r="G2648" s="6" t="s">
        <v>452</v>
      </c>
      <c r="H2648" s="10">
        <v>46075.0</v>
      </c>
      <c r="I2648" s="12">
        <v>6.0</v>
      </c>
      <c r="J2648" s="6" t="s">
        <v>161</v>
      </c>
    </row>
    <row r="2649" ht="22.5" customHeight="1">
      <c r="A2649" s="6" t="s">
        <v>12980</v>
      </c>
      <c r="B2649" s="6" t="s">
        <v>6529</v>
      </c>
      <c r="C2649" s="10">
        <v>46057.0</v>
      </c>
      <c r="D2649" s="6" t="s">
        <v>289</v>
      </c>
      <c r="E2649" s="6" t="s">
        <v>798</v>
      </c>
      <c r="F2649" s="6" t="s">
        <v>439</v>
      </c>
      <c r="G2649" s="6" t="s">
        <v>452</v>
      </c>
      <c r="H2649" s="10">
        <v>46063.0</v>
      </c>
      <c r="I2649" s="12">
        <v>5.0</v>
      </c>
      <c r="J2649" s="6" t="s">
        <v>161</v>
      </c>
    </row>
    <row r="2650" ht="22.5" customHeight="1">
      <c r="A2650" s="6" t="s">
        <v>12984</v>
      </c>
      <c r="B2650" s="6" t="s">
        <v>6529</v>
      </c>
      <c r="C2650" s="10">
        <v>46066.0</v>
      </c>
      <c r="D2650" s="6" t="s">
        <v>436</v>
      </c>
      <c r="E2650" s="6" t="s">
        <v>365</v>
      </c>
      <c r="F2650" s="6" t="s">
        <v>439</v>
      </c>
      <c r="G2650" s="6" t="s">
        <v>369</v>
      </c>
      <c r="H2650" s="11" t="s">
        <v>259</v>
      </c>
      <c r="I2650" s="12">
        <v>7.0</v>
      </c>
      <c r="J2650" s="6" t="s">
        <v>161</v>
      </c>
    </row>
    <row r="2651" ht="22.5" customHeight="1">
      <c r="A2651" s="6" t="s">
        <v>12990</v>
      </c>
      <c r="B2651" s="6" t="s">
        <v>6536</v>
      </c>
      <c r="C2651" s="10">
        <v>46063.0</v>
      </c>
      <c r="D2651" s="6" t="s">
        <v>677</v>
      </c>
      <c r="E2651" s="6" t="s">
        <v>1546</v>
      </c>
      <c r="F2651" s="6" t="s">
        <v>249</v>
      </c>
      <c r="G2651" s="6" t="s">
        <v>477</v>
      </c>
      <c r="H2651" s="10">
        <v>46063.0</v>
      </c>
      <c r="I2651" s="12">
        <v>3.0</v>
      </c>
      <c r="J2651" s="6" t="s">
        <v>161</v>
      </c>
    </row>
    <row r="2652" ht="22.5" customHeight="1">
      <c r="A2652" s="6" t="s">
        <v>12993</v>
      </c>
      <c r="B2652" s="6" t="s">
        <v>6536</v>
      </c>
      <c r="C2652" s="10">
        <v>46064.0</v>
      </c>
      <c r="D2652" s="6" t="s">
        <v>242</v>
      </c>
      <c r="E2652" s="6" t="s">
        <v>1102</v>
      </c>
      <c r="F2652" s="6" t="s">
        <v>439</v>
      </c>
      <c r="G2652" s="6" t="s">
        <v>254</v>
      </c>
      <c r="H2652" s="10">
        <v>46070.0</v>
      </c>
      <c r="I2652" s="12">
        <v>5.0</v>
      </c>
      <c r="J2652" s="6" t="s">
        <v>178</v>
      </c>
    </row>
    <row r="2653" ht="22.5" customHeight="1">
      <c r="A2653" s="6" t="s">
        <v>12998</v>
      </c>
      <c r="B2653" s="6" t="s">
        <v>6536</v>
      </c>
      <c r="C2653" s="10">
        <v>46051.0</v>
      </c>
      <c r="D2653" s="6" t="s">
        <v>289</v>
      </c>
      <c r="E2653" s="6" t="s">
        <v>1280</v>
      </c>
      <c r="F2653" s="6" t="s">
        <v>112</v>
      </c>
      <c r="G2653" s="6" t="s">
        <v>452</v>
      </c>
      <c r="H2653" s="10">
        <v>46056.0</v>
      </c>
      <c r="I2653" s="12">
        <v>5.0</v>
      </c>
      <c r="J2653" s="6" t="s">
        <v>161</v>
      </c>
    </row>
    <row r="2654" ht="22.5" customHeight="1">
      <c r="A2654" s="6" t="s">
        <v>13003</v>
      </c>
      <c r="B2654" s="6" t="s">
        <v>6536</v>
      </c>
      <c r="C2654" s="10">
        <v>46058.0</v>
      </c>
      <c r="D2654" s="6" t="s">
        <v>416</v>
      </c>
      <c r="E2654" s="6" t="s">
        <v>291</v>
      </c>
      <c r="F2654" s="6" t="s">
        <v>283</v>
      </c>
      <c r="G2654" s="6" t="s">
        <v>254</v>
      </c>
      <c r="H2654" s="10">
        <v>46058.0</v>
      </c>
      <c r="I2654" s="12">
        <v>11.0</v>
      </c>
      <c r="J2654" s="6" t="s">
        <v>161</v>
      </c>
    </row>
    <row r="2655" ht="22.5" customHeight="1">
      <c r="A2655" s="6" t="s">
        <v>13007</v>
      </c>
      <c r="B2655" s="6" t="s">
        <v>6542</v>
      </c>
      <c r="C2655" s="10">
        <v>46061.0</v>
      </c>
      <c r="D2655" s="6" t="s">
        <v>312</v>
      </c>
      <c r="E2655" s="6" t="s">
        <v>885</v>
      </c>
      <c r="F2655" s="6" t="s">
        <v>283</v>
      </c>
      <c r="G2655" s="6" t="s">
        <v>494</v>
      </c>
      <c r="H2655" s="10">
        <v>46063.0</v>
      </c>
      <c r="I2655" s="12">
        <v>6.0</v>
      </c>
      <c r="J2655" s="6" t="s">
        <v>161</v>
      </c>
    </row>
    <row r="2656" ht="22.5" customHeight="1">
      <c r="A2656" s="6" t="s">
        <v>13010</v>
      </c>
      <c r="B2656" s="6" t="s">
        <v>6542</v>
      </c>
      <c r="C2656" s="10">
        <v>46063.0</v>
      </c>
      <c r="D2656" s="6" t="s">
        <v>677</v>
      </c>
      <c r="E2656" s="6" t="s">
        <v>1102</v>
      </c>
      <c r="F2656" s="6" t="s">
        <v>283</v>
      </c>
      <c r="G2656" s="6" t="s">
        <v>494</v>
      </c>
      <c r="H2656" s="10">
        <v>46067.0</v>
      </c>
      <c r="I2656" s="12">
        <v>3.0</v>
      </c>
      <c r="J2656" s="6" t="s">
        <v>161</v>
      </c>
    </row>
    <row r="2657" ht="22.5" customHeight="1">
      <c r="A2657" s="6" t="s">
        <v>13015</v>
      </c>
      <c r="B2657" s="6" t="s">
        <v>6548</v>
      </c>
      <c r="C2657" s="10">
        <v>46069.0</v>
      </c>
      <c r="D2657" s="6" t="s">
        <v>416</v>
      </c>
      <c r="E2657" s="6" t="s">
        <v>731</v>
      </c>
      <c r="F2657" s="6" t="s">
        <v>249</v>
      </c>
      <c r="G2657" s="6" t="s">
        <v>254</v>
      </c>
      <c r="H2657" s="10">
        <v>46076.0</v>
      </c>
      <c r="I2657" s="12">
        <v>8.0</v>
      </c>
      <c r="J2657" s="6" t="s">
        <v>161</v>
      </c>
    </row>
    <row r="2658" ht="22.5" customHeight="1">
      <c r="A2658" s="6" t="s">
        <v>13019</v>
      </c>
      <c r="B2658" s="6" t="s">
        <v>6555</v>
      </c>
      <c r="C2658" s="10">
        <v>46068.0</v>
      </c>
      <c r="D2658" s="6" t="s">
        <v>391</v>
      </c>
      <c r="E2658" s="6" t="s">
        <v>583</v>
      </c>
      <c r="F2658" s="6" t="s">
        <v>249</v>
      </c>
      <c r="G2658" s="6" t="s">
        <v>452</v>
      </c>
      <c r="H2658" s="10">
        <v>46069.0</v>
      </c>
      <c r="I2658" s="12">
        <v>11.0</v>
      </c>
      <c r="J2658" s="6" t="s">
        <v>161</v>
      </c>
    </row>
    <row r="2659" ht="22.5" customHeight="1">
      <c r="A2659" s="6" t="s">
        <v>13023</v>
      </c>
      <c r="B2659" s="6" t="s">
        <v>6555</v>
      </c>
      <c r="C2659" s="10">
        <v>46079.0</v>
      </c>
      <c r="D2659" s="6" t="s">
        <v>242</v>
      </c>
      <c r="E2659" s="6" t="s">
        <v>610</v>
      </c>
      <c r="F2659" s="6" t="s">
        <v>112</v>
      </c>
      <c r="G2659" s="6" t="s">
        <v>254</v>
      </c>
      <c r="H2659" s="10">
        <v>46084.0</v>
      </c>
      <c r="I2659" s="12">
        <v>4.0</v>
      </c>
      <c r="J2659" s="6" t="s">
        <v>178</v>
      </c>
    </row>
    <row r="2660" ht="22.5" customHeight="1">
      <c r="A2660" s="6" t="s">
        <v>13027</v>
      </c>
      <c r="B2660" s="6" t="s">
        <v>6561</v>
      </c>
      <c r="C2660" s="10">
        <v>46039.0</v>
      </c>
      <c r="D2660" s="6" t="s">
        <v>436</v>
      </c>
      <c r="E2660" s="6" t="s">
        <v>1600</v>
      </c>
      <c r="F2660" s="6" t="s">
        <v>283</v>
      </c>
      <c r="G2660" s="6" t="s">
        <v>297</v>
      </c>
      <c r="H2660" s="10">
        <v>46040.0</v>
      </c>
      <c r="I2660" s="12">
        <v>6.0</v>
      </c>
      <c r="J2660" s="6" t="s">
        <v>178</v>
      </c>
    </row>
    <row r="2661" ht="22.5" customHeight="1">
      <c r="A2661" s="6" t="s">
        <v>13033</v>
      </c>
      <c r="B2661" s="6" t="s">
        <v>6561</v>
      </c>
      <c r="C2661" s="10">
        <v>46033.0</v>
      </c>
      <c r="D2661" s="6" t="s">
        <v>436</v>
      </c>
      <c r="E2661" s="6" t="s">
        <v>1969</v>
      </c>
      <c r="F2661" s="6" t="s">
        <v>112</v>
      </c>
      <c r="G2661" s="6" t="s">
        <v>494</v>
      </c>
      <c r="H2661" s="10">
        <v>46039.0</v>
      </c>
      <c r="I2661" s="12">
        <v>10.0</v>
      </c>
      <c r="J2661" s="6" t="s">
        <v>178</v>
      </c>
    </row>
    <row r="2662" ht="22.5" customHeight="1">
      <c r="A2662" s="6" t="s">
        <v>13036</v>
      </c>
      <c r="B2662" s="6" t="s">
        <v>6566</v>
      </c>
      <c r="C2662" s="10">
        <v>46050.0</v>
      </c>
      <c r="D2662" s="6" t="s">
        <v>289</v>
      </c>
      <c r="E2662" s="6" t="s">
        <v>365</v>
      </c>
      <c r="F2662" s="6" t="s">
        <v>283</v>
      </c>
      <c r="G2662" s="6" t="s">
        <v>254</v>
      </c>
      <c r="H2662" s="10">
        <v>46057.0</v>
      </c>
      <c r="I2662" s="12">
        <v>6.0</v>
      </c>
      <c r="J2662" s="6" t="s">
        <v>161</v>
      </c>
    </row>
    <row r="2663" ht="22.5" customHeight="1">
      <c r="A2663" s="6" t="s">
        <v>13040</v>
      </c>
      <c r="B2663" s="6" t="s">
        <v>6573</v>
      </c>
      <c r="C2663" s="10">
        <v>46059.0</v>
      </c>
      <c r="D2663" s="6" t="s">
        <v>289</v>
      </c>
      <c r="E2663" s="6" t="s">
        <v>438</v>
      </c>
      <c r="F2663" s="6" t="s">
        <v>439</v>
      </c>
      <c r="G2663" s="6" t="s">
        <v>477</v>
      </c>
      <c r="H2663" s="10">
        <v>46060.0</v>
      </c>
      <c r="I2663" s="12">
        <v>9.0</v>
      </c>
      <c r="J2663" s="6" t="s">
        <v>161</v>
      </c>
    </row>
    <row r="2664" ht="22.5" customHeight="1">
      <c r="A2664" s="6" t="s">
        <v>13046</v>
      </c>
      <c r="B2664" s="6" t="s">
        <v>6573</v>
      </c>
      <c r="C2664" s="10">
        <v>46052.0</v>
      </c>
      <c r="D2664" s="6" t="s">
        <v>391</v>
      </c>
      <c r="E2664" s="6" t="s">
        <v>1741</v>
      </c>
      <c r="F2664" s="6" t="s">
        <v>249</v>
      </c>
      <c r="G2664" s="6" t="s">
        <v>452</v>
      </c>
      <c r="H2664" s="11" t="s">
        <v>259</v>
      </c>
      <c r="I2664" s="12">
        <v>8.0</v>
      </c>
      <c r="J2664" s="6" t="s">
        <v>161</v>
      </c>
    </row>
    <row r="2665" ht="22.5" customHeight="1">
      <c r="A2665" s="6" t="s">
        <v>13049</v>
      </c>
      <c r="B2665" s="6" t="s">
        <v>6573</v>
      </c>
      <c r="C2665" s="10">
        <v>46058.0</v>
      </c>
      <c r="D2665" s="6" t="s">
        <v>416</v>
      </c>
      <c r="E2665" s="6" t="s">
        <v>1055</v>
      </c>
      <c r="F2665" s="6" t="s">
        <v>283</v>
      </c>
      <c r="G2665" s="6" t="s">
        <v>297</v>
      </c>
      <c r="H2665" s="10">
        <v>46062.0</v>
      </c>
      <c r="I2665" s="12">
        <v>14.0</v>
      </c>
      <c r="J2665" s="6" t="s">
        <v>161</v>
      </c>
    </row>
    <row r="2666" ht="22.5" customHeight="1">
      <c r="A2666" s="6" t="s">
        <v>13054</v>
      </c>
      <c r="B2666" s="6" t="s">
        <v>6573</v>
      </c>
      <c r="C2666" s="10">
        <v>46062.0</v>
      </c>
      <c r="D2666" s="6" t="s">
        <v>391</v>
      </c>
      <c r="E2666" s="6" t="s">
        <v>1626</v>
      </c>
      <c r="F2666" s="6" t="s">
        <v>249</v>
      </c>
      <c r="G2666" s="6" t="s">
        <v>477</v>
      </c>
      <c r="H2666" s="10">
        <v>46069.0</v>
      </c>
      <c r="I2666" s="12">
        <v>10.0</v>
      </c>
      <c r="J2666" s="6" t="s">
        <v>161</v>
      </c>
    </row>
    <row r="2667" ht="22.5" customHeight="1">
      <c r="A2667" s="6" t="s">
        <v>13059</v>
      </c>
      <c r="B2667" s="6" t="s">
        <v>6573</v>
      </c>
      <c r="C2667" s="10">
        <v>46067.0</v>
      </c>
      <c r="D2667" s="6" t="s">
        <v>416</v>
      </c>
      <c r="E2667" s="6" t="s">
        <v>1273</v>
      </c>
      <c r="F2667" s="6" t="s">
        <v>112</v>
      </c>
      <c r="G2667" s="6" t="s">
        <v>254</v>
      </c>
      <c r="H2667" s="10">
        <v>46072.0</v>
      </c>
      <c r="I2667" s="12">
        <v>9.0</v>
      </c>
      <c r="J2667" s="6" t="s">
        <v>161</v>
      </c>
    </row>
    <row r="2668" ht="22.5" customHeight="1">
      <c r="A2668" s="6" t="s">
        <v>13064</v>
      </c>
      <c r="B2668" s="6" t="s">
        <v>6579</v>
      </c>
      <c r="C2668" s="10">
        <v>46054.0</v>
      </c>
      <c r="D2668" s="6" t="s">
        <v>677</v>
      </c>
      <c r="E2668" s="6" t="s">
        <v>798</v>
      </c>
      <c r="F2668" s="6" t="s">
        <v>249</v>
      </c>
      <c r="G2668" s="6" t="s">
        <v>297</v>
      </c>
      <c r="H2668" s="10">
        <v>46058.0</v>
      </c>
      <c r="I2668" s="12">
        <v>3.0</v>
      </c>
      <c r="J2668" s="6" t="s">
        <v>161</v>
      </c>
    </row>
    <row r="2669" ht="22.5" customHeight="1">
      <c r="A2669" s="6" t="s">
        <v>13067</v>
      </c>
      <c r="B2669" s="6" t="s">
        <v>6579</v>
      </c>
      <c r="C2669" s="10">
        <v>46053.0</v>
      </c>
      <c r="D2669" s="6" t="s">
        <v>312</v>
      </c>
      <c r="E2669" s="6" t="s">
        <v>2365</v>
      </c>
      <c r="F2669" s="6" t="s">
        <v>283</v>
      </c>
      <c r="G2669" s="6" t="s">
        <v>458</v>
      </c>
      <c r="H2669" s="10">
        <v>46054.0</v>
      </c>
      <c r="I2669" s="12">
        <v>7.0</v>
      </c>
      <c r="J2669" s="6" t="s">
        <v>161</v>
      </c>
    </row>
    <row r="2670" ht="22.5" customHeight="1">
      <c r="A2670" s="6" t="s">
        <v>13069</v>
      </c>
      <c r="B2670" s="6" t="s">
        <v>6579</v>
      </c>
      <c r="C2670" s="10">
        <v>46051.0</v>
      </c>
      <c r="D2670" s="6" t="s">
        <v>391</v>
      </c>
      <c r="E2670" s="6" t="s">
        <v>618</v>
      </c>
      <c r="F2670" s="6" t="s">
        <v>439</v>
      </c>
      <c r="G2670" s="6" t="s">
        <v>297</v>
      </c>
      <c r="H2670" s="10">
        <v>46053.0</v>
      </c>
      <c r="I2670" s="12">
        <v>11.0</v>
      </c>
      <c r="J2670" s="6" t="s">
        <v>161</v>
      </c>
    </row>
    <row r="2671" ht="22.5" customHeight="1">
      <c r="A2671" s="6" t="s">
        <v>13073</v>
      </c>
      <c r="B2671" s="6" t="s">
        <v>6586</v>
      </c>
      <c r="C2671" s="10">
        <v>46071.0</v>
      </c>
      <c r="D2671" s="6" t="s">
        <v>289</v>
      </c>
      <c r="E2671" s="6" t="s">
        <v>246</v>
      </c>
      <c r="F2671" s="6" t="s">
        <v>283</v>
      </c>
      <c r="G2671" s="6" t="s">
        <v>297</v>
      </c>
      <c r="H2671" s="10">
        <v>46071.0</v>
      </c>
      <c r="I2671" s="12">
        <v>6.0</v>
      </c>
      <c r="J2671" s="6" t="s">
        <v>161</v>
      </c>
    </row>
    <row r="2672" ht="22.5" customHeight="1">
      <c r="A2672" s="6" t="s">
        <v>13076</v>
      </c>
      <c r="B2672" s="6" t="s">
        <v>6586</v>
      </c>
      <c r="C2672" s="10">
        <v>46067.0</v>
      </c>
      <c r="D2672" s="6" t="s">
        <v>416</v>
      </c>
      <c r="E2672" s="6" t="s">
        <v>583</v>
      </c>
      <c r="F2672" s="6" t="s">
        <v>112</v>
      </c>
      <c r="G2672" s="6" t="s">
        <v>297</v>
      </c>
      <c r="H2672" s="10">
        <v>46073.0</v>
      </c>
      <c r="I2672" s="12">
        <v>10.0</v>
      </c>
      <c r="J2672" s="6" t="s">
        <v>161</v>
      </c>
    </row>
    <row r="2673" ht="22.5" customHeight="1">
      <c r="A2673" s="6" t="s">
        <v>13080</v>
      </c>
      <c r="B2673" s="6" t="s">
        <v>6586</v>
      </c>
      <c r="C2673" s="10">
        <v>46074.0</v>
      </c>
      <c r="D2673" s="6" t="s">
        <v>436</v>
      </c>
      <c r="E2673" s="6" t="s">
        <v>566</v>
      </c>
      <c r="F2673" s="6" t="s">
        <v>283</v>
      </c>
      <c r="G2673" s="6" t="s">
        <v>458</v>
      </c>
      <c r="H2673" s="10">
        <v>46079.0</v>
      </c>
      <c r="I2673" s="12">
        <v>12.0</v>
      </c>
      <c r="J2673" s="6" t="s">
        <v>178</v>
      </c>
    </row>
    <row r="2674" ht="22.5" customHeight="1">
      <c r="A2674" s="6" t="s">
        <v>13083</v>
      </c>
      <c r="B2674" s="6" t="s">
        <v>6586</v>
      </c>
      <c r="C2674" s="10">
        <v>46062.0</v>
      </c>
      <c r="D2674" s="6" t="s">
        <v>242</v>
      </c>
      <c r="E2674" s="6" t="s">
        <v>687</v>
      </c>
      <c r="F2674" s="6" t="s">
        <v>283</v>
      </c>
      <c r="G2674" s="6" t="s">
        <v>254</v>
      </c>
      <c r="H2674" s="10">
        <v>46065.0</v>
      </c>
      <c r="I2674" s="12">
        <v>3.0</v>
      </c>
      <c r="J2674" s="6" t="s">
        <v>178</v>
      </c>
    </row>
    <row r="2675" ht="22.5" customHeight="1">
      <c r="A2675" s="6" t="s">
        <v>13087</v>
      </c>
      <c r="B2675" s="6" t="s">
        <v>6586</v>
      </c>
      <c r="C2675" s="10">
        <v>46080.0</v>
      </c>
      <c r="D2675" s="6" t="s">
        <v>289</v>
      </c>
      <c r="E2675" s="6" t="s">
        <v>438</v>
      </c>
      <c r="F2675" s="6" t="s">
        <v>112</v>
      </c>
      <c r="G2675" s="6" t="s">
        <v>452</v>
      </c>
      <c r="H2675" s="10">
        <v>46083.0</v>
      </c>
      <c r="I2675" s="12">
        <v>5.0</v>
      </c>
      <c r="J2675" s="6" t="s">
        <v>161</v>
      </c>
    </row>
    <row r="2676" ht="22.5" customHeight="1">
      <c r="A2676" s="6" t="s">
        <v>13090</v>
      </c>
      <c r="B2676" s="6" t="s">
        <v>6592</v>
      </c>
      <c r="C2676" s="10">
        <v>46026.0</v>
      </c>
      <c r="D2676" s="6" t="s">
        <v>242</v>
      </c>
      <c r="E2676" s="6" t="s">
        <v>2365</v>
      </c>
      <c r="F2676" s="6" t="s">
        <v>249</v>
      </c>
      <c r="G2676" s="6" t="s">
        <v>326</v>
      </c>
      <c r="H2676" s="10">
        <v>46029.0</v>
      </c>
      <c r="I2676" s="12">
        <v>6.0</v>
      </c>
      <c r="J2676" s="6" t="s">
        <v>161</v>
      </c>
    </row>
    <row r="2677" ht="22.5" customHeight="1">
      <c r="A2677" s="6" t="s">
        <v>13095</v>
      </c>
      <c r="B2677" s="6" t="s">
        <v>6592</v>
      </c>
      <c r="C2677" s="10">
        <v>46034.0</v>
      </c>
      <c r="D2677" s="6" t="s">
        <v>416</v>
      </c>
      <c r="E2677" s="6" t="s">
        <v>731</v>
      </c>
      <c r="F2677" s="6" t="s">
        <v>112</v>
      </c>
      <c r="G2677" s="6" t="s">
        <v>254</v>
      </c>
      <c r="H2677" s="10">
        <v>46035.0</v>
      </c>
      <c r="I2677" s="12">
        <v>14.0</v>
      </c>
      <c r="J2677" s="6" t="s">
        <v>161</v>
      </c>
    </row>
    <row r="2678" ht="22.5" customHeight="1">
      <c r="A2678" s="6" t="s">
        <v>13100</v>
      </c>
      <c r="B2678" s="6" t="s">
        <v>6592</v>
      </c>
      <c r="C2678" s="10">
        <v>46027.0</v>
      </c>
      <c r="D2678" s="6" t="s">
        <v>677</v>
      </c>
      <c r="E2678" s="6" t="s">
        <v>738</v>
      </c>
      <c r="F2678" s="6" t="s">
        <v>249</v>
      </c>
      <c r="G2678" s="6" t="s">
        <v>452</v>
      </c>
      <c r="H2678" s="10">
        <v>46034.0</v>
      </c>
      <c r="I2678" s="12">
        <v>3.0</v>
      </c>
      <c r="J2678" s="6" t="s">
        <v>161</v>
      </c>
    </row>
    <row r="2679" ht="22.5" customHeight="1">
      <c r="A2679" s="6" t="s">
        <v>13103</v>
      </c>
      <c r="B2679" s="6" t="s">
        <v>6592</v>
      </c>
      <c r="C2679" s="10">
        <v>46035.0</v>
      </c>
      <c r="D2679" s="6" t="s">
        <v>242</v>
      </c>
      <c r="E2679" s="6" t="s">
        <v>775</v>
      </c>
      <c r="F2679" s="6" t="s">
        <v>283</v>
      </c>
      <c r="G2679" s="6" t="s">
        <v>254</v>
      </c>
      <c r="H2679" s="10">
        <v>46041.0</v>
      </c>
      <c r="I2679" s="12">
        <v>6.0</v>
      </c>
      <c r="J2679" s="6" t="s">
        <v>178</v>
      </c>
    </row>
    <row r="2680" ht="22.5" customHeight="1">
      <c r="A2680" s="6" t="s">
        <v>13107</v>
      </c>
      <c r="B2680" s="6" t="s">
        <v>6598</v>
      </c>
      <c r="C2680" s="10">
        <v>46050.0</v>
      </c>
      <c r="D2680" s="6" t="s">
        <v>312</v>
      </c>
      <c r="E2680" s="6" t="s">
        <v>1070</v>
      </c>
      <c r="F2680" s="6" t="s">
        <v>249</v>
      </c>
      <c r="G2680" s="6" t="s">
        <v>326</v>
      </c>
      <c r="H2680" s="10">
        <v>46053.0</v>
      </c>
      <c r="I2680" s="12">
        <v>4.0</v>
      </c>
      <c r="J2680" s="6" t="s">
        <v>161</v>
      </c>
    </row>
    <row r="2681" ht="22.5" customHeight="1">
      <c r="A2681" s="6" t="s">
        <v>13113</v>
      </c>
      <c r="B2681" s="6" t="s">
        <v>6598</v>
      </c>
      <c r="C2681" s="10">
        <v>46057.0</v>
      </c>
      <c r="D2681" s="6" t="s">
        <v>436</v>
      </c>
      <c r="E2681" s="6" t="s">
        <v>687</v>
      </c>
      <c r="F2681" s="6" t="s">
        <v>439</v>
      </c>
      <c r="G2681" s="6" t="s">
        <v>297</v>
      </c>
      <c r="H2681" s="10">
        <v>46061.0</v>
      </c>
      <c r="I2681" s="12">
        <v>12.0</v>
      </c>
      <c r="J2681" s="6" t="s">
        <v>178</v>
      </c>
    </row>
    <row r="2682" ht="22.5" customHeight="1">
      <c r="A2682" s="6" t="s">
        <v>13116</v>
      </c>
      <c r="B2682" s="6" t="s">
        <v>6598</v>
      </c>
      <c r="C2682" s="10">
        <v>46039.0</v>
      </c>
      <c r="D2682" s="6" t="s">
        <v>242</v>
      </c>
      <c r="E2682" s="6" t="s">
        <v>365</v>
      </c>
      <c r="F2682" s="6" t="s">
        <v>249</v>
      </c>
      <c r="G2682" s="6" t="s">
        <v>458</v>
      </c>
      <c r="H2682" s="11" t="s">
        <v>259</v>
      </c>
      <c r="I2682" s="12">
        <v>4.0</v>
      </c>
      <c r="J2682" s="6" t="s">
        <v>161</v>
      </c>
    </row>
    <row r="2683" ht="22.5" customHeight="1">
      <c r="A2683" s="6" t="s">
        <v>13121</v>
      </c>
      <c r="B2683" s="6" t="s">
        <v>6598</v>
      </c>
      <c r="C2683" s="10">
        <v>46040.0</v>
      </c>
      <c r="D2683" s="6" t="s">
        <v>289</v>
      </c>
      <c r="E2683" s="6" t="s">
        <v>1546</v>
      </c>
      <c r="F2683" s="6" t="s">
        <v>439</v>
      </c>
      <c r="G2683" s="6" t="s">
        <v>458</v>
      </c>
      <c r="H2683" s="10">
        <v>46043.0</v>
      </c>
      <c r="I2683" s="12">
        <v>6.0</v>
      </c>
      <c r="J2683" s="6" t="s">
        <v>161</v>
      </c>
    </row>
    <row r="2684" ht="22.5" customHeight="1">
      <c r="A2684" s="6" t="s">
        <v>13126</v>
      </c>
      <c r="B2684" s="6" t="s">
        <v>6605</v>
      </c>
      <c r="C2684" s="10">
        <v>46071.0</v>
      </c>
      <c r="D2684" s="6" t="s">
        <v>391</v>
      </c>
      <c r="E2684" s="6" t="s">
        <v>738</v>
      </c>
      <c r="F2684" s="6" t="s">
        <v>439</v>
      </c>
      <c r="G2684" s="6" t="s">
        <v>494</v>
      </c>
      <c r="H2684" s="10">
        <v>46074.0</v>
      </c>
      <c r="I2684" s="12">
        <v>10.0</v>
      </c>
      <c r="J2684" s="6" t="s">
        <v>161</v>
      </c>
    </row>
    <row r="2685" ht="22.5" customHeight="1">
      <c r="A2685" s="6" t="s">
        <v>13130</v>
      </c>
      <c r="B2685" s="6" t="s">
        <v>6605</v>
      </c>
      <c r="C2685" s="10">
        <v>46056.0</v>
      </c>
      <c r="D2685" s="6" t="s">
        <v>436</v>
      </c>
      <c r="E2685" s="6" t="s">
        <v>1600</v>
      </c>
      <c r="F2685" s="6" t="s">
        <v>112</v>
      </c>
      <c r="G2685" s="6" t="s">
        <v>452</v>
      </c>
      <c r="H2685" s="10">
        <v>46056.0</v>
      </c>
      <c r="I2685" s="12">
        <v>10.0</v>
      </c>
      <c r="J2685" s="6" t="s">
        <v>178</v>
      </c>
    </row>
    <row r="2686" ht="22.5" customHeight="1">
      <c r="A2686" s="6" t="s">
        <v>13134</v>
      </c>
      <c r="B2686" s="6" t="s">
        <v>6605</v>
      </c>
      <c r="C2686" s="10">
        <v>46060.0</v>
      </c>
      <c r="D2686" s="6" t="s">
        <v>242</v>
      </c>
      <c r="E2686" s="6" t="s">
        <v>1626</v>
      </c>
      <c r="F2686" s="6" t="s">
        <v>283</v>
      </c>
      <c r="G2686" s="6" t="s">
        <v>369</v>
      </c>
      <c r="H2686" s="10">
        <v>46060.0</v>
      </c>
      <c r="I2686" s="12">
        <v>5.0</v>
      </c>
      <c r="J2686" s="6" t="s">
        <v>161</v>
      </c>
    </row>
    <row r="2687" ht="22.5" customHeight="1">
      <c r="A2687" s="6" t="s">
        <v>13139</v>
      </c>
      <c r="B2687" s="6" t="s">
        <v>6605</v>
      </c>
      <c r="C2687" s="10">
        <v>46052.0</v>
      </c>
      <c r="D2687" s="6" t="s">
        <v>391</v>
      </c>
      <c r="E2687" s="6" t="s">
        <v>1741</v>
      </c>
      <c r="F2687" s="6" t="s">
        <v>249</v>
      </c>
      <c r="G2687" s="6" t="s">
        <v>326</v>
      </c>
      <c r="H2687" s="10">
        <v>46056.0</v>
      </c>
      <c r="I2687" s="12">
        <v>6.0</v>
      </c>
      <c r="J2687" s="6" t="s">
        <v>161</v>
      </c>
    </row>
    <row r="2688" ht="22.5" customHeight="1">
      <c r="A2688" s="6" t="s">
        <v>13144</v>
      </c>
      <c r="B2688" s="6" t="s">
        <v>6610</v>
      </c>
      <c r="C2688" s="10">
        <v>46050.0</v>
      </c>
      <c r="D2688" s="6" t="s">
        <v>391</v>
      </c>
      <c r="E2688" s="6" t="s">
        <v>1741</v>
      </c>
      <c r="F2688" s="6" t="s">
        <v>112</v>
      </c>
      <c r="G2688" s="6" t="s">
        <v>369</v>
      </c>
      <c r="H2688" s="10">
        <v>46052.0</v>
      </c>
      <c r="I2688" s="12">
        <v>7.0</v>
      </c>
      <c r="J2688" s="6" t="s">
        <v>161</v>
      </c>
    </row>
    <row r="2689" ht="22.5" customHeight="1">
      <c r="A2689" s="6" t="s">
        <v>13148</v>
      </c>
      <c r="B2689" s="6" t="s">
        <v>6617</v>
      </c>
      <c r="C2689" s="10">
        <v>46036.0</v>
      </c>
      <c r="D2689" s="6" t="s">
        <v>677</v>
      </c>
      <c r="E2689" s="6" t="s">
        <v>566</v>
      </c>
      <c r="F2689" s="6" t="s">
        <v>283</v>
      </c>
      <c r="G2689" s="6" t="s">
        <v>452</v>
      </c>
      <c r="H2689" s="10">
        <v>46039.0</v>
      </c>
      <c r="I2689" s="12">
        <v>2.0</v>
      </c>
      <c r="J2689" s="6" t="s">
        <v>161</v>
      </c>
    </row>
    <row r="2690" ht="22.5" customHeight="1">
      <c r="A2690" s="6" t="s">
        <v>13152</v>
      </c>
      <c r="B2690" s="6" t="s">
        <v>6617</v>
      </c>
      <c r="C2690" s="10">
        <v>46029.0</v>
      </c>
      <c r="D2690" s="6" t="s">
        <v>436</v>
      </c>
      <c r="E2690" s="6" t="s">
        <v>291</v>
      </c>
      <c r="F2690" s="6" t="s">
        <v>112</v>
      </c>
      <c r="G2690" s="6" t="s">
        <v>297</v>
      </c>
      <c r="H2690" s="10">
        <v>46032.0</v>
      </c>
      <c r="I2690" s="12">
        <v>9.0</v>
      </c>
      <c r="J2690" s="6" t="s">
        <v>178</v>
      </c>
    </row>
    <row r="2691" ht="22.5" customHeight="1">
      <c r="A2691" s="6" t="s">
        <v>13155</v>
      </c>
      <c r="B2691" s="6" t="s">
        <v>6617</v>
      </c>
      <c r="C2691" s="10">
        <v>46028.0</v>
      </c>
      <c r="D2691" s="6" t="s">
        <v>436</v>
      </c>
      <c r="E2691" s="6" t="s">
        <v>1570</v>
      </c>
      <c r="F2691" s="6" t="s">
        <v>439</v>
      </c>
      <c r="G2691" s="6" t="s">
        <v>452</v>
      </c>
      <c r="H2691" s="11" t="s">
        <v>259</v>
      </c>
      <c r="I2691" s="12">
        <v>11.0</v>
      </c>
      <c r="J2691" s="6" t="s">
        <v>178</v>
      </c>
    </row>
    <row r="2692" ht="22.5" customHeight="1">
      <c r="A2692" s="6" t="s">
        <v>13159</v>
      </c>
      <c r="B2692" s="6" t="s">
        <v>6617</v>
      </c>
      <c r="C2692" s="10">
        <v>46044.0</v>
      </c>
      <c r="D2692" s="6" t="s">
        <v>416</v>
      </c>
      <c r="E2692" s="6" t="s">
        <v>695</v>
      </c>
      <c r="F2692" s="6" t="s">
        <v>249</v>
      </c>
      <c r="G2692" s="6" t="s">
        <v>326</v>
      </c>
      <c r="H2692" s="10">
        <v>46048.0</v>
      </c>
      <c r="I2692" s="12">
        <v>14.0</v>
      </c>
      <c r="J2692" s="6" t="s">
        <v>161</v>
      </c>
    </row>
    <row r="2693" ht="22.5" customHeight="1">
      <c r="A2693" s="6" t="s">
        <v>13164</v>
      </c>
      <c r="B2693" s="6" t="s">
        <v>6623</v>
      </c>
      <c r="C2693" s="10">
        <v>46060.0</v>
      </c>
      <c r="D2693" s="6" t="s">
        <v>436</v>
      </c>
      <c r="E2693" s="6" t="s">
        <v>246</v>
      </c>
      <c r="F2693" s="6" t="s">
        <v>249</v>
      </c>
      <c r="G2693" s="6" t="s">
        <v>369</v>
      </c>
      <c r="H2693" s="10">
        <v>46066.0</v>
      </c>
      <c r="I2693" s="12">
        <v>11.0</v>
      </c>
      <c r="J2693" s="6" t="s">
        <v>178</v>
      </c>
    </row>
    <row r="2694" ht="22.5" customHeight="1">
      <c r="A2694" s="6" t="s">
        <v>13165</v>
      </c>
      <c r="B2694" s="6" t="s">
        <v>6623</v>
      </c>
      <c r="C2694" s="10">
        <v>46057.0</v>
      </c>
      <c r="D2694" s="6" t="s">
        <v>436</v>
      </c>
      <c r="E2694" s="6" t="s">
        <v>1517</v>
      </c>
      <c r="F2694" s="6" t="s">
        <v>439</v>
      </c>
      <c r="G2694" s="6" t="s">
        <v>369</v>
      </c>
      <c r="H2694" s="10">
        <v>46062.0</v>
      </c>
      <c r="I2694" s="12">
        <v>7.0</v>
      </c>
      <c r="J2694" s="6" t="s">
        <v>178</v>
      </c>
    </row>
    <row r="2695" ht="22.5" customHeight="1">
      <c r="A2695" s="6" t="s">
        <v>13168</v>
      </c>
      <c r="B2695" s="6" t="s">
        <v>6623</v>
      </c>
      <c r="C2695" s="10">
        <v>46050.0</v>
      </c>
      <c r="D2695" s="6" t="s">
        <v>677</v>
      </c>
      <c r="E2695" s="6" t="s">
        <v>466</v>
      </c>
      <c r="F2695" s="6" t="s">
        <v>249</v>
      </c>
      <c r="G2695" s="6" t="s">
        <v>326</v>
      </c>
      <c r="H2695" s="10">
        <v>46053.0</v>
      </c>
      <c r="I2695" s="12">
        <v>2.0</v>
      </c>
      <c r="J2695" s="6" t="s">
        <v>161</v>
      </c>
    </row>
    <row r="2696" ht="22.5" customHeight="1">
      <c r="A2696" s="6" t="s">
        <v>13172</v>
      </c>
      <c r="B2696" s="6" t="s">
        <v>6623</v>
      </c>
      <c r="C2696" s="10">
        <v>46047.0</v>
      </c>
      <c r="D2696" s="6" t="s">
        <v>677</v>
      </c>
      <c r="E2696" s="6" t="s">
        <v>731</v>
      </c>
      <c r="F2696" s="6" t="s">
        <v>283</v>
      </c>
      <c r="G2696" s="6" t="s">
        <v>254</v>
      </c>
      <c r="H2696" s="10">
        <v>46051.0</v>
      </c>
      <c r="I2696" s="12">
        <v>2.0</v>
      </c>
      <c r="J2696" s="6" t="s">
        <v>161</v>
      </c>
    </row>
    <row r="2697" ht="22.5" customHeight="1">
      <c r="A2697" s="6" t="s">
        <v>13175</v>
      </c>
      <c r="B2697" s="6" t="s">
        <v>6623</v>
      </c>
      <c r="C2697" s="10">
        <v>46060.0</v>
      </c>
      <c r="D2697" s="6" t="s">
        <v>436</v>
      </c>
      <c r="E2697" s="6" t="s">
        <v>1122</v>
      </c>
      <c r="F2697" s="6" t="s">
        <v>439</v>
      </c>
      <c r="G2697" s="6" t="s">
        <v>326</v>
      </c>
      <c r="H2697" s="10">
        <v>46063.0</v>
      </c>
      <c r="I2697" s="12">
        <v>10.0</v>
      </c>
      <c r="J2697" s="6" t="s">
        <v>161</v>
      </c>
    </row>
    <row r="2698" ht="22.5" customHeight="1">
      <c r="A2698" s="6" t="s">
        <v>13179</v>
      </c>
      <c r="B2698" s="6" t="s">
        <v>6629</v>
      </c>
      <c r="C2698" s="10">
        <v>46076.0</v>
      </c>
      <c r="D2698" s="6" t="s">
        <v>242</v>
      </c>
      <c r="E2698" s="6" t="s">
        <v>365</v>
      </c>
      <c r="F2698" s="6" t="s">
        <v>249</v>
      </c>
      <c r="G2698" s="6" t="s">
        <v>297</v>
      </c>
      <c r="H2698" s="10">
        <v>46082.0</v>
      </c>
      <c r="I2698" s="12">
        <v>5.0</v>
      </c>
      <c r="J2698" s="6" t="s">
        <v>161</v>
      </c>
    </row>
    <row r="2699" ht="22.5" customHeight="1">
      <c r="A2699" s="6" t="s">
        <v>13182</v>
      </c>
      <c r="B2699" s="6" t="s">
        <v>6629</v>
      </c>
      <c r="C2699" s="10">
        <v>46079.0</v>
      </c>
      <c r="D2699" s="6" t="s">
        <v>391</v>
      </c>
      <c r="E2699" s="6" t="s">
        <v>610</v>
      </c>
      <c r="F2699" s="6" t="s">
        <v>439</v>
      </c>
      <c r="G2699" s="6" t="s">
        <v>477</v>
      </c>
      <c r="H2699" s="10">
        <v>46083.0</v>
      </c>
      <c r="I2699" s="12">
        <v>10.0</v>
      </c>
      <c r="J2699" s="6" t="s">
        <v>161</v>
      </c>
    </row>
    <row r="2700" ht="22.5" customHeight="1">
      <c r="A2700" s="6" t="s">
        <v>13186</v>
      </c>
      <c r="B2700" s="6" t="s">
        <v>6629</v>
      </c>
      <c r="C2700" s="10">
        <v>46068.0</v>
      </c>
      <c r="D2700" s="6" t="s">
        <v>242</v>
      </c>
      <c r="E2700" s="6" t="s">
        <v>1741</v>
      </c>
      <c r="F2700" s="6" t="s">
        <v>439</v>
      </c>
      <c r="G2700" s="6" t="s">
        <v>494</v>
      </c>
      <c r="H2700" s="10">
        <v>46075.0</v>
      </c>
      <c r="I2700" s="12">
        <v>4.0</v>
      </c>
      <c r="J2700" s="6" t="s">
        <v>161</v>
      </c>
    </row>
    <row r="2701" ht="22.5" customHeight="1">
      <c r="A2701" s="6" t="s">
        <v>13196</v>
      </c>
      <c r="B2701" s="6" t="s">
        <v>6629</v>
      </c>
      <c r="C2701" s="10">
        <v>46087.0</v>
      </c>
      <c r="D2701" s="6" t="s">
        <v>677</v>
      </c>
      <c r="E2701" s="6" t="s">
        <v>1273</v>
      </c>
      <c r="F2701" s="6" t="s">
        <v>439</v>
      </c>
      <c r="G2701" s="6" t="s">
        <v>326</v>
      </c>
      <c r="H2701" s="10">
        <v>46092.0</v>
      </c>
      <c r="I2701" s="12">
        <v>3.0</v>
      </c>
      <c r="J2701" s="6" t="s">
        <v>161</v>
      </c>
    </row>
    <row r="2702" ht="22.5" customHeight="1">
      <c r="A2702" s="6" t="s">
        <v>13204</v>
      </c>
      <c r="B2702" s="6" t="s">
        <v>6629</v>
      </c>
      <c r="C2702" s="10">
        <v>46080.0</v>
      </c>
      <c r="D2702" s="6" t="s">
        <v>391</v>
      </c>
      <c r="E2702" s="6" t="s">
        <v>634</v>
      </c>
      <c r="F2702" s="6" t="s">
        <v>112</v>
      </c>
      <c r="G2702" s="6" t="s">
        <v>254</v>
      </c>
      <c r="H2702" s="10">
        <v>46084.0</v>
      </c>
      <c r="I2702" s="12">
        <v>7.0</v>
      </c>
      <c r="J2702" s="6" t="s">
        <v>161</v>
      </c>
    </row>
    <row r="2703" ht="22.5" customHeight="1">
      <c r="A2703" s="6" t="s">
        <v>13209</v>
      </c>
      <c r="B2703" s="6" t="s">
        <v>6635</v>
      </c>
      <c r="C2703" s="10">
        <v>46074.0</v>
      </c>
      <c r="D2703" s="6" t="s">
        <v>242</v>
      </c>
      <c r="E2703" s="6" t="s">
        <v>291</v>
      </c>
      <c r="F2703" s="6" t="s">
        <v>439</v>
      </c>
      <c r="G2703" s="6" t="s">
        <v>477</v>
      </c>
      <c r="H2703" s="10">
        <v>46081.0</v>
      </c>
      <c r="I2703" s="12">
        <v>6.0</v>
      </c>
      <c r="J2703" s="6" t="s">
        <v>178</v>
      </c>
    </row>
    <row r="2704" ht="22.5" customHeight="1">
      <c r="A2704" s="6" t="s">
        <v>13215</v>
      </c>
      <c r="B2704" s="6" t="s">
        <v>6635</v>
      </c>
      <c r="C2704" s="10">
        <v>46063.0</v>
      </c>
      <c r="D2704" s="6" t="s">
        <v>416</v>
      </c>
      <c r="E2704" s="6" t="s">
        <v>291</v>
      </c>
      <c r="F2704" s="6" t="s">
        <v>439</v>
      </c>
      <c r="G2704" s="6" t="s">
        <v>326</v>
      </c>
      <c r="H2704" s="10">
        <v>46067.0</v>
      </c>
      <c r="I2704" s="12">
        <v>8.0</v>
      </c>
      <c r="J2704" s="6" t="s">
        <v>161</v>
      </c>
    </row>
    <row r="2705" ht="22.5" customHeight="1">
      <c r="A2705" s="6" t="s">
        <v>13218</v>
      </c>
      <c r="B2705" s="6" t="s">
        <v>6635</v>
      </c>
      <c r="C2705" s="10">
        <v>46060.0</v>
      </c>
      <c r="D2705" s="6" t="s">
        <v>391</v>
      </c>
      <c r="E2705" s="6" t="s">
        <v>833</v>
      </c>
      <c r="F2705" s="6" t="s">
        <v>439</v>
      </c>
      <c r="G2705" s="6" t="s">
        <v>297</v>
      </c>
      <c r="H2705" s="10">
        <v>46065.0</v>
      </c>
      <c r="I2705" s="12">
        <v>9.0</v>
      </c>
      <c r="J2705" s="6" t="s">
        <v>161</v>
      </c>
    </row>
    <row r="2706" ht="22.5" customHeight="1">
      <c r="A2706" s="6" t="s">
        <v>13224</v>
      </c>
      <c r="B2706" s="6" t="s">
        <v>6635</v>
      </c>
      <c r="C2706" s="10">
        <v>46070.0</v>
      </c>
      <c r="D2706" s="6" t="s">
        <v>312</v>
      </c>
      <c r="E2706" s="6" t="s">
        <v>1517</v>
      </c>
      <c r="F2706" s="6" t="s">
        <v>112</v>
      </c>
      <c r="G2706" s="6" t="s">
        <v>477</v>
      </c>
      <c r="H2706" s="10">
        <v>46077.0</v>
      </c>
      <c r="I2706" s="12">
        <v>5.0</v>
      </c>
      <c r="J2706" s="6" t="s">
        <v>161</v>
      </c>
    </row>
    <row r="2707" ht="22.5" customHeight="1">
      <c r="A2707" s="6" t="s">
        <v>13228</v>
      </c>
      <c r="B2707" s="6" t="s">
        <v>6635</v>
      </c>
      <c r="C2707" s="10">
        <v>46072.0</v>
      </c>
      <c r="D2707" s="6" t="s">
        <v>289</v>
      </c>
      <c r="E2707" s="6" t="s">
        <v>1241</v>
      </c>
      <c r="F2707" s="6" t="s">
        <v>283</v>
      </c>
      <c r="G2707" s="6" t="s">
        <v>369</v>
      </c>
      <c r="H2707" s="10">
        <v>46073.0</v>
      </c>
      <c r="I2707" s="12">
        <v>6.0</v>
      </c>
      <c r="J2707" s="6" t="s">
        <v>161</v>
      </c>
    </row>
    <row r="2708" ht="22.5" customHeight="1">
      <c r="A2708" s="6" t="s">
        <v>13234</v>
      </c>
      <c r="B2708" s="6" t="s">
        <v>6642</v>
      </c>
      <c r="C2708" s="10">
        <v>46070.0</v>
      </c>
      <c r="D2708" s="6" t="s">
        <v>242</v>
      </c>
      <c r="E2708" s="6" t="s">
        <v>583</v>
      </c>
      <c r="F2708" s="6" t="s">
        <v>249</v>
      </c>
      <c r="G2708" s="6" t="s">
        <v>494</v>
      </c>
      <c r="H2708" s="10">
        <v>46070.0</v>
      </c>
      <c r="I2708" s="12">
        <v>5.0</v>
      </c>
      <c r="J2708" s="6" t="s">
        <v>178</v>
      </c>
    </row>
    <row r="2709" ht="22.5" customHeight="1">
      <c r="A2709" s="6" t="s">
        <v>13240</v>
      </c>
      <c r="B2709" s="6" t="s">
        <v>6642</v>
      </c>
      <c r="C2709" s="10">
        <v>46071.0</v>
      </c>
      <c r="D2709" s="6" t="s">
        <v>677</v>
      </c>
      <c r="E2709" s="6" t="s">
        <v>1741</v>
      </c>
      <c r="F2709" s="6" t="s">
        <v>439</v>
      </c>
      <c r="G2709" s="6" t="s">
        <v>458</v>
      </c>
      <c r="H2709" s="10">
        <v>46071.0</v>
      </c>
      <c r="I2709" s="12">
        <v>2.0</v>
      </c>
      <c r="J2709" s="6" t="s">
        <v>161</v>
      </c>
    </row>
    <row r="2710" ht="22.5" customHeight="1">
      <c r="A2710" s="6" t="s">
        <v>13246</v>
      </c>
      <c r="B2710" s="6" t="s">
        <v>6642</v>
      </c>
      <c r="C2710" s="10">
        <v>46077.0</v>
      </c>
      <c r="D2710" s="6" t="s">
        <v>242</v>
      </c>
      <c r="E2710" s="6" t="s">
        <v>1280</v>
      </c>
      <c r="F2710" s="6" t="s">
        <v>112</v>
      </c>
      <c r="G2710" s="6" t="s">
        <v>452</v>
      </c>
      <c r="H2710" s="10">
        <v>46083.0</v>
      </c>
      <c r="I2710" s="12">
        <v>4.0</v>
      </c>
      <c r="J2710" s="6" t="s">
        <v>161</v>
      </c>
    </row>
    <row r="2711" ht="22.5" customHeight="1">
      <c r="A2711" s="6" t="s">
        <v>13252</v>
      </c>
      <c r="B2711" s="6" t="s">
        <v>6648</v>
      </c>
      <c r="C2711" s="10">
        <v>46042.0</v>
      </c>
      <c r="D2711" s="6" t="s">
        <v>436</v>
      </c>
      <c r="E2711" s="6" t="s">
        <v>1741</v>
      </c>
      <c r="F2711" s="6" t="s">
        <v>283</v>
      </c>
      <c r="G2711" s="6" t="s">
        <v>254</v>
      </c>
      <c r="H2711" s="10">
        <v>46042.0</v>
      </c>
      <c r="I2711" s="12">
        <v>11.0</v>
      </c>
      <c r="J2711" s="6" t="s">
        <v>178</v>
      </c>
    </row>
    <row r="2712" ht="22.5" customHeight="1">
      <c r="A2712" s="6" t="s">
        <v>13255</v>
      </c>
      <c r="B2712" s="6" t="s">
        <v>6648</v>
      </c>
      <c r="C2712" s="10">
        <v>46056.0</v>
      </c>
      <c r="D2712" s="6" t="s">
        <v>436</v>
      </c>
      <c r="E2712" s="6" t="s">
        <v>365</v>
      </c>
      <c r="F2712" s="6" t="s">
        <v>112</v>
      </c>
      <c r="G2712" s="6" t="s">
        <v>326</v>
      </c>
      <c r="H2712" s="10">
        <v>46058.0</v>
      </c>
      <c r="I2712" s="12">
        <v>6.0</v>
      </c>
      <c r="J2712" s="6" t="s">
        <v>178</v>
      </c>
    </row>
    <row r="2713" ht="22.5" customHeight="1">
      <c r="A2713" s="6" t="s">
        <v>13261</v>
      </c>
      <c r="B2713" s="6" t="s">
        <v>6648</v>
      </c>
      <c r="C2713" s="10">
        <v>46057.0</v>
      </c>
      <c r="D2713" s="6" t="s">
        <v>242</v>
      </c>
      <c r="E2713" s="6" t="s">
        <v>1700</v>
      </c>
      <c r="F2713" s="6" t="s">
        <v>283</v>
      </c>
      <c r="G2713" s="6" t="s">
        <v>254</v>
      </c>
      <c r="H2713" s="11" t="s">
        <v>259</v>
      </c>
      <c r="I2713" s="12">
        <v>5.0</v>
      </c>
      <c r="J2713" s="6" t="s">
        <v>178</v>
      </c>
    </row>
    <row r="2714" ht="22.5" customHeight="1">
      <c r="A2714" s="6" t="s">
        <v>13266</v>
      </c>
      <c r="B2714" s="6" t="s">
        <v>6648</v>
      </c>
      <c r="C2714" s="10">
        <v>46062.0</v>
      </c>
      <c r="D2714" s="6" t="s">
        <v>436</v>
      </c>
      <c r="E2714" s="6" t="s">
        <v>246</v>
      </c>
      <c r="F2714" s="6" t="s">
        <v>283</v>
      </c>
      <c r="G2714" s="6" t="s">
        <v>458</v>
      </c>
      <c r="H2714" s="11" t="s">
        <v>259</v>
      </c>
      <c r="I2714" s="12">
        <v>7.0</v>
      </c>
      <c r="J2714" s="6" t="s">
        <v>161</v>
      </c>
    </row>
    <row r="2715" ht="22.5" customHeight="1">
      <c r="A2715" s="6" t="s">
        <v>13271</v>
      </c>
      <c r="B2715" s="6" t="s">
        <v>6648</v>
      </c>
      <c r="C2715" s="10">
        <v>46058.0</v>
      </c>
      <c r="D2715" s="6" t="s">
        <v>436</v>
      </c>
      <c r="E2715" s="6" t="s">
        <v>466</v>
      </c>
      <c r="F2715" s="6" t="s">
        <v>249</v>
      </c>
      <c r="G2715" s="6" t="s">
        <v>254</v>
      </c>
      <c r="H2715" s="11" t="s">
        <v>259</v>
      </c>
      <c r="I2715" s="12">
        <v>7.0</v>
      </c>
      <c r="J2715" s="6" t="s">
        <v>178</v>
      </c>
    </row>
    <row r="2716" ht="22.5" customHeight="1">
      <c r="A2716" s="6" t="s">
        <v>13275</v>
      </c>
      <c r="B2716" s="6" t="s">
        <v>6654</v>
      </c>
      <c r="C2716" s="10">
        <v>46070.0</v>
      </c>
      <c r="D2716" s="6" t="s">
        <v>677</v>
      </c>
      <c r="E2716" s="6" t="s">
        <v>475</v>
      </c>
      <c r="F2716" s="6" t="s">
        <v>283</v>
      </c>
      <c r="G2716" s="6" t="s">
        <v>369</v>
      </c>
      <c r="H2716" s="10">
        <v>46072.0</v>
      </c>
      <c r="I2716" s="12">
        <v>4.0</v>
      </c>
      <c r="J2716" s="6" t="s">
        <v>161</v>
      </c>
    </row>
    <row r="2717" ht="22.5" customHeight="1">
      <c r="A2717" s="6" t="s">
        <v>13278</v>
      </c>
      <c r="B2717" s="6" t="s">
        <v>6654</v>
      </c>
      <c r="C2717" s="10">
        <v>46064.0</v>
      </c>
      <c r="D2717" s="6" t="s">
        <v>289</v>
      </c>
      <c r="E2717" s="6" t="s">
        <v>512</v>
      </c>
      <c r="F2717" s="6" t="s">
        <v>112</v>
      </c>
      <c r="G2717" s="6" t="s">
        <v>494</v>
      </c>
      <c r="H2717" s="10">
        <v>46065.0</v>
      </c>
      <c r="I2717" s="12">
        <v>7.0</v>
      </c>
      <c r="J2717" s="6" t="s">
        <v>161</v>
      </c>
    </row>
    <row r="2718" ht="22.5" customHeight="1">
      <c r="A2718" s="6" t="s">
        <v>13284</v>
      </c>
      <c r="B2718" s="6" t="s">
        <v>6654</v>
      </c>
      <c r="C2718" s="10">
        <v>46059.0</v>
      </c>
      <c r="D2718" s="6" t="s">
        <v>436</v>
      </c>
      <c r="E2718" s="6" t="s">
        <v>610</v>
      </c>
      <c r="F2718" s="6" t="s">
        <v>112</v>
      </c>
      <c r="G2718" s="6" t="s">
        <v>458</v>
      </c>
      <c r="H2718" s="10">
        <v>46064.0</v>
      </c>
      <c r="I2718" s="12">
        <v>6.0</v>
      </c>
      <c r="J2718" s="6" t="s">
        <v>178</v>
      </c>
    </row>
    <row r="2719" ht="22.5" customHeight="1">
      <c r="A2719" s="6" t="s">
        <v>13290</v>
      </c>
      <c r="B2719" s="6" t="s">
        <v>6654</v>
      </c>
      <c r="C2719" s="10">
        <v>46066.0</v>
      </c>
      <c r="D2719" s="6" t="s">
        <v>242</v>
      </c>
      <c r="E2719" s="6" t="s">
        <v>628</v>
      </c>
      <c r="F2719" s="6" t="s">
        <v>112</v>
      </c>
      <c r="G2719" s="6" t="s">
        <v>458</v>
      </c>
      <c r="H2719" s="10">
        <v>46073.0</v>
      </c>
      <c r="I2719" s="12">
        <v>5.0</v>
      </c>
      <c r="J2719" s="6" t="s">
        <v>178</v>
      </c>
    </row>
    <row r="2720" ht="22.5" customHeight="1">
      <c r="A2720" s="6" t="s">
        <v>13295</v>
      </c>
      <c r="B2720" s="6" t="s">
        <v>6654</v>
      </c>
      <c r="C2720" s="10">
        <v>46060.0</v>
      </c>
      <c r="D2720" s="6" t="s">
        <v>436</v>
      </c>
      <c r="E2720" s="6" t="s">
        <v>291</v>
      </c>
      <c r="F2720" s="6" t="s">
        <v>249</v>
      </c>
      <c r="G2720" s="6" t="s">
        <v>254</v>
      </c>
      <c r="H2720" s="10">
        <v>46065.0</v>
      </c>
      <c r="I2720" s="12">
        <v>8.0</v>
      </c>
      <c r="J2720" s="6" t="s">
        <v>161</v>
      </c>
    </row>
    <row r="2721" ht="22.5" customHeight="1">
      <c r="A2721" s="6" t="s">
        <v>13299</v>
      </c>
      <c r="B2721" s="6" t="s">
        <v>6661</v>
      </c>
      <c r="C2721" s="10">
        <v>46031.0</v>
      </c>
      <c r="D2721" s="6" t="s">
        <v>312</v>
      </c>
      <c r="E2721" s="6" t="s">
        <v>365</v>
      </c>
      <c r="F2721" s="6" t="s">
        <v>249</v>
      </c>
      <c r="G2721" s="6" t="s">
        <v>369</v>
      </c>
      <c r="H2721" s="11" t="s">
        <v>259</v>
      </c>
      <c r="I2721" s="12">
        <v>4.0</v>
      </c>
      <c r="J2721" s="6" t="s">
        <v>161</v>
      </c>
    </row>
    <row r="2722" ht="22.5" customHeight="1">
      <c r="A2722" s="6" t="s">
        <v>13303</v>
      </c>
      <c r="B2722" s="6" t="s">
        <v>6661</v>
      </c>
      <c r="C2722" s="10">
        <v>46034.0</v>
      </c>
      <c r="D2722" s="6" t="s">
        <v>289</v>
      </c>
      <c r="E2722" s="6" t="s">
        <v>863</v>
      </c>
      <c r="F2722" s="6" t="s">
        <v>112</v>
      </c>
      <c r="G2722" s="6" t="s">
        <v>369</v>
      </c>
      <c r="H2722" s="10">
        <v>46035.0</v>
      </c>
      <c r="I2722" s="12">
        <v>9.0</v>
      </c>
      <c r="J2722" s="6" t="s">
        <v>161</v>
      </c>
    </row>
    <row r="2723" ht="22.5" customHeight="1">
      <c r="A2723" s="6" t="s">
        <v>13309</v>
      </c>
      <c r="B2723" s="6" t="s">
        <v>6667</v>
      </c>
      <c r="C2723" s="10">
        <v>46053.0</v>
      </c>
      <c r="D2723" s="6" t="s">
        <v>391</v>
      </c>
      <c r="E2723" s="6" t="s">
        <v>812</v>
      </c>
      <c r="F2723" s="6" t="s">
        <v>112</v>
      </c>
      <c r="G2723" s="6" t="s">
        <v>326</v>
      </c>
      <c r="H2723" s="10">
        <v>46056.0</v>
      </c>
      <c r="I2723" s="12">
        <v>7.0</v>
      </c>
      <c r="J2723" s="6" t="s">
        <v>161</v>
      </c>
    </row>
    <row r="2724" ht="22.5" customHeight="1">
      <c r="A2724" s="6" t="s">
        <v>13310</v>
      </c>
      <c r="B2724" s="6" t="s">
        <v>6667</v>
      </c>
      <c r="C2724" s="10">
        <v>46052.0</v>
      </c>
      <c r="D2724" s="6" t="s">
        <v>312</v>
      </c>
      <c r="E2724" s="6" t="s">
        <v>365</v>
      </c>
      <c r="F2724" s="6" t="s">
        <v>249</v>
      </c>
      <c r="G2724" s="6" t="s">
        <v>452</v>
      </c>
      <c r="H2724" s="11" t="s">
        <v>259</v>
      </c>
      <c r="I2724" s="12">
        <v>5.0</v>
      </c>
      <c r="J2724" s="6" t="s">
        <v>161</v>
      </c>
    </row>
    <row r="2725" ht="22.5" customHeight="1">
      <c r="A2725" s="6" t="s">
        <v>13316</v>
      </c>
      <c r="B2725" s="6" t="s">
        <v>6667</v>
      </c>
      <c r="C2725" s="10">
        <v>46034.0</v>
      </c>
      <c r="D2725" s="6" t="s">
        <v>312</v>
      </c>
      <c r="E2725" s="6" t="s">
        <v>1600</v>
      </c>
      <c r="F2725" s="6" t="s">
        <v>249</v>
      </c>
      <c r="G2725" s="6" t="s">
        <v>369</v>
      </c>
      <c r="H2725" s="10">
        <v>46038.0</v>
      </c>
      <c r="I2725" s="12">
        <v>7.0</v>
      </c>
      <c r="J2725" s="6" t="s">
        <v>161</v>
      </c>
    </row>
    <row r="2726" ht="22.5" customHeight="1">
      <c r="A2726" s="6" t="s">
        <v>13319</v>
      </c>
      <c r="B2726" s="6" t="s">
        <v>6667</v>
      </c>
      <c r="C2726" s="10">
        <v>46033.0</v>
      </c>
      <c r="D2726" s="6" t="s">
        <v>242</v>
      </c>
      <c r="E2726" s="6" t="s">
        <v>320</v>
      </c>
      <c r="F2726" s="6" t="s">
        <v>249</v>
      </c>
      <c r="G2726" s="6" t="s">
        <v>452</v>
      </c>
      <c r="H2726" s="10">
        <v>46039.0</v>
      </c>
      <c r="I2726" s="12">
        <v>3.0</v>
      </c>
      <c r="J2726" s="6" t="s">
        <v>178</v>
      </c>
    </row>
    <row r="2727" ht="22.5" customHeight="1">
      <c r="A2727" s="6" t="s">
        <v>13323</v>
      </c>
      <c r="B2727" s="6" t="s">
        <v>6667</v>
      </c>
      <c r="C2727" s="10">
        <v>46043.0</v>
      </c>
      <c r="D2727" s="6" t="s">
        <v>289</v>
      </c>
      <c r="E2727" s="6" t="s">
        <v>1741</v>
      </c>
      <c r="F2727" s="6" t="s">
        <v>439</v>
      </c>
      <c r="G2727" s="6" t="s">
        <v>369</v>
      </c>
      <c r="H2727" s="11" t="s">
        <v>259</v>
      </c>
      <c r="I2727" s="12">
        <v>6.0</v>
      </c>
      <c r="J2727" s="6" t="s">
        <v>161</v>
      </c>
    </row>
    <row r="2728" ht="22.5" customHeight="1">
      <c r="A2728" s="6" t="s">
        <v>13326</v>
      </c>
      <c r="B2728" s="6" t="s">
        <v>6674</v>
      </c>
      <c r="C2728" s="10">
        <v>46070.0</v>
      </c>
      <c r="D2728" s="6" t="s">
        <v>436</v>
      </c>
      <c r="E2728" s="6" t="s">
        <v>775</v>
      </c>
      <c r="F2728" s="6" t="s">
        <v>439</v>
      </c>
      <c r="G2728" s="6" t="s">
        <v>254</v>
      </c>
      <c r="H2728" s="10">
        <v>46074.0</v>
      </c>
      <c r="I2728" s="12">
        <v>12.0</v>
      </c>
      <c r="J2728" s="6" t="s">
        <v>178</v>
      </c>
    </row>
    <row r="2729" ht="22.5" customHeight="1">
      <c r="A2729" s="6" t="s">
        <v>13331</v>
      </c>
      <c r="B2729" s="6" t="s">
        <v>6674</v>
      </c>
      <c r="C2729" s="10">
        <v>46081.0</v>
      </c>
      <c r="D2729" s="6" t="s">
        <v>391</v>
      </c>
      <c r="E2729" s="6" t="s">
        <v>1969</v>
      </c>
      <c r="F2729" s="6" t="s">
        <v>112</v>
      </c>
      <c r="G2729" s="6" t="s">
        <v>458</v>
      </c>
      <c r="H2729" s="10">
        <v>46083.0</v>
      </c>
      <c r="I2729" s="12">
        <v>6.0</v>
      </c>
      <c r="J2729" s="6" t="s">
        <v>161</v>
      </c>
    </row>
    <row r="2730" ht="22.5" customHeight="1">
      <c r="A2730" s="6" t="s">
        <v>13336</v>
      </c>
      <c r="B2730" s="6" t="s">
        <v>6674</v>
      </c>
      <c r="C2730" s="10">
        <v>46064.0</v>
      </c>
      <c r="D2730" s="6" t="s">
        <v>312</v>
      </c>
      <c r="E2730" s="6" t="s">
        <v>1552</v>
      </c>
      <c r="F2730" s="6" t="s">
        <v>112</v>
      </c>
      <c r="G2730" s="6" t="s">
        <v>477</v>
      </c>
      <c r="H2730" s="10">
        <v>46070.0</v>
      </c>
      <c r="I2730" s="12">
        <v>5.0</v>
      </c>
      <c r="J2730" s="6" t="s">
        <v>161</v>
      </c>
    </row>
    <row r="2731" ht="22.5" customHeight="1">
      <c r="A2731" s="6" t="s">
        <v>13340</v>
      </c>
      <c r="B2731" s="6" t="s">
        <v>6674</v>
      </c>
      <c r="C2731" s="10">
        <v>46081.0</v>
      </c>
      <c r="D2731" s="6" t="s">
        <v>436</v>
      </c>
      <c r="E2731" s="6" t="s">
        <v>1700</v>
      </c>
      <c r="F2731" s="6" t="s">
        <v>283</v>
      </c>
      <c r="G2731" s="6" t="s">
        <v>369</v>
      </c>
      <c r="H2731" s="10">
        <v>46088.0</v>
      </c>
      <c r="I2731" s="12">
        <v>7.0</v>
      </c>
      <c r="J2731" s="6" t="s">
        <v>161</v>
      </c>
    </row>
    <row r="2732" ht="22.5" customHeight="1">
      <c r="A2732" s="6" t="s">
        <v>13344</v>
      </c>
      <c r="B2732" s="6" t="s">
        <v>6680</v>
      </c>
      <c r="C2732" s="10">
        <v>46031.0</v>
      </c>
      <c r="D2732" s="6" t="s">
        <v>436</v>
      </c>
      <c r="E2732" s="6" t="s">
        <v>1600</v>
      </c>
      <c r="F2732" s="6" t="s">
        <v>249</v>
      </c>
      <c r="G2732" s="6" t="s">
        <v>477</v>
      </c>
      <c r="H2732" s="11" t="s">
        <v>259</v>
      </c>
      <c r="I2732" s="12">
        <v>7.0</v>
      </c>
      <c r="J2732" s="6" t="s">
        <v>178</v>
      </c>
    </row>
    <row r="2733" ht="22.5" customHeight="1">
      <c r="A2733" s="6" t="s">
        <v>13349</v>
      </c>
      <c r="B2733" s="6" t="s">
        <v>6687</v>
      </c>
      <c r="C2733" s="10">
        <v>46061.0</v>
      </c>
      <c r="D2733" s="6" t="s">
        <v>312</v>
      </c>
      <c r="E2733" s="6" t="s">
        <v>466</v>
      </c>
      <c r="F2733" s="6" t="s">
        <v>283</v>
      </c>
      <c r="G2733" s="6" t="s">
        <v>297</v>
      </c>
      <c r="H2733" s="11" t="s">
        <v>259</v>
      </c>
      <c r="I2733" s="12">
        <v>6.0</v>
      </c>
      <c r="J2733" s="6" t="s">
        <v>161</v>
      </c>
    </row>
    <row r="2734" ht="22.5" customHeight="1">
      <c r="A2734" s="6" t="s">
        <v>13355</v>
      </c>
      <c r="B2734" s="6" t="s">
        <v>6687</v>
      </c>
      <c r="C2734" s="10">
        <v>46055.0</v>
      </c>
      <c r="D2734" s="6" t="s">
        <v>391</v>
      </c>
      <c r="E2734" s="6" t="s">
        <v>512</v>
      </c>
      <c r="F2734" s="6" t="s">
        <v>283</v>
      </c>
      <c r="G2734" s="6" t="s">
        <v>297</v>
      </c>
      <c r="H2734" s="10">
        <v>46057.0</v>
      </c>
      <c r="I2734" s="12">
        <v>9.0</v>
      </c>
      <c r="J2734" s="6" t="s">
        <v>161</v>
      </c>
    </row>
    <row r="2735" ht="22.5" customHeight="1">
      <c r="A2735" s="6" t="s">
        <v>13358</v>
      </c>
      <c r="B2735" s="6" t="s">
        <v>6687</v>
      </c>
      <c r="C2735" s="10">
        <v>46051.0</v>
      </c>
      <c r="D2735" s="6" t="s">
        <v>436</v>
      </c>
      <c r="E2735" s="6" t="s">
        <v>1273</v>
      </c>
      <c r="F2735" s="6" t="s">
        <v>112</v>
      </c>
      <c r="G2735" s="6" t="s">
        <v>326</v>
      </c>
      <c r="H2735" s="10">
        <v>46051.0</v>
      </c>
      <c r="I2735" s="12">
        <v>7.0</v>
      </c>
      <c r="J2735" s="6" t="s">
        <v>178</v>
      </c>
    </row>
    <row r="2736" ht="22.5" customHeight="1">
      <c r="A2736" s="6" t="s">
        <v>13363</v>
      </c>
      <c r="B2736" s="6" t="s">
        <v>6687</v>
      </c>
      <c r="C2736" s="10">
        <v>46066.0</v>
      </c>
      <c r="D2736" s="6" t="s">
        <v>416</v>
      </c>
      <c r="E2736" s="6" t="s">
        <v>731</v>
      </c>
      <c r="F2736" s="6" t="s">
        <v>283</v>
      </c>
      <c r="G2736" s="6" t="s">
        <v>477</v>
      </c>
      <c r="H2736" s="10">
        <v>46073.0</v>
      </c>
      <c r="I2736" s="12">
        <v>8.0</v>
      </c>
      <c r="J2736" s="6" t="s">
        <v>161</v>
      </c>
    </row>
    <row r="2737" ht="22.5" customHeight="1">
      <c r="A2737" s="6" t="s">
        <v>13368</v>
      </c>
      <c r="B2737" s="6" t="s">
        <v>6687</v>
      </c>
      <c r="C2737" s="10">
        <v>46052.0</v>
      </c>
      <c r="D2737" s="6" t="s">
        <v>312</v>
      </c>
      <c r="E2737" s="6" t="s">
        <v>438</v>
      </c>
      <c r="F2737" s="6" t="s">
        <v>112</v>
      </c>
      <c r="G2737" s="6" t="s">
        <v>477</v>
      </c>
      <c r="H2737" s="10">
        <v>46057.0</v>
      </c>
      <c r="I2737" s="12">
        <v>7.0</v>
      </c>
      <c r="J2737" s="6" t="s">
        <v>161</v>
      </c>
    </row>
    <row r="2738" ht="22.5" customHeight="1">
      <c r="A2738" s="6" t="s">
        <v>13372</v>
      </c>
      <c r="B2738" s="6" t="s">
        <v>6692</v>
      </c>
      <c r="C2738" s="10">
        <v>46065.0</v>
      </c>
      <c r="D2738" s="6" t="s">
        <v>312</v>
      </c>
      <c r="E2738" s="6" t="s">
        <v>885</v>
      </c>
      <c r="F2738" s="6" t="s">
        <v>283</v>
      </c>
      <c r="G2738" s="6" t="s">
        <v>326</v>
      </c>
      <c r="H2738" s="10">
        <v>46071.0</v>
      </c>
      <c r="I2738" s="12">
        <v>5.0</v>
      </c>
      <c r="J2738" s="6" t="s">
        <v>161</v>
      </c>
    </row>
    <row r="2739" ht="22.5" customHeight="1">
      <c r="A2739" s="6" t="s">
        <v>13377</v>
      </c>
      <c r="B2739" s="6" t="s">
        <v>6692</v>
      </c>
      <c r="C2739" s="10">
        <v>46084.0</v>
      </c>
      <c r="D2739" s="6" t="s">
        <v>391</v>
      </c>
      <c r="E2739" s="6" t="s">
        <v>1273</v>
      </c>
      <c r="F2739" s="6" t="s">
        <v>249</v>
      </c>
      <c r="G2739" s="6" t="s">
        <v>458</v>
      </c>
      <c r="H2739" s="10">
        <v>46091.0</v>
      </c>
      <c r="I2739" s="12">
        <v>8.0</v>
      </c>
      <c r="J2739" s="6" t="s">
        <v>161</v>
      </c>
    </row>
    <row r="2740" ht="22.5" customHeight="1">
      <c r="A2740" s="6" t="s">
        <v>13381</v>
      </c>
      <c r="B2740" s="6" t="s">
        <v>6692</v>
      </c>
      <c r="C2740" s="10">
        <v>46065.0</v>
      </c>
      <c r="D2740" s="6" t="s">
        <v>391</v>
      </c>
      <c r="E2740" s="6" t="s">
        <v>716</v>
      </c>
      <c r="F2740" s="6" t="s">
        <v>249</v>
      </c>
      <c r="G2740" s="6" t="s">
        <v>494</v>
      </c>
      <c r="H2740" s="10">
        <v>46067.0</v>
      </c>
      <c r="I2740" s="12">
        <v>7.0</v>
      </c>
      <c r="J2740" s="6" t="s">
        <v>161</v>
      </c>
    </row>
    <row r="2741" ht="22.5" customHeight="1">
      <c r="A2741" s="6" t="s">
        <v>13386</v>
      </c>
      <c r="B2741" s="6" t="s">
        <v>6692</v>
      </c>
      <c r="C2741" s="10">
        <v>46068.0</v>
      </c>
      <c r="D2741" s="6" t="s">
        <v>242</v>
      </c>
      <c r="E2741" s="6" t="s">
        <v>812</v>
      </c>
      <c r="F2741" s="6" t="s">
        <v>249</v>
      </c>
      <c r="G2741" s="6" t="s">
        <v>452</v>
      </c>
      <c r="H2741" s="10">
        <v>46074.0</v>
      </c>
      <c r="I2741" s="12">
        <v>6.0</v>
      </c>
      <c r="J2741" s="6" t="s">
        <v>161</v>
      </c>
    </row>
    <row r="2742" ht="22.5" customHeight="1">
      <c r="A2742" s="6" t="s">
        <v>13390</v>
      </c>
      <c r="B2742" s="6" t="s">
        <v>6698</v>
      </c>
      <c r="C2742" s="10">
        <v>46047.0</v>
      </c>
      <c r="D2742" s="6" t="s">
        <v>391</v>
      </c>
      <c r="E2742" s="6" t="s">
        <v>1386</v>
      </c>
      <c r="F2742" s="6" t="s">
        <v>439</v>
      </c>
      <c r="G2742" s="6" t="s">
        <v>254</v>
      </c>
      <c r="H2742" s="10">
        <v>46052.0</v>
      </c>
      <c r="I2742" s="12">
        <v>6.0</v>
      </c>
      <c r="J2742" s="6" t="s">
        <v>161</v>
      </c>
    </row>
    <row r="2743" ht="22.5" customHeight="1">
      <c r="A2743" s="6" t="s">
        <v>13394</v>
      </c>
      <c r="B2743" s="6" t="s">
        <v>6698</v>
      </c>
      <c r="C2743" s="10">
        <v>46063.0</v>
      </c>
      <c r="D2743" s="6" t="s">
        <v>312</v>
      </c>
      <c r="E2743" s="6" t="s">
        <v>1149</v>
      </c>
      <c r="F2743" s="6" t="s">
        <v>112</v>
      </c>
      <c r="G2743" s="6" t="s">
        <v>477</v>
      </c>
      <c r="H2743" s="10">
        <v>46067.0</v>
      </c>
      <c r="I2743" s="12">
        <v>7.0</v>
      </c>
      <c r="J2743" s="6" t="s">
        <v>161</v>
      </c>
    </row>
    <row r="2744" ht="22.5" customHeight="1">
      <c r="A2744" s="6" t="s">
        <v>13400</v>
      </c>
      <c r="B2744" s="6" t="s">
        <v>6698</v>
      </c>
      <c r="C2744" s="10">
        <v>46052.0</v>
      </c>
      <c r="D2744" s="6" t="s">
        <v>312</v>
      </c>
      <c r="E2744" s="6" t="s">
        <v>618</v>
      </c>
      <c r="F2744" s="6" t="s">
        <v>439</v>
      </c>
      <c r="G2744" s="6" t="s">
        <v>297</v>
      </c>
      <c r="H2744" s="10">
        <v>46059.0</v>
      </c>
      <c r="I2744" s="12">
        <v>4.0</v>
      </c>
      <c r="J2744" s="6" t="s">
        <v>161</v>
      </c>
    </row>
    <row r="2745" ht="22.5" customHeight="1">
      <c r="A2745" s="6" t="s">
        <v>13403</v>
      </c>
      <c r="B2745" s="6" t="s">
        <v>6698</v>
      </c>
      <c r="C2745" s="10">
        <v>46058.0</v>
      </c>
      <c r="D2745" s="6" t="s">
        <v>289</v>
      </c>
      <c r="E2745" s="6" t="s">
        <v>863</v>
      </c>
      <c r="F2745" s="6" t="s">
        <v>439</v>
      </c>
      <c r="G2745" s="6" t="s">
        <v>477</v>
      </c>
      <c r="H2745" s="10">
        <v>46063.0</v>
      </c>
      <c r="I2745" s="12">
        <v>9.0</v>
      </c>
      <c r="J2745" s="6" t="s">
        <v>161</v>
      </c>
    </row>
    <row r="2746" ht="22.5" customHeight="1">
      <c r="A2746" s="6" t="s">
        <v>13408</v>
      </c>
      <c r="B2746" s="6" t="s">
        <v>6704</v>
      </c>
      <c r="C2746" s="10">
        <v>46073.0</v>
      </c>
      <c r="D2746" s="6" t="s">
        <v>436</v>
      </c>
      <c r="E2746" s="6" t="s">
        <v>1626</v>
      </c>
      <c r="F2746" s="6" t="s">
        <v>249</v>
      </c>
      <c r="G2746" s="6" t="s">
        <v>326</v>
      </c>
      <c r="H2746" s="10">
        <v>46077.0</v>
      </c>
      <c r="I2746" s="12">
        <v>6.0</v>
      </c>
      <c r="J2746" s="6" t="s">
        <v>178</v>
      </c>
    </row>
    <row r="2747" ht="22.5" customHeight="1">
      <c r="A2747" s="6" t="s">
        <v>13413</v>
      </c>
      <c r="B2747" s="6" t="s">
        <v>6710</v>
      </c>
      <c r="C2747" s="10">
        <v>46049.0</v>
      </c>
      <c r="D2747" s="6" t="s">
        <v>436</v>
      </c>
      <c r="E2747" s="6" t="s">
        <v>812</v>
      </c>
      <c r="F2747" s="6" t="s">
        <v>439</v>
      </c>
      <c r="G2747" s="6" t="s">
        <v>494</v>
      </c>
      <c r="H2747" s="10">
        <v>46053.0</v>
      </c>
      <c r="I2747" s="12">
        <v>10.0</v>
      </c>
      <c r="J2747" s="6" t="s">
        <v>178</v>
      </c>
    </row>
    <row r="2748" ht="22.5" customHeight="1">
      <c r="A2748" s="6" t="s">
        <v>13416</v>
      </c>
      <c r="B2748" s="6" t="s">
        <v>6710</v>
      </c>
      <c r="C2748" s="10">
        <v>46052.0</v>
      </c>
      <c r="D2748" s="6" t="s">
        <v>289</v>
      </c>
      <c r="E2748" s="6" t="s">
        <v>695</v>
      </c>
      <c r="F2748" s="6" t="s">
        <v>439</v>
      </c>
      <c r="G2748" s="6" t="s">
        <v>369</v>
      </c>
      <c r="H2748" s="11" t="s">
        <v>259</v>
      </c>
      <c r="I2748" s="12">
        <v>9.0</v>
      </c>
      <c r="J2748" s="6" t="s">
        <v>161</v>
      </c>
    </row>
    <row r="2749" ht="22.5" customHeight="1">
      <c r="A2749" s="6" t="s">
        <v>13421</v>
      </c>
      <c r="B2749" s="6" t="s">
        <v>6717</v>
      </c>
      <c r="C2749" s="10">
        <v>46052.0</v>
      </c>
      <c r="D2749" s="6" t="s">
        <v>436</v>
      </c>
      <c r="E2749" s="6" t="s">
        <v>695</v>
      </c>
      <c r="F2749" s="6" t="s">
        <v>283</v>
      </c>
      <c r="G2749" s="6" t="s">
        <v>326</v>
      </c>
      <c r="H2749" s="10">
        <v>46059.0</v>
      </c>
      <c r="I2749" s="12">
        <v>8.0</v>
      </c>
      <c r="J2749" s="6" t="s">
        <v>178</v>
      </c>
    </row>
    <row r="2750" ht="22.5" customHeight="1">
      <c r="A2750" s="6" t="s">
        <v>13426</v>
      </c>
      <c r="B2750" s="6" t="s">
        <v>6717</v>
      </c>
      <c r="C2750" s="10">
        <v>46063.0</v>
      </c>
      <c r="D2750" s="6" t="s">
        <v>677</v>
      </c>
      <c r="E2750" s="6" t="s">
        <v>1600</v>
      </c>
      <c r="F2750" s="6" t="s">
        <v>112</v>
      </c>
      <c r="G2750" s="6" t="s">
        <v>297</v>
      </c>
      <c r="H2750" s="10">
        <v>46064.0</v>
      </c>
      <c r="I2750" s="12">
        <v>4.0</v>
      </c>
      <c r="J2750" s="6" t="s">
        <v>161</v>
      </c>
    </row>
    <row r="2751" ht="22.5" customHeight="1">
      <c r="A2751" s="6" t="s">
        <v>13429</v>
      </c>
      <c r="B2751" s="6" t="s">
        <v>6717</v>
      </c>
      <c r="C2751" s="10">
        <v>46049.0</v>
      </c>
      <c r="D2751" s="6" t="s">
        <v>242</v>
      </c>
      <c r="E2751" s="6" t="s">
        <v>716</v>
      </c>
      <c r="F2751" s="6" t="s">
        <v>439</v>
      </c>
      <c r="G2751" s="6" t="s">
        <v>369</v>
      </c>
      <c r="H2751" s="10">
        <v>46052.0</v>
      </c>
      <c r="I2751" s="12">
        <v>5.0</v>
      </c>
      <c r="J2751" s="6" t="s">
        <v>178</v>
      </c>
    </row>
    <row r="2752" ht="22.5" customHeight="1">
      <c r="A2752" s="6" t="s">
        <v>13435</v>
      </c>
      <c r="B2752" s="6" t="s">
        <v>6724</v>
      </c>
      <c r="C2752" s="10">
        <v>46029.0</v>
      </c>
      <c r="D2752" s="6" t="s">
        <v>289</v>
      </c>
      <c r="E2752" s="6" t="s">
        <v>863</v>
      </c>
      <c r="F2752" s="6" t="s">
        <v>439</v>
      </c>
      <c r="G2752" s="6" t="s">
        <v>477</v>
      </c>
      <c r="H2752" s="10">
        <v>46031.0</v>
      </c>
      <c r="I2752" s="12">
        <v>7.0</v>
      </c>
      <c r="J2752" s="6" t="s">
        <v>161</v>
      </c>
    </row>
    <row r="2753" ht="22.5" customHeight="1">
      <c r="A2753" s="6" t="s">
        <v>13439</v>
      </c>
      <c r="B2753" s="6" t="s">
        <v>6724</v>
      </c>
      <c r="C2753" s="10">
        <v>46047.0</v>
      </c>
      <c r="D2753" s="6" t="s">
        <v>677</v>
      </c>
      <c r="E2753" s="6" t="s">
        <v>1310</v>
      </c>
      <c r="F2753" s="6" t="s">
        <v>249</v>
      </c>
      <c r="G2753" s="6" t="s">
        <v>458</v>
      </c>
      <c r="H2753" s="10">
        <v>46054.0</v>
      </c>
      <c r="I2753" s="12">
        <v>2.0</v>
      </c>
      <c r="J2753" s="6" t="s">
        <v>161</v>
      </c>
    </row>
    <row r="2754" ht="22.5" customHeight="1">
      <c r="A2754" s="6" t="s">
        <v>13443</v>
      </c>
      <c r="B2754" s="6" t="s">
        <v>6724</v>
      </c>
      <c r="C2754" s="10">
        <v>46029.0</v>
      </c>
      <c r="D2754" s="6" t="s">
        <v>242</v>
      </c>
      <c r="E2754" s="6" t="s">
        <v>775</v>
      </c>
      <c r="F2754" s="6" t="s">
        <v>283</v>
      </c>
      <c r="G2754" s="6" t="s">
        <v>326</v>
      </c>
      <c r="H2754" s="10">
        <v>46035.0</v>
      </c>
      <c r="I2754" s="12">
        <v>6.0</v>
      </c>
      <c r="J2754" s="6" t="s">
        <v>178</v>
      </c>
    </row>
    <row r="2755" ht="22.5" customHeight="1">
      <c r="A2755" s="6" t="s">
        <v>13447</v>
      </c>
      <c r="B2755" s="6" t="s">
        <v>6724</v>
      </c>
      <c r="C2755" s="10">
        <v>46041.0</v>
      </c>
      <c r="D2755" s="6" t="s">
        <v>677</v>
      </c>
      <c r="E2755" s="6" t="s">
        <v>320</v>
      </c>
      <c r="F2755" s="6" t="s">
        <v>439</v>
      </c>
      <c r="G2755" s="6" t="s">
        <v>452</v>
      </c>
      <c r="H2755" s="11" t="s">
        <v>259</v>
      </c>
      <c r="I2755" s="12">
        <v>4.0</v>
      </c>
      <c r="J2755" s="6" t="s">
        <v>161</v>
      </c>
    </row>
    <row r="2756" ht="22.5" customHeight="1">
      <c r="A2756" s="6" t="s">
        <v>13452</v>
      </c>
      <c r="B2756" s="6" t="s">
        <v>6724</v>
      </c>
      <c r="C2756" s="10">
        <v>46036.0</v>
      </c>
      <c r="D2756" s="6" t="s">
        <v>289</v>
      </c>
      <c r="E2756" s="6" t="s">
        <v>1241</v>
      </c>
      <c r="F2756" s="6" t="s">
        <v>249</v>
      </c>
      <c r="G2756" s="6" t="s">
        <v>254</v>
      </c>
      <c r="H2756" s="10">
        <v>46038.0</v>
      </c>
      <c r="I2756" s="12">
        <v>5.0</v>
      </c>
      <c r="J2756" s="6" t="s">
        <v>161</v>
      </c>
    </row>
    <row r="2757" ht="22.5" customHeight="1">
      <c r="A2757" s="6" t="s">
        <v>13458</v>
      </c>
      <c r="B2757" s="6" t="s">
        <v>6731</v>
      </c>
      <c r="C2757" s="10">
        <v>46044.0</v>
      </c>
      <c r="D2757" s="6" t="s">
        <v>416</v>
      </c>
      <c r="E2757" s="6" t="s">
        <v>320</v>
      </c>
      <c r="F2757" s="6" t="s">
        <v>439</v>
      </c>
      <c r="G2757" s="6" t="s">
        <v>458</v>
      </c>
      <c r="H2757" s="10">
        <v>46048.0</v>
      </c>
      <c r="I2757" s="12">
        <v>9.0</v>
      </c>
      <c r="J2757" s="6" t="s">
        <v>161</v>
      </c>
    </row>
    <row r="2758" ht="22.5" customHeight="1">
      <c r="A2758" s="6" t="s">
        <v>13461</v>
      </c>
      <c r="B2758" s="6" t="s">
        <v>6731</v>
      </c>
      <c r="C2758" s="10">
        <v>46050.0</v>
      </c>
      <c r="D2758" s="6" t="s">
        <v>677</v>
      </c>
      <c r="E2758" s="6" t="s">
        <v>438</v>
      </c>
      <c r="F2758" s="6" t="s">
        <v>283</v>
      </c>
      <c r="G2758" s="6" t="s">
        <v>254</v>
      </c>
      <c r="H2758" s="11" t="s">
        <v>259</v>
      </c>
      <c r="I2758" s="12">
        <v>2.0</v>
      </c>
      <c r="J2758" s="6" t="s">
        <v>161</v>
      </c>
    </row>
    <row r="2759" ht="22.5" customHeight="1">
      <c r="A2759" s="6" t="s">
        <v>13466</v>
      </c>
      <c r="B2759" s="6" t="s">
        <v>6731</v>
      </c>
      <c r="C2759" s="10">
        <v>46040.0</v>
      </c>
      <c r="D2759" s="6" t="s">
        <v>391</v>
      </c>
      <c r="E2759" s="6" t="s">
        <v>1102</v>
      </c>
      <c r="F2759" s="6" t="s">
        <v>249</v>
      </c>
      <c r="G2759" s="6" t="s">
        <v>458</v>
      </c>
      <c r="H2759" s="10">
        <v>46041.0</v>
      </c>
      <c r="I2759" s="12">
        <v>11.0</v>
      </c>
      <c r="J2759" s="6" t="s">
        <v>161</v>
      </c>
    </row>
    <row r="2760" ht="22.5" customHeight="1">
      <c r="A2760" s="6" t="s">
        <v>13471</v>
      </c>
      <c r="B2760" s="6" t="s">
        <v>6738</v>
      </c>
      <c r="C2760" s="10">
        <v>46063.0</v>
      </c>
      <c r="D2760" s="6" t="s">
        <v>289</v>
      </c>
      <c r="E2760" s="6" t="s">
        <v>695</v>
      </c>
      <c r="F2760" s="6" t="s">
        <v>283</v>
      </c>
      <c r="G2760" s="6" t="s">
        <v>452</v>
      </c>
      <c r="H2760" s="10">
        <v>46070.0</v>
      </c>
      <c r="I2760" s="12">
        <v>5.0</v>
      </c>
      <c r="J2760" s="6" t="s">
        <v>161</v>
      </c>
    </row>
    <row r="2761" ht="22.5" customHeight="1">
      <c r="A2761" s="6" t="s">
        <v>13474</v>
      </c>
      <c r="B2761" s="6" t="s">
        <v>6738</v>
      </c>
      <c r="C2761" s="10">
        <v>46070.0</v>
      </c>
      <c r="D2761" s="6" t="s">
        <v>391</v>
      </c>
      <c r="E2761" s="6" t="s">
        <v>833</v>
      </c>
      <c r="F2761" s="6" t="s">
        <v>249</v>
      </c>
      <c r="G2761" s="6" t="s">
        <v>326</v>
      </c>
      <c r="H2761" s="10">
        <v>46074.0</v>
      </c>
      <c r="I2761" s="12">
        <v>10.0</v>
      </c>
      <c r="J2761" s="6" t="s">
        <v>161</v>
      </c>
    </row>
    <row r="2762" ht="22.5" customHeight="1">
      <c r="A2762" s="6" t="s">
        <v>13478</v>
      </c>
      <c r="B2762" s="6" t="s">
        <v>6738</v>
      </c>
      <c r="C2762" s="10">
        <v>46073.0</v>
      </c>
      <c r="D2762" s="6" t="s">
        <v>289</v>
      </c>
      <c r="E2762" s="6" t="s">
        <v>955</v>
      </c>
      <c r="F2762" s="6" t="s">
        <v>439</v>
      </c>
      <c r="G2762" s="6" t="s">
        <v>494</v>
      </c>
      <c r="H2762" s="10">
        <v>46076.0</v>
      </c>
      <c r="I2762" s="12">
        <v>10.0</v>
      </c>
      <c r="J2762" s="6" t="s">
        <v>161</v>
      </c>
    </row>
    <row r="2763" ht="22.5" customHeight="1">
      <c r="A2763" s="6" t="s">
        <v>13484</v>
      </c>
      <c r="B2763" s="6" t="s">
        <v>6745</v>
      </c>
      <c r="C2763" s="10">
        <v>46062.0</v>
      </c>
      <c r="D2763" s="6" t="s">
        <v>312</v>
      </c>
      <c r="E2763" s="6" t="s">
        <v>1070</v>
      </c>
      <c r="F2763" s="6" t="s">
        <v>249</v>
      </c>
      <c r="G2763" s="6" t="s">
        <v>254</v>
      </c>
      <c r="H2763" s="10">
        <v>46065.0</v>
      </c>
      <c r="I2763" s="12">
        <v>5.0</v>
      </c>
      <c r="J2763" s="6" t="s">
        <v>161</v>
      </c>
    </row>
    <row r="2764" ht="22.5" customHeight="1">
      <c r="A2764" s="6" t="s">
        <v>13490</v>
      </c>
      <c r="B2764" s="6" t="s">
        <v>6745</v>
      </c>
      <c r="C2764" s="10">
        <v>46066.0</v>
      </c>
      <c r="D2764" s="6" t="s">
        <v>391</v>
      </c>
      <c r="E2764" s="6" t="s">
        <v>704</v>
      </c>
      <c r="F2764" s="6" t="s">
        <v>249</v>
      </c>
      <c r="G2764" s="6" t="s">
        <v>297</v>
      </c>
      <c r="H2764" s="10">
        <v>46069.0</v>
      </c>
      <c r="I2764" s="12">
        <v>11.0</v>
      </c>
      <c r="J2764" s="6" t="s">
        <v>161</v>
      </c>
    </row>
    <row r="2765" ht="22.5" customHeight="1">
      <c r="A2765" s="6" t="s">
        <v>13496</v>
      </c>
      <c r="B2765" s="6" t="s">
        <v>6752</v>
      </c>
      <c r="C2765" s="10">
        <v>46051.0</v>
      </c>
      <c r="D2765" s="6" t="s">
        <v>242</v>
      </c>
      <c r="E2765" s="6" t="s">
        <v>1102</v>
      </c>
      <c r="F2765" s="6" t="s">
        <v>249</v>
      </c>
      <c r="G2765" s="6" t="s">
        <v>477</v>
      </c>
      <c r="H2765" s="10">
        <v>46055.0</v>
      </c>
      <c r="I2765" s="12">
        <v>4.0</v>
      </c>
      <c r="J2765" s="6" t="s">
        <v>161</v>
      </c>
    </row>
    <row r="2766" ht="22.5" customHeight="1">
      <c r="A2766" s="6" t="s">
        <v>13499</v>
      </c>
      <c r="B2766" s="6" t="s">
        <v>6752</v>
      </c>
      <c r="C2766" s="10">
        <v>46041.0</v>
      </c>
      <c r="D2766" s="6" t="s">
        <v>436</v>
      </c>
      <c r="E2766" s="6" t="s">
        <v>885</v>
      </c>
      <c r="F2766" s="6" t="s">
        <v>439</v>
      </c>
      <c r="G2766" s="6" t="s">
        <v>254</v>
      </c>
      <c r="H2766" s="10">
        <v>46046.0</v>
      </c>
      <c r="I2766" s="12">
        <v>7.0</v>
      </c>
      <c r="J2766" s="6" t="s">
        <v>178</v>
      </c>
    </row>
    <row r="2767" ht="22.5" customHeight="1">
      <c r="A2767" s="6" t="s">
        <v>13503</v>
      </c>
      <c r="B2767" s="6" t="s">
        <v>6752</v>
      </c>
      <c r="C2767" s="10">
        <v>46043.0</v>
      </c>
      <c r="D2767" s="6" t="s">
        <v>391</v>
      </c>
      <c r="E2767" s="6" t="s">
        <v>1386</v>
      </c>
      <c r="F2767" s="6" t="s">
        <v>283</v>
      </c>
      <c r="G2767" s="6" t="s">
        <v>369</v>
      </c>
      <c r="H2767" s="10">
        <v>46044.0</v>
      </c>
      <c r="I2767" s="12">
        <v>6.0</v>
      </c>
      <c r="J2767" s="6" t="s">
        <v>161</v>
      </c>
    </row>
    <row r="2768" ht="22.5" customHeight="1">
      <c r="A2768" s="6" t="s">
        <v>13508</v>
      </c>
      <c r="B2768" s="6" t="s">
        <v>6758</v>
      </c>
      <c r="C2768" s="10">
        <v>46025.0</v>
      </c>
      <c r="D2768" s="6" t="s">
        <v>289</v>
      </c>
      <c r="E2768" s="6" t="s">
        <v>896</v>
      </c>
      <c r="F2768" s="6" t="s">
        <v>283</v>
      </c>
      <c r="G2768" s="6" t="s">
        <v>477</v>
      </c>
      <c r="H2768" s="10">
        <v>46030.0</v>
      </c>
      <c r="I2768" s="12">
        <v>7.0</v>
      </c>
      <c r="J2768" s="6" t="s">
        <v>161</v>
      </c>
    </row>
    <row r="2769" ht="22.5" customHeight="1">
      <c r="A2769" s="6" t="s">
        <v>13511</v>
      </c>
      <c r="B2769" s="6" t="s">
        <v>6758</v>
      </c>
      <c r="C2769" s="10">
        <v>46025.0</v>
      </c>
      <c r="D2769" s="6" t="s">
        <v>242</v>
      </c>
      <c r="E2769" s="6" t="s">
        <v>896</v>
      </c>
      <c r="F2769" s="6" t="s">
        <v>249</v>
      </c>
      <c r="G2769" s="6" t="s">
        <v>326</v>
      </c>
      <c r="H2769" s="10">
        <v>46032.0</v>
      </c>
      <c r="I2769" s="12">
        <v>5.0</v>
      </c>
      <c r="J2769" s="6" t="s">
        <v>178</v>
      </c>
    </row>
    <row r="2770" ht="22.5" customHeight="1">
      <c r="A2770" s="6" t="s">
        <v>13515</v>
      </c>
      <c r="B2770" s="6" t="s">
        <v>6758</v>
      </c>
      <c r="C2770" s="10">
        <v>46043.0</v>
      </c>
      <c r="D2770" s="6" t="s">
        <v>416</v>
      </c>
      <c r="E2770" s="6" t="s">
        <v>512</v>
      </c>
      <c r="F2770" s="6" t="s">
        <v>112</v>
      </c>
      <c r="G2770" s="6" t="s">
        <v>326</v>
      </c>
      <c r="H2770" s="10">
        <v>46049.0</v>
      </c>
      <c r="I2770" s="12">
        <v>13.0</v>
      </c>
      <c r="J2770" s="6" t="s">
        <v>161</v>
      </c>
    </row>
    <row r="2771" ht="22.5" customHeight="1">
      <c r="A2771" s="6" t="s">
        <v>13518</v>
      </c>
      <c r="B2771" s="6" t="s">
        <v>6758</v>
      </c>
      <c r="C2771" s="10">
        <v>46043.0</v>
      </c>
      <c r="D2771" s="6" t="s">
        <v>436</v>
      </c>
      <c r="E2771" s="6" t="s">
        <v>1386</v>
      </c>
      <c r="F2771" s="6" t="s">
        <v>112</v>
      </c>
      <c r="G2771" s="6" t="s">
        <v>494</v>
      </c>
      <c r="H2771" s="10">
        <v>46050.0</v>
      </c>
      <c r="I2771" s="12">
        <v>8.0</v>
      </c>
      <c r="J2771" s="6" t="s">
        <v>161</v>
      </c>
    </row>
    <row r="2772" ht="22.5" customHeight="1">
      <c r="A2772" s="6" t="s">
        <v>13522</v>
      </c>
      <c r="B2772" s="6" t="s">
        <v>6763</v>
      </c>
      <c r="C2772" s="10">
        <v>46045.0</v>
      </c>
      <c r="D2772" s="6" t="s">
        <v>242</v>
      </c>
      <c r="E2772" s="6" t="s">
        <v>610</v>
      </c>
      <c r="F2772" s="6" t="s">
        <v>439</v>
      </c>
      <c r="G2772" s="6" t="s">
        <v>254</v>
      </c>
      <c r="H2772" s="11" t="s">
        <v>259</v>
      </c>
      <c r="I2772" s="12">
        <v>4.0</v>
      </c>
      <c r="J2772" s="6" t="s">
        <v>161</v>
      </c>
    </row>
    <row r="2773" ht="22.5" customHeight="1">
      <c r="A2773" s="6" t="s">
        <v>13528</v>
      </c>
      <c r="B2773" s="6" t="s">
        <v>6763</v>
      </c>
      <c r="C2773" s="10">
        <v>46043.0</v>
      </c>
      <c r="D2773" s="6" t="s">
        <v>677</v>
      </c>
      <c r="E2773" s="6" t="s">
        <v>731</v>
      </c>
      <c r="F2773" s="6" t="s">
        <v>112</v>
      </c>
      <c r="G2773" s="6" t="s">
        <v>494</v>
      </c>
      <c r="H2773" s="10">
        <v>46049.0</v>
      </c>
      <c r="I2773" s="12">
        <v>4.0</v>
      </c>
      <c r="J2773" s="6" t="s">
        <v>161</v>
      </c>
    </row>
    <row r="2774" ht="22.5" customHeight="1">
      <c r="A2774" s="6" t="s">
        <v>13534</v>
      </c>
      <c r="B2774" s="6" t="s">
        <v>6769</v>
      </c>
      <c r="C2774" s="10">
        <v>46078.0</v>
      </c>
      <c r="D2774" s="6" t="s">
        <v>416</v>
      </c>
      <c r="E2774" s="6" t="s">
        <v>1122</v>
      </c>
      <c r="F2774" s="6" t="s">
        <v>112</v>
      </c>
      <c r="G2774" s="6" t="s">
        <v>254</v>
      </c>
      <c r="H2774" s="10">
        <v>46079.0</v>
      </c>
      <c r="I2774" s="12">
        <v>13.0</v>
      </c>
      <c r="J2774" s="6" t="s">
        <v>161</v>
      </c>
    </row>
    <row r="2775" ht="22.5" customHeight="1">
      <c r="A2775" s="6" t="s">
        <v>13540</v>
      </c>
      <c r="B2775" s="6" t="s">
        <v>6769</v>
      </c>
      <c r="C2775" s="10">
        <v>46079.0</v>
      </c>
      <c r="D2775" s="6" t="s">
        <v>677</v>
      </c>
      <c r="E2775" s="6" t="s">
        <v>896</v>
      </c>
      <c r="F2775" s="6" t="s">
        <v>283</v>
      </c>
      <c r="G2775" s="6" t="s">
        <v>452</v>
      </c>
      <c r="H2775" s="10">
        <v>46079.0</v>
      </c>
      <c r="I2775" s="12">
        <v>4.0</v>
      </c>
      <c r="J2775" s="6" t="s">
        <v>161</v>
      </c>
    </row>
    <row r="2776" ht="22.5" customHeight="1">
      <c r="A2776" s="6" t="s">
        <v>13545</v>
      </c>
      <c r="B2776" s="6" t="s">
        <v>6769</v>
      </c>
      <c r="C2776" s="10">
        <v>46075.0</v>
      </c>
      <c r="D2776" s="6" t="s">
        <v>416</v>
      </c>
      <c r="E2776" s="6" t="s">
        <v>1386</v>
      </c>
      <c r="F2776" s="6" t="s">
        <v>283</v>
      </c>
      <c r="G2776" s="6" t="s">
        <v>326</v>
      </c>
      <c r="H2776" s="10">
        <v>46079.0</v>
      </c>
      <c r="I2776" s="12">
        <v>9.0</v>
      </c>
      <c r="J2776" s="6" t="s">
        <v>161</v>
      </c>
    </row>
    <row r="2777" ht="22.5" customHeight="1">
      <c r="A2777" s="6" t="s">
        <v>13552</v>
      </c>
      <c r="B2777" s="6" t="s">
        <v>6775</v>
      </c>
      <c r="C2777" s="10">
        <v>46049.0</v>
      </c>
      <c r="D2777" s="6" t="s">
        <v>242</v>
      </c>
      <c r="E2777" s="6" t="s">
        <v>320</v>
      </c>
      <c r="F2777" s="6" t="s">
        <v>249</v>
      </c>
      <c r="G2777" s="6" t="s">
        <v>326</v>
      </c>
      <c r="H2777" s="10">
        <v>46053.0</v>
      </c>
      <c r="I2777" s="12">
        <v>5.0</v>
      </c>
      <c r="J2777" s="6" t="s">
        <v>178</v>
      </c>
    </row>
    <row r="2778" ht="22.5" customHeight="1">
      <c r="A2778" s="6" t="s">
        <v>13560</v>
      </c>
      <c r="B2778" s="6" t="s">
        <v>6781</v>
      </c>
      <c r="C2778" s="10">
        <v>46065.0</v>
      </c>
      <c r="D2778" s="6" t="s">
        <v>242</v>
      </c>
      <c r="E2778" s="6" t="s">
        <v>438</v>
      </c>
      <c r="F2778" s="6" t="s">
        <v>249</v>
      </c>
      <c r="G2778" s="6" t="s">
        <v>458</v>
      </c>
      <c r="H2778" s="10">
        <v>46071.0</v>
      </c>
      <c r="I2778" s="12">
        <v>6.0</v>
      </c>
      <c r="J2778" s="6" t="s">
        <v>161</v>
      </c>
    </row>
    <row r="2779" ht="22.5" customHeight="1">
      <c r="A2779" s="6" t="s">
        <v>13566</v>
      </c>
      <c r="B2779" s="6" t="s">
        <v>6787</v>
      </c>
      <c r="C2779" s="10">
        <v>46027.0</v>
      </c>
      <c r="D2779" s="6" t="s">
        <v>312</v>
      </c>
      <c r="E2779" s="6" t="s">
        <v>1055</v>
      </c>
      <c r="F2779" s="6" t="s">
        <v>283</v>
      </c>
      <c r="G2779" s="6" t="s">
        <v>494</v>
      </c>
      <c r="H2779" s="10">
        <v>46030.0</v>
      </c>
      <c r="I2779" s="12">
        <v>7.0</v>
      </c>
      <c r="J2779" s="6" t="s">
        <v>161</v>
      </c>
    </row>
    <row r="2780" ht="22.5" customHeight="1">
      <c r="A2780" s="6" t="s">
        <v>13569</v>
      </c>
      <c r="B2780" s="6" t="s">
        <v>6787</v>
      </c>
      <c r="C2780" s="10">
        <v>46037.0</v>
      </c>
      <c r="D2780" s="6" t="s">
        <v>436</v>
      </c>
      <c r="E2780" s="6" t="s">
        <v>731</v>
      </c>
      <c r="F2780" s="6" t="s">
        <v>439</v>
      </c>
      <c r="G2780" s="6" t="s">
        <v>452</v>
      </c>
      <c r="H2780" s="10">
        <v>46040.0</v>
      </c>
      <c r="I2780" s="12">
        <v>10.0</v>
      </c>
      <c r="J2780" s="6" t="s">
        <v>178</v>
      </c>
    </row>
    <row r="2781" ht="22.5" customHeight="1">
      <c r="A2781" s="6" t="s">
        <v>13573</v>
      </c>
      <c r="B2781" s="6" t="s">
        <v>6793</v>
      </c>
      <c r="C2781" s="10">
        <v>46041.0</v>
      </c>
      <c r="D2781" s="6" t="s">
        <v>312</v>
      </c>
      <c r="E2781" s="6" t="s">
        <v>475</v>
      </c>
      <c r="F2781" s="6" t="s">
        <v>283</v>
      </c>
      <c r="G2781" s="6" t="s">
        <v>297</v>
      </c>
      <c r="H2781" s="10">
        <v>46044.0</v>
      </c>
      <c r="I2781" s="12">
        <v>4.0</v>
      </c>
      <c r="J2781" s="6" t="s">
        <v>161</v>
      </c>
    </row>
    <row r="2782" ht="22.5" customHeight="1">
      <c r="A2782" s="6" t="s">
        <v>13579</v>
      </c>
      <c r="B2782" s="6" t="s">
        <v>6793</v>
      </c>
      <c r="C2782" s="10">
        <v>46034.0</v>
      </c>
      <c r="D2782" s="6" t="s">
        <v>289</v>
      </c>
      <c r="E2782" s="6" t="s">
        <v>1241</v>
      </c>
      <c r="F2782" s="6" t="s">
        <v>283</v>
      </c>
      <c r="G2782" s="6" t="s">
        <v>494</v>
      </c>
      <c r="H2782" s="10">
        <v>46038.0</v>
      </c>
      <c r="I2782" s="12">
        <v>8.0</v>
      </c>
      <c r="J2782" s="6" t="s">
        <v>161</v>
      </c>
    </row>
    <row r="2783" ht="22.5" customHeight="1">
      <c r="A2783" s="6" t="s">
        <v>13581</v>
      </c>
      <c r="B2783" s="6" t="s">
        <v>6793</v>
      </c>
      <c r="C2783" s="10">
        <v>46039.0</v>
      </c>
      <c r="D2783" s="6" t="s">
        <v>312</v>
      </c>
      <c r="E2783" s="6" t="s">
        <v>2365</v>
      </c>
      <c r="F2783" s="6" t="s">
        <v>249</v>
      </c>
      <c r="G2783" s="6" t="s">
        <v>477</v>
      </c>
      <c r="H2783" s="10">
        <v>46046.0</v>
      </c>
      <c r="I2783" s="12">
        <v>5.0</v>
      </c>
      <c r="J2783" s="6" t="s">
        <v>161</v>
      </c>
    </row>
    <row r="2784" ht="22.5" customHeight="1">
      <c r="A2784" s="6" t="s">
        <v>13585</v>
      </c>
      <c r="B2784" s="6" t="s">
        <v>6799</v>
      </c>
      <c r="C2784" s="10">
        <v>46078.0</v>
      </c>
      <c r="D2784" s="6" t="s">
        <v>436</v>
      </c>
      <c r="E2784" s="6" t="s">
        <v>466</v>
      </c>
      <c r="F2784" s="6" t="s">
        <v>439</v>
      </c>
      <c r="G2784" s="6" t="s">
        <v>326</v>
      </c>
      <c r="H2784" s="10">
        <v>46079.0</v>
      </c>
      <c r="I2784" s="12">
        <v>7.0</v>
      </c>
      <c r="J2784" s="6" t="s">
        <v>178</v>
      </c>
    </row>
    <row r="2785" ht="22.5" customHeight="1">
      <c r="A2785" s="6" t="s">
        <v>13589</v>
      </c>
      <c r="B2785" s="6" t="s">
        <v>6799</v>
      </c>
      <c r="C2785" s="10">
        <v>46081.0</v>
      </c>
      <c r="D2785" s="6" t="s">
        <v>312</v>
      </c>
      <c r="E2785" s="6" t="s">
        <v>863</v>
      </c>
      <c r="F2785" s="6" t="s">
        <v>112</v>
      </c>
      <c r="G2785" s="6" t="s">
        <v>452</v>
      </c>
      <c r="H2785" s="10">
        <v>46086.0</v>
      </c>
      <c r="I2785" s="12">
        <v>7.0</v>
      </c>
      <c r="J2785" s="6" t="s">
        <v>161</v>
      </c>
    </row>
    <row r="2786" ht="22.5" customHeight="1">
      <c r="A2786" s="6" t="s">
        <v>13593</v>
      </c>
      <c r="B2786" s="6" t="s">
        <v>6804</v>
      </c>
      <c r="C2786" s="10">
        <v>46045.0</v>
      </c>
      <c r="D2786" s="6" t="s">
        <v>416</v>
      </c>
      <c r="E2786" s="6" t="s">
        <v>716</v>
      </c>
      <c r="F2786" s="6" t="s">
        <v>249</v>
      </c>
      <c r="G2786" s="6" t="s">
        <v>458</v>
      </c>
      <c r="H2786" s="11" t="s">
        <v>259</v>
      </c>
      <c r="I2786" s="12">
        <v>12.0</v>
      </c>
      <c r="J2786" s="6" t="s">
        <v>161</v>
      </c>
    </row>
    <row r="2787" ht="22.5" customHeight="1">
      <c r="A2787" s="6" t="s">
        <v>13598</v>
      </c>
      <c r="B2787" s="6" t="s">
        <v>6804</v>
      </c>
      <c r="C2787" s="10">
        <v>46058.0</v>
      </c>
      <c r="D2787" s="6" t="s">
        <v>416</v>
      </c>
      <c r="E2787" s="6" t="s">
        <v>291</v>
      </c>
      <c r="F2787" s="6" t="s">
        <v>283</v>
      </c>
      <c r="G2787" s="6" t="s">
        <v>458</v>
      </c>
      <c r="H2787" s="10">
        <v>46059.0</v>
      </c>
      <c r="I2787" s="12">
        <v>8.0</v>
      </c>
      <c r="J2787" s="6" t="s">
        <v>161</v>
      </c>
    </row>
    <row r="2788" ht="22.5" customHeight="1">
      <c r="A2788" s="6" t="s">
        <v>13600</v>
      </c>
      <c r="B2788" s="6" t="s">
        <v>6804</v>
      </c>
      <c r="C2788" s="10">
        <v>46054.0</v>
      </c>
      <c r="D2788" s="6" t="s">
        <v>312</v>
      </c>
      <c r="E2788" s="6" t="s">
        <v>787</v>
      </c>
      <c r="F2788" s="6" t="s">
        <v>249</v>
      </c>
      <c r="G2788" s="6" t="s">
        <v>494</v>
      </c>
      <c r="H2788" s="10">
        <v>46055.0</v>
      </c>
      <c r="I2788" s="12">
        <v>6.0</v>
      </c>
      <c r="J2788" s="6" t="s">
        <v>161</v>
      </c>
    </row>
    <row r="2789" ht="22.5" customHeight="1">
      <c r="A2789" s="6" t="s">
        <v>13603</v>
      </c>
      <c r="B2789" s="6" t="s">
        <v>6804</v>
      </c>
      <c r="C2789" s="10">
        <v>46053.0</v>
      </c>
      <c r="D2789" s="6" t="s">
        <v>391</v>
      </c>
      <c r="E2789" s="6" t="s">
        <v>1310</v>
      </c>
      <c r="F2789" s="6" t="s">
        <v>112</v>
      </c>
      <c r="G2789" s="6" t="s">
        <v>477</v>
      </c>
      <c r="H2789" s="10">
        <v>46055.0</v>
      </c>
      <c r="I2789" s="12">
        <v>7.0</v>
      </c>
      <c r="J2789" s="6" t="s">
        <v>161</v>
      </c>
    </row>
    <row r="2790" ht="22.5" customHeight="1">
      <c r="A2790" s="6" t="s">
        <v>13607</v>
      </c>
      <c r="B2790" s="6" t="s">
        <v>6810</v>
      </c>
      <c r="C2790" s="10">
        <v>46036.0</v>
      </c>
      <c r="D2790" s="6" t="s">
        <v>436</v>
      </c>
      <c r="E2790" s="6" t="s">
        <v>1296</v>
      </c>
      <c r="F2790" s="6" t="s">
        <v>112</v>
      </c>
      <c r="G2790" s="6" t="s">
        <v>458</v>
      </c>
      <c r="H2790" s="11" t="s">
        <v>259</v>
      </c>
      <c r="I2790" s="12">
        <v>6.0</v>
      </c>
      <c r="J2790" s="6" t="s">
        <v>161</v>
      </c>
    </row>
    <row r="2791" ht="22.5" customHeight="1">
      <c r="A2791" s="6" t="s">
        <v>13609</v>
      </c>
      <c r="B2791" s="6" t="s">
        <v>6810</v>
      </c>
      <c r="C2791" s="10">
        <v>46024.0</v>
      </c>
      <c r="D2791" s="6" t="s">
        <v>289</v>
      </c>
      <c r="E2791" s="6" t="s">
        <v>320</v>
      </c>
      <c r="F2791" s="6" t="s">
        <v>112</v>
      </c>
      <c r="G2791" s="6" t="s">
        <v>326</v>
      </c>
      <c r="H2791" s="10">
        <v>46026.0</v>
      </c>
      <c r="I2791" s="12">
        <v>9.0</v>
      </c>
      <c r="J2791" s="6" t="s">
        <v>161</v>
      </c>
    </row>
    <row r="2792" ht="22.5" customHeight="1">
      <c r="A2792" s="6" t="s">
        <v>13611</v>
      </c>
      <c r="B2792" s="6" t="s">
        <v>6816</v>
      </c>
      <c r="C2792" s="10">
        <v>46074.0</v>
      </c>
      <c r="D2792" s="6" t="s">
        <v>391</v>
      </c>
      <c r="E2792" s="6" t="s">
        <v>716</v>
      </c>
      <c r="F2792" s="6" t="s">
        <v>283</v>
      </c>
      <c r="G2792" s="6" t="s">
        <v>297</v>
      </c>
      <c r="H2792" s="10">
        <v>46077.0</v>
      </c>
      <c r="I2792" s="12">
        <v>10.0</v>
      </c>
      <c r="J2792" s="6" t="s">
        <v>161</v>
      </c>
    </row>
    <row r="2793" ht="22.5" customHeight="1">
      <c r="A2793" s="6" t="s">
        <v>13615</v>
      </c>
      <c r="B2793" s="6" t="s">
        <v>6822</v>
      </c>
      <c r="C2793" s="10">
        <v>46043.0</v>
      </c>
      <c r="D2793" s="6" t="s">
        <v>289</v>
      </c>
      <c r="E2793" s="6" t="s">
        <v>955</v>
      </c>
      <c r="F2793" s="6" t="s">
        <v>283</v>
      </c>
      <c r="G2793" s="6" t="s">
        <v>297</v>
      </c>
      <c r="H2793" s="10">
        <v>46043.0</v>
      </c>
      <c r="I2793" s="12">
        <v>8.0</v>
      </c>
      <c r="J2793" s="6" t="s">
        <v>161</v>
      </c>
    </row>
    <row r="2794" ht="22.5" customHeight="1">
      <c r="A2794" s="6" t="s">
        <v>13618</v>
      </c>
      <c r="B2794" s="6" t="s">
        <v>6822</v>
      </c>
      <c r="C2794" s="10">
        <v>46048.0</v>
      </c>
      <c r="D2794" s="6" t="s">
        <v>242</v>
      </c>
      <c r="E2794" s="6" t="s">
        <v>365</v>
      </c>
      <c r="F2794" s="6" t="s">
        <v>112</v>
      </c>
      <c r="G2794" s="6" t="s">
        <v>494</v>
      </c>
      <c r="H2794" s="10">
        <v>46051.0</v>
      </c>
      <c r="I2794" s="12">
        <v>6.0</v>
      </c>
      <c r="J2794" s="6" t="s">
        <v>178</v>
      </c>
    </row>
    <row r="2795" ht="22.5" customHeight="1">
      <c r="A2795" s="6" t="s">
        <v>13621</v>
      </c>
      <c r="B2795" s="6" t="s">
        <v>6822</v>
      </c>
      <c r="C2795" s="10">
        <v>46061.0</v>
      </c>
      <c r="D2795" s="6" t="s">
        <v>677</v>
      </c>
      <c r="E2795" s="6" t="s">
        <v>246</v>
      </c>
      <c r="F2795" s="6" t="s">
        <v>249</v>
      </c>
      <c r="G2795" s="6" t="s">
        <v>297</v>
      </c>
      <c r="H2795" s="10">
        <v>46062.0</v>
      </c>
      <c r="I2795" s="12">
        <v>2.0</v>
      </c>
      <c r="J2795" s="6" t="s">
        <v>161</v>
      </c>
    </row>
    <row r="2796" ht="22.5" customHeight="1">
      <c r="A2796" s="6" t="s">
        <v>13623</v>
      </c>
      <c r="B2796" s="6" t="s">
        <v>6822</v>
      </c>
      <c r="C2796" s="10">
        <v>46061.0</v>
      </c>
      <c r="D2796" s="6" t="s">
        <v>312</v>
      </c>
      <c r="E2796" s="6" t="s">
        <v>1720</v>
      </c>
      <c r="F2796" s="6" t="s">
        <v>249</v>
      </c>
      <c r="G2796" s="6" t="s">
        <v>326</v>
      </c>
      <c r="H2796" s="10">
        <v>46068.0</v>
      </c>
      <c r="I2796" s="12">
        <v>7.0</v>
      </c>
      <c r="J2796" s="6" t="s">
        <v>161</v>
      </c>
    </row>
    <row r="2797" ht="22.5" customHeight="1">
      <c r="A2797" s="6" t="s">
        <v>13626</v>
      </c>
      <c r="B2797" s="6" t="s">
        <v>6822</v>
      </c>
      <c r="C2797" s="10">
        <v>46047.0</v>
      </c>
      <c r="D2797" s="6" t="s">
        <v>391</v>
      </c>
      <c r="E2797" s="6" t="s">
        <v>365</v>
      </c>
      <c r="F2797" s="6" t="s">
        <v>249</v>
      </c>
      <c r="G2797" s="6" t="s">
        <v>254</v>
      </c>
      <c r="H2797" s="10">
        <v>46053.0</v>
      </c>
      <c r="I2797" s="12">
        <v>7.0</v>
      </c>
      <c r="J2797" s="6" t="s">
        <v>161</v>
      </c>
    </row>
    <row r="2798" ht="22.5" customHeight="1">
      <c r="A2798" s="6" t="s">
        <v>13630</v>
      </c>
      <c r="B2798" s="6" t="s">
        <v>6827</v>
      </c>
      <c r="C2798" s="10">
        <v>46038.0</v>
      </c>
      <c r="D2798" s="6" t="s">
        <v>289</v>
      </c>
      <c r="E2798" s="6" t="s">
        <v>863</v>
      </c>
      <c r="F2798" s="6" t="s">
        <v>249</v>
      </c>
      <c r="G2798" s="6" t="s">
        <v>477</v>
      </c>
      <c r="H2798" s="11" t="s">
        <v>259</v>
      </c>
      <c r="I2798" s="12">
        <v>6.0</v>
      </c>
      <c r="J2798" s="6" t="s">
        <v>161</v>
      </c>
    </row>
    <row r="2799" ht="22.5" customHeight="1">
      <c r="A2799" s="6" t="s">
        <v>13633</v>
      </c>
      <c r="B2799" s="6" t="s">
        <v>6827</v>
      </c>
      <c r="C2799" s="10">
        <v>46053.0</v>
      </c>
      <c r="D2799" s="6" t="s">
        <v>391</v>
      </c>
      <c r="E2799" s="6" t="s">
        <v>450</v>
      </c>
      <c r="F2799" s="6" t="s">
        <v>249</v>
      </c>
      <c r="G2799" s="6" t="s">
        <v>458</v>
      </c>
      <c r="H2799" s="10">
        <v>46055.0</v>
      </c>
      <c r="I2799" s="12">
        <v>10.0</v>
      </c>
      <c r="J2799" s="6" t="s">
        <v>161</v>
      </c>
    </row>
    <row r="2800" ht="22.5" customHeight="1">
      <c r="A2800" s="6" t="s">
        <v>13637</v>
      </c>
      <c r="B2800" s="6" t="s">
        <v>6827</v>
      </c>
      <c r="C2800" s="10">
        <v>46050.0</v>
      </c>
      <c r="D2800" s="6" t="s">
        <v>677</v>
      </c>
      <c r="E2800" s="6" t="s">
        <v>475</v>
      </c>
      <c r="F2800" s="6" t="s">
        <v>112</v>
      </c>
      <c r="G2800" s="6" t="s">
        <v>326</v>
      </c>
      <c r="H2800" s="10">
        <v>46054.0</v>
      </c>
      <c r="I2800" s="12">
        <v>3.0</v>
      </c>
      <c r="J2800" s="6" t="s">
        <v>161</v>
      </c>
    </row>
    <row r="2801" ht="22.5" customHeight="1">
      <c r="A2801" s="6" t="s">
        <v>13638</v>
      </c>
      <c r="B2801" s="6" t="s">
        <v>6827</v>
      </c>
      <c r="C2801" s="10">
        <v>46047.0</v>
      </c>
      <c r="D2801" s="6" t="s">
        <v>289</v>
      </c>
      <c r="E2801" s="6" t="s">
        <v>583</v>
      </c>
      <c r="F2801" s="6" t="s">
        <v>283</v>
      </c>
      <c r="G2801" s="6" t="s">
        <v>369</v>
      </c>
      <c r="H2801" s="10">
        <v>46047.0</v>
      </c>
      <c r="I2801" s="12">
        <v>6.0</v>
      </c>
      <c r="J2801" s="6" t="s">
        <v>161</v>
      </c>
    </row>
    <row r="2802" ht="22.5" customHeight="1">
      <c r="A2802" s="6" t="s">
        <v>13642</v>
      </c>
      <c r="B2802" s="6" t="s">
        <v>6833</v>
      </c>
      <c r="C2802" s="10">
        <v>46032.0</v>
      </c>
      <c r="D2802" s="6" t="s">
        <v>416</v>
      </c>
      <c r="E2802" s="6" t="s">
        <v>1626</v>
      </c>
      <c r="F2802" s="6" t="s">
        <v>439</v>
      </c>
      <c r="G2802" s="6" t="s">
        <v>494</v>
      </c>
      <c r="H2802" s="10">
        <v>46036.0</v>
      </c>
      <c r="I2802" s="12">
        <v>8.0</v>
      </c>
      <c r="J2802" s="6" t="s">
        <v>161</v>
      </c>
    </row>
    <row r="2803" ht="22.5" customHeight="1">
      <c r="A2803" s="6" t="s">
        <v>13645</v>
      </c>
      <c r="B2803" s="6" t="s">
        <v>6833</v>
      </c>
      <c r="C2803" s="10">
        <v>46036.0</v>
      </c>
      <c r="D2803" s="6" t="s">
        <v>677</v>
      </c>
      <c r="E2803" s="6" t="s">
        <v>1296</v>
      </c>
      <c r="F2803" s="6" t="s">
        <v>283</v>
      </c>
      <c r="G2803" s="6" t="s">
        <v>326</v>
      </c>
      <c r="H2803" s="10">
        <v>46036.0</v>
      </c>
      <c r="I2803" s="12">
        <v>2.0</v>
      </c>
      <c r="J2803" s="6" t="s">
        <v>161</v>
      </c>
    </row>
    <row r="2804" ht="22.5" customHeight="1">
      <c r="A2804" s="6" t="s">
        <v>13649</v>
      </c>
      <c r="B2804" s="6" t="s">
        <v>6839</v>
      </c>
      <c r="C2804" s="10">
        <v>46062.0</v>
      </c>
      <c r="D2804" s="6" t="s">
        <v>312</v>
      </c>
      <c r="E2804" s="6" t="s">
        <v>291</v>
      </c>
      <c r="F2804" s="6" t="s">
        <v>249</v>
      </c>
      <c r="G2804" s="6" t="s">
        <v>477</v>
      </c>
      <c r="H2804" s="10">
        <v>46062.0</v>
      </c>
      <c r="I2804" s="12">
        <v>5.0</v>
      </c>
      <c r="J2804" s="6" t="s">
        <v>161</v>
      </c>
    </row>
    <row r="2805" ht="22.5" customHeight="1">
      <c r="A2805" s="6" t="s">
        <v>13653</v>
      </c>
      <c r="B2805" s="6" t="s">
        <v>6839</v>
      </c>
      <c r="C2805" s="10">
        <v>46055.0</v>
      </c>
      <c r="D2805" s="6" t="s">
        <v>677</v>
      </c>
      <c r="E2805" s="6" t="s">
        <v>394</v>
      </c>
      <c r="F2805" s="6" t="s">
        <v>283</v>
      </c>
      <c r="G2805" s="6" t="s">
        <v>458</v>
      </c>
      <c r="H2805" s="11" t="s">
        <v>259</v>
      </c>
      <c r="I2805" s="12">
        <v>3.0</v>
      </c>
      <c r="J2805" s="6" t="s">
        <v>161</v>
      </c>
    </row>
    <row r="2806" ht="22.5" customHeight="1">
      <c r="A2806" s="6" t="s">
        <v>13656</v>
      </c>
      <c r="B2806" s="6" t="s">
        <v>6839</v>
      </c>
      <c r="C2806" s="10">
        <v>46057.0</v>
      </c>
      <c r="D2806" s="6" t="s">
        <v>242</v>
      </c>
      <c r="E2806" s="6" t="s">
        <v>885</v>
      </c>
      <c r="F2806" s="6" t="s">
        <v>283</v>
      </c>
      <c r="G2806" s="6" t="s">
        <v>369</v>
      </c>
      <c r="H2806" s="10">
        <v>46062.0</v>
      </c>
      <c r="I2806" s="12">
        <v>4.0</v>
      </c>
      <c r="J2806" s="6" t="s">
        <v>178</v>
      </c>
    </row>
    <row r="2807" ht="22.5" customHeight="1">
      <c r="A2807" s="6" t="s">
        <v>13659</v>
      </c>
      <c r="B2807" s="6" t="s">
        <v>6839</v>
      </c>
      <c r="C2807" s="10">
        <v>46056.0</v>
      </c>
      <c r="D2807" s="6" t="s">
        <v>289</v>
      </c>
      <c r="E2807" s="6" t="s">
        <v>1517</v>
      </c>
      <c r="F2807" s="6" t="s">
        <v>249</v>
      </c>
      <c r="G2807" s="6" t="s">
        <v>477</v>
      </c>
      <c r="H2807" s="10">
        <v>46058.0</v>
      </c>
      <c r="I2807" s="12">
        <v>5.0</v>
      </c>
      <c r="J2807" s="6" t="s">
        <v>161</v>
      </c>
    </row>
    <row r="2808" ht="22.5" customHeight="1">
      <c r="A2808" s="6" t="s">
        <v>13662</v>
      </c>
      <c r="B2808" s="6" t="s">
        <v>6839</v>
      </c>
      <c r="C2808" s="10">
        <v>46073.0</v>
      </c>
      <c r="D2808" s="6" t="s">
        <v>391</v>
      </c>
      <c r="E2808" s="6" t="s">
        <v>634</v>
      </c>
      <c r="F2808" s="6" t="s">
        <v>283</v>
      </c>
      <c r="G2808" s="6" t="s">
        <v>254</v>
      </c>
      <c r="H2808" s="10">
        <v>46075.0</v>
      </c>
      <c r="I2808" s="12">
        <v>11.0</v>
      </c>
      <c r="J2808" s="6" t="s">
        <v>161</v>
      </c>
    </row>
    <row r="2809" ht="22.5" customHeight="1">
      <c r="A2809" s="6" t="s">
        <v>13666</v>
      </c>
      <c r="B2809" s="6" t="s">
        <v>6845</v>
      </c>
      <c r="C2809" s="10">
        <v>46065.0</v>
      </c>
      <c r="D2809" s="6" t="s">
        <v>312</v>
      </c>
      <c r="E2809" s="6" t="s">
        <v>896</v>
      </c>
      <c r="F2809" s="6" t="s">
        <v>112</v>
      </c>
      <c r="G2809" s="6" t="s">
        <v>369</v>
      </c>
      <c r="H2809" s="10">
        <v>46069.0</v>
      </c>
      <c r="I2809" s="12">
        <v>6.0</v>
      </c>
      <c r="J2809" s="6" t="s">
        <v>161</v>
      </c>
    </row>
    <row r="2810" ht="22.5" customHeight="1">
      <c r="A2810" s="6" t="s">
        <v>13668</v>
      </c>
      <c r="B2810" s="6" t="s">
        <v>6845</v>
      </c>
      <c r="C2810" s="10">
        <v>46061.0</v>
      </c>
      <c r="D2810" s="6" t="s">
        <v>312</v>
      </c>
      <c r="E2810" s="6" t="s">
        <v>896</v>
      </c>
      <c r="F2810" s="6" t="s">
        <v>249</v>
      </c>
      <c r="G2810" s="6" t="s">
        <v>494</v>
      </c>
      <c r="H2810" s="11" t="s">
        <v>259</v>
      </c>
      <c r="I2810" s="12">
        <v>6.0</v>
      </c>
      <c r="J2810" s="6" t="s">
        <v>161</v>
      </c>
    </row>
    <row r="2811" ht="22.5" customHeight="1">
      <c r="A2811" s="6" t="s">
        <v>13670</v>
      </c>
      <c r="B2811" s="6" t="s">
        <v>6850</v>
      </c>
      <c r="C2811" s="10">
        <v>46051.0</v>
      </c>
      <c r="D2811" s="6" t="s">
        <v>312</v>
      </c>
      <c r="E2811" s="6" t="s">
        <v>1310</v>
      </c>
      <c r="F2811" s="6" t="s">
        <v>439</v>
      </c>
      <c r="G2811" s="6" t="s">
        <v>477</v>
      </c>
      <c r="H2811" s="10">
        <v>46053.0</v>
      </c>
      <c r="I2811" s="12">
        <v>6.0</v>
      </c>
      <c r="J2811" s="6" t="s">
        <v>161</v>
      </c>
    </row>
    <row r="2812" ht="22.5" customHeight="1">
      <c r="A2812" s="6" t="s">
        <v>13674</v>
      </c>
      <c r="B2812" s="6" t="s">
        <v>6850</v>
      </c>
      <c r="C2812" s="10">
        <v>46061.0</v>
      </c>
      <c r="D2812" s="6" t="s">
        <v>289</v>
      </c>
      <c r="E2812" s="6" t="s">
        <v>1273</v>
      </c>
      <c r="F2812" s="6" t="s">
        <v>249</v>
      </c>
      <c r="G2812" s="6" t="s">
        <v>254</v>
      </c>
      <c r="H2812" s="10">
        <v>46064.0</v>
      </c>
      <c r="I2812" s="12">
        <v>6.0</v>
      </c>
      <c r="J2812" s="6" t="s">
        <v>161</v>
      </c>
    </row>
    <row r="2813" ht="22.5" customHeight="1">
      <c r="A2813" s="6" t="s">
        <v>13676</v>
      </c>
      <c r="B2813" s="6" t="s">
        <v>6856</v>
      </c>
      <c r="C2813" s="10">
        <v>46029.0</v>
      </c>
      <c r="D2813" s="6" t="s">
        <v>312</v>
      </c>
      <c r="E2813" s="6" t="s">
        <v>775</v>
      </c>
      <c r="F2813" s="6" t="s">
        <v>112</v>
      </c>
      <c r="G2813" s="6" t="s">
        <v>369</v>
      </c>
      <c r="H2813" s="10">
        <v>46032.0</v>
      </c>
      <c r="I2813" s="12">
        <v>4.0</v>
      </c>
      <c r="J2813" s="6" t="s">
        <v>161</v>
      </c>
    </row>
    <row r="2814" ht="22.5" customHeight="1">
      <c r="A2814" s="6" t="s">
        <v>13679</v>
      </c>
      <c r="B2814" s="6" t="s">
        <v>6856</v>
      </c>
      <c r="C2814" s="10">
        <v>46032.0</v>
      </c>
      <c r="D2814" s="6" t="s">
        <v>436</v>
      </c>
      <c r="E2814" s="6" t="s">
        <v>1546</v>
      </c>
      <c r="F2814" s="6" t="s">
        <v>249</v>
      </c>
      <c r="G2814" s="6" t="s">
        <v>254</v>
      </c>
      <c r="H2814" s="10">
        <v>46035.0</v>
      </c>
      <c r="I2814" s="12">
        <v>7.0</v>
      </c>
      <c r="J2814" s="6" t="s">
        <v>178</v>
      </c>
    </row>
    <row r="2815" ht="22.5" customHeight="1">
      <c r="A2815" s="6" t="s">
        <v>13682</v>
      </c>
      <c r="B2815" s="6" t="s">
        <v>6856</v>
      </c>
      <c r="C2815" s="10">
        <v>46029.0</v>
      </c>
      <c r="D2815" s="6" t="s">
        <v>416</v>
      </c>
      <c r="E2815" s="6" t="s">
        <v>863</v>
      </c>
      <c r="F2815" s="6" t="s">
        <v>112</v>
      </c>
      <c r="G2815" s="6" t="s">
        <v>494</v>
      </c>
      <c r="H2815" s="10">
        <v>46035.0</v>
      </c>
      <c r="I2815" s="12">
        <v>8.0</v>
      </c>
      <c r="J2815" s="6" t="s">
        <v>161</v>
      </c>
    </row>
    <row r="2816" ht="22.5" customHeight="1">
      <c r="A2816" s="6" t="s">
        <v>13685</v>
      </c>
      <c r="B2816" s="6" t="s">
        <v>6856</v>
      </c>
      <c r="C2816" s="10">
        <v>46032.0</v>
      </c>
      <c r="D2816" s="6" t="s">
        <v>436</v>
      </c>
      <c r="E2816" s="6" t="s">
        <v>1741</v>
      </c>
      <c r="F2816" s="6" t="s">
        <v>283</v>
      </c>
      <c r="G2816" s="6" t="s">
        <v>452</v>
      </c>
      <c r="H2816" s="10">
        <v>46037.0</v>
      </c>
      <c r="I2816" s="12">
        <v>9.0</v>
      </c>
      <c r="J2816" s="6" t="s">
        <v>178</v>
      </c>
    </row>
    <row r="2817" ht="22.5" customHeight="1">
      <c r="A2817" s="6" t="s">
        <v>13689</v>
      </c>
      <c r="B2817" s="6" t="s">
        <v>6862</v>
      </c>
      <c r="C2817" s="10">
        <v>46059.0</v>
      </c>
      <c r="D2817" s="6" t="s">
        <v>312</v>
      </c>
      <c r="E2817" s="6" t="s">
        <v>955</v>
      </c>
      <c r="F2817" s="6" t="s">
        <v>283</v>
      </c>
      <c r="G2817" s="6" t="s">
        <v>297</v>
      </c>
      <c r="H2817" s="10">
        <v>46059.0</v>
      </c>
      <c r="I2817" s="12">
        <v>6.0</v>
      </c>
      <c r="J2817" s="6" t="s">
        <v>161</v>
      </c>
    </row>
    <row r="2818" ht="22.5" customHeight="1">
      <c r="A2818" s="6" t="s">
        <v>13693</v>
      </c>
      <c r="B2818" s="6" t="s">
        <v>6862</v>
      </c>
      <c r="C2818" s="10">
        <v>46071.0</v>
      </c>
      <c r="D2818" s="6" t="s">
        <v>242</v>
      </c>
      <c r="E2818" s="6" t="s">
        <v>438</v>
      </c>
      <c r="F2818" s="6" t="s">
        <v>439</v>
      </c>
      <c r="G2818" s="6" t="s">
        <v>477</v>
      </c>
      <c r="H2818" s="10">
        <v>46071.0</v>
      </c>
      <c r="I2818" s="12">
        <v>5.0</v>
      </c>
      <c r="J2818" s="6" t="s">
        <v>178</v>
      </c>
    </row>
    <row r="2819" ht="22.5" customHeight="1">
      <c r="A2819" s="6" t="s">
        <v>13698</v>
      </c>
      <c r="B2819" s="6" t="s">
        <v>6862</v>
      </c>
      <c r="C2819" s="10">
        <v>46056.0</v>
      </c>
      <c r="D2819" s="6" t="s">
        <v>289</v>
      </c>
      <c r="E2819" s="6" t="s">
        <v>1035</v>
      </c>
      <c r="F2819" s="6" t="s">
        <v>283</v>
      </c>
      <c r="G2819" s="6" t="s">
        <v>297</v>
      </c>
      <c r="H2819" s="10">
        <v>46062.0</v>
      </c>
      <c r="I2819" s="12">
        <v>9.0</v>
      </c>
      <c r="J2819" s="6" t="s">
        <v>161</v>
      </c>
    </row>
    <row r="2820" ht="22.5" customHeight="1">
      <c r="A2820" s="6" t="s">
        <v>13702</v>
      </c>
      <c r="B2820" s="6" t="s">
        <v>6867</v>
      </c>
      <c r="C2820" s="10">
        <v>46051.0</v>
      </c>
      <c r="D2820" s="6" t="s">
        <v>242</v>
      </c>
      <c r="E2820" s="6" t="s">
        <v>1570</v>
      </c>
      <c r="F2820" s="6" t="s">
        <v>112</v>
      </c>
      <c r="G2820" s="6" t="s">
        <v>369</v>
      </c>
      <c r="H2820" s="10">
        <v>46051.0</v>
      </c>
      <c r="I2820" s="12">
        <v>5.0</v>
      </c>
      <c r="J2820" s="6" t="s">
        <v>178</v>
      </c>
    </row>
    <row r="2821" ht="22.5" customHeight="1">
      <c r="A2821" s="6" t="s">
        <v>13708</v>
      </c>
      <c r="B2821" s="6" t="s">
        <v>6867</v>
      </c>
      <c r="C2821" s="10">
        <v>46045.0</v>
      </c>
      <c r="D2821" s="6" t="s">
        <v>289</v>
      </c>
      <c r="E2821" s="6" t="s">
        <v>1070</v>
      </c>
      <c r="F2821" s="6" t="s">
        <v>439</v>
      </c>
      <c r="G2821" s="6" t="s">
        <v>452</v>
      </c>
      <c r="H2821" s="10">
        <v>46046.0</v>
      </c>
      <c r="I2821" s="12">
        <v>7.0</v>
      </c>
      <c r="J2821" s="6" t="s">
        <v>161</v>
      </c>
    </row>
    <row r="2822" ht="22.5" customHeight="1">
      <c r="A2822" s="6" t="s">
        <v>13712</v>
      </c>
      <c r="B2822" s="6" t="s">
        <v>6867</v>
      </c>
      <c r="C2822" s="10">
        <v>46045.0</v>
      </c>
      <c r="D2822" s="6" t="s">
        <v>242</v>
      </c>
      <c r="E2822" s="6" t="s">
        <v>738</v>
      </c>
      <c r="F2822" s="6" t="s">
        <v>439</v>
      </c>
      <c r="G2822" s="6" t="s">
        <v>477</v>
      </c>
      <c r="H2822" s="10">
        <v>46049.0</v>
      </c>
      <c r="I2822" s="12">
        <v>5.0</v>
      </c>
      <c r="J2822" s="6" t="s">
        <v>178</v>
      </c>
    </row>
    <row r="2823" ht="22.5" customHeight="1">
      <c r="A2823" s="6" t="s">
        <v>13717</v>
      </c>
      <c r="B2823" s="6" t="s">
        <v>6873</v>
      </c>
      <c r="C2823" s="10">
        <v>46048.0</v>
      </c>
      <c r="D2823" s="6" t="s">
        <v>289</v>
      </c>
      <c r="E2823" s="6" t="s">
        <v>1600</v>
      </c>
      <c r="F2823" s="6" t="s">
        <v>249</v>
      </c>
      <c r="G2823" s="6" t="s">
        <v>452</v>
      </c>
      <c r="H2823" s="11" t="s">
        <v>259</v>
      </c>
      <c r="I2823" s="12">
        <v>7.0</v>
      </c>
      <c r="J2823" s="6" t="s">
        <v>161</v>
      </c>
    </row>
    <row r="2824" ht="22.5" customHeight="1">
      <c r="A2824" s="6" t="s">
        <v>13723</v>
      </c>
      <c r="B2824" s="6" t="s">
        <v>6873</v>
      </c>
      <c r="C2824" s="10">
        <v>46045.0</v>
      </c>
      <c r="D2824" s="6" t="s">
        <v>242</v>
      </c>
      <c r="E2824" s="6" t="s">
        <v>320</v>
      </c>
      <c r="F2824" s="6" t="s">
        <v>249</v>
      </c>
      <c r="G2824" s="6" t="s">
        <v>326</v>
      </c>
      <c r="H2824" s="10">
        <v>46049.0</v>
      </c>
      <c r="I2824" s="12">
        <v>5.0</v>
      </c>
      <c r="J2824" s="6" t="s">
        <v>178</v>
      </c>
    </row>
    <row r="2825" ht="22.5" customHeight="1">
      <c r="A2825" s="6" t="s">
        <v>13727</v>
      </c>
      <c r="B2825" s="6" t="s">
        <v>6873</v>
      </c>
      <c r="C2825" s="10">
        <v>46035.0</v>
      </c>
      <c r="D2825" s="6" t="s">
        <v>391</v>
      </c>
      <c r="E2825" s="6" t="s">
        <v>704</v>
      </c>
      <c r="F2825" s="6" t="s">
        <v>439</v>
      </c>
      <c r="G2825" s="6" t="s">
        <v>477</v>
      </c>
      <c r="H2825" s="10">
        <v>46041.0</v>
      </c>
      <c r="I2825" s="12">
        <v>8.0</v>
      </c>
      <c r="J2825" s="6" t="s">
        <v>161</v>
      </c>
    </row>
    <row r="2826" ht="22.5" customHeight="1">
      <c r="A2826" s="6" t="s">
        <v>13732</v>
      </c>
      <c r="B2826" s="6" t="s">
        <v>6873</v>
      </c>
      <c r="C2826" s="10">
        <v>46031.0</v>
      </c>
      <c r="D2826" s="6" t="s">
        <v>436</v>
      </c>
      <c r="E2826" s="6" t="s">
        <v>812</v>
      </c>
      <c r="F2826" s="6" t="s">
        <v>283</v>
      </c>
      <c r="G2826" s="6" t="s">
        <v>326</v>
      </c>
      <c r="H2826" s="10">
        <v>46032.0</v>
      </c>
      <c r="I2826" s="12">
        <v>11.0</v>
      </c>
      <c r="J2826" s="6" t="s">
        <v>161</v>
      </c>
    </row>
    <row r="2827" ht="22.5" customHeight="1">
      <c r="A2827" s="6" t="s">
        <v>13736</v>
      </c>
      <c r="B2827" s="6" t="s">
        <v>6873</v>
      </c>
      <c r="C2827" s="10">
        <v>46031.0</v>
      </c>
      <c r="D2827" s="6" t="s">
        <v>391</v>
      </c>
      <c r="E2827" s="6" t="s">
        <v>1700</v>
      </c>
      <c r="F2827" s="6" t="s">
        <v>283</v>
      </c>
      <c r="G2827" s="6" t="s">
        <v>458</v>
      </c>
      <c r="H2827" s="10">
        <v>46031.0</v>
      </c>
      <c r="I2827" s="12">
        <v>6.0</v>
      </c>
      <c r="J2827" s="6" t="s">
        <v>161</v>
      </c>
    </row>
    <row r="2828" ht="22.5" customHeight="1">
      <c r="A2828" s="6" t="s">
        <v>13740</v>
      </c>
      <c r="B2828" s="6" t="s">
        <v>6879</v>
      </c>
      <c r="C2828" s="10">
        <v>46077.0</v>
      </c>
      <c r="D2828" s="6" t="s">
        <v>312</v>
      </c>
      <c r="E2828" s="6" t="s">
        <v>1055</v>
      </c>
      <c r="F2828" s="6" t="s">
        <v>283</v>
      </c>
      <c r="G2828" s="6" t="s">
        <v>369</v>
      </c>
      <c r="H2828" s="10">
        <v>46081.0</v>
      </c>
      <c r="I2828" s="12">
        <v>6.0</v>
      </c>
      <c r="J2828" s="6" t="s">
        <v>161</v>
      </c>
    </row>
    <row r="2829" ht="22.5" customHeight="1">
      <c r="A2829" s="6" t="s">
        <v>13746</v>
      </c>
      <c r="B2829" s="6" t="s">
        <v>6885</v>
      </c>
      <c r="C2829" s="10">
        <v>46043.0</v>
      </c>
      <c r="D2829" s="6" t="s">
        <v>242</v>
      </c>
      <c r="E2829" s="6" t="s">
        <v>695</v>
      </c>
      <c r="F2829" s="6" t="s">
        <v>283</v>
      </c>
      <c r="G2829" s="6" t="s">
        <v>452</v>
      </c>
      <c r="H2829" s="10">
        <v>46043.0</v>
      </c>
      <c r="I2829" s="12">
        <v>4.0</v>
      </c>
      <c r="J2829" s="6" t="s">
        <v>178</v>
      </c>
    </row>
    <row r="2830" ht="22.5" customHeight="1">
      <c r="A2830" s="6" t="s">
        <v>13748</v>
      </c>
      <c r="B2830" s="6" t="s">
        <v>6890</v>
      </c>
      <c r="C2830" s="10">
        <v>46064.0</v>
      </c>
      <c r="D2830" s="6" t="s">
        <v>242</v>
      </c>
      <c r="E2830" s="6" t="s">
        <v>291</v>
      </c>
      <c r="F2830" s="6" t="s">
        <v>249</v>
      </c>
      <c r="G2830" s="6" t="s">
        <v>326</v>
      </c>
      <c r="H2830" s="10">
        <v>46065.0</v>
      </c>
      <c r="I2830" s="12">
        <v>3.0</v>
      </c>
      <c r="J2830" s="6" t="s">
        <v>161</v>
      </c>
    </row>
    <row r="2831" ht="22.5" customHeight="1">
      <c r="A2831" s="6" t="s">
        <v>13752</v>
      </c>
      <c r="B2831" s="6" t="s">
        <v>6890</v>
      </c>
      <c r="C2831" s="10">
        <v>46082.0</v>
      </c>
      <c r="D2831" s="6" t="s">
        <v>312</v>
      </c>
      <c r="E2831" s="6" t="s">
        <v>955</v>
      </c>
      <c r="F2831" s="6" t="s">
        <v>439</v>
      </c>
      <c r="G2831" s="6" t="s">
        <v>458</v>
      </c>
      <c r="H2831" s="10">
        <v>46089.0</v>
      </c>
      <c r="I2831" s="12">
        <v>5.0</v>
      </c>
      <c r="J2831" s="6" t="s">
        <v>161</v>
      </c>
    </row>
    <row r="2832" ht="22.5" customHeight="1">
      <c r="A2832" s="6" t="s">
        <v>13758</v>
      </c>
      <c r="B2832" s="6" t="s">
        <v>6890</v>
      </c>
      <c r="C2832" s="10">
        <v>46074.0</v>
      </c>
      <c r="D2832" s="6" t="s">
        <v>242</v>
      </c>
      <c r="E2832" s="6" t="s">
        <v>1546</v>
      </c>
      <c r="F2832" s="6" t="s">
        <v>112</v>
      </c>
      <c r="G2832" s="6" t="s">
        <v>477</v>
      </c>
      <c r="H2832" s="10">
        <v>46074.0</v>
      </c>
      <c r="I2832" s="12">
        <v>5.0</v>
      </c>
      <c r="J2832" s="6" t="s">
        <v>178</v>
      </c>
    </row>
    <row r="2833" ht="22.5" customHeight="1">
      <c r="A2833" s="6" t="s">
        <v>13762</v>
      </c>
      <c r="B2833" s="6" t="s">
        <v>6890</v>
      </c>
      <c r="C2833" s="10">
        <v>46072.0</v>
      </c>
      <c r="D2833" s="6" t="s">
        <v>289</v>
      </c>
      <c r="E2833" s="6" t="s">
        <v>2365</v>
      </c>
      <c r="F2833" s="6" t="s">
        <v>283</v>
      </c>
      <c r="G2833" s="6" t="s">
        <v>452</v>
      </c>
      <c r="H2833" s="10">
        <v>46078.0</v>
      </c>
      <c r="I2833" s="12">
        <v>5.0</v>
      </c>
      <c r="J2833" s="6" t="s">
        <v>161</v>
      </c>
    </row>
    <row r="2834" ht="22.5" customHeight="1">
      <c r="A2834" s="6" t="s">
        <v>13767</v>
      </c>
      <c r="B2834" s="6" t="s">
        <v>6896</v>
      </c>
      <c r="C2834" s="10">
        <v>46048.0</v>
      </c>
      <c r="D2834" s="6" t="s">
        <v>436</v>
      </c>
      <c r="E2834" s="6" t="s">
        <v>291</v>
      </c>
      <c r="F2834" s="6" t="s">
        <v>439</v>
      </c>
      <c r="G2834" s="6" t="s">
        <v>297</v>
      </c>
      <c r="H2834" s="10">
        <v>46048.0</v>
      </c>
      <c r="I2834" s="12">
        <v>6.0</v>
      </c>
      <c r="J2834" s="6" t="s">
        <v>161</v>
      </c>
    </row>
    <row r="2835" ht="22.5" customHeight="1">
      <c r="A2835" s="6" t="s">
        <v>13771</v>
      </c>
      <c r="B2835" s="6" t="s">
        <v>6896</v>
      </c>
      <c r="C2835" s="10">
        <v>46048.0</v>
      </c>
      <c r="D2835" s="6" t="s">
        <v>677</v>
      </c>
      <c r="E2835" s="6" t="s">
        <v>885</v>
      </c>
      <c r="F2835" s="6" t="s">
        <v>283</v>
      </c>
      <c r="G2835" s="6" t="s">
        <v>254</v>
      </c>
      <c r="H2835" s="10">
        <v>46054.0</v>
      </c>
      <c r="I2835" s="12">
        <v>2.0</v>
      </c>
      <c r="J2835" s="6" t="s">
        <v>161</v>
      </c>
    </row>
    <row r="2836" ht="22.5" customHeight="1">
      <c r="A2836" s="6" t="s">
        <v>13777</v>
      </c>
      <c r="B2836" s="6" t="s">
        <v>6901</v>
      </c>
      <c r="C2836" s="10">
        <v>46044.0</v>
      </c>
      <c r="D2836" s="6" t="s">
        <v>289</v>
      </c>
      <c r="E2836" s="6" t="s">
        <v>438</v>
      </c>
      <c r="F2836" s="6" t="s">
        <v>283</v>
      </c>
      <c r="G2836" s="6" t="s">
        <v>458</v>
      </c>
      <c r="H2836" s="10">
        <v>46045.0</v>
      </c>
      <c r="I2836" s="12">
        <v>8.0</v>
      </c>
      <c r="J2836" s="6" t="s">
        <v>161</v>
      </c>
    </row>
    <row r="2837" ht="22.5" customHeight="1">
      <c r="A2837" s="6" t="s">
        <v>13780</v>
      </c>
      <c r="B2837" s="6" t="s">
        <v>6901</v>
      </c>
      <c r="C2837" s="10">
        <v>46031.0</v>
      </c>
      <c r="D2837" s="6" t="s">
        <v>242</v>
      </c>
      <c r="E2837" s="6" t="s">
        <v>955</v>
      </c>
      <c r="F2837" s="6" t="s">
        <v>439</v>
      </c>
      <c r="G2837" s="6" t="s">
        <v>458</v>
      </c>
      <c r="H2837" s="10">
        <v>46038.0</v>
      </c>
      <c r="I2837" s="12">
        <v>6.0</v>
      </c>
      <c r="J2837" s="6" t="s">
        <v>178</v>
      </c>
    </row>
    <row r="2838" ht="22.5" customHeight="1">
      <c r="A2838" s="6" t="s">
        <v>13786</v>
      </c>
      <c r="B2838" s="6" t="s">
        <v>6901</v>
      </c>
      <c r="C2838" s="10">
        <v>46030.0</v>
      </c>
      <c r="D2838" s="6" t="s">
        <v>242</v>
      </c>
      <c r="E2838" s="6" t="s">
        <v>1386</v>
      </c>
      <c r="F2838" s="6" t="s">
        <v>249</v>
      </c>
      <c r="G2838" s="6" t="s">
        <v>477</v>
      </c>
      <c r="H2838" s="10">
        <v>46032.0</v>
      </c>
      <c r="I2838" s="12">
        <v>5.0</v>
      </c>
      <c r="J2838" s="6" t="s">
        <v>161</v>
      </c>
    </row>
    <row r="2839" ht="22.5" customHeight="1">
      <c r="A2839" s="6" t="s">
        <v>13790</v>
      </c>
      <c r="B2839" s="6" t="s">
        <v>6901</v>
      </c>
      <c r="C2839" s="10">
        <v>46030.0</v>
      </c>
      <c r="D2839" s="6" t="s">
        <v>242</v>
      </c>
      <c r="E2839" s="6" t="s">
        <v>634</v>
      </c>
      <c r="F2839" s="6" t="s">
        <v>283</v>
      </c>
      <c r="G2839" s="6" t="s">
        <v>326</v>
      </c>
      <c r="H2839" s="10">
        <v>46034.0</v>
      </c>
      <c r="I2839" s="12">
        <v>6.0</v>
      </c>
      <c r="J2839" s="6" t="s">
        <v>178</v>
      </c>
    </row>
    <row r="2840" ht="22.5" customHeight="1">
      <c r="A2840" s="6" t="s">
        <v>13793</v>
      </c>
      <c r="B2840" s="6" t="s">
        <v>6907</v>
      </c>
      <c r="C2840" s="10">
        <v>46070.0</v>
      </c>
      <c r="D2840" s="6" t="s">
        <v>677</v>
      </c>
      <c r="E2840" s="6" t="s">
        <v>1035</v>
      </c>
      <c r="F2840" s="6" t="s">
        <v>439</v>
      </c>
      <c r="G2840" s="6" t="s">
        <v>297</v>
      </c>
      <c r="H2840" s="10">
        <v>46070.0</v>
      </c>
      <c r="I2840" s="12">
        <v>2.0</v>
      </c>
      <c r="J2840" s="6" t="s">
        <v>161</v>
      </c>
    </row>
    <row r="2841" ht="22.5" customHeight="1">
      <c r="A2841" s="6" t="s">
        <v>13798</v>
      </c>
      <c r="B2841" s="6" t="s">
        <v>6907</v>
      </c>
      <c r="C2841" s="10">
        <v>46074.0</v>
      </c>
      <c r="D2841" s="6" t="s">
        <v>242</v>
      </c>
      <c r="E2841" s="6" t="s">
        <v>955</v>
      </c>
      <c r="F2841" s="6" t="s">
        <v>249</v>
      </c>
      <c r="G2841" s="6" t="s">
        <v>326</v>
      </c>
      <c r="H2841" s="10">
        <v>46075.0</v>
      </c>
      <c r="I2841" s="12">
        <v>5.0</v>
      </c>
      <c r="J2841" s="6" t="s">
        <v>161</v>
      </c>
    </row>
    <row r="2842" ht="22.5" customHeight="1">
      <c r="A2842" s="6" t="s">
        <v>13803</v>
      </c>
      <c r="B2842" s="6" t="s">
        <v>6907</v>
      </c>
      <c r="C2842" s="10">
        <v>46078.0</v>
      </c>
      <c r="D2842" s="6" t="s">
        <v>312</v>
      </c>
      <c r="E2842" s="6" t="s">
        <v>2881</v>
      </c>
      <c r="F2842" s="6" t="s">
        <v>249</v>
      </c>
      <c r="G2842" s="6" t="s">
        <v>494</v>
      </c>
      <c r="H2842" s="10">
        <v>46080.0</v>
      </c>
      <c r="I2842" s="12">
        <v>5.0</v>
      </c>
      <c r="J2842" s="6" t="s">
        <v>161</v>
      </c>
    </row>
    <row r="2843" ht="22.5" customHeight="1">
      <c r="A2843" s="6" t="s">
        <v>13809</v>
      </c>
      <c r="B2843" s="6" t="s">
        <v>6907</v>
      </c>
      <c r="C2843" s="10">
        <v>46071.0</v>
      </c>
      <c r="D2843" s="6" t="s">
        <v>436</v>
      </c>
      <c r="E2843" s="6" t="s">
        <v>628</v>
      </c>
      <c r="F2843" s="6" t="s">
        <v>439</v>
      </c>
      <c r="G2843" s="6" t="s">
        <v>458</v>
      </c>
      <c r="H2843" s="10">
        <v>46076.0</v>
      </c>
      <c r="I2843" s="12">
        <v>8.0</v>
      </c>
      <c r="J2843" s="6" t="s">
        <v>161</v>
      </c>
    </row>
    <row r="2844" ht="22.5" customHeight="1">
      <c r="A2844" s="6" t="s">
        <v>13810</v>
      </c>
      <c r="B2844" s="6" t="s">
        <v>6907</v>
      </c>
      <c r="C2844" s="10">
        <v>46081.0</v>
      </c>
      <c r="D2844" s="6" t="s">
        <v>242</v>
      </c>
      <c r="E2844" s="6" t="s">
        <v>1241</v>
      </c>
      <c r="F2844" s="6" t="s">
        <v>439</v>
      </c>
      <c r="G2844" s="6" t="s">
        <v>254</v>
      </c>
      <c r="H2844" s="10">
        <v>46085.0</v>
      </c>
      <c r="I2844" s="12">
        <v>6.0</v>
      </c>
      <c r="J2844" s="6" t="s">
        <v>178</v>
      </c>
    </row>
    <row r="2845" ht="22.5" customHeight="1">
      <c r="A2845" s="6" t="s">
        <v>13813</v>
      </c>
      <c r="B2845" s="6" t="s">
        <v>6912</v>
      </c>
      <c r="C2845" s="10">
        <v>46057.0</v>
      </c>
      <c r="D2845" s="6" t="s">
        <v>391</v>
      </c>
      <c r="E2845" s="6" t="s">
        <v>658</v>
      </c>
      <c r="F2845" s="6" t="s">
        <v>439</v>
      </c>
      <c r="G2845" s="6" t="s">
        <v>494</v>
      </c>
      <c r="H2845" s="10">
        <v>46063.0</v>
      </c>
      <c r="I2845" s="12">
        <v>6.0</v>
      </c>
      <c r="J2845" s="6" t="s">
        <v>161</v>
      </c>
    </row>
    <row r="2846" ht="22.5" customHeight="1">
      <c r="A2846" s="6" t="s">
        <v>13816</v>
      </c>
      <c r="B2846" s="6" t="s">
        <v>6912</v>
      </c>
      <c r="C2846" s="10">
        <v>46057.0</v>
      </c>
      <c r="D2846" s="6" t="s">
        <v>391</v>
      </c>
      <c r="E2846" s="6" t="s">
        <v>1969</v>
      </c>
      <c r="F2846" s="6" t="s">
        <v>112</v>
      </c>
      <c r="G2846" s="6" t="s">
        <v>297</v>
      </c>
      <c r="H2846" s="10">
        <v>46062.0</v>
      </c>
      <c r="I2846" s="12">
        <v>6.0</v>
      </c>
      <c r="J2846" s="6" t="s">
        <v>161</v>
      </c>
    </row>
    <row r="2847" ht="22.5" customHeight="1">
      <c r="A2847" s="6" t="s">
        <v>13819</v>
      </c>
      <c r="B2847" s="6" t="s">
        <v>6912</v>
      </c>
      <c r="C2847" s="10">
        <v>46052.0</v>
      </c>
      <c r="D2847" s="6" t="s">
        <v>416</v>
      </c>
      <c r="E2847" s="6" t="s">
        <v>1546</v>
      </c>
      <c r="F2847" s="6" t="s">
        <v>283</v>
      </c>
      <c r="G2847" s="6" t="s">
        <v>369</v>
      </c>
      <c r="H2847" s="10">
        <v>46054.0</v>
      </c>
      <c r="I2847" s="12">
        <v>14.0</v>
      </c>
      <c r="J2847" s="6" t="s">
        <v>161</v>
      </c>
    </row>
    <row r="2848" ht="22.5" customHeight="1">
      <c r="A2848" s="6" t="s">
        <v>13825</v>
      </c>
      <c r="B2848" s="6" t="s">
        <v>6918</v>
      </c>
      <c r="C2848" s="10">
        <v>46076.0</v>
      </c>
      <c r="D2848" s="6" t="s">
        <v>677</v>
      </c>
      <c r="E2848" s="6" t="s">
        <v>955</v>
      </c>
      <c r="F2848" s="6" t="s">
        <v>283</v>
      </c>
      <c r="G2848" s="6" t="s">
        <v>254</v>
      </c>
      <c r="H2848" s="10">
        <v>46077.0</v>
      </c>
      <c r="I2848" s="12">
        <v>2.0</v>
      </c>
      <c r="J2848" s="6" t="s">
        <v>161</v>
      </c>
    </row>
    <row r="2849" ht="22.5" customHeight="1">
      <c r="A2849" s="6" t="s">
        <v>13829</v>
      </c>
      <c r="B2849" s="6" t="s">
        <v>6918</v>
      </c>
      <c r="C2849" s="10">
        <v>46068.0</v>
      </c>
      <c r="D2849" s="6" t="s">
        <v>436</v>
      </c>
      <c r="E2849" s="6" t="s">
        <v>618</v>
      </c>
      <c r="F2849" s="6" t="s">
        <v>283</v>
      </c>
      <c r="G2849" s="6" t="s">
        <v>458</v>
      </c>
      <c r="H2849" s="10">
        <v>46075.0</v>
      </c>
      <c r="I2849" s="12">
        <v>7.0</v>
      </c>
      <c r="J2849" s="6" t="s">
        <v>178</v>
      </c>
    </row>
    <row r="2850" ht="22.5" customHeight="1">
      <c r="A2850" s="6" t="s">
        <v>13835</v>
      </c>
      <c r="B2850" s="6" t="s">
        <v>6918</v>
      </c>
      <c r="C2850" s="10">
        <v>46072.0</v>
      </c>
      <c r="D2850" s="6" t="s">
        <v>416</v>
      </c>
      <c r="E2850" s="6" t="s">
        <v>394</v>
      </c>
      <c r="F2850" s="6" t="s">
        <v>283</v>
      </c>
      <c r="G2850" s="6" t="s">
        <v>297</v>
      </c>
      <c r="H2850" s="10">
        <v>46076.0</v>
      </c>
      <c r="I2850" s="12">
        <v>8.0</v>
      </c>
      <c r="J2850" s="6" t="s">
        <v>161</v>
      </c>
    </row>
    <row r="2851" ht="22.5" customHeight="1">
      <c r="A2851" s="6" t="s">
        <v>13838</v>
      </c>
      <c r="B2851" s="6" t="s">
        <v>6918</v>
      </c>
      <c r="C2851" s="10">
        <v>46076.0</v>
      </c>
      <c r="D2851" s="6" t="s">
        <v>242</v>
      </c>
      <c r="E2851" s="6" t="s">
        <v>1517</v>
      </c>
      <c r="F2851" s="6" t="s">
        <v>283</v>
      </c>
      <c r="G2851" s="6" t="s">
        <v>477</v>
      </c>
      <c r="H2851" s="10">
        <v>46080.0</v>
      </c>
      <c r="I2851" s="12">
        <v>6.0</v>
      </c>
      <c r="J2851" s="6" t="s">
        <v>178</v>
      </c>
    </row>
    <row r="2852" ht="22.5" customHeight="1">
      <c r="A2852" s="6" t="s">
        <v>13842</v>
      </c>
      <c r="B2852" s="6" t="s">
        <v>6924</v>
      </c>
      <c r="C2852" s="10">
        <v>46058.0</v>
      </c>
      <c r="D2852" s="6" t="s">
        <v>677</v>
      </c>
      <c r="E2852" s="6" t="s">
        <v>475</v>
      </c>
      <c r="F2852" s="6" t="s">
        <v>283</v>
      </c>
      <c r="G2852" s="6" t="s">
        <v>494</v>
      </c>
      <c r="H2852" s="10">
        <v>46065.0</v>
      </c>
      <c r="I2852" s="12">
        <v>2.0</v>
      </c>
      <c r="J2852" s="6" t="s">
        <v>161</v>
      </c>
    </row>
    <row r="2853" ht="22.5" customHeight="1">
      <c r="A2853" s="6" t="s">
        <v>13845</v>
      </c>
      <c r="B2853" s="6" t="s">
        <v>6924</v>
      </c>
      <c r="C2853" s="10">
        <v>46046.0</v>
      </c>
      <c r="D2853" s="6" t="s">
        <v>289</v>
      </c>
      <c r="E2853" s="6" t="s">
        <v>628</v>
      </c>
      <c r="F2853" s="6" t="s">
        <v>112</v>
      </c>
      <c r="G2853" s="6" t="s">
        <v>297</v>
      </c>
      <c r="H2853" s="10">
        <v>46052.0</v>
      </c>
      <c r="I2853" s="12">
        <v>7.0</v>
      </c>
      <c r="J2853" s="6" t="s">
        <v>161</v>
      </c>
    </row>
    <row r="2854" ht="22.5" customHeight="1">
      <c r="A2854" s="6" t="s">
        <v>13850</v>
      </c>
      <c r="B2854" s="6" t="s">
        <v>6924</v>
      </c>
      <c r="C2854" s="10">
        <v>46055.0</v>
      </c>
      <c r="D2854" s="6" t="s">
        <v>312</v>
      </c>
      <c r="E2854" s="6" t="s">
        <v>2365</v>
      </c>
      <c r="F2854" s="6" t="s">
        <v>112</v>
      </c>
      <c r="G2854" s="6" t="s">
        <v>477</v>
      </c>
      <c r="H2854" s="10">
        <v>46062.0</v>
      </c>
      <c r="I2854" s="12">
        <v>6.0</v>
      </c>
      <c r="J2854" s="6" t="s">
        <v>161</v>
      </c>
    </row>
    <row r="2855" ht="22.5" customHeight="1">
      <c r="A2855" s="6" t="s">
        <v>13855</v>
      </c>
      <c r="B2855" s="6" t="s">
        <v>6924</v>
      </c>
      <c r="C2855" s="10">
        <v>46039.0</v>
      </c>
      <c r="D2855" s="6" t="s">
        <v>416</v>
      </c>
      <c r="E2855" s="6" t="s">
        <v>475</v>
      </c>
      <c r="F2855" s="6" t="s">
        <v>249</v>
      </c>
      <c r="G2855" s="6" t="s">
        <v>326</v>
      </c>
      <c r="H2855" s="10">
        <v>46046.0</v>
      </c>
      <c r="I2855" s="12">
        <v>9.0</v>
      </c>
      <c r="J2855" s="6" t="s">
        <v>161</v>
      </c>
    </row>
    <row r="2856" ht="22.5" customHeight="1">
      <c r="A2856" s="6" t="s">
        <v>13859</v>
      </c>
      <c r="B2856" s="6" t="s">
        <v>6929</v>
      </c>
      <c r="C2856" s="10">
        <v>46074.0</v>
      </c>
      <c r="D2856" s="6" t="s">
        <v>242</v>
      </c>
      <c r="E2856" s="6" t="s">
        <v>320</v>
      </c>
      <c r="F2856" s="6" t="s">
        <v>439</v>
      </c>
      <c r="G2856" s="6" t="s">
        <v>369</v>
      </c>
      <c r="H2856" s="10">
        <v>46075.0</v>
      </c>
      <c r="I2856" s="12">
        <v>5.0</v>
      </c>
      <c r="J2856" s="6" t="s">
        <v>161</v>
      </c>
    </row>
    <row r="2857" ht="22.5" customHeight="1">
      <c r="A2857" s="6" t="s">
        <v>13864</v>
      </c>
      <c r="B2857" s="6" t="s">
        <v>6929</v>
      </c>
      <c r="C2857" s="10">
        <v>46078.0</v>
      </c>
      <c r="D2857" s="6" t="s">
        <v>312</v>
      </c>
      <c r="E2857" s="6" t="s">
        <v>394</v>
      </c>
      <c r="F2857" s="6" t="s">
        <v>439</v>
      </c>
      <c r="G2857" s="6" t="s">
        <v>254</v>
      </c>
      <c r="H2857" s="10">
        <v>46082.0</v>
      </c>
      <c r="I2857" s="12">
        <v>5.0</v>
      </c>
      <c r="J2857" s="6" t="s">
        <v>161</v>
      </c>
    </row>
    <row r="2858" ht="22.5" customHeight="1">
      <c r="A2858" s="6" t="s">
        <v>13870</v>
      </c>
      <c r="B2858" s="6" t="s">
        <v>6929</v>
      </c>
      <c r="C2858" s="10">
        <v>46064.0</v>
      </c>
      <c r="D2858" s="6" t="s">
        <v>242</v>
      </c>
      <c r="E2858" s="6" t="s">
        <v>1055</v>
      </c>
      <c r="F2858" s="6" t="s">
        <v>439</v>
      </c>
      <c r="G2858" s="6" t="s">
        <v>254</v>
      </c>
      <c r="H2858" s="10">
        <v>46068.0</v>
      </c>
      <c r="I2858" s="12">
        <v>4.0</v>
      </c>
      <c r="J2858" s="6" t="s">
        <v>178</v>
      </c>
    </row>
    <row r="2859" ht="22.5" customHeight="1">
      <c r="A2859" s="6" t="s">
        <v>13874</v>
      </c>
      <c r="B2859" s="6" t="s">
        <v>6934</v>
      </c>
      <c r="C2859" s="10">
        <v>46064.0</v>
      </c>
      <c r="D2859" s="6" t="s">
        <v>416</v>
      </c>
      <c r="E2859" s="6" t="s">
        <v>417</v>
      </c>
      <c r="F2859" s="6" t="s">
        <v>283</v>
      </c>
      <c r="G2859" s="6" t="s">
        <v>458</v>
      </c>
      <c r="H2859" s="10">
        <v>46071.0</v>
      </c>
      <c r="I2859" s="12">
        <v>12.0</v>
      </c>
      <c r="J2859" s="6" t="s">
        <v>161</v>
      </c>
    </row>
    <row r="2860" ht="22.5" customHeight="1">
      <c r="A2860" s="6" t="s">
        <v>13880</v>
      </c>
      <c r="B2860" s="6" t="s">
        <v>6934</v>
      </c>
      <c r="C2860" s="10">
        <v>46078.0</v>
      </c>
      <c r="D2860" s="6" t="s">
        <v>677</v>
      </c>
      <c r="E2860" s="6" t="s">
        <v>885</v>
      </c>
      <c r="F2860" s="6" t="s">
        <v>249</v>
      </c>
      <c r="G2860" s="6" t="s">
        <v>477</v>
      </c>
      <c r="H2860" s="10">
        <v>46080.0</v>
      </c>
      <c r="I2860" s="12">
        <v>2.0</v>
      </c>
      <c r="J2860" s="6" t="s">
        <v>161</v>
      </c>
    </row>
    <row r="2861" ht="22.5" customHeight="1">
      <c r="A2861" s="6" t="s">
        <v>13883</v>
      </c>
      <c r="B2861" s="6" t="s">
        <v>6940</v>
      </c>
      <c r="C2861" s="10">
        <v>46057.0</v>
      </c>
      <c r="D2861" s="6" t="s">
        <v>242</v>
      </c>
      <c r="E2861" s="6" t="s">
        <v>1280</v>
      </c>
      <c r="F2861" s="6" t="s">
        <v>439</v>
      </c>
      <c r="G2861" s="6" t="s">
        <v>254</v>
      </c>
      <c r="H2861" s="10">
        <v>46062.0</v>
      </c>
      <c r="I2861" s="12">
        <v>6.0</v>
      </c>
      <c r="J2861" s="6" t="s">
        <v>161</v>
      </c>
    </row>
    <row r="2862" ht="22.5" customHeight="1">
      <c r="A2862" s="6" t="s">
        <v>13887</v>
      </c>
      <c r="B2862" s="6" t="s">
        <v>6940</v>
      </c>
      <c r="C2862" s="10">
        <v>46073.0</v>
      </c>
      <c r="D2862" s="6" t="s">
        <v>312</v>
      </c>
      <c r="E2862" s="6" t="s">
        <v>246</v>
      </c>
      <c r="F2862" s="6" t="s">
        <v>112</v>
      </c>
      <c r="G2862" s="6" t="s">
        <v>326</v>
      </c>
      <c r="H2862" s="10">
        <v>46077.0</v>
      </c>
      <c r="I2862" s="12">
        <v>4.0</v>
      </c>
      <c r="J2862" s="6" t="s">
        <v>161</v>
      </c>
    </row>
    <row r="2863" ht="22.5" customHeight="1">
      <c r="A2863" s="6" t="s">
        <v>13892</v>
      </c>
      <c r="B2863" s="6" t="s">
        <v>6946</v>
      </c>
      <c r="C2863" s="10">
        <v>46042.0</v>
      </c>
      <c r="D2863" s="6" t="s">
        <v>416</v>
      </c>
      <c r="E2863" s="6" t="s">
        <v>466</v>
      </c>
      <c r="F2863" s="6" t="s">
        <v>249</v>
      </c>
      <c r="G2863" s="6" t="s">
        <v>494</v>
      </c>
      <c r="H2863" s="11" t="s">
        <v>259</v>
      </c>
      <c r="I2863" s="12">
        <v>10.0</v>
      </c>
      <c r="J2863" s="6" t="s">
        <v>161</v>
      </c>
    </row>
    <row r="2864" ht="22.5" customHeight="1">
      <c r="A2864" s="6" t="s">
        <v>13896</v>
      </c>
      <c r="B2864" s="6" t="s">
        <v>6946</v>
      </c>
      <c r="C2864" s="10">
        <v>46040.0</v>
      </c>
      <c r="D2864" s="6" t="s">
        <v>289</v>
      </c>
      <c r="E2864" s="6" t="s">
        <v>417</v>
      </c>
      <c r="F2864" s="6" t="s">
        <v>283</v>
      </c>
      <c r="G2864" s="6" t="s">
        <v>452</v>
      </c>
      <c r="H2864" s="10">
        <v>46046.0</v>
      </c>
      <c r="I2864" s="12">
        <v>8.0</v>
      </c>
      <c r="J2864" s="6" t="s">
        <v>161</v>
      </c>
    </row>
    <row r="2865" ht="22.5" customHeight="1">
      <c r="A2865" s="6" t="s">
        <v>13900</v>
      </c>
      <c r="B2865" s="6" t="s">
        <v>6946</v>
      </c>
      <c r="C2865" s="10">
        <v>46041.0</v>
      </c>
      <c r="D2865" s="6" t="s">
        <v>242</v>
      </c>
      <c r="E2865" s="6" t="s">
        <v>291</v>
      </c>
      <c r="F2865" s="6" t="s">
        <v>112</v>
      </c>
      <c r="G2865" s="6" t="s">
        <v>369</v>
      </c>
      <c r="H2865" s="10">
        <v>46042.0</v>
      </c>
      <c r="I2865" s="12">
        <v>4.0</v>
      </c>
      <c r="J2865" s="6" t="s">
        <v>161</v>
      </c>
    </row>
    <row r="2866" ht="22.5" customHeight="1">
      <c r="A2866" s="6" t="s">
        <v>13906</v>
      </c>
      <c r="B2866" s="6" t="s">
        <v>6952</v>
      </c>
      <c r="C2866" s="10">
        <v>46079.0</v>
      </c>
      <c r="D2866" s="6" t="s">
        <v>416</v>
      </c>
      <c r="E2866" s="6" t="s">
        <v>1700</v>
      </c>
      <c r="F2866" s="6" t="s">
        <v>249</v>
      </c>
      <c r="G2866" s="6" t="s">
        <v>297</v>
      </c>
      <c r="H2866" s="10">
        <v>46079.0</v>
      </c>
      <c r="I2866" s="12">
        <v>10.0</v>
      </c>
      <c r="J2866" s="6" t="s">
        <v>161</v>
      </c>
    </row>
    <row r="2867" ht="22.5" customHeight="1">
      <c r="A2867" s="6" t="s">
        <v>13909</v>
      </c>
      <c r="B2867" s="6" t="s">
        <v>6958</v>
      </c>
      <c r="C2867" s="10">
        <v>46047.0</v>
      </c>
      <c r="D2867" s="6" t="s">
        <v>289</v>
      </c>
      <c r="E2867" s="6" t="s">
        <v>394</v>
      </c>
      <c r="F2867" s="6" t="s">
        <v>249</v>
      </c>
      <c r="G2867" s="6" t="s">
        <v>477</v>
      </c>
      <c r="H2867" s="10">
        <v>46048.0</v>
      </c>
      <c r="I2867" s="12">
        <v>6.0</v>
      </c>
      <c r="J2867" s="6" t="s">
        <v>161</v>
      </c>
    </row>
    <row r="2868" ht="22.5" customHeight="1">
      <c r="A2868" s="6" t="s">
        <v>13913</v>
      </c>
      <c r="B2868" s="6" t="s">
        <v>6958</v>
      </c>
      <c r="C2868" s="10">
        <v>46038.0</v>
      </c>
      <c r="D2868" s="6" t="s">
        <v>416</v>
      </c>
      <c r="E2868" s="6" t="s">
        <v>1386</v>
      </c>
      <c r="F2868" s="6" t="s">
        <v>283</v>
      </c>
      <c r="G2868" s="6" t="s">
        <v>458</v>
      </c>
      <c r="H2868" s="10">
        <v>46043.0</v>
      </c>
      <c r="I2868" s="12">
        <v>8.0</v>
      </c>
      <c r="J2868" s="6" t="s">
        <v>161</v>
      </c>
    </row>
    <row r="2869" ht="22.5" customHeight="1">
      <c r="A2869" s="6" t="s">
        <v>13919</v>
      </c>
      <c r="B2869" s="6" t="s">
        <v>6958</v>
      </c>
      <c r="C2869" s="10">
        <v>46041.0</v>
      </c>
      <c r="D2869" s="6" t="s">
        <v>436</v>
      </c>
      <c r="E2869" s="6" t="s">
        <v>1070</v>
      </c>
      <c r="F2869" s="6" t="s">
        <v>283</v>
      </c>
      <c r="G2869" s="6" t="s">
        <v>458</v>
      </c>
      <c r="H2869" s="10">
        <v>46043.0</v>
      </c>
      <c r="I2869" s="12">
        <v>10.0</v>
      </c>
      <c r="J2869" s="6" t="s">
        <v>161</v>
      </c>
    </row>
    <row r="2870" ht="22.5" customHeight="1">
      <c r="A2870" s="6" t="s">
        <v>13922</v>
      </c>
      <c r="B2870" s="6" t="s">
        <v>6963</v>
      </c>
      <c r="C2870" s="10">
        <v>46080.0</v>
      </c>
      <c r="D2870" s="6" t="s">
        <v>242</v>
      </c>
      <c r="E2870" s="6" t="s">
        <v>704</v>
      </c>
      <c r="F2870" s="6" t="s">
        <v>283</v>
      </c>
      <c r="G2870" s="6" t="s">
        <v>297</v>
      </c>
      <c r="H2870" s="10">
        <v>46085.0</v>
      </c>
      <c r="I2870" s="12">
        <v>3.0</v>
      </c>
      <c r="J2870" s="6" t="s">
        <v>178</v>
      </c>
    </row>
    <row r="2871" ht="22.5" customHeight="1">
      <c r="A2871" s="6" t="s">
        <v>13928</v>
      </c>
      <c r="B2871" s="6" t="s">
        <v>6963</v>
      </c>
      <c r="C2871" s="10">
        <v>46076.0</v>
      </c>
      <c r="D2871" s="6" t="s">
        <v>289</v>
      </c>
      <c r="E2871" s="6" t="s">
        <v>1280</v>
      </c>
      <c r="F2871" s="6" t="s">
        <v>283</v>
      </c>
      <c r="G2871" s="6" t="s">
        <v>326</v>
      </c>
      <c r="H2871" s="10">
        <v>46079.0</v>
      </c>
      <c r="I2871" s="12">
        <v>8.0</v>
      </c>
      <c r="J2871" s="6" t="s">
        <v>161</v>
      </c>
    </row>
    <row r="2872" ht="22.5" customHeight="1">
      <c r="A2872" s="6" t="s">
        <v>13932</v>
      </c>
      <c r="B2872" s="6" t="s">
        <v>6963</v>
      </c>
      <c r="C2872" s="10">
        <v>46087.0</v>
      </c>
      <c r="D2872" s="6" t="s">
        <v>242</v>
      </c>
      <c r="E2872" s="6" t="s">
        <v>1296</v>
      </c>
      <c r="F2872" s="6" t="s">
        <v>439</v>
      </c>
      <c r="G2872" s="6" t="s">
        <v>452</v>
      </c>
      <c r="H2872" s="10">
        <v>46093.0</v>
      </c>
      <c r="I2872" s="12">
        <v>4.0</v>
      </c>
      <c r="J2872" s="6" t="s">
        <v>161</v>
      </c>
    </row>
    <row r="2873" ht="22.5" customHeight="1">
      <c r="A2873" s="6" t="s">
        <v>13937</v>
      </c>
      <c r="B2873" s="6" t="s">
        <v>6969</v>
      </c>
      <c r="C2873" s="10">
        <v>46035.0</v>
      </c>
      <c r="D2873" s="6" t="s">
        <v>242</v>
      </c>
      <c r="E2873" s="6" t="s">
        <v>1552</v>
      </c>
      <c r="F2873" s="6" t="s">
        <v>439</v>
      </c>
      <c r="G2873" s="6" t="s">
        <v>369</v>
      </c>
      <c r="H2873" s="10">
        <v>46042.0</v>
      </c>
      <c r="I2873" s="12">
        <v>6.0</v>
      </c>
      <c r="J2873" s="6" t="s">
        <v>178</v>
      </c>
    </row>
    <row r="2874" ht="22.5" customHeight="1">
      <c r="A2874" s="6" t="s">
        <v>13941</v>
      </c>
      <c r="B2874" s="6" t="s">
        <v>6969</v>
      </c>
      <c r="C2874" s="10">
        <v>46039.0</v>
      </c>
      <c r="D2874" s="6" t="s">
        <v>436</v>
      </c>
      <c r="E2874" s="6" t="s">
        <v>1570</v>
      </c>
      <c r="F2874" s="6" t="s">
        <v>249</v>
      </c>
      <c r="G2874" s="6" t="s">
        <v>494</v>
      </c>
      <c r="H2874" s="11" t="s">
        <v>259</v>
      </c>
      <c r="I2874" s="12">
        <v>11.0</v>
      </c>
      <c r="J2874" s="6" t="s">
        <v>161</v>
      </c>
    </row>
    <row r="2875" ht="22.5" customHeight="1">
      <c r="A2875" s="6" t="s">
        <v>13945</v>
      </c>
      <c r="B2875" s="6" t="s">
        <v>6969</v>
      </c>
      <c r="C2875" s="10">
        <v>46041.0</v>
      </c>
      <c r="D2875" s="6" t="s">
        <v>391</v>
      </c>
      <c r="E2875" s="6" t="s">
        <v>1280</v>
      </c>
      <c r="F2875" s="6" t="s">
        <v>283</v>
      </c>
      <c r="G2875" s="6" t="s">
        <v>297</v>
      </c>
      <c r="H2875" s="10">
        <v>46044.0</v>
      </c>
      <c r="I2875" s="12">
        <v>10.0</v>
      </c>
      <c r="J2875" s="6" t="s">
        <v>161</v>
      </c>
    </row>
    <row r="2876" ht="22.5" customHeight="1">
      <c r="A2876" s="6" t="s">
        <v>13950</v>
      </c>
      <c r="B2876" s="6" t="s">
        <v>6969</v>
      </c>
      <c r="C2876" s="10">
        <v>46040.0</v>
      </c>
      <c r="D2876" s="6" t="s">
        <v>242</v>
      </c>
      <c r="E2876" s="6" t="s">
        <v>1700</v>
      </c>
      <c r="F2876" s="6" t="s">
        <v>249</v>
      </c>
      <c r="G2876" s="6" t="s">
        <v>452</v>
      </c>
      <c r="H2876" s="10">
        <v>46041.0</v>
      </c>
      <c r="I2876" s="12">
        <v>6.0</v>
      </c>
      <c r="J2876" s="6" t="s">
        <v>178</v>
      </c>
    </row>
    <row r="2877" ht="22.5" customHeight="1">
      <c r="A2877" s="6" t="s">
        <v>13954</v>
      </c>
      <c r="B2877" s="6" t="s">
        <v>6975</v>
      </c>
      <c r="C2877" s="10">
        <v>46032.0</v>
      </c>
      <c r="D2877" s="6" t="s">
        <v>436</v>
      </c>
      <c r="E2877" s="6" t="s">
        <v>2881</v>
      </c>
      <c r="F2877" s="6" t="s">
        <v>439</v>
      </c>
      <c r="G2877" s="6" t="s">
        <v>452</v>
      </c>
      <c r="H2877" s="10">
        <v>46033.0</v>
      </c>
      <c r="I2877" s="12">
        <v>8.0</v>
      </c>
      <c r="J2877" s="6" t="s">
        <v>178</v>
      </c>
    </row>
    <row r="2878" ht="22.5" customHeight="1">
      <c r="A2878" s="6" t="s">
        <v>13958</v>
      </c>
      <c r="B2878" s="6" t="s">
        <v>6975</v>
      </c>
      <c r="C2878" s="10">
        <v>46029.0</v>
      </c>
      <c r="D2878" s="6" t="s">
        <v>677</v>
      </c>
      <c r="E2878" s="6" t="s">
        <v>1546</v>
      </c>
      <c r="F2878" s="6" t="s">
        <v>249</v>
      </c>
      <c r="G2878" s="6" t="s">
        <v>326</v>
      </c>
      <c r="H2878" s="10">
        <v>46029.0</v>
      </c>
      <c r="I2878" s="12">
        <v>2.0</v>
      </c>
      <c r="J2878" s="6" t="s">
        <v>161</v>
      </c>
    </row>
    <row r="2879" ht="22.5" customHeight="1">
      <c r="A2879" s="6" t="s">
        <v>13964</v>
      </c>
      <c r="B2879" s="6" t="s">
        <v>6975</v>
      </c>
      <c r="C2879" s="10">
        <v>46038.0</v>
      </c>
      <c r="D2879" s="6" t="s">
        <v>391</v>
      </c>
      <c r="E2879" s="6" t="s">
        <v>833</v>
      </c>
      <c r="F2879" s="6" t="s">
        <v>112</v>
      </c>
      <c r="G2879" s="6" t="s">
        <v>297</v>
      </c>
      <c r="H2879" s="10">
        <v>46040.0</v>
      </c>
      <c r="I2879" s="12">
        <v>9.0</v>
      </c>
      <c r="J2879" s="6" t="s">
        <v>161</v>
      </c>
    </row>
    <row r="2880" ht="22.5" customHeight="1">
      <c r="A2880" s="6" t="s">
        <v>13967</v>
      </c>
      <c r="B2880" s="6" t="s">
        <v>6975</v>
      </c>
      <c r="C2880" s="10">
        <v>46032.0</v>
      </c>
      <c r="D2880" s="6" t="s">
        <v>312</v>
      </c>
      <c r="E2880" s="6" t="s">
        <v>365</v>
      </c>
      <c r="F2880" s="6" t="s">
        <v>249</v>
      </c>
      <c r="G2880" s="6" t="s">
        <v>458</v>
      </c>
      <c r="H2880" s="10">
        <v>46038.0</v>
      </c>
      <c r="I2880" s="12">
        <v>7.0</v>
      </c>
      <c r="J2880" s="6" t="s">
        <v>161</v>
      </c>
    </row>
    <row r="2881" ht="22.5" customHeight="1">
      <c r="A2881" s="6" t="s">
        <v>13973</v>
      </c>
      <c r="B2881" s="6" t="s">
        <v>6981</v>
      </c>
      <c r="C2881" s="10">
        <v>46064.0</v>
      </c>
      <c r="D2881" s="6" t="s">
        <v>289</v>
      </c>
      <c r="E2881" s="6" t="s">
        <v>2881</v>
      </c>
      <c r="F2881" s="6" t="s">
        <v>112</v>
      </c>
      <c r="G2881" s="6" t="s">
        <v>254</v>
      </c>
      <c r="H2881" s="11" t="s">
        <v>259</v>
      </c>
      <c r="I2881" s="12">
        <v>8.0</v>
      </c>
      <c r="J2881" s="6" t="s">
        <v>161</v>
      </c>
    </row>
    <row r="2882" ht="22.5" customHeight="1">
      <c r="A2882" s="6" t="s">
        <v>13977</v>
      </c>
      <c r="B2882" s="6" t="s">
        <v>6987</v>
      </c>
      <c r="C2882" s="10">
        <v>46060.0</v>
      </c>
      <c r="D2882" s="6" t="s">
        <v>289</v>
      </c>
      <c r="E2882" s="6" t="s">
        <v>628</v>
      </c>
      <c r="F2882" s="6" t="s">
        <v>283</v>
      </c>
      <c r="G2882" s="6" t="s">
        <v>477</v>
      </c>
      <c r="H2882" s="10">
        <v>46061.0</v>
      </c>
      <c r="I2882" s="12">
        <v>8.0</v>
      </c>
      <c r="J2882" s="6" t="s">
        <v>161</v>
      </c>
    </row>
    <row r="2883" ht="22.5" customHeight="1">
      <c r="A2883" s="6" t="s">
        <v>13983</v>
      </c>
      <c r="B2883" s="6" t="s">
        <v>6987</v>
      </c>
      <c r="C2883" s="10">
        <v>46072.0</v>
      </c>
      <c r="D2883" s="6" t="s">
        <v>289</v>
      </c>
      <c r="E2883" s="6" t="s">
        <v>1149</v>
      </c>
      <c r="F2883" s="6" t="s">
        <v>249</v>
      </c>
      <c r="G2883" s="6" t="s">
        <v>254</v>
      </c>
      <c r="H2883" s="10">
        <v>46078.0</v>
      </c>
      <c r="I2883" s="12">
        <v>8.0</v>
      </c>
      <c r="J2883" s="6" t="s">
        <v>161</v>
      </c>
    </row>
    <row r="2884" ht="22.5" customHeight="1">
      <c r="A2884" s="6" t="s">
        <v>13984</v>
      </c>
      <c r="B2884" s="6" t="s">
        <v>6994</v>
      </c>
      <c r="C2884" s="10">
        <v>46051.0</v>
      </c>
      <c r="D2884" s="6" t="s">
        <v>289</v>
      </c>
      <c r="E2884" s="6" t="s">
        <v>1070</v>
      </c>
      <c r="F2884" s="6" t="s">
        <v>439</v>
      </c>
      <c r="G2884" s="6" t="s">
        <v>369</v>
      </c>
      <c r="H2884" s="11" t="s">
        <v>259</v>
      </c>
      <c r="I2884" s="12">
        <v>7.0</v>
      </c>
      <c r="J2884" s="6" t="s">
        <v>161</v>
      </c>
    </row>
    <row r="2885" ht="22.5" customHeight="1">
      <c r="A2885" s="6" t="s">
        <v>13989</v>
      </c>
      <c r="B2885" s="6" t="s">
        <v>6994</v>
      </c>
      <c r="C2885" s="10">
        <v>46048.0</v>
      </c>
      <c r="D2885" s="6" t="s">
        <v>677</v>
      </c>
      <c r="E2885" s="6" t="s">
        <v>291</v>
      </c>
      <c r="F2885" s="6" t="s">
        <v>112</v>
      </c>
      <c r="G2885" s="6" t="s">
        <v>452</v>
      </c>
      <c r="H2885" s="10">
        <v>46054.0</v>
      </c>
      <c r="I2885" s="12">
        <v>3.0</v>
      </c>
      <c r="J2885" s="6" t="s">
        <v>161</v>
      </c>
    </row>
    <row r="2886" ht="22.5" customHeight="1">
      <c r="A2886" s="6" t="s">
        <v>13993</v>
      </c>
      <c r="B2886" s="6" t="s">
        <v>6994</v>
      </c>
      <c r="C2886" s="10">
        <v>46053.0</v>
      </c>
      <c r="D2886" s="6" t="s">
        <v>242</v>
      </c>
      <c r="E2886" s="6" t="s">
        <v>1720</v>
      </c>
      <c r="F2886" s="6" t="s">
        <v>283</v>
      </c>
      <c r="G2886" s="6" t="s">
        <v>297</v>
      </c>
      <c r="H2886" s="10">
        <v>46054.0</v>
      </c>
      <c r="I2886" s="12">
        <v>3.0</v>
      </c>
      <c r="J2886" s="6" t="s">
        <v>178</v>
      </c>
    </row>
    <row r="2887" ht="22.5" customHeight="1">
      <c r="A2887" s="6" t="s">
        <v>13997</v>
      </c>
      <c r="B2887" s="6" t="s">
        <v>6994</v>
      </c>
      <c r="C2887" s="10">
        <v>46057.0</v>
      </c>
      <c r="D2887" s="6" t="s">
        <v>289</v>
      </c>
      <c r="E2887" s="6" t="s">
        <v>1149</v>
      </c>
      <c r="F2887" s="6" t="s">
        <v>283</v>
      </c>
      <c r="G2887" s="6" t="s">
        <v>326</v>
      </c>
      <c r="H2887" s="10">
        <v>46061.0</v>
      </c>
      <c r="I2887" s="12">
        <v>7.0</v>
      </c>
      <c r="J2887" s="6" t="s">
        <v>161</v>
      </c>
    </row>
    <row r="2888" ht="22.5" customHeight="1">
      <c r="A2888" s="6" t="s">
        <v>14003</v>
      </c>
      <c r="B2888" s="6" t="s">
        <v>6994</v>
      </c>
      <c r="C2888" s="10">
        <v>46058.0</v>
      </c>
      <c r="D2888" s="6" t="s">
        <v>391</v>
      </c>
      <c r="E2888" s="6" t="s">
        <v>1273</v>
      </c>
      <c r="F2888" s="6" t="s">
        <v>112</v>
      </c>
      <c r="G2888" s="6" t="s">
        <v>326</v>
      </c>
      <c r="H2888" s="10">
        <v>46060.0</v>
      </c>
      <c r="I2888" s="12">
        <v>7.0</v>
      </c>
      <c r="J2888" s="6" t="s">
        <v>161</v>
      </c>
    </row>
    <row r="2889" ht="22.5" customHeight="1">
      <c r="A2889" s="6" t="s">
        <v>14006</v>
      </c>
      <c r="B2889" s="6" t="s">
        <v>7000</v>
      </c>
      <c r="C2889" s="10">
        <v>46045.0</v>
      </c>
      <c r="D2889" s="6" t="s">
        <v>677</v>
      </c>
      <c r="E2889" s="6" t="s">
        <v>731</v>
      </c>
      <c r="F2889" s="6" t="s">
        <v>249</v>
      </c>
      <c r="G2889" s="6" t="s">
        <v>369</v>
      </c>
      <c r="H2889" s="11" t="s">
        <v>259</v>
      </c>
      <c r="I2889" s="12">
        <v>4.0</v>
      </c>
      <c r="J2889" s="6" t="s">
        <v>161</v>
      </c>
    </row>
    <row r="2890" ht="22.5" customHeight="1">
      <c r="A2890" s="6" t="s">
        <v>14010</v>
      </c>
      <c r="B2890" s="6" t="s">
        <v>7000</v>
      </c>
      <c r="C2890" s="10">
        <v>46049.0</v>
      </c>
      <c r="D2890" s="6" t="s">
        <v>289</v>
      </c>
      <c r="E2890" s="6" t="s">
        <v>1070</v>
      </c>
      <c r="F2890" s="6" t="s">
        <v>439</v>
      </c>
      <c r="G2890" s="6" t="s">
        <v>494</v>
      </c>
      <c r="H2890" s="10">
        <v>46052.0</v>
      </c>
      <c r="I2890" s="12">
        <v>7.0</v>
      </c>
      <c r="J2890" s="6" t="s">
        <v>161</v>
      </c>
    </row>
    <row r="2891" ht="22.5" customHeight="1">
      <c r="A2891" s="6" t="s">
        <v>14013</v>
      </c>
      <c r="B2891" s="6" t="s">
        <v>7000</v>
      </c>
      <c r="C2891" s="10">
        <v>46053.0</v>
      </c>
      <c r="D2891" s="6" t="s">
        <v>416</v>
      </c>
      <c r="E2891" s="6" t="s">
        <v>1149</v>
      </c>
      <c r="F2891" s="6" t="s">
        <v>112</v>
      </c>
      <c r="G2891" s="6" t="s">
        <v>254</v>
      </c>
      <c r="H2891" s="10">
        <v>46058.0</v>
      </c>
      <c r="I2891" s="12">
        <v>8.0</v>
      </c>
      <c r="J2891" s="6" t="s">
        <v>161</v>
      </c>
    </row>
    <row r="2892" ht="22.5" customHeight="1">
      <c r="A2892" s="6" t="s">
        <v>14017</v>
      </c>
      <c r="B2892" s="6" t="s">
        <v>7000</v>
      </c>
      <c r="C2892" s="10">
        <v>46043.0</v>
      </c>
      <c r="D2892" s="6" t="s">
        <v>436</v>
      </c>
      <c r="E2892" s="6" t="s">
        <v>658</v>
      </c>
      <c r="F2892" s="6" t="s">
        <v>249</v>
      </c>
      <c r="G2892" s="6" t="s">
        <v>494</v>
      </c>
      <c r="H2892" s="11" t="s">
        <v>259</v>
      </c>
      <c r="I2892" s="12">
        <v>12.0</v>
      </c>
      <c r="J2892" s="6" t="s">
        <v>161</v>
      </c>
    </row>
    <row r="2893" ht="22.5" customHeight="1">
      <c r="A2893" s="6" t="s">
        <v>14020</v>
      </c>
      <c r="B2893" s="6" t="s">
        <v>7000</v>
      </c>
      <c r="C2893" s="10">
        <v>46042.0</v>
      </c>
      <c r="D2893" s="6" t="s">
        <v>436</v>
      </c>
      <c r="E2893" s="6" t="s">
        <v>1310</v>
      </c>
      <c r="F2893" s="6" t="s">
        <v>439</v>
      </c>
      <c r="G2893" s="6" t="s">
        <v>369</v>
      </c>
      <c r="H2893" s="10">
        <v>46049.0</v>
      </c>
      <c r="I2893" s="12">
        <v>7.0</v>
      </c>
      <c r="J2893" s="6" t="s">
        <v>178</v>
      </c>
    </row>
    <row r="2894" ht="22.5" customHeight="1">
      <c r="A2894" s="6" t="s">
        <v>14026</v>
      </c>
      <c r="B2894" s="6" t="s">
        <v>7007</v>
      </c>
      <c r="C2894" s="10">
        <v>46049.0</v>
      </c>
      <c r="D2894" s="6" t="s">
        <v>416</v>
      </c>
      <c r="E2894" s="6" t="s">
        <v>1035</v>
      </c>
      <c r="F2894" s="6" t="s">
        <v>283</v>
      </c>
      <c r="G2894" s="6" t="s">
        <v>297</v>
      </c>
      <c r="H2894" s="10">
        <v>46056.0</v>
      </c>
      <c r="I2894" s="12">
        <v>13.0</v>
      </c>
      <c r="J2894" s="6" t="s">
        <v>161</v>
      </c>
    </row>
    <row r="2895" ht="22.5" customHeight="1">
      <c r="A2895" s="6" t="s">
        <v>14033</v>
      </c>
      <c r="B2895" s="6" t="s">
        <v>7007</v>
      </c>
      <c r="C2895" s="10">
        <v>46051.0</v>
      </c>
      <c r="D2895" s="6" t="s">
        <v>289</v>
      </c>
      <c r="E2895" s="6" t="s">
        <v>896</v>
      </c>
      <c r="F2895" s="6" t="s">
        <v>283</v>
      </c>
      <c r="G2895" s="6" t="s">
        <v>477</v>
      </c>
      <c r="H2895" s="11" t="s">
        <v>259</v>
      </c>
      <c r="I2895" s="12">
        <v>8.0</v>
      </c>
      <c r="J2895" s="6" t="s">
        <v>161</v>
      </c>
    </row>
    <row r="2896" ht="22.5" customHeight="1">
      <c r="A2896" s="6" t="s">
        <v>14042</v>
      </c>
      <c r="B2896" s="6" t="s">
        <v>7007</v>
      </c>
      <c r="C2896" s="10">
        <v>46043.0</v>
      </c>
      <c r="D2896" s="6" t="s">
        <v>436</v>
      </c>
      <c r="E2896" s="6" t="s">
        <v>1035</v>
      </c>
      <c r="F2896" s="6" t="s">
        <v>112</v>
      </c>
      <c r="G2896" s="6" t="s">
        <v>477</v>
      </c>
      <c r="H2896" s="10">
        <v>46044.0</v>
      </c>
      <c r="I2896" s="12">
        <v>10.0</v>
      </c>
      <c r="J2896" s="6" t="s">
        <v>178</v>
      </c>
    </row>
    <row r="2897" ht="22.5" customHeight="1">
      <c r="A2897" s="6" t="s">
        <v>14047</v>
      </c>
      <c r="B2897" s="6" t="s">
        <v>7007</v>
      </c>
      <c r="C2897" s="10">
        <v>46051.0</v>
      </c>
      <c r="D2897" s="6" t="s">
        <v>436</v>
      </c>
      <c r="E2897" s="6" t="s">
        <v>1700</v>
      </c>
      <c r="F2897" s="6" t="s">
        <v>439</v>
      </c>
      <c r="G2897" s="6" t="s">
        <v>297</v>
      </c>
      <c r="H2897" s="10">
        <v>46053.0</v>
      </c>
      <c r="I2897" s="12">
        <v>6.0</v>
      </c>
      <c r="J2897" s="6" t="s">
        <v>178</v>
      </c>
    </row>
    <row r="2898" ht="22.5" customHeight="1">
      <c r="A2898" s="6" t="s">
        <v>14050</v>
      </c>
      <c r="B2898" s="6" t="s">
        <v>7012</v>
      </c>
      <c r="C2898" s="10">
        <v>46066.0</v>
      </c>
      <c r="D2898" s="6" t="s">
        <v>391</v>
      </c>
      <c r="E2898" s="6" t="s">
        <v>1600</v>
      </c>
      <c r="F2898" s="6" t="s">
        <v>249</v>
      </c>
      <c r="G2898" s="6" t="s">
        <v>452</v>
      </c>
      <c r="H2898" s="11" t="s">
        <v>259</v>
      </c>
      <c r="I2898" s="12">
        <v>9.0</v>
      </c>
      <c r="J2898" s="6" t="s">
        <v>161</v>
      </c>
    </row>
    <row r="2899" ht="22.5" customHeight="1">
      <c r="A2899" s="6" t="s">
        <v>14054</v>
      </c>
      <c r="B2899" s="6" t="s">
        <v>7012</v>
      </c>
      <c r="C2899" s="10">
        <v>46060.0</v>
      </c>
      <c r="D2899" s="6" t="s">
        <v>391</v>
      </c>
      <c r="E2899" s="6" t="s">
        <v>798</v>
      </c>
      <c r="F2899" s="6" t="s">
        <v>439</v>
      </c>
      <c r="G2899" s="6" t="s">
        <v>477</v>
      </c>
      <c r="H2899" s="10">
        <v>46065.0</v>
      </c>
      <c r="I2899" s="12">
        <v>6.0</v>
      </c>
      <c r="J2899" s="6" t="s">
        <v>161</v>
      </c>
    </row>
    <row r="2900" ht="22.5" customHeight="1">
      <c r="A2900" s="6" t="s">
        <v>14059</v>
      </c>
      <c r="B2900" s="6" t="s">
        <v>7012</v>
      </c>
      <c r="C2900" s="10">
        <v>46054.0</v>
      </c>
      <c r="D2900" s="6" t="s">
        <v>312</v>
      </c>
      <c r="E2900" s="6" t="s">
        <v>1741</v>
      </c>
      <c r="F2900" s="6" t="s">
        <v>439</v>
      </c>
      <c r="G2900" s="6" t="s">
        <v>369</v>
      </c>
      <c r="H2900" s="10">
        <v>46054.0</v>
      </c>
      <c r="I2900" s="12">
        <v>4.0</v>
      </c>
      <c r="J2900" s="6" t="s">
        <v>161</v>
      </c>
    </row>
    <row r="2901" ht="22.5" customHeight="1">
      <c r="A2901" s="6" t="s">
        <v>14063</v>
      </c>
      <c r="B2901" s="6" t="s">
        <v>7012</v>
      </c>
      <c r="C2901" s="10">
        <v>46059.0</v>
      </c>
      <c r="D2901" s="6" t="s">
        <v>416</v>
      </c>
      <c r="E2901" s="6" t="s">
        <v>1122</v>
      </c>
      <c r="F2901" s="6" t="s">
        <v>283</v>
      </c>
      <c r="G2901" s="6" t="s">
        <v>254</v>
      </c>
      <c r="H2901" s="10">
        <v>46065.0</v>
      </c>
      <c r="I2901" s="12">
        <v>10.0</v>
      </c>
      <c r="J2901" s="6" t="s">
        <v>161</v>
      </c>
    </row>
    <row r="2902" ht="22.5" customHeight="1">
      <c r="A2902" s="6" t="s">
        <v>14067</v>
      </c>
      <c r="B2902" s="6" t="s">
        <v>7012</v>
      </c>
      <c r="C2902" s="10">
        <v>46052.0</v>
      </c>
      <c r="D2902" s="6" t="s">
        <v>436</v>
      </c>
      <c r="E2902" s="6" t="s">
        <v>1626</v>
      </c>
      <c r="F2902" s="6" t="s">
        <v>439</v>
      </c>
      <c r="G2902" s="6" t="s">
        <v>297</v>
      </c>
      <c r="H2902" s="10">
        <v>46052.0</v>
      </c>
      <c r="I2902" s="12">
        <v>9.0</v>
      </c>
      <c r="J2902" s="6" t="s">
        <v>178</v>
      </c>
    </row>
    <row r="2903" ht="22.5" customHeight="1">
      <c r="A2903" s="6" t="s">
        <v>14071</v>
      </c>
      <c r="B2903" s="6" t="s">
        <v>7019</v>
      </c>
      <c r="C2903" s="10">
        <v>46048.0</v>
      </c>
      <c r="D2903" s="6" t="s">
        <v>436</v>
      </c>
      <c r="E2903" s="6" t="s">
        <v>1720</v>
      </c>
      <c r="F2903" s="6" t="s">
        <v>112</v>
      </c>
      <c r="G2903" s="6" t="s">
        <v>458</v>
      </c>
      <c r="H2903" s="11" t="s">
        <v>259</v>
      </c>
      <c r="I2903" s="12">
        <v>7.0</v>
      </c>
      <c r="J2903" s="6" t="s">
        <v>161</v>
      </c>
    </row>
    <row r="2904" ht="22.5" customHeight="1">
      <c r="A2904" s="6" t="s">
        <v>14074</v>
      </c>
      <c r="B2904" s="6" t="s">
        <v>7019</v>
      </c>
      <c r="C2904" s="10">
        <v>46056.0</v>
      </c>
      <c r="D2904" s="6" t="s">
        <v>242</v>
      </c>
      <c r="E2904" s="6" t="s">
        <v>610</v>
      </c>
      <c r="F2904" s="6" t="s">
        <v>439</v>
      </c>
      <c r="G2904" s="6" t="s">
        <v>458</v>
      </c>
      <c r="H2904" s="10">
        <v>46062.0</v>
      </c>
      <c r="I2904" s="12">
        <v>6.0</v>
      </c>
      <c r="J2904" s="6" t="s">
        <v>161</v>
      </c>
    </row>
    <row r="2905" ht="22.5" customHeight="1">
      <c r="A2905" s="6" t="s">
        <v>14080</v>
      </c>
      <c r="B2905" s="6" t="s">
        <v>7019</v>
      </c>
      <c r="C2905" s="10">
        <v>46062.0</v>
      </c>
      <c r="D2905" s="6" t="s">
        <v>289</v>
      </c>
      <c r="E2905" s="6" t="s">
        <v>695</v>
      </c>
      <c r="F2905" s="6" t="s">
        <v>112</v>
      </c>
      <c r="G2905" s="6" t="s">
        <v>369</v>
      </c>
      <c r="H2905" s="10">
        <v>46067.0</v>
      </c>
      <c r="I2905" s="12">
        <v>10.0</v>
      </c>
      <c r="J2905" s="6" t="s">
        <v>161</v>
      </c>
    </row>
    <row r="2906" ht="22.5" customHeight="1">
      <c r="A2906" s="6" t="s">
        <v>14083</v>
      </c>
      <c r="B2906" s="6" t="s">
        <v>7019</v>
      </c>
      <c r="C2906" s="10">
        <v>46059.0</v>
      </c>
      <c r="D2906" s="6" t="s">
        <v>312</v>
      </c>
      <c r="E2906" s="6" t="s">
        <v>1386</v>
      </c>
      <c r="F2906" s="6" t="s">
        <v>439</v>
      </c>
      <c r="G2906" s="6" t="s">
        <v>297</v>
      </c>
      <c r="H2906" s="11" t="s">
        <v>259</v>
      </c>
      <c r="I2906" s="12">
        <v>6.0</v>
      </c>
      <c r="J2906" s="6" t="s">
        <v>161</v>
      </c>
    </row>
    <row r="2907" ht="22.5" customHeight="1">
      <c r="A2907" s="6" t="s">
        <v>14087</v>
      </c>
      <c r="B2907" s="6" t="s">
        <v>7025</v>
      </c>
      <c r="C2907" s="10">
        <v>46033.0</v>
      </c>
      <c r="D2907" s="6" t="s">
        <v>436</v>
      </c>
      <c r="E2907" s="6" t="s">
        <v>1720</v>
      </c>
      <c r="F2907" s="6" t="s">
        <v>439</v>
      </c>
      <c r="G2907" s="6" t="s">
        <v>452</v>
      </c>
      <c r="H2907" s="10">
        <v>46040.0</v>
      </c>
      <c r="I2907" s="12">
        <v>10.0</v>
      </c>
      <c r="J2907" s="6" t="s">
        <v>161</v>
      </c>
    </row>
    <row r="2908" ht="22.5" customHeight="1">
      <c r="A2908" s="6" t="s">
        <v>14093</v>
      </c>
      <c r="B2908" s="6" t="s">
        <v>7031</v>
      </c>
      <c r="C2908" s="10">
        <v>46052.0</v>
      </c>
      <c r="D2908" s="6" t="s">
        <v>416</v>
      </c>
      <c r="E2908" s="6" t="s">
        <v>787</v>
      </c>
      <c r="F2908" s="6" t="s">
        <v>439</v>
      </c>
      <c r="G2908" s="6" t="s">
        <v>477</v>
      </c>
      <c r="H2908" s="10">
        <v>46054.0</v>
      </c>
      <c r="I2908" s="12">
        <v>12.0</v>
      </c>
      <c r="J2908" s="6" t="s">
        <v>161</v>
      </c>
    </row>
    <row r="2909" ht="22.5" customHeight="1">
      <c r="A2909" s="6" t="s">
        <v>14096</v>
      </c>
      <c r="B2909" s="6" t="s">
        <v>7031</v>
      </c>
      <c r="C2909" s="10">
        <v>46055.0</v>
      </c>
      <c r="D2909" s="6" t="s">
        <v>289</v>
      </c>
      <c r="E2909" s="6" t="s">
        <v>1570</v>
      </c>
      <c r="F2909" s="6" t="s">
        <v>112</v>
      </c>
      <c r="G2909" s="6" t="s">
        <v>254</v>
      </c>
      <c r="H2909" s="10">
        <v>46060.0</v>
      </c>
      <c r="I2909" s="12">
        <v>6.0</v>
      </c>
      <c r="J2909" s="6" t="s">
        <v>161</v>
      </c>
    </row>
    <row r="2910" ht="22.5" customHeight="1">
      <c r="A2910" s="6" t="s">
        <v>14102</v>
      </c>
      <c r="B2910" s="6" t="s">
        <v>7031</v>
      </c>
      <c r="C2910" s="10">
        <v>46048.0</v>
      </c>
      <c r="D2910" s="6" t="s">
        <v>312</v>
      </c>
      <c r="E2910" s="6" t="s">
        <v>1969</v>
      </c>
      <c r="F2910" s="6" t="s">
        <v>112</v>
      </c>
      <c r="G2910" s="6" t="s">
        <v>326</v>
      </c>
      <c r="H2910" s="11" t="s">
        <v>259</v>
      </c>
      <c r="I2910" s="12">
        <v>5.0</v>
      </c>
      <c r="J2910" s="6" t="s">
        <v>161</v>
      </c>
    </row>
    <row r="2911" ht="22.5" customHeight="1">
      <c r="A2911" s="6" t="s">
        <v>14111</v>
      </c>
      <c r="B2911" s="6" t="s">
        <v>7031</v>
      </c>
      <c r="C2911" s="10">
        <v>46051.0</v>
      </c>
      <c r="D2911" s="6" t="s">
        <v>677</v>
      </c>
      <c r="E2911" s="6" t="s">
        <v>628</v>
      </c>
      <c r="F2911" s="6" t="s">
        <v>283</v>
      </c>
      <c r="G2911" s="6" t="s">
        <v>458</v>
      </c>
      <c r="H2911" s="10">
        <v>46053.0</v>
      </c>
      <c r="I2911" s="12">
        <v>4.0</v>
      </c>
      <c r="J2911" s="6" t="s">
        <v>161</v>
      </c>
    </row>
    <row r="2912" ht="22.5" customHeight="1">
      <c r="A2912" s="6" t="s">
        <v>14117</v>
      </c>
      <c r="B2912" s="6" t="s">
        <v>7038</v>
      </c>
      <c r="C2912" s="10">
        <v>46068.0</v>
      </c>
      <c r="D2912" s="6" t="s">
        <v>312</v>
      </c>
      <c r="E2912" s="6" t="s">
        <v>566</v>
      </c>
      <c r="F2912" s="6" t="s">
        <v>283</v>
      </c>
      <c r="G2912" s="6" t="s">
        <v>254</v>
      </c>
      <c r="H2912" s="11" t="s">
        <v>259</v>
      </c>
      <c r="I2912" s="12">
        <v>5.0</v>
      </c>
      <c r="J2912" s="6" t="s">
        <v>161</v>
      </c>
    </row>
    <row r="2913" ht="22.5" customHeight="1">
      <c r="A2913" s="6" t="s">
        <v>14125</v>
      </c>
      <c r="B2913" s="6" t="s">
        <v>7044</v>
      </c>
      <c r="C2913" s="10">
        <v>46043.0</v>
      </c>
      <c r="D2913" s="6" t="s">
        <v>416</v>
      </c>
      <c r="E2913" s="6" t="s">
        <v>687</v>
      </c>
      <c r="F2913" s="6" t="s">
        <v>249</v>
      </c>
      <c r="G2913" s="6" t="s">
        <v>297</v>
      </c>
      <c r="H2913" s="10">
        <v>46046.0</v>
      </c>
      <c r="I2913" s="12">
        <v>11.0</v>
      </c>
      <c r="J2913" s="6" t="s">
        <v>161</v>
      </c>
    </row>
    <row r="2914" ht="22.5" customHeight="1">
      <c r="A2914" s="6" t="s">
        <v>14134</v>
      </c>
      <c r="B2914" s="6" t="s">
        <v>7044</v>
      </c>
      <c r="C2914" s="10">
        <v>46040.0</v>
      </c>
      <c r="D2914" s="6" t="s">
        <v>416</v>
      </c>
      <c r="E2914" s="6" t="s">
        <v>1280</v>
      </c>
      <c r="F2914" s="6" t="s">
        <v>439</v>
      </c>
      <c r="G2914" s="6" t="s">
        <v>254</v>
      </c>
      <c r="H2914" s="10">
        <v>46043.0</v>
      </c>
      <c r="I2914" s="12">
        <v>13.0</v>
      </c>
      <c r="J2914" s="6" t="s">
        <v>161</v>
      </c>
    </row>
    <row r="2915" ht="22.5" customHeight="1">
      <c r="A2915" s="6" t="s">
        <v>14140</v>
      </c>
      <c r="B2915" s="6" t="s">
        <v>7044</v>
      </c>
      <c r="C2915" s="10">
        <v>46040.0</v>
      </c>
      <c r="D2915" s="6" t="s">
        <v>436</v>
      </c>
      <c r="E2915" s="6" t="s">
        <v>450</v>
      </c>
      <c r="F2915" s="6" t="s">
        <v>249</v>
      </c>
      <c r="G2915" s="6" t="s">
        <v>458</v>
      </c>
      <c r="H2915" s="10">
        <v>46041.0</v>
      </c>
      <c r="I2915" s="12">
        <v>7.0</v>
      </c>
      <c r="J2915" s="6" t="s">
        <v>178</v>
      </c>
    </row>
    <row r="2916" ht="22.5" customHeight="1">
      <c r="A2916" s="6" t="s">
        <v>14148</v>
      </c>
      <c r="B2916" s="6" t="s">
        <v>7044</v>
      </c>
      <c r="C2916" s="10">
        <v>46044.0</v>
      </c>
      <c r="D2916" s="6" t="s">
        <v>436</v>
      </c>
      <c r="E2916" s="6" t="s">
        <v>833</v>
      </c>
      <c r="F2916" s="6" t="s">
        <v>249</v>
      </c>
      <c r="G2916" s="6" t="s">
        <v>326</v>
      </c>
      <c r="H2916" s="10">
        <v>46051.0</v>
      </c>
      <c r="I2916" s="12">
        <v>10.0</v>
      </c>
      <c r="J2916" s="6" t="s">
        <v>178</v>
      </c>
    </row>
    <row r="2917" ht="22.5" customHeight="1">
      <c r="A2917" s="6" t="s">
        <v>14156</v>
      </c>
      <c r="B2917" s="6" t="s">
        <v>7044</v>
      </c>
      <c r="C2917" s="10">
        <v>46043.0</v>
      </c>
      <c r="D2917" s="6" t="s">
        <v>677</v>
      </c>
      <c r="E2917" s="6" t="s">
        <v>687</v>
      </c>
      <c r="F2917" s="6" t="s">
        <v>439</v>
      </c>
      <c r="G2917" s="6" t="s">
        <v>254</v>
      </c>
      <c r="H2917" s="10">
        <v>46048.0</v>
      </c>
      <c r="I2917" s="12">
        <v>3.0</v>
      </c>
      <c r="J2917" s="6" t="s">
        <v>161</v>
      </c>
    </row>
    <row r="2918" ht="22.5" customHeight="1">
      <c r="A2918" s="6" t="s">
        <v>14159</v>
      </c>
      <c r="B2918" s="6" t="s">
        <v>7051</v>
      </c>
      <c r="C2918" s="10">
        <v>46034.0</v>
      </c>
      <c r="D2918" s="6" t="s">
        <v>436</v>
      </c>
      <c r="E2918" s="6" t="s">
        <v>1296</v>
      </c>
      <c r="F2918" s="6" t="s">
        <v>439</v>
      </c>
      <c r="G2918" s="6" t="s">
        <v>458</v>
      </c>
      <c r="H2918" s="11" t="s">
        <v>259</v>
      </c>
      <c r="I2918" s="12">
        <v>6.0</v>
      </c>
      <c r="J2918" s="6" t="s">
        <v>178</v>
      </c>
    </row>
    <row r="2919" ht="22.5" customHeight="1">
      <c r="A2919" s="6" t="s">
        <v>14163</v>
      </c>
      <c r="B2919" s="6" t="s">
        <v>7057</v>
      </c>
      <c r="C2919" s="10">
        <v>46050.0</v>
      </c>
      <c r="D2919" s="6" t="s">
        <v>416</v>
      </c>
      <c r="E2919" s="6" t="s">
        <v>1055</v>
      </c>
      <c r="F2919" s="6" t="s">
        <v>439</v>
      </c>
      <c r="G2919" s="6" t="s">
        <v>254</v>
      </c>
      <c r="H2919" s="11" t="s">
        <v>259</v>
      </c>
      <c r="I2919" s="12">
        <v>10.0</v>
      </c>
      <c r="J2919" s="6" t="s">
        <v>161</v>
      </c>
    </row>
    <row r="2920" ht="22.5" customHeight="1">
      <c r="A2920" s="6" t="s">
        <v>14169</v>
      </c>
      <c r="B2920" s="6" t="s">
        <v>7057</v>
      </c>
      <c r="C2920" s="10">
        <v>46052.0</v>
      </c>
      <c r="D2920" s="6" t="s">
        <v>416</v>
      </c>
      <c r="E2920" s="6" t="s">
        <v>812</v>
      </c>
      <c r="F2920" s="6" t="s">
        <v>249</v>
      </c>
      <c r="G2920" s="6" t="s">
        <v>494</v>
      </c>
      <c r="H2920" s="10">
        <v>46058.0</v>
      </c>
      <c r="I2920" s="12">
        <v>14.0</v>
      </c>
      <c r="J2920" s="6" t="s">
        <v>161</v>
      </c>
    </row>
    <row r="2921" ht="22.5" customHeight="1">
      <c r="A2921" s="6" t="s">
        <v>14172</v>
      </c>
      <c r="B2921" s="6" t="s">
        <v>7057</v>
      </c>
      <c r="C2921" s="10">
        <v>46051.0</v>
      </c>
      <c r="D2921" s="6" t="s">
        <v>677</v>
      </c>
      <c r="E2921" s="6" t="s">
        <v>775</v>
      </c>
      <c r="F2921" s="6" t="s">
        <v>249</v>
      </c>
      <c r="G2921" s="6" t="s">
        <v>458</v>
      </c>
      <c r="H2921" s="10">
        <v>46052.0</v>
      </c>
      <c r="I2921" s="12">
        <v>2.0</v>
      </c>
      <c r="J2921" s="6" t="s">
        <v>161</v>
      </c>
    </row>
    <row r="2922" ht="22.5" customHeight="1">
      <c r="A2922" s="6" t="s">
        <v>14176</v>
      </c>
      <c r="B2922" s="6" t="s">
        <v>7063</v>
      </c>
      <c r="C2922" s="10">
        <v>46074.0</v>
      </c>
      <c r="D2922" s="6" t="s">
        <v>416</v>
      </c>
      <c r="E2922" s="6" t="s">
        <v>618</v>
      </c>
      <c r="F2922" s="6" t="s">
        <v>249</v>
      </c>
      <c r="G2922" s="6" t="s">
        <v>494</v>
      </c>
      <c r="H2922" s="10">
        <v>46077.0</v>
      </c>
      <c r="I2922" s="12">
        <v>14.0</v>
      </c>
      <c r="J2922" s="6" t="s">
        <v>161</v>
      </c>
    </row>
    <row r="2923" ht="22.5" customHeight="1">
      <c r="A2923" s="6" t="s">
        <v>14179</v>
      </c>
      <c r="B2923" s="6" t="s">
        <v>7063</v>
      </c>
      <c r="C2923" s="10">
        <v>46063.0</v>
      </c>
      <c r="D2923" s="6" t="s">
        <v>677</v>
      </c>
      <c r="E2923" s="6" t="s">
        <v>1386</v>
      </c>
      <c r="F2923" s="6" t="s">
        <v>439</v>
      </c>
      <c r="G2923" s="6" t="s">
        <v>326</v>
      </c>
      <c r="H2923" s="10">
        <v>46064.0</v>
      </c>
      <c r="I2923" s="12">
        <v>2.0</v>
      </c>
      <c r="J2923" s="6" t="s">
        <v>161</v>
      </c>
    </row>
    <row r="2924" ht="22.5" customHeight="1">
      <c r="A2924" s="6" t="s">
        <v>14183</v>
      </c>
      <c r="B2924" s="6" t="s">
        <v>7063</v>
      </c>
      <c r="C2924" s="10">
        <v>46078.0</v>
      </c>
      <c r="D2924" s="6" t="s">
        <v>312</v>
      </c>
      <c r="E2924" s="6" t="s">
        <v>1070</v>
      </c>
      <c r="F2924" s="6" t="s">
        <v>283</v>
      </c>
      <c r="G2924" s="6" t="s">
        <v>458</v>
      </c>
      <c r="H2924" s="10">
        <v>46083.0</v>
      </c>
      <c r="I2924" s="12">
        <v>7.0</v>
      </c>
      <c r="J2924" s="6" t="s">
        <v>161</v>
      </c>
    </row>
    <row r="2925" ht="22.5" customHeight="1">
      <c r="A2925" s="6" t="s">
        <v>14186</v>
      </c>
      <c r="B2925" s="6" t="s">
        <v>7063</v>
      </c>
      <c r="C2925" s="10">
        <v>46065.0</v>
      </c>
      <c r="D2925" s="6" t="s">
        <v>391</v>
      </c>
      <c r="E2925" s="6" t="s">
        <v>291</v>
      </c>
      <c r="F2925" s="6" t="s">
        <v>283</v>
      </c>
      <c r="G2925" s="6" t="s">
        <v>297</v>
      </c>
      <c r="H2925" s="10">
        <v>46068.0</v>
      </c>
      <c r="I2925" s="12">
        <v>7.0</v>
      </c>
      <c r="J2925" s="6" t="s">
        <v>161</v>
      </c>
    </row>
    <row r="2926" ht="22.5" customHeight="1">
      <c r="A2926" s="6" t="s">
        <v>14190</v>
      </c>
      <c r="B2926" s="6" t="s">
        <v>7070</v>
      </c>
      <c r="C2926" s="10">
        <v>46052.0</v>
      </c>
      <c r="D2926" s="6" t="s">
        <v>289</v>
      </c>
      <c r="E2926" s="6" t="s">
        <v>246</v>
      </c>
      <c r="F2926" s="6" t="s">
        <v>249</v>
      </c>
      <c r="G2926" s="6" t="s">
        <v>452</v>
      </c>
      <c r="H2926" s="10">
        <v>46058.0</v>
      </c>
      <c r="I2926" s="12">
        <v>8.0</v>
      </c>
      <c r="J2926" s="6" t="s">
        <v>161</v>
      </c>
    </row>
    <row r="2927" ht="22.5" customHeight="1">
      <c r="A2927" s="6" t="s">
        <v>14196</v>
      </c>
      <c r="B2927" s="6" t="s">
        <v>7070</v>
      </c>
      <c r="C2927" s="10">
        <v>46047.0</v>
      </c>
      <c r="D2927" s="6" t="s">
        <v>391</v>
      </c>
      <c r="E2927" s="6" t="s">
        <v>716</v>
      </c>
      <c r="F2927" s="6" t="s">
        <v>439</v>
      </c>
      <c r="G2927" s="6" t="s">
        <v>458</v>
      </c>
      <c r="H2927" s="11" t="s">
        <v>259</v>
      </c>
      <c r="I2927" s="12">
        <v>9.0</v>
      </c>
      <c r="J2927" s="6" t="s">
        <v>161</v>
      </c>
    </row>
    <row r="2928" ht="22.5" customHeight="1">
      <c r="A2928" s="6" t="s">
        <v>14199</v>
      </c>
      <c r="B2928" s="6" t="s">
        <v>7070</v>
      </c>
      <c r="C2928" s="10">
        <v>46052.0</v>
      </c>
      <c r="D2928" s="6" t="s">
        <v>677</v>
      </c>
      <c r="E2928" s="6" t="s">
        <v>787</v>
      </c>
      <c r="F2928" s="6" t="s">
        <v>439</v>
      </c>
      <c r="G2928" s="6" t="s">
        <v>326</v>
      </c>
      <c r="H2928" s="10">
        <v>46054.0</v>
      </c>
      <c r="I2928" s="12">
        <v>4.0</v>
      </c>
      <c r="J2928" s="6" t="s">
        <v>161</v>
      </c>
    </row>
    <row r="2929" ht="22.5" customHeight="1">
      <c r="A2929" s="6" t="s">
        <v>14203</v>
      </c>
      <c r="B2929" s="6" t="s">
        <v>7070</v>
      </c>
      <c r="C2929" s="10">
        <v>46060.0</v>
      </c>
      <c r="D2929" s="6" t="s">
        <v>416</v>
      </c>
      <c r="E2929" s="6" t="s">
        <v>2881</v>
      </c>
      <c r="F2929" s="6" t="s">
        <v>439</v>
      </c>
      <c r="G2929" s="6" t="s">
        <v>326</v>
      </c>
      <c r="H2929" s="10">
        <v>46061.0</v>
      </c>
      <c r="I2929" s="12">
        <v>9.0</v>
      </c>
      <c r="J2929" s="6" t="s">
        <v>161</v>
      </c>
    </row>
    <row r="2930" ht="22.5" customHeight="1">
      <c r="A2930" s="6" t="s">
        <v>14206</v>
      </c>
      <c r="B2930" s="6" t="s">
        <v>7070</v>
      </c>
      <c r="C2930" s="10">
        <v>46046.0</v>
      </c>
      <c r="D2930" s="6" t="s">
        <v>436</v>
      </c>
      <c r="E2930" s="6" t="s">
        <v>1700</v>
      </c>
      <c r="F2930" s="6" t="s">
        <v>439</v>
      </c>
      <c r="G2930" s="6" t="s">
        <v>297</v>
      </c>
      <c r="H2930" s="10">
        <v>46051.0</v>
      </c>
      <c r="I2930" s="12">
        <v>6.0</v>
      </c>
      <c r="J2930" s="6" t="s">
        <v>178</v>
      </c>
    </row>
    <row r="2931" ht="22.5" customHeight="1">
      <c r="A2931" s="6" t="s">
        <v>14210</v>
      </c>
      <c r="B2931" s="6" t="s">
        <v>7076</v>
      </c>
      <c r="C2931" s="10">
        <v>46046.0</v>
      </c>
      <c r="D2931" s="6" t="s">
        <v>289</v>
      </c>
      <c r="E2931" s="6" t="s">
        <v>246</v>
      </c>
      <c r="F2931" s="6" t="s">
        <v>249</v>
      </c>
      <c r="G2931" s="6" t="s">
        <v>297</v>
      </c>
      <c r="H2931" s="10">
        <v>46048.0</v>
      </c>
      <c r="I2931" s="12">
        <v>10.0</v>
      </c>
      <c r="J2931" s="6" t="s">
        <v>161</v>
      </c>
    </row>
    <row r="2932" ht="22.5" customHeight="1">
      <c r="A2932" s="6" t="s">
        <v>14213</v>
      </c>
      <c r="B2932" s="6" t="s">
        <v>7076</v>
      </c>
      <c r="C2932" s="10">
        <v>46046.0</v>
      </c>
      <c r="D2932" s="6" t="s">
        <v>436</v>
      </c>
      <c r="E2932" s="6" t="s">
        <v>365</v>
      </c>
      <c r="F2932" s="6" t="s">
        <v>249</v>
      </c>
      <c r="G2932" s="6" t="s">
        <v>477</v>
      </c>
      <c r="H2932" s="10">
        <v>46046.0</v>
      </c>
      <c r="I2932" s="12">
        <v>11.0</v>
      </c>
      <c r="J2932" s="6" t="s">
        <v>178</v>
      </c>
    </row>
    <row r="2933" ht="22.5" customHeight="1">
      <c r="A2933" s="6" t="s">
        <v>14217</v>
      </c>
      <c r="B2933" s="6" t="s">
        <v>7076</v>
      </c>
      <c r="C2933" s="10">
        <v>46048.0</v>
      </c>
      <c r="D2933" s="6" t="s">
        <v>416</v>
      </c>
      <c r="E2933" s="6" t="s">
        <v>634</v>
      </c>
      <c r="F2933" s="6" t="s">
        <v>249</v>
      </c>
      <c r="G2933" s="6" t="s">
        <v>477</v>
      </c>
      <c r="H2933" s="10">
        <v>46049.0</v>
      </c>
      <c r="I2933" s="12">
        <v>14.0</v>
      </c>
      <c r="J2933" s="6" t="s">
        <v>161</v>
      </c>
    </row>
    <row r="2934" ht="22.5" customHeight="1">
      <c r="A2934" s="6" t="s">
        <v>14219</v>
      </c>
      <c r="B2934" s="6" t="s">
        <v>7076</v>
      </c>
      <c r="C2934" s="10">
        <v>46048.0</v>
      </c>
      <c r="D2934" s="6" t="s">
        <v>312</v>
      </c>
      <c r="E2934" s="6" t="s">
        <v>1122</v>
      </c>
      <c r="F2934" s="6" t="s">
        <v>249</v>
      </c>
      <c r="G2934" s="6" t="s">
        <v>297</v>
      </c>
      <c r="H2934" s="10">
        <v>46048.0</v>
      </c>
      <c r="I2934" s="12">
        <v>6.0</v>
      </c>
      <c r="J2934" s="6" t="s">
        <v>161</v>
      </c>
    </row>
    <row r="2935" ht="22.5" customHeight="1">
      <c r="A2935" s="6" t="s">
        <v>14224</v>
      </c>
      <c r="B2935" s="6" t="s">
        <v>7076</v>
      </c>
      <c r="C2935" s="10">
        <v>46058.0</v>
      </c>
      <c r="D2935" s="6" t="s">
        <v>242</v>
      </c>
      <c r="E2935" s="6" t="s">
        <v>394</v>
      </c>
      <c r="F2935" s="6" t="s">
        <v>283</v>
      </c>
      <c r="G2935" s="6" t="s">
        <v>297</v>
      </c>
      <c r="H2935" s="10">
        <v>46064.0</v>
      </c>
      <c r="I2935" s="12">
        <v>6.0</v>
      </c>
      <c r="J2935" s="6" t="s">
        <v>178</v>
      </c>
    </row>
    <row r="2936" ht="22.5" customHeight="1">
      <c r="A2936" s="6" t="s">
        <v>14229</v>
      </c>
      <c r="B2936" s="6" t="s">
        <v>7083</v>
      </c>
      <c r="C2936" s="10">
        <v>46068.0</v>
      </c>
      <c r="D2936" s="6" t="s">
        <v>677</v>
      </c>
      <c r="E2936" s="6" t="s">
        <v>1122</v>
      </c>
      <c r="F2936" s="6" t="s">
        <v>112</v>
      </c>
      <c r="G2936" s="6" t="s">
        <v>254</v>
      </c>
      <c r="H2936" s="10">
        <v>46074.0</v>
      </c>
      <c r="I2936" s="12">
        <v>4.0</v>
      </c>
      <c r="J2936" s="6" t="s">
        <v>161</v>
      </c>
    </row>
    <row r="2937" ht="22.5" customHeight="1">
      <c r="A2937" s="6" t="s">
        <v>14233</v>
      </c>
      <c r="B2937" s="6" t="s">
        <v>7083</v>
      </c>
      <c r="C2937" s="10">
        <v>46059.0</v>
      </c>
      <c r="D2937" s="6" t="s">
        <v>312</v>
      </c>
      <c r="E2937" s="6" t="s">
        <v>566</v>
      </c>
      <c r="F2937" s="6" t="s">
        <v>439</v>
      </c>
      <c r="G2937" s="6" t="s">
        <v>297</v>
      </c>
      <c r="H2937" s="10">
        <v>46066.0</v>
      </c>
      <c r="I2937" s="12">
        <v>7.0</v>
      </c>
      <c r="J2937" s="6" t="s">
        <v>161</v>
      </c>
    </row>
    <row r="2938" ht="22.5" customHeight="1">
      <c r="A2938" s="6" t="s">
        <v>14237</v>
      </c>
      <c r="B2938" s="6" t="s">
        <v>7083</v>
      </c>
      <c r="C2938" s="10">
        <v>46066.0</v>
      </c>
      <c r="D2938" s="6" t="s">
        <v>677</v>
      </c>
      <c r="E2938" s="6" t="s">
        <v>775</v>
      </c>
      <c r="F2938" s="6" t="s">
        <v>439</v>
      </c>
      <c r="G2938" s="6" t="s">
        <v>254</v>
      </c>
      <c r="H2938" s="10">
        <v>46069.0</v>
      </c>
      <c r="I2938" s="12">
        <v>3.0</v>
      </c>
      <c r="J2938" s="6" t="s">
        <v>161</v>
      </c>
    </row>
    <row r="2939" ht="22.5" customHeight="1">
      <c r="A2939" s="6" t="s">
        <v>14240</v>
      </c>
      <c r="B2939" s="6" t="s">
        <v>7083</v>
      </c>
      <c r="C2939" s="10">
        <v>46067.0</v>
      </c>
      <c r="D2939" s="6" t="s">
        <v>242</v>
      </c>
      <c r="E2939" s="6" t="s">
        <v>1386</v>
      </c>
      <c r="F2939" s="6" t="s">
        <v>439</v>
      </c>
      <c r="G2939" s="6" t="s">
        <v>458</v>
      </c>
      <c r="H2939" s="10">
        <v>46068.0</v>
      </c>
      <c r="I2939" s="12">
        <v>3.0</v>
      </c>
      <c r="J2939" s="6" t="s">
        <v>178</v>
      </c>
    </row>
    <row r="2940" ht="22.5" customHeight="1">
      <c r="A2940" s="6" t="s">
        <v>14244</v>
      </c>
      <c r="B2940" s="6" t="s">
        <v>7089</v>
      </c>
      <c r="C2940" s="10">
        <v>46044.0</v>
      </c>
      <c r="D2940" s="6" t="s">
        <v>289</v>
      </c>
      <c r="E2940" s="6" t="s">
        <v>695</v>
      </c>
      <c r="F2940" s="6" t="s">
        <v>283</v>
      </c>
      <c r="G2940" s="6" t="s">
        <v>297</v>
      </c>
      <c r="H2940" s="10">
        <v>46046.0</v>
      </c>
      <c r="I2940" s="12">
        <v>6.0</v>
      </c>
      <c r="J2940" s="6" t="s">
        <v>161</v>
      </c>
    </row>
    <row r="2941" ht="22.5" customHeight="1">
      <c r="A2941" s="6" t="s">
        <v>14246</v>
      </c>
      <c r="B2941" s="6" t="s">
        <v>7089</v>
      </c>
      <c r="C2941" s="10">
        <v>46034.0</v>
      </c>
      <c r="D2941" s="6" t="s">
        <v>242</v>
      </c>
      <c r="E2941" s="6" t="s">
        <v>1386</v>
      </c>
      <c r="F2941" s="6" t="s">
        <v>439</v>
      </c>
      <c r="G2941" s="6" t="s">
        <v>369</v>
      </c>
      <c r="H2941" s="10">
        <v>46038.0</v>
      </c>
      <c r="I2941" s="12">
        <v>3.0</v>
      </c>
      <c r="J2941" s="6" t="s">
        <v>161</v>
      </c>
    </row>
    <row r="2942" ht="22.5" customHeight="1">
      <c r="A2942" s="6" t="s">
        <v>14251</v>
      </c>
      <c r="B2942" s="6" t="s">
        <v>7089</v>
      </c>
      <c r="C2942" s="10">
        <v>46035.0</v>
      </c>
      <c r="D2942" s="6" t="s">
        <v>677</v>
      </c>
      <c r="E2942" s="6" t="s">
        <v>320</v>
      </c>
      <c r="F2942" s="6" t="s">
        <v>439</v>
      </c>
      <c r="G2942" s="6" t="s">
        <v>477</v>
      </c>
      <c r="H2942" s="10">
        <v>46037.0</v>
      </c>
      <c r="I2942" s="12">
        <v>3.0</v>
      </c>
      <c r="J2942" s="6" t="s">
        <v>161</v>
      </c>
    </row>
    <row r="2943" ht="22.5" customHeight="1">
      <c r="A2943" s="6" t="s">
        <v>14255</v>
      </c>
      <c r="B2943" s="6" t="s">
        <v>7096</v>
      </c>
      <c r="C2943" s="10">
        <v>46073.0</v>
      </c>
      <c r="D2943" s="6" t="s">
        <v>677</v>
      </c>
      <c r="E2943" s="6" t="s">
        <v>1700</v>
      </c>
      <c r="F2943" s="6" t="s">
        <v>439</v>
      </c>
      <c r="G2943" s="6" t="s">
        <v>297</v>
      </c>
      <c r="H2943" s="11" t="s">
        <v>259</v>
      </c>
      <c r="I2943" s="12">
        <v>2.0</v>
      </c>
      <c r="J2943" s="6" t="s">
        <v>161</v>
      </c>
    </row>
    <row r="2944" ht="22.5" customHeight="1">
      <c r="A2944" s="6" t="s">
        <v>14260</v>
      </c>
      <c r="B2944" s="6" t="s">
        <v>7096</v>
      </c>
      <c r="C2944" s="10">
        <v>46083.0</v>
      </c>
      <c r="D2944" s="6" t="s">
        <v>416</v>
      </c>
      <c r="E2944" s="6" t="s">
        <v>1969</v>
      </c>
      <c r="F2944" s="6" t="s">
        <v>439</v>
      </c>
      <c r="G2944" s="6" t="s">
        <v>458</v>
      </c>
      <c r="H2944" s="10">
        <v>46088.0</v>
      </c>
      <c r="I2944" s="12">
        <v>12.0</v>
      </c>
      <c r="J2944" s="6" t="s">
        <v>161</v>
      </c>
    </row>
    <row r="2945" ht="22.5" customHeight="1">
      <c r="A2945" s="6" t="s">
        <v>14264</v>
      </c>
      <c r="B2945" s="6" t="s">
        <v>7102</v>
      </c>
      <c r="C2945" s="10">
        <v>46054.0</v>
      </c>
      <c r="D2945" s="6" t="s">
        <v>289</v>
      </c>
      <c r="E2945" s="6" t="s">
        <v>1600</v>
      </c>
      <c r="F2945" s="6" t="s">
        <v>249</v>
      </c>
      <c r="G2945" s="6" t="s">
        <v>369</v>
      </c>
      <c r="H2945" s="10">
        <v>46056.0</v>
      </c>
      <c r="I2945" s="12">
        <v>9.0</v>
      </c>
      <c r="J2945" s="6" t="s">
        <v>161</v>
      </c>
    </row>
    <row r="2946" ht="22.5" customHeight="1">
      <c r="A2946" s="6" t="s">
        <v>14267</v>
      </c>
      <c r="B2946" s="6" t="s">
        <v>7102</v>
      </c>
      <c r="C2946" s="10">
        <v>46066.0</v>
      </c>
      <c r="D2946" s="6" t="s">
        <v>416</v>
      </c>
      <c r="E2946" s="6" t="s">
        <v>1149</v>
      </c>
      <c r="F2946" s="6" t="s">
        <v>249</v>
      </c>
      <c r="G2946" s="6" t="s">
        <v>369</v>
      </c>
      <c r="H2946" s="10">
        <v>46067.0</v>
      </c>
      <c r="I2946" s="12">
        <v>10.0</v>
      </c>
      <c r="J2946" s="6" t="s">
        <v>161</v>
      </c>
    </row>
    <row r="2947" ht="22.5" customHeight="1">
      <c r="A2947" s="6" t="s">
        <v>14272</v>
      </c>
      <c r="B2947" s="6" t="s">
        <v>7108</v>
      </c>
      <c r="C2947" s="10">
        <v>46045.0</v>
      </c>
      <c r="D2947" s="6" t="s">
        <v>289</v>
      </c>
      <c r="E2947" s="6" t="s">
        <v>246</v>
      </c>
      <c r="F2947" s="6" t="s">
        <v>249</v>
      </c>
      <c r="G2947" s="6" t="s">
        <v>494</v>
      </c>
      <c r="H2947" s="10">
        <v>46045.0</v>
      </c>
      <c r="I2947" s="12">
        <v>5.0</v>
      </c>
      <c r="J2947" s="6" t="s">
        <v>161</v>
      </c>
    </row>
    <row r="2948" ht="22.5" customHeight="1">
      <c r="A2948" s="6" t="s">
        <v>14277</v>
      </c>
      <c r="B2948" s="6" t="s">
        <v>7108</v>
      </c>
      <c r="C2948" s="10">
        <v>46054.0</v>
      </c>
      <c r="D2948" s="6" t="s">
        <v>391</v>
      </c>
      <c r="E2948" s="6" t="s">
        <v>704</v>
      </c>
      <c r="F2948" s="6" t="s">
        <v>112</v>
      </c>
      <c r="G2948" s="6" t="s">
        <v>452</v>
      </c>
      <c r="H2948" s="10">
        <v>46055.0</v>
      </c>
      <c r="I2948" s="12">
        <v>9.0</v>
      </c>
      <c r="J2948" s="6" t="s">
        <v>161</v>
      </c>
    </row>
    <row r="2949" ht="22.5" customHeight="1">
      <c r="A2949" s="6" t="s">
        <v>14281</v>
      </c>
      <c r="B2949" s="6" t="s">
        <v>7108</v>
      </c>
      <c r="C2949" s="10">
        <v>46047.0</v>
      </c>
      <c r="D2949" s="6" t="s">
        <v>416</v>
      </c>
      <c r="E2949" s="6" t="s">
        <v>1552</v>
      </c>
      <c r="F2949" s="6" t="s">
        <v>283</v>
      </c>
      <c r="G2949" s="6" t="s">
        <v>477</v>
      </c>
      <c r="H2949" s="10">
        <v>46049.0</v>
      </c>
      <c r="I2949" s="12">
        <v>11.0</v>
      </c>
      <c r="J2949" s="6" t="s">
        <v>161</v>
      </c>
    </row>
    <row r="2950" ht="22.5" customHeight="1">
      <c r="A2950" s="6" t="s">
        <v>14286</v>
      </c>
      <c r="B2950" s="6" t="s">
        <v>7108</v>
      </c>
      <c r="C2950" s="10">
        <v>46042.0</v>
      </c>
      <c r="D2950" s="6" t="s">
        <v>677</v>
      </c>
      <c r="E2950" s="6" t="s">
        <v>863</v>
      </c>
      <c r="F2950" s="6" t="s">
        <v>112</v>
      </c>
      <c r="G2950" s="6" t="s">
        <v>369</v>
      </c>
      <c r="H2950" s="10">
        <v>46044.0</v>
      </c>
      <c r="I2950" s="12">
        <v>3.0</v>
      </c>
      <c r="J2950" s="6" t="s">
        <v>161</v>
      </c>
    </row>
    <row r="2951" ht="22.5" customHeight="1">
      <c r="A2951" s="6" t="s">
        <v>14291</v>
      </c>
      <c r="B2951" s="6" t="s">
        <v>7108</v>
      </c>
      <c r="C2951" s="10">
        <v>46058.0</v>
      </c>
      <c r="D2951" s="6" t="s">
        <v>312</v>
      </c>
      <c r="E2951" s="6" t="s">
        <v>687</v>
      </c>
      <c r="F2951" s="6" t="s">
        <v>283</v>
      </c>
      <c r="G2951" s="6" t="s">
        <v>477</v>
      </c>
      <c r="H2951" s="10">
        <v>46058.0</v>
      </c>
      <c r="I2951" s="12">
        <v>4.0</v>
      </c>
      <c r="J2951" s="6" t="s">
        <v>161</v>
      </c>
    </row>
    <row r="2952" ht="22.5" customHeight="1">
      <c r="A2952" s="6" t="s">
        <v>14296</v>
      </c>
      <c r="B2952" s="6" t="s">
        <v>7115</v>
      </c>
      <c r="C2952" s="10">
        <v>46064.0</v>
      </c>
      <c r="D2952" s="6" t="s">
        <v>242</v>
      </c>
      <c r="E2952" s="6" t="s">
        <v>2881</v>
      </c>
      <c r="F2952" s="6" t="s">
        <v>249</v>
      </c>
      <c r="G2952" s="6" t="s">
        <v>494</v>
      </c>
      <c r="H2952" s="10">
        <v>46067.0</v>
      </c>
      <c r="I2952" s="12">
        <v>6.0</v>
      </c>
      <c r="J2952" s="6" t="s">
        <v>178</v>
      </c>
    </row>
    <row r="2953" ht="22.5" customHeight="1">
      <c r="A2953" s="6" t="s">
        <v>14301</v>
      </c>
      <c r="B2953" s="6" t="s">
        <v>7115</v>
      </c>
      <c r="C2953" s="10">
        <v>46052.0</v>
      </c>
      <c r="D2953" s="6" t="s">
        <v>242</v>
      </c>
      <c r="E2953" s="6" t="s">
        <v>466</v>
      </c>
      <c r="F2953" s="6" t="s">
        <v>249</v>
      </c>
      <c r="G2953" s="6" t="s">
        <v>254</v>
      </c>
      <c r="H2953" s="10">
        <v>46055.0</v>
      </c>
      <c r="I2953" s="12">
        <v>5.0</v>
      </c>
      <c r="J2953" s="6" t="s">
        <v>178</v>
      </c>
    </row>
    <row r="2954" ht="22.5" customHeight="1">
      <c r="A2954" s="6" t="s">
        <v>14305</v>
      </c>
      <c r="B2954" s="6" t="s">
        <v>7115</v>
      </c>
      <c r="C2954" s="10">
        <v>46065.0</v>
      </c>
      <c r="D2954" s="6" t="s">
        <v>677</v>
      </c>
      <c r="E2954" s="6" t="s">
        <v>775</v>
      </c>
      <c r="F2954" s="6" t="s">
        <v>112</v>
      </c>
      <c r="G2954" s="6" t="s">
        <v>477</v>
      </c>
      <c r="H2954" s="10">
        <v>46070.0</v>
      </c>
      <c r="I2954" s="12">
        <v>3.0</v>
      </c>
      <c r="J2954" s="6" t="s">
        <v>161</v>
      </c>
    </row>
    <row r="2955" ht="22.5" customHeight="1">
      <c r="A2955" s="6" t="s">
        <v>14309</v>
      </c>
      <c r="B2955" s="6" t="s">
        <v>7115</v>
      </c>
      <c r="C2955" s="10">
        <v>46051.0</v>
      </c>
      <c r="D2955" s="6" t="s">
        <v>312</v>
      </c>
      <c r="E2955" s="6" t="s">
        <v>798</v>
      </c>
      <c r="F2955" s="6" t="s">
        <v>249</v>
      </c>
      <c r="G2955" s="6" t="s">
        <v>254</v>
      </c>
      <c r="H2955" s="10">
        <v>46058.0</v>
      </c>
      <c r="I2955" s="12">
        <v>5.0</v>
      </c>
      <c r="J2955" s="6" t="s">
        <v>161</v>
      </c>
    </row>
    <row r="2956" ht="22.5" customHeight="1">
      <c r="A2956" s="6" t="s">
        <v>14312</v>
      </c>
      <c r="B2956" s="6" t="s">
        <v>7121</v>
      </c>
      <c r="C2956" s="10">
        <v>46066.0</v>
      </c>
      <c r="D2956" s="6" t="s">
        <v>391</v>
      </c>
      <c r="E2956" s="6" t="s">
        <v>628</v>
      </c>
      <c r="F2956" s="6" t="s">
        <v>249</v>
      </c>
      <c r="G2956" s="6" t="s">
        <v>458</v>
      </c>
      <c r="H2956" s="10">
        <v>46073.0</v>
      </c>
      <c r="I2956" s="12">
        <v>10.0</v>
      </c>
      <c r="J2956" s="6" t="s">
        <v>161</v>
      </c>
    </row>
    <row r="2957" ht="22.5" customHeight="1">
      <c r="A2957" s="6" t="s">
        <v>14316</v>
      </c>
      <c r="B2957" s="6" t="s">
        <v>7128</v>
      </c>
      <c r="C2957" s="10">
        <v>46039.0</v>
      </c>
      <c r="D2957" s="6" t="s">
        <v>416</v>
      </c>
      <c r="E2957" s="6" t="s">
        <v>394</v>
      </c>
      <c r="F2957" s="6" t="s">
        <v>283</v>
      </c>
      <c r="G2957" s="6" t="s">
        <v>452</v>
      </c>
      <c r="H2957" s="10">
        <v>46041.0</v>
      </c>
      <c r="I2957" s="12">
        <v>10.0</v>
      </c>
      <c r="J2957" s="6" t="s">
        <v>161</v>
      </c>
    </row>
    <row r="2958" ht="22.5" customHeight="1">
      <c r="A2958" s="6" t="s">
        <v>14319</v>
      </c>
      <c r="B2958" s="6" t="s">
        <v>7128</v>
      </c>
      <c r="C2958" s="10">
        <v>46041.0</v>
      </c>
      <c r="D2958" s="6" t="s">
        <v>391</v>
      </c>
      <c r="E2958" s="6" t="s">
        <v>775</v>
      </c>
      <c r="F2958" s="6" t="s">
        <v>439</v>
      </c>
      <c r="G2958" s="6" t="s">
        <v>458</v>
      </c>
      <c r="H2958" s="10">
        <v>46047.0</v>
      </c>
      <c r="I2958" s="12">
        <v>8.0</v>
      </c>
      <c r="J2958" s="6" t="s">
        <v>161</v>
      </c>
    </row>
    <row r="2959" ht="22.5" customHeight="1">
      <c r="A2959" s="6" t="s">
        <v>14323</v>
      </c>
      <c r="B2959" s="6" t="s">
        <v>7128</v>
      </c>
      <c r="C2959" s="10">
        <v>46043.0</v>
      </c>
      <c r="D2959" s="6" t="s">
        <v>436</v>
      </c>
      <c r="E2959" s="6" t="s">
        <v>512</v>
      </c>
      <c r="F2959" s="6" t="s">
        <v>283</v>
      </c>
      <c r="G2959" s="6" t="s">
        <v>326</v>
      </c>
      <c r="H2959" s="10">
        <v>46044.0</v>
      </c>
      <c r="I2959" s="12">
        <v>6.0</v>
      </c>
      <c r="J2959" s="6" t="s">
        <v>178</v>
      </c>
    </row>
    <row r="2960" ht="22.5" customHeight="1">
      <c r="A2960" s="6" t="s">
        <v>14325</v>
      </c>
      <c r="B2960" s="6" t="s">
        <v>7134</v>
      </c>
      <c r="C2960" s="10">
        <v>46024.0</v>
      </c>
      <c r="D2960" s="6" t="s">
        <v>391</v>
      </c>
      <c r="E2960" s="6" t="s">
        <v>466</v>
      </c>
      <c r="F2960" s="6" t="s">
        <v>439</v>
      </c>
      <c r="G2960" s="6" t="s">
        <v>458</v>
      </c>
      <c r="H2960" s="10">
        <v>46028.0</v>
      </c>
      <c r="I2960" s="12">
        <v>9.0</v>
      </c>
      <c r="J2960" s="6" t="s">
        <v>161</v>
      </c>
    </row>
    <row r="2961" ht="22.5" customHeight="1">
      <c r="A2961" s="6" t="s">
        <v>14328</v>
      </c>
      <c r="B2961" s="6" t="s">
        <v>7134</v>
      </c>
      <c r="C2961" s="10">
        <v>46036.0</v>
      </c>
      <c r="D2961" s="6" t="s">
        <v>242</v>
      </c>
      <c r="E2961" s="6" t="s">
        <v>1720</v>
      </c>
      <c r="F2961" s="6" t="s">
        <v>283</v>
      </c>
      <c r="G2961" s="6" t="s">
        <v>477</v>
      </c>
      <c r="H2961" s="10">
        <v>46037.0</v>
      </c>
      <c r="I2961" s="12">
        <v>4.0</v>
      </c>
      <c r="J2961" s="6" t="s">
        <v>161</v>
      </c>
    </row>
    <row r="2962" ht="22.5" customHeight="1">
      <c r="A2962" s="6" t="s">
        <v>14331</v>
      </c>
      <c r="B2962" s="6" t="s">
        <v>7134</v>
      </c>
      <c r="C2962" s="10">
        <v>46037.0</v>
      </c>
      <c r="D2962" s="6" t="s">
        <v>677</v>
      </c>
      <c r="E2962" s="6" t="s">
        <v>1102</v>
      </c>
      <c r="F2962" s="6" t="s">
        <v>112</v>
      </c>
      <c r="G2962" s="6" t="s">
        <v>452</v>
      </c>
      <c r="H2962" s="11" t="s">
        <v>259</v>
      </c>
      <c r="I2962" s="12">
        <v>3.0</v>
      </c>
      <c r="J2962" s="6" t="s">
        <v>161</v>
      </c>
    </row>
    <row r="2963" ht="22.5" customHeight="1">
      <c r="A2963" s="6" t="s">
        <v>14334</v>
      </c>
      <c r="B2963" s="6" t="s">
        <v>7134</v>
      </c>
      <c r="C2963" s="10">
        <v>46037.0</v>
      </c>
      <c r="D2963" s="6" t="s">
        <v>416</v>
      </c>
      <c r="E2963" s="6" t="s">
        <v>833</v>
      </c>
      <c r="F2963" s="6" t="s">
        <v>112</v>
      </c>
      <c r="G2963" s="6" t="s">
        <v>477</v>
      </c>
      <c r="H2963" s="10">
        <v>46044.0</v>
      </c>
      <c r="I2963" s="12">
        <v>10.0</v>
      </c>
      <c r="J2963" s="6" t="s">
        <v>161</v>
      </c>
    </row>
    <row r="2964" ht="22.5" customHeight="1">
      <c r="A2964" s="6" t="s">
        <v>14339</v>
      </c>
      <c r="B2964" s="6" t="s">
        <v>7141</v>
      </c>
      <c r="C2964" s="10">
        <v>46040.0</v>
      </c>
      <c r="D2964" s="6" t="s">
        <v>436</v>
      </c>
      <c r="E2964" s="6" t="s">
        <v>1280</v>
      </c>
      <c r="F2964" s="6" t="s">
        <v>439</v>
      </c>
      <c r="G2964" s="6" t="s">
        <v>254</v>
      </c>
      <c r="H2964" s="10">
        <v>46040.0</v>
      </c>
      <c r="I2964" s="12">
        <v>8.0</v>
      </c>
      <c r="J2964" s="6" t="s">
        <v>178</v>
      </c>
    </row>
    <row r="2965" ht="22.5" customHeight="1">
      <c r="A2965" s="6" t="s">
        <v>14344</v>
      </c>
      <c r="B2965" s="6" t="s">
        <v>7141</v>
      </c>
      <c r="C2965" s="10">
        <v>46030.0</v>
      </c>
      <c r="D2965" s="6" t="s">
        <v>391</v>
      </c>
      <c r="E2965" s="6" t="s">
        <v>1070</v>
      </c>
      <c r="F2965" s="6" t="s">
        <v>283</v>
      </c>
      <c r="G2965" s="6" t="s">
        <v>494</v>
      </c>
      <c r="H2965" s="10">
        <v>46030.0</v>
      </c>
      <c r="I2965" s="12">
        <v>10.0</v>
      </c>
      <c r="J2965" s="6" t="s">
        <v>161</v>
      </c>
    </row>
    <row r="2966" ht="22.5" customHeight="1">
      <c r="A2966" s="6" t="s">
        <v>14347</v>
      </c>
      <c r="B2966" s="6" t="s">
        <v>7141</v>
      </c>
      <c r="C2966" s="10">
        <v>46030.0</v>
      </c>
      <c r="D2966" s="6" t="s">
        <v>312</v>
      </c>
      <c r="E2966" s="6" t="s">
        <v>670</v>
      </c>
      <c r="F2966" s="6" t="s">
        <v>439</v>
      </c>
      <c r="G2966" s="6" t="s">
        <v>326</v>
      </c>
      <c r="H2966" s="10">
        <v>46037.0</v>
      </c>
      <c r="I2966" s="12">
        <v>5.0</v>
      </c>
      <c r="J2966" s="6" t="s">
        <v>161</v>
      </c>
    </row>
    <row r="2967" ht="22.5" customHeight="1">
      <c r="A2967" s="6" t="s">
        <v>14351</v>
      </c>
      <c r="B2967" s="6" t="s">
        <v>7141</v>
      </c>
      <c r="C2967" s="10">
        <v>46042.0</v>
      </c>
      <c r="D2967" s="6" t="s">
        <v>242</v>
      </c>
      <c r="E2967" s="6" t="s">
        <v>1720</v>
      </c>
      <c r="F2967" s="6" t="s">
        <v>283</v>
      </c>
      <c r="G2967" s="6" t="s">
        <v>494</v>
      </c>
      <c r="H2967" s="10">
        <v>46048.0</v>
      </c>
      <c r="I2967" s="12">
        <v>5.0</v>
      </c>
      <c r="J2967" s="6" t="s">
        <v>161</v>
      </c>
    </row>
    <row r="2968" ht="22.5" customHeight="1">
      <c r="A2968" s="6" t="s">
        <v>14357</v>
      </c>
      <c r="B2968" s="6" t="s">
        <v>7141</v>
      </c>
      <c r="C2968" s="10">
        <v>46026.0</v>
      </c>
      <c r="D2968" s="6" t="s">
        <v>312</v>
      </c>
      <c r="E2968" s="6" t="s">
        <v>1552</v>
      </c>
      <c r="F2968" s="6" t="s">
        <v>112</v>
      </c>
      <c r="G2968" s="6" t="s">
        <v>297</v>
      </c>
      <c r="H2968" s="10">
        <v>46031.0</v>
      </c>
      <c r="I2968" s="12">
        <v>5.0</v>
      </c>
      <c r="J2968" s="6" t="s">
        <v>161</v>
      </c>
    </row>
    <row r="2969" ht="22.5" customHeight="1">
      <c r="A2969" s="6" t="s">
        <v>14360</v>
      </c>
      <c r="B2969" s="6" t="s">
        <v>7147</v>
      </c>
      <c r="C2969" s="10">
        <v>46043.0</v>
      </c>
      <c r="D2969" s="6" t="s">
        <v>242</v>
      </c>
      <c r="E2969" s="6" t="s">
        <v>1241</v>
      </c>
      <c r="F2969" s="6" t="s">
        <v>112</v>
      </c>
      <c r="G2969" s="6" t="s">
        <v>458</v>
      </c>
      <c r="H2969" s="11" t="s">
        <v>259</v>
      </c>
      <c r="I2969" s="12">
        <v>4.0</v>
      </c>
      <c r="J2969" s="6" t="s">
        <v>178</v>
      </c>
    </row>
    <row r="2970" ht="22.5" customHeight="1">
      <c r="A2970" s="6" t="s">
        <v>14364</v>
      </c>
      <c r="B2970" s="6" t="s">
        <v>7147</v>
      </c>
      <c r="C2970" s="10">
        <v>46040.0</v>
      </c>
      <c r="D2970" s="6" t="s">
        <v>416</v>
      </c>
      <c r="E2970" s="6" t="s">
        <v>1969</v>
      </c>
      <c r="F2970" s="6" t="s">
        <v>283</v>
      </c>
      <c r="G2970" s="6" t="s">
        <v>326</v>
      </c>
      <c r="H2970" s="11" t="s">
        <v>259</v>
      </c>
      <c r="I2970" s="12">
        <v>14.0</v>
      </c>
      <c r="J2970" s="6" t="s">
        <v>161</v>
      </c>
    </row>
    <row r="2971" ht="22.5" customHeight="1">
      <c r="A2971" s="6" t="s">
        <v>14369</v>
      </c>
      <c r="B2971" s="6" t="s">
        <v>7154</v>
      </c>
      <c r="C2971" s="10">
        <v>46041.0</v>
      </c>
      <c r="D2971" s="6" t="s">
        <v>391</v>
      </c>
      <c r="E2971" s="6" t="s">
        <v>1241</v>
      </c>
      <c r="F2971" s="6" t="s">
        <v>249</v>
      </c>
      <c r="G2971" s="6" t="s">
        <v>452</v>
      </c>
      <c r="H2971" s="10">
        <v>46046.0</v>
      </c>
      <c r="I2971" s="12">
        <v>7.0</v>
      </c>
      <c r="J2971" s="6" t="s">
        <v>161</v>
      </c>
    </row>
    <row r="2972" ht="22.5" customHeight="1">
      <c r="A2972" s="6" t="s">
        <v>14373</v>
      </c>
      <c r="B2972" s="6" t="s">
        <v>7154</v>
      </c>
      <c r="C2972" s="10">
        <v>46044.0</v>
      </c>
      <c r="D2972" s="6" t="s">
        <v>436</v>
      </c>
      <c r="E2972" s="6" t="s">
        <v>475</v>
      </c>
      <c r="F2972" s="6" t="s">
        <v>283</v>
      </c>
      <c r="G2972" s="6" t="s">
        <v>452</v>
      </c>
      <c r="H2972" s="10">
        <v>46045.0</v>
      </c>
      <c r="I2972" s="12">
        <v>9.0</v>
      </c>
      <c r="J2972" s="6" t="s">
        <v>178</v>
      </c>
    </row>
    <row r="2973" ht="22.5" customHeight="1">
      <c r="A2973" s="6" t="s">
        <v>14377</v>
      </c>
      <c r="B2973" s="6" t="s">
        <v>7160</v>
      </c>
      <c r="C2973" s="10">
        <v>46048.0</v>
      </c>
      <c r="D2973" s="6" t="s">
        <v>677</v>
      </c>
      <c r="E2973" s="6" t="s">
        <v>1070</v>
      </c>
      <c r="F2973" s="6" t="s">
        <v>283</v>
      </c>
      <c r="G2973" s="6" t="s">
        <v>494</v>
      </c>
      <c r="H2973" s="10">
        <v>46049.0</v>
      </c>
      <c r="I2973" s="12">
        <v>2.0</v>
      </c>
      <c r="J2973" s="6" t="s">
        <v>161</v>
      </c>
    </row>
    <row r="2974" ht="22.5" customHeight="1">
      <c r="A2974" s="6" t="s">
        <v>14383</v>
      </c>
      <c r="B2974" s="6" t="s">
        <v>7160</v>
      </c>
      <c r="C2974" s="10">
        <v>46056.0</v>
      </c>
      <c r="D2974" s="6" t="s">
        <v>436</v>
      </c>
      <c r="E2974" s="6" t="s">
        <v>417</v>
      </c>
      <c r="F2974" s="6" t="s">
        <v>283</v>
      </c>
      <c r="G2974" s="6" t="s">
        <v>369</v>
      </c>
      <c r="H2974" s="10">
        <v>46057.0</v>
      </c>
      <c r="I2974" s="12">
        <v>12.0</v>
      </c>
      <c r="J2974" s="6" t="s">
        <v>178</v>
      </c>
    </row>
    <row r="2975" ht="22.5" customHeight="1">
      <c r="A2975" s="6" t="s">
        <v>14386</v>
      </c>
      <c r="B2975" s="6" t="s">
        <v>7160</v>
      </c>
      <c r="C2975" s="10">
        <v>46055.0</v>
      </c>
      <c r="D2975" s="6" t="s">
        <v>391</v>
      </c>
      <c r="E2975" s="6" t="s">
        <v>670</v>
      </c>
      <c r="F2975" s="6" t="s">
        <v>112</v>
      </c>
      <c r="G2975" s="6" t="s">
        <v>458</v>
      </c>
      <c r="H2975" s="10">
        <v>46059.0</v>
      </c>
      <c r="I2975" s="12">
        <v>7.0</v>
      </c>
      <c r="J2975" s="6" t="s">
        <v>161</v>
      </c>
    </row>
    <row r="2976" ht="22.5" customHeight="1">
      <c r="A2976" s="6" t="s">
        <v>14390</v>
      </c>
      <c r="B2976" s="6" t="s">
        <v>7160</v>
      </c>
      <c r="C2976" s="10">
        <v>46056.0</v>
      </c>
      <c r="D2976" s="6" t="s">
        <v>391</v>
      </c>
      <c r="E2976" s="6" t="s">
        <v>320</v>
      </c>
      <c r="F2976" s="6" t="s">
        <v>112</v>
      </c>
      <c r="G2976" s="6" t="s">
        <v>369</v>
      </c>
      <c r="H2976" s="10">
        <v>46056.0</v>
      </c>
      <c r="I2976" s="12">
        <v>6.0</v>
      </c>
      <c r="J2976" s="6" t="s">
        <v>161</v>
      </c>
    </row>
    <row r="2977" ht="22.5" customHeight="1">
      <c r="A2977" s="6" t="s">
        <v>14396</v>
      </c>
      <c r="B2977" s="6" t="s">
        <v>7166</v>
      </c>
      <c r="C2977" s="10">
        <v>46049.0</v>
      </c>
      <c r="D2977" s="6" t="s">
        <v>436</v>
      </c>
      <c r="E2977" s="6" t="s">
        <v>738</v>
      </c>
      <c r="F2977" s="6" t="s">
        <v>112</v>
      </c>
      <c r="G2977" s="6" t="s">
        <v>477</v>
      </c>
      <c r="H2977" s="10">
        <v>46052.0</v>
      </c>
      <c r="I2977" s="12">
        <v>12.0</v>
      </c>
      <c r="J2977" s="6" t="s">
        <v>161</v>
      </c>
    </row>
    <row r="2978" ht="22.5" customHeight="1">
      <c r="A2978" s="6" t="s">
        <v>14399</v>
      </c>
      <c r="B2978" s="6" t="s">
        <v>7172</v>
      </c>
      <c r="C2978" s="10">
        <v>46057.0</v>
      </c>
      <c r="D2978" s="6" t="s">
        <v>677</v>
      </c>
      <c r="E2978" s="6" t="s">
        <v>1700</v>
      </c>
      <c r="F2978" s="6" t="s">
        <v>439</v>
      </c>
      <c r="G2978" s="6" t="s">
        <v>297</v>
      </c>
      <c r="H2978" s="11" t="s">
        <v>259</v>
      </c>
      <c r="I2978" s="12">
        <v>4.0</v>
      </c>
      <c r="J2978" s="6" t="s">
        <v>161</v>
      </c>
    </row>
    <row r="2979" ht="22.5" customHeight="1">
      <c r="A2979" s="6" t="s">
        <v>14403</v>
      </c>
      <c r="B2979" s="6" t="s">
        <v>7172</v>
      </c>
      <c r="C2979" s="10">
        <v>46052.0</v>
      </c>
      <c r="D2979" s="6" t="s">
        <v>436</v>
      </c>
      <c r="E2979" s="6" t="s">
        <v>1122</v>
      </c>
      <c r="F2979" s="6" t="s">
        <v>112</v>
      </c>
      <c r="G2979" s="6" t="s">
        <v>452</v>
      </c>
      <c r="H2979" s="10">
        <v>46053.0</v>
      </c>
      <c r="I2979" s="12">
        <v>6.0</v>
      </c>
      <c r="J2979" s="6" t="s">
        <v>161</v>
      </c>
    </row>
    <row r="2980" ht="22.5" customHeight="1">
      <c r="A2980" s="6" t="s">
        <v>14406</v>
      </c>
      <c r="B2980" s="6" t="s">
        <v>7172</v>
      </c>
      <c r="C2980" s="10">
        <v>46056.0</v>
      </c>
      <c r="D2980" s="6" t="s">
        <v>391</v>
      </c>
      <c r="E2980" s="6" t="s">
        <v>1122</v>
      </c>
      <c r="F2980" s="6" t="s">
        <v>439</v>
      </c>
      <c r="G2980" s="6" t="s">
        <v>477</v>
      </c>
      <c r="H2980" s="10">
        <v>46060.0</v>
      </c>
      <c r="I2980" s="12">
        <v>8.0</v>
      </c>
      <c r="J2980" s="6" t="s">
        <v>161</v>
      </c>
    </row>
    <row r="2981" ht="22.5" customHeight="1">
      <c r="A2981" s="6" t="s">
        <v>14412</v>
      </c>
      <c r="B2981" s="6" t="s">
        <v>7172</v>
      </c>
      <c r="C2981" s="10">
        <v>46061.0</v>
      </c>
      <c r="D2981" s="6" t="s">
        <v>677</v>
      </c>
      <c r="E2981" s="6" t="s">
        <v>1055</v>
      </c>
      <c r="F2981" s="6" t="s">
        <v>439</v>
      </c>
      <c r="G2981" s="6" t="s">
        <v>326</v>
      </c>
      <c r="H2981" s="10">
        <v>46064.0</v>
      </c>
      <c r="I2981" s="12">
        <v>3.0</v>
      </c>
      <c r="J2981" s="6" t="s">
        <v>161</v>
      </c>
    </row>
    <row r="2982" ht="22.5" customHeight="1">
      <c r="A2982" s="6" t="s">
        <v>14418</v>
      </c>
      <c r="B2982" s="6" t="s">
        <v>7179</v>
      </c>
      <c r="C2982" s="10">
        <v>46040.0</v>
      </c>
      <c r="D2982" s="6" t="s">
        <v>391</v>
      </c>
      <c r="E2982" s="6" t="s">
        <v>365</v>
      </c>
      <c r="F2982" s="6" t="s">
        <v>249</v>
      </c>
      <c r="G2982" s="6" t="s">
        <v>494</v>
      </c>
      <c r="H2982" s="11" t="s">
        <v>259</v>
      </c>
      <c r="I2982" s="12">
        <v>11.0</v>
      </c>
      <c r="J2982" s="6" t="s">
        <v>161</v>
      </c>
    </row>
    <row r="2983" ht="22.5" customHeight="1">
      <c r="A2983" s="6" t="s">
        <v>14423</v>
      </c>
      <c r="B2983" s="6" t="s">
        <v>7179</v>
      </c>
      <c r="C2983" s="10">
        <v>46039.0</v>
      </c>
      <c r="D2983" s="6" t="s">
        <v>242</v>
      </c>
      <c r="E2983" s="6" t="s">
        <v>1055</v>
      </c>
      <c r="F2983" s="6" t="s">
        <v>283</v>
      </c>
      <c r="G2983" s="6" t="s">
        <v>458</v>
      </c>
      <c r="H2983" s="10">
        <v>46042.0</v>
      </c>
      <c r="I2983" s="12">
        <v>5.0</v>
      </c>
      <c r="J2983" s="6" t="s">
        <v>178</v>
      </c>
    </row>
    <row r="2984" ht="22.5" customHeight="1">
      <c r="A2984" s="6" t="s">
        <v>14428</v>
      </c>
      <c r="B2984" s="6" t="s">
        <v>7179</v>
      </c>
      <c r="C2984" s="10">
        <v>46058.0</v>
      </c>
      <c r="D2984" s="6" t="s">
        <v>289</v>
      </c>
      <c r="E2984" s="6" t="s">
        <v>512</v>
      </c>
      <c r="F2984" s="6" t="s">
        <v>249</v>
      </c>
      <c r="G2984" s="6" t="s">
        <v>458</v>
      </c>
      <c r="H2984" s="10">
        <v>46058.0</v>
      </c>
      <c r="I2984" s="12">
        <v>8.0</v>
      </c>
      <c r="J2984" s="6" t="s">
        <v>161</v>
      </c>
    </row>
    <row r="2985" ht="22.5" customHeight="1">
      <c r="A2985" s="6" t="s">
        <v>14431</v>
      </c>
      <c r="B2985" s="6" t="s">
        <v>7179</v>
      </c>
      <c r="C2985" s="10">
        <v>46056.0</v>
      </c>
      <c r="D2985" s="6" t="s">
        <v>416</v>
      </c>
      <c r="E2985" s="6" t="s">
        <v>450</v>
      </c>
      <c r="F2985" s="6" t="s">
        <v>249</v>
      </c>
      <c r="G2985" s="6" t="s">
        <v>254</v>
      </c>
      <c r="H2985" s="10">
        <v>46062.0</v>
      </c>
      <c r="I2985" s="12">
        <v>8.0</v>
      </c>
      <c r="J2985" s="6" t="s">
        <v>161</v>
      </c>
    </row>
    <row r="2986" ht="22.5" customHeight="1">
      <c r="A2986" s="6" t="s">
        <v>14436</v>
      </c>
      <c r="B2986" s="6" t="s">
        <v>7179</v>
      </c>
      <c r="C2986" s="10">
        <v>46049.0</v>
      </c>
      <c r="D2986" s="6" t="s">
        <v>436</v>
      </c>
      <c r="E2986" s="6" t="s">
        <v>320</v>
      </c>
      <c r="F2986" s="6" t="s">
        <v>439</v>
      </c>
      <c r="G2986" s="6" t="s">
        <v>494</v>
      </c>
      <c r="H2986" s="10">
        <v>46055.0</v>
      </c>
      <c r="I2986" s="12">
        <v>6.0</v>
      </c>
      <c r="J2986" s="6" t="s">
        <v>161</v>
      </c>
    </row>
    <row r="2987" ht="22.5" customHeight="1">
      <c r="A2987" s="6" t="s">
        <v>14441</v>
      </c>
      <c r="B2987" s="6" t="s">
        <v>7185</v>
      </c>
      <c r="C2987" s="10">
        <v>46072.0</v>
      </c>
      <c r="D2987" s="6" t="s">
        <v>242</v>
      </c>
      <c r="E2987" s="6" t="s">
        <v>466</v>
      </c>
      <c r="F2987" s="6" t="s">
        <v>439</v>
      </c>
      <c r="G2987" s="6" t="s">
        <v>369</v>
      </c>
      <c r="H2987" s="10">
        <v>46079.0</v>
      </c>
      <c r="I2987" s="12">
        <v>3.0</v>
      </c>
      <c r="J2987" s="6" t="s">
        <v>178</v>
      </c>
    </row>
    <row r="2988" ht="22.5" customHeight="1">
      <c r="A2988" s="6" t="s">
        <v>14445</v>
      </c>
      <c r="B2988" s="6" t="s">
        <v>7191</v>
      </c>
      <c r="C2988" s="10">
        <v>46067.0</v>
      </c>
      <c r="D2988" s="6" t="s">
        <v>391</v>
      </c>
      <c r="E2988" s="6" t="s">
        <v>1626</v>
      </c>
      <c r="F2988" s="6" t="s">
        <v>283</v>
      </c>
      <c r="G2988" s="6" t="s">
        <v>369</v>
      </c>
      <c r="H2988" s="10">
        <v>46071.0</v>
      </c>
      <c r="I2988" s="12">
        <v>9.0</v>
      </c>
      <c r="J2988" s="6" t="s">
        <v>161</v>
      </c>
    </row>
    <row r="2989" ht="22.5" customHeight="1">
      <c r="A2989" s="6" t="s">
        <v>14450</v>
      </c>
      <c r="B2989" s="6" t="s">
        <v>7191</v>
      </c>
      <c r="C2989" s="10">
        <v>46067.0</v>
      </c>
      <c r="D2989" s="6" t="s">
        <v>289</v>
      </c>
      <c r="E2989" s="6" t="s">
        <v>1546</v>
      </c>
      <c r="F2989" s="6" t="s">
        <v>112</v>
      </c>
      <c r="G2989" s="6" t="s">
        <v>326</v>
      </c>
      <c r="H2989" s="10">
        <v>46074.0</v>
      </c>
      <c r="I2989" s="12">
        <v>10.0</v>
      </c>
      <c r="J2989" s="6" t="s">
        <v>161</v>
      </c>
    </row>
    <row r="2990" ht="22.5" customHeight="1">
      <c r="A2990" s="6" t="s">
        <v>14454</v>
      </c>
      <c r="B2990" s="6" t="s">
        <v>7198</v>
      </c>
      <c r="C2990" s="10">
        <v>46070.0</v>
      </c>
      <c r="D2990" s="6" t="s">
        <v>289</v>
      </c>
      <c r="E2990" s="6" t="s">
        <v>365</v>
      </c>
      <c r="F2990" s="6" t="s">
        <v>112</v>
      </c>
      <c r="G2990" s="6" t="s">
        <v>254</v>
      </c>
      <c r="H2990" s="10">
        <v>46075.0</v>
      </c>
      <c r="I2990" s="12">
        <v>6.0</v>
      </c>
      <c r="J2990" s="6" t="s">
        <v>161</v>
      </c>
    </row>
    <row r="2991" ht="22.5" customHeight="1">
      <c r="A2991" s="6" t="s">
        <v>14460</v>
      </c>
      <c r="B2991" s="6" t="s">
        <v>7198</v>
      </c>
      <c r="C2991" s="10">
        <v>46072.0</v>
      </c>
      <c r="D2991" s="6" t="s">
        <v>436</v>
      </c>
      <c r="E2991" s="6" t="s">
        <v>1055</v>
      </c>
      <c r="F2991" s="6" t="s">
        <v>283</v>
      </c>
      <c r="G2991" s="6" t="s">
        <v>452</v>
      </c>
      <c r="H2991" s="11" t="s">
        <v>259</v>
      </c>
      <c r="I2991" s="12">
        <v>11.0</v>
      </c>
      <c r="J2991" s="6" t="s">
        <v>161</v>
      </c>
    </row>
    <row r="2992" ht="22.5" customHeight="1">
      <c r="A2992" s="6" t="s">
        <v>14466</v>
      </c>
      <c r="B2992" s="6" t="s">
        <v>7203</v>
      </c>
      <c r="C2992" s="10">
        <v>46074.0</v>
      </c>
      <c r="D2992" s="6" t="s">
        <v>416</v>
      </c>
      <c r="E2992" s="6" t="s">
        <v>1296</v>
      </c>
      <c r="F2992" s="6" t="s">
        <v>112</v>
      </c>
      <c r="G2992" s="6" t="s">
        <v>369</v>
      </c>
      <c r="H2992" s="10">
        <v>46075.0</v>
      </c>
      <c r="I2992" s="12">
        <v>14.0</v>
      </c>
      <c r="J2992" s="6" t="s">
        <v>161</v>
      </c>
    </row>
    <row r="2993" ht="22.5" customHeight="1">
      <c r="A2993" s="6" t="s">
        <v>14473</v>
      </c>
      <c r="B2993" s="6" t="s">
        <v>7203</v>
      </c>
      <c r="C2993" s="10">
        <v>46061.0</v>
      </c>
      <c r="D2993" s="6" t="s">
        <v>416</v>
      </c>
      <c r="E2993" s="6" t="s">
        <v>1149</v>
      </c>
      <c r="F2993" s="6" t="s">
        <v>249</v>
      </c>
      <c r="G2993" s="6" t="s">
        <v>458</v>
      </c>
      <c r="H2993" s="10">
        <v>46068.0</v>
      </c>
      <c r="I2993" s="12">
        <v>12.0</v>
      </c>
      <c r="J2993" s="6" t="s">
        <v>161</v>
      </c>
    </row>
    <row r="2994" ht="22.5" customHeight="1">
      <c r="A2994" s="6" t="s">
        <v>14476</v>
      </c>
      <c r="B2994" s="6" t="s">
        <v>7203</v>
      </c>
      <c r="C2994" s="10">
        <v>46063.0</v>
      </c>
      <c r="D2994" s="6" t="s">
        <v>289</v>
      </c>
      <c r="E2994" s="6" t="s">
        <v>1241</v>
      </c>
      <c r="F2994" s="6" t="s">
        <v>249</v>
      </c>
      <c r="G2994" s="6" t="s">
        <v>452</v>
      </c>
      <c r="H2994" s="10">
        <v>46070.0</v>
      </c>
      <c r="I2994" s="12">
        <v>6.0</v>
      </c>
      <c r="J2994" s="6" t="s">
        <v>161</v>
      </c>
    </row>
    <row r="2995" ht="22.5" customHeight="1">
      <c r="A2995" s="6" t="s">
        <v>14479</v>
      </c>
      <c r="B2995" s="6" t="s">
        <v>7203</v>
      </c>
      <c r="C2995" s="10">
        <v>46059.0</v>
      </c>
      <c r="D2995" s="6" t="s">
        <v>289</v>
      </c>
      <c r="E2995" s="6" t="s">
        <v>1122</v>
      </c>
      <c r="F2995" s="6" t="s">
        <v>439</v>
      </c>
      <c r="G2995" s="6" t="s">
        <v>326</v>
      </c>
      <c r="H2995" s="10">
        <v>46061.0</v>
      </c>
      <c r="I2995" s="12">
        <v>10.0</v>
      </c>
      <c r="J2995" s="6" t="s">
        <v>161</v>
      </c>
    </row>
    <row r="2996" ht="22.5" customHeight="1">
      <c r="A2996" s="6" t="s">
        <v>14484</v>
      </c>
      <c r="B2996" s="6" t="s">
        <v>7210</v>
      </c>
      <c r="C2996" s="10">
        <v>46077.0</v>
      </c>
      <c r="D2996" s="6" t="s">
        <v>677</v>
      </c>
      <c r="E2996" s="6" t="s">
        <v>833</v>
      </c>
      <c r="F2996" s="6" t="s">
        <v>249</v>
      </c>
      <c r="G2996" s="6" t="s">
        <v>369</v>
      </c>
      <c r="H2996" s="10">
        <v>46080.0</v>
      </c>
      <c r="I2996" s="12">
        <v>4.0</v>
      </c>
      <c r="J2996" s="6" t="s">
        <v>161</v>
      </c>
    </row>
    <row r="2997" ht="22.5" customHeight="1">
      <c r="A2997" s="6" t="s">
        <v>14488</v>
      </c>
      <c r="B2997" s="6" t="s">
        <v>7210</v>
      </c>
      <c r="C2997" s="10">
        <v>46074.0</v>
      </c>
      <c r="D2997" s="6" t="s">
        <v>242</v>
      </c>
      <c r="E2997" s="6" t="s">
        <v>798</v>
      </c>
      <c r="F2997" s="6" t="s">
        <v>283</v>
      </c>
      <c r="G2997" s="6" t="s">
        <v>477</v>
      </c>
      <c r="H2997" s="10">
        <v>46080.0</v>
      </c>
      <c r="I2997" s="12">
        <v>4.0</v>
      </c>
      <c r="J2997" s="6" t="s">
        <v>178</v>
      </c>
    </row>
    <row r="2998" ht="22.5" customHeight="1">
      <c r="A2998" s="6" t="s">
        <v>14491</v>
      </c>
      <c r="B2998" s="6" t="s">
        <v>7210</v>
      </c>
      <c r="C2998" s="10">
        <v>46077.0</v>
      </c>
      <c r="D2998" s="6" t="s">
        <v>416</v>
      </c>
      <c r="E2998" s="6" t="s">
        <v>716</v>
      </c>
      <c r="F2998" s="6" t="s">
        <v>249</v>
      </c>
      <c r="G2998" s="6" t="s">
        <v>494</v>
      </c>
      <c r="H2998" s="10">
        <v>46081.0</v>
      </c>
      <c r="I2998" s="12">
        <v>8.0</v>
      </c>
      <c r="J2998" s="6" t="s">
        <v>161</v>
      </c>
    </row>
    <row r="2999" ht="22.5" customHeight="1">
      <c r="A2999" s="6" t="s">
        <v>14493</v>
      </c>
      <c r="B2999" s="6" t="s">
        <v>7210</v>
      </c>
      <c r="C2999" s="10">
        <v>46072.0</v>
      </c>
      <c r="D2999" s="6" t="s">
        <v>312</v>
      </c>
      <c r="E2999" s="6" t="s">
        <v>618</v>
      </c>
      <c r="F2999" s="6" t="s">
        <v>112</v>
      </c>
      <c r="G2999" s="6" t="s">
        <v>452</v>
      </c>
      <c r="H2999" s="10">
        <v>46078.0</v>
      </c>
      <c r="I2999" s="12">
        <v>7.0</v>
      </c>
      <c r="J2999" s="6" t="s">
        <v>161</v>
      </c>
    </row>
    <row r="3000" ht="22.5" customHeight="1">
      <c r="A3000" s="6" t="s">
        <v>14496</v>
      </c>
      <c r="B3000" s="6" t="s">
        <v>7210</v>
      </c>
      <c r="C3000" s="10">
        <v>46065.0</v>
      </c>
      <c r="D3000" s="6" t="s">
        <v>436</v>
      </c>
      <c r="E3000" s="6" t="s">
        <v>885</v>
      </c>
      <c r="F3000" s="6" t="s">
        <v>249</v>
      </c>
      <c r="G3000" s="6" t="s">
        <v>369</v>
      </c>
      <c r="H3000" s="10">
        <v>46072.0</v>
      </c>
      <c r="I3000" s="12">
        <v>7.0</v>
      </c>
      <c r="J3000" s="6" t="s">
        <v>178</v>
      </c>
    </row>
    <row r="3001" ht="22.5" customHeight="1">
      <c r="A3001" s="6" t="s">
        <v>14500</v>
      </c>
      <c r="B3001" s="6" t="s">
        <v>7217</v>
      </c>
      <c r="C3001" s="10">
        <v>46055.0</v>
      </c>
      <c r="D3001" s="6" t="s">
        <v>436</v>
      </c>
      <c r="E3001" s="6" t="s">
        <v>438</v>
      </c>
      <c r="F3001" s="6" t="s">
        <v>439</v>
      </c>
      <c r="G3001" s="6" t="s">
        <v>297</v>
      </c>
      <c r="H3001" s="10">
        <v>46057.0</v>
      </c>
      <c r="I3001" s="12">
        <v>8.0</v>
      </c>
      <c r="J3001" s="6" t="s">
        <v>178</v>
      </c>
    </row>
    <row r="3002" ht="22.5" customHeight="1">
      <c r="A3002" s="6" t="s">
        <v>14501</v>
      </c>
      <c r="B3002" s="6" t="s">
        <v>7217</v>
      </c>
      <c r="C3002" s="10">
        <v>46060.0</v>
      </c>
      <c r="D3002" s="6" t="s">
        <v>436</v>
      </c>
      <c r="E3002" s="6" t="s">
        <v>1102</v>
      </c>
      <c r="F3002" s="6" t="s">
        <v>439</v>
      </c>
      <c r="G3002" s="6" t="s">
        <v>452</v>
      </c>
      <c r="H3002" s="10">
        <v>46061.0</v>
      </c>
      <c r="I3002" s="12">
        <v>11.0</v>
      </c>
      <c r="J3002" s="6" t="s">
        <v>161</v>
      </c>
    </row>
    <row r="3003" ht="22.5" customHeight="1">
      <c r="A3003" s="6" t="s">
        <v>14504</v>
      </c>
      <c r="B3003" s="6" t="s">
        <v>7223</v>
      </c>
      <c r="C3003" s="10">
        <v>46070.0</v>
      </c>
      <c r="D3003" s="6" t="s">
        <v>416</v>
      </c>
      <c r="E3003" s="6" t="s">
        <v>704</v>
      </c>
      <c r="F3003" s="6" t="s">
        <v>439</v>
      </c>
      <c r="G3003" s="6" t="s">
        <v>458</v>
      </c>
      <c r="H3003" s="10">
        <v>46072.0</v>
      </c>
      <c r="I3003" s="12">
        <v>11.0</v>
      </c>
      <c r="J3003" s="6" t="s">
        <v>161</v>
      </c>
    </row>
    <row r="3004" ht="22.5" customHeight="1">
      <c r="A3004" s="6" t="s">
        <v>14508</v>
      </c>
      <c r="B3004" s="6" t="s">
        <v>7223</v>
      </c>
      <c r="C3004" s="10">
        <v>46063.0</v>
      </c>
      <c r="D3004" s="6" t="s">
        <v>677</v>
      </c>
      <c r="E3004" s="6" t="s">
        <v>365</v>
      </c>
      <c r="F3004" s="6" t="s">
        <v>439</v>
      </c>
      <c r="G3004" s="6" t="s">
        <v>254</v>
      </c>
      <c r="H3004" s="10">
        <v>46070.0</v>
      </c>
      <c r="I3004" s="12">
        <v>2.0</v>
      </c>
      <c r="J3004" s="6" t="s">
        <v>161</v>
      </c>
    </row>
    <row r="3005" ht="22.5" customHeight="1">
      <c r="A3005" s="6" t="s">
        <v>14510</v>
      </c>
      <c r="B3005" s="6" t="s">
        <v>7229</v>
      </c>
      <c r="C3005" s="10">
        <v>46039.0</v>
      </c>
      <c r="D3005" s="6" t="s">
        <v>242</v>
      </c>
      <c r="E3005" s="6" t="s">
        <v>2881</v>
      </c>
      <c r="F3005" s="6" t="s">
        <v>249</v>
      </c>
      <c r="G3005" s="6" t="s">
        <v>297</v>
      </c>
      <c r="H3005" s="10">
        <v>46043.0</v>
      </c>
      <c r="I3005" s="12">
        <v>6.0</v>
      </c>
      <c r="J3005" s="6" t="s">
        <v>161</v>
      </c>
    </row>
    <row r="3006" ht="22.5" customHeight="1">
      <c r="A3006" s="6" t="s">
        <v>14515</v>
      </c>
      <c r="B3006" s="6" t="s">
        <v>7229</v>
      </c>
      <c r="C3006" s="10">
        <v>46042.0</v>
      </c>
      <c r="D3006" s="6" t="s">
        <v>416</v>
      </c>
      <c r="E3006" s="6" t="s">
        <v>1122</v>
      </c>
      <c r="F3006" s="6" t="s">
        <v>249</v>
      </c>
      <c r="G3006" s="6" t="s">
        <v>458</v>
      </c>
      <c r="H3006" s="10">
        <v>46049.0</v>
      </c>
      <c r="I3006" s="12">
        <v>8.0</v>
      </c>
      <c r="J3006" s="6" t="s">
        <v>161</v>
      </c>
    </row>
    <row r="3007" ht="22.5" customHeight="1">
      <c r="A3007" s="6" t="s">
        <v>14518</v>
      </c>
      <c r="B3007" s="6" t="s">
        <v>7229</v>
      </c>
      <c r="C3007" s="10">
        <v>46027.0</v>
      </c>
      <c r="D3007" s="6" t="s">
        <v>391</v>
      </c>
      <c r="E3007" s="6" t="s">
        <v>658</v>
      </c>
      <c r="F3007" s="6" t="s">
        <v>249</v>
      </c>
      <c r="G3007" s="6" t="s">
        <v>326</v>
      </c>
      <c r="H3007" s="10">
        <v>46033.0</v>
      </c>
      <c r="I3007" s="12">
        <v>6.0</v>
      </c>
      <c r="J3007" s="6" t="s">
        <v>161</v>
      </c>
    </row>
    <row r="3008" ht="22.5" customHeight="1">
      <c r="A3008" s="6" t="s">
        <v>14522</v>
      </c>
      <c r="B3008" s="6" t="s">
        <v>7229</v>
      </c>
      <c r="C3008" s="10">
        <v>46025.0</v>
      </c>
      <c r="D3008" s="6" t="s">
        <v>677</v>
      </c>
      <c r="E3008" s="6" t="s">
        <v>246</v>
      </c>
      <c r="F3008" s="6" t="s">
        <v>439</v>
      </c>
      <c r="G3008" s="6" t="s">
        <v>254</v>
      </c>
      <c r="H3008" s="11" t="s">
        <v>259</v>
      </c>
      <c r="I3008" s="12">
        <v>2.0</v>
      </c>
      <c r="J3008" s="6" t="s">
        <v>161</v>
      </c>
    </row>
    <row r="3009" ht="22.5" customHeight="1">
      <c r="A3009" s="6" t="s">
        <v>14526</v>
      </c>
      <c r="B3009" s="6" t="s">
        <v>7229</v>
      </c>
      <c r="C3009" s="10">
        <v>46043.0</v>
      </c>
      <c r="D3009" s="6" t="s">
        <v>391</v>
      </c>
      <c r="E3009" s="6" t="s">
        <v>450</v>
      </c>
      <c r="F3009" s="6" t="s">
        <v>249</v>
      </c>
      <c r="G3009" s="6" t="s">
        <v>297</v>
      </c>
      <c r="H3009" s="10">
        <v>46045.0</v>
      </c>
      <c r="I3009" s="12">
        <v>7.0</v>
      </c>
      <c r="J3009" s="6" t="s">
        <v>161</v>
      </c>
    </row>
    <row r="3010" ht="22.5" customHeight="1">
      <c r="A3010" s="6" t="s">
        <v>14531</v>
      </c>
      <c r="B3010" s="6" t="s">
        <v>7235</v>
      </c>
      <c r="C3010" s="10">
        <v>46052.0</v>
      </c>
      <c r="D3010" s="6" t="s">
        <v>436</v>
      </c>
      <c r="E3010" s="6" t="s">
        <v>438</v>
      </c>
      <c r="F3010" s="6" t="s">
        <v>283</v>
      </c>
      <c r="G3010" s="6" t="s">
        <v>477</v>
      </c>
      <c r="H3010" s="10">
        <v>46053.0</v>
      </c>
      <c r="I3010" s="12">
        <v>7.0</v>
      </c>
      <c r="J3010" s="6" t="s">
        <v>178</v>
      </c>
    </row>
    <row r="3011" ht="22.5" customHeight="1">
      <c r="A3011" s="6" t="s">
        <v>14536</v>
      </c>
      <c r="B3011" s="6" t="s">
        <v>7242</v>
      </c>
      <c r="C3011" s="10">
        <v>46058.0</v>
      </c>
      <c r="D3011" s="6" t="s">
        <v>289</v>
      </c>
      <c r="E3011" s="6" t="s">
        <v>716</v>
      </c>
      <c r="F3011" s="6" t="s">
        <v>439</v>
      </c>
      <c r="G3011" s="6" t="s">
        <v>326</v>
      </c>
      <c r="H3011" s="10">
        <v>46060.0</v>
      </c>
      <c r="I3011" s="12">
        <v>5.0</v>
      </c>
      <c r="J3011" s="6" t="s">
        <v>161</v>
      </c>
    </row>
    <row r="3012" ht="22.5" customHeight="1">
      <c r="A3012" s="6" t="s">
        <v>14542</v>
      </c>
      <c r="B3012" s="6" t="s">
        <v>7242</v>
      </c>
      <c r="C3012" s="10">
        <v>46052.0</v>
      </c>
      <c r="D3012" s="6" t="s">
        <v>677</v>
      </c>
      <c r="E3012" s="6" t="s">
        <v>1102</v>
      </c>
      <c r="F3012" s="6" t="s">
        <v>112</v>
      </c>
      <c r="G3012" s="6" t="s">
        <v>369</v>
      </c>
      <c r="H3012" s="10">
        <v>46059.0</v>
      </c>
      <c r="I3012" s="12">
        <v>4.0</v>
      </c>
      <c r="J3012" s="6" t="s">
        <v>161</v>
      </c>
    </row>
    <row r="3013" ht="22.5" customHeight="1">
      <c r="A3013" s="6" t="s">
        <v>14545</v>
      </c>
      <c r="B3013" s="6" t="s">
        <v>7242</v>
      </c>
      <c r="C3013" s="10">
        <v>46049.0</v>
      </c>
      <c r="D3013" s="6" t="s">
        <v>436</v>
      </c>
      <c r="E3013" s="6" t="s">
        <v>320</v>
      </c>
      <c r="F3013" s="6" t="s">
        <v>112</v>
      </c>
      <c r="G3013" s="6" t="s">
        <v>458</v>
      </c>
      <c r="H3013" s="10">
        <v>46050.0</v>
      </c>
      <c r="I3013" s="12">
        <v>9.0</v>
      </c>
      <c r="J3013" s="6" t="s">
        <v>178</v>
      </c>
    </row>
    <row r="3014" ht="22.5" customHeight="1">
      <c r="A3014" s="6" t="s">
        <v>14550</v>
      </c>
      <c r="B3014" s="6" t="s">
        <v>7242</v>
      </c>
      <c r="C3014" s="10">
        <v>46050.0</v>
      </c>
      <c r="D3014" s="6" t="s">
        <v>416</v>
      </c>
      <c r="E3014" s="6" t="s">
        <v>1055</v>
      </c>
      <c r="F3014" s="6" t="s">
        <v>283</v>
      </c>
      <c r="G3014" s="6" t="s">
        <v>369</v>
      </c>
      <c r="H3014" s="10">
        <v>46056.0</v>
      </c>
      <c r="I3014" s="12">
        <v>8.0</v>
      </c>
      <c r="J3014" s="6" t="s">
        <v>161</v>
      </c>
    </row>
    <row r="3015" ht="22.5" customHeight="1">
      <c r="A3015" s="6" t="s">
        <v>14555</v>
      </c>
      <c r="B3015" s="6" t="s">
        <v>7242</v>
      </c>
      <c r="C3015" s="10">
        <v>46044.0</v>
      </c>
      <c r="D3015" s="6" t="s">
        <v>677</v>
      </c>
      <c r="E3015" s="6" t="s">
        <v>1600</v>
      </c>
      <c r="F3015" s="6" t="s">
        <v>112</v>
      </c>
      <c r="G3015" s="6" t="s">
        <v>326</v>
      </c>
      <c r="H3015" s="10">
        <v>46047.0</v>
      </c>
      <c r="I3015" s="12">
        <v>2.0</v>
      </c>
      <c r="J3015" s="6" t="s">
        <v>161</v>
      </c>
    </row>
    <row r="3016" ht="22.5" customHeight="1">
      <c r="A3016" s="6" t="s">
        <v>14560</v>
      </c>
      <c r="B3016" s="6" t="s">
        <v>7248</v>
      </c>
      <c r="C3016" s="10">
        <v>46046.0</v>
      </c>
      <c r="D3016" s="6" t="s">
        <v>436</v>
      </c>
      <c r="E3016" s="6" t="s">
        <v>833</v>
      </c>
      <c r="F3016" s="6" t="s">
        <v>283</v>
      </c>
      <c r="G3016" s="6" t="s">
        <v>326</v>
      </c>
      <c r="H3016" s="10">
        <v>46050.0</v>
      </c>
      <c r="I3016" s="12">
        <v>10.0</v>
      </c>
      <c r="J3016" s="6" t="s">
        <v>161</v>
      </c>
    </row>
    <row r="3017" ht="22.5" customHeight="1">
      <c r="A3017" s="6" t="s">
        <v>14564</v>
      </c>
      <c r="B3017" s="6" t="s">
        <v>7248</v>
      </c>
      <c r="C3017" s="10">
        <v>46046.0</v>
      </c>
      <c r="D3017" s="6" t="s">
        <v>436</v>
      </c>
      <c r="E3017" s="6" t="s">
        <v>320</v>
      </c>
      <c r="F3017" s="6" t="s">
        <v>439</v>
      </c>
      <c r="G3017" s="6" t="s">
        <v>477</v>
      </c>
      <c r="H3017" s="10">
        <v>46050.0</v>
      </c>
      <c r="I3017" s="12">
        <v>10.0</v>
      </c>
      <c r="J3017" s="6" t="s">
        <v>178</v>
      </c>
    </row>
    <row r="3018" ht="22.5" customHeight="1">
      <c r="A3018" s="6" t="s">
        <v>14568</v>
      </c>
      <c r="B3018" s="6" t="s">
        <v>7248</v>
      </c>
      <c r="C3018" s="10">
        <v>46037.0</v>
      </c>
      <c r="D3018" s="6" t="s">
        <v>677</v>
      </c>
      <c r="E3018" s="6" t="s">
        <v>634</v>
      </c>
      <c r="F3018" s="6" t="s">
        <v>283</v>
      </c>
      <c r="G3018" s="6" t="s">
        <v>477</v>
      </c>
      <c r="H3018" s="10">
        <v>46040.0</v>
      </c>
      <c r="I3018" s="12">
        <v>3.0</v>
      </c>
      <c r="J3018" s="6" t="s">
        <v>161</v>
      </c>
    </row>
    <row r="3019" ht="22.5" customHeight="1">
      <c r="A3019" s="6" t="s">
        <v>14573</v>
      </c>
      <c r="B3019" s="6" t="s">
        <v>7255</v>
      </c>
      <c r="C3019" s="10">
        <v>46060.0</v>
      </c>
      <c r="D3019" s="6" t="s">
        <v>436</v>
      </c>
      <c r="E3019" s="6" t="s">
        <v>1241</v>
      </c>
      <c r="F3019" s="6" t="s">
        <v>283</v>
      </c>
      <c r="G3019" s="6" t="s">
        <v>297</v>
      </c>
      <c r="H3019" s="10">
        <v>46060.0</v>
      </c>
      <c r="I3019" s="12">
        <v>10.0</v>
      </c>
      <c r="J3019" s="6" t="s">
        <v>178</v>
      </c>
    </row>
    <row r="3020" ht="22.5" customHeight="1">
      <c r="A3020" s="6" t="s">
        <v>14576</v>
      </c>
      <c r="B3020" s="6" t="s">
        <v>7261</v>
      </c>
      <c r="C3020" s="10">
        <v>46045.0</v>
      </c>
      <c r="D3020" s="6" t="s">
        <v>312</v>
      </c>
      <c r="E3020" s="6" t="s">
        <v>670</v>
      </c>
      <c r="F3020" s="6" t="s">
        <v>249</v>
      </c>
      <c r="G3020" s="6" t="s">
        <v>452</v>
      </c>
      <c r="H3020" s="10">
        <v>46045.0</v>
      </c>
      <c r="I3020" s="12">
        <v>7.0</v>
      </c>
      <c r="J3020" s="6" t="s">
        <v>161</v>
      </c>
    </row>
    <row r="3021" ht="22.5" customHeight="1">
      <c r="A3021" s="6" t="s">
        <v>14581</v>
      </c>
      <c r="B3021" s="6" t="s">
        <v>7261</v>
      </c>
      <c r="C3021" s="10">
        <v>46042.0</v>
      </c>
      <c r="D3021" s="6" t="s">
        <v>677</v>
      </c>
      <c r="E3021" s="6" t="s">
        <v>2881</v>
      </c>
      <c r="F3021" s="6" t="s">
        <v>439</v>
      </c>
      <c r="G3021" s="6" t="s">
        <v>477</v>
      </c>
      <c r="H3021" s="10">
        <v>46049.0</v>
      </c>
      <c r="I3021" s="12">
        <v>4.0</v>
      </c>
      <c r="J3021" s="6" t="s">
        <v>161</v>
      </c>
    </row>
    <row r="3022" ht="22.5" customHeight="1">
      <c r="A3022" s="6" t="s">
        <v>14586</v>
      </c>
      <c r="B3022" s="6" t="s">
        <v>7267</v>
      </c>
      <c r="C3022" s="10">
        <v>46029.0</v>
      </c>
      <c r="D3022" s="6" t="s">
        <v>312</v>
      </c>
      <c r="E3022" s="6" t="s">
        <v>687</v>
      </c>
      <c r="F3022" s="6" t="s">
        <v>112</v>
      </c>
      <c r="G3022" s="6" t="s">
        <v>254</v>
      </c>
      <c r="H3022" s="10">
        <v>46032.0</v>
      </c>
      <c r="I3022" s="12">
        <v>7.0</v>
      </c>
      <c r="J3022" s="6" t="s">
        <v>161</v>
      </c>
    </row>
    <row r="3023" ht="22.5" customHeight="1">
      <c r="A3023" s="6" t="s">
        <v>14589</v>
      </c>
      <c r="B3023" s="6" t="s">
        <v>7274</v>
      </c>
      <c r="C3023" s="10">
        <v>46065.0</v>
      </c>
      <c r="D3023" s="6" t="s">
        <v>677</v>
      </c>
      <c r="E3023" s="6" t="s">
        <v>704</v>
      </c>
      <c r="F3023" s="6" t="s">
        <v>249</v>
      </c>
      <c r="G3023" s="6" t="s">
        <v>369</v>
      </c>
      <c r="H3023" s="10">
        <v>46066.0</v>
      </c>
      <c r="I3023" s="12">
        <v>4.0</v>
      </c>
      <c r="J3023" s="6" t="s">
        <v>161</v>
      </c>
    </row>
    <row r="3024" ht="22.5" customHeight="1">
      <c r="A3024" s="6" t="s">
        <v>14594</v>
      </c>
      <c r="B3024" s="6" t="s">
        <v>7274</v>
      </c>
      <c r="C3024" s="10">
        <v>46060.0</v>
      </c>
      <c r="D3024" s="6" t="s">
        <v>677</v>
      </c>
      <c r="E3024" s="6" t="s">
        <v>1700</v>
      </c>
      <c r="F3024" s="6" t="s">
        <v>439</v>
      </c>
      <c r="G3024" s="6" t="s">
        <v>254</v>
      </c>
      <c r="H3024" s="10">
        <v>46065.0</v>
      </c>
      <c r="I3024" s="12">
        <v>4.0</v>
      </c>
      <c r="J3024" s="6" t="s">
        <v>161</v>
      </c>
    </row>
    <row r="3025" ht="22.5" customHeight="1">
      <c r="A3025" s="6" t="s">
        <v>14599</v>
      </c>
      <c r="B3025" s="6" t="s">
        <v>7274</v>
      </c>
      <c r="C3025" s="10">
        <v>46057.0</v>
      </c>
      <c r="D3025" s="6" t="s">
        <v>436</v>
      </c>
      <c r="E3025" s="6" t="s">
        <v>1546</v>
      </c>
      <c r="F3025" s="6" t="s">
        <v>439</v>
      </c>
      <c r="G3025" s="6" t="s">
        <v>452</v>
      </c>
      <c r="H3025" s="10">
        <v>46064.0</v>
      </c>
      <c r="I3025" s="12">
        <v>6.0</v>
      </c>
      <c r="J3025" s="6" t="s">
        <v>178</v>
      </c>
    </row>
    <row r="3026" ht="22.5" customHeight="1">
      <c r="A3026" s="6" t="s">
        <v>14602</v>
      </c>
      <c r="B3026" s="6" t="s">
        <v>7274</v>
      </c>
      <c r="C3026" s="10">
        <v>46064.0</v>
      </c>
      <c r="D3026" s="6" t="s">
        <v>677</v>
      </c>
      <c r="E3026" s="6" t="s">
        <v>291</v>
      </c>
      <c r="F3026" s="6" t="s">
        <v>112</v>
      </c>
      <c r="G3026" s="6" t="s">
        <v>254</v>
      </c>
      <c r="H3026" s="10">
        <v>46068.0</v>
      </c>
      <c r="I3026" s="12">
        <v>3.0</v>
      </c>
      <c r="J3026" s="6" t="s">
        <v>161</v>
      </c>
    </row>
    <row r="3027" ht="22.5" customHeight="1">
      <c r="A3027" s="6" t="s">
        <v>14608</v>
      </c>
      <c r="B3027" s="6" t="s">
        <v>7274</v>
      </c>
      <c r="C3027" s="10">
        <v>46066.0</v>
      </c>
      <c r="D3027" s="6" t="s">
        <v>677</v>
      </c>
      <c r="E3027" s="6" t="s">
        <v>695</v>
      </c>
      <c r="F3027" s="6" t="s">
        <v>283</v>
      </c>
      <c r="G3027" s="6" t="s">
        <v>369</v>
      </c>
      <c r="H3027" s="10">
        <v>46069.0</v>
      </c>
      <c r="I3027" s="12">
        <v>2.0</v>
      </c>
      <c r="J3027" s="6" t="s">
        <v>161</v>
      </c>
    </row>
    <row r="3028" ht="22.5" customHeight="1">
      <c r="A3028" s="6" t="s">
        <v>14612</v>
      </c>
      <c r="B3028" s="6" t="s">
        <v>7280</v>
      </c>
      <c r="C3028" s="10">
        <v>46042.0</v>
      </c>
      <c r="D3028" s="6" t="s">
        <v>677</v>
      </c>
      <c r="E3028" s="6" t="s">
        <v>1280</v>
      </c>
      <c r="F3028" s="6" t="s">
        <v>439</v>
      </c>
      <c r="G3028" s="6" t="s">
        <v>326</v>
      </c>
      <c r="H3028" s="10">
        <v>46043.0</v>
      </c>
      <c r="I3028" s="12">
        <v>3.0</v>
      </c>
      <c r="J3028" s="6" t="s">
        <v>161</v>
      </c>
    </row>
    <row r="3029" ht="22.5" customHeight="1">
      <c r="A3029" s="6" t="s">
        <v>14615</v>
      </c>
      <c r="B3029" s="6" t="s">
        <v>7280</v>
      </c>
      <c r="C3029" s="10">
        <v>46028.0</v>
      </c>
      <c r="D3029" s="6" t="s">
        <v>677</v>
      </c>
      <c r="E3029" s="6" t="s">
        <v>1700</v>
      </c>
      <c r="F3029" s="6" t="s">
        <v>439</v>
      </c>
      <c r="G3029" s="6" t="s">
        <v>326</v>
      </c>
      <c r="H3029" s="10">
        <v>46034.0</v>
      </c>
      <c r="I3029" s="12">
        <v>4.0</v>
      </c>
      <c r="J3029" s="6" t="s">
        <v>161</v>
      </c>
    </row>
    <row r="3030" ht="22.5" customHeight="1">
      <c r="A3030" s="6" t="s">
        <v>14618</v>
      </c>
      <c r="B3030" s="6" t="s">
        <v>7286</v>
      </c>
      <c r="C3030" s="10">
        <v>46070.0</v>
      </c>
      <c r="D3030" s="6" t="s">
        <v>242</v>
      </c>
      <c r="E3030" s="6" t="s">
        <v>1035</v>
      </c>
      <c r="F3030" s="6" t="s">
        <v>249</v>
      </c>
      <c r="G3030" s="6" t="s">
        <v>458</v>
      </c>
      <c r="H3030" s="10">
        <v>46074.0</v>
      </c>
      <c r="I3030" s="12">
        <v>4.0</v>
      </c>
      <c r="J3030" s="6" t="s">
        <v>178</v>
      </c>
    </row>
    <row r="3031" ht="22.5" customHeight="1">
      <c r="A3031" s="6" t="s">
        <v>14623</v>
      </c>
      <c r="B3031" s="6" t="s">
        <v>7286</v>
      </c>
      <c r="C3031" s="10">
        <v>46073.0</v>
      </c>
      <c r="D3031" s="6" t="s">
        <v>312</v>
      </c>
      <c r="E3031" s="6" t="s">
        <v>687</v>
      </c>
      <c r="F3031" s="6" t="s">
        <v>283</v>
      </c>
      <c r="G3031" s="6" t="s">
        <v>369</v>
      </c>
      <c r="H3031" s="10">
        <v>46075.0</v>
      </c>
      <c r="I3031" s="12">
        <v>4.0</v>
      </c>
      <c r="J3031" s="6" t="s">
        <v>161</v>
      </c>
    </row>
    <row r="3032" ht="22.5" customHeight="1">
      <c r="A3032" s="6" t="s">
        <v>14627</v>
      </c>
      <c r="B3032" s="6" t="s">
        <v>7286</v>
      </c>
      <c r="C3032" s="10">
        <v>46074.0</v>
      </c>
      <c r="D3032" s="6" t="s">
        <v>436</v>
      </c>
      <c r="E3032" s="6" t="s">
        <v>798</v>
      </c>
      <c r="F3032" s="6" t="s">
        <v>112</v>
      </c>
      <c r="G3032" s="6" t="s">
        <v>477</v>
      </c>
      <c r="H3032" s="10">
        <v>46077.0</v>
      </c>
      <c r="I3032" s="12">
        <v>11.0</v>
      </c>
      <c r="J3032" s="6" t="s">
        <v>178</v>
      </c>
    </row>
    <row r="3033" ht="22.5" customHeight="1">
      <c r="A3033" s="6" t="s">
        <v>14632</v>
      </c>
      <c r="B3033" s="6" t="s">
        <v>7293</v>
      </c>
      <c r="C3033" s="10">
        <v>46055.0</v>
      </c>
      <c r="D3033" s="6" t="s">
        <v>391</v>
      </c>
      <c r="E3033" s="6" t="s">
        <v>670</v>
      </c>
      <c r="F3033" s="6" t="s">
        <v>112</v>
      </c>
      <c r="G3033" s="6" t="s">
        <v>477</v>
      </c>
      <c r="H3033" s="10">
        <v>46059.0</v>
      </c>
      <c r="I3033" s="12">
        <v>8.0</v>
      </c>
      <c r="J3033" s="6" t="s">
        <v>161</v>
      </c>
    </row>
    <row r="3034" ht="22.5" customHeight="1">
      <c r="A3034" s="6" t="s">
        <v>14637</v>
      </c>
      <c r="B3034" s="6" t="s">
        <v>7299</v>
      </c>
      <c r="C3034" s="10">
        <v>46034.0</v>
      </c>
      <c r="D3034" s="6" t="s">
        <v>416</v>
      </c>
      <c r="E3034" s="6" t="s">
        <v>1035</v>
      </c>
      <c r="F3034" s="6" t="s">
        <v>439</v>
      </c>
      <c r="G3034" s="6" t="s">
        <v>297</v>
      </c>
      <c r="H3034" s="10">
        <v>46035.0</v>
      </c>
      <c r="I3034" s="12">
        <v>9.0</v>
      </c>
      <c r="J3034" s="6" t="s">
        <v>161</v>
      </c>
    </row>
    <row r="3035" ht="22.5" customHeight="1">
      <c r="A3035" s="6" t="s">
        <v>14643</v>
      </c>
      <c r="B3035" s="6" t="s">
        <v>7306</v>
      </c>
      <c r="C3035" s="10">
        <v>46052.0</v>
      </c>
      <c r="D3035" s="6" t="s">
        <v>416</v>
      </c>
      <c r="E3035" s="6" t="s">
        <v>1741</v>
      </c>
      <c r="F3035" s="6" t="s">
        <v>439</v>
      </c>
      <c r="G3035" s="6" t="s">
        <v>494</v>
      </c>
      <c r="H3035" s="10">
        <v>46052.0</v>
      </c>
      <c r="I3035" s="12">
        <v>10.0</v>
      </c>
      <c r="J3035" s="6" t="s">
        <v>161</v>
      </c>
    </row>
    <row r="3036" ht="22.5" customHeight="1">
      <c r="A3036" s="6" t="s">
        <v>14646</v>
      </c>
      <c r="B3036" s="6" t="s">
        <v>7306</v>
      </c>
      <c r="C3036" s="10">
        <v>46061.0</v>
      </c>
      <c r="D3036" s="6" t="s">
        <v>436</v>
      </c>
      <c r="E3036" s="6" t="s">
        <v>695</v>
      </c>
      <c r="F3036" s="6" t="s">
        <v>439</v>
      </c>
      <c r="G3036" s="6" t="s">
        <v>452</v>
      </c>
      <c r="H3036" s="10">
        <v>46061.0</v>
      </c>
      <c r="I3036" s="12">
        <v>12.0</v>
      </c>
      <c r="J3036" s="6" t="s">
        <v>178</v>
      </c>
    </row>
    <row r="3037" ht="22.5" customHeight="1">
      <c r="A3037" s="6" t="s">
        <v>14651</v>
      </c>
      <c r="B3037" s="6" t="s">
        <v>7306</v>
      </c>
      <c r="C3037" s="10">
        <v>46060.0</v>
      </c>
      <c r="D3037" s="6" t="s">
        <v>677</v>
      </c>
      <c r="E3037" s="6" t="s">
        <v>670</v>
      </c>
      <c r="F3037" s="6" t="s">
        <v>249</v>
      </c>
      <c r="G3037" s="6" t="s">
        <v>494</v>
      </c>
      <c r="H3037" s="10">
        <v>46060.0</v>
      </c>
      <c r="I3037" s="12">
        <v>2.0</v>
      </c>
      <c r="J3037" s="6" t="s">
        <v>161</v>
      </c>
    </row>
    <row r="3038" ht="22.5" customHeight="1">
      <c r="A3038" s="6" t="s">
        <v>14656</v>
      </c>
      <c r="B3038" s="6" t="s">
        <v>7306</v>
      </c>
      <c r="C3038" s="10">
        <v>46062.0</v>
      </c>
      <c r="D3038" s="6" t="s">
        <v>391</v>
      </c>
      <c r="E3038" s="6" t="s">
        <v>365</v>
      </c>
      <c r="F3038" s="6" t="s">
        <v>283</v>
      </c>
      <c r="G3038" s="6" t="s">
        <v>452</v>
      </c>
      <c r="H3038" s="10">
        <v>46069.0</v>
      </c>
      <c r="I3038" s="12">
        <v>7.0</v>
      </c>
      <c r="J3038" s="6" t="s">
        <v>161</v>
      </c>
    </row>
    <row r="3039" ht="22.5" customHeight="1">
      <c r="A3039" s="6" t="s">
        <v>14659</v>
      </c>
      <c r="B3039" s="6" t="s">
        <v>7313</v>
      </c>
      <c r="C3039" s="10">
        <v>46044.0</v>
      </c>
      <c r="D3039" s="6" t="s">
        <v>416</v>
      </c>
      <c r="E3039" s="6" t="s">
        <v>716</v>
      </c>
      <c r="F3039" s="6" t="s">
        <v>439</v>
      </c>
      <c r="G3039" s="6" t="s">
        <v>477</v>
      </c>
      <c r="H3039" s="10">
        <v>46049.0</v>
      </c>
      <c r="I3039" s="12">
        <v>8.0</v>
      </c>
      <c r="J3039" s="6" t="s">
        <v>161</v>
      </c>
    </row>
    <row r="3040" ht="22.5" customHeight="1">
      <c r="A3040" s="6" t="s">
        <v>14665</v>
      </c>
      <c r="B3040" s="6" t="s">
        <v>7313</v>
      </c>
      <c r="C3040" s="10">
        <v>46046.0</v>
      </c>
      <c r="D3040" s="6" t="s">
        <v>436</v>
      </c>
      <c r="E3040" s="6" t="s">
        <v>1296</v>
      </c>
      <c r="F3040" s="6" t="s">
        <v>249</v>
      </c>
      <c r="G3040" s="6" t="s">
        <v>494</v>
      </c>
      <c r="H3040" s="10">
        <v>46046.0</v>
      </c>
      <c r="I3040" s="12">
        <v>11.0</v>
      </c>
      <c r="J3040" s="6" t="s">
        <v>161</v>
      </c>
    </row>
    <row r="3041" ht="22.5" customHeight="1">
      <c r="A3041" s="6" t="s">
        <v>14669</v>
      </c>
      <c r="B3041" s="6" t="s">
        <v>7313</v>
      </c>
      <c r="C3041" s="10">
        <v>46045.0</v>
      </c>
      <c r="D3041" s="6" t="s">
        <v>391</v>
      </c>
      <c r="E3041" s="6" t="s">
        <v>417</v>
      </c>
      <c r="F3041" s="6" t="s">
        <v>439</v>
      </c>
      <c r="G3041" s="6" t="s">
        <v>458</v>
      </c>
      <c r="H3041" s="10">
        <v>46051.0</v>
      </c>
      <c r="I3041" s="12">
        <v>10.0</v>
      </c>
      <c r="J3041" s="6" t="s">
        <v>161</v>
      </c>
    </row>
    <row r="3042" ht="22.5" customHeight="1">
      <c r="A3042" s="6" t="s">
        <v>14675</v>
      </c>
      <c r="B3042" s="6" t="s">
        <v>7320</v>
      </c>
      <c r="C3042" s="10">
        <v>46085.0</v>
      </c>
      <c r="D3042" s="6" t="s">
        <v>289</v>
      </c>
      <c r="E3042" s="6" t="s">
        <v>634</v>
      </c>
      <c r="F3042" s="6" t="s">
        <v>249</v>
      </c>
      <c r="G3042" s="6" t="s">
        <v>494</v>
      </c>
      <c r="H3042" s="10">
        <v>46086.0</v>
      </c>
      <c r="I3042" s="12">
        <v>5.0</v>
      </c>
      <c r="J3042" s="6" t="s">
        <v>161</v>
      </c>
    </row>
    <row r="3043" ht="22.5" customHeight="1">
      <c r="A3043" s="6" t="s">
        <v>14679</v>
      </c>
      <c r="B3043" s="6" t="s">
        <v>7320</v>
      </c>
      <c r="C3043" s="10">
        <v>46069.0</v>
      </c>
      <c r="D3043" s="6" t="s">
        <v>391</v>
      </c>
      <c r="E3043" s="6" t="s">
        <v>955</v>
      </c>
      <c r="F3043" s="6" t="s">
        <v>112</v>
      </c>
      <c r="G3043" s="6" t="s">
        <v>452</v>
      </c>
      <c r="H3043" s="11" t="s">
        <v>259</v>
      </c>
      <c r="I3043" s="12">
        <v>6.0</v>
      </c>
      <c r="J3043" s="6" t="s">
        <v>161</v>
      </c>
    </row>
    <row r="3044" ht="22.5" customHeight="1">
      <c r="A3044" s="6" t="s">
        <v>14682</v>
      </c>
      <c r="B3044" s="6" t="s">
        <v>7320</v>
      </c>
      <c r="C3044" s="10">
        <v>46073.0</v>
      </c>
      <c r="D3044" s="6" t="s">
        <v>677</v>
      </c>
      <c r="E3044" s="6" t="s">
        <v>291</v>
      </c>
      <c r="F3044" s="6" t="s">
        <v>283</v>
      </c>
      <c r="G3044" s="6" t="s">
        <v>326</v>
      </c>
      <c r="H3044" s="11" t="s">
        <v>259</v>
      </c>
      <c r="I3044" s="12">
        <v>3.0</v>
      </c>
      <c r="J3044" s="6" t="s">
        <v>161</v>
      </c>
    </row>
    <row r="3045" ht="22.5" customHeight="1">
      <c r="A3045" s="6" t="s">
        <v>14688</v>
      </c>
      <c r="B3045" s="6" t="s">
        <v>7320</v>
      </c>
      <c r="C3045" s="10">
        <v>46075.0</v>
      </c>
      <c r="D3045" s="6" t="s">
        <v>289</v>
      </c>
      <c r="E3045" s="6" t="s">
        <v>1280</v>
      </c>
      <c r="F3045" s="6" t="s">
        <v>439</v>
      </c>
      <c r="G3045" s="6" t="s">
        <v>297</v>
      </c>
      <c r="H3045" s="10">
        <v>46080.0</v>
      </c>
      <c r="I3045" s="12">
        <v>7.0</v>
      </c>
      <c r="J3045" s="6" t="s">
        <v>161</v>
      </c>
    </row>
    <row r="3046" ht="22.5" customHeight="1">
      <c r="A3046" s="6" t="s">
        <v>14691</v>
      </c>
      <c r="B3046" s="6" t="s">
        <v>7320</v>
      </c>
      <c r="C3046" s="10">
        <v>46084.0</v>
      </c>
      <c r="D3046" s="6" t="s">
        <v>242</v>
      </c>
      <c r="E3046" s="6" t="s">
        <v>1969</v>
      </c>
      <c r="F3046" s="6" t="s">
        <v>249</v>
      </c>
      <c r="G3046" s="6" t="s">
        <v>369</v>
      </c>
      <c r="H3046" s="10">
        <v>46086.0</v>
      </c>
      <c r="I3046" s="12">
        <v>4.0</v>
      </c>
      <c r="J3046" s="6" t="s">
        <v>178</v>
      </c>
    </row>
    <row r="3047" ht="22.5" customHeight="1">
      <c r="A3047" s="6" t="s">
        <v>14696</v>
      </c>
      <c r="B3047" s="6" t="s">
        <v>7326</v>
      </c>
      <c r="C3047" s="10">
        <v>46064.0</v>
      </c>
      <c r="D3047" s="6" t="s">
        <v>242</v>
      </c>
      <c r="E3047" s="6" t="s">
        <v>885</v>
      </c>
      <c r="F3047" s="6" t="s">
        <v>439</v>
      </c>
      <c r="G3047" s="6" t="s">
        <v>452</v>
      </c>
      <c r="H3047" s="10">
        <v>46067.0</v>
      </c>
      <c r="I3047" s="12">
        <v>5.0</v>
      </c>
      <c r="J3047" s="6" t="s">
        <v>178</v>
      </c>
    </row>
    <row r="3048" ht="22.5" customHeight="1">
      <c r="A3048" s="6" t="s">
        <v>14702</v>
      </c>
      <c r="B3048" s="6" t="s">
        <v>7326</v>
      </c>
      <c r="C3048" s="10">
        <v>46059.0</v>
      </c>
      <c r="D3048" s="6" t="s">
        <v>312</v>
      </c>
      <c r="E3048" s="6" t="s">
        <v>1280</v>
      </c>
      <c r="F3048" s="6" t="s">
        <v>249</v>
      </c>
      <c r="G3048" s="6" t="s">
        <v>458</v>
      </c>
      <c r="H3048" s="10">
        <v>46065.0</v>
      </c>
      <c r="I3048" s="12">
        <v>4.0</v>
      </c>
      <c r="J3048" s="6" t="s">
        <v>161</v>
      </c>
    </row>
    <row r="3049" ht="22.5" customHeight="1">
      <c r="A3049" s="6" t="s">
        <v>14707</v>
      </c>
      <c r="B3049" s="6" t="s">
        <v>7333</v>
      </c>
      <c r="C3049" s="10">
        <v>46055.0</v>
      </c>
      <c r="D3049" s="6" t="s">
        <v>289</v>
      </c>
      <c r="E3049" s="6" t="s">
        <v>833</v>
      </c>
      <c r="F3049" s="6" t="s">
        <v>283</v>
      </c>
      <c r="G3049" s="6" t="s">
        <v>369</v>
      </c>
      <c r="H3049" s="10">
        <v>46058.0</v>
      </c>
      <c r="I3049" s="12">
        <v>6.0</v>
      </c>
      <c r="J3049" s="6" t="s">
        <v>161</v>
      </c>
    </row>
    <row r="3050" ht="22.5" customHeight="1">
      <c r="A3050" s="6" t="s">
        <v>14710</v>
      </c>
      <c r="B3050" s="6" t="s">
        <v>7333</v>
      </c>
      <c r="C3050" s="10">
        <v>46072.0</v>
      </c>
      <c r="D3050" s="6" t="s">
        <v>312</v>
      </c>
      <c r="E3050" s="6" t="s">
        <v>466</v>
      </c>
      <c r="F3050" s="6" t="s">
        <v>283</v>
      </c>
      <c r="G3050" s="6" t="s">
        <v>452</v>
      </c>
      <c r="H3050" s="10">
        <v>46073.0</v>
      </c>
      <c r="I3050" s="12">
        <v>4.0</v>
      </c>
      <c r="J3050" s="6" t="s">
        <v>161</v>
      </c>
    </row>
    <row r="3051" ht="22.5" customHeight="1">
      <c r="A3051" s="6" t="s">
        <v>14714</v>
      </c>
      <c r="B3051" s="6" t="s">
        <v>7333</v>
      </c>
      <c r="C3051" s="10">
        <v>46069.0</v>
      </c>
      <c r="D3051" s="6" t="s">
        <v>289</v>
      </c>
      <c r="E3051" s="6" t="s">
        <v>394</v>
      </c>
      <c r="F3051" s="6" t="s">
        <v>439</v>
      </c>
      <c r="G3051" s="6" t="s">
        <v>254</v>
      </c>
      <c r="H3051" s="10">
        <v>46072.0</v>
      </c>
      <c r="I3051" s="12">
        <v>5.0</v>
      </c>
      <c r="J3051" s="6" t="s">
        <v>161</v>
      </c>
    </row>
    <row r="3052" ht="22.5" customHeight="1">
      <c r="A3052" s="6" t="s">
        <v>14720</v>
      </c>
      <c r="B3052" s="6" t="s">
        <v>7333</v>
      </c>
      <c r="C3052" s="10">
        <v>46066.0</v>
      </c>
      <c r="D3052" s="6" t="s">
        <v>677</v>
      </c>
      <c r="E3052" s="6" t="s">
        <v>246</v>
      </c>
      <c r="F3052" s="6" t="s">
        <v>249</v>
      </c>
      <c r="G3052" s="6" t="s">
        <v>326</v>
      </c>
      <c r="H3052" s="10">
        <v>46066.0</v>
      </c>
      <c r="I3052" s="12">
        <v>3.0</v>
      </c>
      <c r="J3052" s="6" t="s">
        <v>161</v>
      </c>
    </row>
    <row r="3053" ht="22.5" customHeight="1">
      <c r="A3053" s="6" t="s">
        <v>14726</v>
      </c>
      <c r="B3053" s="6" t="s">
        <v>7339</v>
      </c>
      <c r="C3053" s="10">
        <v>46064.0</v>
      </c>
      <c r="D3053" s="6" t="s">
        <v>289</v>
      </c>
      <c r="E3053" s="6" t="s">
        <v>1122</v>
      </c>
      <c r="F3053" s="6" t="s">
        <v>283</v>
      </c>
      <c r="G3053" s="6" t="s">
        <v>458</v>
      </c>
      <c r="H3053" s="10">
        <v>46067.0</v>
      </c>
      <c r="I3053" s="12">
        <v>6.0</v>
      </c>
      <c r="J3053" s="6" t="s">
        <v>161</v>
      </c>
    </row>
    <row r="3054" ht="22.5" customHeight="1">
      <c r="A3054" s="6" t="s">
        <v>14728</v>
      </c>
      <c r="B3054" s="6" t="s">
        <v>7345</v>
      </c>
      <c r="C3054" s="10">
        <v>46073.0</v>
      </c>
      <c r="D3054" s="6" t="s">
        <v>391</v>
      </c>
      <c r="E3054" s="6" t="s">
        <v>955</v>
      </c>
      <c r="F3054" s="6" t="s">
        <v>112</v>
      </c>
      <c r="G3054" s="6" t="s">
        <v>369</v>
      </c>
      <c r="H3054" s="10">
        <v>46080.0</v>
      </c>
      <c r="I3054" s="12">
        <v>9.0</v>
      </c>
      <c r="J3054" s="6" t="s">
        <v>161</v>
      </c>
    </row>
    <row r="3055" ht="22.5" customHeight="1">
      <c r="A3055" s="6" t="s">
        <v>14734</v>
      </c>
      <c r="B3055" s="6" t="s">
        <v>7345</v>
      </c>
      <c r="C3055" s="10">
        <v>46070.0</v>
      </c>
      <c r="D3055" s="6" t="s">
        <v>436</v>
      </c>
      <c r="E3055" s="6" t="s">
        <v>955</v>
      </c>
      <c r="F3055" s="6" t="s">
        <v>283</v>
      </c>
      <c r="G3055" s="6" t="s">
        <v>326</v>
      </c>
      <c r="H3055" s="10">
        <v>46075.0</v>
      </c>
      <c r="I3055" s="12">
        <v>9.0</v>
      </c>
      <c r="J3055" s="6" t="s">
        <v>178</v>
      </c>
    </row>
    <row r="3056" ht="22.5" customHeight="1">
      <c r="A3056" s="6" t="s">
        <v>14739</v>
      </c>
      <c r="B3056" s="6" t="s">
        <v>7345</v>
      </c>
      <c r="C3056" s="10">
        <v>46063.0</v>
      </c>
      <c r="D3056" s="6" t="s">
        <v>416</v>
      </c>
      <c r="E3056" s="6" t="s">
        <v>246</v>
      </c>
      <c r="F3056" s="6" t="s">
        <v>249</v>
      </c>
      <c r="G3056" s="6" t="s">
        <v>297</v>
      </c>
      <c r="H3056" s="10">
        <v>46063.0</v>
      </c>
      <c r="I3056" s="12">
        <v>13.0</v>
      </c>
      <c r="J3056" s="6" t="s">
        <v>161</v>
      </c>
    </row>
    <row r="3057" ht="22.5" customHeight="1">
      <c r="A3057" s="6" t="s">
        <v>14743</v>
      </c>
      <c r="B3057" s="6" t="s">
        <v>7352</v>
      </c>
      <c r="C3057" s="10">
        <v>46066.0</v>
      </c>
      <c r="D3057" s="6" t="s">
        <v>677</v>
      </c>
      <c r="E3057" s="6" t="s">
        <v>1273</v>
      </c>
      <c r="F3057" s="6" t="s">
        <v>249</v>
      </c>
      <c r="G3057" s="6" t="s">
        <v>297</v>
      </c>
      <c r="H3057" s="10">
        <v>46071.0</v>
      </c>
      <c r="I3057" s="12">
        <v>2.0</v>
      </c>
      <c r="J3057" s="6" t="s">
        <v>161</v>
      </c>
    </row>
    <row r="3058" ht="22.5" customHeight="1">
      <c r="A3058" s="6" t="s">
        <v>14747</v>
      </c>
      <c r="B3058" s="6" t="s">
        <v>7352</v>
      </c>
      <c r="C3058" s="10">
        <v>46071.0</v>
      </c>
      <c r="D3058" s="6" t="s">
        <v>677</v>
      </c>
      <c r="E3058" s="6" t="s">
        <v>716</v>
      </c>
      <c r="F3058" s="6" t="s">
        <v>112</v>
      </c>
      <c r="G3058" s="6" t="s">
        <v>369</v>
      </c>
      <c r="H3058" s="10">
        <v>46077.0</v>
      </c>
      <c r="I3058" s="12">
        <v>4.0</v>
      </c>
      <c r="J3058" s="6" t="s">
        <v>161</v>
      </c>
    </row>
    <row r="3059" ht="22.5" customHeight="1">
      <c r="A3059" s="6" t="s">
        <v>14751</v>
      </c>
      <c r="B3059" s="6" t="s">
        <v>7352</v>
      </c>
      <c r="C3059" s="10">
        <v>46065.0</v>
      </c>
      <c r="D3059" s="6" t="s">
        <v>436</v>
      </c>
      <c r="E3059" s="6" t="s">
        <v>1102</v>
      </c>
      <c r="F3059" s="6" t="s">
        <v>439</v>
      </c>
      <c r="G3059" s="6" t="s">
        <v>452</v>
      </c>
      <c r="H3059" s="11" t="s">
        <v>259</v>
      </c>
      <c r="I3059" s="12">
        <v>6.0</v>
      </c>
      <c r="J3059" s="6" t="s">
        <v>178</v>
      </c>
    </row>
    <row r="3060" ht="22.5" customHeight="1">
      <c r="A3060" s="6" t="s">
        <v>14757</v>
      </c>
      <c r="B3060" s="6" t="s">
        <v>7352</v>
      </c>
      <c r="C3060" s="10">
        <v>46069.0</v>
      </c>
      <c r="D3060" s="6" t="s">
        <v>312</v>
      </c>
      <c r="E3060" s="6" t="s">
        <v>704</v>
      </c>
      <c r="F3060" s="6" t="s">
        <v>439</v>
      </c>
      <c r="G3060" s="6" t="s">
        <v>369</v>
      </c>
      <c r="H3060" s="10">
        <v>46074.0</v>
      </c>
      <c r="I3060" s="12">
        <v>5.0</v>
      </c>
      <c r="J3060" s="6" t="s">
        <v>161</v>
      </c>
    </row>
    <row r="3061" ht="22.5" customHeight="1">
      <c r="A3061" s="6" t="s">
        <v>14761</v>
      </c>
      <c r="B3061" s="6" t="s">
        <v>7352</v>
      </c>
      <c r="C3061" s="10">
        <v>46059.0</v>
      </c>
      <c r="D3061" s="6" t="s">
        <v>677</v>
      </c>
      <c r="E3061" s="6" t="s">
        <v>1552</v>
      </c>
      <c r="F3061" s="6" t="s">
        <v>283</v>
      </c>
      <c r="G3061" s="6" t="s">
        <v>254</v>
      </c>
      <c r="H3061" s="10">
        <v>46060.0</v>
      </c>
      <c r="I3061" s="12">
        <v>3.0</v>
      </c>
      <c r="J3061" s="6" t="s">
        <v>161</v>
      </c>
    </row>
    <row r="3062" ht="22.5" customHeight="1">
      <c r="A3062" s="6" t="s">
        <v>14766</v>
      </c>
      <c r="B3062" s="6" t="s">
        <v>7358</v>
      </c>
      <c r="C3062" s="10">
        <v>46066.0</v>
      </c>
      <c r="D3062" s="6" t="s">
        <v>312</v>
      </c>
      <c r="E3062" s="6" t="s">
        <v>365</v>
      </c>
      <c r="F3062" s="6" t="s">
        <v>439</v>
      </c>
      <c r="G3062" s="6" t="s">
        <v>369</v>
      </c>
      <c r="H3062" s="10">
        <v>46068.0</v>
      </c>
      <c r="I3062" s="12">
        <v>7.0</v>
      </c>
      <c r="J3062" s="6" t="s">
        <v>161</v>
      </c>
    </row>
    <row r="3063" ht="22.5" customHeight="1">
      <c r="A3063" s="6" t="s">
        <v>14770</v>
      </c>
      <c r="B3063" s="6" t="s">
        <v>7358</v>
      </c>
      <c r="C3063" s="10">
        <v>46077.0</v>
      </c>
      <c r="D3063" s="6" t="s">
        <v>312</v>
      </c>
      <c r="E3063" s="6" t="s">
        <v>394</v>
      </c>
      <c r="F3063" s="6" t="s">
        <v>249</v>
      </c>
      <c r="G3063" s="6" t="s">
        <v>369</v>
      </c>
      <c r="H3063" s="11" t="s">
        <v>259</v>
      </c>
      <c r="I3063" s="12">
        <v>7.0</v>
      </c>
      <c r="J3063" s="6" t="s">
        <v>161</v>
      </c>
    </row>
    <row r="3064" ht="22.5" customHeight="1">
      <c r="A3064" s="6" t="s">
        <v>14776</v>
      </c>
      <c r="B3064" s="6" t="s">
        <v>7365</v>
      </c>
      <c r="C3064" s="10">
        <v>46042.0</v>
      </c>
      <c r="D3064" s="6" t="s">
        <v>289</v>
      </c>
      <c r="E3064" s="6" t="s">
        <v>438</v>
      </c>
      <c r="F3064" s="6" t="s">
        <v>439</v>
      </c>
      <c r="G3064" s="6" t="s">
        <v>494</v>
      </c>
      <c r="H3064" s="10">
        <v>46043.0</v>
      </c>
      <c r="I3064" s="12">
        <v>10.0</v>
      </c>
      <c r="J3064" s="6" t="s">
        <v>161</v>
      </c>
    </row>
    <row r="3065" ht="22.5" customHeight="1">
      <c r="A3065" s="6" t="s">
        <v>14778</v>
      </c>
      <c r="B3065" s="6" t="s">
        <v>7365</v>
      </c>
      <c r="C3065" s="10">
        <v>46029.0</v>
      </c>
      <c r="D3065" s="6" t="s">
        <v>312</v>
      </c>
      <c r="E3065" s="6" t="s">
        <v>670</v>
      </c>
      <c r="F3065" s="6" t="s">
        <v>283</v>
      </c>
      <c r="G3065" s="6" t="s">
        <v>369</v>
      </c>
      <c r="H3065" s="10">
        <v>46036.0</v>
      </c>
      <c r="I3065" s="12">
        <v>6.0</v>
      </c>
      <c r="J3065" s="6" t="s">
        <v>161</v>
      </c>
    </row>
    <row r="3066" ht="22.5" customHeight="1">
      <c r="A3066" s="6" t="s">
        <v>14782</v>
      </c>
      <c r="B3066" s="6" t="s">
        <v>7365</v>
      </c>
      <c r="C3066" s="10">
        <v>46029.0</v>
      </c>
      <c r="D3066" s="6" t="s">
        <v>242</v>
      </c>
      <c r="E3066" s="6" t="s">
        <v>833</v>
      </c>
      <c r="F3066" s="6" t="s">
        <v>439</v>
      </c>
      <c r="G3066" s="6" t="s">
        <v>297</v>
      </c>
      <c r="H3066" s="10">
        <v>46029.0</v>
      </c>
      <c r="I3066" s="12">
        <v>5.0</v>
      </c>
      <c r="J3066" s="6" t="s">
        <v>178</v>
      </c>
    </row>
    <row r="3067" ht="22.5" customHeight="1">
      <c r="A3067" s="6" t="s">
        <v>14788</v>
      </c>
      <c r="B3067" s="6" t="s">
        <v>7365</v>
      </c>
      <c r="C3067" s="10">
        <v>46029.0</v>
      </c>
      <c r="D3067" s="6" t="s">
        <v>677</v>
      </c>
      <c r="E3067" s="6" t="s">
        <v>610</v>
      </c>
      <c r="F3067" s="6" t="s">
        <v>249</v>
      </c>
      <c r="G3067" s="6" t="s">
        <v>477</v>
      </c>
      <c r="H3067" s="10">
        <v>46033.0</v>
      </c>
      <c r="I3067" s="12">
        <v>3.0</v>
      </c>
      <c r="J3067" s="6" t="s">
        <v>161</v>
      </c>
    </row>
    <row r="3068" ht="22.5" customHeight="1">
      <c r="A3068" s="6" t="s">
        <v>14791</v>
      </c>
      <c r="B3068" s="6" t="s">
        <v>7365</v>
      </c>
      <c r="C3068" s="10">
        <v>46027.0</v>
      </c>
      <c r="D3068" s="6" t="s">
        <v>312</v>
      </c>
      <c r="E3068" s="6" t="s">
        <v>955</v>
      </c>
      <c r="F3068" s="6" t="s">
        <v>112</v>
      </c>
      <c r="G3068" s="6" t="s">
        <v>477</v>
      </c>
      <c r="H3068" s="10">
        <v>46029.0</v>
      </c>
      <c r="I3068" s="12">
        <v>6.0</v>
      </c>
      <c r="J3068" s="6" t="s">
        <v>161</v>
      </c>
    </row>
    <row r="3069" ht="22.5" customHeight="1">
      <c r="A3069" s="6" t="s">
        <v>14795</v>
      </c>
      <c r="B3069" s="6" t="s">
        <v>7371</v>
      </c>
      <c r="C3069" s="10">
        <v>46069.0</v>
      </c>
      <c r="D3069" s="6" t="s">
        <v>436</v>
      </c>
      <c r="E3069" s="6" t="s">
        <v>738</v>
      </c>
      <c r="F3069" s="6" t="s">
        <v>249</v>
      </c>
      <c r="G3069" s="6" t="s">
        <v>254</v>
      </c>
      <c r="H3069" s="10">
        <v>46072.0</v>
      </c>
      <c r="I3069" s="12">
        <v>6.0</v>
      </c>
      <c r="J3069" s="6" t="s">
        <v>178</v>
      </c>
    </row>
    <row r="3070" ht="22.5" customHeight="1">
      <c r="A3070" s="6" t="s">
        <v>14800</v>
      </c>
      <c r="B3070" s="6" t="s">
        <v>7371</v>
      </c>
      <c r="C3070" s="10">
        <v>46059.0</v>
      </c>
      <c r="D3070" s="6" t="s">
        <v>391</v>
      </c>
      <c r="E3070" s="6" t="s">
        <v>1517</v>
      </c>
      <c r="F3070" s="6" t="s">
        <v>439</v>
      </c>
      <c r="G3070" s="6" t="s">
        <v>326</v>
      </c>
      <c r="H3070" s="11" t="s">
        <v>259</v>
      </c>
      <c r="I3070" s="12">
        <v>11.0</v>
      </c>
      <c r="J3070" s="6" t="s">
        <v>161</v>
      </c>
    </row>
    <row r="3071" ht="22.5" customHeight="1">
      <c r="A3071" s="6" t="s">
        <v>14803</v>
      </c>
      <c r="B3071" s="6" t="s">
        <v>7377</v>
      </c>
      <c r="C3071" s="10">
        <v>46046.0</v>
      </c>
      <c r="D3071" s="6" t="s">
        <v>436</v>
      </c>
      <c r="E3071" s="6" t="s">
        <v>1626</v>
      </c>
      <c r="F3071" s="6" t="s">
        <v>439</v>
      </c>
      <c r="G3071" s="6" t="s">
        <v>369</v>
      </c>
      <c r="H3071" s="10">
        <v>46048.0</v>
      </c>
      <c r="I3071" s="12">
        <v>9.0</v>
      </c>
      <c r="J3071" s="6" t="s">
        <v>161</v>
      </c>
    </row>
    <row r="3072" ht="22.5" customHeight="1">
      <c r="A3072" s="6" t="s">
        <v>14807</v>
      </c>
      <c r="B3072" s="6" t="s">
        <v>7377</v>
      </c>
      <c r="C3072" s="10">
        <v>46029.0</v>
      </c>
      <c r="D3072" s="6" t="s">
        <v>416</v>
      </c>
      <c r="E3072" s="6" t="s">
        <v>1273</v>
      </c>
      <c r="F3072" s="6" t="s">
        <v>283</v>
      </c>
      <c r="G3072" s="6" t="s">
        <v>477</v>
      </c>
      <c r="H3072" s="10">
        <v>46031.0</v>
      </c>
      <c r="I3072" s="12">
        <v>10.0</v>
      </c>
      <c r="J3072" s="6" t="s">
        <v>161</v>
      </c>
    </row>
    <row r="3073" ht="22.5" customHeight="1">
      <c r="A3073" s="6" t="s">
        <v>14808</v>
      </c>
      <c r="B3073" s="6" t="s">
        <v>7377</v>
      </c>
      <c r="C3073" s="10">
        <v>46038.0</v>
      </c>
      <c r="D3073" s="6" t="s">
        <v>289</v>
      </c>
      <c r="E3073" s="6" t="s">
        <v>1310</v>
      </c>
      <c r="F3073" s="6" t="s">
        <v>249</v>
      </c>
      <c r="G3073" s="6" t="s">
        <v>254</v>
      </c>
      <c r="H3073" s="10">
        <v>46043.0</v>
      </c>
      <c r="I3073" s="12">
        <v>9.0</v>
      </c>
      <c r="J3073" s="6" t="s">
        <v>161</v>
      </c>
    </row>
    <row r="3074" ht="22.5" customHeight="1">
      <c r="A3074" s="6" t="s">
        <v>14811</v>
      </c>
      <c r="B3074" s="6" t="s">
        <v>7377</v>
      </c>
      <c r="C3074" s="10">
        <v>46040.0</v>
      </c>
      <c r="D3074" s="6" t="s">
        <v>312</v>
      </c>
      <c r="E3074" s="6" t="s">
        <v>670</v>
      </c>
      <c r="F3074" s="6" t="s">
        <v>249</v>
      </c>
      <c r="G3074" s="6" t="s">
        <v>254</v>
      </c>
      <c r="H3074" s="10">
        <v>46044.0</v>
      </c>
      <c r="I3074" s="12">
        <v>6.0</v>
      </c>
      <c r="J3074" s="6" t="s">
        <v>161</v>
      </c>
    </row>
    <row r="3075" ht="22.5" customHeight="1">
      <c r="A3075" s="6" t="s">
        <v>14814</v>
      </c>
      <c r="B3075" s="6" t="s">
        <v>7377</v>
      </c>
      <c r="C3075" s="10">
        <v>46040.0</v>
      </c>
      <c r="D3075" s="6" t="s">
        <v>436</v>
      </c>
      <c r="E3075" s="6" t="s">
        <v>438</v>
      </c>
      <c r="F3075" s="6" t="s">
        <v>439</v>
      </c>
      <c r="G3075" s="6" t="s">
        <v>369</v>
      </c>
      <c r="H3075" s="10">
        <v>46041.0</v>
      </c>
      <c r="I3075" s="12">
        <v>6.0</v>
      </c>
      <c r="J3075" s="6" t="s">
        <v>161</v>
      </c>
    </row>
    <row r="3076" ht="22.5" customHeight="1">
      <c r="A3076" s="6" t="s">
        <v>14817</v>
      </c>
      <c r="B3076" s="6" t="s">
        <v>7383</v>
      </c>
      <c r="C3076" s="10">
        <v>46066.0</v>
      </c>
      <c r="D3076" s="6" t="s">
        <v>436</v>
      </c>
      <c r="E3076" s="6" t="s">
        <v>1626</v>
      </c>
      <c r="F3076" s="6" t="s">
        <v>112</v>
      </c>
      <c r="G3076" s="6" t="s">
        <v>254</v>
      </c>
      <c r="H3076" s="10">
        <v>46068.0</v>
      </c>
      <c r="I3076" s="12">
        <v>6.0</v>
      </c>
      <c r="J3076" s="6" t="s">
        <v>178</v>
      </c>
    </row>
    <row r="3077" ht="22.5" customHeight="1">
      <c r="A3077" s="6" t="s">
        <v>14821</v>
      </c>
      <c r="B3077" s="6" t="s">
        <v>7383</v>
      </c>
      <c r="C3077" s="10">
        <v>46081.0</v>
      </c>
      <c r="D3077" s="6" t="s">
        <v>391</v>
      </c>
      <c r="E3077" s="6" t="s">
        <v>1741</v>
      </c>
      <c r="F3077" s="6" t="s">
        <v>249</v>
      </c>
      <c r="G3077" s="6" t="s">
        <v>452</v>
      </c>
      <c r="H3077" s="11" t="s">
        <v>259</v>
      </c>
      <c r="I3077" s="12">
        <v>6.0</v>
      </c>
      <c r="J3077" s="6" t="s">
        <v>161</v>
      </c>
    </row>
    <row r="3078" ht="22.5" customHeight="1">
      <c r="A3078" s="6" t="s">
        <v>14826</v>
      </c>
      <c r="B3078" s="6" t="s">
        <v>7383</v>
      </c>
      <c r="C3078" s="10">
        <v>46074.0</v>
      </c>
      <c r="D3078" s="6" t="s">
        <v>416</v>
      </c>
      <c r="E3078" s="6" t="s">
        <v>1296</v>
      </c>
      <c r="F3078" s="6" t="s">
        <v>249</v>
      </c>
      <c r="G3078" s="6" t="s">
        <v>326</v>
      </c>
      <c r="H3078" s="10">
        <v>46080.0</v>
      </c>
      <c r="I3078" s="12">
        <v>12.0</v>
      </c>
      <c r="J3078" s="6" t="s">
        <v>161</v>
      </c>
    </row>
    <row r="3079" ht="22.5" customHeight="1">
      <c r="A3079" s="6" t="s">
        <v>14829</v>
      </c>
      <c r="B3079" s="6" t="s">
        <v>7389</v>
      </c>
      <c r="C3079" s="10">
        <v>46040.0</v>
      </c>
      <c r="D3079" s="6" t="s">
        <v>312</v>
      </c>
      <c r="E3079" s="6" t="s">
        <v>738</v>
      </c>
      <c r="F3079" s="6" t="s">
        <v>439</v>
      </c>
      <c r="G3079" s="6" t="s">
        <v>458</v>
      </c>
      <c r="H3079" s="10">
        <v>46041.0</v>
      </c>
      <c r="I3079" s="12">
        <v>7.0</v>
      </c>
      <c r="J3079" s="6" t="s">
        <v>161</v>
      </c>
    </row>
    <row r="3080" ht="22.5" customHeight="1">
      <c r="A3080" s="6" t="s">
        <v>14833</v>
      </c>
      <c r="B3080" s="6" t="s">
        <v>7389</v>
      </c>
      <c r="C3080" s="10">
        <v>46055.0</v>
      </c>
      <c r="D3080" s="6" t="s">
        <v>436</v>
      </c>
      <c r="E3080" s="6" t="s">
        <v>438</v>
      </c>
      <c r="F3080" s="6" t="s">
        <v>439</v>
      </c>
      <c r="G3080" s="6" t="s">
        <v>458</v>
      </c>
      <c r="H3080" s="10">
        <v>46061.0</v>
      </c>
      <c r="I3080" s="12">
        <v>9.0</v>
      </c>
      <c r="J3080" s="6" t="s">
        <v>178</v>
      </c>
    </row>
    <row r="3081" ht="22.5" customHeight="1">
      <c r="A3081" s="6" t="s">
        <v>14837</v>
      </c>
      <c r="B3081" s="6" t="s">
        <v>7389</v>
      </c>
      <c r="C3081" s="10">
        <v>46046.0</v>
      </c>
      <c r="D3081" s="6" t="s">
        <v>436</v>
      </c>
      <c r="E3081" s="6" t="s">
        <v>1552</v>
      </c>
      <c r="F3081" s="6" t="s">
        <v>439</v>
      </c>
      <c r="G3081" s="6" t="s">
        <v>254</v>
      </c>
      <c r="H3081" s="10">
        <v>46052.0</v>
      </c>
      <c r="I3081" s="12">
        <v>11.0</v>
      </c>
      <c r="J3081" s="6" t="s">
        <v>178</v>
      </c>
    </row>
    <row r="3082" ht="22.5" customHeight="1">
      <c r="A3082" s="6" t="s">
        <v>14840</v>
      </c>
      <c r="B3082" s="6" t="s">
        <v>7396</v>
      </c>
      <c r="C3082" s="10">
        <v>46079.0</v>
      </c>
      <c r="D3082" s="6" t="s">
        <v>312</v>
      </c>
      <c r="E3082" s="6" t="s">
        <v>394</v>
      </c>
      <c r="F3082" s="6" t="s">
        <v>439</v>
      </c>
      <c r="G3082" s="6" t="s">
        <v>452</v>
      </c>
      <c r="H3082" s="10">
        <v>46085.0</v>
      </c>
      <c r="I3082" s="12">
        <v>5.0</v>
      </c>
      <c r="J3082" s="6" t="s">
        <v>161</v>
      </c>
    </row>
    <row r="3083" ht="22.5" customHeight="1">
      <c r="A3083" s="6" t="s">
        <v>14844</v>
      </c>
      <c r="B3083" s="6" t="s">
        <v>7396</v>
      </c>
      <c r="C3083" s="10">
        <v>46069.0</v>
      </c>
      <c r="D3083" s="6" t="s">
        <v>312</v>
      </c>
      <c r="E3083" s="6" t="s">
        <v>634</v>
      </c>
      <c r="F3083" s="6" t="s">
        <v>283</v>
      </c>
      <c r="G3083" s="6" t="s">
        <v>369</v>
      </c>
      <c r="H3083" s="10">
        <v>46072.0</v>
      </c>
      <c r="I3083" s="12">
        <v>6.0</v>
      </c>
      <c r="J3083" s="6" t="s">
        <v>161</v>
      </c>
    </row>
    <row r="3084" ht="22.5" customHeight="1">
      <c r="A3084" s="6" t="s">
        <v>14848</v>
      </c>
      <c r="B3084" s="6" t="s">
        <v>7396</v>
      </c>
      <c r="C3084" s="10">
        <v>46075.0</v>
      </c>
      <c r="D3084" s="6" t="s">
        <v>391</v>
      </c>
      <c r="E3084" s="6" t="s">
        <v>320</v>
      </c>
      <c r="F3084" s="6" t="s">
        <v>283</v>
      </c>
      <c r="G3084" s="6" t="s">
        <v>254</v>
      </c>
      <c r="H3084" s="11" t="s">
        <v>259</v>
      </c>
      <c r="I3084" s="12">
        <v>8.0</v>
      </c>
      <c r="J3084" s="6" t="s">
        <v>161</v>
      </c>
    </row>
    <row r="3085" ht="22.5" customHeight="1">
      <c r="A3085" s="6" t="s">
        <v>14853</v>
      </c>
      <c r="B3085" s="6" t="s">
        <v>7402</v>
      </c>
      <c r="C3085" s="10">
        <v>46042.0</v>
      </c>
      <c r="D3085" s="6" t="s">
        <v>436</v>
      </c>
      <c r="E3085" s="6" t="s">
        <v>1626</v>
      </c>
      <c r="F3085" s="6" t="s">
        <v>249</v>
      </c>
      <c r="G3085" s="6" t="s">
        <v>297</v>
      </c>
      <c r="H3085" s="10">
        <v>46045.0</v>
      </c>
      <c r="I3085" s="12">
        <v>6.0</v>
      </c>
      <c r="J3085" s="6" t="s">
        <v>161</v>
      </c>
    </row>
    <row r="3086" ht="22.5" customHeight="1">
      <c r="A3086" s="6" t="s">
        <v>14856</v>
      </c>
      <c r="B3086" s="6" t="s">
        <v>7402</v>
      </c>
      <c r="C3086" s="10">
        <v>46039.0</v>
      </c>
      <c r="D3086" s="6" t="s">
        <v>416</v>
      </c>
      <c r="E3086" s="6" t="s">
        <v>1517</v>
      </c>
      <c r="F3086" s="6" t="s">
        <v>249</v>
      </c>
      <c r="G3086" s="6" t="s">
        <v>297</v>
      </c>
      <c r="H3086" s="10">
        <v>46042.0</v>
      </c>
      <c r="I3086" s="12">
        <v>10.0</v>
      </c>
      <c r="J3086" s="6" t="s">
        <v>161</v>
      </c>
    </row>
    <row r="3087" ht="22.5" customHeight="1">
      <c r="A3087" s="6" t="s">
        <v>14860</v>
      </c>
      <c r="B3087" s="6" t="s">
        <v>7402</v>
      </c>
      <c r="C3087" s="10">
        <v>46039.0</v>
      </c>
      <c r="D3087" s="6" t="s">
        <v>416</v>
      </c>
      <c r="E3087" s="6" t="s">
        <v>1280</v>
      </c>
      <c r="F3087" s="6" t="s">
        <v>283</v>
      </c>
      <c r="G3087" s="6" t="s">
        <v>477</v>
      </c>
      <c r="H3087" s="10">
        <v>46039.0</v>
      </c>
      <c r="I3087" s="12">
        <v>9.0</v>
      </c>
      <c r="J3087" s="6" t="s">
        <v>161</v>
      </c>
    </row>
    <row r="3088" ht="22.5" customHeight="1">
      <c r="A3088" s="6" t="s">
        <v>14866</v>
      </c>
      <c r="B3088" s="6" t="s">
        <v>7402</v>
      </c>
      <c r="C3088" s="10">
        <v>46040.0</v>
      </c>
      <c r="D3088" s="6" t="s">
        <v>677</v>
      </c>
      <c r="E3088" s="6" t="s">
        <v>291</v>
      </c>
      <c r="F3088" s="6" t="s">
        <v>112</v>
      </c>
      <c r="G3088" s="6" t="s">
        <v>297</v>
      </c>
      <c r="H3088" s="11" t="s">
        <v>259</v>
      </c>
      <c r="I3088" s="12">
        <v>4.0</v>
      </c>
      <c r="J3088" s="6" t="s">
        <v>161</v>
      </c>
    </row>
    <row r="3089" ht="22.5" customHeight="1">
      <c r="A3089" s="6" t="s">
        <v>14868</v>
      </c>
      <c r="B3089" s="6" t="s">
        <v>7408</v>
      </c>
      <c r="C3089" s="10">
        <v>46068.0</v>
      </c>
      <c r="D3089" s="6" t="s">
        <v>242</v>
      </c>
      <c r="E3089" s="6" t="s">
        <v>512</v>
      </c>
      <c r="F3089" s="6" t="s">
        <v>249</v>
      </c>
      <c r="G3089" s="6" t="s">
        <v>369</v>
      </c>
      <c r="H3089" s="11" t="s">
        <v>259</v>
      </c>
      <c r="I3089" s="12">
        <v>4.0</v>
      </c>
      <c r="J3089" s="6" t="s">
        <v>178</v>
      </c>
    </row>
    <row r="3090" ht="22.5" customHeight="1">
      <c r="A3090" s="6" t="s">
        <v>14875</v>
      </c>
      <c r="B3090" s="6" t="s">
        <v>7408</v>
      </c>
      <c r="C3090" s="10">
        <v>46052.0</v>
      </c>
      <c r="D3090" s="6" t="s">
        <v>436</v>
      </c>
      <c r="E3090" s="6" t="s">
        <v>618</v>
      </c>
      <c r="F3090" s="6" t="s">
        <v>249</v>
      </c>
      <c r="G3090" s="6" t="s">
        <v>452</v>
      </c>
      <c r="H3090" s="10">
        <v>46059.0</v>
      </c>
      <c r="I3090" s="12">
        <v>12.0</v>
      </c>
      <c r="J3090" s="6" t="s">
        <v>161</v>
      </c>
    </row>
    <row r="3091" ht="22.5" customHeight="1">
      <c r="A3091" s="6" t="s">
        <v>14883</v>
      </c>
      <c r="B3091" s="6" t="s">
        <v>7408</v>
      </c>
      <c r="C3091" s="10">
        <v>46056.0</v>
      </c>
      <c r="D3091" s="6" t="s">
        <v>289</v>
      </c>
      <c r="E3091" s="6" t="s">
        <v>634</v>
      </c>
      <c r="F3091" s="6" t="s">
        <v>439</v>
      </c>
      <c r="G3091" s="6" t="s">
        <v>254</v>
      </c>
      <c r="H3091" s="10">
        <v>46059.0</v>
      </c>
      <c r="I3091" s="12">
        <v>6.0</v>
      </c>
      <c r="J3091" s="6" t="s">
        <v>161</v>
      </c>
    </row>
    <row r="3092" ht="22.5" customHeight="1">
      <c r="A3092" s="6" t="s">
        <v>14890</v>
      </c>
      <c r="B3092" s="6" t="s">
        <v>7408</v>
      </c>
      <c r="C3092" s="10">
        <v>46055.0</v>
      </c>
      <c r="D3092" s="6" t="s">
        <v>677</v>
      </c>
      <c r="E3092" s="6" t="s">
        <v>417</v>
      </c>
      <c r="F3092" s="6" t="s">
        <v>112</v>
      </c>
      <c r="G3092" s="6" t="s">
        <v>494</v>
      </c>
      <c r="H3092" s="10">
        <v>46061.0</v>
      </c>
      <c r="I3092" s="12">
        <v>2.0</v>
      </c>
      <c r="J3092" s="6" t="s">
        <v>161</v>
      </c>
    </row>
    <row r="3093" ht="22.5" customHeight="1">
      <c r="A3093" s="6" t="s">
        <v>14899</v>
      </c>
      <c r="B3093" s="6" t="s">
        <v>7408</v>
      </c>
      <c r="C3093" s="10">
        <v>46053.0</v>
      </c>
      <c r="D3093" s="6" t="s">
        <v>242</v>
      </c>
      <c r="E3093" s="6" t="s">
        <v>731</v>
      </c>
      <c r="F3093" s="6" t="s">
        <v>439</v>
      </c>
      <c r="G3093" s="6" t="s">
        <v>297</v>
      </c>
      <c r="H3093" s="10">
        <v>46060.0</v>
      </c>
      <c r="I3093" s="12">
        <v>3.0</v>
      </c>
      <c r="J3093" s="6" t="s">
        <v>178</v>
      </c>
    </row>
    <row r="3094" ht="22.5" customHeight="1">
      <c r="A3094" s="6" t="s">
        <v>14907</v>
      </c>
      <c r="B3094" s="6" t="s">
        <v>7414</v>
      </c>
      <c r="C3094" s="10">
        <v>46063.0</v>
      </c>
      <c r="D3094" s="6" t="s">
        <v>312</v>
      </c>
      <c r="E3094" s="6" t="s">
        <v>896</v>
      </c>
      <c r="F3094" s="6" t="s">
        <v>112</v>
      </c>
      <c r="G3094" s="6" t="s">
        <v>477</v>
      </c>
      <c r="H3094" s="10">
        <v>46065.0</v>
      </c>
      <c r="I3094" s="12">
        <v>5.0</v>
      </c>
      <c r="J3094" s="6" t="s">
        <v>161</v>
      </c>
    </row>
    <row r="3095" ht="22.5" customHeight="1">
      <c r="A3095" s="6" t="s">
        <v>14913</v>
      </c>
      <c r="B3095" s="6" t="s">
        <v>7414</v>
      </c>
      <c r="C3095" s="10">
        <v>46064.0</v>
      </c>
      <c r="D3095" s="6" t="s">
        <v>242</v>
      </c>
      <c r="E3095" s="6" t="s">
        <v>658</v>
      </c>
      <c r="F3095" s="6" t="s">
        <v>112</v>
      </c>
      <c r="G3095" s="6" t="s">
        <v>297</v>
      </c>
      <c r="H3095" s="10">
        <v>46068.0</v>
      </c>
      <c r="I3095" s="12">
        <v>6.0</v>
      </c>
      <c r="J3095" s="6" t="s">
        <v>161</v>
      </c>
    </row>
    <row r="3096" ht="22.5" customHeight="1">
      <c r="A3096" s="6" t="s">
        <v>14917</v>
      </c>
      <c r="B3096" s="6" t="s">
        <v>7420</v>
      </c>
      <c r="C3096" s="10">
        <v>46041.0</v>
      </c>
      <c r="D3096" s="6" t="s">
        <v>312</v>
      </c>
      <c r="E3096" s="6" t="s">
        <v>475</v>
      </c>
      <c r="F3096" s="6" t="s">
        <v>283</v>
      </c>
      <c r="G3096" s="6" t="s">
        <v>297</v>
      </c>
      <c r="H3096" s="10">
        <v>46047.0</v>
      </c>
      <c r="I3096" s="12">
        <v>6.0</v>
      </c>
      <c r="J3096" s="6" t="s">
        <v>161</v>
      </c>
    </row>
    <row r="3097" ht="22.5" customHeight="1">
      <c r="A3097" s="6" t="s">
        <v>14920</v>
      </c>
      <c r="B3097" s="6" t="s">
        <v>7420</v>
      </c>
      <c r="C3097" s="10">
        <v>46051.0</v>
      </c>
      <c r="D3097" s="6" t="s">
        <v>677</v>
      </c>
      <c r="E3097" s="6" t="s">
        <v>1969</v>
      </c>
      <c r="F3097" s="6" t="s">
        <v>439</v>
      </c>
      <c r="G3097" s="6" t="s">
        <v>477</v>
      </c>
      <c r="H3097" s="10">
        <v>46054.0</v>
      </c>
      <c r="I3097" s="12">
        <v>2.0</v>
      </c>
      <c r="J3097" s="6" t="s">
        <v>161</v>
      </c>
    </row>
    <row r="3098" ht="22.5" customHeight="1">
      <c r="A3098" s="6" t="s">
        <v>14924</v>
      </c>
      <c r="B3098" s="6" t="s">
        <v>7425</v>
      </c>
      <c r="C3098" s="10">
        <v>46062.0</v>
      </c>
      <c r="D3098" s="6" t="s">
        <v>677</v>
      </c>
      <c r="E3098" s="6" t="s">
        <v>885</v>
      </c>
      <c r="F3098" s="6" t="s">
        <v>283</v>
      </c>
      <c r="G3098" s="6" t="s">
        <v>254</v>
      </c>
      <c r="H3098" s="10">
        <v>46067.0</v>
      </c>
      <c r="I3098" s="12">
        <v>3.0</v>
      </c>
      <c r="J3098" s="6" t="s">
        <v>161</v>
      </c>
    </row>
    <row r="3099" ht="22.5" customHeight="1">
      <c r="A3099" s="6" t="s">
        <v>14928</v>
      </c>
      <c r="B3099" s="6" t="s">
        <v>7425</v>
      </c>
      <c r="C3099" s="10">
        <v>46073.0</v>
      </c>
      <c r="D3099" s="6" t="s">
        <v>289</v>
      </c>
      <c r="E3099" s="6" t="s">
        <v>365</v>
      </c>
      <c r="F3099" s="6" t="s">
        <v>283</v>
      </c>
      <c r="G3099" s="6" t="s">
        <v>326</v>
      </c>
      <c r="H3099" s="10">
        <v>46074.0</v>
      </c>
      <c r="I3099" s="12">
        <v>6.0</v>
      </c>
      <c r="J3099" s="6" t="s">
        <v>161</v>
      </c>
    </row>
    <row r="3100" ht="22.5" customHeight="1">
      <c r="A3100" s="6" t="s">
        <v>14933</v>
      </c>
      <c r="B3100" s="6" t="s">
        <v>7432</v>
      </c>
      <c r="C3100" s="10">
        <v>46041.0</v>
      </c>
      <c r="D3100" s="6" t="s">
        <v>312</v>
      </c>
      <c r="E3100" s="6" t="s">
        <v>775</v>
      </c>
      <c r="F3100" s="6" t="s">
        <v>439</v>
      </c>
      <c r="G3100" s="6" t="s">
        <v>458</v>
      </c>
      <c r="H3100" s="10">
        <v>46046.0</v>
      </c>
      <c r="I3100" s="12">
        <v>6.0</v>
      </c>
      <c r="J3100" s="6" t="s">
        <v>161</v>
      </c>
    </row>
    <row r="3101" ht="22.5" customHeight="1">
      <c r="A3101" s="6" t="s">
        <v>14938</v>
      </c>
      <c r="B3101" s="6" t="s">
        <v>7439</v>
      </c>
      <c r="C3101" s="10">
        <v>46063.0</v>
      </c>
      <c r="D3101" s="6" t="s">
        <v>312</v>
      </c>
      <c r="E3101" s="6" t="s">
        <v>1720</v>
      </c>
      <c r="F3101" s="6" t="s">
        <v>439</v>
      </c>
      <c r="G3101" s="6" t="s">
        <v>326</v>
      </c>
      <c r="H3101" s="10">
        <v>46069.0</v>
      </c>
      <c r="I3101" s="12">
        <v>6.0</v>
      </c>
      <c r="J3101" s="6" t="s">
        <v>161</v>
      </c>
    </row>
    <row r="3102" ht="22.5" customHeight="1">
      <c r="A3102" s="6" t="s">
        <v>14942</v>
      </c>
      <c r="B3102" s="6" t="s">
        <v>7439</v>
      </c>
      <c r="C3102" s="10">
        <v>46056.0</v>
      </c>
      <c r="D3102" s="6" t="s">
        <v>289</v>
      </c>
      <c r="E3102" s="6" t="s">
        <v>466</v>
      </c>
      <c r="F3102" s="6" t="s">
        <v>283</v>
      </c>
      <c r="G3102" s="6" t="s">
        <v>326</v>
      </c>
      <c r="H3102" s="10">
        <v>46057.0</v>
      </c>
      <c r="I3102" s="12">
        <v>5.0</v>
      </c>
      <c r="J3102" s="6" t="s">
        <v>161</v>
      </c>
    </row>
    <row r="3103" ht="22.5" customHeight="1">
      <c r="A3103" s="6" t="s">
        <v>14946</v>
      </c>
      <c r="B3103" s="6" t="s">
        <v>7439</v>
      </c>
      <c r="C3103" s="10">
        <v>46061.0</v>
      </c>
      <c r="D3103" s="6" t="s">
        <v>312</v>
      </c>
      <c r="E3103" s="6" t="s">
        <v>731</v>
      </c>
      <c r="F3103" s="6" t="s">
        <v>112</v>
      </c>
      <c r="G3103" s="6" t="s">
        <v>254</v>
      </c>
      <c r="H3103" s="10">
        <v>46061.0</v>
      </c>
      <c r="I3103" s="12">
        <v>4.0</v>
      </c>
      <c r="J3103" s="6" t="s">
        <v>161</v>
      </c>
    </row>
    <row r="3104" ht="22.5" customHeight="1">
      <c r="A3104" s="6" t="s">
        <v>14950</v>
      </c>
      <c r="B3104" s="6" t="s">
        <v>7439</v>
      </c>
      <c r="C3104" s="10">
        <v>46069.0</v>
      </c>
      <c r="D3104" s="6" t="s">
        <v>242</v>
      </c>
      <c r="E3104" s="6" t="s">
        <v>583</v>
      </c>
      <c r="F3104" s="6" t="s">
        <v>283</v>
      </c>
      <c r="G3104" s="6" t="s">
        <v>452</v>
      </c>
      <c r="H3104" s="10">
        <v>46074.0</v>
      </c>
      <c r="I3104" s="12">
        <v>5.0</v>
      </c>
      <c r="J3104" s="6" t="s">
        <v>178</v>
      </c>
    </row>
    <row r="3105" ht="22.5" customHeight="1">
      <c r="A3105" s="6" t="s">
        <v>14953</v>
      </c>
      <c r="B3105" s="6" t="s">
        <v>7445</v>
      </c>
      <c r="C3105" s="10">
        <v>46035.0</v>
      </c>
      <c r="D3105" s="6" t="s">
        <v>312</v>
      </c>
      <c r="E3105" s="6" t="s">
        <v>628</v>
      </c>
      <c r="F3105" s="6" t="s">
        <v>112</v>
      </c>
      <c r="G3105" s="6" t="s">
        <v>254</v>
      </c>
      <c r="H3105" s="10">
        <v>46039.0</v>
      </c>
      <c r="I3105" s="12">
        <v>7.0</v>
      </c>
      <c r="J3105" s="6" t="s">
        <v>161</v>
      </c>
    </row>
    <row r="3106" ht="22.5" customHeight="1">
      <c r="A3106" s="6" t="s">
        <v>14958</v>
      </c>
      <c r="B3106" s="6" t="s">
        <v>7445</v>
      </c>
      <c r="C3106" s="10">
        <v>46043.0</v>
      </c>
      <c r="D3106" s="6" t="s">
        <v>312</v>
      </c>
      <c r="E3106" s="6" t="s">
        <v>896</v>
      </c>
      <c r="F3106" s="6" t="s">
        <v>249</v>
      </c>
      <c r="G3106" s="6" t="s">
        <v>254</v>
      </c>
      <c r="H3106" s="10">
        <v>46048.0</v>
      </c>
      <c r="I3106" s="12">
        <v>7.0</v>
      </c>
      <c r="J3106" s="6" t="s">
        <v>161</v>
      </c>
    </row>
    <row r="3107" ht="22.5" customHeight="1">
      <c r="A3107" s="6" t="s">
        <v>14962</v>
      </c>
      <c r="B3107" s="6" t="s">
        <v>7445</v>
      </c>
      <c r="C3107" s="10">
        <v>46045.0</v>
      </c>
      <c r="D3107" s="6" t="s">
        <v>416</v>
      </c>
      <c r="E3107" s="6" t="s">
        <v>417</v>
      </c>
      <c r="F3107" s="6" t="s">
        <v>112</v>
      </c>
      <c r="G3107" s="6" t="s">
        <v>477</v>
      </c>
      <c r="H3107" s="10">
        <v>46050.0</v>
      </c>
      <c r="I3107" s="12">
        <v>11.0</v>
      </c>
      <c r="J3107" s="6" t="s">
        <v>161</v>
      </c>
    </row>
    <row r="3108" ht="22.5" customHeight="1">
      <c r="A3108" s="6" t="s">
        <v>14966</v>
      </c>
      <c r="B3108" s="6" t="s">
        <v>7445</v>
      </c>
      <c r="C3108" s="10">
        <v>46046.0</v>
      </c>
      <c r="D3108" s="6" t="s">
        <v>391</v>
      </c>
      <c r="E3108" s="6" t="s">
        <v>1626</v>
      </c>
      <c r="F3108" s="6" t="s">
        <v>439</v>
      </c>
      <c r="G3108" s="6" t="s">
        <v>494</v>
      </c>
      <c r="H3108" s="11" t="s">
        <v>259</v>
      </c>
      <c r="I3108" s="12">
        <v>10.0</v>
      </c>
      <c r="J3108" s="6" t="s">
        <v>161</v>
      </c>
    </row>
    <row r="3109" ht="22.5" customHeight="1">
      <c r="A3109" s="6" t="s">
        <v>14972</v>
      </c>
      <c r="B3109" s="6" t="s">
        <v>7445</v>
      </c>
      <c r="C3109" s="10">
        <v>46038.0</v>
      </c>
      <c r="D3109" s="6" t="s">
        <v>289</v>
      </c>
      <c r="E3109" s="6" t="s">
        <v>885</v>
      </c>
      <c r="F3109" s="6" t="s">
        <v>283</v>
      </c>
      <c r="G3109" s="6" t="s">
        <v>369</v>
      </c>
      <c r="H3109" s="10">
        <v>46042.0</v>
      </c>
      <c r="I3109" s="12">
        <v>8.0</v>
      </c>
      <c r="J3109" s="6" t="s">
        <v>161</v>
      </c>
    </row>
    <row r="3110" ht="22.5" customHeight="1">
      <c r="A3110" s="6" t="s">
        <v>14975</v>
      </c>
      <c r="B3110" s="6" t="s">
        <v>7451</v>
      </c>
      <c r="C3110" s="10">
        <v>46048.0</v>
      </c>
      <c r="D3110" s="6" t="s">
        <v>312</v>
      </c>
      <c r="E3110" s="6" t="s">
        <v>1070</v>
      </c>
      <c r="F3110" s="6" t="s">
        <v>439</v>
      </c>
      <c r="G3110" s="6" t="s">
        <v>297</v>
      </c>
      <c r="H3110" s="10">
        <v>46049.0</v>
      </c>
      <c r="I3110" s="12">
        <v>7.0</v>
      </c>
      <c r="J3110" s="6" t="s">
        <v>161</v>
      </c>
    </row>
    <row r="3111" ht="22.5" customHeight="1">
      <c r="A3111" s="6" t="s">
        <v>14980</v>
      </c>
      <c r="B3111" s="6" t="s">
        <v>7457</v>
      </c>
      <c r="C3111" s="10">
        <v>46045.0</v>
      </c>
      <c r="D3111" s="6" t="s">
        <v>436</v>
      </c>
      <c r="E3111" s="6" t="s">
        <v>775</v>
      </c>
      <c r="F3111" s="6" t="s">
        <v>112</v>
      </c>
      <c r="G3111" s="6" t="s">
        <v>452</v>
      </c>
      <c r="H3111" s="10">
        <v>46048.0</v>
      </c>
      <c r="I3111" s="12">
        <v>8.0</v>
      </c>
      <c r="J3111" s="6" t="s">
        <v>178</v>
      </c>
    </row>
    <row r="3112" ht="22.5" customHeight="1">
      <c r="A3112" s="6" t="s">
        <v>14985</v>
      </c>
      <c r="B3112" s="6" t="s">
        <v>7457</v>
      </c>
      <c r="C3112" s="10">
        <v>46047.0</v>
      </c>
      <c r="D3112" s="6" t="s">
        <v>436</v>
      </c>
      <c r="E3112" s="6" t="s">
        <v>731</v>
      </c>
      <c r="F3112" s="6" t="s">
        <v>439</v>
      </c>
      <c r="G3112" s="6" t="s">
        <v>326</v>
      </c>
      <c r="H3112" s="10">
        <v>46049.0</v>
      </c>
      <c r="I3112" s="12">
        <v>6.0</v>
      </c>
      <c r="J3112" s="6" t="s">
        <v>178</v>
      </c>
    </row>
    <row r="3113" ht="22.5" customHeight="1">
      <c r="A3113" s="6" t="s">
        <v>14991</v>
      </c>
      <c r="B3113" s="6" t="s">
        <v>7457</v>
      </c>
      <c r="C3113" s="10">
        <v>46042.0</v>
      </c>
      <c r="D3113" s="6" t="s">
        <v>289</v>
      </c>
      <c r="E3113" s="6" t="s">
        <v>1626</v>
      </c>
      <c r="F3113" s="6" t="s">
        <v>112</v>
      </c>
      <c r="G3113" s="6" t="s">
        <v>326</v>
      </c>
      <c r="H3113" s="10">
        <v>46043.0</v>
      </c>
      <c r="I3113" s="12">
        <v>7.0</v>
      </c>
      <c r="J3113" s="6" t="s">
        <v>161</v>
      </c>
    </row>
    <row r="3114" ht="22.5" customHeight="1">
      <c r="A3114" s="6" t="s">
        <v>14994</v>
      </c>
      <c r="B3114" s="6" t="s">
        <v>7457</v>
      </c>
      <c r="C3114" s="10">
        <v>46033.0</v>
      </c>
      <c r="D3114" s="6" t="s">
        <v>677</v>
      </c>
      <c r="E3114" s="6" t="s">
        <v>291</v>
      </c>
      <c r="F3114" s="6" t="s">
        <v>249</v>
      </c>
      <c r="G3114" s="6" t="s">
        <v>458</v>
      </c>
      <c r="H3114" s="10">
        <v>46033.0</v>
      </c>
      <c r="I3114" s="12">
        <v>4.0</v>
      </c>
      <c r="J3114" s="6" t="s">
        <v>161</v>
      </c>
    </row>
    <row r="3115" ht="22.5" customHeight="1">
      <c r="A3115" s="6" t="s">
        <v>14998</v>
      </c>
      <c r="B3115" s="6" t="s">
        <v>7463</v>
      </c>
      <c r="C3115" s="10">
        <v>46065.0</v>
      </c>
      <c r="D3115" s="6" t="s">
        <v>391</v>
      </c>
      <c r="E3115" s="6" t="s">
        <v>1102</v>
      </c>
      <c r="F3115" s="6" t="s">
        <v>439</v>
      </c>
      <c r="G3115" s="6" t="s">
        <v>477</v>
      </c>
      <c r="H3115" s="10">
        <v>46072.0</v>
      </c>
      <c r="I3115" s="12">
        <v>7.0</v>
      </c>
      <c r="J3115" s="6" t="s">
        <v>161</v>
      </c>
    </row>
    <row r="3116" ht="22.5" customHeight="1">
      <c r="A3116" s="6" t="s">
        <v>15006</v>
      </c>
      <c r="B3116" s="6" t="s">
        <v>7463</v>
      </c>
      <c r="C3116" s="10">
        <v>46065.0</v>
      </c>
      <c r="D3116" s="6" t="s">
        <v>416</v>
      </c>
      <c r="E3116" s="6" t="s">
        <v>1741</v>
      </c>
      <c r="F3116" s="6" t="s">
        <v>283</v>
      </c>
      <c r="G3116" s="6" t="s">
        <v>254</v>
      </c>
      <c r="H3116" s="10">
        <v>46067.0</v>
      </c>
      <c r="I3116" s="12">
        <v>14.0</v>
      </c>
      <c r="J3116" s="6" t="s">
        <v>161</v>
      </c>
    </row>
    <row r="3117" ht="22.5" customHeight="1">
      <c r="A3117" s="6" t="s">
        <v>15012</v>
      </c>
      <c r="B3117" s="6" t="s">
        <v>7463</v>
      </c>
      <c r="C3117" s="10">
        <v>46077.0</v>
      </c>
      <c r="D3117" s="6" t="s">
        <v>677</v>
      </c>
      <c r="E3117" s="6" t="s">
        <v>634</v>
      </c>
      <c r="F3117" s="6" t="s">
        <v>439</v>
      </c>
      <c r="G3117" s="6" t="s">
        <v>297</v>
      </c>
      <c r="H3117" s="10">
        <v>46083.0</v>
      </c>
      <c r="I3117" s="12">
        <v>3.0</v>
      </c>
      <c r="J3117" s="6" t="s">
        <v>161</v>
      </c>
    </row>
    <row r="3118" ht="22.5" customHeight="1">
      <c r="A3118" s="6" t="s">
        <v>15018</v>
      </c>
      <c r="B3118" s="6" t="s">
        <v>7463</v>
      </c>
      <c r="C3118" s="10">
        <v>46077.0</v>
      </c>
      <c r="D3118" s="6" t="s">
        <v>391</v>
      </c>
      <c r="E3118" s="6" t="s">
        <v>1310</v>
      </c>
      <c r="F3118" s="6" t="s">
        <v>112</v>
      </c>
      <c r="G3118" s="6" t="s">
        <v>452</v>
      </c>
      <c r="H3118" s="10">
        <v>46084.0</v>
      </c>
      <c r="I3118" s="12">
        <v>9.0</v>
      </c>
      <c r="J3118" s="6" t="s">
        <v>161</v>
      </c>
    </row>
    <row r="3119" ht="22.5" customHeight="1">
      <c r="A3119" s="6" t="s">
        <v>15022</v>
      </c>
      <c r="B3119" s="6" t="s">
        <v>7468</v>
      </c>
      <c r="C3119" s="10">
        <v>46061.0</v>
      </c>
      <c r="D3119" s="6" t="s">
        <v>677</v>
      </c>
      <c r="E3119" s="6" t="s">
        <v>1600</v>
      </c>
      <c r="F3119" s="6" t="s">
        <v>249</v>
      </c>
      <c r="G3119" s="6" t="s">
        <v>458</v>
      </c>
      <c r="H3119" s="11" t="s">
        <v>259</v>
      </c>
      <c r="I3119" s="12">
        <v>2.0</v>
      </c>
      <c r="J3119" s="6" t="s">
        <v>161</v>
      </c>
    </row>
    <row r="3120" ht="22.5" customHeight="1">
      <c r="A3120" s="6" t="s">
        <v>15023</v>
      </c>
      <c r="B3120" s="6" t="s">
        <v>7468</v>
      </c>
      <c r="C3120" s="10">
        <v>46066.0</v>
      </c>
      <c r="D3120" s="6" t="s">
        <v>436</v>
      </c>
      <c r="E3120" s="6" t="s">
        <v>1969</v>
      </c>
      <c r="F3120" s="6" t="s">
        <v>249</v>
      </c>
      <c r="G3120" s="6" t="s">
        <v>254</v>
      </c>
      <c r="H3120" s="11" t="s">
        <v>259</v>
      </c>
      <c r="I3120" s="12">
        <v>12.0</v>
      </c>
      <c r="J3120" s="6" t="s">
        <v>161</v>
      </c>
    </row>
    <row r="3121" ht="22.5" customHeight="1">
      <c r="A3121" s="6" t="s">
        <v>15029</v>
      </c>
      <c r="B3121" s="6" t="s">
        <v>7468</v>
      </c>
      <c r="C3121" s="10">
        <v>46062.0</v>
      </c>
      <c r="D3121" s="6" t="s">
        <v>312</v>
      </c>
      <c r="E3121" s="6" t="s">
        <v>1241</v>
      </c>
      <c r="F3121" s="6" t="s">
        <v>249</v>
      </c>
      <c r="G3121" s="6" t="s">
        <v>452</v>
      </c>
      <c r="H3121" s="10">
        <v>46064.0</v>
      </c>
      <c r="I3121" s="12">
        <v>4.0</v>
      </c>
      <c r="J3121" s="6" t="s">
        <v>161</v>
      </c>
    </row>
    <row r="3122" ht="22.5" customHeight="1">
      <c r="A3122" s="6" t="s">
        <v>15034</v>
      </c>
      <c r="B3122" s="6" t="s">
        <v>7473</v>
      </c>
      <c r="C3122" s="10">
        <v>46057.0</v>
      </c>
      <c r="D3122" s="6" t="s">
        <v>416</v>
      </c>
      <c r="E3122" s="6" t="s">
        <v>1546</v>
      </c>
      <c r="F3122" s="6" t="s">
        <v>439</v>
      </c>
      <c r="G3122" s="6" t="s">
        <v>297</v>
      </c>
      <c r="H3122" s="10">
        <v>46062.0</v>
      </c>
      <c r="I3122" s="12">
        <v>11.0</v>
      </c>
      <c r="J3122" s="6" t="s">
        <v>161</v>
      </c>
    </row>
    <row r="3123" ht="22.5" customHeight="1">
      <c r="A3123" s="6" t="s">
        <v>15036</v>
      </c>
      <c r="B3123" s="6" t="s">
        <v>7473</v>
      </c>
      <c r="C3123" s="10">
        <v>46067.0</v>
      </c>
      <c r="D3123" s="6" t="s">
        <v>312</v>
      </c>
      <c r="E3123" s="6" t="s">
        <v>1273</v>
      </c>
      <c r="F3123" s="6" t="s">
        <v>439</v>
      </c>
      <c r="G3123" s="6" t="s">
        <v>458</v>
      </c>
      <c r="H3123" s="10">
        <v>46070.0</v>
      </c>
      <c r="I3123" s="12">
        <v>4.0</v>
      </c>
      <c r="J3123" s="6" t="s">
        <v>161</v>
      </c>
    </row>
    <row r="3124" ht="22.5" customHeight="1">
      <c r="A3124" s="6" t="s">
        <v>15042</v>
      </c>
      <c r="B3124" s="6" t="s">
        <v>7479</v>
      </c>
      <c r="C3124" s="10">
        <v>46063.0</v>
      </c>
      <c r="D3124" s="6" t="s">
        <v>436</v>
      </c>
      <c r="E3124" s="6" t="s">
        <v>365</v>
      </c>
      <c r="F3124" s="6" t="s">
        <v>439</v>
      </c>
      <c r="G3124" s="6" t="s">
        <v>458</v>
      </c>
      <c r="H3124" s="10">
        <v>46064.0</v>
      </c>
      <c r="I3124" s="12">
        <v>8.0</v>
      </c>
      <c r="J3124" s="6" t="s">
        <v>178</v>
      </c>
    </row>
    <row r="3125" ht="22.5" customHeight="1">
      <c r="A3125" s="6" t="s">
        <v>15048</v>
      </c>
      <c r="B3125" s="6" t="s">
        <v>7485</v>
      </c>
      <c r="C3125" s="10">
        <v>46051.0</v>
      </c>
      <c r="D3125" s="6" t="s">
        <v>677</v>
      </c>
      <c r="E3125" s="6" t="s">
        <v>687</v>
      </c>
      <c r="F3125" s="6" t="s">
        <v>283</v>
      </c>
      <c r="G3125" s="6" t="s">
        <v>494</v>
      </c>
      <c r="H3125" s="10">
        <v>46053.0</v>
      </c>
      <c r="I3125" s="12">
        <v>3.0</v>
      </c>
      <c r="J3125" s="6" t="s">
        <v>161</v>
      </c>
    </row>
    <row r="3126" ht="22.5" customHeight="1">
      <c r="A3126" s="6" t="s">
        <v>15051</v>
      </c>
      <c r="B3126" s="6" t="s">
        <v>7485</v>
      </c>
      <c r="C3126" s="10">
        <v>46039.0</v>
      </c>
      <c r="D3126" s="6" t="s">
        <v>677</v>
      </c>
      <c r="E3126" s="6" t="s">
        <v>716</v>
      </c>
      <c r="F3126" s="6" t="s">
        <v>249</v>
      </c>
      <c r="G3126" s="6" t="s">
        <v>458</v>
      </c>
      <c r="H3126" s="10">
        <v>46044.0</v>
      </c>
      <c r="I3126" s="12">
        <v>2.0</v>
      </c>
      <c r="J3126" s="6" t="s">
        <v>161</v>
      </c>
    </row>
    <row r="3127" ht="22.5" customHeight="1">
      <c r="A3127" s="6" t="s">
        <v>15055</v>
      </c>
      <c r="B3127" s="6" t="s">
        <v>7485</v>
      </c>
      <c r="C3127" s="10">
        <v>46032.0</v>
      </c>
      <c r="D3127" s="6" t="s">
        <v>242</v>
      </c>
      <c r="E3127" s="6" t="s">
        <v>1055</v>
      </c>
      <c r="F3127" s="6" t="s">
        <v>249</v>
      </c>
      <c r="G3127" s="6" t="s">
        <v>494</v>
      </c>
      <c r="H3127" s="10">
        <v>46034.0</v>
      </c>
      <c r="I3127" s="12">
        <v>3.0</v>
      </c>
      <c r="J3127" s="6" t="s">
        <v>178</v>
      </c>
    </row>
    <row r="3128" ht="22.5" customHeight="1">
      <c r="A3128" s="6" t="s">
        <v>15061</v>
      </c>
      <c r="B3128" s="6" t="s">
        <v>7491</v>
      </c>
      <c r="C3128" s="10">
        <v>46059.0</v>
      </c>
      <c r="D3128" s="6" t="s">
        <v>289</v>
      </c>
      <c r="E3128" s="6" t="s">
        <v>885</v>
      </c>
      <c r="F3128" s="6" t="s">
        <v>249</v>
      </c>
      <c r="G3128" s="6" t="s">
        <v>452</v>
      </c>
      <c r="H3128" s="10">
        <v>46064.0</v>
      </c>
      <c r="I3128" s="12">
        <v>9.0</v>
      </c>
      <c r="J3128" s="6" t="s">
        <v>161</v>
      </c>
    </row>
    <row r="3129" ht="22.5" customHeight="1">
      <c r="A3129" s="6" t="s">
        <v>15067</v>
      </c>
      <c r="B3129" s="6" t="s">
        <v>7497</v>
      </c>
      <c r="C3129" s="10">
        <v>46042.0</v>
      </c>
      <c r="D3129" s="6" t="s">
        <v>312</v>
      </c>
      <c r="E3129" s="6" t="s">
        <v>512</v>
      </c>
      <c r="F3129" s="6" t="s">
        <v>283</v>
      </c>
      <c r="G3129" s="6" t="s">
        <v>458</v>
      </c>
      <c r="H3129" s="10">
        <v>46049.0</v>
      </c>
      <c r="I3129" s="12">
        <v>6.0</v>
      </c>
      <c r="J3129" s="6" t="s">
        <v>161</v>
      </c>
    </row>
    <row r="3130" ht="22.5" customHeight="1">
      <c r="A3130" s="6" t="s">
        <v>15074</v>
      </c>
      <c r="B3130" s="6" t="s">
        <v>7497</v>
      </c>
      <c r="C3130" s="10">
        <v>46045.0</v>
      </c>
      <c r="D3130" s="6" t="s">
        <v>677</v>
      </c>
      <c r="E3130" s="6" t="s">
        <v>787</v>
      </c>
      <c r="F3130" s="6" t="s">
        <v>249</v>
      </c>
      <c r="G3130" s="6" t="s">
        <v>458</v>
      </c>
      <c r="H3130" s="11" t="s">
        <v>259</v>
      </c>
      <c r="I3130" s="12">
        <v>2.0</v>
      </c>
      <c r="J3130" s="6" t="s">
        <v>161</v>
      </c>
    </row>
    <row r="3131" ht="22.5" customHeight="1">
      <c r="A3131" s="6" t="s">
        <v>15084</v>
      </c>
      <c r="B3131" s="6" t="s">
        <v>7497</v>
      </c>
      <c r="C3131" s="10">
        <v>46048.0</v>
      </c>
      <c r="D3131" s="6" t="s">
        <v>677</v>
      </c>
      <c r="E3131" s="6" t="s">
        <v>583</v>
      </c>
      <c r="F3131" s="6" t="s">
        <v>249</v>
      </c>
      <c r="G3131" s="6" t="s">
        <v>458</v>
      </c>
      <c r="H3131" s="10">
        <v>46048.0</v>
      </c>
      <c r="I3131" s="12">
        <v>2.0</v>
      </c>
      <c r="J3131" s="6" t="s">
        <v>161</v>
      </c>
    </row>
    <row r="3132" ht="22.5" customHeight="1">
      <c r="A3132" s="6" t="s">
        <v>15088</v>
      </c>
      <c r="B3132" s="6" t="s">
        <v>7497</v>
      </c>
      <c r="C3132" s="10">
        <v>46058.0</v>
      </c>
      <c r="D3132" s="6" t="s">
        <v>416</v>
      </c>
      <c r="E3132" s="6" t="s">
        <v>731</v>
      </c>
      <c r="F3132" s="6" t="s">
        <v>249</v>
      </c>
      <c r="G3132" s="6" t="s">
        <v>458</v>
      </c>
      <c r="H3132" s="10">
        <v>46063.0</v>
      </c>
      <c r="I3132" s="12">
        <v>13.0</v>
      </c>
      <c r="J3132" s="6" t="s">
        <v>161</v>
      </c>
    </row>
    <row r="3133" ht="22.5" customHeight="1">
      <c r="A3133" s="6" t="s">
        <v>15091</v>
      </c>
      <c r="B3133" s="6" t="s">
        <v>7497</v>
      </c>
      <c r="C3133" s="10">
        <v>46061.0</v>
      </c>
      <c r="D3133" s="6" t="s">
        <v>289</v>
      </c>
      <c r="E3133" s="6" t="s">
        <v>687</v>
      </c>
      <c r="F3133" s="6" t="s">
        <v>112</v>
      </c>
      <c r="G3133" s="6" t="s">
        <v>326</v>
      </c>
      <c r="H3133" s="10">
        <v>46068.0</v>
      </c>
      <c r="I3133" s="12">
        <v>10.0</v>
      </c>
      <c r="J3133" s="6" t="s">
        <v>161</v>
      </c>
    </row>
    <row r="3134" ht="22.5" customHeight="1">
      <c r="A3134" s="6" t="s">
        <v>15094</v>
      </c>
      <c r="B3134" s="6" t="s">
        <v>7504</v>
      </c>
      <c r="C3134" s="10">
        <v>46043.0</v>
      </c>
      <c r="D3134" s="6" t="s">
        <v>242</v>
      </c>
      <c r="E3134" s="6" t="s">
        <v>1552</v>
      </c>
      <c r="F3134" s="6" t="s">
        <v>249</v>
      </c>
      <c r="G3134" s="6" t="s">
        <v>458</v>
      </c>
      <c r="H3134" s="10">
        <v>46045.0</v>
      </c>
      <c r="I3134" s="12">
        <v>4.0</v>
      </c>
      <c r="J3134" s="6" t="s">
        <v>178</v>
      </c>
    </row>
    <row r="3135" ht="22.5" customHeight="1">
      <c r="A3135" s="6" t="s">
        <v>15098</v>
      </c>
      <c r="B3135" s="6" t="s">
        <v>7504</v>
      </c>
      <c r="C3135" s="10">
        <v>46035.0</v>
      </c>
      <c r="D3135" s="6" t="s">
        <v>312</v>
      </c>
      <c r="E3135" s="6" t="s">
        <v>1035</v>
      </c>
      <c r="F3135" s="6" t="s">
        <v>439</v>
      </c>
      <c r="G3135" s="6" t="s">
        <v>494</v>
      </c>
      <c r="H3135" s="10">
        <v>46039.0</v>
      </c>
      <c r="I3135" s="12">
        <v>5.0</v>
      </c>
      <c r="J3135" s="6" t="s">
        <v>161</v>
      </c>
    </row>
    <row r="3136" ht="22.5" customHeight="1">
      <c r="A3136" s="6" t="s">
        <v>15100</v>
      </c>
      <c r="B3136" s="6" t="s">
        <v>7504</v>
      </c>
      <c r="C3136" s="10">
        <v>46044.0</v>
      </c>
      <c r="D3136" s="6" t="s">
        <v>436</v>
      </c>
      <c r="E3136" s="6" t="s">
        <v>1741</v>
      </c>
      <c r="F3136" s="6" t="s">
        <v>249</v>
      </c>
      <c r="G3136" s="6" t="s">
        <v>477</v>
      </c>
      <c r="H3136" s="10">
        <v>46050.0</v>
      </c>
      <c r="I3136" s="12">
        <v>8.0</v>
      </c>
      <c r="J3136" s="6" t="s">
        <v>178</v>
      </c>
    </row>
    <row r="3137" ht="22.5" customHeight="1">
      <c r="A3137" s="6" t="s">
        <v>15105</v>
      </c>
      <c r="B3137" s="6" t="s">
        <v>7504</v>
      </c>
      <c r="C3137" s="10">
        <v>46029.0</v>
      </c>
      <c r="D3137" s="6" t="s">
        <v>289</v>
      </c>
      <c r="E3137" s="6" t="s">
        <v>246</v>
      </c>
      <c r="F3137" s="6" t="s">
        <v>112</v>
      </c>
      <c r="G3137" s="6" t="s">
        <v>458</v>
      </c>
      <c r="H3137" s="10">
        <v>46032.0</v>
      </c>
      <c r="I3137" s="12">
        <v>8.0</v>
      </c>
      <c r="J3137" s="6" t="s">
        <v>161</v>
      </c>
    </row>
    <row r="3138" ht="22.5" customHeight="1">
      <c r="A3138" s="6" t="s">
        <v>15110</v>
      </c>
      <c r="B3138" s="6" t="s">
        <v>7510</v>
      </c>
      <c r="C3138" s="10">
        <v>46057.0</v>
      </c>
      <c r="D3138" s="6" t="s">
        <v>436</v>
      </c>
      <c r="E3138" s="6" t="s">
        <v>365</v>
      </c>
      <c r="F3138" s="6" t="s">
        <v>249</v>
      </c>
      <c r="G3138" s="6" t="s">
        <v>369</v>
      </c>
      <c r="H3138" s="10">
        <v>46059.0</v>
      </c>
      <c r="I3138" s="12">
        <v>7.0</v>
      </c>
      <c r="J3138" s="6" t="s">
        <v>178</v>
      </c>
    </row>
    <row r="3139" ht="22.5" customHeight="1">
      <c r="A3139" s="6" t="s">
        <v>15114</v>
      </c>
      <c r="B3139" s="6" t="s">
        <v>7510</v>
      </c>
      <c r="C3139" s="10">
        <v>46064.0</v>
      </c>
      <c r="D3139" s="6" t="s">
        <v>289</v>
      </c>
      <c r="E3139" s="6" t="s">
        <v>695</v>
      </c>
      <c r="F3139" s="6" t="s">
        <v>283</v>
      </c>
      <c r="G3139" s="6" t="s">
        <v>494</v>
      </c>
      <c r="H3139" s="11" t="s">
        <v>259</v>
      </c>
      <c r="I3139" s="12">
        <v>9.0</v>
      </c>
      <c r="J3139" s="6" t="s">
        <v>161</v>
      </c>
    </row>
    <row r="3140" ht="22.5" customHeight="1">
      <c r="A3140" s="6" t="s">
        <v>15118</v>
      </c>
      <c r="B3140" s="6" t="s">
        <v>7517</v>
      </c>
      <c r="C3140" s="10">
        <v>46051.0</v>
      </c>
      <c r="D3140" s="6" t="s">
        <v>391</v>
      </c>
      <c r="E3140" s="6" t="s">
        <v>1280</v>
      </c>
      <c r="F3140" s="6" t="s">
        <v>283</v>
      </c>
      <c r="G3140" s="6" t="s">
        <v>477</v>
      </c>
      <c r="H3140" s="10">
        <v>46055.0</v>
      </c>
      <c r="I3140" s="12">
        <v>8.0</v>
      </c>
      <c r="J3140" s="6" t="s">
        <v>161</v>
      </c>
    </row>
    <row r="3141" ht="22.5" customHeight="1">
      <c r="A3141" s="6" t="s">
        <v>15121</v>
      </c>
      <c r="B3141" s="6" t="s">
        <v>7517</v>
      </c>
      <c r="C3141" s="10">
        <v>46044.0</v>
      </c>
      <c r="D3141" s="6" t="s">
        <v>416</v>
      </c>
      <c r="E3141" s="6" t="s">
        <v>798</v>
      </c>
      <c r="F3141" s="6" t="s">
        <v>283</v>
      </c>
      <c r="G3141" s="6" t="s">
        <v>477</v>
      </c>
      <c r="H3141" s="10">
        <v>46051.0</v>
      </c>
      <c r="I3141" s="12">
        <v>12.0</v>
      </c>
      <c r="J3141" s="6" t="s">
        <v>161</v>
      </c>
    </row>
    <row r="3142" ht="22.5" customHeight="1">
      <c r="A3142" s="6" t="s">
        <v>15125</v>
      </c>
      <c r="B3142" s="6" t="s">
        <v>7517</v>
      </c>
      <c r="C3142" s="10">
        <v>46034.0</v>
      </c>
      <c r="D3142" s="6" t="s">
        <v>677</v>
      </c>
      <c r="E3142" s="6" t="s">
        <v>512</v>
      </c>
      <c r="F3142" s="6" t="s">
        <v>249</v>
      </c>
      <c r="G3142" s="6" t="s">
        <v>369</v>
      </c>
      <c r="H3142" s="11" t="s">
        <v>259</v>
      </c>
      <c r="I3142" s="12">
        <v>4.0</v>
      </c>
      <c r="J3142" s="6" t="s">
        <v>161</v>
      </c>
    </row>
    <row r="3143" ht="22.5" customHeight="1">
      <c r="A3143" s="6" t="s">
        <v>15128</v>
      </c>
      <c r="B3143" s="6" t="s">
        <v>7517</v>
      </c>
      <c r="C3143" s="10">
        <v>46035.0</v>
      </c>
      <c r="D3143" s="6" t="s">
        <v>436</v>
      </c>
      <c r="E3143" s="6" t="s">
        <v>1546</v>
      </c>
      <c r="F3143" s="6" t="s">
        <v>112</v>
      </c>
      <c r="G3143" s="6" t="s">
        <v>254</v>
      </c>
      <c r="H3143" s="10">
        <v>46041.0</v>
      </c>
      <c r="I3143" s="12">
        <v>10.0</v>
      </c>
      <c r="J3143" s="6" t="s">
        <v>178</v>
      </c>
    </row>
    <row r="3144" ht="22.5" customHeight="1">
      <c r="A3144" s="6" t="s">
        <v>15132</v>
      </c>
      <c r="B3144" s="6" t="s">
        <v>7522</v>
      </c>
      <c r="C3144" s="10">
        <v>46073.0</v>
      </c>
      <c r="D3144" s="6" t="s">
        <v>677</v>
      </c>
      <c r="E3144" s="6" t="s">
        <v>1700</v>
      </c>
      <c r="F3144" s="6" t="s">
        <v>283</v>
      </c>
      <c r="G3144" s="6" t="s">
        <v>458</v>
      </c>
      <c r="H3144" s="10">
        <v>46076.0</v>
      </c>
      <c r="I3144" s="12">
        <v>4.0</v>
      </c>
      <c r="J3144" s="6" t="s">
        <v>161</v>
      </c>
    </row>
    <row r="3145" ht="22.5" customHeight="1">
      <c r="A3145" s="6" t="s">
        <v>15133</v>
      </c>
      <c r="B3145" s="6" t="s">
        <v>7522</v>
      </c>
      <c r="C3145" s="10">
        <v>46064.0</v>
      </c>
      <c r="D3145" s="6" t="s">
        <v>312</v>
      </c>
      <c r="E3145" s="6" t="s">
        <v>291</v>
      </c>
      <c r="F3145" s="6" t="s">
        <v>249</v>
      </c>
      <c r="G3145" s="6" t="s">
        <v>254</v>
      </c>
      <c r="H3145" s="10">
        <v>46071.0</v>
      </c>
      <c r="I3145" s="12">
        <v>4.0</v>
      </c>
      <c r="J3145" s="6" t="s">
        <v>161</v>
      </c>
    </row>
    <row r="3146" ht="22.5" customHeight="1">
      <c r="A3146" s="6" t="s">
        <v>15137</v>
      </c>
      <c r="B3146" s="6" t="s">
        <v>7528</v>
      </c>
      <c r="C3146" s="10">
        <v>46066.0</v>
      </c>
      <c r="D3146" s="6" t="s">
        <v>289</v>
      </c>
      <c r="E3146" s="6" t="s">
        <v>1070</v>
      </c>
      <c r="F3146" s="6" t="s">
        <v>112</v>
      </c>
      <c r="G3146" s="6" t="s">
        <v>326</v>
      </c>
      <c r="H3146" s="10">
        <v>46073.0</v>
      </c>
      <c r="I3146" s="12">
        <v>8.0</v>
      </c>
      <c r="J3146" s="6" t="s">
        <v>161</v>
      </c>
    </row>
    <row r="3147" ht="22.5" customHeight="1">
      <c r="A3147" s="6" t="s">
        <v>15139</v>
      </c>
      <c r="B3147" s="6" t="s">
        <v>7528</v>
      </c>
      <c r="C3147" s="10">
        <v>46072.0</v>
      </c>
      <c r="D3147" s="6" t="s">
        <v>436</v>
      </c>
      <c r="E3147" s="6" t="s">
        <v>1517</v>
      </c>
      <c r="F3147" s="6" t="s">
        <v>439</v>
      </c>
      <c r="G3147" s="6" t="s">
        <v>326</v>
      </c>
      <c r="H3147" s="10">
        <v>46073.0</v>
      </c>
      <c r="I3147" s="12">
        <v>8.0</v>
      </c>
      <c r="J3147" s="6" t="s">
        <v>178</v>
      </c>
    </row>
    <row r="3148" ht="22.5" customHeight="1">
      <c r="A3148" s="6" t="s">
        <v>15145</v>
      </c>
      <c r="B3148" s="6" t="s">
        <v>7528</v>
      </c>
      <c r="C3148" s="10">
        <v>46068.0</v>
      </c>
      <c r="D3148" s="6" t="s">
        <v>312</v>
      </c>
      <c r="E3148" s="6" t="s">
        <v>738</v>
      </c>
      <c r="F3148" s="6" t="s">
        <v>112</v>
      </c>
      <c r="G3148" s="6" t="s">
        <v>477</v>
      </c>
      <c r="H3148" s="10">
        <v>46069.0</v>
      </c>
      <c r="I3148" s="12">
        <v>4.0</v>
      </c>
      <c r="J3148" s="6" t="s">
        <v>161</v>
      </c>
    </row>
    <row r="3149" ht="22.5" customHeight="1">
      <c r="A3149" s="6" t="s">
        <v>15148</v>
      </c>
      <c r="B3149" s="6" t="s">
        <v>7528</v>
      </c>
      <c r="C3149" s="10">
        <v>46068.0</v>
      </c>
      <c r="D3149" s="6" t="s">
        <v>436</v>
      </c>
      <c r="E3149" s="6" t="s">
        <v>1310</v>
      </c>
      <c r="F3149" s="6" t="s">
        <v>249</v>
      </c>
      <c r="G3149" s="6" t="s">
        <v>458</v>
      </c>
      <c r="H3149" s="10">
        <v>46072.0</v>
      </c>
      <c r="I3149" s="12">
        <v>9.0</v>
      </c>
      <c r="J3149" s="6" t="s">
        <v>178</v>
      </c>
    </row>
    <row r="3150" ht="22.5" customHeight="1">
      <c r="A3150" s="6" t="s">
        <v>15152</v>
      </c>
      <c r="B3150" s="6" t="s">
        <v>7535</v>
      </c>
      <c r="C3150" s="10">
        <v>46084.0</v>
      </c>
      <c r="D3150" s="6" t="s">
        <v>242</v>
      </c>
      <c r="E3150" s="6" t="s">
        <v>1700</v>
      </c>
      <c r="F3150" s="6" t="s">
        <v>112</v>
      </c>
      <c r="G3150" s="6" t="s">
        <v>326</v>
      </c>
      <c r="H3150" s="10">
        <v>46089.0</v>
      </c>
      <c r="I3150" s="12">
        <v>6.0</v>
      </c>
      <c r="J3150" s="6" t="s">
        <v>178</v>
      </c>
    </row>
    <row r="3151" ht="22.5" customHeight="1">
      <c r="A3151" s="6" t="s">
        <v>15158</v>
      </c>
      <c r="B3151" s="6" t="s">
        <v>7535</v>
      </c>
      <c r="C3151" s="10">
        <v>46076.0</v>
      </c>
      <c r="D3151" s="6" t="s">
        <v>312</v>
      </c>
      <c r="E3151" s="6" t="s">
        <v>1969</v>
      </c>
      <c r="F3151" s="6" t="s">
        <v>249</v>
      </c>
      <c r="G3151" s="6" t="s">
        <v>452</v>
      </c>
      <c r="H3151" s="10">
        <v>46081.0</v>
      </c>
      <c r="I3151" s="12">
        <v>5.0</v>
      </c>
      <c r="J3151" s="6" t="s">
        <v>161</v>
      </c>
    </row>
    <row r="3152" ht="22.5" customHeight="1">
      <c r="A3152" s="6" t="s">
        <v>15163</v>
      </c>
      <c r="B3152" s="6" t="s">
        <v>7535</v>
      </c>
      <c r="C3152" s="10">
        <v>46072.0</v>
      </c>
      <c r="D3152" s="6" t="s">
        <v>436</v>
      </c>
      <c r="E3152" s="6" t="s">
        <v>833</v>
      </c>
      <c r="F3152" s="6" t="s">
        <v>112</v>
      </c>
      <c r="G3152" s="6" t="s">
        <v>452</v>
      </c>
      <c r="H3152" s="10">
        <v>46079.0</v>
      </c>
      <c r="I3152" s="12">
        <v>9.0</v>
      </c>
      <c r="J3152" s="6" t="s">
        <v>178</v>
      </c>
    </row>
    <row r="3153" ht="22.5" customHeight="1">
      <c r="A3153" s="6" t="s">
        <v>15167</v>
      </c>
      <c r="B3153" s="6" t="s">
        <v>7541</v>
      </c>
      <c r="C3153" s="10">
        <v>46035.0</v>
      </c>
      <c r="D3153" s="6" t="s">
        <v>289</v>
      </c>
      <c r="E3153" s="6" t="s">
        <v>1517</v>
      </c>
      <c r="F3153" s="6" t="s">
        <v>112</v>
      </c>
      <c r="G3153" s="6" t="s">
        <v>369</v>
      </c>
      <c r="H3153" s="10">
        <v>46042.0</v>
      </c>
      <c r="I3153" s="12">
        <v>8.0</v>
      </c>
      <c r="J3153" s="6" t="s">
        <v>161</v>
      </c>
    </row>
    <row r="3154" ht="22.5" customHeight="1">
      <c r="A3154" s="6" t="s">
        <v>15171</v>
      </c>
      <c r="B3154" s="6" t="s">
        <v>7541</v>
      </c>
      <c r="C3154" s="10">
        <v>46033.0</v>
      </c>
      <c r="D3154" s="6" t="s">
        <v>391</v>
      </c>
      <c r="E3154" s="6" t="s">
        <v>291</v>
      </c>
      <c r="F3154" s="6" t="s">
        <v>249</v>
      </c>
      <c r="G3154" s="6" t="s">
        <v>452</v>
      </c>
      <c r="H3154" s="11" t="s">
        <v>259</v>
      </c>
      <c r="I3154" s="12">
        <v>9.0</v>
      </c>
      <c r="J3154" s="6" t="s">
        <v>161</v>
      </c>
    </row>
    <row r="3155" ht="22.5" customHeight="1">
      <c r="A3155" s="6" t="s">
        <v>15177</v>
      </c>
      <c r="B3155" s="6" t="s">
        <v>7548</v>
      </c>
      <c r="C3155" s="10">
        <v>46045.0</v>
      </c>
      <c r="D3155" s="6" t="s">
        <v>436</v>
      </c>
      <c r="E3155" s="6" t="s">
        <v>687</v>
      </c>
      <c r="F3155" s="6" t="s">
        <v>249</v>
      </c>
      <c r="G3155" s="6" t="s">
        <v>458</v>
      </c>
      <c r="H3155" s="10">
        <v>46046.0</v>
      </c>
      <c r="I3155" s="12">
        <v>12.0</v>
      </c>
      <c r="J3155" s="6" t="s">
        <v>161</v>
      </c>
    </row>
    <row r="3156" ht="22.5" customHeight="1">
      <c r="A3156" s="6" t="s">
        <v>15180</v>
      </c>
      <c r="B3156" s="6" t="s">
        <v>7548</v>
      </c>
      <c r="C3156" s="10">
        <v>46050.0</v>
      </c>
      <c r="D3156" s="6" t="s">
        <v>436</v>
      </c>
      <c r="E3156" s="6" t="s">
        <v>787</v>
      </c>
      <c r="F3156" s="6" t="s">
        <v>439</v>
      </c>
      <c r="G3156" s="6" t="s">
        <v>452</v>
      </c>
      <c r="H3156" s="10">
        <v>46055.0</v>
      </c>
      <c r="I3156" s="12">
        <v>11.0</v>
      </c>
      <c r="J3156" s="6" t="s">
        <v>178</v>
      </c>
    </row>
    <row r="3157" ht="22.5" customHeight="1">
      <c r="A3157" s="6" t="s">
        <v>15184</v>
      </c>
      <c r="B3157" s="6" t="s">
        <v>7548</v>
      </c>
      <c r="C3157" s="10">
        <v>46047.0</v>
      </c>
      <c r="D3157" s="6" t="s">
        <v>416</v>
      </c>
      <c r="E3157" s="6" t="s">
        <v>1035</v>
      </c>
      <c r="F3157" s="6" t="s">
        <v>283</v>
      </c>
      <c r="G3157" s="6" t="s">
        <v>458</v>
      </c>
      <c r="H3157" s="10">
        <v>46047.0</v>
      </c>
      <c r="I3157" s="12">
        <v>13.0</v>
      </c>
      <c r="J3157" s="6" t="s">
        <v>161</v>
      </c>
    </row>
    <row r="3158" ht="22.5" customHeight="1">
      <c r="A3158" s="6" t="s">
        <v>15190</v>
      </c>
      <c r="B3158" s="6" t="s">
        <v>7554</v>
      </c>
      <c r="C3158" s="10">
        <v>46059.0</v>
      </c>
      <c r="D3158" s="6" t="s">
        <v>416</v>
      </c>
      <c r="E3158" s="6" t="s">
        <v>450</v>
      </c>
      <c r="F3158" s="6" t="s">
        <v>283</v>
      </c>
      <c r="G3158" s="6" t="s">
        <v>297</v>
      </c>
      <c r="H3158" s="10">
        <v>46063.0</v>
      </c>
      <c r="I3158" s="12">
        <v>12.0</v>
      </c>
      <c r="J3158" s="6" t="s">
        <v>161</v>
      </c>
    </row>
    <row r="3159" ht="22.5" customHeight="1">
      <c r="A3159" s="6" t="s">
        <v>15196</v>
      </c>
      <c r="B3159" s="6" t="s">
        <v>7554</v>
      </c>
      <c r="C3159" s="10">
        <v>46048.0</v>
      </c>
      <c r="D3159" s="6" t="s">
        <v>289</v>
      </c>
      <c r="E3159" s="6" t="s">
        <v>2881</v>
      </c>
      <c r="F3159" s="6" t="s">
        <v>439</v>
      </c>
      <c r="G3159" s="6" t="s">
        <v>477</v>
      </c>
      <c r="H3159" s="10">
        <v>46050.0</v>
      </c>
      <c r="I3159" s="12">
        <v>6.0</v>
      </c>
      <c r="J3159" s="6" t="s">
        <v>161</v>
      </c>
    </row>
    <row r="3160" ht="22.5" customHeight="1">
      <c r="A3160" s="6" t="s">
        <v>15200</v>
      </c>
      <c r="B3160" s="6" t="s">
        <v>7554</v>
      </c>
      <c r="C3160" s="10">
        <v>46052.0</v>
      </c>
      <c r="D3160" s="6" t="s">
        <v>391</v>
      </c>
      <c r="E3160" s="6" t="s">
        <v>1570</v>
      </c>
      <c r="F3160" s="6" t="s">
        <v>249</v>
      </c>
      <c r="G3160" s="6" t="s">
        <v>494</v>
      </c>
      <c r="H3160" s="11" t="s">
        <v>259</v>
      </c>
      <c r="I3160" s="12">
        <v>11.0</v>
      </c>
      <c r="J3160" s="6" t="s">
        <v>161</v>
      </c>
    </row>
    <row r="3161" ht="22.5" customHeight="1">
      <c r="A3161" s="6" t="s">
        <v>15205</v>
      </c>
      <c r="B3161" s="6" t="s">
        <v>7554</v>
      </c>
      <c r="C3161" s="10">
        <v>46058.0</v>
      </c>
      <c r="D3161" s="6" t="s">
        <v>289</v>
      </c>
      <c r="E3161" s="6" t="s">
        <v>658</v>
      </c>
      <c r="F3161" s="6" t="s">
        <v>249</v>
      </c>
      <c r="G3161" s="6" t="s">
        <v>297</v>
      </c>
      <c r="H3161" s="10">
        <v>46060.0</v>
      </c>
      <c r="I3161" s="12">
        <v>8.0</v>
      </c>
      <c r="J3161" s="6" t="s">
        <v>161</v>
      </c>
    </row>
    <row r="3162" ht="22.5" customHeight="1">
      <c r="A3162" s="6" t="s">
        <v>15209</v>
      </c>
      <c r="B3162" s="6" t="s">
        <v>7561</v>
      </c>
      <c r="C3162" s="10">
        <v>46055.0</v>
      </c>
      <c r="D3162" s="6" t="s">
        <v>242</v>
      </c>
      <c r="E3162" s="6" t="s">
        <v>320</v>
      </c>
      <c r="F3162" s="6" t="s">
        <v>112</v>
      </c>
      <c r="G3162" s="6" t="s">
        <v>452</v>
      </c>
      <c r="H3162" s="10">
        <v>46059.0</v>
      </c>
      <c r="I3162" s="12">
        <v>3.0</v>
      </c>
      <c r="J3162" s="6" t="s">
        <v>161</v>
      </c>
    </row>
    <row r="3163" ht="22.5" customHeight="1">
      <c r="A3163" s="6" t="s">
        <v>15213</v>
      </c>
      <c r="B3163" s="6" t="s">
        <v>7561</v>
      </c>
      <c r="C3163" s="10">
        <v>46054.0</v>
      </c>
      <c r="D3163" s="6" t="s">
        <v>312</v>
      </c>
      <c r="E3163" s="6" t="s">
        <v>695</v>
      </c>
      <c r="F3163" s="6" t="s">
        <v>283</v>
      </c>
      <c r="G3163" s="6" t="s">
        <v>254</v>
      </c>
      <c r="H3163" s="10">
        <v>46058.0</v>
      </c>
      <c r="I3163" s="12">
        <v>7.0</v>
      </c>
      <c r="J3163" s="6" t="s">
        <v>161</v>
      </c>
    </row>
    <row r="3164" ht="22.5" customHeight="1">
      <c r="A3164" s="6" t="s">
        <v>15216</v>
      </c>
      <c r="B3164" s="6" t="s">
        <v>7561</v>
      </c>
      <c r="C3164" s="10">
        <v>46068.0</v>
      </c>
      <c r="D3164" s="6" t="s">
        <v>677</v>
      </c>
      <c r="E3164" s="6" t="s">
        <v>1241</v>
      </c>
      <c r="F3164" s="6" t="s">
        <v>439</v>
      </c>
      <c r="G3164" s="6" t="s">
        <v>369</v>
      </c>
      <c r="H3164" s="11" t="s">
        <v>259</v>
      </c>
      <c r="I3164" s="12">
        <v>2.0</v>
      </c>
      <c r="J3164" s="6" t="s">
        <v>161</v>
      </c>
    </row>
    <row r="3165" ht="22.5" customHeight="1">
      <c r="A3165" s="6" t="s">
        <v>15219</v>
      </c>
      <c r="B3165" s="6" t="s">
        <v>7561</v>
      </c>
      <c r="C3165" s="10">
        <v>46052.0</v>
      </c>
      <c r="D3165" s="6" t="s">
        <v>242</v>
      </c>
      <c r="E3165" s="6" t="s">
        <v>2881</v>
      </c>
      <c r="F3165" s="6" t="s">
        <v>112</v>
      </c>
      <c r="G3165" s="6" t="s">
        <v>477</v>
      </c>
      <c r="H3165" s="10">
        <v>46059.0</v>
      </c>
      <c r="I3165" s="12">
        <v>6.0</v>
      </c>
      <c r="J3165" s="6" t="s">
        <v>178</v>
      </c>
    </row>
    <row r="3166" ht="22.5" customHeight="1">
      <c r="A3166" s="6" t="s">
        <v>15224</v>
      </c>
      <c r="B3166" s="6" t="s">
        <v>7561</v>
      </c>
      <c r="C3166" s="10">
        <v>46060.0</v>
      </c>
      <c r="D3166" s="6" t="s">
        <v>312</v>
      </c>
      <c r="E3166" s="6" t="s">
        <v>583</v>
      </c>
      <c r="F3166" s="6" t="s">
        <v>112</v>
      </c>
      <c r="G3166" s="6" t="s">
        <v>326</v>
      </c>
      <c r="H3166" s="10">
        <v>46060.0</v>
      </c>
      <c r="I3166" s="12">
        <v>7.0</v>
      </c>
      <c r="J3166" s="6" t="s">
        <v>161</v>
      </c>
    </row>
    <row r="3167" ht="22.5" customHeight="1">
      <c r="A3167" s="6" t="s">
        <v>15229</v>
      </c>
      <c r="B3167" s="6" t="s">
        <v>7568</v>
      </c>
      <c r="C3167" s="10">
        <v>46063.0</v>
      </c>
      <c r="D3167" s="6" t="s">
        <v>312</v>
      </c>
      <c r="E3167" s="6" t="s">
        <v>1149</v>
      </c>
      <c r="F3167" s="6" t="s">
        <v>439</v>
      </c>
      <c r="G3167" s="6" t="s">
        <v>254</v>
      </c>
      <c r="H3167" s="10">
        <v>46066.0</v>
      </c>
      <c r="I3167" s="12">
        <v>4.0</v>
      </c>
      <c r="J3167" s="6" t="s">
        <v>161</v>
      </c>
    </row>
    <row r="3168" ht="22.5" customHeight="1">
      <c r="A3168" s="6" t="s">
        <v>15232</v>
      </c>
      <c r="B3168" s="6" t="s">
        <v>7568</v>
      </c>
      <c r="C3168" s="10">
        <v>46057.0</v>
      </c>
      <c r="D3168" s="6" t="s">
        <v>416</v>
      </c>
      <c r="E3168" s="6" t="s">
        <v>466</v>
      </c>
      <c r="F3168" s="6" t="s">
        <v>439</v>
      </c>
      <c r="G3168" s="6" t="s">
        <v>254</v>
      </c>
      <c r="H3168" s="11" t="s">
        <v>259</v>
      </c>
      <c r="I3168" s="12">
        <v>8.0</v>
      </c>
      <c r="J3168" s="6" t="s">
        <v>161</v>
      </c>
    </row>
    <row r="3169" ht="22.5" customHeight="1">
      <c r="A3169" s="6" t="s">
        <v>15236</v>
      </c>
      <c r="B3169" s="6" t="s">
        <v>7574</v>
      </c>
      <c r="C3169" s="10">
        <v>46058.0</v>
      </c>
      <c r="D3169" s="6" t="s">
        <v>312</v>
      </c>
      <c r="E3169" s="6" t="s">
        <v>394</v>
      </c>
      <c r="F3169" s="6" t="s">
        <v>112</v>
      </c>
      <c r="G3169" s="6" t="s">
        <v>452</v>
      </c>
      <c r="H3169" s="10">
        <v>46064.0</v>
      </c>
      <c r="I3169" s="12">
        <v>5.0</v>
      </c>
      <c r="J3169" s="6" t="s">
        <v>161</v>
      </c>
    </row>
    <row r="3170" ht="22.5" customHeight="1">
      <c r="A3170" s="6" t="s">
        <v>15242</v>
      </c>
      <c r="B3170" s="6" t="s">
        <v>7574</v>
      </c>
      <c r="C3170" s="10">
        <v>46056.0</v>
      </c>
      <c r="D3170" s="6" t="s">
        <v>289</v>
      </c>
      <c r="E3170" s="6" t="s">
        <v>812</v>
      </c>
      <c r="F3170" s="6" t="s">
        <v>112</v>
      </c>
      <c r="G3170" s="6" t="s">
        <v>254</v>
      </c>
      <c r="H3170" s="11" t="s">
        <v>259</v>
      </c>
      <c r="I3170" s="12">
        <v>6.0</v>
      </c>
      <c r="J3170" s="6" t="s">
        <v>161</v>
      </c>
    </row>
    <row r="3171" ht="22.5" customHeight="1">
      <c r="A3171" s="6" t="s">
        <v>15248</v>
      </c>
      <c r="B3171" s="6" t="s">
        <v>7574</v>
      </c>
      <c r="C3171" s="10">
        <v>46054.0</v>
      </c>
      <c r="D3171" s="6" t="s">
        <v>416</v>
      </c>
      <c r="E3171" s="6" t="s">
        <v>731</v>
      </c>
      <c r="F3171" s="6" t="s">
        <v>112</v>
      </c>
      <c r="G3171" s="6" t="s">
        <v>254</v>
      </c>
      <c r="H3171" s="10">
        <v>46058.0</v>
      </c>
      <c r="I3171" s="12">
        <v>12.0</v>
      </c>
      <c r="J3171" s="6" t="s">
        <v>161</v>
      </c>
    </row>
    <row r="3172" ht="22.5" customHeight="1">
      <c r="A3172" s="6" t="s">
        <v>15252</v>
      </c>
      <c r="B3172" s="6" t="s">
        <v>7574</v>
      </c>
      <c r="C3172" s="10">
        <v>46051.0</v>
      </c>
      <c r="D3172" s="6" t="s">
        <v>242</v>
      </c>
      <c r="E3172" s="6" t="s">
        <v>1626</v>
      </c>
      <c r="F3172" s="6" t="s">
        <v>112</v>
      </c>
      <c r="G3172" s="6" t="s">
        <v>458</v>
      </c>
      <c r="H3172" s="10">
        <v>46058.0</v>
      </c>
      <c r="I3172" s="12">
        <v>3.0</v>
      </c>
      <c r="J3172" s="6" t="s">
        <v>178</v>
      </c>
    </row>
    <row r="3173" ht="22.5" customHeight="1">
      <c r="A3173" s="6" t="s">
        <v>15257</v>
      </c>
      <c r="B3173" s="6" t="s">
        <v>7574</v>
      </c>
      <c r="C3173" s="10">
        <v>46056.0</v>
      </c>
      <c r="D3173" s="6" t="s">
        <v>416</v>
      </c>
      <c r="E3173" s="6" t="s">
        <v>1626</v>
      </c>
      <c r="F3173" s="6" t="s">
        <v>112</v>
      </c>
      <c r="G3173" s="6" t="s">
        <v>297</v>
      </c>
      <c r="H3173" s="10">
        <v>46062.0</v>
      </c>
      <c r="I3173" s="12">
        <v>8.0</v>
      </c>
      <c r="J3173" s="6" t="s">
        <v>161</v>
      </c>
    </row>
    <row r="3174" ht="22.5" customHeight="1">
      <c r="A3174" s="6" t="s">
        <v>15262</v>
      </c>
      <c r="B3174" s="6" t="s">
        <v>7580</v>
      </c>
      <c r="C3174" s="10">
        <v>46082.0</v>
      </c>
      <c r="D3174" s="6" t="s">
        <v>677</v>
      </c>
      <c r="E3174" s="6" t="s">
        <v>863</v>
      </c>
      <c r="F3174" s="6" t="s">
        <v>439</v>
      </c>
      <c r="G3174" s="6" t="s">
        <v>477</v>
      </c>
      <c r="H3174" s="11" t="s">
        <v>259</v>
      </c>
      <c r="I3174" s="12">
        <v>3.0</v>
      </c>
      <c r="J3174" s="6" t="s">
        <v>161</v>
      </c>
    </row>
    <row r="3175" ht="22.5" customHeight="1">
      <c r="A3175" s="6" t="s">
        <v>15267</v>
      </c>
      <c r="B3175" s="6" t="s">
        <v>7580</v>
      </c>
      <c r="C3175" s="10">
        <v>46074.0</v>
      </c>
      <c r="D3175" s="6" t="s">
        <v>677</v>
      </c>
      <c r="E3175" s="6" t="s">
        <v>1517</v>
      </c>
      <c r="F3175" s="6" t="s">
        <v>249</v>
      </c>
      <c r="G3175" s="6" t="s">
        <v>297</v>
      </c>
      <c r="H3175" s="10">
        <v>46076.0</v>
      </c>
      <c r="I3175" s="12">
        <v>4.0</v>
      </c>
      <c r="J3175" s="6" t="s">
        <v>161</v>
      </c>
    </row>
    <row r="3176" ht="22.5" customHeight="1">
      <c r="A3176" s="6" t="s">
        <v>15270</v>
      </c>
      <c r="B3176" s="6" t="s">
        <v>7580</v>
      </c>
      <c r="C3176" s="10">
        <v>46077.0</v>
      </c>
      <c r="D3176" s="6" t="s">
        <v>289</v>
      </c>
      <c r="E3176" s="6" t="s">
        <v>1700</v>
      </c>
      <c r="F3176" s="6" t="s">
        <v>283</v>
      </c>
      <c r="G3176" s="6" t="s">
        <v>326</v>
      </c>
      <c r="H3176" s="10">
        <v>46082.0</v>
      </c>
      <c r="I3176" s="12">
        <v>7.0</v>
      </c>
      <c r="J3176" s="6" t="s">
        <v>161</v>
      </c>
    </row>
    <row r="3177" ht="22.5" customHeight="1">
      <c r="A3177" s="6" t="s">
        <v>15275</v>
      </c>
      <c r="B3177" s="6" t="s">
        <v>7580</v>
      </c>
      <c r="C3177" s="10">
        <v>46066.0</v>
      </c>
      <c r="D3177" s="6" t="s">
        <v>677</v>
      </c>
      <c r="E3177" s="6" t="s">
        <v>1035</v>
      </c>
      <c r="F3177" s="6" t="s">
        <v>283</v>
      </c>
      <c r="G3177" s="6" t="s">
        <v>254</v>
      </c>
      <c r="H3177" s="10">
        <v>46071.0</v>
      </c>
      <c r="I3177" s="12">
        <v>2.0</v>
      </c>
      <c r="J3177" s="6" t="s">
        <v>161</v>
      </c>
    </row>
    <row r="3178" ht="22.5" customHeight="1">
      <c r="A3178" s="6" t="s">
        <v>15280</v>
      </c>
      <c r="B3178" s="6" t="s">
        <v>7580</v>
      </c>
      <c r="C3178" s="10">
        <v>46078.0</v>
      </c>
      <c r="D3178" s="6" t="s">
        <v>312</v>
      </c>
      <c r="E3178" s="6" t="s">
        <v>417</v>
      </c>
      <c r="F3178" s="6" t="s">
        <v>283</v>
      </c>
      <c r="G3178" s="6" t="s">
        <v>254</v>
      </c>
      <c r="H3178" s="10">
        <v>46084.0</v>
      </c>
      <c r="I3178" s="12">
        <v>7.0</v>
      </c>
      <c r="J3178" s="6" t="s">
        <v>161</v>
      </c>
    </row>
    <row r="3179" ht="22.5" customHeight="1">
      <c r="A3179" s="6" t="s">
        <v>15286</v>
      </c>
      <c r="B3179" s="6" t="s">
        <v>7587</v>
      </c>
      <c r="C3179" s="10">
        <v>46068.0</v>
      </c>
      <c r="D3179" s="6" t="s">
        <v>242</v>
      </c>
      <c r="E3179" s="6" t="s">
        <v>812</v>
      </c>
      <c r="F3179" s="6" t="s">
        <v>283</v>
      </c>
      <c r="G3179" s="6" t="s">
        <v>297</v>
      </c>
      <c r="H3179" s="10">
        <v>46068.0</v>
      </c>
      <c r="I3179" s="12">
        <v>3.0</v>
      </c>
      <c r="J3179" s="6" t="s">
        <v>161</v>
      </c>
    </row>
    <row r="3180" ht="22.5" customHeight="1">
      <c r="A3180" s="6" t="s">
        <v>15289</v>
      </c>
      <c r="B3180" s="6" t="s">
        <v>7587</v>
      </c>
      <c r="C3180" s="10">
        <v>46065.0</v>
      </c>
      <c r="D3180" s="6" t="s">
        <v>312</v>
      </c>
      <c r="E3180" s="6" t="s">
        <v>365</v>
      </c>
      <c r="F3180" s="6" t="s">
        <v>439</v>
      </c>
      <c r="G3180" s="6" t="s">
        <v>494</v>
      </c>
      <c r="H3180" s="10">
        <v>46067.0</v>
      </c>
      <c r="I3180" s="12">
        <v>5.0</v>
      </c>
      <c r="J3180" s="6" t="s">
        <v>161</v>
      </c>
    </row>
    <row r="3181" ht="22.5" customHeight="1">
      <c r="A3181" s="6" t="s">
        <v>15294</v>
      </c>
      <c r="B3181" s="6" t="s">
        <v>7587</v>
      </c>
      <c r="C3181" s="10">
        <v>46070.0</v>
      </c>
      <c r="D3181" s="6" t="s">
        <v>677</v>
      </c>
      <c r="E3181" s="6" t="s">
        <v>628</v>
      </c>
      <c r="F3181" s="6" t="s">
        <v>249</v>
      </c>
      <c r="G3181" s="6" t="s">
        <v>458</v>
      </c>
      <c r="H3181" s="10">
        <v>46075.0</v>
      </c>
      <c r="I3181" s="12">
        <v>3.0</v>
      </c>
      <c r="J3181" s="6" t="s">
        <v>161</v>
      </c>
    </row>
    <row r="3182" ht="22.5" customHeight="1">
      <c r="A3182" s="6" t="s">
        <v>15299</v>
      </c>
      <c r="B3182" s="6" t="s">
        <v>7587</v>
      </c>
      <c r="C3182" s="10">
        <v>46068.0</v>
      </c>
      <c r="D3182" s="6" t="s">
        <v>242</v>
      </c>
      <c r="E3182" s="6" t="s">
        <v>1241</v>
      </c>
      <c r="F3182" s="6" t="s">
        <v>112</v>
      </c>
      <c r="G3182" s="6" t="s">
        <v>369</v>
      </c>
      <c r="H3182" s="11" t="s">
        <v>259</v>
      </c>
      <c r="I3182" s="12">
        <v>3.0</v>
      </c>
      <c r="J3182" s="6" t="s">
        <v>161</v>
      </c>
    </row>
    <row r="3183" ht="22.5" customHeight="1">
      <c r="A3183" s="6" t="s">
        <v>15304</v>
      </c>
      <c r="B3183" s="6" t="s">
        <v>7587</v>
      </c>
      <c r="C3183" s="10">
        <v>46070.0</v>
      </c>
      <c r="D3183" s="6" t="s">
        <v>289</v>
      </c>
      <c r="E3183" s="6" t="s">
        <v>291</v>
      </c>
      <c r="F3183" s="6" t="s">
        <v>283</v>
      </c>
      <c r="G3183" s="6" t="s">
        <v>326</v>
      </c>
      <c r="H3183" s="10">
        <v>46074.0</v>
      </c>
      <c r="I3183" s="12">
        <v>7.0</v>
      </c>
      <c r="J3183" s="6" t="s">
        <v>161</v>
      </c>
    </row>
    <row r="3184" ht="22.5" customHeight="1">
      <c r="A3184" s="6" t="s">
        <v>15310</v>
      </c>
      <c r="B3184" s="6" t="s">
        <v>7593</v>
      </c>
      <c r="C3184" s="10">
        <v>46031.0</v>
      </c>
      <c r="D3184" s="6" t="s">
        <v>436</v>
      </c>
      <c r="E3184" s="6" t="s">
        <v>1310</v>
      </c>
      <c r="F3184" s="6" t="s">
        <v>112</v>
      </c>
      <c r="G3184" s="6" t="s">
        <v>477</v>
      </c>
      <c r="H3184" s="10">
        <v>46033.0</v>
      </c>
      <c r="I3184" s="12">
        <v>11.0</v>
      </c>
      <c r="J3184" s="6" t="s">
        <v>178</v>
      </c>
    </row>
    <row r="3185" ht="22.5" customHeight="1">
      <c r="A3185" s="6" t="s">
        <v>15316</v>
      </c>
      <c r="B3185" s="6" t="s">
        <v>7593</v>
      </c>
      <c r="C3185" s="10">
        <v>46025.0</v>
      </c>
      <c r="D3185" s="6" t="s">
        <v>242</v>
      </c>
      <c r="E3185" s="6" t="s">
        <v>1517</v>
      </c>
      <c r="F3185" s="6" t="s">
        <v>249</v>
      </c>
      <c r="G3185" s="6" t="s">
        <v>297</v>
      </c>
      <c r="H3185" s="10">
        <v>46027.0</v>
      </c>
      <c r="I3185" s="12">
        <v>5.0</v>
      </c>
      <c r="J3185" s="6" t="s">
        <v>178</v>
      </c>
    </row>
    <row r="3186" ht="22.5" customHeight="1">
      <c r="A3186" s="6" t="s">
        <v>15319</v>
      </c>
      <c r="B3186" s="6" t="s">
        <v>7593</v>
      </c>
      <c r="C3186" s="10">
        <v>46038.0</v>
      </c>
      <c r="D3186" s="6" t="s">
        <v>416</v>
      </c>
      <c r="E3186" s="6" t="s">
        <v>1122</v>
      </c>
      <c r="F3186" s="6" t="s">
        <v>283</v>
      </c>
      <c r="G3186" s="6" t="s">
        <v>477</v>
      </c>
      <c r="H3186" s="10">
        <v>46044.0</v>
      </c>
      <c r="I3186" s="12">
        <v>9.0</v>
      </c>
      <c r="J3186" s="6" t="s">
        <v>161</v>
      </c>
    </row>
    <row r="3187" ht="22.5" customHeight="1">
      <c r="A3187" s="6" t="s">
        <v>15323</v>
      </c>
      <c r="B3187" s="6" t="s">
        <v>7593</v>
      </c>
      <c r="C3187" s="10">
        <v>46026.0</v>
      </c>
      <c r="D3187" s="6" t="s">
        <v>436</v>
      </c>
      <c r="E3187" s="6" t="s">
        <v>1517</v>
      </c>
      <c r="F3187" s="6" t="s">
        <v>112</v>
      </c>
      <c r="G3187" s="6" t="s">
        <v>452</v>
      </c>
      <c r="H3187" s="10">
        <v>46029.0</v>
      </c>
      <c r="I3187" s="12">
        <v>8.0</v>
      </c>
      <c r="J3187" s="6" t="s">
        <v>178</v>
      </c>
    </row>
    <row r="3188" ht="22.5" customHeight="1">
      <c r="A3188" s="6" t="s">
        <v>15326</v>
      </c>
      <c r="B3188" s="6" t="s">
        <v>7599</v>
      </c>
      <c r="C3188" s="10">
        <v>46067.0</v>
      </c>
      <c r="D3188" s="6" t="s">
        <v>677</v>
      </c>
      <c r="E3188" s="6" t="s">
        <v>1969</v>
      </c>
      <c r="F3188" s="6" t="s">
        <v>439</v>
      </c>
      <c r="G3188" s="6" t="s">
        <v>494</v>
      </c>
      <c r="H3188" s="11" t="s">
        <v>259</v>
      </c>
      <c r="I3188" s="12">
        <v>2.0</v>
      </c>
      <c r="J3188" s="6" t="s">
        <v>161</v>
      </c>
    </row>
    <row r="3189" ht="22.5" customHeight="1">
      <c r="A3189" s="6" t="s">
        <v>15330</v>
      </c>
      <c r="B3189" s="6" t="s">
        <v>7606</v>
      </c>
      <c r="C3189" s="10">
        <v>46025.0</v>
      </c>
      <c r="D3189" s="6" t="s">
        <v>312</v>
      </c>
      <c r="E3189" s="6" t="s">
        <v>2365</v>
      </c>
      <c r="F3189" s="6" t="s">
        <v>439</v>
      </c>
      <c r="G3189" s="6" t="s">
        <v>494</v>
      </c>
      <c r="H3189" s="10">
        <v>46031.0</v>
      </c>
      <c r="I3189" s="12">
        <v>5.0</v>
      </c>
      <c r="J3189" s="6" t="s">
        <v>161</v>
      </c>
    </row>
    <row r="3190" ht="22.5" customHeight="1">
      <c r="A3190" s="6" t="s">
        <v>15333</v>
      </c>
      <c r="B3190" s="6" t="s">
        <v>7612</v>
      </c>
      <c r="C3190" s="10">
        <v>46057.0</v>
      </c>
      <c r="D3190" s="6" t="s">
        <v>677</v>
      </c>
      <c r="E3190" s="6" t="s">
        <v>246</v>
      </c>
      <c r="F3190" s="6" t="s">
        <v>112</v>
      </c>
      <c r="G3190" s="6" t="s">
        <v>477</v>
      </c>
      <c r="H3190" s="10">
        <v>46061.0</v>
      </c>
      <c r="I3190" s="12">
        <v>3.0</v>
      </c>
      <c r="J3190" s="6" t="s">
        <v>161</v>
      </c>
    </row>
    <row r="3191" ht="22.5" customHeight="1">
      <c r="A3191" s="6" t="s">
        <v>15337</v>
      </c>
      <c r="B3191" s="6" t="s">
        <v>7618</v>
      </c>
      <c r="C3191" s="10">
        <v>46049.0</v>
      </c>
      <c r="D3191" s="6" t="s">
        <v>416</v>
      </c>
      <c r="E3191" s="6" t="s">
        <v>1310</v>
      </c>
      <c r="F3191" s="6" t="s">
        <v>249</v>
      </c>
      <c r="G3191" s="6" t="s">
        <v>458</v>
      </c>
      <c r="H3191" s="10">
        <v>46055.0</v>
      </c>
      <c r="I3191" s="12">
        <v>13.0</v>
      </c>
      <c r="J3191" s="6" t="s">
        <v>161</v>
      </c>
    </row>
    <row r="3192" ht="22.5" customHeight="1">
      <c r="A3192" s="6" t="s">
        <v>15342</v>
      </c>
      <c r="B3192" s="6" t="s">
        <v>7618</v>
      </c>
      <c r="C3192" s="10">
        <v>46036.0</v>
      </c>
      <c r="D3192" s="6" t="s">
        <v>289</v>
      </c>
      <c r="E3192" s="6" t="s">
        <v>438</v>
      </c>
      <c r="F3192" s="6" t="s">
        <v>249</v>
      </c>
      <c r="G3192" s="6" t="s">
        <v>458</v>
      </c>
      <c r="H3192" s="10">
        <v>46039.0</v>
      </c>
      <c r="I3192" s="12">
        <v>6.0</v>
      </c>
      <c r="J3192" s="6" t="s">
        <v>161</v>
      </c>
    </row>
    <row r="3193" ht="22.5" customHeight="1">
      <c r="A3193" s="6" t="s">
        <v>15346</v>
      </c>
      <c r="B3193" s="6" t="s">
        <v>7618</v>
      </c>
      <c r="C3193" s="10">
        <v>46033.0</v>
      </c>
      <c r="D3193" s="6" t="s">
        <v>391</v>
      </c>
      <c r="E3193" s="6" t="s">
        <v>687</v>
      </c>
      <c r="F3193" s="6" t="s">
        <v>439</v>
      </c>
      <c r="G3193" s="6" t="s">
        <v>477</v>
      </c>
      <c r="H3193" s="10">
        <v>46039.0</v>
      </c>
      <c r="I3193" s="12">
        <v>11.0</v>
      </c>
      <c r="J3193" s="6" t="s">
        <v>161</v>
      </c>
    </row>
    <row r="3194" ht="22.5" customHeight="1">
      <c r="A3194" s="6" t="s">
        <v>15350</v>
      </c>
      <c r="B3194" s="6" t="s">
        <v>7625</v>
      </c>
      <c r="C3194" s="10">
        <v>46062.0</v>
      </c>
      <c r="D3194" s="6" t="s">
        <v>677</v>
      </c>
      <c r="E3194" s="6" t="s">
        <v>670</v>
      </c>
      <c r="F3194" s="6" t="s">
        <v>249</v>
      </c>
      <c r="G3194" s="6" t="s">
        <v>452</v>
      </c>
      <c r="H3194" s="10">
        <v>46067.0</v>
      </c>
      <c r="I3194" s="12">
        <v>2.0</v>
      </c>
      <c r="J3194" s="6" t="s">
        <v>161</v>
      </c>
    </row>
    <row r="3195" ht="22.5" customHeight="1">
      <c r="A3195" s="6" t="s">
        <v>15351</v>
      </c>
      <c r="B3195" s="6" t="s">
        <v>7625</v>
      </c>
      <c r="C3195" s="10">
        <v>46069.0</v>
      </c>
      <c r="D3195" s="6" t="s">
        <v>677</v>
      </c>
      <c r="E3195" s="6" t="s">
        <v>885</v>
      </c>
      <c r="F3195" s="6" t="s">
        <v>249</v>
      </c>
      <c r="G3195" s="6" t="s">
        <v>369</v>
      </c>
      <c r="H3195" s="10">
        <v>46071.0</v>
      </c>
      <c r="I3195" s="12">
        <v>4.0</v>
      </c>
      <c r="J3195" s="6" t="s">
        <v>161</v>
      </c>
    </row>
    <row r="3196" ht="22.5" customHeight="1">
      <c r="A3196" s="6" t="s">
        <v>15354</v>
      </c>
      <c r="B3196" s="6" t="s">
        <v>7625</v>
      </c>
      <c r="C3196" s="10">
        <v>46066.0</v>
      </c>
      <c r="D3196" s="6" t="s">
        <v>312</v>
      </c>
      <c r="E3196" s="6" t="s">
        <v>716</v>
      </c>
      <c r="F3196" s="6" t="s">
        <v>249</v>
      </c>
      <c r="G3196" s="6" t="s">
        <v>458</v>
      </c>
      <c r="H3196" s="10">
        <v>46066.0</v>
      </c>
      <c r="I3196" s="12">
        <v>6.0</v>
      </c>
      <c r="J3196" s="6" t="s">
        <v>161</v>
      </c>
    </row>
    <row r="3197" ht="22.5" customHeight="1">
      <c r="A3197" s="6" t="s">
        <v>15358</v>
      </c>
      <c r="B3197" s="6" t="s">
        <v>7631</v>
      </c>
      <c r="C3197" s="10">
        <v>46040.0</v>
      </c>
      <c r="D3197" s="6" t="s">
        <v>436</v>
      </c>
      <c r="E3197" s="6" t="s">
        <v>1626</v>
      </c>
      <c r="F3197" s="6" t="s">
        <v>439</v>
      </c>
      <c r="G3197" s="6" t="s">
        <v>458</v>
      </c>
      <c r="H3197" s="11" t="s">
        <v>259</v>
      </c>
      <c r="I3197" s="12">
        <v>12.0</v>
      </c>
      <c r="J3197" s="6" t="s">
        <v>178</v>
      </c>
    </row>
    <row r="3198" ht="22.5" customHeight="1">
      <c r="A3198" s="6" t="s">
        <v>15360</v>
      </c>
      <c r="B3198" s="6" t="s">
        <v>7631</v>
      </c>
      <c r="C3198" s="10">
        <v>46049.0</v>
      </c>
      <c r="D3198" s="6" t="s">
        <v>416</v>
      </c>
      <c r="E3198" s="6" t="s">
        <v>695</v>
      </c>
      <c r="F3198" s="6" t="s">
        <v>283</v>
      </c>
      <c r="G3198" s="6" t="s">
        <v>326</v>
      </c>
      <c r="H3198" s="10">
        <v>46056.0</v>
      </c>
      <c r="I3198" s="12">
        <v>14.0</v>
      </c>
      <c r="J3198" s="6" t="s">
        <v>161</v>
      </c>
    </row>
    <row r="3199" ht="22.5" customHeight="1">
      <c r="A3199" s="6" t="s">
        <v>15362</v>
      </c>
      <c r="B3199" s="6" t="s">
        <v>7631</v>
      </c>
      <c r="C3199" s="10">
        <v>46057.0</v>
      </c>
      <c r="D3199" s="6" t="s">
        <v>416</v>
      </c>
      <c r="E3199" s="6" t="s">
        <v>1241</v>
      </c>
      <c r="F3199" s="6" t="s">
        <v>439</v>
      </c>
      <c r="G3199" s="6" t="s">
        <v>369</v>
      </c>
      <c r="H3199" s="10">
        <v>46057.0</v>
      </c>
      <c r="I3199" s="12">
        <v>14.0</v>
      </c>
      <c r="J3199" s="6" t="s">
        <v>161</v>
      </c>
    </row>
    <row r="3200" ht="22.5" customHeight="1">
      <c r="A3200" s="6" t="s">
        <v>15366</v>
      </c>
      <c r="B3200" s="6" t="s">
        <v>7637</v>
      </c>
      <c r="C3200" s="10">
        <v>46055.0</v>
      </c>
      <c r="D3200" s="6" t="s">
        <v>289</v>
      </c>
      <c r="E3200" s="6" t="s">
        <v>863</v>
      </c>
      <c r="F3200" s="6" t="s">
        <v>112</v>
      </c>
      <c r="G3200" s="6" t="s">
        <v>369</v>
      </c>
      <c r="H3200" s="11" t="s">
        <v>259</v>
      </c>
      <c r="I3200" s="12">
        <v>10.0</v>
      </c>
      <c r="J3200" s="6" t="s">
        <v>161</v>
      </c>
    </row>
    <row r="3201" ht="22.5" customHeight="1">
      <c r="A3201" s="6" t="s">
        <v>15369</v>
      </c>
      <c r="B3201" s="6" t="s">
        <v>7637</v>
      </c>
      <c r="C3201" s="10">
        <v>46052.0</v>
      </c>
      <c r="D3201" s="6" t="s">
        <v>289</v>
      </c>
      <c r="E3201" s="6" t="s">
        <v>634</v>
      </c>
      <c r="F3201" s="6" t="s">
        <v>283</v>
      </c>
      <c r="G3201" s="6" t="s">
        <v>297</v>
      </c>
      <c r="H3201" s="10">
        <v>46056.0</v>
      </c>
      <c r="I3201" s="12">
        <v>5.0</v>
      </c>
      <c r="J3201" s="6" t="s">
        <v>161</v>
      </c>
    </row>
    <row r="3202" ht="22.5" customHeight="1">
      <c r="A3202" s="6" t="s">
        <v>15372</v>
      </c>
      <c r="B3202" s="6" t="s">
        <v>7637</v>
      </c>
      <c r="C3202" s="10">
        <v>46051.0</v>
      </c>
      <c r="D3202" s="6" t="s">
        <v>312</v>
      </c>
      <c r="E3202" s="6" t="s">
        <v>365</v>
      </c>
      <c r="F3202" s="6" t="s">
        <v>283</v>
      </c>
      <c r="G3202" s="6" t="s">
        <v>326</v>
      </c>
      <c r="H3202" s="11" t="s">
        <v>259</v>
      </c>
      <c r="I3202" s="12">
        <v>5.0</v>
      </c>
      <c r="J3202" s="6" t="s">
        <v>161</v>
      </c>
    </row>
    <row r="3203" ht="22.5" customHeight="1">
      <c r="A3203" s="6" t="s">
        <v>15374</v>
      </c>
      <c r="B3203" s="6" t="s">
        <v>7643</v>
      </c>
      <c r="C3203" s="10">
        <v>46052.0</v>
      </c>
      <c r="D3203" s="6" t="s">
        <v>289</v>
      </c>
      <c r="E3203" s="6" t="s">
        <v>1149</v>
      </c>
      <c r="F3203" s="6" t="s">
        <v>439</v>
      </c>
      <c r="G3203" s="6" t="s">
        <v>326</v>
      </c>
      <c r="H3203" s="10">
        <v>46059.0</v>
      </c>
      <c r="I3203" s="12">
        <v>5.0</v>
      </c>
      <c r="J3203" s="6" t="s">
        <v>161</v>
      </c>
    </row>
    <row r="3204" ht="22.5" customHeight="1">
      <c r="A3204" s="6" t="s">
        <v>15377</v>
      </c>
      <c r="B3204" s="6" t="s">
        <v>7643</v>
      </c>
      <c r="C3204" s="10">
        <v>46047.0</v>
      </c>
      <c r="D3204" s="6" t="s">
        <v>242</v>
      </c>
      <c r="E3204" s="6" t="s">
        <v>1546</v>
      </c>
      <c r="F3204" s="6" t="s">
        <v>283</v>
      </c>
      <c r="G3204" s="6" t="s">
        <v>477</v>
      </c>
      <c r="H3204" s="11" t="s">
        <v>259</v>
      </c>
      <c r="I3204" s="12">
        <v>5.0</v>
      </c>
      <c r="J3204" s="6" t="s">
        <v>161</v>
      </c>
    </row>
    <row r="3205" ht="22.5" customHeight="1">
      <c r="A3205" s="6" t="s">
        <v>15381</v>
      </c>
      <c r="B3205" s="6" t="s">
        <v>7649</v>
      </c>
      <c r="C3205" s="10">
        <v>46049.0</v>
      </c>
      <c r="D3205" s="6" t="s">
        <v>436</v>
      </c>
      <c r="E3205" s="6" t="s">
        <v>738</v>
      </c>
      <c r="F3205" s="6" t="s">
        <v>283</v>
      </c>
      <c r="G3205" s="6" t="s">
        <v>369</v>
      </c>
      <c r="H3205" s="10">
        <v>46052.0</v>
      </c>
      <c r="I3205" s="12">
        <v>11.0</v>
      </c>
      <c r="J3205" s="6" t="s">
        <v>178</v>
      </c>
    </row>
    <row r="3206" ht="22.5" customHeight="1">
      <c r="A3206" s="6" t="s">
        <v>15382</v>
      </c>
      <c r="B3206" s="6" t="s">
        <v>7656</v>
      </c>
      <c r="C3206" s="10">
        <v>46076.0</v>
      </c>
      <c r="D3206" s="6" t="s">
        <v>391</v>
      </c>
      <c r="E3206" s="6" t="s">
        <v>775</v>
      </c>
      <c r="F3206" s="6" t="s">
        <v>112</v>
      </c>
      <c r="G3206" s="6" t="s">
        <v>458</v>
      </c>
      <c r="H3206" s="10">
        <v>46078.0</v>
      </c>
      <c r="I3206" s="12">
        <v>8.0</v>
      </c>
      <c r="J3206" s="6" t="s">
        <v>161</v>
      </c>
    </row>
    <row r="3207" ht="22.5" customHeight="1">
      <c r="A3207" s="6" t="s">
        <v>15385</v>
      </c>
      <c r="B3207" s="6" t="s">
        <v>7656</v>
      </c>
      <c r="C3207" s="10">
        <v>46073.0</v>
      </c>
      <c r="D3207" s="6" t="s">
        <v>677</v>
      </c>
      <c r="E3207" s="6" t="s">
        <v>2881</v>
      </c>
      <c r="F3207" s="6" t="s">
        <v>439</v>
      </c>
      <c r="G3207" s="6" t="s">
        <v>254</v>
      </c>
      <c r="H3207" s="10">
        <v>46076.0</v>
      </c>
      <c r="I3207" s="12">
        <v>2.0</v>
      </c>
      <c r="J3207" s="6" t="s">
        <v>161</v>
      </c>
    </row>
    <row r="3208" ht="22.5" customHeight="1">
      <c r="A3208" s="6" t="s">
        <v>15389</v>
      </c>
      <c r="B3208" s="6" t="s">
        <v>7656</v>
      </c>
      <c r="C3208" s="10">
        <v>46064.0</v>
      </c>
      <c r="D3208" s="6" t="s">
        <v>242</v>
      </c>
      <c r="E3208" s="6" t="s">
        <v>955</v>
      </c>
      <c r="F3208" s="6" t="s">
        <v>249</v>
      </c>
      <c r="G3208" s="6" t="s">
        <v>326</v>
      </c>
      <c r="H3208" s="10">
        <v>46070.0</v>
      </c>
      <c r="I3208" s="12">
        <v>6.0</v>
      </c>
      <c r="J3208" s="6" t="s">
        <v>161</v>
      </c>
    </row>
    <row r="3209" ht="22.5" customHeight="1">
      <c r="A3209" s="6" t="s">
        <v>15391</v>
      </c>
      <c r="B3209" s="6" t="s">
        <v>7656</v>
      </c>
      <c r="C3209" s="10">
        <v>46069.0</v>
      </c>
      <c r="D3209" s="6" t="s">
        <v>242</v>
      </c>
      <c r="E3209" s="6" t="s">
        <v>566</v>
      </c>
      <c r="F3209" s="6" t="s">
        <v>249</v>
      </c>
      <c r="G3209" s="6" t="s">
        <v>369</v>
      </c>
      <c r="H3209" s="11" t="s">
        <v>259</v>
      </c>
      <c r="I3209" s="12">
        <v>4.0</v>
      </c>
      <c r="J3209" s="6" t="s">
        <v>178</v>
      </c>
    </row>
    <row r="3210" ht="22.5" customHeight="1">
      <c r="A3210" s="6" t="s">
        <v>15394</v>
      </c>
      <c r="B3210" s="6" t="s">
        <v>7656</v>
      </c>
      <c r="C3210" s="10">
        <v>46081.0</v>
      </c>
      <c r="D3210" s="6" t="s">
        <v>242</v>
      </c>
      <c r="E3210" s="6" t="s">
        <v>1552</v>
      </c>
      <c r="F3210" s="6" t="s">
        <v>112</v>
      </c>
      <c r="G3210" s="6" t="s">
        <v>254</v>
      </c>
      <c r="H3210" s="10">
        <v>46084.0</v>
      </c>
      <c r="I3210" s="12">
        <v>4.0</v>
      </c>
      <c r="J3210" s="6" t="s">
        <v>178</v>
      </c>
    </row>
    <row r="3211" ht="22.5" customHeight="1">
      <c r="A3211" s="6" t="s">
        <v>15397</v>
      </c>
      <c r="B3211" s="6" t="s">
        <v>7663</v>
      </c>
      <c r="C3211" s="10">
        <v>46043.0</v>
      </c>
      <c r="D3211" s="6" t="s">
        <v>312</v>
      </c>
      <c r="E3211" s="6" t="s">
        <v>687</v>
      </c>
      <c r="F3211" s="6" t="s">
        <v>249</v>
      </c>
      <c r="G3211" s="6" t="s">
        <v>458</v>
      </c>
      <c r="H3211" s="11" t="s">
        <v>259</v>
      </c>
      <c r="I3211" s="12">
        <v>7.0</v>
      </c>
      <c r="J3211" s="6" t="s">
        <v>161</v>
      </c>
    </row>
    <row r="3212" ht="22.5" customHeight="1">
      <c r="A3212" s="6" t="s">
        <v>15400</v>
      </c>
      <c r="B3212" s="6" t="s">
        <v>7663</v>
      </c>
      <c r="C3212" s="10">
        <v>46060.0</v>
      </c>
      <c r="D3212" s="6" t="s">
        <v>289</v>
      </c>
      <c r="E3212" s="6" t="s">
        <v>618</v>
      </c>
      <c r="F3212" s="6" t="s">
        <v>283</v>
      </c>
      <c r="G3212" s="6" t="s">
        <v>458</v>
      </c>
      <c r="H3212" s="10">
        <v>46064.0</v>
      </c>
      <c r="I3212" s="12">
        <v>5.0</v>
      </c>
      <c r="J3212" s="6" t="s">
        <v>161</v>
      </c>
    </row>
    <row r="3213" ht="22.5" customHeight="1">
      <c r="A3213" s="6" t="s">
        <v>15404</v>
      </c>
      <c r="B3213" s="6" t="s">
        <v>7670</v>
      </c>
      <c r="C3213" s="10">
        <v>46065.0</v>
      </c>
      <c r="D3213" s="6" t="s">
        <v>436</v>
      </c>
      <c r="E3213" s="6" t="s">
        <v>2365</v>
      </c>
      <c r="F3213" s="6" t="s">
        <v>249</v>
      </c>
      <c r="G3213" s="6" t="s">
        <v>369</v>
      </c>
      <c r="H3213" s="10">
        <v>46069.0</v>
      </c>
      <c r="I3213" s="12">
        <v>8.0</v>
      </c>
      <c r="J3213" s="6" t="s">
        <v>178</v>
      </c>
    </row>
    <row r="3214" ht="22.5" customHeight="1">
      <c r="A3214" s="6" t="s">
        <v>15406</v>
      </c>
      <c r="B3214" s="6" t="s">
        <v>7676</v>
      </c>
      <c r="C3214" s="10">
        <v>46065.0</v>
      </c>
      <c r="D3214" s="6" t="s">
        <v>436</v>
      </c>
      <c r="E3214" s="6" t="s">
        <v>812</v>
      </c>
      <c r="F3214" s="6" t="s">
        <v>249</v>
      </c>
      <c r="G3214" s="6" t="s">
        <v>477</v>
      </c>
      <c r="H3214" s="10">
        <v>46070.0</v>
      </c>
      <c r="I3214" s="12">
        <v>9.0</v>
      </c>
      <c r="J3214" s="6" t="s">
        <v>161</v>
      </c>
    </row>
    <row r="3215" ht="22.5" customHeight="1">
      <c r="A3215" s="6" t="s">
        <v>15408</v>
      </c>
      <c r="B3215" s="6" t="s">
        <v>7676</v>
      </c>
      <c r="C3215" s="10">
        <v>46072.0</v>
      </c>
      <c r="D3215" s="6" t="s">
        <v>416</v>
      </c>
      <c r="E3215" s="6" t="s">
        <v>1280</v>
      </c>
      <c r="F3215" s="6" t="s">
        <v>112</v>
      </c>
      <c r="G3215" s="6" t="s">
        <v>326</v>
      </c>
      <c r="H3215" s="10">
        <v>46075.0</v>
      </c>
      <c r="I3215" s="12">
        <v>14.0</v>
      </c>
      <c r="J3215" s="6" t="s">
        <v>161</v>
      </c>
    </row>
    <row r="3216" ht="22.5" customHeight="1">
      <c r="A3216" s="6" t="s">
        <v>15412</v>
      </c>
      <c r="B3216" s="6" t="s">
        <v>7676</v>
      </c>
      <c r="C3216" s="10">
        <v>46066.0</v>
      </c>
      <c r="D3216" s="6" t="s">
        <v>242</v>
      </c>
      <c r="E3216" s="6" t="s">
        <v>731</v>
      </c>
      <c r="F3216" s="6" t="s">
        <v>249</v>
      </c>
      <c r="G3216" s="6" t="s">
        <v>297</v>
      </c>
      <c r="H3216" s="10">
        <v>46068.0</v>
      </c>
      <c r="I3216" s="12">
        <v>4.0</v>
      </c>
      <c r="J3216" s="6" t="s">
        <v>178</v>
      </c>
    </row>
    <row r="3217" ht="22.5" customHeight="1">
      <c r="A3217" s="6" t="s">
        <v>15415</v>
      </c>
      <c r="B3217" s="6" t="s">
        <v>7676</v>
      </c>
      <c r="C3217" s="10">
        <v>46064.0</v>
      </c>
      <c r="D3217" s="6" t="s">
        <v>289</v>
      </c>
      <c r="E3217" s="6" t="s">
        <v>1102</v>
      </c>
      <c r="F3217" s="6" t="s">
        <v>249</v>
      </c>
      <c r="G3217" s="6" t="s">
        <v>254</v>
      </c>
      <c r="H3217" s="11" t="s">
        <v>259</v>
      </c>
      <c r="I3217" s="12">
        <v>6.0</v>
      </c>
      <c r="J3217" s="6" t="s">
        <v>161</v>
      </c>
    </row>
    <row r="3218" ht="22.5" customHeight="1">
      <c r="A3218" s="6" t="s">
        <v>15419</v>
      </c>
      <c r="B3218" s="6" t="s">
        <v>7683</v>
      </c>
      <c r="C3218" s="10">
        <v>46067.0</v>
      </c>
      <c r="D3218" s="6" t="s">
        <v>289</v>
      </c>
      <c r="E3218" s="6" t="s">
        <v>716</v>
      </c>
      <c r="F3218" s="6" t="s">
        <v>249</v>
      </c>
      <c r="G3218" s="6" t="s">
        <v>254</v>
      </c>
      <c r="H3218" s="10">
        <v>46071.0</v>
      </c>
      <c r="I3218" s="12">
        <v>5.0</v>
      </c>
      <c r="J3218" s="6" t="s">
        <v>161</v>
      </c>
    </row>
    <row r="3219" ht="22.5" customHeight="1">
      <c r="A3219" s="6" t="s">
        <v>15424</v>
      </c>
      <c r="B3219" s="6" t="s">
        <v>7683</v>
      </c>
      <c r="C3219" s="10">
        <v>46055.0</v>
      </c>
      <c r="D3219" s="6" t="s">
        <v>416</v>
      </c>
      <c r="E3219" s="6" t="s">
        <v>885</v>
      </c>
      <c r="F3219" s="6" t="s">
        <v>249</v>
      </c>
      <c r="G3219" s="6" t="s">
        <v>494</v>
      </c>
      <c r="H3219" s="10">
        <v>46059.0</v>
      </c>
      <c r="I3219" s="12">
        <v>13.0</v>
      </c>
      <c r="J3219" s="6" t="s">
        <v>161</v>
      </c>
    </row>
    <row r="3220" ht="22.5" customHeight="1">
      <c r="A3220" s="6" t="s">
        <v>15428</v>
      </c>
      <c r="B3220" s="6" t="s">
        <v>7683</v>
      </c>
      <c r="C3220" s="10">
        <v>46055.0</v>
      </c>
      <c r="D3220" s="6" t="s">
        <v>416</v>
      </c>
      <c r="E3220" s="6" t="s">
        <v>1386</v>
      </c>
      <c r="F3220" s="6" t="s">
        <v>283</v>
      </c>
      <c r="G3220" s="6" t="s">
        <v>494</v>
      </c>
      <c r="H3220" s="10">
        <v>46058.0</v>
      </c>
      <c r="I3220" s="12">
        <v>10.0</v>
      </c>
      <c r="J3220" s="6" t="s">
        <v>161</v>
      </c>
    </row>
    <row r="3221" ht="22.5" customHeight="1">
      <c r="A3221" s="6" t="s">
        <v>15432</v>
      </c>
      <c r="B3221" s="6" t="s">
        <v>7688</v>
      </c>
      <c r="C3221" s="10">
        <v>46088.0</v>
      </c>
      <c r="D3221" s="6" t="s">
        <v>436</v>
      </c>
      <c r="E3221" s="6" t="s">
        <v>634</v>
      </c>
      <c r="F3221" s="6" t="s">
        <v>439</v>
      </c>
      <c r="G3221" s="6" t="s">
        <v>297</v>
      </c>
      <c r="H3221" s="10">
        <v>46092.0</v>
      </c>
      <c r="I3221" s="12">
        <v>7.0</v>
      </c>
      <c r="J3221" s="6" t="s">
        <v>161</v>
      </c>
    </row>
    <row r="3222" ht="22.5" customHeight="1">
      <c r="A3222" s="6" t="s">
        <v>15435</v>
      </c>
      <c r="B3222" s="6" t="s">
        <v>7694</v>
      </c>
      <c r="C3222" s="10">
        <v>46061.0</v>
      </c>
      <c r="D3222" s="6" t="s">
        <v>677</v>
      </c>
      <c r="E3222" s="6" t="s">
        <v>394</v>
      </c>
      <c r="F3222" s="6" t="s">
        <v>249</v>
      </c>
      <c r="G3222" s="6" t="s">
        <v>452</v>
      </c>
      <c r="H3222" s="10">
        <v>46067.0</v>
      </c>
      <c r="I3222" s="12">
        <v>2.0</v>
      </c>
      <c r="J3222" s="6" t="s">
        <v>161</v>
      </c>
    </row>
    <row r="3223" ht="22.5" customHeight="1">
      <c r="A3223" s="6" t="s">
        <v>15439</v>
      </c>
      <c r="B3223" s="6" t="s">
        <v>7701</v>
      </c>
      <c r="C3223" s="10">
        <v>46072.0</v>
      </c>
      <c r="D3223" s="6" t="s">
        <v>391</v>
      </c>
      <c r="E3223" s="6" t="s">
        <v>1055</v>
      </c>
      <c r="F3223" s="6" t="s">
        <v>112</v>
      </c>
      <c r="G3223" s="6" t="s">
        <v>458</v>
      </c>
      <c r="H3223" s="10">
        <v>46073.0</v>
      </c>
      <c r="I3223" s="12">
        <v>6.0</v>
      </c>
      <c r="J3223" s="6" t="s">
        <v>161</v>
      </c>
    </row>
    <row r="3224" ht="22.5" customHeight="1">
      <c r="A3224" s="6" t="s">
        <v>15445</v>
      </c>
      <c r="B3224" s="6" t="s">
        <v>7701</v>
      </c>
      <c r="C3224" s="10">
        <v>46073.0</v>
      </c>
      <c r="D3224" s="6" t="s">
        <v>242</v>
      </c>
      <c r="E3224" s="6" t="s">
        <v>2365</v>
      </c>
      <c r="F3224" s="6" t="s">
        <v>249</v>
      </c>
      <c r="G3224" s="6" t="s">
        <v>254</v>
      </c>
      <c r="H3224" s="10">
        <v>46079.0</v>
      </c>
      <c r="I3224" s="12">
        <v>6.0</v>
      </c>
      <c r="J3224" s="6" t="s">
        <v>178</v>
      </c>
    </row>
    <row r="3225" ht="22.5" customHeight="1">
      <c r="A3225" s="6" t="s">
        <v>15447</v>
      </c>
      <c r="B3225" s="6" t="s">
        <v>7701</v>
      </c>
      <c r="C3225" s="10">
        <v>46074.0</v>
      </c>
      <c r="D3225" s="6" t="s">
        <v>391</v>
      </c>
      <c r="E3225" s="6" t="s">
        <v>1102</v>
      </c>
      <c r="F3225" s="6" t="s">
        <v>112</v>
      </c>
      <c r="G3225" s="6" t="s">
        <v>326</v>
      </c>
      <c r="H3225" s="10">
        <v>46081.0</v>
      </c>
      <c r="I3225" s="12">
        <v>10.0</v>
      </c>
      <c r="J3225" s="6" t="s">
        <v>161</v>
      </c>
    </row>
    <row r="3226" ht="22.5" customHeight="1">
      <c r="A3226" s="6" t="s">
        <v>15452</v>
      </c>
      <c r="B3226" s="6" t="s">
        <v>7707</v>
      </c>
      <c r="C3226" s="10">
        <v>46072.0</v>
      </c>
      <c r="D3226" s="6" t="s">
        <v>416</v>
      </c>
      <c r="E3226" s="6" t="s">
        <v>787</v>
      </c>
      <c r="F3226" s="6" t="s">
        <v>249</v>
      </c>
      <c r="G3226" s="6" t="s">
        <v>452</v>
      </c>
      <c r="H3226" s="10">
        <v>46075.0</v>
      </c>
      <c r="I3226" s="12">
        <v>10.0</v>
      </c>
      <c r="J3226" s="6" t="s">
        <v>161</v>
      </c>
    </row>
    <row r="3227" ht="22.5" customHeight="1">
      <c r="A3227" s="6" t="s">
        <v>15453</v>
      </c>
      <c r="B3227" s="6" t="s">
        <v>7707</v>
      </c>
      <c r="C3227" s="10">
        <v>46063.0</v>
      </c>
      <c r="D3227" s="6" t="s">
        <v>677</v>
      </c>
      <c r="E3227" s="6" t="s">
        <v>1102</v>
      </c>
      <c r="F3227" s="6" t="s">
        <v>439</v>
      </c>
      <c r="G3227" s="6" t="s">
        <v>369</v>
      </c>
      <c r="H3227" s="10">
        <v>46067.0</v>
      </c>
      <c r="I3227" s="12">
        <v>4.0</v>
      </c>
      <c r="J3227" s="6" t="s">
        <v>161</v>
      </c>
    </row>
    <row r="3228" ht="22.5" customHeight="1">
      <c r="A3228" s="6" t="s">
        <v>15456</v>
      </c>
      <c r="B3228" s="6" t="s">
        <v>7707</v>
      </c>
      <c r="C3228" s="10">
        <v>46080.0</v>
      </c>
      <c r="D3228" s="6" t="s">
        <v>436</v>
      </c>
      <c r="E3228" s="6" t="s">
        <v>1546</v>
      </c>
      <c r="F3228" s="6" t="s">
        <v>112</v>
      </c>
      <c r="G3228" s="6" t="s">
        <v>369</v>
      </c>
      <c r="H3228" s="10">
        <v>46086.0</v>
      </c>
      <c r="I3228" s="12">
        <v>11.0</v>
      </c>
      <c r="J3228" s="6" t="s">
        <v>178</v>
      </c>
    </row>
    <row r="3229" ht="22.5" customHeight="1">
      <c r="A3229" s="6" t="s">
        <v>15460</v>
      </c>
      <c r="B3229" s="6" t="s">
        <v>7714</v>
      </c>
      <c r="C3229" s="10">
        <v>46059.0</v>
      </c>
      <c r="D3229" s="6" t="s">
        <v>436</v>
      </c>
      <c r="E3229" s="6" t="s">
        <v>1570</v>
      </c>
      <c r="F3229" s="6" t="s">
        <v>112</v>
      </c>
      <c r="G3229" s="6" t="s">
        <v>297</v>
      </c>
      <c r="H3229" s="10">
        <v>46062.0</v>
      </c>
      <c r="I3229" s="12">
        <v>8.0</v>
      </c>
      <c r="J3229" s="6" t="s">
        <v>178</v>
      </c>
    </row>
    <row r="3230" ht="22.5" customHeight="1">
      <c r="A3230" s="6" t="s">
        <v>15462</v>
      </c>
      <c r="B3230" s="6" t="s">
        <v>7720</v>
      </c>
      <c r="C3230" s="10">
        <v>46078.0</v>
      </c>
      <c r="D3230" s="6" t="s">
        <v>391</v>
      </c>
      <c r="E3230" s="6" t="s">
        <v>1241</v>
      </c>
      <c r="F3230" s="6" t="s">
        <v>283</v>
      </c>
      <c r="G3230" s="6" t="s">
        <v>297</v>
      </c>
      <c r="H3230" s="10">
        <v>46082.0</v>
      </c>
      <c r="I3230" s="12">
        <v>11.0</v>
      </c>
      <c r="J3230" s="6" t="s">
        <v>161</v>
      </c>
    </row>
    <row r="3231" ht="22.5" customHeight="1">
      <c r="A3231" s="6" t="s">
        <v>15465</v>
      </c>
      <c r="B3231" s="6" t="s">
        <v>7720</v>
      </c>
      <c r="C3231" s="10">
        <v>46071.0</v>
      </c>
      <c r="D3231" s="6" t="s">
        <v>289</v>
      </c>
      <c r="E3231" s="6" t="s">
        <v>658</v>
      </c>
      <c r="F3231" s="6" t="s">
        <v>439</v>
      </c>
      <c r="G3231" s="6" t="s">
        <v>326</v>
      </c>
      <c r="H3231" s="10">
        <v>46071.0</v>
      </c>
      <c r="I3231" s="12">
        <v>8.0</v>
      </c>
      <c r="J3231" s="6" t="s">
        <v>161</v>
      </c>
    </row>
    <row r="3232" ht="22.5" customHeight="1">
      <c r="A3232" s="6" t="s">
        <v>15468</v>
      </c>
      <c r="B3232" s="6" t="s">
        <v>7726</v>
      </c>
      <c r="C3232" s="10">
        <v>46034.0</v>
      </c>
      <c r="D3232" s="6" t="s">
        <v>312</v>
      </c>
      <c r="E3232" s="6" t="s">
        <v>566</v>
      </c>
      <c r="F3232" s="6" t="s">
        <v>112</v>
      </c>
      <c r="G3232" s="6" t="s">
        <v>254</v>
      </c>
      <c r="H3232" s="10">
        <v>46038.0</v>
      </c>
      <c r="I3232" s="12">
        <v>4.0</v>
      </c>
      <c r="J3232" s="6" t="s">
        <v>161</v>
      </c>
    </row>
    <row r="3233" ht="22.5" customHeight="1">
      <c r="A3233" s="6" t="s">
        <v>15470</v>
      </c>
      <c r="B3233" s="6" t="s">
        <v>7726</v>
      </c>
      <c r="C3233" s="10">
        <v>46042.0</v>
      </c>
      <c r="D3233" s="6" t="s">
        <v>436</v>
      </c>
      <c r="E3233" s="6" t="s">
        <v>775</v>
      </c>
      <c r="F3233" s="6" t="s">
        <v>439</v>
      </c>
      <c r="G3233" s="6" t="s">
        <v>452</v>
      </c>
      <c r="H3233" s="10">
        <v>46049.0</v>
      </c>
      <c r="I3233" s="12">
        <v>11.0</v>
      </c>
      <c r="J3233" s="6" t="s">
        <v>178</v>
      </c>
    </row>
    <row r="3234" ht="22.5" customHeight="1">
      <c r="A3234" s="6" t="s">
        <v>15474</v>
      </c>
      <c r="B3234" s="6" t="s">
        <v>7732</v>
      </c>
      <c r="C3234" s="10">
        <v>46070.0</v>
      </c>
      <c r="D3234" s="6" t="s">
        <v>242</v>
      </c>
      <c r="E3234" s="6" t="s">
        <v>438</v>
      </c>
      <c r="F3234" s="6" t="s">
        <v>249</v>
      </c>
      <c r="G3234" s="6" t="s">
        <v>326</v>
      </c>
      <c r="H3234" s="10">
        <v>46073.0</v>
      </c>
      <c r="I3234" s="12">
        <v>3.0</v>
      </c>
      <c r="J3234" s="6" t="s">
        <v>178</v>
      </c>
    </row>
    <row r="3235" ht="22.5" customHeight="1">
      <c r="A3235" s="6" t="s">
        <v>15477</v>
      </c>
      <c r="B3235" s="6" t="s">
        <v>7732</v>
      </c>
      <c r="C3235" s="10">
        <v>46056.0</v>
      </c>
      <c r="D3235" s="6" t="s">
        <v>416</v>
      </c>
      <c r="E3235" s="6" t="s">
        <v>417</v>
      </c>
      <c r="F3235" s="6" t="s">
        <v>283</v>
      </c>
      <c r="G3235" s="6" t="s">
        <v>254</v>
      </c>
      <c r="H3235" s="10">
        <v>46063.0</v>
      </c>
      <c r="I3235" s="12">
        <v>14.0</v>
      </c>
      <c r="J3235" s="6" t="s">
        <v>161</v>
      </c>
    </row>
    <row r="3236" ht="22.5" customHeight="1">
      <c r="A3236" s="6" t="s">
        <v>15482</v>
      </c>
      <c r="B3236" s="6" t="s">
        <v>7732</v>
      </c>
      <c r="C3236" s="10">
        <v>46073.0</v>
      </c>
      <c r="D3236" s="6" t="s">
        <v>289</v>
      </c>
      <c r="E3236" s="6" t="s">
        <v>1546</v>
      </c>
      <c r="F3236" s="6" t="s">
        <v>283</v>
      </c>
      <c r="G3236" s="6" t="s">
        <v>297</v>
      </c>
      <c r="H3236" s="10">
        <v>46079.0</v>
      </c>
      <c r="I3236" s="12">
        <v>9.0</v>
      </c>
      <c r="J3236" s="6" t="s">
        <v>161</v>
      </c>
    </row>
    <row r="3237" ht="22.5" customHeight="1">
      <c r="A3237" s="6" t="s">
        <v>15487</v>
      </c>
      <c r="B3237" s="6" t="s">
        <v>7732</v>
      </c>
      <c r="C3237" s="10">
        <v>46075.0</v>
      </c>
      <c r="D3237" s="6" t="s">
        <v>312</v>
      </c>
      <c r="E3237" s="6" t="s">
        <v>812</v>
      </c>
      <c r="F3237" s="6" t="s">
        <v>439</v>
      </c>
      <c r="G3237" s="6" t="s">
        <v>452</v>
      </c>
      <c r="H3237" s="10">
        <v>46082.0</v>
      </c>
      <c r="I3237" s="12">
        <v>6.0</v>
      </c>
      <c r="J3237" s="6" t="s">
        <v>161</v>
      </c>
    </row>
    <row r="3238" ht="22.5" customHeight="1">
      <c r="A3238" s="6" t="s">
        <v>15490</v>
      </c>
      <c r="B3238" s="6" t="s">
        <v>7732</v>
      </c>
      <c r="C3238" s="10">
        <v>46063.0</v>
      </c>
      <c r="D3238" s="6" t="s">
        <v>416</v>
      </c>
      <c r="E3238" s="6" t="s">
        <v>1273</v>
      </c>
      <c r="F3238" s="6" t="s">
        <v>249</v>
      </c>
      <c r="G3238" s="6" t="s">
        <v>452</v>
      </c>
      <c r="H3238" s="10">
        <v>46063.0</v>
      </c>
      <c r="I3238" s="12">
        <v>12.0</v>
      </c>
      <c r="J3238" s="6" t="s">
        <v>161</v>
      </c>
    </row>
    <row r="3239" ht="22.5" customHeight="1">
      <c r="A3239" s="6" t="s">
        <v>15494</v>
      </c>
      <c r="B3239" s="6" t="s">
        <v>7738</v>
      </c>
      <c r="C3239" s="10">
        <v>46047.0</v>
      </c>
      <c r="D3239" s="6" t="s">
        <v>677</v>
      </c>
      <c r="E3239" s="6" t="s">
        <v>1102</v>
      </c>
      <c r="F3239" s="6" t="s">
        <v>112</v>
      </c>
      <c r="G3239" s="6" t="s">
        <v>297</v>
      </c>
      <c r="H3239" s="10">
        <v>46053.0</v>
      </c>
      <c r="I3239" s="12">
        <v>3.0</v>
      </c>
      <c r="J3239" s="6" t="s">
        <v>161</v>
      </c>
    </row>
    <row r="3240" ht="22.5" customHeight="1">
      <c r="A3240" s="6" t="s">
        <v>15497</v>
      </c>
      <c r="B3240" s="6" t="s">
        <v>7738</v>
      </c>
      <c r="C3240" s="10">
        <v>46039.0</v>
      </c>
      <c r="D3240" s="6" t="s">
        <v>289</v>
      </c>
      <c r="E3240" s="6" t="s">
        <v>320</v>
      </c>
      <c r="F3240" s="6" t="s">
        <v>249</v>
      </c>
      <c r="G3240" s="6" t="s">
        <v>477</v>
      </c>
      <c r="H3240" s="10">
        <v>46039.0</v>
      </c>
      <c r="I3240" s="12">
        <v>10.0</v>
      </c>
      <c r="J3240" s="6" t="s">
        <v>161</v>
      </c>
    </row>
    <row r="3241" ht="22.5" customHeight="1">
      <c r="A3241" s="6" t="s">
        <v>15501</v>
      </c>
      <c r="B3241" s="6" t="s">
        <v>7738</v>
      </c>
      <c r="C3241" s="10">
        <v>46048.0</v>
      </c>
      <c r="D3241" s="6" t="s">
        <v>677</v>
      </c>
      <c r="E3241" s="6" t="s">
        <v>1070</v>
      </c>
      <c r="F3241" s="6" t="s">
        <v>439</v>
      </c>
      <c r="G3241" s="6" t="s">
        <v>477</v>
      </c>
      <c r="H3241" s="10">
        <v>46054.0</v>
      </c>
      <c r="I3241" s="12">
        <v>4.0</v>
      </c>
      <c r="J3241" s="6" t="s">
        <v>161</v>
      </c>
    </row>
    <row r="3242" ht="22.5" customHeight="1">
      <c r="A3242" s="6" t="s">
        <v>15505</v>
      </c>
      <c r="B3242" s="6" t="s">
        <v>7744</v>
      </c>
      <c r="C3242" s="10">
        <v>46074.0</v>
      </c>
      <c r="D3242" s="6" t="s">
        <v>391</v>
      </c>
      <c r="E3242" s="6" t="s">
        <v>1035</v>
      </c>
      <c r="F3242" s="6" t="s">
        <v>283</v>
      </c>
      <c r="G3242" s="6" t="s">
        <v>369</v>
      </c>
      <c r="H3242" s="10">
        <v>46079.0</v>
      </c>
      <c r="I3242" s="12">
        <v>11.0</v>
      </c>
      <c r="J3242" s="6" t="s">
        <v>161</v>
      </c>
    </row>
    <row r="3243" ht="22.5" customHeight="1">
      <c r="A3243" s="6" t="s">
        <v>15510</v>
      </c>
      <c r="B3243" s="6" t="s">
        <v>7744</v>
      </c>
      <c r="C3243" s="10">
        <v>46083.0</v>
      </c>
      <c r="D3243" s="6" t="s">
        <v>391</v>
      </c>
      <c r="E3243" s="6" t="s">
        <v>1546</v>
      </c>
      <c r="F3243" s="6" t="s">
        <v>439</v>
      </c>
      <c r="G3243" s="6" t="s">
        <v>369</v>
      </c>
      <c r="H3243" s="10">
        <v>46086.0</v>
      </c>
      <c r="I3243" s="12">
        <v>9.0</v>
      </c>
      <c r="J3243" s="6" t="s">
        <v>161</v>
      </c>
    </row>
    <row r="3244" ht="22.5" customHeight="1">
      <c r="A3244" s="6" t="s">
        <v>15514</v>
      </c>
      <c r="B3244" s="6" t="s">
        <v>7744</v>
      </c>
      <c r="C3244" s="10">
        <v>46070.0</v>
      </c>
      <c r="D3244" s="6" t="s">
        <v>312</v>
      </c>
      <c r="E3244" s="6" t="s">
        <v>438</v>
      </c>
      <c r="F3244" s="6" t="s">
        <v>439</v>
      </c>
      <c r="G3244" s="6" t="s">
        <v>326</v>
      </c>
      <c r="H3244" s="10">
        <v>46074.0</v>
      </c>
      <c r="I3244" s="12">
        <v>4.0</v>
      </c>
      <c r="J3244" s="6" t="s">
        <v>161</v>
      </c>
    </row>
    <row r="3245" ht="22.5" customHeight="1">
      <c r="A3245" s="6" t="s">
        <v>15518</v>
      </c>
      <c r="B3245" s="6" t="s">
        <v>7744</v>
      </c>
      <c r="C3245" s="10">
        <v>46077.0</v>
      </c>
      <c r="D3245" s="6" t="s">
        <v>312</v>
      </c>
      <c r="E3245" s="6" t="s">
        <v>1700</v>
      </c>
      <c r="F3245" s="6" t="s">
        <v>283</v>
      </c>
      <c r="G3245" s="6" t="s">
        <v>326</v>
      </c>
      <c r="H3245" s="10">
        <v>46077.0</v>
      </c>
      <c r="I3245" s="12">
        <v>6.0</v>
      </c>
      <c r="J3245" s="6" t="s">
        <v>161</v>
      </c>
    </row>
    <row r="3246" ht="22.5" customHeight="1">
      <c r="A3246" s="6" t="s">
        <v>15521</v>
      </c>
      <c r="B3246" s="6" t="s">
        <v>7744</v>
      </c>
      <c r="C3246" s="10">
        <v>46082.0</v>
      </c>
      <c r="D3246" s="6" t="s">
        <v>436</v>
      </c>
      <c r="E3246" s="6" t="s">
        <v>1241</v>
      </c>
      <c r="F3246" s="6" t="s">
        <v>283</v>
      </c>
      <c r="G3246" s="6" t="s">
        <v>477</v>
      </c>
      <c r="H3246" s="10">
        <v>46088.0</v>
      </c>
      <c r="I3246" s="12">
        <v>11.0</v>
      </c>
      <c r="J3246" s="6" t="s">
        <v>178</v>
      </c>
    </row>
    <row r="3247" ht="22.5" customHeight="1">
      <c r="A3247" s="6" t="s">
        <v>15527</v>
      </c>
      <c r="B3247" s="6" t="s">
        <v>7750</v>
      </c>
      <c r="C3247" s="10">
        <v>46064.0</v>
      </c>
      <c r="D3247" s="6" t="s">
        <v>242</v>
      </c>
      <c r="E3247" s="6" t="s">
        <v>450</v>
      </c>
      <c r="F3247" s="6" t="s">
        <v>112</v>
      </c>
      <c r="G3247" s="6" t="s">
        <v>494</v>
      </c>
      <c r="H3247" s="10">
        <v>46066.0</v>
      </c>
      <c r="I3247" s="12">
        <v>4.0</v>
      </c>
      <c r="J3247" s="6" t="s">
        <v>178</v>
      </c>
    </row>
    <row r="3248" ht="22.5" customHeight="1">
      <c r="A3248" s="6" t="s">
        <v>15531</v>
      </c>
      <c r="B3248" s="6" t="s">
        <v>7750</v>
      </c>
      <c r="C3248" s="10">
        <v>46072.0</v>
      </c>
      <c r="D3248" s="6" t="s">
        <v>416</v>
      </c>
      <c r="E3248" s="6" t="s">
        <v>610</v>
      </c>
      <c r="F3248" s="6" t="s">
        <v>112</v>
      </c>
      <c r="G3248" s="6" t="s">
        <v>477</v>
      </c>
      <c r="H3248" s="11" t="s">
        <v>259</v>
      </c>
      <c r="I3248" s="12">
        <v>12.0</v>
      </c>
      <c r="J3248" s="6" t="s">
        <v>161</v>
      </c>
    </row>
    <row r="3249" ht="22.5" customHeight="1">
      <c r="A3249" s="6" t="s">
        <v>15535</v>
      </c>
      <c r="B3249" s="6" t="s">
        <v>7750</v>
      </c>
      <c r="C3249" s="10">
        <v>46078.0</v>
      </c>
      <c r="D3249" s="6" t="s">
        <v>391</v>
      </c>
      <c r="E3249" s="6" t="s">
        <v>1055</v>
      </c>
      <c r="F3249" s="6" t="s">
        <v>249</v>
      </c>
      <c r="G3249" s="6" t="s">
        <v>452</v>
      </c>
      <c r="H3249" s="10">
        <v>46084.0</v>
      </c>
      <c r="I3249" s="12">
        <v>7.0</v>
      </c>
      <c r="J3249" s="6" t="s">
        <v>161</v>
      </c>
    </row>
    <row r="3250" ht="22.5" customHeight="1">
      <c r="A3250" s="6" t="s">
        <v>15537</v>
      </c>
      <c r="B3250" s="6" t="s">
        <v>7750</v>
      </c>
      <c r="C3250" s="10">
        <v>46073.0</v>
      </c>
      <c r="D3250" s="6" t="s">
        <v>312</v>
      </c>
      <c r="E3250" s="6" t="s">
        <v>1241</v>
      </c>
      <c r="F3250" s="6" t="s">
        <v>439</v>
      </c>
      <c r="G3250" s="6" t="s">
        <v>326</v>
      </c>
      <c r="H3250" s="10">
        <v>46080.0</v>
      </c>
      <c r="I3250" s="12">
        <v>7.0</v>
      </c>
      <c r="J3250" s="6" t="s">
        <v>161</v>
      </c>
    </row>
    <row r="3251" ht="22.5" customHeight="1">
      <c r="A3251" s="6" t="s">
        <v>15540</v>
      </c>
      <c r="B3251" s="6" t="s">
        <v>7750</v>
      </c>
      <c r="C3251" s="10">
        <v>46066.0</v>
      </c>
      <c r="D3251" s="6" t="s">
        <v>677</v>
      </c>
      <c r="E3251" s="6" t="s">
        <v>833</v>
      </c>
      <c r="F3251" s="6" t="s">
        <v>439</v>
      </c>
      <c r="G3251" s="6" t="s">
        <v>297</v>
      </c>
      <c r="H3251" s="10">
        <v>46066.0</v>
      </c>
      <c r="I3251" s="12">
        <v>4.0</v>
      </c>
      <c r="J3251" s="6" t="s">
        <v>161</v>
      </c>
    </row>
    <row r="3252" ht="22.5" customHeight="1">
      <c r="A3252" s="6" t="s">
        <v>15544</v>
      </c>
      <c r="B3252" s="6" t="s">
        <v>7757</v>
      </c>
      <c r="C3252" s="10">
        <v>46065.0</v>
      </c>
      <c r="D3252" s="6" t="s">
        <v>436</v>
      </c>
      <c r="E3252" s="6" t="s">
        <v>833</v>
      </c>
      <c r="F3252" s="6" t="s">
        <v>283</v>
      </c>
      <c r="G3252" s="6" t="s">
        <v>494</v>
      </c>
      <c r="H3252" s="10">
        <v>46071.0</v>
      </c>
      <c r="I3252" s="12">
        <v>11.0</v>
      </c>
      <c r="J3252" s="6" t="s">
        <v>178</v>
      </c>
    </row>
    <row r="3253" ht="22.5" customHeight="1">
      <c r="A3253" s="6" t="s">
        <v>15545</v>
      </c>
      <c r="B3253" s="6" t="s">
        <v>7757</v>
      </c>
      <c r="C3253" s="10">
        <v>46065.0</v>
      </c>
      <c r="D3253" s="6" t="s">
        <v>436</v>
      </c>
      <c r="E3253" s="6" t="s">
        <v>2365</v>
      </c>
      <c r="F3253" s="6" t="s">
        <v>112</v>
      </c>
      <c r="G3253" s="6" t="s">
        <v>369</v>
      </c>
      <c r="H3253" s="10">
        <v>46068.0</v>
      </c>
      <c r="I3253" s="12">
        <v>11.0</v>
      </c>
      <c r="J3253" s="6" t="s">
        <v>178</v>
      </c>
    </row>
    <row r="3254" ht="22.5" customHeight="1">
      <c r="A3254" s="6" t="s">
        <v>15548</v>
      </c>
      <c r="B3254" s="6" t="s">
        <v>7764</v>
      </c>
      <c r="C3254" s="10">
        <v>46077.0</v>
      </c>
      <c r="D3254" s="6" t="s">
        <v>242</v>
      </c>
      <c r="E3254" s="6" t="s">
        <v>634</v>
      </c>
      <c r="F3254" s="6" t="s">
        <v>439</v>
      </c>
      <c r="G3254" s="6" t="s">
        <v>494</v>
      </c>
      <c r="H3254" s="11" t="s">
        <v>259</v>
      </c>
      <c r="I3254" s="12">
        <v>3.0</v>
      </c>
      <c r="J3254" s="6" t="s">
        <v>178</v>
      </c>
    </row>
    <row r="3255" ht="22.5" customHeight="1">
      <c r="A3255" s="6" t="s">
        <v>15552</v>
      </c>
      <c r="B3255" s="6" t="s">
        <v>7770</v>
      </c>
      <c r="C3255" s="10">
        <v>46063.0</v>
      </c>
      <c r="D3255" s="6" t="s">
        <v>416</v>
      </c>
      <c r="E3255" s="6" t="s">
        <v>438</v>
      </c>
      <c r="F3255" s="6" t="s">
        <v>283</v>
      </c>
      <c r="G3255" s="6" t="s">
        <v>458</v>
      </c>
      <c r="H3255" s="10">
        <v>46063.0</v>
      </c>
      <c r="I3255" s="12">
        <v>13.0</v>
      </c>
      <c r="J3255" s="6" t="s">
        <v>161</v>
      </c>
    </row>
    <row r="3256" ht="22.5" customHeight="1">
      <c r="A3256" s="6" t="s">
        <v>15553</v>
      </c>
      <c r="B3256" s="6" t="s">
        <v>7777</v>
      </c>
      <c r="C3256" s="10">
        <v>46046.0</v>
      </c>
      <c r="D3256" s="6" t="s">
        <v>677</v>
      </c>
      <c r="E3256" s="6" t="s">
        <v>438</v>
      </c>
      <c r="F3256" s="6" t="s">
        <v>439</v>
      </c>
      <c r="G3256" s="6" t="s">
        <v>452</v>
      </c>
      <c r="H3256" s="10">
        <v>46048.0</v>
      </c>
      <c r="I3256" s="12">
        <v>3.0</v>
      </c>
      <c r="J3256" s="6" t="s">
        <v>161</v>
      </c>
    </row>
    <row r="3257" ht="22.5" customHeight="1">
      <c r="A3257" s="6" t="s">
        <v>15557</v>
      </c>
      <c r="B3257" s="6" t="s">
        <v>7783</v>
      </c>
      <c r="C3257" s="10">
        <v>46066.0</v>
      </c>
      <c r="D3257" s="6" t="s">
        <v>677</v>
      </c>
      <c r="E3257" s="6" t="s">
        <v>1720</v>
      </c>
      <c r="F3257" s="6" t="s">
        <v>112</v>
      </c>
      <c r="G3257" s="6" t="s">
        <v>326</v>
      </c>
      <c r="H3257" s="10">
        <v>46070.0</v>
      </c>
      <c r="I3257" s="12">
        <v>3.0</v>
      </c>
      <c r="J3257" s="6" t="s">
        <v>161</v>
      </c>
    </row>
    <row r="3258" ht="22.5" customHeight="1">
      <c r="A3258" s="6" t="s">
        <v>15560</v>
      </c>
      <c r="B3258" s="6" t="s">
        <v>7783</v>
      </c>
      <c r="C3258" s="10">
        <v>46057.0</v>
      </c>
      <c r="D3258" s="6" t="s">
        <v>289</v>
      </c>
      <c r="E3258" s="6" t="s">
        <v>1310</v>
      </c>
      <c r="F3258" s="6" t="s">
        <v>112</v>
      </c>
      <c r="G3258" s="6" t="s">
        <v>494</v>
      </c>
      <c r="H3258" s="10">
        <v>46060.0</v>
      </c>
      <c r="I3258" s="12">
        <v>10.0</v>
      </c>
      <c r="J3258" s="6" t="s">
        <v>161</v>
      </c>
    </row>
    <row r="3259" ht="22.5" customHeight="1">
      <c r="A3259" s="6" t="s">
        <v>15563</v>
      </c>
      <c r="B3259" s="6" t="s">
        <v>7783</v>
      </c>
      <c r="C3259" s="10">
        <v>46069.0</v>
      </c>
      <c r="D3259" s="6" t="s">
        <v>289</v>
      </c>
      <c r="E3259" s="6" t="s">
        <v>704</v>
      </c>
      <c r="F3259" s="6" t="s">
        <v>112</v>
      </c>
      <c r="G3259" s="6" t="s">
        <v>326</v>
      </c>
      <c r="H3259" s="10">
        <v>46072.0</v>
      </c>
      <c r="I3259" s="12">
        <v>10.0</v>
      </c>
      <c r="J3259" s="6" t="s">
        <v>161</v>
      </c>
    </row>
    <row r="3260" ht="22.5" customHeight="1">
      <c r="A3260" s="6" t="s">
        <v>15567</v>
      </c>
      <c r="B3260" s="6" t="s">
        <v>7783</v>
      </c>
      <c r="C3260" s="10">
        <v>46066.0</v>
      </c>
      <c r="D3260" s="6" t="s">
        <v>312</v>
      </c>
      <c r="E3260" s="6" t="s">
        <v>512</v>
      </c>
      <c r="F3260" s="6" t="s">
        <v>283</v>
      </c>
      <c r="G3260" s="6" t="s">
        <v>477</v>
      </c>
      <c r="H3260" s="10">
        <v>46067.0</v>
      </c>
      <c r="I3260" s="12">
        <v>4.0</v>
      </c>
      <c r="J3260" s="6" t="s">
        <v>161</v>
      </c>
    </row>
    <row r="3261" ht="22.5" customHeight="1">
      <c r="A3261" s="6" t="s">
        <v>15570</v>
      </c>
      <c r="B3261" s="6" t="s">
        <v>7790</v>
      </c>
      <c r="C3261" s="10">
        <v>46079.0</v>
      </c>
      <c r="D3261" s="6" t="s">
        <v>677</v>
      </c>
      <c r="E3261" s="6" t="s">
        <v>798</v>
      </c>
      <c r="F3261" s="6" t="s">
        <v>112</v>
      </c>
      <c r="G3261" s="6" t="s">
        <v>494</v>
      </c>
      <c r="H3261" s="10">
        <v>46085.0</v>
      </c>
      <c r="I3261" s="12">
        <v>2.0</v>
      </c>
      <c r="J3261" s="6" t="s">
        <v>161</v>
      </c>
    </row>
    <row r="3262" ht="22.5" customHeight="1">
      <c r="A3262" s="6" t="s">
        <v>15574</v>
      </c>
      <c r="B3262" s="6" t="s">
        <v>7790</v>
      </c>
      <c r="C3262" s="10">
        <v>46074.0</v>
      </c>
      <c r="D3262" s="6" t="s">
        <v>289</v>
      </c>
      <c r="E3262" s="6" t="s">
        <v>704</v>
      </c>
      <c r="F3262" s="6" t="s">
        <v>283</v>
      </c>
      <c r="G3262" s="6" t="s">
        <v>494</v>
      </c>
      <c r="H3262" s="11" t="s">
        <v>259</v>
      </c>
      <c r="I3262" s="12">
        <v>8.0</v>
      </c>
      <c r="J3262" s="6" t="s">
        <v>161</v>
      </c>
    </row>
    <row r="3263" ht="22.5" customHeight="1">
      <c r="A3263" s="6" t="s">
        <v>15575</v>
      </c>
      <c r="B3263" s="6" t="s">
        <v>7790</v>
      </c>
      <c r="C3263" s="10">
        <v>46070.0</v>
      </c>
      <c r="D3263" s="6" t="s">
        <v>416</v>
      </c>
      <c r="E3263" s="6" t="s">
        <v>1386</v>
      </c>
      <c r="F3263" s="6" t="s">
        <v>439</v>
      </c>
      <c r="G3263" s="6" t="s">
        <v>494</v>
      </c>
      <c r="H3263" s="10">
        <v>46075.0</v>
      </c>
      <c r="I3263" s="12">
        <v>10.0</v>
      </c>
      <c r="J3263" s="6" t="s">
        <v>161</v>
      </c>
    </row>
    <row r="3264" ht="22.5" customHeight="1">
      <c r="A3264" s="6" t="s">
        <v>15577</v>
      </c>
      <c r="B3264" s="6" t="s">
        <v>7790</v>
      </c>
      <c r="C3264" s="10">
        <v>46067.0</v>
      </c>
      <c r="D3264" s="6" t="s">
        <v>416</v>
      </c>
      <c r="E3264" s="6" t="s">
        <v>394</v>
      </c>
      <c r="F3264" s="6" t="s">
        <v>249</v>
      </c>
      <c r="G3264" s="6" t="s">
        <v>452</v>
      </c>
      <c r="H3264" s="10">
        <v>46072.0</v>
      </c>
      <c r="I3264" s="12">
        <v>11.0</v>
      </c>
      <c r="J3264" s="6" t="s">
        <v>161</v>
      </c>
    </row>
    <row r="3265" ht="22.5" customHeight="1">
      <c r="A3265" s="6" t="s">
        <v>15580</v>
      </c>
      <c r="B3265" s="6" t="s">
        <v>7796</v>
      </c>
      <c r="C3265" s="10">
        <v>46075.0</v>
      </c>
      <c r="D3265" s="6" t="s">
        <v>289</v>
      </c>
      <c r="E3265" s="6" t="s">
        <v>775</v>
      </c>
      <c r="F3265" s="6" t="s">
        <v>283</v>
      </c>
      <c r="G3265" s="6" t="s">
        <v>326</v>
      </c>
      <c r="H3265" s="10">
        <v>46078.0</v>
      </c>
      <c r="I3265" s="12">
        <v>8.0</v>
      </c>
      <c r="J3265" s="6" t="s">
        <v>161</v>
      </c>
    </row>
    <row r="3266" ht="22.5" customHeight="1">
      <c r="A3266" s="6" t="s">
        <v>15583</v>
      </c>
      <c r="B3266" s="6" t="s">
        <v>7796</v>
      </c>
      <c r="C3266" s="10">
        <v>46080.0</v>
      </c>
      <c r="D3266" s="6" t="s">
        <v>391</v>
      </c>
      <c r="E3266" s="6" t="s">
        <v>1626</v>
      </c>
      <c r="F3266" s="6" t="s">
        <v>439</v>
      </c>
      <c r="G3266" s="6" t="s">
        <v>254</v>
      </c>
      <c r="H3266" s="10">
        <v>46083.0</v>
      </c>
      <c r="I3266" s="12">
        <v>7.0</v>
      </c>
      <c r="J3266" s="6" t="s">
        <v>161</v>
      </c>
    </row>
    <row r="3267" ht="22.5" customHeight="1">
      <c r="A3267" s="6" t="s">
        <v>15585</v>
      </c>
      <c r="B3267" s="6" t="s">
        <v>7796</v>
      </c>
      <c r="C3267" s="10">
        <v>46072.0</v>
      </c>
      <c r="D3267" s="6" t="s">
        <v>416</v>
      </c>
      <c r="E3267" s="6" t="s">
        <v>438</v>
      </c>
      <c r="F3267" s="6" t="s">
        <v>283</v>
      </c>
      <c r="G3267" s="6" t="s">
        <v>297</v>
      </c>
      <c r="H3267" s="10">
        <v>46075.0</v>
      </c>
      <c r="I3267" s="12">
        <v>13.0</v>
      </c>
      <c r="J3267" s="6" t="s">
        <v>161</v>
      </c>
    </row>
    <row r="3268" ht="22.5" customHeight="1">
      <c r="A3268" s="6" t="s">
        <v>15590</v>
      </c>
      <c r="B3268" s="6" t="s">
        <v>7803</v>
      </c>
      <c r="C3268" s="10">
        <v>46049.0</v>
      </c>
      <c r="D3268" s="6" t="s">
        <v>416</v>
      </c>
      <c r="E3268" s="6" t="s">
        <v>450</v>
      </c>
      <c r="F3268" s="6" t="s">
        <v>439</v>
      </c>
      <c r="G3268" s="6" t="s">
        <v>477</v>
      </c>
      <c r="H3268" s="10">
        <v>46051.0</v>
      </c>
      <c r="I3268" s="12">
        <v>12.0</v>
      </c>
      <c r="J3268" s="6" t="s">
        <v>161</v>
      </c>
    </row>
    <row r="3269" ht="22.5" customHeight="1">
      <c r="A3269" s="6" t="s">
        <v>15591</v>
      </c>
      <c r="B3269" s="6" t="s">
        <v>7803</v>
      </c>
      <c r="C3269" s="10">
        <v>46053.0</v>
      </c>
      <c r="D3269" s="6" t="s">
        <v>289</v>
      </c>
      <c r="E3269" s="6" t="s">
        <v>1600</v>
      </c>
      <c r="F3269" s="6" t="s">
        <v>112</v>
      </c>
      <c r="G3269" s="6" t="s">
        <v>494</v>
      </c>
      <c r="H3269" s="10">
        <v>46055.0</v>
      </c>
      <c r="I3269" s="12">
        <v>6.0</v>
      </c>
      <c r="J3269" s="6" t="s">
        <v>161</v>
      </c>
    </row>
    <row r="3270" ht="22.5" customHeight="1">
      <c r="A3270" s="6" t="s">
        <v>15594</v>
      </c>
      <c r="B3270" s="6" t="s">
        <v>7803</v>
      </c>
      <c r="C3270" s="10">
        <v>46044.0</v>
      </c>
      <c r="D3270" s="6" t="s">
        <v>677</v>
      </c>
      <c r="E3270" s="6" t="s">
        <v>1720</v>
      </c>
      <c r="F3270" s="6" t="s">
        <v>249</v>
      </c>
      <c r="G3270" s="6" t="s">
        <v>458</v>
      </c>
      <c r="H3270" s="10">
        <v>46044.0</v>
      </c>
      <c r="I3270" s="12">
        <v>3.0</v>
      </c>
      <c r="J3270" s="6" t="s">
        <v>161</v>
      </c>
    </row>
    <row r="3271" ht="22.5" customHeight="1">
      <c r="A3271" s="6" t="s">
        <v>15598</v>
      </c>
      <c r="B3271" s="6" t="s">
        <v>7810</v>
      </c>
      <c r="C3271" s="10">
        <v>46072.0</v>
      </c>
      <c r="D3271" s="6" t="s">
        <v>436</v>
      </c>
      <c r="E3271" s="6" t="s">
        <v>1273</v>
      </c>
      <c r="F3271" s="6" t="s">
        <v>112</v>
      </c>
      <c r="G3271" s="6" t="s">
        <v>254</v>
      </c>
      <c r="H3271" s="10">
        <v>46075.0</v>
      </c>
      <c r="I3271" s="12">
        <v>9.0</v>
      </c>
      <c r="J3271" s="6" t="s">
        <v>161</v>
      </c>
    </row>
    <row r="3272" ht="22.5" customHeight="1">
      <c r="A3272" s="6" t="s">
        <v>15600</v>
      </c>
      <c r="B3272" s="6" t="s">
        <v>7810</v>
      </c>
      <c r="C3272" s="10">
        <v>46062.0</v>
      </c>
      <c r="D3272" s="6" t="s">
        <v>289</v>
      </c>
      <c r="E3272" s="6" t="s">
        <v>512</v>
      </c>
      <c r="F3272" s="6" t="s">
        <v>283</v>
      </c>
      <c r="G3272" s="6" t="s">
        <v>326</v>
      </c>
      <c r="H3272" s="10">
        <v>46062.0</v>
      </c>
      <c r="I3272" s="12">
        <v>6.0</v>
      </c>
      <c r="J3272" s="6" t="s">
        <v>161</v>
      </c>
    </row>
    <row r="3273" ht="22.5" customHeight="1">
      <c r="A3273" s="6" t="s">
        <v>15603</v>
      </c>
      <c r="B3273" s="6" t="s">
        <v>7810</v>
      </c>
      <c r="C3273" s="10">
        <v>46062.0</v>
      </c>
      <c r="D3273" s="6" t="s">
        <v>416</v>
      </c>
      <c r="E3273" s="6" t="s">
        <v>687</v>
      </c>
      <c r="F3273" s="6" t="s">
        <v>439</v>
      </c>
      <c r="G3273" s="6" t="s">
        <v>326</v>
      </c>
      <c r="H3273" s="11" t="s">
        <v>259</v>
      </c>
      <c r="I3273" s="12">
        <v>9.0</v>
      </c>
      <c r="J3273" s="6" t="s">
        <v>161</v>
      </c>
    </row>
    <row r="3274" ht="22.5" customHeight="1">
      <c r="A3274" s="6" t="s">
        <v>15606</v>
      </c>
      <c r="B3274" s="6" t="s">
        <v>7810</v>
      </c>
      <c r="C3274" s="10">
        <v>46075.0</v>
      </c>
      <c r="D3274" s="6" t="s">
        <v>416</v>
      </c>
      <c r="E3274" s="6" t="s">
        <v>246</v>
      </c>
      <c r="F3274" s="6" t="s">
        <v>439</v>
      </c>
      <c r="G3274" s="6" t="s">
        <v>369</v>
      </c>
      <c r="H3274" s="10">
        <v>46082.0</v>
      </c>
      <c r="I3274" s="12">
        <v>9.0</v>
      </c>
      <c r="J3274" s="6" t="s">
        <v>161</v>
      </c>
    </row>
    <row r="3275" ht="22.5" customHeight="1">
      <c r="A3275" s="6" t="s">
        <v>15609</v>
      </c>
      <c r="B3275" s="6" t="s">
        <v>7816</v>
      </c>
      <c r="C3275" s="10">
        <v>46036.0</v>
      </c>
      <c r="D3275" s="6" t="s">
        <v>436</v>
      </c>
      <c r="E3275" s="6" t="s">
        <v>670</v>
      </c>
      <c r="F3275" s="6" t="s">
        <v>249</v>
      </c>
      <c r="G3275" s="6" t="s">
        <v>477</v>
      </c>
      <c r="H3275" s="10">
        <v>46043.0</v>
      </c>
      <c r="I3275" s="12">
        <v>11.0</v>
      </c>
      <c r="J3275" s="6" t="s">
        <v>178</v>
      </c>
    </row>
    <row r="3276" ht="22.5" customHeight="1">
      <c r="A3276" s="6" t="s">
        <v>15613</v>
      </c>
      <c r="B3276" s="6" t="s">
        <v>7816</v>
      </c>
      <c r="C3276" s="10">
        <v>46043.0</v>
      </c>
      <c r="D3276" s="6" t="s">
        <v>312</v>
      </c>
      <c r="E3276" s="6" t="s">
        <v>687</v>
      </c>
      <c r="F3276" s="6" t="s">
        <v>283</v>
      </c>
      <c r="G3276" s="6" t="s">
        <v>297</v>
      </c>
      <c r="H3276" s="10">
        <v>46047.0</v>
      </c>
      <c r="I3276" s="12">
        <v>6.0</v>
      </c>
      <c r="J3276" s="6" t="s">
        <v>161</v>
      </c>
    </row>
    <row r="3277" ht="22.5" customHeight="1">
      <c r="A3277" s="6" t="s">
        <v>15614</v>
      </c>
      <c r="B3277" s="6" t="s">
        <v>7816</v>
      </c>
      <c r="C3277" s="10">
        <v>46054.0</v>
      </c>
      <c r="D3277" s="6" t="s">
        <v>242</v>
      </c>
      <c r="E3277" s="6" t="s">
        <v>1149</v>
      </c>
      <c r="F3277" s="6" t="s">
        <v>112</v>
      </c>
      <c r="G3277" s="6" t="s">
        <v>297</v>
      </c>
      <c r="H3277" s="10">
        <v>46060.0</v>
      </c>
      <c r="I3277" s="12">
        <v>4.0</v>
      </c>
      <c r="J3277" s="6" t="s">
        <v>178</v>
      </c>
    </row>
    <row r="3278" ht="22.5" customHeight="1">
      <c r="A3278" s="6" t="s">
        <v>15617</v>
      </c>
      <c r="B3278" s="6" t="s">
        <v>7816</v>
      </c>
      <c r="C3278" s="10">
        <v>46042.0</v>
      </c>
      <c r="D3278" s="6" t="s">
        <v>416</v>
      </c>
      <c r="E3278" s="6" t="s">
        <v>628</v>
      </c>
      <c r="F3278" s="6" t="s">
        <v>439</v>
      </c>
      <c r="G3278" s="6" t="s">
        <v>477</v>
      </c>
      <c r="H3278" s="10">
        <v>46043.0</v>
      </c>
      <c r="I3278" s="12">
        <v>9.0</v>
      </c>
      <c r="J3278" s="6" t="s">
        <v>161</v>
      </c>
    </row>
    <row r="3279" ht="22.5" customHeight="1">
      <c r="A3279" s="6" t="s">
        <v>15621</v>
      </c>
      <c r="B3279" s="6" t="s">
        <v>7823</v>
      </c>
      <c r="C3279" s="10">
        <v>46079.0</v>
      </c>
      <c r="D3279" s="6" t="s">
        <v>677</v>
      </c>
      <c r="E3279" s="6" t="s">
        <v>1700</v>
      </c>
      <c r="F3279" s="6" t="s">
        <v>249</v>
      </c>
      <c r="G3279" s="6" t="s">
        <v>452</v>
      </c>
      <c r="H3279" s="11" t="s">
        <v>259</v>
      </c>
      <c r="I3279" s="12">
        <v>3.0</v>
      </c>
      <c r="J3279" s="6" t="s">
        <v>161</v>
      </c>
    </row>
    <row r="3280" ht="22.5" customHeight="1">
      <c r="A3280" s="6" t="s">
        <v>15624</v>
      </c>
      <c r="B3280" s="6" t="s">
        <v>7823</v>
      </c>
      <c r="C3280" s="10">
        <v>46073.0</v>
      </c>
      <c r="D3280" s="6" t="s">
        <v>242</v>
      </c>
      <c r="E3280" s="6" t="s">
        <v>1600</v>
      </c>
      <c r="F3280" s="6" t="s">
        <v>439</v>
      </c>
      <c r="G3280" s="6" t="s">
        <v>494</v>
      </c>
      <c r="H3280" s="10">
        <v>46075.0</v>
      </c>
      <c r="I3280" s="12">
        <v>6.0</v>
      </c>
      <c r="J3280" s="6" t="s">
        <v>178</v>
      </c>
    </row>
    <row r="3281" ht="22.5" customHeight="1">
      <c r="A3281" s="6" t="s">
        <v>15628</v>
      </c>
      <c r="B3281" s="6" t="s">
        <v>7823</v>
      </c>
      <c r="C3281" s="10">
        <v>46083.0</v>
      </c>
      <c r="D3281" s="6" t="s">
        <v>391</v>
      </c>
      <c r="E3281" s="6" t="s">
        <v>670</v>
      </c>
      <c r="F3281" s="6" t="s">
        <v>112</v>
      </c>
      <c r="G3281" s="6" t="s">
        <v>477</v>
      </c>
      <c r="H3281" s="10">
        <v>46088.0</v>
      </c>
      <c r="I3281" s="12">
        <v>11.0</v>
      </c>
      <c r="J3281" s="6" t="s">
        <v>161</v>
      </c>
    </row>
    <row r="3282" ht="22.5" customHeight="1">
      <c r="A3282" s="6" t="s">
        <v>15629</v>
      </c>
      <c r="B3282" s="6" t="s">
        <v>7829</v>
      </c>
      <c r="C3282" s="10">
        <v>46055.0</v>
      </c>
      <c r="D3282" s="6" t="s">
        <v>416</v>
      </c>
      <c r="E3282" s="6" t="s">
        <v>1102</v>
      </c>
      <c r="F3282" s="6" t="s">
        <v>439</v>
      </c>
      <c r="G3282" s="6" t="s">
        <v>297</v>
      </c>
      <c r="H3282" s="10">
        <v>46062.0</v>
      </c>
      <c r="I3282" s="12">
        <v>10.0</v>
      </c>
      <c r="J3282" s="6" t="s">
        <v>161</v>
      </c>
    </row>
    <row r="3283" ht="22.5" customHeight="1">
      <c r="A3283" s="6" t="s">
        <v>15632</v>
      </c>
      <c r="B3283" s="6" t="s">
        <v>7829</v>
      </c>
      <c r="C3283" s="10">
        <v>46054.0</v>
      </c>
      <c r="D3283" s="6" t="s">
        <v>289</v>
      </c>
      <c r="E3283" s="6" t="s">
        <v>833</v>
      </c>
      <c r="F3283" s="6" t="s">
        <v>283</v>
      </c>
      <c r="G3283" s="6" t="s">
        <v>297</v>
      </c>
      <c r="H3283" s="10">
        <v>46055.0</v>
      </c>
      <c r="I3283" s="12">
        <v>8.0</v>
      </c>
      <c r="J3283" s="6" t="s">
        <v>161</v>
      </c>
    </row>
    <row r="3284" ht="22.5" customHeight="1">
      <c r="A3284" s="6" t="s">
        <v>15636</v>
      </c>
      <c r="B3284" s="6" t="s">
        <v>7835</v>
      </c>
      <c r="C3284" s="10">
        <v>46028.0</v>
      </c>
      <c r="D3284" s="6" t="s">
        <v>416</v>
      </c>
      <c r="E3284" s="6" t="s">
        <v>1122</v>
      </c>
      <c r="F3284" s="6" t="s">
        <v>249</v>
      </c>
      <c r="G3284" s="6" t="s">
        <v>297</v>
      </c>
      <c r="H3284" s="10">
        <v>46034.0</v>
      </c>
      <c r="I3284" s="12">
        <v>10.0</v>
      </c>
      <c r="J3284" s="6" t="s">
        <v>161</v>
      </c>
    </row>
    <row r="3285" ht="22.5" customHeight="1">
      <c r="A3285" s="6" t="s">
        <v>15638</v>
      </c>
      <c r="B3285" s="6" t="s">
        <v>7835</v>
      </c>
      <c r="C3285" s="10">
        <v>46032.0</v>
      </c>
      <c r="D3285" s="6" t="s">
        <v>312</v>
      </c>
      <c r="E3285" s="6" t="s">
        <v>1280</v>
      </c>
      <c r="F3285" s="6" t="s">
        <v>249</v>
      </c>
      <c r="G3285" s="6" t="s">
        <v>254</v>
      </c>
      <c r="H3285" s="11" t="s">
        <v>259</v>
      </c>
      <c r="I3285" s="12">
        <v>5.0</v>
      </c>
      <c r="J3285" s="6" t="s">
        <v>161</v>
      </c>
    </row>
    <row r="3286" ht="22.5" customHeight="1">
      <c r="A3286" s="6" t="s">
        <v>15642</v>
      </c>
      <c r="B3286" s="6" t="s">
        <v>7843</v>
      </c>
      <c r="C3286" s="10">
        <v>46079.0</v>
      </c>
      <c r="D3286" s="6" t="s">
        <v>416</v>
      </c>
      <c r="E3286" s="6" t="s">
        <v>704</v>
      </c>
      <c r="F3286" s="6" t="s">
        <v>283</v>
      </c>
      <c r="G3286" s="6" t="s">
        <v>297</v>
      </c>
      <c r="H3286" s="10">
        <v>46083.0</v>
      </c>
      <c r="I3286" s="12">
        <v>11.0</v>
      </c>
      <c r="J3286" s="6" t="s">
        <v>161</v>
      </c>
    </row>
    <row r="3287" ht="22.5" customHeight="1">
      <c r="A3287" s="6" t="s">
        <v>15644</v>
      </c>
      <c r="B3287" s="6" t="s">
        <v>7843</v>
      </c>
      <c r="C3287" s="10">
        <v>46069.0</v>
      </c>
      <c r="D3287" s="6" t="s">
        <v>289</v>
      </c>
      <c r="E3287" s="6" t="s">
        <v>658</v>
      </c>
      <c r="F3287" s="6" t="s">
        <v>249</v>
      </c>
      <c r="G3287" s="6" t="s">
        <v>254</v>
      </c>
      <c r="H3287" s="10">
        <v>46074.0</v>
      </c>
      <c r="I3287" s="12">
        <v>5.0</v>
      </c>
      <c r="J3287" s="6" t="s">
        <v>161</v>
      </c>
    </row>
    <row r="3288" ht="22.5" customHeight="1">
      <c r="A3288" s="6" t="s">
        <v>15649</v>
      </c>
      <c r="B3288" s="6" t="s">
        <v>7843</v>
      </c>
      <c r="C3288" s="10">
        <v>46080.0</v>
      </c>
      <c r="D3288" s="6" t="s">
        <v>242</v>
      </c>
      <c r="E3288" s="6" t="s">
        <v>1552</v>
      </c>
      <c r="F3288" s="6" t="s">
        <v>112</v>
      </c>
      <c r="G3288" s="6" t="s">
        <v>494</v>
      </c>
      <c r="H3288" s="10">
        <v>46087.0</v>
      </c>
      <c r="I3288" s="12">
        <v>4.0</v>
      </c>
      <c r="J3288" s="6" t="s">
        <v>161</v>
      </c>
    </row>
    <row r="3289" ht="22.5" customHeight="1">
      <c r="A3289" s="6" t="s">
        <v>15652</v>
      </c>
      <c r="B3289" s="6" t="s">
        <v>7843</v>
      </c>
      <c r="C3289" s="10">
        <v>46067.0</v>
      </c>
      <c r="D3289" s="6" t="s">
        <v>436</v>
      </c>
      <c r="E3289" s="6" t="s">
        <v>618</v>
      </c>
      <c r="F3289" s="6" t="s">
        <v>112</v>
      </c>
      <c r="G3289" s="6" t="s">
        <v>254</v>
      </c>
      <c r="H3289" s="10">
        <v>46070.0</v>
      </c>
      <c r="I3289" s="12">
        <v>7.0</v>
      </c>
      <c r="J3289" s="6" t="s">
        <v>178</v>
      </c>
    </row>
    <row r="3290" ht="22.5" customHeight="1">
      <c r="A3290" s="6" t="s">
        <v>15657</v>
      </c>
      <c r="B3290" s="6" t="s">
        <v>7843</v>
      </c>
      <c r="C3290" s="10">
        <v>46067.0</v>
      </c>
      <c r="D3290" s="6" t="s">
        <v>391</v>
      </c>
      <c r="E3290" s="6" t="s">
        <v>1570</v>
      </c>
      <c r="F3290" s="6" t="s">
        <v>283</v>
      </c>
      <c r="G3290" s="6" t="s">
        <v>369</v>
      </c>
      <c r="H3290" s="11" t="s">
        <v>259</v>
      </c>
      <c r="I3290" s="12">
        <v>9.0</v>
      </c>
      <c r="J3290" s="6" t="s">
        <v>161</v>
      </c>
    </row>
    <row r="3291" ht="22.5" customHeight="1">
      <c r="A3291" s="6" t="s">
        <v>15659</v>
      </c>
      <c r="B3291" s="6" t="s">
        <v>7850</v>
      </c>
      <c r="C3291" s="10">
        <v>46042.0</v>
      </c>
      <c r="D3291" s="6" t="s">
        <v>242</v>
      </c>
      <c r="E3291" s="6" t="s">
        <v>1102</v>
      </c>
      <c r="F3291" s="6" t="s">
        <v>249</v>
      </c>
      <c r="G3291" s="6" t="s">
        <v>477</v>
      </c>
      <c r="H3291" s="10">
        <v>46045.0</v>
      </c>
      <c r="I3291" s="12">
        <v>6.0</v>
      </c>
      <c r="J3291" s="6" t="s">
        <v>161</v>
      </c>
    </row>
    <row r="3292" ht="22.5" customHeight="1">
      <c r="A3292" s="6" t="s">
        <v>15664</v>
      </c>
      <c r="B3292" s="6" t="s">
        <v>7850</v>
      </c>
      <c r="C3292" s="10">
        <v>46027.0</v>
      </c>
      <c r="D3292" s="6" t="s">
        <v>416</v>
      </c>
      <c r="E3292" s="6" t="s">
        <v>634</v>
      </c>
      <c r="F3292" s="6" t="s">
        <v>249</v>
      </c>
      <c r="G3292" s="6" t="s">
        <v>297</v>
      </c>
      <c r="H3292" s="10">
        <v>46031.0</v>
      </c>
      <c r="I3292" s="12">
        <v>10.0</v>
      </c>
      <c r="J3292" s="6" t="s">
        <v>161</v>
      </c>
    </row>
    <row r="3293" ht="22.5" customHeight="1">
      <c r="A3293" s="6" t="s">
        <v>15667</v>
      </c>
      <c r="B3293" s="6" t="s">
        <v>7850</v>
      </c>
      <c r="C3293" s="10">
        <v>46029.0</v>
      </c>
      <c r="D3293" s="6" t="s">
        <v>677</v>
      </c>
      <c r="E3293" s="6" t="s">
        <v>1969</v>
      </c>
      <c r="F3293" s="6" t="s">
        <v>112</v>
      </c>
      <c r="G3293" s="6" t="s">
        <v>477</v>
      </c>
      <c r="H3293" s="11" t="s">
        <v>259</v>
      </c>
      <c r="I3293" s="12">
        <v>3.0</v>
      </c>
      <c r="J3293" s="6" t="s">
        <v>161</v>
      </c>
    </row>
    <row r="3294" ht="22.5" customHeight="1">
      <c r="A3294" s="6" t="s">
        <v>15671</v>
      </c>
      <c r="B3294" s="6" t="s">
        <v>7856</v>
      </c>
      <c r="C3294" s="10">
        <v>46070.0</v>
      </c>
      <c r="D3294" s="6" t="s">
        <v>416</v>
      </c>
      <c r="E3294" s="6" t="s">
        <v>438</v>
      </c>
      <c r="F3294" s="6" t="s">
        <v>283</v>
      </c>
      <c r="G3294" s="6" t="s">
        <v>477</v>
      </c>
      <c r="H3294" s="10">
        <v>46070.0</v>
      </c>
      <c r="I3294" s="12">
        <v>14.0</v>
      </c>
      <c r="J3294" s="6" t="s">
        <v>161</v>
      </c>
    </row>
    <row r="3295" ht="22.5" customHeight="1">
      <c r="A3295" s="6" t="s">
        <v>15673</v>
      </c>
      <c r="B3295" s="6" t="s">
        <v>7856</v>
      </c>
      <c r="C3295" s="10">
        <v>46086.0</v>
      </c>
      <c r="D3295" s="6" t="s">
        <v>677</v>
      </c>
      <c r="E3295" s="6" t="s">
        <v>738</v>
      </c>
      <c r="F3295" s="6" t="s">
        <v>283</v>
      </c>
      <c r="G3295" s="6" t="s">
        <v>254</v>
      </c>
      <c r="H3295" s="11" t="s">
        <v>259</v>
      </c>
      <c r="I3295" s="12">
        <v>2.0</v>
      </c>
      <c r="J3295" s="6" t="s">
        <v>161</v>
      </c>
    </row>
    <row r="3296" ht="22.5" customHeight="1">
      <c r="A3296" s="6" t="s">
        <v>15676</v>
      </c>
      <c r="B3296" s="6" t="s">
        <v>7863</v>
      </c>
      <c r="C3296" s="10">
        <v>46057.0</v>
      </c>
      <c r="D3296" s="6" t="s">
        <v>312</v>
      </c>
      <c r="E3296" s="6" t="s">
        <v>1700</v>
      </c>
      <c r="F3296" s="6" t="s">
        <v>249</v>
      </c>
      <c r="G3296" s="6" t="s">
        <v>326</v>
      </c>
      <c r="H3296" s="11" t="s">
        <v>259</v>
      </c>
      <c r="I3296" s="12">
        <v>4.0</v>
      </c>
      <c r="J3296" s="6" t="s">
        <v>161</v>
      </c>
    </row>
    <row r="3297" ht="22.5" customHeight="1">
      <c r="A3297" s="6" t="s">
        <v>15679</v>
      </c>
      <c r="B3297" s="6" t="s">
        <v>7863</v>
      </c>
      <c r="C3297" s="10">
        <v>46064.0</v>
      </c>
      <c r="D3297" s="6" t="s">
        <v>416</v>
      </c>
      <c r="E3297" s="6" t="s">
        <v>1241</v>
      </c>
      <c r="F3297" s="6" t="s">
        <v>249</v>
      </c>
      <c r="G3297" s="6" t="s">
        <v>254</v>
      </c>
      <c r="H3297" s="11" t="s">
        <v>259</v>
      </c>
      <c r="I3297" s="12">
        <v>10.0</v>
      </c>
      <c r="J3297" s="6" t="s">
        <v>161</v>
      </c>
    </row>
    <row r="3298" ht="22.5" customHeight="1">
      <c r="A3298" s="6" t="s">
        <v>15681</v>
      </c>
      <c r="B3298" s="6" t="s">
        <v>7863</v>
      </c>
      <c r="C3298" s="10">
        <v>46053.0</v>
      </c>
      <c r="D3298" s="6" t="s">
        <v>436</v>
      </c>
      <c r="E3298" s="6" t="s">
        <v>1070</v>
      </c>
      <c r="F3298" s="6" t="s">
        <v>249</v>
      </c>
      <c r="G3298" s="6" t="s">
        <v>477</v>
      </c>
      <c r="H3298" s="10">
        <v>46059.0</v>
      </c>
      <c r="I3298" s="12">
        <v>9.0</v>
      </c>
      <c r="J3298" s="6" t="s">
        <v>161</v>
      </c>
    </row>
    <row r="3299" ht="22.5" customHeight="1">
      <c r="A3299" s="6" t="s">
        <v>15686</v>
      </c>
      <c r="B3299" s="6" t="s">
        <v>7863</v>
      </c>
      <c r="C3299" s="10">
        <v>46062.0</v>
      </c>
      <c r="D3299" s="6" t="s">
        <v>677</v>
      </c>
      <c r="E3299" s="6" t="s">
        <v>896</v>
      </c>
      <c r="F3299" s="6" t="s">
        <v>283</v>
      </c>
      <c r="G3299" s="6" t="s">
        <v>297</v>
      </c>
      <c r="H3299" s="10">
        <v>46064.0</v>
      </c>
      <c r="I3299" s="12">
        <v>4.0</v>
      </c>
      <c r="J3299" s="6" t="s">
        <v>161</v>
      </c>
    </row>
    <row r="3300" ht="22.5" customHeight="1">
      <c r="A3300" s="6" t="s">
        <v>15689</v>
      </c>
      <c r="B3300" s="6" t="s">
        <v>7871</v>
      </c>
      <c r="C3300" s="10">
        <v>46072.0</v>
      </c>
      <c r="D3300" s="6" t="s">
        <v>242</v>
      </c>
      <c r="E3300" s="6" t="s">
        <v>512</v>
      </c>
      <c r="F3300" s="6" t="s">
        <v>283</v>
      </c>
      <c r="G3300" s="6" t="s">
        <v>452</v>
      </c>
      <c r="H3300" s="10">
        <v>46073.0</v>
      </c>
      <c r="I3300" s="12">
        <v>6.0</v>
      </c>
      <c r="J3300" s="6" t="s">
        <v>161</v>
      </c>
    </row>
    <row r="3301" ht="22.5" customHeight="1">
      <c r="A3301" s="6" t="s">
        <v>15693</v>
      </c>
      <c r="B3301" s="6" t="s">
        <v>7871</v>
      </c>
      <c r="C3301" s="10">
        <v>46070.0</v>
      </c>
      <c r="D3301" s="6" t="s">
        <v>677</v>
      </c>
      <c r="E3301" s="6" t="s">
        <v>1055</v>
      </c>
      <c r="F3301" s="6" t="s">
        <v>439</v>
      </c>
      <c r="G3301" s="6" t="s">
        <v>494</v>
      </c>
      <c r="H3301" s="10">
        <v>46073.0</v>
      </c>
      <c r="I3301" s="12">
        <v>4.0</v>
      </c>
      <c r="J3301" s="6" t="s">
        <v>161</v>
      </c>
    </row>
    <row r="3302" ht="22.5" customHeight="1">
      <c r="A3302" s="6" t="s">
        <v>15695</v>
      </c>
      <c r="B3302" s="6" t="s">
        <v>7871</v>
      </c>
      <c r="C3302" s="10">
        <v>46063.0</v>
      </c>
      <c r="D3302" s="6" t="s">
        <v>436</v>
      </c>
      <c r="E3302" s="6" t="s">
        <v>1280</v>
      </c>
      <c r="F3302" s="6" t="s">
        <v>439</v>
      </c>
      <c r="G3302" s="6" t="s">
        <v>452</v>
      </c>
      <c r="H3302" s="11" t="s">
        <v>259</v>
      </c>
      <c r="I3302" s="12">
        <v>11.0</v>
      </c>
      <c r="J3302" s="6" t="s">
        <v>161</v>
      </c>
    </row>
    <row r="3303" ht="22.5" customHeight="1">
      <c r="A3303" s="6" t="s">
        <v>15699</v>
      </c>
      <c r="B3303" s="6" t="s">
        <v>7871</v>
      </c>
      <c r="C3303" s="10">
        <v>46059.0</v>
      </c>
      <c r="D3303" s="6" t="s">
        <v>391</v>
      </c>
      <c r="E3303" s="6" t="s">
        <v>1546</v>
      </c>
      <c r="F3303" s="6" t="s">
        <v>112</v>
      </c>
      <c r="G3303" s="6" t="s">
        <v>452</v>
      </c>
      <c r="H3303" s="10">
        <v>46059.0</v>
      </c>
      <c r="I3303" s="12">
        <v>11.0</v>
      </c>
      <c r="J3303" s="6" t="s">
        <v>161</v>
      </c>
    </row>
    <row r="3304" ht="22.5" customHeight="1">
      <c r="A3304" s="6" t="s">
        <v>15701</v>
      </c>
      <c r="B3304" s="6" t="s">
        <v>7879</v>
      </c>
      <c r="C3304" s="10">
        <v>46071.0</v>
      </c>
      <c r="D3304" s="6" t="s">
        <v>436</v>
      </c>
      <c r="E3304" s="6" t="s">
        <v>704</v>
      </c>
      <c r="F3304" s="6" t="s">
        <v>439</v>
      </c>
      <c r="G3304" s="6" t="s">
        <v>494</v>
      </c>
      <c r="H3304" s="10">
        <v>46077.0</v>
      </c>
      <c r="I3304" s="12">
        <v>6.0</v>
      </c>
      <c r="J3304" s="6" t="s">
        <v>178</v>
      </c>
    </row>
    <row r="3305" ht="22.5" customHeight="1">
      <c r="A3305" s="6" t="s">
        <v>15704</v>
      </c>
      <c r="B3305" s="6" t="s">
        <v>7887</v>
      </c>
      <c r="C3305" s="10">
        <v>46039.0</v>
      </c>
      <c r="D3305" s="6" t="s">
        <v>677</v>
      </c>
      <c r="E3305" s="6" t="s">
        <v>2881</v>
      </c>
      <c r="F3305" s="6" t="s">
        <v>439</v>
      </c>
      <c r="G3305" s="6" t="s">
        <v>326</v>
      </c>
      <c r="H3305" s="10">
        <v>46046.0</v>
      </c>
      <c r="I3305" s="12">
        <v>3.0</v>
      </c>
      <c r="J3305" s="6" t="s">
        <v>161</v>
      </c>
    </row>
    <row r="3306" ht="22.5" customHeight="1">
      <c r="A3306" s="6" t="s">
        <v>15708</v>
      </c>
      <c r="B3306" s="6" t="s">
        <v>7895</v>
      </c>
      <c r="C3306" s="10">
        <v>46042.0</v>
      </c>
      <c r="D3306" s="6" t="s">
        <v>416</v>
      </c>
      <c r="E3306" s="6" t="s">
        <v>1552</v>
      </c>
      <c r="F3306" s="6" t="s">
        <v>283</v>
      </c>
      <c r="G3306" s="6" t="s">
        <v>369</v>
      </c>
      <c r="H3306" s="10">
        <v>46042.0</v>
      </c>
      <c r="I3306" s="12">
        <v>12.0</v>
      </c>
      <c r="J3306" s="6" t="s">
        <v>161</v>
      </c>
    </row>
    <row r="3307" ht="22.5" customHeight="1">
      <c r="A3307" s="6" t="s">
        <v>15709</v>
      </c>
      <c r="B3307" s="6" t="s">
        <v>7895</v>
      </c>
      <c r="C3307" s="10">
        <v>46032.0</v>
      </c>
      <c r="D3307" s="6" t="s">
        <v>242</v>
      </c>
      <c r="E3307" s="6" t="s">
        <v>1070</v>
      </c>
      <c r="F3307" s="6" t="s">
        <v>283</v>
      </c>
      <c r="G3307" s="6" t="s">
        <v>494</v>
      </c>
      <c r="H3307" s="10">
        <v>46034.0</v>
      </c>
      <c r="I3307" s="12">
        <v>6.0</v>
      </c>
      <c r="J3307" s="6" t="s">
        <v>161</v>
      </c>
    </row>
    <row r="3308" ht="22.5" customHeight="1">
      <c r="A3308" s="6" t="s">
        <v>15712</v>
      </c>
      <c r="B3308" s="6" t="s">
        <v>7895</v>
      </c>
      <c r="C3308" s="10">
        <v>46039.0</v>
      </c>
      <c r="D3308" s="6" t="s">
        <v>242</v>
      </c>
      <c r="E3308" s="6" t="s">
        <v>1570</v>
      </c>
      <c r="F3308" s="6" t="s">
        <v>112</v>
      </c>
      <c r="G3308" s="6" t="s">
        <v>477</v>
      </c>
      <c r="H3308" s="10">
        <v>46044.0</v>
      </c>
      <c r="I3308" s="12">
        <v>6.0</v>
      </c>
      <c r="J3308" s="6" t="s">
        <v>178</v>
      </c>
    </row>
    <row r="3309" ht="22.5" customHeight="1">
      <c r="A3309" s="6" t="s">
        <v>15716</v>
      </c>
      <c r="B3309" s="6" t="s">
        <v>7902</v>
      </c>
      <c r="C3309" s="10">
        <v>46059.0</v>
      </c>
      <c r="D3309" s="6" t="s">
        <v>289</v>
      </c>
      <c r="E3309" s="6" t="s">
        <v>787</v>
      </c>
      <c r="F3309" s="6" t="s">
        <v>283</v>
      </c>
      <c r="G3309" s="6" t="s">
        <v>494</v>
      </c>
      <c r="H3309" s="10">
        <v>46063.0</v>
      </c>
      <c r="I3309" s="12">
        <v>6.0</v>
      </c>
      <c r="J3309" s="6" t="s">
        <v>161</v>
      </c>
    </row>
    <row r="3310" ht="22.5" customHeight="1">
      <c r="A3310" s="6" t="s">
        <v>15717</v>
      </c>
      <c r="B3310" s="6" t="s">
        <v>7902</v>
      </c>
      <c r="C3310" s="10">
        <v>46048.0</v>
      </c>
      <c r="D3310" s="6" t="s">
        <v>312</v>
      </c>
      <c r="E3310" s="6" t="s">
        <v>1546</v>
      </c>
      <c r="F3310" s="6" t="s">
        <v>112</v>
      </c>
      <c r="G3310" s="6" t="s">
        <v>254</v>
      </c>
      <c r="H3310" s="11" t="s">
        <v>259</v>
      </c>
      <c r="I3310" s="12">
        <v>4.0</v>
      </c>
      <c r="J3310" s="6" t="s">
        <v>161</v>
      </c>
    </row>
    <row r="3311" ht="22.5" customHeight="1">
      <c r="A3311" s="6" t="s">
        <v>15720</v>
      </c>
      <c r="B3311" s="6" t="s">
        <v>7902</v>
      </c>
      <c r="C3311" s="10">
        <v>46055.0</v>
      </c>
      <c r="D3311" s="6" t="s">
        <v>242</v>
      </c>
      <c r="E3311" s="6" t="s">
        <v>2881</v>
      </c>
      <c r="F3311" s="6" t="s">
        <v>112</v>
      </c>
      <c r="G3311" s="6" t="s">
        <v>477</v>
      </c>
      <c r="H3311" s="10">
        <v>46061.0</v>
      </c>
      <c r="I3311" s="12">
        <v>6.0</v>
      </c>
      <c r="J3311" s="6" t="s">
        <v>161</v>
      </c>
    </row>
    <row r="3312" ht="22.5" customHeight="1">
      <c r="A3312" s="6" t="s">
        <v>15723</v>
      </c>
      <c r="B3312" s="6" t="s">
        <v>7902</v>
      </c>
      <c r="C3312" s="10">
        <v>46056.0</v>
      </c>
      <c r="D3312" s="6" t="s">
        <v>436</v>
      </c>
      <c r="E3312" s="6" t="s">
        <v>1546</v>
      </c>
      <c r="F3312" s="6" t="s">
        <v>283</v>
      </c>
      <c r="G3312" s="6" t="s">
        <v>369</v>
      </c>
      <c r="H3312" s="10">
        <v>46059.0</v>
      </c>
      <c r="I3312" s="12">
        <v>9.0</v>
      </c>
      <c r="J3312" s="6" t="s">
        <v>178</v>
      </c>
    </row>
    <row r="3313" ht="22.5" customHeight="1">
      <c r="A3313" s="6" t="s">
        <v>15726</v>
      </c>
      <c r="B3313" s="6" t="s">
        <v>7902</v>
      </c>
      <c r="C3313" s="10">
        <v>46046.0</v>
      </c>
      <c r="D3313" s="6" t="s">
        <v>436</v>
      </c>
      <c r="E3313" s="6" t="s">
        <v>246</v>
      </c>
      <c r="F3313" s="6" t="s">
        <v>249</v>
      </c>
      <c r="G3313" s="6" t="s">
        <v>254</v>
      </c>
      <c r="H3313" s="10">
        <v>46047.0</v>
      </c>
      <c r="I3313" s="12">
        <v>10.0</v>
      </c>
      <c r="J3313" s="6" t="s">
        <v>178</v>
      </c>
    </row>
    <row r="3314" ht="22.5" customHeight="1">
      <c r="A3314" s="6" t="s">
        <v>15730</v>
      </c>
      <c r="B3314" s="6" t="s">
        <v>7910</v>
      </c>
      <c r="C3314" s="10">
        <v>46061.0</v>
      </c>
      <c r="D3314" s="6" t="s">
        <v>416</v>
      </c>
      <c r="E3314" s="6" t="s">
        <v>1055</v>
      </c>
      <c r="F3314" s="6" t="s">
        <v>283</v>
      </c>
      <c r="G3314" s="6" t="s">
        <v>458</v>
      </c>
      <c r="H3314" s="11" t="s">
        <v>259</v>
      </c>
      <c r="I3314" s="12">
        <v>8.0</v>
      </c>
      <c r="J3314" s="6" t="s">
        <v>161</v>
      </c>
    </row>
    <row r="3315" ht="22.5" customHeight="1">
      <c r="A3315" s="6" t="s">
        <v>15732</v>
      </c>
      <c r="B3315" s="6" t="s">
        <v>7917</v>
      </c>
      <c r="C3315" s="10">
        <v>46034.0</v>
      </c>
      <c r="D3315" s="6" t="s">
        <v>242</v>
      </c>
      <c r="E3315" s="6" t="s">
        <v>1273</v>
      </c>
      <c r="F3315" s="6" t="s">
        <v>112</v>
      </c>
      <c r="G3315" s="6" t="s">
        <v>452</v>
      </c>
      <c r="H3315" s="10">
        <v>46034.0</v>
      </c>
      <c r="I3315" s="12">
        <v>3.0</v>
      </c>
      <c r="J3315" s="6" t="s">
        <v>161</v>
      </c>
    </row>
    <row r="3316" ht="22.5" customHeight="1">
      <c r="A3316" s="6" t="s">
        <v>15734</v>
      </c>
      <c r="B3316" s="6" t="s">
        <v>7917</v>
      </c>
      <c r="C3316" s="10">
        <v>46033.0</v>
      </c>
      <c r="D3316" s="6" t="s">
        <v>677</v>
      </c>
      <c r="E3316" s="6" t="s">
        <v>1310</v>
      </c>
      <c r="F3316" s="6" t="s">
        <v>249</v>
      </c>
      <c r="G3316" s="6" t="s">
        <v>326</v>
      </c>
      <c r="H3316" s="10">
        <v>46038.0</v>
      </c>
      <c r="I3316" s="12">
        <v>3.0</v>
      </c>
      <c r="J3316" s="6" t="s">
        <v>161</v>
      </c>
    </row>
    <row r="3317" ht="22.5" customHeight="1">
      <c r="A3317" s="6" t="s">
        <v>15738</v>
      </c>
      <c r="B3317" s="6" t="s">
        <v>7917</v>
      </c>
      <c r="C3317" s="10">
        <v>46045.0</v>
      </c>
      <c r="D3317" s="6" t="s">
        <v>312</v>
      </c>
      <c r="E3317" s="6" t="s">
        <v>1310</v>
      </c>
      <c r="F3317" s="6" t="s">
        <v>112</v>
      </c>
      <c r="G3317" s="6" t="s">
        <v>254</v>
      </c>
      <c r="H3317" s="11" t="s">
        <v>259</v>
      </c>
      <c r="I3317" s="12">
        <v>6.0</v>
      </c>
      <c r="J3317" s="6" t="s">
        <v>161</v>
      </c>
    </row>
    <row r="3318" ht="22.5" customHeight="1">
      <c r="A3318" s="6" t="s">
        <v>15741</v>
      </c>
      <c r="B3318" s="6" t="s">
        <v>7925</v>
      </c>
      <c r="C3318" s="10">
        <v>46028.0</v>
      </c>
      <c r="D3318" s="6" t="s">
        <v>312</v>
      </c>
      <c r="E3318" s="6" t="s">
        <v>885</v>
      </c>
      <c r="F3318" s="6" t="s">
        <v>283</v>
      </c>
      <c r="G3318" s="6" t="s">
        <v>326</v>
      </c>
      <c r="H3318" s="11" t="s">
        <v>259</v>
      </c>
      <c r="I3318" s="12">
        <v>6.0</v>
      </c>
      <c r="J3318" s="6" t="s">
        <v>161</v>
      </c>
    </row>
    <row r="3319" ht="22.5" customHeight="1">
      <c r="A3319" s="6" t="s">
        <v>15745</v>
      </c>
      <c r="B3319" s="6" t="s">
        <v>7925</v>
      </c>
      <c r="C3319" s="10">
        <v>46035.0</v>
      </c>
      <c r="D3319" s="6" t="s">
        <v>436</v>
      </c>
      <c r="E3319" s="6" t="s">
        <v>955</v>
      </c>
      <c r="F3319" s="6" t="s">
        <v>249</v>
      </c>
      <c r="G3319" s="6" t="s">
        <v>369</v>
      </c>
      <c r="H3319" s="10">
        <v>46038.0</v>
      </c>
      <c r="I3319" s="12">
        <v>9.0</v>
      </c>
      <c r="J3319" s="6" t="s">
        <v>161</v>
      </c>
    </row>
    <row r="3320" ht="22.5" customHeight="1">
      <c r="A3320" s="6" t="s">
        <v>15748</v>
      </c>
      <c r="B3320" s="6" t="s">
        <v>7925</v>
      </c>
      <c r="C3320" s="10">
        <v>46030.0</v>
      </c>
      <c r="D3320" s="6" t="s">
        <v>289</v>
      </c>
      <c r="E3320" s="6" t="s">
        <v>812</v>
      </c>
      <c r="F3320" s="6" t="s">
        <v>283</v>
      </c>
      <c r="G3320" s="6" t="s">
        <v>494</v>
      </c>
      <c r="H3320" s="11" t="s">
        <v>259</v>
      </c>
      <c r="I3320" s="12">
        <v>8.0</v>
      </c>
      <c r="J3320" s="6" t="s">
        <v>161</v>
      </c>
    </row>
    <row r="3321" ht="22.5" customHeight="1">
      <c r="A3321" s="6" t="s">
        <v>15752</v>
      </c>
      <c r="B3321" s="6" t="s">
        <v>7925</v>
      </c>
      <c r="C3321" s="10">
        <v>46028.0</v>
      </c>
      <c r="D3321" s="6" t="s">
        <v>677</v>
      </c>
      <c r="E3321" s="6" t="s">
        <v>798</v>
      </c>
      <c r="F3321" s="6" t="s">
        <v>112</v>
      </c>
      <c r="G3321" s="6" t="s">
        <v>254</v>
      </c>
      <c r="H3321" s="11" t="s">
        <v>259</v>
      </c>
      <c r="I3321" s="12">
        <v>2.0</v>
      </c>
      <c r="J3321" s="6" t="s">
        <v>161</v>
      </c>
    </row>
    <row r="3322" ht="22.5" customHeight="1">
      <c r="A3322" s="6" t="s">
        <v>15757</v>
      </c>
      <c r="B3322" s="6" t="s">
        <v>7925</v>
      </c>
      <c r="C3322" s="10">
        <v>46037.0</v>
      </c>
      <c r="D3322" s="6" t="s">
        <v>289</v>
      </c>
      <c r="E3322" s="6" t="s">
        <v>787</v>
      </c>
      <c r="F3322" s="6" t="s">
        <v>439</v>
      </c>
      <c r="G3322" s="6" t="s">
        <v>254</v>
      </c>
      <c r="H3322" s="10">
        <v>46038.0</v>
      </c>
      <c r="I3322" s="12">
        <v>5.0</v>
      </c>
      <c r="J3322" s="6" t="s">
        <v>161</v>
      </c>
    </row>
    <row r="3323" ht="22.5" customHeight="1">
      <c r="A3323" s="6" t="s">
        <v>15759</v>
      </c>
      <c r="B3323" s="6" t="s">
        <v>7933</v>
      </c>
      <c r="C3323" s="10">
        <v>46040.0</v>
      </c>
      <c r="D3323" s="6" t="s">
        <v>416</v>
      </c>
      <c r="E3323" s="6" t="s">
        <v>695</v>
      </c>
      <c r="F3323" s="6" t="s">
        <v>283</v>
      </c>
      <c r="G3323" s="6" t="s">
        <v>452</v>
      </c>
      <c r="H3323" s="10">
        <v>46041.0</v>
      </c>
      <c r="I3323" s="12">
        <v>12.0</v>
      </c>
      <c r="J3323" s="6" t="s">
        <v>161</v>
      </c>
    </row>
    <row r="3324" ht="22.5" customHeight="1">
      <c r="A3324" s="6" t="s">
        <v>15762</v>
      </c>
      <c r="B3324" s="6" t="s">
        <v>7933</v>
      </c>
      <c r="C3324" s="10">
        <v>46033.0</v>
      </c>
      <c r="D3324" s="6" t="s">
        <v>677</v>
      </c>
      <c r="E3324" s="6" t="s">
        <v>670</v>
      </c>
      <c r="F3324" s="6" t="s">
        <v>283</v>
      </c>
      <c r="G3324" s="6" t="s">
        <v>477</v>
      </c>
      <c r="H3324" s="11" t="s">
        <v>259</v>
      </c>
      <c r="I3324" s="12">
        <v>3.0</v>
      </c>
      <c r="J3324" s="6" t="s">
        <v>161</v>
      </c>
    </row>
    <row r="3325" ht="22.5" customHeight="1">
      <c r="A3325" s="6" t="s">
        <v>15766</v>
      </c>
      <c r="B3325" s="6" t="s">
        <v>7940</v>
      </c>
      <c r="C3325" s="10">
        <v>46052.0</v>
      </c>
      <c r="D3325" s="6" t="s">
        <v>312</v>
      </c>
      <c r="E3325" s="6" t="s">
        <v>634</v>
      </c>
      <c r="F3325" s="6" t="s">
        <v>439</v>
      </c>
      <c r="G3325" s="6" t="s">
        <v>452</v>
      </c>
      <c r="H3325" s="10">
        <v>46052.0</v>
      </c>
      <c r="I3325" s="12">
        <v>4.0</v>
      </c>
      <c r="J3325" s="6" t="s">
        <v>161</v>
      </c>
    </row>
    <row r="3326" ht="22.5" customHeight="1">
      <c r="A3326" s="6" t="s">
        <v>15768</v>
      </c>
      <c r="B3326" s="6" t="s">
        <v>7940</v>
      </c>
      <c r="C3326" s="10">
        <v>46059.0</v>
      </c>
      <c r="D3326" s="6" t="s">
        <v>436</v>
      </c>
      <c r="E3326" s="6" t="s">
        <v>812</v>
      </c>
      <c r="F3326" s="6" t="s">
        <v>439</v>
      </c>
      <c r="G3326" s="6" t="s">
        <v>458</v>
      </c>
      <c r="H3326" s="10">
        <v>46065.0</v>
      </c>
      <c r="I3326" s="12">
        <v>8.0</v>
      </c>
      <c r="J3326" s="6" t="s">
        <v>178</v>
      </c>
    </row>
    <row r="3327" ht="22.5" customHeight="1">
      <c r="A3327" s="6" t="s">
        <v>15773</v>
      </c>
      <c r="B3327" s="6" t="s">
        <v>7940</v>
      </c>
      <c r="C3327" s="10">
        <v>46062.0</v>
      </c>
      <c r="D3327" s="6" t="s">
        <v>436</v>
      </c>
      <c r="E3327" s="6" t="s">
        <v>687</v>
      </c>
      <c r="F3327" s="6" t="s">
        <v>112</v>
      </c>
      <c r="G3327" s="6" t="s">
        <v>494</v>
      </c>
      <c r="H3327" s="10">
        <v>46065.0</v>
      </c>
      <c r="I3327" s="12">
        <v>8.0</v>
      </c>
      <c r="J3327" s="6" t="s">
        <v>178</v>
      </c>
    </row>
    <row r="3328" ht="22.5" customHeight="1">
      <c r="A3328" s="6" t="s">
        <v>15775</v>
      </c>
      <c r="B3328" s="6" t="s">
        <v>7940</v>
      </c>
      <c r="C3328" s="10">
        <v>46059.0</v>
      </c>
      <c r="D3328" s="6" t="s">
        <v>289</v>
      </c>
      <c r="E3328" s="6" t="s">
        <v>1600</v>
      </c>
      <c r="F3328" s="6" t="s">
        <v>249</v>
      </c>
      <c r="G3328" s="6" t="s">
        <v>254</v>
      </c>
      <c r="H3328" s="10">
        <v>46059.0</v>
      </c>
      <c r="I3328" s="12">
        <v>6.0</v>
      </c>
      <c r="J3328" s="6" t="s">
        <v>161</v>
      </c>
    </row>
    <row r="3329" ht="22.5" customHeight="1">
      <c r="A3329" s="6" t="s">
        <v>15777</v>
      </c>
      <c r="B3329" s="6" t="s">
        <v>7946</v>
      </c>
      <c r="C3329" s="10">
        <v>46044.0</v>
      </c>
      <c r="D3329" s="6" t="s">
        <v>677</v>
      </c>
      <c r="E3329" s="6" t="s">
        <v>566</v>
      </c>
      <c r="F3329" s="6" t="s">
        <v>249</v>
      </c>
      <c r="G3329" s="6" t="s">
        <v>254</v>
      </c>
      <c r="H3329" s="10">
        <v>46044.0</v>
      </c>
      <c r="I3329" s="12">
        <v>3.0</v>
      </c>
      <c r="J3329" s="6" t="s">
        <v>161</v>
      </c>
    </row>
    <row r="3330" ht="22.5" customHeight="1">
      <c r="A3330" s="6" t="s">
        <v>15782</v>
      </c>
      <c r="B3330" s="6" t="s">
        <v>7946</v>
      </c>
      <c r="C3330" s="10">
        <v>46049.0</v>
      </c>
      <c r="D3330" s="6" t="s">
        <v>391</v>
      </c>
      <c r="E3330" s="6" t="s">
        <v>1517</v>
      </c>
      <c r="F3330" s="6" t="s">
        <v>439</v>
      </c>
      <c r="G3330" s="6" t="s">
        <v>477</v>
      </c>
      <c r="H3330" s="10">
        <v>46055.0</v>
      </c>
      <c r="I3330" s="12">
        <v>11.0</v>
      </c>
      <c r="J3330" s="6" t="s">
        <v>161</v>
      </c>
    </row>
    <row r="3331" ht="22.5" customHeight="1">
      <c r="A3331" s="6" t="s">
        <v>15787</v>
      </c>
      <c r="B3331" s="6" t="s">
        <v>7946</v>
      </c>
      <c r="C3331" s="10">
        <v>46058.0</v>
      </c>
      <c r="D3331" s="6" t="s">
        <v>391</v>
      </c>
      <c r="E3331" s="6" t="s">
        <v>863</v>
      </c>
      <c r="F3331" s="6" t="s">
        <v>112</v>
      </c>
      <c r="G3331" s="6" t="s">
        <v>494</v>
      </c>
      <c r="H3331" s="10">
        <v>46061.0</v>
      </c>
      <c r="I3331" s="12">
        <v>11.0</v>
      </c>
      <c r="J3331" s="6" t="s">
        <v>161</v>
      </c>
    </row>
    <row r="3332" ht="22.5" customHeight="1">
      <c r="A3332" s="6" t="s">
        <v>15790</v>
      </c>
      <c r="B3332" s="6" t="s">
        <v>7946</v>
      </c>
      <c r="C3332" s="10">
        <v>46045.0</v>
      </c>
      <c r="D3332" s="6" t="s">
        <v>416</v>
      </c>
      <c r="E3332" s="6" t="s">
        <v>670</v>
      </c>
      <c r="F3332" s="6" t="s">
        <v>249</v>
      </c>
      <c r="G3332" s="6" t="s">
        <v>477</v>
      </c>
      <c r="H3332" s="10">
        <v>46052.0</v>
      </c>
      <c r="I3332" s="12">
        <v>10.0</v>
      </c>
      <c r="J3332" s="6" t="s">
        <v>161</v>
      </c>
    </row>
    <row r="3333" ht="22.5" customHeight="1">
      <c r="A3333" s="6" t="s">
        <v>15794</v>
      </c>
      <c r="B3333" s="6" t="s">
        <v>7953</v>
      </c>
      <c r="C3333" s="10">
        <v>46047.0</v>
      </c>
      <c r="D3333" s="6" t="s">
        <v>242</v>
      </c>
      <c r="E3333" s="6" t="s">
        <v>394</v>
      </c>
      <c r="F3333" s="6" t="s">
        <v>283</v>
      </c>
      <c r="G3333" s="6" t="s">
        <v>477</v>
      </c>
      <c r="H3333" s="10">
        <v>46049.0</v>
      </c>
      <c r="I3333" s="12">
        <v>4.0</v>
      </c>
      <c r="J3333" s="6" t="s">
        <v>178</v>
      </c>
    </row>
    <row r="3334" ht="22.5" customHeight="1">
      <c r="A3334" s="6" t="s">
        <v>15800</v>
      </c>
      <c r="B3334" s="6" t="s">
        <v>7959</v>
      </c>
      <c r="C3334" s="10">
        <v>46061.0</v>
      </c>
      <c r="D3334" s="6" t="s">
        <v>289</v>
      </c>
      <c r="E3334" s="6" t="s">
        <v>1102</v>
      </c>
      <c r="F3334" s="6" t="s">
        <v>112</v>
      </c>
      <c r="G3334" s="6" t="s">
        <v>326</v>
      </c>
      <c r="H3334" s="11" t="s">
        <v>259</v>
      </c>
      <c r="I3334" s="12">
        <v>7.0</v>
      </c>
      <c r="J3334" s="6" t="s">
        <v>161</v>
      </c>
    </row>
    <row r="3335" ht="22.5" customHeight="1">
      <c r="A3335" s="6" t="s">
        <v>15803</v>
      </c>
      <c r="B3335" s="6" t="s">
        <v>7965</v>
      </c>
      <c r="C3335" s="10">
        <v>46041.0</v>
      </c>
      <c r="D3335" s="6" t="s">
        <v>436</v>
      </c>
      <c r="E3335" s="6" t="s">
        <v>1741</v>
      </c>
      <c r="F3335" s="6" t="s">
        <v>283</v>
      </c>
      <c r="G3335" s="6" t="s">
        <v>452</v>
      </c>
      <c r="H3335" s="10">
        <v>46044.0</v>
      </c>
      <c r="I3335" s="12">
        <v>12.0</v>
      </c>
      <c r="J3335" s="6" t="s">
        <v>161</v>
      </c>
    </row>
    <row r="3336" ht="22.5" customHeight="1">
      <c r="A3336" s="6" t="s">
        <v>15807</v>
      </c>
      <c r="B3336" s="6" t="s">
        <v>7965</v>
      </c>
      <c r="C3336" s="10">
        <v>46050.0</v>
      </c>
      <c r="D3336" s="6" t="s">
        <v>416</v>
      </c>
      <c r="E3336" s="6" t="s">
        <v>1241</v>
      </c>
      <c r="F3336" s="6" t="s">
        <v>249</v>
      </c>
      <c r="G3336" s="6" t="s">
        <v>452</v>
      </c>
      <c r="H3336" s="10">
        <v>46053.0</v>
      </c>
      <c r="I3336" s="12">
        <v>8.0</v>
      </c>
      <c r="J3336" s="6" t="s">
        <v>161</v>
      </c>
    </row>
    <row r="3337" ht="22.5" customHeight="1">
      <c r="A3337" s="6" t="s">
        <v>15812</v>
      </c>
      <c r="B3337" s="6" t="s">
        <v>7965</v>
      </c>
      <c r="C3337" s="10">
        <v>46048.0</v>
      </c>
      <c r="D3337" s="6" t="s">
        <v>416</v>
      </c>
      <c r="E3337" s="6" t="s">
        <v>394</v>
      </c>
      <c r="F3337" s="6" t="s">
        <v>112</v>
      </c>
      <c r="G3337" s="6" t="s">
        <v>297</v>
      </c>
      <c r="H3337" s="10">
        <v>46048.0</v>
      </c>
      <c r="I3337" s="12">
        <v>9.0</v>
      </c>
      <c r="J3337" s="6" t="s">
        <v>161</v>
      </c>
    </row>
    <row r="3338" ht="22.5" customHeight="1">
      <c r="A3338" s="6" t="s">
        <v>15819</v>
      </c>
      <c r="B3338" s="6" t="s">
        <v>7965</v>
      </c>
      <c r="C3338" s="10">
        <v>46047.0</v>
      </c>
      <c r="D3338" s="6" t="s">
        <v>416</v>
      </c>
      <c r="E3338" s="6" t="s">
        <v>1035</v>
      </c>
      <c r="F3338" s="6" t="s">
        <v>112</v>
      </c>
      <c r="G3338" s="6" t="s">
        <v>458</v>
      </c>
      <c r="H3338" s="10">
        <v>46054.0</v>
      </c>
      <c r="I3338" s="12">
        <v>8.0</v>
      </c>
      <c r="J3338" s="6" t="s">
        <v>161</v>
      </c>
    </row>
    <row r="3339" ht="22.5" customHeight="1">
      <c r="A3339" s="6" t="s">
        <v>15822</v>
      </c>
      <c r="B3339" s="6" t="s">
        <v>7965</v>
      </c>
      <c r="C3339" s="10">
        <v>46051.0</v>
      </c>
      <c r="D3339" s="6" t="s">
        <v>242</v>
      </c>
      <c r="E3339" s="6" t="s">
        <v>1280</v>
      </c>
      <c r="F3339" s="6" t="s">
        <v>249</v>
      </c>
      <c r="G3339" s="6" t="s">
        <v>494</v>
      </c>
      <c r="H3339" s="10">
        <v>46057.0</v>
      </c>
      <c r="I3339" s="12">
        <v>6.0</v>
      </c>
      <c r="J3339" s="6" t="s">
        <v>178</v>
      </c>
    </row>
    <row r="3340" ht="22.5" customHeight="1">
      <c r="A3340" s="6" t="s">
        <v>15828</v>
      </c>
      <c r="B3340" s="6" t="s">
        <v>7972</v>
      </c>
      <c r="C3340" s="10">
        <v>46041.0</v>
      </c>
      <c r="D3340" s="6" t="s">
        <v>391</v>
      </c>
      <c r="E3340" s="6" t="s">
        <v>246</v>
      </c>
      <c r="F3340" s="6" t="s">
        <v>283</v>
      </c>
      <c r="G3340" s="6" t="s">
        <v>326</v>
      </c>
      <c r="H3340" s="10">
        <v>46041.0</v>
      </c>
      <c r="I3340" s="12">
        <v>7.0</v>
      </c>
      <c r="J3340" s="6" t="s">
        <v>161</v>
      </c>
    </row>
    <row r="3341" ht="22.5" customHeight="1">
      <c r="A3341" s="6" t="s">
        <v>15834</v>
      </c>
      <c r="B3341" s="6" t="s">
        <v>7972</v>
      </c>
      <c r="C3341" s="10">
        <v>46040.0</v>
      </c>
      <c r="D3341" s="6" t="s">
        <v>436</v>
      </c>
      <c r="E3341" s="6" t="s">
        <v>246</v>
      </c>
      <c r="F3341" s="6" t="s">
        <v>439</v>
      </c>
      <c r="G3341" s="6" t="s">
        <v>369</v>
      </c>
      <c r="H3341" s="10">
        <v>46041.0</v>
      </c>
      <c r="I3341" s="12">
        <v>7.0</v>
      </c>
      <c r="J3341" s="6" t="s">
        <v>178</v>
      </c>
    </row>
    <row r="3342" ht="22.5" customHeight="1">
      <c r="A3342" s="6" t="s">
        <v>15840</v>
      </c>
      <c r="B3342" s="6" t="s">
        <v>7972</v>
      </c>
      <c r="C3342" s="10">
        <v>46038.0</v>
      </c>
      <c r="D3342" s="6" t="s">
        <v>242</v>
      </c>
      <c r="E3342" s="6" t="s">
        <v>365</v>
      </c>
      <c r="F3342" s="6" t="s">
        <v>112</v>
      </c>
      <c r="G3342" s="6" t="s">
        <v>452</v>
      </c>
      <c r="H3342" s="10">
        <v>46043.0</v>
      </c>
      <c r="I3342" s="12">
        <v>3.0</v>
      </c>
      <c r="J3342" s="6" t="s">
        <v>161</v>
      </c>
    </row>
    <row r="3343" ht="22.5" customHeight="1">
      <c r="A3343" s="6" t="s">
        <v>15844</v>
      </c>
      <c r="B3343" s="6" t="s">
        <v>7972</v>
      </c>
      <c r="C3343" s="10">
        <v>46029.0</v>
      </c>
      <c r="D3343" s="6" t="s">
        <v>289</v>
      </c>
      <c r="E3343" s="6" t="s">
        <v>1386</v>
      </c>
      <c r="F3343" s="6" t="s">
        <v>439</v>
      </c>
      <c r="G3343" s="6" t="s">
        <v>494</v>
      </c>
      <c r="H3343" s="10">
        <v>46029.0</v>
      </c>
      <c r="I3343" s="12">
        <v>6.0</v>
      </c>
      <c r="J3343" s="6" t="s">
        <v>161</v>
      </c>
    </row>
    <row r="3344" ht="22.5" customHeight="1">
      <c r="A3344" s="6" t="s">
        <v>15850</v>
      </c>
      <c r="B3344" s="6" t="s">
        <v>7979</v>
      </c>
      <c r="C3344" s="10">
        <v>46048.0</v>
      </c>
      <c r="D3344" s="6" t="s">
        <v>391</v>
      </c>
      <c r="E3344" s="6" t="s">
        <v>833</v>
      </c>
      <c r="F3344" s="6" t="s">
        <v>112</v>
      </c>
      <c r="G3344" s="6" t="s">
        <v>477</v>
      </c>
      <c r="H3344" s="10">
        <v>46051.0</v>
      </c>
      <c r="I3344" s="12">
        <v>7.0</v>
      </c>
      <c r="J3344" s="6" t="s">
        <v>161</v>
      </c>
    </row>
    <row r="3345" ht="22.5" customHeight="1">
      <c r="A3345" s="6" t="s">
        <v>15856</v>
      </c>
      <c r="B3345" s="6" t="s">
        <v>7986</v>
      </c>
      <c r="C3345" s="10">
        <v>46065.0</v>
      </c>
      <c r="D3345" s="6" t="s">
        <v>242</v>
      </c>
      <c r="E3345" s="6" t="s">
        <v>1552</v>
      </c>
      <c r="F3345" s="6" t="s">
        <v>283</v>
      </c>
      <c r="G3345" s="6" t="s">
        <v>452</v>
      </c>
      <c r="H3345" s="10">
        <v>46067.0</v>
      </c>
      <c r="I3345" s="12">
        <v>3.0</v>
      </c>
      <c r="J3345" s="6" t="s">
        <v>178</v>
      </c>
    </row>
    <row r="3346" ht="22.5" customHeight="1">
      <c r="A3346" s="6" t="s">
        <v>15858</v>
      </c>
      <c r="B3346" s="6" t="s">
        <v>7986</v>
      </c>
      <c r="C3346" s="10">
        <v>46057.0</v>
      </c>
      <c r="D3346" s="6" t="s">
        <v>391</v>
      </c>
      <c r="E3346" s="6" t="s">
        <v>417</v>
      </c>
      <c r="F3346" s="6" t="s">
        <v>249</v>
      </c>
      <c r="G3346" s="6" t="s">
        <v>297</v>
      </c>
      <c r="H3346" s="10">
        <v>46057.0</v>
      </c>
      <c r="I3346" s="12">
        <v>8.0</v>
      </c>
      <c r="J3346" s="6" t="s">
        <v>161</v>
      </c>
    </row>
    <row r="3347" ht="22.5" customHeight="1">
      <c r="A3347" s="6" t="s">
        <v>15862</v>
      </c>
      <c r="B3347" s="6" t="s">
        <v>7992</v>
      </c>
      <c r="C3347" s="10">
        <v>46046.0</v>
      </c>
      <c r="D3347" s="6" t="s">
        <v>391</v>
      </c>
      <c r="E3347" s="6" t="s">
        <v>1386</v>
      </c>
      <c r="F3347" s="6" t="s">
        <v>112</v>
      </c>
      <c r="G3347" s="6" t="s">
        <v>494</v>
      </c>
      <c r="H3347" s="10">
        <v>46051.0</v>
      </c>
      <c r="I3347" s="12">
        <v>6.0</v>
      </c>
      <c r="J3347" s="6" t="s">
        <v>161</v>
      </c>
    </row>
    <row r="3348" ht="22.5" customHeight="1">
      <c r="A3348" s="6" t="s">
        <v>15865</v>
      </c>
      <c r="B3348" s="6" t="s">
        <v>7992</v>
      </c>
      <c r="C3348" s="10">
        <v>46030.0</v>
      </c>
      <c r="D3348" s="6" t="s">
        <v>242</v>
      </c>
      <c r="E3348" s="6" t="s">
        <v>365</v>
      </c>
      <c r="F3348" s="6" t="s">
        <v>439</v>
      </c>
      <c r="G3348" s="6" t="s">
        <v>254</v>
      </c>
      <c r="H3348" s="10">
        <v>46034.0</v>
      </c>
      <c r="I3348" s="12">
        <v>6.0</v>
      </c>
      <c r="J3348" s="6" t="s">
        <v>178</v>
      </c>
    </row>
    <row r="3349" ht="22.5" customHeight="1">
      <c r="A3349" s="6" t="s">
        <v>15871</v>
      </c>
      <c r="B3349" s="6" t="s">
        <v>7992</v>
      </c>
      <c r="C3349" s="10">
        <v>46044.0</v>
      </c>
      <c r="D3349" s="6" t="s">
        <v>242</v>
      </c>
      <c r="E3349" s="6" t="s">
        <v>716</v>
      </c>
      <c r="F3349" s="6" t="s">
        <v>249</v>
      </c>
      <c r="G3349" s="6" t="s">
        <v>254</v>
      </c>
      <c r="H3349" s="11" t="s">
        <v>259</v>
      </c>
      <c r="I3349" s="12">
        <v>6.0</v>
      </c>
      <c r="J3349" s="6" t="s">
        <v>178</v>
      </c>
    </row>
    <row r="3350" ht="22.5" customHeight="1">
      <c r="A3350" s="6" t="s">
        <v>15875</v>
      </c>
      <c r="B3350" s="6" t="s">
        <v>7992</v>
      </c>
      <c r="C3350" s="10">
        <v>46037.0</v>
      </c>
      <c r="D3350" s="6" t="s">
        <v>436</v>
      </c>
      <c r="E3350" s="6" t="s">
        <v>450</v>
      </c>
      <c r="F3350" s="6" t="s">
        <v>249</v>
      </c>
      <c r="G3350" s="6" t="s">
        <v>254</v>
      </c>
      <c r="H3350" s="10">
        <v>46039.0</v>
      </c>
      <c r="I3350" s="12">
        <v>11.0</v>
      </c>
      <c r="J3350" s="6" t="s">
        <v>178</v>
      </c>
    </row>
    <row r="3351" ht="22.5" customHeight="1">
      <c r="A3351" s="6" t="s">
        <v>15881</v>
      </c>
      <c r="B3351" s="6" t="s">
        <v>7992</v>
      </c>
      <c r="C3351" s="10">
        <v>46049.0</v>
      </c>
      <c r="D3351" s="6" t="s">
        <v>391</v>
      </c>
      <c r="E3351" s="6" t="s">
        <v>2881</v>
      </c>
      <c r="F3351" s="6" t="s">
        <v>439</v>
      </c>
      <c r="G3351" s="6" t="s">
        <v>458</v>
      </c>
      <c r="H3351" s="10">
        <v>46054.0</v>
      </c>
      <c r="I3351" s="12">
        <v>8.0</v>
      </c>
      <c r="J3351" s="6" t="s">
        <v>161</v>
      </c>
    </row>
    <row r="3352" ht="22.5" customHeight="1">
      <c r="A3352" s="6" t="s">
        <v>15887</v>
      </c>
      <c r="B3352" s="6" t="s">
        <v>7998</v>
      </c>
      <c r="C3352" s="10">
        <v>46041.0</v>
      </c>
      <c r="D3352" s="6" t="s">
        <v>391</v>
      </c>
      <c r="E3352" s="6" t="s">
        <v>1517</v>
      </c>
      <c r="F3352" s="6" t="s">
        <v>249</v>
      </c>
      <c r="G3352" s="6" t="s">
        <v>297</v>
      </c>
      <c r="H3352" s="10">
        <v>46048.0</v>
      </c>
      <c r="I3352" s="12">
        <v>9.0</v>
      </c>
      <c r="J3352" s="6" t="s">
        <v>161</v>
      </c>
    </row>
    <row r="3353" ht="22.5" customHeight="1">
      <c r="A3353" s="6" t="s">
        <v>15892</v>
      </c>
      <c r="B3353" s="6" t="s">
        <v>7998</v>
      </c>
      <c r="C3353" s="10">
        <v>46048.0</v>
      </c>
      <c r="D3353" s="6" t="s">
        <v>312</v>
      </c>
      <c r="E3353" s="6" t="s">
        <v>695</v>
      </c>
      <c r="F3353" s="6" t="s">
        <v>283</v>
      </c>
      <c r="G3353" s="6" t="s">
        <v>458</v>
      </c>
      <c r="H3353" s="11" t="s">
        <v>259</v>
      </c>
      <c r="I3353" s="12">
        <v>4.0</v>
      </c>
      <c r="J3353" s="6" t="s">
        <v>161</v>
      </c>
    </row>
    <row r="3354" ht="22.5" customHeight="1">
      <c r="A3354" s="6" t="s">
        <v>15896</v>
      </c>
      <c r="B3354" s="6" t="s">
        <v>8005</v>
      </c>
      <c r="C3354" s="10">
        <v>46073.0</v>
      </c>
      <c r="D3354" s="6" t="s">
        <v>391</v>
      </c>
      <c r="E3354" s="6" t="s">
        <v>1720</v>
      </c>
      <c r="F3354" s="6" t="s">
        <v>112</v>
      </c>
      <c r="G3354" s="6" t="s">
        <v>494</v>
      </c>
      <c r="H3354" s="11" t="s">
        <v>259</v>
      </c>
      <c r="I3354" s="12">
        <v>6.0</v>
      </c>
      <c r="J3354" s="6" t="s">
        <v>161</v>
      </c>
    </row>
    <row r="3355" ht="22.5" customHeight="1">
      <c r="A3355" s="6" t="s">
        <v>15900</v>
      </c>
      <c r="B3355" s="6" t="s">
        <v>8005</v>
      </c>
      <c r="C3355" s="10">
        <v>46062.0</v>
      </c>
      <c r="D3355" s="6" t="s">
        <v>436</v>
      </c>
      <c r="E3355" s="6" t="s">
        <v>1626</v>
      </c>
      <c r="F3355" s="6" t="s">
        <v>249</v>
      </c>
      <c r="G3355" s="6" t="s">
        <v>494</v>
      </c>
      <c r="H3355" s="10">
        <v>46065.0</v>
      </c>
      <c r="I3355" s="12">
        <v>6.0</v>
      </c>
      <c r="J3355" s="6" t="s">
        <v>178</v>
      </c>
    </row>
    <row r="3356" ht="22.5" customHeight="1">
      <c r="A3356" s="6" t="s">
        <v>15904</v>
      </c>
      <c r="B3356" s="6" t="s">
        <v>8005</v>
      </c>
      <c r="C3356" s="10">
        <v>46064.0</v>
      </c>
      <c r="D3356" s="6" t="s">
        <v>436</v>
      </c>
      <c r="E3356" s="6" t="s">
        <v>1035</v>
      </c>
      <c r="F3356" s="6" t="s">
        <v>112</v>
      </c>
      <c r="G3356" s="6" t="s">
        <v>254</v>
      </c>
      <c r="H3356" s="10">
        <v>46071.0</v>
      </c>
      <c r="I3356" s="12">
        <v>12.0</v>
      </c>
      <c r="J3356" s="6" t="s">
        <v>178</v>
      </c>
    </row>
    <row r="3357" ht="22.5" customHeight="1">
      <c r="A3357" s="6" t="s">
        <v>15909</v>
      </c>
      <c r="B3357" s="6" t="s">
        <v>8005</v>
      </c>
      <c r="C3357" s="10">
        <v>46054.0</v>
      </c>
      <c r="D3357" s="6" t="s">
        <v>391</v>
      </c>
      <c r="E3357" s="6" t="s">
        <v>450</v>
      </c>
      <c r="F3357" s="6" t="s">
        <v>439</v>
      </c>
      <c r="G3357" s="6" t="s">
        <v>326</v>
      </c>
      <c r="H3357" s="10">
        <v>46061.0</v>
      </c>
      <c r="I3357" s="12">
        <v>11.0</v>
      </c>
      <c r="J3357" s="6" t="s">
        <v>161</v>
      </c>
    </row>
    <row r="3358" ht="22.5" customHeight="1">
      <c r="A3358" s="6" t="s">
        <v>15913</v>
      </c>
      <c r="B3358" s="6" t="s">
        <v>8005</v>
      </c>
      <c r="C3358" s="10">
        <v>46069.0</v>
      </c>
      <c r="D3358" s="6" t="s">
        <v>677</v>
      </c>
      <c r="E3358" s="6" t="s">
        <v>320</v>
      </c>
      <c r="F3358" s="6" t="s">
        <v>439</v>
      </c>
      <c r="G3358" s="6" t="s">
        <v>494</v>
      </c>
      <c r="H3358" s="11" t="s">
        <v>259</v>
      </c>
      <c r="I3358" s="12">
        <v>2.0</v>
      </c>
      <c r="J3358" s="6" t="s">
        <v>161</v>
      </c>
    </row>
    <row r="3359" ht="22.5" customHeight="1">
      <c r="A3359" s="6" t="s">
        <v>15918</v>
      </c>
      <c r="B3359" s="6" t="s">
        <v>8011</v>
      </c>
      <c r="C3359" s="10">
        <v>46067.0</v>
      </c>
      <c r="D3359" s="6" t="s">
        <v>416</v>
      </c>
      <c r="E3359" s="6" t="s">
        <v>291</v>
      </c>
      <c r="F3359" s="6" t="s">
        <v>439</v>
      </c>
      <c r="G3359" s="6" t="s">
        <v>458</v>
      </c>
      <c r="H3359" s="10">
        <v>46073.0</v>
      </c>
      <c r="I3359" s="12">
        <v>12.0</v>
      </c>
      <c r="J3359" s="6" t="s">
        <v>161</v>
      </c>
    </row>
    <row r="3360" ht="22.5" customHeight="1">
      <c r="A3360" s="6" t="s">
        <v>15921</v>
      </c>
      <c r="B3360" s="6" t="s">
        <v>8018</v>
      </c>
      <c r="C3360" s="10">
        <v>46029.0</v>
      </c>
      <c r="D3360" s="6" t="s">
        <v>289</v>
      </c>
      <c r="E3360" s="6" t="s">
        <v>687</v>
      </c>
      <c r="F3360" s="6" t="s">
        <v>439</v>
      </c>
      <c r="G3360" s="6" t="s">
        <v>458</v>
      </c>
      <c r="H3360" s="10">
        <v>46036.0</v>
      </c>
      <c r="I3360" s="12">
        <v>6.0</v>
      </c>
      <c r="J3360" s="6" t="s">
        <v>161</v>
      </c>
    </row>
    <row r="3361" ht="22.5" customHeight="1">
      <c r="A3361" s="6" t="s">
        <v>15925</v>
      </c>
      <c r="B3361" s="6" t="s">
        <v>8018</v>
      </c>
      <c r="C3361" s="10">
        <v>46035.0</v>
      </c>
      <c r="D3361" s="6" t="s">
        <v>436</v>
      </c>
      <c r="E3361" s="6" t="s">
        <v>670</v>
      </c>
      <c r="F3361" s="6" t="s">
        <v>112</v>
      </c>
      <c r="G3361" s="6" t="s">
        <v>369</v>
      </c>
      <c r="H3361" s="11" t="s">
        <v>259</v>
      </c>
      <c r="I3361" s="12">
        <v>9.0</v>
      </c>
      <c r="J3361" s="6" t="s">
        <v>178</v>
      </c>
    </row>
    <row r="3362" ht="22.5" customHeight="1">
      <c r="A3362" s="6" t="s">
        <v>15928</v>
      </c>
      <c r="B3362" s="6" t="s">
        <v>8024</v>
      </c>
      <c r="C3362" s="10">
        <v>46078.0</v>
      </c>
      <c r="D3362" s="6" t="s">
        <v>391</v>
      </c>
      <c r="E3362" s="6" t="s">
        <v>1122</v>
      </c>
      <c r="F3362" s="6" t="s">
        <v>112</v>
      </c>
      <c r="G3362" s="6" t="s">
        <v>494</v>
      </c>
      <c r="H3362" s="10">
        <v>46078.0</v>
      </c>
      <c r="I3362" s="12">
        <v>8.0</v>
      </c>
      <c r="J3362" s="6" t="s">
        <v>161</v>
      </c>
    </row>
    <row r="3363" ht="22.5" customHeight="1">
      <c r="A3363" s="6" t="s">
        <v>15931</v>
      </c>
      <c r="B3363" s="6" t="s">
        <v>8024</v>
      </c>
      <c r="C3363" s="10">
        <v>46059.0</v>
      </c>
      <c r="D3363" s="6" t="s">
        <v>436</v>
      </c>
      <c r="E3363" s="6" t="s">
        <v>1122</v>
      </c>
      <c r="F3363" s="6" t="s">
        <v>439</v>
      </c>
      <c r="G3363" s="6" t="s">
        <v>254</v>
      </c>
      <c r="H3363" s="10">
        <v>46063.0</v>
      </c>
      <c r="I3363" s="12">
        <v>6.0</v>
      </c>
      <c r="J3363" s="6" t="s">
        <v>178</v>
      </c>
    </row>
    <row r="3364" ht="22.5" customHeight="1">
      <c r="A3364" s="6" t="s">
        <v>15933</v>
      </c>
      <c r="B3364" s="6" t="s">
        <v>8024</v>
      </c>
      <c r="C3364" s="10">
        <v>46061.0</v>
      </c>
      <c r="D3364" s="6" t="s">
        <v>242</v>
      </c>
      <c r="E3364" s="6" t="s">
        <v>1700</v>
      </c>
      <c r="F3364" s="6" t="s">
        <v>283</v>
      </c>
      <c r="G3364" s="6" t="s">
        <v>254</v>
      </c>
      <c r="H3364" s="10">
        <v>46062.0</v>
      </c>
      <c r="I3364" s="12">
        <v>3.0</v>
      </c>
      <c r="J3364" s="6" t="s">
        <v>178</v>
      </c>
    </row>
    <row r="3365" ht="22.5" customHeight="1">
      <c r="A3365" s="6" t="s">
        <v>15936</v>
      </c>
      <c r="B3365" s="6" t="s">
        <v>8031</v>
      </c>
      <c r="C3365" s="10">
        <v>46041.0</v>
      </c>
      <c r="D3365" s="6" t="s">
        <v>677</v>
      </c>
      <c r="E3365" s="6" t="s">
        <v>670</v>
      </c>
      <c r="F3365" s="6" t="s">
        <v>112</v>
      </c>
      <c r="G3365" s="6" t="s">
        <v>297</v>
      </c>
      <c r="H3365" s="10">
        <v>46041.0</v>
      </c>
      <c r="I3365" s="12">
        <v>2.0</v>
      </c>
      <c r="J3365" s="6" t="s">
        <v>161</v>
      </c>
    </row>
    <row r="3366" ht="22.5" customHeight="1">
      <c r="A3366" s="6" t="s">
        <v>15940</v>
      </c>
      <c r="B3366" s="6" t="s">
        <v>8031</v>
      </c>
      <c r="C3366" s="10">
        <v>46053.0</v>
      </c>
      <c r="D3366" s="6" t="s">
        <v>312</v>
      </c>
      <c r="E3366" s="6" t="s">
        <v>833</v>
      </c>
      <c r="F3366" s="6" t="s">
        <v>439</v>
      </c>
      <c r="G3366" s="6" t="s">
        <v>477</v>
      </c>
      <c r="H3366" s="10">
        <v>46057.0</v>
      </c>
      <c r="I3366" s="12">
        <v>7.0</v>
      </c>
      <c r="J3366" s="6" t="s">
        <v>161</v>
      </c>
    </row>
    <row r="3367" ht="22.5" customHeight="1">
      <c r="A3367" s="6" t="s">
        <v>15941</v>
      </c>
      <c r="B3367" s="6" t="s">
        <v>8031</v>
      </c>
      <c r="C3367" s="10">
        <v>46046.0</v>
      </c>
      <c r="D3367" s="6" t="s">
        <v>312</v>
      </c>
      <c r="E3367" s="6" t="s">
        <v>658</v>
      </c>
      <c r="F3367" s="6" t="s">
        <v>439</v>
      </c>
      <c r="G3367" s="6" t="s">
        <v>254</v>
      </c>
      <c r="H3367" s="10">
        <v>46047.0</v>
      </c>
      <c r="I3367" s="12">
        <v>4.0</v>
      </c>
      <c r="J3367" s="6" t="s">
        <v>161</v>
      </c>
    </row>
    <row r="3368" ht="22.5" customHeight="1">
      <c r="A3368" s="6" t="s">
        <v>15944</v>
      </c>
      <c r="B3368" s="6" t="s">
        <v>8031</v>
      </c>
      <c r="C3368" s="10">
        <v>46053.0</v>
      </c>
      <c r="D3368" s="6" t="s">
        <v>677</v>
      </c>
      <c r="E3368" s="6" t="s">
        <v>1280</v>
      </c>
      <c r="F3368" s="6" t="s">
        <v>439</v>
      </c>
      <c r="G3368" s="6" t="s">
        <v>477</v>
      </c>
      <c r="H3368" s="10">
        <v>46053.0</v>
      </c>
      <c r="I3368" s="12">
        <v>4.0</v>
      </c>
      <c r="J3368" s="6" t="s">
        <v>161</v>
      </c>
    </row>
    <row r="3369" ht="22.5" customHeight="1">
      <c r="A3369" s="6" t="s">
        <v>15948</v>
      </c>
      <c r="B3369" s="6" t="s">
        <v>8037</v>
      </c>
      <c r="C3369" s="10">
        <v>46072.0</v>
      </c>
      <c r="D3369" s="6" t="s">
        <v>242</v>
      </c>
      <c r="E3369" s="6" t="s">
        <v>670</v>
      </c>
      <c r="F3369" s="6" t="s">
        <v>249</v>
      </c>
      <c r="G3369" s="6" t="s">
        <v>452</v>
      </c>
      <c r="H3369" s="10">
        <v>46078.0</v>
      </c>
      <c r="I3369" s="12">
        <v>3.0</v>
      </c>
      <c r="J3369" s="6" t="s">
        <v>161</v>
      </c>
    </row>
    <row r="3370" ht="22.5" customHeight="1">
      <c r="A3370" s="6" t="s">
        <v>15949</v>
      </c>
      <c r="B3370" s="6" t="s">
        <v>8037</v>
      </c>
      <c r="C3370" s="10">
        <v>46062.0</v>
      </c>
      <c r="D3370" s="6" t="s">
        <v>391</v>
      </c>
      <c r="E3370" s="6" t="s">
        <v>466</v>
      </c>
      <c r="F3370" s="6" t="s">
        <v>112</v>
      </c>
      <c r="G3370" s="6" t="s">
        <v>494</v>
      </c>
      <c r="H3370" s="11" t="s">
        <v>259</v>
      </c>
      <c r="I3370" s="12">
        <v>9.0</v>
      </c>
      <c r="J3370" s="6" t="s">
        <v>161</v>
      </c>
    </row>
    <row r="3371" ht="22.5" customHeight="1">
      <c r="A3371" s="6" t="s">
        <v>15952</v>
      </c>
      <c r="B3371" s="6" t="s">
        <v>8044</v>
      </c>
      <c r="C3371" s="10">
        <v>46069.0</v>
      </c>
      <c r="D3371" s="6" t="s">
        <v>242</v>
      </c>
      <c r="E3371" s="6" t="s">
        <v>1626</v>
      </c>
      <c r="F3371" s="6" t="s">
        <v>283</v>
      </c>
      <c r="G3371" s="6" t="s">
        <v>458</v>
      </c>
      <c r="H3371" s="10">
        <v>46070.0</v>
      </c>
      <c r="I3371" s="12">
        <v>4.0</v>
      </c>
      <c r="J3371" s="6" t="s">
        <v>178</v>
      </c>
    </row>
    <row r="3372" ht="22.5" customHeight="1">
      <c r="A3372" s="6" t="s">
        <v>15956</v>
      </c>
      <c r="B3372" s="6" t="s">
        <v>8044</v>
      </c>
      <c r="C3372" s="10">
        <v>46080.0</v>
      </c>
      <c r="D3372" s="6" t="s">
        <v>436</v>
      </c>
      <c r="E3372" s="6" t="s">
        <v>394</v>
      </c>
      <c r="F3372" s="6" t="s">
        <v>112</v>
      </c>
      <c r="G3372" s="6" t="s">
        <v>369</v>
      </c>
      <c r="H3372" s="10">
        <v>46087.0</v>
      </c>
      <c r="I3372" s="12">
        <v>9.0</v>
      </c>
      <c r="J3372" s="6" t="s">
        <v>178</v>
      </c>
    </row>
    <row r="3373" ht="22.5" customHeight="1">
      <c r="A3373" s="6" t="s">
        <v>15958</v>
      </c>
      <c r="B3373" s="6" t="s">
        <v>8044</v>
      </c>
      <c r="C3373" s="10">
        <v>46066.0</v>
      </c>
      <c r="D3373" s="6" t="s">
        <v>416</v>
      </c>
      <c r="E3373" s="6" t="s">
        <v>610</v>
      </c>
      <c r="F3373" s="6" t="s">
        <v>439</v>
      </c>
      <c r="G3373" s="6" t="s">
        <v>369</v>
      </c>
      <c r="H3373" s="11" t="s">
        <v>259</v>
      </c>
      <c r="I3373" s="12">
        <v>8.0</v>
      </c>
      <c r="J3373" s="6" t="s">
        <v>161</v>
      </c>
    </row>
    <row r="3374" ht="22.5" customHeight="1">
      <c r="A3374" s="6" t="s">
        <v>15960</v>
      </c>
      <c r="B3374" s="6" t="s">
        <v>8044</v>
      </c>
      <c r="C3374" s="10">
        <v>46078.0</v>
      </c>
      <c r="D3374" s="6" t="s">
        <v>289</v>
      </c>
      <c r="E3374" s="6" t="s">
        <v>658</v>
      </c>
      <c r="F3374" s="6" t="s">
        <v>112</v>
      </c>
      <c r="G3374" s="6" t="s">
        <v>369</v>
      </c>
      <c r="H3374" s="10">
        <v>46080.0</v>
      </c>
      <c r="I3374" s="12">
        <v>7.0</v>
      </c>
      <c r="J3374" s="6" t="s">
        <v>161</v>
      </c>
    </row>
    <row r="3375" ht="22.5" customHeight="1">
      <c r="A3375" s="6" t="s">
        <v>15964</v>
      </c>
      <c r="B3375" s="6" t="s">
        <v>8044</v>
      </c>
      <c r="C3375" s="10">
        <v>46068.0</v>
      </c>
      <c r="D3375" s="6" t="s">
        <v>391</v>
      </c>
      <c r="E3375" s="6" t="s">
        <v>466</v>
      </c>
      <c r="F3375" s="6" t="s">
        <v>439</v>
      </c>
      <c r="G3375" s="6" t="s">
        <v>369</v>
      </c>
      <c r="H3375" s="10">
        <v>46074.0</v>
      </c>
      <c r="I3375" s="12">
        <v>11.0</v>
      </c>
      <c r="J3375" s="6" t="s">
        <v>161</v>
      </c>
    </row>
    <row r="3376" ht="22.5" customHeight="1">
      <c r="A3376" s="6" t="s">
        <v>15968</v>
      </c>
      <c r="B3376" s="6" t="s">
        <v>8050</v>
      </c>
      <c r="C3376" s="10">
        <v>46059.0</v>
      </c>
      <c r="D3376" s="6" t="s">
        <v>416</v>
      </c>
      <c r="E3376" s="6" t="s">
        <v>738</v>
      </c>
      <c r="F3376" s="6" t="s">
        <v>439</v>
      </c>
      <c r="G3376" s="6" t="s">
        <v>297</v>
      </c>
      <c r="H3376" s="10">
        <v>46062.0</v>
      </c>
      <c r="I3376" s="12">
        <v>12.0</v>
      </c>
      <c r="J3376" s="6" t="s">
        <v>161</v>
      </c>
    </row>
    <row r="3377" ht="22.5" customHeight="1">
      <c r="A3377" s="6" t="s">
        <v>15972</v>
      </c>
      <c r="B3377" s="6" t="s">
        <v>8050</v>
      </c>
      <c r="C3377" s="10">
        <v>46074.0</v>
      </c>
      <c r="D3377" s="6" t="s">
        <v>416</v>
      </c>
      <c r="E3377" s="6" t="s">
        <v>1700</v>
      </c>
      <c r="F3377" s="6" t="s">
        <v>439</v>
      </c>
      <c r="G3377" s="6" t="s">
        <v>369</v>
      </c>
      <c r="H3377" s="10">
        <v>46077.0</v>
      </c>
      <c r="I3377" s="12">
        <v>13.0</v>
      </c>
      <c r="J3377" s="6" t="s">
        <v>161</v>
      </c>
    </row>
    <row r="3378" ht="22.5" customHeight="1">
      <c r="A3378" s="6" t="s">
        <v>15976</v>
      </c>
      <c r="B3378" s="6" t="s">
        <v>8050</v>
      </c>
      <c r="C3378" s="10">
        <v>46073.0</v>
      </c>
      <c r="D3378" s="6" t="s">
        <v>391</v>
      </c>
      <c r="E3378" s="6" t="s">
        <v>365</v>
      </c>
      <c r="F3378" s="6" t="s">
        <v>283</v>
      </c>
      <c r="G3378" s="6" t="s">
        <v>494</v>
      </c>
      <c r="H3378" s="10">
        <v>46080.0</v>
      </c>
      <c r="I3378" s="12">
        <v>6.0</v>
      </c>
      <c r="J3378" s="6" t="s">
        <v>161</v>
      </c>
    </row>
    <row r="3379" ht="22.5" customHeight="1">
      <c r="A3379" s="6" t="s">
        <v>15982</v>
      </c>
      <c r="B3379" s="6" t="s">
        <v>8050</v>
      </c>
      <c r="C3379" s="10">
        <v>46065.0</v>
      </c>
      <c r="D3379" s="6" t="s">
        <v>289</v>
      </c>
      <c r="E3379" s="6" t="s">
        <v>1241</v>
      </c>
      <c r="F3379" s="6" t="s">
        <v>249</v>
      </c>
      <c r="G3379" s="6" t="s">
        <v>458</v>
      </c>
      <c r="H3379" s="10">
        <v>46069.0</v>
      </c>
      <c r="I3379" s="12">
        <v>9.0</v>
      </c>
      <c r="J3379" s="6" t="s">
        <v>161</v>
      </c>
    </row>
    <row r="3380" ht="22.5" customHeight="1">
      <c r="A3380" s="6" t="s">
        <v>15986</v>
      </c>
      <c r="B3380" s="6" t="s">
        <v>8050</v>
      </c>
      <c r="C3380" s="10">
        <v>46055.0</v>
      </c>
      <c r="D3380" s="6" t="s">
        <v>312</v>
      </c>
      <c r="E3380" s="6" t="s">
        <v>885</v>
      </c>
      <c r="F3380" s="6" t="s">
        <v>439</v>
      </c>
      <c r="G3380" s="6" t="s">
        <v>297</v>
      </c>
      <c r="H3380" s="10">
        <v>46062.0</v>
      </c>
      <c r="I3380" s="12">
        <v>5.0</v>
      </c>
      <c r="J3380" s="6" t="s">
        <v>161</v>
      </c>
    </row>
    <row r="3381" ht="22.5" customHeight="1">
      <c r="A3381" s="6" t="s">
        <v>15992</v>
      </c>
      <c r="B3381" s="6" t="s">
        <v>8056</v>
      </c>
      <c r="C3381" s="10">
        <v>46076.0</v>
      </c>
      <c r="D3381" s="6" t="s">
        <v>416</v>
      </c>
      <c r="E3381" s="6" t="s">
        <v>512</v>
      </c>
      <c r="F3381" s="6" t="s">
        <v>249</v>
      </c>
      <c r="G3381" s="6" t="s">
        <v>458</v>
      </c>
      <c r="H3381" s="10">
        <v>46082.0</v>
      </c>
      <c r="I3381" s="12">
        <v>11.0</v>
      </c>
      <c r="J3381" s="6" t="s">
        <v>161</v>
      </c>
    </row>
    <row r="3382" ht="22.5" customHeight="1">
      <c r="A3382" s="6" t="s">
        <v>15996</v>
      </c>
      <c r="B3382" s="6" t="s">
        <v>8056</v>
      </c>
      <c r="C3382" s="10">
        <v>46072.0</v>
      </c>
      <c r="D3382" s="6" t="s">
        <v>416</v>
      </c>
      <c r="E3382" s="6" t="s">
        <v>812</v>
      </c>
      <c r="F3382" s="6" t="s">
        <v>249</v>
      </c>
      <c r="G3382" s="6" t="s">
        <v>254</v>
      </c>
      <c r="H3382" s="10">
        <v>46079.0</v>
      </c>
      <c r="I3382" s="12">
        <v>14.0</v>
      </c>
      <c r="J3382" s="6" t="s">
        <v>161</v>
      </c>
    </row>
    <row r="3383" ht="22.5" customHeight="1">
      <c r="A3383" s="6" t="s">
        <v>16000</v>
      </c>
      <c r="B3383" s="6" t="s">
        <v>8062</v>
      </c>
      <c r="C3383" s="10">
        <v>46043.0</v>
      </c>
      <c r="D3383" s="6" t="s">
        <v>312</v>
      </c>
      <c r="E3383" s="6" t="s">
        <v>1969</v>
      </c>
      <c r="F3383" s="6" t="s">
        <v>249</v>
      </c>
      <c r="G3383" s="6" t="s">
        <v>452</v>
      </c>
      <c r="H3383" s="10">
        <v>46046.0</v>
      </c>
      <c r="I3383" s="12">
        <v>4.0</v>
      </c>
      <c r="J3383" s="6" t="s">
        <v>161</v>
      </c>
    </row>
    <row r="3384" ht="22.5" customHeight="1">
      <c r="A3384" s="6" t="s">
        <v>16007</v>
      </c>
      <c r="B3384" s="6" t="s">
        <v>8062</v>
      </c>
      <c r="C3384" s="10">
        <v>46038.0</v>
      </c>
      <c r="D3384" s="6" t="s">
        <v>416</v>
      </c>
      <c r="E3384" s="6" t="s">
        <v>1280</v>
      </c>
      <c r="F3384" s="6" t="s">
        <v>249</v>
      </c>
      <c r="G3384" s="6" t="s">
        <v>369</v>
      </c>
      <c r="H3384" s="10">
        <v>46041.0</v>
      </c>
      <c r="I3384" s="12">
        <v>10.0</v>
      </c>
      <c r="J3384" s="6" t="s">
        <v>161</v>
      </c>
    </row>
    <row r="3385" ht="22.5" customHeight="1">
      <c r="A3385" s="6" t="s">
        <v>16012</v>
      </c>
      <c r="B3385" s="6" t="s">
        <v>8062</v>
      </c>
      <c r="C3385" s="10">
        <v>46040.0</v>
      </c>
      <c r="D3385" s="6" t="s">
        <v>391</v>
      </c>
      <c r="E3385" s="6" t="s">
        <v>775</v>
      </c>
      <c r="F3385" s="6" t="s">
        <v>439</v>
      </c>
      <c r="G3385" s="6" t="s">
        <v>458</v>
      </c>
      <c r="H3385" s="10">
        <v>46045.0</v>
      </c>
      <c r="I3385" s="12">
        <v>11.0</v>
      </c>
      <c r="J3385" s="6" t="s">
        <v>161</v>
      </c>
    </row>
    <row r="3386" ht="22.5" customHeight="1">
      <c r="A3386" s="6" t="s">
        <v>16017</v>
      </c>
      <c r="B3386" s="6" t="s">
        <v>8069</v>
      </c>
      <c r="C3386" s="10">
        <v>46061.0</v>
      </c>
      <c r="D3386" s="6" t="s">
        <v>391</v>
      </c>
      <c r="E3386" s="6" t="s">
        <v>1386</v>
      </c>
      <c r="F3386" s="6" t="s">
        <v>249</v>
      </c>
      <c r="G3386" s="6" t="s">
        <v>297</v>
      </c>
      <c r="H3386" s="10">
        <v>46067.0</v>
      </c>
      <c r="I3386" s="12">
        <v>6.0</v>
      </c>
      <c r="J3386" s="6" t="s">
        <v>161</v>
      </c>
    </row>
    <row r="3387" ht="22.5" customHeight="1">
      <c r="A3387" s="6" t="s">
        <v>16020</v>
      </c>
      <c r="B3387" s="6" t="s">
        <v>8075</v>
      </c>
      <c r="C3387" s="10">
        <v>46053.0</v>
      </c>
      <c r="D3387" s="6" t="s">
        <v>436</v>
      </c>
      <c r="E3387" s="6" t="s">
        <v>394</v>
      </c>
      <c r="F3387" s="6" t="s">
        <v>249</v>
      </c>
      <c r="G3387" s="6" t="s">
        <v>477</v>
      </c>
      <c r="H3387" s="10">
        <v>46053.0</v>
      </c>
      <c r="I3387" s="12">
        <v>6.0</v>
      </c>
      <c r="J3387" s="6" t="s">
        <v>178</v>
      </c>
    </row>
    <row r="3388" ht="22.5" customHeight="1">
      <c r="A3388" s="6" t="s">
        <v>16024</v>
      </c>
      <c r="B3388" s="6" t="s">
        <v>8075</v>
      </c>
      <c r="C3388" s="10">
        <v>46048.0</v>
      </c>
      <c r="D3388" s="6" t="s">
        <v>289</v>
      </c>
      <c r="E3388" s="6" t="s">
        <v>1600</v>
      </c>
      <c r="F3388" s="6" t="s">
        <v>249</v>
      </c>
      <c r="G3388" s="6" t="s">
        <v>254</v>
      </c>
      <c r="H3388" s="11" t="s">
        <v>259</v>
      </c>
      <c r="I3388" s="12">
        <v>5.0</v>
      </c>
      <c r="J3388" s="6" t="s">
        <v>161</v>
      </c>
    </row>
    <row r="3389" ht="22.5" customHeight="1">
      <c r="A3389" s="6" t="s">
        <v>16027</v>
      </c>
      <c r="B3389" s="6" t="s">
        <v>8075</v>
      </c>
      <c r="C3389" s="10">
        <v>46062.0</v>
      </c>
      <c r="D3389" s="6" t="s">
        <v>391</v>
      </c>
      <c r="E3389" s="6" t="s">
        <v>695</v>
      </c>
      <c r="F3389" s="6" t="s">
        <v>283</v>
      </c>
      <c r="G3389" s="6" t="s">
        <v>326</v>
      </c>
      <c r="H3389" s="10">
        <v>46069.0</v>
      </c>
      <c r="I3389" s="12">
        <v>10.0</v>
      </c>
      <c r="J3389" s="6" t="s">
        <v>161</v>
      </c>
    </row>
    <row r="3390" ht="22.5" customHeight="1">
      <c r="A3390" s="6" t="s">
        <v>16030</v>
      </c>
      <c r="B3390" s="6" t="s">
        <v>8082</v>
      </c>
      <c r="C3390" s="10">
        <v>46059.0</v>
      </c>
      <c r="D3390" s="6" t="s">
        <v>677</v>
      </c>
      <c r="E3390" s="6" t="s">
        <v>1055</v>
      </c>
      <c r="F3390" s="6" t="s">
        <v>112</v>
      </c>
      <c r="G3390" s="6" t="s">
        <v>326</v>
      </c>
      <c r="H3390" s="10">
        <v>46062.0</v>
      </c>
      <c r="I3390" s="12">
        <v>2.0</v>
      </c>
      <c r="J3390" s="6" t="s">
        <v>161</v>
      </c>
    </row>
    <row r="3391" ht="22.5" customHeight="1">
      <c r="A3391" s="6" t="s">
        <v>16033</v>
      </c>
      <c r="B3391" s="6" t="s">
        <v>8082</v>
      </c>
      <c r="C3391" s="10">
        <v>46056.0</v>
      </c>
      <c r="D3391" s="6" t="s">
        <v>391</v>
      </c>
      <c r="E3391" s="6" t="s">
        <v>885</v>
      </c>
      <c r="F3391" s="6" t="s">
        <v>112</v>
      </c>
      <c r="G3391" s="6" t="s">
        <v>297</v>
      </c>
      <c r="H3391" s="10">
        <v>46057.0</v>
      </c>
      <c r="I3391" s="12">
        <v>9.0</v>
      </c>
      <c r="J3391" s="6" t="s">
        <v>161</v>
      </c>
    </row>
    <row r="3392" ht="22.5" customHeight="1">
      <c r="A3392" s="6" t="s">
        <v>16038</v>
      </c>
      <c r="B3392" s="6" t="s">
        <v>8082</v>
      </c>
      <c r="C3392" s="10">
        <v>46069.0</v>
      </c>
      <c r="D3392" s="6" t="s">
        <v>312</v>
      </c>
      <c r="E3392" s="6" t="s">
        <v>618</v>
      </c>
      <c r="F3392" s="6" t="s">
        <v>439</v>
      </c>
      <c r="G3392" s="6" t="s">
        <v>326</v>
      </c>
      <c r="H3392" s="10">
        <v>46070.0</v>
      </c>
      <c r="I3392" s="12">
        <v>7.0</v>
      </c>
      <c r="J3392" s="6" t="s">
        <v>161</v>
      </c>
    </row>
    <row r="3393" ht="22.5" customHeight="1">
      <c r="A3393" s="6" t="s">
        <v>16043</v>
      </c>
      <c r="B3393" s="6" t="s">
        <v>8088</v>
      </c>
      <c r="C3393" s="10">
        <v>46061.0</v>
      </c>
      <c r="D3393" s="6" t="s">
        <v>416</v>
      </c>
      <c r="E3393" s="6" t="s">
        <v>695</v>
      </c>
      <c r="F3393" s="6" t="s">
        <v>439</v>
      </c>
      <c r="G3393" s="6" t="s">
        <v>458</v>
      </c>
      <c r="H3393" s="10">
        <v>46067.0</v>
      </c>
      <c r="I3393" s="12">
        <v>10.0</v>
      </c>
      <c r="J3393" s="6" t="s">
        <v>161</v>
      </c>
    </row>
    <row r="3394" ht="22.5" customHeight="1">
      <c r="A3394" s="6" t="s">
        <v>16047</v>
      </c>
      <c r="B3394" s="6" t="s">
        <v>8088</v>
      </c>
      <c r="C3394" s="10">
        <v>46043.0</v>
      </c>
      <c r="D3394" s="6" t="s">
        <v>416</v>
      </c>
      <c r="E3394" s="6" t="s">
        <v>1055</v>
      </c>
      <c r="F3394" s="6" t="s">
        <v>112</v>
      </c>
      <c r="G3394" s="6" t="s">
        <v>326</v>
      </c>
      <c r="H3394" s="10">
        <v>46049.0</v>
      </c>
      <c r="I3394" s="12">
        <v>8.0</v>
      </c>
      <c r="J3394" s="6" t="s">
        <v>161</v>
      </c>
    </row>
    <row r="3395" ht="22.5" customHeight="1">
      <c r="A3395" s="6" t="s">
        <v>16051</v>
      </c>
      <c r="B3395" s="6" t="s">
        <v>8088</v>
      </c>
      <c r="C3395" s="10">
        <v>46044.0</v>
      </c>
      <c r="D3395" s="6" t="s">
        <v>242</v>
      </c>
      <c r="E3395" s="6" t="s">
        <v>1149</v>
      </c>
      <c r="F3395" s="6" t="s">
        <v>112</v>
      </c>
      <c r="G3395" s="6" t="s">
        <v>326</v>
      </c>
      <c r="H3395" s="10">
        <v>46046.0</v>
      </c>
      <c r="I3395" s="12">
        <v>6.0</v>
      </c>
      <c r="J3395" s="6" t="s">
        <v>178</v>
      </c>
    </row>
    <row r="3396" ht="22.5" customHeight="1">
      <c r="A3396" s="6" t="s">
        <v>16056</v>
      </c>
      <c r="B3396" s="6" t="s">
        <v>8088</v>
      </c>
      <c r="C3396" s="10">
        <v>46049.0</v>
      </c>
      <c r="D3396" s="6" t="s">
        <v>677</v>
      </c>
      <c r="E3396" s="6" t="s">
        <v>1386</v>
      </c>
      <c r="F3396" s="6" t="s">
        <v>112</v>
      </c>
      <c r="G3396" s="6" t="s">
        <v>458</v>
      </c>
      <c r="H3396" s="10">
        <v>46051.0</v>
      </c>
      <c r="I3396" s="12">
        <v>4.0</v>
      </c>
      <c r="J3396" s="6" t="s">
        <v>161</v>
      </c>
    </row>
    <row r="3397" ht="22.5" customHeight="1">
      <c r="A3397" s="6" t="s">
        <v>16060</v>
      </c>
      <c r="B3397" s="6" t="s">
        <v>8095</v>
      </c>
      <c r="C3397" s="10">
        <v>46040.0</v>
      </c>
      <c r="D3397" s="6" t="s">
        <v>289</v>
      </c>
      <c r="E3397" s="6" t="s">
        <v>1070</v>
      </c>
      <c r="F3397" s="6" t="s">
        <v>439</v>
      </c>
      <c r="G3397" s="6" t="s">
        <v>326</v>
      </c>
      <c r="H3397" s="10">
        <v>46042.0</v>
      </c>
      <c r="I3397" s="12">
        <v>7.0</v>
      </c>
      <c r="J3397" s="6" t="s">
        <v>161</v>
      </c>
    </row>
    <row r="3398" ht="22.5" customHeight="1">
      <c r="A3398" s="6" t="s">
        <v>16065</v>
      </c>
      <c r="B3398" s="6" t="s">
        <v>8095</v>
      </c>
      <c r="C3398" s="10">
        <v>46050.0</v>
      </c>
      <c r="D3398" s="6" t="s">
        <v>242</v>
      </c>
      <c r="E3398" s="6" t="s">
        <v>1552</v>
      </c>
      <c r="F3398" s="6" t="s">
        <v>112</v>
      </c>
      <c r="G3398" s="6" t="s">
        <v>297</v>
      </c>
      <c r="H3398" s="10">
        <v>46053.0</v>
      </c>
      <c r="I3398" s="12">
        <v>6.0</v>
      </c>
      <c r="J3398" s="6" t="s">
        <v>178</v>
      </c>
    </row>
    <row r="3399" ht="22.5" customHeight="1">
      <c r="A3399" s="6" t="s">
        <v>16069</v>
      </c>
      <c r="B3399" s="6" t="s">
        <v>8095</v>
      </c>
      <c r="C3399" s="10">
        <v>46044.0</v>
      </c>
      <c r="D3399" s="6" t="s">
        <v>391</v>
      </c>
      <c r="E3399" s="6" t="s">
        <v>466</v>
      </c>
      <c r="F3399" s="6" t="s">
        <v>439</v>
      </c>
      <c r="G3399" s="6" t="s">
        <v>326</v>
      </c>
      <c r="H3399" s="10">
        <v>46048.0</v>
      </c>
      <c r="I3399" s="12">
        <v>6.0</v>
      </c>
      <c r="J3399" s="6" t="s">
        <v>161</v>
      </c>
    </row>
    <row r="3400" ht="22.5" customHeight="1">
      <c r="A3400" s="6" t="s">
        <v>16074</v>
      </c>
      <c r="B3400" s="6" t="s">
        <v>8095</v>
      </c>
      <c r="C3400" s="10">
        <v>46038.0</v>
      </c>
      <c r="D3400" s="6" t="s">
        <v>436</v>
      </c>
      <c r="E3400" s="6" t="s">
        <v>687</v>
      </c>
      <c r="F3400" s="6" t="s">
        <v>249</v>
      </c>
      <c r="G3400" s="6" t="s">
        <v>326</v>
      </c>
      <c r="H3400" s="11" t="s">
        <v>259</v>
      </c>
      <c r="I3400" s="12">
        <v>8.0</v>
      </c>
      <c r="J3400" s="6" t="s">
        <v>178</v>
      </c>
    </row>
    <row r="3401" ht="22.5" customHeight="1">
      <c r="A3401" s="6" t="s">
        <v>16079</v>
      </c>
      <c r="B3401" s="6" t="s">
        <v>8095</v>
      </c>
      <c r="C3401" s="10">
        <v>46039.0</v>
      </c>
      <c r="D3401" s="6" t="s">
        <v>391</v>
      </c>
      <c r="E3401" s="6" t="s">
        <v>955</v>
      </c>
      <c r="F3401" s="6" t="s">
        <v>249</v>
      </c>
      <c r="G3401" s="6" t="s">
        <v>477</v>
      </c>
      <c r="H3401" s="10">
        <v>46043.0</v>
      </c>
      <c r="I3401" s="12">
        <v>8.0</v>
      </c>
      <c r="J3401" s="6" t="s">
        <v>161</v>
      </c>
    </row>
    <row r="3402" ht="22.5" customHeight="1">
      <c r="A3402" s="6" t="s">
        <v>16083</v>
      </c>
      <c r="B3402" s="6" t="s">
        <v>8101</v>
      </c>
      <c r="C3402" s="10">
        <v>46071.0</v>
      </c>
      <c r="D3402" s="6" t="s">
        <v>391</v>
      </c>
      <c r="E3402" s="6" t="s">
        <v>658</v>
      </c>
      <c r="F3402" s="6" t="s">
        <v>112</v>
      </c>
      <c r="G3402" s="6" t="s">
        <v>254</v>
      </c>
      <c r="H3402" s="10">
        <v>46075.0</v>
      </c>
      <c r="I3402" s="12">
        <v>7.0</v>
      </c>
      <c r="J3402" s="6" t="s">
        <v>161</v>
      </c>
    </row>
    <row r="3403" ht="22.5" customHeight="1">
      <c r="A3403" s="6" t="s">
        <v>16087</v>
      </c>
      <c r="B3403" s="6" t="s">
        <v>8101</v>
      </c>
      <c r="C3403" s="10">
        <v>46075.0</v>
      </c>
      <c r="D3403" s="6" t="s">
        <v>312</v>
      </c>
      <c r="E3403" s="6" t="s">
        <v>896</v>
      </c>
      <c r="F3403" s="6" t="s">
        <v>439</v>
      </c>
      <c r="G3403" s="6" t="s">
        <v>494</v>
      </c>
      <c r="H3403" s="10">
        <v>46075.0</v>
      </c>
      <c r="I3403" s="12">
        <v>7.0</v>
      </c>
      <c r="J3403" s="6" t="s">
        <v>161</v>
      </c>
    </row>
    <row r="3404" ht="22.5" customHeight="1">
      <c r="A3404" s="6" t="s">
        <v>16089</v>
      </c>
      <c r="B3404" s="6" t="s">
        <v>8101</v>
      </c>
      <c r="C3404" s="10">
        <v>46058.0</v>
      </c>
      <c r="D3404" s="6" t="s">
        <v>677</v>
      </c>
      <c r="E3404" s="6" t="s">
        <v>896</v>
      </c>
      <c r="F3404" s="6" t="s">
        <v>283</v>
      </c>
      <c r="G3404" s="6" t="s">
        <v>254</v>
      </c>
      <c r="H3404" s="10">
        <v>46063.0</v>
      </c>
      <c r="I3404" s="12">
        <v>3.0</v>
      </c>
      <c r="J3404" s="6" t="s">
        <v>161</v>
      </c>
    </row>
    <row r="3405" ht="22.5" customHeight="1">
      <c r="A3405" s="6" t="s">
        <v>16094</v>
      </c>
      <c r="B3405" s="6" t="s">
        <v>8101</v>
      </c>
      <c r="C3405" s="10">
        <v>46068.0</v>
      </c>
      <c r="D3405" s="6" t="s">
        <v>312</v>
      </c>
      <c r="E3405" s="6" t="s">
        <v>885</v>
      </c>
      <c r="F3405" s="6" t="s">
        <v>439</v>
      </c>
      <c r="G3405" s="6" t="s">
        <v>477</v>
      </c>
      <c r="H3405" s="10">
        <v>46072.0</v>
      </c>
      <c r="I3405" s="12">
        <v>6.0</v>
      </c>
      <c r="J3405" s="6" t="s">
        <v>161</v>
      </c>
    </row>
    <row r="3406" ht="22.5" customHeight="1">
      <c r="A3406" s="6" t="s">
        <v>16101</v>
      </c>
      <c r="B3406" s="6" t="s">
        <v>8108</v>
      </c>
      <c r="C3406" s="10">
        <v>46044.0</v>
      </c>
      <c r="D3406" s="6" t="s">
        <v>391</v>
      </c>
      <c r="E3406" s="6" t="s">
        <v>1600</v>
      </c>
      <c r="F3406" s="6" t="s">
        <v>439</v>
      </c>
      <c r="G3406" s="6" t="s">
        <v>326</v>
      </c>
      <c r="H3406" s="10">
        <v>46051.0</v>
      </c>
      <c r="I3406" s="12">
        <v>6.0</v>
      </c>
      <c r="J3406" s="6" t="s">
        <v>161</v>
      </c>
    </row>
    <row r="3407" ht="22.5" customHeight="1">
      <c r="A3407" s="6" t="s">
        <v>16107</v>
      </c>
      <c r="B3407" s="6" t="s">
        <v>8108</v>
      </c>
      <c r="C3407" s="10">
        <v>46045.0</v>
      </c>
      <c r="D3407" s="6" t="s">
        <v>242</v>
      </c>
      <c r="E3407" s="6" t="s">
        <v>1552</v>
      </c>
      <c r="F3407" s="6" t="s">
        <v>283</v>
      </c>
      <c r="G3407" s="6" t="s">
        <v>326</v>
      </c>
      <c r="H3407" s="11" t="s">
        <v>259</v>
      </c>
      <c r="I3407" s="12">
        <v>4.0</v>
      </c>
      <c r="J3407" s="6" t="s">
        <v>161</v>
      </c>
    </row>
    <row r="3408" ht="22.5" customHeight="1">
      <c r="A3408" s="6" t="s">
        <v>16112</v>
      </c>
      <c r="B3408" s="6" t="s">
        <v>8108</v>
      </c>
      <c r="C3408" s="10">
        <v>46051.0</v>
      </c>
      <c r="D3408" s="6" t="s">
        <v>312</v>
      </c>
      <c r="E3408" s="6" t="s">
        <v>1741</v>
      </c>
      <c r="F3408" s="6" t="s">
        <v>283</v>
      </c>
      <c r="G3408" s="6" t="s">
        <v>297</v>
      </c>
      <c r="H3408" s="10">
        <v>46057.0</v>
      </c>
      <c r="I3408" s="12">
        <v>6.0</v>
      </c>
      <c r="J3408" s="6" t="s">
        <v>161</v>
      </c>
    </row>
    <row r="3409" ht="22.5" customHeight="1">
      <c r="A3409" s="6" t="s">
        <v>16115</v>
      </c>
      <c r="B3409" s="6" t="s">
        <v>8108</v>
      </c>
      <c r="C3409" s="10">
        <v>46048.0</v>
      </c>
      <c r="D3409" s="6" t="s">
        <v>416</v>
      </c>
      <c r="E3409" s="6" t="s">
        <v>1122</v>
      </c>
      <c r="F3409" s="6" t="s">
        <v>283</v>
      </c>
      <c r="G3409" s="6" t="s">
        <v>369</v>
      </c>
      <c r="H3409" s="10">
        <v>46048.0</v>
      </c>
      <c r="I3409" s="12">
        <v>11.0</v>
      </c>
      <c r="J3409" s="6" t="s">
        <v>161</v>
      </c>
    </row>
    <row r="3410" ht="22.5" customHeight="1">
      <c r="A3410" s="6" t="s">
        <v>16119</v>
      </c>
      <c r="B3410" s="6" t="s">
        <v>8108</v>
      </c>
      <c r="C3410" s="10">
        <v>46040.0</v>
      </c>
      <c r="D3410" s="6" t="s">
        <v>391</v>
      </c>
      <c r="E3410" s="6" t="s">
        <v>1720</v>
      </c>
      <c r="F3410" s="6" t="s">
        <v>249</v>
      </c>
      <c r="G3410" s="6" t="s">
        <v>369</v>
      </c>
      <c r="H3410" s="11" t="s">
        <v>259</v>
      </c>
      <c r="I3410" s="12">
        <v>11.0</v>
      </c>
      <c r="J3410" s="6" t="s">
        <v>161</v>
      </c>
    </row>
    <row r="3411" ht="22.5" customHeight="1">
      <c r="A3411" s="6" t="s">
        <v>16125</v>
      </c>
      <c r="B3411" s="6" t="s">
        <v>8114</v>
      </c>
      <c r="C3411" s="10">
        <v>46063.0</v>
      </c>
      <c r="D3411" s="6" t="s">
        <v>416</v>
      </c>
      <c r="E3411" s="6" t="s">
        <v>618</v>
      </c>
      <c r="F3411" s="6" t="s">
        <v>283</v>
      </c>
      <c r="G3411" s="6" t="s">
        <v>254</v>
      </c>
      <c r="H3411" s="10">
        <v>46067.0</v>
      </c>
      <c r="I3411" s="12">
        <v>14.0</v>
      </c>
      <c r="J3411" s="6" t="s">
        <v>161</v>
      </c>
    </row>
    <row r="3412" ht="22.5" customHeight="1">
      <c r="A3412" s="6" t="s">
        <v>16128</v>
      </c>
      <c r="B3412" s="6" t="s">
        <v>8114</v>
      </c>
      <c r="C3412" s="10">
        <v>46062.0</v>
      </c>
      <c r="D3412" s="6" t="s">
        <v>312</v>
      </c>
      <c r="E3412" s="6" t="s">
        <v>885</v>
      </c>
      <c r="F3412" s="6" t="s">
        <v>439</v>
      </c>
      <c r="G3412" s="6" t="s">
        <v>297</v>
      </c>
      <c r="H3412" s="11" t="s">
        <v>259</v>
      </c>
      <c r="I3412" s="12">
        <v>7.0</v>
      </c>
      <c r="J3412" s="6" t="s">
        <v>161</v>
      </c>
    </row>
    <row r="3413" ht="22.5" customHeight="1">
      <c r="A3413" s="6" t="s">
        <v>16132</v>
      </c>
      <c r="B3413" s="6" t="s">
        <v>8121</v>
      </c>
      <c r="C3413" s="10">
        <v>46070.0</v>
      </c>
      <c r="D3413" s="6" t="s">
        <v>312</v>
      </c>
      <c r="E3413" s="6" t="s">
        <v>1280</v>
      </c>
      <c r="F3413" s="6" t="s">
        <v>112</v>
      </c>
      <c r="G3413" s="6" t="s">
        <v>254</v>
      </c>
      <c r="H3413" s="10">
        <v>46071.0</v>
      </c>
      <c r="I3413" s="12">
        <v>4.0</v>
      </c>
      <c r="J3413" s="6" t="s">
        <v>161</v>
      </c>
    </row>
    <row r="3414" ht="22.5" customHeight="1">
      <c r="A3414" s="6" t="s">
        <v>16135</v>
      </c>
      <c r="B3414" s="6" t="s">
        <v>8128</v>
      </c>
      <c r="C3414" s="10">
        <v>46069.0</v>
      </c>
      <c r="D3414" s="6" t="s">
        <v>416</v>
      </c>
      <c r="E3414" s="6" t="s">
        <v>955</v>
      </c>
      <c r="F3414" s="6" t="s">
        <v>249</v>
      </c>
      <c r="G3414" s="6" t="s">
        <v>254</v>
      </c>
      <c r="H3414" s="10">
        <v>46073.0</v>
      </c>
      <c r="I3414" s="12">
        <v>11.0</v>
      </c>
      <c r="J3414" s="6" t="s">
        <v>161</v>
      </c>
    </row>
    <row r="3415" ht="22.5" customHeight="1">
      <c r="A3415" s="6" t="s">
        <v>16139</v>
      </c>
      <c r="B3415" s="6" t="s">
        <v>8128</v>
      </c>
      <c r="C3415" s="10">
        <v>46071.0</v>
      </c>
      <c r="D3415" s="6" t="s">
        <v>416</v>
      </c>
      <c r="E3415" s="6" t="s">
        <v>1241</v>
      </c>
      <c r="F3415" s="6" t="s">
        <v>439</v>
      </c>
      <c r="G3415" s="6" t="s">
        <v>254</v>
      </c>
      <c r="H3415" s="10">
        <v>46077.0</v>
      </c>
      <c r="I3415" s="12">
        <v>11.0</v>
      </c>
      <c r="J3415" s="6" t="s">
        <v>161</v>
      </c>
    </row>
    <row r="3416" ht="22.5" customHeight="1">
      <c r="A3416" s="6" t="s">
        <v>16145</v>
      </c>
      <c r="B3416" s="6" t="s">
        <v>8128</v>
      </c>
      <c r="C3416" s="10">
        <v>46082.0</v>
      </c>
      <c r="D3416" s="6" t="s">
        <v>677</v>
      </c>
      <c r="E3416" s="6" t="s">
        <v>1102</v>
      </c>
      <c r="F3416" s="6" t="s">
        <v>249</v>
      </c>
      <c r="G3416" s="6" t="s">
        <v>369</v>
      </c>
      <c r="H3416" s="10">
        <v>46089.0</v>
      </c>
      <c r="I3416" s="12">
        <v>3.0</v>
      </c>
      <c r="J3416" s="6" t="s">
        <v>161</v>
      </c>
    </row>
    <row r="3417" ht="22.5" customHeight="1">
      <c r="A3417" s="6" t="s">
        <v>16149</v>
      </c>
      <c r="B3417" s="6" t="s">
        <v>8134</v>
      </c>
      <c r="C3417" s="10">
        <v>46044.0</v>
      </c>
      <c r="D3417" s="6" t="s">
        <v>242</v>
      </c>
      <c r="E3417" s="6" t="s">
        <v>417</v>
      </c>
      <c r="F3417" s="6" t="s">
        <v>439</v>
      </c>
      <c r="G3417" s="6" t="s">
        <v>297</v>
      </c>
      <c r="H3417" s="10">
        <v>46047.0</v>
      </c>
      <c r="I3417" s="12">
        <v>5.0</v>
      </c>
      <c r="J3417" s="6" t="s">
        <v>178</v>
      </c>
    </row>
    <row r="3418" ht="22.5" customHeight="1">
      <c r="A3418" s="6" t="s">
        <v>16156</v>
      </c>
      <c r="B3418" s="6" t="s">
        <v>8134</v>
      </c>
      <c r="C3418" s="10">
        <v>46053.0</v>
      </c>
      <c r="D3418" s="6" t="s">
        <v>416</v>
      </c>
      <c r="E3418" s="6" t="s">
        <v>1102</v>
      </c>
      <c r="F3418" s="6" t="s">
        <v>283</v>
      </c>
      <c r="G3418" s="6" t="s">
        <v>297</v>
      </c>
      <c r="H3418" s="10">
        <v>46053.0</v>
      </c>
      <c r="I3418" s="12">
        <v>8.0</v>
      </c>
      <c r="J3418" s="6" t="s">
        <v>161</v>
      </c>
    </row>
    <row r="3419" ht="22.5" customHeight="1">
      <c r="A3419" s="6" t="s">
        <v>16162</v>
      </c>
      <c r="B3419" s="6" t="s">
        <v>8134</v>
      </c>
      <c r="C3419" s="10">
        <v>46050.0</v>
      </c>
      <c r="D3419" s="6" t="s">
        <v>242</v>
      </c>
      <c r="E3419" s="6" t="s">
        <v>1310</v>
      </c>
      <c r="F3419" s="6" t="s">
        <v>249</v>
      </c>
      <c r="G3419" s="6" t="s">
        <v>494</v>
      </c>
      <c r="H3419" s="10">
        <v>46054.0</v>
      </c>
      <c r="I3419" s="12">
        <v>6.0</v>
      </c>
      <c r="J3419" s="6" t="s">
        <v>161</v>
      </c>
    </row>
    <row r="3420" ht="22.5" customHeight="1">
      <c r="A3420" s="6" t="s">
        <v>16169</v>
      </c>
      <c r="B3420" s="6" t="s">
        <v>8134</v>
      </c>
      <c r="C3420" s="10">
        <v>46040.0</v>
      </c>
      <c r="D3420" s="6" t="s">
        <v>436</v>
      </c>
      <c r="E3420" s="6" t="s">
        <v>291</v>
      </c>
      <c r="F3420" s="6" t="s">
        <v>283</v>
      </c>
      <c r="G3420" s="6" t="s">
        <v>494</v>
      </c>
      <c r="H3420" s="10">
        <v>46047.0</v>
      </c>
      <c r="I3420" s="12">
        <v>11.0</v>
      </c>
      <c r="J3420" s="6" t="s">
        <v>161</v>
      </c>
    </row>
    <row r="3421" ht="22.5" customHeight="1">
      <c r="A3421" s="6" t="s">
        <v>16176</v>
      </c>
      <c r="B3421" s="6" t="s">
        <v>8140</v>
      </c>
      <c r="C3421" s="10">
        <v>46066.0</v>
      </c>
      <c r="D3421" s="6" t="s">
        <v>677</v>
      </c>
      <c r="E3421" s="6" t="s">
        <v>320</v>
      </c>
      <c r="F3421" s="6" t="s">
        <v>439</v>
      </c>
      <c r="G3421" s="6" t="s">
        <v>297</v>
      </c>
      <c r="H3421" s="10">
        <v>46069.0</v>
      </c>
      <c r="I3421" s="12">
        <v>3.0</v>
      </c>
      <c r="J3421" s="6" t="s">
        <v>161</v>
      </c>
    </row>
    <row r="3422" ht="22.5" customHeight="1">
      <c r="A3422" s="6" t="s">
        <v>16185</v>
      </c>
      <c r="B3422" s="6" t="s">
        <v>8140</v>
      </c>
      <c r="C3422" s="10">
        <v>46066.0</v>
      </c>
      <c r="D3422" s="6" t="s">
        <v>391</v>
      </c>
      <c r="E3422" s="6" t="s">
        <v>417</v>
      </c>
      <c r="F3422" s="6" t="s">
        <v>439</v>
      </c>
      <c r="G3422" s="6" t="s">
        <v>297</v>
      </c>
      <c r="H3422" s="10">
        <v>46073.0</v>
      </c>
      <c r="I3422" s="12">
        <v>9.0</v>
      </c>
      <c r="J3422" s="6" t="s">
        <v>161</v>
      </c>
    </row>
    <row r="3423" ht="22.5" customHeight="1">
      <c r="A3423" s="6" t="s">
        <v>16191</v>
      </c>
      <c r="B3423" s="6" t="s">
        <v>8147</v>
      </c>
      <c r="C3423" s="10">
        <v>46054.0</v>
      </c>
      <c r="D3423" s="6" t="s">
        <v>677</v>
      </c>
      <c r="E3423" s="6" t="s">
        <v>512</v>
      </c>
      <c r="F3423" s="6" t="s">
        <v>439</v>
      </c>
      <c r="G3423" s="6" t="s">
        <v>452</v>
      </c>
      <c r="H3423" s="10">
        <v>46057.0</v>
      </c>
      <c r="I3423" s="12">
        <v>2.0</v>
      </c>
      <c r="J3423" s="6" t="s">
        <v>161</v>
      </c>
    </row>
    <row r="3424" ht="22.5" customHeight="1">
      <c r="A3424" s="6" t="s">
        <v>16199</v>
      </c>
      <c r="B3424" s="6" t="s">
        <v>8147</v>
      </c>
      <c r="C3424" s="10">
        <v>46049.0</v>
      </c>
      <c r="D3424" s="6" t="s">
        <v>242</v>
      </c>
      <c r="E3424" s="6" t="s">
        <v>1600</v>
      </c>
      <c r="F3424" s="6" t="s">
        <v>112</v>
      </c>
      <c r="G3424" s="6" t="s">
        <v>458</v>
      </c>
      <c r="H3424" s="10">
        <v>46053.0</v>
      </c>
      <c r="I3424" s="12">
        <v>5.0</v>
      </c>
      <c r="J3424" s="6" t="s">
        <v>178</v>
      </c>
    </row>
    <row r="3425" ht="22.5" customHeight="1">
      <c r="A3425" s="6" t="s">
        <v>16205</v>
      </c>
      <c r="B3425" s="6" t="s">
        <v>8147</v>
      </c>
      <c r="C3425" s="10">
        <v>46042.0</v>
      </c>
      <c r="D3425" s="6" t="s">
        <v>677</v>
      </c>
      <c r="E3425" s="6" t="s">
        <v>1055</v>
      </c>
      <c r="F3425" s="6" t="s">
        <v>112</v>
      </c>
      <c r="G3425" s="6" t="s">
        <v>452</v>
      </c>
      <c r="H3425" s="10">
        <v>46046.0</v>
      </c>
      <c r="I3425" s="12">
        <v>3.0</v>
      </c>
      <c r="J3425" s="6" t="s">
        <v>161</v>
      </c>
    </row>
    <row r="3426" ht="22.5" customHeight="1">
      <c r="A3426" s="6" t="s">
        <v>16214</v>
      </c>
      <c r="B3426" s="6" t="s">
        <v>8147</v>
      </c>
      <c r="C3426" s="10">
        <v>46043.0</v>
      </c>
      <c r="D3426" s="6" t="s">
        <v>289</v>
      </c>
      <c r="E3426" s="6" t="s">
        <v>450</v>
      </c>
      <c r="F3426" s="6" t="s">
        <v>283</v>
      </c>
      <c r="G3426" s="6" t="s">
        <v>254</v>
      </c>
      <c r="H3426" s="10">
        <v>46045.0</v>
      </c>
      <c r="I3426" s="12">
        <v>10.0</v>
      </c>
      <c r="J3426" s="6" t="s">
        <v>161</v>
      </c>
    </row>
    <row r="3427" ht="22.5" customHeight="1">
      <c r="A3427" s="6" t="s">
        <v>16221</v>
      </c>
      <c r="B3427" s="6" t="s">
        <v>8147</v>
      </c>
      <c r="C3427" s="10">
        <v>46061.0</v>
      </c>
      <c r="D3427" s="6" t="s">
        <v>391</v>
      </c>
      <c r="E3427" s="6" t="s">
        <v>1552</v>
      </c>
      <c r="F3427" s="6" t="s">
        <v>249</v>
      </c>
      <c r="G3427" s="6" t="s">
        <v>494</v>
      </c>
      <c r="H3427" s="10">
        <v>46064.0</v>
      </c>
      <c r="I3427" s="12">
        <v>10.0</v>
      </c>
      <c r="J3427" s="6" t="s">
        <v>161</v>
      </c>
    </row>
    <row r="3428" ht="22.5" customHeight="1">
      <c r="A3428" s="6" t="s">
        <v>16227</v>
      </c>
      <c r="B3428" s="6" t="s">
        <v>8153</v>
      </c>
      <c r="C3428" s="10">
        <v>46070.0</v>
      </c>
      <c r="D3428" s="6" t="s">
        <v>677</v>
      </c>
      <c r="E3428" s="6" t="s">
        <v>512</v>
      </c>
      <c r="F3428" s="6" t="s">
        <v>283</v>
      </c>
      <c r="G3428" s="6" t="s">
        <v>458</v>
      </c>
      <c r="H3428" s="10">
        <v>46072.0</v>
      </c>
      <c r="I3428" s="12">
        <v>2.0</v>
      </c>
      <c r="J3428" s="6" t="s">
        <v>161</v>
      </c>
    </row>
    <row r="3429" ht="22.5" customHeight="1">
      <c r="A3429" s="6" t="s">
        <v>16232</v>
      </c>
      <c r="B3429" s="6" t="s">
        <v>8153</v>
      </c>
      <c r="C3429" s="10">
        <v>46065.0</v>
      </c>
      <c r="D3429" s="6" t="s">
        <v>391</v>
      </c>
      <c r="E3429" s="6" t="s">
        <v>658</v>
      </c>
      <c r="F3429" s="6" t="s">
        <v>249</v>
      </c>
      <c r="G3429" s="6" t="s">
        <v>326</v>
      </c>
      <c r="H3429" s="10">
        <v>46068.0</v>
      </c>
      <c r="I3429" s="12">
        <v>10.0</v>
      </c>
      <c r="J3429" s="6" t="s">
        <v>161</v>
      </c>
    </row>
    <row r="3430" ht="22.5" customHeight="1">
      <c r="A3430" s="6" t="s">
        <v>16236</v>
      </c>
      <c r="B3430" s="6" t="s">
        <v>8153</v>
      </c>
      <c r="C3430" s="10">
        <v>46069.0</v>
      </c>
      <c r="D3430" s="6" t="s">
        <v>289</v>
      </c>
      <c r="E3430" s="6" t="s">
        <v>787</v>
      </c>
      <c r="F3430" s="6" t="s">
        <v>249</v>
      </c>
      <c r="G3430" s="6" t="s">
        <v>494</v>
      </c>
      <c r="H3430" s="10">
        <v>46072.0</v>
      </c>
      <c r="I3430" s="12">
        <v>7.0</v>
      </c>
      <c r="J3430" s="6" t="s">
        <v>161</v>
      </c>
    </row>
    <row r="3431" ht="22.5" customHeight="1">
      <c r="A3431" s="6" t="s">
        <v>16239</v>
      </c>
      <c r="B3431" s="6" t="s">
        <v>8159</v>
      </c>
      <c r="C3431" s="10">
        <v>46047.0</v>
      </c>
      <c r="D3431" s="6" t="s">
        <v>391</v>
      </c>
      <c r="E3431" s="6" t="s">
        <v>1122</v>
      </c>
      <c r="F3431" s="6" t="s">
        <v>249</v>
      </c>
      <c r="G3431" s="6" t="s">
        <v>254</v>
      </c>
      <c r="H3431" s="10">
        <v>46047.0</v>
      </c>
      <c r="I3431" s="12">
        <v>11.0</v>
      </c>
      <c r="J3431" s="6" t="s">
        <v>161</v>
      </c>
    </row>
    <row r="3432" ht="22.5" customHeight="1">
      <c r="A3432" s="6" t="s">
        <v>16244</v>
      </c>
      <c r="B3432" s="6" t="s">
        <v>8159</v>
      </c>
      <c r="C3432" s="10">
        <v>46051.0</v>
      </c>
      <c r="D3432" s="6" t="s">
        <v>312</v>
      </c>
      <c r="E3432" s="6" t="s">
        <v>628</v>
      </c>
      <c r="F3432" s="6" t="s">
        <v>439</v>
      </c>
      <c r="G3432" s="6" t="s">
        <v>254</v>
      </c>
      <c r="H3432" s="10">
        <v>46054.0</v>
      </c>
      <c r="I3432" s="12">
        <v>5.0</v>
      </c>
      <c r="J3432" s="6" t="s">
        <v>161</v>
      </c>
    </row>
    <row r="3433" ht="22.5" customHeight="1">
      <c r="A3433" s="6" t="s">
        <v>16247</v>
      </c>
      <c r="B3433" s="6" t="s">
        <v>8166</v>
      </c>
      <c r="C3433" s="10">
        <v>46069.0</v>
      </c>
      <c r="D3433" s="6" t="s">
        <v>391</v>
      </c>
      <c r="E3433" s="6" t="s">
        <v>955</v>
      </c>
      <c r="F3433" s="6" t="s">
        <v>283</v>
      </c>
      <c r="G3433" s="6" t="s">
        <v>326</v>
      </c>
      <c r="H3433" s="10">
        <v>46074.0</v>
      </c>
      <c r="I3433" s="12">
        <v>8.0</v>
      </c>
      <c r="J3433" s="6" t="s">
        <v>161</v>
      </c>
    </row>
    <row r="3434" ht="22.5" customHeight="1">
      <c r="A3434" s="6" t="s">
        <v>16253</v>
      </c>
      <c r="B3434" s="6" t="s">
        <v>8172</v>
      </c>
      <c r="C3434" s="10">
        <v>46062.0</v>
      </c>
      <c r="D3434" s="6" t="s">
        <v>289</v>
      </c>
      <c r="E3434" s="6" t="s">
        <v>610</v>
      </c>
      <c r="F3434" s="6" t="s">
        <v>249</v>
      </c>
      <c r="G3434" s="6" t="s">
        <v>452</v>
      </c>
      <c r="H3434" s="10">
        <v>46064.0</v>
      </c>
      <c r="I3434" s="12">
        <v>6.0</v>
      </c>
      <c r="J3434" s="6" t="s">
        <v>161</v>
      </c>
    </row>
    <row r="3435" ht="22.5" customHeight="1">
      <c r="A3435" s="6" t="s">
        <v>16257</v>
      </c>
      <c r="B3435" s="6" t="s">
        <v>8172</v>
      </c>
      <c r="C3435" s="10">
        <v>46068.0</v>
      </c>
      <c r="D3435" s="6" t="s">
        <v>242</v>
      </c>
      <c r="E3435" s="6" t="s">
        <v>670</v>
      </c>
      <c r="F3435" s="6" t="s">
        <v>439</v>
      </c>
      <c r="G3435" s="6" t="s">
        <v>254</v>
      </c>
      <c r="H3435" s="10">
        <v>46075.0</v>
      </c>
      <c r="I3435" s="12">
        <v>4.0</v>
      </c>
      <c r="J3435" s="6" t="s">
        <v>178</v>
      </c>
    </row>
    <row r="3436" ht="22.5" customHeight="1">
      <c r="A3436" s="6" t="s">
        <v>16260</v>
      </c>
      <c r="B3436" s="6" t="s">
        <v>8179</v>
      </c>
      <c r="C3436" s="10">
        <v>46075.0</v>
      </c>
      <c r="D3436" s="6" t="s">
        <v>436</v>
      </c>
      <c r="E3436" s="6" t="s">
        <v>1241</v>
      </c>
      <c r="F3436" s="6" t="s">
        <v>249</v>
      </c>
      <c r="G3436" s="6" t="s">
        <v>494</v>
      </c>
      <c r="H3436" s="10">
        <v>46081.0</v>
      </c>
      <c r="I3436" s="12">
        <v>8.0</v>
      </c>
      <c r="J3436" s="6" t="s">
        <v>178</v>
      </c>
    </row>
    <row r="3437" ht="22.5" customHeight="1">
      <c r="A3437" s="6" t="s">
        <v>16264</v>
      </c>
      <c r="B3437" s="6" t="s">
        <v>8179</v>
      </c>
      <c r="C3437" s="10">
        <v>46057.0</v>
      </c>
      <c r="D3437" s="6" t="s">
        <v>436</v>
      </c>
      <c r="E3437" s="6" t="s">
        <v>1700</v>
      </c>
      <c r="F3437" s="6" t="s">
        <v>112</v>
      </c>
      <c r="G3437" s="6" t="s">
        <v>254</v>
      </c>
      <c r="H3437" s="10">
        <v>46058.0</v>
      </c>
      <c r="I3437" s="12">
        <v>7.0</v>
      </c>
      <c r="J3437" s="6" t="s">
        <v>161</v>
      </c>
    </row>
    <row r="3438" ht="22.5" customHeight="1">
      <c r="A3438" s="6" t="s">
        <v>16270</v>
      </c>
      <c r="B3438" s="6" t="s">
        <v>8179</v>
      </c>
      <c r="C3438" s="10">
        <v>46059.0</v>
      </c>
      <c r="D3438" s="6" t="s">
        <v>312</v>
      </c>
      <c r="E3438" s="6" t="s">
        <v>1149</v>
      </c>
      <c r="F3438" s="6" t="s">
        <v>439</v>
      </c>
      <c r="G3438" s="6" t="s">
        <v>477</v>
      </c>
      <c r="H3438" s="10">
        <v>46059.0</v>
      </c>
      <c r="I3438" s="12">
        <v>4.0</v>
      </c>
      <c r="J3438" s="6" t="s">
        <v>161</v>
      </c>
    </row>
    <row r="3439" ht="22.5" customHeight="1">
      <c r="A3439" s="6" t="s">
        <v>16275</v>
      </c>
      <c r="B3439" s="6" t="s">
        <v>8179</v>
      </c>
      <c r="C3439" s="10">
        <v>46065.0</v>
      </c>
      <c r="D3439" s="6" t="s">
        <v>242</v>
      </c>
      <c r="E3439" s="6" t="s">
        <v>1055</v>
      </c>
      <c r="F3439" s="6" t="s">
        <v>249</v>
      </c>
      <c r="G3439" s="6" t="s">
        <v>458</v>
      </c>
      <c r="H3439" s="10">
        <v>46072.0</v>
      </c>
      <c r="I3439" s="12">
        <v>6.0</v>
      </c>
      <c r="J3439" s="6" t="s">
        <v>178</v>
      </c>
    </row>
    <row r="3440" ht="22.5" customHeight="1">
      <c r="A3440" s="6" t="s">
        <v>16277</v>
      </c>
      <c r="B3440" s="6" t="s">
        <v>8186</v>
      </c>
      <c r="C3440" s="10">
        <v>46061.0</v>
      </c>
      <c r="D3440" s="6" t="s">
        <v>677</v>
      </c>
      <c r="E3440" s="6" t="s">
        <v>2881</v>
      </c>
      <c r="F3440" s="6" t="s">
        <v>283</v>
      </c>
      <c r="G3440" s="6" t="s">
        <v>326</v>
      </c>
      <c r="H3440" s="10">
        <v>46064.0</v>
      </c>
      <c r="I3440" s="12">
        <v>4.0</v>
      </c>
      <c r="J3440" s="6" t="s">
        <v>161</v>
      </c>
    </row>
    <row r="3441" ht="22.5" customHeight="1">
      <c r="A3441" s="6" t="s">
        <v>16281</v>
      </c>
      <c r="B3441" s="6" t="s">
        <v>8186</v>
      </c>
      <c r="C3441" s="10">
        <v>46065.0</v>
      </c>
      <c r="D3441" s="6" t="s">
        <v>416</v>
      </c>
      <c r="E3441" s="6" t="s">
        <v>417</v>
      </c>
      <c r="F3441" s="6" t="s">
        <v>439</v>
      </c>
      <c r="G3441" s="6" t="s">
        <v>297</v>
      </c>
      <c r="H3441" s="10">
        <v>46071.0</v>
      </c>
      <c r="I3441" s="12">
        <v>11.0</v>
      </c>
      <c r="J3441" s="6" t="s">
        <v>161</v>
      </c>
    </row>
    <row r="3442" ht="22.5" customHeight="1">
      <c r="A3442" s="6" t="s">
        <v>16287</v>
      </c>
      <c r="B3442" s="6" t="s">
        <v>8186</v>
      </c>
      <c r="C3442" s="10">
        <v>46064.0</v>
      </c>
      <c r="D3442" s="6" t="s">
        <v>312</v>
      </c>
      <c r="E3442" s="6" t="s">
        <v>1700</v>
      </c>
      <c r="F3442" s="6" t="s">
        <v>249</v>
      </c>
      <c r="G3442" s="6" t="s">
        <v>458</v>
      </c>
      <c r="H3442" s="10">
        <v>46064.0</v>
      </c>
      <c r="I3442" s="12">
        <v>4.0</v>
      </c>
      <c r="J3442" s="6" t="s">
        <v>161</v>
      </c>
    </row>
    <row r="3443" ht="22.5" customHeight="1">
      <c r="A3443" s="6" t="s">
        <v>16290</v>
      </c>
      <c r="B3443" s="6" t="s">
        <v>8192</v>
      </c>
      <c r="C3443" s="10">
        <v>46063.0</v>
      </c>
      <c r="D3443" s="6" t="s">
        <v>289</v>
      </c>
      <c r="E3443" s="6" t="s">
        <v>291</v>
      </c>
      <c r="F3443" s="6" t="s">
        <v>249</v>
      </c>
      <c r="G3443" s="6" t="s">
        <v>297</v>
      </c>
      <c r="H3443" s="10">
        <v>46067.0</v>
      </c>
      <c r="I3443" s="12">
        <v>7.0</v>
      </c>
      <c r="J3443" s="6" t="s">
        <v>161</v>
      </c>
    </row>
    <row r="3444" ht="22.5" customHeight="1">
      <c r="A3444" s="6" t="s">
        <v>16296</v>
      </c>
      <c r="B3444" s="6" t="s">
        <v>8199</v>
      </c>
      <c r="C3444" s="10">
        <v>46066.0</v>
      </c>
      <c r="D3444" s="6" t="s">
        <v>242</v>
      </c>
      <c r="E3444" s="6" t="s">
        <v>1969</v>
      </c>
      <c r="F3444" s="6" t="s">
        <v>283</v>
      </c>
      <c r="G3444" s="6" t="s">
        <v>254</v>
      </c>
      <c r="H3444" s="10">
        <v>46071.0</v>
      </c>
      <c r="I3444" s="12">
        <v>3.0</v>
      </c>
      <c r="J3444" s="6" t="s">
        <v>178</v>
      </c>
    </row>
    <row r="3445" ht="22.5" customHeight="1">
      <c r="A3445" s="6" t="s">
        <v>16300</v>
      </c>
      <c r="B3445" s="6" t="s">
        <v>8205</v>
      </c>
      <c r="C3445" s="10">
        <v>46051.0</v>
      </c>
      <c r="D3445" s="6" t="s">
        <v>242</v>
      </c>
      <c r="E3445" s="6" t="s">
        <v>885</v>
      </c>
      <c r="F3445" s="6" t="s">
        <v>283</v>
      </c>
      <c r="G3445" s="6" t="s">
        <v>477</v>
      </c>
      <c r="H3445" s="10">
        <v>46052.0</v>
      </c>
      <c r="I3445" s="12">
        <v>6.0</v>
      </c>
      <c r="J3445" s="6" t="s">
        <v>178</v>
      </c>
    </row>
    <row r="3446" ht="22.5" customHeight="1">
      <c r="A3446" s="6" t="s">
        <v>16306</v>
      </c>
      <c r="B3446" s="6" t="s">
        <v>8205</v>
      </c>
      <c r="C3446" s="10">
        <v>46064.0</v>
      </c>
      <c r="D3446" s="6" t="s">
        <v>416</v>
      </c>
      <c r="E3446" s="6" t="s">
        <v>320</v>
      </c>
      <c r="F3446" s="6" t="s">
        <v>439</v>
      </c>
      <c r="G3446" s="6" t="s">
        <v>297</v>
      </c>
      <c r="H3446" s="10">
        <v>46068.0</v>
      </c>
      <c r="I3446" s="12">
        <v>8.0</v>
      </c>
      <c r="J3446" s="6" t="s">
        <v>161</v>
      </c>
    </row>
    <row r="3447" ht="22.5" customHeight="1">
      <c r="A3447" s="6" t="s">
        <v>16309</v>
      </c>
      <c r="B3447" s="6" t="s">
        <v>8205</v>
      </c>
      <c r="C3447" s="10">
        <v>46067.0</v>
      </c>
      <c r="D3447" s="6" t="s">
        <v>242</v>
      </c>
      <c r="E3447" s="6" t="s">
        <v>812</v>
      </c>
      <c r="F3447" s="6" t="s">
        <v>249</v>
      </c>
      <c r="G3447" s="6" t="s">
        <v>297</v>
      </c>
      <c r="H3447" s="10">
        <v>46074.0</v>
      </c>
      <c r="I3447" s="12">
        <v>6.0</v>
      </c>
      <c r="J3447" s="6" t="s">
        <v>178</v>
      </c>
    </row>
    <row r="3448" ht="22.5" customHeight="1">
      <c r="A3448" s="6" t="s">
        <v>16313</v>
      </c>
      <c r="B3448" s="6" t="s">
        <v>8205</v>
      </c>
      <c r="C3448" s="10">
        <v>46054.0</v>
      </c>
      <c r="D3448" s="6" t="s">
        <v>391</v>
      </c>
      <c r="E3448" s="6" t="s">
        <v>634</v>
      </c>
      <c r="F3448" s="6" t="s">
        <v>112</v>
      </c>
      <c r="G3448" s="6" t="s">
        <v>369</v>
      </c>
      <c r="H3448" s="11" t="s">
        <v>259</v>
      </c>
      <c r="I3448" s="12">
        <v>9.0</v>
      </c>
      <c r="J3448" s="6" t="s">
        <v>161</v>
      </c>
    </row>
    <row r="3449" ht="22.5" customHeight="1">
      <c r="A3449" s="6" t="s">
        <v>16317</v>
      </c>
      <c r="B3449" s="6" t="s">
        <v>8205</v>
      </c>
      <c r="C3449" s="10">
        <v>46067.0</v>
      </c>
      <c r="D3449" s="6" t="s">
        <v>391</v>
      </c>
      <c r="E3449" s="6" t="s">
        <v>365</v>
      </c>
      <c r="F3449" s="6" t="s">
        <v>283</v>
      </c>
      <c r="G3449" s="6" t="s">
        <v>477</v>
      </c>
      <c r="H3449" s="10">
        <v>46067.0</v>
      </c>
      <c r="I3449" s="12">
        <v>10.0</v>
      </c>
      <c r="J3449" s="6" t="s">
        <v>161</v>
      </c>
    </row>
    <row r="3450" ht="22.5" customHeight="1">
      <c r="A3450" s="6" t="s">
        <v>16321</v>
      </c>
      <c r="B3450" s="6" t="s">
        <v>8212</v>
      </c>
      <c r="C3450" s="10">
        <v>46074.0</v>
      </c>
      <c r="D3450" s="6" t="s">
        <v>436</v>
      </c>
      <c r="E3450" s="6" t="s">
        <v>896</v>
      </c>
      <c r="F3450" s="6" t="s">
        <v>283</v>
      </c>
      <c r="G3450" s="6" t="s">
        <v>254</v>
      </c>
      <c r="H3450" s="10">
        <v>46074.0</v>
      </c>
      <c r="I3450" s="12">
        <v>12.0</v>
      </c>
      <c r="J3450" s="6" t="s">
        <v>178</v>
      </c>
    </row>
    <row r="3451" ht="22.5" customHeight="1">
      <c r="A3451" s="6" t="s">
        <v>16325</v>
      </c>
      <c r="B3451" s="6" t="s">
        <v>8212</v>
      </c>
      <c r="C3451" s="10">
        <v>46076.0</v>
      </c>
      <c r="D3451" s="6" t="s">
        <v>391</v>
      </c>
      <c r="E3451" s="6" t="s">
        <v>1149</v>
      </c>
      <c r="F3451" s="6" t="s">
        <v>249</v>
      </c>
      <c r="G3451" s="6" t="s">
        <v>297</v>
      </c>
      <c r="H3451" s="11" t="s">
        <v>259</v>
      </c>
      <c r="I3451" s="12">
        <v>7.0</v>
      </c>
      <c r="J3451" s="6" t="s">
        <v>161</v>
      </c>
    </row>
    <row r="3452" ht="22.5" customHeight="1">
      <c r="A3452" s="6" t="s">
        <v>16331</v>
      </c>
      <c r="B3452" s="6" t="s">
        <v>8212</v>
      </c>
      <c r="C3452" s="10">
        <v>46069.0</v>
      </c>
      <c r="D3452" s="6" t="s">
        <v>289</v>
      </c>
      <c r="E3452" s="6" t="s">
        <v>658</v>
      </c>
      <c r="F3452" s="6" t="s">
        <v>112</v>
      </c>
      <c r="G3452" s="6" t="s">
        <v>254</v>
      </c>
      <c r="H3452" s="10">
        <v>46074.0</v>
      </c>
      <c r="I3452" s="12">
        <v>7.0</v>
      </c>
      <c r="J3452" s="6" t="s">
        <v>161</v>
      </c>
    </row>
    <row r="3453" ht="22.5" customHeight="1">
      <c r="A3453" s="6" t="s">
        <v>16337</v>
      </c>
      <c r="B3453" s="6" t="s">
        <v>8212</v>
      </c>
      <c r="C3453" s="10">
        <v>46081.0</v>
      </c>
      <c r="D3453" s="6" t="s">
        <v>242</v>
      </c>
      <c r="E3453" s="6" t="s">
        <v>687</v>
      </c>
      <c r="F3453" s="6" t="s">
        <v>249</v>
      </c>
      <c r="G3453" s="6" t="s">
        <v>369</v>
      </c>
      <c r="H3453" s="10">
        <v>46084.0</v>
      </c>
      <c r="I3453" s="12">
        <v>5.0</v>
      </c>
      <c r="J3453" s="6" t="s">
        <v>178</v>
      </c>
    </row>
    <row r="3454" ht="22.5" customHeight="1">
      <c r="A3454" s="6" t="s">
        <v>16340</v>
      </c>
      <c r="B3454" s="6" t="s">
        <v>8218</v>
      </c>
      <c r="C3454" s="10">
        <v>46050.0</v>
      </c>
      <c r="D3454" s="6" t="s">
        <v>312</v>
      </c>
      <c r="E3454" s="6" t="s">
        <v>1273</v>
      </c>
      <c r="F3454" s="6" t="s">
        <v>439</v>
      </c>
      <c r="G3454" s="6" t="s">
        <v>458</v>
      </c>
      <c r="H3454" s="10">
        <v>46052.0</v>
      </c>
      <c r="I3454" s="12">
        <v>5.0</v>
      </c>
      <c r="J3454" s="6" t="s">
        <v>161</v>
      </c>
    </row>
    <row r="3455" ht="22.5" customHeight="1">
      <c r="A3455" s="6" t="s">
        <v>16344</v>
      </c>
      <c r="B3455" s="6" t="s">
        <v>8218</v>
      </c>
      <c r="C3455" s="10">
        <v>46039.0</v>
      </c>
      <c r="D3455" s="6" t="s">
        <v>312</v>
      </c>
      <c r="E3455" s="6" t="s">
        <v>704</v>
      </c>
      <c r="F3455" s="6" t="s">
        <v>249</v>
      </c>
      <c r="G3455" s="6" t="s">
        <v>297</v>
      </c>
      <c r="H3455" s="10">
        <v>46044.0</v>
      </c>
      <c r="I3455" s="12">
        <v>4.0</v>
      </c>
      <c r="J3455" s="6" t="s">
        <v>161</v>
      </c>
    </row>
    <row r="3456" ht="22.5" customHeight="1">
      <c r="A3456" s="6" t="s">
        <v>16348</v>
      </c>
      <c r="B3456" s="6" t="s">
        <v>8218</v>
      </c>
      <c r="C3456" s="10">
        <v>46054.0</v>
      </c>
      <c r="D3456" s="6" t="s">
        <v>436</v>
      </c>
      <c r="E3456" s="6" t="s">
        <v>417</v>
      </c>
      <c r="F3456" s="6" t="s">
        <v>249</v>
      </c>
      <c r="G3456" s="6" t="s">
        <v>326</v>
      </c>
      <c r="H3456" s="10">
        <v>46054.0</v>
      </c>
      <c r="I3456" s="12">
        <v>6.0</v>
      </c>
      <c r="J3456" s="6" t="s">
        <v>178</v>
      </c>
    </row>
    <row r="3457" ht="22.5" customHeight="1">
      <c r="A3457" s="6" t="s">
        <v>16353</v>
      </c>
      <c r="B3457" s="6" t="s">
        <v>8218</v>
      </c>
      <c r="C3457" s="10">
        <v>46054.0</v>
      </c>
      <c r="D3457" s="6" t="s">
        <v>242</v>
      </c>
      <c r="E3457" s="6" t="s">
        <v>812</v>
      </c>
      <c r="F3457" s="6" t="s">
        <v>439</v>
      </c>
      <c r="G3457" s="6" t="s">
        <v>297</v>
      </c>
      <c r="H3457" s="10">
        <v>46058.0</v>
      </c>
      <c r="I3457" s="12">
        <v>5.0</v>
      </c>
      <c r="J3457" s="6" t="s">
        <v>161</v>
      </c>
    </row>
    <row r="3458" ht="22.5" customHeight="1">
      <c r="A3458" s="6" t="s">
        <v>16357</v>
      </c>
      <c r="B3458" s="6" t="s">
        <v>8225</v>
      </c>
      <c r="C3458" s="10">
        <v>46044.0</v>
      </c>
      <c r="D3458" s="6" t="s">
        <v>416</v>
      </c>
      <c r="E3458" s="6" t="s">
        <v>365</v>
      </c>
      <c r="F3458" s="6" t="s">
        <v>112</v>
      </c>
      <c r="G3458" s="6" t="s">
        <v>369</v>
      </c>
      <c r="H3458" s="10">
        <v>46050.0</v>
      </c>
      <c r="I3458" s="12">
        <v>11.0</v>
      </c>
      <c r="J3458" s="6" t="s">
        <v>161</v>
      </c>
    </row>
    <row r="3459" ht="22.5" customHeight="1">
      <c r="A3459" s="6" t="s">
        <v>16363</v>
      </c>
      <c r="B3459" s="6" t="s">
        <v>8225</v>
      </c>
      <c r="C3459" s="10">
        <v>46041.0</v>
      </c>
      <c r="D3459" s="6" t="s">
        <v>312</v>
      </c>
      <c r="E3459" s="6" t="s">
        <v>955</v>
      </c>
      <c r="F3459" s="6" t="s">
        <v>283</v>
      </c>
      <c r="G3459" s="6" t="s">
        <v>458</v>
      </c>
      <c r="H3459" s="10">
        <v>46041.0</v>
      </c>
      <c r="I3459" s="12">
        <v>5.0</v>
      </c>
      <c r="J3459" s="6" t="s">
        <v>161</v>
      </c>
    </row>
    <row r="3460" ht="22.5" customHeight="1">
      <c r="A3460" s="6" t="s">
        <v>16366</v>
      </c>
      <c r="B3460" s="6" t="s">
        <v>8225</v>
      </c>
      <c r="C3460" s="10">
        <v>46046.0</v>
      </c>
      <c r="D3460" s="6" t="s">
        <v>436</v>
      </c>
      <c r="E3460" s="6" t="s">
        <v>716</v>
      </c>
      <c r="F3460" s="6" t="s">
        <v>112</v>
      </c>
      <c r="G3460" s="6" t="s">
        <v>494</v>
      </c>
      <c r="H3460" s="10">
        <v>46050.0</v>
      </c>
      <c r="I3460" s="12">
        <v>10.0</v>
      </c>
      <c r="J3460" s="6" t="s">
        <v>178</v>
      </c>
    </row>
    <row r="3461" ht="22.5" customHeight="1">
      <c r="A3461" s="6" t="s">
        <v>16370</v>
      </c>
      <c r="B3461" s="6" t="s">
        <v>8225</v>
      </c>
      <c r="C3461" s="10">
        <v>46050.0</v>
      </c>
      <c r="D3461" s="6" t="s">
        <v>677</v>
      </c>
      <c r="E3461" s="6" t="s">
        <v>885</v>
      </c>
      <c r="F3461" s="6" t="s">
        <v>283</v>
      </c>
      <c r="G3461" s="6" t="s">
        <v>494</v>
      </c>
      <c r="H3461" s="10">
        <v>46050.0</v>
      </c>
      <c r="I3461" s="12">
        <v>4.0</v>
      </c>
      <c r="J3461" s="6" t="s">
        <v>161</v>
      </c>
    </row>
    <row r="3462" ht="22.5" customHeight="1">
      <c r="A3462" s="6" t="s">
        <v>16373</v>
      </c>
      <c r="B3462" s="6" t="s">
        <v>8225</v>
      </c>
      <c r="C3462" s="10">
        <v>46050.0</v>
      </c>
      <c r="D3462" s="6" t="s">
        <v>416</v>
      </c>
      <c r="E3462" s="6" t="s">
        <v>1546</v>
      </c>
      <c r="F3462" s="6" t="s">
        <v>283</v>
      </c>
      <c r="G3462" s="6" t="s">
        <v>452</v>
      </c>
      <c r="H3462" s="10">
        <v>46051.0</v>
      </c>
      <c r="I3462" s="12">
        <v>9.0</v>
      </c>
      <c r="J3462" s="6" t="s">
        <v>161</v>
      </c>
    </row>
    <row r="3463" ht="22.5" customHeight="1">
      <c r="A3463" s="6" t="s">
        <v>16378</v>
      </c>
      <c r="B3463" s="6" t="s">
        <v>8231</v>
      </c>
      <c r="C3463" s="10">
        <v>46049.0</v>
      </c>
      <c r="D3463" s="6" t="s">
        <v>436</v>
      </c>
      <c r="E3463" s="6" t="s">
        <v>1720</v>
      </c>
      <c r="F3463" s="6" t="s">
        <v>249</v>
      </c>
      <c r="G3463" s="6" t="s">
        <v>369</v>
      </c>
      <c r="H3463" s="10">
        <v>46050.0</v>
      </c>
      <c r="I3463" s="12">
        <v>8.0</v>
      </c>
      <c r="J3463" s="6" t="s">
        <v>178</v>
      </c>
    </row>
    <row r="3464" ht="22.5" customHeight="1">
      <c r="A3464" s="6" t="s">
        <v>16383</v>
      </c>
      <c r="B3464" s="6" t="s">
        <v>8231</v>
      </c>
      <c r="C3464" s="10">
        <v>46049.0</v>
      </c>
      <c r="D3464" s="6" t="s">
        <v>677</v>
      </c>
      <c r="E3464" s="6" t="s">
        <v>394</v>
      </c>
      <c r="F3464" s="6" t="s">
        <v>249</v>
      </c>
      <c r="G3464" s="6" t="s">
        <v>297</v>
      </c>
      <c r="H3464" s="10">
        <v>46051.0</v>
      </c>
      <c r="I3464" s="12">
        <v>4.0</v>
      </c>
      <c r="J3464" s="6" t="s">
        <v>161</v>
      </c>
    </row>
    <row r="3465" ht="22.5" customHeight="1">
      <c r="A3465" s="6" t="s">
        <v>16388</v>
      </c>
      <c r="B3465" s="6" t="s">
        <v>8231</v>
      </c>
      <c r="C3465" s="10">
        <v>46050.0</v>
      </c>
      <c r="D3465" s="6" t="s">
        <v>242</v>
      </c>
      <c r="E3465" s="6" t="s">
        <v>618</v>
      </c>
      <c r="F3465" s="6" t="s">
        <v>112</v>
      </c>
      <c r="G3465" s="6" t="s">
        <v>326</v>
      </c>
      <c r="H3465" s="10">
        <v>46050.0</v>
      </c>
      <c r="I3465" s="12">
        <v>6.0</v>
      </c>
      <c r="J3465" s="6" t="s">
        <v>161</v>
      </c>
    </row>
    <row r="3466" ht="22.5" customHeight="1">
      <c r="A3466" s="6" t="s">
        <v>16392</v>
      </c>
      <c r="B3466" s="6" t="s">
        <v>8231</v>
      </c>
      <c r="C3466" s="10">
        <v>46043.0</v>
      </c>
      <c r="D3466" s="6" t="s">
        <v>289</v>
      </c>
      <c r="E3466" s="6" t="s">
        <v>1035</v>
      </c>
      <c r="F3466" s="6" t="s">
        <v>112</v>
      </c>
      <c r="G3466" s="6" t="s">
        <v>369</v>
      </c>
      <c r="H3466" s="10">
        <v>46045.0</v>
      </c>
      <c r="I3466" s="12">
        <v>5.0</v>
      </c>
      <c r="J3466" s="6" t="s">
        <v>161</v>
      </c>
    </row>
    <row r="3467" ht="22.5" customHeight="1">
      <c r="A3467" s="6" t="s">
        <v>16396</v>
      </c>
      <c r="B3467" s="6" t="s">
        <v>8231</v>
      </c>
      <c r="C3467" s="10">
        <v>46041.0</v>
      </c>
      <c r="D3467" s="6" t="s">
        <v>289</v>
      </c>
      <c r="E3467" s="6" t="s">
        <v>695</v>
      </c>
      <c r="F3467" s="6" t="s">
        <v>439</v>
      </c>
      <c r="G3467" s="6" t="s">
        <v>494</v>
      </c>
      <c r="H3467" s="10">
        <v>46046.0</v>
      </c>
      <c r="I3467" s="12">
        <v>6.0</v>
      </c>
      <c r="J3467" s="6" t="s">
        <v>161</v>
      </c>
    </row>
    <row r="3468" ht="22.5" customHeight="1">
      <c r="A3468" s="6" t="s">
        <v>16403</v>
      </c>
      <c r="B3468" s="6" t="s">
        <v>8238</v>
      </c>
      <c r="C3468" s="10">
        <v>46064.0</v>
      </c>
      <c r="D3468" s="6" t="s">
        <v>677</v>
      </c>
      <c r="E3468" s="6" t="s">
        <v>955</v>
      </c>
      <c r="F3468" s="6" t="s">
        <v>112</v>
      </c>
      <c r="G3468" s="6" t="s">
        <v>494</v>
      </c>
      <c r="H3468" s="10">
        <v>46069.0</v>
      </c>
      <c r="I3468" s="12">
        <v>2.0</v>
      </c>
      <c r="J3468" s="6" t="s">
        <v>161</v>
      </c>
    </row>
    <row r="3469" ht="22.5" customHeight="1">
      <c r="A3469" s="6" t="s">
        <v>16408</v>
      </c>
      <c r="B3469" s="6" t="s">
        <v>8238</v>
      </c>
      <c r="C3469" s="10">
        <v>46079.0</v>
      </c>
      <c r="D3469" s="6" t="s">
        <v>289</v>
      </c>
      <c r="E3469" s="6" t="s">
        <v>450</v>
      </c>
      <c r="F3469" s="6" t="s">
        <v>112</v>
      </c>
      <c r="G3469" s="6" t="s">
        <v>494</v>
      </c>
      <c r="H3469" s="11" t="s">
        <v>259</v>
      </c>
      <c r="I3469" s="12">
        <v>5.0</v>
      </c>
      <c r="J3469" s="6" t="s">
        <v>161</v>
      </c>
    </row>
    <row r="3470" ht="22.5" customHeight="1">
      <c r="A3470" s="6" t="s">
        <v>16414</v>
      </c>
      <c r="B3470" s="6" t="s">
        <v>8238</v>
      </c>
      <c r="C3470" s="10">
        <v>46072.0</v>
      </c>
      <c r="D3470" s="6" t="s">
        <v>677</v>
      </c>
      <c r="E3470" s="6" t="s">
        <v>896</v>
      </c>
      <c r="F3470" s="6" t="s">
        <v>283</v>
      </c>
      <c r="G3470" s="6" t="s">
        <v>297</v>
      </c>
      <c r="H3470" s="10">
        <v>46076.0</v>
      </c>
      <c r="I3470" s="12">
        <v>3.0</v>
      </c>
      <c r="J3470" s="6" t="s">
        <v>161</v>
      </c>
    </row>
    <row r="3471" ht="22.5" customHeight="1">
      <c r="A3471" s="6" t="s">
        <v>16417</v>
      </c>
      <c r="B3471" s="6" t="s">
        <v>8238</v>
      </c>
      <c r="C3471" s="10">
        <v>46064.0</v>
      </c>
      <c r="D3471" s="6" t="s">
        <v>416</v>
      </c>
      <c r="E3471" s="6" t="s">
        <v>1969</v>
      </c>
      <c r="F3471" s="6" t="s">
        <v>439</v>
      </c>
      <c r="G3471" s="6" t="s">
        <v>458</v>
      </c>
      <c r="H3471" s="10">
        <v>46071.0</v>
      </c>
      <c r="I3471" s="12">
        <v>14.0</v>
      </c>
      <c r="J3471" s="6" t="s">
        <v>161</v>
      </c>
    </row>
    <row r="3472" ht="22.5" customHeight="1">
      <c r="A3472" s="6" t="s">
        <v>16422</v>
      </c>
      <c r="B3472" s="6" t="s">
        <v>8238</v>
      </c>
      <c r="C3472" s="10">
        <v>46070.0</v>
      </c>
      <c r="D3472" s="6" t="s">
        <v>391</v>
      </c>
      <c r="E3472" s="6" t="s">
        <v>394</v>
      </c>
      <c r="F3472" s="6" t="s">
        <v>439</v>
      </c>
      <c r="G3472" s="6" t="s">
        <v>369</v>
      </c>
      <c r="H3472" s="10">
        <v>46074.0</v>
      </c>
      <c r="I3472" s="12">
        <v>10.0</v>
      </c>
      <c r="J3472" s="6" t="s">
        <v>161</v>
      </c>
    </row>
    <row r="3473" ht="22.5" customHeight="1">
      <c r="A3473" s="6" t="s">
        <v>16427</v>
      </c>
      <c r="B3473" s="6" t="s">
        <v>8244</v>
      </c>
      <c r="C3473" s="10">
        <v>46058.0</v>
      </c>
      <c r="D3473" s="6" t="s">
        <v>312</v>
      </c>
      <c r="E3473" s="6" t="s">
        <v>450</v>
      </c>
      <c r="F3473" s="6" t="s">
        <v>112</v>
      </c>
      <c r="G3473" s="6" t="s">
        <v>297</v>
      </c>
      <c r="H3473" s="10">
        <v>46058.0</v>
      </c>
      <c r="I3473" s="12">
        <v>4.0</v>
      </c>
      <c r="J3473" s="6" t="s">
        <v>161</v>
      </c>
    </row>
    <row r="3474" ht="22.5" customHeight="1">
      <c r="A3474" s="6" t="s">
        <v>16433</v>
      </c>
      <c r="B3474" s="6" t="s">
        <v>8244</v>
      </c>
      <c r="C3474" s="10">
        <v>46065.0</v>
      </c>
      <c r="D3474" s="6" t="s">
        <v>242</v>
      </c>
      <c r="E3474" s="6" t="s">
        <v>475</v>
      </c>
      <c r="F3474" s="6" t="s">
        <v>439</v>
      </c>
      <c r="G3474" s="6" t="s">
        <v>254</v>
      </c>
      <c r="H3474" s="11" t="s">
        <v>259</v>
      </c>
      <c r="I3474" s="12">
        <v>5.0</v>
      </c>
      <c r="J3474" s="6" t="s">
        <v>178</v>
      </c>
    </row>
    <row r="3475" ht="22.5" customHeight="1">
      <c r="A3475" s="6" t="s">
        <v>16436</v>
      </c>
      <c r="B3475" s="6" t="s">
        <v>8244</v>
      </c>
      <c r="C3475" s="10">
        <v>46065.0</v>
      </c>
      <c r="D3475" s="6" t="s">
        <v>677</v>
      </c>
      <c r="E3475" s="6" t="s">
        <v>955</v>
      </c>
      <c r="F3475" s="6" t="s">
        <v>283</v>
      </c>
      <c r="G3475" s="6" t="s">
        <v>452</v>
      </c>
      <c r="H3475" s="10">
        <v>46065.0</v>
      </c>
      <c r="I3475" s="12">
        <v>4.0</v>
      </c>
      <c r="J3475" s="6" t="s">
        <v>161</v>
      </c>
    </row>
    <row r="3476" ht="22.5" customHeight="1">
      <c r="A3476" s="6" t="s">
        <v>16440</v>
      </c>
      <c r="B3476" s="6" t="s">
        <v>8244</v>
      </c>
      <c r="C3476" s="10">
        <v>46068.0</v>
      </c>
      <c r="D3476" s="6" t="s">
        <v>312</v>
      </c>
      <c r="E3476" s="6" t="s">
        <v>738</v>
      </c>
      <c r="F3476" s="6" t="s">
        <v>439</v>
      </c>
      <c r="G3476" s="6" t="s">
        <v>458</v>
      </c>
      <c r="H3476" s="10">
        <v>46070.0</v>
      </c>
      <c r="I3476" s="12">
        <v>4.0</v>
      </c>
      <c r="J3476" s="6" t="s">
        <v>161</v>
      </c>
    </row>
    <row r="3477" ht="22.5" customHeight="1">
      <c r="A3477" s="6" t="s">
        <v>16446</v>
      </c>
      <c r="B3477" s="6" t="s">
        <v>8244</v>
      </c>
      <c r="C3477" s="10">
        <v>46070.0</v>
      </c>
      <c r="D3477" s="6" t="s">
        <v>242</v>
      </c>
      <c r="E3477" s="6" t="s">
        <v>1149</v>
      </c>
      <c r="F3477" s="6" t="s">
        <v>112</v>
      </c>
      <c r="G3477" s="6" t="s">
        <v>477</v>
      </c>
      <c r="H3477" s="10">
        <v>46075.0</v>
      </c>
      <c r="I3477" s="12">
        <v>6.0</v>
      </c>
      <c r="J3477" s="6" t="s">
        <v>178</v>
      </c>
    </row>
    <row r="3478" ht="22.5" customHeight="1">
      <c r="A3478" s="6" t="s">
        <v>16449</v>
      </c>
      <c r="B3478" s="6" t="s">
        <v>8250</v>
      </c>
      <c r="C3478" s="10">
        <v>46046.0</v>
      </c>
      <c r="D3478" s="6" t="s">
        <v>677</v>
      </c>
      <c r="E3478" s="6" t="s">
        <v>365</v>
      </c>
      <c r="F3478" s="6" t="s">
        <v>283</v>
      </c>
      <c r="G3478" s="6" t="s">
        <v>494</v>
      </c>
      <c r="H3478" s="10">
        <v>46046.0</v>
      </c>
      <c r="I3478" s="12">
        <v>3.0</v>
      </c>
      <c r="J3478" s="6" t="s">
        <v>161</v>
      </c>
    </row>
    <row r="3479" ht="22.5" customHeight="1">
      <c r="A3479" s="6" t="s">
        <v>16453</v>
      </c>
      <c r="B3479" s="6" t="s">
        <v>8250</v>
      </c>
      <c r="C3479" s="10">
        <v>46050.0</v>
      </c>
      <c r="D3479" s="6" t="s">
        <v>242</v>
      </c>
      <c r="E3479" s="6" t="s">
        <v>670</v>
      </c>
      <c r="F3479" s="6" t="s">
        <v>283</v>
      </c>
      <c r="G3479" s="6" t="s">
        <v>326</v>
      </c>
      <c r="H3479" s="10">
        <v>46054.0</v>
      </c>
      <c r="I3479" s="12">
        <v>4.0</v>
      </c>
      <c r="J3479" s="6" t="s">
        <v>161</v>
      </c>
    </row>
    <row r="3480" ht="22.5" customHeight="1">
      <c r="A3480" s="6" t="s">
        <v>16458</v>
      </c>
      <c r="B3480" s="6" t="s">
        <v>8250</v>
      </c>
      <c r="C3480" s="10">
        <v>46059.0</v>
      </c>
      <c r="D3480" s="6" t="s">
        <v>436</v>
      </c>
      <c r="E3480" s="6" t="s">
        <v>450</v>
      </c>
      <c r="F3480" s="6" t="s">
        <v>439</v>
      </c>
      <c r="G3480" s="6" t="s">
        <v>452</v>
      </c>
      <c r="H3480" s="10">
        <v>46059.0</v>
      </c>
      <c r="I3480" s="12">
        <v>10.0</v>
      </c>
      <c r="J3480" s="6" t="s">
        <v>178</v>
      </c>
    </row>
    <row r="3481" ht="22.5" customHeight="1">
      <c r="A3481" s="6" t="s">
        <v>16462</v>
      </c>
      <c r="B3481" s="6" t="s">
        <v>8256</v>
      </c>
      <c r="C3481" s="10">
        <v>46066.0</v>
      </c>
      <c r="D3481" s="6" t="s">
        <v>289</v>
      </c>
      <c r="E3481" s="6" t="s">
        <v>896</v>
      </c>
      <c r="F3481" s="6" t="s">
        <v>283</v>
      </c>
      <c r="G3481" s="6" t="s">
        <v>369</v>
      </c>
      <c r="H3481" s="10">
        <v>46068.0</v>
      </c>
      <c r="I3481" s="12">
        <v>9.0</v>
      </c>
      <c r="J3481" s="6" t="s">
        <v>161</v>
      </c>
    </row>
    <row r="3482" ht="22.5" customHeight="1">
      <c r="A3482" s="6" t="s">
        <v>16466</v>
      </c>
      <c r="B3482" s="6" t="s">
        <v>8263</v>
      </c>
      <c r="C3482" s="10">
        <v>46072.0</v>
      </c>
      <c r="D3482" s="6" t="s">
        <v>312</v>
      </c>
      <c r="E3482" s="6" t="s">
        <v>1969</v>
      </c>
      <c r="F3482" s="6" t="s">
        <v>283</v>
      </c>
      <c r="G3482" s="6" t="s">
        <v>297</v>
      </c>
      <c r="H3482" s="10">
        <v>46077.0</v>
      </c>
      <c r="I3482" s="12">
        <v>7.0</v>
      </c>
      <c r="J3482" s="6" t="s">
        <v>161</v>
      </c>
    </row>
    <row r="3483" ht="22.5" customHeight="1">
      <c r="A3483" s="6" t="s">
        <v>16471</v>
      </c>
      <c r="B3483" s="6" t="s">
        <v>8263</v>
      </c>
      <c r="C3483" s="10">
        <v>46062.0</v>
      </c>
      <c r="D3483" s="6" t="s">
        <v>242</v>
      </c>
      <c r="E3483" s="6" t="s">
        <v>687</v>
      </c>
      <c r="F3483" s="6" t="s">
        <v>283</v>
      </c>
      <c r="G3483" s="6" t="s">
        <v>326</v>
      </c>
      <c r="H3483" s="10">
        <v>46068.0</v>
      </c>
      <c r="I3483" s="12">
        <v>3.0</v>
      </c>
      <c r="J3483" s="6" t="s">
        <v>161</v>
      </c>
    </row>
    <row r="3484" ht="22.5" customHeight="1">
      <c r="A3484" s="6" t="s">
        <v>16475</v>
      </c>
      <c r="B3484" s="6" t="s">
        <v>8263</v>
      </c>
      <c r="C3484" s="10">
        <v>46067.0</v>
      </c>
      <c r="D3484" s="6" t="s">
        <v>242</v>
      </c>
      <c r="E3484" s="6" t="s">
        <v>658</v>
      </c>
      <c r="F3484" s="6" t="s">
        <v>283</v>
      </c>
      <c r="G3484" s="6" t="s">
        <v>254</v>
      </c>
      <c r="H3484" s="10">
        <v>46073.0</v>
      </c>
      <c r="I3484" s="12">
        <v>4.0</v>
      </c>
      <c r="J3484" s="6" t="s">
        <v>178</v>
      </c>
    </row>
    <row r="3485" ht="22.5" customHeight="1">
      <c r="A3485" s="6" t="s">
        <v>16480</v>
      </c>
      <c r="B3485" s="6" t="s">
        <v>8263</v>
      </c>
      <c r="C3485" s="10">
        <v>46059.0</v>
      </c>
      <c r="D3485" s="6" t="s">
        <v>677</v>
      </c>
      <c r="E3485" s="6" t="s">
        <v>738</v>
      </c>
      <c r="F3485" s="6" t="s">
        <v>249</v>
      </c>
      <c r="G3485" s="6" t="s">
        <v>494</v>
      </c>
      <c r="H3485" s="11" t="s">
        <v>259</v>
      </c>
      <c r="I3485" s="12">
        <v>3.0</v>
      </c>
      <c r="J3485" s="6" t="s">
        <v>161</v>
      </c>
    </row>
    <row r="3486" ht="22.5" customHeight="1">
      <c r="A3486" s="6" t="s">
        <v>16485</v>
      </c>
      <c r="B3486" s="6" t="s">
        <v>8269</v>
      </c>
      <c r="C3486" s="10">
        <v>46046.0</v>
      </c>
      <c r="D3486" s="6" t="s">
        <v>436</v>
      </c>
      <c r="E3486" s="6" t="s">
        <v>1102</v>
      </c>
      <c r="F3486" s="6" t="s">
        <v>112</v>
      </c>
      <c r="G3486" s="6" t="s">
        <v>297</v>
      </c>
      <c r="H3486" s="10">
        <v>46053.0</v>
      </c>
      <c r="I3486" s="12">
        <v>12.0</v>
      </c>
      <c r="J3486" s="6" t="s">
        <v>178</v>
      </c>
    </row>
    <row r="3487" ht="22.5" customHeight="1">
      <c r="A3487" s="6" t="s">
        <v>16490</v>
      </c>
      <c r="B3487" s="6" t="s">
        <v>8269</v>
      </c>
      <c r="C3487" s="10">
        <v>46043.0</v>
      </c>
      <c r="D3487" s="6" t="s">
        <v>391</v>
      </c>
      <c r="E3487" s="6" t="s">
        <v>798</v>
      </c>
      <c r="F3487" s="6" t="s">
        <v>283</v>
      </c>
      <c r="G3487" s="6" t="s">
        <v>494</v>
      </c>
      <c r="H3487" s="10">
        <v>46046.0</v>
      </c>
      <c r="I3487" s="12">
        <v>11.0</v>
      </c>
      <c r="J3487" s="6" t="s">
        <v>161</v>
      </c>
    </row>
    <row r="3488" ht="22.5" customHeight="1">
      <c r="A3488" s="6" t="s">
        <v>16494</v>
      </c>
      <c r="B3488" s="6" t="s">
        <v>8275</v>
      </c>
      <c r="C3488" s="10">
        <v>46072.0</v>
      </c>
      <c r="D3488" s="6" t="s">
        <v>312</v>
      </c>
      <c r="E3488" s="6" t="s">
        <v>775</v>
      </c>
      <c r="F3488" s="6" t="s">
        <v>112</v>
      </c>
      <c r="G3488" s="6" t="s">
        <v>477</v>
      </c>
      <c r="H3488" s="10">
        <v>46077.0</v>
      </c>
      <c r="I3488" s="12">
        <v>4.0</v>
      </c>
      <c r="J3488" s="6" t="s">
        <v>161</v>
      </c>
    </row>
    <row r="3489" ht="22.5" customHeight="1">
      <c r="A3489" s="6" t="s">
        <v>16498</v>
      </c>
      <c r="B3489" s="6" t="s">
        <v>8275</v>
      </c>
      <c r="C3489" s="10">
        <v>46074.0</v>
      </c>
      <c r="D3489" s="6" t="s">
        <v>289</v>
      </c>
      <c r="E3489" s="6" t="s">
        <v>450</v>
      </c>
      <c r="F3489" s="6" t="s">
        <v>439</v>
      </c>
      <c r="G3489" s="6" t="s">
        <v>297</v>
      </c>
      <c r="H3489" s="10">
        <v>46076.0</v>
      </c>
      <c r="I3489" s="12">
        <v>6.0</v>
      </c>
      <c r="J3489" s="6" t="s">
        <v>161</v>
      </c>
    </row>
    <row r="3490" ht="22.5" customHeight="1">
      <c r="A3490" s="6" t="s">
        <v>16501</v>
      </c>
      <c r="B3490" s="6" t="s">
        <v>8275</v>
      </c>
      <c r="C3490" s="10">
        <v>46071.0</v>
      </c>
      <c r="D3490" s="6" t="s">
        <v>436</v>
      </c>
      <c r="E3490" s="6" t="s">
        <v>1280</v>
      </c>
      <c r="F3490" s="6" t="s">
        <v>249</v>
      </c>
      <c r="G3490" s="6" t="s">
        <v>452</v>
      </c>
      <c r="H3490" s="10">
        <v>46075.0</v>
      </c>
      <c r="I3490" s="12">
        <v>12.0</v>
      </c>
      <c r="J3490" s="6" t="s">
        <v>178</v>
      </c>
    </row>
    <row r="3491" ht="22.5" customHeight="1">
      <c r="A3491" s="6" t="s">
        <v>16507</v>
      </c>
      <c r="B3491" s="6" t="s">
        <v>8282</v>
      </c>
      <c r="C3491" s="10">
        <v>46077.0</v>
      </c>
      <c r="D3491" s="6" t="s">
        <v>436</v>
      </c>
      <c r="E3491" s="6" t="s">
        <v>291</v>
      </c>
      <c r="F3491" s="6" t="s">
        <v>112</v>
      </c>
      <c r="G3491" s="6" t="s">
        <v>326</v>
      </c>
      <c r="H3491" s="10">
        <v>46079.0</v>
      </c>
      <c r="I3491" s="12">
        <v>7.0</v>
      </c>
      <c r="J3491" s="6" t="s">
        <v>161</v>
      </c>
    </row>
    <row r="3492" ht="22.5" customHeight="1">
      <c r="A3492" s="6" t="s">
        <v>16513</v>
      </c>
      <c r="B3492" s="6" t="s">
        <v>8282</v>
      </c>
      <c r="C3492" s="10">
        <v>46069.0</v>
      </c>
      <c r="D3492" s="6" t="s">
        <v>677</v>
      </c>
      <c r="E3492" s="6" t="s">
        <v>1273</v>
      </c>
      <c r="F3492" s="6" t="s">
        <v>112</v>
      </c>
      <c r="G3492" s="6" t="s">
        <v>452</v>
      </c>
      <c r="H3492" s="10">
        <v>46069.0</v>
      </c>
      <c r="I3492" s="12">
        <v>3.0</v>
      </c>
      <c r="J3492" s="6" t="s">
        <v>161</v>
      </c>
    </row>
    <row r="3493" ht="22.5" customHeight="1">
      <c r="A3493" s="6" t="s">
        <v>16517</v>
      </c>
      <c r="B3493" s="6" t="s">
        <v>8282</v>
      </c>
      <c r="C3493" s="10">
        <v>46066.0</v>
      </c>
      <c r="D3493" s="6" t="s">
        <v>289</v>
      </c>
      <c r="E3493" s="6" t="s">
        <v>955</v>
      </c>
      <c r="F3493" s="6" t="s">
        <v>283</v>
      </c>
      <c r="G3493" s="6" t="s">
        <v>452</v>
      </c>
      <c r="H3493" s="10">
        <v>46068.0</v>
      </c>
      <c r="I3493" s="12">
        <v>6.0</v>
      </c>
      <c r="J3493" s="6" t="s">
        <v>161</v>
      </c>
    </row>
    <row r="3494" ht="22.5" customHeight="1">
      <c r="A3494" s="6" t="s">
        <v>16523</v>
      </c>
      <c r="B3494" s="6" t="s">
        <v>8288</v>
      </c>
      <c r="C3494" s="10">
        <v>46059.0</v>
      </c>
      <c r="D3494" s="6" t="s">
        <v>312</v>
      </c>
      <c r="E3494" s="6" t="s">
        <v>1241</v>
      </c>
      <c r="F3494" s="6" t="s">
        <v>249</v>
      </c>
      <c r="G3494" s="6" t="s">
        <v>297</v>
      </c>
      <c r="H3494" s="10">
        <v>46062.0</v>
      </c>
      <c r="I3494" s="12">
        <v>5.0</v>
      </c>
      <c r="J3494" s="6" t="s">
        <v>161</v>
      </c>
    </row>
    <row r="3495" ht="22.5" customHeight="1">
      <c r="A3495" s="6" t="s">
        <v>16530</v>
      </c>
      <c r="B3495" s="6" t="s">
        <v>8288</v>
      </c>
      <c r="C3495" s="10">
        <v>46056.0</v>
      </c>
      <c r="D3495" s="6" t="s">
        <v>289</v>
      </c>
      <c r="E3495" s="6" t="s">
        <v>738</v>
      </c>
      <c r="F3495" s="6" t="s">
        <v>249</v>
      </c>
      <c r="G3495" s="6" t="s">
        <v>326</v>
      </c>
      <c r="H3495" s="10">
        <v>46063.0</v>
      </c>
      <c r="I3495" s="12">
        <v>9.0</v>
      </c>
      <c r="J3495" s="6" t="s">
        <v>161</v>
      </c>
    </row>
    <row r="3496" ht="22.5" customHeight="1">
      <c r="A3496" s="6" t="s">
        <v>16537</v>
      </c>
      <c r="B3496" s="6" t="s">
        <v>8288</v>
      </c>
      <c r="C3496" s="10">
        <v>46056.0</v>
      </c>
      <c r="D3496" s="6" t="s">
        <v>312</v>
      </c>
      <c r="E3496" s="6" t="s">
        <v>716</v>
      </c>
      <c r="F3496" s="6" t="s">
        <v>112</v>
      </c>
      <c r="G3496" s="6" t="s">
        <v>254</v>
      </c>
      <c r="H3496" s="10">
        <v>46058.0</v>
      </c>
      <c r="I3496" s="12">
        <v>5.0</v>
      </c>
      <c r="J3496" s="6" t="s">
        <v>161</v>
      </c>
    </row>
    <row r="3497" ht="22.5" customHeight="1">
      <c r="A3497" s="6" t="s">
        <v>16546</v>
      </c>
      <c r="B3497" s="6" t="s">
        <v>8288</v>
      </c>
      <c r="C3497" s="10">
        <v>46062.0</v>
      </c>
      <c r="D3497" s="6" t="s">
        <v>436</v>
      </c>
      <c r="E3497" s="6" t="s">
        <v>775</v>
      </c>
      <c r="F3497" s="6" t="s">
        <v>112</v>
      </c>
      <c r="G3497" s="6" t="s">
        <v>458</v>
      </c>
      <c r="H3497" s="10">
        <v>46069.0</v>
      </c>
      <c r="I3497" s="12">
        <v>11.0</v>
      </c>
      <c r="J3497" s="6" t="s">
        <v>178</v>
      </c>
    </row>
    <row r="3498" ht="22.5" customHeight="1">
      <c r="A3498" s="6" t="s">
        <v>16554</v>
      </c>
      <c r="B3498" s="6" t="s">
        <v>8295</v>
      </c>
      <c r="C3498" s="10">
        <v>46027.0</v>
      </c>
      <c r="D3498" s="6" t="s">
        <v>289</v>
      </c>
      <c r="E3498" s="6" t="s">
        <v>1720</v>
      </c>
      <c r="F3498" s="6" t="s">
        <v>439</v>
      </c>
      <c r="G3498" s="6" t="s">
        <v>494</v>
      </c>
      <c r="H3498" s="10">
        <v>46034.0</v>
      </c>
      <c r="I3498" s="12">
        <v>6.0</v>
      </c>
      <c r="J3498" s="6" t="s">
        <v>161</v>
      </c>
    </row>
    <row r="3499" ht="22.5" customHeight="1">
      <c r="A3499" s="6" t="s">
        <v>16564</v>
      </c>
      <c r="B3499" s="6" t="s">
        <v>8295</v>
      </c>
      <c r="C3499" s="10">
        <v>46030.0</v>
      </c>
      <c r="D3499" s="6" t="s">
        <v>289</v>
      </c>
      <c r="E3499" s="6" t="s">
        <v>704</v>
      </c>
      <c r="F3499" s="6" t="s">
        <v>283</v>
      </c>
      <c r="G3499" s="6" t="s">
        <v>254</v>
      </c>
      <c r="H3499" s="11" t="s">
        <v>259</v>
      </c>
      <c r="I3499" s="12">
        <v>6.0</v>
      </c>
      <c r="J3499" s="6" t="s">
        <v>161</v>
      </c>
    </row>
    <row r="3500" ht="22.5" customHeight="1">
      <c r="A3500" s="6" t="s">
        <v>16570</v>
      </c>
      <c r="B3500" s="6" t="s">
        <v>8295</v>
      </c>
      <c r="C3500" s="10">
        <v>46040.0</v>
      </c>
      <c r="D3500" s="6" t="s">
        <v>242</v>
      </c>
      <c r="E3500" s="6" t="s">
        <v>716</v>
      </c>
      <c r="F3500" s="6" t="s">
        <v>283</v>
      </c>
      <c r="G3500" s="6" t="s">
        <v>452</v>
      </c>
      <c r="H3500" s="10">
        <v>46047.0</v>
      </c>
      <c r="I3500" s="12">
        <v>5.0</v>
      </c>
      <c r="J3500" s="6" t="s">
        <v>178</v>
      </c>
    </row>
    <row r="3501" ht="22.5" customHeight="1">
      <c r="A3501" s="6" t="s">
        <v>16576</v>
      </c>
      <c r="B3501" s="6" t="s">
        <v>8295</v>
      </c>
      <c r="C3501" s="10">
        <v>46040.0</v>
      </c>
      <c r="D3501" s="6" t="s">
        <v>289</v>
      </c>
      <c r="E3501" s="6" t="s">
        <v>417</v>
      </c>
      <c r="F3501" s="6" t="s">
        <v>249</v>
      </c>
      <c r="G3501" s="6" t="s">
        <v>297</v>
      </c>
      <c r="H3501" s="10">
        <v>46040.0</v>
      </c>
      <c r="I3501" s="12">
        <v>5.0</v>
      </c>
      <c r="J3501" s="6" t="s">
        <v>161</v>
      </c>
    </row>
    <row r="3502" ht="22.5" customHeight="1">
      <c r="A3502" s="6" t="s">
        <v>16580</v>
      </c>
      <c r="B3502" s="6" t="s">
        <v>8301</v>
      </c>
      <c r="C3502" s="10">
        <v>46071.0</v>
      </c>
      <c r="D3502" s="6" t="s">
        <v>416</v>
      </c>
      <c r="E3502" s="6" t="s">
        <v>731</v>
      </c>
      <c r="F3502" s="6" t="s">
        <v>283</v>
      </c>
      <c r="G3502" s="6" t="s">
        <v>369</v>
      </c>
      <c r="H3502" s="10">
        <v>46074.0</v>
      </c>
      <c r="I3502" s="12">
        <v>14.0</v>
      </c>
      <c r="J3502" s="6" t="s">
        <v>161</v>
      </c>
    </row>
    <row r="3503" ht="22.5" customHeight="1">
      <c r="A3503" s="6" t="s">
        <v>16585</v>
      </c>
      <c r="B3503" s="6" t="s">
        <v>8301</v>
      </c>
      <c r="C3503" s="10">
        <v>46083.0</v>
      </c>
      <c r="D3503" s="6" t="s">
        <v>677</v>
      </c>
      <c r="E3503" s="6" t="s">
        <v>775</v>
      </c>
      <c r="F3503" s="6" t="s">
        <v>112</v>
      </c>
      <c r="G3503" s="6" t="s">
        <v>494</v>
      </c>
      <c r="H3503" s="10">
        <v>46085.0</v>
      </c>
      <c r="I3503" s="12">
        <v>4.0</v>
      </c>
      <c r="J3503" s="6" t="s">
        <v>161</v>
      </c>
    </row>
    <row r="3504" ht="22.5" customHeight="1">
      <c r="A3504" s="6" t="s">
        <v>16587</v>
      </c>
      <c r="B3504" s="6" t="s">
        <v>8301</v>
      </c>
      <c r="C3504" s="10">
        <v>46079.0</v>
      </c>
      <c r="D3504" s="6" t="s">
        <v>289</v>
      </c>
      <c r="E3504" s="6" t="s">
        <v>885</v>
      </c>
      <c r="F3504" s="6" t="s">
        <v>439</v>
      </c>
      <c r="G3504" s="6" t="s">
        <v>369</v>
      </c>
      <c r="H3504" s="10">
        <v>46083.0</v>
      </c>
      <c r="I3504" s="12">
        <v>7.0</v>
      </c>
      <c r="J3504" s="6" t="s">
        <v>161</v>
      </c>
    </row>
    <row r="3505" ht="22.5" customHeight="1">
      <c r="A3505" s="6" t="s">
        <v>16590</v>
      </c>
      <c r="B3505" s="6" t="s">
        <v>8307</v>
      </c>
      <c r="C3505" s="10">
        <v>46034.0</v>
      </c>
      <c r="D3505" s="6" t="s">
        <v>677</v>
      </c>
      <c r="E3505" s="6" t="s">
        <v>475</v>
      </c>
      <c r="F3505" s="6" t="s">
        <v>249</v>
      </c>
      <c r="G3505" s="6" t="s">
        <v>369</v>
      </c>
      <c r="H3505" s="10">
        <v>46036.0</v>
      </c>
      <c r="I3505" s="12">
        <v>3.0</v>
      </c>
      <c r="J3505" s="6" t="s">
        <v>161</v>
      </c>
    </row>
    <row r="3506" ht="22.5" customHeight="1">
      <c r="A3506" s="6" t="s">
        <v>16593</v>
      </c>
      <c r="B3506" s="6" t="s">
        <v>8312</v>
      </c>
      <c r="C3506" s="10">
        <v>46065.0</v>
      </c>
      <c r="D3506" s="6" t="s">
        <v>677</v>
      </c>
      <c r="E3506" s="6" t="s">
        <v>1552</v>
      </c>
      <c r="F3506" s="6" t="s">
        <v>249</v>
      </c>
      <c r="G3506" s="6" t="s">
        <v>452</v>
      </c>
      <c r="H3506" s="10">
        <v>46069.0</v>
      </c>
      <c r="I3506" s="12">
        <v>2.0</v>
      </c>
      <c r="J3506" s="6" t="s">
        <v>161</v>
      </c>
    </row>
    <row r="3507" ht="22.5" customHeight="1">
      <c r="A3507" s="6" t="s">
        <v>16597</v>
      </c>
      <c r="B3507" s="6" t="s">
        <v>8312</v>
      </c>
      <c r="C3507" s="10">
        <v>46058.0</v>
      </c>
      <c r="D3507" s="6" t="s">
        <v>677</v>
      </c>
      <c r="E3507" s="6" t="s">
        <v>955</v>
      </c>
      <c r="F3507" s="6" t="s">
        <v>249</v>
      </c>
      <c r="G3507" s="6" t="s">
        <v>297</v>
      </c>
      <c r="H3507" s="10">
        <v>46061.0</v>
      </c>
      <c r="I3507" s="12">
        <v>2.0</v>
      </c>
      <c r="J3507" s="6" t="s">
        <v>161</v>
      </c>
    </row>
    <row r="3508" ht="22.5" customHeight="1">
      <c r="A3508" s="6" t="s">
        <v>16602</v>
      </c>
      <c r="B3508" s="6" t="s">
        <v>8312</v>
      </c>
      <c r="C3508" s="10">
        <v>46064.0</v>
      </c>
      <c r="D3508" s="6" t="s">
        <v>242</v>
      </c>
      <c r="E3508" s="6" t="s">
        <v>896</v>
      </c>
      <c r="F3508" s="6" t="s">
        <v>439</v>
      </c>
      <c r="G3508" s="6" t="s">
        <v>494</v>
      </c>
      <c r="H3508" s="10">
        <v>46070.0</v>
      </c>
      <c r="I3508" s="12">
        <v>3.0</v>
      </c>
      <c r="J3508" s="6" t="s">
        <v>178</v>
      </c>
    </row>
    <row r="3509" ht="22.5" customHeight="1">
      <c r="A3509" s="6" t="s">
        <v>16607</v>
      </c>
      <c r="B3509" s="6" t="s">
        <v>8312</v>
      </c>
      <c r="C3509" s="10">
        <v>46061.0</v>
      </c>
      <c r="D3509" s="6" t="s">
        <v>242</v>
      </c>
      <c r="E3509" s="6" t="s">
        <v>1310</v>
      </c>
      <c r="F3509" s="6" t="s">
        <v>249</v>
      </c>
      <c r="G3509" s="6" t="s">
        <v>297</v>
      </c>
      <c r="H3509" s="10">
        <v>46064.0</v>
      </c>
      <c r="I3509" s="12">
        <v>6.0</v>
      </c>
      <c r="J3509" s="6" t="s">
        <v>178</v>
      </c>
    </row>
    <row r="3510" ht="22.5" customHeight="1">
      <c r="A3510" s="6" t="s">
        <v>16611</v>
      </c>
      <c r="B3510" s="6" t="s">
        <v>8312</v>
      </c>
      <c r="C3510" s="10">
        <v>46067.0</v>
      </c>
      <c r="D3510" s="6" t="s">
        <v>289</v>
      </c>
      <c r="E3510" s="6" t="s">
        <v>1552</v>
      </c>
      <c r="F3510" s="6" t="s">
        <v>249</v>
      </c>
      <c r="G3510" s="6" t="s">
        <v>297</v>
      </c>
      <c r="H3510" s="10">
        <v>46067.0</v>
      </c>
      <c r="I3510" s="12">
        <v>5.0</v>
      </c>
      <c r="J3510" s="6" t="s">
        <v>161</v>
      </c>
    </row>
    <row r="3511" ht="22.5" customHeight="1">
      <c r="A3511" s="6" t="s">
        <v>16615</v>
      </c>
      <c r="B3511" s="6" t="s">
        <v>8318</v>
      </c>
      <c r="C3511" s="10">
        <v>46035.0</v>
      </c>
      <c r="D3511" s="6" t="s">
        <v>436</v>
      </c>
      <c r="E3511" s="6" t="s">
        <v>583</v>
      </c>
      <c r="F3511" s="6" t="s">
        <v>112</v>
      </c>
      <c r="G3511" s="6" t="s">
        <v>458</v>
      </c>
      <c r="H3511" s="11" t="s">
        <v>259</v>
      </c>
      <c r="I3511" s="12">
        <v>11.0</v>
      </c>
      <c r="J3511" s="6" t="s">
        <v>178</v>
      </c>
    </row>
    <row r="3512" ht="22.5" customHeight="1">
      <c r="A3512" s="6" t="s">
        <v>16619</v>
      </c>
      <c r="B3512" s="6" t="s">
        <v>8318</v>
      </c>
      <c r="C3512" s="10">
        <v>46045.0</v>
      </c>
      <c r="D3512" s="6" t="s">
        <v>677</v>
      </c>
      <c r="E3512" s="6" t="s">
        <v>512</v>
      </c>
      <c r="F3512" s="6" t="s">
        <v>439</v>
      </c>
      <c r="G3512" s="6" t="s">
        <v>254</v>
      </c>
      <c r="H3512" s="10">
        <v>46045.0</v>
      </c>
      <c r="I3512" s="12">
        <v>3.0</v>
      </c>
      <c r="J3512" s="6" t="s">
        <v>161</v>
      </c>
    </row>
    <row r="3513" ht="22.5" customHeight="1">
      <c r="A3513" s="6" t="s">
        <v>16625</v>
      </c>
      <c r="B3513" s="6" t="s">
        <v>8318</v>
      </c>
      <c r="C3513" s="10">
        <v>46049.0</v>
      </c>
      <c r="D3513" s="6" t="s">
        <v>242</v>
      </c>
      <c r="E3513" s="6" t="s">
        <v>1700</v>
      </c>
      <c r="F3513" s="6" t="s">
        <v>249</v>
      </c>
      <c r="G3513" s="6" t="s">
        <v>452</v>
      </c>
      <c r="H3513" s="11" t="s">
        <v>259</v>
      </c>
      <c r="I3513" s="12">
        <v>6.0</v>
      </c>
      <c r="J3513" s="6" t="s">
        <v>178</v>
      </c>
    </row>
    <row r="3514" ht="22.5" customHeight="1">
      <c r="A3514" s="6" t="s">
        <v>16628</v>
      </c>
      <c r="B3514" s="6" t="s">
        <v>8318</v>
      </c>
      <c r="C3514" s="10">
        <v>46050.0</v>
      </c>
      <c r="D3514" s="6" t="s">
        <v>289</v>
      </c>
      <c r="E3514" s="6" t="s">
        <v>1386</v>
      </c>
      <c r="F3514" s="6" t="s">
        <v>439</v>
      </c>
      <c r="G3514" s="6" t="s">
        <v>297</v>
      </c>
      <c r="H3514" s="10">
        <v>46054.0</v>
      </c>
      <c r="I3514" s="12">
        <v>5.0</v>
      </c>
      <c r="J3514" s="6" t="s">
        <v>161</v>
      </c>
    </row>
    <row r="3515" ht="22.5" customHeight="1">
      <c r="A3515" s="6" t="s">
        <v>16632</v>
      </c>
      <c r="B3515" s="6" t="s">
        <v>8324</v>
      </c>
      <c r="C3515" s="10">
        <v>46024.0</v>
      </c>
      <c r="D3515" s="6" t="s">
        <v>416</v>
      </c>
      <c r="E3515" s="6" t="s">
        <v>1241</v>
      </c>
      <c r="F3515" s="6" t="s">
        <v>283</v>
      </c>
      <c r="G3515" s="6" t="s">
        <v>297</v>
      </c>
      <c r="H3515" s="10">
        <v>46026.0</v>
      </c>
      <c r="I3515" s="12">
        <v>13.0</v>
      </c>
      <c r="J3515" s="6" t="s">
        <v>161</v>
      </c>
    </row>
    <row r="3516" ht="22.5" customHeight="1">
      <c r="A3516" s="6" t="s">
        <v>16635</v>
      </c>
      <c r="B3516" s="6" t="s">
        <v>8330</v>
      </c>
      <c r="C3516" s="10">
        <v>46061.0</v>
      </c>
      <c r="D3516" s="6" t="s">
        <v>242</v>
      </c>
      <c r="E3516" s="6" t="s">
        <v>695</v>
      </c>
      <c r="F3516" s="6" t="s">
        <v>439</v>
      </c>
      <c r="G3516" s="6" t="s">
        <v>452</v>
      </c>
      <c r="H3516" s="10">
        <v>46068.0</v>
      </c>
      <c r="I3516" s="12">
        <v>5.0</v>
      </c>
      <c r="J3516" s="6" t="s">
        <v>161</v>
      </c>
    </row>
    <row r="3517" ht="22.5" customHeight="1">
      <c r="A3517" s="6" t="s">
        <v>16639</v>
      </c>
      <c r="B3517" s="6" t="s">
        <v>8330</v>
      </c>
      <c r="C3517" s="10">
        <v>46067.0</v>
      </c>
      <c r="D3517" s="6" t="s">
        <v>677</v>
      </c>
      <c r="E3517" s="6" t="s">
        <v>833</v>
      </c>
      <c r="F3517" s="6" t="s">
        <v>249</v>
      </c>
      <c r="G3517" s="6" t="s">
        <v>494</v>
      </c>
      <c r="H3517" s="10">
        <v>46071.0</v>
      </c>
      <c r="I3517" s="12">
        <v>2.0</v>
      </c>
      <c r="J3517" s="6" t="s">
        <v>161</v>
      </c>
    </row>
    <row r="3518" ht="22.5" customHeight="1">
      <c r="A3518" s="6" t="s">
        <v>16645</v>
      </c>
      <c r="B3518" s="6" t="s">
        <v>8335</v>
      </c>
      <c r="C3518" s="10">
        <v>46067.0</v>
      </c>
      <c r="D3518" s="6" t="s">
        <v>391</v>
      </c>
      <c r="E3518" s="6" t="s">
        <v>885</v>
      </c>
      <c r="F3518" s="6" t="s">
        <v>439</v>
      </c>
      <c r="G3518" s="6" t="s">
        <v>458</v>
      </c>
      <c r="H3518" s="10">
        <v>46070.0</v>
      </c>
      <c r="I3518" s="12">
        <v>11.0</v>
      </c>
      <c r="J3518" s="6" t="s">
        <v>161</v>
      </c>
    </row>
    <row r="3519" ht="22.5" customHeight="1">
      <c r="A3519" s="6" t="s">
        <v>16648</v>
      </c>
      <c r="B3519" s="6" t="s">
        <v>8335</v>
      </c>
      <c r="C3519" s="10">
        <v>46075.0</v>
      </c>
      <c r="D3519" s="6" t="s">
        <v>391</v>
      </c>
      <c r="E3519" s="6" t="s">
        <v>896</v>
      </c>
      <c r="F3519" s="6" t="s">
        <v>249</v>
      </c>
      <c r="G3519" s="6" t="s">
        <v>297</v>
      </c>
      <c r="H3519" s="11" t="s">
        <v>259</v>
      </c>
      <c r="I3519" s="12">
        <v>9.0</v>
      </c>
      <c r="J3519" s="6" t="s">
        <v>161</v>
      </c>
    </row>
    <row r="3520" ht="22.5" customHeight="1">
      <c r="A3520" s="6" t="s">
        <v>16653</v>
      </c>
      <c r="B3520" s="6" t="s">
        <v>8335</v>
      </c>
      <c r="C3520" s="10">
        <v>46065.0</v>
      </c>
      <c r="D3520" s="6" t="s">
        <v>436</v>
      </c>
      <c r="E3520" s="6" t="s">
        <v>1070</v>
      </c>
      <c r="F3520" s="6" t="s">
        <v>283</v>
      </c>
      <c r="G3520" s="6" t="s">
        <v>452</v>
      </c>
      <c r="H3520" s="10">
        <v>46065.0</v>
      </c>
      <c r="I3520" s="12">
        <v>7.0</v>
      </c>
      <c r="J3520" s="6" t="s">
        <v>161</v>
      </c>
    </row>
    <row r="3521" ht="22.5" customHeight="1">
      <c r="A3521" s="6" t="s">
        <v>16658</v>
      </c>
      <c r="B3521" s="6" t="s">
        <v>8335</v>
      </c>
      <c r="C3521" s="10">
        <v>46074.0</v>
      </c>
      <c r="D3521" s="6" t="s">
        <v>289</v>
      </c>
      <c r="E3521" s="6" t="s">
        <v>1600</v>
      </c>
      <c r="F3521" s="6" t="s">
        <v>112</v>
      </c>
      <c r="G3521" s="6" t="s">
        <v>297</v>
      </c>
      <c r="H3521" s="10">
        <v>46076.0</v>
      </c>
      <c r="I3521" s="12">
        <v>6.0</v>
      </c>
      <c r="J3521" s="6" t="s">
        <v>161</v>
      </c>
    </row>
    <row r="3522" ht="22.5" customHeight="1">
      <c r="A3522" s="6" t="s">
        <v>16661</v>
      </c>
      <c r="B3522" s="6" t="s">
        <v>8335</v>
      </c>
      <c r="C3522" s="10">
        <v>46072.0</v>
      </c>
      <c r="D3522" s="6" t="s">
        <v>289</v>
      </c>
      <c r="E3522" s="6" t="s">
        <v>1720</v>
      </c>
      <c r="F3522" s="6" t="s">
        <v>283</v>
      </c>
      <c r="G3522" s="6" t="s">
        <v>477</v>
      </c>
      <c r="H3522" s="10">
        <v>46073.0</v>
      </c>
      <c r="I3522" s="12">
        <v>8.0</v>
      </c>
      <c r="J3522" s="6" t="s">
        <v>161</v>
      </c>
    </row>
    <row r="3523" ht="22.5" customHeight="1">
      <c r="A3523" s="6" t="s">
        <v>16667</v>
      </c>
      <c r="B3523" s="6" t="s">
        <v>8341</v>
      </c>
      <c r="C3523" s="10">
        <v>46062.0</v>
      </c>
      <c r="D3523" s="6" t="s">
        <v>289</v>
      </c>
      <c r="E3523" s="6" t="s">
        <v>1296</v>
      </c>
      <c r="F3523" s="6" t="s">
        <v>112</v>
      </c>
      <c r="G3523" s="6" t="s">
        <v>297</v>
      </c>
      <c r="H3523" s="10">
        <v>46068.0</v>
      </c>
      <c r="I3523" s="12">
        <v>5.0</v>
      </c>
      <c r="J3523" s="6" t="s">
        <v>161</v>
      </c>
    </row>
    <row r="3524" ht="22.5" customHeight="1">
      <c r="A3524" s="6" t="s">
        <v>16672</v>
      </c>
      <c r="B3524" s="6" t="s">
        <v>8341</v>
      </c>
      <c r="C3524" s="10">
        <v>46058.0</v>
      </c>
      <c r="D3524" s="6" t="s">
        <v>391</v>
      </c>
      <c r="E3524" s="6" t="s">
        <v>291</v>
      </c>
      <c r="F3524" s="6" t="s">
        <v>439</v>
      </c>
      <c r="G3524" s="6" t="s">
        <v>297</v>
      </c>
      <c r="H3524" s="11" t="s">
        <v>259</v>
      </c>
      <c r="I3524" s="12">
        <v>9.0</v>
      </c>
      <c r="J3524" s="6" t="s">
        <v>161</v>
      </c>
    </row>
    <row r="3525" ht="22.5" customHeight="1">
      <c r="A3525" s="6" t="s">
        <v>16677</v>
      </c>
      <c r="B3525" s="6" t="s">
        <v>8347</v>
      </c>
      <c r="C3525" s="10">
        <v>46034.0</v>
      </c>
      <c r="D3525" s="6" t="s">
        <v>677</v>
      </c>
      <c r="E3525" s="6" t="s">
        <v>320</v>
      </c>
      <c r="F3525" s="6" t="s">
        <v>249</v>
      </c>
      <c r="G3525" s="6" t="s">
        <v>369</v>
      </c>
      <c r="H3525" s="10">
        <v>46034.0</v>
      </c>
      <c r="I3525" s="12">
        <v>4.0</v>
      </c>
      <c r="J3525" s="6" t="s">
        <v>161</v>
      </c>
    </row>
    <row r="3526" ht="22.5" customHeight="1">
      <c r="A3526" s="6" t="s">
        <v>16682</v>
      </c>
      <c r="B3526" s="6" t="s">
        <v>8353</v>
      </c>
      <c r="C3526" s="10">
        <v>46060.0</v>
      </c>
      <c r="D3526" s="6" t="s">
        <v>416</v>
      </c>
      <c r="E3526" s="6" t="s">
        <v>1149</v>
      </c>
      <c r="F3526" s="6" t="s">
        <v>249</v>
      </c>
      <c r="G3526" s="6" t="s">
        <v>458</v>
      </c>
      <c r="H3526" s="10">
        <v>46062.0</v>
      </c>
      <c r="I3526" s="12">
        <v>8.0</v>
      </c>
      <c r="J3526" s="6" t="s">
        <v>161</v>
      </c>
    </row>
    <row r="3527" ht="22.5" customHeight="1">
      <c r="A3527" s="6" t="s">
        <v>16686</v>
      </c>
      <c r="B3527" s="6" t="s">
        <v>8353</v>
      </c>
      <c r="C3527" s="10">
        <v>46057.0</v>
      </c>
      <c r="D3527" s="6" t="s">
        <v>312</v>
      </c>
      <c r="E3527" s="6" t="s">
        <v>1035</v>
      </c>
      <c r="F3527" s="6" t="s">
        <v>112</v>
      </c>
      <c r="G3527" s="6" t="s">
        <v>477</v>
      </c>
      <c r="H3527" s="10">
        <v>46060.0</v>
      </c>
      <c r="I3527" s="12">
        <v>4.0</v>
      </c>
      <c r="J3527" s="6" t="s">
        <v>161</v>
      </c>
    </row>
    <row r="3528" ht="22.5" customHeight="1">
      <c r="A3528" s="6" t="s">
        <v>16690</v>
      </c>
      <c r="B3528" s="6" t="s">
        <v>8353</v>
      </c>
      <c r="C3528" s="10">
        <v>46049.0</v>
      </c>
      <c r="D3528" s="6" t="s">
        <v>416</v>
      </c>
      <c r="E3528" s="6" t="s">
        <v>2365</v>
      </c>
      <c r="F3528" s="6" t="s">
        <v>112</v>
      </c>
      <c r="G3528" s="6" t="s">
        <v>254</v>
      </c>
      <c r="H3528" s="10">
        <v>46051.0</v>
      </c>
      <c r="I3528" s="12">
        <v>11.0</v>
      </c>
      <c r="J3528" s="6" t="s">
        <v>161</v>
      </c>
    </row>
    <row r="3529" ht="22.5" customHeight="1">
      <c r="A3529" s="6" t="s">
        <v>16696</v>
      </c>
      <c r="B3529" s="6" t="s">
        <v>8359</v>
      </c>
      <c r="C3529" s="10">
        <v>46051.0</v>
      </c>
      <c r="D3529" s="6" t="s">
        <v>312</v>
      </c>
      <c r="E3529" s="6" t="s">
        <v>1149</v>
      </c>
      <c r="F3529" s="6" t="s">
        <v>283</v>
      </c>
      <c r="G3529" s="6" t="s">
        <v>297</v>
      </c>
      <c r="H3529" s="10">
        <v>46051.0</v>
      </c>
      <c r="I3529" s="12">
        <v>7.0</v>
      </c>
      <c r="J3529" s="6" t="s">
        <v>161</v>
      </c>
    </row>
    <row r="3530" ht="22.5" customHeight="1">
      <c r="A3530" s="6" t="s">
        <v>16700</v>
      </c>
      <c r="B3530" s="6" t="s">
        <v>8359</v>
      </c>
      <c r="C3530" s="10">
        <v>46058.0</v>
      </c>
      <c r="D3530" s="6" t="s">
        <v>312</v>
      </c>
      <c r="E3530" s="6" t="s">
        <v>1035</v>
      </c>
      <c r="F3530" s="6" t="s">
        <v>249</v>
      </c>
      <c r="G3530" s="6" t="s">
        <v>452</v>
      </c>
      <c r="H3530" s="10">
        <v>46063.0</v>
      </c>
      <c r="I3530" s="12">
        <v>6.0</v>
      </c>
      <c r="J3530" s="6" t="s">
        <v>161</v>
      </c>
    </row>
    <row r="3531" ht="22.5" customHeight="1">
      <c r="A3531" s="6" t="s">
        <v>16705</v>
      </c>
      <c r="B3531" s="6" t="s">
        <v>8364</v>
      </c>
      <c r="C3531" s="10">
        <v>46060.0</v>
      </c>
      <c r="D3531" s="6" t="s">
        <v>677</v>
      </c>
      <c r="E3531" s="6" t="s">
        <v>450</v>
      </c>
      <c r="F3531" s="6" t="s">
        <v>249</v>
      </c>
      <c r="G3531" s="6" t="s">
        <v>297</v>
      </c>
      <c r="H3531" s="10">
        <v>46062.0</v>
      </c>
      <c r="I3531" s="12">
        <v>3.0</v>
      </c>
      <c r="J3531" s="6" t="s">
        <v>161</v>
      </c>
    </row>
    <row r="3532" ht="22.5" customHeight="1">
      <c r="A3532" s="6" t="s">
        <v>16709</v>
      </c>
      <c r="B3532" s="6" t="s">
        <v>8364</v>
      </c>
      <c r="C3532" s="10">
        <v>46073.0</v>
      </c>
      <c r="D3532" s="6" t="s">
        <v>242</v>
      </c>
      <c r="E3532" s="6" t="s">
        <v>628</v>
      </c>
      <c r="F3532" s="6" t="s">
        <v>112</v>
      </c>
      <c r="G3532" s="6" t="s">
        <v>452</v>
      </c>
      <c r="H3532" s="10">
        <v>46074.0</v>
      </c>
      <c r="I3532" s="12">
        <v>4.0</v>
      </c>
      <c r="J3532" s="6" t="s">
        <v>178</v>
      </c>
    </row>
    <row r="3533" ht="22.5" customHeight="1">
      <c r="A3533" s="6" t="s">
        <v>16714</v>
      </c>
      <c r="B3533" s="6" t="s">
        <v>8370</v>
      </c>
      <c r="C3533" s="10">
        <v>46079.0</v>
      </c>
      <c r="D3533" s="6" t="s">
        <v>289</v>
      </c>
      <c r="E3533" s="6" t="s">
        <v>1600</v>
      </c>
      <c r="F3533" s="6" t="s">
        <v>112</v>
      </c>
      <c r="G3533" s="6" t="s">
        <v>254</v>
      </c>
      <c r="H3533" s="10">
        <v>46079.0</v>
      </c>
      <c r="I3533" s="12">
        <v>8.0</v>
      </c>
      <c r="J3533" s="6" t="s">
        <v>161</v>
      </c>
    </row>
    <row r="3534" ht="22.5" customHeight="1">
      <c r="A3534" s="6" t="s">
        <v>16717</v>
      </c>
      <c r="B3534" s="6" t="s">
        <v>8370</v>
      </c>
      <c r="C3534" s="10">
        <v>46063.0</v>
      </c>
      <c r="D3534" s="6" t="s">
        <v>391</v>
      </c>
      <c r="E3534" s="6" t="s">
        <v>1296</v>
      </c>
      <c r="F3534" s="6" t="s">
        <v>249</v>
      </c>
      <c r="G3534" s="6" t="s">
        <v>369</v>
      </c>
      <c r="H3534" s="10">
        <v>46065.0</v>
      </c>
      <c r="I3534" s="12">
        <v>6.0</v>
      </c>
      <c r="J3534" s="6" t="s">
        <v>161</v>
      </c>
    </row>
    <row r="3535" ht="22.5" customHeight="1">
      <c r="A3535" s="6" t="s">
        <v>16721</v>
      </c>
      <c r="B3535" s="6" t="s">
        <v>8370</v>
      </c>
      <c r="C3535" s="10">
        <v>46064.0</v>
      </c>
      <c r="D3535" s="6" t="s">
        <v>436</v>
      </c>
      <c r="E3535" s="6" t="s">
        <v>1700</v>
      </c>
      <c r="F3535" s="6" t="s">
        <v>439</v>
      </c>
      <c r="G3535" s="6" t="s">
        <v>494</v>
      </c>
      <c r="H3535" s="10">
        <v>46071.0</v>
      </c>
      <c r="I3535" s="12">
        <v>8.0</v>
      </c>
      <c r="J3535" s="6" t="s">
        <v>161</v>
      </c>
    </row>
    <row r="3536" ht="22.5" customHeight="1">
      <c r="A3536" s="6" t="s">
        <v>16724</v>
      </c>
      <c r="B3536" s="6" t="s">
        <v>8370</v>
      </c>
      <c r="C3536" s="10">
        <v>46077.0</v>
      </c>
      <c r="D3536" s="6" t="s">
        <v>416</v>
      </c>
      <c r="E3536" s="6" t="s">
        <v>1149</v>
      </c>
      <c r="F3536" s="6" t="s">
        <v>112</v>
      </c>
      <c r="G3536" s="6" t="s">
        <v>254</v>
      </c>
      <c r="H3536" s="10">
        <v>46080.0</v>
      </c>
      <c r="I3536" s="12">
        <v>11.0</v>
      </c>
      <c r="J3536" s="6" t="s">
        <v>161</v>
      </c>
    </row>
    <row r="3537" ht="22.5" customHeight="1">
      <c r="A3537" s="6" t="s">
        <v>16728</v>
      </c>
      <c r="B3537" s="6" t="s">
        <v>8376</v>
      </c>
      <c r="C3537" s="10">
        <v>46045.0</v>
      </c>
      <c r="D3537" s="6" t="s">
        <v>677</v>
      </c>
      <c r="E3537" s="6" t="s">
        <v>1070</v>
      </c>
      <c r="F3537" s="6" t="s">
        <v>439</v>
      </c>
      <c r="G3537" s="6" t="s">
        <v>458</v>
      </c>
      <c r="H3537" s="10">
        <v>46051.0</v>
      </c>
      <c r="I3537" s="12">
        <v>4.0</v>
      </c>
      <c r="J3537" s="6" t="s">
        <v>161</v>
      </c>
    </row>
    <row r="3538" ht="22.5" customHeight="1">
      <c r="A3538" s="6" t="s">
        <v>16731</v>
      </c>
      <c r="B3538" s="6" t="s">
        <v>8381</v>
      </c>
      <c r="C3538" s="10">
        <v>46031.0</v>
      </c>
      <c r="D3538" s="6" t="s">
        <v>436</v>
      </c>
      <c r="E3538" s="6" t="s">
        <v>2365</v>
      </c>
      <c r="F3538" s="6" t="s">
        <v>249</v>
      </c>
      <c r="G3538" s="6" t="s">
        <v>452</v>
      </c>
      <c r="H3538" s="10">
        <v>46034.0</v>
      </c>
      <c r="I3538" s="12">
        <v>7.0</v>
      </c>
      <c r="J3538" s="6" t="s">
        <v>178</v>
      </c>
    </row>
    <row r="3539" ht="22.5" customHeight="1">
      <c r="A3539" s="6" t="s">
        <v>16735</v>
      </c>
      <c r="B3539" s="6" t="s">
        <v>8381</v>
      </c>
      <c r="C3539" s="10">
        <v>46039.0</v>
      </c>
      <c r="D3539" s="6" t="s">
        <v>436</v>
      </c>
      <c r="E3539" s="6" t="s">
        <v>775</v>
      </c>
      <c r="F3539" s="6" t="s">
        <v>112</v>
      </c>
      <c r="G3539" s="6" t="s">
        <v>458</v>
      </c>
      <c r="H3539" s="10">
        <v>46040.0</v>
      </c>
      <c r="I3539" s="12">
        <v>8.0</v>
      </c>
      <c r="J3539" s="6" t="s">
        <v>178</v>
      </c>
    </row>
    <row r="3540" ht="22.5" customHeight="1">
      <c r="A3540" s="6" t="s">
        <v>16739</v>
      </c>
      <c r="B3540" s="6" t="s">
        <v>8381</v>
      </c>
      <c r="C3540" s="10">
        <v>46042.0</v>
      </c>
      <c r="D3540" s="6" t="s">
        <v>416</v>
      </c>
      <c r="E3540" s="6" t="s">
        <v>2365</v>
      </c>
      <c r="F3540" s="6" t="s">
        <v>283</v>
      </c>
      <c r="G3540" s="6" t="s">
        <v>452</v>
      </c>
      <c r="H3540" s="10">
        <v>46042.0</v>
      </c>
      <c r="I3540" s="12">
        <v>8.0</v>
      </c>
      <c r="J3540" s="6" t="s">
        <v>161</v>
      </c>
    </row>
    <row r="3541" ht="22.5" customHeight="1">
      <c r="A3541" s="6" t="s">
        <v>16744</v>
      </c>
      <c r="B3541" s="6" t="s">
        <v>8381</v>
      </c>
      <c r="C3541" s="10">
        <v>46035.0</v>
      </c>
      <c r="D3541" s="6" t="s">
        <v>289</v>
      </c>
      <c r="E3541" s="6" t="s">
        <v>658</v>
      </c>
      <c r="F3541" s="6" t="s">
        <v>283</v>
      </c>
      <c r="G3541" s="6" t="s">
        <v>477</v>
      </c>
      <c r="H3541" s="11" t="s">
        <v>259</v>
      </c>
      <c r="I3541" s="12">
        <v>9.0</v>
      </c>
      <c r="J3541" s="6" t="s">
        <v>161</v>
      </c>
    </row>
    <row r="3542" ht="22.5" customHeight="1">
      <c r="A3542" s="6" t="s">
        <v>16748</v>
      </c>
      <c r="B3542" s="6" t="s">
        <v>8381</v>
      </c>
      <c r="C3542" s="10">
        <v>46029.0</v>
      </c>
      <c r="D3542" s="6" t="s">
        <v>416</v>
      </c>
      <c r="E3542" s="6" t="s">
        <v>2881</v>
      </c>
      <c r="F3542" s="6" t="s">
        <v>283</v>
      </c>
      <c r="G3542" s="6" t="s">
        <v>369</v>
      </c>
      <c r="H3542" s="11" t="s">
        <v>259</v>
      </c>
      <c r="I3542" s="12">
        <v>13.0</v>
      </c>
      <c r="J3542" s="6" t="s">
        <v>161</v>
      </c>
    </row>
    <row r="3543" ht="22.5" customHeight="1">
      <c r="A3543" s="6" t="s">
        <v>16750</v>
      </c>
      <c r="B3543" s="6" t="s">
        <v>8387</v>
      </c>
      <c r="C3543" s="10">
        <v>46065.0</v>
      </c>
      <c r="D3543" s="6" t="s">
        <v>391</v>
      </c>
      <c r="E3543" s="6" t="s">
        <v>863</v>
      </c>
      <c r="F3543" s="6" t="s">
        <v>283</v>
      </c>
      <c r="G3543" s="6" t="s">
        <v>477</v>
      </c>
      <c r="H3543" s="11" t="s">
        <v>259</v>
      </c>
      <c r="I3543" s="12">
        <v>8.0</v>
      </c>
      <c r="J3543" s="6" t="s">
        <v>161</v>
      </c>
    </row>
    <row r="3544" ht="22.5" customHeight="1">
      <c r="A3544" s="6" t="s">
        <v>16755</v>
      </c>
      <c r="B3544" s="6" t="s">
        <v>8393</v>
      </c>
      <c r="C3544" s="10">
        <v>46064.0</v>
      </c>
      <c r="D3544" s="6" t="s">
        <v>677</v>
      </c>
      <c r="E3544" s="6" t="s">
        <v>1517</v>
      </c>
      <c r="F3544" s="6" t="s">
        <v>112</v>
      </c>
      <c r="G3544" s="6" t="s">
        <v>326</v>
      </c>
      <c r="H3544" s="10">
        <v>46064.0</v>
      </c>
      <c r="I3544" s="12">
        <v>3.0</v>
      </c>
      <c r="J3544" s="6" t="s">
        <v>161</v>
      </c>
    </row>
    <row r="3545" ht="22.5" customHeight="1">
      <c r="A3545" s="6" t="s">
        <v>16760</v>
      </c>
      <c r="B3545" s="6" t="s">
        <v>8393</v>
      </c>
      <c r="C3545" s="10">
        <v>46053.0</v>
      </c>
      <c r="D3545" s="6" t="s">
        <v>416</v>
      </c>
      <c r="E3545" s="6" t="s">
        <v>1517</v>
      </c>
      <c r="F3545" s="6" t="s">
        <v>439</v>
      </c>
      <c r="G3545" s="6" t="s">
        <v>452</v>
      </c>
      <c r="H3545" s="10">
        <v>46055.0</v>
      </c>
      <c r="I3545" s="12">
        <v>12.0</v>
      </c>
      <c r="J3545" s="6" t="s">
        <v>161</v>
      </c>
    </row>
    <row r="3546" ht="22.5" customHeight="1">
      <c r="A3546" s="6" t="s">
        <v>16765</v>
      </c>
      <c r="B3546" s="6" t="s">
        <v>8393</v>
      </c>
      <c r="C3546" s="10">
        <v>46057.0</v>
      </c>
      <c r="D3546" s="6" t="s">
        <v>416</v>
      </c>
      <c r="E3546" s="6" t="s">
        <v>1149</v>
      </c>
      <c r="F3546" s="6" t="s">
        <v>283</v>
      </c>
      <c r="G3546" s="6" t="s">
        <v>297</v>
      </c>
      <c r="H3546" s="10">
        <v>46057.0</v>
      </c>
      <c r="I3546" s="12">
        <v>11.0</v>
      </c>
      <c r="J3546" s="6" t="s">
        <v>161</v>
      </c>
    </row>
    <row r="3547" ht="22.5" customHeight="1">
      <c r="A3547" s="6" t="s">
        <v>16769</v>
      </c>
      <c r="B3547" s="6" t="s">
        <v>8399</v>
      </c>
      <c r="C3547" s="10">
        <v>46063.0</v>
      </c>
      <c r="D3547" s="6" t="s">
        <v>677</v>
      </c>
      <c r="E3547" s="6" t="s">
        <v>1241</v>
      </c>
      <c r="F3547" s="6" t="s">
        <v>283</v>
      </c>
      <c r="G3547" s="6" t="s">
        <v>452</v>
      </c>
      <c r="H3547" s="10">
        <v>46066.0</v>
      </c>
      <c r="I3547" s="12">
        <v>3.0</v>
      </c>
      <c r="J3547" s="6" t="s">
        <v>161</v>
      </c>
    </row>
    <row r="3548" ht="22.5" customHeight="1">
      <c r="A3548" s="6" t="s">
        <v>16773</v>
      </c>
      <c r="B3548" s="6" t="s">
        <v>8399</v>
      </c>
      <c r="C3548" s="10">
        <v>46058.0</v>
      </c>
      <c r="D3548" s="6" t="s">
        <v>416</v>
      </c>
      <c r="E3548" s="6" t="s">
        <v>634</v>
      </c>
      <c r="F3548" s="6" t="s">
        <v>439</v>
      </c>
      <c r="G3548" s="6" t="s">
        <v>297</v>
      </c>
      <c r="H3548" s="10">
        <v>46059.0</v>
      </c>
      <c r="I3548" s="12">
        <v>11.0</v>
      </c>
      <c r="J3548" s="6" t="s">
        <v>161</v>
      </c>
    </row>
    <row r="3549" ht="22.5" customHeight="1">
      <c r="A3549" s="6" t="s">
        <v>16779</v>
      </c>
      <c r="B3549" s="6" t="s">
        <v>8399</v>
      </c>
      <c r="C3549" s="10">
        <v>46061.0</v>
      </c>
      <c r="D3549" s="6" t="s">
        <v>436</v>
      </c>
      <c r="E3549" s="6" t="s">
        <v>1055</v>
      </c>
      <c r="F3549" s="6" t="s">
        <v>439</v>
      </c>
      <c r="G3549" s="6" t="s">
        <v>458</v>
      </c>
      <c r="H3549" s="10">
        <v>46064.0</v>
      </c>
      <c r="I3549" s="12">
        <v>11.0</v>
      </c>
      <c r="J3549" s="6" t="s">
        <v>178</v>
      </c>
    </row>
    <row r="3550" ht="22.5" customHeight="1">
      <c r="A3550" s="6" t="s">
        <v>16781</v>
      </c>
      <c r="B3550" s="6" t="s">
        <v>8405</v>
      </c>
      <c r="C3550" s="10">
        <v>46051.0</v>
      </c>
      <c r="D3550" s="6" t="s">
        <v>416</v>
      </c>
      <c r="E3550" s="6" t="s">
        <v>1626</v>
      </c>
      <c r="F3550" s="6" t="s">
        <v>112</v>
      </c>
      <c r="G3550" s="6" t="s">
        <v>254</v>
      </c>
      <c r="H3550" s="10">
        <v>46052.0</v>
      </c>
      <c r="I3550" s="12">
        <v>12.0</v>
      </c>
      <c r="J3550" s="6" t="s">
        <v>161</v>
      </c>
    </row>
    <row r="3551" ht="22.5" customHeight="1">
      <c r="A3551" s="6" t="s">
        <v>16786</v>
      </c>
      <c r="B3551" s="6" t="s">
        <v>8411</v>
      </c>
      <c r="C3551" s="10">
        <v>46042.0</v>
      </c>
      <c r="D3551" s="6" t="s">
        <v>312</v>
      </c>
      <c r="E3551" s="6" t="s">
        <v>731</v>
      </c>
      <c r="F3551" s="6" t="s">
        <v>112</v>
      </c>
      <c r="G3551" s="6" t="s">
        <v>326</v>
      </c>
      <c r="H3551" s="10">
        <v>46042.0</v>
      </c>
      <c r="I3551" s="12">
        <v>4.0</v>
      </c>
      <c r="J3551" s="6" t="s">
        <v>161</v>
      </c>
    </row>
    <row r="3552" ht="22.5" customHeight="1">
      <c r="A3552" s="6" t="s">
        <v>16790</v>
      </c>
      <c r="B3552" s="6" t="s">
        <v>8411</v>
      </c>
      <c r="C3552" s="10">
        <v>46041.0</v>
      </c>
      <c r="D3552" s="6" t="s">
        <v>242</v>
      </c>
      <c r="E3552" s="6" t="s">
        <v>1241</v>
      </c>
      <c r="F3552" s="6" t="s">
        <v>112</v>
      </c>
      <c r="G3552" s="6" t="s">
        <v>254</v>
      </c>
      <c r="H3552" s="11" t="s">
        <v>259</v>
      </c>
      <c r="I3552" s="12">
        <v>4.0</v>
      </c>
      <c r="J3552" s="6" t="s">
        <v>178</v>
      </c>
    </row>
    <row r="3553" ht="22.5" customHeight="1">
      <c r="A3553" s="6" t="s">
        <v>16797</v>
      </c>
      <c r="B3553" s="6" t="s">
        <v>8411</v>
      </c>
      <c r="C3553" s="10">
        <v>46041.0</v>
      </c>
      <c r="D3553" s="6" t="s">
        <v>242</v>
      </c>
      <c r="E3553" s="6" t="s">
        <v>738</v>
      </c>
      <c r="F3553" s="6" t="s">
        <v>439</v>
      </c>
      <c r="G3553" s="6" t="s">
        <v>477</v>
      </c>
      <c r="H3553" s="11" t="s">
        <v>259</v>
      </c>
      <c r="I3553" s="12">
        <v>4.0</v>
      </c>
      <c r="J3553" s="6" t="s">
        <v>178</v>
      </c>
    </row>
    <row r="3554" ht="22.5" customHeight="1">
      <c r="A3554" s="6" t="s">
        <v>16802</v>
      </c>
      <c r="B3554" s="6" t="s">
        <v>8411</v>
      </c>
      <c r="C3554" s="10">
        <v>46050.0</v>
      </c>
      <c r="D3554" s="6" t="s">
        <v>242</v>
      </c>
      <c r="E3554" s="6" t="s">
        <v>2881</v>
      </c>
      <c r="F3554" s="6" t="s">
        <v>112</v>
      </c>
      <c r="G3554" s="6" t="s">
        <v>326</v>
      </c>
      <c r="H3554" s="10">
        <v>46054.0</v>
      </c>
      <c r="I3554" s="12">
        <v>3.0</v>
      </c>
      <c r="J3554" s="6" t="s">
        <v>178</v>
      </c>
    </row>
    <row r="3555" ht="22.5" customHeight="1">
      <c r="A3555" s="6" t="s">
        <v>16807</v>
      </c>
      <c r="B3555" s="6" t="s">
        <v>8418</v>
      </c>
      <c r="C3555" s="10">
        <v>46062.0</v>
      </c>
      <c r="D3555" s="6" t="s">
        <v>416</v>
      </c>
      <c r="E3555" s="6" t="s">
        <v>787</v>
      </c>
      <c r="F3555" s="6" t="s">
        <v>439</v>
      </c>
      <c r="G3555" s="6" t="s">
        <v>254</v>
      </c>
      <c r="H3555" s="10">
        <v>46067.0</v>
      </c>
      <c r="I3555" s="12">
        <v>8.0</v>
      </c>
      <c r="J3555" s="6" t="s">
        <v>161</v>
      </c>
    </row>
    <row r="3556" ht="22.5" customHeight="1">
      <c r="A3556" s="6" t="s">
        <v>16811</v>
      </c>
      <c r="B3556" s="6" t="s">
        <v>8418</v>
      </c>
      <c r="C3556" s="10">
        <v>46060.0</v>
      </c>
      <c r="D3556" s="6" t="s">
        <v>416</v>
      </c>
      <c r="E3556" s="6" t="s">
        <v>716</v>
      </c>
      <c r="F3556" s="6" t="s">
        <v>249</v>
      </c>
      <c r="G3556" s="6" t="s">
        <v>254</v>
      </c>
      <c r="H3556" s="10">
        <v>46061.0</v>
      </c>
      <c r="I3556" s="12">
        <v>13.0</v>
      </c>
      <c r="J3556" s="6" t="s">
        <v>161</v>
      </c>
    </row>
    <row r="3557" ht="22.5" customHeight="1">
      <c r="A3557" s="6" t="s">
        <v>16815</v>
      </c>
      <c r="B3557" s="6" t="s">
        <v>8418</v>
      </c>
      <c r="C3557" s="10">
        <v>46069.0</v>
      </c>
      <c r="D3557" s="6" t="s">
        <v>312</v>
      </c>
      <c r="E3557" s="6" t="s">
        <v>450</v>
      </c>
      <c r="F3557" s="6" t="s">
        <v>112</v>
      </c>
      <c r="G3557" s="6" t="s">
        <v>458</v>
      </c>
      <c r="H3557" s="10">
        <v>46076.0</v>
      </c>
      <c r="I3557" s="12">
        <v>6.0</v>
      </c>
      <c r="J3557" s="6" t="s">
        <v>161</v>
      </c>
    </row>
    <row r="3558" ht="22.5" customHeight="1">
      <c r="A3558" s="6" t="s">
        <v>16821</v>
      </c>
      <c r="B3558" s="6" t="s">
        <v>8418</v>
      </c>
      <c r="C3558" s="10">
        <v>46069.0</v>
      </c>
      <c r="D3558" s="6" t="s">
        <v>677</v>
      </c>
      <c r="E3558" s="6" t="s">
        <v>775</v>
      </c>
      <c r="F3558" s="6" t="s">
        <v>112</v>
      </c>
      <c r="G3558" s="6" t="s">
        <v>458</v>
      </c>
      <c r="H3558" s="10">
        <v>46071.0</v>
      </c>
      <c r="I3558" s="12">
        <v>3.0</v>
      </c>
      <c r="J3558" s="6" t="s">
        <v>161</v>
      </c>
    </row>
    <row r="3559" ht="22.5" customHeight="1">
      <c r="A3559" s="6" t="s">
        <v>16824</v>
      </c>
      <c r="B3559" s="6" t="s">
        <v>8418</v>
      </c>
      <c r="C3559" s="10">
        <v>46062.0</v>
      </c>
      <c r="D3559" s="6" t="s">
        <v>312</v>
      </c>
      <c r="E3559" s="6" t="s">
        <v>1296</v>
      </c>
      <c r="F3559" s="6" t="s">
        <v>283</v>
      </c>
      <c r="G3559" s="6" t="s">
        <v>452</v>
      </c>
      <c r="H3559" s="10">
        <v>46068.0</v>
      </c>
      <c r="I3559" s="12">
        <v>5.0</v>
      </c>
      <c r="J3559" s="6" t="s">
        <v>161</v>
      </c>
    </row>
    <row r="3560" ht="22.5" customHeight="1">
      <c r="A3560" s="6" t="s">
        <v>16830</v>
      </c>
      <c r="B3560" s="6" t="s">
        <v>8424</v>
      </c>
      <c r="C3560" s="10">
        <v>46081.0</v>
      </c>
      <c r="D3560" s="6" t="s">
        <v>312</v>
      </c>
      <c r="E3560" s="6" t="s">
        <v>246</v>
      </c>
      <c r="F3560" s="6" t="s">
        <v>112</v>
      </c>
      <c r="G3560" s="6" t="s">
        <v>326</v>
      </c>
      <c r="H3560" s="10">
        <v>46083.0</v>
      </c>
      <c r="I3560" s="12">
        <v>6.0</v>
      </c>
      <c r="J3560" s="6" t="s">
        <v>161</v>
      </c>
    </row>
    <row r="3561" ht="22.5" customHeight="1">
      <c r="A3561" s="6" t="s">
        <v>16835</v>
      </c>
      <c r="B3561" s="6" t="s">
        <v>8429</v>
      </c>
      <c r="C3561" s="10">
        <v>46025.0</v>
      </c>
      <c r="D3561" s="6" t="s">
        <v>391</v>
      </c>
      <c r="E3561" s="6" t="s">
        <v>787</v>
      </c>
      <c r="F3561" s="6" t="s">
        <v>249</v>
      </c>
      <c r="G3561" s="6" t="s">
        <v>458</v>
      </c>
      <c r="H3561" s="10">
        <v>46031.0</v>
      </c>
      <c r="I3561" s="12">
        <v>6.0</v>
      </c>
      <c r="J3561" s="6" t="s">
        <v>161</v>
      </c>
    </row>
    <row r="3562" ht="22.5" customHeight="1">
      <c r="A3562" s="6" t="s">
        <v>16840</v>
      </c>
      <c r="B3562" s="6" t="s">
        <v>8429</v>
      </c>
      <c r="C3562" s="10">
        <v>46028.0</v>
      </c>
      <c r="D3562" s="6" t="s">
        <v>242</v>
      </c>
      <c r="E3562" s="6" t="s">
        <v>798</v>
      </c>
      <c r="F3562" s="6" t="s">
        <v>439</v>
      </c>
      <c r="G3562" s="6" t="s">
        <v>369</v>
      </c>
      <c r="H3562" s="10">
        <v>46033.0</v>
      </c>
      <c r="I3562" s="12">
        <v>6.0</v>
      </c>
      <c r="J3562" s="6" t="s">
        <v>161</v>
      </c>
    </row>
    <row r="3563" ht="22.5" customHeight="1">
      <c r="A3563" s="6" t="s">
        <v>16845</v>
      </c>
      <c r="B3563" s="6" t="s">
        <v>8429</v>
      </c>
      <c r="C3563" s="10">
        <v>46041.0</v>
      </c>
      <c r="D3563" s="6" t="s">
        <v>677</v>
      </c>
      <c r="E3563" s="6" t="s">
        <v>798</v>
      </c>
      <c r="F3563" s="6" t="s">
        <v>249</v>
      </c>
      <c r="G3563" s="6" t="s">
        <v>326</v>
      </c>
      <c r="H3563" s="10">
        <v>46041.0</v>
      </c>
      <c r="I3563" s="12">
        <v>2.0</v>
      </c>
      <c r="J3563" s="6" t="s">
        <v>161</v>
      </c>
    </row>
    <row r="3564" ht="22.5" customHeight="1">
      <c r="A3564" s="6" t="s">
        <v>16849</v>
      </c>
      <c r="B3564" s="6" t="s">
        <v>8435</v>
      </c>
      <c r="C3564" s="10">
        <v>46049.0</v>
      </c>
      <c r="D3564" s="6" t="s">
        <v>391</v>
      </c>
      <c r="E3564" s="6" t="s">
        <v>1241</v>
      </c>
      <c r="F3564" s="6" t="s">
        <v>439</v>
      </c>
      <c r="G3564" s="6" t="s">
        <v>326</v>
      </c>
      <c r="H3564" s="10">
        <v>46055.0</v>
      </c>
      <c r="I3564" s="12">
        <v>11.0</v>
      </c>
      <c r="J3564" s="6" t="s">
        <v>161</v>
      </c>
    </row>
    <row r="3565" ht="22.5" customHeight="1">
      <c r="A3565" s="6" t="s">
        <v>16853</v>
      </c>
      <c r="B3565" s="6" t="s">
        <v>8435</v>
      </c>
      <c r="C3565" s="10">
        <v>46048.0</v>
      </c>
      <c r="D3565" s="6" t="s">
        <v>312</v>
      </c>
      <c r="E3565" s="6" t="s">
        <v>320</v>
      </c>
      <c r="F3565" s="6" t="s">
        <v>249</v>
      </c>
      <c r="G3565" s="6" t="s">
        <v>494</v>
      </c>
      <c r="H3565" s="10">
        <v>46051.0</v>
      </c>
      <c r="I3565" s="12">
        <v>7.0</v>
      </c>
      <c r="J3565" s="6" t="s">
        <v>161</v>
      </c>
    </row>
    <row r="3566" ht="22.5" customHeight="1">
      <c r="A3566" s="6" t="s">
        <v>16858</v>
      </c>
      <c r="B3566" s="6" t="s">
        <v>8441</v>
      </c>
      <c r="C3566" s="10">
        <v>46041.0</v>
      </c>
      <c r="D3566" s="6" t="s">
        <v>312</v>
      </c>
      <c r="E3566" s="6" t="s">
        <v>1700</v>
      </c>
      <c r="F3566" s="6" t="s">
        <v>439</v>
      </c>
      <c r="G3566" s="6" t="s">
        <v>494</v>
      </c>
      <c r="H3566" s="10">
        <v>46045.0</v>
      </c>
      <c r="I3566" s="12">
        <v>4.0</v>
      </c>
      <c r="J3566" s="6" t="s">
        <v>161</v>
      </c>
    </row>
    <row r="3567" ht="22.5" customHeight="1">
      <c r="A3567" s="6" t="s">
        <v>16860</v>
      </c>
      <c r="B3567" s="6" t="s">
        <v>8441</v>
      </c>
      <c r="C3567" s="10">
        <v>46042.0</v>
      </c>
      <c r="D3567" s="6" t="s">
        <v>312</v>
      </c>
      <c r="E3567" s="6" t="s">
        <v>1600</v>
      </c>
      <c r="F3567" s="6" t="s">
        <v>283</v>
      </c>
      <c r="G3567" s="6" t="s">
        <v>369</v>
      </c>
      <c r="H3567" s="11" t="s">
        <v>259</v>
      </c>
      <c r="I3567" s="12">
        <v>4.0</v>
      </c>
      <c r="J3567" s="6" t="s">
        <v>161</v>
      </c>
    </row>
    <row r="3568" ht="22.5" customHeight="1">
      <c r="A3568" s="6" t="s">
        <v>16866</v>
      </c>
      <c r="B3568" s="6" t="s">
        <v>8441</v>
      </c>
      <c r="C3568" s="10">
        <v>46035.0</v>
      </c>
      <c r="D3568" s="6" t="s">
        <v>312</v>
      </c>
      <c r="E3568" s="6" t="s">
        <v>1626</v>
      </c>
      <c r="F3568" s="6" t="s">
        <v>439</v>
      </c>
      <c r="G3568" s="6" t="s">
        <v>326</v>
      </c>
      <c r="H3568" s="10">
        <v>46037.0</v>
      </c>
      <c r="I3568" s="12">
        <v>6.0</v>
      </c>
      <c r="J3568" s="6" t="s">
        <v>161</v>
      </c>
    </row>
    <row r="3569" ht="22.5" customHeight="1">
      <c r="A3569" s="6" t="s">
        <v>16869</v>
      </c>
      <c r="B3569" s="6" t="s">
        <v>8447</v>
      </c>
      <c r="C3569" s="10">
        <v>46045.0</v>
      </c>
      <c r="D3569" s="6" t="s">
        <v>391</v>
      </c>
      <c r="E3569" s="6" t="s">
        <v>1310</v>
      </c>
      <c r="F3569" s="6" t="s">
        <v>283</v>
      </c>
      <c r="G3569" s="6" t="s">
        <v>458</v>
      </c>
      <c r="H3569" s="10">
        <v>46045.0</v>
      </c>
      <c r="I3569" s="12">
        <v>6.0</v>
      </c>
      <c r="J3569" s="6" t="s">
        <v>161</v>
      </c>
    </row>
    <row r="3570" ht="22.5" customHeight="1">
      <c r="A3570" s="6" t="s">
        <v>16873</v>
      </c>
      <c r="B3570" s="6" t="s">
        <v>8447</v>
      </c>
      <c r="C3570" s="10">
        <v>46048.0</v>
      </c>
      <c r="D3570" s="6" t="s">
        <v>677</v>
      </c>
      <c r="E3570" s="6" t="s">
        <v>1273</v>
      </c>
      <c r="F3570" s="6" t="s">
        <v>112</v>
      </c>
      <c r="G3570" s="6" t="s">
        <v>326</v>
      </c>
      <c r="H3570" s="11" t="s">
        <v>259</v>
      </c>
      <c r="I3570" s="12">
        <v>3.0</v>
      </c>
      <c r="J3570" s="6" t="s">
        <v>161</v>
      </c>
    </row>
    <row r="3571" ht="22.5" customHeight="1">
      <c r="A3571" s="6" t="s">
        <v>16878</v>
      </c>
      <c r="B3571" s="6" t="s">
        <v>8447</v>
      </c>
      <c r="C3571" s="10">
        <v>46056.0</v>
      </c>
      <c r="D3571" s="6" t="s">
        <v>391</v>
      </c>
      <c r="E3571" s="6" t="s">
        <v>1570</v>
      </c>
      <c r="F3571" s="6" t="s">
        <v>112</v>
      </c>
      <c r="G3571" s="6" t="s">
        <v>477</v>
      </c>
      <c r="H3571" s="10">
        <v>46060.0</v>
      </c>
      <c r="I3571" s="12">
        <v>7.0</v>
      </c>
      <c r="J3571" s="6" t="s">
        <v>161</v>
      </c>
    </row>
    <row r="3572" ht="22.5" customHeight="1">
      <c r="A3572" s="6" t="s">
        <v>16881</v>
      </c>
      <c r="B3572" s="6" t="s">
        <v>8447</v>
      </c>
      <c r="C3572" s="10">
        <v>46042.0</v>
      </c>
      <c r="D3572" s="6" t="s">
        <v>289</v>
      </c>
      <c r="E3572" s="6" t="s">
        <v>1700</v>
      </c>
      <c r="F3572" s="6" t="s">
        <v>249</v>
      </c>
      <c r="G3572" s="6" t="s">
        <v>297</v>
      </c>
      <c r="H3572" s="11" t="s">
        <v>259</v>
      </c>
      <c r="I3572" s="12">
        <v>6.0</v>
      </c>
      <c r="J3572" s="6" t="s">
        <v>161</v>
      </c>
    </row>
    <row r="3573" ht="22.5" customHeight="1">
      <c r="A3573" s="6" t="s">
        <v>16889</v>
      </c>
      <c r="B3573" s="6" t="s">
        <v>8453</v>
      </c>
      <c r="C3573" s="10">
        <v>46071.0</v>
      </c>
      <c r="D3573" s="6" t="s">
        <v>677</v>
      </c>
      <c r="E3573" s="6" t="s">
        <v>1626</v>
      </c>
      <c r="F3573" s="6" t="s">
        <v>249</v>
      </c>
      <c r="G3573" s="6" t="s">
        <v>494</v>
      </c>
      <c r="H3573" s="10">
        <v>46074.0</v>
      </c>
      <c r="I3573" s="12">
        <v>4.0</v>
      </c>
      <c r="J3573" s="6" t="s">
        <v>161</v>
      </c>
    </row>
    <row r="3574" ht="22.5" customHeight="1">
      <c r="A3574" s="6" t="s">
        <v>16893</v>
      </c>
      <c r="B3574" s="6" t="s">
        <v>8456</v>
      </c>
      <c r="C3574" s="10">
        <v>46028.0</v>
      </c>
      <c r="D3574" s="6" t="s">
        <v>436</v>
      </c>
      <c r="E3574" s="6" t="s">
        <v>863</v>
      </c>
      <c r="F3574" s="6" t="s">
        <v>283</v>
      </c>
      <c r="G3574" s="6" t="s">
        <v>254</v>
      </c>
      <c r="H3574" s="10">
        <v>46033.0</v>
      </c>
      <c r="I3574" s="12">
        <v>7.0</v>
      </c>
      <c r="J3574" s="6" t="s">
        <v>178</v>
      </c>
    </row>
    <row r="3575" ht="22.5" customHeight="1">
      <c r="A3575" s="6" t="s">
        <v>16897</v>
      </c>
      <c r="B3575" s="6" t="s">
        <v>8456</v>
      </c>
      <c r="C3575" s="10">
        <v>46040.0</v>
      </c>
      <c r="D3575" s="6" t="s">
        <v>312</v>
      </c>
      <c r="E3575" s="6" t="s">
        <v>634</v>
      </c>
      <c r="F3575" s="6" t="s">
        <v>249</v>
      </c>
      <c r="G3575" s="6" t="s">
        <v>369</v>
      </c>
      <c r="H3575" s="10">
        <v>46043.0</v>
      </c>
      <c r="I3575" s="12">
        <v>6.0</v>
      </c>
      <c r="J3575" s="6" t="s">
        <v>161</v>
      </c>
    </row>
    <row r="3576" ht="22.5" customHeight="1">
      <c r="A3576" s="6" t="s">
        <v>16903</v>
      </c>
      <c r="B3576" s="6" t="s">
        <v>8456</v>
      </c>
      <c r="C3576" s="10">
        <v>46027.0</v>
      </c>
      <c r="D3576" s="6" t="s">
        <v>436</v>
      </c>
      <c r="E3576" s="6" t="s">
        <v>896</v>
      </c>
      <c r="F3576" s="6" t="s">
        <v>439</v>
      </c>
      <c r="G3576" s="6" t="s">
        <v>254</v>
      </c>
      <c r="H3576" s="10">
        <v>46034.0</v>
      </c>
      <c r="I3576" s="12">
        <v>10.0</v>
      </c>
      <c r="J3576" s="6" t="s">
        <v>161</v>
      </c>
    </row>
    <row r="3577" ht="22.5" customHeight="1">
      <c r="A3577" s="6" t="s">
        <v>16906</v>
      </c>
      <c r="B3577" s="6" t="s">
        <v>8462</v>
      </c>
      <c r="C3577" s="10">
        <v>46058.0</v>
      </c>
      <c r="D3577" s="6" t="s">
        <v>242</v>
      </c>
      <c r="E3577" s="6" t="s">
        <v>566</v>
      </c>
      <c r="F3577" s="6" t="s">
        <v>283</v>
      </c>
      <c r="G3577" s="6" t="s">
        <v>458</v>
      </c>
      <c r="H3577" s="10">
        <v>46060.0</v>
      </c>
      <c r="I3577" s="12">
        <v>5.0</v>
      </c>
      <c r="J3577" s="6" t="s">
        <v>178</v>
      </c>
    </row>
    <row r="3578" ht="22.5" customHeight="1">
      <c r="A3578" s="6" t="s">
        <v>16910</v>
      </c>
      <c r="B3578" s="6" t="s">
        <v>8462</v>
      </c>
      <c r="C3578" s="10">
        <v>46053.0</v>
      </c>
      <c r="D3578" s="6" t="s">
        <v>242</v>
      </c>
      <c r="E3578" s="6" t="s">
        <v>1149</v>
      </c>
      <c r="F3578" s="6" t="s">
        <v>439</v>
      </c>
      <c r="G3578" s="6" t="s">
        <v>254</v>
      </c>
      <c r="H3578" s="11" t="s">
        <v>259</v>
      </c>
      <c r="I3578" s="12">
        <v>4.0</v>
      </c>
      <c r="J3578" s="6" t="s">
        <v>178</v>
      </c>
    </row>
    <row r="3579" ht="22.5" customHeight="1">
      <c r="A3579" s="6" t="s">
        <v>16913</v>
      </c>
      <c r="B3579" s="6" t="s">
        <v>8468</v>
      </c>
      <c r="C3579" s="10">
        <v>46081.0</v>
      </c>
      <c r="D3579" s="6" t="s">
        <v>391</v>
      </c>
      <c r="E3579" s="6" t="s">
        <v>798</v>
      </c>
      <c r="F3579" s="6" t="s">
        <v>112</v>
      </c>
      <c r="G3579" s="6" t="s">
        <v>297</v>
      </c>
      <c r="H3579" s="10">
        <v>46084.0</v>
      </c>
      <c r="I3579" s="12">
        <v>6.0</v>
      </c>
      <c r="J3579" s="6" t="s">
        <v>161</v>
      </c>
    </row>
    <row r="3580" ht="22.5" customHeight="1">
      <c r="A3580" s="6" t="s">
        <v>16917</v>
      </c>
      <c r="B3580" s="6" t="s">
        <v>8468</v>
      </c>
      <c r="C3580" s="10">
        <v>46073.0</v>
      </c>
      <c r="D3580" s="6" t="s">
        <v>436</v>
      </c>
      <c r="E3580" s="6" t="s">
        <v>1296</v>
      </c>
      <c r="F3580" s="6" t="s">
        <v>249</v>
      </c>
      <c r="G3580" s="6" t="s">
        <v>297</v>
      </c>
      <c r="H3580" s="10">
        <v>46079.0</v>
      </c>
      <c r="I3580" s="12">
        <v>6.0</v>
      </c>
      <c r="J3580" s="6" t="s">
        <v>178</v>
      </c>
    </row>
    <row r="3581" ht="22.5" customHeight="1">
      <c r="A3581" s="6" t="s">
        <v>16922</v>
      </c>
      <c r="B3581" s="6" t="s">
        <v>8475</v>
      </c>
      <c r="C3581" s="10">
        <v>46075.0</v>
      </c>
      <c r="D3581" s="6" t="s">
        <v>242</v>
      </c>
      <c r="E3581" s="6" t="s">
        <v>1296</v>
      </c>
      <c r="F3581" s="6" t="s">
        <v>112</v>
      </c>
      <c r="G3581" s="6" t="s">
        <v>477</v>
      </c>
      <c r="H3581" s="10">
        <v>46076.0</v>
      </c>
      <c r="I3581" s="12">
        <v>4.0</v>
      </c>
      <c r="J3581" s="6" t="s">
        <v>178</v>
      </c>
    </row>
    <row r="3582" ht="22.5" customHeight="1">
      <c r="A3582" s="6" t="s">
        <v>16926</v>
      </c>
      <c r="B3582" s="6" t="s">
        <v>8475</v>
      </c>
      <c r="C3582" s="10">
        <v>46077.0</v>
      </c>
      <c r="D3582" s="6" t="s">
        <v>677</v>
      </c>
      <c r="E3582" s="6" t="s">
        <v>1546</v>
      </c>
      <c r="F3582" s="6" t="s">
        <v>112</v>
      </c>
      <c r="G3582" s="6" t="s">
        <v>494</v>
      </c>
      <c r="H3582" s="10">
        <v>46082.0</v>
      </c>
      <c r="I3582" s="12">
        <v>2.0</v>
      </c>
      <c r="J3582" s="6" t="s">
        <v>161</v>
      </c>
    </row>
    <row r="3583" ht="22.5" customHeight="1">
      <c r="A3583" s="6" t="s">
        <v>16930</v>
      </c>
      <c r="B3583" s="6" t="s">
        <v>8475</v>
      </c>
      <c r="C3583" s="10">
        <v>46085.0</v>
      </c>
      <c r="D3583" s="6" t="s">
        <v>312</v>
      </c>
      <c r="E3583" s="6" t="s">
        <v>885</v>
      </c>
      <c r="F3583" s="6" t="s">
        <v>249</v>
      </c>
      <c r="G3583" s="6" t="s">
        <v>477</v>
      </c>
      <c r="H3583" s="10">
        <v>46090.0</v>
      </c>
      <c r="I3583" s="12">
        <v>7.0</v>
      </c>
      <c r="J3583" s="6" t="s">
        <v>161</v>
      </c>
    </row>
    <row r="3584" ht="22.5" customHeight="1">
      <c r="A3584" s="6" t="s">
        <v>16935</v>
      </c>
      <c r="B3584" s="6" t="s">
        <v>8481</v>
      </c>
      <c r="C3584" s="10">
        <v>46045.0</v>
      </c>
      <c r="D3584" s="6" t="s">
        <v>391</v>
      </c>
      <c r="E3584" s="6" t="s">
        <v>863</v>
      </c>
      <c r="F3584" s="6" t="s">
        <v>249</v>
      </c>
      <c r="G3584" s="6" t="s">
        <v>297</v>
      </c>
      <c r="H3584" s="11" t="s">
        <v>259</v>
      </c>
      <c r="I3584" s="12">
        <v>11.0</v>
      </c>
      <c r="J3584" s="6" t="s">
        <v>161</v>
      </c>
    </row>
    <row r="3585" ht="22.5" customHeight="1">
      <c r="A3585" s="6" t="s">
        <v>16939</v>
      </c>
      <c r="B3585" s="6" t="s">
        <v>8481</v>
      </c>
      <c r="C3585" s="10">
        <v>46029.0</v>
      </c>
      <c r="D3585" s="6" t="s">
        <v>242</v>
      </c>
      <c r="E3585" s="6" t="s">
        <v>634</v>
      </c>
      <c r="F3585" s="6" t="s">
        <v>439</v>
      </c>
      <c r="G3585" s="6" t="s">
        <v>494</v>
      </c>
      <c r="H3585" s="10">
        <v>46029.0</v>
      </c>
      <c r="I3585" s="12">
        <v>3.0</v>
      </c>
      <c r="J3585" s="6" t="s">
        <v>178</v>
      </c>
    </row>
    <row r="3586" ht="22.5" customHeight="1">
      <c r="A3586" s="6" t="s">
        <v>16943</v>
      </c>
      <c r="B3586" s="6" t="s">
        <v>8487</v>
      </c>
      <c r="C3586" s="10">
        <v>46045.0</v>
      </c>
      <c r="D3586" s="6" t="s">
        <v>289</v>
      </c>
      <c r="E3586" s="6" t="s">
        <v>634</v>
      </c>
      <c r="F3586" s="6" t="s">
        <v>249</v>
      </c>
      <c r="G3586" s="6" t="s">
        <v>452</v>
      </c>
      <c r="H3586" s="10">
        <v>46051.0</v>
      </c>
      <c r="I3586" s="12">
        <v>8.0</v>
      </c>
      <c r="J3586" s="6" t="s">
        <v>161</v>
      </c>
    </row>
    <row r="3587" ht="22.5" customHeight="1">
      <c r="A3587" s="6" t="s">
        <v>16949</v>
      </c>
      <c r="B3587" s="6" t="s">
        <v>8487</v>
      </c>
      <c r="C3587" s="10">
        <v>46034.0</v>
      </c>
      <c r="D3587" s="6" t="s">
        <v>289</v>
      </c>
      <c r="E3587" s="6" t="s">
        <v>670</v>
      </c>
      <c r="F3587" s="6" t="s">
        <v>112</v>
      </c>
      <c r="G3587" s="6" t="s">
        <v>494</v>
      </c>
      <c r="H3587" s="10">
        <v>46040.0</v>
      </c>
      <c r="I3587" s="12">
        <v>10.0</v>
      </c>
      <c r="J3587" s="6" t="s">
        <v>161</v>
      </c>
    </row>
    <row r="3588" ht="22.5" customHeight="1">
      <c r="A3588" s="6" t="s">
        <v>16952</v>
      </c>
      <c r="B3588" s="6" t="s">
        <v>8493</v>
      </c>
      <c r="C3588" s="10">
        <v>46032.0</v>
      </c>
      <c r="D3588" s="6" t="s">
        <v>242</v>
      </c>
      <c r="E3588" s="6" t="s">
        <v>2365</v>
      </c>
      <c r="F3588" s="6" t="s">
        <v>439</v>
      </c>
      <c r="G3588" s="6" t="s">
        <v>452</v>
      </c>
      <c r="H3588" s="10">
        <v>46034.0</v>
      </c>
      <c r="I3588" s="12">
        <v>3.0</v>
      </c>
      <c r="J3588" s="6" t="s">
        <v>161</v>
      </c>
    </row>
    <row r="3589" ht="22.5" customHeight="1">
      <c r="A3589" s="6" t="s">
        <v>16956</v>
      </c>
      <c r="B3589" s="6" t="s">
        <v>8493</v>
      </c>
      <c r="C3589" s="10">
        <v>46043.0</v>
      </c>
      <c r="D3589" s="6" t="s">
        <v>677</v>
      </c>
      <c r="E3589" s="6" t="s">
        <v>1600</v>
      </c>
      <c r="F3589" s="6" t="s">
        <v>249</v>
      </c>
      <c r="G3589" s="6" t="s">
        <v>297</v>
      </c>
      <c r="H3589" s="11" t="s">
        <v>259</v>
      </c>
      <c r="I3589" s="12">
        <v>2.0</v>
      </c>
      <c r="J3589" s="6" t="s">
        <v>161</v>
      </c>
    </row>
    <row r="3590" ht="22.5" customHeight="1">
      <c r="A3590" s="6" t="s">
        <v>16962</v>
      </c>
      <c r="B3590" s="6" t="s">
        <v>8493</v>
      </c>
      <c r="C3590" s="10">
        <v>46044.0</v>
      </c>
      <c r="D3590" s="6" t="s">
        <v>312</v>
      </c>
      <c r="E3590" s="6" t="s">
        <v>833</v>
      </c>
      <c r="F3590" s="6" t="s">
        <v>283</v>
      </c>
      <c r="G3590" s="6" t="s">
        <v>297</v>
      </c>
      <c r="H3590" s="10">
        <v>46048.0</v>
      </c>
      <c r="I3590" s="12">
        <v>4.0</v>
      </c>
      <c r="J3590" s="6" t="s">
        <v>161</v>
      </c>
    </row>
    <row r="3591" ht="22.5" customHeight="1">
      <c r="A3591" s="6" t="s">
        <v>16965</v>
      </c>
      <c r="B3591" s="6" t="s">
        <v>8493</v>
      </c>
      <c r="C3591" s="10">
        <v>46047.0</v>
      </c>
      <c r="D3591" s="6" t="s">
        <v>289</v>
      </c>
      <c r="E3591" s="6" t="s">
        <v>2365</v>
      </c>
      <c r="F3591" s="6" t="s">
        <v>439</v>
      </c>
      <c r="G3591" s="6" t="s">
        <v>326</v>
      </c>
      <c r="H3591" s="10">
        <v>46050.0</v>
      </c>
      <c r="I3591" s="12">
        <v>5.0</v>
      </c>
      <c r="J3591" s="6" t="s">
        <v>161</v>
      </c>
    </row>
    <row r="3592" ht="22.5" customHeight="1">
      <c r="A3592" s="6" t="s">
        <v>16969</v>
      </c>
      <c r="B3592" s="6" t="s">
        <v>8498</v>
      </c>
      <c r="C3592" s="10">
        <v>46070.0</v>
      </c>
      <c r="D3592" s="6" t="s">
        <v>242</v>
      </c>
      <c r="E3592" s="6" t="s">
        <v>1626</v>
      </c>
      <c r="F3592" s="6" t="s">
        <v>283</v>
      </c>
      <c r="G3592" s="6" t="s">
        <v>254</v>
      </c>
      <c r="H3592" s="10">
        <v>46076.0</v>
      </c>
      <c r="I3592" s="12">
        <v>4.0</v>
      </c>
      <c r="J3592" s="6" t="s">
        <v>178</v>
      </c>
    </row>
    <row r="3593" ht="22.5" customHeight="1">
      <c r="A3593" s="6" t="s">
        <v>16975</v>
      </c>
      <c r="B3593" s="6" t="s">
        <v>8498</v>
      </c>
      <c r="C3593" s="10">
        <v>46075.0</v>
      </c>
      <c r="D3593" s="6" t="s">
        <v>312</v>
      </c>
      <c r="E3593" s="6" t="s">
        <v>798</v>
      </c>
      <c r="F3593" s="6" t="s">
        <v>439</v>
      </c>
      <c r="G3593" s="6" t="s">
        <v>254</v>
      </c>
      <c r="H3593" s="10">
        <v>46080.0</v>
      </c>
      <c r="I3593" s="12">
        <v>7.0</v>
      </c>
      <c r="J3593" s="6" t="s">
        <v>161</v>
      </c>
    </row>
    <row r="3594" ht="22.5" customHeight="1">
      <c r="A3594" s="6" t="s">
        <v>16978</v>
      </c>
      <c r="B3594" s="6" t="s">
        <v>8498</v>
      </c>
      <c r="C3594" s="10">
        <v>46079.0</v>
      </c>
      <c r="D3594" s="6" t="s">
        <v>391</v>
      </c>
      <c r="E3594" s="6" t="s">
        <v>1149</v>
      </c>
      <c r="F3594" s="6" t="s">
        <v>249</v>
      </c>
      <c r="G3594" s="6" t="s">
        <v>369</v>
      </c>
      <c r="H3594" s="10">
        <v>46084.0</v>
      </c>
      <c r="I3594" s="12">
        <v>8.0</v>
      </c>
      <c r="J3594" s="6" t="s">
        <v>161</v>
      </c>
    </row>
    <row r="3595" ht="22.5" customHeight="1">
      <c r="A3595" s="6" t="s">
        <v>16983</v>
      </c>
      <c r="B3595" s="6" t="s">
        <v>8498</v>
      </c>
      <c r="C3595" s="10">
        <v>46069.0</v>
      </c>
      <c r="D3595" s="6" t="s">
        <v>436</v>
      </c>
      <c r="E3595" s="6" t="s">
        <v>1720</v>
      </c>
      <c r="F3595" s="6" t="s">
        <v>439</v>
      </c>
      <c r="G3595" s="6" t="s">
        <v>494</v>
      </c>
      <c r="H3595" s="10">
        <v>46074.0</v>
      </c>
      <c r="I3595" s="12">
        <v>7.0</v>
      </c>
      <c r="J3595" s="6" t="s">
        <v>161</v>
      </c>
    </row>
    <row r="3596" ht="22.5" customHeight="1">
      <c r="A3596" s="6" t="s">
        <v>16988</v>
      </c>
      <c r="B3596" s="6" t="s">
        <v>8503</v>
      </c>
      <c r="C3596" s="10">
        <v>46055.0</v>
      </c>
      <c r="D3596" s="6" t="s">
        <v>677</v>
      </c>
      <c r="E3596" s="6" t="s">
        <v>670</v>
      </c>
      <c r="F3596" s="6" t="s">
        <v>439</v>
      </c>
      <c r="G3596" s="6" t="s">
        <v>458</v>
      </c>
      <c r="H3596" s="10">
        <v>46061.0</v>
      </c>
      <c r="I3596" s="12">
        <v>4.0</v>
      </c>
      <c r="J3596" s="6" t="s">
        <v>161</v>
      </c>
    </row>
    <row r="3597" ht="22.5" customHeight="1">
      <c r="A3597" s="6" t="s">
        <v>16994</v>
      </c>
      <c r="B3597" s="6" t="s">
        <v>8509</v>
      </c>
      <c r="C3597" s="10">
        <v>46064.0</v>
      </c>
      <c r="D3597" s="6" t="s">
        <v>677</v>
      </c>
      <c r="E3597" s="6" t="s">
        <v>1570</v>
      </c>
      <c r="F3597" s="6" t="s">
        <v>283</v>
      </c>
      <c r="G3597" s="6" t="s">
        <v>452</v>
      </c>
      <c r="H3597" s="10">
        <v>46064.0</v>
      </c>
      <c r="I3597" s="12">
        <v>3.0</v>
      </c>
      <c r="J3597" s="6" t="s">
        <v>161</v>
      </c>
    </row>
    <row r="3598" ht="22.5" customHeight="1">
      <c r="A3598" s="6" t="s">
        <v>16996</v>
      </c>
      <c r="B3598" s="6" t="s">
        <v>8509</v>
      </c>
      <c r="C3598" s="10">
        <v>46068.0</v>
      </c>
      <c r="D3598" s="6" t="s">
        <v>289</v>
      </c>
      <c r="E3598" s="6" t="s">
        <v>1070</v>
      </c>
      <c r="F3598" s="6" t="s">
        <v>249</v>
      </c>
      <c r="G3598" s="6" t="s">
        <v>477</v>
      </c>
      <c r="H3598" s="10">
        <v>46071.0</v>
      </c>
      <c r="I3598" s="12">
        <v>8.0</v>
      </c>
      <c r="J3598" s="6" t="s">
        <v>161</v>
      </c>
    </row>
    <row r="3599" ht="22.5" customHeight="1">
      <c r="A3599" s="6" t="s">
        <v>16998</v>
      </c>
      <c r="B3599" s="6" t="s">
        <v>8509</v>
      </c>
      <c r="C3599" s="10">
        <v>46059.0</v>
      </c>
      <c r="D3599" s="6" t="s">
        <v>416</v>
      </c>
      <c r="E3599" s="6" t="s">
        <v>704</v>
      </c>
      <c r="F3599" s="6" t="s">
        <v>439</v>
      </c>
      <c r="G3599" s="6" t="s">
        <v>477</v>
      </c>
      <c r="H3599" s="10">
        <v>46066.0</v>
      </c>
      <c r="I3599" s="12">
        <v>11.0</v>
      </c>
      <c r="J3599" s="6" t="s">
        <v>161</v>
      </c>
    </row>
    <row r="3600" ht="22.5" customHeight="1">
      <c r="A3600" s="6" t="s">
        <v>17002</v>
      </c>
      <c r="B3600" s="6" t="s">
        <v>8515</v>
      </c>
      <c r="C3600" s="10">
        <v>46051.0</v>
      </c>
      <c r="D3600" s="6" t="s">
        <v>312</v>
      </c>
      <c r="E3600" s="6" t="s">
        <v>246</v>
      </c>
      <c r="F3600" s="6" t="s">
        <v>283</v>
      </c>
      <c r="G3600" s="6" t="s">
        <v>326</v>
      </c>
      <c r="H3600" s="10">
        <v>46051.0</v>
      </c>
      <c r="I3600" s="12">
        <v>5.0</v>
      </c>
      <c r="J3600" s="6" t="s">
        <v>161</v>
      </c>
    </row>
    <row r="3601" ht="22.5" customHeight="1">
      <c r="A3601" s="6" t="s">
        <v>17006</v>
      </c>
      <c r="B3601" s="6" t="s">
        <v>8515</v>
      </c>
      <c r="C3601" s="10">
        <v>46046.0</v>
      </c>
      <c r="D3601" s="6" t="s">
        <v>436</v>
      </c>
      <c r="E3601" s="6" t="s">
        <v>1055</v>
      </c>
      <c r="F3601" s="6" t="s">
        <v>112</v>
      </c>
      <c r="G3601" s="6" t="s">
        <v>254</v>
      </c>
      <c r="H3601" s="10">
        <v>46052.0</v>
      </c>
      <c r="I3601" s="12">
        <v>12.0</v>
      </c>
      <c r="J3601" s="6" t="s">
        <v>178</v>
      </c>
    </row>
    <row r="3602" ht="22.5" customHeight="1">
      <c r="A3602" s="6" t="s">
        <v>17010</v>
      </c>
      <c r="B3602" s="6" t="s">
        <v>8515</v>
      </c>
      <c r="C3602" s="10">
        <v>46049.0</v>
      </c>
      <c r="D3602" s="6" t="s">
        <v>312</v>
      </c>
      <c r="E3602" s="6" t="s">
        <v>885</v>
      </c>
      <c r="F3602" s="6" t="s">
        <v>439</v>
      </c>
      <c r="G3602" s="6" t="s">
        <v>326</v>
      </c>
      <c r="H3602" s="10">
        <v>46052.0</v>
      </c>
      <c r="I3602" s="12">
        <v>5.0</v>
      </c>
      <c r="J3602" s="6" t="s">
        <v>161</v>
      </c>
    </row>
    <row r="3603" ht="22.5" customHeight="1">
      <c r="A3603" s="6" t="s">
        <v>17015</v>
      </c>
      <c r="B3603" s="6" t="s">
        <v>8521</v>
      </c>
      <c r="C3603" s="10">
        <v>46066.0</v>
      </c>
      <c r="D3603" s="6" t="s">
        <v>416</v>
      </c>
      <c r="E3603" s="6" t="s">
        <v>896</v>
      </c>
      <c r="F3603" s="6" t="s">
        <v>283</v>
      </c>
      <c r="G3603" s="6" t="s">
        <v>458</v>
      </c>
      <c r="H3603" s="10">
        <v>46068.0</v>
      </c>
      <c r="I3603" s="12">
        <v>12.0</v>
      </c>
      <c r="J3603" s="6" t="s">
        <v>161</v>
      </c>
    </row>
    <row r="3604" ht="22.5" customHeight="1">
      <c r="A3604" s="6" t="s">
        <v>17018</v>
      </c>
      <c r="B3604" s="6" t="s">
        <v>8521</v>
      </c>
      <c r="C3604" s="10">
        <v>46084.0</v>
      </c>
      <c r="D3604" s="6" t="s">
        <v>416</v>
      </c>
      <c r="E3604" s="6" t="s">
        <v>1969</v>
      </c>
      <c r="F3604" s="6" t="s">
        <v>249</v>
      </c>
      <c r="G3604" s="6" t="s">
        <v>452</v>
      </c>
      <c r="H3604" s="10">
        <v>46088.0</v>
      </c>
      <c r="I3604" s="12">
        <v>14.0</v>
      </c>
      <c r="J3604" s="6" t="s">
        <v>161</v>
      </c>
    </row>
    <row r="3605" ht="22.5" customHeight="1">
      <c r="A3605" s="6" t="s">
        <v>17023</v>
      </c>
      <c r="B3605" s="6" t="s">
        <v>8521</v>
      </c>
      <c r="C3605" s="10">
        <v>46073.0</v>
      </c>
      <c r="D3605" s="6" t="s">
        <v>416</v>
      </c>
      <c r="E3605" s="6" t="s">
        <v>1149</v>
      </c>
      <c r="F3605" s="6" t="s">
        <v>112</v>
      </c>
      <c r="G3605" s="6" t="s">
        <v>254</v>
      </c>
      <c r="H3605" s="10">
        <v>46078.0</v>
      </c>
      <c r="I3605" s="12">
        <v>13.0</v>
      </c>
      <c r="J3605" s="6" t="s">
        <v>161</v>
      </c>
    </row>
    <row r="3606" ht="22.5" customHeight="1">
      <c r="A3606" s="6" t="s">
        <v>17028</v>
      </c>
      <c r="B3606" s="6" t="s">
        <v>8527</v>
      </c>
      <c r="C3606" s="10">
        <v>46052.0</v>
      </c>
      <c r="D3606" s="6" t="s">
        <v>416</v>
      </c>
      <c r="E3606" s="6" t="s">
        <v>365</v>
      </c>
      <c r="F3606" s="6" t="s">
        <v>112</v>
      </c>
      <c r="G3606" s="6" t="s">
        <v>254</v>
      </c>
      <c r="H3606" s="10">
        <v>46056.0</v>
      </c>
      <c r="I3606" s="12">
        <v>10.0</v>
      </c>
      <c r="J3606" s="6" t="s">
        <v>161</v>
      </c>
    </row>
    <row r="3607" ht="22.5" customHeight="1">
      <c r="A3607" s="6" t="s">
        <v>17031</v>
      </c>
      <c r="B3607" s="6" t="s">
        <v>8527</v>
      </c>
      <c r="C3607" s="10">
        <v>46043.0</v>
      </c>
      <c r="D3607" s="6" t="s">
        <v>677</v>
      </c>
      <c r="E3607" s="6" t="s">
        <v>1600</v>
      </c>
      <c r="F3607" s="6" t="s">
        <v>112</v>
      </c>
      <c r="G3607" s="6" t="s">
        <v>369</v>
      </c>
      <c r="H3607" s="10">
        <v>46043.0</v>
      </c>
      <c r="I3607" s="12">
        <v>4.0</v>
      </c>
      <c r="J3607" s="6" t="s">
        <v>161</v>
      </c>
    </row>
    <row r="3608" ht="22.5" customHeight="1">
      <c r="A3608" s="6" t="s">
        <v>17035</v>
      </c>
      <c r="B3608" s="6" t="s">
        <v>8527</v>
      </c>
      <c r="C3608" s="10">
        <v>46057.0</v>
      </c>
      <c r="D3608" s="6" t="s">
        <v>677</v>
      </c>
      <c r="E3608" s="6" t="s">
        <v>618</v>
      </c>
      <c r="F3608" s="6" t="s">
        <v>439</v>
      </c>
      <c r="G3608" s="6" t="s">
        <v>297</v>
      </c>
      <c r="H3608" s="10">
        <v>46064.0</v>
      </c>
      <c r="I3608" s="12">
        <v>4.0</v>
      </c>
      <c r="J3608" s="6" t="s">
        <v>161</v>
      </c>
    </row>
    <row r="3609" ht="22.5" customHeight="1">
      <c r="A3609" s="6" t="s">
        <v>17040</v>
      </c>
      <c r="B3609" s="6" t="s">
        <v>8532</v>
      </c>
      <c r="C3609" s="10">
        <v>46056.0</v>
      </c>
      <c r="D3609" s="6" t="s">
        <v>242</v>
      </c>
      <c r="E3609" s="6" t="s">
        <v>731</v>
      </c>
      <c r="F3609" s="6" t="s">
        <v>249</v>
      </c>
      <c r="G3609" s="6" t="s">
        <v>477</v>
      </c>
      <c r="H3609" s="10">
        <v>46058.0</v>
      </c>
      <c r="I3609" s="12">
        <v>4.0</v>
      </c>
      <c r="J3609" s="6" t="s">
        <v>178</v>
      </c>
    </row>
    <row r="3610" ht="22.5" customHeight="1">
      <c r="A3610" s="6" t="s">
        <v>17044</v>
      </c>
      <c r="B3610" s="6" t="s">
        <v>8532</v>
      </c>
      <c r="C3610" s="10">
        <v>46045.0</v>
      </c>
      <c r="D3610" s="6" t="s">
        <v>436</v>
      </c>
      <c r="E3610" s="6" t="s">
        <v>417</v>
      </c>
      <c r="F3610" s="6" t="s">
        <v>439</v>
      </c>
      <c r="G3610" s="6" t="s">
        <v>452</v>
      </c>
      <c r="H3610" s="10">
        <v>46051.0</v>
      </c>
      <c r="I3610" s="12">
        <v>7.0</v>
      </c>
      <c r="J3610" s="6" t="s">
        <v>178</v>
      </c>
    </row>
    <row r="3611" ht="22.5" customHeight="1">
      <c r="A3611" s="6" t="s">
        <v>17048</v>
      </c>
      <c r="B3611" s="6" t="s">
        <v>8538</v>
      </c>
      <c r="C3611" s="10">
        <v>46065.0</v>
      </c>
      <c r="D3611" s="6" t="s">
        <v>289</v>
      </c>
      <c r="E3611" s="6" t="s">
        <v>896</v>
      </c>
      <c r="F3611" s="6" t="s">
        <v>112</v>
      </c>
      <c r="G3611" s="6" t="s">
        <v>326</v>
      </c>
      <c r="H3611" s="11" t="s">
        <v>259</v>
      </c>
      <c r="I3611" s="12">
        <v>7.0</v>
      </c>
      <c r="J3611" s="6" t="s">
        <v>161</v>
      </c>
    </row>
    <row r="3612" ht="22.5" customHeight="1">
      <c r="A3612" s="6" t="s">
        <v>17053</v>
      </c>
      <c r="B3612" s="6" t="s">
        <v>8544</v>
      </c>
      <c r="C3612" s="10">
        <v>46058.0</v>
      </c>
      <c r="D3612" s="6" t="s">
        <v>391</v>
      </c>
      <c r="E3612" s="6" t="s">
        <v>246</v>
      </c>
      <c r="F3612" s="6" t="s">
        <v>112</v>
      </c>
      <c r="G3612" s="6" t="s">
        <v>494</v>
      </c>
      <c r="H3612" s="10">
        <v>46065.0</v>
      </c>
      <c r="I3612" s="12">
        <v>8.0</v>
      </c>
      <c r="J3612" s="6" t="s">
        <v>161</v>
      </c>
    </row>
    <row r="3613" ht="22.5" customHeight="1">
      <c r="A3613" s="6" t="s">
        <v>17055</v>
      </c>
      <c r="B3613" s="6" t="s">
        <v>8544</v>
      </c>
      <c r="C3613" s="10">
        <v>46044.0</v>
      </c>
      <c r="D3613" s="6" t="s">
        <v>391</v>
      </c>
      <c r="E3613" s="6" t="s">
        <v>812</v>
      </c>
      <c r="F3613" s="6" t="s">
        <v>439</v>
      </c>
      <c r="G3613" s="6" t="s">
        <v>494</v>
      </c>
      <c r="H3613" s="10">
        <v>46047.0</v>
      </c>
      <c r="I3613" s="12">
        <v>11.0</v>
      </c>
      <c r="J3613" s="6" t="s">
        <v>161</v>
      </c>
    </row>
    <row r="3614" ht="22.5" customHeight="1">
      <c r="A3614" s="6" t="s">
        <v>17059</v>
      </c>
      <c r="B3614" s="6" t="s">
        <v>8544</v>
      </c>
      <c r="C3614" s="10">
        <v>46045.0</v>
      </c>
      <c r="D3614" s="6" t="s">
        <v>391</v>
      </c>
      <c r="E3614" s="6" t="s">
        <v>1122</v>
      </c>
      <c r="F3614" s="6" t="s">
        <v>439</v>
      </c>
      <c r="G3614" s="6" t="s">
        <v>326</v>
      </c>
      <c r="H3614" s="10">
        <v>46046.0</v>
      </c>
      <c r="I3614" s="12">
        <v>6.0</v>
      </c>
      <c r="J3614" s="6" t="s">
        <v>161</v>
      </c>
    </row>
    <row r="3615" ht="22.5" customHeight="1">
      <c r="A3615" s="6" t="s">
        <v>17064</v>
      </c>
      <c r="B3615" s="6" t="s">
        <v>8544</v>
      </c>
      <c r="C3615" s="10">
        <v>46041.0</v>
      </c>
      <c r="D3615" s="6" t="s">
        <v>242</v>
      </c>
      <c r="E3615" s="6" t="s">
        <v>618</v>
      </c>
      <c r="F3615" s="6" t="s">
        <v>439</v>
      </c>
      <c r="G3615" s="6" t="s">
        <v>494</v>
      </c>
      <c r="H3615" s="10">
        <v>46047.0</v>
      </c>
      <c r="I3615" s="12">
        <v>5.0</v>
      </c>
      <c r="J3615" s="6" t="s">
        <v>178</v>
      </c>
    </row>
    <row r="3616" ht="22.5" customHeight="1">
      <c r="A3616" s="6" t="s">
        <v>17068</v>
      </c>
      <c r="B3616" s="6" t="s">
        <v>8544</v>
      </c>
      <c r="C3616" s="10">
        <v>46051.0</v>
      </c>
      <c r="D3616" s="6" t="s">
        <v>416</v>
      </c>
      <c r="E3616" s="6" t="s">
        <v>1310</v>
      </c>
      <c r="F3616" s="6" t="s">
        <v>249</v>
      </c>
      <c r="G3616" s="6" t="s">
        <v>297</v>
      </c>
      <c r="H3616" s="10">
        <v>46054.0</v>
      </c>
      <c r="I3616" s="12">
        <v>8.0</v>
      </c>
      <c r="J3616" s="6" t="s">
        <v>161</v>
      </c>
    </row>
    <row r="3617" ht="22.5" customHeight="1">
      <c r="A3617" s="6" t="s">
        <v>17072</v>
      </c>
      <c r="B3617" s="6" t="s">
        <v>8550</v>
      </c>
      <c r="C3617" s="10">
        <v>46072.0</v>
      </c>
      <c r="D3617" s="6" t="s">
        <v>677</v>
      </c>
      <c r="E3617" s="6" t="s">
        <v>1102</v>
      </c>
      <c r="F3617" s="6" t="s">
        <v>249</v>
      </c>
      <c r="G3617" s="6" t="s">
        <v>458</v>
      </c>
      <c r="H3617" s="10">
        <v>46077.0</v>
      </c>
      <c r="I3617" s="12">
        <v>3.0</v>
      </c>
      <c r="J3617" s="6" t="s">
        <v>161</v>
      </c>
    </row>
    <row r="3618" ht="22.5" customHeight="1">
      <c r="A3618" s="6" t="s">
        <v>17077</v>
      </c>
      <c r="B3618" s="6" t="s">
        <v>8550</v>
      </c>
      <c r="C3618" s="10">
        <v>46076.0</v>
      </c>
      <c r="D3618" s="6" t="s">
        <v>436</v>
      </c>
      <c r="E3618" s="6" t="s">
        <v>2365</v>
      </c>
      <c r="F3618" s="6" t="s">
        <v>249</v>
      </c>
      <c r="G3618" s="6" t="s">
        <v>254</v>
      </c>
      <c r="H3618" s="10">
        <v>46080.0</v>
      </c>
      <c r="I3618" s="12">
        <v>11.0</v>
      </c>
      <c r="J3618" s="6" t="s">
        <v>161</v>
      </c>
    </row>
    <row r="3619" ht="22.5" customHeight="1">
      <c r="A3619" s="6" t="s">
        <v>17081</v>
      </c>
      <c r="B3619" s="6" t="s">
        <v>8556</v>
      </c>
      <c r="C3619" s="10">
        <v>46040.0</v>
      </c>
      <c r="D3619" s="6" t="s">
        <v>242</v>
      </c>
      <c r="E3619" s="6" t="s">
        <v>1055</v>
      </c>
      <c r="F3619" s="6" t="s">
        <v>439</v>
      </c>
      <c r="G3619" s="6" t="s">
        <v>458</v>
      </c>
      <c r="H3619" s="10">
        <v>46045.0</v>
      </c>
      <c r="I3619" s="12">
        <v>6.0</v>
      </c>
      <c r="J3619" s="6" t="s">
        <v>178</v>
      </c>
    </row>
    <row r="3620" ht="22.5" customHeight="1">
      <c r="A3620" s="6" t="s">
        <v>17085</v>
      </c>
      <c r="B3620" s="6" t="s">
        <v>8556</v>
      </c>
      <c r="C3620" s="10">
        <v>46033.0</v>
      </c>
      <c r="D3620" s="6" t="s">
        <v>391</v>
      </c>
      <c r="E3620" s="6" t="s">
        <v>955</v>
      </c>
      <c r="F3620" s="6" t="s">
        <v>112</v>
      </c>
      <c r="G3620" s="6" t="s">
        <v>477</v>
      </c>
      <c r="H3620" s="10">
        <v>46033.0</v>
      </c>
      <c r="I3620" s="12">
        <v>6.0</v>
      </c>
      <c r="J3620" s="6" t="s">
        <v>161</v>
      </c>
    </row>
    <row r="3621" ht="22.5" customHeight="1">
      <c r="A3621" s="6" t="s">
        <v>17088</v>
      </c>
      <c r="B3621" s="6" t="s">
        <v>8561</v>
      </c>
      <c r="C3621" s="10">
        <v>46078.0</v>
      </c>
      <c r="D3621" s="6" t="s">
        <v>391</v>
      </c>
      <c r="E3621" s="6" t="s">
        <v>566</v>
      </c>
      <c r="F3621" s="6" t="s">
        <v>283</v>
      </c>
      <c r="G3621" s="6" t="s">
        <v>494</v>
      </c>
      <c r="H3621" s="10">
        <v>46084.0</v>
      </c>
      <c r="I3621" s="12">
        <v>7.0</v>
      </c>
      <c r="J3621" s="6" t="s">
        <v>161</v>
      </c>
    </row>
    <row r="3622" ht="22.5" customHeight="1">
      <c r="A3622" s="6" t="s">
        <v>17093</v>
      </c>
      <c r="B3622" s="6" t="s">
        <v>8561</v>
      </c>
      <c r="C3622" s="10">
        <v>46086.0</v>
      </c>
      <c r="D3622" s="6" t="s">
        <v>677</v>
      </c>
      <c r="E3622" s="6" t="s">
        <v>738</v>
      </c>
      <c r="F3622" s="6" t="s">
        <v>249</v>
      </c>
      <c r="G3622" s="6" t="s">
        <v>297</v>
      </c>
      <c r="H3622" s="10">
        <v>46093.0</v>
      </c>
      <c r="I3622" s="12">
        <v>2.0</v>
      </c>
      <c r="J3622" s="6" t="s">
        <v>161</v>
      </c>
    </row>
    <row r="3623" ht="22.5" customHeight="1">
      <c r="A3623" s="6" t="s">
        <v>17098</v>
      </c>
      <c r="B3623" s="6" t="s">
        <v>8561</v>
      </c>
      <c r="C3623" s="10">
        <v>46083.0</v>
      </c>
      <c r="D3623" s="6" t="s">
        <v>677</v>
      </c>
      <c r="E3623" s="6" t="s">
        <v>1122</v>
      </c>
      <c r="F3623" s="6" t="s">
        <v>249</v>
      </c>
      <c r="G3623" s="6" t="s">
        <v>326</v>
      </c>
      <c r="H3623" s="10">
        <v>46083.0</v>
      </c>
      <c r="I3623" s="12">
        <v>4.0</v>
      </c>
      <c r="J3623" s="6" t="s">
        <v>161</v>
      </c>
    </row>
    <row r="3624" ht="22.5" customHeight="1">
      <c r="A3624" s="6" t="s">
        <v>17102</v>
      </c>
      <c r="B3624" s="6" t="s">
        <v>8561</v>
      </c>
      <c r="C3624" s="10">
        <v>46077.0</v>
      </c>
      <c r="D3624" s="6" t="s">
        <v>289</v>
      </c>
      <c r="E3624" s="6" t="s">
        <v>1626</v>
      </c>
      <c r="F3624" s="6" t="s">
        <v>249</v>
      </c>
      <c r="G3624" s="6" t="s">
        <v>326</v>
      </c>
      <c r="H3624" s="10">
        <v>46084.0</v>
      </c>
      <c r="I3624" s="12">
        <v>10.0</v>
      </c>
      <c r="J3624" s="6" t="s">
        <v>161</v>
      </c>
    </row>
    <row r="3625" ht="22.5" customHeight="1">
      <c r="A3625" s="6" t="s">
        <v>17106</v>
      </c>
      <c r="B3625" s="6" t="s">
        <v>8567</v>
      </c>
      <c r="C3625" s="10">
        <v>46031.0</v>
      </c>
      <c r="D3625" s="6" t="s">
        <v>436</v>
      </c>
      <c r="E3625" s="6" t="s">
        <v>658</v>
      </c>
      <c r="F3625" s="6" t="s">
        <v>112</v>
      </c>
      <c r="G3625" s="6" t="s">
        <v>297</v>
      </c>
      <c r="H3625" s="10">
        <v>46031.0</v>
      </c>
      <c r="I3625" s="12">
        <v>7.0</v>
      </c>
      <c r="J3625" s="6" t="s">
        <v>178</v>
      </c>
    </row>
    <row r="3626" ht="22.5" customHeight="1">
      <c r="A3626" s="6" t="s">
        <v>17112</v>
      </c>
      <c r="B3626" s="6" t="s">
        <v>8573</v>
      </c>
      <c r="C3626" s="10">
        <v>46060.0</v>
      </c>
      <c r="D3626" s="6" t="s">
        <v>677</v>
      </c>
      <c r="E3626" s="6" t="s">
        <v>634</v>
      </c>
      <c r="F3626" s="6" t="s">
        <v>439</v>
      </c>
      <c r="G3626" s="6" t="s">
        <v>254</v>
      </c>
      <c r="H3626" s="11" t="s">
        <v>259</v>
      </c>
      <c r="I3626" s="12">
        <v>4.0</v>
      </c>
      <c r="J3626" s="6" t="s">
        <v>161</v>
      </c>
    </row>
    <row r="3627" ht="22.5" customHeight="1">
      <c r="A3627" s="6" t="s">
        <v>17117</v>
      </c>
      <c r="B3627" s="6" t="s">
        <v>8573</v>
      </c>
      <c r="C3627" s="10">
        <v>46047.0</v>
      </c>
      <c r="D3627" s="6" t="s">
        <v>242</v>
      </c>
      <c r="E3627" s="6" t="s">
        <v>246</v>
      </c>
      <c r="F3627" s="6" t="s">
        <v>112</v>
      </c>
      <c r="G3627" s="6" t="s">
        <v>297</v>
      </c>
      <c r="H3627" s="10">
        <v>46050.0</v>
      </c>
      <c r="I3627" s="12">
        <v>3.0</v>
      </c>
      <c r="J3627" s="6" t="s">
        <v>178</v>
      </c>
    </row>
    <row r="3628" ht="22.5" customHeight="1">
      <c r="A3628" s="6" t="s">
        <v>17122</v>
      </c>
      <c r="B3628" s="6" t="s">
        <v>8573</v>
      </c>
      <c r="C3628" s="10">
        <v>46050.0</v>
      </c>
      <c r="D3628" s="6" t="s">
        <v>416</v>
      </c>
      <c r="E3628" s="6" t="s">
        <v>628</v>
      </c>
      <c r="F3628" s="6" t="s">
        <v>439</v>
      </c>
      <c r="G3628" s="6" t="s">
        <v>458</v>
      </c>
      <c r="H3628" s="10">
        <v>46051.0</v>
      </c>
      <c r="I3628" s="12">
        <v>9.0</v>
      </c>
      <c r="J3628" s="6" t="s">
        <v>161</v>
      </c>
    </row>
    <row r="3629" ht="22.5" customHeight="1">
      <c r="A3629" s="6" t="s">
        <v>17126</v>
      </c>
      <c r="B3629" s="6" t="s">
        <v>8573</v>
      </c>
      <c r="C3629" s="10">
        <v>46058.0</v>
      </c>
      <c r="D3629" s="6" t="s">
        <v>289</v>
      </c>
      <c r="E3629" s="6" t="s">
        <v>583</v>
      </c>
      <c r="F3629" s="6" t="s">
        <v>439</v>
      </c>
      <c r="G3629" s="6" t="s">
        <v>452</v>
      </c>
      <c r="H3629" s="10">
        <v>46065.0</v>
      </c>
      <c r="I3629" s="12">
        <v>5.0</v>
      </c>
      <c r="J3629" s="6" t="s">
        <v>161</v>
      </c>
    </row>
    <row r="3630" ht="22.5" customHeight="1">
      <c r="A3630" s="6" t="s">
        <v>17130</v>
      </c>
      <c r="B3630" s="6" t="s">
        <v>8573</v>
      </c>
      <c r="C3630" s="10">
        <v>46046.0</v>
      </c>
      <c r="D3630" s="6" t="s">
        <v>312</v>
      </c>
      <c r="E3630" s="6" t="s">
        <v>716</v>
      </c>
      <c r="F3630" s="6" t="s">
        <v>112</v>
      </c>
      <c r="G3630" s="6" t="s">
        <v>369</v>
      </c>
      <c r="H3630" s="10">
        <v>46051.0</v>
      </c>
      <c r="I3630" s="12">
        <v>5.0</v>
      </c>
      <c r="J3630" s="6" t="s">
        <v>161</v>
      </c>
    </row>
    <row r="3631" ht="22.5" customHeight="1">
      <c r="A3631" s="6" t="s">
        <v>17134</v>
      </c>
      <c r="B3631" s="6" t="s">
        <v>8579</v>
      </c>
      <c r="C3631" s="10">
        <v>46026.0</v>
      </c>
      <c r="D3631" s="6" t="s">
        <v>391</v>
      </c>
      <c r="E3631" s="6" t="s">
        <v>1149</v>
      </c>
      <c r="F3631" s="6" t="s">
        <v>112</v>
      </c>
      <c r="G3631" s="6" t="s">
        <v>254</v>
      </c>
      <c r="H3631" s="10">
        <v>46032.0</v>
      </c>
      <c r="I3631" s="12">
        <v>6.0</v>
      </c>
      <c r="J3631" s="6" t="s">
        <v>161</v>
      </c>
    </row>
    <row r="3632" ht="22.5" customHeight="1">
      <c r="A3632" s="6" t="s">
        <v>17139</v>
      </c>
      <c r="B3632" s="6" t="s">
        <v>8579</v>
      </c>
      <c r="C3632" s="10">
        <v>46038.0</v>
      </c>
      <c r="D3632" s="6" t="s">
        <v>416</v>
      </c>
      <c r="E3632" s="6" t="s">
        <v>885</v>
      </c>
      <c r="F3632" s="6" t="s">
        <v>283</v>
      </c>
      <c r="G3632" s="6" t="s">
        <v>369</v>
      </c>
      <c r="H3632" s="11" t="s">
        <v>259</v>
      </c>
      <c r="I3632" s="12">
        <v>14.0</v>
      </c>
      <c r="J3632" s="6" t="s">
        <v>161</v>
      </c>
    </row>
    <row r="3633" ht="22.5" customHeight="1">
      <c r="A3633" s="6" t="s">
        <v>17143</v>
      </c>
      <c r="B3633" s="6" t="s">
        <v>8579</v>
      </c>
      <c r="C3633" s="10">
        <v>46043.0</v>
      </c>
      <c r="D3633" s="6" t="s">
        <v>312</v>
      </c>
      <c r="E3633" s="6" t="s">
        <v>1626</v>
      </c>
      <c r="F3633" s="6" t="s">
        <v>112</v>
      </c>
      <c r="G3633" s="6" t="s">
        <v>494</v>
      </c>
      <c r="H3633" s="10">
        <v>46049.0</v>
      </c>
      <c r="I3633" s="12">
        <v>5.0</v>
      </c>
      <c r="J3633" s="6" t="s">
        <v>161</v>
      </c>
    </row>
    <row r="3634" ht="22.5" customHeight="1">
      <c r="A3634" s="6" t="s">
        <v>17148</v>
      </c>
      <c r="B3634" s="6" t="s">
        <v>8584</v>
      </c>
      <c r="C3634" s="10">
        <v>46036.0</v>
      </c>
      <c r="D3634" s="6" t="s">
        <v>677</v>
      </c>
      <c r="E3634" s="6" t="s">
        <v>695</v>
      </c>
      <c r="F3634" s="6" t="s">
        <v>249</v>
      </c>
      <c r="G3634" s="6" t="s">
        <v>369</v>
      </c>
      <c r="H3634" s="10">
        <v>46043.0</v>
      </c>
      <c r="I3634" s="12">
        <v>2.0</v>
      </c>
      <c r="J3634" s="6" t="s">
        <v>161</v>
      </c>
    </row>
    <row r="3635" ht="22.5" customHeight="1">
      <c r="A3635" s="6" t="s">
        <v>17152</v>
      </c>
      <c r="B3635" s="6" t="s">
        <v>8590</v>
      </c>
      <c r="C3635" s="10">
        <v>46077.0</v>
      </c>
      <c r="D3635" s="6" t="s">
        <v>391</v>
      </c>
      <c r="E3635" s="6" t="s">
        <v>658</v>
      </c>
      <c r="F3635" s="6" t="s">
        <v>439</v>
      </c>
      <c r="G3635" s="6" t="s">
        <v>494</v>
      </c>
      <c r="H3635" s="10">
        <v>46081.0</v>
      </c>
      <c r="I3635" s="12">
        <v>7.0</v>
      </c>
      <c r="J3635" s="6" t="s">
        <v>161</v>
      </c>
    </row>
    <row r="3636" ht="22.5" customHeight="1">
      <c r="A3636" s="6" t="s">
        <v>17156</v>
      </c>
      <c r="B3636" s="6" t="s">
        <v>8590</v>
      </c>
      <c r="C3636" s="10">
        <v>46067.0</v>
      </c>
      <c r="D3636" s="6" t="s">
        <v>677</v>
      </c>
      <c r="E3636" s="6" t="s">
        <v>1552</v>
      </c>
      <c r="F3636" s="6" t="s">
        <v>439</v>
      </c>
      <c r="G3636" s="6" t="s">
        <v>297</v>
      </c>
      <c r="H3636" s="11" t="s">
        <v>259</v>
      </c>
      <c r="I3636" s="12">
        <v>3.0</v>
      </c>
      <c r="J3636" s="6" t="s">
        <v>161</v>
      </c>
    </row>
    <row r="3637" ht="22.5" customHeight="1">
      <c r="A3637" s="6" t="s">
        <v>17161</v>
      </c>
      <c r="B3637" s="6" t="s">
        <v>8590</v>
      </c>
      <c r="C3637" s="10">
        <v>46064.0</v>
      </c>
      <c r="D3637" s="6" t="s">
        <v>312</v>
      </c>
      <c r="E3637" s="6" t="s">
        <v>695</v>
      </c>
      <c r="F3637" s="6" t="s">
        <v>283</v>
      </c>
      <c r="G3637" s="6" t="s">
        <v>254</v>
      </c>
      <c r="H3637" s="10">
        <v>46065.0</v>
      </c>
      <c r="I3637" s="12">
        <v>4.0</v>
      </c>
      <c r="J3637" s="6" t="s">
        <v>161</v>
      </c>
    </row>
    <row r="3638" ht="22.5" customHeight="1">
      <c r="A3638" s="6" t="s">
        <v>17165</v>
      </c>
      <c r="B3638" s="6" t="s">
        <v>8590</v>
      </c>
      <c r="C3638" s="10">
        <v>46066.0</v>
      </c>
      <c r="D3638" s="6" t="s">
        <v>391</v>
      </c>
      <c r="E3638" s="6" t="s">
        <v>417</v>
      </c>
      <c r="F3638" s="6" t="s">
        <v>283</v>
      </c>
      <c r="G3638" s="6" t="s">
        <v>326</v>
      </c>
      <c r="H3638" s="11" t="s">
        <v>259</v>
      </c>
      <c r="I3638" s="12">
        <v>9.0</v>
      </c>
      <c r="J3638" s="6" t="s">
        <v>161</v>
      </c>
    </row>
    <row r="3639" ht="22.5" customHeight="1">
      <c r="A3639" s="6" t="s">
        <v>17169</v>
      </c>
      <c r="B3639" s="6" t="s">
        <v>8590</v>
      </c>
      <c r="C3639" s="10">
        <v>46071.0</v>
      </c>
      <c r="D3639" s="6" t="s">
        <v>289</v>
      </c>
      <c r="E3639" s="6" t="s">
        <v>1102</v>
      </c>
      <c r="F3639" s="6" t="s">
        <v>249</v>
      </c>
      <c r="G3639" s="6" t="s">
        <v>494</v>
      </c>
      <c r="H3639" s="10">
        <v>46075.0</v>
      </c>
      <c r="I3639" s="12">
        <v>5.0</v>
      </c>
      <c r="J3639" s="6" t="s">
        <v>161</v>
      </c>
    </row>
    <row r="3640" ht="22.5" customHeight="1">
      <c r="A3640" s="6" t="s">
        <v>17175</v>
      </c>
      <c r="B3640" s="6" t="s">
        <v>8596</v>
      </c>
      <c r="C3640" s="10">
        <v>46048.0</v>
      </c>
      <c r="D3640" s="6" t="s">
        <v>242</v>
      </c>
      <c r="E3640" s="6" t="s">
        <v>417</v>
      </c>
      <c r="F3640" s="6" t="s">
        <v>283</v>
      </c>
      <c r="G3640" s="6" t="s">
        <v>452</v>
      </c>
      <c r="H3640" s="10">
        <v>46049.0</v>
      </c>
      <c r="I3640" s="12">
        <v>5.0</v>
      </c>
      <c r="J3640" s="6" t="s">
        <v>178</v>
      </c>
    </row>
    <row r="3641" ht="22.5" customHeight="1">
      <c r="A3641" s="6" t="s">
        <v>17177</v>
      </c>
      <c r="B3641" s="6" t="s">
        <v>8596</v>
      </c>
      <c r="C3641" s="10">
        <v>46051.0</v>
      </c>
      <c r="D3641" s="6" t="s">
        <v>391</v>
      </c>
      <c r="E3641" s="6" t="s">
        <v>610</v>
      </c>
      <c r="F3641" s="6" t="s">
        <v>439</v>
      </c>
      <c r="G3641" s="6" t="s">
        <v>369</v>
      </c>
      <c r="H3641" s="10">
        <v>46057.0</v>
      </c>
      <c r="I3641" s="12">
        <v>11.0</v>
      </c>
      <c r="J3641" s="6" t="s">
        <v>161</v>
      </c>
    </row>
    <row r="3642" ht="22.5" customHeight="1">
      <c r="A3642" s="6" t="s">
        <v>17182</v>
      </c>
      <c r="B3642" s="6" t="s">
        <v>8596</v>
      </c>
      <c r="C3642" s="10">
        <v>46051.0</v>
      </c>
      <c r="D3642" s="6" t="s">
        <v>312</v>
      </c>
      <c r="E3642" s="6" t="s">
        <v>438</v>
      </c>
      <c r="F3642" s="6" t="s">
        <v>439</v>
      </c>
      <c r="G3642" s="6" t="s">
        <v>452</v>
      </c>
      <c r="H3642" s="10">
        <v>46056.0</v>
      </c>
      <c r="I3642" s="12">
        <v>4.0</v>
      </c>
      <c r="J3642" s="6" t="s">
        <v>161</v>
      </c>
    </row>
    <row r="3643" ht="22.5" customHeight="1">
      <c r="A3643" s="6" t="s">
        <v>17185</v>
      </c>
      <c r="B3643" s="6" t="s">
        <v>8596</v>
      </c>
      <c r="C3643" s="10">
        <v>46044.0</v>
      </c>
      <c r="D3643" s="6" t="s">
        <v>391</v>
      </c>
      <c r="E3643" s="6" t="s">
        <v>628</v>
      </c>
      <c r="F3643" s="6" t="s">
        <v>439</v>
      </c>
      <c r="G3643" s="6" t="s">
        <v>297</v>
      </c>
      <c r="H3643" s="10">
        <v>46048.0</v>
      </c>
      <c r="I3643" s="12">
        <v>9.0</v>
      </c>
      <c r="J3643" s="6" t="s">
        <v>161</v>
      </c>
    </row>
    <row r="3644" ht="22.5" customHeight="1">
      <c r="A3644" s="6" t="s">
        <v>17190</v>
      </c>
      <c r="B3644" s="6" t="s">
        <v>8596</v>
      </c>
      <c r="C3644" s="10">
        <v>46056.0</v>
      </c>
      <c r="D3644" s="6" t="s">
        <v>416</v>
      </c>
      <c r="E3644" s="6" t="s">
        <v>833</v>
      </c>
      <c r="F3644" s="6" t="s">
        <v>439</v>
      </c>
      <c r="G3644" s="6" t="s">
        <v>452</v>
      </c>
      <c r="H3644" s="10">
        <v>46062.0</v>
      </c>
      <c r="I3644" s="12">
        <v>9.0</v>
      </c>
      <c r="J3644" s="6" t="s">
        <v>161</v>
      </c>
    </row>
    <row r="3645" ht="22.5" customHeight="1">
      <c r="A3645" s="6" t="s">
        <v>17195</v>
      </c>
      <c r="B3645" s="6" t="s">
        <v>8602</v>
      </c>
      <c r="C3645" s="10">
        <v>46078.0</v>
      </c>
      <c r="D3645" s="6" t="s">
        <v>289</v>
      </c>
      <c r="E3645" s="6" t="s">
        <v>731</v>
      </c>
      <c r="F3645" s="6" t="s">
        <v>439</v>
      </c>
      <c r="G3645" s="6" t="s">
        <v>297</v>
      </c>
      <c r="H3645" s="10">
        <v>46084.0</v>
      </c>
      <c r="I3645" s="12">
        <v>6.0</v>
      </c>
      <c r="J3645" s="6" t="s">
        <v>161</v>
      </c>
    </row>
    <row r="3646" ht="22.5" customHeight="1">
      <c r="A3646" s="6" t="s">
        <v>17200</v>
      </c>
      <c r="B3646" s="6" t="s">
        <v>8602</v>
      </c>
      <c r="C3646" s="10">
        <v>46072.0</v>
      </c>
      <c r="D3646" s="6" t="s">
        <v>677</v>
      </c>
      <c r="E3646" s="6" t="s">
        <v>1386</v>
      </c>
      <c r="F3646" s="6" t="s">
        <v>283</v>
      </c>
      <c r="G3646" s="6" t="s">
        <v>326</v>
      </c>
      <c r="H3646" s="11" t="s">
        <v>259</v>
      </c>
      <c r="I3646" s="12">
        <v>3.0</v>
      </c>
      <c r="J3646" s="6" t="s">
        <v>161</v>
      </c>
    </row>
    <row r="3647" ht="22.5" customHeight="1">
      <c r="A3647" s="6" t="s">
        <v>17204</v>
      </c>
      <c r="B3647" s="6" t="s">
        <v>8602</v>
      </c>
      <c r="C3647" s="10">
        <v>46069.0</v>
      </c>
      <c r="D3647" s="6" t="s">
        <v>312</v>
      </c>
      <c r="E3647" s="6" t="s">
        <v>731</v>
      </c>
      <c r="F3647" s="6" t="s">
        <v>439</v>
      </c>
      <c r="G3647" s="6" t="s">
        <v>254</v>
      </c>
      <c r="H3647" s="10">
        <v>46074.0</v>
      </c>
      <c r="I3647" s="12">
        <v>7.0</v>
      </c>
      <c r="J3647" s="6" t="s">
        <v>161</v>
      </c>
    </row>
    <row r="3648" ht="22.5" customHeight="1">
      <c r="A3648" s="6" t="s">
        <v>17208</v>
      </c>
      <c r="B3648" s="6" t="s">
        <v>8602</v>
      </c>
      <c r="C3648" s="10">
        <v>46076.0</v>
      </c>
      <c r="D3648" s="6" t="s">
        <v>416</v>
      </c>
      <c r="E3648" s="6" t="s">
        <v>1626</v>
      </c>
      <c r="F3648" s="6" t="s">
        <v>439</v>
      </c>
      <c r="G3648" s="6" t="s">
        <v>458</v>
      </c>
      <c r="H3648" s="10">
        <v>46081.0</v>
      </c>
      <c r="I3648" s="12">
        <v>8.0</v>
      </c>
      <c r="J3648" s="6" t="s">
        <v>161</v>
      </c>
    </row>
    <row r="3649" ht="22.5" customHeight="1">
      <c r="A3649" s="6" t="s">
        <v>17211</v>
      </c>
      <c r="B3649" s="6" t="s">
        <v>8602</v>
      </c>
      <c r="C3649" s="10">
        <v>46059.0</v>
      </c>
      <c r="D3649" s="6" t="s">
        <v>242</v>
      </c>
      <c r="E3649" s="6" t="s">
        <v>634</v>
      </c>
      <c r="F3649" s="6" t="s">
        <v>283</v>
      </c>
      <c r="G3649" s="6" t="s">
        <v>254</v>
      </c>
      <c r="H3649" s="10">
        <v>46066.0</v>
      </c>
      <c r="I3649" s="12">
        <v>5.0</v>
      </c>
      <c r="J3649" s="6" t="s">
        <v>178</v>
      </c>
    </row>
    <row r="3650" ht="22.5" customHeight="1">
      <c r="A3650" s="6" t="s">
        <v>17216</v>
      </c>
      <c r="B3650" s="6" t="s">
        <v>8608</v>
      </c>
      <c r="C3650" s="10">
        <v>46054.0</v>
      </c>
      <c r="D3650" s="6" t="s">
        <v>289</v>
      </c>
      <c r="E3650" s="6" t="s">
        <v>1273</v>
      </c>
      <c r="F3650" s="6" t="s">
        <v>249</v>
      </c>
      <c r="G3650" s="6" t="s">
        <v>458</v>
      </c>
      <c r="H3650" s="10">
        <v>46060.0</v>
      </c>
      <c r="I3650" s="12">
        <v>6.0</v>
      </c>
      <c r="J3650" s="6" t="s">
        <v>161</v>
      </c>
    </row>
    <row r="3651" ht="22.5" customHeight="1">
      <c r="A3651" s="6" t="s">
        <v>17221</v>
      </c>
      <c r="B3651" s="6" t="s">
        <v>8608</v>
      </c>
      <c r="C3651" s="10">
        <v>46050.0</v>
      </c>
      <c r="D3651" s="6" t="s">
        <v>289</v>
      </c>
      <c r="E3651" s="6" t="s">
        <v>1102</v>
      </c>
      <c r="F3651" s="6" t="s">
        <v>439</v>
      </c>
      <c r="G3651" s="6" t="s">
        <v>477</v>
      </c>
      <c r="H3651" s="10">
        <v>46050.0</v>
      </c>
      <c r="I3651" s="12">
        <v>9.0</v>
      </c>
      <c r="J3651" s="6" t="s">
        <v>161</v>
      </c>
    </row>
    <row r="3652" ht="22.5" customHeight="1">
      <c r="A3652" s="6" t="s">
        <v>17224</v>
      </c>
      <c r="B3652" s="6" t="s">
        <v>8608</v>
      </c>
      <c r="C3652" s="10">
        <v>46050.0</v>
      </c>
      <c r="D3652" s="6" t="s">
        <v>677</v>
      </c>
      <c r="E3652" s="6" t="s">
        <v>291</v>
      </c>
      <c r="F3652" s="6" t="s">
        <v>283</v>
      </c>
      <c r="G3652" s="6" t="s">
        <v>494</v>
      </c>
      <c r="H3652" s="10">
        <v>46052.0</v>
      </c>
      <c r="I3652" s="12">
        <v>4.0</v>
      </c>
      <c r="J3652" s="6" t="s">
        <v>161</v>
      </c>
    </row>
    <row r="3653" ht="22.5" customHeight="1">
      <c r="A3653" s="6" t="s">
        <v>17229</v>
      </c>
      <c r="B3653" s="6" t="s">
        <v>8608</v>
      </c>
      <c r="C3653" s="10">
        <v>46068.0</v>
      </c>
      <c r="D3653" s="6" t="s">
        <v>677</v>
      </c>
      <c r="E3653" s="6" t="s">
        <v>885</v>
      </c>
      <c r="F3653" s="6" t="s">
        <v>249</v>
      </c>
      <c r="G3653" s="6" t="s">
        <v>297</v>
      </c>
      <c r="H3653" s="10">
        <v>46074.0</v>
      </c>
      <c r="I3653" s="12">
        <v>4.0</v>
      </c>
      <c r="J3653" s="6" t="s">
        <v>161</v>
      </c>
    </row>
    <row r="3654" ht="22.5" customHeight="1">
      <c r="A3654" s="6" t="s">
        <v>17234</v>
      </c>
      <c r="B3654" s="6" t="s">
        <v>8613</v>
      </c>
      <c r="C3654" s="10">
        <v>46051.0</v>
      </c>
      <c r="D3654" s="6" t="s">
        <v>436</v>
      </c>
      <c r="E3654" s="6" t="s">
        <v>628</v>
      </c>
      <c r="F3654" s="6" t="s">
        <v>439</v>
      </c>
      <c r="G3654" s="6" t="s">
        <v>369</v>
      </c>
      <c r="H3654" s="10">
        <v>46054.0</v>
      </c>
      <c r="I3654" s="12">
        <v>9.0</v>
      </c>
      <c r="J3654" s="6" t="s">
        <v>161</v>
      </c>
    </row>
    <row r="3655" ht="22.5" customHeight="1">
      <c r="A3655" s="6" t="s">
        <v>17236</v>
      </c>
      <c r="B3655" s="6" t="s">
        <v>8613</v>
      </c>
      <c r="C3655" s="10">
        <v>46051.0</v>
      </c>
      <c r="D3655" s="6" t="s">
        <v>391</v>
      </c>
      <c r="E3655" s="6" t="s">
        <v>246</v>
      </c>
      <c r="F3655" s="6" t="s">
        <v>112</v>
      </c>
      <c r="G3655" s="6" t="s">
        <v>494</v>
      </c>
      <c r="H3655" s="11" t="s">
        <v>259</v>
      </c>
      <c r="I3655" s="12">
        <v>8.0</v>
      </c>
      <c r="J3655" s="6" t="s">
        <v>161</v>
      </c>
    </row>
    <row r="3656" ht="22.5" customHeight="1">
      <c r="A3656" s="6" t="s">
        <v>17239</v>
      </c>
      <c r="B3656" s="6" t="s">
        <v>8620</v>
      </c>
      <c r="C3656" s="10">
        <v>46041.0</v>
      </c>
      <c r="D3656" s="6" t="s">
        <v>391</v>
      </c>
      <c r="E3656" s="6" t="s">
        <v>583</v>
      </c>
      <c r="F3656" s="6" t="s">
        <v>249</v>
      </c>
      <c r="G3656" s="6" t="s">
        <v>369</v>
      </c>
      <c r="H3656" s="10">
        <v>46043.0</v>
      </c>
      <c r="I3656" s="12">
        <v>11.0</v>
      </c>
      <c r="J3656" s="6" t="s">
        <v>161</v>
      </c>
    </row>
    <row r="3657" ht="22.5" customHeight="1">
      <c r="A3657" s="6" t="s">
        <v>17243</v>
      </c>
      <c r="B3657" s="6" t="s">
        <v>8620</v>
      </c>
      <c r="C3657" s="10">
        <v>46047.0</v>
      </c>
      <c r="D3657" s="6" t="s">
        <v>391</v>
      </c>
      <c r="E3657" s="6" t="s">
        <v>1517</v>
      </c>
      <c r="F3657" s="6" t="s">
        <v>112</v>
      </c>
      <c r="G3657" s="6" t="s">
        <v>477</v>
      </c>
      <c r="H3657" s="10">
        <v>46050.0</v>
      </c>
      <c r="I3657" s="12">
        <v>7.0</v>
      </c>
      <c r="J3657" s="6" t="s">
        <v>161</v>
      </c>
    </row>
    <row r="3658" ht="22.5" customHeight="1">
      <c r="A3658" s="6" t="s">
        <v>17246</v>
      </c>
      <c r="B3658" s="6" t="s">
        <v>8626</v>
      </c>
      <c r="C3658" s="10">
        <v>46054.0</v>
      </c>
      <c r="D3658" s="6" t="s">
        <v>677</v>
      </c>
      <c r="E3658" s="6" t="s">
        <v>658</v>
      </c>
      <c r="F3658" s="6" t="s">
        <v>283</v>
      </c>
      <c r="G3658" s="6" t="s">
        <v>477</v>
      </c>
      <c r="H3658" s="10">
        <v>46057.0</v>
      </c>
      <c r="I3658" s="12">
        <v>4.0</v>
      </c>
      <c r="J3658" s="6" t="s">
        <v>161</v>
      </c>
    </row>
    <row r="3659" ht="22.5" customHeight="1">
      <c r="A3659" s="6" t="s">
        <v>17251</v>
      </c>
      <c r="B3659" s="6" t="s">
        <v>8632</v>
      </c>
      <c r="C3659" s="10">
        <v>46050.0</v>
      </c>
      <c r="D3659" s="6" t="s">
        <v>242</v>
      </c>
      <c r="E3659" s="6" t="s">
        <v>291</v>
      </c>
      <c r="F3659" s="6" t="s">
        <v>112</v>
      </c>
      <c r="G3659" s="6" t="s">
        <v>297</v>
      </c>
      <c r="H3659" s="10">
        <v>46052.0</v>
      </c>
      <c r="I3659" s="12">
        <v>4.0</v>
      </c>
      <c r="J3659" s="6" t="s">
        <v>178</v>
      </c>
    </row>
    <row r="3660" ht="22.5" customHeight="1">
      <c r="A3660" s="6" t="s">
        <v>17255</v>
      </c>
      <c r="B3660" s="6" t="s">
        <v>8632</v>
      </c>
      <c r="C3660" s="10">
        <v>46054.0</v>
      </c>
      <c r="D3660" s="6" t="s">
        <v>391</v>
      </c>
      <c r="E3660" s="6" t="s">
        <v>1720</v>
      </c>
      <c r="F3660" s="6" t="s">
        <v>283</v>
      </c>
      <c r="G3660" s="6" t="s">
        <v>326</v>
      </c>
      <c r="H3660" s="10">
        <v>46055.0</v>
      </c>
      <c r="I3660" s="12">
        <v>11.0</v>
      </c>
      <c r="J3660" s="6" t="s">
        <v>161</v>
      </c>
    </row>
    <row r="3661" ht="22.5" customHeight="1">
      <c r="A3661" s="6" t="s">
        <v>17261</v>
      </c>
      <c r="B3661" s="6" t="s">
        <v>8632</v>
      </c>
      <c r="C3661" s="10">
        <v>46053.0</v>
      </c>
      <c r="D3661" s="6" t="s">
        <v>242</v>
      </c>
      <c r="E3661" s="6" t="s">
        <v>1273</v>
      </c>
      <c r="F3661" s="6" t="s">
        <v>112</v>
      </c>
      <c r="G3661" s="6" t="s">
        <v>297</v>
      </c>
      <c r="H3661" s="10">
        <v>46055.0</v>
      </c>
      <c r="I3661" s="12">
        <v>4.0</v>
      </c>
      <c r="J3661" s="6" t="s">
        <v>178</v>
      </c>
    </row>
    <row r="3662" ht="22.5" customHeight="1">
      <c r="A3662" s="6" t="s">
        <v>17264</v>
      </c>
      <c r="B3662" s="6" t="s">
        <v>8632</v>
      </c>
      <c r="C3662" s="10">
        <v>46061.0</v>
      </c>
      <c r="D3662" s="6" t="s">
        <v>242</v>
      </c>
      <c r="E3662" s="6" t="s">
        <v>1626</v>
      </c>
      <c r="F3662" s="6" t="s">
        <v>283</v>
      </c>
      <c r="G3662" s="6" t="s">
        <v>254</v>
      </c>
      <c r="H3662" s="10">
        <v>46066.0</v>
      </c>
      <c r="I3662" s="12">
        <v>6.0</v>
      </c>
      <c r="J3662" s="6" t="s">
        <v>178</v>
      </c>
    </row>
    <row r="3663" ht="22.5" customHeight="1">
      <c r="A3663" s="6" t="s">
        <v>17269</v>
      </c>
      <c r="B3663" s="6" t="s">
        <v>8638</v>
      </c>
      <c r="C3663" s="10">
        <v>46044.0</v>
      </c>
      <c r="D3663" s="6" t="s">
        <v>677</v>
      </c>
      <c r="E3663" s="6" t="s">
        <v>1070</v>
      </c>
      <c r="F3663" s="6" t="s">
        <v>249</v>
      </c>
      <c r="G3663" s="6" t="s">
        <v>477</v>
      </c>
      <c r="H3663" s="10">
        <v>46049.0</v>
      </c>
      <c r="I3663" s="12">
        <v>3.0</v>
      </c>
      <c r="J3663" s="6" t="s">
        <v>161</v>
      </c>
    </row>
    <row r="3664" ht="22.5" customHeight="1">
      <c r="A3664" s="6" t="s">
        <v>17274</v>
      </c>
      <c r="B3664" s="6" t="s">
        <v>8638</v>
      </c>
      <c r="C3664" s="10">
        <v>46043.0</v>
      </c>
      <c r="D3664" s="6" t="s">
        <v>312</v>
      </c>
      <c r="E3664" s="6" t="s">
        <v>628</v>
      </c>
      <c r="F3664" s="6" t="s">
        <v>249</v>
      </c>
      <c r="G3664" s="6" t="s">
        <v>477</v>
      </c>
      <c r="H3664" s="11" t="s">
        <v>259</v>
      </c>
      <c r="I3664" s="12">
        <v>6.0</v>
      </c>
      <c r="J3664" s="6" t="s">
        <v>161</v>
      </c>
    </row>
    <row r="3665" ht="22.5" customHeight="1">
      <c r="A3665" s="6" t="s">
        <v>17277</v>
      </c>
      <c r="B3665" s="6" t="s">
        <v>8638</v>
      </c>
      <c r="C3665" s="10">
        <v>46048.0</v>
      </c>
      <c r="D3665" s="6" t="s">
        <v>242</v>
      </c>
      <c r="E3665" s="6" t="s">
        <v>896</v>
      </c>
      <c r="F3665" s="6" t="s">
        <v>249</v>
      </c>
      <c r="G3665" s="6" t="s">
        <v>254</v>
      </c>
      <c r="H3665" s="10">
        <v>46052.0</v>
      </c>
      <c r="I3665" s="12">
        <v>6.0</v>
      </c>
      <c r="J3665" s="6" t="s">
        <v>178</v>
      </c>
    </row>
    <row r="3666" ht="22.5" customHeight="1">
      <c r="A3666" s="6" t="s">
        <v>17282</v>
      </c>
      <c r="B3666" s="6" t="s">
        <v>8645</v>
      </c>
      <c r="C3666" s="10">
        <v>46061.0</v>
      </c>
      <c r="D3666" s="6" t="s">
        <v>289</v>
      </c>
      <c r="E3666" s="6" t="s">
        <v>787</v>
      </c>
      <c r="F3666" s="6" t="s">
        <v>112</v>
      </c>
      <c r="G3666" s="6" t="s">
        <v>369</v>
      </c>
      <c r="H3666" s="10">
        <v>46066.0</v>
      </c>
      <c r="I3666" s="12">
        <v>6.0</v>
      </c>
      <c r="J3666" s="6" t="s">
        <v>161</v>
      </c>
    </row>
    <row r="3667" ht="22.5" customHeight="1">
      <c r="A3667" s="6" t="s">
        <v>17287</v>
      </c>
      <c r="B3667" s="6" t="s">
        <v>8645</v>
      </c>
      <c r="C3667" s="10">
        <v>46057.0</v>
      </c>
      <c r="D3667" s="6" t="s">
        <v>677</v>
      </c>
      <c r="E3667" s="6" t="s">
        <v>687</v>
      </c>
      <c r="F3667" s="6" t="s">
        <v>283</v>
      </c>
      <c r="G3667" s="6" t="s">
        <v>477</v>
      </c>
      <c r="H3667" s="11" t="s">
        <v>259</v>
      </c>
      <c r="I3667" s="12">
        <v>2.0</v>
      </c>
      <c r="J3667" s="6" t="s">
        <v>161</v>
      </c>
    </row>
    <row r="3668" ht="22.5" customHeight="1">
      <c r="A3668" s="6" t="s">
        <v>17292</v>
      </c>
      <c r="B3668" s="6" t="s">
        <v>8651</v>
      </c>
      <c r="C3668" s="10">
        <v>46051.0</v>
      </c>
      <c r="D3668" s="6" t="s">
        <v>391</v>
      </c>
      <c r="E3668" s="6" t="s">
        <v>583</v>
      </c>
      <c r="F3668" s="6" t="s">
        <v>283</v>
      </c>
      <c r="G3668" s="6" t="s">
        <v>254</v>
      </c>
      <c r="H3668" s="10">
        <v>46051.0</v>
      </c>
      <c r="I3668" s="12">
        <v>8.0</v>
      </c>
      <c r="J3668" s="6" t="s">
        <v>161</v>
      </c>
    </row>
    <row r="3669" ht="22.5" customHeight="1">
      <c r="A3669" s="6" t="s">
        <v>17296</v>
      </c>
      <c r="B3669" s="6" t="s">
        <v>8657</v>
      </c>
      <c r="C3669" s="10">
        <v>46035.0</v>
      </c>
      <c r="D3669" s="6" t="s">
        <v>312</v>
      </c>
      <c r="E3669" s="6" t="s">
        <v>1122</v>
      </c>
      <c r="F3669" s="6" t="s">
        <v>249</v>
      </c>
      <c r="G3669" s="6" t="s">
        <v>477</v>
      </c>
      <c r="H3669" s="10">
        <v>46035.0</v>
      </c>
      <c r="I3669" s="12">
        <v>5.0</v>
      </c>
      <c r="J3669" s="6" t="s">
        <v>161</v>
      </c>
    </row>
    <row r="3670" ht="22.5" customHeight="1">
      <c r="A3670" s="6" t="s">
        <v>17300</v>
      </c>
      <c r="B3670" s="6" t="s">
        <v>8662</v>
      </c>
      <c r="C3670" s="10">
        <v>46066.0</v>
      </c>
      <c r="D3670" s="6" t="s">
        <v>677</v>
      </c>
      <c r="E3670" s="6" t="s">
        <v>320</v>
      </c>
      <c r="F3670" s="6" t="s">
        <v>112</v>
      </c>
      <c r="G3670" s="6" t="s">
        <v>477</v>
      </c>
      <c r="H3670" s="10">
        <v>46072.0</v>
      </c>
      <c r="I3670" s="12">
        <v>3.0</v>
      </c>
      <c r="J3670" s="6" t="s">
        <v>161</v>
      </c>
    </row>
    <row r="3671" ht="22.5" customHeight="1">
      <c r="A3671" s="6" t="s">
        <v>17306</v>
      </c>
      <c r="B3671" s="6" t="s">
        <v>8662</v>
      </c>
      <c r="C3671" s="10">
        <v>46084.0</v>
      </c>
      <c r="D3671" s="6" t="s">
        <v>312</v>
      </c>
      <c r="E3671" s="6" t="s">
        <v>1546</v>
      </c>
      <c r="F3671" s="6" t="s">
        <v>249</v>
      </c>
      <c r="G3671" s="6" t="s">
        <v>452</v>
      </c>
      <c r="H3671" s="10">
        <v>46084.0</v>
      </c>
      <c r="I3671" s="12">
        <v>4.0</v>
      </c>
      <c r="J3671" s="6" t="s">
        <v>161</v>
      </c>
    </row>
    <row r="3672" ht="22.5" customHeight="1">
      <c r="A3672" s="6" t="s">
        <v>17308</v>
      </c>
      <c r="B3672" s="6" t="s">
        <v>8669</v>
      </c>
      <c r="C3672" s="10">
        <v>46039.0</v>
      </c>
      <c r="D3672" s="6" t="s">
        <v>416</v>
      </c>
      <c r="E3672" s="6" t="s">
        <v>1035</v>
      </c>
      <c r="F3672" s="6" t="s">
        <v>112</v>
      </c>
      <c r="G3672" s="6" t="s">
        <v>297</v>
      </c>
      <c r="H3672" s="10">
        <v>46039.0</v>
      </c>
      <c r="I3672" s="12">
        <v>8.0</v>
      </c>
      <c r="J3672" s="6" t="s">
        <v>161</v>
      </c>
    </row>
    <row r="3673" ht="22.5" customHeight="1">
      <c r="A3673" s="6" t="s">
        <v>17311</v>
      </c>
      <c r="B3673" s="6" t="s">
        <v>8669</v>
      </c>
      <c r="C3673" s="10">
        <v>46045.0</v>
      </c>
      <c r="D3673" s="6" t="s">
        <v>677</v>
      </c>
      <c r="E3673" s="6" t="s">
        <v>618</v>
      </c>
      <c r="F3673" s="6" t="s">
        <v>112</v>
      </c>
      <c r="G3673" s="6" t="s">
        <v>326</v>
      </c>
      <c r="H3673" s="11" t="s">
        <v>259</v>
      </c>
      <c r="I3673" s="12">
        <v>3.0</v>
      </c>
      <c r="J3673" s="6" t="s">
        <v>161</v>
      </c>
    </row>
    <row r="3674" ht="22.5" customHeight="1">
      <c r="A3674" s="6" t="s">
        <v>17314</v>
      </c>
      <c r="B3674" s="6" t="s">
        <v>8669</v>
      </c>
      <c r="C3674" s="10">
        <v>46047.0</v>
      </c>
      <c r="D3674" s="6" t="s">
        <v>416</v>
      </c>
      <c r="E3674" s="6" t="s">
        <v>2365</v>
      </c>
      <c r="F3674" s="6" t="s">
        <v>112</v>
      </c>
      <c r="G3674" s="6" t="s">
        <v>369</v>
      </c>
      <c r="H3674" s="10">
        <v>46054.0</v>
      </c>
      <c r="I3674" s="12">
        <v>10.0</v>
      </c>
      <c r="J3674" s="6" t="s">
        <v>161</v>
      </c>
    </row>
    <row r="3675" ht="22.5" customHeight="1">
      <c r="A3675" s="6" t="s">
        <v>17317</v>
      </c>
      <c r="B3675" s="6" t="s">
        <v>8669</v>
      </c>
      <c r="C3675" s="10">
        <v>46042.0</v>
      </c>
      <c r="D3675" s="6" t="s">
        <v>242</v>
      </c>
      <c r="E3675" s="6" t="s">
        <v>1241</v>
      </c>
      <c r="F3675" s="6" t="s">
        <v>249</v>
      </c>
      <c r="G3675" s="6" t="s">
        <v>452</v>
      </c>
      <c r="H3675" s="10">
        <v>46047.0</v>
      </c>
      <c r="I3675" s="12">
        <v>3.0</v>
      </c>
      <c r="J3675" s="6" t="s">
        <v>178</v>
      </c>
    </row>
    <row r="3676" ht="22.5" customHeight="1">
      <c r="A3676" s="6" t="s">
        <v>17321</v>
      </c>
      <c r="B3676" s="6" t="s">
        <v>8669</v>
      </c>
      <c r="C3676" s="10">
        <v>46042.0</v>
      </c>
      <c r="D3676" s="6" t="s">
        <v>289</v>
      </c>
      <c r="E3676" s="6" t="s">
        <v>1310</v>
      </c>
      <c r="F3676" s="6" t="s">
        <v>112</v>
      </c>
      <c r="G3676" s="6" t="s">
        <v>477</v>
      </c>
      <c r="H3676" s="10">
        <v>46049.0</v>
      </c>
      <c r="I3676" s="12">
        <v>5.0</v>
      </c>
      <c r="J3676" s="6" t="s">
        <v>161</v>
      </c>
    </row>
    <row r="3677" ht="22.5" customHeight="1">
      <c r="A3677" s="6" t="s">
        <v>17325</v>
      </c>
      <c r="B3677" s="6" t="s">
        <v>8675</v>
      </c>
      <c r="C3677" s="10">
        <v>46070.0</v>
      </c>
      <c r="D3677" s="6" t="s">
        <v>391</v>
      </c>
      <c r="E3677" s="6" t="s">
        <v>798</v>
      </c>
      <c r="F3677" s="6" t="s">
        <v>249</v>
      </c>
      <c r="G3677" s="6" t="s">
        <v>326</v>
      </c>
      <c r="H3677" s="11" t="s">
        <v>259</v>
      </c>
      <c r="I3677" s="12">
        <v>9.0</v>
      </c>
      <c r="J3677" s="6" t="s">
        <v>161</v>
      </c>
    </row>
    <row r="3678" ht="22.5" customHeight="1">
      <c r="A3678" s="6" t="s">
        <v>17329</v>
      </c>
      <c r="B3678" s="6" t="s">
        <v>8675</v>
      </c>
      <c r="C3678" s="10">
        <v>46077.0</v>
      </c>
      <c r="D3678" s="6" t="s">
        <v>312</v>
      </c>
      <c r="E3678" s="6" t="s">
        <v>896</v>
      </c>
      <c r="F3678" s="6" t="s">
        <v>439</v>
      </c>
      <c r="G3678" s="6" t="s">
        <v>494</v>
      </c>
      <c r="H3678" s="10">
        <v>46081.0</v>
      </c>
      <c r="I3678" s="12">
        <v>7.0</v>
      </c>
      <c r="J3678" s="6" t="s">
        <v>161</v>
      </c>
    </row>
    <row r="3679" ht="22.5" customHeight="1">
      <c r="A3679" s="6" t="s">
        <v>17334</v>
      </c>
      <c r="B3679" s="6" t="s">
        <v>8682</v>
      </c>
      <c r="C3679" s="10">
        <v>46030.0</v>
      </c>
      <c r="D3679" s="6" t="s">
        <v>416</v>
      </c>
      <c r="E3679" s="6" t="s">
        <v>695</v>
      </c>
      <c r="F3679" s="6" t="s">
        <v>112</v>
      </c>
      <c r="G3679" s="6" t="s">
        <v>369</v>
      </c>
      <c r="H3679" s="10">
        <v>46036.0</v>
      </c>
      <c r="I3679" s="12">
        <v>13.0</v>
      </c>
      <c r="J3679" s="6" t="s">
        <v>161</v>
      </c>
    </row>
    <row r="3680" ht="22.5" customHeight="1">
      <c r="A3680" s="6" t="s">
        <v>17339</v>
      </c>
      <c r="B3680" s="6" t="s">
        <v>8682</v>
      </c>
      <c r="C3680" s="10">
        <v>46042.0</v>
      </c>
      <c r="D3680" s="6" t="s">
        <v>391</v>
      </c>
      <c r="E3680" s="6" t="s">
        <v>1035</v>
      </c>
      <c r="F3680" s="6" t="s">
        <v>439</v>
      </c>
      <c r="G3680" s="6" t="s">
        <v>458</v>
      </c>
      <c r="H3680" s="10">
        <v>46042.0</v>
      </c>
      <c r="I3680" s="12">
        <v>10.0</v>
      </c>
      <c r="J3680" s="6" t="s">
        <v>161</v>
      </c>
    </row>
    <row r="3681" ht="22.5" customHeight="1">
      <c r="A3681" s="6" t="s">
        <v>17345</v>
      </c>
      <c r="B3681" s="6" t="s">
        <v>8682</v>
      </c>
      <c r="C3681" s="10">
        <v>46041.0</v>
      </c>
      <c r="D3681" s="6" t="s">
        <v>242</v>
      </c>
      <c r="E3681" s="6" t="s">
        <v>417</v>
      </c>
      <c r="F3681" s="6" t="s">
        <v>439</v>
      </c>
      <c r="G3681" s="6" t="s">
        <v>254</v>
      </c>
      <c r="H3681" s="10">
        <v>46041.0</v>
      </c>
      <c r="I3681" s="12">
        <v>4.0</v>
      </c>
      <c r="J3681" s="6" t="s">
        <v>161</v>
      </c>
    </row>
    <row r="3682" ht="22.5" customHeight="1">
      <c r="A3682" s="6" t="s">
        <v>17348</v>
      </c>
      <c r="B3682" s="6" t="s">
        <v>8688</v>
      </c>
      <c r="C3682" s="10">
        <v>46049.0</v>
      </c>
      <c r="D3682" s="6" t="s">
        <v>289</v>
      </c>
      <c r="E3682" s="6" t="s">
        <v>1149</v>
      </c>
      <c r="F3682" s="6" t="s">
        <v>439</v>
      </c>
      <c r="G3682" s="6" t="s">
        <v>494</v>
      </c>
      <c r="H3682" s="10">
        <v>46053.0</v>
      </c>
      <c r="I3682" s="12">
        <v>6.0</v>
      </c>
      <c r="J3682" s="6" t="s">
        <v>161</v>
      </c>
    </row>
    <row r="3683" ht="22.5" customHeight="1">
      <c r="A3683" s="6" t="s">
        <v>17352</v>
      </c>
      <c r="B3683" s="6" t="s">
        <v>8694</v>
      </c>
      <c r="C3683" s="10">
        <v>46043.0</v>
      </c>
      <c r="D3683" s="6" t="s">
        <v>289</v>
      </c>
      <c r="E3683" s="6" t="s">
        <v>1517</v>
      </c>
      <c r="F3683" s="6" t="s">
        <v>439</v>
      </c>
      <c r="G3683" s="6" t="s">
        <v>458</v>
      </c>
      <c r="H3683" s="10">
        <v>46045.0</v>
      </c>
      <c r="I3683" s="12">
        <v>6.0</v>
      </c>
      <c r="J3683" s="6" t="s">
        <v>161</v>
      </c>
    </row>
    <row r="3684" ht="22.5" customHeight="1">
      <c r="A3684" s="6" t="s">
        <v>17358</v>
      </c>
      <c r="B3684" s="6" t="s">
        <v>8694</v>
      </c>
      <c r="C3684" s="10">
        <v>46045.0</v>
      </c>
      <c r="D3684" s="6" t="s">
        <v>312</v>
      </c>
      <c r="E3684" s="6" t="s">
        <v>863</v>
      </c>
      <c r="F3684" s="6" t="s">
        <v>249</v>
      </c>
      <c r="G3684" s="6" t="s">
        <v>297</v>
      </c>
      <c r="H3684" s="10">
        <v>46045.0</v>
      </c>
      <c r="I3684" s="12">
        <v>5.0</v>
      </c>
      <c r="J3684" s="6" t="s">
        <v>161</v>
      </c>
    </row>
    <row r="3685" ht="22.5" customHeight="1">
      <c r="A3685" s="6" t="s">
        <v>17361</v>
      </c>
      <c r="B3685" s="6" t="s">
        <v>8694</v>
      </c>
      <c r="C3685" s="10">
        <v>46047.0</v>
      </c>
      <c r="D3685" s="6" t="s">
        <v>677</v>
      </c>
      <c r="E3685" s="6" t="s">
        <v>1626</v>
      </c>
      <c r="F3685" s="6" t="s">
        <v>112</v>
      </c>
      <c r="G3685" s="6" t="s">
        <v>458</v>
      </c>
      <c r="H3685" s="10">
        <v>46052.0</v>
      </c>
      <c r="I3685" s="12">
        <v>2.0</v>
      </c>
      <c r="J3685" s="6" t="s">
        <v>161</v>
      </c>
    </row>
    <row r="3686" ht="22.5" customHeight="1">
      <c r="A3686" s="6" t="s">
        <v>17365</v>
      </c>
      <c r="B3686" s="6" t="s">
        <v>8694</v>
      </c>
      <c r="C3686" s="10">
        <v>46043.0</v>
      </c>
      <c r="D3686" s="6" t="s">
        <v>312</v>
      </c>
      <c r="E3686" s="6" t="s">
        <v>634</v>
      </c>
      <c r="F3686" s="6" t="s">
        <v>283</v>
      </c>
      <c r="G3686" s="6" t="s">
        <v>254</v>
      </c>
      <c r="H3686" s="10">
        <v>46049.0</v>
      </c>
      <c r="I3686" s="12">
        <v>4.0</v>
      </c>
      <c r="J3686" s="6" t="s">
        <v>161</v>
      </c>
    </row>
    <row r="3687" ht="22.5" customHeight="1">
      <c r="A3687" s="6" t="s">
        <v>17368</v>
      </c>
      <c r="B3687" s="6" t="s">
        <v>8700</v>
      </c>
      <c r="C3687" s="10">
        <v>46044.0</v>
      </c>
      <c r="D3687" s="6" t="s">
        <v>436</v>
      </c>
      <c r="E3687" s="6" t="s">
        <v>365</v>
      </c>
      <c r="F3687" s="6" t="s">
        <v>439</v>
      </c>
      <c r="G3687" s="6" t="s">
        <v>477</v>
      </c>
      <c r="H3687" s="10">
        <v>46048.0</v>
      </c>
      <c r="I3687" s="12">
        <v>12.0</v>
      </c>
      <c r="J3687" s="6" t="s">
        <v>178</v>
      </c>
    </row>
    <row r="3688" ht="22.5" customHeight="1">
      <c r="A3688" s="6" t="s">
        <v>17372</v>
      </c>
      <c r="B3688" s="6" t="s">
        <v>8706</v>
      </c>
      <c r="C3688" s="10">
        <v>46056.0</v>
      </c>
      <c r="D3688" s="6" t="s">
        <v>242</v>
      </c>
      <c r="E3688" s="6" t="s">
        <v>417</v>
      </c>
      <c r="F3688" s="6" t="s">
        <v>283</v>
      </c>
      <c r="G3688" s="6" t="s">
        <v>369</v>
      </c>
      <c r="H3688" s="10">
        <v>46056.0</v>
      </c>
      <c r="I3688" s="12">
        <v>5.0</v>
      </c>
      <c r="J3688" s="6" t="s">
        <v>178</v>
      </c>
    </row>
    <row r="3689" ht="22.5" customHeight="1">
      <c r="A3689" s="6" t="s">
        <v>17378</v>
      </c>
      <c r="B3689" s="6" t="s">
        <v>8706</v>
      </c>
      <c r="C3689" s="10">
        <v>46050.0</v>
      </c>
      <c r="D3689" s="6" t="s">
        <v>416</v>
      </c>
      <c r="E3689" s="6" t="s">
        <v>365</v>
      </c>
      <c r="F3689" s="6" t="s">
        <v>249</v>
      </c>
      <c r="G3689" s="6" t="s">
        <v>494</v>
      </c>
      <c r="H3689" s="10">
        <v>46056.0</v>
      </c>
      <c r="I3689" s="12">
        <v>9.0</v>
      </c>
      <c r="J3689" s="6" t="s">
        <v>161</v>
      </c>
    </row>
    <row r="3690" ht="22.5" customHeight="1">
      <c r="A3690" s="6" t="s">
        <v>17384</v>
      </c>
      <c r="B3690" s="6" t="s">
        <v>8706</v>
      </c>
      <c r="C3690" s="10">
        <v>46052.0</v>
      </c>
      <c r="D3690" s="6" t="s">
        <v>289</v>
      </c>
      <c r="E3690" s="6" t="s">
        <v>896</v>
      </c>
      <c r="F3690" s="6" t="s">
        <v>112</v>
      </c>
      <c r="G3690" s="6" t="s">
        <v>297</v>
      </c>
      <c r="H3690" s="10">
        <v>46052.0</v>
      </c>
      <c r="I3690" s="12">
        <v>8.0</v>
      </c>
      <c r="J3690" s="6" t="s">
        <v>161</v>
      </c>
    </row>
    <row r="3691" ht="22.5" customHeight="1">
      <c r="A3691" s="6" t="s">
        <v>17390</v>
      </c>
      <c r="B3691" s="6" t="s">
        <v>8712</v>
      </c>
      <c r="C3691" s="10">
        <v>46071.0</v>
      </c>
      <c r="D3691" s="6" t="s">
        <v>677</v>
      </c>
      <c r="E3691" s="6" t="s">
        <v>787</v>
      </c>
      <c r="F3691" s="6" t="s">
        <v>283</v>
      </c>
      <c r="G3691" s="6" t="s">
        <v>254</v>
      </c>
      <c r="H3691" s="10">
        <v>46073.0</v>
      </c>
      <c r="I3691" s="12">
        <v>2.0</v>
      </c>
      <c r="J3691" s="6" t="s">
        <v>161</v>
      </c>
    </row>
    <row r="3692" ht="22.5" customHeight="1">
      <c r="A3692" s="6" t="s">
        <v>17397</v>
      </c>
      <c r="B3692" s="6" t="s">
        <v>8712</v>
      </c>
      <c r="C3692" s="10">
        <v>46072.0</v>
      </c>
      <c r="D3692" s="6" t="s">
        <v>677</v>
      </c>
      <c r="E3692" s="6" t="s">
        <v>610</v>
      </c>
      <c r="F3692" s="6" t="s">
        <v>249</v>
      </c>
      <c r="G3692" s="6" t="s">
        <v>254</v>
      </c>
      <c r="H3692" s="10">
        <v>46072.0</v>
      </c>
      <c r="I3692" s="12">
        <v>3.0</v>
      </c>
      <c r="J3692" s="6" t="s">
        <v>161</v>
      </c>
    </row>
    <row r="3693" ht="22.5" customHeight="1">
      <c r="A3693" s="6" t="s">
        <v>17402</v>
      </c>
      <c r="B3693" s="6" t="s">
        <v>8712</v>
      </c>
      <c r="C3693" s="10">
        <v>46076.0</v>
      </c>
      <c r="D3693" s="6" t="s">
        <v>242</v>
      </c>
      <c r="E3693" s="6" t="s">
        <v>618</v>
      </c>
      <c r="F3693" s="6" t="s">
        <v>112</v>
      </c>
      <c r="G3693" s="6" t="s">
        <v>494</v>
      </c>
      <c r="H3693" s="10">
        <v>46082.0</v>
      </c>
      <c r="I3693" s="12">
        <v>5.0</v>
      </c>
      <c r="J3693" s="6" t="s">
        <v>178</v>
      </c>
    </row>
    <row r="3694" ht="22.5" customHeight="1">
      <c r="A3694" s="6" t="s">
        <v>17409</v>
      </c>
      <c r="B3694" s="6" t="s">
        <v>8717</v>
      </c>
      <c r="C3694" s="10">
        <v>46052.0</v>
      </c>
      <c r="D3694" s="6" t="s">
        <v>391</v>
      </c>
      <c r="E3694" s="6" t="s">
        <v>610</v>
      </c>
      <c r="F3694" s="6" t="s">
        <v>112</v>
      </c>
      <c r="G3694" s="6" t="s">
        <v>494</v>
      </c>
      <c r="H3694" s="11" t="s">
        <v>259</v>
      </c>
      <c r="I3694" s="12">
        <v>8.0</v>
      </c>
      <c r="J3694" s="6" t="s">
        <v>161</v>
      </c>
    </row>
    <row r="3695" ht="22.5" customHeight="1">
      <c r="A3695" s="6" t="s">
        <v>17416</v>
      </c>
      <c r="B3695" s="6" t="s">
        <v>8723</v>
      </c>
      <c r="C3695" s="10">
        <v>46041.0</v>
      </c>
      <c r="D3695" s="6" t="s">
        <v>289</v>
      </c>
      <c r="E3695" s="6" t="s">
        <v>738</v>
      </c>
      <c r="F3695" s="6" t="s">
        <v>249</v>
      </c>
      <c r="G3695" s="6" t="s">
        <v>326</v>
      </c>
      <c r="H3695" s="10">
        <v>46046.0</v>
      </c>
      <c r="I3695" s="12">
        <v>10.0</v>
      </c>
      <c r="J3695" s="6" t="s">
        <v>161</v>
      </c>
    </row>
    <row r="3696" ht="22.5" customHeight="1">
      <c r="A3696" s="6" t="s">
        <v>17422</v>
      </c>
      <c r="B3696" s="6" t="s">
        <v>8723</v>
      </c>
      <c r="C3696" s="10">
        <v>46038.0</v>
      </c>
      <c r="D3696" s="6" t="s">
        <v>391</v>
      </c>
      <c r="E3696" s="6" t="s">
        <v>775</v>
      </c>
      <c r="F3696" s="6" t="s">
        <v>249</v>
      </c>
      <c r="G3696" s="6" t="s">
        <v>458</v>
      </c>
      <c r="H3696" s="10">
        <v>46044.0</v>
      </c>
      <c r="I3696" s="12">
        <v>7.0</v>
      </c>
      <c r="J3696" s="6" t="s">
        <v>161</v>
      </c>
    </row>
    <row r="3697" ht="22.5" customHeight="1">
      <c r="A3697" s="6" t="s">
        <v>17426</v>
      </c>
      <c r="B3697" s="6" t="s">
        <v>8729</v>
      </c>
      <c r="C3697" s="10">
        <v>46062.0</v>
      </c>
      <c r="D3697" s="6" t="s">
        <v>242</v>
      </c>
      <c r="E3697" s="6" t="s">
        <v>863</v>
      </c>
      <c r="F3697" s="6" t="s">
        <v>249</v>
      </c>
      <c r="G3697" s="6" t="s">
        <v>452</v>
      </c>
      <c r="H3697" s="10">
        <v>46067.0</v>
      </c>
      <c r="I3697" s="12">
        <v>6.0</v>
      </c>
      <c r="J3697" s="6" t="s">
        <v>161</v>
      </c>
    </row>
    <row r="3698" ht="22.5" customHeight="1">
      <c r="A3698" s="6" t="s">
        <v>17430</v>
      </c>
      <c r="B3698" s="6" t="s">
        <v>8729</v>
      </c>
      <c r="C3698" s="10">
        <v>46050.0</v>
      </c>
      <c r="D3698" s="6" t="s">
        <v>312</v>
      </c>
      <c r="E3698" s="6" t="s">
        <v>291</v>
      </c>
      <c r="F3698" s="6" t="s">
        <v>112</v>
      </c>
      <c r="G3698" s="6" t="s">
        <v>297</v>
      </c>
      <c r="H3698" s="10">
        <v>46052.0</v>
      </c>
      <c r="I3698" s="12">
        <v>7.0</v>
      </c>
      <c r="J3698" s="6" t="s">
        <v>161</v>
      </c>
    </row>
    <row r="3699" ht="22.5" customHeight="1">
      <c r="A3699" s="6" t="s">
        <v>17434</v>
      </c>
      <c r="B3699" s="6" t="s">
        <v>8729</v>
      </c>
      <c r="C3699" s="10">
        <v>46065.0</v>
      </c>
      <c r="D3699" s="6" t="s">
        <v>677</v>
      </c>
      <c r="E3699" s="6" t="s">
        <v>1035</v>
      </c>
      <c r="F3699" s="6" t="s">
        <v>112</v>
      </c>
      <c r="G3699" s="6" t="s">
        <v>326</v>
      </c>
      <c r="H3699" s="10">
        <v>46065.0</v>
      </c>
      <c r="I3699" s="12">
        <v>3.0</v>
      </c>
      <c r="J3699" s="6" t="s">
        <v>161</v>
      </c>
    </row>
    <row r="3700" ht="22.5" customHeight="1">
      <c r="A3700" s="6" t="s">
        <v>17438</v>
      </c>
      <c r="B3700" s="6" t="s">
        <v>8735</v>
      </c>
      <c r="C3700" s="10">
        <v>46072.0</v>
      </c>
      <c r="D3700" s="6" t="s">
        <v>436</v>
      </c>
      <c r="E3700" s="6" t="s">
        <v>704</v>
      </c>
      <c r="F3700" s="6" t="s">
        <v>249</v>
      </c>
      <c r="G3700" s="6" t="s">
        <v>326</v>
      </c>
      <c r="H3700" s="11" t="s">
        <v>259</v>
      </c>
      <c r="I3700" s="12">
        <v>6.0</v>
      </c>
      <c r="J3700" s="6" t="s">
        <v>178</v>
      </c>
    </row>
    <row r="3701" ht="22.5" customHeight="1">
      <c r="A3701" s="6" t="s">
        <v>17443</v>
      </c>
      <c r="B3701" s="6" t="s">
        <v>8735</v>
      </c>
      <c r="C3701" s="10">
        <v>46073.0</v>
      </c>
      <c r="D3701" s="6" t="s">
        <v>436</v>
      </c>
      <c r="E3701" s="6" t="s">
        <v>658</v>
      </c>
      <c r="F3701" s="6" t="s">
        <v>249</v>
      </c>
      <c r="G3701" s="6" t="s">
        <v>369</v>
      </c>
      <c r="H3701" s="10">
        <v>46076.0</v>
      </c>
      <c r="I3701" s="12">
        <v>7.0</v>
      </c>
      <c r="J3701" s="6" t="s">
        <v>178</v>
      </c>
    </row>
    <row r="3702" ht="22.5" customHeight="1">
      <c r="A3702" s="6" t="s">
        <v>17446</v>
      </c>
      <c r="B3702" s="6" t="s">
        <v>8735</v>
      </c>
      <c r="C3702" s="10">
        <v>46059.0</v>
      </c>
      <c r="D3702" s="6" t="s">
        <v>312</v>
      </c>
      <c r="E3702" s="6" t="s">
        <v>896</v>
      </c>
      <c r="F3702" s="6" t="s">
        <v>439</v>
      </c>
      <c r="G3702" s="6" t="s">
        <v>297</v>
      </c>
      <c r="H3702" s="10">
        <v>46059.0</v>
      </c>
      <c r="I3702" s="12">
        <v>7.0</v>
      </c>
      <c r="J3702" s="6" t="s">
        <v>161</v>
      </c>
    </row>
    <row r="3703" ht="22.5" customHeight="1">
      <c r="A3703" s="6" t="s">
        <v>17451</v>
      </c>
      <c r="B3703" s="6" t="s">
        <v>8741</v>
      </c>
      <c r="C3703" s="10">
        <v>46059.0</v>
      </c>
      <c r="D3703" s="6" t="s">
        <v>416</v>
      </c>
      <c r="E3703" s="6" t="s">
        <v>704</v>
      </c>
      <c r="F3703" s="6" t="s">
        <v>112</v>
      </c>
      <c r="G3703" s="6" t="s">
        <v>254</v>
      </c>
      <c r="H3703" s="10">
        <v>46062.0</v>
      </c>
      <c r="I3703" s="12">
        <v>13.0</v>
      </c>
      <c r="J3703" s="6" t="s">
        <v>161</v>
      </c>
    </row>
    <row r="3704" ht="22.5" customHeight="1">
      <c r="A3704" s="6" t="s">
        <v>17454</v>
      </c>
      <c r="B3704" s="6" t="s">
        <v>8741</v>
      </c>
      <c r="C3704" s="10">
        <v>46059.0</v>
      </c>
      <c r="D3704" s="6" t="s">
        <v>677</v>
      </c>
      <c r="E3704" s="6" t="s">
        <v>1969</v>
      </c>
      <c r="F3704" s="6" t="s">
        <v>439</v>
      </c>
      <c r="G3704" s="6" t="s">
        <v>452</v>
      </c>
      <c r="H3704" s="10">
        <v>46061.0</v>
      </c>
      <c r="I3704" s="12">
        <v>3.0</v>
      </c>
      <c r="J3704" s="6" t="s">
        <v>161</v>
      </c>
    </row>
    <row r="3705" ht="22.5" customHeight="1">
      <c r="A3705" s="6" t="s">
        <v>17459</v>
      </c>
      <c r="B3705" s="6" t="s">
        <v>8741</v>
      </c>
      <c r="C3705" s="10">
        <v>46047.0</v>
      </c>
      <c r="D3705" s="6" t="s">
        <v>289</v>
      </c>
      <c r="E3705" s="6" t="s">
        <v>466</v>
      </c>
      <c r="F3705" s="6" t="s">
        <v>283</v>
      </c>
      <c r="G3705" s="6" t="s">
        <v>494</v>
      </c>
      <c r="H3705" s="10">
        <v>46051.0</v>
      </c>
      <c r="I3705" s="12">
        <v>10.0</v>
      </c>
      <c r="J3705" s="6" t="s">
        <v>161</v>
      </c>
    </row>
    <row r="3706" ht="22.5" customHeight="1">
      <c r="A3706" s="6" t="s">
        <v>17464</v>
      </c>
      <c r="B3706" s="6" t="s">
        <v>8741</v>
      </c>
      <c r="C3706" s="10">
        <v>46044.0</v>
      </c>
      <c r="D3706" s="6" t="s">
        <v>242</v>
      </c>
      <c r="E3706" s="6" t="s">
        <v>716</v>
      </c>
      <c r="F3706" s="6" t="s">
        <v>112</v>
      </c>
      <c r="G3706" s="6" t="s">
        <v>477</v>
      </c>
      <c r="H3706" s="11" t="s">
        <v>259</v>
      </c>
      <c r="I3706" s="12">
        <v>5.0</v>
      </c>
      <c r="J3706" s="6" t="s">
        <v>178</v>
      </c>
    </row>
    <row r="3707" ht="22.5" customHeight="1">
      <c r="A3707" s="6" t="s">
        <v>17467</v>
      </c>
      <c r="B3707" s="6" t="s">
        <v>8741</v>
      </c>
      <c r="C3707" s="10">
        <v>46054.0</v>
      </c>
      <c r="D3707" s="6" t="s">
        <v>312</v>
      </c>
      <c r="E3707" s="6" t="s">
        <v>716</v>
      </c>
      <c r="F3707" s="6" t="s">
        <v>112</v>
      </c>
      <c r="G3707" s="6" t="s">
        <v>254</v>
      </c>
      <c r="H3707" s="10">
        <v>46057.0</v>
      </c>
      <c r="I3707" s="12">
        <v>7.0</v>
      </c>
      <c r="J3707" s="6" t="s">
        <v>161</v>
      </c>
    </row>
    <row r="3708" ht="22.5" customHeight="1">
      <c r="A3708" s="6" t="s">
        <v>17471</v>
      </c>
      <c r="B3708" s="6" t="s">
        <v>8747</v>
      </c>
      <c r="C3708" s="10">
        <v>46071.0</v>
      </c>
      <c r="D3708" s="6" t="s">
        <v>677</v>
      </c>
      <c r="E3708" s="6" t="s">
        <v>1552</v>
      </c>
      <c r="F3708" s="6" t="s">
        <v>439</v>
      </c>
      <c r="G3708" s="6" t="s">
        <v>494</v>
      </c>
      <c r="H3708" s="10">
        <v>46076.0</v>
      </c>
      <c r="I3708" s="12">
        <v>4.0</v>
      </c>
      <c r="J3708" s="6" t="s">
        <v>161</v>
      </c>
    </row>
    <row r="3709" ht="22.5" customHeight="1">
      <c r="A3709" s="6" t="s">
        <v>17474</v>
      </c>
      <c r="B3709" s="6" t="s">
        <v>8753</v>
      </c>
      <c r="C3709" s="10">
        <v>46031.0</v>
      </c>
      <c r="D3709" s="6" t="s">
        <v>391</v>
      </c>
      <c r="E3709" s="6" t="s">
        <v>1552</v>
      </c>
      <c r="F3709" s="6" t="s">
        <v>283</v>
      </c>
      <c r="G3709" s="6" t="s">
        <v>254</v>
      </c>
      <c r="H3709" s="10">
        <v>46033.0</v>
      </c>
      <c r="I3709" s="12">
        <v>9.0</v>
      </c>
      <c r="J3709" s="6" t="s">
        <v>161</v>
      </c>
    </row>
    <row r="3710" ht="22.5" customHeight="1">
      <c r="A3710" s="6" t="s">
        <v>17479</v>
      </c>
      <c r="B3710" s="6" t="s">
        <v>8753</v>
      </c>
      <c r="C3710" s="10">
        <v>46042.0</v>
      </c>
      <c r="D3710" s="6" t="s">
        <v>312</v>
      </c>
      <c r="E3710" s="6" t="s">
        <v>583</v>
      </c>
      <c r="F3710" s="6" t="s">
        <v>283</v>
      </c>
      <c r="G3710" s="6" t="s">
        <v>452</v>
      </c>
      <c r="H3710" s="10">
        <v>46049.0</v>
      </c>
      <c r="I3710" s="12">
        <v>7.0</v>
      </c>
      <c r="J3710" s="6" t="s">
        <v>161</v>
      </c>
    </row>
    <row r="3711" ht="22.5" customHeight="1">
      <c r="A3711" s="6" t="s">
        <v>17484</v>
      </c>
      <c r="B3711" s="6" t="s">
        <v>8760</v>
      </c>
      <c r="C3711" s="10">
        <v>46083.0</v>
      </c>
      <c r="D3711" s="6" t="s">
        <v>391</v>
      </c>
      <c r="E3711" s="6" t="s">
        <v>738</v>
      </c>
      <c r="F3711" s="6" t="s">
        <v>249</v>
      </c>
      <c r="G3711" s="6" t="s">
        <v>494</v>
      </c>
      <c r="H3711" s="10">
        <v>46084.0</v>
      </c>
      <c r="I3711" s="12">
        <v>11.0</v>
      </c>
      <c r="J3711" s="6" t="s">
        <v>161</v>
      </c>
    </row>
    <row r="3712" ht="22.5" customHeight="1">
      <c r="A3712" s="6" t="s">
        <v>17490</v>
      </c>
      <c r="B3712" s="6" t="s">
        <v>8760</v>
      </c>
      <c r="C3712" s="10">
        <v>46079.0</v>
      </c>
      <c r="D3712" s="6" t="s">
        <v>677</v>
      </c>
      <c r="E3712" s="6" t="s">
        <v>695</v>
      </c>
      <c r="F3712" s="6" t="s">
        <v>283</v>
      </c>
      <c r="G3712" s="6" t="s">
        <v>297</v>
      </c>
      <c r="H3712" s="10">
        <v>46086.0</v>
      </c>
      <c r="I3712" s="12">
        <v>4.0</v>
      </c>
      <c r="J3712" s="6" t="s">
        <v>161</v>
      </c>
    </row>
    <row r="3713" ht="22.5" customHeight="1">
      <c r="A3713" s="6" t="s">
        <v>17493</v>
      </c>
      <c r="B3713" s="6" t="s">
        <v>8760</v>
      </c>
      <c r="C3713" s="10">
        <v>46067.0</v>
      </c>
      <c r="D3713" s="6" t="s">
        <v>677</v>
      </c>
      <c r="E3713" s="6" t="s">
        <v>812</v>
      </c>
      <c r="F3713" s="6" t="s">
        <v>249</v>
      </c>
      <c r="G3713" s="6" t="s">
        <v>369</v>
      </c>
      <c r="H3713" s="10">
        <v>46073.0</v>
      </c>
      <c r="I3713" s="12">
        <v>3.0</v>
      </c>
      <c r="J3713" s="6" t="s">
        <v>161</v>
      </c>
    </row>
    <row r="3714" ht="22.5" customHeight="1">
      <c r="A3714" s="6" t="s">
        <v>17497</v>
      </c>
      <c r="B3714" s="6" t="s">
        <v>8766</v>
      </c>
      <c r="C3714" s="10">
        <v>46069.0</v>
      </c>
      <c r="D3714" s="6" t="s">
        <v>416</v>
      </c>
      <c r="E3714" s="6" t="s">
        <v>1969</v>
      </c>
      <c r="F3714" s="6" t="s">
        <v>112</v>
      </c>
      <c r="G3714" s="6" t="s">
        <v>494</v>
      </c>
      <c r="H3714" s="10">
        <v>46074.0</v>
      </c>
      <c r="I3714" s="12">
        <v>9.0</v>
      </c>
      <c r="J3714" s="6" t="s">
        <v>161</v>
      </c>
    </row>
    <row r="3715" ht="22.5" customHeight="1">
      <c r="A3715" s="6" t="s">
        <v>17501</v>
      </c>
      <c r="B3715" s="6" t="s">
        <v>8766</v>
      </c>
      <c r="C3715" s="10">
        <v>46069.0</v>
      </c>
      <c r="D3715" s="6" t="s">
        <v>242</v>
      </c>
      <c r="E3715" s="6" t="s">
        <v>1241</v>
      </c>
      <c r="F3715" s="6" t="s">
        <v>249</v>
      </c>
      <c r="G3715" s="6" t="s">
        <v>452</v>
      </c>
      <c r="H3715" s="10">
        <v>46073.0</v>
      </c>
      <c r="I3715" s="12">
        <v>4.0</v>
      </c>
      <c r="J3715" s="6" t="s">
        <v>178</v>
      </c>
    </row>
    <row r="3716" ht="22.5" customHeight="1">
      <c r="A3716" s="6" t="s">
        <v>17505</v>
      </c>
      <c r="B3716" s="6" t="s">
        <v>8766</v>
      </c>
      <c r="C3716" s="10">
        <v>46079.0</v>
      </c>
      <c r="D3716" s="6" t="s">
        <v>242</v>
      </c>
      <c r="E3716" s="6" t="s">
        <v>1552</v>
      </c>
      <c r="F3716" s="6" t="s">
        <v>283</v>
      </c>
      <c r="G3716" s="6" t="s">
        <v>297</v>
      </c>
      <c r="H3716" s="10">
        <v>46084.0</v>
      </c>
      <c r="I3716" s="12">
        <v>5.0</v>
      </c>
      <c r="J3716" s="6" t="s">
        <v>178</v>
      </c>
    </row>
    <row r="3717" ht="22.5" customHeight="1">
      <c r="A3717" s="6" t="s">
        <v>17509</v>
      </c>
      <c r="B3717" s="6" t="s">
        <v>8766</v>
      </c>
      <c r="C3717" s="10">
        <v>46068.0</v>
      </c>
      <c r="D3717" s="6" t="s">
        <v>289</v>
      </c>
      <c r="E3717" s="6" t="s">
        <v>716</v>
      </c>
      <c r="F3717" s="6" t="s">
        <v>439</v>
      </c>
      <c r="G3717" s="6" t="s">
        <v>297</v>
      </c>
      <c r="H3717" s="10">
        <v>46069.0</v>
      </c>
      <c r="I3717" s="12">
        <v>8.0</v>
      </c>
      <c r="J3717" s="6" t="s">
        <v>161</v>
      </c>
    </row>
    <row r="3718" ht="22.5" customHeight="1">
      <c r="A3718" s="6" t="s">
        <v>17515</v>
      </c>
      <c r="B3718" s="6" t="s">
        <v>8766</v>
      </c>
      <c r="C3718" s="10">
        <v>46074.0</v>
      </c>
      <c r="D3718" s="6" t="s">
        <v>391</v>
      </c>
      <c r="E3718" s="6" t="s">
        <v>1552</v>
      </c>
      <c r="F3718" s="6" t="s">
        <v>112</v>
      </c>
      <c r="G3718" s="6" t="s">
        <v>254</v>
      </c>
      <c r="H3718" s="10">
        <v>46074.0</v>
      </c>
      <c r="I3718" s="12">
        <v>10.0</v>
      </c>
      <c r="J3718" s="6" t="s">
        <v>161</v>
      </c>
    </row>
    <row r="3719" ht="22.5" customHeight="1">
      <c r="A3719" s="6" t="s">
        <v>17523</v>
      </c>
      <c r="B3719" s="6" t="s">
        <v>8772</v>
      </c>
      <c r="C3719" s="10">
        <v>46044.0</v>
      </c>
      <c r="D3719" s="6" t="s">
        <v>436</v>
      </c>
      <c r="E3719" s="6" t="s">
        <v>417</v>
      </c>
      <c r="F3719" s="6" t="s">
        <v>249</v>
      </c>
      <c r="G3719" s="6" t="s">
        <v>297</v>
      </c>
      <c r="H3719" s="10">
        <v>46044.0</v>
      </c>
      <c r="I3719" s="12">
        <v>10.0</v>
      </c>
      <c r="J3719" s="6" t="s">
        <v>161</v>
      </c>
    </row>
    <row r="3720" ht="22.5" customHeight="1">
      <c r="A3720" s="6" t="s">
        <v>17530</v>
      </c>
      <c r="B3720" s="6" t="s">
        <v>8772</v>
      </c>
      <c r="C3720" s="10">
        <v>46025.0</v>
      </c>
      <c r="D3720" s="6" t="s">
        <v>312</v>
      </c>
      <c r="E3720" s="6" t="s">
        <v>291</v>
      </c>
      <c r="F3720" s="6" t="s">
        <v>283</v>
      </c>
      <c r="G3720" s="6" t="s">
        <v>297</v>
      </c>
      <c r="H3720" s="10">
        <v>46032.0</v>
      </c>
      <c r="I3720" s="12">
        <v>7.0</v>
      </c>
      <c r="J3720" s="6" t="s">
        <v>161</v>
      </c>
    </row>
    <row r="3721" ht="22.5" customHeight="1">
      <c r="A3721" s="6" t="s">
        <v>17536</v>
      </c>
      <c r="B3721" s="6" t="s">
        <v>8772</v>
      </c>
      <c r="C3721" s="10">
        <v>46028.0</v>
      </c>
      <c r="D3721" s="6" t="s">
        <v>436</v>
      </c>
      <c r="E3721" s="6" t="s">
        <v>1741</v>
      </c>
      <c r="F3721" s="6" t="s">
        <v>249</v>
      </c>
      <c r="G3721" s="6" t="s">
        <v>458</v>
      </c>
      <c r="H3721" s="10">
        <v>46032.0</v>
      </c>
      <c r="I3721" s="12">
        <v>7.0</v>
      </c>
      <c r="J3721" s="6" t="s">
        <v>161</v>
      </c>
    </row>
    <row r="3722" ht="22.5" customHeight="1">
      <c r="A3722" s="6" t="s">
        <v>17544</v>
      </c>
      <c r="B3722" s="6" t="s">
        <v>8772</v>
      </c>
      <c r="C3722" s="10">
        <v>46040.0</v>
      </c>
      <c r="D3722" s="6" t="s">
        <v>416</v>
      </c>
      <c r="E3722" s="6" t="s">
        <v>438</v>
      </c>
      <c r="F3722" s="6" t="s">
        <v>283</v>
      </c>
      <c r="G3722" s="6" t="s">
        <v>254</v>
      </c>
      <c r="H3722" s="10">
        <v>46047.0</v>
      </c>
      <c r="I3722" s="12">
        <v>13.0</v>
      </c>
      <c r="J3722" s="6" t="s">
        <v>161</v>
      </c>
    </row>
    <row r="3723" ht="22.5" customHeight="1">
      <c r="A3723" s="6" t="s">
        <v>17550</v>
      </c>
      <c r="B3723" s="6" t="s">
        <v>8772</v>
      </c>
      <c r="C3723" s="10">
        <v>46031.0</v>
      </c>
      <c r="D3723" s="6" t="s">
        <v>416</v>
      </c>
      <c r="E3723" s="6" t="s">
        <v>658</v>
      </c>
      <c r="F3723" s="6" t="s">
        <v>439</v>
      </c>
      <c r="G3723" s="6" t="s">
        <v>494</v>
      </c>
      <c r="H3723" s="10">
        <v>46038.0</v>
      </c>
      <c r="I3723" s="12">
        <v>11.0</v>
      </c>
      <c r="J3723" s="6" t="s">
        <v>161</v>
      </c>
    </row>
    <row r="3724" ht="22.5" customHeight="1">
      <c r="A3724" s="6" t="s">
        <v>17553</v>
      </c>
      <c r="B3724" s="6" t="s">
        <v>8777</v>
      </c>
      <c r="C3724" s="10">
        <v>46044.0</v>
      </c>
      <c r="D3724" s="6" t="s">
        <v>242</v>
      </c>
      <c r="E3724" s="6" t="s">
        <v>618</v>
      </c>
      <c r="F3724" s="6" t="s">
        <v>439</v>
      </c>
      <c r="G3724" s="6" t="s">
        <v>297</v>
      </c>
      <c r="H3724" s="10">
        <v>46045.0</v>
      </c>
      <c r="I3724" s="12">
        <v>6.0</v>
      </c>
      <c r="J3724" s="6" t="s">
        <v>178</v>
      </c>
    </row>
    <row r="3725" ht="22.5" customHeight="1">
      <c r="A3725" s="6" t="s">
        <v>17558</v>
      </c>
      <c r="B3725" s="6" t="s">
        <v>8777</v>
      </c>
      <c r="C3725" s="10">
        <v>46046.0</v>
      </c>
      <c r="D3725" s="6" t="s">
        <v>436</v>
      </c>
      <c r="E3725" s="6" t="s">
        <v>1273</v>
      </c>
      <c r="F3725" s="6" t="s">
        <v>439</v>
      </c>
      <c r="G3725" s="6" t="s">
        <v>326</v>
      </c>
      <c r="H3725" s="11" t="s">
        <v>259</v>
      </c>
      <c r="I3725" s="12">
        <v>7.0</v>
      </c>
      <c r="J3725" s="6" t="s">
        <v>161</v>
      </c>
    </row>
    <row r="3726" ht="22.5" customHeight="1">
      <c r="A3726" s="6" t="s">
        <v>17563</v>
      </c>
      <c r="B3726" s="6" t="s">
        <v>8777</v>
      </c>
      <c r="C3726" s="10">
        <v>46049.0</v>
      </c>
      <c r="D3726" s="6" t="s">
        <v>436</v>
      </c>
      <c r="E3726" s="6" t="s">
        <v>775</v>
      </c>
      <c r="F3726" s="6" t="s">
        <v>249</v>
      </c>
      <c r="G3726" s="6" t="s">
        <v>477</v>
      </c>
      <c r="H3726" s="10">
        <v>46052.0</v>
      </c>
      <c r="I3726" s="12">
        <v>8.0</v>
      </c>
      <c r="J3726" s="6" t="s">
        <v>178</v>
      </c>
    </row>
    <row r="3727" ht="22.5" customHeight="1">
      <c r="A3727" s="6" t="s">
        <v>17569</v>
      </c>
      <c r="B3727" s="6" t="s">
        <v>8777</v>
      </c>
      <c r="C3727" s="10">
        <v>46049.0</v>
      </c>
      <c r="D3727" s="6" t="s">
        <v>312</v>
      </c>
      <c r="E3727" s="6" t="s">
        <v>775</v>
      </c>
      <c r="F3727" s="6" t="s">
        <v>439</v>
      </c>
      <c r="G3727" s="6" t="s">
        <v>458</v>
      </c>
      <c r="H3727" s="10">
        <v>46049.0</v>
      </c>
      <c r="I3727" s="12">
        <v>5.0</v>
      </c>
      <c r="J3727" s="6" t="s">
        <v>161</v>
      </c>
    </row>
    <row r="3728" ht="22.5" customHeight="1">
      <c r="A3728" s="6" t="s">
        <v>17573</v>
      </c>
      <c r="B3728" s="6" t="s">
        <v>8783</v>
      </c>
      <c r="C3728" s="10">
        <v>46042.0</v>
      </c>
      <c r="D3728" s="6" t="s">
        <v>312</v>
      </c>
      <c r="E3728" s="6" t="s">
        <v>634</v>
      </c>
      <c r="F3728" s="6" t="s">
        <v>112</v>
      </c>
      <c r="G3728" s="6" t="s">
        <v>297</v>
      </c>
      <c r="H3728" s="10">
        <v>46042.0</v>
      </c>
      <c r="I3728" s="12">
        <v>5.0</v>
      </c>
      <c r="J3728" s="6" t="s">
        <v>161</v>
      </c>
    </row>
    <row r="3729" ht="22.5" customHeight="1">
      <c r="A3729" s="6" t="s">
        <v>17578</v>
      </c>
      <c r="B3729" s="6" t="s">
        <v>8783</v>
      </c>
      <c r="C3729" s="10">
        <v>46047.0</v>
      </c>
      <c r="D3729" s="6" t="s">
        <v>391</v>
      </c>
      <c r="E3729" s="6" t="s">
        <v>394</v>
      </c>
      <c r="F3729" s="6" t="s">
        <v>439</v>
      </c>
      <c r="G3729" s="6" t="s">
        <v>326</v>
      </c>
      <c r="H3729" s="10">
        <v>46048.0</v>
      </c>
      <c r="I3729" s="12">
        <v>9.0</v>
      </c>
      <c r="J3729" s="6" t="s">
        <v>161</v>
      </c>
    </row>
    <row r="3730" ht="22.5" customHeight="1">
      <c r="A3730" s="6" t="s">
        <v>17581</v>
      </c>
      <c r="B3730" s="6" t="s">
        <v>8783</v>
      </c>
      <c r="C3730" s="10">
        <v>46050.0</v>
      </c>
      <c r="D3730" s="6" t="s">
        <v>391</v>
      </c>
      <c r="E3730" s="6" t="s">
        <v>738</v>
      </c>
      <c r="F3730" s="6" t="s">
        <v>249</v>
      </c>
      <c r="G3730" s="6" t="s">
        <v>458</v>
      </c>
      <c r="H3730" s="10">
        <v>46050.0</v>
      </c>
      <c r="I3730" s="12">
        <v>8.0</v>
      </c>
      <c r="J3730" s="6" t="s">
        <v>161</v>
      </c>
    </row>
    <row r="3731" ht="22.5" customHeight="1">
      <c r="A3731" s="6" t="s">
        <v>17586</v>
      </c>
      <c r="B3731" s="6" t="s">
        <v>8783</v>
      </c>
      <c r="C3731" s="10">
        <v>46045.0</v>
      </c>
      <c r="D3731" s="6" t="s">
        <v>677</v>
      </c>
      <c r="E3731" s="6" t="s">
        <v>1570</v>
      </c>
      <c r="F3731" s="6" t="s">
        <v>112</v>
      </c>
      <c r="G3731" s="6" t="s">
        <v>477</v>
      </c>
      <c r="H3731" s="10">
        <v>46050.0</v>
      </c>
      <c r="I3731" s="12">
        <v>4.0</v>
      </c>
      <c r="J3731" s="6" t="s">
        <v>161</v>
      </c>
    </row>
    <row r="3732" ht="22.5" customHeight="1">
      <c r="A3732" s="6" t="s">
        <v>17590</v>
      </c>
      <c r="B3732" s="6" t="s">
        <v>8789</v>
      </c>
      <c r="C3732" s="10">
        <v>46047.0</v>
      </c>
      <c r="D3732" s="6" t="s">
        <v>416</v>
      </c>
      <c r="E3732" s="6" t="s">
        <v>738</v>
      </c>
      <c r="F3732" s="6" t="s">
        <v>249</v>
      </c>
      <c r="G3732" s="6" t="s">
        <v>369</v>
      </c>
      <c r="H3732" s="10">
        <v>46050.0</v>
      </c>
      <c r="I3732" s="12">
        <v>10.0</v>
      </c>
      <c r="J3732" s="6" t="s">
        <v>161</v>
      </c>
    </row>
    <row r="3733" ht="22.5" customHeight="1">
      <c r="A3733" s="6" t="s">
        <v>17594</v>
      </c>
      <c r="B3733" s="6" t="s">
        <v>8789</v>
      </c>
      <c r="C3733" s="10">
        <v>46055.0</v>
      </c>
      <c r="D3733" s="6" t="s">
        <v>416</v>
      </c>
      <c r="E3733" s="6" t="s">
        <v>291</v>
      </c>
      <c r="F3733" s="6" t="s">
        <v>112</v>
      </c>
      <c r="G3733" s="6" t="s">
        <v>369</v>
      </c>
      <c r="H3733" s="10">
        <v>46055.0</v>
      </c>
      <c r="I3733" s="12">
        <v>10.0</v>
      </c>
      <c r="J3733" s="6" t="s">
        <v>161</v>
      </c>
    </row>
    <row r="3734" ht="22.5" customHeight="1">
      <c r="A3734" s="6" t="s">
        <v>17598</v>
      </c>
      <c r="B3734" s="6" t="s">
        <v>8789</v>
      </c>
      <c r="C3734" s="10">
        <v>46047.0</v>
      </c>
      <c r="D3734" s="6" t="s">
        <v>391</v>
      </c>
      <c r="E3734" s="6" t="s">
        <v>1517</v>
      </c>
      <c r="F3734" s="6" t="s">
        <v>112</v>
      </c>
      <c r="G3734" s="6" t="s">
        <v>326</v>
      </c>
      <c r="H3734" s="10">
        <v>46051.0</v>
      </c>
      <c r="I3734" s="12">
        <v>8.0</v>
      </c>
      <c r="J3734" s="6" t="s">
        <v>161</v>
      </c>
    </row>
    <row r="3735" ht="22.5" customHeight="1">
      <c r="A3735" s="6" t="s">
        <v>17602</v>
      </c>
      <c r="B3735" s="6" t="s">
        <v>8789</v>
      </c>
      <c r="C3735" s="10">
        <v>46056.0</v>
      </c>
      <c r="D3735" s="6" t="s">
        <v>677</v>
      </c>
      <c r="E3735" s="6" t="s">
        <v>610</v>
      </c>
      <c r="F3735" s="6" t="s">
        <v>283</v>
      </c>
      <c r="G3735" s="6" t="s">
        <v>369</v>
      </c>
      <c r="H3735" s="10">
        <v>46063.0</v>
      </c>
      <c r="I3735" s="12">
        <v>2.0</v>
      </c>
      <c r="J3735" s="6" t="s">
        <v>161</v>
      </c>
    </row>
    <row r="3736" ht="22.5" customHeight="1">
      <c r="A3736" s="6" t="s">
        <v>17607</v>
      </c>
      <c r="B3736" s="6" t="s">
        <v>8789</v>
      </c>
      <c r="C3736" s="10">
        <v>46060.0</v>
      </c>
      <c r="D3736" s="6" t="s">
        <v>289</v>
      </c>
      <c r="E3736" s="6" t="s">
        <v>628</v>
      </c>
      <c r="F3736" s="6" t="s">
        <v>439</v>
      </c>
      <c r="G3736" s="6" t="s">
        <v>452</v>
      </c>
      <c r="H3736" s="10">
        <v>46065.0</v>
      </c>
      <c r="I3736" s="12">
        <v>5.0</v>
      </c>
      <c r="J3736" s="6" t="s">
        <v>161</v>
      </c>
    </row>
    <row r="3737" ht="22.5" customHeight="1">
      <c r="A3737" s="6" t="s">
        <v>17609</v>
      </c>
      <c r="B3737" s="6" t="s">
        <v>8795</v>
      </c>
      <c r="C3737" s="10">
        <v>46041.0</v>
      </c>
      <c r="D3737" s="6" t="s">
        <v>677</v>
      </c>
      <c r="E3737" s="6" t="s">
        <v>1070</v>
      </c>
      <c r="F3737" s="6" t="s">
        <v>249</v>
      </c>
      <c r="G3737" s="6" t="s">
        <v>254</v>
      </c>
      <c r="H3737" s="10">
        <v>46045.0</v>
      </c>
      <c r="I3737" s="12">
        <v>4.0</v>
      </c>
      <c r="J3737" s="6" t="s">
        <v>161</v>
      </c>
    </row>
    <row r="3738" ht="22.5" customHeight="1">
      <c r="A3738" s="6" t="s">
        <v>17614</v>
      </c>
      <c r="B3738" s="6" t="s">
        <v>8800</v>
      </c>
      <c r="C3738" s="10">
        <v>46067.0</v>
      </c>
      <c r="D3738" s="6" t="s">
        <v>436</v>
      </c>
      <c r="E3738" s="6" t="s">
        <v>417</v>
      </c>
      <c r="F3738" s="6" t="s">
        <v>249</v>
      </c>
      <c r="G3738" s="6" t="s">
        <v>494</v>
      </c>
      <c r="H3738" s="11" t="s">
        <v>259</v>
      </c>
      <c r="I3738" s="12">
        <v>7.0</v>
      </c>
      <c r="J3738" s="6" t="s">
        <v>178</v>
      </c>
    </row>
    <row r="3739" ht="22.5" customHeight="1">
      <c r="A3739" s="6" t="s">
        <v>17618</v>
      </c>
      <c r="B3739" s="6" t="s">
        <v>8800</v>
      </c>
      <c r="C3739" s="10">
        <v>46067.0</v>
      </c>
      <c r="D3739" s="6" t="s">
        <v>242</v>
      </c>
      <c r="E3739" s="6" t="s">
        <v>695</v>
      </c>
      <c r="F3739" s="6" t="s">
        <v>439</v>
      </c>
      <c r="G3739" s="6" t="s">
        <v>458</v>
      </c>
      <c r="H3739" s="10">
        <v>46071.0</v>
      </c>
      <c r="I3739" s="12">
        <v>6.0</v>
      </c>
      <c r="J3739" s="6" t="s">
        <v>178</v>
      </c>
    </row>
    <row r="3740" ht="22.5" customHeight="1">
      <c r="A3740" s="6" t="s">
        <v>17621</v>
      </c>
      <c r="B3740" s="6" t="s">
        <v>8800</v>
      </c>
      <c r="C3740" s="10">
        <v>46064.0</v>
      </c>
      <c r="D3740" s="6" t="s">
        <v>242</v>
      </c>
      <c r="E3740" s="6" t="s">
        <v>475</v>
      </c>
      <c r="F3740" s="6" t="s">
        <v>249</v>
      </c>
      <c r="G3740" s="6" t="s">
        <v>326</v>
      </c>
      <c r="H3740" s="11" t="s">
        <v>259</v>
      </c>
      <c r="I3740" s="12">
        <v>5.0</v>
      </c>
      <c r="J3740" s="6" t="s">
        <v>178</v>
      </c>
    </row>
    <row r="3741" ht="22.5" customHeight="1">
      <c r="A3741" s="6" t="s">
        <v>17626</v>
      </c>
      <c r="B3741" s="6" t="s">
        <v>8800</v>
      </c>
      <c r="C3741" s="10">
        <v>46063.0</v>
      </c>
      <c r="D3741" s="6" t="s">
        <v>416</v>
      </c>
      <c r="E3741" s="6" t="s">
        <v>1035</v>
      </c>
      <c r="F3741" s="6" t="s">
        <v>112</v>
      </c>
      <c r="G3741" s="6" t="s">
        <v>458</v>
      </c>
      <c r="H3741" s="10">
        <v>46070.0</v>
      </c>
      <c r="I3741" s="12">
        <v>14.0</v>
      </c>
      <c r="J3741" s="6" t="s">
        <v>161</v>
      </c>
    </row>
    <row r="3742" ht="22.5" customHeight="1">
      <c r="A3742" s="6" t="s">
        <v>17630</v>
      </c>
      <c r="B3742" s="6" t="s">
        <v>8800</v>
      </c>
      <c r="C3742" s="10">
        <v>46068.0</v>
      </c>
      <c r="D3742" s="6" t="s">
        <v>289</v>
      </c>
      <c r="E3742" s="6" t="s">
        <v>466</v>
      </c>
      <c r="F3742" s="6" t="s">
        <v>249</v>
      </c>
      <c r="G3742" s="6" t="s">
        <v>458</v>
      </c>
      <c r="H3742" s="10">
        <v>46071.0</v>
      </c>
      <c r="I3742" s="12">
        <v>9.0</v>
      </c>
      <c r="J3742" s="6" t="s">
        <v>161</v>
      </c>
    </row>
    <row r="3743" ht="22.5" customHeight="1">
      <c r="A3743" s="6" t="s">
        <v>17634</v>
      </c>
      <c r="B3743" s="6" t="s">
        <v>8806</v>
      </c>
      <c r="C3743" s="10">
        <v>46055.0</v>
      </c>
      <c r="D3743" s="6" t="s">
        <v>391</v>
      </c>
      <c r="E3743" s="6" t="s">
        <v>1626</v>
      </c>
      <c r="F3743" s="6" t="s">
        <v>439</v>
      </c>
      <c r="G3743" s="6" t="s">
        <v>458</v>
      </c>
      <c r="H3743" s="10">
        <v>46061.0</v>
      </c>
      <c r="I3743" s="12">
        <v>8.0</v>
      </c>
      <c r="J3743" s="6" t="s">
        <v>161</v>
      </c>
    </row>
    <row r="3744" ht="22.5" customHeight="1">
      <c r="A3744" s="6" t="s">
        <v>17639</v>
      </c>
      <c r="B3744" s="6" t="s">
        <v>8806</v>
      </c>
      <c r="C3744" s="10">
        <v>46069.0</v>
      </c>
      <c r="D3744" s="6" t="s">
        <v>416</v>
      </c>
      <c r="E3744" s="6" t="s">
        <v>787</v>
      </c>
      <c r="F3744" s="6" t="s">
        <v>283</v>
      </c>
      <c r="G3744" s="6" t="s">
        <v>297</v>
      </c>
      <c r="H3744" s="10">
        <v>46071.0</v>
      </c>
      <c r="I3744" s="12">
        <v>8.0</v>
      </c>
      <c r="J3744" s="6" t="s">
        <v>161</v>
      </c>
    </row>
    <row r="3745" ht="22.5" customHeight="1">
      <c r="A3745" s="6" t="s">
        <v>17644</v>
      </c>
      <c r="B3745" s="6" t="s">
        <v>8806</v>
      </c>
      <c r="C3745" s="10">
        <v>46063.0</v>
      </c>
      <c r="D3745" s="6" t="s">
        <v>242</v>
      </c>
      <c r="E3745" s="6" t="s">
        <v>812</v>
      </c>
      <c r="F3745" s="6" t="s">
        <v>439</v>
      </c>
      <c r="G3745" s="6" t="s">
        <v>297</v>
      </c>
      <c r="H3745" s="10">
        <v>46065.0</v>
      </c>
      <c r="I3745" s="12">
        <v>6.0</v>
      </c>
      <c r="J3745" s="6" t="s">
        <v>161</v>
      </c>
    </row>
    <row r="3746" ht="22.5" customHeight="1">
      <c r="A3746" s="6" t="s">
        <v>17648</v>
      </c>
      <c r="B3746" s="6" t="s">
        <v>8806</v>
      </c>
      <c r="C3746" s="10">
        <v>46057.0</v>
      </c>
      <c r="D3746" s="6" t="s">
        <v>677</v>
      </c>
      <c r="E3746" s="6" t="s">
        <v>885</v>
      </c>
      <c r="F3746" s="6" t="s">
        <v>283</v>
      </c>
      <c r="G3746" s="6" t="s">
        <v>326</v>
      </c>
      <c r="H3746" s="10">
        <v>46060.0</v>
      </c>
      <c r="I3746" s="12">
        <v>2.0</v>
      </c>
      <c r="J3746" s="6" t="s">
        <v>161</v>
      </c>
    </row>
    <row r="3747" ht="22.5" customHeight="1">
      <c r="A3747" s="6" t="s">
        <v>17652</v>
      </c>
      <c r="B3747" s="6" t="s">
        <v>8806</v>
      </c>
      <c r="C3747" s="10">
        <v>46054.0</v>
      </c>
      <c r="D3747" s="6" t="s">
        <v>289</v>
      </c>
      <c r="E3747" s="6" t="s">
        <v>833</v>
      </c>
      <c r="F3747" s="6" t="s">
        <v>283</v>
      </c>
      <c r="G3747" s="6" t="s">
        <v>477</v>
      </c>
      <c r="H3747" s="10">
        <v>46054.0</v>
      </c>
      <c r="I3747" s="12">
        <v>8.0</v>
      </c>
      <c r="J3747" s="6" t="s">
        <v>161</v>
      </c>
    </row>
    <row r="3748" ht="22.5" customHeight="1">
      <c r="A3748" s="6" t="s">
        <v>17656</v>
      </c>
      <c r="B3748" s="6" t="s">
        <v>8812</v>
      </c>
      <c r="C3748" s="10">
        <v>46043.0</v>
      </c>
      <c r="D3748" s="6" t="s">
        <v>242</v>
      </c>
      <c r="E3748" s="6" t="s">
        <v>1700</v>
      </c>
      <c r="F3748" s="6" t="s">
        <v>249</v>
      </c>
      <c r="G3748" s="6" t="s">
        <v>326</v>
      </c>
      <c r="H3748" s="10">
        <v>46046.0</v>
      </c>
      <c r="I3748" s="12">
        <v>3.0</v>
      </c>
      <c r="J3748" s="6" t="s">
        <v>161</v>
      </c>
    </row>
    <row r="3749" ht="22.5" customHeight="1">
      <c r="A3749" s="6" t="s">
        <v>17660</v>
      </c>
      <c r="B3749" s="6" t="s">
        <v>8812</v>
      </c>
      <c r="C3749" s="10">
        <v>46037.0</v>
      </c>
      <c r="D3749" s="6" t="s">
        <v>391</v>
      </c>
      <c r="E3749" s="6" t="s">
        <v>2881</v>
      </c>
      <c r="F3749" s="6" t="s">
        <v>249</v>
      </c>
      <c r="G3749" s="6" t="s">
        <v>452</v>
      </c>
      <c r="H3749" s="10">
        <v>46040.0</v>
      </c>
      <c r="I3749" s="12">
        <v>11.0</v>
      </c>
      <c r="J3749" s="6" t="s">
        <v>161</v>
      </c>
    </row>
    <row r="3750" ht="22.5" customHeight="1">
      <c r="A3750" s="6" t="s">
        <v>17666</v>
      </c>
      <c r="B3750" s="6" t="s">
        <v>8812</v>
      </c>
      <c r="C3750" s="10">
        <v>46034.0</v>
      </c>
      <c r="D3750" s="6" t="s">
        <v>289</v>
      </c>
      <c r="E3750" s="6" t="s">
        <v>1570</v>
      </c>
      <c r="F3750" s="6" t="s">
        <v>112</v>
      </c>
      <c r="G3750" s="6" t="s">
        <v>297</v>
      </c>
      <c r="H3750" s="10">
        <v>46034.0</v>
      </c>
      <c r="I3750" s="12">
        <v>8.0</v>
      </c>
      <c r="J3750" s="6" t="s">
        <v>161</v>
      </c>
    </row>
    <row r="3751" ht="22.5" customHeight="1">
      <c r="A3751" s="6" t="s">
        <v>17671</v>
      </c>
      <c r="B3751" s="6" t="s">
        <v>8818</v>
      </c>
      <c r="C3751" s="10">
        <v>46063.0</v>
      </c>
      <c r="D3751" s="6" t="s">
        <v>242</v>
      </c>
      <c r="E3751" s="6" t="s">
        <v>955</v>
      </c>
      <c r="F3751" s="6" t="s">
        <v>112</v>
      </c>
      <c r="G3751" s="6" t="s">
        <v>452</v>
      </c>
      <c r="H3751" s="10">
        <v>46063.0</v>
      </c>
      <c r="I3751" s="12">
        <v>3.0</v>
      </c>
      <c r="J3751" s="6" t="s">
        <v>178</v>
      </c>
    </row>
    <row r="3752" ht="22.5" customHeight="1">
      <c r="A3752" s="6" t="s">
        <v>17674</v>
      </c>
      <c r="B3752" s="6" t="s">
        <v>8818</v>
      </c>
      <c r="C3752" s="10">
        <v>46048.0</v>
      </c>
      <c r="D3752" s="6" t="s">
        <v>416</v>
      </c>
      <c r="E3752" s="6" t="s">
        <v>1280</v>
      </c>
      <c r="F3752" s="6" t="s">
        <v>439</v>
      </c>
      <c r="G3752" s="6" t="s">
        <v>477</v>
      </c>
      <c r="H3752" s="10">
        <v>46051.0</v>
      </c>
      <c r="I3752" s="12">
        <v>12.0</v>
      </c>
      <c r="J3752" s="6" t="s">
        <v>161</v>
      </c>
    </row>
    <row r="3753" ht="22.5" customHeight="1">
      <c r="A3753" s="6" t="s">
        <v>17678</v>
      </c>
      <c r="B3753" s="6" t="s">
        <v>8818</v>
      </c>
      <c r="C3753" s="10">
        <v>46057.0</v>
      </c>
      <c r="D3753" s="6" t="s">
        <v>289</v>
      </c>
      <c r="E3753" s="6" t="s">
        <v>1700</v>
      </c>
      <c r="F3753" s="6" t="s">
        <v>439</v>
      </c>
      <c r="G3753" s="6" t="s">
        <v>254</v>
      </c>
      <c r="H3753" s="10">
        <v>46058.0</v>
      </c>
      <c r="I3753" s="12">
        <v>5.0</v>
      </c>
      <c r="J3753" s="6" t="s">
        <v>161</v>
      </c>
    </row>
    <row r="3754" ht="22.5" customHeight="1">
      <c r="A3754" s="6" t="s">
        <v>17681</v>
      </c>
      <c r="B3754" s="6" t="s">
        <v>8823</v>
      </c>
      <c r="C3754" s="10">
        <v>46074.0</v>
      </c>
      <c r="D3754" s="6" t="s">
        <v>289</v>
      </c>
      <c r="E3754" s="6" t="s">
        <v>1600</v>
      </c>
      <c r="F3754" s="6" t="s">
        <v>439</v>
      </c>
      <c r="G3754" s="6" t="s">
        <v>452</v>
      </c>
      <c r="H3754" s="10">
        <v>46077.0</v>
      </c>
      <c r="I3754" s="12">
        <v>10.0</v>
      </c>
      <c r="J3754" s="6" t="s">
        <v>161</v>
      </c>
    </row>
    <row r="3755" ht="22.5" customHeight="1">
      <c r="A3755" s="6" t="s">
        <v>17685</v>
      </c>
      <c r="B3755" s="6" t="s">
        <v>8823</v>
      </c>
      <c r="C3755" s="10">
        <v>46078.0</v>
      </c>
      <c r="D3755" s="6" t="s">
        <v>289</v>
      </c>
      <c r="E3755" s="6" t="s">
        <v>320</v>
      </c>
      <c r="F3755" s="6" t="s">
        <v>249</v>
      </c>
      <c r="G3755" s="6" t="s">
        <v>494</v>
      </c>
      <c r="H3755" s="10">
        <v>46078.0</v>
      </c>
      <c r="I3755" s="12">
        <v>9.0</v>
      </c>
      <c r="J3755" s="6" t="s">
        <v>161</v>
      </c>
    </row>
    <row r="3756" ht="22.5" customHeight="1">
      <c r="A3756" s="6" t="s">
        <v>17688</v>
      </c>
      <c r="B3756" s="6" t="s">
        <v>8823</v>
      </c>
      <c r="C3756" s="10">
        <v>46078.0</v>
      </c>
      <c r="D3756" s="6" t="s">
        <v>677</v>
      </c>
      <c r="E3756" s="6" t="s">
        <v>1600</v>
      </c>
      <c r="F3756" s="6" t="s">
        <v>439</v>
      </c>
      <c r="G3756" s="6" t="s">
        <v>326</v>
      </c>
      <c r="H3756" s="11" t="s">
        <v>259</v>
      </c>
      <c r="I3756" s="12">
        <v>2.0</v>
      </c>
      <c r="J3756" s="6" t="s">
        <v>161</v>
      </c>
    </row>
    <row r="3757" ht="22.5" customHeight="1">
      <c r="A3757" s="6" t="s">
        <v>17692</v>
      </c>
      <c r="B3757" s="6" t="s">
        <v>8829</v>
      </c>
      <c r="C3757" s="10">
        <v>46061.0</v>
      </c>
      <c r="D3757" s="6" t="s">
        <v>242</v>
      </c>
      <c r="E3757" s="6" t="s">
        <v>2881</v>
      </c>
      <c r="F3757" s="6" t="s">
        <v>283</v>
      </c>
      <c r="G3757" s="6" t="s">
        <v>452</v>
      </c>
      <c r="H3757" s="10">
        <v>46064.0</v>
      </c>
      <c r="I3757" s="12">
        <v>6.0</v>
      </c>
      <c r="J3757" s="6" t="s">
        <v>178</v>
      </c>
    </row>
    <row r="3758" ht="22.5" customHeight="1">
      <c r="A3758" s="6" t="s">
        <v>17696</v>
      </c>
      <c r="B3758" s="6" t="s">
        <v>8829</v>
      </c>
      <c r="C3758" s="10">
        <v>46055.0</v>
      </c>
      <c r="D3758" s="6" t="s">
        <v>312</v>
      </c>
      <c r="E3758" s="6" t="s">
        <v>618</v>
      </c>
      <c r="F3758" s="6" t="s">
        <v>439</v>
      </c>
      <c r="G3758" s="6" t="s">
        <v>369</v>
      </c>
      <c r="H3758" s="10">
        <v>46061.0</v>
      </c>
      <c r="I3758" s="12">
        <v>7.0</v>
      </c>
      <c r="J3758" s="6" t="s">
        <v>161</v>
      </c>
    </row>
    <row r="3759" ht="22.5" customHeight="1">
      <c r="A3759" s="6" t="s">
        <v>17700</v>
      </c>
      <c r="B3759" s="6" t="s">
        <v>8835</v>
      </c>
      <c r="C3759" s="10">
        <v>46057.0</v>
      </c>
      <c r="D3759" s="6" t="s">
        <v>416</v>
      </c>
      <c r="E3759" s="6" t="s">
        <v>833</v>
      </c>
      <c r="F3759" s="6" t="s">
        <v>283</v>
      </c>
      <c r="G3759" s="6" t="s">
        <v>452</v>
      </c>
      <c r="H3759" s="10">
        <v>46063.0</v>
      </c>
      <c r="I3759" s="12">
        <v>13.0</v>
      </c>
      <c r="J3759" s="6" t="s">
        <v>161</v>
      </c>
    </row>
    <row r="3760" ht="22.5" customHeight="1">
      <c r="A3760" s="6" t="s">
        <v>17704</v>
      </c>
      <c r="B3760" s="6" t="s">
        <v>8835</v>
      </c>
      <c r="C3760" s="10">
        <v>46059.0</v>
      </c>
      <c r="D3760" s="6" t="s">
        <v>289</v>
      </c>
      <c r="E3760" s="6" t="s">
        <v>1035</v>
      </c>
      <c r="F3760" s="6" t="s">
        <v>249</v>
      </c>
      <c r="G3760" s="6" t="s">
        <v>369</v>
      </c>
      <c r="H3760" s="10">
        <v>46062.0</v>
      </c>
      <c r="I3760" s="12">
        <v>5.0</v>
      </c>
      <c r="J3760" s="6" t="s">
        <v>161</v>
      </c>
    </row>
    <row r="3761" ht="22.5" customHeight="1">
      <c r="A3761" s="6" t="s">
        <v>17710</v>
      </c>
      <c r="B3761" s="6" t="s">
        <v>8841</v>
      </c>
      <c r="C3761" s="10">
        <v>46047.0</v>
      </c>
      <c r="D3761" s="6" t="s">
        <v>242</v>
      </c>
      <c r="E3761" s="6" t="s">
        <v>775</v>
      </c>
      <c r="F3761" s="6" t="s">
        <v>283</v>
      </c>
      <c r="G3761" s="6" t="s">
        <v>477</v>
      </c>
      <c r="H3761" s="10">
        <v>46047.0</v>
      </c>
      <c r="I3761" s="12">
        <v>4.0</v>
      </c>
      <c r="J3761" s="6" t="s">
        <v>178</v>
      </c>
    </row>
    <row r="3762" ht="22.5" customHeight="1">
      <c r="A3762" s="6" t="s">
        <v>17713</v>
      </c>
      <c r="B3762" s="6" t="s">
        <v>8841</v>
      </c>
      <c r="C3762" s="10">
        <v>46042.0</v>
      </c>
      <c r="D3762" s="6" t="s">
        <v>289</v>
      </c>
      <c r="E3762" s="6" t="s">
        <v>885</v>
      </c>
      <c r="F3762" s="6" t="s">
        <v>283</v>
      </c>
      <c r="G3762" s="6" t="s">
        <v>326</v>
      </c>
      <c r="H3762" s="10">
        <v>46043.0</v>
      </c>
      <c r="I3762" s="12">
        <v>8.0</v>
      </c>
      <c r="J3762" s="6" t="s">
        <v>161</v>
      </c>
    </row>
    <row r="3763" ht="22.5" customHeight="1">
      <c r="A3763" s="6" t="s">
        <v>17718</v>
      </c>
      <c r="B3763" s="6" t="s">
        <v>8841</v>
      </c>
      <c r="C3763" s="10">
        <v>46044.0</v>
      </c>
      <c r="D3763" s="6" t="s">
        <v>436</v>
      </c>
      <c r="E3763" s="6" t="s">
        <v>695</v>
      </c>
      <c r="F3763" s="6" t="s">
        <v>249</v>
      </c>
      <c r="G3763" s="6" t="s">
        <v>254</v>
      </c>
      <c r="H3763" s="10">
        <v>46051.0</v>
      </c>
      <c r="I3763" s="12">
        <v>7.0</v>
      </c>
      <c r="J3763" s="6" t="s">
        <v>178</v>
      </c>
    </row>
    <row r="3764" ht="22.5" customHeight="1">
      <c r="A3764" s="6" t="s">
        <v>17723</v>
      </c>
      <c r="B3764" s="6" t="s">
        <v>8847</v>
      </c>
      <c r="C3764" s="10">
        <v>46045.0</v>
      </c>
      <c r="D3764" s="6" t="s">
        <v>416</v>
      </c>
      <c r="E3764" s="6" t="s">
        <v>1055</v>
      </c>
      <c r="F3764" s="6" t="s">
        <v>283</v>
      </c>
      <c r="G3764" s="6" t="s">
        <v>326</v>
      </c>
      <c r="H3764" s="10">
        <v>46051.0</v>
      </c>
      <c r="I3764" s="12">
        <v>12.0</v>
      </c>
      <c r="J3764" s="6" t="s">
        <v>161</v>
      </c>
    </row>
    <row r="3765" ht="22.5" customHeight="1">
      <c r="A3765" s="6" t="s">
        <v>17726</v>
      </c>
      <c r="B3765" s="6" t="s">
        <v>8847</v>
      </c>
      <c r="C3765" s="10">
        <v>46035.0</v>
      </c>
      <c r="D3765" s="6" t="s">
        <v>391</v>
      </c>
      <c r="E3765" s="6" t="s">
        <v>812</v>
      </c>
      <c r="F3765" s="6" t="s">
        <v>283</v>
      </c>
      <c r="G3765" s="6" t="s">
        <v>369</v>
      </c>
      <c r="H3765" s="10">
        <v>46038.0</v>
      </c>
      <c r="I3765" s="12">
        <v>9.0</v>
      </c>
      <c r="J3765" s="6" t="s">
        <v>161</v>
      </c>
    </row>
    <row r="3766" ht="22.5" customHeight="1">
      <c r="A3766" s="6" t="s">
        <v>17731</v>
      </c>
      <c r="B3766" s="6" t="s">
        <v>8847</v>
      </c>
      <c r="C3766" s="10">
        <v>46043.0</v>
      </c>
      <c r="D3766" s="6" t="s">
        <v>436</v>
      </c>
      <c r="E3766" s="6" t="s">
        <v>955</v>
      </c>
      <c r="F3766" s="6" t="s">
        <v>112</v>
      </c>
      <c r="G3766" s="6" t="s">
        <v>326</v>
      </c>
      <c r="H3766" s="10">
        <v>46045.0</v>
      </c>
      <c r="I3766" s="12">
        <v>9.0</v>
      </c>
      <c r="J3766" s="6" t="s">
        <v>178</v>
      </c>
    </row>
    <row r="3767" ht="22.5" customHeight="1">
      <c r="A3767" s="6" t="s">
        <v>17736</v>
      </c>
      <c r="B3767" s="6" t="s">
        <v>8852</v>
      </c>
      <c r="C3767" s="10">
        <v>46034.0</v>
      </c>
      <c r="D3767" s="6" t="s">
        <v>242</v>
      </c>
      <c r="E3767" s="6" t="s">
        <v>1310</v>
      </c>
      <c r="F3767" s="6" t="s">
        <v>439</v>
      </c>
      <c r="G3767" s="6" t="s">
        <v>494</v>
      </c>
      <c r="H3767" s="10">
        <v>46041.0</v>
      </c>
      <c r="I3767" s="12">
        <v>6.0</v>
      </c>
      <c r="J3767" s="6" t="s">
        <v>178</v>
      </c>
    </row>
    <row r="3768" ht="22.5" customHeight="1">
      <c r="A3768" s="6" t="s">
        <v>17739</v>
      </c>
      <c r="B3768" s="6" t="s">
        <v>8858</v>
      </c>
      <c r="C3768" s="10">
        <v>46076.0</v>
      </c>
      <c r="D3768" s="6" t="s">
        <v>391</v>
      </c>
      <c r="E3768" s="6" t="s">
        <v>863</v>
      </c>
      <c r="F3768" s="6" t="s">
        <v>439</v>
      </c>
      <c r="G3768" s="6" t="s">
        <v>477</v>
      </c>
      <c r="H3768" s="10">
        <v>46078.0</v>
      </c>
      <c r="I3768" s="12">
        <v>8.0</v>
      </c>
      <c r="J3768" s="6" t="s">
        <v>161</v>
      </c>
    </row>
    <row r="3769" ht="22.5" customHeight="1">
      <c r="A3769" s="6" t="s">
        <v>17745</v>
      </c>
      <c r="B3769" s="6" t="s">
        <v>8858</v>
      </c>
      <c r="C3769" s="10">
        <v>46069.0</v>
      </c>
      <c r="D3769" s="6" t="s">
        <v>391</v>
      </c>
      <c r="E3769" s="6" t="s">
        <v>738</v>
      </c>
      <c r="F3769" s="6" t="s">
        <v>283</v>
      </c>
      <c r="G3769" s="6" t="s">
        <v>297</v>
      </c>
      <c r="H3769" s="10">
        <v>46071.0</v>
      </c>
      <c r="I3769" s="12">
        <v>11.0</v>
      </c>
      <c r="J3769" s="6" t="s">
        <v>161</v>
      </c>
    </row>
    <row r="3770" ht="22.5" customHeight="1">
      <c r="A3770" s="6" t="s">
        <v>17750</v>
      </c>
      <c r="B3770" s="6" t="s">
        <v>8858</v>
      </c>
      <c r="C3770" s="10">
        <v>46065.0</v>
      </c>
      <c r="D3770" s="6" t="s">
        <v>416</v>
      </c>
      <c r="E3770" s="6" t="s">
        <v>1035</v>
      </c>
      <c r="F3770" s="6" t="s">
        <v>112</v>
      </c>
      <c r="G3770" s="6" t="s">
        <v>452</v>
      </c>
      <c r="H3770" s="11" t="s">
        <v>259</v>
      </c>
      <c r="I3770" s="12">
        <v>11.0</v>
      </c>
      <c r="J3770" s="6" t="s">
        <v>161</v>
      </c>
    </row>
    <row r="3771" ht="22.5" customHeight="1">
      <c r="A3771" s="6" t="s">
        <v>17755</v>
      </c>
      <c r="B3771" s="6" t="s">
        <v>8864</v>
      </c>
      <c r="C3771" s="10">
        <v>46051.0</v>
      </c>
      <c r="D3771" s="6" t="s">
        <v>416</v>
      </c>
      <c r="E3771" s="6" t="s">
        <v>658</v>
      </c>
      <c r="F3771" s="6" t="s">
        <v>249</v>
      </c>
      <c r="G3771" s="6" t="s">
        <v>477</v>
      </c>
      <c r="H3771" s="10">
        <v>46052.0</v>
      </c>
      <c r="I3771" s="12">
        <v>8.0</v>
      </c>
      <c r="J3771" s="6" t="s">
        <v>161</v>
      </c>
    </row>
    <row r="3772" ht="22.5" customHeight="1">
      <c r="A3772" s="6" t="s">
        <v>17758</v>
      </c>
      <c r="B3772" s="6" t="s">
        <v>8864</v>
      </c>
      <c r="C3772" s="10">
        <v>46053.0</v>
      </c>
      <c r="D3772" s="6" t="s">
        <v>391</v>
      </c>
      <c r="E3772" s="6" t="s">
        <v>687</v>
      </c>
      <c r="F3772" s="6" t="s">
        <v>283</v>
      </c>
      <c r="G3772" s="6" t="s">
        <v>494</v>
      </c>
      <c r="H3772" s="10">
        <v>46058.0</v>
      </c>
      <c r="I3772" s="12">
        <v>7.0</v>
      </c>
      <c r="J3772" s="6" t="s">
        <v>161</v>
      </c>
    </row>
    <row r="3773" ht="22.5" customHeight="1">
      <c r="A3773" s="6" t="s">
        <v>17763</v>
      </c>
      <c r="B3773" s="6" t="s">
        <v>8864</v>
      </c>
      <c r="C3773" s="10">
        <v>46045.0</v>
      </c>
      <c r="D3773" s="6" t="s">
        <v>436</v>
      </c>
      <c r="E3773" s="6" t="s">
        <v>1969</v>
      </c>
      <c r="F3773" s="6" t="s">
        <v>439</v>
      </c>
      <c r="G3773" s="6" t="s">
        <v>326</v>
      </c>
      <c r="H3773" s="10">
        <v>46052.0</v>
      </c>
      <c r="I3773" s="12">
        <v>11.0</v>
      </c>
      <c r="J3773" s="6" t="s">
        <v>178</v>
      </c>
    </row>
    <row r="3774" ht="22.5" customHeight="1">
      <c r="A3774" s="6" t="s">
        <v>17768</v>
      </c>
      <c r="B3774" s="6" t="s">
        <v>8864</v>
      </c>
      <c r="C3774" s="10">
        <v>46048.0</v>
      </c>
      <c r="D3774" s="6" t="s">
        <v>391</v>
      </c>
      <c r="E3774" s="6" t="s">
        <v>716</v>
      </c>
      <c r="F3774" s="6" t="s">
        <v>249</v>
      </c>
      <c r="G3774" s="6" t="s">
        <v>254</v>
      </c>
      <c r="H3774" s="10">
        <v>46048.0</v>
      </c>
      <c r="I3774" s="12">
        <v>10.0</v>
      </c>
      <c r="J3774" s="6" t="s">
        <v>161</v>
      </c>
    </row>
    <row r="3775" ht="22.5" customHeight="1">
      <c r="A3775" s="6" t="s">
        <v>17774</v>
      </c>
      <c r="B3775" s="6" t="s">
        <v>8864</v>
      </c>
      <c r="C3775" s="10">
        <v>46055.0</v>
      </c>
      <c r="D3775" s="6" t="s">
        <v>436</v>
      </c>
      <c r="E3775" s="6" t="s">
        <v>1149</v>
      </c>
      <c r="F3775" s="6" t="s">
        <v>439</v>
      </c>
      <c r="G3775" s="6" t="s">
        <v>326</v>
      </c>
      <c r="H3775" s="10">
        <v>46055.0</v>
      </c>
      <c r="I3775" s="12">
        <v>6.0</v>
      </c>
      <c r="J3775" s="6" t="s">
        <v>178</v>
      </c>
    </row>
    <row r="3776" ht="22.5" customHeight="1">
      <c r="A3776" s="6" t="s">
        <v>17777</v>
      </c>
      <c r="B3776" s="6" t="s">
        <v>8870</v>
      </c>
      <c r="C3776" s="10">
        <v>46040.0</v>
      </c>
      <c r="D3776" s="6" t="s">
        <v>677</v>
      </c>
      <c r="E3776" s="6" t="s">
        <v>798</v>
      </c>
      <c r="F3776" s="6" t="s">
        <v>112</v>
      </c>
      <c r="G3776" s="6" t="s">
        <v>452</v>
      </c>
      <c r="H3776" s="10">
        <v>46041.0</v>
      </c>
      <c r="I3776" s="12">
        <v>4.0</v>
      </c>
      <c r="J3776" s="6" t="s">
        <v>161</v>
      </c>
    </row>
    <row r="3777" ht="22.5" customHeight="1">
      <c r="A3777" s="6" t="s">
        <v>17781</v>
      </c>
      <c r="B3777" s="6" t="s">
        <v>8870</v>
      </c>
      <c r="C3777" s="10">
        <v>46048.0</v>
      </c>
      <c r="D3777" s="6" t="s">
        <v>391</v>
      </c>
      <c r="E3777" s="6" t="s">
        <v>863</v>
      </c>
      <c r="F3777" s="6" t="s">
        <v>439</v>
      </c>
      <c r="G3777" s="6" t="s">
        <v>326</v>
      </c>
      <c r="H3777" s="10">
        <v>46055.0</v>
      </c>
      <c r="I3777" s="12">
        <v>8.0</v>
      </c>
      <c r="J3777" s="6" t="s">
        <v>161</v>
      </c>
    </row>
    <row r="3778" ht="22.5" customHeight="1">
      <c r="A3778" s="6" t="s">
        <v>17784</v>
      </c>
      <c r="B3778" s="6" t="s">
        <v>8870</v>
      </c>
      <c r="C3778" s="10">
        <v>46044.0</v>
      </c>
      <c r="D3778" s="6" t="s">
        <v>242</v>
      </c>
      <c r="E3778" s="6" t="s">
        <v>246</v>
      </c>
      <c r="F3778" s="6" t="s">
        <v>249</v>
      </c>
      <c r="G3778" s="6" t="s">
        <v>369</v>
      </c>
      <c r="H3778" s="10">
        <v>46047.0</v>
      </c>
      <c r="I3778" s="12">
        <v>4.0</v>
      </c>
      <c r="J3778" s="6" t="s">
        <v>178</v>
      </c>
    </row>
    <row r="3779" ht="22.5" customHeight="1">
      <c r="A3779" s="6" t="s">
        <v>17788</v>
      </c>
      <c r="B3779" s="6" t="s">
        <v>8870</v>
      </c>
      <c r="C3779" s="10">
        <v>46057.0</v>
      </c>
      <c r="D3779" s="6" t="s">
        <v>391</v>
      </c>
      <c r="E3779" s="6" t="s">
        <v>1517</v>
      </c>
      <c r="F3779" s="6" t="s">
        <v>112</v>
      </c>
      <c r="G3779" s="6" t="s">
        <v>297</v>
      </c>
      <c r="H3779" s="10">
        <v>46057.0</v>
      </c>
      <c r="I3779" s="12">
        <v>8.0</v>
      </c>
      <c r="J3779" s="6" t="s">
        <v>161</v>
      </c>
    </row>
    <row r="3780" ht="22.5" customHeight="1">
      <c r="A3780" s="6" t="s">
        <v>17789</v>
      </c>
      <c r="B3780" s="6" t="s">
        <v>8876</v>
      </c>
      <c r="C3780" s="10">
        <v>46038.0</v>
      </c>
      <c r="D3780" s="6" t="s">
        <v>289</v>
      </c>
      <c r="E3780" s="6" t="s">
        <v>1122</v>
      </c>
      <c r="F3780" s="6" t="s">
        <v>112</v>
      </c>
      <c r="G3780" s="6" t="s">
        <v>477</v>
      </c>
      <c r="H3780" s="11" t="s">
        <v>259</v>
      </c>
      <c r="I3780" s="12">
        <v>10.0</v>
      </c>
      <c r="J3780" s="6" t="s">
        <v>161</v>
      </c>
    </row>
    <row r="3781" ht="22.5" customHeight="1">
      <c r="A3781" s="6" t="s">
        <v>17795</v>
      </c>
      <c r="B3781" s="6" t="s">
        <v>8876</v>
      </c>
      <c r="C3781" s="10">
        <v>46054.0</v>
      </c>
      <c r="D3781" s="6" t="s">
        <v>242</v>
      </c>
      <c r="E3781" s="6" t="s">
        <v>1741</v>
      </c>
      <c r="F3781" s="6" t="s">
        <v>439</v>
      </c>
      <c r="G3781" s="6" t="s">
        <v>452</v>
      </c>
      <c r="H3781" s="10">
        <v>46060.0</v>
      </c>
      <c r="I3781" s="12">
        <v>4.0</v>
      </c>
      <c r="J3781" s="6" t="s">
        <v>161</v>
      </c>
    </row>
    <row r="3782" ht="22.5" customHeight="1">
      <c r="A3782" s="6" t="s">
        <v>17798</v>
      </c>
      <c r="B3782" s="6" t="s">
        <v>8876</v>
      </c>
      <c r="C3782" s="10">
        <v>46041.0</v>
      </c>
      <c r="D3782" s="6" t="s">
        <v>416</v>
      </c>
      <c r="E3782" s="6" t="s">
        <v>438</v>
      </c>
      <c r="F3782" s="6" t="s">
        <v>249</v>
      </c>
      <c r="G3782" s="6" t="s">
        <v>297</v>
      </c>
      <c r="H3782" s="10">
        <v>46048.0</v>
      </c>
      <c r="I3782" s="12">
        <v>10.0</v>
      </c>
      <c r="J3782" s="6" t="s">
        <v>161</v>
      </c>
    </row>
    <row r="3783" ht="22.5" customHeight="1">
      <c r="A3783" s="6" t="s">
        <v>17802</v>
      </c>
      <c r="B3783" s="6" t="s">
        <v>8882</v>
      </c>
      <c r="C3783" s="10">
        <v>46058.0</v>
      </c>
      <c r="D3783" s="6" t="s">
        <v>436</v>
      </c>
      <c r="E3783" s="6" t="s">
        <v>1280</v>
      </c>
      <c r="F3783" s="6" t="s">
        <v>283</v>
      </c>
      <c r="G3783" s="6" t="s">
        <v>326</v>
      </c>
      <c r="H3783" s="10">
        <v>46064.0</v>
      </c>
      <c r="I3783" s="12">
        <v>6.0</v>
      </c>
      <c r="J3783" s="6" t="s">
        <v>161</v>
      </c>
    </row>
    <row r="3784" ht="22.5" customHeight="1">
      <c r="A3784" s="6" t="s">
        <v>17808</v>
      </c>
      <c r="B3784" s="6" t="s">
        <v>8882</v>
      </c>
      <c r="C3784" s="10">
        <v>46071.0</v>
      </c>
      <c r="D3784" s="6" t="s">
        <v>436</v>
      </c>
      <c r="E3784" s="6" t="s">
        <v>1122</v>
      </c>
      <c r="F3784" s="6" t="s">
        <v>283</v>
      </c>
      <c r="G3784" s="6" t="s">
        <v>297</v>
      </c>
      <c r="H3784" s="10">
        <v>46074.0</v>
      </c>
      <c r="I3784" s="12">
        <v>11.0</v>
      </c>
      <c r="J3784" s="6" t="s">
        <v>178</v>
      </c>
    </row>
    <row r="3785" ht="22.5" customHeight="1">
      <c r="A3785" s="6" t="s">
        <v>17813</v>
      </c>
      <c r="B3785" s="6" t="s">
        <v>8882</v>
      </c>
      <c r="C3785" s="10">
        <v>46064.0</v>
      </c>
      <c r="D3785" s="6" t="s">
        <v>677</v>
      </c>
      <c r="E3785" s="6" t="s">
        <v>1070</v>
      </c>
      <c r="F3785" s="6" t="s">
        <v>249</v>
      </c>
      <c r="G3785" s="6" t="s">
        <v>254</v>
      </c>
      <c r="H3785" s="10">
        <v>46071.0</v>
      </c>
      <c r="I3785" s="12">
        <v>4.0</v>
      </c>
      <c r="J3785" s="6" t="s">
        <v>161</v>
      </c>
    </row>
    <row r="3786" ht="22.5" customHeight="1">
      <c r="A3786" s="6" t="s">
        <v>17820</v>
      </c>
      <c r="B3786" s="6" t="s">
        <v>8882</v>
      </c>
      <c r="C3786" s="10">
        <v>46053.0</v>
      </c>
      <c r="D3786" s="6" t="s">
        <v>416</v>
      </c>
      <c r="E3786" s="6" t="s">
        <v>1070</v>
      </c>
      <c r="F3786" s="6" t="s">
        <v>283</v>
      </c>
      <c r="G3786" s="6" t="s">
        <v>477</v>
      </c>
      <c r="H3786" s="10">
        <v>46053.0</v>
      </c>
      <c r="I3786" s="12">
        <v>12.0</v>
      </c>
      <c r="J3786" s="6" t="s">
        <v>161</v>
      </c>
    </row>
    <row r="3787" ht="22.5" customHeight="1">
      <c r="A3787" s="6" t="s">
        <v>17823</v>
      </c>
      <c r="B3787" s="6" t="s">
        <v>8882</v>
      </c>
      <c r="C3787" s="10">
        <v>46070.0</v>
      </c>
      <c r="D3787" s="6" t="s">
        <v>436</v>
      </c>
      <c r="E3787" s="6" t="s">
        <v>798</v>
      </c>
      <c r="F3787" s="6" t="s">
        <v>283</v>
      </c>
      <c r="G3787" s="6" t="s">
        <v>477</v>
      </c>
      <c r="H3787" s="10">
        <v>46074.0</v>
      </c>
      <c r="I3787" s="12">
        <v>7.0</v>
      </c>
      <c r="J3787" s="6" t="s">
        <v>178</v>
      </c>
    </row>
    <row r="3788" ht="22.5" customHeight="1">
      <c r="A3788" s="6" t="s">
        <v>17827</v>
      </c>
      <c r="B3788" s="6" t="s">
        <v>8887</v>
      </c>
      <c r="C3788" s="10">
        <v>46069.0</v>
      </c>
      <c r="D3788" s="6" t="s">
        <v>436</v>
      </c>
      <c r="E3788" s="6" t="s">
        <v>365</v>
      </c>
      <c r="F3788" s="6" t="s">
        <v>249</v>
      </c>
      <c r="G3788" s="6" t="s">
        <v>369</v>
      </c>
      <c r="H3788" s="10">
        <v>46071.0</v>
      </c>
      <c r="I3788" s="12">
        <v>12.0</v>
      </c>
      <c r="J3788" s="6" t="s">
        <v>161</v>
      </c>
    </row>
    <row r="3789" ht="22.5" customHeight="1">
      <c r="A3789" s="6" t="s">
        <v>17829</v>
      </c>
      <c r="B3789" s="6" t="s">
        <v>8887</v>
      </c>
      <c r="C3789" s="10">
        <v>46082.0</v>
      </c>
      <c r="D3789" s="6" t="s">
        <v>242</v>
      </c>
      <c r="E3789" s="6" t="s">
        <v>833</v>
      </c>
      <c r="F3789" s="6" t="s">
        <v>283</v>
      </c>
      <c r="G3789" s="6" t="s">
        <v>477</v>
      </c>
      <c r="H3789" s="10">
        <v>46083.0</v>
      </c>
      <c r="I3789" s="12">
        <v>3.0</v>
      </c>
      <c r="J3789" s="6" t="s">
        <v>178</v>
      </c>
    </row>
    <row r="3790" ht="22.5" customHeight="1">
      <c r="A3790" s="6" t="s">
        <v>17833</v>
      </c>
      <c r="B3790" s="6" t="s">
        <v>8887</v>
      </c>
      <c r="C3790" s="10">
        <v>46067.0</v>
      </c>
      <c r="D3790" s="6" t="s">
        <v>391</v>
      </c>
      <c r="E3790" s="6" t="s">
        <v>1102</v>
      </c>
      <c r="F3790" s="6" t="s">
        <v>283</v>
      </c>
      <c r="G3790" s="6" t="s">
        <v>254</v>
      </c>
      <c r="H3790" s="10">
        <v>46072.0</v>
      </c>
      <c r="I3790" s="12">
        <v>9.0</v>
      </c>
      <c r="J3790" s="6" t="s">
        <v>161</v>
      </c>
    </row>
    <row r="3791" ht="22.5" customHeight="1">
      <c r="A3791" s="6" t="s">
        <v>17839</v>
      </c>
      <c r="B3791" s="6" t="s">
        <v>8893</v>
      </c>
      <c r="C3791" s="10">
        <v>46074.0</v>
      </c>
      <c r="D3791" s="6" t="s">
        <v>391</v>
      </c>
      <c r="E3791" s="6" t="s">
        <v>246</v>
      </c>
      <c r="F3791" s="6" t="s">
        <v>112</v>
      </c>
      <c r="G3791" s="6" t="s">
        <v>297</v>
      </c>
      <c r="H3791" s="10">
        <v>46081.0</v>
      </c>
      <c r="I3791" s="12">
        <v>7.0</v>
      </c>
      <c r="J3791" s="6" t="s">
        <v>161</v>
      </c>
    </row>
    <row r="3792" ht="22.5" customHeight="1">
      <c r="A3792" s="6" t="s">
        <v>17845</v>
      </c>
      <c r="B3792" s="6" t="s">
        <v>8899</v>
      </c>
      <c r="C3792" s="10">
        <v>46052.0</v>
      </c>
      <c r="D3792" s="6" t="s">
        <v>436</v>
      </c>
      <c r="E3792" s="6" t="s">
        <v>798</v>
      </c>
      <c r="F3792" s="6" t="s">
        <v>112</v>
      </c>
      <c r="G3792" s="6" t="s">
        <v>477</v>
      </c>
      <c r="H3792" s="10">
        <v>46055.0</v>
      </c>
      <c r="I3792" s="12">
        <v>7.0</v>
      </c>
      <c r="J3792" s="6" t="s">
        <v>178</v>
      </c>
    </row>
    <row r="3793" ht="22.5" customHeight="1">
      <c r="A3793" s="6" t="s">
        <v>17853</v>
      </c>
      <c r="B3793" s="6" t="s">
        <v>8906</v>
      </c>
      <c r="C3793" s="10">
        <v>46033.0</v>
      </c>
      <c r="D3793" s="6" t="s">
        <v>677</v>
      </c>
      <c r="E3793" s="6" t="s">
        <v>1517</v>
      </c>
      <c r="F3793" s="6" t="s">
        <v>439</v>
      </c>
      <c r="G3793" s="6" t="s">
        <v>297</v>
      </c>
      <c r="H3793" s="10">
        <v>46037.0</v>
      </c>
      <c r="I3793" s="12">
        <v>2.0</v>
      </c>
      <c r="J3793" s="6" t="s">
        <v>161</v>
      </c>
    </row>
    <row r="3794" ht="22.5" customHeight="1">
      <c r="A3794" s="6" t="s">
        <v>17857</v>
      </c>
      <c r="B3794" s="6" t="s">
        <v>8906</v>
      </c>
      <c r="C3794" s="10">
        <v>46034.0</v>
      </c>
      <c r="D3794" s="6" t="s">
        <v>677</v>
      </c>
      <c r="E3794" s="6" t="s">
        <v>687</v>
      </c>
      <c r="F3794" s="6" t="s">
        <v>439</v>
      </c>
      <c r="G3794" s="6" t="s">
        <v>458</v>
      </c>
      <c r="H3794" s="10">
        <v>46037.0</v>
      </c>
      <c r="I3794" s="12">
        <v>4.0</v>
      </c>
      <c r="J3794" s="6" t="s">
        <v>161</v>
      </c>
    </row>
    <row r="3795" ht="22.5" customHeight="1">
      <c r="A3795" s="6" t="s">
        <v>17863</v>
      </c>
      <c r="B3795" s="6" t="s">
        <v>8906</v>
      </c>
      <c r="C3795" s="10">
        <v>46029.0</v>
      </c>
      <c r="D3795" s="6" t="s">
        <v>677</v>
      </c>
      <c r="E3795" s="6" t="s">
        <v>438</v>
      </c>
      <c r="F3795" s="6" t="s">
        <v>439</v>
      </c>
      <c r="G3795" s="6" t="s">
        <v>494</v>
      </c>
      <c r="H3795" s="10">
        <v>46029.0</v>
      </c>
      <c r="I3795" s="12">
        <v>3.0</v>
      </c>
      <c r="J3795" s="6" t="s">
        <v>161</v>
      </c>
    </row>
    <row r="3796" ht="22.5" customHeight="1">
      <c r="A3796" s="6" t="s">
        <v>17866</v>
      </c>
      <c r="B3796" s="6" t="s">
        <v>8912</v>
      </c>
      <c r="C3796" s="10">
        <v>46036.0</v>
      </c>
      <c r="D3796" s="6" t="s">
        <v>242</v>
      </c>
      <c r="E3796" s="6" t="s">
        <v>610</v>
      </c>
      <c r="F3796" s="6" t="s">
        <v>112</v>
      </c>
      <c r="G3796" s="6" t="s">
        <v>369</v>
      </c>
      <c r="H3796" s="10">
        <v>46043.0</v>
      </c>
      <c r="I3796" s="12">
        <v>3.0</v>
      </c>
      <c r="J3796" s="6" t="s">
        <v>178</v>
      </c>
    </row>
    <row r="3797" ht="22.5" customHeight="1">
      <c r="A3797" s="6" t="s">
        <v>17870</v>
      </c>
      <c r="B3797" s="6" t="s">
        <v>8912</v>
      </c>
      <c r="C3797" s="10">
        <v>46036.0</v>
      </c>
      <c r="D3797" s="6" t="s">
        <v>391</v>
      </c>
      <c r="E3797" s="6" t="s">
        <v>695</v>
      </c>
      <c r="F3797" s="6" t="s">
        <v>439</v>
      </c>
      <c r="G3797" s="6" t="s">
        <v>297</v>
      </c>
      <c r="H3797" s="10">
        <v>46038.0</v>
      </c>
      <c r="I3797" s="12">
        <v>7.0</v>
      </c>
      <c r="J3797" s="6" t="s">
        <v>161</v>
      </c>
    </row>
    <row r="3798" ht="22.5" customHeight="1">
      <c r="A3798" s="6" t="s">
        <v>17873</v>
      </c>
      <c r="B3798" s="6" t="s">
        <v>8918</v>
      </c>
      <c r="C3798" s="10">
        <v>46080.0</v>
      </c>
      <c r="D3798" s="6" t="s">
        <v>242</v>
      </c>
      <c r="E3798" s="6" t="s">
        <v>566</v>
      </c>
      <c r="F3798" s="6" t="s">
        <v>439</v>
      </c>
      <c r="G3798" s="6" t="s">
        <v>494</v>
      </c>
      <c r="H3798" s="10">
        <v>46082.0</v>
      </c>
      <c r="I3798" s="12">
        <v>4.0</v>
      </c>
      <c r="J3798" s="6" t="s">
        <v>178</v>
      </c>
    </row>
    <row r="3799" ht="22.5" customHeight="1">
      <c r="A3799" s="6" t="s">
        <v>17878</v>
      </c>
      <c r="B3799" s="6" t="s">
        <v>8918</v>
      </c>
      <c r="C3799" s="10">
        <v>46079.0</v>
      </c>
      <c r="D3799" s="6" t="s">
        <v>289</v>
      </c>
      <c r="E3799" s="6" t="s">
        <v>896</v>
      </c>
      <c r="F3799" s="6" t="s">
        <v>439</v>
      </c>
      <c r="G3799" s="6" t="s">
        <v>458</v>
      </c>
      <c r="H3799" s="10">
        <v>46080.0</v>
      </c>
      <c r="I3799" s="12">
        <v>8.0</v>
      </c>
      <c r="J3799" s="6" t="s">
        <v>161</v>
      </c>
    </row>
    <row r="3800" ht="22.5" customHeight="1">
      <c r="A3800" s="6" t="s">
        <v>17883</v>
      </c>
      <c r="B3800" s="6" t="s">
        <v>8918</v>
      </c>
      <c r="C3800" s="10">
        <v>46069.0</v>
      </c>
      <c r="D3800" s="6" t="s">
        <v>289</v>
      </c>
      <c r="E3800" s="6" t="s">
        <v>566</v>
      </c>
      <c r="F3800" s="6" t="s">
        <v>112</v>
      </c>
      <c r="G3800" s="6" t="s">
        <v>494</v>
      </c>
      <c r="H3800" s="10">
        <v>46069.0</v>
      </c>
      <c r="I3800" s="12">
        <v>8.0</v>
      </c>
      <c r="J3800" s="6" t="s">
        <v>161</v>
      </c>
    </row>
    <row r="3801" ht="22.5" customHeight="1">
      <c r="A3801" s="6" t="s">
        <v>17885</v>
      </c>
      <c r="B3801" s="6" t="s">
        <v>8918</v>
      </c>
      <c r="C3801" s="10">
        <v>46076.0</v>
      </c>
      <c r="D3801" s="6" t="s">
        <v>391</v>
      </c>
      <c r="E3801" s="6" t="s">
        <v>1273</v>
      </c>
      <c r="F3801" s="6" t="s">
        <v>439</v>
      </c>
      <c r="G3801" s="6" t="s">
        <v>369</v>
      </c>
      <c r="H3801" s="10">
        <v>46077.0</v>
      </c>
      <c r="I3801" s="12">
        <v>11.0</v>
      </c>
      <c r="J3801" s="6" t="s">
        <v>161</v>
      </c>
    </row>
    <row r="3802" ht="22.5" customHeight="1">
      <c r="A3802" s="6" t="s">
        <v>17890</v>
      </c>
      <c r="B3802" s="6" t="s">
        <v>8924</v>
      </c>
      <c r="C3802" s="10">
        <v>46078.0</v>
      </c>
      <c r="D3802" s="6" t="s">
        <v>416</v>
      </c>
      <c r="E3802" s="6" t="s">
        <v>863</v>
      </c>
      <c r="F3802" s="6" t="s">
        <v>283</v>
      </c>
      <c r="G3802" s="6" t="s">
        <v>477</v>
      </c>
      <c r="H3802" s="11" t="s">
        <v>259</v>
      </c>
      <c r="I3802" s="12">
        <v>12.0</v>
      </c>
      <c r="J3802" s="6" t="s">
        <v>161</v>
      </c>
    </row>
    <row r="3803" ht="22.5" customHeight="1">
      <c r="A3803" s="6" t="s">
        <v>17895</v>
      </c>
      <c r="B3803" s="6" t="s">
        <v>8924</v>
      </c>
      <c r="C3803" s="10">
        <v>46068.0</v>
      </c>
      <c r="D3803" s="6" t="s">
        <v>677</v>
      </c>
      <c r="E3803" s="6" t="s">
        <v>1035</v>
      </c>
      <c r="F3803" s="6" t="s">
        <v>283</v>
      </c>
      <c r="G3803" s="6" t="s">
        <v>477</v>
      </c>
      <c r="H3803" s="10">
        <v>46074.0</v>
      </c>
      <c r="I3803" s="12">
        <v>2.0</v>
      </c>
      <c r="J3803" s="6" t="s">
        <v>161</v>
      </c>
    </row>
    <row r="3804" ht="22.5" customHeight="1">
      <c r="A3804" s="6" t="s">
        <v>17901</v>
      </c>
      <c r="B3804" s="6" t="s">
        <v>8924</v>
      </c>
      <c r="C3804" s="10">
        <v>46084.0</v>
      </c>
      <c r="D3804" s="6" t="s">
        <v>416</v>
      </c>
      <c r="E3804" s="6" t="s">
        <v>1741</v>
      </c>
      <c r="F3804" s="6" t="s">
        <v>439</v>
      </c>
      <c r="G3804" s="6" t="s">
        <v>369</v>
      </c>
      <c r="H3804" s="10">
        <v>46085.0</v>
      </c>
      <c r="I3804" s="12">
        <v>10.0</v>
      </c>
      <c r="J3804" s="6" t="s">
        <v>161</v>
      </c>
    </row>
    <row r="3805" ht="22.5" customHeight="1">
      <c r="A3805" s="6" t="s">
        <v>17904</v>
      </c>
      <c r="B3805" s="6" t="s">
        <v>8930</v>
      </c>
      <c r="C3805" s="10">
        <v>46047.0</v>
      </c>
      <c r="D3805" s="6" t="s">
        <v>242</v>
      </c>
      <c r="E3805" s="6" t="s">
        <v>1741</v>
      </c>
      <c r="F3805" s="6" t="s">
        <v>283</v>
      </c>
      <c r="G3805" s="6" t="s">
        <v>369</v>
      </c>
      <c r="H3805" s="10">
        <v>46051.0</v>
      </c>
      <c r="I3805" s="12">
        <v>4.0</v>
      </c>
      <c r="J3805" s="6" t="s">
        <v>161</v>
      </c>
    </row>
    <row r="3806" ht="22.5" customHeight="1">
      <c r="A3806" s="6" t="s">
        <v>17910</v>
      </c>
      <c r="B3806" s="6" t="s">
        <v>8930</v>
      </c>
      <c r="C3806" s="10">
        <v>46040.0</v>
      </c>
      <c r="D3806" s="6" t="s">
        <v>677</v>
      </c>
      <c r="E3806" s="6" t="s">
        <v>885</v>
      </c>
      <c r="F3806" s="6" t="s">
        <v>249</v>
      </c>
      <c r="G3806" s="6" t="s">
        <v>369</v>
      </c>
      <c r="H3806" s="10">
        <v>46046.0</v>
      </c>
      <c r="I3806" s="12">
        <v>3.0</v>
      </c>
      <c r="J3806" s="6" t="s">
        <v>161</v>
      </c>
    </row>
    <row r="3807" ht="22.5" customHeight="1">
      <c r="A3807" s="6" t="s">
        <v>17914</v>
      </c>
      <c r="B3807" s="6" t="s">
        <v>8930</v>
      </c>
      <c r="C3807" s="10">
        <v>46055.0</v>
      </c>
      <c r="D3807" s="6" t="s">
        <v>289</v>
      </c>
      <c r="E3807" s="6" t="s">
        <v>1055</v>
      </c>
      <c r="F3807" s="6" t="s">
        <v>439</v>
      </c>
      <c r="G3807" s="6" t="s">
        <v>254</v>
      </c>
      <c r="H3807" s="10">
        <v>46057.0</v>
      </c>
      <c r="I3807" s="12">
        <v>10.0</v>
      </c>
      <c r="J3807" s="6" t="s">
        <v>161</v>
      </c>
    </row>
    <row r="3808" ht="22.5" customHeight="1">
      <c r="A3808" s="6" t="s">
        <v>17917</v>
      </c>
      <c r="B3808" s="6" t="s">
        <v>8936</v>
      </c>
      <c r="C3808" s="10">
        <v>46059.0</v>
      </c>
      <c r="D3808" s="6" t="s">
        <v>289</v>
      </c>
      <c r="E3808" s="6" t="s">
        <v>716</v>
      </c>
      <c r="F3808" s="6" t="s">
        <v>283</v>
      </c>
      <c r="G3808" s="6" t="s">
        <v>477</v>
      </c>
      <c r="H3808" s="10">
        <v>46064.0</v>
      </c>
      <c r="I3808" s="12">
        <v>7.0</v>
      </c>
      <c r="J3808" s="6" t="s">
        <v>161</v>
      </c>
    </row>
    <row r="3809" ht="22.5" customHeight="1">
      <c r="A3809" s="6" t="s">
        <v>17921</v>
      </c>
      <c r="B3809" s="6" t="s">
        <v>8943</v>
      </c>
      <c r="C3809" s="10">
        <v>46045.0</v>
      </c>
      <c r="D3809" s="6" t="s">
        <v>242</v>
      </c>
      <c r="E3809" s="6" t="s">
        <v>731</v>
      </c>
      <c r="F3809" s="6" t="s">
        <v>112</v>
      </c>
      <c r="G3809" s="6" t="s">
        <v>254</v>
      </c>
      <c r="H3809" s="10">
        <v>46052.0</v>
      </c>
      <c r="I3809" s="12">
        <v>5.0</v>
      </c>
      <c r="J3809" s="6" t="s">
        <v>178</v>
      </c>
    </row>
    <row r="3810" ht="22.5" customHeight="1">
      <c r="A3810" s="6" t="s">
        <v>17923</v>
      </c>
      <c r="B3810" s="6" t="s">
        <v>8943</v>
      </c>
      <c r="C3810" s="10">
        <v>46030.0</v>
      </c>
      <c r="D3810" s="6" t="s">
        <v>312</v>
      </c>
      <c r="E3810" s="6" t="s">
        <v>775</v>
      </c>
      <c r="F3810" s="6" t="s">
        <v>283</v>
      </c>
      <c r="G3810" s="6" t="s">
        <v>458</v>
      </c>
      <c r="H3810" s="10">
        <v>46036.0</v>
      </c>
      <c r="I3810" s="12">
        <v>5.0</v>
      </c>
      <c r="J3810" s="6" t="s">
        <v>161</v>
      </c>
    </row>
    <row r="3811" ht="22.5" customHeight="1">
      <c r="A3811" s="6" t="s">
        <v>17926</v>
      </c>
      <c r="B3811" s="6" t="s">
        <v>8950</v>
      </c>
      <c r="C3811" s="10">
        <v>46032.0</v>
      </c>
      <c r="D3811" s="6" t="s">
        <v>312</v>
      </c>
      <c r="E3811" s="6" t="s">
        <v>1741</v>
      </c>
      <c r="F3811" s="6" t="s">
        <v>112</v>
      </c>
      <c r="G3811" s="6" t="s">
        <v>494</v>
      </c>
      <c r="H3811" s="10">
        <v>46038.0</v>
      </c>
      <c r="I3811" s="12">
        <v>4.0</v>
      </c>
      <c r="J3811" s="6" t="s">
        <v>161</v>
      </c>
    </row>
    <row r="3812" ht="22.5" customHeight="1">
      <c r="A3812" s="6" t="s">
        <v>17929</v>
      </c>
      <c r="B3812" s="6" t="s">
        <v>8950</v>
      </c>
      <c r="C3812" s="10">
        <v>46038.0</v>
      </c>
      <c r="D3812" s="6" t="s">
        <v>312</v>
      </c>
      <c r="E3812" s="6" t="s">
        <v>863</v>
      </c>
      <c r="F3812" s="6" t="s">
        <v>283</v>
      </c>
      <c r="G3812" s="6" t="s">
        <v>452</v>
      </c>
      <c r="H3812" s="10">
        <v>46043.0</v>
      </c>
      <c r="I3812" s="12">
        <v>6.0</v>
      </c>
      <c r="J3812" s="6" t="s">
        <v>161</v>
      </c>
    </row>
    <row r="3813" ht="22.5" customHeight="1">
      <c r="A3813" s="6" t="s">
        <v>17932</v>
      </c>
      <c r="B3813" s="6" t="s">
        <v>8950</v>
      </c>
      <c r="C3813" s="10">
        <v>46048.0</v>
      </c>
      <c r="D3813" s="6" t="s">
        <v>391</v>
      </c>
      <c r="E3813" s="6" t="s">
        <v>731</v>
      </c>
      <c r="F3813" s="6" t="s">
        <v>249</v>
      </c>
      <c r="G3813" s="6" t="s">
        <v>326</v>
      </c>
      <c r="H3813" s="10">
        <v>46053.0</v>
      </c>
      <c r="I3813" s="12">
        <v>6.0</v>
      </c>
      <c r="J3813" s="6" t="s">
        <v>161</v>
      </c>
    </row>
    <row r="3814" ht="22.5" customHeight="1">
      <c r="A3814" s="6" t="s">
        <v>17936</v>
      </c>
      <c r="B3814" s="6" t="s">
        <v>8950</v>
      </c>
      <c r="C3814" s="10">
        <v>46039.0</v>
      </c>
      <c r="D3814" s="6" t="s">
        <v>436</v>
      </c>
      <c r="E3814" s="6" t="s">
        <v>394</v>
      </c>
      <c r="F3814" s="6" t="s">
        <v>439</v>
      </c>
      <c r="G3814" s="6" t="s">
        <v>297</v>
      </c>
      <c r="H3814" s="10">
        <v>46040.0</v>
      </c>
      <c r="I3814" s="12">
        <v>11.0</v>
      </c>
      <c r="J3814" s="6" t="s">
        <v>178</v>
      </c>
    </row>
    <row r="3815" ht="22.5" customHeight="1">
      <c r="A3815" s="6" t="s">
        <v>17938</v>
      </c>
      <c r="B3815" s="6" t="s">
        <v>8950</v>
      </c>
      <c r="C3815" s="10">
        <v>46043.0</v>
      </c>
      <c r="D3815" s="6" t="s">
        <v>312</v>
      </c>
      <c r="E3815" s="6" t="s">
        <v>1741</v>
      </c>
      <c r="F3815" s="6" t="s">
        <v>249</v>
      </c>
      <c r="G3815" s="6" t="s">
        <v>477</v>
      </c>
      <c r="H3815" s="10">
        <v>46047.0</v>
      </c>
      <c r="I3815" s="12">
        <v>7.0</v>
      </c>
      <c r="J3815" s="6" t="s">
        <v>161</v>
      </c>
    </row>
    <row r="3816" ht="22.5" customHeight="1">
      <c r="A3816" s="6" t="s">
        <v>17943</v>
      </c>
      <c r="B3816" s="6" t="s">
        <v>8956</v>
      </c>
      <c r="C3816" s="10">
        <v>46042.0</v>
      </c>
      <c r="D3816" s="6" t="s">
        <v>289</v>
      </c>
      <c r="E3816" s="6" t="s">
        <v>1122</v>
      </c>
      <c r="F3816" s="6" t="s">
        <v>249</v>
      </c>
      <c r="G3816" s="6" t="s">
        <v>452</v>
      </c>
      <c r="H3816" s="10">
        <v>46045.0</v>
      </c>
      <c r="I3816" s="12">
        <v>5.0</v>
      </c>
      <c r="J3816" s="6" t="s">
        <v>161</v>
      </c>
    </row>
    <row r="3817" ht="22.5" customHeight="1">
      <c r="A3817" s="6" t="s">
        <v>17944</v>
      </c>
      <c r="B3817" s="6" t="s">
        <v>8956</v>
      </c>
      <c r="C3817" s="10">
        <v>46030.0</v>
      </c>
      <c r="D3817" s="6" t="s">
        <v>677</v>
      </c>
      <c r="E3817" s="6" t="s">
        <v>1122</v>
      </c>
      <c r="F3817" s="6" t="s">
        <v>112</v>
      </c>
      <c r="G3817" s="6" t="s">
        <v>494</v>
      </c>
      <c r="H3817" s="10">
        <v>46034.0</v>
      </c>
      <c r="I3817" s="12">
        <v>4.0</v>
      </c>
      <c r="J3817" s="6" t="s">
        <v>161</v>
      </c>
    </row>
    <row r="3818" ht="22.5" customHeight="1">
      <c r="A3818" s="6" t="s">
        <v>17950</v>
      </c>
      <c r="B3818" s="6" t="s">
        <v>8956</v>
      </c>
      <c r="C3818" s="10">
        <v>46042.0</v>
      </c>
      <c r="D3818" s="6" t="s">
        <v>312</v>
      </c>
      <c r="E3818" s="6" t="s">
        <v>896</v>
      </c>
      <c r="F3818" s="6" t="s">
        <v>283</v>
      </c>
      <c r="G3818" s="6" t="s">
        <v>458</v>
      </c>
      <c r="H3818" s="11" t="s">
        <v>259</v>
      </c>
      <c r="I3818" s="12">
        <v>6.0</v>
      </c>
      <c r="J3818" s="6" t="s">
        <v>161</v>
      </c>
    </row>
    <row r="3819" ht="22.5" customHeight="1">
      <c r="A3819" s="6" t="s">
        <v>17953</v>
      </c>
      <c r="B3819" s="6" t="s">
        <v>8956</v>
      </c>
      <c r="C3819" s="10">
        <v>46037.0</v>
      </c>
      <c r="D3819" s="6" t="s">
        <v>242</v>
      </c>
      <c r="E3819" s="6" t="s">
        <v>1310</v>
      </c>
      <c r="F3819" s="6" t="s">
        <v>249</v>
      </c>
      <c r="G3819" s="6" t="s">
        <v>452</v>
      </c>
      <c r="H3819" s="10">
        <v>46038.0</v>
      </c>
      <c r="I3819" s="12">
        <v>3.0</v>
      </c>
      <c r="J3819" s="6" t="s">
        <v>178</v>
      </c>
    </row>
    <row r="3820" ht="22.5" customHeight="1">
      <c r="A3820" s="6" t="s">
        <v>17958</v>
      </c>
      <c r="B3820" s="6" t="s">
        <v>8963</v>
      </c>
      <c r="C3820" s="10">
        <v>46055.0</v>
      </c>
      <c r="D3820" s="6" t="s">
        <v>312</v>
      </c>
      <c r="E3820" s="6" t="s">
        <v>438</v>
      </c>
      <c r="F3820" s="6" t="s">
        <v>249</v>
      </c>
      <c r="G3820" s="6" t="s">
        <v>494</v>
      </c>
      <c r="H3820" s="10">
        <v>46059.0</v>
      </c>
      <c r="I3820" s="12">
        <v>7.0</v>
      </c>
      <c r="J3820" s="6" t="s">
        <v>161</v>
      </c>
    </row>
    <row r="3821" ht="22.5" customHeight="1">
      <c r="A3821" s="6" t="s">
        <v>17964</v>
      </c>
      <c r="B3821" s="6" t="s">
        <v>8963</v>
      </c>
      <c r="C3821" s="10">
        <v>46064.0</v>
      </c>
      <c r="D3821" s="6" t="s">
        <v>242</v>
      </c>
      <c r="E3821" s="6" t="s">
        <v>2881</v>
      </c>
      <c r="F3821" s="6" t="s">
        <v>439</v>
      </c>
      <c r="G3821" s="6" t="s">
        <v>326</v>
      </c>
      <c r="H3821" s="10">
        <v>46067.0</v>
      </c>
      <c r="I3821" s="12">
        <v>5.0</v>
      </c>
      <c r="J3821" s="6" t="s">
        <v>178</v>
      </c>
    </row>
    <row r="3822" ht="22.5" customHeight="1">
      <c r="A3822" s="6" t="s">
        <v>17969</v>
      </c>
      <c r="B3822" s="6" t="s">
        <v>8963</v>
      </c>
      <c r="C3822" s="10">
        <v>46047.0</v>
      </c>
      <c r="D3822" s="6" t="s">
        <v>436</v>
      </c>
      <c r="E3822" s="6" t="s">
        <v>1122</v>
      </c>
      <c r="F3822" s="6" t="s">
        <v>439</v>
      </c>
      <c r="G3822" s="6" t="s">
        <v>297</v>
      </c>
      <c r="H3822" s="10">
        <v>46050.0</v>
      </c>
      <c r="I3822" s="12">
        <v>10.0</v>
      </c>
      <c r="J3822" s="6" t="s">
        <v>178</v>
      </c>
    </row>
    <row r="3823" ht="22.5" customHeight="1">
      <c r="A3823" s="6" t="s">
        <v>17972</v>
      </c>
      <c r="B3823" s="6" t="s">
        <v>8970</v>
      </c>
      <c r="C3823" s="10">
        <v>46039.0</v>
      </c>
      <c r="D3823" s="6" t="s">
        <v>242</v>
      </c>
      <c r="E3823" s="6" t="s">
        <v>863</v>
      </c>
      <c r="F3823" s="6" t="s">
        <v>112</v>
      </c>
      <c r="G3823" s="6" t="s">
        <v>254</v>
      </c>
      <c r="H3823" s="10">
        <v>46046.0</v>
      </c>
      <c r="I3823" s="12">
        <v>6.0</v>
      </c>
      <c r="J3823" s="6" t="s">
        <v>178</v>
      </c>
    </row>
    <row r="3824" ht="22.5" customHeight="1">
      <c r="A3824" s="6" t="s">
        <v>17977</v>
      </c>
      <c r="B3824" s="6" t="s">
        <v>8970</v>
      </c>
      <c r="C3824" s="10">
        <v>46040.0</v>
      </c>
      <c r="D3824" s="6" t="s">
        <v>289</v>
      </c>
      <c r="E3824" s="6" t="s">
        <v>291</v>
      </c>
      <c r="F3824" s="6" t="s">
        <v>283</v>
      </c>
      <c r="G3824" s="6" t="s">
        <v>458</v>
      </c>
      <c r="H3824" s="10">
        <v>46040.0</v>
      </c>
      <c r="I3824" s="12">
        <v>5.0</v>
      </c>
      <c r="J3824" s="6" t="s">
        <v>161</v>
      </c>
    </row>
    <row r="3825" ht="22.5" customHeight="1">
      <c r="A3825" s="6" t="s">
        <v>17982</v>
      </c>
      <c r="B3825" s="6" t="s">
        <v>8970</v>
      </c>
      <c r="C3825" s="10">
        <v>46037.0</v>
      </c>
      <c r="D3825" s="6" t="s">
        <v>416</v>
      </c>
      <c r="E3825" s="6" t="s">
        <v>1296</v>
      </c>
      <c r="F3825" s="6" t="s">
        <v>439</v>
      </c>
      <c r="G3825" s="6" t="s">
        <v>326</v>
      </c>
      <c r="H3825" s="10">
        <v>46040.0</v>
      </c>
      <c r="I3825" s="12">
        <v>14.0</v>
      </c>
      <c r="J3825" s="6" t="s">
        <v>161</v>
      </c>
    </row>
    <row r="3826" ht="22.5" customHeight="1">
      <c r="A3826" s="6" t="s">
        <v>17987</v>
      </c>
      <c r="B3826" s="6" t="s">
        <v>8977</v>
      </c>
      <c r="C3826" s="10">
        <v>46075.0</v>
      </c>
      <c r="D3826" s="6" t="s">
        <v>436</v>
      </c>
      <c r="E3826" s="6" t="s">
        <v>1700</v>
      </c>
      <c r="F3826" s="6" t="s">
        <v>283</v>
      </c>
      <c r="G3826" s="6" t="s">
        <v>458</v>
      </c>
      <c r="H3826" s="10">
        <v>46076.0</v>
      </c>
      <c r="I3826" s="12">
        <v>8.0</v>
      </c>
      <c r="J3826" s="6" t="s">
        <v>178</v>
      </c>
    </row>
    <row r="3827" ht="22.5" customHeight="1">
      <c r="A3827" s="6" t="s">
        <v>17991</v>
      </c>
      <c r="B3827" s="6" t="s">
        <v>8977</v>
      </c>
      <c r="C3827" s="10">
        <v>46065.0</v>
      </c>
      <c r="D3827" s="6" t="s">
        <v>242</v>
      </c>
      <c r="E3827" s="6" t="s">
        <v>716</v>
      </c>
      <c r="F3827" s="6" t="s">
        <v>249</v>
      </c>
      <c r="G3827" s="6" t="s">
        <v>458</v>
      </c>
      <c r="H3827" s="10">
        <v>46071.0</v>
      </c>
      <c r="I3827" s="12">
        <v>5.0</v>
      </c>
      <c r="J3827" s="6" t="s">
        <v>178</v>
      </c>
    </row>
    <row r="3828" ht="22.5" customHeight="1">
      <c r="A3828" s="6" t="s">
        <v>17995</v>
      </c>
      <c r="B3828" s="6" t="s">
        <v>8977</v>
      </c>
      <c r="C3828" s="10">
        <v>46083.0</v>
      </c>
      <c r="D3828" s="6" t="s">
        <v>289</v>
      </c>
      <c r="E3828" s="6" t="s">
        <v>394</v>
      </c>
      <c r="F3828" s="6" t="s">
        <v>249</v>
      </c>
      <c r="G3828" s="6" t="s">
        <v>458</v>
      </c>
      <c r="H3828" s="10">
        <v>46084.0</v>
      </c>
      <c r="I3828" s="12">
        <v>5.0</v>
      </c>
      <c r="J3828" s="6" t="s">
        <v>161</v>
      </c>
    </row>
    <row r="3829" ht="22.5" customHeight="1">
      <c r="A3829" s="6" t="s">
        <v>18001</v>
      </c>
      <c r="B3829" s="6" t="s">
        <v>8983</v>
      </c>
      <c r="C3829" s="10">
        <v>46040.0</v>
      </c>
      <c r="D3829" s="6" t="s">
        <v>289</v>
      </c>
      <c r="E3829" s="6" t="s">
        <v>658</v>
      </c>
      <c r="F3829" s="6" t="s">
        <v>283</v>
      </c>
      <c r="G3829" s="6" t="s">
        <v>477</v>
      </c>
      <c r="H3829" s="10">
        <v>46044.0</v>
      </c>
      <c r="I3829" s="12">
        <v>10.0</v>
      </c>
      <c r="J3829" s="6" t="s">
        <v>161</v>
      </c>
    </row>
    <row r="3830" ht="22.5" customHeight="1">
      <c r="A3830" s="6" t="s">
        <v>18007</v>
      </c>
      <c r="B3830" s="6" t="s">
        <v>8983</v>
      </c>
      <c r="C3830" s="10">
        <v>46044.0</v>
      </c>
      <c r="D3830" s="6" t="s">
        <v>391</v>
      </c>
      <c r="E3830" s="6" t="s">
        <v>1149</v>
      </c>
      <c r="F3830" s="6" t="s">
        <v>283</v>
      </c>
      <c r="G3830" s="6" t="s">
        <v>458</v>
      </c>
      <c r="H3830" s="10">
        <v>46048.0</v>
      </c>
      <c r="I3830" s="12">
        <v>10.0</v>
      </c>
      <c r="J3830" s="6" t="s">
        <v>161</v>
      </c>
    </row>
    <row r="3831" ht="22.5" customHeight="1">
      <c r="A3831" s="6" t="s">
        <v>18010</v>
      </c>
      <c r="B3831" s="6" t="s">
        <v>8983</v>
      </c>
      <c r="C3831" s="10">
        <v>46043.0</v>
      </c>
      <c r="D3831" s="6" t="s">
        <v>242</v>
      </c>
      <c r="E3831" s="6" t="s">
        <v>1600</v>
      </c>
      <c r="F3831" s="6" t="s">
        <v>112</v>
      </c>
      <c r="G3831" s="6" t="s">
        <v>452</v>
      </c>
      <c r="H3831" s="10">
        <v>46046.0</v>
      </c>
      <c r="I3831" s="12">
        <v>6.0</v>
      </c>
      <c r="J3831" s="6" t="s">
        <v>178</v>
      </c>
    </row>
    <row r="3832" ht="22.5" customHeight="1">
      <c r="A3832" s="6" t="s">
        <v>18014</v>
      </c>
      <c r="B3832" s="6" t="s">
        <v>8983</v>
      </c>
      <c r="C3832" s="10">
        <v>46034.0</v>
      </c>
      <c r="D3832" s="6" t="s">
        <v>436</v>
      </c>
      <c r="E3832" s="6" t="s">
        <v>610</v>
      </c>
      <c r="F3832" s="6" t="s">
        <v>249</v>
      </c>
      <c r="G3832" s="6" t="s">
        <v>369</v>
      </c>
      <c r="H3832" s="10">
        <v>46038.0</v>
      </c>
      <c r="I3832" s="12">
        <v>12.0</v>
      </c>
      <c r="J3832" s="6" t="s">
        <v>161</v>
      </c>
    </row>
    <row r="3833" ht="22.5" customHeight="1">
      <c r="A3833" s="6" t="s">
        <v>18019</v>
      </c>
      <c r="B3833" s="6" t="s">
        <v>8983</v>
      </c>
      <c r="C3833" s="10">
        <v>46045.0</v>
      </c>
      <c r="D3833" s="6" t="s">
        <v>289</v>
      </c>
      <c r="E3833" s="6" t="s">
        <v>1280</v>
      </c>
      <c r="F3833" s="6" t="s">
        <v>112</v>
      </c>
      <c r="G3833" s="6" t="s">
        <v>326</v>
      </c>
      <c r="H3833" s="10">
        <v>46051.0</v>
      </c>
      <c r="I3833" s="12">
        <v>6.0</v>
      </c>
      <c r="J3833" s="6" t="s">
        <v>161</v>
      </c>
    </row>
    <row r="3834" ht="22.5" customHeight="1">
      <c r="A3834" s="6" t="s">
        <v>18022</v>
      </c>
      <c r="B3834" s="6" t="s">
        <v>8990</v>
      </c>
      <c r="C3834" s="10">
        <v>46040.0</v>
      </c>
      <c r="D3834" s="6" t="s">
        <v>289</v>
      </c>
      <c r="E3834" s="6" t="s">
        <v>1102</v>
      </c>
      <c r="F3834" s="6" t="s">
        <v>249</v>
      </c>
      <c r="G3834" s="6" t="s">
        <v>452</v>
      </c>
      <c r="H3834" s="10">
        <v>46045.0</v>
      </c>
      <c r="I3834" s="12">
        <v>8.0</v>
      </c>
      <c r="J3834" s="6" t="s">
        <v>161</v>
      </c>
    </row>
    <row r="3835" ht="22.5" customHeight="1">
      <c r="A3835" s="6" t="s">
        <v>18026</v>
      </c>
      <c r="B3835" s="6" t="s">
        <v>8990</v>
      </c>
      <c r="C3835" s="10">
        <v>46044.0</v>
      </c>
      <c r="D3835" s="6" t="s">
        <v>242</v>
      </c>
      <c r="E3835" s="6" t="s">
        <v>738</v>
      </c>
      <c r="F3835" s="6" t="s">
        <v>249</v>
      </c>
      <c r="G3835" s="6" t="s">
        <v>458</v>
      </c>
      <c r="H3835" s="10">
        <v>46049.0</v>
      </c>
      <c r="I3835" s="12">
        <v>3.0</v>
      </c>
      <c r="J3835" s="6" t="s">
        <v>178</v>
      </c>
    </row>
    <row r="3836" ht="22.5" customHeight="1">
      <c r="A3836" s="6" t="s">
        <v>18029</v>
      </c>
      <c r="B3836" s="6" t="s">
        <v>8990</v>
      </c>
      <c r="C3836" s="10">
        <v>46047.0</v>
      </c>
      <c r="D3836" s="6" t="s">
        <v>677</v>
      </c>
      <c r="E3836" s="6" t="s">
        <v>812</v>
      </c>
      <c r="F3836" s="6" t="s">
        <v>112</v>
      </c>
      <c r="G3836" s="6" t="s">
        <v>452</v>
      </c>
      <c r="H3836" s="10">
        <v>46054.0</v>
      </c>
      <c r="I3836" s="12">
        <v>2.0</v>
      </c>
      <c r="J3836" s="6" t="s">
        <v>161</v>
      </c>
    </row>
    <row r="3837" ht="22.5" customHeight="1">
      <c r="A3837" s="6" t="s">
        <v>18033</v>
      </c>
      <c r="B3837" s="6" t="s">
        <v>8990</v>
      </c>
      <c r="C3837" s="10">
        <v>46044.0</v>
      </c>
      <c r="D3837" s="6" t="s">
        <v>391</v>
      </c>
      <c r="E3837" s="6" t="s">
        <v>466</v>
      </c>
      <c r="F3837" s="6" t="s">
        <v>283</v>
      </c>
      <c r="G3837" s="6" t="s">
        <v>477</v>
      </c>
      <c r="H3837" s="10">
        <v>46051.0</v>
      </c>
      <c r="I3837" s="12">
        <v>10.0</v>
      </c>
      <c r="J3837" s="6" t="s">
        <v>161</v>
      </c>
    </row>
    <row r="3838" ht="22.5" customHeight="1">
      <c r="A3838" s="6" t="s">
        <v>18036</v>
      </c>
      <c r="B3838" s="6" t="s">
        <v>8996</v>
      </c>
      <c r="C3838" s="10">
        <v>46036.0</v>
      </c>
      <c r="D3838" s="6" t="s">
        <v>289</v>
      </c>
      <c r="E3838" s="6" t="s">
        <v>798</v>
      </c>
      <c r="F3838" s="6" t="s">
        <v>283</v>
      </c>
      <c r="G3838" s="6" t="s">
        <v>297</v>
      </c>
      <c r="H3838" s="10">
        <v>46042.0</v>
      </c>
      <c r="I3838" s="12">
        <v>10.0</v>
      </c>
      <c r="J3838" s="6" t="s">
        <v>161</v>
      </c>
    </row>
    <row r="3839" ht="22.5" customHeight="1">
      <c r="A3839" s="6" t="s">
        <v>18040</v>
      </c>
      <c r="B3839" s="6" t="s">
        <v>8996</v>
      </c>
      <c r="C3839" s="10">
        <v>46035.0</v>
      </c>
      <c r="D3839" s="6" t="s">
        <v>289</v>
      </c>
      <c r="E3839" s="6" t="s">
        <v>787</v>
      </c>
      <c r="F3839" s="6" t="s">
        <v>249</v>
      </c>
      <c r="G3839" s="6" t="s">
        <v>369</v>
      </c>
      <c r="H3839" s="11" t="s">
        <v>259</v>
      </c>
      <c r="I3839" s="12">
        <v>5.0</v>
      </c>
      <c r="J3839" s="6" t="s">
        <v>161</v>
      </c>
    </row>
    <row r="3840" ht="22.5" customHeight="1">
      <c r="A3840" s="6" t="s">
        <v>18043</v>
      </c>
      <c r="B3840" s="6" t="s">
        <v>8996</v>
      </c>
      <c r="C3840" s="10">
        <v>46035.0</v>
      </c>
      <c r="D3840" s="6" t="s">
        <v>242</v>
      </c>
      <c r="E3840" s="6" t="s">
        <v>1552</v>
      </c>
      <c r="F3840" s="6" t="s">
        <v>439</v>
      </c>
      <c r="G3840" s="6" t="s">
        <v>494</v>
      </c>
      <c r="H3840" s="11" t="s">
        <v>259</v>
      </c>
      <c r="I3840" s="12">
        <v>6.0</v>
      </c>
      <c r="J3840" s="6" t="s">
        <v>178</v>
      </c>
    </row>
    <row r="3841" ht="22.5" customHeight="1">
      <c r="A3841" s="6" t="s">
        <v>18047</v>
      </c>
      <c r="B3841" s="6" t="s">
        <v>8996</v>
      </c>
      <c r="C3841" s="10">
        <v>46047.0</v>
      </c>
      <c r="D3841" s="6" t="s">
        <v>289</v>
      </c>
      <c r="E3841" s="6" t="s">
        <v>787</v>
      </c>
      <c r="F3841" s="6" t="s">
        <v>112</v>
      </c>
      <c r="G3841" s="6" t="s">
        <v>458</v>
      </c>
      <c r="H3841" s="10">
        <v>46047.0</v>
      </c>
      <c r="I3841" s="12">
        <v>5.0</v>
      </c>
      <c r="J3841" s="6" t="s">
        <v>161</v>
      </c>
    </row>
    <row r="3842" ht="22.5" customHeight="1">
      <c r="A3842" s="6" t="s">
        <v>18050</v>
      </c>
      <c r="B3842" s="6" t="s">
        <v>8996</v>
      </c>
      <c r="C3842" s="10">
        <v>46037.0</v>
      </c>
      <c r="D3842" s="6" t="s">
        <v>312</v>
      </c>
      <c r="E3842" s="6" t="s">
        <v>417</v>
      </c>
      <c r="F3842" s="6" t="s">
        <v>439</v>
      </c>
      <c r="G3842" s="6" t="s">
        <v>494</v>
      </c>
      <c r="H3842" s="10">
        <v>46037.0</v>
      </c>
      <c r="I3842" s="12">
        <v>5.0</v>
      </c>
      <c r="J3842" s="6" t="s">
        <v>161</v>
      </c>
    </row>
    <row r="3843" ht="22.5" customHeight="1">
      <c r="A3843" s="6" t="s">
        <v>18058</v>
      </c>
      <c r="B3843" s="6" t="s">
        <v>9001</v>
      </c>
      <c r="C3843" s="10">
        <v>46050.0</v>
      </c>
      <c r="D3843" s="6" t="s">
        <v>677</v>
      </c>
      <c r="E3843" s="6" t="s">
        <v>291</v>
      </c>
      <c r="F3843" s="6" t="s">
        <v>112</v>
      </c>
      <c r="G3843" s="6" t="s">
        <v>458</v>
      </c>
      <c r="H3843" s="11" t="s">
        <v>259</v>
      </c>
      <c r="I3843" s="12">
        <v>3.0</v>
      </c>
      <c r="J3843" s="6" t="s">
        <v>161</v>
      </c>
    </row>
    <row r="3844" ht="22.5" customHeight="1">
      <c r="A3844" s="6" t="s">
        <v>18065</v>
      </c>
      <c r="B3844" s="6" t="s">
        <v>9001</v>
      </c>
      <c r="C3844" s="10">
        <v>46059.0</v>
      </c>
      <c r="D3844" s="6" t="s">
        <v>242</v>
      </c>
      <c r="E3844" s="6" t="s">
        <v>896</v>
      </c>
      <c r="F3844" s="6" t="s">
        <v>283</v>
      </c>
      <c r="G3844" s="6" t="s">
        <v>254</v>
      </c>
      <c r="H3844" s="10">
        <v>46060.0</v>
      </c>
      <c r="I3844" s="12">
        <v>6.0</v>
      </c>
      <c r="J3844" s="6" t="s">
        <v>178</v>
      </c>
    </row>
    <row r="3845" ht="22.5" customHeight="1">
      <c r="A3845" s="6" t="s">
        <v>18072</v>
      </c>
      <c r="B3845" s="6" t="s">
        <v>9001</v>
      </c>
      <c r="C3845" s="10">
        <v>46049.0</v>
      </c>
      <c r="D3845" s="6" t="s">
        <v>391</v>
      </c>
      <c r="E3845" s="6" t="s">
        <v>417</v>
      </c>
      <c r="F3845" s="6" t="s">
        <v>249</v>
      </c>
      <c r="G3845" s="6" t="s">
        <v>452</v>
      </c>
      <c r="H3845" s="10">
        <v>46053.0</v>
      </c>
      <c r="I3845" s="12">
        <v>6.0</v>
      </c>
      <c r="J3845" s="6" t="s">
        <v>161</v>
      </c>
    </row>
    <row r="3846" ht="22.5" customHeight="1">
      <c r="A3846" s="6" t="s">
        <v>18077</v>
      </c>
      <c r="B3846" s="6" t="s">
        <v>9001</v>
      </c>
      <c r="C3846" s="10">
        <v>46052.0</v>
      </c>
      <c r="D3846" s="6" t="s">
        <v>677</v>
      </c>
      <c r="E3846" s="6" t="s">
        <v>1310</v>
      </c>
      <c r="F3846" s="6" t="s">
        <v>249</v>
      </c>
      <c r="G3846" s="6" t="s">
        <v>326</v>
      </c>
      <c r="H3846" s="10">
        <v>46054.0</v>
      </c>
      <c r="I3846" s="12">
        <v>2.0</v>
      </c>
      <c r="J3846" s="6" t="s">
        <v>161</v>
      </c>
    </row>
    <row r="3847" ht="22.5" customHeight="1">
      <c r="A3847" s="6" t="s">
        <v>18083</v>
      </c>
      <c r="B3847" s="6" t="s">
        <v>9007</v>
      </c>
      <c r="C3847" s="10">
        <v>46041.0</v>
      </c>
      <c r="D3847" s="6" t="s">
        <v>289</v>
      </c>
      <c r="E3847" s="6" t="s">
        <v>320</v>
      </c>
      <c r="F3847" s="6" t="s">
        <v>439</v>
      </c>
      <c r="G3847" s="6" t="s">
        <v>254</v>
      </c>
      <c r="H3847" s="10">
        <v>46042.0</v>
      </c>
      <c r="I3847" s="12">
        <v>8.0</v>
      </c>
      <c r="J3847" s="6" t="s">
        <v>161</v>
      </c>
    </row>
    <row r="3848" ht="22.5" customHeight="1">
      <c r="A3848" s="6" t="s">
        <v>18086</v>
      </c>
      <c r="B3848" s="6" t="s">
        <v>9007</v>
      </c>
      <c r="C3848" s="10">
        <v>46059.0</v>
      </c>
      <c r="D3848" s="6" t="s">
        <v>242</v>
      </c>
      <c r="E3848" s="6" t="s">
        <v>450</v>
      </c>
      <c r="F3848" s="6" t="s">
        <v>249</v>
      </c>
      <c r="G3848" s="6" t="s">
        <v>494</v>
      </c>
      <c r="H3848" s="10">
        <v>46060.0</v>
      </c>
      <c r="I3848" s="12">
        <v>4.0</v>
      </c>
      <c r="J3848" s="6" t="s">
        <v>161</v>
      </c>
    </row>
    <row r="3849" ht="22.5" customHeight="1">
      <c r="A3849" s="6" t="s">
        <v>18092</v>
      </c>
      <c r="B3849" s="6" t="s">
        <v>9007</v>
      </c>
      <c r="C3849" s="10">
        <v>46051.0</v>
      </c>
      <c r="D3849" s="6" t="s">
        <v>416</v>
      </c>
      <c r="E3849" s="6" t="s">
        <v>658</v>
      </c>
      <c r="F3849" s="6" t="s">
        <v>249</v>
      </c>
      <c r="G3849" s="6" t="s">
        <v>458</v>
      </c>
      <c r="H3849" s="11" t="s">
        <v>259</v>
      </c>
      <c r="I3849" s="12">
        <v>14.0</v>
      </c>
      <c r="J3849" s="6" t="s">
        <v>161</v>
      </c>
    </row>
    <row r="3850" ht="22.5" customHeight="1">
      <c r="A3850" s="6" t="s">
        <v>18101</v>
      </c>
      <c r="B3850" s="6" t="s">
        <v>9007</v>
      </c>
      <c r="C3850" s="10">
        <v>46044.0</v>
      </c>
      <c r="D3850" s="6" t="s">
        <v>391</v>
      </c>
      <c r="E3850" s="6" t="s">
        <v>1517</v>
      </c>
      <c r="F3850" s="6" t="s">
        <v>112</v>
      </c>
      <c r="G3850" s="6" t="s">
        <v>494</v>
      </c>
      <c r="H3850" s="10">
        <v>46050.0</v>
      </c>
      <c r="I3850" s="12">
        <v>9.0</v>
      </c>
      <c r="J3850" s="6" t="s">
        <v>161</v>
      </c>
    </row>
    <row r="3851" ht="22.5" customHeight="1">
      <c r="A3851" s="6" t="s">
        <v>18107</v>
      </c>
      <c r="B3851" s="6" t="s">
        <v>9014</v>
      </c>
      <c r="C3851" s="10">
        <v>46071.0</v>
      </c>
      <c r="D3851" s="6" t="s">
        <v>242</v>
      </c>
      <c r="E3851" s="6" t="s">
        <v>1600</v>
      </c>
      <c r="F3851" s="6" t="s">
        <v>439</v>
      </c>
      <c r="G3851" s="6" t="s">
        <v>326</v>
      </c>
      <c r="H3851" s="10">
        <v>46074.0</v>
      </c>
      <c r="I3851" s="12">
        <v>5.0</v>
      </c>
      <c r="J3851" s="6" t="s">
        <v>178</v>
      </c>
    </row>
    <row r="3852" ht="22.5" customHeight="1">
      <c r="A3852" s="6" t="s">
        <v>18113</v>
      </c>
      <c r="B3852" s="6" t="s">
        <v>9021</v>
      </c>
      <c r="C3852" s="10">
        <v>46045.0</v>
      </c>
      <c r="D3852" s="6" t="s">
        <v>289</v>
      </c>
      <c r="E3852" s="6" t="s">
        <v>896</v>
      </c>
      <c r="F3852" s="6" t="s">
        <v>249</v>
      </c>
      <c r="G3852" s="6" t="s">
        <v>452</v>
      </c>
      <c r="H3852" s="10">
        <v>46050.0</v>
      </c>
      <c r="I3852" s="12">
        <v>5.0</v>
      </c>
      <c r="J3852" s="6" t="s">
        <v>161</v>
      </c>
    </row>
    <row r="3853" ht="22.5" customHeight="1">
      <c r="A3853" s="6" t="s">
        <v>18119</v>
      </c>
      <c r="B3853" s="6" t="s">
        <v>9021</v>
      </c>
      <c r="C3853" s="10">
        <v>46041.0</v>
      </c>
      <c r="D3853" s="6" t="s">
        <v>242</v>
      </c>
      <c r="E3853" s="6" t="s">
        <v>716</v>
      </c>
      <c r="F3853" s="6" t="s">
        <v>439</v>
      </c>
      <c r="G3853" s="6" t="s">
        <v>297</v>
      </c>
      <c r="H3853" s="10">
        <v>46045.0</v>
      </c>
      <c r="I3853" s="12">
        <v>6.0</v>
      </c>
      <c r="J3853" s="6" t="s">
        <v>178</v>
      </c>
    </row>
    <row r="3854" ht="22.5" customHeight="1">
      <c r="A3854" s="6" t="s">
        <v>18123</v>
      </c>
      <c r="B3854" s="6" t="s">
        <v>9021</v>
      </c>
      <c r="C3854" s="10">
        <v>46045.0</v>
      </c>
      <c r="D3854" s="6" t="s">
        <v>391</v>
      </c>
      <c r="E3854" s="6" t="s">
        <v>1122</v>
      </c>
      <c r="F3854" s="6" t="s">
        <v>283</v>
      </c>
      <c r="G3854" s="6" t="s">
        <v>452</v>
      </c>
      <c r="H3854" s="10">
        <v>46045.0</v>
      </c>
      <c r="I3854" s="12">
        <v>6.0</v>
      </c>
      <c r="J3854" s="6" t="s">
        <v>161</v>
      </c>
    </row>
    <row r="3855" ht="22.5" customHeight="1">
      <c r="A3855" s="6" t="s">
        <v>18128</v>
      </c>
      <c r="B3855" s="6" t="s">
        <v>9021</v>
      </c>
      <c r="C3855" s="10">
        <v>46040.0</v>
      </c>
      <c r="D3855" s="6" t="s">
        <v>289</v>
      </c>
      <c r="E3855" s="6" t="s">
        <v>1055</v>
      </c>
      <c r="F3855" s="6" t="s">
        <v>283</v>
      </c>
      <c r="G3855" s="6" t="s">
        <v>254</v>
      </c>
      <c r="H3855" s="10">
        <v>46043.0</v>
      </c>
      <c r="I3855" s="12">
        <v>7.0</v>
      </c>
      <c r="J3855" s="6" t="s">
        <v>161</v>
      </c>
    </row>
    <row r="3856" ht="22.5" customHeight="1">
      <c r="A3856" s="6" t="s">
        <v>18134</v>
      </c>
      <c r="B3856" s="6" t="s">
        <v>9021</v>
      </c>
      <c r="C3856" s="10">
        <v>46031.0</v>
      </c>
      <c r="D3856" s="6" t="s">
        <v>436</v>
      </c>
      <c r="E3856" s="6" t="s">
        <v>885</v>
      </c>
      <c r="F3856" s="6" t="s">
        <v>112</v>
      </c>
      <c r="G3856" s="6" t="s">
        <v>458</v>
      </c>
      <c r="H3856" s="10">
        <v>46036.0</v>
      </c>
      <c r="I3856" s="12">
        <v>12.0</v>
      </c>
      <c r="J3856" s="6" t="s">
        <v>161</v>
      </c>
    </row>
    <row r="3857" ht="22.5" customHeight="1">
      <c r="A3857" s="6" t="s">
        <v>18140</v>
      </c>
      <c r="B3857" s="6" t="s">
        <v>9028</v>
      </c>
      <c r="C3857" s="10">
        <v>46060.0</v>
      </c>
      <c r="D3857" s="6" t="s">
        <v>289</v>
      </c>
      <c r="E3857" s="6" t="s">
        <v>1149</v>
      </c>
      <c r="F3857" s="6" t="s">
        <v>439</v>
      </c>
      <c r="G3857" s="6" t="s">
        <v>452</v>
      </c>
      <c r="H3857" s="10">
        <v>46067.0</v>
      </c>
      <c r="I3857" s="12">
        <v>7.0</v>
      </c>
      <c r="J3857" s="6" t="s">
        <v>161</v>
      </c>
    </row>
    <row r="3858" ht="22.5" customHeight="1">
      <c r="A3858" s="6" t="s">
        <v>18144</v>
      </c>
      <c r="B3858" s="6" t="s">
        <v>9028</v>
      </c>
      <c r="C3858" s="10">
        <v>46058.0</v>
      </c>
      <c r="D3858" s="6" t="s">
        <v>289</v>
      </c>
      <c r="E3858" s="6" t="s">
        <v>450</v>
      </c>
      <c r="F3858" s="6" t="s">
        <v>112</v>
      </c>
      <c r="G3858" s="6" t="s">
        <v>297</v>
      </c>
      <c r="H3858" s="10">
        <v>46061.0</v>
      </c>
      <c r="I3858" s="12">
        <v>9.0</v>
      </c>
      <c r="J3858" s="6" t="s">
        <v>161</v>
      </c>
    </row>
    <row r="3859" ht="22.5" customHeight="1">
      <c r="A3859" s="6" t="s">
        <v>18147</v>
      </c>
      <c r="B3859" s="6" t="s">
        <v>9028</v>
      </c>
      <c r="C3859" s="10">
        <v>46061.0</v>
      </c>
      <c r="D3859" s="6" t="s">
        <v>677</v>
      </c>
      <c r="E3859" s="6" t="s">
        <v>1241</v>
      </c>
      <c r="F3859" s="6" t="s">
        <v>283</v>
      </c>
      <c r="G3859" s="6" t="s">
        <v>369</v>
      </c>
      <c r="H3859" s="10">
        <v>46063.0</v>
      </c>
      <c r="I3859" s="12">
        <v>3.0</v>
      </c>
      <c r="J3859" s="6" t="s">
        <v>161</v>
      </c>
    </row>
    <row r="3860" ht="22.5" customHeight="1">
      <c r="A3860" s="6" t="s">
        <v>18151</v>
      </c>
      <c r="B3860" s="6" t="s">
        <v>9028</v>
      </c>
      <c r="C3860" s="10">
        <v>46066.0</v>
      </c>
      <c r="D3860" s="6" t="s">
        <v>416</v>
      </c>
      <c r="E3860" s="6" t="s">
        <v>687</v>
      </c>
      <c r="F3860" s="6" t="s">
        <v>249</v>
      </c>
      <c r="G3860" s="6" t="s">
        <v>254</v>
      </c>
      <c r="H3860" s="10">
        <v>46069.0</v>
      </c>
      <c r="I3860" s="12">
        <v>8.0</v>
      </c>
      <c r="J3860" s="6" t="s">
        <v>161</v>
      </c>
    </row>
    <row r="3861" ht="22.5" customHeight="1">
      <c r="A3861" s="6" t="s">
        <v>18154</v>
      </c>
      <c r="B3861" s="6" t="s">
        <v>9036</v>
      </c>
      <c r="C3861" s="10">
        <v>46054.0</v>
      </c>
      <c r="D3861" s="6" t="s">
        <v>436</v>
      </c>
      <c r="E3861" s="6" t="s">
        <v>1546</v>
      </c>
      <c r="F3861" s="6" t="s">
        <v>112</v>
      </c>
      <c r="G3861" s="6" t="s">
        <v>326</v>
      </c>
      <c r="H3861" s="10">
        <v>46057.0</v>
      </c>
      <c r="I3861" s="12">
        <v>10.0</v>
      </c>
      <c r="J3861" s="6" t="s">
        <v>178</v>
      </c>
    </row>
    <row r="3862" ht="22.5" customHeight="1">
      <c r="A3862" s="6" t="s">
        <v>18158</v>
      </c>
      <c r="B3862" s="6" t="s">
        <v>9036</v>
      </c>
      <c r="C3862" s="10">
        <v>46063.0</v>
      </c>
      <c r="D3862" s="6" t="s">
        <v>416</v>
      </c>
      <c r="E3862" s="6" t="s">
        <v>320</v>
      </c>
      <c r="F3862" s="6" t="s">
        <v>439</v>
      </c>
      <c r="G3862" s="6" t="s">
        <v>326</v>
      </c>
      <c r="H3862" s="10">
        <v>46066.0</v>
      </c>
      <c r="I3862" s="12">
        <v>8.0</v>
      </c>
      <c r="J3862" s="6" t="s">
        <v>161</v>
      </c>
    </row>
    <row r="3863" ht="22.5" customHeight="1">
      <c r="A3863" s="6" t="s">
        <v>18161</v>
      </c>
      <c r="B3863" s="6" t="s">
        <v>9036</v>
      </c>
      <c r="C3863" s="10">
        <v>46052.0</v>
      </c>
      <c r="D3863" s="6" t="s">
        <v>436</v>
      </c>
      <c r="E3863" s="6" t="s">
        <v>618</v>
      </c>
      <c r="F3863" s="6" t="s">
        <v>112</v>
      </c>
      <c r="G3863" s="6" t="s">
        <v>254</v>
      </c>
      <c r="H3863" s="10">
        <v>46054.0</v>
      </c>
      <c r="I3863" s="12">
        <v>6.0</v>
      </c>
      <c r="J3863" s="6" t="s">
        <v>178</v>
      </c>
    </row>
    <row r="3864" ht="22.5" customHeight="1">
      <c r="A3864" s="6" t="s">
        <v>18165</v>
      </c>
      <c r="B3864" s="6" t="s">
        <v>9036</v>
      </c>
      <c r="C3864" s="10">
        <v>46050.0</v>
      </c>
      <c r="D3864" s="6" t="s">
        <v>436</v>
      </c>
      <c r="E3864" s="6" t="s">
        <v>450</v>
      </c>
      <c r="F3864" s="6" t="s">
        <v>439</v>
      </c>
      <c r="G3864" s="6" t="s">
        <v>458</v>
      </c>
      <c r="H3864" s="10">
        <v>46054.0</v>
      </c>
      <c r="I3864" s="12">
        <v>10.0</v>
      </c>
      <c r="J3864" s="6" t="s">
        <v>161</v>
      </c>
    </row>
    <row r="3865" ht="22.5" customHeight="1">
      <c r="A3865" s="6" t="s">
        <v>18167</v>
      </c>
      <c r="B3865" s="6" t="s">
        <v>9036</v>
      </c>
      <c r="C3865" s="10">
        <v>46052.0</v>
      </c>
      <c r="D3865" s="6" t="s">
        <v>436</v>
      </c>
      <c r="E3865" s="6" t="s">
        <v>670</v>
      </c>
      <c r="F3865" s="6" t="s">
        <v>249</v>
      </c>
      <c r="G3865" s="6" t="s">
        <v>254</v>
      </c>
      <c r="H3865" s="10">
        <v>46054.0</v>
      </c>
      <c r="I3865" s="12">
        <v>9.0</v>
      </c>
      <c r="J3865" s="6" t="s">
        <v>178</v>
      </c>
    </row>
    <row r="3866" ht="22.5" customHeight="1">
      <c r="A3866" s="6" t="s">
        <v>18171</v>
      </c>
      <c r="B3866" s="6" t="s">
        <v>9043</v>
      </c>
      <c r="C3866" s="10">
        <v>46065.0</v>
      </c>
      <c r="D3866" s="6" t="s">
        <v>416</v>
      </c>
      <c r="E3866" s="6" t="s">
        <v>1517</v>
      </c>
      <c r="F3866" s="6" t="s">
        <v>249</v>
      </c>
      <c r="G3866" s="6" t="s">
        <v>452</v>
      </c>
      <c r="H3866" s="10">
        <v>46070.0</v>
      </c>
      <c r="I3866" s="12">
        <v>13.0</v>
      </c>
      <c r="J3866" s="6" t="s">
        <v>161</v>
      </c>
    </row>
    <row r="3867" ht="22.5" customHeight="1">
      <c r="A3867" s="6" t="s">
        <v>18174</v>
      </c>
      <c r="B3867" s="6" t="s">
        <v>9043</v>
      </c>
      <c r="C3867" s="10">
        <v>46062.0</v>
      </c>
      <c r="D3867" s="6" t="s">
        <v>436</v>
      </c>
      <c r="E3867" s="6" t="s">
        <v>1741</v>
      </c>
      <c r="F3867" s="6" t="s">
        <v>439</v>
      </c>
      <c r="G3867" s="6" t="s">
        <v>458</v>
      </c>
      <c r="H3867" s="10">
        <v>46067.0</v>
      </c>
      <c r="I3867" s="12">
        <v>6.0</v>
      </c>
      <c r="J3867" s="6" t="s">
        <v>178</v>
      </c>
    </row>
    <row r="3868" ht="22.5" customHeight="1">
      <c r="A3868" s="6" t="s">
        <v>18179</v>
      </c>
      <c r="B3868" s="6" t="s">
        <v>9043</v>
      </c>
      <c r="C3868" s="10">
        <v>46066.0</v>
      </c>
      <c r="D3868" s="6" t="s">
        <v>436</v>
      </c>
      <c r="E3868" s="6" t="s">
        <v>320</v>
      </c>
      <c r="F3868" s="6" t="s">
        <v>249</v>
      </c>
      <c r="G3868" s="6" t="s">
        <v>458</v>
      </c>
      <c r="H3868" s="10">
        <v>46071.0</v>
      </c>
      <c r="I3868" s="12">
        <v>10.0</v>
      </c>
      <c r="J3868" s="6" t="s">
        <v>178</v>
      </c>
    </row>
    <row r="3869" ht="22.5" customHeight="1">
      <c r="A3869" s="6" t="s">
        <v>18181</v>
      </c>
      <c r="B3869" s="6" t="s">
        <v>9043</v>
      </c>
      <c r="C3869" s="10">
        <v>46074.0</v>
      </c>
      <c r="D3869" s="6" t="s">
        <v>242</v>
      </c>
      <c r="E3869" s="6" t="s">
        <v>731</v>
      </c>
      <c r="F3869" s="6" t="s">
        <v>283</v>
      </c>
      <c r="G3869" s="6" t="s">
        <v>477</v>
      </c>
      <c r="H3869" s="10">
        <v>46076.0</v>
      </c>
      <c r="I3869" s="12">
        <v>6.0</v>
      </c>
      <c r="J3869" s="6" t="s">
        <v>178</v>
      </c>
    </row>
    <row r="3870" ht="22.5" customHeight="1">
      <c r="A3870" s="6" t="s">
        <v>18186</v>
      </c>
      <c r="B3870" s="6" t="s">
        <v>9050</v>
      </c>
      <c r="C3870" s="10">
        <v>46057.0</v>
      </c>
      <c r="D3870" s="6" t="s">
        <v>391</v>
      </c>
      <c r="E3870" s="6" t="s">
        <v>246</v>
      </c>
      <c r="F3870" s="6" t="s">
        <v>112</v>
      </c>
      <c r="G3870" s="6" t="s">
        <v>477</v>
      </c>
      <c r="H3870" s="10">
        <v>46061.0</v>
      </c>
      <c r="I3870" s="12">
        <v>9.0</v>
      </c>
      <c r="J3870" s="6" t="s">
        <v>161</v>
      </c>
    </row>
    <row r="3871" ht="22.5" customHeight="1">
      <c r="A3871" s="6" t="s">
        <v>18188</v>
      </c>
      <c r="B3871" s="6" t="s">
        <v>9050</v>
      </c>
      <c r="C3871" s="10">
        <v>46057.0</v>
      </c>
      <c r="D3871" s="6" t="s">
        <v>677</v>
      </c>
      <c r="E3871" s="6" t="s">
        <v>1280</v>
      </c>
      <c r="F3871" s="6" t="s">
        <v>283</v>
      </c>
      <c r="G3871" s="6" t="s">
        <v>254</v>
      </c>
      <c r="H3871" s="10">
        <v>46061.0</v>
      </c>
      <c r="I3871" s="12">
        <v>2.0</v>
      </c>
      <c r="J3871" s="6" t="s">
        <v>161</v>
      </c>
    </row>
    <row r="3872" ht="22.5" customHeight="1">
      <c r="A3872" s="6" t="s">
        <v>18193</v>
      </c>
      <c r="B3872" s="6" t="s">
        <v>9050</v>
      </c>
      <c r="C3872" s="10">
        <v>46061.0</v>
      </c>
      <c r="D3872" s="6" t="s">
        <v>416</v>
      </c>
      <c r="E3872" s="6" t="s">
        <v>566</v>
      </c>
      <c r="F3872" s="6" t="s">
        <v>112</v>
      </c>
      <c r="G3872" s="6" t="s">
        <v>494</v>
      </c>
      <c r="H3872" s="10">
        <v>46062.0</v>
      </c>
      <c r="I3872" s="12">
        <v>11.0</v>
      </c>
      <c r="J3872" s="6" t="s">
        <v>161</v>
      </c>
    </row>
    <row r="3873" ht="22.5" customHeight="1">
      <c r="A3873" s="6" t="s">
        <v>18201</v>
      </c>
      <c r="B3873" s="6" t="s">
        <v>9050</v>
      </c>
      <c r="C3873" s="10">
        <v>46044.0</v>
      </c>
      <c r="D3873" s="6" t="s">
        <v>391</v>
      </c>
      <c r="E3873" s="6" t="s">
        <v>955</v>
      </c>
      <c r="F3873" s="6" t="s">
        <v>439</v>
      </c>
      <c r="G3873" s="6" t="s">
        <v>369</v>
      </c>
      <c r="H3873" s="11" t="s">
        <v>259</v>
      </c>
      <c r="I3873" s="12">
        <v>11.0</v>
      </c>
      <c r="J3873" s="6" t="s">
        <v>161</v>
      </c>
    </row>
    <row r="3874" ht="22.5" customHeight="1">
      <c r="A3874" s="6" t="s">
        <v>18208</v>
      </c>
      <c r="B3874" s="6" t="s">
        <v>9056</v>
      </c>
      <c r="C3874" s="10">
        <v>46079.0</v>
      </c>
      <c r="D3874" s="6" t="s">
        <v>416</v>
      </c>
      <c r="E3874" s="6" t="s">
        <v>885</v>
      </c>
      <c r="F3874" s="6" t="s">
        <v>439</v>
      </c>
      <c r="G3874" s="6" t="s">
        <v>477</v>
      </c>
      <c r="H3874" s="10">
        <v>46079.0</v>
      </c>
      <c r="I3874" s="12">
        <v>9.0</v>
      </c>
      <c r="J3874" s="6" t="s">
        <v>161</v>
      </c>
    </row>
    <row r="3875" ht="22.5" customHeight="1">
      <c r="A3875" s="6" t="s">
        <v>18215</v>
      </c>
      <c r="B3875" s="6" t="s">
        <v>9056</v>
      </c>
      <c r="C3875" s="10">
        <v>46070.0</v>
      </c>
      <c r="D3875" s="6" t="s">
        <v>391</v>
      </c>
      <c r="E3875" s="6" t="s">
        <v>1122</v>
      </c>
      <c r="F3875" s="6" t="s">
        <v>283</v>
      </c>
      <c r="G3875" s="6" t="s">
        <v>369</v>
      </c>
      <c r="H3875" s="10">
        <v>46076.0</v>
      </c>
      <c r="I3875" s="12">
        <v>8.0</v>
      </c>
      <c r="J3875" s="6" t="s">
        <v>161</v>
      </c>
    </row>
    <row r="3876" ht="22.5" customHeight="1">
      <c r="A3876" s="6" t="s">
        <v>18218</v>
      </c>
      <c r="B3876" s="6" t="s">
        <v>9056</v>
      </c>
      <c r="C3876" s="10">
        <v>46076.0</v>
      </c>
      <c r="D3876" s="6" t="s">
        <v>677</v>
      </c>
      <c r="E3876" s="6" t="s">
        <v>1517</v>
      </c>
      <c r="F3876" s="6" t="s">
        <v>249</v>
      </c>
      <c r="G3876" s="6" t="s">
        <v>326</v>
      </c>
      <c r="H3876" s="10">
        <v>46083.0</v>
      </c>
      <c r="I3876" s="12">
        <v>2.0</v>
      </c>
      <c r="J3876" s="6" t="s">
        <v>161</v>
      </c>
    </row>
    <row r="3877" ht="22.5" customHeight="1">
      <c r="A3877" s="6" t="s">
        <v>18222</v>
      </c>
      <c r="B3877" s="6" t="s">
        <v>9056</v>
      </c>
      <c r="C3877" s="10">
        <v>46086.0</v>
      </c>
      <c r="D3877" s="6" t="s">
        <v>242</v>
      </c>
      <c r="E3877" s="6" t="s">
        <v>787</v>
      </c>
      <c r="F3877" s="6" t="s">
        <v>249</v>
      </c>
      <c r="G3877" s="6" t="s">
        <v>494</v>
      </c>
      <c r="H3877" s="10">
        <v>46088.0</v>
      </c>
      <c r="I3877" s="12">
        <v>3.0</v>
      </c>
      <c r="J3877" s="6" t="s">
        <v>161</v>
      </c>
    </row>
    <row r="3878" ht="22.5" customHeight="1">
      <c r="A3878" s="6" t="s">
        <v>18230</v>
      </c>
      <c r="B3878" s="6" t="s">
        <v>9056</v>
      </c>
      <c r="C3878" s="10">
        <v>46073.0</v>
      </c>
      <c r="D3878" s="6" t="s">
        <v>416</v>
      </c>
      <c r="E3878" s="6" t="s">
        <v>1600</v>
      </c>
      <c r="F3878" s="6" t="s">
        <v>112</v>
      </c>
      <c r="G3878" s="6" t="s">
        <v>458</v>
      </c>
      <c r="H3878" s="10">
        <v>46075.0</v>
      </c>
      <c r="I3878" s="12">
        <v>13.0</v>
      </c>
      <c r="J3878" s="6" t="s">
        <v>161</v>
      </c>
    </row>
    <row r="3879" ht="22.5" customHeight="1">
      <c r="A3879" s="6" t="s">
        <v>18235</v>
      </c>
      <c r="B3879" s="6" t="s">
        <v>9062</v>
      </c>
      <c r="C3879" s="10">
        <v>46039.0</v>
      </c>
      <c r="D3879" s="6" t="s">
        <v>436</v>
      </c>
      <c r="E3879" s="6" t="s">
        <v>687</v>
      </c>
      <c r="F3879" s="6" t="s">
        <v>112</v>
      </c>
      <c r="G3879" s="6" t="s">
        <v>326</v>
      </c>
      <c r="H3879" s="10">
        <v>46039.0</v>
      </c>
      <c r="I3879" s="12">
        <v>10.0</v>
      </c>
      <c r="J3879" s="6" t="s">
        <v>178</v>
      </c>
    </row>
    <row r="3880" ht="22.5" customHeight="1">
      <c r="A3880" s="6" t="s">
        <v>18242</v>
      </c>
      <c r="B3880" s="6" t="s">
        <v>9069</v>
      </c>
      <c r="C3880" s="10">
        <v>46084.0</v>
      </c>
      <c r="D3880" s="6" t="s">
        <v>391</v>
      </c>
      <c r="E3880" s="6" t="s">
        <v>566</v>
      </c>
      <c r="F3880" s="6" t="s">
        <v>439</v>
      </c>
      <c r="G3880" s="6" t="s">
        <v>458</v>
      </c>
      <c r="H3880" s="11" t="s">
        <v>259</v>
      </c>
      <c r="I3880" s="12">
        <v>8.0</v>
      </c>
      <c r="J3880" s="6" t="s">
        <v>161</v>
      </c>
    </row>
    <row r="3881" ht="22.5" customHeight="1">
      <c r="A3881" s="6" t="s">
        <v>18248</v>
      </c>
      <c r="B3881" s="6" t="s">
        <v>9075</v>
      </c>
      <c r="C3881" s="10">
        <v>46071.0</v>
      </c>
      <c r="D3881" s="6" t="s">
        <v>416</v>
      </c>
      <c r="E3881" s="6" t="s">
        <v>634</v>
      </c>
      <c r="F3881" s="6" t="s">
        <v>249</v>
      </c>
      <c r="G3881" s="6" t="s">
        <v>494</v>
      </c>
      <c r="H3881" s="10">
        <v>46072.0</v>
      </c>
      <c r="I3881" s="12">
        <v>8.0</v>
      </c>
      <c r="J3881" s="6" t="s">
        <v>161</v>
      </c>
    </row>
    <row r="3882" ht="22.5" customHeight="1">
      <c r="A3882" s="6" t="s">
        <v>18252</v>
      </c>
      <c r="B3882" s="6" t="s">
        <v>9075</v>
      </c>
      <c r="C3882" s="10">
        <v>46085.0</v>
      </c>
      <c r="D3882" s="6" t="s">
        <v>312</v>
      </c>
      <c r="E3882" s="6" t="s">
        <v>417</v>
      </c>
      <c r="F3882" s="6" t="s">
        <v>112</v>
      </c>
      <c r="G3882" s="6" t="s">
        <v>458</v>
      </c>
      <c r="H3882" s="10">
        <v>46087.0</v>
      </c>
      <c r="I3882" s="12">
        <v>5.0</v>
      </c>
      <c r="J3882" s="6" t="s">
        <v>161</v>
      </c>
    </row>
    <row r="3883" ht="22.5" customHeight="1">
      <c r="A3883" s="6" t="s">
        <v>18258</v>
      </c>
      <c r="B3883" s="6" t="s">
        <v>9075</v>
      </c>
      <c r="C3883" s="10">
        <v>46073.0</v>
      </c>
      <c r="D3883" s="6" t="s">
        <v>242</v>
      </c>
      <c r="E3883" s="6" t="s">
        <v>1546</v>
      </c>
      <c r="F3883" s="6" t="s">
        <v>283</v>
      </c>
      <c r="G3883" s="6" t="s">
        <v>477</v>
      </c>
      <c r="H3883" s="10">
        <v>46078.0</v>
      </c>
      <c r="I3883" s="12">
        <v>6.0</v>
      </c>
      <c r="J3883" s="6" t="s">
        <v>178</v>
      </c>
    </row>
    <row r="3884" ht="22.5" customHeight="1">
      <c r="A3884" s="6" t="s">
        <v>18261</v>
      </c>
      <c r="B3884" s="6" t="s">
        <v>9075</v>
      </c>
      <c r="C3884" s="10">
        <v>46084.0</v>
      </c>
      <c r="D3884" s="6" t="s">
        <v>312</v>
      </c>
      <c r="E3884" s="6" t="s">
        <v>1720</v>
      </c>
      <c r="F3884" s="6" t="s">
        <v>249</v>
      </c>
      <c r="G3884" s="6" t="s">
        <v>494</v>
      </c>
      <c r="H3884" s="10">
        <v>46089.0</v>
      </c>
      <c r="I3884" s="12">
        <v>4.0</v>
      </c>
      <c r="J3884" s="6" t="s">
        <v>161</v>
      </c>
    </row>
    <row r="3885" ht="22.5" customHeight="1">
      <c r="A3885" s="6" t="s">
        <v>18265</v>
      </c>
      <c r="B3885" s="6" t="s">
        <v>9082</v>
      </c>
      <c r="C3885" s="10">
        <v>46059.0</v>
      </c>
      <c r="D3885" s="6" t="s">
        <v>289</v>
      </c>
      <c r="E3885" s="6" t="s">
        <v>775</v>
      </c>
      <c r="F3885" s="6" t="s">
        <v>283</v>
      </c>
      <c r="G3885" s="6" t="s">
        <v>477</v>
      </c>
      <c r="H3885" s="10">
        <v>46063.0</v>
      </c>
      <c r="I3885" s="12">
        <v>8.0</v>
      </c>
      <c r="J3885" s="6" t="s">
        <v>161</v>
      </c>
    </row>
    <row r="3886" ht="22.5" customHeight="1">
      <c r="A3886" s="6" t="s">
        <v>18272</v>
      </c>
      <c r="B3886" s="6" t="s">
        <v>9088</v>
      </c>
      <c r="C3886" s="10">
        <v>46072.0</v>
      </c>
      <c r="D3886" s="6" t="s">
        <v>312</v>
      </c>
      <c r="E3886" s="6" t="s">
        <v>1310</v>
      </c>
      <c r="F3886" s="6" t="s">
        <v>249</v>
      </c>
      <c r="G3886" s="6" t="s">
        <v>477</v>
      </c>
      <c r="H3886" s="10">
        <v>46074.0</v>
      </c>
      <c r="I3886" s="12">
        <v>5.0</v>
      </c>
      <c r="J3886" s="6" t="s">
        <v>161</v>
      </c>
    </row>
    <row r="3887" ht="22.5" customHeight="1">
      <c r="A3887" s="6" t="s">
        <v>18276</v>
      </c>
      <c r="B3887" s="6" t="s">
        <v>9088</v>
      </c>
      <c r="C3887" s="10">
        <v>46078.0</v>
      </c>
      <c r="D3887" s="6" t="s">
        <v>312</v>
      </c>
      <c r="E3887" s="6" t="s">
        <v>320</v>
      </c>
      <c r="F3887" s="6" t="s">
        <v>112</v>
      </c>
      <c r="G3887" s="6" t="s">
        <v>458</v>
      </c>
      <c r="H3887" s="10">
        <v>46084.0</v>
      </c>
      <c r="I3887" s="12">
        <v>6.0</v>
      </c>
      <c r="J3887" s="6" t="s">
        <v>161</v>
      </c>
    </row>
    <row r="3888" ht="22.5" customHeight="1">
      <c r="A3888" s="6" t="s">
        <v>18281</v>
      </c>
      <c r="B3888" s="6" t="s">
        <v>9088</v>
      </c>
      <c r="C3888" s="10">
        <v>46077.0</v>
      </c>
      <c r="D3888" s="6" t="s">
        <v>242</v>
      </c>
      <c r="E3888" s="6" t="s">
        <v>670</v>
      </c>
      <c r="F3888" s="6" t="s">
        <v>283</v>
      </c>
      <c r="G3888" s="6" t="s">
        <v>369</v>
      </c>
      <c r="H3888" s="10">
        <v>46084.0</v>
      </c>
      <c r="I3888" s="12">
        <v>4.0</v>
      </c>
      <c r="J3888" s="6" t="s">
        <v>161</v>
      </c>
    </row>
    <row r="3889" ht="22.5" customHeight="1">
      <c r="A3889" s="6" t="s">
        <v>18283</v>
      </c>
      <c r="B3889" s="6" t="s">
        <v>9088</v>
      </c>
      <c r="C3889" s="10">
        <v>46071.0</v>
      </c>
      <c r="D3889" s="6" t="s">
        <v>289</v>
      </c>
      <c r="E3889" s="6" t="s">
        <v>955</v>
      </c>
      <c r="F3889" s="6" t="s">
        <v>249</v>
      </c>
      <c r="G3889" s="6" t="s">
        <v>458</v>
      </c>
      <c r="H3889" s="10">
        <v>46077.0</v>
      </c>
      <c r="I3889" s="12">
        <v>5.0</v>
      </c>
      <c r="J3889" s="6" t="s">
        <v>161</v>
      </c>
    </row>
    <row r="3890" ht="22.5" customHeight="1">
      <c r="A3890" s="6" t="s">
        <v>18289</v>
      </c>
      <c r="B3890" s="6" t="s">
        <v>9094</v>
      </c>
      <c r="C3890" s="10">
        <v>46059.0</v>
      </c>
      <c r="D3890" s="6" t="s">
        <v>416</v>
      </c>
      <c r="E3890" s="6" t="s">
        <v>1386</v>
      </c>
      <c r="F3890" s="6" t="s">
        <v>112</v>
      </c>
      <c r="G3890" s="6" t="s">
        <v>477</v>
      </c>
      <c r="H3890" s="10">
        <v>46060.0</v>
      </c>
      <c r="I3890" s="12">
        <v>9.0</v>
      </c>
      <c r="J3890" s="6" t="s">
        <v>161</v>
      </c>
    </row>
    <row r="3891" ht="22.5" customHeight="1">
      <c r="A3891" s="6" t="s">
        <v>18293</v>
      </c>
      <c r="B3891" s="6" t="s">
        <v>9094</v>
      </c>
      <c r="C3891" s="10">
        <v>46068.0</v>
      </c>
      <c r="D3891" s="6" t="s">
        <v>312</v>
      </c>
      <c r="E3891" s="6" t="s">
        <v>738</v>
      </c>
      <c r="F3891" s="6" t="s">
        <v>283</v>
      </c>
      <c r="G3891" s="6" t="s">
        <v>326</v>
      </c>
      <c r="H3891" s="10">
        <v>46068.0</v>
      </c>
      <c r="I3891" s="12">
        <v>4.0</v>
      </c>
      <c r="J3891" s="6" t="s">
        <v>161</v>
      </c>
    </row>
    <row r="3892" ht="22.5" customHeight="1">
      <c r="A3892" s="6" t="s">
        <v>18298</v>
      </c>
      <c r="B3892" s="6" t="s">
        <v>9100</v>
      </c>
      <c r="C3892" s="10">
        <v>46030.0</v>
      </c>
      <c r="D3892" s="6" t="s">
        <v>436</v>
      </c>
      <c r="E3892" s="6" t="s">
        <v>1969</v>
      </c>
      <c r="F3892" s="6" t="s">
        <v>439</v>
      </c>
      <c r="G3892" s="6" t="s">
        <v>452</v>
      </c>
      <c r="H3892" s="10">
        <v>46032.0</v>
      </c>
      <c r="I3892" s="12">
        <v>12.0</v>
      </c>
      <c r="J3892" s="6" t="s">
        <v>178</v>
      </c>
    </row>
    <row r="3893" ht="22.5" customHeight="1">
      <c r="A3893" s="6" t="s">
        <v>18302</v>
      </c>
      <c r="B3893" s="6" t="s">
        <v>9107</v>
      </c>
      <c r="C3893" s="10">
        <v>46052.0</v>
      </c>
      <c r="D3893" s="6" t="s">
        <v>677</v>
      </c>
      <c r="E3893" s="6" t="s">
        <v>1102</v>
      </c>
      <c r="F3893" s="6" t="s">
        <v>439</v>
      </c>
      <c r="G3893" s="6" t="s">
        <v>297</v>
      </c>
      <c r="H3893" s="10">
        <v>46055.0</v>
      </c>
      <c r="I3893" s="12">
        <v>2.0</v>
      </c>
      <c r="J3893" s="6" t="s">
        <v>161</v>
      </c>
    </row>
    <row r="3894" ht="22.5" customHeight="1">
      <c r="A3894" s="6" t="s">
        <v>18306</v>
      </c>
      <c r="B3894" s="6" t="s">
        <v>9107</v>
      </c>
      <c r="C3894" s="10">
        <v>46041.0</v>
      </c>
      <c r="D3894" s="6" t="s">
        <v>436</v>
      </c>
      <c r="E3894" s="6" t="s">
        <v>634</v>
      </c>
      <c r="F3894" s="6" t="s">
        <v>249</v>
      </c>
      <c r="G3894" s="6" t="s">
        <v>458</v>
      </c>
      <c r="H3894" s="10">
        <v>46048.0</v>
      </c>
      <c r="I3894" s="12">
        <v>7.0</v>
      </c>
      <c r="J3894" s="6" t="s">
        <v>178</v>
      </c>
    </row>
    <row r="3895" ht="22.5" customHeight="1">
      <c r="A3895" s="6" t="s">
        <v>18309</v>
      </c>
      <c r="B3895" s="6" t="s">
        <v>9113</v>
      </c>
      <c r="C3895" s="10">
        <v>46036.0</v>
      </c>
      <c r="D3895" s="6" t="s">
        <v>436</v>
      </c>
      <c r="E3895" s="6" t="s">
        <v>1700</v>
      </c>
      <c r="F3895" s="6" t="s">
        <v>112</v>
      </c>
      <c r="G3895" s="6" t="s">
        <v>494</v>
      </c>
      <c r="H3895" s="10">
        <v>46037.0</v>
      </c>
      <c r="I3895" s="12">
        <v>9.0</v>
      </c>
      <c r="J3895" s="6" t="s">
        <v>161</v>
      </c>
    </row>
    <row r="3896" ht="22.5" customHeight="1">
      <c r="A3896" s="6" t="s">
        <v>18313</v>
      </c>
      <c r="B3896" s="6" t="s">
        <v>9113</v>
      </c>
      <c r="C3896" s="10">
        <v>46044.0</v>
      </c>
      <c r="D3896" s="6" t="s">
        <v>289</v>
      </c>
      <c r="E3896" s="6" t="s">
        <v>1070</v>
      </c>
      <c r="F3896" s="6" t="s">
        <v>439</v>
      </c>
      <c r="G3896" s="6" t="s">
        <v>477</v>
      </c>
      <c r="H3896" s="10">
        <v>46044.0</v>
      </c>
      <c r="I3896" s="12">
        <v>7.0</v>
      </c>
      <c r="J3896" s="6" t="s">
        <v>161</v>
      </c>
    </row>
    <row r="3897" ht="22.5" customHeight="1">
      <c r="A3897" s="6" t="s">
        <v>18319</v>
      </c>
      <c r="B3897" s="6" t="s">
        <v>9120</v>
      </c>
      <c r="C3897" s="10">
        <v>46079.0</v>
      </c>
      <c r="D3897" s="6" t="s">
        <v>312</v>
      </c>
      <c r="E3897" s="6" t="s">
        <v>670</v>
      </c>
      <c r="F3897" s="6" t="s">
        <v>112</v>
      </c>
      <c r="G3897" s="6" t="s">
        <v>452</v>
      </c>
      <c r="H3897" s="10">
        <v>46083.0</v>
      </c>
      <c r="I3897" s="12">
        <v>6.0</v>
      </c>
      <c r="J3897" s="6" t="s">
        <v>161</v>
      </c>
    </row>
    <row r="3898" ht="22.5" customHeight="1">
      <c r="A3898" s="6" t="s">
        <v>18322</v>
      </c>
      <c r="B3898" s="6" t="s">
        <v>9120</v>
      </c>
      <c r="C3898" s="10">
        <v>46078.0</v>
      </c>
      <c r="D3898" s="6" t="s">
        <v>391</v>
      </c>
      <c r="E3898" s="6" t="s">
        <v>687</v>
      </c>
      <c r="F3898" s="6" t="s">
        <v>249</v>
      </c>
      <c r="G3898" s="6" t="s">
        <v>326</v>
      </c>
      <c r="H3898" s="10">
        <v>46078.0</v>
      </c>
      <c r="I3898" s="12">
        <v>8.0</v>
      </c>
      <c r="J3898" s="6" t="s">
        <v>161</v>
      </c>
    </row>
    <row r="3899" ht="22.5" customHeight="1">
      <c r="A3899" s="6" t="s">
        <v>18326</v>
      </c>
      <c r="B3899" s="6" t="s">
        <v>9126</v>
      </c>
      <c r="C3899" s="10">
        <v>46081.0</v>
      </c>
      <c r="D3899" s="6" t="s">
        <v>416</v>
      </c>
      <c r="E3899" s="6" t="s">
        <v>1546</v>
      </c>
      <c r="F3899" s="6" t="s">
        <v>249</v>
      </c>
      <c r="G3899" s="6" t="s">
        <v>297</v>
      </c>
      <c r="H3899" s="10">
        <v>46085.0</v>
      </c>
      <c r="I3899" s="12">
        <v>14.0</v>
      </c>
      <c r="J3899" s="6" t="s">
        <v>161</v>
      </c>
    </row>
    <row r="3900" ht="22.5" customHeight="1">
      <c r="A3900" s="6" t="s">
        <v>18332</v>
      </c>
      <c r="B3900" s="6" t="s">
        <v>9132</v>
      </c>
      <c r="C3900" s="10">
        <v>46032.0</v>
      </c>
      <c r="D3900" s="6" t="s">
        <v>312</v>
      </c>
      <c r="E3900" s="6" t="s">
        <v>1241</v>
      </c>
      <c r="F3900" s="6" t="s">
        <v>283</v>
      </c>
      <c r="G3900" s="6" t="s">
        <v>458</v>
      </c>
      <c r="H3900" s="10">
        <v>46032.0</v>
      </c>
      <c r="I3900" s="12">
        <v>6.0</v>
      </c>
      <c r="J3900" s="6" t="s">
        <v>161</v>
      </c>
    </row>
    <row r="3901" ht="22.5" customHeight="1">
      <c r="A3901" s="6" t="s">
        <v>18334</v>
      </c>
      <c r="B3901" s="6" t="s">
        <v>9132</v>
      </c>
      <c r="C3901" s="10">
        <v>46041.0</v>
      </c>
      <c r="D3901" s="6" t="s">
        <v>436</v>
      </c>
      <c r="E3901" s="6" t="s">
        <v>1241</v>
      </c>
      <c r="F3901" s="6" t="s">
        <v>283</v>
      </c>
      <c r="G3901" s="6" t="s">
        <v>297</v>
      </c>
      <c r="H3901" s="10">
        <v>46044.0</v>
      </c>
      <c r="I3901" s="12">
        <v>8.0</v>
      </c>
      <c r="J3901" s="6" t="s">
        <v>161</v>
      </c>
    </row>
    <row r="3902" ht="22.5" customHeight="1">
      <c r="A3902" s="6" t="s">
        <v>18336</v>
      </c>
      <c r="B3902" s="6" t="s">
        <v>9132</v>
      </c>
      <c r="C3902" s="10">
        <v>46041.0</v>
      </c>
      <c r="D3902" s="6" t="s">
        <v>242</v>
      </c>
      <c r="E3902" s="6" t="s">
        <v>716</v>
      </c>
      <c r="F3902" s="6" t="s">
        <v>439</v>
      </c>
      <c r="G3902" s="6" t="s">
        <v>477</v>
      </c>
      <c r="H3902" s="10">
        <v>46045.0</v>
      </c>
      <c r="I3902" s="12">
        <v>6.0</v>
      </c>
      <c r="J3902" s="6" t="s">
        <v>178</v>
      </c>
    </row>
    <row r="3903" ht="22.5" customHeight="1">
      <c r="A3903" s="6" t="s">
        <v>18339</v>
      </c>
      <c r="B3903" s="6" t="s">
        <v>9132</v>
      </c>
      <c r="C3903" s="10">
        <v>46030.0</v>
      </c>
      <c r="D3903" s="6" t="s">
        <v>416</v>
      </c>
      <c r="E3903" s="6" t="s">
        <v>812</v>
      </c>
      <c r="F3903" s="6" t="s">
        <v>112</v>
      </c>
      <c r="G3903" s="6" t="s">
        <v>254</v>
      </c>
      <c r="H3903" s="10">
        <v>46032.0</v>
      </c>
      <c r="I3903" s="12">
        <v>9.0</v>
      </c>
      <c r="J3903" s="6" t="s">
        <v>161</v>
      </c>
    </row>
    <row r="3904" ht="22.5" customHeight="1">
      <c r="A3904" s="6" t="s">
        <v>18345</v>
      </c>
      <c r="B3904" s="6" t="s">
        <v>9139</v>
      </c>
      <c r="C3904" s="10">
        <v>46080.0</v>
      </c>
      <c r="D3904" s="6" t="s">
        <v>677</v>
      </c>
      <c r="E3904" s="6" t="s">
        <v>1969</v>
      </c>
      <c r="F3904" s="6" t="s">
        <v>283</v>
      </c>
      <c r="G3904" s="6" t="s">
        <v>297</v>
      </c>
      <c r="H3904" s="10">
        <v>46086.0</v>
      </c>
      <c r="I3904" s="12">
        <v>2.0</v>
      </c>
      <c r="J3904" s="6" t="s">
        <v>161</v>
      </c>
    </row>
    <row r="3905" ht="22.5" customHeight="1">
      <c r="A3905" s="6" t="s">
        <v>18348</v>
      </c>
      <c r="B3905" s="6" t="s">
        <v>9139</v>
      </c>
      <c r="C3905" s="10">
        <v>46071.0</v>
      </c>
      <c r="D3905" s="6" t="s">
        <v>391</v>
      </c>
      <c r="E3905" s="6" t="s">
        <v>1386</v>
      </c>
      <c r="F3905" s="6" t="s">
        <v>112</v>
      </c>
      <c r="G3905" s="6" t="s">
        <v>458</v>
      </c>
      <c r="H3905" s="10">
        <v>46074.0</v>
      </c>
      <c r="I3905" s="12">
        <v>6.0</v>
      </c>
      <c r="J3905" s="6" t="s">
        <v>161</v>
      </c>
    </row>
    <row r="3906" ht="22.5" customHeight="1">
      <c r="A3906" s="6" t="s">
        <v>18352</v>
      </c>
      <c r="B3906" s="6" t="s">
        <v>9139</v>
      </c>
      <c r="C3906" s="10">
        <v>46070.0</v>
      </c>
      <c r="D3906" s="6" t="s">
        <v>242</v>
      </c>
      <c r="E3906" s="6" t="s">
        <v>2881</v>
      </c>
      <c r="F3906" s="6" t="s">
        <v>283</v>
      </c>
      <c r="G3906" s="6" t="s">
        <v>369</v>
      </c>
      <c r="H3906" s="10">
        <v>46072.0</v>
      </c>
      <c r="I3906" s="12">
        <v>5.0</v>
      </c>
      <c r="J3906" s="6" t="s">
        <v>161</v>
      </c>
    </row>
    <row r="3907" ht="22.5" customHeight="1">
      <c r="A3907" s="6" t="s">
        <v>18357</v>
      </c>
      <c r="B3907" s="6" t="s">
        <v>9139</v>
      </c>
      <c r="C3907" s="10">
        <v>46076.0</v>
      </c>
      <c r="D3907" s="6" t="s">
        <v>289</v>
      </c>
      <c r="E3907" s="6" t="s">
        <v>291</v>
      </c>
      <c r="F3907" s="6" t="s">
        <v>112</v>
      </c>
      <c r="G3907" s="6" t="s">
        <v>297</v>
      </c>
      <c r="H3907" s="10">
        <v>46080.0</v>
      </c>
      <c r="I3907" s="12">
        <v>10.0</v>
      </c>
      <c r="J3907" s="6" t="s">
        <v>161</v>
      </c>
    </row>
    <row r="3908" ht="22.5" customHeight="1">
      <c r="A3908" s="6" t="s">
        <v>18361</v>
      </c>
      <c r="B3908" s="6" t="s">
        <v>9146</v>
      </c>
      <c r="C3908" s="10">
        <v>46077.0</v>
      </c>
      <c r="D3908" s="6" t="s">
        <v>289</v>
      </c>
      <c r="E3908" s="6" t="s">
        <v>1700</v>
      </c>
      <c r="F3908" s="6" t="s">
        <v>249</v>
      </c>
      <c r="G3908" s="6" t="s">
        <v>326</v>
      </c>
      <c r="H3908" s="10">
        <v>46080.0</v>
      </c>
      <c r="I3908" s="12">
        <v>9.0</v>
      </c>
      <c r="J3908" s="6" t="s">
        <v>161</v>
      </c>
    </row>
    <row r="3909" ht="22.5" customHeight="1">
      <c r="A3909" s="6" t="s">
        <v>18365</v>
      </c>
      <c r="B3909" s="6" t="s">
        <v>9146</v>
      </c>
      <c r="C3909" s="10">
        <v>46073.0</v>
      </c>
      <c r="D3909" s="6" t="s">
        <v>312</v>
      </c>
      <c r="E3909" s="6" t="s">
        <v>628</v>
      </c>
      <c r="F3909" s="6" t="s">
        <v>283</v>
      </c>
      <c r="G3909" s="6" t="s">
        <v>452</v>
      </c>
      <c r="H3909" s="10">
        <v>46080.0</v>
      </c>
      <c r="I3909" s="12">
        <v>4.0</v>
      </c>
      <c r="J3909" s="6" t="s">
        <v>161</v>
      </c>
    </row>
    <row r="3910" ht="22.5" customHeight="1">
      <c r="A3910" s="6" t="s">
        <v>18368</v>
      </c>
      <c r="B3910" s="6" t="s">
        <v>9146</v>
      </c>
      <c r="C3910" s="10">
        <v>46067.0</v>
      </c>
      <c r="D3910" s="6" t="s">
        <v>436</v>
      </c>
      <c r="E3910" s="6" t="s">
        <v>670</v>
      </c>
      <c r="F3910" s="6" t="s">
        <v>249</v>
      </c>
      <c r="G3910" s="6" t="s">
        <v>494</v>
      </c>
      <c r="H3910" s="10">
        <v>46069.0</v>
      </c>
      <c r="I3910" s="12">
        <v>9.0</v>
      </c>
      <c r="J3910" s="6" t="s">
        <v>161</v>
      </c>
    </row>
    <row r="3911" ht="22.5" customHeight="1">
      <c r="A3911" s="6" t="s">
        <v>18372</v>
      </c>
      <c r="B3911" s="6" t="s">
        <v>9152</v>
      </c>
      <c r="C3911" s="10">
        <v>46048.0</v>
      </c>
      <c r="D3911" s="6" t="s">
        <v>416</v>
      </c>
      <c r="E3911" s="6" t="s">
        <v>1149</v>
      </c>
      <c r="F3911" s="6" t="s">
        <v>249</v>
      </c>
      <c r="G3911" s="6" t="s">
        <v>458</v>
      </c>
      <c r="H3911" s="11" t="s">
        <v>259</v>
      </c>
      <c r="I3911" s="12">
        <v>9.0</v>
      </c>
      <c r="J3911" s="6" t="s">
        <v>161</v>
      </c>
    </row>
    <row r="3912" ht="22.5" customHeight="1">
      <c r="A3912" s="6" t="s">
        <v>18379</v>
      </c>
      <c r="B3912" s="6" t="s">
        <v>9152</v>
      </c>
      <c r="C3912" s="10">
        <v>46056.0</v>
      </c>
      <c r="D3912" s="6" t="s">
        <v>436</v>
      </c>
      <c r="E3912" s="6" t="s">
        <v>658</v>
      </c>
      <c r="F3912" s="6" t="s">
        <v>439</v>
      </c>
      <c r="G3912" s="6" t="s">
        <v>494</v>
      </c>
      <c r="H3912" s="10">
        <v>46062.0</v>
      </c>
      <c r="I3912" s="12">
        <v>7.0</v>
      </c>
      <c r="J3912" s="6" t="s">
        <v>161</v>
      </c>
    </row>
    <row r="3913" ht="22.5" customHeight="1">
      <c r="A3913" s="6" t="s">
        <v>18386</v>
      </c>
      <c r="B3913" s="6" t="s">
        <v>9159</v>
      </c>
      <c r="C3913" s="10">
        <v>46067.0</v>
      </c>
      <c r="D3913" s="6" t="s">
        <v>436</v>
      </c>
      <c r="E3913" s="6" t="s">
        <v>1070</v>
      </c>
      <c r="F3913" s="6" t="s">
        <v>249</v>
      </c>
      <c r="G3913" s="6" t="s">
        <v>494</v>
      </c>
      <c r="H3913" s="10">
        <v>46072.0</v>
      </c>
      <c r="I3913" s="12">
        <v>9.0</v>
      </c>
      <c r="J3913" s="6" t="s">
        <v>178</v>
      </c>
    </row>
    <row r="3914" ht="22.5" customHeight="1">
      <c r="A3914" s="6" t="s">
        <v>18391</v>
      </c>
      <c r="B3914" s="6" t="s">
        <v>9166</v>
      </c>
      <c r="C3914" s="10">
        <v>46033.0</v>
      </c>
      <c r="D3914" s="6" t="s">
        <v>289</v>
      </c>
      <c r="E3914" s="6" t="s">
        <v>716</v>
      </c>
      <c r="F3914" s="6" t="s">
        <v>283</v>
      </c>
      <c r="G3914" s="6" t="s">
        <v>458</v>
      </c>
      <c r="H3914" s="10">
        <v>46036.0</v>
      </c>
      <c r="I3914" s="12">
        <v>9.0</v>
      </c>
      <c r="J3914" s="6" t="s">
        <v>161</v>
      </c>
    </row>
    <row r="3915" ht="22.5" customHeight="1">
      <c r="A3915" s="6" t="s">
        <v>18396</v>
      </c>
      <c r="B3915" s="6" t="s">
        <v>9166</v>
      </c>
      <c r="C3915" s="10">
        <v>46042.0</v>
      </c>
      <c r="D3915" s="6" t="s">
        <v>391</v>
      </c>
      <c r="E3915" s="6" t="s">
        <v>618</v>
      </c>
      <c r="F3915" s="6" t="s">
        <v>283</v>
      </c>
      <c r="G3915" s="6" t="s">
        <v>452</v>
      </c>
      <c r="H3915" s="10">
        <v>46046.0</v>
      </c>
      <c r="I3915" s="12">
        <v>9.0</v>
      </c>
      <c r="J3915" s="6" t="s">
        <v>161</v>
      </c>
    </row>
    <row r="3916" ht="22.5" customHeight="1">
      <c r="A3916" s="6" t="s">
        <v>18399</v>
      </c>
      <c r="B3916" s="6" t="s">
        <v>9166</v>
      </c>
      <c r="C3916" s="10">
        <v>46041.0</v>
      </c>
      <c r="D3916" s="6" t="s">
        <v>416</v>
      </c>
      <c r="E3916" s="6" t="s">
        <v>1280</v>
      </c>
      <c r="F3916" s="6" t="s">
        <v>249</v>
      </c>
      <c r="G3916" s="6" t="s">
        <v>369</v>
      </c>
      <c r="H3916" s="10">
        <v>46042.0</v>
      </c>
      <c r="I3916" s="12">
        <v>11.0</v>
      </c>
      <c r="J3916" s="6" t="s">
        <v>161</v>
      </c>
    </row>
    <row r="3917" ht="22.5" customHeight="1">
      <c r="A3917" s="6" t="s">
        <v>18404</v>
      </c>
      <c r="B3917" s="6" t="s">
        <v>9172</v>
      </c>
      <c r="C3917" s="10">
        <v>46048.0</v>
      </c>
      <c r="D3917" s="6" t="s">
        <v>436</v>
      </c>
      <c r="E3917" s="6" t="s">
        <v>775</v>
      </c>
      <c r="F3917" s="6" t="s">
        <v>249</v>
      </c>
      <c r="G3917" s="6" t="s">
        <v>254</v>
      </c>
      <c r="H3917" s="11" t="s">
        <v>259</v>
      </c>
      <c r="I3917" s="12">
        <v>6.0</v>
      </c>
      <c r="J3917" s="6" t="s">
        <v>178</v>
      </c>
    </row>
    <row r="3918" ht="22.5" customHeight="1">
      <c r="A3918" s="6" t="s">
        <v>18409</v>
      </c>
      <c r="B3918" s="6" t="s">
        <v>9172</v>
      </c>
      <c r="C3918" s="10">
        <v>46043.0</v>
      </c>
      <c r="D3918" s="6" t="s">
        <v>391</v>
      </c>
      <c r="E3918" s="6" t="s">
        <v>1626</v>
      </c>
      <c r="F3918" s="6" t="s">
        <v>439</v>
      </c>
      <c r="G3918" s="6" t="s">
        <v>326</v>
      </c>
      <c r="H3918" s="10">
        <v>46050.0</v>
      </c>
      <c r="I3918" s="12">
        <v>11.0</v>
      </c>
      <c r="J3918" s="6" t="s">
        <v>161</v>
      </c>
    </row>
    <row r="3919" ht="22.5" customHeight="1">
      <c r="A3919" s="6" t="s">
        <v>18413</v>
      </c>
      <c r="B3919" s="6" t="s">
        <v>9179</v>
      </c>
      <c r="C3919" s="10">
        <v>46072.0</v>
      </c>
      <c r="D3919" s="6" t="s">
        <v>436</v>
      </c>
      <c r="E3919" s="6" t="s">
        <v>955</v>
      </c>
      <c r="F3919" s="6" t="s">
        <v>112</v>
      </c>
      <c r="G3919" s="6" t="s">
        <v>297</v>
      </c>
      <c r="H3919" s="10">
        <v>46074.0</v>
      </c>
      <c r="I3919" s="12">
        <v>8.0</v>
      </c>
      <c r="J3919" s="6" t="s">
        <v>178</v>
      </c>
    </row>
    <row r="3920" ht="22.5" customHeight="1">
      <c r="A3920" s="6" t="s">
        <v>18418</v>
      </c>
      <c r="B3920" s="6" t="s">
        <v>9186</v>
      </c>
      <c r="C3920" s="10">
        <v>46060.0</v>
      </c>
      <c r="D3920" s="6" t="s">
        <v>436</v>
      </c>
      <c r="E3920" s="6" t="s">
        <v>885</v>
      </c>
      <c r="F3920" s="6" t="s">
        <v>439</v>
      </c>
      <c r="G3920" s="6" t="s">
        <v>452</v>
      </c>
      <c r="H3920" s="11" t="s">
        <v>259</v>
      </c>
      <c r="I3920" s="12">
        <v>11.0</v>
      </c>
      <c r="J3920" s="6" t="s">
        <v>161</v>
      </c>
    </row>
    <row r="3921" ht="22.5" customHeight="1">
      <c r="A3921" s="6" t="s">
        <v>18422</v>
      </c>
      <c r="B3921" s="6" t="s">
        <v>9186</v>
      </c>
      <c r="C3921" s="10">
        <v>46053.0</v>
      </c>
      <c r="D3921" s="6" t="s">
        <v>391</v>
      </c>
      <c r="E3921" s="6" t="s">
        <v>812</v>
      </c>
      <c r="F3921" s="6" t="s">
        <v>439</v>
      </c>
      <c r="G3921" s="6" t="s">
        <v>297</v>
      </c>
      <c r="H3921" s="10">
        <v>46057.0</v>
      </c>
      <c r="I3921" s="12">
        <v>7.0</v>
      </c>
      <c r="J3921" s="6" t="s">
        <v>161</v>
      </c>
    </row>
    <row r="3922" ht="22.5" customHeight="1">
      <c r="A3922" s="6" t="s">
        <v>18431</v>
      </c>
      <c r="B3922" s="6" t="s">
        <v>9186</v>
      </c>
      <c r="C3922" s="10">
        <v>46057.0</v>
      </c>
      <c r="D3922" s="6" t="s">
        <v>416</v>
      </c>
      <c r="E3922" s="6" t="s">
        <v>1700</v>
      </c>
      <c r="F3922" s="6" t="s">
        <v>249</v>
      </c>
      <c r="G3922" s="6" t="s">
        <v>452</v>
      </c>
      <c r="H3922" s="11" t="s">
        <v>259</v>
      </c>
      <c r="I3922" s="12">
        <v>9.0</v>
      </c>
      <c r="J3922" s="6" t="s">
        <v>161</v>
      </c>
    </row>
    <row r="3923" ht="22.5" customHeight="1">
      <c r="A3923" s="6" t="s">
        <v>18440</v>
      </c>
      <c r="B3923" s="6" t="s">
        <v>9186</v>
      </c>
      <c r="C3923" s="10">
        <v>46060.0</v>
      </c>
      <c r="D3923" s="6" t="s">
        <v>677</v>
      </c>
      <c r="E3923" s="6" t="s">
        <v>1720</v>
      </c>
      <c r="F3923" s="6" t="s">
        <v>112</v>
      </c>
      <c r="G3923" s="6" t="s">
        <v>494</v>
      </c>
      <c r="H3923" s="10">
        <v>46067.0</v>
      </c>
      <c r="I3923" s="12">
        <v>2.0</v>
      </c>
      <c r="J3923" s="6" t="s">
        <v>161</v>
      </c>
    </row>
    <row r="3924" ht="22.5" customHeight="1">
      <c r="A3924" s="6" t="s">
        <v>18450</v>
      </c>
      <c r="B3924" s="6" t="s">
        <v>9193</v>
      </c>
      <c r="C3924" s="10">
        <v>46044.0</v>
      </c>
      <c r="D3924" s="6" t="s">
        <v>416</v>
      </c>
      <c r="E3924" s="6" t="s">
        <v>466</v>
      </c>
      <c r="F3924" s="6" t="s">
        <v>283</v>
      </c>
      <c r="G3924" s="6" t="s">
        <v>458</v>
      </c>
      <c r="H3924" s="10">
        <v>46046.0</v>
      </c>
      <c r="I3924" s="12">
        <v>10.0</v>
      </c>
      <c r="J3924" s="6" t="s">
        <v>161</v>
      </c>
    </row>
    <row r="3925" ht="22.5" customHeight="1">
      <c r="A3925" s="6" t="s">
        <v>18452</v>
      </c>
      <c r="B3925" s="6" t="s">
        <v>9199</v>
      </c>
      <c r="C3925" s="10">
        <v>46036.0</v>
      </c>
      <c r="D3925" s="6" t="s">
        <v>677</v>
      </c>
      <c r="E3925" s="6" t="s">
        <v>1241</v>
      </c>
      <c r="F3925" s="6" t="s">
        <v>112</v>
      </c>
      <c r="G3925" s="6" t="s">
        <v>477</v>
      </c>
      <c r="H3925" s="10">
        <v>46038.0</v>
      </c>
      <c r="I3925" s="12">
        <v>2.0</v>
      </c>
      <c r="J3925" s="6" t="s">
        <v>161</v>
      </c>
    </row>
    <row r="3926" ht="22.5" customHeight="1">
      <c r="A3926" s="6" t="s">
        <v>18456</v>
      </c>
      <c r="B3926" s="6" t="s">
        <v>9199</v>
      </c>
      <c r="C3926" s="10">
        <v>46041.0</v>
      </c>
      <c r="D3926" s="6" t="s">
        <v>391</v>
      </c>
      <c r="E3926" s="6" t="s">
        <v>610</v>
      </c>
      <c r="F3926" s="6" t="s">
        <v>112</v>
      </c>
      <c r="G3926" s="6" t="s">
        <v>369</v>
      </c>
      <c r="H3926" s="10">
        <v>46041.0</v>
      </c>
      <c r="I3926" s="12">
        <v>10.0</v>
      </c>
      <c r="J3926" s="6" t="s">
        <v>161</v>
      </c>
    </row>
    <row r="3927" ht="22.5" customHeight="1">
      <c r="A3927" s="6" t="s">
        <v>18462</v>
      </c>
      <c r="B3927" s="6" t="s">
        <v>9205</v>
      </c>
      <c r="C3927" s="10">
        <v>46030.0</v>
      </c>
      <c r="D3927" s="6" t="s">
        <v>312</v>
      </c>
      <c r="E3927" s="6" t="s">
        <v>512</v>
      </c>
      <c r="F3927" s="6" t="s">
        <v>249</v>
      </c>
      <c r="G3927" s="6" t="s">
        <v>494</v>
      </c>
      <c r="H3927" s="10">
        <v>46032.0</v>
      </c>
      <c r="I3927" s="12">
        <v>4.0</v>
      </c>
      <c r="J3927" s="6" t="s">
        <v>161</v>
      </c>
    </row>
    <row r="3928" ht="22.5" customHeight="1">
      <c r="A3928" s="6" t="s">
        <v>18466</v>
      </c>
      <c r="B3928" s="6" t="s">
        <v>9211</v>
      </c>
      <c r="C3928" s="10">
        <v>46058.0</v>
      </c>
      <c r="D3928" s="6" t="s">
        <v>289</v>
      </c>
      <c r="E3928" s="6" t="s">
        <v>417</v>
      </c>
      <c r="F3928" s="6" t="s">
        <v>283</v>
      </c>
      <c r="G3928" s="6" t="s">
        <v>369</v>
      </c>
      <c r="H3928" s="10">
        <v>46058.0</v>
      </c>
      <c r="I3928" s="12">
        <v>8.0</v>
      </c>
      <c r="J3928" s="6" t="s">
        <v>161</v>
      </c>
    </row>
    <row r="3929" ht="22.5" customHeight="1">
      <c r="A3929" s="6" t="s">
        <v>18469</v>
      </c>
      <c r="B3929" s="6" t="s">
        <v>9211</v>
      </c>
      <c r="C3929" s="10">
        <v>46056.0</v>
      </c>
      <c r="D3929" s="6" t="s">
        <v>677</v>
      </c>
      <c r="E3929" s="6" t="s">
        <v>658</v>
      </c>
      <c r="F3929" s="6" t="s">
        <v>283</v>
      </c>
      <c r="G3929" s="6" t="s">
        <v>494</v>
      </c>
      <c r="H3929" s="10">
        <v>46057.0</v>
      </c>
      <c r="I3929" s="12">
        <v>4.0</v>
      </c>
      <c r="J3929" s="6" t="s">
        <v>161</v>
      </c>
    </row>
    <row r="3930" ht="22.5" customHeight="1">
      <c r="A3930" s="6" t="s">
        <v>18475</v>
      </c>
      <c r="B3930" s="6" t="s">
        <v>9211</v>
      </c>
      <c r="C3930" s="10">
        <v>46050.0</v>
      </c>
      <c r="D3930" s="6" t="s">
        <v>436</v>
      </c>
      <c r="E3930" s="6" t="s">
        <v>1310</v>
      </c>
      <c r="F3930" s="6" t="s">
        <v>112</v>
      </c>
      <c r="G3930" s="6" t="s">
        <v>254</v>
      </c>
      <c r="H3930" s="10">
        <v>46051.0</v>
      </c>
      <c r="I3930" s="12">
        <v>6.0</v>
      </c>
      <c r="J3930" s="6" t="s">
        <v>178</v>
      </c>
    </row>
    <row r="3931" ht="22.5" customHeight="1">
      <c r="A3931" s="6" t="s">
        <v>18477</v>
      </c>
      <c r="B3931" s="6" t="s">
        <v>9211</v>
      </c>
      <c r="C3931" s="10">
        <v>46064.0</v>
      </c>
      <c r="D3931" s="6" t="s">
        <v>242</v>
      </c>
      <c r="E3931" s="6" t="s">
        <v>475</v>
      </c>
      <c r="F3931" s="6" t="s">
        <v>249</v>
      </c>
      <c r="G3931" s="6" t="s">
        <v>297</v>
      </c>
      <c r="H3931" s="10">
        <v>46070.0</v>
      </c>
      <c r="I3931" s="12">
        <v>6.0</v>
      </c>
      <c r="J3931" s="6" t="s">
        <v>161</v>
      </c>
    </row>
    <row r="3932" ht="22.5" customHeight="1">
      <c r="A3932" s="6" t="s">
        <v>18479</v>
      </c>
      <c r="B3932" s="6" t="s">
        <v>9217</v>
      </c>
      <c r="C3932" s="10">
        <v>46064.0</v>
      </c>
      <c r="D3932" s="6" t="s">
        <v>416</v>
      </c>
      <c r="E3932" s="6" t="s">
        <v>1310</v>
      </c>
      <c r="F3932" s="6" t="s">
        <v>249</v>
      </c>
      <c r="G3932" s="6" t="s">
        <v>494</v>
      </c>
      <c r="H3932" s="10">
        <v>46068.0</v>
      </c>
      <c r="I3932" s="12">
        <v>12.0</v>
      </c>
      <c r="J3932" s="6" t="s">
        <v>161</v>
      </c>
    </row>
    <row r="3933" ht="22.5" customHeight="1">
      <c r="A3933" s="6" t="s">
        <v>18484</v>
      </c>
      <c r="B3933" s="6" t="s">
        <v>9217</v>
      </c>
      <c r="C3933" s="10">
        <v>46061.0</v>
      </c>
      <c r="D3933" s="6" t="s">
        <v>242</v>
      </c>
      <c r="E3933" s="6" t="s">
        <v>2365</v>
      </c>
      <c r="F3933" s="6" t="s">
        <v>112</v>
      </c>
      <c r="G3933" s="6" t="s">
        <v>494</v>
      </c>
      <c r="H3933" s="10">
        <v>46064.0</v>
      </c>
      <c r="I3933" s="12">
        <v>3.0</v>
      </c>
      <c r="J3933" s="6" t="s">
        <v>178</v>
      </c>
    </row>
    <row r="3934" ht="22.5" customHeight="1">
      <c r="A3934" s="6" t="s">
        <v>18489</v>
      </c>
      <c r="B3934" s="6" t="s">
        <v>9217</v>
      </c>
      <c r="C3934" s="10">
        <v>46065.0</v>
      </c>
      <c r="D3934" s="6" t="s">
        <v>436</v>
      </c>
      <c r="E3934" s="6" t="s">
        <v>1969</v>
      </c>
      <c r="F3934" s="6" t="s">
        <v>112</v>
      </c>
      <c r="G3934" s="6" t="s">
        <v>458</v>
      </c>
      <c r="H3934" s="11" t="s">
        <v>259</v>
      </c>
      <c r="I3934" s="12">
        <v>8.0</v>
      </c>
      <c r="J3934" s="6" t="s">
        <v>178</v>
      </c>
    </row>
    <row r="3935" ht="22.5" customHeight="1">
      <c r="A3935" s="6" t="s">
        <v>18492</v>
      </c>
      <c r="B3935" s="6" t="s">
        <v>9217</v>
      </c>
      <c r="C3935" s="10">
        <v>46065.0</v>
      </c>
      <c r="D3935" s="6" t="s">
        <v>677</v>
      </c>
      <c r="E3935" s="6" t="s">
        <v>1102</v>
      </c>
      <c r="F3935" s="6" t="s">
        <v>112</v>
      </c>
      <c r="G3935" s="6" t="s">
        <v>297</v>
      </c>
      <c r="H3935" s="10">
        <v>46067.0</v>
      </c>
      <c r="I3935" s="12">
        <v>2.0</v>
      </c>
      <c r="J3935" s="6" t="s">
        <v>161</v>
      </c>
    </row>
    <row r="3936" ht="22.5" customHeight="1">
      <c r="A3936" s="6" t="s">
        <v>18498</v>
      </c>
      <c r="B3936" s="6" t="s">
        <v>9223</v>
      </c>
      <c r="C3936" s="10">
        <v>46081.0</v>
      </c>
      <c r="D3936" s="6" t="s">
        <v>677</v>
      </c>
      <c r="E3936" s="6" t="s">
        <v>1149</v>
      </c>
      <c r="F3936" s="6" t="s">
        <v>112</v>
      </c>
      <c r="G3936" s="6" t="s">
        <v>297</v>
      </c>
      <c r="H3936" s="10">
        <v>46088.0</v>
      </c>
      <c r="I3936" s="12">
        <v>3.0</v>
      </c>
      <c r="J3936" s="6" t="s">
        <v>161</v>
      </c>
    </row>
    <row r="3937" ht="22.5" customHeight="1">
      <c r="A3937" s="6" t="s">
        <v>18502</v>
      </c>
      <c r="B3937" s="6" t="s">
        <v>9223</v>
      </c>
      <c r="C3937" s="10">
        <v>46070.0</v>
      </c>
      <c r="D3937" s="6" t="s">
        <v>242</v>
      </c>
      <c r="E3937" s="6" t="s">
        <v>670</v>
      </c>
      <c r="F3937" s="6" t="s">
        <v>439</v>
      </c>
      <c r="G3937" s="6" t="s">
        <v>477</v>
      </c>
      <c r="H3937" s="10">
        <v>46075.0</v>
      </c>
      <c r="I3937" s="12">
        <v>6.0</v>
      </c>
      <c r="J3937" s="6" t="s">
        <v>178</v>
      </c>
    </row>
    <row r="3938" ht="22.5" customHeight="1">
      <c r="A3938" s="6" t="s">
        <v>18508</v>
      </c>
      <c r="B3938" s="6" t="s">
        <v>9223</v>
      </c>
      <c r="C3938" s="10">
        <v>46085.0</v>
      </c>
      <c r="D3938" s="6" t="s">
        <v>436</v>
      </c>
      <c r="E3938" s="6" t="s">
        <v>1517</v>
      </c>
      <c r="F3938" s="6" t="s">
        <v>249</v>
      </c>
      <c r="G3938" s="6" t="s">
        <v>369</v>
      </c>
      <c r="H3938" s="10">
        <v>46089.0</v>
      </c>
      <c r="I3938" s="12">
        <v>12.0</v>
      </c>
      <c r="J3938" s="6" t="s">
        <v>178</v>
      </c>
    </row>
    <row r="3939" ht="22.5" customHeight="1">
      <c r="A3939" s="6" t="s">
        <v>18511</v>
      </c>
      <c r="B3939" s="6" t="s">
        <v>9228</v>
      </c>
      <c r="C3939" s="10">
        <v>46064.0</v>
      </c>
      <c r="D3939" s="6" t="s">
        <v>436</v>
      </c>
      <c r="E3939" s="6" t="s">
        <v>2365</v>
      </c>
      <c r="F3939" s="6" t="s">
        <v>439</v>
      </c>
      <c r="G3939" s="6" t="s">
        <v>297</v>
      </c>
      <c r="H3939" s="10">
        <v>46064.0</v>
      </c>
      <c r="I3939" s="12">
        <v>7.0</v>
      </c>
      <c r="J3939" s="6" t="s">
        <v>178</v>
      </c>
    </row>
    <row r="3940" ht="22.5" customHeight="1">
      <c r="A3940" s="6" t="s">
        <v>18516</v>
      </c>
      <c r="B3940" s="6" t="s">
        <v>9228</v>
      </c>
      <c r="C3940" s="10">
        <v>46070.0</v>
      </c>
      <c r="D3940" s="6" t="s">
        <v>416</v>
      </c>
      <c r="E3940" s="6" t="s">
        <v>1070</v>
      </c>
      <c r="F3940" s="6" t="s">
        <v>112</v>
      </c>
      <c r="G3940" s="6" t="s">
        <v>477</v>
      </c>
      <c r="H3940" s="10">
        <v>46073.0</v>
      </c>
      <c r="I3940" s="12">
        <v>9.0</v>
      </c>
      <c r="J3940" s="6" t="s">
        <v>161</v>
      </c>
    </row>
    <row r="3941" ht="22.5" customHeight="1">
      <c r="A3941" s="6" t="s">
        <v>18521</v>
      </c>
      <c r="B3941" s="6" t="s">
        <v>9235</v>
      </c>
      <c r="C3941" s="10">
        <v>46046.0</v>
      </c>
      <c r="D3941" s="6" t="s">
        <v>289</v>
      </c>
      <c r="E3941" s="6" t="s">
        <v>1310</v>
      </c>
      <c r="F3941" s="6" t="s">
        <v>439</v>
      </c>
      <c r="G3941" s="6" t="s">
        <v>297</v>
      </c>
      <c r="H3941" s="11" t="s">
        <v>259</v>
      </c>
      <c r="I3941" s="12">
        <v>8.0</v>
      </c>
      <c r="J3941" s="6" t="s">
        <v>161</v>
      </c>
    </row>
    <row r="3942" ht="22.5" customHeight="1">
      <c r="A3942" s="6" t="s">
        <v>18525</v>
      </c>
      <c r="B3942" s="6" t="s">
        <v>9235</v>
      </c>
      <c r="C3942" s="10">
        <v>46046.0</v>
      </c>
      <c r="D3942" s="6" t="s">
        <v>436</v>
      </c>
      <c r="E3942" s="6" t="s">
        <v>955</v>
      </c>
      <c r="F3942" s="6" t="s">
        <v>439</v>
      </c>
      <c r="G3942" s="6" t="s">
        <v>452</v>
      </c>
      <c r="H3942" s="10">
        <v>46048.0</v>
      </c>
      <c r="I3942" s="12">
        <v>11.0</v>
      </c>
      <c r="J3942" s="6" t="s">
        <v>178</v>
      </c>
    </row>
    <row r="3943" ht="22.5" customHeight="1">
      <c r="A3943" s="6" t="s">
        <v>18530</v>
      </c>
      <c r="B3943" s="6" t="s">
        <v>9235</v>
      </c>
      <c r="C3943" s="10">
        <v>46043.0</v>
      </c>
      <c r="D3943" s="6" t="s">
        <v>416</v>
      </c>
      <c r="E3943" s="6" t="s">
        <v>955</v>
      </c>
      <c r="F3943" s="6" t="s">
        <v>283</v>
      </c>
      <c r="G3943" s="6" t="s">
        <v>297</v>
      </c>
      <c r="H3943" s="10">
        <v>46046.0</v>
      </c>
      <c r="I3943" s="12">
        <v>11.0</v>
      </c>
      <c r="J3943" s="6" t="s">
        <v>161</v>
      </c>
    </row>
    <row r="3944" ht="22.5" customHeight="1">
      <c r="A3944" s="6" t="s">
        <v>18534</v>
      </c>
      <c r="B3944" s="6" t="s">
        <v>9241</v>
      </c>
      <c r="C3944" s="10">
        <v>46050.0</v>
      </c>
      <c r="D3944" s="6" t="s">
        <v>242</v>
      </c>
      <c r="E3944" s="6" t="s">
        <v>1626</v>
      </c>
      <c r="F3944" s="6" t="s">
        <v>439</v>
      </c>
      <c r="G3944" s="6" t="s">
        <v>494</v>
      </c>
      <c r="H3944" s="11" t="s">
        <v>259</v>
      </c>
      <c r="I3944" s="12">
        <v>6.0</v>
      </c>
      <c r="J3944" s="6" t="s">
        <v>161</v>
      </c>
    </row>
    <row r="3945" ht="22.5" customHeight="1">
      <c r="A3945" s="6" t="s">
        <v>18540</v>
      </c>
      <c r="B3945" s="6" t="s">
        <v>9241</v>
      </c>
      <c r="C3945" s="10">
        <v>46063.0</v>
      </c>
      <c r="D3945" s="6" t="s">
        <v>312</v>
      </c>
      <c r="E3945" s="6" t="s">
        <v>1149</v>
      </c>
      <c r="F3945" s="6" t="s">
        <v>283</v>
      </c>
      <c r="G3945" s="6" t="s">
        <v>452</v>
      </c>
      <c r="H3945" s="10">
        <v>46066.0</v>
      </c>
      <c r="I3945" s="12">
        <v>5.0</v>
      </c>
      <c r="J3945" s="6" t="s">
        <v>161</v>
      </c>
    </row>
    <row r="3946" ht="22.5" customHeight="1">
      <c r="A3946" s="6" t="s">
        <v>18547</v>
      </c>
      <c r="B3946" s="6" t="s">
        <v>9241</v>
      </c>
      <c r="C3946" s="10">
        <v>46059.0</v>
      </c>
      <c r="D3946" s="6" t="s">
        <v>242</v>
      </c>
      <c r="E3946" s="6" t="s">
        <v>1055</v>
      </c>
      <c r="F3946" s="6" t="s">
        <v>439</v>
      </c>
      <c r="G3946" s="6" t="s">
        <v>494</v>
      </c>
      <c r="H3946" s="10">
        <v>46066.0</v>
      </c>
      <c r="I3946" s="12">
        <v>5.0</v>
      </c>
      <c r="J3946" s="6" t="s">
        <v>178</v>
      </c>
    </row>
    <row r="3947" ht="22.5" customHeight="1">
      <c r="A3947" s="6" t="s">
        <v>18554</v>
      </c>
      <c r="B3947" s="6" t="s">
        <v>9241</v>
      </c>
      <c r="C3947" s="10">
        <v>46051.0</v>
      </c>
      <c r="D3947" s="6" t="s">
        <v>677</v>
      </c>
      <c r="E3947" s="6" t="s">
        <v>1600</v>
      </c>
      <c r="F3947" s="6" t="s">
        <v>439</v>
      </c>
      <c r="G3947" s="6" t="s">
        <v>326</v>
      </c>
      <c r="H3947" s="11" t="s">
        <v>259</v>
      </c>
      <c r="I3947" s="12">
        <v>2.0</v>
      </c>
      <c r="J3947" s="6" t="s">
        <v>161</v>
      </c>
    </row>
    <row r="3948" ht="22.5" customHeight="1">
      <c r="A3948" s="6" t="s">
        <v>18560</v>
      </c>
      <c r="B3948" s="6" t="s">
        <v>9241</v>
      </c>
      <c r="C3948" s="10">
        <v>46066.0</v>
      </c>
      <c r="D3948" s="6" t="s">
        <v>242</v>
      </c>
      <c r="E3948" s="6" t="s">
        <v>610</v>
      </c>
      <c r="F3948" s="6" t="s">
        <v>112</v>
      </c>
      <c r="G3948" s="6" t="s">
        <v>297</v>
      </c>
      <c r="H3948" s="10">
        <v>46068.0</v>
      </c>
      <c r="I3948" s="12">
        <v>3.0</v>
      </c>
      <c r="J3948" s="6" t="s">
        <v>178</v>
      </c>
    </row>
    <row r="3949" ht="22.5" customHeight="1">
      <c r="A3949" s="6" t="s">
        <v>18565</v>
      </c>
      <c r="B3949" s="6" t="s">
        <v>9247</v>
      </c>
      <c r="C3949" s="10">
        <v>46067.0</v>
      </c>
      <c r="D3949" s="6" t="s">
        <v>436</v>
      </c>
      <c r="E3949" s="6" t="s">
        <v>450</v>
      </c>
      <c r="F3949" s="6" t="s">
        <v>249</v>
      </c>
      <c r="G3949" s="6" t="s">
        <v>326</v>
      </c>
      <c r="H3949" s="11" t="s">
        <v>259</v>
      </c>
      <c r="I3949" s="12">
        <v>8.0</v>
      </c>
      <c r="J3949" s="6" t="s">
        <v>178</v>
      </c>
    </row>
    <row r="3950" ht="22.5" customHeight="1">
      <c r="A3950" s="6" t="s">
        <v>18574</v>
      </c>
      <c r="B3950" s="6" t="s">
        <v>9247</v>
      </c>
      <c r="C3950" s="10">
        <v>46070.0</v>
      </c>
      <c r="D3950" s="6" t="s">
        <v>312</v>
      </c>
      <c r="E3950" s="6" t="s">
        <v>320</v>
      </c>
      <c r="F3950" s="6" t="s">
        <v>249</v>
      </c>
      <c r="G3950" s="6" t="s">
        <v>369</v>
      </c>
      <c r="H3950" s="10">
        <v>46075.0</v>
      </c>
      <c r="I3950" s="12">
        <v>6.0</v>
      </c>
      <c r="J3950" s="6" t="s">
        <v>161</v>
      </c>
    </row>
    <row r="3951" ht="22.5" customHeight="1">
      <c r="A3951" s="6" t="s">
        <v>18580</v>
      </c>
      <c r="B3951" s="6" t="s">
        <v>9247</v>
      </c>
      <c r="C3951" s="10">
        <v>46073.0</v>
      </c>
      <c r="D3951" s="6" t="s">
        <v>391</v>
      </c>
      <c r="E3951" s="6" t="s">
        <v>2365</v>
      </c>
      <c r="F3951" s="6" t="s">
        <v>283</v>
      </c>
      <c r="G3951" s="6" t="s">
        <v>369</v>
      </c>
      <c r="H3951" s="11" t="s">
        <v>259</v>
      </c>
      <c r="I3951" s="12">
        <v>11.0</v>
      </c>
      <c r="J3951" s="6" t="s">
        <v>161</v>
      </c>
    </row>
    <row r="3952" ht="22.5" customHeight="1">
      <c r="A3952" s="6" t="s">
        <v>18586</v>
      </c>
      <c r="B3952" s="6" t="s">
        <v>9247</v>
      </c>
      <c r="C3952" s="10">
        <v>46080.0</v>
      </c>
      <c r="D3952" s="6" t="s">
        <v>416</v>
      </c>
      <c r="E3952" s="6" t="s">
        <v>618</v>
      </c>
      <c r="F3952" s="6" t="s">
        <v>283</v>
      </c>
      <c r="G3952" s="6" t="s">
        <v>369</v>
      </c>
      <c r="H3952" s="10">
        <v>46081.0</v>
      </c>
      <c r="I3952" s="12">
        <v>14.0</v>
      </c>
      <c r="J3952" s="6" t="s">
        <v>161</v>
      </c>
    </row>
    <row r="3953" ht="22.5" customHeight="1">
      <c r="A3953" s="6" t="s">
        <v>18592</v>
      </c>
      <c r="B3953" s="6" t="s">
        <v>9254</v>
      </c>
      <c r="C3953" s="10">
        <v>46060.0</v>
      </c>
      <c r="D3953" s="6" t="s">
        <v>312</v>
      </c>
      <c r="E3953" s="6" t="s">
        <v>738</v>
      </c>
      <c r="F3953" s="6" t="s">
        <v>439</v>
      </c>
      <c r="G3953" s="6" t="s">
        <v>254</v>
      </c>
      <c r="H3953" s="10">
        <v>46064.0</v>
      </c>
      <c r="I3953" s="12">
        <v>5.0</v>
      </c>
      <c r="J3953" s="6" t="s">
        <v>161</v>
      </c>
    </row>
    <row r="3954" ht="22.5" customHeight="1">
      <c r="A3954" s="6" t="s">
        <v>18599</v>
      </c>
      <c r="B3954" s="6" t="s">
        <v>9254</v>
      </c>
      <c r="C3954" s="10">
        <v>46066.0</v>
      </c>
      <c r="D3954" s="6" t="s">
        <v>391</v>
      </c>
      <c r="E3954" s="6" t="s">
        <v>863</v>
      </c>
      <c r="F3954" s="6" t="s">
        <v>283</v>
      </c>
      <c r="G3954" s="6" t="s">
        <v>369</v>
      </c>
      <c r="H3954" s="10">
        <v>46070.0</v>
      </c>
      <c r="I3954" s="12">
        <v>11.0</v>
      </c>
      <c r="J3954" s="6" t="s">
        <v>161</v>
      </c>
    </row>
    <row r="3955" ht="22.5" customHeight="1">
      <c r="A3955" s="6" t="s">
        <v>18606</v>
      </c>
      <c r="B3955" s="6" t="s">
        <v>9260</v>
      </c>
      <c r="C3955" s="10">
        <v>46070.0</v>
      </c>
      <c r="D3955" s="6" t="s">
        <v>242</v>
      </c>
      <c r="E3955" s="6" t="s">
        <v>787</v>
      </c>
      <c r="F3955" s="6" t="s">
        <v>112</v>
      </c>
      <c r="G3955" s="6" t="s">
        <v>369</v>
      </c>
      <c r="H3955" s="10">
        <v>46074.0</v>
      </c>
      <c r="I3955" s="12">
        <v>5.0</v>
      </c>
      <c r="J3955" s="6" t="s">
        <v>161</v>
      </c>
    </row>
    <row r="3956" ht="22.5" customHeight="1">
      <c r="A3956" s="6" t="s">
        <v>18611</v>
      </c>
      <c r="B3956" s="6" t="s">
        <v>9260</v>
      </c>
      <c r="C3956" s="10">
        <v>46077.0</v>
      </c>
      <c r="D3956" s="6" t="s">
        <v>242</v>
      </c>
      <c r="E3956" s="6" t="s">
        <v>1517</v>
      </c>
      <c r="F3956" s="6" t="s">
        <v>249</v>
      </c>
      <c r="G3956" s="6" t="s">
        <v>477</v>
      </c>
      <c r="H3956" s="10">
        <v>46082.0</v>
      </c>
      <c r="I3956" s="12">
        <v>6.0</v>
      </c>
      <c r="J3956" s="6" t="s">
        <v>178</v>
      </c>
    </row>
    <row r="3957" ht="22.5" customHeight="1">
      <c r="A3957" s="6" t="s">
        <v>18614</v>
      </c>
      <c r="B3957" s="6" t="s">
        <v>9266</v>
      </c>
      <c r="C3957" s="10">
        <v>46050.0</v>
      </c>
      <c r="D3957" s="6" t="s">
        <v>391</v>
      </c>
      <c r="E3957" s="6" t="s">
        <v>1552</v>
      </c>
      <c r="F3957" s="6" t="s">
        <v>249</v>
      </c>
      <c r="G3957" s="6" t="s">
        <v>326</v>
      </c>
      <c r="H3957" s="11" t="s">
        <v>259</v>
      </c>
      <c r="I3957" s="12">
        <v>6.0</v>
      </c>
      <c r="J3957" s="6" t="s">
        <v>161</v>
      </c>
    </row>
    <row r="3958" ht="22.5" customHeight="1">
      <c r="A3958" s="6" t="s">
        <v>18619</v>
      </c>
      <c r="B3958" s="6" t="s">
        <v>9273</v>
      </c>
      <c r="C3958" s="10">
        <v>46050.0</v>
      </c>
      <c r="D3958" s="6" t="s">
        <v>416</v>
      </c>
      <c r="E3958" s="6" t="s">
        <v>2365</v>
      </c>
      <c r="F3958" s="6" t="s">
        <v>249</v>
      </c>
      <c r="G3958" s="6" t="s">
        <v>326</v>
      </c>
      <c r="H3958" s="10">
        <v>46052.0</v>
      </c>
      <c r="I3958" s="12">
        <v>9.0</v>
      </c>
      <c r="J3958" s="6" t="s">
        <v>161</v>
      </c>
    </row>
    <row r="3959" ht="22.5" customHeight="1">
      <c r="A3959" s="6" t="s">
        <v>18627</v>
      </c>
      <c r="B3959" s="6" t="s">
        <v>9273</v>
      </c>
      <c r="C3959" s="10">
        <v>46055.0</v>
      </c>
      <c r="D3959" s="6" t="s">
        <v>677</v>
      </c>
      <c r="E3959" s="6" t="s">
        <v>2881</v>
      </c>
      <c r="F3959" s="6" t="s">
        <v>439</v>
      </c>
      <c r="G3959" s="6" t="s">
        <v>369</v>
      </c>
      <c r="H3959" s="10">
        <v>46056.0</v>
      </c>
      <c r="I3959" s="12">
        <v>4.0</v>
      </c>
      <c r="J3959" s="6" t="s">
        <v>161</v>
      </c>
    </row>
    <row r="3960" ht="22.5" customHeight="1">
      <c r="A3960" s="6" t="s">
        <v>18633</v>
      </c>
      <c r="B3960" s="6" t="s">
        <v>9280</v>
      </c>
      <c r="C3960" s="10">
        <v>46061.0</v>
      </c>
      <c r="D3960" s="6" t="s">
        <v>436</v>
      </c>
      <c r="E3960" s="6" t="s">
        <v>687</v>
      </c>
      <c r="F3960" s="6" t="s">
        <v>439</v>
      </c>
      <c r="G3960" s="6" t="s">
        <v>494</v>
      </c>
      <c r="H3960" s="10">
        <v>46068.0</v>
      </c>
      <c r="I3960" s="12">
        <v>11.0</v>
      </c>
      <c r="J3960" s="6" t="s">
        <v>178</v>
      </c>
    </row>
    <row r="3961" ht="22.5" customHeight="1">
      <c r="A3961" s="6" t="s">
        <v>18639</v>
      </c>
      <c r="B3961" s="6" t="s">
        <v>9280</v>
      </c>
      <c r="C3961" s="10">
        <v>46060.0</v>
      </c>
      <c r="D3961" s="6" t="s">
        <v>416</v>
      </c>
      <c r="E3961" s="6" t="s">
        <v>775</v>
      </c>
      <c r="F3961" s="6" t="s">
        <v>283</v>
      </c>
      <c r="G3961" s="6" t="s">
        <v>297</v>
      </c>
      <c r="H3961" s="11" t="s">
        <v>259</v>
      </c>
      <c r="I3961" s="12">
        <v>9.0</v>
      </c>
      <c r="J3961" s="6" t="s">
        <v>161</v>
      </c>
    </row>
    <row r="3962" ht="22.5" customHeight="1">
      <c r="A3962" s="6" t="s">
        <v>18648</v>
      </c>
      <c r="B3962" s="6" t="s">
        <v>9280</v>
      </c>
      <c r="C3962" s="10">
        <v>46060.0</v>
      </c>
      <c r="D3962" s="6" t="s">
        <v>436</v>
      </c>
      <c r="E3962" s="6" t="s">
        <v>1741</v>
      </c>
      <c r="F3962" s="6" t="s">
        <v>112</v>
      </c>
      <c r="G3962" s="6" t="s">
        <v>326</v>
      </c>
      <c r="H3962" s="10">
        <v>46062.0</v>
      </c>
      <c r="I3962" s="12">
        <v>9.0</v>
      </c>
      <c r="J3962" s="6" t="s">
        <v>178</v>
      </c>
    </row>
    <row r="3963" ht="22.5" customHeight="1">
      <c r="A3963" s="6" t="s">
        <v>18656</v>
      </c>
      <c r="B3963" s="6" t="s">
        <v>9286</v>
      </c>
      <c r="C3963" s="10">
        <v>46057.0</v>
      </c>
      <c r="D3963" s="6" t="s">
        <v>242</v>
      </c>
      <c r="E3963" s="6" t="s">
        <v>687</v>
      </c>
      <c r="F3963" s="6" t="s">
        <v>112</v>
      </c>
      <c r="G3963" s="6" t="s">
        <v>477</v>
      </c>
      <c r="H3963" s="11" t="s">
        <v>259</v>
      </c>
      <c r="I3963" s="12">
        <v>6.0</v>
      </c>
      <c r="J3963" s="6" t="s">
        <v>178</v>
      </c>
    </row>
    <row r="3964" ht="22.5" customHeight="1">
      <c r="A3964" s="6" t="s">
        <v>18659</v>
      </c>
      <c r="B3964" s="6" t="s">
        <v>9286</v>
      </c>
      <c r="C3964" s="10">
        <v>46051.0</v>
      </c>
      <c r="D3964" s="6" t="s">
        <v>242</v>
      </c>
      <c r="E3964" s="6" t="s">
        <v>1600</v>
      </c>
      <c r="F3964" s="6" t="s">
        <v>439</v>
      </c>
      <c r="G3964" s="6" t="s">
        <v>326</v>
      </c>
      <c r="H3964" s="10">
        <v>46057.0</v>
      </c>
      <c r="I3964" s="12">
        <v>5.0</v>
      </c>
      <c r="J3964" s="6" t="s">
        <v>178</v>
      </c>
    </row>
    <row r="3965" ht="22.5" customHeight="1">
      <c r="A3965" s="6" t="s">
        <v>18663</v>
      </c>
      <c r="B3965" s="6" t="s">
        <v>9286</v>
      </c>
      <c r="C3965" s="10">
        <v>46058.0</v>
      </c>
      <c r="D3965" s="6" t="s">
        <v>289</v>
      </c>
      <c r="E3965" s="6" t="s">
        <v>670</v>
      </c>
      <c r="F3965" s="6" t="s">
        <v>439</v>
      </c>
      <c r="G3965" s="6" t="s">
        <v>297</v>
      </c>
      <c r="H3965" s="11" t="s">
        <v>259</v>
      </c>
      <c r="I3965" s="12">
        <v>6.0</v>
      </c>
      <c r="J3965" s="6" t="s">
        <v>161</v>
      </c>
    </row>
    <row r="3966" ht="22.5" customHeight="1">
      <c r="A3966" s="6" t="s">
        <v>18668</v>
      </c>
      <c r="B3966" s="6" t="s">
        <v>9286</v>
      </c>
      <c r="C3966" s="10">
        <v>46058.0</v>
      </c>
      <c r="D3966" s="6" t="s">
        <v>312</v>
      </c>
      <c r="E3966" s="6" t="s">
        <v>1546</v>
      </c>
      <c r="F3966" s="6" t="s">
        <v>439</v>
      </c>
      <c r="G3966" s="6" t="s">
        <v>477</v>
      </c>
      <c r="H3966" s="10">
        <v>46064.0</v>
      </c>
      <c r="I3966" s="12">
        <v>5.0</v>
      </c>
      <c r="J3966" s="6" t="s">
        <v>161</v>
      </c>
    </row>
    <row r="3967" ht="22.5" customHeight="1">
      <c r="A3967" s="6" t="s">
        <v>18671</v>
      </c>
      <c r="B3967" s="6" t="s">
        <v>9292</v>
      </c>
      <c r="C3967" s="10">
        <v>46056.0</v>
      </c>
      <c r="D3967" s="6" t="s">
        <v>391</v>
      </c>
      <c r="E3967" s="6" t="s">
        <v>1102</v>
      </c>
      <c r="F3967" s="6" t="s">
        <v>112</v>
      </c>
      <c r="G3967" s="6" t="s">
        <v>254</v>
      </c>
      <c r="H3967" s="10">
        <v>46060.0</v>
      </c>
      <c r="I3967" s="12">
        <v>7.0</v>
      </c>
      <c r="J3967" s="6" t="s">
        <v>161</v>
      </c>
    </row>
    <row r="3968" ht="22.5" customHeight="1">
      <c r="A3968" s="6" t="s">
        <v>18676</v>
      </c>
      <c r="B3968" s="6" t="s">
        <v>9292</v>
      </c>
      <c r="C3968" s="10">
        <v>46045.0</v>
      </c>
      <c r="D3968" s="6" t="s">
        <v>436</v>
      </c>
      <c r="E3968" s="6" t="s">
        <v>812</v>
      </c>
      <c r="F3968" s="6" t="s">
        <v>283</v>
      </c>
      <c r="G3968" s="6" t="s">
        <v>494</v>
      </c>
      <c r="H3968" s="10">
        <v>46051.0</v>
      </c>
      <c r="I3968" s="12">
        <v>10.0</v>
      </c>
      <c r="J3968" s="6" t="s">
        <v>178</v>
      </c>
    </row>
    <row r="3969" ht="22.5" customHeight="1">
      <c r="A3969" s="6" t="s">
        <v>18681</v>
      </c>
      <c r="B3969" s="6" t="s">
        <v>9292</v>
      </c>
      <c r="C3969" s="10">
        <v>46043.0</v>
      </c>
      <c r="D3969" s="6" t="s">
        <v>242</v>
      </c>
      <c r="E3969" s="6" t="s">
        <v>610</v>
      </c>
      <c r="F3969" s="6" t="s">
        <v>249</v>
      </c>
      <c r="G3969" s="6" t="s">
        <v>494</v>
      </c>
      <c r="H3969" s="10">
        <v>46047.0</v>
      </c>
      <c r="I3969" s="12">
        <v>4.0</v>
      </c>
      <c r="J3969" s="6" t="s">
        <v>178</v>
      </c>
    </row>
    <row r="3970" ht="22.5" customHeight="1">
      <c r="A3970" s="6" t="s">
        <v>18686</v>
      </c>
      <c r="B3970" s="6" t="s">
        <v>9292</v>
      </c>
      <c r="C3970" s="10">
        <v>46043.0</v>
      </c>
      <c r="D3970" s="6" t="s">
        <v>289</v>
      </c>
      <c r="E3970" s="6" t="s">
        <v>1741</v>
      </c>
      <c r="F3970" s="6" t="s">
        <v>283</v>
      </c>
      <c r="G3970" s="6" t="s">
        <v>477</v>
      </c>
      <c r="H3970" s="11" t="s">
        <v>259</v>
      </c>
      <c r="I3970" s="12">
        <v>10.0</v>
      </c>
      <c r="J3970" s="6" t="s">
        <v>161</v>
      </c>
    </row>
    <row r="3971" ht="22.5" customHeight="1">
      <c r="A3971" s="6" t="s">
        <v>18690</v>
      </c>
      <c r="B3971" s="6" t="s">
        <v>9298</v>
      </c>
      <c r="C3971" s="10">
        <v>46070.0</v>
      </c>
      <c r="D3971" s="6" t="s">
        <v>436</v>
      </c>
      <c r="E3971" s="6" t="s">
        <v>1552</v>
      </c>
      <c r="F3971" s="6" t="s">
        <v>283</v>
      </c>
      <c r="G3971" s="6" t="s">
        <v>326</v>
      </c>
      <c r="H3971" s="10">
        <v>46077.0</v>
      </c>
      <c r="I3971" s="12">
        <v>11.0</v>
      </c>
      <c r="J3971" s="6" t="s">
        <v>178</v>
      </c>
    </row>
    <row r="3972" ht="22.5" customHeight="1">
      <c r="A3972" s="6" t="s">
        <v>18694</v>
      </c>
      <c r="B3972" s="6" t="s">
        <v>9304</v>
      </c>
      <c r="C3972" s="10">
        <v>46052.0</v>
      </c>
      <c r="D3972" s="6" t="s">
        <v>312</v>
      </c>
      <c r="E3972" s="6" t="s">
        <v>738</v>
      </c>
      <c r="F3972" s="6" t="s">
        <v>112</v>
      </c>
      <c r="G3972" s="6" t="s">
        <v>452</v>
      </c>
      <c r="H3972" s="10">
        <v>46055.0</v>
      </c>
      <c r="I3972" s="12">
        <v>4.0</v>
      </c>
      <c r="J3972" s="6" t="s">
        <v>161</v>
      </c>
    </row>
    <row r="3973" ht="22.5" customHeight="1">
      <c r="A3973" s="6" t="s">
        <v>18700</v>
      </c>
      <c r="B3973" s="6" t="s">
        <v>9304</v>
      </c>
      <c r="C3973" s="10">
        <v>46040.0</v>
      </c>
      <c r="D3973" s="6" t="s">
        <v>416</v>
      </c>
      <c r="E3973" s="6" t="s">
        <v>885</v>
      </c>
      <c r="F3973" s="6" t="s">
        <v>249</v>
      </c>
      <c r="G3973" s="6" t="s">
        <v>458</v>
      </c>
      <c r="H3973" s="10">
        <v>46046.0</v>
      </c>
      <c r="I3973" s="12">
        <v>10.0</v>
      </c>
      <c r="J3973" s="6" t="s">
        <v>161</v>
      </c>
    </row>
    <row r="3974" ht="22.5" customHeight="1">
      <c r="A3974" s="6" t="s">
        <v>18703</v>
      </c>
      <c r="B3974" s="6" t="s">
        <v>9304</v>
      </c>
      <c r="C3974" s="10">
        <v>46043.0</v>
      </c>
      <c r="D3974" s="6" t="s">
        <v>242</v>
      </c>
      <c r="E3974" s="6" t="s">
        <v>610</v>
      </c>
      <c r="F3974" s="6" t="s">
        <v>112</v>
      </c>
      <c r="G3974" s="6" t="s">
        <v>494</v>
      </c>
      <c r="H3974" s="10">
        <v>46045.0</v>
      </c>
      <c r="I3974" s="12">
        <v>5.0</v>
      </c>
      <c r="J3974" s="6" t="s">
        <v>178</v>
      </c>
    </row>
    <row r="3975" ht="22.5" customHeight="1">
      <c r="A3975" s="6" t="s">
        <v>18707</v>
      </c>
      <c r="B3975" s="6" t="s">
        <v>9304</v>
      </c>
      <c r="C3975" s="10">
        <v>46050.0</v>
      </c>
      <c r="D3975" s="6" t="s">
        <v>242</v>
      </c>
      <c r="E3975" s="6" t="s">
        <v>670</v>
      </c>
      <c r="F3975" s="6" t="s">
        <v>112</v>
      </c>
      <c r="G3975" s="6" t="s">
        <v>477</v>
      </c>
      <c r="H3975" s="10">
        <v>46057.0</v>
      </c>
      <c r="I3975" s="12">
        <v>4.0</v>
      </c>
      <c r="J3975" s="6" t="s">
        <v>178</v>
      </c>
    </row>
    <row r="3976" ht="22.5" customHeight="1">
      <c r="A3976" s="6" t="s">
        <v>18710</v>
      </c>
      <c r="B3976" s="6" t="s">
        <v>9304</v>
      </c>
      <c r="C3976" s="10">
        <v>46049.0</v>
      </c>
      <c r="D3976" s="6" t="s">
        <v>242</v>
      </c>
      <c r="E3976" s="6" t="s">
        <v>365</v>
      </c>
      <c r="F3976" s="6" t="s">
        <v>249</v>
      </c>
      <c r="G3976" s="6" t="s">
        <v>297</v>
      </c>
      <c r="H3976" s="10">
        <v>46053.0</v>
      </c>
      <c r="I3976" s="12">
        <v>5.0</v>
      </c>
      <c r="J3976" s="6" t="s">
        <v>161</v>
      </c>
    </row>
    <row r="3977" ht="22.5" customHeight="1">
      <c r="A3977" s="6" t="s">
        <v>18713</v>
      </c>
      <c r="B3977" s="6" t="s">
        <v>9311</v>
      </c>
      <c r="C3977" s="10">
        <v>46068.0</v>
      </c>
      <c r="D3977" s="6" t="s">
        <v>312</v>
      </c>
      <c r="E3977" s="6" t="s">
        <v>1600</v>
      </c>
      <c r="F3977" s="6" t="s">
        <v>283</v>
      </c>
      <c r="G3977" s="6" t="s">
        <v>297</v>
      </c>
      <c r="H3977" s="10">
        <v>46070.0</v>
      </c>
      <c r="I3977" s="12">
        <v>6.0</v>
      </c>
      <c r="J3977" s="6" t="s">
        <v>161</v>
      </c>
    </row>
    <row r="3978" ht="22.5" customHeight="1">
      <c r="A3978" s="6" t="s">
        <v>18717</v>
      </c>
      <c r="B3978" s="6" t="s">
        <v>9311</v>
      </c>
      <c r="C3978" s="10">
        <v>46072.0</v>
      </c>
      <c r="D3978" s="6" t="s">
        <v>242</v>
      </c>
      <c r="E3978" s="6" t="s">
        <v>1122</v>
      </c>
      <c r="F3978" s="6" t="s">
        <v>112</v>
      </c>
      <c r="G3978" s="6" t="s">
        <v>326</v>
      </c>
      <c r="H3978" s="11" t="s">
        <v>259</v>
      </c>
      <c r="I3978" s="12">
        <v>6.0</v>
      </c>
      <c r="J3978" s="6" t="s">
        <v>178</v>
      </c>
    </row>
    <row r="3979" ht="22.5" customHeight="1">
      <c r="A3979" s="6" t="s">
        <v>18725</v>
      </c>
      <c r="B3979" s="6" t="s">
        <v>9311</v>
      </c>
      <c r="C3979" s="10">
        <v>46075.0</v>
      </c>
      <c r="D3979" s="6" t="s">
        <v>391</v>
      </c>
      <c r="E3979" s="6" t="s">
        <v>1070</v>
      </c>
      <c r="F3979" s="6" t="s">
        <v>112</v>
      </c>
      <c r="G3979" s="6" t="s">
        <v>494</v>
      </c>
      <c r="H3979" s="10">
        <v>46079.0</v>
      </c>
      <c r="I3979" s="12">
        <v>9.0</v>
      </c>
      <c r="J3979" s="6" t="s">
        <v>161</v>
      </c>
    </row>
    <row r="3980" ht="22.5" customHeight="1">
      <c r="A3980" s="6" t="s">
        <v>18732</v>
      </c>
      <c r="B3980" s="6" t="s">
        <v>9311</v>
      </c>
      <c r="C3980" s="10">
        <v>46064.0</v>
      </c>
      <c r="D3980" s="6" t="s">
        <v>391</v>
      </c>
      <c r="E3980" s="6" t="s">
        <v>1035</v>
      </c>
      <c r="F3980" s="6" t="s">
        <v>283</v>
      </c>
      <c r="G3980" s="6" t="s">
        <v>477</v>
      </c>
      <c r="H3980" s="10">
        <v>46065.0</v>
      </c>
      <c r="I3980" s="12">
        <v>7.0</v>
      </c>
      <c r="J3980" s="6" t="s">
        <v>161</v>
      </c>
    </row>
    <row r="3981" ht="22.5" customHeight="1">
      <c r="A3981" s="6" t="s">
        <v>18738</v>
      </c>
      <c r="B3981" s="6" t="s">
        <v>9311</v>
      </c>
      <c r="C3981" s="10">
        <v>46074.0</v>
      </c>
      <c r="D3981" s="6" t="s">
        <v>312</v>
      </c>
      <c r="E3981" s="6" t="s">
        <v>1600</v>
      </c>
      <c r="F3981" s="6" t="s">
        <v>249</v>
      </c>
      <c r="G3981" s="6" t="s">
        <v>477</v>
      </c>
      <c r="H3981" s="10">
        <v>46074.0</v>
      </c>
      <c r="I3981" s="12">
        <v>4.0</v>
      </c>
      <c r="J3981" s="6" t="s">
        <v>161</v>
      </c>
    </row>
    <row r="3982" ht="22.5" customHeight="1">
      <c r="A3982" s="6" t="s">
        <v>18744</v>
      </c>
      <c r="B3982" s="6" t="s">
        <v>9317</v>
      </c>
      <c r="C3982" s="10">
        <v>46064.0</v>
      </c>
      <c r="D3982" s="6" t="s">
        <v>312</v>
      </c>
      <c r="E3982" s="6" t="s">
        <v>670</v>
      </c>
      <c r="F3982" s="6" t="s">
        <v>283</v>
      </c>
      <c r="G3982" s="6" t="s">
        <v>452</v>
      </c>
      <c r="H3982" s="10">
        <v>46069.0</v>
      </c>
      <c r="I3982" s="12">
        <v>7.0</v>
      </c>
      <c r="J3982" s="6" t="s">
        <v>161</v>
      </c>
    </row>
    <row r="3983" ht="22.5" customHeight="1">
      <c r="A3983" s="6" t="s">
        <v>18750</v>
      </c>
      <c r="B3983" s="6" t="s">
        <v>9324</v>
      </c>
      <c r="C3983" s="10">
        <v>46060.0</v>
      </c>
      <c r="D3983" s="6" t="s">
        <v>416</v>
      </c>
      <c r="E3983" s="6" t="s">
        <v>695</v>
      </c>
      <c r="F3983" s="6" t="s">
        <v>112</v>
      </c>
      <c r="G3983" s="6" t="s">
        <v>254</v>
      </c>
      <c r="H3983" s="10">
        <v>46060.0</v>
      </c>
      <c r="I3983" s="12">
        <v>14.0</v>
      </c>
      <c r="J3983" s="6" t="s">
        <v>161</v>
      </c>
    </row>
    <row r="3984" ht="22.5" customHeight="1">
      <c r="A3984" s="6" t="s">
        <v>18756</v>
      </c>
      <c r="B3984" s="6" t="s">
        <v>9330</v>
      </c>
      <c r="C3984" s="10">
        <v>46079.0</v>
      </c>
      <c r="D3984" s="6" t="s">
        <v>242</v>
      </c>
      <c r="E3984" s="6" t="s">
        <v>1969</v>
      </c>
      <c r="F3984" s="6" t="s">
        <v>439</v>
      </c>
      <c r="G3984" s="6" t="s">
        <v>494</v>
      </c>
      <c r="H3984" s="11" t="s">
        <v>259</v>
      </c>
      <c r="I3984" s="12">
        <v>6.0</v>
      </c>
      <c r="J3984" s="6" t="s">
        <v>178</v>
      </c>
    </row>
    <row r="3985" ht="22.5" customHeight="1">
      <c r="A3985" s="6" t="s">
        <v>18762</v>
      </c>
      <c r="B3985" s="6" t="s">
        <v>9336</v>
      </c>
      <c r="C3985" s="10">
        <v>46073.0</v>
      </c>
      <c r="D3985" s="6" t="s">
        <v>312</v>
      </c>
      <c r="E3985" s="6" t="s">
        <v>291</v>
      </c>
      <c r="F3985" s="6" t="s">
        <v>283</v>
      </c>
      <c r="G3985" s="6" t="s">
        <v>452</v>
      </c>
      <c r="H3985" s="10">
        <v>46080.0</v>
      </c>
      <c r="I3985" s="12">
        <v>4.0</v>
      </c>
      <c r="J3985" s="6" t="s">
        <v>161</v>
      </c>
    </row>
    <row r="3986" ht="22.5" customHeight="1">
      <c r="A3986" s="6" t="s">
        <v>18765</v>
      </c>
      <c r="B3986" s="6" t="s">
        <v>9343</v>
      </c>
      <c r="C3986" s="10">
        <v>46054.0</v>
      </c>
      <c r="D3986" s="6" t="s">
        <v>416</v>
      </c>
      <c r="E3986" s="6" t="s">
        <v>833</v>
      </c>
      <c r="F3986" s="6" t="s">
        <v>439</v>
      </c>
      <c r="G3986" s="6" t="s">
        <v>477</v>
      </c>
      <c r="H3986" s="10">
        <v>46055.0</v>
      </c>
      <c r="I3986" s="12">
        <v>12.0</v>
      </c>
      <c r="J3986" s="6" t="s">
        <v>161</v>
      </c>
    </row>
    <row r="3987" ht="22.5" customHeight="1">
      <c r="A3987" s="6" t="s">
        <v>18769</v>
      </c>
      <c r="B3987" s="6" t="s">
        <v>9343</v>
      </c>
      <c r="C3987" s="10">
        <v>46038.0</v>
      </c>
      <c r="D3987" s="6" t="s">
        <v>436</v>
      </c>
      <c r="E3987" s="6" t="s">
        <v>618</v>
      </c>
      <c r="F3987" s="6" t="s">
        <v>283</v>
      </c>
      <c r="G3987" s="6" t="s">
        <v>477</v>
      </c>
      <c r="H3987" s="10">
        <v>46041.0</v>
      </c>
      <c r="I3987" s="12">
        <v>8.0</v>
      </c>
      <c r="J3987" s="6" t="s">
        <v>178</v>
      </c>
    </row>
    <row r="3988" ht="22.5" customHeight="1">
      <c r="A3988" s="6" t="s">
        <v>18771</v>
      </c>
      <c r="B3988" s="6" t="s">
        <v>9343</v>
      </c>
      <c r="C3988" s="10">
        <v>46043.0</v>
      </c>
      <c r="D3988" s="6" t="s">
        <v>416</v>
      </c>
      <c r="E3988" s="6" t="s">
        <v>1122</v>
      </c>
      <c r="F3988" s="6" t="s">
        <v>112</v>
      </c>
      <c r="G3988" s="6" t="s">
        <v>477</v>
      </c>
      <c r="H3988" s="10">
        <v>46048.0</v>
      </c>
      <c r="I3988" s="12">
        <v>9.0</v>
      </c>
      <c r="J3988" s="6" t="s">
        <v>161</v>
      </c>
    </row>
    <row r="3989" ht="22.5" customHeight="1">
      <c r="A3989" s="6" t="s">
        <v>18776</v>
      </c>
      <c r="B3989" s="6" t="s">
        <v>9351</v>
      </c>
      <c r="C3989" s="10">
        <v>46055.0</v>
      </c>
      <c r="D3989" s="6" t="s">
        <v>677</v>
      </c>
      <c r="E3989" s="6" t="s">
        <v>787</v>
      </c>
      <c r="F3989" s="6" t="s">
        <v>112</v>
      </c>
      <c r="G3989" s="6" t="s">
        <v>494</v>
      </c>
      <c r="H3989" s="11" t="s">
        <v>259</v>
      </c>
      <c r="I3989" s="12">
        <v>4.0</v>
      </c>
      <c r="J3989" s="6" t="s">
        <v>161</v>
      </c>
    </row>
    <row r="3990" ht="22.5" customHeight="1">
      <c r="A3990" s="6" t="s">
        <v>18781</v>
      </c>
      <c r="B3990" s="6" t="s">
        <v>9351</v>
      </c>
      <c r="C3990" s="10">
        <v>46039.0</v>
      </c>
      <c r="D3990" s="6" t="s">
        <v>312</v>
      </c>
      <c r="E3990" s="6" t="s">
        <v>438</v>
      </c>
      <c r="F3990" s="6" t="s">
        <v>112</v>
      </c>
      <c r="G3990" s="6" t="s">
        <v>458</v>
      </c>
      <c r="H3990" s="10">
        <v>46043.0</v>
      </c>
      <c r="I3990" s="12">
        <v>6.0</v>
      </c>
      <c r="J3990" s="6" t="s">
        <v>161</v>
      </c>
    </row>
    <row r="3991" ht="22.5" customHeight="1">
      <c r="A3991" s="6" t="s">
        <v>18785</v>
      </c>
      <c r="B3991" s="6" t="s">
        <v>9358</v>
      </c>
      <c r="C3991" s="10">
        <v>46066.0</v>
      </c>
      <c r="D3991" s="6" t="s">
        <v>312</v>
      </c>
      <c r="E3991" s="6" t="s">
        <v>291</v>
      </c>
      <c r="F3991" s="6" t="s">
        <v>283</v>
      </c>
      <c r="G3991" s="6" t="s">
        <v>458</v>
      </c>
      <c r="H3991" s="10">
        <v>46071.0</v>
      </c>
      <c r="I3991" s="12">
        <v>4.0</v>
      </c>
      <c r="J3991" s="6" t="s">
        <v>161</v>
      </c>
    </row>
    <row r="3992" ht="22.5" customHeight="1">
      <c r="A3992" s="6" t="s">
        <v>18789</v>
      </c>
      <c r="B3992" s="6" t="s">
        <v>9358</v>
      </c>
      <c r="C3992" s="10">
        <v>46069.0</v>
      </c>
      <c r="D3992" s="6" t="s">
        <v>436</v>
      </c>
      <c r="E3992" s="6" t="s">
        <v>863</v>
      </c>
      <c r="F3992" s="6" t="s">
        <v>283</v>
      </c>
      <c r="G3992" s="6" t="s">
        <v>254</v>
      </c>
      <c r="H3992" s="10">
        <v>46074.0</v>
      </c>
      <c r="I3992" s="12">
        <v>6.0</v>
      </c>
      <c r="J3992" s="6" t="s">
        <v>178</v>
      </c>
    </row>
    <row r="3993" ht="22.5" customHeight="1">
      <c r="A3993" s="6" t="s">
        <v>18792</v>
      </c>
      <c r="B3993" s="6" t="s">
        <v>9358</v>
      </c>
      <c r="C3993" s="10">
        <v>46061.0</v>
      </c>
      <c r="D3993" s="6" t="s">
        <v>312</v>
      </c>
      <c r="E3993" s="6" t="s">
        <v>1700</v>
      </c>
      <c r="F3993" s="6" t="s">
        <v>249</v>
      </c>
      <c r="G3993" s="6" t="s">
        <v>254</v>
      </c>
      <c r="H3993" s="11" t="s">
        <v>259</v>
      </c>
      <c r="I3993" s="12">
        <v>6.0</v>
      </c>
      <c r="J3993" s="6" t="s">
        <v>161</v>
      </c>
    </row>
    <row r="3994" ht="22.5" customHeight="1">
      <c r="A3994" s="6" t="s">
        <v>18796</v>
      </c>
      <c r="B3994" s="6" t="s">
        <v>9364</v>
      </c>
      <c r="C3994" s="10">
        <v>46069.0</v>
      </c>
      <c r="D3994" s="6" t="s">
        <v>416</v>
      </c>
      <c r="E3994" s="6" t="s">
        <v>394</v>
      </c>
      <c r="F3994" s="6" t="s">
        <v>249</v>
      </c>
      <c r="G3994" s="6" t="s">
        <v>494</v>
      </c>
      <c r="H3994" s="10">
        <v>46072.0</v>
      </c>
      <c r="I3994" s="12">
        <v>11.0</v>
      </c>
      <c r="J3994" s="6" t="s">
        <v>161</v>
      </c>
    </row>
    <row r="3995" ht="22.5" customHeight="1">
      <c r="A3995" s="6" t="s">
        <v>18800</v>
      </c>
      <c r="B3995" s="6" t="s">
        <v>9364</v>
      </c>
      <c r="C3995" s="10">
        <v>46057.0</v>
      </c>
      <c r="D3995" s="6" t="s">
        <v>677</v>
      </c>
      <c r="E3995" s="6" t="s">
        <v>695</v>
      </c>
      <c r="F3995" s="6" t="s">
        <v>439</v>
      </c>
      <c r="G3995" s="6" t="s">
        <v>369</v>
      </c>
      <c r="H3995" s="10">
        <v>46063.0</v>
      </c>
      <c r="I3995" s="12">
        <v>4.0</v>
      </c>
      <c r="J3995" s="6" t="s">
        <v>161</v>
      </c>
    </row>
    <row r="3996" ht="22.5" customHeight="1">
      <c r="A3996" s="6" t="s">
        <v>18804</v>
      </c>
      <c r="B3996" s="6" t="s">
        <v>9364</v>
      </c>
      <c r="C3996" s="10">
        <v>46072.0</v>
      </c>
      <c r="D3996" s="6" t="s">
        <v>677</v>
      </c>
      <c r="E3996" s="6" t="s">
        <v>896</v>
      </c>
      <c r="F3996" s="6" t="s">
        <v>439</v>
      </c>
      <c r="G3996" s="6" t="s">
        <v>254</v>
      </c>
      <c r="H3996" s="10">
        <v>46077.0</v>
      </c>
      <c r="I3996" s="12">
        <v>3.0</v>
      </c>
      <c r="J3996" s="6" t="s">
        <v>161</v>
      </c>
    </row>
    <row r="3997" ht="22.5" customHeight="1">
      <c r="A3997" s="6" t="s">
        <v>18809</v>
      </c>
      <c r="B3997" s="6" t="s">
        <v>9364</v>
      </c>
      <c r="C3997" s="10">
        <v>46064.0</v>
      </c>
      <c r="D3997" s="6" t="s">
        <v>436</v>
      </c>
      <c r="E3997" s="6" t="s">
        <v>812</v>
      </c>
      <c r="F3997" s="6" t="s">
        <v>112</v>
      </c>
      <c r="G3997" s="6" t="s">
        <v>297</v>
      </c>
      <c r="H3997" s="10">
        <v>46066.0</v>
      </c>
      <c r="I3997" s="12">
        <v>10.0</v>
      </c>
      <c r="J3997" s="6" t="s">
        <v>178</v>
      </c>
    </row>
    <row r="3998" ht="22.5" customHeight="1">
      <c r="A3998" s="6" t="s">
        <v>18812</v>
      </c>
      <c r="B3998" s="6" t="s">
        <v>9364</v>
      </c>
      <c r="C3998" s="10">
        <v>46062.0</v>
      </c>
      <c r="D3998" s="6" t="s">
        <v>416</v>
      </c>
      <c r="E3998" s="6" t="s">
        <v>2881</v>
      </c>
      <c r="F3998" s="6" t="s">
        <v>112</v>
      </c>
      <c r="G3998" s="6" t="s">
        <v>494</v>
      </c>
      <c r="H3998" s="10">
        <v>46064.0</v>
      </c>
      <c r="I3998" s="12">
        <v>13.0</v>
      </c>
      <c r="J3998" s="6" t="s">
        <v>161</v>
      </c>
    </row>
    <row r="3999" ht="22.5" customHeight="1">
      <c r="A3999" s="6" t="s">
        <v>18816</v>
      </c>
      <c r="B3999" s="6" t="s">
        <v>9370</v>
      </c>
      <c r="C3999" s="10">
        <v>46057.0</v>
      </c>
      <c r="D3999" s="6" t="s">
        <v>416</v>
      </c>
      <c r="E3999" s="6" t="s">
        <v>1310</v>
      </c>
      <c r="F3999" s="6" t="s">
        <v>283</v>
      </c>
      <c r="G3999" s="6" t="s">
        <v>452</v>
      </c>
      <c r="H3999" s="10">
        <v>46059.0</v>
      </c>
      <c r="I3999" s="12">
        <v>10.0</v>
      </c>
      <c r="J3999" s="6" t="s">
        <v>161</v>
      </c>
    </row>
    <row r="4000" ht="22.5" customHeight="1">
      <c r="A4000" s="6" t="s">
        <v>18822</v>
      </c>
      <c r="B4000" s="6" t="s">
        <v>9370</v>
      </c>
      <c r="C4000" s="10">
        <v>46068.0</v>
      </c>
      <c r="D4000" s="6" t="s">
        <v>391</v>
      </c>
      <c r="E4000" s="6" t="s">
        <v>1517</v>
      </c>
      <c r="F4000" s="6" t="s">
        <v>112</v>
      </c>
      <c r="G4000" s="6" t="s">
        <v>297</v>
      </c>
      <c r="H4000" s="11" t="s">
        <v>259</v>
      </c>
      <c r="I4000" s="12">
        <v>9.0</v>
      </c>
      <c r="J4000" s="6" t="s">
        <v>161</v>
      </c>
    </row>
    <row r="4001" ht="22.5" customHeight="1">
      <c r="A4001" s="6" t="s">
        <v>18828</v>
      </c>
      <c r="B4001" s="6" t="s">
        <v>9376</v>
      </c>
      <c r="C4001" s="10">
        <v>46042.0</v>
      </c>
      <c r="D4001" s="6" t="s">
        <v>436</v>
      </c>
      <c r="E4001" s="6" t="s">
        <v>583</v>
      </c>
      <c r="F4001" s="6" t="s">
        <v>249</v>
      </c>
      <c r="G4001" s="6" t="s">
        <v>494</v>
      </c>
      <c r="H4001" s="10">
        <v>46045.0</v>
      </c>
      <c r="I4001" s="12">
        <v>8.0</v>
      </c>
      <c r="J4001" s="6" t="s">
        <v>178</v>
      </c>
    </row>
    <row r="4002" ht="22.5" customHeight="1">
      <c r="A4002" s="6" t="s">
        <v>18836</v>
      </c>
      <c r="B4002" s="6" t="s">
        <v>9383</v>
      </c>
      <c r="C4002" s="10">
        <v>46061.0</v>
      </c>
      <c r="D4002" s="6" t="s">
        <v>416</v>
      </c>
      <c r="E4002" s="6" t="s">
        <v>863</v>
      </c>
      <c r="F4002" s="6" t="s">
        <v>439</v>
      </c>
      <c r="G4002" s="6" t="s">
        <v>458</v>
      </c>
      <c r="H4002" s="11" t="s">
        <v>259</v>
      </c>
      <c r="I4002" s="12">
        <v>8.0</v>
      </c>
      <c r="J4002" s="6" t="s">
        <v>161</v>
      </c>
    </row>
    <row r="4003" ht="22.5" customHeight="1">
      <c r="A4003" s="6" t="s">
        <v>18840</v>
      </c>
      <c r="B4003" s="6" t="s">
        <v>9383</v>
      </c>
      <c r="C4003" s="10">
        <v>46076.0</v>
      </c>
      <c r="D4003" s="6" t="s">
        <v>436</v>
      </c>
      <c r="E4003" s="6" t="s">
        <v>1546</v>
      </c>
      <c r="F4003" s="6" t="s">
        <v>112</v>
      </c>
      <c r="G4003" s="6" t="s">
        <v>458</v>
      </c>
      <c r="H4003" s="10">
        <v>46082.0</v>
      </c>
      <c r="I4003" s="12">
        <v>11.0</v>
      </c>
      <c r="J4003" s="6" t="s">
        <v>161</v>
      </c>
    </row>
    <row r="4004" ht="22.5" customHeight="1">
      <c r="A4004" s="6" t="s">
        <v>18845</v>
      </c>
      <c r="B4004" s="6" t="s">
        <v>9389</v>
      </c>
      <c r="C4004" s="10">
        <v>46041.0</v>
      </c>
      <c r="D4004" s="6" t="s">
        <v>436</v>
      </c>
      <c r="E4004" s="6" t="s">
        <v>1386</v>
      </c>
      <c r="F4004" s="6" t="s">
        <v>249</v>
      </c>
      <c r="G4004" s="6" t="s">
        <v>369</v>
      </c>
      <c r="H4004" s="10">
        <v>46042.0</v>
      </c>
      <c r="I4004" s="12">
        <v>7.0</v>
      </c>
      <c r="J4004" s="6" t="s">
        <v>161</v>
      </c>
    </row>
    <row r="4005" ht="22.5" customHeight="1">
      <c r="A4005" s="6" t="s">
        <v>18852</v>
      </c>
      <c r="B4005" s="6" t="s">
        <v>9389</v>
      </c>
      <c r="C4005" s="10">
        <v>46051.0</v>
      </c>
      <c r="D4005" s="6" t="s">
        <v>416</v>
      </c>
      <c r="E4005" s="6" t="s">
        <v>320</v>
      </c>
      <c r="F4005" s="6" t="s">
        <v>249</v>
      </c>
      <c r="G4005" s="6" t="s">
        <v>477</v>
      </c>
      <c r="H4005" s="11" t="s">
        <v>259</v>
      </c>
      <c r="I4005" s="12">
        <v>11.0</v>
      </c>
      <c r="J4005" s="6" t="s">
        <v>161</v>
      </c>
    </row>
    <row r="4006" ht="22.5" customHeight="1">
      <c r="A4006" s="6" t="s">
        <v>18859</v>
      </c>
      <c r="B4006" s="6" t="s">
        <v>9389</v>
      </c>
      <c r="C4006" s="10">
        <v>46036.0</v>
      </c>
      <c r="D4006" s="6" t="s">
        <v>416</v>
      </c>
      <c r="E4006" s="6" t="s">
        <v>1552</v>
      </c>
      <c r="F4006" s="6" t="s">
        <v>249</v>
      </c>
      <c r="G4006" s="6" t="s">
        <v>369</v>
      </c>
      <c r="H4006" s="10">
        <v>46039.0</v>
      </c>
      <c r="I4006" s="12">
        <v>13.0</v>
      </c>
      <c r="J4006" s="6" t="s">
        <v>161</v>
      </c>
    </row>
    <row r="4007" ht="22.5" customHeight="1">
      <c r="A4007" s="6" t="s">
        <v>18868</v>
      </c>
      <c r="B4007" s="6" t="s">
        <v>9389</v>
      </c>
      <c r="C4007" s="10">
        <v>46042.0</v>
      </c>
      <c r="D4007" s="6" t="s">
        <v>312</v>
      </c>
      <c r="E4007" s="6" t="s">
        <v>394</v>
      </c>
      <c r="F4007" s="6" t="s">
        <v>439</v>
      </c>
      <c r="G4007" s="6" t="s">
        <v>452</v>
      </c>
      <c r="H4007" s="10">
        <v>46043.0</v>
      </c>
      <c r="I4007" s="12">
        <v>7.0</v>
      </c>
      <c r="J4007" s="6" t="s">
        <v>161</v>
      </c>
    </row>
    <row r="4008" ht="22.5" customHeight="1">
      <c r="A4008" s="6" t="s">
        <v>18873</v>
      </c>
      <c r="B4008" s="6" t="s">
        <v>9396</v>
      </c>
      <c r="C4008" s="10">
        <v>46073.0</v>
      </c>
      <c r="D4008" s="6" t="s">
        <v>436</v>
      </c>
      <c r="E4008" s="6" t="s">
        <v>1055</v>
      </c>
      <c r="F4008" s="6" t="s">
        <v>112</v>
      </c>
      <c r="G4008" s="6" t="s">
        <v>494</v>
      </c>
      <c r="H4008" s="10">
        <v>46075.0</v>
      </c>
      <c r="I4008" s="12">
        <v>9.0</v>
      </c>
      <c r="J4008" s="6" t="s">
        <v>178</v>
      </c>
    </row>
    <row r="4009" ht="22.5" customHeight="1">
      <c r="A4009" s="6" t="s">
        <v>18876</v>
      </c>
      <c r="B4009" s="6" t="s">
        <v>9396</v>
      </c>
      <c r="C4009" s="10">
        <v>46078.0</v>
      </c>
      <c r="D4009" s="6" t="s">
        <v>436</v>
      </c>
      <c r="E4009" s="6" t="s">
        <v>512</v>
      </c>
      <c r="F4009" s="6" t="s">
        <v>249</v>
      </c>
      <c r="G4009" s="6" t="s">
        <v>326</v>
      </c>
      <c r="H4009" s="10">
        <v>46079.0</v>
      </c>
      <c r="I4009" s="12">
        <v>10.0</v>
      </c>
      <c r="J4009" s="6" t="s">
        <v>161</v>
      </c>
    </row>
    <row r="4010" ht="22.5" customHeight="1">
      <c r="A4010" s="6" t="s">
        <v>18879</v>
      </c>
      <c r="B4010" s="6" t="s">
        <v>9402</v>
      </c>
      <c r="C4010" s="10">
        <v>46066.0</v>
      </c>
      <c r="D4010" s="6" t="s">
        <v>289</v>
      </c>
      <c r="E4010" s="6" t="s">
        <v>1600</v>
      </c>
      <c r="F4010" s="6" t="s">
        <v>283</v>
      </c>
      <c r="G4010" s="6" t="s">
        <v>458</v>
      </c>
      <c r="H4010" s="10">
        <v>46070.0</v>
      </c>
      <c r="I4010" s="12">
        <v>5.0</v>
      </c>
      <c r="J4010" s="6" t="s">
        <v>161</v>
      </c>
    </row>
    <row r="4011" ht="22.5" customHeight="1">
      <c r="A4011" s="6" t="s">
        <v>18883</v>
      </c>
      <c r="B4011" s="6" t="s">
        <v>9402</v>
      </c>
      <c r="C4011" s="10">
        <v>46060.0</v>
      </c>
      <c r="D4011" s="6" t="s">
        <v>436</v>
      </c>
      <c r="E4011" s="6" t="s">
        <v>438</v>
      </c>
      <c r="F4011" s="6" t="s">
        <v>112</v>
      </c>
      <c r="G4011" s="6" t="s">
        <v>254</v>
      </c>
      <c r="H4011" s="10">
        <v>46065.0</v>
      </c>
      <c r="I4011" s="12">
        <v>11.0</v>
      </c>
      <c r="J4011" s="6" t="s">
        <v>178</v>
      </c>
    </row>
    <row r="4012" ht="22.5" customHeight="1">
      <c r="A4012" s="6" t="s">
        <v>18886</v>
      </c>
      <c r="B4012" s="6" t="s">
        <v>9408</v>
      </c>
      <c r="C4012" s="10">
        <v>46051.0</v>
      </c>
      <c r="D4012" s="6" t="s">
        <v>391</v>
      </c>
      <c r="E4012" s="6" t="s">
        <v>716</v>
      </c>
      <c r="F4012" s="6" t="s">
        <v>283</v>
      </c>
      <c r="G4012" s="6" t="s">
        <v>477</v>
      </c>
      <c r="H4012" s="10">
        <v>46054.0</v>
      </c>
      <c r="I4012" s="12">
        <v>8.0</v>
      </c>
      <c r="J4012" s="6" t="s">
        <v>161</v>
      </c>
    </row>
    <row r="4013" ht="22.5" customHeight="1">
      <c r="A4013" s="6" t="s">
        <v>18890</v>
      </c>
      <c r="B4013" s="6" t="s">
        <v>9415</v>
      </c>
      <c r="C4013" s="10">
        <v>46067.0</v>
      </c>
      <c r="D4013" s="6" t="s">
        <v>391</v>
      </c>
      <c r="E4013" s="6" t="s">
        <v>475</v>
      </c>
      <c r="F4013" s="6" t="s">
        <v>112</v>
      </c>
      <c r="G4013" s="6" t="s">
        <v>297</v>
      </c>
      <c r="H4013" s="10">
        <v>46073.0</v>
      </c>
      <c r="I4013" s="12">
        <v>6.0</v>
      </c>
      <c r="J4013" s="6" t="s">
        <v>161</v>
      </c>
    </row>
    <row r="4014" ht="22.5" customHeight="1">
      <c r="A4014" s="6" t="s">
        <v>18896</v>
      </c>
      <c r="B4014" s="6" t="s">
        <v>9415</v>
      </c>
      <c r="C4014" s="10">
        <v>46064.0</v>
      </c>
      <c r="D4014" s="6" t="s">
        <v>312</v>
      </c>
      <c r="E4014" s="6" t="s">
        <v>833</v>
      </c>
      <c r="F4014" s="6" t="s">
        <v>112</v>
      </c>
      <c r="G4014" s="6" t="s">
        <v>494</v>
      </c>
      <c r="H4014" s="10">
        <v>46071.0</v>
      </c>
      <c r="I4014" s="12">
        <v>7.0</v>
      </c>
      <c r="J4014" s="6" t="s">
        <v>161</v>
      </c>
    </row>
    <row r="4015" ht="22.5" customHeight="1">
      <c r="A4015" s="6" t="s">
        <v>18899</v>
      </c>
      <c r="B4015" s="6" t="s">
        <v>9415</v>
      </c>
      <c r="C4015" s="10">
        <v>46064.0</v>
      </c>
      <c r="D4015" s="6" t="s">
        <v>312</v>
      </c>
      <c r="E4015" s="6" t="s">
        <v>833</v>
      </c>
      <c r="F4015" s="6" t="s">
        <v>439</v>
      </c>
      <c r="G4015" s="6" t="s">
        <v>494</v>
      </c>
      <c r="H4015" s="10">
        <v>46066.0</v>
      </c>
      <c r="I4015" s="12">
        <v>5.0</v>
      </c>
      <c r="J4015" s="6" t="s">
        <v>161</v>
      </c>
    </row>
    <row r="4016" ht="22.5" customHeight="1">
      <c r="A4016" s="6" t="s">
        <v>18903</v>
      </c>
      <c r="B4016" s="6" t="s">
        <v>9422</v>
      </c>
      <c r="C4016" s="10">
        <v>46061.0</v>
      </c>
      <c r="D4016" s="6" t="s">
        <v>416</v>
      </c>
      <c r="E4016" s="6" t="s">
        <v>670</v>
      </c>
      <c r="F4016" s="6" t="s">
        <v>249</v>
      </c>
      <c r="G4016" s="6" t="s">
        <v>326</v>
      </c>
      <c r="H4016" s="10">
        <v>46062.0</v>
      </c>
      <c r="I4016" s="12">
        <v>11.0</v>
      </c>
      <c r="J4016" s="6" t="s">
        <v>161</v>
      </c>
    </row>
    <row r="4017" ht="22.5" customHeight="1">
      <c r="A4017" s="6" t="s">
        <v>18906</v>
      </c>
      <c r="B4017" s="6" t="s">
        <v>9429</v>
      </c>
      <c r="C4017" s="10">
        <v>46050.0</v>
      </c>
      <c r="D4017" s="6" t="s">
        <v>312</v>
      </c>
      <c r="E4017" s="6" t="s">
        <v>687</v>
      </c>
      <c r="F4017" s="6" t="s">
        <v>249</v>
      </c>
      <c r="G4017" s="6" t="s">
        <v>326</v>
      </c>
      <c r="H4017" s="10">
        <v>46055.0</v>
      </c>
      <c r="I4017" s="12">
        <v>7.0</v>
      </c>
      <c r="J4017" s="6" t="s">
        <v>161</v>
      </c>
    </row>
    <row r="4018" ht="22.5" customHeight="1">
      <c r="A4018" s="6" t="s">
        <v>18912</v>
      </c>
      <c r="B4018" s="6" t="s">
        <v>9436</v>
      </c>
      <c r="C4018" s="10">
        <v>46064.0</v>
      </c>
      <c r="D4018" s="6" t="s">
        <v>312</v>
      </c>
      <c r="E4018" s="6" t="s">
        <v>863</v>
      </c>
      <c r="F4018" s="6" t="s">
        <v>439</v>
      </c>
      <c r="G4018" s="6" t="s">
        <v>254</v>
      </c>
      <c r="H4018" s="10">
        <v>46070.0</v>
      </c>
      <c r="I4018" s="12">
        <v>5.0</v>
      </c>
      <c r="J4018" s="6" t="s">
        <v>161</v>
      </c>
    </row>
    <row r="4019" ht="22.5" customHeight="1">
      <c r="A4019" s="6" t="s">
        <v>18916</v>
      </c>
      <c r="B4019" s="6" t="s">
        <v>9436</v>
      </c>
      <c r="C4019" s="10">
        <v>46061.0</v>
      </c>
      <c r="D4019" s="6" t="s">
        <v>391</v>
      </c>
      <c r="E4019" s="6" t="s">
        <v>738</v>
      </c>
      <c r="F4019" s="6" t="s">
        <v>112</v>
      </c>
      <c r="G4019" s="6" t="s">
        <v>452</v>
      </c>
      <c r="H4019" s="10">
        <v>46064.0</v>
      </c>
      <c r="I4019" s="12">
        <v>9.0</v>
      </c>
      <c r="J4019" s="6" t="s">
        <v>161</v>
      </c>
    </row>
    <row r="4020" ht="22.5" customHeight="1">
      <c r="A4020" s="6" t="s">
        <v>18919</v>
      </c>
      <c r="B4020" s="6" t="s">
        <v>9436</v>
      </c>
      <c r="C4020" s="10">
        <v>46060.0</v>
      </c>
      <c r="D4020" s="6" t="s">
        <v>242</v>
      </c>
      <c r="E4020" s="6" t="s">
        <v>1070</v>
      </c>
      <c r="F4020" s="6" t="s">
        <v>439</v>
      </c>
      <c r="G4020" s="6" t="s">
        <v>254</v>
      </c>
      <c r="H4020" s="10">
        <v>46065.0</v>
      </c>
      <c r="I4020" s="12">
        <v>6.0</v>
      </c>
      <c r="J4020" s="6" t="s">
        <v>178</v>
      </c>
    </row>
    <row r="4021" ht="22.5" customHeight="1">
      <c r="A4021" s="6" t="s">
        <v>18923</v>
      </c>
      <c r="B4021" s="6" t="s">
        <v>9436</v>
      </c>
      <c r="C4021" s="10">
        <v>46073.0</v>
      </c>
      <c r="D4021" s="6" t="s">
        <v>416</v>
      </c>
      <c r="E4021" s="6" t="s">
        <v>1600</v>
      </c>
      <c r="F4021" s="6" t="s">
        <v>249</v>
      </c>
      <c r="G4021" s="6" t="s">
        <v>477</v>
      </c>
      <c r="H4021" s="10">
        <v>46076.0</v>
      </c>
      <c r="I4021" s="12">
        <v>11.0</v>
      </c>
      <c r="J4021" s="6" t="s">
        <v>161</v>
      </c>
    </row>
    <row r="4022" ht="22.5" customHeight="1">
      <c r="A4022" s="6" t="s">
        <v>18925</v>
      </c>
      <c r="B4022" s="6" t="s">
        <v>9436</v>
      </c>
      <c r="C4022" s="10">
        <v>46065.0</v>
      </c>
      <c r="D4022" s="6" t="s">
        <v>312</v>
      </c>
      <c r="E4022" s="6" t="s">
        <v>1700</v>
      </c>
      <c r="F4022" s="6" t="s">
        <v>439</v>
      </c>
      <c r="G4022" s="6" t="s">
        <v>254</v>
      </c>
      <c r="H4022" s="10">
        <v>46068.0</v>
      </c>
      <c r="I4022" s="12">
        <v>7.0</v>
      </c>
      <c r="J4022" s="6" t="s">
        <v>161</v>
      </c>
    </row>
    <row r="4023" ht="22.5" customHeight="1">
      <c r="A4023" s="6" t="s">
        <v>18930</v>
      </c>
      <c r="B4023" s="6" t="s">
        <v>9444</v>
      </c>
      <c r="C4023" s="10">
        <v>46047.0</v>
      </c>
      <c r="D4023" s="6" t="s">
        <v>436</v>
      </c>
      <c r="E4023" s="6" t="s">
        <v>955</v>
      </c>
      <c r="F4023" s="6" t="s">
        <v>439</v>
      </c>
      <c r="G4023" s="6" t="s">
        <v>326</v>
      </c>
      <c r="H4023" s="10">
        <v>46048.0</v>
      </c>
      <c r="I4023" s="12">
        <v>8.0</v>
      </c>
      <c r="J4023" s="6" t="s">
        <v>161</v>
      </c>
    </row>
    <row r="4024" ht="22.5" customHeight="1">
      <c r="A4024" s="6" t="s">
        <v>18932</v>
      </c>
      <c r="B4024" s="6" t="s">
        <v>9444</v>
      </c>
      <c r="C4024" s="10">
        <v>46032.0</v>
      </c>
      <c r="D4024" s="6" t="s">
        <v>242</v>
      </c>
      <c r="E4024" s="6" t="s">
        <v>885</v>
      </c>
      <c r="F4024" s="6" t="s">
        <v>283</v>
      </c>
      <c r="G4024" s="6" t="s">
        <v>326</v>
      </c>
      <c r="H4024" s="10">
        <v>46036.0</v>
      </c>
      <c r="I4024" s="12">
        <v>4.0</v>
      </c>
      <c r="J4024" s="6" t="s">
        <v>161</v>
      </c>
    </row>
    <row r="4025" ht="22.5" customHeight="1">
      <c r="A4025" s="6" t="s">
        <v>18935</v>
      </c>
      <c r="B4025" s="6" t="s">
        <v>9444</v>
      </c>
      <c r="C4025" s="10">
        <v>46034.0</v>
      </c>
      <c r="D4025" s="6" t="s">
        <v>677</v>
      </c>
      <c r="E4025" s="6" t="s">
        <v>512</v>
      </c>
      <c r="F4025" s="6" t="s">
        <v>283</v>
      </c>
      <c r="G4025" s="6" t="s">
        <v>254</v>
      </c>
      <c r="H4025" s="10">
        <v>46040.0</v>
      </c>
      <c r="I4025" s="12">
        <v>3.0</v>
      </c>
      <c r="J4025" s="6" t="s">
        <v>161</v>
      </c>
    </row>
    <row r="4026" ht="22.5" customHeight="1">
      <c r="A4026" s="6" t="s">
        <v>18938</v>
      </c>
      <c r="B4026" s="6" t="s">
        <v>9444</v>
      </c>
      <c r="C4026" s="10">
        <v>46048.0</v>
      </c>
      <c r="D4026" s="6" t="s">
        <v>436</v>
      </c>
      <c r="E4026" s="6" t="s">
        <v>1055</v>
      </c>
      <c r="F4026" s="6" t="s">
        <v>112</v>
      </c>
      <c r="G4026" s="6" t="s">
        <v>452</v>
      </c>
      <c r="H4026" s="11" t="s">
        <v>259</v>
      </c>
      <c r="I4026" s="12">
        <v>9.0</v>
      </c>
      <c r="J4026" s="6" t="s">
        <v>161</v>
      </c>
    </row>
    <row r="4027" ht="22.5" customHeight="1">
      <c r="A4027" s="6" t="s">
        <v>18941</v>
      </c>
      <c r="B4027" s="6" t="s">
        <v>9444</v>
      </c>
      <c r="C4027" s="10">
        <v>46035.0</v>
      </c>
      <c r="D4027" s="6" t="s">
        <v>289</v>
      </c>
      <c r="E4027" s="6" t="s">
        <v>1969</v>
      </c>
      <c r="F4027" s="6" t="s">
        <v>249</v>
      </c>
      <c r="G4027" s="6" t="s">
        <v>326</v>
      </c>
      <c r="H4027" s="11" t="s">
        <v>259</v>
      </c>
      <c r="I4027" s="12">
        <v>7.0</v>
      </c>
      <c r="J4027" s="6" t="s">
        <v>161</v>
      </c>
    </row>
    <row r="4028" ht="22.5" customHeight="1">
      <c r="A4028" s="6" t="s">
        <v>18945</v>
      </c>
      <c r="B4028" s="6" t="s">
        <v>9451</v>
      </c>
      <c r="C4028" s="10">
        <v>46048.0</v>
      </c>
      <c r="D4028" s="6" t="s">
        <v>312</v>
      </c>
      <c r="E4028" s="6" t="s">
        <v>1241</v>
      </c>
      <c r="F4028" s="6" t="s">
        <v>112</v>
      </c>
      <c r="G4028" s="6" t="s">
        <v>254</v>
      </c>
      <c r="H4028" s="10">
        <v>46053.0</v>
      </c>
      <c r="I4028" s="12">
        <v>6.0</v>
      </c>
      <c r="J4028" s="6" t="s">
        <v>161</v>
      </c>
    </row>
    <row r="4029" ht="22.5" customHeight="1">
      <c r="A4029" s="6" t="s">
        <v>18948</v>
      </c>
      <c r="B4029" s="6" t="s">
        <v>9458</v>
      </c>
      <c r="C4029" s="10">
        <v>46083.0</v>
      </c>
      <c r="D4029" s="6" t="s">
        <v>416</v>
      </c>
      <c r="E4029" s="6" t="s">
        <v>1741</v>
      </c>
      <c r="F4029" s="6" t="s">
        <v>249</v>
      </c>
      <c r="G4029" s="6" t="s">
        <v>369</v>
      </c>
      <c r="H4029" s="10">
        <v>46085.0</v>
      </c>
      <c r="I4029" s="12">
        <v>13.0</v>
      </c>
      <c r="J4029" s="6" t="s">
        <v>161</v>
      </c>
    </row>
    <row r="4030" ht="22.5" customHeight="1">
      <c r="A4030" s="6" t="s">
        <v>18951</v>
      </c>
      <c r="B4030" s="6" t="s">
        <v>9464</v>
      </c>
      <c r="C4030" s="10">
        <v>46030.0</v>
      </c>
      <c r="D4030" s="6" t="s">
        <v>312</v>
      </c>
      <c r="E4030" s="6" t="s">
        <v>466</v>
      </c>
      <c r="F4030" s="6" t="s">
        <v>112</v>
      </c>
      <c r="G4030" s="6" t="s">
        <v>297</v>
      </c>
      <c r="H4030" s="10">
        <v>46035.0</v>
      </c>
      <c r="I4030" s="12">
        <v>6.0</v>
      </c>
      <c r="J4030" s="6" t="s">
        <v>161</v>
      </c>
    </row>
    <row r="4031" ht="22.5" customHeight="1">
      <c r="A4031" s="6" t="s">
        <v>18953</v>
      </c>
      <c r="B4031" s="6" t="s">
        <v>9464</v>
      </c>
      <c r="C4031" s="10">
        <v>46024.0</v>
      </c>
      <c r="D4031" s="6" t="s">
        <v>391</v>
      </c>
      <c r="E4031" s="6" t="s">
        <v>1102</v>
      </c>
      <c r="F4031" s="6" t="s">
        <v>249</v>
      </c>
      <c r="G4031" s="6" t="s">
        <v>452</v>
      </c>
      <c r="H4031" s="10">
        <v>46028.0</v>
      </c>
      <c r="I4031" s="12">
        <v>10.0</v>
      </c>
      <c r="J4031" s="6" t="s">
        <v>161</v>
      </c>
    </row>
    <row r="4032" ht="22.5" customHeight="1">
      <c r="A4032" s="6" t="s">
        <v>18956</v>
      </c>
      <c r="B4032" s="6" t="s">
        <v>9464</v>
      </c>
      <c r="C4032" s="10">
        <v>46044.0</v>
      </c>
      <c r="D4032" s="6" t="s">
        <v>242</v>
      </c>
      <c r="E4032" s="6" t="s">
        <v>695</v>
      </c>
      <c r="F4032" s="6" t="s">
        <v>249</v>
      </c>
      <c r="G4032" s="6" t="s">
        <v>326</v>
      </c>
      <c r="H4032" s="11" t="s">
        <v>259</v>
      </c>
      <c r="I4032" s="12">
        <v>3.0</v>
      </c>
      <c r="J4032" s="6" t="s">
        <v>178</v>
      </c>
    </row>
    <row r="4033" ht="22.5" customHeight="1">
      <c r="A4033" s="6" t="s">
        <v>18960</v>
      </c>
      <c r="B4033" s="6" t="s">
        <v>9464</v>
      </c>
      <c r="C4033" s="10">
        <v>46043.0</v>
      </c>
      <c r="D4033" s="6" t="s">
        <v>242</v>
      </c>
      <c r="E4033" s="6" t="s">
        <v>1720</v>
      </c>
      <c r="F4033" s="6" t="s">
        <v>112</v>
      </c>
      <c r="G4033" s="6" t="s">
        <v>494</v>
      </c>
      <c r="H4033" s="10">
        <v>46046.0</v>
      </c>
      <c r="I4033" s="12">
        <v>6.0</v>
      </c>
      <c r="J4033" s="6" t="s">
        <v>178</v>
      </c>
    </row>
    <row r="4034" ht="22.5" customHeight="1">
      <c r="A4034" s="6" t="s">
        <v>18963</v>
      </c>
      <c r="B4034" s="6" t="s">
        <v>9464</v>
      </c>
      <c r="C4034" s="10">
        <v>46039.0</v>
      </c>
      <c r="D4034" s="6" t="s">
        <v>242</v>
      </c>
      <c r="E4034" s="6" t="s">
        <v>618</v>
      </c>
      <c r="F4034" s="6" t="s">
        <v>439</v>
      </c>
      <c r="G4034" s="6" t="s">
        <v>494</v>
      </c>
      <c r="H4034" s="10">
        <v>46039.0</v>
      </c>
      <c r="I4034" s="12">
        <v>5.0</v>
      </c>
      <c r="J4034" s="6" t="s">
        <v>178</v>
      </c>
    </row>
    <row r="4035" ht="22.5" customHeight="1">
      <c r="A4035" s="6" t="s">
        <v>18968</v>
      </c>
      <c r="B4035" s="6" t="s">
        <v>9471</v>
      </c>
      <c r="C4035" s="10">
        <v>46082.0</v>
      </c>
      <c r="D4035" s="6" t="s">
        <v>391</v>
      </c>
      <c r="E4035" s="6" t="s">
        <v>1741</v>
      </c>
      <c r="F4035" s="6" t="s">
        <v>112</v>
      </c>
      <c r="G4035" s="6" t="s">
        <v>477</v>
      </c>
      <c r="H4035" s="10">
        <v>46084.0</v>
      </c>
      <c r="I4035" s="12">
        <v>10.0</v>
      </c>
      <c r="J4035" s="6" t="s">
        <v>161</v>
      </c>
    </row>
    <row r="4036" ht="22.5" customHeight="1">
      <c r="A4036" s="6" t="s">
        <v>18972</v>
      </c>
      <c r="B4036" s="6" t="s">
        <v>9471</v>
      </c>
      <c r="C4036" s="10">
        <v>46076.0</v>
      </c>
      <c r="D4036" s="6" t="s">
        <v>391</v>
      </c>
      <c r="E4036" s="6" t="s">
        <v>1035</v>
      </c>
      <c r="F4036" s="6" t="s">
        <v>439</v>
      </c>
      <c r="G4036" s="6" t="s">
        <v>326</v>
      </c>
      <c r="H4036" s="11" t="s">
        <v>259</v>
      </c>
      <c r="I4036" s="12">
        <v>7.0</v>
      </c>
      <c r="J4036" s="6" t="s">
        <v>161</v>
      </c>
    </row>
    <row r="4037" ht="22.5" customHeight="1">
      <c r="A4037" s="6" t="s">
        <v>18978</v>
      </c>
      <c r="B4037" s="6" t="s">
        <v>9477</v>
      </c>
      <c r="C4037" s="10">
        <v>46055.0</v>
      </c>
      <c r="D4037" s="6" t="s">
        <v>391</v>
      </c>
      <c r="E4037" s="6" t="s">
        <v>775</v>
      </c>
      <c r="F4037" s="6" t="s">
        <v>283</v>
      </c>
      <c r="G4037" s="6" t="s">
        <v>326</v>
      </c>
      <c r="H4037" s="10">
        <v>46060.0</v>
      </c>
      <c r="I4037" s="12">
        <v>10.0</v>
      </c>
      <c r="J4037" s="6" t="s">
        <v>161</v>
      </c>
    </row>
    <row r="4038" ht="22.5" customHeight="1">
      <c r="A4038" s="6" t="s">
        <v>18981</v>
      </c>
      <c r="B4038" s="6" t="s">
        <v>9477</v>
      </c>
      <c r="C4038" s="10">
        <v>46047.0</v>
      </c>
      <c r="D4038" s="6" t="s">
        <v>677</v>
      </c>
      <c r="E4038" s="6" t="s">
        <v>775</v>
      </c>
      <c r="F4038" s="6" t="s">
        <v>112</v>
      </c>
      <c r="G4038" s="6" t="s">
        <v>326</v>
      </c>
      <c r="H4038" s="11" t="s">
        <v>259</v>
      </c>
      <c r="I4038" s="12">
        <v>3.0</v>
      </c>
      <c r="J4038" s="6" t="s">
        <v>161</v>
      </c>
    </row>
    <row r="4039" ht="22.5" customHeight="1">
      <c r="A4039" s="6" t="s">
        <v>18985</v>
      </c>
      <c r="B4039" s="6" t="s">
        <v>9484</v>
      </c>
      <c r="C4039" s="10">
        <v>46055.0</v>
      </c>
      <c r="D4039" s="6" t="s">
        <v>242</v>
      </c>
      <c r="E4039" s="6" t="s">
        <v>955</v>
      </c>
      <c r="F4039" s="6" t="s">
        <v>283</v>
      </c>
      <c r="G4039" s="6" t="s">
        <v>477</v>
      </c>
      <c r="H4039" s="10">
        <v>46059.0</v>
      </c>
      <c r="I4039" s="12">
        <v>6.0</v>
      </c>
      <c r="J4039" s="6" t="s">
        <v>178</v>
      </c>
    </row>
    <row r="4040" ht="22.5" customHeight="1">
      <c r="A4040" s="6" t="s">
        <v>18988</v>
      </c>
      <c r="B4040" s="6" t="s">
        <v>9484</v>
      </c>
      <c r="C4040" s="10">
        <v>46067.0</v>
      </c>
      <c r="D4040" s="6" t="s">
        <v>436</v>
      </c>
      <c r="E4040" s="6" t="s">
        <v>1102</v>
      </c>
      <c r="F4040" s="6" t="s">
        <v>283</v>
      </c>
      <c r="G4040" s="6" t="s">
        <v>458</v>
      </c>
      <c r="H4040" s="10">
        <v>46068.0</v>
      </c>
      <c r="I4040" s="12">
        <v>9.0</v>
      </c>
      <c r="J4040" s="6" t="s">
        <v>178</v>
      </c>
    </row>
    <row r="4041" ht="22.5" customHeight="1">
      <c r="A4041" s="6" t="s">
        <v>18997</v>
      </c>
      <c r="B4041" s="6" t="s">
        <v>9484</v>
      </c>
      <c r="C4041" s="10">
        <v>46057.0</v>
      </c>
      <c r="D4041" s="6" t="s">
        <v>312</v>
      </c>
      <c r="E4041" s="6" t="s">
        <v>1969</v>
      </c>
      <c r="F4041" s="6" t="s">
        <v>283</v>
      </c>
      <c r="G4041" s="6" t="s">
        <v>494</v>
      </c>
      <c r="H4041" s="10">
        <v>46064.0</v>
      </c>
      <c r="I4041" s="12">
        <v>5.0</v>
      </c>
      <c r="J4041" s="6" t="s">
        <v>161</v>
      </c>
    </row>
    <row r="4042" ht="22.5" customHeight="1">
      <c r="A4042" s="6" t="s">
        <v>19002</v>
      </c>
      <c r="B4042" s="6" t="s">
        <v>9484</v>
      </c>
      <c r="C4042" s="10">
        <v>46067.0</v>
      </c>
      <c r="D4042" s="6" t="s">
        <v>436</v>
      </c>
      <c r="E4042" s="6" t="s">
        <v>695</v>
      </c>
      <c r="F4042" s="6" t="s">
        <v>249</v>
      </c>
      <c r="G4042" s="6" t="s">
        <v>369</v>
      </c>
      <c r="H4042" s="10">
        <v>46074.0</v>
      </c>
      <c r="I4042" s="12">
        <v>9.0</v>
      </c>
      <c r="J4042" s="6" t="s">
        <v>161</v>
      </c>
    </row>
    <row r="4043" ht="22.5" customHeight="1">
      <c r="A4043" s="6" t="s">
        <v>19006</v>
      </c>
      <c r="B4043" s="6" t="s">
        <v>9484</v>
      </c>
      <c r="C4043" s="10">
        <v>46059.0</v>
      </c>
      <c r="D4043" s="6" t="s">
        <v>242</v>
      </c>
      <c r="E4043" s="6" t="s">
        <v>512</v>
      </c>
      <c r="F4043" s="6" t="s">
        <v>112</v>
      </c>
      <c r="G4043" s="6" t="s">
        <v>254</v>
      </c>
      <c r="H4043" s="10">
        <v>46063.0</v>
      </c>
      <c r="I4043" s="12">
        <v>6.0</v>
      </c>
      <c r="J4043" s="6" t="s">
        <v>178</v>
      </c>
    </row>
    <row r="4044" ht="22.5" customHeight="1">
      <c r="A4044" s="6" t="s">
        <v>19011</v>
      </c>
      <c r="B4044" s="6" t="s">
        <v>9490</v>
      </c>
      <c r="C4044" s="10">
        <v>46056.0</v>
      </c>
      <c r="D4044" s="6" t="s">
        <v>436</v>
      </c>
      <c r="E4044" s="6" t="s">
        <v>955</v>
      </c>
      <c r="F4044" s="6" t="s">
        <v>112</v>
      </c>
      <c r="G4044" s="6" t="s">
        <v>458</v>
      </c>
      <c r="H4044" s="10">
        <v>46060.0</v>
      </c>
      <c r="I4044" s="12">
        <v>10.0</v>
      </c>
      <c r="J4044" s="6" t="s">
        <v>178</v>
      </c>
    </row>
    <row r="4045" ht="22.5" customHeight="1">
      <c r="A4045" s="6" t="s">
        <v>19015</v>
      </c>
      <c r="B4045" s="6" t="s">
        <v>9490</v>
      </c>
      <c r="C4045" s="10">
        <v>46061.0</v>
      </c>
      <c r="D4045" s="6" t="s">
        <v>416</v>
      </c>
      <c r="E4045" s="6" t="s">
        <v>394</v>
      </c>
      <c r="F4045" s="6" t="s">
        <v>283</v>
      </c>
      <c r="G4045" s="6" t="s">
        <v>297</v>
      </c>
      <c r="H4045" s="10">
        <v>46066.0</v>
      </c>
      <c r="I4045" s="12">
        <v>13.0</v>
      </c>
      <c r="J4045" s="6" t="s">
        <v>161</v>
      </c>
    </row>
    <row r="4046" ht="22.5" customHeight="1">
      <c r="A4046" s="6" t="s">
        <v>19021</v>
      </c>
      <c r="B4046" s="6" t="s">
        <v>9490</v>
      </c>
      <c r="C4046" s="10">
        <v>46054.0</v>
      </c>
      <c r="D4046" s="6" t="s">
        <v>242</v>
      </c>
      <c r="E4046" s="6" t="s">
        <v>775</v>
      </c>
      <c r="F4046" s="6" t="s">
        <v>283</v>
      </c>
      <c r="G4046" s="6" t="s">
        <v>297</v>
      </c>
      <c r="H4046" s="10">
        <v>46061.0</v>
      </c>
      <c r="I4046" s="12">
        <v>3.0</v>
      </c>
      <c r="J4046" s="6" t="s">
        <v>161</v>
      </c>
    </row>
    <row r="4047" ht="22.5" customHeight="1">
      <c r="A4047" s="6" t="s">
        <v>19026</v>
      </c>
      <c r="B4047" s="6" t="s">
        <v>9490</v>
      </c>
      <c r="C4047" s="10">
        <v>46057.0</v>
      </c>
      <c r="D4047" s="6" t="s">
        <v>289</v>
      </c>
      <c r="E4047" s="6" t="s">
        <v>1626</v>
      </c>
      <c r="F4047" s="6" t="s">
        <v>283</v>
      </c>
      <c r="G4047" s="6" t="s">
        <v>297</v>
      </c>
      <c r="H4047" s="10">
        <v>46060.0</v>
      </c>
      <c r="I4047" s="12">
        <v>10.0</v>
      </c>
      <c r="J4047" s="6" t="s">
        <v>161</v>
      </c>
    </row>
    <row r="4048" ht="22.5" customHeight="1">
      <c r="A4048" s="6" t="s">
        <v>19029</v>
      </c>
      <c r="B4048" s="6" t="s">
        <v>9490</v>
      </c>
      <c r="C4048" s="10">
        <v>46055.0</v>
      </c>
      <c r="D4048" s="6" t="s">
        <v>242</v>
      </c>
      <c r="E4048" s="6" t="s">
        <v>798</v>
      </c>
      <c r="F4048" s="6" t="s">
        <v>439</v>
      </c>
      <c r="G4048" s="6" t="s">
        <v>477</v>
      </c>
      <c r="H4048" s="10">
        <v>46058.0</v>
      </c>
      <c r="I4048" s="12">
        <v>6.0</v>
      </c>
      <c r="J4048" s="6" t="s">
        <v>161</v>
      </c>
    </row>
    <row r="4049" ht="22.5" customHeight="1">
      <c r="A4049" s="6" t="s">
        <v>19031</v>
      </c>
      <c r="B4049" s="6" t="s">
        <v>9496</v>
      </c>
      <c r="C4049" s="10">
        <v>46083.0</v>
      </c>
      <c r="D4049" s="6" t="s">
        <v>416</v>
      </c>
      <c r="E4049" s="6" t="s">
        <v>955</v>
      </c>
      <c r="F4049" s="6" t="s">
        <v>283</v>
      </c>
      <c r="G4049" s="6" t="s">
        <v>494</v>
      </c>
      <c r="H4049" s="10">
        <v>46084.0</v>
      </c>
      <c r="I4049" s="12">
        <v>11.0</v>
      </c>
      <c r="J4049" s="6" t="s">
        <v>161</v>
      </c>
    </row>
    <row r="4050" ht="22.5" customHeight="1">
      <c r="A4050" s="6" t="s">
        <v>19035</v>
      </c>
      <c r="B4050" s="6" t="s">
        <v>9496</v>
      </c>
      <c r="C4050" s="10">
        <v>46082.0</v>
      </c>
      <c r="D4050" s="6" t="s">
        <v>677</v>
      </c>
      <c r="E4050" s="6" t="s">
        <v>365</v>
      </c>
      <c r="F4050" s="6" t="s">
        <v>112</v>
      </c>
      <c r="G4050" s="6" t="s">
        <v>494</v>
      </c>
      <c r="H4050" s="10">
        <v>46089.0</v>
      </c>
      <c r="I4050" s="12">
        <v>2.0</v>
      </c>
      <c r="J4050" s="6" t="s">
        <v>161</v>
      </c>
    </row>
    <row r="4051" ht="22.5" customHeight="1">
      <c r="A4051" s="6" t="s">
        <v>19039</v>
      </c>
      <c r="B4051" s="6" t="s">
        <v>9496</v>
      </c>
      <c r="C4051" s="10">
        <v>46082.0</v>
      </c>
      <c r="D4051" s="6" t="s">
        <v>289</v>
      </c>
      <c r="E4051" s="6" t="s">
        <v>1700</v>
      </c>
      <c r="F4051" s="6" t="s">
        <v>249</v>
      </c>
      <c r="G4051" s="6" t="s">
        <v>369</v>
      </c>
      <c r="H4051" s="10">
        <v>46089.0</v>
      </c>
      <c r="I4051" s="12">
        <v>6.0</v>
      </c>
      <c r="J4051" s="6" t="s">
        <v>161</v>
      </c>
    </row>
    <row r="4052" ht="22.5" customHeight="1">
      <c r="A4052" s="6" t="s">
        <v>19042</v>
      </c>
      <c r="B4052" s="6" t="s">
        <v>9496</v>
      </c>
      <c r="C4052" s="10">
        <v>46081.0</v>
      </c>
      <c r="D4052" s="6" t="s">
        <v>242</v>
      </c>
      <c r="E4052" s="6" t="s">
        <v>1122</v>
      </c>
      <c r="F4052" s="6" t="s">
        <v>112</v>
      </c>
      <c r="G4052" s="6" t="s">
        <v>494</v>
      </c>
      <c r="H4052" s="10">
        <v>46081.0</v>
      </c>
      <c r="I4052" s="12">
        <v>5.0</v>
      </c>
      <c r="J4052" s="6" t="s">
        <v>178</v>
      </c>
    </row>
    <row r="4053" ht="22.5" customHeight="1">
      <c r="A4053" s="6" t="s">
        <v>19046</v>
      </c>
      <c r="B4053" s="6" t="s">
        <v>9501</v>
      </c>
      <c r="C4053" s="10">
        <v>46070.0</v>
      </c>
      <c r="D4053" s="6" t="s">
        <v>312</v>
      </c>
      <c r="E4053" s="6" t="s">
        <v>450</v>
      </c>
      <c r="F4053" s="6" t="s">
        <v>283</v>
      </c>
      <c r="G4053" s="6" t="s">
        <v>452</v>
      </c>
      <c r="H4053" s="10">
        <v>46076.0</v>
      </c>
      <c r="I4053" s="12">
        <v>7.0</v>
      </c>
      <c r="J4053" s="6" t="s">
        <v>161</v>
      </c>
    </row>
    <row r="4054" ht="22.5" customHeight="1">
      <c r="A4054" s="6" t="s">
        <v>19050</v>
      </c>
      <c r="B4054" s="6" t="s">
        <v>9501</v>
      </c>
      <c r="C4054" s="10">
        <v>46066.0</v>
      </c>
      <c r="D4054" s="6" t="s">
        <v>391</v>
      </c>
      <c r="E4054" s="6" t="s">
        <v>1273</v>
      </c>
      <c r="F4054" s="6" t="s">
        <v>249</v>
      </c>
      <c r="G4054" s="6" t="s">
        <v>477</v>
      </c>
      <c r="H4054" s="11" t="s">
        <v>259</v>
      </c>
      <c r="I4054" s="12">
        <v>6.0</v>
      </c>
      <c r="J4054" s="6" t="s">
        <v>161</v>
      </c>
    </row>
    <row r="4055" ht="22.5" customHeight="1">
      <c r="A4055" s="6" t="s">
        <v>19055</v>
      </c>
      <c r="B4055" s="6" t="s">
        <v>9501</v>
      </c>
      <c r="C4055" s="10">
        <v>46070.0</v>
      </c>
      <c r="D4055" s="6" t="s">
        <v>242</v>
      </c>
      <c r="E4055" s="6" t="s">
        <v>1600</v>
      </c>
      <c r="F4055" s="6" t="s">
        <v>249</v>
      </c>
      <c r="G4055" s="6" t="s">
        <v>494</v>
      </c>
      <c r="H4055" s="10">
        <v>46073.0</v>
      </c>
      <c r="I4055" s="12">
        <v>6.0</v>
      </c>
      <c r="J4055" s="6" t="s">
        <v>161</v>
      </c>
    </row>
    <row r="4056" ht="22.5" customHeight="1">
      <c r="A4056" s="6" t="s">
        <v>19057</v>
      </c>
      <c r="B4056" s="6" t="s">
        <v>9501</v>
      </c>
      <c r="C4056" s="10">
        <v>46069.0</v>
      </c>
      <c r="D4056" s="6" t="s">
        <v>436</v>
      </c>
      <c r="E4056" s="6" t="s">
        <v>1149</v>
      </c>
      <c r="F4056" s="6" t="s">
        <v>112</v>
      </c>
      <c r="G4056" s="6" t="s">
        <v>254</v>
      </c>
      <c r="H4056" s="10">
        <v>46070.0</v>
      </c>
      <c r="I4056" s="12">
        <v>11.0</v>
      </c>
      <c r="J4056" s="6" t="s">
        <v>178</v>
      </c>
    </row>
    <row r="4057" ht="22.5" customHeight="1">
      <c r="A4057" s="6" t="s">
        <v>19062</v>
      </c>
      <c r="B4057" s="6" t="s">
        <v>9506</v>
      </c>
      <c r="C4057" s="10">
        <v>46083.0</v>
      </c>
      <c r="D4057" s="6" t="s">
        <v>312</v>
      </c>
      <c r="E4057" s="6" t="s">
        <v>687</v>
      </c>
      <c r="F4057" s="6" t="s">
        <v>439</v>
      </c>
      <c r="G4057" s="6" t="s">
        <v>452</v>
      </c>
      <c r="H4057" s="10">
        <v>46089.0</v>
      </c>
      <c r="I4057" s="12">
        <v>5.0</v>
      </c>
      <c r="J4057" s="6" t="s">
        <v>161</v>
      </c>
    </row>
    <row r="4058" ht="22.5" customHeight="1">
      <c r="A4058" s="6" t="s">
        <v>19067</v>
      </c>
      <c r="B4058" s="6" t="s">
        <v>9506</v>
      </c>
      <c r="C4058" s="10">
        <v>46072.0</v>
      </c>
      <c r="D4058" s="6" t="s">
        <v>677</v>
      </c>
      <c r="E4058" s="6" t="s">
        <v>716</v>
      </c>
      <c r="F4058" s="6" t="s">
        <v>249</v>
      </c>
      <c r="G4058" s="6" t="s">
        <v>254</v>
      </c>
      <c r="H4058" s="10">
        <v>46079.0</v>
      </c>
      <c r="I4058" s="12">
        <v>3.0</v>
      </c>
      <c r="J4058" s="6" t="s">
        <v>161</v>
      </c>
    </row>
    <row r="4059" ht="22.5" customHeight="1">
      <c r="A4059" s="6" t="s">
        <v>19073</v>
      </c>
      <c r="B4059" s="6" t="s">
        <v>9506</v>
      </c>
      <c r="C4059" s="10">
        <v>46072.0</v>
      </c>
      <c r="D4059" s="6" t="s">
        <v>312</v>
      </c>
      <c r="E4059" s="6" t="s">
        <v>955</v>
      </c>
      <c r="F4059" s="6" t="s">
        <v>283</v>
      </c>
      <c r="G4059" s="6" t="s">
        <v>494</v>
      </c>
      <c r="H4059" s="10">
        <v>46078.0</v>
      </c>
      <c r="I4059" s="12">
        <v>5.0</v>
      </c>
      <c r="J4059" s="6" t="s">
        <v>161</v>
      </c>
    </row>
    <row r="4060" ht="22.5" customHeight="1">
      <c r="A4060" s="6" t="s">
        <v>19076</v>
      </c>
      <c r="B4060" s="6" t="s">
        <v>9513</v>
      </c>
      <c r="C4060" s="10">
        <v>46047.0</v>
      </c>
      <c r="D4060" s="6" t="s">
        <v>289</v>
      </c>
      <c r="E4060" s="6" t="s">
        <v>1969</v>
      </c>
      <c r="F4060" s="6" t="s">
        <v>112</v>
      </c>
      <c r="G4060" s="6" t="s">
        <v>369</v>
      </c>
      <c r="H4060" s="11" t="s">
        <v>259</v>
      </c>
      <c r="I4060" s="12">
        <v>9.0</v>
      </c>
      <c r="J4060" s="6" t="s">
        <v>161</v>
      </c>
    </row>
    <row r="4061" ht="22.5" customHeight="1">
      <c r="A4061" s="6" t="s">
        <v>19080</v>
      </c>
      <c r="B4061" s="6" t="s">
        <v>9513</v>
      </c>
      <c r="C4061" s="10">
        <v>46055.0</v>
      </c>
      <c r="D4061" s="6" t="s">
        <v>677</v>
      </c>
      <c r="E4061" s="6" t="s">
        <v>798</v>
      </c>
      <c r="F4061" s="6" t="s">
        <v>112</v>
      </c>
      <c r="G4061" s="6" t="s">
        <v>254</v>
      </c>
      <c r="H4061" s="10">
        <v>46060.0</v>
      </c>
      <c r="I4061" s="12">
        <v>2.0</v>
      </c>
      <c r="J4061" s="6" t="s">
        <v>161</v>
      </c>
    </row>
    <row r="4062" ht="22.5" customHeight="1">
      <c r="A4062" s="6" t="s">
        <v>19082</v>
      </c>
      <c r="B4062" s="6" t="s">
        <v>9513</v>
      </c>
      <c r="C4062" s="10">
        <v>46043.0</v>
      </c>
      <c r="D4062" s="6" t="s">
        <v>289</v>
      </c>
      <c r="E4062" s="6" t="s">
        <v>512</v>
      </c>
      <c r="F4062" s="6" t="s">
        <v>112</v>
      </c>
      <c r="G4062" s="6" t="s">
        <v>369</v>
      </c>
      <c r="H4062" s="11" t="s">
        <v>259</v>
      </c>
      <c r="I4062" s="12">
        <v>10.0</v>
      </c>
      <c r="J4062" s="6" t="s">
        <v>161</v>
      </c>
    </row>
    <row r="4063" ht="22.5" customHeight="1">
      <c r="A4063" s="6" t="s">
        <v>19084</v>
      </c>
      <c r="B4063" s="6" t="s">
        <v>9513</v>
      </c>
      <c r="C4063" s="10">
        <v>46055.0</v>
      </c>
      <c r="D4063" s="6" t="s">
        <v>289</v>
      </c>
      <c r="E4063" s="6" t="s">
        <v>1296</v>
      </c>
      <c r="F4063" s="6" t="s">
        <v>249</v>
      </c>
      <c r="G4063" s="6" t="s">
        <v>494</v>
      </c>
      <c r="H4063" s="11" t="s">
        <v>259</v>
      </c>
      <c r="I4063" s="12">
        <v>5.0</v>
      </c>
      <c r="J4063" s="6" t="s">
        <v>161</v>
      </c>
    </row>
    <row r="4064" ht="22.5" customHeight="1">
      <c r="A4064" s="6" t="s">
        <v>19088</v>
      </c>
      <c r="B4064" s="6" t="s">
        <v>9513</v>
      </c>
      <c r="C4064" s="10">
        <v>46036.0</v>
      </c>
      <c r="D4064" s="6" t="s">
        <v>289</v>
      </c>
      <c r="E4064" s="6" t="s">
        <v>1102</v>
      </c>
      <c r="F4064" s="6" t="s">
        <v>112</v>
      </c>
      <c r="G4064" s="6" t="s">
        <v>369</v>
      </c>
      <c r="H4064" s="10">
        <v>46043.0</v>
      </c>
      <c r="I4064" s="12">
        <v>5.0</v>
      </c>
      <c r="J4064" s="6" t="s">
        <v>161</v>
      </c>
    </row>
    <row r="4065" ht="22.5" customHeight="1">
      <c r="A4065" s="6" t="s">
        <v>19091</v>
      </c>
      <c r="B4065" s="6" t="s">
        <v>9519</v>
      </c>
      <c r="C4065" s="10">
        <v>46072.0</v>
      </c>
      <c r="D4065" s="6" t="s">
        <v>436</v>
      </c>
      <c r="E4065" s="6" t="s">
        <v>1070</v>
      </c>
      <c r="F4065" s="6" t="s">
        <v>112</v>
      </c>
      <c r="G4065" s="6" t="s">
        <v>477</v>
      </c>
      <c r="H4065" s="11" t="s">
        <v>259</v>
      </c>
      <c r="I4065" s="12">
        <v>8.0</v>
      </c>
      <c r="J4065" s="6" t="s">
        <v>161</v>
      </c>
    </row>
    <row r="4066" ht="22.5" customHeight="1">
      <c r="A4066" s="6" t="s">
        <v>19095</v>
      </c>
      <c r="B4066" s="6" t="s">
        <v>9519</v>
      </c>
      <c r="C4066" s="10">
        <v>46081.0</v>
      </c>
      <c r="D4066" s="6" t="s">
        <v>312</v>
      </c>
      <c r="E4066" s="6" t="s">
        <v>670</v>
      </c>
      <c r="F4066" s="6" t="s">
        <v>283</v>
      </c>
      <c r="G4066" s="6" t="s">
        <v>452</v>
      </c>
      <c r="H4066" s="10">
        <v>46084.0</v>
      </c>
      <c r="I4066" s="12">
        <v>5.0</v>
      </c>
      <c r="J4066" s="6" t="s">
        <v>161</v>
      </c>
    </row>
    <row r="4067" ht="22.5" customHeight="1">
      <c r="A4067" s="6" t="s">
        <v>19099</v>
      </c>
      <c r="B4067" s="6" t="s">
        <v>9526</v>
      </c>
      <c r="C4067" s="10">
        <v>46056.0</v>
      </c>
      <c r="D4067" s="6" t="s">
        <v>436</v>
      </c>
      <c r="E4067" s="6" t="s">
        <v>450</v>
      </c>
      <c r="F4067" s="6" t="s">
        <v>112</v>
      </c>
      <c r="G4067" s="6" t="s">
        <v>326</v>
      </c>
      <c r="H4067" s="10">
        <v>46059.0</v>
      </c>
      <c r="I4067" s="12">
        <v>9.0</v>
      </c>
      <c r="J4067" s="6" t="s">
        <v>178</v>
      </c>
    </row>
    <row r="4068" ht="22.5" customHeight="1">
      <c r="A4068" s="6" t="s">
        <v>19104</v>
      </c>
      <c r="B4068" s="6" t="s">
        <v>9532</v>
      </c>
      <c r="C4068" s="10">
        <v>46044.0</v>
      </c>
      <c r="D4068" s="6" t="s">
        <v>436</v>
      </c>
      <c r="E4068" s="6" t="s">
        <v>1273</v>
      </c>
      <c r="F4068" s="6" t="s">
        <v>283</v>
      </c>
      <c r="G4068" s="6" t="s">
        <v>494</v>
      </c>
      <c r="H4068" s="10">
        <v>46049.0</v>
      </c>
      <c r="I4068" s="12">
        <v>6.0</v>
      </c>
      <c r="J4068" s="6" t="s">
        <v>161</v>
      </c>
    </row>
    <row r="4069" ht="22.5" customHeight="1">
      <c r="A4069" s="6" t="s">
        <v>19108</v>
      </c>
      <c r="B4069" s="6" t="s">
        <v>9532</v>
      </c>
      <c r="C4069" s="10">
        <v>46034.0</v>
      </c>
      <c r="D4069" s="6" t="s">
        <v>242</v>
      </c>
      <c r="E4069" s="6" t="s">
        <v>291</v>
      </c>
      <c r="F4069" s="6" t="s">
        <v>283</v>
      </c>
      <c r="G4069" s="6" t="s">
        <v>297</v>
      </c>
      <c r="H4069" s="10">
        <v>46036.0</v>
      </c>
      <c r="I4069" s="12">
        <v>4.0</v>
      </c>
      <c r="J4069" s="6" t="s">
        <v>178</v>
      </c>
    </row>
    <row r="4070" ht="22.5" customHeight="1">
      <c r="A4070" s="6" t="s">
        <v>19112</v>
      </c>
      <c r="B4070" s="6" t="s">
        <v>9532</v>
      </c>
      <c r="C4070" s="10">
        <v>46029.0</v>
      </c>
      <c r="D4070" s="6" t="s">
        <v>436</v>
      </c>
      <c r="E4070" s="6" t="s">
        <v>1969</v>
      </c>
      <c r="F4070" s="6" t="s">
        <v>439</v>
      </c>
      <c r="G4070" s="6" t="s">
        <v>326</v>
      </c>
      <c r="H4070" s="10">
        <v>46036.0</v>
      </c>
      <c r="I4070" s="12">
        <v>12.0</v>
      </c>
      <c r="J4070" s="6" t="s">
        <v>178</v>
      </c>
    </row>
    <row r="4071" ht="22.5" customHeight="1">
      <c r="A4071" s="6" t="s">
        <v>19117</v>
      </c>
      <c r="B4071" s="6" t="s">
        <v>9532</v>
      </c>
      <c r="C4071" s="10">
        <v>46043.0</v>
      </c>
      <c r="D4071" s="6" t="s">
        <v>436</v>
      </c>
      <c r="E4071" s="6" t="s">
        <v>812</v>
      </c>
      <c r="F4071" s="6" t="s">
        <v>112</v>
      </c>
      <c r="G4071" s="6" t="s">
        <v>458</v>
      </c>
      <c r="H4071" s="10">
        <v>46048.0</v>
      </c>
      <c r="I4071" s="12">
        <v>10.0</v>
      </c>
      <c r="J4071" s="6" t="s">
        <v>178</v>
      </c>
    </row>
    <row r="4072" ht="22.5" customHeight="1">
      <c r="A4072" s="6" t="s">
        <v>19121</v>
      </c>
      <c r="B4072" s="6" t="s">
        <v>9539</v>
      </c>
      <c r="C4072" s="10">
        <v>46047.0</v>
      </c>
      <c r="D4072" s="6" t="s">
        <v>289</v>
      </c>
      <c r="E4072" s="6" t="s">
        <v>731</v>
      </c>
      <c r="F4072" s="6" t="s">
        <v>283</v>
      </c>
      <c r="G4072" s="6" t="s">
        <v>477</v>
      </c>
      <c r="H4072" s="10">
        <v>46052.0</v>
      </c>
      <c r="I4072" s="12">
        <v>6.0</v>
      </c>
      <c r="J4072" s="6" t="s">
        <v>161</v>
      </c>
    </row>
    <row r="4073" ht="22.5" customHeight="1">
      <c r="A4073" s="6" t="s">
        <v>19126</v>
      </c>
      <c r="B4073" s="6" t="s">
        <v>9539</v>
      </c>
      <c r="C4073" s="10">
        <v>46051.0</v>
      </c>
      <c r="D4073" s="6" t="s">
        <v>677</v>
      </c>
      <c r="E4073" s="6" t="s">
        <v>628</v>
      </c>
      <c r="F4073" s="6" t="s">
        <v>283</v>
      </c>
      <c r="G4073" s="6" t="s">
        <v>297</v>
      </c>
      <c r="H4073" s="10">
        <v>46054.0</v>
      </c>
      <c r="I4073" s="12">
        <v>2.0</v>
      </c>
      <c r="J4073" s="6" t="s">
        <v>161</v>
      </c>
    </row>
    <row r="4074" ht="22.5" customHeight="1">
      <c r="A4074" s="6" t="s">
        <v>19129</v>
      </c>
      <c r="B4074" s="6" t="s">
        <v>9539</v>
      </c>
      <c r="C4074" s="10">
        <v>46048.0</v>
      </c>
      <c r="D4074" s="6" t="s">
        <v>242</v>
      </c>
      <c r="E4074" s="6" t="s">
        <v>291</v>
      </c>
      <c r="F4074" s="6" t="s">
        <v>249</v>
      </c>
      <c r="G4074" s="6" t="s">
        <v>452</v>
      </c>
      <c r="H4074" s="10">
        <v>46055.0</v>
      </c>
      <c r="I4074" s="12">
        <v>3.0</v>
      </c>
      <c r="J4074" s="6" t="s">
        <v>161</v>
      </c>
    </row>
    <row r="4075" ht="22.5" customHeight="1">
      <c r="A4075" s="6" t="s">
        <v>19131</v>
      </c>
      <c r="B4075" s="6" t="s">
        <v>9545</v>
      </c>
      <c r="C4075" s="10">
        <v>46059.0</v>
      </c>
      <c r="D4075" s="6" t="s">
        <v>312</v>
      </c>
      <c r="E4075" s="6" t="s">
        <v>417</v>
      </c>
      <c r="F4075" s="6" t="s">
        <v>283</v>
      </c>
      <c r="G4075" s="6" t="s">
        <v>458</v>
      </c>
      <c r="H4075" s="10">
        <v>46060.0</v>
      </c>
      <c r="I4075" s="12">
        <v>4.0</v>
      </c>
      <c r="J4075" s="6" t="s">
        <v>161</v>
      </c>
    </row>
    <row r="4076" ht="22.5" customHeight="1">
      <c r="A4076" s="6" t="s">
        <v>19135</v>
      </c>
      <c r="B4076" s="6" t="s">
        <v>9545</v>
      </c>
      <c r="C4076" s="10">
        <v>46060.0</v>
      </c>
      <c r="D4076" s="6" t="s">
        <v>289</v>
      </c>
      <c r="E4076" s="6" t="s">
        <v>1055</v>
      </c>
      <c r="F4076" s="6" t="s">
        <v>283</v>
      </c>
      <c r="G4076" s="6" t="s">
        <v>452</v>
      </c>
      <c r="H4076" s="10">
        <v>46060.0</v>
      </c>
      <c r="I4076" s="12">
        <v>8.0</v>
      </c>
      <c r="J4076" s="6" t="s">
        <v>161</v>
      </c>
    </row>
    <row r="4077" ht="22.5" customHeight="1">
      <c r="A4077" s="6" t="s">
        <v>19138</v>
      </c>
      <c r="B4077" s="6" t="s">
        <v>9545</v>
      </c>
      <c r="C4077" s="10">
        <v>46050.0</v>
      </c>
      <c r="D4077" s="6" t="s">
        <v>391</v>
      </c>
      <c r="E4077" s="6" t="s">
        <v>787</v>
      </c>
      <c r="F4077" s="6" t="s">
        <v>439</v>
      </c>
      <c r="G4077" s="6" t="s">
        <v>477</v>
      </c>
      <c r="H4077" s="10">
        <v>46056.0</v>
      </c>
      <c r="I4077" s="12">
        <v>7.0</v>
      </c>
      <c r="J4077" s="6" t="s">
        <v>161</v>
      </c>
    </row>
    <row r="4078" ht="22.5" customHeight="1">
      <c r="A4078" s="6" t="s">
        <v>19142</v>
      </c>
      <c r="B4078" s="6" t="s">
        <v>9545</v>
      </c>
      <c r="C4078" s="10">
        <v>46053.0</v>
      </c>
      <c r="D4078" s="6" t="s">
        <v>242</v>
      </c>
      <c r="E4078" s="6" t="s">
        <v>738</v>
      </c>
      <c r="F4078" s="6" t="s">
        <v>439</v>
      </c>
      <c r="G4078" s="6" t="s">
        <v>477</v>
      </c>
      <c r="H4078" s="10">
        <v>46057.0</v>
      </c>
      <c r="I4078" s="12">
        <v>6.0</v>
      </c>
      <c r="J4078" s="6" t="s">
        <v>178</v>
      </c>
    </row>
    <row r="4079" ht="22.5" customHeight="1">
      <c r="A4079" s="6" t="s">
        <v>19147</v>
      </c>
      <c r="B4079" s="6" t="s">
        <v>9552</v>
      </c>
      <c r="C4079" s="10">
        <v>46050.0</v>
      </c>
      <c r="D4079" s="6" t="s">
        <v>416</v>
      </c>
      <c r="E4079" s="6" t="s">
        <v>670</v>
      </c>
      <c r="F4079" s="6" t="s">
        <v>283</v>
      </c>
      <c r="G4079" s="6" t="s">
        <v>494</v>
      </c>
      <c r="H4079" s="10">
        <v>46056.0</v>
      </c>
      <c r="I4079" s="12">
        <v>12.0</v>
      </c>
      <c r="J4079" s="6" t="s">
        <v>161</v>
      </c>
    </row>
    <row r="4080" ht="22.5" customHeight="1">
      <c r="A4080" s="6" t="s">
        <v>19150</v>
      </c>
      <c r="B4080" s="6" t="s">
        <v>9552</v>
      </c>
      <c r="C4080" s="10">
        <v>46065.0</v>
      </c>
      <c r="D4080" s="6" t="s">
        <v>289</v>
      </c>
      <c r="E4080" s="6" t="s">
        <v>716</v>
      </c>
      <c r="F4080" s="6" t="s">
        <v>283</v>
      </c>
      <c r="G4080" s="6" t="s">
        <v>458</v>
      </c>
      <c r="H4080" s="10">
        <v>46068.0</v>
      </c>
      <c r="I4080" s="12">
        <v>5.0</v>
      </c>
      <c r="J4080" s="6" t="s">
        <v>161</v>
      </c>
    </row>
    <row r="4081" ht="22.5" customHeight="1">
      <c r="A4081" s="6" t="s">
        <v>19154</v>
      </c>
      <c r="B4081" s="6" t="s">
        <v>9552</v>
      </c>
      <c r="C4081" s="10">
        <v>46057.0</v>
      </c>
      <c r="D4081" s="6" t="s">
        <v>677</v>
      </c>
      <c r="E4081" s="6" t="s">
        <v>704</v>
      </c>
      <c r="F4081" s="6" t="s">
        <v>439</v>
      </c>
      <c r="G4081" s="6" t="s">
        <v>254</v>
      </c>
      <c r="H4081" s="10">
        <v>46062.0</v>
      </c>
      <c r="I4081" s="12">
        <v>4.0</v>
      </c>
      <c r="J4081" s="6" t="s">
        <v>161</v>
      </c>
    </row>
    <row r="4082" ht="22.5" customHeight="1">
      <c r="A4082" s="6" t="s">
        <v>19160</v>
      </c>
      <c r="B4082" s="6" t="s">
        <v>9558</v>
      </c>
      <c r="C4082" s="10">
        <v>46067.0</v>
      </c>
      <c r="D4082" s="6" t="s">
        <v>436</v>
      </c>
      <c r="E4082" s="6" t="s">
        <v>885</v>
      </c>
      <c r="F4082" s="6" t="s">
        <v>112</v>
      </c>
      <c r="G4082" s="6" t="s">
        <v>458</v>
      </c>
      <c r="H4082" s="10">
        <v>46071.0</v>
      </c>
      <c r="I4082" s="12">
        <v>12.0</v>
      </c>
      <c r="J4082" s="6" t="s">
        <v>178</v>
      </c>
    </row>
    <row r="4083" ht="22.5" customHeight="1">
      <c r="A4083" s="6" t="s">
        <v>19163</v>
      </c>
      <c r="B4083" s="6" t="s">
        <v>9558</v>
      </c>
      <c r="C4083" s="10">
        <v>46057.0</v>
      </c>
      <c r="D4083" s="6" t="s">
        <v>677</v>
      </c>
      <c r="E4083" s="6" t="s">
        <v>687</v>
      </c>
      <c r="F4083" s="6" t="s">
        <v>112</v>
      </c>
      <c r="G4083" s="6" t="s">
        <v>494</v>
      </c>
      <c r="H4083" s="10">
        <v>46064.0</v>
      </c>
      <c r="I4083" s="12">
        <v>3.0</v>
      </c>
      <c r="J4083" s="6" t="s">
        <v>161</v>
      </c>
    </row>
    <row r="4084" ht="22.5" customHeight="1">
      <c r="A4084" s="6" t="s">
        <v>19167</v>
      </c>
      <c r="B4084" s="6" t="s">
        <v>9558</v>
      </c>
      <c r="C4084" s="10">
        <v>46048.0</v>
      </c>
      <c r="D4084" s="6" t="s">
        <v>312</v>
      </c>
      <c r="E4084" s="6" t="s">
        <v>955</v>
      </c>
      <c r="F4084" s="6" t="s">
        <v>283</v>
      </c>
      <c r="G4084" s="6" t="s">
        <v>458</v>
      </c>
      <c r="H4084" s="10">
        <v>46050.0</v>
      </c>
      <c r="I4084" s="12">
        <v>7.0</v>
      </c>
      <c r="J4084" s="6" t="s">
        <v>161</v>
      </c>
    </row>
    <row r="4085" ht="22.5" customHeight="1">
      <c r="A4085" s="6" t="s">
        <v>19173</v>
      </c>
      <c r="B4085" s="6" t="s">
        <v>9565</v>
      </c>
      <c r="C4085" s="10">
        <v>46056.0</v>
      </c>
      <c r="D4085" s="6" t="s">
        <v>436</v>
      </c>
      <c r="E4085" s="6" t="s">
        <v>291</v>
      </c>
      <c r="F4085" s="6" t="s">
        <v>112</v>
      </c>
      <c r="G4085" s="6" t="s">
        <v>254</v>
      </c>
      <c r="H4085" s="11" t="s">
        <v>259</v>
      </c>
      <c r="I4085" s="12">
        <v>11.0</v>
      </c>
      <c r="J4085" s="6" t="s">
        <v>161</v>
      </c>
    </row>
    <row r="4086" ht="22.5" customHeight="1">
      <c r="A4086" s="6" t="s">
        <v>19176</v>
      </c>
      <c r="B4086" s="6" t="s">
        <v>9565</v>
      </c>
      <c r="C4086" s="10">
        <v>46054.0</v>
      </c>
      <c r="D4086" s="6" t="s">
        <v>416</v>
      </c>
      <c r="E4086" s="6" t="s">
        <v>704</v>
      </c>
      <c r="F4086" s="6" t="s">
        <v>112</v>
      </c>
      <c r="G4086" s="6" t="s">
        <v>369</v>
      </c>
      <c r="H4086" s="11" t="s">
        <v>259</v>
      </c>
      <c r="I4086" s="12">
        <v>10.0</v>
      </c>
      <c r="J4086" s="6" t="s">
        <v>161</v>
      </c>
    </row>
    <row r="4087" ht="22.5" customHeight="1">
      <c r="A4087" s="6" t="s">
        <v>19180</v>
      </c>
      <c r="B4087" s="6" t="s">
        <v>9565</v>
      </c>
      <c r="C4087" s="10">
        <v>46062.0</v>
      </c>
      <c r="D4087" s="6" t="s">
        <v>677</v>
      </c>
      <c r="E4087" s="6" t="s">
        <v>618</v>
      </c>
      <c r="F4087" s="6" t="s">
        <v>249</v>
      </c>
      <c r="G4087" s="6" t="s">
        <v>458</v>
      </c>
      <c r="H4087" s="10">
        <v>46065.0</v>
      </c>
      <c r="I4087" s="12">
        <v>3.0</v>
      </c>
      <c r="J4087" s="6" t="s">
        <v>161</v>
      </c>
    </row>
    <row r="4088" ht="22.5" customHeight="1">
      <c r="A4088" s="6" t="s">
        <v>19186</v>
      </c>
      <c r="B4088" s="6" t="s">
        <v>9571</v>
      </c>
      <c r="C4088" s="10">
        <v>46065.0</v>
      </c>
      <c r="D4088" s="6" t="s">
        <v>416</v>
      </c>
      <c r="E4088" s="6" t="s">
        <v>634</v>
      </c>
      <c r="F4088" s="6" t="s">
        <v>249</v>
      </c>
      <c r="G4088" s="6" t="s">
        <v>254</v>
      </c>
      <c r="H4088" s="10">
        <v>46069.0</v>
      </c>
      <c r="I4088" s="12">
        <v>14.0</v>
      </c>
      <c r="J4088" s="6" t="s">
        <v>161</v>
      </c>
    </row>
    <row r="4089" ht="22.5" customHeight="1">
      <c r="A4089" s="6" t="s">
        <v>19191</v>
      </c>
      <c r="B4089" s="6" t="s">
        <v>9571</v>
      </c>
      <c r="C4089" s="10">
        <v>46068.0</v>
      </c>
      <c r="D4089" s="6" t="s">
        <v>289</v>
      </c>
      <c r="E4089" s="6" t="s">
        <v>1517</v>
      </c>
      <c r="F4089" s="6" t="s">
        <v>439</v>
      </c>
      <c r="G4089" s="6" t="s">
        <v>326</v>
      </c>
      <c r="H4089" s="11" t="s">
        <v>259</v>
      </c>
      <c r="I4089" s="12">
        <v>9.0</v>
      </c>
      <c r="J4089" s="6" t="s">
        <v>161</v>
      </c>
    </row>
    <row r="4090" ht="22.5" customHeight="1">
      <c r="A4090" s="6" t="s">
        <v>19193</v>
      </c>
      <c r="B4090" s="6" t="s">
        <v>9571</v>
      </c>
      <c r="C4090" s="10">
        <v>46071.0</v>
      </c>
      <c r="D4090" s="6" t="s">
        <v>677</v>
      </c>
      <c r="E4090" s="6" t="s">
        <v>812</v>
      </c>
      <c r="F4090" s="6" t="s">
        <v>249</v>
      </c>
      <c r="G4090" s="6" t="s">
        <v>494</v>
      </c>
      <c r="H4090" s="10">
        <v>46075.0</v>
      </c>
      <c r="I4090" s="12">
        <v>2.0</v>
      </c>
      <c r="J4090" s="6" t="s">
        <v>161</v>
      </c>
    </row>
    <row r="4091" ht="22.5" customHeight="1">
      <c r="A4091" s="6" t="s">
        <v>19196</v>
      </c>
      <c r="B4091" s="6" t="s">
        <v>9571</v>
      </c>
      <c r="C4091" s="10">
        <v>46073.0</v>
      </c>
      <c r="D4091" s="6" t="s">
        <v>242</v>
      </c>
      <c r="E4091" s="6" t="s">
        <v>466</v>
      </c>
      <c r="F4091" s="6" t="s">
        <v>249</v>
      </c>
      <c r="G4091" s="6" t="s">
        <v>326</v>
      </c>
      <c r="H4091" s="11" t="s">
        <v>259</v>
      </c>
      <c r="I4091" s="12">
        <v>3.0</v>
      </c>
      <c r="J4091" s="6" t="s">
        <v>178</v>
      </c>
    </row>
    <row r="4092" ht="22.5" customHeight="1">
      <c r="A4092" s="6" t="s">
        <v>19200</v>
      </c>
      <c r="B4092" s="6" t="s">
        <v>9577</v>
      </c>
      <c r="C4092" s="10">
        <v>46045.0</v>
      </c>
      <c r="D4092" s="6" t="s">
        <v>436</v>
      </c>
      <c r="E4092" s="6" t="s">
        <v>716</v>
      </c>
      <c r="F4092" s="6" t="s">
        <v>112</v>
      </c>
      <c r="G4092" s="6" t="s">
        <v>369</v>
      </c>
      <c r="H4092" s="10">
        <v>46051.0</v>
      </c>
      <c r="I4092" s="12">
        <v>9.0</v>
      </c>
      <c r="J4092" s="6" t="s">
        <v>178</v>
      </c>
    </row>
    <row r="4093" ht="22.5" customHeight="1">
      <c r="A4093" s="6" t="s">
        <v>19202</v>
      </c>
      <c r="B4093" s="6" t="s">
        <v>9583</v>
      </c>
      <c r="C4093" s="10">
        <v>46056.0</v>
      </c>
      <c r="D4093" s="6" t="s">
        <v>242</v>
      </c>
      <c r="E4093" s="6" t="s">
        <v>365</v>
      </c>
      <c r="F4093" s="6" t="s">
        <v>249</v>
      </c>
      <c r="G4093" s="6" t="s">
        <v>369</v>
      </c>
      <c r="H4093" s="10">
        <v>46063.0</v>
      </c>
      <c r="I4093" s="12">
        <v>6.0</v>
      </c>
      <c r="J4093" s="6" t="s">
        <v>178</v>
      </c>
    </row>
    <row r="4094" ht="22.5" customHeight="1">
      <c r="A4094" s="6" t="s">
        <v>19205</v>
      </c>
      <c r="B4094" s="6" t="s">
        <v>9583</v>
      </c>
      <c r="C4094" s="10">
        <v>46056.0</v>
      </c>
      <c r="D4094" s="6" t="s">
        <v>312</v>
      </c>
      <c r="E4094" s="6" t="s">
        <v>1055</v>
      </c>
      <c r="F4094" s="6" t="s">
        <v>249</v>
      </c>
      <c r="G4094" s="6" t="s">
        <v>369</v>
      </c>
      <c r="H4094" s="10">
        <v>46061.0</v>
      </c>
      <c r="I4094" s="12">
        <v>6.0</v>
      </c>
      <c r="J4094" s="6" t="s">
        <v>161</v>
      </c>
    </row>
    <row r="4095" ht="22.5" customHeight="1">
      <c r="A4095" s="6" t="s">
        <v>19210</v>
      </c>
      <c r="B4095" s="6" t="s">
        <v>9583</v>
      </c>
      <c r="C4095" s="10">
        <v>46056.0</v>
      </c>
      <c r="D4095" s="6" t="s">
        <v>242</v>
      </c>
      <c r="E4095" s="6" t="s">
        <v>1546</v>
      </c>
      <c r="F4095" s="6" t="s">
        <v>249</v>
      </c>
      <c r="G4095" s="6" t="s">
        <v>254</v>
      </c>
      <c r="H4095" s="11" t="s">
        <v>259</v>
      </c>
      <c r="I4095" s="12">
        <v>3.0</v>
      </c>
      <c r="J4095" s="6" t="s">
        <v>178</v>
      </c>
    </row>
    <row r="4096" ht="22.5" customHeight="1">
      <c r="A4096" s="6" t="s">
        <v>19216</v>
      </c>
      <c r="B4096" s="6" t="s">
        <v>9589</v>
      </c>
      <c r="C4096" s="10">
        <v>46037.0</v>
      </c>
      <c r="D4096" s="6" t="s">
        <v>312</v>
      </c>
      <c r="E4096" s="6" t="s">
        <v>2881</v>
      </c>
      <c r="F4096" s="6" t="s">
        <v>249</v>
      </c>
      <c r="G4096" s="6" t="s">
        <v>369</v>
      </c>
      <c r="H4096" s="10">
        <v>46041.0</v>
      </c>
      <c r="I4096" s="12">
        <v>5.0</v>
      </c>
      <c r="J4096" s="6" t="s">
        <v>161</v>
      </c>
    </row>
    <row r="4097" ht="22.5" customHeight="1">
      <c r="A4097" s="6" t="s">
        <v>19221</v>
      </c>
      <c r="B4097" s="6" t="s">
        <v>9589</v>
      </c>
      <c r="C4097" s="10">
        <v>46045.0</v>
      </c>
      <c r="D4097" s="6" t="s">
        <v>436</v>
      </c>
      <c r="E4097" s="6" t="s">
        <v>291</v>
      </c>
      <c r="F4097" s="6" t="s">
        <v>112</v>
      </c>
      <c r="G4097" s="6" t="s">
        <v>297</v>
      </c>
      <c r="H4097" s="10">
        <v>46047.0</v>
      </c>
      <c r="I4097" s="12">
        <v>9.0</v>
      </c>
      <c r="J4097" s="6" t="s">
        <v>178</v>
      </c>
    </row>
    <row r="4098" ht="22.5" customHeight="1">
      <c r="A4098" s="6" t="s">
        <v>19224</v>
      </c>
      <c r="B4098" s="6" t="s">
        <v>9595</v>
      </c>
      <c r="C4098" s="10">
        <v>46079.0</v>
      </c>
      <c r="D4098" s="6" t="s">
        <v>416</v>
      </c>
      <c r="E4098" s="6" t="s">
        <v>320</v>
      </c>
      <c r="F4098" s="6" t="s">
        <v>249</v>
      </c>
      <c r="G4098" s="6" t="s">
        <v>477</v>
      </c>
      <c r="H4098" s="10">
        <v>46079.0</v>
      </c>
      <c r="I4098" s="12">
        <v>8.0</v>
      </c>
      <c r="J4098" s="6" t="s">
        <v>161</v>
      </c>
    </row>
    <row r="4099" ht="22.5" customHeight="1">
      <c r="A4099" s="6" t="s">
        <v>19227</v>
      </c>
      <c r="B4099" s="6" t="s">
        <v>9602</v>
      </c>
      <c r="C4099" s="10">
        <v>46038.0</v>
      </c>
      <c r="D4099" s="6" t="s">
        <v>242</v>
      </c>
      <c r="E4099" s="6" t="s">
        <v>291</v>
      </c>
      <c r="F4099" s="6" t="s">
        <v>112</v>
      </c>
      <c r="G4099" s="6" t="s">
        <v>326</v>
      </c>
      <c r="H4099" s="11" t="s">
        <v>259</v>
      </c>
      <c r="I4099" s="12">
        <v>3.0</v>
      </c>
      <c r="J4099" s="6" t="s">
        <v>161</v>
      </c>
    </row>
    <row r="4100" ht="22.5" customHeight="1">
      <c r="A4100" s="6" t="s">
        <v>19230</v>
      </c>
      <c r="B4100" s="6" t="s">
        <v>9610</v>
      </c>
      <c r="C4100" s="10">
        <v>46075.0</v>
      </c>
      <c r="D4100" s="6" t="s">
        <v>312</v>
      </c>
      <c r="E4100" s="6" t="s">
        <v>450</v>
      </c>
      <c r="F4100" s="6" t="s">
        <v>439</v>
      </c>
      <c r="G4100" s="6" t="s">
        <v>254</v>
      </c>
      <c r="H4100" s="11" t="s">
        <v>259</v>
      </c>
      <c r="I4100" s="12">
        <v>6.0</v>
      </c>
      <c r="J4100" s="6" t="s">
        <v>161</v>
      </c>
    </row>
    <row r="4101" ht="22.5" customHeight="1">
      <c r="A4101" s="6" t="s">
        <v>19234</v>
      </c>
      <c r="B4101" s="6" t="s">
        <v>9610</v>
      </c>
      <c r="C4101" s="10">
        <v>46075.0</v>
      </c>
      <c r="D4101" s="6" t="s">
        <v>242</v>
      </c>
      <c r="E4101" s="6" t="s">
        <v>1969</v>
      </c>
      <c r="F4101" s="6" t="s">
        <v>439</v>
      </c>
      <c r="G4101" s="6" t="s">
        <v>458</v>
      </c>
      <c r="H4101" s="10">
        <v>46075.0</v>
      </c>
      <c r="I4101" s="12">
        <v>3.0</v>
      </c>
      <c r="J4101" s="6" t="s">
        <v>161</v>
      </c>
    </row>
    <row r="4102" ht="22.5" customHeight="1">
      <c r="A4102" s="6" t="s">
        <v>19237</v>
      </c>
      <c r="B4102" s="6" t="s">
        <v>9610</v>
      </c>
      <c r="C4102" s="10">
        <v>46057.0</v>
      </c>
      <c r="D4102" s="6" t="s">
        <v>677</v>
      </c>
      <c r="E4102" s="6" t="s">
        <v>885</v>
      </c>
      <c r="F4102" s="6" t="s">
        <v>249</v>
      </c>
      <c r="G4102" s="6" t="s">
        <v>452</v>
      </c>
      <c r="H4102" s="10">
        <v>46057.0</v>
      </c>
      <c r="I4102" s="12">
        <v>2.0</v>
      </c>
      <c r="J4102" s="6" t="s">
        <v>161</v>
      </c>
    </row>
    <row r="4103" ht="22.5" customHeight="1">
      <c r="A4103" s="6" t="s">
        <v>19241</v>
      </c>
      <c r="B4103" s="6" t="s">
        <v>9610</v>
      </c>
      <c r="C4103" s="10">
        <v>46062.0</v>
      </c>
      <c r="D4103" s="6" t="s">
        <v>436</v>
      </c>
      <c r="E4103" s="6" t="s">
        <v>738</v>
      </c>
      <c r="F4103" s="6" t="s">
        <v>283</v>
      </c>
      <c r="G4103" s="6" t="s">
        <v>494</v>
      </c>
      <c r="H4103" s="10">
        <v>46065.0</v>
      </c>
      <c r="I4103" s="12">
        <v>12.0</v>
      </c>
      <c r="J4103" s="6" t="s">
        <v>178</v>
      </c>
    </row>
    <row r="4104" ht="22.5" customHeight="1">
      <c r="A4104" s="6" t="s">
        <v>19242</v>
      </c>
      <c r="B4104" s="6" t="s">
        <v>9618</v>
      </c>
      <c r="C4104" s="10">
        <v>46027.0</v>
      </c>
      <c r="D4104" s="6" t="s">
        <v>416</v>
      </c>
      <c r="E4104" s="6" t="s">
        <v>610</v>
      </c>
      <c r="F4104" s="6" t="s">
        <v>249</v>
      </c>
      <c r="G4104" s="6" t="s">
        <v>494</v>
      </c>
      <c r="H4104" s="10">
        <v>46027.0</v>
      </c>
      <c r="I4104" s="12">
        <v>13.0</v>
      </c>
      <c r="J4104" s="6" t="s">
        <v>161</v>
      </c>
    </row>
    <row r="4105" ht="22.5" customHeight="1">
      <c r="A4105" s="6" t="s">
        <v>19245</v>
      </c>
      <c r="B4105" s="6" t="s">
        <v>9618</v>
      </c>
      <c r="C4105" s="10">
        <v>46042.0</v>
      </c>
      <c r="D4105" s="6" t="s">
        <v>242</v>
      </c>
      <c r="E4105" s="6" t="s">
        <v>291</v>
      </c>
      <c r="F4105" s="6" t="s">
        <v>249</v>
      </c>
      <c r="G4105" s="6" t="s">
        <v>452</v>
      </c>
      <c r="H4105" s="10">
        <v>46043.0</v>
      </c>
      <c r="I4105" s="12">
        <v>5.0</v>
      </c>
      <c r="J4105" s="6" t="s">
        <v>178</v>
      </c>
    </row>
    <row r="4106" ht="22.5" customHeight="1">
      <c r="A4106" s="6" t="s">
        <v>19249</v>
      </c>
      <c r="B4106" s="6" t="s">
        <v>9618</v>
      </c>
      <c r="C4106" s="10">
        <v>46040.0</v>
      </c>
      <c r="D4106" s="6" t="s">
        <v>677</v>
      </c>
      <c r="E4106" s="6" t="s">
        <v>1969</v>
      </c>
      <c r="F4106" s="6" t="s">
        <v>439</v>
      </c>
      <c r="G4106" s="6" t="s">
        <v>369</v>
      </c>
      <c r="H4106" s="10">
        <v>46047.0</v>
      </c>
      <c r="I4106" s="12">
        <v>2.0</v>
      </c>
      <c r="J4106" s="6" t="s">
        <v>161</v>
      </c>
    </row>
    <row r="4107" ht="22.5" customHeight="1">
      <c r="A4107" s="6" t="s">
        <v>19251</v>
      </c>
      <c r="B4107" s="6" t="s">
        <v>9618</v>
      </c>
      <c r="C4107" s="10">
        <v>46024.0</v>
      </c>
      <c r="D4107" s="6" t="s">
        <v>436</v>
      </c>
      <c r="E4107" s="6" t="s">
        <v>1241</v>
      </c>
      <c r="F4107" s="6" t="s">
        <v>112</v>
      </c>
      <c r="G4107" s="6" t="s">
        <v>297</v>
      </c>
      <c r="H4107" s="11" t="s">
        <v>259</v>
      </c>
      <c r="I4107" s="12">
        <v>6.0</v>
      </c>
      <c r="J4107" s="6" t="s">
        <v>178</v>
      </c>
    </row>
    <row r="4108" ht="22.5" customHeight="1">
      <c r="A4108" s="6" t="s">
        <v>19254</v>
      </c>
      <c r="B4108" s="6" t="s">
        <v>9618</v>
      </c>
      <c r="C4108" s="10">
        <v>46044.0</v>
      </c>
      <c r="D4108" s="6" t="s">
        <v>242</v>
      </c>
      <c r="E4108" s="6" t="s">
        <v>704</v>
      </c>
      <c r="F4108" s="6" t="s">
        <v>283</v>
      </c>
      <c r="G4108" s="6" t="s">
        <v>494</v>
      </c>
      <c r="H4108" s="10">
        <v>46046.0</v>
      </c>
      <c r="I4108" s="12">
        <v>3.0</v>
      </c>
      <c r="J4108" s="6" t="s">
        <v>178</v>
      </c>
    </row>
    <row r="4109" ht="22.5" customHeight="1">
      <c r="A4109" s="6" t="s">
        <v>19256</v>
      </c>
      <c r="B4109" s="6" t="s">
        <v>9625</v>
      </c>
      <c r="C4109" s="10">
        <v>46040.0</v>
      </c>
      <c r="D4109" s="6" t="s">
        <v>312</v>
      </c>
      <c r="E4109" s="6" t="s">
        <v>1741</v>
      </c>
      <c r="F4109" s="6" t="s">
        <v>249</v>
      </c>
      <c r="G4109" s="6" t="s">
        <v>477</v>
      </c>
      <c r="H4109" s="10">
        <v>46041.0</v>
      </c>
      <c r="I4109" s="12">
        <v>7.0</v>
      </c>
      <c r="J4109" s="6" t="s">
        <v>161</v>
      </c>
    </row>
    <row r="4110" ht="22.5" customHeight="1">
      <c r="A4110" s="6" t="s">
        <v>19259</v>
      </c>
      <c r="B4110" s="6" t="s">
        <v>9632</v>
      </c>
      <c r="C4110" s="10">
        <v>46043.0</v>
      </c>
      <c r="D4110" s="6" t="s">
        <v>242</v>
      </c>
      <c r="E4110" s="6" t="s">
        <v>450</v>
      </c>
      <c r="F4110" s="6" t="s">
        <v>112</v>
      </c>
      <c r="G4110" s="6" t="s">
        <v>477</v>
      </c>
      <c r="H4110" s="11" t="s">
        <v>259</v>
      </c>
      <c r="I4110" s="12">
        <v>3.0</v>
      </c>
      <c r="J4110" s="6" t="s">
        <v>161</v>
      </c>
    </row>
    <row r="4111" ht="22.5" customHeight="1">
      <c r="A4111" s="6" t="s">
        <v>19263</v>
      </c>
      <c r="B4111" s="6" t="s">
        <v>9632</v>
      </c>
      <c r="C4111" s="10">
        <v>46041.0</v>
      </c>
      <c r="D4111" s="6" t="s">
        <v>436</v>
      </c>
      <c r="E4111" s="6" t="s">
        <v>1570</v>
      </c>
      <c r="F4111" s="6" t="s">
        <v>283</v>
      </c>
      <c r="G4111" s="6" t="s">
        <v>452</v>
      </c>
      <c r="H4111" s="10">
        <v>46048.0</v>
      </c>
      <c r="I4111" s="12">
        <v>6.0</v>
      </c>
      <c r="J4111" s="6" t="s">
        <v>161</v>
      </c>
    </row>
    <row r="4112" ht="22.5" customHeight="1">
      <c r="A4112" s="6" t="s">
        <v>19264</v>
      </c>
      <c r="B4112" s="6" t="s">
        <v>9632</v>
      </c>
      <c r="C4112" s="10">
        <v>46046.0</v>
      </c>
      <c r="D4112" s="6" t="s">
        <v>312</v>
      </c>
      <c r="E4112" s="6" t="s">
        <v>1149</v>
      </c>
      <c r="F4112" s="6" t="s">
        <v>112</v>
      </c>
      <c r="G4112" s="6" t="s">
        <v>297</v>
      </c>
      <c r="H4112" s="10">
        <v>46047.0</v>
      </c>
      <c r="I4112" s="12">
        <v>4.0</v>
      </c>
      <c r="J4112" s="6" t="s">
        <v>161</v>
      </c>
    </row>
    <row r="4113" ht="22.5" customHeight="1">
      <c r="A4113" s="6" t="s">
        <v>19267</v>
      </c>
      <c r="B4113" s="6" t="s">
        <v>9632</v>
      </c>
      <c r="C4113" s="10">
        <v>46049.0</v>
      </c>
      <c r="D4113" s="6" t="s">
        <v>391</v>
      </c>
      <c r="E4113" s="6" t="s">
        <v>1296</v>
      </c>
      <c r="F4113" s="6" t="s">
        <v>283</v>
      </c>
      <c r="G4113" s="6" t="s">
        <v>369</v>
      </c>
      <c r="H4113" s="10">
        <v>46056.0</v>
      </c>
      <c r="I4113" s="12">
        <v>8.0</v>
      </c>
      <c r="J4113" s="6" t="s">
        <v>161</v>
      </c>
    </row>
    <row r="4114" ht="22.5" customHeight="1">
      <c r="A4114" s="6" t="s">
        <v>19271</v>
      </c>
      <c r="B4114" s="6" t="s">
        <v>9632</v>
      </c>
      <c r="C4114" s="10">
        <v>46051.0</v>
      </c>
      <c r="D4114" s="6" t="s">
        <v>436</v>
      </c>
      <c r="E4114" s="6" t="s">
        <v>365</v>
      </c>
      <c r="F4114" s="6" t="s">
        <v>249</v>
      </c>
      <c r="G4114" s="6" t="s">
        <v>477</v>
      </c>
      <c r="H4114" s="10">
        <v>46053.0</v>
      </c>
      <c r="I4114" s="12">
        <v>12.0</v>
      </c>
      <c r="J4114" s="6" t="s">
        <v>178</v>
      </c>
    </row>
    <row r="4115" ht="22.5" customHeight="1">
      <c r="A4115" s="6" t="s">
        <v>19273</v>
      </c>
      <c r="B4115" s="6" t="s">
        <v>9639</v>
      </c>
      <c r="C4115" s="10">
        <v>46048.0</v>
      </c>
      <c r="D4115" s="6" t="s">
        <v>416</v>
      </c>
      <c r="E4115" s="6" t="s">
        <v>246</v>
      </c>
      <c r="F4115" s="6" t="s">
        <v>283</v>
      </c>
      <c r="G4115" s="6" t="s">
        <v>477</v>
      </c>
      <c r="H4115" s="10">
        <v>46053.0</v>
      </c>
      <c r="I4115" s="12">
        <v>11.0</v>
      </c>
      <c r="J4115" s="6" t="s">
        <v>161</v>
      </c>
    </row>
    <row r="4116" ht="22.5" customHeight="1">
      <c r="A4116" s="6" t="s">
        <v>19278</v>
      </c>
      <c r="B4116" s="6" t="s">
        <v>9639</v>
      </c>
      <c r="C4116" s="10">
        <v>46044.0</v>
      </c>
      <c r="D4116" s="6" t="s">
        <v>312</v>
      </c>
      <c r="E4116" s="6" t="s">
        <v>512</v>
      </c>
      <c r="F4116" s="6" t="s">
        <v>439</v>
      </c>
      <c r="G4116" s="6" t="s">
        <v>297</v>
      </c>
      <c r="H4116" s="10">
        <v>46049.0</v>
      </c>
      <c r="I4116" s="12">
        <v>7.0</v>
      </c>
      <c r="J4116" s="6" t="s">
        <v>161</v>
      </c>
    </row>
    <row r="4117" ht="22.5" customHeight="1">
      <c r="A4117" s="6" t="s">
        <v>19279</v>
      </c>
      <c r="B4117" s="6" t="s">
        <v>9639</v>
      </c>
      <c r="C4117" s="10">
        <v>46040.0</v>
      </c>
      <c r="D4117" s="6" t="s">
        <v>677</v>
      </c>
      <c r="E4117" s="6" t="s">
        <v>670</v>
      </c>
      <c r="F4117" s="6" t="s">
        <v>439</v>
      </c>
      <c r="G4117" s="6" t="s">
        <v>254</v>
      </c>
      <c r="H4117" s="10">
        <v>46047.0</v>
      </c>
      <c r="I4117" s="12">
        <v>4.0</v>
      </c>
      <c r="J4117" s="6" t="s">
        <v>161</v>
      </c>
    </row>
    <row r="4118" ht="22.5" customHeight="1">
      <c r="A4118" s="6" t="s">
        <v>19281</v>
      </c>
      <c r="B4118" s="6" t="s">
        <v>9639</v>
      </c>
      <c r="C4118" s="10">
        <v>46043.0</v>
      </c>
      <c r="D4118" s="6" t="s">
        <v>289</v>
      </c>
      <c r="E4118" s="6" t="s">
        <v>1241</v>
      </c>
      <c r="F4118" s="6" t="s">
        <v>112</v>
      </c>
      <c r="G4118" s="6" t="s">
        <v>326</v>
      </c>
      <c r="H4118" s="11" t="s">
        <v>259</v>
      </c>
      <c r="I4118" s="12">
        <v>9.0</v>
      </c>
      <c r="J4118" s="6" t="s">
        <v>161</v>
      </c>
    </row>
    <row r="4119" ht="22.5" customHeight="1">
      <c r="A4119" s="6" t="s">
        <v>19283</v>
      </c>
      <c r="B4119" s="6" t="s">
        <v>9639</v>
      </c>
      <c r="C4119" s="10">
        <v>46042.0</v>
      </c>
      <c r="D4119" s="6" t="s">
        <v>391</v>
      </c>
      <c r="E4119" s="6" t="s">
        <v>885</v>
      </c>
      <c r="F4119" s="6" t="s">
        <v>283</v>
      </c>
      <c r="G4119" s="6" t="s">
        <v>297</v>
      </c>
      <c r="H4119" s="10">
        <v>46042.0</v>
      </c>
      <c r="I4119" s="12">
        <v>7.0</v>
      </c>
      <c r="J4119" s="6" t="s">
        <v>161</v>
      </c>
    </row>
    <row r="4120" ht="22.5" customHeight="1">
      <c r="A4120" s="6" t="s">
        <v>19287</v>
      </c>
      <c r="B4120" s="6" t="s">
        <v>9644</v>
      </c>
      <c r="C4120" s="10">
        <v>46073.0</v>
      </c>
      <c r="D4120" s="6" t="s">
        <v>416</v>
      </c>
      <c r="E4120" s="6" t="s">
        <v>394</v>
      </c>
      <c r="F4120" s="6" t="s">
        <v>112</v>
      </c>
      <c r="G4120" s="6" t="s">
        <v>254</v>
      </c>
      <c r="H4120" s="10">
        <v>46074.0</v>
      </c>
      <c r="I4120" s="12">
        <v>12.0</v>
      </c>
      <c r="J4120" s="6" t="s">
        <v>161</v>
      </c>
    </row>
    <row r="4121" ht="22.5" customHeight="1">
      <c r="A4121" s="6" t="s">
        <v>19290</v>
      </c>
      <c r="B4121" s="6" t="s">
        <v>9644</v>
      </c>
      <c r="C4121" s="10">
        <v>46074.0</v>
      </c>
      <c r="D4121" s="6" t="s">
        <v>677</v>
      </c>
      <c r="E4121" s="6" t="s">
        <v>704</v>
      </c>
      <c r="F4121" s="6" t="s">
        <v>283</v>
      </c>
      <c r="G4121" s="6" t="s">
        <v>297</v>
      </c>
      <c r="H4121" s="10">
        <v>46077.0</v>
      </c>
      <c r="I4121" s="12">
        <v>3.0</v>
      </c>
      <c r="J4121" s="6" t="s">
        <v>161</v>
      </c>
    </row>
    <row r="4122" ht="22.5" customHeight="1">
      <c r="A4122" s="6" t="s">
        <v>19293</v>
      </c>
      <c r="B4122" s="6" t="s">
        <v>9644</v>
      </c>
      <c r="C4122" s="10">
        <v>46063.0</v>
      </c>
      <c r="D4122" s="6" t="s">
        <v>436</v>
      </c>
      <c r="E4122" s="6" t="s">
        <v>450</v>
      </c>
      <c r="F4122" s="6" t="s">
        <v>249</v>
      </c>
      <c r="G4122" s="6" t="s">
        <v>452</v>
      </c>
      <c r="H4122" s="11" t="s">
        <v>259</v>
      </c>
      <c r="I4122" s="12">
        <v>6.0</v>
      </c>
      <c r="J4122" s="6" t="s">
        <v>178</v>
      </c>
    </row>
    <row r="4123" ht="22.5" customHeight="1">
      <c r="A4123" s="6" t="s">
        <v>19295</v>
      </c>
      <c r="B4123" s="6" t="s">
        <v>9644</v>
      </c>
      <c r="C4123" s="10">
        <v>46080.0</v>
      </c>
      <c r="D4123" s="6" t="s">
        <v>436</v>
      </c>
      <c r="E4123" s="6" t="s">
        <v>438</v>
      </c>
      <c r="F4123" s="6" t="s">
        <v>112</v>
      </c>
      <c r="G4123" s="6" t="s">
        <v>494</v>
      </c>
      <c r="H4123" s="10">
        <v>46086.0</v>
      </c>
      <c r="I4123" s="12">
        <v>11.0</v>
      </c>
      <c r="J4123" s="6" t="s">
        <v>178</v>
      </c>
    </row>
    <row r="4124" ht="22.5" customHeight="1">
      <c r="A4124" s="6" t="s">
        <v>19297</v>
      </c>
      <c r="B4124" s="6" t="s">
        <v>9644</v>
      </c>
      <c r="C4124" s="10">
        <v>46070.0</v>
      </c>
      <c r="D4124" s="6" t="s">
        <v>391</v>
      </c>
      <c r="E4124" s="6" t="s">
        <v>2881</v>
      </c>
      <c r="F4124" s="6" t="s">
        <v>249</v>
      </c>
      <c r="G4124" s="6" t="s">
        <v>494</v>
      </c>
      <c r="H4124" s="10">
        <v>46071.0</v>
      </c>
      <c r="I4124" s="12">
        <v>8.0</v>
      </c>
      <c r="J4124" s="6" t="s">
        <v>161</v>
      </c>
    </row>
    <row r="4125" ht="22.5" customHeight="1">
      <c r="A4125" s="6" t="s">
        <v>19301</v>
      </c>
      <c r="B4125" s="6" t="s">
        <v>9649</v>
      </c>
      <c r="C4125" s="10">
        <v>46055.0</v>
      </c>
      <c r="D4125" s="6" t="s">
        <v>677</v>
      </c>
      <c r="E4125" s="6" t="s">
        <v>291</v>
      </c>
      <c r="F4125" s="6" t="s">
        <v>439</v>
      </c>
      <c r="G4125" s="6" t="s">
        <v>458</v>
      </c>
      <c r="H4125" s="10">
        <v>46062.0</v>
      </c>
      <c r="I4125" s="12">
        <v>4.0</v>
      </c>
      <c r="J4125" s="6" t="s">
        <v>161</v>
      </c>
    </row>
    <row r="4126" ht="22.5" customHeight="1">
      <c r="A4126" s="6" t="s">
        <v>19302</v>
      </c>
      <c r="B4126" s="6" t="s">
        <v>9649</v>
      </c>
      <c r="C4126" s="10">
        <v>46069.0</v>
      </c>
      <c r="D4126" s="6" t="s">
        <v>391</v>
      </c>
      <c r="E4126" s="6" t="s">
        <v>365</v>
      </c>
      <c r="F4126" s="6" t="s">
        <v>112</v>
      </c>
      <c r="G4126" s="6" t="s">
        <v>254</v>
      </c>
      <c r="H4126" s="10">
        <v>46071.0</v>
      </c>
      <c r="I4126" s="12">
        <v>7.0</v>
      </c>
      <c r="J4126" s="6" t="s">
        <v>161</v>
      </c>
    </row>
    <row r="4127" ht="22.5" customHeight="1">
      <c r="A4127" s="6" t="s">
        <v>19305</v>
      </c>
      <c r="B4127" s="6" t="s">
        <v>9649</v>
      </c>
      <c r="C4127" s="10">
        <v>46063.0</v>
      </c>
      <c r="D4127" s="6" t="s">
        <v>289</v>
      </c>
      <c r="E4127" s="6" t="s">
        <v>687</v>
      </c>
      <c r="F4127" s="6" t="s">
        <v>439</v>
      </c>
      <c r="G4127" s="6" t="s">
        <v>326</v>
      </c>
      <c r="H4127" s="10">
        <v>46068.0</v>
      </c>
      <c r="I4127" s="12">
        <v>7.0</v>
      </c>
      <c r="J4127" s="6" t="s">
        <v>161</v>
      </c>
    </row>
    <row r="4128" ht="22.5" customHeight="1">
      <c r="A4128" s="6" t="s">
        <v>19309</v>
      </c>
      <c r="B4128" s="6" t="s">
        <v>9649</v>
      </c>
      <c r="C4128" s="10">
        <v>46061.0</v>
      </c>
      <c r="D4128" s="6" t="s">
        <v>436</v>
      </c>
      <c r="E4128" s="6" t="s">
        <v>896</v>
      </c>
      <c r="F4128" s="6" t="s">
        <v>439</v>
      </c>
      <c r="G4128" s="6" t="s">
        <v>297</v>
      </c>
      <c r="H4128" s="10">
        <v>46068.0</v>
      </c>
      <c r="I4128" s="12">
        <v>11.0</v>
      </c>
      <c r="J4128" s="6" t="s">
        <v>161</v>
      </c>
    </row>
    <row r="4129" ht="22.5" customHeight="1">
      <c r="A4129" s="6" t="s">
        <v>19310</v>
      </c>
      <c r="B4129" s="6" t="s">
        <v>9649</v>
      </c>
      <c r="C4129" s="10">
        <v>46072.0</v>
      </c>
      <c r="D4129" s="6" t="s">
        <v>416</v>
      </c>
      <c r="E4129" s="6" t="s">
        <v>583</v>
      </c>
      <c r="F4129" s="6" t="s">
        <v>283</v>
      </c>
      <c r="G4129" s="6" t="s">
        <v>477</v>
      </c>
      <c r="H4129" s="10">
        <v>46076.0</v>
      </c>
      <c r="I4129" s="12">
        <v>9.0</v>
      </c>
      <c r="J4129" s="6" t="s">
        <v>161</v>
      </c>
    </row>
    <row r="4130" ht="22.5" customHeight="1">
      <c r="A4130" s="6" t="s">
        <v>19313</v>
      </c>
      <c r="B4130" s="6" t="s">
        <v>9655</v>
      </c>
      <c r="C4130" s="10">
        <v>46069.0</v>
      </c>
      <c r="D4130" s="6" t="s">
        <v>242</v>
      </c>
      <c r="E4130" s="6" t="s">
        <v>466</v>
      </c>
      <c r="F4130" s="6" t="s">
        <v>112</v>
      </c>
      <c r="G4130" s="6" t="s">
        <v>452</v>
      </c>
      <c r="H4130" s="10">
        <v>46072.0</v>
      </c>
      <c r="I4130" s="12">
        <v>6.0</v>
      </c>
      <c r="J4130" s="6" t="s">
        <v>178</v>
      </c>
    </row>
    <row r="4131" ht="22.5" customHeight="1">
      <c r="A4131" s="6" t="s">
        <v>19318</v>
      </c>
      <c r="B4131" s="6" t="s">
        <v>9655</v>
      </c>
      <c r="C4131" s="10">
        <v>46084.0</v>
      </c>
      <c r="D4131" s="6" t="s">
        <v>289</v>
      </c>
      <c r="E4131" s="6" t="s">
        <v>1035</v>
      </c>
      <c r="F4131" s="6" t="s">
        <v>112</v>
      </c>
      <c r="G4131" s="6" t="s">
        <v>477</v>
      </c>
      <c r="H4131" s="10">
        <v>46091.0</v>
      </c>
      <c r="I4131" s="12">
        <v>10.0</v>
      </c>
      <c r="J4131" s="6" t="s">
        <v>161</v>
      </c>
    </row>
    <row r="4132" ht="22.5" customHeight="1">
      <c r="A4132" s="6" t="s">
        <v>19325</v>
      </c>
      <c r="B4132" s="6" t="s">
        <v>9655</v>
      </c>
      <c r="C4132" s="10">
        <v>46085.0</v>
      </c>
      <c r="D4132" s="6" t="s">
        <v>391</v>
      </c>
      <c r="E4132" s="6" t="s">
        <v>738</v>
      </c>
      <c r="F4132" s="6" t="s">
        <v>283</v>
      </c>
      <c r="G4132" s="6" t="s">
        <v>369</v>
      </c>
      <c r="H4132" s="10">
        <v>46088.0</v>
      </c>
      <c r="I4132" s="12">
        <v>10.0</v>
      </c>
      <c r="J4132" s="6" t="s">
        <v>161</v>
      </c>
    </row>
    <row r="4133" ht="22.5" customHeight="1">
      <c r="A4133" s="6" t="s">
        <v>19331</v>
      </c>
      <c r="B4133" s="6" t="s">
        <v>9655</v>
      </c>
      <c r="C4133" s="10">
        <v>46068.0</v>
      </c>
      <c r="D4133" s="6" t="s">
        <v>312</v>
      </c>
      <c r="E4133" s="6" t="s">
        <v>2365</v>
      </c>
      <c r="F4133" s="6" t="s">
        <v>249</v>
      </c>
      <c r="G4133" s="6" t="s">
        <v>369</v>
      </c>
      <c r="H4133" s="11" t="s">
        <v>259</v>
      </c>
      <c r="I4133" s="12">
        <v>5.0</v>
      </c>
      <c r="J4133" s="6" t="s">
        <v>161</v>
      </c>
    </row>
    <row r="4134" ht="22.5" customHeight="1">
      <c r="A4134" s="6" t="s">
        <v>19335</v>
      </c>
      <c r="B4134" s="6" t="s">
        <v>9655</v>
      </c>
      <c r="C4134" s="10">
        <v>46071.0</v>
      </c>
      <c r="D4134" s="6" t="s">
        <v>416</v>
      </c>
      <c r="E4134" s="6" t="s">
        <v>833</v>
      </c>
      <c r="F4134" s="6" t="s">
        <v>283</v>
      </c>
      <c r="G4134" s="6" t="s">
        <v>452</v>
      </c>
      <c r="H4134" s="10">
        <v>46072.0</v>
      </c>
      <c r="I4134" s="12">
        <v>10.0</v>
      </c>
      <c r="J4134" s="6" t="s">
        <v>161</v>
      </c>
    </row>
    <row r="4135" ht="22.5" customHeight="1">
      <c r="A4135" s="6" t="s">
        <v>19338</v>
      </c>
      <c r="B4135" s="6" t="s">
        <v>9661</v>
      </c>
      <c r="C4135" s="10">
        <v>46056.0</v>
      </c>
      <c r="D4135" s="6" t="s">
        <v>312</v>
      </c>
      <c r="E4135" s="6" t="s">
        <v>695</v>
      </c>
      <c r="F4135" s="6" t="s">
        <v>283</v>
      </c>
      <c r="G4135" s="6" t="s">
        <v>494</v>
      </c>
      <c r="H4135" s="10">
        <v>46057.0</v>
      </c>
      <c r="I4135" s="12">
        <v>6.0</v>
      </c>
      <c r="J4135" s="6" t="s">
        <v>161</v>
      </c>
    </row>
    <row r="4136" ht="22.5" customHeight="1">
      <c r="A4136" s="6" t="s">
        <v>19342</v>
      </c>
      <c r="B4136" s="6" t="s">
        <v>9661</v>
      </c>
      <c r="C4136" s="10">
        <v>46068.0</v>
      </c>
      <c r="D4136" s="6" t="s">
        <v>391</v>
      </c>
      <c r="E4136" s="6" t="s">
        <v>896</v>
      </c>
      <c r="F4136" s="6" t="s">
        <v>283</v>
      </c>
      <c r="G4136" s="6" t="s">
        <v>369</v>
      </c>
      <c r="H4136" s="10">
        <v>46073.0</v>
      </c>
      <c r="I4136" s="12">
        <v>8.0</v>
      </c>
      <c r="J4136" s="6" t="s">
        <v>161</v>
      </c>
    </row>
    <row r="4137" ht="22.5" customHeight="1">
      <c r="A4137" s="6" t="s">
        <v>19345</v>
      </c>
      <c r="B4137" s="6" t="s">
        <v>9661</v>
      </c>
      <c r="C4137" s="10">
        <v>46075.0</v>
      </c>
      <c r="D4137" s="6" t="s">
        <v>677</v>
      </c>
      <c r="E4137" s="6" t="s">
        <v>833</v>
      </c>
      <c r="F4137" s="6" t="s">
        <v>439</v>
      </c>
      <c r="G4137" s="6" t="s">
        <v>458</v>
      </c>
      <c r="H4137" s="10">
        <v>46078.0</v>
      </c>
      <c r="I4137" s="12">
        <v>4.0</v>
      </c>
      <c r="J4137" s="6" t="s">
        <v>161</v>
      </c>
    </row>
    <row r="4138" ht="22.5" customHeight="1">
      <c r="A4138" s="6" t="s">
        <v>19349</v>
      </c>
      <c r="B4138" s="6" t="s">
        <v>9661</v>
      </c>
      <c r="C4138" s="10">
        <v>46064.0</v>
      </c>
      <c r="D4138" s="6" t="s">
        <v>242</v>
      </c>
      <c r="E4138" s="6" t="s">
        <v>670</v>
      </c>
      <c r="F4138" s="6" t="s">
        <v>112</v>
      </c>
      <c r="G4138" s="6" t="s">
        <v>254</v>
      </c>
      <c r="H4138" s="10">
        <v>46068.0</v>
      </c>
      <c r="I4138" s="12">
        <v>6.0</v>
      </c>
      <c r="J4138" s="6" t="s">
        <v>178</v>
      </c>
    </row>
    <row r="4139" ht="22.5" customHeight="1">
      <c r="A4139" s="6" t="s">
        <v>19351</v>
      </c>
      <c r="B4139" s="6" t="s">
        <v>9668</v>
      </c>
      <c r="C4139" s="10">
        <v>46067.0</v>
      </c>
      <c r="D4139" s="6" t="s">
        <v>289</v>
      </c>
      <c r="E4139" s="6" t="s">
        <v>731</v>
      </c>
      <c r="F4139" s="6" t="s">
        <v>439</v>
      </c>
      <c r="G4139" s="6" t="s">
        <v>254</v>
      </c>
      <c r="H4139" s="11" t="s">
        <v>259</v>
      </c>
      <c r="I4139" s="12">
        <v>5.0</v>
      </c>
      <c r="J4139" s="6" t="s">
        <v>161</v>
      </c>
    </row>
    <row r="4140" ht="22.5" customHeight="1">
      <c r="A4140" s="6" t="s">
        <v>19356</v>
      </c>
      <c r="B4140" s="6" t="s">
        <v>9668</v>
      </c>
      <c r="C4140" s="10">
        <v>46073.0</v>
      </c>
      <c r="D4140" s="6" t="s">
        <v>677</v>
      </c>
      <c r="E4140" s="6" t="s">
        <v>2365</v>
      </c>
      <c r="F4140" s="6" t="s">
        <v>112</v>
      </c>
      <c r="G4140" s="6" t="s">
        <v>458</v>
      </c>
      <c r="H4140" s="10">
        <v>46080.0</v>
      </c>
      <c r="I4140" s="12">
        <v>2.0</v>
      </c>
      <c r="J4140" s="6" t="s">
        <v>161</v>
      </c>
    </row>
    <row r="4141" ht="22.5" customHeight="1">
      <c r="A4141" s="6" t="s">
        <v>19362</v>
      </c>
      <c r="B4141" s="6" t="s">
        <v>9675</v>
      </c>
      <c r="C4141" s="10">
        <v>46068.0</v>
      </c>
      <c r="D4141" s="6" t="s">
        <v>416</v>
      </c>
      <c r="E4141" s="6" t="s">
        <v>695</v>
      </c>
      <c r="F4141" s="6" t="s">
        <v>439</v>
      </c>
      <c r="G4141" s="6" t="s">
        <v>452</v>
      </c>
      <c r="H4141" s="10">
        <v>46068.0</v>
      </c>
      <c r="I4141" s="12">
        <v>10.0</v>
      </c>
      <c r="J4141" s="6" t="s">
        <v>161</v>
      </c>
    </row>
    <row r="4142" ht="22.5" customHeight="1">
      <c r="A4142" s="6" t="s">
        <v>19363</v>
      </c>
      <c r="B4142" s="6" t="s">
        <v>9681</v>
      </c>
      <c r="C4142" s="10">
        <v>46046.0</v>
      </c>
      <c r="D4142" s="6" t="s">
        <v>436</v>
      </c>
      <c r="E4142" s="6" t="s">
        <v>955</v>
      </c>
      <c r="F4142" s="6" t="s">
        <v>283</v>
      </c>
      <c r="G4142" s="6" t="s">
        <v>369</v>
      </c>
      <c r="H4142" s="11" t="s">
        <v>259</v>
      </c>
      <c r="I4142" s="12">
        <v>6.0</v>
      </c>
      <c r="J4142" s="6" t="s">
        <v>178</v>
      </c>
    </row>
    <row r="4143" ht="22.5" customHeight="1">
      <c r="A4143" s="6" t="s">
        <v>19367</v>
      </c>
      <c r="B4143" s="6" t="s">
        <v>9681</v>
      </c>
      <c r="C4143" s="10">
        <v>46061.0</v>
      </c>
      <c r="D4143" s="6" t="s">
        <v>677</v>
      </c>
      <c r="E4143" s="6" t="s">
        <v>466</v>
      </c>
      <c r="F4143" s="6" t="s">
        <v>283</v>
      </c>
      <c r="G4143" s="6" t="s">
        <v>494</v>
      </c>
      <c r="H4143" s="10">
        <v>46067.0</v>
      </c>
      <c r="I4143" s="12">
        <v>4.0</v>
      </c>
      <c r="J4143" s="6" t="s">
        <v>161</v>
      </c>
    </row>
    <row r="4144" ht="22.5" customHeight="1">
      <c r="A4144" s="6" t="s">
        <v>19372</v>
      </c>
      <c r="B4144" s="6" t="s">
        <v>9681</v>
      </c>
      <c r="C4144" s="10">
        <v>46056.0</v>
      </c>
      <c r="D4144" s="6" t="s">
        <v>242</v>
      </c>
      <c r="E4144" s="6" t="s">
        <v>833</v>
      </c>
      <c r="F4144" s="6" t="s">
        <v>112</v>
      </c>
      <c r="G4144" s="6" t="s">
        <v>494</v>
      </c>
      <c r="H4144" s="10">
        <v>46061.0</v>
      </c>
      <c r="I4144" s="12">
        <v>3.0</v>
      </c>
      <c r="J4144" s="6" t="s">
        <v>178</v>
      </c>
    </row>
    <row r="4145" ht="22.5" customHeight="1">
      <c r="A4145" s="6" t="s">
        <v>19378</v>
      </c>
      <c r="B4145" s="6" t="s">
        <v>9681</v>
      </c>
      <c r="C4145" s="10">
        <v>46065.0</v>
      </c>
      <c r="D4145" s="6" t="s">
        <v>289</v>
      </c>
      <c r="E4145" s="6" t="s">
        <v>2365</v>
      </c>
      <c r="F4145" s="6" t="s">
        <v>283</v>
      </c>
      <c r="G4145" s="6" t="s">
        <v>452</v>
      </c>
      <c r="H4145" s="10">
        <v>46069.0</v>
      </c>
      <c r="I4145" s="12">
        <v>5.0</v>
      </c>
      <c r="J4145" s="6" t="s">
        <v>161</v>
      </c>
    </row>
    <row r="4146" ht="22.5" customHeight="1">
      <c r="A4146" s="6" t="s">
        <v>19382</v>
      </c>
      <c r="B4146" s="6" t="s">
        <v>9681</v>
      </c>
      <c r="C4146" s="10">
        <v>46064.0</v>
      </c>
      <c r="D4146" s="6" t="s">
        <v>677</v>
      </c>
      <c r="E4146" s="6" t="s">
        <v>787</v>
      </c>
      <c r="F4146" s="6" t="s">
        <v>283</v>
      </c>
      <c r="G4146" s="6" t="s">
        <v>297</v>
      </c>
      <c r="H4146" s="10">
        <v>46069.0</v>
      </c>
      <c r="I4146" s="12">
        <v>4.0</v>
      </c>
      <c r="J4146" s="6" t="s">
        <v>161</v>
      </c>
    </row>
    <row r="4147" ht="22.5" customHeight="1">
      <c r="A4147" s="6" t="s">
        <v>19388</v>
      </c>
      <c r="B4147" s="6" t="s">
        <v>9689</v>
      </c>
      <c r="C4147" s="10">
        <v>46068.0</v>
      </c>
      <c r="D4147" s="6" t="s">
        <v>312</v>
      </c>
      <c r="E4147" s="6" t="s">
        <v>812</v>
      </c>
      <c r="F4147" s="6" t="s">
        <v>249</v>
      </c>
      <c r="G4147" s="6" t="s">
        <v>452</v>
      </c>
      <c r="H4147" s="10">
        <v>46070.0</v>
      </c>
      <c r="I4147" s="12">
        <v>7.0</v>
      </c>
      <c r="J4147" s="6" t="s">
        <v>161</v>
      </c>
    </row>
    <row r="4148" ht="22.5" customHeight="1">
      <c r="A4148" s="6" t="s">
        <v>19391</v>
      </c>
      <c r="B4148" s="6" t="s">
        <v>9696</v>
      </c>
      <c r="C4148" s="10">
        <v>46026.0</v>
      </c>
      <c r="D4148" s="6" t="s">
        <v>289</v>
      </c>
      <c r="E4148" s="6" t="s">
        <v>628</v>
      </c>
      <c r="F4148" s="6" t="s">
        <v>283</v>
      </c>
      <c r="G4148" s="6" t="s">
        <v>477</v>
      </c>
      <c r="H4148" s="10">
        <v>46027.0</v>
      </c>
      <c r="I4148" s="12">
        <v>6.0</v>
      </c>
      <c r="J4148" s="6" t="s">
        <v>161</v>
      </c>
    </row>
    <row r="4149" ht="22.5" customHeight="1">
      <c r="A4149" s="6" t="s">
        <v>19395</v>
      </c>
      <c r="B4149" s="6" t="s">
        <v>9696</v>
      </c>
      <c r="C4149" s="10">
        <v>46031.0</v>
      </c>
      <c r="D4149" s="6" t="s">
        <v>242</v>
      </c>
      <c r="E4149" s="6" t="s">
        <v>512</v>
      </c>
      <c r="F4149" s="6" t="s">
        <v>283</v>
      </c>
      <c r="G4149" s="6" t="s">
        <v>369</v>
      </c>
      <c r="H4149" s="10">
        <v>46038.0</v>
      </c>
      <c r="I4149" s="12">
        <v>6.0</v>
      </c>
      <c r="J4149" s="6" t="s">
        <v>178</v>
      </c>
    </row>
    <row r="4150" ht="22.5" customHeight="1">
      <c r="A4150" s="6" t="s">
        <v>19401</v>
      </c>
      <c r="B4150" s="6" t="s">
        <v>9696</v>
      </c>
      <c r="C4150" s="10">
        <v>46036.0</v>
      </c>
      <c r="D4150" s="6" t="s">
        <v>289</v>
      </c>
      <c r="E4150" s="6" t="s">
        <v>896</v>
      </c>
      <c r="F4150" s="6" t="s">
        <v>283</v>
      </c>
      <c r="G4150" s="6" t="s">
        <v>494</v>
      </c>
      <c r="H4150" s="10">
        <v>46042.0</v>
      </c>
      <c r="I4150" s="12">
        <v>10.0</v>
      </c>
      <c r="J4150" s="6" t="s">
        <v>161</v>
      </c>
    </row>
    <row r="4151" ht="22.5" customHeight="1">
      <c r="A4151" s="6" t="s">
        <v>19407</v>
      </c>
      <c r="B4151" s="6" t="s">
        <v>9696</v>
      </c>
      <c r="C4151" s="10">
        <v>46038.0</v>
      </c>
      <c r="D4151" s="6" t="s">
        <v>289</v>
      </c>
      <c r="E4151" s="6" t="s">
        <v>1296</v>
      </c>
      <c r="F4151" s="6" t="s">
        <v>439</v>
      </c>
      <c r="G4151" s="6" t="s">
        <v>369</v>
      </c>
      <c r="H4151" s="11" t="s">
        <v>259</v>
      </c>
      <c r="I4151" s="12">
        <v>10.0</v>
      </c>
      <c r="J4151" s="6" t="s">
        <v>161</v>
      </c>
    </row>
    <row r="4152" ht="22.5" customHeight="1">
      <c r="A4152" s="6" t="s">
        <v>19410</v>
      </c>
      <c r="B4152" s="6" t="s">
        <v>9696</v>
      </c>
      <c r="C4152" s="10">
        <v>46028.0</v>
      </c>
      <c r="D4152" s="6" t="s">
        <v>677</v>
      </c>
      <c r="E4152" s="6" t="s">
        <v>704</v>
      </c>
      <c r="F4152" s="6" t="s">
        <v>283</v>
      </c>
      <c r="G4152" s="6" t="s">
        <v>254</v>
      </c>
      <c r="H4152" s="10">
        <v>46035.0</v>
      </c>
      <c r="I4152" s="12">
        <v>4.0</v>
      </c>
      <c r="J4152" s="6" t="s">
        <v>161</v>
      </c>
    </row>
    <row r="4153" ht="22.5" customHeight="1">
      <c r="A4153" s="6" t="s">
        <v>19414</v>
      </c>
      <c r="B4153" s="6" t="s">
        <v>9703</v>
      </c>
      <c r="C4153" s="10">
        <v>46048.0</v>
      </c>
      <c r="D4153" s="6" t="s">
        <v>416</v>
      </c>
      <c r="E4153" s="6" t="s">
        <v>1296</v>
      </c>
      <c r="F4153" s="6" t="s">
        <v>439</v>
      </c>
      <c r="G4153" s="6" t="s">
        <v>477</v>
      </c>
      <c r="H4153" s="11" t="s">
        <v>259</v>
      </c>
      <c r="I4153" s="12">
        <v>13.0</v>
      </c>
      <c r="J4153" s="6" t="s">
        <v>161</v>
      </c>
    </row>
    <row r="4154" ht="22.5" customHeight="1">
      <c r="A4154" s="6" t="s">
        <v>19419</v>
      </c>
      <c r="B4154" s="6" t="s">
        <v>9703</v>
      </c>
      <c r="C4154" s="10">
        <v>46041.0</v>
      </c>
      <c r="D4154" s="6" t="s">
        <v>677</v>
      </c>
      <c r="E4154" s="6" t="s">
        <v>1035</v>
      </c>
      <c r="F4154" s="6" t="s">
        <v>439</v>
      </c>
      <c r="G4154" s="6" t="s">
        <v>254</v>
      </c>
      <c r="H4154" s="10">
        <v>46045.0</v>
      </c>
      <c r="I4154" s="12">
        <v>3.0</v>
      </c>
      <c r="J4154" s="6" t="s">
        <v>161</v>
      </c>
    </row>
    <row r="4155" ht="22.5" customHeight="1">
      <c r="A4155" s="6" t="s">
        <v>19422</v>
      </c>
      <c r="B4155" s="6" t="s">
        <v>9703</v>
      </c>
      <c r="C4155" s="10">
        <v>46035.0</v>
      </c>
      <c r="D4155" s="6" t="s">
        <v>391</v>
      </c>
      <c r="E4155" s="6" t="s">
        <v>670</v>
      </c>
      <c r="F4155" s="6" t="s">
        <v>283</v>
      </c>
      <c r="G4155" s="6" t="s">
        <v>254</v>
      </c>
      <c r="H4155" s="11" t="s">
        <v>259</v>
      </c>
      <c r="I4155" s="12">
        <v>6.0</v>
      </c>
      <c r="J4155" s="6" t="s">
        <v>161</v>
      </c>
    </row>
    <row r="4156" ht="22.5" customHeight="1">
      <c r="A4156" s="6" t="s">
        <v>19427</v>
      </c>
      <c r="B4156" s="6" t="s">
        <v>9703</v>
      </c>
      <c r="C4156" s="10">
        <v>46043.0</v>
      </c>
      <c r="D4156" s="6" t="s">
        <v>289</v>
      </c>
      <c r="E4156" s="6" t="s">
        <v>320</v>
      </c>
      <c r="F4156" s="6" t="s">
        <v>439</v>
      </c>
      <c r="G4156" s="6" t="s">
        <v>452</v>
      </c>
      <c r="H4156" s="11" t="s">
        <v>259</v>
      </c>
      <c r="I4156" s="12">
        <v>9.0</v>
      </c>
      <c r="J4156" s="6" t="s">
        <v>161</v>
      </c>
    </row>
    <row r="4157" ht="22.5" customHeight="1">
      <c r="A4157" s="6" t="s">
        <v>19433</v>
      </c>
      <c r="B4157" s="6" t="s">
        <v>9711</v>
      </c>
      <c r="C4157" s="10">
        <v>46052.0</v>
      </c>
      <c r="D4157" s="6" t="s">
        <v>677</v>
      </c>
      <c r="E4157" s="6" t="s">
        <v>955</v>
      </c>
      <c r="F4157" s="6" t="s">
        <v>112</v>
      </c>
      <c r="G4157" s="6" t="s">
        <v>458</v>
      </c>
      <c r="H4157" s="10">
        <v>46055.0</v>
      </c>
      <c r="I4157" s="12">
        <v>2.0</v>
      </c>
      <c r="J4157" s="6" t="s">
        <v>161</v>
      </c>
    </row>
    <row r="4158" ht="22.5" customHeight="1">
      <c r="A4158" s="6" t="s">
        <v>19436</v>
      </c>
      <c r="B4158" s="6" t="s">
        <v>9717</v>
      </c>
      <c r="C4158" s="10">
        <v>46049.0</v>
      </c>
      <c r="D4158" s="6" t="s">
        <v>677</v>
      </c>
      <c r="E4158" s="6" t="s">
        <v>1280</v>
      </c>
      <c r="F4158" s="6" t="s">
        <v>112</v>
      </c>
      <c r="G4158" s="6" t="s">
        <v>326</v>
      </c>
      <c r="H4158" s="10">
        <v>46054.0</v>
      </c>
      <c r="I4158" s="12">
        <v>3.0</v>
      </c>
      <c r="J4158" s="6" t="s">
        <v>161</v>
      </c>
    </row>
    <row r="4159" ht="22.5" customHeight="1">
      <c r="A4159" s="6" t="s">
        <v>19441</v>
      </c>
      <c r="B4159" s="6" t="s">
        <v>9717</v>
      </c>
      <c r="C4159" s="10">
        <v>46041.0</v>
      </c>
      <c r="D4159" s="6" t="s">
        <v>391</v>
      </c>
      <c r="E4159" s="6" t="s">
        <v>628</v>
      </c>
      <c r="F4159" s="6" t="s">
        <v>439</v>
      </c>
      <c r="G4159" s="6" t="s">
        <v>494</v>
      </c>
      <c r="H4159" s="11" t="s">
        <v>259</v>
      </c>
      <c r="I4159" s="12">
        <v>10.0</v>
      </c>
      <c r="J4159" s="6" t="s">
        <v>161</v>
      </c>
    </row>
    <row r="4160" ht="22.5" customHeight="1">
      <c r="A4160" s="6" t="s">
        <v>19446</v>
      </c>
      <c r="B4160" s="6" t="s">
        <v>9717</v>
      </c>
      <c r="C4160" s="10">
        <v>46034.0</v>
      </c>
      <c r="D4160" s="6" t="s">
        <v>677</v>
      </c>
      <c r="E4160" s="6" t="s">
        <v>1552</v>
      </c>
      <c r="F4160" s="6" t="s">
        <v>112</v>
      </c>
      <c r="G4160" s="6" t="s">
        <v>452</v>
      </c>
      <c r="H4160" s="11" t="s">
        <v>259</v>
      </c>
      <c r="I4160" s="12">
        <v>2.0</v>
      </c>
      <c r="J4160" s="6" t="s">
        <v>161</v>
      </c>
    </row>
    <row r="4161" ht="22.5" customHeight="1">
      <c r="A4161" s="6" t="s">
        <v>19449</v>
      </c>
      <c r="B4161" s="6" t="s">
        <v>9717</v>
      </c>
      <c r="C4161" s="10">
        <v>46035.0</v>
      </c>
      <c r="D4161" s="6" t="s">
        <v>312</v>
      </c>
      <c r="E4161" s="6" t="s">
        <v>566</v>
      </c>
      <c r="F4161" s="6" t="s">
        <v>439</v>
      </c>
      <c r="G4161" s="6" t="s">
        <v>477</v>
      </c>
      <c r="H4161" s="10">
        <v>46036.0</v>
      </c>
      <c r="I4161" s="12">
        <v>4.0</v>
      </c>
      <c r="J4161" s="6" t="s">
        <v>161</v>
      </c>
    </row>
    <row r="4162" ht="22.5" customHeight="1">
      <c r="A4162" s="6" t="s">
        <v>19454</v>
      </c>
      <c r="B4162" s="6" t="s">
        <v>9717</v>
      </c>
      <c r="C4162" s="10">
        <v>46029.0</v>
      </c>
      <c r="D4162" s="6" t="s">
        <v>242</v>
      </c>
      <c r="E4162" s="6" t="s">
        <v>1570</v>
      </c>
      <c r="F4162" s="6" t="s">
        <v>283</v>
      </c>
      <c r="G4162" s="6" t="s">
        <v>458</v>
      </c>
      <c r="H4162" s="10">
        <v>46032.0</v>
      </c>
      <c r="I4162" s="12">
        <v>4.0</v>
      </c>
      <c r="J4162" s="6" t="s">
        <v>161</v>
      </c>
    </row>
    <row r="4163" ht="22.5" customHeight="1">
      <c r="A4163" s="6" t="s">
        <v>19459</v>
      </c>
      <c r="B4163" s="6" t="s">
        <v>9724</v>
      </c>
      <c r="C4163" s="10">
        <v>46046.0</v>
      </c>
      <c r="D4163" s="6" t="s">
        <v>391</v>
      </c>
      <c r="E4163" s="6" t="s">
        <v>704</v>
      </c>
      <c r="F4163" s="6" t="s">
        <v>283</v>
      </c>
      <c r="G4163" s="6" t="s">
        <v>452</v>
      </c>
      <c r="H4163" s="10">
        <v>46049.0</v>
      </c>
      <c r="I4163" s="12">
        <v>9.0</v>
      </c>
      <c r="J4163" s="6" t="s">
        <v>161</v>
      </c>
    </row>
    <row r="4164" ht="22.5" customHeight="1">
      <c r="A4164" s="6" t="s">
        <v>19464</v>
      </c>
      <c r="B4164" s="6" t="s">
        <v>9724</v>
      </c>
      <c r="C4164" s="10">
        <v>46044.0</v>
      </c>
      <c r="D4164" s="6" t="s">
        <v>416</v>
      </c>
      <c r="E4164" s="6" t="s">
        <v>863</v>
      </c>
      <c r="F4164" s="6" t="s">
        <v>439</v>
      </c>
      <c r="G4164" s="6" t="s">
        <v>458</v>
      </c>
      <c r="H4164" s="10">
        <v>46051.0</v>
      </c>
      <c r="I4164" s="12">
        <v>12.0</v>
      </c>
      <c r="J4164" s="6" t="s">
        <v>161</v>
      </c>
    </row>
    <row r="4165" ht="22.5" customHeight="1">
      <c r="A4165" s="6" t="s">
        <v>19468</v>
      </c>
      <c r="B4165" s="6" t="s">
        <v>9724</v>
      </c>
      <c r="C4165" s="10">
        <v>46056.0</v>
      </c>
      <c r="D4165" s="6" t="s">
        <v>242</v>
      </c>
      <c r="E4165" s="6" t="s">
        <v>2881</v>
      </c>
      <c r="F4165" s="6" t="s">
        <v>249</v>
      </c>
      <c r="G4165" s="6" t="s">
        <v>452</v>
      </c>
      <c r="H4165" s="10">
        <v>46057.0</v>
      </c>
      <c r="I4165" s="12">
        <v>5.0</v>
      </c>
      <c r="J4165" s="6" t="s">
        <v>178</v>
      </c>
    </row>
    <row r="4166" ht="22.5" customHeight="1">
      <c r="A4166" s="6" t="s">
        <v>19472</v>
      </c>
      <c r="B4166" s="6" t="s">
        <v>9724</v>
      </c>
      <c r="C4166" s="10">
        <v>46051.0</v>
      </c>
      <c r="D4166" s="6" t="s">
        <v>242</v>
      </c>
      <c r="E4166" s="6" t="s">
        <v>1055</v>
      </c>
      <c r="F4166" s="6" t="s">
        <v>439</v>
      </c>
      <c r="G4166" s="6" t="s">
        <v>326</v>
      </c>
      <c r="H4166" s="10">
        <v>46058.0</v>
      </c>
      <c r="I4166" s="12">
        <v>3.0</v>
      </c>
      <c r="J4166" s="6" t="s">
        <v>178</v>
      </c>
    </row>
    <row r="4167" ht="22.5" customHeight="1">
      <c r="A4167" s="6" t="s">
        <v>19477</v>
      </c>
      <c r="B4167" s="6" t="s">
        <v>9730</v>
      </c>
      <c r="C4167" s="10">
        <v>46045.0</v>
      </c>
      <c r="D4167" s="6" t="s">
        <v>242</v>
      </c>
      <c r="E4167" s="6" t="s">
        <v>787</v>
      </c>
      <c r="F4167" s="6" t="s">
        <v>283</v>
      </c>
      <c r="G4167" s="6" t="s">
        <v>326</v>
      </c>
      <c r="H4167" s="10">
        <v>46049.0</v>
      </c>
      <c r="I4167" s="12">
        <v>4.0</v>
      </c>
      <c r="J4167" s="6" t="s">
        <v>161</v>
      </c>
    </row>
    <row r="4168" ht="22.5" customHeight="1">
      <c r="A4168" s="6" t="s">
        <v>19480</v>
      </c>
      <c r="B4168" s="6" t="s">
        <v>9730</v>
      </c>
      <c r="C4168" s="10">
        <v>46043.0</v>
      </c>
      <c r="D4168" s="6" t="s">
        <v>312</v>
      </c>
      <c r="E4168" s="6" t="s">
        <v>1296</v>
      </c>
      <c r="F4168" s="6" t="s">
        <v>439</v>
      </c>
      <c r="G4168" s="6" t="s">
        <v>477</v>
      </c>
      <c r="H4168" s="10">
        <v>46043.0</v>
      </c>
      <c r="I4168" s="12">
        <v>5.0</v>
      </c>
      <c r="J4168" s="6" t="s">
        <v>161</v>
      </c>
    </row>
    <row r="4169" ht="22.5" customHeight="1">
      <c r="A4169" s="6" t="s">
        <v>19484</v>
      </c>
      <c r="B4169" s="6" t="s">
        <v>9730</v>
      </c>
      <c r="C4169" s="10">
        <v>46040.0</v>
      </c>
      <c r="D4169" s="6" t="s">
        <v>677</v>
      </c>
      <c r="E4169" s="6" t="s">
        <v>658</v>
      </c>
      <c r="F4169" s="6" t="s">
        <v>112</v>
      </c>
      <c r="G4169" s="6" t="s">
        <v>326</v>
      </c>
      <c r="H4169" s="10">
        <v>46040.0</v>
      </c>
      <c r="I4169" s="12">
        <v>3.0</v>
      </c>
      <c r="J4169" s="6" t="s">
        <v>161</v>
      </c>
    </row>
    <row r="4170" ht="22.5" customHeight="1">
      <c r="A4170" s="6" t="s">
        <v>19487</v>
      </c>
      <c r="B4170" s="6" t="s">
        <v>9737</v>
      </c>
      <c r="C4170" s="10">
        <v>46055.0</v>
      </c>
      <c r="D4170" s="6" t="s">
        <v>677</v>
      </c>
      <c r="E4170" s="6" t="s">
        <v>438</v>
      </c>
      <c r="F4170" s="6" t="s">
        <v>112</v>
      </c>
      <c r="G4170" s="6" t="s">
        <v>494</v>
      </c>
      <c r="H4170" s="10">
        <v>46056.0</v>
      </c>
      <c r="I4170" s="12">
        <v>2.0</v>
      </c>
      <c r="J4170" s="6" t="s">
        <v>161</v>
      </c>
    </row>
    <row r="4171" ht="22.5" customHeight="1">
      <c r="A4171" s="6" t="s">
        <v>19492</v>
      </c>
      <c r="B4171" s="6" t="s">
        <v>9744</v>
      </c>
      <c r="C4171" s="10">
        <v>46034.0</v>
      </c>
      <c r="D4171" s="6" t="s">
        <v>289</v>
      </c>
      <c r="E4171" s="6" t="s">
        <v>704</v>
      </c>
      <c r="F4171" s="6" t="s">
        <v>439</v>
      </c>
      <c r="G4171" s="6" t="s">
        <v>297</v>
      </c>
      <c r="H4171" s="11" t="s">
        <v>259</v>
      </c>
      <c r="I4171" s="12">
        <v>10.0</v>
      </c>
      <c r="J4171" s="6" t="s">
        <v>161</v>
      </c>
    </row>
    <row r="4172" ht="22.5" customHeight="1">
      <c r="A4172" s="6" t="s">
        <v>19497</v>
      </c>
      <c r="B4172" s="6" t="s">
        <v>9744</v>
      </c>
      <c r="C4172" s="10">
        <v>46032.0</v>
      </c>
      <c r="D4172" s="6" t="s">
        <v>242</v>
      </c>
      <c r="E4172" s="6" t="s">
        <v>731</v>
      </c>
      <c r="F4172" s="6" t="s">
        <v>112</v>
      </c>
      <c r="G4172" s="6" t="s">
        <v>494</v>
      </c>
      <c r="H4172" s="10">
        <v>46036.0</v>
      </c>
      <c r="I4172" s="12">
        <v>3.0</v>
      </c>
      <c r="J4172" s="6" t="s">
        <v>161</v>
      </c>
    </row>
    <row r="4173" ht="22.5" customHeight="1">
      <c r="A4173" s="6" t="s">
        <v>19500</v>
      </c>
      <c r="B4173" s="6" t="s">
        <v>9750</v>
      </c>
      <c r="C4173" s="10">
        <v>46077.0</v>
      </c>
      <c r="D4173" s="6" t="s">
        <v>289</v>
      </c>
      <c r="E4173" s="6" t="s">
        <v>1386</v>
      </c>
      <c r="F4173" s="6" t="s">
        <v>283</v>
      </c>
      <c r="G4173" s="6" t="s">
        <v>494</v>
      </c>
      <c r="H4173" s="10">
        <v>46082.0</v>
      </c>
      <c r="I4173" s="12">
        <v>10.0</v>
      </c>
      <c r="J4173" s="6" t="s">
        <v>161</v>
      </c>
    </row>
    <row r="4174" ht="22.5" customHeight="1">
      <c r="A4174" s="6" t="s">
        <v>19503</v>
      </c>
      <c r="B4174" s="6" t="s">
        <v>9750</v>
      </c>
      <c r="C4174" s="10">
        <v>46071.0</v>
      </c>
      <c r="D4174" s="6" t="s">
        <v>312</v>
      </c>
      <c r="E4174" s="6" t="s">
        <v>731</v>
      </c>
      <c r="F4174" s="6" t="s">
        <v>249</v>
      </c>
      <c r="G4174" s="6" t="s">
        <v>458</v>
      </c>
      <c r="H4174" s="10">
        <v>46078.0</v>
      </c>
      <c r="I4174" s="12">
        <v>6.0</v>
      </c>
      <c r="J4174" s="6" t="s">
        <v>161</v>
      </c>
    </row>
    <row r="4175" ht="22.5" customHeight="1">
      <c r="A4175" s="6" t="s">
        <v>19508</v>
      </c>
      <c r="B4175" s="6" t="s">
        <v>9750</v>
      </c>
      <c r="C4175" s="10">
        <v>46077.0</v>
      </c>
      <c r="D4175" s="6" t="s">
        <v>289</v>
      </c>
      <c r="E4175" s="6" t="s">
        <v>670</v>
      </c>
      <c r="F4175" s="6" t="s">
        <v>283</v>
      </c>
      <c r="G4175" s="6" t="s">
        <v>494</v>
      </c>
      <c r="H4175" s="10">
        <v>46082.0</v>
      </c>
      <c r="I4175" s="12">
        <v>10.0</v>
      </c>
      <c r="J4175" s="6" t="s">
        <v>161</v>
      </c>
    </row>
    <row r="4176" ht="22.5" customHeight="1">
      <c r="A4176" s="6" t="s">
        <v>19511</v>
      </c>
      <c r="B4176" s="6" t="s">
        <v>9757</v>
      </c>
      <c r="C4176" s="10">
        <v>46059.0</v>
      </c>
      <c r="D4176" s="6" t="s">
        <v>416</v>
      </c>
      <c r="E4176" s="6" t="s">
        <v>787</v>
      </c>
      <c r="F4176" s="6" t="s">
        <v>283</v>
      </c>
      <c r="G4176" s="6" t="s">
        <v>452</v>
      </c>
      <c r="H4176" s="10">
        <v>46066.0</v>
      </c>
      <c r="I4176" s="12">
        <v>13.0</v>
      </c>
      <c r="J4176" s="6" t="s">
        <v>161</v>
      </c>
    </row>
    <row r="4177" ht="22.5" customHeight="1">
      <c r="A4177" s="6" t="s">
        <v>19515</v>
      </c>
      <c r="B4177" s="6" t="s">
        <v>9757</v>
      </c>
      <c r="C4177" s="10">
        <v>46055.0</v>
      </c>
      <c r="D4177" s="6" t="s">
        <v>289</v>
      </c>
      <c r="E4177" s="6" t="s">
        <v>2365</v>
      </c>
      <c r="F4177" s="6" t="s">
        <v>283</v>
      </c>
      <c r="G4177" s="6" t="s">
        <v>254</v>
      </c>
      <c r="H4177" s="10">
        <v>46059.0</v>
      </c>
      <c r="I4177" s="12">
        <v>9.0</v>
      </c>
      <c r="J4177" s="6" t="s">
        <v>161</v>
      </c>
    </row>
    <row r="4178" ht="22.5" customHeight="1">
      <c r="A4178" s="6" t="s">
        <v>19520</v>
      </c>
      <c r="B4178" s="6" t="s">
        <v>9757</v>
      </c>
      <c r="C4178" s="10">
        <v>46061.0</v>
      </c>
      <c r="D4178" s="6" t="s">
        <v>289</v>
      </c>
      <c r="E4178" s="6" t="s">
        <v>658</v>
      </c>
      <c r="F4178" s="6" t="s">
        <v>249</v>
      </c>
      <c r="G4178" s="6" t="s">
        <v>458</v>
      </c>
      <c r="H4178" s="10">
        <v>46065.0</v>
      </c>
      <c r="I4178" s="12">
        <v>8.0</v>
      </c>
      <c r="J4178" s="6" t="s">
        <v>161</v>
      </c>
    </row>
    <row r="4179" ht="22.5" customHeight="1">
      <c r="A4179" s="6" t="s">
        <v>19525</v>
      </c>
      <c r="B4179" s="6" t="s">
        <v>9763</v>
      </c>
      <c r="C4179" s="10">
        <v>46073.0</v>
      </c>
      <c r="D4179" s="6" t="s">
        <v>312</v>
      </c>
      <c r="E4179" s="6" t="s">
        <v>704</v>
      </c>
      <c r="F4179" s="6" t="s">
        <v>249</v>
      </c>
      <c r="G4179" s="6" t="s">
        <v>494</v>
      </c>
      <c r="H4179" s="10">
        <v>46080.0</v>
      </c>
      <c r="I4179" s="12">
        <v>4.0</v>
      </c>
      <c r="J4179" s="6" t="s">
        <v>161</v>
      </c>
    </row>
    <row r="4180" ht="22.5" customHeight="1">
      <c r="A4180" s="6" t="s">
        <v>19530</v>
      </c>
      <c r="B4180" s="6" t="s">
        <v>9763</v>
      </c>
      <c r="C4180" s="10">
        <v>46070.0</v>
      </c>
      <c r="D4180" s="6" t="s">
        <v>416</v>
      </c>
      <c r="E4180" s="6" t="s">
        <v>466</v>
      </c>
      <c r="F4180" s="6" t="s">
        <v>249</v>
      </c>
      <c r="G4180" s="6" t="s">
        <v>326</v>
      </c>
      <c r="H4180" s="10">
        <v>46073.0</v>
      </c>
      <c r="I4180" s="12">
        <v>8.0</v>
      </c>
      <c r="J4180" s="6" t="s">
        <v>161</v>
      </c>
    </row>
    <row r="4181" ht="22.5" customHeight="1">
      <c r="A4181" s="6" t="s">
        <v>19535</v>
      </c>
      <c r="B4181" s="6" t="s">
        <v>9769</v>
      </c>
      <c r="C4181" s="10">
        <v>46040.0</v>
      </c>
      <c r="D4181" s="6" t="s">
        <v>436</v>
      </c>
      <c r="E4181" s="6" t="s">
        <v>670</v>
      </c>
      <c r="F4181" s="6" t="s">
        <v>283</v>
      </c>
      <c r="G4181" s="6" t="s">
        <v>326</v>
      </c>
      <c r="H4181" s="10">
        <v>46042.0</v>
      </c>
      <c r="I4181" s="12">
        <v>8.0</v>
      </c>
      <c r="J4181" s="6" t="s">
        <v>178</v>
      </c>
    </row>
    <row r="4182" ht="22.5" customHeight="1">
      <c r="A4182" s="6" t="s">
        <v>19540</v>
      </c>
      <c r="B4182" s="6" t="s">
        <v>9769</v>
      </c>
      <c r="C4182" s="10">
        <v>46030.0</v>
      </c>
      <c r="D4182" s="6" t="s">
        <v>289</v>
      </c>
      <c r="E4182" s="6" t="s">
        <v>610</v>
      </c>
      <c r="F4182" s="6" t="s">
        <v>112</v>
      </c>
      <c r="G4182" s="6" t="s">
        <v>458</v>
      </c>
      <c r="H4182" s="10">
        <v>46032.0</v>
      </c>
      <c r="I4182" s="12">
        <v>8.0</v>
      </c>
      <c r="J4182" s="6" t="s">
        <v>161</v>
      </c>
    </row>
    <row r="4183" ht="22.5" customHeight="1">
      <c r="A4183" s="6" t="s">
        <v>19543</v>
      </c>
      <c r="B4183" s="6" t="s">
        <v>9769</v>
      </c>
      <c r="C4183" s="10">
        <v>46038.0</v>
      </c>
      <c r="D4183" s="6" t="s">
        <v>416</v>
      </c>
      <c r="E4183" s="6" t="s">
        <v>1149</v>
      </c>
      <c r="F4183" s="6" t="s">
        <v>249</v>
      </c>
      <c r="G4183" s="6" t="s">
        <v>326</v>
      </c>
      <c r="H4183" s="10">
        <v>46041.0</v>
      </c>
      <c r="I4183" s="12">
        <v>12.0</v>
      </c>
      <c r="J4183" s="6" t="s">
        <v>161</v>
      </c>
    </row>
    <row r="4184" ht="22.5" customHeight="1">
      <c r="A4184" s="6" t="s">
        <v>19547</v>
      </c>
      <c r="B4184" s="6" t="s">
        <v>9776</v>
      </c>
      <c r="C4184" s="10">
        <v>46048.0</v>
      </c>
      <c r="D4184" s="6" t="s">
        <v>242</v>
      </c>
      <c r="E4184" s="6" t="s">
        <v>695</v>
      </c>
      <c r="F4184" s="6" t="s">
        <v>283</v>
      </c>
      <c r="G4184" s="6" t="s">
        <v>326</v>
      </c>
      <c r="H4184" s="10">
        <v>46051.0</v>
      </c>
      <c r="I4184" s="12">
        <v>5.0</v>
      </c>
      <c r="J4184" s="6" t="s">
        <v>178</v>
      </c>
    </row>
    <row r="4185" ht="22.5" customHeight="1">
      <c r="A4185" s="6" t="s">
        <v>19550</v>
      </c>
      <c r="B4185" s="6" t="s">
        <v>9776</v>
      </c>
      <c r="C4185" s="10">
        <v>46054.0</v>
      </c>
      <c r="D4185" s="6" t="s">
        <v>677</v>
      </c>
      <c r="E4185" s="6" t="s">
        <v>1273</v>
      </c>
      <c r="F4185" s="6" t="s">
        <v>112</v>
      </c>
      <c r="G4185" s="6" t="s">
        <v>297</v>
      </c>
      <c r="H4185" s="10">
        <v>46061.0</v>
      </c>
      <c r="I4185" s="12">
        <v>2.0</v>
      </c>
      <c r="J4185" s="6" t="s">
        <v>161</v>
      </c>
    </row>
    <row r="4186" ht="22.5" customHeight="1">
      <c r="A4186" s="6" t="s">
        <v>19554</v>
      </c>
      <c r="B4186" s="6" t="s">
        <v>9782</v>
      </c>
      <c r="C4186" s="10">
        <v>46050.0</v>
      </c>
      <c r="D4186" s="6" t="s">
        <v>416</v>
      </c>
      <c r="E4186" s="6" t="s">
        <v>863</v>
      </c>
      <c r="F4186" s="6" t="s">
        <v>112</v>
      </c>
      <c r="G4186" s="6" t="s">
        <v>326</v>
      </c>
      <c r="H4186" s="10">
        <v>46051.0</v>
      </c>
      <c r="I4186" s="12">
        <v>10.0</v>
      </c>
      <c r="J4186" s="6" t="s">
        <v>161</v>
      </c>
    </row>
    <row r="4187" ht="22.5" customHeight="1">
      <c r="A4187" s="6" t="s">
        <v>19556</v>
      </c>
      <c r="B4187" s="6" t="s">
        <v>9782</v>
      </c>
      <c r="C4187" s="10">
        <v>46042.0</v>
      </c>
      <c r="D4187" s="6" t="s">
        <v>677</v>
      </c>
      <c r="E4187" s="6" t="s">
        <v>1546</v>
      </c>
      <c r="F4187" s="6" t="s">
        <v>439</v>
      </c>
      <c r="G4187" s="6" t="s">
        <v>369</v>
      </c>
      <c r="H4187" s="10">
        <v>46042.0</v>
      </c>
      <c r="I4187" s="12">
        <v>3.0</v>
      </c>
      <c r="J4187" s="6" t="s">
        <v>161</v>
      </c>
    </row>
    <row r="4188" ht="22.5" customHeight="1">
      <c r="A4188" s="6" t="s">
        <v>19561</v>
      </c>
      <c r="B4188" s="6" t="s">
        <v>9782</v>
      </c>
      <c r="C4188" s="10">
        <v>46045.0</v>
      </c>
      <c r="D4188" s="6" t="s">
        <v>289</v>
      </c>
      <c r="E4188" s="6" t="s">
        <v>695</v>
      </c>
      <c r="F4188" s="6" t="s">
        <v>283</v>
      </c>
      <c r="G4188" s="6" t="s">
        <v>477</v>
      </c>
      <c r="H4188" s="10">
        <v>46046.0</v>
      </c>
      <c r="I4188" s="12">
        <v>10.0</v>
      </c>
      <c r="J4188" s="6" t="s">
        <v>161</v>
      </c>
    </row>
    <row r="4189" ht="22.5" customHeight="1">
      <c r="A4189" s="6" t="s">
        <v>19566</v>
      </c>
      <c r="B4189" s="6" t="s">
        <v>9782</v>
      </c>
      <c r="C4189" s="10">
        <v>46043.0</v>
      </c>
      <c r="D4189" s="6" t="s">
        <v>289</v>
      </c>
      <c r="E4189" s="6" t="s">
        <v>1570</v>
      </c>
      <c r="F4189" s="6" t="s">
        <v>439</v>
      </c>
      <c r="G4189" s="6" t="s">
        <v>254</v>
      </c>
      <c r="H4189" s="10">
        <v>46048.0</v>
      </c>
      <c r="I4189" s="12">
        <v>9.0</v>
      </c>
      <c r="J4189" s="6" t="s">
        <v>161</v>
      </c>
    </row>
    <row r="4190" ht="22.5" customHeight="1">
      <c r="A4190" s="6" t="s">
        <v>19569</v>
      </c>
      <c r="B4190" s="6" t="s">
        <v>9782</v>
      </c>
      <c r="C4190" s="10">
        <v>46048.0</v>
      </c>
      <c r="D4190" s="6" t="s">
        <v>677</v>
      </c>
      <c r="E4190" s="6" t="s">
        <v>1600</v>
      </c>
      <c r="F4190" s="6" t="s">
        <v>249</v>
      </c>
      <c r="G4190" s="6" t="s">
        <v>254</v>
      </c>
      <c r="H4190" s="10">
        <v>46049.0</v>
      </c>
      <c r="I4190" s="12">
        <v>3.0</v>
      </c>
      <c r="J4190" s="6" t="s">
        <v>161</v>
      </c>
    </row>
    <row r="4191" ht="22.5" customHeight="1">
      <c r="A4191" s="6" t="s">
        <v>19574</v>
      </c>
      <c r="B4191" s="6" t="s">
        <v>9789</v>
      </c>
      <c r="C4191" s="10">
        <v>46076.0</v>
      </c>
      <c r="D4191" s="6" t="s">
        <v>416</v>
      </c>
      <c r="E4191" s="6" t="s">
        <v>670</v>
      </c>
      <c r="F4191" s="6" t="s">
        <v>249</v>
      </c>
      <c r="G4191" s="6" t="s">
        <v>477</v>
      </c>
      <c r="H4191" s="10">
        <v>46081.0</v>
      </c>
      <c r="I4191" s="12">
        <v>9.0</v>
      </c>
      <c r="J4191" s="6" t="s">
        <v>161</v>
      </c>
    </row>
    <row r="4192" ht="22.5" customHeight="1">
      <c r="A4192" s="6" t="s">
        <v>19579</v>
      </c>
      <c r="B4192" s="6" t="s">
        <v>9789</v>
      </c>
      <c r="C4192" s="10">
        <v>46076.0</v>
      </c>
      <c r="D4192" s="6" t="s">
        <v>391</v>
      </c>
      <c r="E4192" s="6" t="s">
        <v>833</v>
      </c>
      <c r="F4192" s="6" t="s">
        <v>249</v>
      </c>
      <c r="G4192" s="6" t="s">
        <v>458</v>
      </c>
      <c r="H4192" s="10">
        <v>46078.0</v>
      </c>
      <c r="I4192" s="12">
        <v>9.0</v>
      </c>
      <c r="J4192" s="6" t="s">
        <v>161</v>
      </c>
    </row>
    <row r="4193" ht="22.5" customHeight="1">
      <c r="A4193" s="6" t="s">
        <v>19583</v>
      </c>
      <c r="B4193" s="6" t="s">
        <v>9795</v>
      </c>
      <c r="C4193" s="10">
        <v>46051.0</v>
      </c>
      <c r="D4193" s="6" t="s">
        <v>416</v>
      </c>
      <c r="E4193" s="6" t="s">
        <v>1570</v>
      </c>
      <c r="F4193" s="6" t="s">
        <v>283</v>
      </c>
      <c r="G4193" s="6" t="s">
        <v>326</v>
      </c>
      <c r="H4193" s="11" t="s">
        <v>259</v>
      </c>
      <c r="I4193" s="12">
        <v>9.0</v>
      </c>
      <c r="J4193" s="6" t="s">
        <v>161</v>
      </c>
    </row>
    <row r="4194" ht="22.5" customHeight="1">
      <c r="A4194" s="6" t="s">
        <v>19587</v>
      </c>
      <c r="B4194" s="6" t="s">
        <v>9795</v>
      </c>
      <c r="C4194" s="10">
        <v>46033.0</v>
      </c>
      <c r="D4194" s="6" t="s">
        <v>416</v>
      </c>
      <c r="E4194" s="6" t="s">
        <v>1546</v>
      </c>
      <c r="F4194" s="6" t="s">
        <v>283</v>
      </c>
      <c r="G4194" s="6" t="s">
        <v>458</v>
      </c>
      <c r="H4194" s="10">
        <v>46037.0</v>
      </c>
      <c r="I4194" s="12">
        <v>13.0</v>
      </c>
      <c r="J4194" s="6" t="s">
        <v>161</v>
      </c>
    </row>
    <row r="4195" ht="22.5" customHeight="1">
      <c r="A4195" s="6" t="s">
        <v>19592</v>
      </c>
      <c r="B4195" s="6" t="s">
        <v>9795</v>
      </c>
      <c r="C4195" s="10">
        <v>46041.0</v>
      </c>
      <c r="D4195" s="6" t="s">
        <v>289</v>
      </c>
      <c r="E4195" s="6" t="s">
        <v>775</v>
      </c>
      <c r="F4195" s="6" t="s">
        <v>439</v>
      </c>
      <c r="G4195" s="6" t="s">
        <v>297</v>
      </c>
      <c r="H4195" s="10">
        <v>46045.0</v>
      </c>
      <c r="I4195" s="12">
        <v>7.0</v>
      </c>
      <c r="J4195" s="6" t="s">
        <v>161</v>
      </c>
    </row>
    <row r="4196" ht="22.5" customHeight="1">
      <c r="A4196" s="6" t="s">
        <v>19598</v>
      </c>
      <c r="B4196" s="6" t="s">
        <v>9802</v>
      </c>
      <c r="C4196" s="10">
        <v>46026.0</v>
      </c>
      <c r="D4196" s="6" t="s">
        <v>677</v>
      </c>
      <c r="E4196" s="6" t="s">
        <v>1600</v>
      </c>
      <c r="F4196" s="6" t="s">
        <v>249</v>
      </c>
      <c r="G4196" s="6" t="s">
        <v>477</v>
      </c>
      <c r="H4196" s="10">
        <v>46029.0</v>
      </c>
      <c r="I4196" s="12">
        <v>2.0</v>
      </c>
      <c r="J4196" s="6" t="s">
        <v>161</v>
      </c>
    </row>
    <row r="4197" ht="22.5" customHeight="1">
      <c r="A4197" s="6" t="s">
        <v>19602</v>
      </c>
      <c r="B4197" s="6" t="s">
        <v>9808</v>
      </c>
      <c r="C4197" s="10">
        <v>46075.0</v>
      </c>
      <c r="D4197" s="6" t="s">
        <v>242</v>
      </c>
      <c r="E4197" s="6" t="s">
        <v>566</v>
      </c>
      <c r="F4197" s="6" t="s">
        <v>249</v>
      </c>
      <c r="G4197" s="6" t="s">
        <v>297</v>
      </c>
      <c r="H4197" s="10">
        <v>46081.0</v>
      </c>
      <c r="I4197" s="12">
        <v>3.0</v>
      </c>
      <c r="J4197" s="6" t="s">
        <v>178</v>
      </c>
    </row>
    <row r="4198" ht="22.5" customHeight="1">
      <c r="A4198" s="6" t="s">
        <v>19607</v>
      </c>
      <c r="B4198" s="6" t="s">
        <v>9808</v>
      </c>
      <c r="C4198" s="10">
        <v>46078.0</v>
      </c>
      <c r="D4198" s="6" t="s">
        <v>677</v>
      </c>
      <c r="E4198" s="6" t="s">
        <v>695</v>
      </c>
      <c r="F4198" s="6" t="s">
        <v>283</v>
      </c>
      <c r="G4198" s="6" t="s">
        <v>477</v>
      </c>
      <c r="H4198" s="10">
        <v>46082.0</v>
      </c>
      <c r="I4198" s="12">
        <v>3.0</v>
      </c>
      <c r="J4198" s="6" t="s">
        <v>161</v>
      </c>
    </row>
    <row r="4199" ht="22.5" customHeight="1">
      <c r="A4199" s="6" t="s">
        <v>19612</v>
      </c>
      <c r="B4199" s="6" t="s">
        <v>9808</v>
      </c>
      <c r="C4199" s="10">
        <v>46071.0</v>
      </c>
      <c r="D4199" s="6" t="s">
        <v>416</v>
      </c>
      <c r="E4199" s="6" t="s">
        <v>738</v>
      </c>
      <c r="F4199" s="6" t="s">
        <v>439</v>
      </c>
      <c r="G4199" s="6" t="s">
        <v>458</v>
      </c>
      <c r="H4199" s="10">
        <v>46072.0</v>
      </c>
      <c r="I4199" s="12">
        <v>12.0</v>
      </c>
      <c r="J4199" s="6" t="s">
        <v>161</v>
      </c>
    </row>
    <row r="4200" ht="22.5" customHeight="1">
      <c r="A4200" s="6" t="s">
        <v>19617</v>
      </c>
      <c r="B4200" s="6" t="s">
        <v>9808</v>
      </c>
      <c r="C4200" s="10">
        <v>46077.0</v>
      </c>
      <c r="D4200" s="6" t="s">
        <v>242</v>
      </c>
      <c r="E4200" s="6" t="s">
        <v>670</v>
      </c>
      <c r="F4200" s="6" t="s">
        <v>439</v>
      </c>
      <c r="G4200" s="6" t="s">
        <v>494</v>
      </c>
      <c r="H4200" s="10">
        <v>46082.0</v>
      </c>
      <c r="I4200" s="12">
        <v>4.0</v>
      </c>
      <c r="J4200" s="6" t="s">
        <v>161</v>
      </c>
    </row>
    <row r="4201" ht="22.5" customHeight="1">
      <c r="A4201" s="6" t="s">
        <v>19620</v>
      </c>
      <c r="B4201" s="6" t="s">
        <v>9815</v>
      </c>
      <c r="C4201" s="10">
        <v>46040.0</v>
      </c>
      <c r="D4201" s="6" t="s">
        <v>391</v>
      </c>
      <c r="E4201" s="6" t="s">
        <v>320</v>
      </c>
      <c r="F4201" s="6" t="s">
        <v>439</v>
      </c>
      <c r="G4201" s="6" t="s">
        <v>297</v>
      </c>
      <c r="H4201" s="10">
        <v>46045.0</v>
      </c>
      <c r="I4201" s="12">
        <v>7.0</v>
      </c>
      <c r="J4201" s="6" t="s">
        <v>161</v>
      </c>
    </row>
    <row r="4202" ht="22.5" customHeight="1">
      <c r="A4202" s="6" t="s">
        <v>19624</v>
      </c>
      <c r="B4202" s="6" t="s">
        <v>9815</v>
      </c>
      <c r="C4202" s="10">
        <v>46048.0</v>
      </c>
      <c r="D4202" s="6" t="s">
        <v>677</v>
      </c>
      <c r="E4202" s="6" t="s">
        <v>1600</v>
      </c>
      <c r="F4202" s="6" t="s">
        <v>249</v>
      </c>
      <c r="G4202" s="6" t="s">
        <v>254</v>
      </c>
      <c r="H4202" s="10">
        <v>46052.0</v>
      </c>
      <c r="I4202" s="12">
        <v>3.0</v>
      </c>
      <c r="J4202" s="6" t="s">
        <v>161</v>
      </c>
    </row>
    <row r="4203" ht="22.5" customHeight="1">
      <c r="A4203" s="6" t="s">
        <v>19629</v>
      </c>
      <c r="B4203" s="6" t="s">
        <v>9815</v>
      </c>
      <c r="C4203" s="10">
        <v>46055.0</v>
      </c>
      <c r="D4203" s="6" t="s">
        <v>436</v>
      </c>
      <c r="E4203" s="6" t="s">
        <v>695</v>
      </c>
      <c r="F4203" s="6" t="s">
        <v>283</v>
      </c>
      <c r="G4203" s="6" t="s">
        <v>494</v>
      </c>
      <c r="H4203" s="10">
        <v>46060.0</v>
      </c>
      <c r="I4203" s="12">
        <v>7.0</v>
      </c>
      <c r="J4203" s="6" t="s">
        <v>161</v>
      </c>
    </row>
    <row r="4204" ht="22.5" customHeight="1">
      <c r="A4204" s="6" t="s">
        <v>19633</v>
      </c>
      <c r="B4204" s="6" t="s">
        <v>9815</v>
      </c>
      <c r="C4204" s="10">
        <v>46040.0</v>
      </c>
      <c r="D4204" s="6" t="s">
        <v>312</v>
      </c>
      <c r="E4204" s="6" t="s">
        <v>738</v>
      </c>
      <c r="F4204" s="6" t="s">
        <v>283</v>
      </c>
      <c r="G4204" s="6" t="s">
        <v>477</v>
      </c>
      <c r="H4204" s="10">
        <v>46040.0</v>
      </c>
      <c r="I4204" s="12">
        <v>7.0</v>
      </c>
      <c r="J4204" s="6" t="s">
        <v>161</v>
      </c>
    </row>
    <row r="4205" ht="22.5" customHeight="1">
      <c r="A4205" s="6" t="s">
        <v>19637</v>
      </c>
      <c r="B4205" s="6" t="s">
        <v>9821</v>
      </c>
      <c r="C4205" s="10">
        <v>46044.0</v>
      </c>
      <c r="D4205" s="6" t="s">
        <v>312</v>
      </c>
      <c r="E4205" s="6" t="s">
        <v>1552</v>
      </c>
      <c r="F4205" s="6" t="s">
        <v>249</v>
      </c>
      <c r="G4205" s="6" t="s">
        <v>297</v>
      </c>
      <c r="H4205" s="11" t="s">
        <v>259</v>
      </c>
      <c r="I4205" s="12">
        <v>5.0</v>
      </c>
      <c r="J4205" s="6" t="s">
        <v>161</v>
      </c>
    </row>
    <row r="4206" ht="22.5" customHeight="1">
      <c r="A4206" s="6" t="s">
        <v>19640</v>
      </c>
      <c r="B4206" s="6" t="s">
        <v>9821</v>
      </c>
      <c r="C4206" s="10">
        <v>46040.0</v>
      </c>
      <c r="D4206" s="6" t="s">
        <v>416</v>
      </c>
      <c r="E4206" s="6" t="s">
        <v>628</v>
      </c>
      <c r="F4206" s="6" t="s">
        <v>249</v>
      </c>
      <c r="G4206" s="6" t="s">
        <v>458</v>
      </c>
      <c r="H4206" s="10">
        <v>46040.0</v>
      </c>
      <c r="I4206" s="12">
        <v>10.0</v>
      </c>
      <c r="J4206" s="6" t="s">
        <v>161</v>
      </c>
    </row>
    <row r="4207" ht="22.5" customHeight="1">
      <c r="A4207" s="6" t="s">
        <v>19644</v>
      </c>
      <c r="B4207" s="6" t="s">
        <v>9821</v>
      </c>
      <c r="C4207" s="10">
        <v>46044.0</v>
      </c>
      <c r="D4207" s="6" t="s">
        <v>436</v>
      </c>
      <c r="E4207" s="6" t="s">
        <v>466</v>
      </c>
      <c r="F4207" s="6" t="s">
        <v>283</v>
      </c>
      <c r="G4207" s="6" t="s">
        <v>477</v>
      </c>
      <c r="H4207" s="10">
        <v>46050.0</v>
      </c>
      <c r="I4207" s="12">
        <v>10.0</v>
      </c>
      <c r="J4207" s="6" t="s">
        <v>161</v>
      </c>
    </row>
    <row r="4208" ht="22.5" customHeight="1">
      <c r="A4208" s="6" t="s">
        <v>19647</v>
      </c>
      <c r="B4208" s="6" t="s">
        <v>9821</v>
      </c>
      <c r="C4208" s="10">
        <v>46048.0</v>
      </c>
      <c r="D4208" s="6" t="s">
        <v>312</v>
      </c>
      <c r="E4208" s="6" t="s">
        <v>1626</v>
      </c>
      <c r="F4208" s="6" t="s">
        <v>112</v>
      </c>
      <c r="G4208" s="6" t="s">
        <v>369</v>
      </c>
      <c r="H4208" s="10">
        <v>46049.0</v>
      </c>
      <c r="I4208" s="12">
        <v>5.0</v>
      </c>
      <c r="J4208" s="6" t="s">
        <v>161</v>
      </c>
    </row>
    <row r="4209" ht="22.5" customHeight="1">
      <c r="A4209" s="6" t="s">
        <v>19651</v>
      </c>
      <c r="B4209" s="6" t="s">
        <v>9828</v>
      </c>
      <c r="C4209" s="10">
        <v>46048.0</v>
      </c>
      <c r="D4209" s="6" t="s">
        <v>416</v>
      </c>
      <c r="E4209" s="6" t="s">
        <v>1055</v>
      </c>
      <c r="F4209" s="6" t="s">
        <v>249</v>
      </c>
      <c r="G4209" s="6" t="s">
        <v>254</v>
      </c>
      <c r="H4209" s="10">
        <v>46050.0</v>
      </c>
      <c r="I4209" s="12">
        <v>14.0</v>
      </c>
      <c r="J4209" s="6" t="s">
        <v>161</v>
      </c>
    </row>
    <row r="4210" ht="22.5" customHeight="1">
      <c r="A4210" s="6" t="s">
        <v>19657</v>
      </c>
      <c r="B4210" s="6" t="s">
        <v>9828</v>
      </c>
      <c r="C4210" s="10">
        <v>46044.0</v>
      </c>
      <c r="D4210" s="6" t="s">
        <v>242</v>
      </c>
      <c r="E4210" s="6" t="s">
        <v>731</v>
      </c>
      <c r="F4210" s="6" t="s">
        <v>112</v>
      </c>
      <c r="G4210" s="6" t="s">
        <v>254</v>
      </c>
      <c r="H4210" s="10">
        <v>46049.0</v>
      </c>
      <c r="I4210" s="12">
        <v>5.0</v>
      </c>
      <c r="J4210" s="6" t="s">
        <v>178</v>
      </c>
    </row>
    <row r="4211" ht="22.5" customHeight="1">
      <c r="A4211" s="6" t="s">
        <v>19658</v>
      </c>
      <c r="B4211" s="6" t="s">
        <v>9828</v>
      </c>
      <c r="C4211" s="10">
        <v>46058.0</v>
      </c>
      <c r="D4211" s="6" t="s">
        <v>289</v>
      </c>
      <c r="E4211" s="6" t="s">
        <v>731</v>
      </c>
      <c r="F4211" s="6" t="s">
        <v>112</v>
      </c>
      <c r="G4211" s="6" t="s">
        <v>458</v>
      </c>
      <c r="H4211" s="10">
        <v>46060.0</v>
      </c>
      <c r="I4211" s="12">
        <v>8.0</v>
      </c>
      <c r="J4211" s="6" t="s">
        <v>161</v>
      </c>
    </row>
    <row r="4212" ht="22.5" customHeight="1">
      <c r="A4212" s="6" t="s">
        <v>19664</v>
      </c>
      <c r="B4212" s="6" t="s">
        <v>9828</v>
      </c>
      <c r="C4212" s="10">
        <v>46058.0</v>
      </c>
      <c r="D4212" s="6" t="s">
        <v>289</v>
      </c>
      <c r="E4212" s="6" t="s">
        <v>1741</v>
      </c>
      <c r="F4212" s="6" t="s">
        <v>112</v>
      </c>
      <c r="G4212" s="6" t="s">
        <v>494</v>
      </c>
      <c r="H4212" s="10">
        <v>46062.0</v>
      </c>
      <c r="I4212" s="12">
        <v>9.0</v>
      </c>
      <c r="J4212" s="6" t="s">
        <v>161</v>
      </c>
    </row>
    <row r="4213" ht="22.5" customHeight="1">
      <c r="A4213" s="6" t="s">
        <v>19667</v>
      </c>
      <c r="B4213" s="6" t="s">
        <v>9828</v>
      </c>
      <c r="C4213" s="10">
        <v>46046.0</v>
      </c>
      <c r="D4213" s="6" t="s">
        <v>391</v>
      </c>
      <c r="E4213" s="6" t="s">
        <v>1517</v>
      </c>
      <c r="F4213" s="6" t="s">
        <v>439</v>
      </c>
      <c r="G4213" s="6" t="s">
        <v>254</v>
      </c>
      <c r="H4213" s="11" t="s">
        <v>259</v>
      </c>
      <c r="I4213" s="12">
        <v>7.0</v>
      </c>
      <c r="J4213" s="6" t="s">
        <v>161</v>
      </c>
    </row>
    <row r="4214" ht="22.5" customHeight="1">
      <c r="A4214" s="6" t="s">
        <v>19671</v>
      </c>
      <c r="B4214" s="6" t="s">
        <v>9834</v>
      </c>
      <c r="C4214" s="10">
        <v>46058.0</v>
      </c>
      <c r="D4214" s="6" t="s">
        <v>312</v>
      </c>
      <c r="E4214" s="6" t="s">
        <v>291</v>
      </c>
      <c r="F4214" s="6" t="s">
        <v>112</v>
      </c>
      <c r="G4214" s="6" t="s">
        <v>477</v>
      </c>
      <c r="H4214" s="10">
        <v>46065.0</v>
      </c>
      <c r="I4214" s="12">
        <v>5.0</v>
      </c>
      <c r="J4214" s="6" t="s">
        <v>161</v>
      </c>
    </row>
    <row r="4215" ht="22.5" customHeight="1">
      <c r="A4215" s="6" t="s">
        <v>19674</v>
      </c>
      <c r="B4215" s="6" t="s">
        <v>9834</v>
      </c>
      <c r="C4215" s="10">
        <v>46066.0</v>
      </c>
      <c r="D4215" s="6" t="s">
        <v>242</v>
      </c>
      <c r="E4215" s="6" t="s">
        <v>1600</v>
      </c>
      <c r="F4215" s="6" t="s">
        <v>283</v>
      </c>
      <c r="G4215" s="6" t="s">
        <v>494</v>
      </c>
      <c r="H4215" s="10">
        <v>46067.0</v>
      </c>
      <c r="I4215" s="12">
        <v>5.0</v>
      </c>
      <c r="J4215" s="6" t="s">
        <v>161</v>
      </c>
    </row>
    <row r="4216" ht="22.5" customHeight="1">
      <c r="A4216" s="6" t="s">
        <v>19677</v>
      </c>
      <c r="B4216" s="6" t="s">
        <v>9834</v>
      </c>
      <c r="C4216" s="10">
        <v>46069.0</v>
      </c>
      <c r="D4216" s="6" t="s">
        <v>289</v>
      </c>
      <c r="E4216" s="6" t="s">
        <v>1149</v>
      </c>
      <c r="F4216" s="6" t="s">
        <v>283</v>
      </c>
      <c r="G4216" s="6" t="s">
        <v>494</v>
      </c>
      <c r="H4216" s="10">
        <v>46073.0</v>
      </c>
      <c r="I4216" s="12">
        <v>9.0</v>
      </c>
      <c r="J4216" s="6" t="s">
        <v>161</v>
      </c>
    </row>
    <row r="4217" ht="22.5" customHeight="1">
      <c r="A4217" s="6" t="s">
        <v>19680</v>
      </c>
      <c r="B4217" s="6" t="s">
        <v>9834</v>
      </c>
      <c r="C4217" s="10">
        <v>46064.0</v>
      </c>
      <c r="D4217" s="6" t="s">
        <v>677</v>
      </c>
      <c r="E4217" s="6" t="s">
        <v>1241</v>
      </c>
      <c r="F4217" s="6" t="s">
        <v>283</v>
      </c>
      <c r="G4217" s="6" t="s">
        <v>254</v>
      </c>
      <c r="H4217" s="10">
        <v>46069.0</v>
      </c>
      <c r="I4217" s="12">
        <v>4.0</v>
      </c>
      <c r="J4217" s="6" t="s">
        <v>161</v>
      </c>
    </row>
    <row r="4218" ht="22.5" customHeight="1">
      <c r="A4218" s="6" t="s">
        <v>19683</v>
      </c>
      <c r="B4218" s="6" t="s">
        <v>9840</v>
      </c>
      <c r="C4218" s="10">
        <v>46067.0</v>
      </c>
      <c r="D4218" s="6" t="s">
        <v>289</v>
      </c>
      <c r="E4218" s="6" t="s">
        <v>365</v>
      </c>
      <c r="F4218" s="6" t="s">
        <v>439</v>
      </c>
      <c r="G4218" s="6" t="s">
        <v>477</v>
      </c>
      <c r="H4218" s="10">
        <v>46070.0</v>
      </c>
      <c r="I4218" s="12">
        <v>9.0</v>
      </c>
      <c r="J4218" s="6" t="s">
        <v>161</v>
      </c>
    </row>
    <row r="4219" ht="22.5" customHeight="1">
      <c r="A4219" s="6" t="s">
        <v>19686</v>
      </c>
      <c r="B4219" s="6" t="s">
        <v>9840</v>
      </c>
      <c r="C4219" s="10">
        <v>46078.0</v>
      </c>
      <c r="D4219" s="6" t="s">
        <v>242</v>
      </c>
      <c r="E4219" s="6" t="s">
        <v>1149</v>
      </c>
      <c r="F4219" s="6" t="s">
        <v>439</v>
      </c>
      <c r="G4219" s="6" t="s">
        <v>452</v>
      </c>
      <c r="H4219" s="10">
        <v>46085.0</v>
      </c>
      <c r="I4219" s="12">
        <v>4.0</v>
      </c>
      <c r="J4219" s="6" t="s">
        <v>178</v>
      </c>
    </row>
    <row r="4220" ht="22.5" customHeight="1">
      <c r="A4220" s="6" t="s">
        <v>19689</v>
      </c>
      <c r="B4220" s="6" t="s">
        <v>9847</v>
      </c>
      <c r="C4220" s="10">
        <v>46082.0</v>
      </c>
      <c r="D4220" s="6" t="s">
        <v>436</v>
      </c>
      <c r="E4220" s="6" t="s">
        <v>1741</v>
      </c>
      <c r="F4220" s="6" t="s">
        <v>439</v>
      </c>
      <c r="G4220" s="6" t="s">
        <v>477</v>
      </c>
      <c r="H4220" s="10">
        <v>46086.0</v>
      </c>
      <c r="I4220" s="12">
        <v>8.0</v>
      </c>
      <c r="J4220" s="6" t="s">
        <v>178</v>
      </c>
    </row>
    <row r="4221" ht="22.5" customHeight="1">
      <c r="A4221" s="6" t="s">
        <v>19695</v>
      </c>
      <c r="B4221" s="6" t="s">
        <v>9853</v>
      </c>
      <c r="C4221" s="10">
        <v>46048.0</v>
      </c>
      <c r="D4221" s="6" t="s">
        <v>242</v>
      </c>
      <c r="E4221" s="6" t="s">
        <v>812</v>
      </c>
      <c r="F4221" s="6" t="s">
        <v>112</v>
      </c>
      <c r="G4221" s="6" t="s">
        <v>297</v>
      </c>
      <c r="H4221" s="10">
        <v>46054.0</v>
      </c>
      <c r="I4221" s="12">
        <v>3.0</v>
      </c>
      <c r="J4221" s="6" t="s">
        <v>178</v>
      </c>
    </row>
    <row r="4222" ht="22.5" customHeight="1">
      <c r="A4222" s="6" t="s">
        <v>19700</v>
      </c>
      <c r="B4222" s="6" t="s">
        <v>9853</v>
      </c>
      <c r="C4222" s="10">
        <v>46048.0</v>
      </c>
      <c r="D4222" s="6" t="s">
        <v>289</v>
      </c>
      <c r="E4222" s="6" t="s">
        <v>812</v>
      </c>
      <c r="F4222" s="6" t="s">
        <v>249</v>
      </c>
      <c r="G4222" s="6" t="s">
        <v>254</v>
      </c>
      <c r="H4222" s="10">
        <v>46048.0</v>
      </c>
      <c r="I4222" s="12">
        <v>10.0</v>
      </c>
      <c r="J4222" s="6" t="s">
        <v>161</v>
      </c>
    </row>
    <row r="4223" ht="22.5" customHeight="1">
      <c r="A4223" s="6" t="s">
        <v>19705</v>
      </c>
      <c r="B4223" s="6" t="s">
        <v>9853</v>
      </c>
      <c r="C4223" s="10">
        <v>46054.0</v>
      </c>
      <c r="D4223" s="6" t="s">
        <v>416</v>
      </c>
      <c r="E4223" s="6" t="s">
        <v>885</v>
      </c>
      <c r="F4223" s="6" t="s">
        <v>249</v>
      </c>
      <c r="G4223" s="6" t="s">
        <v>369</v>
      </c>
      <c r="H4223" s="10">
        <v>46054.0</v>
      </c>
      <c r="I4223" s="12">
        <v>9.0</v>
      </c>
      <c r="J4223" s="6" t="s">
        <v>161</v>
      </c>
    </row>
    <row r="4224" ht="22.5" customHeight="1">
      <c r="A4224" s="6" t="s">
        <v>19708</v>
      </c>
      <c r="B4224" s="6" t="s">
        <v>9853</v>
      </c>
      <c r="C4224" s="10">
        <v>46044.0</v>
      </c>
      <c r="D4224" s="6" t="s">
        <v>242</v>
      </c>
      <c r="E4224" s="6" t="s">
        <v>583</v>
      </c>
      <c r="F4224" s="6" t="s">
        <v>249</v>
      </c>
      <c r="G4224" s="6" t="s">
        <v>369</v>
      </c>
      <c r="H4224" s="10">
        <v>46049.0</v>
      </c>
      <c r="I4224" s="12">
        <v>5.0</v>
      </c>
      <c r="J4224" s="6" t="s">
        <v>178</v>
      </c>
    </row>
    <row r="4225" ht="22.5" customHeight="1">
      <c r="A4225" s="6" t="s">
        <v>19712</v>
      </c>
      <c r="B4225" s="6" t="s">
        <v>9853</v>
      </c>
      <c r="C4225" s="10">
        <v>46055.0</v>
      </c>
      <c r="D4225" s="6" t="s">
        <v>312</v>
      </c>
      <c r="E4225" s="6" t="s">
        <v>1273</v>
      </c>
      <c r="F4225" s="6" t="s">
        <v>283</v>
      </c>
      <c r="G4225" s="6" t="s">
        <v>452</v>
      </c>
      <c r="H4225" s="10">
        <v>46056.0</v>
      </c>
      <c r="I4225" s="12">
        <v>7.0</v>
      </c>
      <c r="J4225" s="6" t="s">
        <v>161</v>
      </c>
    </row>
    <row r="4226" ht="22.5" customHeight="1">
      <c r="A4226" s="6" t="s">
        <v>19718</v>
      </c>
      <c r="B4226" s="6" t="s">
        <v>9859</v>
      </c>
      <c r="C4226" s="10">
        <v>46088.0</v>
      </c>
      <c r="D4226" s="6" t="s">
        <v>416</v>
      </c>
      <c r="E4226" s="6" t="s">
        <v>1546</v>
      </c>
      <c r="F4226" s="6" t="s">
        <v>283</v>
      </c>
      <c r="G4226" s="6" t="s">
        <v>458</v>
      </c>
      <c r="H4226" s="10">
        <v>46093.0</v>
      </c>
      <c r="I4226" s="12">
        <v>13.0</v>
      </c>
      <c r="J4226" s="6" t="s">
        <v>161</v>
      </c>
    </row>
    <row r="4227" ht="22.5" customHeight="1">
      <c r="A4227" s="6" t="s">
        <v>19723</v>
      </c>
      <c r="B4227" s="6" t="s">
        <v>9859</v>
      </c>
      <c r="C4227" s="10">
        <v>46078.0</v>
      </c>
      <c r="D4227" s="6" t="s">
        <v>416</v>
      </c>
      <c r="E4227" s="6" t="s">
        <v>583</v>
      </c>
      <c r="F4227" s="6" t="s">
        <v>249</v>
      </c>
      <c r="G4227" s="6" t="s">
        <v>254</v>
      </c>
      <c r="H4227" s="10">
        <v>46084.0</v>
      </c>
      <c r="I4227" s="12">
        <v>14.0</v>
      </c>
      <c r="J4227" s="6" t="s">
        <v>161</v>
      </c>
    </row>
    <row r="4228" ht="22.5" customHeight="1">
      <c r="A4228" s="6" t="s">
        <v>19725</v>
      </c>
      <c r="B4228" s="6" t="s">
        <v>9859</v>
      </c>
      <c r="C4228" s="10">
        <v>46068.0</v>
      </c>
      <c r="D4228" s="6" t="s">
        <v>242</v>
      </c>
      <c r="E4228" s="6" t="s">
        <v>1626</v>
      </c>
      <c r="F4228" s="6" t="s">
        <v>112</v>
      </c>
      <c r="G4228" s="6" t="s">
        <v>369</v>
      </c>
      <c r="H4228" s="10">
        <v>46073.0</v>
      </c>
      <c r="I4228" s="12">
        <v>3.0</v>
      </c>
      <c r="J4228" s="6" t="s">
        <v>178</v>
      </c>
    </row>
    <row r="4229" ht="22.5" customHeight="1">
      <c r="A4229" s="6" t="s">
        <v>19731</v>
      </c>
      <c r="B4229" s="6" t="s">
        <v>9859</v>
      </c>
      <c r="C4229" s="10">
        <v>46068.0</v>
      </c>
      <c r="D4229" s="6" t="s">
        <v>391</v>
      </c>
      <c r="E4229" s="6" t="s">
        <v>583</v>
      </c>
      <c r="F4229" s="6" t="s">
        <v>283</v>
      </c>
      <c r="G4229" s="6" t="s">
        <v>326</v>
      </c>
      <c r="H4229" s="10">
        <v>46069.0</v>
      </c>
      <c r="I4229" s="12">
        <v>8.0</v>
      </c>
      <c r="J4229" s="6" t="s">
        <v>161</v>
      </c>
    </row>
    <row r="4230" ht="22.5" customHeight="1">
      <c r="A4230" s="6" t="s">
        <v>19732</v>
      </c>
      <c r="B4230" s="6" t="s">
        <v>9866</v>
      </c>
      <c r="C4230" s="10">
        <v>46028.0</v>
      </c>
      <c r="D4230" s="6" t="s">
        <v>677</v>
      </c>
      <c r="E4230" s="6" t="s">
        <v>833</v>
      </c>
      <c r="F4230" s="6" t="s">
        <v>112</v>
      </c>
      <c r="G4230" s="6" t="s">
        <v>458</v>
      </c>
      <c r="H4230" s="10">
        <v>46032.0</v>
      </c>
      <c r="I4230" s="12">
        <v>3.0</v>
      </c>
      <c r="J4230" s="6" t="s">
        <v>161</v>
      </c>
    </row>
    <row r="4231" ht="22.5" customHeight="1">
      <c r="A4231" s="6" t="s">
        <v>19736</v>
      </c>
      <c r="B4231" s="6" t="s">
        <v>9866</v>
      </c>
      <c r="C4231" s="10">
        <v>46044.0</v>
      </c>
      <c r="D4231" s="6" t="s">
        <v>436</v>
      </c>
      <c r="E4231" s="6" t="s">
        <v>512</v>
      </c>
      <c r="F4231" s="6" t="s">
        <v>439</v>
      </c>
      <c r="G4231" s="6" t="s">
        <v>369</v>
      </c>
      <c r="H4231" s="10">
        <v>46049.0</v>
      </c>
      <c r="I4231" s="12">
        <v>9.0</v>
      </c>
      <c r="J4231" s="6" t="s">
        <v>178</v>
      </c>
    </row>
    <row r="4232" ht="22.5" customHeight="1">
      <c r="A4232" s="6" t="s">
        <v>19740</v>
      </c>
      <c r="B4232" s="6" t="s">
        <v>9866</v>
      </c>
      <c r="C4232" s="10">
        <v>46035.0</v>
      </c>
      <c r="D4232" s="6" t="s">
        <v>677</v>
      </c>
      <c r="E4232" s="6" t="s">
        <v>566</v>
      </c>
      <c r="F4232" s="6" t="s">
        <v>112</v>
      </c>
      <c r="G4232" s="6" t="s">
        <v>477</v>
      </c>
      <c r="H4232" s="10">
        <v>46042.0</v>
      </c>
      <c r="I4232" s="12">
        <v>3.0</v>
      </c>
      <c r="J4232" s="6" t="s">
        <v>161</v>
      </c>
    </row>
    <row r="4233" ht="22.5" customHeight="1">
      <c r="A4233" s="6" t="s">
        <v>19745</v>
      </c>
      <c r="B4233" s="6" t="s">
        <v>9872</v>
      </c>
      <c r="C4233" s="10">
        <v>46063.0</v>
      </c>
      <c r="D4233" s="6" t="s">
        <v>677</v>
      </c>
      <c r="E4233" s="6" t="s">
        <v>738</v>
      </c>
      <c r="F4233" s="6" t="s">
        <v>112</v>
      </c>
      <c r="G4233" s="6" t="s">
        <v>452</v>
      </c>
      <c r="H4233" s="10">
        <v>46063.0</v>
      </c>
      <c r="I4233" s="12">
        <v>4.0</v>
      </c>
      <c r="J4233" s="6" t="s">
        <v>161</v>
      </c>
    </row>
    <row r="4234" ht="22.5" customHeight="1">
      <c r="A4234" s="6" t="s">
        <v>19748</v>
      </c>
      <c r="B4234" s="6" t="s">
        <v>9872</v>
      </c>
      <c r="C4234" s="10">
        <v>46075.0</v>
      </c>
      <c r="D4234" s="6" t="s">
        <v>436</v>
      </c>
      <c r="E4234" s="6" t="s">
        <v>466</v>
      </c>
      <c r="F4234" s="6" t="s">
        <v>249</v>
      </c>
      <c r="G4234" s="6" t="s">
        <v>452</v>
      </c>
      <c r="H4234" s="11" t="s">
        <v>259</v>
      </c>
      <c r="I4234" s="12">
        <v>6.0</v>
      </c>
      <c r="J4234" s="6" t="s">
        <v>178</v>
      </c>
    </row>
    <row r="4235" ht="22.5" customHeight="1">
      <c r="A4235" s="6" t="s">
        <v>19752</v>
      </c>
      <c r="B4235" s="6" t="s">
        <v>9872</v>
      </c>
      <c r="C4235" s="10">
        <v>46075.0</v>
      </c>
      <c r="D4235" s="6" t="s">
        <v>312</v>
      </c>
      <c r="E4235" s="6" t="s">
        <v>896</v>
      </c>
      <c r="F4235" s="6" t="s">
        <v>249</v>
      </c>
      <c r="G4235" s="6" t="s">
        <v>452</v>
      </c>
      <c r="H4235" s="10">
        <v>46076.0</v>
      </c>
      <c r="I4235" s="12">
        <v>7.0</v>
      </c>
      <c r="J4235" s="6" t="s">
        <v>161</v>
      </c>
    </row>
    <row r="4236" ht="22.5" customHeight="1">
      <c r="A4236" s="6" t="s">
        <v>19758</v>
      </c>
      <c r="B4236" s="6" t="s">
        <v>9872</v>
      </c>
      <c r="C4236" s="10">
        <v>46064.0</v>
      </c>
      <c r="D4236" s="6" t="s">
        <v>312</v>
      </c>
      <c r="E4236" s="6" t="s">
        <v>833</v>
      </c>
      <c r="F4236" s="6" t="s">
        <v>283</v>
      </c>
      <c r="G4236" s="6" t="s">
        <v>297</v>
      </c>
      <c r="H4236" s="10">
        <v>46068.0</v>
      </c>
      <c r="I4236" s="12">
        <v>6.0</v>
      </c>
      <c r="J4236" s="6" t="s">
        <v>161</v>
      </c>
    </row>
    <row r="4237" ht="22.5" customHeight="1">
      <c r="A4237" s="6" t="s">
        <v>19764</v>
      </c>
      <c r="B4237" s="6" t="s">
        <v>9872</v>
      </c>
      <c r="C4237" s="10">
        <v>46069.0</v>
      </c>
      <c r="D4237" s="6" t="s">
        <v>312</v>
      </c>
      <c r="E4237" s="6" t="s">
        <v>670</v>
      </c>
      <c r="F4237" s="6" t="s">
        <v>112</v>
      </c>
      <c r="G4237" s="6" t="s">
        <v>452</v>
      </c>
      <c r="H4237" s="10">
        <v>46071.0</v>
      </c>
      <c r="I4237" s="12">
        <v>4.0</v>
      </c>
      <c r="J4237" s="6" t="s">
        <v>161</v>
      </c>
    </row>
    <row r="4238" ht="22.5" customHeight="1">
      <c r="A4238" s="6" t="s">
        <v>19770</v>
      </c>
      <c r="B4238" s="6" t="s">
        <v>9878</v>
      </c>
      <c r="C4238" s="10">
        <v>46062.0</v>
      </c>
      <c r="D4238" s="6" t="s">
        <v>677</v>
      </c>
      <c r="E4238" s="6" t="s">
        <v>1055</v>
      </c>
      <c r="F4238" s="6" t="s">
        <v>283</v>
      </c>
      <c r="G4238" s="6" t="s">
        <v>477</v>
      </c>
      <c r="H4238" s="10">
        <v>46066.0</v>
      </c>
      <c r="I4238" s="12">
        <v>4.0</v>
      </c>
      <c r="J4238" s="6" t="s">
        <v>161</v>
      </c>
    </row>
    <row r="4239" ht="22.5" customHeight="1">
      <c r="A4239" s="6" t="s">
        <v>19773</v>
      </c>
      <c r="B4239" s="6" t="s">
        <v>9878</v>
      </c>
      <c r="C4239" s="10">
        <v>46061.0</v>
      </c>
      <c r="D4239" s="6" t="s">
        <v>289</v>
      </c>
      <c r="E4239" s="6" t="s">
        <v>291</v>
      </c>
      <c r="F4239" s="6" t="s">
        <v>283</v>
      </c>
      <c r="G4239" s="6" t="s">
        <v>254</v>
      </c>
      <c r="H4239" s="10">
        <v>46068.0</v>
      </c>
      <c r="I4239" s="12">
        <v>7.0</v>
      </c>
      <c r="J4239" s="6" t="s">
        <v>161</v>
      </c>
    </row>
    <row r="4240" ht="22.5" customHeight="1">
      <c r="A4240" s="6" t="s">
        <v>19777</v>
      </c>
      <c r="B4240" s="6" t="s">
        <v>9885</v>
      </c>
      <c r="C4240" s="10">
        <v>46057.0</v>
      </c>
      <c r="D4240" s="6" t="s">
        <v>312</v>
      </c>
      <c r="E4240" s="6" t="s">
        <v>716</v>
      </c>
      <c r="F4240" s="6" t="s">
        <v>283</v>
      </c>
      <c r="G4240" s="6" t="s">
        <v>452</v>
      </c>
      <c r="H4240" s="10">
        <v>46059.0</v>
      </c>
      <c r="I4240" s="12">
        <v>5.0</v>
      </c>
      <c r="J4240" s="6" t="s">
        <v>161</v>
      </c>
    </row>
    <row r="4241" ht="22.5" customHeight="1">
      <c r="A4241" s="6" t="s">
        <v>19783</v>
      </c>
      <c r="B4241" s="6" t="s">
        <v>9885</v>
      </c>
      <c r="C4241" s="10">
        <v>46073.0</v>
      </c>
      <c r="D4241" s="6" t="s">
        <v>436</v>
      </c>
      <c r="E4241" s="6" t="s">
        <v>628</v>
      </c>
      <c r="F4241" s="6" t="s">
        <v>439</v>
      </c>
      <c r="G4241" s="6" t="s">
        <v>494</v>
      </c>
      <c r="H4241" s="10">
        <v>46077.0</v>
      </c>
      <c r="I4241" s="12">
        <v>9.0</v>
      </c>
      <c r="J4241" s="6" t="s">
        <v>178</v>
      </c>
    </row>
    <row r="4242" ht="22.5" customHeight="1">
      <c r="A4242" s="6" t="s">
        <v>19786</v>
      </c>
      <c r="B4242" s="6" t="s">
        <v>9885</v>
      </c>
      <c r="C4242" s="10">
        <v>46062.0</v>
      </c>
      <c r="D4242" s="6" t="s">
        <v>436</v>
      </c>
      <c r="E4242" s="6" t="s">
        <v>704</v>
      </c>
      <c r="F4242" s="6" t="s">
        <v>249</v>
      </c>
      <c r="G4242" s="6" t="s">
        <v>477</v>
      </c>
      <c r="H4242" s="10">
        <v>46069.0</v>
      </c>
      <c r="I4242" s="12">
        <v>12.0</v>
      </c>
      <c r="J4242" s="6" t="s">
        <v>178</v>
      </c>
    </row>
    <row r="4243" ht="22.5" customHeight="1">
      <c r="A4243" s="6" t="s">
        <v>19790</v>
      </c>
      <c r="B4243" s="6" t="s">
        <v>9891</v>
      </c>
      <c r="C4243" s="10">
        <v>46032.0</v>
      </c>
      <c r="D4243" s="6" t="s">
        <v>312</v>
      </c>
      <c r="E4243" s="6" t="s">
        <v>1741</v>
      </c>
      <c r="F4243" s="6" t="s">
        <v>112</v>
      </c>
      <c r="G4243" s="6" t="s">
        <v>452</v>
      </c>
      <c r="H4243" s="10">
        <v>46033.0</v>
      </c>
      <c r="I4243" s="12">
        <v>6.0</v>
      </c>
      <c r="J4243" s="6" t="s">
        <v>161</v>
      </c>
    </row>
    <row r="4244" ht="22.5" customHeight="1">
      <c r="A4244" s="6" t="s">
        <v>19796</v>
      </c>
      <c r="B4244" s="6" t="s">
        <v>9891</v>
      </c>
      <c r="C4244" s="10">
        <v>46040.0</v>
      </c>
      <c r="D4244" s="6" t="s">
        <v>289</v>
      </c>
      <c r="E4244" s="6" t="s">
        <v>1969</v>
      </c>
      <c r="F4244" s="6" t="s">
        <v>283</v>
      </c>
      <c r="G4244" s="6" t="s">
        <v>326</v>
      </c>
      <c r="H4244" s="10">
        <v>46045.0</v>
      </c>
      <c r="I4244" s="12">
        <v>6.0</v>
      </c>
      <c r="J4244" s="6" t="s">
        <v>161</v>
      </c>
    </row>
    <row r="4245" ht="22.5" customHeight="1">
      <c r="A4245" s="6" t="s">
        <v>19799</v>
      </c>
      <c r="B4245" s="6" t="s">
        <v>9898</v>
      </c>
      <c r="C4245" s="10">
        <v>46058.0</v>
      </c>
      <c r="D4245" s="6" t="s">
        <v>436</v>
      </c>
      <c r="E4245" s="6" t="s">
        <v>658</v>
      </c>
      <c r="F4245" s="6" t="s">
        <v>283</v>
      </c>
      <c r="G4245" s="6" t="s">
        <v>297</v>
      </c>
      <c r="H4245" s="10">
        <v>46064.0</v>
      </c>
      <c r="I4245" s="12">
        <v>6.0</v>
      </c>
      <c r="J4245" s="6" t="s">
        <v>178</v>
      </c>
    </row>
    <row r="4246" ht="22.5" customHeight="1">
      <c r="A4246" s="6" t="s">
        <v>19803</v>
      </c>
      <c r="B4246" s="6" t="s">
        <v>9898</v>
      </c>
      <c r="C4246" s="10">
        <v>46059.0</v>
      </c>
      <c r="D4246" s="6" t="s">
        <v>391</v>
      </c>
      <c r="E4246" s="6" t="s">
        <v>812</v>
      </c>
      <c r="F4246" s="6" t="s">
        <v>283</v>
      </c>
      <c r="G4246" s="6" t="s">
        <v>477</v>
      </c>
      <c r="H4246" s="10">
        <v>46065.0</v>
      </c>
      <c r="I4246" s="12">
        <v>11.0</v>
      </c>
      <c r="J4246" s="6" t="s">
        <v>161</v>
      </c>
    </row>
    <row r="4247" ht="22.5" customHeight="1">
      <c r="A4247" s="6" t="s">
        <v>19806</v>
      </c>
      <c r="B4247" s="6" t="s">
        <v>9905</v>
      </c>
      <c r="C4247" s="10">
        <v>46059.0</v>
      </c>
      <c r="D4247" s="6" t="s">
        <v>677</v>
      </c>
      <c r="E4247" s="6" t="s">
        <v>1969</v>
      </c>
      <c r="F4247" s="6" t="s">
        <v>283</v>
      </c>
      <c r="G4247" s="6" t="s">
        <v>458</v>
      </c>
      <c r="H4247" s="11" t="s">
        <v>259</v>
      </c>
      <c r="I4247" s="12">
        <v>3.0</v>
      </c>
      <c r="J4247" s="6" t="s">
        <v>161</v>
      </c>
    </row>
    <row r="4248" ht="22.5" customHeight="1">
      <c r="A4248" s="6" t="s">
        <v>19810</v>
      </c>
      <c r="B4248" s="6" t="s">
        <v>9905</v>
      </c>
      <c r="C4248" s="10">
        <v>46060.0</v>
      </c>
      <c r="D4248" s="6" t="s">
        <v>677</v>
      </c>
      <c r="E4248" s="6" t="s">
        <v>618</v>
      </c>
      <c r="F4248" s="6" t="s">
        <v>283</v>
      </c>
      <c r="G4248" s="6" t="s">
        <v>458</v>
      </c>
      <c r="H4248" s="10">
        <v>46064.0</v>
      </c>
      <c r="I4248" s="12">
        <v>3.0</v>
      </c>
      <c r="J4248" s="6" t="s">
        <v>161</v>
      </c>
    </row>
    <row r="4249" ht="22.5" customHeight="1">
      <c r="A4249" s="6" t="s">
        <v>19816</v>
      </c>
      <c r="B4249" s="6" t="s">
        <v>9905</v>
      </c>
      <c r="C4249" s="10">
        <v>46058.0</v>
      </c>
      <c r="D4249" s="6" t="s">
        <v>242</v>
      </c>
      <c r="E4249" s="6" t="s">
        <v>1035</v>
      </c>
      <c r="F4249" s="6" t="s">
        <v>249</v>
      </c>
      <c r="G4249" s="6" t="s">
        <v>458</v>
      </c>
      <c r="H4249" s="11" t="s">
        <v>259</v>
      </c>
      <c r="I4249" s="12">
        <v>4.0</v>
      </c>
      <c r="J4249" s="6" t="s">
        <v>161</v>
      </c>
    </row>
    <row r="4250" ht="22.5" customHeight="1">
      <c r="A4250" s="6" t="s">
        <v>19820</v>
      </c>
      <c r="B4250" s="6" t="s">
        <v>9905</v>
      </c>
      <c r="C4250" s="10">
        <v>46056.0</v>
      </c>
      <c r="D4250" s="6" t="s">
        <v>416</v>
      </c>
      <c r="E4250" s="6" t="s">
        <v>833</v>
      </c>
      <c r="F4250" s="6" t="s">
        <v>283</v>
      </c>
      <c r="G4250" s="6" t="s">
        <v>326</v>
      </c>
      <c r="H4250" s="10">
        <v>46060.0</v>
      </c>
      <c r="I4250" s="12">
        <v>11.0</v>
      </c>
      <c r="J4250" s="6" t="s">
        <v>161</v>
      </c>
    </row>
    <row r="4251" ht="22.5" customHeight="1">
      <c r="A4251" s="6" t="s">
        <v>19824</v>
      </c>
      <c r="B4251" s="6" t="s">
        <v>9905</v>
      </c>
      <c r="C4251" s="10">
        <v>46068.0</v>
      </c>
      <c r="D4251" s="6" t="s">
        <v>416</v>
      </c>
      <c r="E4251" s="6" t="s">
        <v>2365</v>
      </c>
      <c r="F4251" s="6" t="s">
        <v>249</v>
      </c>
      <c r="G4251" s="6" t="s">
        <v>452</v>
      </c>
      <c r="H4251" s="10">
        <v>46070.0</v>
      </c>
      <c r="I4251" s="12">
        <v>11.0</v>
      </c>
      <c r="J4251" s="6" t="s">
        <v>161</v>
      </c>
    </row>
    <row r="4252" ht="22.5" customHeight="1">
      <c r="A4252" s="6" t="s">
        <v>19826</v>
      </c>
      <c r="B4252" s="6" t="s">
        <v>9911</v>
      </c>
      <c r="C4252" s="10">
        <v>46045.0</v>
      </c>
      <c r="D4252" s="6" t="s">
        <v>416</v>
      </c>
      <c r="E4252" s="6" t="s">
        <v>863</v>
      </c>
      <c r="F4252" s="6" t="s">
        <v>439</v>
      </c>
      <c r="G4252" s="6" t="s">
        <v>458</v>
      </c>
      <c r="H4252" s="10">
        <v>46052.0</v>
      </c>
      <c r="I4252" s="12">
        <v>12.0</v>
      </c>
      <c r="J4252" s="6" t="s">
        <v>161</v>
      </c>
    </row>
    <row r="4253" ht="22.5" customHeight="1">
      <c r="A4253" s="6" t="s">
        <v>19830</v>
      </c>
      <c r="B4253" s="6" t="s">
        <v>9918</v>
      </c>
      <c r="C4253" s="10">
        <v>46047.0</v>
      </c>
      <c r="D4253" s="6" t="s">
        <v>242</v>
      </c>
      <c r="E4253" s="6" t="s">
        <v>466</v>
      </c>
      <c r="F4253" s="6" t="s">
        <v>112</v>
      </c>
      <c r="G4253" s="6" t="s">
        <v>369</v>
      </c>
      <c r="H4253" s="11" t="s">
        <v>259</v>
      </c>
      <c r="I4253" s="12">
        <v>6.0</v>
      </c>
      <c r="J4253" s="6" t="s">
        <v>161</v>
      </c>
    </row>
    <row r="4254" ht="22.5" customHeight="1">
      <c r="A4254" s="6" t="s">
        <v>19833</v>
      </c>
      <c r="B4254" s="6" t="s">
        <v>9918</v>
      </c>
      <c r="C4254" s="10">
        <v>46043.0</v>
      </c>
      <c r="D4254" s="6" t="s">
        <v>677</v>
      </c>
      <c r="E4254" s="6" t="s">
        <v>1070</v>
      </c>
      <c r="F4254" s="6" t="s">
        <v>283</v>
      </c>
      <c r="G4254" s="6" t="s">
        <v>458</v>
      </c>
      <c r="H4254" s="11" t="s">
        <v>259</v>
      </c>
      <c r="I4254" s="12">
        <v>3.0</v>
      </c>
      <c r="J4254" s="6" t="s">
        <v>161</v>
      </c>
    </row>
    <row r="4255" ht="22.5" customHeight="1">
      <c r="A4255" s="6" t="s">
        <v>19837</v>
      </c>
      <c r="B4255" s="6" t="s">
        <v>9918</v>
      </c>
      <c r="C4255" s="10">
        <v>46033.0</v>
      </c>
      <c r="D4255" s="6" t="s">
        <v>242</v>
      </c>
      <c r="E4255" s="6" t="s">
        <v>787</v>
      </c>
      <c r="F4255" s="6" t="s">
        <v>249</v>
      </c>
      <c r="G4255" s="6" t="s">
        <v>477</v>
      </c>
      <c r="H4255" s="11" t="s">
        <v>259</v>
      </c>
      <c r="I4255" s="12">
        <v>6.0</v>
      </c>
      <c r="J4255" s="6" t="s">
        <v>178</v>
      </c>
    </row>
    <row r="4256" ht="22.5" customHeight="1">
      <c r="A4256" s="6" t="s">
        <v>19842</v>
      </c>
      <c r="B4256" s="6" t="s">
        <v>9918</v>
      </c>
      <c r="C4256" s="10">
        <v>46040.0</v>
      </c>
      <c r="D4256" s="6" t="s">
        <v>242</v>
      </c>
      <c r="E4256" s="6" t="s">
        <v>450</v>
      </c>
      <c r="F4256" s="6" t="s">
        <v>283</v>
      </c>
      <c r="G4256" s="6" t="s">
        <v>477</v>
      </c>
      <c r="H4256" s="10">
        <v>46041.0</v>
      </c>
      <c r="I4256" s="12">
        <v>3.0</v>
      </c>
      <c r="J4256" s="6" t="s">
        <v>161</v>
      </c>
    </row>
    <row r="4257" ht="22.5" customHeight="1">
      <c r="A4257" s="6" t="s">
        <v>19846</v>
      </c>
      <c r="B4257" s="6" t="s">
        <v>9918</v>
      </c>
      <c r="C4257" s="10">
        <v>46046.0</v>
      </c>
      <c r="D4257" s="6" t="s">
        <v>289</v>
      </c>
      <c r="E4257" s="6" t="s">
        <v>955</v>
      </c>
      <c r="F4257" s="6" t="s">
        <v>112</v>
      </c>
      <c r="G4257" s="6" t="s">
        <v>369</v>
      </c>
      <c r="H4257" s="10">
        <v>46048.0</v>
      </c>
      <c r="I4257" s="12">
        <v>5.0</v>
      </c>
      <c r="J4257" s="6" t="s">
        <v>161</v>
      </c>
    </row>
    <row r="4258" ht="22.5" customHeight="1">
      <c r="A4258" s="6" t="s">
        <v>19850</v>
      </c>
      <c r="B4258" s="6" t="s">
        <v>9924</v>
      </c>
      <c r="C4258" s="10">
        <v>46071.0</v>
      </c>
      <c r="D4258" s="6" t="s">
        <v>677</v>
      </c>
      <c r="E4258" s="6" t="s">
        <v>2881</v>
      </c>
      <c r="F4258" s="6" t="s">
        <v>249</v>
      </c>
      <c r="G4258" s="6" t="s">
        <v>326</v>
      </c>
      <c r="H4258" s="10">
        <v>46074.0</v>
      </c>
      <c r="I4258" s="12">
        <v>2.0</v>
      </c>
      <c r="J4258" s="6" t="s">
        <v>161</v>
      </c>
    </row>
    <row r="4259" ht="22.5" customHeight="1">
      <c r="A4259" s="6" t="s">
        <v>19853</v>
      </c>
      <c r="B4259" s="6" t="s">
        <v>9924</v>
      </c>
      <c r="C4259" s="10">
        <v>46074.0</v>
      </c>
      <c r="D4259" s="6" t="s">
        <v>289</v>
      </c>
      <c r="E4259" s="6" t="s">
        <v>1570</v>
      </c>
      <c r="F4259" s="6" t="s">
        <v>439</v>
      </c>
      <c r="G4259" s="6" t="s">
        <v>452</v>
      </c>
      <c r="H4259" s="11" t="s">
        <v>259</v>
      </c>
      <c r="I4259" s="12">
        <v>9.0</v>
      </c>
      <c r="J4259" s="6" t="s">
        <v>161</v>
      </c>
    </row>
    <row r="4260" ht="22.5" customHeight="1">
      <c r="A4260" s="6" t="s">
        <v>19857</v>
      </c>
      <c r="B4260" s="6" t="s">
        <v>9931</v>
      </c>
      <c r="C4260" s="10">
        <v>46063.0</v>
      </c>
      <c r="D4260" s="6" t="s">
        <v>289</v>
      </c>
      <c r="E4260" s="6" t="s">
        <v>512</v>
      </c>
      <c r="F4260" s="6" t="s">
        <v>439</v>
      </c>
      <c r="G4260" s="6" t="s">
        <v>297</v>
      </c>
      <c r="H4260" s="10">
        <v>46065.0</v>
      </c>
      <c r="I4260" s="12">
        <v>10.0</v>
      </c>
      <c r="J4260" s="6" t="s">
        <v>161</v>
      </c>
    </row>
    <row r="4261" ht="22.5" customHeight="1">
      <c r="A4261" s="6" t="s">
        <v>19861</v>
      </c>
      <c r="B4261" s="6" t="s">
        <v>9931</v>
      </c>
      <c r="C4261" s="10">
        <v>46076.0</v>
      </c>
      <c r="D4261" s="6" t="s">
        <v>289</v>
      </c>
      <c r="E4261" s="6" t="s">
        <v>775</v>
      </c>
      <c r="F4261" s="6" t="s">
        <v>439</v>
      </c>
      <c r="G4261" s="6" t="s">
        <v>297</v>
      </c>
      <c r="H4261" s="10">
        <v>46079.0</v>
      </c>
      <c r="I4261" s="12">
        <v>9.0</v>
      </c>
      <c r="J4261" s="6" t="s">
        <v>161</v>
      </c>
    </row>
    <row r="4262" ht="22.5" customHeight="1">
      <c r="A4262" s="6" t="s">
        <v>19866</v>
      </c>
      <c r="B4262" s="6" t="s">
        <v>9931</v>
      </c>
      <c r="C4262" s="10">
        <v>46071.0</v>
      </c>
      <c r="D4262" s="6" t="s">
        <v>312</v>
      </c>
      <c r="E4262" s="6" t="s">
        <v>1969</v>
      </c>
      <c r="F4262" s="6" t="s">
        <v>283</v>
      </c>
      <c r="G4262" s="6" t="s">
        <v>297</v>
      </c>
      <c r="H4262" s="10">
        <v>46073.0</v>
      </c>
      <c r="I4262" s="12">
        <v>5.0</v>
      </c>
      <c r="J4262" s="6" t="s">
        <v>161</v>
      </c>
    </row>
    <row r="4263" ht="22.5" customHeight="1">
      <c r="A4263" s="6" t="s">
        <v>19870</v>
      </c>
      <c r="B4263" s="6" t="s">
        <v>9931</v>
      </c>
      <c r="C4263" s="10">
        <v>46068.0</v>
      </c>
      <c r="D4263" s="6" t="s">
        <v>416</v>
      </c>
      <c r="E4263" s="6" t="s">
        <v>618</v>
      </c>
      <c r="F4263" s="6" t="s">
        <v>112</v>
      </c>
      <c r="G4263" s="6" t="s">
        <v>458</v>
      </c>
      <c r="H4263" s="10">
        <v>46069.0</v>
      </c>
      <c r="I4263" s="12">
        <v>8.0</v>
      </c>
      <c r="J4263" s="6" t="s">
        <v>161</v>
      </c>
    </row>
    <row r="4264" ht="22.5" customHeight="1">
      <c r="A4264" s="6" t="s">
        <v>19875</v>
      </c>
      <c r="B4264" s="6" t="s">
        <v>9937</v>
      </c>
      <c r="C4264" s="10">
        <v>46045.0</v>
      </c>
      <c r="D4264" s="6" t="s">
        <v>312</v>
      </c>
      <c r="E4264" s="6" t="s">
        <v>716</v>
      </c>
      <c r="F4264" s="6" t="s">
        <v>112</v>
      </c>
      <c r="G4264" s="6" t="s">
        <v>477</v>
      </c>
      <c r="H4264" s="10">
        <v>46047.0</v>
      </c>
      <c r="I4264" s="12">
        <v>7.0</v>
      </c>
      <c r="J4264" s="6" t="s">
        <v>161</v>
      </c>
    </row>
    <row r="4265" ht="22.5" customHeight="1">
      <c r="A4265" s="6" t="s">
        <v>19879</v>
      </c>
      <c r="B4265" s="6" t="s">
        <v>9943</v>
      </c>
      <c r="C4265" s="10">
        <v>46057.0</v>
      </c>
      <c r="D4265" s="6" t="s">
        <v>416</v>
      </c>
      <c r="E4265" s="6" t="s">
        <v>417</v>
      </c>
      <c r="F4265" s="6" t="s">
        <v>283</v>
      </c>
      <c r="G4265" s="6" t="s">
        <v>477</v>
      </c>
      <c r="H4265" s="10">
        <v>46057.0</v>
      </c>
      <c r="I4265" s="12">
        <v>10.0</v>
      </c>
      <c r="J4265" s="6" t="s">
        <v>161</v>
      </c>
    </row>
    <row r="4266" ht="22.5" customHeight="1">
      <c r="A4266" s="6" t="s">
        <v>19888</v>
      </c>
      <c r="B4266" s="6" t="s">
        <v>9943</v>
      </c>
      <c r="C4266" s="10">
        <v>46055.0</v>
      </c>
      <c r="D4266" s="6" t="s">
        <v>416</v>
      </c>
      <c r="E4266" s="6" t="s">
        <v>1546</v>
      </c>
      <c r="F4266" s="6" t="s">
        <v>112</v>
      </c>
      <c r="G4266" s="6" t="s">
        <v>326</v>
      </c>
      <c r="H4266" s="11" t="s">
        <v>259</v>
      </c>
      <c r="I4266" s="12">
        <v>10.0</v>
      </c>
      <c r="J4266" s="6" t="s">
        <v>161</v>
      </c>
    </row>
    <row r="4267" ht="22.5" customHeight="1">
      <c r="A4267" s="6" t="s">
        <v>19891</v>
      </c>
      <c r="B4267" s="6" t="s">
        <v>9948</v>
      </c>
      <c r="C4267" s="10">
        <v>46047.0</v>
      </c>
      <c r="D4267" s="6" t="s">
        <v>391</v>
      </c>
      <c r="E4267" s="6" t="s">
        <v>618</v>
      </c>
      <c r="F4267" s="6" t="s">
        <v>439</v>
      </c>
      <c r="G4267" s="6" t="s">
        <v>297</v>
      </c>
      <c r="H4267" s="10">
        <v>46048.0</v>
      </c>
      <c r="I4267" s="12">
        <v>8.0</v>
      </c>
      <c r="J4267" s="6" t="s">
        <v>161</v>
      </c>
    </row>
    <row r="4268" ht="22.5" customHeight="1">
      <c r="A4268" s="6" t="s">
        <v>19895</v>
      </c>
      <c r="B4268" s="6" t="s">
        <v>9955</v>
      </c>
      <c r="C4268" s="10">
        <v>46044.0</v>
      </c>
      <c r="D4268" s="6" t="s">
        <v>289</v>
      </c>
      <c r="E4268" s="6" t="s">
        <v>1280</v>
      </c>
      <c r="F4268" s="6" t="s">
        <v>283</v>
      </c>
      <c r="G4268" s="6" t="s">
        <v>254</v>
      </c>
      <c r="H4268" s="10">
        <v>46046.0</v>
      </c>
      <c r="I4268" s="12">
        <v>6.0</v>
      </c>
      <c r="J4268" s="6" t="s">
        <v>161</v>
      </c>
    </row>
    <row r="4269" ht="22.5" customHeight="1">
      <c r="A4269" s="6" t="s">
        <v>19901</v>
      </c>
      <c r="B4269" s="6" t="s">
        <v>9955</v>
      </c>
      <c r="C4269" s="10">
        <v>46052.0</v>
      </c>
      <c r="D4269" s="6" t="s">
        <v>416</v>
      </c>
      <c r="E4269" s="6" t="s">
        <v>320</v>
      </c>
      <c r="F4269" s="6" t="s">
        <v>439</v>
      </c>
      <c r="G4269" s="6" t="s">
        <v>326</v>
      </c>
      <c r="H4269" s="10">
        <v>46052.0</v>
      </c>
      <c r="I4269" s="12">
        <v>9.0</v>
      </c>
      <c r="J4269" s="6" t="s">
        <v>161</v>
      </c>
    </row>
    <row r="4270" ht="22.5" customHeight="1">
      <c r="A4270" s="6" t="s">
        <v>19904</v>
      </c>
      <c r="B4270" s="6" t="s">
        <v>9961</v>
      </c>
      <c r="C4270" s="10">
        <v>46071.0</v>
      </c>
      <c r="D4270" s="6" t="s">
        <v>242</v>
      </c>
      <c r="E4270" s="6" t="s">
        <v>566</v>
      </c>
      <c r="F4270" s="6" t="s">
        <v>249</v>
      </c>
      <c r="G4270" s="6" t="s">
        <v>458</v>
      </c>
      <c r="H4270" s="11" t="s">
        <v>259</v>
      </c>
      <c r="I4270" s="12">
        <v>4.0</v>
      </c>
      <c r="J4270" s="6" t="s">
        <v>161</v>
      </c>
    </row>
    <row r="4271" ht="22.5" customHeight="1">
      <c r="A4271" s="6" t="s">
        <v>19908</v>
      </c>
      <c r="B4271" s="6" t="s">
        <v>9961</v>
      </c>
      <c r="C4271" s="10">
        <v>46079.0</v>
      </c>
      <c r="D4271" s="6" t="s">
        <v>312</v>
      </c>
      <c r="E4271" s="6" t="s">
        <v>1720</v>
      </c>
      <c r="F4271" s="6" t="s">
        <v>283</v>
      </c>
      <c r="G4271" s="6" t="s">
        <v>452</v>
      </c>
      <c r="H4271" s="10">
        <v>46082.0</v>
      </c>
      <c r="I4271" s="12">
        <v>5.0</v>
      </c>
      <c r="J4271" s="6" t="s">
        <v>161</v>
      </c>
    </row>
    <row r="4272" ht="22.5" customHeight="1">
      <c r="A4272" s="6" t="s">
        <v>19913</v>
      </c>
      <c r="B4272" s="6" t="s">
        <v>9966</v>
      </c>
      <c r="C4272" s="10">
        <v>46073.0</v>
      </c>
      <c r="D4272" s="6" t="s">
        <v>436</v>
      </c>
      <c r="E4272" s="6" t="s">
        <v>716</v>
      </c>
      <c r="F4272" s="6" t="s">
        <v>112</v>
      </c>
      <c r="G4272" s="6" t="s">
        <v>254</v>
      </c>
      <c r="H4272" s="10">
        <v>46078.0</v>
      </c>
      <c r="I4272" s="12">
        <v>11.0</v>
      </c>
      <c r="J4272" s="6" t="s">
        <v>178</v>
      </c>
    </row>
    <row r="4273" ht="22.5" customHeight="1">
      <c r="A4273" s="6" t="s">
        <v>19918</v>
      </c>
      <c r="B4273" s="6" t="s">
        <v>9966</v>
      </c>
      <c r="C4273" s="10">
        <v>46065.0</v>
      </c>
      <c r="D4273" s="6" t="s">
        <v>312</v>
      </c>
      <c r="E4273" s="6" t="s">
        <v>775</v>
      </c>
      <c r="F4273" s="6" t="s">
        <v>439</v>
      </c>
      <c r="G4273" s="6" t="s">
        <v>458</v>
      </c>
      <c r="H4273" s="10">
        <v>46066.0</v>
      </c>
      <c r="I4273" s="12">
        <v>4.0</v>
      </c>
      <c r="J4273" s="6" t="s">
        <v>161</v>
      </c>
    </row>
    <row r="4274" ht="22.5" customHeight="1">
      <c r="A4274" s="6" t="s">
        <v>19922</v>
      </c>
      <c r="B4274" s="6" t="s">
        <v>9966</v>
      </c>
      <c r="C4274" s="10">
        <v>46068.0</v>
      </c>
      <c r="D4274" s="6" t="s">
        <v>677</v>
      </c>
      <c r="E4274" s="6" t="s">
        <v>1517</v>
      </c>
      <c r="F4274" s="6" t="s">
        <v>112</v>
      </c>
      <c r="G4274" s="6" t="s">
        <v>477</v>
      </c>
      <c r="H4274" s="10">
        <v>46071.0</v>
      </c>
      <c r="I4274" s="12">
        <v>2.0</v>
      </c>
      <c r="J4274" s="6" t="s">
        <v>161</v>
      </c>
    </row>
    <row r="4275" ht="22.5" customHeight="1">
      <c r="A4275" s="6" t="s">
        <v>19926</v>
      </c>
      <c r="B4275" s="6" t="s">
        <v>9966</v>
      </c>
      <c r="C4275" s="10">
        <v>46077.0</v>
      </c>
      <c r="D4275" s="6" t="s">
        <v>677</v>
      </c>
      <c r="E4275" s="6" t="s">
        <v>1969</v>
      </c>
      <c r="F4275" s="6" t="s">
        <v>439</v>
      </c>
      <c r="G4275" s="6" t="s">
        <v>297</v>
      </c>
      <c r="H4275" s="10">
        <v>46080.0</v>
      </c>
      <c r="I4275" s="12">
        <v>4.0</v>
      </c>
      <c r="J4275" s="6" t="s">
        <v>161</v>
      </c>
    </row>
    <row r="4276" ht="22.5" customHeight="1">
      <c r="A4276" s="6" t="s">
        <v>19931</v>
      </c>
      <c r="B4276" s="6" t="s">
        <v>9966</v>
      </c>
      <c r="C4276" s="10">
        <v>46064.0</v>
      </c>
      <c r="D4276" s="6" t="s">
        <v>416</v>
      </c>
      <c r="E4276" s="6" t="s">
        <v>896</v>
      </c>
      <c r="F4276" s="6" t="s">
        <v>283</v>
      </c>
      <c r="G4276" s="6" t="s">
        <v>477</v>
      </c>
      <c r="H4276" s="11" t="s">
        <v>259</v>
      </c>
      <c r="I4276" s="12">
        <v>13.0</v>
      </c>
      <c r="J4276" s="6" t="s">
        <v>161</v>
      </c>
    </row>
    <row r="4277" ht="22.5" customHeight="1">
      <c r="A4277" s="6" t="s">
        <v>19935</v>
      </c>
      <c r="B4277" s="6" t="s">
        <v>9972</v>
      </c>
      <c r="C4277" s="10">
        <v>46067.0</v>
      </c>
      <c r="D4277" s="6" t="s">
        <v>436</v>
      </c>
      <c r="E4277" s="6" t="s">
        <v>658</v>
      </c>
      <c r="F4277" s="6" t="s">
        <v>249</v>
      </c>
      <c r="G4277" s="6" t="s">
        <v>369</v>
      </c>
      <c r="H4277" s="10">
        <v>46068.0</v>
      </c>
      <c r="I4277" s="12">
        <v>12.0</v>
      </c>
      <c r="J4277" s="6" t="s">
        <v>178</v>
      </c>
    </row>
    <row r="4278" ht="22.5" customHeight="1">
      <c r="A4278" s="6" t="s">
        <v>19939</v>
      </c>
      <c r="B4278" s="6" t="s">
        <v>9972</v>
      </c>
      <c r="C4278" s="10">
        <v>46058.0</v>
      </c>
      <c r="D4278" s="6" t="s">
        <v>391</v>
      </c>
      <c r="E4278" s="6" t="s">
        <v>291</v>
      </c>
      <c r="F4278" s="6" t="s">
        <v>283</v>
      </c>
      <c r="G4278" s="6" t="s">
        <v>326</v>
      </c>
      <c r="H4278" s="10">
        <v>46060.0</v>
      </c>
      <c r="I4278" s="12">
        <v>11.0</v>
      </c>
      <c r="J4278" s="6" t="s">
        <v>161</v>
      </c>
    </row>
    <row r="4279" ht="22.5" customHeight="1">
      <c r="A4279" s="6" t="s">
        <v>19941</v>
      </c>
      <c r="B4279" s="6" t="s">
        <v>9972</v>
      </c>
      <c r="C4279" s="10">
        <v>46066.0</v>
      </c>
      <c r="D4279" s="6" t="s">
        <v>677</v>
      </c>
      <c r="E4279" s="6" t="s">
        <v>704</v>
      </c>
      <c r="F4279" s="6" t="s">
        <v>249</v>
      </c>
      <c r="G4279" s="6" t="s">
        <v>297</v>
      </c>
      <c r="H4279" s="10">
        <v>46071.0</v>
      </c>
      <c r="I4279" s="12">
        <v>3.0</v>
      </c>
      <c r="J4279" s="6" t="s">
        <v>161</v>
      </c>
    </row>
    <row r="4280" ht="22.5" customHeight="1">
      <c r="A4280" s="6" t="s">
        <v>19944</v>
      </c>
      <c r="B4280" s="6" t="s">
        <v>9972</v>
      </c>
      <c r="C4280" s="10">
        <v>46068.0</v>
      </c>
      <c r="D4280" s="6" t="s">
        <v>416</v>
      </c>
      <c r="E4280" s="6" t="s">
        <v>1241</v>
      </c>
      <c r="F4280" s="6" t="s">
        <v>283</v>
      </c>
      <c r="G4280" s="6" t="s">
        <v>254</v>
      </c>
      <c r="H4280" s="10">
        <v>46074.0</v>
      </c>
      <c r="I4280" s="12">
        <v>8.0</v>
      </c>
      <c r="J4280" s="6" t="s">
        <v>161</v>
      </c>
    </row>
    <row r="4281" ht="22.5" customHeight="1">
      <c r="A4281" s="6" t="s">
        <v>19949</v>
      </c>
      <c r="B4281" s="6" t="s">
        <v>9979</v>
      </c>
      <c r="C4281" s="10">
        <v>46056.0</v>
      </c>
      <c r="D4281" s="6" t="s">
        <v>677</v>
      </c>
      <c r="E4281" s="6" t="s">
        <v>787</v>
      </c>
      <c r="F4281" s="6" t="s">
        <v>283</v>
      </c>
      <c r="G4281" s="6" t="s">
        <v>477</v>
      </c>
      <c r="H4281" s="11" t="s">
        <v>259</v>
      </c>
      <c r="I4281" s="12">
        <v>3.0</v>
      </c>
      <c r="J4281" s="6" t="s">
        <v>161</v>
      </c>
    </row>
    <row r="4282" ht="22.5" customHeight="1">
      <c r="A4282" s="6" t="s">
        <v>19955</v>
      </c>
      <c r="B4282" s="6" t="s">
        <v>9979</v>
      </c>
      <c r="C4282" s="10">
        <v>46073.0</v>
      </c>
      <c r="D4282" s="6" t="s">
        <v>312</v>
      </c>
      <c r="E4282" s="6" t="s">
        <v>1700</v>
      </c>
      <c r="F4282" s="6" t="s">
        <v>112</v>
      </c>
      <c r="G4282" s="6" t="s">
        <v>326</v>
      </c>
      <c r="H4282" s="11" t="s">
        <v>259</v>
      </c>
      <c r="I4282" s="12">
        <v>4.0</v>
      </c>
      <c r="J4282" s="6" t="s">
        <v>161</v>
      </c>
    </row>
    <row r="4283" ht="22.5" customHeight="1">
      <c r="A4283" s="6" t="s">
        <v>19959</v>
      </c>
      <c r="B4283" s="6" t="s">
        <v>9979</v>
      </c>
      <c r="C4283" s="10">
        <v>46071.0</v>
      </c>
      <c r="D4283" s="6" t="s">
        <v>677</v>
      </c>
      <c r="E4283" s="6" t="s">
        <v>1035</v>
      </c>
      <c r="F4283" s="6" t="s">
        <v>439</v>
      </c>
      <c r="G4283" s="6" t="s">
        <v>369</v>
      </c>
      <c r="H4283" s="10">
        <v>46076.0</v>
      </c>
      <c r="I4283" s="12">
        <v>3.0</v>
      </c>
      <c r="J4283" s="6" t="s">
        <v>161</v>
      </c>
    </row>
    <row r="4284" ht="22.5" customHeight="1">
      <c r="A4284" s="6" t="s">
        <v>19965</v>
      </c>
      <c r="B4284" s="6" t="s">
        <v>9979</v>
      </c>
      <c r="C4284" s="10">
        <v>46064.0</v>
      </c>
      <c r="D4284" s="6" t="s">
        <v>677</v>
      </c>
      <c r="E4284" s="6" t="s">
        <v>438</v>
      </c>
      <c r="F4284" s="6" t="s">
        <v>283</v>
      </c>
      <c r="G4284" s="6" t="s">
        <v>254</v>
      </c>
      <c r="H4284" s="10">
        <v>46064.0</v>
      </c>
      <c r="I4284" s="12">
        <v>3.0</v>
      </c>
      <c r="J4284" s="6" t="s">
        <v>161</v>
      </c>
    </row>
    <row r="4285" ht="22.5" customHeight="1">
      <c r="A4285" s="6" t="s">
        <v>19968</v>
      </c>
      <c r="B4285" s="6" t="s">
        <v>9979</v>
      </c>
      <c r="C4285" s="10">
        <v>46069.0</v>
      </c>
      <c r="D4285" s="6" t="s">
        <v>416</v>
      </c>
      <c r="E4285" s="6" t="s">
        <v>1122</v>
      </c>
      <c r="F4285" s="6" t="s">
        <v>249</v>
      </c>
      <c r="G4285" s="6" t="s">
        <v>254</v>
      </c>
      <c r="H4285" s="10">
        <v>46075.0</v>
      </c>
      <c r="I4285" s="12">
        <v>9.0</v>
      </c>
      <c r="J4285" s="6" t="s">
        <v>161</v>
      </c>
    </row>
    <row r="4286" ht="22.5" customHeight="1">
      <c r="A4286" s="6" t="s">
        <v>19973</v>
      </c>
      <c r="B4286" s="6" t="s">
        <v>9985</v>
      </c>
      <c r="C4286" s="10">
        <v>46067.0</v>
      </c>
      <c r="D4286" s="6" t="s">
        <v>416</v>
      </c>
      <c r="E4286" s="6" t="s">
        <v>896</v>
      </c>
      <c r="F4286" s="6" t="s">
        <v>283</v>
      </c>
      <c r="G4286" s="6" t="s">
        <v>254</v>
      </c>
      <c r="H4286" s="10">
        <v>46068.0</v>
      </c>
      <c r="I4286" s="12">
        <v>11.0</v>
      </c>
      <c r="J4286" s="6" t="s">
        <v>161</v>
      </c>
    </row>
    <row r="4287" ht="22.5" customHeight="1">
      <c r="A4287" s="6" t="s">
        <v>19978</v>
      </c>
      <c r="B4287" s="6" t="s">
        <v>9992</v>
      </c>
      <c r="C4287" s="10">
        <v>46067.0</v>
      </c>
      <c r="D4287" s="6" t="s">
        <v>289</v>
      </c>
      <c r="E4287" s="6" t="s">
        <v>658</v>
      </c>
      <c r="F4287" s="6" t="s">
        <v>249</v>
      </c>
      <c r="G4287" s="6" t="s">
        <v>494</v>
      </c>
      <c r="H4287" s="10">
        <v>46072.0</v>
      </c>
      <c r="I4287" s="12">
        <v>10.0</v>
      </c>
      <c r="J4287" s="6" t="s">
        <v>161</v>
      </c>
    </row>
    <row r="4288" ht="22.5" customHeight="1">
      <c r="A4288" s="6" t="s">
        <v>19982</v>
      </c>
      <c r="B4288" s="6" t="s">
        <v>9992</v>
      </c>
      <c r="C4288" s="10">
        <v>46056.0</v>
      </c>
      <c r="D4288" s="6" t="s">
        <v>242</v>
      </c>
      <c r="E4288" s="6" t="s">
        <v>896</v>
      </c>
      <c r="F4288" s="6" t="s">
        <v>249</v>
      </c>
      <c r="G4288" s="6" t="s">
        <v>297</v>
      </c>
      <c r="H4288" s="10">
        <v>46056.0</v>
      </c>
      <c r="I4288" s="12">
        <v>3.0</v>
      </c>
      <c r="J4288" s="6" t="s">
        <v>178</v>
      </c>
    </row>
    <row r="4289" ht="22.5" customHeight="1">
      <c r="A4289" s="6" t="s">
        <v>19986</v>
      </c>
      <c r="B4289" s="6" t="s">
        <v>9998</v>
      </c>
      <c r="C4289" s="10">
        <v>46060.0</v>
      </c>
      <c r="D4289" s="6" t="s">
        <v>677</v>
      </c>
      <c r="E4289" s="6" t="s">
        <v>1969</v>
      </c>
      <c r="F4289" s="6" t="s">
        <v>249</v>
      </c>
      <c r="G4289" s="6" t="s">
        <v>369</v>
      </c>
      <c r="H4289" s="10">
        <v>46063.0</v>
      </c>
      <c r="I4289" s="12">
        <v>4.0</v>
      </c>
      <c r="J4289" s="6" t="s">
        <v>161</v>
      </c>
    </row>
    <row r="4290" ht="22.5" customHeight="1">
      <c r="A4290" s="6" t="s">
        <v>19990</v>
      </c>
      <c r="B4290" s="6" t="s">
        <v>9998</v>
      </c>
      <c r="C4290" s="10">
        <v>46057.0</v>
      </c>
      <c r="D4290" s="6" t="s">
        <v>436</v>
      </c>
      <c r="E4290" s="6" t="s">
        <v>787</v>
      </c>
      <c r="F4290" s="6" t="s">
        <v>283</v>
      </c>
      <c r="G4290" s="6" t="s">
        <v>494</v>
      </c>
      <c r="H4290" s="10">
        <v>46064.0</v>
      </c>
      <c r="I4290" s="12">
        <v>10.0</v>
      </c>
      <c r="J4290" s="6" t="s">
        <v>178</v>
      </c>
    </row>
    <row r="4291" ht="22.5" customHeight="1">
      <c r="A4291" s="6" t="s">
        <v>19993</v>
      </c>
      <c r="B4291" s="6" t="s">
        <v>9998</v>
      </c>
      <c r="C4291" s="10">
        <v>46064.0</v>
      </c>
      <c r="D4291" s="6" t="s">
        <v>391</v>
      </c>
      <c r="E4291" s="6" t="s">
        <v>610</v>
      </c>
      <c r="F4291" s="6" t="s">
        <v>439</v>
      </c>
      <c r="G4291" s="6" t="s">
        <v>452</v>
      </c>
      <c r="H4291" s="10">
        <v>46068.0</v>
      </c>
      <c r="I4291" s="12">
        <v>9.0</v>
      </c>
      <c r="J4291" s="6" t="s">
        <v>161</v>
      </c>
    </row>
    <row r="4292" ht="22.5" customHeight="1">
      <c r="A4292" s="6" t="s">
        <v>19997</v>
      </c>
      <c r="B4292" s="6" t="s">
        <v>9998</v>
      </c>
      <c r="C4292" s="10">
        <v>46058.0</v>
      </c>
      <c r="D4292" s="6" t="s">
        <v>242</v>
      </c>
      <c r="E4292" s="6" t="s">
        <v>833</v>
      </c>
      <c r="F4292" s="6" t="s">
        <v>283</v>
      </c>
      <c r="G4292" s="6" t="s">
        <v>297</v>
      </c>
      <c r="H4292" s="10">
        <v>46059.0</v>
      </c>
      <c r="I4292" s="12">
        <v>4.0</v>
      </c>
      <c r="J4292" s="6" t="s">
        <v>161</v>
      </c>
    </row>
    <row r="4293" ht="22.5" customHeight="1">
      <c r="A4293" s="6" t="s">
        <v>20000</v>
      </c>
      <c r="B4293" s="6" t="s">
        <v>9998</v>
      </c>
      <c r="C4293" s="10">
        <v>46052.0</v>
      </c>
      <c r="D4293" s="6" t="s">
        <v>312</v>
      </c>
      <c r="E4293" s="6" t="s">
        <v>1296</v>
      </c>
      <c r="F4293" s="6" t="s">
        <v>112</v>
      </c>
      <c r="G4293" s="6" t="s">
        <v>452</v>
      </c>
      <c r="H4293" s="10">
        <v>46056.0</v>
      </c>
      <c r="I4293" s="12">
        <v>7.0</v>
      </c>
      <c r="J4293" s="6" t="s">
        <v>161</v>
      </c>
    </row>
    <row r="4294" ht="22.5" customHeight="1">
      <c r="A4294" s="6" t="s">
        <v>20004</v>
      </c>
      <c r="B4294" s="6" t="s">
        <v>10004</v>
      </c>
      <c r="C4294" s="10">
        <v>46082.0</v>
      </c>
      <c r="D4294" s="6" t="s">
        <v>242</v>
      </c>
      <c r="E4294" s="6" t="s">
        <v>1552</v>
      </c>
      <c r="F4294" s="6" t="s">
        <v>249</v>
      </c>
      <c r="G4294" s="6" t="s">
        <v>452</v>
      </c>
      <c r="H4294" s="10">
        <v>46086.0</v>
      </c>
      <c r="I4294" s="12">
        <v>5.0</v>
      </c>
      <c r="J4294" s="6" t="s">
        <v>178</v>
      </c>
    </row>
    <row r="4295" ht="22.5" customHeight="1">
      <c r="A4295" s="6" t="s">
        <v>20007</v>
      </c>
      <c r="B4295" s="6" t="s">
        <v>10004</v>
      </c>
      <c r="C4295" s="10">
        <v>46074.0</v>
      </c>
      <c r="D4295" s="6" t="s">
        <v>312</v>
      </c>
      <c r="E4295" s="6" t="s">
        <v>320</v>
      </c>
      <c r="F4295" s="6" t="s">
        <v>249</v>
      </c>
      <c r="G4295" s="6" t="s">
        <v>477</v>
      </c>
      <c r="H4295" s="11" t="s">
        <v>259</v>
      </c>
      <c r="I4295" s="12">
        <v>6.0</v>
      </c>
      <c r="J4295" s="6" t="s">
        <v>161</v>
      </c>
    </row>
    <row r="4296" ht="22.5" customHeight="1">
      <c r="A4296" s="6" t="s">
        <v>20011</v>
      </c>
      <c r="B4296" s="6" t="s">
        <v>10004</v>
      </c>
      <c r="C4296" s="10">
        <v>46076.0</v>
      </c>
      <c r="D4296" s="6" t="s">
        <v>677</v>
      </c>
      <c r="E4296" s="6" t="s">
        <v>417</v>
      </c>
      <c r="F4296" s="6" t="s">
        <v>112</v>
      </c>
      <c r="G4296" s="6" t="s">
        <v>452</v>
      </c>
      <c r="H4296" s="10">
        <v>46078.0</v>
      </c>
      <c r="I4296" s="12">
        <v>3.0</v>
      </c>
      <c r="J4296" s="6" t="s">
        <v>161</v>
      </c>
    </row>
    <row r="4297" ht="22.5" customHeight="1">
      <c r="A4297" s="6" t="s">
        <v>20016</v>
      </c>
      <c r="B4297" s="6" t="s">
        <v>10004</v>
      </c>
      <c r="C4297" s="10">
        <v>46078.0</v>
      </c>
      <c r="D4297" s="6" t="s">
        <v>242</v>
      </c>
      <c r="E4297" s="6" t="s">
        <v>1035</v>
      </c>
      <c r="F4297" s="6" t="s">
        <v>283</v>
      </c>
      <c r="G4297" s="6" t="s">
        <v>326</v>
      </c>
      <c r="H4297" s="10">
        <v>46085.0</v>
      </c>
      <c r="I4297" s="12">
        <v>6.0</v>
      </c>
      <c r="J4297" s="6" t="s">
        <v>178</v>
      </c>
    </row>
    <row r="4298" ht="22.5" customHeight="1">
      <c r="A4298" s="6" t="s">
        <v>20019</v>
      </c>
      <c r="B4298" s="6" t="s">
        <v>10004</v>
      </c>
      <c r="C4298" s="10">
        <v>46068.0</v>
      </c>
      <c r="D4298" s="6" t="s">
        <v>391</v>
      </c>
      <c r="E4298" s="6" t="s">
        <v>1969</v>
      </c>
      <c r="F4298" s="6" t="s">
        <v>439</v>
      </c>
      <c r="G4298" s="6" t="s">
        <v>254</v>
      </c>
      <c r="H4298" s="10">
        <v>46073.0</v>
      </c>
      <c r="I4298" s="12">
        <v>7.0</v>
      </c>
      <c r="J4298" s="6" t="s">
        <v>161</v>
      </c>
    </row>
    <row r="4299" ht="22.5" customHeight="1">
      <c r="A4299" s="6" t="s">
        <v>20027</v>
      </c>
      <c r="B4299" s="6" t="s">
        <v>10010</v>
      </c>
      <c r="C4299" s="10">
        <v>46057.0</v>
      </c>
      <c r="D4299" s="6" t="s">
        <v>416</v>
      </c>
      <c r="E4299" s="6" t="s">
        <v>1626</v>
      </c>
      <c r="F4299" s="6" t="s">
        <v>249</v>
      </c>
      <c r="G4299" s="6" t="s">
        <v>458</v>
      </c>
      <c r="H4299" s="10">
        <v>46057.0</v>
      </c>
      <c r="I4299" s="12">
        <v>8.0</v>
      </c>
      <c r="J4299" s="6" t="s">
        <v>161</v>
      </c>
    </row>
    <row r="4300" ht="22.5" customHeight="1">
      <c r="A4300" s="6" t="s">
        <v>20034</v>
      </c>
      <c r="B4300" s="6" t="s">
        <v>10017</v>
      </c>
      <c r="C4300" s="10">
        <v>46062.0</v>
      </c>
      <c r="D4300" s="6" t="s">
        <v>391</v>
      </c>
      <c r="E4300" s="6" t="s">
        <v>1122</v>
      </c>
      <c r="F4300" s="6" t="s">
        <v>112</v>
      </c>
      <c r="G4300" s="6" t="s">
        <v>452</v>
      </c>
      <c r="H4300" s="10">
        <v>46065.0</v>
      </c>
      <c r="I4300" s="12">
        <v>8.0</v>
      </c>
      <c r="J4300" s="6" t="s">
        <v>161</v>
      </c>
    </row>
    <row r="4301" ht="22.5" customHeight="1">
      <c r="A4301" s="6" t="s">
        <v>20037</v>
      </c>
      <c r="B4301" s="6" t="s">
        <v>10017</v>
      </c>
      <c r="C4301" s="10">
        <v>46062.0</v>
      </c>
      <c r="D4301" s="6" t="s">
        <v>436</v>
      </c>
      <c r="E4301" s="6" t="s">
        <v>695</v>
      </c>
      <c r="F4301" s="6" t="s">
        <v>112</v>
      </c>
      <c r="G4301" s="6" t="s">
        <v>326</v>
      </c>
      <c r="H4301" s="11" t="s">
        <v>259</v>
      </c>
      <c r="I4301" s="12">
        <v>11.0</v>
      </c>
      <c r="J4301" s="6" t="s">
        <v>161</v>
      </c>
    </row>
    <row r="4302" ht="22.5" customHeight="1">
      <c r="A4302" s="6" t="s">
        <v>20041</v>
      </c>
      <c r="B4302" s="6" t="s">
        <v>10017</v>
      </c>
      <c r="C4302" s="10">
        <v>46056.0</v>
      </c>
      <c r="D4302" s="6" t="s">
        <v>312</v>
      </c>
      <c r="E4302" s="6" t="s">
        <v>634</v>
      </c>
      <c r="F4302" s="6" t="s">
        <v>112</v>
      </c>
      <c r="G4302" s="6" t="s">
        <v>297</v>
      </c>
      <c r="H4302" s="10">
        <v>46057.0</v>
      </c>
      <c r="I4302" s="12">
        <v>6.0</v>
      </c>
      <c r="J4302" s="6" t="s">
        <v>161</v>
      </c>
    </row>
    <row r="4303" ht="22.5" customHeight="1">
      <c r="A4303" s="6" t="s">
        <v>20043</v>
      </c>
      <c r="B4303" s="6" t="s">
        <v>10017</v>
      </c>
      <c r="C4303" s="10">
        <v>46065.0</v>
      </c>
      <c r="D4303" s="6" t="s">
        <v>416</v>
      </c>
      <c r="E4303" s="6" t="s">
        <v>2881</v>
      </c>
      <c r="F4303" s="6" t="s">
        <v>112</v>
      </c>
      <c r="G4303" s="6" t="s">
        <v>452</v>
      </c>
      <c r="H4303" s="10">
        <v>46067.0</v>
      </c>
      <c r="I4303" s="12">
        <v>10.0</v>
      </c>
      <c r="J4303" s="6" t="s">
        <v>161</v>
      </c>
    </row>
    <row r="4304" ht="22.5" customHeight="1">
      <c r="A4304" s="6" t="s">
        <v>20048</v>
      </c>
      <c r="B4304" s="6" t="s">
        <v>10017</v>
      </c>
      <c r="C4304" s="10">
        <v>46064.0</v>
      </c>
      <c r="D4304" s="6" t="s">
        <v>391</v>
      </c>
      <c r="E4304" s="6" t="s">
        <v>731</v>
      </c>
      <c r="F4304" s="6" t="s">
        <v>112</v>
      </c>
      <c r="G4304" s="6" t="s">
        <v>458</v>
      </c>
      <c r="H4304" s="10">
        <v>46067.0</v>
      </c>
      <c r="I4304" s="12">
        <v>10.0</v>
      </c>
      <c r="J4304" s="6" t="s">
        <v>161</v>
      </c>
    </row>
    <row r="4305" ht="22.5" customHeight="1">
      <c r="A4305" s="6" t="s">
        <v>20053</v>
      </c>
      <c r="B4305" s="6" t="s">
        <v>10023</v>
      </c>
      <c r="C4305" s="10">
        <v>46039.0</v>
      </c>
      <c r="D4305" s="6" t="s">
        <v>677</v>
      </c>
      <c r="E4305" s="6" t="s">
        <v>1296</v>
      </c>
      <c r="F4305" s="6" t="s">
        <v>283</v>
      </c>
      <c r="G4305" s="6" t="s">
        <v>369</v>
      </c>
      <c r="H4305" s="10">
        <v>46046.0</v>
      </c>
      <c r="I4305" s="12">
        <v>3.0</v>
      </c>
      <c r="J4305" s="6" t="s">
        <v>161</v>
      </c>
    </row>
    <row r="4306" ht="22.5" customHeight="1">
      <c r="A4306" s="6" t="s">
        <v>20056</v>
      </c>
      <c r="B4306" s="6" t="s">
        <v>10023</v>
      </c>
      <c r="C4306" s="10">
        <v>46042.0</v>
      </c>
      <c r="D4306" s="6" t="s">
        <v>677</v>
      </c>
      <c r="E4306" s="6" t="s">
        <v>1122</v>
      </c>
      <c r="F4306" s="6" t="s">
        <v>439</v>
      </c>
      <c r="G4306" s="6" t="s">
        <v>326</v>
      </c>
      <c r="H4306" s="10">
        <v>46043.0</v>
      </c>
      <c r="I4306" s="12">
        <v>2.0</v>
      </c>
      <c r="J4306" s="6" t="s">
        <v>161</v>
      </c>
    </row>
    <row r="4307" ht="22.5" customHeight="1">
      <c r="A4307" s="6" t="s">
        <v>20061</v>
      </c>
      <c r="B4307" s="6" t="s">
        <v>10023</v>
      </c>
      <c r="C4307" s="10">
        <v>46041.0</v>
      </c>
      <c r="D4307" s="6" t="s">
        <v>391</v>
      </c>
      <c r="E4307" s="6" t="s">
        <v>628</v>
      </c>
      <c r="F4307" s="6" t="s">
        <v>249</v>
      </c>
      <c r="G4307" s="6" t="s">
        <v>452</v>
      </c>
      <c r="H4307" s="10">
        <v>46043.0</v>
      </c>
      <c r="I4307" s="12">
        <v>6.0</v>
      </c>
      <c r="J4307" s="6" t="s">
        <v>161</v>
      </c>
    </row>
    <row r="4308" ht="22.5" customHeight="1">
      <c r="A4308" s="6" t="s">
        <v>20065</v>
      </c>
      <c r="B4308" s="6" t="s">
        <v>10023</v>
      </c>
      <c r="C4308" s="10">
        <v>46048.0</v>
      </c>
      <c r="D4308" s="6" t="s">
        <v>391</v>
      </c>
      <c r="E4308" s="6" t="s">
        <v>512</v>
      </c>
      <c r="F4308" s="6" t="s">
        <v>439</v>
      </c>
      <c r="G4308" s="6" t="s">
        <v>297</v>
      </c>
      <c r="H4308" s="10">
        <v>46053.0</v>
      </c>
      <c r="I4308" s="12">
        <v>8.0</v>
      </c>
      <c r="J4308" s="6" t="s">
        <v>161</v>
      </c>
    </row>
    <row r="4309" ht="22.5" customHeight="1">
      <c r="A4309" s="6" t="s">
        <v>20069</v>
      </c>
      <c r="B4309" s="6" t="s">
        <v>10029</v>
      </c>
      <c r="C4309" s="10">
        <v>46049.0</v>
      </c>
      <c r="D4309" s="6" t="s">
        <v>312</v>
      </c>
      <c r="E4309" s="6" t="s">
        <v>687</v>
      </c>
      <c r="F4309" s="6" t="s">
        <v>112</v>
      </c>
      <c r="G4309" s="6" t="s">
        <v>254</v>
      </c>
      <c r="H4309" s="10">
        <v>46052.0</v>
      </c>
      <c r="I4309" s="12">
        <v>6.0</v>
      </c>
      <c r="J4309" s="6" t="s">
        <v>161</v>
      </c>
    </row>
    <row r="4310" ht="22.5" customHeight="1">
      <c r="A4310" s="6" t="s">
        <v>20074</v>
      </c>
      <c r="B4310" s="6" t="s">
        <v>10029</v>
      </c>
      <c r="C4310" s="10">
        <v>46048.0</v>
      </c>
      <c r="D4310" s="6" t="s">
        <v>391</v>
      </c>
      <c r="E4310" s="6" t="s">
        <v>438</v>
      </c>
      <c r="F4310" s="6" t="s">
        <v>112</v>
      </c>
      <c r="G4310" s="6" t="s">
        <v>297</v>
      </c>
      <c r="H4310" s="10">
        <v>46053.0</v>
      </c>
      <c r="I4310" s="12">
        <v>6.0</v>
      </c>
      <c r="J4310" s="6" t="s">
        <v>161</v>
      </c>
    </row>
    <row r="4311" ht="22.5" customHeight="1">
      <c r="A4311" s="6" t="s">
        <v>20079</v>
      </c>
      <c r="B4311" s="6" t="s">
        <v>10029</v>
      </c>
      <c r="C4311" s="10">
        <v>46044.0</v>
      </c>
      <c r="D4311" s="6" t="s">
        <v>436</v>
      </c>
      <c r="E4311" s="6" t="s">
        <v>1102</v>
      </c>
      <c r="F4311" s="6" t="s">
        <v>112</v>
      </c>
      <c r="G4311" s="6" t="s">
        <v>458</v>
      </c>
      <c r="H4311" s="10">
        <v>46048.0</v>
      </c>
      <c r="I4311" s="12">
        <v>11.0</v>
      </c>
      <c r="J4311" s="6" t="s">
        <v>178</v>
      </c>
    </row>
    <row r="4312" ht="22.5" customHeight="1">
      <c r="A4312" s="6" t="s">
        <v>20082</v>
      </c>
      <c r="B4312" s="6" t="s">
        <v>10029</v>
      </c>
      <c r="C4312" s="10">
        <v>46039.0</v>
      </c>
      <c r="D4312" s="6" t="s">
        <v>312</v>
      </c>
      <c r="E4312" s="6" t="s">
        <v>1273</v>
      </c>
      <c r="F4312" s="6" t="s">
        <v>439</v>
      </c>
      <c r="G4312" s="6" t="s">
        <v>494</v>
      </c>
      <c r="H4312" s="10">
        <v>46046.0</v>
      </c>
      <c r="I4312" s="12">
        <v>5.0</v>
      </c>
      <c r="J4312" s="6" t="s">
        <v>161</v>
      </c>
    </row>
    <row r="4313" ht="22.5" customHeight="1">
      <c r="A4313" s="6" t="s">
        <v>20086</v>
      </c>
      <c r="B4313" s="6" t="s">
        <v>10029</v>
      </c>
      <c r="C4313" s="10">
        <v>46047.0</v>
      </c>
      <c r="D4313" s="6" t="s">
        <v>436</v>
      </c>
      <c r="E4313" s="6" t="s">
        <v>885</v>
      </c>
      <c r="F4313" s="6" t="s">
        <v>283</v>
      </c>
      <c r="G4313" s="6" t="s">
        <v>477</v>
      </c>
      <c r="H4313" s="10">
        <v>46048.0</v>
      </c>
      <c r="I4313" s="12">
        <v>6.0</v>
      </c>
      <c r="J4313" s="6" t="s">
        <v>178</v>
      </c>
    </row>
    <row r="4314" ht="22.5" customHeight="1">
      <c r="A4314" s="6" t="s">
        <v>20092</v>
      </c>
      <c r="B4314" s="6" t="s">
        <v>10036</v>
      </c>
      <c r="C4314" s="10">
        <v>46080.0</v>
      </c>
      <c r="D4314" s="6" t="s">
        <v>312</v>
      </c>
      <c r="E4314" s="6" t="s">
        <v>1149</v>
      </c>
      <c r="F4314" s="6" t="s">
        <v>112</v>
      </c>
      <c r="G4314" s="6" t="s">
        <v>452</v>
      </c>
      <c r="H4314" s="11" t="s">
        <v>259</v>
      </c>
      <c r="I4314" s="12">
        <v>4.0</v>
      </c>
      <c r="J4314" s="6" t="s">
        <v>161</v>
      </c>
    </row>
    <row r="4315" ht="22.5" customHeight="1">
      <c r="A4315" s="6" t="s">
        <v>20095</v>
      </c>
      <c r="B4315" s="6" t="s">
        <v>10036</v>
      </c>
      <c r="C4315" s="10">
        <v>46082.0</v>
      </c>
      <c r="D4315" s="6" t="s">
        <v>416</v>
      </c>
      <c r="E4315" s="6" t="s">
        <v>475</v>
      </c>
      <c r="F4315" s="6" t="s">
        <v>439</v>
      </c>
      <c r="G4315" s="6" t="s">
        <v>458</v>
      </c>
      <c r="H4315" s="10">
        <v>46084.0</v>
      </c>
      <c r="I4315" s="12">
        <v>8.0</v>
      </c>
      <c r="J4315" s="6" t="s">
        <v>161</v>
      </c>
    </row>
    <row r="4316" ht="22.5" customHeight="1">
      <c r="A4316" s="6" t="s">
        <v>20100</v>
      </c>
      <c r="B4316" s="6" t="s">
        <v>10042</v>
      </c>
      <c r="C4316" s="10">
        <v>46067.0</v>
      </c>
      <c r="D4316" s="6" t="s">
        <v>289</v>
      </c>
      <c r="E4316" s="6" t="s">
        <v>704</v>
      </c>
      <c r="F4316" s="6" t="s">
        <v>249</v>
      </c>
      <c r="G4316" s="6" t="s">
        <v>494</v>
      </c>
      <c r="H4316" s="10">
        <v>46068.0</v>
      </c>
      <c r="I4316" s="12">
        <v>6.0</v>
      </c>
      <c r="J4316" s="6" t="s">
        <v>161</v>
      </c>
    </row>
    <row r="4317" ht="22.5" customHeight="1">
      <c r="A4317" s="6" t="s">
        <v>20105</v>
      </c>
      <c r="B4317" s="6" t="s">
        <v>10042</v>
      </c>
      <c r="C4317" s="10">
        <v>46083.0</v>
      </c>
      <c r="D4317" s="6" t="s">
        <v>391</v>
      </c>
      <c r="E4317" s="6" t="s">
        <v>704</v>
      </c>
      <c r="F4317" s="6" t="s">
        <v>439</v>
      </c>
      <c r="G4317" s="6" t="s">
        <v>477</v>
      </c>
      <c r="H4317" s="10">
        <v>46083.0</v>
      </c>
      <c r="I4317" s="12">
        <v>9.0</v>
      </c>
      <c r="J4317" s="6" t="s">
        <v>161</v>
      </c>
    </row>
    <row r="4318" ht="22.5" customHeight="1">
      <c r="A4318" s="6" t="s">
        <v>20109</v>
      </c>
      <c r="B4318" s="6" t="s">
        <v>10042</v>
      </c>
      <c r="C4318" s="10">
        <v>46067.0</v>
      </c>
      <c r="D4318" s="6" t="s">
        <v>242</v>
      </c>
      <c r="E4318" s="6" t="s">
        <v>291</v>
      </c>
      <c r="F4318" s="6" t="s">
        <v>439</v>
      </c>
      <c r="G4318" s="6" t="s">
        <v>458</v>
      </c>
      <c r="H4318" s="10">
        <v>46068.0</v>
      </c>
      <c r="I4318" s="12">
        <v>5.0</v>
      </c>
      <c r="J4318" s="6" t="s">
        <v>178</v>
      </c>
    </row>
    <row r="4319" ht="22.5" customHeight="1">
      <c r="A4319" s="6" t="s">
        <v>20117</v>
      </c>
      <c r="B4319" s="6" t="s">
        <v>10049</v>
      </c>
      <c r="C4319" s="10">
        <v>46044.0</v>
      </c>
      <c r="D4319" s="6" t="s">
        <v>416</v>
      </c>
      <c r="E4319" s="6" t="s">
        <v>731</v>
      </c>
      <c r="F4319" s="6" t="s">
        <v>439</v>
      </c>
      <c r="G4319" s="6" t="s">
        <v>297</v>
      </c>
      <c r="H4319" s="10">
        <v>46049.0</v>
      </c>
      <c r="I4319" s="12">
        <v>10.0</v>
      </c>
      <c r="J4319" s="6" t="s">
        <v>161</v>
      </c>
    </row>
    <row r="4320" ht="22.5" customHeight="1">
      <c r="A4320" s="6" t="s">
        <v>20125</v>
      </c>
      <c r="B4320" s="6" t="s">
        <v>10049</v>
      </c>
      <c r="C4320" s="10">
        <v>46037.0</v>
      </c>
      <c r="D4320" s="6" t="s">
        <v>312</v>
      </c>
      <c r="E4320" s="6" t="s">
        <v>512</v>
      </c>
      <c r="F4320" s="6" t="s">
        <v>249</v>
      </c>
      <c r="G4320" s="6" t="s">
        <v>297</v>
      </c>
      <c r="H4320" s="11" t="s">
        <v>259</v>
      </c>
      <c r="I4320" s="12">
        <v>7.0</v>
      </c>
      <c r="J4320" s="6" t="s">
        <v>161</v>
      </c>
    </row>
    <row r="4321" ht="22.5" customHeight="1">
      <c r="A4321" s="6" t="s">
        <v>20131</v>
      </c>
      <c r="B4321" s="6" t="s">
        <v>10049</v>
      </c>
      <c r="C4321" s="10">
        <v>46034.0</v>
      </c>
      <c r="D4321" s="6" t="s">
        <v>416</v>
      </c>
      <c r="E4321" s="6" t="s">
        <v>1035</v>
      </c>
      <c r="F4321" s="6" t="s">
        <v>283</v>
      </c>
      <c r="G4321" s="6" t="s">
        <v>326</v>
      </c>
      <c r="H4321" s="10">
        <v>46041.0</v>
      </c>
      <c r="I4321" s="12">
        <v>14.0</v>
      </c>
      <c r="J4321" s="6" t="s">
        <v>161</v>
      </c>
    </row>
    <row r="4322" ht="22.5" customHeight="1">
      <c r="A4322" s="6" t="s">
        <v>20135</v>
      </c>
      <c r="B4322" s="6" t="s">
        <v>10049</v>
      </c>
      <c r="C4322" s="10">
        <v>46038.0</v>
      </c>
      <c r="D4322" s="6" t="s">
        <v>312</v>
      </c>
      <c r="E4322" s="6" t="s">
        <v>450</v>
      </c>
      <c r="F4322" s="6" t="s">
        <v>439</v>
      </c>
      <c r="G4322" s="6" t="s">
        <v>452</v>
      </c>
      <c r="H4322" s="10">
        <v>46038.0</v>
      </c>
      <c r="I4322" s="12">
        <v>5.0</v>
      </c>
      <c r="J4322" s="6" t="s">
        <v>161</v>
      </c>
    </row>
    <row r="4323" ht="22.5" customHeight="1">
      <c r="A4323" s="6" t="s">
        <v>20141</v>
      </c>
      <c r="B4323" s="6" t="s">
        <v>10049</v>
      </c>
      <c r="C4323" s="10">
        <v>46034.0</v>
      </c>
      <c r="D4323" s="6" t="s">
        <v>677</v>
      </c>
      <c r="E4323" s="6" t="s">
        <v>610</v>
      </c>
      <c r="F4323" s="6" t="s">
        <v>439</v>
      </c>
      <c r="G4323" s="6" t="s">
        <v>297</v>
      </c>
      <c r="H4323" s="10">
        <v>46034.0</v>
      </c>
      <c r="I4323" s="12">
        <v>3.0</v>
      </c>
      <c r="J4323" s="6" t="s">
        <v>161</v>
      </c>
    </row>
    <row r="4324" ht="22.5" customHeight="1">
      <c r="A4324" s="6" t="s">
        <v>20147</v>
      </c>
      <c r="B4324" s="6" t="s">
        <v>10055</v>
      </c>
      <c r="C4324" s="10">
        <v>46066.0</v>
      </c>
      <c r="D4324" s="6" t="s">
        <v>242</v>
      </c>
      <c r="E4324" s="6" t="s">
        <v>704</v>
      </c>
      <c r="F4324" s="6" t="s">
        <v>249</v>
      </c>
      <c r="G4324" s="6" t="s">
        <v>297</v>
      </c>
      <c r="H4324" s="10">
        <v>46071.0</v>
      </c>
      <c r="I4324" s="12">
        <v>3.0</v>
      </c>
      <c r="J4324" s="6" t="s">
        <v>161</v>
      </c>
    </row>
    <row r="4325" ht="22.5" customHeight="1">
      <c r="A4325" s="6" t="s">
        <v>20149</v>
      </c>
      <c r="B4325" s="6" t="s">
        <v>10055</v>
      </c>
      <c r="C4325" s="10">
        <v>46063.0</v>
      </c>
      <c r="D4325" s="6" t="s">
        <v>289</v>
      </c>
      <c r="E4325" s="6" t="s">
        <v>1241</v>
      </c>
      <c r="F4325" s="6" t="s">
        <v>439</v>
      </c>
      <c r="G4325" s="6" t="s">
        <v>326</v>
      </c>
      <c r="H4325" s="10">
        <v>46064.0</v>
      </c>
      <c r="I4325" s="12">
        <v>10.0</v>
      </c>
      <c r="J4325" s="6" t="s">
        <v>161</v>
      </c>
    </row>
    <row r="4326" ht="22.5" customHeight="1">
      <c r="A4326" s="6" t="s">
        <v>20154</v>
      </c>
      <c r="B4326" s="6" t="s">
        <v>10055</v>
      </c>
      <c r="C4326" s="10">
        <v>46059.0</v>
      </c>
      <c r="D4326" s="6" t="s">
        <v>677</v>
      </c>
      <c r="E4326" s="6" t="s">
        <v>475</v>
      </c>
      <c r="F4326" s="6" t="s">
        <v>249</v>
      </c>
      <c r="G4326" s="6" t="s">
        <v>297</v>
      </c>
      <c r="H4326" s="10">
        <v>46065.0</v>
      </c>
      <c r="I4326" s="12">
        <v>3.0</v>
      </c>
      <c r="J4326" s="6" t="s">
        <v>161</v>
      </c>
    </row>
    <row r="4327" ht="22.5" customHeight="1">
      <c r="A4327" s="6" t="s">
        <v>20157</v>
      </c>
      <c r="B4327" s="6" t="s">
        <v>10055</v>
      </c>
      <c r="C4327" s="10">
        <v>46049.0</v>
      </c>
      <c r="D4327" s="6" t="s">
        <v>242</v>
      </c>
      <c r="E4327" s="6" t="s">
        <v>634</v>
      </c>
      <c r="F4327" s="6" t="s">
        <v>112</v>
      </c>
      <c r="G4327" s="6" t="s">
        <v>452</v>
      </c>
      <c r="H4327" s="11" t="s">
        <v>259</v>
      </c>
      <c r="I4327" s="12">
        <v>6.0</v>
      </c>
      <c r="J4327" s="6" t="s">
        <v>178</v>
      </c>
    </row>
    <row r="4328" ht="22.5" customHeight="1">
      <c r="A4328" s="6" t="s">
        <v>20162</v>
      </c>
      <c r="B4328" s="6" t="s">
        <v>10055</v>
      </c>
      <c r="C4328" s="10">
        <v>46066.0</v>
      </c>
      <c r="D4328" s="6" t="s">
        <v>436</v>
      </c>
      <c r="E4328" s="6" t="s">
        <v>1969</v>
      </c>
      <c r="F4328" s="6" t="s">
        <v>283</v>
      </c>
      <c r="G4328" s="6" t="s">
        <v>369</v>
      </c>
      <c r="H4328" s="10">
        <v>46066.0</v>
      </c>
      <c r="I4328" s="12">
        <v>12.0</v>
      </c>
      <c r="J4328" s="6" t="s">
        <v>178</v>
      </c>
    </row>
    <row r="4329" ht="22.5" customHeight="1">
      <c r="A4329" s="6" t="s">
        <v>20167</v>
      </c>
      <c r="B4329" s="6" t="s">
        <v>10062</v>
      </c>
      <c r="C4329" s="10">
        <v>46074.0</v>
      </c>
      <c r="D4329" s="6" t="s">
        <v>312</v>
      </c>
      <c r="E4329" s="6" t="s">
        <v>417</v>
      </c>
      <c r="F4329" s="6" t="s">
        <v>249</v>
      </c>
      <c r="G4329" s="6" t="s">
        <v>477</v>
      </c>
      <c r="H4329" s="10">
        <v>46076.0</v>
      </c>
      <c r="I4329" s="12">
        <v>5.0</v>
      </c>
      <c r="J4329" s="6" t="s">
        <v>161</v>
      </c>
    </row>
    <row r="4330" ht="22.5" customHeight="1">
      <c r="A4330" s="6" t="s">
        <v>20173</v>
      </c>
      <c r="B4330" s="6" t="s">
        <v>10062</v>
      </c>
      <c r="C4330" s="10">
        <v>46077.0</v>
      </c>
      <c r="D4330" s="6" t="s">
        <v>436</v>
      </c>
      <c r="E4330" s="6" t="s">
        <v>1700</v>
      </c>
      <c r="F4330" s="6" t="s">
        <v>249</v>
      </c>
      <c r="G4330" s="6" t="s">
        <v>369</v>
      </c>
      <c r="H4330" s="10">
        <v>46078.0</v>
      </c>
      <c r="I4330" s="12">
        <v>9.0</v>
      </c>
      <c r="J4330" s="6" t="s">
        <v>161</v>
      </c>
    </row>
    <row r="4331" ht="22.5" customHeight="1">
      <c r="A4331" s="6" t="s">
        <v>20176</v>
      </c>
      <c r="B4331" s="6" t="s">
        <v>10068</v>
      </c>
      <c r="C4331" s="10">
        <v>46083.0</v>
      </c>
      <c r="D4331" s="6" t="s">
        <v>242</v>
      </c>
      <c r="E4331" s="6" t="s">
        <v>1273</v>
      </c>
      <c r="F4331" s="6" t="s">
        <v>112</v>
      </c>
      <c r="G4331" s="6" t="s">
        <v>458</v>
      </c>
      <c r="H4331" s="10">
        <v>46089.0</v>
      </c>
      <c r="I4331" s="12">
        <v>4.0</v>
      </c>
      <c r="J4331" s="6" t="s">
        <v>178</v>
      </c>
    </row>
    <row r="4332" ht="22.5" customHeight="1">
      <c r="A4332" s="6" t="s">
        <v>20180</v>
      </c>
      <c r="B4332" s="6" t="s">
        <v>10068</v>
      </c>
      <c r="C4332" s="10">
        <v>46067.0</v>
      </c>
      <c r="D4332" s="6" t="s">
        <v>436</v>
      </c>
      <c r="E4332" s="6" t="s">
        <v>634</v>
      </c>
      <c r="F4332" s="6" t="s">
        <v>439</v>
      </c>
      <c r="G4332" s="6" t="s">
        <v>297</v>
      </c>
      <c r="H4332" s="10">
        <v>46069.0</v>
      </c>
      <c r="I4332" s="12">
        <v>7.0</v>
      </c>
      <c r="J4332" s="6" t="s">
        <v>161</v>
      </c>
    </row>
    <row r="4333" ht="22.5" customHeight="1">
      <c r="A4333" s="6" t="s">
        <v>20186</v>
      </c>
      <c r="B4333" s="6" t="s">
        <v>10068</v>
      </c>
      <c r="C4333" s="10">
        <v>46071.0</v>
      </c>
      <c r="D4333" s="6" t="s">
        <v>391</v>
      </c>
      <c r="E4333" s="6" t="s">
        <v>466</v>
      </c>
      <c r="F4333" s="6" t="s">
        <v>283</v>
      </c>
      <c r="G4333" s="6" t="s">
        <v>326</v>
      </c>
      <c r="H4333" s="11" t="s">
        <v>259</v>
      </c>
      <c r="I4333" s="12">
        <v>8.0</v>
      </c>
      <c r="J4333" s="6" t="s">
        <v>161</v>
      </c>
    </row>
    <row r="4334" ht="22.5" customHeight="1">
      <c r="A4334" s="6" t="s">
        <v>20189</v>
      </c>
      <c r="B4334" s="6" t="s">
        <v>10068</v>
      </c>
      <c r="C4334" s="10">
        <v>46076.0</v>
      </c>
      <c r="D4334" s="6" t="s">
        <v>312</v>
      </c>
      <c r="E4334" s="6" t="s">
        <v>1241</v>
      </c>
      <c r="F4334" s="6" t="s">
        <v>249</v>
      </c>
      <c r="G4334" s="6" t="s">
        <v>494</v>
      </c>
      <c r="H4334" s="10">
        <v>46080.0</v>
      </c>
      <c r="I4334" s="12">
        <v>6.0</v>
      </c>
      <c r="J4334" s="6" t="s">
        <v>161</v>
      </c>
    </row>
    <row r="4335" ht="22.5" customHeight="1">
      <c r="A4335" s="6" t="s">
        <v>20193</v>
      </c>
      <c r="B4335" s="6" t="s">
        <v>10068</v>
      </c>
      <c r="C4335" s="10">
        <v>46082.0</v>
      </c>
      <c r="D4335" s="6" t="s">
        <v>312</v>
      </c>
      <c r="E4335" s="6" t="s">
        <v>670</v>
      </c>
      <c r="F4335" s="6" t="s">
        <v>249</v>
      </c>
      <c r="G4335" s="6" t="s">
        <v>369</v>
      </c>
      <c r="H4335" s="10">
        <v>46085.0</v>
      </c>
      <c r="I4335" s="12">
        <v>7.0</v>
      </c>
      <c r="J4335" s="6" t="s">
        <v>161</v>
      </c>
    </row>
    <row r="4336" ht="22.5" customHeight="1">
      <c r="A4336" s="6" t="s">
        <v>20198</v>
      </c>
      <c r="B4336" s="6" t="s">
        <v>10075</v>
      </c>
      <c r="C4336" s="10">
        <v>46069.0</v>
      </c>
      <c r="D4336" s="6" t="s">
        <v>677</v>
      </c>
      <c r="E4336" s="6" t="s">
        <v>1720</v>
      </c>
      <c r="F4336" s="6" t="s">
        <v>283</v>
      </c>
      <c r="G4336" s="6" t="s">
        <v>254</v>
      </c>
      <c r="H4336" s="10">
        <v>46075.0</v>
      </c>
      <c r="I4336" s="12">
        <v>2.0</v>
      </c>
      <c r="J4336" s="6" t="s">
        <v>161</v>
      </c>
    </row>
    <row r="4337" ht="22.5" customHeight="1">
      <c r="A4337" s="6" t="s">
        <v>20202</v>
      </c>
      <c r="B4337" s="6" t="s">
        <v>10075</v>
      </c>
      <c r="C4337" s="10">
        <v>46063.0</v>
      </c>
      <c r="D4337" s="6" t="s">
        <v>436</v>
      </c>
      <c r="E4337" s="6" t="s">
        <v>775</v>
      </c>
      <c r="F4337" s="6" t="s">
        <v>439</v>
      </c>
      <c r="G4337" s="6" t="s">
        <v>452</v>
      </c>
      <c r="H4337" s="11" t="s">
        <v>259</v>
      </c>
      <c r="I4337" s="12">
        <v>6.0</v>
      </c>
      <c r="J4337" s="6" t="s">
        <v>178</v>
      </c>
    </row>
    <row r="4338" ht="22.5" customHeight="1">
      <c r="A4338" s="6" t="s">
        <v>20206</v>
      </c>
      <c r="B4338" s="6" t="s">
        <v>10075</v>
      </c>
      <c r="C4338" s="10">
        <v>46056.0</v>
      </c>
      <c r="D4338" s="6" t="s">
        <v>391</v>
      </c>
      <c r="E4338" s="6" t="s">
        <v>1102</v>
      </c>
      <c r="F4338" s="6" t="s">
        <v>249</v>
      </c>
      <c r="G4338" s="6" t="s">
        <v>369</v>
      </c>
      <c r="H4338" s="11" t="s">
        <v>259</v>
      </c>
      <c r="I4338" s="12">
        <v>8.0</v>
      </c>
      <c r="J4338" s="6" t="s">
        <v>161</v>
      </c>
    </row>
    <row r="4339" ht="22.5" customHeight="1">
      <c r="A4339" s="6" t="s">
        <v>20211</v>
      </c>
      <c r="B4339" s="6" t="s">
        <v>10081</v>
      </c>
      <c r="C4339" s="10">
        <v>46053.0</v>
      </c>
      <c r="D4339" s="6" t="s">
        <v>416</v>
      </c>
      <c r="E4339" s="6" t="s">
        <v>1273</v>
      </c>
      <c r="F4339" s="6" t="s">
        <v>249</v>
      </c>
      <c r="G4339" s="6" t="s">
        <v>254</v>
      </c>
      <c r="H4339" s="10">
        <v>46056.0</v>
      </c>
      <c r="I4339" s="12">
        <v>14.0</v>
      </c>
      <c r="J4339" s="6" t="s">
        <v>161</v>
      </c>
    </row>
    <row r="4340" ht="22.5" customHeight="1">
      <c r="A4340" s="6" t="s">
        <v>20217</v>
      </c>
      <c r="B4340" s="6" t="s">
        <v>10081</v>
      </c>
      <c r="C4340" s="10">
        <v>46048.0</v>
      </c>
      <c r="D4340" s="6" t="s">
        <v>312</v>
      </c>
      <c r="E4340" s="6" t="s">
        <v>775</v>
      </c>
      <c r="F4340" s="6" t="s">
        <v>439</v>
      </c>
      <c r="G4340" s="6" t="s">
        <v>254</v>
      </c>
      <c r="H4340" s="10">
        <v>46052.0</v>
      </c>
      <c r="I4340" s="12">
        <v>7.0</v>
      </c>
      <c r="J4340" s="6" t="s">
        <v>161</v>
      </c>
    </row>
    <row r="4341" ht="22.5" customHeight="1">
      <c r="A4341" s="6" t="s">
        <v>20220</v>
      </c>
      <c r="B4341" s="6" t="s">
        <v>10087</v>
      </c>
      <c r="C4341" s="10">
        <v>46051.0</v>
      </c>
      <c r="D4341" s="6" t="s">
        <v>242</v>
      </c>
      <c r="E4341" s="6" t="s">
        <v>695</v>
      </c>
      <c r="F4341" s="6" t="s">
        <v>283</v>
      </c>
      <c r="G4341" s="6" t="s">
        <v>452</v>
      </c>
      <c r="H4341" s="10">
        <v>46051.0</v>
      </c>
      <c r="I4341" s="12">
        <v>4.0</v>
      </c>
      <c r="J4341" s="6" t="s">
        <v>178</v>
      </c>
    </row>
    <row r="4342" ht="22.5" customHeight="1">
      <c r="A4342" s="6" t="s">
        <v>20224</v>
      </c>
      <c r="B4342" s="6" t="s">
        <v>10087</v>
      </c>
      <c r="C4342" s="10">
        <v>46055.0</v>
      </c>
      <c r="D4342" s="6" t="s">
        <v>312</v>
      </c>
      <c r="E4342" s="6" t="s">
        <v>466</v>
      </c>
      <c r="F4342" s="6" t="s">
        <v>439</v>
      </c>
      <c r="G4342" s="6" t="s">
        <v>452</v>
      </c>
      <c r="H4342" s="10">
        <v>46059.0</v>
      </c>
      <c r="I4342" s="12">
        <v>5.0</v>
      </c>
      <c r="J4342" s="6" t="s">
        <v>161</v>
      </c>
    </row>
    <row r="4343" ht="22.5" customHeight="1">
      <c r="A4343" s="6" t="s">
        <v>20230</v>
      </c>
      <c r="B4343" s="6" t="s">
        <v>10087</v>
      </c>
      <c r="C4343" s="10">
        <v>46059.0</v>
      </c>
      <c r="D4343" s="6" t="s">
        <v>677</v>
      </c>
      <c r="E4343" s="6" t="s">
        <v>1273</v>
      </c>
      <c r="F4343" s="6" t="s">
        <v>249</v>
      </c>
      <c r="G4343" s="6" t="s">
        <v>477</v>
      </c>
      <c r="H4343" s="10">
        <v>46064.0</v>
      </c>
      <c r="I4343" s="12">
        <v>3.0</v>
      </c>
      <c r="J4343" s="6" t="s">
        <v>161</v>
      </c>
    </row>
    <row r="4344" ht="22.5" customHeight="1">
      <c r="A4344" s="6" t="s">
        <v>20233</v>
      </c>
      <c r="B4344" s="6" t="s">
        <v>10094</v>
      </c>
      <c r="C4344" s="10">
        <v>46059.0</v>
      </c>
      <c r="D4344" s="6" t="s">
        <v>312</v>
      </c>
      <c r="E4344" s="6" t="s">
        <v>731</v>
      </c>
      <c r="F4344" s="6" t="s">
        <v>283</v>
      </c>
      <c r="G4344" s="6" t="s">
        <v>326</v>
      </c>
      <c r="H4344" s="10">
        <v>46060.0</v>
      </c>
      <c r="I4344" s="12">
        <v>7.0</v>
      </c>
      <c r="J4344" s="6" t="s">
        <v>161</v>
      </c>
    </row>
    <row r="4345" ht="22.5" customHeight="1">
      <c r="A4345" s="6" t="s">
        <v>20238</v>
      </c>
      <c r="B4345" s="6" t="s">
        <v>10094</v>
      </c>
      <c r="C4345" s="10">
        <v>46054.0</v>
      </c>
      <c r="D4345" s="6" t="s">
        <v>416</v>
      </c>
      <c r="E4345" s="6" t="s">
        <v>695</v>
      </c>
      <c r="F4345" s="6" t="s">
        <v>439</v>
      </c>
      <c r="G4345" s="6" t="s">
        <v>297</v>
      </c>
      <c r="H4345" s="10">
        <v>46056.0</v>
      </c>
      <c r="I4345" s="12">
        <v>11.0</v>
      </c>
      <c r="J4345" s="6" t="s">
        <v>161</v>
      </c>
    </row>
    <row r="4346" ht="22.5" customHeight="1">
      <c r="A4346" s="6" t="s">
        <v>20242</v>
      </c>
      <c r="B4346" s="6" t="s">
        <v>10094</v>
      </c>
      <c r="C4346" s="10">
        <v>46045.0</v>
      </c>
      <c r="D4346" s="6" t="s">
        <v>242</v>
      </c>
      <c r="E4346" s="6" t="s">
        <v>833</v>
      </c>
      <c r="F4346" s="6" t="s">
        <v>439</v>
      </c>
      <c r="G4346" s="6" t="s">
        <v>477</v>
      </c>
      <c r="H4346" s="10">
        <v>46051.0</v>
      </c>
      <c r="I4346" s="12">
        <v>6.0</v>
      </c>
      <c r="J4346" s="6" t="s">
        <v>178</v>
      </c>
    </row>
    <row r="4347" ht="22.5" customHeight="1">
      <c r="A4347" s="6" t="s">
        <v>20245</v>
      </c>
      <c r="B4347" s="6" t="s">
        <v>10094</v>
      </c>
      <c r="C4347" s="10">
        <v>46050.0</v>
      </c>
      <c r="D4347" s="6" t="s">
        <v>312</v>
      </c>
      <c r="E4347" s="6" t="s">
        <v>618</v>
      </c>
      <c r="F4347" s="6" t="s">
        <v>112</v>
      </c>
      <c r="G4347" s="6" t="s">
        <v>369</v>
      </c>
      <c r="H4347" s="11" t="s">
        <v>259</v>
      </c>
      <c r="I4347" s="12">
        <v>5.0</v>
      </c>
      <c r="J4347" s="6" t="s">
        <v>161</v>
      </c>
    </row>
    <row r="4348" ht="22.5" customHeight="1">
      <c r="A4348" s="6" t="s">
        <v>20250</v>
      </c>
      <c r="B4348" s="6" t="s">
        <v>10094</v>
      </c>
      <c r="C4348" s="10">
        <v>46043.0</v>
      </c>
      <c r="D4348" s="6" t="s">
        <v>289</v>
      </c>
      <c r="E4348" s="6" t="s">
        <v>955</v>
      </c>
      <c r="F4348" s="6" t="s">
        <v>249</v>
      </c>
      <c r="G4348" s="6" t="s">
        <v>452</v>
      </c>
      <c r="H4348" s="10">
        <v>46044.0</v>
      </c>
      <c r="I4348" s="12">
        <v>5.0</v>
      </c>
      <c r="J4348" s="6" t="s">
        <v>161</v>
      </c>
    </row>
    <row r="4349" ht="22.5" customHeight="1">
      <c r="A4349" s="6" t="s">
        <v>20255</v>
      </c>
      <c r="B4349" s="6" t="s">
        <v>10100</v>
      </c>
      <c r="C4349" s="10">
        <v>46072.0</v>
      </c>
      <c r="D4349" s="6" t="s">
        <v>312</v>
      </c>
      <c r="E4349" s="6" t="s">
        <v>798</v>
      </c>
      <c r="F4349" s="6" t="s">
        <v>112</v>
      </c>
      <c r="G4349" s="6" t="s">
        <v>452</v>
      </c>
      <c r="H4349" s="11" t="s">
        <v>259</v>
      </c>
      <c r="I4349" s="12">
        <v>7.0</v>
      </c>
      <c r="J4349" s="6" t="s">
        <v>161</v>
      </c>
    </row>
    <row r="4350" ht="22.5" customHeight="1">
      <c r="A4350" s="6" t="s">
        <v>20259</v>
      </c>
      <c r="B4350" s="6" t="s">
        <v>10100</v>
      </c>
      <c r="C4350" s="10">
        <v>46068.0</v>
      </c>
      <c r="D4350" s="6" t="s">
        <v>242</v>
      </c>
      <c r="E4350" s="6" t="s">
        <v>695</v>
      </c>
      <c r="F4350" s="6" t="s">
        <v>112</v>
      </c>
      <c r="G4350" s="6" t="s">
        <v>494</v>
      </c>
      <c r="H4350" s="10">
        <v>46071.0</v>
      </c>
      <c r="I4350" s="12">
        <v>5.0</v>
      </c>
      <c r="J4350" s="6" t="s">
        <v>161</v>
      </c>
    </row>
    <row r="4351" ht="22.5" customHeight="1">
      <c r="A4351" s="6" t="s">
        <v>20264</v>
      </c>
      <c r="B4351" s="6" t="s">
        <v>10100</v>
      </c>
      <c r="C4351" s="10">
        <v>46069.0</v>
      </c>
      <c r="D4351" s="6" t="s">
        <v>312</v>
      </c>
      <c r="E4351" s="6" t="s">
        <v>716</v>
      </c>
      <c r="F4351" s="6" t="s">
        <v>249</v>
      </c>
      <c r="G4351" s="6" t="s">
        <v>477</v>
      </c>
      <c r="H4351" s="10">
        <v>46069.0</v>
      </c>
      <c r="I4351" s="12">
        <v>6.0</v>
      </c>
      <c r="J4351" s="6" t="s">
        <v>161</v>
      </c>
    </row>
    <row r="4352" ht="22.5" customHeight="1">
      <c r="A4352" s="6" t="s">
        <v>20268</v>
      </c>
      <c r="B4352" s="6" t="s">
        <v>10106</v>
      </c>
      <c r="C4352" s="10">
        <v>46043.0</v>
      </c>
      <c r="D4352" s="6" t="s">
        <v>391</v>
      </c>
      <c r="E4352" s="6" t="s">
        <v>618</v>
      </c>
      <c r="F4352" s="6" t="s">
        <v>283</v>
      </c>
      <c r="G4352" s="6" t="s">
        <v>254</v>
      </c>
      <c r="H4352" s="10">
        <v>46047.0</v>
      </c>
      <c r="I4352" s="12">
        <v>8.0</v>
      </c>
      <c r="J4352" s="6" t="s">
        <v>161</v>
      </c>
    </row>
    <row r="4353" ht="22.5" customHeight="1">
      <c r="A4353" s="6" t="s">
        <v>20273</v>
      </c>
      <c r="B4353" s="6" t="s">
        <v>10106</v>
      </c>
      <c r="C4353" s="10">
        <v>46055.0</v>
      </c>
      <c r="D4353" s="6" t="s">
        <v>289</v>
      </c>
      <c r="E4353" s="6" t="s">
        <v>798</v>
      </c>
      <c r="F4353" s="6" t="s">
        <v>249</v>
      </c>
      <c r="G4353" s="6" t="s">
        <v>452</v>
      </c>
      <c r="H4353" s="11" t="s">
        <v>259</v>
      </c>
      <c r="I4353" s="12">
        <v>9.0</v>
      </c>
      <c r="J4353" s="6" t="s">
        <v>161</v>
      </c>
    </row>
    <row r="4354" ht="22.5" customHeight="1">
      <c r="A4354" s="6" t="s">
        <v>20276</v>
      </c>
      <c r="B4354" s="6" t="s">
        <v>10106</v>
      </c>
      <c r="C4354" s="10">
        <v>46041.0</v>
      </c>
      <c r="D4354" s="6" t="s">
        <v>289</v>
      </c>
      <c r="E4354" s="6" t="s">
        <v>1720</v>
      </c>
      <c r="F4354" s="6" t="s">
        <v>249</v>
      </c>
      <c r="G4354" s="6" t="s">
        <v>369</v>
      </c>
      <c r="H4354" s="10">
        <v>46046.0</v>
      </c>
      <c r="I4354" s="12">
        <v>6.0</v>
      </c>
      <c r="J4354" s="6" t="s">
        <v>161</v>
      </c>
    </row>
    <row r="4355" ht="22.5" customHeight="1">
      <c r="A4355" s="6" t="s">
        <v>20279</v>
      </c>
      <c r="B4355" s="6" t="s">
        <v>10113</v>
      </c>
      <c r="C4355" s="10">
        <v>46055.0</v>
      </c>
      <c r="D4355" s="6" t="s">
        <v>391</v>
      </c>
      <c r="E4355" s="6" t="s">
        <v>618</v>
      </c>
      <c r="F4355" s="6" t="s">
        <v>249</v>
      </c>
      <c r="G4355" s="6" t="s">
        <v>494</v>
      </c>
      <c r="H4355" s="10">
        <v>46056.0</v>
      </c>
      <c r="I4355" s="12">
        <v>8.0</v>
      </c>
      <c r="J4355" s="6" t="s">
        <v>161</v>
      </c>
    </row>
    <row r="4356" ht="22.5" customHeight="1">
      <c r="A4356" s="6" t="s">
        <v>20281</v>
      </c>
      <c r="B4356" s="6" t="s">
        <v>10113</v>
      </c>
      <c r="C4356" s="10">
        <v>46038.0</v>
      </c>
      <c r="D4356" s="6" t="s">
        <v>242</v>
      </c>
      <c r="E4356" s="6" t="s">
        <v>896</v>
      </c>
      <c r="F4356" s="6" t="s">
        <v>112</v>
      </c>
      <c r="G4356" s="6" t="s">
        <v>297</v>
      </c>
      <c r="H4356" s="11" t="s">
        <v>259</v>
      </c>
      <c r="I4356" s="12">
        <v>6.0</v>
      </c>
      <c r="J4356" s="6" t="s">
        <v>161</v>
      </c>
    </row>
    <row r="4357" ht="22.5" customHeight="1">
      <c r="A4357" s="6" t="s">
        <v>20283</v>
      </c>
      <c r="B4357" s="6" t="s">
        <v>10113</v>
      </c>
      <c r="C4357" s="10">
        <v>46049.0</v>
      </c>
      <c r="D4357" s="6" t="s">
        <v>312</v>
      </c>
      <c r="E4357" s="6" t="s">
        <v>2881</v>
      </c>
      <c r="F4357" s="6" t="s">
        <v>249</v>
      </c>
      <c r="G4357" s="6" t="s">
        <v>477</v>
      </c>
      <c r="H4357" s="10">
        <v>46050.0</v>
      </c>
      <c r="I4357" s="12">
        <v>6.0</v>
      </c>
      <c r="J4357" s="6" t="s">
        <v>161</v>
      </c>
    </row>
    <row r="4358" ht="22.5" customHeight="1">
      <c r="A4358" s="6" t="s">
        <v>20288</v>
      </c>
      <c r="B4358" s="6" t="s">
        <v>10113</v>
      </c>
      <c r="C4358" s="10">
        <v>46036.0</v>
      </c>
      <c r="D4358" s="6" t="s">
        <v>289</v>
      </c>
      <c r="E4358" s="6" t="s">
        <v>885</v>
      </c>
      <c r="F4358" s="6" t="s">
        <v>283</v>
      </c>
      <c r="G4358" s="6" t="s">
        <v>477</v>
      </c>
      <c r="H4358" s="10">
        <v>46036.0</v>
      </c>
      <c r="I4358" s="12">
        <v>7.0</v>
      </c>
      <c r="J4358" s="6" t="s">
        <v>161</v>
      </c>
    </row>
    <row r="4359" ht="22.5" customHeight="1">
      <c r="A4359" s="6" t="s">
        <v>20293</v>
      </c>
      <c r="B4359" s="6" t="s">
        <v>10120</v>
      </c>
      <c r="C4359" s="10">
        <v>46080.0</v>
      </c>
      <c r="D4359" s="6" t="s">
        <v>416</v>
      </c>
      <c r="E4359" s="6" t="s">
        <v>1102</v>
      </c>
      <c r="F4359" s="6" t="s">
        <v>249</v>
      </c>
      <c r="G4359" s="6" t="s">
        <v>494</v>
      </c>
      <c r="H4359" s="10">
        <v>46083.0</v>
      </c>
      <c r="I4359" s="12">
        <v>10.0</v>
      </c>
      <c r="J4359" s="6" t="s">
        <v>161</v>
      </c>
    </row>
    <row r="4360" ht="22.5" customHeight="1">
      <c r="A4360" s="6" t="s">
        <v>20295</v>
      </c>
      <c r="B4360" s="6" t="s">
        <v>10120</v>
      </c>
      <c r="C4360" s="10">
        <v>46065.0</v>
      </c>
      <c r="D4360" s="6" t="s">
        <v>289</v>
      </c>
      <c r="E4360" s="6" t="s">
        <v>731</v>
      </c>
      <c r="F4360" s="6" t="s">
        <v>439</v>
      </c>
      <c r="G4360" s="6" t="s">
        <v>326</v>
      </c>
      <c r="H4360" s="10">
        <v>46068.0</v>
      </c>
      <c r="I4360" s="12">
        <v>9.0</v>
      </c>
      <c r="J4360" s="6" t="s">
        <v>161</v>
      </c>
    </row>
    <row r="4361" ht="22.5" customHeight="1">
      <c r="A4361" s="6" t="s">
        <v>20300</v>
      </c>
      <c r="B4361" s="6" t="s">
        <v>10126</v>
      </c>
      <c r="C4361" s="10">
        <v>46030.0</v>
      </c>
      <c r="D4361" s="6" t="s">
        <v>436</v>
      </c>
      <c r="E4361" s="6" t="s">
        <v>1626</v>
      </c>
      <c r="F4361" s="6" t="s">
        <v>112</v>
      </c>
      <c r="G4361" s="6" t="s">
        <v>494</v>
      </c>
      <c r="H4361" s="10">
        <v>46033.0</v>
      </c>
      <c r="I4361" s="12">
        <v>11.0</v>
      </c>
      <c r="J4361" s="6" t="s">
        <v>161</v>
      </c>
    </row>
    <row r="4362" ht="22.5" customHeight="1">
      <c r="A4362" s="6" t="s">
        <v>20303</v>
      </c>
      <c r="B4362" s="6" t="s">
        <v>10126</v>
      </c>
      <c r="C4362" s="10">
        <v>46037.0</v>
      </c>
      <c r="D4362" s="6" t="s">
        <v>436</v>
      </c>
      <c r="E4362" s="6" t="s">
        <v>246</v>
      </c>
      <c r="F4362" s="6" t="s">
        <v>112</v>
      </c>
      <c r="G4362" s="6" t="s">
        <v>326</v>
      </c>
      <c r="H4362" s="10">
        <v>46042.0</v>
      </c>
      <c r="I4362" s="12">
        <v>7.0</v>
      </c>
      <c r="J4362" s="6" t="s">
        <v>178</v>
      </c>
    </row>
    <row r="4363" ht="22.5" customHeight="1">
      <c r="A4363" s="6" t="s">
        <v>20307</v>
      </c>
      <c r="B4363" s="6" t="s">
        <v>10126</v>
      </c>
      <c r="C4363" s="10">
        <v>46049.0</v>
      </c>
      <c r="D4363" s="6" t="s">
        <v>391</v>
      </c>
      <c r="E4363" s="6" t="s">
        <v>704</v>
      </c>
      <c r="F4363" s="6" t="s">
        <v>112</v>
      </c>
      <c r="G4363" s="6" t="s">
        <v>254</v>
      </c>
      <c r="H4363" s="10">
        <v>46053.0</v>
      </c>
      <c r="I4363" s="12">
        <v>8.0</v>
      </c>
      <c r="J4363" s="6" t="s">
        <v>161</v>
      </c>
    </row>
    <row r="4364" ht="22.5" customHeight="1">
      <c r="A4364" s="6" t="s">
        <v>20313</v>
      </c>
      <c r="B4364" s="6" t="s">
        <v>10126</v>
      </c>
      <c r="C4364" s="10">
        <v>46049.0</v>
      </c>
      <c r="D4364" s="6" t="s">
        <v>436</v>
      </c>
      <c r="E4364" s="6" t="s">
        <v>716</v>
      </c>
      <c r="F4364" s="6" t="s">
        <v>249</v>
      </c>
      <c r="G4364" s="6" t="s">
        <v>458</v>
      </c>
      <c r="H4364" s="10">
        <v>46049.0</v>
      </c>
      <c r="I4364" s="12">
        <v>10.0</v>
      </c>
      <c r="J4364" s="6" t="s">
        <v>178</v>
      </c>
    </row>
    <row r="4365" ht="22.5" customHeight="1">
      <c r="A4365" s="6" t="s">
        <v>20315</v>
      </c>
      <c r="B4365" s="6" t="s">
        <v>10126</v>
      </c>
      <c r="C4365" s="10">
        <v>46032.0</v>
      </c>
      <c r="D4365" s="6" t="s">
        <v>289</v>
      </c>
      <c r="E4365" s="6" t="s">
        <v>618</v>
      </c>
      <c r="F4365" s="6" t="s">
        <v>439</v>
      </c>
      <c r="G4365" s="6" t="s">
        <v>369</v>
      </c>
      <c r="H4365" s="10">
        <v>46034.0</v>
      </c>
      <c r="I4365" s="12">
        <v>9.0</v>
      </c>
      <c r="J4365" s="6" t="s">
        <v>161</v>
      </c>
    </row>
    <row r="4366" ht="22.5" customHeight="1">
      <c r="A4366" s="6" t="s">
        <v>20318</v>
      </c>
      <c r="B4366" s="6" t="s">
        <v>10133</v>
      </c>
      <c r="C4366" s="10">
        <v>46061.0</v>
      </c>
      <c r="D4366" s="6" t="s">
        <v>242</v>
      </c>
      <c r="E4366" s="6" t="s">
        <v>955</v>
      </c>
      <c r="F4366" s="6" t="s">
        <v>249</v>
      </c>
      <c r="G4366" s="6" t="s">
        <v>297</v>
      </c>
      <c r="H4366" s="10">
        <v>46068.0</v>
      </c>
      <c r="I4366" s="12">
        <v>4.0</v>
      </c>
      <c r="J4366" s="6" t="s">
        <v>161</v>
      </c>
    </row>
    <row r="4367" ht="22.5" customHeight="1">
      <c r="A4367" s="6" t="s">
        <v>20321</v>
      </c>
      <c r="B4367" s="6" t="s">
        <v>10133</v>
      </c>
      <c r="C4367" s="10">
        <v>46080.0</v>
      </c>
      <c r="D4367" s="6" t="s">
        <v>436</v>
      </c>
      <c r="E4367" s="6" t="s">
        <v>1035</v>
      </c>
      <c r="F4367" s="6" t="s">
        <v>439</v>
      </c>
      <c r="G4367" s="6" t="s">
        <v>458</v>
      </c>
      <c r="H4367" s="10">
        <v>46087.0</v>
      </c>
      <c r="I4367" s="12">
        <v>7.0</v>
      </c>
      <c r="J4367" s="6" t="s">
        <v>178</v>
      </c>
    </row>
    <row r="4368" ht="22.5" customHeight="1">
      <c r="A4368" s="6" t="s">
        <v>20324</v>
      </c>
      <c r="B4368" s="6" t="s">
        <v>10139</v>
      </c>
      <c r="C4368" s="10">
        <v>46047.0</v>
      </c>
      <c r="D4368" s="6" t="s">
        <v>242</v>
      </c>
      <c r="E4368" s="6" t="s">
        <v>716</v>
      </c>
      <c r="F4368" s="6" t="s">
        <v>112</v>
      </c>
      <c r="G4368" s="6" t="s">
        <v>452</v>
      </c>
      <c r="H4368" s="10">
        <v>46050.0</v>
      </c>
      <c r="I4368" s="12">
        <v>6.0</v>
      </c>
      <c r="J4368" s="6" t="s">
        <v>178</v>
      </c>
    </row>
    <row r="4369" ht="22.5" customHeight="1">
      <c r="A4369" s="6" t="s">
        <v>20328</v>
      </c>
      <c r="B4369" s="6" t="s">
        <v>10139</v>
      </c>
      <c r="C4369" s="10">
        <v>46035.0</v>
      </c>
      <c r="D4369" s="6" t="s">
        <v>436</v>
      </c>
      <c r="E4369" s="6" t="s">
        <v>1720</v>
      </c>
      <c r="F4369" s="6" t="s">
        <v>249</v>
      </c>
      <c r="G4369" s="6" t="s">
        <v>477</v>
      </c>
      <c r="H4369" s="10">
        <v>46040.0</v>
      </c>
      <c r="I4369" s="12">
        <v>10.0</v>
      </c>
      <c r="J4369" s="6" t="s">
        <v>178</v>
      </c>
    </row>
    <row r="4370" ht="22.5" customHeight="1">
      <c r="A4370" s="6" t="s">
        <v>20331</v>
      </c>
      <c r="B4370" s="6" t="s">
        <v>10146</v>
      </c>
      <c r="C4370" s="10">
        <v>46066.0</v>
      </c>
      <c r="D4370" s="6" t="s">
        <v>312</v>
      </c>
      <c r="E4370" s="6" t="s">
        <v>1969</v>
      </c>
      <c r="F4370" s="6" t="s">
        <v>283</v>
      </c>
      <c r="G4370" s="6" t="s">
        <v>369</v>
      </c>
      <c r="H4370" s="11" t="s">
        <v>259</v>
      </c>
      <c r="I4370" s="12">
        <v>5.0</v>
      </c>
      <c r="J4370" s="6" t="s">
        <v>161</v>
      </c>
    </row>
    <row r="4371" ht="22.5" customHeight="1">
      <c r="A4371" s="6" t="s">
        <v>20335</v>
      </c>
      <c r="B4371" s="6" t="s">
        <v>10146</v>
      </c>
      <c r="C4371" s="10">
        <v>46054.0</v>
      </c>
      <c r="D4371" s="6" t="s">
        <v>312</v>
      </c>
      <c r="E4371" s="6" t="s">
        <v>896</v>
      </c>
      <c r="F4371" s="6" t="s">
        <v>112</v>
      </c>
      <c r="G4371" s="6" t="s">
        <v>477</v>
      </c>
      <c r="H4371" s="10">
        <v>46054.0</v>
      </c>
      <c r="I4371" s="12">
        <v>4.0</v>
      </c>
      <c r="J4371" s="6" t="s">
        <v>161</v>
      </c>
    </row>
    <row r="4372" ht="22.5" customHeight="1">
      <c r="A4372" s="6" t="s">
        <v>20338</v>
      </c>
      <c r="B4372" s="6" t="s">
        <v>10146</v>
      </c>
      <c r="C4372" s="10">
        <v>46050.0</v>
      </c>
      <c r="D4372" s="6" t="s">
        <v>289</v>
      </c>
      <c r="E4372" s="6" t="s">
        <v>885</v>
      </c>
      <c r="F4372" s="6" t="s">
        <v>249</v>
      </c>
      <c r="G4372" s="6" t="s">
        <v>369</v>
      </c>
      <c r="H4372" s="11" t="s">
        <v>259</v>
      </c>
      <c r="I4372" s="12">
        <v>9.0</v>
      </c>
      <c r="J4372" s="6" t="s">
        <v>161</v>
      </c>
    </row>
    <row r="4373" ht="22.5" customHeight="1">
      <c r="A4373" s="6" t="s">
        <v>20342</v>
      </c>
      <c r="B4373" s="6" t="s">
        <v>10152</v>
      </c>
      <c r="C4373" s="10">
        <v>46071.0</v>
      </c>
      <c r="D4373" s="6" t="s">
        <v>391</v>
      </c>
      <c r="E4373" s="6" t="s">
        <v>394</v>
      </c>
      <c r="F4373" s="6" t="s">
        <v>249</v>
      </c>
      <c r="G4373" s="6" t="s">
        <v>369</v>
      </c>
      <c r="H4373" s="10">
        <v>46078.0</v>
      </c>
      <c r="I4373" s="12">
        <v>11.0</v>
      </c>
      <c r="J4373" s="6" t="s">
        <v>161</v>
      </c>
    </row>
    <row r="4374" ht="22.5" customHeight="1">
      <c r="A4374" s="6" t="s">
        <v>20345</v>
      </c>
      <c r="B4374" s="6" t="s">
        <v>10152</v>
      </c>
      <c r="C4374" s="10">
        <v>46082.0</v>
      </c>
      <c r="D4374" s="6" t="s">
        <v>289</v>
      </c>
      <c r="E4374" s="6" t="s">
        <v>320</v>
      </c>
      <c r="F4374" s="6" t="s">
        <v>283</v>
      </c>
      <c r="G4374" s="6" t="s">
        <v>254</v>
      </c>
      <c r="H4374" s="10">
        <v>46084.0</v>
      </c>
      <c r="I4374" s="12">
        <v>8.0</v>
      </c>
      <c r="J4374" s="6" t="s">
        <v>161</v>
      </c>
    </row>
    <row r="4375" ht="22.5" customHeight="1">
      <c r="A4375" s="6" t="s">
        <v>20349</v>
      </c>
      <c r="B4375" s="6" t="s">
        <v>10159</v>
      </c>
      <c r="C4375" s="10">
        <v>46035.0</v>
      </c>
      <c r="D4375" s="6" t="s">
        <v>677</v>
      </c>
      <c r="E4375" s="6" t="s">
        <v>716</v>
      </c>
      <c r="F4375" s="6" t="s">
        <v>249</v>
      </c>
      <c r="G4375" s="6" t="s">
        <v>297</v>
      </c>
      <c r="H4375" s="10">
        <v>46035.0</v>
      </c>
      <c r="I4375" s="12">
        <v>4.0</v>
      </c>
      <c r="J4375" s="6" t="s">
        <v>161</v>
      </c>
    </row>
    <row r="4376" ht="22.5" customHeight="1">
      <c r="A4376" s="6" t="s">
        <v>20350</v>
      </c>
      <c r="B4376" s="6" t="s">
        <v>10159</v>
      </c>
      <c r="C4376" s="10">
        <v>46041.0</v>
      </c>
      <c r="D4376" s="6" t="s">
        <v>677</v>
      </c>
      <c r="E4376" s="6" t="s">
        <v>512</v>
      </c>
      <c r="F4376" s="6" t="s">
        <v>439</v>
      </c>
      <c r="G4376" s="6" t="s">
        <v>254</v>
      </c>
      <c r="H4376" s="11" t="s">
        <v>259</v>
      </c>
      <c r="I4376" s="12">
        <v>4.0</v>
      </c>
      <c r="J4376" s="6" t="s">
        <v>161</v>
      </c>
    </row>
    <row r="4377" ht="22.5" customHeight="1">
      <c r="A4377" s="6" t="s">
        <v>20354</v>
      </c>
      <c r="B4377" s="6" t="s">
        <v>10159</v>
      </c>
      <c r="C4377" s="10">
        <v>46039.0</v>
      </c>
      <c r="D4377" s="6" t="s">
        <v>391</v>
      </c>
      <c r="E4377" s="6" t="s">
        <v>833</v>
      </c>
      <c r="F4377" s="6" t="s">
        <v>283</v>
      </c>
      <c r="G4377" s="6" t="s">
        <v>297</v>
      </c>
      <c r="H4377" s="10">
        <v>46040.0</v>
      </c>
      <c r="I4377" s="12">
        <v>8.0</v>
      </c>
      <c r="J4377" s="6" t="s">
        <v>161</v>
      </c>
    </row>
    <row r="4378" ht="22.5" customHeight="1">
      <c r="A4378" s="6" t="s">
        <v>20356</v>
      </c>
      <c r="B4378" s="6" t="s">
        <v>10159</v>
      </c>
      <c r="C4378" s="10">
        <v>46035.0</v>
      </c>
      <c r="D4378" s="6" t="s">
        <v>677</v>
      </c>
      <c r="E4378" s="6" t="s">
        <v>512</v>
      </c>
      <c r="F4378" s="6" t="s">
        <v>112</v>
      </c>
      <c r="G4378" s="6" t="s">
        <v>326</v>
      </c>
      <c r="H4378" s="10">
        <v>46041.0</v>
      </c>
      <c r="I4378" s="12">
        <v>2.0</v>
      </c>
      <c r="J4378" s="6" t="s">
        <v>161</v>
      </c>
    </row>
    <row r="4379" ht="22.5" customHeight="1">
      <c r="A4379" s="6" t="s">
        <v>20359</v>
      </c>
      <c r="B4379" s="6" t="s">
        <v>10165</v>
      </c>
      <c r="C4379" s="10">
        <v>46067.0</v>
      </c>
      <c r="D4379" s="6" t="s">
        <v>391</v>
      </c>
      <c r="E4379" s="6" t="s">
        <v>1310</v>
      </c>
      <c r="F4379" s="6" t="s">
        <v>283</v>
      </c>
      <c r="G4379" s="6" t="s">
        <v>326</v>
      </c>
      <c r="H4379" s="10">
        <v>46071.0</v>
      </c>
      <c r="I4379" s="12">
        <v>8.0</v>
      </c>
      <c r="J4379" s="6" t="s">
        <v>161</v>
      </c>
    </row>
    <row r="4380" ht="22.5" customHeight="1">
      <c r="A4380" s="6" t="s">
        <v>20363</v>
      </c>
      <c r="B4380" s="6" t="s">
        <v>10165</v>
      </c>
      <c r="C4380" s="10">
        <v>46054.0</v>
      </c>
      <c r="D4380" s="6" t="s">
        <v>242</v>
      </c>
      <c r="E4380" s="6" t="s">
        <v>512</v>
      </c>
      <c r="F4380" s="6" t="s">
        <v>112</v>
      </c>
      <c r="G4380" s="6" t="s">
        <v>494</v>
      </c>
      <c r="H4380" s="10">
        <v>46057.0</v>
      </c>
      <c r="I4380" s="12">
        <v>3.0</v>
      </c>
      <c r="J4380" s="6" t="s">
        <v>178</v>
      </c>
    </row>
    <row r="4381" ht="22.5" customHeight="1">
      <c r="A4381" s="6" t="s">
        <v>20364</v>
      </c>
      <c r="B4381" s="6" t="s">
        <v>10165</v>
      </c>
      <c r="C4381" s="10">
        <v>46052.0</v>
      </c>
      <c r="D4381" s="6" t="s">
        <v>391</v>
      </c>
      <c r="E4381" s="6" t="s">
        <v>1552</v>
      </c>
      <c r="F4381" s="6" t="s">
        <v>249</v>
      </c>
      <c r="G4381" s="6" t="s">
        <v>452</v>
      </c>
      <c r="H4381" s="10">
        <v>46058.0</v>
      </c>
      <c r="I4381" s="12">
        <v>6.0</v>
      </c>
      <c r="J4381" s="6" t="s">
        <v>161</v>
      </c>
    </row>
    <row r="4382" ht="22.5" customHeight="1">
      <c r="A4382" s="6" t="s">
        <v>20368</v>
      </c>
      <c r="B4382" s="6" t="s">
        <v>10172</v>
      </c>
      <c r="C4382" s="10">
        <v>46060.0</v>
      </c>
      <c r="D4382" s="6" t="s">
        <v>289</v>
      </c>
      <c r="E4382" s="6" t="s">
        <v>833</v>
      </c>
      <c r="F4382" s="6" t="s">
        <v>249</v>
      </c>
      <c r="G4382" s="6" t="s">
        <v>254</v>
      </c>
      <c r="H4382" s="10">
        <v>46062.0</v>
      </c>
      <c r="I4382" s="12">
        <v>10.0</v>
      </c>
      <c r="J4382" s="6" t="s">
        <v>161</v>
      </c>
    </row>
    <row r="4383" ht="22.5" customHeight="1">
      <c r="A4383" s="6" t="s">
        <v>20371</v>
      </c>
      <c r="B4383" s="6" t="s">
        <v>10172</v>
      </c>
      <c r="C4383" s="10">
        <v>46069.0</v>
      </c>
      <c r="D4383" s="6" t="s">
        <v>312</v>
      </c>
      <c r="E4383" s="6" t="s">
        <v>896</v>
      </c>
      <c r="F4383" s="6" t="s">
        <v>283</v>
      </c>
      <c r="G4383" s="6" t="s">
        <v>477</v>
      </c>
      <c r="H4383" s="10">
        <v>46069.0</v>
      </c>
      <c r="I4383" s="12">
        <v>7.0</v>
      </c>
      <c r="J4383" s="6" t="s">
        <v>161</v>
      </c>
    </row>
    <row r="4384" ht="22.5" customHeight="1">
      <c r="A4384" s="6" t="s">
        <v>20374</v>
      </c>
      <c r="B4384" s="6" t="s">
        <v>10178</v>
      </c>
      <c r="C4384" s="10">
        <v>46069.0</v>
      </c>
      <c r="D4384" s="6" t="s">
        <v>312</v>
      </c>
      <c r="E4384" s="6" t="s">
        <v>1517</v>
      </c>
      <c r="F4384" s="6" t="s">
        <v>112</v>
      </c>
      <c r="G4384" s="6" t="s">
        <v>452</v>
      </c>
      <c r="H4384" s="10">
        <v>46071.0</v>
      </c>
      <c r="I4384" s="12">
        <v>6.0</v>
      </c>
      <c r="J4384" s="6" t="s">
        <v>161</v>
      </c>
    </row>
    <row r="4385" ht="22.5" customHeight="1">
      <c r="A4385" s="6" t="s">
        <v>20377</v>
      </c>
      <c r="B4385" s="6" t="s">
        <v>10178</v>
      </c>
      <c r="C4385" s="10">
        <v>46064.0</v>
      </c>
      <c r="D4385" s="6" t="s">
        <v>242</v>
      </c>
      <c r="E4385" s="6" t="s">
        <v>1720</v>
      </c>
      <c r="F4385" s="6" t="s">
        <v>249</v>
      </c>
      <c r="G4385" s="6" t="s">
        <v>494</v>
      </c>
      <c r="H4385" s="10">
        <v>46067.0</v>
      </c>
      <c r="I4385" s="12">
        <v>3.0</v>
      </c>
      <c r="J4385" s="6" t="s">
        <v>178</v>
      </c>
    </row>
    <row r="4386" ht="22.5" customHeight="1">
      <c r="A4386" s="6" t="s">
        <v>20380</v>
      </c>
      <c r="B4386" s="6" t="s">
        <v>10178</v>
      </c>
      <c r="C4386" s="10">
        <v>46065.0</v>
      </c>
      <c r="D4386" s="6" t="s">
        <v>436</v>
      </c>
      <c r="E4386" s="6" t="s">
        <v>1386</v>
      </c>
      <c r="F4386" s="6" t="s">
        <v>112</v>
      </c>
      <c r="G4386" s="6" t="s">
        <v>297</v>
      </c>
      <c r="H4386" s="11" t="s">
        <v>259</v>
      </c>
      <c r="I4386" s="12">
        <v>8.0</v>
      </c>
      <c r="J4386" s="6" t="s">
        <v>178</v>
      </c>
    </row>
    <row r="4387" ht="22.5" customHeight="1">
      <c r="A4387" s="6" t="s">
        <v>20383</v>
      </c>
      <c r="B4387" s="6" t="s">
        <v>10178</v>
      </c>
      <c r="C4387" s="10">
        <v>46056.0</v>
      </c>
      <c r="D4387" s="6" t="s">
        <v>677</v>
      </c>
      <c r="E4387" s="6" t="s">
        <v>2881</v>
      </c>
      <c r="F4387" s="6" t="s">
        <v>439</v>
      </c>
      <c r="G4387" s="6" t="s">
        <v>254</v>
      </c>
      <c r="H4387" s="11" t="s">
        <v>259</v>
      </c>
      <c r="I4387" s="12">
        <v>3.0</v>
      </c>
      <c r="J4387" s="6" t="s">
        <v>161</v>
      </c>
    </row>
    <row r="4388" ht="22.5" customHeight="1">
      <c r="A4388" s="6" t="s">
        <v>20386</v>
      </c>
      <c r="B4388" s="6" t="s">
        <v>10178</v>
      </c>
      <c r="C4388" s="10">
        <v>46061.0</v>
      </c>
      <c r="D4388" s="6" t="s">
        <v>677</v>
      </c>
      <c r="E4388" s="6" t="s">
        <v>1720</v>
      </c>
      <c r="F4388" s="6" t="s">
        <v>112</v>
      </c>
      <c r="G4388" s="6" t="s">
        <v>254</v>
      </c>
      <c r="H4388" s="11" t="s">
        <v>259</v>
      </c>
      <c r="I4388" s="12">
        <v>3.0</v>
      </c>
      <c r="J4388" s="6" t="s">
        <v>161</v>
      </c>
    </row>
    <row r="4389" ht="22.5" customHeight="1">
      <c r="A4389" s="6" t="s">
        <v>20389</v>
      </c>
      <c r="B4389" s="6" t="s">
        <v>10185</v>
      </c>
      <c r="C4389" s="10">
        <v>46040.0</v>
      </c>
      <c r="D4389" s="6" t="s">
        <v>677</v>
      </c>
      <c r="E4389" s="6" t="s">
        <v>1720</v>
      </c>
      <c r="F4389" s="6" t="s">
        <v>249</v>
      </c>
      <c r="G4389" s="6" t="s">
        <v>494</v>
      </c>
      <c r="H4389" s="10">
        <v>46046.0</v>
      </c>
      <c r="I4389" s="12">
        <v>4.0</v>
      </c>
      <c r="J4389" s="6" t="s">
        <v>161</v>
      </c>
    </row>
    <row r="4390" ht="22.5" customHeight="1">
      <c r="A4390" s="6" t="s">
        <v>20393</v>
      </c>
      <c r="B4390" s="6" t="s">
        <v>10185</v>
      </c>
      <c r="C4390" s="10">
        <v>46029.0</v>
      </c>
      <c r="D4390" s="6" t="s">
        <v>312</v>
      </c>
      <c r="E4390" s="6" t="s">
        <v>583</v>
      </c>
      <c r="F4390" s="6" t="s">
        <v>439</v>
      </c>
      <c r="G4390" s="6" t="s">
        <v>297</v>
      </c>
      <c r="H4390" s="10">
        <v>46031.0</v>
      </c>
      <c r="I4390" s="12">
        <v>4.0</v>
      </c>
      <c r="J4390" s="6" t="s">
        <v>161</v>
      </c>
    </row>
    <row r="4391" ht="22.5" customHeight="1">
      <c r="A4391" s="6" t="s">
        <v>20396</v>
      </c>
      <c r="B4391" s="6" t="s">
        <v>10185</v>
      </c>
      <c r="C4391" s="10">
        <v>46047.0</v>
      </c>
      <c r="D4391" s="6" t="s">
        <v>677</v>
      </c>
      <c r="E4391" s="6" t="s">
        <v>628</v>
      </c>
      <c r="F4391" s="6" t="s">
        <v>112</v>
      </c>
      <c r="G4391" s="6" t="s">
        <v>369</v>
      </c>
      <c r="H4391" s="10">
        <v>46048.0</v>
      </c>
      <c r="I4391" s="12">
        <v>4.0</v>
      </c>
      <c r="J4391" s="6" t="s">
        <v>161</v>
      </c>
    </row>
    <row r="4392" ht="22.5" customHeight="1">
      <c r="A4392" s="6" t="s">
        <v>20401</v>
      </c>
      <c r="B4392" s="6" t="s">
        <v>10185</v>
      </c>
      <c r="C4392" s="10">
        <v>46031.0</v>
      </c>
      <c r="D4392" s="6" t="s">
        <v>289</v>
      </c>
      <c r="E4392" s="6" t="s">
        <v>394</v>
      </c>
      <c r="F4392" s="6" t="s">
        <v>439</v>
      </c>
      <c r="G4392" s="6" t="s">
        <v>494</v>
      </c>
      <c r="H4392" s="10">
        <v>46031.0</v>
      </c>
      <c r="I4392" s="12">
        <v>5.0</v>
      </c>
      <c r="J4392" s="6" t="s">
        <v>161</v>
      </c>
    </row>
    <row r="4393" ht="22.5" customHeight="1">
      <c r="A4393" s="6" t="s">
        <v>20406</v>
      </c>
      <c r="B4393" s="6" t="s">
        <v>10191</v>
      </c>
      <c r="C4393" s="10">
        <v>46057.0</v>
      </c>
      <c r="D4393" s="6" t="s">
        <v>436</v>
      </c>
      <c r="E4393" s="6" t="s">
        <v>583</v>
      </c>
      <c r="F4393" s="6" t="s">
        <v>249</v>
      </c>
      <c r="G4393" s="6" t="s">
        <v>326</v>
      </c>
      <c r="H4393" s="10">
        <v>46063.0</v>
      </c>
      <c r="I4393" s="12">
        <v>7.0</v>
      </c>
      <c r="J4393" s="6" t="s">
        <v>178</v>
      </c>
    </row>
    <row r="4394" ht="22.5" customHeight="1">
      <c r="A4394" s="6" t="s">
        <v>20408</v>
      </c>
      <c r="B4394" s="6" t="s">
        <v>10191</v>
      </c>
      <c r="C4394" s="10">
        <v>46061.0</v>
      </c>
      <c r="D4394" s="6" t="s">
        <v>436</v>
      </c>
      <c r="E4394" s="6" t="s">
        <v>1310</v>
      </c>
      <c r="F4394" s="6" t="s">
        <v>283</v>
      </c>
      <c r="G4394" s="6" t="s">
        <v>254</v>
      </c>
      <c r="H4394" s="10">
        <v>46068.0</v>
      </c>
      <c r="I4394" s="12">
        <v>12.0</v>
      </c>
      <c r="J4394" s="6" t="s">
        <v>178</v>
      </c>
    </row>
    <row r="4395" ht="22.5" customHeight="1">
      <c r="A4395" s="6" t="s">
        <v>20412</v>
      </c>
      <c r="B4395" s="6" t="s">
        <v>10191</v>
      </c>
      <c r="C4395" s="10">
        <v>46051.0</v>
      </c>
      <c r="D4395" s="6" t="s">
        <v>677</v>
      </c>
      <c r="E4395" s="6" t="s">
        <v>618</v>
      </c>
      <c r="F4395" s="6" t="s">
        <v>283</v>
      </c>
      <c r="G4395" s="6" t="s">
        <v>254</v>
      </c>
      <c r="H4395" s="11" t="s">
        <v>259</v>
      </c>
      <c r="I4395" s="12">
        <v>4.0</v>
      </c>
      <c r="J4395" s="6" t="s">
        <v>161</v>
      </c>
    </row>
    <row r="4396" ht="22.5" customHeight="1">
      <c r="A4396" s="6" t="s">
        <v>20415</v>
      </c>
      <c r="B4396" s="6" t="s">
        <v>10197</v>
      </c>
      <c r="C4396" s="10">
        <v>46058.0</v>
      </c>
      <c r="D4396" s="6" t="s">
        <v>312</v>
      </c>
      <c r="E4396" s="6" t="s">
        <v>1241</v>
      </c>
      <c r="F4396" s="6" t="s">
        <v>112</v>
      </c>
      <c r="G4396" s="6" t="s">
        <v>254</v>
      </c>
      <c r="H4396" s="10">
        <v>46065.0</v>
      </c>
      <c r="I4396" s="12">
        <v>5.0</v>
      </c>
      <c r="J4396" s="6" t="s">
        <v>161</v>
      </c>
    </row>
    <row r="4397" ht="22.5" customHeight="1">
      <c r="A4397" s="6" t="s">
        <v>20419</v>
      </c>
      <c r="B4397" s="6" t="s">
        <v>10197</v>
      </c>
      <c r="C4397" s="10">
        <v>46063.0</v>
      </c>
      <c r="D4397" s="6" t="s">
        <v>416</v>
      </c>
      <c r="E4397" s="6" t="s">
        <v>634</v>
      </c>
      <c r="F4397" s="6" t="s">
        <v>112</v>
      </c>
      <c r="G4397" s="6" t="s">
        <v>254</v>
      </c>
      <c r="H4397" s="10">
        <v>46063.0</v>
      </c>
      <c r="I4397" s="12">
        <v>8.0</v>
      </c>
      <c r="J4397" s="6" t="s">
        <v>161</v>
      </c>
    </row>
    <row r="4398" ht="22.5" customHeight="1">
      <c r="A4398" s="6" t="s">
        <v>20423</v>
      </c>
      <c r="B4398" s="6" t="s">
        <v>10197</v>
      </c>
      <c r="C4398" s="10">
        <v>46068.0</v>
      </c>
      <c r="D4398" s="6" t="s">
        <v>677</v>
      </c>
      <c r="E4398" s="6" t="s">
        <v>1517</v>
      </c>
      <c r="F4398" s="6" t="s">
        <v>249</v>
      </c>
      <c r="G4398" s="6" t="s">
        <v>458</v>
      </c>
      <c r="H4398" s="10">
        <v>46075.0</v>
      </c>
      <c r="I4398" s="12">
        <v>2.0</v>
      </c>
      <c r="J4398" s="6" t="s">
        <v>161</v>
      </c>
    </row>
    <row r="4399" ht="22.5" customHeight="1">
      <c r="A4399" s="6" t="s">
        <v>20426</v>
      </c>
      <c r="B4399" s="6" t="s">
        <v>10197</v>
      </c>
      <c r="C4399" s="10">
        <v>46069.0</v>
      </c>
      <c r="D4399" s="6" t="s">
        <v>312</v>
      </c>
      <c r="E4399" s="6" t="s">
        <v>1386</v>
      </c>
      <c r="F4399" s="6" t="s">
        <v>439</v>
      </c>
      <c r="G4399" s="6" t="s">
        <v>326</v>
      </c>
      <c r="H4399" s="10">
        <v>46076.0</v>
      </c>
      <c r="I4399" s="12">
        <v>4.0</v>
      </c>
      <c r="J4399" s="6" t="s">
        <v>161</v>
      </c>
    </row>
    <row r="4400" ht="22.5" customHeight="1">
      <c r="A4400" s="6" t="s">
        <v>20429</v>
      </c>
      <c r="B4400" s="6" t="s">
        <v>10197</v>
      </c>
      <c r="C4400" s="10">
        <v>46075.0</v>
      </c>
      <c r="D4400" s="6" t="s">
        <v>436</v>
      </c>
      <c r="E4400" s="6" t="s">
        <v>833</v>
      </c>
      <c r="F4400" s="6" t="s">
        <v>283</v>
      </c>
      <c r="G4400" s="6" t="s">
        <v>458</v>
      </c>
      <c r="H4400" s="10">
        <v>46079.0</v>
      </c>
      <c r="I4400" s="12">
        <v>9.0</v>
      </c>
      <c r="J4400" s="6" t="s">
        <v>178</v>
      </c>
    </row>
    <row r="4401" ht="22.5" customHeight="1">
      <c r="A4401" s="6" t="s">
        <v>20433</v>
      </c>
      <c r="B4401" s="6" t="s">
        <v>10203</v>
      </c>
      <c r="C4401" s="10">
        <v>46057.0</v>
      </c>
      <c r="D4401" s="6" t="s">
        <v>416</v>
      </c>
      <c r="E4401" s="6" t="s">
        <v>1280</v>
      </c>
      <c r="F4401" s="6" t="s">
        <v>283</v>
      </c>
      <c r="G4401" s="6" t="s">
        <v>477</v>
      </c>
      <c r="H4401" s="10">
        <v>46061.0</v>
      </c>
      <c r="I4401" s="12">
        <v>8.0</v>
      </c>
      <c r="J4401" s="6" t="s">
        <v>161</v>
      </c>
    </row>
    <row r="4402" ht="22.5" customHeight="1">
      <c r="A4402" s="6" t="s">
        <v>20434</v>
      </c>
      <c r="B4402" s="6" t="s">
        <v>10203</v>
      </c>
      <c r="C4402" s="10">
        <v>46064.0</v>
      </c>
      <c r="D4402" s="6" t="s">
        <v>242</v>
      </c>
      <c r="E4402" s="6" t="s">
        <v>896</v>
      </c>
      <c r="F4402" s="6" t="s">
        <v>283</v>
      </c>
      <c r="G4402" s="6" t="s">
        <v>458</v>
      </c>
      <c r="H4402" s="10">
        <v>46068.0</v>
      </c>
      <c r="I4402" s="12">
        <v>6.0</v>
      </c>
      <c r="J4402" s="6" t="s">
        <v>178</v>
      </c>
    </row>
    <row r="4403" ht="22.5" customHeight="1">
      <c r="A4403" s="6" t="s">
        <v>20440</v>
      </c>
      <c r="B4403" s="6" t="s">
        <v>10203</v>
      </c>
      <c r="C4403" s="10">
        <v>46063.0</v>
      </c>
      <c r="D4403" s="6" t="s">
        <v>289</v>
      </c>
      <c r="E4403" s="6" t="s">
        <v>1280</v>
      </c>
      <c r="F4403" s="6" t="s">
        <v>112</v>
      </c>
      <c r="G4403" s="6" t="s">
        <v>326</v>
      </c>
      <c r="H4403" s="10">
        <v>46067.0</v>
      </c>
      <c r="I4403" s="12">
        <v>8.0</v>
      </c>
      <c r="J4403" s="6" t="s">
        <v>161</v>
      </c>
    </row>
    <row r="4404" ht="22.5" customHeight="1">
      <c r="A4404" s="6" t="s">
        <v>20442</v>
      </c>
      <c r="B4404" s="6" t="s">
        <v>10203</v>
      </c>
      <c r="C4404" s="10">
        <v>46057.0</v>
      </c>
      <c r="D4404" s="6" t="s">
        <v>242</v>
      </c>
      <c r="E4404" s="6" t="s">
        <v>1310</v>
      </c>
      <c r="F4404" s="6" t="s">
        <v>439</v>
      </c>
      <c r="G4404" s="6" t="s">
        <v>326</v>
      </c>
      <c r="H4404" s="10">
        <v>46062.0</v>
      </c>
      <c r="I4404" s="12">
        <v>3.0</v>
      </c>
      <c r="J4404" s="6" t="s">
        <v>178</v>
      </c>
    </row>
    <row r="4405" ht="22.5" customHeight="1">
      <c r="A4405" s="6" t="s">
        <v>20446</v>
      </c>
      <c r="B4405" s="6" t="s">
        <v>10203</v>
      </c>
      <c r="C4405" s="10">
        <v>46058.0</v>
      </c>
      <c r="D4405" s="6" t="s">
        <v>391</v>
      </c>
      <c r="E4405" s="6" t="s">
        <v>2881</v>
      </c>
      <c r="F4405" s="6" t="s">
        <v>112</v>
      </c>
      <c r="G4405" s="6" t="s">
        <v>369</v>
      </c>
      <c r="H4405" s="10">
        <v>46060.0</v>
      </c>
      <c r="I4405" s="12">
        <v>6.0</v>
      </c>
      <c r="J4405" s="6" t="s">
        <v>161</v>
      </c>
    </row>
    <row r="4406" ht="22.5" customHeight="1">
      <c r="A4406" s="6" t="s">
        <v>20450</v>
      </c>
      <c r="B4406" s="6" t="s">
        <v>10210</v>
      </c>
      <c r="C4406" s="10">
        <v>46051.0</v>
      </c>
      <c r="D4406" s="6" t="s">
        <v>436</v>
      </c>
      <c r="E4406" s="6" t="s">
        <v>1296</v>
      </c>
      <c r="F4406" s="6" t="s">
        <v>112</v>
      </c>
      <c r="G4406" s="6" t="s">
        <v>452</v>
      </c>
      <c r="H4406" s="10">
        <v>46056.0</v>
      </c>
      <c r="I4406" s="12">
        <v>11.0</v>
      </c>
      <c r="J4406" s="6" t="s">
        <v>178</v>
      </c>
    </row>
    <row r="4407" ht="22.5" customHeight="1">
      <c r="A4407" s="6" t="s">
        <v>20454</v>
      </c>
      <c r="B4407" s="6" t="s">
        <v>10210</v>
      </c>
      <c r="C4407" s="10">
        <v>46059.0</v>
      </c>
      <c r="D4407" s="6" t="s">
        <v>289</v>
      </c>
      <c r="E4407" s="6" t="s">
        <v>320</v>
      </c>
      <c r="F4407" s="6" t="s">
        <v>249</v>
      </c>
      <c r="G4407" s="6" t="s">
        <v>494</v>
      </c>
      <c r="H4407" s="11" t="s">
        <v>259</v>
      </c>
      <c r="I4407" s="12">
        <v>8.0</v>
      </c>
      <c r="J4407" s="6" t="s">
        <v>161</v>
      </c>
    </row>
    <row r="4408" ht="22.5" customHeight="1">
      <c r="A4408" s="6" t="s">
        <v>20455</v>
      </c>
      <c r="B4408" s="6" t="s">
        <v>10210</v>
      </c>
      <c r="C4408" s="10">
        <v>46064.0</v>
      </c>
      <c r="D4408" s="6" t="s">
        <v>436</v>
      </c>
      <c r="E4408" s="6" t="s">
        <v>618</v>
      </c>
      <c r="F4408" s="6" t="s">
        <v>439</v>
      </c>
      <c r="G4408" s="6" t="s">
        <v>494</v>
      </c>
      <c r="H4408" s="10">
        <v>46066.0</v>
      </c>
      <c r="I4408" s="12">
        <v>7.0</v>
      </c>
      <c r="J4408" s="6" t="s">
        <v>161</v>
      </c>
    </row>
    <row r="4409" ht="22.5" customHeight="1">
      <c r="A4409" s="6" t="s">
        <v>20459</v>
      </c>
      <c r="B4409" s="6" t="s">
        <v>10210</v>
      </c>
      <c r="C4409" s="10">
        <v>46062.0</v>
      </c>
      <c r="D4409" s="6" t="s">
        <v>312</v>
      </c>
      <c r="E4409" s="6" t="s">
        <v>1280</v>
      </c>
      <c r="F4409" s="6" t="s">
        <v>249</v>
      </c>
      <c r="G4409" s="6" t="s">
        <v>254</v>
      </c>
      <c r="H4409" s="10">
        <v>46069.0</v>
      </c>
      <c r="I4409" s="12">
        <v>5.0</v>
      </c>
      <c r="J4409" s="6" t="s">
        <v>161</v>
      </c>
    </row>
    <row r="4410" ht="22.5" customHeight="1">
      <c r="A4410" s="6" t="s">
        <v>20462</v>
      </c>
      <c r="B4410" s="6" t="s">
        <v>10210</v>
      </c>
      <c r="C4410" s="10">
        <v>46049.0</v>
      </c>
      <c r="D4410" s="6" t="s">
        <v>391</v>
      </c>
      <c r="E4410" s="6" t="s">
        <v>2881</v>
      </c>
      <c r="F4410" s="6" t="s">
        <v>283</v>
      </c>
      <c r="G4410" s="6" t="s">
        <v>494</v>
      </c>
      <c r="H4410" s="10">
        <v>46054.0</v>
      </c>
      <c r="I4410" s="12">
        <v>7.0</v>
      </c>
      <c r="J4410" s="6" t="s">
        <v>161</v>
      </c>
    </row>
    <row r="4411" ht="22.5" customHeight="1">
      <c r="A4411" s="6" t="s">
        <v>20465</v>
      </c>
      <c r="B4411" s="6" t="s">
        <v>10216</v>
      </c>
      <c r="C4411" s="10">
        <v>46052.0</v>
      </c>
      <c r="D4411" s="6" t="s">
        <v>289</v>
      </c>
      <c r="E4411" s="6" t="s">
        <v>394</v>
      </c>
      <c r="F4411" s="6" t="s">
        <v>249</v>
      </c>
      <c r="G4411" s="6" t="s">
        <v>458</v>
      </c>
      <c r="H4411" s="10">
        <v>46057.0</v>
      </c>
      <c r="I4411" s="12">
        <v>7.0</v>
      </c>
      <c r="J4411" s="6" t="s">
        <v>161</v>
      </c>
    </row>
    <row r="4412" ht="22.5" customHeight="1">
      <c r="A4412" s="6" t="s">
        <v>20469</v>
      </c>
      <c r="B4412" s="6" t="s">
        <v>10216</v>
      </c>
      <c r="C4412" s="10">
        <v>46057.0</v>
      </c>
      <c r="D4412" s="6" t="s">
        <v>242</v>
      </c>
      <c r="E4412" s="6" t="s">
        <v>716</v>
      </c>
      <c r="F4412" s="6" t="s">
        <v>283</v>
      </c>
      <c r="G4412" s="6" t="s">
        <v>326</v>
      </c>
      <c r="H4412" s="10">
        <v>46060.0</v>
      </c>
      <c r="I4412" s="12">
        <v>3.0</v>
      </c>
      <c r="J4412" s="6" t="s">
        <v>178</v>
      </c>
    </row>
    <row r="4413" ht="22.5" customHeight="1">
      <c r="A4413" s="6" t="s">
        <v>20472</v>
      </c>
      <c r="B4413" s="6" t="s">
        <v>10223</v>
      </c>
      <c r="C4413" s="10">
        <v>46044.0</v>
      </c>
      <c r="D4413" s="6" t="s">
        <v>242</v>
      </c>
      <c r="E4413" s="6" t="s">
        <v>1546</v>
      </c>
      <c r="F4413" s="6" t="s">
        <v>439</v>
      </c>
      <c r="G4413" s="6" t="s">
        <v>477</v>
      </c>
      <c r="H4413" s="10">
        <v>46050.0</v>
      </c>
      <c r="I4413" s="12">
        <v>5.0</v>
      </c>
      <c r="J4413" s="6" t="s">
        <v>161</v>
      </c>
    </row>
    <row r="4414" ht="22.5" customHeight="1">
      <c r="A4414" s="6" t="s">
        <v>20476</v>
      </c>
      <c r="B4414" s="6" t="s">
        <v>10223</v>
      </c>
      <c r="C4414" s="10">
        <v>46030.0</v>
      </c>
      <c r="D4414" s="6" t="s">
        <v>677</v>
      </c>
      <c r="E4414" s="6" t="s">
        <v>1700</v>
      </c>
      <c r="F4414" s="6" t="s">
        <v>249</v>
      </c>
      <c r="G4414" s="6" t="s">
        <v>477</v>
      </c>
      <c r="H4414" s="10">
        <v>46030.0</v>
      </c>
      <c r="I4414" s="12">
        <v>2.0</v>
      </c>
      <c r="J4414" s="6" t="s">
        <v>161</v>
      </c>
    </row>
    <row r="4415" ht="22.5" customHeight="1">
      <c r="A4415" s="6" t="s">
        <v>20479</v>
      </c>
      <c r="B4415" s="6" t="s">
        <v>10223</v>
      </c>
      <c r="C4415" s="10">
        <v>46042.0</v>
      </c>
      <c r="D4415" s="6" t="s">
        <v>416</v>
      </c>
      <c r="E4415" s="6" t="s">
        <v>731</v>
      </c>
      <c r="F4415" s="6" t="s">
        <v>112</v>
      </c>
      <c r="G4415" s="6" t="s">
        <v>452</v>
      </c>
      <c r="H4415" s="10">
        <v>46043.0</v>
      </c>
      <c r="I4415" s="12">
        <v>11.0</v>
      </c>
      <c r="J4415" s="6" t="s">
        <v>161</v>
      </c>
    </row>
    <row r="4416" ht="22.5" customHeight="1">
      <c r="A4416" s="6" t="s">
        <v>20481</v>
      </c>
      <c r="B4416" s="6" t="s">
        <v>10223</v>
      </c>
      <c r="C4416" s="10">
        <v>46036.0</v>
      </c>
      <c r="D4416" s="6" t="s">
        <v>242</v>
      </c>
      <c r="E4416" s="6" t="s">
        <v>1517</v>
      </c>
      <c r="F4416" s="6" t="s">
        <v>112</v>
      </c>
      <c r="G4416" s="6" t="s">
        <v>452</v>
      </c>
      <c r="H4416" s="11" t="s">
        <v>259</v>
      </c>
      <c r="I4416" s="12">
        <v>4.0</v>
      </c>
      <c r="J4416" s="6" t="s">
        <v>178</v>
      </c>
    </row>
    <row r="4417" ht="22.5" customHeight="1">
      <c r="A4417" s="6" t="s">
        <v>20484</v>
      </c>
      <c r="B4417" s="6" t="s">
        <v>10223</v>
      </c>
      <c r="C4417" s="10">
        <v>46036.0</v>
      </c>
      <c r="D4417" s="6" t="s">
        <v>242</v>
      </c>
      <c r="E4417" s="6" t="s">
        <v>885</v>
      </c>
      <c r="F4417" s="6" t="s">
        <v>249</v>
      </c>
      <c r="G4417" s="6" t="s">
        <v>494</v>
      </c>
      <c r="H4417" s="11" t="s">
        <v>259</v>
      </c>
      <c r="I4417" s="12">
        <v>5.0</v>
      </c>
      <c r="J4417" s="6" t="s">
        <v>178</v>
      </c>
    </row>
    <row r="4418" ht="22.5" customHeight="1">
      <c r="A4418" s="6" t="s">
        <v>20486</v>
      </c>
      <c r="B4418" s="6" t="s">
        <v>10229</v>
      </c>
      <c r="C4418" s="10">
        <v>46060.0</v>
      </c>
      <c r="D4418" s="6" t="s">
        <v>242</v>
      </c>
      <c r="E4418" s="6" t="s">
        <v>1055</v>
      </c>
      <c r="F4418" s="6" t="s">
        <v>439</v>
      </c>
      <c r="G4418" s="6" t="s">
        <v>458</v>
      </c>
      <c r="H4418" s="10">
        <v>46061.0</v>
      </c>
      <c r="I4418" s="12">
        <v>4.0</v>
      </c>
      <c r="J4418" s="6" t="s">
        <v>178</v>
      </c>
    </row>
    <row r="4419" ht="22.5" customHeight="1">
      <c r="A4419" s="6" t="s">
        <v>20491</v>
      </c>
      <c r="B4419" s="6" t="s">
        <v>10229</v>
      </c>
      <c r="C4419" s="10">
        <v>46048.0</v>
      </c>
      <c r="D4419" s="6" t="s">
        <v>436</v>
      </c>
      <c r="E4419" s="6" t="s">
        <v>417</v>
      </c>
      <c r="F4419" s="6" t="s">
        <v>439</v>
      </c>
      <c r="G4419" s="6" t="s">
        <v>477</v>
      </c>
      <c r="H4419" s="11" t="s">
        <v>259</v>
      </c>
      <c r="I4419" s="12">
        <v>9.0</v>
      </c>
      <c r="J4419" s="6" t="s">
        <v>178</v>
      </c>
    </row>
    <row r="4420" ht="22.5" customHeight="1">
      <c r="A4420" s="6" t="s">
        <v>20493</v>
      </c>
      <c r="B4420" s="6" t="s">
        <v>10229</v>
      </c>
      <c r="C4420" s="10">
        <v>46060.0</v>
      </c>
      <c r="D4420" s="6" t="s">
        <v>242</v>
      </c>
      <c r="E4420" s="6" t="s">
        <v>885</v>
      </c>
      <c r="F4420" s="6" t="s">
        <v>439</v>
      </c>
      <c r="G4420" s="6" t="s">
        <v>254</v>
      </c>
      <c r="H4420" s="10">
        <v>46062.0</v>
      </c>
      <c r="I4420" s="12">
        <v>4.0</v>
      </c>
      <c r="J4420" s="6" t="s">
        <v>161</v>
      </c>
    </row>
    <row r="4421" ht="22.5" customHeight="1">
      <c r="A4421" s="6" t="s">
        <v>20497</v>
      </c>
      <c r="B4421" s="6" t="s">
        <v>10229</v>
      </c>
      <c r="C4421" s="10">
        <v>46061.0</v>
      </c>
      <c r="D4421" s="6" t="s">
        <v>677</v>
      </c>
      <c r="E4421" s="6" t="s">
        <v>1741</v>
      </c>
      <c r="F4421" s="6" t="s">
        <v>112</v>
      </c>
      <c r="G4421" s="6" t="s">
        <v>452</v>
      </c>
      <c r="H4421" s="10">
        <v>46064.0</v>
      </c>
      <c r="I4421" s="12">
        <v>2.0</v>
      </c>
      <c r="J4421" s="6" t="s">
        <v>161</v>
      </c>
    </row>
    <row r="4422" ht="22.5" customHeight="1">
      <c r="A4422" s="6" t="s">
        <v>20499</v>
      </c>
      <c r="B4422" s="6" t="s">
        <v>10236</v>
      </c>
      <c r="C4422" s="10">
        <v>46071.0</v>
      </c>
      <c r="D4422" s="6" t="s">
        <v>677</v>
      </c>
      <c r="E4422" s="6" t="s">
        <v>885</v>
      </c>
      <c r="F4422" s="6" t="s">
        <v>439</v>
      </c>
      <c r="G4422" s="6" t="s">
        <v>458</v>
      </c>
      <c r="H4422" s="10">
        <v>46073.0</v>
      </c>
      <c r="I4422" s="12">
        <v>3.0</v>
      </c>
      <c r="J4422" s="6" t="s">
        <v>161</v>
      </c>
    </row>
    <row r="4423" ht="22.5" customHeight="1">
      <c r="A4423" s="6" t="s">
        <v>20502</v>
      </c>
      <c r="B4423" s="6" t="s">
        <v>10242</v>
      </c>
      <c r="C4423" s="10">
        <v>46054.0</v>
      </c>
      <c r="D4423" s="6" t="s">
        <v>391</v>
      </c>
      <c r="E4423" s="6" t="s">
        <v>695</v>
      </c>
      <c r="F4423" s="6" t="s">
        <v>283</v>
      </c>
      <c r="G4423" s="6" t="s">
        <v>326</v>
      </c>
      <c r="H4423" s="11" t="s">
        <v>259</v>
      </c>
      <c r="I4423" s="12">
        <v>6.0</v>
      </c>
      <c r="J4423" s="6" t="s">
        <v>161</v>
      </c>
    </row>
    <row r="4424" ht="22.5" customHeight="1">
      <c r="A4424" s="6" t="s">
        <v>20506</v>
      </c>
      <c r="B4424" s="6" t="s">
        <v>10242</v>
      </c>
      <c r="C4424" s="10">
        <v>46059.0</v>
      </c>
      <c r="D4424" s="6" t="s">
        <v>436</v>
      </c>
      <c r="E4424" s="6" t="s">
        <v>1296</v>
      </c>
      <c r="F4424" s="6" t="s">
        <v>112</v>
      </c>
      <c r="G4424" s="6" t="s">
        <v>458</v>
      </c>
      <c r="H4424" s="10">
        <v>46065.0</v>
      </c>
      <c r="I4424" s="12">
        <v>11.0</v>
      </c>
      <c r="J4424" s="6" t="s">
        <v>178</v>
      </c>
    </row>
    <row r="4425" ht="22.5" customHeight="1">
      <c r="A4425" s="6" t="s">
        <v>20509</v>
      </c>
      <c r="B4425" s="6" t="s">
        <v>10242</v>
      </c>
      <c r="C4425" s="10">
        <v>46057.0</v>
      </c>
      <c r="D4425" s="6" t="s">
        <v>289</v>
      </c>
      <c r="E4425" s="6" t="s">
        <v>438</v>
      </c>
      <c r="F4425" s="6" t="s">
        <v>249</v>
      </c>
      <c r="G4425" s="6" t="s">
        <v>494</v>
      </c>
      <c r="H4425" s="10">
        <v>46060.0</v>
      </c>
      <c r="I4425" s="12">
        <v>10.0</v>
      </c>
      <c r="J4425" s="6" t="s">
        <v>161</v>
      </c>
    </row>
    <row r="4426" ht="22.5" customHeight="1">
      <c r="A4426" s="6" t="s">
        <v>20512</v>
      </c>
      <c r="B4426" s="6" t="s">
        <v>10249</v>
      </c>
      <c r="C4426" s="10">
        <v>46072.0</v>
      </c>
      <c r="D4426" s="6" t="s">
        <v>312</v>
      </c>
      <c r="E4426" s="6" t="s">
        <v>1570</v>
      </c>
      <c r="F4426" s="6" t="s">
        <v>283</v>
      </c>
      <c r="G4426" s="6" t="s">
        <v>326</v>
      </c>
      <c r="H4426" s="10">
        <v>46075.0</v>
      </c>
      <c r="I4426" s="12">
        <v>7.0</v>
      </c>
      <c r="J4426" s="6" t="s">
        <v>161</v>
      </c>
    </row>
    <row r="4427" ht="22.5" customHeight="1">
      <c r="A4427" s="6" t="s">
        <v>20515</v>
      </c>
      <c r="B4427" s="6" t="s">
        <v>10249</v>
      </c>
      <c r="C4427" s="10">
        <v>46076.0</v>
      </c>
      <c r="D4427" s="6" t="s">
        <v>242</v>
      </c>
      <c r="E4427" s="6" t="s">
        <v>1700</v>
      </c>
      <c r="F4427" s="6" t="s">
        <v>439</v>
      </c>
      <c r="G4427" s="6" t="s">
        <v>452</v>
      </c>
      <c r="H4427" s="10">
        <v>46077.0</v>
      </c>
      <c r="I4427" s="12">
        <v>6.0</v>
      </c>
      <c r="J4427" s="6" t="s">
        <v>178</v>
      </c>
    </row>
    <row r="4428" ht="22.5" customHeight="1">
      <c r="A4428" s="6" t="s">
        <v>20517</v>
      </c>
      <c r="B4428" s="6" t="s">
        <v>10249</v>
      </c>
      <c r="C4428" s="10">
        <v>46063.0</v>
      </c>
      <c r="D4428" s="6" t="s">
        <v>391</v>
      </c>
      <c r="E4428" s="6" t="s">
        <v>704</v>
      </c>
      <c r="F4428" s="6" t="s">
        <v>249</v>
      </c>
      <c r="G4428" s="6" t="s">
        <v>494</v>
      </c>
      <c r="H4428" s="10">
        <v>46070.0</v>
      </c>
      <c r="I4428" s="12">
        <v>8.0</v>
      </c>
      <c r="J4428" s="6" t="s">
        <v>161</v>
      </c>
    </row>
    <row r="4429" ht="22.5" customHeight="1">
      <c r="A4429" s="6" t="s">
        <v>20521</v>
      </c>
      <c r="B4429" s="6" t="s">
        <v>10249</v>
      </c>
      <c r="C4429" s="10">
        <v>46072.0</v>
      </c>
      <c r="D4429" s="6" t="s">
        <v>391</v>
      </c>
      <c r="E4429" s="6" t="s">
        <v>618</v>
      </c>
      <c r="F4429" s="6" t="s">
        <v>112</v>
      </c>
      <c r="G4429" s="6" t="s">
        <v>254</v>
      </c>
      <c r="H4429" s="10">
        <v>46075.0</v>
      </c>
      <c r="I4429" s="12">
        <v>10.0</v>
      </c>
      <c r="J4429" s="6" t="s">
        <v>161</v>
      </c>
    </row>
    <row r="4430" ht="22.5" customHeight="1">
      <c r="A4430" s="6" t="s">
        <v>20523</v>
      </c>
      <c r="B4430" s="6" t="s">
        <v>10249</v>
      </c>
      <c r="C4430" s="10">
        <v>46062.0</v>
      </c>
      <c r="D4430" s="6" t="s">
        <v>242</v>
      </c>
      <c r="E4430" s="6" t="s">
        <v>475</v>
      </c>
      <c r="F4430" s="6" t="s">
        <v>112</v>
      </c>
      <c r="G4430" s="6" t="s">
        <v>458</v>
      </c>
      <c r="H4430" s="10">
        <v>46063.0</v>
      </c>
      <c r="I4430" s="12">
        <v>5.0</v>
      </c>
      <c r="J4430" s="6" t="s">
        <v>178</v>
      </c>
    </row>
    <row r="4431" ht="22.5" customHeight="1">
      <c r="A4431" s="6" t="s">
        <v>20526</v>
      </c>
      <c r="B4431" s="6" t="s">
        <v>10255</v>
      </c>
      <c r="C4431" s="10">
        <v>46070.0</v>
      </c>
      <c r="D4431" s="6" t="s">
        <v>391</v>
      </c>
      <c r="E4431" s="6" t="s">
        <v>618</v>
      </c>
      <c r="F4431" s="6" t="s">
        <v>249</v>
      </c>
      <c r="G4431" s="6" t="s">
        <v>452</v>
      </c>
      <c r="H4431" s="10">
        <v>46074.0</v>
      </c>
      <c r="I4431" s="12">
        <v>6.0</v>
      </c>
      <c r="J4431" s="6" t="s">
        <v>161</v>
      </c>
    </row>
    <row r="4432" ht="22.5" customHeight="1">
      <c r="A4432" s="6" t="s">
        <v>20529</v>
      </c>
      <c r="B4432" s="6" t="s">
        <v>10255</v>
      </c>
      <c r="C4432" s="10">
        <v>46071.0</v>
      </c>
      <c r="D4432" s="6" t="s">
        <v>436</v>
      </c>
      <c r="E4432" s="6" t="s">
        <v>687</v>
      </c>
      <c r="F4432" s="6" t="s">
        <v>249</v>
      </c>
      <c r="G4432" s="6" t="s">
        <v>297</v>
      </c>
      <c r="H4432" s="10">
        <v>46076.0</v>
      </c>
      <c r="I4432" s="12">
        <v>7.0</v>
      </c>
      <c r="J4432" s="6" t="s">
        <v>178</v>
      </c>
    </row>
    <row r="4433" ht="22.5" customHeight="1">
      <c r="A4433" s="6" t="s">
        <v>20532</v>
      </c>
      <c r="B4433" s="6" t="s">
        <v>10255</v>
      </c>
      <c r="C4433" s="10">
        <v>46060.0</v>
      </c>
      <c r="D4433" s="6" t="s">
        <v>436</v>
      </c>
      <c r="E4433" s="6" t="s">
        <v>1626</v>
      </c>
      <c r="F4433" s="6" t="s">
        <v>283</v>
      </c>
      <c r="G4433" s="6" t="s">
        <v>297</v>
      </c>
      <c r="H4433" s="10">
        <v>46063.0</v>
      </c>
      <c r="I4433" s="12">
        <v>12.0</v>
      </c>
      <c r="J4433" s="6" t="s">
        <v>161</v>
      </c>
    </row>
    <row r="4434" ht="22.5" customHeight="1">
      <c r="A4434" s="6" t="s">
        <v>20535</v>
      </c>
      <c r="B4434" s="6" t="s">
        <v>10262</v>
      </c>
      <c r="C4434" s="10">
        <v>46026.0</v>
      </c>
      <c r="D4434" s="6" t="s">
        <v>289</v>
      </c>
      <c r="E4434" s="6" t="s">
        <v>1055</v>
      </c>
      <c r="F4434" s="6" t="s">
        <v>283</v>
      </c>
      <c r="G4434" s="6" t="s">
        <v>477</v>
      </c>
      <c r="H4434" s="10">
        <v>46033.0</v>
      </c>
      <c r="I4434" s="12">
        <v>8.0</v>
      </c>
      <c r="J4434" s="6" t="s">
        <v>161</v>
      </c>
    </row>
    <row r="4435" ht="22.5" customHeight="1">
      <c r="A4435" s="6" t="s">
        <v>20537</v>
      </c>
      <c r="B4435" s="6" t="s">
        <v>10262</v>
      </c>
      <c r="C4435" s="10">
        <v>46039.0</v>
      </c>
      <c r="D4435" s="6" t="s">
        <v>391</v>
      </c>
      <c r="E4435" s="6" t="s">
        <v>475</v>
      </c>
      <c r="F4435" s="6" t="s">
        <v>112</v>
      </c>
      <c r="G4435" s="6" t="s">
        <v>458</v>
      </c>
      <c r="H4435" s="10">
        <v>46041.0</v>
      </c>
      <c r="I4435" s="12">
        <v>10.0</v>
      </c>
      <c r="J4435" s="6" t="s">
        <v>161</v>
      </c>
    </row>
    <row r="4436" ht="22.5" customHeight="1">
      <c r="A4436" s="6" t="s">
        <v>20540</v>
      </c>
      <c r="B4436" s="6" t="s">
        <v>10262</v>
      </c>
      <c r="C4436" s="10">
        <v>46034.0</v>
      </c>
      <c r="D4436" s="6" t="s">
        <v>436</v>
      </c>
      <c r="E4436" s="6" t="s">
        <v>1280</v>
      </c>
      <c r="F4436" s="6" t="s">
        <v>112</v>
      </c>
      <c r="G4436" s="6" t="s">
        <v>254</v>
      </c>
      <c r="H4436" s="10">
        <v>46037.0</v>
      </c>
      <c r="I4436" s="12">
        <v>11.0</v>
      </c>
      <c r="J4436" s="6" t="s">
        <v>161</v>
      </c>
    </row>
    <row r="4437" ht="22.5" customHeight="1">
      <c r="A4437" s="6" t="s">
        <v>20544</v>
      </c>
      <c r="B4437" s="6" t="s">
        <v>10262</v>
      </c>
      <c r="C4437" s="10">
        <v>46036.0</v>
      </c>
      <c r="D4437" s="6" t="s">
        <v>416</v>
      </c>
      <c r="E4437" s="6" t="s">
        <v>1626</v>
      </c>
      <c r="F4437" s="6" t="s">
        <v>439</v>
      </c>
      <c r="G4437" s="6" t="s">
        <v>297</v>
      </c>
      <c r="H4437" s="10">
        <v>46037.0</v>
      </c>
      <c r="I4437" s="12">
        <v>9.0</v>
      </c>
      <c r="J4437" s="6" t="s">
        <v>161</v>
      </c>
    </row>
    <row r="4438" ht="22.5" customHeight="1">
      <c r="A4438" s="6" t="s">
        <v>20547</v>
      </c>
      <c r="B4438" s="6" t="s">
        <v>10262</v>
      </c>
      <c r="C4438" s="10">
        <v>46040.0</v>
      </c>
      <c r="D4438" s="6" t="s">
        <v>677</v>
      </c>
      <c r="E4438" s="6" t="s">
        <v>695</v>
      </c>
      <c r="F4438" s="6" t="s">
        <v>249</v>
      </c>
      <c r="G4438" s="6" t="s">
        <v>297</v>
      </c>
      <c r="H4438" s="10">
        <v>46044.0</v>
      </c>
      <c r="I4438" s="12">
        <v>3.0</v>
      </c>
      <c r="J4438" s="6" t="s">
        <v>161</v>
      </c>
    </row>
    <row r="4439" ht="22.5" customHeight="1">
      <c r="A4439" s="6" t="s">
        <v>20551</v>
      </c>
      <c r="B4439" s="6" t="s">
        <v>10268</v>
      </c>
      <c r="C4439" s="10">
        <v>46047.0</v>
      </c>
      <c r="D4439" s="6" t="s">
        <v>242</v>
      </c>
      <c r="E4439" s="6" t="s">
        <v>775</v>
      </c>
      <c r="F4439" s="6" t="s">
        <v>283</v>
      </c>
      <c r="G4439" s="6" t="s">
        <v>494</v>
      </c>
      <c r="H4439" s="11" t="s">
        <v>259</v>
      </c>
      <c r="I4439" s="12">
        <v>3.0</v>
      </c>
      <c r="J4439" s="6" t="s">
        <v>178</v>
      </c>
    </row>
    <row r="4440" ht="22.5" customHeight="1">
      <c r="A4440" s="6" t="s">
        <v>20552</v>
      </c>
      <c r="B4440" s="6" t="s">
        <v>10268</v>
      </c>
      <c r="C4440" s="10">
        <v>46048.0</v>
      </c>
      <c r="D4440" s="6" t="s">
        <v>391</v>
      </c>
      <c r="E4440" s="6" t="s">
        <v>583</v>
      </c>
      <c r="F4440" s="6" t="s">
        <v>439</v>
      </c>
      <c r="G4440" s="6" t="s">
        <v>494</v>
      </c>
      <c r="H4440" s="10">
        <v>46053.0</v>
      </c>
      <c r="I4440" s="12">
        <v>8.0</v>
      </c>
      <c r="J4440" s="6" t="s">
        <v>161</v>
      </c>
    </row>
    <row r="4441" ht="22.5" customHeight="1">
      <c r="A4441" s="6" t="s">
        <v>20554</v>
      </c>
      <c r="B4441" s="6" t="s">
        <v>10268</v>
      </c>
      <c r="C4441" s="10">
        <v>46057.0</v>
      </c>
      <c r="D4441" s="6" t="s">
        <v>289</v>
      </c>
      <c r="E4441" s="6" t="s">
        <v>1149</v>
      </c>
      <c r="F4441" s="6" t="s">
        <v>283</v>
      </c>
      <c r="G4441" s="6" t="s">
        <v>326</v>
      </c>
      <c r="H4441" s="11" t="s">
        <v>259</v>
      </c>
      <c r="I4441" s="12">
        <v>7.0</v>
      </c>
      <c r="J4441" s="6" t="s">
        <v>161</v>
      </c>
    </row>
    <row r="4442" ht="22.5" customHeight="1">
      <c r="A4442" s="6" t="s">
        <v>20558</v>
      </c>
      <c r="B4442" s="6" t="s">
        <v>10274</v>
      </c>
      <c r="C4442" s="10">
        <v>46049.0</v>
      </c>
      <c r="D4442" s="6" t="s">
        <v>391</v>
      </c>
      <c r="E4442" s="6" t="s">
        <v>812</v>
      </c>
      <c r="F4442" s="6" t="s">
        <v>112</v>
      </c>
      <c r="G4442" s="6" t="s">
        <v>254</v>
      </c>
      <c r="H4442" s="10">
        <v>46049.0</v>
      </c>
      <c r="I4442" s="12">
        <v>10.0</v>
      </c>
      <c r="J4442" s="6" t="s">
        <v>161</v>
      </c>
    </row>
    <row r="4443" ht="22.5" customHeight="1">
      <c r="A4443" s="6" t="s">
        <v>20562</v>
      </c>
      <c r="B4443" s="6" t="s">
        <v>10280</v>
      </c>
      <c r="C4443" s="10">
        <v>46032.0</v>
      </c>
      <c r="D4443" s="6" t="s">
        <v>312</v>
      </c>
      <c r="E4443" s="6" t="s">
        <v>1700</v>
      </c>
      <c r="F4443" s="6" t="s">
        <v>249</v>
      </c>
      <c r="G4443" s="6" t="s">
        <v>494</v>
      </c>
      <c r="H4443" s="11" t="s">
        <v>259</v>
      </c>
      <c r="I4443" s="12">
        <v>7.0</v>
      </c>
      <c r="J4443" s="6" t="s">
        <v>161</v>
      </c>
    </row>
    <row r="4444" ht="22.5" customHeight="1">
      <c r="A4444" s="6" t="s">
        <v>20565</v>
      </c>
      <c r="B4444" s="6" t="s">
        <v>10280</v>
      </c>
      <c r="C4444" s="10">
        <v>46048.0</v>
      </c>
      <c r="D4444" s="6" t="s">
        <v>416</v>
      </c>
      <c r="E4444" s="6" t="s">
        <v>1296</v>
      </c>
      <c r="F4444" s="6" t="s">
        <v>439</v>
      </c>
      <c r="G4444" s="6" t="s">
        <v>326</v>
      </c>
      <c r="H4444" s="10">
        <v>46049.0</v>
      </c>
      <c r="I4444" s="12">
        <v>8.0</v>
      </c>
      <c r="J4444" s="6" t="s">
        <v>161</v>
      </c>
    </row>
    <row r="4445" ht="22.5" customHeight="1">
      <c r="A4445" s="6" t="s">
        <v>20568</v>
      </c>
      <c r="B4445" s="6" t="s">
        <v>10280</v>
      </c>
      <c r="C4445" s="10">
        <v>46032.0</v>
      </c>
      <c r="D4445" s="6" t="s">
        <v>289</v>
      </c>
      <c r="E4445" s="6" t="s">
        <v>466</v>
      </c>
      <c r="F4445" s="6" t="s">
        <v>249</v>
      </c>
      <c r="G4445" s="6" t="s">
        <v>458</v>
      </c>
      <c r="H4445" s="10">
        <v>46038.0</v>
      </c>
      <c r="I4445" s="12">
        <v>9.0</v>
      </c>
      <c r="J4445" s="6" t="s">
        <v>161</v>
      </c>
    </row>
    <row r="4446" ht="22.5" customHeight="1">
      <c r="A4446" s="6" t="s">
        <v>20572</v>
      </c>
      <c r="B4446" s="6" t="s">
        <v>10286</v>
      </c>
      <c r="C4446" s="10">
        <v>46037.0</v>
      </c>
      <c r="D4446" s="6" t="s">
        <v>677</v>
      </c>
      <c r="E4446" s="6" t="s">
        <v>1102</v>
      </c>
      <c r="F4446" s="6" t="s">
        <v>439</v>
      </c>
      <c r="G4446" s="6" t="s">
        <v>326</v>
      </c>
      <c r="H4446" s="10">
        <v>46038.0</v>
      </c>
      <c r="I4446" s="12">
        <v>4.0</v>
      </c>
      <c r="J4446" s="6" t="s">
        <v>161</v>
      </c>
    </row>
    <row r="4447" ht="22.5" customHeight="1">
      <c r="A4447" s="6" t="s">
        <v>20575</v>
      </c>
      <c r="B4447" s="6" t="s">
        <v>10286</v>
      </c>
      <c r="C4447" s="10">
        <v>46034.0</v>
      </c>
      <c r="D4447" s="6" t="s">
        <v>312</v>
      </c>
      <c r="E4447" s="6" t="s">
        <v>1969</v>
      </c>
      <c r="F4447" s="6" t="s">
        <v>112</v>
      </c>
      <c r="G4447" s="6" t="s">
        <v>254</v>
      </c>
      <c r="H4447" s="10">
        <v>46040.0</v>
      </c>
      <c r="I4447" s="12">
        <v>6.0</v>
      </c>
      <c r="J4447" s="6" t="s">
        <v>161</v>
      </c>
    </row>
    <row r="4448" ht="22.5" customHeight="1">
      <c r="A4448" s="6" t="s">
        <v>20578</v>
      </c>
      <c r="B4448" s="6" t="s">
        <v>10286</v>
      </c>
      <c r="C4448" s="10">
        <v>46052.0</v>
      </c>
      <c r="D4448" s="6" t="s">
        <v>436</v>
      </c>
      <c r="E4448" s="6" t="s">
        <v>1570</v>
      </c>
      <c r="F4448" s="6" t="s">
        <v>283</v>
      </c>
      <c r="G4448" s="6" t="s">
        <v>477</v>
      </c>
      <c r="H4448" s="10">
        <v>46057.0</v>
      </c>
      <c r="I4448" s="12">
        <v>10.0</v>
      </c>
      <c r="J4448" s="6" t="s">
        <v>178</v>
      </c>
    </row>
    <row r="4449" ht="22.5" customHeight="1">
      <c r="A4449" s="6" t="s">
        <v>20580</v>
      </c>
      <c r="B4449" s="6" t="s">
        <v>10286</v>
      </c>
      <c r="C4449" s="10">
        <v>46042.0</v>
      </c>
      <c r="D4449" s="6" t="s">
        <v>391</v>
      </c>
      <c r="E4449" s="6" t="s">
        <v>787</v>
      </c>
      <c r="F4449" s="6" t="s">
        <v>112</v>
      </c>
      <c r="G4449" s="6" t="s">
        <v>254</v>
      </c>
      <c r="H4449" s="10">
        <v>46047.0</v>
      </c>
      <c r="I4449" s="12">
        <v>6.0</v>
      </c>
      <c r="J4449" s="6" t="s">
        <v>161</v>
      </c>
    </row>
    <row r="4450" ht="22.5" customHeight="1">
      <c r="A4450" s="6" t="s">
        <v>20583</v>
      </c>
      <c r="B4450" s="6" t="s">
        <v>10286</v>
      </c>
      <c r="C4450" s="10">
        <v>46037.0</v>
      </c>
      <c r="D4450" s="6" t="s">
        <v>312</v>
      </c>
      <c r="E4450" s="6" t="s">
        <v>2365</v>
      </c>
      <c r="F4450" s="6" t="s">
        <v>112</v>
      </c>
      <c r="G4450" s="6" t="s">
        <v>326</v>
      </c>
      <c r="H4450" s="10">
        <v>46042.0</v>
      </c>
      <c r="I4450" s="12">
        <v>4.0</v>
      </c>
      <c r="J4450" s="6" t="s">
        <v>161</v>
      </c>
    </row>
    <row r="4451" ht="22.5" customHeight="1">
      <c r="A4451" s="6" t="s">
        <v>20587</v>
      </c>
      <c r="B4451" s="6" t="s">
        <v>10293</v>
      </c>
      <c r="C4451" s="10">
        <v>46080.0</v>
      </c>
      <c r="D4451" s="6" t="s">
        <v>416</v>
      </c>
      <c r="E4451" s="6" t="s">
        <v>787</v>
      </c>
      <c r="F4451" s="6" t="s">
        <v>283</v>
      </c>
      <c r="G4451" s="6" t="s">
        <v>254</v>
      </c>
      <c r="H4451" s="10">
        <v>46084.0</v>
      </c>
      <c r="I4451" s="12">
        <v>13.0</v>
      </c>
      <c r="J4451" s="6" t="s">
        <v>161</v>
      </c>
    </row>
    <row r="4452" ht="22.5" customHeight="1">
      <c r="A4452" s="6" t="s">
        <v>20589</v>
      </c>
      <c r="B4452" s="6" t="s">
        <v>10298</v>
      </c>
      <c r="C4452" s="10">
        <v>46046.0</v>
      </c>
      <c r="D4452" s="6" t="s">
        <v>391</v>
      </c>
      <c r="E4452" s="6" t="s">
        <v>1149</v>
      </c>
      <c r="F4452" s="6" t="s">
        <v>112</v>
      </c>
      <c r="G4452" s="6" t="s">
        <v>452</v>
      </c>
      <c r="H4452" s="10">
        <v>46048.0</v>
      </c>
      <c r="I4452" s="12">
        <v>9.0</v>
      </c>
      <c r="J4452" s="6" t="s">
        <v>161</v>
      </c>
    </row>
    <row r="4453" ht="22.5" customHeight="1">
      <c r="A4453" s="6" t="s">
        <v>20591</v>
      </c>
      <c r="B4453" s="6" t="s">
        <v>10305</v>
      </c>
      <c r="C4453" s="10">
        <v>46068.0</v>
      </c>
      <c r="D4453" s="6" t="s">
        <v>391</v>
      </c>
      <c r="E4453" s="6" t="s">
        <v>885</v>
      </c>
      <c r="F4453" s="6" t="s">
        <v>439</v>
      </c>
      <c r="G4453" s="6" t="s">
        <v>477</v>
      </c>
      <c r="H4453" s="10">
        <v>46074.0</v>
      </c>
      <c r="I4453" s="12">
        <v>7.0</v>
      </c>
      <c r="J4453" s="6" t="s">
        <v>161</v>
      </c>
    </row>
    <row r="4454" ht="22.5" customHeight="1">
      <c r="A4454" s="6" t="s">
        <v>20595</v>
      </c>
      <c r="B4454" s="6" t="s">
        <v>10305</v>
      </c>
      <c r="C4454" s="10">
        <v>46063.0</v>
      </c>
      <c r="D4454" s="6" t="s">
        <v>312</v>
      </c>
      <c r="E4454" s="6" t="s">
        <v>1517</v>
      </c>
      <c r="F4454" s="6" t="s">
        <v>112</v>
      </c>
      <c r="G4454" s="6" t="s">
        <v>452</v>
      </c>
      <c r="H4454" s="10">
        <v>46065.0</v>
      </c>
      <c r="I4454" s="12">
        <v>5.0</v>
      </c>
      <c r="J4454" s="6" t="s">
        <v>161</v>
      </c>
    </row>
    <row r="4455" ht="22.5" customHeight="1">
      <c r="A4455" s="6" t="s">
        <v>20597</v>
      </c>
      <c r="B4455" s="6" t="s">
        <v>10305</v>
      </c>
      <c r="C4455" s="10">
        <v>46059.0</v>
      </c>
      <c r="D4455" s="6" t="s">
        <v>289</v>
      </c>
      <c r="E4455" s="6" t="s">
        <v>1517</v>
      </c>
      <c r="F4455" s="6" t="s">
        <v>249</v>
      </c>
      <c r="G4455" s="6" t="s">
        <v>369</v>
      </c>
      <c r="H4455" s="10">
        <v>46063.0</v>
      </c>
      <c r="I4455" s="12">
        <v>10.0</v>
      </c>
      <c r="J4455" s="6" t="s">
        <v>161</v>
      </c>
    </row>
    <row r="4456" ht="22.5" customHeight="1">
      <c r="A4456" s="6" t="s">
        <v>20600</v>
      </c>
      <c r="B4456" s="6" t="s">
        <v>10305</v>
      </c>
      <c r="C4456" s="10">
        <v>46064.0</v>
      </c>
      <c r="D4456" s="6" t="s">
        <v>312</v>
      </c>
      <c r="E4456" s="6" t="s">
        <v>1600</v>
      </c>
      <c r="F4456" s="6" t="s">
        <v>112</v>
      </c>
      <c r="G4456" s="6" t="s">
        <v>452</v>
      </c>
      <c r="H4456" s="10">
        <v>46067.0</v>
      </c>
      <c r="I4456" s="12">
        <v>6.0</v>
      </c>
      <c r="J4456" s="6" t="s">
        <v>161</v>
      </c>
    </row>
    <row r="4457" ht="22.5" customHeight="1">
      <c r="A4457" s="6" t="s">
        <v>20603</v>
      </c>
      <c r="B4457" s="6" t="s">
        <v>10310</v>
      </c>
      <c r="C4457" s="10">
        <v>46060.0</v>
      </c>
      <c r="D4457" s="6" t="s">
        <v>416</v>
      </c>
      <c r="E4457" s="6" t="s">
        <v>610</v>
      </c>
      <c r="F4457" s="6" t="s">
        <v>249</v>
      </c>
      <c r="G4457" s="6" t="s">
        <v>326</v>
      </c>
      <c r="H4457" s="11" t="s">
        <v>259</v>
      </c>
      <c r="I4457" s="12">
        <v>14.0</v>
      </c>
      <c r="J4457" s="6" t="s">
        <v>161</v>
      </c>
    </row>
    <row r="4458" ht="22.5" customHeight="1">
      <c r="A4458" s="6" t="s">
        <v>20606</v>
      </c>
      <c r="B4458" s="6" t="s">
        <v>10310</v>
      </c>
      <c r="C4458" s="10">
        <v>46055.0</v>
      </c>
      <c r="D4458" s="6" t="s">
        <v>289</v>
      </c>
      <c r="E4458" s="6" t="s">
        <v>1720</v>
      </c>
      <c r="F4458" s="6" t="s">
        <v>439</v>
      </c>
      <c r="G4458" s="6" t="s">
        <v>369</v>
      </c>
      <c r="H4458" s="10">
        <v>46059.0</v>
      </c>
      <c r="I4458" s="12">
        <v>10.0</v>
      </c>
      <c r="J4458" s="6" t="s">
        <v>161</v>
      </c>
    </row>
    <row r="4459" ht="22.5" customHeight="1">
      <c r="A4459" s="6" t="s">
        <v>20610</v>
      </c>
      <c r="B4459" s="6" t="s">
        <v>10310</v>
      </c>
      <c r="C4459" s="10">
        <v>46049.0</v>
      </c>
      <c r="D4459" s="6" t="s">
        <v>436</v>
      </c>
      <c r="E4459" s="6" t="s">
        <v>1280</v>
      </c>
      <c r="F4459" s="6" t="s">
        <v>283</v>
      </c>
      <c r="G4459" s="6" t="s">
        <v>254</v>
      </c>
      <c r="H4459" s="11" t="s">
        <v>259</v>
      </c>
      <c r="I4459" s="12">
        <v>9.0</v>
      </c>
      <c r="J4459" s="6" t="s">
        <v>161</v>
      </c>
    </row>
    <row r="4460" ht="22.5" customHeight="1">
      <c r="A4460" s="6" t="s">
        <v>20614</v>
      </c>
      <c r="B4460" s="6" t="s">
        <v>10317</v>
      </c>
      <c r="C4460" s="10">
        <v>46076.0</v>
      </c>
      <c r="D4460" s="6" t="s">
        <v>312</v>
      </c>
      <c r="E4460" s="6" t="s">
        <v>1552</v>
      </c>
      <c r="F4460" s="6" t="s">
        <v>439</v>
      </c>
      <c r="G4460" s="6" t="s">
        <v>326</v>
      </c>
      <c r="H4460" s="10">
        <v>46083.0</v>
      </c>
      <c r="I4460" s="12">
        <v>7.0</v>
      </c>
      <c r="J4460" s="6" t="s">
        <v>161</v>
      </c>
    </row>
    <row r="4461" ht="22.5" customHeight="1">
      <c r="A4461" s="6" t="s">
        <v>20617</v>
      </c>
      <c r="B4461" s="6" t="s">
        <v>10317</v>
      </c>
      <c r="C4461" s="10">
        <v>46083.0</v>
      </c>
      <c r="D4461" s="6" t="s">
        <v>289</v>
      </c>
      <c r="E4461" s="6" t="s">
        <v>1741</v>
      </c>
      <c r="F4461" s="6" t="s">
        <v>283</v>
      </c>
      <c r="G4461" s="6" t="s">
        <v>369</v>
      </c>
      <c r="H4461" s="10">
        <v>46084.0</v>
      </c>
      <c r="I4461" s="12">
        <v>7.0</v>
      </c>
      <c r="J4461" s="6" t="s">
        <v>161</v>
      </c>
    </row>
    <row r="4462" ht="22.5" customHeight="1">
      <c r="A4462" s="6" t="s">
        <v>20620</v>
      </c>
      <c r="B4462" s="6" t="s">
        <v>10317</v>
      </c>
      <c r="C4462" s="10">
        <v>46072.0</v>
      </c>
      <c r="D4462" s="6" t="s">
        <v>312</v>
      </c>
      <c r="E4462" s="6" t="s">
        <v>1070</v>
      </c>
      <c r="F4462" s="6" t="s">
        <v>249</v>
      </c>
      <c r="G4462" s="6" t="s">
        <v>254</v>
      </c>
      <c r="H4462" s="10">
        <v>46077.0</v>
      </c>
      <c r="I4462" s="12">
        <v>7.0</v>
      </c>
      <c r="J4462" s="6" t="s">
        <v>161</v>
      </c>
    </row>
    <row r="4463" ht="22.5" customHeight="1">
      <c r="A4463" s="6" t="s">
        <v>20624</v>
      </c>
      <c r="B4463" s="6" t="s">
        <v>10317</v>
      </c>
      <c r="C4463" s="10">
        <v>46075.0</v>
      </c>
      <c r="D4463" s="6" t="s">
        <v>289</v>
      </c>
      <c r="E4463" s="6" t="s">
        <v>1035</v>
      </c>
      <c r="F4463" s="6" t="s">
        <v>283</v>
      </c>
      <c r="G4463" s="6" t="s">
        <v>494</v>
      </c>
      <c r="H4463" s="10">
        <v>46076.0</v>
      </c>
      <c r="I4463" s="12">
        <v>8.0</v>
      </c>
      <c r="J4463" s="6" t="s">
        <v>161</v>
      </c>
    </row>
    <row r="4464" ht="22.5" customHeight="1">
      <c r="A4464" s="6" t="s">
        <v>20627</v>
      </c>
      <c r="B4464" s="6" t="s">
        <v>10323</v>
      </c>
      <c r="C4464" s="10">
        <v>46064.0</v>
      </c>
      <c r="D4464" s="6" t="s">
        <v>416</v>
      </c>
      <c r="E4464" s="6" t="s">
        <v>1122</v>
      </c>
      <c r="F4464" s="6" t="s">
        <v>283</v>
      </c>
      <c r="G4464" s="6" t="s">
        <v>452</v>
      </c>
      <c r="H4464" s="10">
        <v>46064.0</v>
      </c>
      <c r="I4464" s="12">
        <v>8.0</v>
      </c>
      <c r="J4464" s="6" t="s">
        <v>161</v>
      </c>
    </row>
    <row r="4465" ht="22.5" customHeight="1">
      <c r="A4465" s="6" t="s">
        <v>20631</v>
      </c>
      <c r="B4465" s="6" t="s">
        <v>10323</v>
      </c>
      <c r="C4465" s="10">
        <v>46064.0</v>
      </c>
      <c r="D4465" s="6" t="s">
        <v>436</v>
      </c>
      <c r="E4465" s="6" t="s">
        <v>812</v>
      </c>
      <c r="F4465" s="6" t="s">
        <v>112</v>
      </c>
      <c r="G4465" s="6" t="s">
        <v>494</v>
      </c>
      <c r="H4465" s="10">
        <v>46064.0</v>
      </c>
      <c r="I4465" s="12">
        <v>9.0</v>
      </c>
      <c r="J4465" s="6" t="s">
        <v>178</v>
      </c>
    </row>
    <row r="4466" ht="22.5" customHeight="1">
      <c r="A4466" s="6" t="s">
        <v>20634</v>
      </c>
      <c r="B4466" s="6" t="s">
        <v>10330</v>
      </c>
      <c r="C4466" s="10">
        <v>46075.0</v>
      </c>
      <c r="D4466" s="6" t="s">
        <v>242</v>
      </c>
      <c r="E4466" s="6" t="s">
        <v>2365</v>
      </c>
      <c r="F4466" s="6" t="s">
        <v>112</v>
      </c>
      <c r="G4466" s="6" t="s">
        <v>254</v>
      </c>
      <c r="H4466" s="10">
        <v>46082.0</v>
      </c>
      <c r="I4466" s="12">
        <v>3.0</v>
      </c>
      <c r="J4466" s="6" t="s">
        <v>178</v>
      </c>
    </row>
    <row r="4467" ht="22.5" customHeight="1">
      <c r="A4467" s="6" t="s">
        <v>20638</v>
      </c>
      <c r="B4467" s="6" t="s">
        <v>10330</v>
      </c>
      <c r="C4467" s="10">
        <v>46079.0</v>
      </c>
      <c r="D4467" s="6" t="s">
        <v>312</v>
      </c>
      <c r="E4467" s="6" t="s">
        <v>1035</v>
      </c>
      <c r="F4467" s="6" t="s">
        <v>249</v>
      </c>
      <c r="G4467" s="6" t="s">
        <v>477</v>
      </c>
      <c r="H4467" s="10">
        <v>46086.0</v>
      </c>
      <c r="I4467" s="12">
        <v>5.0</v>
      </c>
      <c r="J4467" s="6" t="s">
        <v>161</v>
      </c>
    </row>
    <row r="4468" ht="22.5" customHeight="1">
      <c r="A4468" s="6" t="s">
        <v>20640</v>
      </c>
      <c r="B4468" s="6" t="s">
        <v>10330</v>
      </c>
      <c r="C4468" s="10">
        <v>46065.0</v>
      </c>
      <c r="D4468" s="6" t="s">
        <v>289</v>
      </c>
      <c r="E4468" s="6" t="s">
        <v>566</v>
      </c>
      <c r="F4468" s="6" t="s">
        <v>112</v>
      </c>
      <c r="G4468" s="6" t="s">
        <v>458</v>
      </c>
      <c r="H4468" s="10">
        <v>46070.0</v>
      </c>
      <c r="I4468" s="12">
        <v>8.0</v>
      </c>
      <c r="J4468" s="6" t="s">
        <v>161</v>
      </c>
    </row>
    <row r="4469" ht="22.5" customHeight="1">
      <c r="A4469" s="6" t="s">
        <v>20643</v>
      </c>
      <c r="B4469" s="6" t="s">
        <v>10336</v>
      </c>
      <c r="C4469" s="10">
        <v>46057.0</v>
      </c>
      <c r="D4469" s="6" t="s">
        <v>677</v>
      </c>
      <c r="E4469" s="6" t="s">
        <v>687</v>
      </c>
      <c r="F4469" s="6" t="s">
        <v>283</v>
      </c>
      <c r="G4469" s="6" t="s">
        <v>452</v>
      </c>
      <c r="H4469" s="10">
        <v>46057.0</v>
      </c>
      <c r="I4469" s="12">
        <v>2.0</v>
      </c>
      <c r="J4469" s="6" t="s">
        <v>161</v>
      </c>
    </row>
    <row r="4470" ht="22.5" customHeight="1">
      <c r="A4470" s="6" t="s">
        <v>20646</v>
      </c>
      <c r="B4470" s="6" t="s">
        <v>10343</v>
      </c>
      <c r="C4470" s="10">
        <v>46039.0</v>
      </c>
      <c r="D4470" s="6" t="s">
        <v>242</v>
      </c>
      <c r="E4470" s="6" t="s">
        <v>475</v>
      </c>
      <c r="F4470" s="6" t="s">
        <v>439</v>
      </c>
      <c r="G4470" s="6" t="s">
        <v>494</v>
      </c>
      <c r="H4470" s="10">
        <v>46042.0</v>
      </c>
      <c r="I4470" s="12">
        <v>6.0</v>
      </c>
      <c r="J4470" s="6" t="s">
        <v>161</v>
      </c>
    </row>
    <row r="4471" ht="22.5" customHeight="1">
      <c r="A4471" s="6" t="s">
        <v>20652</v>
      </c>
      <c r="B4471" s="6" t="s">
        <v>10343</v>
      </c>
      <c r="C4471" s="10">
        <v>46036.0</v>
      </c>
      <c r="D4471" s="6" t="s">
        <v>436</v>
      </c>
      <c r="E4471" s="6" t="s">
        <v>1149</v>
      </c>
      <c r="F4471" s="6" t="s">
        <v>439</v>
      </c>
      <c r="G4471" s="6" t="s">
        <v>477</v>
      </c>
      <c r="H4471" s="10">
        <v>46037.0</v>
      </c>
      <c r="I4471" s="12">
        <v>7.0</v>
      </c>
      <c r="J4471" s="6" t="s">
        <v>161</v>
      </c>
    </row>
    <row r="4472" ht="22.5" customHeight="1">
      <c r="A4472" s="6" t="s">
        <v>20657</v>
      </c>
      <c r="B4472" s="6" t="s">
        <v>10343</v>
      </c>
      <c r="C4472" s="10">
        <v>46048.0</v>
      </c>
      <c r="D4472" s="6" t="s">
        <v>391</v>
      </c>
      <c r="E4472" s="6" t="s">
        <v>738</v>
      </c>
      <c r="F4472" s="6" t="s">
        <v>283</v>
      </c>
      <c r="G4472" s="6" t="s">
        <v>369</v>
      </c>
      <c r="H4472" s="10">
        <v>46055.0</v>
      </c>
      <c r="I4472" s="12">
        <v>10.0</v>
      </c>
      <c r="J4472" s="6" t="s">
        <v>161</v>
      </c>
    </row>
    <row r="4473" ht="22.5" customHeight="1">
      <c r="A4473" s="6" t="s">
        <v>20659</v>
      </c>
      <c r="B4473" s="6" t="s">
        <v>10343</v>
      </c>
      <c r="C4473" s="10">
        <v>46037.0</v>
      </c>
      <c r="D4473" s="6" t="s">
        <v>677</v>
      </c>
      <c r="E4473" s="6" t="s">
        <v>291</v>
      </c>
      <c r="F4473" s="6" t="s">
        <v>249</v>
      </c>
      <c r="G4473" s="6" t="s">
        <v>458</v>
      </c>
      <c r="H4473" s="10">
        <v>46038.0</v>
      </c>
      <c r="I4473" s="12">
        <v>4.0</v>
      </c>
      <c r="J4473" s="6" t="s">
        <v>161</v>
      </c>
    </row>
    <row r="4474" ht="22.5" customHeight="1">
      <c r="A4474" s="6" t="s">
        <v>20664</v>
      </c>
      <c r="B4474" s="6" t="s">
        <v>10343</v>
      </c>
      <c r="C4474" s="10">
        <v>46029.0</v>
      </c>
      <c r="D4474" s="6" t="s">
        <v>289</v>
      </c>
      <c r="E4474" s="6" t="s">
        <v>731</v>
      </c>
      <c r="F4474" s="6" t="s">
        <v>112</v>
      </c>
      <c r="G4474" s="6" t="s">
        <v>326</v>
      </c>
      <c r="H4474" s="10">
        <v>46032.0</v>
      </c>
      <c r="I4474" s="12">
        <v>5.0</v>
      </c>
      <c r="J4474" s="6" t="s">
        <v>161</v>
      </c>
    </row>
    <row r="4475" ht="22.5" customHeight="1">
      <c r="A4475" s="6" t="s">
        <v>20667</v>
      </c>
      <c r="B4475" s="6" t="s">
        <v>10349</v>
      </c>
      <c r="C4475" s="10">
        <v>46046.0</v>
      </c>
      <c r="D4475" s="6" t="s">
        <v>677</v>
      </c>
      <c r="E4475" s="6" t="s">
        <v>1546</v>
      </c>
      <c r="F4475" s="6" t="s">
        <v>249</v>
      </c>
      <c r="G4475" s="6" t="s">
        <v>297</v>
      </c>
      <c r="H4475" s="10">
        <v>46047.0</v>
      </c>
      <c r="I4475" s="12">
        <v>4.0</v>
      </c>
      <c r="J4475" s="6" t="s">
        <v>161</v>
      </c>
    </row>
    <row r="4476" ht="22.5" customHeight="1">
      <c r="A4476" s="6" t="s">
        <v>20671</v>
      </c>
      <c r="B4476" s="6" t="s">
        <v>10349</v>
      </c>
      <c r="C4476" s="10">
        <v>46042.0</v>
      </c>
      <c r="D4476" s="6" t="s">
        <v>289</v>
      </c>
      <c r="E4476" s="6" t="s">
        <v>1241</v>
      </c>
      <c r="F4476" s="6" t="s">
        <v>283</v>
      </c>
      <c r="G4476" s="6" t="s">
        <v>326</v>
      </c>
      <c r="H4476" s="11" t="s">
        <v>259</v>
      </c>
      <c r="I4476" s="12">
        <v>6.0</v>
      </c>
      <c r="J4476" s="6" t="s">
        <v>161</v>
      </c>
    </row>
    <row r="4477" ht="22.5" customHeight="1">
      <c r="A4477" s="6" t="s">
        <v>20673</v>
      </c>
      <c r="B4477" s="6" t="s">
        <v>10349</v>
      </c>
      <c r="C4477" s="10">
        <v>46055.0</v>
      </c>
      <c r="D4477" s="6" t="s">
        <v>289</v>
      </c>
      <c r="E4477" s="6" t="s">
        <v>2881</v>
      </c>
      <c r="F4477" s="6" t="s">
        <v>112</v>
      </c>
      <c r="G4477" s="6" t="s">
        <v>254</v>
      </c>
      <c r="H4477" s="10">
        <v>46057.0</v>
      </c>
      <c r="I4477" s="12">
        <v>8.0</v>
      </c>
      <c r="J4477" s="6" t="s">
        <v>161</v>
      </c>
    </row>
    <row r="4478" ht="22.5" customHeight="1">
      <c r="A4478" s="6" t="s">
        <v>20678</v>
      </c>
      <c r="B4478" s="6" t="s">
        <v>10349</v>
      </c>
      <c r="C4478" s="10">
        <v>46054.0</v>
      </c>
      <c r="D4478" s="6" t="s">
        <v>312</v>
      </c>
      <c r="E4478" s="6" t="s">
        <v>1386</v>
      </c>
      <c r="F4478" s="6" t="s">
        <v>112</v>
      </c>
      <c r="G4478" s="6" t="s">
        <v>477</v>
      </c>
      <c r="H4478" s="10">
        <v>46058.0</v>
      </c>
      <c r="I4478" s="12">
        <v>6.0</v>
      </c>
      <c r="J4478" s="6" t="s">
        <v>161</v>
      </c>
    </row>
    <row r="4479" ht="22.5" customHeight="1">
      <c r="A4479" s="6" t="s">
        <v>20682</v>
      </c>
      <c r="B4479" s="6" t="s">
        <v>10355</v>
      </c>
      <c r="C4479" s="10">
        <v>46055.0</v>
      </c>
      <c r="D4479" s="6" t="s">
        <v>289</v>
      </c>
      <c r="E4479" s="6" t="s">
        <v>610</v>
      </c>
      <c r="F4479" s="6" t="s">
        <v>249</v>
      </c>
      <c r="G4479" s="6" t="s">
        <v>458</v>
      </c>
      <c r="H4479" s="10">
        <v>46055.0</v>
      </c>
      <c r="I4479" s="12">
        <v>6.0</v>
      </c>
      <c r="J4479" s="6" t="s">
        <v>161</v>
      </c>
    </row>
    <row r="4480" ht="22.5" customHeight="1">
      <c r="A4480" s="6" t="s">
        <v>20687</v>
      </c>
      <c r="B4480" s="6" t="s">
        <v>10355</v>
      </c>
      <c r="C4480" s="10">
        <v>46062.0</v>
      </c>
      <c r="D4480" s="6" t="s">
        <v>391</v>
      </c>
      <c r="E4480" s="6" t="s">
        <v>695</v>
      </c>
      <c r="F4480" s="6" t="s">
        <v>439</v>
      </c>
      <c r="G4480" s="6" t="s">
        <v>297</v>
      </c>
      <c r="H4480" s="10">
        <v>46062.0</v>
      </c>
      <c r="I4480" s="12">
        <v>8.0</v>
      </c>
      <c r="J4480" s="6" t="s">
        <v>161</v>
      </c>
    </row>
    <row r="4481" ht="22.5" customHeight="1">
      <c r="A4481" s="6" t="s">
        <v>20692</v>
      </c>
      <c r="B4481" s="6" t="s">
        <v>10355</v>
      </c>
      <c r="C4481" s="10">
        <v>46063.0</v>
      </c>
      <c r="D4481" s="6" t="s">
        <v>436</v>
      </c>
      <c r="E4481" s="6" t="s">
        <v>628</v>
      </c>
      <c r="F4481" s="6" t="s">
        <v>112</v>
      </c>
      <c r="G4481" s="6" t="s">
        <v>452</v>
      </c>
      <c r="H4481" s="10">
        <v>46067.0</v>
      </c>
      <c r="I4481" s="12">
        <v>7.0</v>
      </c>
      <c r="J4481" s="6" t="s">
        <v>178</v>
      </c>
    </row>
    <row r="4482" ht="22.5" customHeight="1">
      <c r="A4482" s="6" t="s">
        <v>20697</v>
      </c>
      <c r="B4482" s="6" t="s">
        <v>10355</v>
      </c>
      <c r="C4482" s="10">
        <v>46060.0</v>
      </c>
      <c r="D4482" s="6" t="s">
        <v>677</v>
      </c>
      <c r="E4482" s="6" t="s">
        <v>775</v>
      </c>
      <c r="F4482" s="6" t="s">
        <v>283</v>
      </c>
      <c r="G4482" s="6" t="s">
        <v>254</v>
      </c>
      <c r="H4482" s="10">
        <v>46065.0</v>
      </c>
      <c r="I4482" s="12">
        <v>3.0</v>
      </c>
      <c r="J4482" s="6" t="s">
        <v>161</v>
      </c>
    </row>
    <row r="4483" ht="22.5" customHeight="1">
      <c r="A4483" s="6" t="s">
        <v>20700</v>
      </c>
      <c r="B4483" s="6" t="s">
        <v>10355</v>
      </c>
      <c r="C4483" s="10">
        <v>46059.0</v>
      </c>
      <c r="D4483" s="6" t="s">
        <v>436</v>
      </c>
      <c r="E4483" s="6" t="s">
        <v>1070</v>
      </c>
      <c r="F4483" s="6" t="s">
        <v>283</v>
      </c>
      <c r="G4483" s="6" t="s">
        <v>254</v>
      </c>
      <c r="H4483" s="10">
        <v>46064.0</v>
      </c>
      <c r="I4483" s="12">
        <v>12.0</v>
      </c>
      <c r="J4483" s="6" t="s">
        <v>178</v>
      </c>
    </row>
    <row r="4484" ht="22.5" customHeight="1">
      <c r="A4484" s="6" t="s">
        <v>20705</v>
      </c>
      <c r="B4484" s="6" t="s">
        <v>10362</v>
      </c>
      <c r="C4484" s="10">
        <v>46054.0</v>
      </c>
      <c r="D4484" s="6" t="s">
        <v>242</v>
      </c>
      <c r="E4484" s="6" t="s">
        <v>1570</v>
      </c>
      <c r="F4484" s="6" t="s">
        <v>439</v>
      </c>
      <c r="G4484" s="6" t="s">
        <v>254</v>
      </c>
      <c r="H4484" s="10">
        <v>46055.0</v>
      </c>
      <c r="I4484" s="12">
        <v>5.0</v>
      </c>
      <c r="J4484" s="6" t="s">
        <v>178</v>
      </c>
    </row>
    <row r="4485" ht="22.5" customHeight="1">
      <c r="A4485" s="6" t="s">
        <v>20710</v>
      </c>
      <c r="B4485" s="6" t="s">
        <v>10368</v>
      </c>
      <c r="C4485" s="10">
        <v>46075.0</v>
      </c>
      <c r="D4485" s="6" t="s">
        <v>391</v>
      </c>
      <c r="E4485" s="6" t="s">
        <v>863</v>
      </c>
      <c r="F4485" s="6" t="s">
        <v>112</v>
      </c>
      <c r="G4485" s="6" t="s">
        <v>297</v>
      </c>
      <c r="H4485" s="10">
        <v>46077.0</v>
      </c>
      <c r="I4485" s="12">
        <v>10.0</v>
      </c>
      <c r="J4485" s="6" t="s">
        <v>161</v>
      </c>
    </row>
    <row r="4486" ht="22.5" customHeight="1">
      <c r="A4486" s="6" t="s">
        <v>20716</v>
      </c>
      <c r="B4486" s="6" t="s">
        <v>10368</v>
      </c>
      <c r="C4486" s="10">
        <v>46076.0</v>
      </c>
      <c r="D4486" s="6" t="s">
        <v>289</v>
      </c>
      <c r="E4486" s="6" t="s">
        <v>738</v>
      </c>
      <c r="F4486" s="6" t="s">
        <v>249</v>
      </c>
      <c r="G4486" s="6" t="s">
        <v>477</v>
      </c>
      <c r="H4486" s="10">
        <v>46080.0</v>
      </c>
      <c r="I4486" s="12">
        <v>7.0</v>
      </c>
      <c r="J4486" s="6" t="s">
        <v>161</v>
      </c>
    </row>
    <row r="4487" ht="22.5" customHeight="1">
      <c r="A4487" s="6" t="s">
        <v>20718</v>
      </c>
      <c r="B4487" s="6" t="s">
        <v>10368</v>
      </c>
      <c r="C4487" s="10">
        <v>46080.0</v>
      </c>
      <c r="D4487" s="6" t="s">
        <v>677</v>
      </c>
      <c r="E4487" s="6" t="s">
        <v>1969</v>
      </c>
      <c r="F4487" s="6" t="s">
        <v>112</v>
      </c>
      <c r="G4487" s="6" t="s">
        <v>477</v>
      </c>
      <c r="H4487" s="10">
        <v>46087.0</v>
      </c>
      <c r="I4487" s="12">
        <v>4.0</v>
      </c>
      <c r="J4487" s="6" t="s">
        <v>161</v>
      </c>
    </row>
    <row r="4488" ht="22.5" customHeight="1">
      <c r="A4488" s="6" t="s">
        <v>20720</v>
      </c>
      <c r="B4488" s="6" t="s">
        <v>10368</v>
      </c>
      <c r="C4488" s="10">
        <v>46072.0</v>
      </c>
      <c r="D4488" s="6" t="s">
        <v>416</v>
      </c>
      <c r="E4488" s="6" t="s">
        <v>475</v>
      </c>
      <c r="F4488" s="6" t="s">
        <v>249</v>
      </c>
      <c r="G4488" s="6" t="s">
        <v>254</v>
      </c>
      <c r="H4488" s="10">
        <v>46079.0</v>
      </c>
      <c r="I4488" s="12">
        <v>11.0</v>
      </c>
      <c r="J4488" s="6" t="s">
        <v>161</v>
      </c>
    </row>
    <row r="4489" ht="22.5" customHeight="1">
      <c r="A4489" s="6" t="s">
        <v>20724</v>
      </c>
      <c r="B4489" s="6" t="s">
        <v>10375</v>
      </c>
      <c r="C4489" s="10">
        <v>46036.0</v>
      </c>
      <c r="D4489" s="6" t="s">
        <v>436</v>
      </c>
      <c r="E4489" s="6" t="s">
        <v>246</v>
      </c>
      <c r="F4489" s="6" t="s">
        <v>249</v>
      </c>
      <c r="G4489" s="6" t="s">
        <v>494</v>
      </c>
      <c r="H4489" s="10">
        <v>46036.0</v>
      </c>
      <c r="I4489" s="12">
        <v>6.0</v>
      </c>
      <c r="J4489" s="6" t="s">
        <v>178</v>
      </c>
    </row>
    <row r="4490" ht="22.5" customHeight="1">
      <c r="A4490" s="6" t="s">
        <v>20727</v>
      </c>
      <c r="B4490" s="6" t="s">
        <v>10375</v>
      </c>
      <c r="C4490" s="10">
        <v>46043.0</v>
      </c>
      <c r="D4490" s="6" t="s">
        <v>677</v>
      </c>
      <c r="E4490" s="6" t="s">
        <v>246</v>
      </c>
      <c r="F4490" s="6" t="s">
        <v>249</v>
      </c>
      <c r="G4490" s="6" t="s">
        <v>477</v>
      </c>
      <c r="H4490" s="10">
        <v>46050.0</v>
      </c>
      <c r="I4490" s="12">
        <v>2.0</v>
      </c>
      <c r="J4490" s="6" t="s">
        <v>161</v>
      </c>
    </row>
    <row r="4491" ht="22.5" customHeight="1">
      <c r="A4491" s="6" t="s">
        <v>20731</v>
      </c>
      <c r="B4491" s="6" t="s">
        <v>10375</v>
      </c>
      <c r="C4491" s="10">
        <v>46038.0</v>
      </c>
      <c r="D4491" s="6" t="s">
        <v>677</v>
      </c>
      <c r="E4491" s="6" t="s">
        <v>466</v>
      </c>
      <c r="F4491" s="6" t="s">
        <v>439</v>
      </c>
      <c r="G4491" s="6" t="s">
        <v>297</v>
      </c>
      <c r="H4491" s="10">
        <v>46045.0</v>
      </c>
      <c r="I4491" s="12">
        <v>4.0</v>
      </c>
      <c r="J4491" s="6" t="s">
        <v>161</v>
      </c>
    </row>
    <row r="4492" ht="22.5" customHeight="1">
      <c r="A4492" s="6" t="s">
        <v>20734</v>
      </c>
      <c r="B4492" s="6" t="s">
        <v>10383</v>
      </c>
      <c r="C4492" s="10">
        <v>46047.0</v>
      </c>
      <c r="D4492" s="6" t="s">
        <v>289</v>
      </c>
      <c r="E4492" s="6" t="s">
        <v>1273</v>
      </c>
      <c r="F4492" s="6" t="s">
        <v>249</v>
      </c>
      <c r="G4492" s="6" t="s">
        <v>494</v>
      </c>
      <c r="H4492" s="11" t="s">
        <v>259</v>
      </c>
      <c r="I4492" s="12">
        <v>6.0</v>
      </c>
      <c r="J4492" s="6" t="s">
        <v>161</v>
      </c>
    </row>
    <row r="4493" ht="22.5" customHeight="1">
      <c r="A4493" s="6" t="s">
        <v>20738</v>
      </c>
      <c r="B4493" s="6" t="s">
        <v>10391</v>
      </c>
      <c r="C4493" s="10">
        <v>46051.0</v>
      </c>
      <c r="D4493" s="6" t="s">
        <v>289</v>
      </c>
      <c r="E4493" s="6" t="s">
        <v>1122</v>
      </c>
      <c r="F4493" s="6" t="s">
        <v>283</v>
      </c>
      <c r="G4493" s="6" t="s">
        <v>494</v>
      </c>
      <c r="H4493" s="10">
        <v>46058.0</v>
      </c>
      <c r="I4493" s="12">
        <v>8.0</v>
      </c>
      <c r="J4493" s="6" t="s">
        <v>161</v>
      </c>
    </row>
    <row r="4494" ht="22.5" customHeight="1">
      <c r="A4494" s="6" t="s">
        <v>20739</v>
      </c>
      <c r="B4494" s="6" t="s">
        <v>10398</v>
      </c>
      <c r="C4494" s="10">
        <v>46048.0</v>
      </c>
      <c r="D4494" s="6" t="s">
        <v>677</v>
      </c>
      <c r="E4494" s="6" t="s">
        <v>812</v>
      </c>
      <c r="F4494" s="6" t="s">
        <v>249</v>
      </c>
      <c r="G4494" s="6" t="s">
        <v>297</v>
      </c>
      <c r="H4494" s="10">
        <v>46055.0</v>
      </c>
      <c r="I4494" s="12">
        <v>2.0</v>
      </c>
      <c r="J4494" s="6" t="s">
        <v>161</v>
      </c>
    </row>
    <row r="4495" ht="22.5" customHeight="1">
      <c r="A4495" s="6" t="s">
        <v>20742</v>
      </c>
      <c r="B4495" s="6" t="s">
        <v>10398</v>
      </c>
      <c r="C4495" s="10">
        <v>46041.0</v>
      </c>
      <c r="D4495" s="6" t="s">
        <v>391</v>
      </c>
      <c r="E4495" s="6" t="s">
        <v>610</v>
      </c>
      <c r="F4495" s="6" t="s">
        <v>112</v>
      </c>
      <c r="G4495" s="6" t="s">
        <v>297</v>
      </c>
      <c r="H4495" s="10">
        <v>46042.0</v>
      </c>
      <c r="I4495" s="12">
        <v>9.0</v>
      </c>
      <c r="J4495" s="6" t="s">
        <v>161</v>
      </c>
    </row>
    <row r="4496" ht="22.5" customHeight="1">
      <c r="A4496" s="6" t="s">
        <v>20746</v>
      </c>
      <c r="B4496" s="6" t="s">
        <v>10398</v>
      </c>
      <c r="C4496" s="10">
        <v>46035.0</v>
      </c>
      <c r="D4496" s="6" t="s">
        <v>677</v>
      </c>
      <c r="E4496" s="6" t="s">
        <v>658</v>
      </c>
      <c r="F4496" s="6" t="s">
        <v>112</v>
      </c>
      <c r="G4496" s="6" t="s">
        <v>326</v>
      </c>
      <c r="H4496" s="10">
        <v>46039.0</v>
      </c>
      <c r="I4496" s="12">
        <v>3.0</v>
      </c>
      <c r="J4496" s="6" t="s">
        <v>161</v>
      </c>
    </row>
    <row r="4497" ht="22.5" customHeight="1">
      <c r="A4497" s="6" t="s">
        <v>20749</v>
      </c>
      <c r="B4497" s="6" t="s">
        <v>10398</v>
      </c>
      <c r="C4497" s="10">
        <v>46038.0</v>
      </c>
      <c r="D4497" s="6" t="s">
        <v>242</v>
      </c>
      <c r="E4497" s="6" t="s">
        <v>1296</v>
      </c>
      <c r="F4497" s="6" t="s">
        <v>439</v>
      </c>
      <c r="G4497" s="6" t="s">
        <v>297</v>
      </c>
      <c r="H4497" s="10">
        <v>46044.0</v>
      </c>
      <c r="I4497" s="12">
        <v>6.0</v>
      </c>
      <c r="J4497" s="6" t="s">
        <v>178</v>
      </c>
    </row>
    <row r="4498" ht="22.5" customHeight="1">
      <c r="A4498" s="6" t="s">
        <v>20753</v>
      </c>
      <c r="B4498" s="6" t="s">
        <v>10398</v>
      </c>
      <c r="C4498" s="10">
        <v>46030.0</v>
      </c>
      <c r="D4498" s="6" t="s">
        <v>391</v>
      </c>
      <c r="E4498" s="6" t="s">
        <v>833</v>
      </c>
      <c r="F4498" s="6" t="s">
        <v>112</v>
      </c>
      <c r="G4498" s="6" t="s">
        <v>494</v>
      </c>
      <c r="H4498" s="10">
        <v>46033.0</v>
      </c>
      <c r="I4498" s="12">
        <v>10.0</v>
      </c>
      <c r="J4498" s="6" t="s">
        <v>161</v>
      </c>
    </row>
    <row r="4499" ht="22.5" customHeight="1">
      <c r="A4499" s="6" t="s">
        <v>20755</v>
      </c>
      <c r="B4499" s="6" t="s">
        <v>10405</v>
      </c>
      <c r="C4499" s="10">
        <v>46059.0</v>
      </c>
      <c r="D4499" s="6" t="s">
        <v>436</v>
      </c>
      <c r="E4499" s="6" t="s">
        <v>1517</v>
      </c>
      <c r="F4499" s="6" t="s">
        <v>249</v>
      </c>
      <c r="G4499" s="6" t="s">
        <v>254</v>
      </c>
      <c r="H4499" s="10">
        <v>46059.0</v>
      </c>
      <c r="I4499" s="12">
        <v>9.0</v>
      </c>
      <c r="J4499" s="6" t="s">
        <v>178</v>
      </c>
    </row>
    <row r="4500" ht="22.5" customHeight="1">
      <c r="A4500" s="6" t="s">
        <v>20757</v>
      </c>
      <c r="B4500" s="6" t="s">
        <v>10412</v>
      </c>
      <c r="C4500" s="10">
        <v>46059.0</v>
      </c>
      <c r="D4500" s="6" t="s">
        <v>416</v>
      </c>
      <c r="E4500" s="6" t="s">
        <v>365</v>
      </c>
      <c r="F4500" s="6" t="s">
        <v>439</v>
      </c>
      <c r="G4500" s="6" t="s">
        <v>494</v>
      </c>
      <c r="H4500" s="10">
        <v>46063.0</v>
      </c>
      <c r="I4500" s="12">
        <v>9.0</v>
      </c>
      <c r="J4500" s="6" t="s">
        <v>161</v>
      </c>
    </row>
    <row r="4501" ht="22.5" customHeight="1">
      <c r="A4501" s="6" t="s">
        <v>20761</v>
      </c>
      <c r="B4501" s="6" t="s">
        <v>10419</v>
      </c>
      <c r="C4501" s="10">
        <v>46037.0</v>
      </c>
      <c r="D4501" s="6" t="s">
        <v>242</v>
      </c>
      <c r="E4501" s="6" t="s">
        <v>775</v>
      </c>
      <c r="F4501" s="6" t="s">
        <v>112</v>
      </c>
      <c r="G4501" s="6" t="s">
        <v>254</v>
      </c>
      <c r="H4501" s="10">
        <v>46041.0</v>
      </c>
      <c r="I4501" s="12">
        <v>5.0</v>
      </c>
      <c r="J4501" s="6" t="s">
        <v>178</v>
      </c>
    </row>
    <row r="4502" ht="22.5" customHeight="1">
      <c r="A4502" s="6" t="s">
        <v>20764</v>
      </c>
      <c r="B4502" s="6" t="s">
        <v>10426</v>
      </c>
      <c r="C4502" s="10">
        <v>46081.0</v>
      </c>
      <c r="D4502" s="6" t="s">
        <v>289</v>
      </c>
      <c r="E4502" s="6" t="s">
        <v>394</v>
      </c>
      <c r="F4502" s="6" t="s">
        <v>439</v>
      </c>
      <c r="G4502" s="6" t="s">
        <v>452</v>
      </c>
      <c r="H4502" s="10">
        <v>46087.0</v>
      </c>
      <c r="I4502" s="12">
        <v>8.0</v>
      </c>
      <c r="J4502" s="6" t="s">
        <v>161</v>
      </c>
    </row>
    <row r="4503" ht="22.5" customHeight="1">
      <c r="A4503" s="6" t="s">
        <v>20767</v>
      </c>
      <c r="B4503" s="6" t="s">
        <v>10426</v>
      </c>
      <c r="C4503" s="10">
        <v>46071.0</v>
      </c>
      <c r="D4503" s="6" t="s">
        <v>436</v>
      </c>
      <c r="E4503" s="6" t="s">
        <v>738</v>
      </c>
      <c r="F4503" s="6" t="s">
        <v>283</v>
      </c>
      <c r="G4503" s="6" t="s">
        <v>452</v>
      </c>
      <c r="H4503" s="10">
        <v>46074.0</v>
      </c>
      <c r="I4503" s="12">
        <v>6.0</v>
      </c>
      <c r="J4503" s="6" t="s">
        <v>161</v>
      </c>
    </row>
    <row r="4504" ht="22.5" customHeight="1">
      <c r="A4504" s="6" t="s">
        <v>20769</v>
      </c>
      <c r="B4504" s="6" t="s">
        <v>10426</v>
      </c>
      <c r="C4504" s="10">
        <v>46068.0</v>
      </c>
      <c r="D4504" s="6" t="s">
        <v>289</v>
      </c>
      <c r="E4504" s="6" t="s">
        <v>1546</v>
      </c>
      <c r="F4504" s="6" t="s">
        <v>283</v>
      </c>
      <c r="G4504" s="6" t="s">
        <v>494</v>
      </c>
      <c r="H4504" s="10">
        <v>46070.0</v>
      </c>
      <c r="I4504" s="12">
        <v>7.0</v>
      </c>
      <c r="J4504" s="6" t="s">
        <v>161</v>
      </c>
    </row>
    <row r="4505" ht="22.5" customHeight="1">
      <c r="A4505" s="6" t="s">
        <v>20772</v>
      </c>
      <c r="B4505" s="6" t="s">
        <v>10426</v>
      </c>
      <c r="C4505" s="10">
        <v>46077.0</v>
      </c>
      <c r="D4505" s="6" t="s">
        <v>289</v>
      </c>
      <c r="E4505" s="6" t="s">
        <v>2365</v>
      </c>
      <c r="F4505" s="6" t="s">
        <v>249</v>
      </c>
      <c r="G4505" s="6" t="s">
        <v>254</v>
      </c>
      <c r="H4505" s="10">
        <v>46080.0</v>
      </c>
      <c r="I4505" s="12">
        <v>10.0</v>
      </c>
      <c r="J4505" s="6" t="s">
        <v>161</v>
      </c>
    </row>
    <row r="4506" ht="22.5" customHeight="1">
      <c r="A4506" s="6" t="s">
        <v>20776</v>
      </c>
      <c r="B4506" s="6" t="s">
        <v>10432</v>
      </c>
      <c r="C4506" s="10">
        <v>46046.0</v>
      </c>
      <c r="D4506" s="6" t="s">
        <v>416</v>
      </c>
      <c r="E4506" s="6" t="s">
        <v>610</v>
      </c>
      <c r="F4506" s="6" t="s">
        <v>112</v>
      </c>
      <c r="G4506" s="6" t="s">
        <v>477</v>
      </c>
      <c r="H4506" s="11" t="s">
        <v>259</v>
      </c>
      <c r="I4506" s="12">
        <v>13.0</v>
      </c>
      <c r="J4506" s="6" t="s">
        <v>161</v>
      </c>
    </row>
    <row r="4507" ht="22.5" customHeight="1">
      <c r="A4507" s="6" t="s">
        <v>20777</v>
      </c>
      <c r="B4507" s="6" t="s">
        <v>10432</v>
      </c>
      <c r="C4507" s="10">
        <v>46047.0</v>
      </c>
      <c r="D4507" s="6" t="s">
        <v>436</v>
      </c>
      <c r="E4507" s="6" t="s">
        <v>365</v>
      </c>
      <c r="F4507" s="6" t="s">
        <v>112</v>
      </c>
      <c r="G4507" s="6" t="s">
        <v>458</v>
      </c>
      <c r="H4507" s="10">
        <v>46047.0</v>
      </c>
      <c r="I4507" s="12">
        <v>6.0</v>
      </c>
      <c r="J4507" s="6" t="s">
        <v>178</v>
      </c>
    </row>
    <row r="4508" ht="22.5" customHeight="1">
      <c r="A4508" s="6" t="s">
        <v>20780</v>
      </c>
      <c r="B4508" s="6" t="s">
        <v>10432</v>
      </c>
      <c r="C4508" s="10">
        <v>46048.0</v>
      </c>
      <c r="D4508" s="6" t="s">
        <v>677</v>
      </c>
      <c r="E4508" s="6" t="s">
        <v>833</v>
      </c>
      <c r="F4508" s="6" t="s">
        <v>249</v>
      </c>
      <c r="G4508" s="6" t="s">
        <v>369</v>
      </c>
      <c r="H4508" s="11" t="s">
        <v>259</v>
      </c>
      <c r="I4508" s="12">
        <v>4.0</v>
      </c>
      <c r="J4508" s="6" t="s">
        <v>161</v>
      </c>
    </row>
    <row r="4509" ht="22.5" customHeight="1">
      <c r="A4509" s="6" t="s">
        <v>20784</v>
      </c>
      <c r="B4509" s="6" t="s">
        <v>10432</v>
      </c>
      <c r="C4509" s="10">
        <v>46041.0</v>
      </c>
      <c r="D4509" s="6" t="s">
        <v>391</v>
      </c>
      <c r="E4509" s="6" t="s">
        <v>394</v>
      </c>
      <c r="F4509" s="6" t="s">
        <v>249</v>
      </c>
      <c r="G4509" s="6" t="s">
        <v>369</v>
      </c>
      <c r="H4509" s="10">
        <v>46048.0</v>
      </c>
      <c r="I4509" s="12">
        <v>7.0</v>
      </c>
      <c r="J4509" s="6" t="s">
        <v>161</v>
      </c>
    </row>
    <row r="4510" ht="22.5" customHeight="1">
      <c r="A4510" s="6" t="s">
        <v>20785</v>
      </c>
      <c r="B4510" s="6" t="s">
        <v>10432</v>
      </c>
      <c r="C4510" s="10">
        <v>46058.0</v>
      </c>
      <c r="D4510" s="6" t="s">
        <v>416</v>
      </c>
      <c r="E4510" s="6" t="s">
        <v>885</v>
      </c>
      <c r="F4510" s="6" t="s">
        <v>249</v>
      </c>
      <c r="G4510" s="6" t="s">
        <v>326</v>
      </c>
      <c r="H4510" s="10">
        <v>46060.0</v>
      </c>
      <c r="I4510" s="12">
        <v>8.0</v>
      </c>
      <c r="J4510" s="6" t="s">
        <v>161</v>
      </c>
    </row>
    <row r="4511" ht="22.5" customHeight="1">
      <c r="A4511" s="6" t="s">
        <v>20788</v>
      </c>
      <c r="B4511" s="6" t="s">
        <v>10438</v>
      </c>
      <c r="C4511" s="10">
        <v>46061.0</v>
      </c>
      <c r="D4511" s="6" t="s">
        <v>289</v>
      </c>
      <c r="E4511" s="6" t="s">
        <v>610</v>
      </c>
      <c r="F4511" s="6" t="s">
        <v>283</v>
      </c>
      <c r="G4511" s="6" t="s">
        <v>369</v>
      </c>
      <c r="H4511" s="10">
        <v>46068.0</v>
      </c>
      <c r="I4511" s="12">
        <v>6.0</v>
      </c>
      <c r="J4511" s="6" t="s">
        <v>161</v>
      </c>
    </row>
    <row r="4512" ht="22.5" customHeight="1">
      <c r="A4512" s="6" t="s">
        <v>20792</v>
      </c>
      <c r="B4512" s="6" t="s">
        <v>10438</v>
      </c>
      <c r="C4512" s="10">
        <v>46052.0</v>
      </c>
      <c r="D4512" s="6" t="s">
        <v>436</v>
      </c>
      <c r="E4512" s="6" t="s">
        <v>738</v>
      </c>
      <c r="F4512" s="6" t="s">
        <v>439</v>
      </c>
      <c r="G4512" s="6" t="s">
        <v>369</v>
      </c>
      <c r="H4512" s="10">
        <v>46052.0</v>
      </c>
      <c r="I4512" s="12">
        <v>9.0</v>
      </c>
      <c r="J4512" s="6" t="s">
        <v>178</v>
      </c>
    </row>
    <row r="4513" ht="22.5" customHeight="1">
      <c r="A4513" s="6" t="s">
        <v>20793</v>
      </c>
      <c r="B4513" s="6" t="s">
        <v>10438</v>
      </c>
      <c r="C4513" s="10">
        <v>46062.0</v>
      </c>
      <c r="D4513" s="6" t="s">
        <v>436</v>
      </c>
      <c r="E4513" s="6" t="s">
        <v>885</v>
      </c>
      <c r="F4513" s="6" t="s">
        <v>439</v>
      </c>
      <c r="G4513" s="6" t="s">
        <v>452</v>
      </c>
      <c r="H4513" s="10">
        <v>46067.0</v>
      </c>
      <c r="I4513" s="12">
        <v>7.0</v>
      </c>
      <c r="J4513" s="6" t="s">
        <v>161</v>
      </c>
    </row>
    <row r="4514" ht="22.5" customHeight="1">
      <c r="A4514" s="6" t="s">
        <v>20796</v>
      </c>
      <c r="B4514" s="6" t="s">
        <v>10444</v>
      </c>
      <c r="C4514" s="10">
        <v>46030.0</v>
      </c>
      <c r="D4514" s="6" t="s">
        <v>416</v>
      </c>
      <c r="E4514" s="6" t="s">
        <v>417</v>
      </c>
      <c r="F4514" s="6" t="s">
        <v>283</v>
      </c>
      <c r="G4514" s="6" t="s">
        <v>494</v>
      </c>
      <c r="H4514" s="10">
        <v>46037.0</v>
      </c>
      <c r="I4514" s="12">
        <v>10.0</v>
      </c>
      <c r="J4514" s="6" t="s">
        <v>161</v>
      </c>
    </row>
    <row r="4515" ht="22.5" customHeight="1">
      <c r="A4515" s="6" t="s">
        <v>20800</v>
      </c>
      <c r="B4515" s="6" t="s">
        <v>10444</v>
      </c>
      <c r="C4515" s="10">
        <v>46044.0</v>
      </c>
      <c r="D4515" s="6" t="s">
        <v>677</v>
      </c>
      <c r="E4515" s="6" t="s">
        <v>731</v>
      </c>
      <c r="F4515" s="6" t="s">
        <v>439</v>
      </c>
      <c r="G4515" s="6" t="s">
        <v>369</v>
      </c>
      <c r="H4515" s="10">
        <v>46045.0</v>
      </c>
      <c r="I4515" s="12">
        <v>3.0</v>
      </c>
      <c r="J4515" s="6" t="s">
        <v>161</v>
      </c>
    </row>
    <row r="4516" ht="22.5" customHeight="1">
      <c r="A4516" s="6" t="s">
        <v>20803</v>
      </c>
      <c r="B4516" s="6" t="s">
        <v>10451</v>
      </c>
      <c r="C4516" s="10">
        <v>46048.0</v>
      </c>
      <c r="D4516" s="6" t="s">
        <v>436</v>
      </c>
      <c r="E4516" s="6" t="s">
        <v>704</v>
      </c>
      <c r="F4516" s="6" t="s">
        <v>283</v>
      </c>
      <c r="G4516" s="6" t="s">
        <v>254</v>
      </c>
      <c r="H4516" s="10">
        <v>46051.0</v>
      </c>
      <c r="I4516" s="12">
        <v>11.0</v>
      </c>
      <c r="J4516" s="6" t="s">
        <v>178</v>
      </c>
    </row>
    <row r="4517" ht="22.5" customHeight="1">
      <c r="A4517" s="6" t="s">
        <v>20807</v>
      </c>
      <c r="B4517" s="6" t="s">
        <v>10457</v>
      </c>
      <c r="C4517" s="10">
        <v>46064.0</v>
      </c>
      <c r="D4517" s="6" t="s">
        <v>289</v>
      </c>
      <c r="E4517" s="6" t="s">
        <v>320</v>
      </c>
      <c r="F4517" s="6" t="s">
        <v>112</v>
      </c>
      <c r="G4517" s="6" t="s">
        <v>254</v>
      </c>
      <c r="H4517" s="10">
        <v>46071.0</v>
      </c>
      <c r="I4517" s="12">
        <v>6.0</v>
      </c>
      <c r="J4517" s="6" t="s">
        <v>161</v>
      </c>
    </row>
    <row r="4518" ht="22.5" customHeight="1">
      <c r="A4518" s="6" t="s">
        <v>20813</v>
      </c>
      <c r="B4518" s="6" t="s">
        <v>10457</v>
      </c>
      <c r="C4518" s="10">
        <v>46063.0</v>
      </c>
      <c r="D4518" s="6" t="s">
        <v>242</v>
      </c>
      <c r="E4518" s="6" t="s">
        <v>695</v>
      </c>
      <c r="F4518" s="6" t="s">
        <v>283</v>
      </c>
      <c r="G4518" s="6" t="s">
        <v>254</v>
      </c>
      <c r="H4518" s="10">
        <v>46070.0</v>
      </c>
      <c r="I4518" s="12">
        <v>4.0</v>
      </c>
      <c r="J4518" s="6" t="s">
        <v>161</v>
      </c>
    </row>
    <row r="4519" ht="22.5" customHeight="1">
      <c r="A4519" s="6" t="s">
        <v>20816</v>
      </c>
      <c r="B4519" s="6" t="s">
        <v>10457</v>
      </c>
      <c r="C4519" s="10">
        <v>46075.0</v>
      </c>
      <c r="D4519" s="6" t="s">
        <v>312</v>
      </c>
      <c r="E4519" s="6" t="s">
        <v>738</v>
      </c>
      <c r="F4519" s="6" t="s">
        <v>283</v>
      </c>
      <c r="G4519" s="6" t="s">
        <v>254</v>
      </c>
      <c r="H4519" s="11" t="s">
        <v>259</v>
      </c>
      <c r="I4519" s="12">
        <v>6.0</v>
      </c>
      <c r="J4519" s="6" t="s">
        <v>161</v>
      </c>
    </row>
    <row r="4520" ht="22.5" customHeight="1">
      <c r="A4520" s="6" t="s">
        <v>20820</v>
      </c>
      <c r="B4520" s="6" t="s">
        <v>10457</v>
      </c>
      <c r="C4520" s="10">
        <v>46063.0</v>
      </c>
      <c r="D4520" s="6" t="s">
        <v>416</v>
      </c>
      <c r="E4520" s="6" t="s">
        <v>634</v>
      </c>
      <c r="F4520" s="6" t="s">
        <v>112</v>
      </c>
      <c r="G4520" s="6" t="s">
        <v>369</v>
      </c>
      <c r="H4520" s="10">
        <v>46063.0</v>
      </c>
      <c r="I4520" s="12">
        <v>11.0</v>
      </c>
      <c r="J4520" s="6" t="s">
        <v>161</v>
      </c>
    </row>
    <row r="4521" ht="22.5" customHeight="1">
      <c r="A4521" s="6" t="s">
        <v>20823</v>
      </c>
      <c r="B4521" s="6" t="s">
        <v>10464</v>
      </c>
      <c r="C4521" s="10">
        <v>46053.0</v>
      </c>
      <c r="D4521" s="6" t="s">
        <v>312</v>
      </c>
      <c r="E4521" s="6" t="s">
        <v>628</v>
      </c>
      <c r="F4521" s="6" t="s">
        <v>249</v>
      </c>
      <c r="G4521" s="6" t="s">
        <v>452</v>
      </c>
      <c r="H4521" s="10">
        <v>46059.0</v>
      </c>
      <c r="I4521" s="12">
        <v>5.0</v>
      </c>
      <c r="J4521" s="6" t="s">
        <v>161</v>
      </c>
    </row>
    <row r="4522" ht="22.5" customHeight="1">
      <c r="A4522" s="6" t="s">
        <v>20828</v>
      </c>
      <c r="B4522" s="6" t="s">
        <v>10464</v>
      </c>
      <c r="C4522" s="10">
        <v>46041.0</v>
      </c>
      <c r="D4522" s="6" t="s">
        <v>391</v>
      </c>
      <c r="E4522" s="6" t="s">
        <v>1546</v>
      </c>
      <c r="F4522" s="6" t="s">
        <v>283</v>
      </c>
      <c r="G4522" s="6" t="s">
        <v>477</v>
      </c>
      <c r="H4522" s="10">
        <v>46048.0</v>
      </c>
      <c r="I4522" s="12">
        <v>11.0</v>
      </c>
      <c r="J4522" s="6" t="s">
        <v>161</v>
      </c>
    </row>
    <row r="4523" ht="22.5" customHeight="1">
      <c r="A4523" s="6" t="s">
        <v>20833</v>
      </c>
      <c r="B4523" s="6" t="s">
        <v>10464</v>
      </c>
      <c r="C4523" s="10">
        <v>46043.0</v>
      </c>
      <c r="D4523" s="6" t="s">
        <v>416</v>
      </c>
      <c r="E4523" s="6" t="s">
        <v>798</v>
      </c>
      <c r="F4523" s="6" t="s">
        <v>249</v>
      </c>
      <c r="G4523" s="6" t="s">
        <v>254</v>
      </c>
      <c r="H4523" s="10">
        <v>46046.0</v>
      </c>
      <c r="I4523" s="12">
        <v>8.0</v>
      </c>
      <c r="J4523" s="6" t="s">
        <v>161</v>
      </c>
    </row>
    <row r="4524" ht="22.5" customHeight="1">
      <c r="A4524" s="6" t="s">
        <v>20837</v>
      </c>
      <c r="B4524" s="6" t="s">
        <v>10470</v>
      </c>
      <c r="C4524" s="10">
        <v>46031.0</v>
      </c>
      <c r="D4524" s="6" t="s">
        <v>289</v>
      </c>
      <c r="E4524" s="6" t="s">
        <v>2881</v>
      </c>
      <c r="F4524" s="6" t="s">
        <v>249</v>
      </c>
      <c r="G4524" s="6" t="s">
        <v>254</v>
      </c>
      <c r="H4524" s="10">
        <v>46037.0</v>
      </c>
      <c r="I4524" s="12">
        <v>5.0</v>
      </c>
      <c r="J4524" s="6" t="s">
        <v>161</v>
      </c>
    </row>
    <row r="4525" ht="22.5" customHeight="1">
      <c r="A4525" s="6" t="s">
        <v>20842</v>
      </c>
      <c r="B4525" s="6" t="s">
        <v>10470</v>
      </c>
      <c r="C4525" s="10">
        <v>46031.0</v>
      </c>
      <c r="D4525" s="6" t="s">
        <v>416</v>
      </c>
      <c r="E4525" s="6" t="s">
        <v>1546</v>
      </c>
      <c r="F4525" s="6" t="s">
        <v>112</v>
      </c>
      <c r="G4525" s="6" t="s">
        <v>452</v>
      </c>
      <c r="H4525" s="10">
        <v>46034.0</v>
      </c>
      <c r="I4525" s="12">
        <v>12.0</v>
      </c>
      <c r="J4525" s="6" t="s">
        <v>161</v>
      </c>
    </row>
    <row r="4526" ht="22.5" customHeight="1">
      <c r="A4526" s="6" t="s">
        <v>20846</v>
      </c>
      <c r="B4526" s="6" t="s">
        <v>10470</v>
      </c>
      <c r="C4526" s="10">
        <v>46039.0</v>
      </c>
      <c r="D4526" s="6" t="s">
        <v>391</v>
      </c>
      <c r="E4526" s="6" t="s">
        <v>1626</v>
      </c>
      <c r="F4526" s="6" t="s">
        <v>439</v>
      </c>
      <c r="G4526" s="6" t="s">
        <v>326</v>
      </c>
      <c r="H4526" s="10">
        <v>46040.0</v>
      </c>
      <c r="I4526" s="12">
        <v>7.0</v>
      </c>
      <c r="J4526" s="6" t="s">
        <v>161</v>
      </c>
    </row>
    <row r="4527" ht="22.5" customHeight="1">
      <c r="A4527" s="6" t="s">
        <v>20852</v>
      </c>
      <c r="B4527" s="6" t="s">
        <v>10477</v>
      </c>
      <c r="C4527" s="10">
        <v>46034.0</v>
      </c>
      <c r="D4527" s="6" t="s">
        <v>436</v>
      </c>
      <c r="E4527" s="6" t="s">
        <v>716</v>
      </c>
      <c r="F4527" s="6" t="s">
        <v>249</v>
      </c>
      <c r="G4527" s="6" t="s">
        <v>458</v>
      </c>
      <c r="H4527" s="10">
        <v>46038.0</v>
      </c>
      <c r="I4527" s="12">
        <v>6.0</v>
      </c>
      <c r="J4527" s="6" t="s">
        <v>161</v>
      </c>
    </row>
    <row r="4528" ht="22.5" customHeight="1">
      <c r="A4528" s="6" t="s">
        <v>20855</v>
      </c>
      <c r="B4528" s="6" t="s">
        <v>10477</v>
      </c>
      <c r="C4528" s="10">
        <v>46038.0</v>
      </c>
      <c r="D4528" s="6" t="s">
        <v>436</v>
      </c>
      <c r="E4528" s="6" t="s">
        <v>634</v>
      </c>
      <c r="F4528" s="6" t="s">
        <v>112</v>
      </c>
      <c r="G4528" s="6" t="s">
        <v>297</v>
      </c>
      <c r="H4528" s="10">
        <v>46039.0</v>
      </c>
      <c r="I4528" s="12">
        <v>10.0</v>
      </c>
      <c r="J4528" s="6" t="s">
        <v>178</v>
      </c>
    </row>
    <row r="4529" ht="22.5" customHeight="1">
      <c r="A4529" s="6" t="s">
        <v>20860</v>
      </c>
      <c r="B4529" s="6" t="s">
        <v>10477</v>
      </c>
      <c r="C4529" s="10">
        <v>46050.0</v>
      </c>
      <c r="D4529" s="6" t="s">
        <v>436</v>
      </c>
      <c r="E4529" s="6" t="s">
        <v>896</v>
      </c>
      <c r="F4529" s="6" t="s">
        <v>439</v>
      </c>
      <c r="G4529" s="6" t="s">
        <v>494</v>
      </c>
      <c r="H4529" s="10">
        <v>46051.0</v>
      </c>
      <c r="I4529" s="12">
        <v>12.0</v>
      </c>
      <c r="J4529" s="6" t="s">
        <v>178</v>
      </c>
    </row>
    <row r="4530" ht="22.5" customHeight="1">
      <c r="A4530" s="6" t="s">
        <v>20865</v>
      </c>
      <c r="B4530" s="6" t="s">
        <v>10477</v>
      </c>
      <c r="C4530" s="10">
        <v>46041.0</v>
      </c>
      <c r="D4530" s="6" t="s">
        <v>416</v>
      </c>
      <c r="E4530" s="6" t="s">
        <v>1552</v>
      </c>
      <c r="F4530" s="6" t="s">
        <v>439</v>
      </c>
      <c r="G4530" s="6" t="s">
        <v>494</v>
      </c>
      <c r="H4530" s="11" t="s">
        <v>259</v>
      </c>
      <c r="I4530" s="12">
        <v>8.0</v>
      </c>
      <c r="J4530" s="6" t="s">
        <v>161</v>
      </c>
    </row>
    <row r="4531" ht="22.5" customHeight="1">
      <c r="A4531" s="6" t="s">
        <v>20868</v>
      </c>
      <c r="B4531" s="6" t="s">
        <v>10477</v>
      </c>
      <c r="C4531" s="10">
        <v>46048.0</v>
      </c>
      <c r="D4531" s="6" t="s">
        <v>677</v>
      </c>
      <c r="E4531" s="6" t="s">
        <v>670</v>
      </c>
      <c r="F4531" s="6" t="s">
        <v>283</v>
      </c>
      <c r="G4531" s="6" t="s">
        <v>297</v>
      </c>
      <c r="H4531" s="10">
        <v>46053.0</v>
      </c>
      <c r="I4531" s="12">
        <v>4.0</v>
      </c>
      <c r="J4531" s="6" t="s">
        <v>161</v>
      </c>
    </row>
    <row r="4532" ht="22.5" customHeight="1">
      <c r="A4532" s="6" t="s">
        <v>20872</v>
      </c>
      <c r="B4532" s="6" t="s">
        <v>10484</v>
      </c>
      <c r="C4532" s="10">
        <v>46064.0</v>
      </c>
      <c r="D4532" s="6" t="s">
        <v>416</v>
      </c>
      <c r="E4532" s="6" t="s">
        <v>1273</v>
      </c>
      <c r="F4532" s="6" t="s">
        <v>439</v>
      </c>
      <c r="G4532" s="6" t="s">
        <v>452</v>
      </c>
      <c r="H4532" s="10">
        <v>46065.0</v>
      </c>
      <c r="I4532" s="12">
        <v>10.0</v>
      </c>
      <c r="J4532" s="6" t="s">
        <v>161</v>
      </c>
    </row>
    <row r="4533" ht="22.5" customHeight="1">
      <c r="A4533" s="6" t="s">
        <v>20878</v>
      </c>
      <c r="B4533" s="6" t="s">
        <v>10489</v>
      </c>
      <c r="C4533" s="10">
        <v>46058.0</v>
      </c>
      <c r="D4533" s="6" t="s">
        <v>242</v>
      </c>
      <c r="E4533" s="6" t="s">
        <v>687</v>
      </c>
      <c r="F4533" s="6" t="s">
        <v>249</v>
      </c>
      <c r="G4533" s="6" t="s">
        <v>297</v>
      </c>
      <c r="H4533" s="10">
        <v>46063.0</v>
      </c>
      <c r="I4533" s="12">
        <v>6.0</v>
      </c>
      <c r="J4533" s="6" t="s">
        <v>178</v>
      </c>
    </row>
    <row r="4534" ht="22.5" customHeight="1">
      <c r="A4534" s="6" t="s">
        <v>20881</v>
      </c>
      <c r="B4534" s="6" t="s">
        <v>10489</v>
      </c>
      <c r="C4534" s="10">
        <v>46063.0</v>
      </c>
      <c r="D4534" s="6" t="s">
        <v>312</v>
      </c>
      <c r="E4534" s="6" t="s">
        <v>394</v>
      </c>
      <c r="F4534" s="6" t="s">
        <v>249</v>
      </c>
      <c r="G4534" s="6" t="s">
        <v>254</v>
      </c>
      <c r="H4534" s="10">
        <v>46064.0</v>
      </c>
      <c r="I4534" s="12">
        <v>7.0</v>
      </c>
      <c r="J4534" s="6" t="s">
        <v>161</v>
      </c>
    </row>
    <row r="4535" ht="22.5" customHeight="1">
      <c r="A4535" s="6" t="s">
        <v>20885</v>
      </c>
      <c r="B4535" s="6" t="s">
        <v>10489</v>
      </c>
      <c r="C4535" s="10">
        <v>46058.0</v>
      </c>
      <c r="D4535" s="6" t="s">
        <v>677</v>
      </c>
      <c r="E4535" s="6" t="s">
        <v>1700</v>
      </c>
      <c r="F4535" s="6" t="s">
        <v>249</v>
      </c>
      <c r="G4535" s="6" t="s">
        <v>458</v>
      </c>
      <c r="H4535" s="10">
        <v>46059.0</v>
      </c>
      <c r="I4535" s="12">
        <v>2.0</v>
      </c>
      <c r="J4535" s="6" t="s">
        <v>161</v>
      </c>
    </row>
    <row r="4536" ht="22.5" customHeight="1">
      <c r="A4536" s="6" t="s">
        <v>20891</v>
      </c>
      <c r="B4536" s="6" t="s">
        <v>10489</v>
      </c>
      <c r="C4536" s="10">
        <v>46061.0</v>
      </c>
      <c r="D4536" s="6" t="s">
        <v>312</v>
      </c>
      <c r="E4536" s="6" t="s">
        <v>885</v>
      </c>
      <c r="F4536" s="6" t="s">
        <v>112</v>
      </c>
      <c r="G4536" s="6" t="s">
        <v>369</v>
      </c>
      <c r="H4536" s="10">
        <v>46061.0</v>
      </c>
      <c r="I4536" s="12">
        <v>6.0</v>
      </c>
      <c r="J4536" s="6" t="s">
        <v>161</v>
      </c>
    </row>
    <row r="4537" ht="22.5" customHeight="1">
      <c r="A4537" s="6" t="s">
        <v>20894</v>
      </c>
      <c r="B4537" s="6" t="s">
        <v>10495</v>
      </c>
      <c r="C4537" s="10">
        <v>46080.0</v>
      </c>
      <c r="D4537" s="6" t="s">
        <v>289</v>
      </c>
      <c r="E4537" s="6" t="s">
        <v>798</v>
      </c>
      <c r="F4537" s="6" t="s">
        <v>249</v>
      </c>
      <c r="G4537" s="6" t="s">
        <v>297</v>
      </c>
      <c r="H4537" s="10">
        <v>46082.0</v>
      </c>
      <c r="I4537" s="12">
        <v>5.0</v>
      </c>
      <c r="J4537" s="6" t="s">
        <v>161</v>
      </c>
    </row>
    <row r="4538" ht="22.5" customHeight="1">
      <c r="A4538" s="6" t="s">
        <v>20899</v>
      </c>
      <c r="B4538" s="6" t="s">
        <v>10495</v>
      </c>
      <c r="C4538" s="10">
        <v>46069.0</v>
      </c>
      <c r="D4538" s="6" t="s">
        <v>677</v>
      </c>
      <c r="E4538" s="6" t="s">
        <v>731</v>
      </c>
      <c r="F4538" s="6" t="s">
        <v>283</v>
      </c>
      <c r="G4538" s="6" t="s">
        <v>494</v>
      </c>
      <c r="H4538" s="10">
        <v>46069.0</v>
      </c>
      <c r="I4538" s="12">
        <v>2.0</v>
      </c>
      <c r="J4538" s="6" t="s">
        <v>161</v>
      </c>
    </row>
    <row r="4539" ht="22.5" customHeight="1">
      <c r="A4539" s="6" t="s">
        <v>20905</v>
      </c>
      <c r="B4539" s="6" t="s">
        <v>10501</v>
      </c>
      <c r="C4539" s="10">
        <v>46031.0</v>
      </c>
      <c r="D4539" s="6" t="s">
        <v>436</v>
      </c>
      <c r="E4539" s="6" t="s">
        <v>1055</v>
      </c>
      <c r="F4539" s="6" t="s">
        <v>112</v>
      </c>
      <c r="G4539" s="6" t="s">
        <v>297</v>
      </c>
      <c r="H4539" s="10">
        <v>46038.0</v>
      </c>
      <c r="I4539" s="12">
        <v>12.0</v>
      </c>
      <c r="J4539" s="6" t="s">
        <v>178</v>
      </c>
    </row>
    <row r="4540" ht="22.5" customHeight="1">
      <c r="A4540" s="6" t="s">
        <v>20910</v>
      </c>
      <c r="B4540" s="6" t="s">
        <v>10506</v>
      </c>
      <c r="C4540" s="10">
        <v>46078.0</v>
      </c>
      <c r="D4540" s="6" t="s">
        <v>391</v>
      </c>
      <c r="E4540" s="6" t="s">
        <v>1700</v>
      </c>
      <c r="F4540" s="6" t="s">
        <v>439</v>
      </c>
      <c r="G4540" s="6" t="s">
        <v>458</v>
      </c>
      <c r="H4540" s="10">
        <v>46080.0</v>
      </c>
      <c r="I4540" s="12">
        <v>8.0</v>
      </c>
      <c r="J4540" s="6" t="s">
        <v>161</v>
      </c>
    </row>
    <row r="4541" ht="22.5" customHeight="1">
      <c r="A4541" s="6" t="s">
        <v>20916</v>
      </c>
      <c r="B4541" s="6" t="s">
        <v>10506</v>
      </c>
      <c r="C4541" s="10">
        <v>46088.0</v>
      </c>
      <c r="D4541" s="6" t="s">
        <v>242</v>
      </c>
      <c r="E4541" s="6" t="s">
        <v>670</v>
      </c>
      <c r="F4541" s="6" t="s">
        <v>249</v>
      </c>
      <c r="G4541" s="6" t="s">
        <v>458</v>
      </c>
      <c r="H4541" s="10">
        <v>46091.0</v>
      </c>
      <c r="I4541" s="12">
        <v>3.0</v>
      </c>
      <c r="J4541" s="6" t="s">
        <v>178</v>
      </c>
    </row>
    <row r="4542" ht="22.5" customHeight="1">
      <c r="A4542" s="6" t="s">
        <v>20919</v>
      </c>
      <c r="B4542" s="6" t="s">
        <v>10506</v>
      </c>
      <c r="C4542" s="10">
        <v>46079.0</v>
      </c>
      <c r="D4542" s="6" t="s">
        <v>289</v>
      </c>
      <c r="E4542" s="6" t="s">
        <v>566</v>
      </c>
      <c r="F4542" s="6" t="s">
        <v>283</v>
      </c>
      <c r="G4542" s="6" t="s">
        <v>254</v>
      </c>
      <c r="H4542" s="10">
        <v>46082.0</v>
      </c>
      <c r="I4542" s="12">
        <v>7.0</v>
      </c>
      <c r="J4542" s="6" t="s">
        <v>161</v>
      </c>
    </row>
    <row r="4543" ht="22.5" customHeight="1">
      <c r="A4543" s="6" t="s">
        <v>20923</v>
      </c>
      <c r="B4543" s="6" t="s">
        <v>10506</v>
      </c>
      <c r="C4543" s="10">
        <v>46086.0</v>
      </c>
      <c r="D4543" s="6" t="s">
        <v>416</v>
      </c>
      <c r="E4543" s="6" t="s">
        <v>885</v>
      </c>
      <c r="F4543" s="6" t="s">
        <v>283</v>
      </c>
      <c r="G4543" s="6" t="s">
        <v>254</v>
      </c>
      <c r="H4543" s="10">
        <v>46092.0</v>
      </c>
      <c r="I4543" s="12">
        <v>11.0</v>
      </c>
      <c r="J4543" s="6" t="s">
        <v>161</v>
      </c>
    </row>
    <row r="4544" ht="22.5" customHeight="1">
      <c r="A4544" s="6" t="s">
        <v>20926</v>
      </c>
      <c r="B4544" s="6" t="s">
        <v>10506</v>
      </c>
      <c r="C4544" s="10">
        <v>46086.0</v>
      </c>
      <c r="D4544" s="6" t="s">
        <v>312</v>
      </c>
      <c r="E4544" s="6" t="s">
        <v>833</v>
      </c>
      <c r="F4544" s="6" t="s">
        <v>249</v>
      </c>
      <c r="G4544" s="6" t="s">
        <v>326</v>
      </c>
      <c r="H4544" s="10">
        <v>46089.0</v>
      </c>
      <c r="I4544" s="12">
        <v>5.0</v>
      </c>
      <c r="J4544" s="6" t="s">
        <v>161</v>
      </c>
    </row>
    <row r="4545" ht="22.5" customHeight="1">
      <c r="A4545" s="6" t="s">
        <v>20930</v>
      </c>
      <c r="B4545" s="6" t="s">
        <v>10512</v>
      </c>
      <c r="C4545" s="10">
        <v>46070.0</v>
      </c>
      <c r="D4545" s="6" t="s">
        <v>677</v>
      </c>
      <c r="E4545" s="6" t="s">
        <v>320</v>
      </c>
      <c r="F4545" s="6" t="s">
        <v>112</v>
      </c>
      <c r="G4545" s="6" t="s">
        <v>494</v>
      </c>
      <c r="H4545" s="10">
        <v>46072.0</v>
      </c>
      <c r="I4545" s="12">
        <v>2.0</v>
      </c>
      <c r="J4545" s="6" t="s">
        <v>161</v>
      </c>
    </row>
    <row r="4546" ht="22.5" customHeight="1">
      <c r="A4546" s="6" t="s">
        <v>20933</v>
      </c>
      <c r="B4546" s="6" t="s">
        <v>10518</v>
      </c>
      <c r="C4546" s="10">
        <v>46044.0</v>
      </c>
      <c r="D4546" s="6" t="s">
        <v>677</v>
      </c>
      <c r="E4546" s="6" t="s">
        <v>955</v>
      </c>
      <c r="F4546" s="6" t="s">
        <v>439</v>
      </c>
      <c r="G4546" s="6" t="s">
        <v>326</v>
      </c>
      <c r="H4546" s="10">
        <v>46045.0</v>
      </c>
      <c r="I4546" s="12">
        <v>3.0</v>
      </c>
      <c r="J4546" s="6" t="s">
        <v>161</v>
      </c>
    </row>
    <row r="4547" ht="22.5" customHeight="1">
      <c r="A4547" s="6" t="s">
        <v>20937</v>
      </c>
      <c r="B4547" s="6" t="s">
        <v>10518</v>
      </c>
      <c r="C4547" s="10">
        <v>46036.0</v>
      </c>
      <c r="D4547" s="6" t="s">
        <v>391</v>
      </c>
      <c r="E4547" s="6" t="s">
        <v>1570</v>
      </c>
      <c r="F4547" s="6" t="s">
        <v>112</v>
      </c>
      <c r="G4547" s="6" t="s">
        <v>297</v>
      </c>
      <c r="H4547" s="10">
        <v>46040.0</v>
      </c>
      <c r="I4547" s="12">
        <v>10.0</v>
      </c>
      <c r="J4547" s="6" t="s">
        <v>161</v>
      </c>
    </row>
    <row r="4548" ht="22.5" customHeight="1">
      <c r="A4548" s="6" t="s">
        <v>20941</v>
      </c>
      <c r="B4548" s="6" t="s">
        <v>10524</v>
      </c>
      <c r="C4548" s="10">
        <v>46061.0</v>
      </c>
      <c r="D4548" s="6" t="s">
        <v>677</v>
      </c>
      <c r="E4548" s="6" t="s">
        <v>438</v>
      </c>
      <c r="F4548" s="6" t="s">
        <v>439</v>
      </c>
      <c r="G4548" s="6" t="s">
        <v>494</v>
      </c>
      <c r="H4548" s="10">
        <v>46068.0</v>
      </c>
      <c r="I4548" s="12">
        <v>4.0</v>
      </c>
      <c r="J4548" s="6" t="s">
        <v>161</v>
      </c>
    </row>
    <row r="4549" ht="22.5" customHeight="1">
      <c r="A4549" s="6" t="s">
        <v>20946</v>
      </c>
      <c r="B4549" s="6" t="s">
        <v>10524</v>
      </c>
      <c r="C4549" s="10">
        <v>46046.0</v>
      </c>
      <c r="D4549" s="6" t="s">
        <v>391</v>
      </c>
      <c r="E4549" s="6" t="s">
        <v>1700</v>
      </c>
      <c r="F4549" s="6" t="s">
        <v>112</v>
      </c>
      <c r="G4549" s="6" t="s">
        <v>326</v>
      </c>
      <c r="H4549" s="10">
        <v>46053.0</v>
      </c>
      <c r="I4549" s="12">
        <v>11.0</v>
      </c>
      <c r="J4549" s="6" t="s">
        <v>161</v>
      </c>
    </row>
    <row r="4550" ht="22.5" customHeight="1">
      <c r="A4550" s="6" t="s">
        <v>20950</v>
      </c>
      <c r="B4550" s="6" t="s">
        <v>10524</v>
      </c>
      <c r="C4550" s="10">
        <v>46053.0</v>
      </c>
      <c r="D4550" s="6" t="s">
        <v>436</v>
      </c>
      <c r="E4550" s="6" t="s">
        <v>1626</v>
      </c>
      <c r="F4550" s="6" t="s">
        <v>112</v>
      </c>
      <c r="G4550" s="6" t="s">
        <v>458</v>
      </c>
      <c r="H4550" s="10">
        <v>46057.0</v>
      </c>
      <c r="I4550" s="12">
        <v>12.0</v>
      </c>
      <c r="J4550" s="6" t="s">
        <v>178</v>
      </c>
    </row>
    <row r="4551" ht="22.5" customHeight="1">
      <c r="A4551" s="6" t="s">
        <v>20954</v>
      </c>
      <c r="B4551" s="6" t="s">
        <v>10530</v>
      </c>
      <c r="C4551" s="10">
        <v>46031.0</v>
      </c>
      <c r="D4551" s="6" t="s">
        <v>289</v>
      </c>
      <c r="E4551" s="6" t="s">
        <v>775</v>
      </c>
      <c r="F4551" s="6" t="s">
        <v>283</v>
      </c>
      <c r="G4551" s="6" t="s">
        <v>458</v>
      </c>
      <c r="H4551" s="10">
        <v>46032.0</v>
      </c>
      <c r="I4551" s="12">
        <v>10.0</v>
      </c>
      <c r="J4551" s="6" t="s">
        <v>161</v>
      </c>
    </row>
    <row r="4552" ht="22.5" customHeight="1">
      <c r="A4552" s="6" t="s">
        <v>20958</v>
      </c>
      <c r="B4552" s="6" t="s">
        <v>10530</v>
      </c>
      <c r="C4552" s="10">
        <v>46044.0</v>
      </c>
      <c r="D4552" s="6" t="s">
        <v>242</v>
      </c>
      <c r="E4552" s="6" t="s">
        <v>583</v>
      </c>
      <c r="F4552" s="6" t="s">
        <v>249</v>
      </c>
      <c r="G4552" s="6" t="s">
        <v>494</v>
      </c>
      <c r="H4552" s="10">
        <v>46046.0</v>
      </c>
      <c r="I4552" s="12">
        <v>6.0</v>
      </c>
      <c r="J4552" s="6" t="s">
        <v>178</v>
      </c>
    </row>
    <row r="4553" ht="22.5" customHeight="1">
      <c r="A4553" s="6" t="s">
        <v>20963</v>
      </c>
      <c r="B4553" s="6" t="s">
        <v>10530</v>
      </c>
      <c r="C4553" s="10">
        <v>46028.0</v>
      </c>
      <c r="D4553" s="6" t="s">
        <v>677</v>
      </c>
      <c r="E4553" s="6" t="s">
        <v>1102</v>
      </c>
      <c r="F4553" s="6" t="s">
        <v>283</v>
      </c>
      <c r="G4553" s="6" t="s">
        <v>254</v>
      </c>
      <c r="H4553" s="11" t="s">
        <v>259</v>
      </c>
      <c r="I4553" s="12">
        <v>4.0</v>
      </c>
      <c r="J4553" s="6" t="s">
        <v>161</v>
      </c>
    </row>
    <row r="4554" ht="22.5" customHeight="1">
      <c r="A4554" s="6" t="s">
        <v>20965</v>
      </c>
      <c r="B4554" s="6" t="s">
        <v>10530</v>
      </c>
      <c r="C4554" s="10">
        <v>46042.0</v>
      </c>
      <c r="D4554" s="6" t="s">
        <v>242</v>
      </c>
      <c r="E4554" s="6" t="s">
        <v>618</v>
      </c>
      <c r="F4554" s="6" t="s">
        <v>112</v>
      </c>
      <c r="G4554" s="6" t="s">
        <v>494</v>
      </c>
      <c r="H4554" s="10">
        <v>46046.0</v>
      </c>
      <c r="I4554" s="12">
        <v>6.0</v>
      </c>
      <c r="J4554" s="6" t="s">
        <v>161</v>
      </c>
    </row>
    <row r="4555" ht="22.5" customHeight="1">
      <c r="A4555" s="6" t="s">
        <v>20970</v>
      </c>
      <c r="B4555" s="6" t="s">
        <v>10537</v>
      </c>
      <c r="C4555" s="10">
        <v>46045.0</v>
      </c>
      <c r="D4555" s="6" t="s">
        <v>677</v>
      </c>
      <c r="E4555" s="6" t="s">
        <v>1517</v>
      </c>
      <c r="F4555" s="6" t="s">
        <v>249</v>
      </c>
      <c r="G4555" s="6" t="s">
        <v>369</v>
      </c>
      <c r="H4555" s="11" t="s">
        <v>259</v>
      </c>
      <c r="I4555" s="12">
        <v>3.0</v>
      </c>
      <c r="J4555" s="6" t="s">
        <v>161</v>
      </c>
    </row>
    <row r="4556" ht="22.5" customHeight="1">
      <c r="A4556" s="6" t="s">
        <v>20975</v>
      </c>
      <c r="B4556" s="6" t="s">
        <v>10537</v>
      </c>
      <c r="C4556" s="10">
        <v>46049.0</v>
      </c>
      <c r="D4556" s="6" t="s">
        <v>391</v>
      </c>
      <c r="E4556" s="6" t="s">
        <v>1122</v>
      </c>
      <c r="F4556" s="6" t="s">
        <v>249</v>
      </c>
      <c r="G4556" s="6" t="s">
        <v>326</v>
      </c>
      <c r="H4556" s="11" t="s">
        <v>259</v>
      </c>
      <c r="I4556" s="12">
        <v>8.0</v>
      </c>
      <c r="J4556" s="6" t="s">
        <v>161</v>
      </c>
    </row>
    <row r="4557" ht="22.5" customHeight="1">
      <c r="A4557" s="6" t="s">
        <v>20977</v>
      </c>
      <c r="B4557" s="6" t="s">
        <v>10537</v>
      </c>
      <c r="C4557" s="10">
        <v>46040.0</v>
      </c>
      <c r="D4557" s="6" t="s">
        <v>242</v>
      </c>
      <c r="E4557" s="6" t="s">
        <v>2881</v>
      </c>
      <c r="F4557" s="6" t="s">
        <v>439</v>
      </c>
      <c r="G4557" s="6" t="s">
        <v>458</v>
      </c>
      <c r="H4557" s="10">
        <v>46044.0</v>
      </c>
      <c r="I4557" s="12">
        <v>5.0</v>
      </c>
      <c r="J4557" s="6" t="s">
        <v>161</v>
      </c>
    </row>
    <row r="4558" ht="22.5" customHeight="1">
      <c r="A4558" s="6" t="s">
        <v>20980</v>
      </c>
      <c r="B4558" s="6" t="s">
        <v>10537</v>
      </c>
      <c r="C4558" s="10">
        <v>46037.0</v>
      </c>
      <c r="D4558" s="6" t="s">
        <v>242</v>
      </c>
      <c r="E4558" s="6" t="s">
        <v>2881</v>
      </c>
      <c r="F4558" s="6" t="s">
        <v>439</v>
      </c>
      <c r="G4558" s="6" t="s">
        <v>326</v>
      </c>
      <c r="H4558" s="10">
        <v>46040.0</v>
      </c>
      <c r="I4558" s="12">
        <v>6.0</v>
      </c>
      <c r="J4558" s="6" t="s">
        <v>178</v>
      </c>
    </row>
    <row r="4559" ht="22.5" customHeight="1">
      <c r="A4559" s="6" t="s">
        <v>20983</v>
      </c>
      <c r="B4559" s="6" t="s">
        <v>10543</v>
      </c>
      <c r="C4559" s="10">
        <v>46046.0</v>
      </c>
      <c r="D4559" s="6" t="s">
        <v>391</v>
      </c>
      <c r="E4559" s="6" t="s">
        <v>885</v>
      </c>
      <c r="F4559" s="6" t="s">
        <v>283</v>
      </c>
      <c r="G4559" s="6" t="s">
        <v>494</v>
      </c>
      <c r="H4559" s="10">
        <v>46050.0</v>
      </c>
      <c r="I4559" s="12">
        <v>8.0</v>
      </c>
      <c r="J4559" s="6" t="s">
        <v>161</v>
      </c>
    </row>
    <row r="4560" ht="22.5" customHeight="1">
      <c r="A4560" s="6" t="s">
        <v>20989</v>
      </c>
      <c r="B4560" s="6" t="s">
        <v>10543</v>
      </c>
      <c r="C4560" s="10">
        <v>46036.0</v>
      </c>
      <c r="D4560" s="6" t="s">
        <v>416</v>
      </c>
      <c r="E4560" s="6" t="s">
        <v>798</v>
      </c>
      <c r="F4560" s="6" t="s">
        <v>249</v>
      </c>
      <c r="G4560" s="6" t="s">
        <v>452</v>
      </c>
      <c r="H4560" s="10">
        <v>46043.0</v>
      </c>
      <c r="I4560" s="12">
        <v>9.0</v>
      </c>
      <c r="J4560" s="6" t="s">
        <v>161</v>
      </c>
    </row>
    <row r="4561" ht="22.5" customHeight="1">
      <c r="A4561" s="6" t="s">
        <v>20992</v>
      </c>
      <c r="B4561" s="6" t="s">
        <v>10543</v>
      </c>
      <c r="C4561" s="10">
        <v>46030.0</v>
      </c>
      <c r="D4561" s="6" t="s">
        <v>242</v>
      </c>
      <c r="E4561" s="6" t="s">
        <v>475</v>
      </c>
      <c r="F4561" s="6" t="s">
        <v>283</v>
      </c>
      <c r="G4561" s="6" t="s">
        <v>452</v>
      </c>
      <c r="H4561" s="10">
        <v>46036.0</v>
      </c>
      <c r="I4561" s="12">
        <v>5.0</v>
      </c>
      <c r="J4561" s="6" t="s">
        <v>178</v>
      </c>
    </row>
    <row r="4562" ht="22.5" customHeight="1">
      <c r="A4562" s="6" t="s">
        <v>20996</v>
      </c>
      <c r="B4562" s="6" t="s">
        <v>10550</v>
      </c>
      <c r="C4562" s="10">
        <v>46043.0</v>
      </c>
      <c r="D4562" s="6" t="s">
        <v>677</v>
      </c>
      <c r="E4562" s="6" t="s">
        <v>2881</v>
      </c>
      <c r="F4562" s="6" t="s">
        <v>439</v>
      </c>
      <c r="G4562" s="6" t="s">
        <v>254</v>
      </c>
      <c r="H4562" s="10">
        <v>46046.0</v>
      </c>
      <c r="I4562" s="12">
        <v>2.0</v>
      </c>
      <c r="J4562" s="6" t="s">
        <v>161</v>
      </c>
    </row>
    <row r="4563" ht="22.5" customHeight="1">
      <c r="A4563" s="6" t="s">
        <v>20999</v>
      </c>
      <c r="B4563" s="6" t="s">
        <v>10550</v>
      </c>
      <c r="C4563" s="10">
        <v>46038.0</v>
      </c>
      <c r="D4563" s="6" t="s">
        <v>391</v>
      </c>
      <c r="E4563" s="6" t="s">
        <v>1546</v>
      </c>
      <c r="F4563" s="6" t="s">
        <v>249</v>
      </c>
      <c r="G4563" s="6" t="s">
        <v>297</v>
      </c>
      <c r="H4563" s="10">
        <v>46044.0</v>
      </c>
      <c r="I4563" s="12">
        <v>10.0</v>
      </c>
      <c r="J4563" s="6" t="s">
        <v>161</v>
      </c>
    </row>
    <row r="4564" ht="22.5" customHeight="1">
      <c r="A4564" s="6" t="s">
        <v>21004</v>
      </c>
      <c r="B4564" s="6" t="s">
        <v>10555</v>
      </c>
      <c r="C4564" s="10">
        <v>46042.0</v>
      </c>
      <c r="D4564" s="6" t="s">
        <v>289</v>
      </c>
      <c r="E4564" s="6" t="s">
        <v>1070</v>
      </c>
      <c r="F4564" s="6" t="s">
        <v>249</v>
      </c>
      <c r="G4564" s="6" t="s">
        <v>494</v>
      </c>
      <c r="H4564" s="10">
        <v>46046.0</v>
      </c>
      <c r="I4564" s="12">
        <v>5.0</v>
      </c>
      <c r="J4564" s="6" t="s">
        <v>161</v>
      </c>
    </row>
    <row r="4565" ht="22.5" customHeight="1">
      <c r="A4565" s="6" t="s">
        <v>21009</v>
      </c>
      <c r="B4565" s="6" t="s">
        <v>10555</v>
      </c>
      <c r="C4565" s="10">
        <v>46029.0</v>
      </c>
      <c r="D4565" s="6" t="s">
        <v>436</v>
      </c>
      <c r="E4565" s="6" t="s">
        <v>1122</v>
      </c>
      <c r="F4565" s="6" t="s">
        <v>439</v>
      </c>
      <c r="G4565" s="6" t="s">
        <v>369</v>
      </c>
      <c r="H4565" s="10">
        <v>46034.0</v>
      </c>
      <c r="I4565" s="12">
        <v>11.0</v>
      </c>
      <c r="J4565" s="6" t="s">
        <v>178</v>
      </c>
    </row>
    <row r="4566" ht="22.5" customHeight="1">
      <c r="A4566" s="6" t="s">
        <v>21013</v>
      </c>
      <c r="B4566" s="6" t="s">
        <v>10555</v>
      </c>
      <c r="C4566" s="10">
        <v>46035.0</v>
      </c>
      <c r="D4566" s="6" t="s">
        <v>416</v>
      </c>
      <c r="E4566" s="6" t="s">
        <v>1720</v>
      </c>
      <c r="F4566" s="6" t="s">
        <v>112</v>
      </c>
      <c r="G4566" s="6" t="s">
        <v>326</v>
      </c>
      <c r="H4566" s="10">
        <v>46035.0</v>
      </c>
      <c r="I4566" s="12">
        <v>13.0</v>
      </c>
      <c r="J4566" s="6" t="s">
        <v>161</v>
      </c>
    </row>
    <row r="4567" ht="22.5" customHeight="1">
      <c r="A4567" s="6" t="s">
        <v>21018</v>
      </c>
      <c r="B4567" s="6" t="s">
        <v>10555</v>
      </c>
      <c r="C4567" s="10">
        <v>46039.0</v>
      </c>
      <c r="D4567" s="6" t="s">
        <v>312</v>
      </c>
      <c r="E4567" s="6" t="s">
        <v>738</v>
      </c>
      <c r="F4567" s="6" t="s">
        <v>283</v>
      </c>
      <c r="G4567" s="6" t="s">
        <v>452</v>
      </c>
      <c r="H4567" s="10">
        <v>46044.0</v>
      </c>
      <c r="I4567" s="12">
        <v>5.0</v>
      </c>
      <c r="J4567" s="6" t="s">
        <v>161</v>
      </c>
    </row>
    <row r="4568" ht="22.5" customHeight="1">
      <c r="A4568" s="6" t="s">
        <v>21022</v>
      </c>
      <c r="B4568" s="6" t="s">
        <v>10555</v>
      </c>
      <c r="C4568" s="10">
        <v>46033.0</v>
      </c>
      <c r="D4568" s="6" t="s">
        <v>677</v>
      </c>
      <c r="E4568" s="6" t="s">
        <v>670</v>
      </c>
      <c r="F4568" s="6" t="s">
        <v>249</v>
      </c>
      <c r="G4568" s="6" t="s">
        <v>477</v>
      </c>
      <c r="H4568" s="10">
        <v>46038.0</v>
      </c>
      <c r="I4568" s="12">
        <v>2.0</v>
      </c>
      <c r="J4568" s="6" t="s">
        <v>161</v>
      </c>
    </row>
    <row r="4569" ht="22.5" customHeight="1">
      <c r="A4569" s="6" t="s">
        <v>21028</v>
      </c>
      <c r="B4569" s="6" t="s">
        <v>10561</v>
      </c>
      <c r="C4569" s="10">
        <v>46031.0</v>
      </c>
      <c r="D4569" s="6" t="s">
        <v>391</v>
      </c>
      <c r="E4569" s="6" t="s">
        <v>466</v>
      </c>
      <c r="F4569" s="6" t="s">
        <v>283</v>
      </c>
      <c r="G4569" s="6" t="s">
        <v>369</v>
      </c>
      <c r="H4569" s="10">
        <v>46036.0</v>
      </c>
      <c r="I4569" s="12">
        <v>6.0</v>
      </c>
      <c r="J4569" s="6" t="s">
        <v>161</v>
      </c>
    </row>
    <row r="4570" ht="22.5" customHeight="1">
      <c r="A4570" s="6" t="s">
        <v>21032</v>
      </c>
      <c r="B4570" s="6" t="s">
        <v>10561</v>
      </c>
      <c r="C4570" s="10">
        <v>46039.0</v>
      </c>
      <c r="D4570" s="6" t="s">
        <v>312</v>
      </c>
      <c r="E4570" s="6" t="s">
        <v>812</v>
      </c>
      <c r="F4570" s="6" t="s">
        <v>249</v>
      </c>
      <c r="G4570" s="6" t="s">
        <v>297</v>
      </c>
      <c r="H4570" s="10">
        <v>46039.0</v>
      </c>
      <c r="I4570" s="12">
        <v>5.0</v>
      </c>
      <c r="J4570" s="6" t="s">
        <v>161</v>
      </c>
    </row>
    <row r="4571" ht="22.5" customHeight="1">
      <c r="A4571" s="6" t="s">
        <v>21037</v>
      </c>
      <c r="B4571" s="6" t="s">
        <v>10567</v>
      </c>
      <c r="C4571" s="10">
        <v>46051.0</v>
      </c>
      <c r="D4571" s="6" t="s">
        <v>436</v>
      </c>
      <c r="E4571" s="6" t="s">
        <v>628</v>
      </c>
      <c r="F4571" s="6" t="s">
        <v>283</v>
      </c>
      <c r="G4571" s="6" t="s">
        <v>369</v>
      </c>
      <c r="H4571" s="11" t="s">
        <v>259</v>
      </c>
      <c r="I4571" s="12">
        <v>12.0</v>
      </c>
      <c r="J4571" s="6" t="s">
        <v>161</v>
      </c>
    </row>
    <row r="4572" ht="22.5" customHeight="1">
      <c r="A4572" s="6" t="s">
        <v>21041</v>
      </c>
      <c r="B4572" s="6" t="s">
        <v>10567</v>
      </c>
      <c r="C4572" s="10">
        <v>46048.0</v>
      </c>
      <c r="D4572" s="6" t="s">
        <v>242</v>
      </c>
      <c r="E4572" s="6" t="s">
        <v>246</v>
      </c>
      <c r="F4572" s="6" t="s">
        <v>112</v>
      </c>
      <c r="G4572" s="6" t="s">
        <v>452</v>
      </c>
      <c r="H4572" s="10">
        <v>46052.0</v>
      </c>
      <c r="I4572" s="12">
        <v>6.0</v>
      </c>
      <c r="J4572" s="6" t="s">
        <v>161</v>
      </c>
    </row>
    <row r="4573" ht="22.5" customHeight="1">
      <c r="A4573" s="6" t="s">
        <v>21045</v>
      </c>
      <c r="B4573" s="6" t="s">
        <v>10567</v>
      </c>
      <c r="C4573" s="10">
        <v>46052.0</v>
      </c>
      <c r="D4573" s="6" t="s">
        <v>289</v>
      </c>
      <c r="E4573" s="6" t="s">
        <v>583</v>
      </c>
      <c r="F4573" s="6" t="s">
        <v>249</v>
      </c>
      <c r="G4573" s="6" t="s">
        <v>254</v>
      </c>
      <c r="H4573" s="10">
        <v>46052.0</v>
      </c>
      <c r="I4573" s="12">
        <v>7.0</v>
      </c>
      <c r="J4573" s="6" t="s">
        <v>161</v>
      </c>
    </row>
    <row r="4574" ht="22.5" customHeight="1">
      <c r="A4574" s="6" t="s">
        <v>21049</v>
      </c>
      <c r="B4574" s="6" t="s">
        <v>10572</v>
      </c>
      <c r="C4574" s="10">
        <v>46059.0</v>
      </c>
      <c r="D4574" s="6" t="s">
        <v>242</v>
      </c>
      <c r="E4574" s="6" t="s">
        <v>787</v>
      </c>
      <c r="F4574" s="6" t="s">
        <v>249</v>
      </c>
      <c r="G4574" s="6" t="s">
        <v>458</v>
      </c>
      <c r="H4574" s="10">
        <v>46062.0</v>
      </c>
      <c r="I4574" s="12">
        <v>5.0</v>
      </c>
      <c r="J4574" s="6" t="s">
        <v>178</v>
      </c>
    </row>
    <row r="4575" ht="22.5" customHeight="1">
      <c r="A4575" s="6" t="s">
        <v>21054</v>
      </c>
      <c r="B4575" s="6" t="s">
        <v>10578</v>
      </c>
      <c r="C4575" s="10">
        <v>46043.0</v>
      </c>
      <c r="D4575" s="6" t="s">
        <v>436</v>
      </c>
      <c r="E4575" s="6" t="s">
        <v>1055</v>
      </c>
      <c r="F4575" s="6" t="s">
        <v>439</v>
      </c>
      <c r="G4575" s="6" t="s">
        <v>458</v>
      </c>
      <c r="H4575" s="10">
        <v>46049.0</v>
      </c>
      <c r="I4575" s="12">
        <v>8.0</v>
      </c>
      <c r="J4575" s="6" t="s">
        <v>178</v>
      </c>
    </row>
    <row r="4576" ht="22.5" customHeight="1">
      <c r="A4576" s="6" t="s">
        <v>21060</v>
      </c>
      <c r="B4576" s="6" t="s">
        <v>10578</v>
      </c>
      <c r="C4576" s="10">
        <v>46062.0</v>
      </c>
      <c r="D4576" s="6" t="s">
        <v>416</v>
      </c>
      <c r="E4576" s="6" t="s">
        <v>1102</v>
      </c>
      <c r="F4576" s="6" t="s">
        <v>439</v>
      </c>
      <c r="G4576" s="6" t="s">
        <v>369</v>
      </c>
      <c r="H4576" s="10">
        <v>46064.0</v>
      </c>
      <c r="I4576" s="12">
        <v>11.0</v>
      </c>
      <c r="J4576" s="6" t="s">
        <v>161</v>
      </c>
    </row>
    <row r="4577" ht="22.5" customHeight="1">
      <c r="A4577" s="6" t="s">
        <v>21063</v>
      </c>
      <c r="B4577" s="6" t="s">
        <v>10584</v>
      </c>
      <c r="C4577" s="10">
        <v>46057.0</v>
      </c>
      <c r="D4577" s="6" t="s">
        <v>242</v>
      </c>
      <c r="E4577" s="6" t="s">
        <v>1280</v>
      </c>
      <c r="F4577" s="6" t="s">
        <v>249</v>
      </c>
      <c r="G4577" s="6" t="s">
        <v>369</v>
      </c>
      <c r="H4577" s="10">
        <v>46061.0</v>
      </c>
      <c r="I4577" s="12">
        <v>4.0</v>
      </c>
      <c r="J4577" s="6" t="s">
        <v>161</v>
      </c>
    </row>
    <row r="4578" ht="22.5" customHeight="1">
      <c r="A4578" s="6" t="s">
        <v>21067</v>
      </c>
      <c r="B4578" s="6" t="s">
        <v>10584</v>
      </c>
      <c r="C4578" s="10">
        <v>46063.0</v>
      </c>
      <c r="D4578" s="6" t="s">
        <v>289</v>
      </c>
      <c r="E4578" s="6" t="s">
        <v>1700</v>
      </c>
      <c r="F4578" s="6" t="s">
        <v>283</v>
      </c>
      <c r="G4578" s="6" t="s">
        <v>297</v>
      </c>
      <c r="H4578" s="10">
        <v>46066.0</v>
      </c>
      <c r="I4578" s="12">
        <v>7.0</v>
      </c>
      <c r="J4578" s="6" t="s">
        <v>161</v>
      </c>
    </row>
    <row r="4579" ht="22.5" customHeight="1">
      <c r="A4579" s="6" t="s">
        <v>21073</v>
      </c>
      <c r="B4579" s="6" t="s">
        <v>10584</v>
      </c>
      <c r="C4579" s="10">
        <v>46062.0</v>
      </c>
      <c r="D4579" s="6" t="s">
        <v>391</v>
      </c>
      <c r="E4579" s="6" t="s">
        <v>246</v>
      </c>
      <c r="F4579" s="6" t="s">
        <v>439</v>
      </c>
      <c r="G4579" s="6" t="s">
        <v>326</v>
      </c>
      <c r="H4579" s="10">
        <v>46066.0</v>
      </c>
      <c r="I4579" s="12">
        <v>10.0</v>
      </c>
      <c r="J4579" s="6" t="s">
        <v>161</v>
      </c>
    </row>
    <row r="4580" ht="22.5" customHeight="1">
      <c r="A4580" s="6" t="s">
        <v>21076</v>
      </c>
      <c r="B4580" s="6" t="s">
        <v>10591</v>
      </c>
      <c r="C4580" s="10">
        <v>46074.0</v>
      </c>
      <c r="D4580" s="6" t="s">
        <v>242</v>
      </c>
      <c r="E4580" s="6" t="s">
        <v>475</v>
      </c>
      <c r="F4580" s="6" t="s">
        <v>283</v>
      </c>
      <c r="G4580" s="6" t="s">
        <v>326</v>
      </c>
      <c r="H4580" s="11" t="s">
        <v>259</v>
      </c>
      <c r="I4580" s="12">
        <v>4.0</v>
      </c>
      <c r="J4580" s="6" t="s">
        <v>178</v>
      </c>
    </row>
    <row r="4581" ht="22.5" customHeight="1">
      <c r="A4581" s="6" t="s">
        <v>21081</v>
      </c>
      <c r="B4581" s="6" t="s">
        <v>10597</v>
      </c>
      <c r="C4581" s="10">
        <v>46028.0</v>
      </c>
      <c r="D4581" s="6" t="s">
        <v>391</v>
      </c>
      <c r="E4581" s="6" t="s">
        <v>885</v>
      </c>
      <c r="F4581" s="6" t="s">
        <v>249</v>
      </c>
      <c r="G4581" s="6" t="s">
        <v>369</v>
      </c>
      <c r="H4581" s="10">
        <v>46029.0</v>
      </c>
      <c r="I4581" s="12">
        <v>7.0</v>
      </c>
      <c r="J4581" s="6" t="s">
        <v>161</v>
      </c>
    </row>
    <row r="4582" ht="22.5" customHeight="1">
      <c r="A4582" s="6" t="s">
        <v>21086</v>
      </c>
      <c r="B4582" s="6" t="s">
        <v>10597</v>
      </c>
      <c r="C4582" s="10">
        <v>46026.0</v>
      </c>
      <c r="D4582" s="6" t="s">
        <v>416</v>
      </c>
      <c r="E4582" s="6" t="s">
        <v>583</v>
      </c>
      <c r="F4582" s="6" t="s">
        <v>283</v>
      </c>
      <c r="G4582" s="6" t="s">
        <v>477</v>
      </c>
      <c r="H4582" s="10">
        <v>46031.0</v>
      </c>
      <c r="I4582" s="12">
        <v>14.0</v>
      </c>
      <c r="J4582" s="6" t="s">
        <v>161</v>
      </c>
    </row>
    <row r="4583" ht="22.5" customHeight="1">
      <c r="A4583" s="6" t="s">
        <v>21089</v>
      </c>
      <c r="B4583" s="6" t="s">
        <v>10597</v>
      </c>
      <c r="C4583" s="10">
        <v>46034.0</v>
      </c>
      <c r="D4583" s="6" t="s">
        <v>416</v>
      </c>
      <c r="E4583" s="6" t="s">
        <v>833</v>
      </c>
      <c r="F4583" s="6" t="s">
        <v>249</v>
      </c>
      <c r="G4583" s="6" t="s">
        <v>452</v>
      </c>
      <c r="H4583" s="10">
        <v>46041.0</v>
      </c>
      <c r="I4583" s="12">
        <v>8.0</v>
      </c>
      <c r="J4583" s="6" t="s">
        <v>161</v>
      </c>
    </row>
    <row r="4584" ht="22.5" customHeight="1">
      <c r="A4584" s="6" t="s">
        <v>21094</v>
      </c>
      <c r="B4584" s="6" t="s">
        <v>10597</v>
      </c>
      <c r="C4584" s="10">
        <v>46032.0</v>
      </c>
      <c r="D4584" s="6" t="s">
        <v>391</v>
      </c>
      <c r="E4584" s="6" t="s">
        <v>320</v>
      </c>
      <c r="F4584" s="6" t="s">
        <v>283</v>
      </c>
      <c r="G4584" s="6" t="s">
        <v>494</v>
      </c>
      <c r="H4584" s="10">
        <v>46039.0</v>
      </c>
      <c r="I4584" s="12">
        <v>6.0</v>
      </c>
      <c r="J4584" s="6" t="s">
        <v>161</v>
      </c>
    </row>
    <row r="4585" ht="22.5" customHeight="1">
      <c r="A4585" s="6" t="s">
        <v>21099</v>
      </c>
      <c r="B4585" s="6" t="s">
        <v>10597</v>
      </c>
      <c r="C4585" s="10">
        <v>46044.0</v>
      </c>
      <c r="D4585" s="6" t="s">
        <v>677</v>
      </c>
      <c r="E4585" s="6" t="s">
        <v>798</v>
      </c>
      <c r="F4585" s="6" t="s">
        <v>112</v>
      </c>
      <c r="G4585" s="6" t="s">
        <v>326</v>
      </c>
      <c r="H4585" s="10">
        <v>46048.0</v>
      </c>
      <c r="I4585" s="12">
        <v>4.0</v>
      </c>
      <c r="J4585" s="6" t="s">
        <v>161</v>
      </c>
    </row>
    <row r="4586" ht="22.5" customHeight="1">
      <c r="A4586" s="6" t="s">
        <v>21104</v>
      </c>
      <c r="B4586" s="6" t="s">
        <v>10603</v>
      </c>
      <c r="C4586" s="10">
        <v>46058.0</v>
      </c>
      <c r="D4586" s="6" t="s">
        <v>289</v>
      </c>
      <c r="E4586" s="6" t="s">
        <v>2365</v>
      </c>
      <c r="F4586" s="6" t="s">
        <v>283</v>
      </c>
      <c r="G4586" s="6" t="s">
        <v>452</v>
      </c>
      <c r="H4586" s="10">
        <v>46064.0</v>
      </c>
      <c r="I4586" s="12">
        <v>8.0</v>
      </c>
      <c r="J4586" s="6" t="s">
        <v>161</v>
      </c>
    </row>
    <row r="4587" ht="22.5" customHeight="1">
      <c r="A4587" s="6" t="s">
        <v>21108</v>
      </c>
      <c r="B4587" s="6" t="s">
        <v>10610</v>
      </c>
      <c r="C4587" s="10">
        <v>46036.0</v>
      </c>
      <c r="D4587" s="6" t="s">
        <v>416</v>
      </c>
      <c r="E4587" s="6" t="s">
        <v>1296</v>
      </c>
      <c r="F4587" s="6" t="s">
        <v>283</v>
      </c>
      <c r="G4587" s="6" t="s">
        <v>458</v>
      </c>
      <c r="H4587" s="10">
        <v>46040.0</v>
      </c>
      <c r="I4587" s="12">
        <v>8.0</v>
      </c>
      <c r="J4587" s="6" t="s">
        <v>161</v>
      </c>
    </row>
    <row r="4588" ht="22.5" customHeight="1">
      <c r="A4588" s="6" t="s">
        <v>21112</v>
      </c>
      <c r="B4588" s="6" t="s">
        <v>10610</v>
      </c>
      <c r="C4588" s="10">
        <v>46035.0</v>
      </c>
      <c r="D4588" s="6" t="s">
        <v>436</v>
      </c>
      <c r="E4588" s="6" t="s">
        <v>798</v>
      </c>
      <c r="F4588" s="6" t="s">
        <v>283</v>
      </c>
      <c r="G4588" s="6" t="s">
        <v>326</v>
      </c>
      <c r="H4588" s="10">
        <v>46041.0</v>
      </c>
      <c r="I4588" s="12">
        <v>8.0</v>
      </c>
      <c r="J4588" s="6" t="s">
        <v>178</v>
      </c>
    </row>
    <row r="4589" ht="22.5" customHeight="1">
      <c r="A4589" s="6" t="s">
        <v>21115</v>
      </c>
      <c r="B4589" s="6" t="s">
        <v>10610</v>
      </c>
      <c r="C4589" s="10">
        <v>46038.0</v>
      </c>
      <c r="D4589" s="6" t="s">
        <v>677</v>
      </c>
      <c r="E4589" s="6" t="s">
        <v>634</v>
      </c>
      <c r="F4589" s="6" t="s">
        <v>112</v>
      </c>
      <c r="G4589" s="6" t="s">
        <v>369</v>
      </c>
      <c r="H4589" s="11" t="s">
        <v>259</v>
      </c>
      <c r="I4589" s="12">
        <v>3.0</v>
      </c>
      <c r="J4589" s="6" t="s">
        <v>161</v>
      </c>
    </row>
    <row r="4590" ht="22.5" customHeight="1">
      <c r="A4590" s="6" t="s">
        <v>21117</v>
      </c>
      <c r="B4590" s="6" t="s">
        <v>10610</v>
      </c>
      <c r="C4590" s="10">
        <v>46037.0</v>
      </c>
      <c r="D4590" s="6" t="s">
        <v>242</v>
      </c>
      <c r="E4590" s="6" t="s">
        <v>417</v>
      </c>
      <c r="F4590" s="6" t="s">
        <v>439</v>
      </c>
      <c r="G4590" s="6" t="s">
        <v>458</v>
      </c>
      <c r="H4590" s="10">
        <v>46042.0</v>
      </c>
      <c r="I4590" s="12">
        <v>5.0</v>
      </c>
      <c r="J4590" s="6" t="s">
        <v>161</v>
      </c>
    </row>
    <row r="4591" ht="22.5" customHeight="1">
      <c r="A4591" s="6" t="s">
        <v>21120</v>
      </c>
      <c r="B4591" s="6" t="s">
        <v>10610</v>
      </c>
      <c r="C4591" s="10">
        <v>46027.0</v>
      </c>
      <c r="D4591" s="6" t="s">
        <v>289</v>
      </c>
      <c r="E4591" s="6" t="s">
        <v>566</v>
      </c>
      <c r="F4591" s="6" t="s">
        <v>249</v>
      </c>
      <c r="G4591" s="6" t="s">
        <v>452</v>
      </c>
      <c r="H4591" s="10">
        <v>46031.0</v>
      </c>
      <c r="I4591" s="12">
        <v>6.0</v>
      </c>
      <c r="J4591" s="6" t="s">
        <v>161</v>
      </c>
    </row>
    <row r="4592" ht="22.5" customHeight="1">
      <c r="A4592" s="6" t="s">
        <v>21123</v>
      </c>
      <c r="B4592" s="6" t="s">
        <v>10616</v>
      </c>
      <c r="C4592" s="10">
        <v>46029.0</v>
      </c>
      <c r="D4592" s="6" t="s">
        <v>391</v>
      </c>
      <c r="E4592" s="6" t="s">
        <v>365</v>
      </c>
      <c r="F4592" s="6" t="s">
        <v>112</v>
      </c>
      <c r="G4592" s="6" t="s">
        <v>369</v>
      </c>
      <c r="H4592" s="10">
        <v>46034.0</v>
      </c>
      <c r="I4592" s="12">
        <v>8.0</v>
      </c>
      <c r="J4592" s="6" t="s">
        <v>161</v>
      </c>
    </row>
    <row r="4593" ht="22.5" customHeight="1">
      <c r="A4593" s="6" t="s">
        <v>21127</v>
      </c>
      <c r="B4593" s="6" t="s">
        <v>10622</v>
      </c>
      <c r="C4593" s="10">
        <v>46044.0</v>
      </c>
      <c r="D4593" s="6" t="s">
        <v>312</v>
      </c>
      <c r="E4593" s="6" t="s">
        <v>438</v>
      </c>
      <c r="F4593" s="6" t="s">
        <v>249</v>
      </c>
      <c r="G4593" s="6" t="s">
        <v>458</v>
      </c>
      <c r="H4593" s="10">
        <v>46044.0</v>
      </c>
      <c r="I4593" s="12">
        <v>6.0</v>
      </c>
      <c r="J4593" s="6" t="s">
        <v>161</v>
      </c>
    </row>
    <row r="4594" ht="22.5" customHeight="1">
      <c r="A4594" s="6" t="s">
        <v>21131</v>
      </c>
      <c r="B4594" s="6" t="s">
        <v>10622</v>
      </c>
      <c r="C4594" s="10">
        <v>46051.0</v>
      </c>
      <c r="D4594" s="6" t="s">
        <v>391</v>
      </c>
      <c r="E4594" s="6" t="s">
        <v>704</v>
      </c>
      <c r="F4594" s="6" t="s">
        <v>112</v>
      </c>
      <c r="G4594" s="6" t="s">
        <v>369</v>
      </c>
      <c r="H4594" s="10">
        <v>46054.0</v>
      </c>
      <c r="I4594" s="12">
        <v>11.0</v>
      </c>
      <c r="J4594" s="6" t="s">
        <v>161</v>
      </c>
    </row>
    <row r="4595" ht="22.5" customHeight="1">
      <c r="A4595" s="6" t="s">
        <v>21134</v>
      </c>
      <c r="B4595" s="6" t="s">
        <v>10622</v>
      </c>
      <c r="C4595" s="10">
        <v>46053.0</v>
      </c>
      <c r="D4595" s="6" t="s">
        <v>416</v>
      </c>
      <c r="E4595" s="6" t="s">
        <v>291</v>
      </c>
      <c r="F4595" s="6" t="s">
        <v>439</v>
      </c>
      <c r="G4595" s="6" t="s">
        <v>452</v>
      </c>
      <c r="H4595" s="10">
        <v>46054.0</v>
      </c>
      <c r="I4595" s="12">
        <v>11.0</v>
      </c>
      <c r="J4595" s="6" t="s">
        <v>161</v>
      </c>
    </row>
    <row r="4596" ht="22.5" customHeight="1">
      <c r="A4596" s="6" t="s">
        <v>21137</v>
      </c>
      <c r="B4596" s="6" t="s">
        <v>10622</v>
      </c>
      <c r="C4596" s="10">
        <v>46043.0</v>
      </c>
      <c r="D4596" s="6" t="s">
        <v>391</v>
      </c>
      <c r="E4596" s="6" t="s">
        <v>787</v>
      </c>
      <c r="F4596" s="6" t="s">
        <v>249</v>
      </c>
      <c r="G4596" s="6" t="s">
        <v>297</v>
      </c>
      <c r="H4596" s="10">
        <v>46048.0</v>
      </c>
      <c r="I4596" s="12">
        <v>11.0</v>
      </c>
      <c r="J4596" s="6" t="s">
        <v>161</v>
      </c>
    </row>
    <row r="4597" ht="22.5" customHeight="1">
      <c r="A4597" s="6" t="s">
        <v>21141</v>
      </c>
      <c r="B4597" s="6" t="s">
        <v>10622</v>
      </c>
      <c r="C4597" s="10">
        <v>46041.0</v>
      </c>
      <c r="D4597" s="6" t="s">
        <v>416</v>
      </c>
      <c r="E4597" s="6" t="s">
        <v>787</v>
      </c>
      <c r="F4597" s="6" t="s">
        <v>112</v>
      </c>
      <c r="G4597" s="6" t="s">
        <v>458</v>
      </c>
      <c r="H4597" s="10">
        <v>46045.0</v>
      </c>
      <c r="I4597" s="12">
        <v>12.0</v>
      </c>
      <c r="J4597" s="6" t="s">
        <v>161</v>
      </c>
    </row>
    <row r="4598" ht="22.5" customHeight="1">
      <c r="A4598" s="6" t="s">
        <v>21144</v>
      </c>
      <c r="B4598" s="6" t="s">
        <v>10629</v>
      </c>
      <c r="C4598" s="10">
        <v>46036.0</v>
      </c>
      <c r="D4598" s="6" t="s">
        <v>312</v>
      </c>
      <c r="E4598" s="6" t="s">
        <v>1546</v>
      </c>
      <c r="F4598" s="6" t="s">
        <v>283</v>
      </c>
      <c r="G4598" s="6" t="s">
        <v>254</v>
      </c>
      <c r="H4598" s="10">
        <v>46039.0</v>
      </c>
      <c r="I4598" s="12">
        <v>6.0</v>
      </c>
      <c r="J4598" s="6" t="s">
        <v>161</v>
      </c>
    </row>
    <row r="4599" ht="22.5" customHeight="1">
      <c r="A4599" s="6" t="s">
        <v>21147</v>
      </c>
      <c r="B4599" s="6" t="s">
        <v>10629</v>
      </c>
      <c r="C4599" s="10">
        <v>46036.0</v>
      </c>
      <c r="D4599" s="6" t="s">
        <v>677</v>
      </c>
      <c r="E4599" s="6" t="s">
        <v>1386</v>
      </c>
      <c r="F4599" s="6" t="s">
        <v>283</v>
      </c>
      <c r="G4599" s="6" t="s">
        <v>326</v>
      </c>
      <c r="H4599" s="10">
        <v>46037.0</v>
      </c>
      <c r="I4599" s="12">
        <v>2.0</v>
      </c>
      <c r="J4599" s="6" t="s">
        <v>161</v>
      </c>
    </row>
    <row r="4600" ht="22.5" customHeight="1">
      <c r="A4600" s="6" t="s">
        <v>21152</v>
      </c>
      <c r="B4600" s="6" t="s">
        <v>10629</v>
      </c>
      <c r="C4600" s="10">
        <v>46042.0</v>
      </c>
      <c r="D4600" s="6" t="s">
        <v>391</v>
      </c>
      <c r="E4600" s="6" t="s">
        <v>955</v>
      </c>
      <c r="F4600" s="6" t="s">
        <v>112</v>
      </c>
      <c r="G4600" s="6" t="s">
        <v>326</v>
      </c>
      <c r="H4600" s="10">
        <v>46045.0</v>
      </c>
      <c r="I4600" s="12">
        <v>7.0</v>
      </c>
      <c r="J4600" s="6" t="s">
        <v>161</v>
      </c>
    </row>
    <row r="4601" ht="22.5" customHeight="1">
      <c r="A4601" s="6" t="s">
        <v>21157</v>
      </c>
      <c r="B4601" s="6" t="s">
        <v>10635</v>
      </c>
      <c r="C4601" s="10">
        <v>46034.0</v>
      </c>
      <c r="D4601" s="6" t="s">
        <v>312</v>
      </c>
      <c r="E4601" s="6" t="s">
        <v>365</v>
      </c>
      <c r="F4601" s="6" t="s">
        <v>112</v>
      </c>
      <c r="G4601" s="6" t="s">
        <v>477</v>
      </c>
      <c r="H4601" s="10">
        <v>46034.0</v>
      </c>
      <c r="I4601" s="12">
        <v>5.0</v>
      </c>
      <c r="J4601" s="6" t="s">
        <v>161</v>
      </c>
    </row>
    <row r="4602" ht="22.5" customHeight="1">
      <c r="A4602" s="6" t="s">
        <v>21161</v>
      </c>
      <c r="B4602" s="6" t="s">
        <v>10635</v>
      </c>
      <c r="C4602" s="10">
        <v>46037.0</v>
      </c>
      <c r="D4602" s="6" t="s">
        <v>289</v>
      </c>
      <c r="E4602" s="6" t="s">
        <v>716</v>
      </c>
      <c r="F4602" s="6" t="s">
        <v>283</v>
      </c>
      <c r="G4602" s="6" t="s">
        <v>477</v>
      </c>
      <c r="H4602" s="10">
        <v>46044.0</v>
      </c>
      <c r="I4602" s="12">
        <v>10.0</v>
      </c>
      <c r="J4602" s="6" t="s">
        <v>161</v>
      </c>
    </row>
    <row r="4603" ht="22.5" customHeight="1">
      <c r="A4603" s="6" t="s">
        <v>21167</v>
      </c>
      <c r="B4603" s="6" t="s">
        <v>10642</v>
      </c>
      <c r="C4603" s="10">
        <v>46041.0</v>
      </c>
      <c r="D4603" s="6" t="s">
        <v>242</v>
      </c>
      <c r="E4603" s="6" t="s">
        <v>1241</v>
      </c>
      <c r="F4603" s="6" t="s">
        <v>249</v>
      </c>
      <c r="G4603" s="6" t="s">
        <v>369</v>
      </c>
      <c r="H4603" s="10">
        <v>46048.0</v>
      </c>
      <c r="I4603" s="12">
        <v>3.0</v>
      </c>
      <c r="J4603" s="6" t="s">
        <v>178</v>
      </c>
    </row>
    <row r="4604" ht="22.5" customHeight="1">
      <c r="A4604" s="6" t="s">
        <v>21169</v>
      </c>
      <c r="B4604" s="6" t="s">
        <v>10648</v>
      </c>
      <c r="C4604" s="10">
        <v>46034.0</v>
      </c>
      <c r="D4604" s="6" t="s">
        <v>436</v>
      </c>
      <c r="E4604" s="6" t="s">
        <v>716</v>
      </c>
      <c r="F4604" s="6" t="s">
        <v>283</v>
      </c>
      <c r="G4604" s="6" t="s">
        <v>369</v>
      </c>
      <c r="H4604" s="11" t="s">
        <v>259</v>
      </c>
      <c r="I4604" s="12">
        <v>6.0</v>
      </c>
      <c r="J4604" s="6" t="s">
        <v>178</v>
      </c>
    </row>
    <row r="4605" ht="22.5" customHeight="1">
      <c r="A4605" s="6" t="s">
        <v>21174</v>
      </c>
      <c r="B4605" s="6" t="s">
        <v>10648</v>
      </c>
      <c r="C4605" s="10">
        <v>46034.0</v>
      </c>
      <c r="D4605" s="6" t="s">
        <v>416</v>
      </c>
      <c r="E4605" s="6" t="s">
        <v>812</v>
      </c>
      <c r="F4605" s="6" t="s">
        <v>249</v>
      </c>
      <c r="G4605" s="6" t="s">
        <v>452</v>
      </c>
      <c r="H4605" s="10">
        <v>46036.0</v>
      </c>
      <c r="I4605" s="12">
        <v>8.0</v>
      </c>
      <c r="J4605" s="6" t="s">
        <v>161</v>
      </c>
    </row>
    <row r="4606" ht="22.5" customHeight="1">
      <c r="A4606" s="6" t="s">
        <v>21177</v>
      </c>
      <c r="B4606" s="6" t="s">
        <v>10648</v>
      </c>
      <c r="C4606" s="10">
        <v>46049.0</v>
      </c>
      <c r="D4606" s="6" t="s">
        <v>391</v>
      </c>
      <c r="E4606" s="6" t="s">
        <v>1296</v>
      </c>
      <c r="F4606" s="6" t="s">
        <v>283</v>
      </c>
      <c r="G4606" s="6" t="s">
        <v>477</v>
      </c>
      <c r="H4606" s="10">
        <v>46054.0</v>
      </c>
      <c r="I4606" s="12">
        <v>11.0</v>
      </c>
      <c r="J4606" s="6" t="s">
        <v>161</v>
      </c>
    </row>
    <row r="4607" ht="22.5" customHeight="1">
      <c r="A4607" s="6" t="s">
        <v>21181</v>
      </c>
      <c r="B4607" s="6" t="s">
        <v>10655</v>
      </c>
      <c r="C4607" s="10">
        <v>46046.0</v>
      </c>
      <c r="D4607" s="6" t="s">
        <v>436</v>
      </c>
      <c r="E4607" s="6" t="s">
        <v>1969</v>
      </c>
      <c r="F4607" s="6" t="s">
        <v>439</v>
      </c>
      <c r="G4607" s="6" t="s">
        <v>326</v>
      </c>
      <c r="H4607" s="10">
        <v>46047.0</v>
      </c>
      <c r="I4607" s="12">
        <v>8.0</v>
      </c>
      <c r="J4607" s="6" t="s">
        <v>178</v>
      </c>
    </row>
    <row r="4608" ht="22.5" customHeight="1">
      <c r="A4608" s="6" t="s">
        <v>21184</v>
      </c>
      <c r="B4608" s="6" t="s">
        <v>10655</v>
      </c>
      <c r="C4608" s="10">
        <v>46045.0</v>
      </c>
      <c r="D4608" s="6" t="s">
        <v>242</v>
      </c>
      <c r="E4608" s="6" t="s">
        <v>417</v>
      </c>
      <c r="F4608" s="6" t="s">
        <v>112</v>
      </c>
      <c r="G4608" s="6" t="s">
        <v>477</v>
      </c>
      <c r="H4608" s="10">
        <v>46048.0</v>
      </c>
      <c r="I4608" s="12">
        <v>4.0</v>
      </c>
      <c r="J4608" s="6" t="s">
        <v>178</v>
      </c>
    </row>
    <row r="4609" ht="22.5" customHeight="1">
      <c r="A4609" s="6" t="s">
        <v>21188</v>
      </c>
      <c r="B4609" s="6" t="s">
        <v>10661</v>
      </c>
      <c r="C4609" s="10">
        <v>46028.0</v>
      </c>
      <c r="D4609" s="6" t="s">
        <v>312</v>
      </c>
      <c r="E4609" s="6" t="s">
        <v>475</v>
      </c>
      <c r="F4609" s="6" t="s">
        <v>439</v>
      </c>
      <c r="G4609" s="6" t="s">
        <v>458</v>
      </c>
      <c r="H4609" s="10">
        <v>46034.0</v>
      </c>
      <c r="I4609" s="12">
        <v>6.0</v>
      </c>
      <c r="J4609" s="6" t="s">
        <v>161</v>
      </c>
    </row>
    <row r="4610" ht="22.5" customHeight="1">
      <c r="A4610" s="6" t="s">
        <v>21191</v>
      </c>
      <c r="B4610" s="6" t="s">
        <v>10666</v>
      </c>
      <c r="C4610" s="10">
        <v>46050.0</v>
      </c>
      <c r="D4610" s="6" t="s">
        <v>289</v>
      </c>
      <c r="E4610" s="6" t="s">
        <v>610</v>
      </c>
      <c r="F4610" s="6" t="s">
        <v>439</v>
      </c>
      <c r="G4610" s="6" t="s">
        <v>494</v>
      </c>
      <c r="H4610" s="10">
        <v>46054.0</v>
      </c>
      <c r="I4610" s="12">
        <v>9.0</v>
      </c>
      <c r="J4610" s="6" t="s">
        <v>161</v>
      </c>
    </row>
    <row r="4611" ht="22.5" customHeight="1">
      <c r="A4611" s="6" t="s">
        <v>21195</v>
      </c>
      <c r="B4611" s="6" t="s">
        <v>10666</v>
      </c>
      <c r="C4611" s="10">
        <v>46068.0</v>
      </c>
      <c r="D4611" s="6" t="s">
        <v>677</v>
      </c>
      <c r="E4611" s="6" t="s">
        <v>731</v>
      </c>
      <c r="F4611" s="6" t="s">
        <v>249</v>
      </c>
      <c r="G4611" s="6" t="s">
        <v>297</v>
      </c>
      <c r="H4611" s="10">
        <v>46073.0</v>
      </c>
      <c r="I4611" s="12">
        <v>2.0</v>
      </c>
      <c r="J4611" s="6" t="s">
        <v>161</v>
      </c>
    </row>
    <row r="4612" ht="22.5" customHeight="1">
      <c r="A4612" s="6" t="s">
        <v>21196</v>
      </c>
      <c r="B4612" s="6" t="s">
        <v>10672</v>
      </c>
      <c r="C4612" s="10">
        <v>46075.0</v>
      </c>
      <c r="D4612" s="6" t="s">
        <v>677</v>
      </c>
      <c r="E4612" s="6" t="s">
        <v>787</v>
      </c>
      <c r="F4612" s="6" t="s">
        <v>112</v>
      </c>
      <c r="G4612" s="6" t="s">
        <v>494</v>
      </c>
      <c r="H4612" s="10">
        <v>46081.0</v>
      </c>
      <c r="I4612" s="12">
        <v>2.0</v>
      </c>
      <c r="J4612" s="6" t="s">
        <v>161</v>
      </c>
    </row>
    <row r="4613" ht="22.5" customHeight="1">
      <c r="A4613" s="6" t="s">
        <v>21199</v>
      </c>
      <c r="B4613" s="6" t="s">
        <v>10672</v>
      </c>
      <c r="C4613" s="10">
        <v>46078.0</v>
      </c>
      <c r="D4613" s="6" t="s">
        <v>677</v>
      </c>
      <c r="E4613" s="6" t="s">
        <v>787</v>
      </c>
      <c r="F4613" s="6" t="s">
        <v>283</v>
      </c>
      <c r="G4613" s="6" t="s">
        <v>326</v>
      </c>
      <c r="H4613" s="10">
        <v>46085.0</v>
      </c>
      <c r="I4613" s="12">
        <v>3.0</v>
      </c>
      <c r="J4613" s="6" t="s">
        <v>161</v>
      </c>
    </row>
    <row r="4614" ht="22.5" customHeight="1">
      <c r="A4614" s="6" t="s">
        <v>21203</v>
      </c>
      <c r="B4614" s="6" t="s">
        <v>10672</v>
      </c>
      <c r="C4614" s="10">
        <v>46086.0</v>
      </c>
      <c r="D4614" s="6" t="s">
        <v>289</v>
      </c>
      <c r="E4614" s="6" t="s">
        <v>2365</v>
      </c>
      <c r="F4614" s="6" t="s">
        <v>283</v>
      </c>
      <c r="G4614" s="6" t="s">
        <v>494</v>
      </c>
      <c r="H4614" s="11" t="s">
        <v>259</v>
      </c>
      <c r="I4614" s="12">
        <v>7.0</v>
      </c>
      <c r="J4614" s="6" t="s">
        <v>161</v>
      </c>
    </row>
    <row r="4615" ht="22.5" customHeight="1">
      <c r="A4615" s="6" t="s">
        <v>21206</v>
      </c>
      <c r="B4615" s="6" t="s">
        <v>10672</v>
      </c>
      <c r="C4615" s="10">
        <v>46083.0</v>
      </c>
      <c r="D4615" s="6" t="s">
        <v>677</v>
      </c>
      <c r="E4615" s="6" t="s">
        <v>885</v>
      </c>
      <c r="F4615" s="6" t="s">
        <v>439</v>
      </c>
      <c r="G4615" s="6" t="s">
        <v>477</v>
      </c>
      <c r="H4615" s="10">
        <v>46089.0</v>
      </c>
      <c r="I4615" s="12">
        <v>3.0</v>
      </c>
      <c r="J4615" s="6" t="s">
        <v>161</v>
      </c>
    </row>
    <row r="4616" ht="22.5" customHeight="1">
      <c r="A4616" s="6" t="s">
        <v>21210</v>
      </c>
      <c r="B4616" s="6" t="s">
        <v>10679</v>
      </c>
      <c r="C4616" s="10">
        <v>46063.0</v>
      </c>
      <c r="D4616" s="6" t="s">
        <v>436</v>
      </c>
      <c r="E4616" s="6" t="s">
        <v>1273</v>
      </c>
      <c r="F4616" s="6" t="s">
        <v>249</v>
      </c>
      <c r="G4616" s="6" t="s">
        <v>477</v>
      </c>
      <c r="H4616" s="10">
        <v>46064.0</v>
      </c>
      <c r="I4616" s="12">
        <v>6.0</v>
      </c>
      <c r="J4616" s="6" t="s">
        <v>161</v>
      </c>
    </row>
    <row r="4617" ht="22.5" customHeight="1">
      <c r="A4617" s="6" t="s">
        <v>21211</v>
      </c>
      <c r="B4617" s="6" t="s">
        <v>10679</v>
      </c>
      <c r="C4617" s="10">
        <v>46078.0</v>
      </c>
      <c r="D4617" s="6" t="s">
        <v>416</v>
      </c>
      <c r="E4617" s="6" t="s">
        <v>1070</v>
      </c>
      <c r="F4617" s="6" t="s">
        <v>283</v>
      </c>
      <c r="G4617" s="6" t="s">
        <v>326</v>
      </c>
      <c r="H4617" s="10">
        <v>46084.0</v>
      </c>
      <c r="I4617" s="12">
        <v>10.0</v>
      </c>
      <c r="J4617" s="6" t="s">
        <v>161</v>
      </c>
    </row>
    <row r="4618" ht="22.5" customHeight="1">
      <c r="A4618" s="6" t="s">
        <v>21217</v>
      </c>
      <c r="B4618" s="6" t="s">
        <v>10679</v>
      </c>
      <c r="C4618" s="10">
        <v>46079.0</v>
      </c>
      <c r="D4618" s="6" t="s">
        <v>312</v>
      </c>
      <c r="E4618" s="6" t="s">
        <v>1122</v>
      </c>
      <c r="F4618" s="6" t="s">
        <v>283</v>
      </c>
      <c r="G4618" s="6" t="s">
        <v>297</v>
      </c>
      <c r="H4618" s="10">
        <v>46086.0</v>
      </c>
      <c r="I4618" s="12">
        <v>4.0</v>
      </c>
      <c r="J4618" s="6" t="s">
        <v>161</v>
      </c>
    </row>
    <row r="4619" ht="22.5" customHeight="1">
      <c r="A4619" s="6" t="s">
        <v>21220</v>
      </c>
      <c r="B4619" s="6" t="s">
        <v>10685</v>
      </c>
      <c r="C4619" s="10">
        <v>46070.0</v>
      </c>
      <c r="D4619" s="6" t="s">
        <v>677</v>
      </c>
      <c r="E4619" s="6" t="s">
        <v>246</v>
      </c>
      <c r="F4619" s="6" t="s">
        <v>439</v>
      </c>
      <c r="G4619" s="6" t="s">
        <v>326</v>
      </c>
      <c r="H4619" s="10">
        <v>46070.0</v>
      </c>
      <c r="I4619" s="12">
        <v>2.0</v>
      </c>
      <c r="J4619" s="6" t="s">
        <v>161</v>
      </c>
    </row>
    <row r="4620" ht="22.5" customHeight="1">
      <c r="A4620" s="6" t="s">
        <v>21225</v>
      </c>
      <c r="B4620" s="6" t="s">
        <v>10685</v>
      </c>
      <c r="C4620" s="10">
        <v>46066.0</v>
      </c>
      <c r="D4620" s="6" t="s">
        <v>289</v>
      </c>
      <c r="E4620" s="6" t="s">
        <v>1741</v>
      </c>
      <c r="F4620" s="6" t="s">
        <v>439</v>
      </c>
      <c r="G4620" s="6" t="s">
        <v>452</v>
      </c>
      <c r="H4620" s="11" t="s">
        <v>259</v>
      </c>
      <c r="I4620" s="12">
        <v>8.0</v>
      </c>
      <c r="J4620" s="6" t="s">
        <v>161</v>
      </c>
    </row>
    <row r="4621" ht="22.5" customHeight="1">
      <c r="A4621" s="6" t="s">
        <v>21230</v>
      </c>
      <c r="B4621" s="6" t="s">
        <v>10685</v>
      </c>
      <c r="C4621" s="10">
        <v>46080.0</v>
      </c>
      <c r="D4621" s="6" t="s">
        <v>289</v>
      </c>
      <c r="E4621" s="6" t="s">
        <v>1102</v>
      </c>
      <c r="F4621" s="6" t="s">
        <v>249</v>
      </c>
      <c r="G4621" s="6" t="s">
        <v>297</v>
      </c>
      <c r="H4621" s="10">
        <v>46083.0</v>
      </c>
      <c r="I4621" s="12">
        <v>9.0</v>
      </c>
      <c r="J4621" s="6" t="s">
        <v>161</v>
      </c>
    </row>
    <row r="4622" ht="22.5" customHeight="1">
      <c r="A4622" s="6" t="s">
        <v>21232</v>
      </c>
      <c r="B4622" s="6" t="s">
        <v>10692</v>
      </c>
      <c r="C4622" s="10">
        <v>46060.0</v>
      </c>
      <c r="D4622" s="6" t="s">
        <v>289</v>
      </c>
      <c r="E4622" s="6" t="s">
        <v>1517</v>
      </c>
      <c r="F4622" s="6" t="s">
        <v>439</v>
      </c>
      <c r="G4622" s="6" t="s">
        <v>477</v>
      </c>
      <c r="H4622" s="10">
        <v>46060.0</v>
      </c>
      <c r="I4622" s="12">
        <v>9.0</v>
      </c>
      <c r="J4622" s="6" t="s">
        <v>161</v>
      </c>
    </row>
    <row r="4623" ht="22.5" customHeight="1">
      <c r="A4623" s="6" t="s">
        <v>21236</v>
      </c>
      <c r="B4623" s="6" t="s">
        <v>10692</v>
      </c>
      <c r="C4623" s="10">
        <v>46061.0</v>
      </c>
      <c r="D4623" s="6" t="s">
        <v>677</v>
      </c>
      <c r="E4623" s="6" t="s">
        <v>1310</v>
      </c>
      <c r="F4623" s="6" t="s">
        <v>249</v>
      </c>
      <c r="G4623" s="6" t="s">
        <v>452</v>
      </c>
      <c r="H4623" s="11" t="s">
        <v>259</v>
      </c>
      <c r="I4623" s="12">
        <v>4.0</v>
      </c>
      <c r="J4623" s="6" t="s">
        <v>161</v>
      </c>
    </row>
    <row r="4624" ht="22.5" customHeight="1">
      <c r="A4624" s="6" t="s">
        <v>21238</v>
      </c>
      <c r="B4624" s="6" t="s">
        <v>10698</v>
      </c>
      <c r="C4624" s="10">
        <v>46070.0</v>
      </c>
      <c r="D4624" s="6" t="s">
        <v>312</v>
      </c>
      <c r="E4624" s="6" t="s">
        <v>1969</v>
      </c>
      <c r="F4624" s="6" t="s">
        <v>112</v>
      </c>
      <c r="G4624" s="6" t="s">
        <v>458</v>
      </c>
      <c r="H4624" s="11" t="s">
        <v>259</v>
      </c>
      <c r="I4624" s="12">
        <v>4.0</v>
      </c>
      <c r="J4624" s="6" t="s">
        <v>161</v>
      </c>
    </row>
    <row r="4625" ht="22.5" customHeight="1">
      <c r="A4625" s="6" t="s">
        <v>21241</v>
      </c>
      <c r="B4625" s="6" t="s">
        <v>10698</v>
      </c>
      <c r="C4625" s="10">
        <v>46069.0</v>
      </c>
      <c r="D4625" s="6" t="s">
        <v>391</v>
      </c>
      <c r="E4625" s="6" t="s">
        <v>417</v>
      </c>
      <c r="F4625" s="6" t="s">
        <v>439</v>
      </c>
      <c r="G4625" s="6" t="s">
        <v>494</v>
      </c>
      <c r="H4625" s="11" t="s">
        <v>259</v>
      </c>
      <c r="I4625" s="12">
        <v>7.0</v>
      </c>
      <c r="J4625" s="6" t="s">
        <v>161</v>
      </c>
    </row>
    <row r="4626" ht="22.5" customHeight="1">
      <c r="A4626" s="6" t="s">
        <v>21244</v>
      </c>
      <c r="B4626" s="6" t="s">
        <v>10698</v>
      </c>
      <c r="C4626" s="10">
        <v>46068.0</v>
      </c>
      <c r="D4626" s="6" t="s">
        <v>242</v>
      </c>
      <c r="E4626" s="6" t="s">
        <v>955</v>
      </c>
      <c r="F4626" s="6" t="s">
        <v>439</v>
      </c>
      <c r="G4626" s="6" t="s">
        <v>326</v>
      </c>
      <c r="H4626" s="11" t="s">
        <v>259</v>
      </c>
      <c r="I4626" s="12">
        <v>3.0</v>
      </c>
      <c r="J4626" s="6" t="s">
        <v>178</v>
      </c>
    </row>
    <row r="4627" ht="22.5" customHeight="1">
      <c r="A4627" s="6" t="s">
        <v>21246</v>
      </c>
      <c r="B4627" s="6" t="s">
        <v>10698</v>
      </c>
      <c r="C4627" s="10">
        <v>46075.0</v>
      </c>
      <c r="D4627" s="6" t="s">
        <v>242</v>
      </c>
      <c r="E4627" s="6" t="s">
        <v>1280</v>
      </c>
      <c r="F4627" s="6" t="s">
        <v>112</v>
      </c>
      <c r="G4627" s="6" t="s">
        <v>297</v>
      </c>
      <c r="H4627" s="10">
        <v>46081.0</v>
      </c>
      <c r="I4627" s="12">
        <v>4.0</v>
      </c>
      <c r="J4627" s="6" t="s">
        <v>161</v>
      </c>
    </row>
    <row r="4628" ht="22.5" customHeight="1">
      <c r="A4628" s="6" t="s">
        <v>21249</v>
      </c>
      <c r="B4628" s="6" t="s">
        <v>10705</v>
      </c>
      <c r="C4628" s="10">
        <v>46056.0</v>
      </c>
      <c r="D4628" s="6" t="s">
        <v>436</v>
      </c>
      <c r="E4628" s="6" t="s">
        <v>695</v>
      </c>
      <c r="F4628" s="6" t="s">
        <v>249</v>
      </c>
      <c r="G4628" s="6" t="s">
        <v>297</v>
      </c>
      <c r="H4628" s="10">
        <v>46058.0</v>
      </c>
      <c r="I4628" s="12">
        <v>9.0</v>
      </c>
      <c r="J4628" s="6" t="s">
        <v>161</v>
      </c>
    </row>
    <row r="4629" ht="22.5" customHeight="1">
      <c r="A4629" s="6" t="s">
        <v>21253</v>
      </c>
      <c r="B4629" s="6" t="s">
        <v>10711</v>
      </c>
      <c r="C4629" s="10">
        <v>46068.0</v>
      </c>
      <c r="D4629" s="6" t="s">
        <v>416</v>
      </c>
      <c r="E4629" s="6" t="s">
        <v>1102</v>
      </c>
      <c r="F4629" s="6" t="s">
        <v>439</v>
      </c>
      <c r="G4629" s="6" t="s">
        <v>369</v>
      </c>
      <c r="H4629" s="10">
        <v>46070.0</v>
      </c>
      <c r="I4629" s="12">
        <v>13.0</v>
      </c>
      <c r="J4629" s="6" t="s">
        <v>161</v>
      </c>
    </row>
    <row r="4630" ht="22.5" customHeight="1">
      <c r="A4630" s="6" t="s">
        <v>21256</v>
      </c>
      <c r="B4630" s="6" t="s">
        <v>10717</v>
      </c>
      <c r="C4630" s="10">
        <v>46057.0</v>
      </c>
      <c r="D4630" s="6" t="s">
        <v>677</v>
      </c>
      <c r="E4630" s="6" t="s">
        <v>1122</v>
      </c>
      <c r="F4630" s="6" t="s">
        <v>249</v>
      </c>
      <c r="G4630" s="6" t="s">
        <v>326</v>
      </c>
      <c r="H4630" s="10">
        <v>46057.0</v>
      </c>
      <c r="I4630" s="12">
        <v>2.0</v>
      </c>
      <c r="J4630" s="6" t="s">
        <v>161</v>
      </c>
    </row>
    <row r="4631" ht="22.5" customHeight="1">
      <c r="A4631" s="6" t="s">
        <v>21260</v>
      </c>
      <c r="B4631" s="6" t="s">
        <v>10717</v>
      </c>
      <c r="C4631" s="10">
        <v>46063.0</v>
      </c>
      <c r="D4631" s="6" t="s">
        <v>312</v>
      </c>
      <c r="E4631" s="6" t="s">
        <v>1055</v>
      </c>
      <c r="F4631" s="6" t="s">
        <v>249</v>
      </c>
      <c r="G4631" s="6" t="s">
        <v>477</v>
      </c>
      <c r="H4631" s="10">
        <v>46063.0</v>
      </c>
      <c r="I4631" s="12">
        <v>4.0</v>
      </c>
      <c r="J4631" s="6" t="s">
        <v>161</v>
      </c>
    </row>
    <row r="4632" ht="22.5" customHeight="1">
      <c r="A4632" s="6" t="s">
        <v>21261</v>
      </c>
      <c r="B4632" s="6" t="s">
        <v>10717</v>
      </c>
      <c r="C4632" s="10">
        <v>46070.0</v>
      </c>
      <c r="D4632" s="6" t="s">
        <v>391</v>
      </c>
      <c r="E4632" s="6" t="s">
        <v>2881</v>
      </c>
      <c r="F4632" s="6" t="s">
        <v>439</v>
      </c>
      <c r="G4632" s="6" t="s">
        <v>297</v>
      </c>
      <c r="H4632" s="11" t="s">
        <v>259</v>
      </c>
      <c r="I4632" s="12">
        <v>8.0</v>
      </c>
      <c r="J4632" s="6" t="s">
        <v>161</v>
      </c>
    </row>
    <row r="4633" ht="22.5" customHeight="1">
      <c r="A4633" s="6" t="s">
        <v>21264</v>
      </c>
      <c r="B4633" s="6" t="s">
        <v>10717</v>
      </c>
      <c r="C4633" s="10">
        <v>46062.0</v>
      </c>
      <c r="D4633" s="6" t="s">
        <v>677</v>
      </c>
      <c r="E4633" s="6" t="s">
        <v>738</v>
      </c>
      <c r="F4633" s="6" t="s">
        <v>112</v>
      </c>
      <c r="G4633" s="6" t="s">
        <v>452</v>
      </c>
      <c r="H4633" s="10">
        <v>46062.0</v>
      </c>
      <c r="I4633" s="12">
        <v>3.0</v>
      </c>
      <c r="J4633" s="6" t="s">
        <v>161</v>
      </c>
    </row>
    <row r="4634" ht="22.5" customHeight="1">
      <c r="A4634" s="6" t="s">
        <v>21268</v>
      </c>
      <c r="B4634" s="6" t="s">
        <v>10717</v>
      </c>
      <c r="C4634" s="10">
        <v>46053.0</v>
      </c>
      <c r="D4634" s="6" t="s">
        <v>312</v>
      </c>
      <c r="E4634" s="6" t="s">
        <v>1386</v>
      </c>
      <c r="F4634" s="6" t="s">
        <v>112</v>
      </c>
      <c r="G4634" s="6" t="s">
        <v>254</v>
      </c>
      <c r="H4634" s="11" t="s">
        <v>259</v>
      </c>
      <c r="I4634" s="12">
        <v>6.0</v>
      </c>
      <c r="J4634" s="6" t="s">
        <v>161</v>
      </c>
    </row>
    <row r="4635" ht="22.5" customHeight="1">
      <c r="A4635" s="6" t="s">
        <v>21271</v>
      </c>
      <c r="B4635" s="6" t="s">
        <v>10723</v>
      </c>
      <c r="C4635" s="10">
        <v>46046.0</v>
      </c>
      <c r="D4635" s="6" t="s">
        <v>391</v>
      </c>
      <c r="E4635" s="6" t="s">
        <v>291</v>
      </c>
      <c r="F4635" s="6" t="s">
        <v>439</v>
      </c>
      <c r="G4635" s="6" t="s">
        <v>254</v>
      </c>
      <c r="H4635" s="10">
        <v>46049.0</v>
      </c>
      <c r="I4635" s="12">
        <v>7.0</v>
      </c>
      <c r="J4635" s="6" t="s">
        <v>161</v>
      </c>
    </row>
    <row r="4636" ht="22.5" customHeight="1">
      <c r="A4636" s="6" t="s">
        <v>21274</v>
      </c>
      <c r="B4636" s="6" t="s">
        <v>10729</v>
      </c>
      <c r="C4636" s="10">
        <v>46066.0</v>
      </c>
      <c r="D4636" s="6" t="s">
        <v>391</v>
      </c>
      <c r="E4636" s="6" t="s">
        <v>1122</v>
      </c>
      <c r="F4636" s="6" t="s">
        <v>249</v>
      </c>
      <c r="G4636" s="6" t="s">
        <v>477</v>
      </c>
      <c r="H4636" s="10">
        <v>46071.0</v>
      </c>
      <c r="I4636" s="12">
        <v>6.0</v>
      </c>
      <c r="J4636" s="6" t="s">
        <v>161</v>
      </c>
    </row>
    <row r="4637" ht="22.5" customHeight="1">
      <c r="A4637" s="6" t="s">
        <v>21276</v>
      </c>
      <c r="B4637" s="6" t="s">
        <v>10735</v>
      </c>
      <c r="C4637" s="10">
        <v>46060.0</v>
      </c>
      <c r="D4637" s="6" t="s">
        <v>289</v>
      </c>
      <c r="E4637" s="6" t="s">
        <v>833</v>
      </c>
      <c r="F4637" s="6" t="s">
        <v>249</v>
      </c>
      <c r="G4637" s="6" t="s">
        <v>477</v>
      </c>
      <c r="H4637" s="10">
        <v>46063.0</v>
      </c>
      <c r="I4637" s="12">
        <v>7.0</v>
      </c>
      <c r="J4637" s="6" t="s">
        <v>161</v>
      </c>
    </row>
    <row r="4638" ht="22.5" customHeight="1">
      <c r="A4638" s="6" t="s">
        <v>21279</v>
      </c>
      <c r="B4638" s="6" t="s">
        <v>10735</v>
      </c>
      <c r="C4638" s="10">
        <v>46057.0</v>
      </c>
      <c r="D4638" s="6" t="s">
        <v>312</v>
      </c>
      <c r="E4638" s="6" t="s">
        <v>1122</v>
      </c>
      <c r="F4638" s="6" t="s">
        <v>439</v>
      </c>
      <c r="G4638" s="6" t="s">
        <v>494</v>
      </c>
      <c r="H4638" s="10">
        <v>46062.0</v>
      </c>
      <c r="I4638" s="12">
        <v>5.0</v>
      </c>
      <c r="J4638" s="6" t="s">
        <v>161</v>
      </c>
    </row>
    <row r="4639" ht="22.5" customHeight="1">
      <c r="A4639" s="6" t="s">
        <v>21283</v>
      </c>
      <c r="B4639" s="6" t="s">
        <v>10735</v>
      </c>
      <c r="C4639" s="10">
        <v>46058.0</v>
      </c>
      <c r="D4639" s="6" t="s">
        <v>242</v>
      </c>
      <c r="E4639" s="6" t="s">
        <v>1310</v>
      </c>
      <c r="F4639" s="6" t="s">
        <v>439</v>
      </c>
      <c r="G4639" s="6" t="s">
        <v>326</v>
      </c>
      <c r="H4639" s="10">
        <v>46059.0</v>
      </c>
      <c r="I4639" s="12">
        <v>5.0</v>
      </c>
      <c r="J4639" s="6" t="s">
        <v>178</v>
      </c>
    </row>
    <row r="4640" ht="22.5" customHeight="1">
      <c r="A4640" s="6" t="s">
        <v>21287</v>
      </c>
      <c r="B4640" s="6" t="s">
        <v>10735</v>
      </c>
      <c r="C4640" s="10">
        <v>46055.0</v>
      </c>
      <c r="D4640" s="6" t="s">
        <v>391</v>
      </c>
      <c r="E4640" s="6" t="s">
        <v>365</v>
      </c>
      <c r="F4640" s="6" t="s">
        <v>249</v>
      </c>
      <c r="G4640" s="6" t="s">
        <v>477</v>
      </c>
      <c r="H4640" s="10">
        <v>46061.0</v>
      </c>
      <c r="I4640" s="12">
        <v>9.0</v>
      </c>
      <c r="J4640" s="6" t="s">
        <v>161</v>
      </c>
    </row>
    <row r="4641" ht="22.5" customHeight="1">
      <c r="A4641" s="6" t="s">
        <v>21292</v>
      </c>
      <c r="B4641" s="6" t="s">
        <v>10742</v>
      </c>
      <c r="C4641" s="10">
        <v>46038.0</v>
      </c>
      <c r="D4641" s="6" t="s">
        <v>677</v>
      </c>
      <c r="E4641" s="6" t="s">
        <v>1570</v>
      </c>
      <c r="F4641" s="6" t="s">
        <v>283</v>
      </c>
      <c r="G4641" s="6" t="s">
        <v>458</v>
      </c>
      <c r="H4641" s="10">
        <v>46039.0</v>
      </c>
      <c r="I4641" s="12">
        <v>2.0</v>
      </c>
      <c r="J4641" s="6" t="s">
        <v>161</v>
      </c>
    </row>
    <row r="4642" ht="22.5" customHeight="1">
      <c r="A4642" s="6" t="s">
        <v>21295</v>
      </c>
      <c r="B4642" s="6" t="s">
        <v>10742</v>
      </c>
      <c r="C4642" s="10">
        <v>46050.0</v>
      </c>
      <c r="D4642" s="6" t="s">
        <v>677</v>
      </c>
      <c r="E4642" s="6" t="s">
        <v>1600</v>
      </c>
      <c r="F4642" s="6" t="s">
        <v>112</v>
      </c>
      <c r="G4642" s="6" t="s">
        <v>477</v>
      </c>
      <c r="H4642" s="10">
        <v>46051.0</v>
      </c>
      <c r="I4642" s="12">
        <v>4.0</v>
      </c>
      <c r="J4642" s="6" t="s">
        <v>161</v>
      </c>
    </row>
    <row r="4643" ht="22.5" customHeight="1">
      <c r="A4643" s="6" t="s">
        <v>21297</v>
      </c>
      <c r="B4643" s="6" t="s">
        <v>10748</v>
      </c>
      <c r="C4643" s="10">
        <v>46073.0</v>
      </c>
      <c r="D4643" s="6" t="s">
        <v>436</v>
      </c>
      <c r="E4643" s="6" t="s">
        <v>450</v>
      </c>
      <c r="F4643" s="6" t="s">
        <v>283</v>
      </c>
      <c r="G4643" s="6" t="s">
        <v>254</v>
      </c>
      <c r="H4643" s="10">
        <v>46080.0</v>
      </c>
      <c r="I4643" s="12">
        <v>9.0</v>
      </c>
      <c r="J4643" s="6" t="s">
        <v>161</v>
      </c>
    </row>
    <row r="4644" ht="22.5" customHeight="1">
      <c r="A4644" s="6" t="s">
        <v>21300</v>
      </c>
      <c r="B4644" s="6" t="s">
        <v>10748</v>
      </c>
      <c r="C4644" s="10">
        <v>46078.0</v>
      </c>
      <c r="D4644" s="6" t="s">
        <v>312</v>
      </c>
      <c r="E4644" s="6" t="s">
        <v>833</v>
      </c>
      <c r="F4644" s="6" t="s">
        <v>112</v>
      </c>
      <c r="G4644" s="6" t="s">
        <v>254</v>
      </c>
      <c r="H4644" s="10">
        <v>46078.0</v>
      </c>
      <c r="I4644" s="12">
        <v>7.0</v>
      </c>
      <c r="J4644" s="6" t="s">
        <v>161</v>
      </c>
    </row>
    <row r="4645" ht="22.5" customHeight="1">
      <c r="A4645" s="6" t="s">
        <v>21304</v>
      </c>
      <c r="B4645" s="6" t="s">
        <v>10748</v>
      </c>
      <c r="C4645" s="10">
        <v>46077.0</v>
      </c>
      <c r="D4645" s="6" t="s">
        <v>391</v>
      </c>
      <c r="E4645" s="6" t="s">
        <v>634</v>
      </c>
      <c r="F4645" s="6" t="s">
        <v>112</v>
      </c>
      <c r="G4645" s="6" t="s">
        <v>297</v>
      </c>
      <c r="H4645" s="10">
        <v>46077.0</v>
      </c>
      <c r="I4645" s="12">
        <v>8.0</v>
      </c>
      <c r="J4645" s="6" t="s">
        <v>161</v>
      </c>
    </row>
    <row r="4646" ht="22.5" customHeight="1">
      <c r="A4646" s="6" t="s">
        <v>21305</v>
      </c>
      <c r="B4646" s="6" t="s">
        <v>10755</v>
      </c>
      <c r="C4646" s="10">
        <v>46058.0</v>
      </c>
      <c r="D4646" s="6" t="s">
        <v>289</v>
      </c>
      <c r="E4646" s="6" t="s">
        <v>731</v>
      </c>
      <c r="F4646" s="6" t="s">
        <v>283</v>
      </c>
      <c r="G4646" s="6" t="s">
        <v>369</v>
      </c>
      <c r="H4646" s="10">
        <v>46065.0</v>
      </c>
      <c r="I4646" s="12">
        <v>6.0</v>
      </c>
      <c r="J4646" s="6" t="s">
        <v>161</v>
      </c>
    </row>
    <row r="4647" ht="22.5" customHeight="1">
      <c r="A4647" s="6" t="s">
        <v>21307</v>
      </c>
      <c r="B4647" s="6" t="s">
        <v>10761</v>
      </c>
      <c r="C4647" s="10">
        <v>46072.0</v>
      </c>
      <c r="D4647" s="6" t="s">
        <v>436</v>
      </c>
      <c r="E4647" s="6" t="s">
        <v>1273</v>
      </c>
      <c r="F4647" s="6" t="s">
        <v>439</v>
      </c>
      <c r="G4647" s="6" t="s">
        <v>452</v>
      </c>
      <c r="H4647" s="10">
        <v>46079.0</v>
      </c>
      <c r="I4647" s="12">
        <v>10.0</v>
      </c>
      <c r="J4647" s="6" t="s">
        <v>178</v>
      </c>
    </row>
    <row r="4648" ht="22.5" customHeight="1">
      <c r="A4648" s="6" t="s">
        <v>21311</v>
      </c>
      <c r="B4648" s="6" t="s">
        <v>10761</v>
      </c>
      <c r="C4648" s="10">
        <v>46067.0</v>
      </c>
      <c r="D4648" s="6" t="s">
        <v>677</v>
      </c>
      <c r="E4648" s="6" t="s">
        <v>1969</v>
      </c>
      <c r="F4648" s="6" t="s">
        <v>249</v>
      </c>
      <c r="G4648" s="6" t="s">
        <v>452</v>
      </c>
      <c r="H4648" s="10">
        <v>46074.0</v>
      </c>
      <c r="I4648" s="12">
        <v>3.0</v>
      </c>
      <c r="J4648" s="6" t="s">
        <v>161</v>
      </c>
    </row>
    <row r="4649" ht="22.5" customHeight="1">
      <c r="A4649" s="6" t="s">
        <v>21314</v>
      </c>
      <c r="B4649" s="6" t="s">
        <v>10761</v>
      </c>
      <c r="C4649" s="10">
        <v>46067.0</v>
      </c>
      <c r="D4649" s="6" t="s">
        <v>677</v>
      </c>
      <c r="E4649" s="6" t="s">
        <v>731</v>
      </c>
      <c r="F4649" s="6" t="s">
        <v>249</v>
      </c>
      <c r="G4649" s="6" t="s">
        <v>254</v>
      </c>
      <c r="H4649" s="10">
        <v>46071.0</v>
      </c>
      <c r="I4649" s="12">
        <v>4.0</v>
      </c>
      <c r="J4649" s="6" t="s">
        <v>161</v>
      </c>
    </row>
    <row r="4650" ht="22.5" customHeight="1">
      <c r="A4650" s="6" t="s">
        <v>21316</v>
      </c>
      <c r="B4650" s="6" t="s">
        <v>10767</v>
      </c>
      <c r="C4650" s="10">
        <v>46081.0</v>
      </c>
      <c r="D4650" s="6" t="s">
        <v>289</v>
      </c>
      <c r="E4650" s="6" t="s">
        <v>1386</v>
      </c>
      <c r="F4650" s="6" t="s">
        <v>283</v>
      </c>
      <c r="G4650" s="6" t="s">
        <v>326</v>
      </c>
      <c r="H4650" s="10">
        <v>46086.0</v>
      </c>
      <c r="I4650" s="12">
        <v>6.0</v>
      </c>
      <c r="J4650" s="6" t="s">
        <v>161</v>
      </c>
    </row>
    <row r="4651" ht="22.5" customHeight="1">
      <c r="A4651" s="6" t="s">
        <v>21319</v>
      </c>
      <c r="B4651" s="6" t="s">
        <v>10767</v>
      </c>
      <c r="C4651" s="10">
        <v>46086.0</v>
      </c>
      <c r="D4651" s="6" t="s">
        <v>391</v>
      </c>
      <c r="E4651" s="6" t="s">
        <v>1700</v>
      </c>
      <c r="F4651" s="6" t="s">
        <v>249</v>
      </c>
      <c r="G4651" s="6" t="s">
        <v>458</v>
      </c>
      <c r="H4651" s="10">
        <v>46092.0</v>
      </c>
      <c r="I4651" s="12">
        <v>9.0</v>
      </c>
      <c r="J4651" s="6" t="s">
        <v>161</v>
      </c>
    </row>
    <row r="4652" ht="22.5" customHeight="1">
      <c r="A4652" s="6" t="s">
        <v>21321</v>
      </c>
      <c r="B4652" s="6" t="s">
        <v>10767</v>
      </c>
      <c r="C4652" s="10">
        <v>46078.0</v>
      </c>
      <c r="D4652" s="6" t="s">
        <v>436</v>
      </c>
      <c r="E4652" s="6" t="s">
        <v>1552</v>
      </c>
      <c r="F4652" s="6" t="s">
        <v>283</v>
      </c>
      <c r="G4652" s="6" t="s">
        <v>297</v>
      </c>
      <c r="H4652" s="10">
        <v>46082.0</v>
      </c>
      <c r="I4652" s="12">
        <v>12.0</v>
      </c>
      <c r="J4652" s="6" t="s">
        <v>161</v>
      </c>
    </row>
    <row r="4653" ht="22.5" customHeight="1">
      <c r="A4653" s="6" t="s">
        <v>21326</v>
      </c>
      <c r="B4653" s="6" t="s">
        <v>10773</v>
      </c>
      <c r="C4653" s="10">
        <v>46039.0</v>
      </c>
      <c r="D4653" s="6" t="s">
        <v>436</v>
      </c>
      <c r="E4653" s="6" t="s">
        <v>896</v>
      </c>
      <c r="F4653" s="6" t="s">
        <v>283</v>
      </c>
      <c r="G4653" s="6" t="s">
        <v>254</v>
      </c>
      <c r="H4653" s="10">
        <v>46039.0</v>
      </c>
      <c r="I4653" s="12">
        <v>9.0</v>
      </c>
      <c r="J4653" s="6" t="s">
        <v>178</v>
      </c>
    </row>
    <row r="4654" ht="22.5" customHeight="1">
      <c r="A4654" s="6" t="s">
        <v>21327</v>
      </c>
      <c r="B4654" s="6" t="s">
        <v>10773</v>
      </c>
      <c r="C4654" s="10">
        <v>46050.0</v>
      </c>
      <c r="D4654" s="6" t="s">
        <v>391</v>
      </c>
      <c r="E4654" s="6" t="s">
        <v>658</v>
      </c>
      <c r="F4654" s="6" t="s">
        <v>249</v>
      </c>
      <c r="G4654" s="6" t="s">
        <v>297</v>
      </c>
      <c r="H4654" s="10">
        <v>46057.0</v>
      </c>
      <c r="I4654" s="12">
        <v>11.0</v>
      </c>
      <c r="J4654" s="6" t="s">
        <v>161</v>
      </c>
    </row>
    <row r="4655" ht="22.5" customHeight="1">
      <c r="A4655" s="6" t="s">
        <v>21332</v>
      </c>
      <c r="B4655" s="6" t="s">
        <v>10773</v>
      </c>
      <c r="C4655" s="10">
        <v>46039.0</v>
      </c>
      <c r="D4655" s="6" t="s">
        <v>677</v>
      </c>
      <c r="E4655" s="6" t="s">
        <v>1741</v>
      </c>
      <c r="F4655" s="6" t="s">
        <v>283</v>
      </c>
      <c r="G4655" s="6" t="s">
        <v>458</v>
      </c>
      <c r="H4655" s="11" t="s">
        <v>259</v>
      </c>
      <c r="I4655" s="12">
        <v>2.0</v>
      </c>
      <c r="J4655" s="6" t="s">
        <v>161</v>
      </c>
    </row>
    <row r="4656" ht="22.5" customHeight="1">
      <c r="A4656" s="6" t="s">
        <v>21336</v>
      </c>
      <c r="B4656" s="6" t="s">
        <v>10779</v>
      </c>
      <c r="C4656" s="10">
        <v>46075.0</v>
      </c>
      <c r="D4656" s="6" t="s">
        <v>312</v>
      </c>
      <c r="E4656" s="6" t="s">
        <v>1626</v>
      </c>
      <c r="F4656" s="6" t="s">
        <v>112</v>
      </c>
      <c r="G4656" s="6" t="s">
        <v>452</v>
      </c>
      <c r="H4656" s="10">
        <v>46078.0</v>
      </c>
      <c r="I4656" s="12">
        <v>6.0</v>
      </c>
      <c r="J4656" s="6" t="s">
        <v>161</v>
      </c>
    </row>
    <row r="4657" ht="22.5" customHeight="1">
      <c r="A4657" s="6" t="s">
        <v>21339</v>
      </c>
      <c r="B4657" s="6" t="s">
        <v>10779</v>
      </c>
      <c r="C4657" s="10">
        <v>46081.0</v>
      </c>
      <c r="D4657" s="6" t="s">
        <v>391</v>
      </c>
      <c r="E4657" s="6" t="s">
        <v>704</v>
      </c>
      <c r="F4657" s="6" t="s">
        <v>439</v>
      </c>
      <c r="G4657" s="6" t="s">
        <v>254</v>
      </c>
      <c r="H4657" s="10">
        <v>46085.0</v>
      </c>
      <c r="I4657" s="12">
        <v>9.0</v>
      </c>
      <c r="J4657" s="6" t="s">
        <v>161</v>
      </c>
    </row>
    <row r="4658" ht="22.5" customHeight="1">
      <c r="A4658" s="6" t="s">
        <v>21341</v>
      </c>
      <c r="B4658" s="6" t="s">
        <v>10779</v>
      </c>
      <c r="C4658" s="10">
        <v>46085.0</v>
      </c>
      <c r="D4658" s="6" t="s">
        <v>391</v>
      </c>
      <c r="E4658" s="6" t="s">
        <v>466</v>
      </c>
      <c r="F4658" s="6" t="s">
        <v>112</v>
      </c>
      <c r="G4658" s="6" t="s">
        <v>494</v>
      </c>
      <c r="H4658" s="10">
        <v>46088.0</v>
      </c>
      <c r="I4658" s="12">
        <v>11.0</v>
      </c>
      <c r="J4658" s="6" t="s">
        <v>161</v>
      </c>
    </row>
    <row r="4659" ht="22.5" customHeight="1">
      <c r="A4659" s="6" t="s">
        <v>21344</v>
      </c>
      <c r="B4659" s="6" t="s">
        <v>10779</v>
      </c>
      <c r="C4659" s="10">
        <v>46085.0</v>
      </c>
      <c r="D4659" s="6" t="s">
        <v>289</v>
      </c>
      <c r="E4659" s="6" t="s">
        <v>1570</v>
      </c>
      <c r="F4659" s="6" t="s">
        <v>283</v>
      </c>
      <c r="G4659" s="6" t="s">
        <v>494</v>
      </c>
      <c r="H4659" s="10">
        <v>46085.0</v>
      </c>
      <c r="I4659" s="12">
        <v>8.0</v>
      </c>
      <c r="J4659" s="6" t="s">
        <v>161</v>
      </c>
    </row>
    <row r="4660" ht="22.5" customHeight="1">
      <c r="A4660" s="6" t="s">
        <v>21348</v>
      </c>
      <c r="B4660" s="6" t="s">
        <v>10786</v>
      </c>
      <c r="C4660" s="10">
        <v>46076.0</v>
      </c>
      <c r="D4660" s="6" t="s">
        <v>677</v>
      </c>
      <c r="E4660" s="6" t="s">
        <v>695</v>
      </c>
      <c r="F4660" s="6" t="s">
        <v>249</v>
      </c>
      <c r="G4660" s="6" t="s">
        <v>458</v>
      </c>
      <c r="H4660" s="10">
        <v>46077.0</v>
      </c>
      <c r="I4660" s="12">
        <v>2.0</v>
      </c>
      <c r="J4660" s="6" t="s">
        <v>161</v>
      </c>
    </row>
    <row r="4661" ht="22.5" customHeight="1">
      <c r="A4661" s="6" t="s">
        <v>21349</v>
      </c>
      <c r="B4661" s="6" t="s">
        <v>10786</v>
      </c>
      <c r="C4661" s="10">
        <v>46074.0</v>
      </c>
      <c r="D4661" s="6" t="s">
        <v>391</v>
      </c>
      <c r="E4661" s="6" t="s">
        <v>1055</v>
      </c>
      <c r="F4661" s="6" t="s">
        <v>249</v>
      </c>
      <c r="G4661" s="6" t="s">
        <v>297</v>
      </c>
      <c r="H4661" s="10">
        <v>46079.0</v>
      </c>
      <c r="I4661" s="12">
        <v>9.0</v>
      </c>
      <c r="J4661" s="6" t="s">
        <v>161</v>
      </c>
    </row>
    <row r="4662" ht="22.5" customHeight="1">
      <c r="A4662" s="6" t="s">
        <v>21353</v>
      </c>
      <c r="B4662" s="6" t="s">
        <v>10786</v>
      </c>
      <c r="C4662" s="10">
        <v>46067.0</v>
      </c>
      <c r="D4662" s="6" t="s">
        <v>289</v>
      </c>
      <c r="E4662" s="6" t="s">
        <v>687</v>
      </c>
      <c r="F4662" s="6" t="s">
        <v>439</v>
      </c>
      <c r="G4662" s="6" t="s">
        <v>326</v>
      </c>
      <c r="H4662" s="10">
        <v>46068.0</v>
      </c>
      <c r="I4662" s="12">
        <v>5.0</v>
      </c>
      <c r="J4662" s="6" t="s">
        <v>161</v>
      </c>
    </row>
    <row r="4663" ht="22.5" customHeight="1">
      <c r="A4663" s="6" t="s">
        <v>21356</v>
      </c>
      <c r="B4663" s="6" t="s">
        <v>10786</v>
      </c>
      <c r="C4663" s="10">
        <v>46077.0</v>
      </c>
      <c r="D4663" s="6" t="s">
        <v>391</v>
      </c>
      <c r="E4663" s="6" t="s">
        <v>1122</v>
      </c>
      <c r="F4663" s="6" t="s">
        <v>283</v>
      </c>
      <c r="G4663" s="6" t="s">
        <v>452</v>
      </c>
      <c r="H4663" s="10">
        <v>46080.0</v>
      </c>
      <c r="I4663" s="12">
        <v>8.0</v>
      </c>
      <c r="J4663" s="6" t="s">
        <v>161</v>
      </c>
    </row>
    <row r="4664" ht="22.5" customHeight="1">
      <c r="A4664" s="6" t="s">
        <v>21362</v>
      </c>
      <c r="B4664" s="6" t="s">
        <v>10793</v>
      </c>
      <c r="C4664" s="10">
        <v>46084.0</v>
      </c>
      <c r="D4664" s="6" t="s">
        <v>391</v>
      </c>
      <c r="E4664" s="6" t="s">
        <v>1102</v>
      </c>
      <c r="F4664" s="6" t="s">
        <v>249</v>
      </c>
      <c r="G4664" s="6" t="s">
        <v>477</v>
      </c>
      <c r="H4664" s="10">
        <v>46087.0</v>
      </c>
      <c r="I4664" s="12">
        <v>11.0</v>
      </c>
      <c r="J4664" s="6" t="s">
        <v>161</v>
      </c>
    </row>
    <row r="4665" ht="22.5" customHeight="1">
      <c r="A4665" s="6" t="s">
        <v>21363</v>
      </c>
      <c r="B4665" s="6" t="s">
        <v>10793</v>
      </c>
      <c r="C4665" s="10">
        <v>46067.0</v>
      </c>
      <c r="D4665" s="6" t="s">
        <v>289</v>
      </c>
      <c r="E4665" s="6" t="s">
        <v>812</v>
      </c>
      <c r="F4665" s="6" t="s">
        <v>283</v>
      </c>
      <c r="G4665" s="6" t="s">
        <v>297</v>
      </c>
      <c r="H4665" s="10">
        <v>46073.0</v>
      </c>
      <c r="I4665" s="12">
        <v>7.0</v>
      </c>
      <c r="J4665" s="6" t="s">
        <v>161</v>
      </c>
    </row>
    <row r="4666" ht="22.5" customHeight="1">
      <c r="A4666" s="6" t="s">
        <v>21369</v>
      </c>
      <c r="B4666" s="6" t="s">
        <v>10793</v>
      </c>
      <c r="C4666" s="10">
        <v>46073.0</v>
      </c>
      <c r="D4666" s="6" t="s">
        <v>677</v>
      </c>
      <c r="E4666" s="6" t="s">
        <v>365</v>
      </c>
      <c r="F4666" s="6" t="s">
        <v>112</v>
      </c>
      <c r="G4666" s="6" t="s">
        <v>458</v>
      </c>
      <c r="H4666" s="11" t="s">
        <v>259</v>
      </c>
      <c r="I4666" s="12">
        <v>4.0</v>
      </c>
      <c r="J4666" s="6" t="s">
        <v>161</v>
      </c>
    </row>
    <row r="4667" ht="22.5" customHeight="1">
      <c r="A4667" s="6" t="s">
        <v>21372</v>
      </c>
      <c r="B4667" s="6" t="s">
        <v>10799</v>
      </c>
      <c r="C4667" s="10">
        <v>46034.0</v>
      </c>
      <c r="D4667" s="6" t="s">
        <v>242</v>
      </c>
      <c r="E4667" s="6" t="s">
        <v>731</v>
      </c>
      <c r="F4667" s="6" t="s">
        <v>249</v>
      </c>
      <c r="G4667" s="6" t="s">
        <v>452</v>
      </c>
      <c r="H4667" s="10">
        <v>46038.0</v>
      </c>
      <c r="I4667" s="12">
        <v>3.0</v>
      </c>
      <c r="J4667" s="6" t="s">
        <v>178</v>
      </c>
    </row>
    <row r="4668" ht="22.5" customHeight="1">
      <c r="A4668" s="6" t="s">
        <v>21376</v>
      </c>
      <c r="B4668" s="6" t="s">
        <v>10799</v>
      </c>
      <c r="C4668" s="10">
        <v>46043.0</v>
      </c>
      <c r="D4668" s="6" t="s">
        <v>242</v>
      </c>
      <c r="E4668" s="6" t="s">
        <v>1149</v>
      </c>
      <c r="F4668" s="6" t="s">
        <v>283</v>
      </c>
      <c r="G4668" s="6" t="s">
        <v>326</v>
      </c>
      <c r="H4668" s="10">
        <v>46045.0</v>
      </c>
      <c r="I4668" s="12">
        <v>3.0</v>
      </c>
      <c r="J4668" s="6" t="s">
        <v>178</v>
      </c>
    </row>
    <row r="4669" ht="22.5" customHeight="1">
      <c r="A4669" s="6" t="s">
        <v>21378</v>
      </c>
      <c r="B4669" s="6" t="s">
        <v>10805</v>
      </c>
      <c r="C4669" s="10">
        <v>46050.0</v>
      </c>
      <c r="D4669" s="6" t="s">
        <v>416</v>
      </c>
      <c r="E4669" s="6" t="s">
        <v>512</v>
      </c>
      <c r="F4669" s="6" t="s">
        <v>249</v>
      </c>
      <c r="G4669" s="6" t="s">
        <v>477</v>
      </c>
      <c r="H4669" s="10">
        <v>46054.0</v>
      </c>
      <c r="I4669" s="12">
        <v>11.0</v>
      </c>
      <c r="J4669" s="6" t="s">
        <v>161</v>
      </c>
    </row>
    <row r="4670" ht="22.5" customHeight="1">
      <c r="A4670" s="6" t="s">
        <v>21381</v>
      </c>
      <c r="B4670" s="6" t="s">
        <v>10811</v>
      </c>
      <c r="C4670" s="10">
        <v>46073.0</v>
      </c>
      <c r="D4670" s="6" t="s">
        <v>436</v>
      </c>
      <c r="E4670" s="6" t="s">
        <v>798</v>
      </c>
      <c r="F4670" s="6" t="s">
        <v>439</v>
      </c>
      <c r="G4670" s="6" t="s">
        <v>369</v>
      </c>
      <c r="H4670" s="10">
        <v>46077.0</v>
      </c>
      <c r="I4670" s="12">
        <v>12.0</v>
      </c>
      <c r="J4670" s="6" t="s">
        <v>178</v>
      </c>
    </row>
    <row r="4671" ht="22.5" customHeight="1">
      <c r="A4671" s="6" t="s">
        <v>21384</v>
      </c>
      <c r="B4671" s="6" t="s">
        <v>10811</v>
      </c>
      <c r="C4671" s="10">
        <v>46074.0</v>
      </c>
      <c r="D4671" s="6" t="s">
        <v>391</v>
      </c>
      <c r="E4671" s="6" t="s">
        <v>1570</v>
      </c>
      <c r="F4671" s="6" t="s">
        <v>112</v>
      </c>
      <c r="G4671" s="6" t="s">
        <v>297</v>
      </c>
      <c r="H4671" s="11" t="s">
        <v>259</v>
      </c>
      <c r="I4671" s="12">
        <v>6.0</v>
      </c>
      <c r="J4671" s="6" t="s">
        <v>161</v>
      </c>
    </row>
    <row r="4672" ht="22.5" customHeight="1">
      <c r="A4672" s="6" t="s">
        <v>21387</v>
      </c>
      <c r="B4672" s="6" t="s">
        <v>10811</v>
      </c>
      <c r="C4672" s="10">
        <v>46068.0</v>
      </c>
      <c r="D4672" s="6" t="s">
        <v>289</v>
      </c>
      <c r="E4672" s="6" t="s">
        <v>798</v>
      </c>
      <c r="F4672" s="6" t="s">
        <v>283</v>
      </c>
      <c r="G4672" s="6" t="s">
        <v>458</v>
      </c>
      <c r="H4672" s="10">
        <v>46072.0</v>
      </c>
      <c r="I4672" s="12">
        <v>8.0</v>
      </c>
      <c r="J4672" s="6" t="s">
        <v>161</v>
      </c>
    </row>
    <row r="4673" ht="22.5" customHeight="1">
      <c r="A4673" s="6" t="s">
        <v>21390</v>
      </c>
      <c r="B4673" s="6" t="s">
        <v>10811</v>
      </c>
      <c r="C4673" s="10">
        <v>46083.0</v>
      </c>
      <c r="D4673" s="6" t="s">
        <v>391</v>
      </c>
      <c r="E4673" s="6" t="s">
        <v>1570</v>
      </c>
      <c r="F4673" s="6" t="s">
        <v>249</v>
      </c>
      <c r="G4673" s="6" t="s">
        <v>494</v>
      </c>
      <c r="H4673" s="10">
        <v>46090.0</v>
      </c>
      <c r="I4673" s="12">
        <v>10.0</v>
      </c>
      <c r="J4673" s="6" t="s">
        <v>161</v>
      </c>
    </row>
    <row r="4674" ht="22.5" customHeight="1">
      <c r="A4674" s="6" t="s">
        <v>21392</v>
      </c>
      <c r="B4674" s="6" t="s">
        <v>10811</v>
      </c>
      <c r="C4674" s="10">
        <v>46066.0</v>
      </c>
      <c r="D4674" s="6" t="s">
        <v>242</v>
      </c>
      <c r="E4674" s="6" t="s">
        <v>394</v>
      </c>
      <c r="F4674" s="6" t="s">
        <v>112</v>
      </c>
      <c r="G4674" s="6" t="s">
        <v>297</v>
      </c>
      <c r="H4674" s="10">
        <v>46069.0</v>
      </c>
      <c r="I4674" s="12">
        <v>3.0</v>
      </c>
      <c r="J4674" s="6" t="s">
        <v>178</v>
      </c>
    </row>
    <row r="4675" ht="22.5" customHeight="1">
      <c r="A4675" s="6" t="s">
        <v>21394</v>
      </c>
      <c r="B4675" s="6" t="s">
        <v>10818</v>
      </c>
      <c r="C4675" s="10">
        <v>46058.0</v>
      </c>
      <c r="D4675" s="6" t="s">
        <v>391</v>
      </c>
      <c r="E4675" s="6" t="s">
        <v>731</v>
      </c>
      <c r="F4675" s="6" t="s">
        <v>283</v>
      </c>
      <c r="G4675" s="6" t="s">
        <v>452</v>
      </c>
      <c r="H4675" s="10">
        <v>46063.0</v>
      </c>
      <c r="I4675" s="12">
        <v>11.0</v>
      </c>
      <c r="J4675" s="6" t="s">
        <v>161</v>
      </c>
    </row>
    <row r="4676" ht="22.5" customHeight="1">
      <c r="A4676" s="6" t="s">
        <v>21398</v>
      </c>
      <c r="B4676" s="6" t="s">
        <v>10823</v>
      </c>
      <c r="C4676" s="10">
        <v>46055.0</v>
      </c>
      <c r="D4676" s="6" t="s">
        <v>312</v>
      </c>
      <c r="E4676" s="6" t="s">
        <v>1517</v>
      </c>
      <c r="F4676" s="6" t="s">
        <v>249</v>
      </c>
      <c r="G4676" s="6" t="s">
        <v>326</v>
      </c>
      <c r="H4676" s="10">
        <v>46055.0</v>
      </c>
      <c r="I4676" s="12">
        <v>6.0</v>
      </c>
      <c r="J4676" s="6" t="s">
        <v>161</v>
      </c>
    </row>
    <row r="4677" ht="22.5" customHeight="1">
      <c r="A4677" s="6" t="s">
        <v>21403</v>
      </c>
      <c r="B4677" s="6" t="s">
        <v>10830</v>
      </c>
      <c r="C4677" s="10">
        <v>46062.0</v>
      </c>
      <c r="D4677" s="6" t="s">
        <v>312</v>
      </c>
      <c r="E4677" s="6" t="s">
        <v>618</v>
      </c>
      <c r="F4677" s="6" t="s">
        <v>249</v>
      </c>
      <c r="G4677" s="6" t="s">
        <v>458</v>
      </c>
      <c r="H4677" s="11" t="s">
        <v>259</v>
      </c>
      <c r="I4677" s="12">
        <v>6.0</v>
      </c>
      <c r="J4677" s="6" t="s">
        <v>161</v>
      </c>
    </row>
    <row r="4678" ht="22.5" customHeight="1">
      <c r="A4678" s="6" t="s">
        <v>21405</v>
      </c>
      <c r="B4678" s="6" t="s">
        <v>10830</v>
      </c>
      <c r="C4678" s="10">
        <v>46061.0</v>
      </c>
      <c r="D4678" s="6" t="s">
        <v>312</v>
      </c>
      <c r="E4678" s="6" t="s">
        <v>812</v>
      </c>
      <c r="F4678" s="6" t="s">
        <v>112</v>
      </c>
      <c r="G4678" s="6" t="s">
        <v>494</v>
      </c>
      <c r="H4678" s="10">
        <v>46065.0</v>
      </c>
      <c r="I4678" s="12">
        <v>4.0</v>
      </c>
      <c r="J4678" s="6" t="s">
        <v>161</v>
      </c>
    </row>
    <row r="4679" ht="22.5" customHeight="1">
      <c r="A4679" s="6" t="s">
        <v>21408</v>
      </c>
      <c r="B4679" s="6" t="s">
        <v>10830</v>
      </c>
      <c r="C4679" s="10">
        <v>46067.0</v>
      </c>
      <c r="D4679" s="6" t="s">
        <v>312</v>
      </c>
      <c r="E4679" s="6" t="s">
        <v>812</v>
      </c>
      <c r="F4679" s="6" t="s">
        <v>249</v>
      </c>
      <c r="G4679" s="6" t="s">
        <v>458</v>
      </c>
      <c r="H4679" s="10">
        <v>46074.0</v>
      </c>
      <c r="I4679" s="12">
        <v>4.0</v>
      </c>
      <c r="J4679" s="6" t="s">
        <v>161</v>
      </c>
    </row>
    <row r="4680" ht="22.5" customHeight="1">
      <c r="A4680" s="6" t="s">
        <v>21412</v>
      </c>
      <c r="B4680" s="6" t="s">
        <v>10837</v>
      </c>
      <c r="C4680" s="10">
        <v>46072.0</v>
      </c>
      <c r="D4680" s="6" t="s">
        <v>436</v>
      </c>
      <c r="E4680" s="6" t="s">
        <v>716</v>
      </c>
      <c r="F4680" s="6" t="s">
        <v>249</v>
      </c>
      <c r="G4680" s="6" t="s">
        <v>458</v>
      </c>
      <c r="H4680" s="10">
        <v>46078.0</v>
      </c>
      <c r="I4680" s="12">
        <v>11.0</v>
      </c>
      <c r="J4680" s="6" t="s">
        <v>178</v>
      </c>
    </row>
    <row r="4681" ht="22.5" customHeight="1">
      <c r="A4681" s="6" t="s">
        <v>21415</v>
      </c>
      <c r="B4681" s="6" t="s">
        <v>10837</v>
      </c>
      <c r="C4681" s="10">
        <v>46067.0</v>
      </c>
      <c r="D4681" s="6" t="s">
        <v>436</v>
      </c>
      <c r="E4681" s="6" t="s">
        <v>787</v>
      </c>
      <c r="F4681" s="6" t="s">
        <v>283</v>
      </c>
      <c r="G4681" s="6" t="s">
        <v>369</v>
      </c>
      <c r="H4681" s="10">
        <v>46071.0</v>
      </c>
      <c r="I4681" s="12">
        <v>10.0</v>
      </c>
      <c r="J4681" s="6" t="s">
        <v>161</v>
      </c>
    </row>
    <row r="4682" ht="22.5" customHeight="1">
      <c r="A4682" s="6" t="s">
        <v>21419</v>
      </c>
      <c r="B4682" s="6" t="s">
        <v>10843</v>
      </c>
      <c r="C4682" s="10">
        <v>46028.0</v>
      </c>
      <c r="D4682" s="6" t="s">
        <v>677</v>
      </c>
      <c r="E4682" s="6" t="s">
        <v>1600</v>
      </c>
      <c r="F4682" s="6" t="s">
        <v>439</v>
      </c>
      <c r="G4682" s="6" t="s">
        <v>326</v>
      </c>
      <c r="H4682" s="10">
        <v>46034.0</v>
      </c>
      <c r="I4682" s="12">
        <v>3.0</v>
      </c>
      <c r="J4682" s="6" t="s">
        <v>161</v>
      </c>
    </row>
    <row r="4683" ht="22.5" customHeight="1">
      <c r="A4683" s="6" t="s">
        <v>21421</v>
      </c>
      <c r="B4683" s="6" t="s">
        <v>10850</v>
      </c>
      <c r="C4683" s="10">
        <v>46033.0</v>
      </c>
      <c r="D4683" s="6" t="s">
        <v>312</v>
      </c>
      <c r="E4683" s="6" t="s">
        <v>1102</v>
      </c>
      <c r="F4683" s="6" t="s">
        <v>112</v>
      </c>
      <c r="G4683" s="6" t="s">
        <v>452</v>
      </c>
      <c r="H4683" s="10">
        <v>46038.0</v>
      </c>
      <c r="I4683" s="12">
        <v>7.0</v>
      </c>
      <c r="J4683" s="6" t="s">
        <v>161</v>
      </c>
    </row>
    <row r="4684" ht="22.5" customHeight="1">
      <c r="A4684" s="6" t="s">
        <v>21423</v>
      </c>
      <c r="B4684" s="6" t="s">
        <v>10850</v>
      </c>
      <c r="C4684" s="10">
        <v>46041.0</v>
      </c>
      <c r="D4684" s="6" t="s">
        <v>677</v>
      </c>
      <c r="E4684" s="6" t="s">
        <v>885</v>
      </c>
      <c r="F4684" s="6" t="s">
        <v>249</v>
      </c>
      <c r="G4684" s="6" t="s">
        <v>452</v>
      </c>
      <c r="H4684" s="10">
        <v>46043.0</v>
      </c>
      <c r="I4684" s="12">
        <v>3.0</v>
      </c>
      <c r="J4684" s="6" t="s">
        <v>161</v>
      </c>
    </row>
    <row r="4685" ht="22.5" customHeight="1">
      <c r="A4685" s="6" t="s">
        <v>21427</v>
      </c>
      <c r="B4685" s="6" t="s">
        <v>10850</v>
      </c>
      <c r="C4685" s="10">
        <v>46030.0</v>
      </c>
      <c r="D4685" s="6" t="s">
        <v>391</v>
      </c>
      <c r="E4685" s="6" t="s">
        <v>695</v>
      </c>
      <c r="F4685" s="6" t="s">
        <v>112</v>
      </c>
      <c r="G4685" s="6" t="s">
        <v>369</v>
      </c>
      <c r="H4685" s="11" t="s">
        <v>259</v>
      </c>
      <c r="I4685" s="12">
        <v>10.0</v>
      </c>
      <c r="J4685" s="6" t="s">
        <v>161</v>
      </c>
    </row>
    <row r="4686" ht="22.5" customHeight="1">
      <c r="A4686" s="6" t="s">
        <v>21429</v>
      </c>
      <c r="B4686" s="6" t="s">
        <v>10855</v>
      </c>
      <c r="C4686" s="10">
        <v>46056.0</v>
      </c>
      <c r="D4686" s="6" t="s">
        <v>416</v>
      </c>
      <c r="E4686" s="6" t="s">
        <v>466</v>
      </c>
      <c r="F4686" s="6" t="s">
        <v>249</v>
      </c>
      <c r="G4686" s="6" t="s">
        <v>297</v>
      </c>
      <c r="H4686" s="10">
        <v>46063.0</v>
      </c>
      <c r="I4686" s="12">
        <v>9.0</v>
      </c>
      <c r="J4686" s="6" t="s">
        <v>161</v>
      </c>
    </row>
    <row r="4687" ht="22.5" customHeight="1">
      <c r="A4687" s="6" t="s">
        <v>21432</v>
      </c>
      <c r="B4687" s="6" t="s">
        <v>10863</v>
      </c>
      <c r="C4687" s="10">
        <v>46053.0</v>
      </c>
      <c r="D4687" s="6" t="s">
        <v>677</v>
      </c>
      <c r="E4687" s="6" t="s">
        <v>1310</v>
      </c>
      <c r="F4687" s="6" t="s">
        <v>249</v>
      </c>
      <c r="G4687" s="6" t="s">
        <v>326</v>
      </c>
      <c r="H4687" s="10">
        <v>46054.0</v>
      </c>
      <c r="I4687" s="12">
        <v>4.0</v>
      </c>
      <c r="J4687" s="6" t="s">
        <v>161</v>
      </c>
    </row>
    <row r="4688" ht="22.5" customHeight="1">
      <c r="A4688" s="6" t="s">
        <v>21435</v>
      </c>
      <c r="B4688" s="6" t="s">
        <v>10869</v>
      </c>
      <c r="C4688" s="10">
        <v>46064.0</v>
      </c>
      <c r="D4688" s="6" t="s">
        <v>677</v>
      </c>
      <c r="E4688" s="6" t="s">
        <v>438</v>
      </c>
      <c r="F4688" s="6" t="s">
        <v>249</v>
      </c>
      <c r="G4688" s="6" t="s">
        <v>326</v>
      </c>
      <c r="H4688" s="10">
        <v>46065.0</v>
      </c>
      <c r="I4688" s="12">
        <v>3.0</v>
      </c>
      <c r="J4688" s="6" t="s">
        <v>161</v>
      </c>
    </row>
    <row r="4689" ht="22.5" customHeight="1">
      <c r="A4689" s="6" t="s">
        <v>21438</v>
      </c>
      <c r="B4689" s="6" t="s">
        <v>10875</v>
      </c>
      <c r="C4689" s="10">
        <v>46086.0</v>
      </c>
      <c r="D4689" s="6" t="s">
        <v>289</v>
      </c>
      <c r="E4689" s="6" t="s">
        <v>787</v>
      </c>
      <c r="F4689" s="6" t="s">
        <v>249</v>
      </c>
      <c r="G4689" s="6" t="s">
        <v>326</v>
      </c>
      <c r="H4689" s="10">
        <v>46090.0</v>
      </c>
      <c r="I4689" s="12">
        <v>9.0</v>
      </c>
      <c r="J4689" s="6" t="s">
        <v>161</v>
      </c>
    </row>
    <row r="4690" ht="22.5" customHeight="1">
      <c r="A4690" s="6" t="s">
        <v>21442</v>
      </c>
      <c r="B4690" s="6" t="s">
        <v>10880</v>
      </c>
      <c r="C4690" s="10">
        <v>46049.0</v>
      </c>
      <c r="D4690" s="6" t="s">
        <v>242</v>
      </c>
      <c r="E4690" s="6" t="s">
        <v>833</v>
      </c>
      <c r="F4690" s="6" t="s">
        <v>249</v>
      </c>
      <c r="G4690" s="6" t="s">
        <v>477</v>
      </c>
      <c r="H4690" s="10">
        <v>46051.0</v>
      </c>
      <c r="I4690" s="12">
        <v>3.0</v>
      </c>
      <c r="J4690" s="6" t="s">
        <v>178</v>
      </c>
    </row>
    <row r="4691" ht="22.5" customHeight="1">
      <c r="A4691" s="6" t="s">
        <v>21443</v>
      </c>
      <c r="B4691" s="6" t="s">
        <v>10880</v>
      </c>
      <c r="C4691" s="10">
        <v>46055.0</v>
      </c>
      <c r="D4691" s="6" t="s">
        <v>677</v>
      </c>
      <c r="E4691" s="6" t="s">
        <v>450</v>
      </c>
      <c r="F4691" s="6" t="s">
        <v>249</v>
      </c>
      <c r="G4691" s="6" t="s">
        <v>297</v>
      </c>
      <c r="H4691" s="10">
        <v>46061.0</v>
      </c>
      <c r="I4691" s="12">
        <v>3.0</v>
      </c>
      <c r="J4691" s="6" t="s">
        <v>161</v>
      </c>
    </row>
    <row r="4692" ht="22.5" customHeight="1">
      <c r="A4692" s="6" t="s">
        <v>21447</v>
      </c>
      <c r="B4692" s="6" t="s">
        <v>10880</v>
      </c>
      <c r="C4692" s="10">
        <v>46055.0</v>
      </c>
      <c r="D4692" s="6" t="s">
        <v>289</v>
      </c>
      <c r="E4692" s="6" t="s">
        <v>2881</v>
      </c>
      <c r="F4692" s="6" t="s">
        <v>283</v>
      </c>
      <c r="G4692" s="6" t="s">
        <v>477</v>
      </c>
      <c r="H4692" s="10">
        <v>46061.0</v>
      </c>
      <c r="I4692" s="12">
        <v>9.0</v>
      </c>
      <c r="J4692" s="6" t="s">
        <v>161</v>
      </c>
    </row>
    <row r="4693" ht="22.5" customHeight="1">
      <c r="A4693" s="6" t="s">
        <v>21450</v>
      </c>
      <c r="B4693" s="6" t="s">
        <v>10880</v>
      </c>
      <c r="C4693" s="10">
        <v>46040.0</v>
      </c>
      <c r="D4693" s="6" t="s">
        <v>312</v>
      </c>
      <c r="E4693" s="6" t="s">
        <v>775</v>
      </c>
      <c r="F4693" s="6" t="s">
        <v>283</v>
      </c>
      <c r="G4693" s="6" t="s">
        <v>458</v>
      </c>
      <c r="H4693" s="10">
        <v>46041.0</v>
      </c>
      <c r="I4693" s="12">
        <v>5.0</v>
      </c>
      <c r="J4693" s="6" t="s">
        <v>161</v>
      </c>
    </row>
    <row r="4694" ht="22.5" customHeight="1">
      <c r="A4694" s="6" t="s">
        <v>21453</v>
      </c>
      <c r="B4694" s="6" t="s">
        <v>10887</v>
      </c>
      <c r="C4694" s="10">
        <v>46026.0</v>
      </c>
      <c r="D4694" s="6" t="s">
        <v>391</v>
      </c>
      <c r="E4694" s="6" t="s">
        <v>687</v>
      </c>
      <c r="F4694" s="6" t="s">
        <v>249</v>
      </c>
      <c r="G4694" s="6" t="s">
        <v>254</v>
      </c>
      <c r="H4694" s="10">
        <v>46031.0</v>
      </c>
      <c r="I4694" s="12">
        <v>6.0</v>
      </c>
      <c r="J4694" s="6" t="s">
        <v>161</v>
      </c>
    </row>
    <row r="4695" ht="22.5" customHeight="1">
      <c r="A4695" s="6" t="s">
        <v>21457</v>
      </c>
      <c r="B4695" s="6" t="s">
        <v>10887</v>
      </c>
      <c r="C4695" s="10">
        <v>46036.0</v>
      </c>
      <c r="D4695" s="6" t="s">
        <v>242</v>
      </c>
      <c r="E4695" s="6" t="s">
        <v>320</v>
      </c>
      <c r="F4695" s="6" t="s">
        <v>439</v>
      </c>
      <c r="G4695" s="6" t="s">
        <v>477</v>
      </c>
      <c r="H4695" s="10">
        <v>46039.0</v>
      </c>
      <c r="I4695" s="12">
        <v>5.0</v>
      </c>
      <c r="J4695" s="6" t="s">
        <v>161</v>
      </c>
    </row>
    <row r="4696" ht="22.5" customHeight="1">
      <c r="A4696" s="6" t="s">
        <v>21458</v>
      </c>
      <c r="B4696" s="6" t="s">
        <v>10887</v>
      </c>
      <c r="C4696" s="10">
        <v>46028.0</v>
      </c>
      <c r="D4696" s="6" t="s">
        <v>416</v>
      </c>
      <c r="E4696" s="6" t="s">
        <v>450</v>
      </c>
      <c r="F4696" s="6" t="s">
        <v>439</v>
      </c>
      <c r="G4696" s="6" t="s">
        <v>297</v>
      </c>
      <c r="H4696" s="10">
        <v>46030.0</v>
      </c>
      <c r="I4696" s="12">
        <v>14.0</v>
      </c>
      <c r="J4696" s="6" t="s">
        <v>161</v>
      </c>
    </row>
    <row r="4697" ht="22.5" customHeight="1">
      <c r="A4697" s="6" t="s">
        <v>21461</v>
      </c>
      <c r="B4697" s="6" t="s">
        <v>10893</v>
      </c>
      <c r="C4697" s="10">
        <v>46032.0</v>
      </c>
      <c r="D4697" s="6" t="s">
        <v>391</v>
      </c>
      <c r="E4697" s="6" t="s">
        <v>1741</v>
      </c>
      <c r="F4697" s="6" t="s">
        <v>283</v>
      </c>
      <c r="G4697" s="6" t="s">
        <v>458</v>
      </c>
      <c r="H4697" s="10">
        <v>46037.0</v>
      </c>
      <c r="I4697" s="12">
        <v>10.0</v>
      </c>
      <c r="J4697" s="6" t="s">
        <v>161</v>
      </c>
    </row>
    <row r="4698" ht="22.5" customHeight="1">
      <c r="A4698" s="6" t="s">
        <v>21466</v>
      </c>
      <c r="B4698" s="6" t="s">
        <v>10900</v>
      </c>
      <c r="C4698" s="10">
        <v>46085.0</v>
      </c>
      <c r="D4698" s="6" t="s">
        <v>289</v>
      </c>
      <c r="E4698" s="6" t="s">
        <v>687</v>
      </c>
      <c r="F4698" s="6" t="s">
        <v>439</v>
      </c>
      <c r="G4698" s="6" t="s">
        <v>254</v>
      </c>
      <c r="H4698" s="10">
        <v>46086.0</v>
      </c>
      <c r="I4698" s="12">
        <v>8.0</v>
      </c>
      <c r="J4698" s="6" t="s">
        <v>161</v>
      </c>
    </row>
    <row r="4699" ht="22.5" customHeight="1">
      <c r="A4699" s="6" t="s">
        <v>21471</v>
      </c>
      <c r="B4699" s="6" t="s">
        <v>10900</v>
      </c>
      <c r="C4699" s="10">
        <v>46065.0</v>
      </c>
      <c r="D4699" s="6" t="s">
        <v>436</v>
      </c>
      <c r="E4699" s="6" t="s">
        <v>775</v>
      </c>
      <c r="F4699" s="6" t="s">
        <v>112</v>
      </c>
      <c r="G4699" s="6" t="s">
        <v>477</v>
      </c>
      <c r="H4699" s="10">
        <v>46069.0</v>
      </c>
      <c r="I4699" s="12">
        <v>11.0</v>
      </c>
      <c r="J4699" s="6" t="s">
        <v>178</v>
      </c>
    </row>
    <row r="4700" ht="22.5" customHeight="1">
      <c r="A4700" s="6" t="s">
        <v>21474</v>
      </c>
      <c r="B4700" s="6" t="s">
        <v>10900</v>
      </c>
      <c r="C4700" s="10">
        <v>46067.0</v>
      </c>
      <c r="D4700" s="6" t="s">
        <v>242</v>
      </c>
      <c r="E4700" s="6" t="s">
        <v>1741</v>
      </c>
      <c r="F4700" s="6" t="s">
        <v>283</v>
      </c>
      <c r="G4700" s="6" t="s">
        <v>254</v>
      </c>
      <c r="H4700" s="10">
        <v>46067.0</v>
      </c>
      <c r="I4700" s="12">
        <v>6.0</v>
      </c>
      <c r="J4700" s="6" t="s">
        <v>178</v>
      </c>
    </row>
    <row r="4701" ht="22.5" customHeight="1">
      <c r="A4701" s="6" t="s">
        <v>21478</v>
      </c>
      <c r="B4701" s="6" t="s">
        <v>10900</v>
      </c>
      <c r="C4701" s="10">
        <v>46076.0</v>
      </c>
      <c r="D4701" s="6" t="s">
        <v>242</v>
      </c>
      <c r="E4701" s="6" t="s">
        <v>394</v>
      </c>
      <c r="F4701" s="6" t="s">
        <v>249</v>
      </c>
      <c r="G4701" s="6" t="s">
        <v>326</v>
      </c>
      <c r="H4701" s="10">
        <v>46080.0</v>
      </c>
      <c r="I4701" s="12">
        <v>6.0</v>
      </c>
      <c r="J4701" s="6" t="s">
        <v>161</v>
      </c>
    </row>
    <row r="4702" ht="22.5" customHeight="1">
      <c r="A4702" s="6" t="s">
        <v>21480</v>
      </c>
      <c r="B4702" s="6" t="s">
        <v>10906</v>
      </c>
      <c r="C4702" s="10">
        <v>46049.0</v>
      </c>
      <c r="D4702" s="6" t="s">
        <v>242</v>
      </c>
      <c r="E4702" s="6" t="s">
        <v>1600</v>
      </c>
      <c r="F4702" s="6" t="s">
        <v>439</v>
      </c>
      <c r="G4702" s="6" t="s">
        <v>458</v>
      </c>
      <c r="H4702" s="10">
        <v>46049.0</v>
      </c>
      <c r="I4702" s="12">
        <v>6.0</v>
      </c>
      <c r="J4702" s="6" t="s">
        <v>161</v>
      </c>
    </row>
    <row r="4703" ht="22.5" customHeight="1">
      <c r="A4703" s="6" t="s">
        <v>21484</v>
      </c>
      <c r="B4703" s="6" t="s">
        <v>10913</v>
      </c>
      <c r="C4703" s="10">
        <v>46054.0</v>
      </c>
      <c r="D4703" s="6" t="s">
        <v>242</v>
      </c>
      <c r="E4703" s="6" t="s">
        <v>833</v>
      </c>
      <c r="F4703" s="6" t="s">
        <v>439</v>
      </c>
      <c r="G4703" s="6" t="s">
        <v>477</v>
      </c>
      <c r="H4703" s="10">
        <v>46054.0</v>
      </c>
      <c r="I4703" s="12">
        <v>6.0</v>
      </c>
      <c r="J4703" s="6" t="s">
        <v>178</v>
      </c>
    </row>
    <row r="4704" ht="22.5" customHeight="1">
      <c r="A4704" s="6" t="s">
        <v>21487</v>
      </c>
      <c r="B4704" s="6" t="s">
        <v>10919</v>
      </c>
      <c r="C4704" s="10">
        <v>46054.0</v>
      </c>
      <c r="D4704" s="6" t="s">
        <v>312</v>
      </c>
      <c r="E4704" s="6" t="s">
        <v>1546</v>
      </c>
      <c r="F4704" s="6" t="s">
        <v>439</v>
      </c>
      <c r="G4704" s="6" t="s">
        <v>254</v>
      </c>
      <c r="H4704" s="10">
        <v>46054.0</v>
      </c>
      <c r="I4704" s="12">
        <v>7.0</v>
      </c>
      <c r="J4704" s="6" t="s">
        <v>161</v>
      </c>
    </row>
    <row r="4705" ht="22.5" customHeight="1">
      <c r="A4705" s="6" t="s">
        <v>21491</v>
      </c>
      <c r="B4705" s="6" t="s">
        <v>10919</v>
      </c>
      <c r="C4705" s="10">
        <v>46057.0</v>
      </c>
      <c r="D4705" s="6" t="s">
        <v>289</v>
      </c>
      <c r="E4705" s="6" t="s">
        <v>1310</v>
      </c>
      <c r="F4705" s="6" t="s">
        <v>249</v>
      </c>
      <c r="G4705" s="6" t="s">
        <v>297</v>
      </c>
      <c r="H4705" s="10">
        <v>46062.0</v>
      </c>
      <c r="I4705" s="12">
        <v>5.0</v>
      </c>
      <c r="J4705" s="6" t="s">
        <v>161</v>
      </c>
    </row>
    <row r="4706" ht="22.5" customHeight="1">
      <c r="A4706" s="6" t="s">
        <v>21492</v>
      </c>
      <c r="B4706" s="6" t="s">
        <v>10919</v>
      </c>
      <c r="C4706" s="10">
        <v>46043.0</v>
      </c>
      <c r="D4706" s="6" t="s">
        <v>436</v>
      </c>
      <c r="E4706" s="6" t="s">
        <v>1149</v>
      </c>
      <c r="F4706" s="6" t="s">
        <v>283</v>
      </c>
      <c r="G4706" s="6" t="s">
        <v>326</v>
      </c>
      <c r="H4706" s="10">
        <v>46047.0</v>
      </c>
      <c r="I4706" s="12">
        <v>11.0</v>
      </c>
      <c r="J4706" s="6" t="s">
        <v>178</v>
      </c>
    </row>
    <row r="4707" ht="22.5" customHeight="1">
      <c r="A4707" s="6" t="s">
        <v>21496</v>
      </c>
      <c r="B4707" s="6" t="s">
        <v>10919</v>
      </c>
      <c r="C4707" s="10">
        <v>46062.0</v>
      </c>
      <c r="D4707" s="6" t="s">
        <v>242</v>
      </c>
      <c r="E4707" s="6" t="s">
        <v>450</v>
      </c>
      <c r="F4707" s="6" t="s">
        <v>439</v>
      </c>
      <c r="G4707" s="6" t="s">
        <v>254</v>
      </c>
      <c r="H4707" s="10">
        <v>46066.0</v>
      </c>
      <c r="I4707" s="12">
        <v>5.0</v>
      </c>
      <c r="J4707" s="6" t="s">
        <v>178</v>
      </c>
    </row>
    <row r="4708" ht="22.5" customHeight="1">
      <c r="A4708" s="6" t="s">
        <v>21501</v>
      </c>
      <c r="B4708" s="6" t="s">
        <v>10925</v>
      </c>
      <c r="C4708" s="10">
        <v>46048.0</v>
      </c>
      <c r="D4708" s="6" t="s">
        <v>289</v>
      </c>
      <c r="E4708" s="6" t="s">
        <v>1310</v>
      </c>
      <c r="F4708" s="6" t="s">
        <v>283</v>
      </c>
      <c r="G4708" s="6" t="s">
        <v>254</v>
      </c>
      <c r="H4708" s="10">
        <v>46051.0</v>
      </c>
      <c r="I4708" s="12">
        <v>5.0</v>
      </c>
      <c r="J4708" s="6" t="s">
        <v>161</v>
      </c>
    </row>
    <row r="4709" ht="22.5" customHeight="1">
      <c r="A4709" s="6" t="s">
        <v>21505</v>
      </c>
      <c r="B4709" s="6" t="s">
        <v>10925</v>
      </c>
      <c r="C4709" s="10">
        <v>46059.0</v>
      </c>
      <c r="D4709" s="6" t="s">
        <v>312</v>
      </c>
      <c r="E4709" s="6" t="s">
        <v>394</v>
      </c>
      <c r="F4709" s="6" t="s">
        <v>249</v>
      </c>
      <c r="G4709" s="6" t="s">
        <v>326</v>
      </c>
      <c r="H4709" s="10">
        <v>46063.0</v>
      </c>
      <c r="I4709" s="12">
        <v>5.0</v>
      </c>
      <c r="J4709" s="6" t="s">
        <v>161</v>
      </c>
    </row>
    <row r="4710" ht="22.5" customHeight="1">
      <c r="A4710" s="6" t="s">
        <v>21508</v>
      </c>
      <c r="B4710" s="6" t="s">
        <v>10925</v>
      </c>
      <c r="C4710" s="10">
        <v>46042.0</v>
      </c>
      <c r="D4710" s="6" t="s">
        <v>416</v>
      </c>
      <c r="E4710" s="6" t="s">
        <v>833</v>
      </c>
      <c r="F4710" s="6" t="s">
        <v>439</v>
      </c>
      <c r="G4710" s="6" t="s">
        <v>477</v>
      </c>
      <c r="H4710" s="10">
        <v>46049.0</v>
      </c>
      <c r="I4710" s="12">
        <v>11.0</v>
      </c>
      <c r="J4710" s="6" t="s">
        <v>161</v>
      </c>
    </row>
    <row r="4711" ht="22.5" customHeight="1">
      <c r="A4711" s="6" t="s">
        <v>21512</v>
      </c>
      <c r="B4711" s="6" t="s">
        <v>10931</v>
      </c>
      <c r="C4711" s="10">
        <v>46080.0</v>
      </c>
      <c r="D4711" s="6" t="s">
        <v>312</v>
      </c>
      <c r="E4711" s="6" t="s">
        <v>1055</v>
      </c>
      <c r="F4711" s="6" t="s">
        <v>283</v>
      </c>
      <c r="G4711" s="6" t="s">
        <v>477</v>
      </c>
      <c r="H4711" s="10">
        <v>46082.0</v>
      </c>
      <c r="I4711" s="12">
        <v>6.0</v>
      </c>
      <c r="J4711" s="6" t="s">
        <v>161</v>
      </c>
    </row>
    <row r="4712" ht="22.5" customHeight="1">
      <c r="A4712" s="6" t="s">
        <v>21517</v>
      </c>
      <c r="B4712" s="6" t="s">
        <v>10931</v>
      </c>
      <c r="C4712" s="10">
        <v>46070.0</v>
      </c>
      <c r="D4712" s="6" t="s">
        <v>436</v>
      </c>
      <c r="E4712" s="6" t="s">
        <v>1122</v>
      </c>
      <c r="F4712" s="6" t="s">
        <v>283</v>
      </c>
      <c r="G4712" s="6" t="s">
        <v>477</v>
      </c>
      <c r="H4712" s="10">
        <v>46071.0</v>
      </c>
      <c r="I4712" s="12">
        <v>9.0</v>
      </c>
      <c r="J4712" s="6" t="s">
        <v>178</v>
      </c>
    </row>
    <row r="4713" ht="22.5" customHeight="1">
      <c r="A4713" s="6" t="s">
        <v>21521</v>
      </c>
      <c r="B4713" s="6" t="s">
        <v>10931</v>
      </c>
      <c r="C4713" s="10">
        <v>46065.0</v>
      </c>
      <c r="D4713" s="6" t="s">
        <v>436</v>
      </c>
      <c r="E4713" s="6" t="s">
        <v>417</v>
      </c>
      <c r="F4713" s="6" t="s">
        <v>283</v>
      </c>
      <c r="G4713" s="6" t="s">
        <v>297</v>
      </c>
      <c r="H4713" s="10">
        <v>46066.0</v>
      </c>
      <c r="I4713" s="12">
        <v>11.0</v>
      </c>
      <c r="J4713" s="6" t="s">
        <v>161</v>
      </c>
    </row>
    <row r="4714" ht="22.5" customHeight="1">
      <c r="A4714" s="6" t="s">
        <v>21522</v>
      </c>
      <c r="B4714" s="6" t="s">
        <v>10938</v>
      </c>
      <c r="C4714" s="10">
        <v>46071.0</v>
      </c>
      <c r="D4714" s="6" t="s">
        <v>436</v>
      </c>
      <c r="E4714" s="6" t="s">
        <v>417</v>
      </c>
      <c r="F4714" s="6" t="s">
        <v>439</v>
      </c>
      <c r="G4714" s="6" t="s">
        <v>494</v>
      </c>
      <c r="H4714" s="10">
        <v>46071.0</v>
      </c>
      <c r="I4714" s="12">
        <v>8.0</v>
      </c>
      <c r="J4714" s="6" t="s">
        <v>178</v>
      </c>
    </row>
    <row r="4715" ht="22.5" customHeight="1">
      <c r="A4715" s="6" t="s">
        <v>21523</v>
      </c>
      <c r="B4715" s="6" t="s">
        <v>10944</v>
      </c>
      <c r="C4715" s="10">
        <v>46030.0</v>
      </c>
      <c r="D4715" s="6" t="s">
        <v>289</v>
      </c>
      <c r="E4715" s="6" t="s">
        <v>1720</v>
      </c>
      <c r="F4715" s="6" t="s">
        <v>249</v>
      </c>
      <c r="G4715" s="6" t="s">
        <v>458</v>
      </c>
      <c r="H4715" s="10">
        <v>46032.0</v>
      </c>
      <c r="I4715" s="12">
        <v>6.0</v>
      </c>
      <c r="J4715" s="6" t="s">
        <v>161</v>
      </c>
    </row>
    <row r="4716" ht="22.5" customHeight="1">
      <c r="A4716" s="6" t="s">
        <v>21524</v>
      </c>
      <c r="B4716" s="6" t="s">
        <v>10944</v>
      </c>
      <c r="C4716" s="10">
        <v>46036.0</v>
      </c>
      <c r="D4716" s="6" t="s">
        <v>289</v>
      </c>
      <c r="E4716" s="6" t="s">
        <v>566</v>
      </c>
      <c r="F4716" s="6" t="s">
        <v>112</v>
      </c>
      <c r="G4716" s="6" t="s">
        <v>494</v>
      </c>
      <c r="H4716" s="10">
        <v>46042.0</v>
      </c>
      <c r="I4716" s="12">
        <v>8.0</v>
      </c>
      <c r="J4716" s="6" t="s">
        <v>161</v>
      </c>
    </row>
    <row r="4717" ht="22.5" customHeight="1">
      <c r="A4717" s="6" t="s">
        <v>21525</v>
      </c>
      <c r="B4717" s="6" t="s">
        <v>10944</v>
      </c>
      <c r="C4717" s="10">
        <v>46026.0</v>
      </c>
      <c r="D4717" s="6" t="s">
        <v>391</v>
      </c>
      <c r="E4717" s="6" t="s">
        <v>1070</v>
      </c>
      <c r="F4717" s="6" t="s">
        <v>283</v>
      </c>
      <c r="G4717" s="6" t="s">
        <v>494</v>
      </c>
      <c r="H4717" s="10">
        <v>46028.0</v>
      </c>
      <c r="I4717" s="12">
        <v>10.0</v>
      </c>
      <c r="J4717" s="6" t="s">
        <v>161</v>
      </c>
    </row>
    <row r="4718" ht="22.5" customHeight="1">
      <c r="A4718" s="6" t="s">
        <v>21526</v>
      </c>
      <c r="B4718" s="6" t="s">
        <v>10951</v>
      </c>
      <c r="C4718" s="10">
        <v>46039.0</v>
      </c>
      <c r="D4718" s="6" t="s">
        <v>416</v>
      </c>
      <c r="E4718" s="6" t="s">
        <v>634</v>
      </c>
      <c r="F4718" s="6" t="s">
        <v>439</v>
      </c>
      <c r="G4718" s="6" t="s">
        <v>458</v>
      </c>
      <c r="H4718" s="10">
        <v>46045.0</v>
      </c>
      <c r="I4718" s="12">
        <v>8.0</v>
      </c>
      <c r="J4718" s="6" t="s">
        <v>161</v>
      </c>
    </row>
    <row r="4719" ht="22.5" customHeight="1">
      <c r="A4719" s="6" t="s">
        <v>21527</v>
      </c>
      <c r="B4719" s="6" t="s">
        <v>10951</v>
      </c>
      <c r="C4719" s="10">
        <v>46044.0</v>
      </c>
      <c r="D4719" s="6" t="s">
        <v>289</v>
      </c>
      <c r="E4719" s="6" t="s">
        <v>1546</v>
      </c>
      <c r="F4719" s="6" t="s">
        <v>439</v>
      </c>
      <c r="G4719" s="6" t="s">
        <v>297</v>
      </c>
      <c r="H4719" s="10">
        <v>46047.0</v>
      </c>
      <c r="I4719" s="12">
        <v>7.0</v>
      </c>
      <c r="J4719" s="6" t="s">
        <v>161</v>
      </c>
    </row>
    <row r="4720" ht="22.5" customHeight="1">
      <c r="A4720" s="6" t="s">
        <v>21528</v>
      </c>
      <c r="B4720" s="6" t="s">
        <v>10951</v>
      </c>
      <c r="C4720" s="10">
        <v>46043.0</v>
      </c>
      <c r="D4720" s="6" t="s">
        <v>289</v>
      </c>
      <c r="E4720" s="6" t="s">
        <v>246</v>
      </c>
      <c r="F4720" s="6" t="s">
        <v>112</v>
      </c>
      <c r="G4720" s="6" t="s">
        <v>452</v>
      </c>
      <c r="H4720" s="10">
        <v>46047.0</v>
      </c>
      <c r="I4720" s="12">
        <v>8.0</v>
      </c>
      <c r="J4720" s="6" t="s">
        <v>161</v>
      </c>
    </row>
    <row r="4721" ht="22.5" customHeight="1">
      <c r="A4721" s="6" t="s">
        <v>21529</v>
      </c>
      <c r="B4721" s="6" t="s">
        <v>10951</v>
      </c>
      <c r="C4721" s="10">
        <v>46053.0</v>
      </c>
      <c r="D4721" s="6" t="s">
        <v>242</v>
      </c>
      <c r="E4721" s="6" t="s">
        <v>628</v>
      </c>
      <c r="F4721" s="6" t="s">
        <v>283</v>
      </c>
      <c r="G4721" s="6" t="s">
        <v>458</v>
      </c>
      <c r="H4721" s="10">
        <v>46056.0</v>
      </c>
      <c r="I4721" s="12">
        <v>4.0</v>
      </c>
      <c r="J4721" s="6" t="s">
        <v>161</v>
      </c>
    </row>
    <row r="4722" ht="22.5" customHeight="1">
      <c r="A4722" s="6" t="s">
        <v>21530</v>
      </c>
      <c r="B4722" s="6" t="s">
        <v>10951</v>
      </c>
      <c r="C4722" s="10">
        <v>46055.0</v>
      </c>
      <c r="D4722" s="6" t="s">
        <v>436</v>
      </c>
      <c r="E4722" s="6" t="s">
        <v>475</v>
      </c>
      <c r="F4722" s="6" t="s">
        <v>439</v>
      </c>
      <c r="G4722" s="6" t="s">
        <v>369</v>
      </c>
      <c r="H4722" s="10">
        <v>46061.0</v>
      </c>
      <c r="I4722" s="12">
        <v>7.0</v>
      </c>
      <c r="J4722" s="6" t="s">
        <v>178</v>
      </c>
    </row>
    <row r="4723" ht="22.5" customHeight="1">
      <c r="A4723" s="6" t="s">
        <v>21531</v>
      </c>
      <c r="B4723" s="6" t="s">
        <v>10957</v>
      </c>
      <c r="C4723" s="10">
        <v>46042.0</v>
      </c>
      <c r="D4723" s="6" t="s">
        <v>289</v>
      </c>
      <c r="E4723" s="6" t="s">
        <v>320</v>
      </c>
      <c r="F4723" s="6" t="s">
        <v>439</v>
      </c>
      <c r="G4723" s="6" t="s">
        <v>452</v>
      </c>
      <c r="H4723" s="10">
        <v>46047.0</v>
      </c>
      <c r="I4723" s="12">
        <v>6.0</v>
      </c>
      <c r="J4723" s="6" t="s">
        <v>161</v>
      </c>
    </row>
    <row r="4724" ht="22.5" customHeight="1">
      <c r="A4724" s="6" t="s">
        <v>21532</v>
      </c>
      <c r="B4724" s="6" t="s">
        <v>10957</v>
      </c>
      <c r="C4724" s="10">
        <v>46033.0</v>
      </c>
      <c r="D4724" s="6" t="s">
        <v>416</v>
      </c>
      <c r="E4724" s="6" t="s">
        <v>394</v>
      </c>
      <c r="F4724" s="6" t="s">
        <v>249</v>
      </c>
      <c r="G4724" s="6" t="s">
        <v>452</v>
      </c>
      <c r="H4724" s="10">
        <v>46038.0</v>
      </c>
      <c r="I4724" s="12">
        <v>9.0</v>
      </c>
      <c r="J4724" s="6" t="s">
        <v>161</v>
      </c>
    </row>
    <row r="4725" ht="22.5" customHeight="1">
      <c r="A4725" s="6" t="s">
        <v>21533</v>
      </c>
      <c r="B4725" s="6" t="s">
        <v>10964</v>
      </c>
      <c r="C4725" s="10">
        <v>46054.0</v>
      </c>
      <c r="D4725" s="6" t="s">
        <v>312</v>
      </c>
      <c r="E4725" s="6" t="s">
        <v>2881</v>
      </c>
      <c r="F4725" s="6" t="s">
        <v>439</v>
      </c>
      <c r="G4725" s="6" t="s">
        <v>452</v>
      </c>
      <c r="H4725" s="10">
        <v>46058.0</v>
      </c>
      <c r="I4725" s="12">
        <v>4.0</v>
      </c>
      <c r="J4725" s="6" t="s">
        <v>161</v>
      </c>
    </row>
    <row r="4726" ht="22.5" customHeight="1">
      <c r="A4726" s="6" t="s">
        <v>21534</v>
      </c>
      <c r="B4726" s="6" t="s">
        <v>10964</v>
      </c>
      <c r="C4726" s="10">
        <v>46057.0</v>
      </c>
      <c r="D4726" s="6" t="s">
        <v>289</v>
      </c>
      <c r="E4726" s="6" t="s">
        <v>291</v>
      </c>
      <c r="F4726" s="6" t="s">
        <v>283</v>
      </c>
      <c r="G4726" s="6" t="s">
        <v>458</v>
      </c>
      <c r="H4726" s="10">
        <v>46064.0</v>
      </c>
      <c r="I4726" s="12">
        <v>10.0</v>
      </c>
      <c r="J4726" s="6" t="s">
        <v>161</v>
      </c>
    </row>
    <row r="4727" ht="22.5" customHeight="1">
      <c r="A4727" s="6" t="s">
        <v>21535</v>
      </c>
      <c r="B4727" s="6" t="s">
        <v>10964</v>
      </c>
      <c r="C4727" s="10">
        <v>46065.0</v>
      </c>
      <c r="D4727" s="6" t="s">
        <v>416</v>
      </c>
      <c r="E4727" s="6" t="s">
        <v>365</v>
      </c>
      <c r="F4727" s="6" t="s">
        <v>283</v>
      </c>
      <c r="G4727" s="6" t="s">
        <v>326</v>
      </c>
      <c r="H4727" s="10">
        <v>46070.0</v>
      </c>
      <c r="I4727" s="12">
        <v>14.0</v>
      </c>
      <c r="J4727" s="6" t="s">
        <v>161</v>
      </c>
    </row>
    <row r="4728" ht="22.5" customHeight="1">
      <c r="A4728" s="6" t="s">
        <v>21536</v>
      </c>
      <c r="B4728" s="6" t="s">
        <v>10964</v>
      </c>
      <c r="C4728" s="10">
        <v>46058.0</v>
      </c>
      <c r="D4728" s="6" t="s">
        <v>677</v>
      </c>
      <c r="E4728" s="6" t="s">
        <v>475</v>
      </c>
      <c r="F4728" s="6" t="s">
        <v>439</v>
      </c>
      <c r="G4728" s="6" t="s">
        <v>458</v>
      </c>
      <c r="H4728" s="10">
        <v>46063.0</v>
      </c>
      <c r="I4728" s="12">
        <v>3.0</v>
      </c>
      <c r="J4728" s="6" t="s">
        <v>161</v>
      </c>
    </row>
    <row r="4729" ht="22.5" customHeight="1">
      <c r="A4729" s="6" t="s">
        <v>21537</v>
      </c>
      <c r="B4729" s="6" t="s">
        <v>10970</v>
      </c>
      <c r="C4729" s="10">
        <v>46032.0</v>
      </c>
      <c r="D4729" s="6" t="s">
        <v>436</v>
      </c>
      <c r="E4729" s="6" t="s">
        <v>787</v>
      </c>
      <c r="F4729" s="6" t="s">
        <v>283</v>
      </c>
      <c r="G4729" s="6" t="s">
        <v>458</v>
      </c>
      <c r="H4729" s="10">
        <v>46038.0</v>
      </c>
      <c r="I4729" s="12">
        <v>8.0</v>
      </c>
      <c r="J4729" s="6" t="s">
        <v>178</v>
      </c>
    </row>
    <row r="4730" ht="22.5" customHeight="1">
      <c r="A4730" s="6" t="s">
        <v>21538</v>
      </c>
      <c r="B4730" s="6" t="s">
        <v>10970</v>
      </c>
      <c r="C4730" s="10">
        <v>46044.0</v>
      </c>
      <c r="D4730" s="6" t="s">
        <v>677</v>
      </c>
      <c r="E4730" s="6" t="s">
        <v>2881</v>
      </c>
      <c r="F4730" s="6" t="s">
        <v>249</v>
      </c>
      <c r="G4730" s="6" t="s">
        <v>254</v>
      </c>
      <c r="H4730" s="11" t="s">
        <v>259</v>
      </c>
      <c r="I4730" s="12">
        <v>4.0</v>
      </c>
      <c r="J4730" s="6" t="s">
        <v>161</v>
      </c>
    </row>
    <row r="4731" ht="22.5" customHeight="1">
      <c r="A4731" s="6" t="s">
        <v>21539</v>
      </c>
      <c r="B4731" s="6" t="s">
        <v>10976</v>
      </c>
      <c r="C4731" s="10">
        <v>46053.0</v>
      </c>
      <c r="D4731" s="6" t="s">
        <v>242</v>
      </c>
      <c r="E4731" s="6" t="s">
        <v>716</v>
      </c>
      <c r="F4731" s="6" t="s">
        <v>249</v>
      </c>
      <c r="G4731" s="6" t="s">
        <v>326</v>
      </c>
      <c r="H4731" s="10">
        <v>46060.0</v>
      </c>
      <c r="I4731" s="12">
        <v>3.0</v>
      </c>
      <c r="J4731" s="6" t="s">
        <v>161</v>
      </c>
    </row>
    <row r="4732" ht="22.5" customHeight="1">
      <c r="A4732" s="6" t="s">
        <v>21540</v>
      </c>
      <c r="B4732" s="6" t="s">
        <v>10976</v>
      </c>
      <c r="C4732" s="10">
        <v>46051.0</v>
      </c>
      <c r="D4732" s="6" t="s">
        <v>312</v>
      </c>
      <c r="E4732" s="6" t="s">
        <v>896</v>
      </c>
      <c r="F4732" s="6" t="s">
        <v>249</v>
      </c>
      <c r="G4732" s="6" t="s">
        <v>458</v>
      </c>
      <c r="H4732" s="10">
        <v>46052.0</v>
      </c>
      <c r="I4732" s="12">
        <v>7.0</v>
      </c>
      <c r="J4732" s="6" t="s">
        <v>161</v>
      </c>
    </row>
    <row r="4733" ht="22.5" customHeight="1">
      <c r="A4733" s="6" t="s">
        <v>21541</v>
      </c>
      <c r="B4733" s="6" t="s">
        <v>10976</v>
      </c>
      <c r="C4733" s="10">
        <v>46049.0</v>
      </c>
      <c r="D4733" s="6" t="s">
        <v>289</v>
      </c>
      <c r="E4733" s="6" t="s">
        <v>704</v>
      </c>
      <c r="F4733" s="6" t="s">
        <v>249</v>
      </c>
      <c r="G4733" s="6" t="s">
        <v>369</v>
      </c>
      <c r="H4733" s="10">
        <v>46053.0</v>
      </c>
      <c r="I4733" s="12">
        <v>9.0</v>
      </c>
      <c r="J4733" s="6" t="s">
        <v>161</v>
      </c>
    </row>
    <row r="4734" ht="22.5" customHeight="1">
      <c r="A4734" s="6" t="s">
        <v>21542</v>
      </c>
      <c r="B4734" s="6" t="s">
        <v>10976</v>
      </c>
      <c r="C4734" s="10">
        <v>46042.0</v>
      </c>
      <c r="D4734" s="6" t="s">
        <v>312</v>
      </c>
      <c r="E4734" s="6" t="s">
        <v>365</v>
      </c>
      <c r="F4734" s="6" t="s">
        <v>249</v>
      </c>
      <c r="G4734" s="6" t="s">
        <v>452</v>
      </c>
      <c r="H4734" s="10">
        <v>46047.0</v>
      </c>
      <c r="I4734" s="12">
        <v>4.0</v>
      </c>
      <c r="J4734" s="6" t="s">
        <v>161</v>
      </c>
    </row>
    <row r="4735" ht="22.5" customHeight="1">
      <c r="A4735" s="6" t="s">
        <v>21543</v>
      </c>
      <c r="B4735" s="6" t="s">
        <v>10976</v>
      </c>
      <c r="C4735" s="10">
        <v>46051.0</v>
      </c>
      <c r="D4735" s="6" t="s">
        <v>391</v>
      </c>
      <c r="E4735" s="6" t="s">
        <v>704</v>
      </c>
      <c r="F4735" s="6" t="s">
        <v>283</v>
      </c>
      <c r="G4735" s="6" t="s">
        <v>494</v>
      </c>
      <c r="H4735" s="10">
        <v>46055.0</v>
      </c>
      <c r="I4735" s="12">
        <v>11.0</v>
      </c>
      <c r="J4735" s="6" t="s">
        <v>161</v>
      </c>
    </row>
    <row r="4736" ht="22.5" customHeight="1">
      <c r="A4736" s="6" t="s">
        <v>21544</v>
      </c>
      <c r="B4736" s="6" t="s">
        <v>10983</v>
      </c>
      <c r="C4736" s="10">
        <v>46087.0</v>
      </c>
      <c r="D4736" s="6" t="s">
        <v>242</v>
      </c>
      <c r="E4736" s="6" t="s">
        <v>394</v>
      </c>
      <c r="F4736" s="6" t="s">
        <v>112</v>
      </c>
      <c r="G4736" s="6" t="s">
        <v>477</v>
      </c>
      <c r="H4736" s="10">
        <v>46090.0</v>
      </c>
      <c r="I4736" s="12">
        <v>4.0</v>
      </c>
      <c r="J4736" s="6" t="s">
        <v>178</v>
      </c>
    </row>
    <row r="4737" ht="22.5" customHeight="1">
      <c r="A4737" s="6" t="s">
        <v>21545</v>
      </c>
      <c r="B4737" s="6" t="s">
        <v>10983</v>
      </c>
      <c r="C4737" s="10">
        <v>46088.0</v>
      </c>
      <c r="D4737" s="6" t="s">
        <v>436</v>
      </c>
      <c r="E4737" s="6" t="s">
        <v>394</v>
      </c>
      <c r="F4737" s="6" t="s">
        <v>249</v>
      </c>
      <c r="G4737" s="6" t="s">
        <v>452</v>
      </c>
      <c r="H4737" s="11" t="s">
        <v>259</v>
      </c>
      <c r="I4737" s="12">
        <v>6.0</v>
      </c>
      <c r="J4737" s="6" t="s">
        <v>178</v>
      </c>
    </row>
    <row r="4738" ht="22.5" customHeight="1">
      <c r="A4738" s="6" t="s">
        <v>21546</v>
      </c>
      <c r="B4738" s="6" t="s">
        <v>10989</v>
      </c>
      <c r="C4738" s="10">
        <v>46060.0</v>
      </c>
      <c r="D4738" s="6" t="s">
        <v>312</v>
      </c>
      <c r="E4738" s="6" t="s">
        <v>1055</v>
      </c>
      <c r="F4738" s="6" t="s">
        <v>283</v>
      </c>
      <c r="G4738" s="6" t="s">
        <v>326</v>
      </c>
      <c r="H4738" s="10">
        <v>46061.0</v>
      </c>
      <c r="I4738" s="12">
        <v>4.0</v>
      </c>
      <c r="J4738" s="6" t="s">
        <v>161</v>
      </c>
    </row>
    <row r="4739" ht="22.5" customHeight="1">
      <c r="A4739" s="6" t="s">
        <v>21547</v>
      </c>
      <c r="B4739" s="6" t="s">
        <v>10989</v>
      </c>
      <c r="C4739" s="10">
        <v>46051.0</v>
      </c>
      <c r="D4739" s="6" t="s">
        <v>416</v>
      </c>
      <c r="E4739" s="6" t="s">
        <v>731</v>
      </c>
      <c r="F4739" s="6" t="s">
        <v>283</v>
      </c>
      <c r="G4739" s="6" t="s">
        <v>254</v>
      </c>
      <c r="H4739" s="11" t="s">
        <v>259</v>
      </c>
      <c r="I4739" s="12">
        <v>9.0</v>
      </c>
      <c r="J4739" s="6" t="s">
        <v>161</v>
      </c>
    </row>
    <row r="4740" ht="22.5" customHeight="1">
      <c r="A4740" s="6" t="s">
        <v>21548</v>
      </c>
      <c r="B4740" s="6" t="s">
        <v>10989</v>
      </c>
      <c r="C4740" s="10">
        <v>46049.0</v>
      </c>
      <c r="D4740" s="6" t="s">
        <v>242</v>
      </c>
      <c r="E4740" s="6" t="s">
        <v>670</v>
      </c>
      <c r="F4740" s="6" t="s">
        <v>249</v>
      </c>
      <c r="G4740" s="6" t="s">
        <v>326</v>
      </c>
      <c r="H4740" s="10">
        <v>46056.0</v>
      </c>
      <c r="I4740" s="12">
        <v>6.0</v>
      </c>
      <c r="J4740" s="6" t="s">
        <v>161</v>
      </c>
    </row>
    <row r="4741" ht="22.5" customHeight="1">
      <c r="A4741" s="6" t="s">
        <v>21549</v>
      </c>
      <c r="B4741" s="6" t="s">
        <v>10989</v>
      </c>
      <c r="C4741" s="10">
        <v>46054.0</v>
      </c>
      <c r="D4741" s="6" t="s">
        <v>242</v>
      </c>
      <c r="E4741" s="6" t="s">
        <v>738</v>
      </c>
      <c r="F4741" s="6" t="s">
        <v>283</v>
      </c>
      <c r="G4741" s="6" t="s">
        <v>254</v>
      </c>
      <c r="H4741" s="10">
        <v>46057.0</v>
      </c>
      <c r="I4741" s="12">
        <v>6.0</v>
      </c>
      <c r="J4741" s="6" t="s">
        <v>178</v>
      </c>
    </row>
    <row r="4742" ht="22.5" customHeight="1">
      <c r="A4742" s="6" t="s">
        <v>21550</v>
      </c>
      <c r="B4742" s="6" t="s">
        <v>10989</v>
      </c>
      <c r="C4742" s="10">
        <v>46062.0</v>
      </c>
      <c r="D4742" s="6" t="s">
        <v>289</v>
      </c>
      <c r="E4742" s="6" t="s">
        <v>896</v>
      </c>
      <c r="F4742" s="6" t="s">
        <v>249</v>
      </c>
      <c r="G4742" s="6" t="s">
        <v>494</v>
      </c>
      <c r="H4742" s="10">
        <v>46068.0</v>
      </c>
      <c r="I4742" s="12">
        <v>7.0</v>
      </c>
      <c r="J4742" s="6" t="s">
        <v>161</v>
      </c>
    </row>
    <row r="4743" ht="22.5" customHeight="1">
      <c r="A4743" s="6" t="s">
        <v>21551</v>
      </c>
      <c r="B4743" s="6" t="s">
        <v>10996</v>
      </c>
      <c r="C4743" s="10">
        <v>46054.0</v>
      </c>
      <c r="D4743" s="6" t="s">
        <v>312</v>
      </c>
      <c r="E4743" s="6" t="s">
        <v>1720</v>
      </c>
      <c r="F4743" s="6" t="s">
        <v>283</v>
      </c>
      <c r="G4743" s="6" t="s">
        <v>494</v>
      </c>
      <c r="H4743" s="10">
        <v>46054.0</v>
      </c>
      <c r="I4743" s="12">
        <v>4.0</v>
      </c>
      <c r="J4743" s="6" t="s">
        <v>161</v>
      </c>
    </row>
    <row r="4744" ht="22.5" customHeight="1">
      <c r="A4744" s="6" t="s">
        <v>21552</v>
      </c>
      <c r="B4744" s="6" t="s">
        <v>10996</v>
      </c>
      <c r="C4744" s="10">
        <v>46047.0</v>
      </c>
      <c r="D4744" s="6" t="s">
        <v>391</v>
      </c>
      <c r="E4744" s="6" t="s">
        <v>798</v>
      </c>
      <c r="F4744" s="6" t="s">
        <v>249</v>
      </c>
      <c r="G4744" s="6" t="s">
        <v>254</v>
      </c>
      <c r="H4744" s="10">
        <v>46053.0</v>
      </c>
      <c r="I4744" s="12">
        <v>8.0</v>
      </c>
      <c r="J4744" s="6" t="s">
        <v>161</v>
      </c>
    </row>
    <row r="4745" ht="22.5" customHeight="1">
      <c r="A4745" s="6" t="s">
        <v>21553</v>
      </c>
      <c r="B4745" s="6" t="s">
        <v>11003</v>
      </c>
      <c r="C4745" s="10">
        <v>46052.0</v>
      </c>
      <c r="D4745" s="6" t="s">
        <v>289</v>
      </c>
      <c r="E4745" s="6" t="s">
        <v>1517</v>
      </c>
      <c r="F4745" s="6" t="s">
        <v>249</v>
      </c>
      <c r="G4745" s="6" t="s">
        <v>452</v>
      </c>
      <c r="H4745" s="10">
        <v>46058.0</v>
      </c>
      <c r="I4745" s="12">
        <v>9.0</v>
      </c>
      <c r="J4745" s="6" t="s">
        <v>161</v>
      </c>
    </row>
    <row r="4746" ht="22.5" customHeight="1">
      <c r="A4746" s="6" t="s">
        <v>21554</v>
      </c>
      <c r="B4746" s="6" t="s">
        <v>11003</v>
      </c>
      <c r="C4746" s="10">
        <v>46050.0</v>
      </c>
      <c r="D4746" s="6" t="s">
        <v>312</v>
      </c>
      <c r="E4746" s="6" t="s">
        <v>1969</v>
      </c>
      <c r="F4746" s="6" t="s">
        <v>112</v>
      </c>
      <c r="G4746" s="6" t="s">
        <v>458</v>
      </c>
      <c r="H4746" s="10">
        <v>46057.0</v>
      </c>
      <c r="I4746" s="12">
        <v>5.0</v>
      </c>
      <c r="J4746" s="6" t="s">
        <v>161</v>
      </c>
    </row>
    <row r="4747" ht="22.5" customHeight="1">
      <c r="A4747" s="6" t="s">
        <v>21555</v>
      </c>
      <c r="B4747" s="6" t="s">
        <v>11009</v>
      </c>
      <c r="C4747" s="10">
        <v>46076.0</v>
      </c>
      <c r="D4747" s="6" t="s">
        <v>436</v>
      </c>
      <c r="E4747" s="6" t="s">
        <v>1273</v>
      </c>
      <c r="F4747" s="6" t="s">
        <v>112</v>
      </c>
      <c r="G4747" s="6" t="s">
        <v>297</v>
      </c>
      <c r="H4747" s="10">
        <v>46076.0</v>
      </c>
      <c r="I4747" s="12">
        <v>9.0</v>
      </c>
      <c r="J4747" s="6" t="s">
        <v>161</v>
      </c>
    </row>
    <row r="4748" ht="22.5" customHeight="1">
      <c r="A4748" s="6" t="s">
        <v>21556</v>
      </c>
      <c r="B4748" s="6" t="s">
        <v>11009</v>
      </c>
      <c r="C4748" s="10">
        <v>46074.0</v>
      </c>
      <c r="D4748" s="6" t="s">
        <v>416</v>
      </c>
      <c r="E4748" s="6" t="s">
        <v>417</v>
      </c>
      <c r="F4748" s="6" t="s">
        <v>283</v>
      </c>
      <c r="G4748" s="6" t="s">
        <v>297</v>
      </c>
      <c r="H4748" s="10">
        <v>46076.0</v>
      </c>
      <c r="I4748" s="12">
        <v>12.0</v>
      </c>
      <c r="J4748" s="6" t="s">
        <v>161</v>
      </c>
    </row>
    <row r="4749" ht="22.5" customHeight="1">
      <c r="A4749" s="6" t="s">
        <v>21557</v>
      </c>
      <c r="B4749" s="6" t="s">
        <v>11009</v>
      </c>
      <c r="C4749" s="10">
        <v>46069.0</v>
      </c>
      <c r="D4749" s="6" t="s">
        <v>242</v>
      </c>
      <c r="E4749" s="6" t="s">
        <v>787</v>
      </c>
      <c r="F4749" s="6" t="s">
        <v>283</v>
      </c>
      <c r="G4749" s="6" t="s">
        <v>297</v>
      </c>
      <c r="H4749" s="10">
        <v>46069.0</v>
      </c>
      <c r="I4749" s="12">
        <v>3.0</v>
      </c>
      <c r="J4749" s="6" t="s">
        <v>161</v>
      </c>
    </row>
    <row r="4750" ht="22.5" customHeight="1">
      <c r="A4750" s="6" t="s">
        <v>21558</v>
      </c>
      <c r="B4750" s="6" t="s">
        <v>11016</v>
      </c>
      <c r="C4750" s="10">
        <v>46069.0</v>
      </c>
      <c r="D4750" s="6" t="s">
        <v>436</v>
      </c>
      <c r="E4750" s="6" t="s">
        <v>812</v>
      </c>
      <c r="F4750" s="6" t="s">
        <v>439</v>
      </c>
      <c r="G4750" s="6" t="s">
        <v>458</v>
      </c>
      <c r="H4750" s="10">
        <v>46076.0</v>
      </c>
      <c r="I4750" s="12">
        <v>6.0</v>
      </c>
      <c r="J4750" s="6" t="s">
        <v>178</v>
      </c>
    </row>
    <row r="4751" ht="22.5" customHeight="1">
      <c r="A4751" s="6" t="s">
        <v>21559</v>
      </c>
      <c r="B4751" s="6" t="s">
        <v>11016</v>
      </c>
      <c r="C4751" s="10">
        <v>46060.0</v>
      </c>
      <c r="D4751" s="6" t="s">
        <v>242</v>
      </c>
      <c r="E4751" s="6" t="s">
        <v>246</v>
      </c>
      <c r="F4751" s="6" t="s">
        <v>439</v>
      </c>
      <c r="G4751" s="6" t="s">
        <v>326</v>
      </c>
      <c r="H4751" s="10">
        <v>46064.0</v>
      </c>
      <c r="I4751" s="12">
        <v>5.0</v>
      </c>
      <c r="J4751" s="6" t="s">
        <v>161</v>
      </c>
    </row>
    <row r="4752" ht="22.5" customHeight="1">
      <c r="A4752" s="6" t="s">
        <v>21560</v>
      </c>
      <c r="B4752" s="6" t="s">
        <v>11022</v>
      </c>
      <c r="C4752" s="10">
        <v>46053.0</v>
      </c>
      <c r="D4752" s="6" t="s">
        <v>436</v>
      </c>
      <c r="E4752" s="6" t="s">
        <v>1273</v>
      </c>
      <c r="F4752" s="6" t="s">
        <v>439</v>
      </c>
      <c r="G4752" s="6" t="s">
        <v>254</v>
      </c>
      <c r="H4752" s="11" t="s">
        <v>259</v>
      </c>
      <c r="I4752" s="12">
        <v>9.0</v>
      </c>
      <c r="J4752" s="6" t="s">
        <v>161</v>
      </c>
    </row>
    <row r="4753" ht="22.5" customHeight="1">
      <c r="A4753" s="6" t="s">
        <v>21561</v>
      </c>
      <c r="B4753" s="6" t="s">
        <v>11022</v>
      </c>
      <c r="C4753" s="10">
        <v>46061.0</v>
      </c>
      <c r="D4753" s="6" t="s">
        <v>677</v>
      </c>
      <c r="E4753" s="6" t="s">
        <v>610</v>
      </c>
      <c r="F4753" s="6" t="s">
        <v>283</v>
      </c>
      <c r="G4753" s="6" t="s">
        <v>452</v>
      </c>
      <c r="H4753" s="10">
        <v>46063.0</v>
      </c>
      <c r="I4753" s="12">
        <v>3.0</v>
      </c>
      <c r="J4753" s="6" t="s">
        <v>161</v>
      </c>
    </row>
    <row r="4754" ht="22.5" customHeight="1">
      <c r="A4754" s="6" t="s">
        <v>21562</v>
      </c>
      <c r="B4754" s="6" t="s">
        <v>11022</v>
      </c>
      <c r="C4754" s="10">
        <v>46044.0</v>
      </c>
      <c r="D4754" s="6" t="s">
        <v>312</v>
      </c>
      <c r="E4754" s="6" t="s">
        <v>863</v>
      </c>
      <c r="F4754" s="6" t="s">
        <v>112</v>
      </c>
      <c r="G4754" s="6" t="s">
        <v>297</v>
      </c>
      <c r="H4754" s="10">
        <v>46050.0</v>
      </c>
      <c r="I4754" s="12">
        <v>6.0</v>
      </c>
      <c r="J4754" s="6" t="s">
        <v>161</v>
      </c>
    </row>
    <row r="4755" ht="22.5" customHeight="1">
      <c r="A4755" s="6" t="s">
        <v>21563</v>
      </c>
      <c r="B4755" s="6" t="s">
        <v>11022</v>
      </c>
      <c r="C4755" s="10">
        <v>46050.0</v>
      </c>
      <c r="D4755" s="6" t="s">
        <v>391</v>
      </c>
      <c r="E4755" s="6" t="s">
        <v>885</v>
      </c>
      <c r="F4755" s="6" t="s">
        <v>249</v>
      </c>
      <c r="G4755" s="6" t="s">
        <v>494</v>
      </c>
      <c r="H4755" s="10">
        <v>46052.0</v>
      </c>
      <c r="I4755" s="12">
        <v>9.0</v>
      </c>
      <c r="J4755" s="6" t="s">
        <v>161</v>
      </c>
    </row>
    <row r="4756" ht="22.5" customHeight="1">
      <c r="A4756" s="6" t="s">
        <v>21564</v>
      </c>
      <c r="B4756" s="6" t="s">
        <v>11022</v>
      </c>
      <c r="C4756" s="10">
        <v>46043.0</v>
      </c>
      <c r="D4756" s="6" t="s">
        <v>289</v>
      </c>
      <c r="E4756" s="6" t="s">
        <v>1546</v>
      </c>
      <c r="F4756" s="6" t="s">
        <v>249</v>
      </c>
      <c r="G4756" s="6" t="s">
        <v>494</v>
      </c>
      <c r="H4756" s="10">
        <v>46049.0</v>
      </c>
      <c r="I4756" s="12">
        <v>8.0</v>
      </c>
      <c r="J4756" s="6" t="s">
        <v>161</v>
      </c>
    </row>
    <row r="4757" ht="22.5" customHeight="1">
      <c r="A4757" s="6" t="s">
        <v>21565</v>
      </c>
      <c r="B4757" s="6" t="s">
        <v>11029</v>
      </c>
      <c r="C4757" s="10">
        <v>46069.0</v>
      </c>
      <c r="D4757" s="6" t="s">
        <v>242</v>
      </c>
      <c r="E4757" s="6" t="s">
        <v>716</v>
      </c>
      <c r="F4757" s="6" t="s">
        <v>249</v>
      </c>
      <c r="G4757" s="6" t="s">
        <v>458</v>
      </c>
      <c r="H4757" s="10">
        <v>46070.0</v>
      </c>
      <c r="I4757" s="12">
        <v>4.0</v>
      </c>
      <c r="J4757" s="6" t="s">
        <v>178</v>
      </c>
    </row>
    <row r="4758" ht="22.5" customHeight="1">
      <c r="A4758" s="6" t="s">
        <v>21566</v>
      </c>
      <c r="B4758" s="6" t="s">
        <v>11035</v>
      </c>
      <c r="C4758" s="10">
        <v>46046.0</v>
      </c>
      <c r="D4758" s="6" t="s">
        <v>677</v>
      </c>
      <c r="E4758" s="6" t="s">
        <v>1969</v>
      </c>
      <c r="F4758" s="6" t="s">
        <v>249</v>
      </c>
      <c r="G4758" s="6" t="s">
        <v>477</v>
      </c>
      <c r="H4758" s="10">
        <v>46046.0</v>
      </c>
      <c r="I4758" s="12">
        <v>4.0</v>
      </c>
      <c r="J4758" s="6" t="s">
        <v>161</v>
      </c>
    </row>
    <row r="4759" ht="22.5" customHeight="1">
      <c r="A4759" s="6" t="s">
        <v>21567</v>
      </c>
      <c r="B4759" s="6" t="s">
        <v>11035</v>
      </c>
      <c r="C4759" s="10">
        <v>46064.0</v>
      </c>
      <c r="D4759" s="6" t="s">
        <v>242</v>
      </c>
      <c r="E4759" s="6" t="s">
        <v>1149</v>
      </c>
      <c r="F4759" s="6" t="s">
        <v>283</v>
      </c>
      <c r="G4759" s="6" t="s">
        <v>326</v>
      </c>
      <c r="H4759" s="10">
        <v>46069.0</v>
      </c>
      <c r="I4759" s="12">
        <v>3.0</v>
      </c>
      <c r="J4759" s="6" t="s">
        <v>178</v>
      </c>
    </row>
    <row r="4760" ht="22.5" customHeight="1">
      <c r="A4760" s="6" t="s">
        <v>21568</v>
      </c>
      <c r="B4760" s="6" t="s">
        <v>11035</v>
      </c>
      <c r="C4760" s="10">
        <v>46048.0</v>
      </c>
      <c r="D4760" s="6" t="s">
        <v>242</v>
      </c>
      <c r="E4760" s="6" t="s">
        <v>1546</v>
      </c>
      <c r="F4760" s="6" t="s">
        <v>439</v>
      </c>
      <c r="G4760" s="6" t="s">
        <v>326</v>
      </c>
      <c r="H4760" s="10">
        <v>46049.0</v>
      </c>
      <c r="I4760" s="12">
        <v>3.0</v>
      </c>
      <c r="J4760" s="6" t="s">
        <v>178</v>
      </c>
    </row>
    <row r="4761" ht="22.5" customHeight="1">
      <c r="A4761" s="6" t="s">
        <v>21569</v>
      </c>
      <c r="B4761" s="6" t="s">
        <v>11035</v>
      </c>
      <c r="C4761" s="10">
        <v>46053.0</v>
      </c>
      <c r="D4761" s="6" t="s">
        <v>416</v>
      </c>
      <c r="E4761" s="6" t="s">
        <v>787</v>
      </c>
      <c r="F4761" s="6" t="s">
        <v>249</v>
      </c>
      <c r="G4761" s="6" t="s">
        <v>458</v>
      </c>
      <c r="H4761" s="10">
        <v>46054.0</v>
      </c>
      <c r="I4761" s="12">
        <v>13.0</v>
      </c>
      <c r="J4761" s="6" t="s">
        <v>161</v>
      </c>
    </row>
    <row r="4762" ht="22.5" customHeight="1">
      <c r="A4762" s="6" t="s">
        <v>21570</v>
      </c>
      <c r="B4762" s="6" t="s">
        <v>11042</v>
      </c>
      <c r="C4762" s="10">
        <v>46054.0</v>
      </c>
      <c r="D4762" s="6" t="s">
        <v>242</v>
      </c>
      <c r="E4762" s="6" t="s">
        <v>833</v>
      </c>
      <c r="F4762" s="6" t="s">
        <v>283</v>
      </c>
      <c r="G4762" s="6" t="s">
        <v>452</v>
      </c>
      <c r="H4762" s="10">
        <v>46054.0</v>
      </c>
      <c r="I4762" s="12">
        <v>4.0</v>
      </c>
      <c r="J4762" s="6" t="s">
        <v>178</v>
      </c>
    </row>
    <row r="4763" ht="22.5" customHeight="1">
      <c r="A4763" s="6" t="s">
        <v>21571</v>
      </c>
      <c r="B4763" s="6" t="s">
        <v>11048</v>
      </c>
      <c r="C4763" s="10">
        <v>46049.0</v>
      </c>
      <c r="D4763" s="6" t="s">
        <v>436</v>
      </c>
      <c r="E4763" s="6" t="s">
        <v>738</v>
      </c>
      <c r="F4763" s="6" t="s">
        <v>249</v>
      </c>
      <c r="G4763" s="6" t="s">
        <v>254</v>
      </c>
      <c r="H4763" s="10">
        <v>46053.0</v>
      </c>
      <c r="I4763" s="12">
        <v>12.0</v>
      </c>
      <c r="J4763" s="6" t="s">
        <v>161</v>
      </c>
    </row>
    <row r="4764" ht="22.5" customHeight="1">
      <c r="A4764" s="6" t="s">
        <v>21572</v>
      </c>
      <c r="B4764" s="6" t="s">
        <v>11048</v>
      </c>
      <c r="C4764" s="10">
        <v>46053.0</v>
      </c>
      <c r="D4764" s="6" t="s">
        <v>677</v>
      </c>
      <c r="E4764" s="6" t="s">
        <v>1310</v>
      </c>
      <c r="F4764" s="6" t="s">
        <v>283</v>
      </c>
      <c r="G4764" s="6" t="s">
        <v>452</v>
      </c>
      <c r="H4764" s="10">
        <v>46058.0</v>
      </c>
      <c r="I4764" s="12">
        <v>3.0</v>
      </c>
      <c r="J4764" s="6" t="s">
        <v>161</v>
      </c>
    </row>
    <row r="4765" ht="22.5" customHeight="1">
      <c r="A4765" s="6" t="s">
        <v>21573</v>
      </c>
      <c r="B4765" s="6" t="s">
        <v>11048</v>
      </c>
      <c r="C4765" s="10">
        <v>46062.0</v>
      </c>
      <c r="D4765" s="6" t="s">
        <v>242</v>
      </c>
      <c r="E4765" s="6" t="s">
        <v>658</v>
      </c>
      <c r="F4765" s="6" t="s">
        <v>249</v>
      </c>
      <c r="G4765" s="6" t="s">
        <v>494</v>
      </c>
      <c r="H4765" s="11" t="s">
        <v>259</v>
      </c>
      <c r="I4765" s="12">
        <v>5.0</v>
      </c>
      <c r="J4765" s="6" t="s">
        <v>178</v>
      </c>
    </row>
    <row r="4766" ht="22.5" customHeight="1">
      <c r="A4766" s="6" t="s">
        <v>21574</v>
      </c>
      <c r="B4766" s="6" t="s">
        <v>11048</v>
      </c>
      <c r="C4766" s="10">
        <v>46045.0</v>
      </c>
      <c r="D4766" s="6" t="s">
        <v>677</v>
      </c>
      <c r="E4766" s="6" t="s">
        <v>1055</v>
      </c>
      <c r="F4766" s="6" t="s">
        <v>439</v>
      </c>
      <c r="G4766" s="6" t="s">
        <v>254</v>
      </c>
      <c r="H4766" s="10">
        <v>46048.0</v>
      </c>
      <c r="I4766" s="12">
        <v>4.0</v>
      </c>
      <c r="J4766" s="6" t="s">
        <v>161</v>
      </c>
    </row>
    <row r="4767" ht="22.5" customHeight="1">
      <c r="A4767" s="6" t="s">
        <v>21575</v>
      </c>
      <c r="B4767" s="6" t="s">
        <v>11048</v>
      </c>
      <c r="C4767" s="10">
        <v>46051.0</v>
      </c>
      <c r="D4767" s="6" t="s">
        <v>677</v>
      </c>
      <c r="E4767" s="6" t="s">
        <v>466</v>
      </c>
      <c r="F4767" s="6" t="s">
        <v>112</v>
      </c>
      <c r="G4767" s="6" t="s">
        <v>369</v>
      </c>
      <c r="H4767" s="10">
        <v>46052.0</v>
      </c>
      <c r="I4767" s="12">
        <v>4.0</v>
      </c>
      <c r="J4767" s="6" t="s">
        <v>161</v>
      </c>
    </row>
    <row r="4768" ht="22.5" customHeight="1">
      <c r="A4768" s="6" t="s">
        <v>21576</v>
      </c>
      <c r="B4768" s="6" t="s">
        <v>11054</v>
      </c>
      <c r="C4768" s="10">
        <v>46060.0</v>
      </c>
      <c r="D4768" s="6" t="s">
        <v>289</v>
      </c>
      <c r="E4768" s="6" t="s">
        <v>2881</v>
      </c>
      <c r="F4768" s="6" t="s">
        <v>439</v>
      </c>
      <c r="G4768" s="6" t="s">
        <v>458</v>
      </c>
      <c r="H4768" s="10">
        <v>46064.0</v>
      </c>
      <c r="I4768" s="12">
        <v>10.0</v>
      </c>
      <c r="J4768" s="6" t="s">
        <v>161</v>
      </c>
    </row>
    <row r="4769" ht="22.5" customHeight="1">
      <c r="A4769" s="6" t="s">
        <v>21577</v>
      </c>
      <c r="B4769" s="6" t="s">
        <v>11054</v>
      </c>
      <c r="C4769" s="10">
        <v>46062.0</v>
      </c>
      <c r="D4769" s="6" t="s">
        <v>677</v>
      </c>
      <c r="E4769" s="6" t="s">
        <v>2365</v>
      </c>
      <c r="F4769" s="6" t="s">
        <v>439</v>
      </c>
      <c r="G4769" s="6" t="s">
        <v>369</v>
      </c>
      <c r="H4769" s="11" t="s">
        <v>259</v>
      </c>
      <c r="I4769" s="12">
        <v>2.0</v>
      </c>
      <c r="J4769" s="6" t="s">
        <v>161</v>
      </c>
    </row>
    <row r="4770" ht="22.5" customHeight="1">
      <c r="A4770" s="6" t="s">
        <v>21578</v>
      </c>
      <c r="B4770" s="6" t="s">
        <v>11054</v>
      </c>
      <c r="C4770" s="10">
        <v>46063.0</v>
      </c>
      <c r="D4770" s="6" t="s">
        <v>436</v>
      </c>
      <c r="E4770" s="6" t="s">
        <v>716</v>
      </c>
      <c r="F4770" s="6" t="s">
        <v>112</v>
      </c>
      <c r="G4770" s="6" t="s">
        <v>297</v>
      </c>
      <c r="H4770" s="10">
        <v>46065.0</v>
      </c>
      <c r="I4770" s="12">
        <v>10.0</v>
      </c>
      <c r="J4770" s="6" t="s">
        <v>178</v>
      </c>
    </row>
    <row r="4771" ht="22.5" customHeight="1">
      <c r="A4771" s="6" t="s">
        <v>21579</v>
      </c>
      <c r="B4771" s="6" t="s">
        <v>11054</v>
      </c>
      <c r="C4771" s="10">
        <v>46060.0</v>
      </c>
      <c r="D4771" s="6" t="s">
        <v>436</v>
      </c>
      <c r="E4771" s="6" t="s">
        <v>695</v>
      </c>
      <c r="F4771" s="6" t="s">
        <v>112</v>
      </c>
      <c r="G4771" s="6" t="s">
        <v>477</v>
      </c>
      <c r="H4771" s="10">
        <v>46067.0</v>
      </c>
      <c r="I4771" s="12">
        <v>12.0</v>
      </c>
      <c r="J4771" s="6" t="s">
        <v>178</v>
      </c>
    </row>
    <row r="4772" ht="22.5" customHeight="1">
      <c r="A4772" s="6" t="s">
        <v>21580</v>
      </c>
      <c r="B4772" s="6" t="s">
        <v>11054</v>
      </c>
      <c r="C4772" s="10">
        <v>46057.0</v>
      </c>
      <c r="D4772" s="6" t="s">
        <v>242</v>
      </c>
      <c r="E4772" s="6" t="s">
        <v>1273</v>
      </c>
      <c r="F4772" s="6" t="s">
        <v>283</v>
      </c>
      <c r="G4772" s="6" t="s">
        <v>458</v>
      </c>
      <c r="H4772" s="10">
        <v>46062.0</v>
      </c>
      <c r="I4772" s="12">
        <v>5.0</v>
      </c>
      <c r="J4772" s="6" t="s">
        <v>178</v>
      </c>
    </row>
    <row r="4773" ht="22.5" customHeight="1">
      <c r="A4773" s="6" t="s">
        <v>21581</v>
      </c>
      <c r="B4773" s="6" t="s">
        <v>11061</v>
      </c>
      <c r="C4773" s="10">
        <v>46076.0</v>
      </c>
      <c r="D4773" s="6" t="s">
        <v>289</v>
      </c>
      <c r="E4773" s="6" t="s">
        <v>787</v>
      </c>
      <c r="F4773" s="6" t="s">
        <v>283</v>
      </c>
      <c r="G4773" s="6" t="s">
        <v>254</v>
      </c>
      <c r="H4773" s="10">
        <v>46077.0</v>
      </c>
      <c r="I4773" s="12">
        <v>10.0</v>
      </c>
      <c r="J4773" s="6" t="s">
        <v>161</v>
      </c>
    </row>
    <row r="4774" ht="22.5" customHeight="1">
      <c r="A4774" s="6" t="s">
        <v>21582</v>
      </c>
      <c r="B4774" s="6" t="s">
        <v>11061</v>
      </c>
      <c r="C4774" s="10">
        <v>46069.0</v>
      </c>
      <c r="D4774" s="6" t="s">
        <v>242</v>
      </c>
      <c r="E4774" s="6" t="s">
        <v>1741</v>
      </c>
      <c r="F4774" s="6" t="s">
        <v>249</v>
      </c>
      <c r="G4774" s="6" t="s">
        <v>452</v>
      </c>
      <c r="H4774" s="11" t="s">
        <v>259</v>
      </c>
      <c r="I4774" s="12">
        <v>3.0</v>
      </c>
      <c r="J4774" s="6" t="s">
        <v>178</v>
      </c>
    </row>
    <row r="4775" ht="22.5" customHeight="1">
      <c r="A4775" s="6" t="s">
        <v>21583</v>
      </c>
      <c r="B4775" s="6" t="s">
        <v>11067</v>
      </c>
      <c r="C4775" s="10">
        <v>46077.0</v>
      </c>
      <c r="D4775" s="6" t="s">
        <v>677</v>
      </c>
      <c r="E4775" s="6" t="s">
        <v>1700</v>
      </c>
      <c r="F4775" s="6" t="s">
        <v>283</v>
      </c>
      <c r="G4775" s="6" t="s">
        <v>254</v>
      </c>
      <c r="H4775" s="10">
        <v>46081.0</v>
      </c>
      <c r="I4775" s="12">
        <v>2.0</v>
      </c>
      <c r="J4775" s="6" t="s">
        <v>161</v>
      </c>
    </row>
    <row r="4776" ht="22.5" customHeight="1">
      <c r="A4776" s="6" t="s">
        <v>21584</v>
      </c>
      <c r="B4776" s="6" t="s">
        <v>11067</v>
      </c>
      <c r="C4776" s="10">
        <v>46073.0</v>
      </c>
      <c r="D4776" s="6" t="s">
        <v>312</v>
      </c>
      <c r="E4776" s="6" t="s">
        <v>1310</v>
      </c>
      <c r="F4776" s="6" t="s">
        <v>249</v>
      </c>
      <c r="G4776" s="6" t="s">
        <v>369</v>
      </c>
      <c r="H4776" s="10">
        <v>46074.0</v>
      </c>
      <c r="I4776" s="12">
        <v>4.0</v>
      </c>
      <c r="J4776" s="6" t="s">
        <v>161</v>
      </c>
    </row>
    <row r="4777" ht="22.5" customHeight="1">
      <c r="A4777" s="6" t="s">
        <v>21585</v>
      </c>
      <c r="B4777" s="6" t="s">
        <v>11067</v>
      </c>
      <c r="C4777" s="10">
        <v>46080.0</v>
      </c>
      <c r="D4777" s="6" t="s">
        <v>312</v>
      </c>
      <c r="E4777" s="6" t="s">
        <v>896</v>
      </c>
      <c r="F4777" s="6" t="s">
        <v>283</v>
      </c>
      <c r="G4777" s="6" t="s">
        <v>452</v>
      </c>
      <c r="H4777" s="10">
        <v>46085.0</v>
      </c>
      <c r="I4777" s="12">
        <v>5.0</v>
      </c>
      <c r="J4777" s="6" t="s">
        <v>161</v>
      </c>
    </row>
    <row r="4778" ht="22.5" customHeight="1">
      <c r="A4778" s="6" t="s">
        <v>21586</v>
      </c>
      <c r="B4778" s="6" t="s">
        <v>11074</v>
      </c>
      <c r="C4778" s="10">
        <v>46078.0</v>
      </c>
      <c r="D4778" s="6" t="s">
        <v>312</v>
      </c>
      <c r="E4778" s="6" t="s">
        <v>1241</v>
      </c>
      <c r="F4778" s="6" t="s">
        <v>283</v>
      </c>
      <c r="G4778" s="6" t="s">
        <v>477</v>
      </c>
      <c r="H4778" s="10">
        <v>46080.0</v>
      </c>
      <c r="I4778" s="12">
        <v>7.0</v>
      </c>
      <c r="J4778" s="6" t="s">
        <v>161</v>
      </c>
    </row>
    <row r="4779" ht="22.5" customHeight="1">
      <c r="A4779" s="6" t="s">
        <v>21587</v>
      </c>
      <c r="B4779" s="6" t="s">
        <v>11074</v>
      </c>
      <c r="C4779" s="10">
        <v>46067.0</v>
      </c>
      <c r="D4779" s="6" t="s">
        <v>289</v>
      </c>
      <c r="E4779" s="6" t="s">
        <v>2881</v>
      </c>
      <c r="F4779" s="6" t="s">
        <v>283</v>
      </c>
      <c r="G4779" s="6" t="s">
        <v>458</v>
      </c>
      <c r="H4779" s="10">
        <v>46069.0</v>
      </c>
      <c r="I4779" s="12">
        <v>6.0</v>
      </c>
      <c r="J4779" s="6" t="s">
        <v>161</v>
      </c>
    </row>
    <row r="4780" ht="22.5" customHeight="1">
      <c r="A4780" s="6" t="s">
        <v>21588</v>
      </c>
      <c r="B4780" s="6" t="s">
        <v>11074</v>
      </c>
      <c r="C4780" s="10">
        <v>46081.0</v>
      </c>
      <c r="D4780" s="6" t="s">
        <v>436</v>
      </c>
      <c r="E4780" s="6" t="s">
        <v>1310</v>
      </c>
      <c r="F4780" s="6" t="s">
        <v>249</v>
      </c>
      <c r="G4780" s="6" t="s">
        <v>458</v>
      </c>
      <c r="H4780" s="10">
        <v>46086.0</v>
      </c>
      <c r="I4780" s="12">
        <v>12.0</v>
      </c>
      <c r="J4780" s="6" t="s">
        <v>178</v>
      </c>
    </row>
    <row r="4781" ht="22.5" customHeight="1">
      <c r="A4781" s="6" t="s">
        <v>21589</v>
      </c>
      <c r="B4781" s="6" t="s">
        <v>11074</v>
      </c>
      <c r="C4781" s="10">
        <v>46086.0</v>
      </c>
      <c r="D4781" s="6" t="s">
        <v>391</v>
      </c>
      <c r="E4781" s="6" t="s">
        <v>1600</v>
      </c>
      <c r="F4781" s="6" t="s">
        <v>439</v>
      </c>
      <c r="G4781" s="6" t="s">
        <v>494</v>
      </c>
      <c r="H4781" s="10">
        <v>46086.0</v>
      </c>
      <c r="I4781" s="12">
        <v>10.0</v>
      </c>
      <c r="J4781" s="6" t="s">
        <v>161</v>
      </c>
    </row>
    <row r="4782" ht="22.5" customHeight="1">
      <c r="A4782" s="6" t="s">
        <v>21590</v>
      </c>
      <c r="B4782" s="6" t="s">
        <v>11074</v>
      </c>
      <c r="C4782" s="10">
        <v>46083.0</v>
      </c>
      <c r="D4782" s="6" t="s">
        <v>312</v>
      </c>
      <c r="E4782" s="6" t="s">
        <v>1296</v>
      </c>
      <c r="F4782" s="6" t="s">
        <v>439</v>
      </c>
      <c r="G4782" s="6" t="s">
        <v>297</v>
      </c>
      <c r="H4782" s="10">
        <v>46086.0</v>
      </c>
      <c r="I4782" s="12">
        <v>7.0</v>
      </c>
      <c r="J4782" s="6" t="s">
        <v>161</v>
      </c>
    </row>
    <row r="4783" ht="22.5" customHeight="1">
      <c r="A4783" s="6" t="s">
        <v>21591</v>
      </c>
      <c r="B4783" s="6" t="s">
        <v>11080</v>
      </c>
      <c r="C4783" s="10">
        <v>46049.0</v>
      </c>
      <c r="D4783" s="6" t="s">
        <v>391</v>
      </c>
      <c r="E4783" s="6" t="s">
        <v>1626</v>
      </c>
      <c r="F4783" s="6" t="s">
        <v>283</v>
      </c>
      <c r="G4783" s="6" t="s">
        <v>369</v>
      </c>
      <c r="H4783" s="11" t="s">
        <v>259</v>
      </c>
      <c r="I4783" s="12">
        <v>9.0</v>
      </c>
      <c r="J4783" s="6" t="s">
        <v>161</v>
      </c>
    </row>
    <row r="4784" ht="22.5" customHeight="1">
      <c r="A4784" s="6" t="s">
        <v>21592</v>
      </c>
      <c r="B4784" s="6" t="s">
        <v>11086</v>
      </c>
      <c r="C4784" s="10">
        <v>46079.0</v>
      </c>
      <c r="D4784" s="6" t="s">
        <v>677</v>
      </c>
      <c r="E4784" s="6" t="s">
        <v>738</v>
      </c>
      <c r="F4784" s="6" t="s">
        <v>439</v>
      </c>
      <c r="G4784" s="6" t="s">
        <v>452</v>
      </c>
      <c r="H4784" s="10">
        <v>46083.0</v>
      </c>
      <c r="I4784" s="12">
        <v>4.0</v>
      </c>
      <c r="J4784" s="6" t="s">
        <v>161</v>
      </c>
    </row>
    <row r="4785" ht="22.5" customHeight="1">
      <c r="A4785" s="6" t="s">
        <v>21593</v>
      </c>
      <c r="B4785" s="6" t="s">
        <v>11086</v>
      </c>
      <c r="C4785" s="10">
        <v>46077.0</v>
      </c>
      <c r="D4785" s="6" t="s">
        <v>416</v>
      </c>
      <c r="E4785" s="6" t="s">
        <v>1969</v>
      </c>
      <c r="F4785" s="6" t="s">
        <v>112</v>
      </c>
      <c r="G4785" s="6" t="s">
        <v>452</v>
      </c>
      <c r="H4785" s="10">
        <v>46078.0</v>
      </c>
      <c r="I4785" s="12">
        <v>12.0</v>
      </c>
      <c r="J4785" s="6" t="s">
        <v>161</v>
      </c>
    </row>
    <row r="4786" ht="22.5" customHeight="1">
      <c r="A4786" s="6" t="s">
        <v>21594</v>
      </c>
      <c r="B4786" s="6" t="s">
        <v>11086</v>
      </c>
      <c r="C4786" s="10">
        <v>46066.0</v>
      </c>
      <c r="D4786" s="6" t="s">
        <v>416</v>
      </c>
      <c r="E4786" s="6" t="s">
        <v>1570</v>
      </c>
      <c r="F4786" s="6" t="s">
        <v>439</v>
      </c>
      <c r="G4786" s="6" t="s">
        <v>477</v>
      </c>
      <c r="H4786" s="10">
        <v>46070.0</v>
      </c>
      <c r="I4786" s="12">
        <v>9.0</v>
      </c>
      <c r="J4786" s="6" t="s">
        <v>161</v>
      </c>
    </row>
    <row r="4787" ht="22.5" customHeight="1">
      <c r="A4787" s="6" t="s">
        <v>21595</v>
      </c>
      <c r="B4787" s="6" t="s">
        <v>11093</v>
      </c>
      <c r="C4787" s="10">
        <v>46087.0</v>
      </c>
      <c r="D4787" s="6" t="s">
        <v>416</v>
      </c>
      <c r="E4787" s="6" t="s">
        <v>512</v>
      </c>
      <c r="F4787" s="6" t="s">
        <v>112</v>
      </c>
      <c r="G4787" s="6" t="s">
        <v>494</v>
      </c>
      <c r="H4787" s="10">
        <v>46091.0</v>
      </c>
      <c r="I4787" s="12">
        <v>10.0</v>
      </c>
      <c r="J4787" s="6" t="s">
        <v>161</v>
      </c>
    </row>
    <row r="4788" ht="22.5" customHeight="1">
      <c r="A4788" s="6" t="s">
        <v>21596</v>
      </c>
      <c r="B4788" s="6" t="s">
        <v>11099</v>
      </c>
      <c r="C4788" s="10">
        <v>46049.0</v>
      </c>
      <c r="D4788" s="6" t="s">
        <v>677</v>
      </c>
      <c r="E4788" s="6" t="s">
        <v>246</v>
      </c>
      <c r="F4788" s="6" t="s">
        <v>112</v>
      </c>
      <c r="G4788" s="6" t="s">
        <v>458</v>
      </c>
      <c r="H4788" s="10">
        <v>46056.0</v>
      </c>
      <c r="I4788" s="12">
        <v>3.0</v>
      </c>
      <c r="J4788" s="6" t="s">
        <v>161</v>
      </c>
    </row>
    <row r="4789" ht="22.5" customHeight="1">
      <c r="A4789" s="6" t="s">
        <v>21597</v>
      </c>
      <c r="B4789" s="6" t="s">
        <v>11099</v>
      </c>
      <c r="C4789" s="10">
        <v>46063.0</v>
      </c>
      <c r="D4789" s="6" t="s">
        <v>416</v>
      </c>
      <c r="E4789" s="6" t="s">
        <v>670</v>
      </c>
      <c r="F4789" s="6" t="s">
        <v>249</v>
      </c>
      <c r="G4789" s="6" t="s">
        <v>297</v>
      </c>
      <c r="H4789" s="10">
        <v>46065.0</v>
      </c>
      <c r="I4789" s="12">
        <v>10.0</v>
      </c>
      <c r="J4789" s="6" t="s">
        <v>161</v>
      </c>
    </row>
    <row r="4790" ht="22.5" customHeight="1">
      <c r="A4790" s="6" t="s">
        <v>21598</v>
      </c>
      <c r="B4790" s="6" t="s">
        <v>11099</v>
      </c>
      <c r="C4790" s="10">
        <v>46060.0</v>
      </c>
      <c r="D4790" s="6" t="s">
        <v>312</v>
      </c>
      <c r="E4790" s="6" t="s">
        <v>775</v>
      </c>
      <c r="F4790" s="6" t="s">
        <v>283</v>
      </c>
      <c r="G4790" s="6" t="s">
        <v>326</v>
      </c>
      <c r="H4790" s="10">
        <v>46063.0</v>
      </c>
      <c r="I4790" s="12">
        <v>7.0</v>
      </c>
      <c r="J4790" s="6" t="s">
        <v>161</v>
      </c>
    </row>
    <row r="4791" ht="22.5" customHeight="1">
      <c r="A4791" s="6" t="s">
        <v>21599</v>
      </c>
      <c r="B4791" s="6" t="s">
        <v>11104</v>
      </c>
      <c r="C4791" s="10">
        <v>46069.0</v>
      </c>
      <c r="D4791" s="6" t="s">
        <v>242</v>
      </c>
      <c r="E4791" s="6" t="s">
        <v>896</v>
      </c>
      <c r="F4791" s="6" t="s">
        <v>249</v>
      </c>
      <c r="G4791" s="6" t="s">
        <v>297</v>
      </c>
      <c r="H4791" s="10">
        <v>46069.0</v>
      </c>
      <c r="I4791" s="12">
        <v>3.0</v>
      </c>
      <c r="J4791" s="6" t="s">
        <v>161</v>
      </c>
    </row>
    <row r="4792" ht="22.5" customHeight="1">
      <c r="A4792" s="6" t="s">
        <v>21600</v>
      </c>
      <c r="B4792" s="6" t="s">
        <v>11104</v>
      </c>
      <c r="C4792" s="10">
        <v>46056.0</v>
      </c>
      <c r="D4792" s="6" t="s">
        <v>416</v>
      </c>
      <c r="E4792" s="6" t="s">
        <v>1570</v>
      </c>
      <c r="F4792" s="6" t="s">
        <v>283</v>
      </c>
      <c r="G4792" s="6" t="s">
        <v>326</v>
      </c>
      <c r="H4792" s="10">
        <v>46062.0</v>
      </c>
      <c r="I4792" s="12">
        <v>11.0</v>
      </c>
      <c r="J4792" s="6" t="s">
        <v>161</v>
      </c>
    </row>
    <row r="4793" ht="22.5" customHeight="1">
      <c r="A4793" s="6" t="s">
        <v>21601</v>
      </c>
      <c r="B4793" s="6" t="s">
        <v>11104</v>
      </c>
      <c r="C4793" s="10">
        <v>46060.0</v>
      </c>
      <c r="D4793" s="6" t="s">
        <v>677</v>
      </c>
      <c r="E4793" s="6" t="s">
        <v>738</v>
      </c>
      <c r="F4793" s="6" t="s">
        <v>439</v>
      </c>
      <c r="G4793" s="6" t="s">
        <v>477</v>
      </c>
      <c r="H4793" s="10">
        <v>46067.0</v>
      </c>
      <c r="I4793" s="12">
        <v>3.0</v>
      </c>
      <c r="J4793" s="6" t="s">
        <v>161</v>
      </c>
    </row>
    <row r="4794" ht="22.5" customHeight="1">
      <c r="A4794" s="6" t="s">
        <v>21602</v>
      </c>
      <c r="B4794" s="6" t="s">
        <v>11104</v>
      </c>
      <c r="C4794" s="10">
        <v>46057.0</v>
      </c>
      <c r="D4794" s="6" t="s">
        <v>416</v>
      </c>
      <c r="E4794" s="6" t="s">
        <v>775</v>
      </c>
      <c r="F4794" s="6" t="s">
        <v>112</v>
      </c>
      <c r="G4794" s="6" t="s">
        <v>452</v>
      </c>
      <c r="H4794" s="10">
        <v>46062.0</v>
      </c>
      <c r="I4794" s="12">
        <v>9.0</v>
      </c>
      <c r="J4794" s="6" t="s">
        <v>161</v>
      </c>
    </row>
    <row r="4795" ht="22.5" customHeight="1">
      <c r="A4795" s="6" t="s">
        <v>21603</v>
      </c>
      <c r="B4795" s="6" t="s">
        <v>11104</v>
      </c>
      <c r="C4795" s="10">
        <v>46066.0</v>
      </c>
      <c r="D4795" s="6" t="s">
        <v>289</v>
      </c>
      <c r="E4795" s="6" t="s">
        <v>1546</v>
      </c>
      <c r="F4795" s="6" t="s">
        <v>112</v>
      </c>
      <c r="G4795" s="6" t="s">
        <v>458</v>
      </c>
      <c r="H4795" s="10">
        <v>46066.0</v>
      </c>
      <c r="I4795" s="12">
        <v>6.0</v>
      </c>
      <c r="J4795" s="6" t="s">
        <v>161</v>
      </c>
    </row>
    <row r="4796" ht="22.5" customHeight="1">
      <c r="A4796" s="6" t="s">
        <v>21604</v>
      </c>
      <c r="B4796" s="6" t="s">
        <v>11111</v>
      </c>
      <c r="C4796" s="10">
        <v>46062.0</v>
      </c>
      <c r="D4796" s="6" t="s">
        <v>391</v>
      </c>
      <c r="E4796" s="6" t="s">
        <v>798</v>
      </c>
      <c r="F4796" s="6" t="s">
        <v>283</v>
      </c>
      <c r="G4796" s="6" t="s">
        <v>458</v>
      </c>
      <c r="H4796" s="10">
        <v>46063.0</v>
      </c>
      <c r="I4796" s="12">
        <v>10.0</v>
      </c>
      <c r="J4796" s="6" t="s">
        <v>161</v>
      </c>
    </row>
    <row r="4797" ht="22.5" customHeight="1">
      <c r="A4797" s="6" t="s">
        <v>21605</v>
      </c>
      <c r="B4797" s="6" t="s">
        <v>11111</v>
      </c>
      <c r="C4797" s="10">
        <v>46060.0</v>
      </c>
      <c r="D4797" s="6" t="s">
        <v>436</v>
      </c>
      <c r="E4797" s="6" t="s">
        <v>787</v>
      </c>
      <c r="F4797" s="6" t="s">
        <v>249</v>
      </c>
      <c r="G4797" s="6" t="s">
        <v>297</v>
      </c>
      <c r="H4797" s="10">
        <v>46060.0</v>
      </c>
      <c r="I4797" s="12">
        <v>10.0</v>
      </c>
      <c r="J4797" s="6" t="s">
        <v>161</v>
      </c>
    </row>
    <row r="4798" ht="22.5" customHeight="1">
      <c r="A4798" s="6" t="s">
        <v>21606</v>
      </c>
      <c r="B4798" s="6" t="s">
        <v>11117</v>
      </c>
      <c r="C4798" s="10">
        <v>46041.0</v>
      </c>
      <c r="D4798" s="6" t="s">
        <v>312</v>
      </c>
      <c r="E4798" s="6" t="s">
        <v>365</v>
      </c>
      <c r="F4798" s="6" t="s">
        <v>112</v>
      </c>
      <c r="G4798" s="6" t="s">
        <v>326</v>
      </c>
      <c r="H4798" s="10">
        <v>46043.0</v>
      </c>
      <c r="I4798" s="12">
        <v>6.0</v>
      </c>
      <c r="J4798" s="6" t="s">
        <v>161</v>
      </c>
    </row>
    <row r="4799" ht="22.5" customHeight="1">
      <c r="A4799" s="6" t="s">
        <v>21607</v>
      </c>
      <c r="B4799" s="6" t="s">
        <v>11117</v>
      </c>
      <c r="C4799" s="10">
        <v>46051.0</v>
      </c>
      <c r="D4799" s="6" t="s">
        <v>677</v>
      </c>
      <c r="E4799" s="6" t="s">
        <v>896</v>
      </c>
      <c r="F4799" s="6" t="s">
        <v>112</v>
      </c>
      <c r="G4799" s="6" t="s">
        <v>452</v>
      </c>
      <c r="H4799" s="10">
        <v>46052.0</v>
      </c>
      <c r="I4799" s="12">
        <v>2.0</v>
      </c>
      <c r="J4799" s="6" t="s">
        <v>161</v>
      </c>
    </row>
    <row r="4800" ht="22.5" customHeight="1">
      <c r="A4800" s="6" t="s">
        <v>21608</v>
      </c>
      <c r="B4800" s="6" t="s">
        <v>11117</v>
      </c>
      <c r="C4800" s="10">
        <v>46048.0</v>
      </c>
      <c r="D4800" s="6" t="s">
        <v>391</v>
      </c>
      <c r="E4800" s="6" t="s">
        <v>1310</v>
      </c>
      <c r="F4800" s="6" t="s">
        <v>283</v>
      </c>
      <c r="G4800" s="6" t="s">
        <v>254</v>
      </c>
      <c r="H4800" s="10">
        <v>46055.0</v>
      </c>
      <c r="I4800" s="12">
        <v>6.0</v>
      </c>
      <c r="J4800" s="6" t="s">
        <v>161</v>
      </c>
    </row>
    <row r="4801" ht="22.5" customHeight="1">
      <c r="A4801" s="6" t="s">
        <v>21609</v>
      </c>
      <c r="B4801" s="6" t="s">
        <v>11117</v>
      </c>
      <c r="C4801" s="10">
        <v>46043.0</v>
      </c>
      <c r="D4801" s="6" t="s">
        <v>416</v>
      </c>
      <c r="E4801" s="6" t="s">
        <v>1310</v>
      </c>
      <c r="F4801" s="6" t="s">
        <v>283</v>
      </c>
      <c r="G4801" s="6" t="s">
        <v>369</v>
      </c>
      <c r="H4801" s="10">
        <v>46046.0</v>
      </c>
      <c r="I4801" s="12">
        <v>9.0</v>
      </c>
      <c r="J4801" s="6" t="s">
        <v>161</v>
      </c>
    </row>
    <row r="4802" ht="22.5" customHeight="1">
      <c r="A4802" s="6" t="s">
        <v>21610</v>
      </c>
      <c r="B4802" s="6" t="s">
        <v>11117</v>
      </c>
      <c r="C4802" s="10">
        <v>46046.0</v>
      </c>
      <c r="D4802" s="6" t="s">
        <v>289</v>
      </c>
      <c r="E4802" s="6" t="s">
        <v>475</v>
      </c>
      <c r="F4802" s="6" t="s">
        <v>439</v>
      </c>
      <c r="G4802" s="6" t="s">
        <v>494</v>
      </c>
      <c r="H4802" s="10">
        <v>46047.0</v>
      </c>
      <c r="I4802" s="12">
        <v>10.0</v>
      </c>
      <c r="J4802" s="6" t="s">
        <v>161</v>
      </c>
    </row>
    <row r="4803" ht="22.5" customHeight="1">
      <c r="A4803" s="6" t="s">
        <v>21611</v>
      </c>
      <c r="B4803" s="6" t="s">
        <v>11123</v>
      </c>
      <c r="C4803" s="10">
        <v>46045.0</v>
      </c>
      <c r="D4803" s="6" t="s">
        <v>242</v>
      </c>
      <c r="E4803" s="6" t="s">
        <v>2365</v>
      </c>
      <c r="F4803" s="6" t="s">
        <v>112</v>
      </c>
      <c r="G4803" s="6" t="s">
        <v>477</v>
      </c>
      <c r="H4803" s="10">
        <v>46049.0</v>
      </c>
      <c r="I4803" s="12">
        <v>5.0</v>
      </c>
      <c r="J4803" s="6" t="s">
        <v>178</v>
      </c>
    </row>
    <row r="4804" ht="22.5" customHeight="1">
      <c r="A4804" s="6" t="s">
        <v>21612</v>
      </c>
      <c r="B4804" s="6" t="s">
        <v>11130</v>
      </c>
      <c r="C4804" s="10">
        <v>46038.0</v>
      </c>
      <c r="D4804" s="6" t="s">
        <v>289</v>
      </c>
      <c r="E4804" s="6" t="s">
        <v>1700</v>
      </c>
      <c r="F4804" s="6" t="s">
        <v>439</v>
      </c>
      <c r="G4804" s="6" t="s">
        <v>452</v>
      </c>
      <c r="H4804" s="10">
        <v>46040.0</v>
      </c>
      <c r="I4804" s="12">
        <v>9.0</v>
      </c>
      <c r="J4804" s="6" t="s">
        <v>161</v>
      </c>
    </row>
    <row r="4805" ht="22.5" customHeight="1">
      <c r="A4805" s="6" t="s">
        <v>21613</v>
      </c>
      <c r="B4805" s="6" t="s">
        <v>11130</v>
      </c>
      <c r="C4805" s="10">
        <v>46048.0</v>
      </c>
      <c r="D4805" s="6" t="s">
        <v>289</v>
      </c>
      <c r="E4805" s="6" t="s">
        <v>863</v>
      </c>
      <c r="F4805" s="6" t="s">
        <v>439</v>
      </c>
      <c r="G4805" s="6" t="s">
        <v>326</v>
      </c>
      <c r="H4805" s="10">
        <v>46052.0</v>
      </c>
      <c r="I4805" s="12">
        <v>5.0</v>
      </c>
      <c r="J4805" s="6" t="s">
        <v>161</v>
      </c>
    </row>
    <row r="4806" ht="22.5" customHeight="1">
      <c r="A4806" s="6" t="s">
        <v>21614</v>
      </c>
      <c r="B4806" s="6" t="s">
        <v>11130</v>
      </c>
      <c r="C4806" s="10">
        <v>46048.0</v>
      </c>
      <c r="D4806" s="6" t="s">
        <v>436</v>
      </c>
      <c r="E4806" s="6" t="s">
        <v>1741</v>
      </c>
      <c r="F4806" s="6" t="s">
        <v>283</v>
      </c>
      <c r="G4806" s="6" t="s">
        <v>477</v>
      </c>
      <c r="H4806" s="10">
        <v>46055.0</v>
      </c>
      <c r="I4806" s="12">
        <v>7.0</v>
      </c>
      <c r="J4806" s="6" t="s">
        <v>178</v>
      </c>
    </row>
    <row r="4807" ht="22.5" customHeight="1">
      <c r="A4807" s="6" t="s">
        <v>21615</v>
      </c>
      <c r="B4807" s="6" t="s">
        <v>11136</v>
      </c>
      <c r="C4807" s="10">
        <v>46070.0</v>
      </c>
      <c r="D4807" s="6" t="s">
        <v>242</v>
      </c>
      <c r="E4807" s="6" t="s">
        <v>885</v>
      </c>
      <c r="F4807" s="6" t="s">
        <v>283</v>
      </c>
      <c r="G4807" s="6" t="s">
        <v>477</v>
      </c>
      <c r="H4807" s="10">
        <v>46075.0</v>
      </c>
      <c r="I4807" s="12">
        <v>6.0</v>
      </c>
      <c r="J4807" s="6" t="s">
        <v>178</v>
      </c>
    </row>
    <row r="4808" ht="22.5" customHeight="1">
      <c r="A4808" s="6" t="s">
        <v>21616</v>
      </c>
      <c r="B4808" s="6" t="s">
        <v>11136</v>
      </c>
      <c r="C4808" s="10">
        <v>46062.0</v>
      </c>
      <c r="D4808" s="6" t="s">
        <v>289</v>
      </c>
      <c r="E4808" s="6" t="s">
        <v>365</v>
      </c>
      <c r="F4808" s="6" t="s">
        <v>112</v>
      </c>
      <c r="G4808" s="6" t="s">
        <v>254</v>
      </c>
      <c r="H4808" s="11" t="s">
        <v>259</v>
      </c>
      <c r="I4808" s="12">
        <v>5.0</v>
      </c>
      <c r="J4808" s="6" t="s">
        <v>161</v>
      </c>
    </row>
    <row r="4809" ht="22.5" customHeight="1">
      <c r="A4809" s="6" t="s">
        <v>21617</v>
      </c>
      <c r="B4809" s="6" t="s">
        <v>11136</v>
      </c>
      <c r="C4809" s="10">
        <v>46079.0</v>
      </c>
      <c r="D4809" s="6" t="s">
        <v>312</v>
      </c>
      <c r="E4809" s="6" t="s">
        <v>738</v>
      </c>
      <c r="F4809" s="6" t="s">
        <v>249</v>
      </c>
      <c r="G4809" s="6" t="s">
        <v>369</v>
      </c>
      <c r="H4809" s="10">
        <v>46086.0</v>
      </c>
      <c r="I4809" s="12">
        <v>7.0</v>
      </c>
      <c r="J4809" s="6" t="s">
        <v>161</v>
      </c>
    </row>
    <row r="4810" ht="22.5" customHeight="1">
      <c r="A4810" s="6" t="s">
        <v>21618</v>
      </c>
      <c r="B4810" s="6" t="s">
        <v>11136</v>
      </c>
      <c r="C4810" s="10">
        <v>46066.0</v>
      </c>
      <c r="D4810" s="6" t="s">
        <v>391</v>
      </c>
      <c r="E4810" s="6" t="s">
        <v>628</v>
      </c>
      <c r="F4810" s="6" t="s">
        <v>439</v>
      </c>
      <c r="G4810" s="6" t="s">
        <v>297</v>
      </c>
      <c r="H4810" s="10">
        <v>46068.0</v>
      </c>
      <c r="I4810" s="12">
        <v>10.0</v>
      </c>
      <c r="J4810" s="6" t="s">
        <v>161</v>
      </c>
    </row>
    <row r="4811" ht="22.5" customHeight="1">
      <c r="A4811" s="6" t="s">
        <v>21619</v>
      </c>
      <c r="B4811" s="6" t="s">
        <v>11143</v>
      </c>
      <c r="C4811" s="10">
        <v>46049.0</v>
      </c>
      <c r="D4811" s="6" t="s">
        <v>391</v>
      </c>
      <c r="E4811" s="6" t="s">
        <v>833</v>
      </c>
      <c r="F4811" s="6" t="s">
        <v>439</v>
      </c>
      <c r="G4811" s="6" t="s">
        <v>458</v>
      </c>
      <c r="H4811" s="10">
        <v>46054.0</v>
      </c>
      <c r="I4811" s="12">
        <v>6.0</v>
      </c>
      <c r="J4811" s="6" t="s">
        <v>161</v>
      </c>
    </row>
    <row r="4812" ht="22.5" customHeight="1">
      <c r="A4812" s="6" t="s">
        <v>21620</v>
      </c>
      <c r="B4812" s="6" t="s">
        <v>11143</v>
      </c>
      <c r="C4812" s="10">
        <v>46044.0</v>
      </c>
      <c r="D4812" s="6" t="s">
        <v>436</v>
      </c>
      <c r="E4812" s="6" t="s">
        <v>955</v>
      </c>
      <c r="F4812" s="6" t="s">
        <v>112</v>
      </c>
      <c r="G4812" s="6" t="s">
        <v>477</v>
      </c>
      <c r="H4812" s="11" t="s">
        <v>259</v>
      </c>
      <c r="I4812" s="12">
        <v>11.0</v>
      </c>
      <c r="J4812" s="6" t="s">
        <v>161</v>
      </c>
    </row>
    <row r="4813" ht="22.5" customHeight="1">
      <c r="A4813" s="6" t="s">
        <v>21621</v>
      </c>
      <c r="B4813" s="6" t="s">
        <v>11143</v>
      </c>
      <c r="C4813" s="10">
        <v>46050.0</v>
      </c>
      <c r="D4813" s="6" t="s">
        <v>289</v>
      </c>
      <c r="E4813" s="6" t="s">
        <v>438</v>
      </c>
      <c r="F4813" s="6" t="s">
        <v>112</v>
      </c>
      <c r="G4813" s="6" t="s">
        <v>254</v>
      </c>
      <c r="H4813" s="10">
        <v>46053.0</v>
      </c>
      <c r="I4813" s="12">
        <v>9.0</v>
      </c>
      <c r="J4813" s="6" t="s">
        <v>161</v>
      </c>
    </row>
    <row r="4814" ht="22.5" customHeight="1">
      <c r="A4814" s="6" t="s">
        <v>21622</v>
      </c>
      <c r="B4814" s="6" t="s">
        <v>11143</v>
      </c>
      <c r="C4814" s="10">
        <v>46059.0</v>
      </c>
      <c r="D4814" s="6" t="s">
        <v>312</v>
      </c>
      <c r="E4814" s="6" t="s">
        <v>896</v>
      </c>
      <c r="F4814" s="6" t="s">
        <v>112</v>
      </c>
      <c r="G4814" s="6" t="s">
        <v>458</v>
      </c>
      <c r="H4814" s="10">
        <v>46065.0</v>
      </c>
      <c r="I4814" s="12">
        <v>5.0</v>
      </c>
      <c r="J4814" s="6" t="s">
        <v>161</v>
      </c>
    </row>
    <row r="4815" ht="22.5" customHeight="1">
      <c r="A4815" s="6" t="s">
        <v>21623</v>
      </c>
      <c r="B4815" s="6" t="s">
        <v>11143</v>
      </c>
      <c r="C4815" s="10">
        <v>46048.0</v>
      </c>
      <c r="D4815" s="6" t="s">
        <v>289</v>
      </c>
      <c r="E4815" s="6" t="s">
        <v>1600</v>
      </c>
      <c r="F4815" s="6" t="s">
        <v>249</v>
      </c>
      <c r="G4815" s="6" t="s">
        <v>369</v>
      </c>
      <c r="H4815" s="10">
        <v>46053.0</v>
      </c>
      <c r="I4815" s="12">
        <v>8.0</v>
      </c>
      <c r="J4815" s="6" t="s">
        <v>161</v>
      </c>
    </row>
    <row r="4816" ht="22.5" customHeight="1">
      <c r="A4816" s="6" t="s">
        <v>21624</v>
      </c>
      <c r="B4816" s="6" t="s">
        <v>11149</v>
      </c>
      <c r="C4816" s="10">
        <v>46047.0</v>
      </c>
      <c r="D4816" s="6" t="s">
        <v>677</v>
      </c>
      <c r="E4816" s="6" t="s">
        <v>1552</v>
      </c>
      <c r="F4816" s="6" t="s">
        <v>249</v>
      </c>
      <c r="G4816" s="6" t="s">
        <v>494</v>
      </c>
      <c r="H4816" s="10">
        <v>46047.0</v>
      </c>
      <c r="I4816" s="12">
        <v>3.0</v>
      </c>
      <c r="J4816" s="6" t="s">
        <v>161</v>
      </c>
    </row>
    <row r="4817" ht="22.5" customHeight="1">
      <c r="A4817" s="6" t="s">
        <v>21625</v>
      </c>
      <c r="B4817" s="6" t="s">
        <v>11156</v>
      </c>
      <c r="C4817" s="10">
        <v>46067.0</v>
      </c>
      <c r="D4817" s="6" t="s">
        <v>436</v>
      </c>
      <c r="E4817" s="6" t="s">
        <v>658</v>
      </c>
      <c r="F4817" s="6" t="s">
        <v>283</v>
      </c>
      <c r="G4817" s="6" t="s">
        <v>494</v>
      </c>
      <c r="H4817" s="10">
        <v>46074.0</v>
      </c>
      <c r="I4817" s="12">
        <v>6.0</v>
      </c>
      <c r="J4817" s="6" t="s">
        <v>178</v>
      </c>
    </row>
    <row r="4818" ht="22.5" customHeight="1">
      <c r="A4818" s="6" t="s">
        <v>21626</v>
      </c>
      <c r="B4818" s="6" t="s">
        <v>11156</v>
      </c>
      <c r="C4818" s="10">
        <v>46062.0</v>
      </c>
      <c r="D4818" s="6" t="s">
        <v>391</v>
      </c>
      <c r="E4818" s="6" t="s">
        <v>618</v>
      </c>
      <c r="F4818" s="6" t="s">
        <v>112</v>
      </c>
      <c r="G4818" s="6" t="s">
        <v>458</v>
      </c>
      <c r="H4818" s="10">
        <v>46062.0</v>
      </c>
      <c r="I4818" s="12">
        <v>9.0</v>
      </c>
      <c r="J4818" s="6" t="s">
        <v>161</v>
      </c>
    </row>
    <row r="4819" ht="22.5" customHeight="1">
      <c r="A4819" s="6" t="s">
        <v>21627</v>
      </c>
      <c r="B4819" s="6" t="s">
        <v>11156</v>
      </c>
      <c r="C4819" s="10">
        <v>46057.0</v>
      </c>
      <c r="D4819" s="6" t="s">
        <v>312</v>
      </c>
      <c r="E4819" s="6" t="s">
        <v>704</v>
      </c>
      <c r="F4819" s="6" t="s">
        <v>283</v>
      </c>
      <c r="G4819" s="6" t="s">
        <v>297</v>
      </c>
      <c r="H4819" s="10">
        <v>46057.0</v>
      </c>
      <c r="I4819" s="12">
        <v>4.0</v>
      </c>
      <c r="J4819" s="6" t="s">
        <v>161</v>
      </c>
    </row>
    <row r="4820" ht="22.5" customHeight="1">
      <c r="A4820" s="6" t="s">
        <v>21628</v>
      </c>
      <c r="B4820" s="6" t="s">
        <v>11156</v>
      </c>
      <c r="C4820" s="10">
        <v>46049.0</v>
      </c>
      <c r="D4820" s="6" t="s">
        <v>289</v>
      </c>
      <c r="E4820" s="6" t="s">
        <v>1517</v>
      </c>
      <c r="F4820" s="6" t="s">
        <v>249</v>
      </c>
      <c r="G4820" s="6" t="s">
        <v>297</v>
      </c>
      <c r="H4820" s="10">
        <v>46051.0</v>
      </c>
      <c r="I4820" s="12">
        <v>8.0</v>
      </c>
      <c r="J4820" s="6" t="s">
        <v>161</v>
      </c>
    </row>
    <row r="4821" ht="22.5" customHeight="1">
      <c r="A4821" s="6" t="s">
        <v>21629</v>
      </c>
      <c r="B4821" s="6" t="s">
        <v>11156</v>
      </c>
      <c r="C4821" s="10">
        <v>46068.0</v>
      </c>
      <c r="D4821" s="6" t="s">
        <v>391</v>
      </c>
      <c r="E4821" s="6" t="s">
        <v>695</v>
      </c>
      <c r="F4821" s="6" t="s">
        <v>112</v>
      </c>
      <c r="G4821" s="6" t="s">
        <v>326</v>
      </c>
      <c r="H4821" s="10">
        <v>46071.0</v>
      </c>
      <c r="I4821" s="12">
        <v>11.0</v>
      </c>
      <c r="J4821" s="6" t="s">
        <v>161</v>
      </c>
    </row>
    <row r="4822" ht="22.5" customHeight="1">
      <c r="A4822" s="6" t="s">
        <v>21630</v>
      </c>
      <c r="B4822" s="6" t="s">
        <v>11162</v>
      </c>
      <c r="C4822" s="10">
        <v>46048.0</v>
      </c>
      <c r="D4822" s="6" t="s">
        <v>242</v>
      </c>
      <c r="E4822" s="6" t="s">
        <v>1055</v>
      </c>
      <c r="F4822" s="6" t="s">
        <v>249</v>
      </c>
      <c r="G4822" s="6" t="s">
        <v>494</v>
      </c>
      <c r="H4822" s="11" t="s">
        <v>259</v>
      </c>
      <c r="I4822" s="12">
        <v>6.0</v>
      </c>
      <c r="J4822" s="6" t="s">
        <v>161</v>
      </c>
    </row>
    <row r="4823" ht="22.5" customHeight="1">
      <c r="A4823" s="6" t="s">
        <v>21631</v>
      </c>
      <c r="B4823" s="6" t="s">
        <v>11162</v>
      </c>
      <c r="C4823" s="10">
        <v>46051.0</v>
      </c>
      <c r="D4823" s="6" t="s">
        <v>416</v>
      </c>
      <c r="E4823" s="6" t="s">
        <v>704</v>
      </c>
      <c r="F4823" s="6" t="s">
        <v>439</v>
      </c>
      <c r="G4823" s="6" t="s">
        <v>477</v>
      </c>
      <c r="H4823" s="10">
        <v>46055.0</v>
      </c>
      <c r="I4823" s="12">
        <v>9.0</v>
      </c>
      <c r="J4823" s="6" t="s">
        <v>161</v>
      </c>
    </row>
    <row r="4824" ht="22.5" customHeight="1">
      <c r="A4824" s="6" t="s">
        <v>21632</v>
      </c>
      <c r="B4824" s="6" t="s">
        <v>11162</v>
      </c>
      <c r="C4824" s="10">
        <v>46039.0</v>
      </c>
      <c r="D4824" s="6" t="s">
        <v>416</v>
      </c>
      <c r="E4824" s="6" t="s">
        <v>628</v>
      </c>
      <c r="F4824" s="6" t="s">
        <v>283</v>
      </c>
      <c r="G4824" s="6" t="s">
        <v>494</v>
      </c>
      <c r="H4824" s="10">
        <v>46040.0</v>
      </c>
      <c r="I4824" s="12">
        <v>10.0</v>
      </c>
      <c r="J4824" s="6" t="s">
        <v>161</v>
      </c>
    </row>
    <row r="4825" ht="22.5" customHeight="1">
      <c r="A4825" s="6" t="s">
        <v>21633</v>
      </c>
      <c r="B4825" s="6" t="s">
        <v>11162</v>
      </c>
      <c r="C4825" s="10">
        <v>46051.0</v>
      </c>
      <c r="D4825" s="6" t="s">
        <v>312</v>
      </c>
      <c r="E4825" s="6" t="s">
        <v>1070</v>
      </c>
      <c r="F4825" s="6" t="s">
        <v>439</v>
      </c>
      <c r="G4825" s="6" t="s">
        <v>326</v>
      </c>
      <c r="H4825" s="10">
        <v>46057.0</v>
      </c>
      <c r="I4825" s="12">
        <v>6.0</v>
      </c>
      <c r="J4825" s="6" t="s">
        <v>161</v>
      </c>
    </row>
    <row r="4826" ht="22.5" customHeight="1">
      <c r="A4826" s="6" t="s">
        <v>21634</v>
      </c>
      <c r="B4826" s="6" t="s">
        <v>11162</v>
      </c>
      <c r="C4826" s="10">
        <v>46044.0</v>
      </c>
      <c r="D4826" s="6" t="s">
        <v>391</v>
      </c>
      <c r="E4826" s="6" t="s">
        <v>863</v>
      </c>
      <c r="F4826" s="6" t="s">
        <v>283</v>
      </c>
      <c r="G4826" s="6" t="s">
        <v>297</v>
      </c>
      <c r="H4826" s="10">
        <v>46047.0</v>
      </c>
      <c r="I4826" s="12">
        <v>11.0</v>
      </c>
      <c r="J4826" s="6" t="s">
        <v>161</v>
      </c>
    </row>
    <row r="4827" ht="22.5" customHeight="1">
      <c r="A4827" s="6" t="s">
        <v>21635</v>
      </c>
      <c r="B4827" s="6" t="s">
        <v>11168</v>
      </c>
      <c r="C4827" s="10">
        <v>46064.0</v>
      </c>
      <c r="D4827" s="6" t="s">
        <v>677</v>
      </c>
      <c r="E4827" s="6" t="s">
        <v>885</v>
      </c>
      <c r="F4827" s="6" t="s">
        <v>439</v>
      </c>
      <c r="G4827" s="6" t="s">
        <v>369</v>
      </c>
      <c r="H4827" s="10">
        <v>46071.0</v>
      </c>
      <c r="I4827" s="12">
        <v>2.0</v>
      </c>
      <c r="J4827" s="6" t="s">
        <v>161</v>
      </c>
    </row>
    <row r="4828" ht="22.5" customHeight="1">
      <c r="A4828" s="6" t="s">
        <v>21636</v>
      </c>
      <c r="B4828" s="6" t="s">
        <v>11168</v>
      </c>
      <c r="C4828" s="10">
        <v>46080.0</v>
      </c>
      <c r="D4828" s="6" t="s">
        <v>677</v>
      </c>
      <c r="E4828" s="6" t="s">
        <v>475</v>
      </c>
      <c r="F4828" s="6" t="s">
        <v>112</v>
      </c>
      <c r="G4828" s="6" t="s">
        <v>477</v>
      </c>
      <c r="H4828" s="10">
        <v>46082.0</v>
      </c>
      <c r="I4828" s="12">
        <v>2.0</v>
      </c>
      <c r="J4828" s="6" t="s">
        <v>161</v>
      </c>
    </row>
    <row r="4829" ht="22.5" customHeight="1">
      <c r="A4829" s="6" t="s">
        <v>21637</v>
      </c>
      <c r="B4829" s="6" t="s">
        <v>11173</v>
      </c>
      <c r="C4829" s="10">
        <v>46049.0</v>
      </c>
      <c r="D4829" s="6" t="s">
        <v>436</v>
      </c>
      <c r="E4829" s="6" t="s">
        <v>450</v>
      </c>
      <c r="F4829" s="6" t="s">
        <v>439</v>
      </c>
      <c r="G4829" s="6" t="s">
        <v>477</v>
      </c>
      <c r="H4829" s="10">
        <v>46049.0</v>
      </c>
      <c r="I4829" s="12">
        <v>12.0</v>
      </c>
      <c r="J4829" s="6" t="s">
        <v>178</v>
      </c>
    </row>
    <row r="4830" ht="22.5" customHeight="1">
      <c r="A4830" s="6" t="s">
        <v>21638</v>
      </c>
      <c r="B4830" s="6" t="s">
        <v>11173</v>
      </c>
      <c r="C4830" s="10">
        <v>46065.0</v>
      </c>
      <c r="D4830" s="6" t="s">
        <v>289</v>
      </c>
      <c r="E4830" s="6" t="s">
        <v>1273</v>
      </c>
      <c r="F4830" s="6" t="s">
        <v>249</v>
      </c>
      <c r="G4830" s="6" t="s">
        <v>458</v>
      </c>
      <c r="H4830" s="10">
        <v>46072.0</v>
      </c>
      <c r="I4830" s="12">
        <v>10.0</v>
      </c>
      <c r="J4830" s="6" t="s">
        <v>161</v>
      </c>
    </row>
    <row r="4831" ht="22.5" customHeight="1">
      <c r="A4831" s="6" t="s">
        <v>21639</v>
      </c>
      <c r="B4831" s="6" t="s">
        <v>11173</v>
      </c>
      <c r="C4831" s="10">
        <v>46067.0</v>
      </c>
      <c r="D4831" s="6" t="s">
        <v>416</v>
      </c>
      <c r="E4831" s="6" t="s">
        <v>438</v>
      </c>
      <c r="F4831" s="6" t="s">
        <v>283</v>
      </c>
      <c r="G4831" s="6" t="s">
        <v>452</v>
      </c>
      <c r="H4831" s="10">
        <v>46070.0</v>
      </c>
      <c r="I4831" s="12">
        <v>10.0</v>
      </c>
      <c r="J4831" s="6" t="s">
        <v>161</v>
      </c>
    </row>
    <row r="4832" ht="22.5" customHeight="1">
      <c r="A4832" s="6" t="s">
        <v>21640</v>
      </c>
      <c r="B4832" s="6" t="s">
        <v>11173</v>
      </c>
      <c r="C4832" s="10">
        <v>46053.0</v>
      </c>
      <c r="D4832" s="6" t="s">
        <v>242</v>
      </c>
      <c r="E4832" s="6" t="s">
        <v>812</v>
      </c>
      <c r="F4832" s="6" t="s">
        <v>249</v>
      </c>
      <c r="G4832" s="6" t="s">
        <v>494</v>
      </c>
      <c r="H4832" s="10">
        <v>46053.0</v>
      </c>
      <c r="I4832" s="12">
        <v>5.0</v>
      </c>
      <c r="J4832" s="6" t="s">
        <v>161</v>
      </c>
    </row>
    <row r="4833" ht="22.5" customHeight="1">
      <c r="A4833" s="6" t="s">
        <v>21641</v>
      </c>
      <c r="B4833" s="6" t="s">
        <v>11180</v>
      </c>
      <c r="C4833" s="10">
        <v>46049.0</v>
      </c>
      <c r="D4833" s="6" t="s">
        <v>391</v>
      </c>
      <c r="E4833" s="6" t="s">
        <v>566</v>
      </c>
      <c r="F4833" s="6" t="s">
        <v>112</v>
      </c>
      <c r="G4833" s="6" t="s">
        <v>297</v>
      </c>
      <c r="H4833" s="10">
        <v>46056.0</v>
      </c>
      <c r="I4833" s="12">
        <v>6.0</v>
      </c>
      <c r="J4833" s="6" t="s">
        <v>161</v>
      </c>
    </row>
    <row r="4834" ht="22.5" customHeight="1">
      <c r="A4834" s="6" t="s">
        <v>21642</v>
      </c>
      <c r="B4834" s="6" t="s">
        <v>11180</v>
      </c>
      <c r="C4834" s="10">
        <v>46049.0</v>
      </c>
      <c r="D4834" s="6" t="s">
        <v>436</v>
      </c>
      <c r="E4834" s="6" t="s">
        <v>1570</v>
      </c>
      <c r="F4834" s="6" t="s">
        <v>112</v>
      </c>
      <c r="G4834" s="6" t="s">
        <v>452</v>
      </c>
      <c r="H4834" s="10">
        <v>46049.0</v>
      </c>
      <c r="I4834" s="12">
        <v>12.0</v>
      </c>
      <c r="J4834" s="6" t="s">
        <v>178</v>
      </c>
    </row>
    <row r="4835" ht="22.5" customHeight="1">
      <c r="A4835" s="6" t="s">
        <v>21643</v>
      </c>
      <c r="B4835" s="6" t="s">
        <v>11186</v>
      </c>
      <c r="C4835" s="10">
        <v>46028.0</v>
      </c>
      <c r="D4835" s="6" t="s">
        <v>242</v>
      </c>
      <c r="E4835" s="6" t="s">
        <v>2365</v>
      </c>
      <c r="F4835" s="6" t="s">
        <v>112</v>
      </c>
      <c r="G4835" s="6" t="s">
        <v>477</v>
      </c>
      <c r="H4835" s="11" t="s">
        <v>259</v>
      </c>
      <c r="I4835" s="12">
        <v>4.0</v>
      </c>
      <c r="J4835" s="6" t="s">
        <v>178</v>
      </c>
    </row>
    <row r="4836" ht="22.5" customHeight="1">
      <c r="A4836" s="6" t="s">
        <v>21644</v>
      </c>
      <c r="B4836" s="6" t="s">
        <v>11186</v>
      </c>
      <c r="C4836" s="10">
        <v>46032.0</v>
      </c>
      <c r="D4836" s="6" t="s">
        <v>312</v>
      </c>
      <c r="E4836" s="6" t="s">
        <v>1241</v>
      </c>
      <c r="F4836" s="6" t="s">
        <v>112</v>
      </c>
      <c r="G4836" s="6" t="s">
        <v>254</v>
      </c>
      <c r="H4836" s="10">
        <v>46035.0</v>
      </c>
      <c r="I4836" s="12">
        <v>6.0</v>
      </c>
      <c r="J4836" s="6" t="s">
        <v>161</v>
      </c>
    </row>
    <row r="4837" ht="22.5" customHeight="1">
      <c r="A4837" s="6" t="s">
        <v>21645</v>
      </c>
      <c r="B4837" s="6" t="s">
        <v>11186</v>
      </c>
      <c r="C4837" s="10">
        <v>46029.0</v>
      </c>
      <c r="D4837" s="6" t="s">
        <v>312</v>
      </c>
      <c r="E4837" s="6" t="s">
        <v>731</v>
      </c>
      <c r="F4837" s="6" t="s">
        <v>112</v>
      </c>
      <c r="G4837" s="6" t="s">
        <v>297</v>
      </c>
      <c r="H4837" s="10">
        <v>46033.0</v>
      </c>
      <c r="I4837" s="12">
        <v>4.0</v>
      </c>
      <c r="J4837" s="6" t="s">
        <v>161</v>
      </c>
    </row>
    <row r="4838" ht="22.5" customHeight="1">
      <c r="A4838" s="6" t="s">
        <v>21646</v>
      </c>
      <c r="B4838" s="6" t="s">
        <v>11186</v>
      </c>
      <c r="C4838" s="10">
        <v>46031.0</v>
      </c>
      <c r="D4838" s="6" t="s">
        <v>436</v>
      </c>
      <c r="E4838" s="6" t="s">
        <v>798</v>
      </c>
      <c r="F4838" s="6" t="s">
        <v>249</v>
      </c>
      <c r="G4838" s="6" t="s">
        <v>452</v>
      </c>
      <c r="H4838" s="10">
        <v>46037.0</v>
      </c>
      <c r="I4838" s="12">
        <v>6.0</v>
      </c>
      <c r="J4838" s="6" t="s">
        <v>178</v>
      </c>
    </row>
    <row r="4839" ht="22.5" customHeight="1">
      <c r="A4839" s="6" t="s">
        <v>21647</v>
      </c>
      <c r="B4839" s="6" t="s">
        <v>11193</v>
      </c>
      <c r="C4839" s="10">
        <v>46060.0</v>
      </c>
      <c r="D4839" s="6" t="s">
        <v>436</v>
      </c>
      <c r="E4839" s="6" t="s">
        <v>1310</v>
      </c>
      <c r="F4839" s="6" t="s">
        <v>439</v>
      </c>
      <c r="G4839" s="6" t="s">
        <v>326</v>
      </c>
      <c r="H4839" s="10">
        <v>46060.0</v>
      </c>
      <c r="I4839" s="12">
        <v>8.0</v>
      </c>
      <c r="J4839" s="6" t="s">
        <v>178</v>
      </c>
    </row>
    <row r="4840" ht="22.5" customHeight="1">
      <c r="A4840" s="6" t="s">
        <v>21648</v>
      </c>
      <c r="B4840" s="6" t="s">
        <v>11193</v>
      </c>
      <c r="C4840" s="10">
        <v>46067.0</v>
      </c>
      <c r="D4840" s="6" t="s">
        <v>436</v>
      </c>
      <c r="E4840" s="6" t="s">
        <v>716</v>
      </c>
      <c r="F4840" s="6" t="s">
        <v>283</v>
      </c>
      <c r="G4840" s="6" t="s">
        <v>452</v>
      </c>
      <c r="H4840" s="10">
        <v>46072.0</v>
      </c>
      <c r="I4840" s="12">
        <v>7.0</v>
      </c>
      <c r="J4840" s="6" t="s">
        <v>161</v>
      </c>
    </row>
    <row r="4841" ht="22.5" customHeight="1">
      <c r="A4841" s="6" t="s">
        <v>21649</v>
      </c>
      <c r="B4841" s="6" t="s">
        <v>11193</v>
      </c>
      <c r="C4841" s="10">
        <v>46076.0</v>
      </c>
      <c r="D4841" s="6" t="s">
        <v>242</v>
      </c>
      <c r="E4841" s="6" t="s">
        <v>1700</v>
      </c>
      <c r="F4841" s="6" t="s">
        <v>283</v>
      </c>
      <c r="G4841" s="6" t="s">
        <v>452</v>
      </c>
      <c r="H4841" s="10">
        <v>46081.0</v>
      </c>
      <c r="I4841" s="12">
        <v>3.0</v>
      </c>
      <c r="J4841" s="6" t="s">
        <v>161</v>
      </c>
    </row>
    <row r="4842" ht="22.5" customHeight="1">
      <c r="A4842" s="6" t="s">
        <v>21650</v>
      </c>
      <c r="B4842" s="6" t="s">
        <v>11193</v>
      </c>
      <c r="C4842" s="10">
        <v>46067.0</v>
      </c>
      <c r="D4842" s="6" t="s">
        <v>436</v>
      </c>
      <c r="E4842" s="6" t="s">
        <v>1149</v>
      </c>
      <c r="F4842" s="6" t="s">
        <v>112</v>
      </c>
      <c r="G4842" s="6" t="s">
        <v>494</v>
      </c>
      <c r="H4842" s="10">
        <v>46069.0</v>
      </c>
      <c r="I4842" s="12">
        <v>11.0</v>
      </c>
      <c r="J4842" s="6" t="s">
        <v>178</v>
      </c>
    </row>
    <row r="4843" ht="22.5" customHeight="1">
      <c r="A4843" s="6" t="s">
        <v>21651</v>
      </c>
      <c r="B4843" s="6" t="s">
        <v>11199</v>
      </c>
      <c r="C4843" s="10">
        <v>46076.0</v>
      </c>
      <c r="D4843" s="6" t="s">
        <v>416</v>
      </c>
      <c r="E4843" s="6" t="s">
        <v>704</v>
      </c>
      <c r="F4843" s="6" t="s">
        <v>112</v>
      </c>
      <c r="G4843" s="6" t="s">
        <v>297</v>
      </c>
      <c r="H4843" s="10">
        <v>46080.0</v>
      </c>
      <c r="I4843" s="12">
        <v>12.0</v>
      </c>
      <c r="J4843" s="6" t="s">
        <v>161</v>
      </c>
    </row>
    <row r="4844" ht="22.5" customHeight="1">
      <c r="A4844" s="6" t="s">
        <v>21652</v>
      </c>
      <c r="B4844" s="6" t="s">
        <v>11199</v>
      </c>
      <c r="C4844" s="10">
        <v>46069.0</v>
      </c>
      <c r="D4844" s="6" t="s">
        <v>242</v>
      </c>
      <c r="E4844" s="6" t="s">
        <v>583</v>
      </c>
      <c r="F4844" s="6" t="s">
        <v>283</v>
      </c>
      <c r="G4844" s="6" t="s">
        <v>369</v>
      </c>
      <c r="H4844" s="10">
        <v>46070.0</v>
      </c>
      <c r="I4844" s="12">
        <v>3.0</v>
      </c>
      <c r="J4844" s="6" t="s">
        <v>178</v>
      </c>
    </row>
    <row r="4845" ht="22.5" customHeight="1">
      <c r="A4845" s="6" t="s">
        <v>21653</v>
      </c>
      <c r="B4845" s="6" t="s">
        <v>11199</v>
      </c>
      <c r="C4845" s="10">
        <v>46081.0</v>
      </c>
      <c r="D4845" s="6" t="s">
        <v>416</v>
      </c>
      <c r="E4845" s="6" t="s">
        <v>1296</v>
      </c>
      <c r="F4845" s="6" t="s">
        <v>283</v>
      </c>
      <c r="G4845" s="6" t="s">
        <v>452</v>
      </c>
      <c r="H4845" s="11" t="s">
        <v>259</v>
      </c>
      <c r="I4845" s="12">
        <v>14.0</v>
      </c>
      <c r="J4845" s="6" t="s">
        <v>161</v>
      </c>
    </row>
    <row r="4846" ht="22.5" customHeight="1">
      <c r="A4846" s="6" t="s">
        <v>21654</v>
      </c>
      <c r="B4846" s="6" t="s">
        <v>11199</v>
      </c>
      <c r="C4846" s="10">
        <v>46070.0</v>
      </c>
      <c r="D4846" s="6" t="s">
        <v>242</v>
      </c>
      <c r="E4846" s="6" t="s">
        <v>716</v>
      </c>
      <c r="F4846" s="6" t="s">
        <v>249</v>
      </c>
      <c r="G4846" s="6" t="s">
        <v>254</v>
      </c>
      <c r="H4846" s="10">
        <v>46073.0</v>
      </c>
      <c r="I4846" s="12">
        <v>4.0</v>
      </c>
      <c r="J4846" s="6" t="s">
        <v>161</v>
      </c>
    </row>
    <row r="4847" ht="22.5" customHeight="1">
      <c r="A4847" s="6" t="s">
        <v>21655</v>
      </c>
      <c r="B4847" s="6" t="s">
        <v>11206</v>
      </c>
      <c r="C4847" s="10">
        <v>46040.0</v>
      </c>
      <c r="D4847" s="6" t="s">
        <v>289</v>
      </c>
      <c r="E4847" s="6" t="s">
        <v>833</v>
      </c>
      <c r="F4847" s="6" t="s">
        <v>439</v>
      </c>
      <c r="G4847" s="6" t="s">
        <v>494</v>
      </c>
      <c r="H4847" s="10">
        <v>46045.0</v>
      </c>
      <c r="I4847" s="12">
        <v>10.0</v>
      </c>
      <c r="J4847" s="6" t="s">
        <v>161</v>
      </c>
    </row>
    <row r="4848" ht="22.5" customHeight="1">
      <c r="A4848" s="6" t="s">
        <v>21656</v>
      </c>
      <c r="B4848" s="6" t="s">
        <v>11212</v>
      </c>
      <c r="C4848" s="10">
        <v>46036.0</v>
      </c>
      <c r="D4848" s="6" t="s">
        <v>416</v>
      </c>
      <c r="E4848" s="6" t="s">
        <v>1720</v>
      </c>
      <c r="F4848" s="6" t="s">
        <v>439</v>
      </c>
      <c r="G4848" s="6" t="s">
        <v>326</v>
      </c>
      <c r="H4848" s="11" t="s">
        <v>259</v>
      </c>
      <c r="I4848" s="12">
        <v>10.0</v>
      </c>
      <c r="J4848" s="6" t="s">
        <v>161</v>
      </c>
    </row>
    <row r="4849" ht="22.5" customHeight="1">
      <c r="A4849" s="6" t="s">
        <v>21657</v>
      </c>
      <c r="B4849" s="6" t="s">
        <v>11219</v>
      </c>
      <c r="C4849" s="10">
        <v>46044.0</v>
      </c>
      <c r="D4849" s="6" t="s">
        <v>436</v>
      </c>
      <c r="E4849" s="6" t="s">
        <v>1296</v>
      </c>
      <c r="F4849" s="6" t="s">
        <v>283</v>
      </c>
      <c r="G4849" s="6" t="s">
        <v>494</v>
      </c>
      <c r="H4849" s="10">
        <v>46050.0</v>
      </c>
      <c r="I4849" s="12">
        <v>7.0</v>
      </c>
      <c r="J4849" s="6" t="s">
        <v>178</v>
      </c>
    </row>
    <row r="4850" ht="22.5" customHeight="1">
      <c r="A4850" s="6" t="s">
        <v>21658</v>
      </c>
      <c r="B4850" s="6" t="s">
        <v>11219</v>
      </c>
      <c r="C4850" s="10">
        <v>46042.0</v>
      </c>
      <c r="D4850" s="6" t="s">
        <v>242</v>
      </c>
      <c r="E4850" s="6" t="s">
        <v>731</v>
      </c>
      <c r="F4850" s="6" t="s">
        <v>112</v>
      </c>
      <c r="G4850" s="6" t="s">
        <v>369</v>
      </c>
      <c r="H4850" s="10">
        <v>46045.0</v>
      </c>
      <c r="I4850" s="12">
        <v>5.0</v>
      </c>
      <c r="J4850" s="6" t="s">
        <v>161</v>
      </c>
    </row>
    <row r="4851" ht="22.5" customHeight="1">
      <c r="A4851" s="6" t="s">
        <v>21659</v>
      </c>
      <c r="B4851" s="6" t="s">
        <v>11224</v>
      </c>
      <c r="C4851" s="10">
        <v>46058.0</v>
      </c>
      <c r="D4851" s="6" t="s">
        <v>242</v>
      </c>
      <c r="E4851" s="6" t="s">
        <v>670</v>
      </c>
      <c r="F4851" s="6" t="s">
        <v>249</v>
      </c>
      <c r="G4851" s="6" t="s">
        <v>477</v>
      </c>
      <c r="H4851" s="10">
        <v>46063.0</v>
      </c>
      <c r="I4851" s="12">
        <v>6.0</v>
      </c>
      <c r="J4851" s="6" t="s">
        <v>161</v>
      </c>
    </row>
    <row r="4852" ht="22.5" customHeight="1">
      <c r="A4852" s="6" t="s">
        <v>21660</v>
      </c>
      <c r="B4852" s="6" t="s">
        <v>11224</v>
      </c>
      <c r="C4852" s="10">
        <v>46048.0</v>
      </c>
      <c r="D4852" s="6" t="s">
        <v>416</v>
      </c>
      <c r="E4852" s="6" t="s">
        <v>1570</v>
      </c>
      <c r="F4852" s="6" t="s">
        <v>283</v>
      </c>
      <c r="G4852" s="6" t="s">
        <v>494</v>
      </c>
      <c r="H4852" s="11" t="s">
        <v>259</v>
      </c>
      <c r="I4852" s="12">
        <v>13.0</v>
      </c>
      <c r="J4852" s="6" t="s">
        <v>161</v>
      </c>
    </row>
    <row r="4853" ht="22.5" customHeight="1">
      <c r="A4853" s="6" t="s">
        <v>21661</v>
      </c>
      <c r="B4853" s="6" t="s">
        <v>11224</v>
      </c>
      <c r="C4853" s="10">
        <v>46046.0</v>
      </c>
      <c r="D4853" s="6" t="s">
        <v>677</v>
      </c>
      <c r="E4853" s="6" t="s">
        <v>812</v>
      </c>
      <c r="F4853" s="6" t="s">
        <v>439</v>
      </c>
      <c r="G4853" s="6" t="s">
        <v>369</v>
      </c>
      <c r="H4853" s="10">
        <v>46048.0</v>
      </c>
      <c r="I4853" s="12">
        <v>2.0</v>
      </c>
      <c r="J4853" s="6" t="s">
        <v>161</v>
      </c>
    </row>
    <row r="4854" ht="22.5" customHeight="1">
      <c r="A4854" s="6" t="s">
        <v>21662</v>
      </c>
      <c r="B4854" s="6" t="s">
        <v>11224</v>
      </c>
      <c r="C4854" s="10">
        <v>46061.0</v>
      </c>
      <c r="D4854" s="6" t="s">
        <v>436</v>
      </c>
      <c r="E4854" s="6" t="s">
        <v>291</v>
      </c>
      <c r="F4854" s="6" t="s">
        <v>112</v>
      </c>
      <c r="G4854" s="6" t="s">
        <v>452</v>
      </c>
      <c r="H4854" s="10">
        <v>46062.0</v>
      </c>
      <c r="I4854" s="12">
        <v>10.0</v>
      </c>
      <c r="J4854" s="6" t="s">
        <v>178</v>
      </c>
    </row>
    <row r="4855" ht="22.5" customHeight="1">
      <c r="A4855" s="6" t="s">
        <v>21663</v>
      </c>
      <c r="B4855" s="6" t="s">
        <v>11224</v>
      </c>
      <c r="C4855" s="10">
        <v>46059.0</v>
      </c>
      <c r="D4855" s="6" t="s">
        <v>436</v>
      </c>
      <c r="E4855" s="6" t="s">
        <v>670</v>
      </c>
      <c r="F4855" s="6" t="s">
        <v>112</v>
      </c>
      <c r="G4855" s="6" t="s">
        <v>458</v>
      </c>
      <c r="H4855" s="10">
        <v>46065.0</v>
      </c>
      <c r="I4855" s="12">
        <v>9.0</v>
      </c>
      <c r="J4855" s="6" t="s">
        <v>161</v>
      </c>
    </row>
    <row r="4856" ht="22.5" customHeight="1">
      <c r="A4856" s="6" t="s">
        <v>21664</v>
      </c>
      <c r="B4856" s="6" t="s">
        <v>11230</v>
      </c>
      <c r="C4856" s="10">
        <v>46053.0</v>
      </c>
      <c r="D4856" s="6" t="s">
        <v>416</v>
      </c>
      <c r="E4856" s="6" t="s">
        <v>320</v>
      </c>
      <c r="F4856" s="6" t="s">
        <v>249</v>
      </c>
      <c r="G4856" s="6" t="s">
        <v>458</v>
      </c>
      <c r="H4856" s="10">
        <v>46060.0</v>
      </c>
      <c r="I4856" s="12">
        <v>9.0</v>
      </c>
      <c r="J4856" s="6" t="s">
        <v>161</v>
      </c>
    </row>
    <row r="4857" ht="22.5" customHeight="1">
      <c r="A4857" s="6" t="s">
        <v>21665</v>
      </c>
      <c r="B4857" s="6" t="s">
        <v>11230</v>
      </c>
      <c r="C4857" s="10">
        <v>46054.0</v>
      </c>
      <c r="D4857" s="6" t="s">
        <v>436</v>
      </c>
      <c r="E4857" s="6" t="s">
        <v>670</v>
      </c>
      <c r="F4857" s="6" t="s">
        <v>112</v>
      </c>
      <c r="G4857" s="6" t="s">
        <v>452</v>
      </c>
      <c r="H4857" s="10">
        <v>46060.0</v>
      </c>
      <c r="I4857" s="12">
        <v>12.0</v>
      </c>
      <c r="J4857" s="6" t="s">
        <v>178</v>
      </c>
    </row>
    <row r="4858" ht="22.5" customHeight="1">
      <c r="A4858" s="6" t="s">
        <v>21666</v>
      </c>
      <c r="B4858" s="6" t="s">
        <v>11230</v>
      </c>
      <c r="C4858" s="10">
        <v>46056.0</v>
      </c>
      <c r="D4858" s="6" t="s">
        <v>289</v>
      </c>
      <c r="E4858" s="6" t="s">
        <v>1969</v>
      </c>
      <c r="F4858" s="6" t="s">
        <v>283</v>
      </c>
      <c r="G4858" s="6" t="s">
        <v>458</v>
      </c>
      <c r="H4858" s="10">
        <v>46063.0</v>
      </c>
      <c r="I4858" s="12">
        <v>9.0</v>
      </c>
      <c r="J4858" s="6" t="s">
        <v>161</v>
      </c>
    </row>
    <row r="4859" ht="22.5" customHeight="1">
      <c r="A4859" s="6" t="s">
        <v>21667</v>
      </c>
      <c r="B4859" s="6" t="s">
        <v>11236</v>
      </c>
      <c r="C4859" s="10">
        <v>46068.0</v>
      </c>
      <c r="D4859" s="6" t="s">
        <v>677</v>
      </c>
      <c r="E4859" s="6" t="s">
        <v>738</v>
      </c>
      <c r="F4859" s="6" t="s">
        <v>439</v>
      </c>
      <c r="G4859" s="6" t="s">
        <v>458</v>
      </c>
      <c r="H4859" s="10">
        <v>46068.0</v>
      </c>
      <c r="I4859" s="12">
        <v>4.0</v>
      </c>
      <c r="J4859" s="6" t="s">
        <v>161</v>
      </c>
    </row>
    <row r="4860" ht="22.5" customHeight="1">
      <c r="A4860" s="6" t="s">
        <v>21668</v>
      </c>
      <c r="B4860" s="6" t="s">
        <v>11236</v>
      </c>
      <c r="C4860" s="10">
        <v>46061.0</v>
      </c>
      <c r="D4860" s="6" t="s">
        <v>391</v>
      </c>
      <c r="E4860" s="6" t="s">
        <v>566</v>
      </c>
      <c r="F4860" s="6" t="s">
        <v>112</v>
      </c>
      <c r="G4860" s="6" t="s">
        <v>477</v>
      </c>
      <c r="H4860" s="10">
        <v>46064.0</v>
      </c>
      <c r="I4860" s="12">
        <v>10.0</v>
      </c>
      <c r="J4860" s="6" t="s">
        <v>161</v>
      </c>
    </row>
    <row r="4861" ht="22.5" customHeight="1">
      <c r="A4861" s="6" t="s">
        <v>21669</v>
      </c>
      <c r="B4861" s="6" t="s">
        <v>11236</v>
      </c>
      <c r="C4861" s="10">
        <v>46058.0</v>
      </c>
      <c r="D4861" s="6" t="s">
        <v>312</v>
      </c>
      <c r="E4861" s="6" t="s">
        <v>1720</v>
      </c>
      <c r="F4861" s="6" t="s">
        <v>439</v>
      </c>
      <c r="G4861" s="6" t="s">
        <v>326</v>
      </c>
      <c r="H4861" s="10">
        <v>46058.0</v>
      </c>
      <c r="I4861" s="12">
        <v>6.0</v>
      </c>
      <c r="J4861" s="6" t="s">
        <v>161</v>
      </c>
    </row>
    <row r="4862" ht="22.5" customHeight="1">
      <c r="A4862" s="6" t="s">
        <v>21670</v>
      </c>
      <c r="B4862" s="6" t="s">
        <v>11243</v>
      </c>
      <c r="C4862" s="10">
        <v>46058.0</v>
      </c>
      <c r="D4862" s="6" t="s">
        <v>391</v>
      </c>
      <c r="E4862" s="6" t="s">
        <v>618</v>
      </c>
      <c r="F4862" s="6" t="s">
        <v>112</v>
      </c>
      <c r="G4862" s="6" t="s">
        <v>477</v>
      </c>
      <c r="H4862" s="10">
        <v>46061.0</v>
      </c>
      <c r="I4862" s="12">
        <v>8.0</v>
      </c>
      <c r="J4862" s="6" t="s">
        <v>161</v>
      </c>
    </row>
    <row r="4863" ht="22.5" customHeight="1">
      <c r="A4863" s="6" t="s">
        <v>21671</v>
      </c>
      <c r="B4863" s="6" t="s">
        <v>11243</v>
      </c>
      <c r="C4863" s="10">
        <v>46052.0</v>
      </c>
      <c r="D4863" s="6" t="s">
        <v>436</v>
      </c>
      <c r="E4863" s="6" t="s">
        <v>695</v>
      </c>
      <c r="F4863" s="6" t="s">
        <v>283</v>
      </c>
      <c r="G4863" s="6" t="s">
        <v>297</v>
      </c>
      <c r="H4863" s="10">
        <v>46058.0</v>
      </c>
      <c r="I4863" s="12">
        <v>10.0</v>
      </c>
      <c r="J4863" s="6" t="s">
        <v>178</v>
      </c>
    </row>
    <row r="4864" ht="22.5" customHeight="1">
      <c r="A4864" s="6" t="s">
        <v>21672</v>
      </c>
      <c r="B4864" s="6" t="s">
        <v>11243</v>
      </c>
      <c r="C4864" s="10">
        <v>46059.0</v>
      </c>
      <c r="D4864" s="6" t="s">
        <v>677</v>
      </c>
      <c r="E4864" s="6" t="s">
        <v>1102</v>
      </c>
      <c r="F4864" s="6" t="s">
        <v>283</v>
      </c>
      <c r="G4864" s="6" t="s">
        <v>452</v>
      </c>
      <c r="H4864" s="10">
        <v>46064.0</v>
      </c>
      <c r="I4864" s="12">
        <v>3.0</v>
      </c>
      <c r="J4864" s="6" t="s">
        <v>161</v>
      </c>
    </row>
    <row r="4865" ht="22.5" customHeight="1">
      <c r="A4865" s="6" t="s">
        <v>21673</v>
      </c>
      <c r="B4865" s="6" t="s">
        <v>11243</v>
      </c>
      <c r="C4865" s="10">
        <v>46066.0</v>
      </c>
      <c r="D4865" s="6" t="s">
        <v>436</v>
      </c>
      <c r="E4865" s="6" t="s">
        <v>833</v>
      </c>
      <c r="F4865" s="6" t="s">
        <v>112</v>
      </c>
      <c r="G4865" s="6" t="s">
        <v>494</v>
      </c>
      <c r="H4865" s="10">
        <v>46070.0</v>
      </c>
      <c r="I4865" s="12">
        <v>10.0</v>
      </c>
      <c r="J4865" s="6" t="s">
        <v>178</v>
      </c>
    </row>
    <row r="4866" ht="22.5" customHeight="1">
      <c r="A4866" s="6" t="s">
        <v>21674</v>
      </c>
      <c r="B4866" s="6" t="s">
        <v>11250</v>
      </c>
      <c r="C4866" s="10">
        <v>46066.0</v>
      </c>
      <c r="D4866" s="6" t="s">
        <v>391</v>
      </c>
      <c r="E4866" s="6" t="s">
        <v>634</v>
      </c>
      <c r="F4866" s="6" t="s">
        <v>249</v>
      </c>
      <c r="G4866" s="6" t="s">
        <v>326</v>
      </c>
      <c r="H4866" s="10">
        <v>46068.0</v>
      </c>
      <c r="I4866" s="12">
        <v>6.0</v>
      </c>
      <c r="J4866" s="6" t="s">
        <v>161</v>
      </c>
    </row>
    <row r="4867" ht="22.5" customHeight="1">
      <c r="A4867" s="6" t="s">
        <v>21675</v>
      </c>
      <c r="B4867" s="6" t="s">
        <v>11250</v>
      </c>
      <c r="C4867" s="10">
        <v>46055.0</v>
      </c>
      <c r="D4867" s="6" t="s">
        <v>416</v>
      </c>
      <c r="E4867" s="6" t="s">
        <v>466</v>
      </c>
      <c r="F4867" s="6" t="s">
        <v>249</v>
      </c>
      <c r="G4867" s="6" t="s">
        <v>458</v>
      </c>
      <c r="H4867" s="10">
        <v>46062.0</v>
      </c>
      <c r="I4867" s="12">
        <v>11.0</v>
      </c>
      <c r="J4867" s="6" t="s">
        <v>161</v>
      </c>
    </row>
    <row r="4868" ht="22.5" customHeight="1">
      <c r="A4868" s="6" t="s">
        <v>21676</v>
      </c>
      <c r="B4868" s="6" t="s">
        <v>11250</v>
      </c>
      <c r="C4868" s="10">
        <v>46069.0</v>
      </c>
      <c r="D4868" s="6" t="s">
        <v>289</v>
      </c>
      <c r="E4868" s="6" t="s">
        <v>863</v>
      </c>
      <c r="F4868" s="6" t="s">
        <v>439</v>
      </c>
      <c r="G4868" s="6" t="s">
        <v>254</v>
      </c>
      <c r="H4868" s="10">
        <v>46074.0</v>
      </c>
      <c r="I4868" s="12">
        <v>9.0</v>
      </c>
      <c r="J4868" s="6" t="s">
        <v>161</v>
      </c>
    </row>
    <row r="4869" ht="22.5" customHeight="1">
      <c r="A4869" s="6" t="s">
        <v>21677</v>
      </c>
      <c r="B4869" s="6" t="s">
        <v>11256</v>
      </c>
      <c r="C4869" s="10">
        <v>46050.0</v>
      </c>
      <c r="D4869" s="6" t="s">
        <v>677</v>
      </c>
      <c r="E4869" s="6" t="s">
        <v>438</v>
      </c>
      <c r="F4869" s="6" t="s">
        <v>249</v>
      </c>
      <c r="G4869" s="6" t="s">
        <v>458</v>
      </c>
      <c r="H4869" s="10">
        <v>46050.0</v>
      </c>
      <c r="I4869" s="12">
        <v>3.0</v>
      </c>
      <c r="J4869" s="6" t="s">
        <v>161</v>
      </c>
    </row>
    <row r="4870" ht="22.5" customHeight="1">
      <c r="A4870" s="6" t="s">
        <v>21678</v>
      </c>
      <c r="B4870" s="6" t="s">
        <v>11256</v>
      </c>
      <c r="C4870" s="10">
        <v>46053.0</v>
      </c>
      <c r="D4870" s="6" t="s">
        <v>289</v>
      </c>
      <c r="E4870" s="6" t="s">
        <v>417</v>
      </c>
      <c r="F4870" s="6" t="s">
        <v>283</v>
      </c>
      <c r="G4870" s="6" t="s">
        <v>477</v>
      </c>
      <c r="H4870" s="10">
        <v>46054.0</v>
      </c>
      <c r="I4870" s="12">
        <v>7.0</v>
      </c>
      <c r="J4870" s="6" t="s">
        <v>161</v>
      </c>
    </row>
    <row r="4871" ht="22.5" customHeight="1">
      <c r="A4871" s="6" t="s">
        <v>21679</v>
      </c>
      <c r="B4871" s="6" t="s">
        <v>11256</v>
      </c>
      <c r="C4871" s="10">
        <v>46054.0</v>
      </c>
      <c r="D4871" s="6" t="s">
        <v>312</v>
      </c>
      <c r="E4871" s="6" t="s">
        <v>687</v>
      </c>
      <c r="F4871" s="6" t="s">
        <v>439</v>
      </c>
      <c r="G4871" s="6" t="s">
        <v>297</v>
      </c>
      <c r="H4871" s="10">
        <v>46058.0</v>
      </c>
      <c r="I4871" s="12">
        <v>6.0</v>
      </c>
      <c r="J4871" s="6" t="s">
        <v>161</v>
      </c>
    </row>
    <row r="4872" ht="22.5" customHeight="1">
      <c r="A4872" s="6" t="s">
        <v>21680</v>
      </c>
      <c r="B4872" s="6" t="s">
        <v>11262</v>
      </c>
      <c r="C4872" s="10">
        <v>46046.0</v>
      </c>
      <c r="D4872" s="6" t="s">
        <v>312</v>
      </c>
      <c r="E4872" s="6" t="s">
        <v>438</v>
      </c>
      <c r="F4872" s="6" t="s">
        <v>283</v>
      </c>
      <c r="G4872" s="6" t="s">
        <v>254</v>
      </c>
      <c r="H4872" s="10">
        <v>46046.0</v>
      </c>
      <c r="I4872" s="12">
        <v>4.0</v>
      </c>
      <c r="J4872" s="6" t="s">
        <v>161</v>
      </c>
    </row>
    <row r="4873" ht="22.5" customHeight="1">
      <c r="A4873" s="6" t="s">
        <v>21681</v>
      </c>
      <c r="B4873" s="6" t="s">
        <v>11262</v>
      </c>
      <c r="C4873" s="10">
        <v>46027.0</v>
      </c>
      <c r="D4873" s="6" t="s">
        <v>677</v>
      </c>
      <c r="E4873" s="6" t="s">
        <v>634</v>
      </c>
      <c r="F4873" s="6" t="s">
        <v>283</v>
      </c>
      <c r="G4873" s="6" t="s">
        <v>452</v>
      </c>
      <c r="H4873" s="10">
        <v>46028.0</v>
      </c>
      <c r="I4873" s="12">
        <v>2.0</v>
      </c>
      <c r="J4873" s="6" t="s">
        <v>161</v>
      </c>
    </row>
    <row r="4874" ht="22.5" customHeight="1">
      <c r="A4874" s="6" t="s">
        <v>21682</v>
      </c>
      <c r="B4874" s="6" t="s">
        <v>11270</v>
      </c>
      <c r="C4874" s="10">
        <v>46053.0</v>
      </c>
      <c r="D4874" s="6" t="s">
        <v>312</v>
      </c>
      <c r="E4874" s="6" t="s">
        <v>1273</v>
      </c>
      <c r="F4874" s="6" t="s">
        <v>283</v>
      </c>
      <c r="G4874" s="6" t="s">
        <v>297</v>
      </c>
      <c r="H4874" s="10">
        <v>46054.0</v>
      </c>
      <c r="I4874" s="12">
        <v>4.0</v>
      </c>
      <c r="J4874" s="6" t="s">
        <v>161</v>
      </c>
    </row>
    <row r="4875" ht="22.5" customHeight="1">
      <c r="A4875" s="6" t="s">
        <v>21683</v>
      </c>
      <c r="B4875" s="6" t="s">
        <v>11270</v>
      </c>
      <c r="C4875" s="10">
        <v>46051.0</v>
      </c>
      <c r="D4875" s="6" t="s">
        <v>416</v>
      </c>
      <c r="E4875" s="6" t="s">
        <v>885</v>
      </c>
      <c r="F4875" s="6" t="s">
        <v>249</v>
      </c>
      <c r="G4875" s="6" t="s">
        <v>452</v>
      </c>
      <c r="H4875" s="11" t="s">
        <v>259</v>
      </c>
      <c r="I4875" s="12">
        <v>12.0</v>
      </c>
      <c r="J4875" s="6" t="s">
        <v>161</v>
      </c>
    </row>
    <row r="4876" ht="22.5" customHeight="1">
      <c r="A4876" s="6" t="s">
        <v>21684</v>
      </c>
      <c r="B4876" s="6" t="s">
        <v>11277</v>
      </c>
      <c r="C4876" s="10">
        <v>46037.0</v>
      </c>
      <c r="D4876" s="6" t="s">
        <v>416</v>
      </c>
      <c r="E4876" s="6" t="s">
        <v>775</v>
      </c>
      <c r="F4876" s="6" t="s">
        <v>439</v>
      </c>
      <c r="G4876" s="6" t="s">
        <v>326</v>
      </c>
      <c r="H4876" s="10">
        <v>46038.0</v>
      </c>
      <c r="I4876" s="12">
        <v>11.0</v>
      </c>
      <c r="J4876" s="6" t="s">
        <v>161</v>
      </c>
    </row>
    <row r="4877" ht="22.5" customHeight="1">
      <c r="A4877" s="6" t="s">
        <v>21685</v>
      </c>
      <c r="B4877" s="6" t="s">
        <v>11277</v>
      </c>
      <c r="C4877" s="10">
        <v>46033.0</v>
      </c>
      <c r="D4877" s="6" t="s">
        <v>436</v>
      </c>
      <c r="E4877" s="6" t="s">
        <v>1241</v>
      </c>
      <c r="F4877" s="6" t="s">
        <v>112</v>
      </c>
      <c r="G4877" s="6" t="s">
        <v>254</v>
      </c>
      <c r="H4877" s="10">
        <v>46037.0</v>
      </c>
      <c r="I4877" s="12">
        <v>12.0</v>
      </c>
      <c r="J4877" s="6" t="s">
        <v>161</v>
      </c>
    </row>
    <row r="4878" ht="22.5" customHeight="1">
      <c r="A4878" s="6" t="s">
        <v>21686</v>
      </c>
      <c r="B4878" s="6" t="s">
        <v>11277</v>
      </c>
      <c r="C4878" s="10">
        <v>46028.0</v>
      </c>
      <c r="D4878" s="6" t="s">
        <v>391</v>
      </c>
      <c r="E4878" s="6" t="s">
        <v>731</v>
      </c>
      <c r="F4878" s="6" t="s">
        <v>283</v>
      </c>
      <c r="G4878" s="6" t="s">
        <v>254</v>
      </c>
      <c r="H4878" s="10">
        <v>46031.0</v>
      </c>
      <c r="I4878" s="12">
        <v>10.0</v>
      </c>
      <c r="J4878" s="6" t="s">
        <v>161</v>
      </c>
    </row>
    <row r="4879" ht="22.5" customHeight="1">
      <c r="A4879" s="6" t="s">
        <v>21687</v>
      </c>
      <c r="B4879" s="6" t="s">
        <v>11277</v>
      </c>
      <c r="C4879" s="10">
        <v>46045.0</v>
      </c>
      <c r="D4879" s="6" t="s">
        <v>289</v>
      </c>
      <c r="E4879" s="6" t="s">
        <v>798</v>
      </c>
      <c r="F4879" s="6" t="s">
        <v>439</v>
      </c>
      <c r="G4879" s="6" t="s">
        <v>494</v>
      </c>
      <c r="H4879" s="10">
        <v>46049.0</v>
      </c>
      <c r="I4879" s="12">
        <v>10.0</v>
      </c>
      <c r="J4879" s="6" t="s">
        <v>161</v>
      </c>
    </row>
    <row r="4880" ht="22.5" customHeight="1">
      <c r="A4880" s="6" t="s">
        <v>21688</v>
      </c>
      <c r="B4880" s="6" t="s">
        <v>11284</v>
      </c>
      <c r="C4880" s="10">
        <v>46073.0</v>
      </c>
      <c r="D4880" s="6" t="s">
        <v>677</v>
      </c>
      <c r="E4880" s="6" t="s">
        <v>1720</v>
      </c>
      <c r="F4880" s="6" t="s">
        <v>283</v>
      </c>
      <c r="G4880" s="6" t="s">
        <v>369</v>
      </c>
      <c r="H4880" s="10">
        <v>46080.0</v>
      </c>
      <c r="I4880" s="12">
        <v>2.0</v>
      </c>
      <c r="J4880" s="6" t="s">
        <v>161</v>
      </c>
    </row>
    <row r="4881" ht="22.5" customHeight="1">
      <c r="A4881" s="6" t="s">
        <v>21689</v>
      </c>
      <c r="B4881" s="6" t="s">
        <v>11284</v>
      </c>
      <c r="C4881" s="10">
        <v>46073.0</v>
      </c>
      <c r="D4881" s="6" t="s">
        <v>436</v>
      </c>
      <c r="E4881" s="6" t="s">
        <v>787</v>
      </c>
      <c r="F4881" s="6" t="s">
        <v>112</v>
      </c>
      <c r="G4881" s="6" t="s">
        <v>477</v>
      </c>
      <c r="H4881" s="10">
        <v>46077.0</v>
      </c>
      <c r="I4881" s="12">
        <v>11.0</v>
      </c>
      <c r="J4881" s="6" t="s">
        <v>178</v>
      </c>
    </row>
    <row r="4882" ht="22.5" customHeight="1">
      <c r="A4882" s="6" t="s">
        <v>21690</v>
      </c>
      <c r="B4882" s="6" t="s">
        <v>11284</v>
      </c>
      <c r="C4882" s="10">
        <v>46069.0</v>
      </c>
      <c r="D4882" s="6" t="s">
        <v>416</v>
      </c>
      <c r="E4882" s="6" t="s">
        <v>566</v>
      </c>
      <c r="F4882" s="6" t="s">
        <v>249</v>
      </c>
      <c r="G4882" s="6" t="s">
        <v>369</v>
      </c>
      <c r="H4882" s="10">
        <v>46075.0</v>
      </c>
      <c r="I4882" s="12">
        <v>14.0</v>
      </c>
      <c r="J4882" s="6" t="s">
        <v>161</v>
      </c>
    </row>
    <row r="4883" ht="22.5" customHeight="1">
      <c r="A4883" s="6" t="s">
        <v>21691</v>
      </c>
      <c r="B4883" s="6" t="s">
        <v>11284</v>
      </c>
      <c r="C4883" s="10">
        <v>46067.0</v>
      </c>
      <c r="D4883" s="6" t="s">
        <v>677</v>
      </c>
      <c r="E4883" s="6" t="s">
        <v>1149</v>
      </c>
      <c r="F4883" s="6" t="s">
        <v>249</v>
      </c>
      <c r="G4883" s="6" t="s">
        <v>477</v>
      </c>
      <c r="H4883" s="10">
        <v>46073.0</v>
      </c>
      <c r="I4883" s="12">
        <v>3.0</v>
      </c>
      <c r="J4883" s="6" t="s">
        <v>161</v>
      </c>
    </row>
    <row r="4884" ht="22.5" customHeight="1">
      <c r="A4884" s="6" t="s">
        <v>21692</v>
      </c>
      <c r="B4884" s="6" t="s">
        <v>11284</v>
      </c>
      <c r="C4884" s="10">
        <v>46076.0</v>
      </c>
      <c r="D4884" s="6" t="s">
        <v>391</v>
      </c>
      <c r="E4884" s="6" t="s">
        <v>704</v>
      </c>
      <c r="F4884" s="6" t="s">
        <v>112</v>
      </c>
      <c r="G4884" s="6" t="s">
        <v>369</v>
      </c>
      <c r="H4884" s="10">
        <v>46082.0</v>
      </c>
      <c r="I4884" s="12">
        <v>11.0</v>
      </c>
      <c r="J4884" s="6" t="s">
        <v>161</v>
      </c>
    </row>
    <row r="4885" ht="22.5" customHeight="1">
      <c r="A4885" s="6" t="s">
        <v>21693</v>
      </c>
      <c r="B4885" s="6" t="s">
        <v>11290</v>
      </c>
      <c r="C4885" s="10">
        <v>46066.0</v>
      </c>
      <c r="D4885" s="6" t="s">
        <v>416</v>
      </c>
      <c r="E4885" s="6" t="s">
        <v>1149</v>
      </c>
      <c r="F4885" s="6" t="s">
        <v>283</v>
      </c>
      <c r="G4885" s="6" t="s">
        <v>458</v>
      </c>
      <c r="H4885" s="10">
        <v>46070.0</v>
      </c>
      <c r="I4885" s="12">
        <v>8.0</v>
      </c>
      <c r="J4885" s="6" t="s">
        <v>161</v>
      </c>
    </row>
    <row r="4886" ht="22.5" customHeight="1">
      <c r="A4886" s="6" t="s">
        <v>21694</v>
      </c>
      <c r="B4886" s="6" t="s">
        <v>11290</v>
      </c>
      <c r="C4886" s="10">
        <v>46047.0</v>
      </c>
      <c r="D4886" s="6" t="s">
        <v>312</v>
      </c>
      <c r="E4886" s="6" t="s">
        <v>658</v>
      </c>
      <c r="F4886" s="6" t="s">
        <v>283</v>
      </c>
      <c r="G4886" s="6" t="s">
        <v>369</v>
      </c>
      <c r="H4886" s="10">
        <v>46049.0</v>
      </c>
      <c r="I4886" s="12">
        <v>6.0</v>
      </c>
      <c r="J4886" s="6" t="s">
        <v>161</v>
      </c>
    </row>
    <row r="4887" ht="22.5" customHeight="1">
      <c r="A4887" s="6" t="s">
        <v>21695</v>
      </c>
      <c r="B4887" s="6" t="s">
        <v>11290</v>
      </c>
      <c r="C4887" s="10">
        <v>46063.0</v>
      </c>
      <c r="D4887" s="6" t="s">
        <v>391</v>
      </c>
      <c r="E4887" s="6" t="s">
        <v>2881</v>
      </c>
      <c r="F4887" s="6" t="s">
        <v>439</v>
      </c>
      <c r="G4887" s="6" t="s">
        <v>297</v>
      </c>
      <c r="H4887" s="10">
        <v>46067.0</v>
      </c>
      <c r="I4887" s="12">
        <v>6.0</v>
      </c>
      <c r="J4887" s="6" t="s">
        <v>161</v>
      </c>
    </row>
    <row r="4888" ht="22.5" customHeight="1">
      <c r="A4888" s="6" t="s">
        <v>21696</v>
      </c>
      <c r="B4888" s="6" t="s">
        <v>11290</v>
      </c>
      <c r="C4888" s="10">
        <v>46063.0</v>
      </c>
      <c r="D4888" s="6" t="s">
        <v>391</v>
      </c>
      <c r="E4888" s="6" t="s">
        <v>2881</v>
      </c>
      <c r="F4888" s="6" t="s">
        <v>112</v>
      </c>
      <c r="G4888" s="6" t="s">
        <v>458</v>
      </c>
      <c r="H4888" s="10">
        <v>46066.0</v>
      </c>
      <c r="I4888" s="12">
        <v>11.0</v>
      </c>
      <c r="J4888" s="6" t="s">
        <v>161</v>
      </c>
    </row>
    <row r="4889" ht="22.5" customHeight="1">
      <c r="A4889" s="6" t="s">
        <v>21697</v>
      </c>
      <c r="B4889" s="6" t="s">
        <v>11297</v>
      </c>
      <c r="C4889" s="10">
        <v>46055.0</v>
      </c>
      <c r="D4889" s="6" t="s">
        <v>416</v>
      </c>
      <c r="E4889" s="6" t="s">
        <v>628</v>
      </c>
      <c r="F4889" s="6" t="s">
        <v>249</v>
      </c>
      <c r="G4889" s="6" t="s">
        <v>297</v>
      </c>
      <c r="H4889" s="10">
        <v>46059.0</v>
      </c>
      <c r="I4889" s="12">
        <v>11.0</v>
      </c>
      <c r="J4889" s="6" t="s">
        <v>161</v>
      </c>
    </row>
    <row r="4890" ht="22.5" customHeight="1">
      <c r="A4890" s="6" t="s">
        <v>21698</v>
      </c>
      <c r="B4890" s="6" t="s">
        <v>11297</v>
      </c>
      <c r="C4890" s="10">
        <v>46058.0</v>
      </c>
      <c r="D4890" s="6" t="s">
        <v>312</v>
      </c>
      <c r="E4890" s="6" t="s">
        <v>787</v>
      </c>
      <c r="F4890" s="6" t="s">
        <v>112</v>
      </c>
      <c r="G4890" s="6" t="s">
        <v>477</v>
      </c>
      <c r="H4890" s="11" t="s">
        <v>259</v>
      </c>
      <c r="I4890" s="12">
        <v>5.0</v>
      </c>
      <c r="J4890" s="6" t="s">
        <v>161</v>
      </c>
    </row>
    <row r="4891" ht="22.5" customHeight="1">
      <c r="A4891" s="6" t="s">
        <v>21699</v>
      </c>
      <c r="B4891" s="6" t="s">
        <v>11297</v>
      </c>
      <c r="C4891" s="10">
        <v>46064.0</v>
      </c>
      <c r="D4891" s="6" t="s">
        <v>242</v>
      </c>
      <c r="E4891" s="6" t="s">
        <v>1552</v>
      </c>
      <c r="F4891" s="6" t="s">
        <v>283</v>
      </c>
      <c r="G4891" s="6" t="s">
        <v>494</v>
      </c>
      <c r="H4891" s="10">
        <v>46069.0</v>
      </c>
      <c r="I4891" s="12">
        <v>6.0</v>
      </c>
      <c r="J4891" s="6" t="s">
        <v>178</v>
      </c>
    </row>
    <row r="4892" ht="22.5" customHeight="1">
      <c r="A4892" s="6" t="s">
        <v>21700</v>
      </c>
      <c r="B4892" s="6" t="s">
        <v>11297</v>
      </c>
      <c r="C4892" s="10">
        <v>46058.0</v>
      </c>
      <c r="D4892" s="6" t="s">
        <v>391</v>
      </c>
      <c r="E4892" s="6" t="s">
        <v>1546</v>
      </c>
      <c r="F4892" s="6" t="s">
        <v>112</v>
      </c>
      <c r="G4892" s="6" t="s">
        <v>326</v>
      </c>
      <c r="H4892" s="10">
        <v>46062.0</v>
      </c>
      <c r="I4892" s="12">
        <v>8.0</v>
      </c>
      <c r="J4892" s="6" t="s">
        <v>161</v>
      </c>
    </row>
    <row r="4893" ht="22.5" customHeight="1">
      <c r="A4893" s="6" t="s">
        <v>21701</v>
      </c>
      <c r="B4893" s="6" t="s">
        <v>11297</v>
      </c>
      <c r="C4893" s="10">
        <v>46055.0</v>
      </c>
      <c r="D4893" s="6" t="s">
        <v>436</v>
      </c>
      <c r="E4893" s="6" t="s">
        <v>738</v>
      </c>
      <c r="F4893" s="6" t="s">
        <v>112</v>
      </c>
      <c r="G4893" s="6" t="s">
        <v>297</v>
      </c>
      <c r="H4893" s="10">
        <v>46061.0</v>
      </c>
      <c r="I4893" s="12">
        <v>6.0</v>
      </c>
      <c r="J4893" s="6" t="s">
        <v>161</v>
      </c>
    </row>
    <row r="4894" ht="22.5" customHeight="1">
      <c r="A4894" s="6" t="s">
        <v>21702</v>
      </c>
      <c r="B4894" s="6" t="s">
        <v>11303</v>
      </c>
      <c r="C4894" s="10">
        <v>46054.0</v>
      </c>
      <c r="D4894" s="6" t="s">
        <v>312</v>
      </c>
      <c r="E4894" s="6" t="s">
        <v>1741</v>
      </c>
      <c r="F4894" s="6" t="s">
        <v>439</v>
      </c>
      <c r="G4894" s="6" t="s">
        <v>369</v>
      </c>
      <c r="H4894" s="11" t="s">
        <v>259</v>
      </c>
      <c r="I4894" s="12">
        <v>7.0</v>
      </c>
      <c r="J4894" s="6" t="s">
        <v>161</v>
      </c>
    </row>
    <row r="4895" ht="22.5" customHeight="1">
      <c r="A4895" s="6" t="s">
        <v>21703</v>
      </c>
      <c r="B4895" s="6" t="s">
        <v>11303</v>
      </c>
      <c r="C4895" s="10">
        <v>46039.0</v>
      </c>
      <c r="D4895" s="6" t="s">
        <v>312</v>
      </c>
      <c r="E4895" s="6" t="s">
        <v>1055</v>
      </c>
      <c r="F4895" s="6" t="s">
        <v>249</v>
      </c>
      <c r="G4895" s="6" t="s">
        <v>254</v>
      </c>
      <c r="H4895" s="10">
        <v>46041.0</v>
      </c>
      <c r="I4895" s="12">
        <v>5.0</v>
      </c>
      <c r="J4895" s="6" t="s">
        <v>161</v>
      </c>
    </row>
    <row r="4896" ht="22.5" customHeight="1">
      <c r="A4896" s="6" t="s">
        <v>21704</v>
      </c>
      <c r="B4896" s="6" t="s">
        <v>11303</v>
      </c>
      <c r="C4896" s="10">
        <v>46055.0</v>
      </c>
      <c r="D4896" s="6" t="s">
        <v>312</v>
      </c>
      <c r="E4896" s="6" t="s">
        <v>618</v>
      </c>
      <c r="F4896" s="6" t="s">
        <v>439</v>
      </c>
      <c r="G4896" s="6" t="s">
        <v>452</v>
      </c>
      <c r="H4896" s="10">
        <v>46058.0</v>
      </c>
      <c r="I4896" s="12">
        <v>4.0</v>
      </c>
      <c r="J4896" s="6" t="s">
        <v>161</v>
      </c>
    </row>
    <row r="4897" ht="22.5" customHeight="1">
      <c r="A4897" s="6" t="s">
        <v>21705</v>
      </c>
      <c r="B4897" s="6" t="s">
        <v>11303</v>
      </c>
      <c r="C4897" s="10">
        <v>46042.0</v>
      </c>
      <c r="D4897" s="6" t="s">
        <v>391</v>
      </c>
      <c r="E4897" s="6" t="s">
        <v>320</v>
      </c>
      <c r="F4897" s="6" t="s">
        <v>112</v>
      </c>
      <c r="G4897" s="6" t="s">
        <v>326</v>
      </c>
      <c r="H4897" s="10">
        <v>46044.0</v>
      </c>
      <c r="I4897" s="12">
        <v>10.0</v>
      </c>
      <c r="J4897" s="6" t="s">
        <v>161</v>
      </c>
    </row>
    <row r="4898" ht="22.5" customHeight="1">
      <c r="A4898" s="6" t="s">
        <v>21706</v>
      </c>
      <c r="B4898" s="6" t="s">
        <v>11303</v>
      </c>
      <c r="C4898" s="10">
        <v>46046.0</v>
      </c>
      <c r="D4898" s="6" t="s">
        <v>677</v>
      </c>
      <c r="E4898" s="6" t="s">
        <v>798</v>
      </c>
      <c r="F4898" s="6" t="s">
        <v>249</v>
      </c>
      <c r="G4898" s="6" t="s">
        <v>452</v>
      </c>
      <c r="H4898" s="10">
        <v>46047.0</v>
      </c>
      <c r="I4898" s="12">
        <v>4.0</v>
      </c>
      <c r="J4898" s="6" t="s">
        <v>161</v>
      </c>
    </row>
    <row r="4899" ht="22.5" customHeight="1">
      <c r="A4899" s="6" t="s">
        <v>21707</v>
      </c>
      <c r="B4899" s="6" t="s">
        <v>11310</v>
      </c>
      <c r="C4899" s="10">
        <v>46031.0</v>
      </c>
      <c r="D4899" s="6" t="s">
        <v>391</v>
      </c>
      <c r="E4899" s="6" t="s">
        <v>634</v>
      </c>
      <c r="F4899" s="6" t="s">
        <v>249</v>
      </c>
      <c r="G4899" s="6" t="s">
        <v>369</v>
      </c>
      <c r="H4899" s="10">
        <v>46031.0</v>
      </c>
      <c r="I4899" s="12">
        <v>9.0</v>
      </c>
      <c r="J4899" s="6" t="s">
        <v>161</v>
      </c>
    </row>
    <row r="4900" ht="22.5" customHeight="1">
      <c r="A4900" s="6" t="s">
        <v>21708</v>
      </c>
      <c r="B4900" s="6" t="s">
        <v>11310</v>
      </c>
      <c r="C4900" s="10">
        <v>46032.0</v>
      </c>
      <c r="D4900" s="6" t="s">
        <v>391</v>
      </c>
      <c r="E4900" s="6" t="s">
        <v>1386</v>
      </c>
      <c r="F4900" s="6" t="s">
        <v>249</v>
      </c>
      <c r="G4900" s="6" t="s">
        <v>494</v>
      </c>
      <c r="H4900" s="11" t="s">
        <v>259</v>
      </c>
      <c r="I4900" s="12">
        <v>8.0</v>
      </c>
      <c r="J4900" s="6" t="s">
        <v>161</v>
      </c>
    </row>
    <row r="4901" ht="22.5" customHeight="1">
      <c r="A4901" s="6" t="s">
        <v>21709</v>
      </c>
      <c r="B4901" s="6" t="s">
        <v>11317</v>
      </c>
      <c r="C4901" s="10">
        <v>46044.0</v>
      </c>
      <c r="D4901" s="6" t="s">
        <v>416</v>
      </c>
      <c r="E4901" s="6" t="s">
        <v>1720</v>
      </c>
      <c r="F4901" s="6" t="s">
        <v>439</v>
      </c>
      <c r="G4901" s="6" t="s">
        <v>452</v>
      </c>
      <c r="H4901" s="10">
        <v>46049.0</v>
      </c>
      <c r="I4901" s="12">
        <v>12.0</v>
      </c>
      <c r="J4901" s="6" t="s">
        <v>161</v>
      </c>
    </row>
    <row r="4902" ht="22.5" customHeight="1">
      <c r="A4902" s="6" t="s">
        <v>21710</v>
      </c>
      <c r="B4902" s="6" t="s">
        <v>11317</v>
      </c>
      <c r="C4902" s="10">
        <v>46032.0</v>
      </c>
      <c r="D4902" s="6" t="s">
        <v>436</v>
      </c>
      <c r="E4902" s="6" t="s">
        <v>716</v>
      </c>
      <c r="F4902" s="6" t="s">
        <v>283</v>
      </c>
      <c r="G4902" s="6" t="s">
        <v>254</v>
      </c>
      <c r="H4902" s="10">
        <v>46037.0</v>
      </c>
      <c r="I4902" s="12">
        <v>8.0</v>
      </c>
      <c r="J4902" s="6" t="s">
        <v>178</v>
      </c>
    </row>
    <row r="4903" ht="22.5" customHeight="1">
      <c r="A4903" s="6" t="s">
        <v>21711</v>
      </c>
      <c r="B4903" s="6" t="s">
        <v>11317</v>
      </c>
      <c r="C4903" s="10">
        <v>46040.0</v>
      </c>
      <c r="D4903" s="6" t="s">
        <v>416</v>
      </c>
      <c r="E4903" s="6" t="s">
        <v>1700</v>
      </c>
      <c r="F4903" s="6" t="s">
        <v>283</v>
      </c>
      <c r="G4903" s="6" t="s">
        <v>254</v>
      </c>
      <c r="H4903" s="10">
        <v>46046.0</v>
      </c>
      <c r="I4903" s="12">
        <v>13.0</v>
      </c>
      <c r="J4903" s="6" t="s">
        <v>161</v>
      </c>
    </row>
    <row r="4904" ht="22.5" customHeight="1">
      <c r="A4904" s="6" t="s">
        <v>21712</v>
      </c>
      <c r="B4904" s="6" t="s">
        <v>11324</v>
      </c>
      <c r="C4904" s="10">
        <v>46052.0</v>
      </c>
      <c r="D4904" s="6" t="s">
        <v>436</v>
      </c>
      <c r="E4904" s="6" t="s">
        <v>787</v>
      </c>
      <c r="F4904" s="6" t="s">
        <v>439</v>
      </c>
      <c r="G4904" s="6" t="s">
        <v>297</v>
      </c>
      <c r="H4904" s="10">
        <v>46054.0</v>
      </c>
      <c r="I4904" s="12">
        <v>12.0</v>
      </c>
      <c r="J4904" s="6" t="s">
        <v>178</v>
      </c>
    </row>
    <row r="4905" ht="22.5" customHeight="1">
      <c r="A4905" s="6" t="s">
        <v>21713</v>
      </c>
      <c r="B4905" s="6" t="s">
        <v>11324</v>
      </c>
      <c r="C4905" s="10">
        <v>46054.0</v>
      </c>
      <c r="D4905" s="6" t="s">
        <v>436</v>
      </c>
      <c r="E4905" s="6" t="s">
        <v>1741</v>
      </c>
      <c r="F4905" s="6" t="s">
        <v>112</v>
      </c>
      <c r="G4905" s="6" t="s">
        <v>494</v>
      </c>
      <c r="H4905" s="10">
        <v>46060.0</v>
      </c>
      <c r="I4905" s="12">
        <v>10.0</v>
      </c>
      <c r="J4905" s="6" t="s">
        <v>178</v>
      </c>
    </row>
    <row r="4906" ht="22.5" customHeight="1">
      <c r="A4906" s="6" t="s">
        <v>21714</v>
      </c>
      <c r="B4906" s="6" t="s">
        <v>11330</v>
      </c>
      <c r="C4906" s="10">
        <v>46055.0</v>
      </c>
      <c r="D4906" s="6" t="s">
        <v>391</v>
      </c>
      <c r="E4906" s="6" t="s">
        <v>704</v>
      </c>
      <c r="F4906" s="6" t="s">
        <v>439</v>
      </c>
      <c r="G4906" s="6" t="s">
        <v>326</v>
      </c>
      <c r="H4906" s="10">
        <v>46055.0</v>
      </c>
      <c r="I4906" s="12">
        <v>9.0</v>
      </c>
      <c r="J4906" s="6" t="s">
        <v>161</v>
      </c>
    </row>
    <row r="4907" ht="22.5" customHeight="1">
      <c r="A4907" s="6" t="s">
        <v>21715</v>
      </c>
      <c r="B4907" s="6" t="s">
        <v>11330</v>
      </c>
      <c r="C4907" s="10">
        <v>46067.0</v>
      </c>
      <c r="D4907" s="6" t="s">
        <v>289</v>
      </c>
      <c r="E4907" s="6" t="s">
        <v>1070</v>
      </c>
      <c r="F4907" s="6" t="s">
        <v>249</v>
      </c>
      <c r="G4907" s="6" t="s">
        <v>477</v>
      </c>
      <c r="H4907" s="10">
        <v>46074.0</v>
      </c>
      <c r="I4907" s="12">
        <v>9.0</v>
      </c>
      <c r="J4907" s="6" t="s">
        <v>161</v>
      </c>
    </row>
    <row r="4908" ht="22.5" customHeight="1">
      <c r="A4908" s="6" t="s">
        <v>21716</v>
      </c>
      <c r="B4908" s="6" t="s">
        <v>11330</v>
      </c>
      <c r="C4908" s="10">
        <v>46058.0</v>
      </c>
      <c r="D4908" s="6" t="s">
        <v>436</v>
      </c>
      <c r="E4908" s="6" t="s">
        <v>833</v>
      </c>
      <c r="F4908" s="6" t="s">
        <v>112</v>
      </c>
      <c r="G4908" s="6" t="s">
        <v>254</v>
      </c>
      <c r="H4908" s="10">
        <v>46059.0</v>
      </c>
      <c r="I4908" s="12">
        <v>11.0</v>
      </c>
      <c r="J4908" s="6" t="s">
        <v>178</v>
      </c>
    </row>
    <row r="4909" ht="22.5" customHeight="1">
      <c r="A4909" s="6" t="s">
        <v>21717</v>
      </c>
      <c r="B4909" s="6" t="s">
        <v>11330</v>
      </c>
      <c r="C4909" s="10">
        <v>46052.0</v>
      </c>
      <c r="D4909" s="6" t="s">
        <v>677</v>
      </c>
      <c r="E4909" s="6" t="s">
        <v>634</v>
      </c>
      <c r="F4909" s="6" t="s">
        <v>439</v>
      </c>
      <c r="G4909" s="6" t="s">
        <v>369</v>
      </c>
      <c r="H4909" s="10">
        <v>46058.0</v>
      </c>
      <c r="I4909" s="12">
        <v>2.0</v>
      </c>
      <c r="J4909" s="6" t="s">
        <v>161</v>
      </c>
    </row>
    <row r="4910" ht="22.5" customHeight="1">
      <c r="A4910" s="6" t="s">
        <v>21718</v>
      </c>
      <c r="B4910" s="6" t="s">
        <v>11337</v>
      </c>
      <c r="C4910" s="10">
        <v>46069.0</v>
      </c>
      <c r="D4910" s="6" t="s">
        <v>289</v>
      </c>
      <c r="E4910" s="6" t="s">
        <v>833</v>
      </c>
      <c r="F4910" s="6" t="s">
        <v>249</v>
      </c>
      <c r="G4910" s="6" t="s">
        <v>254</v>
      </c>
      <c r="H4910" s="10">
        <v>46072.0</v>
      </c>
      <c r="I4910" s="12">
        <v>10.0</v>
      </c>
      <c r="J4910" s="6" t="s">
        <v>161</v>
      </c>
    </row>
    <row r="4911" ht="22.5" customHeight="1">
      <c r="A4911" s="6" t="s">
        <v>21719</v>
      </c>
      <c r="B4911" s="6" t="s">
        <v>11337</v>
      </c>
      <c r="C4911" s="10">
        <v>46075.0</v>
      </c>
      <c r="D4911" s="6" t="s">
        <v>677</v>
      </c>
      <c r="E4911" s="6" t="s">
        <v>1070</v>
      </c>
      <c r="F4911" s="6" t="s">
        <v>249</v>
      </c>
      <c r="G4911" s="6" t="s">
        <v>452</v>
      </c>
      <c r="H4911" s="10">
        <v>46082.0</v>
      </c>
      <c r="I4911" s="12">
        <v>2.0</v>
      </c>
      <c r="J4911" s="6" t="s">
        <v>161</v>
      </c>
    </row>
    <row r="4912" ht="22.5" customHeight="1">
      <c r="A4912" s="6" t="s">
        <v>21720</v>
      </c>
      <c r="B4912" s="6" t="s">
        <v>11337</v>
      </c>
      <c r="C4912" s="10">
        <v>46080.0</v>
      </c>
      <c r="D4912" s="6" t="s">
        <v>289</v>
      </c>
      <c r="E4912" s="6" t="s">
        <v>566</v>
      </c>
      <c r="F4912" s="6" t="s">
        <v>283</v>
      </c>
      <c r="G4912" s="6" t="s">
        <v>297</v>
      </c>
      <c r="H4912" s="10">
        <v>46081.0</v>
      </c>
      <c r="I4912" s="12">
        <v>7.0</v>
      </c>
      <c r="J4912" s="6" t="s">
        <v>161</v>
      </c>
    </row>
    <row r="4913" ht="22.5" customHeight="1">
      <c r="A4913" s="6" t="s">
        <v>21721</v>
      </c>
      <c r="B4913" s="6" t="s">
        <v>11337</v>
      </c>
      <c r="C4913" s="10">
        <v>46078.0</v>
      </c>
      <c r="D4913" s="6" t="s">
        <v>242</v>
      </c>
      <c r="E4913" s="6" t="s">
        <v>438</v>
      </c>
      <c r="F4913" s="6" t="s">
        <v>112</v>
      </c>
      <c r="G4913" s="6" t="s">
        <v>458</v>
      </c>
      <c r="H4913" s="10">
        <v>46082.0</v>
      </c>
      <c r="I4913" s="12">
        <v>5.0</v>
      </c>
      <c r="J4913" s="6" t="s">
        <v>178</v>
      </c>
    </row>
    <row r="4914" ht="22.5" customHeight="1">
      <c r="A4914" s="6" t="s">
        <v>21722</v>
      </c>
      <c r="B4914" s="6" t="s">
        <v>11343</v>
      </c>
      <c r="C4914" s="10">
        <v>46045.0</v>
      </c>
      <c r="D4914" s="6" t="s">
        <v>289</v>
      </c>
      <c r="E4914" s="6" t="s">
        <v>365</v>
      </c>
      <c r="F4914" s="6" t="s">
        <v>439</v>
      </c>
      <c r="G4914" s="6" t="s">
        <v>477</v>
      </c>
      <c r="H4914" s="10">
        <v>46046.0</v>
      </c>
      <c r="I4914" s="12">
        <v>7.0</v>
      </c>
      <c r="J4914" s="6" t="s">
        <v>161</v>
      </c>
    </row>
    <row r="4915" ht="22.5" customHeight="1">
      <c r="A4915" s="6" t="s">
        <v>21723</v>
      </c>
      <c r="B4915" s="6" t="s">
        <v>11343</v>
      </c>
      <c r="C4915" s="10">
        <v>46050.0</v>
      </c>
      <c r="D4915" s="6" t="s">
        <v>677</v>
      </c>
      <c r="E4915" s="6" t="s">
        <v>1517</v>
      </c>
      <c r="F4915" s="6" t="s">
        <v>249</v>
      </c>
      <c r="G4915" s="6" t="s">
        <v>458</v>
      </c>
      <c r="H4915" s="10">
        <v>46053.0</v>
      </c>
      <c r="I4915" s="12">
        <v>3.0</v>
      </c>
      <c r="J4915" s="6" t="s">
        <v>161</v>
      </c>
    </row>
    <row r="4916" ht="22.5" customHeight="1">
      <c r="A4916" s="6" t="s">
        <v>21724</v>
      </c>
      <c r="B4916" s="6" t="s">
        <v>11343</v>
      </c>
      <c r="C4916" s="10">
        <v>46058.0</v>
      </c>
      <c r="D4916" s="6" t="s">
        <v>391</v>
      </c>
      <c r="E4916" s="6" t="s">
        <v>394</v>
      </c>
      <c r="F4916" s="6" t="s">
        <v>439</v>
      </c>
      <c r="G4916" s="6" t="s">
        <v>297</v>
      </c>
      <c r="H4916" s="10">
        <v>46060.0</v>
      </c>
      <c r="I4916" s="12">
        <v>10.0</v>
      </c>
      <c r="J4916" s="6" t="s">
        <v>161</v>
      </c>
    </row>
    <row r="4917" ht="22.5" customHeight="1">
      <c r="A4917" s="6" t="s">
        <v>21725</v>
      </c>
      <c r="B4917" s="6" t="s">
        <v>11343</v>
      </c>
      <c r="C4917" s="10">
        <v>46056.0</v>
      </c>
      <c r="D4917" s="6" t="s">
        <v>289</v>
      </c>
      <c r="E4917" s="6" t="s">
        <v>291</v>
      </c>
      <c r="F4917" s="6" t="s">
        <v>249</v>
      </c>
      <c r="G4917" s="6" t="s">
        <v>254</v>
      </c>
      <c r="H4917" s="10">
        <v>46057.0</v>
      </c>
      <c r="I4917" s="12">
        <v>9.0</v>
      </c>
      <c r="J4917" s="6" t="s">
        <v>161</v>
      </c>
    </row>
    <row r="4918" ht="22.5" customHeight="1">
      <c r="A4918" s="6" t="s">
        <v>21726</v>
      </c>
      <c r="B4918" s="6" t="s">
        <v>11350</v>
      </c>
      <c r="C4918" s="10">
        <v>46086.0</v>
      </c>
      <c r="D4918" s="6" t="s">
        <v>242</v>
      </c>
      <c r="E4918" s="6" t="s">
        <v>1102</v>
      </c>
      <c r="F4918" s="6" t="s">
        <v>439</v>
      </c>
      <c r="G4918" s="6" t="s">
        <v>369</v>
      </c>
      <c r="H4918" s="10">
        <v>46088.0</v>
      </c>
      <c r="I4918" s="12">
        <v>3.0</v>
      </c>
      <c r="J4918" s="6" t="s">
        <v>161</v>
      </c>
    </row>
    <row r="4919" ht="22.5" customHeight="1">
      <c r="A4919" s="6" t="s">
        <v>21727</v>
      </c>
      <c r="B4919" s="6" t="s">
        <v>11350</v>
      </c>
      <c r="C4919" s="10">
        <v>46077.0</v>
      </c>
      <c r="D4919" s="6" t="s">
        <v>677</v>
      </c>
      <c r="E4919" s="6" t="s">
        <v>787</v>
      </c>
      <c r="F4919" s="6" t="s">
        <v>249</v>
      </c>
      <c r="G4919" s="6" t="s">
        <v>477</v>
      </c>
      <c r="H4919" s="10">
        <v>46078.0</v>
      </c>
      <c r="I4919" s="12">
        <v>4.0</v>
      </c>
      <c r="J4919" s="6" t="s">
        <v>161</v>
      </c>
    </row>
    <row r="4920" ht="22.5" customHeight="1">
      <c r="A4920" s="6" t="s">
        <v>21728</v>
      </c>
      <c r="B4920" s="6" t="s">
        <v>11350</v>
      </c>
      <c r="C4920" s="10">
        <v>46086.0</v>
      </c>
      <c r="D4920" s="6" t="s">
        <v>436</v>
      </c>
      <c r="E4920" s="6" t="s">
        <v>1546</v>
      </c>
      <c r="F4920" s="6" t="s">
        <v>283</v>
      </c>
      <c r="G4920" s="6" t="s">
        <v>477</v>
      </c>
      <c r="H4920" s="11" t="s">
        <v>259</v>
      </c>
      <c r="I4920" s="12">
        <v>8.0</v>
      </c>
      <c r="J4920" s="6" t="s">
        <v>178</v>
      </c>
    </row>
    <row r="4921" ht="22.5" customHeight="1">
      <c r="A4921" s="6" t="s">
        <v>21729</v>
      </c>
      <c r="B4921" s="6" t="s">
        <v>11350</v>
      </c>
      <c r="C4921" s="10">
        <v>46080.0</v>
      </c>
      <c r="D4921" s="6" t="s">
        <v>312</v>
      </c>
      <c r="E4921" s="6" t="s">
        <v>2881</v>
      </c>
      <c r="F4921" s="6" t="s">
        <v>283</v>
      </c>
      <c r="G4921" s="6" t="s">
        <v>494</v>
      </c>
      <c r="H4921" s="10">
        <v>46083.0</v>
      </c>
      <c r="I4921" s="12">
        <v>4.0</v>
      </c>
      <c r="J4921" s="6" t="s">
        <v>161</v>
      </c>
    </row>
    <row r="4922" ht="22.5" customHeight="1">
      <c r="A4922" s="6" t="s">
        <v>21730</v>
      </c>
      <c r="B4922" s="6" t="s">
        <v>11358</v>
      </c>
      <c r="C4922" s="10">
        <v>46070.0</v>
      </c>
      <c r="D4922" s="6" t="s">
        <v>677</v>
      </c>
      <c r="E4922" s="6" t="s">
        <v>896</v>
      </c>
      <c r="F4922" s="6" t="s">
        <v>249</v>
      </c>
      <c r="G4922" s="6" t="s">
        <v>452</v>
      </c>
      <c r="H4922" s="11" t="s">
        <v>259</v>
      </c>
      <c r="I4922" s="12">
        <v>4.0</v>
      </c>
      <c r="J4922" s="6" t="s">
        <v>161</v>
      </c>
    </row>
    <row r="4923" ht="22.5" customHeight="1">
      <c r="A4923" s="6" t="s">
        <v>21731</v>
      </c>
      <c r="B4923" s="6" t="s">
        <v>11358</v>
      </c>
      <c r="C4923" s="10">
        <v>46069.0</v>
      </c>
      <c r="D4923" s="6" t="s">
        <v>391</v>
      </c>
      <c r="E4923" s="6" t="s">
        <v>618</v>
      </c>
      <c r="F4923" s="6" t="s">
        <v>249</v>
      </c>
      <c r="G4923" s="6" t="s">
        <v>254</v>
      </c>
      <c r="H4923" s="10">
        <v>46076.0</v>
      </c>
      <c r="I4923" s="12">
        <v>8.0</v>
      </c>
      <c r="J4923" s="6" t="s">
        <v>161</v>
      </c>
    </row>
    <row r="4924" ht="22.5" customHeight="1">
      <c r="A4924" s="6" t="s">
        <v>21732</v>
      </c>
      <c r="B4924" s="6" t="s">
        <v>11358</v>
      </c>
      <c r="C4924" s="10">
        <v>46061.0</v>
      </c>
      <c r="D4924" s="6" t="s">
        <v>242</v>
      </c>
      <c r="E4924" s="6" t="s">
        <v>896</v>
      </c>
      <c r="F4924" s="6" t="s">
        <v>283</v>
      </c>
      <c r="G4924" s="6" t="s">
        <v>477</v>
      </c>
      <c r="H4924" s="10">
        <v>46068.0</v>
      </c>
      <c r="I4924" s="12">
        <v>6.0</v>
      </c>
      <c r="J4924" s="6" t="s">
        <v>161</v>
      </c>
    </row>
    <row r="4925" ht="22.5" customHeight="1">
      <c r="A4925" s="6" t="s">
        <v>21733</v>
      </c>
      <c r="B4925" s="6" t="s">
        <v>11365</v>
      </c>
      <c r="C4925" s="10">
        <v>46063.0</v>
      </c>
      <c r="D4925" s="6" t="s">
        <v>391</v>
      </c>
      <c r="E4925" s="6" t="s">
        <v>787</v>
      </c>
      <c r="F4925" s="6" t="s">
        <v>249</v>
      </c>
      <c r="G4925" s="6" t="s">
        <v>326</v>
      </c>
      <c r="H4925" s="10">
        <v>46065.0</v>
      </c>
      <c r="I4925" s="12">
        <v>8.0</v>
      </c>
      <c r="J4925" s="6" t="s">
        <v>161</v>
      </c>
    </row>
    <row r="4926" ht="22.5" customHeight="1">
      <c r="A4926" s="6" t="s">
        <v>21734</v>
      </c>
      <c r="B4926" s="6" t="s">
        <v>11372</v>
      </c>
      <c r="C4926" s="10">
        <v>46056.0</v>
      </c>
      <c r="D4926" s="6" t="s">
        <v>416</v>
      </c>
      <c r="E4926" s="6" t="s">
        <v>1035</v>
      </c>
      <c r="F4926" s="6" t="s">
        <v>283</v>
      </c>
      <c r="G4926" s="6" t="s">
        <v>326</v>
      </c>
      <c r="H4926" s="10">
        <v>46059.0</v>
      </c>
      <c r="I4926" s="12">
        <v>8.0</v>
      </c>
      <c r="J4926" s="6" t="s">
        <v>161</v>
      </c>
    </row>
    <row r="4927" ht="22.5" customHeight="1">
      <c r="A4927" s="6" t="s">
        <v>21735</v>
      </c>
      <c r="B4927" s="6" t="s">
        <v>11372</v>
      </c>
      <c r="C4927" s="10">
        <v>46057.0</v>
      </c>
      <c r="D4927" s="6" t="s">
        <v>391</v>
      </c>
      <c r="E4927" s="6" t="s">
        <v>704</v>
      </c>
      <c r="F4927" s="6" t="s">
        <v>249</v>
      </c>
      <c r="G4927" s="6" t="s">
        <v>452</v>
      </c>
      <c r="H4927" s="10">
        <v>46057.0</v>
      </c>
      <c r="I4927" s="12">
        <v>11.0</v>
      </c>
      <c r="J4927" s="6" t="s">
        <v>161</v>
      </c>
    </row>
    <row r="4928" ht="22.5" customHeight="1">
      <c r="A4928" s="6" t="s">
        <v>21736</v>
      </c>
      <c r="B4928" s="6" t="s">
        <v>11379</v>
      </c>
      <c r="C4928" s="10">
        <v>46045.0</v>
      </c>
      <c r="D4928" s="6" t="s">
        <v>436</v>
      </c>
      <c r="E4928" s="6" t="s">
        <v>670</v>
      </c>
      <c r="F4928" s="6" t="s">
        <v>283</v>
      </c>
      <c r="G4928" s="6" t="s">
        <v>452</v>
      </c>
      <c r="H4928" s="10">
        <v>46047.0</v>
      </c>
      <c r="I4928" s="12">
        <v>6.0</v>
      </c>
      <c r="J4928" s="6" t="s">
        <v>161</v>
      </c>
    </row>
    <row r="4929" ht="22.5" customHeight="1">
      <c r="A4929" s="6" t="s">
        <v>21737</v>
      </c>
      <c r="B4929" s="6" t="s">
        <v>11379</v>
      </c>
      <c r="C4929" s="10">
        <v>46039.0</v>
      </c>
      <c r="D4929" s="6" t="s">
        <v>312</v>
      </c>
      <c r="E4929" s="6" t="s">
        <v>365</v>
      </c>
      <c r="F4929" s="6" t="s">
        <v>112</v>
      </c>
      <c r="G4929" s="6" t="s">
        <v>494</v>
      </c>
      <c r="H4929" s="10">
        <v>46042.0</v>
      </c>
      <c r="I4929" s="12">
        <v>4.0</v>
      </c>
      <c r="J4929" s="6" t="s">
        <v>161</v>
      </c>
    </row>
    <row r="4930" ht="22.5" customHeight="1">
      <c r="A4930" s="6" t="s">
        <v>21738</v>
      </c>
      <c r="B4930" s="6" t="s">
        <v>11386</v>
      </c>
      <c r="C4930" s="10">
        <v>46058.0</v>
      </c>
      <c r="D4930" s="6" t="s">
        <v>436</v>
      </c>
      <c r="E4930" s="6" t="s">
        <v>365</v>
      </c>
      <c r="F4930" s="6" t="s">
        <v>249</v>
      </c>
      <c r="G4930" s="6" t="s">
        <v>254</v>
      </c>
      <c r="H4930" s="10">
        <v>46061.0</v>
      </c>
      <c r="I4930" s="12">
        <v>8.0</v>
      </c>
      <c r="J4930" s="6" t="s">
        <v>178</v>
      </c>
    </row>
    <row r="4931" ht="22.5" customHeight="1">
      <c r="A4931" s="6" t="s">
        <v>21739</v>
      </c>
      <c r="B4931" s="6" t="s">
        <v>11386</v>
      </c>
      <c r="C4931" s="10">
        <v>46064.0</v>
      </c>
      <c r="D4931" s="6" t="s">
        <v>391</v>
      </c>
      <c r="E4931" s="6" t="s">
        <v>1280</v>
      </c>
      <c r="F4931" s="6" t="s">
        <v>249</v>
      </c>
      <c r="G4931" s="6" t="s">
        <v>452</v>
      </c>
      <c r="H4931" s="10">
        <v>46069.0</v>
      </c>
      <c r="I4931" s="12">
        <v>10.0</v>
      </c>
      <c r="J4931" s="6" t="s">
        <v>161</v>
      </c>
    </row>
    <row r="4932" ht="22.5" customHeight="1">
      <c r="A4932" s="6" t="s">
        <v>21740</v>
      </c>
      <c r="B4932" s="6" t="s">
        <v>11386</v>
      </c>
      <c r="C4932" s="10">
        <v>46064.0</v>
      </c>
      <c r="D4932" s="6" t="s">
        <v>436</v>
      </c>
      <c r="E4932" s="6" t="s">
        <v>1149</v>
      </c>
      <c r="F4932" s="6" t="s">
        <v>439</v>
      </c>
      <c r="G4932" s="6" t="s">
        <v>494</v>
      </c>
      <c r="H4932" s="10">
        <v>46071.0</v>
      </c>
      <c r="I4932" s="12">
        <v>8.0</v>
      </c>
      <c r="J4932" s="6" t="s">
        <v>161</v>
      </c>
    </row>
    <row r="4933" ht="22.5" customHeight="1">
      <c r="A4933" s="6" t="s">
        <v>21741</v>
      </c>
      <c r="B4933" s="6" t="s">
        <v>11386</v>
      </c>
      <c r="C4933" s="10">
        <v>46059.0</v>
      </c>
      <c r="D4933" s="6" t="s">
        <v>289</v>
      </c>
      <c r="E4933" s="6" t="s">
        <v>1700</v>
      </c>
      <c r="F4933" s="6" t="s">
        <v>283</v>
      </c>
      <c r="G4933" s="6" t="s">
        <v>369</v>
      </c>
      <c r="H4933" s="10">
        <v>46066.0</v>
      </c>
      <c r="I4933" s="12">
        <v>5.0</v>
      </c>
      <c r="J4933" s="6" t="s">
        <v>161</v>
      </c>
    </row>
    <row r="4934" ht="22.5" customHeight="1">
      <c r="A4934" s="6" t="s">
        <v>21742</v>
      </c>
      <c r="B4934" s="6" t="s">
        <v>11393</v>
      </c>
      <c r="C4934" s="10">
        <v>46043.0</v>
      </c>
      <c r="D4934" s="6" t="s">
        <v>289</v>
      </c>
      <c r="E4934" s="6" t="s">
        <v>291</v>
      </c>
      <c r="F4934" s="6" t="s">
        <v>283</v>
      </c>
      <c r="G4934" s="6" t="s">
        <v>297</v>
      </c>
      <c r="H4934" s="10">
        <v>46045.0</v>
      </c>
      <c r="I4934" s="12">
        <v>7.0</v>
      </c>
      <c r="J4934" s="6" t="s">
        <v>161</v>
      </c>
    </row>
    <row r="4935" ht="22.5" customHeight="1">
      <c r="A4935" s="6" t="s">
        <v>21743</v>
      </c>
      <c r="B4935" s="6" t="s">
        <v>11393</v>
      </c>
      <c r="C4935" s="10">
        <v>46039.0</v>
      </c>
      <c r="D4935" s="6" t="s">
        <v>436</v>
      </c>
      <c r="E4935" s="6" t="s">
        <v>450</v>
      </c>
      <c r="F4935" s="6" t="s">
        <v>283</v>
      </c>
      <c r="G4935" s="6" t="s">
        <v>452</v>
      </c>
      <c r="H4935" s="10">
        <v>46045.0</v>
      </c>
      <c r="I4935" s="12">
        <v>9.0</v>
      </c>
      <c r="J4935" s="6" t="s">
        <v>161</v>
      </c>
    </row>
    <row r="4936" ht="22.5" customHeight="1">
      <c r="A4936" s="6" t="s">
        <v>21744</v>
      </c>
      <c r="B4936" s="6" t="s">
        <v>11393</v>
      </c>
      <c r="C4936" s="10">
        <v>46048.0</v>
      </c>
      <c r="D4936" s="6" t="s">
        <v>242</v>
      </c>
      <c r="E4936" s="6" t="s">
        <v>466</v>
      </c>
      <c r="F4936" s="6" t="s">
        <v>249</v>
      </c>
      <c r="G4936" s="6" t="s">
        <v>254</v>
      </c>
      <c r="H4936" s="10">
        <v>46054.0</v>
      </c>
      <c r="I4936" s="12">
        <v>6.0</v>
      </c>
      <c r="J4936" s="6" t="s">
        <v>178</v>
      </c>
    </row>
    <row r="4937" ht="22.5" customHeight="1">
      <c r="A4937" s="6" t="s">
        <v>21745</v>
      </c>
      <c r="B4937" s="6" t="s">
        <v>11393</v>
      </c>
      <c r="C4937" s="10">
        <v>46047.0</v>
      </c>
      <c r="D4937" s="6" t="s">
        <v>391</v>
      </c>
      <c r="E4937" s="6" t="s">
        <v>658</v>
      </c>
      <c r="F4937" s="6" t="s">
        <v>283</v>
      </c>
      <c r="G4937" s="6" t="s">
        <v>494</v>
      </c>
      <c r="H4937" s="10">
        <v>46049.0</v>
      </c>
      <c r="I4937" s="12">
        <v>7.0</v>
      </c>
      <c r="J4937" s="6" t="s">
        <v>161</v>
      </c>
    </row>
    <row r="4938" ht="22.5" customHeight="1">
      <c r="A4938" s="6" t="s">
        <v>21746</v>
      </c>
      <c r="B4938" s="6" t="s">
        <v>11401</v>
      </c>
      <c r="C4938" s="10">
        <v>46044.0</v>
      </c>
      <c r="D4938" s="6" t="s">
        <v>391</v>
      </c>
      <c r="E4938" s="6" t="s">
        <v>731</v>
      </c>
      <c r="F4938" s="6" t="s">
        <v>249</v>
      </c>
      <c r="G4938" s="6" t="s">
        <v>458</v>
      </c>
      <c r="H4938" s="10">
        <v>46051.0</v>
      </c>
      <c r="I4938" s="12">
        <v>6.0</v>
      </c>
      <c r="J4938" s="6" t="s">
        <v>161</v>
      </c>
    </row>
    <row r="4939" ht="22.5" customHeight="1">
      <c r="A4939" s="6" t="s">
        <v>21747</v>
      </c>
      <c r="B4939" s="6" t="s">
        <v>11401</v>
      </c>
      <c r="C4939" s="10">
        <v>46043.0</v>
      </c>
      <c r="D4939" s="6" t="s">
        <v>416</v>
      </c>
      <c r="E4939" s="6" t="s">
        <v>695</v>
      </c>
      <c r="F4939" s="6" t="s">
        <v>439</v>
      </c>
      <c r="G4939" s="6" t="s">
        <v>494</v>
      </c>
      <c r="H4939" s="10">
        <v>46047.0</v>
      </c>
      <c r="I4939" s="12">
        <v>11.0</v>
      </c>
      <c r="J4939" s="6" t="s">
        <v>161</v>
      </c>
    </row>
    <row r="4940" ht="22.5" customHeight="1">
      <c r="A4940" s="6" t="s">
        <v>21748</v>
      </c>
      <c r="B4940" s="6" t="s">
        <v>11401</v>
      </c>
      <c r="C4940" s="10">
        <v>46048.0</v>
      </c>
      <c r="D4940" s="6" t="s">
        <v>436</v>
      </c>
      <c r="E4940" s="6" t="s">
        <v>687</v>
      </c>
      <c r="F4940" s="6" t="s">
        <v>283</v>
      </c>
      <c r="G4940" s="6" t="s">
        <v>458</v>
      </c>
      <c r="H4940" s="10">
        <v>46048.0</v>
      </c>
      <c r="I4940" s="12">
        <v>7.0</v>
      </c>
      <c r="J4940" s="6" t="s">
        <v>178</v>
      </c>
    </row>
    <row r="4941" ht="22.5" customHeight="1">
      <c r="A4941" s="6" t="s">
        <v>21749</v>
      </c>
      <c r="B4941" s="6" t="s">
        <v>11408</v>
      </c>
      <c r="C4941" s="10">
        <v>46075.0</v>
      </c>
      <c r="D4941" s="6" t="s">
        <v>289</v>
      </c>
      <c r="E4941" s="6" t="s">
        <v>450</v>
      </c>
      <c r="F4941" s="6" t="s">
        <v>112</v>
      </c>
      <c r="G4941" s="6" t="s">
        <v>458</v>
      </c>
      <c r="H4941" s="11" t="s">
        <v>259</v>
      </c>
      <c r="I4941" s="12">
        <v>6.0</v>
      </c>
      <c r="J4941" s="6" t="s">
        <v>161</v>
      </c>
    </row>
    <row r="4942" ht="22.5" customHeight="1">
      <c r="A4942" s="6" t="s">
        <v>21750</v>
      </c>
      <c r="B4942" s="6" t="s">
        <v>11416</v>
      </c>
      <c r="C4942" s="10">
        <v>46083.0</v>
      </c>
      <c r="D4942" s="6" t="s">
        <v>677</v>
      </c>
      <c r="E4942" s="6" t="s">
        <v>1386</v>
      </c>
      <c r="F4942" s="6" t="s">
        <v>439</v>
      </c>
      <c r="G4942" s="6" t="s">
        <v>326</v>
      </c>
      <c r="H4942" s="10">
        <v>46085.0</v>
      </c>
      <c r="I4942" s="12">
        <v>4.0</v>
      </c>
      <c r="J4942" s="6" t="s">
        <v>161</v>
      </c>
    </row>
    <row r="4943" ht="22.5" customHeight="1">
      <c r="A4943" s="6" t="s">
        <v>21751</v>
      </c>
      <c r="B4943" s="6" t="s">
        <v>11416</v>
      </c>
      <c r="C4943" s="10">
        <v>46079.0</v>
      </c>
      <c r="D4943" s="6" t="s">
        <v>242</v>
      </c>
      <c r="E4943" s="6" t="s">
        <v>896</v>
      </c>
      <c r="F4943" s="6" t="s">
        <v>249</v>
      </c>
      <c r="G4943" s="6" t="s">
        <v>477</v>
      </c>
      <c r="H4943" s="10">
        <v>46085.0</v>
      </c>
      <c r="I4943" s="12">
        <v>5.0</v>
      </c>
      <c r="J4943" s="6" t="s">
        <v>178</v>
      </c>
    </row>
    <row r="4944" ht="22.5" customHeight="1">
      <c r="A4944" s="6" t="s">
        <v>21752</v>
      </c>
      <c r="B4944" s="6" t="s">
        <v>11416</v>
      </c>
      <c r="C4944" s="10">
        <v>46080.0</v>
      </c>
      <c r="D4944" s="6" t="s">
        <v>242</v>
      </c>
      <c r="E4944" s="6" t="s">
        <v>291</v>
      </c>
      <c r="F4944" s="6" t="s">
        <v>249</v>
      </c>
      <c r="G4944" s="6" t="s">
        <v>326</v>
      </c>
      <c r="H4944" s="10">
        <v>46080.0</v>
      </c>
      <c r="I4944" s="12">
        <v>6.0</v>
      </c>
      <c r="J4944" s="6" t="s">
        <v>161</v>
      </c>
    </row>
    <row r="4945" ht="22.5" customHeight="1">
      <c r="A4945" s="6" t="s">
        <v>21753</v>
      </c>
      <c r="B4945" s="6" t="s">
        <v>11416</v>
      </c>
      <c r="C4945" s="10">
        <v>46073.0</v>
      </c>
      <c r="D4945" s="6" t="s">
        <v>677</v>
      </c>
      <c r="E4945" s="6" t="s">
        <v>466</v>
      </c>
      <c r="F4945" s="6" t="s">
        <v>439</v>
      </c>
      <c r="G4945" s="6" t="s">
        <v>369</v>
      </c>
      <c r="H4945" s="10">
        <v>46080.0</v>
      </c>
      <c r="I4945" s="12">
        <v>3.0</v>
      </c>
      <c r="J4945" s="6" t="s">
        <v>161</v>
      </c>
    </row>
    <row r="4946" ht="22.5" customHeight="1">
      <c r="A4946" s="6" t="s">
        <v>21754</v>
      </c>
      <c r="B4946" s="6" t="s">
        <v>11424</v>
      </c>
      <c r="C4946" s="10">
        <v>46044.0</v>
      </c>
      <c r="D4946" s="6" t="s">
        <v>391</v>
      </c>
      <c r="E4946" s="6" t="s">
        <v>670</v>
      </c>
      <c r="F4946" s="6" t="s">
        <v>249</v>
      </c>
      <c r="G4946" s="6" t="s">
        <v>458</v>
      </c>
      <c r="H4946" s="10">
        <v>46046.0</v>
      </c>
      <c r="I4946" s="12">
        <v>8.0</v>
      </c>
      <c r="J4946" s="6" t="s">
        <v>161</v>
      </c>
    </row>
    <row r="4947" ht="22.5" customHeight="1">
      <c r="A4947" s="6" t="s">
        <v>21755</v>
      </c>
      <c r="B4947" s="6" t="s">
        <v>11424</v>
      </c>
      <c r="C4947" s="10">
        <v>46053.0</v>
      </c>
      <c r="D4947" s="6" t="s">
        <v>436</v>
      </c>
      <c r="E4947" s="6" t="s">
        <v>1969</v>
      </c>
      <c r="F4947" s="6" t="s">
        <v>283</v>
      </c>
      <c r="G4947" s="6" t="s">
        <v>254</v>
      </c>
      <c r="H4947" s="10">
        <v>46053.0</v>
      </c>
      <c r="I4947" s="12">
        <v>11.0</v>
      </c>
      <c r="J4947" s="6" t="s">
        <v>178</v>
      </c>
    </row>
    <row r="4948" ht="22.5" customHeight="1">
      <c r="A4948" s="6" t="s">
        <v>21756</v>
      </c>
      <c r="B4948" s="6" t="s">
        <v>11424</v>
      </c>
      <c r="C4948" s="10">
        <v>46051.0</v>
      </c>
      <c r="D4948" s="6" t="s">
        <v>416</v>
      </c>
      <c r="E4948" s="6" t="s">
        <v>417</v>
      </c>
      <c r="F4948" s="6" t="s">
        <v>439</v>
      </c>
      <c r="G4948" s="6" t="s">
        <v>254</v>
      </c>
      <c r="H4948" s="10">
        <v>46057.0</v>
      </c>
      <c r="I4948" s="12">
        <v>13.0</v>
      </c>
      <c r="J4948" s="6" t="s">
        <v>161</v>
      </c>
    </row>
    <row r="4949" ht="22.5" customHeight="1">
      <c r="A4949" s="6" t="s">
        <v>21757</v>
      </c>
      <c r="B4949" s="6" t="s">
        <v>11424</v>
      </c>
      <c r="C4949" s="10">
        <v>46038.0</v>
      </c>
      <c r="D4949" s="6" t="s">
        <v>677</v>
      </c>
      <c r="E4949" s="6" t="s">
        <v>704</v>
      </c>
      <c r="F4949" s="6" t="s">
        <v>439</v>
      </c>
      <c r="G4949" s="6" t="s">
        <v>494</v>
      </c>
      <c r="H4949" s="10">
        <v>46040.0</v>
      </c>
      <c r="I4949" s="12">
        <v>4.0</v>
      </c>
      <c r="J4949" s="6" t="s">
        <v>161</v>
      </c>
    </row>
    <row r="4950" ht="22.5" customHeight="1">
      <c r="A4950" s="6" t="s">
        <v>21758</v>
      </c>
      <c r="B4950" s="6" t="s">
        <v>11424</v>
      </c>
      <c r="C4950" s="10">
        <v>46039.0</v>
      </c>
      <c r="D4950" s="6" t="s">
        <v>242</v>
      </c>
      <c r="E4950" s="6" t="s">
        <v>450</v>
      </c>
      <c r="F4950" s="6" t="s">
        <v>439</v>
      </c>
      <c r="G4950" s="6" t="s">
        <v>326</v>
      </c>
      <c r="H4950" s="10">
        <v>46043.0</v>
      </c>
      <c r="I4950" s="12">
        <v>3.0</v>
      </c>
      <c r="J4950" s="6" t="s">
        <v>161</v>
      </c>
    </row>
    <row r="4951" ht="22.5" customHeight="1">
      <c r="A4951" s="6" t="s">
        <v>21759</v>
      </c>
      <c r="B4951" s="6" t="s">
        <v>11430</v>
      </c>
      <c r="C4951" s="10">
        <v>46069.0</v>
      </c>
      <c r="D4951" s="6" t="s">
        <v>436</v>
      </c>
      <c r="E4951" s="6" t="s">
        <v>1035</v>
      </c>
      <c r="F4951" s="6" t="s">
        <v>283</v>
      </c>
      <c r="G4951" s="6" t="s">
        <v>452</v>
      </c>
      <c r="H4951" s="10">
        <v>46069.0</v>
      </c>
      <c r="I4951" s="12">
        <v>10.0</v>
      </c>
      <c r="J4951" s="6" t="s">
        <v>178</v>
      </c>
    </row>
    <row r="4952" ht="22.5" customHeight="1">
      <c r="A4952" s="6" t="s">
        <v>21760</v>
      </c>
      <c r="B4952" s="6" t="s">
        <v>11430</v>
      </c>
      <c r="C4952" s="10">
        <v>46073.0</v>
      </c>
      <c r="D4952" s="6" t="s">
        <v>677</v>
      </c>
      <c r="E4952" s="6" t="s">
        <v>1241</v>
      </c>
      <c r="F4952" s="6" t="s">
        <v>112</v>
      </c>
      <c r="G4952" s="6" t="s">
        <v>458</v>
      </c>
      <c r="H4952" s="10">
        <v>46079.0</v>
      </c>
      <c r="I4952" s="12">
        <v>2.0</v>
      </c>
      <c r="J4952" s="6" t="s">
        <v>161</v>
      </c>
    </row>
    <row r="4953" ht="22.5" customHeight="1">
      <c r="A4953" s="6" t="s">
        <v>21761</v>
      </c>
      <c r="B4953" s="6" t="s">
        <v>11430</v>
      </c>
      <c r="C4953" s="10">
        <v>46060.0</v>
      </c>
      <c r="D4953" s="6" t="s">
        <v>677</v>
      </c>
      <c r="E4953" s="6" t="s">
        <v>246</v>
      </c>
      <c r="F4953" s="6" t="s">
        <v>249</v>
      </c>
      <c r="G4953" s="6" t="s">
        <v>452</v>
      </c>
      <c r="H4953" s="10">
        <v>46061.0</v>
      </c>
      <c r="I4953" s="12">
        <v>4.0</v>
      </c>
      <c r="J4953" s="6" t="s">
        <v>161</v>
      </c>
    </row>
    <row r="4954" ht="22.5" customHeight="1">
      <c r="A4954" s="6" t="s">
        <v>21762</v>
      </c>
      <c r="B4954" s="6" t="s">
        <v>11430</v>
      </c>
      <c r="C4954" s="10">
        <v>46070.0</v>
      </c>
      <c r="D4954" s="6" t="s">
        <v>416</v>
      </c>
      <c r="E4954" s="6" t="s">
        <v>798</v>
      </c>
      <c r="F4954" s="6" t="s">
        <v>112</v>
      </c>
      <c r="G4954" s="6" t="s">
        <v>254</v>
      </c>
      <c r="H4954" s="11" t="s">
        <v>259</v>
      </c>
      <c r="I4954" s="12">
        <v>8.0</v>
      </c>
      <c r="J4954" s="6" t="s">
        <v>161</v>
      </c>
    </row>
    <row r="4955" ht="22.5" customHeight="1">
      <c r="A4955" s="6" t="s">
        <v>21763</v>
      </c>
      <c r="B4955" s="6" t="s">
        <v>11430</v>
      </c>
      <c r="C4955" s="10">
        <v>46064.0</v>
      </c>
      <c r="D4955" s="6" t="s">
        <v>416</v>
      </c>
      <c r="E4955" s="6" t="s">
        <v>450</v>
      </c>
      <c r="F4955" s="6" t="s">
        <v>283</v>
      </c>
      <c r="G4955" s="6" t="s">
        <v>494</v>
      </c>
      <c r="H4955" s="10">
        <v>46068.0</v>
      </c>
      <c r="I4955" s="12">
        <v>10.0</v>
      </c>
      <c r="J4955" s="6" t="s">
        <v>161</v>
      </c>
    </row>
    <row r="4956" ht="22.5" customHeight="1">
      <c r="A4956" s="6" t="s">
        <v>21764</v>
      </c>
      <c r="B4956" s="6" t="s">
        <v>11437</v>
      </c>
      <c r="C4956" s="10">
        <v>46056.0</v>
      </c>
      <c r="D4956" s="6" t="s">
        <v>391</v>
      </c>
      <c r="E4956" s="6" t="s">
        <v>731</v>
      </c>
      <c r="F4956" s="6" t="s">
        <v>249</v>
      </c>
      <c r="G4956" s="6" t="s">
        <v>477</v>
      </c>
      <c r="H4956" s="11" t="s">
        <v>259</v>
      </c>
      <c r="I4956" s="12">
        <v>10.0</v>
      </c>
      <c r="J4956" s="6" t="s">
        <v>161</v>
      </c>
    </row>
    <row r="4957" ht="22.5" customHeight="1">
      <c r="A4957" s="6" t="s">
        <v>21765</v>
      </c>
      <c r="B4957" s="6" t="s">
        <v>11437</v>
      </c>
      <c r="C4957" s="10">
        <v>46048.0</v>
      </c>
      <c r="D4957" s="6" t="s">
        <v>416</v>
      </c>
      <c r="E4957" s="6" t="s">
        <v>1149</v>
      </c>
      <c r="F4957" s="6" t="s">
        <v>249</v>
      </c>
      <c r="G4957" s="6" t="s">
        <v>458</v>
      </c>
      <c r="H4957" s="11" t="s">
        <v>259</v>
      </c>
      <c r="I4957" s="12">
        <v>10.0</v>
      </c>
      <c r="J4957" s="6" t="s">
        <v>161</v>
      </c>
    </row>
    <row r="4958" ht="22.5" customHeight="1">
      <c r="A4958" s="6" t="s">
        <v>21766</v>
      </c>
      <c r="B4958" s="6" t="s">
        <v>11437</v>
      </c>
      <c r="C4958" s="10">
        <v>46042.0</v>
      </c>
      <c r="D4958" s="6" t="s">
        <v>416</v>
      </c>
      <c r="E4958" s="6" t="s">
        <v>320</v>
      </c>
      <c r="F4958" s="6" t="s">
        <v>112</v>
      </c>
      <c r="G4958" s="6" t="s">
        <v>458</v>
      </c>
      <c r="H4958" s="10">
        <v>46047.0</v>
      </c>
      <c r="I4958" s="12">
        <v>12.0</v>
      </c>
      <c r="J4958" s="6" t="s">
        <v>161</v>
      </c>
    </row>
    <row r="4959" ht="22.5" customHeight="1">
      <c r="A4959" s="6" t="s">
        <v>21767</v>
      </c>
      <c r="B4959" s="6" t="s">
        <v>11437</v>
      </c>
      <c r="C4959" s="10">
        <v>46036.0</v>
      </c>
      <c r="D4959" s="6" t="s">
        <v>391</v>
      </c>
      <c r="E4959" s="6" t="s">
        <v>955</v>
      </c>
      <c r="F4959" s="6" t="s">
        <v>283</v>
      </c>
      <c r="G4959" s="6" t="s">
        <v>369</v>
      </c>
      <c r="H4959" s="10">
        <v>46039.0</v>
      </c>
      <c r="I4959" s="12">
        <v>11.0</v>
      </c>
      <c r="J4959" s="6" t="s">
        <v>161</v>
      </c>
    </row>
    <row r="4960" ht="22.5" customHeight="1">
      <c r="A4960" s="6" t="s">
        <v>21768</v>
      </c>
      <c r="B4960" s="6" t="s">
        <v>11437</v>
      </c>
      <c r="C4960" s="10">
        <v>46050.0</v>
      </c>
      <c r="D4960" s="6" t="s">
        <v>436</v>
      </c>
      <c r="E4960" s="6" t="s">
        <v>1517</v>
      </c>
      <c r="F4960" s="6" t="s">
        <v>249</v>
      </c>
      <c r="G4960" s="6" t="s">
        <v>254</v>
      </c>
      <c r="H4960" s="10">
        <v>46057.0</v>
      </c>
      <c r="I4960" s="12">
        <v>8.0</v>
      </c>
      <c r="J4960" s="6" t="s">
        <v>178</v>
      </c>
    </row>
    <row r="4961" ht="22.5" customHeight="1">
      <c r="A4961" s="6" t="s">
        <v>21769</v>
      </c>
      <c r="B4961" s="6" t="s">
        <v>11443</v>
      </c>
      <c r="C4961" s="10">
        <v>46043.0</v>
      </c>
      <c r="D4961" s="6" t="s">
        <v>242</v>
      </c>
      <c r="E4961" s="6" t="s">
        <v>1070</v>
      </c>
      <c r="F4961" s="6" t="s">
        <v>249</v>
      </c>
      <c r="G4961" s="6" t="s">
        <v>326</v>
      </c>
      <c r="H4961" s="10">
        <v>46049.0</v>
      </c>
      <c r="I4961" s="12">
        <v>6.0</v>
      </c>
      <c r="J4961" s="6" t="s">
        <v>161</v>
      </c>
    </row>
    <row r="4962" ht="22.5" customHeight="1">
      <c r="A4962" s="6" t="s">
        <v>21770</v>
      </c>
      <c r="B4962" s="6" t="s">
        <v>11450</v>
      </c>
      <c r="C4962" s="10">
        <v>46037.0</v>
      </c>
      <c r="D4962" s="6" t="s">
        <v>312</v>
      </c>
      <c r="E4962" s="6" t="s">
        <v>365</v>
      </c>
      <c r="F4962" s="6" t="s">
        <v>249</v>
      </c>
      <c r="G4962" s="6" t="s">
        <v>326</v>
      </c>
      <c r="H4962" s="11" t="s">
        <v>259</v>
      </c>
      <c r="I4962" s="12">
        <v>7.0</v>
      </c>
      <c r="J4962" s="6" t="s">
        <v>161</v>
      </c>
    </row>
    <row r="4963" ht="22.5" customHeight="1">
      <c r="A4963" s="6" t="s">
        <v>21771</v>
      </c>
      <c r="B4963" s="6" t="s">
        <v>11450</v>
      </c>
      <c r="C4963" s="10">
        <v>46029.0</v>
      </c>
      <c r="D4963" s="6" t="s">
        <v>416</v>
      </c>
      <c r="E4963" s="6" t="s">
        <v>1070</v>
      </c>
      <c r="F4963" s="6" t="s">
        <v>249</v>
      </c>
      <c r="G4963" s="6" t="s">
        <v>458</v>
      </c>
      <c r="H4963" s="10">
        <v>46035.0</v>
      </c>
      <c r="I4963" s="12">
        <v>13.0</v>
      </c>
      <c r="J4963" s="6" t="s">
        <v>161</v>
      </c>
    </row>
    <row r="4964" ht="22.5" customHeight="1">
      <c r="A4964" s="6" t="s">
        <v>21772</v>
      </c>
      <c r="B4964" s="6" t="s">
        <v>11450</v>
      </c>
      <c r="C4964" s="10">
        <v>46028.0</v>
      </c>
      <c r="D4964" s="6" t="s">
        <v>436</v>
      </c>
      <c r="E4964" s="6" t="s">
        <v>716</v>
      </c>
      <c r="F4964" s="6" t="s">
        <v>249</v>
      </c>
      <c r="G4964" s="6" t="s">
        <v>254</v>
      </c>
      <c r="H4964" s="10">
        <v>46031.0</v>
      </c>
      <c r="I4964" s="12">
        <v>6.0</v>
      </c>
      <c r="J4964" s="6" t="s">
        <v>178</v>
      </c>
    </row>
    <row r="4965" ht="22.5" customHeight="1">
      <c r="A4965" s="6" t="s">
        <v>21773</v>
      </c>
      <c r="B4965" s="6" t="s">
        <v>11450</v>
      </c>
      <c r="C4965" s="10">
        <v>46024.0</v>
      </c>
      <c r="D4965" s="6" t="s">
        <v>391</v>
      </c>
      <c r="E4965" s="6" t="s">
        <v>618</v>
      </c>
      <c r="F4965" s="6" t="s">
        <v>283</v>
      </c>
      <c r="G4965" s="6" t="s">
        <v>297</v>
      </c>
      <c r="H4965" s="10">
        <v>46031.0</v>
      </c>
      <c r="I4965" s="12">
        <v>10.0</v>
      </c>
      <c r="J4965" s="6" t="s">
        <v>161</v>
      </c>
    </row>
    <row r="4966" ht="22.5" customHeight="1">
      <c r="A4966" s="6" t="s">
        <v>21774</v>
      </c>
      <c r="B4966" s="6" t="s">
        <v>11456</v>
      </c>
      <c r="C4966" s="10">
        <v>46035.0</v>
      </c>
      <c r="D4966" s="6" t="s">
        <v>416</v>
      </c>
      <c r="E4966" s="6" t="s">
        <v>1035</v>
      </c>
      <c r="F4966" s="6" t="s">
        <v>112</v>
      </c>
      <c r="G4966" s="6" t="s">
        <v>477</v>
      </c>
      <c r="H4966" s="11" t="s">
        <v>259</v>
      </c>
      <c r="I4966" s="12">
        <v>13.0</v>
      </c>
      <c r="J4966" s="6" t="s">
        <v>161</v>
      </c>
    </row>
    <row r="4967" ht="22.5" customHeight="1">
      <c r="A4967" s="6" t="s">
        <v>21775</v>
      </c>
      <c r="B4967" s="6" t="s">
        <v>11456</v>
      </c>
      <c r="C4967" s="10">
        <v>46047.0</v>
      </c>
      <c r="D4967" s="6" t="s">
        <v>312</v>
      </c>
      <c r="E4967" s="6" t="s">
        <v>466</v>
      </c>
      <c r="F4967" s="6" t="s">
        <v>249</v>
      </c>
      <c r="G4967" s="6" t="s">
        <v>477</v>
      </c>
      <c r="H4967" s="10">
        <v>46050.0</v>
      </c>
      <c r="I4967" s="12">
        <v>7.0</v>
      </c>
      <c r="J4967" s="6" t="s">
        <v>161</v>
      </c>
    </row>
    <row r="4968" ht="22.5" customHeight="1">
      <c r="A4968" s="6" t="s">
        <v>21776</v>
      </c>
      <c r="B4968" s="6" t="s">
        <v>11456</v>
      </c>
      <c r="C4968" s="10">
        <v>46052.0</v>
      </c>
      <c r="D4968" s="6" t="s">
        <v>242</v>
      </c>
      <c r="E4968" s="6" t="s">
        <v>775</v>
      </c>
      <c r="F4968" s="6" t="s">
        <v>249</v>
      </c>
      <c r="G4968" s="6" t="s">
        <v>494</v>
      </c>
      <c r="H4968" s="10">
        <v>46059.0</v>
      </c>
      <c r="I4968" s="12">
        <v>5.0</v>
      </c>
      <c r="J4968" s="6" t="s">
        <v>161</v>
      </c>
    </row>
    <row r="4969" ht="22.5" customHeight="1">
      <c r="A4969" s="6" t="s">
        <v>21777</v>
      </c>
      <c r="B4969" s="6" t="s">
        <v>11462</v>
      </c>
      <c r="C4969" s="10">
        <v>46052.0</v>
      </c>
      <c r="D4969" s="6" t="s">
        <v>242</v>
      </c>
      <c r="E4969" s="6" t="s">
        <v>833</v>
      </c>
      <c r="F4969" s="6" t="s">
        <v>112</v>
      </c>
      <c r="G4969" s="6" t="s">
        <v>452</v>
      </c>
      <c r="H4969" s="10">
        <v>46057.0</v>
      </c>
      <c r="I4969" s="12">
        <v>4.0</v>
      </c>
      <c r="J4969" s="6" t="s">
        <v>178</v>
      </c>
    </row>
    <row r="4970" ht="22.5" customHeight="1">
      <c r="A4970" s="6" t="s">
        <v>21778</v>
      </c>
      <c r="B4970" s="6" t="s">
        <v>11462</v>
      </c>
      <c r="C4970" s="10">
        <v>46052.0</v>
      </c>
      <c r="D4970" s="6" t="s">
        <v>436</v>
      </c>
      <c r="E4970" s="6" t="s">
        <v>1273</v>
      </c>
      <c r="F4970" s="6" t="s">
        <v>112</v>
      </c>
      <c r="G4970" s="6" t="s">
        <v>369</v>
      </c>
      <c r="H4970" s="10">
        <v>46056.0</v>
      </c>
      <c r="I4970" s="12">
        <v>11.0</v>
      </c>
      <c r="J4970" s="6" t="s">
        <v>161</v>
      </c>
    </row>
    <row r="4971" ht="22.5" customHeight="1">
      <c r="A4971" s="6" t="s">
        <v>21779</v>
      </c>
      <c r="B4971" s="6" t="s">
        <v>11468</v>
      </c>
      <c r="C4971" s="10">
        <v>46061.0</v>
      </c>
      <c r="D4971" s="6" t="s">
        <v>677</v>
      </c>
      <c r="E4971" s="6" t="s">
        <v>450</v>
      </c>
      <c r="F4971" s="6" t="s">
        <v>112</v>
      </c>
      <c r="G4971" s="6" t="s">
        <v>369</v>
      </c>
      <c r="H4971" s="11" t="s">
        <v>259</v>
      </c>
      <c r="I4971" s="12">
        <v>3.0</v>
      </c>
      <c r="J4971" s="6" t="s">
        <v>161</v>
      </c>
    </row>
    <row r="4972" ht="22.5" customHeight="1">
      <c r="A4972" s="6" t="s">
        <v>21780</v>
      </c>
      <c r="B4972" s="6" t="s">
        <v>11468</v>
      </c>
      <c r="C4972" s="10">
        <v>46054.0</v>
      </c>
      <c r="D4972" s="6" t="s">
        <v>677</v>
      </c>
      <c r="E4972" s="6" t="s">
        <v>1102</v>
      </c>
      <c r="F4972" s="6" t="s">
        <v>283</v>
      </c>
      <c r="G4972" s="6" t="s">
        <v>297</v>
      </c>
      <c r="H4972" s="10">
        <v>46058.0</v>
      </c>
      <c r="I4972" s="12">
        <v>3.0</v>
      </c>
      <c r="J4972" s="6" t="s">
        <v>161</v>
      </c>
    </row>
    <row r="4973" ht="22.5" customHeight="1">
      <c r="A4973" s="6" t="s">
        <v>21781</v>
      </c>
      <c r="B4973" s="6" t="s">
        <v>11468</v>
      </c>
      <c r="C4973" s="10">
        <v>46060.0</v>
      </c>
      <c r="D4973" s="6" t="s">
        <v>312</v>
      </c>
      <c r="E4973" s="6" t="s">
        <v>1296</v>
      </c>
      <c r="F4973" s="6" t="s">
        <v>283</v>
      </c>
      <c r="G4973" s="6" t="s">
        <v>458</v>
      </c>
      <c r="H4973" s="10">
        <v>46067.0</v>
      </c>
      <c r="I4973" s="12">
        <v>5.0</v>
      </c>
      <c r="J4973" s="6" t="s">
        <v>161</v>
      </c>
    </row>
    <row r="4974" ht="22.5" customHeight="1">
      <c r="A4974" s="6" t="s">
        <v>21782</v>
      </c>
      <c r="B4974" s="6" t="s">
        <v>11474</v>
      </c>
      <c r="C4974" s="10">
        <v>46047.0</v>
      </c>
      <c r="D4974" s="6" t="s">
        <v>391</v>
      </c>
      <c r="E4974" s="6" t="s">
        <v>365</v>
      </c>
      <c r="F4974" s="6" t="s">
        <v>439</v>
      </c>
      <c r="G4974" s="6" t="s">
        <v>452</v>
      </c>
      <c r="H4974" s="11" t="s">
        <v>259</v>
      </c>
      <c r="I4974" s="12">
        <v>8.0</v>
      </c>
      <c r="J4974" s="6" t="s">
        <v>161</v>
      </c>
    </row>
    <row r="4975" ht="22.5" customHeight="1">
      <c r="A4975" s="6" t="s">
        <v>21783</v>
      </c>
      <c r="B4975" s="6" t="s">
        <v>11474</v>
      </c>
      <c r="C4975" s="10">
        <v>46046.0</v>
      </c>
      <c r="D4975" s="6" t="s">
        <v>677</v>
      </c>
      <c r="E4975" s="6" t="s">
        <v>1741</v>
      </c>
      <c r="F4975" s="6" t="s">
        <v>439</v>
      </c>
      <c r="G4975" s="6" t="s">
        <v>494</v>
      </c>
      <c r="H4975" s="10">
        <v>46048.0</v>
      </c>
      <c r="I4975" s="12">
        <v>2.0</v>
      </c>
      <c r="J4975" s="6" t="s">
        <v>161</v>
      </c>
    </row>
    <row r="4976" ht="22.5" customHeight="1">
      <c r="A4976" s="6" t="s">
        <v>21784</v>
      </c>
      <c r="B4976" s="6" t="s">
        <v>11474</v>
      </c>
      <c r="C4976" s="10">
        <v>46041.0</v>
      </c>
      <c r="D4976" s="6" t="s">
        <v>289</v>
      </c>
      <c r="E4976" s="6" t="s">
        <v>1296</v>
      </c>
      <c r="F4976" s="6" t="s">
        <v>249</v>
      </c>
      <c r="G4976" s="6" t="s">
        <v>369</v>
      </c>
      <c r="H4976" s="11" t="s">
        <v>259</v>
      </c>
      <c r="I4976" s="12">
        <v>7.0</v>
      </c>
      <c r="J4976" s="6" t="s">
        <v>161</v>
      </c>
    </row>
    <row r="4977" ht="22.5" customHeight="1">
      <c r="A4977" s="6" t="s">
        <v>21785</v>
      </c>
      <c r="B4977" s="6" t="s">
        <v>11481</v>
      </c>
      <c r="C4977" s="10">
        <v>46070.0</v>
      </c>
      <c r="D4977" s="6" t="s">
        <v>416</v>
      </c>
      <c r="E4977" s="6" t="s">
        <v>1552</v>
      </c>
      <c r="F4977" s="6" t="s">
        <v>112</v>
      </c>
      <c r="G4977" s="6" t="s">
        <v>477</v>
      </c>
      <c r="H4977" s="11" t="s">
        <v>259</v>
      </c>
      <c r="I4977" s="12">
        <v>10.0</v>
      </c>
      <c r="J4977" s="6" t="s">
        <v>161</v>
      </c>
    </row>
    <row r="4978" ht="22.5" customHeight="1">
      <c r="A4978" s="6" t="s">
        <v>21786</v>
      </c>
      <c r="B4978" s="6" t="s">
        <v>11481</v>
      </c>
      <c r="C4978" s="10">
        <v>46067.0</v>
      </c>
      <c r="D4978" s="6" t="s">
        <v>416</v>
      </c>
      <c r="E4978" s="6" t="s">
        <v>1280</v>
      </c>
      <c r="F4978" s="6" t="s">
        <v>283</v>
      </c>
      <c r="G4978" s="6" t="s">
        <v>326</v>
      </c>
      <c r="H4978" s="10">
        <v>46067.0</v>
      </c>
      <c r="I4978" s="12">
        <v>9.0</v>
      </c>
      <c r="J4978" s="6" t="s">
        <v>161</v>
      </c>
    </row>
    <row r="4979" ht="22.5" customHeight="1">
      <c r="A4979" s="6" t="s">
        <v>21787</v>
      </c>
      <c r="B4979" s="6" t="s">
        <v>11481</v>
      </c>
      <c r="C4979" s="10">
        <v>46065.0</v>
      </c>
      <c r="D4979" s="6" t="s">
        <v>242</v>
      </c>
      <c r="E4979" s="6" t="s">
        <v>863</v>
      </c>
      <c r="F4979" s="6" t="s">
        <v>439</v>
      </c>
      <c r="G4979" s="6" t="s">
        <v>494</v>
      </c>
      <c r="H4979" s="10">
        <v>46065.0</v>
      </c>
      <c r="I4979" s="12">
        <v>6.0</v>
      </c>
      <c r="J4979" s="6" t="s">
        <v>178</v>
      </c>
    </row>
    <row r="4980" ht="22.5" customHeight="1">
      <c r="A4980" s="6" t="s">
        <v>21788</v>
      </c>
      <c r="B4980" s="6" t="s">
        <v>11481</v>
      </c>
      <c r="C4980" s="10">
        <v>46075.0</v>
      </c>
      <c r="D4980" s="6" t="s">
        <v>242</v>
      </c>
      <c r="E4980" s="6" t="s">
        <v>365</v>
      </c>
      <c r="F4980" s="6" t="s">
        <v>283</v>
      </c>
      <c r="G4980" s="6" t="s">
        <v>254</v>
      </c>
      <c r="H4980" s="10">
        <v>46080.0</v>
      </c>
      <c r="I4980" s="12">
        <v>5.0</v>
      </c>
      <c r="J4980" s="6" t="s">
        <v>178</v>
      </c>
    </row>
    <row r="4981" ht="22.5" customHeight="1">
      <c r="A4981" s="6" t="s">
        <v>21789</v>
      </c>
      <c r="B4981" s="6" t="s">
        <v>11487</v>
      </c>
      <c r="C4981" s="10">
        <v>46040.0</v>
      </c>
      <c r="D4981" s="6" t="s">
        <v>677</v>
      </c>
      <c r="E4981" s="6" t="s">
        <v>1310</v>
      </c>
      <c r="F4981" s="6" t="s">
        <v>249</v>
      </c>
      <c r="G4981" s="6" t="s">
        <v>369</v>
      </c>
      <c r="H4981" s="10">
        <v>46041.0</v>
      </c>
      <c r="I4981" s="12">
        <v>4.0</v>
      </c>
      <c r="J4981" s="6" t="s">
        <v>161</v>
      </c>
    </row>
    <row r="4982" ht="22.5" customHeight="1">
      <c r="A4982" s="6" t="s">
        <v>21790</v>
      </c>
      <c r="B4982" s="6" t="s">
        <v>11487</v>
      </c>
      <c r="C4982" s="10">
        <v>46041.0</v>
      </c>
      <c r="D4982" s="6" t="s">
        <v>289</v>
      </c>
      <c r="E4982" s="6" t="s">
        <v>512</v>
      </c>
      <c r="F4982" s="6" t="s">
        <v>439</v>
      </c>
      <c r="G4982" s="6" t="s">
        <v>477</v>
      </c>
      <c r="H4982" s="10">
        <v>46041.0</v>
      </c>
      <c r="I4982" s="12">
        <v>6.0</v>
      </c>
      <c r="J4982" s="6" t="s">
        <v>161</v>
      </c>
    </row>
    <row r="4983" ht="22.5" customHeight="1">
      <c r="A4983" s="6" t="s">
        <v>21791</v>
      </c>
      <c r="B4983" s="6" t="s">
        <v>11487</v>
      </c>
      <c r="C4983" s="10">
        <v>46054.0</v>
      </c>
      <c r="D4983" s="6" t="s">
        <v>242</v>
      </c>
      <c r="E4983" s="6" t="s">
        <v>863</v>
      </c>
      <c r="F4983" s="6" t="s">
        <v>283</v>
      </c>
      <c r="G4983" s="6" t="s">
        <v>369</v>
      </c>
      <c r="H4983" s="10">
        <v>46059.0</v>
      </c>
      <c r="I4983" s="12">
        <v>4.0</v>
      </c>
      <c r="J4983" s="6" t="s">
        <v>178</v>
      </c>
    </row>
    <row r="4984" ht="22.5" customHeight="1">
      <c r="A4984" s="6" t="s">
        <v>21792</v>
      </c>
      <c r="B4984" s="6" t="s">
        <v>11487</v>
      </c>
      <c r="C4984" s="10">
        <v>46052.0</v>
      </c>
      <c r="D4984" s="6" t="s">
        <v>416</v>
      </c>
      <c r="E4984" s="6" t="s">
        <v>798</v>
      </c>
      <c r="F4984" s="6" t="s">
        <v>249</v>
      </c>
      <c r="G4984" s="6" t="s">
        <v>452</v>
      </c>
      <c r="H4984" s="11" t="s">
        <v>259</v>
      </c>
      <c r="I4984" s="12">
        <v>9.0</v>
      </c>
      <c r="J4984" s="6" t="s">
        <v>161</v>
      </c>
    </row>
    <row r="4985" ht="22.5" customHeight="1">
      <c r="A4985" s="6" t="s">
        <v>21793</v>
      </c>
      <c r="B4985" s="6" t="s">
        <v>11493</v>
      </c>
      <c r="C4985" s="10">
        <v>46066.0</v>
      </c>
      <c r="D4985" s="6" t="s">
        <v>391</v>
      </c>
      <c r="E4985" s="6" t="s">
        <v>320</v>
      </c>
      <c r="F4985" s="6" t="s">
        <v>249</v>
      </c>
      <c r="G4985" s="6" t="s">
        <v>326</v>
      </c>
      <c r="H4985" s="10">
        <v>46073.0</v>
      </c>
      <c r="I4985" s="12">
        <v>9.0</v>
      </c>
      <c r="J4985" s="6" t="s">
        <v>161</v>
      </c>
    </row>
    <row r="4986" ht="22.5" customHeight="1">
      <c r="A4986" s="6" t="s">
        <v>21794</v>
      </c>
      <c r="B4986" s="6" t="s">
        <v>11493</v>
      </c>
      <c r="C4986" s="10">
        <v>46072.0</v>
      </c>
      <c r="D4986" s="6" t="s">
        <v>416</v>
      </c>
      <c r="E4986" s="6" t="s">
        <v>618</v>
      </c>
      <c r="F4986" s="6" t="s">
        <v>112</v>
      </c>
      <c r="G4986" s="6" t="s">
        <v>494</v>
      </c>
      <c r="H4986" s="10">
        <v>46077.0</v>
      </c>
      <c r="I4986" s="12">
        <v>9.0</v>
      </c>
      <c r="J4986" s="6" t="s">
        <v>161</v>
      </c>
    </row>
    <row r="4987" ht="22.5" customHeight="1">
      <c r="A4987" s="6" t="s">
        <v>21795</v>
      </c>
      <c r="B4987" s="6" t="s">
        <v>11493</v>
      </c>
      <c r="C4987" s="10">
        <v>46073.0</v>
      </c>
      <c r="D4987" s="6" t="s">
        <v>242</v>
      </c>
      <c r="E4987" s="6" t="s">
        <v>365</v>
      </c>
      <c r="F4987" s="6" t="s">
        <v>439</v>
      </c>
      <c r="G4987" s="6" t="s">
        <v>254</v>
      </c>
      <c r="H4987" s="10">
        <v>46074.0</v>
      </c>
      <c r="I4987" s="12">
        <v>5.0</v>
      </c>
      <c r="J4987" s="6" t="s">
        <v>161</v>
      </c>
    </row>
    <row r="4988" ht="22.5" customHeight="1">
      <c r="A4988" s="6" t="s">
        <v>21796</v>
      </c>
      <c r="B4988" s="6" t="s">
        <v>11500</v>
      </c>
      <c r="C4988" s="10">
        <v>46051.0</v>
      </c>
      <c r="D4988" s="6" t="s">
        <v>416</v>
      </c>
      <c r="E4988" s="6" t="s">
        <v>738</v>
      </c>
      <c r="F4988" s="6" t="s">
        <v>283</v>
      </c>
      <c r="G4988" s="6" t="s">
        <v>326</v>
      </c>
      <c r="H4988" s="10">
        <v>46057.0</v>
      </c>
      <c r="I4988" s="12">
        <v>14.0</v>
      </c>
      <c r="J4988" s="6" t="s">
        <v>161</v>
      </c>
    </row>
    <row r="4989" ht="22.5" customHeight="1">
      <c r="A4989" s="6" t="s">
        <v>21797</v>
      </c>
      <c r="B4989" s="6" t="s">
        <v>11500</v>
      </c>
      <c r="C4989" s="10">
        <v>46056.0</v>
      </c>
      <c r="D4989" s="6" t="s">
        <v>416</v>
      </c>
      <c r="E4989" s="6" t="s">
        <v>798</v>
      </c>
      <c r="F4989" s="6" t="s">
        <v>249</v>
      </c>
      <c r="G4989" s="6" t="s">
        <v>254</v>
      </c>
      <c r="H4989" s="10">
        <v>46057.0</v>
      </c>
      <c r="I4989" s="12">
        <v>12.0</v>
      </c>
      <c r="J4989" s="6" t="s">
        <v>161</v>
      </c>
    </row>
    <row r="4990" ht="22.5" customHeight="1">
      <c r="A4990" s="6" t="s">
        <v>21798</v>
      </c>
      <c r="B4990" s="6" t="s">
        <v>11500</v>
      </c>
      <c r="C4990" s="10">
        <v>46048.0</v>
      </c>
      <c r="D4990" s="6" t="s">
        <v>436</v>
      </c>
      <c r="E4990" s="6" t="s">
        <v>1969</v>
      </c>
      <c r="F4990" s="6" t="s">
        <v>283</v>
      </c>
      <c r="G4990" s="6" t="s">
        <v>458</v>
      </c>
      <c r="H4990" s="10">
        <v>46052.0</v>
      </c>
      <c r="I4990" s="12">
        <v>11.0</v>
      </c>
      <c r="J4990" s="6" t="s">
        <v>161</v>
      </c>
    </row>
    <row r="4991" ht="22.5" customHeight="1">
      <c r="A4991" s="6" t="s">
        <v>21799</v>
      </c>
      <c r="B4991" s="6" t="s">
        <v>11500</v>
      </c>
      <c r="C4991" s="10">
        <v>46043.0</v>
      </c>
      <c r="D4991" s="6" t="s">
        <v>289</v>
      </c>
      <c r="E4991" s="6" t="s">
        <v>863</v>
      </c>
      <c r="F4991" s="6" t="s">
        <v>439</v>
      </c>
      <c r="G4991" s="6" t="s">
        <v>494</v>
      </c>
      <c r="H4991" s="10">
        <v>46049.0</v>
      </c>
      <c r="I4991" s="12">
        <v>9.0</v>
      </c>
      <c r="J4991" s="6" t="s">
        <v>161</v>
      </c>
    </row>
    <row r="4992" ht="22.5" customHeight="1">
      <c r="A4992" s="6" t="s">
        <v>21800</v>
      </c>
      <c r="B4992" s="6" t="s">
        <v>11500</v>
      </c>
      <c r="C4992" s="10">
        <v>46059.0</v>
      </c>
      <c r="D4992" s="6" t="s">
        <v>436</v>
      </c>
      <c r="E4992" s="6" t="s">
        <v>1035</v>
      </c>
      <c r="F4992" s="6" t="s">
        <v>112</v>
      </c>
      <c r="G4992" s="6" t="s">
        <v>326</v>
      </c>
      <c r="H4992" s="10">
        <v>46062.0</v>
      </c>
      <c r="I4992" s="12">
        <v>10.0</v>
      </c>
      <c r="J4992" s="6" t="s">
        <v>178</v>
      </c>
    </row>
    <row r="4993" ht="22.5" customHeight="1">
      <c r="A4993" s="6" t="s">
        <v>21801</v>
      </c>
      <c r="B4993" s="6" t="s">
        <v>11505</v>
      </c>
      <c r="C4993" s="10">
        <v>46058.0</v>
      </c>
      <c r="D4993" s="6" t="s">
        <v>312</v>
      </c>
      <c r="E4993" s="6" t="s">
        <v>1102</v>
      </c>
      <c r="F4993" s="6" t="s">
        <v>112</v>
      </c>
      <c r="G4993" s="6" t="s">
        <v>477</v>
      </c>
      <c r="H4993" s="11" t="s">
        <v>259</v>
      </c>
      <c r="I4993" s="12">
        <v>5.0</v>
      </c>
      <c r="J4993" s="6" t="s">
        <v>161</v>
      </c>
    </row>
    <row r="4994" ht="22.5" customHeight="1">
      <c r="A4994" s="6" t="s">
        <v>21802</v>
      </c>
      <c r="B4994" s="6" t="s">
        <v>11510</v>
      </c>
      <c r="C4994" s="10">
        <v>46045.0</v>
      </c>
      <c r="D4994" s="6" t="s">
        <v>242</v>
      </c>
      <c r="E4994" s="6" t="s">
        <v>2365</v>
      </c>
      <c r="F4994" s="6" t="s">
        <v>249</v>
      </c>
      <c r="G4994" s="6" t="s">
        <v>458</v>
      </c>
      <c r="H4994" s="10">
        <v>46046.0</v>
      </c>
      <c r="I4994" s="12">
        <v>4.0</v>
      </c>
      <c r="J4994" s="6" t="s">
        <v>178</v>
      </c>
    </row>
    <row r="4995" ht="22.5" customHeight="1">
      <c r="A4995" s="6" t="s">
        <v>21803</v>
      </c>
      <c r="B4995" s="6" t="s">
        <v>11510</v>
      </c>
      <c r="C4995" s="10">
        <v>46042.0</v>
      </c>
      <c r="D4995" s="6" t="s">
        <v>416</v>
      </c>
      <c r="E4995" s="6" t="s">
        <v>812</v>
      </c>
      <c r="F4995" s="6" t="s">
        <v>112</v>
      </c>
      <c r="G4995" s="6" t="s">
        <v>369</v>
      </c>
      <c r="H4995" s="10">
        <v>46048.0</v>
      </c>
      <c r="I4995" s="12">
        <v>9.0</v>
      </c>
      <c r="J4995" s="6" t="s">
        <v>161</v>
      </c>
    </row>
    <row r="4996" ht="22.5" customHeight="1">
      <c r="A4996" s="6" t="s">
        <v>21804</v>
      </c>
      <c r="B4996" s="6" t="s">
        <v>11516</v>
      </c>
      <c r="C4996" s="10">
        <v>46043.0</v>
      </c>
      <c r="D4996" s="6" t="s">
        <v>391</v>
      </c>
      <c r="E4996" s="6" t="s">
        <v>1741</v>
      </c>
      <c r="F4996" s="6" t="s">
        <v>112</v>
      </c>
      <c r="G4996" s="6" t="s">
        <v>458</v>
      </c>
      <c r="H4996" s="10">
        <v>46050.0</v>
      </c>
      <c r="I4996" s="12">
        <v>6.0</v>
      </c>
      <c r="J4996" s="6" t="s">
        <v>161</v>
      </c>
    </row>
    <row r="4997" ht="22.5" customHeight="1">
      <c r="A4997" s="6" t="s">
        <v>21805</v>
      </c>
      <c r="B4997" s="6" t="s">
        <v>11516</v>
      </c>
      <c r="C4997" s="10">
        <v>46061.0</v>
      </c>
      <c r="D4997" s="6" t="s">
        <v>312</v>
      </c>
      <c r="E4997" s="6" t="s">
        <v>1386</v>
      </c>
      <c r="F4997" s="6" t="s">
        <v>249</v>
      </c>
      <c r="G4997" s="6" t="s">
        <v>254</v>
      </c>
      <c r="H4997" s="10">
        <v>46064.0</v>
      </c>
      <c r="I4997" s="12">
        <v>7.0</v>
      </c>
      <c r="J4997" s="6" t="s">
        <v>161</v>
      </c>
    </row>
    <row r="4998" ht="22.5" customHeight="1">
      <c r="A4998" s="6" t="s">
        <v>21806</v>
      </c>
      <c r="B4998" s="6" t="s">
        <v>11516</v>
      </c>
      <c r="C4998" s="10">
        <v>46060.0</v>
      </c>
      <c r="D4998" s="6" t="s">
        <v>289</v>
      </c>
      <c r="E4998" s="6" t="s">
        <v>246</v>
      </c>
      <c r="F4998" s="6" t="s">
        <v>283</v>
      </c>
      <c r="G4998" s="6" t="s">
        <v>254</v>
      </c>
      <c r="H4998" s="10">
        <v>46064.0</v>
      </c>
      <c r="I4998" s="12">
        <v>6.0</v>
      </c>
      <c r="J4998" s="6" t="s">
        <v>161</v>
      </c>
    </row>
    <row r="4999" ht="22.5" customHeight="1">
      <c r="A4999" s="6" t="s">
        <v>21807</v>
      </c>
      <c r="B4999" s="6" t="s">
        <v>11516</v>
      </c>
      <c r="C4999" s="10">
        <v>46058.0</v>
      </c>
      <c r="D4999" s="6" t="s">
        <v>391</v>
      </c>
      <c r="E4999" s="6" t="s">
        <v>1055</v>
      </c>
      <c r="F4999" s="6" t="s">
        <v>439</v>
      </c>
      <c r="G4999" s="6" t="s">
        <v>477</v>
      </c>
      <c r="H4999" s="10">
        <v>46064.0</v>
      </c>
      <c r="I4999" s="12">
        <v>7.0</v>
      </c>
      <c r="J4999" s="6" t="s">
        <v>161</v>
      </c>
    </row>
    <row r="5000" ht="22.5" customHeight="1">
      <c r="A5000" s="6" t="s">
        <v>21808</v>
      </c>
      <c r="B5000" s="6" t="s">
        <v>11522</v>
      </c>
      <c r="C5000" s="10">
        <v>46064.0</v>
      </c>
      <c r="D5000" s="6" t="s">
        <v>289</v>
      </c>
      <c r="E5000" s="6" t="s">
        <v>1296</v>
      </c>
      <c r="F5000" s="6" t="s">
        <v>283</v>
      </c>
      <c r="G5000" s="6" t="s">
        <v>494</v>
      </c>
      <c r="H5000" s="11" t="s">
        <v>259</v>
      </c>
      <c r="I5000" s="12">
        <v>8.0</v>
      </c>
      <c r="J5000" s="6" t="s">
        <v>161</v>
      </c>
    </row>
    <row r="5001" ht="22.5" customHeight="1">
      <c r="A5001" s="6" t="s">
        <v>21809</v>
      </c>
      <c r="B5001" s="6" t="s">
        <v>11522</v>
      </c>
      <c r="C5001" s="10">
        <v>46050.0</v>
      </c>
      <c r="D5001" s="6" t="s">
        <v>416</v>
      </c>
      <c r="E5001" s="6" t="s">
        <v>738</v>
      </c>
      <c r="F5001" s="6" t="s">
        <v>112</v>
      </c>
      <c r="G5001" s="6" t="s">
        <v>458</v>
      </c>
      <c r="H5001" s="10">
        <v>46054.0</v>
      </c>
      <c r="I5001" s="12">
        <v>12.0</v>
      </c>
      <c r="J5001" s="6" t="s">
        <v>161</v>
      </c>
    </row>
    <row r="5002" ht="22.5" customHeight="1">
      <c r="A5002" s="6" t="s">
        <v>21810</v>
      </c>
      <c r="B5002" s="6" t="s">
        <v>11522</v>
      </c>
      <c r="C5002" s="10">
        <v>46069.0</v>
      </c>
      <c r="D5002" s="6" t="s">
        <v>289</v>
      </c>
      <c r="E5002" s="6" t="s">
        <v>2881</v>
      </c>
      <c r="F5002" s="6" t="s">
        <v>283</v>
      </c>
      <c r="G5002" s="6" t="s">
        <v>477</v>
      </c>
      <c r="H5002" s="10">
        <v>46071.0</v>
      </c>
      <c r="I5002" s="12">
        <v>7.0</v>
      </c>
      <c r="J5002" s="6" t="s">
        <v>161</v>
      </c>
    </row>
    <row r="5003" ht="22.5" customHeight="1">
      <c r="A5003" s="6" t="s">
        <v>21811</v>
      </c>
      <c r="B5003" s="6" t="s">
        <v>11522</v>
      </c>
      <c r="C5003" s="10">
        <v>46049.0</v>
      </c>
      <c r="D5003" s="6" t="s">
        <v>391</v>
      </c>
      <c r="E5003" s="6" t="s">
        <v>1517</v>
      </c>
      <c r="F5003" s="6" t="s">
        <v>439</v>
      </c>
      <c r="G5003" s="6" t="s">
        <v>458</v>
      </c>
      <c r="H5003" s="10">
        <v>46051.0</v>
      </c>
      <c r="I5003" s="12">
        <v>6.0</v>
      </c>
      <c r="J5003" s="6" t="s">
        <v>161</v>
      </c>
    </row>
    <row r="5004" ht="22.5" customHeight="1">
      <c r="A5004" s="6" t="s">
        <v>21812</v>
      </c>
      <c r="B5004" s="6" t="s">
        <v>11522</v>
      </c>
      <c r="C5004" s="10">
        <v>46064.0</v>
      </c>
      <c r="D5004" s="6" t="s">
        <v>391</v>
      </c>
      <c r="E5004" s="6" t="s">
        <v>610</v>
      </c>
      <c r="F5004" s="6" t="s">
        <v>249</v>
      </c>
      <c r="G5004" s="6" t="s">
        <v>254</v>
      </c>
      <c r="H5004" s="10">
        <v>46070.0</v>
      </c>
      <c r="I5004" s="12">
        <v>8.0</v>
      </c>
      <c r="J5004" s="6" t="s">
        <v>161</v>
      </c>
    </row>
    <row r="5005" ht="22.5" customHeight="1">
      <c r="A5005" s="6" t="s">
        <v>21813</v>
      </c>
      <c r="B5005" s="6" t="s">
        <v>11528</v>
      </c>
      <c r="C5005" s="10">
        <v>46053.0</v>
      </c>
      <c r="D5005" s="6" t="s">
        <v>242</v>
      </c>
      <c r="E5005" s="6" t="s">
        <v>1296</v>
      </c>
      <c r="F5005" s="6" t="s">
        <v>112</v>
      </c>
      <c r="G5005" s="6" t="s">
        <v>326</v>
      </c>
      <c r="H5005" s="10">
        <v>46054.0</v>
      </c>
      <c r="I5005" s="12">
        <v>3.0</v>
      </c>
      <c r="J5005" s="6" t="s">
        <v>161</v>
      </c>
    </row>
    <row r="5006" ht="22.5" customHeight="1">
      <c r="A5006" s="6" t="s">
        <v>21814</v>
      </c>
      <c r="B5006" s="6" t="s">
        <v>11528</v>
      </c>
      <c r="C5006" s="10">
        <v>46054.0</v>
      </c>
      <c r="D5006" s="6" t="s">
        <v>289</v>
      </c>
      <c r="E5006" s="6" t="s">
        <v>1570</v>
      </c>
      <c r="F5006" s="6" t="s">
        <v>112</v>
      </c>
      <c r="G5006" s="6" t="s">
        <v>452</v>
      </c>
      <c r="H5006" s="10">
        <v>46055.0</v>
      </c>
      <c r="I5006" s="12">
        <v>6.0</v>
      </c>
      <c r="J5006" s="6" t="s">
        <v>161</v>
      </c>
    </row>
    <row r="5007" ht="22.5" customHeight="1">
      <c r="A5007" s="6" t="s">
        <v>21815</v>
      </c>
      <c r="B5007" s="6" t="s">
        <v>11528</v>
      </c>
      <c r="C5007" s="10">
        <v>46066.0</v>
      </c>
      <c r="D5007" s="6" t="s">
        <v>391</v>
      </c>
      <c r="E5007" s="6" t="s">
        <v>1273</v>
      </c>
      <c r="F5007" s="6" t="s">
        <v>112</v>
      </c>
      <c r="G5007" s="6" t="s">
        <v>254</v>
      </c>
      <c r="H5007" s="10">
        <v>46072.0</v>
      </c>
      <c r="I5007" s="12">
        <v>7.0</v>
      </c>
      <c r="J5007" s="6" t="s">
        <v>161</v>
      </c>
    </row>
    <row r="5008" ht="22.5" customHeight="1">
      <c r="A5008" s="6" t="s">
        <v>21816</v>
      </c>
      <c r="B5008" s="6" t="s">
        <v>11535</v>
      </c>
      <c r="C5008" s="10">
        <v>46035.0</v>
      </c>
      <c r="D5008" s="6" t="s">
        <v>242</v>
      </c>
      <c r="E5008" s="6" t="s">
        <v>687</v>
      </c>
      <c r="F5008" s="6" t="s">
        <v>439</v>
      </c>
      <c r="G5008" s="6" t="s">
        <v>452</v>
      </c>
      <c r="H5008" s="10">
        <v>46038.0</v>
      </c>
      <c r="I5008" s="12">
        <v>6.0</v>
      </c>
      <c r="J5008" s="6" t="s">
        <v>178</v>
      </c>
    </row>
    <row r="5009" ht="22.5" customHeight="1">
      <c r="A5009" s="6" t="s">
        <v>21817</v>
      </c>
      <c r="B5009" s="6" t="s">
        <v>11535</v>
      </c>
      <c r="C5009" s="10">
        <v>46048.0</v>
      </c>
      <c r="D5009" s="6" t="s">
        <v>436</v>
      </c>
      <c r="E5009" s="6" t="s">
        <v>1552</v>
      </c>
      <c r="F5009" s="6" t="s">
        <v>283</v>
      </c>
      <c r="G5009" s="6" t="s">
        <v>494</v>
      </c>
      <c r="H5009" s="10">
        <v>46051.0</v>
      </c>
      <c r="I5009" s="12">
        <v>11.0</v>
      </c>
      <c r="J5009" s="6" t="s">
        <v>161</v>
      </c>
    </row>
    <row r="5010" ht="22.5" customHeight="1">
      <c r="A5010" s="6" t="s">
        <v>21818</v>
      </c>
      <c r="B5010" s="6" t="s">
        <v>11535</v>
      </c>
      <c r="C5010" s="10">
        <v>46044.0</v>
      </c>
      <c r="D5010" s="6" t="s">
        <v>677</v>
      </c>
      <c r="E5010" s="6" t="s">
        <v>1552</v>
      </c>
      <c r="F5010" s="6" t="s">
        <v>439</v>
      </c>
      <c r="G5010" s="6" t="s">
        <v>477</v>
      </c>
      <c r="H5010" s="10">
        <v>46049.0</v>
      </c>
      <c r="I5010" s="12">
        <v>2.0</v>
      </c>
      <c r="J5010" s="6" t="s">
        <v>161</v>
      </c>
    </row>
    <row r="5011" ht="22.5" customHeight="1">
      <c r="A5011" s="6" t="s">
        <v>21819</v>
      </c>
      <c r="B5011" s="6" t="s">
        <v>11535</v>
      </c>
      <c r="C5011" s="10">
        <v>46032.0</v>
      </c>
      <c r="D5011" s="6" t="s">
        <v>391</v>
      </c>
      <c r="E5011" s="6" t="s">
        <v>618</v>
      </c>
      <c r="F5011" s="6" t="s">
        <v>112</v>
      </c>
      <c r="G5011" s="6" t="s">
        <v>297</v>
      </c>
      <c r="H5011" s="11" t="s">
        <v>259</v>
      </c>
      <c r="I5011" s="12">
        <v>10.0</v>
      </c>
      <c r="J5011" s="6" t="s">
        <v>161</v>
      </c>
    </row>
    <row r="5012" ht="22.5" customHeight="1">
      <c r="A5012" s="6" t="s">
        <v>21820</v>
      </c>
      <c r="B5012" s="6" t="s">
        <v>11535</v>
      </c>
      <c r="C5012" s="10">
        <v>46039.0</v>
      </c>
      <c r="D5012" s="6" t="s">
        <v>289</v>
      </c>
      <c r="E5012" s="6" t="s">
        <v>438</v>
      </c>
      <c r="F5012" s="6" t="s">
        <v>439</v>
      </c>
      <c r="G5012" s="6" t="s">
        <v>297</v>
      </c>
      <c r="H5012" s="10">
        <v>46039.0</v>
      </c>
      <c r="I5012" s="12">
        <v>9.0</v>
      </c>
      <c r="J5012" s="6" t="s">
        <v>161</v>
      </c>
    </row>
    <row r="5013" ht="22.5" customHeight="1">
      <c r="A5013" s="6" t="s">
        <v>21821</v>
      </c>
      <c r="B5013" s="6" t="s">
        <v>11541</v>
      </c>
      <c r="C5013" s="10">
        <v>46043.0</v>
      </c>
      <c r="D5013" s="6" t="s">
        <v>416</v>
      </c>
      <c r="E5013" s="6" t="s">
        <v>1552</v>
      </c>
      <c r="F5013" s="6" t="s">
        <v>112</v>
      </c>
      <c r="G5013" s="6" t="s">
        <v>452</v>
      </c>
      <c r="H5013" s="10">
        <v>46049.0</v>
      </c>
      <c r="I5013" s="12">
        <v>12.0</v>
      </c>
      <c r="J5013" s="6" t="s">
        <v>161</v>
      </c>
    </row>
    <row r="5014" ht="22.5" customHeight="1">
      <c r="A5014" s="6" t="s">
        <v>21822</v>
      </c>
      <c r="B5014" s="6" t="s">
        <v>11541</v>
      </c>
      <c r="C5014" s="10">
        <v>46029.0</v>
      </c>
      <c r="D5014" s="6" t="s">
        <v>312</v>
      </c>
      <c r="E5014" s="6" t="s">
        <v>1102</v>
      </c>
      <c r="F5014" s="6" t="s">
        <v>249</v>
      </c>
      <c r="G5014" s="6" t="s">
        <v>326</v>
      </c>
      <c r="H5014" s="10">
        <v>46031.0</v>
      </c>
      <c r="I5014" s="12">
        <v>4.0</v>
      </c>
      <c r="J5014" s="6" t="s">
        <v>161</v>
      </c>
    </row>
    <row r="5015" ht="22.5" customHeight="1">
      <c r="A5015" s="6" t="s">
        <v>21823</v>
      </c>
      <c r="B5015" s="6" t="s">
        <v>11541</v>
      </c>
      <c r="C5015" s="10">
        <v>46025.0</v>
      </c>
      <c r="D5015" s="6" t="s">
        <v>677</v>
      </c>
      <c r="E5015" s="6" t="s">
        <v>704</v>
      </c>
      <c r="F5015" s="6" t="s">
        <v>112</v>
      </c>
      <c r="G5015" s="6" t="s">
        <v>458</v>
      </c>
      <c r="H5015" s="10">
        <v>46027.0</v>
      </c>
      <c r="I5015" s="12">
        <v>4.0</v>
      </c>
      <c r="J5015" s="6" t="s">
        <v>161</v>
      </c>
    </row>
    <row r="5016" ht="22.5" customHeight="1">
      <c r="A5016" s="6" t="s">
        <v>21824</v>
      </c>
      <c r="B5016" s="6" t="s">
        <v>11541</v>
      </c>
      <c r="C5016" s="10">
        <v>46025.0</v>
      </c>
      <c r="D5016" s="6" t="s">
        <v>677</v>
      </c>
      <c r="E5016" s="6" t="s">
        <v>1741</v>
      </c>
      <c r="F5016" s="6" t="s">
        <v>439</v>
      </c>
      <c r="G5016" s="6" t="s">
        <v>326</v>
      </c>
      <c r="H5016" s="11" t="s">
        <v>259</v>
      </c>
      <c r="I5016" s="12">
        <v>2.0</v>
      </c>
      <c r="J5016" s="6" t="s">
        <v>161</v>
      </c>
    </row>
    <row r="5017" ht="22.5" customHeight="1">
      <c r="A5017" s="6" t="s">
        <v>21825</v>
      </c>
      <c r="B5017" s="6" t="s">
        <v>11547</v>
      </c>
      <c r="C5017" s="10">
        <v>46051.0</v>
      </c>
      <c r="D5017" s="6" t="s">
        <v>242</v>
      </c>
      <c r="E5017" s="6" t="s">
        <v>798</v>
      </c>
      <c r="F5017" s="6" t="s">
        <v>249</v>
      </c>
      <c r="G5017" s="6" t="s">
        <v>254</v>
      </c>
      <c r="H5017" s="11" t="s">
        <v>259</v>
      </c>
      <c r="I5017" s="12">
        <v>4.0</v>
      </c>
      <c r="J5017" s="6" t="s">
        <v>178</v>
      </c>
    </row>
    <row r="5018" ht="22.5" customHeight="1">
      <c r="A5018" s="6" t="s">
        <v>21826</v>
      </c>
      <c r="B5018" s="6" t="s">
        <v>11547</v>
      </c>
      <c r="C5018" s="10">
        <v>46056.0</v>
      </c>
      <c r="D5018" s="6" t="s">
        <v>391</v>
      </c>
      <c r="E5018" s="6" t="s">
        <v>731</v>
      </c>
      <c r="F5018" s="6" t="s">
        <v>112</v>
      </c>
      <c r="G5018" s="6" t="s">
        <v>494</v>
      </c>
      <c r="H5018" s="10">
        <v>46057.0</v>
      </c>
      <c r="I5018" s="12">
        <v>9.0</v>
      </c>
      <c r="J5018" s="6" t="s">
        <v>161</v>
      </c>
    </row>
    <row r="5019" ht="22.5" customHeight="1">
      <c r="A5019" s="6" t="s">
        <v>21827</v>
      </c>
      <c r="B5019" s="6" t="s">
        <v>11547</v>
      </c>
      <c r="C5019" s="10">
        <v>46061.0</v>
      </c>
      <c r="D5019" s="6" t="s">
        <v>289</v>
      </c>
      <c r="E5019" s="6" t="s">
        <v>450</v>
      </c>
      <c r="F5019" s="6" t="s">
        <v>249</v>
      </c>
      <c r="G5019" s="6" t="s">
        <v>326</v>
      </c>
      <c r="H5019" s="10">
        <v>46065.0</v>
      </c>
      <c r="I5019" s="12">
        <v>10.0</v>
      </c>
      <c r="J5019" s="6" t="s">
        <v>161</v>
      </c>
    </row>
    <row r="5020" ht="22.5" customHeight="1">
      <c r="A5020" s="6" t="s">
        <v>21828</v>
      </c>
      <c r="B5020" s="6" t="s">
        <v>11547</v>
      </c>
      <c r="C5020" s="10">
        <v>46044.0</v>
      </c>
      <c r="D5020" s="6" t="s">
        <v>391</v>
      </c>
      <c r="E5020" s="6" t="s">
        <v>1386</v>
      </c>
      <c r="F5020" s="6" t="s">
        <v>283</v>
      </c>
      <c r="G5020" s="6" t="s">
        <v>477</v>
      </c>
      <c r="H5020" s="10">
        <v>46046.0</v>
      </c>
      <c r="I5020" s="12">
        <v>9.0</v>
      </c>
      <c r="J5020" s="6" t="s">
        <v>161</v>
      </c>
    </row>
    <row r="5021" ht="22.5" customHeight="1">
      <c r="A5021" s="6" t="s">
        <v>21829</v>
      </c>
      <c r="B5021" s="6" t="s">
        <v>11553</v>
      </c>
      <c r="C5021" s="10">
        <v>46066.0</v>
      </c>
      <c r="D5021" s="6" t="s">
        <v>312</v>
      </c>
      <c r="E5021" s="6" t="s">
        <v>716</v>
      </c>
      <c r="F5021" s="6" t="s">
        <v>283</v>
      </c>
      <c r="G5021" s="6" t="s">
        <v>326</v>
      </c>
      <c r="H5021" s="10">
        <v>46070.0</v>
      </c>
      <c r="I5021" s="12">
        <v>6.0</v>
      </c>
      <c r="J5021" s="6" t="s">
        <v>161</v>
      </c>
    </row>
    <row r="5022" ht="22.5" customHeight="1">
      <c r="A5022" s="6" t="s">
        <v>21830</v>
      </c>
      <c r="B5022" s="6" t="s">
        <v>11553</v>
      </c>
      <c r="C5022" s="10">
        <v>46052.0</v>
      </c>
      <c r="D5022" s="6" t="s">
        <v>677</v>
      </c>
      <c r="E5022" s="6" t="s">
        <v>1517</v>
      </c>
      <c r="F5022" s="6" t="s">
        <v>249</v>
      </c>
      <c r="G5022" s="6" t="s">
        <v>477</v>
      </c>
      <c r="H5022" s="10">
        <v>46056.0</v>
      </c>
      <c r="I5022" s="12">
        <v>3.0</v>
      </c>
      <c r="J5022" s="6" t="s">
        <v>161</v>
      </c>
    </row>
    <row r="5023" ht="22.5" customHeight="1">
      <c r="A5023" s="6" t="s">
        <v>21831</v>
      </c>
      <c r="B5023" s="6" t="s">
        <v>11553</v>
      </c>
      <c r="C5023" s="10">
        <v>46062.0</v>
      </c>
      <c r="D5023" s="6" t="s">
        <v>391</v>
      </c>
      <c r="E5023" s="6" t="s">
        <v>1055</v>
      </c>
      <c r="F5023" s="6" t="s">
        <v>283</v>
      </c>
      <c r="G5023" s="6" t="s">
        <v>494</v>
      </c>
      <c r="H5023" s="10">
        <v>46069.0</v>
      </c>
      <c r="I5023" s="12">
        <v>11.0</v>
      </c>
      <c r="J5023" s="6" t="s">
        <v>161</v>
      </c>
    </row>
    <row r="5024" ht="22.5" customHeight="1">
      <c r="A5024" s="6" t="s">
        <v>21832</v>
      </c>
      <c r="B5024" s="6" t="s">
        <v>11553</v>
      </c>
      <c r="C5024" s="10">
        <v>46055.0</v>
      </c>
      <c r="D5024" s="6" t="s">
        <v>289</v>
      </c>
      <c r="E5024" s="6" t="s">
        <v>1600</v>
      </c>
      <c r="F5024" s="6" t="s">
        <v>249</v>
      </c>
      <c r="G5024" s="6" t="s">
        <v>326</v>
      </c>
      <c r="H5024" s="10">
        <v>46061.0</v>
      </c>
      <c r="I5024" s="12">
        <v>5.0</v>
      </c>
      <c r="J5024" s="6" t="s">
        <v>161</v>
      </c>
    </row>
    <row r="5025" ht="22.5" customHeight="1">
      <c r="A5025" s="6" t="s">
        <v>21833</v>
      </c>
      <c r="B5025" s="6" t="s">
        <v>11553</v>
      </c>
      <c r="C5025" s="10">
        <v>46057.0</v>
      </c>
      <c r="D5025" s="6" t="s">
        <v>289</v>
      </c>
      <c r="E5025" s="6" t="s">
        <v>798</v>
      </c>
      <c r="F5025" s="6" t="s">
        <v>112</v>
      </c>
      <c r="G5025" s="6" t="s">
        <v>254</v>
      </c>
      <c r="H5025" s="10">
        <v>46061.0</v>
      </c>
      <c r="I5025" s="12">
        <v>5.0</v>
      </c>
      <c r="J5025" s="6" t="s">
        <v>161</v>
      </c>
    </row>
    <row r="5026" ht="22.5" customHeight="1">
      <c r="A5026" s="6" t="s">
        <v>21834</v>
      </c>
      <c r="B5026" s="6" t="s">
        <v>11560</v>
      </c>
      <c r="C5026" s="10">
        <v>46059.0</v>
      </c>
      <c r="D5026" s="6" t="s">
        <v>391</v>
      </c>
      <c r="E5026" s="6" t="s">
        <v>731</v>
      </c>
      <c r="F5026" s="6" t="s">
        <v>112</v>
      </c>
      <c r="G5026" s="6" t="s">
        <v>369</v>
      </c>
      <c r="H5026" s="11" t="s">
        <v>259</v>
      </c>
      <c r="I5026" s="12">
        <v>7.0</v>
      </c>
      <c r="J5026" s="6" t="s">
        <v>161</v>
      </c>
    </row>
    <row r="5027" ht="22.5" customHeight="1">
      <c r="A5027" s="6" t="s">
        <v>21835</v>
      </c>
      <c r="B5027" s="6" t="s">
        <v>11560</v>
      </c>
      <c r="C5027" s="10">
        <v>46054.0</v>
      </c>
      <c r="D5027" s="6" t="s">
        <v>416</v>
      </c>
      <c r="E5027" s="6" t="s">
        <v>885</v>
      </c>
      <c r="F5027" s="6" t="s">
        <v>283</v>
      </c>
      <c r="G5027" s="6" t="s">
        <v>452</v>
      </c>
      <c r="H5027" s="10">
        <v>46058.0</v>
      </c>
      <c r="I5027" s="12">
        <v>9.0</v>
      </c>
      <c r="J5027" s="6" t="s">
        <v>161</v>
      </c>
    </row>
    <row r="5028" ht="22.5" customHeight="1">
      <c r="A5028" s="6" t="s">
        <v>21836</v>
      </c>
      <c r="B5028" s="6" t="s">
        <v>11560</v>
      </c>
      <c r="C5028" s="10">
        <v>46044.0</v>
      </c>
      <c r="D5028" s="6" t="s">
        <v>436</v>
      </c>
      <c r="E5028" s="6" t="s">
        <v>566</v>
      </c>
      <c r="F5028" s="6" t="s">
        <v>439</v>
      </c>
      <c r="G5028" s="6" t="s">
        <v>494</v>
      </c>
      <c r="H5028" s="11" t="s">
        <v>259</v>
      </c>
      <c r="I5028" s="12">
        <v>12.0</v>
      </c>
      <c r="J5028" s="6" t="s">
        <v>161</v>
      </c>
    </row>
    <row r="5029" ht="22.5" customHeight="1">
      <c r="A5029" s="6" t="s">
        <v>21837</v>
      </c>
      <c r="B5029" s="6" t="s">
        <v>11560</v>
      </c>
      <c r="C5029" s="10">
        <v>46050.0</v>
      </c>
      <c r="D5029" s="6" t="s">
        <v>312</v>
      </c>
      <c r="E5029" s="6" t="s">
        <v>566</v>
      </c>
      <c r="F5029" s="6" t="s">
        <v>249</v>
      </c>
      <c r="G5029" s="6" t="s">
        <v>452</v>
      </c>
      <c r="H5029" s="10">
        <v>46053.0</v>
      </c>
      <c r="I5029" s="12">
        <v>6.0</v>
      </c>
      <c r="J5029" s="6" t="s">
        <v>161</v>
      </c>
    </row>
    <row r="5030" ht="22.5" customHeight="1">
      <c r="A5030" s="6" t="s">
        <v>21838</v>
      </c>
      <c r="B5030" s="6" t="s">
        <v>11560</v>
      </c>
      <c r="C5030" s="10">
        <v>46050.0</v>
      </c>
      <c r="D5030" s="6" t="s">
        <v>242</v>
      </c>
      <c r="E5030" s="6" t="s">
        <v>320</v>
      </c>
      <c r="F5030" s="6" t="s">
        <v>112</v>
      </c>
      <c r="G5030" s="6" t="s">
        <v>254</v>
      </c>
      <c r="H5030" s="11" t="s">
        <v>259</v>
      </c>
      <c r="I5030" s="12">
        <v>6.0</v>
      </c>
      <c r="J5030" s="6" t="s">
        <v>161</v>
      </c>
    </row>
    <row r="5031" ht="22.5" customHeight="1">
      <c r="A5031" s="6" t="s">
        <v>21839</v>
      </c>
      <c r="B5031" s="6" t="s">
        <v>11566</v>
      </c>
      <c r="C5031" s="10">
        <v>46069.0</v>
      </c>
      <c r="D5031" s="6" t="s">
        <v>312</v>
      </c>
      <c r="E5031" s="6" t="s">
        <v>475</v>
      </c>
      <c r="F5031" s="6" t="s">
        <v>249</v>
      </c>
      <c r="G5031" s="6" t="s">
        <v>254</v>
      </c>
      <c r="H5031" s="11" t="s">
        <v>259</v>
      </c>
      <c r="I5031" s="12">
        <v>6.0</v>
      </c>
      <c r="J5031" s="6" t="s">
        <v>161</v>
      </c>
    </row>
    <row r="5032" ht="22.5" customHeight="1">
      <c r="A5032" s="6" t="s">
        <v>21840</v>
      </c>
      <c r="B5032" s="6" t="s">
        <v>11566</v>
      </c>
      <c r="C5032" s="10">
        <v>46061.0</v>
      </c>
      <c r="D5032" s="6" t="s">
        <v>289</v>
      </c>
      <c r="E5032" s="6" t="s">
        <v>618</v>
      </c>
      <c r="F5032" s="6" t="s">
        <v>112</v>
      </c>
      <c r="G5032" s="6" t="s">
        <v>452</v>
      </c>
      <c r="H5032" s="10">
        <v>46061.0</v>
      </c>
      <c r="I5032" s="12">
        <v>8.0</v>
      </c>
      <c r="J5032" s="6" t="s">
        <v>161</v>
      </c>
    </row>
    <row r="5033" ht="22.5" customHeight="1">
      <c r="A5033" s="6" t="s">
        <v>21841</v>
      </c>
      <c r="B5033" s="6" t="s">
        <v>11566</v>
      </c>
      <c r="C5033" s="10">
        <v>46063.0</v>
      </c>
      <c r="D5033" s="6" t="s">
        <v>312</v>
      </c>
      <c r="E5033" s="6" t="s">
        <v>896</v>
      </c>
      <c r="F5033" s="6" t="s">
        <v>112</v>
      </c>
      <c r="G5033" s="6" t="s">
        <v>494</v>
      </c>
      <c r="H5033" s="10">
        <v>46068.0</v>
      </c>
      <c r="I5033" s="12">
        <v>4.0</v>
      </c>
      <c r="J5033" s="6" t="s">
        <v>161</v>
      </c>
    </row>
    <row r="5034" ht="22.5" customHeight="1">
      <c r="A5034" s="6" t="s">
        <v>21842</v>
      </c>
      <c r="B5034" s="6" t="s">
        <v>11571</v>
      </c>
      <c r="C5034" s="10">
        <v>46069.0</v>
      </c>
      <c r="D5034" s="6" t="s">
        <v>312</v>
      </c>
      <c r="E5034" s="6" t="s">
        <v>291</v>
      </c>
      <c r="F5034" s="6" t="s">
        <v>283</v>
      </c>
      <c r="G5034" s="6" t="s">
        <v>494</v>
      </c>
      <c r="H5034" s="10">
        <v>46073.0</v>
      </c>
      <c r="I5034" s="12">
        <v>4.0</v>
      </c>
      <c r="J5034" s="6" t="s">
        <v>161</v>
      </c>
    </row>
    <row r="5035" ht="22.5" customHeight="1">
      <c r="A5035" s="6" t="s">
        <v>21843</v>
      </c>
      <c r="B5035" s="6" t="s">
        <v>11578</v>
      </c>
      <c r="C5035" s="10">
        <v>46043.0</v>
      </c>
      <c r="D5035" s="6" t="s">
        <v>391</v>
      </c>
      <c r="E5035" s="6" t="s">
        <v>704</v>
      </c>
      <c r="F5035" s="6" t="s">
        <v>283</v>
      </c>
      <c r="G5035" s="6" t="s">
        <v>297</v>
      </c>
      <c r="H5035" s="10">
        <v>46047.0</v>
      </c>
      <c r="I5035" s="12">
        <v>6.0</v>
      </c>
      <c r="J5035" s="6" t="s">
        <v>161</v>
      </c>
    </row>
    <row r="5036" ht="22.5" customHeight="1">
      <c r="A5036" s="6" t="s">
        <v>21844</v>
      </c>
      <c r="B5036" s="6" t="s">
        <v>11578</v>
      </c>
      <c r="C5036" s="10">
        <v>46041.0</v>
      </c>
      <c r="D5036" s="6" t="s">
        <v>416</v>
      </c>
      <c r="E5036" s="6" t="s">
        <v>1969</v>
      </c>
      <c r="F5036" s="6" t="s">
        <v>439</v>
      </c>
      <c r="G5036" s="6" t="s">
        <v>254</v>
      </c>
      <c r="H5036" s="10">
        <v>46043.0</v>
      </c>
      <c r="I5036" s="12">
        <v>11.0</v>
      </c>
      <c r="J5036" s="6" t="s">
        <v>161</v>
      </c>
    </row>
    <row r="5037" ht="22.5" customHeight="1">
      <c r="A5037" s="6" t="s">
        <v>21845</v>
      </c>
      <c r="B5037" s="6" t="s">
        <v>11578</v>
      </c>
      <c r="C5037" s="10">
        <v>46039.0</v>
      </c>
      <c r="D5037" s="6" t="s">
        <v>242</v>
      </c>
      <c r="E5037" s="6" t="s">
        <v>1517</v>
      </c>
      <c r="F5037" s="6" t="s">
        <v>249</v>
      </c>
      <c r="G5037" s="6" t="s">
        <v>477</v>
      </c>
      <c r="H5037" s="10">
        <v>46046.0</v>
      </c>
      <c r="I5037" s="12">
        <v>3.0</v>
      </c>
      <c r="J5037" s="6" t="s">
        <v>178</v>
      </c>
    </row>
    <row r="5038" ht="22.5" customHeight="1">
      <c r="A5038" s="6" t="s">
        <v>21846</v>
      </c>
      <c r="B5038" s="6" t="s">
        <v>11586</v>
      </c>
      <c r="C5038" s="10">
        <v>46041.0</v>
      </c>
      <c r="D5038" s="6" t="s">
        <v>242</v>
      </c>
      <c r="E5038" s="6" t="s">
        <v>1600</v>
      </c>
      <c r="F5038" s="6" t="s">
        <v>439</v>
      </c>
      <c r="G5038" s="6" t="s">
        <v>254</v>
      </c>
      <c r="H5038" s="10">
        <v>46044.0</v>
      </c>
      <c r="I5038" s="12">
        <v>4.0</v>
      </c>
      <c r="J5038" s="6" t="s">
        <v>178</v>
      </c>
    </row>
    <row r="5039" ht="22.5" customHeight="1">
      <c r="A5039" s="6" t="s">
        <v>21847</v>
      </c>
      <c r="B5039" s="6" t="s">
        <v>11586</v>
      </c>
      <c r="C5039" s="10">
        <v>46028.0</v>
      </c>
      <c r="D5039" s="6" t="s">
        <v>242</v>
      </c>
      <c r="E5039" s="6" t="s">
        <v>320</v>
      </c>
      <c r="F5039" s="6" t="s">
        <v>283</v>
      </c>
      <c r="G5039" s="6" t="s">
        <v>477</v>
      </c>
      <c r="H5039" s="10">
        <v>46028.0</v>
      </c>
      <c r="I5039" s="12">
        <v>6.0</v>
      </c>
      <c r="J5039" s="6" t="s">
        <v>178</v>
      </c>
    </row>
    <row r="5040" ht="22.5" customHeight="1">
      <c r="A5040" s="6" t="s">
        <v>21848</v>
      </c>
      <c r="B5040" s="6" t="s">
        <v>11586</v>
      </c>
      <c r="C5040" s="10">
        <v>46029.0</v>
      </c>
      <c r="D5040" s="6" t="s">
        <v>312</v>
      </c>
      <c r="E5040" s="6" t="s">
        <v>787</v>
      </c>
      <c r="F5040" s="6" t="s">
        <v>439</v>
      </c>
      <c r="G5040" s="6" t="s">
        <v>297</v>
      </c>
      <c r="H5040" s="10">
        <v>46029.0</v>
      </c>
      <c r="I5040" s="12">
        <v>5.0</v>
      </c>
      <c r="J5040" s="6" t="s">
        <v>161</v>
      </c>
    </row>
    <row r="5041" ht="22.5" customHeight="1">
      <c r="A5041" s="6" t="s">
        <v>21849</v>
      </c>
      <c r="B5041" s="6" t="s">
        <v>11594</v>
      </c>
      <c r="C5041" s="10">
        <v>46070.0</v>
      </c>
      <c r="D5041" s="6" t="s">
        <v>289</v>
      </c>
      <c r="E5041" s="6" t="s">
        <v>1280</v>
      </c>
      <c r="F5041" s="6" t="s">
        <v>439</v>
      </c>
      <c r="G5041" s="6" t="s">
        <v>369</v>
      </c>
      <c r="H5041" s="10">
        <v>46070.0</v>
      </c>
      <c r="I5041" s="12">
        <v>9.0</v>
      </c>
      <c r="J5041" s="6" t="s">
        <v>161</v>
      </c>
    </row>
    <row r="5042" ht="22.5" customHeight="1">
      <c r="A5042" s="6" t="s">
        <v>21850</v>
      </c>
      <c r="B5042" s="6" t="s">
        <v>11594</v>
      </c>
      <c r="C5042" s="10">
        <v>46065.0</v>
      </c>
      <c r="D5042" s="6" t="s">
        <v>391</v>
      </c>
      <c r="E5042" s="6" t="s">
        <v>896</v>
      </c>
      <c r="F5042" s="6" t="s">
        <v>439</v>
      </c>
      <c r="G5042" s="6" t="s">
        <v>452</v>
      </c>
      <c r="H5042" s="10">
        <v>46070.0</v>
      </c>
      <c r="I5042" s="12">
        <v>6.0</v>
      </c>
      <c r="J5042" s="6" t="s">
        <v>161</v>
      </c>
    </row>
    <row r="5043" ht="22.5" customHeight="1">
      <c r="A5043" s="6" t="s">
        <v>21851</v>
      </c>
      <c r="B5043" s="6" t="s">
        <v>11601</v>
      </c>
      <c r="C5043" s="10">
        <v>46070.0</v>
      </c>
      <c r="D5043" s="6" t="s">
        <v>416</v>
      </c>
      <c r="E5043" s="6" t="s">
        <v>775</v>
      </c>
      <c r="F5043" s="6" t="s">
        <v>249</v>
      </c>
      <c r="G5043" s="6" t="s">
        <v>477</v>
      </c>
      <c r="H5043" s="10">
        <v>46072.0</v>
      </c>
      <c r="I5043" s="12">
        <v>8.0</v>
      </c>
      <c r="J5043" s="6" t="s">
        <v>161</v>
      </c>
    </row>
    <row r="5044" ht="22.5" customHeight="1">
      <c r="A5044" s="6" t="s">
        <v>21852</v>
      </c>
      <c r="B5044" s="6" t="s">
        <v>11607</v>
      </c>
      <c r="C5044" s="10">
        <v>46064.0</v>
      </c>
      <c r="D5044" s="6" t="s">
        <v>289</v>
      </c>
      <c r="E5044" s="6" t="s">
        <v>658</v>
      </c>
      <c r="F5044" s="6" t="s">
        <v>249</v>
      </c>
      <c r="G5044" s="6" t="s">
        <v>477</v>
      </c>
      <c r="H5044" s="10">
        <v>46068.0</v>
      </c>
      <c r="I5044" s="12">
        <v>8.0</v>
      </c>
      <c r="J5044" s="6" t="s">
        <v>161</v>
      </c>
    </row>
    <row r="5045" ht="22.5" customHeight="1">
      <c r="A5045" s="6" t="s">
        <v>21853</v>
      </c>
      <c r="B5045" s="6" t="s">
        <v>11607</v>
      </c>
      <c r="C5045" s="10">
        <v>46051.0</v>
      </c>
      <c r="D5045" s="6" t="s">
        <v>289</v>
      </c>
      <c r="E5045" s="6" t="s">
        <v>394</v>
      </c>
      <c r="F5045" s="6" t="s">
        <v>283</v>
      </c>
      <c r="G5045" s="6" t="s">
        <v>477</v>
      </c>
      <c r="H5045" s="10">
        <v>46052.0</v>
      </c>
      <c r="I5045" s="12">
        <v>9.0</v>
      </c>
      <c r="J5045" s="6" t="s">
        <v>161</v>
      </c>
    </row>
    <row r="5046" ht="22.5" customHeight="1">
      <c r="A5046" s="6" t="s">
        <v>21854</v>
      </c>
      <c r="B5046" s="6" t="s">
        <v>11607</v>
      </c>
      <c r="C5046" s="10">
        <v>46063.0</v>
      </c>
      <c r="D5046" s="6" t="s">
        <v>436</v>
      </c>
      <c r="E5046" s="6" t="s">
        <v>1386</v>
      </c>
      <c r="F5046" s="6" t="s">
        <v>439</v>
      </c>
      <c r="G5046" s="6" t="s">
        <v>254</v>
      </c>
      <c r="H5046" s="10">
        <v>46070.0</v>
      </c>
      <c r="I5046" s="12">
        <v>7.0</v>
      </c>
      <c r="J5046" s="6" t="s">
        <v>178</v>
      </c>
    </row>
    <row r="5047" ht="22.5" customHeight="1">
      <c r="A5047" s="6" t="s">
        <v>21855</v>
      </c>
      <c r="B5047" s="6" t="s">
        <v>11607</v>
      </c>
      <c r="C5047" s="10">
        <v>46047.0</v>
      </c>
      <c r="D5047" s="6" t="s">
        <v>416</v>
      </c>
      <c r="E5047" s="6" t="s">
        <v>1386</v>
      </c>
      <c r="F5047" s="6" t="s">
        <v>439</v>
      </c>
      <c r="G5047" s="6" t="s">
        <v>326</v>
      </c>
      <c r="H5047" s="10">
        <v>46047.0</v>
      </c>
      <c r="I5047" s="12">
        <v>8.0</v>
      </c>
      <c r="J5047" s="6" t="s">
        <v>161</v>
      </c>
    </row>
    <row r="5048" ht="22.5" customHeight="1">
      <c r="A5048" s="6" t="s">
        <v>21856</v>
      </c>
      <c r="B5048" s="6" t="s">
        <v>11615</v>
      </c>
      <c r="C5048" s="10">
        <v>46073.0</v>
      </c>
      <c r="D5048" s="6" t="s">
        <v>289</v>
      </c>
      <c r="E5048" s="6" t="s">
        <v>1241</v>
      </c>
      <c r="F5048" s="6" t="s">
        <v>283</v>
      </c>
      <c r="G5048" s="6" t="s">
        <v>452</v>
      </c>
      <c r="H5048" s="10">
        <v>46075.0</v>
      </c>
      <c r="I5048" s="12">
        <v>7.0</v>
      </c>
      <c r="J5048" s="6" t="s">
        <v>161</v>
      </c>
    </row>
    <row r="5049" ht="22.5" customHeight="1">
      <c r="A5049" s="6" t="s">
        <v>21857</v>
      </c>
      <c r="B5049" s="6" t="s">
        <v>11621</v>
      </c>
      <c r="C5049" s="10">
        <v>46048.0</v>
      </c>
      <c r="D5049" s="6" t="s">
        <v>677</v>
      </c>
      <c r="E5049" s="6" t="s">
        <v>583</v>
      </c>
      <c r="F5049" s="6" t="s">
        <v>283</v>
      </c>
      <c r="G5049" s="6" t="s">
        <v>297</v>
      </c>
      <c r="H5049" s="10">
        <v>46048.0</v>
      </c>
      <c r="I5049" s="12">
        <v>4.0</v>
      </c>
      <c r="J5049" s="6" t="s">
        <v>161</v>
      </c>
    </row>
    <row r="5050" ht="22.5" customHeight="1">
      <c r="A5050" s="6" t="s">
        <v>21858</v>
      </c>
      <c r="B5050" s="6" t="s">
        <v>11621</v>
      </c>
      <c r="C5050" s="10">
        <v>46050.0</v>
      </c>
      <c r="D5050" s="6" t="s">
        <v>416</v>
      </c>
      <c r="E5050" s="6" t="s">
        <v>583</v>
      </c>
      <c r="F5050" s="6" t="s">
        <v>112</v>
      </c>
      <c r="G5050" s="6" t="s">
        <v>494</v>
      </c>
      <c r="H5050" s="11" t="s">
        <v>259</v>
      </c>
      <c r="I5050" s="12">
        <v>13.0</v>
      </c>
      <c r="J5050" s="6" t="s">
        <v>161</v>
      </c>
    </row>
    <row r="5051" ht="22.5" customHeight="1">
      <c r="A5051" s="6" t="s">
        <v>21859</v>
      </c>
      <c r="B5051" s="6" t="s">
        <v>11621</v>
      </c>
      <c r="C5051" s="10">
        <v>46041.0</v>
      </c>
      <c r="D5051" s="6" t="s">
        <v>242</v>
      </c>
      <c r="E5051" s="6" t="s">
        <v>394</v>
      </c>
      <c r="F5051" s="6" t="s">
        <v>283</v>
      </c>
      <c r="G5051" s="6" t="s">
        <v>254</v>
      </c>
      <c r="H5051" s="10">
        <v>46043.0</v>
      </c>
      <c r="I5051" s="12">
        <v>5.0</v>
      </c>
      <c r="J5051" s="6" t="s">
        <v>178</v>
      </c>
    </row>
    <row r="5052" ht="22.5" customHeight="1">
      <c r="A5052" s="6" t="s">
        <v>21860</v>
      </c>
      <c r="B5052" s="6" t="s">
        <v>11628</v>
      </c>
      <c r="C5052" s="10">
        <v>46073.0</v>
      </c>
      <c r="D5052" s="6" t="s">
        <v>416</v>
      </c>
      <c r="E5052" s="6" t="s">
        <v>658</v>
      </c>
      <c r="F5052" s="6" t="s">
        <v>112</v>
      </c>
      <c r="G5052" s="6" t="s">
        <v>297</v>
      </c>
      <c r="H5052" s="10">
        <v>46074.0</v>
      </c>
      <c r="I5052" s="12">
        <v>14.0</v>
      </c>
      <c r="J5052" s="6" t="s">
        <v>161</v>
      </c>
    </row>
    <row r="5053" ht="22.5" customHeight="1">
      <c r="A5053" s="6" t="s">
        <v>21861</v>
      </c>
      <c r="B5053" s="6" t="s">
        <v>11628</v>
      </c>
      <c r="C5053" s="10">
        <v>46059.0</v>
      </c>
      <c r="D5053" s="6" t="s">
        <v>416</v>
      </c>
      <c r="E5053" s="6" t="s">
        <v>863</v>
      </c>
      <c r="F5053" s="6" t="s">
        <v>439</v>
      </c>
      <c r="G5053" s="6" t="s">
        <v>494</v>
      </c>
      <c r="H5053" s="10">
        <v>46062.0</v>
      </c>
      <c r="I5053" s="12">
        <v>9.0</v>
      </c>
      <c r="J5053" s="6" t="s">
        <v>161</v>
      </c>
    </row>
    <row r="5054" ht="22.5" customHeight="1">
      <c r="A5054" s="6" t="s">
        <v>21862</v>
      </c>
      <c r="B5054" s="6" t="s">
        <v>11634</v>
      </c>
      <c r="C5054" s="10">
        <v>46053.0</v>
      </c>
      <c r="D5054" s="6" t="s">
        <v>289</v>
      </c>
      <c r="E5054" s="6" t="s">
        <v>704</v>
      </c>
      <c r="F5054" s="6" t="s">
        <v>283</v>
      </c>
      <c r="G5054" s="6" t="s">
        <v>458</v>
      </c>
      <c r="H5054" s="10">
        <v>46058.0</v>
      </c>
      <c r="I5054" s="12">
        <v>7.0</v>
      </c>
      <c r="J5054" s="6" t="s">
        <v>161</v>
      </c>
    </row>
    <row r="5055" ht="22.5" customHeight="1">
      <c r="A5055" s="6" t="s">
        <v>21863</v>
      </c>
      <c r="B5055" s="6" t="s">
        <v>11634</v>
      </c>
      <c r="C5055" s="10">
        <v>46053.0</v>
      </c>
      <c r="D5055" s="6" t="s">
        <v>289</v>
      </c>
      <c r="E5055" s="6" t="s">
        <v>833</v>
      </c>
      <c r="F5055" s="6" t="s">
        <v>283</v>
      </c>
      <c r="G5055" s="6" t="s">
        <v>326</v>
      </c>
      <c r="H5055" s="10">
        <v>46058.0</v>
      </c>
      <c r="I5055" s="12">
        <v>6.0</v>
      </c>
      <c r="J5055" s="6" t="s">
        <v>161</v>
      </c>
    </row>
    <row r="5056" ht="22.5" customHeight="1">
      <c r="A5056" s="6" t="s">
        <v>21864</v>
      </c>
      <c r="B5056" s="6" t="s">
        <v>11634</v>
      </c>
      <c r="C5056" s="10">
        <v>46042.0</v>
      </c>
      <c r="D5056" s="6" t="s">
        <v>242</v>
      </c>
      <c r="E5056" s="6" t="s">
        <v>695</v>
      </c>
      <c r="F5056" s="6" t="s">
        <v>112</v>
      </c>
      <c r="G5056" s="6" t="s">
        <v>326</v>
      </c>
      <c r="H5056" s="10">
        <v>46049.0</v>
      </c>
      <c r="I5056" s="12">
        <v>4.0</v>
      </c>
      <c r="J5056" s="6" t="s">
        <v>178</v>
      </c>
    </row>
    <row r="5057" ht="22.5" customHeight="1">
      <c r="A5057" s="6" t="s">
        <v>21865</v>
      </c>
      <c r="B5057" s="6" t="s">
        <v>11640</v>
      </c>
      <c r="C5057" s="10">
        <v>46070.0</v>
      </c>
      <c r="D5057" s="6" t="s">
        <v>289</v>
      </c>
      <c r="E5057" s="6" t="s">
        <v>1546</v>
      </c>
      <c r="F5057" s="6" t="s">
        <v>439</v>
      </c>
      <c r="G5057" s="6" t="s">
        <v>452</v>
      </c>
      <c r="H5057" s="11" t="s">
        <v>259</v>
      </c>
      <c r="I5057" s="12">
        <v>10.0</v>
      </c>
      <c r="J5057" s="6" t="s">
        <v>161</v>
      </c>
    </row>
    <row r="5058" ht="22.5" customHeight="1">
      <c r="A5058" s="6" t="s">
        <v>21866</v>
      </c>
      <c r="B5058" s="6" t="s">
        <v>11646</v>
      </c>
      <c r="C5058" s="10">
        <v>46047.0</v>
      </c>
      <c r="D5058" s="6" t="s">
        <v>416</v>
      </c>
      <c r="E5058" s="6" t="s">
        <v>658</v>
      </c>
      <c r="F5058" s="6" t="s">
        <v>439</v>
      </c>
      <c r="G5058" s="6" t="s">
        <v>369</v>
      </c>
      <c r="H5058" s="10">
        <v>46051.0</v>
      </c>
      <c r="I5058" s="12">
        <v>9.0</v>
      </c>
      <c r="J5058" s="6" t="s">
        <v>161</v>
      </c>
    </row>
    <row r="5059" ht="22.5" customHeight="1">
      <c r="A5059" s="6" t="s">
        <v>21867</v>
      </c>
      <c r="B5059" s="6" t="s">
        <v>11646</v>
      </c>
      <c r="C5059" s="10">
        <v>46060.0</v>
      </c>
      <c r="D5059" s="6" t="s">
        <v>677</v>
      </c>
      <c r="E5059" s="6" t="s">
        <v>2365</v>
      </c>
      <c r="F5059" s="6" t="s">
        <v>249</v>
      </c>
      <c r="G5059" s="6" t="s">
        <v>477</v>
      </c>
      <c r="H5059" s="10">
        <v>46065.0</v>
      </c>
      <c r="I5059" s="12">
        <v>3.0</v>
      </c>
      <c r="J5059" s="6" t="s">
        <v>161</v>
      </c>
    </row>
    <row r="5060" ht="22.5" customHeight="1">
      <c r="A5060" s="6" t="s">
        <v>21868</v>
      </c>
      <c r="B5060" s="6" t="s">
        <v>11646</v>
      </c>
      <c r="C5060" s="10">
        <v>46045.0</v>
      </c>
      <c r="D5060" s="6" t="s">
        <v>242</v>
      </c>
      <c r="E5060" s="6" t="s">
        <v>475</v>
      </c>
      <c r="F5060" s="6" t="s">
        <v>283</v>
      </c>
      <c r="G5060" s="6" t="s">
        <v>458</v>
      </c>
      <c r="H5060" s="10">
        <v>46045.0</v>
      </c>
      <c r="I5060" s="12">
        <v>5.0</v>
      </c>
      <c r="J5060" s="6" t="s">
        <v>178</v>
      </c>
    </row>
    <row r="5061" ht="22.5" customHeight="1">
      <c r="A5061" s="6" t="s">
        <v>21869</v>
      </c>
      <c r="B5061" s="6" t="s">
        <v>11653</v>
      </c>
      <c r="C5061" s="10">
        <v>46027.0</v>
      </c>
      <c r="D5061" s="6" t="s">
        <v>436</v>
      </c>
      <c r="E5061" s="6" t="s">
        <v>466</v>
      </c>
      <c r="F5061" s="6" t="s">
        <v>439</v>
      </c>
      <c r="G5061" s="6" t="s">
        <v>452</v>
      </c>
      <c r="H5061" s="11" t="s">
        <v>259</v>
      </c>
      <c r="I5061" s="12">
        <v>8.0</v>
      </c>
      <c r="J5061" s="6" t="s">
        <v>178</v>
      </c>
    </row>
    <row r="5062" ht="22.5" customHeight="1">
      <c r="A5062" s="6" t="s">
        <v>21870</v>
      </c>
      <c r="B5062" s="6" t="s">
        <v>11653</v>
      </c>
      <c r="C5062" s="10">
        <v>46043.0</v>
      </c>
      <c r="D5062" s="6" t="s">
        <v>436</v>
      </c>
      <c r="E5062" s="6" t="s">
        <v>731</v>
      </c>
      <c r="F5062" s="6" t="s">
        <v>283</v>
      </c>
      <c r="G5062" s="6" t="s">
        <v>254</v>
      </c>
      <c r="H5062" s="10">
        <v>46049.0</v>
      </c>
      <c r="I5062" s="12">
        <v>10.0</v>
      </c>
      <c r="J5062" s="6" t="s">
        <v>178</v>
      </c>
    </row>
    <row r="5063" ht="22.5" customHeight="1">
      <c r="A5063" s="6" t="s">
        <v>21871</v>
      </c>
      <c r="B5063" s="6" t="s">
        <v>11653</v>
      </c>
      <c r="C5063" s="10">
        <v>46024.0</v>
      </c>
      <c r="D5063" s="6" t="s">
        <v>436</v>
      </c>
      <c r="E5063" s="6" t="s">
        <v>716</v>
      </c>
      <c r="F5063" s="6" t="s">
        <v>249</v>
      </c>
      <c r="G5063" s="6" t="s">
        <v>326</v>
      </c>
      <c r="H5063" s="10">
        <v>46027.0</v>
      </c>
      <c r="I5063" s="12">
        <v>8.0</v>
      </c>
      <c r="J5063" s="6" t="s">
        <v>178</v>
      </c>
    </row>
    <row r="5064" ht="22.5" customHeight="1">
      <c r="A5064" s="6" t="s">
        <v>21872</v>
      </c>
      <c r="B5064" s="6" t="s">
        <v>11659</v>
      </c>
      <c r="C5064" s="10">
        <v>46047.0</v>
      </c>
      <c r="D5064" s="6" t="s">
        <v>677</v>
      </c>
      <c r="E5064" s="6" t="s">
        <v>863</v>
      </c>
      <c r="F5064" s="6" t="s">
        <v>283</v>
      </c>
      <c r="G5064" s="6" t="s">
        <v>452</v>
      </c>
      <c r="H5064" s="10">
        <v>46051.0</v>
      </c>
      <c r="I5064" s="12">
        <v>4.0</v>
      </c>
      <c r="J5064" s="6" t="s">
        <v>161</v>
      </c>
    </row>
    <row r="5065" ht="22.5" customHeight="1">
      <c r="A5065" s="6" t="s">
        <v>21873</v>
      </c>
      <c r="B5065" s="6" t="s">
        <v>11659</v>
      </c>
      <c r="C5065" s="10">
        <v>46064.0</v>
      </c>
      <c r="D5065" s="6" t="s">
        <v>416</v>
      </c>
      <c r="E5065" s="6" t="s">
        <v>1969</v>
      </c>
      <c r="F5065" s="6" t="s">
        <v>439</v>
      </c>
      <c r="G5065" s="6" t="s">
        <v>254</v>
      </c>
      <c r="H5065" s="10">
        <v>46069.0</v>
      </c>
      <c r="I5065" s="12">
        <v>11.0</v>
      </c>
      <c r="J5065" s="6" t="s">
        <v>161</v>
      </c>
    </row>
    <row r="5066" ht="22.5" customHeight="1">
      <c r="A5066" s="6" t="s">
        <v>21874</v>
      </c>
      <c r="B5066" s="6" t="s">
        <v>11659</v>
      </c>
      <c r="C5066" s="10">
        <v>46056.0</v>
      </c>
      <c r="D5066" s="6" t="s">
        <v>436</v>
      </c>
      <c r="E5066" s="6" t="s">
        <v>1273</v>
      </c>
      <c r="F5066" s="6" t="s">
        <v>439</v>
      </c>
      <c r="G5066" s="6" t="s">
        <v>297</v>
      </c>
      <c r="H5066" s="10">
        <v>46061.0</v>
      </c>
      <c r="I5066" s="12">
        <v>8.0</v>
      </c>
      <c r="J5066" s="6" t="s">
        <v>178</v>
      </c>
    </row>
    <row r="5067" ht="22.5" customHeight="1">
      <c r="A5067" s="6" t="s">
        <v>21875</v>
      </c>
      <c r="B5067" s="6" t="s">
        <v>11659</v>
      </c>
      <c r="C5067" s="10">
        <v>46054.0</v>
      </c>
      <c r="D5067" s="6" t="s">
        <v>416</v>
      </c>
      <c r="E5067" s="6" t="s">
        <v>365</v>
      </c>
      <c r="F5067" s="6" t="s">
        <v>439</v>
      </c>
      <c r="G5067" s="6" t="s">
        <v>494</v>
      </c>
      <c r="H5067" s="11" t="s">
        <v>259</v>
      </c>
      <c r="I5067" s="12">
        <v>9.0</v>
      </c>
      <c r="J5067" s="6" t="s">
        <v>161</v>
      </c>
    </row>
    <row r="5068" ht="22.5" customHeight="1">
      <c r="A5068" s="6" t="s">
        <v>21876</v>
      </c>
      <c r="B5068" s="6" t="s">
        <v>11659</v>
      </c>
      <c r="C5068" s="10">
        <v>46063.0</v>
      </c>
      <c r="D5068" s="6" t="s">
        <v>289</v>
      </c>
      <c r="E5068" s="6" t="s">
        <v>566</v>
      </c>
      <c r="F5068" s="6" t="s">
        <v>283</v>
      </c>
      <c r="G5068" s="6" t="s">
        <v>458</v>
      </c>
      <c r="H5068" s="10">
        <v>46065.0</v>
      </c>
      <c r="I5068" s="12">
        <v>7.0</v>
      </c>
      <c r="J5068" s="6" t="s">
        <v>161</v>
      </c>
    </row>
    <row r="5069" ht="22.5" customHeight="1">
      <c r="A5069" s="6" t="s">
        <v>21877</v>
      </c>
      <c r="B5069" s="6" t="s">
        <v>11664</v>
      </c>
      <c r="C5069" s="10">
        <v>46062.0</v>
      </c>
      <c r="D5069" s="6" t="s">
        <v>391</v>
      </c>
      <c r="E5069" s="6" t="s">
        <v>1626</v>
      </c>
      <c r="F5069" s="6" t="s">
        <v>283</v>
      </c>
      <c r="G5069" s="6" t="s">
        <v>458</v>
      </c>
      <c r="H5069" s="10">
        <v>46066.0</v>
      </c>
      <c r="I5069" s="12">
        <v>8.0</v>
      </c>
      <c r="J5069" s="6" t="s">
        <v>161</v>
      </c>
    </row>
    <row r="5070" ht="22.5" customHeight="1">
      <c r="A5070" s="6" t="s">
        <v>21878</v>
      </c>
      <c r="B5070" s="6" t="s">
        <v>11664</v>
      </c>
      <c r="C5070" s="10">
        <v>46058.0</v>
      </c>
      <c r="D5070" s="6" t="s">
        <v>416</v>
      </c>
      <c r="E5070" s="6" t="s">
        <v>1241</v>
      </c>
      <c r="F5070" s="6" t="s">
        <v>439</v>
      </c>
      <c r="G5070" s="6" t="s">
        <v>326</v>
      </c>
      <c r="H5070" s="10">
        <v>46061.0</v>
      </c>
      <c r="I5070" s="12">
        <v>10.0</v>
      </c>
      <c r="J5070" s="6" t="s">
        <v>161</v>
      </c>
    </row>
    <row r="5071" ht="22.5" customHeight="1">
      <c r="A5071" s="6" t="s">
        <v>21879</v>
      </c>
      <c r="B5071" s="6" t="s">
        <v>11664</v>
      </c>
      <c r="C5071" s="10">
        <v>46045.0</v>
      </c>
      <c r="D5071" s="6" t="s">
        <v>436</v>
      </c>
      <c r="E5071" s="6" t="s">
        <v>634</v>
      </c>
      <c r="F5071" s="6" t="s">
        <v>112</v>
      </c>
      <c r="G5071" s="6" t="s">
        <v>458</v>
      </c>
      <c r="H5071" s="10">
        <v>46047.0</v>
      </c>
      <c r="I5071" s="12">
        <v>9.0</v>
      </c>
      <c r="J5071" s="6" t="s">
        <v>178</v>
      </c>
    </row>
    <row r="5072" ht="22.5" customHeight="1">
      <c r="A5072" s="6" t="s">
        <v>21880</v>
      </c>
      <c r="B5072" s="6" t="s">
        <v>11664</v>
      </c>
      <c r="C5072" s="10">
        <v>46062.0</v>
      </c>
      <c r="D5072" s="6" t="s">
        <v>677</v>
      </c>
      <c r="E5072" s="6" t="s">
        <v>320</v>
      </c>
      <c r="F5072" s="6" t="s">
        <v>112</v>
      </c>
      <c r="G5072" s="6" t="s">
        <v>458</v>
      </c>
      <c r="H5072" s="10">
        <v>46065.0</v>
      </c>
      <c r="I5072" s="12">
        <v>2.0</v>
      </c>
      <c r="J5072" s="6" t="s">
        <v>161</v>
      </c>
    </row>
    <row r="5073" ht="22.5" customHeight="1">
      <c r="A5073" s="6" t="s">
        <v>21881</v>
      </c>
      <c r="B5073" s="6" t="s">
        <v>11670</v>
      </c>
      <c r="C5073" s="10">
        <v>46060.0</v>
      </c>
      <c r="D5073" s="6" t="s">
        <v>677</v>
      </c>
      <c r="E5073" s="6" t="s">
        <v>787</v>
      </c>
      <c r="F5073" s="6" t="s">
        <v>249</v>
      </c>
      <c r="G5073" s="6" t="s">
        <v>458</v>
      </c>
      <c r="H5073" s="11" t="s">
        <v>259</v>
      </c>
      <c r="I5073" s="12">
        <v>4.0</v>
      </c>
      <c r="J5073" s="6" t="s">
        <v>161</v>
      </c>
    </row>
    <row r="5074" ht="22.5" customHeight="1">
      <c r="A5074" s="6" t="s">
        <v>21882</v>
      </c>
      <c r="B5074" s="6" t="s">
        <v>11670</v>
      </c>
      <c r="C5074" s="10">
        <v>46057.0</v>
      </c>
      <c r="D5074" s="6" t="s">
        <v>677</v>
      </c>
      <c r="E5074" s="6" t="s">
        <v>394</v>
      </c>
      <c r="F5074" s="6" t="s">
        <v>439</v>
      </c>
      <c r="G5074" s="6" t="s">
        <v>254</v>
      </c>
      <c r="H5074" s="10">
        <v>46064.0</v>
      </c>
      <c r="I5074" s="12">
        <v>3.0</v>
      </c>
      <c r="J5074" s="6" t="s">
        <v>161</v>
      </c>
    </row>
    <row r="5075" ht="22.5" customHeight="1">
      <c r="A5075" s="6" t="s">
        <v>21883</v>
      </c>
      <c r="B5075" s="6" t="s">
        <v>11670</v>
      </c>
      <c r="C5075" s="10">
        <v>46056.0</v>
      </c>
      <c r="D5075" s="6" t="s">
        <v>312</v>
      </c>
      <c r="E5075" s="6" t="s">
        <v>1070</v>
      </c>
      <c r="F5075" s="6" t="s">
        <v>283</v>
      </c>
      <c r="G5075" s="6" t="s">
        <v>254</v>
      </c>
      <c r="H5075" s="10">
        <v>46059.0</v>
      </c>
      <c r="I5075" s="12">
        <v>7.0</v>
      </c>
      <c r="J5075" s="6" t="s">
        <v>161</v>
      </c>
    </row>
    <row r="5076" ht="22.5" customHeight="1">
      <c r="A5076" s="6" t="s">
        <v>21884</v>
      </c>
      <c r="B5076" s="6" t="s">
        <v>11670</v>
      </c>
      <c r="C5076" s="10">
        <v>46057.0</v>
      </c>
      <c r="D5076" s="6" t="s">
        <v>289</v>
      </c>
      <c r="E5076" s="6" t="s">
        <v>1600</v>
      </c>
      <c r="F5076" s="6" t="s">
        <v>249</v>
      </c>
      <c r="G5076" s="6" t="s">
        <v>452</v>
      </c>
      <c r="H5076" s="10">
        <v>46057.0</v>
      </c>
      <c r="I5076" s="12">
        <v>9.0</v>
      </c>
      <c r="J5076" s="6" t="s">
        <v>161</v>
      </c>
    </row>
    <row r="5077" ht="22.5" customHeight="1">
      <c r="A5077" s="6" t="s">
        <v>21885</v>
      </c>
      <c r="B5077" s="6" t="s">
        <v>11670</v>
      </c>
      <c r="C5077" s="10">
        <v>46058.0</v>
      </c>
      <c r="D5077" s="6" t="s">
        <v>242</v>
      </c>
      <c r="E5077" s="6" t="s">
        <v>2881</v>
      </c>
      <c r="F5077" s="6" t="s">
        <v>439</v>
      </c>
      <c r="G5077" s="6" t="s">
        <v>477</v>
      </c>
      <c r="H5077" s="10">
        <v>46061.0</v>
      </c>
      <c r="I5077" s="12">
        <v>6.0</v>
      </c>
      <c r="J5077" s="6" t="s">
        <v>178</v>
      </c>
    </row>
    <row r="5078" ht="22.5" customHeight="1">
      <c r="A5078" s="6" t="s">
        <v>21886</v>
      </c>
      <c r="B5078" s="6" t="s">
        <v>11677</v>
      </c>
      <c r="C5078" s="10">
        <v>46064.0</v>
      </c>
      <c r="D5078" s="6" t="s">
        <v>677</v>
      </c>
      <c r="E5078" s="6" t="s">
        <v>1280</v>
      </c>
      <c r="F5078" s="6" t="s">
        <v>112</v>
      </c>
      <c r="G5078" s="6" t="s">
        <v>254</v>
      </c>
      <c r="H5078" s="10">
        <v>46068.0</v>
      </c>
      <c r="I5078" s="12">
        <v>2.0</v>
      </c>
      <c r="J5078" s="6" t="s">
        <v>161</v>
      </c>
    </row>
    <row r="5079" ht="22.5" customHeight="1">
      <c r="A5079" s="6" t="s">
        <v>21887</v>
      </c>
      <c r="B5079" s="6" t="s">
        <v>11677</v>
      </c>
      <c r="C5079" s="10">
        <v>46076.0</v>
      </c>
      <c r="D5079" s="6" t="s">
        <v>242</v>
      </c>
      <c r="E5079" s="6" t="s">
        <v>798</v>
      </c>
      <c r="F5079" s="6" t="s">
        <v>283</v>
      </c>
      <c r="G5079" s="6" t="s">
        <v>297</v>
      </c>
      <c r="H5079" s="10">
        <v>46079.0</v>
      </c>
      <c r="I5079" s="12">
        <v>5.0</v>
      </c>
      <c r="J5079" s="6" t="s">
        <v>178</v>
      </c>
    </row>
    <row r="5080" ht="22.5" customHeight="1">
      <c r="A5080" s="6" t="s">
        <v>21888</v>
      </c>
      <c r="B5080" s="6" t="s">
        <v>11677</v>
      </c>
      <c r="C5080" s="10">
        <v>46073.0</v>
      </c>
      <c r="D5080" s="6" t="s">
        <v>312</v>
      </c>
      <c r="E5080" s="6" t="s">
        <v>512</v>
      </c>
      <c r="F5080" s="6" t="s">
        <v>439</v>
      </c>
      <c r="G5080" s="6" t="s">
        <v>297</v>
      </c>
      <c r="H5080" s="10">
        <v>46080.0</v>
      </c>
      <c r="I5080" s="12">
        <v>7.0</v>
      </c>
      <c r="J5080" s="6" t="s">
        <v>161</v>
      </c>
    </row>
    <row r="5081" ht="22.5" customHeight="1">
      <c r="A5081" s="6" t="s">
        <v>21889</v>
      </c>
      <c r="B5081" s="6" t="s">
        <v>11677</v>
      </c>
      <c r="C5081" s="10">
        <v>46077.0</v>
      </c>
      <c r="D5081" s="6" t="s">
        <v>391</v>
      </c>
      <c r="E5081" s="6" t="s">
        <v>704</v>
      </c>
      <c r="F5081" s="6" t="s">
        <v>112</v>
      </c>
      <c r="G5081" s="6" t="s">
        <v>326</v>
      </c>
      <c r="H5081" s="10">
        <v>46082.0</v>
      </c>
      <c r="I5081" s="12">
        <v>10.0</v>
      </c>
      <c r="J5081" s="6" t="s">
        <v>161</v>
      </c>
    </row>
    <row r="5082" ht="22.5" customHeight="1">
      <c r="A5082" s="6" t="s">
        <v>21890</v>
      </c>
      <c r="B5082" s="6" t="s">
        <v>11677</v>
      </c>
      <c r="C5082" s="10">
        <v>46077.0</v>
      </c>
      <c r="D5082" s="6" t="s">
        <v>289</v>
      </c>
      <c r="E5082" s="6" t="s">
        <v>475</v>
      </c>
      <c r="F5082" s="6" t="s">
        <v>439</v>
      </c>
      <c r="G5082" s="6" t="s">
        <v>452</v>
      </c>
      <c r="H5082" s="11" t="s">
        <v>259</v>
      </c>
      <c r="I5082" s="12">
        <v>9.0</v>
      </c>
      <c r="J5082" s="6" t="s">
        <v>161</v>
      </c>
    </row>
    <row r="5083" ht="22.5" customHeight="1">
      <c r="A5083" s="6" t="s">
        <v>21891</v>
      </c>
      <c r="B5083" s="6" t="s">
        <v>11683</v>
      </c>
      <c r="C5083" s="10">
        <v>46078.0</v>
      </c>
      <c r="D5083" s="6" t="s">
        <v>391</v>
      </c>
      <c r="E5083" s="6" t="s">
        <v>812</v>
      </c>
      <c r="F5083" s="6" t="s">
        <v>283</v>
      </c>
      <c r="G5083" s="6" t="s">
        <v>477</v>
      </c>
      <c r="H5083" s="10">
        <v>46080.0</v>
      </c>
      <c r="I5083" s="12">
        <v>10.0</v>
      </c>
      <c r="J5083" s="6" t="s">
        <v>161</v>
      </c>
    </row>
    <row r="5084" ht="22.5" customHeight="1">
      <c r="A5084" s="6" t="s">
        <v>21892</v>
      </c>
      <c r="B5084" s="6" t="s">
        <v>11683</v>
      </c>
      <c r="C5084" s="10">
        <v>46074.0</v>
      </c>
      <c r="D5084" s="6" t="s">
        <v>436</v>
      </c>
      <c r="E5084" s="6" t="s">
        <v>787</v>
      </c>
      <c r="F5084" s="6" t="s">
        <v>112</v>
      </c>
      <c r="G5084" s="6" t="s">
        <v>297</v>
      </c>
      <c r="H5084" s="10">
        <v>46080.0</v>
      </c>
      <c r="I5084" s="12">
        <v>12.0</v>
      </c>
      <c r="J5084" s="6" t="s">
        <v>178</v>
      </c>
    </row>
    <row r="5085" ht="22.5" customHeight="1">
      <c r="A5085" s="6" t="s">
        <v>21893</v>
      </c>
      <c r="B5085" s="6" t="s">
        <v>11683</v>
      </c>
      <c r="C5085" s="10">
        <v>46071.0</v>
      </c>
      <c r="D5085" s="6" t="s">
        <v>677</v>
      </c>
      <c r="E5085" s="6" t="s">
        <v>512</v>
      </c>
      <c r="F5085" s="6" t="s">
        <v>439</v>
      </c>
      <c r="G5085" s="6" t="s">
        <v>494</v>
      </c>
      <c r="H5085" s="10">
        <v>46077.0</v>
      </c>
      <c r="I5085" s="12">
        <v>3.0</v>
      </c>
      <c r="J5085" s="6" t="s">
        <v>161</v>
      </c>
    </row>
    <row r="5086" ht="22.5" customHeight="1">
      <c r="A5086" s="6" t="s">
        <v>21894</v>
      </c>
      <c r="B5086" s="6" t="s">
        <v>11683</v>
      </c>
      <c r="C5086" s="10">
        <v>46079.0</v>
      </c>
      <c r="D5086" s="6" t="s">
        <v>391</v>
      </c>
      <c r="E5086" s="6" t="s">
        <v>1700</v>
      </c>
      <c r="F5086" s="6" t="s">
        <v>112</v>
      </c>
      <c r="G5086" s="6" t="s">
        <v>326</v>
      </c>
      <c r="H5086" s="10">
        <v>46082.0</v>
      </c>
      <c r="I5086" s="12">
        <v>10.0</v>
      </c>
      <c r="J5086" s="6" t="s">
        <v>161</v>
      </c>
    </row>
    <row r="5087" ht="22.5" customHeight="1">
      <c r="A5087" s="6" t="s">
        <v>21895</v>
      </c>
      <c r="B5087" s="6" t="s">
        <v>11683</v>
      </c>
      <c r="C5087" s="10">
        <v>46063.0</v>
      </c>
      <c r="D5087" s="6" t="s">
        <v>289</v>
      </c>
      <c r="E5087" s="6" t="s">
        <v>695</v>
      </c>
      <c r="F5087" s="6" t="s">
        <v>283</v>
      </c>
      <c r="G5087" s="6" t="s">
        <v>458</v>
      </c>
      <c r="H5087" s="10">
        <v>46066.0</v>
      </c>
      <c r="I5087" s="12">
        <v>6.0</v>
      </c>
      <c r="J5087" s="6" t="s">
        <v>161</v>
      </c>
    </row>
    <row r="5088" ht="22.5" customHeight="1">
      <c r="A5088" s="6" t="s">
        <v>21896</v>
      </c>
      <c r="B5088" s="6" t="s">
        <v>11689</v>
      </c>
      <c r="C5088" s="10">
        <v>46056.0</v>
      </c>
      <c r="D5088" s="6" t="s">
        <v>391</v>
      </c>
      <c r="E5088" s="6" t="s">
        <v>731</v>
      </c>
      <c r="F5088" s="6" t="s">
        <v>249</v>
      </c>
      <c r="G5088" s="6" t="s">
        <v>254</v>
      </c>
      <c r="H5088" s="10">
        <v>46062.0</v>
      </c>
      <c r="I5088" s="12">
        <v>9.0</v>
      </c>
      <c r="J5088" s="6" t="s">
        <v>161</v>
      </c>
    </row>
    <row r="5089" ht="22.5" customHeight="1">
      <c r="A5089" s="6" t="s">
        <v>21897</v>
      </c>
      <c r="B5089" s="6" t="s">
        <v>11689</v>
      </c>
      <c r="C5089" s="10">
        <v>46063.0</v>
      </c>
      <c r="D5089" s="6" t="s">
        <v>242</v>
      </c>
      <c r="E5089" s="6" t="s">
        <v>466</v>
      </c>
      <c r="F5089" s="6" t="s">
        <v>112</v>
      </c>
      <c r="G5089" s="6" t="s">
        <v>297</v>
      </c>
      <c r="H5089" s="10">
        <v>46067.0</v>
      </c>
      <c r="I5089" s="12">
        <v>5.0</v>
      </c>
      <c r="J5089" s="6" t="s">
        <v>161</v>
      </c>
    </row>
    <row r="5090" ht="22.5" customHeight="1">
      <c r="A5090" s="6" t="s">
        <v>21898</v>
      </c>
      <c r="B5090" s="6" t="s">
        <v>11696</v>
      </c>
      <c r="C5090" s="10">
        <v>46042.0</v>
      </c>
      <c r="D5090" s="6" t="s">
        <v>436</v>
      </c>
      <c r="E5090" s="6" t="s">
        <v>320</v>
      </c>
      <c r="F5090" s="6" t="s">
        <v>112</v>
      </c>
      <c r="G5090" s="6" t="s">
        <v>297</v>
      </c>
      <c r="H5090" s="10">
        <v>46046.0</v>
      </c>
      <c r="I5090" s="12">
        <v>8.0</v>
      </c>
      <c r="J5090" s="6" t="s">
        <v>161</v>
      </c>
    </row>
    <row r="5091" ht="22.5" customHeight="1">
      <c r="A5091" s="6" t="s">
        <v>21899</v>
      </c>
      <c r="B5091" s="6" t="s">
        <v>11696</v>
      </c>
      <c r="C5091" s="10">
        <v>46029.0</v>
      </c>
      <c r="D5091" s="6" t="s">
        <v>436</v>
      </c>
      <c r="E5091" s="6" t="s">
        <v>731</v>
      </c>
      <c r="F5091" s="6" t="s">
        <v>439</v>
      </c>
      <c r="G5091" s="6" t="s">
        <v>326</v>
      </c>
      <c r="H5091" s="11" t="s">
        <v>259</v>
      </c>
      <c r="I5091" s="12">
        <v>9.0</v>
      </c>
      <c r="J5091" s="6" t="s">
        <v>178</v>
      </c>
    </row>
    <row r="5092" ht="22.5" customHeight="1">
      <c r="A5092" s="6" t="s">
        <v>21900</v>
      </c>
      <c r="B5092" s="6" t="s">
        <v>11704</v>
      </c>
      <c r="C5092" s="10">
        <v>46041.0</v>
      </c>
      <c r="D5092" s="6" t="s">
        <v>391</v>
      </c>
      <c r="E5092" s="6" t="s">
        <v>1552</v>
      </c>
      <c r="F5092" s="6" t="s">
        <v>249</v>
      </c>
      <c r="G5092" s="6" t="s">
        <v>369</v>
      </c>
      <c r="H5092" s="10">
        <v>46048.0</v>
      </c>
      <c r="I5092" s="12">
        <v>9.0</v>
      </c>
      <c r="J5092" s="6" t="s">
        <v>161</v>
      </c>
    </row>
    <row r="5093" ht="22.5" customHeight="1">
      <c r="A5093" s="6" t="s">
        <v>21901</v>
      </c>
      <c r="B5093" s="6" t="s">
        <v>11711</v>
      </c>
      <c r="C5093" s="10">
        <v>46074.0</v>
      </c>
      <c r="D5093" s="6" t="s">
        <v>677</v>
      </c>
      <c r="E5093" s="6" t="s">
        <v>1241</v>
      </c>
      <c r="F5093" s="6" t="s">
        <v>249</v>
      </c>
      <c r="G5093" s="6" t="s">
        <v>369</v>
      </c>
      <c r="H5093" s="10">
        <v>46081.0</v>
      </c>
      <c r="I5093" s="12">
        <v>3.0</v>
      </c>
      <c r="J5093" s="6" t="s">
        <v>161</v>
      </c>
    </row>
    <row r="5094" ht="22.5" customHeight="1">
      <c r="A5094" s="6" t="s">
        <v>21902</v>
      </c>
      <c r="B5094" s="6" t="s">
        <v>11711</v>
      </c>
      <c r="C5094" s="10">
        <v>46074.0</v>
      </c>
      <c r="D5094" s="6" t="s">
        <v>312</v>
      </c>
      <c r="E5094" s="6" t="s">
        <v>1570</v>
      </c>
      <c r="F5094" s="6" t="s">
        <v>439</v>
      </c>
      <c r="G5094" s="6" t="s">
        <v>369</v>
      </c>
      <c r="H5094" s="10">
        <v>46075.0</v>
      </c>
      <c r="I5094" s="12">
        <v>7.0</v>
      </c>
      <c r="J5094" s="6" t="s">
        <v>161</v>
      </c>
    </row>
    <row r="5095" ht="22.5" customHeight="1">
      <c r="A5095" s="6" t="s">
        <v>21903</v>
      </c>
      <c r="B5095" s="6" t="s">
        <v>11718</v>
      </c>
      <c r="C5095" s="10">
        <v>46035.0</v>
      </c>
      <c r="D5095" s="6" t="s">
        <v>436</v>
      </c>
      <c r="E5095" s="6" t="s">
        <v>1241</v>
      </c>
      <c r="F5095" s="6" t="s">
        <v>249</v>
      </c>
      <c r="G5095" s="6" t="s">
        <v>254</v>
      </c>
      <c r="H5095" s="10">
        <v>46039.0</v>
      </c>
      <c r="I5095" s="12">
        <v>6.0</v>
      </c>
      <c r="J5095" s="6" t="s">
        <v>178</v>
      </c>
    </row>
    <row r="5096" ht="22.5" customHeight="1">
      <c r="A5096" s="6" t="s">
        <v>21904</v>
      </c>
      <c r="B5096" s="6" t="s">
        <v>11718</v>
      </c>
      <c r="C5096" s="10">
        <v>46051.0</v>
      </c>
      <c r="D5096" s="6" t="s">
        <v>416</v>
      </c>
      <c r="E5096" s="6" t="s">
        <v>1241</v>
      </c>
      <c r="F5096" s="6" t="s">
        <v>112</v>
      </c>
      <c r="G5096" s="6" t="s">
        <v>369</v>
      </c>
      <c r="H5096" s="10">
        <v>46053.0</v>
      </c>
      <c r="I5096" s="12">
        <v>14.0</v>
      </c>
      <c r="J5096" s="6" t="s">
        <v>161</v>
      </c>
    </row>
    <row r="5097" ht="22.5" customHeight="1">
      <c r="A5097" s="6" t="s">
        <v>21905</v>
      </c>
      <c r="B5097" s="6" t="s">
        <v>11718</v>
      </c>
      <c r="C5097" s="10">
        <v>46035.0</v>
      </c>
      <c r="D5097" s="6" t="s">
        <v>242</v>
      </c>
      <c r="E5097" s="6" t="s">
        <v>618</v>
      </c>
      <c r="F5097" s="6" t="s">
        <v>439</v>
      </c>
      <c r="G5097" s="6" t="s">
        <v>254</v>
      </c>
      <c r="H5097" s="10">
        <v>46038.0</v>
      </c>
      <c r="I5097" s="12">
        <v>5.0</v>
      </c>
      <c r="J5097" s="6" t="s">
        <v>178</v>
      </c>
    </row>
    <row r="5098" ht="22.5" customHeight="1">
      <c r="A5098" s="6" t="s">
        <v>21906</v>
      </c>
      <c r="B5098" s="6" t="s">
        <v>11724</v>
      </c>
      <c r="C5098" s="10">
        <v>46042.0</v>
      </c>
      <c r="D5098" s="6" t="s">
        <v>677</v>
      </c>
      <c r="E5098" s="6" t="s">
        <v>704</v>
      </c>
      <c r="F5098" s="6" t="s">
        <v>249</v>
      </c>
      <c r="G5098" s="6" t="s">
        <v>477</v>
      </c>
      <c r="H5098" s="10">
        <v>46046.0</v>
      </c>
      <c r="I5098" s="12">
        <v>2.0</v>
      </c>
      <c r="J5098" s="6" t="s">
        <v>161</v>
      </c>
    </row>
    <row r="5099" ht="22.5" customHeight="1">
      <c r="A5099" s="6" t="s">
        <v>21907</v>
      </c>
      <c r="B5099" s="6" t="s">
        <v>11724</v>
      </c>
      <c r="C5099" s="10">
        <v>46043.0</v>
      </c>
      <c r="D5099" s="6" t="s">
        <v>436</v>
      </c>
      <c r="E5099" s="6" t="s">
        <v>1517</v>
      </c>
      <c r="F5099" s="6" t="s">
        <v>249</v>
      </c>
      <c r="G5099" s="6" t="s">
        <v>458</v>
      </c>
      <c r="H5099" s="10">
        <v>46048.0</v>
      </c>
      <c r="I5099" s="12">
        <v>11.0</v>
      </c>
      <c r="J5099" s="6" t="s">
        <v>178</v>
      </c>
    </row>
    <row r="5100" ht="22.5" customHeight="1">
      <c r="A5100" s="6" t="s">
        <v>21908</v>
      </c>
      <c r="B5100" s="6" t="s">
        <v>11730</v>
      </c>
      <c r="C5100" s="10">
        <v>46064.0</v>
      </c>
      <c r="D5100" s="6" t="s">
        <v>416</v>
      </c>
      <c r="E5100" s="6" t="s">
        <v>291</v>
      </c>
      <c r="F5100" s="6" t="s">
        <v>283</v>
      </c>
      <c r="G5100" s="6" t="s">
        <v>452</v>
      </c>
      <c r="H5100" s="10">
        <v>46067.0</v>
      </c>
      <c r="I5100" s="12">
        <v>11.0</v>
      </c>
      <c r="J5100" s="6" t="s">
        <v>161</v>
      </c>
    </row>
    <row r="5101" ht="22.5" customHeight="1">
      <c r="A5101" s="6" t="s">
        <v>21909</v>
      </c>
      <c r="B5101" s="6" t="s">
        <v>11730</v>
      </c>
      <c r="C5101" s="10">
        <v>46067.0</v>
      </c>
      <c r="D5101" s="6" t="s">
        <v>242</v>
      </c>
      <c r="E5101" s="6" t="s">
        <v>2881</v>
      </c>
      <c r="F5101" s="6" t="s">
        <v>112</v>
      </c>
      <c r="G5101" s="6" t="s">
        <v>297</v>
      </c>
      <c r="H5101" s="10">
        <v>46074.0</v>
      </c>
      <c r="I5101" s="12">
        <v>3.0</v>
      </c>
      <c r="J5101" s="6" t="s">
        <v>178</v>
      </c>
    </row>
    <row r="5102" ht="22.5" customHeight="1">
      <c r="A5102" s="6" t="s">
        <v>21910</v>
      </c>
      <c r="B5102" s="6" t="s">
        <v>11737</v>
      </c>
      <c r="C5102" s="10">
        <v>46036.0</v>
      </c>
      <c r="D5102" s="6" t="s">
        <v>416</v>
      </c>
      <c r="E5102" s="6" t="s">
        <v>1055</v>
      </c>
      <c r="F5102" s="6" t="s">
        <v>249</v>
      </c>
      <c r="G5102" s="6" t="s">
        <v>477</v>
      </c>
      <c r="H5102" s="10">
        <v>46042.0</v>
      </c>
      <c r="I5102" s="12">
        <v>12.0</v>
      </c>
      <c r="J5102" s="6" t="s">
        <v>161</v>
      </c>
    </row>
    <row r="5103" ht="22.5" customHeight="1">
      <c r="A5103" s="6" t="s">
        <v>21911</v>
      </c>
      <c r="B5103" s="6" t="s">
        <v>11737</v>
      </c>
      <c r="C5103" s="10">
        <v>46041.0</v>
      </c>
      <c r="D5103" s="6" t="s">
        <v>242</v>
      </c>
      <c r="E5103" s="6" t="s">
        <v>1149</v>
      </c>
      <c r="F5103" s="6" t="s">
        <v>283</v>
      </c>
      <c r="G5103" s="6" t="s">
        <v>369</v>
      </c>
      <c r="H5103" s="10">
        <v>46046.0</v>
      </c>
      <c r="I5103" s="12">
        <v>6.0</v>
      </c>
      <c r="J5103" s="6" t="s">
        <v>178</v>
      </c>
    </row>
    <row r="5104" ht="22.5" customHeight="1">
      <c r="A5104" s="6" t="s">
        <v>21912</v>
      </c>
      <c r="B5104" s="6" t="s">
        <v>11737</v>
      </c>
      <c r="C5104" s="10">
        <v>46043.0</v>
      </c>
      <c r="D5104" s="6" t="s">
        <v>289</v>
      </c>
      <c r="E5104" s="6" t="s">
        <v>1149</v>
      </c>
      <c r="F5104" s="6" t="s">
        <v>249</v>
      </c>
      <c r="G5104" s="6" t="s">
        <v>494</v>
      </c>
      <c r="H5104" s="10">
        <v>46049.0</v>
      </c>
      <c r="I5104" s="12">
        <v>9.0</v>
      </c>
      <c r="J5104" s="6" t="s">
        <v>161</v>
      </c>
    </row>
    <row r="5105" ht="22.5" customHeight="1">
      <c r="A5105" s="6" t="s">
        <v>21913</v>
      </c>
      <c r="B5105" s="6" t="s">
        <v>11737</v>
      </c>
      <c r="C5105" s="10">
        <v>46035.0</v>
      </c>
      <c r="D5105" s="6" t="s">
        <v>391</v>
      </c>
      <c r="E5105" s="6" t="s">
        <v>450</v>
      </c>
      <c r="F5105" s="6" t="s">
        <v>283</v>
      </c>
      <c r="G5105" s="6" t="s">
        <v>452</v>
      </c>
      <c r="H5105" s="10">
        <v>46036.0</v>
      </c>
      <c r="I5105" s="12">
        <v>8.0</v>
      </c>
      <c r="J5105" s="6" t="s">
        <v>161</v>
      </c>
    </row>
    <row r="5106" ht="22.5" customHeight="1">
      <c r="A5106" s="6" t="s">
        <v>21914</v>
      </c>
      <c r="B5106" s="6" t="s">
        <v>11737</v>
      </c>
      <c r="C5106" s="10">
        <v>46032.0</v>
      </c>
      <c r="D5106" s="6" t="s">
        <v>677</v>
      </c>
      <c r="E5106" s="6" t="s">
        <v>1273</v>
      </c>
      <c r="F5106" s="6" t="s">
        <v>249</v>
      </c>
      <c r="G5106" s="6" t="s">
        <v>477</v>
      </c>
      <c r="H5106" s="10">
        <v>46038.0</v>
      </c>
      <c r="I5106" s="12">
        <v>4.0</v>
      </c>
      <c r="J5106" s="6" t="s">
        <v>161</v>
      </c>
    </row>
    <row r="5107" ht="22.5" customHeight="1">
      <c r="A5107" s="6" t="s">
        <v>21915</v>
      </c>
      <c r="B5107" s="6" t="s">
        <v>11743</v>
      </c>
      <c r="C5107" s="10">
        <v>46081.0</v>
      </c>
      <c r="D5107" s="6" t="s">
        <v>242</v>
      </c>
      <c r="E5107" s="6" t="s">
        <v>738</v>
      </c>
      <c r="F5107" s="6" t="s">
        <v>283</v>
      </c>
      <c r="G5107" s="6" t="s">
        <v>477</v>
      </c>
      <c r="H5107" s="10">
        <v>46082.0</v>
      </c>
      <c r="I5107" s="12">
        <v>5.0</v>
      </c>
      <c r="J5107" s="6" t="s">
        <v>178</v>
      </c>
    </row>
    <row r="5108" ht="22.5" customHeight="1">
      <c r="A5108" s="6" t="s">
        <v>21916</v>
      </c>
      <c r="B5108" s="6" t="s">
        <v>11743</v>
      </c>
      <c r="C5108" s="10">
        <v>46072.0</v>
      </c>
      <c r="D5108" s="6" t="s">
        <v>289</v>
      </c>
      <c r="E5108" s="6" t="s">
        <v>618</v>
      </c>
      <c r="F5108" s="6" t="s">
        <v>112</v>
      </c>
      <c r="G5108" s="6" t="s">
        <v>297</v>
      </c>
      <c r="H5108" s="10">
        <v>46072.0</v>
      </c>
      <c r="I5108" s="12">
        <v>6.0</v>
      </c>
      <c r="J5108" s="6" t="s">
        <v>161</v>
      </c>
    </row>
    <row r="5109" ht="22.5" customHeight="1">
      <c r="A5109" s="6" t="s">
        <v>21917</v>
      </c>
      <c r="B5109" s="6" t="s">
        <v>11743</v>
      </c>
      <c r="C5109" s="10">
        <v>46066.0</v>
      </c>
      <c r="D5109" s="6" t="s">
        <v>391</v>
      </c>
      <c r="E5109" s="6" t="s">
        <v>566</v>
      </c>
      <c r="F5109" s="6" t="s">
        <v>283</v>
      </c>
      <c r="G5109" s="6" t="s">
        <v>326</v>
      </c>
      <c r="H5109" s="11" t="s">
        <v>259</v>
      </c>
      <c r="I5109" s="12">
        <v>8.0</v>
      </c>
      <c r="J5109" s="6" t="s">
        <v>161</v>
      </c>
    </row>
    <row r="5110" ht="22.5" customHeight="1">
      <c r="A5110" s="6" t="s">
        <v>21918</v>
      </c>
      <c r="B5110" s="6" t="s">
        <v>11743</v>
      </c>
      <c r="C5110" s="10">
        <v>46075.0</v>
      </c>
      <c r="D5110" s="6" t="s">
        <v>312</v>
      </c>
      <c r="E5110" s="6" t="s">
        <v>450</v>
      </c>
      <c r="F5110" s="6" t="s">
        <v>439</v>
      </c>
      <c r="G5110" s="6" t="s">
        <v>452</v>
      </c>
      <c r="H5110" s="10">
        <v>46075.0</v>
      </c>
      <c r="I5110" s="12">
        <v>4.0</v>
      </c>
      <c r="J5110" s="6" t="s">
        <v>161</v>
      </c>
    </row>
    <row r="5111" ht="22.5" customHeight="1">
      <c r="A5111" s="6" t="s">
        <v>21919</v>
      </c>
      <c r="B5111" s="6" t="s">
        <v>11750</v>
      </c>
      <c r="C5111" s="10">
        <v>46042.0</v>
      </c>
      <c r="D5111" s="6" t="s">
        <v>677</v>
      </c>
      <c r="E5111" s="6" t="s">
        <v>863</v>
      </c>
      <c r="F5111" s="6" t="s">
        <v>283</v>
      </c>
      <c r="G5111" s="6" t="s">
        <v>254</v>
      </c>
      <c r="H5111" s="10">
        <v>46042.0</v>
      </c>
      <c r="I5111" s="12">
        <v>4.0</v>
      </c>
      <c r="J5111" s="6" t="s">
        <v>161</v>
      </c>
    </row>
    <row r="5112" ht="22.5" customHeight="1">
      <c r="A5112" s="6" t="s">
        <v>21920</v>
      </c>
      <c r="B5112" s="6" t="s">
        <v>11756</v>
      </c>
      <c r="C5112" s="10">
        <v>46080.0</v>
      </c>
      <c r="D5112" s="6" t="s">
        <v>391</v>
      </c>
      <c r="E5112" s="6" t="s">
        <v>1570</v>
      </c>
      <c r="F5112" s="6" t="s">
        <v>283</v>
      </c>
      <c r="G5112" s="6" t="s">
        <v>494</v>
      </c>
      <c r="H5112" s="10">
        <v>46087.0</v>
      </c>
      <c r="I5112" s="12">
        <v>8.0</v>
      </c>
      <c r="J5112" s="6" t="s">
        <v>161</v>
      </c>
    </row>
    <row r="5113" ht="22.5" customHeight="1">
      <c r="A5113" s="6" t="s">
        <v>21921</v>
      </c>
      <c r="B5113" s="6" t="s">
        <v>11756</v>
      </c>
      <c r="C5113" s="10">
        <v>46064.0</v>
      </c>
      <c r="D5113" s="6" t="s">
        <v>416</v>
      </c>
      <c r="E5113" s="6" t="s">
        <v>687</v>
      </c>
      <c r="F5113" s="6" t="s">
        <v>439</v>
      </c>
      <c r="G5113" s="6" t="s">
        <v>458</v>
      </c>
      <c r="H5113" s="10">
        <v>46065.0</v>
      </c>
      <c r="I5113" s="12">
        <v>8.0</v>
      </c>
      <c r="J5113" s="6" t="s">
        <v>161</v>
      </c>
    </row>
    <row r="5114" ht="22.5" customHeight="1">
      <c r="A5114" s="6" t="s">
        <v>21922</v>
      </c>
      <c r="B5114" s="6" t="s">
        <v>11756</v>
      </c>
      <c r="C5114" s="10">
        <v>46078.0</v>
      </c>
      <c r="D5114" s="6" t="s">
        <v>289</v>
      </c>
      <c r="E5114" s="6" t="s">
        <v>246</v>
      </c>
      <c r="F5114" s="6" t="s">
        <v>249</v>
      </c>
      <c r="G5114" s="6" t="s">
        <v>297</v>
      </c>
      <c r="H5114" s="10">
        <v>46080.0</v>
      </c>
      <c r="I5114" s="12">
        <v>10.0</v>
      </c>
      <c r="J5114" s="6" t="s">
        <v>161</v>
      </c>
    </row>
    <row r="5115" ht="22.5" customHeight="1">
      <c r="A5115" s="6" t="s">
        <v>21923</v>
      </c>
      <c r="B5115" s="6" t="s">
        <v>11756</v>
      </c>
      <c r="C5115" s="10">
        <v>46063.0</v>
      </c>
      <c r="D5115" s="6" t="s">
        <v>416</v>
      </c>
      <c r="E5115" s="6" t="s">
        <v>885</v>
      </c>
      <c r="F5115" s="6" t="s">
        <v>283</v>
      </c>
      <c r="G5115" s="6" t="s">
        <v>326</v>
      </c>
      <c r="H5115" s="10">
        <v>46069.0</v>
      </c>
      <c r="I5115" s="12">
        <v>12.0</v>
      </c>
      <c r="J5115" s="6" t="s">
        <v>161</v>
      </c>
    </row>
    <row r="5116" ht="22.5" customHeight="1">
      <c r="A5116" s="6" t="s">
        <v>21924</v>
      </c>
      <c r="B5116" s="6" t="s">
        <v>11763</v>
      </c>
      <c r="C5116" s="10">
        <v>46047.0</v>
      </c>
      <c r="D5116" s="6" t="s">
        <v>677</v>
      </c>
      <c r="E5116" s="6" t="s">
        <v>738</v>
      </c>
      <c r="F5116" s="6" t="s">
        <v>283</v>
      </c>
      <c r="G5116" s="6" t="s">
        <v>369</v>
      </c>
      <c r="H5116" s="10">
        <v>46054.0</v>
      </c>
      <c r="I5116" s="12">
        <v>4.0</v>
      </c>
      <c r="J5116" s="6" t="s">
        <v>161</v>
      </c>
    </row>
    <row r="5117" ht="22.5" customHeight="1">
      <c r="A5117" s="6" t="s">
        <v>21925</v>
      </c>
      <c r="B5117" s="6" t="s">
        <v>11763</v>
      </c>
      <c r="C5117" s="10">
        <v>46058.0</v>
      </c>
      <c r="D5117" s="6" t="s">
        <v>312</v>
      </c>
      <c r="E5117" s="6" t="s">
        <v>1969</v>
      </c>
      <c r="F5117" s="6" t="s">
        <v>439</v>
      </c>
      <c r="G5117" s="6" t="s">
        <v>326</v>
      </c>
      <c r="H5117" s="10">
        <v>46059.0</v>
      </c>
      <c r="I5117" s="12">
        <v>7.0</v>
      </c>
      <c r="J5117" s="6" t="s">
        <v>161</v>
      </c>
    </row>
    <row r="5118" ht="22.5" customHeight="1">
      <c r="A5118" s="6" t="s">
        <v>21926</v>
      </c>
      <c r="B5118" s="6" t="s">
        <v>11763</v>
      </c>
      <c r="C5118" s="10">
        <v>46056.0</v>
      </c>
      <c r="D5118" s="6" t="s">
        <v>677</v>
      </c>
      <c r="E5118" s="6" t="s">
        <v>1280</v>
      </c>
      <c r="F5118" s="6" t="s">
        <v>112</v>
      </c>
      <c r="G5118" s="6" t="s">
        <v>254</v>
      </c>
      <c r="H5118" s="10">
        <v>46061.0</v>
      </c>
      <c r="I5118" s="12">
        <v>2.0</v>
      </c>
      <c r="J5118" s="6" t="s">
        <v>161</v>
      </c>
    </row>
    <row r="5119" ht="22.5" customHeight="1">
      <c r="A5119" s="6" t="s">
        <v>21927</v>
      </c>
      <c r="B5119" s="6" t="s">
        <v>11769</v>
      </c>
      <c r="C5119" s="10">
        <v>46076.0</v>
      </c>
      <c r="D5119" s="6" t="s">
        <v>436</v>
      </c>
      <c r="E5119" s="6" t="s">
        <v>566</v>
      </c>
      <c r="F5119" s="6" t="s">
        <v>439</v>
      </c>
      <c r="G5119" s="6" t="s">
        <v>254</v>
      </c>
      <c r="H5119" s="10">
        <v>46083.0</v>
      </c>
      <c r="I5119" s="12">
        <v>11.0</v>
      </c>
      <c r="J5119" s="6" t="s">
        <v>178</v>
      </c>
    </row>
    <row r="5120" ht="22.5" customHeight="1">
      <c r="A5120" s="6" t="s">
        <v>21928</v>
      </c>
      <c r="B5120" s="6" t="s">
        <v>11776</v>
      </c>
      <c r="C5120" s="10">
        <v>46049.0</v>
      </c>
      <c r="D5120" s="6" t="s">
        <v>416</v>
      </c>
      <c r="E5120" s="6" t="s">
        <v>798</v>
      </c>
      <c r="F5120" s="6" t="s">
        <v>112</v>
      </c>
      <c r="G5120" s="6" t="s">
        <v>494</v>
      </c>
      <c r="H5120" s="10">
        <v>46056.0</v>
      </c>
      <c r="I5120" s="12">
        <v>9.0</v>
      </c>
      <c r="J5120" s="6" t="s">
        <v>161</v>
      </c>
    </row>
    <row r="5121" ht="22.5" customHeight="1">
      <c r="A5121" s="6" t="s">
        <v>21929</v>
      </c>
      <c r="B5121" s="6" t="s">
        <v>11776</v>
      </c>
      <c r="C5121" s="10">
        <v>46047.0</v>
      </c>
      <c r="D5121" s="6" t="s">
        <v>416</v>
      </c>
      <c r="E5121" s="6" t="s">
        <v>798</v>
      </c>
      <c r="F5121" s="6" t="s">
        <v>249</v>
      </c>
      <c r="G5121" s="6" t="s">
        <v>452</v>
      </c>
      <c r="H5121" s="10">
        <v>46051.0</v>
      </c>
      <c r="I5121" s="12">
        <v>11.0</v>
      </c>
      <c r="J5121" s="6" t="s">
        <v>161</v>
      </c>
    </row>
    <row r="5122" ht="22.5" customHeight="1">
      <c r="A5122" s="6" t="s">
        <v>21930</v>
      </c>
      <c r="B5122" s="6" t="s">
        <v>11782</v>
      </c>
      <c r="C5122" s="10">
        <v>46059.0</v>
      </c>
      <c r="D5122" s="6" t="s">
        <v>242</v>
      </c>
      <c r="E5122" s="6" t="s">
        <v>1280</v>
      </c>
      <c r="F5122" s="6" t="s">
        <v>249</v>
      </c>
      <c r="G5122" s="6" t="s">
        <v>452</v>
      </c>
      <c r="H5122" s="11" t="s">
        <v>259</v>
      </c>
      <c r="I5122" s="12">
        <v>3.0</v>
      </c>
      <c r="J5122" s="6" t="s">
        <v>178</v>
      </c>
    </row>
    <row r="5123" ht="22.5" customHeight="1">
      <c r="A5123" s="6" t="s">
        <v>21931</v>
      </c>
      <c r="B5123" s="6" t="s">
        <v>11782</v>
      </c>
      <c r="C5123" s="10">
        <v>46056.0</v>
      </c>
      <c r="D5123" s="6" t="s">
        <v>312</v>
      </c>
      <c r="E5123" s="6" t="s">
        <v>618</v>
      </c>
      <c r="F5123" s="6" t="s">
        <v>249</v>
      </c>
      <c r="G5123" s="6" t="s">
        <v>369</v>
      </c>
      <c r="H5123" s="10">
        <v>46061.0</v>
      </c>
      <c r="I5123" s="12">
        <v>5.0</v>
      </c>
      <c r="J5123" s="6" t="s">
        <v>161</v>
      </c>
    </row>
    <row r="5124" ht="22.5" customHeight="1">
      <c r="A5124" s="6" t="s">
        <v>21932</v>
      </c>
      <c r="B5124" s="6" t="s">
        <v>11782</v>
      </c>
      <c r="C5124" s="10">
        <v>46056.0</v>
      </c>
      <c r="D5124" s="6" t="s">
        <v>677</v>
      </c>
      <c r="E5124" s="6" t="s">
        <v>246</v>
      </c>
      <c r="F5124" s="6" t="s">
        <v>249</v>
      </c>
      <c r="G5124" s="6" t="s">
        <v>326</v>
      </c>
      <c r="H5124" s="10">
        <v>46063.0</v>
      </c>
      <c r="I5124" s="12">
        <v>3.0</v>
      </c>
      <c r="J5124" s="6" t="s">
        <v>161</v>
      </c>
    </row>
    <row r="5125" ht="22.5" customHeight="1">
      <c r="A5125" s="6" t="s">
        <v>21933</v>
      </c>
      <c r="B5125" s="6" t="s">
        <v>11787</v>
      </c>
      <c r="C5125" s="10">
        <v>46052.0</v>
      </c>
      <c r="D5125" s="6" t="s">
        <v>436</v>
      </c>
      <c r="E5125" s="6" t="s">
        <v>885</v>
      </c>
      <c r="F5125" s="6" t="s">
        <v>283</v>
      </c>
      <c r="G5125" s="6" t="s">
        <v>477</v>
      </c>
      <c r="H5125" s="10">
        <v>46056.0</v>
      </c>
      <c r="I5125" s="12">
        <v>8.0</v>
      </c>
      <c r="J5125" s="6" t="s">
        <v>178</v>
      </c>
    </row>
    <row r="5126" ht="22.5" customHeight="1">
      <c r="A5126" s="6" t="s">
        <v>21934</v>
      </c>
      <c r="B5126" s="6" t="s">
        <v>11787</v>
      </c>
      <c r="C5126" s="10">
        <v>46054.0</v>
      </c>
      <c r="D5126" s="6" t="s">
        <v>391</v>
      </c>
      <c r="E5126" s="6" t="s">
        <v>1310</v>
      </c>
      <c r="F5126" s="6" t="s">
        <v>112</v>
      </c>
      <c r="G5126" s="6" t="s">
        <v>452</v>
      </c>
      <c r="H5126" s="10">
        <v>46056.0</v>
      </c>
      <c r="I5126" s="12">
        <v>7.0</v>
      </c>
      <c r="J5126" s="6" t="s">
        <v>161</v>
      </c>
    </row>
    <row r="5127" ht="22.5" customHeight="1">
      <c r="A5127" s="6" t="s">
        <v>21935</v>
      </c>
      <c r="B5127" s="6" t="s">
        <v>11793</v>
      </c>
      <c r="C5127" s="10">
        <v>46062.0</v>
      </c>
      <c r="D5127" s="6" t="s">
        <v>242</v>
      </c>
      <c r="E5127" s="6" t="s">
        <v>1626</v>
      </c>
      <c r="F5127" s="6" t="s">
        <v>283</v>
      </c>
      <c r="G5127" s="6" t="s">
        <v>477</v>
      </c>
      <c r="H5127" s="10">
        <v>46068.0</v>
      </c>
      <c r="I5127" s="12">
        <v>4.0</v>
      </c>
      <c r="J5127" s="6" t="s">
        <v>178</v>
      </c>
    </row>
    <row r="5128" ht="22.5" customHeight="1">
      <c r="A5128" s="6" t="s">
        <v>21936</v>
      </c>
      <c r="B5128" s="6" t="s">
        <v>11793</v>
      </c>
      <c r="C5128" s="10">
        <v>46058.0</v>
      </c>
      <c r="D5128" s="6" t="s">
        <v>312</v>
      </c>
      <c r="E5128" s="6" t="s">
        <v>634</v>
      </c>
      <c r="F5128" s="6" t="s">
        <v>439</v>
      </c>
      <c r="G5128" s="6" t="s">
        <v>369</v>
      </c>
      <c r="H5128" s="10">
        <v>46062.0</v>
      </c>
      <c r="I5128" s="12">
        <v>7.0</v>
      </c>
      <c r="J5128" s="6" t="s">
        <v>161</v>
      </c>
    </row>
    <row r="5129" ht="22.5" customHeight="1">
      <c r="A5129" s="6" t="s">
        <v>21937</v>
      </c>
      <c r="B5129" s="6" t="s">
        <v>11793</v>
      </c>
      <c r="C5129" s="10">
        <v>46044.0</v>
      </c>
      <c r="D5129" s="6" t="s">
        <v>289</v>
      </c>
      <c r="E5129" s="6" t="s">
        <v>1741</v>
      </c>
      <c r="F5129" s="6" t="s">
        <v>439</v>
      </c>
      <c r="G5129" s="6" t="s">
        <v>458</v>
      </c>
      <c r="H5129" s="10">
        <v>46050.0</v>
      </c>
      <c r="I5129" s="12">
        <v>8.0</v>
      </c>
      <c r="J5129" s="6" t="s">
        <v>161</v>
      </c>
    </row>
    <row r="5130" ht="22.5" customHeight="1">
      <c r="A5130" s="6" t="s">
        <v>21938</v>
      </c>
      <c r="B5130" s="6" t="s">
        <v>11793</v>
      </c>
      <c r="C5130" s="10">
        <v>46058.0</v>
      </c>
      <c r="D5130" s="6" t="s">
        <v>242</v>
      </c>
      <c r="E5130" s="6" t="s">
        <v>731</v>
      </c>
      <c r="F5130" s="6" t="s">
        <v>249</v>
      </c>
      <c r="G5130" s="6" t="s">
        <v>254</v>
      </c>
      <c r="H5130" s="11" t="s">
        <v>259</v>
      </c>
      <c r="I5130" s="12">
        <v>5.0</v>
      </c>
      <c r="J5130" s="6" t="s">
        <v>178</v>
      </c>
    </row>
    <row r="5131" ht="22.5" customHeight="1">
      <c r="A5131" s="6" t="s">
        <v>21939</v>
      </c>
      <c r="B5131" s="6" t="s">
        <v>11793</v>
      </c>
      <c r="C5131" s="10">
        <v>46057.0</v>
      </c>
      <c r="D5131" s="6" t="s">
        <v>391</v>
      </c>
      <c r="E5131" s="6" t="s">
        <v>833</v>
      </c>
      <c r="F5131" s="6" t="s">
        <v>249</v>
      </c>
      <c r="G5131" s="6" t="s">
        <v>369</v>
      </c>
      <c r="H5131" s="11" t="s">
        <v>259</v>
      </c>
      <c r="I5131" s="12">
        <v>9.0</v>
      </c>
      <c r="J5131" s="6" t="s">
        <v>161</v>
      </c>
    </row>
    <row r="5132" ht="22.5" customHeight="1">
      <c r="A5132" s="6" t="s">
        <v>21940</v>
      </c>
      <c r="B5132" s="6" t="s">
        <v>11800</v>
      </c>
      <c r="C5132" s="10">
        <v>46078.0</v>
      </c>
      <c r="D5132" s="6" t="s">
        <v>242</v>
      </c>
      <c r="E5132" s="6" t="s">
        <v>1310</v>
      </c>
      <c r="F5132" s="6" t="s">
        <v>112</v>
      </c>
      <c r="G5132" s="6" t="s">
        <v>494</v>
      </c>
      <c r="H5132" s="10">
        <v>46082.0</v>
      </c>
      <c r="I5132" s="12">
        <v>5.0</v>
      </c>
      <c r="J5132" s="6" t="s">
        <v>178</v>
      </c>
    </row>
    <row r="5133" ht="22.5" customHeight="1">
      <c r="A5133" s="6" t="s">
        <v>21941</v>
      </c>
      <c r="B5133" s="6" t="s">
        <v>11800</v>
      </c>
      <c r="C5133" s="10">
        <v>46067.0</v>
      </c>
      <c r="D5133" s="6" t="s">
        <v>312</v>
      </c>
      <c r="E5133" s="6" t="s">
        <v>628</v>
      </c>
      <c r="F5133" s="6" t="s">
        <v>112</v>
      </c>
      <c r="G5133" s="6" t="s">
        <v>254</v>
      </c>
      <c r="H5133" s="10">
        <v>46072.0</v>
      </c>
      <c r="I5133" s="12">
        <v>5.0</v>
      </c>
      <c r="J5133" s="6" t="s">
        <v>161</v>
      </c>
    </row>
    <row r="5134" ht="22.5" customHeight="1">
      <c r="A5134" s="6" t="s">
        <v>21942</v>
      </c>
      <c r="B5134" s="6" t="s">
        <v>11800</v>
      </c>
      <c r="C5134" s="10">
        <v>46066.0</v>
      </c>
      <c r="D5134" s="6" t="s">
        <v>391</v>
      </c>
      <c r="E5134" s="6" t="s">
        <v>1035</v>
      </c>
      <c r="F5134" s="6" t="s">
        <v>112</v>
      </c>
      <c r="G5134" s="6" t="s">
        <v>297</v>
      </c>
      <c r="H5134" s="11" t="s">
        <v>259</v>
      </c>
      <c r="I5134" s="12">
        <v>7.0</v>
      </c>
      <c r="J5134" s="6" t="s">
        <v>161</v>
      </c>
    </row>
    <row r="5135" ht="22.5" customHeight="1">
      <c r="A5135" s="6" t="s">
        <v>21943</v>
      </c>
      <c r="B5135" s="6" t="s">
        <v>11800</v>
      </c>
      <c r="C5135" s="10">
        <v>46061.0</v>
      </c>
      <c r="D5135" s="6" t="s">
        <v>416</v>
      </c>
      <c r="E5135" s="6" t="s">
        <v>704</v>
      </c>
      <c r="F5135" s="6" t="s">
        <v>439</v>
      </c>
      <c r="G5135" s="6" t="s">
        <v>494</v>
      </c>
      <c r="H5135" s="10">
        <v>46063.0</v>
      </c>
      <c r="I5135" s="12">
        <v>14.0</v>
      </c>
      <c r="J5135" s="6" t="s">
        <v>161</v>
      </c>
    </row>
    <row r="5136" ht="22.5" customHeight="1">
      <c r="A5136" s="6" t="s">
        <v>21944</v>
      </c>
      <c r="B5136" s="6" t="s">
        <v>11800</v>
      </c>
      <c r="C5136" s="10">
        <v>46080.0</v>
      </c>
      <c r="D5136" s="6" t="s">
        <v>391</v>
      </c>
      <c r="E5136" s="6" t="s">
        <v>1570</v>
      </c>
      <c r="F5136" s="6" t="s">
        <v>112</v>
      </c>
      <c r="G5136" s="6" t="s">
        <v>452</v>
      </c>
      <c r="H5136" s="11" t="s">
        <v>259</v>
      </c>
      <c r="I5136" s="12">
        <v>7.0</v>
      </c>
      <c r="J5136" s="6" t="s">
        <v>161</v>
      </c>
    </row>
    <row r="5137" ht="22.5" customHeight="1">
      <c r="A5137" s="6" t="s">
        <v>21945</v>
      </c>
      <c r="B5137" s="6" t="s">
        <v>11806</v>
      </c>
      <c r="C5137" s="10">
        <v>46048.0</v>
      </c>
      <c r="D5137" s="6" t="s">
        <v>242</v>
      </c>
      <c r="E5137" s="6" t="s">
        <v>833</v>
      </c>
      <c r="F5137" s="6" t="s">
        <v>439</v>
      </c>
      <c r="G5137" s="6" t="s">
        <v>458</v>
      </c>
      <c r="H5137" s="10">
        <v>46049.0</v>
      </c>
      <c r="I5137" s="12">
        <v>5.0</v>
      </c>
      <c r="J5137" s="6" t="s">
        <v>161</v>
      </c>
    </row>
    <row r="5138" ht="22.5" customHeight="1">
      <c r="A5138" s="6" t="s">
        <v>21946</v>
      </c>
      <c r="B5138" s="6" t="s">
        <v>11806</v>
      </c>
      <c r="C5138" s="10">
        <v>46051.0</v>
      </c>
      <c r="D5138" s="6" t="s">
        <v>436</v>
      </c>
      <c r="E5138" s="6" t="s">
        <v>320</v>
      </c>
      <c r="F5138" s="6" t="s">
        <v>439</v>
      </c>
      <c r="G5138" s="6" t="s">
        <v>369</v>
      </c>
      <c r="H5138" s="10">
        <v>46051.0</v>
      </c>
      <c r="I5138" s="12">
        <v>11.0</v>
      </c>
      <c r="J5138" s="6" t="s">
        <v>178</v>
      </c>
    </row>
    <row r="5139" ht="22.5" customHeight="1">
      <c r="A5139" s="6" t="s">
        <v>21947</v>
      </c>
      <c r="B5139" s="6" t="s">
        <v>11806</v>
      </c>
      <c r="C5139" s="10">
        <v>46047.0</v>
      </c>
      <c r="D5139" s="6" t="s">
        <v>391</v>
      </c>
      <c r="E5139" s="6" t="s">
        <v>1741</v>
      </c>
      <c r="F5139" s="6" t="s">
        <v>439</v>
      </c>
      <c r="G5139" s="6" t="s">
        <v>452</v>
      </c>
      <c r="H5139" s="11" t="s">
        <v>259</v>
      </c>
      <c r="I5139" s="12">
        <v>10.0</v>
      </c>
      <c r="J5139" s="6" t="s">
        <v>161</v>
      </c>
    </row>
    <row r="5140" ht="22.5" customHeight="1">
      <c r="A5140" s="6" t="s">
        <v>21948</v>
      </c>
      <c r="B5140" s="6" t="s">
        <v>11813</v>
      </c>
      <c r="C5140" s="10">
        <v>46043.0</v>
      </c>
      <c r="D5140" s="6" t="s">
        <v>312</v>
      </c>
      <c r="E5140" s="6" t="s">
        <v>1296</v>
      </c>
      <c r="F5140" s="6" t="s">
        <v>283</v>
      </c>
      <c r="G5140" s="6" t="s">
        <v>297</v>
      </c>
      <c r="H5140" s="10">
        <v>46050.0</v>
      </c>
      <c r="I5140" s="12">
        <v>5.0</v>
      </c>
      <c r="J5140" s="6" t="s">
        <v>161</v>
      </c>
    </row>
    <row r="5141" ht="22.5" customHeight="1">
      <c r="A5141" s="6" t="s">
        <v>21949</v>
      </c>
      <c r="B5141" s="6" t="s">
        <v>11813</v>
      </c>
      <c r="C5141" s="10">
        <v>46047.0</v>
      </c>
      <c r="D5141" s="6" t="s">
        <v>242</v>
      </c>
      <c r="E5141" s="6" t="s">
        <v>610</v>
      </c>
      <c r="F5141" s="6" t="s">
        <v>283</v>
      </c>
      <c r="G5141" s="6" t="s">
        <v>452</v>
      </c>
      <c r="H5141" s="10">
        <v>46048.0</v>
      </c>
      <c r="I5141" s="12">
        <v>3.0</v>
      </c>
      <c r="J5141" s="6" t="s">
        <v>178</v>
      </c>
    </row>
    <row r="5142" ht="22.5" customHeight="1">
      <c r="A5142" s="6" t="s">
        <v>21950</v>
      </c>
      <c r="B5142" s="6" t="s">
        <v>11813</v>
      </c>
      <c r="C5142" s="10">
        <v>46055.0</v>
      </c>
      <c r="D5142" s="6" t="s">
        <v>416</v>
      </c>
      <c r="E5142" s="6" t="s">
        <v>1070</v>
      </c>
      <c r="F5142" s="6" t="s">
        <v>112</v>
      </c>
      <c r="G5142" s="6" t="s">
        <v>477</v>
      </c>
      <c r="H5142" s="10">
        <v>46058.0</v>
      </c>
      <c r="I5142" s="12">
        <v>12.0</v>
      </c>
      <c r="J5142" s="6" t="s">
        <v>161</v>
      </c>
    </row>
    <row r="5143" ht="22.5" customHeight="1">
      <c r="A5143" s="6" t="s">
        <v>21951</v>
      </c>
      <c r="B5143" s="6" t="s">
        <v>11813</v>
      </c>
      <c r="C5143" s="10">
        <v>46044.0</v>
      </c>
      <c r="D5143" s="6" t="s">
        <v>289</v>
      </c>
      <c r="E5143" s="6" t="s">
        <v>583</v>
      </c>
      <c r="F5143" s="6" t="s">
        <v>112</v>
      </c>
      <c r="G5143" s="6" t="s">
        <v>494</v>
      </c>
      <c r="H5143" s="10">
        <v>46048.0</v>
      </c>
      <c r="I5143" s="12">
        <v>5.0</v>
      </c>
      <c r="J5143" s="6" t="s">
        <v>161</v>
      </c>
    </row>
    <row r="5144" ht="22.5" customHeight="1">
      <c r="A5144" s="6" t="s">
        <v>21952</v>
      </c>
      <c r="B5144" s="6" t="s">
        <v>11819</v>
      </c>
      <c r="C5144" s="10">
        <v>46061.0</v>
      </c>
      <c r="D5144" s="6" t="s">
        <v>289</v>
      </c>
      <c r="E5144" s="6" t="s">
        <v>658</v>
      </c>
      <c r="F5144" s="6" t="s">
        <v>439</v>
      </c>
      <c r="G5144" s="6" t="s">
        <v>458</v>
      </c>
      <c r="H5144" s="10">
        <v>46063.0</v>
      </c>
      <c r="I5144" s="12">
        <v>6.0</v>
      </c>
      <c r="J5144" s="6" t="s">
        <v>161</v>
      </c>
    </row>
    <row r="5145" ht="22.5" customHeight="1">
      <c r="A5145" s="6" t="s">
        <v>21953</v>
      </c>
      <c r="B5145" s="6" t="s">
        <v>11819</v>
      </c>
      <c r="C5145" s="10">
        <v>46054.0</v>
      </c>
      <c r="D5145" s="6" t="s">
        <v>391</v>
      </c>
      <c r="E5145" s="6" t="s">
        <v>320</v>
      </c>
      <c r="F5145" s="6" t="s">
        <v>283</v>
      </c>
      <c r="G5145" s="6" t="s">
        <v>254</v>
      </c>
      <c r="H5145" s="10">
        <v>46057.0</v>
      </c>
      <c r="I5145" s="12">
        <v>8.0</v>
      </c>
      <c r="J5145" s="6" t="s">
        <v>161</v>
      </c>
    </row>
    <row r="5146" ht="22.5" customHeight="1">
      <c r="A5146" s="6" t="s">
        <v>21954</v>
      </c>
      <c r="B5146" s="6" t="s">
        <v>11819</v>
      </c>
      <c r="C5146" s="10">
        <v>46060.0</v>
      </c>
      <c r="D5146" s="6" t="s">
        <v>436</v>
      </c>
      <c r="E5146" s="6" t="s">
        <v>812</v>
      </c>
      <c r="F5146" s="6" t="s">
        <v>249</v>
      </c>
      <c r="G5146" s="6" t="s">
        <v>458</v>
      </c>
      <c r="H5146" s="10">
        <v>46060.0</v>
      </c>
      <c r="I5146" s="12">
        <v>9.0</v>
      </c>
      <c r="J5146" s="6" t="s">
        <v>178</v>
      </c>
    </row>
    <row r="5147" ht="22.5" customHeight="1">
      <c r="A5147" s="6" t="s">
        <v>21955</v>
      </c>
      <c r="B5147" s="6" t="s">
        <v>11819</v>
      </c>
      <c r="C5147" s="10">
        <v>46056.0</v>
      </c>
      <c r="D5147" s="6" t="s">
        <v>391</v>
      </c>
      <c r="E5147" s="6" t="s">
        <v>1280</v>
      </c>
      <c r="F5147" s="6" t="s">
        <v>112</v>
      </c>
      <c r="G5147" s="6" t="s">
        <v>494</v>
      </c>
      <c r="H5147" s="10">
        <v>46062.0</v>
      </c>
      <c r="I5147" s="12">
        <v>11.0</v>
      </c>
      <c r="J5147" s="6" t="s">
        <v>161</v>
      </c>
    </row>
    <row r="5148" ht="22.5" customHeight="1">
      <c r="A5148" s="6" t="s">
        <v>21956</v>
      </c>
      <c r="B5148" s="6" t="s">
        <v>11826</v>
      </c>
      <c r="C5148" s="10">
        <v>46029.0</v>
      </c>
      <c r="D5148" s="6" t="s">
        <v>312</v>
      </c>
      <c r="E5148" s="6" t="s">
        <v>450</v>
      </c>
      <c r="F5148" s="6" t="s">
        <v>439</v>
      </c>
      <c r="G5148" s="6" t="s">
        <v>254</v>
      </c>
      <c r="H5148" s="10">
        <v>46031.0</v>
      </c>
      <c r="I5148" s="12">
        <v>7.0</v>
      </c>
      <c r="J5148" s="6" t="s">
        <v>161</v>
      </c>
    </row>
    <row r="5149" ht="22.5" customHeight="1">
      <c r="A5149" s="6" t="s">
        <v>21957</v>
      </c>
      <c r="B5149" s="6" t="s">
        <v>11832</v>
      </c>
      <c r="C5149" s="10">
        <v>46052.0</v>
      </c>
      <c r="D5149" s="6" t="s">
        <v>242</v>
      </c>
      <c r="E5149" s="6" t="s">
        <v>1055</v>
      </c>
      <c r="F5149" s="6" t="s">
        <v>283</v>
      </c>
      <c r="G5149" s="6" t="s">
        <v>452</v>
      </c>
      <c r="H5149" s="10">
        <v>46052.0</v>
      </c>
      <c r="I5149" s="12">
        <v>4.0</v>
      </c>
      <c r="J5149" s="6" t="s">
        <v>161</v>
      </c>
    </row>
    <row r="5150" ht="22.5" customHeight="1">
      <c r="A5150" s="6" t="s">
        <v>21958</v>
      </c>
      <c r="B5150" s="6" t="s">
        <v>11832</v>
      </c>
      <c r="C5150" s="10">
        <v>46049.0</v>
      </c>
      <c r="D5150" s="6" t="s">
        <v>677</v>
      </c>
      <c r="E5150" s="6" t="s">
        <v>1122</v>
      </c>
      <c r="F5150" s="6" t="s">
        <v>283</v>
      </c>
      <c r="G5150" s="6" t="s">
        <v>452</v>
      </c>
      <c r="H5150" s="11" t="s">
        <v>259</v>
      </c>
      <c r="I5150" s="12">
        <v>2.0</v>
      </c>
      <c r="J5150" s="6" t="s">
        <v>161</v>
      </c>
    </row>
    <row r="5151" ht="22.5" customHeight="1">
      <c r="A5151" s="6" t="s">
        <v>21959</v>
      </c>
      <c r="B5151" s="6" t="s">
        <v>11832</v>
      </c>
      <c r="C5151" s="10">
        <v>46052.0</v>
      </c>
      <c r="D5151" s="6" t="s">
        <v>436</v>
      </c>
      <c r="E5151" s="6" t="s">
        <v>2881</v>
      </c>
      <c r="F5151" s="6" t="s">
        <v>112</v>
      </c>
      <c r="G5151" s="6" t="s">
        <v>326</v>
      </c>
      <c r="H5151" s="10">
        <v>46054.0</v>
      </c>
      <c r="I5151" s="12">
        <v>8.0</v>
      </c>
      <c r="J5151" s="6" t="s">
        <v>178</v>
      </c>
    </row>
    <row r="5152" ht="22.5" customHeight="1">
      <c r="A5152" s="6" t="s">
        <v>21960</v>
      </c>
      <c r="B5152" s="6" t="s">
        <v>11838</v>
      </c>
      <c r="C5152" s="10">
        <v>46075.0</v>
      </c>
      <c r="D5152" s="6" t="s">
        <v>416</v>
      </c>
      <c r="E5152" s="6" t="s">
        <v>1241</v>
      </c>
      <c r="F5152" s="6" t="s">
        <v>112</v>
      </c>
      <c r="G5152" s="6" t="s">
        <v>326</v>
      </c>
      <c r="H5152" s="10">
        <v>46076.0</v>
      </c>
      <c r="I5152" s="12">
        <v>12.0</v>
      </c>
      <c r="J5152" s="6" t="s">
        <v>161</v>
      </c>
    </row>
    <row r="5153" ht="22.5" customHeight="1">
      <c r="A5153" s="6" t="s">
        <v>21961</v>
      </c>
      <c r="B5153" s="6" t="s">
        <v>11838</v>
      </c>
      <c r="C5153" s="10">
        <v>46080.0</v>
      </c>
      <c r="D5153" s="6" t="s">
        <v>677</v>
      </c>
      <c r="E5153" s="6" t="s">
        <v>896</v>
      </c>
      <c r="F5153" s="6" t="s">
        <v>112</v>
      </c>
      <c r="G5153" s="6" t="s">
        <v>297</v>
      </c>
      <c r="H5153" s="10">
        <v>46081.0</v>
      </c>
      <c r="I5153" s="12">
        <v>2.0</v>
      </c>
      <c r="J5153" s="6" t="s">
        <v>161</v>
      </c>
    </row>
    <row r="5154" ht="22.5" customHeight="1">
      <c r="A5154" s="6" t="s">
        <v>21962</v>
      </c>
      <c r="B5154" s="6" t="s">
        <v>11845</v>
      </c>
      <c r="C5154" s="10">
        <v>46055.0</v>
      </c>
      <c r="D5154" s="6" t="s">
        <v>416</v>
      </c>
      <c r="E5154" s="6" t="s">
        <v>628</v>
      </c>
      <c r="F5154" s="6" t="s">
        <v>439</v>
      </c>
      <c r="G5154" s="6" t="s">
        <v>297</v>
      </c>
      <c r="H5154" s="10">
        <v>46057.0</v>
      </c>
      <c r="I5154" s="12">
        <v>8.0</v>
      </c>
      <c r="J5154" s="6" t="s">
        <v>161</v>
      </c>
    </row>
    <row r="5155" ht="22.5" customHeight="1">
      <c r="A5155" s="6" t="s">
        <v>21963</v>
      </c>
      <c r="B5155" s="6" t="s">
        <v>11845</v>
      </c>
      <c r="C5155" s="10">
        <v>46040.0</v>
      </c>
      <c r="D5155" s="6" t="s">
        <v>242</v>
      </c>
      <c r="E5155" s="6" t="s">
        <v>466</v>
      </c>
      <c r="F5155" s="6" t="s">
        <v>249</v>
      </c>
      <c r="G5155" s="6" t="s">
        <v>458</v>
      </c>
      <c r="H5155" s="10">
        <v>46043.0</v>
      </c>
      <c r="I5155" s="12">
        <v>3.0</v>
      </c>
      <c r="J5155" s="6" t="s">
        <v>178</v>
      </c>
    </row>
    <row r="5156" ht="22.5" customHeight="1">
      <c r="A5156" s="6" t="s">
        <v>21964</v>
      </c>
      <c r="B5156" s="6" t="s">
        <v>11851</v>
      </c>
      <c r="C5156" s="10">
        <v>46047.0</v>
      </c>
      <c r="D5156" s="6" t="s">
        <v>677</v>
      </c>
      <c r="E5156" s="6" t="s">
        <v>512</v>
      </c>
      <c r="F5156" s="6" t="s">
        <v>112</v>
      </c>
      <c r="G5156" s="6" t="s">
        <v>326</v>
      </c>
      <c r="H5156" s="10">
        <v>46047.0</v>
      </c>
      <c r="I5156" s="12">
        <v>2.0</v>
      </c>
      <c r="J5156" s="6" t="s">
        <v>161</v>
      </c>
    </row>
    <row r="5157" ht="22.5" customHeight="1">
      <c r="A5157" s="6" t="s">
        <v>21965</v>
      </c>
      <c r="B5157" s="6" t="s">
        <v>11857</v>
      </c>
      <c r="C5157" s="10">
        <v>46042.0</v>
      </c>
      <c r="D5157" s="6" t="s">
        <v>312</v>
      </c>
      <c r="E5157" s="6" t="s">
        <v>1296</v>
      </c>
      <c r="F5157" s="6" t="s">
        <v>249</v>
      </c>
      <c r="G5157" s="6" t="s">
        <v>458</v>
      </c>
      <c r="H5157" s="11" t="s">
        <v>259</v>
      </c>
      <c r="I5157" s="12">
        <v>7.0</v>
      </c>
      <c r="J5157" s="6" t="s">
        <v>161</v>
      </c>
    </row>
    <row r="5158" ht="22.5" customHeight="1">
      <c r="A5158" s="6" t="s">
        <v>21966</v>
      </c>
      <c r="B5158" s="6" t="s">
        <v>11862</v>
      </c>
      <c r="C5158" s="10">
        <v>46025.0</v>
      </c>
      <c r="D5158" s="6" t="s">
        <v>242</v>
      </c>
      <c r="E5158" s="6" t="s">
        <v>1122</v>
      </c>
      <c r="F5158" s="6" t="s">
        <v>112</v>
      </c>
      <c r="G5158" s="6" t="s">
        <v>369</v>
      </c>
      <c r="H5158" s="10">
        <v>46032.0</v>
      </c>
      <c r="I5158" s="12">
        <v>6.0</v>
      </c>
      <c r="J5158" s="6" t="s">
        <v>178</v>
      </c>
    </row>
    <row r="5159" ht="22.5" customHeight="1">
      <c r="A5159" s="6" t="s">
        <v>21967</v>
      </c>
      <c r="B5159" s="6" t="s">
        <v>11869</v>
      </c>
      <c r="C5159" s="10">
        <v>46082.0</v>
      </c>
      <c r="D5159" s="6" t="s">
        <v>312</v>
      </c>
      <c r="E5159" s="6" t="s">
        <v>475</v>
      </c>
      <c r="F5159" s="6" t="s">
        <v>283</v>
      </c>
      <c r="G5159" s="6" t="s">
        <v>494</v>
      </c>
      <c r="H5159" s="10">
        <v>46089.0</v>
      </c>
      <c r="I5159" s="12">
        <v>5.0</v>
      </c>
      <c r="J5159" s="6" t="s">
        <v>161</v>
      </c>
    </row>
    <row r="5160" ht="22.5" customHeight="1">
      <c r="A5160" s="6" t="s">
        <v>21968</v>
      </c>
      <c r="B5160" s="6" t="s">
        <v>11869</v>
      </c>
      <c r="C5160" s="10">
        <v>46067.0</v>
      </c>
      <c r="D5160" s="6" t="s">
        <v>436</v>
      </c>
      <c r="E5160" s="6" t="s">
        <v>1296</v>
      </c>
      <c r="F5160" s="6" t="s">
        <v>112</v>
      </c>
      <c r="G5160" s="6" t="s">
        <v>477</v>
      </c>
      <c r="H5160" s="10">
        <v>46071.0</v>
      </c>
      <c r="I5160" s="12">
        <v>10.0</v>
      </c>
      <c r="J5160" s="6" t="s">
        <v>178</v>
      </c>
    </row>
    <row r="5161" ht="22.5" customHeight="1">
      <c r="A5161" s="6" t="s">
        <v>21969</v>
      </c>
      <c r="B5161" s="6" t="s">
        <v>11869</v>
      </c>
      <c r="C5161" s="10">
        <v>46079.0</v>
      </c>
      <c r="D5161" s="6" t="s">
        <v>436</v>
      </c>
      <c r="E5161" s="6" t="s">
        <v>610</v>
      </c>
      <c r="F5161" s="6" t="s">
        <v>439</v>
      </c>
      <c r="G5161" s="6" t="s">
        <v>458</v>
      </c>
      <c r="H5161" s="10">
        <v>46080.0</v>
      </c>
      <c r="I5161" s="12">
        <v>7.0</v>
      </c>
      <c r="J5161" s="6" t="s">
        <v>161</v>
      </c>
    </row>
    <row r="5162" ht="22.5" customHeight="1">
      <c r="A5162" s="6" t="s">
        <v>21970</v>
      </c>
      <c r="B5162" s="6" t="s">
        <v>11869</v>
      </c>
      <c r="C5162" s="10">
        <v>46070.0</v>
      </c>
      <c r="D5162" s="6" t="s">
        <v>289</v>
      </c>
      <c r="E5162" s="6" t="s">
        <v>812</v>
      </c>
      <c r="F5162" s="6" t="s">
        <v>249</v>
      </c>
      <c r="G5162" s="6" t="s">
        <v>254</v>
      </c>
      <c r="H5162" s="10">
        <v>46073.0</v>
      </c>
      <c r="I5162" s="12">
        <v>5.0</v>
      </c>
      <c r="J5162" s="6" t="s">
        <v>161</v>
      </c>
    </row>
    <row r="5163" ht="22.5" customHeight="1">
      <c r="A5163" s="6" t="s">
        <v>21971</v>
      </c>
      <c r="B5163" s="6" t="s">
        <v>11875</v>
      </c>
      <c r="C5163" s="10">
        <v>46079.0</v>
      </c>
      <c r="D5163" s="6" t="s">
        <v>312</v>
      </c>
      <c r="E5163" s="6" t="s">
        <v>738</v>
      </c>
      <c r="F5163" s="6" t="s">
        <v>112</v>
      </c>
      <c r="G5163" s="6" t="s">
        <v>452</v>
      </c>
      <c r="H5163" s="11" t="s">
        <v>259</v>
      </c>
      <c r="I5163" s="12">
        <v>6.0</v>
      </c>
      <c r="J5163" s="6" t="s">
        <v>161</v>
      </c>
    </row>
    <row r="5164" ht="22.5" customHeight="1">
      <c r="A5164" s="6" t="s">
        <v>21972</v>
      </c>
      <c r="B5164" s="6" t="s">
        <v>11881</v>
      </c>
      <c r="C5164" s="10">
        <v>46080.0</v>
      </c>
      <c r="D5164" s="6" t="s">
        <v>242</v>
      </c>
      <c r="E5164" s="6" t="s">
        <v>1035</v>
      </c>
      <c r="F5164" s="6" t="s">
        <v>112</v>
      </c>
      <c r="G5164" s="6" t="s">
        <v>452</v>
      </c>
      <c r="H5164" s="10">
        <v>46083.0</v>
      </c>
      <c r="I5164" s="12">
        <v>4.0</v>
      </c>
      <c r="J5164" s="6" t="s">
        <v>178</v>
      </c>
    </row>
    <row r="5165" ht="22.5" customHeight="1">
      <c r="A5165" s="6" t="s">
        <v>21973</v>
      </c>
      <c r="B5165" s="6" t="s">
        <v>11881</v>
      </c>
      <c r="C5165" s="10">
        <v>46083.0</v>
      </c>
      <c r="D5165" s="6" t="s">
        <v>436</v>
      </c>
      <c r="E5165" s="6" t="s">
        <v>610</v>
      </c>
      <c r="F5165" s="6" t="s">
        <v>112</v>
      </c>
      <c r="G5165" s="6" t="s">
        <v>326</v>
      </c>
      <c r="H5165" s="10">
        <v>46087.0</v>
      </c>
      <c r="I5165" s="12">
        <v>11.0</v>
      </c>
      <c r="J5165" s="6" t="s">
        <v>178</v>
      </c>
    </row>
    <row r="5166" ht="22.5" customHeight="1">
      <c r="A5166" s="6" t="s">
        <v>21974</v>
      </c>
      <c r="B5166" s="6" t="s">
        <v>11881</v>
      </c>
      <c r="C5166" s="10">
        <v>46086.0</v>
      </c>
      <c r="D5166" s="6" t="s">
        <v>391</v>
      </c>
      <c r="E5166" s="6" t="s">
        <v>833</v>
      </c>
      <c r="F5166" s="6" t="s">
        <v>439</v>
      </c>
      <c r="G5166" s="6" t="s">
        <v>254</v>
      </c>
      <c r="H5166" s="10">
        <v>46088.0</v>
      </c>
      <c r="I5166" s="12">
        <v>6.0</v>
      </c>
      <c r="J5166" s="6" t="s">
        <v>161</v>
      </c>
    </row>
    <row r="5167" ht="22.5" customHeight="1">
      <c r="A5167" s="6" t="s">
        <v>21975</v>
      </c>
      <c r="B5167" s="6" t="s">
        <v>11881</v>
      </c>
      <c r="C5167" s="10">
        <v>46086.0</v>
      </c>
      <c r="D5167" s="6" t="s">
        <v>677</v>
      </c>
      <c r="E5167" s="6" t="s">
        <v>1273</v>
      </c>
      <c r="F5167" s="6" t="s">
        <v>439</v>
      </c>
      <c r="G5167" s="6" t="s">
        <v>254</v>
      </c>
      <c r="H5167" s="10">
        <v>46091.0</v>
      </c>
      <c r="I5167" s="12">
        <v>2.0</v>
      </c>
      <c r="J5167" s="6" t="s">
        <v>161</v>
      </c>
    </row>
    <row r="5168" ht="22.5" customHeight="1">
      <c r="A5168" s="6" t="s">
        <v>21976</v>
      </c>
      <c r="B5168" s="6" t="s">
        <v>11887</v>
      </c>
      <c r="C5168" s="10">
        <v>46068.0</v>
      </c>
      <c r="D5168" s="6" t="s">
        <v>436</v>
      </c>
      <c r="E5168" s="6" t="s">
        <v>1570</v>
      </c>
      <c r="F5168" s="6" t="s">
        <v>283</v>
      </c>
      <c r="G5168" s="6" t="s">
        <v>369</v>
      </c>
      <c r="H5168" s="10">
        <v>46068.0</v>
      </c>
      <c r="I5168" s="12">
        <v>8.0</v>
      </c>
      <c r="J5168" s="6" t="s">
        <v>178</v>
      </c>
    </row>
    <row r="5169" ht="22.5" customHeight="1">
      <c r="A5169" s="6" t="s">
        <v>21977</v>
      </c>
      <c r="B5169" s="6" t="s">
        <v>11887</v>
      </c>
      <c r="C5169" s="10">
        <v>46063.0</v>
      </c>
      <c r="D5169" s="6" t="s">
        <v>289</v>
      </c>
      <c r="E5169" s="6" t="s">
        <v>1070</v>
      </c>
      <c r="F5169" s="6" t="s">
        <v>112</v>
      </c>
      <c r="G5169" s="6" t="s">
        <v>369</v>
      </c>
      <c r="H5169" s="10">
        <v>46069.0</v>
      </c>
      <c r="I5169" s="12">
        <v>5.0</v>
      </c>
      <c r="J5169" s="6" t="s">
        <v>161</v>
      </c>
    </row>
    <row r="5170" ht="22.5" customHeight="1">
      <c r="A5170" s="6" t="s">
        <v>21978</v>
      </c>
      <c r="B5170" s="6" t="s">
        <v>11887</v>
      </c>
      <c r="C5170" s="10">
        <v>46074.0</v>
      </c>
      <c r="D5170" s="6" t="s">
        <v>677</v>
      </c>
      <c r="E5170" s="6" t="s">
        <v>450</v>
      </c>
      <c r="F5170" s="6" t="s">
        <v>439</v>
      </c>
      <c r="G5170" s="6" t="s">
        <v>254</v>
      </c>
      <c r="H5170" s="10">
        <v>46078.0</v>
      </c>
      <c r="I5170" s="12">
        <v>2.0</v>
      </c>
      <c r="J5170" s="6" t="s">
        <v>161</v>
      </c>
    </row>
    <row r="5171" ht="22.5" customHeight="1">
      <c r="A5171" s="6" t="s">
        <v>21979</v>
      </c>
      <c r="B5171" s="6" t="s">
        <v>11887</v>
      </c>
      <c r="C5171" s="10">
        <v>46064.0</v>
      </c>
      <c r="D5171" s="6" t="s">
        <v>289</v>
      </c>
      <c r="E5171" s="6" t="s">
        <v>628</v>
      </c>
      <c r="F5171" s="6" t="s">
        <v>112</v>
      </c>
      <c r="G5171" s="6" t="s">
        <v>369</v>
      </c>
      <c r="H5171" s="11" t="s">
        <v>259</v>
      </c>
      <c r="I5171" s="12">
        <v>9.0</v>
      </c>
      <c r="J5171" s="6" t="s">
        <v>161</v>
      </c>
    </row>
    <row r="5172" ht="22.5" customHeight="1">
      <c r="A5172" s="6" t="s">
        <v>21980</v>
      </c>
      <c r="B5172" s="6" t="s">
        <v>11887</v>
      </c>
      <c r="C5172" s="10">
        <v>46070.0</v>
      </c>
      <c r="D5172" s="6" t="s">
        <v>312</v>
      </c>
      <c r="E5172" s="6" t="s">
        <v>1149</v>
      </c>
      <c r="F5172" s="6" t="s">
        <v>249</v>
      </c>
      <c r="G5172" s="6" t="s">
        <v>458</v>
      </c>
      <c r="H5172" s="11" t="s">
        <v>259</v>
      </c>
      <c r="I5172" s="12">
        <v>7.0</v>
      </c>
      <c r="J5172" s="6" t="s">
        <v>161</v>
      </c>
    </row>
    <row r="5173" ht="22.5" customHeight="1">
      <c r="A5173" s="6" t="s">
        <v>21981</v>
      </c>
      <c r="B5173" s="6" t="s">
        <v>11894</v>
      </c>
      <c r="C5173" s="10">
        <v>46046.0</v>
      </c>
      <c r="D5173" s="6" t="s">
        <v>416</v>
      </c>
      <c r="E5173" s="6" t="s">
        <v>812</v>
      </c>
      <c r="F5173" s="6" t="s">
        <v>283</v>
      </c>
      <c r="G5173" s="6" t="s">
        <v>452</v>
      </c>
      <c r="H5173" s="10">
        <v>46047.0</v>
      </c>
      <c r="I5173" s="12">
        <v>14.0</v>
      </c>
      <c r="J5173" s="6" t="s">
        <v>161</v>
      </c>
    </row>
    <row r="5174" ht="22.5" customHeight="1">
      <c r="A5174" s="6" t="s">
        <v>21982</v>
      </c>
      <c r="B5174" s="6" t="s">
        <v>11901</v>
      </c>
      <c r="C5174" s="10">
        <v>46056.0</v>
      </c>
      <c r="D5174" s="6" t="s">
        <v>312</v>
      </c>
      <c r="E5174" s="6" t="s">
        <v>687</v>
      </c>
      <c r="F5174" s="6" t="s">
        <v>112</v>
      </c>
      <c r="G5174" s="6" t="s">
        <v>477</v>
      </c>
      <c r="H5174" s="10">
        <v>46059.0</v>
      </c>
      <c r="I5174" s="12">
        <v>4.0</v>
      </c>
      <c r="J5174" s="6" t="s">
        <v>161</v>
      </c>
    </row>
    <row r="5175" ht="22.5" customHeight="1">
      <c r="A5175" s="6" t="s">
        <v>21983</v>
      </c>
      <c r="B5175" s="6" t="s">
        <v>11901</v>
      </c>
      <c r="C5175" s="10">
        <v>46050.0</v>
      </c>
      <c r="D5175" s="6" t="s">
        <v>416</v>
      </c>
      <c r="E5175" s="6" t="s">
        <v>833</v>
      </c>
      <c r="F5175" s="6" t="s">
        <v>249</v>
      </c>
      <c r="G5175" s="6" t="s">
        <v>326</v>
      </c>
      <c r="H5175" s="10">
        <v>46053.0</v>
      </c>
      <c r="I5175" s="12">
        <v>8.0</v>
      </c>
      <c r="J5175" s="6" t="s">
        <v>161</v>
      </c>
    </row>
    <row r="5176" ht="22.5" customHeight="1">
      <c r="A5176" s="6" t="s">
        <v>21984</v>
      </c>
      <c r="B5176" s="6" t="s">
        <v>11901</v>
      </c>
      <c r="C5176" s="10">
        <v>46055.0</v>
      </c>
      <c r="D5176" s="6" t="s">
        <v>312</v>
      </c>
      <c r="E5176" s="6" t="s">
        <v>1035</v>
      </c>
      <c r="F5176" s="6" t="s">
        <v>283</v>
      </c>
      <c r="G5176" s="6" t="s">
        <v>452</v>
      </c>
      <c r="H5176" s="10">
        <v>46059.0</v>
      </c>
      <c r="I5176" s="12">
        <v>5.0</v>
      </c>
      <c r="J5176" s="6" t="s">
        <v>161</v>
      </c>
    </row>
    <row r="5177" ht="22.5" customHeight="1">
      <c r="A5177" s="6" t="s">
        <v>21985</v>
      </c>
      <c r="B5177" s="6" t="s">
        <v>11907</v>
      </c>
      <c r="C5177" s="10">
        <v>46065.0</v>
      </c>
      <c r="D5177" s="6" t="s">
        <v>391</v>
      </c>
      <c r="E5177" s="6" t="s">
        <v>583</v>
      </c>
      <c r="F5177" s="6" t="s">
        <v>439</v>
      </c>
      <c r="G5177" s="6" t="s">
        <v>477</v>
      </c>
      <c r="H5177" s="10">
        <v>46067.0</v>
      </c>
      <c r="I5177" s="12">
        <v>7.0</v>
      </c>
      <c r="J5177" s="6" t="s">
        <v>161</v>
      </c>
    </row>
    <row r="5178" ht="22.5" customHeight="1">
      <c r="A5178" s="6" t="s">
        <v>21986</v>
      </c>
      <c r="B5178" s="6" t="s">
        <v>11907</v>
      </c>
      <c r="C5178" s="10">
        <v>46058.0</v>
      </c>
      <c r="D5178" s="6" t="s">
        <v>416</v>
      </c>
      <c r="E5178" s="6" t="s">
        <v>1149</v>
      </c>
      <c r="F5178" s="6" t="s">
        <v>439</v>
      </c>
      <c r="G5178" s="6" t="s">
        <v>477</v>
      </c>
      <c r="H5178" s="11" t="s">
        <v>259</v>
      </c>
      <c r="I5178" s="12">
        <v>12.0</v>
      </c>
      <c r="J5178" s="6" t="s">
        <v>161</v>
      </c>
    </row>
    <row r="5179" ht="22.5" customHeight="1">
      <c r="A5179" s="6" t="s">
        <v>21987</v>
      </c>
      <c r="B5179" s="6" t="s">
        <v>11907</v>
      </c>
      <c r="C5179" s="10">
        <v>46059.0</v>
      </c>
      <c r="D5179" s="6" t="s">
        <v>677</v>
      </c>
      <c r="E5179" s="6" t="s">
        <v>512</v>
      </c>
      <c r="F5179" s="6" t="s">
        <v>249</v>
      </c>
      <c r="G5179" s="6" t="s">
        <v>452</v>
      </c>
      <c r="H5179" s="10">
        <v>46063.0</v>
      </c>
      <c r="I5179" s="12">
        <v>2.0</v>
      </c>
      <c r="J5179" s="6" t="s">
        <v>161</v>
      </c>
    </row>
    <row r="5180" ht="22.5" customHeight="1">
      <c r="A5180" s="6" t="s">
        <v>21988</v>
      </c>
      <c r="B5180" s="6" t="s">
        <v>11907</v>
      </c>
      <c r="C5180" s="10">
        <v>46050.0</v>
      </c>
      <c r="D5180" s="6" t="s">
        <v>289</v>
      </c>
      <c r="E5180" s="6" t="s">
        <v>1700</v>
      </c>
      <c r="F5180" s="6" t="s">
        <v>249</v>
      </c>
      <c r="G5180" s="6" t="s">
        <v>452</v>
      </c>
      <c r="H5180" s="10">
        <v>46055.0</v>
      </c>
      <c r="I5180" s="12">
        <v>7.0</v>
      </c>
      <c r="J5180" s="6" t="s">
        <v>161</v>
      </c>
    </row>
    <row r="5181" ht="22.5" customHeight="1">
      <c r="A5181" s="6" t="s">
        <v>21989</v>
      </c>
      <c r="B5181" s="6" t="s">
        <v>11914</v>
      </c>
      <c r="C5181" s="10">
        <v>46057.0</v>
      </c>
      <c r="D5181" s="6" t="s">
        <v>436</v>
      </c>
      <c r="E5181" s="6" t="s">
        <v>1386</v>
      </c>
      <c r="F5181" s="6" t="s">
        <v>283</v>
      </c>
      <c r="G5181" s="6" t="s">
        <v>369</v>
      </c>
      <c r="H5181" s="10">
        <v>46058.0</v>
      </c>
      <c r="I5181" s="12">
        <v>9.0</v>
      </c>
      <c r="J5181" s="6" t="s">
        <v>178</v>
      </c>
    </row>
    <row r="5182" ht="22.5" customHeight="1">
      <c r="A5182" s="6" t="s">
        <v>21990</v>
      </c>
      <c r="B5182" s="6" t="s">
        <v>11914</v>
      </c>
      <c r="C5182" s="10">
        <v>46068.0</v>
      </c>
      <c r="D5182" s="6" t="s">
        <v>677</v>
      </c>
      <c r="E5182" s="6" t="s">
        <v>450</v>
      </c>
      <c r="F5182" s="6" t="s">
        <v>112</v>
      </c>
      <c r="G5182" s="6" t="s">
        <v>297</v>
      </c>
      <c r="H5182" s="10">
        <v>46074.0</v>
      </c>
      <c r="I5182" s="12">
        <v>4.0</v>
      </c>
      <c r="J5182" s="6" t="s">
        <v>161</v>
      </c>
    </row>
    <row r="5183" ht="22.5" customHeight="1">
      <c r="A5183" s="6" t="s">
        <v>21991</v>
      </c>
      <c r="B5183" s="6" t="s">
        <v>11920</v>
      </c>
      <c r="C5183" s="10">
        <v>46055.0</v>
      </c>
      <c r="D5183" s="6" t="s">
        <v>436</v>
      </c>
      <c r="E5183" s="6" t="s">
        <v>512</v>
      </c>
      <c r="F5183" s="6" t="s">
        <v>112</v>
      </c>
      <c r="G5183" s="6" t="s">
        <v>297</v>
      </c>
      <c r="H5183" s="10">
        <v>46057.0</v>
      </c>
      <c r="I5183" s="12">
        <v>9.0</v>
      </c>
      <c r="J5183" s="6" t="s">
        <v>161</v>
      </c>
    </row>
    <row r="5184" ht="22.5" customHeight="1">
      <c r="A5184" s="6" t="s">
        <v>21992</v>
      </c>
      <c r="B5184" s="6" t="s">
        <v>11920</v>
      </c>
      <c r="C5184" s="10">
        <v>46045.0</v>
      </c>
      <c r="D5184" s="6" t="s">
        <v>416</v>
      </c>
      <c r="E5184" s="6" t="s">
        <v>466</v>
      </c>
      <c r="F5184" s="6" t="s">
        <v>249</v>
      </c>
      <c r="G5184" s="6" t="s">
        <v>452</v>
      </c>
      <c r="H5184" s="10">
        <v>46047.0</v>
      </c>
      <c r="I5184" s="12">
        <v>12.0</v>
      </c>
      <c r="J5184" s="6" t="s">
        <v>161</v>
      </c>
    </row>
    <row r="5185" ht="22.5" customHeight="1">
      <c r="A5185" s="6" t="s">
        <v>21993</v>
      </c>
      <c r="B5185" s="6" t="s">
        <v>11927</v>
      </c>
      <c r="C5185" s="10">
        <v>46032.0</v>
      </c>
      <c r="D5185" s="6" t="s">
        <v>312</v>
      </c>
      <c r="E5185" s="6" t="s">
        <v>863</v>
      </c>
      <c r="F5185" s="6" t="s">
        <v>112</v>
      </c>
      <c r="G5185" s="6" t="s">
        <v>494</v>
      </c>
      <c r="H5185" s="10">
        <v>46034.0</v>
      </c>
      <c r="I5185" s="12">
        <v>7.0</v>
      </c>
      <c r="J5185" s="6" t="s">
        <v>161</v>
      </c>
    </row>
    <row r="5186" ht="22.5" customHeight="1">
      <c r="A5186" s="6" t="s">
        <v>21994</v>
      </c>
      <c r="B5186" s="6" t="s">
        <v>11927</v>
      </c>
      <c r="C5186" s="10">
        <v>46038.0</v>
      </c>
      <c r="D5186" s="6" t="s">
        <v>416</v>
      </c>
      <c r="E5186" s="6" t="s">
        <v>1741</v>
      </c>
      <c r="F5186" s="6" t="s">
        <v>439</v>
      </c>
      <c r="G5186" s="6" t="s">
        <v>477</v>
      </c>
      <c r="H5186" s="10">
        <v>46041.0</v>
      </c>
      <c r="I5186" s="12">
        <v>14.0</v>
      </c>
      <c r="J5186" s="6" t="s">
        <v>161</v>
      </c>
    </row>
    <row r="5187" ht="22.5" customHeight="1">
      <c r="A5187" s="6" t="s">
        <v>21995</v>
      </c>
      <c r="B5187" s="6" t="s">
        <v>11927</v>
      </c>
      <c r="C5187" s="10">
        <v>46041.0</v>
      </c>
      <c r="D5187" s="6" t="s">
        <v>312</v>
      </c>
      <c r="E5187" s="6" t="s">
        <v>450</v>
      </c>
      <c r="F5187" s="6" t="s">
        <v>283</v>
      </c>
      <c r="G5187" s="6" t="s">
        <v>369</v>
      </c>
      <c r="H5187" s="10">
        <v>46047.0</v>
      </c>
      <c r="I5187" s="12">
        <v>7.0</v>
      </c>
      <c r="J5187" s="6" t="s">
        <v>161</v>
      </c>
    </row>
    <row r="5188" ht="22.5" customHeight="1">
      <c r="A5188" s="6" t="s">
        <v>21996</v>
      </c>
      <c r="B5188" s="6" t="s">
        <v>11933</v>
      </c>
      <c r="C5188" s="10">
        <v>46029.0</v>
      </c>
      <c r="D5188" s="6" t="s">
        <v>436</v>
      </c>
      <c r="E5188" s="6" t="s">
        <v>787</v>
      </c>
      <c r="F5188" s="6" t="s">
        <v>439</v>
      </c>
      <c r="G5188" s="6" t="s">
        <v>458</v>
      </c>
      <c r="H5188" s="11" t="s">
        <v>259</v>
      </c>
      <c r="I5188" s="12">
        <v>10.0</v>
      </c>
      <c r="J5188" s="6" t="s">
        <v>178</v>
      </c>
    </row>
    <row r="5189" ht="22.5" customHeight="1">
      <c r="A5189" s="6" t="s">
        <v>21997</v>
      </c>
      <c r="B5189" s="6" t="s">
        <v>11939</v>
      </c>
      <c r="C5189" s="10">
        <v>46047.0</v>
      </c>
      <c r="D5189" s="6" t="s">
        <v>436</v>
      </c>
      <c r="E5189" s="6" t="s">
        <v>1310</v>
      </c>
      <c r="F5189" s="6" t="s">
        <v>112</v>
      </c>
      <c r="G5189" s="6" t="s">
        <v>369</v>
      </c>
      <c r="H5189" s="11" t="s">
        <v>259</v>
      </c>
      <c r="I5189" s="12">
        <v>8.0</v>
      </c>
      <c r="J5189" s="6" t="s">
        <v>178</v>
      </c>
    </row>
    <row r="5190" ht="22.5" customHeight="1">
      <c r="A5190" s="6" t="s">
        <v>21998</v>
      </c>
      <c r="B5190" s="6" t="s">
        <v>11945</v>
      </c>
      <c r="C5190" s="10">
        <v>46070.0</v>
      </c>
      <c r="D5190" s="6" t="s">
        <v>436</v>
      </c>
      <c r="E5190" s="6" t="s">
        <v>1570</v>
      </c>
      <c r="F5190" s="6" t="s">
        <v>439</v>
      </c>
      <c r="G5190" s="6" t="s">
        <v>458</v>
      </c>
      <c r="H5190" s="10">
        <v>46071.0</v>
      </c>
      <c r="I5190" s="12">
        <v>8.0</v>
      </c>
      <c r="J5190" s="6" t="s">
        <v>161</v>
      </c>
    </row>
    <row r="5191" ht="22.5" customHeight="1">
      <c r="A5191" s="6" t="s">
        <v>21999</v>
      </c>
      <c r="B5191" s="6" t="s">
        <v>11945</v>
      </c>
      <c r="C5191" s="10">
        <v>46069.0</v>
      </c>
      <c r="D5191" s="6" t="s">
        <v>312</v>
      </c>
      <c r="E5191" s="6" t="s">
        <v>2365</v>
      </c>
      <c r="F5191" s="6" t="s">
        <v>283</v>
      </c>
      <c r="G5191" s="6" t="s">
        <v>458</v>
      </c>
      <c r="H5191" s="10">
        <v>46075.0</v>
      </c>
      <c r="I5191" s="12">
        <v>4.0</v>
      </c>
      <c r="J5191" s="6" t="s">
        <v>161</v>
      </c>
    </row>
    <row r="5192" ht="22.5" customHeight="1">
      <c r="A5192" s="6" t="s">
        <v>22000</v>
      </c>
      <c r="B5192" s="6" t="s">
        <v>11951</v>
      </c>
      <c r="C5192" s="10">
        <v>46059.0</v>
      </c>
      <c r="D5192" s="6" t="s">
        <v>312</v>
      </c>
      <c r="E5192" s="6" t="s">
        <v>512</v>
      </c>
      <c r="F5192" s="6" t="s">
        <v>283</v>
      </c>
      <c r="G5192" s="6" t="s">
        <v>369</v>
      </c>
      <c r="H5192" s="10">
        <v>46064.0</v>
      </c>
      <c r="I5192" s="12">
        <v>6.0</v>
      </c>
      <c r="J5192" s="6" t="s">
        <v>161</v>
      </c>
    </row>
    <row r="5193" ht="22.5" customHeight="1">
      <c r="A5193" s="6" t="s">
        <v>22001</v>
      </c>
      <c r="B5193" s="6" t="s">
        <v>11951</v>
      </c>
      <c r="C5193" s="10">
        <v>46071.0</v>
      </c>
      <c r="D5193" s="6" t="s">
        <v>416</v>
      </c>
      <c r="E5193" s="6" t="s">
        <v>670</v>
      </c>
      <c r="F5193" s="6" t="s">
        <v>283</v>
      </c>
      <c r="G5193" s="6" t="s">
        <v>494</v>
      </c>
      <c r="H5193" s="10">
        <v>46072.0</v>
      </c>
      <c r="I5193" s="12">
        <v>10.0</v>
      </c>
      <c r="J5193" s="6" t="s">
        <v>161</v>
      </c>
    </row>
    <row r="5194" ht="22.5" customHeight="1">
      <c r="A5194" s="6" t="s">
        <v>22002</v>
      </c>
      <c r="B5194" s="6" t="s">
        <v>11951</v>
      </c>
      <c r="C5194" s="10">
        <v>46063.0</v>
      </c>
      <c r="D5194" s="6" t="s">
        <v>289</v>
      </c>
      <c r="E5194" s="6" t="s">
        <v>1969</v>
      </c>
      <c r="F5194" s="6" t="s">
        <v>439</v>
      </c>
      <c r="G5194" s="6" t="s">
        <v>297</v>
      </c>
      <c r="H5194" s="10">
        <v>46065.0</v>
      </c>
      <c r="I5194" s="12">
        <v>7.0</v>
      </c>
      <c r="J5194" s="6" t="s">
        <v>161</v>
      </c>
    </row>
    <row r="5195" ht="22.5" customHeight="1">
      <c r="A5195" s="6" t="s">
        <v>22003</v>
      </c>
      <c r="B5195" s="6" t="s">
        <v>11951</v>
      </c>
      <c r="C5195" s="10">
        <v>46066.0</v>
      </c>
      <c r="D5195" s="6" t="s">
        <v>416</v>
      </c>
      <c r="E5195" s="6" t="s">
        <v>1149</v>
      </c>
      <c r="F5195" s="6" t="s">
        <v>439</v>
      </c>
      <c r="G5195" s="6" t="s">
        <v>254</v>
      </c>
      <c r="H5195" s="10">
        <v>46067.0</v>
      </c>
      <c r="I5195" s="12">
        <v>14.0</v>
      </c>
      <c r="J5195" s="6" t="s">
        <v>161</v>
      </c>
    </row>
    <row r="5196" ht="22.5" customHeight="1">
      <c r="A5196" s="6" t="s">
        <v>22004</v>
      </c>
      <c r="B5196" s="6" t="s">
        <v>11957</v>
      </c>
      <c r="C5196" s="10">
        <v>46047.0</v>
      </c>
      <c r="D5196" s="6" t="s">
        <v>391</v>
      </c>
      <c r="E5196" s="6" t="s">
        <v>291</v>
      </c>
      <c r="F5196" s="6" t="s">
        <v>112</v>
      </c>
      <c r="G5196" s="6" t="s">
        <v>369</v>
      </c>
      <c r="H5196" s="10">
        <v>46047.0</v>
      </c>
      <c r="I5196" s="12">
        <v>10.0</v>
      </c>
      <c r="J5196" s="6" t="s">
        <v>161</v>
      </c>
    </row>
    <row r="5197" ht="22.5" customHeight="1">
      <c r="A5197" s="6" t="s">
        <v>22005</v>
      </c>
      <c r="B5197" s="6" t="s">
        <v>11963</v>
      </c>
      <c r="C5197" s="10">
        <v>46067.0</v>
      </c>
      <c r="D5197" s="6" t="s">
        <v>677</v>
      </c>
      <c r="E5197" s="6" t="s">
        <v>1600</v>
      </c>
      <c r="F5197" s="6" t="s">
        <v>283</v>
      </c>
      <c r="G5197" s="6" t="s">
        <v>494</v>
      </c>
      <c r="H5197" s="10">
        <v>46068.0</v>
      </c>
      <c r="I5197" s="12">
        <v>2.0</v>
      </c>
      <c r="J5197" s="6" t="s">
        <v>161</v>
      </c>
    </row>
    <row r="5198" ht="22.5" customHeight="1">
      <c r="A5198" s="6" t="s">
        <v>22006</v>
      </c>
      <c r="B5198" s="6" t="s">
        <v>11963</v>
      </c>
      <c r="C5198" s="10">
        <v>46066.0</v>
      </c>
      <c r="D5198" s="6" t="s">
        <v>289</v>
      </c>
      <c r="E5198" s="6" t="s">
        <v>885</v>
      </c>
      <c r="F5198" s="6" t="s">
        <v>249</v>
      </c>
      <c r="G5198" s="6" t="s">
        <v>254</v>
      </c>
      <c r="H5198" s="10">
        <v>46066.0</v>
      </c>
      <c r="I5198" s="12">
        <v>6.0</v>
      </c>
      <c r="J5198" s="6" t="s">
        <v>161</v>
      </c>
    </row>
    <row r="5199" ht="22.5" customHeight="1">
      <c r="A5199" s="6" t="s">
        <v>22007</v>
      </c>
      <c r="B5199" s="6" t="s">
        <v>11963</v>
      </c>
      <c r="C5199" s="10">
        <v>46065.0</v>
      </c>
      <c r="D5199" s="6" t="s">
        <v>289</v>
      </c>
      <c r="E5199" s="6" t="s">
        <v>1035</v>
      </c>
      <c r="F5199" s="6" t="s">
        <v>439</v>
      </c>
      <c r="G5199" s="6" t="s">
        <v>254</v>
      </c>
      <c r="H5199" s="10">
        <v>46071.0</v>
      </c>
      <c r="I5199" s="12">
        <v>8.0</v>
      </c>
      <c r="J5199" s="6" t="s">
        <v>161</v>
      </c>
    </row>
    <row r="5200" ht="22.5" customHeight="1">
      <c r="A5200" s="6" t="s">
        <v>22008</v>
      </c>
      <c r="B5200" s="6" t="s">
        <v>11963</v>
      </c>
      <c r="C5200" s="10">
        <v>46057.0</v>
      </c>
      <c r="D5200" s="6" t="s">
        <v>677</v>
      </c>
      <c r="E5200" s="6" t="s">
        <v>1273</v>
      </c>
      <c r="F5200" s="6" t="s">
        <v>112</v>
      </c>
      <c r="G5200" s="6" t="s">
        <v>477</v>
      </c>
      <c r="H5200" s="10">
        <v>46062.0</v>
      </c>
      <c r="I5200" s="12">
        <v>4.0</v>
      </c>
      <c r="J5200" s="6" t="s">
        <v>161</v>
      </c>
    </row>
    <row r="5201" ht="22.5" customHeight="1">
      <c r="A5201" s="6" t="s">
        <v>22009</v>
      </c>
      <c r="B5201" s="6" t="s">
        <v>11963</v>
      </c>
      <c r="C5201" s="10">
        <v>46070.0</v>
      </c>
      <c r="D5201" s="6" t="s">
        <v>312</v>
      </c>
      <c r="E5201" s="6" t="s">
        <v>1386</v>
      </c>
      <c r="F5201" s="6" t="s">
        <v>439</v>
      </c>
      <c r="G5201" s="6" t="s">
        <v>254</v>
      </c>
      <c r="H5201" s="11" t="s">
        <v>259</v>
      </c>
      <c r="I5201" s="12">
        <v>4.0</v>
      </c>
      <c r="J5201" s="6" t="s">
        <v>161</v>
      </c>
    </row>
    <row r="5202" ht="22.5" customHeight="1">
      <c r="A5202" s="6" t="s">
        <v>22010</v>
      </c>
      <c r="B5202" s="6" t="s">
        <v>11969</v>
      </c>
      <c r="C5202" s="10">
        <v>46057.0</v>
      </c>
      <c r="D5202" s="6" t="s">
        <v>312</v>
      </c>
      <c r="E5202" s="6" t="s">
        <v>417</v>
      </c>
      <c r="F5202" s="6" t="s">
        <v>283</v>
      </c>
      <c r="G5202" s="6" t="s">
        <v>494</v>
      </c>
      <c r="H5202" s="10">
        <v>46062.0</v>
      </c>
      <c r="I5202" s="12">
        <v>5.0</v>
      </c>
      <c r="J5202" s="6" t="s">
        <v>161</v>
      </c>
    </row>
    <row r="5203" ht="22.5" customHeight="1">
      <c r="A5203" s="6" t="s">
        <v>22011</v>
      </c>
      <c r="B5203" s="6" t="s">
        <v>11969</v>
      </c>
      <c r="C5203" s="10">
        <v>46041.0</v>
      </c>
      <c r="D5203" s="6" t="s">
        <v>677</v>
      </c>
      <c r="E5203" s="6" t="s">
        <v>291</v>
      </c>
      <c r="F5203" s="6" t="s">
        <v>112</v>
      </c>
      <c r="G5203" s="6" t="s">
        <v>369</v>
      </c>
      <c r="H5203" s="10">
        <v>46048.0</v>
      </c>
      <c r="I5203" s="12">
        <v>2.0</v>
      </c>
      <c r="J5203" s="6" t="s">
        <v>161</v>
      </c>
    </row>
    <row r="5204" ht="22.5" customHeight="1">
      <c r="A5204" s="6" t="s">
        <v>22012</v>
      </c>
      <c r="B5204" s="6" t="s">
        <v>11969</v>
      </c>
      <c r="C5204" s="10">
        <v>46041.0</v>
      </c>
      <c r="D5204" s="6" t="s">
        <v>416</v>
      </c>
      <c r="E5204" s="6" t="s">
        <v>438</v>
      </c>
      <c r="F5204" s="6" t="s">
        <v>112</v>
      </c>
      <c r="G5204" s="6" t="s">
        <v>452</v>
      </c>
      <c r="H5204" s="10">
        <v>46041.0</v>
      </c>
      <c r="I5204" s="12">
        <v>8.0</v>
      </c>
      <c r="J5204" s="6" t="s">
        <v>161</v>
      </c>
    </row>
    <row r="5205" ht="22.5" customHeight="1">
      <c r="A5205" s="6" t="s">
        <v>22013</v>
      </c>
      <c r="B5205" s="6" t="s">
        <v>11976</v>
      </c>
      <c r="C5205" s="10">
        <v>46038.0</v>
      </c>
      <c r="D5205" s="6" t="s">
        <v>677</v>
      </c>
      <c r="E5205" s="6" t="s">
        <v>1296</v>
      </c>
      <c r="F5205" s="6" t="s">
        <v>439</v>
      </c>
      <c r="G5205" s="6" t="s">
        <v>477</v>
      </c>
      <c r="H5205" s="10">
        <v>46043.0</v>
      </c>
      <c r="I5205" s="12">
        <v>3.0</v>
      </c>
      <c r="J5205" s="6" t="s">
        <v>161</v>
      </c>
    </row>
    <row r="5206" ht="22.5" customHeight="1">
      <c r="A5206" s="6" t="s">
        <v>22014</v>
      </c>
      <c r="B5206" s="6" t="s">
        <v>11982</v>
      </c>
      <c r="C5206" s="10">
        <v>46052.0</v>
      </c>
      <c r="D5206" s="6" t="s">
        <v>289</v>
      </c>
      <c r="E5206" s="6" t="s">
        <v>417</v>
      </c>
      <c r="F5206" s="6" t="s">
        <v>249</v>
      </c>
      <c r="G5206" s="6" t="s">
        <v>458</v>
      </c>
      <c r="H5206" s="10">
        <v>46058.0</v>
      </c>
      <c r="I5206" s="12">
        <v>7.0</v>
      </c>
      <c r="J5206" s="6" t="s">
        <v>161</v>
      </c>
    </row>
    <row r="5207" ht="22.5" customHeight="1">
      <c r="A5207" s="6" t="s">
        <v>22015</v>
      </c>
      <c r="B5207" s="6" t="s">
        <v>11987</v>
      </c>
      <c r="C5207" s="10">
        <v>46067.0</v>
      </c>
      <c r="D5207" s="6" t="s">
        <v>289</v>
      </c>
      <c r="E5207" s="6" t="s">
        <v>1700</v>
      </c>
      <c r="F5207" s="6" t="s">
        <v>112</v>
      </c>
      <c r="G5207" s="6" t="s">
        <v>458</v>
      </c>
      <c r="H5207" s="10">
        <v>46070.0</v>
      </c>
      <c r="I5207" s="12">
        <v>7.0</v>
      </c>
      <c r="J5207" s="6" t="s">
        <v>161</v>
      </c>
    </row>
    <row r="5208" ht="22.5" customHeight="1">
      <c r="A5208" s="6" t="s">
        <v>22016</v>
      </c>
      <c r="B5208" s="6" t="s">
        <v>11987</v>
      </c>
      <c r="C5208" s="10">
        <v>46073.0</v>
      </c>
      <c r="D5208" s="6" t="s">
        <v>416</v>
      </c>
      <c r="E5208" s="6" t="s">
        <v>863</v>
      </c>
      <c r="F5208" s="6" t="s">
        <v>112</v>
      </c>
      <c r="G5208" s="6" t="s">
        <v>477</v>
      </c>
      <c r="H5208" s="10">
        <v>46076.0</v>
      </c>
      <c r="I5208" s="12">
        <v>11.0</v>
      </c>
      <c r="J5208" s="6" t="s">
        <v>161</v>
      </c>
    </row>
    <row r="5209" ht="22.5" customHeight="1">
      <c r="A5209" s="6" t="s">
        <v>22017</v>
      </c>
      <c r="B5209" s="6" t="s">
        <v>11993</v>
      </c>
      <c r="C5209" s="10">
        <v>46058.0</v>
      </c>
      <c r="D5209" s="6" t="s">
        <v>242</v>
      </c>
      <c r="E5209" s="6" t="s">
        <v>1552</v>
      </c>
      <c r="F5209" s="6" t="s">
        <v>249</v>
      </c>
      <c r="G5209" s="6" t="s">
        <v>326</v>
      </c>
      <c r="H5209" s="10">
        <v>46063.0</v>
      </c>
      <c r="I5209" s="12">
        <v>6.0</v>
      </c>
      <c r="J5209" s="6" t="s">
        <v>178</v>
      </c>
    </row>
    <row r="5210" ht="22.5" customHeight="1">
      <c r="A5210" s="6" t="s">
        <v>22018</v>
      </c>
      <c r="B5210" s="6" t="s">
        <v>11993</v>
      </c>
      <c r="C5210" s="10">
        <v>46053.0</v>
      </c>
      <c r="D5210" s="6" t="s">
        <v>677</v>
      </c>
      <c r="E5210" s="6" t="s">
        <v>394</v>
      </c>
      <c r="F5210" s="6" t="s">
        <v>112</v>
      </c>
      <c r="G5210" s="6" t="s">
        <v>477</v>
      </c>
      <c r="H5210" s="10">
        <v>46055.0</v>
      </c>
      <c r="I5210" s="12">
        <v>2.0</v>
      </c>
      <c r="J5210" s="6" t="s">
        <v>161</v>
      </c>
    </row>
    <row r="5211" ht="22.5" customHeight="1">
      <c r="A5211" s="6" t="s">
        <v>22019</v>
      </c>
      <c r="B5211" s="6" t="s">
        <v>11993</v>
      </c>
      <c r="C5211" s="10">
        <v>46067.0</v>
      </c>
      <c r="D5211" s="6" t="s">
        <v>677</v>
      </c>
      <c r="E5211" s="6" t="s">
        <v>1241</v>
      </c>
      <c r="F5211" s="6" t="s">
        <v>283</v>
      </c>
      <c r="G5211" s="6" t="s">
        <v>458</v>
      </c>
      <c r="H5211" s="10">
        <v>46070.0</v>
      </c>
      <c r="I5211" s="12">
        <v>4.0</v>
      </c>
      <c r="J5211" s="6" t="s">
        <v>161</v>
      </c>
    </row>
    <row r="5212" ht="22.5" customHeight="1">
      <c r="A5212" s="6" t="s">
        <v>22020</v>
      </c>
      <c r="B5212" s="6" t="s">
        <v>11993</v>
      </c>
      <c r="C5212" s="10">
        <v>46053.0</v>
      </c>
      <c r="D5212" s="6" t="s">
        <v>312</v>
      </c>
      <c r="E5212" s="6" t="s">
        <v>417</v>
      </c>
      <c r="F5212" s="6" t="s">
        <v>439</v>
      </c>
      <c r="G5212" s="6" t="s">
        <v>254</v>
      </c>
      <c r="H5212" s="10">
        <v>46056.0</v>
      </c>
      <c r="I5212" s="12">
        <v>5.0</v>
      </c>
      <c r="J5212" s="6" t="s">
        <v>161</v>
      </c>
    </row>
    <row r="5213" ht="22.5" customHeight="1">
      <c r="A5213" s="6" t="s">
        <v>22021</v>
      </c>
      <c r="B5213" s="6" t="s">
        <v>11993</v>
      </c>
      <c r="C5213" s="10">
        <v>46058.0</v>
      </c>
      <c r="D5213" s="6" t="s">
        <v>312</v>
      </c>
      <c r="E5213" s="6" t="s">
        <v>1149</v>
      </c>
      <c r="F5213" s="6" t="s">
        <v>439</v>
      </c>
      <c r="G5213" s="6" t="s">
        <v>477</v>
      </c>
      <c r="H5213" s="10">
        <v>46059.0</v>
      </c>
      <c r="I5213" s="12">
        <v>7.0</v>
      </c>
      <c r="J5213" s="6" t="s">
        <v>161</v>
      </c>
    </row>
    <row r="5214" ht="22.5" customHeight="1">
      <c r="A5214" s="6" t="s">
        <v>22022</v>
      </c>
      <c r="B5214" s="6" t="s">
        <v>11999</v>
      </c>
      <c r="C5214" s="10">
        <v>46040.0</v>
      </c>
      <c r="D5214" s="6" t="s">
        <v>289</v>
      </c>
      <c r="E5214" s="6" t="s">
        <v>566</v>
      </c>
      <c r="F5214" s="6" t="s">
        <v>439</v>
      </c>
      <c r="G5214" s="6" t="s">
        <v>369</v>
      </c>
      <c r="H5214" s="10">
        <v>46047.0</v>
      </c>
      <c r="I5214" s="12">
        <v>5.0</v>
      </c>
      <c r="J5214" s="6" t="s">
        <v>161</v>
      </c>
    </row>
    <row r="5215" ht="22.5" customHeight="1">
      <c r="A5215" s="6" t="s">
        <v>22023</v>
      </c>
      <c r="B5215" s="6" t="s">
        <v>11999</v>
      </c>
      <c r="C5215" s="10">
        <v>46037.0</v>
      </c>
      <c r="D5215" s="6" t="s">
        <v>289</v>
      </c>
      <c r="E5215" s="6" t="s">
        <v>704</v>
      </c>
      <c r="F5215" s="6" t="s">
        <v>283</v>
      </c>
      <c r="G5215" s="6" t="s">
        <v>297</v>
      </c>
      <c r="H5215" s="10">
        <v>46039.0</v>
      </c>
      <c r="I5215" s="12">
        <v>6.0</v>
      </c>
      <c r="J5215" s="6" t="s">
        <v>161</v>
      </c>
    </row>
    <row r="5216" ht="22.5" customHeight="1">
      <c r="A5216" s="6" t="s">
        <v>22024</v>
      </c>
      <c r="B5216" s="6" t="s">
        <v>11999</v>
      </c>
      <c r="C5216" s="10">
        <v>46039.0</v>
      </c>
      <c r="D5216" s="6" t="s">
        <v>436</v>
      </c>
      <c r="E5216" s="6" t="s">
        <v>450</v>
      </c>
      <c r="F5216" s="6" t="s">
        <v>439</v>
      </c>
      <c r="G5216" s="6" t="s">
        <v>297</v>
      </c>
      <c r="H5216" s="10">
        <v>46043.0</v>
      </c>
      <c r="I5216" s="12">
        <v>7.0</v>
      </c>
      <c r="J5216" s="6" t="s">
        <v>178</v>
      </c>
    </row>
    <row r="5217" ht="22.5" customHeight="1">
      <c r="A5217" s="6" t="s">
        <v>22025</v>
      </c>
      <c r="B5217" s="6" t="s">
        <v>12004</v>
      </c>
      <c r="C5217" s="10">
        <v>46034.0</v>
      </c>
      <c r="D5217" s="6" t="s">
        <v>416</v>
      </c>
      <c r="E5217" s="6" t="s">
        <v>658</v>
      </c>
      <c r="F5217" s="6" t="s">
        <v>283</v>
      </c>
      <c r="G5217" s="6" t="s">
        <v>297</v>
      </c>
      <c r="H5217" s="10">
        <v>46035.0</v>
      </c>
      <c r="I5217" s="12">
        <v>8.0</v>
      </c>
      <c r="J5217" s="6" t="s">
        <v>161</v>
      </c>
    </row>
    <row r="5218" ht="22.5" customHeight="1">
      <c r="A5218" s="6" t="s">
        <v>22026</v>
      </c>
      <c r="B5218" s="6" t="s">
        <v>12004</v>
      </c>
      <c r="C5218" s="10">
        <v>46043.0</v>
      </c>
      <c r="D5218" s="6" t="s">
        <v>242</v>
      </c>
      <c r="E5218" s="6" t="s">
        <v>1310</v>
      </c>
      <c r="F5218" s="6" t="s">
        <v>283</v>
      </c>
      <c r="G5218" s="6" t="s">
        <v>458</v>
      </c>
      <c r="H5218" s="10">
        <v>46046.0</v>
      </c>
      <c r="I5218" s="12">
        <v>6.0</v>
      </c>
      <c r="J5218" s="6" t="s">
        <v>178</v>
      </c>
    </row>
    <row r="5219" ht="22.5" customHeight="1">
      <c r="A5219" s="6" t="s">
        <v>22027</v>
      </c>
      <c r="B5219" s="6" t="s">
        <v>12004</v>
      </c>
      <c r="C5219" s="10">
        <v>46047.0</v>
      </c>
      <c r="D5219" s="6" t="s">
        <v>436</v>
      </c>
      <c r="E5219" s="6" t="s">
        <v>798</v>
      </c>
      <c r="F5219" s="6" t="s">
        <v>439</v>
      </c>
      <c r="G5219" s="6" t="s">
        <v>369</v>
      </c>
      <c r="H5219" s="11" t="s">
        <v>259</v>
      </c>
      <c r="I5219" s="12">
        <v>11.0</v>
      </c>
      <c r="J5219" s="6" t="s">
        <v>178</v>
      </c>
    </row>
    <row r="5220" ht="22.5" customHeight="1">
      <c r="A5220" s="6" t="s">
        <v>22028</v>
      </c>
      <c r="B5220" s="6" t="s">
        <v>12004</v>
      </c>
      <c r="C5220" s="10">
        <v>46039.0</v>
      </c>
      <c r="D5220" s="6" t="s">
        <v>436</v>
      </c>
      <c r="E5220" s="6" t="s">
        <v>438</v>
      </c>
      <c r="F5220" s="6" t="s">
        <v>249</v>
      </c>
      <c r="G5220" s="6" t="s">
        <v>452</v>
      </c>
      <c r="H5220" s="10">
        <v>46039.0</v>
      </c>
      <c r="I5220" s="12">
        <v>12.0</v>
      </c>
      <c r="J5220" s="6" t="s">
        <v>178</v>
      </c>
    </row>
    <row r="5221" ht="22.5" customHeight="1">
      <c r="A5221" s="6" t="s">
        <v>22029</v>
      </c>
      <c r="B5221" s="6" t="s">
        <v>12004</v>
      </c>
      <c r="C5221" s="10">
        <v>46035.0</v>
      </c>
      <c r="D5221" s="6" t="s">
        <v>436</v>
      </c>
      <c r="E5221" s="6" t="s">
        <v>1296</v>
      </c>
      <c r="F5221" s="6" t="s">
        <v>283</v>
      </c>
      <c r="G5221" s="6" t="s">
        <v>326</v>
      </c>
      <c r="H5221" s="10">
        <v>46039.0</v>
      </c>
      <c r="I5221" s="12">
        <v>9.0</v>
      </c>
      <c r="J5221" s="6" t="s">
        <v>161</v>
      </c>
    </row>
    <row r="5222" ht="22.5" customHeight="1">
      <c r="A5222" s="6" t="s">
        <v>22030</v>
      </c>
      <c r="B5222" s="6" t="s">
        <v>12010</v>
      </c>
      <c r="C5222" s="10">
        <v>46068.0</v>
      </c>
      <c r="D5222" s="6" t="s">
        <v>289</v>
      </c>
      <c r="E5222" s="6" t="s">
        <v>1280</v>
      </c>
      <c r="F5222" s="6" t="s">
        <v>283</v>
      </c>
      <c r="G5222" s="6" t="s">
        <v>494</v>
      </c>
      <c r="H5222" s="11" t="s">
        <v>259</v>
      </c>
      <c r="I5222" s="12">
        <v>6.0</v>
      </c>
      <c r="J5222" s="6" t="s">
        <v>161</v>
      </c>
    </row>
    <row r="5223" ht="22.5" customHeight="1">
      <c r="A5223" s="6" t="s">
        <v>22031</v>
      </c>
      <c r="B5223" s="6" t="s">
        <v>12010</v>
      </c>
      <c r="C5223" s="10">
        <v>46076.0</v>
      </c>
      <c r="D5223" s="6" t="s">
        <v>677</v>
      </c>
      <c r="E5223" s="6" t="s">
        <v>512</v>
      </c>
      <c r="F5223" s="6" t="s">
        <v>112</v>
      </c>
      <c r="G5223" s="6" t="s">
        <v>369</v>
      </c>
      <c r="H5223" s="10">
        <v>46080.0</v>
      </c>
      <c r="I5223" s="12">
        <v>3.0</v>
      </c>
      <c r="J5223" s="6" t="s">
        <v>161</v>
      </c>
    </row>
    <row r="5224" ht="22.5" customHeight="1">
      <c r="A5224" s="6" t="s">
        <v>22032</v>
      </c>
      <c r="B5224" s="6" t="s">
        <v>12010</v>
      </c>
      <c r="C5224" s="10">
        <v>46068.0</v>
      </c>
      <c r="D5224" s="6" t="s">
        <v>242</v>
      </c>
      <c r="E5224" s="6" t="s">
        <v>896</v>
      </c>
      <c r="F5224" s="6" t="s">
        <v>439</v>
      </c>
      <c r="G5224" s="6" t="s">
        <v>477</v>
      </c>
      <c r="H5224" s="10">
        <v>46070.0</v>
      </c>
      <c r="I5224" s="12">
        <v>4.0</v>
      </c>
      <c r="J5224" s="6" t="s">
        <v>178</v>
      </c>
    </row>
    <row r="5225" ht="22.5" customHeight="1">
      <c r="A5225" s="6" t="s">
        <v>22033</v>
      </c>
      <c r="B5225" s="6" t="s">
        <v>12015</v>
      </c>
      <c r="C5225" s="10">
        <v>46051.0</v>
      </c>
      <c r="D5225" s="6" t="s">
        <v>416</v>
      </c>
      <c r="E5225" s="6" t="s">
        <v>1280</v>
      </c>
      <c r="F5225" s="6" t="s">
        <v>283</v>
      </c>
      <c r="G5225" s="6" t="s">
        <v>477</v>
      </c>
      <c r="H5225" s="10">
        <v>46057.0</v>
      </c>
      <c r="I5225" s="12">
        <v>13.0</v>
      </c>
      <c r="J5225" s="6" t="s">
        <v>161</v>
      </c>
    </row>
    <row r="5226" ht="22.5" customHeight="1">
      <c r="A5226" s="6" t="s">
        <v>22034</v>
      </c>
      <c r="B5226" s="6" t="s">
        <v>12015</v>
      </c>
      <c r="C5226" s="10">
        <v>46062.0</v>
      </c>
      <c r="D5226" s="6" t="s">
        <v>416</v>
      </c>
      <c r="E5226" s="6" t="s">
        <v>466</v>
      </c>
      <c r="F5226" s="6" t="s">
        <v>249</v>
      </c>
      <c r="G5226" s="6" t="s">
        <v>326</v>
      </c>
      <c r="H5226" s="10">
        <v>46065.0</v>
      </c>
      <c r="I5226" s="12">
        <v>11.0</v>
      </c>
      <c r="J5226" s="6" t="s">
        <v>161</v>
      </c>
    </row>
    <row r="5227" ht="22.5" customHeight="1">
      <c r="A5227" s="6" t="s">
        <v>22035</v>
      </c>
      <c r="B5227" s="6" t="s">
        <v>12015</v>
      </c>
      <c r="C5227" s="10">
        <v>46061.0</v>
      </c>
      <c r="D5227" s="6" t="s">
        <v>677</v>
      </c>
      <c r="E5227" s="6" t="s">
        <v>731</v>
      </c>
      <c r="F5227" s="6" t="s">
        <v>439</v>
      </c>
      <c r="G5227" s="6" t="s">
        <v>369</v>
      </c>
      <c r="H5227" s="10">
        <v>46067.0</v>
      </c>
      <c r="I5227" s="12">
        <v>3.0</v>
      </c>
      <c r="J5227" s="6" t="s">
        <v>161</v>
      </c>
    </row>
    <row r="5228" ht="22.5" customHeight="1">
      <c r="A5228" s="6" t="s">
        <v>22036</v>
      </c>
      <c r="B5228" s="6" t="s">
        <v>12015</v>
      </c>
      <c r="C5228" s="10">
        <v>46062.0</v>
      </c>
      <c r="D5228" s="6" t="s">
        <v>416</v>
      </c>
      <c r="E5228" s="6" t="s">
        <v>798</v>
      </c>
      <c r="F5228" s="6" t="s">
        <v>283</v>
      </c>
      <c r="G5228" s="6" t="s">
        <v>494</v>
      </c>
      <c r="H5228" s="11" t="s">
        <v>259</v>
      </c>
      <c r="I5228" s="12">
        <v>9.0</v>
      </c>
      <c r="J5228" s="6" t="s">
        <v>161</v>
      </c>
    </row>
    <row r="5229" ht="22.5" customHeight="1">
      <c r="A5229" s="6" t="s">
        <v>22037</v>
      </c>
      <c r="B5229" s="6" t="s">
        <v>12020</v>
      </c>
      <c r="C5229" s="10">
        <v>46076.0</v>
      </c>
      <c r="D5229" s="6" t="s">
        <v>242</v>
      </c>
      <c r="E5229" s="6" t="s">
        <v>798</v>
      </c>
      <c r="F5229" s="6" t="s">
        <v>112</v>
      </c>
      <c r="G5229" s="6" t="s">
        <v>458</v>
      </c>
      <c r="H5229" s="10">
        <v>46077.0</v>
      </c>
      <c r="I5229" s="12">
        <v>4.0</v>
      </c>
      <c r="J5229" s="6" t="s">
        <v>161</v>
      </c>
    </row>
    <row r="5230" ht="22.5" customHeight="1">
      <c r="A5230" s="6" t="s">
        <v>22038</v>
      </c>
      <c r="B5230" s="6" t="s">
        <v>12020</v>
      </c>
      <c r="C5230" s="10">
        <v>46061.0</v>
      </c>
      <c r="D5230" s="6" t="s">
        <v>416</v>
      </c>
      <c r="E5230" s="6" t="s">
        <v>1720</v>
      </c>
      <c r="F5230" s="6" t="s">
        <v>112</v>
      </c>
      <c r="G5230" s="6" t="s">
        <v>458</v>
      </c>
      <c r="H5230" s="10">
        <v>46061.0</v>
      </c>
      <c r="I5230" s="12">
        <v>11.0</v>
      </c>
      <c r="J5230" s="6" t="s">
        <v>161</v>
      </c>
    </row>
    <row r="5231" ht="22.5" customHeight="1">
      <c r="A5231" s="6" t="s">
        <v>22039</v>
      </c>
      <c r="B5231" s="6" t="s">
        <v>12020</v>
      </c>
      <c r="C5231" s="10">
        <v>46067.0</v>
      </c>
      <c r="D5231" s="6" t="s">
        <v>242</v>
      </c>
      <c r="E5231" s="6" t="s">
        <v>512</v>
      </c>
      <c r="F5231" s="6" t="s">
        <v>249</v>
      </c>
      <c r="G5231" s="6" t="s">
        <v>297</v>
      </c>
      <c r="H5231" s="10">
        <v>46074.0</v>
      </c>
      <c r="I5231" s="12">
        <v>4.0</v>
      </c>
      <c r="J5231" s="6" t="s">
        <v>178</v>
      </c>
    </row>
    <row r="5232" ht="22.5" customHeight="1">
      <c r="A5232" s="6" t="s">
        <v>22040</v>
      </c>
      <c r="B5232" s="6" t="s">
        <v>12026</v>
      </c>
      <c r="C5232" s="10">
        <v>46079.0</v>
      </c>
      <c r="D5232" s="6" t="s">
        <v>289</v>
      </c>
      <c r="E5232" s="6" t="s">
        <v>512</v>
      </c>
      <c r="F5232" s="6" t="s">
        <v>283</v>
      </c>
      <c r="G5232" s="6" t="s">
        <v>369</v>
      </c>
      <c r="H5232" s="10">
        <v>46082.0</v>
      </c>
      <c r="I5232" s="12">
        <v>7.0</v>
      </c>
      <c r="J5232" s="6" t="s">
        <v>161</v>
      </c>
    </row>
    <row r="5233" ht="22.5" customHeight="1">
      <c r="A5233" s="6" t="s">
        <v>22041</v>
      </c>
      <c r="B5233" s="6" t="s">
        <v>12026</v>
      </c>
      <c r="C5233" s="10">
        <v>46083.0</v>
      </c>
      <c r="D5233" s="6" t="s">
        <v>242</v>
      </c>
      <c r="E5233" s="6" t="s">
        <v>628</v>
      </c>
      <c r="F5233" s="6" t="s">
        <v>283</v>
      </c>
      <c r="G5233" s="6" t="s">
        <v>494</v>
      </c>
      <c r="H5233" s="11" t="s">
        <v>259</v>
      </c>
      <c r="I5233" s="12">
        <v>3.0</v>
      </c>
      <c r="J5233" s="6" t="s">
        <v>161</v>
      </c>
    </row>
    <row r="5234" ht="22.5" customHeight="1">
      <c r="A5234" s="6" t="s">
        <v>22042</v>
      </c>
      <c r="B5234" s="6" t="s">
        <v>12026</v>
      </c>
      <c r="C5234" s="10">
        <v>46077.0</v>
      </c>
      <c r="D5234" s="6" t="s">
        <v>677</v>
      </c>
      <c r="E5234" s="6" t="s">
        <v>1552</v>
      </c>
      <c r="F5234" s="6" t="s">
        <v>112</v>
      </c>
      <c r="G5234" s="6" t="s">
        <v>494</v>
      </c>
      <c r="H5234" s="10">
        <v>46078.0</v>
      </c>
      <c r="I5234" s="12">
        <v>2.0</v>
      </c>
      <c r="J5234" s="6" t="s">
        <v>161</v>
      </c>
    </row>
    <row r="5235" ht="22.5" customHeight="1">
      <c r="A5235" s="6" t="s">
        <v>22043</v>
      </c>
      <c r="B5235" s="6" t="s">
        <v>12026</v>
      </c>
      <c r="C5235" s="10">
        <v>46074.0</v>
      </c>
      <c r="D5235" s="6" t="s">
        <v>312</v>
      </c>
      <c r="E5235" s="6" t="s">
        <v>394</v>
      </c>
      <c r="F5235" s="6" t="s">
        <v>112</v>
      </c>
      <c r="G5235" s="6" t="s">
        <v>458</v>
      </c>
      <c r="H5235" s="10">
        <v>46076.0</v>
      </c>
      <c r="I5235" s="12">
        <v>4.0</v>
      </c>
      <c r="J5235" s="6" t="s">
        <v>161</v>
      </c>
    </row>
    <row r="5236" ht="22.5" customHeight="1">
      <c r="A5236" s="6" t="s">
        <v>22044</v>
      </c>
      <c r="B5236" s="6" t="s">
        <v>12026</v>
      </c>
      <c r="C5236" s="10">
        <v>46083.0</v>
      </c>
      <c r="D5236" s="6" t="s">
        <v>677</v>
      </c>
      <c r="E5236" s="6" t="s">
        <v>695</v>
      </c>
      <c r="F5236" s="6" t="s">
        <v>249</v>
      </c>
      <c r="G5236" s="6" t="s">
        <v>297</v>
      </c>
      <c r="H5236" s="10">
        <v>46085.0</v>
      </c>
      <c r="I5236" s="12">
        <v>2.0</v>
      </c>
      <c r="J5236" s="6" t="s">
        <v>161</v>
      </c>
    </row>
    <row r="5237" ht="22.5" customHeight="1">
      <c r="A5237" s="6" t="s">
        <v>22045</v>
      </c>
      <c r="B5237" s="6" t="s">
        <v>12031</v>
      </c>
      <c r="C5237" s="10">
        <v>46070.0</v>
      </c>
      <c r="D5237" s="6" t="s">
        <v>416</v>
      </c>
      <c r="E5237" s="6" t="s">
        <v>628</v>
      </c>
      <c r="F5237" s="6" t="s">
        <v>439</v>
      </c>
      <c r="G5237" s="6" t="s">
        <v>326</v>
      </c>
      <c r="H5237" s="10">
        <v>46071.0</v>
      </c>
      <c r="I5237" s="12">
        <v>9.0</v>
      </c>
      <c r="J5237" s="6" t="s">
        <v>161</v>
      </c>
    </row>
    <row r="5238" ht="22.5" customHeight="1">
      <c r="A5238" s="6" t="s">
        <v>22046</v>
      </c>
      <c r="B5238" s="6" t="s">
        <v>12037</v>
      </c>
      <c r="C5238" s="10">
        <v>46069.0</v>
      </c>
      <c r="D5238" s="6" t="s">
        <v>416</v>
      </c>
      <c r="E5238" s="6" t="s">
        <v>583</v>
      </c>
      <c r="F5238" s="6" t="s">
        <v>249</v>
      </c>
      <c r="G5238" s="6" t="s">
        <v>297</v>
      </c>
      <c r="H5238" s="11" t="s">
        <v>259</v>
      </c>
      <c r="I5238" s="12">
        <v>13.0</v>
      </c>
      <c r="J5238" s="6" t="s">
        <v>161</v>
      </c>
    </row>
    <row r="5239" ht="22.5" customHeight="1">
      <c r="A5239" s="6" t="s">
        <v>22047</v>
      </c>
      <c r="B5239" s="6" t="s">
        <v>12037</v>
      </c>
      <c r="C5239" s="10">
        <v>46076.0</v>
      </c>
      <c r="D5239" s="6" t="s">
        <v>416</v>
      </c>
      <c r="E5239" s="6" t="s">
        <v>1280</v>
      </c>
      <c r="F5239" s="6" t="s">
        <v>112</v>
      </c>
      <c r="G5239" s="6" t="s">
        <v>458</v>
      </c>
      <c r="H5239" s="10">
        <v>46078.0</v>
      </c>
      <c r="I5239" s="12">
        <v>11.0</v>
      </c>
      <c r="J5239" s="6" t="s">
        <v>161</v>
      </c>
    </row>
    <row r="5240" ht="22.5" customHeight="1">
      <c r="A5240" s="6" t="s">
        <v>22048</v>
      </c>
      <c r="B5240" s="6" t="s">
        <v>12037</v>
      </c>
      <c r="C5240" s="10">
        <v>46063.0</v>
      </c>
      <c r="D5240" s="6" t="s">
        <v>242</v>
      </c>
      <c r="E5240" s="6" t="s">
        <v>1600</v>
      </c>
      <c r="F5240" s="6" t="s">
        <v>439</v>
      </c>
      <c r="G5240" s="6" t="s">
        <v>369</v>
      </c>
      <c r="H5240" s="11" t="s">
        <v>259</v>
      </c>
      <c r="I5240" s="12">
        <v>6.0</v>
      </c>
      <c r="J5240" s="6" t="s">
        <v>178</v>
      </c>
    </row>
    <row r="5241" ht="22.5" customHeight="1">
      <c r="A5241" s="6" t="s">
        <v>22049</v>
      </c>
      <c r="B5241" s="6" t="s">
        <v>12037</v>
      </c>
      <c r="C5241" s="10">
        <v>46060.0</v>
      </c>
      <c r="D5241" s="6" t="s">
        <v>416</v>
      </c>
      <c r="E5241" s="6" t="s">
        <v>1517</v>
      </c>
      <c r="F5241" s="6" t="s">
        <v>249</v>
      </c>
      <c r="G5241" s="6" t="s">
        <v>458</v>
      </c>
      <c r="H5241" s="10">
        <v>46067.0</v>
      </c>
      <c r="I5241" s="12">
        <v>8.0</v>
      </c>
      <c r="J5241" s="6" t="s">
        <v>161</v>
      </c>
    </row>
    <row r="5242" ht="22.5" customHeight="1">
      <c r="A5242" s="6" t="s">
        <v>22050</v>
      </c>
      <c r="B5242" s="6" t="s">
        <v>12037</v>
      </c>
      <c r="C5242" s="10">
        <v>46059.0</v>
      </c>
      <c r="D5242" s="6" t="s">
        <v>416</v>
      </c>
      <c r="E5242" s="6" t="s">
        <v>1149</v>
      </c>
      <c r="F5242" s="6" t="s">
        <v>249</v>
      </c>
      <c r="G5242" s="6" t="s">
        <v>297</v>
      </c>
      <c r="H5242" s="10">
        <v>46063.0</v>
      </c>
      <c r="I5242" s="12">
        <v>11.0</v>
      </c>
      <c r="J5242" s="6" t="s">
        <v>161</v>
      </c>
    </row>
    <row r="5243" ht="22.5" customHeight="1">
      <c r="A5243" s="6" t="s">
        <v>22051</v>
      </c>
      <c r="B5243" s="6" t="s">
        <v>12043</v>
      </c>
      <c r="C5243" s="10">
        <v>46066.0</v>
      </c>
      <c r="D5243" s="6" t="s">
        <v>436</v>
      </c>
      <c r="E5243" s="6" t="s">
        <v>1546</v>
      </c>
      <c r="F5243" s="6" t="s">
        <v>249</v>
      </c>
      <c r="G5243" s="6" t="s">
        <v>297</v>
      </c>
      <c r="H5243" s="10">
        <v>46071.0</v>
      </c>
      <c r="I5243" s="12">
        <v>9.0</v>
      </c>
      <c r="J5243" s="6" t="s">
        <v>178</v>
      </c>
    </row>
    <row r="5244" ht="22.5" customHeight="1">
      <c r="A5244" s="6" t="s">
        <v>22052</v>
      </c>
      <c r="B5244" s="6" t="s">
        <v>12049</v>
      </c>
      <c r="C5244" s="10">
        <v>46063.0</v>
      </c>
      <c r="D5244" s="6" t="s">
        <v>289</v>
      </c>
      <c r="E5244" s="6" t="s">
        <v>775</v>
      </c>
      <c r="F5244" s="6" t="s">
        <v>283</v>
      </c>
      <c r="G5244" s="6" t="s">
        <v>458</v>
      </c>
      <c r="H5244" s="10">
        <v>46070.0</v>
      </c>
      <c r="I5244" s="12">
        <v>8.0</v>
      </c>
      <c r="J5244" s="6" t="s">
        <v>161</v>
      </c>
    </row>
    <row r="5245" ht="22.5" customHeight="1">
      <c r="A5245" s="6" t="s">
        <v>22053</v>
      </c>
      <c r="B5245" s="6" t="s">
        <v>12055</v>
      </c>
      <c r="C5245" s="10">
        <v>46043.0</v>
      </c>
      <c r="D5245" s="6" t="s">
        <v>416</v>
      </c>
      <c r="E5245" s="6" t="s">
        <v>1517</v>
      </c>
      <c r="F5245" s="6" t="s">
        <v>439</v>
      </c>
      <c r="G5245" s="6" t="s">
        <v>494</v>
      </c>
      <c r="H5245" s="10">
        <v>46045.0</v>
      </c>
      <c r="I5245" s="12">
        <v>12.0</v>
      </c>
      <c r="J5245" s="6" t="s">
        <v>161</v>
      </c>
    </row>
    <row r="5246" ht="22.5" customHeight="1">
      <c r="A5246" s="6" t="s">
        <v>22054</v>
      </c>
      <c r="B5246" s="6" t="s">
        <v>12055</v>
      </c>
      <c r="C5246" s="10">
        <v>46029.0</v>
      </c>
      <c r="D5246" s="6" t="s">
        <v>416</v>
      </c>
      <c r="E5246" s="6" t="s">
        <v>658</v>
      </c>
      <c r="F5246" s="6" t="s">
        <v>249</v>
      </c>
      <c r="G5246" s="6" t="s">
        <v>458</v>
      </c>
      <c r="H5246" s="10">
        <v>46032.0</v>
      </c>
      <c r="I5246" s="12">
        <v>11.0</v>
      </c>
      <c r="J5246" s="6" t="s">
        <v>161</v>
      </c>
    </row>
    <row r="5247" ht="22.5" customHeight="1">
      <c r="A5247" s="6" t="s">
        <v>22055</v>
      </c>
      <c r="B5247" s="6" t="s">
        <v>12055</v>
      </c>
      <c r="C5247" s="10">
        <v>46038.0</v>
      </c>
      <c r="D5247" s="6" t="s">
        <v>677</v>
      </c>
      <c r="E5247" s="6" t="s">
        <v>658</v>
      </c>
      <c r="F5247" s="6" t="s">
        <v>283</v>
      </c>
      <c r="G5247" s="6" t="s">
        <v>297</v>
      </c>
      <c r="H5247" s="10">
        <v>46040.0</v>
      </c>
      <c r="I5247" s="12">
        <v>4.0</v>
      </c>
      <c r="J5247" s="6" t="s">
        <v>161</v>
      </c>
    </row>
    <row r="5248" ht="22.5" customHeight="1">
      <c r="A5248" s="6" t="s">
        <v>22056</v>
      </c>
      <c r="B5248" s="6" t="s">
        <v>12055</v>
      </c>
      <c r="C5248" s="10">
        <v>46040.0</v>
      </c>
      <c r="D5248" s="6" t="s">
        <v>436</v>
      </c>
      <c r="E5248" s="6" t="s">
        <v>833</v>
      </c>
      <c r="F5248" s="6" t="s">
        <v>439</v>
      </c>
      <c r="G5248" s="6" t="s">
        <v>494</v>
      </c>
      <c r="H5248" s="10">
        <v>46044.0</v>
      </c>
      <c r="I5248" s="12">
        <v>12.0</v>
      </c>
      <c r="J5248" s="6" t="s">
        <v>178</v>
      </c>
    </row>
    <row r="5249" ht="22.5" customHeight="1">
      <c r="A5249" s="6" t="s">
        <v>22057</v>
      </c>
      <c r="B5249" s="6" t="s">
        <v>12061</v>
      </c>
      <c r="C5249" s="10">
        <v>46053.0</v>
      </c>
      <c r="D5249" s="6" t="s">
        <v>416</v>
      </c>
      <c r="E5249" s="6" t="s">
        <v>1546</v>
      </c>
      <c r="F5249" s="6" t="s">
        <v>439</v>
      </c>
      <c r="G5249" s="6" t="s">
        <v>254</v>
      </c>
      <c r="H5249" s="11" t="s">
        <v>259</v>
      </c>
      <c r="I5249" s="12">
        <v>9.0</v>
      </c>
      <c r="J5249" s="6" t="s">
        <v>161</v>
      </c>
    </row>
    <row r="5250" ht="22.5" customHeight="1">
      <c r="A5250" s="6" t="s">
        <v>22058</v>
      </c>
      <c r="B5250" s="6" t="s">
        <v>12061</v>
      </c>
      <c r="C5250" s="10">
        <v>46044.0</v>
      </c>
      <c r="D5250" s="6" t="s">
        <v>416</v>
      </c>
      <c r="E5250" s="6" t="s">
        <v>1626</v>
      </c>
      <c r="F5250" s="6" t="s">
        <v>283</v>
      </c>
      <c r="G5250" s="6" t="s">
        <v>458</v>
      </c>
      <c r="H5250" s="10">
        <v>46051.0</v>
      </c>
      <c r="I5250" s="12">
        <v>13.0</v>
      </c>
      <c r="J5250" s="6" t="s">
        <v>161</v>
      </c>
    </row>
    <row r="5251" ht="22.5" customHeight="1">
      <c r="A5251" s="6" t="s">
        <v>22059</v>
      </c>
      <c r="B5251" s="6" t="s">
        <v>12061</v>
      </c>
      <c r="C5251" s="10">
        <v>46056.0</v>
      </c>
      <c r="D5251" s="6" t="s">
        <v>416</v>
      </c>
      <c r="E5251" s="6" t="s">
        <v>1700</v>
      </c>
      <c r="F5251" s="6" t="s">
        <v>112</v>
      </c>
      <c r="G5251" s="6" t="s">
        <v>326</v>
      </c>
      <c r="H5251" s="10">
        <v>46063.0</v>
      </c>
      <c r="I5251" s="12">
        <v>12.0</v>
      </c>
      <c r="J5251" s="6" t="s">
        <v>161</v>
      </c>
    </row>
    <row r="5252" ht="22.5" customHeight="1">
      <c r="A5252" s="6" t="s">
        <v>22060</v>
      </c>
      <c r="B5252" s="6" t="s">
        <v>12067</v>
      </c>
      <c r="C5252" s="10">
        <v>46051.0</v>
      </c>
      <c r="D5252" s="6" t="s">
        <v>436</v>
      </c>
      <c r="E5252" s="6" t="s">
        <v>566</v>
      </c>
      <c r="F5252" s="6" t="s">
        <v>439</v>
      </c>
      <c r="G5252" s="6" t="s">
        <v>458</v>
      </c>
      <c r="H5252" s="10">
        <v>46058.0</v>
      </c>
      <c r="I5252" s="12">
        <v>11.0</v>
      </c>
      <c r="J5252" s="6" t="s">
        <v>178</v>
      </c>
    </row>
    <row r="5253" ht="22.5" customHeight="1">
      <c r="A5253" s="6" t="s">
        <v>22061</v>
      </c>
      <c r="B5253" s="6" t="s">
        <v>12067</v>
      </c>
      <c r="C5253" s="10">
        <v>46041.0</v>
      </c>
      <c r="D5253" s="6" t="s">
        <v>436</v>
      </c>
      <c r="E5253" s="6" t="s">
        <v>1552</v>
      </c>
      <c r="F5253" s="6" t="s">
        <v>249</v>
      </c>
      <c r="G5253" s="6" t="s">
        <v>452</v>
      </c>
      <c r="H5253" s="11" t="s">
        <v>259</v>
      </c>
      <c r="I5253" s="12">
        <v>7.0</v>
      </c>
      <c r="J5253" s="6" t="s">
        <v>161</v>
      </c>
    </row>
    <row r="5254" ht="22.5" customHeight="1">
      <c r="A5254" s="6" t="s">
        <v>22062</v>
      </c>
      <c r="B5254" s="6" t="s">
        <v>12067</v>
      </c>
      <c r="C5254" s="10">
        <v>46045.0</v>
      </c>
      <c r="D5254" s="6" t="s">
        <v>289</v>
      </c>
      <c r="E5254" s="6" t="s">
        <v>394</v>
      </c>
      <c r="F5254" s="6" t="s">
        <v>283</v>
      </c>
      <c r="G5254" s="6" t="s">
        <v>458</v>
      </c>
      <c r="H5254" s="10">
        <v>46046.0</v>
      </c>
      <c r="I5254" s="12">
        <v>5.0</v>
      </c>
      <c r="J5254" s="6" t="s">
        <v>161</v>
      </c>
    </row>
    <row r="5255" ht="22.5" customHeight="1">
      <c r="A5255" s="6" t="s">
        <v>22063</v>
      </c>
      <c r="B5255" s="6" t="s">
        <v>12067</v>
      </c>
      <c r="C5255" s="10">
        <v>46053.0</v>
      </c>
      <c r="D5255" s="6" t="s">
        <v>391</v>
      </c>
      <c r="E5255" s="6" t="s">
        <v>1969</v>
      </c>
      <c r="F5255" s="6" t="s">
        <v>439</v>
      </c>
      <c r="G5255" s="6" t="s">
        <v>477</v>
      </c>
      <c r="H5255" s="10">
        <v>46059.0</v>
      </c>
      <c r="I5255" s="12">
        <v>6.0</v>
      </c>
      <c r="J5255" s="6" t="s">
        <v>161</v>
      </c>
    </row>
    <row r="5256" ht="22.5" customHeight="1">
      <c r="A5256" s="6" t="s">
        <v>22064</v>
      </c>
      <c r="B5256" s="6" t="s">
        <v>12073</v>
      </c>
      <c r="C5256" s="10">
        <v>46081.0</v>
      </c>
      <c r="D5256" s="6" t="s">
        <v>289</v>
      </c>
      <c r="E5256" s="6" t="s">
        <v>695</v>
      </c>
      <c r="F5256" s="6" t="s">
        <v>249</v>
      </c>
      <c r="G5256" s="6" t="s">
        <v>254</v>
      </c>
      <c r="H5256" s="11" t="s">
        <v>259</v>
      </c>
      <c r="I5256" s="12">
        <v>5.0</v>
      </c>
      <c r="J5256" s="6" t="s">
        <v>161</v>
      </c>
    </row>
    <row r="5257" ht="22.5" customHeight="1">
      <c r="A5257" s="6" t="s">
        <v>22065</v>
      </c>
      <c r="B5257" s="6" t="s">
        <v>12073</v>
      </c>
      <c r="C5257" s="10">
        <v>46078.0</v>
      </c>
      <c r="D5257" s="6" t="s">
        <v>677</v>
      </c>
      <c r="E5257" s="6" t="s">
        <v>1720</v>
      </c>
      <c r="F5257" s="6" t="s">
        <v>439</v>
      </c>
      <c r="G5257" s="6" t="s">
        <v>369</v>
      </c>
      <c r="H5257" s="10">
        <v>46082.0</v>
      </c>
      <c r="I5257" s="12">
        <v>4.0</v>
      </c>
      <c r="J5257" s="6" t="s">
        <v>161</v>
      </c>
    </row>
    <row r="5258" ht="22.5" customHeight="1">
      <c r="A5258" s="6" t="s">
        <v>22066</v>
      </c>
      <c r="B5258" s="6" t="s">
        <v>12073</v>
      </c>
      <c r="C5258" s="10">
        <v>46068.0</v>
      </c>
      <c r="D5258" s="6" t="s">
        <v>289</v>
      </c>
      <c r="E5258" s="6" t="s">
        <v>1570</v>
      </c>
      <c r="F5258" s="6" t="s">
        <v>439</v>
      </c>
      <c r="G5258" s="6" t="s">
        <v>369</v>
      </c>
      <c r="H5258" s="10">
        <v>46075.0</v>
      </c>
      <c r="I5258" s="12">
        <v>7.0</v>
      </c>
      <c r="J5258" s="6" t="s">
        <v>161</v>
      </c>
    </row>
    <row r="5259" ht="22.5" customHeight="1">
      <c r="A5259" s="6" t="s">
        <v>22067</v>
      </c>
      <c r="B5259" s="6" t="s">
        <v>12073</v>
      </c>
      <c r="C5259" s="10">
        <v>46073.0</v>
      </c>
      <c r="D5259" s="6" t="s">
        <v>242</v>
      </c>
      <c r="E5259" s="6" t="s">
        <v>1149</v>
      </c>
      <c r="F5259" s="6" t="s">
        <v>439</v>
      </c>
      <c r="G5259" s="6" t="s">
        <v>452</v>
      </c>
      <c r="H5259" s="10">
        <v>46078.0</v>
      </c>
      <c r="I5259" s="12">
        <v>6.0</v>
      </c>
      <c r="J5259" s="6" t="s">
        <v>178</v>
      </c>
    </row>
    <row r="5260" ht="22.5" customHeight="1">
      <c r="A5260" s="6" t="s">
        <v>22068</v>
      </c>
      <c r="B5260" s="6" t="s">
        <v>12080</v>
      </c>
      <c r="C5260" s="10">
        <v>46054.0</v>
      </c>
      <c r="D5260" s="6" t="s">
        <v>289</v>
      </c>
      <c r="E5260" s="6" t="s">
        <v>628</v>
      </c>
      <c r="F5260" s="6" t="s">
        <v>439</v>
      </c>
      <c r="G5260" s="6" t="s">
        <v>326</v>
      </c>
      <c r="H5260" s="10">
        <v>46056.0</v>
      </c>
      <c r="I5260" s="12">
        <v>8.0</v>
      </c>
      <c r="J5260" s="6" t="s">
        <v>161</v>
      </c>
    </row>
    <row r="5261" ht="22.5" customHeight="1">
      <c r="A5261" s="6" t="s">
        <v>22069</v>
      </c>
      <c r="B5261" s="6" t="s">
        <v>12080</v>
      </c>
      <c r="C5261" s="10">
        <v>46065.0</v>
      </c>
      <c r="D5261" s="6" t="s">
        <v>242</v>
      </c>
      <c r="E5261" s="6" t="s">
        <v>417</v>
      </c>
      <c r="F5261" s="6" t="s">
        <v>439</v>
      </c>
      <c r="G5261" s="6" t="s">
        <v>326</v>
      </c>
      <c r="H5261" s="10">
        <v>46070.0</v>
      </c>
      <c r="I5261" s="12">
        <v>4.0</v>
      </c>
      <c r="J5261" s="6" t="s">
        <v>178</v>
      </c>
    </row>
    <row r="5262" ht="22.5" customHeight="1">
      <c r="A5262" s="6" t="s">
        <v>22070</v>
      </c>
      <c r="B5262" s="6" t="s">
        <v>12080</v>
      </c>
      <c r="C5262" s="10">
        <v>46056.0</v>
      </c>
      <c r="D5262" s="6" t="s">
        <v>436</v>
      </c>
      <c r="E5262" s="6" t="s">
        <v>833</v>
      </c>
      <c r="F5262" s="6" t="s">
        <v>249</v>
      </c>
      <c r="G5262" s="6" t="s">
        <v>477</v>
      </c>
      <c r="H5262" s="10">
        <v>46059.0</v>
      </c>
      <c r="I5262" s="12">
        <v>10.0</v>
      </c>
      <c r="J5262" s="6" t="s">
        <v>178</v>
      </c>
    </row>
    <row r="5263" ht="22.5" customHeight="1">
      <c r="A5263" s="6" t="s">
        <v>22071</v>
      </c>
      <c r="B5263" s="6" t="s">
        <v>12080</v>
      </c>
      <c r="C5263" s="10">
        <v>46059.0</v>
      </c>
      <c r="D5263" s="6" t="s">
        <v>416</v>
      </c>
      <c r="E5263" s="6" t="s">
        <v>634</v>
      </c>
      <c r="F5263" s="6" t="s">
        <v>283</v>
      </c>
      <c r="G5263" s="6" t="s">
        <v>326</v>
      </c>
      <c r="H5263" s="10">
        <v>46063.0</v>
      </c>
      <c r="I5263" s="12">
        <v>10.0</v>
      </c>
      <c r="J5263" s="6" t="s">
        <v>161</v>
      </c>
    </row>
    <row r="5264" ht="22.5" customHeight="1">
      <c r="A5264" s="6" t="s">
        <v>22072</v>
      </c>
      <c r="B5264" s="6" t="s">
        <v>12086</v>
      </c>
      <c r="C5264" s="10">
        <v>46050.0</v>
      </c>
      <c r="D5264" s="6" t="s">
        <v>677</v>
      </c>
      <c r="E5264" s="6" t="s">
        <v>1102</v>
      </c>
      <c r="F5264" s="6" t="s">
        <v>112</v>
      </c>
      <c r="G5264" s="6" t="s">
        <v>477</v>
      </c>
      <c r="H5264" s="10">
        <v>46053.0</v>
      </c>
      <c r="I5264" s="12">
        <v>4.0</v>
      </c>
      <c r="J5264" s="6" t="s">
        <v>161</v>
      </c>
    </row>
    <row r="5265" ht="22.5" customHeight="1">
      <c r="A5265" s="6" t="s">
        <v>22073</v>
      </c>
      <c r="B5265" s="6" t="s">
        <v>12091</v>
      </c>
      <c r="C5265" s="10">
        <v>46083.0</v>
      </c>
      <c r="D5265" s="6" t="s">
        <v>289</v>
      </c>
      <c r="E5265" s="6" t="s">
        <v>1149</v>
      </c>
      <c r="F5265" s="6" t="s">
        <v>439</v>
      </c>
      <c r="G5265" s="6" t="s">
        <v>369</v>
      </c>
      <c r="H5265" s="10">
        <v>46089.0</v>
      </c>
      <c r="I5265" s="12">
        <v>10.0</v>
      </c>
      <c r="J5265" s="6" t="s">
        <v>161</v>
      </c>
    </row>
    <row r="5266" ht="22.5" customHeight="1">
      <c r="A5266" s="6" t="s">
        <v>22074</v>
      </c>
      <c r="B5266" s="6" t="s">
        <v>12091</v>
      </c>
      <c r="C5266" s="10">
        <v>46074.0</v>
      </c>
      <c r="D5266" s="6" t="s">
        <v>677</v>
      </c>
      <c r="E5266" s="6" t="s">
        <v>798</v>
      </c>
      <c r="F5266" s="6" t="s">
        <v>439</v>
      </c>
      <c r="G5266" s="6" t="s">
        <v>477</v>
      </c>
      <c r="H5266" s="11" t="s">
        <v>259</v>
      </c>
      <c r="I5266" s="12">
        <v>4.0</v>
      </c>
      <c r="J5266" s="6" t="s">
        <v>161</v>
      </c>
    </row>
    <row r="5267" ht="22.5" customHeight="1">
      <c r="A5267" s="6" t="s">
        <v>22075</v>
      </c>
      <c r="B5267" s="6" t="s">
        <v>12091</v>
      </c>
      <c r="C5267" s="10">
        <v>46074.0</v>
      </c>
      <c r="D5267" s="6" t="s">
        <v>436</v>
      </c>
      <c r="E5267" s="6" t="s">
        <v>1386</v>
      </c>
      <c r="F5267" s="6" t="s">
        <v>249</v>
      </c>
      <c r="G5267" s="6" t="s">
        <v>369</v>
      </c>
      <c r="H5267" s="10">
        <v>46076.0</v>
      </c>
      <c r="I5267" s="12">
        <v>12.0</v>
      </c>
      <c r="J5267" s="6" t="s">
        <v>178</v>
      </c>
    </row>
    <row r="5268" ht="22.5" customHeight="1">
      <c r="A5268" s="6" t="s">
        <v>22076</v>
      </c>
      <c r="B5268" s="6" t="s">
        <v>12091</v>
      </c>
      <c r="C5268" s="10">
        <v>46071.0</v>
      </c>
      <c r="D5268" s="6" t="s">
        <v>677</v>
      </c>
      <c r="E5268" s="6" t="s">
        <v>1055</v>
      </c>
      <c r="F5268" s="6" t="s">
        <v>439</v>
      </c>
      <c r="G5268" s="6" t="s">
        <v>254</v>
      </c>
      <c r="H5268" s="11" t="s">
        <v>259</v>
      </c>
      <c r="I5268" s="12">
        <v>3.0</v>
      </c>
      <c r="J5268" s="6" t="s">
        <v>161</v>
      </c>
    </row>
    <row r="5269" ht="22.5" customHeight="1">
      <c r="A5269" s="6" t="s">
        <v>22077</v>
      </c>
      <c r="B5269" s="6" t="s">
        <v>12097</v>
      </c>
      <c r="C5269" s="10">
        <v>46069.0</v>
      </c>
      <c r="D5269" s="6" t="s">
        <v>289</v>
      </c>
      <c r="E5269" s="6" t="s">
        <v>775</v>
      </c>
      <c r="F5269" s="6" t="s">
        <v>249</v>
      </c>
      <c r="G5269" s="6" t="s">
        <v>494</v>
      </c>
      <c r="H5269" s="10">
        <v>46072.0</v>
      </c>
      <c r="I5269" s="12">
        <v>10.0</v>
      </c>
      <c r="J5269" s="6" t="s">
        <v>161</v>
      </c>
    </row>
    <row r="5270" ht="22.5" customHeight="1">
      <c r="A5270" s="6" t="s">
        <v>22078</v>
      </c>
      <c r="B5270" s="6" t="s">
        <v>12097</v>
      </c>
      <c r="C5270" s="10">
        <v>46061.0</v>
      </c>
      <c r="D5270" s="6" t="s">
        <v>312</v>
      </c>
      <c r="E5270" s="6" t="s">
        <v>833</v>
      </c>
      <c r="F5270" s="6" t="s">
        <v>112</v>
      </c>
      <c r="G5270" s="6" t="s">
        <v>254</v>
      </c>
      <c r="H5270" s="10">
        <v>46065.0</v>
      </c>
      <c r="I5270" s="12">
        <v>5.0</v>
      </c>
      <c r="J5270" s="6" t="s">
        <v>161</v>
      </c>
    </row>
    <row r="5271" ht="22.5" customHeight="1">
      <c r="A5271" s="6" t="s">
        <v>22079</v>
      </c>
      <c r="B5271" s="6" t="s">
        <v>12103</v>
      </c>
      <c r="C5271" s="10">
        <v>46027.0</v>
      </c>
      <c r="D5271" s="6" t="s">
        <v>312</v>
      </c>
      <c r="E5271" s="6" t="s">
        <v>1055</v>
      </c>
      <c r="F5271" s="6" t="s">
        <v>439</v>
      </c>
      <c r="G5271" s="6" t="s">
        <v>458</v>
      </c>
      <c r="H5271" s="10">
        <v>46027.0</v>
      </c>
      <c r="I5271" s="12">
        <v>5.0</v>
      </c>
      <c r="J5271" s="6" t="s">
        <v>161</v>
      </c>
    </row>
    <row r="5272" ht="22.5" customHeight="1">
      <c r="A5272" s="6" t="s">
        <v>22080</v>
      </c>
      <c r="B5272" s="6" t="s">
        <v>12103</v>
      </c>
      <c r="C5272" s="10">
        <v>46040.0</v>
      </c>
      <c r="D5272" s="6" t="s">
        <v>312</v>
      </c>
      <c r="E5272" s="6" t="s">
        <v>1102</v>
      </c>
      <c r="F5272" s="6" t="s">
        <v>112</v>
      </c>
      <c r="G5272" s="6" t="s">
        <v>326</v>
      </c>
      <c r="H5272" s="11" t="s">
        <v>259</v>
      </c>
      <c r="I5272" s="12">
        <v>5.0</v>
      </c>
      <c r="J5272" s="6" t="s">
        <v>161</v>
      </c>
    </row>
    <row r="5273" ht="22.5" customHeight="1">
      <c r="A5273" s="6" t="s">
        <v>22081</v>
      </c>
      <c r="B5273" s="6" t="s">
        <v>12103</v>
      </c>
      <c r="C5273" s="10">
        <v>46032.0</v>
      </c>
      <c r="D5273" s="6" t="s">
        <v>289</v>
      </c>
      <c r="E5273" s="6" t="s">
        <v>1241</v>
      </c>
      <c r="F5273" s="6" t="s">
        <v>249</v>
      </c>
      <c r="G5273" s="6" t="s">
        <v>494</v>
      </c>
      <c r="H5273" s="11" t="s">
        <v>259</v>
      </c>
      <c r="I5273" s="12">
        <v>6.0</v>
      </c>
      <c r="J5273" s="6" t="s">
        <v>161</v>
      </c>
    </row>
    <row r="5274" ht="22.5" customHeight="1">
      <c r="A5274" s="6" t="s">
        <v>22082</v>
      </c>
      <c r="B5274" s="6" t="s">
        <v>12108</v>
      </c>
      <c r="C5274" s="10">
        <v>46083.0</v>
      </c>
      <c r="D5274" s="6" t="s">
        <v>416</v>
      </c>
      <c r="E5274" s="6" t="s">
        <v>812</v>
      </c>
      <c r="F5274" s="6" t="s">
        <v>283</v>
      </c>
      <c r="G5274" s="6" t="s">
        <v>452</v>
      </c>
      <c r="H5274" s="10">
        <v>46083.0</v>
      </c>
      <c r="I5274" s="12">
        <v>11.0</v>
      </c>
      <c r="J5274" s="6" t="s">
        <v>161</v>
      </c>
    </row>
    <row r="5275" ht="22.5" customHeight="1">
      <c r="A5275" s="6" t="s">
        <v>22083</v>
      </c>
      <c r="B5275" s="6" t="s">
        <v>12108</v>
      </c>
      <c r="C5275" s="10">
        <v>46083.0</v>
      </c>
      <c r="D5275" s="6" t="s">
        <v>436</v>
      </c>
      <c r="E5275" s="6" t="s">
        <v>1149</v>
      </c>
      <c r="F5275" s="6" t="s">
        <v>249</v>
      </c>
      <c r="G5275" s="6" t="s">
        <v>477</v>
      </c>
      <c r="H5275" s="10">
        <v>46090.0</v>
      </c>
      <c r="I5275" s="12">
        <v>11.0</v>
      </c>
      <c r="J5275" s="6" t="s">
        <v>178</v>
      </c>
    </row>
    <row r="5276" ht="22.5" customHeight="1">
      <c r="A5276" s="6" t="s">
        <v>22084</v>
      </c>
      <c r="B5276" s="6" t="s">
        <v>12108</v>
      </c>
      <c r="C5276" s="10">
        <v>46071.0</v>
      </c>
      <c r="D5276" s="6" t="s">
        <v>677</v>
      </c>
      <c r="E5276" s="6" t="s">
        <v>670</v>
      </c>
      <c r="F5276" s="6" t="s">
        <v>439</v>
      </c>
      <c r="G5276" s="6" t="s">
        <v>452</v>
      </c>
      <c r="H5276" s="10">
        <v>46078.0</v>
      </c>
      <c r="I5276" s="12">
        <v>3.0</v>
      </c>
      <c r="J5276" s="6" t="s">
        <v>161</v>
      </c>
    </row>
    <row r="5277" ht="22.5" customHeight="1">
      <c r="A5277" s="6" t="s">
        <v>22085</v>
      </c>
      <c r="B5277" s="6" t="s">
        <v>12108</v>
      </c>
      <c r="C5277" s="10">
        <v>46078.0</v>
      </c>
      <c r="D5277" s="6" t="s">
        <v>416</v>
      </c>
      <c r="E5277" s="6" t="s">
        <v>1310</v>
      </c>
      <c r="F5277" s="6" t="s">
        <v>283</v>
      </c>
      <c r="G5277" s="6" t="s">
        <v>369</v>
      </c>
      <c r="H5277" s="10">
        <v>46081.0</v>
      </c>
      <c r="I5277" s="12">
        <v>13.0</v>
      </c>
      <c r="J5277" s="6" t="s">
        <v>161</v>
      </c>
    </row>
    <row r="5278" ht="22.5" customHeight="1">
      <c r="A5278" s="6" t="s">
        <v>22086</v>
      </c>
      <c r="B5278" s="6" t="s">
        <v>12114</v>
      </c>
      <c r="C5278" s="10">
        <v>46062.0</v>
      </c>
      <c r="D5278" s="6" t="s">
        <v>242</v>
      </c>
      <c r="E5278" s="6" t="s">
        <v>798</v>
      </c>
      <c r="F5278" s="6" t="s">
        <v>249</v>
      </c>
      <c r="G5278" s="6" t="s">
        <v>458</v>
      </c>
      <c r="H5278" s="11" t="s">
        <v>259</v>
      </c>
      <c r="I5278" s="12">
        <v>6.0</v>
      </c>
      <c r="J5278" s="6" t="s">
        <v>161</v>
      </c>
    </row>
    <row r="5279" ht="22.5" customHeight="1">
      <c r="A5279" s="6" t="s">
        <v>22087</v>
      </c>
      <c r="B5279" s="6" t="s">
        <v>12120</v>
      </c>
      <c r="C5279" s="10">
        <v>46071.0</v>
      </c>
      <c r="D5279" s="6" t="s">
        <v>436</v>
      </c>
      <c r="E5279" s="6" t="s">
        <v>2365</v>
      </c>
      <c r="F5279" s="6" t="s">
        <v>283</v>
      </c>
      <c r="G5279" s="6" t="s">
        <v>452</v>
      </c>
      <c r="H5279" s="10">
        <v>46073.0</v>
      </c>
      <c r="I5279" s="12">
        <v>9.0</v>
      </c>
      <c r="J5279" s="6" t="s">
        <v>178</v>
      </c>
    </row>
    <row r="5280" ht="22.5" customHeight="1">
      <c r="A5280" s="6" t="s">
        <v>22088</v>
      </c>
      <c r="B5280" s="6" t="s">
        <v>12120</v>
      </c>
      <c r="C5280" s="10">
        <v>46070.0</v>
      </c>
      <c r="D5280" s="6" t="s">
        <v>416</v>
      </c>
      <c r="E5280" s="6" t="s">
        <v>1149</v>
      </c>
      <c r="F5280" s="6" t="s">
        <v>249</v>
      </c>
      <c r="G5280" s="6" t="s">
        <v>254</v>
      </c>
      <c r="H5280" s="10">
        <v>46075.0</v>
      </c>
      <c r="I5280" s="12">
        <v>13.0</v>
      </c>
      <c r="J5280" s="6" t="s">
        <v>161</v>
      </c>
    </row>
    <row r="5281" ht="22.5" customHeight="1">
      <c r="A5281" s="6" t="s">
        <v>22089</v>
      </c>
      <c r="B5281" s="6" t="s">
        <v>12120</v>
      </c>
      <c r="C5281" s="10">
        <v>46067.0</v>
      </c>
      <c r="D5281" s="6" t="s">
        <v>289</v>
      </c>
      <c r="E5281" s="6" t="s">
        <v>885</v>
      </c>
      <c r="F5281" s="6" t="s">
        <v>249</v>
      </c>
      <c r="G5281" s="6" t="s">
        <v>369</v>
      </c>
      <c r="H5281" s="10">
        <v>46067.0</v>
      </c>
      <c r="I5281" s="12">
        <v>8.0</v>
      </c>
      <c r="J5281" s="6" t="s">
        <v>161</v>
      </c>
    </row>
    <row r="5282" ht="22.5" customHeight="1">
      <c r="A5282" s="6" t="s">
        <v>22090</v>
      </c>
      <c r="B5282" s="6" t="s">
        <v>12120</v>
      </c>
      <c r="C5282" s="10">
        <v>46058.0</v>
      </c>
      <c r="D5282" s="6" t="s">
        <v>242</v>
      </c>
      <c r="E5282" s="6" t="s">
        <v>291</v>
      </c>
      <c r="F5282" s="6" t="s">
        <v>439</v>
      </c>
      <c r="G5282" s="6" t="s">
        <v>458</v>
      </c>
      <c r="H5282" s="11" t="s">
        <v>259</v>
      </c>
      <c r="I5282" s="12">
        <v>6.0</v>
      </c>
      <c r="J5282" s="6" t="s">
        <v>178</v>
      </c>
    </row>
    <row r="5283" ht="22.5" customHeight="1">
      <c r="A5283" s="6" t="s">
        <v>22091</v>
      </c>
      <c r="B5283" s="6" t="s">
        <v>12125</v>
      </c>
      <c r="C5283" s="10">
        <v>46071.0</v>
      </c>
      <c r="D5283" s="6" t="s">
        <v>242</v>
      </c>
      <c r="E5283" s="6" t="s">
        <v>475</v>
      </c>
      <c r="F5283" s="6" t="s">
        <v>283</v>
      </c>
      <c r="G5283" s="6" t="s">
        <v>254</v>
      </c>
      <c r="H5283" s="10">
        <v>46072.0</v>
      </c>
      <c r="I5283" s="12">
        <v>4.0</v>
      </c>
      <c r="J5283" s="6" t="s">
        <v>178</v>
      </c>
    </row>
    <row r="5284" ht="22.5" customHeight="1">
      <c r="A5284" s="6" t="s">
        <v>22092</v>
      </c>
      <c r="B5284" s="6" t="s">
        <v>12125</v>
      </c>
      <c r="C5284" s="10">
        <v>46080.0</v>
      </c>
      <c r="D5284" s="6" t="s">
        <v>289</v>
      </c>
      <c r="E5284" s="6" t="s">
        <v>716</v>
      </c>
      <c r="F5284" s="6" t="s">
        <v>283</v>
      </c>
      <c r="G5284" s="6" t="s">
        <v>369</v>
      </c>
      <c r="H5284" s="10">
        <v>46087.0</v>
      </c>
      <c r="I5284" s="12">
        <v>10.0</v>
      </c>
      <c r="J5284" s="6" t="s">
        <v>161</v>
      </c>
    </row>
    <row r="5285" ht="22.5" customHeight="1">
      <c r="A5285" s="6" t="s">
        <v>22093</v>
      </c>
      <c r="B5285" s="6" t="s">
        <v>12125</v>
      </c>
      <c r="C5285" s="10">
        <v>46074.0</v>
      </c>
      <c r="D5285" s="6" t="s">
        <v>436</v>
      </c>
      <c r="E5285" s="6" t="s">
        <v>695</v>
      </c>
      <c r="F5285" s="6" t="s">
        <v>439</v>
      </c>
      <c r="G5285" s="6" t="s">
        <v>297</v>
      </c>
      <c r="H5285" s="10">
        <v>46080.0</v>
      </c>
      <c r="I5285" s="12">
        <v>8.0</v>
      </c>
      <c r="J5285" s="6" t="s">
        <v>178</v>
      </c>
    </row>
    <row r="5286" ht="22.5" customHeight="1">
      <c r="A5286" s="6" t="s">
        <v>22094</v>
      </c>
      <c r="B5286" s="6" t="s">
        <v>12131</v>
      </c>
      <c r="C5286" s="10">
        <v>46053.0</v>
      </c>
      <c r="D5286" s="6" t="s">
        <v>677</v>
      </c>
      <c r="E5286" s="6" t="s">
        <v>1546</v>
      </c>
      <c r="F5286" s="6" t="s">
        <v>112</v>
      </c>
      <c r="G5286" s="6" t="s">
        <v>326</v>
      </c>
      <c r="H5286" s="10">
        <v>46053.0</v>
      </c>
      <c r="I5286" s="12">
        <v>3.0</v>
      </c>
      <c r="J5286" s="6" t="s">
        <v>161</v>
      </c>
    </row>
    <row r="5287" ht="22.5" customHeight="1">
      <c r="A5287" s="6" t="s">
        <v>22095</v>
      </c>
      <c r="B5287" s="6" t="s">
        <v>12137</v>
      </c>
      <c r="C5287" s="10">
        <v>46041.0</v>
      </c>
      <c r="D5287" s="6" t="s">
        <v>289</v>
      </c>
      <c r="E5287" s="6" t="s">
        <v>1273</v>
      </c>
      <c r="F5287" s="6" t="s">
        <v>112</v>
      </c>
      <c r="G5287" s="6" t="s">
        <v>369</v>
      </c>
      <c r="H5287" s="10">
        <v>46047.0</v>
      </c>
      <c r="I5287" s="12">
        <v>9.0</v>
      </c>
      <c r="J5287" s="6" t="s">
        <v>161</v>
      </c>
    </row>
    <row r="5288" ht="22.5" customHeight="1">
      <c r="A5288" s="6" t="s">
        <v>22096</v>
      </c>
      <c r="B5288" s="6" t="s">
        <v>12137</v>
      </c>
      <c r="C5288" s="10">
        <v>46036.0</v>
      </c>
      <c r="D5288" s="6" t="s">
        <v>312</v>
      </c>
      <c r="E5288" s="6" t="s">
        <v>833</v>
      </c>
      <c r="F5288" s="6" t="s">
        <v>112</v>
      </c>
      <c r="G5288" s="6" t="s">
        <v>458</v>
      </c>
      <c r="H5288" s="10">
        <v>46043.0</v>
      </c>
      <c r="I5288" s="12">
        <v>4.0</v>
      </c>
      <c r="J5288" s="6" t="s">
        <v>161</v>
      </c>
    </row>
    <row r="5289" ht="22.5" customHeight="1">
      <c r="A5289" s="6" t="s">
        <v>22097</v>
      </c>
      <c r="B5289" s="6" t="s">
        <v>12137</v>
      </c>
      <c r="C5289" s="10">
        <v>46049.0</v>
      </c>
      <c r="D5289" s="6" t="s">
        <v>391</v>
      </c>
      <c r="E5289" s="6" t="s">
        <v>896</v>
      </c>
      <c r="F5289" s="6" t="s">
        <v>249</v>
      </c>
      <c r="G5289" s="6" t="s">
        <v>369</v>
      </c>
      <c r="H5289" s="10">
        <v>46052.0</v>
      </c>
      <c r="I5289" s="12">
        <v>9.0</v>
      </c>
      <c r="J5289" s="6" t="s">
        <v>161</v>
      </c>
    </row>
    <row r="5290" ht="22.5" customHeight="1">
      <c r="A5290" s="6" t="s">
        <v>22098</v>
      </c>
      <c r="B5290" s="6" t="s">
        <v>12137</v>
      </c>
      <c r="C5290" s="10">
        <v>46054.0</v>
      </c>
      <c r="D5290" s="6" t="s">
        <v>677</v>
      </c>
      <c r="E5290" s="6" t="s">
        <v>1570</v>
      </c>
      <c r="F5290" s="6" t="s">
        <v>112</v>
      </c>
      <c r="G5290" s="6" t="s">
        <v>369</v>
      </c>
      <c r="H5290" s="10">
        <v>46056.0</v>
      </c>
      <c r="I5290" s="12">
        <v>2.0</v>
      </c>
      <c r="J5290" s="6" t="s">
        <v>161</v>
      </c>
    </row>
    <row r="5291" ht="22.5" customHeight="1">
      <c r="A5291" s="6" t="s">
        <v>22099</v>
      </c>
      <c r="B5291" s="6" t="s">
        <v>12143</v>
      </c>
      <c r="C5291" s="10">
        <v>46079.0</v>
      </c>
      <c r="D5291" s="6" t="s">
        <v>677</v>
      </c>
      <c r="E5291" s="6" t="s">
        <v>2881</v>
      </c>
      <c r="F5291" s="6" t="s">
        <v>439</v>
      </c>
      <c r="G5291" s="6" t="s">
        <v>369</v>
      </c>
      <c r="H5291" s="11" t="s">
        <v>259</v>
      </c>
      <c r="I5291" s="12">
        <v>2.0</v>
      </c>
      <c r="J5291" s="6" t="s">
        <v>161</v>
      </c>
    </row>
    <row r="5292" ht="22.5" customHeight="1">
      <c r="A5292" s="6" t="s">
        <v>22100</v>
      </c>
      <c r="B5292" s="6" t="s">
        <v>12143</v>
      </c>
      <c r="C5292" s="10">
        <v>46064.0</v>
      </c>
      <c r="D5292" s="6" t="s">
        <v>436</v>
      </c>
      <c r="E5292" s="6" t="s">
        <v>1241</v>
      </c>
      <c r="F5292" s="6" t="s">
        <v>249</v>
      </c>
      <c r="G5292" s="6" t="s">
        <v>458</v>
      </c>
      <c r="H5292" s="11" t="s">
        <v>259</v>
      </c>
      <c r="I5292" s="12">
        <v>12.0</v>
      </c>
      <c r="J5292" s="6" t="s">
        <v>178</v>
      </c>
    </row>
    <row r="5293" ht="22.5" customHeight="1">
      <c r="A5293" s="6" t="s">
        <v>22101</v>
      </c>
      <c r="B5293" s="6" t="s">
        <v>12143</v>
      </c>
      <c r="C5293" s="10">
        <v>46076.0</v>
      </c>
      <c r="D5293" s="6" t="s">
        <v>436</v>
      </c>
      <c r="E5293" s="6" t="s">
        <v>2881</v>
      </c>
      <c r="F5293" s="6" t="s">
        <v>283</v>
      </c>
      <c r="G5293" s="6" t="s">
        <v>494</v>
      </c>
      <c r="H5293" s="10">
        <v>46080.0</v>
      </c>
      <c r="I5293" s="12">
        <v>6.0</v>
      </c>
      <c r="J5293" s="6" t="s">
        <v>161</v>
      </c>
    </row>
    <row r="5294" ht="22.5" customHeight="1">
      <c r="A5294" s="6" t="s">
        <v>22102</v>
      </c>
      <c r="B5294" s="6" t="s">
        <v>12143</v>
      </c>
      <c r="C5294" s="10">
        <v>46079.0</v>
      </c>
      <c r="D5294" s="6" t="s">
        <v>242</v>
      </c>
      <c r="E5294" s="6" t="s">
        <v>896</v>
      </c>
      <c r="F5294" s="6" t="s">
        <v>283</v>
      </c>
      <c r="G5294" s="6" t="s">
        <v>494</v>
      </c>
      <c r="H5294" s="10">
        <v>46082.0</v>
      </c>
      <c r="I5294" s="12">
        <v>4.0</v>
      </c>
      <c r="J5294" s="6" t="s">
        <v>161</v>
      </c>
    </row>
    <row r="5295" ht="22.5" customHeight="1">
      <c r="A5295" s="6" t="s">
        <v>22103</v>
      </c>
      <c r="B5295" s="6" t="s">
        <v>12149</v>
      </c>
      <c r="C5295" s="10">
        <v>46060.0</v>
      </c>
      <c r="D5295" s="6" t="s">
        <v>416</v>
      </c>
      <c r="E5295" s="6" t="s">
        <v>291</v>
      </c>
      <c r="F5295" s="6" t="s">
        <v>439</v>
      </c>
      <c r="G5295" s="6" t="s">
        <v>297</v>
      </c>
      <c r="H5295" s="10">
        <v>46061.0</v>
      </c>
      <c r="I5295" s="12">
        <v>11.0</v>
      </c>
      <c r="J5295" s="6" t="s">
        <v>161</v>
      </c>
    </row>
    <row r="5296" ht="22.5" customHeight="1">
      <c r="A5296" s="6" t="s">
        <v>22104</v>
      </c>
      <c r="B5296" s="6" t="s">
        <v>12149</v>
      </c>
      <c r="C5296" s="10">
        <v>46050.0</v>
      </c>
      <c r="D5296" s="6" t="s">
        <v>289</v>
      </c>
      <c r="E5296" s="6" t="s">
        <v>670</v>
      </c>
      <c r="F5296" s="6" t="s">
        <v>439</v>
      </c>
      <c r="G5296" s="6" t="s">
        <v>326</v>
      </c>
      <c r="H5296" s="10">
        <v>46057.0</v>
      </c>
      <c r="I5296" s="12">
        <v>10.0</v>
      </c>
      <c r="J5296" s="6" t="s">
        <v>161</v>
      </c>
    </row>
    <row r="5297" ht="22.5" customHeight="1">
      <c r="A5297" s="6" t="s">
        <v>22105</v>
      </c>
      <c r="B5297" s="6" t="s">
        <v>12155</v>
      </c>
      <c r="C5297" s="10">
        <v>46065.0</v>
      </c>
      <c r="D5297" s="6" t="s">
        <v>677</v>
      </c>
      <c r="E5297" s="6" t="s">
        <v>787</v>
      </c>
      <c r="F5297" s="6" t="s">
        <v>439</v>
      </c>
      <c r="G5297" s="6" t="s">
        <v>452</v>
      </c>
      <c r="H5297" s="10">
        <v>46066.0</v>
      </c>
      <c r="I5297" s="12">
        <v>2.0</v>
      </c>
      <c r="J5297" s="6" t="s">
        <v>161</v>
      </c>
    </row>
    <row r="5298" ht="22.5" customHeight="1">
      <c r="A5298" s="6" t="s">
        <v>22106</v>
      </c>
      <c r="B5298" s="6" t="s">
        <v>12155</v>
      </c>
      <c r="C5298" s="10">
        <v>46072.0</v>
      </c>
      <c r="D5298" s="6" t="s">
        <v>391</v>
      </c>
      <c r="E5298" s="6" t="s">
        <v>1386</v>
      </c>
      <c r="F5298" s="6" t="s">
        <v>249</v>
      </c>
      <c r="G5298" s="6" t="s">
        <v>369</v>
      </c>
      <c r="H5298" s="10">
        <v>46079.0</v>
      </c>
      <c r="I5298" s="12">
        <v>6.0</v>
      </c>
      <c r="J5298" s="6" t="s">
        <v>161</v>
      </c>
    </row>
    <row r="5299" ht="22.5" customHeight="1">
      <c r="A5299" s="6" t="s">
        <v>22107</v>
      </c>
      <c r="B5299" s="6" t="s">
        <v>12161</v>
      </c>
      <c r="C5299" s="10">
        <v>46076.0</v>
      </c>
      <c r="D5299" s="6" t="s">
        <v>242</v>
      </c>
      <c r="E5299" s="6" t="s">
        <v>955</v>
      </c>
      <c r="F5299" s="6" t="s">
        <v>439</v>
      </c>
      <c r="G5299" s="6" t="s">
        <v>458</v>
      </c>
      <c r="H5299" s="10">
        <v>46079.0</v>
      </c>
      <c r="I5299" s="12">
        <v>5.0</v>
      </c>
      <c r="J5299" s="6" t="s">
        <v>178</v>
      </c>
    </row>
    <row r="5300" ht="22.5" customHeight="1">
      <c r="A5300" s="6" t="s">
        <v>22108</v>
      </c>
      <c r="B5300" s="6" t="s">
        <v>12167</v>
      </c>
      <c r="C5300" s="10">
        <v>46040.0</v>
      </c>
      <c r="D5300" s="6" t="s">
        <v>677</v>
      </c>
      <c r="E5300" s="6" t="s">
        <v>731</v>
      </c>
      <c r="F5300" s="6" t="s">
        <v>249</v>
      </c>
      <c r="G5300" s="6" t="s">
        <v>326</v>
      </c>
      <c r="H5300" s="10">
        <v>46046.0</v>
      </c>
      <c r="I5300" s="12">
        <v>4.0</v>
      </c>
      <c r="J5300" s="6" t="s">
        <v>161</v>
      </c>
    </row>
    <row r="5301" ht="22.5" customHeight="1">
      <c r="A5301" s="6" t="s">
        <v>22109</v>
      </c>
      <c r="B5301" s="6" t="s">
        <v>12167</v>
      </c>
      <c r="C5301" s="10">
        <v>46028.0</v>
      </c>
      <c r="D5301" s="6" t="s">
        <v>436</v>
      </c>
      <c r="E5301" s="6" t="s">
        <v>955</v>
      </c>
      <c r="F5301" s="6" t="s">
        <v>283</v>
      </c>
      <c r="G5301" s="6" t="s">
        <v>452</v>
      </c>
      <c r="H5301" s="10">
        <v>46035.0</v>
      </c>
      <c r="I5301" s="12">
        <v>9.0</v>
      </c>
      <c r="J5301" s="6" t="s">
        <v>161</v>
      </c>
    </row>
    <row r="5302" ht="22.5" customHeight="1">
      <c r="A5302" s="6" t="s">
        <v>22110</v>
      </c>
      <c r="B5302" s="6" t="s">
        <v>12167</v>
      </c>
      <c r="C5302" s="10">
        <v>46026.0</v>
      </c>
      <c r="D5302" s="6" t="s">
        <v>289</v>
      </c>
      <c r="E5302" s="6" t="s">
        <v>731</v>
      </c>
      <c r="F5302" s="6" t="s">
        <v>112</v>
      </c>
      <c r="G5302" s="6" t="s">
        <v>297</v>
      </c>
      <c r="H5302" s="10">
        <v>46029.0</v>
      </c>
      <c r="I5302" s="12">
        <v>5.0</v>
      </c>
      <c r="J5302" s="6" t="s">
        <v>161</v>
      </c>
    </row>
    <row r="5303" ht="22.5" customHeight="1">
      <c r="A5303" s="6" t="s">
        <v>22111</v>
      </c>
      <c r="B5303" s="6" t="s">
        <v>12167</v>
      </c>
      <c r="C5303" s="10">
        <v>46035.0</v>
      </c>
      <c r="D5303" s="6" t="s">
        <v>436</v>
      </c>
      <c r="E5303" s="6" t="s">
        <v>955</v>
      </c>
      <c r="F5303" s="6" t="s">
        <v>283</v>
      </c>
      <c r="G5303" s="6" t="s">
        <v>452</v>
      </c>
      <c r="H5303" s="10">
        <v>46041.0</v>
      </c>
      <c r="I5303" s="12">
        <v>10.0</v>
      </c>
      <c r="J5303" s="6" t="s">
        <v>161</v>
      </c>
    </row>
    <row r="5304" ht="22.5" customHeight="1">
      <c r="A5304" s="6" t="s">
        <v>22112</v>
      </c>
      <c r="B5304" s="6" t="s">
        <v>12173</v>
      </c>
      <c r="C5304" s="10">
        <v>46068.0</v>
      </c>
      <c r="D5304" s="6" t="s">
        <v>242</v>
      </c>
      <c r="E5304" s="6" t="s">
        <v>833</v>
      </c>
      <c r="F5304" s="6" t="s">
        <v>112</v>
      </c>
      <c r="G5304" s="6" t="s">
        <v>477</v>
      </c>
      <c r="H5304" s="10">
        <v>46075.0</v>
      </c>
      <c r="I5304" s="12">
        <v>6.0</v>
      </c>
      <c r="J5304" s="6" t="s">
        <v>178</v>
      </c>
    </row>
    <row r="5305" ht="22.5" customHeight="1">
      <c r="A5305" s="6" t="s">
        <v>22113</v>
      </c>
      <c r="B5305" s="6" t="s">
        <v>12173</v>
      </c>
      <c r="C5305" s="10">
        <v>46078.0</v>
      </c>
      <c r="D5305" s="6" t="s">
        <v>391</v>
      </c>
      <c r="E5305" s="6" t="s">
        <v>466</v>
      </c>
      <c r="F5305" s="6" t="s">
        <v>439</v>
      </c>
      <c r="G5305" s="6" t="s">
        <v>477</v>
      </c>
      <c r="H5305" s="10">
        <v>46083.0</v>
      </c>
      <c r="I5305" s="12">
        <v>9.0</v>
      </c>
      <c r="J5305" s="6" t="s">
        <v>161</v>
      </c>
    </row>
    <row r="5306" ht="22.5" customHeight="1">
      <c r="A5306" s="6" t="s">
        <v>22114</v>
      </c>
      <c r="B5306" s="6" t="s">
        <v>12173</v>
      </c>
      <c r="C5306" s="10">
        <v>46061.0</v>
      </c>
      <c r="D5306" s="6" t="s">
        <v>677</v>
      </c>
      <c r="E5306" s="6" t="s">
        <v>1102</v>
      </c>
      <c r="F5306" s="6" t="s">
        <v>249</v>
      </c>
      <c r="G5306" s="6" t="s">
        <v>369</v>
      </c>
      <c r="H5306" s="10">
        <v>46063.0</v>
      </c>
      <c r="I5306" s="12">
        <v>4.0</v>
      </c>
      <c r="J5306" s="6" t="s">
        <v>161</v>
      </c>
    </row>
    <row r="5307" ht="22.5" customHeight="1">
      <c r="A5307" s="6" t="s">
        <v>22115</v>
      </c>
      <c r="B5307" s="6" t="s">
        <v>12173</v>
      </c>
      <c r="C5307" s="10">
        <v>46066.0</v>
      </c>
      <c r="D5307" s="6" t="s">
        <v>391</v>
      </c>
      <c r="E5307" s="6" t="s">
        <v>1070</v>
      </c>
      <c r="F5307" s="6" t="s">
        <v>249</v>
      </c>
      <c r="G5307" s="6" t="s">
        <v>369</v>
      </c>
      <c r="H5307" s="10">
        <v>46067.0</v>
      </c>
      <c r="I5307" s="12">
        <v>9.0</v>
      </c>
      <c r="J5307" s="6" t="s">
        <v>161</v>
      </c>
    </row>
    <row r="5308" ht="22.5" customHeight="1">
      <c r="A5308" s="6" t="s">
        <v>22116</v>
      </c>
      <c r="B5308" s="6" t="s">
        <v>12179</v>
      </c>
      <c r="C5308" s="10">
        <v>46025.0</v>
      </c>
      <c r="D5308" s="6" t="s">
        <v>242</v>
      </c>
      <c r="E5308" s="6" t="s">
        <v>1035</v>
      </c>
      <c r="F5308" s="6" t="s">
        <v>249</v>
      </c>
      <c r="G5308" s="6" t="s">
        <v>477</v>
      </c>
      <c r="H5308" s="10">
        <v>46026.0</v>
      </c>
      <c r="I5308" s="12">
        <v>5.0</v>
      </c>
      <c r="J5308" s="6" t="s">
        <v>161</v>
      </c>
    </row>
    <row r="5309" ht="22.5" customHeight="1">
      <c r="A5309" s="6" t="s">
        <v>22117</v>
      </c>
      <c r="B5309" s="6" t="s">
        <v>12179</v>
      </c>
      <c r="C5309" s="10">
        <v>46040.0</v>
      </c>
      <c r="D5309" s="6" t="s">
        <v>289</v>
      </c>
      <c r="E5309" s="6" t="s">
        <v>1741</v>
      </c>
      <c r="F5309" s="6" t="s">
        <v>249</v>
      </c>
      <c r="G5309" s="6" t="s">
        <v>452</v>
      </c>
      <c r="H5309" s="10">
        <v>46041.0</v>
      </c>
      <c r="I5309" s="12">
        <v>5.0</v>
      </c>
      <c r="J5309" s="6" t="s">
        <v>161</v>
      </c>
    </row>
    <row r="5310" ht="22.5" customHeight="1">
      <c r="A5310" s="6" t="s">
        <v>22118</v>
      </c>
      <c r="B5310" s="6" t="s">
        <v>12185</v>
      </c>
      <c r="C5310" s="10">
        <v>46033.0</v>
      </c>
      <c r="D5310" s="6" t="s">
        <v>391</v>
      </c>
      <c r="E5310" s="6" t="s">
        <v>1310</v>
      </c>
      <c r="F5310" s="6" t="s">
        <v>112</v>
      </c>
      <c r="G5310" s="6" t="s">
        <v>297</v>
      </c>
      <c r="H5310" s="10">
        <v>46036.0</v>
      </c>
      <c r="I5310" s="12">
        <v>11.0</v>
      </c>
      <c r="J5310" s="6" t="s">
        <v>161</v>
      </c>
    </row>
    <row r="5311" ht="22.5" customHeight="1">
      <c r="A5311" s="6" t="s">
        <v>22119</v>
      </c>
      <c r="B5311" s="6" t="s">
        <v>12185</v>
      </c>
      <c r="C5311" s="10">
        <v>46037.0</v>
      </c>
      <c r="D5311" s="6" t="s">
        <v>242</v>
      </c>
      <c r="E5311" s="6" t="s">
        <v>731</v>
      </c>
      <c r="F5311" s="6" t="s">
        <v>283</v>
      </c>
      <c r="G5311" s="6" t="s">
        <v>494</v>
      </c>
      <c r="H5311" s="10">
        <v>46043.0</v>
      </c>
      <c r="I5311" s="12">
        <v>4.0</v>
      </c>
      <c r="J5311" s="6" t="s">
        <v>178</v>
      </c>
    </row>
    <row r="5312" ht="22.5" customHeight="1">
      <c r="A5312" s="6" t="s">
        <v>22120</v>
      </c>
      <c r="B5312" s="6" t="s">
        <v>12191</v>
      </c>
      <c r="C5312" s="10">
        <v>46058.0</v>
      </c>
      <c r="D5312" s="6" t="s">
        <v>677</v>
      </c>
      <c r="E5312" s="6" t="s">
        <v>738</v>
      </c>
      <c r="F5312" s="6" t="s">
        <v>283</v>
      </c>
      <c r="G5312" s="6" t="s">
        <v>297</v>
      </c>
      <c r="H5312" s="11" t="s">
        <v>259</v>
      </c>
      <c r="I5312" s="12">
        <v>4.0</v>
      </c>
      <c r="J5312" s="6" t="s">
        <v>161</v>
      </c>
    </row>
    <row r="5313" ht="22.5" customHeight="1">
      <c r="A5313" s="6" t="s">
        <v>22121</v>
      </c>
      <c r="B5313" s="6" t="s">
        <v>12191</v>
      </c>
      <c r="C5313" s="10">
        <v>46070.0</v>
      </c>
      <c r="D5313" s="6" t="s">
        <v>436</v>
      </c>
      <c r="E5313" s="6" t="s">
        <v>1122</v>
      </c>
      <c r="F5313" s="6" t="s">
        <v>283</v>
      </c>
      <c r="G5313" s="6" t="s">
        <v>494</v>
      </c>
      <c r="H5313" s="11" t="s">
        <v>259</v>
      </c>
      <c r="I5313" s="12">
        <v>9.0</v>
      </c>
      <c r="J5313" s="6" t="s">
        <v>178</v>
      </c>
    </row>
    <row r="5314" ht="22.5" customHeight="1">
      <c r="A5314" s="6" t="s">
        <v>22122</v>
      </c>
      <c r="B5314" s="6" t="s">
        <v>12191</v>
      </c>
      <c r="C5314" s="10">
        <v>46069.0</v>
      </c>
      <c r="D5314" s="6" t="s">
        <v>289</v>
      </c>
      <c r="E5314" s="6" t="s">
        <v>738</v>
      </c>
      <c r="F5314" s="6" t="s">
        <v>439</v>
      </c>
      <c r="G5314" s="6" t="s">
        <v>477</v>
      </c>
      <c r="H5314" s="10">
        <v>46075.0</v>
      </c>
      <c r="I5314" s="12">
        <v>8.0</v>
      </c>
      <c r="J5314" s="6" t="s">
        <v>161</v>
      </c>
    </row>
    <row r="5315" ht="22.5" customHeight="1">
      <c r="A5315" s="6" t="s">
        <v>22123</v>
      </c>
      <c r="B5315" s="6" t="s">
        <v>12191</v>
      </c>
      <c r="C5315" s="10">
        <v>46068.0</v>
      </c>
      <c r="D5315" s="6" t="s">
        <v>436</v>
      </c>
      <c r="E5315" s="6" t="s">
        <v>246</v>
      </c>
      <c r="F5315" s="6" t="s">
        <v>112</v>
      </c>
      <c r="G5315" s="6" t="s">
        <v>369</v>
      </c>
      <c r="H5315" s="11" t="s">
        <v>259</v>
      </c>
      <c r="I5315" s="12">
        <v>10.0</v>
      </c>
      <c r="J5315" s="6" t="s">
        <v>161</v>
      </c>
    </row>
    <row r="5316" ht="22.5" customHeight="1">
      <c r="A5316" s="6" t="s">
        <v>22124</v>
      </c>
      <c r="B5316" s="6" t="s">
        <v>12197</v>
      </c>
      <c r="C5316" s="10">
        <v>46042.0</v>
      </c>
      <c r="D5316" s="6" t="s">
        <v>242</v>
      </c>
      <c r="E5316" s="6" t="s">
        <v>1273</v>
      </c>
      <c r="F5316" s="6" t="s">
        <v>283</v>
      </c>
      <c r="G5316" s="6" t="s">
        <v>477</v>
      </c>
      <c r="H5316" s="10">
        <v>46047.0</v>
      </c>
      <c r="I5316" s="12">
        <v>3.0</v>
      </c>
      <c r="J5316" s="6" t="s">
        <v>161</v>
      </c>
    </row>
    <row r="5317" ht="22.5" customHeight="1">
      <c r="A5317" s="6" t="s">
        <v>22125</v>
      </c>
      <c r="B5317" s="6" t="s">
        <v>12197</v>
      </c>
      <c r="C5317" s="10">
        <v>46039.0</v>
      </c>
      <c r="D5317" s="6" t="s">
        <v>677</v>
      </c>
      <c r="E5317" s="6" t="s">
        <v>885</v>
      </c>
      <c r="F5317" s="6" t="s">
        <v>249</v>
      </c>
      <c r="G5317" s="6" t="s">
        <v>297</v>
      </c>
      <c r="H5317" s="10">
        <v>46039.0</v>
      </c>
      <c r="I5317" s="12">
        <v>3.0</v>
      </c>
      <c r="J5317" s="6" t="s">
        <v>161</v>
      </c>
    </row>
    <row r="5318" ht="22.5" customHeight="1">
      <c r="A5318" s="6" t="s">
        <v>22126</v>
      </c>
      <c r="B5318" s="6" t="s">
        <v>12197</v>
      </c>
      <c r="C5318" s="10">
        <v>46047.0</v>
      </c>
      <c r="D5318" s="6" t="s">
        <v>416</v>
      </c>
      <c r="E5318" s="6" t="s">
        <v>812</v>
      </c>
      <c r="F5318" s="6" t="s">
        <v>112</v>
      </c>
      <c r="G5318" s="6" t="s">
        <v>452</v>
      </c>
      <c r="H5318" s="10">
        <v>46050.0</v>
      </c>
      <c r="I5318" s="12">
        <v>10.0</v>
      </c>
      <c r="J5318" s="6" t="s">
        <v>161</v>
      </c>
    </row>
    <row r="5319" ht="22.5" customHeight="1">
      <c r="A5319" s="6" t="s">
        <v>22127</v>
      </c>
      <c r="B5319" s="6" t="s">
        <v>12197</v>
      </c>
      <c r="C5319" s="10">
        <v>46054.0</v>
      </c>
      <c r="D5319" s="6" t="s">
        <v>312</v>
      </c>
      <c r="E5319" s="6" t="s">
        <v>450</v>
      </c>
      <c r="F5319" s="6" t="s">
        <v>439</v>
      </c>
      <c r="G5319" s="6" t="s">
        <v>254</v>
      </c>
      <c r="H5319" s="10">
        <v>46057.0</v>
      </c>
      <c r="I5319" s="12">
        <v>6.0</v>
      </c>
      <c r="J5319" s="6" t="s">
        <v>161</v>
      </c>
    </row>
    <row r="5320" ht="22.5" customHeight="1">
      <c r="A5320" s="6" t="s">
        <v>22128</v>
      </c>
      <c r="B5320" s="6" t="s">
        <v>12204</v>
      </c>
      <c r="C5320" s="10">
        <v>46046.0</v>
      </c>
      <c r="D5320" s="6" t="s">
        <v>391</v>
      </c>
      <c r="E5320" s="6" t="s">
        <v>1122</v>
      </c>
      <c r="F5320" s="6" t="s">
        <v>112</v>
      </c>
      <c r="G5320" s="6" t="s">
        <v>297</v>
      </c>
      <c r="H5320" s="10">
        <v>46047.0</v>
      </c>
      <c r="I5320" s="12">
        <v>10.0</v>
      </c>
      <c r="J5320" s="6" t="s">
        <v>161</v>
      </c>
    </row>
    <row r="5321" ht="22.5" customHeight="1">
      <c r="A5321" s="6" t="s">
        <v>22129</v>
      </c>
      <c r="B5321" s="6" t="s">
        <v>12204</v>
      </c>
      <c r="C5321" s="10">
        <v>46046.0</v>
      </c>
      <c r="D5321" s="6" t="s">
        <v>677</v>
      </c>
      <c r="E5321" s="6" t="s">
        <v>955</v>
      </c>
      <c r="F5321" s="6" t="s">
        <v>283</v>
      </c>
      <c r="G5321" s="6" t="s">
        <v>452</v>
      </c>
      <c r="H5321" s="10">
        <v>46053.0</v>
      </c>
      <c r="I5321" s="12">
        <v>2.0</v>
      </c>
      <c r="J5321" s="6" t="s">
        <v>161</v>
      </c>
    </row>
    <row r="5322" ht="22.5" customHeight="1">
      <c r="A5322" s="6" t="s">
        <v>22130</v>
      </c>
      <c r="B5322" s="6" t="s">
        <v>12204</v>
      </c>
      <c r="C5322" s="10">
        <v>46052.0</v>
      </c>
      <c r="D5322" s="6" t="s">
        <v>242</v>
      </c>
      <c r="E5322" s="6" t="s">
        <v>1626</v>
      </c>
      <c r="F5322" s="6" t="s">
        <v>439</v>
      </c>
      <c r="G5322" s="6" t="s">
        <v>458</v>
      </c>
      <c r="H5322" s="10">
        <v>46052.0</v>
      </c>
      <c r="I5322" s="12">
        <v>3.0</v>
      </c>
      <c r="J5322" s="6" t="s">
        <v>161</v>
      </c>
    </row>
    <row r="5323" ht="22.5" customHeight="1">
      <c r="A5323" s="6" t="s">
        <v>22131</v>
      </c>
      <c r="B5323" s="6" t="s">
        <v>12204</v>
      </c>
      <c r="C5323" s="10">
        <v>46054.0</v>
      </c>
      <c r="D5323" s="6" t="s">
        <v>312</v>
      </c>
      <c r="E5323" s="6" t="s">
        <v>628</v>
      </c>
      <c r="F5323" s="6" t="s">
        <v>112</v>
      </c>
      <c r="G5323" s="6" t="s">
        <v>494</v>
      </c>
      <c r="H5323" s="10">
        <v>46057.0</v>
      </c>
      <c r="I5323" s="12">
        <v>5.0</v>
      </c>
      <c r="J5323" s="6" t="s">
        <v>161</v>
      </c>
    </row>
    <row r="5324" ht="22.5" customHeight="1">
      <c r="A5324" s="6" t="s">
        <v>22132</v>
      </c>
      <c r="B5324" s="6" t="s">
        <v>12204</v>
      </c>
      <c r="C5324" s="10">
        <v>46050.0</v>
      </c>
      <c r="D5324" s="6" t="s">
        <v>242</v>
      </c>
      <c r="E5324" s="6" t="s">
        <v>955</v>
      </c>
      <c r="F5324" s="6" t="s">
        <v>439</v>
      </c>
      <c r="G5324" s="6" t="s">
        <v>254</v>
      </c>
      <c r="H5324" s="10">
        <v>46051.0</v>
      </c>
      <c r="I5324" s="12">
        <v>4.0</v>
      </c>
      <c r="J5324" s="6" t="s">
        <v>178</v>
      </c>
    </row>
    <row r="5325" ht="22.5" customHeight="1">
      <c r="A5325" s="6" t="s">
        <v>22133</v>
      </c>
      <c r="B5325" s="6" t="s">
        <v>12209</v>
      </c>
      <c r="C5325" s="10">
        <v>46049.0</v>
      </c>
      <c r="D5325" s="6" t="s">
        <v>416</v>
      </c>
      <c r="E5325" s="6" t="s">
        <v>475</v>
      </c>
      <c r="F5325" s="6" t="s">
        <v>439</v>
      </c>
      <c r="G5325" s="6" t="s">
        <v>477</v>
      </c>
      <c r="H5325" s="10">
        <v>46052.0</v>
      </c>
      <c r="I5325" s="12">
        <v>13.0</v>
      </c>
      <c r="J5325" s="6" t="s">
        <v>161</v>
      </c>
    </row>
    <row r="5326" ht="22.5" customHeight="1">
      <c r="A5326" s="6" t="s">
        <v>22134</v>
      </c>
      <c r="B5326" s="6" t="s">
        <v>12209</v>
      </c>
      <c r="C5326" s="10">
        <v>46053.0</v>
      </c>
      <c r="D5326" s="6" t="s">
        <v>416</v>
      </c>
      <c r="E5326" s="6" t="s">
        <v>1310</v>
      </c>
      <c r="F5326" s="6" t="s">
        <v>439</v>
      </c>
      <c r="G5326" s="6" t="s">
        <v>494</v>
      </c>
      <c r="H5326" s="10">
        <v>46058.0</v>
      </c>
      <c r="I5326" s="12">
        <v>14.0</v>
      </c>
      <c r="J5326" s="6" t="s">
        <v>161</v>
      </c>
    </row>
    <row r="5327" ht="22.5" customHeight="1">
      <c r="A5327" s="6" t="s">
        <v>22135</v>
      </c>
      <c r="B5327" s="6" t="s">
        <v>12209</v>
      </c>
      <c r="C5327" s="10">
        <v>46048.0</v>
      </c>
      <c r="D5327" s="6" t="s">
        <v>242</v>
      </c>
      <c r="E5327" s="6" t="s">
        <v>246</v>
      </c>
      <c r="F5327" s="6" t="s">
        <v>112</v>
      </c>
      <c r="G5327" s="6" t="s">
        <v>369</v>
      </c>
      <c r="H5327" s="10">
        <v>46048.0</v>
      </c>
      <c r="I5327" s="12">
        <v>6.0</v>
      </c>
      <c r="J5327" s="6" t="s">
        <v>161</v>
      </c>
    </row>
    <row r="5328" ht="22.5" customHeight="1">
      <c r="A5328" s="6" t="s">
        <v>22136</v>
      </c>
      <c r="B5328" s="6" t="s">
        <v>12215</v>
      </c>
      <c r="C5328" s="10">
        <v>46056.0</v>
      </c>
      <c r="D5328" s="6" t="s">
        <v>289</v>
      </c>
      <c r="E5328" s="6" t="s">
        <v>885</v>
      </c>
      <c r="F5328" s="6" t="s">
        <v>439</v>
      </c>
      <c r="G5328" s="6" t="s">
        <v>369</v>
      </c>
      <c r="H5328" s="11" t="s">
        <v>259</v>
      </c>
      <c r="I5328" s="12">
        <v>10.0</v>
      </c>
      <c r="J5328" s="6" t="s">
        <v>161</v>
      </c>
    </row>
    <row r="5329" ht="22.5" customHeight="1">
      <c r="A5329" s="6" t="s">
        <v>22137</v>
      </c>
      <c r="B5329" s="6" t="s">
        <v>12222</v>
      </c>
      <c r="C5329" s="10">
        <v>46069.0</v>
      </c>
      <c r="D5329" s="6" t="s">
        <v>289</v>
      </c>
      <c r="E5329" s="6" t="s">
        <v>246</v>
      </c>
      <c r="F5329" s="6" t="s">
        <v>439</v>
      </c>
      <c r="G5329" s="6" t="s">
        <v>494</v>
      </c>
      <c r="H5329" s="10">
        <v>46071.0</v>
      </c>
      <c r="I5329" s="12">
        <v>5.0</v>
      </c>
      <c r="J5329" s="6" t="s">
        <v>161</v>
      </c>
    </row>
    <row r="5330" ht="22.5" customHeight="1">
      <c r="A5330" s="6" t="s">
        <v>22138</v>
      </c>
      <c r="B5330" s="6" t="s">
        <v>12222</v>
      </c>
      <c r="C5330" s="10">
        <v>46061.0</v>
      </c>
      <c r="D5330" s="6" t="s">
        <v>242</v>
      </c>
      <c r="E5330" s="6" t="s">
        <v>466</v>
      </c>
      <c r="F5330" s="6" t="s">
        <v>439</v>
      </c>
      <c r="G5330" s="6" t="s">
        <v>458</v>
      </c>
      <c r="H5330" s="10">
        <v>46068.0</v>
      </c>
      <c r="I5330" s="12">
        <v>5.0</v>
      </c>
      <c r="J5330" s="6" t="s">
        <v>178</v>
      </c>
    </row>
    <row r="5331" ht="22.5" customHeight="1">
      <c r="A5331" s="6" t="s">
        <v>22139</v>
      </c>
      <c r="B5331" s="6" t="s">
        <v>12222</v>
      </c>
      <c r="C5331" s="10">
        <v>46070.0</v>
      </c>
      <c r="D5331" s="6" t="s">
        <v>289</v>
      </c>
      <c r="E5331" s="6" t="s">
        <v>1122</v>
      </c>
      <c r="F5331" s="6" t="s">
        <v>249</v>
      </c>
      <c r="G5331" s="6" t="s">
        <v>452</v>
      </c>
      <c r="H5331" s="10">
        <v>46071.0</v>
      </c>
      <c r="I5331" s="12">
        <v>8.0</v>
      </c>
      <c r="J5331" s="6" t="s">
        <v>161</v>
      </c>
    </row>
    <row r="5332" ht="22.5" customHeight="1">
      <c r="A5332" s="6" t="s">
        <v>22140</v>
      </c>
      <c r="B5332" s="6" t="s">
        <v>12222</v>
      </c>
      <c r="C5332" s="10">
        <v>46056.0</v>
      </c>
      <c r="D5332" s="6" t="s">
        <v>312</v>
      </c>
      <c r="E5332" s="6" t="s">
        <v>1035</v>
      </c>
      <c r="F5332" s="6" t="s">
        <v>249</v>
      </c>
      <c r="G5332" s="6" t="s">
        <v>369</v>
      </c>
      <c r="H5332" s="10">
        <v>46061.0</v>
      </c>
      <c r="I5332" s="12">
        <v>4.0</v>
      </c>
      <c r="J5332" s="6" t="s">
        <v>161</v>
      </c>
    </row>
    <row r="5333" ht="22.5" customHeight="1">
      <c r="A5333" s="6" t="s">
        <v>22141</v>
      </c>
      <c r="B5333" s="6" t="s">
        <v>12222</v>
      </c>
      <c r="C5333" s="10">
        <v>46053.0</v>
      </c>
      <c r="D5333" s="6" t="s">
        <v>391</v>
      </c>
      <c r="E5333" s="6" t="s">
        <v>1386</v>
      </c>
      <c r="F5333" s="6" t="s">
        <v>249</v>
      </c>
      <c r="G5333" s="6" t="s">
        <v>254</v>
      </c>
      <c r="H5333" s="11" t="s">
        <v>259</v>
      </c>
      <c r="I5333" s="12">
        <v>8.0</v>
      </c>
      <c r="J5333" s="6" t="s">
        <v>161</v>
      </c>
    </row>
    <row r="5334" ht="22.5" customHeight="1">
      <c r="A5334" s="6" t="s">
        <v>22142</v>
      </c>
      <c r="B5334" s="6" t="s">
        <v>12229</v>
      </c>
      <c r="C5334" s="10">
        <v>46026.0</v>
      </c>
      <c r="D5334" s="6" t="s">
        <v>391</v>
      </c>
      <c r="E5334" s="6" t="s">
        <v>394</v>
      </c>
      <c r="F5334" s="6" t="s">
        <v>112</v>
      </c>
      <c r="G5334" s="6" t="s">
        <v>369</v>
      </c>
      <c r="H5334" s="10">
        <v>46033.0</v>
      </c>
      <c r="I5334" s="12">
        <v>6.0</v>
      </c>
      <c r="J5334" s="6" t="s">
        <v>161</v>
      </c>
    </row>
    <row r="5335" ht="22.5" customHeight="1">
      <c r="A5335" s="6" t="s">
        <v>22143</v>
      </c>
      <c r="B5335" s="6" t="s">
        <v>12229</v>
      </c>
      <c r="C5335" s="10">
        <v>46034.0</v>
      </c>
      <c r="D5335" s="6" t="s">
        <v>436</v>
      </c>
      <c r="E5335" s="6" t="s">
        <v>787</v>
      </c>
      <c r="F5335" s="6" t="s">
        <v>112</v>
      </c>
      <c r="G5335" s="6" t="s">
        <v>452</v>
      </c>
      <c r="H5335" s="10">
        <v>46034.0</v>
      </c>
      <c r="I5335" s="12">
        <v>7.0</v>
      </c>
      <c r="J5335" s="6" t="s">
        <v>178</v>
      </c>
    </row>
    <row r="5336" ht="22.5" customHeight="1">
      <c r="A5336" s="6" t="s">
        <v>22144</v>
      </c>
      <c r="B5336" s="6" t="s">
        <v>12236</v>
      </c>
      <c r="C5336" s="10">
        <v>46055.0</v>
      </c>
      <c r="D5336" s="6" t="s">
        <v>436</v>
      </c>
      <c r="E5336" s="6" t="s">
        <v>1626</v>
      </c>
      <c r="F5336" s="6" t="s">
        <v>439</v>
      </c>
      <c r="G5336" s="6" t="s">
        <v>254</v>
      </c>
      <c r="H5336" s="10">
        <v>46062.0</v>
      </c>
      <c r="I5336" s="12">
        <v>8.0</v>
      </c>
      <c r="J5336" s="6" t="s">
        <v>178</v>
      </c>
    </row>
    <row r="5337" ht="22.5" customHeight="1">
      <c r="A5337" s="6" t="s">
        <v>22145</v>
      </c>
      <c r="B5337" s="6" t="s">
        <v>12236</v>
      </c>
      <c r="C5337" s="10">
        <v>46061.0</v>
      </c>
      <c r="D5337" s="6" t="s">
        <v>677</v>
      </c>
      <c r="E5337" s="6" t="s">
        <v>658</v>
      </c>
      <c r="F5337" s="6" t="s">
        <v>112</v>
      </c>
      <c r="G5337" s="6" t="s">
        <v>477</v>
      </c>
      <c r="H5337" s="10">
        <v>46065.0</v>
      </c>
      <c r="I5337" s="12">
        <v>4.0</v>
      </c>
      <c r="J5337" s="6" t="s">
        <v>161</v>
      </c>
    </row>
    <row r="5338" ht="22.5" customHeight="1">
      <c r="A5338" s="6" t="s">
        <v>22146</v>
      </c>
      <c r="B5338" s="6" t="s">
        <v>12236</v>
      </c>
      <c r="C5338" s="10">
        <v>46059.0</v>
      </c>
      <c r="D5338" s="6" t="s">
        <v>312</v>
      </c>
      <c r="E5338" s="6" t="s">
        <v>394</v>
      </c>
      <c r="F5338" s="6" t="s">
        <v>283</v>
      </c>
      <c r="G5338" s="6" t="s">
        <v>494</v>
      </c>
      <c r="H5338" s="10">
        <v>46060.0</v>
      </c>
      <c r="I5338" s="12">
        <v>5.0</v>
      </c>
      <c r="J5338" s="6" t="s">
        <v>161</v>
      </c>
    </row>
    <row r="5339" ht="22.5" customHeight="1">
      <c r="A5339" s="6" t="s">
        <v>22147</v>
      </c>
      <c r="B5339" s="6" t="s">
        <v>12236</v>
      </c>
      <c r="C5339" s="10">
        <v>46063.0</v>
      </c>
      <c r="D5339" s="6" t="s">
        <v>391</v>
      </c>
      <c r="E5339" s="6" t="s">
        <v>291</v>
      </c>
      <c r="F5339" s="6" t="s">
        <v>249</v>
      </c>
      <c r="G5339" s="6" t="s">
        <v>494</v>
      </c>
      <c r="H5339" s="10">
        <v>46067.0</v>
      </c>
      <c r="I5339" s="12">
        <v>10.0</v>
      </c>
      <c r="J5339" s="6" t="s">
        <v>161</v>
      </c>
    </row>
    <row r="5340" ht="22.5" customHeight="1">
      <c r="A5340" s="6" t="s">
        <v>22148</v>
      </c>
      <c r="B5340" s="6" t="s">
        <v>12236</v>
      </c>
      <c r="C5340" s="10">
        <v>46053.0</v>
      </c>
      <c r="D5340" s="6" t="s">
        <v>312</v>
      </c>
      <c r="E5340" s="6" t="s">
        <v>291</v>
      </c>
      <c r="F5340" s="6" t="s">
        <v>439</v>
      </c>
      <c r="G5340" s="6" t="s">
        <v>326</v>
      </c>
      <c r="H5340" s="10">
        <v>46056.0</v>
      </c>
      <c r="I5340" s="12">
        <v>5.0</v>
      </c>
      <c r="J5340" s="6" t="s">
        <v>161</v>
      </c>
    </row>
    <row r="5341" ht="22.5" customHeight="1">
      <c r="A5341" s="6" t="s">
        <v>22149</v>
      </c>
      <c r="B5341" s="6" t="s">
        <v>12241</v>
      </c>
      <c r="C5341" s="10">
        <v>46078.0</v>
      </c>
      <c r="D5341" s="6" t="s">
        <v>312</v>
      </c>
      <c r="E5341" s="6" t="s">
        <v>1626</v>
      </c>
      <c r="F5341" s="6" t="s">
        <v>283</v>
      </c>
      <c r="G5341" s="6" t="s">
        <v>297</v>
      </c>
      <c r="H5341" s="11" t="s">
        <v>259</v>
      </c>
      <c r="I5341" s="12">
        <v>5.0</v>
      </c>
      <c r="J5341" s="6" t="s">
        <v>161</v>
      </c>
    </row>
    <row r="5342" ht="22.5" customHeight="1">
      <c r="A5342" s="6" t="s">
        <v>22150</v>
      </c>
      <c r="B5342" s="6" t="s">
        <v>12248</v>
      </c>
      <c r="C5342" s="10">
        <v>46043.0</v>
      </c>
      <c r="D5342" s="6" t="s">
        <v>677</v>
      </c>
      <c r="E5342" s="6" t="s">
        <v>1280</v>
      </c>
      <c r="F5342" s="6" t="s">
        <v>112</v>
      </c>
      <c r="G5342" s="6" t="s">
        <v>297</v>
      </c>
      <c r="H5342" s="10">
        <v>46046.0</v>
      </c>
      <c r="I5342" s="12">
        <v>3.0</v>
      </c>
      <c r="J5342" s="6" t="s">
        <v>161</v>
      </c>
    </row>
    <row r="5343" ht="22.5" customHeight="1">
      <c r="A5343" s="6" t="s">
        <v>22151</v>
      </c>
      <c r="B5343" s="6" t="s">
        <v>12254</v>
      </c>
      <c r="C5343" s="10">
        <v>46041.0</v>
      </c>
      <c r="D5343" s="6" t="s">
        <v>391</v>
      </c>
      <c r="E5343" s="6" t="s">
        <v>731</v>
      </c>
      <c r="F5343" s="6" t="s">
        <v>112</v>
      </c>
      <c r="G5343" s="6" t="s">
        <v>297</v>
      </c>
      <c r="H5343" s="10">
        <v>46048.0</v>
      </c>
      <c r="I5343" s="12">
        <v>7.0</v>
      </c>
      <c r="J5343" s="6" t="s">
        <v>161</v>
      </c>
    </row>
    <row r="5344" ht="22.5" customHeight="1">
      <c r="A5344" s="6" t="s">
        <v>22152</v>
      </c>
      <c r="B5344" s="6" t="s">
        <v>12254</v>
      </c>
      <c r="C5344" s="10">
        <v>46038.0</v>
      </c>
      <c r="D5344" s="6" t="s">
        <v>289</v>
      </c>
      <c r="E5344" s="6" t="s">
        <v>634</v>
      </c>
      <c r="F5344" s="6" t="s">
        <v>283</v>
      </c>
      <c r="G5344" s="6" t="s">
        <v>494</v>
      </c>
      <c r="H5344" s="10">
        <v>46044.0</v>
      </c>
      <c r="I5344" s="12">
        <v>9.0</v>
      </c>
      <c r="J5344" s="6" t="s">
        <v>161</v>
      </c>
    </row>
    <row r="5345" ht="22.5" customHeight="1">
      <c r="A5345" s="6" t="s">
        <v>22153</v>
      </c>
      <c r="B5345" s="6" t="s">
        <v>12254</v>
      </c>
      <c r="C5345" s="10">
        <v>46043.0</v>
      </c>
      <c r="D5345" s="6" t="s">
        <v>391</v>
      </c>
      <c r="E5345" s="6" t="s">
        <v>863</v>
      </c>
      <c r="F5345" s="6" t="s">
        <v>112</v>
      </c>
      <c r="G5345" s="6" t="s">
        <v>369</v>
      </c>
      <c r="H5345" s="10">
        <v>46045.0</v>
      </c>
      <c r="I5345" s="12">
        <v>6.0</v>
      </c>
      <c r="J5345" s="6" t="s">
        <v>161</v>
      </c>
    </row>
    <row r="5346" ht="22.5" customHeight="1">
      <c r="A5346" s="6" t="s">
        <v>22154</v>
      </c>
      <c r="B5346" s="6" t="s">
        <v>12254</v>
      </c>
      <c r="C5346" s="10">
        <v>46034.0</v>
      </c>
      <c r="D5346" s="6" t="s">
        <v>677</v>
      </c>
      <c r="E5346" s="6" t="s">
        <v>1600</v>
      </c>
      <c r="F5346" s="6" t="s">
        <v>283</v>
      </c>
      <c r="G5346" s="6" t="s">
        <v>369</v>
      </c>
      <c r="H5346" s="10">
        <v>46037.0</v>
      </c>
      <c r="I5346" s="12">
        <v>2.0</v>
      </c>
      <c r="J5346" s="6" t="s">
        <v>161</v>
      </c>
    </row>
    <row r="5347" ht="22.5" customHeight="1">
      <c r="A5347" s="6" t="s">
        <v>22155</v>
      </c>
      <c r="B5347" s="6" t="s">
        <v>12254</v>
      </c>
      <c r="C5347" s="10">
        <v>46039.0</v>
      </c>
      <c r="D5347" s="6" t="s">
        <v>289</v>
      </c>
      <c r="E5347" s="6" t="s">
        <v>812</v>
      </c>
      <c r="F5347" s="6" t="s">
        <v>112</v>
      </c>
      <c r="G5347" s="6" t="s">
        <v>369</v>
      </c>
      <c r="H5347" s="10">
        <v>46040.0</v>
      </c>
      <c r="I5347" s="12">
        <v>7.0</v>
      </c>
      <c r="J5347" s="6" t="s">
        <v>161</v>
      </c>
    </row>
    <row r="5348" ht="22.5" customHeight="1">
      <c r="A5348" s="6" t="s">
        <v>22156</v>
      </c>
      <c r="B5348" s="6" t="s">
        <v>12261</v>
      </c>
      <c r="C5348" s="10">
        <v>46030.0</v>
      </c>
      <c r="D5348" s="6" t="s">
        <v>242</v>
      </c>
      <c r="E5348" s="6" t="s">
        <v>1546</v>
      </c>
      <c r="F5348" s="6" t="s">
        <v>283</v>
      </c>
      <c r="G5348" s="6" t="s">
        <v>369</v>
      </c>
      <c r="H5348" s="10">
        <v>46035.0</v>
      </c>
      <c r="I5348" s="12">
        <v>5.0</v>
      </c>
      <c r="J5348" s="6" t="s">
        <v>161</v>
      </c>
    </row>
    <row r="5349" ht="22.5" customHeight="1">
      <c r="A5349" s="6" t="s">
        <v>22157</v>
      </c>
      <c r="B5349" s="6" t="s">
        <v>12261</v>
      </c>
      <c r="C5349" s="10">
        <v>46040.0</v>
      </c>
      <c r="D5349" s="6" t="s">
        <v>677</v>
      </c>
      <c r="E5349" s="6" t="s">
        <v>1552</v>
      </c>
      <c r="F5349" s="6" t="s">
        <v>439</v>
      </c>
      <c r="G5349" s="6" t="s">
        <v>458</v>
      </c>
      <c r="H5349" s="10">
        <v>46044.0</v>
      </c>
      <c r="I5349" s="12">
        <v>3.0</v>
      </c>
      <c r="J5349" s="6" t="s">
        <v>161</v>
      </c>
    </row>
    <row r="5350" ht="22.5" customHeight="1">
      <c r="A5350" s="6" t="s">
        <v>22158</v>
      </c>
      <c r="B5350" s="6" t="s">
        <v>12261</v>
      </c>
      <c r="C5350" s="10">
        <v>46046.0</v>
      </c>
      <c r="D5350" s="6" t="s">
        <v>677</v>
      </c>
      <c r="E5350" s="6" t="s">
        <v>2365</v>
      </c>
      <c r="F5350" s="6" t="s">
        <v>283</v>
      </c>
      <c r="G5350" s="6" t="s">
        <v>477</v>
      </c>
      <c r="H5350" s="10">
        <v>46049.0</v>
      </c>
      <c r="I5350" s="12">
        <v>3.0</v>
      </c>
      <c r="J5350" s="6" t="s">
        <v>161</v>
      </c>
    </row>
    <row r="5351" ht="22.5" customHeight="1">
      <c r="A5351" s="6" t="s">
        <v>22159</v>
      </c>
      <c r="B5351" s="6" t="s">
        <v>12261</v>
      </c>
      <c r="C5351" s="10">
        <v>46047.0</v>
      </c>
      <c r="D5351" s="6" t="s">
        <v>416</v>
      </c>
      <c r="E5351" s="6" t="s">
        <v>450</v>
      </c>
      <c r="F5351" s="6" t="s">
        <v>249</v>
      </c>
      <c r="G5351" s="6" t="s">
        <v>369</v>
      </c>
      <c r="H5351" s="11" t="s">
        <v>259</v>
      </c>
      <c r="I5351" s="12">
        <v>10.0</v>
      </c>
      <c r="J5351" s="6" t="s">
        <v>161</v>
      </c>
    </row>
    <row r="5352" ht="22.5" customHeight="1">
      <c r="A5352" s="6" t="s">
        <v>22160</v>
      </c>
      <c r="B5352" s="6" t="s">
        <v>12267</v>
      </c>
      <c r="C5352" s="10">
        <v>46065.0</v>
      </c>
      <c r="D5352" s="6" t="s">
        <v>391</v>
      </c>
      <c r="E5352" s="6" t="s">
        <v>610</v>
      </c>
      <c r="F5352" s="6" t="s">
        <v>249</v>
      </c>
      <c r="G5352" s="6" t="s">
        <v>458</v>
      </c>
      <c r="H5352" s="10">
        <v>46065.0</v>
      </c>
      <c r="I5352" s="12">
        <v>11.0</v>
      </c>
      <c r="J5352" s="6" t="s">
        <v>161</v>
      </c>
    </row>
    <row r="5353" ht="22.5" customHeight="1">
      <c r="A5353" s="6" t="s">
        <v>22161</v>
      </c>
      <c r="B5353" s="6" t="s">
        <v>12267</v>
      </c>
      <c r="C5353" s="10">
        <v>46071.0</v>
      </c>
      <c r="D5353" s="6" t="s">
        <v>416</v>
      </c>
      <c r="E5353" s="6" t="s">
        <v>658</v>
      </c>
      <c r="F5353" s="6" t="s">
        <v>439</v>
      </c>
      <c r="G5353" s="6" t="s">
        <v>494</v>
      </c>
      <c r="H5353" s="10">
        <v>46073.0</v>
      </c>
      <c r="I5353" s="12">
        <v>10.0</v>
      </c>
      <c r="J5353" s="6" t="s">
        <v>161</v>
      </c>
    </row>
    <row r="5354" ht="22.5" customHeight="1">
      <c r="A5354" s="6" t="s">
        <v>22162</v>
      </c>
      <c r="B5354" s="6" t="s">
        <v>12267</v>
      </c>
      <c r="C5354" s="10">
        <v>46075.0</v>
      </c>
      <c r="D5354" s="6" t="s">
        <v>242</v>
      </c>
      <c r="E5354" s="6" t="s">
        <v>1700</v>
      </c>
      <c r="F5354" s="6" t="s">
        <v>439</v>
      </c>
      <c r="G5354" s="6" t="s">
        <v>254</v>
      </c>
      <c r="H5354" s="11" t="s">
        <v>259</v>
      </c>
      <c r="I5354" s="12">
        <v>4.0</v>
      </c>
      <c r="J5354" s="6" t="s">
        <v>178</v>
      </c>
    </row>
    <row r="5355" ht="22.5" customHeight="1">
      <c r="A5355" s="6" t="s">
        <v>22163</v>
      </c>
      <c r="B5355" s="6" t="s">
        <v>12267</v>
      </c>
      <c r="C5355" s="10">
        <v>46078.0</v>
      </c>
      <c r="D5355" s="6" t="s">
        <v>391</v>
      </c>
      <c r="E5355" s="6" t="s">
        <v>1122</v>
      </c>
      <c r="F5355" s="6" t="s">
        <v>112</v>
      </c>
      <c r="G5355" s="6" t="s">
        <v>458</v>
      </c>
      <c r="H5355" s="10">
        <v>46083.0</v>
      </c>
      <c r="I5355" s="12">
        <v>10.0</v>
      </c>
      <c r="J5355" s="6" t="s">
        <v>161</v>
      </c>
    </row>
    <row r="5356" ht="22.5" customHeight="1">
      <c r="A5356" s="6" t="s">
        <v>22164</v>
      </c>
      <c r="B5356" s="6" t="s">
        <v>12274</v>
      </c>
      <c r="C5356" s="10">
        <v>46051.0</v>
      </c>
      <c r="D5356" s="6" t="s">
        <v>289</v>
      </c>
      <c r="E5356" s="6" t="s">
        <v>1296</v>
      </c>
      <c r="F5356" s="6" t="s">
        <v>283</v>
      </c>
      <c r="G5356" s="6" t="s">
        <v>452</v>
      </c>
      <c r="H5356" s="10">
        <v>46055.0</v>
      </c>
      <c r="I5356" s="12">
        <v>5.0</v>
      </c>
      <c r="J5356" s="6" t="s">
        <v>161</v>
      </c>
    </row>
    <row r="5357" ht="22.5" customHeight="1">
      <c r="A5357" s="6" t="s">
        <v>22165</v>
      </c>
      <c r="B5357" s="6" t="s">
        <v>12274</v>
      </c>
      <c r="C5357" s="10">
        <v>46053.0</v>
      </c>
      <c r="D5357" s="6" t="s">
        <v>289</v>
      </c>
      <c r="E5357" s="6" t="s">
        <v>1552</v>
      </c>
      <c r="F5357" s="6" t="s">
        <v>249</v>
      </c>
      <c r="G5357" s="6" t="s">
        <v>369</v>
      </c>
      <c r="H5357" s="10">
        <v>46059.0</v>
      </c>
      <c r="I5357" s="12">
        <v>6.0</v>
      </c>
      <c r="J5357" s="6" t="s">
        <v>161</v>
      </c>
    </row>
    <row r="5358" ht="22.5" customHeight="1">
      <c r="A5358" s="6" t="s">
        <v>22166</v>
      </c>
      <c r="B5358" s="6" t="s">
        <v>12274</v>
      </c>
      <c r="C5358" s="10">
        <v>46046.0</v>
      </c>
      <c r="D5358" s="6" t="s">
        <v>289</v>
      </c>
      <c r="E5358" s="6" t="s">
        <v>1600</v>
      </c>
      <c r="F5358" s="6" t="s">
        <v>112</v>
      </c>
      <c r="G5358" s="6" t="s">
        <v>458</v>
      </c>
      <c r="H5358" s="10">
        <v>46048.0</v>
      </c>
      <c r="I5358" s="12">
        <v>8.0</v>
      </c>
      <c r="J5358" s="6" t="s">
        <v>161</v>
      </c>
    </row>
    <row r="5359" ht="22.5" customHeight="1">
      <c r="A5359" s="6" t="s">
        <v>22167</v>
      </c>
      <c r="B5359" s="6" t="s">
        <v>12274</v>
      </c>
      <c r="C5359" s="10">
        <v>46051.0</v>
      </c>
      <c r="D5359" s="6" t="s">
        <v>436</v>
      </c>
      <c r="E5359" s="6" t="s">
        <v>2365</v>
      </c>
      <c r="F5359" s="6" t="s">
        <v>283</v>
      </c>
      <c r="G5359" s="6" t="s">
        <v>452</v>
      </c>
      <c r="H5359" s="11" t="s">
        <v>259</v>
      </c>
      <c r="I5359" s="12">
        <v>12.0</v>
      </c>
      <c r="J5359" s="6" t="s">
        <v>178</v>
      </c>
    </row>
    <row r="5360" ht="22.5" customHeight="1">
      <c r="A5360" s="6" t="s">
        <v>22168</v>
      </c>
      <c r="B5360" s="6" t="s">
        <v>12281</v>
      </c>
      <c r="C5360" s="10">
        <v>46057.0</v>
      </c>
      <c r="D5360" s="6" t="s">
        <v>391</v>
      </c>
      <c r="E5360" s="6" t="s">
        <v>1102</v>
      </c>
      <c r="F5360" s="6" t="s">
        <v>283</v>
      </c>
      <c r="G5360" s="6" t="s">
        <v>297</v>
      </c>
      <c r="H5360" s="10">
        <v>46058.0</v>
      </c>
      <c r="I5360" s="12">
        <v>7.0</v>
      </c>
      <c r="J5360" s="6" t="s">
        <v>161</v>
      </c>
    </row>
    <row r="5361" ht="22.5" customHeight="1">
      <c r="A5361" s="6" t="s">
        <v>22169</v>
      </c>
      <c r="B5361" s="6" t="s">
        <v>12281</v>
      </c>
      <c r="C5361" s="10">
        <v>46054.0</v>
      </c>
      <c r="D5361" s="6" t="s">
        <v>677</v>
      </c>
      <c r="E5361" s="6" t="s">
        <v>775</v>
      </c>
      <c r="F5361" s="6" t="s">
        <v>249</v>
      </c>
      <c r="G5361" s="6" t="s">
        <v>326</v>
      </c>
      <c r="H5361" s="10">
        <v>46058.0</v>
      </c>
      <c r="I5361" s="12">
        <v>4.0</v>
      </c>
      <c r="J5361" s="6" t="s">
        <v>161</v>
      </c>
    </row>
    <row r="5362" ht="22.5" customHeight="1">
      <c r="A5362" s="6" t="s">
        <v>22170</v>
      </c>
      <c r="B5362" s="6" t="s">
        <v>12281</v>
      </c>
      <c r="C5362" s="10">
        <v>46054.0</v>
      </c>
      <c r="D5362" s="6" t="s">
        <v>312</v>
      </c>
      <c r="E5362" s="6" t="s">
        <v>1055</v>
      </c>
      <c r="F5362" s="6" t="s">
        <v>283</v>
      </c>
      <c r="G5362" s="6" t="s">
        <v>458</v>
      </c>
      <c r="H5362" s="11" t="s">
        <v>259</v>
      </c>
      <c r="I5362" s="12">
        <v>5.0</v>
      </c>
      <c r="J5362" s="6" t="s">
        <v>161</v>
      </c>
    </row>
    <row r="5363" ht="22.5" customHeight="1">
      <c r="A5363" s="6" t="s">
        <v>22171</v>
      </c>
      <c r="B5363" s="6" t="s">
        <v>12281</v>
      </c>
      <c r="C5363" s="10">
        <v>46056.0</v>
      </c>
      <c r="D5363" s="6" t="s">
        <v>677</v>
      </c>
      <c r="E5363" s="6" t="s">
        <v>583</v>
      </c>
      <c r="F5363" s="6" t="s">
        <v>439</v>
      </c>
      <c r="G5363" s="6" t="s">
        <v>494</v>
      </c>
      <c r="H5363" s="11" t="s">
        <v>259</v>
      </c>
      <c r="I5363" s="12">
        <v>4.0</v>
      </c>
      <c r="J5363" s="6" t="s">
        <v>161</v>
      </c>
    </row>
    <row r="5364" ht="22.5" customHeight="1">
      <c r="A5364" s="6" t="s">
        <v>22172</v>
      </c>
      <c r="B5364" s="6" t="s">
        <v>12281</v>
      </c>
      <c r="C5364" s="10">
        <v>46048.0</v>
      </c>
      <c r="D5364" s="6" t="s">
        <v>289</v>
      </c>
      <c r="E5364" s="6" t="s">
        <v>955</v>
      </c>
      <c r="F5364" s="6" t="s">
        <v>439</v>
      </c>
      <c r="G5364" s="6" t="s">
        <v>458</v>
      </c>
      <c r="H5364" s="10">
        <v>46053.0</v>
      </c>
      <c r="I5364" s="12">
        <v>5.0</v>
      </c>
      <c r="J5364" s="6" t="s">
        <v>161</v>
      </c>
    </row>
    <row r="5365" ht="22.5" customHeight="1">
      <c r="A5365" s="6" t="s">
        <v>22173</v>
      </c>
      <c r="B5365" s="6" t="s">
        <v>12287</v>
      </c>
      <c r="C5365" s="10">
        <v>46076.0</v>
      </c>
      <c r="D5365" s="6" t="s">
        <v>416</v>
      </c>
      <c r="E5365" s="6" t="s">
        <v>583</v>
      </c>
      <c r="F5365" s="6" t="s">
        <v>112</v>
      </c>
      <c r="G5365" s="6" t="s">
        <v>369</v>
      </c>
      <c r="H5365" s="10">
        <v>46079.0</v>
      </c>
      <c r="I5365" s="12">
        <v>9.0</v>
      </c>
      <c r="J5365" s="6" t="s">
        <v>161</v>
      </c>
    </row>
    <row r="5366" ht="22.5" customHeight="1">
      <c r="A5366" s="6" t="s">
        <v>22174</v>
      </c>
      <c r="B5366" s="6" t="s">
        <v>12293</v>
      </c>
      <c r="C5366" s="10">
        <v>46031.0</v>
      </c>
      <c r="D5366" s="6" t="s">
        <v>312</v>
      </c>
      <c r="E5366" s="6" t="s">
        <v>896</v>
      </c>
      <c r="F5366" s="6" t="s">
        <v>283</v>
      </c>
      <c r="G5366" s="6" t="s">
        <v>369</v>
      </c>
      <c r="H5366" s="11" t="s">
        <v>259</v>
      </c>
      <c r="I5366" s="12">
        <v>5.0</v>
      </c>
      <c r="J5366" s="6" t="s">
        <v>161</v>
      </c>
    </row>
    <row r="5367" ht="22.5" customHeight="1">
      <c r="A5367" s="6" t="s">
        <v>22175</v>
      </c>
      <c r="B5367" s="6" t="s">
        <v>12300</v>
      </c>
      <c r="C5367" s="10">
        <v>46056.0</v>
      </c>
      <c r="D5367" s="6" t="s">
        <v>312</v>
      </c>
      <c r="E5367" s="6" t="s">
        <v>1273</v>
      </c>
      <c r="F5367" s="6" t="s">
        <v>112</v>
      </c>
      <c r="G5367" s="6" t="s">
        <v>494</v>
      </c>
      <c r="H5367" s="10">
        <v>46058.0</v>
      </c>
      <c r="I5367" s="12">
        <v>4.0</v>
      </c>
      <c r="J5367" s="6" t="s">
        <v>161</v>
      </c>
    </row>
    <row r="5368" ht="22.5" customHeight="1">
      <c r="A5368" s="6" t="s">
        <v>22176</v>
      </c>
      <c r="B5368" s="6" t="s">
        <v>12300</v>
      </c>
      <c r="C5368" s="10">
        <v>46055.0</v>
      </c>
      <c r="D5368" s="6" t="s">
        <v>312</v>
      </c>
      <c r="E5368" s="6" t="s">
        <v>775</v>
      </c>
      <c r="F5368" s="6" t="s">
        <v>249</v>
      </c>
      <c r="G5368" s="6" t="s">
        <v>494</v>
      </c>
      <c r="H5368" s="10">
        <v>46055.0</v>
      </c>
      <c r="I5368" s="12">
        <v>6.0</v>
      </c>
      <c r="J5368" s="6" t="s">
        <v>161</v>
      </c>
    </row>
    <row r="5369" ht="22.5" customHeight="1">
      <c r="A5369" s="6" t="s">
        <v>22177</v>
      </c>
      <c r="B5369" s="6" t="s">
        <v>12300</v>
      </c>
      <c r="C5369" s="10">
        <v>46065.0</v>
      </c>
      <c r="D5369" s="6" t="s">
        <v>436</v>
      </c>
      <c r="E5369" s="6" t="s">
        <v>1386</v>
      </c>
      <c r="F5369" s="6" t="s">
        <v>283</v>
      </c>
      <c r="G5369" s="6" t="s">
        <v>494</v>
      </c>
      <c r="H5369" s="11" t="s">
        <v>259</v>
      </c>
      <c r="I5369" s="12">
        <v>6.0</v>
      </c>
      <c r="J5369" s="6" t="s">
        <v>178</v>
      </c>
    </row>
    <row r="5370" ht="22.5" customHeight="1">
      <c r="A5370" s="6" t="s">
        <v>22178</v>
      </c>
      <c r="B5370" s="6" t="s">
        <v>12300</v>
      </c>
      <c r="C5370" s="10">
        <v>46057.0</v>
      </c>
      <c r="D5370" s="6" t="s">
        <v>289</v>
      </c>
      <c r="E5370" s="6" t="s">
        <v>618</v>
      </c>
      <c r="F5370" s="6" t="s">
        <v>439</v>
      </c>
      <c r="G5370" s="6" t="s">
        <v>494</v>
      </c>
      <c r="H5370" s="10">
        <v>46057.0</v>
      </c>
      <c r="I5370" s="12">
        <v>9.0</v>
      </c>
      <c r="J5370" s="6" t="s">
        <v>161</v>
      </c>
    </row>
    <row r="5371" ht="22.5" customHeight="1">
      <c r="A5371" s="6" t="s">
        <v>22179</v>
      </c>
      <c r="B5371" s="6" t="s">
        <v>12306</v>
      </c>
      <c r="C5371" s="10">
        <v>46054.0</v>
      </c>
      <c r="D5371" s="6" t="s">
        <v>391</v>
      </c>
      <c r="E5371" s="6" t="s">
        <v>863</v>
      </c>
      <c r="F5371" s="6" t="s">
        <v>439</v>
      </c>
      <c r="G5371" s="6" t="s">
        <v>254</v>
      </c>
      <c r="H5371" s="10">
        <v>46059.0</v>
      </c>
      <c r="I5371" s="12">
        <v>8.0</v>
      </c>
      <c r="J5371" s="6" t="s">
        <v>161</v>
      </c>
    </row>
    <row r="5372" ht="22.5" customHeight="1">
      <c r="A5372" s="6" t="s">
        <v>22180</v>
      </c>
      <c r="B5372" s="6" t="s">
        <v>12306</v>
      </c>
      <c r="C5372" s="10">
        <v>46061.0</v>
      </c>
      <c r="D5372" s="6" t="s">
        <v>416</v>
      </c>
      <c r="E5372" s="6" t="s">
        <v>1570</v>
      </c>
      <c r="F5372" s="6" t="s">
        <v>283</v>
      </c>
      <c r="G5372" s="6" t="s">
        <v>369</v>
      </c>
      <c r="H5372" s="10">
        <v>46067.0</v>
      </c>
      <c r="I5372" s="12">
        <v>9.0</v>
      </c>
      <c r="J5372" s="6" t="s">
        <v>161</v>
      </c>
    </row>
    <row r="5373" ht="22.5" customHeight="1">
      <c r="A5373" s="6" t="s">
        <v>22181</v>
      </c>
      <c r="B5373" s="6" t="s">
        <v>12306</v>
      </c>
      <c r="C5373" s="10">
        <v>46061.0</v>
      </c>
      <c r="D5373" s="6" t="s">
        <v>436</v>
      </c>
      <c r="E5373" s="6" t="s">
        <v>394</v>
      </c>
      <c r="F5373" s="6" t="s">
        <v>283</v>
      </c>
      <c r="G5373" s="6" t="s">
        <v>458</v>
      </c>
      <c r="H5373" s="10">
        <v>46068.0</v>
      </c>
      <c r="I5373" s="12">
        <v>6.0</v>
      </c>
      <c r="J5373" s="6" t="s">
        <v>178</v>
      </c>
    </row>
    <row r="5374" ht="22.5" customHeight="1">
      <c r="A5374" s="6" t="s">
        <v>22182</v>
      </c>
      <c r="B5374" s="6" t="s">
        <v>12312</v>
      </c>
      <c r="C5374" s="10">
        <v>46057.0</v>
      </c>
      <c r="D5374" s="6" t="s">
        <v>436</v>
      </c>
      <c r="E5374" s="6" t="s">
        <v>1035</v>
      </c>
      <c r="F5374" s="6" t="s">
        <v>439</v>
      </c>
      <c r="G5374" s="6" t="s">
        <v>452</v>
      </c>
      <c r="H5374" s="10">
        <v>46058.0</v>
      </c>
      <c r="I5374" s="12">
        <v>7.0</v>
      </c>
      <c r="J5374" s="6" t="s">
        <v>178</v>
      </c>
    </row>
    <row r="5375" ht="22.5" customHeight="1">
      <c r="A5375" s="6" t="s">
        <v>22183</v>
      </c>
      <c r="B5375" s="6" t="s">
        <v>12312</v>
      </c>
      <c r="C5375" s="10">
        <v>46054.0</v>
      </c>
      <c r="D5375" s="6" t="s">
        <v>677</v>
      </c>
      <c r="E5375" s="6" t="s">
        <v>450</v>
      </c>
      <c r="F5375" s="6" t="s">
        <v>112</v>
      </c>
      <c r="G5375" s="6" t="s">
        <v>494</v>
      </c>
      <c r="H5375" s="11" t="s">
        <v>259</v>
      </c>
      <c r="I5375" s="12">
        <v>2.0</v>
      </c>
      <c r="J5375" s="6" t="s">
        <v>161</v>
      </c>
    </row>
    <row r="5376" ht="22.5" customHeight="1">
      <c r="A5376" s="6" t="s">
        <v>22184</v>
      </c>
      <c r="B5376" s="6" t="s">
        <v>12312</v>
      </c>
      <c r="C5376" s="10">
        <v>46043.0</v>
      </c>
      <c r="D5376" s="6" t="s">
        <v>436</v>
      </c>
      <c r="E5376" s="6" t="s">
        <v>1310</v>
      </c>
      <c r="F5376" s="6" t="s">
        <v>249</v>
      </c>
      <c r="G5376" s="6" t="s">
        <v>458</v>
      </c>
      <c r="H5376" s="10">
        <v>46046.0</v>
      </c>
      <c r="I5376" s="12">
        <v>6.0</v>
      </c>
      <c r="J5376" s="6" t="s">
        <v>178</v>
      </c>
    </row>
    <row r="5377" ht="22.5" customHeight="1">
      <c r="A5377" s="6" t="s">
        <v>22185</v>
      </c>
      <c r="B5377" s="6" t="s">
        <v>12312</v>
      </c>
      <c r="C5377" s="10">
        <v>46054.0</v>
      </c>
      <c r="D5377" s="6" t="s">
        <v>416</v>
      </c>
      <c r="E5377" s="6" t="s">
        <v>1969</v>
      </c>
      <c r="F5377" s="6" t="s">
        <v>112</v>
      </c>
      <c r="G5377" s="6" t="s">
        <v>458</v>
      </c>
      <c r="H5377" s="10">
        <v>46054.0</v>
      </c>
      <c r="I5377" s="12">
        <v>9.0</v>
      </c>
      <c r="J5377" s="6" t="s">
        <v>161</v>
      </c>
    </row>
    <row r="5378" ht="22.5" customHeight="1">
      <c r="A5378" s="6" t="s">
        <v>22186</v>
      </c>
      <c r="B5378" s="6" t="s">
        <v>12319</v>
      </c>
      <c r="C5378" s="10">
        <v>46068.0</v>
      </c>
      <c r="D5378" s="6" t="s">
        <v>416</v>
      </c>
      <c r="E5378" s="6" t="s">
        <v>1552</v>
      </c>
      <c r="F5378" s="6" t="s">
        <v>112</v>
      </c>
      <c r="G5378" s="6" t="s">
        <v>326</v>
      </c>
      <c r="H5378" s="10">
        <v>46073.0</v>
      </c>
      <c r="I5378" s="12">
        <v>8.0</v>
      </c>
      <c r="J5378" s="6" t="s">
        <v>161</v>
      </c>
    </row>
    <row r="5379" ht="22.5" customHeight="1">
      <c r="A5379" s="6" t="s">
        <v>22187</v>
      </c>
      <c r="B5379" s="6" t="s">
        <v>12319</v>
      </c>
      <c r="C5379" s="10">
        <v>46056.0</v>
      </c>
      <c r="D5379" s="6" t="s">
        <v>312</v>
      </c>
      <c r="E5379" s="6" t="s">
        <v>1720</v>
      </c>
      <c r="F5379" s="6" t="s">
        <v>249</v>
      </c>
      <c r="G5379" s="6" t="s">
        <v>458</v>
      </c>
      <c r="H5379" s="10">
        <v>46062.0</v>
      </c>
      <c r="I5379" s="12">
        <v>5.0</v>
      </c>
      <c r="J5379" s="6" t="s">
        <v>161</v>
      </c>
    </row>
    <row r="5380" ht="22.5" customHeight="1">
      <c r="A5380" s="6" t="s">
        <v>22188</v>
      </c>
      <c r="B5380" s="6" t="s">
        <v>12325</v>
      </c>
      <c r="C5380" s="10">
        <v>46024.0</v>
      </c>
      <c r="D5380" s="6" t="s">
        <v>677</v>
      </c>
      <c r="E5380" s="6" t="s">
        <v>1969</v>
      </c>
      <c r="F5380" s="6" t="s">
        <v>112</v>
      </c>
      <c r="G5380" s="6" t="s">
        <v>458</v>
      </c>
      <c r="H5380" s="10">
        <v>46027.0</v>
      </c>
      <c r="I5380" s="12">
        <v>3.0</v>
      </c>
      <c r="J5380" s="6" t="s">
        <v>161</v>
      </c>
    </row>
    <row r="5381" ht="22.5" customHeight="1">
      <c r="A5381" s="6" t="s">
        <v>22189</v>
      </c>
      <c r="B5381" s="6" t="s">
        <v>12325</v>
      </c>
      <c r="C5381" s="10">
        <v>46043.0</v>
      </c>
      <c r="D5381" s="6" t="s">
        <v>312</v>
      </c>
      <c r="E5381" s="6" t="s">
        <v>670</v>
      </c>
      <c r="F5381" s="6" t="s">
        <v>283</v>
      </c>
      <c r="G5381" s="6" t="s">
        <v>458</v>
      </c>
      <c r="H5381" s="10">
        <v>46050.0</v>
      </c>
      <c r="I5381" s="12">
        <v>7.0</v>
      </c>
      <c r="J5381" s="6" t="s">
        <v>161</v>
      </c>
    </row>
    <row r="5382" ht="22.5" customHeight="1">
      <c r="A5382" s="6" t="s">
        <v>22190</v>
      </c>
      <c r="B5382" s="6" t="s">
        <v>12325</v>
      </c>
      <c r="C5382" s="10">
        <v>46033.0</v>
      </c>
      <c r="D5382" s="6" t="s">
        <v>242</v>
      </c>
      <c r="E5382" s="6" t="s">
        <v>1273</v>
      </c>
      <c r="F5382" s="6" t="s">
        <v>283</v>
      </c>
      <c r="G5382" s="6" t="s">
        <v>369</v>
      </c>
      <c r="H5382" s="11" t="s">
        <v>259</v>
      </c>
      <c r="I5382" s="12">
        <v>4.0</v>
      </c>
      <c r="J5382" s="6" t="s">
        <v>178</v>
      </c>
    </row>
    <row r="5383" ht="22.5" customHeight="1">
      <c r="A5383" s="6" t="s">
        <v>22191</v>
      </c>
      <c r="B5383" s="6" t="s">
        <v>12325</v>
      </c>
      <c r="C5383" s="10">
        <v>46030.0</v>
      </c>
      <c r="D5383" s="6" t="s">
        <v>312</v>
      </c>
      <c r="E5383" s="6" t="s">
        <v>695</v>
      </c>
      <c r="F5383" s="6" t="s">
        <v>112</v>
      </c>
      <c r="G5383" s="6" t="s">
        <v>254</v>
      </c>
      <c r="H5383" s="10">
        <v>46032.0</v>
      </c>
      <c r="I5383" s="12">
        <v>5.0</v>
      </c>
      <c r="J5383" s="6" t="s">
        <v>161</v>
      </c>
    </row>
    <row r="5384" ht="22.5" customHeight="1">
      <c r="A5384" s="6" t="s">
        <v>22192</v>
      </c>
      <c r="B5384" s="6" t="s">
        <v>12331</v>
      </c>
      <c r="C5384" s="10">
        <v>46047.0</v>
      </c>
      <c r="D5384" s="6" t="s">
        <v>677</v>
      </c>
      <c r="E5384" s="6" t="s">
        <v>475</v>
      </c>
      <c r="F5384" s="6" t="s">
        <v>439</v>
      </c>
      <c r="G5384" s="6" t="s">
        <v>458</v>
      </c>
      <c r="H5384" s="10">
        <v>46054.0</v>
      </c>
      <c r="I5384" s="12">
        <v>4.0</v>
      </c>
      <c r="J5384" s="6" t="s">
        <v>161</v>
      </c>
    </row>
    <row r="5385" ht="22.5" customHeight="1">
      <c r="A5385" s="6" t="s">
        <v>22193</v>
      </c>
      <c r="B5385" s="6" t="s">
        <v>12337</v>
      </c>
      <c r="C5385" s="10">
        <v>46046.0</v>
      </c>
      <c r="D5385" s="6" t="s">
        <v>289</v>
      </c>
      <c r="E5385" s="6" t="s">
        <v>1386</v>
      </c>
      <c r="F5385" s="6" t="s">
        <v>439</v>
      </c>
      <c r="G5385" s="6" t="s">
        <v>494</v>
      </c>
      <c r="H5385" s="10">
        <v>46051.0</v>
      </c>
      <c r="I5385" s="12">
        <v>9.0</v>
      </c>
      <c r="J5385" s="6" t="s">
        <v>161</v>
      </c>
    </row>
    <row r="5386" ht="22.5" customHeight="1">
      <c r="A5386" s="6" t="s">
        <v>22194</v>
      </c>
      <c r="B5386" s="6" t="s">
        <v>12337</v>
      </c>
      <c r="C5386" s="10">
        <v>46031.0</v>
      </c>
      <c r="D5386" s="6" t="s">
        <v>312</v>
      </c>
      <c r="E5386" s="6" t="s">
        <v>687</v>
      </c>
      <c r="F5386" s="6" t="s">
        <v>439</v>
      </c>
      <c r="G5386" s="6" t="s">
        <v>254</v>
      </c>
      <c r="H5386" s="10">
        <v>46031.0</v>
      </c>
      <c r="I5386" s="12">
        <v>5.0</v>
      </c>
      <c r="J5386" s="6" t="s">
        <v>161</v>
      </c>
    </row>
    <row r="5387" ht="22.5" customHeight="1">
      <c r="A5387" s="6" t="s">
        <v>22195</v>
      </c>
      <c r="B5387" s="6" t="s">
        <v>12337</v>
      </c>
      <c r="C5387" s="10">
        <v>46030.0</v>
      </c>
      <c r="D5387" s="6" t="s">
        <v>391</v>
      </c>
      <c r="E5387" s="6" t="s">
        <v>1720</v>
      </c>
      <c r="F5387" s="6" t="s">
        <v>249</v>
      </c>
      <c r="G5387" s="6" t="s">
        <v>297</v>
      </c>
      <c r="H5387" s="10">
        <v>46036.0</v>
      </c>
      <c r="I5387" s="12">
        <v>7.0</v>
      </c>
      <c r="J5387" s="6" t="s">
        <v>161</v>
      </c>
    </row>
    <row r="5388" ht="22.5" customHeight="1">
      <c r="A5388" s="6" t="s">
        <v>22196</v>
      </c>
      <c r="B5388" s="6" t="s">
        <v>12343</v>
      </c>
      <c r="C5388" s="10">
        <v>46062.0</v>
      </c>
      <c r="D5388" s="6" t="s">
        <v>391</v>
      </c>
      <c r="E5388" s="6" t="s">
        <v>695</v>
      </c>
      <c r="F5388" s="6" t="s">
        <v>439</v>
      </c>
      <c r="G5388" s="6" t="s">
        <v>494</v>
      </c>
      <c r="H5388" s="10">
        <v>46065.0</v>
      </c>
      <c r="I5388" s="12">
        <v>7.0</v>
      </c>
      <c r="J5388" s="6" t="s">
        <v>161</v>
      </c>
    </row>
    <row r="5389" ht="22.5" customHeight="1">
      <c r="A5389" s="6" t="s">
        <v>22197</v>
      </c>
      <c r="B5389" s="6" t="s">
        <v>12343</v>
      </c>
      <c r="C5389" s="10">
        <v>46064.0</v>
      </c>
      <c r="D5389" s="6" t="s">
        <v>436</v>
      </c>
      <c r="E5389" s="6" t="s">
        <v>695</v>
      </c>
      <c r="F5389" s="6" t="s">
        <v>439</v>
      </c>
      <c r="G5389" s="6" t="s">
        <v>297</v>
      </c>
      <c r="H5389" s="11" t="s">
        <v>259</v>
      </c>
      <c r="I5389" s="12">
        <v>6.0</v>
      </c>
      <c r="J5389" s="6" t="s">
        <v>178</v>
      </c>
    </row>
    <row r="5390" ht="22.5" customHeight="1">
      <c r="A5390" s="6" t="s">
        <v>22198</v>
      </c>
      <c r="B5390" s="6" t="s">
        <v>12343</v>
      </c>
      <c r="C5390" s="10">
        <v>46064.0</v>
      </c>
      <c r="D5390" s="6" t="s">
        <v>242</v>
      </c>
      <c r="E5390" s="6" t="s">
        <v>955</v>
      </c>
      <c r="F5390" s="6" t="s">
        <v>112</v>
      </c>
      <c r="G5390" s="6" t="s">
        <v>326</v>
      </c>
      <c r="H5390" s="10">
        <v>46065.0</v>
      </c>
      <c r="I5390" s="12">
        <v>6.0</v>
      </c>
      <c r="J5390" s="6" t="s">
        <v>178</v>
      </c>
    </row>
    <row r="5391" ht="22.5" customHeight="1">
      <c r="A5391" s="6" t="s">
        <v>22199</v>
      </c>
      <c r="B5391" s="6" t="s">
        <v>12343</v>
      </c>
      <c r="C5391" s="10">
        <v>46066.0</v>
      </c>
      <c r="D5391" s="6" t="s">
        <v>436</v>
      </c>
      <c r="E5391" s="6" t="s">
        <v>1546</v>
      </c>
      <c r="F5391" s="6" t="s">
        <v>283</v>
      </c>
      <c r="G5391" s="6" t="s">
        <v>326</v>
      </c>
      <c r="H5391" s="10">
        <v>46066.0</v>
      </c>
      <c r="I5391" s="12">
        <v>11.0</v>
      </c>
      <c r="J5391" s="6" t="s">
        <v>178</v>
      </c>
    </row>
    <row r="5392" ht="22.5" customHeight="1">
      <c r="A5392" s="6" t="s">
        <v>22200</v>
      </c>
      <c r="B5392" s="6" t="s">
        <v>12343</v>
      </c>
      <c r="C5392" s="10">
        <v>46065.0</v>
      </c>
      <c r="D5392" s="6" t="s">
        <v>242</v>
      </c>
      <c r="E5392" s="6" t="s">
        <v>610</v>
      </c>
      <c r="F5392" s="6" t="s">
        <v>283</v>
      </c>
      <c r="G5392" s="6" t="s">
        <v>326</v>
      </c>
      <c r="H5392" s="11" t="s">
        <v>259</v>
      </c>
      <c r="I5392" s="12">
        <v>5.0</v>
      </c>
      <c r="J5392" s="6" t="s">
        <v>178</v>
      </c>
    </row>
    <row r="5393" ht="22.5" customHeight="1">
      <c r="A5393" s="6" t="s">
        <v>22201</v>
      </c>
      <c r="B5393" s="6" t="s">
        <v>12349</v>
      </c>
      <c r="C5393" s="10">
        <v>46056.0</v>
      </c>
      <c r="D5393" s="6" t="s">
        <v>242</v>
      </c>
      <c r="E5393" s="6" t="s">
        <v>787</v>
      </c>
      <c r="F5393" s="6" t="s">
        <v>439</v>
      </c>
      <c r="G5393" s="6" t="s">
        <v>369</v>
      </c>
      <c r="H5393" s="10">
        <v>46060.0</v>
      </c>
      <c r="I5393" s="12">
        <v>5.0</v>
      </c>
      <c r="J5393" s="6" t="s">
        <v>161</v>
      </c>
    </row>
    <row r="5394" ht="22.5" customHeight="1">
      <c r="A5394" s="6" t="s">
        <v>22202</v>
      </c>
      <c r="B5394" s="6" t="s">
        <v>12349</v>
      </c>
      <c r="C5394" s="10">
        <v>46064.0</v>
      </c>
      <c r="D5394" s="6" t="s">
        <v>436</v>
      </c>
      <c r="E5394" s="6" t="s">
        <v>438</v>
      </c>
      <c r="F5394" s="6" t="s">
        <v>283</v>
      </c>
      <c r="G5394" s="6" t="s">
        <v>326</v>
      </c>
      <c r="H5394" s="10">
        <v>46070.0</v>
      </c>
      <c r="I5394" s="12">
        <v>8.0</v>
      </c>
      <c r="J5394" s="6" t="s">
        <v>178</v>
      </c>
    </row>
    <row r="5395" ht="22.5" customHeight="1">
      <c r="A5395" s="6" t="s">
        <v>22203</v>
      </c>
      <c r="B5395" s="6" t="s">
        <v>12349</v>
      </c>
      <c r="C5395" s="10">
        <v>46053.0</v>
      </c>
      <c r="D5395" s="6" t="s">
        <v>436</v>
      </c>
      <c r="E5395" s="6" t="s">
        <v>634</v>
      </c>
      <c r="F5395" s="6" t="s">
        <v>283</v>
      </c>
      <c r="G5395" s="6" t="s">
        <v>477</v>
      </c>
      <c r="H5395" s="10">
        <v>46056.0</v>
      </c>
      <c r="I5395" s="12">
        <v>11.0</v>
      </c>
      <c r="J5395" s="6" t="s">
        <v>178</v>
      </c>
    </row>
    <row r="5396" ht="22.5" customHeight="1">
      <c r="A5396" s="6" t="s">
        <v>22204</v>
      </c>
      <c r="B5396" s="6" t="s">
        <v>12349</v>
      </c>
      <c r="C5396" s="10">
        <v>46064.0</v>
      </c>
      <c r="D5396" s="6" t="s">
        <v>677</v>
      </c>
      <c r="E5396" s="6" t="s">
        <v>1070</v>
      </c>
      <c r="F5396" s="6" t="s">
        <v>439</v>
      </c>
      <c r="G5396" s="6" t="s">
        <v>297</v>
      </c>
      <c r="H5396" s="10">
        <v>46069.0</v>
      </c>
      <c r="I5396" s="12">
        <v>3.0</v>
      </c>
      <c r="J5396" s="6" t="s">
        <v>161</v>
      </c>
    </row>
    <row r="5397" ht="22.5" customHeight="1">
      <c r="A5397" s="6" t="s">
        <v>22205</v>
      </c>
      <c r="B5397" s="6" t="s">
        <v>12349</v>
      </c>
      <c r="C5397" s="10">
        <v>46067.0</v>
      </c>
      <c r="D5397" s="6" t="s">
        <v>391</v>
      </c>
      <c r="E5397" s="6" t="s">
        <v>2365</v>
      </c>
      <c r="F5397" s="6" t="s">
        <v>439</v>
      </c>
      <c r="G5397" s="6" t="s">
        <v>477</v>
      </c>
      <c r="H5397" s="10">
        <v>46069.0</v>
      </c>
      <c r="I5397" s="12">
        <v>11.0</v>
      </c>
      <c r="J5397" s="6" t="s">
        <v>161</v>
      </c>
    </row>
    <row r="5398" ht="22.5" customHeight="1">
      <c r="A5398" s="6" t="s">
        <v>22206</v>
      </c>
      <c r="B5398" s="6" t="s">
        <v>12355</v>
      </c>
      <c r="C5398" s="10">
        <v>46058.0</v>
      </c>
      <c r="D5398" s="6" t="s">
        <v>312</v>
      </c>
      <c r="E5398" s="6" t="s">
        <v>1517</v>
      </c>
      <c r="F5398" s="6" t="s">
        <v>283</v>
      </c>
      <c r="G5398" s="6" t="s">
        <v>452</v>
      </c>
      <c r="H5398" s="10">
        <v>46058.0</v>
      </c>
      <c r="I5398" s="12">
        <v>6.0</v>
      </c>
      <c r="J5398" s="6" t="s">
        <v>161</v>
      </c>
    </row>
    <row r="5399" ht="22.5" customHeight="1">
      <c r="A5399" s="6" t="s">
        <v>22207</v>
      </c>
      <c r="B5399" s="6" t="s">
        <v>12355</v>
      </c>
      <c r="C5399" s="10">
        <v>46059.0</v>
      </c>
      <c r="D5399" s="6" t="s">
        <v>391</v>
      </c>
      <c r="E5399" s="6" t="s">
        <v>291</v>
      </c>
      <c r="F5399" s="6" t="s">
        <v>249</v>
      </c>
      <c r="G5399" s="6" t="s">
        <v>254</v>
      </c>
      <c r="H5399" s="10">
        <v>46064.0</v>
      </c>
      <c r="I5399" s="12">
        <v>7.0</v>
      </c>
      <c r="J5399" s="6" t="s">
        <v>161</v>
      </c>
    </row>
    <row r="5400" ht="22.5" customHeight="1">
      <c r="A5400" s="6" t="s">
        <v>22208</v>
      </c>
      <c r="B5400" s="6" t="s">
        <v>12355</v>
      </c>
      <c r="C5400" s="10">
        <v>46066.0</v>
      </c>
      <c r="D5400" s="6" t="s">
        <v>312</v>
      </c>
      <c r="E5400" s="6" t="s">
        <v>1149</v>
      </c>
      <c r="F5400" s="6" t="s">
        <v>249</v>
      </c>
      <c r="G5400" s="6" t="s">
        <v>452</v>
      </c>
      <c r="H5400" s="10">
        <v>46070.0</v>
      </c>
      <c r="I5400" s="12">
        <v>6.0</v>
      </c>
      <c r="J5400" s="6" t="s">
        <v>161</v>
      </c>
    </row>
    <row r="5401" ht="22.5" customHeight="1">
      <c r="A5401" s="6" t="s">
        <v>22209</v>
      </c>
      <c r="B5401" s="6" t="s">
        <v>12355</v>
      </c>
      <c r="C5401" s="10">
        <v>46068.0</v>
      </c>
      <c r="D5401" s="6" t="s">
        <v>436</v>
      </c>
      <c r="E5401" s="6" t="s">
        <v>716</v>
      </c>
      <c r="F5401" s="6" t="s">
        <v>249</v>
      </c>
      <c r="G5401" s="6" t="s">
        <v>326</v>
      </c>
      <c r="H5401" s="10">
        <v>46068.0</v>
      </c>
      <c r="I5401" s="12">
        <v>11.0</v>
      </c>
      <c r="J5401" s="6" t="s">
        <v>178</v>
      </c>
    </row>
    <row r="5402" ht="22.5" customHeight="1">
      <c r="A5402" s="6" t="s">
        <v>22210</v>
      </c>
      <c r="B5402" s="6" t="s">
        <v>12355</v>
      </c>
      <c r="C5402" s="10">
        <v>46066.0</v>
      </c>
      <c r="D5402" s="6" t="s">
        <v>289</v>
      </c>
      <c r="E5402" s="6" t="s">
        <v>787</v>
      </c>
      <c r="F5402" s="6" t="s">
        <v>112</v>
      </c>
      <c r="G5402" s="6" t="s">
        <v>326</v>
      </c>
      <c r="H5402" s="10">
        <v>46067.0</v>
      </c>
      <c r="I5402" s="12">
        <v>8.0</v>
      </c>
      <c r="J5402" s="6" t="s">
        <v>161</v>
      </c>
    </row>
    <row r="5403" ht="22.5" customHeight="1">
      <c r="A5403" s="6" t="s">
        <v>22211</v>
      </c>
      <c r="B5403" s="6" t="s">
        <v>12362</v>
      </c>
      <c r="C5403" s="10">
        <v>46053.0</v>
      </c>
      <c r="D5403" s="6" t="s">
        <v>312</v>
      </c>
      <c r="E5403" s="6" t="s">
        <v>833</v>
      </c>
      <c r="F5403" s="6" t="s">
        <v>283</v>
      </c>
      <c r="G5403" s="6" t="s">
        <v>477</v>
      </c>
      <c r="H5403" s="10">
        <v>46056.0</v>
      </c>
      <c r="I5403" s="12">
        <v>7.0</v>
      </c>
      <c r="J5403" s="6" t="s">
        <v>161</v>
      </c>
    </row>
    <row r="5404" ht="22.5" customHeight="1">
      <c r="A5404" s="6" t="s">
        <v>22212</v>
      </c>
      <c r="B5404" s="6" t="s">
        <v>12362</v>
      </c>
      <c r="C5404" s="10">
        <v>46051.0</v>
      </c>
      <c r="D5404" s="6" t="s">
        <v>391</v>
      </c>
      <c r="E5404" s="6" t="s">
        <v>885</v>
      </c>
      <c r="F5404" s="6" t="s">
        <v>283</v>
      </c>
      <c r="G5404" s="6" t="s">
        <v>326</v>
      </c>
      <c r="H5404" s="10">
        <v>46052.0</v>
      </c>
      <c r="I5404" s="12">
        <v>10.0</v>
      </c>
      <c r="J5404" s="6" t="s">
        <v>161</v>
      </c>
    </row>
    <row r="5405" ht="22.5" customHeight="1">
      <c r="A5405" s="6" t="s">
        <v>22213</v>
      </c>
      <c r="B5405" s="6" t="s">
        <v>12362</v>
      </c>
      <c r="C5405" s="10">
        <v>46046.0</v>
      </c>
      <c r="D5405" s="6" t="s">
        <v>289</v>
      </c>
      <c r="E5405" s="6" t="s">
        <v>731</v>
      </c>
      <c r="F5405" s="6" t="s">
        <v>439</v>
      </c>
      <c r="G5405" s="6" t="s">
        <v>477</v>
      </c>
      <c r="H5405" s="10">
        <v>46053.0</v>
      </c>
      <c r="I5405" s="12">
        <v>7.0</v>
      </c>
      <c r="J5405" s="6" t="s">
        <v>161</v>
      </c>
    </row>
    <row r="5406" ht="22.5" customHeight="1">
      <c r="A5406" s="6" t="s">
        <v>22214</v>
      </c>
      <c r="B5406" s="6" t="s">
        <v>12368</v>
      </c>
      <c r="C5406" s="10">
        <v>46058.0</v>
      </c>
      <c r="D5406" s="6" t="s">
        <v>677</v>
      </c>
      <c r="E5406" s="6" t="s">
        <v>798</v>
      </c>
      <c r="F5406" s="6" t="s">
        <v>283</v>
      </c>
      <c r="G5406" s="6" t="s">
        <v>254</v>
      </c>
      <c r="H5406" s="10">
        <v>46060.0</v>
      </c>
      <c r="I5406" s="12">
        <v>3.0</v>
      </c>
      <c r="J5406" s="6" t="s">
        <v>161</v>
      </c>
    </row>
    <row r="5407" ht="22.5" customHeight="1">
      <c r="A5407" s="6" t="s">
        <v>22215</v>
      </c>
      <c r="B5407" s="6" t="s">
        <v>12368</v>
      </c>
      <c r="C5407" s="10">
        <v>46055.0</v>
      </c>
      <c r="D5407" s="6" t="s">
        <v>416</v>
      </c>
      <c r="E5407" s="6" t="s">
        <v>2881</v>
      </c>
      <c r="F5407" s="6" t="s">
        <v>439</v>
      </c>
      <c r="G5407" s="6" t="s">
        <v>254</v>
      </c>
      <c r="H5407" s="10">
        <v>46055.0</v>
      </c>
      <c r="I5407" s="12">
        <v>14.0</v>
      </c>
      <c r="J5407" s="6" t="s">
        <v>161</v>
      </c>
    </row>
    <row r="5408" ht="22.5" customHeight="1">
      <c r="A5408" s="6" t="s">
        <v>22216</v>
      </c>
      <c r="B5408" s="6" t="s">
        <v>12374</v>
      </c>
      <c r="C5408" s="10">
        <v>46043.0</v>
      </c>
      <c r="D5408" s="6" t="s">
        <v>289</v>
      </c>
      <c r="E5408" s="6" t="s">
        <v>610</v>
      </c>
      <c r="F5408" s="6" t="s">
        <v>283</v>
      </c>
      <c r="G5408" s="6" t="s">
        <v>458</v>
      </c>
      <c r="H5408" s="11" t="s">
        <v>259</v>
      </c>
      <c r="I5408" s="12">
        <v>10.0</v>
      </c>
      <c r="J5408" s="6" t="s">
        <v>161</v>
      </c>
    </row>
    <row r="5409" ht="22.5" customHeight="1">
      <c r="A5409" s="6" t="s">
        <v>22217</v>
      </c>
      <c r="B5409" s="6" t="s">
        <v>12374</v>
      </c>
      <c r="C5409" s="10">
        <v>46038.0</v>
      </c>
      <c r="D5409" s="6" t="s">
        <v>312</v>
      </c>
      <c r="E5409" s="6" t="s">
        <v>1517</v>
      </c>
      <c r="F5409" s="6" t="s">
        <v>439</v>
      </c>
      <c r="G5409" s="6" t="s">
        <v>452</v>
      </c>
      <c r="H5409" s="10">
        <v>46042.0</v>
      </c>
      <c r="I5409" s="12">
        <v>7.0</v>
      </c>
      <c r="J5409" s="6" t="s">
        <v>161</v>
      </c>
    </row>
    <row r="5410" ht="22.5" customHeight="1">
      <c r="A5410" s="6" t="s">
        <v>22218</v>
      </c>
      <c r="B5410" s="6" t="s">
        <v>12374</v>
      </c>
      <c r="C5410" s="10">
        <v>46040.0</v>
      </c>
      <c r="D5410" s="6" t="s">
        <v>242</v>
      </c>
      <c r="E5410" s="6" t="s">
        <v>628</v>
      </c>
      <c r="F5410" s="6" t="s">
        <v>283</v>
      </c>
      <c r="G5410" s="6" t="s">
        <v>297</v>
      </c>
      <c r="H5410" s="11" t="s">
        <v>259</v>
      </c>
      <c r="I5410" s="12">
        <v>4.0</v>
      </c>
      <c r="J5410" s="6" t="s">
        <v>178</v>
      </c>
    </row>
    <row r="5411" ht="22.5" customHeight="1">
      <c r="A5411" s="6" t="s">
        <v>22219</v>
      </c>
      <c r="B5411" s="6" t="s">
        <v>12382</v>
      </c>
      <c r="C5411" s="10">
        <v>46052.0</v>
      </c>
      <c r="D5411" s="6" t="s">
        <v>312</v>
      </c>
      <c r="E5411" s="6" t="s">
        <v>1570</v>
      </c>
      <c r="F5411" s="6" t="s">
        <v>283</v>
      </c>
      <c r="G5411" s="6" t="s">
        <v>326</v>
      </c>
      <c r="H5411" s="10">
        <v>46058.0</v>
      </c>
      <c r="I5411" s="12">
        <v>6.0</v>
      </c>
      <c r="J5411" s="6" t="s">
        <v>161</v>
      </c>
    </row>
    <row r="5412" ht="22.5" customHeight="1">
      <c r="A5412" s="6" t="s">
        <v>22220</v>
      </c>
      <c r="B5412" s="6" t="s">
        <v>12382</v>
      </c>
      <c r="C5412" s="10">
        <v>46045.0</v>
      </c>
      <c r="D5412" s="6" t="s">
        <v>242</v>
      </c>
      <c r="E5412" s="6" t="s">
        <v>583</v>
      </c>
      <c r="F5412" s="6" t="s">
        <v>249</v>
      </c>
      <c r="G5412" s="6" t="s">
        <v>326</v>
      </c>
      <c r="H5412" s="10">
        <v>46051.0</v>
      </c>
      <c r="I5412" s="12">
        <v>4.0</v>
      </c>
      <c r="J5412" s="6" t="s">
        <v>161</v>
      </c>
    </row>
    <row r="5413" ht="22.5" customHeight="1">
      <c r="A5413" s="6" t="s">
        <v>22221</v>
      </c>
      <c r="B5413" s="6" t="s">
        <v>12388</v>
      </c>
      <c r="C5413" s="10">
        <v>46050.0</v>
      </c>
      <c r="D5413" s="6" t="s">
        <v>677</v>
      </c>
      <c r="E5413" s="6" t="s">
        <v>634</v>
      </c>
      <c r="F5413" s="6" t="s">
        <v>112</v>
      </c>
      <c r="G5413" s="6" t="s">
        <v>452</v>
      </c>
      <c r="H5413" s="10">
        <v>46052.0</v>
      </c>
      <c r="I5413" s="12">
        <v>2.0</v>
      </c>
      <c r="J5413" s="6" t="s">
        <v>161</v>
      </c>
    </row>
    <row r="5414" ht="22.5" customHeight="1">
      <c r="A5414" s="6" t="s">
        <v>22222</v>
      </c>
      <c r="B5414" s="6" t="s">
        <v>12388</v>
      </c>
      <c r="C5414" s="10">
        <v>46056.0</v>
      </c>
      <c r="D5414" s="6" t="s">
        <v>312</v>
      </c>
      <c r="E5414" s="6" t="s">
        <v>320</v>
      </c>
      <c r="F5414" s="6" t="s">
        <v>249</v>
      </c>
      <c r="G5414" s="6" t="s">
        <v>477</v>
      </c>
      <c r="H5414" s="10">
        <v>46063.0</v>
      </c>
      <c r="I5414" s="12">
        <v>4.0</v>
      </c>
      <c r="J5414" s="6" t="s">
        <v>161</v>
      </c>
    </row>
    <row r="5415" ht="22.5" customHeight="1">
      <c r="A5415" s="6" t="s">
        <v>22223</v>
      </c>
      <c r="B5415" s="6" t="s">
        <v>12388</v>
      </c>
      <c r="C5415" s="10">
        <v>46040.0</v>
      </c>
      <c r="D5415" s="6" t="s">
        <v>391</v>
      </c>
      <c r="E5415" s="6" t="s">
        <v>1149</v>
      </c>
      <c r="F5415" s="6" t="s">
        <v>439</v>
      </c>
      <c r="G5415" s="6" t="s">
        <v>297</v>
      </c>
      <c r="H5415" s="10">
        <v>46044.0</v>
      </c>
      <c r="I5415" s="12">
        <v>9.0</v>
      </c>
      <c r="J5415" s="6" t="s">
        <v>161</v>
      </c>
    </row>
    <row r="5416" ht="22.5" customHeight="1">
      <c r="A5416" s="6" t="s">
        <v>22224</v>
      </c>
      <c r="B5416" s="6" t="s">
        <v>12394</v>
      </c>
      <c r="C5416" s="10">
        <v>46043.0</v>
      </c>
      <c r="D5416" s="6" t="s">
        <v>242</v>
      </c>
      <c r="E5416" s="6" t="s">
        <v>1273</v>
      </c>
      <c r="F5416" s="6" t="s">
        <v>249</v>
      </c>
      <c r="G5416" s="6" t="s">
        <v>326</v>
      </c>
      <c r="H5416" s="10">
        <v>46045.0</v>
      </c>
      <c r="I5416" s="12">
        <v>6.0</v>
      </c>
      <c r="J5416" s="6" t="s">
        <v>161</v>
      </c>
    </row>
    <row r="5417" ht="22.5" customHeight="1">
      <c r="A5417" s="6" t="s">
        <v>22225</v>
      </c>
      <c r="B5417" s="6" t="s">
        <v>12394</v>
      </c>
      <c r="C5417" s="10">
        <v>46032.0</v>
      </c>
      <c r="D5417" s="6" t="s">
        <v>391</v>
      </c>
      <c r="E5417" s="6" t="s">
        <v>246</v>
      </c>
      <c r="F5417" s="6" t="s">
        <v>112</v>
      </c>
      <c r="G5417" s="6" t="s">
        <v>369</v>
      </c>
      <c r="H5417" s="10">
        <v>46035.0</v>
      </c>
      <c r="I5417" s="12">
        <v>9.0</v>
      </c>
      <c r="J5417" s="6" t="s">
        <v>161</v>
      </c>
    </row>
    <row r="5418" ht="22.5" customHeight="1">
      <c r="A5418" s="6" t="s">
        <v>22226</v>
      </c>
      <c r="B5418" s="6" t="s">
        <v>12394</v>
      </c>
      <c r="C5418" s="10">
        <v>46042.0</v>
      </c>
      <c r="D5418" s="6" t="s">
        <v>677</v>
      </c>
      <c r="E5418" s="6" t="s">
        <v>1280</v>
      </c>
      <c r="F5418" s="6" t="s">
        <v>249</v>
      </c>
      <c r="G5418" s="6" t="s">
        <v>452</v>
      </c>
      <c r="H5418" s="10">
        <v>46049.0</v>
      </c>
      <c r="I5418" s="12">
        <v>2.0</v>
      </c>
      <c r="J5418" s="6" t="s">
        <v>161</v>
      </c>
    </row>
    <row r="5419" ht="22.5" customHeight="1">
      <c r="A5419" s="6" t="s">
        <v>22227</v>
      </c>
      <c r="B5419" s="6" t="s">
        <v>12394</v>
      </c>
      <c r="C5419" s="10">
        <v>46035.0</v>
      </c>
      <c r="D5419" s="6" t="s">
        <v>242</v>
      </c>
      <c r="E5419" s="6" t="s">
        <v>704</v>
      </c>
      <c r="F5419" s="6" t="s">
        <v>249</v>
      </c>
      <c r="G5419" s="6" t="s">
        <v>458</v>
      </c>
      <c r="H5419" s="10">
        <v>46037.0</v>
      </c>
      <c r="I5419" s="12">
        <v>3.0</v>
      </c>
      <c r="J5419" s="6" t="s">
        <v>161</v>
      </c>
    </row>
    <row r="5420" ht="22.5" customHeight="1">
      <c r="A5420" s="6" t="s">
        <v>22228</v>
      </c>
      <c r="B5420" s="6" t="s">
        <v>12401</v>
      </c>
      <c r="C5420" s="10">
        <v>46042.0</v>
      </c>
      <c r="D5420" s="6" t="s">
        <v>242</v>
      </c>
      <c r="E5420" s="6" t="s">
        <v>787</v>
      </c>
      <c r="F5420" s="6" t="s">
        <v>439</v>
      </c>
      <c r="G5420" s="6" t="s">
        <v>254</v>
      </c>
      <c r="H5420" s="10">
        <v>46043.0</v>
      </c>
      <c r="I5420" s="12">
        <v>6.0</v>
      </c>
      <c r="J5420" s="6" t="s">
        <v>178</v>
      </c>
    </row>
    <row r="5421" ht="22.5" customHeight="1">
      <c r="A5421" s="6" t="s">
        <v>22229</v>
      </c>
      <c r="B5421" s="6" t="s">
        <v>12401</v>
      </c>
      <c r="C5421" s="10">
        <v>46053.0</v>
      </c>
      <c r="D5421" s="6" t="s">
        <v>677</v>
      </c>
      <c r="E5421" s="6" t="s">
        <v>1386</v>
      </c>
      <c r="F5421" s="6" t="s">
        <v>439</v>
      </c>
      <c r="G5421" s="6" t="s">
        <v>369</v>
      </c>
      <c r="H5421" s="10">
        <v>46057.0</v>
      </c>
      <c r="I5421" s="12">
        <v>3.0</v>
      </c>
      <c r="J5421" s="6" t="s">
        <v>161</v>
      </c>
    </row>
    <row r="5422" ht="22.5" customHeight="1">
      <c r="A5422" s="6" t="s">
        <v>22230</v>
      </c>
      <c r="B5422" s="6" t="s">
        <v>12401</v>
      </c>
      <c r="C5422" s="10">
        <v>46046.0</v>
      </c>
      <c r="D5422" s="6" t="s">
        <v>289</v>
      </c>
      <c r="E5422" s="6" t="s">
        <v>450</v>
      </c>
      <c r="F5422" s="6" t="s">
        <v>249</v>
      </c>
      <c r="G5422" s="6" t="s">
        <v>477</v>
      </c>
      <c r="H5422" s="10">
        <v>46052.0</v>
      </c>
      <c r="I5422" s="12">
        <v>9.0</v>
      </c>
      <c r="J5422" s="6" t="s">
        <v>161</v>
      </c>
    </row>
    <row r="5423" ht="22.5" customHeight="1">
      <c r="A5423" s="6" t="s">
        <v>22231</v>
      </c>
      <c r="B5423" s="6" t="s">
        <v>12401</v>
      </c>
      <c r="C5423" s="10">
        <v>46048.0</v>
      </c>
      <c r="D5423" s="6" t="s">
        <v>312</v>
      </c>
      <c r="E5423" s="6" t="s">
        <v>1600</v>
      </c>
      <c r="F5423" s="6" t="s">
        <v>283</v>
      </c>
      <c r="G5423" s="6" t="s">
        <v>452</v>
      </c>
      <c r="H5423" s="10">
        <v>46052.0</v>
      </c>
      <c r="I5423" s="12">
        <v>4.0</v>
      </c>
      <c r="J5423" s="6" t="s">
        <v>161</v>
      </c>
    </row>
    <row r="5424" ht="22.5" customHeight="1">
      <c r="A5424" s="6" t="s">
        <v>22232</v>
      </c>
      <c r="B5424" s="6" t="s">
        <v>12401</v>
      </c>
      <c r="C5424" s="10">
        <v>46058.0</v>
      </c>
      <c r="D5424" s="6" t="s">
        <v>242</v>
      </c>
      <c r="E5424" s="6" t="s">
        <v>365</v>
      </c>
      <c r="F5424" s="6" t="s">
        <v>112</v>
      </c>
      <c r="G5424" s="6" t="s">
        <v>458</v>
      </c>
      <c r="H5424" s="10">
        <v>46063.0</v>
      </c>
      <c r="I5424" s="12">
        <v>4.0</v>
      </c>
      <c r="J5424" s="6" t="s">
        <v>178</v>
      </c>
    </row>
    <row r="5425" ht="22.5" customHeight="1">
      <c r="A5425" s="6" t="s">
        <v>22233</v>
      </c>
      <c r="B5425" s="6" t="s">
        <v>12407</v>
      </c>
      <c r="C5425" s="10">
        <v>46043.0</v>
      </c>
      <c r="D5425" s="6" t="s">
        <v>416</v>
      </c>
      <c r="E5425" s="6" t="s">
        <v>583</v>
      </c>
      <c r="F5425" s="6" t="s">
        <v>249</v>
      </c>
      <c r="G5425" s="6" t="s">
        <v>458</v>
      </c>
      <c r="H5425" s="11" t="s">
        <v>259</v>
      </c>
      <c r="I5425" s="12">
        <v>12.0</v>
      </c>
      <c r="J5425" s="6" t="s">
        <v>161</v>
      </c>
    </row>
    <row r="5426" ht="22.5" customHeight="1">
      <c r="A5426" s="6" t="s">
        <v>22234</v>
      </c>
      <c r="B5426" s="6" t="s">
        <v>12407</v>
      </c>
      <c r="C5426" s="10">
        <v>46050.0</v>
      </c>
      <c r="D5426" s="6" t="s">
        <v>436</v>
      </c>
      <c r="E5426" s="6" t="s">
        <v>1035</v>
      </c>
      <c r="F5426" s="6" t="s">
        <v>283</v>
      </c>
      <c r="G5426" s="6" t="s">
        <v>326</v>
      </c>
      <c r="H5426" s="10">
        <v>46057.0</v>
      </c>
      <c r="I5426" s="12">
        <v>11.0</v>
      </c>
      <c r="J5426" s="6" t="s">
        <v>161</v>
      </c>
    </row>
    <row r="5427" ht="22.5" customHeight="1">
      <c r="A5427" s="6" t="s">
        <v>22235</v>
      </c>
      <c r="B5427" s="6" t="s">
        <v>12407</v>
      </c>
      <c r="C5427" s="10">
        <v>46042.0</v>
      </c>
      <c r="D5427" s="6" t="s">
        <v>677</v>
      </c>
      <c r="E5427" s="6" t="s">
        <v>1035</v>
      </c>
      <c r="F5427" s="6" t="s">
        <v>112</v>
      </c>
      <c r="G5427" s="6" t="s">
        <v>452</v>
      </c>
      <c r="H5427" s="10">
        <v>46048.0</v>
      </c>
      <c r="I5427" s="12">
        <v>3.0</v>
      </c>
      <c r="J5427" s="6" t="s">
        <v>161</v>
      </c>
    </row>
    <row r="5428" ht="22.5" customHeight="1">
      <c r="A5428" s="6" t="s">
        <v>22236</v>
      </c>
      <c r="B5428" s="6" t="s">
        <v>12407</v>
      </c>
      <c r="C5428" s="10">
        <v>46055.0</v>
      </c>
      <c r="D5428" s="6" t="s">
        <v>289</v>
      </c>
      <c r="E5428" s="6" t="s">
        <v>438</v>
      </c>
      <c r="F5428" s="6" t="s">
        <v>249</v>
      </c>
      <c r="G5428" s="6" t="s">
        <v>369</v>
      </c>
      <c r="H5428" s="11" t="s">
        <v>259</v>
      </c>
      <c r="I5428" s="12">
        <v>10.0</v>
      </c>
      <c r="J5428" s="6" t="s">
        <v>161</v>
      </c>
    </row>
    <row r="5429" ht="22.5" customHeight="1">
      <c r="A5429" s="6" t="s">
        <v>22237</v>
      </c>
      <c r="B5429" s="6" t="s">
        <v>12413</v>
      </c>
      <c r="C5429" s="10">
        <v>46058.0</v>
      </c>
      <c r="D5429" s="6" t="s">
        <v>242</v>
      </c>
      <c r="E5429" s="6" t="s">
        <v>1552</v>
      </c>
      <c r="F5429" s="6" t="s">
        <v>283</v>
      </c>
      <c r="G5429" s="6" t="s">
        <v>369</v>
      </c>
      <c r="H5429" s="10">
        <v>46064.0</v>
      </c>
      <c r="I5429" s="12">
        <v>6.0</v>
      </c>
      <c r="J5429" s="6" t="s">
        <v>178</v>
      </c>
    </row>
    <row r="5430" ht="22.5" customHeight="1">
      <c r="A5430" s="6" t="s">
        <v>22238</v>
      </c>
      <c r="B5430" s="6" t="s">
        <v>12413</v>
      </c>
      <c r="C5430" s="10">
        <v>46071.0</v>
      </c>
      <c r="D5430" s="6" t="s">
        <v>436</v>
      </c>
      <c r="E5430" s="6" t="s">
        <v>775</v>
      </c>
      <c r="F5430" s="6" t="s">
        <v>439</v>
      </c>
      <c r="G5430" s="6" t="s">
        <v>494</v>
      </c>
      <c r="H5430" s="10">
        <v>46074.0</v>
      </c>
      <c r="I5430" s="12">
        <v>11.0</v>
      </c>
      <c r="J5430" s="6" t="s">
        <v>178</v>
      </c>
    </row>
    <row r="5431" ht="22.5" customHeight="1">
      <c r="A5431" s="6" t="s">
        <v>22239</v>
      </c>
      <c r="B5431" s="6" t="s">
        <v>12413</v>
      </c>
      <c r="C5431" s="10">
        <v>46071.0</v>
      </c>
      <c r="D5431" s="6" t="s">
        <v>289</v>
      </c>
      <c r="E5431" s="6" t="s">
        <v>320</v>
      </c>
      <c r="F5431" s="6" t="s">
        <v>112</v>
      </c>
      <c r="G5431" s="6" t="s">
        <v>297</v>
      </c>
      <c r="H5431" s="10">
        <v>46078.0</v>
      </c>
      <c r="I5431" s="12">
        <v>10.0</v>
      </c>
      <c r="J5431" s="6" t="s">
        <v>161</v>
      </c>
    </row>
    <row r="5432" ht="22.5" customHeight="1">
      <c r="A5432" s="6" t="s">
        <v>22240</v>
      </c>
      <c r="B5432" s="6" t="s">
        <v>12419</v>
      </c>
      <c r="C5432" s="10">
        <v>46059.0</v>
      </c>
      <c r="D5432" s="6" t="s">
        <v>436</v>
      </c>
      <c r="E5432" s="6" t="s">
        <v>512</v>
      </c>
      <c r="F5432" s="6" t="s">
        <v>283</v>
      </c>
      <c r="G5432" s="6" t="s">
        <v>297</v>
      </c>
      <c r="H5432" s="10">
        <v>46059.0</v>
      </c>
      <c r="I5432" s="12">
        <v>7.0</v>
      </c>
      <c r="J5432" s="6" t="s">
        <v>178</v>
      </c>
    </row>
    <row r="5433" ht="22.5" customHeight="1">
      <c r="A5433" s="6" t="s">
        <v>22241</v>
      </c>
      <c r="B5433" s="6" t="s">
        <v>12419</v>
      </c>
      <c r="C5433" s="10">
        <v>46053.0</v>
      </c>
      <c r="D5433" s="6" t="s">
        <v>312</v>
      </c>
      <c r="E5433" s="6" t="s">
        <v>394</v>
      </c>
      <c r="F5433" s="6" t="s">
        <v>249</v>
      </c>
      <c r="G5433" s="6" t="s">
        <v>369</v>
      </c>
      <c r="H5433" s="10">
        <v>46058.0</v>
      </c>
      <c r="I5433" s="12">
        <v>6.0</v>
      </c>
      <c r="J5433" s="6" t="s">
        <v>161</v>
      </c>
    </row>
    <row r="5434" ht="22.5" customHeight="1">
      <c r="A5434" s="6" t="s">
        <v>22242</v>
      </c>
      <c r="B5434" s="6" t="s">
        <v>12419</v>
      </c>
      <c r="C5434" s="10">
        <v>46054.0</v>
      </c>
      <c r="D5434" s="6" t="s">
        <v>416</v>
      </c>
      <c r="E5434" s="6" t="s">
        <v>618</v>
      </c>
      <c r="F5434" s="6" t="s">
        <v>439</v>
      </c>
      <c r="G5434" s="6" t="s">
        <v>254</v>
      </c>
      <c r="H5434" s="10">
        <v>46060.0</v>
      </c>
      <c r="I5434" s="12">
        <v>8.0</v>
      </c>
      <c r="J5434" s="6" t="s">
        <v>161</v>
      </c>
    </row>
    <row r="5435" ht="22.5" customHeight="1">
      <c r="A5435" s="6" t="s">
        <v>22243</v>
      </c>
      <c r="B5435" s="6" t="s">
        <v>12419</v>
      </c>
      <c r="C5435" s="10">
        <v>46060.0</v>
      </c>
      <c r="D5435" s="6" t="s">
        <v>436</v>
      </c>
      <c r="E5435" s="6" t="s">
        <v>670</v>
      </c>
      <c r="F5435" s="6" t="s">
        <v>439</v>
      </c>
      <c r="G5435" s="6" t="s">
        <v>494</v>
      </c>
      <c r="H5435" s="10">
        <v>46065.0</v>
      </c>
      <c r="I5435" s="12">
        <v>9.0</v>
      </c>
      <c r="J5435" s="6" t="s">
        <v>178</v>
      </c>
    </row>
    <row r="5436" ht="22.5" customHeight="1">
      <c r="A5436" s="6" t="s">
        <v>22244</v>
      </c>
      <c r="B5436" s="6" t="s">
        <v>12425</v>
      </c>
      <c r="C5436" s="10">
        <v>46030.0</v>
      </c>
      <c r="D5436" s="6" t="s">
        <v>391</v>
      </c>
      <c r="E5436" s="6" t="s">
        <v>1055</v>
      </c>
      <c r="F5436" s="6" t="s">
        <v>439</v>
      </c>
      <c r="G5436" s="6" t="s">
        <v>458</v>
      </c>
      <c r="H5436" s="10">
        <v>46032.0</v>
      </c>
      <c r="I5436" s="12">
        <v>9.0</v>
      </c>
      <c r="J5436" s="6" t="s">
        <v>161</v>
      </c>
    </row>
    <row r="5437" ht="22.5" customHeight="1">
      <c r="A5437" s="6" t="s">
        <v>22245</v>
      </c>
      <c r="B5437" s="6" t="s">
        <v>12425</v>
      </c>
      <c r="C5437" s="10">
        <v>46033.0</v>
      </c>
      <c r="D5437" s="6" t="s">
        <v>436</v>
      </c>
      <c r="E5437" s="6" t="s">
        <v>687</v>
      </c>
      <c r="F5437" s="6" t="s">
        <v>439</v>
      </c>
      <c r="G5437" s="6" t="s">
        <v>326</v>
      </c>
      <c r="H5437" s="10">
        <v>46034.0</v>
      </c>
      <c r="I5437" s="12">
        <v>8.0</v>
      </c>
      <c r="J5437" s="6" t="s">
        <v>178</v>
      </c>
    </row>
    <row r="5438" ht="22.5" customHeight="1">
      <c r="A5438" s="6" t="s">
        <v>22246</v>
      </c>
      <c r="B5438" s="6" t="s">
        <v>12425</v>
      </c>
      <c r="C5438" s="10">
        <v>46034.0</v>
      </c>
      <c r="D5438" s="6" t="s">
        <v>436</v>
      </c>
      <c r="E5438" s="6" t="s">
        <v>658</v>
      </c>
      <c r="F5438" s="6" t="s">
        <v>249</v>
      </c>
      <c r="G5438" s="6" t="s">
        <v>494</v>
      </c>
      <c r="H5438" s="10">
        <v>46034.0</v>
      </c>
      <c r="I5438" s="12">
        <v>7.0</v>
      </c>
      <c r="J5438" s="6" t="s">
        <v>178</v>
      </c>
    </row>
    <row r="5439" ht="22.5" customHeight="1">
      <c r="A5439" s="6" t="s">
        <v>22247</v>
      </c>
      <c r="B5439" s="6" t="s">
        <v>12430</v>
      </c>
      <c r="C5439" s="10">
        <v>46030.0</v>
      </c>
      <c r="D5439" s="6" t="s">
        <v>677</v>
      </c>
      <c r="E5439" s="6" t="s">
        <v>1055</v>
      </c>
      <c r="F5439" s="6" t="s">
        <v>439</v>
      </c>
      <c r="G5439" s="6" t="s">
        <v>297</v>
      </c>
      <c r="H5439" s="11" t="s">
        <v>259</v>
      </c>
      <c r="I5439" s="12">
        <v>3.0</v>
      </c>
      <c r="J5439" s="6" t="s">
        <v>161</v>
      </c>
    </row>
    <row r="5440" ht="22.5" customHeight="1">
      <c r="A5440" s="6" t="s">
        <v>22248</v>
      </c>
      <c r="B5440" s="6" t="s">
        <v>12430</v>
      </c>
      <c r="C5440" s="10">
        <v>46026.0</v>
      </c>
      <c r="D5440" s="6" t="s">
        <v>391</v>
      </c>
      <c r="E5440" s="6" t="s">
        <v>1552</v>
      </c>
      <c r="F5440" s="6" t="s">
        <v>439</v>
      </c>
      <c r="G5440" s="6" t="s">
        <v>458</v>
      </c>
      <c r="H5440" s="10">
        <v>46027.0</v>
      </c>
      <c r="I5440" s="12">
        <v>10.0</v>
      </c>
      <c r="J5440" s="6" t="s">
        <v>161</v>
      </c>
    </row>
    <row r="5441" ht="22.5" customHeight="1">
      <c r="A5441" s="6" t="s">
        <v>22249</v>
      </c>
      <c r="B5441" s="6" t="s">
        <v>12430</v>
      </c>
      <c r="C5441" s="10">
        <v>46037.0</v>
      </c>
      <c r="D5441" s="6" t="s">
        <v>677</v>
      </c>
      <c r="E5441" s="6" t="s">
        <v>1102</v>
      </c>
      <c r="F5441" s="6" t="s">
        <v>283</v>
      </c>
      <c r="G5441" s="6" t="s">
        <v>452</v>
      </c>
      <c r="H5441" s="11" t="s">
        <v>259</v>
      </c>
      <c r="I5441" s="12">
        <v>4.0</v>
      </c>
      <c r="J5441" s="6" t="s">
        <v>161</v>
      </c>
    </row>
    <row r="5442" ht="22.5" customHeight="1">
      <c r="A5442" s="6" t="s">
        <v>22250</v>
      </c>
      <c r="B5442" s="6" t="s">
        <v>12430</v>
      </c>
      <c r="C5442" s="10">
        <v>46033.0</v>
      </c>
      <c r="D5442" s="6" t="s">
        <v>289</v>
      </c>
      <c r="E5442" s="6" t="s">
        <v>863</v>
      </c>
      <c r="F5442" s="6" t="s">
        <v>112</v>
      </c>
      <c r="G5442" s="6" t="s">
        <v>477</v>
      </c>
      <c r="H5442" s="10">
        <v>46034.0</v>
      </c>
      <c r="I5442" s="12">
        <v>8.0</v>
      </c>
      <c r="J5442" s="6" t="s">
        <v>161</v>
      </c>
    </row>
    <row r="5443" ht="22.5" customHeight="1">
      <c r="A5443" s="6" t="s">
        <v>22251</v>
      </c>
      <c r="B5443" s="6" t="s">
        <v>12436</v>
      </c>
      <c r="C5443" s="10">
        <v>46044.0</v>
      </c>
      <c r="D5443" s="6" t="s">
        <v>312</v>
      </c>
      <c r="E5443" s="6" t="s">
        <v>670</v>
      </c>
      <c r="F5443" s="6" t="s">
        <v>439</v>
      </c>
      <c r="G5443" s="6" t="s">
        <v>452</v>
      </c>
      <c r="H5443" s="10">
        <v>46049.0</v>
      </c>
      <c r="I5443" s="12">
        <v>7.0</v>
      </c>
      <c r="J5443" s="6" t="s">
        <v>161</v>
      </c>
    </row>
    <row r="5444" ht="22.5" customHeight="1">
      <c r="A5444" s="6" t="s">
        <v>22252</v>
      </c>
      <c r="B5444" s="6" t="s">
        <v>12441</v>
      </c>
      <c r="C5444" s="10">
        <v>46056.0</v>
      </c>
      <c r="D5444" s="6" t="s">
        <v>391</v>
      </c>
      <c r="E5444" s="6" t="s">
        <v>634</v>
      </c>
      <c r="F5444" s="6" t="s">
        <v>283</v>
      </c>
      <c r="G5444" s="6" t="s">
        <v>326</v>
      </c>
      <c r="H5444" s="10">
        <v>46061.0</v>
      </c>
      <c r="I5444" s="12">
        <v>10.0</v>
      </c>
      <c r="J5444" s="6" t="s">
        <v>161</v>
      </c>
    </row>
    <row r="5445" ht="22.5" customHeight="1">
      <c r="A5445" s="6" t="s">
        <v>22253</v>
      </c>
      <c r="B5445" s="6" t="s">
        <v>12441</v>
      </c>
      <c r="C5445" s="10">
        <v>46051.0</v>
      </c>
      <c r="D5445" s="6" t="s">
        <v>391</v>
      </c>
      <c r="E5445" s="6" t="s">
        <v>695</v>
      </c>
      <c r="F5445" s="6" t="s">
        <v>249</v>
      </c>
      <c r="G5445" s="6" t="s">
        <v>254</v>
      </c>
      <c r="H5445" s="10">
        <v>46058.0</v>
      </c>
      <c r="I5445" s="12">
        <v>10.0</v>
      </c>
      <c r="J5445" s="6" t="s">
        <v>161</v>
      </c>
    </row>
    <row r="5446" ht="22.5" customHeight="1">
      <c r="A5446" s="6" t="s">
        <v>22254</v>
      </c>
      <c r="B5446" s="6" t="s">
        <v>12441</v>
      </c>
      <c r="C5446" s="10">
        <v>46053.0</v>
      </c>
      <c r="D5446" s="6" t="s">
        <v>391</v>
      </c>
      <c r="E5446" s="6" t="s">
        <v>466</v>
      </c>
      <c r="F5446" s="6" t="s">
        <v>439</v>
      </c>
      <c r="G5446" s="6" t="s">
        <v>369</v>
      </c>
      <c r="H5446" s="10">
        <v>46056.0</v>
      </c>
      <c r="I5446" s="12">
        <v>10.0</v>
      </c>
      <c r="J5446" s="6" t="s">
        <v>161</v>
      </c>
    </row>
    <row r="5447" ht="22.5" customHeight="1">
      <c r="A5447" s="6" t="s">
        <v>22255</v>
      </c>
      <c r="B5447" s="6" t="s">
        <v>12441</v>
      </c>
      <c r="C5447" s="10">
        <v>46049.0</v>
      </c>
      <c r="D5447" s="6" t="s">
        <v>416</v>
      </c>
      <c r="E5447" s="6" t="s">
        <v>438</v>
      </c>
      <c r="F5447" s="6" t="s">
        <v>283</v>
      </c>
      <c r="G5447" s="6" t="s">
        <v>254</v>
      </c>
      <c r="H5447" s="10">
        <v>46049.0</v>
      </c>
      <c r="I5447" s="12">
        <v>8.0</v>
      </c>
      <c r="J5447" s="6" t="s">
        <v>161</v>
      </c>
    </row>
    <row r="5448" ht="22.5" customHeight="1">
      <c r="A5448" s="6" t="s">
        <v>22256</v>
      </c>
      <c r="B5448" s="6" t="s">
        <v>12448</v>
      </c>
      <c r="C5448" s="10">
        <v>46048.0</v>
      </c>
      <c r="D5448" s="6" t="s">
        <v>242</v>
      </c>
      <c r="E5448" s="6" t="s">
        <v>246</v>
      </c>
      <c r="F5448" s="6" t="s">
        <v>283</v>
      </c>
      <c r="G5448" s="6" t="s">
        <v>297</v>
      </c>
      <c r="H5448" s="10">
        <v>46050.0</v>
      </c>
      <c r="I5448" s="12">
        <v>5.0</v>
      </c>
      <c r="J5448" s="6" t="s">
        <v>178</v>
      </c>
    </row>
    <row r="5449" ht="22.5" customHeight="1">
      <c r="A5449" s="6" t="s">
        <v>22257</v>
      </c>
      <c r="B5449" s="6" t="s">
        <v>12448</v>
      </c>
      <c r="C5449" s="10">
        <v>46054.0</v>
      </c>
      <c r="D5449" s="6" t="s">
        <v>677</v>
      </c>
      <c r="E5449" s="6" t="s">
        <v>670</v>
      </c>
      <c r="F5449" s="6" t="s">
        <v>249</v>
      </c>
      <c r="G5449" s="6" t="s">
        <v>297</v>
      </c>
      <c r="H5449" s="10">
        <v>46054.0</v>
      </c>
      <c r="I5449" s="12">
        <v>2.0</v>
      </c>
      <c r="J5449" s="6" t="s">
        <v>161</v>
      </c>
    </row>
    <row r="5450" ht="22.5" customHeight="1">
      <c r="A5450" s="6" t="s">
        <v>22258</v>
      </c>
      <c r="B5450" s="6" t="s">
        <v>12454</v>
      </c>
      <c r="C5450" s="10">
        <v>46061.0</v>
      </c>
      <c r="D5450" s="6" t="s">
        <v>312</v>
      </c>
      <c r="E5450" s="6" t="s">
        <v>2365</v>
      </c>
      <c r="F5450" s="6" t="s">
        <v>112</v>
      </c>
      <c r="G5450" s="6" t="s">
        <v>494</v>
      </c>
      <c r="H5450" s="10">
        <v>46064.0</v>
      </c>
      <c r="I5450" s="12">
        <v>4.0</v>
      </c>
      <c r="J5450" s="6" t="s">
        <v>161</v>
      </c>
    </row>
    <row r="5451" ht="22.5" customHeight="1">
      <c r="A5451" s="6" t="s">
        <v>22259</v>
      </c>
      <c r="B5451" s="6" t="s">
        <v>12454</v>
      </c>
      <c r="C5451" s="10">
        <v>46066.0</v>
      </c>
      <c r="D5451" s="6" t="s">
        <v>242</v>
      </c>
      <c r="E5451" s="6" t="s">
        <v>1626</v>
      </c>
      <c r="F5451" s="6" t="s">
        <v>283</v>
      </c>
      <c r="G5451" s="6" t="s">
        <v>452</v>
      </c>
      <c r="H5451" s="10">
        <v>46069.0</v>
      </c>
      <c r="I5451" s="12">
        <v>5.0</v>
      </c>
      <c r="J5451" s="6" t="s">
        <v>178</v>
      </c>
    </row>
    <row r="5452" ht="22.5" customHeight="1">
      <c r="A5452" s="6" t="s">
        <v>22260</v>
      </c>
      <c r="B5452" s="6" t="s">
        <v>12454</v>
      </c>
      <c r="C5452" s="10">
        <v>46077.0</v>
      </c>
      <c r="D5452" s="6" t="s">
        <v>312</v>
      </c>
      <c r="E5452" s="6" t="s">
        <v>658</v>
      </c>
      <c r="F5452" s="6" t="s">
        <v>249</v>
      </c>
      <c r="G5452" s="6" t="s">
        <v>254</v>
      </c>
      <c r="H5452" s="10">
        <v>46084.0</v>
      </c>
      <c r="I5452" s="12">
        <v>6.0</v>
      </c>
      <c r="J5452" s="6" t="s">
        <v>161</v>
      </c>
    </row>
    <row r="5453" ht="22.5" customHeight="1">
      <c r="A5453" s="6" t="s">
        <v>22261</v>
      </c>
      <c r="B5453" s="6" t="s">
        <v>12454</v>
      </c>
      <c r="C5453" s="10">
        <v>46070.0</v>
      </c>
      <c r="D5453" s="6" t="s">
        <v>677</v>
      </c>
      <c r="E5453" s="6" t="s">
        <v>634</v>
      </c>
      <c r="F5453" s="6" t="s">
        <v>439</v>
      </c>
      <c r="G5453" s="6" t="s">
        <v>494</v>
      </c>
      <c r="H5453" s="10">
        <v>46071.0</v>
      </c>
      <c r="I5453" s="12">
        <v>4.0</v>
      </c>
      <c r="J5453" s="6" t="s">
        <v>161</v>
      </c>
    </row>
    <row r="5454" ht="22.5" customHeight="1">
      <c r="A5454" s="6" t="s">
        <v>22262</v>
      </c>
      <c r="B5454" s="6" t="s">
        <v>12454</v>
      </c>
      <c r="C5454" s="10">
        <v>46069.0</v>
      </c>
      <c r="D5454" s="6" t="s">
        <v>416</v>
      </c>
      <c r="E5454" s="6" t="s">
        <v>1969</v>
      </c>
      <c r="F5454" s="6" t="s">
        <v>249</v>
      </c>
      <c r="G5454" s="6" t="s">
        <v>326</v>
      </c>
      <c r="H5454" s="10">
        <v>46073.0</v>
      </c>
      <c r="I5454" s="12">
        <v>13.0</v>
      </c>
      <c r="J5454" s="6" t="s">
        <v>161</v>
      </c>
    </row>
    <row r="5455" ht="22.5" customHeight="1">
      <c r="A5455" s="6" t="s">
        <v>22263</v>
      </c>
      <c r="B5455" s="6" t="s">
        <v>12461</v>
      </c>
      <c r="C5455" s="10">
        <v>46042.0</v>
      </c>
      <c r="D5455" s="6" t="s">
        <v>312</v>
      </c>
      <c r="E5455" s="6" t="s">
        <v>1626</v>
      </c>
      <c r="F5455" s="6" t="s">
        <v>439</v>
      </c>
      <c r="G5455" s="6" t="s">
        <v>297</v>
      </c>
      <c r="H5455" s="10">
        <v>46045.0</v>
      </c>
      <c r="I5455" s="12">
        <v>5.0</v>
      </c>
      <c r="J5455" s="6" t="s">
        <v>161</v>
      </c>
    </row>
    <row r="5456" ht="22.5" customHeight="1">
      <c r="A5456" s="6" t="s">
        <v>22264</v>
      </c>
      <c r="B5456" s="6" t="s">
        <v>12461</v>
      </c>
      <c r="C5456" s="10">
        <v>46037.0</v>
      </c>
      <c r="D5456" s="6" t="s">
        <v>416</v>
      </c>
      <c r="E5456" s="6" t="s">
        <v>246</v>
      </c>
      <c r="F5456" s="6" t="s">
        <v>112</v>
      </c>
      <c r="G5456" s="6" t="s">
        <v>452</v>
      </c>
      <c r="H5456" s="10">
        <v>46042.0</v>
      </c>
      <c r="I5456" s="12">
        <v>8.0</v>
      </c>
      <c r="J5456" s="6" t="s">
        <v>161</v>
      </c>
    </row>
    <row r="5457" ht="22.5" customHeight="1">
      <c r="A5457" s="6" t="s">
        <v>22265</v>
      </c>
      <c r="B5457" s="6" t="s">
        <v>12461</v>
      </c>
      <c r="C5457" s="10">
        <v>46037.0</v>
      </c>
      <c r="D5457" s="6" t="s">
        <v>391</v>
      </c>
      <c r="E5457" s="6" t="s">
        <v>1070</v>
      </c>
      <c r="F5457" s="6" t="s">
        <v>283</v>
      </c>
      <c r="G5457" s="6" t="s">
        <v>369</v>
      </c>
      <c r="H5457" s="10">
        <v>46040.0</v>
      </c>
      <c r="I5457" s="12">
        <v>8.0</v>
      </c>
      <c r="J5457" s="6" t="s">
        <v>161</v>
      </c>
    </row>
    <row r="5458" ht="22.5" customHeight="1">
      <c r="A5458" s="6" t="s">
        <v>22266</v>
      </c>
      <c r="B5458" s="6" t="s">
        <v>12461</v>
      </c>
      <c r="C5458" s="10">
        <v>46050.0</v>
      </c>
      <c r="D5458" s="6" t="s">
        <v>416</v>
      </c>
      <c r="E5458" s="6" t="s">
        <v>450</v>
      </c>
      <c r="F5458" s="6" t="s">
        <v>283</v>
      </c>
      <c r="G5458" s="6" t="s">
        <v>369</v>
      </c>
      <c r="H5458" s="11" t="s">
        <v>259</v>
      </c>
      <c r="I5458" s="12">
        <v>9.0</v>
      </c>
      <c r="J5458" s="6" t="s">
        <v>161</v>
      </c>
    </row>
    <row r="5459" ht="22.5" customHeight="1">
      <c r="A5459" s="6" t="s">
        <v>22267</v>
      </c>
      <c r="B5459" s="6" t="s">
        <v>12467</v>
      </c>
      <c r="C5459" s="10">
        <v>46071.0</v>
      </c>
      <c r="D5459" s="6" t="s">
        <v>436</v>
      </c>
      <c r="E5459" s="6" t="s">
        <v>394</v>
      </c>
      <c r="F5459" s="6" t="s">
        <v>283</v>
      </c>
      <c r="G5459" s="6" t="s">
        <v>494</v>
      </c>
      <c r="H5459" s="10">
        <v>46078.0</v>
      </c>
      <c r="I5459" s="12">
        <v>6.0</v>
      </c>
      <c r="J5459" s="6" t="s">
        <v>178</v>
      </c>
    </row>
    <row r="5460" ht="22.5" customHeight="1">
      <c r="A5460" s="6" t="s">
        <v>22268</v>
      </c>
      <c r="B5460" s="6" t="s">
        <v>12467</v>
      </c>
      <c r="C5460" s="10">
        <v>46054.0</v>
      </c>
      <c r="D5460" s="6" t="s">
        <v>289</v>
      </c>
      <c r="E5460" s="6" t="s">
        <v>1241</v>
      </c>
      <c r="F5460" s="6" t="s">
        <v>112</v>
      </c>
      <c r="G5460" s="6" t="s">
        <v>369</v>
      </c>
      <c r="H5460" s="10">
        <v>46059.0</v>
      </c>
      <c r="I5460" s="12">
        <v>10.0</v>
      </c>
      <c r="J5460" s="6" t="s">
        <v>161</v>
      </c>
    </row>
    <row r="5461" ht="22.5" customHeight="1">
      <c r="A5461" s="6" t="s">
        <v>22269</v>
      </c>
      <c r="B5461" s="6" t="s">
        <v>12467</v>
      </c>
      <c r="C5461" s="10">
        <v>46062.0</v>
      </c>
      <c r="D5461" s="6" t="s">
        <v>312</v>
      </c>
      <c r="E5461" s="6" t="s">
        <v>704</v>
      </c>
      <c r="F5461" s="6" t="s">
        <v>249</v>
      </c>
      <c r="G5461" s="6" t="s">
        <v>254</v>
      </c>
      <c r="H5461" s="10">
        <v>46066.0</v>
      </c>
      <c r="I5461" s="12">
        <v>5.0</v>
      </c>
      <c r="J5461" s="6" t="s">
        <v>161</v>
      </c>
    </row>
    <row r="5462" ht="22.5" customHeight="1">
      <c r="A5462" s="6" t="s">
        <v>22270</v>
      </c>
      <c r="B5462" s="6" t="s">
        <v>12473</v>
      </c>
      <c r="C5462" s="10">
        <v>46043.0</v>
      </c>
      <c r="D5462" s="6" t="s">
        <v>416</v>
      </c>
      <c r="E5462" s="6" t="s">
        <v>687</v>
      </c>
      <c r="F5462" s="6" t="s">
        <v>283</v>
      </c>
      <c r="G5462" s="6" t="s">
        <v>297</v>
      </c>
      <c r="H5462" s="10">
        <v>46049.0</v>
      </c>
      <c r="I5462" s="12">
        <v>11.0</v>
      </c>
      <c r="J5462" s="6" t="s">
        <v>161</v>
      </c>
    </row>
    <row r="5463" ht="22.5" customHeight="1">
      <c r="A5463" s="6" t="s">
        <v>22271</v>
      </c>
      <c r="B5463" s="6" t="s">
        <v>12473</v>
      </c>
      <c r="C5463" s="10">
        <v>46050.0</v>
      </c>
      <c r="D5463" s="6" t="s">
        <v>289</v>
      </c>
      <c r="E5463" s="6" t="s">
        <v>1122</v>
      </c>
      <c r="F5463" s="6" t="s">
        <v>283</v>
      </c>
      <c r="G5463" s="6" t="s">
        <v>494</v>
      </c>
      <c r="H5463" s="10">
        <v>46057.0</v>
      </c>
      <c r="I5463" s="12">
        <v>7.0</v>
      </c>
      <c r="J5463" s="6" t="s">
        <v>161</v>
      </c>
    </row>
    <row r="5464" ht="22.5" customHeight="1">
      <c r="A5464" s="6" t="s">
        <v>22272</v>
      </c>
      <c r="B5464" s="6" t="s">
        <v>12480</v>
      </c>
      <c r="C5464" s="10">
        <v>46056.0</v>
      </c>
      <c r="D5464" s="6" t="s">
        <v>242</v>
      </c>
      <c r="E5464" s="6" t="s">
        <v>246</v>
      </c>
      <c r="F5464" s="6" t="s">
        <v>112</v>
      </c>
      <c r="G5464" s="6" t="s">
        <v>494</v>
      </c>
      <c r="H5464" s="10">
        <v>46056.0</v>
      </c>
      <c r="I5464" s="12">
        <v>4.0</v>
      </c>
      <c r="J5464" s="6" t="s">
        <v>178</v>
      </c>
    </row>
    <row r="5465" ht="22.5" customHeight="1">
      <c r="A5465" s="6" t="s">
        <v>22273</v>
      </c>
      <c r="B5465" s="6" t="s">
        <v>12480</v>
      </c>
      <c r="C5465" s="10">
        <v>46068.0</v>
      </c>
      <c r="D5465" s="6" t="s">
        <v>312</v>
      </c>
      <c r="E5465" s="6" t="s">
        <v>863</v>
      </c>
      <c r="F5465" s="6" t="s">
        <v>283</v>
      </c>
      <c r="G5465" s="6" t="s">
        <v>326</v>
      </c>
      <c r="H5465" s="11" t="s">
        <v>259</v>
      </c>
      <c r="I5465" s="12">
        <v>7.0</v>
      </c>
      <c r="J5465" s="6" t="s">
        <v>161</v>
      </c>
    </row>
    <row r="5466" ht="22.5" customHeight="1">
      <c r="A5466" s="6" t="s">
        <v>22274</v>
      </c>
      <c r="B5466" s="6" t="s">
        <v>12486</v>
      </c>
      <c r="C5466" s="10">
        <v>46044.0</v>
      </c>
      <c r="D5466" s="6" t="s">
        <v>416</v>
      </c>
      <c r="E5466" s="6" t="s">
        <v>716</v>
      </c>
      <c r="F5466" s="6" t="s">
        <v>439</v>
      </c>
      <c r="G5466" s="6" t="s">
        <v>458</v>
      </c>
      <c r="H5466" s="10">
        <v>46047.0</v>
      </c>
      <c r="I5466" s="12">
        <v>8.0</v>
      </c>
      <c r="J5466" s="6" t="s">
        <v>161</v>
      </c>
    </row>
    <row r="5467" ht="22.5" customHeight="1">
      <c r="A5467" s="6" t="s">
        <v>22275</v>
      </c>
      <c r="B5467" s="6" t="s">
        <v>12492</v>
      </c>
      <c r="C5467" s="10">
        <v>46079.0</v>
      </c>
      <c r="D5467" s="6" t="s">
        <v>677</v>
      </c>
      <c r="E5467" s="6" t="s">
        <v>687</v>
      </c>
      <c r="F5467" s="6" t="s">
        <v>112</v>
      </c>
      <c r="G5467" s="6" t="s">
        <v>369</v>
      </c>
      <c r="H5467" s="10">
        <v>46083.0</v>
      </c>
      <c r="I5467" s="12">
        <v>3.0</v>
      </c>
      <c r="J5467" s="6" t="s">
        <v>161</v>
      </c>
    </row>
    <row r="5468" ht="22.5" customHeight="1">
      <c r="A5468" s="6" t="s">
        <v>22276</v>
      </c>
      <c r="B5468" s="6" t="s">
        <v>12492</v>
      </c>
      <c r="C5468" s="10">
        <v>46081.0</v>
      </c>
      <c r="D5468" s="6" t="s">
        <v>242</v>
      </c>
      <c r="E5468" s="6" t="s">
        <v>2881</v>
      </c>
      <c r="F5468" s="6" t="s">
        <v>283</v>
      </c>
      <c r="G5468" s="6" t="s">
        <v>254</v>
      </c>
      <c r="H5468" s="11" t="s">
        <v>259</v>
      </c>
      <c r="I5468" s="12">
        <v>5.0</v>
      </c>
      <c r="J5468" s="6" t="s">
        <v>178</v>
      </c>
    </row>
    <row r="5469" ht="22.5" customHeight="1">
      <c r="A5469" s="6" t="s">
        <v>22277</v>
      </c>
      <c r="B5469" s="6" t="s">
        <v>12492</v>
      </c>
      <c r="C5469" s="10">
        <v>46072.0</v>
      </c>
      <c r="D5469" s="6" t="s">
        <v>312</v>
      </c>
      <c r="E5469" s="6" t="s">
        <v>1102</v>
      </c>
      <c r="F5469" s="6" t="s">
        <v>249</v>
      </c>
      <c r="G5469" s="6" t="s">
        <v>494</v>
      </c>
      <c r="H5469" s="10">
        <v>46072.0</v>
      </c>
      <c r="I5469" s="12">
        <v>7.0</v>
      </c>
      <c r="J5469" s="6" t="s">
        <v>161</v>
      </c>
    </row>
    <row r="5470" ht="22.5" customHeight="1">
      <c r="A5470" s="6" t="s">
        <v>22278</v>
      </c>
      <c r="B5470" s="6" t="s">
        <v>12498</v>
      </c>
      <c r="C5470" s="10">
        <v>46045.0</v>
      </c>
      <c r="D5470" s="6" t="s">
        <v>677</v>
      </c>
      <c r="E5470" s="6" t="s">
        <v>896</v>
      </c>
      <c r="F5470" s="6" t="s">
        <v>439</v>
      </c>
      <c r="G5470" s="6" t="s">
        <v>297</v>
      </c>
      <c r="H5470" s="10">
        <v>46045.0</v>
      </c>
      <c r="I5470" s="12">
        <v>3.0</v>
      </c>
      <c r="J5470" s="6" t="s">
        <v>161</v>
      </c>
    </row>
    <row r="5471" ht="22.5" customHeight="1">
      <c r="A5471" s="6" t="s">
        <v>22279</v>
      </c>
      <c r="B5471" s="6" t="s">
        <v>12498</v>
      </c>
      <c r="C5471" s="10">
        <v>46052.0</v>
      </c>
      <c r="D5471" s="6" t="s">
        <v>416</v>
      </c>
      <c r="E5471" s="6" t="s">
        <v>450</v>
      </c>
      <c r="F5471" s="6" t="s">
        <v>249</v>
      </c>
      <c r="G5471" s="6" t="s">
        <v>458</v>
      </c>
      <c r="H5471" s="10">
        <v>46057.0</v>
      </c>
      <c r="I5471" s="12">
        <v>13.0</v>
      </c>
      <c r="J5471" s="6" t="s">
        <v>161</v>
      </c>
    </row>
    <row r="5472" ht="22.5" customHeight="1">
      <c r="A5472" s="6" t="s">
        <v>22280</v>
      </c>
      <c r="B5472" s="6" t="s">
        <v>12498</v>
      </c>
      <c r="C5472" s="10">
        <v>46050.0</v>
      </c>
      <c r="D5472" s="6" t="s">
        <v>242</v>
      </c>
      <c r="E5472" s="6" t="s">
        <v>466</v>
      </c>
      <c r="F5472" s="6" t="s">
        <v>112</v>
      </c>
      <c r="G5472" s="6" t="s">
        <v>452</v>
      </c>
      <c r="H5472" s="10">
        <v>46056.0</v>
      </c>
      <c r="I5472" s="12">
        <v>6.0</v>
      </c>
      <c r="J5472" s="6" t="s">
        <v>161</v>
      </c>
    </row>
    <row r="5473" ht="22.5" customHeight="1">
      <c r="A5473" s="6" t="s">
        <v>22281</v>
      </c>
      <c r="B5473" s="6" t="s">
        <v>12498</v>
      </c>
      <c r="C5473" s="10">
        <v>46047.0</v>
      </c>
      <c r="D5473" s="6" t="s">
        <v>312</v>
      </c>
      <c r="E5473" s="6" t="s">
        <v>1122</v>
      </c>
      <c r="F5473" s="6" t="s">
        <v>112</v>
      </c>
      <c r="G5473" s="6" t="s">
        <v>452</v>
      </c>
      <c r="H5473" s="10">
        <v>46048.0</v>
      </c>
      <c r="I5473" s="12">
        <v>6.0</v>
      </c>
      <c r="J5473" s="6" t="s">
        <v>161</v>
      </c>
    </row>
    <row r="5474" ht="22.5" customHeight="1">
      <c r="A5474" s="6" t="s">
        <v>22282</v>
      </c>
      <c r="B5474" s="6" t="s">
        <v>12505</v>
      </c>
      <c r="C5474" s="10">
        <v>46063.0</v>
      </c>
      <c r="D5474" s="6" t="s">
        <v>312</v>
      </c>
      <c r="E5474" s="6" t="s">
        <v>1552</v>
      </c>
      <c r="F5474" s="6" t="s">
        <v>112</v>
      </c>
      <c r="G5474" s="6" t="s">
        <v>458</v>
      </c>
      <c r="H5474" s="10">
        <v>46069.0</v>
      </c>
      <c r="I5474" s="12">
        <v>5.0</v>
      </c>
      <c r="J5474" s="6" t="s">
        <v>161</v>
      </c>
    </row>
    <row r="5475" ht="22.5" customHeight="1">
      <c r="A5475" s="6" t="s">
        <v>22283</v>
      </c>
      <c r="B5475" s="6" t="s">
        <v>12505</v>
      </c>
      <c r="C5475" s="10">
        <v>46068.0</v>
      </c>
      <c r="D5475" s="6" t="s">
        <v>242</v>
      </c>
      <c r="E5475" s="6" t="s">
        <v>1273</v>
      </c>
      <c r="F5475" s="6" t="s">
        <v>112</v>
      </c>
      <c r="G5475" s="6" t="s">
        <v>254</v>
      </c>
      <c r="H5475" s="10">
        <v>46073.0</v>
      </c>
      <c r="I5475" s="12">
        <v>6.0</v>
      </c>
      <c r="J5475" s="6" t="s">
        <v>161</v>
      </c>
    </row>
    <row r="5476" ht="22.5" customHeight="1">
      <c r="A5476" s="6" t="s">
        <v>22284</v>
      </c>
      <c r="B5476" s="6" t="s">
        <v>12505</v>
      </c>
      <c r="C5476" s="10">
        <v>46069.0</v>
      </c>
      <c r="D5476" s="6" t="s">
        <v>436</v>
      </c>
      <c r="E5476" s="6" t="s">
        <v>2365</v>
      </c>
      <c r="F5476" s="6" t="s">
        <v>439</v>
      </c>
      <c r="G5476" s="6" t="s">
        <v>254</v>
      </c>
      <c r="H5476" s="11" t="s">
        <v>259</v>
      </c>
      <c r="I5476" s="12">
        <v>12.0</v>
      </c>
      <c r="J5476" s="6" t="s">
        <v>178</v>
      </c>
    </row>
    <row r="5477" ht="22.5" customHeight="1">
      <c r="A5477" s="6" t="s">
        <v>22285</v>
      </c>
      <c r="B5477" s="6" t="s">
        <v>12505</v>
      </c>
      <c r="C5477" s="10">
        <v>46062.0</v>
      </c>
      <c r="D5477" s="6" t="s">
        <v>677</v>
      </c>
      <c r="E5477" s="6" t="s">
        <v>738</v>
      </c>
      <c r="F5477" s="6" t="s">
        <v>112</v>
      </c>
      <c r="G5477" s="6" t="s">
        <v>494</v>
      </c>
      <c r="H5477" s="10">
        <v>46068.0</v>
      </c>
      <c r="I5477" s="12">
        <v>4.0</v>
      </c>
      <c r="J5477" s="6" t="s">
        <v>161</v>
      </c>
    </row>
    <row r="5478" ht="22.5" customHeight="1">
      <c r="A5478" s="6" t="s">
        <v>22286</v>
      </c>
      <c r="B5478" s="6" t="s">
        <v>12512</v>
      </c>
      <c r="C5478" s="10">
        <v>46071.0</v>
      </c>
      <c r="D5478" s="6" t="s">
        <v>312</v>
      </c>
      <c r="E5478" s="6" t="s">
        <v>1296</v>
      </c>
      <c r="F5478" s="6" t="s">
        <v>112</v>
      </c>
      <c r="G5478" s="6" t="s">
        <v>477</v>
      </c>
      <c r="H5478" s="10">
        <v>46076.0</v>
      </c>
      <c r="I5478" s="12">
        <v>6.0</v>
      </c>
      <c r="J5478" s="6" t="s">
        <v>161</v>
      </c>
    </row>
    <row r="5479" ht="22.5" customHeight="1">
      <c r="A5479" s="6" t="s">
        <v>22287</v>
      </c>
      <c r="B5479" s="6" t="s">
        <v>12512</v>
      </c>
      <c r="C5479" s="10">
        <v>46054.0</v>
      </c>
      <c r="D5479" s="6" t="s">
        <v>289</v>
      </c>
      <c r="E5479" s="6" t="s">
        <v>628</v>
      </c>
      <c r="F5479" s="6" t="s">
        <v>112</v>
      </c>
      <c r="G5479" s="6" t="s">
        <v>326</v>
      </c>
      <c r="H5479" s="10">
        <v>46057.0</v>
      </c>
      <c r="I5479" s="12">
        <v>9.0</v>
      </c>
      <c r="J5479" s="6" t="s">
        <v>161</v>
      </c>
    </row>
    <row r="5480" ht="22.5" customHeight="1">
      <c r="A5480" s="6" t="s">
        <v>22288</v>
      </c>
      <c r="B5480" s="6" t="s">
        <v>12512</v>
      </c>
      <c r="C5480" s="10">
        <v>46074.0</v>
      </c>
      <c r="D5480" s="6" t="s">
        <v>242</v>
      </c>
      <c r="E5480" s="6" t="s">
        <v>658</v>
      </c>
      <c r="F5480" s="6" t="s">
        <v>112</v>
      </c>
      <c r="G5480" s="6" t="s">
        <v>452</v>
      </c>
      <c r="H5480" s="10">
        <v>46074.0</v>
      </c>
      <c r="I5480" s="12">
        <v>4.0</v>
      </c>
      <c r="J5480" s="6" t="s">
        <v>178</v>
      </c>
    </row>
    <row r="5481" ht="22.5" customHeight="1">
      <c r="A5481" s="6" t="s">
        <v>22289</v>
      </c>
      <c r="B5481" s="6" t="s">
        <v>12512</v>
      </c>
      <c r="C5481" s="10">
        <v>46054.0</v>
      </c>
      <c r="D5481" s="6" t="s">
        <v>391</v>
      </c>
      <c r="E5481" s="6" t="s">
        <v>658</v>
      </c>
      <c r="F5481" s="6" t="s">
        <v>439</v>
      </c>
      <c r="G5481" s="6" t="s">
        <v>452</v>
      </c>
      <c r="H5481" s="11" t="s">
        <v>259</v>
      </c>
      <c r="I5481" s="12">
        <v>8.0</v>
      </c>
      <c r="J5481" s="6" t="s">
        <v>161</v>
      </c>
    </row>
    <row r="5482" ht="22.5" customHeight="1">
      <c r="A5482" s="6" t="s">
        <v>22290</v>
      </c>
      <c r="B5482" s="6" t="s">
        <v>12518</v>
      </c>
      <c r="C5482" s="10">
        <v>46073.0</v>
      </c>
      <c r="D5482" s="6" t="s">
        <v>436</v>
      </c>
      <c r="E5482" s="6" t="s">
        <v>2881</v>
      </c>
      <c r="F5482" s="6" t="s">
        <v>283</v>
      </c>
      <c r="G5482" s="6" t="s">
        <v>494</v>
      </c>
      <c r="H5482" s="10">
        <v>46076.0</v>
      </c>
      <c r="I5482" s="12">
        <v>9.0</v>
      </c>
      <c r="J5482" s="6" t="s">
        <v>178</v>
      </c>
    </row>
    <row r="5483" ht="22.5" customHeight="1">
      <c r="A5483" s="6" t="s">
        <v>22291</v>
      </c>
      <c r="B5483" s="6" t="s">
        <v>12525</v>
      </c>
      <c r="C5483" s="10">
        <v>46052.0</v>
      </c>
      <c r="D5483" s="6" t="s">
        <v>242</v>
      </c>
      <c r="E5483" s="6" t="s">
        <v>1102</v>
      </c>
      <c r="F5483" s="6" t="s">
        <v>249</v>
      </c>
      <c r="G5483" s="6" t="s">
        <v>452</v>
      </c>
      <c r="H5483" s="10">
        <v>46053.0</v>
      </c>
      <c r="I5483" s="12">
        <v>3.0</v>
      </c>
      <c r="J5483" s="6" t="s">
        <v>161</v>
      </c>
    </row>
    <row r="5484" ht="22.5" customHeight="1">
      <c r="A5484" s="6" t="s">
        <v>22292</v>
      </c>
      <c r="B5484" s="6" t="s">
        <v>12532</v>
      </c>
      <c r="C5484" s="10">
        <v>46086.0</v>
      </c>
      <c r="D5484" s="6" t="s">
        <v>312</v>
      </c>
      <c r="E5484" s="6" t="s">
        <v>885</v>
      </c>
      <c r="F5484" s="6" t="s">
        <v>112</v>
      </c>
      <c r="G5484" s="6" t="s">
        <v>458</v>
      </c>
      <c r="H5484" s="10">
        <v>46089.0</v>
      </c>
      <c r="I5484" s="12">
        <v>5.0</v>
      </c>
      <c r="J5484" s="6" t="s">
        <v>161</v>
      </c>
    </row>
    <row r="5485" ht="22.5" customHeight="1">
      <c r="A5485" s="6" t="s">
        <v>22293</v>
      </c>
      <c r="B5485" s="6" t="s">
        <v>12532</v>
      </c>
      <c r="C5485" s="10">
        <v>46079.0</v>
      </c>
      <c r="D5485" s="6" t="s">
        <v>312</v>
      </c>
      <c r="E5485" s="6" t="s">
        <v>812</v>
      </c>
      <c r="F5485" s="6" t="s">
        <v>249</v>
      </c>
      <c r="G5485" s="6" t="s">
        <v>477</v>
      </c>
      <c r="H5485" s="10">
        <v>46086.0</v>
      </c>
      <c r="I5485" s="12">
        <v>5.0</v>
      </c>
      <c r="J5485" s="6" t="s">
        <v>161</v>
      </c>
    </row>
    <row r="5486" ht="22.5" customHeight="1">
      <c r="A5486" s="6" t="s">
        <v>22294</v>
      </c>
      <c r="B5486" s="6" t="s">
        <v>12532</v>
      </c>
      <c r="C5486" s="10">
        <v>46081.0</v>
      </c>
      <c r="D5486" s="6" t="s">
        <v>391</v>
      </c>
      <c r="E5486" s="6" t="s">
        <v>1969</v>
      </c>
      <c r="F5486" s="6" t="s">
        <v>249</v>
      </c>
      <c r="G5486" s="6" t="s">
        <v>452</v>
      </c>
      <c r="H5486" s="10">
        <v>46083.0</v>
      </c>
      <c r="I5486" s="12">
        <v>7.0</v>
      </c>
      <c r="J5486" s="6" t="s">
        <v>161</v>
      </c>
    </row>
    <row r="5487" ht="22.5" customHeight="1">
      <c r="A5487" s="6" t="s">
        <v>22295</v>
      </c>
      <c r="B5487" s="6" t="s">
        <v>12532</v>
      </c>
      <c r="C5487" s="10">
        <v>46083.0</v>
      </c>
      <c r="D5487" s="6" t="s">
        <v>391</v>
      </c>
      <c r="E5487" s="6" t="s">
        <v>1741</v>
      </c>
      <c r="F5487" s="6" t="s">
        <v>112</v>
      </c>
      <c r="G5487" s="6" t="s">
        <v>458</v>
      </c>
      <c r="H5487" s="10">
        <v>46089.0</v>
      </c>
      <c r="I5487" s="12">
        <v>9.0</v>
      </c>
      <c r="J5487" s="6" t="s">
        <v>161</v>
      </c>
    </row>
    <row r="5488" ht="22.5" customHeight="1">
      <c r="A5488" s="6" t="s">
        <v>22296</v>
      </c>
      <c r="B5488" s="6" t="s">
        <v>12532</v>
      </c>
      <c r="C5488" s="10">
        <v>46066.0</v>
      </c>
      <c r="D5488" s="6" t="s">
        <v>312</v>
      </c>
      <c r="E5488" s="6" t="s">
        <v>1600</v>
      </c>
      <c r="F5488" s="6" t="s">
        <v>112</v>
      </c>
      <c r="G5488" s="6" t="s">
        <v>452</v>
      </c>
      <c r="H5488" s="10">
        <v>46072.0</v>
      </c>
      <c r="I5488" s="12">
        <v>6.0</v>
      </c>
      <c r="J5488" s="6" t="s">
        <v>161</v>
      </c>
    </row>
    <row r="5489" ht="22.5" customHeight="1">
      <c r="A5489" s="6" t="s">
        <v>22297</v>
      </c>
      <c r="B5489" s="6" t="s">
        <v>12539</v>
      </c>
      <c r="C5489" s="10">
        <v>46034.0</v>
      </c>
      <c r="D5489" s="6" t="s">
        <v>677</v>
      </c>
      <c r="E5489" s="6" t="s">
        <v>1296</v>
      </c>
      <c r="F5489" s="6" t="s">
        <v>112</v>
      </c>
      <c r="G5489" s="6" t="s">
        <v>254</v>
      </c>
      <c r="H5489" s="10">
        <v>46037.0</v>
      </c>
      <c r="I5489" s="12">
        <v>3.0</v>
      </c>
      <c r="J5489" s="6" t="s">
        <v>161</v>
      </c>
    </row>
    <row r="5490" ht="22.5" customHeight="1">
      <c r="A5490" s="6" t="s">
        <v>22298</v>
      </c>
      <c r="B5490" s="6" t="s">
        <v>12539</v>
      </c>
      <c r="C5490" s="10">
        <v>46033.0</v>
      </c>
      <c r="D5490" s="6" t="s">
        <v>416</v>
      </c>
      <c r="E5490" s="6" t="s">
        <v>1969</v>
      </c>
      <c r="F5490" s="6" t="s">
        <v>283</v>
      </c>
      <c r="G5490" s="6" t="s">
        <v>477</v>
      </c>
      <c r="H5490" s="10">
        <v>46033.0</v>
      </c>
      <c r="I5490" s="12">
        <v>12.0</v>
      </c>
      <c r="J5490" s="6" t="s">
        <v>161</v>
      </c>
    </row>
    <row r="5491" ht="22.5" customHeight="1">
      <c r="A5491" s="6" t="s">
        <v>22299</v>
      </c>
      <c r="B5491" s="6" t="s">
        <v>12539</v>
      </c>
      <c r="C5491" s="10">
        <v>46029.0</v>
      </c>
      <c r="D5491" s="6" t="s">
        <v>242</v>
      </c>
      <c r="E5491" s="6" t="s">
        <v>618</v>
      </c>
      <c r="F5491" s="6" t="s">
        <v>439</v>
      </c>
      <c r="G5491" s="6" t="s">
        <v>452</v>
      </c>
      <c r="H5491" s="11" t="s">
        <v>259</v>
      </c>
      <c r="I5491" s="12">
        <v>5.0</v>
      </c>
      <c r="J5491" s="6" t="s">
        <v>161</v>
      </c>
    </row>
    <row r="5492" ht="22.5" customHeight="1">
      <c r="A5492" s="6" t="s">
        <v>22300</v>
      </c>
      <c r="B5492" s="6" t="s">
        <v>12539</v>
      </c>
      <c r="C5492" s="10">
        <v>46042.0</v>
      </c>
      <c r="D5492" s="6" t="s">
        <v>416</v>
      </c>
      <c r="E5492" s="6" t="s">
        <v>1310</v>
      </c>
      <c r="F5492" s="6" t="s">
        <v>112</v>
      </c>
      <c r="G5492" s="6" t="s">
        <v>458</v>
      </c>
      <c r="H5492" s="10">
        <v>46045.0</v>
      </c>
      <c r="I5492" s="12">
        <v>9.0</v>
      </c>
      <c r="J5492" s="6" t="s">
        <v>161</v>
      </c>
    </row>
    <row r="5493" ht="22.5" customHeight="1">
      <c r="A5493" s="6" t="s">
        <v>22301</v>
      </c>
      <c r="B5493" s="6" t="s">
        <v>12546</v>
      </c>
      <c r="C5493" s="10">
        <v>46079.0</v>
      </c>
      <c r="D5493" s="6" t="s">
        <v>677</v>
      </c>
      <c r="E5493" s="6" t="s">
        <v>583</v>
      </c>
      <c r="F5493" s="6" t="s">
        <v>283</v>
      </c>
      <c r="G5493" s="6" t="s">
        <v>494</v>
      </c>
      <c r="H5493" s="11" t="s">
        <v>259</v>
      </c>
      <c r="I5493" s="12">
        <v>3.0</v>
      </c>
      <c r="J5493" s="6" t="s">
        <v>161</v>
      </c>
    </row>
    <row r="5494" ht="22.5" customHeight="1">
      <c r="A5494" s="6" t="s">
        <v>22302</v>
      </c>
      <c r="B5494" s="6" t="s">
        <v>12553</v>
      </c>
      <c r="C5494" s="10">
        <v>46059.0</v>
      </c>
      <c r="D5494" s="6" t="s">
        <v>289</v>
      </c>
      <c r="E5494" s="6" t="s">
        <v>885</v>
      </c>
      <c r="F5494" s="6" t="s">
        <v>249</v>
      </c>
      <c r="G5494" s="6" t="s">
        <v>369</v>
      </c>
      <c r="H5494" s="10">
        <v>46061.0</v>
      </c>
      <c r="I5494" s="12">
        <v>10.0</v>
      </c>
      <c r="J5494" s="6" t="s">
        <v>161</v>
      </c>
    </row>
    <row r="5495" ht="22.5" customHeight="1">
      <c r="A5495" s="6" t="s">
        <v>22303</v>
      </c>
      <c r="B5495" s="6" t="s">
        <v>12553</v>
      </c>
      <c r="C5495" s="10">
        <v>46057.0</v>
      </c>
      <c r="D5495" s="6" t="s">
        <v>436</v>
      </c>
      <c r="E5495" s="6" t="s">
        <v>634</v>
      </c>
      <c r="F5495" s="6" t="s">
        <v>112</v>
      </c>
      <c r="G5495" s="6" t="s">
        <v>452</v>
      </c>
      <c r="H5495" s="10">
        <v>46060.0</v>
      </c>
      <c r="I5495" s="12">
        <v>6.0</v>
      </c>
      <c r="J5495" s="6" t="s">
        <v>161</v>
      </c>
    </row>
    <row r="5496" ht="22.5" customHeight="1">
      <c r="A5496" s="6" t="s">
        <v>22304</v>
      </c>
      <c r="B5496" s="6" t="s">
        <v>12553</v>
      </c>
      <c r="C5496" s="10">
        <v>46054.0</v>
      </c>
      <c r="D5496" s="6" t="s">
        <v>677</v>
      </c>
      <c r="E5496" s="6" t="s">
        <v>583</v>
      </c>
      <c r="F5496" s="6" t="s">
        <v>112</v>
      </c>
      <c r="G5496" s="6" t="s">
        <v>458</v>
      </c>
      <c r="H5496" s="10">
        <v>46056.0</v>
      </c>
      <c r="I5496" s="12">
        <v>4.0</v>
      </c>
      <c r="J5496" s="6" t="s">
        <v>161</v>
      </c>
    </row>
    <row r="5497" ht="22.5" customHeight="1">
      <c r="A5497" s="6" t="s">
        <v>22305</v>
      </c>
      <c r="B5497" s="6" t="s">
        <v>12559</v>
      </c>
      <c r="C5497" s="10">
        <v>46066.0</v>
      </c>
      <c r="D5497" s="6" t="s">
        <v>391</v>
      </c>
      <c r="E5497" s="6" t="s">
        <v>1122</v>
      </c>
      <c r="F5497" s="6" t="s">
        <v>439</v>
      </c>
      <c r="G5497" s="6" t="s">
        <v>297</v>
      </c>
      <c r="H5497" s="10">
        <v>46070.0</v>
      </c>
      <c r="I5497" s="12">
        <v>11.0</v>
      </c>
      <c r="J5497" s="6" t="s">
        <v>161</v>
      </c>
    </row>
    <row r="5498" ht="22.5" customHeight="1">
      <c r="A5498" s="6" t="s">
        <v>22306</v>
      </c>
      <c r="B5498" s="6" t="s">
        <v>12559</v>
      </c>
      <c r="C5498" s="10">
        <v>46061.0</v>
      </c>
      <c r="D5498" s="6" t="s">
        <v>391</v>
      </c>
      <c r="E5498" s="6" t="s">
        <v>1570</v>
      </c>
      <c r="F5498" s="6" t="s">
        <v>112</v>
      </c>
      <c r="G5498" s="6" t="s">
        <v>326</v>
      </c>
      <c r="H5498" s="11" t="s">
        <v>259</v>
      </c>
      <c r="I5498" s="12">
        <v>6.0</v>
      </c>
      <c r="J5498" s="6" t="s">
        <v>161</v>
      </c>
    </row>
    <row r="5499" ht="22.5" customHeight="1">
      <c r="A5499" s="6" t="s">
        <v>22307</v>
      </c>
      <c r="B5499" s="6" t="s">
        <v>12559</v>
      </c>
      <c r="C5499" s="10">
        <v>46053.0</v>
      </c>
      <c r="D5499" s="6" t="s">
        <v>416</v>
      </c>
      <c r="E5499" s="6" t="s">
        <v>1055</v>
      </c>
      <c r="F5499" s="6" t="s">
        <v>112</v>
      </c>
      <c r="G5499" s="6" t="s">
        <v>297</v>
      </c>
      <c r="H5499" s="10">
        <v>46058.0</v>
      </c>
      <c r="I5499" s="12">
        <v>13.0</v>
      </c>
      <c r="J5499" s="6" t="s">
        <v>161</v>
      </c>
    </row>
    <row r="5500" ht="22.5" customHeight="1">
      <c r="A5500" s="6" t="s">
        <v>22308</v>
      </c>
      <c r="B5500" s="6" t="s">
        <v>12559</v>
      </c>
      <c r="C5500" s="10">
        <v>46055.0</v>
      </c>
      <c r="D5500" s="6" t="s">
        <v>436</v>
      </c>
      <c r="E5500" s="6" t="s">
        <v>1552</v>
      </c>
      <c r="F5500" s="6" t="s">
        <v>283</v>
      </c>
      <c r="G5500" s="6" t="s">
        <v>477</v>
      </c>
      <c r="H5500" s="10">
        <v>46059.0</v>
      </c>
      <c r="I5500" s="12">
        <v>9.0</v>
      </c>
      <c r="J5500" s="6" t="s">
        <v>178</v>
      </c>
    </row>
    <row r="5501" ht="22.5" customHeight="1">
      <c r="A5501" s="6" t="s">
        <v>22309</v>
      </c>
      <c r="B5501" s="6" t="s">
        <v>12559</v>
      </c>
      <c r="C5501" s="10">
        <v>46061.0</v>
      </c>
      <c r="D5501" s="6" t="s">
        <v>391</v>
      </c>
      <c r="E5501" s="6" t="s">
        <v>896</v>
      </c>
      <c r="F5501" s="6" t="s">
        <v>112</v>
      </c>
      <c r="G5501" s="6" t="s">
        <v>297</v>
      </c>
      <c r="H5501" s="10">
        <v>46061.0</v>
      </c>
      <c r="I5501" s="12">
        <v>6.0</v>
      </c>
      <c r="J5501" s="6" t="s">
        <v>161</v>
      </c>
    </row>
    <row r="5502" ht="22.5" customHeight="1">
      <c r="A5502" s="6" t="s">
        <v>22310</v>
      </c>
      <c r="B5502" s="6" t="s">
        <v>12566</v>
      </c>
      <c r="C5502" s="10">
        <v>46067.0</v>
      </c>
      <c r="D5502" s="6" t="s">
        <v>436</v>
      </c>
      <c r="E5502" s="6" t="s">
        <v>450</v>
      </c>
      <c r="F5502" s="6" t="s">
        <v>249</v>
      </c>
      <c r="G5502" s="6" t="s">
        <v>254</v>
      </c>
      <c r="H5502" s="10">
        <v>46067.0</v>
      </c>
      <c r="I5502" s="12">
        <v>10.0</v>
      </c>
      <c r="J5502" s="6" t="s">
        <v>178</v>
      </c>
    </row>
    <row r="5503" ht="22.5" customHeight="1">
      <c r="A5503" s="6" t="s">
        <v>22311</v>
      </c>
      <c r="B5503" s="6" t="s">
        <v>12573</v>
      </c>
      <c r="C5503" s="10">
        <v>46066.0</v>
      </c>
      <c r="D5503" s="6" t="s">
        <v>312</v>
      </c>
      <c r="E5503" s="6" t="s">
        <v>812</v>
      </c>
      <c r="F5503" s="6" t="s">
        <v>439</v>
      </c>
      <c r="G5503" s="6" t="s">
        <v>477</v>
      </c>
      <c r="H5503" s="10">
        <v>46072.0</v>
      </c>
      <c r="I5503" s="12">
        <v>6.0</v>
      </c>
      <c r="J5503" s="6" t="s">
        <v>161</v>
      </c>
    </row>
    <row r="5504" ht="22.5" customHeight="1">
      <c r="A5504" s="6" t="s">
        <v>22312</v>
      </c>
      <c r="B5504" s="6" t="s">
        <v>12573</v>
      </c>
      <c r="C5504" s="10">
        <v>46050.0</v>
      </c>
      <c r="D5504" s="6" t="s">
        <v>436</v>
      </c>
      <c r="E5504" s="6" t="s">
        <v>320</v>
      </c>
      <c r="F5504" s="6" t="s">
        <v>439</v>
      </c>
      <c r="G5504" s="6" t="s">
        <v>254</v>
      </c>
      <c r="H5504" s="10">
        <v>46054.0</v>
      </c>
      <c r="I5504" s="12">
        <v>8.0</v>
      </c>
      <c r="J5504" s="6" t="s">
        <v>178</v>
      </c>
    </row>
    <row r="5505" ht="22.5" customHeight="1">
      <c r="A5505" s="6" t="s">
        <v>22313</v>
      </c>
      <c r="B5505" s="6" t="s">
        <v>12573</v>
      </c>
      <c r="C5505" s="10">
        <v>46055.0</v>
      </c>
      <c r="D5505" s="6" t="s">
        <v>391</v>
      </c>
      <c r="E5505" s="6" t="s">
        <v>1386</v>
      </c>
      <c r="F5505" s="6" t="s">
        <v>249</v>
      </c>
      <c r="G5505" s="6" t="s">
        <v>477</v>
      </c>
      <c r="H5505" s="10">
        <v>46062.0</v>
      </c>
      <c r="I5505" s="12">
        <v>8.0</v>
      </c>
      <c r="J5505" s="6" t="s">
        <v>161</v>
      </c>
    </row>
    <row r="5506" ht="22.5" customHeight="1">
      <c r="A5506" s="6" t="s">
        <v>22314</v>
      </c>
      <c r="B5506" s="6" t="s">
        <v>12579</v>
      </c>
      <c r="C5506" s="10">
        <v>46055.0</v>
      </c>
      <c r="D5506" s="6" t="s">
        <v>416</v>
      </c>
      <c r="E5506" s="6" t="s">
        <v>1969</v>
      </c>
      <c r="F5506" s="6" t="s">
        <v>283</v>
      </c>
      <c r="G5506" s="6" t="s">
        <v>494</v>
      </c>
      <c r="H5506" s="10">
        <v>46062.0</v>
      </c>
      <c r="I5506" s="12">
        <v>11.0</v>
      </c>
      <c r="J5506" s="6" t="s">
        <v>161</v>
      </c>
    </row>
    <row r="5507" ht="22.5" customHeight="1">
      <c r="A5507" s="6" t="s">
        <v>22315</v>
      </c>
      <c r="B5507" s="6" t="s">
        <v>12579</v>
      </c>
      <c r="C5507" s="10">
        <v>46068.0</v>
      </c>
      <c r="D5507" s="6" t="s">
        <v>391</v>
      </c>
      <c r="E5507" s="6" t="s">
        <v>2881</v>
      </c>
      <c r="F5507" s="6" t="s">
        <v>112</v>
      </c>
      <c r="G5507" s="6" t="s">
        <v>494</v>
      </c>
      <c r="H5507" s="10">
        <v>46074.0</v>
      </c>
      <c r="I5507" s="12">
        <v>9.0</v>
      </c>
      <c r="J5507" s="6" t="s">
        <v>161</v>
      </c>
    </row>
    <row r="5508" ht="22.5" customHeight="1">
      <c r="A5508" s="6" t="s">
        <v>22316</v>
      </c>
      <c r="B5508" s="6" t="s">
        <v>12579</v>
      </c>
      <c r="C5508" s="10">
        <v>46049.0</v>
      </c>
      <c r="D5508" s="6" t="s">
        <v>391</v>
      </c>
      <c r="E5508" s="6" t="s">
        <v>1969</v>
      </c>
      <c r="F5508" s="6" t="s">
        <v>112</v>
      </c>
      <c r="G5508" s="6" t="s">
        <v>369</v>
      </c>
      <c r="H5508" s="10">
        <v>46056.0</v>
      </c>
      <c r="I5508" s="12">
        <v>7.0</v>
      </c>
      <c r="J5508" s="6" t="s">
        <v>161</v>
      </c>
    </row>
    <row r="5509" ht="22.5" customHeight="1">
      <c r="A5509" s="6" t="s">
        <v>22317</v>
      </c>
      <c r="B5509" s="6" t="s">
        <v>12584</v>
      </c>
      <c r="C5509" s="10">
        <v>46049.0</v>
      </c>
      <c r="D5509" s="6" t="s">
        <v>242</v>
      </c>
      <c r="E5509" s="6" t="s">
        <v>775</v>
      </c>
      <c r="F5509" s="6" t="s">
        <v>283</v>
      </c>
      <c r="G5509" s="6" t="s">
        <v>369</v>
      </c>
      <c r="H5509" s="10">
        <v>46052.0</v>
      </c>
      <c r="I5509" s="12">
        <v>5.0</v>
      </c>
      <c r="J5509" s="6" t="s">
        <v>161</v>
      </c>
    </row>
    <row r="5510" ht="22.5" customHeight="1">
      <c r="A5510" s="6" t="s">
        <v>22318</v>
      </c>
      <c r="B5510" s="6" t="s">
        <v>12584</v>
      </c>
      <c r="C5510" s="10">
        <v>46052.0</v>
      </c>
      <c r="D5510" s="6" t="s">
        <v>289</v>
      </c>
      <c r="E5510" s="6" t="s">
        <v>731</v>
      </c>
      <c r="F5510" s="6" t="s">
        <v>439</v>
      </c>
      <c r="G5510" s="6" t="s">
        <v>458</v>
      </c>
      <c r="H5510" s="10">
        <v>46056.0</v>
      </c>
      <c r="I5510" s="12">
        <v>9.0</v>
      </c>
      <c r="J5510" s="6" t="s">
        <v>161</v>
      </c>
    </row>
    <row r="5511" ht="22.5" customHeight="1">
      <c r="A5511" s="6" t="s">
        <v>22319</v>
      </c>
      <c r="B5511" s="6" t="s">
        <v>12584</v>
      </c>
      <c r="C5511" s="10">
        <v>46051.0</v>
      </c>
      <c r="D5511" s="6" t="s">
        <v>312</v>
      </c>
      <c r="E5511" s="6" t="s">
        <v>716</v>
      </c>
      <c r="F5511" s="6" t="s">
        <v>439</v>
      </c>
      <c r="G5511" s="6" t="s">
        <v>254</v>
      </c>
      <c r="H5511" s="11" t="s">
        <v>259</v>
      </c>
      <c r="I5511" s="12">
        <v>4.0</v>
      </c>
      <c r="J5511" s="6" t="s">
        <v>161</v>
      </c>
    </row>
    <row r="5512" ht="22.5" customHeight="1">
      <c r="A5512" s="6" t="s">
        <v>22320</v>
      </c>
      <c r="B5512" s="6" t="s">
        <v>12584</v>
      </c>
      <c r="C5512" s="10">
        <v>46043.0</v>
      </c>
      <c r="D5512" s="6" t="s">
        <v>677</v>
      </c>
      <c r="E5512" s="6" t="s">
        <v>863</v>
      </c>
      <c r="F5512" s="6" t="s">
        <v>283</v>
      </c>
      <c r="G5512" s="6" t="s">
        <v>477</v>
      </c>
      <c r="H5512" s="10">
        <v>46043.0</v>
      </c>
      <c r="I5512" s="12">
        <v>4.0</v>
      </c>
      <c r="J5512" s="6" t="s">
        <v>161</v>
      </c>
    </row>
    <row r="5513" ht="22.5" customHeight="1">
      <c r="A5513" s="6" t="s">
        <v>22321</v>
      </c>
      <c r="B5513" s="6" t="s">
        <v>12584</v>
      </c>
      <c r="C5513" s="10">
        <v>46038.0</v>
      </c>
      <c r="D5513" s="6" t="s">
        <v>677</v>
      </c>
      <c r="E5513" s="6" t="s">
        <v>1149</v>
      </c>
      <c r="F5513" s="6" t="s">
        <v>283</v>
      </c>
      <c r="G5513" s="6" t="s">
        <v>477</v>
      </c>
      <c r="H5513" s="10">
        <v>46044.0</v>
      </c>
      <c r="I5513" s="12">
        <v>4.0</v>
      </c>
      <c r="J5513" s="6" t="s">
        <v>161</v>
      </c>
    </row>
    <row r="5514" ht="22.5" customHeight="1">
      <c r="A5514" s="6" t="s">
        <v>22322</v>
      </c>
      <c r="B5514" s="6" t="s">
        <v>12590</v>
      </c>
      <c r="C5514" s="10">
        <v>46086.0</v>
      </c>
      <c r="D5514" s="6" t="s">
        <v>242</v>
      </c>
      <c r="E5514" s="6" t="s">
        <v>1310</v>
      </c>
      <c r="F5514" s="6" t="s">
        <v>112</v>
      </c>
      <c r="G5514" s="6" t="s">
        <v>494</v>
      </c>
      <c r="H5514" s="10">
        <v>46091.0</v>
      </c>
      <c r="I5514" s="12">
        <v>6.0</v>
      </c>
      <c r="J5514" s="6" t="s">
        <v>178</v>
      </c>
    </row>
    <row r="5515" ht="22.5" customHeight="1">
      <c r="A5515" s="6" t="s">
        <v>22323</v>
      </c>
      <c r="B5515" s="6" t="s">
        <v>12590</v>
      </c>
      <c r="C5515" s="10">
        <v>46084.0</v>
      </c>
      <c r="D5515" s="6" t="s">
        <v>416</v>
      </c>
      <c r="E5515" s="6" t="s">
        <v>1626</v>
      </c>
      <c r="F5515" s="6" t="s">
        <v>283</v>
      </c>
      <c r="G5515" s="6" t="s">
        <v>297</v>
      </c>
      <c r="H5515" s="10">
        <v>46089.0</v>
      </c>
      <c r="I5515" s="12">
        <v>9.0</v>
      </c>
      <c r="J5515" s="6" t="s">
        <v>161</v>
      </c>
    </row>
    <row r="5516" ht="22.5" customHeight="1">
      <c r="A5516" s="6" t="s">
        <v>22324</v>
      </c>
      <c r="B5516" s="6" t="s">
        <v>12590</v>
      </c>
      <c r="C5516" s="10">
        <v>46075.0</v>
      </c>
      <c r="D5516" s="6" t="s">
        <v>416</v>
      </c>
      <c r="E5516" s="6" t="s">
        <v>1035</v>
      </c>
      <c r="F5516" s="6" t="s">
        <v>112</v>
      </c>
      <c r="G5516" s="6" t="s">
        <v>494</v>
      </c>
      <c r="H5516" s="10">
        <v>46079.0</v>
      </c>
      <c r="I5516" s="12">
        <v>10.0</v>
      </c>
      <c r="J5516" s="6" t="s">
        <v>161</v>
      </c>
    </row>
    <row r="5517" ht="22.5" customHeight="1">
      <c r="A5517" s="6" t="s">
        <v>22325</v>
      </c>
      <c r="B5517" s="6" t="s">
        <v>12590</v>
      </c>
      <c r="C5517" s="10">
        <v>46071.0</v>
      </c>
      <c r="D5517" s="6" t="s">
        <v>312</v>
      </c>
      <c r="E5517" s="6" t="s">
        <v>896</v>
      </c>
      <c r="F5517" s="6" t="s">
        <v>112</v>
      </c>
      <c r="G5517" s="6" t="s">
        <v>452</v>
      </c>
      <c r="H5517" s="10">
        <v>46078.0</v>
      </c>
      <c r="I5517" s="12">
        <v>4.0</v>
      </c>
      <c r="J5517" s="6" t="s">
        <v>161</v>
      </c>
    </row>
    <row r="5518" ht="22.5" customHeight="1">
      <c r="A5518" s="6" t="s">
        <v>22326</v>
      </c>
      <c r="B5518" s="6" t="s">
        <v>12590</v>
      </c>
      <c r="C5518" s="10">
        <v>46074.0</v>
      </c>
      <c r="D5518" s="6" t="s">
        <v>677</v>
      </c>
      <c r="E5518" s="6" t="s">
        <v>450</v>
      </c>
      <c r="F5518" s="6" t="s">
        <v>283</v>
      </c>
      <c r="G5518" s="6" t="s">
        <v>452</v>
      </c>
      <c r="H5518" s="10">
        <v>46074.0</v>
      </c>
      <c r="I5518" s="12">
        <v>4.0</v>
      </c>
      <c r="J5518" s="6" t="s">
        <v>161</v>
      </c>
    </row>
    <row r="5519" ht="22.5" customHeight="1">
      <c r="A5519" s="6" t="s">
        <v>22327</v>
      </c>
      <c r="B5519" s="6" t="s">
        <v>12597</v>
      </c>
      <c r="C5519" s="10">
        <v>46023.0</v>
      </c>
      <c r="D5519" s="6" t="s">
        <v>391</v>
      </c>
      <c r="E5519" s="6" t="s">
        <v>1280</v>
      </c>
      <c r="F5519" s="6" t="s">
        <v>439</v>
      </c>
      <c r="G5519" s="6" t="s">
        <v>458</v>
      </c>
      <c r="H5519" s="10">
        <v>46025.0</v>
      </c>
      <c r="I5519" s="12">
        <v>7.0</v>
      </c>
      <c r="J5519" s="6" t="s">
        <v>161</v>
      </c>
    </row>
    <row r="5520" ht="22.5" customHeight="1">
      <c r="A5520" s="6" t="s">
        <v>22328</v>
      </c>
      <c r="B5520" s="6" t="s">
        <v>12597</v>
      </c>
      <c r="C5520" s="10">
        <v>46034.0</v>
      </c>
      <c r="D5520" s="6" t="s">
        <v>242</v>
      </c>
      <c r="E5520" s="6" t="s">
        <v>1241</v>
      </c>
      <c r="F5520" s="6" t="s">
        <v>283</v>
      </c>
      <c r="G5520" s="6" t="s">
        <v>452</v>
      </c>
      <c r="H5520" s="11" t="s">
        <v>259</v>
      </c>
      <c r="I5520" s="12">
        <v>3.0</v>
      </c>
      <c r="J5520" s="6" t="s">
        <v>161</v>
      </c>
    </row>
    <row r="5521" ht="22.5" customHeight="1">
      <c r="A5521" s="6" t="s">
        <v>22329</v>
      </c>
      <c r="B5521" s="6" t="s">
        <v>12597</v>
      </c>
      <c r="C5521" s="10">
        <v>46041.0</v>
      </c>
      <c r="D5521" s="6" t="s">
        <v>391</v>
      </c>
      <c r="E5521" s="6" t="s">
        <v>1386</v>
      </c>
      <c r="F5521" s="6" t="s">
        <v>439</v>
      </c>
      <c r="G5521" s="6" t="s">
        <v>452</v>
      </c>
      <c r="H5521" s="10">
        <v>46046.0</v>
      </c>
      <c r="I5521" s="12">
        <v>7.0</v>
      </c>
      <c r="J5521" s="6" t="s">
        <v>161</v>
      </c>
    </row>
    <row r="5522" ht="22.5" customHeight="1">
      <c r="A5522" s="6" t="s">
        <v>22330</v>
      </c>
      <c r="B5522" s="6" t="s">
        <v>12597</v>
      </c>
      <c r="C5522" s="10">
        <v>46027.0</v>
      </c>
      <c r="D5522" s="6" t="s">
        <v>677</v>
      </c>
      <c r="E5522" s="6" t="s">
        <v>618</v>
      </c>
      <c r="F5522" s="6" t="s">
        <v>283</v>
      </c>
      <c r="G5522" s="6" t="s">
        <v>452</v>
      </c>
      <c r="H5522" s="10">
        <v>46034.0</v>
      </c>
      <c r="I5522" s="12">
        <v>2.0</v>
      </c>
      <c r="J5522" s="6" t="s">
        <v>161</v>
      </c>
    </row>
    <row r="5523" ht="22.5" customHeight="1">
      <c r="A5523" s="6" t="s">
        <v>22331</v>
      </c>
      <c r="B5523" s="6" t="s">
        <v>12603</v>
      </c>
      <c r="C5523" s="10">
        <v>46057.0</v>
      </c>
      <c r="D5523" s="6" t="s">
        <v>416</v>
      </c>
      <c r="E5523" s="6" t="s">
        <v>670</v>
      </c>
      <c r="F5523" s="6" t="s">
        <v>112</v>
      </c>
      <c r="G5523" s="6" t="s">
        <v>477</v>
      </c>
      <c r="H5523" s="10">
        <v>46063.0</v>
      </c>
      <c r="I5523" s="12">
        <v>10.0</v>
      </c>
      <c r="J5523" s="6" t="s">
        <v>161</v>
      </c>
    </row>
    <row r="5524" ht="22.5" customHeight="1">
      <c r="A5524" s="6" t="s">
        <v>22332</v>
      </c>
      <c r="B5524" s="6" t="s">
        <v>12603</v>
      </c>
      <c r="C5524" s="10">
        <v>46042.0</v>
      </c>
      <c r="D5524" s="6" t="s">
        <v>677</v>
      </c>
      <c r="E5524" s="6" t="s">
        <v>1070</v>
      </c>
      <c r="F5524" s="6" t="s">
        <v>283</v>
      </c>
      <c r="G5524" s="6" t="s">
        <v>369</v>
      </c>
      <c r="H5524" s="10">
        <v>46045.0</v>
      </c>
      <c r="I5524" s="12">
        <v>3.0</v>
      </c>
      <c r="J5524" s="6" t="s">
        <v>161</v>
      </c>
    </row>
    <row r="5525" ht="22.5" customHeight="1">
      <c r="A5525" s="6" t="s">
        <v>22333</v>
      </c>
      <c r="B5525" s="6" t="s">
        <v>12603</v>
      </c>
      <c r="C5525" s="10">
        <v>46053.0</v>
      </c>
      <c r="D5525" s="6" t="s">
        <v>312</v>
      </c>
      <c r="E5525" s="6" t="s">
        <v>704</v>
      </c>
      <c r="F5525" s="6" t="s">
        <v>112</v>
      </c>
      <c r="G5525" s="6" t="s">
        <v>297</v>
      </c>
      <c r="H5525" s="10">
        <v>46059.0</v>
      </c>
      <c r="I5525" s="12">
        <v>5.0</v>
      </c>
      <c r="J5525" s="6" t="s">
        <v>161</v>
      </c>
    </row>
    <row r="5526" ht="22.5" customHeight="1">
      <c r="A5526" s="6" t="s">
        <v>22334</v>
      </c>
      <c r="B5526" s="6" t="s">
        <v>12611</v>
      </c>
      <c r="C5526" s="10">
        <v>46038.0</v>
      </c>
      <c r="D5526" s="6" t="s">
        <v>312</v>
      </c>
      <c r="E5526" s="6" t="s">
        <v>438</v>
      </c>
      <c r="F5526" s="6" t="s">
        <v>439</v>
      </c>
      <c r="G5526" s="6" t="s">
        <v>326</v>
      </c>
      <c r="H5526" s="11" t="s">
        <v>259</v>
      </c>
      <c r="I5526" s="12">
        <v>4.0</v>
      </c>
      <c r="J5526" s="6" t="s">
        <v>161</v>
      </c>
    </row>
    <row r="5527" ht="22.5" customHeight="1">
      <c r="A5527" s="6" t="s">
        <v>22335</v>
      </c>
      <c r="B5527" s="6" t="s">
        <v>12611</v>
      </c>
      <c r="C5527" s="10">
        <v>46044.0</v>
      </c>
      <c r="D5527" s="6" t="s">
        <v>436</v>
      </c>
      <c r="E5527" s="6" t="s">
        <v>475</v>
      </c>
      <c r="F5527" s="6" t="s">
        <v>439</v>
      </c>
      <c r="G5527" s="6" t="s">
        <v>369</v>
      </c>
      <c r="H5527" s="11" t="s">
        <v>259</v>
      </c>
      <c r="I5527" s="12">
        <v>11.0</v>
      </c>
      <c r="J5527" s="6" t="s">
        <v>178</v>
      </c>
    </row>
    <row r="5528" ht="22.5" customHeight="1">
      <c r="A5528" s="6" t="s">
        <v>22336</v>
      </c>
      <c r="B5528" s="6" t="s">
        <v>12611</v>
      </c>
      <c r="C5528" s="10">
        <v>46032.0</v>
      </c>
      <c r="D5528" s="6" t="s">
        <v>436</v>
      </c>
      <c r="E5528" s="6" t="s">
        <v>2881</v>
      </c>
      <c r="F5528" s="6" t="s">
        <v>112</v>
      </c>
      <c r="G5528" s="6" t="s">
        <v>458</v>
      </c>
      <c r="H5528" s="11" t="s">
        <v>259</v>
      </c>
      <c r="I5528" s="12">
        <v>11.0</v>
      </c>
      <c r="J5528" s="6" t="s">
        <v>161</v>
      </c>
    </row>
    <row r="5529" ht="22.5" customHeight="1">
      <c r="A5529" s="6" t="s">
        <v>22337</v>
      </c>
      <c r="B5529" s="6" t="s">
        <v>12611</v>
      </c>
      <c r="C5529" s="10">
        <v>46026.0</v>
      </c>
      <c r="D5529" s="6" t="s">
        <v>242</v>
      </c>
      <c r="E5529" s="6" t="s">
        <v>1149</v>
      </c>
      <c r="F5529" s="6" t="s">
        <v>439</v>
      </c>
      <c r="G5529" s="6" t="s">
        <v>326</v>
      </c>
      <c r="H5529" s="10">
        <v>46033.0</v>
      </c>
      <c r="I5529" s="12">
        <v>6.0</v>
      </c>
      <c r="J5529" s="6" t="s">
        <v>178</v>
      </c>
    </row>
    <row r="5530" ht="22.5" customHeight="1">
      <c r="A5530" s="6" t="s">
        <v>22338</v>
      </c>
      <c r="B5530" s="6" t="s">
        <v>12618</v>
      </c>
      <c r="C5530" s="10">
        <v>46032.0</v>
      </c>
      <c r="D5530" s="6" t="s">
        <v>436</v>
      </c>
      <c r="E5530" s="6" t="s">
        <v>670</v>
      </c>
      <c r="F5530" s="6" t="s">
        <v>283</v>
      </c>
      <c r="G5530" s="6" t="s">
        <v>494</v>
      </c>
      <c r="H5530" s="10">
        <v>46036.0</v>
      </c>
      <c r="I5530" s="12">
        <v>6.0</v>
      </c>
      <c r="J5530" s="6" t="s">
        <v>178</v>
      </c>
    </row>
    <row r="5531" ht="22.5" customHeight="1">
      <c r="A5531" s="6" t="s">
        <v>22339</v>
      </c>
      <c r="B5531" s="6" t="s">
        <v>12618</v>
      </c>
      <c r="C5531" s="10">
        <v>46044.0</v>
      </c>
      <c r="D5531" s="6" t="s">
        <v>289</v>
      </c>
      <c r="E5531" s="6" t="s">
        <v>731</v>
      </c>
      <c r="F5531" s="6" t="s">
        <v>439</v>
      </c>
      <c r="G5531" s="6" t="s">
        <v>326</v>
      </c>
      <c r="H5531" s="10">
        <v>46050.0</v>
      </c>
      <c r="I5531" s="12">
        <v>10.0</v>
      </c>
      <c r="J5531" s="6" t="s">
        <v>161</v>
      </c>
    </row>
    <row r="5532" ht="22.5" customHeight="1">
      <c r="A5532" s="6" t="s">
        <v>22340</v>
      </c>
      <c r="B5532" s="6" t="s">
        <v>12624</v>
      </c>
      <c r="C5532" s="10">
        <v>46066.0</v>
      </c>
      <c r="D5532" s="6" t="s">
        <v>289</v>
      </c>
      <c r="E5532" s="6" t="s">
        <v>798</v>
      </c>
      <c r="F5532" s="6" t="s">
        <v>439</v>
      </c>
      <c r="G5532" s="6" t="s">
        <v>297</v>
      </c>
      <c r="H5532" s="10">
        <v>46067.0</v>
      </c>
      <c r="I5532" s="12">
        <v>10.0</v>
      </c>
      <c r="J5532" s="6" t="s">
        <v>161</v>
      </c>
    </row>
    <row r="5533" ht="22.5" customHeight="1">
      <c r="A5533" s="6" t="s">
        <v>22341</v>
      </c>
      <c r="B5533" s="6" t="s">
        <v>12624</v>
      </c>
      <c r="C5533" s="10">
        <v>46051.0</v>
      </c>
      <c r="D5533" s="6" t="s">
        <v>436</v>
      </c>
      <c r="E5533" s="6" t="s">
        <v>320</v>
      </c>
      <c r="F5533" s="6" t="s">
        <v>112</v>
      </c>
      <c r="G5533" s="6" t="s">
        <v>477</v>
      </c>
      <c r="H5533" s="10">
        <v>46058.0</v>
      </c>
      <c r="I5533" s="12">
        <v>9.0</v>
      </c>
      <c r="J5533" s="6" t="s">
        <v>178</v>
      </c>
    </row>
    <row r="5534" ht="22.5" customHeight="1">
      <c r="A5534" s="6" t="s">
        <v>22342</v>
      </c>
      <c r="B5534" s="6" t="s">
        <v>12624</v>
      </c>
      <c r="C5534" s="10">
        <v>46066.0</v>
      </c>
      <c r="D5534" s="6" t="s">
        <v>242</v>
      </c>
      <c r="E5534" s="6" t="s">
        <v>738</v>
      </c>
      <c r="F5534" s="6" t="s">
        <v>249</v>
      </c>
      <c r="G5534" s="6" t="s">
        <v>477</v>
      </c>
      <c r="H5534" s="10">
        <v>46070.0</v>
      </c>
      <c r="I5534" s="12">
        <v>4.0</v>
      </c>
      <c r="J5534" s="6" t="s">
        <v>178</v>
      </c>
    </row>
    <row r="5535" ht="22.5" customHeight="1">
      <c r="A5535" s="6" t="s">
        <v>22343</v>
      </c>
      <c r="B5535" s="6" t="s">
        <v>12624</v>
      </c>
      <c r="C5535" s="10">
        <v>46050.0</v>
      </c>
      <c r="D5535" s="6" t="s">
        <v>312</v>
      </c>
      <c r="E5535" s="6" t="s">
        <v>775</v>
      </c>
      <c r="F5535" s="6" t="s">
        <v>283</v>
      </c>
      <c r="G5535" s="6" t="s">
        <v>452</v>
      </c>
      <c r="H5535" s="10">
        <v>46055.0</v>
      </c>
      <c r="I5535" s="12">
        <v>6.0</v>
      </c>
      <c r="J5535" s="6" t="s">
        <v>161</v>
      </c>
    </row>
    <row r="5536" ht="22.5" customHeight="1">
      <c r="A5536" s="6" t="s">
        <v>22344</v>
      </c>
      <c r="B5536" s="6" t="s">
        <v>12624</v>
      </c>
      <c r="C5536" s="10">
        <v>46065.0</v>
      </c>
      <c r="D5536" s="6" t="s">
        <v>391</v>
      </c>
      <c r="E5536" s="6" t="s">
        <v>1296</v>
      </c>
      <c r="F5536" s="6" t="s">
        <v>283</v>
      </c>
      <c r="G5536" s="6" t="s">
        <v>369</v>
      </c>
      <c r="H5536" s="11" t="s">
        <v>259</v>
      </c>
      <c r="I5536" s="12">
        <v>9.0</v>
      </c>
      <c r="J5536" s="6" t="s">
        <v>161</v>
      </c>
    </row>
    <row r="5537" ht="22.5" customHeight="1">
      <c r="A5537" s="6" t="s">
        <v>22345</v>
      </c>
      <c r="B5537" s="6" t="s">
        <v>12631</v>
      </c>
      <c r="C5537" s="10">
        <v>46052.0</v>
      </c>
      <c r="D5537" s="6" t="s">
        <v>677</v>
      </c>
      <c r="E5537" s="6" t="s">
        <v>670</v>
      </c>
      <c r="F5537" s="6" t="s">
        <v>112</v>
      </c>
      <c r="G5537" s="6" t="s">
        <v>254</v>
      </c>
      <c r="H5537" s="11" t="s">
        <v>259</v>
      </c>
      <c r="I5537" s="12">
        <v>2.0</v>
      </c>
      <c r="J5537" s="6" t="s">
        <v>161</v>
      </c>
    </row>
    <row r="5538" ht="22.5" customHeight="1">
      <c r="A5538" s="6" t="s">
        <v>22346</v>
      </c>
      <c r="B5538" s="6" t="s">
        <v>12631</v>
      </c>
      <c r="C5538" s="10">
        <v>46062.0</v>
      </c>
      <c r="D5538" s="6" t="s">
        <v>289</v>
      </c>
      <c r="E5538" s="6" t="s">
        <v>731</v>
      </c>
      <c r="F5538" s="6" t="s">
        <v>112</v>
      </c>
      <c r="G5538" s="6" t="s">
        <v>452</v>
      </c>
      <c r="H5538" s="10">
        <v>46066.0</v>
      </c>
      <c r="I5538" s="12">
        <v>9.0</v>
      </c>
      <c r="J5538" s="6" t="s">
        <v>161</v>
      </c>
    </row>
    <row r="5539" ht="22.5" customHeight="1">
      <c r="A5539" s="6" t="s">
        <v>22347</v>
      </c>
      <c r="B5539" s="6" t="s">
        <v>12631</v>
      </c>
      <c r="C5539" s="10">
        <v>46055.0</v>
      </c>
      <c r="D5539" s="6" t="s">
        <v>436</v>
      </c>
      <c r="E5539" s="6" t="s">
        <v>1517</v>
      </c>
      <c r="F5539" s="6" t="s">
        <v>283</v>
      </c>
      <c r="G5539" s="6" t="s">
        <v>477</v>
      </c>
      <c r="H5539" s="10">
        <v>46061.0</v>
      </c>
      <c r="I5539" s="12">
        <v>12.0</v>
      </c>
      <c r="J5539" s="6" t="s">
        <v>178</v>
      </c>
    </row>
    <row r="5540" ht="22.5" customHeight="1">
      <c r="A5540" s="6" t="s">
        <v>22348</v>
      </c>
      <c r="B5540" s="6" t="s">
        <v>12631</v>
      </c>
      <c r="C5540" s="10">
        <v>46047.0</v>
      </c>
      <c r="D5540" s="6" t="s">
        <v>391</v>
      </c>
      <c r="E5540" s="6" t="s">
        <v>1741</v>
      </c>
      <c r="F5540" s="6" t="s">
        <v>283</v>
      </c>
      <c r="G5540" s="6" t="s">
        <v>254</v>
      </c>
      <c r="H5540" s="10">
        <v>46053.0</v>
      </c>
      <c r="I5540" s="12">
        <v>9.0</v>
      </c>
      <c r="J5540" s="6" t="s">
        <v>161</v>
      </c>
    </row>
    <row r="5541" ht="22.5" customHeight="1">
      <c r="A5541" s="6" t="s">
        <v>22349</v>
      </c>
      <c r="B5541" s="6" t="s">
        <v>12637</v>
      </c>
      <c r="C5541" s="10">
        <v>46088.0</v>
      </c>
      <c r="D5541" s="6" t="s">
        <v>416</v>
      </c>
      <c r="E5541" s="6" t="s">
        <v>885</v>
      </c>
      <c r="F5541" s="6" t="s">
        <v>439</v>
      </c>
      <c r="G5541" s="6" t="s">
        <v>452</v>
      </c>
      <c r="H5541" s="11" t="s">
        <v>259</v>
      </c>
      <c r="I5541" s="12">
        <v>13.0</v>
      </c>
      <c r="J5541" s="6" t="s">
        <v>161</v>
      </c>
    </row>
    <row r="5542" ht="22.5" customHeight="1">
      <c r="A5542" s="6" t="s">
        <v>22350</v>
      </c>
      <c r="B5542" s="6" t="s">
        <v>12637</v>
      </c>
      <c r="C5542" s="10">
        <v>46072.0</v>
      </c>
      <c r="D5542" s="6" t="s">
        <v>289</v>
      </c>
      <c r="E5542" s="6" t="s">
        <v>475</v>
      </c>
      <c r="F5542" s="6" t="s">
        <v>439</v>
      </c>
      <c r="G5542" s="6" t="s">
        <v>452</v>
      </c>
      <c r="H5542" s="10">
        <v>46079.0</v>
      </c>
      <c r="I5542" s="12">
        <v>5.0</v>
      </c>
      <c r="J5542" s="6" t="s">
        <v>161</v>
      </c>
    </row>
    <row r="5543" ht="22.5" customHeight="1">
      <c r="A5543" s="6" t="s">
        <v>22351</v>
      </c>
      <c r="B5543" s="6" t="s">
        <v>12637</v>
      </c>
      <c r="C5543" s="10">
        <v>46087.0</v>
      </c>
      <c r="D5543" s="6" t="s">
        <v>391</v>
      </c>
      <c r="E5543" s="6" t="s">
        <v>291</v>
      </c>
      <c r="F5543" s="6" t="s">
        <v>249</v>
      </c>
      <c r="G5543" s="6" t="s">
        <v>297</v>
      </c>
      <c r="H5543" s="10">
        <v>46092.0</v>
      </c>
      <c r="I5543" s="12">
        <v>10.0</v>
      </c>
      <c r="J5543" s="6" t="s">
        <v>161</v>
      </c>
    </row>
    <row r="5544" ht="22.5" customHeight="1">
      <c r="A5544" s="6" t="s">
        <v>22352</v>
      </c>
      <c r="B5544" s="6" t="s">
        <v>12643</v>
      </c>
      <c r="C5544" s="10">
        <v>46074.0</v>
      </c>
      <c r="D5544" s="6" t="s">
        <v>416</v>
      </c>
      <c r="E5544" s="6" t="s">
        <v>787</v>
      </c>
      <c r="F5544" s="6" t="s">
        <v>283</v>
      </c>
      <c r="G5544" s="6" t="s">
        <v>458</v>
      </c>
      <c r="H5544" s="10">
        <v>46075.0</v>
      </c>
      <c r="I5544" s="12">
        <v>13.0</v>
      </c>
      <c r="J5544" s="6" t="s">
        <v>161</v>
      </c>
    </row>
    <row r="5545" ht="22.5" customHeight="1">
      <c r="A5545" s="6" t="s">
        <v>22353</v>
      </c>
      <c r="B5545" s="6" t="s">
        <v>12643</v>
      </c>
      <c r="C5545" s="10">
        <v>46075.0</v>
      </c>
      <c r="D5545" s="6" t="s">
        <v>391</v>
      </c>
      <c r="E5545" s="6" t="s">
        <v>1570</v>
      </c>
      <c r="F5545" s="6" t="s">
        <v>283</v>
      </c>
      <c r="G5545" s="6" t="s">
        <v>494</v>
      </c>
      <c r="H5545" s="10">
        <v>46077.0</v>
      </c>
      <c r="I5545" s="12">
        <v>9.0</v>
      </c>
      <c r="J5545" s="6" t="s">
        <v>161</v>
      </c>
    </row>
    <row r="5546" ht="22.5" customHeight="1">
      <c r="A5546" s="6" t="s">
        <v>22354</v>
      </c>
      <c r="B5546" s="6" t="s">
        <v>12643</v>
      </c>
      <c r="C5546" s="10">
        <v>46065.0</v>
      </c>
      <c r="D5546" s="6" t="s">
        <v>242</v>
      </c>
      <c r="E5546" s="6" t="s">
        <v>775</v>
      </c>
      <c r="F5546" s="6" t="s">
        <v>439</v>
      </c>
      <c r="G5546" s="6" t="s">
        <v>297</v>
      </c>
      <c r="H5546" s="10">
        <v>46067.0</v>
      </c>
      <c r="I5546" s="12">
        <v>6.0</v>
      </c>
      <c r="J5546" s="6" t="s">
        <v>178</v>
      </c>
    </row>
    <row r="5547" ht="22.5" customHeight="1">
      <c r="A5547" s="6" t="s">
        <v>22355</v>
      </c>
      <c r="B5547" s="6" t="s">
        <v>12643</v>
      </c>
      <c r="C5547" s="10">
        <v>46062.0</v>
      </c>
      <c r="D5547" s="6" t="s">
        <v>312</v>
      </c>
      <c r="E5547" s="6" t="s">
        <v>566</v>
      </c>
      <c r="F5547" s="6" t="s">
        <v>112</v>
      </c>
      <c r="G5547" s="6" t="s">
        <v>254</v>
      </c>
      <c r="H5547" s="10">
        <v>46064.0</v>
      </c>
      <c r="I5547" s="12">
        <v>5.0</v>
      </c>
      <c r="J5547" s="6" t="s">
        <v>161</v>
      </c>
    </row>
    <row r="5548" ht="22.5" customHeight="1">
      <c r="A5548" s="6" t="s">
        <v>22356</v>
      </c>
      <c r="B5548" s="6" t="s">
        <v>12650</v>
      </c>
      <c r="C5548" s="10">
        <v>46031.0</v>
      </c>
      <c r="D5548" s="6" t="s">
        <v>312</v>
      </c>
      <c r="E5548" s="6" t="s">
        <v>731</v>
      </c>
      <c r="F5548" s="6" t="s">
        <v>439</v>
      </c>
      <c r="G5548" s="6" t="s">
        <v>494</v>
      </c>
      <c r="H5548" s="10">
        <v>46031.0</v>
      </c>
      <c r="I5548" s="12">
        <v>5.0</v>
      </c>
      <c r="J5548" s="6" t="s">
        <v>161</v>
      </c>
    </row>
    <row r="5549" ht="22.5" customHeight="1">
      <c r="A5549" s="6" t="s">
        <v>22357</v>
      </c>
      <c r="B5549" s="6" t="s">
        <v>12650</v>
      </c>
      <c r="C5549" s="10">
        <v>46029.0</v>
      </c>
      <c r="D5549" s="6" t="s">
        <v>289</v>
      </c>
      <c r="E5549" s="6" t="s">
        <v>618</v>
      </c>
      <c r="F5549" s="6" t="s">
        <v>249</v>
      </c>
      <c r="G5549" s="6" t="s">
        <v>458</v>
      </c>
      <c r="H5549" s="10">
        <v>46036.0</v>
      </c>
      <c r="I5549" s="12">
        <v>8.0</v>
      </c>
      <c r="J5549" s="6" t="s">
        <v>161</v>
      </c>
    </row>
    <row r="5550" ht="22.5" customHeight="1">
      <c r="A5550" s="6" t="s">
        <v>22358</v>
      </c>
      <c r="B5550" s="6" t="s">
        <v>12650</v>
      </c>
      <c r="C5550" s="10">
        <v>46041.0</v>
      </c>
      <c r="D5550" s="6" t="s">
        <v>289</v>
      </c>
      <c r="E5550" s="6" t="s">
        <v>1720</v>
      </c>
      <c r="F5550" s="6" t="s">
        <v>283</v>
      </c>
      <c r="G5550" s="6" t="s">
        <v>458</v>
      </c>
      <c r="H5550" s="11" t="s">
        <v>259</v>
      </c>
      <c r="I5550" s="12">
        <v>10.0</v>
      </c>
      <c r="J5550" s="6" t="s">
        <v>161</v>
      </c>
    </row>
    <row r="5551" ht="22.5" customHeight="1">
      <c r="A5551" s="6" t="s">
        <v>22359</v>
      </c>
      <c r="B5551" s="6" t="s">
        <v>12650</v>
      </c>
      <c r="C5551" s="10">
        <v>46029.0</v>
      </c>
      <c r="D5551" s="6" t="s">
        <v>242</v>
      </c>
      <c r="E5551" s="6" t="s">
        <v>1055</v>
      </c>
      <c r="F5551" s="6" t="s">
        <v>439</v>
      </c>
      <c r="G5551" s="6" t="s">
        <v>494</v>
      </c>
      <c r="H5551" s="10">
        <v>46031.0</v>
      </c>
      <c r="I5551" s="12">
        <v>5.0</v>
      </c>
      <c r="J5551" s="6" t="s">
        <v>161</v>
      </c>
    </row>
    <row r="5552" ht="22.5" customHeight="1">
      <c r="A5552" s="6" t="s">
        <v>22360</v>
      </c>
      <c r="B5552" s="6" t="s">
        <v>12650</v>
      </c>
      <c r="C5552" s="10">
        <v>46030.0</v>
      </c>
      <c r="D5552" s="6" t="s">
        <v>416</v>
      </c>
      <c r="E5552" s="6" t="s">
        <v>1296</v>
      </c>
      <c r="F5552" s="6" t="s">
        <v>439</v>
      </c>
      <c r="G5552" s="6" t="s">
        <v>254</v>
      </c>
      <c r="H5552" s="10">
        <v>46031.0</v>
      </c>
      <c r="I5552" s="12">
        <v>14.0</v>
      </c>
      <c r="J5552" s="6" t="s">
        <v>161</v>
      </c>
    </row>
    <row r="5553" ht="22.5" customHeight="1">
      <c r="A5553" s="6" t="s">
        <v>22361</v>
      </c>
      <c r="B5553" s="6" t="s">
        <v>12656</v>
      </c>
      <c r="C5553" s="10">
        <v>46069.0</v>
      </c>
      <c r="D5553" s="6" t="s">
        <v>391</v>
      </c>
      <c r="E5553" s="6" t="s">
        <v>466</v>
      </c>
      <c r="F5553" s="6" t="s">
        <v>249</v>
      </c>
      <c r="G5553" s="6" t="s">
        <v>452</v>
      </c>
      <c r="H5553" s="10">
        <v>46074.0</v>
      </c>
      <c r="I5553" s="12">
        <v>6.0</v>
      </c>
      <c r="J5553" s="6" t="s">
        <v>161</v>
      </c>
    </row>
    <row r="5554" ht="22.5" customHeight="1">
      <c r="A5554" s="6" t="s">
        <v>22362</v>
      </c>
      <c r="B5554" s="6" t="s">
        <v>12656</v>
      </c>
      <c r="C5554" s="10">
        <v>46073.0</v>
      </c>
      <c r="D5554" s="6" t="s">
        <v>289</v>
      </c>
      <c r="E5554" s="6" t="s">
        <v>798</v>
      </c>
      <c r="F5554" s="6" t="s">
        <v>283</v>
      </c>
      <c r="G5554" s="6" t="s">
        <v>297</v>
      </c>
      <c r="H5554" s="10">
        <v>46079.0</v>
      </c>
      <c r="I5554" s="12">
        <v>6.0</v>
      </c>
      <c r="J5554" s="6" t="s">
        <v>161</v>
      </c>
    </row>
    <row r="5555" ht="22.5" customHeight="1">
      <c r="A5555" s="6" t="s">
        <v>22363</v>
      </c>
      <c r="B5555" s="6" t="s">
        <v>12663</v>
      </c>
      <c r="C5555" s="10">
        <v>46051.0</v>
      </c>
      <c r="D5555" s="6" t="s">
        <v>677</v>
      </c>
      <c r="E5555" s="6" t="s">
        <v>738</v>
      </c>
      <c r="F5555" s="6" t="s">
        <v>439</v>
      </c>
      <c r="G5555" s="6" t="s">
        <v>297</v>
      </c>
      <c r="H5555" s="10">
        <v>46054.0</v>
      </c>
      <c r="I5555" s="12">
        <v>3.0</v>
      </c>
      <c r="J5555" s="6" t="s">
        <v>161</v>
      </c>
    </row>
    <row r="5556" ht="22.5" customHeight="1">
      <c r="A5556" s="6" t="s">
        <v>22364</v>
      </c>
      <c r="B5556" s="6" t="s">
        <v>12669</v>
      </c>
      <c r="C5556" s="10">
        <v>46063.0</v>
      </c>
      <c r="D5556" s="6" t="s">
        <v>312</v>
      </c>
      <c r="E5556" s="6" t="s">
        <v>1310</v>
      </c>
      <c r="F5556" s="6" t="s">
        <v>283</v>
      </c>
      <c r="G5556" s="6" t="s">
        <v>494</v>
      </c>
      <c r="H5556" s="11" t="s">
        <v>259</v>
      </c>
      <c r="I5556" s="12">
        <v>4.0</v>
      </c>
      <c r="J5556" s="6" t="s">
        <v>161</v>
      </c>
    </row>
    <row r="5557" ht="22.5" customHeight="1">
      <c r="A5557" s="6" t="s">
        <v>22365</v>
      </c>
      <c r="B5557" s="6" t="s">
        <v>12669</v>
      </c>
      <c r="C5557" s="10">
        <v>46053.0</v>
      </c>
      <c r="D5557" s="6" t="s">
        <v>312</v>
      </c>
      <c r="E5557" s="6" t="s">
        <v>320</v>
      </c>
      <c r="F5557" s="6" t="s">
        <v>249</v>
      </c>
      <c r="G5557" s="6" t="s">
        <v>326</v>
      </c>
      <c r="H5557" s="10">
        <v>46060.0</v>
      </c>
      <c r="I5557" s="12">
        <v>4.0</v>
      </c>
      <c r="J5557" s="6" t="s">
        <v>161</v>
      </c>
    </row>
    <row r="5558" ht="22.5" customHeight="1">
      <c r="A5558" s="6" t="s">
        <v>22366</v>
      </c>
      <c r="B5558" s="6" t="s">
        <v>12669</v>
      </c>
      <c r="C5558" s="10">
        <v>46058.0</v>
      </c>
      <c r="D5558" s="6" t="s">
        <v>242</v>
      </c>
      <c r="E5558" s="6" t="s">
        <v>738</v>
      </c>
      <c r="F5558" s="6" t="s">
        <v>283</v>
      </c>
      <c r="G5558" s="6" t="s">
        <v>494</v>
      </c>
      <c r="H5558" s="11" t="s">
        <v>259</v>
      </c>
      <c r="I5558" s="12">
        <v>3.0</v>
      </c>
      <c r="J5558" s="6" t="s">
        <v>161</v>
      </c>
    </row>
    <row r="5559" ht="22.5" customHeight="1">
      <c r="A5559" s="6" t="s">
        <v>22367</v>
      </c>
      <c r="B5559" s="6" t="s">
        <v>12669</v>
      </c>
      <c r="C5559" s="10">
        <v>46050.0</v>
      </c>
      <c r="D5559" s="6" t="s">
        <v>436</v>
      </c>
      <c r="E5559" s="6" t="s">
        <v>1241</v>
      </c>
      <c r="F5559" s="6" t="s">
        <v>439</v>
      </c>
      <c r="G5559" s="6" t="s">
        <v>452</v>
      </c>
      <c r="H5559" s="10">
        <v>46057.0</v>
      </c>
      <c r="I5559" s="12">
        <v>10.0</v>
      </c>
      <c r="J5559" s="6" t="s">
        <v>161</v>
      </c>
    </row>
    <row r="5560" ht="22.5" customHeight="1">
      <c r="A5560" s="6" t="s">
        <v>22368</v>
      </c>
      <c r="B5560" s="6" t="s">
        <v>12675</v>
      </c>
      <c r="C5560" s="10">
        <v>46050.0</v>
      </c>
      <c r="D5560" s="6" t="s">
        <v>416</v>
      </c>
      <c r="E5560" s="6" t="s">
        <v>1720</v>
      </c>
      <c r="F5560" s="6" t="s">
        <v>112</v>
      </c>
      <c r="G5560" s="6" t="s">
        <v>297</v>
      </c>
      <c r="H5560" s="10">
        <v>46057.0</v>
      </c>
      <c r="I5560" s="12">
        <v>14.0</v>
      </c>
      <c r="J5560" s="6" t="s">
        <v>161</v>
      </c>
    </row>
    <row r="5561" ht="22.5" customHeight="1">
      <c r="A5561" s="6" t="s">
        <v>22369</v>
      </c>
      <c r="B5561" s="6" t="s">
        <v>12675</v>
      </c>
      <c r="C5561" s="10">
        <v>46035.0</v>
      </c>
      <c r="D5561" s="6" t="s">
        <v>312</v>
      </c>
      <c r="E5561" s="6" t="s">
        <v>687</v>
      </c>
      <c r="F5561" s="6" t="s">
        <v>112</v>
      </c>
      <c r="G5561" s="6" t="s">
        <v>297</v>
      </c>
      <c r="H5561" s="10">
        <v>46037.0</v>
      </c>
      <c r="I5561" s="12">
        <v>7.0</v>
      </c>
      <c r="J5561" s="6" t="s">
        <v>161</v>
      </c>
    </row>
    <row r="5562" ht="22.5" customHeight="1">
      <c r="A5562" s="6" t="s">
        <v>22370</v>
      </c>
      <c r="B5562" s="6" t="s">
        <v>12675</v>
      </c>
      <c r="C5562" s="10">
        <v>46035.0</v>
      </c>
      <c r="D5562" s="6" t="s">
        <v>677</v>
      </c>
      <c r="E5562" s="6" t="s">
        <v>246</v>
      </c>
      <c r="F5562" s="6" t="s">
        <v>283</v>
      </c>
      <c r="G5562" s="6" t="s">
        <v>254</v>
      </c>
      <c r="H5562" s="10">
        <v>46041.0</v>
      </c>
      <c r="I5562" s="12">
        <v>3.0</v>
      </c>
      <c r="J5562" s="6" t="s">
        <v>161</v>
      </c>
    </row>
    <row r="5563" ht="22.5" customHeight="1">
      <c r="A5563" s="6" t="s">
        <v>22371</v>
      </c>
      <c r="B5563" s="6" t="s">
        <v>12675</v>
      </c>
      <c r="C5563" s="10">
        <v>46037.0</v>
      </c>
      <c r="D5563" s="6" t="s">
        <v>416</v>
      </c>
      <c r="E5563" s="6" t="s">
        <v>833</v>
      </c>
      <c r="F5563" s="6" t="s">
        <v>112</v>
      </c>
      <c r="G5563" s="6" t="s">
        <v>369</v>
      </c>
      <c r="H5563" s="10">
        <v>46043.0</v>
      </c>
      <c r="I5563" s="12">
        <v>11.0</v>
      </c>
      <c r="J5563" s="6" t="s">
        <v>161</v>
      </c>
    </row>
    <row r="5564" ht="22.5" customHeight="1">
      <c r="A5564" s="6" t="s">
        <v>22372</v>
      </c>
      <c r="B5564" s="6" t="s">
        <v>12681</v>
      </c>
      <c r="C5564" s="10">
        <v>46054.0</v>
      </c>
      <c r="D5564" s="6" t="s">
        <v>242</v>
      </c>
      <c r="E5564" s="6" t="s">
        <v>583</v>
      </c>
      <c r="F5564" s="6" t="s">
        <v>249</v>
      </c>
      <c r="G5564" s="6" t="s">
        <v>254</v>
      </c>
      <c r="H5564" s="10">
        <v>46057.0</v>
      </c>
      <c r="I5564" s="12">
        <v>6.0</v>
      </c>
      <c r="J5564" s="6" t="s">
        <v>178</v>
      </c>
    </row>
    <row r="5565" ht="22.5" customHeight="1">
      <c r="A5565" s="6" t="s">
        <v>22373</v>
      </c>
      <c r="B5565" s="6" t="s">
        <v>12681</v>
      </c>
      <c r="C5565" s="10">
        <v>46052.0</v>
      </c>
      <c r="D5565" s="6" t="s">
        <v>289</v>
      </c>
      <c r="E5565" s="6" t="s">
        <v>475</v>
      </c>
      <c r="F5565" s="6" t="s">
        <v>439</v>
      </c>
      <c r="G5565" s="6" t="s">
        <v>254</v>
      </c>
      <c r="H5565" s="11" t="s">
        <v>259</v>
      </c>
      <c r="I5565" s="12">
        <v>6.0</v>
      </c>
      <c r="J5565" s="6" t="s">
        <v>161</v>
      </c>
    </row>
    <row r="5566" ht="22.5" customHeight="1">
      <c r="A5566" s="6" t="s">
        <v>22374</v>
      </c>
      <c r="B5566" s="6" t="s">
        <v>12681</v>
      </c>
      <c r="C5566" s="10">
        <v>46066.0</v>
      </c>
      <c r="D5566" s="6" t="s">
        <v>391</v>
      </c>
      <c r="E5566" s="6" t="s">
        <v>466</v>
      </c>
      <c r="F5566" s="6" t="s">
        <v>283</v>
      </c>
      <c r="G5566" s="6" t="s">
        <v>452</v>
      </c>
      <c r="H5566" s="10">
        <v>46072.0</v>
      </c>
      <c r="I5566" s="12">
        <v>11.0</v>
      </c>
      <c r="J5566" s="6" t="s">
        <v>161</v>
      </c>
    </row>
    <row r="5567" ht="22.5" customHeight="1">
      <c r="A5567" s="6" t="s">
        <v>22375</v>
      </c>
      <c r="B5567" s="6" t="s">
        <v>12687</v>
      </c>
      <c r="C5567" s="10">
        <v>46075.0</v>
      </c>
      <c r="D5567" s="6" t="s">
        <v>677</v>
      </c>
      <c r="E5567" s="6" t="s">
        <v>695</v>
      </c>
      <c r="F5567" s="6" t="s">
        <v>439</v>
      </c>
      <c r="G5567" s="6" t="s">
        <v>452</v>
      </c>
      <c r="H5567" s="10">
        <v>46082.0</v>
      </c>
      <c r="I5567" s="12">
        <v>3.0</v>
      </c>
      <c r="J5567" s="6" t="s">
        <v>161</v>
      </c>
    </row>
    <row r="5568" ht="22.5" customHeight="1">
      <c r="A5568" s="6" t="s">
        <v>22376</v>
      </c>
      <c r="B5568" s="6" t="s">
        <v>12687</v>
      </c>
      <c r="C5568" s="10">
        <v>46071.0</v>
      </c>
      <c r="D5568" s="6" t="s">
        <v>677</v>
      </c>
      <c r="E5568" s="6" t="s">
        <v>394</v>
      </c>
      <c r="F5568" s="6" t="s">
        <v>112</v>
      </c>
      <c r="G5568" s="6" t="s">
        <v>452</v>
      </c>
      <c r="H5568" s="10">
        <v>46076.0</v>
      </c>
      <c r="I5568" s="12">
        <v>4.0</v>
      </c>
      <c r="J5568" s="6" t="s">
        <v>161</v>
      </c>
    </row>
    <row r="5569" ht="22.5" customHeight="1">
      <c r="A5569" s="6" t="s">
        <v>22377</v>
      </c>
      <c r="B5569" s="6" t="s">
        <v>12687</v>
      </c>
      <c r="C5569" s="10">
        <v>46060.0</v>
      </c>
      <c r="D5569" s="6" t="s">
        <v>436</v>
      </c>
      <c r="E5569" s="6" t="s">
        <v>1720</v>
      </c>
      <c r="F5569" s="6" t="s">
        <v>112</v>
      </c>
      <c r="G5569" s="6" t="s">
        <v>494</v>
      </c>
      <c r="H5569" s="10">
        <v>46063.0</v>
      </c>
      <c r="I5569" s="12">
        <v>10.0</v>
      </c>
      <c r="J5569" s="6" t="s">
        <v>178</v>
      </c>
    </row>
    <row r="5570" ht="22.5" customHeight="1">
      <c r="A5570" s="6" t="s">
        <v>22378</v>
      </c>
      <c r="B5570" s="6" t="s">
        <v>12687</v>
      </c>
      <c r="C5570" s="10">
        <v>46078.0</v>
      </c>
      <c r="D5570" s="6" t="s">
        <v>289</v>
      </c>
      <c r="E5570" s="6" t="s">
        <v>885</v>
      </c>
      <c r="F5570" s="6" t="s">
        <v>249</v>
      </c>
      <c r="G5570" s="6" t="s">
        <v>477</v>
      </c>
      <c r="H5570" s="10">
        <v>46083.0</v>
      </c>
      <c r="I5570" s="12">
        <v>8.0</v>
      </c>
      <c r="J5570" s="6" t="s">
        <v>161</v>
      </c>
    </row>
    <row r="5571" ht="22.5" customHeight="1">
      <c r="A5571" s="6" t="s">
        <v>22379</v>
      </c>
      <c r="B5571" s="6" t="s">
        <v>12694</v>
      </c>
      <c r="C5571" s="10">
        <v>46039.0</v>
      </c>
      <c r="D5571" s="6" t="s">
        <v>289</v>
      </c>
      <c r="E5571" s="6" t="s">
        <v>1296</v>
      </c>
      <c r="F5571" s="6" t="s">
        <v>112</v>
      </c>
      <c r="G5571" s="6" t="s">
        <v>452</v>
      </c>
      <c r="H5571" s="10">
        <v>46040.0</v>
      </c>
      <c r="I5571" s="12">
        <v>5.0</v>
      </c>
      <c r="J5571" s="6" t="s">
        <v>161</v>
      </c>
    </row>
    <row r="5572" ht="22.5" customHeight="1">
      <c r="A5572" s="6" t="s">
        <v>22380</v>
      </c>
      <c r="B5572" s="6" t="s">
        <v>12700</v>
      </c>
      <c r="C5572" s="10">
        <v>46057.0</v>
      </c>
      <c r="D5572" s="6" t="s">
        <v>289</v>
      </c>
      <c r="E5572" s="6" t="s">
        <v>704</v>
      </c>
      <c r="F5572" s="6" t="s">
        <v>439</v>
      </c>
      <c r="G5572" s="6" t="s">
        <v>254</v>
      </c>
      <c r="H5572" s="10">
        <v>46060.0</v>
      </c>
      <c r="I5572" s="12">
        <v>6.0</v>
      </c>
      <c r="J5572" s="6" t="s">
        <v>161</v>
      </c>
    </row>
    <row r="5573" ht="22.5" customHeight="1">
      <c r="A5573" s="6" t="s">
        <v>22381</v>
      </c>
      <c r="B5573" s="6" t="s">
        <v>12706</v>
      </c>
      <c r="C5573" s="10">
        <v>46065.0</v>
      </c>
      <c r="D5573" s="6" t="s">
        <v>242</v>
      </c>
      <c r="E5573" s="6" t="s">
        <v>1700</v>
      </c>
      <c r="F5573" s="6" t="s">
        <v>283</v>
      </c>
      <c r="G5573" s="6" t="s">
        <v>297</v>
      </c>
      <c r="H5573" s="10">
        <v>46069.0</v>
      </c>
      <c r="I5573" s="12">
        <v>3.0</v>
      </c>
      <c r="J5573" s="6" t="s">
        <v>178</v>
      </c>
    </row>
    <row r="5574" ht="22.5" customHeight="1">
      <c r="A5574" s="6" t="s">
        <v>22382</v>
      </c>
      <c r="B5574" s="6" t="s">
        <v>12706</v>
      </c>
      <c r="C5574" s="10">
        <v>46082.0</v>
      </c>
      <c r="D5574" s="6" t="s">
        <v>436</v>
      </c>
      <c r="E5574" s="6" t="s">
        <v>787</v>
      </c>
      <c r="F5574" s="6" t="s">
        <v>249</v>
      </c>
      <c r="G5574" s="6" t="s">
        <v>452</v>
      </c>
      <c r="H5574" s="11" t="s">
        <v>259</v>
      </c>
      <c r="I5574" s="12">
        <v>7.0</v>
      </c>
      <c r="J5574" s="6" t="s">
        <v>161</v>
      </c>
    </row>
    <row r="5575" ht="22.5" customHeight="1">
      <c r="A5575" s="6" t="s">
        <v>22383</v>
      </c>
      <c r="B5575" s="6" t="s">
        <v>12706</v>
      </c>
      <c r="C5575" s="10">
        <v>46080.0</v>
      </c>
      <c r="D5575" s="6" t="s">
        <v>312</v>
      </c>
      <c r="E5575" s="6" t="s">
        <v>610</v>
      </c>
      <c r="F5575" s="6" t="s">
        <v>112</v>
      </c>
      <c r="G5575" s="6" t="s">
        <v>494</v>
      </c>
      <c r="H5575" s="10">
        <v>46086.0</v>
      </c>
      <c r="I5575" s="12">
        <v>4.0</v>
      </c>
      <c r="J5575" s="6" t="s">
        <v>161</v>
      </c>
    </row>
    <row r="5576" ht="22.5" customHeight="1">
      <c r="A5576" s="6" t="s">
        <v>22384</v>
      </c>
      <c r="B5576" s="6" t="s">
        <v>12706</v>
      </c>
      <c r="C5576" s="10">
        <v>46069.0</v>
      </c>
      <c r="D5576" s="6" t="s">
        <v>436</v>
      </c>
      <c r="E5576" s="6" t="s">
        <v>1969</v>
      </c>
      <c r="F5576" s="6" t="s">
        <v>112</v>
      </c>
      <c r="G5576" s="6" t="s">
        <v>477</v>
      </c>
      <c r="H5576" s="11" t="s">
        <v>259</v>
      </c>
      <c r="I5576" s="12">
        <v>9.0</v>
      </c>
      <c r="J5576" s="6" t="s">
        <v>178</v>
      </c>
    </row>
    <row r="5577" ht="22.5" customHeight="1">
      <c r="A5577" s="6" t="s">
        <v>22385</v>
      </c>
      <c r="B5577" s="6" t="s">
        <v>12706</v>
      </c>
      <c r="C5577" s="10">
        <v>46080.0</v>
      </c>
      <c r="D5577" s="6" t="s">
        <v>677</v>
      </c>
      <c r="E5577" s="6" t="s">
        <v>896</v>
      </c>
      <c r="F5577" s="6" t="s">
        <v>249</v>
      </c>
      <c r="G5577" s="6" t="s">
        <v>326</v>
      </c>
      <c r="H5577" s="10">
        <v>46085.0</v>
      </c>
      <c r="I5577" s="12">
        <v>4.0</v>
      </c>
      <c r="J5577" s="6" t="s">
        <v>161</v>
      </c>
    </row>
    <row r="5578" ht="22.5" customHeight="1">
      <c r="A5578" s="6" t="s">
        <v>22386</v>
      </c>
      <c r="B5578" s="6" t="s">
        <v>12713</v>
      </c>
      <c r="C5578" s="10">
        <v>46069.0</v>
      </c>
      <c r="D5578" s="6" t="s">
        <v>391</v>
      </c>
      <c r="E5578" s="6" t="s">
        <v>716</v>
      </c>
      <c r="F5578" s="6" t="s">
        <v>112</v>
      </c>
      <c r="G5578" s="6" t="s">
        <v>477</v>
      </c>
      <c r="H5578" s="10">
        <v>46069.0</v>
      </c>
      <c r="I5578" s="12">
        <v>8.0</v>
      </c>
      <c r="J5578" s="6" t="s">
        <v>161</v>
      </c>
    </row>
    <row r="5579" ht="22.5" customHeight="1">
      <c r="A5579" s="6" t="s">
        <v>22387</v>
      </c>
      <c r="B5579" s="6" t="s">
        <v>12713</v>
      </c>
      <c r="C5579" s="10">
        <v>46068.0</v>
      </c>
      <c r="D5579" s="6" t="s">
        <v>391</v>
      </c>
      <c r="E5579" s="6" t="s">
        <v>1570</v>
      </c>
      <c r="F5579" s="6" t="s">
        <v>112</v>
      </c>
      <c r="G5579" s="6" t="s">
        <v>458</v>
      </c>
      <c r="H5579" s="10">
        <v>46070.0</v>
      </c>
      <c r="I5579" s="12">
        <v>7.0</v>
      </c>
      <c r="J5579" s="6" t="s">
        <v>161</v>
      </c>
    </row>
    <row r="5580" ht="22.5" customHeight="1">
      <c r="A5580" s="6" t="s">
        <v>22388</v>
      </c>
      <c r="B5580" s="6" t="s">
        <v>12719</v>
      </c>
      <c r="C5580" s="10">
        <v>46045.0</v>
      </c>
      <c r="D5580" s="6" t="s">
        <v>289</v>
      </c>
      <c r="E5580" s="6" t="s">
        <v>798</v>
      </c>
      <c r="F5580" s="6" t="s">
        <v>439</v>
      </c>
      <c r="G5580" s="6" t="s">
        <v>297</v>
      </c>
      <c r="H5580" s="10">
        <v>46052.0</v>
      </c>
      <c r="I5580" s="12">
        <v>10.0</v>
      </c>
      <c r="J5580" s="6" t="s">
        <v>161</v>
      </c>
    </row>
    <row r="5581" ht="22.5" customHeight="1">
      <c r="A5581" s="6" t="s">
        <v>22389</v>
      </c>
      <c r="B5581" s="6" t="s">
        <v>12719</v>
      </c>
      <c r="C5581" s="10">
        <v>46040.0</v>
      </c>
      <c r="D5581" s="6" t="s">
        <v>242</v>
      </c>
      <c r="E5581" s="6" t="s">
        <v>450</v>
      </c>
      <c r="F5581" s="6" t="s">
        <v>283</v>
      </c>
      <c r="G5581" s="6" t="s">
        <v>477</v>
      </c>
      <c r="H5581" s="10">
        <v>46042.0</v>
      </c>
      <c r="I5581" s="12">
        <v>6.0</v>
      </c>
      <c r="J5581" s="6" t="s">
        <v>178</v>
      </c>
    </row>
    <row r="5582" ht="22.5" customHeight="1">
      <c r="A5582" s="6" t="s">
        <v>22390</v>
      </c>
      <c r="B5582" s="6" t="s">
        <v>12719</v>
      </c>
      <c r="C5582" s="10">
        <v>46045.0</v>
      </c>
      <c r="D5582" s="6" t="s">
        <v>242</v>
      </c>
      <c r="E5582" s="6" t="s">
        <v>1386</v>
      </c>
      <c r="F5582" s="6" t="s">
        <v>283</v>
      </c>
      <c r="G5582" s="6" t="s">
        <v>369</v>
      </c>
      <c r="H5582" s="11" t="s">
        <v>259</v>
      </c>
      <c r="I5582" s="12">
        <v>6.0</v>
      </c>
      <c r="J5582" s="6" t="s">
        <v>161</v>
      </c>
    </row>
    <row r="5583" ht="22.5" customHeight="1">
      <c r="A5583" s="6" t="s">
        <v>22391</v>
      </c>
      <c r="B5583" s="6" t="s">
        <v>12719</v>
      </c>
      <c r="C5583" s="10">
        <v>46031.0</v>
      </c>
      <c r="D5583" s="6" t="s">
        <v>391</v>
      </c>
      <c r="E5583" s="6" t="s">
        <v>634</v>
      </c>
      <c r="F5583" s="6" t="s">
        <v>249</v>
      </c>
      <c r="G5583" s="6" t="s">
        <v>297</v>
      </c>
      <c r="H5583" s="10">
        <v>46038.0</v>
      </c>
      <c r="I5583" s="12">
        <v>10.0</v>
      </c>
      <c r="J5583" s="6" t="s">
        <v>161</v>
      </c>
    </row>
    <row r="5584" ht="22.5" customHeight="1">
      <c r="A5584" s="6" t="s">
        <v>22392</v>
      </c>
      <c r="B5584" s="6" t="s">
        <v>12726</v>
      </c>
      <c r="C5584" s="10">
        <v>46029.0</v>
      </c>
      <c r="D5584" s="6" t="s">
        <v>677</v>
      </c>
      <c r="E5584" s="6" t="s">
        <v>417</v>
      </c>
      <c r="F5584" s="6" t="s">
        <v>283</v>
      </c>
      <c r="G5584" s="6" t="s">
        <v>458</v>
      </c>
      <c r="H5584" s="11" t="s">
        <v>259</v>
      </c>
      <c r="I5584" s="12">
        <v>4.0</v>
      </c>
      <c r="J5584" s="6" t="s">
        <v>161</v>
      </c>
    </row>
    <row r="5585" ht="22.5" customHeight="1">
      <c r="A5585" s="6" t="s">
        <v>22393</v>
      </c>
      <c r="B5585" s="6" t="s">
        <v>12726</v>
      </c>
      <c r="C5585" s="10">
        <v>46031.0</v>
      </c>
      <c r="D5585" s="6" t="s">
        <v>242</v>
      </c>
      <c r="E5585" s="6" t="s">
        <v>1122</v>
      </c>
      <c r="F5585" s="6" t="s">
        <v>283</v>
      </c>
      <c r="G5585" s="6" t="s">
        <v>254</v>
      </c>
      <c r="H5585" s="10">
        <v>46038.0</v>
      </c>
      <c r="I5585" s="12">
        <v>5.0</v>
      </c>
      <c r="J5585" s="6" t="s">
        <v>161</v>
      </c>
    </row>
    <row r="5586" ht="22.5" customHeight="1">
      <c r="A5586" s="6" t="s">
        <v>22394</v>
      </c>
      <c r="B5586" s="6" t="s">
        <v>12726</v>
      </c>
      <c r="C5586" s="10">
        <v>46027.0</v>
      </c>
      <c r="D5586" s="6" t="s">
        <v>312</v>
      </c>
      <c r="E5586" s="6" t="s">
        <v>1122</v>
      </c>
      <c r="F5586" s="6" t="s">
        <v>112</v>
      </c>
      <c r="G5586" s="6" t="s">
        <v>452</v>
      </c>
      <c r="H5586" s="10">
        <v>46032.0</v>
      </c>
      <c r="I5586" s="12">
        <v>4.0</v>
      </c>
      <c r="J5586" s="6" t="s">
        <v>161</v>
      </c>
    </row>
    <row r="5587" ht="22.5" customHeight="1">
      <c r="A5587" s="6" t="s">
        <v>22395</v>
      </c>
      <c r="B5587" s="6" t="s">
        <v>12726</v>
      </c>
      <c r="C5587" s="10">
        <v>46031.0</v>
      </c>
      <c r="D5587" s="6" t="s">
        <v>312</v>
      </c>
      <c r="E5587" s="6" t="s">
        <v>1102</v>
      </c>
      <c r="F5587" s="6" t="s">
        <v>249</v>
      </c>
      <c r="G5587" s="6" t="s">
        <v>494</v>
      </c>
      <c r="H5587" s="10">
        <v>46033.0</v>
      </c>
      <c r="I5587" s="12">
        <v>5.0</v>
      </c>
      <c r="J5587" s="6" t="s">
        <v>161</v>
      </c>
    </row>
    <row r="5588" ht="22.5" customHeight="1">
      <c r="A5588" s="6" t="s">
        <v>22396</v>
      </c>
      <c r="B5588" s="6" t="s">
        <v>12726</v>
      </c>
      <c r="C5588" s="10">
        <v>46038.0</v>
      </c>
      <c r="D5588" s="6" t="s">
        <v>416</v>
      </c>
      <c r="E5588" s="6" t="s">
        <v>1386</v>
      </c>
      <c r="F5588" s="6" t="s">
        <v>283</v>
      </c>
      <c r="G5588" s="6" t="s">
        <v>494</v>
      </c>
      <c r="H5588" s="10">
        <v>46039.0</v>
      </c>
      <c r="I5588" s="12">
        <v>11.0</v>
      </c>
      <c r="J5588" s="6" t="s">
        <v>161</v>
      </c>
    </row>
    <row r="5589" ht="22.5" customHeight="1">
      <c r="A5589" s="6" t="s">
        <v>22397</v>
      </c>
      <c r="B5589" s="6" t="s">
        <v>12732</v>
      </c>
      <c r="C5589" s="10">
        <v>46026.0</v>
      </c>
      <c r="D5589" s="6" t="s">
        <v>391</v>
      </c>
      <c r="E5589" s="6" t="s">
        <v>394</v>
      </c>
      <c r="F5589" s="6" t="s">
        <v>112</v>
      </c>
      <c r="G5589" s="6" t="s">
        <v>297</v>
      </c>
      <c r="H5589" s="10">
        <v>46028.0</v>
      </c>
      <c r="I5589" s="12">
        <v>8.0</v>
      </c>
      <c r="J5589" s="6" t="s">
        <v>161</v>
      </c>
    </row>
    <row r="5590" ht="22.5" customHeight="1">
      <c r="A5590" s="6" t="s">
        <v>22398</v>
      </c>
      <c r="B5590" s="6" t="s">
        <v>12738</v>
      </c>
      <c r="C5590" s="10">
        <v>46051.0</v>
      </c>
      <c r="D5590" s="6" t="s">
        <v>242</v>
      </c>
      <c r="E5590" s="6" t="s">
        <v>1552</v>
      </c>
      <c r="F5590" s="6" t="s">
        <v>439</v>
      </c>
      <c r="G5590" s="6" t="s">
        <v>326</v>
      </c>
      <c r="H5590" s="10">
        <v>46052.0</v>
      </c>
      <c r="I5590" s="12">
        <v>5.0</v>
      </c>
      <c r="J5590" s="6" t="s">
        <v>161</v>
      </c>
    </row>
    <row r="5591" ht="22.5" customHeight="1">
      <c r="A5591" s="6" t="s">
        <v>22399</v>
      </c>
      <c r="B5591" s="6" t="s">
        <v>12738</v>
      </c>
      <c r="C5591" s="10">
        <v>46058.0</v>
      </c>
      <c r="D5591" s="6" t="s">
        <v>289</v>
      </c>
      <c r="E5591" s="6" t="s">
        <v>1273</v>
      </c>
      <c r="F5591" s="6" t="s">
        <v>112</v>
      </c>
      <c r="G5591" s="6" t="s">
        <v>494</v>
      </c>
      <c r="H5591" s="10">
        <v>46065.0</v>
      </c>
      <c r="I5591" s="12">
        <v>9.0</v>
      </c>
      <c r="J5591" s="6" t="s">
        <v>161</v>
      </c>
    </row>
    <row r="5592" ht="22.5" customHeight="1">
      <c r="A5592" s="6" t="s">
        <v>22400</v>
      </c>
      <c r="B5592" s="6" t="s">
        <v>12744</v>
      </c>
      <c r="C5592" s="10">
        <v>46033.0</v>
      </c>
      <c r="D5592" s="6" t="s">
        <v>391</v>
      </c>
      <c r="E5592" s="6" t="s">
        <v>1241</v>
      </c>
      <c r="F5592" s="6" t="s">
        <v>249</v>
      </c>
      <c r="G5592" s="6" t="s">
        <v>477</v>
      </c>
      <c r="H5592" s="10">
        <v>46040.0</v>
      </c>
      <c r="I5592" s="12">
        <v>7.0</v>
      </c>
      <c r="J5592" s="6" t="s">
        <v>161</v>
      </c>
    </row>
    <row r="5593" ht="22.5" customHeight="1">
      <c r="A5593" s="6" t="s">
        <v>22401</v>
      </c>
      <c r="B5593" s="6" t="s">
        <v>12744</v>
      </c>
      <c r="C5593" s="10">
        <v>46025.0</v>
      </c>
      <c r="D5593" s="6" t="s">
        <v>677</v>
      </c>
      <c r="E5593" s="6" t="s">
        <v>628</v>
      </c>
      <c r="F5593" s="6" t="s">
        <v>112</v>
      </c>
      <c r="G5593" s="6" t="s">
        <v>254</v>
      </c>
      <c r="H5593" s="10">
        <v>46025.0</v>
      </c>
      <c r="I5593" s="12">
        <v>4.0</v>
      </c>
      <c r="J5593" s="6" t="s">
        <v>161</v>
      </c>
    </row>
    <row r="5594" ht="22.5" customHeight="1">
      <c r="A5594" s="6" t="s">
        <v>22402</v>
      </c>
      <c r="B5594" s="6" t="s">
        <v>12744</v>
      </c>
      <c r="C5594" s="10">
        <v>46032.0</v>
      </c>
      <c r="D5594" s="6" t="s">
        <v>416</v>
      </c>
      <c r="E5594" s="6" t="s">
        <v>775</v>
      </c>
      <c r="F5594" s="6" t="s">
        <v>112</v>
      </c>
      <c r="G5594" s="6" t="s">
        <v>369</v>
      </c>
      <c r="H5594" s="10">
        <v>46032.0</v>
      </c>
      <c r="I5594" s="12">
        <v>8.0</v>
      </c>
      <c r="J5594" s="6" t="s">
        <v>161</v>
      </c>
    </row>
    <row r="5595" ht="22.5" customHeight="1">
      <c r="A5595" s="6" t="s">
        <v>22403</v>
      </c>
      <c r="B5595" s="6" t="s">
        <v>12750</v>
      </c>
      <c r="C5595" s="10">
        <v>46039.0</v>
      </c>
      <c r="D5595" s="6" t="s">
        <v>416</v>
      </c>
      <c r="E5595" s="6" t="s">
        <v>2365</v>
      </c>
      <c r="F5595" s="6" t="s">
        <v>439</v>
      </c>
      <c r="G5595" s="6" t="s">
        <v>452</v>
      </c>
      <c r="H5595" s="10">
        <v>46042.0</v>
      </c>
      <c r="I5595" s="12">
        <v>8.0</v>
      </c>
      <c r="J5595" s="6" t="s">
        <v>161</v>
      </c>
    </row>
    <row r="5596" ht="22.5" customHeight="1">
      <c r="A5596" s="6" t="s">
        <v>22404</v>
      </c>
      <c r="B5596" s="6" t="s">
        <v>12750</v>
      </c>
      <c r="C5596" s="10">
        <v>46044.0</v>
      </c>
      <c r="D5596" s="6" t="s">
        <v>436</v>
      </c>
      <c r="E5596" s="6" t="s">
        <v>394</v>
      </c>
      <c r="F5596" s="6" t="s">
        <v>249</v>
      </c>
      <c r="G5596" s="6" t="s">
        <v>369</v>
      </c>
      <c r="H5596" s="10">
        <v>46044.0</v>
      </c>
      <c r="I5596" s="12">
        <v>7.0</v>
      </c>
      <c r="J5596" s="6" t="s">
        <v>178</v>
      </c>
    </row>
    <row r="5597" ht="22.5" customHeight="1">
      <c r="A5597" s="6" t="s">
        <v>22405</v>
      </c>
      <c r="B5597" s="6" t="s">
        <v>12757</v>
      </c>
      <c r="C5597" s="10">
        <v>46049.0</v>
      </c>
      <c r="D5597" s="6" t="s">
        <v>289</v>
      </c>
      <c r="E5597" s="6" t="s">
        <v>798</v>
      </c>
      <c r="F5597" s="6" t="s">
        <v>283</v>
      </c>
      <c r="G5597" s="6" t="s">
        <v>452</v>
      </c>
      <c r="H5597" s="10">
        <v>46051.0</v>
      </c>
      <c r="I5597" s="12">
        <v>9.0</v>
      </c>
      <c r="J5597" s="6" t="s">
        <v>161</v>
      </c>
    </row>
    <row r="5598" ht="22.5" customHeight="1">
      <c r="A5598" s="6" t="s">
        <v>22406</v>
      </c>
      <c r="B5598" s="6" t="s">
        <v>12757</v>
      </c>
      <c r="C5598" s="10">
        <v>46043.0</v>
      </c>
      <c r="D5598" s="6" t="s">
        <v>312</v>
      </c>
      <c r="E5598" s="6" t="s">
        <v>955</v>
      </c>
      <c r="F5598" s="6" t="s">
        <v>439</v>
      </c>
      <c r="G5598" s="6" t="s">
        <v>369</v>
      </c>
      <c r="H5598" s="10">
        <v>46048.0</v>
      </c>
      <c r="I5598" s="12">
        <v>6.0</v>
      </c>
      <c r="J5598" s="6" t="s">
        <v>161</v>
      </c>
    </row>
    <row r="5599" ht="22.5" customHeight="1">
      <c r="A5599" s="6" t="s">
        <v>22407</v>
      </c>
      <c r="B5599" s="6" t="s">
        <v>12757</v>
      </c>
      <c r="C5599" s="10">
        <v>46041.0</v>
      </c>
      <c r="D5599" s="6" t="s">
        <v>391</v>
      </c>
      <c r="E5599" s="6" t="s">
        <v>1070</v>
      </c>
      <c r="F5599" s="6" t="s">
        <v>112</v>
      </c>
      <c r="G5599" s="6" t="s">
        <v>458</v>
      </c>
      <c r="H5599" s="10">
        <v>46046.0</v>
      </c>
      <c r="I5599" s="12">
        <v>7.0</v>
      </c>
      <c r="J5599" s="6" t="s">
        <v>161</v>
      </c>
    </row>
    <row r="5600" ht="22.5" customHeight="1">
      <c r="A5600" s="6" t="s">
        <v>22408</v>
      </c>
      <c r="B5600" s="6" t="s">
        <v>12757</v>
      </c>
      <c r="C5600" s="10">
        <v>46056.0</v>
      </c>
      <c r="D5600" s="6" t="s">
        <v>436</v>
      </c>
      <c r="E5600" s="6" t="s">
        <v>1600</v>
      </c>
      <c r="F5600" s="6" t="s">
        <v>283</v>
      </c>
      <c r="G5600" s="6" t="s">
        <v>458</v>
      </c>
      <c r="H5600" s="10">
        <v>46061.0</v>
      </c>
      <c r="I5600" s="12">
        <v>9.0</v>
      </c>
      <c r="J5600" s="6" t="s">
        <v>178</v>
      </c>
    </row>
    <row r="5601" ht="22.5" customHeight="1">
      <c r="A5601" s="6" t="s">
        <v>22409</v>
      </c>
      <c r="B5601" s="6" t="s">
        <v>12757</v>
      </c>
      <c r="C5601" s="10">
        <v>46048.0</v>
      </c>
      <c r="D5601" s="6" t="s">
        <v>416</v>
      </c>
      <c r="E5601" s="6" t="s">
        <v>475</v>
      </c>
      <c r="F5601" s="6" t="s">
        <v>283</v>
      </c>
      <c r="G5601" s="6" t="s">
        <v>477</v>
      </c>
      <c r="H5601" s="10">
        <v>46048.0</v>
      </c>
      <c r="I5601" s="12">
        <v>13.0</v>
      </c>
      <c r="J5601" s="6" t="s">
        <v>161</v>
      </c>
    </row>
    <row r="5602" ht="22.5" customHeight="1">
      <c r="A5602" s="6" t="s">
        <v>22410</v>
      </c>
      <c r="B5602" s="6" t="s">
        <v>12762</v>
      </c>
      <c r="C5602" s="10">
        <v>46059.0</v>
      </c>
      <c r="D5602" s="6" t="s">
        <v>391</v>
      </c>
      <c r="E5602" s="6" t="s">
        <v>863</v>
      </c>
      <c r="F5602" s="6" t="s">
        <v>283</v>
      </c>
      <c r="G5602" s="6" t="s">
        <v>254</v>
      </c>
      <c r="H5602" s="10">
        <v>46062.0</v>
      </c>
      <c r="I5602" s="12">
        <v>11.0</v>
      </c>
      <c r="J5602" s="6" t="s">
        <v>161</v>
      </c>
    </row>
    <row r="5603" ht="22.5" customHeight="1">
      <c r="A5603" s="6" t="s">
        <v>22411</v>
      </c>
      <c r="B5603" s="6" t="s">
        <v>12762</v>
      </c>
      <c r="C5603" s="10">
        <v>46062.0</v>
      </c>
      <c r="D5603" s="6" t="s">
        <v>436</v>
      </c>
      <c r="E5603" s="6" t="s">
        <v>670</v>
      </c>
      <c r="F5603" s="6" t="s">
        <v>439</v>
      </c>
      <c r="G5603" s="6" t="s">
        <v>458</v>
      </c>
      <c r="H5603" s="10">
        <v>46069.0</v>
      </c>
      <c r="I5603" s="12">
        <v>12.0</v>
      </c>
      <c r="J5603" s="6" t="s">
        <v>178</v>
      </c>
    </row>
    <row r="5604" ht="22.5" customHeight="1">
      <c r="A5604" s="6" t="s">
        <v>22412</v>
      </c>
      <c r="B5604" s="6" t="s">
        <v>12762</v>
      </c>
      <c r="C5604" s="10">
        <v>46069.0</v>
      </c>
      <c r="D5604" s="6" t="s">
        <v>391</v>
      </c>
      <c r="E5604" s="6" t="s">
        <v>246</v>
      </c>
      <c r="F5604" s="6" t="s">
        <v>249</v>
      </c>
      <c r="G5604" s="6" t="s">
        <v>297</v>
      </c>
      <c r="H5604" s="11" t="s">
        <v>259</v>
      </c>
      <c r="I5604" s="12">
        <v>7.0</v>
      </c>
      <c r="J5604" s="6" t="s">
        <v>161</v>
      </c>
    </row>
    <row r="5605" ht="22.5" customHeight="1">
      <c r="A5605" s="6" t="s">
        <v>22413</v>
      </c>
      <c r="B5605" s="6" t="s">
        <v>12767</v>
      </c>
      <c r="C5605" s="10">
        <v>46064.0</v>
      </c>
      <c r="D5605" s="6" t="s">
        <v>436</v>
      </c>
      <c r="E5605" s="6" t="s">
        <v>394</v>
      </c>
      <c r="F5605" s="6" t="s">
        <v>112</v>
      </c>
      <c r="G5605" s="6" t="s">
        <v>254</v>
      </c>
      <c r="H5605" s="11" t="s">
        <v>259</v>
      </c>
      <c r="I5605" s="12">
        <v>8.0</v>
      </c>
      <c r="J5605" s="6" t="s">
        <v>161</v>
      </c>
    </row>
    <row r="5606" ht="22.5" customHeight="1">
      <c r="A5606" s="6" t="s">
        <v>22414</v>
      </c>
      <c r="B5606" s="6" t="s">
        <v>12767</v>
      </c>
      <c r="C5606" s="10">
        <v>46053.0</v>
      </c>
      <c r="D5606" s="6" t="s">
        <v>391</v>
      </c>
      <c r="E5606" s="6" t="s">
        <v>365</v>
      </c>
      <c r="F5606" s="6" t="s">
        <v>439</v>
      </c>
      <c r="G5606" s="6" t="s">
        <v>254</v>
      </c>
      <c r="H5606" s="11" t="s">
        <v>259</v>
      </c>
      <c r="I5606" s="12">
        <v>10.0</v>
      </c>
      <c r="J5606" s="6" t="s">
        <v>161</v>
      </c>
    </row>
    <row r="5607" ht="22.5" customHeight="1">
      <c r="A5607" s="6" t="s">
        <v>22415</v>
      </c>
      <c r="B5607" s="6" t="s">
        <v>12773</v>
      </c>
      <c r="C5607" s="10">
        <v>46046.0</v>
      </c>
      <c r="D5607" s="6" t="s">
        <v>677</v>
      </c>
      <c r="E5607" s="6" t="s">
        <v>566</v>
      </c>
      <c r="F5607" s="6" t="s">
        <v>249</v>
      </c>
      <c r="G5607" s="6" t="s">
        <v>369</v>
      </c>
      <c r="H5607" s="10">
        <v>46052.0</v>
      </c>
      <c r="I5607" s="12">
        <v>2.0</v>
      </c>
      <c r="J5607" s="6" t="s">
        <v>161</v>
      </c>
    </row>
    <row r="5608" ht="22.5" customHeight="1">
      <c r="A5608" s="6" t="s">
        <v>22416</v>
      </c>
      <c r="B5608" s="6" t="s">
        <v>12773</v>
      </c>
      <c r="C5608" s="10">
        <v>46053.0</v>
      </c>
      <c r="D5608" s="6" t="s">
        <v>289</v>
      </c>
      <c r="E5608" s="6" t="s">
        <v>512</v>
      </c>
      <c r="F5608" s="6" t="s">
        <v>249</v>
      </c>
      <c r="G5608" s="6" t="s">
        <v>458</v>
      </c>
      <c r="H5608" s="10">
        <v>46053.0</v>
      </c>
      <c r="I5608" s="12">
        <v>10.0</v>
      </c>
      <c r="J5608" s="6" t="s">
        <v>161</v>
      </c>
    </row>
    <row r="5609" ht="22.5" customHeight="1">
      <c r="A5609" s="6" t="s">
        <v>22417</v>
      </c>
      <c r="B5609" s="6" t="s">
        <v>12773</v>
      </c>
      <c r="C5609" s="10">
        <v>46057.0</v>
      </c>
      <c r="D5609" s="6" t="s">
        <v>677</v>
      </c>
      <c r="E5609" s="6" t="s">
        <v>812</v>
      </c>
      <c r="F5609" s="6" t="s">
        <v>112</v>
      </c>
      <c r="G5609" s="6" t="s">
        <v>494</v>
      </c>
      <c r="H5609" s="10">
        <v>46057.0</v>
      </c>
      <c r="I5609" s="12">
        <v>3.0</v>
      </c>
      <c r="J5609" s="6" t="s">
        <v>161</v>
      </c>
    </row>
    <row r="5610" ht="22.5" customHeight="1">
      <c r="A5610" s="6" t="s">
        <v>22418</v>
      </c>
      <c r="B5610" s="6" t="s">
        <v>12773</v>
      </c>
      <c r="C5610" s="10">
        <v>46048.0</v>
      </c>
      <c r="D5610" s="6" t="s">
        <v>312</v>
      </c>
      <c r="E5610" s="6" t="s">
        <v>716</v>
      </c>
      <c r="F5610" s="6" t="s">
        <v>439</v>
      </c>
      <c r="G5610" s="6" t="s">
        <v>297</v>
      </c>
      <c r="H5610" s="10">
        <v>46051.0</v>
      </c>
      <c r="I5610" s="12">
        <v>5.0</v>
      </c>
      <c r="J5610" s="6" t="s">
        <v>161</v>
      </c>
    </row>
    <row r="5611" ht="22.5" customHeight="1">
      <c r="A5611" s="6" t="s">
        <v>22419</v>
      </c>
      <c r="B5611" s="6" t="s">
        <v>12773</v>
      </c>
      <c r="C5611" s="10">
        <v>46045.0</v>
      </c>
      <c r="D5611" s="6" t="s">
        <v>416</v>
      </c>
      <c r="E5611" s="6" t="s">
        <v>1969</v>
      </c>
      <c r="F5611" s="6" t="s">
        <v>283</v>
      </c>
      <c r="G5611" s="6" t="s">
        <v>494</v>
      </c>
      <c r="H5611" s="10">
        <v>46051.0</v>
      </c>
      <c r="I5611" s="12">
        <v>11.0</v>
      </c>
      <c r="J5611" s="6" t="s">
        <v>161</v>
      </c>
    </row>
    <row r="5612" ht="22.5" customHeight="1">
      <c r="A5612" s="6" t="s">
        <v>22420</v>
      </c>
      <c r="B5612" s="6" t="s">
        <v>12780</v>
      </c>
      <c r="C5612" s="10">
        <v>46045.0</v>
      </c>
      <c r="D5612" s="6" t="s">
        <v>289</v>
      </c>
      <c r="E5612" s="6" t="s">
        <v>291</v>
      </c>
      <c r="F5612" s="6" t="s">
        <v>112</v>
      </c>
      <c r="G5612" s="6" t="s">
        <v>369</v>
      </c>
      <c r="H5612" s="10">
        <v>46048.0</v>
      </c>
      <c r="I5612" s="12">
        <v>5.0</v>
      </c>
      <c r="J5612" s="6" t="s">
        <v>161</v>
      </c>
    </row>
    <row r="5613" ht="22.5" customHeight="1">
      <c r="A5613" s="6" t="s">
        <v>22421</v>
      </c>
      <c r="B5613" s="6" t="s">
        <v>12780</v>
      </c>
      <c r="C5613" s="10">
        <v>46064.0</v>
      </c>
      <c r="D5613" s="6" t="s">
        <v>391</v>
      </c>
      <c r="E5613" s="6" t="s">
        <v>618</v>
      </c>
      <c r="F5613" s="6" t="s">
        <v>283</v>
      </c>
      <c r="G5613" s="6" t="s">
        <v>369</v>
      </c>
      <c r="H5613" s="11" t="s">
        <v>259</v>
      </c>
      <c r="I5613" s="12">
        <v>9.0</v>
      </c>
      <c r="J5613" s="6" t="s">
        <v>161</v>
      </c>
    </row>
    <row r="5614" ht="22.5" customHeight="1">
      <c r="A5614" s="6" t="s">
        <v>22422</v>
      </c>
      <c r="B5614" s="6" t="s">
        <v>12780</v>
      </c>
      <c r="C5614" s="10">
        <v>46058.0</v>
      </c>
      <c r="D5614" s="6" t="s">
        <v>416</v>
      </c>
      <c r="E5614" s="6" t="s">
        <v>716</v>
      </c>
      <c r="F5614" s="6" t="s">
        <v>283</v>
      </c>
      <c r="G5614" s="6" t="s">
        <v>297</v>
      </c>
      <c r="H5614" s="10">
        <v>46058.0</v>
      </c>
      <c r="I5614" s="12">
        <v>14.0</v>
      </c>
      <c r="J5614" s="6" t="s">
        <v>161</v>
      </c>
    </row>
    <row r="5615" ht="22.5" customHeight="1">
      <c r="A5615" s="6" t="s">
        <v>22423</v>
      </c>
      <c r="B5615" s="6" t="s">
        <v>12786</v>
      </c>
      <c r="C5615" s="10">
        <v>46070.0</v>
      </c>
      <c r="D5615" s="6" t="s">
        <v>436</v>
      </c>
      <c r="E5615" s="6" t="s">
        <v>1720</v>
      </c>
      <c r="F5615" s="6" t="s">
        <v>283</v>
      </c>
      <c r="G5615" s="6" t="s">
        <v>452</v>
      </c>
      <c r="H5615" s="11" t="s">
        <v>259</v>
      </c>
      <c r="I5615" s="12">
        <v>10.0</v>
      </c>
      <c r="J5615" s="6" t="s">
        <v>161</v>
      </c>
    </row>
    <row r="5616" ht="22.5" customHeight="1">
      <c r="A5616" s="6" t="s">
        <v>22424</v>
      </c>
      <c r="B5616" s="6" t="s">
        <v>12786</v>
      </c>
      <c r="C5616" s="10">
        <v>46084.0</v>
      </c>
      <c r="D5616" s="6" t="s">
        <v>312</v>
      </c>
      <c r="E5616" s="6" t="s">
        <v>775</v>
      </c>
      <c r="F5616" s="6" t="s">
        <v>439</v>
      </c>
      <c r="G5616" s="6" t="s">
        <v>297</v>
      </c>
      <c r="H5616" s="10">
        <v>46088.0</v>
      </c>
      <c r="I5616" s="12">
        <v>7.0</v>
      </c>
      <c r="J5616" s="6" t="s">
        <v>161</v>
      </c>
    </row>
    <row r="5617" ht="22.5" customHeight="1">
      <c r="A5617" s="6" t="s">
        <v>22425</v>
      </c>
      <c r="B5617" s="6" t="s">
        <v>12786</v>
      </c>
      <c r="C5617" s="10">
        <v>46075.0</v>
      </c>
      <c r="D5617" s="6" t="s">
        <v>391</v>
      </c>
      <c r="E5617" s="6" t="s">
        <v>1741</v>
      </c>
      <c r="F5617" s="6" t="s">
        <v>249</v>
      </c>
      <c r="G5617" s="6" t="s">
        <v>494</v>
      </c>
      <c r="H5617" s="10">
        <v>46077.0</v>
      </c>
      <c r="I5617" s="12">
        <v>8.0</v>
      </c>
      <c r="J5617" s="6" t="s">
        <v>161</v>
      </c>
    </row>
    <row r="5618" ht="22.5" customHeight="1">
      <c r="A5618" s="6" t="s">
        <v>22426</v>
      </c>
      <c r="B5618" s="6" t="s">
        <v>12786</v>
      </c>
      <c r="C5618" s="10">
        <v>46075.0</v>
      </c>
      <c r="D5618" s="6" t="s">
        <v>391</v>
      </c>
      <c r="E5618" s="6" t="s">
        <v>1570</v>
      </c>
      <c r="F5618" s="6" t="s">
        <v>249</v>
      </c>
      <c r="G5618" s="6" t="s">
        <v>369</v>
      </c>
      <c r="H5618" s="10">
        <v>46082.0</v>
      </c>
      <c r="I5618" s="12">
        <v>8.0</v>
      </c>
      <c r="J5618" s="6" t="s">
        <v>161</v>
      </c>
    </row>
    <row r="5619" ht="22.5" customHeight="1">
      <c r="A5619" s="6" t="s">
        <v>22427</v>
      </c>
      <c r="B5619" s="6" t="s">
        <v>12793</v>
      </c>
      <c r="C5619" s="10">
        <v>46067.0</v>
      </c>
      <c r="D5619" s="6" t="s">
        <v>312</v>
      </c>
      <c r="E5619" s="6" t="s">
        <v>1296</v>
      </c>
      <c r="F5619" s="6" t="s">
        <v>249</v>
      </c>
      <c r="G5619" s="6" t="s">
        <v>297</v>
      </c>
      <c r="H5619" s="10">
        <v>46072.0</v>
      </c>
      <c r="I5619" s="12">
        <v>7.0</v>
      </c>
      <c r="J5619" s="6" t="s">
        <v>161</v>
      </c>
    </row>
    <row r="5620" ht="22.5" customHeight="1">
      <c r="A5620" s="6" t="s">
        <v>22428</v>
      </c>
      <c r="B5620" s="6" t="s">
        <v>12793</v>
      </c>
      <c r="C5620" s="10">
        <v>46058.0</v>
      </c>
      <c r="D5620" s="6" t="s">
        <v>436</v>
      </c>
      <c r="E5620" s="6" t="s">
        <v>1969</v>
      </c>
      <c r="F5620" s="6" t="s">
        <v>439</v>
      </c>
      <c r="G5620" s="6" t="s">
        <v>369</v>
      </c>
      <c r="H5620" s="10">
        <v>46061.0</v>
      </c>
      <c r="I5620" s="12">
        <v>11.0</v>
      </c>
      <c r="J5620" s="6" t="s">
        <v>178</v>
      </c>
    </row>
    <row r="5621" ht="22.5" customHeight="1">
      <c r="A5621" s="6" t="s">
        <v>22429</v>
      </c>
      <c r="B5621" s="6" t="s">
        <v>12799</v>
      </c>
      <c r="C5621" s="10">
        <v>46035.0</v>
      </c>
      <c r="D5621" s="6" t="s">
        <v>677</v>
      </c>
      <c r="E5621" s="6" t="s">
        <v>1102</v>
      </c>
      <c r="F5621" s="6" t="s">
        <v>249</v>
      </c>
      <c r="G5621" s="6" t="s">
        <v>452</v>
      </c>
      <c r="H5621" s="10">
        <v>46040.0</v>
      </c>
      <c r="I5621" s="12">
        <v>3.0</v>
      </c>
      <c r="J5621" s="6" t="s">
        <v>161</v>
      </c>
    </row>
    <row r="5622" ht="22.5" customHeight="1">
      <c r="A5622" s="6" t="s">
        <v>22430</v>
      </c>
      <c r="B5622" s="6" t="s">
        <v>12806</v>
      </c>
      <c r="C5622" s="10">
        <v>46049.0</v>
      </c>
      <c r="D5622" s="6" t="s">
        <v>677</v>
      </c>
      <c r="E5622" s="6" t="s">
        <v>1122</v>
      </c>
      <c r="F5622" s="6" t="s">
        <v>283</v>
      </c>
      <c r="G5622" s="6" t="s">
        <v>494</v>
      </c>
      <c r="H5622" s="10">
        <v>46053.0</v>
      </c>
      <c r="I5622" s="12">
        <v>2.0</v>
      </c>
      <c r="J5622" s="6" t="s">
        <v>161</v>
      </c>
    </row>
    <row r="5623" ht="22.5" customHeight="1">
      <c r="A5623" s="6" t="s">
        <v>22431</v>
      </c>
      <c r="B5623" s="6" t="s">
        <v>12806</v>
      </c>
      <c r="C5623" s="10">
        <v>46039.0</v>
      </c>
      <c r="D5623" s="6" t="s">
        <v>242</v>
      </c>
      <c r="E5623" s="6" t="s">
        <v>812</v>
      </c>
      <c r="F5623" s="6" t="s">
        <v>283</v>
      </c>
      <c r="G5623" s="6" t="s">
        <v>369</v>
      </c>
      <c r="H5623" s="10">
        <v>46045.0</v>
      </c>
      <c r="I5623" s="12">
        <v>4.0</v>
      </c>
      <c r="J5623" s="6" t="s">
        <v>178</v>
      </c>
    </row>
    <row r="5624" ht="22.5" customHeight="1">
      <c r="A5624" s="6" t="s">
        <v>22432</v>
      </c>
      <c r="B5624" s="6" t="s">
        <v>12812</v>
      </c>
      <c r="C5624" s="10">
        <v>46043.0</v>
      </c>
      <c r="D5624" s="6" t="s">
        <v>416</v>
      </c>
      <c r="E5624" s="6" t="s">
        <v>704</v>
      </c>
      <c r="F5624" s="6" t="s">
        <v>283</v>
      </c>
      <c r="G5624" s="6" t="s">
        <v>477</v>
      </c>
      <c r="H5624" s="10">
        <v>46043.0</v>
      </c>
      <c r="I5624" s="12">
        <v>10.0</v>
      </c>
      <c r="J5624" s="6" t="s">
        <v>161</v>
      </c>
    </row>
    <row r="5625" ht="22.5" customHeight="1">
      <c r="A5625" s="6" t="s">
        <v>22433</v>
      </c>
      <c r="B5625" s="6" t="s">
        <v>12819</v>
      </c>
      <c r="C5625" s="10">
        <v>46067.0</v>
      </c>
      <c r="D5625" s="6" t="s">
        <v>312</v>
      </c>
      <c r="E5625" s="6" t="s">
        <v>1035</v>
      </c>
      <c r="F5625" s="6" t="s">
        <v>283</v>
      </c>
      <c r="G5625" s="6" t="s">
        <v>369</v>
      </c>
      <c r="H5625" s="10">
        <v>46071.0</v>
      </c>
      <c r="I5625" s="12">
        <v>4.0</v>
      </c>
      <c r="J5625" s="6" t="s">
        <v>161</v>
      </c>
    </row>
    <row r="5626" ht="22.5" customHeight="1">
      <c r="A5626" s="6" t="s">
        <v>22434</v>
      </c>
      <c r="B5626" s="6" t="s">
        <v>12819</v>
      </c>
      <c r="C5626" s="10">
        <v>46063.0</v>
      </c>
      <c r="D5626" s="6" t="s">
        <v>312</v>
      </c>
      <c r="E5626" s="6" t="s">
        <v>1600</v>
      </c>
      <c r="F5626" s="6" t="s">
        <v>439</v>
      </c>
      <c r="G5626" s="6" t="s">
        <v>326</v>
      </c>
      <c r="H5626" s="11" t="s">
        <v>259</v>
      </c>
      <c r="I5626" s="12">
        <v>7.0</v>
      </c>
      <c r="J5626" s="6" t="s">
        <v>161</v>
      </c>
    </row>
    <row r="5627" ht="22.5" customHeight="1">
      <c r="A5627" s="6" t="s">
        <v>22435</v>
      </c>
      <c r="B5627" s="6" t="s">
        <v>12819</v>
      </c>
      <c r="C5627" s="10">
        <v>46076.0</v>
      </c>
      <c r="D5627" s="6" t="s">
        <v>391</v>
      </c>
      <c r="E5627" s="6" t="s">
        <v>812</v>
      </c>
      <c r="F5627" s="6" t="s">
        <v>112</v>
      </c>
      <c r="G5627" s="6" t="s">
        <v>458</v>
      </c>
      <c r="H5627" s="10">
        <v>46080.0</v>
      </c>
      <c r="I5627" s="12">
        <v>9.0</v>
      </c>
      <c r="J5627" s="6" t="s">
        <v>161</v>
      </c>
    </row>
    <row r="5628" ht="22.5" customHeight="1">
      <c r="A5628" s="6" t="s">
        <v>22436</v>
      </c>
      <c r="B5628" s="6" t="s">
        <v>12825</v>
      </c>
      <c r="C5628" s="10">
        <v>46050.0</v>
      </c>
      <c r="D5628" s="6" t="s">
        <v>416</v>
      </c>
      <c r="E5628" s="6" t="s">
        <v>1310</v>
      </c>
      <c r="F5628" s="6" t="s">
        <v>249</v>
      </c>
      <c r="G5628" s="6" t="s">
        <v>369</v>
      </c>
      <c r="H5628" s="10">
        <v>46051.0</v>
      </c>
      <c r="I5628" s="12">
        <v>8.0</v>
      </c>
      <c r="J5628" s="6" t="s">
        <v>161</v>
      </c>
    </row>
    <row r="5629" ht="22.5" customHeight="1">
      <c r="A5629" s="6" t="s">
        <v>22437</v>
      </c>
      <c r="B5629" s="6" t="s">
        <v>12825</v>
      </c>
      <c r="C5629" s="10">
        <v>46051.0</v>
      </c>
      <c r="D5629" s="6" t="s">
        <v>436</v>
      </c>
      <c r="E5629" s="6" t="s">
        <v>566</v>
      </c>
      <c r="F5629" s="6" t="s">
        <v>283</v>
      </c>
      <c r="G5629" s="6" t="s">
        <v>458</v>
      </c>
      <c r="H5629" s="10">
        <v>46054.0</v>
      </c>
      <c r="I5629" s="12">
        <v>10.0</v>
      </c>
      <c r="J5629" s="6" t="s">
        <v>178</v>
      </c>
    </row>
    <row r="5630" ht="22.5" customHeight="1">
      <c r="A5630" s="6" t="s">
        <v>22438</v>
      </c>
      <c r="B5630" s="6" t="s">
        <v>12825</v>
      </c>
      <c r="C5630" s="10">
        <v>46059.0</v>
      </c>
      <c r="D5630" s="6" t="s">
        <v>242</v>
      </c>
      <c r="E5630" s="6" t="s">
        <v>1700</v>
      </c>
      <c r="F5630" s="6" t="s">
        <v>439</v>
      </c>
      <c r="G5630" s="6" t="s">
        <v>254</v>
      </c>
      <c r="H5630" s="11" t="s">
        <v>259</v>
      </c>
      <c r="I5630" s="12">
        <v>3.0</v>
      </c>
      <c r="J5630" s="6" t="s">
        <v>161</v>
      </c>
    </row>
    <row r="5631" ht="22.5" customHeight="1">
      <c r="A5631" s="6" t="s">
        <v>22439</v>
      </c>
      <c r="B5631" s="6" t="s">
        <v>12825</v>
      </c>
      <c r="C5631" s="10">
        <v>46053.0</v>
      </c>
      <c r="D5631" s="6" t="s">
        <v>391</v>
      </c>
      <c r="E5631" s="6" t="s">
        <v>1386</v>
      </c>
      <c r="F5631" s="6" t="s">
        <v>249</v>
      </c>
      <c r="G5631" s="6" t="s">
        <v>369</v>
      </c>
      <c r="H5631" s="11" t="s">
        <v>259</v>
      </c>
      <c r="I5631" s="12">
        <v>9.0</v>
      </c>
      <c r="J5631" s="6" t="s">
        <v>161</v>
      </c>
    </row>
    <row r="5632" ht="22.5" customHeight="1">
      <c r="A5632" s="6" t="s">
        <v>22440</v>
      </c>
      <c r="B5632" s="6" t="s">
        <v>12832</v>
      </c>
      <c r="C5632" s="10">
        <v>46030.0</v>
      </c>
      <c r="D5632" s="6" t="s">
        <v>312</v>
      </c>
      <c r="E5632" s="6" t="s">
        <v>1720</v>
      </c>
      <c r="F5632" s="6" t="s">
        <v>283</v>
      </c>
      <c r="G5632" s="6" t="s">
        <v>458</v>
      </c>
      <c r="H5632" s="11" t="s">
        <v>259</v>
      </c>
      <c r="I5632" s="12">
        <v>6.0</v>
      </c>
      <c r="J5632" s="6" t="s">
        <v>161</v>
      </c>
    </row>
    <row r="5633" ht="22.5" customHeight="1">
      <c r="A5633" s="6" t="s">
        <v>22441</v>
      </c>
      <c r="B5633" s="6" t="s">
        <v>12832</v>
      </c>
      <c r="C5633" s="10">
        <v>46039.0</v>
      </c>
      <c r="D5633" s="6" t="s">
        <v>391</v>
      </c>
      <c r="E5633" s="6" t="s">
        <v>438</v>
      </c>
      <c r="F5633" s="6" t="s">
        <v>249</v>
      </c>
      <c r="G5633" s="6" t="s">
        <v>494</v>
      </c>
      <c r="H5633" s="10">
        <v>46039.0</v>
      </c>
      <c r="I5633" s="12">
        <v>7.0</v>
      </c>
      <c r="J5633" s="6" t="s">
        <v>161</v>
      </c>
    </row>
    <row r="5634" ht="22.5" customHeight="1">
      <c r="A5634" s="6" t="s">
        <v>22442</v>
      </c>
      <c r="B5634" s="6" t="s">
        <v>12838</v>
      </c>
      <c r="C5634" s="10">
        <v>46053.0</v>
      </c>
      <c r="D5634" s="6" t="s">
        <v>677</v>
      </c>
      <c r="E5634" s="6" t="s">
        <v>1241</v>
      </c>
      <c r="F5634" s="6" t="s">
        <v>249</v>
      </c>
      <c r="G5634" s="6" t="s">
        <v>477</v>
      </c>
      <c r="H5634" s="10">
        <v>46056.0</v>
      </c>
      <c r="I5634" s="12">
        <v>2.0</v>
      </c>
      <c r="J5634" s="6" t="s">
        <v>161</v>
      </c>
    </row>
    <row r="5635" ht="22.5" customHeight="1">
      <c r="A5635" s="6" t="s">
        <v>22443</v>
      </c>
      <c r="B5635" s="6" t="s">
        <v>12838</v>
      </c>
      <c r="C5635" s="10">
        <v>46051.0</v>
      </c>
      <c r="D5635" s="6" t="s">
        <v>391</v>
      </c>
      <c r="E5635" s="6" t="s">
        <v>475</v>
      </c>
      <c r="F5635" s="6" t="s">
        <v>112</v>
      </c>
      <c r="G5635" s="6" t="s">
        <v>494</v>
      </c>
      <c r="H5635" s="10">
        <v>46058.0</v>
      </c>
      <c r="I5635" s="12">
        <v>8.0</v>
      </c>
      <c r="J5635" s="6" t="s">
        <v>161</v>
      </c>
    </row>
    <row r="5636" ht="22.5" customHeight="1">
      <c r="A5636" s="6" t="s">
        <v>22444</v>
      </c>
      <c r="B5636" s="6" t="s">
        <v>12838</v>
      </c>
      <c r="C5636" s="10">
        <v>46041.0</v>
      </c>
      <c r="D5636" s="6" t="s">
        <v>436</v>
      </c>
      <c r="E5636" s="6" t="s">
        <v>1296</v>
      </c>
      <c r="F5636" s="6" t="s">
        <v>283</v>
      </c>
      <c r="G5636" s="6" t="s">
        <v>326</v>
      </c>
      <c r="H5636" s="11" t="s">
        <v>259</v>
      </c>
      <c r="I5636" s="12">
        <v>9.0</v>
      </c>
      <c r="J5636" s="6" t="s">
        <v>178</v>
      </c>
    </row>
    <row r="5637" ht="22.5" customHeight="1">
      <c r="A5637" s="6" t="s">
        <v>22445</v>
      </c>
      <c r="B5637" s="6" t="s">
        <v>12844</v>
      </c>
      <c r="C5637" s="10">
        <v>46028.0</v>
      </c>
      <c r="D5637" s="6" t="s">
        <v>416</v>
      </c>
      <c r="E5637" s="6" t="s">
        <v>1570</v>
      </c>
      <c r="F5637" s="6" t="s">
        <v>249</v>
      </c>
      <c r="G5637" s="6" t="s">
        <v>297</v>
      </c>
      <c r="H5637" s="10">
        <v>46030.0</v>
      </c>
      <c r="I5637" s="12">
        <v>13.0</v>
      </c>
      <c r="J5637" s="6" t="s">
        <v>161</v>
      </c>
    </row>
    <row r="5638" ht="22.5" customHeight="1">
      <c r="A5638" s="6" t="s">
        <v>22446</v>
      </c>
      <c r="B5638" s="6" t="s">
        <v>12851</v>
      </c>
      <c r="C5638" s="10">
        <v>46054.0</v>
      </c>
      <c r="D5638" s="6" t="s">
        <v>436</v>
      </c>
      <c r="E5638" s="6" t="s">
        <v>628</v>
      </c>
      <c r="F5638" s="6" t="s">
        <v>112</v>
      </c>
      <c r="G5638" s="6" t="s">
        <v>494</v>
      </c>
      <c r="H5638" s="10">
        <v>46056.0</v>
      </c>
      <c r="I5638" s="12">
        <v>7.0</v>
      </c>
      <c r="J5638" s="6" t="s">
        <v>178</v>
      </c>
    </row>
    <row r="5639" ht="22.5" customHeight="1">
      <c r="A5639" s="6" t="s">
        <v>22447</v>
      </c>
      <c r="B5639" s="6" t="s">
        <v>12851</v>
      </c>
      <c r="C5639" s="10">
        <v>46063.0</v>
      </c>
      <c r="D5639" s="6" t="s">
        <v>312</v>
      </c>
      <c r="E5639" s="6" t="s">
        <v>583</v>
      </c>
      <c r="F5639" s="6" t="s">
        <v>439</v>
      </c>
      <c r="G5639" s="6" t="s">
        <v>326</v>
      </c>
      <c r="H5639" s="10">
        <v>46064.0</v>
      </c>
      <c r="I5639" s="12">
        <v>6.0</v>
      </c>
      <c r="J5639" s="6" t="s">
        <v>161</v>
      </c>
    </row>
    <row r="5640" ht="22.5" customHeight="1">
      <c r="A5640" s="6" t="s">
        <v>22448</v>
      </c>
      <c r="B5640" s="6" t="s">
        <v>12851</v>
      </c>
      <c r="C5640" s="10">
        <v>46052.0</v>
      </c>
      <c r="D5640" s="6" t="s">
        <v>416</v>
      </c>
      <c r="E5640" s="6" t="s">
        <v>1035</v>
      </c>
      <c r="F5640" s="6" t="s">
        <v>112</v>
      </c>
      <c r="G5640" s="6" t="s">
        <v>254</v>
      </c>
      <c r="H5640" s="10">
        <v>46055.0</v>
      </c>
      <c r="I5640" s="12">
        <v>10.0</v>
      </c>
      <c r="J5640" s="6" t="s">
        <v>161</v>
      </c>
    </row>
    <row r="5641" ht="22.5" customHeight="1">
      <c r="A5641" s="6" t="s">
        <v>22449</v>
      </c>
      <c r="B5641" s="6" t="s">
        <v>12851</v>
      </c>
      <c r="C5641" s="10">
        <v>46062.0</v>
      </c>
      <c r="D5641" s="6" t="s">
        <v>289</v>
      </c>
      <c r="E5641" s="6" t="s">
        <v>475</v>
      </c>
      <c r="F5641" s="6" t="s">
        <v>112</v>
      </c>
      <c r="G5641" s="6" t="s">
        <v>477</v>
      </c>
      <c r="H5641" s="10">
        <v>46062.0</v>
      </c>
      <c r="I5641" s="12">
        <v>6.0</v>
      </c>
      <c r="J5641" s="6" t="s">
        <v>161</v>
      </c>
    </row>
    <row r="5642" ht="22.5" customHeight="1">
      <c r="A5642" s="6" t="s">
        <v>22450</v>
      </c>
      <c r="B5642" s="6" t="s">
        <v>12851</v>
      </c>
      <c r="C5642" s="10">
        <v>46047.0</v>
      </c>
      <c r="D5642" s="6" t="s">
        <v>391</v>
      </c>
      <c r="E5642" s="6" t="s">
        <v>475</v>
      </c>
      <c r="F5642" s="6" t="s">
        <v>439</v>
      </c>
      <c r="G5642" s="6" t="s">
        <v>458</v>
      </c>
      <c r="H5642" s="11" t="s">
        <v>259</v>
      </c>
      <c r="I5642" s="12">
        <v>10.0</v>
      </c>
      <c r="J5642" s="6" t="s">
        <v>161</v>
      </c>
    </row>
    <row r="5643" ht="22.5" customHeight="1">
      <c r="A5643" s="6" t="s">
        <v>22451</v>
      </c>
      <c r="B5643" s="6" t="s">
        <v>12857</v>
      </c>
      <c r="C5643" s="10">
        <v>46085.0</v>
      </c>
      <c r="D5643" s="6" t="s">
        <v>312</v>
      </c>
      <c r="E5643" s="6" t="s">
        <v>1570</v>
      </c>
      <c r="F5643" s="6" t="s">
        <v>439</v>
      </c>
      <c r="G5643" s="6" t="s">
        <v>254</v>
      </c>
      <c r="H5643" s="10">
        <v>46092.0</v>
      </c>
      <c r="I5643" s="12">
        <v>7.0</v>
      </c>
      <c r="J5643" s="6" t="s">
        <v>161</v>
      </c>
    </row>
    <row r="5644" ht="22.5" customHeight="1">
      <c r="A5644" s="6" t="s">
        <v>22452</v>
      </c>
      <c r="B5644" s="6" t="s">
        <v>12863</v>
      </c>
      <c r="C5644" s="10">
        <v>46083.0</v>
      </c>
      <c r="D5644" s="6" t="s">
        <v>312</v>
      </c>
      <c r="E5644" s="6" t="s">
        <v>417</v>
      </c>
      <c r="F5644" s="6" t="s">
        <v>439</v>
      </c>
      <c r="G5644" s="6" t="s">
        <v>477</v>
      </c>
      <c r="H5644" s="10">
        <v>46087.0</v>
      </c>
      <c r="I5644" s="12">
        <v>6.0</v>
      </c>
      <c r="J5644" s="6" t="s">
        <v>161</v>
      </c>
    </row>
    <row r="5645" ht="22.5" customHeight="1">
      <c r="A5645" s="6" t="s">
        <v>22453</v>
      </c>
      <c r="B5645" s="6" t="s">
        <v>12863</v>
      </c>
      <c r="C5645" s="10">
        <v>46081.0</v>
      </c>
      <c r="D5645" s="6" t="s">
        <v>436</v>
      </c>
      <c r="E5645" s="6" t="s">
        <v>1055</v>
      </c>
      <c r="F5645" s="6" t="s">
        <v>283</v>
      </c>
      <c r="G5645" s="6" t="s">
        <v>477</v>
      </c>
      <c r="H5645" s="10">
        <v>46083.0</v>
      </c>
      <c r="I5645" s="12">
        <v>6.0</v>
      </c>
      <c r="J5645" s="6" t="s">
        <v>161</v>
      </c>
    </row>
    <row r="5646" ht="22.5" customHeight="1">
      <c r="A5646" s="6" t="s">
        <v>22454</v>
      </c>
      <c r="B5646" s="6" t="s">
        <v>12863</v>
      </c>
      <c r="C5646" s="10">
        <v>46067.0</v>
      </c>
      <c r="D5646" s="6" t="s">
        <v>436</v>
      </c>
      <c r="E5646" s="6" t="s">
        <v>475</v>
      </c>
      <c r="F5646" s="6" t="s">
        <v>283</v>
      </c>
      <c r="G5646" s="6" t="s">
        <v>452</v>
      </c>
      <c r="H5646" s="10">
        <v>46074.0</v>
      </c>
      <c r="I5646" s="12">
        <v>7.0</v>
      </c>
      <c r="J5646" s="6" t="s">
        <v>178</v>
      </c>
    </row>
    <row r="5647" ht="22.5" customHeight="1">
      <c r="A5647" s="6" t="s">
        <v>22455</v>
      </c>
      <c r="B5647" s="6" t="s">
        <v>12863</v>
      </c>
      <c r="C5647" s="10">
        <v>46063.0</v>
      </c>
      <c r="D5647" s="6" t="s">
        <v>677</v>
      </c>
      <c r="E5647" s="6" t="s">
        <v>1741</v>
      </c>
      <c r="F5647" s="6" t="s">
        <v>439</v>
      </c>
      <c r="G5647" s="6" t="s">
        <v>458</v>
      </c>
      <c r="H5647" s="10">
        <v>46066.0</v>
      </c>
      <c r="I5647" s="12">
        <v>2.0</v>
      </c>
      <c r="J5647" s="6" t="s">
        <v>161</v>
      </c>
    </row>
    <row r="5648" ht="22.5" customHeight="1">
      <c r="A5648" s="6" t="s">
        <v>22456</v>
      </c>
      <c r="B5648" s="6" t="s">
        <v>12863</v>
      </c>
      <c r="C5648" s="10">
        <v>46083.0</v>
      </c>
      <c r="D5648" s="6" t="s">
        <v>677</v>
      </c>
      <c r="E5648" s="6" t="s">
        <v>246</v>
      </c>
      <c r="F5648" s="6" t="s">
        <v>112</v>
      </c>
      <c r="G5648" s="6" t="s">
        <v>477</v>
      </c>
      <c r="H5648" s="10">
        <v>46087.0</v>
      </c>
      <c r="I5648" s="12">
        <v>2.0</v>
      </c>
      <c r="J5648" s="6" t="s">
        <v>161</v>
      </c>
    </row>
    <row r="5649" ht="22.5" customHeight="1">
      <c r="A5649" s="6" t="s">
        <v>22457</v>
      </c>
      <c r="B5649" s="6" t="s">
        <v>12869</v>
      </c>
      <c r="C5649" s="10">
        <v>46048.0</v>
      </c>
      <c r="D5649" s="6" t="s">
        <v>289</v>
      </c>
      <c r="E5649" s="6" t="s">
        <v>1546</v>
      </c>
      <c r="F5649" s="6" t="s">
        <v>283</v>
      </c>
      <c r="G5649" s="6" t="s">
        <v>297</v>
      </c>
      <c r="H5649" s="10">
        <v>46051.0</v>
      </c>
      <c r="I5649" s="12">
        <v>7.0</v>
      </c>
      <c r="J5649" s="6" t="s">
        <v>161</v>
      </c>
    </row>
    <row r="5650" ht="22.5" customHeight="1">
      <c r="A5650" s="6" t="s">
        <v>22458</v>
      </c>
      <c r="B5650" s="6" t="s">
        <v>12869</v>
      </c>
      <c r="C5650" s="10">
        <v>46057.0</v>
      </c>
      <c r="D5650" s="6" t="s">
        <v>436</v>
      </c>
      <c r="E5650" s="6" t="s">
        <v>512</v>
      </c>
      <c r="F5650" s="6" t="s">
        <v>439</v>
      </c>
      <c r="G5650" s="6" t="s">
        <v>369</v>
      </c>
      <c r="H5650" s="10">
        <v>46063.0</v>
      </c>
      <c r="I5650" s="12">
        <v>10.0</v>
      </c>
      <c r="J5650" s="6" t="s">
        <v>178</v>
      </c>
    </row>
    <row r="5651" ht="22.5" customHeight="1">
      <c r="A5651" s="6" t="s">
        <v>22459</v>
      </c>
      <c r="B5651" s="6" t="s">
        <v>12876</v>
      </c>
      <c r="C5651" s="10">
        <v>46059.0</v>
      </c>
      <c r="D5651" s="6" t="s">
        <v>416</v>
      </c>
      <c r="E5651" s="6" t="s">
        <v>618</v>
      </c>
      <c r="F5651" s="6" t="s">
        <v>249</v>
      </c>
      <c r="G5651" s="6" t="s">
        <v>494</v>
      </c>
      <c r="H5651" s="10">
        <v>46061.0</v>
      </c>
      <c r="I5651" s="12">
        <v>12.0</v>
      </c>
      <c r="J5651" s="6" t="s">
        <v>161</v>
      </c>
    </row>
    <row r="5652" ht="22.5" customHeight="1">
      <c r="A5652" s="6" t="s">
        <v>22460</v>
      </c>
      <c r="B5652" s="6" t="s">
        <v>12876</v>
      </c>
      <c r="C5652" s="10">
        <v>46062.0</v>
      </c>
      <c r="D5652" s="6" t="s">
        <v>677</v>
      </c>
      <c r="E5652" s="6" t="s">
        <v>438</v>
      </c>
      <c r="F5652" s="6" t="s">
        <v>112</v>
      </c>
      <c r="G5652" s="6" t="s">
        <v>254</v>
      </c>
      <c r="H5652" s="10">
        <v>46066.0</v>
      </c>
      <c r="I5652" s="12">
        <v>4.0</v>
      </c>
      <c r="J5652" s="6" t="s">
        <v>161</v>
      </c>
    </row>
    <row r="5653" ht="22.5" customHeight="1">
      <c r="A5653" s="6" t="s">
        <v>22461</v>
      </c>
      <c r="B5653" s="6" t="s">
        <v>12876</v>
      </c>
      <c r="C5653" s="10">
        <v>46053.0</v>
      </c>
      <c r="D5653" s="6" t="s">
        <v>677</v>
      </c>
      <c r="E5653" s="6" t="s">
        <v>628</v>
      </c>
      <c r="F5653" s="6" t="s">
        <v>283</v>
      </c>
      <c r="G5653" s="6" t="s">
        <v>494</v>
      </c>
      <c r="H5653" s="10">
        <v>46060.0</v>
      </c>
      <c r="I5653" s="12">
        <v>2.0</v>
      </c>
      <c r="J5653" s="6" t="s">
        <v>161</v>
      </c>
    </row>
    <row r="5654" ht="22.5" customHeight="1">
      <c r="A5654" s="6" t="s">
        <v>22462</v>
      </c>
      <c r="B5654" s="6" t="s">
        <v>12876</v>
      </c>
      <c r="C5654" s="10">
        <v>46060.0</v>
      </c>
      <c r="D5654" s="6" t="s">
        <v>436</v>
      </c>
      <c r="E5654" s="6" t="s">
        <v>1102</v>
      </c>
      <c r="F5654" s="6" t="s">
        <v>439</v>
      </c>
      <c r="G5654" s="6" t="s">
        <v>369</v>
      </c>
      <c r="H5654" s="10">
        <v>46067.0</v>
      </c>
      <c r="I5654" s="12">
        <v>11.0</v>
      </c>
      <c r="J5654" s="6" t="s">
        <v>178</v>
      </c>
    </row>
    <row r="5655" ht="22.5" customHeight="1">
      <c r="A5655" s="6" t="s">
        <v>22463</v>
      </c>
      <c r="B5655" s="6" t="s">
        <v>12876</v>
      </c>
      <c r="C5655" s="10">
        <v>46064.0</v>
      </c>
      <c r="D5655" s="6" t="s">
        <v>312</v>
      </c>
      <c r="E5655" s="6" t="s">
        <v>863</v>
      </c>
      <c r="F5655" s="6" t="s">
        <v>439</v>
      </c>
      <c r="G5655" s="6" t="s">
        <v>326</v>
      </c>
      <c r="H5655" s="10">
        <v>46071.0</v>
      </c>
      <c r="I5655" s="12">
        <v>7.0</v>
      </c>
      <c r="J5655" s="6" t="s">
        <v>161</v>
      </c>
    </row>
    <row r="5656" ht="22.5" customHeight="1">
      <c r="A5656" s="6" t="s">
        <v>22464</v>
      </c>
      <c r="B5656" s="6" t="s">
        <v>12882</v>
      </c>
      <c r="C5656" s="10">
        <v>46073.0</v>
      </c>
      <c r="D5656" s="6" t="s">
        <v>242</v>
      </c>
      <c r="E5656" s="6" t="s">
        <v>1552</v>
      </c>
      <c r="F5656" s="6" t="s">
        <v>439</v>
      </c>
      <c r="G5656" s="6" t="s">
        <v>477</v>
      </c>
      <c r="H5656" s="11" t="s">
        <v>259</v>
      </c>
      <c r="I5656" s="12">
        <v>3.0</v>
      </c>
      <c r="J5656" s="6" t="s">
        <v>178</v>
      </c>
    </row>
    <row r="5657" ht="22.5" customHeight="1">
      <c r="A5657" s="6" t="s">
        <v>22465</v>
      </c>
      <c r="B5657" s="6" t="s">
        <v>12889</v>
      </c>
      <c r="C5657" s="10">
        <v>46045.0</v>
      </c>
      <c r="D5657" s="6" t="s">
        <v>416</v>
      </c>
      <c r="E5657" s="6" t="s">
        <v>1310</v>
      </c>
      <c r="F5657" s="6" t="s">
        <v>439</v>
      </c>
      <c r="G5657" s="6" t="s">
        <v>452</v>
      </c>
      <c r="H5657" s="10">
        <v>46052.0</v>
      </c>
      <c r="I5657" s="12">
        <v>14.0</v>
      </c>
      <c r="J5657" s="6" t="s">
        <v>161</v>
      </c>
    </row>
    <row r="5658" ht="22.5" customHeight="1">
      <c r="A5658" s="6" t="s">
        <v>22466</v>
      </c>
      <c r="B5658" s="6" t="s">
        <v>12889</v>
      </c>
      <c r="C5658" s="10">
        <v>46058.0</v>
      </c>
      <c r="D5658" s="6" t="s">
        <v>416</v>
      </c>
      <c r="E5658" s="6" t="s">
        <v>1310</v>
      </c>
      <c r="F5658" s="6" t="s">
        <v>112</v>
      </c>
      <c r="G5658" s="6" t="s">
        <v>452</v>
      </c>
      <c r="H5658" s="10">
        <v>46063.0</v>
      </c>
      <c r="I5658" s="12">
        <v>9.0</v>
      </c>
      <c r="J5658" s="6" t="s">
        <v>161</v>
      </c>
    </row>
    <row r="5659" ht="22.5" customHeight="1">
      <c r="A5659" s="6" t="s">
        <v>22467</v>
      </c>
      <c r="B5659" s="6" t="s">
        <v>12889</v>
      </c>
      <c r="C5659" s="10">
        <v>46047.0</v>
      </c>
      <c r="D5659" s="6" t="s">
        <v>242</v>
      </c>
      <c r="E5659" s="6" t="s">
        <v>634</v>
      </c>
      <c r="F5659" s="6" t="s">
        <v>112</v>
      </c>
      <c r="G5659" s="6" t="s">
        <v>369</v>
      </c>
      <c r="H5659" s="10">
        <v>46048.0</v>
      </c>
      <c r="I5659" s="12">
        <v>5.0</v>
      </c>
      <c r="J5659" s="6" t="s">
        <v>161</v>
      </c>
    </row>
    <row r="5660" ht="22.5" customHeight="1">
      <c r="A5660" s="6" t="s">
        <v>22468</v>
      </c>
      <c r="B5660" s="6" t="s">
        <v>12889</v>
      </c>
      <c r="C5660" s="10">
        <v>46050.0</v>
      </c>
      <c r="D5660" s="6" t="s">
        <v>242</v>
      </c>
      <c r="E5660" s="6" t="s">
        <v>955</v>
      </c>
      <c r="F5660" s="6" t="s">
        <v>112</v>
      </c>
      <c r="G5660" s="6" t="s">
        <v>369</v>
      </c>
      <c r="H5660" s="10">
        <v>46054.0</v>
      </c>
      <c r="I5660" s="12">
        <v>6.0</v>
      </c>
      <c r="J5660" s="6" t="s">
        <v>178</v>
      </c>
    </row>
    <row r="5661" ht="22.5" customHeight="1">
      <c r="A5661" s="6" t="s">
        <v>22469</v>
      </c>
      <c r="B5661" s="6" t="s">
        <v>12889</v>
      </c>
      <c r="C5661" s="10">
        <v>46051.0</v>
      </c>
      <c r="D5661" s="6" t="s">
        <v>436</v>
      </c>
      <c r="E5661" s="6" t="s">
        <v>417</v>
      </c>
      <c r="F5661" s="6" t="s">
        <v>439</v>
      </c>
      <c r="G5661" s="6" t="s">
        <v>326</v>
      </c>
      <c r="H5661" s="10">
        <v>46056.0</v>
      </c>
      <c r="I5661" s="12">
        <v>12.0</v>
      </c>
      <c r="J5661" s="6" t="s">
        <v>178</v>
      </c>
    </row>
    <row r="5662" ht="22.5" customHeight="1">
      <c r="A5662" s="6" t="s">
        <v>22470</v>
      </c>
      <c r="B5662" s="6" t="s">
        <v>12895</v>
      </c>
      <c r="C5662" s="10">
        <v>46038.0</v>
      </c>
      <c r="D5662" s="6" t="s">
        <v>242</v>
      </c>
      <c r="E5662" s="6" t="s">
        <v>896</v>
      </c>
      <c r="F5662" s="6" t="s">
        <v>112</v>
      </c>
      <c r="G5662" s="6" t="s">
        <v>452</v>
      </c>
      <c r="H5662" s="10">
        <v>46045.0</v>
      </c>
      <c r="I5662" s="12">
        <v>4.0</v>
      </c>
      <c r="J5662" s="6" t="s">
        <v>178</v>
      </c>
    </row>
    <row r="5663" ht="22.5" customHeight="1">
      <c r="A5663" s="6" t="s">
        <v>22471</v>
      </c>
      <c r="B5663" s="6" t="s">
        <v>12895</v>
      </c>
      <c r="C5663" s="10">
        <v>46032.0</v>
      </c>
      <c r="D5663" s="6" t="s">
        <v>312</v>
      </c>
      <c r="E5663" s="6" t="s">
        <v>1273</v>
      </c>
      <c r="F5663" s="6" t="s">
        <v>112</v>
      </c>
      <c r="G5663" s="6" t="s">
        <v>477</v>
      </c>
      <c r="H5663" s="10">
        <v>46034.0</v>
      </c>
      <c r="I5663" s="12">
        <v>7.0</v>
      </c>
      <c r="J5663" s="6" t="s">
        <v>161</v>
      </c>
    </row>
    <row r="5664" ht="22.5" customHeight="1">
      <c r="A5664" s="6" t="s">
        <v>22472</v>
      </c>
      <c r="B5664" s="6" t="s">
        <v>12895</v>
      </c>
      <c r="C5664" s="10">
        <v>46033.0</v>
      </c>
      <c r="D5664" s="6" t="s">
        <v>242</v>
      </c>
      <c r="E5664" s="6" t="s">
        <v>812</v>
      </c>
      <c r="F5664" s="6" t="s">
        <v>283</v>
      </c>
      <c r="G5664" s="6" t="s">
        <v>452</v>
      </c>
      <c r="H5664" s="10">
        <v>46036.0</v>
      </c>
      <c r="I5664" s="12">
        <v>5.0</v>
      </c>
      <c r="J5664" s="6" t="s">
        <v>178</v>
      </c>
    </row>
    <row r="5665" ht="22.5" customHeight="1">
      <c r="A5665" s="6" t="s">
        <v>22473</v>
      </c>
      <c r="B5665" s="6" t="s">
        <v>12895</v>
      </c>
      <c r="C5665" s="10">
        <v>46048.0</v>
      </c>
      <c r="D5665" s="6" t="s">
        <v>312</v>
      </c>
      <c r="E5665" s="6" t="s">
        <v>1700</v>
      </c>
      <c r="F5665" s="6" t="s">
        <v>283</v>
      </c>
      <c r="G5665" s="6" t="s">
        <v>494</v>
      </c>
      <c r="H5665" s="10">
        <v>46049.0</v>
      </c>
      <c r="I5665" s="12">
        <v>7.0</v>
      </c>
      <c r="J5665" s="6" t="s">
        <v>161</v>
      </c>
    </row>
    <row r="5666" ht="22.5" customHeight="1">
      <c r="A5666" s="6" t="s">
        <v>22474</v>
      </c>
      <c r="B5666" s="6" t="s">
        <v>12902</v>
      </c>
      <c r="C5666" s="10">
        <v>46062.0</v>
      </c>
      <c r="D5666" s="6" t="s">
        <v>312</v>
      </c>
      <c r="E5666" s="6" t="s">
        <v>1149</v>
      </c>
      <c r="F5666" s="6" t="s">
        <v>249</v>
      </c>
      <c r="G5666" s="6" t="s">
        <v>494</v>
      </c>
      <c r="H5666" s="10">
        <v>46063.0</v>
      </c>
      <c r="I5666" s="12">
        <v>6.0</v>
      </c>
      <c r="J5666" s="6" t="s">
        <v>161</v>
      </c>
    </row>
    <row r="5667" ht="22.5" customHeight="1">
      <c r="A5667" s="6" t="s">
        <v>22475</v>
      </c>
      <c r="B5667" s="6" t="s">
        <v>12902</v>
      </c>
      <c r="C5667" s="10">
        <v>46055.0</v>
      </c>
      <c r="D5667" s="6" t="s">
        <v>242</v>
      </c>
      <c r="E5667" s="6" t="s">
        <v>417</v>
      </c>
      <c r="F5667" s="6" t="s">
        <v>112</v>
      </c>
      <c r="G5667" s="6" t="s">
        <v>477</v>
      </c>
      <c r="H5667" s="10">
        <v>46055.0</v>
      </c>
      <c r="I5667" s="12">
        <v>5.0</v>
      </c>
      <c r="J5667" s="6" t="s">
        <v>178</v>
      </c>
    </row>
    <row r="5668" ht="22.5" customHeight="1">
      <c r="A5668" s="6" t="s">
        <v>22476</v>
      </c>
      <c r="B5668" s="6" t="s">
        <v>12902</v>
      </c>
      <c r="C5668" s="10">
        <v>46060.0</v>
      </c>
      <c r="D5668" s="6" t="s">
        <v>677</v>
      </c>
      <c r="E5668" s="6" t="s">
        <v>1700</v>
      </c>
      <c r="F5668" s="6" t="s">
        <v>249</v>
      </c>
      <c r="G5668" s="6" t="s">
        <v>458</v>
      </c>
      <c r="H5668" s="10">
        <v>46067.0</v>
      </c>
      <c r="I5668" s="12">
        <v>3.0</v>
      </c>
      <c r="J5668" s="6" t="s">
        <v>161</v>
      </c>
    </row>
    <row r="5669" ht="22.5" customHeight="1">
      <c r="A5669" s="6" t="s">
        <v>22477</v>
      </c>
      <c r="B5669" s="6" t="s">
        <v>12902</v>
      </c>
      <c r="C5669" s="10">
        <v>46054.0</v>
      </c>
      <c r="D5669" s="6" t="s">
        <v>677</v>
      </c>
      <c r="E5669" s="6" t="s">
        <v>466</v>
      </c>
      <c r="F5669" s="6" t="s">
        <v>439</v>
      </c>
      <c r="G5669" s="6" t="s">
        <v>494</v>
      </c>
      <c r="H5669" s="11" t="s">
        <v>259</v>
      </c>
      <c r="I5669" s="12">
        <v>2.0</v>
      </c>
      <c r="J5669" s="6" t="s">
        <v>161</v>
      </c>
    </row>
    <row r="5670" ht="22.5" customHeight="1">
      <c r="A5670" s="6" t="s">
        <v>22478</v>
      </c>
      <c r="B5670" s="6" t="s">
        <v>12902</v>
      </c>
      <c r="C5670" s="10">
        <v>46062.0</v>
      </c>
      <c r="D5670" s="6" t="s">
        <v>312</v>
      </c>
      <c r="E5670" s="6" t="s">
        <v>738</v>
      </c>
      <c r="F5670" s="6" t="s">
        <v>283</v>
      </c>
      <c r="G5670" s="6" t="s">
        <v>254</v>
      </c>
      <c r="H5670" s="10">
        <v>46063.0</v>
      </c>
      <c r="I5670" s="12">
        <v>5.0</v>
      </c>
      <c r="J5670" s="6" t="s">
        <v>161</v>
      </c>
    </row>
    <row r="5671" ht="22.5" customHeight="1">
      <c r="A5671" s="6" t="s">
        <v>22479</v>
      </c>
      <c r="B5671" s="6" t="s">
        <v>12908</v>
      </c>
      <c r="C5671" s="10">
        <v>46057.0</v>
      </c>
      <c r="D5671" s="6" t="s">
        <v>312</v>
      </c>
      <c r="E5671" s="6" t="s">
        <v>610</v>
      </c>
      <c r="F5671" s="6" t="s">
        <v>283</v>
      </c>
      <c r="G5671" s="6" t="s">
        <v>254</v>
      </c>
      <c r="H5671" s="10">
        <v>46064.0</v>
      </c>
      <c r="I5671" s="12">
        <v>6.0</v>
      </c>
      <c r="J5671" s="6" t="s">
        <v>161</v>
      </c>
    </row>
    <row r="5672" ht="22.5" customHeight="1">
      <c r="A5672" s="6" t="s">
        <v>22480</v>
      </c>
      <c r="B5672" s="6" t="s">
        <v>12908</v>
      </c>
      <c r="C5672" s="10">
        <v>46062.0</v>
      </c>
      <c r="D5672" s="6" t="s">
        <v>312</v>
      </c>
      <c r="E5672" s="6" t="s">
        <v>466</v>
      </c>
      <c r="F5672" s="6" t="s">
        <v>283</v>
      </c>
      <c r="G5672" s="6" t="s">
        <v>297</v>
      </c>
      <c r="H5672" s="10">
        <v>46065.0</v>
      </c>
      <c r="I5672" s="12">
        <v>5.0</v>
      </c>
      <c r="J5672" s="6" t="s">
        <v>161</v>
      </c>
    </row>
    <row r="5673" ht="22.5" customHeight="1">
      <c r="A5673" s="6" t="s">
        <v>22481</v>
      </c>
      <c r="B5673" s="6" t="s">
        <v>12908</v>
      </c>
      <c r="C5673" s="10">
        <v>46059.0</v>
      </c>
      <c r="D5673" s="6" t="s">
        <v>289</v>
      </c>
      <c r="E5673" s="6" t="s">
        <v>955</v>
      </c>
      <c r="F5673" s="6" t="s">
        <v>439</v>
      </c>
      <c r="G5673" s="6" t="s">
        <v>369</v>
      </c>
      <c r="H5673" s="10">
        <v>46064.0</v>
      </c>
      <c r="I5673" s="12">
        <v>10.0</v>
      </c>
      <c r="J5673" s="6" t="s">
        <v>161</v>
      </c>
    </row>
    <row r="5674" ht="22.5" customHeight="1">
      <c r="A5674" s="6" t="s">
        <v>22482</v>
      </c>
      <c r="B5674" s="6" t="s">
        <v>12915</v>
      </c>
      <c r="C5674" s="10">
        <v>46044.0</v>
      </c>
      <c r="D5674" s="6" t="s">
        <v>416</v>
      </c>
      <c r="E5674" s="6" t="s">
        <v>417</v>
      </c>
      <c r="F5674" s="6" t="s">
        <v>439</v>
      </c>
      <c r="G5674" s="6" t="s">
        <v>254</v>
      </c>
      <c r="H5674" s="10">
        <v>46048.0</v>
      </c>
      <c r="I5674" s="12">
        <v>8.0</v>
      </c>
      <c r="J5674" s="6" t="s">
        <v>161</v>
      </c>
    </row>
    <row r="5675" ht="22.5" customHeight="1">
      <c r="A5675" s="6" t="s">
        <v>22483</v>
      </c>
      <c r="B5675" s="6" t="s">
        <v>12915</v>
      </c>
      <c r="C5675" s="10">
        <v>46033.0</v>
      </c>
      <c r="D5675" s="6" t="s">
        <v>391</v>
      </c>
      <c r="E5675" s="6" t="s">
        <v>731</v>
      </c>
      <c r="F5675" s="6" t="s">
        <v>249</v>
      </c>
      <c r="G5675" s="6" t="s">
        <v>326</v>
      </c>
      <c r="H5675" s="10">
        <v>46035.0</v>
      </c>
      <c r="I5675" s="12">
        <v>11.0</v>
      </c>
      <c r="J5675" s="6" t="s">
        <v>161</v>
      </c>
    </row>
    <row r="5676" ht="22.5" customHeight="1">
      <c r="A5676" s="6" t="s">
        <v>22484</v>
      </c>
      <c r="B5676" s="6" t="s">
        <v>12921</v>
      </c>
      <c r="C5676" s="10">
        <v>46064.0</v>
      </c>
      <c r="D5676" s="6" t="s">
        <v>242</v>
      </c>
      <c r="E5676" s="6" t="s">
        <v>438</v>
      </c>
      <c r="F5676" s="6" t="s">
        <v>283</v>
      </c>
      <c r="G5676" s="6" t="s">
        <v>297</v>
      </c>
      <c r="H5676" s="10">
        <v>46068.0</v>
      </c>
      <c r="I5676" s="12">
        <v>3.0</v>
      </c>
      <c r="J5676" s="6" t="s">
        <v>161</v>
      </c>
    </row>
    <row r="5677" ht="22.5" customHeight="1">
      <c r="A5677" s="6" t="s">
        <v>22485</v>
      </c>
      <c r="B5677" s="6" t="s">
        <v>12921</v>
      </c>
      <c r="C5677" s="10">
        <v>46061.0</v>
      </c>
      <c r="D5677" s="6" t="s">
        <v>312</v>
      </c>
      <c r="E5677" s="6" t="s">
        <v>438</v>
      </c>
      <c r="F5677" s="6" t="s">
        <v>283</v>
      </c>
      <c r="G5677" s="6" t="s">
        <v>477</v>
      </c>
      <c r="H5677" s="11" t="s">
        <v>259</v>
      </c>
      <c r="I5677" s="12">
        <v>4.0</v>
      </c>
      <c r="J5677" s="6" t="s">
        <v>161</v>
      </c>
    </row>
    <row r="5678" ht="22.5" customHeight="1">
      <c r="A5678" s="6" t="s">
        <v>22486</v>
      </c>
      <c r="B5678" s="6" t="s">
        <v>12921</v>
      </c>
      <c r="C5678" s="10">
        <v>46070.0</v>
      </c>
      <c r="D5678" s="6" t="s">
        <v>391</v>
      </c>
      <c r="E5678" s="6" t="s">
        <v>2365</v>
      </c>
      <c r="F5678" s="6" t="s">
        <v>112</v>
      </c>
      <c r="G5678" s="6" t="s">
        <v>458</v>
      </c>
      <c r="H5678" s="10">
        <v>46075.0</v>
      </c>
      <c r="I5678" s="12">
        <v>8.0</v>
      </c>
      <c r="J5678" s="6" t="s">
        <v>161</v>
      </c>
    </row>
    <row r="5679" ht="22.5" customHeight="1">
      <c r="A5679" s="6" t="s">
        <v>22487</v>
      </c>
      <c r="B5679" s="6" t="s">
        <v>12927</v>
      </c>
      <c r="C5679" s="10">
        <v>46026.0</v>
      </c>
      <c r="D5679" s="6" t="s">
        <v>242</v>
      </c>
      <c r="E5679" s="6" t="s">
        <v>610</v>
      </c>
      <c r="F5679" s="6" t="s">
        <v>249</v>
      </c>
      <c r="G5679" s="6" t="s">
        <v>297</v>
      </c>
      <c r="H5679" s="10">
        <v>46032.0</v>
      </c>
      <c r="I5679" s="12">
        <v>4.0</v>
      </c>
      <c r="J5679" s="6" t="s">
        <v>161</v>
      </c>
    </row>
    <row r="5680" ht="22.5" customHeight="1">
      <c r="A5680" s="6" t="s">
        <v>22488</v>
      </c>
      <c r="B5680" s="6" t="s">
        <v>12927</v>
      </c>
      <c r="C5680" s="10">
        <v>46035.0</v>
      </c>
      <c r="D5680" s="6" t="s">
        <v>391</v>
      </c>
      <c r="E5680" s="6" t="s">
        <v>1122</v>
      </c>
      <c r="F5680" s="6" t="s">
        <v>112</v>
      </c>
      <c r="G5680" s="6" t="s">
        <v>254</v>
      </c>
      <c r="H5680" s="10">
        <v>46039.0</v>
      </c>
      <c r="I5680" s="12">
        <v>6.0</v>
      </c>
      <c r="J5680" s="6" t="s">
        <v>161</v>
      </c>
    </row>
    <row r="5681" ht="22.5" customHeight="1">
      <c r="A5681" s="6" t="s">
        <v>22489</v>
      </c>
      <c r="B5681" s="6" t="s">
        <v>12933</v>
      </c>
      <c r="C5681" s="10">
        <v>46035.0</v>
      </c>
      <c r="D5681" s="6" t="s">
        <v>436</v>
      </c>
      <c r="E5681" s="6" t="s">
        <v>787</v>
      </c>
      <c r="F5681" s="6" t="s">
        <v>283</v>
      </c>
      <c r="G5681" s="6" t="s">
        <v>297</v>
      </c>
      <c r="H5681" s="10">
        <v>46039.0</v>
      </c>
      <c r="I5681" s="12">
        <v>7.0</v>
      </c>
      <c r="J5681" s="6" t="s">
        <v>161</v>
      </c>
    </row>
    <row r="5682" ht="22.5" customHeight="1">
      <c r="A5682" s="6" t="s">
        <v>22490</v>
      </c>
      <c r="B5682" s="6" t="s">
        <v>12933</v>
      </c>
      <c r="C5682" s="10">
        <v>46040.0</v>
      </c>
      <c r="D5682" s="6" t="s">
        <v>677</v>
      </c>
      <c r="E5682" s="6" t="s">
        <v>438</v>
      </c>
      <c r="F5682" s="6" t="s">
        <v>249</v>
      </c>
      <c r="G5682" s="6" t="s">
        <v>369</v>
      </c>
      <c r="H5682" s="10">
        <v>46045.0</v>
      </c>
      <c r="I5682" s="12">
        <v>2.0</v>
      </c>
      <c r="J5682" s="6" t="s">
        <v>161</v>
      </c>
    </row>
    <row r="5683" ht="22.5" customHeight="1">
      <c r="A5683" s="6" t="s">
        <v>22491</v>
      </c>
      <c r="B5683" s="6" t="s">
        <v>12933</v>
      </c>
      <c r="C5683" s="10">
        <v>46029.0</v>
      </c>
      <c r="D5683" s="6" t="s">
        <v>436</v>
      </c>
      <c r="E5683" s="6" t="s">
        <v>450</v>
      </c>
      <c r="F5683" s="6" t="s">
        <v>283</v>
      </c>
      <c r="G5683" s="6" t="s">
        <v>494</v>
      </c>
      <c r="H5683" s="10">
        <v>46029.0</v>
      </c>
      <c r="I5683" s="12">
        <v>6.0</v>
      </c>
      <c r="J5683" s="6" t="s">
        <v>178</v>
      </c>
    </row>
    <row r="5684" ht="22.5" customHeight="1">
      <c r="A5684" s="6" t="s">
        <v>22492</v>
      </c>
      <c r="B5684" s="6" t="s">
        <v>12940</v>
      </c>
      <c r="C5684" s="10">
        <v>46035.0</v>
      </c>
      <c r="D5684" s="6" t="s">
        <v>242</v>
      </c>
      <c r="E5684" s="6" t="s">
        <v>687</v>
      </c>
      <c r="F5684" s="6" t="s">
        <v>439</v>
      </c>
      <c r="G5684" s="6" t="s">
        <v>494</v>
      </c>
      <c r="H5684" s="11" t="s">
        <v>259</v>
      </c>
      <c r="I5684" s="12">
        <v>4.0</v>
      </c>
      <c r="J5684" s="6" t="s">
        <v>178</v>
      </c>
    </row>
    <row r="5685" ht="22.5" customHeight="1">
      <c r="A5685" s="6" t="s">
        <v>22493</v>
      </c>
      <c r="B5685" s="6" t="s">
        <v>12940</v>
      </c>
      <c r="C5685" s="10">
        <v>46047.0</v>
      </c>
      <c r="D5685" s="6" t="s">
        <v>289</v>
      </c>
      <c r="E5685" s="6" t="s">
        <v>1280</v>
      </c>
      <c r="F5685" s="6" t="s">
        <v>249</v>
      </c>
      <c r="G5685" s="6" t="s">
        <v>326</v>
      </c>
      <c r="H5685" s="10">
        <v>46048.0</v>
      </c>
      <c r="I5685" s="12">
        <v>10.0</v>
      </c>
      <c r="J5685" s="6" t="s">
        <v>161</v>
      </c>
    </row>
    <row r="5686" ht="22.5" customHeight="1">
      <c r="A5686" s="6" t="s">
        <v>22494</v>
      </c>
      <c r="B5686" s="6" t="s">
        <v>12947</v>
      </c>
      <c r="C5686" s="10">
        <v>46069.0</v>
      </c>
      <c r="D5686" s="6" t="s">
        <v>677</v>
      </c>
      <c r="E5686" s="6" t="s">
        <v>658</v>
      </c>
      <c r="F5686" s="6" t="s">
        <v>439</v>
      </c>
      <c r="G5686" s="6" t="s">
        <v>477</v>
      </c>
      <c r="H5686" s="10">
        <v>46075.0</v>
      </c>
      <c r="I5686" s="12">
        <v>2.0</v>
      </c>
      <c r="J5686" s="6" t="s">
        <v>161</v>
      </c>
    </row>
    <row r="5687" ht="22.5" customHeight="1">
      <c r="A5687" s="6" t="s">
        <v>22495</v>
      </c>
      <c r="B5687" s="6" t="s">
        <v>12954</v>
      </c>
      <c r="C5687" s="10">
        <v>46032.0</v>
      </c>
      <c r="D5687" s="6" t="s">
        <v>436</v>
      </c>
      <c r="E5687" s="6" t="s">
        <v>1296</v>
      </c>
      <c r="F5687" s="6" t="s">
        <v>439</v>
      </c>
      <c r="G5687" s="6" t="s">
        <v>254</v>
      </c>
      <c r="H5687" s="10">
        <v>46036.0</v>
      </c>
      <c r="I5687" s="12">
        <v>7.0</v>
      </c>
      <c r="J5687" s="6" t="s">
        <v>178</v>
      </c>
    </row>
    <row r="5688" ht="22.5" customHeight="1">
      <c r="A5688" s="6" t="s">
        <v>22496</v>
      </c>
      <c r="B5688" s="6" t="s">
        <v>12954</v>
      </c>
      <c r="C5688" s="10">
        <v>46046.0</v>
      </c>
      <c r="D5688" s="6" t="s">
        <v>416</v>
      </c>
      <c r="E5688" s="6" t="s">
        <v>1296</v>
      </c>
      <c r="F5688" s="6" t="s">
        <v>439</v>
      </c>
      <c r="G5688" s="6" t="s">
        <v>369</v>
      </c>
      <c r="H5688" s="11" t="s">
        <v>259</v>
      </c>
      <c r="I5688" s="12">
        <v>12.0</v>
      </c>
      <c r="J5688" s="6" t="s">
        <v>161</v>
      </c>
    </row>
    <row r="5689" ht="22.5" customHeight="1">
      <c r="A5689" s="6" t="s">
        <v>22497</v>
      </c>
      <c r="B5689" s="6" t="s">
        <v>12954</v>
      </c>
      <c r="C5689" s="10">
        <v>46028.0</v>
      </c>
      <c r="D5689" s="6" t="s">
        <v>416</v>
      </c>
      <c r="E5689" s="6" t="s">
        <v>394</v>
      </c>
      <c r="F5689" s="6" t="s">
        <v>283</v>
      </c>
      <c r="G5689" s="6" t="s">
        <v>369</v>
      </c>
      <c r="H5689" s="10">
        <v>46033.0</v>
      </c>
      <c r="I5689" s="12">
        <v>13.0</v>
      </c>
      <c r="J5689" s="6" t="s">
        <v>161</v>
      </c>
    </row>
    <row r="5690" ht="22.5" customHeight="1">
      <c r="A5690" s="6" t="s">
        <v>22498</v>
      </c>
      <c r="B5690" s="6" t="s">
        <v>12954</v>
      </c>
      <c r="C5690" s="10">
        <v>46035.0</v>
      </c>
      <c r="D5690" s="6" t="s">
        <v>289</v>
      </c>
      <c r="E5690" s="6" t="s">
        <v>417</v>
      </c>
      <c r="F5690" s="6" t="s">
        <v>283</v>
      </c>
      <c r="G5690" s="6" t="s">
        <v>369</v>
      </c>
      <c r="H5690" s="10">
        <v>46039.0</v>
      </c>
      <c r="I5690" s="12">
        <v>10.0</v>
      </c>
      <c r="J5690" s="6" t="s">
        <v>161</v>
      </c>
    </row>
    <row r="5691" ht="22.5" customHeight="1">
      <c r="A5691" s="6" t="s">
        <v>22499</v>
      </c>
      <c r="B5691" s="6" t="s">
        <v>12954</v>
      </c>
      <c r="C5691" s="10">
        <v>46036.0</v>
      </c>
      <c r="D5691" s="6" t="s">
        <v>416</v>
      </c>
      <c r="E5691" s="6" t="s">
        <v>775</v>
      </c>
      <c r="F5691" s="6" t="s">
        <v>439</v>
      </c>
      <c r="G5691" s="6" t="s">
        <v>369</v>
      </c>
      <c r="H5691" s="11" t="s">
        <v>259</v>
      </c>
      <c r="I5691" s="12">
        <v>9.0</v>
      </c>
      <c r="J5691" s="6" t="s">
        <v>161</v>
      </c>
    </row>
    <row r="5692" ht="22.5" customHeight="1">
      <c r="A5692" s="6" t="s">
        <v>22500</v>
      </c>
      <c r="B5692" s="6" t="s">
        <v>12961</v>
      </c>
      <c r="C5692" s="10">
        <v>46041.0</v>
      </c>
      <c r="D5692" s="6" t="s">
        <v>677</v>
      </c>
      <c r="E5692" s="6" t="s">
        <v>1296</v>
      </c>
      <c r="F5692" s="6" t="s">
        <v>249</v>
      </c>
      <c r="G5692" s="6" t="s">
        <v>369</v>
      </c>
      <c r="H5692" s="10">
        <v>46044.0</v>
      </c>
      <c r="I5692" s="12">
        <v>3.0</v>
      </c>
      <c r="J5692" s="6" t="s">
        <v>161</v>
      </c>
    </row>
    <row r="5693" ht="22.5" customHeight="1">
      <c r="A5693" s="6" t="s">
        <v>22501</v>
      </c>
      <c r="B5693" s="6" t="s">
        <v>12961</v>
      </c>
      <c r="C5693" s="10">
        <v>46049.0</v>
      </c>
      <c r="D5693" s="6" t="s">
        <v>416</v>
      </c>
      <c r="E5693" s="6" t="s">
        <v>1273</v>
      </c>
      <c r="F5693" s="6" t="s">
        <v>112</v>
      </c>
      <c r="G5693" s="6" t="s">
        <v>494</v>
      </c>
      <c r="H5693" s="10">
        <v>46055.0</v>
      </c>
      <c r="I5693" s="12">
        <v>8.0</v>
      </c>
      <c r="J5693" s="6" t="s">
        <v>161</v>
      </c>
    </row>
    <row r="5694" ht="22.5" customHeight="1">
      <c r="A5694" s="6" t="s">
        <v>22502</v>
      </c>
      <c r="B5694" s="6" t="s">
        <v>12961</v>
      </c>
      <c r="C5694" s="10">
        <v>46055.0</v>
      </c>
      <c r="D5694" s="6" t="s">
        <v>289</v>
      </c>
      <c r="E5694" s="6" t="s">
        <v>1546</v>
      </c>
      <c r="F5694" s="6" t="s">
        <v>439</v>
      </c>
      <c r="G5694" s="6" t="s">
        <v>458</v>
      </c>
      <c r="H5694" s="10">
        <v>46062.0</v>
      </c>
      <c r="I5694" s="12">
        <v>9.0</v>
      </c>
      <c r="J5694" s="6" t="s">
        <v>161</v>
      </c>
    </row>
    <row r="5695" ht="22.5" customHeight="1">
      <c r="A5695" s="6" t="s">
        <v>22503</v>
      </c>
      <c r="B5695" s="6" t="s">
        <v>12968</v>
      </c>
      <c r="C5695" s="10">
        <v>46064.0</v>
      </c>
      <c r="D5695" s="6" t="s">
        <v>677</v>
      </c>
      <c r="E5695" s="6" t="s">
        <v>291</v>
      </c>
      <c r="F5695" s="6" t="s">
        <v>283</v>
      </c>
      <c r="G5695" s="6" t="s">
        <v>254</v>
      </c>
      <c r="H5695" s="10">
        <v>46067.0</v>
      </c>
      <c r="I5695" s="12">
        <v>3.0</v>
      </c>
      <c r="J5695" s="6" t="s">
        <v>161</v>
      </c>
    </row>
    <row r="5696" ht="22.5" customHeight="1">
      <c r="A5696" s="6" t="s">
        <v>22504</v>
      </c>
      <c r="B5696" s="6" t="s">
        <v>12968</v>
      </c>
      <c r="C5696" s="10">
        <v>46074.0</v>
      </c>
      <c r="D5696" s="6" t="s">
        <v>416</v>
      </c>
      <c r="E5696" s="6" t="s">
        <v>1149</v>
      </c>
      <c r="F5696" s="6" t="s">
        <v>249</v>
      </c>
      <c r="G5696" s="6" t="s">
        <v>477</v>
      </c>
      <c r="H5696" s="10">
        <v>46076.0</v>
      </c>
      <c r="I5696" s="12">
        <v>8.0</v>
      </c>
      <c r="J5696" s="6" t="s">
        <v>161</v>
      </c>
    </row>
    <row r="5697" ht="22.5" customHeight="1">
      <c r="A5697" s="6" t="s">
        <v>22505</v>
      </c>
      <c r="B5697" s="6" t="s">
        <v>12968</v>
      </c>
      <c r="C5697" s="10">
        <v>46069.0</v>
      </c>
      <c r="D5697" s="6" t="s">
        <v>391</v>
      </c>
      <c r="E5697" s="6" t="s">
        <v>1241</v>
      </c>
      <c r="F5697" s="6" t="s">
        <v>283</v>
      </c>
      <c r="G5697" s="6" t="s">
        <v>254</v>
      </c>
      <c r="H5697" s="11" t="s">
        <v>259</v>
      </c>
      <c r="I5697" s="12">
        <v>9.0</v>
      </c>
      <c r="J5697" s="6" t="s">
        <v>161</v>
      </c>
    </row>
    <row r="5698" ht="22.5" customHeight="1">
      <c r="A5698" s="6" t="s">
        <v>22506</v>
      </c>
      <c r="B5698" s="6" t="s">
        <v>12974</v>
      </c>
      <c r="C5698" s="10">
        <v>46032.0</v>
      </c>
      <c r="D5698" s="6" t="s">
        <v>312</v>
      </c>
      <c r="E5698" s="6" t="s">
        <v>833</v>
      </c>
      <c r="F5698" s="6" t="s">
        <v>249</v>
      </c>
      <c r="G5698" s="6" t="s">
        <v>254</v>
      </c>
      <c r="H5698" s="10">
        <v>46032.0</v>
      </c>
      <c r="I5698" s="12">
        <v>5.0</v>
      </c>
      <c r="J5698" s="6" t="s">
        <v>161</v>
      </c>
    </row>
    <row r="5699" ht="22.5" customHeight="1">
      <c r="A5699" s="6" t="s">
        <v>22507</v>
      </c>
      <c r="B5699" s="6" t="s">
        <v>12974</v>
      </c>
      <c r="C5699" s="10">
        <v>46039.0</v>
      </c>
      <c r="D5699" s="6" t="s">
        <v>242</v>
      </c>
      <c r="E5699" s="6" t="s">
        <v>704</v>
      </c>
      <c r="F5699" s="6" t="s">
        <v>112</v>
      </c>
      <c r="G5699" s="6" t="s">
        <v>369</v>
      </c>
      <c r="H5699" s="10">
        <v>46042.0</v>
      </c>
      <c r="I5699" s="12">
        <v>5.0</v>
      </c>
      <c r="J5699" s="6" t="s">
        <v>161</v>
      </c>
    </row>
    <row r="5700" ht="22.5" customHeight="1">
      <c r="A5700" s="6" t="s">
        <v>22508</v>
      </c>
      <c r="B5700" s="6" t="s">
        <v>12974</v>
      </c>
      <c r="C5700" s="10">
        <v>46036.0</v>
      </c>
      <c r="D5700" s="6" t="s">
        <v>289</v>
      </c>
      <c r="E5700" s="6" t="s">
        <v>1122</v>
      </c>
      <c r="F5700" s="6" t="s">
        <v>439</v>
      </c>
      <c r="G5700" s="6" t="s">
        <v>494</v>
      </c>
      <c r="H5700" s="10">
        <v>46039.0</v>
      </c>
      <c r="I5700" s="12">
        <v>8.0</v>
      </c>
      <c r="J5700" s="6" t="s">
        <v>161</v>
      </c>
    </row>
    <row r="5701" ht="22.5" customHeight="1">
      <c r="A5701" s="6" t="s">
        <v>22509</v>
      </c>
      <c r="B5701" s="6" t="s">
        <v>12981</v>
      </c>
      <c r="C5701" s="10">
        <v>46069.0</v>
      </c>
      <c r="D5701" s="6" t="s">
        <v>416</v>
      </c>
      <c r="E5701" s="6" t="s">
        <v>1552</v>
      </c>
      <c r="F5701" s="6" t="s">
        <v>249</v>
      </c>
      <c r="G5701" s="6" t="s">
        <v>254</v>
      </c>
      <c r="H5701" s="10">
        <v>46073.0</v>
      </c>
      <c r="I5701" s="12">
        <v>12.0</v>
      </c>
      <c r="J5701" s="6" t="s">
        <v>161</v>
      </c>
    </row>
    <row r="5702" ht="22.5" customHeight="1">
      <c r="A5702" s="6" t="s">
        <v>22510</v>
      </c>
      <c r="B5702" s="6" t="s">
        <v>12981</v>
      </c>
      <c r="C5702" s="10">
        <v>46068.0</v>
      </c>
      <c r="D5702" s="6" t="s">
        <v>242</v>
      </c>
      <c r="E5702" s="6" t="s">
        <v>798</v>
      </c>
      <c r="F5702" s="6" t="s">
        <v>439</v>
      </c>
      <c r="G5702" s="6" t="s">
        <v>326</v>
      </c>
      <c r="H5702" s="10">
        <v>46074.0</v>
      </c>
      <c r="I5702" s="12">
        <v>6.0</v>
      </c>
      <c r="J5702" s="6" t="s">
        <v>178</v>
      </c>
    </row>
    <row r="5703" ht="22.5" customHeight="1">
      <c r="A5703" s="6" t="s">
        <v>22511</v>
      </c>
      <c r="B5703" s="6" t="s">
        <v>12987</v>
      </c>
      <c r="C5703" s="10">
        <v>46060.0</v>
      </c>
      <c r="D5703" s="6" t="s">
        <v>242</v>
      </c>
      <c r="E5703" s="6" t="s">
        <v>1600</v>
      </c>
      <c r="F5703" s="6" t="s">
        <v>283</v>
      </c>
      <c r="G5703" s="6" t="s">
        <v>458</v>
      </c>
      <c r="H5703" s="10">
        <v>46060.0</v>
      </c>
      <c r="I5703" s="12">
        <v>5.0</v>
      </c>
      <c r="J5703" s="6" t="s">
        <v>178</v>
      </c>
    </row>
    <row r="5704" ht="22.5" customHeight="1">
      <c r="A5704" s="6" t="s">
        <v>22512</v>
      </c>
      <c r="B5704" s="6" t="s">
        <v>12987</v>
      </c>
      <c r="C5704" s="10">
        <v>46069.0</v>
      </c>
      <c r="D5704" s="6" t="s">
        <v>391</v>
      </c>
      <c r="E5704" s="6" t="s">
        <v>812</v>
      </c>
      <c r="F5704" s="6" t="s">
        <v>249</v>
      </c>
      <c r="G5704" s="6" t="s">
        <v>452</v>
      </c>
      <c r="H5704" s="10">
        <v>46071.0</v>
      </c>
      <c r="I5704" s="12">
        <v>10.0</v>
      </c>
      <c r="J5704" s="6" t="s">
        <v>161</v>
      </c>
    </row>
    <row r="5705" ht="22.5" customHeight="1">
      <c r="A5705" s="6" t="s">
        <v>22513</v>
      </c>
      <c r="B5705" s="6" t="s">
        <v>12994</v>
      </c>
      <c r="C5705" s="10">
        <v>46045.0</v>
      </c>
      <c r="D5705" s="6" t="s">
        <v>312</v>
      </c>
      <c r="E5705" s="6" t="s">
        <v>1720</v>
      </c>
      <c r="F5705" s="6" t="s">
        <v>112</v>
      </c>
      <c r="G5705" s="6" t="s">
        <v>254</v>
      </c>
      <c r="H5705" s="10">
        <v>46051.0</v>
      </c>
      <c r="I5705" s="12">
        <v>7.0</v>
      </c>
      <c r="J5705" s="6" t="s">
        <v>161</v>
      </c>
    </row>
    <row r="5706" ht="22.5" customHeight="1">
      <c r="A5706" s="6" t="s">
        <v>22514</v>
      </c>
      <c r="B5706" s="6" t="s">
        <v>12994</v>
      </c>
      <c r="C5706" s="10">
        <v>46040.0</v>
      </c>
      <c r="D5706" s="6" t="s">
        <v>677</v>
      </c>
      <c r="E5706" s="6" t="s">
        <v>1035</v>
      </c>
      <c r="F5706" s="6" t="s">
        <v>283</v>
      </c>
      <c r="G5706" s="6" t="s">
        <v>369</v>
      </c>
      <c r="H5706" s="10">
        <v>46045.0</v>
      </c>
      <c r="I5706" s="12">
        <v>2.0</v>
      </c>
      <c r="J5706" s="6" t="s">
        <v>161</v>
      </c>
    </row>
    <row r="5707" ht="22.5" customHeight="1">
      <c r="A5707" s="6" t="s">
        <v>22515</v>
      </c>
      <c r="B5707" s="6" t="s">
        <v>13000</v>
      </c>
      <c r="C5707" s="10">
        <v>46068.0</v>
      </c>
      <c r="D5707" s="6" t="s">
        <v>677</v>
      </c>
      <c r="E5707" s="6" t="s">
        <v>896</v>
      </c>
      <c r="F5707" s="6" t="s">
        <v>439</v>
      </c>
      <c r="G5707" s="6" t="s">
        <v>477</v>
      </c>
      <c r="H5707" s="10">
        <v>46070.0</v>
      </c>
      <c r="I5707" s="12">
        <v>4.0</v>
      </c>
      <c r="J5707" s="6" t="s">
        <v>161</v>
      </c>
    </row>
    <row r="5708" ht="22.5" customHeight="1">
      <c r="A5708" s="6" t="s">
        <v>22516</v>
      </c>
      <c r="B5708" s="6" t="s">
        <v>13000</v>
      </c>
      <c r="C5708" s="10">
        <v>46063.0</v>
      </c>
      <c r="D5708" s="6" t="s">
        <v>312</v>
      </c>
      <c r="E5708" s="6" t="s">
        <v>417</v>
      </c>
      <c r="F5708" s="6" t="s">
        <v>249</v>
      </c>
      <c r="G5708" s="6" t="s">
        <v>494</v>
      </c>
      <c r="H5708" s="10">
        <v>46063.0</v>
      </c>
      <c r="I5708" s="12">
        <v>6.0</v>
      </c>
      <c r="J5708" s="6" t="s">
        <v>161</v>
      </c>
    </row>
    <row r="5709" ht="22.5" customHeight="1">
      <c r="A5709" s="6" t="s">
        <v>22517</v>
      </c>
      <c r="B5709" s="6" t="s">
        <v>13006</v>
      </c>
      <c r="C5709" s="10">
        <v>46060.0</v>
      </c>
      <c r="D5709" s="6" t="s">
        <v>289</v>
      </c>
      <c r="E5709" s="6" t="s">
        <v>833</v>
      </c>
      <c r="F5709" s="6" t="s">
        <v>439</v>
      </c>
      <c r="G5709" s="6" t="s">
        <v>369</v>
      </c>
      <c r="H5709" s="10">
        <v>46064.0</v>
      </c>
      <c r="I5709" s="12">
        <v>8.0</v>
      </c>
      <c r="J5709" s="6" t="s">
        <v>161</v>
      </c>
    </row>
    <row r="5710" ht="22.5" customHeight="1">
      <c r="A5710" s="6" t="s">
        <v>22518</v>
      </c>
      <c r="B5710" s="6" t="s">
        <v>13006</v>
      </c>
      <c r="C5710" s="10">
        <v>46062.0</v>
      </c>
      <c r="D5710" s="6" t="s">
        <v>436</v>
      </c>
      <c r="E5710" s="6" t="s">
        <v>695</v>
      </c>
      <c r="F5710" s="6" t="s">
        <v>283</v>
      </c>
      <c r="G5710" s="6" t="s">
        <v>458</v>
      </c>
      <c r="H5710" s="10">
        <v>46067.0</v>
      </c>
      <c r="I5710" s="12">
        <v>11.0</v>
      </c>
      <c r="J5710" s="6" t="s">
        <v>178</v>
      </c>
    </row>
    <row r="5711" ht="22.5" customHeight="1">
      <c r="A5711" s="6" t="s">
        <v>22519</v>
      </c>
      <c r="B5711" s="6" t="s">
        <v>13006</v>
      </c>
      <c r="C5711" s="10">
        <v>46057.0</v>
      </c>
      <c r="D5711" s="6" t="s">
        <v>391</v>
      </c>
      <c r="E5711" s="6" t="s">
        <v>1552</v>
      </c>
      <c r="F5711" s="6" t="s">
        <v>249</v>
      </c>
      <c r="G5711" s="6" t="s">
        <v>326</v>
      </c>
      <c r="H5711" s="11" t="s">
        <v>259</v>
      </c>
      <c r="I5711" s="12">
        <v>9.0</v>
      </c>
      <c r="J5711" s="6" t="s">
        <v>161</v>
      </c>
    </row>
    <row r="5712" ht="22.5" customHeight="1">
      <c r="A5712" s="6" t="s">
        <v>22520</v>
      </c>
      <c r="B5712" s="6" t="s">
        <v>13006</v>
      </c>
      <c r="C5712" s="10">
        <v>46047.0</v>
      </c>
      <c r="D5712" s="6" t="s">
        <v>312</v>
      </c>
      <c r="E5712" s="6" t="s">
        <v>417</v>
      </c>
      <c r="F5712" s="6" t="s">
        <v>249</v>
      </c>
      <c r="G5712" s="6" t="s">
        <v>452</v>
      </c>
      <c r="H5712" s="10">
        <v>46051.0</v>
      </c>
      <c r="I5712" s="12">
        <v>7.0</v>
      </c>
      <c r="J5712" s="6" t="s">
        <v>161</v>
      </c>
    </row>
    <row r="5713" ht="22.5" customHeight="1">
      <c r="A5713" s="6" t="s">
        <v>22521</v>
      </c>
      <c r="B5713" s="6" t="s">
        <v>13006</v>
      </c>
      <c r="C5713" s="10">
        <v>46050.0</v>
      </c>
      <c r="D5713" s="6" t="s">
        <v>289</v>
      </c>
      <c r="E5713" s="6" t="s">
        <v>833</v>
      </c>
      <c r="F5713" s="6" t="s">
        <v>112</v>
      </c>
      <c r="G5713" s="6" t="s">
        <v>494</v>
      </c>
      <c r="H5713" s="10">
        <v>46050.0</v>
      </c>
      <c r="I5713" s="12">
        <v>8.0</v>
      </c>
      <c r="J5713" s="6" t="s">
        <v>161</v>
      </c>
    </row>
    <row r="5714" ht="22.5" customHeight="1">
      <c r="A5714" s="6" t="s">
        <v>22522</v>
      </c>
      <c r="B5714" s="6" t="s">
        <v>13012</v>
      </c>
      <c r="C5714" s="10">
        <v>46084.0</v>
      </c>
      <c r="D5714" s="6" t="s">
        <v>289</v>
      </c>
      <c r="E5714" s="6" t="s">
        <v>1273</v>
      </c>
      <c r="F5714" s="6" t="s">
        <v>112</v>
      </c>
      <c r="G5714" s="6" t="s">
        <v>452</v>
      </c>
      <c r="H5714" s="10">
        <v>46087.0</v>
      </c>
      <c r="I5714" s="12">
        <v>8.0</v>
      </c>
      <c r="J5714" s="6" t="s">
        <v>161</v>
      </c>
    </row>
    <row r="5715" ht="22.5" customHeight="1">
      <c r="A5715" s="6" t="s">
        <v>22523</v>
      </c>
      <c r="B5715" s="6" t="s">
        <v>13012</v>
      </c>
      <c r="C5715" s="10">
        <v>46068.0</v>
      </c>
      <c r="D5715" s="6" t="s">
        <v>677</v>
      </c>
      <c r="E5715" s="6" t="s">
        <v>687</v>
      </c>
      <c r="F5715" s="6" t="s">
        <v>439</v>
      </c>
      <c r="G5715" s="6" t="s">
        <v>326</v>
      </c>
      <c r="H5715" s="10">
        <v>46069.0</v>
      </c>
      <c r="I5715" s="12">
        <v>4.0</v>
      </c>
      <c r="J5715" s="6" t="s">
        <v>161</v>
      </c>
    </row>
    <row r="5716" ht="22.5" customHeight="1">
      <c r="A5716" s="6" t="s">
        <v>22524</v>
      </c>
      <c r="B5716" s="6" t="s">
        <v>13012</v>
      </c>
      <c r="C5716" s="10">
        <v>46072.0</v>
      </c>
      <c r="D5716" s="6" t="s">
        <v>289</v>
      </c>
      <c r="E5716" s="6" t="s">
        <v>1570</v>
      </c>
      <c r="F5716" s="6" t="s">
        <v>112</v>
      </c>
      <c r="G5716" s="6" t="s">
        <v>452</v>
      </c>
      <c r="H5716" s="10">
        <v>46073.0</v>
      </c>
      <c r="I5716" s="12">
        <v>8.0</v>
      </c>
      <c r="J5716" s="6" t="s">
        <v>161</v>
      </c>
    </row>
    <row r="5717" ht="22.5" customHeight="1">
      <c r="A5717" s="6" t="s">
        <v>22525</v>
      </c>
      <c r="B5717" s="6" t="s">
        <v>13017</v>
      </c>
      <c r="C5717" s="10">
        <v>46062.0</v>
      </c>
      <c r="D5717" s="6" t="s">
        <v>289</v>
      </c>
      <c r="E5717" s="6" t="s">
        <v>704</v>
      </c>
      <c r="F5717" s="6" t="s">
        <v>439</v>
      </c>
      <c r="G5717" s="6" t="s">
        <v>326</v>
      </c>
      <c r="H5717" s="10">
        <v>46062.0</v>
      </c>
      <c r="I5717" s="12">
        <v>6.0</v>
      </c>
      <c r="J5717" s="6" t="s">
        <v>161</v>
      </c>
    </row>
    <row r="5718" ht="22.5" customHeight="1">
      <c r="A5718" s="6" t="s">
        <v>22526</v>
      </c>
      <c r="B5718" s="6" t="s">
        <v>13017</v>
      </c>
      <c r="C5718" s="10">
        <v>46059.0</v>
      </c>
      <c r="D5718" s="6" t="s">
        <v>242</v>
      </c>
      <c r="E5718" s="6" t="s">
        <v>670</v>
      </c>
      <c r="F5718" s="6" t="s">
        <v>112</v>
      </c>
      <c r="G5718" s="6" t="s">
        <v>297</v>
      </c>
      <c r="H5718" s="10">
        <v>46059.0</v>
      </c>
      <c r="I5718" s="12">
        <v>5.0</v>
      </c>
      <c r="J5718" s="6" t="s">
        <v>178</v>
      </c>
    </row>
    <row r="5719" ht="22.5" customHeight="1">
      <c r="A5719" s="6" t="s">
        <v>22527</v>
      </c>
      <c r="B5719" s="6" t="s">
        <v>13017</v>
      </c>
      <c r="C5719" s="10">
        <v>46075.0</v>
      </c>
      <c r="D5719" s="6" t="s">
        <v>289</v>
      </c>
      <c r="E5719" s="6" t="s">
        <v>833</v>
      </c>
      <c r="F5719" s="6" t="s">
        <v>249</v>
      </c>
      <c r="G5719" s="6" t="s">
        <v>326</v>
      </c>
      <c r="H5719" s="10">
        <v>46082.0</v>
      </c>
      <c r="I5719" s="12">
        <v>7.0</v>
      </c>
      <c r="J5719" s="6" t="s">
        <v>161</v>
      </c>
    </row>
    <row r="5720" ht="22.5" customHeight="1">
      <c r="A5720" s="6" t="s">
        <v>22528</v>
      </c>
      <c r="B5720" s="6" t="s">
        <v>13024</v>
      </c>
      <c r="C5720" s="10">
        <v>46044.0</v>
      </c>
      <c r="D5720" s="6" t="s">
        <v>677</v>
      </c>
      <c r="E5720" s="6" t="s">
        <v>787</v>
      </c>
      <c r="F5720" s="6" t="s">
        <v>439</v>
      </c>
      <c r="G5720" s="6" t="s">
        <v>326</v>
      </c>
      <c r="H5720" s="10">
        <v>46050.0</v>
      </c>
      <c r="I5720" s="12">
        <v>2.0</v>
      </c>
      <c r="J5720" s="6" t="s">
        <v>161</v>
      </c>
    </row>
    <row r="5721" ht="22.5" customHeight="1">
      <c r="A5721" s="6" t="s">
        <v>22529</v>
      </c>
      <c r="B5721" s="6" t="s">
        <v>13024</v>
      </c>
      <c r="C5721" s="10">
        <v>46049.0</v>
      </c>
      <c r="D5721" s="6" t="s">
        <v>677</v>
      </c>
      <c r="E5721" s="6" t="s">
        <v>1070</v>
      </c>
      <c r="F5721" s="6" t="s">
        <v>283</v>
      </c>
      <c r="G5721" s="6" t="s">
        <v>494</v>
      </c>
      <c r="H5721" s="10">
        <v>46050.0</v>
      </c>
      <c r="I5721" s="12">
        <v>3.0</v>
      </c>
      <c r="J5721" s="6" t="s">
        <v>161</v>
      </c>
    </row>
    <row r="5722" ht="22.5" customHeight="1">
      <c r="A5722" s="6" t="s">
        <v>22530</v>
      </c>
      <c r="B5722" s="6" t="s">
        <v>13024</v>
      </c>
      <c r="C5722" s="10">
        <v>46045.0</v>
      </c>
      <c r="D5722" s="6" t="s">
        <v>677</v>
      </c>
      <c r="E5722" s="6" t="s">
        <v>738</v>
      </c>
      <c r="F5722" s="6" t="s">
        <v>249</v>
      </c>
      <c r="G5722" s="6" t="s">
        <v>494</v>
      </c>
      <c r="H5722" s="10">
        <v>46052.0</v>
      </c>
      <c r="I5722" s="12">
        <v>3.0</v>
      </c>
      <c r="J5722" s="6" t="s">
        <v>161</v>
      </c>
    </row>
    <row r="5723" ht="22.5" customHeight="1">
      <c r="A5723" s="6" t="s">
        <v>22531</v>
      </c>
      <c r="B5723" s="6" t="s">
        <v>13024</v>
      </c>
      <c r="C5723" s="10">
        <v>46045.0</v>
      </c>
      <c r="D5723" s="6" t="s">
        <v>391</v>
      </c>
      <c r="E5723" s="6" t="s">
        <v>1102</v>
      </c>
      <c r="F5723" s="6" t="s">
        <v>249</v>
      </c>
      <c r="G5723" s="6" t="s">
        <v>297</v>
      </c>
      <c r="H5723" s="10">
        <v>46052.0</v>
      </c>
      <c r="I5723" s="12">
        <v>9.0</v>
      </c>
      <c r="J5723" s="6" t="s">
        <v>161</v>
      </c>
    </row>
    <row r="5724" ht="22.5" customHeight="1">
      <c r="A5724" s="6" t="s">
        <v>22532</v>
      </c>
      <c r="B5724" s="6" t="s">
        <v>13030</v>
      </c>
      <c r="C5724" s="10">
        <v>46027.0</v>
      </c>
      <c r="D5724" s="6" t="s">
        <v>289</v>
      </c>
      <c r="E5724" s="6" t="s">
        <v>320</v>
      </c>
      <c r="F5724" s="6" t="s">
        <v>439</v>
      </c>
      <c r="G5724" s="6" t="s">
        <v>494</v>
      </c>
      <c r="H5724" s="11" t="s">
        <v>259</v>
      </c>
      <c r="I5724" s="12">
        <v>9.0</v>
      </c>
      <c r="J5724" s="6" t="s">
        <v>161</v>
      </c>
    </row>
    <row r="5725" ht="22.5" customHeight="1">
      <c r="A5725" s="6" t="s">
        <v>22533</v>
      </c>
      <c r="B5725" s="6" t="s">
        <v>13030</v>
      </c>
      <c r="C5725" s="10">
        <v>46037.0</v>
      </c>
      <c r="D5725" s="6" t="s">
        <v>242</v>
      </c>
      <c r="E5725" s="6" t="s">
        <v>695</v>
      </c>
      <c r="F5725" s="6" t="s">
        <v>112</v>
      </c>
      <c r="G5725" s="6" t="s">
        <v>477</v>
      </c>
      <c r="H5725" s="10">
        <v>46044.0</v>
      </c>
      <c r="I5725" s="12">
        <v>5.0</v>
      </c>
      <c r="J5725" s="6" t="s">
        <v>178</v>
      </c>
    </row>
    <row r="5726" ht="22.5" customHeight="1">
      <c r="A5726" s="6" t="s">
        <v>22534</v>
      </c>
      <c r="B5726" s="6" t="s">
        <v>13030</v>
      </c>
      <c r="C5726" s="10">
        <v>46028.0</v>
      </c>
      <c r="D5726" s="6" t="s">
        <v>242</v>
      </c>
      <c r="E5726" s="6" t="s">
        <v>658</v>
      </c>
      <c r="F5726" s="6" t="s">
        <v>112</v>
      </c>
      <c r="G5726" s="6" t="s">
        <v>254</v>
      </c>
      <c r="H5726" s="10">
        <v>46032.0</v>
      </c>
      <c r="I5726" s="12">
        <v>3.0</v>
      </c>
      <c r="J5726" s="6" t="s">
        <v>178</v>
      </c>
    </row>
    <row r="5727" ht="22.5" customHeight="1">
      <c r="A5727" s="6" t="s">
        <v>22535</v>
      </c>
      <c r="B5727" s="6" t="s">
        <v>13037</v>
      </c>
      <c r="C5727" s="10">
        <v>46085.0</v>
      </c>
      <c r="D5727" s="6" t="s">
        <v>242</v>
      </c>
      <c r="E5727" s="6" t="s">
        <v>320</v>
      </c>
      <c r="F5727" s="6" t="s">
        <v>283</v>
      </c>
      <c r="G5727" s="6" t="s">
        <v>297</v>
      </c>
      <c r="H5727" s="11" t="s">
        <v>259</v>
      </c>
      <c r="I5727" s="12">
        <v>5.0</v>
      </c>
      <c r="J5727" s="6" t="s">
        <v>178</v>
      </c>
    </row>
    <row r="5728" ht="22.5" customHeight="1">
      <c r="A5728" s="6" t="s">
        <v>22536</v>
      </c>
      <c r="B5728" s="6" t="s">
        <v>13037</v>
      </c>
      <c r="C5728" s="10">
        <v>46078.0</v>
      </c>
      <c r="D5728" s="6" t="s">
        <v>242</v>
      </c>
      <c r="E5728" s="6" t="s">
        <v>1626</v>
      </c>
      <c r="F5728" s="6" t="s">
        <v>112</v>
      </c>
      <c r="G5728" s="6" t="s">
        <v>494</v>
      </c>
      <c r="H5728" s="10">
        <v>46080.0</v>
      </c>
      <c r="I5728" s="12">
        <v>3.0</v>
      </c>
      <c r="J5728" s="6" t="s">
        <v>178</v>
      </c>
    </row>
    <row r="5729" ht="22.5" customHeight="1">
      <c r="A5729" s="6" t="s">
        <v>22537</v>
      </c>
      <c r="B5729" s="6" t="s">
        <v>13037</v>
      </c>
      <c r="C5729" s="10">
        <v>46080.0</v>
      </c>
      <c r="D5729" s="6" t="s">
        <v>242</v>
      </c>
      <c r="E5729" s="6" t="s">
        <v>885</v>
      </c>
      <c r="F5729" s="6" t="s">
        <v>283</v>
      </c>
      <c r="G5729" s="6" t="s">
        <v>326</v>
      </c>
      <c r="H5729" s="10">
        <v>46080.0</v>
      </c>
      <c r="I5729" s="12">
        <v>4.0</v>
      </c>
      <c r="J5729" s="6" t="s">
        <v>178</v>
      </c>
    </row>
    <row r="5730" ht="22.5" customHeight="1">
      <c r="A5730" s="6" t="s">
        <v>22538</v>
      </c>
      <c r="B5730" s="6" t="s">
        <v>13043</v>
      </c>
      <c r="C5730" s="10">
        <v>46037.0</v>
      </c>
      <c r="D5730" s="6" t="s">
        <v>289</v>
      </c>
      <c r="E5730" s="6" t="s">
        <v>1122</v>
      </c>
      <c r="F5730" s="6" t="s">
        <v>112</v>
      </c>
      <c r="G5730" s="6" t="s">
        <v>254</v>
      </c>
      <c r="H5730" s="10">
        <v>46037.0</v>
      </c>
      <c r="I5730" s="12">
        <v>9.0</v>
      </c>
      <c r="J5730" s="6" t="s">
        <v>161</v>
      </c>
    </row>
    <row r="5731" ht="22.5" customHeight="1">
      <c r="A5731" s="6" t="s">
        <v>22539</v>
      </c>
      <c r="B5731" s="6" t="s">
        <v>13050</v>
      </c>
      <c r="C5731" s="10">
        <v>46073.0</v>
      </c>
      <c r="D5731" s="6" t="s">
        <v>289</v>
      </c>
      <c r="E5731" s="6" t="s">
        <v>475</v>
      </c>
      <c r="F5731" s="6" t="s">
        <v>439</v>
      </c>
      <c r="G5731" s="6" t="s">
        <v>326</v>
      </c>
      <c r="H5731" s="10">
        <v>46080.0</v>
      </c>
      <c r="I5731" s="12">
        <v>10.0</v>
      </c>
      <c r="J5731" s="6" t="s">
        <v>161</v>
      </c>
    </row>
    <row r="5732" ht="22.5" customHeight="1">
      <c r="A5732" s="6" t="s">
        <v>22540</v>
      </c>
      <c r="B5732" s="6" t="s">
        <v>13050</v>
      </c>
      <c r="C5732" s="10">
        <v>46074.0</v>
      </c>
      <c r="D5732" s="6" t="s">
        <v>289</v>
      </c>
      <c r="E5732" s="6" t="s">
        <v>716</v>
      </c>
      <c r="F5732" s="6" t="s">
        <v>249</v>
      </c>
      <c r="G5732" s="6" t="s">
        <v>452</v>
      </c>
      <c r="H5732" s="10">
        <v>46078.0</v>
      </c>
      <c r="I5732" s="12">
        <v>8.0</v>
      </c>
      <c r="J5732" s="6" t="s">
        <v>161</v>
      </c>
    </row>
    <row r="5733" ht="22.5" customHeight="1">
      <c r="A5733" s="6" t="s">
        <v>22541</v>
      </c>
      <c r="B5733" s="6" t="s">
        <v>13050</v>
      </c>
      <c r="C5733" s="10">
        <v>46066.0</v>
      </c>
      <c r="D5733" s="6" t="s">
        <v>289</v>
      </c>
      <c r="E5733" s="6" t="s">
        <v>512</v>
      </c>
      <c r="F5733" s="6" t="s">
        <v>249</v>
      </c>
      <c r="G5733" s="6" t="s">
        <v>458</v>
      </c>
      <c r="H5733" s="10">
        <v>46068.0</v>
      </c>
      <c r="I5733" s="12">
        <v>7.0</v>
      </c>
      <c r="J5733" s="6" t="s">
        <v>161</v>
      </c>
    </row>
    <row r="5734" ht="22.5" customHeight="1">
      <c r="A5734" s="6" t="s">
        <v>22542</v>
      </c>
      <c r="B5734" s="6" t="s">
        <v>13056</v>
      </c>
      <c r="C5734" s="10">
        <v>46084.0</v>
      </c>
      <c r="D5734" s="6" t="s">
        <v>436</v>
      </c>
      <c r="E5734" s="6" t="s">
        <v>1741</v>
      </c>
      <c r="F5734" s="6" t="s">
        <v>439</v>
      </c>
      <c r="G5734" s="6" t="s">
        <v>458</v>
      </c>
      <c r="H5734" s="11" t="s">
        <v>259</v>
      </c>
      <c r="I5734" s="12">
        <v>9.0</v>
      </c>
      <c r="J5734" s="6" t="s">
        <v>178</v>
      </c>
    </row>
    <row r="5735" ht="22.5" customHeight="1">
      <c r="A5735" s="6" t="s">
        <v>22543</v>
      </c>
      <c r="B5735" s="6" t="s">
        <v>13056</v>
      </c>
      <c r="C5735" s="10">
        <v>46071.0</v>
      </c>
      <c r="D5735" s="6" t="s">
        <v>242</v>
      </c>
      <c r="E5735" s="6" t="s">
        <v>365</v>
      </c>
      <c r="F5735" s="6" t="s">
        <v>439</v>
      </c>
      <c r="G5735" s="6" t="s">
        <v>297</v>
      </c>
      <c r="H5735" s="10">
        <v>46076.0</v>
      </c>
      <c r="I5735" s="12">
        <v>3.0</v>
      </c>
      <c r="J5735" s="6" t="s">
        <v>161</v>
      </c>
    </row>
    <row r="5736" ht="22.5" customHeight="1">
      <c r="A5736" s="6" t="s">
        <v>22544</v>
      </c>
      <c r="B5736" s="6" t="s">
        <v>13056</v>
      </c>
      <c r="C5736" s="10">
        <v>46075.0</v>
      </c>
      <c r="D5736" s="6" t="s">
        <v>391</v>
      </c>
      <c r="E5736" s="6" t="s">
        <v>1552</v>
      </c>
      <c r="F5736" s="6" t="s">
        <v>112</v>
      </c>
      <c r="G5736" s="6" t="s">
        <v>494</v>
      </c>
      <c r="H5736" s="10">
        <v>46075.0</v>
      </c>
      <c r="I5736" s="12">
        <v>11.0</v>
      </c>
      <c r="J5736" s="6" t="s">
        <v>161</v>
      </c>
    </row>
    <row r="5737" ht="22.5" customHeight="1">
      <c r="A5737" s="6" t="s">
        <v>22545</v>
      </c>
      <c r="B5737" s="6" t="s">
        <v>13056</v>
      </c>
      <c r="C5737" s="10">
        <v>46064.0</v>
      </c>
      <c r="D5737" s="6" t="s">
        <v>391</v>
      </c>
      <c r="E5737" s="6" t="s">
        <v>1700</v>
      </c>
      <c r="F5737" s="6" t="s">
        <v>249</v>
      </c>
      <c r="G5737" s="6" t="s">
        <v>254</v>
      </c>
      <c r="H5737" s="10">
        <v>46068.0</v>
      </c>
      <c r="I5737" s="12">
        <v>11.0</v>
      </c>
      <c r="J5737" s="6" t="s">
        <v>161</v>
      </c>
    </row>
    <row r="5738" ht="22.5" customHeight="1">
      <c r="A5738" s="6" t="s">
        <v>22546</v>
      </c>
      <c r="B5738" s="6" t="s">
        <v>13056</v>
      </c>
      <c r="C5738" s="10">
        <v>46071.0</v>
      </c>
      <c r="D5738" s="6" t="s">
        <v>416</v>
      </c>
      <c r="E5738" s="6" t="s">
        <v>1273</v>
      </c>
      <c r="F5738" s="6" t="s">
        <v>439</v>
      </c>
      <c r="G5738" s="6" t="s">
        <v>458</v>
      </c>
      <c r="H5738" s="10">
        <v>46071.0</v>
      </c>
      <c r="I5738" s="12">
        <v>11.0</v>
      </c>
      <c r="J5738" s="6" t="s">
        <v>161</v>
      </c>
    </row>
    <row r="5739" ht="22.5" customHeight="1">
      <c r="A5739" s="6" t="s">
        <v>22547</v>
      </c>
      <c r="B5739" s="6" t="s">
        <v>13062</v>
      </c>
      <c r="C5739" s="10">
        <v>46070.0</v>
      </c>
      <c r="D5739" s="6" t="s">
        <v>677</v>
      </c>
      <c r="E5739" s="6" t="s">
        <v>475</v>
      </c>
      <c r="F5739" s="6" t="s">
        <v>283</v>
      </c>
      <c r="G5739" s="6" t="s">
        <v>477</v>
      </c>
      <c r="H5739" s="10">
        <v>46077.0</v>
      </c>
      <c r="I5739" s="12">
        <v>2.0</v>
      </c>
      <c r="J5739" s="6" t="s">
        <v>161</v>
      </c>
    </row>
    <row r="5740" ht="22.5" customHeight="1">
      <c r="A5740" s="6" t="s">
        <v>22548</v>
      </c>
      <c r="B5740" s="6" t="s">
        <v>13062</v>
      </c>
      <c r="C5740" s="10">
        <v>46066.0</v>
      </c>
      <c r="D5740" s="6" t="s">
        <v>289</v>
      </c>
      <c r="E5740" s="6" t="s">
        <v>1122</v>
      </c>
      <c r="F5740" s="6" t="s">
        <v>439</v>
      </c>
      <c r="G5740" s="6" t="s">
        <v>254</v>
      </c>
      <c r="H5740" s="10">
        <v>46069.0</v>
      </c>
      <c r="I5740" s="12">
        <v>6.0</v>
      </c>
      <c r="J5740" s="6" t="s">
        <v>161</v>
      </c>
    </row>
    <row r="5741" ht="22.5" customHeight="1">
      <c r="A5741" s="6" t="s">
        <v>22549</v>
      </c>
      <c r="B5741" s="6" t="s">
        <v>13062</v>
      </c>
      <c r="C5741" s="10">
        <v>46061.0</v>
      </c>
      <c r="D5741" s="6" t="s">
        <v>677</v>
      </c>
      <c r="E5741" s="6" t="s">
        <v>1149</v>
      </c>
      <c r="F5741" s="6" t="s">
        <v>249</v>
      </c>
      <c r="G5741" s="6" t="s">
        <v>254</v>
      </c>
      <c r="H5741" s="10">
        <v>46065.0</v>
      </c>
      <c r="I5741" s="12">
        <v>2.0</v>
      </c>
      <c r="J5741" s="6" t="s">
        <v>161</v>
      </c>
    </row>
    <row r="5742" ht="22.5" customHeight="1">
      <c r="A5742" s="6" t="s">
        <v>22550</v>
      </c>
      <c r="B5742" s="6" t="s">
        <v>13070</v>
      </c>
      <c r="C5742" s="10">
        <v>46043.0</v>
      </c>
      <c r="D5742" s="6" t="s">
        <v>312</v>
      </c>
      <c r="E5742" s="6" t="s">
        <v>365</v>
      </c>
      <c r="F5742" s="6" t="s">
        <v>283</v>
      </c>
      <c r="G5742" s="6" t="s">
        <v>452</v>
      </c>
      <c r="H5742" s="10">
        <v>46047.0</v>
      </c>
      <c r="I5742" s="12">
        <v>6.0</v>
      </c>
      <c r="J5742" s="6" t="s">
        <v>161</v>
      </c>
    </row>
    <row r="5743" ht="22.5" customHeight="1">
      <c r="A5743" s="6" t="s">
        <v>22551</v>
      </c>
      <c r="B5743" s="6" t="s">
        <v>13070</v>
      </c>
      <c r="C5743" s="10">
        <v>46042.0</v>
      </c>
      <c r="D5743" s="6" t="s">
        <v>289</v>
      </c>
      <c r="E5743" s="6" t="s">
        <v>246</v>
      </c>
      <c r="F5743" s="6" t="s">
        <v>112</v>
      </c>
      <c r="G5743" s="6" t="s">
        <v>458</v>
      </c>
      <c r="H5743" s="10">
        <v>46047.0</v>
      </c>
      <c r="I5743" s="12">
        <v>9.0</v>
      </c>
      <c r="J5743" s="6" t="s">
        <v>161</v>
      </c>
    </row>
    <row r="5744" ht="22.5" customHeight="1">
      <c r="A5744" s="6" t="s">
        <v>22552</v>
      </c>
      <c r="B5744" s="6" t="s">
        <v>13070</v>
      </c>
      <c r="C5744" s="10">
        <v>46039.0</v>
      </c>
      <c r="D5744" s="6" t="s">
        <v>677</v>
      </c>
      <c r="E5744" s="6" t="s">
        <v>618</v>
      </c>
      <c r="F5744" s="6" t="s">
        <v>439</v>
      </c>
      <c r="G5744" s="6" t="s">
        <v>458</v>
      </c>
      <c r="H5744" s="10">
        <v>46039.0</v>
      </c>
      <c r="I5744" s="12">
        <v>2.0</v>
      </c>
      <c r="J5744" s="6" t="s">
        <v>161</v>
      </c>
    </row>
    <row r="5745" ht="22.5" customHeight="1">
      <c r="A5745" s="6" t="s">
        <v>22553</v>
      </c>
      <c r="B5745" s="6" t="s">
        <v>13070</v>
      </c>
      <c r="C5745" s="10">
        <v>46042.0</v>
      </c>
      <c r="D5745" s="6" t="s">
        <v>312</v>
      </c>
      <c r="E5745" s="6" t="s">
        <v>291</v>
      </c>
      <c r="F5745" s="6" t="s">
        <v>112</v>
      </c>
      <c r="G5745" s="6" t="s">
        <v>326</v>
      </c>
      <c r="H5745" s="10">
        <v>46045.0</v>
      </c>
      <c r="I5745" s="12">
        <v>6.0</v>
      </c>
      <c r="J5745" s="6" t="s">
        <v>161</v>
      </c>
    </row>
    <row r="5746" ht="22.5" customHeight="1">
      <c r="A5746" s="6" t="s">
        <v>22554</v>
      </c>
      <c r="B5746" s="6" t="s">
        <v>13070</v>
      </c>
      <c r="C5746" s="10">
        <v>46052.0</v>
      </c>
      <c r="D5746" s="6" t="s">
        <v>416</v>
      </c>
      <c r="E5746" s="6" t="s">
        <v>438</v>
      </c>
      <c r="F5746" s="6" t="s">
        <v>249</v>
      </c>
      <c r="G5746" s="6" t="s">
        <v>369</v>
      </c>
      <c r="H5746" s="10">
        <v>46056.0</v>
      </c>
      <c r="I5746" s="12">
        <v>9.0</v>
      </c>
      <c r="J5746" s="6" t="s">
        <v>161</v>
      </c>
    </row>
    <row r="5747" ht="22.5" customHeight="1">
      <c r="A5747" s="6" t="s">
        <v>22555</v>
      </c>
      <c r="B5747" s="6" t="s">
        <v>13077</v>
      </c>
      <c r="C5747" s="10">
        <v>46042.0</v>
      </c>
      <c r="D5747" s="6" t="s">
        <v>289</v>
      </c>
      <c r="E5747" s="6" t="s">
        <v>1280</v>
      </c>
      <c r="F5747" s="6" t="s">
        <v>439</v>
      </c>
      <c r="G5747" s="6" t="s">
        <v>369</v>
      </c>
      <c r="H5747" s="10">
        <v>46042.0</v>
      </c>
      <c r="I5747" s="12">
        <v>10.0</v>
      </c>
      <c r="J5747" s="6" t="s">
        <v>161</v>
      </c>
    </row>
    <row r="5748" ht="22.5" customHeight="1">
      <c r="A5748" s="6" t="s">
        <v>22556</v>
      </c>
      <c r="B5748" s="6" t="s">
        <v>13077</v>
      </c>
      <c r="C5748" s="10">
        <v>46048.0</v>
      </c>
      <c r="D5748" s="6" t="s">
        <v>289</v>
      </c>
      <c r="E5748" s="6" t="s">
        <v>1241</v>
      </c>
      <c r="F5748" s="6" t="s">
        <v>249</v>
      </c>
      <c r="G5748" s="6" t="s">
        <v>494</v>
      </c>
      <c r="H5748" s="10">
        <v>46055.0</v>
      </c>
      <c r="I5748" s="12">
        <v>10.0</v>
      </c>
      <c r="J5748" s="6" t="s">
        <v>161</v>
      </c>
    </row>
    <row r="5749" ht="22.5" customHeight="1">
      <c r="A5749" s="6" t="s">
        <v>22557</v>
      </c>
      <c r="B5749" s="6" t="s">
        <v>13077</v>
      </c>
      <c r="C5749" s="10">
        <v>46052.0</v>
      </c>
      <c r="D5749" s="6" t="s">
        <v>312</v>
      </c>
      <c r="E5749" s="6" t="s">
        <v>1241</v>
      </c>
      <c r="F5749" s="6" t="s">
        <v>439</v>
      </c>
      <c r="G5749" s="6" t="s">
        <v>494</v>
      </c>
      <c r="H5749" s="10">
        <v>46059.0</v>
      </c>
      <c r="I5749" s="12">
        <v>4.0</v>
      </c>
      <c r="J5749" s="6" t="s">
        <v>161</v>
      </c>
    </row>
    <row r="5750" ht="22.5" customHeight="1">
      <c r="A5750" s="6" t="s">
        <v>22558</v>
      </c>
      <c r="B5750" s="6" t="s">
        <v>13077</v>
      </c>
      <c r="C5750" s="10">
        <v>46048.0</v>
      </c>
      <c r="D5750" s="6" t="s">
        <v>289</v>
      </c>
      <c r="E5750" s="6" t="s">
        <v>704</v>
      </c>
      <c r="F5750" s="6" t="s">
        <v>439</v>
      </c>
      <c r="G5750" s="6" t="s">
        <v>254</v>
      </c>
      <c r="H5750" s="10">
        <v>46055.0</v>
      </c>
      <c r="I5750" s="12">
        <v>9.0</v>
      </c>
      <c r="J5750" s="6" t="s">
        <v>161</v>
      </c>
    </row>
    <row r="5751" ht="22.5" customHeight="1">
      <c r="A5751" s="6" t="s">
        <v>22559</v>
      </c>
      <c r="B5751" s="6" t="s">
        <v>13084</v>
      </c>
      <c r="C5751" s="10">
        <v>46055.0</v>
      </c>
      <c r="D5751" s="6" t="s">
        <v>416</v>
      </c>
      <c r="E5751" s="6" t="s">
        <v>1280</v>
      </c>
      <c r="F5751" s="6" t="s">
        <v>112</v>
      </c>
      <c r="G5751" s="6" t="s">
        <v>254</v>
      </c>
      <c r="H5751" s="10">
        <v>46058.0</v>
      </c>
      <c r="I5751" s="12">
        <v>14.0</v>
      </c>
      <c r="J5751" s="6" t="s">
        <v>161</v>
      </c>
    </row>
    <row r="5752" ht="22.5" customHeight="1">
      <c r="A5752" s="6" t="s">
        <v>22560</v>
      </c>
      <c r="B5752" s="6" t="s">
        <v>13084</v>
      </c>
      <c r="C5752" s="10">
        <v>46042.0</v>
      </c>
      <c r="D5752" s="6" t="s">
        <v>416</v>
      </c>
      <c r="E5752" s="6" t="s">
        <v>833</v>
      </c>
      <c r="F5752" s="6" t="s">
        <v>439</v>
      </c>
      <c r="G5752" s="6" t="s">
        <v>477</v>
      </c>
      <c r="H5752" s="10">
        <v>46045.0</v>
      </c>
      <c r="I5752" s="12">
        <v>14.0</v>
      </c>
      <c r="J5752" s="6" t="s">
        <v>161</v>
      </c>
    </row>
    <row r="5753" ht="22.5" customHeight="1">
      <c r="A5753" s="6" t="s">
        <v>22561</v>
      </c>
      <c r="B5753" s="6" t="s">
        <v>13084</v>
      </c>
      <c r="C5753" s="10">
        <v>46043.0</v>
      </c>
      <c r="D5753" s="6" t="s">
        <v>391</v>
      </c>
      <c r="E5753" s="6" t="s">
        <v>1700</v>
      </c>
      <c r="F5753" s="6" t="s">
        <v>439</v>
      </c>
      <c r="G5753" s="6" t="s">
        <v>326</v>
      </c>
      <c r="H5753" s="10">
        <v>46044.0</v>
      </c>
      <c r="I5753" s="12">
        <v>11.0</v>
      </c>
      <c r="J5753" s="6" t="s">
        <v>161</v>
      </c>
    </row>
    <row r="5754" ht="22.5" customHeight="1">
      <c r="A5754" s="6" t="s">
        <v>22562</v>
      </c>
      <c r="B5754" s="6" t="s">
        <v>13084</v>
      </c>
      <c r="C5754" s="10">
        <v>46050.0</v>
      </c>
      <c r="D5754" s="6" t="s">
        <v>312</v>
      </c>
      <c r="E5754" s="6" t="s">
        <v>1741</v>
      </c>
      <c r="F5754" s="6" t="s">
        <v>439</v>
      </c>
      <c r="G5754" s="6" t="s">
        <v>452</v>
      </c>
      <c r="H5754" s="10">
        <v>46056.0</v>
      </c>
      <c r="I5754" s="12">
        <v>4.0</v>
      </c>
      <c r="J5754" s="6" t="s">
        <v>161</v>
      </c>
    </row>
    <row r="5755" ht="22.5" customHeight="1">
      <c r="A5755" s="6" t="s">
        <v>22563</v>
      </c>
      <c r="B5755" s="6" t="s">
        <v>13084</v>
      </c>
      <c r="C5755" s="10">
        <v>46042.0</v>
      </c>
      <c r="D5755" s="6" t="s">
        <v>289</v>
      </c>
      <c r="E5755" s="6" t="s">
        <v>775</v>
      </c>
      <c r="F5755" s="6" t="s">
        <v>283</v>
      </c>
      <c r="G5755" s="6" t="s">
        <v>494</v>
      </c>
      <c r="H5755" s="10">
        <v>46049.0</v>
      </c>
      <c r="I5755" s="12">
        <v>8.0</v>
      </c>
      <c r="J5755" s="6" t="s">
        <v>161</v>
      </c>
    </row>
    <row r="5756" ht="22.5" customHeight="1">
      <c r="A5756" s="6" t="s">
        <v>22564</v>
      </c>
      <c r="B5756" s="6" t="s">
        <v>13091</v>
      </c>
      <c r="C5756" s="10">
        <v>46045.0</v>
      </c>
      <c r="D5756" s="6" t="s">
        <v>312</v>
      </c>
      <c r="E5756" s="6" t="s">
        <v>885</v>
      </c>
      <c r="F5756" s="6" t="s">
        <v>249</v>
      </c>
      <c r="G5756" s="6" t="s">
        <v>494</v>
      </c>
      <c r="H5756" s="10">
        <v>46045.0</v>
      </c>
      <c r="I5756" s="12">
        <v>4.0</v>
      </c>
      <c r="J5756" s="6" t="s">
        <v>161</v>
      </c>
    </row>
    <row r="5757" ht="22.5" customHeight="1">
      <c r="A5757" s="6" t="s">
        <v>22565</v>
      </c>
      <c r="B5757" s="6" t="s">
        <v>13091</v>
      </c>
      <c r="C5757" s="10">
        <v>46062.0</v>
      </c>
      <c r="D5757" s="6" t="s">
        <v>416</v>
      </c>
      <c r="E5757" s="6" t="s">
        <v>812</v>
      </c>
      <c r="F5757" s="6" t="s">
        <v>112</v>
      </c>
      <c r="G5757" s="6" t="s">
        <v>494</v>
      </c>
      <c r="H5757" s="10">
        <v>46068.0</v>
      </c>
      <c r="I5757" s="12">
        <v>14.0</v>
      </c>
      <c r="J5757" s="6" t="s">
        <v>161</v>
      </c>
    </row>
    <row r="5758" ht="22.5" customHeight="1">
      <c r="A5758" s="6" t="s">
        <v>22566</v>
      </c>
      <c r="B5758" s="6" t="s">
        <v>13091</v>
      </c>
      <c r="C5758" s="10">
        <v>46050.0</v>
      </c>
      <c r="D5758" s="6" t="s">
        <v>312</v>
      </c>
      <c r="E5758" s="6" t="s">
        <v>618</v>
      </c>
      <c r="F5758" s="6" t="s">
        <v>283</v>
      </c>
      <c r="G5758" s="6" t="s">
        <v>297</v>
      </c>
      <c r="H5758" s="11" t="s">
        <v>259</v>
      </c>
      <c r="I5758" s="12">
        <v>6.0</v>
      </c>
      <c r="J5758" s="6" t="s">
        <v>161</v>
      </c>
    </row>
    <row r="5759" ht="22.5" customHeight="1">
      <c r="A5759" s="6" t="s">
        <v>22567</v>
      </c>
      <c r="B5759" s="6" t="s">
        <v>13091</v>
      </c>
      <c r="C5759" s="10">
        <v>46053.0</v>
      </c>
      <c r="D5759" s="6" t="s">
        <v>677</v>
      </c>
      <c r="E5759" s="6" t="s">
        <v>1600</v>
      </c>
      <c r="F5759" s="6" t="s">
        <v>112</v>
      </c>
      <c r="G5759" s="6" t="s">
        <v>254</v>
      </c>
      <c r="H5759" s="11" t="s">
        <v>259</v>
      </c>
      <c r="I5759" s="12">
        <v>3.0</v>
      </c>
      <c r="J5759" s="6" t="s">
        <v>161</v>
      </c>
    </row>
    <row r="5760" ht="22.5" customHeight="1">
      <c r="A5760" s="6" t="s">
        <v>22568</v>
      </c>
      <c r="B5760" s="6" t="s">
        <v>13091</v>
      </c>
      <c r="C5760" s="10">
        <v>46044.0</v>
      </c>
      <c r="D5760" s="6" t="s">
        <v>242</v>
      </c>
      <c r="E5760" s="6" t="s">
        <v>1700</v>
      </c>
      <c r="F5760" s="6" t="s">
        <v>249</v>
      </c>
      <c r="G5760" s="6" t="s">
        <v>458</v>
      </c>
      <c r="H5760" s="10">
        <v>46044.0</v>
      </c>
      <c r="I5760" s="12">
        <v>3.0</v>
      </c>
      <c r="J5760" s="6" t="s">
        <v>178</v>
      </c>
    </row>
    <row r="5761" ht="22.5" customHeight="1">
      <c r="A5761" s="6" t="s">
        <v>22569</v>
      </c>
      <c r="B5761" s="6" t="s">
        <v>13097</v>
      </c>
      <c r="C5761" s="10">
        <v>46064.0</v>
      </c>
      <c r="D5761" s="6" t="s">
        <v>436</v>
      </c>
      <c r="E5761" s="6" t="s">
        <v>246</v>
      </c>
      <c r="F5761" s="6" t="s">
        <v>283</v>
      </c>
      <c r="G5761" s="6" t="s">
        <v>297</v>
      </c>
      <c r="H5761" s="10">
        <v>46068.0</v>
      </c>
      <c r="I5761" s="12">
        <v>6.0</v>
      </c>
      <c r="J5761" s="6" t="s">
        <v>161</v>
      </c>
    </row>
    <row r="5762" ht="22.5" customHeight="1">
      <c r="A5762" s="6" t="s">
        <v>22570</v>
      </c>
      <c r="B5762" s="6" t="s">
        <v>13097</v>
      </c>
      <c r="C5762" s="10">
        <v>46065.0</v>
      </c>
      <c r="D5762" s="6" t="s">
        <v>312</v>
      </c>
      <c r="E5762" s="6" t="s">
        <v>812</v>
      </c>
      <c r="F5762" s="6" t="s">
        <v>283</v>
      </c>
      <c r="G5762" s="6" t="s">
        <v>254</v>
      </c>
      <c r="H5762" s="11" t="s">
        <v>259</v>
      </c>
      <c r="I5762" s="12">
        <v>7.0</v>
      </c>
      <c r="J5762" s="6" t="s">
        <v>161</v>
      </c>
    </row>
    <row r="5763" ht="22.5" customHeight="1">
      <c r="A5763" s="6" t="s">
        <v>22571</v>
      </c>
      <c r="B5763" s="6" t="s">
        <v>13097</v>
      </c>
      <c r="C5763" s="10">
        <v>46063.0</v>
      </c>
      <c r="D5763" s="6" t="s">
        <v>289</v>
      </c>
      <c r="E5763" s="6" t="s">
        <v>670</v>
      </c>
      <c r="F5763" s="6" t="s">
        <v>112</v>
      </c>
      <c r="G5763" s="6" t="s">
        <v>369</v>
      </c>
      <c r="H5763" s="10">
        <v>46068.0</v>
      </c>
      <c r="I5763" s="12">
        <v>5.0</v>
      </c>
      <c r="J5763" s="6" t="s">
        <v>161</v>
      </c>
    </row>
    <row r="5764" ht="22.5" customHeight="1">
      <c r="A5764" s="6" t="s">
        <v>22572</v>
      </c>
      <c r="B5764" s="6" t="s">
        <v>13104</v>
      </c>
      <c r="C5764" s="10">
        <v>46061.0</v>
      </c>
      <c r="D5764" s="6" t="s">
        <v>242</v>
      </c>
      <c r="E5764" s="6" t="s">
        <v>885</v>
      </c>
      <c r="F5764" s="6" t="s">
        <v>439</v>
      </c>
      <c r="G5764" s="6" t="s">
        <v>494</v>
      </c>
      <c r="H5764" s="10">
        <v>46065.0</v>
      </c>
      <c r="I5764" s="12">
        <v>5.0</v>
      </c>
      <c r="J5764" s="6" t="s">
        <v>161</v>
      </c>
    </row>
    <row r="5765" ht="22.5" customHeight="1">
      <c r="A5765" s="6" t="s">
        <v>22573</v>
      </c>
      <c r="B5765" s="6" t="s">
        <v>13104</v>
      </c>
      <c r="C5765" s="10">
        <v>46062.0</v>
      </c>
      <c r="D5765" s="6" t="s">
        <v>416</v>
      </c>
      <c r="E5765" s="6" t="s">
        <v>833</v>
      </c>
      <c r="F5765" s="6" t="s">
        <v>249</v>
      </c>
      <c r="G5765" s="6" t="s">
        <v>254</v>
      </c>
      <c r="H5765" s="10">
        <v>46064.0</v>
      </c>
      <c r="I5765" s="12">
        <v>12.0</v>
      </c>
      <c r="J5765" s="6" t="s">
        <v>161</v>
      </c>
    </row>
    <row r="5766" ht="22.5" customHeight="1">
      <c r="A5766" s="6" t="s">
        <v>22574</v>
      </c>
      <c r="B5766" s="6" t="s">
        <v>13104</v>
      </c>
      <c r="C5766" s="10">
        <v>46042.0</v>
      </c>
      <c r="D5766" s="6" t="s">
        <v>677</v>
      </c>
      <c r="E5766" s="6" t="s">
        <v>628</v>
      </c>
      <c r="F5766" s="6" t="s">
        <v>439</v>
      </c>
      <c r="G5766" s="6" t="s">
        <v>452</v>
      </c>
      <c r="H5766" s="10">
        <v>46045.0</v>
      </c>
      <c r="I5766" s="12">
        <v>4.0</v>
      </c>
      <c r="J5766" s="6" t="s">
        <v>161</v>
      </c>
    </row>
    <row r="5767" ht="22.5" customHeight="1">
      <c r="A5767" s="6" t="s">
        <v>22575</v>
      </c>
      <c r="B5767" s="6" t="s">
        <v>13104</v>
      </c>
      <c r="C5767" s="10">
        <v>46057.0</v>
      </c>
      <c r="D5767" s="6" t="s">
        <v>391</v>
      </c>
      <c r="E5767" s="6" t="s">
        <v>1386</v>
      </c>
      <c r="F5767" s="6" t="s">
        <v>112</v>
      </c>
      <c r="G5767" s="6" t="s">
        <v>494</v>
      </c>
      <c r="H5767" s="10">
        <v>46059.0</v>
      </c>
      <c r="I5767" s="12">
        <v>7.0</v>
      </c>
      <c r="J5767" s="6" t="s">
        <v>161</v>
      </c>
    </row>
    <row r="5768" ht="22.5" customHeight="1">
      <c r="A5768" s="6" t="s">
        <v>22576</v>
      </c>
      <c r="B5768" s="6" t="s">
        <v>13104</v>
      </c>
      <c r="C5768" s="10">
        <v>46055.0</v>
      </c>
      <c r="D5768" s="6" t="s">
        <v>416</v>
      </c>
      <c r="E5768" s="6" t="s">
        <v>1969</v>
      </c>
      <c r="F5768" s="6" t="s">
        <v>249</v>
      </c>
      <c r="G5768" s="6" t="s">
        <v>458</v>
      </c>
      <c r="H5768" s="10">
        <v>46058.0</v>
      </c>
      <c r="I5768" s="12">
        <v>14.0</v>
      </c>
      <c r="J5768" s="6" t="s">
        <v>161</v>
      </c>
    </row>
    <row r="5769" ht="22.5" customHeight="1">
      <c r="A5769" s="6" t="s">
        <v>22577</v>
      </c>
      <c r="B5769" s="6" t="s">
        <v>13110</v>
      </c>
      <c r="C5769" s="10">
        <v>46071.0</v>
      </c>
      <c r="D5769" s="6" t="s">
        <v>312</v>
      </c>
      <c r="E5769" s="6" t="s">
        <v>704</v>
      </c>
      <c r="F5769" s="6" t="s">
        <v>112</v>
      </c>
      <c r="G5769" s="6" t="s">
        <v>477</v>
      </c>
      <c r="H5769" s="11" t="s">
        <v>259</v>
      </c>
      <c r="I5769" s="12">
        <v>5.0</v>
      </c>
      <c r="J5769" s="6" t="s">
        <v>161</v>
      </c>
    </row>
    <row r="5770" ht="22.5" customHeight="1">
      <c r="A5770" s="6" t="s">
        <v>22578</v>
      </c>
      <c r="B5770" s="6" t="s">
        <v>13110</v>
      </c>
      <c r="C5770" s="10">
        <v>46070.0</v>
      </c>
      <c r="D5770" s="6" t="s">
        <v>242</v>
      </c>
      <c r="E5770" s="6" t="s">
        <v>687</v>
      </c>
      <c r="F5770" s="6" t="s">
        <v>249</v>
      </c>
      <c r="G5770" s="6" t="s">
        <v>494</v>
      </c>
      <c r="H5770" s="10">
        <v>46073.0</v>
      </c>
      <c r="I5770" s="12">
        <v>4.0</v>
      </c>
      <c r="J5770" s="6" t="s">
        <v>178</v>
      </c>
    </row>
    <row r="5771" ht="22.5" customHeight="1">
      <c r="A5771" s="6" t="s">
        <v>22579</v>
      </c>
      <c r="B5771" s="6" t="s">
        <v>13110</v>
      </c>
      <c r="C5771" s="10">
        <v>46071.0</v>
      </c>
      <c r="D5771" s="6" t="s">
        <v>436</v>
      </c>
      <c r="E5771" s="6" t="s">
        <v>1310</v>
      </c>
      <c r="F5771" s="6" t="s">
        <v>112</v>
      </c>
      <c r="G5771" s="6" t="s">
        <v>254</v>
      </c>
      <c r="H5771" s="10">
        <v>46077.0</v>
      </c>
      <c r="I5771" s="12">
        <v>8.0</v>
      </c>
      <c r="J5771" s="6" t="s">
        <v>178</v>
      </c>
    </row>
    <row r="5772" ht="22.5" customHeight="1">
      <c r="A5772" s="6" t="s">
        <v>22580</v>
      </c>
      <c r="B5772" s="6" t="s">
        <v>13117</v>
      </c>
      <c r="C5772" s="10">
        <v>46064.0</v>
      </c>
      <c r="D5772" s="6" t="s">
        <v>416</v>
      </c>
      <c r="E5772" s="6" t="s">
        <v>512</v>
      </c>
      <c r="F5772" s="6" t="s">
        <v>249</v>
      </c>
      <c r="G5772" s="6" t="s">
        <v>297</v>
      </c>
      <c r="H5772" s="10">
        <v>46066.0</v>
      </c>
      <c r="I5772" s="12">
        <v>8.0</v>
      </c>
      <c r="J5772" s="6" t="s">
        <v>161</v>
      </c>
    </row>
    <row r="5773" ht="22.5" customHeight="1">
      <c r="A5773" s="6" t="s">
        <v>22581</v>
      </c>
      <c r="B5773" s="6" t="s">
        <v>13123</v>
      </c>
      <c r="C5773" s="10">
        <v>46029.0</v>
      </c>
      <c r="D5773" s="6" t="s">
        <v>391</v>
      </c>
      <c r="E5773" s="6" t="s">
        <v>1035</v>
      </c>
      <c r="F5773" s="6" t="s">
        <v>112</v>
      </c>
      <c r="G5773" s="6" t="s">
        <v>494</v>
      </c>
      <c r="H5773" s="10">
        <v>46033.0</v>
      </c>
      <c r="I5773" s="12">
        <v>10.0</v>
      </c>
      <c r="J5773" s="6" t="s">
        <v>161</v>
      </c>
    </row>
    <row r="5774" ht="22.5" customHeight="1">
      <c r="A5774" s="6" t="s">
        <v>22582</v>
      </c>
      <c r="B5774" s="6" t="s">
        <v>13123</v>
      </c>
      <c r="C5774" s="10">
        <v>46044.0</v>
      </c>
      <c r="D5774" s="6" t="s">
        <v>391</v>
      </c>
      <c r="E5774" s="6" t="s">
        <v>1626</v>
      </c>
      <c r="F5774" s="6" t="s">
        <v>112</v>
      </c>
      <c r="G5774" s="6" t="s">
        <v>369</v>
      </c>
      <c r="H5774" s="10">
        <v>46047.0</v>
      </c>
      <c r="I5774" s="12">
        <v>6.0</v>
      </c>
      <c r="J5774" s="6" t="s">
        <v>161</v>
      </c>
    </row>
    <row r="5775" ht="22.5" customHeight="1">
      <c r="A5775" s="6" t="s">
        <v>22583</v>
      </c>
      <c r="B5775" s="6" t="s">
        <v>13123</v>
      </c>
      <c r="C5775" s="10">
        <v>46034.0</v>
      </c>
      <c r="D5775" s="6" t="s">
        <v>677</v>
      </c>
      <c r="E5775" s="6" t="s">
        <v>798</v>
      </c>
      <c r="F5775" s="6" t="s">
        <v>439</v>
      </c>
      <c r="G5775" s="6" t="s">
        <v>452</v>
      </c>
      <c r="H5775" s="10">
        <v>46034.0</v>
      </c>
      <c r="I5775" s="12">
        <v>4.0</v>
      </c>
      <c r="J5775" s="6" t="s">
        <v>161</v>
      </c>
    </row>
    <row r="5776" ht="22.5" customHeight="1">
      <c r="A5776" s="6" t="s">
        <v>22584</v>
      </c>
      <c r="B5776" s="6" t="s">
        <v>13123</v>
      </c>
      <c r="C5776" s="10">
        <v>46042.0</v>
      </c>
      <c r="D5776" s="6" t="s">
        <v>289</v>
      </c>
      <c r="E5776" s="6" t="s">
        <v>1969</v>
      </c>
      <c r="F5776" s="6" t="s">
        <v>283</v>
      </c>
      <c r="G5776" s="6" t="s">
        <v>369</v>
      </c>
      <c r="H5776" s="10">
        <v>46045.0</v>
      </c>
      <c r="I5776" s="12">
        <v>7.0</v>
      </c>
      <c r="J5776" s="6" t="s">
        <v>161</v>
      </c>
    </row>
    <row r="5777" ht="22.5" customHeight="1">
      <c r="A5777" s="6" t="s">
        <v>22585</v>
      </c>
      <c r="B5777" s="6" t="s">
        <v>13123</v>
      </c>
      <c r="C5777" s="10">
        <v>46045.0</v>
      </c>
      <c r="D5777" s="6" t="s">
        <v>289</v>
      </c>
      <c r="E5777" s="6" t="s">
        <v>1741</v>
      </c>
      <c r="F5777" s="6" t="s">
        <v>249</v>
      </c>
      <c r="G5777" s="6" t="s">
        <v>494</v>
      </c>
      <c r="H5777" s="10">
        <v>46052.0</v>
      </c>
      <c r="I5777" s="12">
        <v>10.0</v>
      </c>
      <c r="J5777" s="6" t="s">
        <v>161</v>
      </c>
    </row>
    <row r="5778" ht="22.5" customHeight="1">
      <c r="A5778" s="6" t="s">
        <v>22586</v>
      </c>
      <c r="B5778" s="6" t="s">
        <v>13129</v>
      </c>
      <c r="C5778" s="10">
        <v>46046.0</v>
      </c>
      <c r="D5778" s="6" t="s">
        <v>416</v>
      </c>
      <c r="E5778" s="6" t="s">
        <v>1273</v>
      </c>
      <c r="F5778" s="6" t="s">
        <v>249</v>
      </c>
      <c r="G5778" s="6" t="s">
        <v>452</v>
      </c>
      <c r="H5778" s="10">
        <v>46047.0</v>
      </c>
      <c r="I5778" s="12">
        <v>14.0</v>
      </c>
      <c r="J5778" s="6" t="s">
        <v>161</v>
      </c>
    </row>
    <row r="5779" ht="22.5" customHeight="1">
      <c r="A5779" s="6" t="s">
        <v>22587</v>
      </c>
      <c r="B5779" s="6" t="s">
        <v>13136</v>
      </c>
      <c r="C5779" s="10">
        <v>46047.0</v>
      </c>
      <c r="D5779" s="6" t="s">
        <v>436</v>
      </c>
      <c r="E5779" s="6" t="s">
        <v>896</v>
      </c>
      <c r="F5779" s="6" t="s">
        <v>249</v>
      </c>
      <c r="G5779" s="6" t="s">
        <v>477</v>
      </c>
      <c r="H5779" s="10">
        <v>46052.0</v>
      </c>
      <c r="I5779" s="12">
        <v>9.0</v>
      </c>
      <c r="J5779" s="6" t="s">
        <v>178</v>
      </c>
    </row>
    <row r="5780" ht="22.5" customHeight="1">
      <c r="A5780" s="6" t="s">
        <v>22588</v>
      </c>
      <c r="B5780" s="6" t="s">
        <v>13136</v>
      </c>
      <c r="C5780" s="10">
        <v>46047.0</v>
      </c>
      <c r="D5780" s="6" t="s">
        <v>677</v>
      </c>
      <c r="E5780" s="6" t="s">
        <v>1546</v>
      </c>
      <c r="F5780" s="6" t="s">
        <v>283</v>
      </c>
      <c r="G5780" s="6" t="s">
        <v>297</v>
      </c>
      <c r="H5780" s="10">
        <v>46051.0</v>
      </c>
      <c r="I5780" s="12">
        <v>4.0</v>
      </c>
      <c r="J5780" s="6" t="s">
        <v>161</v>
      </c>
    </row>
    <row r="5781" ht="22.5" customHeight="1">
      <c r="A5781" s="6" t="s">
        <v>22589</v>
      </c>
      <c r="B5781" s="6" t="s">
        <v>13136</v>
      </c>
      <c r="C5781" s="10">
        <v>46050.0</v>
      </c>
      <c r="D5781" s="6" t="s">
        <v>312</v>
      </c>
      <c r="E5781" s="6" t="s">
        <v>320</v>
      </c>
      <c r="F5781" s="6" t="s">
        <v>112</v>
      </c>
      <c r="G5781" s="6" t="s">
        <v>297</v>
      </c>
      <c r="H5781" s="11" t="s">
        <v>259</v>
      </c>
      <c r="I5781" s="12">
        <v>5.0</v>
      </c>
      <c r="J5781" s="6" t="s">
        <v>161</v>
      </c>
    </row>
    <row r="5782" ht="22.5" customHeight="1">
      <c r="A5782" s="6" t="s">
        <v>22590</v>
      </c>
      <c r="B5782" s="6" t="s">
        <v>13136</v>
      </c>
      <c r="C5782" s="10">
        <v>46045.0</v>
      </c>
      <c r="D5782" s="6" t="s">
        <v>416</v>
      </c>
      <c r="E5782" s="6" t="s">
        <v>658</v>
      </c>
      <c r="F5782" s="6" t="s">
        <v>439</v>
      </c>
      <c r="G5782" s="6" t="s">
        <v>452</v>
      </c>
      <c r="H5782" s="10">
        <v>46047.0</v>
      </c>
      <c r="I5782" s="12">
        <v>12.0</v>
      </c>
      <c r="J5782" s="6" t="s">
        <v>161</v>
      </c>
    </row>
    <row r="5783" ht="22.5" customHeight="1">
      <c r="A5783" s="6" t="s">
        <v>22591</v>
      </c>
      <c r="B5783" s="6" t="s">
        <v>13142</v>
      </c>
      <c r="C5783" s="10">
        <v>46070.0</v>
      </c>
      <c r="D5783" s="6" t="s">
        <v>436</v>
      </c>
      <c r="E5783" s="6" t="s">
        <v>658</v>
      </c>
      <c r="F5783" s="6" t="s">
        <v>249</v>
      </c>
      <c r="G5783" s="6" t="s">
        <v>452</v>
      </c>
      <c r="H5783" s="10">
        <v>46074.0</v>
      </c>
      <c r="I5783" s="12">
        <v>8.0</v>
      </c>
      <c r="J5783" s="6" t="s">
        <v>178</v>
      </c>
    </row>
    <row r="5784" ht="22.5" customHeight="1">
      <c r="A5784" s="6" t="s">
        <v>22592</v>
      </c>
      <c r="B5784" s="6" t="s">
        <v>13142</v>
      </c>
      <c r="C5784" s="10">
        <v>46080.0</v>
      </c>
      <c r="D5784" s="6" t="s">
        <v>677</v>
      </c>
      <c r="E5784" s="6" t="s">
        <v>687</v>
      </c>
      <c r="F5784" s="6" t="s">
        <v>439</v>
      </c>
      <c r="G5784" s="6" t="s">
        <v>326</v>
      </c>
      <c r="H5784" s="10">
        <v>46087.0</v>
      </c>
      <c r="I5784" s="12">
        <v>4.0</v>
      </c>
      <c r="J5784" s="6" t="s">
        <v>161</v>
      </c>
    </row>
    <row r="5785" ht="22.5" customHeight="1">
      <c r="A5785" s="6" t="s">
        <v>22593</v>
      </c>
      <c r="B5785" s="6" t="s">
        <v>13149</v>
      </c>
      <c r="C5785" s="10">
        <v>46030.0</v>
      </c>
      <c r="D5785" s="6" t="s">
        <v>289</v>
      </c>
      <c r="E5785" s="6" t="s">
        <v>1149</v>
      </c>
      <c r="F5785" s="6" t="s">
        <v>283</v>
      </c>
      <c r="G5785" s="6" t="s">
        <v>494</v>
      </c>
      <c r="H5785" s="10">
        <v>46036.0</v>
      </c>
      <c r="I5785" s="12">
        <v>6.0</v>
      </c>
      <c r="J5785" s="6" t="s">
        <v>161</v>
      </c>
    </row>
    <row r="5786" ht="22.5" customHeight="1">
      <c r="A5786" s="6" t="s">
        <v>22594</v>
      </c>
      <c r="B5786" s="6" t="s">
        <v>13149</v>
      </c>
      <c r="C5786" s="10">
        <v>46026.0</v>
      </c>
      <c r="D5786" s="6" t="s">
        <v>242</v>
      </c>
      <c r="E5786" s="6" t="s">
        <v>775</v>
      </c>
      <c r="F5786" s="6" t="s">
        <v>249</v>
      </c>
      <c r="G5786" s="6" t="s">
        <v>254</v>
      </c>
      <c r="H5786" s="11" t="s">
        <v>259</v>
      </c>
      <c r="I5786" s="12">
        <v>4.0</v>
      </c>
      <c r="J5786" s="6" t="s">
        <v>161</v>
      </c>
    </row>
    <row r="5787" ht="22.5" customHeight="1">
      <c r="A5787" s="6" t="s">
        <v>22595</v>
      </c>
      <c r="B5787" s="6" t="s">
        <v>13156</v>
      </c>
      <c r="C5787" s="10">
        <v>46045.0</v>
      </c>
      <c r="D5787" s="6" t="s">
        <v>312</v>
      </c>
      <c r="E5787" s="6" t="s">
        <v>1720</v>
      </c>
      <c r="F5787" s="6" t="s">
        <v>249</v>
      </c>
      <c r="G5787" s="6" t="s">
        <v>297</v>
      </c>
      <c r="H5787" s="10">
        <v>46047.0</v>
      </c>
      <c r="I5787" s="12">
        <v>4.0</v>
      </c>
      <c r="J5787" s="6" t="s">
        <v>161</v>
      </c>
    </row>
    <row r="5788" ht="22.5" customHeight="1">
      <c r="A5788" s="6" t="s">
        <v>22596</v>
      </c>
      <c r="B5788" s="6" t="s">
        <v>13156</v>
      </c>
      <c r="C5788" s="10">
        <v>46038.0</v>
      </c>
      <c r="D5788" s="6" t="s">
        <v>312</v>
      </c>
      <c r="E5788" s="6" t="s">
        <v>863</v>
      </c>
      <c r="F5788" s="6" t="s">
        <v>283</v>
      </c>
      <c r="G5788" s="6" t="s">
        <v>458</v>
      </c>
      <c r="H5788" s="10">
        <v>46043.0</v>
      </c>
      <c r="I5788" s="12">
        <v>5.0</v>
      </c>
      <c r="J5788" s="6" t="s">
        <v>161</v>
      </c>
    </row>
    <row r="5789" ht="22.5" customHeight="1">
      <c r="A5789" s="6" t="s">
        <v>22597</v>
      </c>
      <c r="B5789" s="6" t="s">
        <v>13156</v>
      </c>
      <c r="C5789" s="10">
        <v>46038.0</v>
      </c>
      <c r="D5789" s="6" t="s">
        <v>436</v>
      </c>
      <c r="E5789" s="6" t="s">
        <v>394</v>
      </c>
      <c r="F5789" s="6" t="s">
        <v>249</v>
      </c>
      <c r="G5789" s="6" t="s">
        <v>254</v>
      </c>
      <c r="H5789" s="10">
        <v>46043.0</v>
      </c>
      <c r="I5789" s="12">
        <v>12.0</v>
      </c>
      <c r="J5789" s="6" t="s">
        <v>161</v>
      </c>
    </row>
    <row r="5790" ht="22.5" customHeight="1">
      <c r="A5790" s="6" t="s">
        <v>22598</v>
      </c>
      <c r="B5790" s="6" t="s">
        <v>13161</v>
      </c>
      <c r="C5790" s="10">
        <v>46057.0</v>
      </c>
      <c r="D5790" s="6" t="s">
        <v>289</v>
      </c>
      <c r="E5790" s="6" t="s">
        <v>670</v>
      </c>
      <c r="F5790" s="6" t="s">
        <v>249</v>
      </c>
      <c r="G5790" s="6" t="s">
        <v>494</v>
      </c>
      <c r="H5790" s="10">
        <v>46058.0</v>
      </c>
      <c r="I5790" s="12">
        <v>7.0</v>
      </c>
      <c r="J5790" s="6" t="s">
        <v>161</v>
      </c>
    </row>
    <row r="5791" ht="22.5" customHeight="1">
      <c r="A5791" s="6" t="s">
        <v>22599</v>
      </c>
      <c r="B5791" s="6" t="s">
        <v>13161</v>
      </c>
      <c r="C5791" s="10">
        <v>46070.0</v>
      </c>
      <c r="D5791" s="6" t="s">
        <v>289</v>
      </c>
      <c r="E5791" s="6" t="s">
        <v>583</v>
      </c>
      <c r="F5791" s="6" t="s">
        <v>112</v>
      </c>
      <c r="G5791" s="6" t="s">
        <v>452</v>
      </c>
      <c r="H5791" s="10">
        <v>46074.0</v>
      </c>
      <c r="I5791" s="12">
        <v>10.0</v>
      </c>
      <c r="J5791" s="6" t="s">
        <v>161</v>
      </c>
    </row>
    <row r="5792" ht="22.5" customHeight="1">
      <c r="A5792" s="6" t="s">
        <v>22600</v>
      </c>
      <c r="B5792" s="6" t="s">
        <v>13161</v>
      </c>
      <c r="C5792" s="10">
        <v>46072.0</v>
      </c>
      <c r="D5792" s="6" t="s">
        <v>436</v>
      </c>
      <c r="E5792" s="6" t="s">
        <v>583</v>
      </c>
      <c r="F5792" s="6" t="s">
        <v>439</v>
      </c>
      <c r="G5792" s="6" t="s">
        <v>494</v>
      </c>
      <c r="H5792" s="10">
        <v>46076.0</v>
      </c>
      <c r="I5792" s="12">
        <v>8.0</v>
      </c>
      <c r="J5792" s="6" t="s">
        <v>161</v>
      </c>
    </row>
    <row r="5793" ht="22.5" customHeight="1">
      <c r="A5793" s="6" t="s">
        <v>22601</v>
      </c>
      <c r="B5793" s="6" t="s">
        <v>13161</v>
      </c>
      <c r="C5793" s="10">
        <v>46061.0</v>
      </c>
      <c r="D5793" s="6" t="s">
        <v>436</v>
      </c>
      <c r="E5793" s="6" t="s">
        <v>2881</v>
      </c>
      <c r="F5793" s="6" t="s">
        <v>439</v>
      </c>
      <c r="G5793" s="6" t="s">
        <v>477</v>
      </c>
      <c r="H5793" s="11" t="s">
        <v>259</v>
      </c>
      <c r="I5793" s="12">
        <v>11.0</v>
      </c>
      <c r="J5793" s="6" t="s">
        <v>161</v>
      </c>
    </row>
    <row r="5794" ht="22.5" customHeight="1">
      <c r="A5794" s="6" t="s">
        <v>22602</v>
      </c>
      <c r="B5794" s="6" t="s">
        <v>13169</v>
      </c>
      <c r="C5794" s="10">
        <v>46046.0</v>
      </c>
      <c r="D5794" s="6" t="s">
        <v>391</v>
      </c>
      <c r="E5794" s="6" t="s">
        <v>291</v>
      </c>
      <c r="F5794" s="6" t="s">
        <v>283</v>
      </c>
      <c r="G5794" s="6" t="s">
        <v>477</v>
      </c>
      <c r="H5794" s="10">
        <v>46053.0</v>
      </c>
      <c r="I5794" s="12">
        <v>9.0</v>
      </c>
      <c r="J5794" s="6" t="s">
        <v>161</v>
      </c>
    </row>
    <row r="5795" ht="22.5" customHeight="1">
      <c r="A5795" s="6" t="s">
        <v>22603</v>
      </c>
      <c r="B5795" s="6" t="s">
        <v>13169</v>
      </c>
      <c r="C5795" s="10">
        <v>46043.0</v>
      </c>
      <c r="D5795" s="6" t="s">
        <v>436</v>
      </c>
      <c r="E5795" s="6" t="s">
        <v>716</v>
      </c>
      <c r="F5795" s="6" t="s">
        <v>249</v>
      </c>
      <c r="G5795" s="6" t="s">
        <v>369</v>
      </c>
      <c r="H5795" s="11" t="s">
        <v>259</v>
      </c>
      <c r="I5795" s="12">
        <v>7.0</v>
      </c>
      <c r="J5795" s="6" t="s">
        <v>178</v>
      </c>
    </row>
    <row r="5796" ht="22.5" customHeight="1">
      <c r="A5796" s="6" t="s">
        <v>22604</v>
      </c>
      <c r="B5796" s="6" t="s">
        <v>13169</v>
      </c>
      <c r="C5796" s="10">
        <v>46042.0</v>
      </c>
      <c r="D5796" s="6" t="s">
        <v>416</v>
      </c>
      <c r="E5796" s="6" t="s">
        <v>475</v>
      </c>
      <c r="F5796" s="6" t="s">
        <v>283</v>
      </c>
      <c r="G5796" s="6" t="s">
        <v>477</v>
      </c>
      <c r="H5796" s="10">
        <v>46046.0</v>
      </c>
      <c r="I5796" s="12">
        <v>13.0</v>
      </c>
      <c r="J5796" s="6" t="s">
        <v>161</v>
      </c>
    </row>
    <row r="5797" ht="22.5" customHeight="1">
      <c r="A5797" s="6" t="s">
        <v>22605</v>
      </c>
      <c r="B5797" s="6" t="s">
        <v>13169</v>
      </c>
      <c r="C5797" s="10">
        <v>46039.0</v>
      </c>
      <c r="D5797" s="6" t="s">
        <v>312</v>
      </c>
      <c r="E5797" s="6" t="s">
        <v>1546</v>
      </c>
      <c r="F5797" s="6" t="s">
        <v>249</v>
      </c>
      <c r="G5797" s="6" t="s">
        <v>369</v>
      </c>
      <c r="H5797" s="10">
        <v>46046.0</v>
      </c>
      <c r="I5797" s="12">
        <v>7.0</v>
      </c>
      <c r="J5797" s="6" t="s">
        <v>161</v>
      </c>
    </row>
    <row r="5798" ht="22.5" customHeight="1">
      <c r="A5798" s="6" t="s">
        <v>22606</v>
      </c>
      <c r="B5798" s="6" t="s">
        <v>13176</v>
      </c>
      <c r="C5798" s="10">
        <v>46066.0</v>
      </c>
      <c r="D5798" s="6" t="s">
        <v>391</v>
      </c>
      <c r="E5798" s="6" t="s">
        <v>885</v>
      </c>
      <c r="F5798" s="6" t="s">
        <v>112</v>
      </c>
      <c r="G5798" s="6" t="s">
        <v>494</v>
      </c>
      <c r="H5798" s="10">
        <v>46070.0</v>
      </c>
      <c r="I5798" s="12">
        <v>8.0</v>
      </c>
      <c r="J5798" s="6" t="s">
        <v>161</v>
      </c>
    </row>
    <row r="5799" ht="22.5" customHeight="1">
      <c r="A5799" s="6" t="s">
        <v>22607</v>
      </c>
      <c r="B5799" s="6" t="s">
        <v>13183</v>
      </c>
      <c r="C5799" s="10">
        <v>46041.0</v>
      </c>
      <c r="D5799" s="6" t="s">
        <v>289</v>
      </c>
      <c r="E5799" s="6" t="s">
        <v>610</v>
      </c>
      <c r="F5799" s="6" t="s">
        <v>249</v>
      </c>
      <c r="G5799" s="6" t="s">
        <v>477</v>
      </c>
      <c r="H5799" s="11" t="s">
        <v>259</v>
      </c>
      <c r="I5799" s="12">
        <v>7.0</v>
      </c>
      <c r="J5799" s="6" t="s">
        <v>161</v>
      </c>
    </row>
    <row r="5800" ht="22.5" customHeight="1">
      <c r="A5800" s="6" t="s">
        <v>22608</v>
      </c>
      <c r="B5800" s="6" t="s">
        <v>13183</v>
      </c>
      <c r="C5800" s="10">
        <v>46038.0</v>
      </c>
      <c r="D5800" s="6" t="s">
        <v>312</v>
      </c>
      <c r="E5800" s="6" t="s">
        <v>291</v>
      </c>
      <c r="F5800" s="6" t="s">
        <v>283</v>
      </c>
      <c r="G5800" s="6" t="s">
        <v>494</v>
      </c>
      <c r="H5800" s="10">
        <v>46045.0</v>
      </c>
      <c r="I5800" s="12">
        <v>5.0</v>
      </c>
      <c r="J5800" s="6" t="s">
        <v>161</v>
      </c>
    </row>
    <row r="5801" ht="22.5" customHeight="1">
      <c r="A5801" s="6" t="s">
        <v>22609</v>
      </c>
      <c r="B5801" s="6" t="s">
        <v>13183</v>
      </c>
      <c r="C5801" s="10">
        <v>46043.0</v>
      </c>
      <c r="D5801" s="6" t="s">
        <v>391</v>
      </c>
      <c r="E5801" s="6" t="s">
        <v>1517</v>
      </c>
      <c r="F5801" s="6" t="s">
        <v>439</v>
      </c>
      <c r="G5801" s="6" t="s">
        <v>494</v>
      </c>
      <c r="H5801" s="11" t="s">
        <v>259</v>
      </c>
      <c r="I5801" s="12">
        <v>7.0</v>
      </c>
      <c r="J5801" s="6" t="s">
        <v>161</v>
      </c>
    </row>
    <row r="5802" ht="22.5" customHeight="1">
      <c r="A5802" s="6" t="s">
        <v>22610</v>
      </c>
      <c r="B5802" s="6" t="s">
        <v>13183</v>
      </c>
      <c r="C5802" s="10">
        <v>46045.0</v>
      </c>
      <c r="D5802" s="6" t="s">
        <v>242</v>
      </c>
      <c r="E5802" s="6" t="s">
        <v>628</v>
      </c>
      <c r="F5802" s="6" t="s">
        <v>439</v>
      </c>
      <c r="G5802" s="6" t="s">
        <v>297</v>
      </c>
      <c r="H5802" s="10">
        <v>46051.0</v>
      </c>
      <c r="I5802" s="12">
        <v>5.0</v>
      </c>
      <c r="J5802" s="6" t="s">
        <v>161</v>
      </c>
    </row>
    <row r="5803" ht="22.5" customHeight="1">
      <c r="A5803" s="6" t="s">
        <v>22611</v>
      </c>
      <c r="B5803" s="6" t="s">
        <v>13183</v>
      </c>
      <c r="C5803" s="10">
        <v>46041.0</v>
      </c>
      <c r="D5803" s="6" t="s">
        <v>436</v>
      </c>
      <c r="E5803" s="6" t="s">
        <v>885</v>
      </c>
      <c r="F5803" s="6" t="s">
        <v>249</v>
      </c>
      <c r="G5803" s="6" t="s">
        <v>369</v>
      </c>
      <c r="H5803" s="10">
        <v>46046.0</v>
      </c>
      <c r="I5803" s="12">
        <v>12.0</v>
      </c>
      <c r="J5803" s="6" t="s">
        <v>161</v>
      </c>
    </row>
    <row r="5804" ht="22.5" customHeight="1">
      <c r="A5804" s="6" t="s">
        <v>22612</v>
      </c>
      <c r="B5804" s="6" t="s">
        <v>13189</v>
      </c>
      <c r="C5804" s="10">
        <v>46034.0</v>
      </c>
      <c r="D5804" s="6" t="s">
        <v>312</v>
      </c>
      <c r="E5804" s="6" t="s">
        <v>365</v>
      </c>
      <c r="F5804" s="6" t="s">
        <v>439</v>
      </c>
      <c r="G5804" s="6" t="s">
        <v>326</v>
      </c>
      <c r="H5804" s="11" t="s">
        <v>259</v>
      </c>
      <c r="I5804" s="12">
        <v>7.0</v>
      </c>
      <c r="J5804" s="6" t="s">
        <v>161</v>
      </c>
    </row>
    <row r="5805" ht="22.5" customHeight="1">
      <c r="A5805" s="6" t="s">
        <v>22613</v>
      </c>
      <c r="B5805" s="6" t="s">
        <v>13189</v>
      </c>
      <c r="C5805" s="10">
        <v>46048.0</v>
      </c>
      <c r="D5805" s="6" t="s">
        <v>416</v>
      </c>
      <c r="E5805" s="6" t="s">
        <v>1102</v>
      </c>
      <c r="F5805" s="6" t="s">
        <v>249</v>
      </c>
      <c r="G5805" s="6" t="s">
        <v>254</v>
      </c>
      <c r="H5805" s="10">
        <v>46050.0</v>
      </c>
      <c r="I5805" s="12">
        <v>8.0</v>
      </c>
      <c r="J5805" s="6" t="s">
        <v>161</v>
      </c>
    </row>
    <row r="5806" ht="22.5" customHeight="1">
      <c r="A5806" s="6" t="s">
        <v>22614</v>
      </c>
      <c r="B5806" s="6" t="s">
        <v>13194</v>
      </c>
      <c r="C5806" s="10">
        <v>46072.0</v>
      </c>
      <c r="D5806" s="6" t="s">
        <v>289</v>
      </c>
      <c r="E5806" s="6" t="s">
        <v>1102</v>
      </c>
      <c r="F5806" s="6" t="s">
        <v>249</v>
      </c>
      <c r="G5806" s="6" t="s">
        <v>494</v>
      </c>
      <c r="H5806" s="10">
        <v>46077.0</v>
      </c>
      <c r="I5806" s="12">
        <v>6.0</v>
      </c>
      <c r="J5806" s="6" t="s">
        <v>161</v>
      </c>
    </row>
    <row r="5807" ht="22.5" customHeight="1">
      <c r="A5807" s="6" t="s">
        <v>22615</v>
      </c>
      <c r="B5807" s="6" t="s">
        <v>13194</v>
      </c>
      <c r="C5807" s="10">
        <v>46072.0</v>
      </c>
      <c r="D5807" s="6" t="s">
        <v>391</v>
      </c>
      <c r="E5807" s="6" t="s">
        <v>896</v>
      </c>
      <c r="F5807" s="6" t="s">
        <v>439</v>
      </c>
      <c r="G5807" s="6" t="s">
        <v>452</v>
      </c>
      <c r="H5807" s="11" t="s">
        <v>259</v>
      </c>
      <c r="I5807" s="12">
        <v>7.0</v>
      </c>
      <c r="J5807" s="6" t="s">
        <v>161</v>
      </c>
    </row>
    <row r="5808" ht="22.5" customHeight="1">
      <c r="A5808" s="6" t="s">
        <v>22616</v>
      </c>
      <c r="B5808" s="6" t="s">
        <v>13194</v>
      </c>
      <c r="C5808" s="10">
        <v>46070.0</v>
      </c>
      <c r="D5808" s="6" t="s">
        <v>242</v>
      </c>
      <c r="E5808" s="6" t="s">
        <v>670</v>
      </c>
      <c r="F5808" s="6" t="s">
        <v>283</v>
      </c>
      <c r="G5808" s="6" t="s">
        <v>297</v>
      </c>
      <c r="H5808" s="10">
        <v>46070.0</v>
      </c>
      <c r="I5808" s="12">
        <v>6.0</v>
      </c>
      <c r="J5808" s="6" t="s">
        <v>178</v>
      </c>
    </row>
    <row r="5809" ht="22.5" customHeight="1">
      <c r="A5809" s="6" t="s">
        <v>22617</v>
      </c>
      <c r="B5809" s="6" t="s">
        <v>13194</v>
      </c>
      <c r="C5809" s="10">
        <v>46063.0</v>
      </c>
      <c r="D5809" s="6" t="s">
        <v>312</v>
      </c>
      <c r="E5809" s="6" t="s">
        <v>1296</v>
      </c>
      <c r="F5809" s="6" t="s">
        <v>249</v>
      </c>
      <c r="G5809" s="6" t="s">
        <v>494</v>
      </c>
      <c r="H5809" s="10">
        <v>46065.0</v>
      </c>
      <c r="I5809" s="12">
        <v>5.0</v>
      </c>
      <c r="J5809" s="6" t="s">
        <v>161</v>
      </c>
    </row>
    <row r="5810" ht="22.5" customHeight="1">
      <c r="A5810" s="6" t="s">
        <v>22618</v>
      </c>
      <c r="B5810" s="6" t="s">
        <v>13200</v>
      </c>
      <c r="C5810" s="10">
        <v>46055.0</v>
      </c>
      <c r="D5810" s="6" t="s">
        <v>677</v>
      </c>
      <c r="E5810" s="6" t="s">
        <v>634</v>
      </c>
      <c r="F5810" s="6" t="s">
        <v>283</v>
      </c>
      <c r="G5810" s="6" t="s">
        <v>494</v>
      </c>
      <c r="H5810" s="10">
        <v>46058.0</v>
      </c>
      <c r="I5810" s="12">
        <v>3.0</v>
      </c>
      <c r="J5810" s="6" t="s">
        <v>161</v>
      </c>
    </row>
    <row r="5811" ht="22.5" customHeight="1">
      <c r="A5811" s="6" t="s">
        <v>22619</v>
      </c>
      <c r="B5811" s="6" t="s">
        <v>13200</v>
      </c>
      <c r="C5811" s="10">
        <v>46053.0</v>
      </c>
      <c r="D5811" s="6" t="s">
        <v>242</v>
      </c>
      <c r="E5811" s="6" t="s">
        <v>394</v>
      </c>
      <c r="F5811" s="6" t="s">
        <v>283</v>
      </c>
      <c r="G5811" s="6" t="s">
        <v>297</v>
      </c>
      <c r="H5811" s="10">
        <v>46055.0</v>
      </c>
      <c r="I5811" s="12">
        <v>3.0</v>
      </c>
      <c r="J5811" s="6" t="s">
        <v>178</v>
      </c>
    </row>
    <row r="5812" ht="22.5" customHeight="1">
      <c r="A5812" s="6" t="s">
        <v>22620</v>
      </c>
      <c r="B5812" s="6" t="s">
        <v>13200</v>
      </c>
      <c r="C5812" s="10">
        <v>46057.0</v>
      </c>
      <c r="D5812" s="6" t="s">
        <v>289</v>
      </c>
      <c r="E5812" s="6" t="s">
        <v>1969</v>
      </c>
      <c r="F5812" s="6" t="s">
        <v>249</v>
      </c>
      <c r="G5812" s="6" t="s">
        <v>254</v>
      </c>
      <c r="H5812" s="10">
        <v>46059.0</v>
      </c>
      <c r="I5812" s="12">
        <v>9.0</v>
      </c>
      <c r="J5812" s="6" t="s">
        <v>161</v>
      </c>
    </row>
    <row r="5813" ht="22.5" customHeight="1">
      <c r="A5813" s="6" t="s">
        <v>22621</v>
      </c>
      <c r="B5813" s="6" t="s">
        <v>13200</v>
      </c>
      <c r="C5813" s="10">
        <v>46063.0</v>
      </c>
      <c r="D5813" s="6" t="s">
        <v>242</v>
      </c>
      <c r="E5813" s="6" t="s">
        <v>475</v>
      </c>
      <c r="F5813" s="6" t="s">
        <v>283</v>
      </c>
      <c r="G5813" s="6" t="s">
        <v>297</v>
      </c>
      <c r="H5813" s="10">
        <v>46065.0</v>
      </c>
      <c r="I5813" s="12">
        <v>6.0</v>
      </c>
      <c r="J5813" s="6" t="s">
        <v>161</v>
      </c>
    </row>
    <row r="5814" ht="22.5" customHeight="1">
      <c r="A5814" s="6" t="s">
        <v>22622</v>
      </c>
      <c r="B5814" s="6" t="s">
        <v>13206</v>
      </c>
      <c r="C5814" s="10">
        <v>46038.0</v>
      </c>
      <c r="D5814" s="6" t="s">
        <v>677</v>
      </c>
      <c r="E5814" s="6" t="s">
        <v>798</v>
      </c>
      <c r="F5814" s="6" t="s">
        <v>439</v>
      </c>
      <c r="G5814" s="6" t="s">
        <v>369</v>
      </c>
      <c r="H5814" s="10">
        <v>46042.0</v>
      </c>
      <c r="I5814" s="12">
        <v>4.0</v>
      </c>
      <c r="J5814" s="6" t="s">
        <v>161</v>
      </c>
    </row>
    <row r="5815" ht="22.5" customHeight="1">
      <c r="A5815" s="6" t="s">
        <v>22623</v>
      </c>
      <c r="B5815" s="6" t="s">
        <v>13206</v>
      </c>
      <c r="C5815" s="10">
        <v>46041.0</v>
      </c>
      <c r="D5815" s="6" t="s">
        <v>391</v>
      </c>
      <c r="E5815" s="6" t="s">
        <v>1273</v>
      </c>
      <c r="F5815" s="6" t="s">
        <v>249</v>
      </c>
      <c r="G5815" s="6" t="s">
        <v>369</v>
      </c>
      <c r="H5815" s="10">
        <v>46041.0</v>
      </c>
      <c r="I5815" s="12">
        <v>6.0</v>
      </c>
      <c r="J5815" s="6" t="s">
        <v>161</v>
      </c>
    </row>
    <row r="5816" ht="22.5" customHeight="1">
      <c r="A5816" s="6" t="s">
        <v>22624</v>
      </c>
      <c r="B5816" s="6" t="s">
        <v>13206</v>
      </c>
      <c r="C5816" s="10">
        <v>46037.0</v>
      </c>
      <c r="D5816" s="6" t="s">
        <v>312</v>
      </c>
      <c r="E5816" s="6" t="s">
        <v>1149</v>
      </c>
      <c r="F5816" s="6" t="s">
        <v>283</v>
      </c>
      <c r="G5816" s="6" t="s">
        <v>254</v>
      </c>
      <c r="H5816" s="11" t="s">
        <v>259</v>
      </c>
      <c r="I5816" s="12">
        <v>4.0</v>
      </c>
      <c r="J5816" s="6" t="s">
        <v>161</v>
      </c>
    </row>
    <row r="5817" ht="22.5" customHeight="1">
      <c r="A5817" s="6" t="s">
        <v>22625</v>
      </c>
      <c r="B5817" s="6" t="s">
        <v>13206</v>
      </c>
      <c r="C5817" s="10">
        <v>46051.0</v>
      </c>
      <c r="D5817" s="6" t="s">
        <v>436</v>
      </c>
      <c r="E5817" s="6" t="s">
        <v>798</v>
      </c>
      <c r="F5817" s="6" t="s">
        <v>283</v>
      </c>
      <c r="G5817" s="6" t="s">
        <v>254</v>
      </c>
      <c r="H5817" s="10">
        <v>46054.0</v>
      </c>
      <c r="I5817" s="12">
        <v>10.0</v>
      </c>
      <c r="J5817" s="6" t="s">
        <v>178</v>
      </c>
    </row>
    <row r="5818" ht="22.5" customHeight="1">
      <c r="A5818" s="6" t="s">
        <v>22626</v>
      </c>
      <c r="B5818" s="6" t="s">
        <v>13206</v>
      </c>
      <c r="C5818" s="10">
        <v>46042.0</v>
      </c>
      <c r="D5818" s="6" t="s">
        <v>242</v>
      </c>
      <c r="E5818" s="6" t="s">
        <v>1517</v>
      </c>
      <c r="F5818" s="6" t="s">
        <v>112</v>
      </c>
      <c r="G5818" s="6" t="s">
        <v>458</v>
      </c>
      <c r="H5818" s="10">
        <v>46044.0</v>
      </c>
      <c r="I5818" s="12">
        <v>6.0</v>
      </c>
      <c r="J5818" s="6" t="s">
        <v>178</v>
      </c>
    </row>
    <row r="5819" ht="22.5" customHeight="1">
      <c r="A5819" s="6" t="s">
        <v>22627</v>
      </c>
      <c r="B5819" s="6" t="s">
        <v>13212</v>
      </c>
      <c r="C5819" s="10">
        <v>46058.0</v>
      </c>
      <c r="D5819" s="6" t="s">
        <v>436</v>
      </c>
      <c r="E5819" s="6" t="s">
        <v>2365</v>
      </c>
      <c r="F5819" s="6" t="s">
        <v>249</v>
      </c>
      <c r="G5819" s="6" t="s">
        <v>326</v>
      </c>
      <c r="H5819" s="10">
        <v>46058.0</v>
      </c>
      <c r="I5819" s="12">
        <v>7.0</v>
      </c>
      <c r="J5819" s="6" t="s">
        <v>178</v>
      </c>
    </row>
    <row r="5820" ht="22.5" customHeight="1">
      <c r="A5820" s="6" t="s">
        <v>22628</v>
      </c>
      <c r="B5820" s="6" t="s">
        <v>13212</v>
      </c>
      <c r="C5820" s="10">
        <v>46055.0</v>
      </c>
      <c r="D5820" s="6" t="s">
        <v>391</v>
      </c>
      <c r="E5820" s="6" t="s">
        <v>738</v>
      </c>
      <c r="F5820" s="6" t="s">
        <v>249</v>
      </c>
      <c r="G5820" s="6" t="s">
        <v>477</v>
      </c>
      <c r="H5820" s="10">
        <v>46061.0</v>
      </c>
      <c r="I5820" s="12">
        <v>11.0</v>
      </c>
      <c r="J5820" s="6" t="s">
        <v>161</v>
      </c>
    </row>
    <row r="5821" ht="22.5" customHeight="1">
      <c r="A5821" s="6" t="s">
        <v>22629</v>
      </c>
      <c r="B5821" s="6" t="s">
        <v>13212</v>
      </c>
      <c r="C5821" s="10">
        <v>46059.0</v>
      </c>
      <c r="D5821" s="6" t="s">
        <v>416</v>
      </c>
      <c r="E5821" s="6" t="s">
        <v>1552</v>
      </c>
      <c r="F5821" s="6" t="s">
        <v>439</v>
      </c>
      <c r="G5821" s="6" t="s">
        <v>326</v>
      </c>
      <c r="H5821" s="10">
        <v>46063.0</v>
      </c>
      <c r="I5821" s="12">
        <v>10.0</v>
      </c>
      <c r="J5821" s="6" t="s">
        <v>161</v>
      </c>
    </row>
    <row r="5822" ht="22.5" customHeight="1">
      <c r="A5822" s="6" t="s">
        <v>22630</v>
      </c>
      <c r="B5822" s="6" t="s">
        <v>13212</v>
      </c>
      <c r="C5822" s="10">
        <v>46063.0</v>
      </c>
      <c r="D5822" s="6" t="s">
        <v>312</v>
      </c>
      <c r="E5822" s="6" t="s">
        <v>291</v>
      </c>
      <c r="F5822" s="6" t="s">
        <v>439</v>
      </c>
      <c r="G5822" s="6" t="s">
        <v>326</v>
      </c>
      <c r="H5822" s="11" t="s">
        <v>259</v>
      </c>
      <c r="I5822" s="12">
        <v>4.0</v>
      </c>
      <c r="J5822" s="6" t="s">
        <v>161</v>
      </c>
    </row>
    <row r="5823" ht="22.5" customHeight="1">
      <c r="A5823" s="6" t="s">
        <v>22631</v>
      </c>
      <c r="B5823" s="6" t="s">
        <v>13219</v>
      </c>
      <c r="C5823" s="10">
        <v>46056.0</v>
      </c>
      <c r="D5823" s="6" t="s">
        <v>677</v>
      </c>
      <c r="E5823" s="6" t="s">
        <v>670</v>
      </c>
      <c r="F5823" s="6" t="s">
        <v>439</v>
      </c>
      <c r="G5823" s="6" t="s">
        <v>369</v>
      </c>
      <c r="H5823" s="10">
        <v>46058.0</v>
      </c>
      <c r="I5823" s="12">
        <v>2.0</v>
      </c>
      <c r="J5823" s="6" t="s">
        <v>161</v>
      </c>
    </row>
    <row r="5824" ht="22.5" customHeight="1">
      <c r="A5824" s="6" t="s">
        <v>22632</v>
      </c>
      <c r="B5824" s="6" t="s">
        <v>13219</v>
      </c>
      <c r="C5824" s="10">
        <v>46066.0</v>
      </c>
      <c r="D5824" s="6" t="s">
        <v>289</v>
      </c>
      <c r="E5824" s="6" t="s">
        <v>1035</v>
      </c>
      <c r="F5824" s="6" t="s">
        <v>283</v>
      </c>
      <c r="G5824" s="6" t="s">
        <v>477</v>
      </c>
      <c r="H5824" s="10">
        <v>46070.0</v>
      </c>
      <c r="I5824" s="12">
        <v>7.0</v>
      </c>
      <c r="J5824" s="6" t="s">
        <v>161</v>
      </c>
    </row>
    <row r="5825" ht="22.5" customHeight="1">
      <c r="A5825" s="6" t="s">
        <v>22633</v>
      </c>
      <c r="B5825" s="6" t="s">
        <v>13219</v>
      </c>
      <c r="C5825" s="10">
        <v>46067.0</v>
      </c>
      <c r="D5825" s="6" t="s">
        <v>242</v>
      </c>
      <c r="E5825" s="6" t="s">
        <v>1310</v>
      </c>
      <c r="F5825" s="6" t="s">
        <v>439</v>
      </c>
      <c r="G5825" s="6" t="s">
        <v>458</v>
      </c>
      <c r="H5825" s="10">
        <v>46068.0</v>
      </c>
      <c r="I5825" s="12">
        <v>4.0</v>
      </c>
      <c r="J5825" s="6" t="s">
        <v>178</v>
      </c>
    </row>
    <row r="5826" ht="22.5" customHeight="1">
      <c r="A5826" s="6" t="s">
        <v>22634</v>
      </c>
      <c r="B5826" s="6" t="s">
        <v>13219</v>
      </c>
      <c r="C5826" s="10">
        <v>46074.0</v>
      </c>
      <c r="D5826" s="6" t="s">
        <v>289</v>
      </c>
      <c r="E5826" s="6" t="s">
        <v>466</v>
      </c>
      <c r="F5826" s="6" t="s">
        <v>249</v>
      </c>
      <c r="G5826" s="6" t="s">
        <v>297</v>
      </c>
      <c r="H5826" s="10">
        <v>46079.0</v>
      </c>
      <c r="I5826" s="12">
        <v>5.0</v>
      </c>
      <c r="J5826" s="6" t="s">
        <v>161</v>
      </c>
    </row>
    <row r="5827" ht="22.5" customHeight="1">
      <c r="A5827" s="6" t="s">
        <v>22635</v>
      </c>
      <c r="B5827" s="6" t="s">
        <v>13225</v>
      </c>
      <c r="C5827" s="10">
        <v>46081.0</v>
      </c>
      <c r="D5827" s="6" t="s">
        <v>677</v>
      </c>
      <c r="E5827" s="6" t="s">
        <v>1273</v>
      </c>
      <c r="F5827" s="6" t="s">
        <v>283</v>
      </c>
      <c r="G5827" s="6" t="s">
        <v>458</v>
      </c>
      <c r="H5827" s="10">
        <v>46081.0</v>
      </c>
      <c r="I5827" s="12">
        <v>4.0</v>
      </c>
      <c r="J5827" s="6" t="s">
        <v>161</v>
      </c>
    </row>
    <row r="5828" ht="22.5" customHeight="1">
      <c r="A5828" s="6" t="s">
        <v>22636</v>
      </c>
      <c r="B5828" s="6" t="s">
        <v>13225</v>
      </c>
      <c r="C5828" s="10">
        <v>46076.0</v>
      </c>
      <c r="D5828" s="6" t="s">
        <v>436</v>
      </c>
      <c r="E5828" s="6" t="s">
        <v>628</v>
      </c>
      <c r="F5828" s="6" t="s">
        <v>439</v>
      </c>
      <c r="G5828" s="6" t="s">
        <v>369</v>
      </c>
      <c r="H5828" s="10">
        <v>46080.0</v>
      </c>
      <c r="I5828" s="12">
        <v>9.0</v>
      </c>
      <c r="J5828" s="6" t="s">
        <v>178</v>
      </c>
    </row>
    <row r="5829" ht="22.5" customHeight="1">
      <c r="A5829" s="6" t="s">
        <v>22637</v>
      </c>
      <c r="B5829" s="6" t="s">
        <v>13231</v>
      </c>
      <c r="C5829" s="10">
        <v>46040.0</v>
      </c>
      <c r="D5829" s="6" t="s">
        <v>391</v>
      </c>
      <c r="E5829" s="6" t="s">
        <v>885</v>
      </c>
      <c r="F5829" s="6" t="s">
        <v>112</v>
      </c>
      <c r="G5829" s="6" t="s">
        <v>458</v>
      </c>
      <c r="H5829" s="10">
        <v>46040.0</v>
      </c>
      <c r="I5829" s="12">
        <v>11.0</v>
      </c>
      <c r="J5829" s="6" t="s">
        <v>161</v>
      </c>
    </row>
    <row r="5830" ht="22.5" customHeight="1">
      <c r="A5830" s="6" t="s">
        <v>22638</v>
      </c>
      <c r="B5830" s="6" t="s">
        <v>13231</v>
      </c>
      <c r="C5830" s="10">
        <v>46041.0</v>
      </c>
      <c r="D5830" s="6" t="s">
        <v>242</v>
      </c>
      <c r="E5830" s="6" t="s">
        <v>1310</v>
      </c>
      <c r="F5830" s="6" t="s">
        <v>439</v>
      </c>
      <c r="G5830" s="6" t="s">
        <v>297</v>
      </c>
      <c r="H5830" s="10">
        <v>46046.0</v>
      </c>
      <c r="I5830" s="12">
        <v>3.0</v>
      </c>
      <c r="J5830" s="6" t="s">
        <v>178</v>
      </c>
    </row>
    <row r="5831" ht="22.5" customHeight="1">
      <c r="A5831" s="6" t="s">
        <v>22639</v>
      </c>
      <c r="B5831" s="6" t="s">
        <v>13237</v>
      </c>
      <c r="C5831" s="10">
        <v>46057.0</v>
      </c>
      <c r="D5831" s="6" t="s">
        <v>677</v>
      </c>
      <c r="E5831" s="6" t="s">
        <v>365</v>
      </c>
      <c r="F5831" s="6" t="s">
        <v>439</v>
      </c>
      <c r="G5831" s="6" t="s">
        <v>452</v>
      </c>
      <c r="H5831" s="10">
        <v>46059.0</v>
      </c>
      <c r="I5831" s="12">
        <v>4.0</v>
      </c>
      <c r="J5831" s="6" t="s">
        <v>161</v>
      </c>
    </row>
    <row r="5832" ht="22.5" customHeight="1">
      <c r="A5832" s="6" t="s">
        <v>22640</v>
      </c>
      <c r="B5832" s="6" t="s">
        <v>13237</v>
      </c>
      <c r="C5832" s="10">
        <v>46048.0</v>
      </c>
      <c r="D5832" s="6" t="s">
        <v>677</v>
      </c>
      <c r="E5832" s="6" t="s">
        <v>896</v>
      </c>
      <c r="F5832" s="6" t="s">
        <v>249</v>
      </c>
      <c r="G5832" s="6" t="s">
        <v>369</v>
      </c>
      <c r="H5832" s="10">
        <v>46054.0</v>
      </c>
      <c r="I5832" s="12">
        <v>4.0</v>
      </c>
      <c r="J5832" s="6" t="s">
        <v>161</v>
      </c>
    </row>
    <row r="5833" ht="22.5" customHeight="1">
      <c r="A5833" s="6" t="s">
        <v>22641</v>
      </c>
      <c r="B5833" s="6" t="s">
        <v>13237</v>
      </c>
      <c r="C5833" s="10">
        <v>46059.0</v>
      </c>
      <c r="D5833" s="6" t="s">
        <v>436</v>
      </c>
      <c r="E5833" s="6" t="s">
        <v>291</v>
      </c>
      <c r="F5833" s="6" t="s">
        <v>283</v>
      </c>
      <c r="G5833" s="6" t="s">
        <v>326</v>
      </c>
      <c r="H5833" s="10">
        <v>46065.0</v>
      </c>
      <c r="I5833" s="12">
        <v>6.0</v>
      </c>
      <c r="J5833" s="6" t="s">
        <v>178</v>
      </c>
    </row>
    <row r="5834" ht="22.5" customHeight="1">
      <c r="A5834" s="6" t="s">
        <v>22642</v>
      </c>
      <c r="B5834" s="6" t="s">
        <v>13237</v>
      </c>
      <c r="C5834" s="10">
        <v>46045.0</v>
      </c>
      <c r="D5834" s="6" t="s">
        <v>416</v>
      </c>
      <c r="E5834" s="6" t="s">
        <v>291</v>
      </c>
      <c r="F5834" s="6" t="s">
        <v>283</v>
      </c>
      <c r="G5834" s="6" t="s">
        <v>452</v>
      </c>
      <c r="H5834" s="10">
        <v>46047.0</v>
      </c>
      <c r="I5834" s="12">
        <v>9.0</v>
      </c>
      <c r="J5834" s="6" t="s">
        <v>161</v>
      </c>
    </row>
    <row r="5835" ht="22.5" customHeight="1">
      <c r="A5835" s="6" t="s">
        <v>22643</v>
      </c>
      <c r="B5835" s="6" t="s">
        <v>13237</v>
      </c>
      <c r="C5835" s="10">
        <v>46042.0</v>
      </c>
      <c r="D5835" s="6" t="s">
        <v>289</v>
      </c>
      <c r="E5835" s="6" t="s">
        <v>438</v>
      </c>
      <c r="F5835" s="6" t="s">
        <v>439</v>
      </c>
      <c r="G5835" s="6" t="s">
        <v>326</v>
      </c>
      <c r="H5835" s="10">
        <v>46042.0</v>
      </c>
      <c r="I5835" s="12">
        <v>5.0</v>
      </c>
      <c r="J5835" s="6" t="s">
        <v>161</v>
      </c>
    </row>
    <row r="5836" ht="22.5" customHeight="1">
      <c r="A5836" s="6" t="s">
        <v>22644</v>
      </c>
      <c r="B5836" s="6" t="s">
        <v>13243</v>
      </c>
      <c r="C5836" s="10">
        <v>46079.0</v>
      </c>
      <c r="D5836" s="6" t="s">
        <v>391</v>
      </c>
      <c r="E5836" s="6" t="s">
        <v>955</v>
      </c>
      <c r="F5836" s="6" t="s">
        <v>249</v>
      </c>
      <c r="G5836" s="6" t="s">
        <v>254</v>
      </c>
      <c r="H5836" s="10">
        <v>46083.0</v>
      </c>
      <c r="I5836" s="12">
        <v>11.0</v>
      </c>
      <c r="J5836" s="6" t="s">
        <v>161</v>
      </c>
    </row>
    <row r="5837" ht="22.5" customHeight="1">
      <c r="A5837" s="6" t="s">
        <v>22645</v>
      </c>
      <c r="B5837" s="6" t="s">
        <v>13249</v>
      </c>
      <c r="C5837" s="10">
        <v>46040.0</v>
      </c>
      <c r="D5837" s="6" t="s">
        <v>312</v>
      </c>
      <c r="E5837" s="6" t="s">
        <v>1600</v>
      </c>
      <c r="F5837" s="6" t="s">
        <v>283</v>
      </c>
      <c r="G5837" s="6" t="s">
        <v>326</v>
      </c>
      <c r="H5837" s="10">
        <v>46047.0</v>
      </c>
      <c r="I5837" s="12">
        <v>7.0</v>
      </c>
      <c r="J5837" s="6" t="s">
        <v>161</v>
      </c>
    </row>
    <row r="5838" ht="22.5" customHeight="1">
      <c r="A5838" s="6" t="s">
        <v>22646</v>
      </c>
      <c r="B5838" s="6" t="s">
        <v>13249</v>
      </c>
      <c r="C5838" s="10">
        <v>46037.0</v>
      </c>
      <c r="D5838" s="6" t="s">
        <v>391</v>
      </c>
      <c r="E5838" s="6" t="s">
        <v>812</v>
      </c>
      <c r="F5838" s="6" t="s">
        <v>249</v>
      </c>
      <c r="G5838" s="6" t="s">
        <v>254</v>
      </c>
      <c r="H5838" s="10">
        <v>46042.0</v>
      </c>
      <c r="I5838" s="12">
        <v>8.0</v>
      </c>
      <c r="J5838" s="6" t="s">
        <v>161</v>
      </c>
    </row>
    <row r="5839" ht="22.5" customHeight="1">
      <c r="A5839" s="6" t="s">
        <v>22647</v>
      </c>
      <c r="B5839" s="6" t="s">
        <v>13249</v>
      </c>
      <c r="C5839" s="10">
        <v>46053.0</v>
      </c>
      <c r="D5839" s="6" t="s">
        <v>436</v>
      </c>
      <c r="E5839" s="6" t="s">
        <v>775</v>
      </c>
      <c r="F5839" s="6" t="s">
        <v>112</v>
      </c>
      <c r="G5839" s="6" t="s">
        <v>369</v>
      </c>
      <c r="H5839" s="10">
        <v>46058.0</v>
      </c>
      <c r="I5839" s="12">
        <v>11.0</v>
      </c>
      <c r="J5839" s="6" t="s">
        <v>161</v>
      </c>
    </row>
    <row r="5840" ht="22.5" customHeight="1">
      <c r="A5840" s="6" t="s">
        <v>22648</v>
      </c>
      <c r="B5840" s="6" t="s">
        <v>13249</v>
      </c>
      <c r="C5840" s="10">
        <v>46043.0</v>
      </c>
      <c r="D5840" s="6" t="s">
        <v>391</v>
      </c>
      <c r="E5840" s="6" t="s">
        <v>512</v>
      </c>
      <c r="F5840" s="6" t="s">
        <v>249</v>
      </c>
      <c r="G5840" s="6" t="s">
        <v>297</v>
      </c>
      <c r="H5840" s="10">
        <v>46046.0</v>
      </c>
      <c r="I5840" s="12">
        <v>9.0</v>
      </c>
      <c r="J5840" s="6" t="s">
        <v>161</v>
      </c>
    </row>
    <row r="5841" ht="22.5" customHeight="1">
      <c r="A5841" s="6" t="s">
        <v>22649</v>
      </c>
      <c r="B5841" s="6" t="s">
        <v>13256</v>
      </c>
      <c r="C5841" s="10">
        <v>46035.0</v>
      </c>
      <c r="D5841" s="6" t="s">
        <v>391</v>
      </c>
      <c r="E5841" s="6" t="s">
        <v>731</v>
      </c>
      <c r="F5841" s="6" t="s">
        <v>249</v>
      </c>
      <c r="G5841" s="6" t="s">
        <v>494</v>
      </c>
      <c r="H5841" s="10">
        <v>46035.0</v>
      </c>
      <c r="I5841" s="12">
        <v>11.0</v>
      </c>
      <c r="J5841" s="6" t="s">
        <v>161</v>
      </c>
    </row>
    <row r="5842" ht="22.5" customHeight="1">
      <c r="A5842" s="6" t="s">
        <v>22650</v>
      </c>
      <c r="B5842" s="6" t="s">
        <v>13256</v>
      </c>
      <c r="C5842" s="10">
        <v>46033.0</v>
      </c>
      <c r="D5842" s="6" t="s">
        <v>391</v>
      </c>
      <c r="E5842" s="6" t="s">
        <v>1600</v>
      </c>
      <c r="F5842" s="6" t="s">
        <v>439</v>
      </c>
      <c r="G5842" s="6" t="s">
        <v>494</v>
      </c>
      <c r="H5842" s="10">
        <v>46034.0</v>
      </c>
      <c r="I5842" s="12">
        <v>11.0</v>
      </c>
      <c r="J5842" s="6" t="s">
        <v>161</v>
      </c>
    </row>
    <row r="5843" ht="22.5" customHeight="1">
      <c r="A5843" s="6" t="s">
        <v>22651</v>
      </c>
      <c r="B5843" s="6" t="s">
        <v>13262</v>
      </c>
      <c r="C5843" s="10">
        <v>46044.0</v>
      </c>
      <c r="D5843" s="6" t="s">
        <v>416</v>
      </c>
      <c r="E5843" s="6" t="s">
        <v>738</v>
      </c>
      <c r="F5843" s="6" t="s">
        <v>439</v>
      </c>
      <c r="G5843" s="6" t="s">
        <v>452</v>
      </c>
      <c r="H5843" s="10">
        <v>46049.0</v>
      </c>
      <c r="I5843" s="12">
        <v>13.0</v>
      </c>
      <c r="J5843" s="6" t="s">
        <v>161</v>
      </c>
    </row>
    <row r="5844" ht="22.5" customHeight="1">
      <c r="A5844" s="6" t="s">
        <v>22652</v>
      </c>
      <c r="B5844" s="6" t="s">
        <v>13262</v>
      </c>
      <c r="C5844" s="10">
        <v>46041.0</v>
      </c>
      <c r="D5844" s="6" t="s">
        <v>436</v>
      </c>
      <c r="E5844" s="6" t="s">
        <v>775</v>
      </c>
      <c r="F5844" s="6" t="s">
        <v>439</v>
      </c>
      <c r="G5844" s="6" t="s">
        <v>458</v>
      </c>
      <c r="H5844" s="11" t="s">
        <v>259</v>
      </c>
      <c r="I5844" s="12">
        <v>7.0</v>
      </c>
      <c r="J5844" s="6" t="s">
        <v>161</v>
      </c>
    </row>
    <row r="5845" ht="22.5" customHeight="1">
      <c r="A5845" s="6" t="s">
        <v>22653</v>
      </c>
      <c r="B5845" s="6" t="s">
        <v>13268</v>
      </c>
      <c r="C5845" s="10">
        <v>46048.0</v>
      </c>
      <c r="D5845" s="6" t="s">
        <v>436</v>
      </c>
      <c r="E5845" s="6" t="s">
        <v>1700</v>
      </c>
      <c r="F5845" s="6" t="s">
        <v>283</v>
      </c>
      <c r="G5845" s="6" t="s">
        <v>494</v>
      </c>
      <c r="H5845" s="10">
        <v>46051.0</v>
      </c>
      <c r="I5845" s="12">
        <v>6.0</v>
      </c>
      <c r="J5845" s="6" t="s">
        <v>178</v>
      </c>
    </row>
    <row r="5846" ht="22.5" customHeight="1">
      <c r="A5846" s="6" t="s">
        <v>22654</v>
      </c>
      <c r="B5846" s="6" t="s">
        <v>13274</v>
      </c>
      <c r="C5846" s="10">
        <v>46029.0</v>
      </c>
      <c r="D5846" s="6" t="s">
        <v>289</v>
      </c>
      <c r="E5846" s="6" t="s">
        <v>863</v>
      </c>
      <c r="F5846" s="6" t="s">
        <v>249</v>
      </c>
      <c r="G5846" s="6" t="s">
        <v>369</v>
      </c>
      <c r="H5846" s="10">
        <v>46034.0</v>
      </c>
      <c r="I5846" s="12">
        <v>10.0</v>
      </c>
      <c r="J5846" s="6" t="s">
        <v>161</v>
      </c>
    </row>
    <row r="5847" ht="22.5" customHeight="1">
      <c r="A5847" s="6" t="s">
        <v>22655</v>
      </c>
      <c r="B5847" s="6" t="s">
        <v>13274</v>
      </c>
      <c r="C5847" s="10">
        <v>46030.0</v>
      </c>
      <c r="D5847" s="6" t="s">
        <v>391</v>
      </c>
      <c r="E5847" s="6" t="s">
        <v>885</v>
      </c>
      <c r="F5847" s="6" t="s">
        <v>112</v>
      </c>
      <c r="G5847" s="6" t="s">
        <v>494</v>
      </c>
      <c r="H5847" s="10">
        <v>46030.0</v>
      </c>
      <c r="I5847" s="12">
        <v>8.0</v>
      </c>
      <c r="J5847" s="6" t="s">
        <v>161</v>
      </c>
    </row>
    <row r="5848" ht="22.5" customHeight="1">
      <c r="A5848" s="6" t="s">
        <v>22656</v>
      </c>
      <c r="B5848" s="6" t="s">
        <v>13274</v>
      </c>
      <c r="C5848" s="10">
        <v>46025.0</v>
      </c>
      <c r="D5848" s="6" t="s">
        <v>242</v>
      </c>
      <c r="E5848" s="6" t="s">
        <v>291</v>
      </c>
      <c r="F5848" s="6" t="s">
        <v>249</v>
      </c>
      <c r="G5848" s="6" t="s">
        <v>326</v>
      </c>
      <c r="H5848" s="10">
        <v>46026.0</v>
      </c>
      <c r="I5848" s="12">
        <v>3.0</v>
      </c>
      <c r="J5848" s="6" t="s">
        <v>161</v>
      </c>
    </row>
    <row r="5849" ht="22.5" customHeight="1">
      <c r="A5849" s="6" t="s">
        <v>22657</v>
      </c>
      <c r="B5849" s="6" t="s">
        <v>13281</v>
      </c>
      <c r="C5849" s="10">
        <v>46059.0</v>
      </c>
      <c r="D5849" s="6" t="s">
        <v>289</v>
      </c>
      <c r="E5849" s="6" t="s">
        <v>798</v>
      </c>
      <c r="F5849" s="6" t="s">
        <v>112</v>
      </c>
      <c r="G5849" s="6" t="s">
        <v>452</v>
      </c>
      <c r="H5849" s="10">
        <v>46060.0</v>
      </c>
      <c r="I5849" s="12">
        <v>10.0</v>
      </c>
      <c r="J5849" s="6" t="s">
        <v>161</v>
      </c>
    </row>
    <row r="5850" ht="22.5" customHeight="1">
      <c r="A5850" s="6" t="s">
        <v>22658</v>
      </c>
      <c r="B5850" s="6" t="s">
        <v>13281</v>
      </c>
      <c r="C5850" s="10">
        <v>46051.0</v>
      </c>
      <c r="D5850" s="6" t="s">
        <v>391</v>
      </c>
      <c r="E5850" s="6" t="s">
        <v>863</v>
      </c>
      <c r="F5850" s="6" t="s">
        <v>439</v>
      </c>
      <c r="G5850" s="6" t="s">
        <v>297</v>
      </c>
      <c r="H5850" s="10">
        <v>46056.0</v>
      </c>
      <c r="I5850" s="12">
        <v>6.0</v>
      </c>
      <c r="J5850" s="6" t="s">
        <v>161</v>
      </c>
    </row>
    <row r="5851" ht="22.5" customHeight="1">
      <c r="A5851" s="6" t="s">
        <v>22659</v>
      </c>
      <c r="B5851" s="6" t="s">
        <v>13281</v>
      </c>
      <c r="C5851" s="10">
        <v>46047.0</v>
      </c>
      <c r="D5851" s="6" t="s">
        <v>312</v>
      </c>
      <c r="E5851" s="6" t="s">
        <v>1310</v>
      </c>
      <c r="F5851" s="6" t="s">
        <v>249</v>
      </c>
      <c r="G5851" s="6" t="s">
        <v>494</v>
      </c>
      <c r="H5851" s="10">
        <v>46048.0</v>
      </c>
      <c r="I5851" s="12">
        <v>4.0</v>
      </c>
      <c r="J5851" s="6" t="s">
        <v>161</v>
      </c>
    </row>
    <row r="5852" ht="22.5" customHeight="1">
      <c r="A5852" s="6" t="s">
        <v>22660</v>
      </c>
      <c r="B5852" s="6" t="s">
        <v>13281</v>
      </c>
      <c r="C5852" s="10">
        <v>46062.0</v>
      </c>
      <c r="D5852" s="6" t="s">
        <v>677</v>
      </c>
      <c r="E5852" s="6" t="s">
        <v>955</v>
      </c>
      <c r="F5852" s="6" t="s">
        <v>439</v>
      </c>
      <c r="G5852" s="6" t="s">
        <v>477</v>
      </c>
      <c r="H5852" s="10">
        <v>46068.0</v>
      </c>
      <c r="I5852" s="12">
        <v>3.0</v>
      </c>
      <c r="J5852" s="6" t="s">
        <v>161</v>
      </c>
    </row>
    <row r="5853" ht="22.5" customHeight="1">
      <c r="A5853" s="6" t="s">
        <v>22661</v>
      </c>
      <c r="B5853" s="6" t="s">
        <v>13281</v>
      </c>
      <c r="C5853" s="10">
        <v>46059.0</v>
      </c>
      <c r="D5853" s="6" t="s">
        <v>436</v>
      </c>
      <c r="E5853" s="6" t="s">
        <v>566</v>
      </c>
      <c r="F5853" s="6" t="s">
        <v>283</v>
      </c>
      <c r="G5853" s="6" t="s">
        <v>297</v>
      </c>
      <c r="H5853" s="10">
        <v>46062.0</v>
      </c>
      <c r="I5853" s="12">
        <v>6.0</v>
      </c>
      <c r="J5853" s="6" t="s">
        <v>178</v>
      </c>
    </row>
    <row r="5854" ht="22.5" customHeight="1">
      <c r="A5854" s="6" t="s">
        <v>22662</v>
      </c>
      <c r="B5854" s="6" t="s">
        <v>13287</v>
      </c>
      <c r="C5854" s="10">
        <v>46057.0</v>
      </c>
      <c r="D5854" s="6" t="s">
        <v>289</v>
      </c>
      <c r="E5854" s="6" t="s">
        <v>1517</v>
      </c>
      <c r="F5854" s="6" t="s">
        <v>283</v>
      </c>
      <c r="G5854" s="6" t="s">
        <v>452</v>
      </c>
      <c r="H5854" s="11" t="s">
        <v>259</v>
      </c>
      <c r="I5854" s="12">
        <v>5.0</v>
      </c>
      <c r="J5854" s="6" t="s">
        <v>161</v>
      </c>
    </row>
    <row r="5855" ht="22.5" customHeight="1">
      <c r="A5855" s="6" t="s">
        <v>22663</v>
      </c>
      <c r="B5855" s="6" t="s">
        <v>13287</v>
      </c>
      <c r="C5855" s="10">
        <v>46059.0</v>
      </c>
      <c r="D5855" s="6" t="s">
        <v>416</v>
      </c>
      <c r="E5855" s="6" t="s">
        <v>885</v>
      </c>
      <c r="F5855" s="6" t="s">
        <v>439</v>
      </c>
      <c r="G5855" s="6" t="s">
        <v>458</v>
      </c>
      <c r="H5855" s="11" t="s">
        <v>259</v>
      </c>
      <c r="I5855" s="12">
        <v>12.0</v>
      </c>
      <c r="J5855" s="6" t="s">
        <v>161</v>
      </c>
    </row>
    <row r="5856" ht="22.5" customHeight="1">
      <c r="A5856" s="6" t="s">
        <v>22664</v>
      </c>
      <c r="B5856" s="6" t="s">
        <v>13287</v>
      </c>
      <c r="C5856" s="10">
        <v>46052.0</v>
      </c>
      <c r="D5856" s="6" t="s">
        <v>416</v>
      </c>
      <c r="E5856" s="6" t="s">
        <v>618</v>
      </c>
      <c r="F5856" s="6" t="s">
        <v>439</v>
      </c>
      <c r="G5856" s="6" t="s">
        <v>458</v>
      </c>
      <c r="H5856" s="10">
        <v>46053.0</v>
      </c>
      <c r="I5856" s="12">
        <v>14.0</v>
      </c>
      <c r="J5856" s="6" t="s">
        <v>161</v>
      </c>
    </row>
    <row r="5857" ht="22.5" customHeight="1">
      <c r="A5857" s="6" t="s">
        <v>22665</v>
      </c>
      <c r="B5857" s="6" t="s">
        <v>13287</v>
      </c>
      <c r="C5857" s="10">
        <v>46049.0</v>
      </c>
      <c r="D5857" s="6" t="s">
        <v>242</v>
      </c>
      <c r="E5857" s="6" t="s">
        <v>955</v>
      </c>
      <c r="F5857" s="6" t="s">
        <v>283</v>
      </c>
      <c r="G5857" s="6" t="s">
        <v>452</v>
      </c>
      <c r="H5857" s="10">
        <v>46052.0</v>
      </c>
      <c r="I5857" s="12">
        <v>6.0</v>
      </c>
      <c r="J5857" s="6" t="s">
        <v>161</v>
      </c>
    </row>
    <row r="5858" ht="22.5" customHeight="1">
      <c r="A5858" s="6" t="s">
        <v>22666</v>
      </c>
      <c r="B5858" s="6" t="s">
        <v>13293</v>
      </c>
      <c r="C5858" s="10">
        <v>46046.0</v>
      </c>
      <c r="D5858" s="6" t="s">
        <v>312</v>
      </c>
      <c r="E5858" s="6" t="s">
        <v>1280</v>
      </c>
      <c r="F5858" s="6" t="s">
        <v>112</v>
      </c>
      <c r="G5858" s="6" t="s">
        <v>326</v>
      </c>
      <c r="H5858" s="10">
        <v>46053.0</v>
      </c>
      <c r="I5858" s="12">
        <v>6.0</v>
      </c>
      <c r="J5858" s="6" t="s">
        <v>161</v>
      </c>
    </row>
    <row r="5859" ht="22.5" customHeight="1">
      <c r="A5859" s="6" t="s">
        <v>22667</v>
      </c>
      <c r="B5859" s="6" t="s">
        <v>13293</v>
      </c>
      <c r="C5859" s="10">
        <v>46034.0</v>
      </c>
      <c r="D5859" s="6" t="s">
        <v>436</v>
      </c>
      <c r="E5859" s="6" t="s">
        <v>2881</v>
      </c>
      <c r="F5859" s="6" t="s">
        <v>249</v>
      </c>
      <c r="G5859" s="6" t="s">
        <v>477</v>
      </c>
      <c r="H5859" s="10">
        <v>46041.0</v>
      </c>
      <c r="I5859" s="12">
        <v>12.0</v>
      </c>
      <c r="J5859" s="6" t="s">
        <v>178</v>
      </c>
    </row>
    <row r="5860" ht="22.5" customHeight="1">
      <c r="A5860" s="6" t="s">
        <v>22668</v>
      </c>
      <c r="B5860" s="6" t="s">
        <v>13293</v>
      </c>
      <c r="C5860" s="10">
        <v>46051.0</v>
      </c>
      <c r="D5860" s="6" t="s">
        <v>677</v>
      </c>
      <c r="E5860" s="6" t="s">
        <v>512</v>
      </c>
      <c r="F5860" s="6" t="s">
        <v>249</v>
      </c>
      <c r="G5860" s="6" t="s">
        <v>326</v>
      </c>
      <c r="H5860" s="10">
        <v>46058.0</v>
      </c>
      <c r="I5860" s="12">
        <v>2.0</v>
      </c>
      <c r="J5860" s="6" t="s">
        <v>161</v>
      </c>
    </row>
    <row r="5861" ht="22.5" customHeight="1">
      <c r="A5861" s="6" t="s">
        <v>22669</v>
      </c>
      <c r="B5861" s="6" t="s">
        <v>13293</v>
      </c>
      <c r="C5861" s="10">
        <v>46050.0</v>
      </c>
      <c r="D5861" s="6" t="s">
        <v>436</v>
      </c>
      <c r="E5861" s="6" t="s">
        <v>1122</v>
      </c>
      <c r="F5861" s="6" t="s">
        <v>283</v>
      </c>
      <c r="G5861" s="6" t="s">
        <v>254</v>
      </c>
      <c r="H5861" s="10">
        <v>46051.0</v>
      </c>
      <c r="I5861" s="12">
        <v>8.0</v>
      </c>
      <c r="J5861" s="6" t="s">
        <v>178</v>
      </c>
    </row>
    <row r="5862" ht="22.5" customHeight="1">
      <c r="A5862" s="6" t="s">
        <v>22670</v>
      </c>
      <c r="B5862" s="6" t="s">
        <v>13293</v>
      </c>
      <c r="C5862" s="10">
        <v>46034.0</v>
      </c>
      <c r="D5862" s="6" t="s">
        <v>677</v>
      </c>
      <c r="E5862" s="6" t="s">
        <v>1720</v>
      </c>
      <c r="F5862" s="6" t="s">
        <v>283</v>
      </c>
      <c r="G5862" s="6" t="s">
        <v>369</v>
      </c>
      <c r="H5862" s="10">
        <v>46038.0</v>
      </c>
      <c r="I5862" s="12">
        <v>2.0</v>
      </c>
      <c r="J5862" s="6" t="s">
        <v>161</v>
      </c>
    </row>
    <row r="5863" ht="22.5" customHeight="1">
      <c r="A5863" s="6" t="s">
        <v>22671</v>
      </c>
      <c r="B5863" s="6" t="s">
        <v>13300</v>
      </c>
      <c r="C5863" s="10">
        <v>46035.0</v>
      </c>
      <c r="D5863" s="6" t="s">
        <v>242</v>
      </c>
      <c r="E5863" s="6" t="s">
        <v>1720</v>
      </c>
      <c r="F5863" s="6" t="s">
        <v>283</v>
      </c>
      <c r="G5863" s="6" t="s">
        <v>326</v>
      </c>
      <c r="H5863" s="10">
        <v>46038.0</v>
      </c>
      <c r="I5863" s="12">
        <v>3.0</v>
      </c>
      <c r="J5863" s="6" t="s">
        <v>161</v>
      </c>
    </row>
    <row r="5864" ht="22.5" customHeight="1">
      <c r="A5864" s="6" t="s">
        <v>22672</v>
      </c>
      <c r="B5864" s="6" t="s">
        <v>13300</v>
      </c>
      <c r="C5864" s="10">
        <v>46048.0</v>
      </c>
      <c r="D5864" s="6" t="s">
        <v>677</v>
      </c>
      <c r="E5864" s="6" t="s">
        <v>450</v>
      </c>
      <c r="F5864" s="6" t="s">
        <v>283</v>
      </c>
      <c r="G5864" s="6" t="s">
        <v>297</v>
      </c>
      <c r="H5864" s="10">
        <v>46054.0</v>
      </c>
      <c r="I5864" s="12">
        <v>3.0</v>
      </c>
      <c r="J5864" s="6" t="s">
        <v>161</v>
      </c>
    </row>
    <row r="5865" ht="22.5" customHeight="1">
      <c r="A5865" s="6" t="s">
        <v>22673</v>
      </c>
      <c r="B5865" s="6" t="s">
        <v>13300</v>
      </c>
      <c r="C5865" s="10">
        <v>46044.0</v>
      </c>
      <c r="D5865" s="6" t="s">
        <v>436</v>
      </c>
      <c r="E5865" s="6" t="s">
        <v>394</v>
      </c>
      <c r="F5865" s="6" t="s">
        <v>283</v>
      </c>
      <c r="G5865" s="6" t="s">
        <v>452</v>
      </c>
      <c r="H5865" s="10">
        <v>46047.0</v>
      </c>
      <c r="I5865" s="12">
        <v>9.0</v>
      </c>
      <c r="J5865" s="6" t="s">
        <v>178</v>
      </c>
    </row>
    <row r="5866" ht="22.5" customHeight="1">
      <c r="A5866" s="6" t="s">
        <v>22674</v>
      </c>
      <c r="B5866" s="6" t="s">
        <v>13306</v>
      </c>
      <c r="C5866" s="10">
        <v>46064.0</v>
      </c>
      <c r="D5866" s="6" t="s">
        <v>289</v>
      </c>
      <c r="E5866" s="6" t="s">
        <v>1741</v>
      </c>
      <c r="F5866" s="6" t="s">
        <v>439</v>
      </c>
      <c r="G5866" s="6" t="s">
        <v>326</v>
      </c>
      <c r="H5866" s="10">
        <v>46066.0</v>
      </c>
      <c r="I5866" s="12">
        <v>9.0</v>
      </c>
      <c r="J5866" s="6" t="s">
        <v>161</v>
      </c>
    </row>
    <row r="5867" ht="22.5" customHeight="1">
      <c r="A5867" s="6" t="s">
        <v>22675</v>
      </c>
      <c r="B5867" s="6" t="s">
        <v>13306</v>
      </c>
      <c r="C5867" s="10">
        <v>46067.0</v>
      </c>
      <c r="D5867" s="6" t="s">
        <v>242</v>
      </c>
      <c r="E5867" s="6" t="s">
        <v>863</v>
      </c>
      <c r="F5867" s="6" t="s">
        <v>439</v>
      </c>
      <c r="G5867" s="6" t="s">
        <v>458</v>
      </c>
      <c r="H5867" s="11" t="s">
        <v>259</v>
      </c>
      <c r="I5867" s="12">
        <v>6.0</v>
      </c>
      <c r="J5867" s="6" t="s">
        <v>178</v>
      </c>
    </row>
    <row r="5868" ht="22.5" customHeight="1">
      <c r="A5868" s="6" t="s">
        <v>22676</v>
      </c>
      <c r="B5868" s="6" t="s">
        <v>13306</v>
      </c>
      <c r="C5868" s="10">
        <v>46062.0</v>
      </c>
      <c r="D5868" s="6" t="s">
        <v>677</v>
      </c>
      <c r="E5868" s="6" t="s">
        <v>1273</v>
      </c>
      <c r="F5868" s="6" t="s">
        <v>112</v>
      </c>
      <c r="G5868" s="6" t="s">
        <v>458</v>
      </c>
      <c r="H5868" s="10">
        <v>46065.0</v>
      </c>
      <c r="I5868" s="12">
        <v>4.0</v>
      </c>
      <c r="J5868" s="6" t="s">
        <v>161</v>
      </c>
    </row>
    <row r="5869" ht="22.5" customHeight="1">
      <c r="A5869" s="6" t="s">
        <v>22677</v>
      </c>
      <c r="B5869" s="6" t="s">
        <v>13313</v>
      </c>
      <c r="C5869" s="10">
        <v>46066.0</v>
      </c>
      <c r="D5869" s="6" t="s">
        <v>677</v>
      </c>
      <c r="E5869" s="6" t="s">
        <v>833</v>
      </c>
      <c r="F5869" s="6" t="s">
        <v>439</v>
      </c>
      <c r="G5869" s="6" t="s">
        <v>452</v>
      </c>
      <c r="H5869" s="10">
        <v>46066.0</v>
      </c>
      <c r="I5869" s="12">
        <v>4.0</v>
      </c>
      <c r="J5869" s="6" t="s">
        <v>161</v>
      </c>
    </row>
    <row r="5870" ht="22.5" customHeight="1">
      <c r="A5870" s="6" t="s">
        <v>22678</v>
      </c>
      <c r="B5870" s="6" t="s">
        <v>13313</v>
      </c>
      <c r="C5870" s="10">
        <v>46081.0</v>
      </c>
      <c r="D5870" s="6" t="s">
        <v>391</v>
      </c>
      <c r="E5870" s="6" t="s">
        <v>798</v>
      </c>
      <c r="F5870" s="6" t="s">
        <v>112</v>
      </c>
      <c r="G5870" s="6" t="s">
        <v>254</v>
      </c>
      <c r="H5870" s="11" t="s">
        <v>259</v>
      </c>
      <c r="I5870" s="12">
        <v>9.0</v>
      </c>
      <c r="J5870" s="6" t="s">
        <v>161</v>
      </c>
    </row>
    <row r="5871" ht="22.5" customHeight="1">
      <c r="A5871" s="6" t="s">
        <v>22679</v>
      </c>
      <c r="B5871" s="6" t="s">
        <v>13313</v>
      </c>
      <c r="C5871" s="10">
        <v>46080.0</v>
      </c>
      <c r="D5871" s="6" t="s">
        <v>289</v>
      </c>
      <c r="E5871" s="6" t="s">
        <v>246</v>
      </c>
      <c r="F5871" s="6" t="s">
        <v>439</v>
      </c>
      <c r="G5871" s="6" t="s">
        <v>458</v>
      </c>
      <c r="H5871" s="11" t="s">
        <v>259</v>
      </c>
      <c r="I5871" s="12">
        <v>10.0</v>
      </c>
      <c r="J5871" s="6" t="s">
        <v>161</v>
      </c>
    </row>
    <row r="5872" ht="22.5" customHeight="1">
      <c r="A5872" s="6" t="s">
        <v>22680</v>
      </c>
      <c r="B5872" s="6" t="s">
        <v>13313</v>
      </c>
      <c r="C5872" s="10">
        <v>46076.0</v>
      </c>
      <c r="D5872" s="6" t="s">
        <v>416</v>
      </c>
      <c r="E5872" s="6" t="s">
        <v>896</v>
      </c>
      <c r="F5872" s="6" t="s">
        <v>439</v>
      </c>
      <c r="G5872" s="6" t="s">
        <v>458</v>
      </c>
      <c r="H5872" s="11" t="s">
        <v>259</v>
      </c>
      <c r="I5872" s="12">
        <v>8.0</v>
      </c>
      <c r="J5872" s="6" t="s">
        <v>161</v>
      </c>
    </row>
    <row r="5873" ht="22.5" customHeight="1">
      <c r="A5873" s="6" t="s">
        <v>22681</v>
      </c>
      <c r="B5873" s="6" t="s">
        <v>13320</v>
      </c>
      <c r="C5873" s="10">
        <v>46059.0</v>
      </c>
      <c r="D5873" s="6" t="s">
        <v>416</v>
      </c>
      <c r="E5873" s="6" t="s">
        <v>610</v>
      </c>
      <c r="F5873" s="6" t="s">
        <v>283</v>
      </c>
      <c r="G5873" s="6" t="s">
        <v>369</v>
      </c>
      <c r="H5873" s="10">
        <v>46066.0</v>
      </c>
      <c r="I5873" s="12">
        <v>10.0</v>
      </c>
      <c r="J5873" s="6" t="s">
        <v>161</v>
      </c>
    </row>
    <row r="5874" ht="22.5" customHeight="1">
      <c r="A5874" s="6" t="s">
        <v>22682</v>
      </c>
      <c r="B5874" s="6" t="s">
        <v>13320</v>
      </c>
      <c r="C5874" s="10">
        <v>46070.0</v>
      </c>
      <c r="D5874" s="6" t="s">
        <v>289</v>
      </c>
      <c r="E5874" s="6" t="s">
        <v>512</v>
      </c>
      <c r="F5874" s="6" t="s">
        <v>249</v>
      </c>
      <c r="G5874" s="6" t="s">
        <v>254</v>
      </c>
      <c r="H5874" s="10">
        <v>46072.0</v>
      </c>
      <c r="I5874" s="12">
        <v>6.0</v>
      </c>
      <c r="J5874" s="6" t="s">
        <v>161</v>
      </c>
    </row>
    <row r="5875" ht="22.5" customHeight="1">
      <c r="A5875" s="6" t="s">
        <v>22683</v>
      </c>
      <c r="B5875" s="6" t="s">
        <v>13320</v>
      </c>
      <c r="C5875" s="10">
        <v>46066.0</v>
      </c>
      <c r="D5875" s="6" t="s">
        <v>312</v>
      </c>
      <c r="E5875" s="6" t="s">
        <v>1296</v>
      </c>
      <c r="F5875" s="6" t="s">
        <v>283</v>
      </c>
      <c r="G5875" s="6" t="s">
        <v>297</v>
      </c>
      <c r="H5875" s="11" t="s">
        <v>259</v>
      </c>
      <c r="I5875" s="12">
        <v>5.0</v>
      </c>
      <c r="J5875" s="6" t="s">
        <v>161</v>
      </c>
    </row>
    <row r="5876" ht="22.5" customHeight="1">
      <c r="A5876" s="6" t="s">
        <v>22684</v>
      </c>
      <c r="B5876" s="6" t="s">
        <v>13327</v>
      </c>
      <c r="C5876" s="10">
        <v>46081.0</v>
      </c>
      <c r="D5876" s="6" t="s">
        <v>436</v>
      </c>
      <c r="E5876" s="6" t="s">
        <v>1517</v>
      </c>
      <c r="F5876" s="6" t="s">
        <v>112</v>
      </c>
      <c r="G5876" s="6" t="s">
        <v>369</v>
      </c>
      <c r="H5876" s="10">
        <v>46084.0</v>
      </c>
      <c r="I5876" s="12">
        <v>8.0</v>
      </c>
      <c r="J5876" s="6" t="s">
        <v>178</v>
      </c>
    </row>
    <row r="5877" ht="22.5" customHeight="1">
      <c r="A5877" s="6" t="s">
        <v>22685</v>
      </c>
      <c r="B5877" s="6" t="s">
        <v>13327</v>
      </c>
      <c r="C5877" s="10">
        <v>46080.0</v>
      </c>
      <c r="D5877" s="6" t="s">
        <v>436</v>
      </c>
      <c r="E5877" s="6" t="s">
        <v>512</v>
      </c>
      <c r="F5877" s="6" t="s">
        <v>249</v>
      </c>
      <c r="G5877" s="6" t="s">
        <v>297</v>
      </c>
      <c r="H5877" s="10">
        <v>46082.0</v>
      </c>
      <c r="I5877" s="12">
        <v>12.0</v>
      </c>
      <c r="J5877" s="6" t="s">
        <v>178</v>
      </c>
    </row>
    <row r="5878" ht="22.5" customHeight="1">
      <c r="A5878" s="6" t="s">
        <v>22686</v>
      </c>
      <c r="B5878" s="6" t="s">
        <v>13327</v>
      </c>
      <c r="C5878" s="10">
        <v>46066.0</v>
      </c>
      <c r="D5878" s="6" t="s">
        <v>289</v>
      </c>
      <c r="E5878" s="6" t="s">
        <v>634</v>
      </c>
      <c r="F5878" s="6" t="s">
        <v>439</v>
      </c>
      <c r="G5878" s="6" t="s">
        <v>452</v>
      </c>
      <c r="H5878" s="10">
        <v>46071.0</v>
      </c>
      <c r="I5878" s="12">
        <v>8.0</v>
      </c>
      <c r="J5878" s="6" t="s">
        <v>161</v>
      </c>
    </row>
    <row r="5879" ht="22.5" customHeight="1">
      <c r="A5879" s="6" t="s">
        <v>22687</v>
      </c>
      <c r="B5879" s="6" t="s">
        <v>13327</v>
      </c>
      <c r="C5879" s="10">
        <v>46078.0</v>
      </c>
      <c r="D5879" s="6" t="s">
        <v>242</v>
      </c>
      <c r="E5879" s="6" t="s">
        <v>634</v>
      </c>
      <c r="F5879" s="6" t="s">
        <v>112</v>
      </c>
      <c r="G5879" s="6" t="s">
        <v>452</v>
      </c>
      <c r="H5879" s="10">
        <v>46081.0</v>
      </c>
      <c r="I5879" s="12">
        <v>3.0</v>
      </c>
      <c r="J5879" s="6" t="s">
        <v>178</v>
      </c>
    </row>
    <row r="5880" ht="22.5" customHeight="1">
      <c r="A5880" s="6" t="s">
        <v>22688</v>
      </c>
      <c r="B5880" s="6" t="s">
        <v>13333</v>
      </c>
      <c r="C5880" s="10">
        <v>46045.0</v>
      </c>
      <c r="D5880" s="6" t="s">
        <v>416</v>
      </c>
      <c r="E5880" s="6" t="s">
        <v>1055</v>
      </c>
      <c r="F5880" s="6" t="s">
        <v>249</v>
      </c>
      <c r="G5880" s="6" t="s">
        <v>326</v>
      </c>
      <c r="H5880" s="10">
        <v>46052.0</v>
      </c>
      <c r="I5880" s="12">
        <v>9.0</v>
      </c>
      <c r="J5880" s="6" t="s">
        <v>161</v>
      </c>
    </row>
    <row r="5881" ht="22.5" customHeight="1">
      <c r="A5881" s="6" t="s">
        <v>22689</v>
      </c>
      <c r="B5881" s="6" t="s">
        <v>13333</v>
      </c>
      <c r="C5881" s="10">
        <v>46053.0</v>
      </c>
      <c r="D5881" s="6" t="s">
        <v>312</v>
      </c>
      <c r="E5881" s="6" t="s">
        <v>896</v>
      </c>
      <c r="F5881" s="6" t="s">
        <v>439</v>
      </c>
      <c r="G5881" s="6" t="s">
        <v>369</v>
      </c>
      <c r="H5881" s="10">
        <v>46055.0</v>
      </c>
      <c r="I5881" s="12">
        <v>4.0</v>
      </c>
      <c r="J5881" s="6" t="s">
        <v>161</v>
      </c>
    </row>
    <row r="5882" ht="22.5" customHeight="1">
      <c r="A5882" s="6" t="s">
        <v>22690</v>
      </c>
      <c r="B5882" s="6" t="s">
        <v>13333</v>
      </c>
      <c r="C5882" s="10">
        <v>46043.0</v>
      </c>
      <c r="D5882" s="6" t="s">
        <v>312</v>
      </c>
      <c r="E5882" s="6" t="s">
        <v>658</v>
      </c>
      <c r="F5882" s="6" t="s">
        <v>283</v>
      </c>
      <c r="G5882" s="6" t="s">
        <v>458</v>
      </c>
      <c r="H5882" s="10">
        <v>46047.0</v>
      </c>
      <c r="I5882" s="12">
        <v>7.0</v>
      </c>
      <c r="J5882" s="6" t="s">
        <v>161</v>
      </c>
    </row>
    <row r="5883" ht="22.5" customHeight="1">
      <c r="A5883" s="6" t="s">
        <v>22691</v>
      </c>
      <c r="B5883" s="6" t="s">
        <v>13333</v>
      </c>
      <c r="C5883" s="10">
        <v>46058.0</v>
      </c>
      <c r="D5883" s="6" t="s">
        <v>242</v>
      </c>
      <c r="E5883" s="6" t="s">
        <v>2365</v>
      </c>
      <c r="F5883" s="6" t="s">
        <v>249</v>
      </c>
      <c r="G5883" s="6" t="s">
        <v>452</v>
      </c>
      <c r="H5883" s="10">
        <v>46063.0</v>
      </c>
      <c r="I5883" s="12">
        <v>3.0</v>
      </c>
      <c r="J5883" s="6" t="s">
        <v>178</v>
      </c>
    </row>
    <row r="5884" ht="22.5" customHeight="1">
      <c r="A5884" s="6" t="s">
        <v>22692</v>
      </c>
      <c r="B5884" s="6" t="s">
        <v>13339</v>
      </c>
      <c r="C5884" s="10">
        <v>46044.0</v>
      </c>
      <c r="D5884" s="6" t="s">
        <v>391</v>
      </c>
      <c r="E5884" s="6" t="s">
        <v>670</v>
      </c>
      <c r="F5884" s="6" t="s">
        <v>439</v>
      </c>
      <c r="G5884" s="6" t="s">
        <v>494</v>
      </c>
      <c r="H5884" s="10">
        <v>46050.0</v>
      </c>
      <c r="I5884" s="12">
        <v>11.0</v>
      </c>
      <c r="J5884" s="6" t="s">
        <v>161</v>
      </c>
    </row>
    <row r="5885" ht="22.5" customHeight="1">
      <c r="A5885" s="6" t="s">
        <v>22693</v>
      </c>
      <c r="B5885" s="6" t="s">
        <v>13339</v>
      </c>
      <c r="C5885" s="10">
        <v>46057.0</v>
      </c>
      <c r="D5885" s="6" t="s">
        <v>312</v>
      </c>
      <c r="E5885" s="6" t="s">
        <v>394</v>
      </c>
      <c r="F5885" s="6" t="s">
        <v>249</v>
      </c>
      <c r="G5885" s="6" t="s">
        <v>477</v>
      </c>
      <c r="H5885" s="11" t="s">
        <v>259</v>
      </c>
      <c r="I5885" s="12">
        <v>7.0</v>
      </c>
      <c r="J5885" s="6" t="s">
        <v>161</v>
      </c>
    </row>
    <row r="5886" ht="22.5" customHeight="1">
      <c r="A5886" s="6" t="s">
        <v>22694</v>
      </c>
      <c r="B5886" s="6" t="s">
        <v>13346</v>
      </c>
      <c r="C5886" s="10">
        <v>46069.0</v>
      </c>
      <c r="D5886" s="6" t="s">
        <v>436</v>
      </c>
      <c r="E5886" s="6" t="s">
        <v>1296</v>
      </c>
      <c r="F5886" s="6" t="s">
        <v>112</v>
      </c>
      <c r="G5886" s="6" t="s">
        <v>297</v>
      </c>
      <c r="H5886" s="10">
        <v>46075.0</v>
      </c>
      <c r="I5886" s="12">
        <v>12.0</v>
      </c>
      <c r="J5886" s="6" t="s">
        <v>178</v>
      </c>
    </row>
    <row r="5887" ht="22.5" customHeight="1">
      <c r="A5887" s="6" t="s">
        <v>22695</v>
      </c>
      <c r="B5887" s="6" t="s">
        <v>13346</v>
      </c>
      <c r="C5887" s="10">
        <v>46076.0</v>
      </c>
      <c r="D5887" s="6" t="s">
        <v>242</v>
      </c>
      <c r="E5887" s="6" t="s">
        <v>1386</v>
      </c>
      <c r="F5887" s="6" t="s">
        <v>249</v>
      </c>
      <c r="G5887" s="6" t="s">
        <v>297</v>
      </c>
      <c r="H5887" s="10">
        <v>46079.0</v>
      </c>
      <c r="I5887" s="12">
        <v>3.0</v>
      </c>
      <c r="J5887" s="6" t="s">
        <v>161</v>
      </c>
    </row>
    <row r="5888" ht="22.5" customHeight="1">
      <c r="A5888" s="6" t="s">
        <v>22696</v>
      </c>
      <c r="B5888" s="6" t="s">
        <v>13346</v>
      </c>
      <c r="C5888" s="10">
        <v>46070.0</v>
      </c>
      <c r="D5888" s="6" t="s">
        <v>416</v>
      </c>
      <c r="E5888" s="6" t="s">
        <v>634</v>
      </c>
      <c r="F5888" s="6" t="s">
        <v>249</v>
      </c>
      <c r="G5888" s="6" t="s">
        <v>458</v>
      </c>
      <c r="H5888" s="10">
        <v>46070.0</v>
      </c>
      <c r="I5888" s="12">
        <v>10.0</v>
      </c>
      <c r="J5888" s="6" t="s">
        <v>161</v>
      </c>
    </row>
    <row r="5889" ht="22.5" customHeight="1">
      <c r="A5889" s="6" t="s">
        <v>22697</v>
      </c>
      <c r="B5889" s="6" t="s">
        <v>13346</v>
      </c>
      <c r="C5889" s="10">
        <v>46060.0</v>
      </c>
      <c r="D5889" s="6" t="s">
        <v>391</v>
      </c>
      <c r="E5889" s="6" t="s">
        <v>583</v>
      </c>
      <c r="F5889" s="6" t="s">
        <v>112</v>
      </c>
      <c r="G5889" s="6" t="s">
        <v>326</v>
      </c>
      <c r="H5889" s="11" t="s">
        <v>259</v>
      </c>
      <c r="I5889" s="12">
        <v>7.0</v>
      </c>
      <c r="J5889" s="6" t="s">
        <v>161</v>
      </c>
    </row>
    <row r="5890" ht="22.5" customHeight="1">
      <c r="A5890" s="6" t="s">
        <v>22698</v>
      </c>
      <c r="B5890" s="6" t="s">
        <v>13352</v>
      </c>
      <c r="C5890" s="10">
        <v>46056.0</v>
      </c>
      <c r="D5890" s="6" t="s">
        <v>391</v>
      </c>
      <c r="E5890" s="6" t="s">
        <v>1102</v>
      </c>
      <c r="F5890" s="6" t="s">
        <v>439</v>
      </c>
      <c r="G5890" s="6" t="s">
        <v>452</v>
      </c>
      <c r="H5890" s="10">
        <v>46061.0</v>
      </c>
      <c r="I5890" s="12">
        <v>8.0</v>
      </c>
      <c r="J5890" s="6" t="s">
        <v>161</v>
      </c>
    </row>
    <row r="5891" ht="22.5" customHeight="1">
      <c r="A5891" s="6" t="s">
        <v>22699</v>
      </c>
      <c r="B5891" s="6" t="s">
        <v>13352</v>
      </c>
      <c r="C5891" s="10">
        <v>46048.0</v>
      </c>
      <c r="D5891" s="6" t="s">
        <v>416</v>
      </c>
      <c r="E5891" s="6" t="s">
        <v>658</v>
      </c>
      <c r="F5891" s="6" t="s">
        <v>112</v>
      </c>
      <c r="G5891" s="6" t="s">
        <v>326</v>
      </c>
      <c r="H5891" s="10">
        <v>46049.0</v>
      </c>
      <c r="I5891" s="12">
        <v>13.0</v>
      </c>
      <c r="J5891" s="6" t="s">
        <v>161</v>
      </c>
    </row>
    <row r="5892" ht="22.5" customHeight="1">
      <c r="A5892" s="6" t="s">
        <v>22700</v>
      </c>
      <c r="B5892" s="6" t="s">
        <v>13352</v>
      </c>
      <c r="C5892" s="10">
        <v>46063.0</v>
      </c>
      <c r="D5892" s="6" t="s">
        <v>312</v>
      </c>
      <c r="E5892" s="6" t="s">
        <v>738</v>
      </c>
      <c r="F5892" s="6" t="s">
        <v>439</v>
      </c>
      <c r="G5892" s="6" t="s">
        <v>458</v>
      </c>
      <c r="H5892" s="10">
        <v>46064.0</v>
      </c>
      <c r="I5892" s="12">
        <v>7.0</v>
      </c>
      <c r="J5892" s="6" t="s">
        <v>161</v>
      </c>
    </row>
    <row r="5893" ht="22.5" customHeight="1">
      <c r="A5893" s="6" t="s">
        <v>22701</v>
      </c>
      <c r="B5893" s="6" t="s">
        <v>13352</v>
      </c>
      <c r="C5893" s="10">
        <v>46054.0</v>
      </c>
      <c r="D5893" s="6" t="s">
        <v>677</v>
      </c>
      <c r="E5893" s="6" t="s">
        <v>885</v>
      </c>
      <c r="F5893" s="6" t="s">
        <v>439</v>
      </c>
      <c r="G5893" s="6" t="s">
        <v>369</v>
      </c>
      <c r="H5893" s="11" t="s">
        <v>259</v>
      </c>
      <c r="I5893" s="12">
        <v>4.0</v>
      </c>
      <c r="J5893" s="6" t="s">
        <v>161</v>
      </c>
    </row>
    <row r="5894" ht="22.5" customHeight="1">
      <c r="A5894" s="6" t="s">
        <v>22702</v>
      </c>
      <c r="B5894" s="6" t="s">
        <v>13352</v>
      </c>
      <c r="C5894" s="10">
        <v>46049.0</v>
      </c>
      <c r="D5894" s="6" t="s">
        <v>416</v>
      </c>
      <c r="E5894" s="6" t="s">
        <v>1741</v>
      </c>
      <c r="F5894" s="6" t="s">
        <v>112</v>
      </c>
      <c r="G5894" s="6" t="s">
        <v>477</v>
      </c>
      <c r="H5894" s="10">
        <v>46053.0</v>
      </c>
      <c r="I5894" s="12">
        <v>9.0</v>
      </c>
      <c r="J5894" s="6" t="s">
        <v>161</v>
      </c>
    </row>
    <row r="5895" ht="22.5" customHeight="1">
      <c r="A5895" s="6" t="s">
        <v>22703</v>
      </c>
      <c r="B5895" s="6" t="s">
        <v>13359</v>
      </c>
      <c r="C5895" s="10">
        <v>46051.0</v>
      </c>
      <c r="D5895" s="6" t="s">
        <v>391</v>
      </c>
      <c r="E5895" s="6" t="s">
        <v>1102</v>
      </c>
      <c r="F5895" s="6" t="s">
        <v>249</v>
      </c>
      <c r="G5895" s="6" t="s">
        <v>297</v>
      </c>
      <c r="H5895" s="10">
        <v>46058.0</v>
      </c>
      <c r="I5895" s="12">
        <v>8.0</v>
      </c>
      <c r="J5895" s="6" t="s">
        <v>161</v>
      </c>
    </row>
    <row r="5896" ht="22.5" customHeight="1">
      <c r="A5896" s="6" t="s">
        <v>22704</v>
      </c>
      <c r="B5896" s="6" t="s">
        <v>13365</v>
      </c>
      <c r="C5896" s="10">
        <v>46078.0</v>
      </c>
      <c r="D5896" s="6" t="s">
        <v>416</v>
      </c>
      <c r="E5896" s="6" t="s">
        <v>1310</v>
      </c>
      <c r="F5896" s="6" t="s">
        <v>283</v>
      </c>
      <c r="G5896" s="6" t="s">
        <v>369</v>
      </c>
      <c r="H5896" s="10">
        <v>46085.0</v>
      </c>
      <c r="I5896" s="12">
        <v>12.0</v>
      </c>
      <c r="J5896" s="6" t="s">
        <v>161</v>
      </c>
    </row>
    <row r="5897" ht="22.5" customHeight="1">
      <c r="A5897" s="6" t="s">
        <v>22705</v>
      </c>
      <c r="B5897" s="6" t="s">
        <v>13365</v>
      </c>
      <c r="C5897" s="10">
        <v>46058.0</v>
      </c>
      <c r="D5897" s="6" t="s">
        <v>416</v>
      </c>
      <c r="E5897" s="6" t="s">
        <v>731</v>
      </c>
      <c r="F5897" s="6" t="s">
        <v>112</v>
      </c>
      <c r="G5897" s="6" t="s">
        <v>452</v>
      </c>
      <c r="H5897" s="10">
        <v>46065.0</v>
      </c>
      <c r="I5897" s="12">
        <v>9.0</v>
      </c>
      <c r="J5897" s="6" t="s">
        <v>161</v>
      </c>
    </row>
    <row r="5898" ht="22.5" customHeight="1">
      <c r="A5898" s="6" t="s">
        <v>22706</v>
      </c>
      <c r="B5898" s="6" t="s">
        <v>13365</v>
      </c>
      <c r="C5898" s="10">
        <v>46061.0</v>
      </c>
      <c r="D5898" s="6" t="s">
        <v>416</v>
      </c>
      <c r="E5898" s="6" t="s">
        <v>1122</v>
      </c>
      <c r="F5898" s="6" t="s">
        <v>439</v>
      </c>
      <c r="G5898" s="6" t="s">
        <v>297</v>
      </c>
      <c r="H5898" s="10">
        <v>46066.0</v>
      </c>
      <c r="I5898" s="12">
        <v>8.0</v>
      </c>
      <c r="J5898" s="6" t="s">
        <v>161</v>
      </c>
    </row>
    <row r="5899" ht="22.5" customHeight="1">
      <c r="A5899" s="6" t="s">
        <v>22707</v>
      </c>
      <c r="B5899" s="6" t="s">
        <v>13365</v>
      </c>
      <c r="C5899" s="10">
        <v>46066.0</v>
      </c>
      <c r="D5899" s="6" t="s">
        <v>391</v>
      </c>
      <c r="E5899" s="6" t="s">
        <v>1273</v>
      </c>
      <c r="F5899" s="6" t="s">
        <v>439</v>
      </c>
      <c r="G5899" s="6" t="s">
        <v>477</v>
      </c>
      <c r="H5899" s="10">
        <v>46072.0</v>
      </c>
      <c r="I5899" s="12">
        <v>6.0</v>
      </c>
      <c r="J5899" s="6" t="s">
        <v>161</v>
      </c>
    </row>
    <row r="5900" ht="22.5" customHeight="1">
      <c r="A5900" s="6" t="s">
        <v>22708</v>
      </c>
      <c r="B5900" s="6" t="s">
        <v>13371</v>
      </c>
      <c r="C5900" s="10">
        <v>46048.0</v>
      </c>
      <c r="D5900" s="6" t="s">
        <v>312</v>
      </c>
      <c r="E5900" s="6" t="s">
        <v>1273</v>
      </c>
      <c r="F5900" s="6" t="s">
        <v>283</v>
      </c>
      <c r="G5900" s="6" t="s">
        <v>369</v>
      </c>
      <c r="H5900" s="10">
        <v>46049.0</v>
      </c>
      <c r="I5900" s="12">
        <v>4.0</v>
      </c>
      <c r="J5900" s="6" t="s">
        <v>161</v>
      </c>
    </row>
    <row r="5901" ht="22.5" customHeight="1">
      <c r="A5901" s="6" t="s">
        <v>22709</v>
      </c>
      <c r="B5901" s="6" t="s">
        <v>13371</v>
      </c>
      <c r="C5901" s="10">
        <v>46060.0</v>
      </c>
      <c r="D5901" s="6" t="s">
        <v>242</v>
      </c>
      <c r="E5901" s="6" t="s">
        <v>670</v>
      </c>
      <c r="F5901" s="6" t="s">
        <v>112</v>
      </c>
      <c r="G5901" s="6" t="s">
        <v>477</v>
      </c>
      <c r="H5901" s="10">
        <v>46060.0</v>
      </c>
      <c r="I5901" s="12">
        <v>6.0</v>
      </c>
      <c r="J5901" s="6" t="s">
        <v>178</v>
      </c>
    </row>
    <row r="5902" ht="22.5" customHeight="1">
      <c r="A5902" s="6" t="s">
        <v>22710</v>
      </c>
      <c r="B5902" s="6" t="s">
        <v>13371</v>
      </c>
      <c r="C5902" s="10">
        <v>46061.0</v>
      </c>
      <c r="D5902" s="6" t="s">
        <v>391</v>
      </c>
      <c r="E5902" s="6" t="s">
        <v>610</v>
      </c>
      <c r="F5902" s="6" t="s">
        <v>439</v>
      </c>
      <c r="G5902" s="6" t="s">
        <v>458</v>
      </c>
      <c r="H5902" s="10">
        <v>46066.0</v>
      </c>
      <c r="I5902" s="12">
        <v>8.0</v>
      </c>
      <c r="J5902" s="6" t="s">
        <v>161</v>
      </c>
    </row>
    <row r="5903" ht="22.5" customHeight="1">
      <c r="A5903" s="6" t="s">
        <v>22711</v>
      </c>
      <c r="B5903" s="6" t="s">
        <v>13378</v>
      </c>
      <c r="C5903" s="10">
        <v>46048.0</v>
      </c>
      <c r="D5903" s="6" t="s">
        <v>416</v>
      </c>
      <c r="E5903" s="6" t="s">
        <v>634</v>
      </c>
      <c r="F5903" s="6" t="s">
        <v>439</v>
      </c>
      <c r="G5903" s="6" t="s">
        <v>326</v>
      </c>
      <c r="H5903" s="10">
        <v>46054.0</v>
      </c>
      <c r="I5903" s="12">
        <v>10.0</v>
      </c>
      <c r="J5903" s="6" t="s">
        <v>161</v>
      </c>
    </row>
    <row r="5904" ht="22.5" customHeight="1">
      <c r="A5904" s="6" t="s">
        <v>22712</v>
      </c>
      <c r="B5904" s="6" t="s">
        <v>13378</v>
      </c>
      <c r="C5904" s="10">
        <v>46055.0</v>
      </c>
      <c r="D5904" s="6" t="s">
        <v>289</v>
      </c>
      <c r="E5904" s="6" t="s">
        <v>1241</v>
      </c>
      <c r="F5904" s="6" t="s">
        <v>283</v>
      </c>
      <c r="G5904" s="6" t="s">
        <v>254</v>
      </c>
      <c r="H5904" s="10">
        <v>46057.0</v>
      </c>
      <c r="I5904" s="12">
        <v>7.0</v>
      </c>
      <c r="J5904" s="6" t="s">
        <v>161</v>
      </c>
    </row>
    <row r="5905" ht="22.5" customHeight="1">
      <c r="A5905" s="6" t="s">
        <v>22713</v>
      </c>
      <c r="B5905" s="6" t="s">
        <v>13378</v>
      </c>
      <c r="C5905" s="10">
        <v>46040.0</v>
      </c>
      <c r="D5905" s="6" t="s">
        <v>242</v>
      </c>
      <c r="E5905" s="6" t="s">
        <v>787</v>
      </c>
      <c r="F5905" s="6" t="s">
        <v>249</v>
      </c>
      <c r="G5905" s="6" t="s">
        <v>254</v>
      </c>
      <c r="H5905" s="10">
        <v>46041.0</v>
      </c>
      <c r="I5905" s="12">
        <v>5.0</v>
      </c>
      <c r="J5905" s="6" t="s">
        <v>178</v>
      </c>
    </row>
    <row r="5906" ht="22.5" customHeight="1">
      <c r="A5906" s="6" t="s">
        <v>22714</v>
      </c>
      <c r="B5906" s="6" t="s">
        <v>13378</v>
      </c>
      <c r="C5906" s="10">
        <v>46045.0</v>
      </c>
      <c r="D5906" s="6" t="s">
        <v>436</v>
      </c>
      <c r="E5906" s="6" t="s">
        <v>716</v>
      </c>
      <c r="F5906" s="6" t="s">
        <v>283</v>
      </c>
      <c r="G5906" s="6" t="s">
        <v>369</v>
      </c>
      <c r="H5906" s="10">
        <v>46052.0</v>
      </c>
      <c r="I5906" s="12">
        <v>7.0</v>
      </c>
      <c r="J5906" s="6" t="s">
        <v>178</v>
      </c>
    </row>
    <row r="5907" ht="22.5" customHeight="1">
      <c r="A5907" s="6" t="s">
        <v>22715</v>
      </c>
      <c r="B5907" s="6" t="s">
        <v>13378</v>
      </c>
      <c r="C5907" s="10">
        <v>46046.0</v>
      </c>
      <c r="D5907" s="6" t="s">
        <v>436</v>
      </c>
      <c r="E5907" s="6" t="s">
        <v>658</v>
      </c>
      <c r="F5907" s="6" t="s">
        <v>283</v>
      </c>
      <c r="G5907" s="6" t="s">
        <v>326</v>
      </c>
      <c r="H5907" s="10">
        <v>46048.0</v>
      </c>
      <c r="I5907" s="12">
        <v>9.0</v>
      </c>
      <c r="J5907" s="6" t="s">
        <v>178</v>
      </c>
    </row>
    <row r="5908" ht="22.5" customHeight="1">
      <c r="A5908" s="6" t="s">
        <v>22716</v>
      </c>
      <c r="B5908" s="6" t="s">
        <v>13384</v>
      </c>
      <c r="C5908" s="10">
        <v>46061.0</v>
      </c>
      <c r="D5908" s="6" t="s">
        <v>677</v>
      </c>
      <c r="E5908" s="6" t="s">
        <v>833</v>
      </c>
      <c r="F5908" s="6" t="s">
        <v>112</v>
      </c>
      <c r="G5908" s="6" t="s">
        <v>458</v>
      </c>
      <c r="H5908" s="11" t="s">
        <v>259</v>
      </c>
      <c r="I5908" s="12">
        <v>4.0</v>
      </c>
      <c r="J5908" s="6" t="s">
        <v>161</v>
      </c>
    </row>
    <row r="5909" ht="22.5" customHeight="1">
      <c r="A5909" s="6" t="s">
        <v>22717</v>
      </c>
      <c r="B5909" s="6" t="s">
        <v>13391</v>
      </c>
      <c r="C5909" s="10">
        <v>46056.0</v>
      </c>
      <c r="D5909" s="6" t="s">
        <v>416</v>
      </c>
      <c r="E5909" s="6" t="s">
        <v>634</v>
      </c>
      <c r="F5909" s="6" t="s">
        <v>439</v>
      </c>
      <c r="G5909" s="6" t="s">
        <v>254</v>
      </c>
      <c r="H5909" s="10">
        <v>46056.0</v>
      </c>
      <c r="I5909" s="12">
        <v>8.0</v>
      </c>
      <c r="J5909" s="6" t="s">
        <v>161</v>
      </c>
    </row>
    <row r="5910" ht="22.5" customHeight="1">
      <c r="A5910" s="6" t="s">
        <v>22718</v>
      </c>
      <c r="B5910" s="6" t="s">
        <v>13391</v>
      </c>
      <c r="C5910" s="10">
        <v>46065.0</v>
      </c>
      <c r="D5910" s="6" t="s">
        <v>312</v>
      </c>
      <c r="E5910" s="6" t="s">
        <v>450</v>
      </c>
      <c r="F5910" s="6" t="s">
        <v>283</v>
      </c>
      <c r="G5910" s="6" t="s">
        <v>326</v>
      </c>
      <c r="H5910" s="11" t="s">
        <v>259</v>
      </c>
      <c r="I5910" s="12">
        <v>7.0</v>
      </c>
      <c r="J5910" s="6" t="s">
        <v>161</v>
      </c>
    </row>
    <row r="5911" ht="22.5" customHeight="1">
      <c r="A5911" s="6" t="s">
        <v>22719</v>
      </c>
      <c r="B5911" s="6" t="s">
        <v>13391</v>
      </c>
      <c r="C5911" s="10">
        <v>46065.0</v>
      </c>
      <c r="D5911" s="6" t="s">
        <v>391</v>
      </c>
      <c r="E5911" s="6" t="s">
        <v>610</v>
      </c>
      <c r="F5911" s="6" t="s">
        <v>439</v>
      </c>
      <c r="G5911" s="6" t="s">
        <v>369</v>
      </c>
      <c r="H5911" s="10">
        <v>46069.0</v>
      </c>
      <c r="I5911" s="12">
        <v>8.0</v>
      </c>
      <c r="J5911" s="6" t="s">
        <v>161</v>
      </c>
    </row>
    <row r="5912" ht="22.5" customHeight="1">
      <c r="A5912" s="6" t="s">
        <v>22720</v>
      </c>
      <c r="B5912" s="6" t="s">
        <v>13391</v>
      </c>
      <c r="C5912" s="10">
        <v>46067.0</v>
      </c>
      <c r="D5912" s="6" t="s">
        <v>289</v>
      </c>
      <c r="E5912" s="6" t="s">
        <v>695</v>
      </c>
      <c r="F5912" s="6" t="s">
        <v>249</v>
      </c>
      <c r="G5912" s="6" t="s">
        <v>369</v>
      </c>
      <c r="H5912" s="11" t="s">
        <v>259</v>
      </c>
      <c r="I5912" s="12">
        <v>8.0</v>
      </c>
      <c r="J5912" s="6" t="s">
        <v>161</v>
      </c>
    </row>
    <row r="5913" ht="22.5" customHeight="1">
      <c r="A5913" s="6" t="s">
        <v>22721</v>
      </c>
      <c r="B5913" s="6" t="s">
        <v>13391</v>
      </c>
      <c r="C5913" s="10">
        <v>46066.0</v>
      </c>
      <c r="D5913" s="6" t="s">
        <v>391</v>
      </c>
      <c r="E5913" s="6" t="s">
        <v>1035</v>
      </c>
      <c r="F5913" s="6" t="s">
        <v>112</v>
      </c>
      <c r="G5913" s="6" t="s">
        <v>477</v>
      </c>
      <c r="H5913" s="10">
        <v>46070.0</v>
      </c>
      <c r="I5913" s="12">
        <v>8.0</v>
      </c>
      <c r="J5913" s="6" t="s">
        <v>161</v>
      </c>
    </row>
    <row r="5914" ht="22.5" customHeight="1">
      <c r="A5914" s="6" t="s">
        <v>22722</v>
      </c>
      <c r="B5914" s="6" t="s">
        <v>13397</v>
      </c>
      <c r="C5914" s="10">
        <v>46067.0</v>
      </c>
      <c r="D5914" s="6" t="s">
        <v>391</v>
      </c>
      <c r="E5914" s="6" t="s">
        <v>628</v>
      </c>
      <c r="F5914" s="6" t="s">
        <v>249</v>
      </c>
      <c r="G5914" s="6" t="s">
        <v>458</v>
      </c>
      <c r="H5914" s="10">
        <v>46071.0</v>
      </c>
      <c r="I5914" s="12">
        <v>9.0</v>
      </c>
      <c r="J5914" s="6" t="s">
        <v>161</v>
      </c>
    </row>
    <row r="5915" ht="22.5" customHeight="1">
      <c r="A5915" s="6" t="s">
        <v>22723</v>
      </c>
      <c r="B5915" s="6" t="s">
        <v>13397</v>
      </c>
      <c r="C5915" s="10">
        <v>46064.0</v>
      </c>
      <c r="D5915" s="6" t="s">
        <v>312</v>
      </c>
      <c r="E5915" s="6" t="s">
        <v>291</v>
      </c>
      <c r="F5915" s="6" t="s">
        <v>112</v>
      </c>
      <c r="G5915" s="6" t="s">
        <v>494</v>
      </c>
      <c r="H5915" s="10">
        <v>46066.0</v>
      </c>
      <c r="I5915" s="12">
        <v>7.0</v>
      </c>
      <c r="J5915" s="6" t="s">
        <v>161</v>
      </c>
    </row>
    <row r="5916" ht="22.5" customHeight="1">
      <c r="A5916" s="6" t="s">
        <v>22724</v>
      </c>
      <c r="B5916" s="6" t="s">
        <v>13404</v>
      </c>
      <c r="C5916" s="10">
        <v>46044.0</v>
      </c>
      <c r="D5916" s="6" t="s">
        <v>436</v>
      </c>
      <c r="E5916" s="6" t="s">
        <v>1273</v>
      </c>
      <c r="F5916" s="6" t="s">
        <v>249</v>
      </c>
      <c r="G5916" s="6" t="s">
        <v>297</v>
      </c>
      <c r="H5916" s="10">
        <v>46047.0</v>
      </c>
      <c r="I5916" s="12">
        <v>12.0</v>
      </c>
      <c r="J5916" s="6" t="s">
        <v>161</v>
      </c>
    </row>
    <row r="5917" ht="22.5" customHeight="1">
      <c r="A5917" s="6" t="s">
        <v>22725</v>
      </c>
      <c r="B5917" s="6" t="s">
        <v>13404</v>
      </c>
      <c r="C5917" s="10">
        <v>46035.0</v>
      </c>
      <c r="D5917" s="6" t="s">
        <v>677</v>
      </c>
      <c r="E5917" s="6" t="s">
        <v>738</v>
      </c>
      <c r="F5917" s="6" t="s">
        <v>283</v>
      </c>
      <c r="G5917" s="6" t="s">
        <v>452</v>
      </c>
      <c r="H5917" s="10">
        <v>46035.0</v>
      </c>
      <c r="I5917" s="12">
        <v>3.0</v>
      </c>
      <c r="J5917" s="6" t="s">
        <v>161</v>
      </c>
    </row>
    <row r="5918" ht="22.5" customHeight="1">
      <c r="A5918" s="6" t="s">
        <v>22726</v>
      </c>
      <c r="B5918" s="6" t="s">
        <v>13404</v>
      </c>
      <c r="C5918" s="10">
        <v>46041.0</v>
      </c>
      <c r="D5918" s="6" t="s">
        <v>677</v>
      </c>
      <c r="E5918" s="6" t="s">
        <v>628</v>
      </c>
      <c r="F5918" s="6" t="s">
        <v>283</v>
      </c>
      <c r="G5918" s="6" t="s">
        <v>254</v>
      </c>
      <c r="H5918" s="10">
        <v>46046.0</v>
      </c>
      <c r="I5918" s="12">
        <v>3.0</v>
      </c>
      <c r="J5918" s="6" t="s">
        <v>161</v>
      </c>
    </row>
    <row r="5919" ht="22.5" customHeight="1">
      <c r="A5919" s="6" t="s">
        <v>22727</v>
      </c>
      <c r="B5919" s="6" t="s">
        <v>13404</v>
      </c>
      <c r="C5919" s="10">
        <v>46032.0</v>
      </c>
      <c r="D5919" s="6" t="s">
        <v>677</v>
      </c>
      <c r="E5919" s="6" t="s">
        <v>833</v>
      </c>
      <c r="F5919" s="6" t="s">
        <v>112</v>
      </c>
      <c r="G5919" s="6" t="s">
        <v>254</v>
      </c>
      <c r="H5919" s="10">
        <v>46036.0</v>
      </c>
      <c r="I5919" s="12">
        <v>3.0</v>
      </c>
      <c r="J5919" s="6" t="s">
        <v>161</v>
      </c>
    </row>
    <row r="5920" ht="22.5" customHeight="1">
      <c r="A5920" s="6" t="s">
        <v>22728</v>
      </c>
      <c r="B5920" s="6" t="s">
        <v>13410</v>
      </c>
      <c r="C5920" s="10">
        <v>46064.0</v>
      </c>
      <c r="D5920" s="6" t="s">
        <v>436</v>
      </c>
      <c r="E5920" s="6" t="s">
        <v>1517</v>
      </c>
      <c r="F5920" s="6" t="s">
        <v>439</v>
      </c>
      <c r="G5920" s="6" t="s">
        <v>254</v>
      </c>
      <c r="H5920" s="10">
        <v>46071.0</v>
      </c>
      <c r="I5920" s="12">
        <v>8.0</v>
      </c>
      <c r="J5920" s="6" t="s">
        <v>161</v>
      </c>
    </row>
    <row r="5921" ht="22.5" customHeight="1">
      <c r="A5921" s="6" t="s">
        <v>22729</v>
      </c>
      <c r="B5921" s="6" t="s">
        <v>13410</v>
      </c>
      <c r="C5921" s="10">
        <v>46063.0</v>
      </c>
      <c r="D5921" s="6" t="s">
        <v>391</v>
      </c>
      <c r="E5921" s="6" t="s">
        <v>417</v>
      </c>
      <c r="F5921" s="6" t="s">
        <v>439</v>
      </c>
      <c r="G5921" s="6" t="s">
        <v>326</v>
      </c>
      <c r="H5921" s="10">
        <v>46069.0</v>
      </c>
      <c r="I5921" s="12">
        <v>10.0</v>
      </c>
      <c r="J5921" s="6" t="s">
        <v>161</v>
      </c>
    </row>
    <row r="5922" ht="22.5" customHeight="1">
      <c r="A5922" s="6" t="s">
        <v>22730</v>
      </c>
      <c r="B5922" s="6" t="s">
        <v>13410</v>
      </c>
      <c r="C5922" s="10">
        <v>46047.0</v>
      </c>
      <c r="D5922" s="6" t="s">
        <v>436</v>
      </c>
      <c r="E5922" s="6" t="s">
        <v>833</v>
      </c>
      <c r="F5922" s="6" t="s">
        <v>439</v>
      </c>
      <c r="G5922" s="6" t="s">
        <v>326</v>
      </c>
      <c r="H5922" s="10">
        <v>46052.0</v>
      </c>
      <c r="I5922" s="12">
        <v>7.0</v>
      </c>
      <c r="J5922" s="6" t="s">
        <v>178</v>
      </c>
    </row>
    <row r="5923" ht="22.5" customHeight="1">
      <c r="A5923" s="6" t="s">
        <v>22731</v>
      </c>
      <c r="B5923" s="6" t="s">
        <v>13410</v>
      </c>
      <c r="C5923" s="10">
        <v>46059.0</v>
      </c>
      <c r="D5923" s="6" t="s">
        <v>312</v>
      </c>
      <c r="E5923" s="6" t="s">
        <v>1600</v>
      </c>
      <c r="F5923" s="6" t="s">
        <v>283</v>
      </c>
      <c r="G5923" s="6" t="s">
        <v>326</v>
      </c>
      <c r="H5923" s="10">
        <v>46063.0</v>
      </c>
      <c r="I5923" s="12">
        <v>5.0</v>
      </c>
      <c r="J5923" s="6" t="s">
        <v>161</v>
      </c>
    </row>
    <row r="5924" ht="22.5" customHeight="1">
      <c r="A5924" s="6" t="s">
        <v>22732</v>
      </c>
      <c r="B5924" s="6" t="s">
        <v>13417</v>
      </c>
      <c r="C5924" s="10">
        <v>46026.0</v>
      </c>
      <c r="D5924" s="6" t="s">
        <v>391</v>
      </c>
      <c r="E5924" s="6" t="s">
        <v>896</v>
      </c>
      <c r="F5924" s="6" t="s">
        <v>283</v>
      </c>
      <c r="G5924" s="6" t="s">
        <v>458</v>
      </c>
      <c r="H5924" s="10">
        <v>46029.0</v>
      </c>
      <c r="I5924" s="12">
        <v>6.0</v>
      </c>
      <c r="J5924" s="6" t="s">
        <v>161</v>
      </c>
    </row>
    <row r="5925" ht="22.5" customHeight="1">
      <c r="A5925" s="6" t="s">
        <v>22733</v>
      </c>
      <c r="B5925" s="6" t="s">
        <v>13417</v>
      </c>
      <c r="C5925" s="10">
        <v>46026.0</v>
      </c>
      <c r="D5925" s="6" t="s">
        <v>289</v>
      </c>
      <c r="E5925" s="6" t="s">
        <v>291</v>
      </c>
      <c r="F5925" s="6" t="s">
        <v>112</v>
      </c>
      <c r="G5925" s="6" t="s">
        <v>458</v>
      </c>
      <c r="H5925" s="10">
        <v>46032.0</v>
      </c>
      <c r="I5925" s="12">
        <v>7.0</v>
      </c>
      <c r="J5925" s="6" t="s">
        <v>161</v>
      </c>
    </row>
    <row r="5926" ht="22.5" customHeight="1">
      <c r="A5926" s="6" t="s">
        <v>22734</v>
      </c>
      <c r="B5926" s="6" t="s">
        <v>13417</v>
      </c>
      <c r="C5926" s="10">
        <v>46043.0</v>
      </c>
      <c r="D5926" s="6" t="s">
        <v>289</v>
      </c>
      <c r="E5926" s="6" t="s">
        <v>1969</v>
      </c>
      <c r="F5926" s="6" t="s">
        <v>249</v>
      </c>
      <c r="G5926" s="6" t="s">
        <v>477</v>
      </c>
      <c r="H5926" s="10">
        <v>46049.0</v>
      </c>
      <c r="I5926" s="12">
        <v>5.0</v>
      </c>
      <c r="J5926" s="6" t="s">
        <v>161</v>
      </c>
    </row>
    <row r="5927" ht="22.5" customHeight="1">
      <c r="A5927" s="6" t="s">
        <v>22735</v>
      </c>
      <c r="B5927" s="6" t="s">
        <v>13417</v>
      </c>
      <c r="C5927" s="10">
        <v>46025.0</v>
      </c>
      <c r="D5927" s="6" t="s">
        <v>416</v>
      </c>
      <c r="E5927" s="6" t="s">
        <v>885</v>
      </c>
      <c r="F5927" s="6" t="s">
        <v>112</v>
      </c>
      <c r="G5927" s="6" t="s">
        <v>452</v>
      </c>
      <c r="H5927" s="10">
        <v>46032.0</v>
      </c>
      <c r="I5927" s="12">
        <v>11.0</v>
      </c>
      <c r="J5927" s="6" t="s">
        <v>161</v>
      </c>
    </row>
    <row r="5928" ht="22.5" customHeight="1">
      <c r="A5928" s="6" t="s">
        <v>22736</v>
      </c>
      <c r="B5928" s="6" t="s">
        <v>13417</v>
      </c>
      <c r="C5928" s="10">
        <v>46039.0</v>
      </c>
      <c r="D5928" s="6" t="s">
        <v>677</v>
      </c>
      <c r="E5928" s="6" t="s">
        <v>658</v>
      </c>
      <c r="F5928" s="6" t="s">
        <v>249</v>
      </c>
      <c r="G5928" s="6" t="s">
        <v>369</v>
      </c>
      <c r="H5928" s="10">
        <v>46040.0</v>
      </c>
      <c r="I5928" s="12">
        <v>3.0</v>
      </c>
      <c r="J5928" s="6" t="s">
        <v>161</v>
      </c>
    </row>
    <row r="5929" ht="22.5" customHeight="1">
      <c r="A5929" s="6" t="s">
        <v>22737</v>
      </c>
      <c r="B5929" s="6" t="s">
        <v>13423</v>
      </c>
      <c r="C5929" s="10">
        <v>46070.0</v>
      </c>
      <c r="D5929" s="6" t="s">
        <v>312</v>
      </c>
      <c r="E5929" s="6" t="s">
        <v>1600</v>
      </c>
      <c r="F5929" s="6" t="s">
        <v>439</v>
      </c>
      <c r="G5929" s="6" t="s">
        <v>477</v>
      </c>
      <c r="H5929" s="10">
        <v>46073.0</v>
      </c>
      <c r="I5929" s="12">
        <v>7.0</v>
      </c>
      <c r="J5929" s="6" t="s">
        <v>161</v>
      </c>
    </row>
    <row r="5930" ht="22.5" customHeight="1">
      <c r="A5930" s="6" t="s">
        <v>22738</v>
      </c>
      <c r="B5930" s="6" t="s">
        <v>13423</v>
      </c>
      <c r="C5930" s="10">
        <v>46067.0</v>
      </c>
      <c r="D5930" s="6" t="s">
        <v>416</v>
      </c>
      <c r="E5930" s="6" t="s">
        <v>475</v>
      </c>
      <c r="F5930" s="6" t="s">
        <v>283</v>
      </c>
      <c r="G5930" s="6" t="s">
        <v>494</v>
      </c>
      <c r="H5930" s="10">
        <v>46073.0</v>
      </c>
      <c r="I5930" s="12">
        <v>12.0</v>
      </c>
      <c r="J5930" s="6" t="s">
        <v>161</v>
      </c>
    </row>
    <row r="5931" ht="22.5" customHeight="1">
      <c r="A5931" s="6" t="s">
        <v>22739</v>
      </c>
      <c r="B5931" s="6" t="s">
        <v>13430</v>
      </c>
      <c r="C5931" s="10">
        <v>46062.0</v>
      </c>
      <c r="D5931" s="6" t="s">
        <v>677</v>
      </c>
      <c r="E5931" s="6" t="s">
        <v>1969</v>
      </c>
      <c r="F5931" s="6" t="s">
        <v>249</v>
      </c>
      <c r="G5931" s="6" t="s">
        <v>369</v>
      </c>
      <c r="H5931" s="10">
        <v>46064.0</v>
      </c>
      <c r="I5931" s="12">
        <v>4.0</v>
      </c>
      <c r="J5931" s="6" t="s">
        <v>161</v>
      </c>
    </row>
    <row r="5932" ht="22.5" customHeight="1">
      <c r="A5932" s="6" t="s">
        <v>22740</v>
      </c>
      <c r="B5932" s="6" t="s">
        <v>13436</v>
      </c>
      <c r="C5932" s="10">
        <v>46047.0</v>
      </c>
      <c r="D5932" s="6" t="s">
        <v>242</v>
      </c>
      <c r="E5932" s="6" t="s">
        <v>798</v>
      </c>
      <c r="F5932" s="6" t="s">
        <v>283</v>
      </c>
      <c r="G5932" s="6" t="s">
        <v>477</v>
      </c>
      <c r="H5932" s="10">
        <v>46051.0</v>
      </c>
      <c r="I5932" s="12">
        <v>5.0</v>
      </c>
      <c r="J5932" s="6" t="s">
        <v>161</v>
      </c>
    </row>
    <row r="5933" ht="22.5" customHeight="1">
      <c r="A5933" s="6" t="s">
        <v>22741</v>
      </c>
      <c r="B5933" s="6" t="s">
        <v>13436</v>
      </c>
      <c r="C5933" s="10">
        <v>46049.0</v>
      </c>
      <c r="D5933" s="6" t="s">
        <v>436</v>
      </c>
      <c r="E5933" s="6" t="s">
        <v>716</v>
      </c>
      <c r="F5933" s="6" t="s">
        <v>439</v>
      </c>
      <c r="G5933" s="6" t="s">
        <v>494</v>
      </c>
      <c r="H5933" s="10">
        <v>46050.0</v>
      </c>
      <c r="I5933" s="12">
        <v>8.0</v>
      </c>
      <c r="J5933" s="6" t="s">
        <v>178</v>
      </c>
    </row>
    <row r="5934" ht="22.5" customHeight="1">
      <c r="A5934" s="6" t="s">
        <v>22742</v>
      </c>
      <c r="B5934" s="6" t="s">
        <v>13436</v>
      </c>
      <c r="C5934" s="10">
        <v>46046.0</v>
      </c>
      <c r="D5934" s="6" t="s">
        <v>289</v>
      </c>
      <c r="E5934" s="6" t="s">
        <v>394</v>
      </c>
      <c r="F5934" s="6" t="s">
        <v>249</v>
      </c>
      <c r="G5934" s="6" t="s">
        <v>458</v>
      </c>
      <c r="H5934" s="10">
        <v>46046.0</v>
      </c>
      <c r="I5934" s="12">
        <v>5.0</v>
      </c>
      <c r="J5934" s="6" t="s">
        <v>161</v>
      </c>
    </row>
    <row r="5935" ht="22.5" customHeight="1">
      <c r="A5935" s="6" t="s">
        <v>22743</v>
      </c>
      <c r="B5935" s="6" t="s">
        <v>13436</v>
      </c>
      <c r="C5935" s="10">
        <v>46053.0</v>
      </c>
      <c r="D5935" s="6" t="s">
        <v>289</v>
      </c>
      <c r="E5935" s="6" t="s">
        <v>695</v>
      </c>
      <c r="F5935" s="6" t="s">
        <v>283</v>
      </c>
      <c r="G5935" s="6" t="s">
        <v>458</v>
      </c>
      <c r="H5935" s="10">
        <v>46059.0</v>
      </c>
      <c r="I5935" s="12">
        <v>9.0</v>
      </c>
      <c r="J5935" s="6" t="s">
        <v>161</v>
      </c>
    </row>
    <row r="5936" ht="22.5" customHeight="1">
      <c r="A5936" s="6" t="s">
        <v>22744</v>
      </c>
      <c r="B5936" s="6" t="s">
        <v>13436</v>
      </c>
      <c r="C5936" s="10">
        <v>46061.0</v>
      </c>
      <c r="D5936" s="6" t="s">
        <v>391</v>
      </c>
      <c r="E5936" s="6" t="s">
        <v>1070</v>
      </c>
      <c r="F5936" s="6" t="s">
        <v>439</v>
      </c>
      <c r="G5936" s="6" t="s">
        <v>452</v>
      </c>
      <c r="H5936" s="10">
        <v>46061.0</v>
      </c>
      <c r="I5936" s="12">
        <v>8.0</v>
      </c>
      <c r="J5936" s="6" t="s">
        <v>161</v>
      </c>
    </row>
    <row r="5937" ht="22.5" customHeight="1">
      <c r="A5937" s="6" t="s">
        <v>22745</v>
      </c>
      <c r="B5937" s="6" t="s">
        <v>13442</v>
      </c>
      <c r="C5937" s="10">
        <v>46032.0</v>
      </c>
      <c r="D5937" s="6" t="s">
        <v>436</v>
      </c>
      <c r="E5937" s="6" t="s">
        <v>716</v>
      </c>
      <c r="F5937" s="6" t="s">
        <v>283</v>
      </c>
      <c r="G5937" s="6" t="s">
        <v>254</v>
      </c>
      <c r="H5937" s="11" t="s">
        <v>259</v>
      </c>
      <c r="I5937" s="12">
        <v>6.0</v>
      </c>
      <c r="J5937" s="6" t="s">
        <v>178</v>
      </c>
    </row>
    <row r="5938" ht="22.5" customHeight="1">
      <c r="A5938" s="6" t="s">
        <v>22746</v>
      </c>
      <c r="B5938" s="6" t="s">
        <v>13442</v>
      </c>
      <c r="C5938" s="10">
        <v>46026.0</v>
      </c>
      <c r="D5938" s="6" t="s">
        <v>436</v>
      </c>
      <c r="E5938" s="6" t="s">
        <v>1070</v>
      </c>
      <c r="F5938" s="6" t="s">
        <v>439</v>
      </c>
      <c r="G5938" s="6" t="s">
        <v>452</v>
      </c>
      <c r="H5938" s="10">
        <v>46030.0</v>
      </c>
      <c r="I5938" s="12">
        <v>9.0</v>
      </c>
      <c r="J5938" s="6" t="s">
        <v>178</v>
      </c>
    </row>
    <row r="5939" ht="22.5" customHeight="1">
      <c r="A5939" s="6" t="s">
        <v>22747</v>
      </c>
      <c r="B5939" s="6" t="s">
        <v>13442</v>
      </c>
      <c r="C5939" s="10">
        <v>46026.0</v>
      </c>
      <c r="D5939" s="6" t="s">
        <v>416</v>
      </c>
      <c r="E5939" s="6" t="s">
        <v>812</v>
      </c>
      <c r="F5939" s="6" t="s">
        <v>112</v>
      </c>
      <c r="G5939" s="6" t="s">
        <v>254</v>
      </c>
      <c r="H5939" s="10">
        <v>46030.0</v>
      </c>
      <c r="I5939" s="12">
        <v>12.0</v>
      </c>
      <c r="J5939" s="6" t="s">
        <v>161</v>
      </c>
    </row>
    <row r="5940" ht="22.5" customHeight="1">
      <c r="A5940" s="6" t="s">
        <v>22748</v>
      </c>
      <c r="B5940" s="6" t="s">
        <v>13442</v>
      </c>
      <c r="C5940" s="10">
        <v>46039.0</v>
      </c>
      <c r="D5940" s="6" t="s">
        <v>391</v>
      </c>
      <c r="E5940" s="6" t="s">
        <v>1570</v>
      </c>
      <c r="F5940" s="6" t="s">
        <v>112</v>
      </c>
      <c r="G5940" s="6" t="s">
        <v>477</v>
      </c>
      <c r="H5940" s="11" t="s">
        <v>259</v>
      </c>
      <c r="I5940" s="12">
        <v>11.0</v>
      </c>
      <c r="J5940" s="6" t="s">
        <v>161</v>
      </c>
    </row>
    <row r="5941" ht="22.5" customHeight="1">
      <c r="A5941" s="6" t="s">
        <v>22749</v>
      </c>
      <c r="B5941" s="6" t="s">
        <v>13442</v>
      </c>
      <c r="C5941" s="10">
        <v>46033.0</v>
      </c>
      <c r="D5941" s="6" t="s">
        <v>436</v>
      </c>
      <c r="E5941" s="6" t="s">
        <v>1552</v>
      </c>
      <c r="F5941" s="6" t="s">
        <v>112</v>
      </c>
      <c r="G5941" s="6" t="s">
        <v>326</v>
      </c>
      <c r="H5941" s="10">
        <v>46038.0</v>
      </c>
      <c r="I5941" s="12">
        <v>12.0</v>
      </c>
      <c r="J5941" s="6" t="s">
        <v>178</v>
      </c>
    </row>
    <row r="5942" ht="22.5" customHeight="1">
      <c r="A5942" s="6" t="s">
        <v>22750</v>
      </c>
      <c r="B5942" s="6" t="s">
        <v>13449</v>
      </c>
      <c r="C5942" s="10">
        <v>46064.0</v>
      </c>
      <c r="D5942" s="6" t="s">
        <v>312</v>
      </c>
      <c r="E5942" s="6" t="s">
        <v>610</v>
      </c>
      <c r="F5942" s="6" t="s">
        <v>249</v>
      </c>
      <c r="G5942" s="6" t="s">
        <v>477</v>
      </c>
      <c r="H5942" s="10">
        <v>46065.0</v>
      </c>
      <c r="I5942" s="12">
        <v>7.0</v>
      </c>
      <c r="J5942" s="6" t="s">
        <v>161</v>
      </c>
    </row>
    <row r="5943" ht="22.5" customHeight="1">
      <c r="A5943" s="6" t="s">
        <v>22751</v>
      </c>
      <c r="B5943" s="6" t="s">
        <v>13455</v>
      </c>
      <c r="C5943" s="10">
        <v>46047.0</v>
      </c>
      <c r="D5943" s="6" t="s">
        <v>289</v>
      </c>
      <c r="E5943" s="6" t="s">
        <v>618</v>
      </c>
      <c r="F5943" s="6" t="s">
        <v>112</v>
      </c>
      <c r="G5943" s="6" t="s">
        <v>326</v>
      </c>
      <c r="H5943" s="11" t="s">
        <v>259</v>
      </c>
      <c r="I5943" s="12">
        <v>7.0</v>
      </c>
      <c r="J5943" s="6" t="s">
        <v>161</v>
      </c>
    </row>
    <row r="5944" ht="22.5" customHeight="1">
      <c r="A5944" s="6" t="s">
        <v>22752</v>
      </c>
      <c r="B5944" s="6" t="s">
        <v>13455</v>
      </c>
      <c r="C5944" s="10">
        <v>46053.0</v>
      </c>
      <c r="D5944" s="6" t="s">
        <v>242</v>
      </c>
      <c r="E5944" s="6" t="s">
        <v>628</v>
      </c>
      <c r="F5944" s="6" t="s">
        <v>283</v>
      </c>
      <c r="G5944" s="6" t="s">
        <v>494</v>
      </c>
      <c r="H5944" s="10">
        <v>46053.0</v>
      </c>
      <c r="I5944" s="12">
        <v>5.0</v>
      </c>
      <c r="J5944" s="6" t="s">
        <v>178</v>
      </c>
    </row>
    <row r="5945" ht="22.5" customHeight="1">
      <c r="A5945" s="6" t="s">
        <v>22753</v>
      </c>
      <c r="B5945" s="6" t="s">
        <v>13455</v>
      </c>
      <c r="C5945" s="10">
        <v>46035.0</v>
      </c>
      <c r="D5945" s="6" t="s">
        <v>436</v>
      </c>
      <c r="E5945" s="6" t="s">
        <v>731</v>
      </c>
      <c r="F5945" s="6" t="s">
        <v>249</v>
      </c>
      <c r="G5945" s="6" t="s">
        <v>254</v>
      </c>
      <c r="H5945" s="11" t="s">
        <v>259</v>
      </c>
      <c r="I5945" s="12">
        <v>10.0</v>
      </c>
      <c r="J5945" s="6" t="s">
        <v>161</v>
      </c>
    </row>
    <row r="5946" ht="22.5" customHeight="1">
      <c r="A5946" s="6" t="s">
        <v>22754</v>
      </c>
      <c r="B5946" s="6" t="s">
        <v>13455</v>
      </c>
      <c r="C5946" s="10">
        <v>46048.0</v>
      </c>
      <c r="D5946" s="6" t="s">
        <v>242</v>
      </c>
      <c r="E5946" s="6" t="s">
        <v>1241</v>
      </c>
      <c r="F5946" s="6" t="s">
        <v>249</v>
      </c>
      <c r="G5946" s="6" t="s">
        <v>297</v>
      </c>
      <c r="H5946" s="10">
        <v>46052.0</v>
      </c>
      <c r="I5946" s="12">
        <v>4.0</v>
      </c>
      <c r="J5946" s="6" t="s">
        <v>178</v>
      </c>
    </row>
    <row r="5947" ht="22.5" customHeight="1">
      <c r="A5947" s="6" t="s">
        <v>22755</v>
      </c>
      <c r="B5947" s="6" t="s">
        <v>13455</v>
      </c>
      <c r="C5947" s="10">
        <v>46050.0</v>
      </c>
      <c r="D5947" s="6" t="s">
        <v>677</v>
      </c>
      <c r="E5947" s="6" t="s">
        <v>466</v>
      </c>
      <c r="F5947" s="6" t="s">
        <v>249</v>
      </c>
      <c r="G5947" s="6" t="s">
        <v>297</v>
      </c>
      <c r="H5947" s="10">
        <v>46052.0</v>
      </c>
      <c r="I5947" s="12">
        <v>3.0</v>
      </c>
      <c r="J5947" s="6" t="s">
        <v>161</v>
      </c>
    </row>
    <row r="5948" ht="22.5" customHeight="1">
      <c r="A5948" s="6" t="s">
        <v>22756</v>
      </c>
      <c r="B5948" s="6" t="s">
        <v>13462</v>
      </c>
      <c r="C5948" s="10">
        <v>46076.0</v>
      </c>
      <c r="D5948" s="6" t="s">
        <v>391</v>
      </c>
      <c r="E5948" s="6" t="s">
        <v>1517</v>
      </c>
      <c r="F5948" s="6" t="s">
        <v>283</v>
      </c>
      <c r="G5948" s="6" t="s">
        <v>369</v>
      </c>
      <c r="H5948" s="10">
        <v>46083.0</v>
      </c>
      <c r="I5948" s="12">
        <v>11.0</v>
      </c>
      <c r="J5948" s="6" t="s">
        <v>161</v>
      </c>
    </row>
    <row r="5949" ht="22.5" customHeight="1">
      <c r="A5949" s="6" t="s">
        <v>22757</v>
      </c>
      <c r="B5949" s="6" t="s">
        <v>13462</v>
      </c>
      <c r="C5949" s="10">
        <v>46075.0</v>
      </c>
      <c r="D5949" s="6" t="s">
        <v>242</v>
      </c>
      <c r="E5949" s="6" t="s">
        <v>1517</v>
      </c>
      <c r="F5949" s="6" t="s">
        <v>283</v>
      </c>
      <c r="G5949" s="6" t="s">
        <v>477</v>
      </c>
      <c r="H5949" s="11" t="s">
        <v>259</v>
      </c>
      <c r="I5949" s="12">
        <v>4.0</v>
      </c>
      <c r="J5949" s="6" t="s">
        <v>178</v>
      </c>
    </row>
    <row r="5950" ht="22.5" customHeight="1">
      <c r="A5950" s="6" t="s">
        <v>22758</v>
      </c>
      <c r="B5950" s="6" t="s">
        <v>13462</v>
      </c>
      <c r="C5950" s="10">
        <v>46072.0</v>
      </c>
      <c r="D5950" s="6" t="s">
        <v>312</v>
      </c>
      <c r="E5950" s="6" t="s">
        <v>1741</v>
      </c>
      <c r="F5950" s="6" t="s">
        <v>249</v>
      </c>
      <c r="G5950" s="6" t="s">
        <v>326</v>
      </c>
      <c r="H5950" s="10">
        <v>46077.0</v>
      </c>
      <c r="I5950" s="12">
        <v>5.0</v>
      </c>
      <c r="J5950" s="6" t="s">
        <v>161</v>
      </c>
    </row>
    <row r="5951" ht="22.5" customHeight="1">
      <c r="A5951" s="6" t="s">
        <v>22759</v>
      </c>
      <c r="B5951" s="6" t="s">
        <v>13468</v>
      </c>
      <c r="C5951" s="10">
        <v>46077.0</v>
      </c>
      <c r="D5951" s="6" t="s">
        <v>677</v>
      </c>
      <c r="E5951" s="6" t="s">
        <v>1741</v>
      </c>
      <c r="F5951" s="6" t="s">
        <v>112</v>
      </c>
      <c r="G5951" s="6" t="s">
        <v>494</v>
      </c>
      <c r="H5951" s="10">
        <v>46084.0</v>
      </c>
      <c r="I5951" s="12">
        <v>2.0</v>
      </c>
      <c r="J5951" s="6" t="s">
        <v>161</v>
      </c>
    </row>
    <row r="5952" ht="22.5" customHeight="1">
      <c r="A5952" s="6" t="s">
        <v>22760</v>
      </c>
      <c r="B5952" s="6" t="s">
        <v>13468</v>
      </c>
      <c r="C5952" s="10">
        <v>46062.0</v>
      </c>
      <c r="D5952" s="6" t="s">
        <v>289</v>
      </c>
      <c r="E5952" s="6" t="s">
        <v>475</v>
      </c>
      <c r="F5952" s="6" t="s">
        <v>249</v>
      </c>
      <c r="G5952" s="6" t="s">
        <v>297</v>
      </c>
      <c r="H5952" s="11" t="s">
        <v>259</v>
      </c>
      <c r="I5952" s="12">
        <v>6.0</v>
      </c>
      <c r="J5952" s="6" t="s">
        <v>161</v>
      </c>
    </row>
    <row r="5953" ht="22.5" customHeight="1">
      <c r="A5953" s="6" t="s">
        <v>22761</v>
      </c>
      <c r="B5953" s="6" t="s">
        <v>13468</v>
      </c>
      <c r="C5953" s="10">
        <v>46063.0</v>
      </c>
      <c r="D5953" s="6" t="s">
        <v>391</v>
      </c>
      <c r="E5953" s="6" t="s">
        <v>618</v>
      </c>
      <c r="F5953" s="6" t="s">
        <v>249</v>
      </c>
      <c r="G5953" s="6" t="s">
        <v>369</v>
      </c>
      <c r="H5953" s="10">
        <v>46063.0</v>
      </c>
      <c r="I5953" s="12">
        <v>10.0</v>
      </c>
      <c r="J5953" s="6" t="s">
        <v>161</v>
      </c>
    </row>
    <row r="5954" ht="22.5" customHeight="1">
      <c r="A5954" s="6" t="s">
        <v>22762</v>
      </c>
      <c r="B5954" s="6" t="s">
        <v>13468</v>
      </c>
      <c r="C5954" s="10">
        <v>46077.0</v>
      </c>
      <c r="D5954" s="6" t="s">
        <v>312</v>
      </c>
      <c r="E5954" s="6" t="s">
        <v>775</v>
      </c>
      <c r="F5954" s="6" t="s">
        <v>439</v>
      </c>
      <c r="G5954" s="6" t="s">
        <v>297</v>
      </c>
      <c r="H5954" s="10">
        <v>46082.0</v>
      </c>
      <c r="I5954" s="12">
        <v>5.0</v>
      </c>
      <c r="J5954" s="6" t="s">
        <v>161</v>
      </c>
    </row>
    <row r="5955" ht="22.5" customHeight="1">
      <c r="A5955" s="6" t="s">
        <v>22763</v>
      </c>
      <c r="B5955" s="6" t="s">
        <v>13475</v>
      </c>
      <c r="C5955" s="10">
        <v>46060.0</v>
      </c>
      <c r="D5955" s="6" t="s">
        <v>242</v>
      </c>
      <c r="E5955" s="6" t="s">
        <v>1035</v>
      </c>
      <c r="F5955" s="6" t="s">
        <v>112</v>
      </c>
      <c r="G5955" s="6" t="s">
        <v>477</v>
      </c>
      <c r="H5955" s="10">
        <v>46065.0</v>
      </c>
      <c r="I5955" s="12">
        <v>5.0</v>
      </c>
      <c r="J5955" s="6" t="s">
        <v>178</v>
      </c>
    </row>
    <row r="5956" ht="22.5" customHeight="1">
      <c r="A5956" s="6" t="s">
        <v>22764</v>
      </c>
      <c r="B5956" s="6" t="s">
        <v>13481</v>
      </c>
      <c r="C5956" s="10">
        <v>46066.0</v>
      </c>
      <c r="D5956" s="6" t="s">
        <v>312</v>
      </c>
      <c r="E5956" s="6" t="s">
        <v>291</v>
      </c>
      <c r="F5956" s="6" t="s">
        <v>439</v>
      </c>
      <c r="G5956" s="6" t="s">
        <v>254</v>
      </c>
      <c r="H5956" s="10">
        <v>46066.0</v>
      </c>
      <c r="I5956" s="12">
        <v>7.0</v>
      </c>
      <c r="J5956" s="6" t="s">
        <v>161</v>
      </c>
    </row>
    <row r="5957" ht="22.5" customHeight="1">
      <c r="A5957" s="6" t="s">
        <v>22765</v>
      </c>
      <c r="B5957" s="6" t="s">
        <v>13481</v>
      </c>
      <c r="C5957" s="10">
        <v>46053.0</v>
      </c>
      <c r="D5957" s="6" t="s">
        <v>391</v>
      </c>
      <c r="E5957" s="6" t="s">
        <v>1273</v>
      </c>
      <c r="F5957" s="6" t="s">
        <v>249</v>
      </c>
      <c r="G5957" s="6" t="s">
        <v>458</v>
      </c>
      <c r="H5957" s="10">
        <v>46055.0</v>
      </c>
      <c r="I5957" s="12">
        <v>8.0</v>
      </c>
      <c r="J5957" s="6" t="s">
        <v>161</v>
      </c>
    </row>
    <row r="5958" ht="22.5" customHeight="1">
      <c r="A5958" s="6" t="s">
        <v>22766</v>
      </c>
      <c r="B5958" s="6" t="s">
        <v>13487</v>
      </c>
      <c r="C5958" s="10">
        <v>46032.0</v>
      </c>
      <c r="D5958" s="6" t="s">
        <v>677</v>
      </c>
      <c r="E5958" s="6" t="s">
        <v>618</v>
      </c>
      <c r="F5958" s="6" t="s">
        <v>249</v>
      </c>
      <c r="G5958" s="6" t="s">
        <v>452</v>
      </c>
      <c r="H5958" s="10">
        <v>46034.0</v>
      </c>
      <c r="I5958" s="12">
        <v>2.0</v>
      </c>
      <c r="J5958" s="6" t="s">
        <v>161</v>
      </c>
    </row>
    <row r="5959" ht="22.5" customHeight="1">
      <c r="A5959" s="6" t="s">
        <v>22767</v>
      </c>
      <c r="B5959" s="6" t="s">
        <v>13487</v>
      </c>
      <c r="C5959" s="10">
        <v>46037.0</v>
      </c>
      <c r="D5959" s="6" t="s">
        <v>436</v>
      </c>
      <c r="E5959" s="6" t="s">
        <v>438</v>
      </c>
      <c r="F5959" s="6" t="s">
        <v>439</v>
      </c>
      <c r="G5959" s="6" t="s">
        <v>452</v>
      </c>
      <c r="H5959" s="10">
        <v>46040.0</v>
      </c>
      <c r="I5959" s="12">
        <v>6.0</v>
      </c>
      <c r="J5959" s="6" t="s">
        <v>161</v>
      </c>
    </row>
    <row r="5960" ht="22.5" customHeight="1">
      <c r="A5960" s="6" t="s">
        <v>22768</v>
      </c>
      <c r="B5960" s="6" t="s">
        <v>13487</v>
      </c>
      <c r="C5960" s="10">
        <v>46034.0</v>
      </c>
      <c r="D5960" s="6" t="s">
        <v>289</v>
      </c>
      <c r="E5960" s="6" t="s">
        <v>2365</v>
      </c>
      <c r="F5960" s="6" t="s">
        <v>249</v>
      </c>
      <c r="G5960" s="6" t="s">
        <v>254</v>
      </c>
      <c r="H5960" s="10">
        <v>46037.0</v>
      </c>
      <c r="I5960" s="12">
        <v>6.0</v>
      </c>
      <c r="J5960" s="6" t="s">
        <v>161</v>
      </c>
    </row>
    <row r="5961" ht="22.5" customHeight="1">
      <c r="A5961" s="6" t="s">
        <v>22769</v>
      </c>
      <c r="B5961" s="6" t="s">
        <v>13487</v>
      </c>
      <c r="C5961" s="10">
        <v>46032.0</v>
      </c>
      <c r="D5961" s="6" t="s">
        <v>436</v>
      </c>
      <c r="E5961" s="6" t="s">
        <v>1386</v>
      </c>
      <c r="F5961" s="6" t="s">
        <v>249</v>
      </c>
      <c r="G5961" s="6" t="s">
        <v>369</v>
      </c>
      <c r="H5961" s="10">
        <v>46034.0</v>
      </c>
      <c r="I5961" s="12">
        <v>11.0</v>
      </c>
      <c r="J5961" s="6" t="s">
        <v>161</v>
      </c>
    </row>
    <row r="5962" ht="22.5" customHeight="1">
      <c r="A5962" s="6" t="s">
        <v>22770</v>
      </c>
      <c r="B5962" s="6" t="s">
        <v>13493</v>
      </c>
      <c r="C5962" s="10">
        <v>46034.0</v>
      </c>
      <c r="D5962" s="6" t="s">
        <v>416</v>
      </c>
      <c r="E5962" s="6" t="s">
        <v>246</v>
      </c>
      <c r="F5962" s="6" t="s">
        <v>112</v>
      </c>
      <c r="G5962" s="6" t="s">
        <v>458</v>
      </c>
      <c r="H5962" s="10">
        <v>46039.0</v>
      </c>
      <c r="I5962" s="12">
        <v>11.0</v>
      </c>
      <c r="J5962" s="6" t="s">
        <v>161</v>
      </c>
    </row>
    <row r="5963" ht="22.5" customHeight="1">
      <c r="A5963" s="6" t="s">
        <v>22771</v>
      </c>
      <c r="B5963" s="6" t="s">
        <v>13493</v>
      </c>
      <c r="C5963" s="10">
        <v>46033.0</v>
      </c>
      <c r="D5963" s="6" t="s">
        <v>312</v>
      </c>
      <c r="E5963" s="6" t="s">
        <v>1741</v>
      </c>
      <c r="F5963" s="6" t="s">
        <v>439</v>
      </c>
      <c r="G5963" s="6" t="s">
        <v>477</v>
      </c>
      <c r="H5963" s="10">
        <v>46036.0</v>
      </c>
      <c r="I5963" s="12">
        <v>6.0</v>
      </c>
      <c r="J5963" s="6" t="s">
        <v>161</v>
      </c>
    </row>
    <row r="5964" ht="22.5" customHeight="1">
      <c r="A5964" s="6" t="s">
        <v>22772</v>
      </c>
      <c r="B5964" s="6" t="s">
        <v>13493</v>
      </c>
      <c r="C5964" s="10">
        <v>46041.0</v>
      </c>
      <c r="D5964" s="6" t="s">
        <v>242</v>
      </c>
      <c r="E5964" s="6" t="s">
        <v>1626</v>
      </c>
      <c r="F5964" s="6" t="s">
        <v>283</v>
      </c>
      <c r="G5964" s="6" t="s">
        <v>477</v>
      </c>
      <c r="H5964" s="10">
        <v>46047.0</v>
      </c>
      <c r="I5964" s="12">
        <v>3.0</v>
      </c>
      <c r="J5964" s="6" t="s">
        <v>178</v>
      </c>
    </row>
    <row r="5965" ht="22.5" customHeight="1">
      <c r="A5965" s="6" t="s">
        <v>22773</v>
      </c>
      <c r="B5965" s="6" t="s">
        <v>13493</v>
      </c>
      <c r="C5965" s="10">
        <v>46045.0</v>
      </c>
      <c r="D5965" s="6" t="s">
        <v>242</v>
      </c>
      <c r="E5965" s="6" t="s">
        <v>1570</v>
      </c>
      <c r="F5965" s="6" t="s">
        <v>249</v>
      </c>
      <c r="G5965" s="6" t="s">
        <v>477</v>
      </c>
      <c r="H5965" s="11" t="s">
        <v>259</v>
      </c>
      <c r="I5965" s="12">
        <v>5.0</v>
      </c>
      <c r="J5965" s="6" t="s">
        <v>161</v>
      </c>
    </row>
    <row r="5966" ht="22.5" customHeight="1">
      <c r="A5966" s="6" t="s">
        <v>22774</v>
      </c>
      <c r="B5966" s="6" t="s">
        <v>13493</v>
      </c>
      <c r="C5966" s="10">
        <v>46033.0</v>
      </c>
      <c r="D5966" s="6" t="s">
        <v>677</v>
      </c>
      <c r="E5966" s="6" t="s">
        <v>365</v>
      </c>
      <c r="F5966" s="6" t="s">
        <v>112</v>
      </c>
      <c r="G5966" s="6" t="s">
        <v>477</v>
      </c>
      <c r="H5966" s="10">
        <v>46034.0</v>
      </c>
      <c r="I5966" s="12">
        <v>3.0</v>
      </c>
      <c r="J5966" s="6" t="s">
        <v>161</v>
      </c>
    </row>
    <row r="5967" ht="22.5" customHeight="1">
      <c r="A5967" s="6" t="s">
        <v>22775</v>
      </c>
      <c r="B5967" s="6" t="s">
        <v>13500</v>
      </c>
      <c r="C5967" s="10">
        <v>46060.0</v>
      </c>
      <c r="D5967" s="6" t="s">
        <v>391</v>
      </c>
      <c r="E5967" s="6" t="s">
        <v>512</v>
      </c>
      <c r="F5967" s="6" t="s">
        <v>439</v>
      </c>
      <c r="G5967" s="6" t="s">
        <v>254</v>
      </c>
      <c r="H5967" s="10">
        <v>46063.0</v>
      </c>
      <c r="I5967" s="12">
        <v>9.0</v>
      </c>
      <c r="J5967" s="6" t="s">
        <v>161</v>
      </c>
    </row>
    <row r="5968" ht="22.5" customHeight="1">
      <c r="A5968" s="6" t="s">
        <v>22776</v>
      </c>
      <c r="B5968" s="6" t="s">
        <v>13500</v>
      </c>
      <c r="C5968" s="10">
        <v>46054.0</v>
      </c>
      <c r="D5968" s="6" t="s">
        <v>416</v>
      </c>
      <c r="E5968" s="6" t="s">
        <v>1600</v>
      </c>
      <c r="F5968" s="6" t="s">
        <v>249</v>
      </c>
      <c r="G5968" s="6" t="s">
        <v>297</v>
      </c>
      <c r="H5968" s="10">
        <v>46061.0</v>
      </c>
      <c r="I5968" s="12">
        <v>12.0</v>
      </c>
      <c r="J5968" s="6" t="s">
        <v>161</v>
      </c>
    </row>
    <row r="5969" ht="22.5" customHeight="1">
      <c r="A5969" s="6" t="s">
        <v>22777</v>
      </c>
      <c r="B5969" s="6" t="s">
        <v>13500</v>
      </c>
      <c r="C5969" s="10">
        <v>46053.0</v>
      </c>
      <c r="D5969" s="6" t="s">
        <v>677</v>
      </c>
      <c r="E5969" s="6" t="s">
        <v>1517</v>
      </c>
      <c r="F5969" s="6" t="s">
        <v>112</v>
      </c>
      <c r="G5969" s="6" t="s">
        <v>254</v>
      </c>
      <c r="H5969" s="10">
        <v>46057.0</v>
      </c>
      <c r="I5969" s="12">
        <v>4.0</v>
      </c>
      <c r="J5969" s="6" t="s">
        <v>161</v>
      </c>
    </row>
    <row r="5970" ht="22.5" customHeight="1">
      <c r="A5970" s="6" t="s">
        <v>22778</v>
      </c>
      <c r="B5970" s="6" t="s">
        <v>13500</v>
      </c>
      <c r="C5970" s="10">
        <v>46053.0</v>
      </c>
      <c r="D5970" s="6" t="s">
        <v>677</v>
      </c>
      <c r="E5970" s="6" t="s">
        <v>394</v>
      </c>
      <c r="F5970" s="6" t="s">
        <v>249</v>
      </c>
      <c r="G5970" s="6" t="s">
        <v>369</v>
      </c>
      <c r="H5970" s="10">
        <v>46054.0</v>
      </c>
      <c r="I5970" s="12">
        <v>2.0</v>
      </c>
      <c r="J5970" s="6" t="s">
        <v>161</v>
      </c>
    </row>
    <row r="5971" ht="22.5" customHeight="1">
      <c r="A5971" s="6" t="s">
        <v>22779</v>
      </c>
      <c r="B5971" s="6" t="s">
        <v>13505</v>
      </c>
      <c r="C5971" s="10">
        <v>46077.0</v>
      </c>
      <c r="D5971" s="6" t="s">
        <v>391</v>
      </c>
      <c r="E5971" s="6" t="s">
        <v>1296</v>
      </c>
      <c r="F5971" s="6" t="s">
        <v>439</v>
      </c>
      <c r="G5971" s="6" t="s">
        <v>297</v>
      </c>
      <c r="H5971" s="10">
        <v>46079.0</v>
      </c>
      <c r="I5971" s="12">
        <v>9.0</v>
      </c>
      <c r="J5971" s="6" t="s">
        <v>161</v>
      </c>
    </row>
    <row r="5972" ht="22.5" customHeight="1">
      <c r="A5972" s="6" t="s">
        <v>22780</v>
      </c>
      <c r="B5972" s="6" t="s">
        <v>13505</v>
      </c>
      <c r="C5972" s="10">
        <v>46070.0</v>
      </c>
      <c r="D5972" s="6" t="s">
        <v>436</v>
      </c>
      <c r="E5972" s="6" t="s">
        <v>320</v>
      </c>
      <c r="F5972" s="6" t="s">
        <v>283</v>
      </c>
      <c r="G5972" s="6" t="s">
        <v>254</v>
      </c>
      <c r="H5972" s="10">
        <v>46072.0</v>
      </c>
      <c r="I5972" s="12">
        <v>12.0</v>
      </c>
      <c r="J5972" s="6" t="s">
        <v>161</v>
      </c>
    </row>
    <row r="5973" ht="22.5" customHeight="1">
      <c r="A5973" s="6" t="s">
        <v>22781</v>
      </c>
      <c r="B5973" s="6" t="s">
        <v>13505</v>
      </c>
      <c r="C5973" s="10">
        <v>46065.0</v>
      </c>
      <c r="D5973" s="6" t="s">
        <v>677</v>
      </c>
      <c r="E5973" s="6" t="s">
        <v>731</v>
      </c>
      <c r="F5973" s="6" t="s">
        <v>439</v>
      </c>
      <c r="G5973" s="6" t="s">
        <v>297</v>
      </c>
      <c r="H5973" s="11" t="s">
        <v>259</v>
      </c>
      <c r="I5973" s="12">
        <v>4.0</v>
      </c>
      <c r="J5973" s="6" t="s">
        <v>161</v>
      </c>
    </row>
    <row r="5974" ht="22.5" customHeight="1">
      <c r="A5974" s="6" t="s">
        <v>22782</v>
      </c>
      <c r="B5974" s="6" t="s">
        <v>13505</v>
      </c>
      <c r="C5974" s="10">
        <v>46067.0</v>
      </c>
      <c r="D5974" s="6" t="s">
        <v>312</v>
      </c>
      <c r="E5974" s="6" t="s">
        <v>634</v>
      </c>
      <c r="F5974" s="6" t="s">
        <v>112</v>
      </c>
      <c r="G5974" s="6" t="s">
        <v>458</v>
      </c>
      <c r="H5974" s="10">
        <v>46068.0</v>
      </c>
      <c r="I5974" s="12">
        <v>4.0</v>
      </c>
      <c r="J5974" s="6" t="s">
        <v>161</v>
      </c>
    </row>
    <row r="5975" ht="22.5" customHeight="1">
      <c r="A5975" s="6" t="s">
        <v>22783</v>
      </c>
      <c r="B5975" s="6" t="s">
        <v>13512</v>
      </c>
      <c r="C5975" s="10">
        <v>46049.0</v>
      </c>
      <c r="D5975" s="6" t="s">
        <v>677</v>
      </c>
      <c r="E5975" s="6" t="s">
        <v>1741</v>
      </c>
      <c r="F5975" s="6" t="s">
        <v>283</v>
      </c>
      <c r="G5975" s="6" t="s">
        <v>452</v>
      </c>
      <c r="H5975" s="10">
        <v>46056.0</v>
      </c>
      <c r="I5975" s="12">
        <v>4.0</v>
      </c>
      <c r="J5975" s="6" t="s">
        <v>161</v>
      </c>
    </row>
    <row r="5976" ht="22.5" customHeight="1">
      <c r="A5976" s="6" t="s">
        <v>22784</v>
      </c>
      <c r="B5976" s="6" t="s">
        <v>13512</v>
      </c>
      <c r="C5976" s="10">
        <v>46062.0</v>
      </c>
      <c r="D5976" s="6" t="s">
        <v>391</v>
      </c>
      <c r="E5976" s="6" t="s">
        <v>955</v>
      </c>
      <c r="F5976" s="6" t="s">
        <v>283</v>
      </c>
      <c r="G5976" s="6" t="s">
        <v>326</v>
      </c>
      <c r="H5976" s="10">
        <v>46064.0</v>
      </c>
      <c r="I5976" s="12">
        <v>7.0</v>
      </c>
      <c r="J5976" s="6" t="s">
        <v>161</v>
      </c>
    </row>
    <row r="5977" ht="22.5" customHeight="1">
      <c r="A5977" s="6" t="s">
        <v>22785</v>
      </c>
      <c r="B5977" s="6" t="s">
        <v>13512</v>
      </c>
      <c r="C5977" s="10">
        <v>46063.0</v>
      </c>
      <c r="D5977" s="6" t="s">
        <v>416</v>
      </c>
      <c r="E5977" s="6" t="s">
        <v>775</v>
      </c>
      <c r="F5977" s="6" t="s">
        <v>249</v>
      </c>
      <c r="G5977" s="6" t="s">
        <v>452</v>
      </c>
      <c r="H5977" s="11" t="s">
        <v>259</v>
      </c>
      <c r="I5977" s="12">
        <v>14.0</v>
      </c>
      <c r="J5977" s="6" t="s">
        <v>161</v>
      </c>
    </row>
    <row r="5978" ht="22.5" customHeight="1">
      <c r="A5978" s="6" t="s">
        <v>22786</v>
      </c>
      <c r="B5978" s="6" t="s">
        <v>13519</v>
      </c>
      <c r="C5978" s="10">
        <v>46031.0</v>
      </c>
      <c r="D5978" s="6" t="s">
        <v>242</v>
      </c>
      <c r="E5978" s="6" t="s">
        <v>1700</v>
      </c>
      <c r="F5978" s="6" t="s">
        <v>283</v>
      </c>
      <c r="G5978" s="6" t="s">
        <v>452</v>
      </c>
      <c r="H5978" s="10">
        <v>46032.0</v>
      </c>
      <c r="I5978" s="12">
        <v>4.0</v>
      </c>
      <c r="J5978" s="6" t="s">
        <v>178</v>
      </c>
    </row>
    <row r="5979" ht="22.5" customHeight="1">
      <c r="A5979" s="6" t="s">
        <v>22787</v>
      </c>
      <c r="B5979" s="6" t="s">
        <v>13519</v>
      </c>
      <c r="C5979" s="10">
        <v>46046.0</v>
      </c>
      <c r="D5979" s="6" t="s">
        <v>242</v>
      </c>
      <c r="E5979" s="6" t="s">
        <v>775</v>
      </c>
      <c r="F5979" s="6" t="s">
        <v>249</v>
      </c>
      <c r="G5979" s="6" t="s">
        <v>458</v>
      </c>
      <c r="H5979" s="10">
        <v>46046.0</v>
      </c>
      <c r="I5979" s="12">
        <v>3.0</v>
      </c>
      <c r="J5979" s="6" t="s">
        <v>178</v>
      </c>
    </row>
    <row r="5980" ht="22.5" customHeight="1">
      <c r="A5980" s="6" t="s">
        <v>22788</v>
      </c>
      <c r="B5980" s="6" t="s">
        <v>13519</v>
      </c>
      <c r="C5980" s="10">
        <v>46037.0</v>
      </c>
      <c r="D5980" s="6" t="s">
        <v>436</v>
      </c>
      <c r="E5980" s="6" t="s">
        <v>704</v>
      </c>
      <c r="F5980" s="6" t="s">
        <v>249</v>
      </c>
      <c r="G5980" s="6" t="s">
        <v>369</v>
      </c>
      <c r="H5980" s="10">
        <v>46043.0</v>
      </c>
      <c r="I5980" s="12">
        <v>7.0</v>
      </c>
      <c r="J5980" s="6" t="s">
        <v>178</v>
      </c>
    </row>
    <row r="5981" ht="22.5" customHeight="1">
      <c r="A5981" s="6" t="s">
        <v>22789</v>
      </c>
      <c r="B5981" s="6" t="s">
        <v>13519</v>
      </c>
      <c r="C5981" s="10">
        <v>46047.0</v>
      </c>
      <c r="D5981" s="6" t="s">
        <v>242</v>
      </c>
      <c r="E5981" s="6" t="s">
        <v>1386</v>
      </c>
      <c r="F5981" s="6" t="s">
        <v>439</v>
      </c>
      <c r="G5981" s="6" t="s">
        <v>369</v>
      </c>
      <c r="H5981" s="10">
        <v>46054.0</v>
      </c>
      <c r="I5981" s="12">
        <v>5.0</v>
      </c>
      <c r="J5981" s="6" t="s">
        <v>161</v>
      </c>
    </row>
    <row r="5982" ht="22.5" customHeight="1">
      <c r="A5982" s="6" t="s">
        <v>22790</v>
      </c>
      <c r="B5982" s="6" t="s">
        <v>13525</v>
      </c>
      <c r="C5982" s="10">
        <v>46081.0</v>
      </c>
      <c r="D5982" s="6" t="s">
        <v>242</v>
      </c>
      <c r="E5982" s="6" t="s">
        <v>320</v>
      </c>
      <c r="F5982" s="6" t="s">
        <v>283</v>
      </c>
      <c r="G5982" s="6" t="s">
        <v>369</v>
      </c>
      <c r="H5982" s="10">
        <v>46087.0</v>
      </c>
      <c r="I5982" s="12">
        <v>3.0</v>
      </c>
      <c r="J5982" s="6" t="s">
        <v>178</v>
      </c>
    </row>
    <row r="5983" ht="22.5" customHeight="1">
      <c r="A5983" s="6" t="s">
        <v>22791</v>
      </c>
      <c r="B5983" s="6" t="s">
        <v>13525</v>
      </c>
      <c r="C5983" s="10">
        <v>46086.0</v>
      </c>
      <c r="D5983" s="6" t="s">
        <v>416</v>
      </c>
      <c r="E5983" s="6" t="s">
        <v>695</v>
      </c>
      <c r="F5983" s="6" t="s">
        <v>283</v>
      </c>
      <c r="G5983" s="6" t="s">
        <v>369</v>
      </c>
      <c r="H5983" s="11" t="s">
        <v>259</v>
      </c>
      <c r="I5983" s="12">
        <v>11.0</v>
      </c>
      <c r="J5983" s="6" t="s">
        <v>161</v>
      </c>
    </row>
    <row r="5984" ht="22.5" customHeight="1">
      <c r="A5984" s="6" t="s">
        <v>22792</v>
      </c>
      <c r="B5984" s="6" t="s">
        <v>13525</v>
      </c>
      <c r="C5984" s="10">
        <v>46086.0</v>
      </c>
      <c r="D5984" s="6" t="s">
        <v>436</v>
      </c>
      <c r="E5984" s="6" t="s">
        <v>833</v>
      </c>
      <c r="F5984" s="6" t="s">
        <v>283</v>
      </c>
      <c r="G5984" s="6" t="s">
        <v>369</v>
      </c>
      <c r="H5984" s="11" t="s">
        <v>259</v>
      </c>
      <c r="I5984" s="12">
        <v>12.0</v>
      </c>
      <c r="J5984" s="6" t="s">
        <v>178</v>
      </c>
    </row>
    <row r="5985" ht="22.5" customHeight="1">
      <c r="A5985" s="6" t="s">
        <v>22793</v>
      </c>
      <c r="B5985" s="6" t="s">
        <v>13531</v>
      </c>
      <c r="C5985" s="10">
        <v>46062.0</v>
      </c>
      <c r="D5985" s="6" t="s">
        <v>242</v>
      </c>
      <c r="E5985" s="6" t="s">
        <v>1055</v>
      </c>
      <c r="F5985" s="6" t="s">
        <v>112</v>
      </c>
      <c r="G5985" s="6" t="s">
        <v>326</v>
      </c>
      <c r="H5985" s="10">
        <v>46063.0</v>
      </c>
      <c r="I5985" s="12">
        <v>3.0</v>
      </c>
      <c r="J5985" s="6" t="s">
        <v>178</v>
      </c>
    </row>
    <row r="5986" ht="22.5" customHeight="1">
      <c r="A5986" s="6" t="s">
        <v>22794</v>
      </c>
      <c r="B5986" s="6" t="s">
        <v>13531</v>
      </c>
      <c r="C5986" s="10">
        <v>46054.0</v>
      </c>
      <c r="D5986" s="6" t="s">
        <v>416</v>
      </c>
      <c r="E5986" s="6" t="s">
        <v>731</v>
      </c>
      <c r="F5986" s="6" t="s">
        <v>249</v>
      </c>
      <c r="G5986" s="6" t="s">
        <v>452</v>
      </c>
      <c r="H5986" s="10">
        <v>46061.0</v>
      </c>
      <c r="I5986" s="12">
        <v>9.0</v>
      </c>
      <c r="J5986" s="6" t="s">
        <v>161</v>
      </c>
    </row>
    <row r="5987" ht="22.5" customHeight="1">
      <c r="A5987" s="6" t="s">
        <v>22795</v>
      </c>
      <c r="B5987" s="6" t="s">
        <v>13531</v>
      </c>
      <c r="C5987" s="10">
        <v>46052.0</v>
      </c>
      <c r="D5987" s="6" t="s">
        <v>677</v>
      </c>
      <c r="E5987" s="6" t="s">
        <v>1546</v>
      </c>
      <c r="F5987" s="6" t="s">
        <v>283</v>
      </c>
      <c r="G5987" s="6" t="s">
        <v>254</v>
      </c>
      <c r="H5987" s="10">
        <v>46055.0</v>
      </c>
      <c r="I5987" s="12">
        <v>3.0</v>
      </c>
      <c r="J5987" s="6" t="s">
        <v>161</v>
      </c>
    </row>
    <row r="5988" ht="22.5" customHeight="1">
      <c r="A5988" s="6" t="s">
        <v>22796</v>
      </c>
      <c r="B5988" s="6" t="s">
        <v>13531</v>
      </c>
      <c r="C5988" s="10">
        <v>46055.0</v>
      </c>
      <c r="D5988" s="6" t="s">
        <v>391</v>
      </c>
      <c r="E5988" s="6" t="s">
        <v>634</v>
      </c>
      <c r="F5988" s="6" t="s">
        <v>283</v>
      </c>
      <c r="G5988" s="6" t="s">
        <v>494</v>
      </c>
      <c r="H5988" s="11" t="s">
        <v>259</v>
      </c>
      <c r="I5988" s="12">
        <v>7.0</v>
      </c>
      <c r="J5988" s="6" t="s">
        <v>161</v>
      </c>
    </row>
    <row r="5989" ht="22.5" customHeight="1">
      <c r="A5989" s="6" t="s">
        <v>22797</v>
      </c>
      <c r="B5989" s="6" t="s">
        <v>13531</v>
      </c>
      <c r="C5989" s="10">
        <v>46068.0</v>
      </c>
      <c r="D5989" s="6" t="s">
        <v>391</v>
      </c>
      <c r="E5989" s="6" t="s">
        <v>670</v>
      </c>
      <c r="F5989" s="6" t="s">
        <v>283</v>
      </c>
      <c r="G5989" s="6" t="s">
        <v>326</v>
      </c>
      <c r="H5989" s="10">
        <v>46069.0</v>
      </c>
      <c r="I5989" s="12">
        <v>8.0</v>
      </c>
      <c r="J5989" s="6" t="s">
        <v>161</v>
      </c>
    </row>
    <row r="5990" ht="22.5" customHeight="1">
      <c r="A5990" s="6" t="s">
        <v>22798</v>
      </c>
      <c r="B5990" s="6" t="s">
        <v>13537</v>
      </c>
      <c r="C5990" s="10">
        <v>46049.0</v>
      </c>
      <c r="D5990" s="6" t="s">
        <v>242</v>
      </c>
      <c r="E5990" s="6" t="s">
        <v>885</v>
      </c>
      <c r="F5990" s="6" t="s">
        <v>439</v>
      </c>
      <c r="G5990" s="6" t="s">
        <v>369</v>
      </c>
      <c r="H5990" s="11" t="s">
        <v>259</v>
      </c>
      <c r="I5990" s="12">
        <v>6.0</v>
      </c>
      <c r="J5990" s="6" t="s">
        <v>178</v>
      </c>
    </row>
    <row r="5991" ht="22.5" customHeight="1">
      <c r="A5991" s="6" t="s">
        <v>22799</v>
      </c>
      <c r="B5991" s="6" t="s">
        <v>13537</v>
      </c>
      <c r="C5991" s="10">
        <v>46047.0</v>
      </c>
      <c r="D5991" s="6" t="s">
        <v>242</v>
      </c>
      <c r="E5991" s="6" t="s">
        <v>885</v>
      </c>
      <c r="F5991" s="6" t="s">
        <v>249</v>
      </c>
      <c r="G5991" s="6" t="s">
        <v>477</v>
      </c>
      <c r="H5991" s="10">
        <v>46050.0</v>
      </c>
      <c r="I5991" s="12">
        <v>3.0</v>
      </c>
      <c r="J5991" s="6" t="s">
        <v>178</v>
      </c>
    </row>
    <row r="5992" ht="22.5" customHeight="1">
      <c r="A5992" s="6" t="s">
        <v>22800</v>
      </c>
      <c r="B5992" s="6" t="s">
        <v>13537</v>
      </c>
      <c r="C5992" s="10">
        <v>46052.0</v>
      </c>
      <c r="D5992" s="6" t="s">
        <v>242</v>
      </c>
      <c r="E5992" s="6" t="s">
        <v>1517</v>
      </c>
      <c r="F5992" s="6" t="s">
        <v>439</v>
      </c>
      <c r="G5992" s="6" t="s">
        <v>494</v>
      </c>
      <c r="H5992" s="10">
        <v>46056.0</v>
      </c>
      <c r="I5992" s="12">
        <v>6.0</v>
      </c>
      <c r="J5992" s="6" t="s">
        <v>161</v>
      </c>
    </row>
    <row r="5993" ht="22.5" customHeight="1">
      <c r="A5993" s="6" t="s">
        <v>22801</v>
      </c>
      <c r="B5993" s="6" t="s">
        <v>13537</v>
      </c>
      <c r="C5993" s="10">
        <v>46043.0</v>
      </c>
      <c r="D5993" s="6" t="s">
        <v>416</v>
      </c>
      <c r="E5993" s="6" t="s">
        <v>658</v>
      </c>
      <c r="F5993" s="6" t="s">
        <v>249</v>
      </c>
      <c r="G5993" s="6" t="s">
        <v>458</v>
      </c>
      <c r="H5993" s="11" t="s">
        <v>259</v>
      </c>
      <c r="I5993" s="12">
        <v>13.0</v>
      </c>
      <c r="J5993" s="6" t="s">
        <v>161</v>
      </c>
    </row>
    <row r="5994" ht="22.5" customHeight="1">
      <c r="A5994" s="6" t="s">
        <v>22802</v>
      </c>
      <c r="B5994" s="6" t="s">
        <v>13537</v>
      </c>
      <c r="C5994" s="10">
        <v>46042.0</v>
      </c>
      <c r="D5994" s="6" t="s">
        <v>312</v>
      </c>
      <c r="E5994" s="6" t="s">
        <v>1035</v>
      </c>
      <c r="F5994" s="6" t="s">
        <v>112</v>
      </c>
      <c r="G5994" s="6" t="s">
        <v>477</v>
      </c>
      <c r="H5994" s="10">
        <v>46043.0</v>
      </c>
      <c r="I5994" s="12">
        <v>4.0</v>
      </c>
      <c r="J5994" s="6" t="s">
        <v>161</v>
      </c>
    </row>
    <row r="5995" ht="22.5" customHeight="1">
      <c r="A5995" s="6" t="s">
        <v>22803</v>
      </c>
      <c r="B5995" s="6" t="s">
        <v>13542</v>
      </c>
      <c r="C5995" s="10">
        <v>46064.0</v>
      </c>
      <c r="D5995" s="6" t="s">
        <v>312</v>
      </c>
      <c r="E5995" s="6" t="s">
        <v>417</v>
      </c>
      <c r="F5995" s="6" t="s">
        <v>439</v>
      </c>
      <c r="G5995" s="6" t="s">
        <v>477</v>
      </c>
      <c r="H5995" s="11" t="s">
        <v>259</v>
      </c>
      <c r="I5995" s="12">
        <v>5.0</v>
      </c>
      <c r="J5995" s="6" t="s">
        <v>161</v>
      </c>
    </row>
    <row r="5996" ht="22.5" customHeight="1">
      <c r="A5996" s="6" t="s">
        <v>22804</v>
      </c>
      <c r="B5996" s="6" t="s">
        <v>13542</v>
      </c>
      <c r="C5996" s="10">
        <v>46073.0</v>
      </c>
      <c r="D5996" s="6" t="s">
        <v>242</v>
      </c>
      <c r="E5996" s="6" t="s">
        <v>466</v>
      </c>
      <c r="F5996" s="6" t="s">
        <v>439</v>
      </c>
      <c r="G5996" s="6" t="s">
        <v>297</v>
      </c>
      <c r="H5996" s="10">
        <v>46076.0</v>
      </c>
      <c r="I5996" s="12">
        <v>3.0</v>
      </c>
      <c r="J5996" s="6" t="s">
        <v>161</v>
      </c>
    </row>
    <row r="5997" ht="22.5" customHeight="1">
      <c r="A5997" s="6" t="s">
        <v>22805</v>
      </c>
      <c r="B5997" s="6" t="s">
        <v>13547</v>
      </c>
      <c r="C5997" s="10">
        <v>46054.0</v>
      </c>
      <c r="D5997" s="6" t="s">
        <v>312</v>
      </c>
      <c r="E5997" s="6" t="s">
        <v>1035</v>
      </c>
      <c r="F5997" s="6" t="s">
        <v>112</v>
      </c>
      <c r="G5997" s="6" t="s">
        <v>494</v>
      </c>
      <c r="H5997" s="10">
        <v>46059.0</v>
      </c>
      <c r="I5997" s="12">
        <v>7.0</v>
      </c>
      <c r="J5997" s="6" t="s">
        <v>161</v>
      </c>
    </row>
    <row r="5998" ht="22.5" customHeight="1">
      <c r="A5998" s="6" t="s">
        <v>22806</v>
      </c>
      <c r="B5998" s="6" t="s">
        <v>13547</v>
      </c>
      <c r="C5998" s="10">
        <v>46038.0</v>
      </c>
      <c r="D5998" s="6" t="s">
        <v>416</v>
      </c>
      <c r="E5998" s="6" t="s">
        <v>1035</v>
      </c>
      <c r="F5998" s="6" t="s">
        <v>112</v>
      </c>
      <c r="G5998" s="6" t="s">
        <v>326</v>
      </c>
      <c r="H5998" s="11" t="s">
        <v>259</v>
      </c>
      <c r="I5998" s="12">
        <v>11.0</v>
      </c>
      <c r="J5998" s="6" t="s">
        <v>161</v>
      </c>
    </row>
    <row r="5999" ht="22.5" customHeight="1">
      <c r="A5999" s="6" t="s">
        <v>22807</v>
      </c>
      <c r="B5999" s="6" t="s">
        <v>13553</v>
      </c>
      <c r="C5999" s="10">
        <v>46056.0</v>
      </c>
      <c r="D5999" s="6" t="s">
        <v>242</v>
      </c>
      <c r="E5999" s="6" t="s">
        <v>885</v>
      </c>
      <c r="F5999" s="6" t="s">
        <v>112</v>
      </c>
      <c r="G5999" s="6" t="s">
        <v>494</v>
      </c>
      <c r="H5999" s="11" t="s">
        <v>259</v>
      </c>
      <c r="I5999" s="12">
        <v>6.0</v>
      </c>
      <c r="J5999" s="6" t="s">
        <v>178</v>
      </c>
    </row>
    <row r="6000" ht="22.5" customHeight="1">
      <c r="A6000" s="6" t="s">
        <v>22808</v>
      </c>
      <c r="B6000" s="6" t="s">
        <v>13553</v>
      </c>
      <c r="C6000" s="10">
        <v>46054.0</v>
      </c>
      <c r="D6000" s="6" t="s">
        <v>436</v>
      </c>
      <c r="E6000" s="6" t="s">
        <v>1070</v>
      </c>
      <c r="F6000" s="6" t="s">
        <v>283</v>
      </c>
      <c r="G6000" s="6" t="s">
        <v>297</v>
      </c>
      <c r="H6000" s="10">
        <v>46057.0</v>
      </c>
      <c r="I6000" s="12">
        <v>11.0</v>
      </c>
      <c r="J6000" s="6" t="s">
        <v>161</v>
      </c>
    </row>
    <row r="6001" ht="22.5" customHeight="1">
      <c r="A6001" s="6" t="s">
        <v>22809</v>
      </c>
      <c r="B6001" s="6" t="s">
        <v>13553</v>
      </c>
      <c r="C6001" s="10">
        <v>46046.0</v>
      </c>
      <c r="D6001" s="6" t="s">
        <v>242</v>
      </c>
      <c r="E6001" s="6" t="s">
        <v>2365</v>
      </c>
      <c r="F6001" s="6" t="s">
        <v>283</v>
      </c>
      <c r="G6001" s="6" t="s">
        <v>326</v>
      </c>
      <c r="H6001" s="10">
        <v>46047.0</v>
      </c>
      <c r="I6001" s="12">
        <v>3.0</v>
      </c>
      <c r="J6001" s="6" t="s">
        <v>178</v>
      </c>
    </row>
    <row r="6002" ht="22.5" customHeight="1">
      <c r="A6002" s="6" t="s">
        <v>22810</v>
      </c>
      <c r="B6002" s="6" t="s">
        <v>13558</v>
      </c>
      <c r="C6002" s="10">
        <v>46036.0</v>
      </c>
      <c r="D6002" s="6" t="s">
        <v>312</v>
      </c>
      <c r="E6002" s="6" t="s">
        <v>896</v>
      </c>
      <c r="F6002" s="6" t="s">
        <v>249</v>
      </c>
      <c r="G6002" s="6" t="s">
        <v>254</v>
      </c>
      <c r="H6002" s="10">
        <v>46041.0</v>
      </c>
      <c r="I6002" s="12">
        <v>4.0</v>
      </c>
      <c r="J6002" s="6" t="s">
        <v>161</v>
      </c>
    </row>
    <row r="6003" ht="22.5" customHeight="1">
      <c r="A6003" s="6" t="s">
        <v>22811</v>
      </c>
      <c r="B6003" s="6" t="s">
        <v>13558</v>
      </c>
      <c r="C6003" s="10">
        <v>46032.0</v>
      </c>
      <c r="D6003" s="6" t="s">
        <v>436</v>
      </c>
      <c r="E6003" s="6" t="s">
        <v>670</v>
      </c>
      <c r="F6003" s="6" t="s">
        <v>283</v>
      </c>
      <c r="G6003" s="6" t="s">
        <v>297</v>
      </c>
      <c r="H6003" s="10">
        <v>46037.0</v>
      </c>
      <c r="I6003" s="12">
        <v>12.0</v>
      </c>
      <c r="J6003" s="6" t="s">
        <v>178</v>
      </c>
    </row>
    <row r="6004" ht="22.5" customHeight="1">
      <c r="A6004" s="6" t="s">
        <v>22812</v>
      </c>
      <c r="B6004" s="6" t="s">
        <v>13558</v>
      </c>
      <c r="C6004" s="10">
        <v>46038.0</v>
      </c>
      <c r="D6004" s="6" t="s">
        <v>242</v>
      </c>
      <c r="E6004" s="6" t="s">
        <v>1296</v>
      </c>
      <c r="F6004" s="6" t="s">
        <v>283</v>
      </c>
      <c r="G6004" s="6" t="s">
        <v>369</v>
      </c>
      <c r="H6004" s="11" t="s">
        <v>259</v>
      </c>
      <c r="I6004" s="12">
        <v>6.0</v>
      </c>
      <c r="J6004" s="6" t="s">
        <v>178</v>
      </c>
    </row>
    <row r="6005" ht="22.5" customHeight="1">
      <c r="A6005" s="6" t="s">
        <v>22813</v>
      </c>
      <c r="B6005" s="6" t="s">
        <v>13558</v>
      </c>
      <c r="C6005" s="10">
        <v>46033.0</v>
      </c>
      <c r="D6005" s="6" t="s">
        <v>312</v>
      </c>
      <c r="E6005" s="6" t="s">
        <v>1122</v>
      </c>
      <c r="F6005" s="6" t="s">
        <v>283</v>
      </c>
      <c r="G6005" s="6" t="s">
        <v>452</v>
      </c>
      <c r="H6005" s="10">
        <v>46039.0</v>
      </c>
      <c r="I6005" s="12">
        <v>4.0</v>
      </c>
      <c r="J6005" s="6" t="s">
        <v>161</v>
      </c>
    </row>
    <row r="6006" ht="22.5" customHeight="1">
      <c r="A6006" s="6" t="s">
        <v>22814</v>
      </c>
      <c r="B6006" s="6" t="s">
        <v>13563</v>
      </c>
      <c r="C6006" s="10">
        <v>46029.0</v>
      </c>
      <c r="D6006" s="6" t="s">
        <v>436</v>
      </c>
      <c r="E6006" s="6" t="s">
        <v>2365</v>
      </c>
      <c r="F6006" s="6" t="s">
        <v>439</v>
      </c>
      <c r="G6006" s="6" t="s">
        <v>369</v>
      </c>
      <c r="H6006" s="10">
        <v>46031.0</v>
      </c>
      <c r="I6006" s="12">
        <v>10.0</v>
      </c>
      <c r="J6006" s="6" t="s">
        <v>178</v>
      </c>
    </row>
    <row r="6007" ht="22.5" customHeight="1">
      <c r="A6007" s="6" t="s">
        <v>22815</v>
      </c>
      <c r="B6007" s="6" t="s">
        <v>13563</v>
      </c>
      <c r="C6007" s="10">
        <v>46024.0</v>
      </c>
      <c r="D6007" s="6" t="s">
        <v>677</v>
      </c>
      <c r="E6007" s="6" t="s">
        <v>365</v>
      </c>
      <c r="F6007" s="6" t="s">
        <v>112</v>
      </c>
      <c r="G6007" s="6" t="s">
        <v>477</v>
      </c>
      <c r="H6007" s="11" t="s">
        <v>259</v>
      </c>
      <c r="I6007" s="12">
        <v>2.0</v>
      </c>
      <c r="J6007" s="6" t="s">
        <v>161</v>
      </c>
    </row>
    <row r="6008" ht="22.5" customHeight="1">
      <c r="A6008" s="6" t="s">
        <v>22816</v>
      </c>
      <c r="B6008" s="6" t="s">
        <v>13570</v>
      </c>
      <c r="C6008" s="10">
        <v>46070.0</v>
      </c>
      <c r="D6008" s="6" t="s">
        <v>677</v>
      </c>
      <c r="E6008" s="6" t="s">
        <v>291</v>
      </c>
      <c r="F6008" s="6" t="s">
        <v>283</v>
      </c>
      <c r="G6008" s="6" t="s">
        <v>297</v>
      </c>
      <c r="H6008" s="10">
        <v>46074.0</v>
      </c>
      <c r="I6008" s="12">
        <v>3.0</v>
      </c>
      <c r="J6008" s="6" t="s">
        <v>161</v>
      </c>
    </row>
    <row r="6009" ht="22.5" customHeight="1">
      <c r="A6009" s="6" t="s">
        <v>22817</v>
      </c>
      <c r="B6009" s="6" t="s">
        <v>13576</v>
      </c>
      <c r="C6009" s="10">
        <v>46039.0</v>
      </c>
      <c r="D6009" s="6" t="s">
        <v>242</v>
      </c>
      <c r="E6009" s="6" t="s">
        <v>687</v>
      </c>
      <c r="F6009" s="6" t="s">
        <v>249</v>
      </c>
      <c r="G6009" s="6" t="s">
        <v>254</v>
      </c>
      <c r="H6009" s="10">
        <v>46042.0</v>
      </c>
      <c r="I6009" s="12">
        <v>6.0</v>
      </c>
      <c r="J6009" s="6" t="s">
        <v>178</v>
      </c>
    </row>
    <row r="6010" ht="22.5" customHeight="1">
      <c r="A6010" s="6" t="s">
        <v>22818</v>
      </c>
      <c r="B6010" s="6" t="s">
        <v>13576</v>
      </c>
      <c r="C6010" s="10">
        <v>46039.0</v>
      </c>
      <c r="D6010" s="6" t="s">
        <v>391</v>
      </c>
      <c r="E6010" s="6" t="s">
        <v>618</v>
      </c>
      <c r="F6010" s="6" t="s">
        <v>439</v>
      </c>
      <c r="G6010" s="6" t="s">
        <v>297</v>
      </c>
      <c r="H6010" s="10">
        <v>46043.0</v>
      </c>
      <c r="I6010" s="12">
        <v>10.0</v>
      </c>
      <c r="J6010" s="6" t="s">
        <v>161</v>
      </c>
    </row>
    <row r="6011" ht="22.5" customHeight="1">
      <c r="A6011" s="6" t="s">
        <v>22819</v>
      </c>
      <c r="B6011" s="6" t="s">
        <v>13576</v>
      </c>
      <c r="C6011" s="10">
        <v>46044.0</v>
      </c>
      <c r="D6011" s="6" t="s">
        <v>242</v>
      </c>
      <c r="E6011" s="6" t="s">
        <v>1102</v>
      </c>
      <c r="F6011" s="6" t="s">
        <v>283</v>
      </c>
      <c r="G6011" s="6" t="s">
        <v>254</v>
      </c>
      <c r="H6011" s="10">
        <v>46046.0</v>
      </c>
      <c r="I6011" s="12">
        <v>6.0</v>
      </c>
      <c r="J6011" s="6" t="s">
        <v>178</v>
      </c>
    </row>
    <row r="6012" ht="22.5" customHeight="1">
      <c r="A6012" s="6" t="s">
        <v>22820</v>
      </c>
      <c r="B6012" s="6" t="s">
        <v>13576</v>
      </c>
      <c r="C6012" s="10">
        <v>46052.0</v>
      </c>
      <c r="D6012" s="6" t="s">
        <v>289</v>
      </c>
      <c r="E6012" s="6" t="s">
        <v>1055</v>
      </c>
      <c r="F6012" s="6" t="s">
        <v>283</v>
      </c>
      <c r="G6012" s="6" t="s">
        <v>254</v>
      </c>
      <c r="H6012" s="10">
        <v>46052.0</v>
      </c>
      <c r="I6012" s="12">
        <v>8.0</v>
      </c>
      <c r="J6012" s="6" t="s">
        <v>161</v>
      </c>
    </row>
    <row r="6013" ht="22.5" customHeight="1">
      <c r="A6013" s="6" t="s">
        <v>22821</v>
      </c>
      <c r="B6013" s="6" t="s">
        <v>13583</v>
      </c>
      <c r="C6013" s="10">
        <v>46025.0</v>
      </c>
      <c r="D6013" s="6" t="s">
        <v>391</v>
      </c>
      <c r="E6013" s="6" t="s">
        <v>833</v>
      </c>
      <c r="F6013" s="6" t="s">
        <v>249</v>
      </c>
      <c r="G6013" s="6" t="s">
        <v>297</v>
      </c>
      <c r="H6013" s="11" t="s">
        <v>259</v>
      </c>
      <c r="I6013" s="12">
        <v>10.0</v>
      </c>
      <c r="J6013" s="6" t="s">
        <v>161</v>
      </c>
    </row>
    <row r="6014" ht="22.5" customHeight="1">
      <c r="A6014" s="6" t="s">
        <v>22822</v>
      </c>
      <c r="B6014" s="6" t="s">
        <v>13583</v>
      </c>
      <c r="C6014" s="10">
        <v>46033.0</v>
      </c>
      <c r="D6014" s="6" t="s">
        <v>391</v>
      </c>
      <c r="E6014" s="6" t="s">
        <v>634</v>
      </c>
      <c r="F6014" s="6" t="s">
        <v>249</v>
      </c>
      <c r="G6014" s="6" t="s">
        <v>297</v>
      </c>
      <c r="H6014" s="10">
        <v>46036.0</v>
      </c>
      <c r="I6014" s="12">
        <v>9.0</v>
      </c>
      <c r="J6014" s="6" t="s">
        <v>161</v>
      </c>
    </row>
    <row r="6015" ht="22.5" customHeight="1">
      <c r="A6015" s="6" t="s">
        <v>22823</v>
      </c>
      <c r="B6015" s="6" t="s">
        <v>13583</v>
      </c>
      <c r="C6015" s="10">
        <v>46035.0</v>
      </c>
      <c r="D6015" s="6" t="s">
        <v>289</v>
      </c>
      <c r="E6015" s="6" t="s">
        <v>1570</v>
      </c>
      <c r="F6015" s="6" t="s">
        <v>283</v>
      </c>
      <c r="G6015" s="6" t="s">
        <v>254</v>
      </c>
      <c r="H6015" s="10">
        <v>46039.0</v>
      </c>
      <c r="I6015" s="12">
        <v>10.0</v>
      </c>
      <c r="J6015" s="6" t="s">
        <v>161</v>
      </c>
    </row>
    <row r="6016" ht="22.5" customHeight="1">
      <c r="A6016" s="6" t="s">
        <v>22824</v>
      </c>
      <c r="B6016" s="6" t="s">
        <v>13583</v>
      </c>
      <c r="C6016" s="10">
        <v>46038.0</v>
      </c>
      <c r="D6016" s="6" t="s">
        <v>677</v>
      </c>
      <c r="E6016" s="6" t="s">
        <v>1055</v>
      </c>
      <c r="F6016" s="6" t="s">
        <v>112</v>
      </c>
      <c r="G6016" s="6" t="s">
        <v>369</v>
      </c>
      <c r="H6016" s="10">
        <v>46041.0</v>
      </c>
      <c r="I6016" s="12">
        <v>3.0</v>
      </c>
      <c r="J6016" s="6" t="s">
        <v>161</v>
      </c>
    </row>
    <row r="6017" ht="22.5" customHeight="1">
      <c r="A6017" s="6" t="s">
        <v>22825</v>
      </c>
      <c r="B6017" s="6" t="s">
        <v>13590</v>
      </c>
      <c r="C6017" s="10">
        <v>46065.0</v>
      </c>
      <c r="D6017" s="6" t="s">
        <v>677</v>
      </c>
      <c r="E6017" s="6" t="s">
        <v>365</v>
      </c>
      <c r="F6017" s="6" t="s">
        <v>283</v>
      </c>
      <c r="G6017" s="6" t="s">
        <v>458</v>
      </c>
      <c r="H6017" s="11" t="s">
        <v>259</v>
      </c>
      <c r="I6017" s="12">
        <v>4.0</v>
      </c>
      <c r="J6017" s="6" t="s">
        <v>161</v>
      </c>
    </row>
    <row r="6018" ht="22.5" customHeight="1">
      <c r="A6018" s="6" t="s">
        <v>22826</v>
      </c>
      <c r="B6018" s="6" t="s">
        <v>13590</v>
      </c>
      <c r="C6018" s="10">
        <v>46060.0</v>
      </c>
      <c r="D6018" s="6" t="s">
        <v>289</v>
      </c>
      <c r="E6018" s="6" t="s">
        <v>738</v>
      </c>
      <c r="F6018" s="6" t="s">
        <v>249</v>
      </c>
      <c r="G6018" s="6" t="s">
        <v>254</v>
      </c>
      <c r="H6018" s="10">
        <v>46062.0</v>
      </c>
      <c r="I6018" s="12">
        <v>10.0</v>
      </c>
      <c r="J6018" s="6" t="s">
        <v>161</v>
      </c>
    </row>
    <row r="6019" ht="22.5" customHeight="1">
      <c r="A6019" s="6" t="s">
        <v>22827</v>
      </c>
      <c r="B6019" s="6" t="s">
        <v>13596</v>
      </c>
      <c r="C6019" s="10">
        <v>46069.0</v>
      </c>
      <c r="D6019" s="6" t="s">
        <v>677</v>
      </c>
      <c r="E6019" s="6" t="s">
        <v>466</v>
      </c>
      <c r="F6019" s="6" t="s">
        <v>112</v>
      </c>
      <c r="G6019" s="6" t="s">
        <v>326</v>
      </c>
      <c r="H6019" s="10">
        <v>46069.0</v>
      </c>
      <c r="I6019" s="12">
        <v>4.0</v>
      </c>
      <c r="J6019" s="6" t="s">
        <v>161</v>
      </c>
    </row>
    <row r="6020" ht="22.5" customHeight="1">
      <c r="A6020" s="6" t="s">
        <v>22828</v>
      </c>
      <c r="B6020" s="6" t="s">
        <v>13596</v>
      </c>
      <c r="C6020" s="10">
        <v>46066.0</v>
      </c>
      <c r="D6020" s="6" t="s">
        <v>391</v>
      </c>
      <c r="E6020" s="6" t="s">
        <v>1296</v>
      </c>
      <c r="F6020" s="6" t="s">
        <v>439</v>
      </c>
      <c r="G6020" s="6" t="s">
        <v>326</v>
      </c>
      <c r="H6020" s="10">
        <v>46072.0</v>
      </c>
      <c r="I6020" s="12">
        <v>9.0</v>
      </c>
      <c r="J6020" s="6" t="s">
        <v>161</v>
      </c>
    </row>
    <row r="6021" ht="22.5" customHeight="1">
      <c r="A6021" s="6" t="s">
        <v>22829</v>
      </c>
      <c r="B6021" s="6" t="s">
        <v>13596</v>
      </c>
      <c r="C6021" s="10">
        <v>46078.0</v>
      </c>
      <c r="D6021" s="6" t="s">
        <v>677</v>
      </c>
      <c r="E6021" s="6" t="s">
        <v>1386</v>
      </c>
      <c r="F6021" s="6" t="s">
        <v>283</v>
      </c>
      <c r="G6021" s="6" t="s">
        <v>369</v>
      </c>
      <c r="H6021" s="10">
        <v>46085.0</v>
      </c>
      <c r="I6021" s="12">
        <v>2.0</v>
      </c>
      <c r="J6021" s="6" t="s">
        <v>161</v>
      </c>
    </row>
    <row r="6022" ht="22.5" customHeight="1">
      <c r="A6022" s="6" t="s">
        <v>22830</v>
      </c>
      <c r="B6022" s="6" t="s">
        <v>13604</v>
      </c>
      <c r="C6022" s="10">
        <v>46063.0</v>
      </c>
      <c r="D6022" s="6" t="s">
        <v>312</v>
      </c>
      <c r="E6022" s="6" t="s">
        <v>618</v>
      </c>
      <c r="F6022" s="6" t="s">
        <v>249</v>
      </c>
      <c r="G6022" s="6" t="s">
        <v>326</v>
      </c>
      <c r="H6022" s="10">
        <v>46065.0</v>
      </c>
      <c r="I6022" s="12">
        <v>7.0</v>
      </c>
      <c r="J6022" s="6" t="s">
        <v>161</v>
      </c>
    </row>
    <row r="6023" ht="22.5" customHeight="1">
      <c r="A6023" s="6" t="s">
        <v>22831</v>
      </c>
      <c r="B6023" s="6" t="s">
        <v>13604</v>
      </c>
      <c r="C6023" s="10">
        <v>46049.0</v>
      </c>
      <c r="D6023" s="6" t="s">
        <v>391</v>
      </c>
      <c r="E6023" s="6" t="s">
        <v>687</v>
      </c>
      <c r="F6023" s="6" t="s">
        <v>283</v>
      </c>
      <c r="G6023" s="6" t="s">
        <v>477</v>
      </c>
      <c r="H6023" s="10">
        <v>46056.0</v>
      </c>
      <c r="I6023" s="12">
        <v>6.0</v>
      </c>
      <c r="J6023" s="6" t="s">
        <v>161</v>
      </c>
    </row>
    <row r="6024" ht="22.5" customHeight="1">
      <c r="A6024" s="6" t="s">
        <v>22832</v>
      </c>
      <c r="B6024" s="6" t="s">
        <v>13612</v>
      </c>
      <c r="C6024" s="10">
        <v>46038.0</v>
      </c>
      <c r="D6024" s="6" t="s">
        <v>436</v>
      </c>
      <c r="E6024" s="6" t="s">
        <v>955</v>
      </c>
      <c r="F6024" s="6" t="s">
        <v>283</v>
      </c>
      <c r="G6024" s="6" t="s">
        <v>452</v>
      </c>
      <c r="H6024" s="10">
        <v>46038.0</v>
      </c>
      <c r="I6024" s="12">
        <v>10.0</v>
      </c>
      <c r="J6024" s="6" t="s">
        <v>178</v>
      </c>
    </row>
    <row r="6025" ht="22.5" customHeight="1">
      <c r="A6025" s="6" t="s">
        <v>22833</v>
      </c>
      <c r="B6025" s="6" t="s">
        <v>13612</v>
      </c>
      <c r="C6025" s="10">
        <v>46025.0</v>
      </c>
      <c r="D6025" s="6" t="s">
        <v>289</v>
      </c>
      <c r="E6025" s="6" t="s">
        <v>566</v>
      </c>
      <c r="F6025" s="6" t="s">
        <v>112</v>
      </c>
      <c r="G6025" s="6" t="s">
        <v>494</v>
      </c>
      <c r="H6025" s="10">
        <v>46032.0</v>
      </c>
      <c r="I6025" s="12">
        <v>8.0</v>
      </c>
      <c r="J6025" s="6" t="s">
        <v>161</v>
      </c>
    </row>
    <row r="6026" ht="22.5" customHeight="1">
      <c r="A6026" s="6" t="s">
        <v>22834</v>
      </c>
      <c r="B6026" s="6" t="s">
        <v>13619</v>
      </c>
      <c r="C6026" s="10">
        <v>46059.0</v>
      </c>
      <c r="D6026" s="6" t="s">
        <v>289</v>
      </c>
      <c r="E6026" s="6" t="s">
        <v>475</v>
      </c>
      <c r="F6026" s="6" t="s">
        <v>439</v>
      </c>
      <c r="G6026" s="6" t="s">
        <v>254</v>
      </c>
      <c r="H6026" s="10">
        <v>46063.0</v>
      </c>
      <c r="I6026" s="12">
        <v>6.0</v>
      </c>
      <c r="J6026" s="6" t="s">
        <v>161</v>
      </c>
    </row>
    <row r="6027" ht="22.5" customHeight="1">
      <c r="A6027" s="6" t="s">
        <v>22835</v>
      </c>
      <c r="B6027" s="6" t="s">
        <v>13619</v>
      </c>
      <c r="C6027" s="10">
        <v>46061.0</v>
      </c>
      <c r="D6027" s="6" t="s">
        <v>312</v>
      </c>
      <c r="E6027" s="6" t="s">
        <v>1700</v>
      </c>
      <c r="F6027" s="6" t="s">
        <v>283</v>
      </c>
      <c r="G6027" s="6" t="s">
        <v>477</v>
      </c>
      <c r="H6027" s="10">
        <v>46066.0</v>
      </c>
      <c r="I6027" s="12">
        <v>5.0</v>
      </c>
      <c r="J6027" s="6" t="s">
        <v>161</v>
      </c>
    </row>
    <row r="6028" ht="22.5" customHeight="1">
      <c r="A6028" s="6" t="s">
        <v>22836</v>
      </c>
      <c r="B6028" s="6" t="s">
        <v>13627</v>
      </c>
      <c r="C6028" s="10">
        <v>46052.0</v>
      </c>
      <c r="D6028" s="6" t="s">
        <v>391</v>
      </c>
      <c r="E6028" s="6" t="s">
        <v>2881</v>
      </c>
      <c r="F6028" s="6" t="s">
        <v>112</v>
      </c>
      <c r="G6028" s="6" t="s">
        <v>326</v>
      </c>
      <c r="H6028" s="11" t="s">
        <v>259</v>
      </c>
      <c r="I6028" s="12">
        <v>9.0</v>
      </c>
      <c r="J6028" s="6" t="s">
        <v>161</v>
      </c>
    </row>
    <row r="6029" ht="22.5" customHeight="1">
      <c r="A6029" s="6" t="s">
        <v>22837</v>
      </c>
      <c r="B6029" s="6" t="s">
        <v>13627</v>
      </c>
      <c r="C6029" s="10">
        <v>46058.0</v>
      </c>
      <c r="D6029" s="6" t="s">
        <v>391</v>
      </c>
      <c r="E6029" s="6" t="s">
        <v>658</v>
      </c>
      <c r="F6029" s="6" t="s">
        <v>112</v>
      </c>
      <c r="G6029" s="6" t="s">
        <v>254</v>
      </c>
      <c r="H6029" s="10">
        <v>46059.0</v>
      </c>
      <c r="I6029" s="12">
        <v>11.0</v>
      </c>
      <c r="J6029" s="6" t="s">
        <v>161</v>
      </c>
    </row>
    <row r="6030" ht="22.5" customHeight="1">
      <c r="A6030" s="6" t="s">
        <v>22838</v>
      </c>
      <c r="B6030" s="6" t="s">
        <v>13627</v>
      </c>
      <c r="C6030" s="10">
        <v>46047.0</v>
      </c>
      <c r="D6030" s="6" t="s">
        <v>677</v>
      </c>
      <c r="E6030" s="6" t="s">
        <v>1122</v>
      </c>
      <c r="F6030" s="6" t="s">
        <v>249</v>
      </c>
      <c r="G6030" s="6" t="s">
        <v>494</v>
      </c>
      <c r="H6030" s="10">
        <v>46052.0</v>
      </c>
      <c r="I6030" s="12">
        <v>2.0</v>
      </c>
      <c r="J6030" s="6" t="s">
        <v>161</v>
      </c>
    </row>
    <row r="6031" ht="22.5" customHeight="1">
      <c r="A6031" s="6" t="s">
        <v>22839</v>
      </c>
      <c r="B6031" s="6" t="s">
        <v>13627</v>
      </c>
      <c r="C6031" s="10">
        <v>46061.0</v>
      </c>
      <c r="D6031" s="6" t="s">
        <v>677</v>
      </c>
      <c r="E6031" s="6" t="s">
        <v>1296</v>
      </c>
      <c r="F6031" s="6" t="s">
        <v>283</v>
      </c>
      <c r="G6031" s="6" t="s">
        <v>369</v>
      </c>
      <c r="H6031" s="10">
        <v>46063.0</v>
      </c>
      <c r="I6031" s="12">
        <v>3.0</v>
      </c>
      <c r="J6031" s="6" t="s">
        <v>161</v>
      </c>
    </row>
    <row r="6032" ht="22.5" customHeight="1">
      <c r="A6032" s="6" t="s">
        <v>22840</v>
      </c>
      <c r="B6032" s="6" t="s">
        <v>13627</v>
      </c>
      <c r="C6032" s="10">
        <v>46060.0</v>
      </c>
      <c r="D6032" s="6" t="s">
        <v>416</v>
      </c>
      <c r="E6032" s="6" t="s">
        <v>320</v>
      </c>
      <c r="F6032" s="6" t="s">
        <v>439</v>
      </c>
      <c r="G6032" s="6" t="s">
        <v>326</v>
      </c>
      <c r="H6032" s="10">
        <v>46065.0</v>
      </c>
      <c r="I6032" s="12">
        <v>14.0</v>
      </c>
      <c r="J6032" s="6" t="s">
        <v>161</v>
      </c>
    </row>
    <row r="6033" ht="22.5" customHeight="1">
      <c r="A6033" s="6" t="s">
        <v>22841</v>
      </c>
      <c r="B6033" s="6" t="s">
        <v>13634</v>
      </c>
      <c r="C6033" s="10">
        <v>46086.0</v>
      </c>
      <c r="D6033" s="6" t="s">
        <v>312</v>
      </c>
      <c r="E6033" s="6" t="s">
        <v>1280</v>
      </c>
      <c r="F6033" s="6" t="s">
        <v>283</v>
      </c>
      <c r="G6033" s="6" t="s">
        <v>452</v>
      </c>
      <c r="H6033" s="10">
        <v>46093.0</v>
      </c>
      <c r="I6033" s="12">
        <v>4.0</v>
      </c>
      <c r="J6033" s="6" t="s">
        <v>161</v>
      </c>
    </row>
    <row r="6034" ht="22.5" customHeight="1">
      <c r="A6034" s="6" t="s">
        <v>22842</v>
      </c>
      <c r="B6034" s="6" t="s">
        <v>13634</v>
      </c>
      <c r="C6034" s="10">
        <v>46068.0</v>
      </c>
      <c r="D6034" s="6" t="s">
        <v>391</v>
      </c>
      <c r="E6034" s="6" t="s">
        <v>775</v>
      </c>
      <c r="F6034" s="6" t="s">
        <v>249</v>
      </c>
      <c r="G6034" s="6" t="s">
        <v>369</v>
      </c>
      <c r="H6034" s="10">
        <v>46073.0</v>
      </c>
      <c r="I6034" s="12">
        <v>6.0</v>
      </c>
      <c r="J6034" s="6" t="s">
        <v>161</v>
      </c>
    </row>
    <row r="6035" ht="22.5" customHeight="1">
      <c r="A6035" s="6" t="s">
        <v>22843</v>
      </c>
      <c r="B6035" s="6" t="s">
        <v>13634</v>
      </c>
      <c r="C6035" s="10">
        <v>46071.0</v>
      </c>
      <c r="D6035" s="6" t="s">
        <v>242</v>
      </c>
      <c r="E6035" s="6" t="s">
        <v>1969</v>
      </c>
      <c r="F6035" s="6" t="s">
        <v>249</v>
      </c>
      <c r="G6035" s="6" t="s">
        <v>297</v>
      </c>
      <c r="H6035" s="11" t="s">
        <v>259</v>
      </c>
      <c r="I6035" s="12">
        <v>5.0</v>
      </c>
      <c r="J6035" s="6" t="s">
        <v>178</v>
      </c>
    </row>
    <row r="6036" ht="22.5" customHeight="1">
      <c r="A6036" s="6" t="s">
        <v>22844</v>
      </c>
      <c r="B6036" s="6" t="s">
        <v>13641</v>
      </c>
      <c r="C6036" s="10">
        <v>46035.0</v>
      </c>
      <c r="D6036" s="6" t="s">
        <v>436</v>
      </c>
      <c r="E6036" s="6" t="s">
        <v>1546</v>
      </c>
      <c r="F6036" s="6" t="s">
        <v>112</v>
      </c>
      <c r="G6036" s="6" t="s">
        <v>494</v>
      </c>
      <c r="H6036" s="10">
        <v>46042.0</v>
      </c>
      <c r="I6036" s="12">
        <v>8.0</v>
      </c>
      <c r="J6036" s="6" t="s">
        <v>178</v>
      </c>
    </row>
    <row r="6037" ht="22.5" customHeight="1">
      <c r="A6037" s="6" t="s">
        <v>22845</v>
      </c>
      <c r="B6037" s="6" t="s">
        <v>13641</v>
      </c>
      <c r="C6037" s="10">
        <v>46041.0</v>
      </c>
      <c r="D6037" s="6" t="s">
        <v>436</v>
      </c>
      <c r="E6037" s="6" t="s">
        <v>1552</v>
      </c>
      <c r="F6037" s="6" t="s">
        <v>439</v>
      </c>
      <c r="G6037" s="6" t="s">
        <v>297</v>
      </c>
      <c r="H6037" s="10">
        <v>46043.0</v>
      </c>
      <c r="I6037" s="12">
        <v>12.0</v>
      </c>
      <c r="J6037" s="6" t="s">
        <v>178</v>
      </c>
    </row>
    <row r="6038" ht="22.5" customHeight="1">
      <c r="A6038" s="6" t="s">
        <v>22846</v>
      </c>
      <c r="B6038" s="6" t="s">
        <v>13641</v>
      </c>
      <c r="C6038" s="10">
        <v>46041.0</v>
      </c>
      <c r="D6038" s="6" t="s">
        <v>677</v>
      </c>
      <c r="E6038" s="6" t="s">
        <v>687</v>
      </c>
      <c r="F6038" s="6" t="s">
        <v>283</v>
      </c>
      <c r="G6038" s="6" t="s">
        <v>452</v>
      </c>
      <c r="H6038" s="10">
        <v>46044.0</v>
      </c>
      <c r="I6038" s="12">
        <v>3.0</v>
      </c>
      <c r="J6038" s="6" t="s">
        <v>161</v>
      </c>
    </row>
    <row r="6039" ht="22.5" customHeight="1">
      <c r="A6039" s="6" t="s">
        <v>22847</v>
      </c>
      <c r="B6039" s="6" t="s">
        <v>13648</v>
      </c>
      <c r="C6039" s="10">
        <v>46071.0</v>
      </c>
      <c r="D6039" s="6" t="s">
        <v>289</v>
      </c>
      <c r="E6039" s="6" t="s">
        <v>1241</v>
      </c>
      <c r="F6039" s="6" t="s">
        <v>249</v>
      </c>
      <c r="G6039" s="6" t="s">
        <v>297</v>
      </c>
      <c r="H6039" s="10">
        <v>46073.0</v>
      </c>
      <c r="I6039" s="12">
        <v>7.0</v>
      </c>
      <c r="J6039" s="6" t="s">
        <v>161</v>
      </c>
    </row>
    <row r="6040" ht="22.5" customHeight="1">
      <c r="A6040" s="6" t="s">
        <v>22848</v>
      </c>
      <c r="B6040" s="6" t="s">
        <v>13648</v>
      </c>
      <c r="C6040" s="10">
        <v>46074.0</v>
      </c>
      <c r="D6040" s="6" t="s">
        <v>242</v>
      </c>
      <c r="E6040" s="6" t="s">
        <v>450</v>
      </c>
      <c r="F6040" s="6" t="s">
        <v>112</v>
      </c>
      <c r="G6040" s="6" t="s">
        <v>452</v>
      </c>
      <c r="H6040" s="11" t="s">
        <v>259</v>
      </c>
      <c r="I6040" s="12">
        <v>5.0</v>
      </c>
      <c r="J6040" s="6" t="s">
        <v>178</v>
      </c>
    </row>
    <row r="6041" ht="22.5" customHeight="1">
      <c r="A6041" s="6" t="s">
        <v>22849</v>
      </c>
      <c r="B6041" s="6" t="s">
        <v>13648</v>
      </c>
      <c r="C6041" s="10">
        <v>46081.0</v>
      </c>
      <c r="D6041" s="6" t="s">
        <v>391</v>
      </c>
      <c r="E6041" s="6" t="s">
        <v>738</v>
      </c>
      <c r="F6041" s="6" t="s">
        <v>112</v>
      </c>
      <c r="G6041" s="6" t="s">
        <v>452</v>
      </c>
      <c r="H6041" s="10">
        <v>46085.0</v>
      </c>
      <c r="I6041" s="12">
        <v>7.0</v>
      </c>
      <c r="J6041" s="6" t="s">
        <v>161</v>
      </c>
    </row>
    <row r="6042" ht="22.5" customHeight="1">
      <c r="A6042" s="6" t="s">
        <v>22850</v>
      </c>
      <c r="B6042" s="6" t="s">
        <v>13655</v>
      </c>
      <c r="C6042" s="10">
        <v>46073.0</v>
      </c>
      <c r="D6042" s="6" t="s">
        <v>242</v>
      </c>
      <c r="E6042" s="6" t="s">
        <v>955</v>
      </c>
      <c r="F6042" s="6" t="s">
        <v>283</v>
      </c>
      <c r="G6042" s="6" t="s">
        <v>369</v>
      </c>
      <c r="H6042" s="10">
        <v>46077.0</v>
      </c>
      <c r="I6042" s="12">
        <v>4.0</v>
      </c>
      <c r="J6042" s="6" t="s">
        <v>178</v>
      </c>
    </row>
    <row r="6043" ht="22.5" customHeight="1">
      <c r="A6043" s="6" t="s">
        <v>22851</v>
      </c>
      <c r="B6043" s="6" t="s">
        <v>13655</v>
      </c>
      <c r="C6043" s="10">
        <v>46082.0</v>
      </c>
      <c r="D6043" s="6" t="s">
        <v>312</v>
      </c>
      <c r="E6043" s="6" t="s">
        <v>775</v>
      </c>
      <c r="F6043" s="6" t="s">
        <v>249</v>
      </c>
      <c r="G6043" s="6" t="s">
        <v>494</v>
      </c>
      <c r="H6043" s="10">
        <v>46088.0</v>
      </c>
      <c r="I6043" s="12">
        <v>5.0</v>
      </c>
      <c r="J6043" s="6" t="s">
        <v>161</v>
      </c>
    </row>
    <row r="6044" ht="22.5" customHeight="1">
      <c r="A6044" s="6" t="s">
        <v>22852</v>
      </c>
      <c r="B6044" s="6" t="s">
        <v>13655</v>
      </c>
      <c r="C6044" s="10">
        <v>46084.0</v>
      </c>
      <c r="D6044" s="6" t="s">
        <v>436</v>
      </c>
      <c r="E6044" s="6" t="s">
        <v>738</v>
      </c>
      <c r="F6044" s="6" t="s">
        <v>283</v>
      </c>
      <c r="G6044" s="6" t="s">
        <v>369</v>
      </c>
      <c r="H6044" s="10">
        <v>46086.0</v>
      </c>
      <c r="I6044" s="12">
        <v>12.0</v>
      </c>
      <c r="J6044" s="6" t="s">
        <v>161</v>
      </c>
    </row>
    <row r="6045" ht="22.5" customHeight="1">
      <c r="A6045" s="6" t="s">
        <v>22853</v>
      </c>
      <c r="B6045" s="6" t="s">
        <v>13655</v>
      </c>
      <c r="C6045" s="10">
        <v>46071.0</v>
      </c>
      <c r="D6045" s="6" t="s">
        <v>289</v>
      </c>
      <c r="E6045" s="6" t="s">
        <v>704</v>
      </c>
      <c r="F6045" s="6" t="s">
        <v>439</v>
      </c>
      <c r="G6045" s="6" t="s">
        <v>458</v>
      </c>
      <c r="H6045" s="10">
        <v>46074.0</v>
      </c>
      <c r="I6045" s="12">
        <v>6.0</v>
      </c>
      <c r="J6045" s="6" t="s">
        <v>161</v>
      </c>
    </row>
    <row r="6046" ht="22.5" customHeight="1">
      <c r="A6046" s="6" t="s">
        <v>22854</v>
      </c>
      <c r="B6046" s="6" t="s">
        <v>13663</v>
      </c>
      <c r="C6046" s="10">
        <v>46061.0</v>
      </c>
      <c r="D6046" s="6" t="s">
        <v>677</v>
      </c>
      <c r="E6046" s="6" t="s">
        <v>1035</v>
      </c>
      <c r="F6046" s="6" t="s">
        <v>112</v>
      </c>
      <c r="G6046" s="6" t="s">
        <v>494</v>
      </c>
      <c r="H6046" s="10">
        <v>46065.0</v>
      </c>
      <c r="I6046" s="12">
        <v>2.0</v>
      </c>
      <c r="J6046" s="6" t="s">
        <v>161</v>
      </c>
    </row>
    <row r="6047" ht="22.5" customHeight="1">
      <c r="A6047" s="6" t="s">
        <v>22855</v>
      </c>
      <c r="B6047" s="6" t="s">
        <v>13663</v>
      </c>
      <c r="C6047" s="10">
        <v>46062.0</v>
      </c>
      <c r="D6047" s="6" t="s">
        <v>289</v>
      </c>
      <c r="E6047" s="6" t="s">
        <v>1969</v>
      </c>
      <c r="F6047" s="6" t="s">
        <v>249</v>
      </c>
      <c r="G6047" s="6" t="s">
        <v>254</v>
      </c>
      <c r="H6047" s="11" t="s">
        <v>259</v>
      </c>
      <c r="I6047" s="12">
        <v>5.0</v>
      </c>
      <c r="J6047" s="6" t="s">
        <v>161</v>
      </c>
    </row>
    <row r="6048" ht="22.5" customHeight="1">
      <c r="A6048" s="6" t="s">
        <v>22856</v>
      </c>
      <c r="B6048" s="6" t="s">
        <v>13663</v>
      </c>
      <c r="C6048" s="10">
        <v>46065.0</v>
      </c>
      <c r="D6048" s="6" t="s">
        <v>416</v>
      </c>
      <c r="E6048" s="6" t="s">
        <v>1517</v>
      </c>
      <c r="F6048" s="6" t="s">
        <v>112</v>
      </c>
      <c r="G6048" s="6" t="s">
        <v>297</v>
      </c>
      <c r="H6048" s="10">
        <v>46070.0</v>
      </c>
      <c r="I6048" s="12">
        <v>11.0</v>
      </c>
      <c r="J6048" s="6" t="s">
        <v>161</v>
      </c>
    </row>
    <row r="6049" ht="22.5" customHeight="1">
      <c r="A6049" s="6" t="s">
        <v>22857</v>
      </c>
      <c r="B6049" s="6" t="s">
        <v>13663</v>
      </c>
      <c r="C6049" s="10">
        <v>46066.0</v>
      </c>
      <c r="D6049" s="6" t="s">
        <v>391</v>
      </c>
      <c r="E6049" s="6" t="s">
        <v>885</v>
      </c>
      <c r="F6049" s="6" t="s">
        <v>112</v>
      </c>
      <c r="G6049" s="6" t="s">
        <v>326</v>
      </c>
      <c r="H6049" s="10">
        <v>46071.0</v>
      </c>
      <c r="I6049" s="12">
        <v>6.0</v>
      </c>
      <c r="J6049" s="6" t="s">
        <v>161</v>
      </c>
    </row>
    <row r="6050" ht="22.5" customHeight="1">
      <c r="A6050" s="6" t="s">
        <v>22858</v>
      </c>
      <c r="B6050" s="6" t="s">
        <v>13671</v>
      </c>
      <c r="C6050" s="10">
        <v>46047.0</v>
      </c>
      <c r="D6050" s="6" t="s">
        <v>391</v>
      </c>
      <c r="E6050" s="6" t="s">
        <v>417</v>
      </c>
      <c r="F6050" s="6" t="s">
        <v>112</v>
      </c>
      <c r="G6050" s="6" t="s">
        <v>254</v>
      </c>
      <c r="H6050" s="10">
        <v>46052.0</v>
      </c>
      <c r="I6050" s="12">
        <v>6.0</v>
      </c>
      <c r="J6050" s="6" t="s">
        <v>161</v>
      </c>
    </row>
    <row r="6051" ht="22.5" customHeight="1">
      <c r="A6051" s="6" t="s">
        <v>22859</v>
      </c>
      <c r="B6051" s="6" t="s">
        <v>13678</v>
      </c>
      <c r="C6051" s="10">
        <v>46052.0</v>
      </c>
      <c r="D6051" s="6" t="s">
        <v>312</v>
      </c>
      <c r="E6051" s="6" t="s">
        <v>1517</v>
      </c>
      <c r="F6051" s="6" t="s">
        <v>112</v>
      </c>
      <c r="G6051" s="6" t="s">
        <v>326</v>
      </c>
      <c r="H6051" s="10">
        <v>46052.0</v>
      </c>
      <c r="I6051" s="12">
        <v>4.0</v>
      </c>
      <c r="J6051" s="6" t="s">
        <v>161</v>
      </c>
    </row>
    <row r="6052" ht="22.5" customHeight="1">
      <c r="A6052" s="6" t="s">
        <v>22860</v>
      </c>
      <c r="B6052" s="6" t="s">
        <v>13686</v>
      </c>
      <c r="C6052" s="10">
        <v>46053.0</v>
      </c>
      <c r="D6052" s="6" t="s">
        <v>312</v>
      </c>
      <c r="E6052" s="6" t="s">
        <v>1552</v>
      </c>
      <c r="F6052" s="6" t="s">
        <v>249</v>
      </c>
      <c r="G6052" s="6" t="s">
        <v>477</v>
      </c>
      <c r="H6052" s="10">
        <v>46060.0</v>
      </c>
      <c r="I6052" s="12">
        <v>4.0</v>
      </c>
      <c r="J6052" s="6" t="s">
        <v>161</v>
      </c>
    </row>
    <row r="6053" ht="22.5" customHeight="1">
      <c r="A6053" s="6" t="s">
        <v>22861</v>
      </c>
      <c r="B6053" s="6" t="s">
        <v>13686</v>
      </c>
      <c r="C6053" s="10">
        <v>46055.0</v>
      </c>
      <c r="D6053" s="6" t="s">
        <v>436</v>
      </c>
      <c r="E6053" s="6" t="s">
        <v>320</v>
      </c>
      <c r="F6053" s="6" t="s">
        <v>112</v>
      </c>
      <c r="G6053" s="6" t="s">
        <v>254</v>
      </c>
      <c r="H6053" s="10">
        <v>46059.0</v>
      </c>
      <c r="I6053" s="12">
        <v>11.0</v>
      </c>
      <c r="J6053" s="6" t="s">
        <v>178</v>
      </c>
    </row>
    <row r="6054" ht="22.5" customHeight="1">
      <c r="A6054" s="6" t="s">
        <v>22862</v>
      </c>
      <c r="B6054" s="6" t="s">
        <v>13686</v>
      </c>
      <c r="C6054" s="10">
        <v>46053.0</v>
      </c>
      <c r="D6054" s="6" t="s">
        <v>312</v>
      </c>
      <c r="E6054" s="6" t="s">
        <v>512</v>
      </c>
      <c r="F6054" s="6" t="s">
        <v>112</v>
      </c>
      <c r="G6054" s="6" t="s">
        <v>254</v>
      </c>
      <c r="H6054" s="10">
        <v>46054.0</v>
      </c>
      <c r="I6054" s="12">
        <v>6.0</v>
      </c>
      <c r="J6054" s="6" t="s">
        <v>161</v>
      </c>
    </row>
    <row r="6055" ht="22.5" customHeight="1">
      <c r="A6055" s="6" t="s">
        <v>22863</v>
      </c>
      <c r="B6055" s="6" t="s">
        <v>13686</v>
      </c>
      <c r="C6055" s="10">
        <v>46038.0</v>
      </c>
      <c r="D6055" s="6" t="s">
        <v>677</v>
      </c>
      <c r="E6055" s="6" t="s">
        <v>1386</v>
      </c>
      <c r="F6055" s="6" t="s">
        <v>112</v>
      </c>
      <c r="G6055" s="6" t="s">
        <v>326</v>
      </c>
      <c r="H6055" s="10">
        <v>46045.0</v>
      </c>
      <c r="I6055" s="12">
        <v>4.0</v>
      </c>
      <c r="J6055" s="6" t="s">
        <v>161</v>
      </c>
    </row>
    <row r="6056" ht="22.5" customHeight="1">
      <c r="A6056" s="6" t="s">
        <v>22864</v>
      </c>
      <c r="B6056" s="6" t="s">
        <v>13692</v>
      </c>
      <c r="C6056" s="10">
        <v>46073.0</v>
      </c>
      <c r="D6056" s="6" t="s">
        <v>242</v>
      </c>
      <c r="E6056" s="6" t="s">
        <v>1055</v>
      </c>
      <c r="F6056" s="6" t="s">
        <v>439</v>
      </c>
      <c r="G6056" s="6" t="s">
        <v>369</v>
      </c>
      <c r="H6056" s="10">
        <v>46073.0</v>
      </c>
      <c r="I6056" s="12">
        <v>6.0</v>
      </c>
      <c r="J6056" s="6" t="s">
        <v>178</v>
      </c>
    </row>
    <row r="6057" ht="22.5" customHeight="1">
      <c r="A6057" s="6" t="s">
        <v>22865</v>
      </c>
      <c r="B6057" s="6" t="s">
        <v>13692</v>
      </c>
      <c r="C6057" s="10">
        <v>46075.0</v>
      </c>
      <c r="D6057" s="6" t="s">
        <v>677</v>
      </c>
      <c r="E6057" s="6" t="s">
        <v>1546</v>
      </c>
      <c r="F6057" s="6" t="s">
        <v>283</v>
      </c>
      <c r="G6057" s="6" t="s">
        <v>477</v>
      </c>
      <c r="H6057" s="10">
        <v>46078.0</v>
      </c>
      <c r="I6057" s="12">
        <v>3.0</v>
      </c>
      <c r="J6057" s="6" t="s">
        <v>161</v>
      </c>
    </row>
    <row r="6058" ht="22.5" customHeight="1">
      <c r="A6058" s="6" t="s">
        <v>22866</v>
      </c>
      <c r="B6058" s="6" t="s">
        <v>13699</v>
      </c>
      <c r="C6058" s="10">
        <v>46067.0</v>
      </c>
      <c r="D6058" s="6" t="s">
        <v>391</v>
      </c>
      <c r="E6058" s="6" t="s">
        <v>1570</v>
      </c>
      <c r="F6058" s="6" t="s">
        <v>249</v>
      </c>
      <c r="G6058" s="6" t="s">
        <v>326</v>
      </c>
      <c r="H6058" s="10">
        <v>46069.0</v>
      </c>
      <c r="I6058" s="12">
        <v>9.0</v>
      </c>
      <c r="J6058" s="6" t="s">
        <v>161</v>
      </c>
    </row>
    <row r="6059" ht="22.5" customHeight="1">
      <c r="A6059" s="6" t="s">
        <v>22867</v>
      </c>
      <c r="B6059" s="6" t="s">
        <v>13699</v>
      </c>
      <c r="C6059" s="10">
        <v>46058.0</v>
      </c>
      <c r="D6059" s="6" t="s">
        <v>312</v>
      </c>
      <c r="E6059" s="6" t="s">
        <v>365</v>
      </c>
      <c r="F6059" s="6" t="s">
        <v>283</v>
      </c>
      <c r="G6059" s="6" t="s">
        <v>477</v>
      </c>
      <c r="H6059" s="10">
        <v>46059.0</v>
      </c>
      <c r="I6059" s="12">
        <v>5.0</v>
      </c>
      <c r="J6059" s="6" t="s">
        <v>161</v>
      </c>
    </row>
    <row r="6060" ht="22.5" customHeight="1">
      <c r="A6060" s="6" t="s">
        <v>22868</v>
      </c>
      <c r="B6060" s="6" t="s">
        <v>13699</v>
      </c>
      <c r="C6060" s="10">
        <v>46078.0</v>
      </c>
      <c r="D6060" s="6" t="s">
        <v>677</v>
      </c>
      <c r="E6060" s="6" t="s">
        <v>1273</v>
      </c>
      <c r="F6060" s="6" t="s">
        <v>439</v>
      </c>
      <c r="G6060" s="6" t="s">
        <v>458</v>
      </c>
      <c r="H6060" s="10">
        <v>46083.0</v>
      </c>
      <c r="I6060" s="12">
        <v>4.0</v>
      </c>
      <c r="J6060" s="6" t="s">
        <v>161</v>
      </c>
    </row>
    <row r="6061" ht="22.5" customHeight="1">
      <c r="A6061" s="6" t="s">
        <v>22869</v>
      </c>
      <c r="B6061" s="6" t="s">
        <v>13705</v>
      </c>
      <c r="C6061" s="10">
        <v>46055.0</v>
      </c>
      <c r="D6061" s="6" t="s">
        <v>416</v>
      </c>
      <c r="E6061" s="6" t="s">
        <v>394</v>
      </c>
      <c r="F6061" s="6" t="s">
        <v>249</v>
      </c>
      <c r="G6061" s="6" t="s">
        <v>254</v>
      </c>
      <c r="H6061" s="10">
        <v>46056.0</v>
      </c>
      <c r="I6061" s="12">
        <v>10.0</v>
      </c>
      <c r="J6061" s="6" t="s">
        <v>161</v>
      </c>
    </row>
    <row r="6062" ht="22.5" customHeight="1">
      <c r="A6062" s="6" t="s">
        <v>22870</v>
      </c>
      <c r="B6062" s="6" t="s">
        <v>13705</v>
      </c>
      <c r="C6062" s="10">
        <v>46065.0</v>
      </c>
      <c r="D6062" s="6" t="s">
        <v>391</v>
      </c>
      <c r="E6062" s="6" t="s">
        <v>365</v>
      </c>
      <c r="F6062" s="6" t="s">
        <v>249</v>
      </c>
      <c r="G6062" s="6" t="s">
        <v>458</v>
      </c>
      <c r="H6062" s="10">
        <v>46068.0</v>
      </c>
      <c r="I6062" s="12">
        <v>11.0</v>
      </c>
      <c r="J6062" s="6" t="s">
        <v>161</v>
      </c>
    </row>
    <row r="6063" ht="22.5" customHeight="1">
      <c r="A6063" s="6" t="s">
        <v>22871</v>
      </c>
      <c r="B6063" s="6" t="s">
        <v>13705</v>
      </c>
      <c r="C6063" s="10">
        <v>46067.0</v>
      </c>
      <c r="D6063" s="6" t="s">
        <v>677</v>
      </c>
      <c r="E6063" s="6" t="s">
        <v>466</v>
      </c>
      <c r="F6063" s="6" t="s">
        <v>112</v>
      </c>
      <c r="G6063" s="6" t="s">
        <v>326</v>
      </c>
      <c r="H6063" s="11" t="s">
        <v>259</v>
      </c>
      <c r="I6063" s="12">
        <v>3.0</v>
      </c>
      <c r="J6063" s="6" t="s">
        <v>161</v>
      </c>
    </row>
    <row r="6064" ht="22.5" customHeight="1">
      <c r="A6064" s="6" t="s">
        <v>22872</v>
      </c>
      <c r="B6064" s="6" t="s">
        <v>13705</v>
      </c>
      <c r="C6064" s="10">
        <v>46051.0</v>
      </c>
      <c r="D6064" s="6" t="s">
        <v>677</v>
      </c>
      <c r="E6064" s="6" t="s">
        <v>1310</v>
      </c>
      <c r="F6064" s="6" t="s">
        <v>249</v>
      </c>
      <c r="G6064" s="6" t="s">
        <v>254</v>
      </c>
      <c r="H6064" s="10">
        <v>46055.0</v>
      </c>
      <c r="I6064" s="12">
        <v>2.0</v>
      </c>
      <c r="J6064" s="6" t="s">
        <v>161</v>
      </c>
    </row>
    <row r="6065" ht="22.5" customHeight="1">
      <c r="A6065" s="6" t="s">
        <v>22873</v>
      </c>
      <c r="B6065" s="6" t="s">
        <v>13711</v>
      </c>
      <c r="C6065" s="10">
        <v>46033.0</v>
      </c>
      <c r="D6065" s="6" t="s">
        <v>391</v>
      </c>
      <c r="E6065" s="6" t="s">
        <v>246</v>
      </c>
      <c r="F6065" s="6" t="s">
        <v>249</v>
      </c>
      <c r="G6065" s="6" t="s">
        <v>477</v>
      </c>
      <c r="H6065" s="10">
        <v>46040.0</v>
      </c>
      <c r="I6065" s="12">
        <v>8.0</v>
      </c>
      <c r="J6065" s="6" t="s">
        <v>161</v>
      </c>
    </row>
    <row r="6066" ht="22.5" customHeight="1">
      <c r="A6066" s="6" t="s">
        <v>22874</v>
      </c>
      <c r="B6066" s="6" t="s">
        <v>13711</v>
      </c>
      <c r="C6066" s="10">
        <v>46028.0</v>
      </c>
      <c r="D6066" s="6" t="s">
        <v>391</v>
      </c>
      <c r="E6066" s="6" t="s">
        <v>1310</v>
      </c>
      <c r="F6066" s="6" t="s">
        <v>283</v>
      </c>
      <c r="G6066" s="6" t="s">
        <v>326</v>
      </c>
      <c r="H6066" s="10">
        <v>46032.0</v>
      </c>
      <c r="I6066" s="12">
        <v>8.0</v>
      </c>
      <c r="J6066" s="6" t="s">
        <v>161</v>
      </c>
    </row>
    <row r="6067" ht="22.5" customHeight="1">
      <c r="A6067" s="6" t="s">
        <v>22875</v>
      </c>
      <c r="B6067" s="6" t="s">
        <v>13711</v>
      </c>
      <c r="C6067" s="10">
        <v>46039.0</v>
      </c>
      <c r="D6067" s="6" t="s">
        <v>436</v>
      </c>
      <c r="E6067" s="6" t="s">
        <v>1386</v>
      </c>
      <c r="F6067" s="6" t="s">
        <v>112</v>
      </c>
      <c r="G6067" s="6" t="s">
        <v>254</v>
      </c>
      <c r="H6067" s="11" t="s">
        <v>259</v>
      </c>
      <c r="I6067" s="12">
        <v>6.0</v>
      </c>
      <c r="J6067" s="6" t="s">
        <v>178</v>
      </c>
    </row>
    <row r="6068" ht="22.5" customHeight="1">
      <c r="A6068" s="6" t="s">
        <v>22876</v>
      </c>
      <c r="B6068" s="6" t="s">
        <v>13711</v>
      </c>
      <c r="C6068" s="10">
        <v>46031.0</v>
      </c>
      <c r="D6068" s="6" t="s">
        <v>436</v>
      </c>
      <c r="E6068" s="6" t="s">
        <v>618</v>
      </c>
      <c r="F6068" s="6" t="s">
        <v>112</v>
      </c>
      <c r="G6068" s="6" t="s">
        <v>477</v>
      </c>
      <c r="H6068" s="10">
        <v>46033.0</v>
      </c>
      <c r="I6068" s="12">
        <v>11.0</v>
      </c>
      <c r="J6068" s="6" t="s">
        <v>178</v>
      </c>
    </row>
    <row r="6069" ht="22.5" customHeight="1">
      <c r="A6069" s="6" t="s">
        <v>22877</v>
      </c>
      <c r="B6069" s="6" t="s">
        <v>13711</v>
      </c>
      <c r="C6069" s="10">
        <v>46044.0</v>
      </c>
      <c r="D6069" s="6" t="s">
        <v>436</v>
      </c>
      <c r="E6069" s="6" t="s">
        <v>246</v>
      </c>
      <c r="F6069" s="6" t="s">
        <v>283</v>
      </c>
      <c r="G6069" s="6" t="s">
        <v>477</v>
      </c>
      <c r="H6069" s="11" t="s">
        <v>259</v>
      </c>
      <c r="I6069" s="12">
        <v>6.0</v>
      </c>
      <c r="J6069" s="6" t="s">
        <v>178</v>
      </c>
    </row>
    <row r="6070" ht="22.5" customHeight="1">
      <c r="A6070" s="6" t="s">
        <v>22878</v>
      </c>
      <c r="B6070" s="6" t="s">
        <v>13718</v>
      </c>
      <c r="C6070" s="10">
        <v>46057.0</v>
      </c>
      <c r="D6070" s="6" t="s">
        <v>391</v>
      </c>
      <c r="E6070" s="6" t="s">
        <v>2365</v>
      </c>
      <c r="F6070" s="6" t="s">
        <v>439</v>
      </c>
      <c r="G6070" s="6" t="s">
        <v>326</v>
      </c>
      <c r="H6070" s="10">
        <v>46059.0</v>
      </c>
      <c r="I6070" s="12">
        <v>8.0</v>
      </c>
      <c r="J6070" s="6" t="s">
        <v>161</v>
      </c>
    </row>
    <row r="6071" ht="22.5" customHeight="1">
      <c r="A6071" s="6" t="s">
        <v>22879</v>
      </c>
      <c r="B6071" s="6" t="s">
        <v>13718</v>
      </c>
      <c r="C6071" s="10">
        <v>46059.0</v>
      </c>
      <c r="D6071" s="6" t="s">
        <v>677</v>
      </c>
      <c r="E6071" s="6" t="s">
        <v>1273</v>
      </c>
      <c r="F6071" s="6" t="s">
        <v>283</v>
      </c>
      <c r="G6071" s="6" t="s">
        <v>458</v>
      </c>
      <c r="H6071" s="10">
        <v>46059.0</v>
      </c>
      <c r="I6071" s="12">
        <v>4.0</v>
      </c>
      <c r="J6071" s="6" t="s">
        <v>161</v>
      </c>
    </row>
    <row r="6072" ht="22.5" customHeight="1">
      <c r="A6072" s="6" t="s">
        <v>22880</v>
      </c>
      <c r="B6072" s="6" t="s">
        <v>13724</v>
      </c>
      <c r="C6072" s="10">
        <v>46049.0</v>
      </c>
      <c r="D6072" s="6" t="s">
        <v>242</v>
      </c>
      <c r="E6072" s="6" t="s">
        <v>1070</v>
      </c>
      <c r="F6072" s="6" t="s">
        <v>249</v>
      </c>
      <c r="G6072" s="6" t="s">
        <v>494</v>
      </c>
      <c r="H6072" s="10">
        <v>46056.0</v>
      </c>
      <c r="I6072" s="12">
        <v>5.0</v>
      </c>
      <c r="J6072" s="6" t="s">
        <v>178</v>
      </c>
    </row>
    <row r="6073" ht="22.5" customHeight="1">
      <c r="A6073" s="6" t="s">
        <v>22881</v>
      </c>
      <c r="B6073" s="6" t="s">
        <v>13724</v>
      </c>
      <c r="C6073" s="10">
        <v>46042.0</v>
      </c>
      <c r="D6073" s="6" t="s">
        <v>416</v>
      </c>
      <c r="E6073" s="6" t="s">
        <v>566</v>
      </c>
      <c r="F6073" s="6" t="s">
        <v>249</v>
      </c>
      <c r="G6073" s="6" t="s">
        <v>494</v>
      </c>
      <c r="H6073" s="10">
        <v>46042.0</v>
      </c>
      <c r="I6073" s="12">
        <v>12.0</v>
      </c>
      <c r="J6073" s="6" t="s">
        <v>161</v>
      </c>
    </row>
    <row r="6074" ht="22.5" customHeight="1">
      <c r="A6074" s="6" t="s">
        <v>22882</v>
      </c>
      <c r="B6074" s="6" t="s">
        <v>13724</v>
      </c>
      <c r="C6074" s="10">
        <v>46045.0</v>
      </c>
      <c r="D6074" s="6" t="s">
        <v>436</v>
      </c>
      <c r="E6074" s="6" t="s">
        <v>658</v>
      </c>
      <c r="F6074" s="6" t="s">
        <v>439</v>
      </c>
      <c r="G6074" s="6" t="s">
        <v>452</v>
      </c>
      <c r="H6074" s="10">
        <v>46047.0</v>
      </c>
      <c r="I6074" s="12">
        <v>9.0</v>
      </c>
      <c r="J6074" s="6" t="s">
        <v>161</v>
      </c>
    </row>
    <row r="6075" ht="22.5" customHeight="1">
      <c r="A6075" s="6" t="s">
        <v>22883</v>
      </c>
      <c r="B6075" s="6" t="s">
        <v>13724</v>
      </c>
      <c r="C6075" s="10">
        <v>46031.0</v>
      </c>
      <c r="D6075" s="6" t="s">
        <v>677</v>
      </c>
      <c r="E6075" s="6" t="s">
        <v>1149</v>
      </c>
      <c r="F6075" s="6" t="s">
        <v>112</v>
      </c>
      <c r="G6075" s="6" t="s">
        <v>254</v>
      </c>
      <c r="H6075" s="11" t="s">
        <v>259</v>
      </c>
      <c r="I6075" s="12">
        <v>4.0</v>
      </c>
      <c r="J6075" s="6" t="s">
        <v>161</v>
      </c>
    </row>
    <row r="6076" ht="22.5" customHeight="1">
      <c r="A6076" s="6" t="s">
        <v>22884</v>
      </c>
      <c r="B6076" s="6" t="s">
        <v>13730</v>
      </c>
      <c r="C6076" s="10">
        <v>46048.0</v>
      </c>
      <c r="D6076" s="6" t="s">
        <v>242</v>
      </c>
      <c r="E6076" s="6" t="s">
        <v>634</v>
      </c>
      <c r="F6076" s="6" t="s">
        <v>249</v>
      </c>
      <c r="G6076" s="6" t="s">
        <v>477</v>
      </c>
      <c r="H6076" s="10">
        <v>46048.0</v>
      </c>
      <c r="I6076" s="12">
        <v>4.0</v>
      </c>
      <c r="J6076" s="6" t="s">
        <v>178</v>
      </c>
    </row>
    <row r="6077" ht="22.5" customHeight="1">
      <c r="A6077" s="6" t="s">
        <v>22885</v>
      </c>
      <c r="B6077" s="6" t="s">
        <v>13730</v>
      </c>
      <c r="C6077" s="10">
        <v>46049.0</v>
      </c>
      <c r="D6077" s="6" t="s">
        <v>677</v>
      </c>
      <c r="E6077" s="6" t="s">
        <v>1600</v>
      </c>
      <c r="F6077" s="6" t="s">
        <v>283</v>
      </c>
      <c r="G6077" s="6" t="s">
        <v>494</v>
      </c>
      <c r="H6077" s="10">
        <v>46052.0</v>
      </c>
      <c r="I6077" s="12">
        <v>2.0</v>
      </c>
      <c r="J6077" s="6" t="s">
        <v>161</v>
      </c>
    </row>
    <row r="6078" ht="22.5" customHeight="1">
      <c r="A6078" s="6" t="s">
        <v>22886</v>
      </c>
      <c r="B6078" s="6" t="s">
        <v>13737</v>
      </c>
      <c r="C6078" s="10">
        <v>46054.0</v>
      </c>
      <c r="D6078" s="6" t="s">
        <v>312</v>
      </c>
      <c r="E6078" s="6" t="s">
        <v>291</v>
      </c>
      <c r="F6078" s="6" t="s">
        <v>283</v>
      </c>
      <c r="G6078" s="6" t="s">
        <v>494</v>
      </c>
      <c r="H6078" s="10">
        <v>46058.0</v>
      </c>
      <c r="I6078" s="12">
        <v>5.0</v>
      </c>
      <c r="J6078" s="6" t="s">
        <v>161</v>
      </c>
    </row>
    <row r="6079" ht="22.5" customHeight="1">
      <c r="A6079" s="6" t="s">
        <v>22887</v>
      </c>
      <c r="B6079" s="6" t="s">
        <v>13737</v>
      </c>
      <c r="C6079" s="10">
        <v>46060.0</v>
      </c>
      <c r="D6079" s="6" t="s">
        <v>242</v>
      </c>
      <c r="E6079" s="6" t="s">
        <v>618</v>
      </c>
      <c r="F6079" s="6" t="s">
        <v>112</v>
      </c>
      <c r="G6079" s="6" t="s">
        <v>452</v>
      </c>
      <c r="H6079" s="10">
        <v>46060.0</v>
      </c>
      <c r="I6079" s="12">
        <v>3.0</v>
      </c>
      <c r="J6079" s="6" t="s">
        <v>178</v>
      </c>
    </row>
    <row r="6080" ht="22.5" customHeight="1">
      <c r="A6080" s="6" t="s">
        <v>22888</v>
      </c>
      <c r="B6080" s="6" t="s">
        <v>13737</v>
      </c>
      <c r="C6080" s="10">
        <v>46065.0</v>
      </c>
      <c r="D6080" s="6" t="s">
        <v>436</v>
      </c>
      <c r="E6080" s="6" t="s">
        <v>1122</v>
      </c>
      <c r="F6080" s="6" t="s">
        <v>283</v>
      </c>
      <c r="G6080" s="6" t="s">
        <v>254</v>
      </c>
      <c r="H6080" s="10">
        <v>46072.0</v>
      </c>
      <c r="I6080" s="12">
        <v>6.0</v>
      </c>
      <c r="J6080" s="6" t="s">
        <v>161</v>
      </c>
    </row>
    <row r="6081" ht="22.5" customHeight="1">
      <c r="A6081" s="6" t="s">
        <v>22889</v>
      </c>
      <c r="B6081" s="6" t="s">
        <v>13743</v>
      </c>
      <c r="C6081" s="10">
        <v>46081.0</v>
      </c>
      <c r="D6081" s="6" t="s">
        <v>677</v>
      </c>
      <c r="E6081" s="6" t="s">
        <v>896</v>
      </c>
      <c r="F6081" s="6" t="s">
        <v>439</v>
      </c>
      <c r="G6081" s="6" t="s">
        <v>297</v>
      </c>
      <c r="H6081" s="10">
        <v>46083.0</v>
      </c>
      <c r="I6081" s="12">
        <v>4.0</v>
      </c>
      <c r="J6081" s="6" t="s">
        <v>161</v>
      </c>
    </row>
    <row r="6082" ht="22.5" customHeight="1">
      <c r="A6082" s="6" t="s">
        <v>22890</v>
      </c>
      <c r="B6082" s="6" t="s">
        <v>13743</v>
      </c>
      <c r="C6082" s="10">
        <v>46083.0</v>
      </c>
      <c r="D6082" s="6" t="s">
        <v>436</v>
      </c>
      <c r="E6082" s="6" t="s">
        <v>1600</v>
      </c>
      <c r="F6082" s="6" t="s">
        <v>283</v>
      </c>
      <c r="G6082" s="6" t="s">
        <v>369</v>
      </c>
      <c r="H6082" s="10">
        <v>46090.0</v>
      </c>
      <c r="I6082" s="12">
        <v>10.0</v>
      </c>
      <c r="J6082" s="6" t="s">
        <v>178</v>
      </c>
    </row>
    <row r="6083" ht="22.5" customHeight="1">
      <c r="A6083" s="6" t="s">
        <v>22891</v>
      </c>
      <c r="B6083" s="6" t="s">
        <v>13749</v>
      </c>
      <c r="C6083" s="10">
        <v>46065.0</v>
      </c>
      <c r="D6083" s="6" t="s">
        <v>289</v>
      </c>
      <c r="E6083" s="6" t="s">
        <v>1102</v>
      </c>
      <c r="F6083" s="6" t="s">
        <v>112</v>
      </c>
      <c r="G6083" s="6" t="s">
        <v>477</v>
      </c>
      <c r="H6083" s="10">
        <v>46070.0</v>
      </c>
      <c r="I6083" s="12">
        <v>8.0</v>
      </c>
      <c r="J6083" s="6" t="s">
        <v>161</v>
      </c>
    </row>
    <row r="6084" ht="22.5" customHeight="1">
      <c r="A6084" s="6" t="s">
        <v>22892</v>
      </c>
      <c r="B6084" s="6" t="s">
        <v>13749</v>
      </c>
      <c r="C6084" s="10">
        <v>46066.0</v>
      </c>
      <c r="D6084" s="6" t="s">
        <v>436</v>
      </c>
      <c r="E6084" s="6" t="s">
        <v>1102</v>
      </c>
      <c r="F6084" s="6" t="s">
        <v>249</v>
      </c>
      <c r="G6084" s="6" t="s">
        <v>494</v>
      </c>
      <c r="H6084" s="10">
        <v>46072.0</v>
      </c>
      <c r="I6084" s="12">
        <v>9.0</v>
      </c>
      <c r="J6084" s="6" t="s">
        <v>178</v>
      </c>
    </row>
    <row r="6085" ht="22.5" customHeight="1">
      <c r="A6085" s="6" t="s">
        <v>22893</v>
      </c>
      <c r="B6085" s="6" t="s">
        <v>13749</v>
      </c>
      <c r="C6085" s="10">
        <v>46080.0</v>
      </c>
      <c r="D6085" s="6" t="s">
        <v>289</v>
      </c>
      <c r="E6085" s="6" t="s">
        <v>618</v>
      </c>
      <c r="F6085" s="6" t="s">
        <v>283</v>
      </c>
      <c r="G6085" s="6" t="s">
        <v>369</v>
      </c>
      <c r="H6085" s="10">
        <v>46086.0</v>
      </c>
      <c r="I6085" s="12">
        <v>10.0</v>
      </c>
      <c r="J6085" s="6" t="s">
        <v>161</v>
      </c>
    </row>
    <row r="6086" ht="22.5" customHeight="1">
      <c r="A6086" s="6" t="s">
        <v>22894</v>
      </c>
      <c r="B6086" s="6" t="s">
        <v>13749</v>
      </c>
      <c r="C6086" s="10">
        <v>46082.0</v>
      </c>
      <c r="D6086" s="6" t="s">
        <v>416</v>
      </c>
      <c r="E6086" s="6" t="s">
        <v>1102</v>
      </c>
      <c r="F6086" s="6" t="s">
        <v>283</v>
      </c>
      <c r="G6086" s="6" t="s">
        <v>452</v>
      </c>
      <c r="H6086" s="10">
        <v>46088.0</v>
      </c>
      <c r="I6086" s="12">
        <v>8.0</v>
      </c>
      <c r="J6086" s="6" t="s">
        <v>161</v>
      </c>
    </row>
    <row r="6087" ht="22.5" customHeight="1">
      <c r="A6087" s="6" t="s">
        <v>22895</v>
      </c>
      <c r="B6087" s="6" t="s">
        <v>13749</v>
      </c>
      <c r="C6087" s="10">
        <v>46063.0</v>
      </c>
      <c r="D6087" s="6" t="s">
        <v>436</v>
      </c>
      <c r="E6087" s="6" t="s">
        <v>1241</v>
      </c>
      <c r="F6087" s="6" t="s">
        <v>112</v>
      </c>
      <c r="G6087" s="6" t="s">
        <v>326</v>
      </c>
      <c r="H6087" s="10">
        <v>46070.0</v>
      </c>
      <c r="I6087" s="12">
        <v>8.0</v>
      </c>
      <c r="J6087" s="6" t="s">
        <v>178</v>
      </c>
    </row>
    <row r="6088" ht="22.5" customHeight="1">
      <c r="A6088" s="6" t="s">
        <v>22896</v>
      </c>
      <c r="B6088" s="6" t="s">
        <v>13755</v>
      </c>
      <c r="C6088" s="10">
        <v>46080.0</v>
      </c>
      <c r="D6088" s="6" t="s">
        <v>436</v>
      </c>
      <c r="E6088" s="6" t="s">
        <v>365</v>
      </c>
      <c r="F6088" s="6" t="s">
        <v>283</v>
      </c>
      <c r="G6088" s="6" t="s">
        <v>452</v>
      </c>
      <c r="H6088" s="10">
        <v>46085.0</v>
      </c>
      <c r="I6088" s="12">
        <v>7.0</v>
      </c>
      <c r="J6088" s="6" t="s">
        <v>161</v>
      </c>
    </row>
    <row r="6089" ht="22.5" customHeight="1">
      <c r="A6089" s="6" t="s">
        <v>22897</v>
      </c>
      <c r="B6089" s="6" t="s">
        <v>13755</v>
      </c>
      <c r="C6089" s="10">
        <v>46076.0</v>
      </c>
      <c r="D6089" s="6" t="s">
        <v>289</v>
      </c>
      <c r="E6089" s="6" t="s">
        <v>1149</v>
      </c>
      <c r="F6089" s="6" t="s">
        <v>112</v>
      </c>
      <c r="G6089" s="6" t="s">
        <v>494</v>
      </c>
      <c r="H6089" s="10">
        <v>46082.0</v>
      </c>
      <c r="I6089" s="12">
        <v>8.0</v>
      </c>
      <c r="J6089" s="6" t="s">
        <v>161</v>
      </c>
    </row>
    <row r="6090" ht="22.5" customHeight="1">
      <c r="A6090" s="6" t="s">
        <v>22898</v>
      </c>
      <c r="B6090" s="6" t="s">
        <v>13755</v>
      </c>
      <c r="C6090" s="10">
        <v>46075.0</v>
      </c>
      <c r="D6090" s="6" t="s">
        <v>289</v>
      </c>
      <c r="E6090" s="6" t="s">
        <v>885</v>
      </c>
      <c r="F6090" s="6" t="s">
        <v>112</v>
      </c>
      <c r="G6090" s="6" t="s">
        <v>494</v>
      </c>
      <c r="H6090" s="10">
        <v>46077.0</v>
      </c>
      <c r="I6090" s="12">
        <v>10.0</v>
      </c>
      <c r="J6090" s="6" t="s">
        <v>161</v>
      </c>
    </row>
    <row r="6091" ht="22.5" customHeight="1">
      <c r="A6091" s="6" t="s">
        <v>22899</v>
      </c>
      <c r="B6091" s="6" t="s">
        <v>13761</v>
      </c>
      <c r="C6091" s="10">
        <v>46047.0</v>
      </c>
      <c r="D6091" s="6" t="s">
        <v>436</v>
      </c>
      <c r="E6091" s="6" t="s">
        <v>2881</v>
      </c>
      <c r="F6091" s="6" t="s">
        <v>283</v>
      </c>
      <c r="G6091" s="6" t="s">
        <v>254</v>
      </c>
      <c r="H6091" s="10">
        <v>46047.0</v>
      </c>
      <c r="I6091" s="12">
        <v>11.0</v>
      </c>
      <c r="J6091" s="6" t="s">
        <v>178</v>
      </c>
    </row>
    <row r="6092" ht="22.5" customHeight="1">
      <c r="A6092" s="6" t="s">
        <v>22900</v>
      </c>
      <c r="B6092" s="6" t="s">
        <v>13761</v>
      </c>
      <c r="C6092" s="10">
        <v>46045.0</v>
      </c>
      <c r="D6092" s="6" t="s">
        <v>677</v>
      </c>
      <c r="E6092" s="6" t="s">
        <v>1035</v>
      </c>
      <c r="F6092" s="6" t="s">
        <v>283</v>
      </c>
      <c r="G6092" s="6" t="s">
        <v>494</v>
      </c>
      <c r="H6092" s="10">
        <v>46051.0</v>
      </c>
      <c r="I6092" s="12">
        <v>3.0</v>
      </c>
      <c r="J6092" s="6" t="s">
        <v>161</v>
      </c>
    </row>
    <row r="6093" ht="22.5" customHeight="1">
      <c r="A6093" s="6" t="s">
        <v>22901</v>
      </c>
      <c r="B6093" s="6" t="s">
        <v>13768</v>
      </c>
      <c r="C6093" s="10">
        <v>46043.0</v>
      </c>
      <c r="D6093" s="6" t="s">
        <v>391</v>
      </c>
      <c r="E6093" s="6" t="s">
        <v>566</v>
      </c>
      <c r="F6093" s="6" t="s">
        <v>249</v>
      </c>
      <c r="G6093" s="6" t="s">
        <v>326</v>
      </c>
      <c r="H6093" s="10">
        <v>46043.0</v>
      </c>
      <c r="I6093" s="12">
        <v>11.0</v>
      </c>
      <c r="J6093" s="6" t="s">
        <v>161</v>
      </c>
    </row>
    <row r="6094" ht="22.5" customHeight="1">
      <c r="A6094" s="6" t="s">
        <v>22902</v>
      </c>
      <c r="B6094" s="6" t="s">
        <v>13768</v>
      </c>
      <c r="C6094" s="10">
        <v>46044.0</v>
      </c>
      <c r="D6094" s="6" t="s">
        <v>312</v>
      </c>
      <c r="E6094" s="6" t="s">
        <v>775</v>
      </c>
      <c r="F6094" s="6" t="s">
        <v>249</v>
      </c>
      <c r="G6094" s="6" t="s">
        <v>254</v>
      </c>
      <c r="H6094" s="10">
        <v>46044.0</v>
      </c>
      <c r="I6094" s="12">
        <v>6.0</v>
      </c>
      <c r="J6094" s="6" t="s">
        <v>161</v>
      </c>
    </row>
    <row r="6095" ht="22.5" customHeight="1">
      <c r="A6095" s="6" t="s">
        <v>22903</v>
      </c>
      <c r="B6095" s="6" t="s">
        <v>13768</v>
      </c>
      <c r="C6095" s="10">
        <v>46042.0</v>
      </c>
      <c r="D6095" s="6" t="s">
        <v>312</v>
      </c>
      <c r="E6095" s="6" t="s">
        <v>1969</v>
      </c>
      <c r="F6095" s="6" t="s">
        <v>249</v>
      </c>
      <c r="G6095" s="6" t="s">
        <v>458</v>
      </c>
      <c r="H6095" s="10">
        <v>46043.0</v>
      </c>
      <c r="I6095" s="12">
        <v>4.0</v>
      </c>
      <c r="J6095" s="6" t="s">
        <v>161</v>
      </c>
    </row>
    <row r="6096" ht="22.5" customHeight="1">
      <c r="A6096" s="6" t="s">
        <v>22904</v>
      </c>
      <c r="B6096" s="6" t="s">
        <v>13774</v>
      </c>
      <c r="C6096" s="10">
        <v>46066.0</v>
      </c>
      <c r="D6096" s="6" t="s">
        <v>312</v>
      </c>
      <c r="E6096" s="6" t="s">
        <v>512</v>
      </c>
      <c r="F6096" s="6" t="s">
        <v>112</v>
      </c>
      <c r="G6096" s="6" t="s">
        <v>494</v>
      </c>
      <c r="H6096" s="10">
        <v>46066.0</v>
      </c>
      <c r="I6096" s="12">
        <v>7.0</v>
      </c>
      <c r="J6096" s="6" t="s">
        <v>161</v>
      </c>
    </row>
    <row r="6097" ht="22.5" customHeight="1">
      <c r="A6097" s="6" t="s">
        <v>22905</v>
      </c>
      <c r="B6097" s="6" t="s">
        <v>13774</v>
      </c>
      <c r="C6097" s="10">
        <v>46063.0</v>
      </c>
      <c r="D6097" s="6" t="s">
        <v>242</v>
      </c>
      <c r="E6097" s="6" t="s">
        <v>628</v>
      </c>
      <c r="F6097" s="6" t="s">
        <v>283</v>
      </c>
      <c r="G6097" s="6" t="s">
        <v>458</v>
      </c>
      <c r="H6097" s="11" t="s">
        <v>259</v>
      </c>
      <c r="I6097" s="12">
        <v>4.0</v>
      </c>
      <c r="J6097" s="6" t="s">
        <v>178</v>
      </c>
    </row>
    <row r="6098" ht="22.5" customHeight="1">
      <c r="A6098" s="6" t="s">
        <v>22906</v>
      </c>
      <c r="B6098" s="6" t="s">
        <v>13774</v>
      </c>
      <c r="C6098" s="10">
        <v>46081.0</v>
      </c>
      <c r="D6098" s="6" t="s">
        <v>416</v>
      </c>
      <c r="E6098" s="6" t="s">
        <v>1552</v>
      </c>
      <c r="F6098" s="6" t="s">
        <v>112</v>
      </c>
      <c r="G6098" s="6" t="s">
        <v>297</v>
      </c>
      <c r="H6098" s="10">
        <v>46081.0</v>
      </c>
      <c r="I6098" s="12">
        <v>11.0</v>
      </c>
      <c r="J6098" s="6" t="s">
        <v>161</v>
      </c>
    </row>
    <row r="6099" ht="22.5" customHeight="1">
      <c r="A6099" s="6" t="s">
        <v>22907</v>
      </c>
      <c r="B6099" s="6" t="s">
        <v>13781</v>
      </c>
      <c r="C6099" s="10">
        <v>46068.0</v>
      </c>
      <c r="D6099" s="6" t="s">
        <v>391</v>
      </c>
      <c r="E6099" s="6" t="s">
        <v>1517</v>
      </c>
      <c r="F6099" s="6" t="s">
        <v>112</v>
      </c>
      <c r="G6099" s="6" t="s">
        <v>477</v>
      </c>
      <c r="H6099" s="10">
        <v>46069.0</v>
      </c>
      <c r="I6099" s="12">
        <v>8.0</v>
      </c>
      <c r="J6099" s="6" t="s">
        <v>161</v>
      </c>
    </row>
    <row r="6100" ht="22.5" customHeight="1">
      <c r="A6100" s="6" t="s">
        <v>22908</v>
      </c>
      <c r="B6100" s="6" t="s">
        <v>13781</v>
      </c>
      <c r="C6100" s="10">
        <v>46068.0</v>
      </c>
      <c r="D6100" s="6" t="s">
        <v>436</v>
      </c>
      <c r="E6100" s="6" t="s">
        <v>475</v>
      </c>
      <c r="F6100" s="6" t="s">
        <v>112</v>
      </c>
      <c r="G6100" s="6" t="s">
        <v>254</v>
      </c>
      <c r="H6100" s="11" t="s">
        <v>259</v>
      </c>
      <c r="I6100" s="12">
        <v>7.0</v>
      </c>
      <c r="J6100" s="6" t="s">
        <v>178</v>
      </c>
    </row>
    <row r="6101" ht="22.5" customHeight="1">
      <c r="A6101" s="6" t="s">
        <v>22909</v>
      </c>
      <c r="B6101" s="6" t="s">
        <v>13781</v>
      </c>
      <c r="C6101" s="10">
        <v>46068.0</v>
      </c>
      <c r="D6101" s="6" t="s">
        <v>391</v>
      </c>
      <c r="E6101" s="6" t="s">
        <v>1149</v>
      </c>
      <c r="F6101" s="6" t="s">
        <v>249</v>
      </c>
      <c r="G6101" s="6" t="s">
        <v>477</v>
      </c>
      <c r="H6101" s="10">
        <v>46068.0</v>
      </c>
      <c r="I6101" s="12">
        <v>9.0</v>
      </c>
      <c r="J6101" s="6" t="s">
        <v>161</v>
      </c>
    </row>
    <row r="6102" ht="22.5" customHeight="1">
      <c r="A6102" s="6" t="s">
        <v>22910</v>
      </c>
      <c r="B6102" s="6" t="s">
        <v>13787</v>
      </c>
      <c r="C6102" s="10">
        <v>46070.0</v>
      </c>
      <c r="D6102" s="6" t="s">
        <v>289</v>
      </c>
      <c r="E6102" s="6" t="s">
        <v>1070</v>
      </c>
      <c r="F6102" s="6" t="s">
        <v>439</v>
      </c>
      <c r="G6102" s="6" t="s">
        <v>494</v>
      </c>
      <c r="H6102" s="10">
        <v>46077.0</v>
      </c>
      <c r="I6102" s="12">
        <v>7.0</v>
      </c>
      <c r="J6102" s="6" t="s">
        <v>161</v>
      </c>
    </row>
    <row r="6103" ht="22.5" customHeight="1">
      <c r="A6103" s="6" t="s">
        <v>22911</v>
      </c>
      <c r="B6103" s="6" t="s">
        <v>13794</v>
      </c>
      <c r="C6103" s="10">
        <v>46047.0</v>
      </c>
      <c r="D6103" s="6" t="s">
        <v>312</v>
      </c>
      <c r="E6103" s="6" t="s">
        <v>670</v>
      </c>
      <c r="F6103" s="6" t="s">
        <v>112</v>
      </c>
      <c r="G6103" s="6" t="s">
        <v>369</v>
      </c>
      <c r="H6103" s="10">
        <v>46052.0</v>
      </c>
      <c r="I6103" s="12">
        <v>4.0</v>
      </c>
      <c r="J6103" s="6" t="s">
        <v>161</v>
      </c>
    </row>
    <row r="6104" ht="22.5" customHeight="1">
      <c r="A6104" s="6" t="s">
        <v>22912</v>
      </c>
      <c r="B6104" s="6" t="s">
        <v>13794</v>
      </c>
      <c r="C6104" s="10">
        <v>46059.0</v>
      </c>
      <c r="D6104" s="6" t="s">
        <v>677</v>
      </c>
      <c r="E6104" s="6" t="s">
        <v>1741</v>
      </c>
      <c r="F6104" s="6" t="s">
        <v>439</v>
      </c>
      <c r="G6104" s="6" t="s">
        <v>297</v>
      </c>
      <c r="H6104" s="10">
        <v>46066.0</v>
      </c>
      <c r="I6104" s="12">
        <v>4.0</v>
      </c>
      <c r="J6104" s="6" t="s">
        <v>161</v>
      </c>
    </row>
    <row r="6105" ht="22.5" customHeight="1">
      <c r="A6105" s="6" t="s">
        <v>22913</v>
      </c>
      <c r="B6105" s="6" t="s">
        <v>13800</v>
      </c>
      <c r="C6105" s="10">
        <v>46068.0</v>
      </c>
      <c r="D6105" s="6" t="s">
        <v>436</v>
      </c>
      <c r="E6105" s="6" t="s">
        <v>1241</v>
      </c>
      <c r="F6105" s="6" t="s">
        <v>283</v>
      </c>
      <c r="G6105" s="6" t="s">
        <v>297</v>
      </c>
      <c r="H6105" s="10">
        <v>46075.0</v>
      </c>
      <c r="I6105" s="12">
        <v>8.0</v>
      </c>
      <c r="J6105" s="6" t="s">
        <v>178</v>
      </c>
    </row>
    <row r="6106" ht="22.5" customHeight="1">
      <c r="A6106" s="6" t="s">
        <v>22914</v>
      </c>
      <c r="B6106" s="6" t="s">
        <v>13800</v>
      </c>
      <c r="C6106" s="10">
        <v>46084.0</v>
      </c>
      <c r="D6106" s="6" t="s">
        <v>289</v>
      </c>
      <c r="E6106" s="6" t="s">
        <v>731</v>
      </c>
      <c r="F6106" s="6" t="s">
        <v>249</v>
      </c>
      <c r="G6106" s="6" t="s">
        <v>369</v>
      </c>
      <c r="H6106" s="11" t="s">
        <v>259</v>
      </c>
      <c r="I6106" s="12">
        <v>8.0</v>
      </c>
      <c r="J6106" s="6" t="s">
        <v>161</v>
      </c>
    </row>
    <row r="6107" ht="22.5" customHeight="1">
      <c r="A6107" s="6" t="s">
        <v>22915</v>
      </c>
      <c r="B6107" s="6" t="s">
        <v>13800</v>
      </c>
      <c r="C6107" s="10">
        <v>46073.0</v>
      </c>
      <c r="D6107" s="6" t="s">
        <v>312</v>
      </c>
      <c r="E6107" s="6" t="s">
        <v>658</v>
      </c>
      <c r="F6107" s="6" t="s">
        <v>283</v>
      </c>
      <c r="G6107" s="6" t="s">
        <v>458</v>
      </c>
      <c r="H6107" s="10">
        <v>46075.0</v>
      </c>
      <c r="I6107" s="12">
        <v>7.0</v>
      </c>
      <c r="J6107" s="6" t="s">
        <v>161</v>
      </c>
    </row>
    <row r="6108" ht="22.5" customHeight="1">
      <c r="A6108" s="6" t="s">
        <v>22916</v>
      </c>
      <c r="B6108" s="6" t="s">
        <v>13806</v>
      </c>
      <c r="C6108" s="10">
        <v>46055.0</v>
      </c>
      <c r="D6108" s="6" t="s">
        <v>677</v>
      </c>
      <c r="E6108" s="6" t="s">
        <v>1310</v>
      </c>
      <c r="F6108" s="6" t="s">
        <v>112</v>
      </c>
      <c r="G6108" s="6" t="s">
        <v>458</v>
      </c>
      <c r="H6108" s="10">
        <v>46059.0</v>
      </c>
      <c r="I6108" s="12">
        <v>3.0</v>
      </c>
      <c r="J6108" s="6" t="s">
        <v>161</v>
      </c>
    </row>
    <row r="6109" ht="22.5" customHeight="1">
      <c r="A6109" s="6" t="s">
        <v>22917</v>
      </c>
      <c r="B6109" s="6" t="s">
        <v>13806</v>
      </c>
      <c r="C6109" s="10">
        <v>46037.0</v>
      </c>
      <c r="D6109" s="6" t="s">
        <v>312</v>
      </c>
      <c r="E6109" s="6" t="s">
        <v>466</v>
      </c>
      <c r="F6109" s="6" t="s">
        <v>283</v>
      </c>
      <c r="G6109" s="6" t="s">
        <v>297</v>
      </c>
      <c r="H6109" s="10">
        <v>46042.0</v>
      </c>
      <c r="I6109" s="12">
        <v>5.0</v>
      </c>
      <c r="J6109" s="6" t="s">
        <v>161</v>
      </c>
    </row>
    <row r="6110" ht="22.5" customHeight="1">
      <c r="A6110" s="6" t="s">
        <v>22918</v>
      </c>
      <c r="B6110" s="6" t="s">
        <v>13806</v>
      </c>
      <c r="C6110" s="10">
        <v>46051.0</v>
      </c>
      <c r="D6110" s="6" t="s">
        <v>416</v>
      </c>
      <c r="E6110" s="6" t="s">
        <v>1570</v>
      </c>
      <c r="F6110" s="6" t="s">
        <v>112</v>
      </c>
      <c r="G6110" s="6" t="s">
        <v>369</v>
      </c>
      <c r="H6110" s="10">
        <v>46051.0</v>
      </c>
      <c r="I6110" s="12">
        <v>11.0</v>
      </c>
      <c r="J6110" s="6" t="s">
        <v>161</v>
      </c>
    </row>
    <row r="6111" ht="22.5" customHeight="1">
      <c r="A6111" s="6" t="s">
        <v>22919</v>
      </c>
      <c r="B6111" s="6" t="s">
        <v>13812</v>
      </c>
      <c r="C6111" s="10">
        <v>46057.0</v>
      </c>
      <c r="D6111" s="6" t="s">
        <v>391</v>
      </c>
      <c r="E6111" s="6" t="s">
        <v>1241</v>
      </c>
      <c r="F6111" s="6" t="s">
        <v>283</v>
      </c>
      <c r="G6111" s="6" t="s">
        <v>458</v>
      </c>
      <c r="H6111" s="10">
        <v>46057.0</v>
      </c>
      <c r="I6111" s="12">
        <v>9.0</v>
      </c>
      <c r="J6111" s="6" t="s">
        <v>161</v>
      </c>
    </row>
    <row r="6112" ht="22.5" customHeight="1">
      <c r="A6112" s="6" t="s">
        <v>22920</v>
      </c>
      <c r="B6112" s="6" t="s">
        <v>13812</v>
      </c>
      <c r="C6112" s="10">
        <v>46043.0</v>
      </c>
      <c r="D6112" s="6" t="s">
        <v>677</v>
      </c>
      <c r="E6112" s="6" t="s">
        <v>475</v>
      </c>
      <c r="F6112" s="6" t="s">
        <v>112</v>
      </c>
      <c r="G6112" s="6" t="s">
        <v>369</v>
      </c>
      <c r="H6112" s="10">
        <v>46046.0</v>
      </c>
      <c r="I6112" s="12">
        <v>4.0</v>
      </c>
      <c r="J6112" s="6" t="s">
        <v>161</v>
      </c>
    </row>
    <row r="6113" ht="22.5" customHeight="1">
      <c r="A6113" s="6" t="s">
        <v>22921</v>
      </c>
      <c r="B6113" s="6" t="s">
        <v>13820</v>
      </c>
      <c r="C6113" s="10">
        <v>46068.0</v>
      </c>
      <c r="D6113" s="6" t="s">
        <v>242</v>
      </c>
      <c r="E6113" s="6" t="s">
        <v>1055</v>
      </c>
      <c r="F6113" s="6" t="s">
        <v>283</v>
      </c>
      <c r="G6113" s="6" t="s">
        <v>297</v>
      </c>
      <c r="H6113" s="10">
        <v>46069.0</v>
      </c>
      <c r="I6113" s="12">
        <v>5.0</v>
      </c>
      <c r="J6113" s="6" t="s">
        <v>178</v>
      </c>
    </row>
    <row r="6114" ht="22.5" customHeight="1">
      <c r="A6114" s="6" t="s">
        <v>22922</v>
      </c>
      <c r="B6114" s="6" t="s">
        <v>13820</v>
      </c>
      <c r="C6114" s="10">
        <v>46072.0</v>
      </c>
      <c r="D6114" s="6" t="s">
        <v>312</v>
      </c>
      <c r="E6114" s="6" t="s">
        <v>1070</v>
      </c>
      <c r="F6114" s="6" t="s">
        <v>283</v>
      </c>
      <c r="G6114" s="6" t="s">
        <v>494</v>
      </c>
      <c r="H6114" s="10">
        <v>46078.0</v>
      </c>
      <c r="I6114" s="12">
        <v>6.0</v>
      </c>
      <c r="J6114" s="6" t="s">
        <v>161</v>
      </c>
    </row>
    <row r="6115" ht="22.5" customHeight="1">
      <c r="A6115" s="6" t="s">
        <v>22923</v>
      </c>
      <c r="B6115" s="6" t="s">
        <v>13820</v>
      </c>
      <c r="C6115" s="10">
        <v>46077.0</v>
      </c>
      <c r="D6115" s="6" t="s">
        <v>436</v>
      </c>
      <c r="E6115" s="6" t="s">
        <v>1122</v>
      </c>
      <c r="F6115" s="6" t="s">
        <v>249</v>
      </c>
      <c r="G6115" s="6" t="s">
        <v>458</v>
      </c>
      <c r="H6115" s="10">
        <v>46079.0</v>
      </c>
      <c r="I6115" s="12">
        <v>6.0</v>
      </c>
      <c r="J6115" s="6" t="s">
        <v>161</v>
      </c>
    </row>
    <row r="6116" ht="22.5" customHeight="1">
      <c r="A6116" s="6" t="s">
        <v>22924</v>
      </c>
      <c r="B6116" s="6" t="s">
        <v>13820</v>
      </c>
      <c r="C6116" s="10">
        <v>46077.0</v>
      </c>
      <c r="D6116" s="6" t="s">
        <v>289</v>
      </c>
      <c r="E6116" s="6" t="s">
        <v>475</v>
      </c>
      <c r="F6116" s="6" t="s">
        <v>439</v>
      </c>
      <c r="G6116" s="6" t="s">
        <v>458</v>
      </c>
      <c r="H6116" s="10">
        <v>46082.0</v>
      </c>
      <c r="I6116" s="12">
        <v>7.0</v>
      </c>
      <c r="J6116" s="6" t="s">
        <v>161</v>
      </c>
    </row>
    <row r="6117" ht="22.5" customHeight="1">
      <c r="A6117" s="6" t="s">
        <v>22925</v>
      </c>
      <c r="B6117" s="6" t="s">
        <v>13820</v>
      </c>
      <c r="C6117" s="10">
        <v>46079.0</v>
      </c>
      <c r="D6117" s="6" t="s">
        <v>677</v>
      </c>
      <c r="E6117" s="6" t="s">
        <v>1741</v>
      </c>
      <c r="F6117" s="6" t="s">
        <v>283</v>
      </c>
      <c r="G6117" s="6" t="s">
        <v>297</v>
      </c>
      <c r="H6117" s="10">
        <v>46083.0</v>
      </c>
      <c r="I6117" s="12">
        <v>3.0</v>
      </c>
      <c r="J6117" s="6" t="s">
        <v>161</v>
      </c>
    </row>
    <row r="6118" ht="22.5" customHeight="1">
      <c r="A6118" s="6" t="s">
        <v>22926</v>
      </c>
      <c r="B6118" s="6" t="s">
        <v>13826</v>
      </c>
      <c r="C6118" s="10">
        <v>46031.0</v>
      </c>
      <c r="D6118" s="6" t="s">
        <v>416</v>
      </c>
      <c r="E6118" s="6" t="s">
        <v>1552</v>
      </c>
      <c r="F6118" s="6" t="s">
        <v>283</v>
      </c>
      <c r="G6118" s="6" t="s">
        <v>477</v>
      </c>
      <c r="H6118" s="10">
        <v>46035.0</v>
      </c>
      <c r="I6118" s="12">
        <v>14.0</v>
      </c>
      <c r="J6118" s="6" t="s">
        <v>161</v>
      </c>
    </row>
    <row r="6119" ht="22.5" customHeight="1">
      <c r="A6119" s="6" t="s">
        <v>22927</v>
      </c>
      <c r="B6119" s="6" t="s">
        <v>13826</v>
      </c>
      <c r="C6119" s="10">
        <v>46037.0</v>
      </c>
      <c r="D6119" s="6" t="s">
        <v>677</v>
      </c>
      <c r="E6119" s="6" t="s">
        <v>812</v>
      </c>
      <c r="F6119" s="6" t="s">
        <v>439</v>
      </c>
      <c r="G6119" s="6" t="s">
        <v>326</v>
      </c>
      <c r="H6119" s="10">
        <v>46044.0</v>
      </c>
      <c r="I6119" s="12">
        <v>4.0</v>
      </c>
      <c r="J6119" s="6" t="s">
        <v>161</v>
      </c>
    </row>
    <row r="6120" ht="22.5" customHeight="1">
      <c r="A6120" s="6" t="s">
        <v>22928</v>
      </c>
      <c r="B6120" s="6" t="s">
        <v>13826</v>
      </c>
      <c r="C6120" s="10">
        <v>46045.0</v>
      </c>
      <c r="D6120" s="6" t="s">
        <v>416</v>
      </c>
      <c r="E6120" s="6" t="s">
        <v>812</v>
      </c>
      <c r="F6120" s="6" t="s">
        <v>249</v>
      </c>
      <c r="G6120" s="6" t="s">
        <v>326</v>
      </c>
      <c r="H6120" s="11" t="s">
        <v>259</v>
      </c>
      <c r="I6120" s="12">
        <v>9.0</v>
      </c>
      <c r="J6120" s="6" t="s">
        <v>161</v>
      </c>
    </row>
    <row r="6121" ht="22.5" customHeight="1">
      <c r="A6121" s="6" t="s">
        <v>22929</v>
      </c>
      <c r="B6121" s="6" t="s">
        <v>13832</v>
      </c>
      <c r="C6121" s="10">
        <v>46061.0</v>
      </c>
      <c r="D6121" s="6" t="s">
        <v>289</v>
      </c>
      <c r="E6121" s="6" t="s">
        <v>1700</v>
      </c>
      <c r="F6121" s="6" t="s">
        <v>112</v>
      </c>
      <c r="G6121" s="6" t="s">
        <v>326</v>
      </c>
      <c r="H6121" s="10">
        <v>46066.0</v>
      </c>
      <c r="I6121" s="12">
        <v>6.0</v>
      </c>
      <c r="J6121" s="6" t="s">
        <v>161</v>
      </c>
    </row>
    <row r="6122" ht="22.5" customHeight="1">
      <c r="A6122" s="6" t="s">
        <v>22930</v>
      </c>
      <c r="B6122" s="6" t="s">
        <v>13832</v>
      </c>
      <c r="C6122" s="10">
        <v>46069.0</v>
      </c>
      <c r="D6122" s="6" t="s">
        <v>677</v>
      </c>
      <c r="E6122" s="6" t="s">
        <v>394</v>
      </c>
      <c r="F6122" s="6" t="s">
        <v>439</v>
      </c>
      <c r="G6122" s="6" t="s">
        <v>452</v>
      </c>
      <c r="H6122" s="10">
        <v>46074.0</v>
      </c>
      <c r="I6122" s="12">
        <v>3.0</v>
      </c>
      <c r="J6122" s="6" t="s">
        <v>161</v>
      </c>
    </row>
    <row r="6123" ht="22.5" customHeight="1">
      <c r="A6123" s="6" t="s">
        <v>22931</v>
      </c>
      <c r="B6123" s="6" t="s">
        <v>13832</v>
      </c>
      <c r="C6123" s="10">
        <v>46067.0</v>
      </c>
      <c r="D6123" s="6" t="s">
        <v>416</v>
      </c>
      <c r="E6123" s="6" t="s">
        <v>1386</v>
      </c>
      <c r="F6123" s="6" t="s">
        <v>249</v>
      </c>
      <c r="G6123" s="6" t="s">
        <v>452</v>
      </c>
      <c r="H6123" s="10">
        <v>46068.0</v>
      </c>
      <c r="I6123" s="12">
        <v>9.0</v>
      </c>
      <c r="J6123" s="6" t="s">
        <v>161</v>
      </c>
    </row>
    <row r="6124" ht="22.5" customHeight="1">
      <c r="A6124" s="6" t="s">
        <v>22932</v>
      </c>
      <c r="B6124" s="6" t="s">
        <v>13839</v>
      </c>
      <c r="C6124" s="10">
        <v>46074.0</v>
      </c>
      <c r="D6124" s="6" t="s">
        <v>242</v>
      </c>
      <c r="E6124" s="6" t="s">
        <v>320</v>
      </c>
      <c r="F6124" s="6" t="s">
        <v>249</v>
      </c>
      <c r="G6124" s="6" t="s">
        <v>477</v>
      </c>
      <c r="H6124" s="10">
        <v>46078.0</v>
      </c>
      <c r="I6124" s="12">
        <v>3.0</v>
      </c>
      <c r="J6124" s="6" t="s">
        <v>161</v>
      </c>
    </row>
    <row r="6125" ht="22.5" customHeight="1">
      <c r="A6125" s="6" t="s">
        <v>22933</v>
      </c>
      <c r="B6125" s="6" t="s">
        <v>13839</v>
      </c>
      <c r="C6125" s="10">
        <v>46065.0</v>
      </c>
      <c r="D6125" s="6" t="s">
        <v>289</v>
      </c>
      <c r="E6125" s="6" t="s">
        <v>394</v>
      </c>
      <c r="F6125" s="6" t="s">
        <v>112</v>
      </c>
      <c r="G6125" s="6" t="s">
        <v>254</v>
      </c>
      <c r="H6125" s="10">
        <v>46068.0</v>
      </c>
      <c r="I6125" s="12">
        <v>10.0</v>
      </c>
      <c r="J6125" s="6" t="s">
        <v>161</v>
      </c>
    </row>
    <row r="6126" ht="22.5" customHeight="1">
      <c r="A6126" s="6" t="s">
        <v>22934</v>
      </c>
      <c r="B6126" s="6" t="s">
        <v>13839</v>
      </c>
      <c r="C6126" s="10">
        <v>46072.0</v>
      </c>
      <c r="D6126" s="6" t="s">
        <v>312</v>
      </c>
      <c r="E6126" s="6" t="s">
        <v>1102</v>
      </c>
      <c r="F6126" s="6" t="s">
        <v>439</v>
      </c>
      <c r="G6126" s="6" t="s">
        <v>369</v>
      </c>
      <c r="H6126" s="10">
        <v>46077.0</v>
      </c>
      <c r="I6126" s="12">
        <v>6.0</v>
      </c>
      <c r="J6126" s="6" t="s">
        <v>161</v>
      </c>
    </row>
    <row r="6127" ht="22.5" customHeight="1">
      <c r="A6127" s="6" t="s">
        <v>22935</v>
      </c>
      <c r="B6127" s="6" t="s">
        <v>13839</v>
      </c>
      <c r="C6127" s="10">
        <v>46074.0</v>
      </c>
      <c r="D6127" s="6" t="s">
        <v>416</v>
      </c>
      <c r="E6127" s="6" t="s">
        <v>896</v>
      </c>
      <c r="F6127" s="6" t="s">
        <v>439</v>
      </c>
      <c r="G6127" s="6" t="s">
        <v>458</v>
      </c>
      <c r="H6127" s="10">
        <v>46081.0</v>
      </c>
      <c r="I6127" s="12">
        <v>9.0</v>
      </c>
      <c r="J6127" s="6" t="s">
        <v>161</v>
      </c>
    </row>
    <row r="6128" ht="22.5" customHeight="1">
      <c r="A6128" s="6" t="s">
        <v>22936</v>
      </c>
      <c r="B6128" s="6" t="s">
        <v>13846</v>
      </c>
      <c r="C6128" s="10">
        <v>46055.0</v>
      </c>
      <c r="D6128" s="6" t="s">
        <v>289</v>
      </c>
      <c r="E6128" s="6" t="s">
        <v>798</v>
      </c>
      <c r="F6128" s="6" t="s">
        <v>249</v>
      </c>
      <c r="G6128" s="6" t="s">
        <v>494</v>
      </c>
      <c r="H6128" s="10">
        <v>46056.0</v>
      </c>
      <c r="I6128" s="12">
        <v>8.0</v>
      </c>
      <c r="J6128" s="6" t="s">
        <v>161</v>
      </c>
    </row>
    <row r="6129" ht="22.5" customHeight="1">
      <c r="A6129" s="6" t="s">
        <v>22937</v>
      </c>
      <c r="B6129" s="6" t="s">
        <v>13846</v>
      </c>
      <c r="C6129" s="10">
        <v>46064.0</v>
      </c>
      <c r="D6129" s="6" t="s">
        <v>436</v>
      </c>
      <c r="E6129" s="6" t="s">
        <v>1296</v>
      </c>
      <c r="F6129" s="6" t="s">
        <v>439</v>
      </c>
      <c r="G6129" s="6" t="s">
        <v>458</v>
      </c>
      <c r="H6129" s="10">
        <v>46071.0</v>
      </c>
      <c r="I6129" s="12">
        <v>9.0</v>
      </c>
      <c r="J6129" s="6" t="s">
        <v>161</v>
      </c>
    </row>
    <row r="6130" ht="22.5" customHeight="1">
      <c r="A6130" s="6" t="s">
        <v>22938</v>
      </c>
      <c r="B6130" s="6" t="s">
        <v>13846</v>
      </c>
      <c r="C6130" s="10">
        <v>46056.0</v>
      </c>
      <c r="D6130" s="6" t="s">
        <v>289</v>
      </c>
      <c r="E6130" s="6" t="s">
        <v>1700</v>
      </c>
      <c r="F6130" s="6" t="s">
        <v>439</v>
      </c>
      <c r="G6130" s="6" t="s">
        <v>494</v>
      </c>
      <c r="H6130" s="10">
        <v>46057.0</v>
      </c>
      <c r="I6130" s="12">
        <v>6.0</v>
      </c>
      <c r="J6130" s="6" t="s">
        <v>161</v>
      </c>
    </row>
    <row r="6131" ht="22.5" customHeight="1">
      <c r="A6131" s="6" t="s">
        <v>22939</v>
      </c>
      <c r="B6131" s="6" t="s">
        <v>13852</v>
      </c>
      <c r="C6131" s="10">
        <v>46047.0</v>
      </c>
      <c r="D6131" s="6" t="s">
        <v>391</v>
      </c>
      <c r="E6131" s="6" t="s">
        <v>566</v>
      </c>
      <c r="F6131" s="6" t="s">
        <v>112</v>
      </c>
      <c r="G6131" s="6" t="s">
        <v>477</v>
      </c>
      <c r="H6131" s="10">
        <v>46049.0</v>
      </c>
      <c r="I6131" s="12">
        <v>7.0</v>
      </c>
      <c r="J6131" s="6" t="s">
        <v>161</v>
      </c>
    </row>
    <row r="6132" ht="22.5" customHeight="1">
      <c r="A6132" s="6" t="s">
        <v>22940</v>
      </c>
      <c r="B6132" s="6" t="s">
        <v>13852</v>
      </c>
      <c r="C6132" s="10">
        <v>46046.0</v>
      </c>
      <c r="D6132" s="6" t="s">
        <v>436</v>
      </c>
      <c r="E6132" s="6" t="s">
        <v>1741</v>
      </c>
      <c r="F6132" s="6" t="s">
        <v>283</v>
      </c>
      <c r="G6132" s="6" t="s">
        <v>477</v>
      </c>
      <c r="H6132" s="10">
        <v>46046.0</v>
      </c>
      <c r="I6132" s="12">
        <v>9.0</v>
      </c>
      <c r="J6132" s="6" t="s">
        <v>178</v>
      </c>
    </row>
    <row r="6133" ht="22.5" customHeight="1">
      <c r="A6133" s="6" t="s">
        <v>22941</v>
      </c>
      <c r="B6133" s="6" t="s">
        <v>13852</v>
      </c>
      <c r="C6133" s="10">
        <v>46036.0</v>
      </c>
      <c r="D6133" s="6" t="s">
        <v>289</v>
      </c>
      <c r="E6133" s="6" t="s">
        <v>2881</v>
      </c>
      <c r="F6133" s="6" t="s">
        <v>283</v>
      </c>
      <c r="G6133" s="6" t="s">
        <v>494</v>
      </c>
      <c r="H6133" s="10">
        <v>46039.0</v>
      </c>
      <c r="I6133" s="12">
        <v>6.0</v>
      </c>
      <c r="J6133" s="6" t="s">
        <v>161</v>
      </c>
    </row>
    <row r="6134" ht="22.5" customHeight="1">
      <c r="A6134" s="6" t="s">
        <v>22942</v>
      </c>
      <c r="B6134" s="6" t="s">
        <v>13852</v>
      </c>
      <c r="C6134" s="10">
        <v>46053.0</v>
      </c>
      <c r="D6134" s="6" t="s">
        <v>436</v>
      </c>
      <c r="E6134" s="6" t="s">
        <v>704</v>
      </c>
      <c r="F6134" s="6" t="s">
        <v>249</v>
      </c>
      <c r="G6134" s="6" t="s">
        <v>369</v>
      </c>
      <c r="H6134" s="10">
        <v>46059.0</v>
      </c>
      <c r="I6134" s="12">
        <v>7.0</v>
      </c>
      <c r="J6134" s="6" t="s">
        <v>161</v>
      </c>
    </row>
    <row r="6135" ht="22.5" customHeight="1">
      <c r="A6135" s="6" t="s">
        <v>22943</v>
      </c>
      <c r="B6135" s="6" t="s">
        <v>13858</v>
      </c>
      <c r="C6135" s="10">
        <v>46082.0</v>
      </c>
      <c r="D6135" s="6" t="s">
        <v>416</v>
      </c>
      <c r="E6135" s="6" t="s">
        <v>365</v>
      </c>
      <c r="F6135" s="6" t="s">
        <v>283</v>
      </c>
      <c r="G6135" s="6" t="s">
        <v>494</v>
      </c>
      <c r="H6135" s="10">
        <v>46084.0</v>
      </c>
      <c r="I6135" s="12">
        <v>9.0</v>
      </c>
      <c r="J6135" s="6" t="s">
        <v>161</v>
      </c>
    </row>
    <row r="6136" ht="22.5" customHeight="1">
      <c r="A6136" s="6" t="s">
        <v>22944</v>
      </c>
      <c r="B6136" s="6" t="s">
        <v>13858</v>
      </c>
      <c r="C6136" s="10">
        <v>46073.0</v>
      </c>
      <c r="D6136" s="6" t="s">
        <v>436</v>
      </c>
      <c r="E6136" s="6" t="s">
        <v>1546</v>
      </c>
      <c r="F6136" s="6" t="s">
        <v>283</v>
      </c>
      <c r="G6136" s="6" t="s">
        <v>326</v>
      </c>
      <c r="H6136" s="10">
        <v>46079.0</v>
      </c>
      <c r="I6136" s="12">
        <v>8.0</v>
      </c>
      <c r="J6136" s="6" t="s">
        <v>178</v>
      </c>
    </row>
    <row r="6137" ht="22.5" customHeight="1">
      <c r="A6137" s="6" t="s">
        <v>22945</v>
      </c>
      <c r="B6137" s="6" t="s">
        <v>13858</v>
      </c>
      <c r="C6137" s="10">
        <v>46083.0</v>
      </c>
      <c r="D6137" s="6" t="s">
        <v>436</v>
      </c>
      <c r="E6137" s="6" t="s">
        <v>394</v>
      </c>
      <c r="F6137" s="6" t="s">
        <v>439</v>
      </c>
      <c r="G6137" s="6" t="s">
        <v>297</v>
      </c>
      <c r="H6137" s="10">
        <v>46086.0</v>
      </c>
      <c r="I6137" s="12">
        <v>9.0</v>
      </c>
      <c r="J6137" s="6" t="s">
        <v>161</v>
      </c>
    </row>
    <row r="6138" ht="22.5" customHeight="1">
      <c r="A6138" s="6" t="s">
        <v>22946</v>
      </c>
      <c r="B6138" s="6" t="s">
        <v>13858</v>
      </c>
      <c r="C6138" s="10">
        <v>46069.0</v>
      </c>
      <c r="D6138" s="6" t="s">
        <v>436</v>
      </c>
      <c r="E6138" s="6" t="s">
        <v>1273</v>
      </c>
      <c r="F6138" s="6" t="s">
        <v>249</v>
      </c>
      <c r="G6138" s="6" t="s">
        <v>369</v>
      </c>
      <c r="H6138" s="10">
        <v>46069.0</v>
      </c>
      <c r="I6138" s="12">
        <v>11.0</v>
      </c>
      <c r="J6138" s="6" t="s">
        <v>161</v>
      </c>
    </row>
    <row r="6139" ht="22.5" customHeight="1">
      <c r="A6139" s="6" t="s">
        <v>22947</v>
      </c>
      <c r="B6139" s="6" t="s">
        <v>13865</v>
      </c>
      <c r="C6139" s="10">
        <v>46042.0</v>
      </c>
      <c r="D6139" s="6" t="s">
        <v>416</v>
      </c>
      <c r="E6139" s="6" t="s">
        <v>1102</v>
      </c>
      <c r="F6139" s="6" t="s">
        <v>249</v>
      </c>
      <c r="G6139" s="6" t="s">
        <v>326</v>
      </c>
      <c r="H6139" s="10">
        <v>46042.0</v>
      </c>
      <c r="I6139" s="12">
        <v>14.0</v>
      </c>
      <c r="J6139" s="6" t="s">
        <v>161</v>
      </c>
    </row>
    <row r="6140" ht="22.5" customHeight="1">
      <c r="A6140" s="6" t="s">
        <v>22948</v>
      </c>
      <c r="B6140" s="6" t="s">
        <v>13865</v>
      </c>
      <c r="C6140" s="10">
        <v>46031.0</v>
      </c>
      <c r="D6140" s="6" t="s">
        <v>677</v>
      </c>
      <c r="E6140" s="6" t="s">
        <v>812</v>
      </c>
      <c r="F6140" s="6" t="s">
        <v>112</v>
      </c>
      <c r="G6140" s="6" t="s">
        <v>297</v>
      </c>
      <c r="H6140" s="10">
        <v>46035.0</v>
      </c>
      <c r="I6140" s="12">
        <v>4.0</v>
      </c>
      <c r="J6140" s="6" t="s">
        <v>161</v>
      </c>
    </row>
    <row r="6141" ht="22.5" customHeight="1">
      <c r="A6141" s="6" t="s">
        <v>22949</v>
      </c>
      <c r="B6141" s="6" t="s">
        <v>13865</v>
      </c>
      <c r="C6141" s="10">
        <v>46037.0</v>
      </c>
      <c r="D6141" s="6" t="s">
        <v>436</v>
      </c>
      <c r="E6141" s="6" t="s">
        <v>1055</v>
      </c>
      <c r="F6141" s="6" t="s">
        <v>283</v>
      </c>
      <c r="G6141" s="6" t="s">
        <v>494</v>
      </c>
      <c r="H6141" s="10">
        <v>46037.0</v>
      </c>
      <c r="I6141" s="12">
        <v>8.0</v>
      </c>
      <c r="J6141" s="6" t="s">
        <v>178</v>
      </c>
    </row>
    <row r="6142" ht="22.5" customHeight="1">
      <c r="A6142" s="6" t="s">
        <v>22950</v>
      </c>
      <c r="B6142" s="6" t="s">
        <v>13865</v>
      </c>
      <c r="C6142" s="10">
        <v>46051.0</v>
      </c>
      <c r="D6142" s="6" t="s">
        <v>391</v>
      </c>
      <c r="E6142" s="6" t="s">
        <v>1310</v>
      </c>
      <c r="F6142" s="6" t="s">
        <v>112</v>
      </c>
      <c r="G6142" s="6" t="s">
        <v>297</v>
      </c>
      <c r="H6142" s="10">
        <v>46051.0</v>
      </c>
      <c r="I6142" s="12">
        <v>7.0</v>
      </c>
      <c r="J6142" s="6" t="s">
        <v>161</v>
      </c>
    </row>
    <row r="6143" ht="22.5" customHeight="1">
      <c r="A6143" s="6" t="s">
        <v>22951</v>
      </c>
      <c r="B6143" s="6" t="s">
        <v>13871</v>
      </c>
      <c r="C6143" s="10">
        <v>46052.0</v>
      </c>
      <c r="D6143" s="6" t="s">
        <v>416</v>
      </c>
      <c r="E6143" s="6" t="s">
        <v>738</v>
      </c>
      <c r="F6143" s="6" t="s">
        <v>439</v>
      </c>
      <c r="G6143" s="6" t="s">
        <v>452</v>
      </c>
      <c r="H6143" s="10">
        <v>46059.0</v>
      </c>
      <c r="I6143" s="12">
        <v>11.0</v>
      </c>
      <c r="J6143" s="6" t="s">
        <v>161</v>
      </c>
    </row>
    <row r="6144" ht="22.5" customHeight="1">
      <c r="A6144" s="6" t="s">
        <v>22952</v>
      </c>
      <c r="B6144" s="6" t="s">
        <v>13871</v>
      </c>
      <c r="C6144" s="10">
        <v>46045.0</v>
      </c>
      <c r="D6144" s="6" t="s">
        <v>677</v>
      </c>
      <c r="E6144" s="6" t="s">
        <v>787</v>
      </c>
      <c r="F6144" s="6" t="s">
        <v>112</v>
      </c>
      <c r="G6144" s="6" t="s">
        <v>477</v>
      </c>
      <c r="H6144" s="10">
        <v>46045.0</v>
      </c>
      <c r="I6144" s="12">
        <v>3.0</v>
      </c>
      <c r="J6144" s="6" t="s">
        <v>161</v>
      </c>
    </row>
    <row r="6145" ht="22.5" customHeight="1">
      <c r="A6145" s="6" t="s">
        <v>22953</v>
      </c>
      <c r="B6145" s="6" t="s">
        <v>13871</v>
      </c>
      <c r="C6145" s="10">
        <v>46046.0</v>
      </c>
      <c r="D6145" s="6" t="s">
        <v>436</v>
      </c>
      <c r="E6145" s="6" t="s">
        <v>512</v>
      </c>
      <c r="F6145" s="6" t="s">
        <v>112</v>
      </c>
      <c r="G6145" s="6" t="s">
        <v>452</v>
      </c>
      <c r="H6145" s="11" t="s">
        <v>259</v>
      </c>
      <c r="I6145" s="12">
        <v>7.0</v>
      </c>
      <c r="J6145" s="6" t="s">
        <v>178</v>
      </c>
    </row>
    <row r="6146" ht="22.5" customHeight="1">
      <c r="A6146" s="6" t="s">
        <v>22954</v>
      </c>
      <c r="B6146" s="6" t="s">
        <v>13871</v>
      </c>
      <c r="C6146" s="10">
        <v>46037.0</v>
      </c>
      <c r="D6146" s="6" t="s">
        <v>289</v>
      </c>
      <c r="E6146" s="6" t="s">
        <v>833</v>
      </c>
      <c r="F6146" s="6" t="s">
        <v>112</v>
      </c>
      <c r="G6146" s="6" t="s">
        <v>494</v>
      </c>
      <c r="H6146" s="10">
        <v>46040.0</v>
      </c>
      <c r="I6146" s="12">
        <v>6.0</v>
      </c>
      <c r="J6146" s="6" t="s">
        <v>161</v>
      </c>
    </row>
    <row r="6147" ht="22.5" customHeight="1">
      <c r="A6147" s="6" t="s">
        <v>22955</v>
      </c>
      <c r="B6147" s="6" t="s">
        <v>13877</v>
      </c>
      <c r="C6147" s="10">
        <v>46044.0</v>
      </c>
      <c r="D6147" s="6" t="s">
        <v>289</v>
      </c>
      <c r="E6147" s="6" t="s">
        <v>365</v>
      </c>
      <c r="F6147" s="6" t="s">
        <v>283</v>
      </c>
      <c r="G6147" s="6" t="s">
        <v>326</v>
      </c>
      <c r="H6147" s="11" t="s">
        <v>259</v>
      </c>
      <c r="I6147" s="12">
        <v>10.0</v>
      </c>
      <c r="J6147" s="6" t="s">
        <v>161</v>
      </c>
    </row>
    <row r="6148" ht="22.5" customHeight="1">
      <c r="A6148" s="6" t="s">
        <v>22956</v>
      </c>
      <c r="B6148" s="6" t="s">
        <v>13877</v>
      </c>
      <c r="C6148" s="10">
        <v>46039.0</v>
      </c>
      <c r="D6148" s="6" t="s">
        <v>242</v>
      </c>
      <c r="E6148" s="6" t="s">
        <v>2881</v>
      </c>
      <c r="F6148" s="6" t="s">
        <v>283</v>
      </c>
      <c r="G6148" s="6" t="s">
        <v>254</v>
      </c>
      <c r="H6148" s="10">
        <v>46039.0</v>
      </c>
      <c r="I6148" s="12">
        <v>6.0</v>
      </c>
      <c r="J6148" s="6" t="s">
        <v>178</v>
      </c>
    </row>
    <row r="6149" ht="22.5" customHeight="1">
      <c r="A6149" s="6" t="s">
        <v>22957</v>
      </c>
      <c r="B6149" s="6" t="s">
        <v>13877</v>
      </c>
      <c r="C6149" s="10">
        <v>46045.0</v>
      </c>
      <c r="D6149" s="6" t="s">
        <v>436</v>
      </c>
      <c r="E6149" s="6" t="s">
        <v>320</v>
      </c>
      <c r="F6149" s="6" t="s">
        <v>283</v>
      </c>
      <c r="G6149" s="6" t="s">
        <v>369</v>
      </c>
      <c r="H6149" s="10">
        <v>46052.0</v>
      </c>
      <c r="I6149" s="12">
        <v>12.0</v>
      </c>
      <c r="J6149" s="6" t="s">
        <v>161</v>
      </c>
    </row>
    <row r="6150" ht="22.5" customHeight="1">
      <c r="A6150" s="6" t="s">
        <v>22958</v>
      </c>
      <c r="B6150" s="6" t="s">
        <v>13877</v>
      </c>
      <c r="C6150" s="10">
        <v>46054.0</v>
      </c>
      <c r="D6150" s="6" t="s">
        <v>289</v>
      </c>
      <c r="E6150" s="6" t="s">
        <v>833</v>
      </c>
      <c r="F6150" s="6" t="s">
        <v>249</v>
      </c>
      <c r="G6150" s="6" t="s">
        <v>477</v>
      </c>
      <c r="H6150" s="10">
        <v>46061.0</v>
      </c>
      <c r="I6150" s="12">
        <v>9.0</v>
      </c>
      <c r="J6150" s="6" t="s">
        <v>161</v>
      </c>
    </row>
    <row r="6151" ht="22.5" customHeight="1">
      <c r="A6151" s="6" t="s">
        <v>22959</v>
      </c>
      <c r="B6151" s="6" t="s">
        <v>13884</v>
      </c>
      <c r="C6151" s="10">
        <v>46073.0</v>
      </c>
      <c r="D6151" s="6" t="s">
        <v>677</v>
      </c>
      <c r="E6151" s="6" t="s">
        <v>450</v>
      </c>
      <c r="F6151" s="6" t="s">
        <v>112</v>
      </c>
      <c r="G6151" s="6" t="s">
        <v>477</v>
      </c>
      <c r="H6151" s="11" t="s">
        <v>259</v>
      </c>
      <c r="I6151" s="12">
        <v>2.0</v>
      </c>
      <c r="J6151" s="6" t="s">
        <v>161</v>
      </c>
    </row>
    <row r="6152" ht="22.5" customHeight="1">
      <c r="A6152" s="6" t="s">
        <v>22960</v>
      </c>
      <c r="B6152" s="6" t="s">
        <v>13884</v>
      </c>
      <c r="C6152" s="10">
        <v>46069.0</v>
      </c>
      <c r="D6152" s="6" t="s">
        <v>416</v>
      </c>
      <c r="E6152" s="6" t="s">
        <v>450</v>
      </c>
      <c r="F6152" s="6" t="s">
        <v>283</v>
      </c>
      <c r="G6152" s="6" t="s">
        <v>326</v>
      </c>
      <c r="H6152" s="10">
        <v>46070.0</v>
      </c>
      <c r="I6152" s="12">
        <v>10.0</v>
      </c>
      <c r="J6152" s="6" t="s">
        <v>161</v>
      </c>
    </row>
    <row r="6153" ht="22.5" customHeight="1">
      <c r="A6153" s="6" t="s">
        <v>22961</v>
      </c>
      <c r="B6153" s="6" t="s">
        <v>13890</v>
      </c>
      <c r="C6153" s="10">
        <v>46063.0</v>
      </c>
      <c r="D6153" s="6" t="s">
        <v>289</v>
      </c>
      <c r="E6153" s="6" t="s">
        <v>291</v>
      </c>
      <c r="F6153" s="6" t="s">
        <v>112</v>
      </c>
      <c r="G6153" s="6" t="s">
        <v>458</v>
      </c>
      <c r="H6153" s="10">
        <v>46064.0</v>
      </c>
      <c r="I6153" s="12">
        <v>8.0</v>
      </c>
      <c r="J6153" s="6" t="s">
        <v>161</v>
      </c>
    </row>
    <row r="6154" ht="22.5" customHeight="1">
      <c r="A6154" s="6" t="s">
        <v>22962</v>
      </c>
      <c r="B6154" s="6" t="s">
        <v>13890</v>
      </c>
      <c r="C6154" s="10">
        <v>46057.0</v>
      </c>
      <c r="D6154" s="6" t="s">
        <v>436</v>
      </c>
      <c r="E6154" s="6" t="s">
        <v>1296</v>
      </c>
      <c r="F6154" s="6" t="s">
        <v>439</v>
      </c>
      <c r="G6154" s="6" t="s">
        <v>326</v>
      </c>
      <c r="H6154" s="10">
        <v>46062.0</v>
      </c>
      <c r="I6154" s="12">
        <v>12.0</v>
      </c>
      <c r="J6154" s="6" t="s">
        <v>178</v>
      </c>
    </row>
    <row r="6155" ht="22.5" customHeight="1">
      <c r="A6155" s="6" t="s">
        <v>22963</v>
      </c>
      <c r="B6155" s="6" t="s">
        <v>13890</v>
      </c>
      <c r="C6155" s="10">
        <v>46066.0</v>
      </c>
      <c r="D6155" s="6" t="s">
        <v>289</v>
      </c>
      <c r="E6155" s="6" t="s">
        <v>1035</v>
      </c>
      <c r="F6155" s="6" t="s">
        <v>283</v>
      </c>
      <c r="G6155" s="6" t="s">
        <v>254</v>
      </c>
      <c r="H6155" s="10">
        <v>46066.0</v>
      </c>
      <c r="I6155" s="12">
        <v>9.0</v>
      </c>
      <c r="J6155" s="6" t="s">
        <v>161</v>
      </c>
    </row>
    <row r="6156" ht="22.5" customHeight="1">
      <c r="A6156" s="6" t="s">
        <v>22964</v>
      </c>
      <c r="B6156" s="6" t="s">
        <v>13890</v>
      </c>
      <c r="C6156" s="10">
        <v>46066.0</v>
      </c>
      <c r="D6156" s="6" t="s">
        <v>391</v>
      </c>
      <c r="E6156" s="6" t="s">
        <v>1273</v>
      </c>
      <c r="F6156" s="6" t="s">
        <v>112</v>
      </c>
      <c r="G6156" s="6" t="s">
        <v>452</v>
      </c>
      <c r="H6156" s="10">
        <v>46071.0</v>
      </c>
      <c r="I6156" s="12">
        <v>7.0</v>
      </c>
      <c r="J6156" s="6" t="s">
        <v>161</v>
      </c>
    </row>
    <row r="6157" ht="22.5" customHeight="1">
      <c r="A6157" s="6" t="s">
        <v>22965</v>
      </c>
      <c r="B6157" s="6" t="s">
        <v>13897</v>
      </c>
      <c r="C6157" s="10">
        <v>46055.0</v>
      </c>
      <c r="D6157" s="6" t="s">
        <v>289</v>
      </c>
      <c r="E6157" s="6" t="s">
        <v>863</v>
      </c>
      <c r="F6157" s="6" t="s">
        <v>283</v>
      </c>
      <c r="G6157" s="6" t="s">
        <v>369</v>
      </c>
      <c r="H6157" s="10">
        <v>46062.0</v>
      </c>
      <c r="I6157" s="12">
        <v>9.0</v>
      </c>
      <c r="J6157" s="6" t="s">
        <v>161</v>
      </c>
    </row>
    <row r="6158" ht="22.5" customHeight="1">
      <c r="A6158" s="6" t="s">
        <v>22966</v>
      </c>
      <c r="B6158" s="6" t="s">
        <v>13897</v>
      </c>
      <c r="C6158" s="10">
        <v>46061.0</v>
      </c>
      <c r="D6158" s="6" t="s">
        <v>289</v>
      </c>
      <c r="E6158" s="6" t="s">
        <v>955</v>
      </c>
      <c r="F6158" s="6" t="s">
        <v>249</v>
      </c>
      <c r="G6158" s="6" t="s">
        <v>369</v>
      </c>
      <c r="H6158" s="10">
        <v>46063.0</v>
      </c>
      <c r="I6158" s="12">
        <v>6.0</v>
      </c>
      <c r="J6158" s="6" t="s">
        <v>161</v>
      </c>
    </row>
    <row r="6159" ht="22.5" customHeight="1">
      <c r="A6159" s="6" t="s">
        <v>22967</v>
      </c>
      <c r="B6159" s="6" t="s">
        <v>13897</v>
      </c>
      <c r="C6159" s="10">
        <v>46071.0</v>
      </c>
      <c r="D6159" s="6" t="s">
        <v>289</v>
      </c>
      <c r="E6159" s="6" t="s">
        <v>885</v>
      </c>
      <c r="F6159" s="6" t="s">
        <v>439</v>
      </c>
      <c r="G6159" s="6" t="s">
        <v>297</v>
      </c>
      <c r="H6159" s="10">
        <v>46073.0</v>
      </c>
      <c r="I6159" s="12">
        <v>5.0</v>
      </c>
      <c r="J6159" s="6" t="s">
        <v>161</v>
      </c>
    </row>
    <row r="6160" ht="22.5" customHeight="1">
      <c r="A6160" s="6" t="s">
        <v>22968</v>
      </c>
      <c r="B6160" s="6" t="s">
        <v>13897</v>
      </c>
      <c r="C6160" s="10">
        <v>46061.0</v>
      </c>
      <c r="D6160" s="6" t="s">
        <v>677</v>
      </c>
      <c r="E6160" s="6" t="s">
        <v>246</v>
      </c>
      <c r="F6160" s="6" t="s">
        <v>439</v>
      </c>
      <c r="G6160" s="6" t="s">
        <v>369</v>
      </c>
      <c r="H6160" s="10">
        <v>46061.0</v>
      </c>
      <c r="I6160" s="12">
        <v>2.0</v>
      </c>
      <c r="J6160" s="6" t="s">
        <v>161</v>
      </c>
    </row>
    <row r="6161" ht="22.5" customHeight="1">
      <c r="A6161" s="6" t="s">
        <v>22969</v>
      </c>
      <c r="B6161" s="6" t="s">
        <v>13897</v>
      </c>
      <c r="C6161" s="10">
        <v>46072.0</v>
      </c>
      <c r="D6161" s="6" t="s">
        <v>416</v>
      </c>
      <c r="E6161" s="6" t="s">
        <v>566</v>
      </c>
      <c r="F6161" s="6" t="s">
        <v>249</v>
      </c>
      <c r="G6161" s="6" t="s">
        <v>254</v>
      </c>
      <c r="H6161" s="11" t="s">
        <v>259</v>
      </c>
      <c r="I6161" s="12">
        <v>11.0</v>
      </c>
      <c r="J6161" s="6" t="s">
        <v>161</v>
      </c>
    </row>
    <row r="6162" ht="22.5" customHeight="1">
      <c r="A6162" s="6" t="s">
        <v>22970</v>
      </c>
      <c r="B6162" s="6" t="s">
        <v>13903</v>
      </c>
      <c r="C6162" s="10">
        <v>46059.0</v>
      </c>
      <c r="D6162" s="6" t="s">
        <v>242</v>
      </c>
      <c r="E6162" s="6" t="s">
        <v>812</v>
      </c>
      <c r="F6162" s="6" t="s">
        <v>112</v>
      </c>
      <c r="G6162" s="6" t="s">
        <v>494</v>
      </c>
      <c r="H6162" s="10">
        <v>46060.0</v>
      </c>
      <c r="I6162" s="12">
        <v>6.0</v>
      </c>
      <c r="J6162" s="6" t="s">
        <v>161</v>
      </c>
    </row>
    <row r="6163" ht="22.5" customHeight="1">
      <c r="A6163" s="6" t="s">
        <v>22971</v>
      </c>
      <c r="B6163" s="6" t="s">
        <v>13903</v>
      </c>
      <c r="C6163" s="10">
        <v>46052.0</v>
      </c>
      <c r="D6163" s="6" t="s">
        <v>416</v>
      </c>
      <c r="E6163" s="6" t="s">
        <v>618</v>
      </c>
      <c r="F6163" s="6" t="s">
        <v>112</v>
      </c>
      <c r="G6163" s="6" t="s">
        <v>297</v>
      </c>
      <c r="H6163" s="10">
        <v>46055.0</v>
      </c>
      <c r="I6163" s="12">
        <v>9.0</v>
      </c>
      <c r="J6163" s="6" t="s">
        <v>161</v>
      </c>
    </row>
    <row r="6164" ht="22.5" customHeight="1">
      <c r="A6164" s="6" t="s">
        <v>22972</v>
      </c>
      <c r="B6164" s="6" t="s">
        <v>13903</v>
      </c>
      <c r="C6164" s="10">
        <v>46052.0</v>
      </c>
      <c r="D6164" s="6" t="s">
        <v>677</v>
      </c>
      <c r="E6164" s="6" t="s">
        <v>466</v>
      </c>
      <c r="F6164" s="6" t="s">
        <v>439</v>
      </c>
      <c r="G6164" s="6" t="s">
        <v>477</v>
      </c>
      <c r="H6164" s="10">
        <v>46052.0</v>
      </c>
      <c r="I6164" s="12">
        <v>2.0</v>
      </c>
      <c r="J6164" s="6" t="s">
        <v>161</v>
      </c>
    </row>
    <row r="6165" ht="22.5" customHeight="1">
      <c r="A6165" s="6" t="s">
        <v>22973</v>
      </c>
      <c r="B6165" s="6" t="s">
        <v>13903</v>
      </c>
      <c r="C6165" s="10">
        <v>46065.0</v>
      </c>
      <c r="D6165" s="6" t="s">
        <v>312</v>
      </c>
      <c r="E6165" s="6" t="s">
        <v>628</v>
      </c>
      <c r="F6165" s="6" t="s">
        <v>112</v>
      </c>
      <c r="G6165" s="6" t="s">
        <v>494</v>
      </c>
      <c r="H6165" s="10">
        <v>46067.0</v>
      </c>
      <c r="I6165" s="12">
        <v>6.0</v>
      </c>
      <c r="J6165" s="6" t="s">
        <v>161</v>
      </c>
    </row>
    <row r="6166" ht="22.5" customHeight="1">
      <c r="A6166" s="6" t="s">
        <v>22974</v>
      </c>
      <c r="B6166" s="6" t="s">
        <v>13903</v>
      </c>
      <c r="C6166" s="10">
        <v>46066.0</v>
      </c>
      <c r="D6166" s="6" t="s">
        <v>416</v>
      </c>
      <c r="E6166" s="6" t="s">
        <v>1102</v>
      </c>
      <c r="F6166" s="6" t="s">
        <v>283</v>
      </c>
      <c r="G6166" s="6" t="s">
        <v>369</v>
      </c>
      <c r="H6166" s="10">
        <v>46066.0</v>
      </c>
      <c r="I6166" s="12">
        <v>8.0</v>
      </c>
      <c r="J6166" s="6" t="s">
        <v>161</v>
      </c>
    </row>
    <row r="6167" ht="22.5" customHeight="1">
      <c r="A6167" s="6" t="s">
        <v>22975</v>
      </c>
      <c r="B6167" s="6" t="s">
        <v>13910</v>
      </c>
      <c r="C6167" s="10">
        <v>46074.0</v>
      </c>
      <c r="D6167" s="6" t="s">
        <v>242</v>
      </c>
      <c r="E6167" s="6" t="s">
        <v>1280</v>
      </c>
      <c r="F6167" s="6" t="s">
        <v>283</v>
      </c>
      <c r="G6167" s="6" t="s">
        <v>452</v>
      </c>
      <c r="H6167" s="10">
        <v>46076.0</v>
      </c>
      <c r="I6167" s="12">
        <v>5.0</v>
      </c>
      <c r="J6167" s="6" t="s">
        <v>161</v>
      </c>
    </row>
    <row r="6168" ht="22.5" customHeight="1">
      <c r="A6168" s="6" t="s">
        <v>22976</v>
      </c>
      <c r="B6168" s="6" t="s">
        <v>13910</v>
      </c>
      <c r="C6168" s="10">
        <v>46069.0</v>
      </c>
      <c r="D6168" s="6" t="s">
        <v>436</v>
      </c>
      <c r="E6168" s="6" t="s">
        <v>1570</v>
      </c>
      <c r="F6168" s="6" t="s">
        <v>439</v>
      </c>
      <c r="G6168" s="6" t="s">
        <v>494</v>
      </c>
      <c r="H6168" s="10">
        <v>46070.0</v>
      </c>
      <c r="I6168" s="12">
        <v>8.0</v>
      </c>
      <c r="J6168" s="6" t="s">
        <v>161</v>
      </c>
    </row>
    <row r="6169" ht="22.5" customHeight="1">
      <c r="A6169" s="6" t="s">
        <v>22977</v>
      </c>
      <c r="B6169" s="6" t="s">
        <v>13910</v>
      </c>
      <c r="C6169" s="10">
        <v>46071.0</v>
      </c>
      <c r="D6169" s="6" t="s">
        <v>416</v>
      </c>
      <c r="E6169" s="6" t="s">
        <v>1035</v>
      </c>
      <c r="F6169" s="6" t="s">
        <v>249</v>
      </c>
      <c r="G6169" s="6" t="s">
        <v>452</v>
      </c>
      <c r="H6169" s="10">
        <v>46073.0</v>
      </c>
      <c r="I6169" s="12">
        <v>9.0</v>
      </c>
      <c r="J6169" s="6" t="s">
        <v>161</v>
      </c>
    </row>
    <row r="6170" ht="22.5" customHeight="1">
      <c r="A6170" s="6" t="s">
        <v>22978</v>
      </c>
      <c r="B6170" s="6" t="s">
        <v>13916</v>
      </c>
      <c r="C6170" s="10">
        <v>46073.0</v>
      </c>
      <c r="D6170" s="6" t="s">
        <v>289</v>
      </c>
      <c r="E6170" s="6" t="s">
        <v>417</v>
      </c>
      <c r="F6170" s="6" t="s">
        <v>439</v>
      </c>
      <c r="G6170" s="6" t="s">
        <v>297</v>
      </c>
      <c r="H6170" s="10">
        <v>46080.0</v>
      </c>
      <c r="I6170" s="12">
        <v>6.0</v>
      </c>
      <c r="J6170" s="6" t="s">
        <v>161</v>
      </c>
    </row>
    <row r="6171" ht="22.5" customHeight="1">
      <c r="A6171" s="6" t="s">
        <v>22979</v>
      </c>
      <c r="B6171" s="6" t="s">
        <v>13916</v>
      </c>
      <c r="C6171" s="10">
        <v>46072.0</v>
      </c>
      <c r="D6171" s="6" t="s">
        <v>289</v>
      </c>
      <c r="E6171" s="6" t="s">
        <v>670</v>
      </c>
      <c r="F6171" s="6" t="s">
        <v>112</v>
      </c>
      <c r="G6171" s="6" t="s">
        <v>458</v>
      </c>
      <c r="H6171" s="11" t="s">
        <v>259</v>
      </c>
      <c r="I6171" s="12">
        <v>6.0</v>
      </c>
      <c r="J6171" s="6" t="s">
        <v>161</v>
      </c>
    </row>
    <row r="6172" ht="22.5" customHeight="1">
      <c r="A6172" s="6" t="s">
        <v>22980</v>
      </c>
      <c r="B6172" s="6" t="s">
        <v>13916</v>
      </c>
      <c r="C6172" s="10">
        <v>46065.0</v>
      </c>
      <c r="D6172" s="6" t="s">
        <v>289</v>
      </c>
      <c r="E6172" s="6" t="s">
        <v>716</v>
      </c>
      <c r="F6172" s="6" t="s">
        <v>249</v>
      </c>
      <c r="G6172" s="6" t="s">
        <v>326</v>
      </c>
      <c r="H6172" s="10">
        <v>46065.0</v>
      </c>
      <c r="I6172" s="12">
        <v>10.0</v>
      </c>
      <c r="J6172" s="6" t="s">
        <v>161</v>
      </c>
    </row>
    <row r="6173" ht="22.5" customHeight="1">
      <c r="A6173" s="6" t="s">
        <v>22981</v>
      </c>
      <c r="B6173" s="6" t="s">
        <v>13923</v>
      </c>
      <c r="C6173" s="10">
        <v>46061.0</v>
      </c>
      <c r="D6173" s="6" t="s">
        <v>677</v>
      </c>
      <c r="E6173" s="6" t="s">
        <v>1310</v>
      </c>
      <c r="F6173" s="6" t="s">
        <v>283</v>
      </c>
      <c r="G6173" s="6" t="s">
        <v>494</v>
      </c>
      <c r="H6173" s="10">
        <v>46065.0</v>
      </c>
      <c r="I6173" s="12">
        <v>2.0</v>
      </c>
      <c r="J6173" s="6" t="s">
        <v>161</v>
      </c>
    </row>
    <row r="6174" ht="22.5" customHeight="1">
      <c r="A6174" s="6" t="s">
        <v>22982</v>
      </c>
      <c r="B6174" s="6" t="s">
        <v>13923</v>
      </c>
      <c r="C6174" s="10">
        <v>46070.0</v>
      </c>
      <c r="D6174" s="6" t="s">
        <v>312</v>
      </c>
      <c r="E6174" s="6" t="s">
        <v>2881</v>
      </c>
      <c r="F6174" s="6" t="s">
        <v>439</v>
      </c>
      <c r="G6174" s="6" t="s">
        <v>452</v>
      </c>
      <c r="H6174" s="10">
        <v>46070.0</v>
      </c>
      <c r="I6174" s="12">
        <v>4.0</v>
      </c>
      <c r="J6174" s="6" t="s">
        <v>161</v>
      </c>
    </row>
    <row r="6175" ht="22.5" customHeight="1">
      <c r="A6175" s="6" t="s">
        <v>22983</v>
      </c>
      <c r="B6175" s="6" t="s">
        <v>13923</v>
      </c>
      <c r="C6175" s="10">
        <v>46070.0</v>
      </c>
      <c r="D6175" s="6" t="s">
        <v>436</v>
      </c>
      <c r="E6175" s="6" t="s">
        <v>628</v>
      </c>
      <c r="F6175" s="6" t="s">
        <v>439</v>
      </c>
      <c r="G6175" s="6" t="s">
        <v>458</v>
      </c>
      <c r="H6175" s="10">
        <v>46074.0</v>
      </c>
      <c r="I6175" s="12">
        <v>12.0</v>
      </c>
      <c r="J6175" s="6" t="s">
        <v>161</v>
      </c>
    </row>
    <row r="6176" ht="22.5" customHeight="1">
      <c r="A6176" s="6" t="s">
        <v>22984</v>
      </c>
      <c r="B6176" s="6" t="s">
        <v>13923</v>
      </c>
      <c r="C6176" s="10">
        <v>46066.0</v>
      </c>
      <c r="D6176" s="6" t="s">
        <v>416</v>
      </c>
      <c r="E6176" s="6" t="s">
        <v>1296</v>
      </c>
      <c r="F6176" s="6" t="s">
        <v>283</v>
      </c>
      <c r="G6176" s="6" t="s">
        <v>369</v>
      </c>
      <c r="H6176" s="10">
        <v>46069.0</v>
      </c>
      <c r="I6176" s="12">
        <v>14.0</v>
      </c>
      <c r="J6176" s="6" t="s">
        <v>161</v>
      </c>
    </row>
    <row r="6177" ht="22.5" customHeight="1">
      <c r="A6177" s="6" t="s">
        <v>22985</v>
      </c>
      <c r="B6177" s="6" t="s">
        <v>13929</v>
      </c>
      <c r="C6177" s="10">
        <v>46066.0</v>
      </c>
      <c r="D6177" s="6" t="s">
        <v>391</v>
      </c>
      <c r="E6177" s="6" t="s">
        <v>2365</v>
      </c>
      <c r="F6177" s="6" t="s">
        <v>112</v>
      </c>
      <c r="G6177" s="6" t="s">
        <v>254</v>
      </c>
      <c r="H6177" s="10">
        <v>46068.0</v>
      </c>
      <c r="I6177" s="12">
        <v>10.0</v>
      </c>
      <c r="J6177" s="6" t="s">
        <v>161</v>
      </c>
    </row>
    <row r="6178" ht="22.5" customHeight="1">
      <c r="A6178" s="6" t="s">
        <v>22986</v>
      </c>
      <c r="B6178" s="6" t="s">
        <v>13935</v>
      </c>
      <c r="C6178" s="10">
        <v>46039.0</v>
      </c>
      <c r="D6178" s="6" t="s">
        <v>242</v>
      </c>
      <c r="E6178" s="6" t="s">
        <v>566</v>
      </c>
      <c r="F6178" s="6" t="s">
        <v>249</v>
      </c>
      <c r="G6178" s="6" t="s">
        <v>458</v>
      </c>
      <c r="H6178" s="10">
        <v>46044.0</v>
      </c>
      <c r="I6178" s="12">
        <v>5.0</v>
      </c>
      <c r="J6178" s="6" t="s">
        <v>178</v>
      </c>
    </row>
    <row r="6179" ht="22.5" customHeight="1">
      <c r="A6179" s="6" t="s">
        <v>22987</v>
      </c>
      <c r="B6179" s="6" t="s">
        <v>13935</v>
      </c>
      <c r="C6179" s="10">
        <v>46044.0</v>
      </c>
      <c r="D6179" s="6" t="s">
        <v>312</v>
      </c>
      <c r="E6179" s="6" t="s">
        <v>812</v>
      </c>
      <c r="F6179" s="6" t="s">
        <v>439</v>
      </c>
      <c r="G6179" s="6" t="s">
        <v>369</v>
      </c>
      <c r="H6179" s="11" t="s">
        <v>259</v>
      </c>
      <c r="I6179" s="12">
        <v>5.0</v>
      </c>
      <c r="J6179" s="6" t="s">
        <v>161</v>
      </c>
    </row>
    <row r="6180" ht="22.5" customHeight="1">
      <c r="A6180" s="6" t="s">
        <v>22988</v>
      </c>
      <c r="B6180" s="6" t="s">
        <v>13942</v>
      </c>
      <c r="C6180" s="10">
        <v>46058.0</v>
      </c>
      <c r="D6180" s="6" t="s">
        <v>391</v>
      </c>
      <c r="E6180" s="6" t="s">
        <v>1386</v>
      </c>
      <c r="F6180" s="6" t="s">
        <v>283</v>
      </c>
      <c r="G6180" s="6" t="s">
        <v>494</v>
      </c>
      <c r="H6180" s="11" t="s">
        <v>259</v>
      </c>
      <c r="I6180" s="12">
        <v>6.0</v>
      </c>
      <c r="J6180" s="6" t="s">
        <v>161</v>
      </c>
    </row>
    <row r="6181" ht="22.5" customHeight="1">
      <c r="A6181" s="6" t="s">
        <v>22989</v>
      </c>
      <c r="B6181" s="6" t="s">
        <v>13948</v>
      </c>
      <c r="C6181" s="10">
        <v>46065.0</v>
      </c>
      <c r="D6181" s="6" t="s">
        <v>416</v>
      </c>
      <c r="E6181" s="6" t="s">
        <v>1969</v>
      </c>
      <c r="F6181" s="6" t="s">
        <v>249</v>
      </c>
      <c r="G6181" s="6" t="s">
        <v>326</v>
      </c>
      <c r="H6181" s="10">
        <v>46066.0</v>
      </c>
      <c r="I6181" s="12">
        <v>10.0</v>
      </c>
      <c r="J6181" s="6" t="s">
        <v>161</v>
      </c>
    </row>
    <row r="6182" ht="22.5" customHeight="1">
      <c r="A6182" s="6" t="s">
        <v>22990</v>
      </c>
      <c r="B6182" s="6" t="s">
        <v>13948</v>
      </c>
      <c r="C6182" s="10">
        <v>46076.0</v>
      </c>
      <c r="D6182" s="6" t="s">
        <v>312</v>
      </c>
      <c r="E6182" s="6" t="s">
        <v>1386</v>
      </c>
      <c r="F6182" s="6" t="s">
        <v>283</v>
      </c>
      <c r="G6182" s="6" t="s">
        <v>326</v>
      </c>
      <c r="H6182" s="10">
        <v>46081.0</v>
      </c>
      <c r="I6182" s="12">
        <v>5.0</v>
      </c>
      <c r="J6182" s="6" t="s">
        <v>161</v>
      </c>
    </row>
    <row r="6183" ht="22.5" customHeight="1">
      <c r="A6183" s="6" t="s">
        <v>22991</v>
      </c>
      <c r="B6183" s="6" t="s">
        <v>13955</v>
      </c>
      <c r="C6183" s="10">
        <v>46035.0</v>
      </c>
      <c r="D6183" s="6" t="s">
        <v>677</v>
      </c>
      <c r="E6183" s="6" t="s">
        <v>1102</v>
      </c>
      <c r="F6183" s="6" t="s">
        <v>439</v>
      </c>
      <c r="G6183" s="6" t="s">
        <v>477</v>
      </c>
      <c r="H6183" s="10">
        <v>46035.0</v>
      </c>
      <c r="I6183" s="12">
        <v>3.0</v>
      </c>
      <c r="J6183" s="6" t="s">
        <v>161</v>
      </c>
    </row>
    <row r="6184" ht="22.5" customHeight="1">
      <c r="A6184" s="6" t="s">
        <v>22992</v>
      </c>
      <c r="B6184" s="6" t="s">
        <v>13955</v>
      </c>
      <c r="C6184" s="10">
        <v>46050.0</v>
      </c>
      <c r="D6184" s="6" t="s">
        <v>391</v>
      </c>
      <c r="E6184" s="6" t="s">
        <v>1552</v>
      </c>
      <c r="F6184" s="6" t="s">
        <v>439</v>
      </c>
      <c r="G6184" s="6" t="s">
        <v>458</v>
      </c>
      <c r="H6184" s="10">
        <v>46052.0</v>
      </c>
      <c r="I6184" s="12">
        <v>8.0</v>
      </c>
      <c r="J6184" s="6" t="s">
        <v>161</v>
      </c>
    </row>
    <row r="6185" ht="22.5" customHeight="1">
      <c r="A6185" s="6" t="s">
        <v>22993</v>
      </c>
      <c r="B6185" s="6" t="s">
        <v>13955</v>
      </c>
      <c r="C6185" s="10">
        <v>46051.0</v>
      </c>
      <c r="D6185" s="6" t="s">
        <v>416</v>
      </c>
      <c r="E6185" s="6" t="s">
        <v>1517</v>
      </c>
      <c r="F6185" s="6" t="s">
        <v>112</v>
      </c>
      <c r="G6185" s="6" t="s">
        <v>458</v>
      </c>
      <c r="H6185" s="11" t="s">
        <v>259</v>
      </c>
      <c r="I6185" s="12">
        <v>11.0</v>
      </c>
      <c r="J6185" s="6" t="s">
        <v>161</v>
      </c>
    </row>
    <row r="6186" ht="22.5" customHeight="1">
      <c r="A6186" s="6" t="s">
        <v>22994</v>
      </c>
      <c r="B6186" s="6" t="s">
        <v>13955</v>
      </c>
      <c r="C6186" s="10">
        <v>46049.0</v>
      </c>
      <c r="D6186" s="6" t="s">
        <v>289</v>
      </c>
      <c r="E6186" s="6" t="s">
        <v>1296</v>
      </c>
      <c r="F6186" s="6" t="s">
        <v>112</v>
      </c>
      <c r="G6186" s="6" t="s">
        <v>369</v>
      </c>
      <c r="H6186" s="10">
        <v>46053.0</v>
      </c>
      <c r="I6186" s="12">
        <v>9.0</v>
      </c>
      <c r="J6186" s="6" t="s">
        <v>161</v>
      </c>
    </row>
    <row r="6187" ht="22.5" customHeight="1">
      <c r="A6187" s="6" t="s">
        <v>22995</v>
      </c>
      <c r="B6187" s="6" t="s">
        <v>13955</v>
      </c>
      <c r="C6187" s="10">
        <v>46051.0</v>
      </c>
      <c r="D6187" s="6" t="s">
        <v>677</v>
      </c>
      <c r="E6187" s="6" t="s">
        <v>1700</v>
      </c>
      <c r="F6187" s="6" t="s">
        <v>249</v>
      </c>
      <c r="G6187" s="6" t="s">
        <v>458</v>
      </c>
      <c r="H6187" s="10">
        <v>46058.0</v>
      </c>
      <c r="I6187" s="12">
        <v>3.0</v>
      </c>
      <c r="J6187" s="6" t="s">
        <v>161</v>
      </c>
    </row>
    <row r="6188" ht="22.5" customHeight="1">
      <c r="A6188" s="6" t="s">
        <v>22996</v>
      </c>
      <c r="B6188" s="6" t="s">
        <v>13961</v>
      </c>
      <c r="C6188" s="10">
        <v>46046.0</v>
      </c>
      <c r="D6188" s="6" t="s">
        <v>416</v>
      </c>
      <c r="E6188" s="6" t="s">
        <v>798</v>
      </c>
      <c r="F6188" s="6" t="s">
        <v>283</v>
      </c>
      <c r="G6188" s="6" t="s">
        <v>458</v>
      </c>
      <c r="H6188" s="10">
        <v>46051.0</v>
      </c>
      <c r="I6188" s="12">
        <v>9.0</v>
      </c>
      <c r="J6188" s="6" t="s">
        <v>161</v>
      </c>
    </row>
    <row r="6189" ht="22.5" customHeight="1">
      <c r="A6189" s="6" t="s">
        <v>22997</v>
      </c>
      <c r="B6189" s="6" t="s">
        <v>13968</v>
      </c>
      <c r="C6189" s="10">
        <v>46077.0</v>
      </c>
      <c r="D6189" s="6" t="s">
        <v>242</v>
      </c>
      <c r="E6189" s="6" t="s">
        <v>1241</v>
      </c>
      <c r="F6189" s="6" t="s">
        <v>283</v>
      </c>
      <c r="G6189" s="6" t="s">
        <v>458</v>
      </c>
      <c r="H6189" s="10">
        <v>46080.0</v>
      </c>
      <c r="I6189" s="12">
        <v>6.0</v>
      </c>
      <c r="J6189" s="6" t="s">
        <v>178</v>
      </c>
    </row>
    <row r="6190" ht="22.5" customHeight="1">
      <c r="A6190" s="6" t="s">
        <v>22998</v>
      </c>
      <c r="B6190" s="6" t="s">
        <v>13968</v>
      </c>
      <c r="C6190" s="10">
        <v>46077.0</v>
      </c>
      <c r="D6190" s="6" t="s">
        <v>312</v>
      </c>
      <c r="E6190" s="6" t="s">
        <v>670</v>
      </c>
      <c r="F6190" s="6" t="s">
        <v>249</v>
      </c>
      <c r="G6190" s="6" t="s">
        <v>477</v>
      </c>
      <c r="H6190" s="10">
        <v>46082.0</v>
      </c>
      <c r="I6190" s="12">
        <v>7.0</v>
      </c>
      <c r="J6190" s="6" t="s">
        <v>161</v>
      </c>
    </row>
    <row r="6191" ht="22.5" customHeight="1">
      <c r="A6191" s="6" t="s">
        <v>22999</v>
      </c>
      <c r="B6191" s="6" t="s">
        <v>13968</v>
      </c>
      <c r="C6191" s="10">
        <v>46070.0</v>
      </c>
      <c r="D6191" s="6" t="s">
        <v>312</v>
      </c>
      <c r="E6191" s="6" t="s">
        <v>863</v>
      </c>
      <c r="F6191" s="6" t="s">
        <v>283</v>
      </c>
      <c r="G6191" s="6" t="s">
        <v>297</v>
      </c>
      <c r="H6191" s="10">
        <v>46075.0</v>
      </c>
      <c r="I6191" s="12">
        <v>7.0</v>
      </c>
      <c r="J6191" s="6" t="s">
        <v>161</v>
      </c>
    </row>
    <row r="6192" ht="22.5" customHeight="1">
      <c r="A6192" s="6" t="s">
        <v>23000</v>
      </c>
      <c r="B6192" s="6" t="s">
        <v>13968</v>
      </c>
      <c r="C6192" s="10">
        <v>46070.0</v>
      </c>
      <c r="D6192" s="6" t="s">
        <v>289</v>
      </c>
      <c r="E6192" s="6" t="s">
        <v>687</v>
      </c>
      <c r="F6192" s="6" t="s">
        <v>249</v>
      </c>
      <c r="G6192" s="6" t="s">
        <v>297</v>
      </c>
      <c r="H6192" s="10">
        <v>46072.0</v>
      </c>
      <c r="I6192" s="12">
        <v>8.0</v>
      </c>
      <c r="J6192" s="6" t="s">
        <v>161</v>
      </c>
    </row>
    <row r="6193" ht="22.5" customHeight="1">
      <c r="A6193" s="6" t="s">
        <v>23001</v>
      </c>
      <c r="B6193" s="6" t="s">
        <v>13974</v>
      </c>
      <c r="C6193" s="10">
        <v>46038.0</v>
      </c>
      <c r="D6193" s="6" t="s">
        <v>416</v>
      </c>
      <c r="E6193" s="6" t="s">
        <v>2881</v>
      </c>
      <c r="F6193" s="6" t="s">
        <v>283</v>
      </c>
      <c r="G6193" s="6" t="s">
        <v>297</v>
      </c>
      <c r="H6193" s="10">
        <v>46043.0</v>
      </c>
      <c r="I6193" s="12">
        <v>10.0</v>
      </c>
      <c r="J6193" s="6" t="s">
        <v>161</v>
      </c>
    </row>
    <row r="6194" ht="22.5" customHeight="1">
      <c r="A6194" s="6" t="s">
        <v>23002</v>
      </c>
      <c r="B6194" s="6" t="s">
        <v>13974</v>
      </c>
      <c r="C6194" s="10">
        <v>46033.0</v>
      </c>
      <c r="D6194" s="6" t="s">
        <v>391</v>
      </c>
      <c r="E6194" s="6" t="s">
        <v>955</v>
      </c>
      <c r="F6194" s="6" t="s">
        <v>112</v>
      </c>
      <c r="G6194" s="6" t="s">
        <v>297</v>
      </c>
      <c r="H6194" s="10">
        <v>46036.0</v>
      </c>
      <c r="I6194" s="12">
        <v>10.0</v>
      </c>
      <c r="J6194" s="6" t="s">
        <v>161</v>
      </c>
    </row>
    <row r="6195" ht="22.5" customHeight="1">
      <c r="A6195" s="6" t="s">
        <v>23003</v>
      </c>
      <c r="B6195" s="6" t="s">
        <v>13974</v>
      </c>
      <c r="C6195" s="10">
        <v>46040.0</v>
      </c>
      <c r="D6195" s="6" t="s">
        <v>312</v>
      </c>
      <c r="E6195" s="6" t="s">
        <v>658</v>
      </c>
      <c r="F6195" s="6" t="s">
        <v>112</v>
      </c>
      <c r="G6195" s="6" t="s">
        <v>254</v>
      </c>
      <c r="H6195" s="11" t="s">
        <v>259</v>
      </c>
      <c r="I6195" s="12">
        <v>7.0</v>
      </c>
      <c r="J6195" s="6" t="s">
        <v>161</v>
      </c>
    </row>
    <row r="6196" ht="22.5" customHeight="1">
      <c r="A6196" s="6" t="s">
        <v>23004</v>
      </c>
      <c r="B6196" s="6" t="s">
        <v>13980</v>
      </c>
      <c r="C6196" s="10">
        <v>46081.0</v>
      </c>
      <c r="D6196" s="6" t="s">
        <v>416</v>
      </c>
      <c r="E6196" s="6" t="s">
        <v>1241</v>
      </c>
      <c r="F6196" s="6" t="s">
        <v>439</v>
      </c>
      <c r="G6196" s="6" t="s">
        <v>254</v>
      </c>
      <c r="H6196" s="11" t="s">
        <v>259</v>
      </c>
      <c r="I6196" s="12">
        <v>11.0</v>
      </c>
      <c r="J6196" s="6" t="s">
        <v>161</v>
      </c>
    </row>
    <row r="6197" ht="22.5" customHeight="1">
      <c r="A6197" s="6" t="s">
        <v>23005</v>
      </c>
      <c r="B6197" s="6" t="s">
        <v>13980</v>
      </c>
      <c r="C6197" s="10">
        <v>46075.0</v>
      </c>
      <c r="D6197" s="6" t="s">
        <v>391</v>
      </c>
      <c r="E6197" s="6" t="s">
        <v>466</v>
      </c>
      <c r="F6197" s="6" t="s">
        <v>249</v>
      </c>
      <c r="G6197" s="6" t="s">
        <v>494</v>
      </c>
      <c r="H6197" s="10">
        <v>46077.0</v>
      </c>
      <c r="I6197" s="12">
        <v>9.0</v>
      </c>
      <c r="J6197" s="6" t="s">
        <v>161</v>
      </c>
    </row>
    <row r="6198" ht="22.5" customHeight="1">
      <c r="A6198" s="6" t="s">
        <v>23006</v>
      </c>
      <c r="B6198" s="6" t="s">
        <v>13980</v>
      </c>
      <c r="C6198" s="10">
        <v>46072.0</v>
      </c>
      <c r="D6198" s="6" t="s">
        <v>416</v>
      </c>
      <c r="E6198" s="6" t="s">
        <v>1273</v>
      </c>
      <c r="F6198" s="6" t="s">
        <v>439</v>
      </c>
      <c r="G6198" s="6" t="s">
        <v>297</v>
      </c>
      <c r="H6198" s="10">
        <v>46076.0</v>
      </c>
      <c r="I6198" s="12">
        <v>11.0</v>
      </c>
      <c r="J6198" s="6" t="s">
        <v>161</v>
      </c>
    </row>
    <row r="6199" ht="22.5" customHeight="1">
      <c r="A6199" s="6" t="s">
        <v>23007</v>
      </c>
      <c r="B6199" s="6" t="s">
        <v>13987</v>
      </c>
      <c r="C6199" s="10">
        <v>46063.0</v>
      </c>
      <c r="D6199" s="6" t="s">
        <v>242</v>
      </c>
      <c r="E6199" s="6" t="s">
        <v>1552</v>
      </c>
      <c r="F6199" s="6" t="s">
        <v>283</v>
      </c>
      <c r="G6199" s="6" t="s">
        <v>452</v>
      </c>
      <c r="H6199" s="10">
        <v>46069.0</v>
      </c>
      <c r="I6199" s="12">
        <v>6.0</v>
      </c>
      <c r="J6199" s="6" t="s">
        <v>178</v>
      </c>
    </row>
    <row r="6200" ht="22.5" customHeight="1">
      <c r="A6200" s="6" t="s">
        <v>23008</v>
      </c>
      <c r="B6200" s="6" t="s">
        <v>13987</v>
      </c>
      <c r="C6200" s="10">
        <v>46063.0</v>
      </c>
      <c r="D6200" s="6" t="s">
        <v>677</v>
      </c>
      <c r="E6200" s="6" t="s">
        <v>1296</v>
      </c>
      <c r="F6200" s="6" t="s">
        <v>249</v>
      </c>
      <c r="G6200" s="6" t="s">
        <v>494</v>
      </c>
      <c r="H6200" s="10">
        <v>46067.0</v>
      </c>
      <c r="I6200" s="12">
        <v>3.0</v>
      </c>
      <c r="J6200" s="6" t="s">
        <v>161</v>
      </c>
    </row>
    <row r="6201" ht="22.5" customHeight="1">
      <c r="A6201" s="6" t="s">
        <v>23009</v>
      </c>
      <c r="B6201" s="6" t="s">
        <v>13987</v>
      </c>
      <c r="C6201" s="10">
        <v>46056.0</v>
      </c>
      <c r="D6201" s="6" t="s">
        <v>312</v>
      </c>
      <c r="E6201" s="6" t="s">
        <v>1055</v>
      </c>
      <c r="F6201" s="6" t="s">
        <v>112</v>
      </c>
      <c r="G6201" s="6" t="s">
        <v>297</v>
      </c>
      <c r="H6201" s="10">
        <v>46060.0</v>
      </c>
      <c r="I6201" s="12">
        <v>7.0</v>
      </c>
      <c r="J6201" s="6" t="s">
        <v>161</v>
      </c>
    </row>
    <row r="6202" ht="22.5" customHeight="1">
      <c r="A6202" s="6" t="s">
        <v>23010</v>
      </c>
      <c r="B6202" s="6" t="s">
        <v>13994</v>
      </c>
      <c r="C6202" s="10">
        <v>46033.0</v>
      </c>
      <c r="D6202" s="6" t="s">
        <v>289</v>
      </c>
      <c r="E6202" s="6" t="s">
        <v>512</v>
      </c>
      <c r="F6202" s="6" t="s">
        <v>439</v>
      </c>
      <c r="G6202" s="6" t="s">
        <v>326</v>
      </c>
      <c r="H6202" s="11" t="s">
        <v>259</v>
      </c>
      <c r="I6202" s="12">
        <v>8.0</v>
      </c>
      <c r="J6202" s="6" t="s">
        <v>161</v>
      </c>
    </row>
    <row r="6203" ht="22.5" customHeight="1">
      <c r="A6203" s="6" t="s">
        <v>23011</v>
      </c>
      <c r="B6203" s="6" t="s">
        <v>13994</v>
      </c>
      <c r="C6203" s="10">
        <v>46046.0</v>
      </c>
      <c r="D6203" s="6" t="s">
        <v>436</v>
      </c>
      <c r="E6203" s="6" t="s">
        <v>438</v>
      </c>
      <c r="F6203" s="6" t="s">
        <v>439</v>
      </c>
      <c r="G6203" s="6" t="s">
        <v>326</v>
      </c>
      <c r="H6203" s="10">
        <v>46046.0</v>
      </c>
      <c r="I6203" s="12">
        <v>10.0</v>
      </c>
      <c r="J6203" s="6" t="s">
        <v>178</v>
      </c>
    </row>
    <row r="6204" ht="22.5" customHeight="1">
      <c r="A6204" s="6" t="s">
        <v>23012</v>
      </c>
      <c r="B6204" s="6" t="s">
        <v>13994</v>
      </c>
      <c r="C6204" s="10">
        <v>46028.0</v>
      </c>
      <c r="D6204" s="6" t="s">
        <v>416</v>
      </c>
      <c r="E6204" s="6" t="s">
        <v>896</v>
      </c>
      <c r="F6204" s="6" t="s">
        <v>112</v>
      </c>
      <c r="G6204" s="6" t="s">
        <v>494</v>
      </c>
      <c r="H6204" s="10">
        <v>46031.0</v>
      </c>
      <c r="I6204" s="12">
        <v>9.0</v>
      </c>
      <c r="J6204" s="6" t="s">
        <v>161</v>
      </c>
    </row>
    <row r="6205" ht="22.5" customHeight="1">
      <c r="A6205" s="6" t="s">
        <v>23013</v>
      </c>
      <c r="B6205" s="6" t="s">
        <v>14000</v>
      </c>
      <c r="C6205" s="10">
        <v>46074.0</v>
      </c>
      <c r="D6205" s="6" t="s">
        <v>436</v>
      </c>
      <c r="E6205" s="6" t="s">
        <v>610</v>
      </c>
      <c r="F6205" s="6" t="s">
        <v>283</v>
      </c>
      <c r="G6205" s="6" t="s">
        <v>254</v>
      </c>
      <c r="H6205" s="10">
        <v>46077.0</v>
      </c>
      <c r="I6205" s="12">
        <v>11.0</v>
      </c>
      <c r="J6205" s="6" t="s">
        <v>161</v>
      </c>
    </row>
    <row r="6206" ht="22.5" customHeight="1">
      <c r="A6206" s="6" t="s">
        <v>23014</v>
      </c>
      <c r="B6206" s="6" t="s">
        <v>14000</v>
      </c>
      <c r="C6206" s="10">
        <v>46077.0</v>
      </c>
      <c r="D6206" s="6" t="s">
        <v>416</v>
      </c>
      <c r="E6206" s="6" t="s">
        <v>1310</v>
      </c>
      <c r="F6206" s="6" t="s">
        <v>112</v>
      </c>
      <c r="G6206" s="6" t="s">
        <v>494</v>
      </c>
      <c r="H6206" s="10">
        <v>46080.0</v>
      </c>
      <c r="I6206" s="12">
        <v>12.0</v>
      </c>
      <c r="J6206" s="6" t="s">
        <v>161</v>
      </c>
    </row>
    <row r="6207" ht="22.5" customHeight="1">
      <c r="A6207" s="6" t="s">
        <v>23015</v>
      </c>
      <c r="B6207" s="6" t="s">
        <v>14007</v>
      </c>
      <c r="C6207" s="10">
        <v>46030.0</v>
      </c>
      <c r="D6207" s="6" t="s">
        <v>289</v>
      </c>
      <c r="E6207" s="6" t="s">
        <v>438</v>
      </c>
      <c r="F6207" s="6" t="s">
        <v>283</v>
      </c>
      <c r="G6207" s="6" t="s">
        <v>297</v>
      </c>
      <c r="H6207" s="10">
        <v>46036.0</v>
      </c>
      <c r="I6207" s="12">
        <v>5.0</v>
      </c>
      <c r="J6207" s="6" t="s">
        <v>161</v>
      </c>
    </row>
    <row r="6208" ht="22.5" customHeight="1">
      <c r="A6208" s="6" t="s">
        <v>23016</v>
      </c>
      <c r="B6208" s="6" t="s">
        <v>14007</v>
      </c>
      <c r="C6208" s="10">
        <v>46028.0</v>
      </c>
      <c r="D6208" s="6" t="s">
        <v>242</v>
      </c>
      <c r="E6208" s="6" t="s">
        <v>1280</v>
      </c>
      <c r="F6208" s="6" t="s">
        <v>439</v>
      </c>
      <c r="G6208" s="6" t="s">
        <v>297</v>
      </c>
      <c r="H6208" s="10">
        <v>46031.0</v>
      </c>
      <c r="I6208" s="12">
        <v>3.0</v>
      </c>
      <c r="J6208" s="6" t="s">
        <v>178</v>
      </c>
    </row>
    <row r="6209" ht="22.5" customHeight="1">
      <c r="A6209" s="6" t="s">
        <v>23017</v>
      </c>
      <c r="B6209" s="6" t="s">
        <v>14014</v>
      </c>
      <c r="C6209" s="10">
        <v>46044.0</v>
      </c>
      <c r="D6209" s="6" t="s">
        <v>289</v>
      </c>
      <c r="E6209" s="6" t="s">
        <v>1102</v>
      </c>
      <c r="F6209" s="6" t="s">
        <v>112</v>
      </c>
      <c r="G6209" s="6" t="s">
        <v>254</v>
      </c>
      <c r="H6209" s="10">
        <v>46045.0</v>
      </c>
      <c r="I6209" s="12">
        <v>7.0</v>
      </c>
      <c r="J6209" s="6" t="s">
        <v>161</v>
      </c>
    </row>
    <row r="6210" ht="22.5" customHeight="1">
      <c r="A6210" s="6" t="s">
        <v>23018</v>
      </c>
      <c r="B6210" s="6" t="s">
        <v>14014</v>
      </c>
      <c r="C6210" s="10">
        <v>46046.0</v>
      </c>
      <c r="D6210" s="6" t="s">
        <v>416</v>
      </c>
      <c r="E6210" s="6" t="s">
        <v>716</v>
      </c>
      <c r="F6210" s="6" t="s">
        <v>249</v>
      </c>
      <c r="G6210" s="6" t="s">
        <v>477</v>
      </c>
      <c r="H6210" s="11" t="s">
        <v>259</v>
      </c>
      <c r="I6210" s="12">
        <v>14.0</v>
      </c>
      <c r="J6210" s="6" t="s">
        <v>161</v>
      </c>
    </row>
    <row r="6211" ht="22.5" customHeight="1">
      <c r="A6211" s="6" t="s">
        <v>23019</v>
      </c>
      <c r="B6211" s="6" t="s">
        <v>14014</v>
      </c>
      <c r="C6211" s="10">
        <v>46043.0</v>
      </c>
      <c r="D6211" s="6" t="s">
        <v>391</v>
      </c>
      <c r="E6211" s="6" t="s">
        <v>1700</v>
      </c>
      <c r="F6211" s="6" t="s">
        <v>439</v>
      </c>
      <c r="G6211" s="6" t="s">
        <v>297</v>
      </c>
      <c r="H6211" s="10">
        <v>46050.0</v>
      </c>
      <c r="I6211" s="12">
        <v>11.0</v>
      </c>
      <c r="J6211" s="6" t="s">
        <v>161</v>
      </c>
    </row>
    <row r="6212" ht="22.5" customHeight="1">
      <c r="A6212" s="6" t="s">
        <v>23020</v>
      </c>
      <c r="B6212" s="6" t="s">
        <v>14014</v>
      </c>
      <c r="C6212" s="10">
        <v>46040.0</v>
      </c>
      <c r="D6212" s="6" t="s">
        <v>391</v>
      </c>
      <c r="E6212" s="6" t="s">
        <v>450</v>
      </c>
      <c r="F6212" s="6" t="s">
        <v>283</v>
      </c>
      <c r="G6212" s="6" t="s">
        <v>494</v>
      </c>
      <c r="H6212" s="10">
        <v>46042.0</v>
      </c>
      <c r="I6212" s="12">
        <v>10.0</v>
      </c>
      <c r="J6212" s="6" t="s">
        <v>161</v>
      </c>
    </row>
    <row r="6213" ht="22.5" customHeight="1">
      <c r="A6213" s="6" t="s">
        <v>23021</v>
      </c>
      <c r="B6213" s="6" t="s">
        <v>14014</v>
      </c>
      <c r="C6213" s="10">
        <v>46048.0</v>
      </c>
      <c r="D6213" s="6" t="s">
        <v>312</v>
      </c>
      <c r="E6213" s="6" t="s">
        <v>1149</v>
      </c>
      <c r="F6213" s="6" t="s">
        <v>112</v>
      </c>
      <c r="G6213" s="6" t="s">
        <v>458</v>
      </c>
      <c r="H6213" s="10">
        <v>46054.0</v>
      </c>
      <c r="I6213" s="12">
        <v>4.0</v>
      </c>
      <c r="J6213" s="6" t="s">
        <v>161</v>
      </c>
    </row>
    <row r="6214" ht="22.5" customHeight="1">
      <c r="A6214" s="6" t="s">
        <v>23022</v>
      </c>
      <c r="B6214" s="6" t="s">
        <v>14021</v>
      </c>
      <c r="C6214" s="10">
        <v>46070.0</v>
      </c>
      <c r="D6214" s="6" t="s">
        <v>242</v>
      </c>
      <c r="E6214" s="6" t="s">
        <v>775</v>
      </c>
      <c r="F6214" s="6" t="s">
        <v>283</v>
      </c>
      <c r="G6214" s="6" t="s">
        <v>494</v>
      </c>
      <c r="H6214" s="10">
        <v>46071.0</v>
      </c>
      <c r="I6214" s="12">
        <v>3.0</v>
      </c>
      <c r="J6214" s="6" t="s">
        <v>178</v>
      </c>
    </row>
    <row r="6215" ht="22.5" customHeight="1">
      <c r="A6215" s="6" t="s">
        <v>23023</v>
      </c>
      <c r="B6215" s="6" t="s">
        <v>14027</v>
      </c>
      <c r="C6215" s="10">
        <v>46060.0</v>
      </c>
      <c r="D6215" s="6" t="s">
        <v>677</v>
      </c>
      <c r="E6215" s="6" t="s">
        <v>394</v>
      </c>
      <c r="F6215" s="6" t="s">
        <v>283</v>
      </c>
      <c r="G6215" s="6" t="s">
        <v>254</v>
      </c>
      <c r="H6215" s="11" t="s">
        <v>259</v>
      </c>
      <c r="I6215" s="12">
        <v>4.0</v>
      </c>
      <c r="J6215" s="6" t="s">
        <v>161</v>
      </c>
    </row>
    <row r="6216" ht="22.5" customHeight="1">
      <c r="A6216" s="6" t="s">
        <v>23024</v>
      </c>
      <c r="B6216" s="6" t="s">
        <v>14027</v>
      </c>
      <c r="C6216" s="10">
        <v>46049.0</v>
      </c>
      <c r="D6216" s="6" t="s">
        <v>677</v>
      </c>
      <c r="E6216" s="6" t="s">
        <v>798</v>
      </c>
      <c r="F6216" s="6" t="s">
        <v>249</v>
      </c>
      <c r="G6216" s="6" t="s">
        <v>326</v>
      </c>
      <c r="H6216" s="11" t="s">
        <v>259</v>
      </c>
      <c r="I6216" s="12">
        <v>3.0</v>
      </c>
      <c r="J6216" s="6" t="s">
        <v>161</v>
      </c>
    </row>
    <row r="6217" ht="22.5" customHeight="1">
      <c r="A6217" s="6" t="s">
        <v>23025</v>
      </c>
      <c r="B6217" s="6" t="s">
        <v>14027</v>
      </c>
      <c r="C6217" s="10">
        <v>46049.0</v>
      </c>
      <c r="D6217" s="6" t="s">
        <v>242</v>
      </c>
      <c r="E6217" s="6" t="s">
        <v>1241</v>
      </c>
      <c r="F6217" s="6" t="s">
        <v>249</v>
      </c>
      <c r="G6217" s="6" t="s">
        <v>452</v>
      </c>
      <c r="H6217" s="10">
        <v>46052.0</v>
      </c>
      <c r="I6217" s="12">
        <v>6.0</v>
      </c>
      <c r="J6217" s="6" t="s">
        <v>178</v>
      </c>
    </row>
    <row r="6218" ht="22.5" customHeight="1">
      <c r="A6218" s="6" t="s">
        <v>23026</v>
      </c>
      <c r="B6218" s="6" t="s">
        <v>14027</v>
      </c>
      <c r="C6218" s="10">
        <v>46065.0</v>
      </c>
      <c r="D6218" s="6" t="s">
        <v>312</v>
      </c>
      <c r="E6218" s="6" t="s">
        <v>1102</v>
      </c>
      <c r="F6218" s="6" t="s">
        <v>283</v>
      </c>
      <c r="G6218" s="6" t="s">
        <v>254</v>
      </c>
      <c r="H6218" s="10">
        <v>46071.0</v>
      </c>
      <c r="I6218" s="12">
        <v>4.0</v>
      </c>
      <c r="J6218" s="6" t="s">
        <v>161</v>
      </c>
    </row>
    <row r="6219" ht="22.5" customHeight="1">
      <c r="A6219" s="6" t="s">
        <v>23027</v>
      </c>
      <c r="B6219" s="6" t="s">
        <v>14027</v>
      </c>
      <c r="C6219" s="10">
        <v>46062.0</v>
      </c>
      <c r="D6219" s="6" t="s">
        <v>312</v>
      </c>
      <c r="E6219" s="6" t="s">
        <v>466</v>
      </c>
      <c r="F6219" s="6" t="s">
        <v>439</v>
      </c>
      <c r="G6219" s="6" t="s">
        <v>326</v>
      </c>
      <c r="H6219" s="10">
        <v>46066.0</v>
      </c>
      <c r="I6219" s="12">
        <v>6.0</v>
      </c>
      <c r="J6219" s="6" t="s">
        <v>161</v>
      </c>
    </row>
    <row r="6220" ht="22.5" customHeight="1">
      <c r="A6220" s="6" t="s">
        <v>23028</v>
      </c>
      <c r="B6220" s="6" t="s">
        <v>14032</v>
      </c>
      <c r="C6220" s="10">
        <v>46046.0</v>
      </c>
      <c r="D6220" s="6" t="s">
        <v>289</v>
      </c>
      <c r="E6220" s="6" t="s">
        <v>775</v>
      </c>
      <c r="F6220" s="6" t="s">
        <v>249</v>
      </c>
      <c r="G6220" s="6" t="s">
        <v>369</v>
      </c>
      <c r="H6220" s="10">
        <v>46051.0</v>
      </c>
      <c r="I6220" s="12">
        <v>9.0</v>
      </c>
      <c r="J6220" s="6" t="s">
        <v>161</v>
      </c>
    </row>
    <row r="6221" ht="22.5" customHeight="1">
      <c r="A6221" s="6" t="s">
        <v>23029</v>
      </c>
      <c r="B6221" s="6" t="s">
        <v>14038</v>
      </c>
      <c r="C6221" s="10">
        <v>46062.0</v>
      </c>
      <c r="D6221" s="6" t="s">
        <v>677</v>
      </c>
      <c r="E6221" s="6" t="s">
        <v>863</v>
      </c>
      <c r="F6221" s="6" t="s">
        <v>249</v>
      </c>
      <c r="G6221" s="6" t="s">
        <v>452</v>
      </c>
      <c r="H6221" s="11" t="s">
        <v>259</v>
      </c>
      <c r="I6221" s="12">
        <v>4.0</v>
      </c>
      <c r="J6221" s="6" t="s">
        <v>161</v>
      </c>
    </row>
    <row r="6222" ht="22.5" customHeight="1">
      <c r="A6222" s="6" t="s">
        <v>23030</v>
      </c>
      <c r="B6222" s="6" t="s">
        <v>14044</v>
      </c>
      <c r="C6222" s="10">
        <v>46039.0</v>
      </c>
      <c r="D6222" s="6" t="s">
        <v>416</v>
      </c>
      <c r="E6222" s="6" t="s">
        <v>1296</v>
      </c>
      <c r="F6222" s="6" t="s">
        <v>112</v>
      </c>
      <c r="G6222" s="6" t="s">
        <v>452</v>
      </c>
      <c r="H6222" s="10">
        <v>46040.0</v>
      </c>
      <c r="I6222" s="12">
        <v>10.0</v>
      </c>
      <c r="J6222" s="6" t="s">
        <v>161</v>
      </c>
    </row>
    <row r="6223" ht="22.5" customHeight="1">
      <c r="A6223" s="6" t="s">
        <v>23031</v>
      </c>
      <c r="B6223" s="6" t="s">
        <v>14051</v>
      </c>
      <c r="C6223" s="10">
        <v>46048.0</v>
      </c>
      <c r="D6223" s="6" t="s">
        <v>242</v>
      </c>
      <c r="E6223" s="6" t="s">
        <v>955</v>
      </c>
      <c r="F6223" s="6" t="s">
        <v>439</v>
      </c>
      <c r="G6223" s="6" t="s">
        <v>452</v>
      </c>
      <c r="H6223" s="10">
        <v>46049.0</v>
      </c>
      <c r="I6223" s="12">
        <v>5.0</v>
      </c>
      <c r="J6223" s="6" t="s">
        <v>178</v>
      </c>
    </row>
    <row r="6224" ht="22.5" customHeight="1">
      <c r="A6224" s="6" t="s">
        <v>23032</v>
      </c>
      <c r="B6224" s="6" t="s">
        <v>14051</v>
      </c>
      <c r="C6224" s="10">
        <v>46050.0</v>
      </c>
      <c r="D6224" s="6" t="s">
        <v>416</v>
      </c>
      <c r="E6224" s="6" t="s">
        <v>1600</v>
      </c>
      <c r="F6224" s="6" t="s">
        <v>112</v>
      </c>
      <c r="G6224" s="6" t="s">
        <v>326</v>
      </c>
      <c r="H6224" s="10">
        <v>46054.0</v>
      </c>
      <c r="I6224" s="12">
        <v>9.0</v>
      </c>
      <c r="J6224" s="6" t="s">
        <v>161</v>
      </c>
    </row>
    <row r="6225" ht="22.5" customHeight="1">
      <c r="A6225" s="6" t="s">
        <v>23033</v>
      </c>
      <c r="B6225" s="6" t="s">
        <v>14057</v>
      </c>
      <c r="C6225" s="10">
        <v>46061.0</v>
      </c>
      <c r="D6225" s="6" t="s">
        <v>391</v>
      </c>
      <c r="E6225" s="6" t="s">
        <v>291</v>
      </c>
      <c r="F6225" s="6" t="s">
        <v>112</v>
      </c>
      <c r="G6225" s="6" t="s">
        <v>369</v>
      </c>
      <c r="H6225" s="10">
        <v>46066.0</v>
      </c>
      <c r="I6225" s="12">
        <v>9.0</v>
      </c>
      <c r="J6225" s="6" t="s">
        <v>161</v>
      </c>
    </row>
    <row r="6226" ht="22.5" customHeight="1">
      <c r="A6226" s="6" t="s">
        <v>23034</v>
      </c>
      <c r="B6226" s="6" t="s">
        <v>14057</v>
      </c>
      <c r="C6226" s="10">
        <v>46048.0</v>
      </c>
      <c r="D6226" s="6" t="s">
        <v>312</v>
      </c>
      <c r="E6226" s="6" t="s">
        <v>1122</v>
      </c>
      <c r="F6226" s="6" t="s">
        <v>249</v>
      </c>
      <c r="G6226" s="6" t="s">
        <v>494</v>
      </c>
      <c r="H6226" s="10">
        <v>46054.0</v>
      </c>
      <c r="I6226" s="12">
        <v>6.0</v>
      </c>
      <c r="J6226" s="6" t="s">
        <v>161</v>
      </c>
    </row>
    <row r="6227" ht="22.5" customHeight="1">
      <c r="A6227" s="6" t="s">
        <v>23035</v>
      </c>
      <c r="B6227" s="6" t="s">
        <v>14057</v>
      </c>
      <c r="C6227" s="10">
        <v>46048.0</v>
      </c>
      <c r="D6227" s="6" t="s">
        <v>289</v>
      </c>
      <c r="E6227" s="6" t="s">
        <v>704</v>
      </c>
      <c r="F6227" s="6" t="s">
        <v>439</v>
      </c>
      <c r="G6227" s="6" t="s">
        <v>326</v>
      </c>
      <c r="H6227" s="11" t="s">
        <v>259</v>
      </c>
      <c r="I6227" s="12">
        <v>7.0</v>
      </c>
      <c r="J6227" s="6" t="s">
        <v>161</v>
      </c>
    </row>
    <row r="6228" ht="22.5" customHeight="1">
      <c r="A6228" s="6" t="s">
        <v>23036</v>
      </c>
      <c r="B6228" s="6" t="s">
        <v>14057</v>
      </c>
      <c r="C6228" s="10">
        <v>46049.0</v>
      </c>
      <c r="D6228" s="6" t="s">
        <v>416</v>
      </c>
      <c r="E6228" s="6" t="s">
        <v>798</v>
      </c>
      <c r="F6228" s="6" t="s">
        <v>283</v>
      </c>
      <c r="G6228" s="6" t="s">
        <v>297</v>
      </c>
      <c r="H6228" s="11" t="s">
        <v>259</v>
      </c>
      <c r="I6228" s="12">
        <v>9.0</v>
      </c>
      <c r="J6228" s="6" t="s">
        <v>161</v>
      </c>
    </row>
    <row r="6229" ht="22.5" customHeight="1">
      <c r="A6229" s="6" t="s">
        <v>23037</v>
      </c>
      <c r="B6229" s="6" t="s">
        <v>14064</v>
      </c>
      <c r="C6229" s="10">
        <v>46063.0</v>
      </c>
      <c r="D6229" s="6" t="s">
        <v>312</v>
      </c>
      <c r="E6229" s="6" t="s">
        <v>738</v>
      </c>
      <c r="F6229" s="6" t="s">
        <v>249</v>
      </c>
      <c r="G6229" s="6" t="s">
        <v>477</v>
      </c>
      <c r="H6229" s="10">
        <v>46065.0</v>
      </c>
      <c r="I6229" s="12">
        <v>6.0</v>
      </c>
      <c r="J6229" s="6" t="s">
        <v>161</v>
      </c>
    </row>
    <row r="6230" ht="22.5" customHeight="1">
      <c r="A6230" s="6" t="s">
        <v>23038</v>
      </c>
      <c r="B6230" s="6" t="s">
        <v>14064</v>
      </c>
      <c r="C6230" s="10">
        <v>46081.0</v>
      </c>
      <c r="D6230" s="6" t="s">
        <v>312</v>
      </c>
      <c r="E6230" s="6" t="s">
        <v>466</v>
      </c>
      <c r="F6230" s="6" t="s">
        <v>112</v>
      </c>
      <c r="G6230" s="6" t="s">
        <v>326</v>
      </c>
      <c r="H6230" s="10">
        <v>46086.0</v>
      </c>
      <c r="I6230" s="12">
        <v>6.0</v>
      </c>
      <c r="J6230" s="6" t="s">
        <v>161</v>
      </c>
    </row>
    <row r="6231" ht="22.5" customHeight="1">
      <c r="A6231" s="6" t="s">
        <v>23039</v>
      </c>
      <c r="B6231" s="6" t="s">
        <v>14070</v>
      </c>
      <c r="C6231" s="10">
        <v>46033.0</v>
      </c>
      <c r="D6231" s="6" t="s">
        <v>677</v>
      </c>
      <c r="E6231" s="6" t="s">
        <v>634</v>
      </c>
      <c r="F6231" s="6" t="s">
        <v>439</v>
      </c>
      <c r="G6231" s="6" t="s">
        <v>477</v>
      </c>
      <c r="H6231" s="10">
        <v>46037.0</v>
      </c>
      <c r="I6231" s="12">
        <v>2.0</v>
      </c>
      <c r="J6231" s="6" t="s">
        <v>161</v>
      </c>
    </row>
    <row r="6232" ht="22.5" customHeight="1">
      <c r="A6232" s="6" t="s">
        <v>23040</v>
      </c>
      <c r="B6232" s="6" t="s">
        <v>14070</v>
      </c>
      <c r="C6232" s="10">
        <v>46039.0</v>
      </c>
      <c r="D6232" s="6" t="s">
        <v>391</v>
      </c>
      <c r="E6232" s="6" t="s">
        <v>618</v>
      </c>
      <c r="F6232" s="6" t="s">
        <v>112</v>
      </c>
      <c r="G6232" s="6" t="s">
        <v>326</v>
      </c>
      <c r="H6232" s="10">
        <v>46043.0</v>
      </c>
      <c r="I6232" s="12">
        <v>7.0</v>
      </c>
      <c r="J6232" s="6" t="s">
        <v>161</v>
      </c>
    </row>
    <row r="6233" ht="22.5" customHeight="1">
      <c r="A6233" s="6" t="s">
        <v>23041</v>
      </c>
      <c r="B6233" s="6" t="s">
        <v>14077</v>
      </c>
      <c r="C6233" s="10">
        <v>46038.0</v>
      </c>
      <c r="D6233" s="6" t="s">
        <v>416</v>
      </c>
      <c r="E6233" s="6" t="s">
        <v>450</v>
      </c>
      <c r="F6233" s="6" t="s">
        <v>283</v>
      </c>
      <c r="G6233" s="6" t="s">
        <v>254</v>
      </c>
      <c r="H6233" s="10">
        <v>46044.0</v>
      </c>
      <c r="I6233" s="12">
        <v>10.0</v>
      </c>
      <c r="J6233" s="6" t="s">
        <v>161</v>
      </c>
    </row>
    <row r="6234" ht="22.5" customHeight="1">
      <c r="A6234" s="6" t="s">
        <v>23042</v>
      </c>
      <c r="B6234" s="6" t="s">
        <v>14084</v>
      </c>
      <c r="C6234" s="10">
        <v>46044.0</v>
      </c>
      <c r="D6234" s="6" t="s">
        <v>677</v>
      </c>
      <c r="E6234" s="6" t="s">
        <v>1570</v>
      </c>
      <c r="F6234" s="6" t="s">
        <v>439</v>
      </c>
      <c r="G6234" s="6" t="s">
        <v>297</v>
      </c>
      <c r="H6234" s="10">
        <v>46050.0</v>
      </c>
      <c r="I6234" s="12">
        <v>2.0</v>
      </c>
      <c r="J6234" s="6" t="s">
        <v>161</v>
      </c>
    </row>
    <row r="6235" ht="22.5" customHeight="1">
      <c r="A6235" s="6" t="s">
        <v>23043</v>
      </c>
      <c r="B6235" s="6" t="s">
        <v>14084</v>
      </c>
      <c r="C6235" s="10">
        <v>46052.0</v>
      </c>
      <c r="D6235" s="6" t="s">
        <v>289</v>
      </c>
      <c r="E6235" s="6" t="s">
        <v>1700</v>
      </c>
      <c r="F6235" s="6" t="s">
        <v>283</v>
      </c>
      <c r="G6235" s="6" t="s">
        <v>369</v>
      </c>
      <c r="H6235" s="11" t="s">
        <v>259</v>
      </c>
      <c r="I6235" s="12">
        <v>5.0</v>
      </c>
      <c r="J6235" s="6" t="s">
        <v>161</v>
      </c>
    </row>
    <row r="6236" ht="22.5" customHeight="1">
      <c r="A6236" s="6" t="s">
        <v>23044</v>
      </c>
      <c r="B6236" s="6" t="s">
        <v>14084</v>
      </c>
      <c r="C6236" s="10">
        <v>46057.0</v>
      </c>
      <c r="D6236" s="6" t="s">
        <v>391</v>
      </c>
      <c r="E6236" s="6" t="s">
        <v>1969</v>
      </c>
      <c r="F6236" s="6" t="s">
        <v>112</v>
      </c>
      <c r="G6236" s="6" t="s">
        <v>326</v>
      </c>
      <c r="H6236" s="10">
        <v>46060.0</v>
      </c>
      <c r="I6236" s="12">
        <v>8.0</v>
      </c>
      <c r="J6236" s="6" t="s">
        <v>161</v>
      </c>
    </row>
    <row r="6237" ht="22.5" customHeight="1">
      <c r="A6237" s="6" t="s">
        <v>23045</v>
      </c>
      <c r="B6237" s="6" t="s">
        <v>14090</v>
      </c>
      <c r="C6237" s="10">
        <v>46075.0</v>
      </c>
      <c r="D6237" s="6" t="s">
        <v>436</v>
      </c>
      <c r="E6237" s="6" t="s">
        <v>2881</v>
      </c>
      <c r="F6237" s="6" t="s">
        <v>283</v>
      </c>
      <c r="G6237" s="6" t="s">
        <v>494</v>
      </c>
      <c r="H6237" s="11" t="s">
        <v>259</v>
      </c>
      <c r="I6237" s="12">
        <v>6.0</v>
      </c>
      <c r="J6237" s="6" t="s">
        <v>161</v>
      </c>
    </row>
    <row r="6238" ht="22.5" customHeight="1">
      <c r="A6238" s="6" t="s">
        <v>23046</v>
      </c>
      <c r="B6238" s="6" t="s">
        <v>14090</v>
      </c>
      <c r="C6238" s="10">
        <v>46076.0</v>
      </c>
      <c r="D6238" s="6" t="s">
        <v>416</v>
      </c>
      <c r="E6238" s="6" t="s">
        <v>1149</v>
      </c>
      <c r="F6238" s="6" t="s">
        <v>112</v>
      </c>
      <c r="G6238" s="6" t="s">
        <v>297</v>
      </c>
      <c r="H6238" s="10">
        <v>46080.0</v>
      </c>
      <c r="I6238" s="12">
        <v>12.0</v>
      </c>
      <c r="J6238" s="6" t="s">
        <v>161</v>
      </c>
    </row>
    <row r="6239" ht="22.5" customHeight="1">
      <c r="A6239" s="6" t="s">
        <v>23047</v>
      </c>
      <c r="B6239" s="6" t="s">
        <v>14097</v>
      </c>
      <c r="C6239" s="10">
        <v>46055.0</v>
      </c>
      <c r="D6239" s="6" t="s">
        <v>242</v>
      </c>
      <c r="E6239" s="6" t="s">
        <v>1102</v>
      </c>
      <c r="F6239" s="6" t="s">
        <v>283</v>
      </c>
      <c r="G6239" s="6" t="s">
        <v>254</v>
      </c>
      <c r="H6239" s="10">
        <v>46059.0</v>
      </c>
      <c r="I6239" s="12">
        <v>5.0</v>
      </c>
      <c r="J6239" s="6" t="s">
        <v>178</v>
      </c>
    </row>
    <row r="6240" ht="22.5" customHeight="1">
      <c r="A6240" s="6" t="s">
        <v>23048</v>
      </c>
      <c r="B6240" s="6" t="s">
        <v>14097</v>
      </c>
      <c r="C6240" s="10">
        <v>46054.0</v>
      </c>
      <c r="D6240" s="6" t="s">
        <v>436</v>
      </c>
      <c r="E6240" s="6" t="s">
        <v>1546</v>
      </c>
      <c r="F6240" s="6" t="s">
        <v>283</v>
      </c>
      <c r="G6240" s="6" t="s">
        <v>254</v>
      </c>
      <c r="H6240" s="10">
        <v>46059.0</v>
      </c>
      <c r="I6240" s="12">
        <v>10.0</v>
      </c>
      <c r="J6240" s="6" t="s">
        <v>178</v>
      </c>
    </row>
    <row r="6241" ht="22.5" customHeight="1">
      <c r="A6241" s="6" t="s">
        <v>23049</v>
      </c>
      <c r="B6241" s="6" t="s">
        <v>14097</v>
      </c>
      <c r="C6241" s="10">
        <v>46046.0</v>
      </c>
      <c r="D6241" s="6" t="s">
        <v>312</v>
      </c>
      <c r="E6241" s="6" t="s">
        <v>1149</v>
      </c>
      <c r="F6241" s="6" t="s">
        <v>283</v>
      </c>
      <c r="G6241" s="6" t="s">
        <v>477</v>
      </c>
      <c r="H6241" s="11" t="s">
        <v>259</v>
      </c>
      <c r="I6241" s="12">
        <v>5.0</v>
      </c>
      <c r="J6241" s="6" t="s">
        <v>161</v>
      </c>
    </row>
    <row r="6242" ht="22.5" customHeight="1">
      <c r="A6242" s="6" t="s">
        <v>23050</v>
      </c>
      <c r="B6242" s="6" t="s">
        <v>14097</v>
      </c>
      <c r="C6242" s="10">
        <v>46045.0</v>
      </c>
      <c r="D6242" s="6" t="s">
        <v>242</v>
      </c>
      <c r="E6242" s="6" t="s">
        <v>610</v>
      </c>
      <c r="F6242" s="6" t="s">
        <v>439</v>
      </c>
      <c r="G6242" s="6" t="s">
        <v>452</v>
      </c>
      <c r="H6242" s="10">
        <v>46046.0</v>
      </c>
      <c r="I6242" s="12">
        <v>5.0</v>
      </c>
      <c r="J6242" s="6" t="s">
        <v>178</v>
      </c>
    </row>
    <row r="6243" ht="22.5" customHeight="1">
      <c r="A6243" s="6" t="s">
        <v>23051</v>
      </c>
      <c r="B6243" s="6" t="s">
        <v>14103</v>
      </c>
      <c r="C6243" s="10">
        <v>46052.0</v>
      </c>
      <c r="D6243" s="6" t="s">
        <v>391</v>
      </c>
      <c r="E6243" s="6" t="s">
        <v>246</v>
      </c>
      <c r="F6243" s="6" t="s">
        <v>283</v>
      </c>
      <c r="G6243" s="6" t="s">
        <v>254</v>
      </c>
      <c r="H6243" s="10">
        <v>46055.0</v>
      </c>
      <c r="I6243" s="12">
        <v>11.0</v>
      </c>
      <c r="J6243" s="6" t="s">
        <v>161</v>
      </c>
    </row>
    <row r="6244" ht="22.5" customHeight="1">
      <c r="A6244" s="6" t="s">
        <v>23052</v>
      </c>
      <c r="B6244" s="6" t="s">
        <v>14103</v>
      </c>
      <c r="C6244" s="10">
        <v>46041.0</v>
      </c>
      <c r="D6244" s="6" t="s">
        <v>289</v>
      </c>
      <c r="E6244" s="6" t="s">
        <v>885</v>
      </c>
      <c r="F6244" s="6" t="s">
        <v>283</v>
      </c>
      <c r="G6244" s="6" t="s">
        <v>452</v>
      </c>
      <c r="H6244" s="10">
        <v>46047.0</v>
      </c>
      <c r="I6244" s="12">
        <v>8.0</v>
      </c>
      <c r="J6244" s="6" t="s">
        <v>161</v>
      </c>
    </row>
    <row r="6245" ht="22.5" customHeight="1">
      <c r="A6245" s="6" t="s">
        <v>23053</v>
      </c>
      <c r="B6245" s="6" t="s">
        <v>14103</v>
      </c>
      <c r="C6245" s="10">
        <v>46048.0</v>
      </c>
      <c r="D6245" s="6" t="s">
        <v>436</v>
      </c>
      <c r="E6245" s="6" t="s">
        <v>1552</v>
      </c>
      <c r="F6245" s="6" t="s">
        <v>112</v>
      </c>
      <c r="G6245" s="6" t="s">
        <v>458</v>
      </c>
      <c r="H6245" s="10">
        <v>46052.0</v>
      </c>
      <c r="I6245" s="12">
        <v>6.0</v>
      </c>
      <c r="J6245" s="6" t="s">
        <v>161</v>
      </c>
    </row>
    <row r="6246" ht="22.5" customHeight="1">
      <c r="A6246" s="6" t="s">
        <v>23054</v>
      </c>
      <c r="B6246" s="6" t="s">
        <v>14103</v>
      </c>
      <c r="C6246" s="10">
        <v>46043.0</v>
      </c>
      <c r="D6246" s="6" t="s">
        <v>312</v>
      </c>
      <c r="E6246" s="6" t="s">
        <v>438</v>
      </c>
      <c r="F6246" s="6" t="s">
        <v>249</v>
      </c>
      <c r="G6246" s="6" t="s">
        <v>494</v>
      </c>
      <c r="H6246" s="10">
        <v>46045.0</v>
      </c>
      <c r="I6246" s="12">
        <v>4.0</v>
      </c>
      <c r="J6246" s="6" t="s">
        <v>161</v>
      </c>
    </row>
    <row r="6247" ht="22.5" customHeight="1">
      <c r="A6247" s="6" t="s">
        <v>23055</v>
      </c>
      <c r="B6247" s="6" t="s">
        <v>14108</v>
      </c>
      <c r="C6247" s="10">
        <v>46055.0</v>
      </c>
      <c r="D6247" s="6" t="s">
        <v>416</v>
      </c>
      <c r="E6247" s="6" t="s">
        <v>1102</v>
      </c>
      <c r="F6247" s="6" t="s">
        <v>439</v>
      </c>
      <c r="G6247" s="6" t="s">
        <v>452</v>
      </c>
      <c r="H6247" s="11" t="s">
        <v>259</v>
      </c>
      <c r="I6247" s="12">
        <v>11.0</v>
      </c>
      <c r="J6247" s="6" t="s">
        <v>161</v>
      </c>
    </row>
    <row r="6248" ht="22.5" customHeight="1">
      <c r="A6248" s="6" t="s">
        <v>23056</v>
      </c>
      <c r="B6248" s="6" t="s">
        <v>14108</v>
      </c>
      <c r="C6248" s="10">
        <v>46061.0</v>
      </c>
      <c r="D6248" s="6" t="s">
        <v>677</v>
      </c>
      <c r="E6248" s="6" t="s">
        <v>1720</v>
      </c>
      <c r="F6248" s="6" t="s">
        <v>283</v>
      </c>
      <c r="G6248" s="6" t="s">
        <v>477</v>
      </c>
      <c r="H6248" s="10">
        <v>46063.0</v>
      </c>
      <c r="I6248" s="12">
        <v>3.0</v>
      </c>
      <c r="J6248" s="6" t="s">
        <v>161</v>
      </c>
    </row>
    <row r="6249" ht="22.5" customHeight="1">
      <c r="A6249" s="6" t="s">
        <v>23057</v>
      </c>
      <c r="B6249" s="6" t="s">
        <v>14108</v>
      </c>
      <c r="C6249" s="10">
        <v>46056.0</v>
      </c>
      <c r="D6249" s="6" t="s">
        <v>242</v>
      </c>
      <c r="E6249" s="6" t="s">
        <v>1386</v>
      </c>
      <c r="F6249" s="6" t="s">
        <v>112</v>
      </c>
      <c r="G6249" s="6" t="s">
        <v>494</v>
      </c>
      <c r="H6249" s="10">
        <v>46056.0</v>
      </c>
      <c r="I6249" s="12">
        <v>6.0</v>
      </c>
      <c r="J6249" s="6" t="s">
        <v>178</v>
      </c>
    </row>
    <row r="6250" ht="22.5" customHeight="1">
      <c r="A6250" s="6" t="s">
        <v>23058</v>
      </c>
      <c r="B6250" s="6" t="s">
        <v>14108</v>
      </c>
      <c r="C6250" s="10">
        <v>46059.0</v>
      </c>
      <c r="D6250" s="6" t="s">
        <v>289</v>
      </c>
      <c r="E6250" s="6" t="s">
        <v>658</v>
      </c>
      <c r="F6250" s="6" t="s">
        <v>439</v>
      </c>
      <c r="G6250" s="6" t="s">
        <v>297</v>
      </c>
      <c r="H6250" s="10">
        <v>46062.0</v>
      </c>
      <c r="I6250" s="12">
        <v>7.0</v>
      </c>
      <c r="J6250" s="6" t="s">
        <v>161</v>
      </c>
    </row>
    <row r="6251" ht="22.5" customHeight="1">
      <c r="A6251" s="6" t="s">
        <v>23059</v>
      </c>
      <c r="B6251" s="6" t="s">
        <v>14114</v>
      </c>
      <c r="C6251" s="10">
        <v>46036.0</v>
      </c>
      <c r="D6251" s="6" t="s">
        <v>677</v>
      </c>
      <c r="E6251" s="6" t="s">
        <v>1546</v>
      </c>
      <c r="F6251" s="6" t="s">
        <v>283</v>
      </c>
      <c r="G6251" s="6" t="s">
        <v>297</v>
      </c>
      <c r="H6251" s="10">
        <v>46037.0</v>
      </c>
      <c r="I6251" s="12">
        <v>4.0</v>
      </c>
      <c r="J6251" s="6" t="s">
        <v>161</v>
      </c>
    </row>
    <row r="6252" ht="22.5" customHeight="1">
      <c r="A6252" s="6" t="s">
        <v>23060</v>
      </c>
      <c r="B6252" s="6" t="s">
        <v>14114</v>
      </c>
      <c r="C6252" s="10">
        <v>46045.0</v>
      </c>
      <c r="D6252" s="6" t="s">
        <v>436</v>
      </c>
      <c r="E6252" s="6" t="s">
        <v>833</v>
      </c>
      <c r="F6252" s="6" t="s">
        <v>439</v>
      </c>
      <c r="G6252" s="6" t="s">
        <v>369</v>
      </c>
      <c r="H6252" s="10">
        <v>46050.0</v>
      </c>
      <c r="I6252" s="12">
        <v>10.0</v>
      </c>
      <c r="J6252" s="6" t="s">
        <v>178</v>
      </c>
    </row>
    <row r="6253" ht="22.5" customHeight="1">
      <c r="A6253" s="6" t="s">
        <v>23061</v>
      </c>
      <c r="B6253" s="6" t="s">
        <v>14114</v>
      </c>
      <c r="C6253" s="10">
        <v>46027.0</v>
      </c>
      <c r="D6253" s="6" t="s">
        <v>436</v>
      </c>
      <c r="E6253" s="6" t="s">
        <v>417</v>
      </c>
      <c r="F6253" s="6" t="s">
        <v>439</v>
      </c>
      <c r="G6253" s="6" t="s">
        <v>326</v>
      </c>
      <c r="H6253" s="10">
        <v>46034.0</v>
      </c>
      <c r="I6253" s="12">
        <v>10.0</v>
      </c>
      <c r="J6253" s="6" t="s">
        <v>178</v>
      </c>
    </row>
    <row r="6254" ht="22.5" customHeight="1">
      <c r="A6254" s="6" t="s">
        <v>23062</v>
      </c>
      <c r="B6254" s="6" t="s">
        <v>14120</v>
      </c>
      <c r="C6254" s="10">
        <v>46064.0</v>
      </c>
      <c r="D6254" s="6" t="s">
        <v>391</v>
      </c>
      <c r="E6254" s="6" t="s">
        <v>1241</v>
      </c>
      <c r="F6254" s="6" t="s">
        <v>283</v>
      </c>
      <c r="G6254" s="6" t="s">
        <v>458</v>
      </c>
      <c r="H6254" s="10">
        <v>46065.0</v>
      </c>
      <c r="I6254" s="12">
        <v>9.0</v>
      </c>
      <c r="J6254" s="6" t="s">
        <v>161</v>
      </c>
    </row>
    <row r="6255" ht="22.5" customHeight="1">
      <c r="A6255" s="6" t="s">
        <v>23063</v>
      </c>
      <c r="B6255" s="6" t="s">
        <v>14120</v>
      </c>
      <c r="C6255" s="10">
        <v>46054.0</v>
      </c>
      <c r="D6255" s="6" t="s">
        <v>312</v>
      </c>
      <c r="E6255" s="6" t="s">
        <v>1296</v>
      </c>
      <c r="F6255" s="6" t="s">
        <v>439</v>
      </c>
      <c r="G6255" s="6" t="s">
        <v>326</v>
      </c>
      <c r="H6255" s="10">
        <v>46057.0</v>
      </c>
      <c r="I6255" s="12">
        <v>4.0</v>
      </c>
      <c r="J6255" s="6" t="s">
        <v>161</v>
      </c>
    </row>
    <row r="6256" ht="22.5" customHeight="1">
      <c r="A6256" s="6" t="s">
        <v>23064</v>
      </c>
      <c r="B6256" s="6" t="s">
        <v>14120</v>
      </c>
      <c r="C6256" s="10">
        <v>46060.0</v>
      </c>
      <c r="D6256" s="6" t="s">
        <v>391</v>
      </c>
      <c r="E6256" s="6" t="s">
        <v>1310</v>
      </c>
      <c r="F6256" s="6" t="s">
        <v>439</v>
      </c>
      <c r="G6256" s="6" t="s">
        <v>297</v>
      </c>
      <c r="H6256" s="11" t="s">
        <v>259</v>
      </c>
      <c r="I6256" s="12">
        <v>7.0</v>
      </c>
      <c r="J6256" s="6" t="s">
        <v>161</v>
      </c>
    </row>
    <row r="6257" ht="22.5" customHeight="1">
      <c r="A6257" s="6" t="s">
        <v>23065</v>
      </c>
      <c r="B6257" s="6" t="s">
        <v>14126</v>
      </c>
      <c r="C6257" s="10">
        <v>46031.0</v>
      </c>
      <c r="D6257" s="6" t="s">
        <v>289</v>
      </c>
      <c r="E6257" s="6" t="s">
        <v>863</v>
      </c>
      <c r="F6257" s="6" t="s">
        <v>249</v>
      </c>
      <c r="G6257" s="6" t="s">
        <v>297</v>
      </c>
      <c r="H6257" s="10">
        <v>46034.0</v>
      </c>
      <c r="I6257" s="12">
        <v>6.0</v>
      </c>
      <c r="J6257" s="6" t="s">
        <v>161</v>
      </c>
    </row>
    <row r="6258" ht="22.5" customHeight="1">
      <c r="A6258" s="6" t="s">
        <v>23066</v>
      </c>
      <c r="B6258" s="6" t="s">
        <v>14126</v>
      </c>
      <c r="C6258" s="10">
        <v>46029.0</v>
      </c>
      <c r="D6258" s="6" t="s">
        <v>416</v>
      </c>
      <c r="E6258" s="6" t="s">
        <v>394</v>
      </c>
      <c r="F6258" s="6" t="s">
        <v>283</v>
      </c>
      <c r="G6258" s="6" t="s">
        <v>326</v>
      </c>
      <c r="H6258" s="10">
        <v>46029.0</v>
      </c>
      <c r="I6258" s="12">
        <v>11.0</v>
      </c>
      <c r="J6258" s="6" t="s">
        <v>161</v>
      </c>
    </row>
    <row r="6259" ht="22.5" customHeight="1">
      <c r="A6259" s="6" t="s">
        <v>23067</v>
      </c>
      <c r="B6259" s="6" t="s">
        <v>14126</v>
      </c>
      <c r="C6259" s="10">
        <v>46039.0</v>
      </c>
      <c r="D6259" s="6" t="s">
        <v>436</v>
      </c>
      <c r="E6259" s="6" t="s">
        <v>1626</v>
      </c>
      <c r="F6259" s="6" t="s">
        <v>439</v>
      </c>
      <c r="G6259" s="6" t="s">
        <v>369</v>
      </c>
      <c r="H6259" s="11" t="s">
        <v>259</v>
      </c>
      <c r="I6259" s="12">
        <v>8.0</v>
      </c>
      <c r="J6259" s="6" t="s">
        <v>178</v>
      </c>
    </row>
    <row r="6260" ht="22.5" customHeight="1">
      <c r="A6260" s="6" t="s">
        <v>23068</v>
      </c>
      <c r="B6260" s="6" t="s">
        <v>14131</v>
      </c>
      <c r="C6260" s="10">
        <v>46070.0</v>
      </c>
      <c r="D6260" s="6" t="s">
        <v>436</v>
      </c>
      <c r="E6260" s="6" t="s">
        <v>438</v>
      </c>
      <c r="F6260" s="6" t="s">
        <v>112</v>
      </c>
      <c r="G6260" s="6" t="s">
        <v>297</v>
      </c>
      <c r="H6260" s="10">
        <v>46074.0</v>
      </c>
      <c r="I6260" s="12">
        <v>12.0</v>
      </c>
      <c r="J6260" s="6" t="s">
        <v>178</v>
      </c>
    </row>
    <row r="6261" ht="22.5" customHeight="1">
      <c r="A6261" s="6" t="s">
        <v>23069</v>
      </c>
      <c r="B6261" s="6" t="s">
        <v>14131</v>
      </c>
      <c r="C6261" s="10">
        <v>46075.0</v>
      </c>
      <c r="D6261" s="6" t="s">
        <v>242</v>
      </c>
      <c r="E6261" s="6" t="s">
        <v>1570</v>
      </c>
      <c r="F6261" s="6" t="s">
        <v>249</v>
      </c>
      <c r="G6261" s="6" t="s">
        <v>254</v>
      </c>
      <c r="H6261" s="10">
        <v>46082.0</v>
      </c>
      <c r="I6261" s="12">
        <v>5.0</v>
      </c>
      <c r="J6261" s="6" t="s">
        <v>161</v>
      </c>
    </row>
    <row r="6262" ht="22.5" customHeight="1">
      <c r="A6262" s="6" t="s">
        <v>23070</v>
      </c>
      <c r="B6262" s="6" t="s">
        <v>14131</v>
      </c>
      <c r="C6262" s="10">
        <v>46077.0</v>
      </c>
      <c r="D6262" s="6" t="s">
        <v>416</v>
      </c>
      <c r="E6262" s="6" t="s">
        <v>1070</v>
      </c>
      <c r="F6262" s="6" t="s">
        <v>439</v>
      </c>
      <c r="G6262" s="6" t="s">
        <v>297</v>
      </c>
      <c r="H6262" s="10">
        <v>46082.0</v>
      </c>
      <c r="I6262" s="12">
        <v>13.0</v>
      </c>
      <c r="J6262" s="6" t="s">
        <v>161</v>
      </c>
    </row>
    <row r="6263" ht="22.5" customHeight="1">
      <c r="A6263" s="6" t="s">
        <v>23071</v>
      </c>
      <c r="B6263" s="6" t="s">
        <v>14137</v>
      </c>
      <c r="C6263" s="10">
        <v>46040.0</v>
      </c>
      <c r="D6263" s="6" t="s">
        <v>416</v>
      </c>
      <c r="E6263" s="6" t="s">
        <v>417</v>
      </c>
      <c r="F6263" s="6" t="s">
        <v>439</v>
      </c>
      <c r="G6263" s="6" t="s">
        <v>458</v>
      </c>
      <c r="H6263" s="10">
        <v>46047.0</v>
      </c>
      <c r="I6263" s="12">
        <v>10.0</v>
      </c>
      <c r="J6263" s="6" t="s">
        <v>161</v>
      </c>
    </row>
    <row r="6264" ht="22.5" customHeight="1">
      <c r="A6264" s="6" t="s">
        <v>23072</v>
      </c>
      <c r="B6264" s="6" t="s">
        <v>14137</v>
      </c>
      <c r="C6264" s="10">
        <v>46033.0</v>
      </c>
      <c r="D6264" s="6" t="s">
        <v>436</v>
      </c>
      <c r="E6264" s="6" t="s">
        <v>704</v>
      </c>
      <c r="F6264" s="6" t="s">
        <v>283</v>
      </c>
      <c r="G6264" s="6" t="s">
        <v>494</v>
      </c>
      <c r="H6264" s="10">
        <v>46037.0</v>
      </c>
      <c r="I6264" s="12">
        <v>10.0</v>
      </c>
      <c r="J6264" s="6" t="s">
        <v>178</v>
      </c>
    </row>
    <row r="6265" ht="22.5" customHeight="1">
      <c r="A6265" s="6" t="s">
        <v>23073</v>
      </c>
      <c r="B6265" s="6" t="s">
        <v>14143</v>
      </c>
      <c r="C6265" s="10">
        <v>46047.0</v>
      </c>
      <c r="D6265" s="6" t="s">
        <v>289</v>
      </c>
      <c r="E6265" s="6" t="s">
        <v>787</v>
      </c>
      <c r="F6265" s="6" t="s">
        <v>283</v>
      </c>
      <c r="G6265" s="6" t="s">
        <v>254</v>
      </c>
      <c r="H6265" s="10">
        <v>46050.0</v>
      </c>
      <c r="I6265" s="12">
        <v>8.0</v>
      </c>
      <c r="J6265" s="6" t="s">
        <v>161</v>
      </c>
    </row>
    <row r="6266" ht="22.5" customHeight="1">
      <c r="A6266" s="6" t="s">
        <v>23074</v>
      </c>
      <c r="B6266" s="6" t="s">
        <v>14143</v>
      </c>
      <c r="C6266" s="10">
        <v>46037.0</v>
      </c>
      <c r="D6266" s="6" t="s">
        <v>289</v>
      </c>
      <c r="E6266" s="6" t="s">
        <v>466</v>
      </c>
      <c r="F6266" s="6" t="s">
        <v>112</v>
      </c>
      <c r="G6266" s="6" t="s">
        <v>254</v>
      </c>
      <c r="H6266" s="10">
        <v>46038.0</v>
      </c>
      <c r="I6266" s="12">
        <v>5.0</v>
      </c>
      <c r="J6266" s="6" t="s">
        <v>161</v>
      </c>
    </row>
    <row r="6267" ht="22.5" customHeight="1">
      <c r="A6267" s="6" t="s">
        <v>23075</v>
      </c>
      <c r="B6267" s="6" t="s">
        <v>14143</v>
      </c>
      <c r="C6267" s="10">
        <v>46051.0</v>
      </c>
      <c r="D6267" s="6" t="s">
        <v>677</v>
      </c>
      <c r="E6267" s="6" t="s">
        <v>1741</v>
      </c>
      <c r="F6267" s="6" t="s">
        <v>249</v>
      </c>
      <c r="G6267" s="6" t="s">
        <v>452</v>
      </c>
      <c r="H6267" s="10">
        <v>46054.0</v>
      </c>
      <c r="I6267" s="12">
        <v>3.0</v>
      </c>
      <c r="J6267" s="6" t="s">
        <v>161</v>
      </c>
    </row>
    <row r="6268" ht="22.5" customHeight="1">
      <c r="A6268" s="6" t="s">
        <v>23076</v>
      </c>
      <c r="B6268" s="6" t="s">
        <v>14143</v>
      </c>
      <c r="C6268" s="10">
        <v>46053.0</v>
      </c>
      <c r="D6268" s="6" t="s">
        <v>677</v>
      </c>
      <c r="E6268" s="6" t="s">
        <v>417</v>
      </c>
      <c r="F6268" s="6" t="s">
        <v>439</v>
      </c>
      <c r="G6268" s="6" t="s">
        <v>254</v>
      </c>
      <c r="H6268" s="10">
        <v>46058.0</v>
      </c>
      <c r="I6268" s="12">
        <v>3.0</v>
      </c>
      <c r="J6268" s="6" t="s">
        <v>161</v>
      </c>
    </row>
    <row r="6269" ht="22.5" customHeight="1">
      <c r="A6269" s="6" t="s">
        <v>23077</v>
      </c>
      <c r="B6269" s="6" t="s">
        <v>14143</v>
      </c>
      <c r="C6269" s="10">
        <v>46036.0</v>
      </c>
      <c r="D6269" s="6" t="s">
        <v>416</v>
      </c>
      <c r="E6269" s="6" t="s">
        <v>417</v>
      </c>
      <c r="F6269" s="6" t="s">
        <v>112</v>
      </c>
      <c r="G6269" s="6" t="s">
        <v>326</v>
      </c>
      <c r="H6269" s="10">
        <v>46037.0</v>
      </c>
      <c r="I6269" s="12">
        <v>13.0</v>
      </c>
      <c r="J6269" s="6" t="s">
        <v>161</v>
      </c>
    </row>
    <row r="6270" ht="22.5" customHeight="1">
      <c r="A6270" s="6" t="s">
        <v>23078</v>
      </c>
      <c r="B6270" s="6" t="s">
        <v>14149</v>
      </c>
      <c r="C6270" s="10">
        <v>46071.0</v>
      </c>
      <c r="D6270" s="6" t="s">
        <v>289</v>
      </c>
      <c r="E6270" s="6" t="s">
        <v>658</v>
      </c>
      <c r="F6270" s="6" t="s">
        <v>249</v>
      </c>
      <c r="G6270" s="6" t="s">
        <v>458</v>
      </c>
      <c r="H6270" s="10">
        <v>46071.0</v>
      </c>
      <c r="I6270" s="12">
        <v>7.0</v>
      </c>
      <c r="J6270" s="6" t="s">
        <v>161</v>
      </c>
    </row>
    <row r="6271" ht="22.5" customHeight="1">
      <c r="A6271" s="6" t="s">
        <v>23079</v>
      </c>
      <c r="B6271" s="6" t="s">
        <v>14154</v>
      </c>
      <c r="C6271" s="10">
        <v>46057.0</v>
      </c>
      <c r="D6271" s="6" t="s">
        <v>312</v>
      </c>
      <c r="E6271" s="6" t="s">
        <v>695</v>
      </c>
      <c r="F6271" s="6" t="s">
        <v>249</v>
      </c>
      <c r="G6271" s="6" t="s">
        <v>297</v>
      </c>
      <c r="H6271" s="11" t="s">
        <v>259</v>
      </c>
      <c r="I6271" s="12">
        <v>5.0</v>
      </c>
      <c r="J6271" s="6" t="s">
        <v>161</v>
      </c>
    </row>
    <row r="6272" ht="22.5" customHeight="1">
      <c r="A6272" s="6" t="s">
        <v>23080</v>
      </c>
      <c r="B6272" s="6" t="s">
        <v>14160</v>
      </c>
      <c r="C6272" s="10">
        <v>46044.0</v>
      </c>
      <c r="D6272" s="6" t="s">
        <v>391</v>
      </c>
      <c r="E6272" s="6" t="s">
        <v>1070</v>
      </c>
      <c r="F6272" s="6" t="s">
        <v>249</v>
      </c>
      <c r="G6272" s="6" t="s">
        <v>369</v>
      </c>
      <c r="H6272" s="10">
        <v>46044.0</v>
      </c>
      <c r="I6272" s="12">
        <v>10.0</v>
      </c>
      <c r="J6272" s="6" t="s">
        <v>161</v>
      </c>
    </row>
    <row r="6273" ht="22.5" customHeight="1">
      <c r="A6273" s="6" t="s">
        <v>23081</v>
      </c>
      <c r="B6273" s="6" t="s">
        <v>14166</v>
      </c>
      <c r="C6273" s="10">
        <v>46051.0</v>
      </c>
      <c r="D6273" s="6" t="s">
        <v>312</v>
      </c>
      <c r="E6273" s="6" t="s">
        <v>863</v>
      </c>
      <c r="F6273" s="6" t="s">
        <v>112</v>
      </c>
      <c r="G6273" s="6" t="s">
        <v>452</v>
      </c>
      <c r="H6273" s="10">
        <v>46051.0</v>
      </c>
      <c r="I6273" s="12">
        <v>5.0</v>
      </c>
      <c r="J6273" s="6" t="s">
        <v>161</v>
      </c>
    </row>
    <row r="6274" ht="22.5" customHeight="1">
      <c r="A6274" s="6" t="s">
        <v>23082</v>
      </c>
      <c r="B6274" s="6" t="s">
        <v>14166</v>
      </c>
      <c r="C6274" s="10">
        <v>46038.0</v>
      </c>
      <c r="D6274" s="6" t="s">
        <v>416</v>
      </c>
      <c r="E6274" s="6" t="s">
        <v>812</v>
      </c>
      <c r="F6274" s="6" t="s">
        <v>439</v>
      </c>
      <c r="G6274" s="6" t="s">
        <v>452</v>
      </c>
      <c r="H6274" s="10">
        <v>46042.0</v>
      </c>
      <c r="I6274" s="12">
        <v>12.0</v>
      </c>
      <c r="J6274" s="6" t="s">
        <v>161</v>
      </c>
    </row>
    <row r="6275" ht="22.5" customHeight="1">
      <c r="A6275" s="6" t="s">
        <v>23083</v>
      </c>
      <c r="B6275" s="6" t="s">
        <v>14166</v>
      </c>
      <c r="C6275" s="10">
        <v>46047.0</v>
      </c>
      <c r="D6275" s="6" t="s">
        <v>242</v>
      </c>
      <c r="E6275" s="6" t="s">
        <v>1241</v>
      </c>
      <c r="F6275" s="6" t="s">
        <v>249</v>
      </c>
      <c r="G6275" s="6" t="s">
        <v>452</v>
      </c>
      <c r="H6275" s="10">
        <v>46047.0</v>
      </c>
      <c r="I6275" s="12">
        <v>5.0</v>
      </c>
      <c r="J6275" s="6" t="s">
        <v>178</v>
      </c>
    </row>
    <row r="6276" ht="22.5" customHeight="1">
      <c r="A6276" s="6" t="s">
        <v>23084</v>
      </c>
      <c r="B6276" s="6" t="s">
        <v>14166</v>
      </c>
      <c r="C6276" s="10">
        <v>46047.0</v>
      </c>
      <c r="D6276" s="6" t="s">
        <v>436</v>
      </c>
      <c r="E6276" s="6" t="s">
        <v>1741</v>
      </c>
      <c r="F6276" s="6" t="s">
        <v>283</v>
      </c>
      <c r="G6276" s="6" t="s">
        <v>369</v>
      </c>
      <c r="H6276" s="10">
        <v>46047.0</v>
      </c>
      <c r="I6276" s="12">
        <v>10.0</v>
      </c>
      <c r="J6276" s="6" t="s">
        <v>178</v>
      </c>
    </row>
    <row r="6277" ht="22.5" customHeight="1">
      <c r="A6277" s="6" t="s">
        <v>23085</v>
      </c>
      <c r="B6277" s="6" t="s">
        <v>14166</v>
      </c>
      <c r="C6277" s="10">
        <v>46038.0</v>
      </c>
      <c r="D6277" s="6" t="s">
        <v>391</v>
      </c>
      <c r="E6277" s="6" t="s">
        <v>670</v>
      </c>
      <c r="F6277" s="6" t="s">
        <v>249</v>
      </c>
      <c r="G6277" s="6" t="s">
        <v>369</v>
      </c>
      <c r="H6277" s="10">
        <v>46044.0</v>
      </c>
      <c r="I6277" s="12">
        <v>8.0</v>
      </c>
      <c r="J6277" s="6" t="s">
        <v>161</v>
      </c>
    </row>
    <row r="6278" ht="22.5" customHeight="1">
      <c r="A6278" s="6" t="s">
        <v>23086</v>
      </c>
      <c r="B6278" s="6" t="s">
        <v>14173</v>
      </c>
      <c r="C6278" s="10">
        <v>46053.0</v>
      </c>
      <c r="D6278" s="6" t="s">
        <v>312</v>
      </c>
      <c r="E6278" s="6" t="s">
        <v>1600</v>
      </c>
      <c r="F6278" s="6" t="s">
        <v>283</v>
      </c>
      <c r="G6278" s="6" t="s">
        <v>494</v>
      </c>
      <c r="H6278" s="10">
        <v>46053.0</v>
      </c>
      <c r="I6278" s="12">
        <v>6.0</v>
      </c>
      <c r="J6278" s="6" t="s">
        <v>161</v>
      </c>
    </row>
    <row r="6279" ht="22.5" customHeight="1">
      <c r="A6279" s="6" t="s">
        <v>23087</v>
      </c>
      <c r="B6279" s="6" t="s">
        <v>14180</v>
      </c>
      <c r="C6279" s="10">
        <v>46082.0</v>
      </c>
      <c r="D6279" s="6" t="s">
        <v>416</v>
      </c>
      <c r="E6279" s="6" t="s">
        <v>1741</v>
      </c>
      <c r="F6279" s="6" t="s">
        <v>439</v>
      </c>
      <c r="G6279" s="6" t="s">
        <v>477</v>
      </c>
      <c r="H6279" s="10">
        <v>46084.0</v>
      </c>
      <c r="I6279" s="12">
        <v>8.0</v>
      </c>
      <c r="J6279" s="6" t="s">
        <v>161</v>
      </c>
    </row>
    <row r="6280" ht="22.5" customHeight="1">
      <c r="A6280" s="6" t="s">
        <v>23088</v>
      </c>
      <c r="B6280" s="6" t="s">
        <v>14180</v>
      </c>
      <c r="C6280" s="10">
        <v>46083.0</v>
      </c>
      <c r="D6280" s="6" t="s">
        <v>677</v>
      </c>
      <c r="E6280" s="6" t="s">
        <v>1386</v>
      </c>
      <c r="F6280" s="6" t="s">
        <v>283</v>
      </c>
      <c r="G6280" s="6" t="s">
        <v>458</v>
      </c>
      <c r="H6280" s="10">
        <v>46088.0</v>
      </c>
      <c r="I6280" s="12">
        <v>2.0</v>
      </c>
      <c r="J6280" s="6" t="s">
        <v>161</v>
      </c>
    </row>
    <row r="6281" ht="22.5" customHeight="1">
      <c r="A6281" s="6" t="s">
        <v>23089</v>
      </c>
      <c r="B6281" s="6" t="s">
        <v>14180</v>
      </c>
      <c r="C6281" s="10">
        <v>46067.0</v>
      </c>
      <c r="D6281" s="6" t="s">
        <v>312</v>
      </c>
      <c r="E6281" s="6" t="s">
        <v>1273</v>
      </c>
      <c r="F6281" s="6" t="s">
        <v>283</v>
      </c>
      <c r="G6281" s="6" t="s">
        <v>458</v>
      </c>
      <c r="H6281" s="10">
        <v>46073.0</v>
      </c>
      <c r="I6281" s="12">
        <v>4.0</v>
      </c>
      <c r="J6281" s="6" t="s">
        <v>161</v>
      </c>
    </row>
    <row r="6282" ht="22.5" customHeight="1">
      <c r="A6282" s="6" t="s">
        <v>23090</v>
      </c>
      <c r="B6282" s="6" t="s">
        <v>14180</v>
      </c>
      <c r="C6282" s="10">
        <v>46077.0</v>
      </c>
      <c r="D6282" s="6" t="s">
        <v>289</v>
      </c>
      <c r="E6282" s="6" t="s">
        <v>1600</v>
      </c>
      <c r="F6282" s="6" t="s">
        <v>249</v>
      </c>
      <c r="G6282" s="6" t="s">
        <v>369</v>
      </c>
      <c r="H6282" s="10">
        <v>46077.0</v>
      </c>
      <c r="I6282" s="12">
        <v>7.0</v>
      </c>
      <c r="J6282" s="6" t="s">
        <v>161</v>
      </c>
    </row>
    <row r="6283" ht="22.5" customHeight="1">
      <c r="A6283" s="6" t="s">
        <v>23091</v>
      </c>
      <c r="B6283" s="6" t="s">
        <v>14180</v>
      </c>
      <c r="C6283" s="10">
        <v>46084.0</v>
      </c>
      <c r="D6283" s="6" t="s">
        <v>436</v>
      </c>
      <c r="E6283" s="6" t="s">
        <v>1273</v>
      </c>
      <c r="F6283" s="6" t="s">
        <v>439</v>
      </c>
      <c r="G6283" s="6" t="s">
        <v>369</v>
      </c>
      <c r="H6283" s="10">
        <v>46088.0</v>
      </c>
      <c r="I6283" s="12">
        <v>9.0</v>
      </c>
      <c r="J6283" s="6" t="s">
        <v>178</v>
      </c>
    </row>
    <row r="6284" ht="22.5" customHeight="1">
      <c r="A6284" s="6" t="s">
        <v>23092</v>
      </c>
      <c r="B6284" s="6" t="s">
        <v>14187</v>
      </c>
      <c r="C6284" s="10">
        <v>46058.0</v>
      </c>
      <c r="D6284" s="6" t="s">
        <v>677</v>
      </c>
      <c r="E6284" s="6" t="s">
        <v>1517</v>
      </c>
      <c r="F6284" s="6" t="s">
        <v>439</v>
      </c>
      <c r="G6284" s="6" t="s">
        <v>477</v>
      </c>
      <c r="H6284" s="10">
        <v>46064.0</v>
      </c>
      <c r="I6284" s="12">
        <v>2.0</v>
      </c>
      <c r="J6284" s="6" t="s">
        <v>161</v>
      </c>
    </row>
    <row r="6285" ht="22.5" customHeight="1">
      <c r="A6285" s="6" t="s">
        <v>23093</v>
      </c>
      <c r="B6285" s="6" t="s">
        <v>14193</v>
      </c>
      <c r="C6285" s="10">
        <v>46033.0</v>
      </c>
      <c r="D6285" s="6" t="s">
        <v>436</v>
      </c>
      <c r="E6285" s="6" t="s">
        <v>2365</v>
      </c>
      <c r="F6285" s="6" t="s">
        <v>112</v>
      </c>
      <c r="G6285" s="6" t="s">
        <v>494</v>
      </c>
      <c r="H6285" s="10">
        <v>46035.0</v>
      </c>
      <c r="I6285" s="12">
        <v>12.0</v>
      </c>
      <c r="J6285" s="6" t="s">
        <v>178</v>
      </c>
    </row>
    <row r="6286" ht="22.5" customHeight="1">
      <c r="A6286" s="6" t="s">
        <v>23094</v>
      </c>
      <c r="B6286" s="6" t="s">
        <v>14193</v>
      </c>
      <c r="C6286" s="10">
        <v>46037.0</v>
      </c>
      <c r="D6286" s="6" t="s">
        <v>242</v>
      </c>
      <c r="E6286" s="6" t="s">
        <v>863</v>
      </c>
      <c r="F6286" s="6" t="s">
        <v>112</v>
      </c>
      <c r="G6286" s="6" t="s">
        <v>369</v>
      </c>
      <c r="H6286" s="10">
        <v>46039.0</v>
      </c>
      <c r="I6286" s="12">
        <v>5.0</v>
      </c>
      <c r="J6286" s="6" t="s">
        <v>178</v>
      </c>
    </row>
    <row r="6287" ht="22.5" customHeight="1">
      <c r="A6287" s="6" t="s">
        <v>23095</v>
      </c>
      <c r="B6287" s="6" t="s">
        <v>14193</v>
      </c>
      <c r="C6287" s="10">
        <v>46038.0</v>
      </c>
      <c r="D6287" s="6" t="s">
        <v>677</v>
      </c>
      <c r="E6287" s="6" t="s">
        <v>1310</v>
      </c>
      <c r="F6287" s="6" t="s">
        <v>283</v>
      </c>
      <c r="G6287" s="6" t="s">
        <v>494</v>
      </c>
      <c r="H6287" s="10">
        <v>46040.0</v>
      </c>
      <c r="I6287" s="12">
        <v>2.0</v>
      </c>
      <c r="J6287" s="6" t="s">
        <v>161</v>
      </c>
    </row>
    <row r="6288" ht="22.5" customHeight="1">
      <c r="A6288" s="6" t="s">
        <v>23096</v>
      </c>
      <c r="B6288" s="6" t="s">
        <v>14200</v>
      </c>
      <c r="C6288" s="10">
        <v>46045.0</v>
      </c>
      <c r="D6288" s="6" t="s">
        <v>436</v>
      </c>
      <c r="E6288" s="6" t="s">
        <v>704</v>
      </c>
      <c r="F6288" s="6" t="s">
        <v>249</v>
      </c>
      <c r="G6288" s="6" t="s">
        <v>477</v>
      </c>
      <c r="H6288" s="10">
        <v>46046.0</v>
      </c>
      <c r="I6288" s="12">
        <v>10.0</v>
      </c>
      <c r="J6288" s="6" t="s">
        <v>178</v>
      </c>
    </row>
    <row r="6289" ht="22.5" customHeight="1">
      <c r="A6289" s="6" t="s">
        <v>23097</v>
      </c>
      <c r="B6289" s="6" t="s">
        <v>14200</v>
      </c>
      <c r="C6289" s="10">
        <v>46056.0</v>
      </c>
      <c r="D6289" s="6" t="s">
        <v>416</v>
      </c>
      <c r="E6289" s="6" t="s">
        <v>1969</v>
      </c>
      <c r="F6289" s="6" t="s">
        <v>112</v>
      </c>
      <c r="G6289" s="6" t="s">
        <v>494</v>
      </c>
      <c r="H6289" s="10">
        <v>46059.0</v>
      </c>
      <c r="I6289" s="12">
        <v>14.0</v>
      </c>
      <c r="J6289" s="6" t="s">
        <v>161</v>
      </c>
    </row>
    <row r="6290" ht="22.5" customHeight="1">
      <c r="A6290" s="6" t="s">
        <v>23098</v>
      </c>
      <c r="B6290" s="6" t="s">
        <v>14200</v>
      </c>
      <c r="C6290" s="10">
        <v>46055.0</v>
      </c>
      <c r="D6290" s="6" t="s">
        <v>416</v>
      </c>
      <c r="E6290" s="6" t="s">
        <v>1035</v>
      </c>
      <c r="F6290" s="6" t="s">
        <v>112</v>
      </c>
      <c r="G6290" s="6" t="s">
        <v>326</v>
      </c>
      <c r="H6290" s="10">
        <v>46062.0</v>
      </c>
      <c r="I6290" s="12">
        <v>12.0</v>
      </c>
      <c r="J6290" s="6" t="s">
        <v>161</v>
      </c>
    </row>
    <row r="6291" ht="22.5" customHeight="1">
      <c r="A6291" s="6" t="s">
        <v>23099</v>
      </c>
      <c r="B6291" s="6" t="s">
        <v>14200</v>
      </c>
      <c r="C6291" s="10">
        <v>46063.0</v>
      </c>
      <c r="D6291" s="6" t="s">
        <v>677</v>
      </c>
      <c r="E6291" s="6" t="s">
        <v>1552</v>
      </c>
      <c r="F6291" s="6" t="s">
        <v>249</v>
      </c>
      <c r="G6291" s="6" t="s">
        <v>326</v>
      </c>
      <c r="H6291" s="10">
        <v>46070.0</v>
      </c>
      <c r="I6291" s="12">
        <v>3.0</v>
      </c>
      <c r="J6291" s="6" t="s">
        <v>161</v>
      </c>
    </row>
    <row r="6292" ht="22.5" customHeight="1">
      <c r="A6292" s="6" t="s">
        <v>23100</v>
      </c>
      <c r="B6292" s="6" t="s">
        <v>14200</v>
      </c>
      <c r="C6292" s="10">
        <v>46056.0</v>
      </c>
      <c r="D6292" s="6" t="s">
        <v>436</v>
      </c>
      <c r="E6292" s="6" t="s">
        <v>896</v>
      </c>
      <c r="F6292" s="6" t="s">
        <v>283</v>
      </c>
      <c r="G6292" s="6" t="s">
        <v>297</v>
      </c>
      <c r="H6292" s="10">
        <v>46060.0</v>
      </c>
      <c r="I6292" s="12">
        <v>12.0</v>
      </c>
      <c r="J6292" s="6" t="s">
        <v>178</v>
      </c>
    </row>
    <row r="6293" ht="22.5" customHeight="1">
      <c r="A6293" s="6" t="s">
        <v>23101</v>
      </c>
      <c r="B6293" s="6" t="s">
        <v>14207</v>
      </c>
      <c r="C6293" s="10">
        <v>46063.0</v>
      </c>
      <c r="D6293" s="6" t="s">
        <v>289</v>
      </c>
      <c r="E6293" s="6" t="s">
        <v>731</v>
      </c>
      <c r="F6293" s="6" t="s">
        <v>112</v>
      </c>
      <c r="G6293" s="6" t="s">
        <v>254</v>
      </c>
      <c r="H6293" s="10">
        <v>46070.0</v>
      </c>
      <c r="I6293" s="12">
        <v>10.0</v>
      </c>
      <c r="J6293" s="6" t="s">
        <v>161</v>
      </c>
    </row>
    <row r="6294" ht="22.5" customHeight="1">
      <c r="A6294" s="6" t="s">
        <v>23102</v>
      </c>
      <c r="B6294" s="6" t="s">
        <v>14207</v>
      </c>
      <c r="C6294" s="10">
        <v>46059.0</v>
      </c>
      <c r="D6294" s="6" t="s">
        <v>312</v>
      </c>
      <c r="E6294" s="6" t="s">
        <v>731</v>
      </c>
      <c r="F6294" s="6" t="s">
        <v>439</v>
      </c>
      <c r="G6294" s="6" t="s">
        <v>494</v>
      </c>
      <c r="H6294" s="10">
        <v>46061.0</v>
      </c>
      <c r="I6294" s="12">
        <v>4.0</v>
      </c>
      <c r="J6294" s="6" t="s">
        <v>161</v>
      </c>
    </row>
    <row r="6295" ht="22.5" customHeight="1">
      <c r="A6295" s="6" t="s">
        <v>23103</v>
      </c>
      <c r="B6295" s="6" t="s">
        <v>14207</v>
      </c>
      <c r="C6295" s="10">
        <v>46064.0</v>
      </c>
      <c r="D6295" s="6" t="s">
        <v>677</v>
      </c>
      <c r="E6295" s="6" t="s">
        <v>1552</v>
      </c>
      <c r="F6295" s="6" t="s">
        <v>439</v>
      </c>
      <c r="G6295" s="6" t="s">
        <v>369</v>
      </c>
      <c r="H6295" s="10">
        <v>46066.0</v>
      </c>
      <c r="I6295" s="12">
        <v>3.0</v>
      </c>
      <c r="J6295" s="6" t="s">
        <v>161</v>
      </c>
    </row>
    <row r="6296" ht="22.5" customHeight="1">
      <c r="A6296" s="6" t="s">
        <v>23104</v>
      </c>
      <c r="B6296" s="6" t="s">
        <v>14207</v>
      </c>
      <c r="C6296" s="10">
        <v>46053.0</v>
      </c>
      <c r="D6296" s="6" t="s">
        <v>436</v>
      </c>
      <c r="E6296" s="6" t="s">
        <v>833</v>
      </c>
      <c r="F6296" s="6" t="s">
        <v>439</v>
      </c>
      <c r="G6296" s="6" t="s">
        <v>326</v>
      </c>
      <c r="H6296" s="11" t="s">
        <v>259</v>
      </c>
      <c r="I6296" s="12">
        <v>7.0</v>
      </c>
      <c r="J6296" s="6" t="s">
        <v>178</v>
      </c>
    </row>
    <row r="6297" ht="22.5" customHeight="1">
      <c r="A6297" s="6" t="s">
        <v>23105</v>
      </c>
      <c r="B6297" s="6" t="s">
        <v>14207</v>
      </c>
      <c r="C6297" s="10">
        <v>46060.0</v>
      </c>
      <c r="D6297" s="6" t="s">
        <v>677</v>
      </c>
      <c r="E6297" s="6" t="s">
        <v>1102</v>
      </c>
      <c r="F6297" s="6" t="s">
        <v>112</v>
      </c>
      <c r="G6297" s="6" t="s">
        <v>477</v>
      </c>
      <c r="H6297" s="11" t="s">
        <v>259</v>
      </c>
      <c r="I6297" s="12">
        <v>3.0</v>
      </c>
      <c r="J6297" s="6" t="s">
        <v>161</v>
      </c>
    </row>
    <row r="6298" ht="22.5" customHeight="1">
      <c r="A6298" s="6" t="s">
        <v>23106</v>
      </c>
      <c r="B6298" s="6" t="s">
        <v>14214</v>
      </c>
      <c r="C6298" s="10">
        <v>46087.0</v>
      </c>
      <c r="D6298" s="6" t="s">
        <v>312</v>
      </c>
      <c r="E6298" s="6" t="s">
        <v>1149</v>
      </c>
      <c r="F6298" s="6" t="s">
        <v>283</v>
      </c>
      <c r="G6298" s="6" t="s">
        <v>297</v>
      </c>
      <c r="H6298" s="10">
        <v>46094.0</v>
      </c>
      <c r="I6298" s="12">
        <v>7.0</v>
      </c>
      <c r="J6298" s="6" t="s">
        <v>161</v>
      </c>
    </row>
    <row r="6299" ht="22.5" customHeight="1">
      <c r="A6299" s="6" t="s">
        <v>23107</v>
      </c>
      <c r="B6299" s="6" t="s">
        <v>14214</v>
      </c>
      <c r="C6299" s="10">
        <v>46083.0</v>
      </c>
      <c r="D6299" s="6" t="s">
        <v>312</v>
      </c>
      <c r="E6299" s="6" t="s">
        <v>896</v>
      </c>
      <c r="F6299" s="6" t="s">
        <v>283</v>
      </c>
      <c r="G6299" s="6" t="s">
        <v>477</v>
      </c>
      <c r="H6299" s="10">
        <v>46089.0</v>
      </c>
      <c r="I6299" s="12">
        <v>5.0</v>
      </c>
      <c r="J6299" s="6" t="s">
        <v>161</v>
      </c>
    </row>
    <row r="6300" ht="22.5" customHeight="1">
      <c r="A6300" s="6" t="s">
        <v>23108</v>
      </c>
      <c r="B6300" s="6" t="s">
        <v>14214</v>
      </c>
      <c r="C6300" s="10">
        <v>46068.0</v>
      </c>
      <c r="D6300" s="6" t="s">
        <v>416</v>
      </c>
      <c r="E6300" s="6" t="s">
        <v>512</v>
      </c>
      <c r="F6300" s="6" t="s">
        <v>283</v>
      </c>
      <c r="G6300" s="6" t="s">
        <v>297</v>
      </c>
      <c r="H6300" s="10">
        <v>46069.0</v>
      </c>
      <c r="I6300" s="12">
        <v>8.0</v>
      </c>
      <c r="J6300" s="6" t="s">
        <v>161</v>
      </c>
    </row>
    <row r="6301" ht="22.5" customHeight="1">
      <c r="A6301" s="6" t="s">
        <v>23109</v>
      </c>
      <c r="B6301" s="6" t="s">
        <v>14214</v>
      </c>
      <c r="C6301" s="10">
        <v>46079.0</v>
      </c>
      <c r="D6301" s="6" t="s">
        <v>242</v>
      </c>
      <c r="E6301" s="6" t="s">
        <v>1969</v>
      </c>
      <c r="F6301" s="6" t="s">
        <v>112</v>
      </c>
      <c r="G6301" s="6" t="s">
        <v>254</v>
      </c>
      <c r="H6301" s="10">
        <v>46079.0</v>
      </c>
      <c r="I6301" s="12">
        <v>5.0</v>
      </c>
      <c r="J6301" s="6" t="s">
        <v>178</v>
      </c>
    </row>
    <row r="6302" ht="22.5" customHeight="1">
      <c r="A6302" s="6" t="s">
        <v>23110</v>
      </c>
      <c r="B6302" s="6" t="s">
        <v>14214</v>
      </c>
      <c r="C6302" s="10">
        <v>46068.0</v>
      </c>
      <c r="D6302" s="6" t="s">
        <v>416</v>
      </c>
      <c r="E6302" s="6" t="s">
        <v>1241</v>
      </c>
      <c r="F6302" s="6" t="s">
        <v>249</v>
      </c>
      <c r="G6302" s="6" t="s">
        <v>369</v>
      </c>
      <c r="H6302" s="10">
        <v>46072.0</v>
      </c>
      <c r="I6302" s="12">
        <v>13.0</v>
      </c>
      <c r="J6302" s="6" t="s">
        <v>161</v>
      </c>
    </row>
    <row r="6303" ht="22.5" customHeight="1">
      <c r="A6303" s="6" t="s">
        <v>23111</v>
      </c>
      <c r="B6303" s="6" t="s">
        <v>14221</v>
      </c>
      <c r="C6303" s="10">
        <v>46056.0</v>
      </c>
      <c r="D6303" s="6" t="s">
        <v>312</v>
      </c>
      <c r="E6303" s="6" t="s">
        <v>320</v>
      </c>
      <c r="F6303" s="6" t="s">
        <v>439</v>
      </c>
      <c r="G6303" s="6" t="s">
        <v>477</v>
      </c>
      <c r="H6303" s="11" t="s">
        <v>259</v>
      </c>
      <c r="I6303" s="12">
        <v>4.0</v>
      </c>
      <c r="J6303" s="6" t="s">
        <v>161</v>
      </c>
    </row>
    <row r="6304" ht="22.5" customHeight="1">
      <c r="A6304" s="6" t="s">
        <v>23112</v>
      </c>
      <c r="B6304" s="6" t="s">
        <v>14221</v>
      </c>
      <c r="C6304" s="10">
        <v>46059.0</v>
      </c>
      <c r="D6304" s="6" t="s">
        <v>391</v>
      </c>
      <c r="E6304" s="6" t="s">
        <v>450</v>
      </c>
      <c r="F6304" s="6" t="s">
        <v>439</v>
      </c>
      <c r="G6304" s="6" t="s">
        <v>254</v>
      </c>
      <c r="H6304" s="10">
        <v>46065.0</v>
      </c>
      <c r="I6304" s="12">
        <v>7.0</v>
      </c>
      <c r="J6304" s="6" t="s">
        <v>161</v>
      </c>
    </row>
    <row r="6305" ht="22.5" customHeight="1">
      <c r="A6305" s="6" t="s">
        <v>23113</v>
      </c>
      <c r="B6305" s="6" t="s">
        <v>14221</v>
      </c>
      <c r="C6305" s="10">
        <v>46054.0</v>
      </c>
      <c r="D6305" s="6" t="s">
        <v>677</v>
      </c>
      <c r="E6305" s="6" t="s">
        <v>1310</v>
      </c>
      <c r="F6305" s="6" t="s">
        <v>112</v>
      </c>
      <c r="G6305" s="6" t="s">
        <v>494</v>
      </c>
      <c r="H6305" s="10">
        <v>46060.0</v>
      </c>
      <c r="I6305" s="12">
        <v>3.0</v>
      </c>
      <c r="J6305" s="6" t="s">
        <v>161</v>
      </c>
    </row>
    <row r="6306" ht="22.5" customHeight="1">
      <c r="A6306" s="6" t="s">
        <v>23114</v>
      </c>
      <c r="B6306" s="6" t="s">
        <v>14221</v>
      </c>
      <c r="C6306" s="10">
        <v>46061.0</v>
      </c>
      <c r="D6306" s="6" t="s">
        <v>677</v>
      </c>
      <c r="E6306" s="6" t="s">
        <v>1273</v>
      </c>
      <c r="F6306" s="6" t="s">
        <v>439</v>
      </c>
      <c r="G6306" s="6" t="s">
        <v>326</v>
      </c>
      <c r="H6306" s="11" t="s">
        <v>259</v>
      </c>
      <c r="I6306" s="12">
        <v>4.0</v>
      </c>
      <c r="J6306" s="6" t="s">
        <v>161</v>
      </c>
    </row>
    <row r="6307" ht="22.5" customHeight="1">
      <c r="A6307" s="6" t="s">
        <v>23115</v>
      </c>
      <c r="B6307" s="6" t="s">
        <v>14227</v>
      </c>
      <c r="C6307" s="10">
        <v>46076.0</v>
      </c>
      <c r="D6307" s="6" t="s">
        <v>289</v>
      </c>
      <c r="E6307" s="6" t="s">
        <v>1070</v>
      </c>
      <c r="F6307" s="6" t="s">
        <v>249</v>
      </c>
      <c r="G6307" s="6" t="s">
        <v>458</v>
      </c>
      <c r="H6307" s="10">
        <v>46078.0</v>
      </c>
      <c r="I6307" s="12">
        <v>7.0</v>
      </c>
      <c r="J6307" s="6" t="s">
        <v>161</v>
      </c>
    </row>
    <row r="6308" ht="22.5" customHeight="1">
      <c r="A6308" s="6" t="s">
        <v>23116</v>
      </c>
      <c r="B6308" s="6" t="s">
        <v>14227</v>
      </c>
      <c r="C6308" s="10">
        <v>46061.0</v>
      </c>
      <c r="D6308" s="6" t="s">
        <v>391</v>
      </c>
      <c r="E6308" s="6" t="s">
        <v>320</v>
      </c>
      <c r="F6308" s="6" t="s">
        <v>283</v>
      </c>
      <c r="G6308" s="6" t="s">
        <v>254</v>
      </c>
      <c r="H6308" s="10">
        <v>46066.0</v>
      </c>
      <c r="I6308" s="12">
        <v>10.0</v>
      </c>
      <c r="J6308" s="6" t="s">
        <v>161</v>
      </c>
    </row>
    <row r="6309" ht="22.5" customHeight="1">
      <c r="A6309" s="6" t="s">
        <v>23117</v>
      </c>
      <c r="B6309" s="6" t="s">
        <v>14227</v>
      </c>
      <c r="C6309" s="10">
        <v>46066.0</v>
      </c>
      <c r="D6309" s="6" t="s">
        <v>436</v>
      </c>
      <c r="E6309" s="6" t="s">
        <v>1070</v>
      </c>
      <c r="F6309" s="6" t="s">
        <v>439</v>
      </c>
      <c r="G6309" s="6" t="s">
        <v>254</v>
      </c>
      <c r="H6309" s="10">
        <v>46070.0</v>
      </c>
      <c r="I6309" s="12">
        <v>8.0</v>
      </c>
      <c r="J6309" s="6" t="s">
        <v>161</v>
      </c>
    </row>
    <row r="6310" ht="22.5" customHeight="1">
      <c r="A6310" s="6" t="s">
        <v>23118</v>
      </c>
      <c r="B6310" s="6" t="s">
        <v>14234</v>
      </c>
      <c r="C6310" s="10">
        <v>46073.0</v>
      </c>
      <c r="D6310" s="6" t="s">
        <v>242</v>
      </c>
      <c r="E6310" s="6" t="s">
        <v>438</v>
      </c>
      <c r="F6310" s="6" t="s">
        <v>439</v>
      </c>
      <c r="G6310" s="6" t="s">
        <v>326</v>
      </c>
      <c r="H6310" s="11" t="s">
        <v>259</v>
      </c>
      <c r="I6310" s="12">
        <v>4.0</v>
      </c>
      <c r="J6310" s="6" t="s">
        <v>178</v>
      </c>
    </row>
    <row r="6311" ht="22.5" customHeight="1">
      <c r="A6311" s="6" t="s">
        <v>23119</v>
      </c>
      <c r="B6311" s="6" t="s">
        <v>14234</v>
      </c>
      <c r="C6311" s="10">
        <v>46075.0</v>
      </c>
      <c r="D6311" s="6" t="s">
        <v>436</v>
      </c>
      <c r="E6311" s="6" t="s">
        <v>1600</v>
      </c>
      <c r="F6311" s="6" t="s">
        <v>112</v>
      </c>
      <c r="G6311" s="6" t="s">
        <v>326</v>
      </c>
      <c r="H6311" s="10">
        <v>46079.0</v>
      </c>
      <c r="I6311" s="12">
        <v>6.0</v>
      </c>
      <c r="J6311" s="6" t="s">
        <v>161</v>
      </c>
    </row>
    <row r="6312" ht="22.5" customHeight="1">
      <c r="A6312" s="6" t="s">
        <v>23120</v>
      </c>
      <c r="B6312" s="6" t="s">
        <v>14241</v>
      </c>
      <c r="C6312" s="10">
        <v>46048.0</v>
      </c>
      <c r="D6312" s="6" t="s">
        <v>242</v>
      </c>
      <c r="E6312" s="6" t="s">
        <v>1070</v>
      </c>
      <c r="F6312" s="6" t="s">
        <v>112</v>
      </c>
      <c r="G6312" s="6" t="s">
        <v>458</v>
      </c>
      <c r="H6312" s="10">
        <v>46049.0</v>
      </c>
      <c r="I6312" s="12">
        <v>5.0</v>
      </c>
      <c r="J6312" s="6" t="s">
        <v>178</v>
      </c>
    </row>
    <row r="6313" ht="22.5" customHeight="1">
      <c r="A6313" s="6" t="s">
        <v>23121</v>
      </c>
      <c r="B6313" s="6" t="s">
        <v>14241</v>
      </c>
      <c r="C6313" s="10">
        <v>46056.0</v>
      </c>
      <c r="D6313" s="6" t="s">
        <v>391</v>
      </c>
      <c r="E6313" s="6" t="s">
        <v>438</v>
      </c>
      <c r="F6313" s="6" t="s">
        <v>283</v>
      </c>
      <c r="G6313" s="6" t="s">
        <v>494</v>
      </c>
      <c r="H6313" s="11" t="s">
        <v>259</v>
      </c>
      <c r="I6313" s="12">
        <v>6.0</v>
      </c>
      <c r="J6313" s="6" t="s">
        <v>161</v>
      </c>
    </row>
    <row r="6314" ht="22.5" customHeight="1">
      <c r="A6314" s="6" t="s">
        <v>23122</v>
      </c>
      <c r="B6314" s="6" t="s">
        <v>14241</v>
      </c>
      <c r="C6314" s="10">
        <v>46052.0</v>
      </c>
      <c r="D6314" s="6" t="s">
        <v>312</v>
      </c>
      <c r="E6314" s="6" t="s">
        <v>738</v>
      </c>
      <c r="F6314" s="6" t="s">
        <v>112</v>
      </c>
      <c r="G6314" s="6" t="s">
        <v>494</v>
      </c>
      <c r="H6314" s="11" t="s">
        <v>259</v>
      </c>
      <c r="I6314" s="12">
        <v>5.0</v>
      </c>
      <c r="J6314" s="6" t="s">
        <v>161</v>
      </c>
    </row>
    <row r="6315" ht="22.5" customHeight="1">
      <c r="A6315" s="6" t="s">
        <v>23123</v>
      </c>
      <c r="B6315" s="6" t="s">
        <v>14241</v>
      </c>
      <c r="C6315" s="10">
        <v>46044.0</v>
      </c>
      <c r="D6315" s="6" t="s">
        <v>436</v>
      </c>
      <c r="E6315" s="6" t="s">
        <v>1296</v>
      </c>
      <c r="F6315" s="6" t="s">
        <v>283</v>
      </c>
      <c r="G6315" s="6" t="s">
        <v>494</v>
      </c>
      <c r="H6315" s="10">
        <v>46044.0</v>
      </c>
      <c r="I6315" s="12">
        <v>6.0</v>
      </c>
      <c r="J6315" s="6" t="s">
        <v>178</v>
      </c>
    </row>
    <row r="6316" ht="22.5" customHeight="1">
      <c r="A6316" s="6" t="s">
        <v>23124</v>
      </c>
      <c r="B6316" s="6" t="s">
        <v>14241</v>
      </c>
      <c r="C6316" s="10">
        <v>46042.0</v>
      </c>
      <c r="D6316" s="6" t="s">
        <v>677</v>
      </c>
      <c r="E6316" s="6" t="s">
        <v>687</v>
      </c>
      <c r="F6316" s="6" t="s">
        <v>283</v>
      </c>
      <c r="G6316" s="6" t="s">
        <v>254</v>
      </c>
      <c r="H6316" s="11" t="s">
        <v>259</v>
      </c>
      <c r="I6316" s="12">
        <v>4.0</v>
      </c>
      <c r="J6316" s="6" t="s">
        <v>161</v>
      </c>
    </row>
    <row r="6317" ht="22.5" customHeight="1">
      <c r="A6317" s="6" t="s">
        <v>23125</v>
      </c>
      <c r="B6317" s="6" t="s">
        <v>14248</v>
      </c>
      <c r="C6317" s="10">
        <v>46046.0</v>
      </c>
      <c r="D6317" s="6" t="s">
        <v>312</v>
      </c>
      <c r="E6317" s="6" t="s">
        <v>1626</v>
      </c>
      <c r="F6317" s="6" t="s">
        <v>112</v>
      </c>
      <c r="G6317" s="6" t="s">
        <v>458</v>
      </c>
      <c r="H6317" s="11" t="s">
        <v>259</v>
      </c>
      <c r="I6317" s="12">
        <v>6.0</v>
      </c>
      <c r="J6317" s="6" t="s">
        <v>161</v>
      </c>
    </row>
    <row r="6318" ht="22.5" customHeight="1">
      <c r="A6318" s="6" t="s">
        <v>23126</v>
      </c>
      <c r="B6318" s="6" t="s">
        <v>14254</v>
      </c>
      <c r="C6318" s="10">
        <v>46055.0</v>
      </c>
      <c r="D6318" s="6" t="s">
        <v>436</v>
      </c>
      <c r="E6318" s="6" t="s">
        <v>775</v>
      </c>
      <c r="F6318" s="6" t="s">
        <v>249</v>
      </c>
      <c r="G6318" s="6" t="s">
        <v>254</v>
      </c>
      <c r="H6318" s="10">
        <v>46061.0</v>
      </c>
      <c r="I6318" s="12">
        <v>12.0</v>
      </c>
      <c r="J6318" s="6" t="s">
        <v>161</v>
      </c>
    </row>
    <row r="6319" ht="22.5" customHeight="1">
      <c r="A6319" s="6" t="s">
        <v>23127</v>
      </c>
      <c r="B6319" s="6" t="s">
        <v>14261</v>
      </c>
      <c r="C6319" s="10">
        <v>46061.0</v>
      </c>
      <c r="D6319" s="6" t="s">
        <v>416</v>
      </c>
      <c r="E6319" s="6" t="s">
        <v>775</v>
      </c>
      <c r="F6319" s="6" t="s">
        <v>112</v>
      </c>
      <c r="G6319" s="6" t="s">
        <v>297</v>
      </c>
      <c r="H6319" s="10">
        <v>46065.0</v>
      </c>
      <c r="I6319" s="12">
        <v>11.0</v>
      </c>
      <c r="J6319" s="6" t="s">
        <v>161</v>
      </c>
    </row>
    <row r="6320" ht="22.5" customHeight="1">
      <c r="A6320" s="6" t="s">
        <v>23128</v>
      </c>
      <c r="B6320" s="6" t="s">
        <v>14261</v>
      </c>
      <c r="C6320" s="10">
        <v>46055.0</v>
      </c>
      <c r="D6320" s="6" t="s">
        <v>677</v>
      </c>
      <c r="E6320" s="6" t="s">
        <v>417</v>
      </c>
      <c r="F6320" s="6" t="s">
        <v>249</v>
      </c>
      <c r="G6320" s="6" t="s">
        <v>494</v>
      </c>
      <c r="H6320" s="10">
        <v>46059.0</v>
      </c>
      <c r="I6320" s="12">
        <v>4.0</v>
      </c>
      <c r="J6320" s="6" t="s">
        <v>161</v>
      </c>
    </row>
    <row r="6321" ht="22.5" customHeight="1">
      <c r="A6321" s="6" t="s">
        <v>23129</v>
      </c>
      <c r="B6321" s="6" t="s">
        <v>14261</v>
      </c>
      <c r="C6321" s="10">
        <v>46063.0</v>
      </c>
      <c r="D6321" s="6" t="s">
        <v>242</v>
      </c>
      <c r="E6321" s="6" t="s">
        <v>1070</v>
      </c>
      <c r="F6321" s="6" t="s">
        <v>249</v>
      </c>
      <c r="G6321" s="6" t="s">
        <v>297</v>
      </c>
      <c r="H6321" s="10">
        <v>46065.0</v>
      </c>
      <c r="I6321" s="12">
        <v>4.0</v>
      </c>
      <c r="J6321" s="6" t="s">
        <v>161</v>
      </c>
    </row>
    <row r="6322" ht="22.5" customHeight="1">
      <c r="A6322" s="6" t="s">
        <v>23130</v>
      </c>
      <c r="B6322" s="6" t="s">
        <v>14261</v>
      </c>
      <c r="C6322" s="10">
        <v>46060.0</v>
      </c>
      <c r="D6322" s="6" t="s">
        <v>436</v>
      </c>
      <c r="E6322" s="6" t="s">
        <v>628</v>
      </c>
      <c r="F6322" s="6" t="s">
        <v>249</v>
      </c>
      <c r="G6322" s="6" t="s">
        <v>494</v>
      </c>
      <c r="H6322" s="10">
        <v>46064.0</v>
      </c>
      <c r="I6322" s="12">
        <v>11.0</v>
      </c>
      <c r="J6322" s="6" t="s">
        <v>178</v>
      </c>
    </row>
    <row r="6323" ht="22.5" customHeight="1">
      <c r="A6323" s="6" t="s">
        <v>23131</v>
      </c>
      <c r="B6323" s="6" t="s">
        <v>14268</v>
      </c>
      <c r="C6323" s="10">
        <v>46058.0</v>
      </c>
      <c r="D6323" s="6" t="s">
        <v>242</v>
      </c>
      <c r="E6323" s="6" t="s">
        <v>610</v>
      </c>
      <c r="F6323" s="6" t="s">
        <v>283</v>
      </c>
      <c r="G6323" s="6" t="s">
        <v>254</v>
      </c>
      <c r="H6323" s="10">
        <v>46064.0</v>
      </c>
      <c r="I6323" s="12">
        <v>3.0</v>
      </c>
      <c r="J6323" s="6" t="s">
        <v>161</v>
      </c>
    </row>
    <row r="6324" ht="22.5" customHeight="1">
      <c r="A6324" s="6" t="s">
        <v>23132</v>
      </c>
      <c r="B6324" s="6" t="s">
        <v>14268</v>
      </c>
      <c r="C6324" s="10">
        <v>46051.0</v>
      </c>
      <c r="D6324" s="6" t="s">
        <v>391</v>
      </c>
      <c r="E6324" s="6" t="s">
        <v>417</v>
      </c>
      <c r="F6324" s="6" t="s">
        <v>439</v>
      </c>
      <c r="G6324" s="6" t="s">
        <v>494</v>
      </c>
      <c r="H6324" s="10">
        <v>46051.0</v>
      </c>
      <c r="I6324" s="12">
        <v>9.0</v>
      </c>
      <c r="J6324" s="6" t="s">
        <v>161</v>
      </c>
    </row>
    <row r="6325" ht="22.5" customHeight="1">
      <c r="A6325" s="6" t="s">
        <v>23133</v>
      </c>
      <c r="B6325" s="6" t="s">
        <v>14274</v>
      </c>
      <c r="C6325" s="10">
        <v>46067.0</v>
      </c>
      <c r="D6325" s="6" t="s">
        <v>677</v>
      </c>
      <c r="E6325" s="6" t="s">
        <v>1241</v>
      </c>
      <c r="F6325" s="6" t="s">
        <v>112</v>
      </c>
      <c r="G6325" s="6" t="s">
        <v>326</v>
      </c>
      <c r="H6325" s="10">
        <v>46073.0</v>
      </c>
      <c r="I6325" s="12">
        <v>2.0</v>
      </c>
      <c r="J6325" s="6" t="s">
        <v>161</v>
      </c>
    </row>
    <row r="6326" ht="22.5" customHeight="1">
      <c r="A6326" s="6" t="s">
        <v>23134</v>
      </c>
      <c r="B6326" s="6" t="s">
        <v>14274</v>
      </c>
      <c r="C6326" s="10">
        <v>46082.0</v>
      </c>
      <c r="D6326" s="6" t="s">
        <v>312</v>
      </c>
      <c r="E6326" s="6" t="s">
        <v>704</v>
      </c>
      <c r="F6326" s="6" t="s">
        <v>249</v>
      </c>
      <c r="G6326" s="6" t="s">
        <v>369</v>
      </c>
      <c r="H6326" s="10">
        <v>46083.0</v>
      </c>
      <c r="I6326" s="12">
        <v>6.0</v>
      </c>
      <c r="J6326" s="6" t="s">
        <v>161</v>
      </c>
    </row>
    <row r="6327" ht="22.5" customHeight="1">
      <c r="A6327" s="6" t="s">
        <v>23135</v>
      </c>
      <c r="B6327" s="6" t="s">
        <v>14274</v>
      </c>
      <c r="C6327" s="10">
        <v>46073.0</v>
      </c>
      <c r="D6327" s="6" t="s">
        <v>242</v>
      </c>
      <c r="E6327" s="6" t="s">
        <v>1241</v>
      </c>
      <c r="F6327" s="6" t="s">
        <v>283</v>
      </c>
      <c r="G6327" s="6" t="s">
        <v>452</v>
      </c>
      <c r="H6327" s="10">
        <v>46076.0</v>
      </c>
      <c r="I6327" s="12">
        <v>6.0</v>
      </c>
      <c r="J6327" s="6" t="s">
        <v>161</v>
      </c>
    </row>
    <row r="6328" ht="22.5" customHeight="1">
      <c r="A6328" s="6" t="s">
        <v>23136</v>
      </c>
      <c r="B6328" s="6" t="s">
        <v>14274</v>
      </c>
      <c r="C6328" s="10">
        <v>46075.0</v>
      </c>
      <c r="D6328" s="6" t="s">
        <v>242</v>
      </c>
      <c r="E6328" s="6" t="s">
        <v>1969</v>
      </c>
      <c r="F6328" s="6" t="s">
        <v>249</v>
      </c>
      <c r="G6328" s="6" t="s">
        <v>297</v>
      </c>
      <c r="H6328" s="10">
        <v>46079.0</v>
      </c>
      <c r="I6328" s="12">
        <v>6.0</v>
      </c>
      <c r="J6328" s="6" t="s">
        <v>178</v>
      </c>
    </row>
    <row r="6329" ht="22.5" customHeight="1">
      <c r="A6329" s="6" t="s">
        <v>23137</v>
      </c>
      <c r="B6329" s="6" t="s">
        <v>14280</v>
      </c>
      <c r="C6329" s="10">
        <v>46072.0</v>
      </c>
      <c r="D6329" s="6" t="s">
        <v>677</v>
      </c>
      <c r="E6329" s="6" t="s">
        <v>716</v>
      </c>
      <c r="F6329" s="6" t="s">
        <v>283</v>
      </c>
      <c r="G6329" s="6" t="s">
        <v>452</v>
      </c>
      <c r="H6329" s="10">
        <v>46075.0</v>
      </c>
      <c r="I6329" s="12">
        <v>4.0</v>
      </c>
      <c r="J6329" s="6" t="s">
        <v>161</v>
      </c>
    </row>
    <row r="6330" ht="22.5" customHeight="1">
      <c r="A6330" s="6" t="s">
        <v>23138</v>
      </c>
      <c r="B6330" s="6" t="s">
        <v>14280</v>
      </c>
      <c r="C6330" s="10">
        <v>46065.0</v>
      </c>
      <c r="D6330" s="6" t="s">
        <v>416</v>
      </c>
      <c r="E6330" s="6" t="s">
        <v>1122</v>
      </c>
      <c r="F6330" s="6" t="s">
        <v>439</v>
      </c>
      <c r="G6330" s="6" t="s">
        <v>494</v>
      </c>
      <c r="H6330" s="10">
        <v>46072.0</v>
      </c>
      <c r="I6330" s="12">
        <v>14.0</v>
      </c>
      <c r="J6330" s="6" t="s">
        <v>161</v>
      </c>
    </row>
    <row r="6331" ht="22.5" customHeight="1">
      <c r="A6331" s="6" t="s">
        <v>23139</v>
      </c>
      <c r="B6331" s="6" t="s">
        <v>14287</v>
      </c>
      <c r="C6331" s="10">
        <v>46062.0</v>
      </c>
      <c r="D6331" s="6" t="s">
        <v>436</v>
      </c>
      <c r="E6331" s="6" t="s">
        <v>1700</v>
      </c>
      <c r="F6331" s="6" t="s">
        <v>249</v>
      </c>
      <c r="G6331" s="6" t="s">
        <v>494</v>
      </c>
      <c r="H6331" s="10">
        <v>46069.0</v>
      </c>
      <c r="I6331" s="12">
        <v>7.0</v>
      </c>
      <c r="J6331" s="6" t="s">
        <v>178</v>
      </c>
    </row>
    <row r="6332" ht="22.5" customHeight="1">
      <c r="A6332" s="6" t="s">
        <v>23140</v>
      </c>
      <c r="B6332" s="6" t="s">
        <v>14287</v>
      </c>
      <c r="C6332" s="10">
        <v>46062.0</v>
      </c>
      <c r="D6332" s="6" t="s">
        <v>416</v>
      </c>
      <c r="E6332" s="6" t="s">
        <v>738</v>
      </c>
      <c r="F6332" s="6" t="s">
        <v>439</v>
      </c>
      <c r="G6332" s="6" t="s">
        <v>452</v>
      </c>
      <c r="H6332" s="10">
        <v>46067.0</v>
      </c>
      <c r="I6332" s="12">
        <v>14.0</v>
      </c>
      <c r="J6332" s="6" t="s">
        <v>161</v>
      </c>
    </row>
    <row r="6333" ht="22.5" customHeight="1">
      <c r="A6333" s="6" t="s">
        <v>23141</v>
      </c>
      <c r="B6333" s="6" t="s">
        <v>14293</v>
      </c>
      <c r="C6333" s="10">
        <v>46051.0</v>
      </c>
      <c r="D6333" s="6" t="s">
        <v>416</v>
      </c>
      <c r="E6333" s="6" t="s">
        <v>1570</v>
      </c>
      <c r="F6333" s="6" t="s">
        <v>249</v>
      </c>
      <c r="G6333" s="6" t="s">
        <v>452</v>
      </c>
      <c r="H6333" s="10">
        <v>46052.0</v>
      </c>
      <c r="I6333" s="12">
        <v>13.0</v>
      </c>
      <c r="J6333" s="6" t="s">
        <v>161</v>
      </c>
    </row>
    <row r="6334" ht="22.5" customHeight="1">
      <c r="A6334" s="6" t="s">
        <v>23142</v>
      </c>
      <c r="B6334" s="6" t="s">
        <v>14293</v>
      </c>
      <c r="C6334" s="10">
        <v>46061.0</v>
      </c>
      <c r="D6334" s="6" t="s">
        <v>416</v>
      </c>
      <c r="E6334" s="6" t="s">
        <v>731</v>
      </c>
      <c r="F6334" s="6" t="s">
        <v>283</v>
      </c>
      <c r="G6334" s="6" t="s">
        <v>494</v>
      </c>
      <c r="H6334" s="10">
        <v>46062.0</v>
      </c>
      <c r="I6334" s="12">
        <v>9.0</v>
      </c>
      <c r="J6334" s="6" t="s">
        <v>161</v>
      </c>
    </row>
    <row r="6335" ht="22.5" customHeight="1">
      <c r="A6335" s="6" t="s">
        <v>23143</v>
      </c>
      <c r="B6335" s="6" t="s">
        <v>14293</v>
      </c>
      <c r="C6335" s="10">
        <v>46048.0</v>
      </c>
      <c r="D6335" s="6" t="s">
        <v>436</v>
      </c>
      <c r="E6335" s="6" t="s">
        <v>1700</v>
      </c>
      <c r="F6335" s="6" t="s">
        <v>249</v>
      </c>
      <c r="G6335" s="6" t="s">
        <v>477</v>
      </c>
      <c r="H6335" s="10">
        <v>46048.0</v>
      </c>
      <c r="I6335" s="12">
        <v>11.0</v>
      </c>
      <c r="J6335" s="6" t="s">
        <v>178</v>
      </c>
    </row>
    <row r="6336" ht="22.5" customHeight="1">
      <c r="A6336" s="6" t="s">
        <v>23144</v>
      </c>
      <c r="B6336" s="6" t="s">
        <v>14293</v>
      </c>
      <c r="C6336" s="10">
        <v>46053.0</v>
      </c>
      <c r="D6336" s="6" t="s">
        <v>312</v>
      </c>
      <c r="E6336" s="6" t="s">
        <v>716</v>
      </c>
      <c r="F6336" s="6" t="s">
        <v>112</v>
      </c>
      <c r="G6336" s="6" t="s">
        <v>458</v>
      </c>
      <c r="H6336" s="10">
        <v>46056.0</v>
      </c>
      <c r="I6336" s="12">
        <v>7.0</v>
      </c>
      <c r="J6336" s="6" t="s">
        <v>161</v>
      </c>
    </row>
    <row r="6337" ht="22.5" customHeight="1">
      <c r="A6337" s="6" t="s">
        <v>23145</v>
      </c>
      <c r="B6337" s="6" t="s">
        <v>14293</v>
      </c>
      <c r="C6337" s="10">
        <v>46056.0</v>
      </c>
      <c r="D6337" s="6" t="s">
        <v>242</v>
      </c>
      <c r="E6337" s="6" t="s">
        <v>394</v>
      </c>
      <c r="F6337" s="6" t="s">
        <v>112</v>
      </c>
      <c r="G6337" s="6" t="s">
        <v>297</v>
      </c>
      <c r="H6337" s="10">
        <v>46057.0</v>
      </c>
      <c r="I6337" s="12">
        <v>6.0</v>
      </c>
      <c r="J6337" s="6" t="s">
        <v>161</v>
      </c>
    </row>
    <row r="6338" ht="22.5" customHeight="1">
      <c r="A6338" s="6" t="s">
        <v>23146</v>
      </c>
      <c r="B6338" s="6" t="s">
        <v>14299</v>
      </c>
      <c r="C6338" s="10">
        <v>46044.0</v>
      </c>
      <c r="D6338" s="6" t="s">
        <v>391</v>
      </c>
      <c r="E6338" s="6" t="s">
        <v>1280</v>
      </c>
      <c r="F6338" s="6" t="s">
        <v>112</v>
      </c>
      <c r="G6338" s="6" t="s">
        <v>254</v>
      </c>
      <c r="H6338" s="10">
        <v>46047.0</v>
      </c>
      <c r="I6338" s="12">
        <v>10.0</v>
      </c>
      <c r="J6338" s="6" t="s">
        <v>161</v>
      </c>
    </row>
    <row r="6339" ht="22.5" customHeight="1">
      <c r="A6339" s="6" t="s">
        <v>23147</v>
      </c>
      <c r="B6339" s="6" t="s">
        <v>14299</v>
      </c>
      <c r="C6339" s="10">
        <v>46046.0</v>
      </c>
      <c r="D6339" s="6" t="s">
        <v>289</v>
      </c>
      <c r="E6339" s="6" t="s">
        <v>955</v>
      </c>
      <c r="F6339" s="6" t="s">
        <v>439</v>
      </c>
      <c r="G6339" s="6" t="s">
        <v>452</v>
      </c>
      <c r="H6339" s="11" t="s">
        <v>259</v>
      </c>
      <c r="I6339" s="12">
        <v>8.0</v>
      </c>
      <c r="J6339" s="6" t="s">
        <v>161</v>
      </c>
    </row>
    <row r="6340" ht="22.5" customHeight="1">
      <c r="A6340" s="6" t="s">
        <v>23148</v>
      </c>
      <c r="B6340" s="6" t="s">
        <v>14299</v>
      </c>
      <c r="C6340" s="10">
        <v>46054.0</v>
      </c>
      <c r="D6340" s="6" t="s">
        <v>416</v>
      </c>
      <c r="E6340" s="6" t="s">
        <v>1149</v>
      </c>
      <c r="F6340" s="6" t="s">
        <v>112</v>
      </c>
      <c r="G6340" s="6" t="s">
        <v>458</v>
      </c>
      <c r="H6340" s="10">
        <v>46061.0</v>
      </c>
      <c r="I6340" s="12">
        <v>14.0</v>
      </c>
      <c r="J6340" s="6" t="s">
        <v>161</v>
      </c>
    </row>
    <row r="6341" ht="22.5" customHeight="1">
      <c r="A6341" s="6" t="s">
        <v>23149</v>
      </c>
      <c r="B6341" s="6" t="s">
        <v>14299</v>
      </c>
      <c r="C6341" s="10">
        <v>46055.0</v>
      </c>
      <c r="D6341" s="6" t="s">
        <v>436</v>
      </c>
      <c r="E6341" s="6" t="s">
        <v>2881</v>
      </c>
      <c r="F6341" s="6" t="s">
        <v>112</v>
      </c>
      <c r="G6341" s="6" t="s">
        <v>254</v>
      </c>
      <c r="H6341" s="10">
        <v>46062.0</v>
      </c>
      <c r="I6341" s="12">
        <v>12.0</v>
      </c>
      <c r="J6341" s="6" t="s">
        <v>178</v>
      </c>
    </row>
    <row r="6342" ht="22.5" customHeight="1">
      <c r="A6342" s="6" t="s">
        <v>23150</v>
      </c>
      <c r="B6342" s="6" t="s">
        <v>14299</v>
      </c>
      <c r="C6342" s="10">
        <v>46051.0</v>
      </c>
      <c r="D6342" s="6" t="s">
        <v>436</v>
      </c>
      <c r="E6342" s="6" t="s">
        <v>1969</v>
      </c>
      <c r="F6342" s="6" t="s">
        <v>249</v>
      </c>
      <c r="G6342" s="6" t="s">
        <v>297</v>
      </c>
      <c r="H6342" s="11" t="s">
        <v>259</v>
      </c>
      <c r="I6342" s="12">
        <v>7.0</v>
      </c>
      <c r="J6342" s="6" t="s">
        <v>178</v>
      </c>
    </row>
    <row r="6343" ht="22.5" customHeight="1">
      <c r="A6343" s="6" t="s">
        <v>23151</v>
      </c>
      <c r="B6343" s="6" t="s">
        <v>14306</v>
      </c>
      <c r="C6343" s="10">
        <v>46052.0</v>
      </c>
      <c r="D6343" s="6" t="s">
        <v>312</v>
      </c>
      <c r="E6343" s="6" t="s">
        <v>1517</v>
      </c>
      <c r="F6343" s="6" t="s">
        <v>112</v>
      </c>
      <c r="G6343" s="6" t="s">
        <v>494</v>
      </c>
      <c r="H6343" s="10">
        <v>46058.0</v>
      </c>
      <c r="I6343" s="12">
        <v>7.0</v>
      </c>
      <c r="J6343" s="6" t="s">
        <v>161</v>
      </c>
    </row>
    <row r="6344" ht="22.5" customHeight="1">
      <c r="A6344" s="6" t="s">
        <v>23152</v>
      </c>
      <c r="B6344" s="6" t="s">
        <v>14313</v>
      </c>
      <c r="C6344" s="10">
        <v>46030.0</v>
      </c>
      <c r="D6344" s="6" t="s">
        <v>677</v>
      </c>
      <c r="E6344" s="6" t="s">
        <v>695</v>
      </c>
      <c r="F6344" s="6" t="s">
        <v>439</v>
      </c>
      <c r="G6344" s="6" t="s">
        <v>477</v>
      </c>
      <c r="H6344" s="10">
        <v>46036.0</v>
      </c>
      <c r="I6344" s="12">
        <v>2.0</v>
      </c>
      <c r="J6344" s="6" t="s">
        <v>161</v>
      </c>
    </row>
    <row r="6345" ht="22.5" customHeight="1">
      <c r="A6345" s="6" t="s">
        <v>23153</v>
      </c>
      <c r="B6345" s="6" t="s">
        <v>14320</v>
      </c>
      <c r="C6345" s="10">
        <v>46029.0</v>
      </c>
      <c r="D6345" s="6" t="s">
        <v>242</v>
      </c>
      <c r="E6345" s="6" t="s">
        <v>812</v>
      </c>
      <c r="F6345" s="6" t="s">
        <v>439</v>
      </c>
      <c r="G6345" s="6" t="s">
        <v>254</v>
      </c>
      <c r="H6345" s="10">
        <v>46033.0</v>
      </c>
      <c r="I6345" s="12">
        <v>4.0</v>
      </c>
      <c r="J6345" s="6" t="s">
        <v>178</v>
      </c>
    </row>
    <row r="6346" ht="22.5" customHeight="1">
      <c r="A6346" s="6" t="s">
        <v>23154</v>
      </c>
      <c r="B6346" s="6" t="s">
        <v>14327</v>
      </c>
      <c r="C6346" s="10">
        <v>46043.0</v>
      </c>
      <c r="D6346" s="6" t="s">
        <v>242</v>
      </c>
      <c r="E6346" s="6" t="s">
        <v>812</v>
      </c>
      <c r="F6346" s="6" t="s">
        <v>439</v>
      </c>
      <c r="G6346" s="6" t="s">
        <v>254</v>
      </c>
      <c r="H6346" s="10">
        <v>46046.0</v>
      </c>
      <c r="I6346" s="12">
        <v>6.0</v>
      </c>
      <c r="J6346" s="6" t="s">
        <v>161</v>
      </c>
    </row>
    <row r="6347" ht="22.5" customHeight="1">
      <c r="A6347" s="6" t="s">
        <v>23155</v>
      </c>
      <c r="B6347" s="6" t="s">
        <v>14327</v>
      </c>
      <c r="C6347" s="10">
        <v>46034.0</v>
      </c>
      <c r="D6347" s="6" t="s">
        <v>242</v>
      </c>
      <c r="E6347" s="6" t="s">
        <v>1102</v>
      </c>
      <c r="F6347" s="6" t="s">
        <v>283</v>
      </c>
      <c r="G6347" s="6" t="s">
        <v>477</v>
      </c>
      <c r="H6347" s="10">
        <v>46034.0</v>
      </c>
      <c r="I6347" s="12">
        <v>6.0</v>
      </c>
      <c r="J6347" s="6" t="s">
        <v>178</v>
      </c>
    </row>
    <row r="6348" ht="22.5" customHeight="1">
      <c r="A6348" s="6" t="s">
        <v>23156</v>
      </c>
      <c r="B6348" s="6" t="s">
        <v>14327</v>
      </c>
      <c r="C6348" s="10">
        <v>46037.0</v>
      </c>
      <c r="D6348" s="6" t="s">
        <v>312</v>
      </c>
      <c r="E6348" s="6" t="s">
        <v>566</v>
      </c>
      <c r="F6348" s="6" t="s">
        <v>112</v>
      </c>
      <c r="G6348" s="6" t="s">
        <v>452</v>
      </c>
      <c r="H6348" s="11" t="s">
        <v>259</v>
      </c>
      <c r="I6348" s="12">
        <v>6.0</v>
      </c>
      <c r="J6348" s="6" t="s">
        <v>161</v>
      </c>
    </row>
    <row r="6349" ht="22.5" customHeight="1">
      <c r="A6349" s="6" t="s">
        <v>23157</v>
      </c>
      <c r="B6349" s="6" t="s">
        <v>14327</v>
      </c>
      <c r="C6349" s="10">
        <v>46027.0</v>
      </c>
      <c r="D6349" s="6" t="s">
        <v>436</v>
      </c>
      <c r="E6349" s="6" t="s">
        <v>704</v>
      </c>
      <c r="F6349" s="6" t="s">
        <v>249</v>
      </c>
      <c r="G6349" s="6" t="s">
        <v>452</v>
      </c>
      <c r="H6349" s="10">
        <v>46031.0</v>
      </c>
      <c r="I6349" s="12">
        <v>6.0</v>
      </c>
      <c r="J6349" s="6" t="s">
        <v>178</v>
      </c>
    </row>
    <row r="6350" ht="22.5" customHeight="1">
      <c r="A6350" s="6" t="s">
        <v>23158</v>
      </c>
      <c r="B6350" s="6" t="s">
        <v>14327</v>
      </c>
      <c r="C6350" s="10">
        <v>46029.0</v>
      </c>
      <c r="D6350" s="6" t="s">
        <v>391</v>
      </c>
      <c r="E6350" s="6" t="s">
        <v>787</v>
      </c>
      <c r="F6350" s="6" t="s">
        <v>283</v>
      </c>
      <c r="G6350" s="6" t="s">
        <v>477</v>
      </c>
      <c r="H6350" s="10">
        <v>46029.0</v>
      </c>
      <c r="I6350" s="12">
        <v>9.0</v>
      </c>
      <c r="J6350" s="6" t="s">
        <v>161</v>
      </c>
    </row>
    <row r="6351" ht="22.5" customHeight="1">
      <c r="A6351" s="6" t="s">
        <v>23159</v>
      </c>
      <c r="B6351" s="6" t="s">
        <v>14335</v>
      </c>
      <c r="C6351" s="10">
        <v>46084.0</v>
      </c>
      <c r="D6351" s="6" t="s">
        <v>436</v>
      </c>
      <c r="E6351" s="6" t="s">
        <v>1055</v>
      </c>
      <c r="F6351" s="6" t="s">
        <v>112</v>
      </c>
      <c r="G6351" s="6" t="s">
        <v>494</v>
      </c>
      <c r="H6351" s="10">
        <v>46089.0</v>
      </c>
      <c r="I6351" s="12">
        <v>10.0</v>
      </c>
      <c r="J6351" s="6" t="s">
        <v>178</v>
      </c>
    </row>
    <row r="6352" ht="22.5" customHeight="1">
      <c r="A6352" s="6" t="s">
        <v>23160</v>
      </c>
      <c r="B6352" s="6" t="s">
        <v>14335</v>
      </c>
      <c r="C6352" s="10">
        <v>46085.0</v>
      </c>
      <c r="D6352" s="6" t="s">
        <v>289</v>
      </c>
      <c r="E6352" s="6" t="s">
        <v>1296</v>
      </c>
      <c r="F6352" s="6" t="s">
        <v>283</v>
      </c>
      <c r="G6352" s="6" t="s">
        <v>458</v>
      </c>
      <c r="H6352" s="10">
        <v>46090.0</v>
      </c>
      <c r="I6352" s="12">
        <v>10.0</v>
      </c>
      <c r="J6352" s="6" t="s">
        <v>161</v>
      </c>
    </row>
    <row r="6353" ht="22.5" customHeight="1">
      <c r="A6353" s="6" t="s">
        <v>23161</v>
      </c>
      <c r="B6353" s="6" t="s">
        <v>14335</v>
      </c>
      <c r="C6353" s="10">
        <v>46070.0</v>
      </c>
      <c r="D6353" s="6" t="s">
        <v>242</v>
      </c>
      <c r="E6353" s="6" t="s">
        <v>1149</v>
      </c>
      <c r="F6353" s="6" t="s">
        <v>283</v>
      </c>
      <c r="G6353" s="6" t="s">
        <v>452</v>
      </c>
      <c r="H6353" s="10">
        <v>46074.0</v>
      </c>
      <c r="I6353" s="12">
        <v>4.0</v>
      </c>
      <c r="J6353" s="6" t="s">
        <v>178</v>
      </c>
    </row>
    <row r="6354" ht="22.5" customHeight="1">
      <c r="A6354" s="6" t="s">
        <v>23162</v>
      </c>
      <c r="B6354" s="6" t="s">
        <v>14335</v>
      </c>
      <c r="C6354" s="10">
        <v>46081.0</v>
      </c>
      <c r="D6354" s="6" t="s">
        <v>391</v>
      </c>
      <c r="E6354" s="6" t="s">
        <v>291</v>
      </c>
      <c r="F6354" s="6" t="s">
        <v>283</v>
      </c>
      <c r="G6354" s="6" t="s">
        <v>477</v>
      </c>
      <c r="H6354" s="11" t="s">
        <v>259</v>
      </c>
      <c r="I6354" s="12">
        <v>8.0</v>
      </c>
      <c r="J6354" s="6" t="s">
        <v>161</v>
      </c>
    </row>
    <row r="6355" ht="22.5" customHeight="1">
      <c r="A6355" s="6" t="s">
        <v>23163</v>
      </c>
      <c r="B6355" s="6" t="s">
        <v>14341</v>
      </c>
      <c r="C6355" s="10">
        <v>46042.0</v>
      </c>
      <c r="D6355" s="6" t="s">
        <v>436</v>
      </c>
      <c r="E6355" s="6" t="s">
        <v>812</v>
      </c>
      <c r="F6355" s="6" t="s">
        <v>283</v>
      </c>
      <c r="G6355" s="6" t="s">
        <v>369</v>
      </c>
      <c r="H6355" s="11" t="s">
        <v>259</v>
      </c>
      <c r="I6355" s="12">
        <v>12.0</v>
      </c>
      <c r="J6355" s="6" t="s">
        <v>178</v>
      </c>
    </row>
    <row r="6356" ht="22.5" customHeight="1">
      <c r="A6356" s="6" t="s">
        <v>23164</v>
      </c>
      <c r="B6356" s="6" t="s">
        <v>14341</v>
      </c>
      <c r="C6356" s="10">
        <v>46042.0</v>
      </c>
      <c r="D6356" s="6" t="s">
        <v>312</v>
      </c>
      <c r="E6356" s="6" t="s">
        <v>955</v>
      </c>
      <c r="F6356" s="6" t="s">
        <v>283</v>
      </c>
      <c r="G6356" s="6" t="s">
        <v>326</v>
      </c>
      <c r="H6356" s="10">
        <v>46044.0</v>
      </c>
      <c r="I6356" s="12">
        <v>5.0</v>
      </c>
      <c r="J6356" s="6" t="s">
        <v>161</v>
      </c>
    </row>
    <row r="6357" ht="22.5" customHeight="1">
      <c r="A6357" s="6" t="s">
        <v>23165</v>
      </c>
      <c r="B6357" s="6" t="s">
        <v>14341</v>
      </c>
      <c r="C6357" s="10">
        <v>46056.0</v>
      </c>
      <c r="D6357" s="6" t="s">
        <v>416</v>
      </c>
      <c r="E6357" s="6" t="s">
        <v>1700</v>
      </c>
      <c r="F6357" s="6" t="s">
        <v>439</v>
      </c>
      <c r="G6357" s="6" t="s">
        <v>494</v>
      </c>
      <c r="H6357" s="10">
        <v>46057.0</v>
      </c>
      <c r="I6357" s="12">
        <v>9.0</v>
      </c>
      <c r="J6357" s="6" t="s">
        <v>161</v>
      </c>
    </row>
    <row r="6358" ht="22.5" customHeight="1">
      <c r="A6358" s="6" t="s">
        <v>23166</v>
      </c>
      <c r="B6358" s="6" t="s">
        <v>14341</v>
      </c>
      <c r="C6358" s="10">
        <v>46054.0</v>
      </c>
      <c r="D6358" s="6" t="s">
        <v>436</v>
      </c>
      <c r="E6358" s="6" t="s">
        <v>1552</v>
      </c>
      <c r="F6358" s="6" t="s">
        <v>283</v>
      </c>
      <c r="G6358" s="6" t="s">
        <v>254</v>
      </c>
      <c r="H6358" s="10">
        <v>46055.0</v>
      </c>
      <c r="I6358" s="12">
        <v>7.0</v>
      </c>
      <c r="J6358" s="6" t="s">
        <v>178</v>
      </c>
    </row>
    <row r="6359" ht="22.5" customHeight="1">
      <c r="A6359" s="6" t="s">
        <v>23167</v>
      </c>
      <c r="B6359" s="6" t="s">
        <v>14341</v>
      </c>
      <c r="C6359" s="10">
        <v>46044.0</v>
      </c>
      <c r="D6359" s="6" t="s">
        <v>289</v>
      </c>
      <c r="E6359" s="6" t="s">
        <v>2881</v>
      </c>
      <c r="F6359" s="6" t="s">
        <v>283</v>
      </c>
      <c r="G6359" s="6" t="s">
        <v>452</v>
      </c>
      <c r="H6359" s="10">
        <v>46045.0</v>
      </c>
      <c r="I6359" s="12">
        <v>8.0</v>
      </c>
      <c r="J6359" s="6" t="s">
        <v>161</v>
      </c>
    </row>
    <row r="6360" ht="22.5" customHeight="1">
      <c r="A6360" s="6" t="s">
        <v>23168</v>
      </c>
      <c r="B6360" s="6" t="s">
        <v>14348</v>
      </c>
      <c r="C6360" s="10">
        <v>46048.0</v>
      </c>
      <c r="D6360" s="6" t="s">
        <v>242</v>
      </c>
      <c r="E6360" s="6" t="s">
        <v>438</v>
      </c>
      <c r="F6360" s="6" t="s">
        <v>283</v>
      </c>
      <c r="G6360" s="6" t="s">
        <v>369</v>
      </c>
      <c r="H6360" s="10">
        <v>46048.0</v>
      </c>
      <c r="I6360" s="12">
        <v>4.0</v>
      </c>
      <c r="J6360" s="6" t="s">
        <v>161</v>
      </c>
    </row>
    <row r="6361" ht="22.5" customHeight="1">
      <c r="A6361" s="6" t="s">
        <v>23169</v>
      </c>
      <c r="B6361" s="6" t="s">
        <v>14354</v>
      </c>
      <c r="C6361" s="10">
        <v>46044.0</v>
      </c>
      <c r="D6361" s="6" t="s">
        <v>289</v>
      </c>
      <c r="E6361" s="6" t="s">
        <v>618</v>
      </c>
      <c r="F6361" s="6" t="s">
        <v>112</v>
      </c>
      <c r="G6361" s="6" t="s">
        <v>297</v>
      </c>
      <c r="H6361" s="10">
        <v>46048.0</v>
      </c>
      <c r="I6361" s="12">
        <v>5.0</v>
      </c>
      <c r="J6361" s="6" t="s">
        <v>161</v>
      </c>
    </row>
    <row r="6362" ht="22.5" customHeight="1">
      <c r="A6362" s="6" t="s">
        <v>23170</v>
      </c>
      <c r="B6362" s="6" t="s">
        <v>14354</v>
      </c>
      <c r="C6362" s="10">
        <v>46049.0</v>
      </c>
      <c r="D6362" s="6" t="s">
        <v>289</v>
      </c>
      <c r="E6362" s="6" t="s">
        <v>833</v>
      </c>
      <c r="F6362" s="6" t="s">
        <v>112</v>
      </c>
      <c r="G6362" s="6" t="s">
        <v>326</v>
      </c>
      <c r="H6362" s="10">
        <v>46049.0</v>
      </c>
      <c r="I6362" s="12">
        <v>9.0</v>
      </c>
      <c r="J6362" s="6" t="s">
        <v>161</v>
      </c>
    </row>
    <row r="6363" ht="22.5" customHeight="1">
      <c r="A6363" s="6" t="s">
        <v>23171</v>
      </c>
      <c r="B6363" s="6" t="s">
        <v>14354</v>
      </c>
      <c r="C6363" s="10">
        <v>46047.0</v>
      </c>
      <c r="D6363" s="6" t="s">
        <v>391</v>
      </c>
      <c r="E6363" s="6" t="s">
        <v>2365</v>
      </c>
      <c r="F6363" s="6" t="s">
        <v>112</v>
      </c>
      <c r="G6363" s="6" t="s">
        <v>494</v>
      </c>
      <c r="H6363" s="10">
        <v>46047.0</v>
      </c>
      <c r="I6363" s="12">
        <v>7.0</v>
      </c>
      <c r="J6363" s="6" t="s">
        <v>161</v>
      </c>
    </row>
    <row r="6364" ht="22.5" customHeight="1">
      <c r="A6364" s="6" t="s">
        <v>23172</v>
      </c>
      <c r="B6364" s="6" t="s">
        <v>14354</v>
      </c>
      <c r="C6364" s="10">
        <v>46049.0</v>
      </c>
      <c r="D6364" s="6" t="s">
        <v>391</v>
      </c>
      <c r="E6364" s="6" t="s">
        <v>1055</v>
      </c>
      <c r="F6364" s="6" t="s">
        <v>249</v>
      </c>
      <c r="G6364" s="6" t="s">
        <v>494</v>
      </c>
      <c r="H6364" s="10">
        <v>46051.0</v>
      </c>
      <c r="I6364" s="12">
        <v>7.0</v>
      </c>
      <c r="J6364" s="6" t="s">
        <v>161</v>
      </c>
    </row>
    <row r="6365" ht="22.5" customHeight="1">
      <c r="A6365" s="6" t="s">
        <v>23173</v>
      </c>
      <c r="B6365" s="6" t="s">
        <v>14354</v>
      </c>
      <c r="C6365" s="10">
        <v>46048.0</v>
      </c>
      <c r="D6365" s="6" t="s">
        <v>391</v>
      </c>
      <c r="E6365" s="6" t="s">
        <v>833</v>
      </c>
      <c r="F6365" s="6" t="s">
        <v>112</v>
      </c>
      <c r="G6365" s="6" t="s">
        <v>369</v>
      </c>
      <c r="H6365" s="10">
        <v>46054.0</v>
      </c>
      <c r="I6365" s="12">
        <v>8.0</v>
      </c>
      <c r="J6365" s="6" t="s">
        <v>161</v>
      </c>
    </row>
    <row r="6366" ht="22.5" customHeight="1">
      <c r="A6366" s="6" t="s">
        <v>23174</v>
      </c>
      <c r="B6366" s="6" t="s">
        <v>14361</v>
      </c>
      <c r="C6366" s="10">
        <v>46050.0</v>
      </c>
      <c r="D6366" s="6" t="s">
        <v>436</v>
      </c>
      <c r="E6366" s="6" t="s">
        <v>1296</v>
      </c>
      <c r="F6366" s="6" t="s">
        <v>112</v>
      </c>
      <c r="G6366" s="6" t="s">
        <v>254</v>
      </c>
      <c r="H6366" s="10">
        <v>46056.0</v>
      </c>
      <c r="I6366" s="12">
        <v>11.0</v>
      </c>
      <c r="J6366" s="6" t="s">
        <v>178</v>
      </c>
    </row>
    <row r="6367" ht="22.5" customHeight="1">
      <c r="A6367" s="6" t="s">
        <v>23175</v>
      </c>
      <c r="B6367" s="6" t="s">
        <v>14361</v>
      </c>
      <c r="C6367" s="10">
        <v>46051.0</v>
      </c>
      <c r="D6367" s="6" t="s">
        <v>416</v>
      </c>
      <c r="E6367" s="6" t="s">
        <v>246</v>
      </c>
      <c r="F6367" s="6" t="s">
        <v>283</v>
      </c>
      <c r="G6367" s="6" t="s">
        <v>254</v>
      </c>
      <c r="H6367" s="10">
        <v>46058.0</v>
      </c>
      <c r="I6367" s="12">
        <v>8.0</v>
      </c>
      <c r="J6367" s="6" t="s">
        <v>161</v>
      </c>
    </row>
    <row r="6368" ht="22.5" customHeight="1">
      <c r="A6368" s="6" t="s">
        <v>23176</v>
      </c>
      <c r="B6368" s="6" t="s">
        <v>14361</v>
      </c>
      <c r="C6368" s="10">
        <v>46050.0</v>
      </c>
      <c r="D6368" s="6" t="s">
        <v>436</v>
      </c>
      <c r="E6368" s="6" t="s">
        <v>775</v>
      </c>
      <c r="F6368" s="6" t="s">
        <v>112</v>
      </c>
      <c r="G6368" s="6" t="s">
        <v>494</v>
      </c>
      <c r="H6368" s="10">
        <v>46054.0</v>
      </c>
      <c r="I6368" s="12">
        <v>10.0</v>
      </c>
      <c r="J6368" s="6" t="s">
        <v>178</v>
      </c>
    </row>
    <row r="6369" ht="22.5" customHeight="1">
      <c r="A6369" s="6" t="s">
        <v>23177</v>
      </c>
      <c r="B6369" s="6" t="s">
        <v>14361</v>
      </c>
      <c r="C6369" s="10">
        <v>46051.0</v>
      </c>
      <c r="D6369" s="6" t="s">
        <v>391</v>
      </c>
      <c r="E6369" s="6" t="s">
        <v>1626</v>
      </c>
      <c r="F6369" s="6" t="s">
        <v>112</v>
      </c>
      <c r="G6369" s="6" t="s">
        <v>458</v>
      </c>
      <c r="H6369" s="10">
        <v>46053.0</v>
      </c>
      <c r="I6369" s="12">
        <v>11.0</v>
      </c>
      <c r="J6369" s="6" t="s">
        <v>161</v>
      </c>
    </row>
    <row r="6370" ht="22.5" customHeight="1">
      <c r="A6370" s="6" t="s">
        <v>23178</v>
      </c>
      <c r="B6370" s="6" t="s">
        <v>14361</v>
      </c>
      <c r="C6370" s="10">
        <v>46039.0</v>
      </c>
      <c r="D6370" s="6" t="s">
        <v>436</v>
      </c>
      <c r="E6370" s="6" t="s">
        <v>1149</v>
      </c>
      <c r="F6370" s="6" t="s">
        <v>112</v>
      </c>
      <c r="G6370" s="6" t="s">
        <v>297</v>
      </c>
      <c r="H6370" s="11" t="s">
        <v>259</v>
      </c>
      <c r="I6370" s="12">
        <v>8.0</v>
      </c>
      <c r="J6370" s="6" t="s">
        <v>178</v>
      </c>
    </row>
    <row r="6371" ht="22.5" customHeight="1">
      <c r="A6371" s="6" t="s">
        <v>23179</v>
      </c>
      <c r="B6371" s="6" t="s">
        <v>14367</v>
      </c>
      <c r="C6371" s="10">
        <v>46049.0</v>
      </c>
      <c r="D6371" s="6" t="s">
        <v>312</v>
      </c>
      <c r="E6371" s="6" t="s">
        <v>1035</v>
      </c>
      <c r="F6371" s="6" t="s">
        <v>249</v>
      </c>
      <c r="G6371" s="6" t="s">
        <v>477</v>
      </c>
      <c r="H6371" s="10">
        <v>46053.0</v>
      </c>
      <c r="I6371" s="12">
        <v>7.0</v>
      </c>
      <c r="J6371" s="6" t="s">
        <v>161</v>
      </c>
    </row>
    <row r="6372" ht="22.5" customHeight="1">
      <c r="A6372" s="6" t="s">
        <v>23180</v>
      </c>
      <c r="B6372" s="6" t="s">
        <v>14367</v>
      </c>
      <c r="C6372" s="10">
        <v>46059.0</v>
      </c>
      <c r="D6372" s="6" t="s">
        <v>416</v>
      </c>
      <c r="E6372" s="6" t="s">
        <v>628</v>
      </c>
      <c r="F6372" s="6" t="s">
        <v>249</v>
      </c>
      <c r="G6372" s="6" t="s">
        <v>326</v>
      </c>
      <c r="H6372" s="10">
        <v>46061.0</v>
      </c>
      <c r="I6372" s="12">
        <v>8.0</v>
      </c>
      <c r="J6372" s="6" t="s">
        <v>161</v>
      </c>
    </row>
    <row r="6373" ht="22.5" customHeight="1">
      <c r="A6373" s="6" t="s">
        <v>23181</v>
      </c>
      <c r="B6373" s="6" t="s">
        <v>14367</v>
      </c>
      <c r="C6373" s="10">
        <v>46049.0</v>
      </c>
      <c r="D6373" s="6" t="s">
        <v>289</v>
      </c>
      <c r="E6373" s="6" t="s">
        <v>365</v>
      </c>
      <c r="F6373" s="6" t="s">
        <v>283</v>
      </c>
      <c r="G6373" s="6" t="s">
        <v>254</v>
      </c>
      <c r="H6373" s="10">
        <v>46049.0</v>
      </c>
      <c r="I6373" s="12">
        <v>9.0</v>
      </c>
      <c r="J6373" s="6" t="s">
        <v>161</v>
      </c>
    </row>
    <row r="6374" ht="22.5" customHeight="1">
      <c r="A6374" s="6" t="s">
        <v>23182</v>
      </c>
      <c r="B6374" s="6" t="s">
        <v>14374</v>
      </c>
      <c r="C6374" s="10">
        <v>46052.0</v>
      </c>
      <c r="D6374" s="6" t="s">
        <v>677</v>
      </c>
      <c r="E6374" s="6" t="s">
        <v>1969</v>
      </c>
      <c r="F6374" s="6" t="s">
        <v>112</v>
      </c>
      <c r="G6374" s="6" t="s">
        <v>458</v>
      </c>
      <c r="H6374" s="10">
        <v>46054.0</v>
      </c>
      <c r="I6374" s="12">
        <v>3.0</v>
      </c>
      <c r="J6374" s="6" t="s">
        <v>161</v>
      </c>
    </row>
    <row r="6375" ht="22.5" customHeight="1">
      <c r="A6375" s="6" t="s">
        <v>23183</v>
      </c>
      <c r="B6375" s="6" t="s">
        <v>14374</v>
      </c>
      <c r="C6375" s="10">
        <v>46050.0</v>
      </c>
      <c r="D6375" s="6" t="s">
        <v>312</v>
      </c>
      <c r="E6375" s="6" t="s">
        <v>658</v>
      </c>
      <c r="F6375" s="6" t="s">
        <v>249</v>
      </c>
      <c r="G6375" s="6" t="s">
        <v>494</v>
      </c>
      <c r="H6375" s="10">
        <v>46052.0</v>
      </c>
      <c r="I6375" s="12">
        <v>6.0</v>
      </c>
      <c r="J6375" s="6" t="s">
        <v>161</v>
      </c>
    </row>
    <row r="6376" ht="22.5" customHeight="1">
      <c r="A6376" s="6" t="s">
        <v>23184</v>
      </c>
      <c r="B6376" s="6" t="s">
        <v>14374</v>
      </c>
      <c r="C6376" s="10">
        <v>46056.0</v>
      </c>
      <c r="D6376" s="6" t="s">
        <v>677</v>
      </c>
      <c r="E6376" s="6" t="s">
        <v>450</v>
      </c>
      <c r="F6376" s="6" t="s">
        <v>439</v>
      </c>
      <c r="G6376" s="6" t="s">
        <v>326</v>
      </c>
      <c r="H6376" s="10">
        <v>46057.0</v>
      </c>
      <c r="I6376" s="12">
        <v>2.0</v>
      </c>
      <c r="J6376" s="6" t="s">
        <v>161</v>
      </c>
    </row>
    <row r="6377" ht="22.5" customHeight="1">
      <c r="A6377" s="6" t="s">
        <v>23185</v>
      </c>
      <c r="B6377" s="6" t="s">
        <v>14374</v>
      </c>
      <c r="C6377" s="10">
        <v>46061.0</v>
      </c>
      <c r="D6377" s="6" t="s">
        <v>242</v>
      </c>
      <c r="E6377" s="6" t="s">
        <v>731</v>
      </c>
      <c r="F6377" s="6" t="s">
        <v>439</v>
      </c>
      <c r="G6377" s="6" t="s">
        <v>452</v>
      </c>
      <c r="H6377" s="10">
        <v>46067.0</v>
      </c>
      <c r="I6377" s="12">
        <v>3.0</v>
      </c>
      <c r="J6377" s="6" t="s">
        <v>178</v>
      </c>
    </row>
    <row r="6378" ht="22.5" customHeight="1">
      <c r="A6378" s="6" t="s">
        <v>23186</v>
      </c>
      <c r="B6378" s="6" t="s">
        <v>14380</v>
      </c>
      <c r="C6378" s="10">
        <v>46063.0</v>
      </c>
      <c r="D6378" s="6" t="s">
        <v>391</v>
      </c>
      <c r="E6378" s="6" t="s">
        <v>1055</v>
      </c>
      <c r="F6378" s="6" t="s">
        <v>249</v>
      </c>
      <c r="G6378" s="6" t="s">
        <v>477</v>
      </c>
      <c r="H6378" s="10">
        <v>46065.0</v>
      </c>
      <c r="I6378" s="12">
        <v>10.0</v>
      </c>
      <c r="J6378" s="6" t="s">
        <v>161</v>
      </c>
    </row>
    <row r="6379" ht="22.5" customHeight="1">
      <c r="A6379" s="6" t="s">
        <v>23187</v>
      </c>
      <c r="B6379" s="6" t="s">
        <v>14387</v>
      </c>
      <c r="C6379" s="10">
        <v>46084.0</v>
      </c>
      <c r="D6379" s="6" t="s">
        <v>289</v>
      </c>
      <c r="E6379" s="6" t="s">
        <v>610</v>
      </c>
      <c r="F6379" s="6" t="s">
        <v>439</v>
      </c>
      <c r="G6379" s="6" t="s">
        <v>297</v>
      </c>
      <c r="H6379" s="10">
        <v>46087.0</v>
      </c>
      <c r="I6379" s="12">
        <v>6.0</v>
      </c>
      <c r="J6379" s="6" t="s">
        <v>161</v>
      </c>
    </row>
    <row r="6380" ht="22.5" customHeight="1">
      <c r="A6380" s="6" t="s">
        <v>23188</v>
      </c>
      <c r="B6380" s="6" t="s">
        <v>14387</v>
      </c>
      <c r="C6380" s="10">
        <v>46084.0</v>
      </c>
      <c r="D6380" s="6" t="s">
        <v>391</v>
      </c>
      <c r="E6380" s="6" t="s">
        <v>394</v>
      </c>
      <c r="F6380" s="6" t="s">
        <v>439</v>
      </c>
      <c r="G6380" s="6" t="s">
        <v>477</v>
      </c>
      <c r="H6380" s="10">
        <v>46090.0</v>
      </c>
      <c r="I6380" s="12">
        <v>6.0</v>
      </c>
      <c r="J6380" s="6" t="s">
        <v>161</v>
      </c>
    </row>
    <row r="6381" ht="22.5" customHeight="1">
      <c r="A6381" s="6" t="s">
        <v>23189</v>
      </c>
      <c r="B6381" s="6" t="s">
        <v>14387</v>
      </c>
      <c r="C6381" s="10">
        <v>46081.0</v>
      </c>
      <c r="D6381" s="6" t="s">
        <v>391</v>
      </c>
      <c r="E6381" s="6" t="s">
        <v>1296</v>
      </c>
      <c r="F6381" s="6" t="s">
        <v>112</v>
      </c>
      <c r="G6381" s="6" t="s">
        <v>326</v>
      </c>
      <c r="H6381" s="10">
        <v>46081.0</v>
      </c>
      <c r="I6381" s="12">
        <v>7.0</v>
      </c>
      <c r="J6381" s="6" t="s">
        <v>161</v>
      </c>
    </row>
    <row r="6382" ht="22.5" customHeight="1">
      <c r="A6382" s="6" t="s">
        <v>23190</v>
      </c>
      <c r="B6382" s="6" t="s">
        <v>14393</v>
      </c>
      <c r="C6382" s="10">
        <v>46077.0</v>
      </c>
      <c r="D6382" s="6" t="s">
        <v>677</v>
      </c>
      <c r="E6382" s="6" t="s">
        <v>1310</v>
      </c>
      <c r="F6382" s="6" t="s">
        <v>112</v>
      </c>
      <c r="G6382" s="6" t="s">
        <v>477</v>
      </c>
      <c r="H6382" s="10">
        <v>46079.0</v>
      </c>
      <c r="I6382" s="12">
        <v>4.0</v>
      </c>
      <c r="J6382" s="6" t="s">
        <v>161</v>
      </c>
    </row>
    <row r="6383" ht="22.5" customHeight="1">
      <c r="A6383" s="6" t="s">
        <v>23191</v>
      </c>
      <c r="B6383" s="6" t="s">
        <v>14393</v>
      </c>
      <c r="C6383" s="10">
        <v>46080.0</v>
      </c>
      <c r="D6383" s="6" t="s">
        <v>677</v>
      </c>
      <c r="E6383" s="6" t="s">
        <v>417</v>
      </c>
      <c r="F6383" s="6" t="s">
        <v>283</v>
      </c>
      <c r="G6383" s="6" t="s">
        <v>326</v>
      </c>
      <c r="H6383" s="10">
        <v>46082.0</v>
      </c>
      <c r="I6383" s="12">
        <v>4.0</v>
      </c>
      <c r="J6383" s="6" t="s">
        <v>161</v>
      </c>
    </row>
    <row r="6384" ht="22.5" customHeight="1">
      <c r="A6384" s="6" t="s">
        <v>23192</v>
      </c>
      <c r="B6384" s="6" t="s">
        <v>14393</v>
      </c>
      <c r="C6384" s="10">
        <v>46065.0</v>
      </c>
      <c r="D6384" s="6" t="s">
        <v>391</v>
      </c>
      <c r="E6384" s="6" t="s">
        <v>687</v>
      </c>
      <c r="F6384" s="6" t="s">
        <v>283</v>
      </c>
      <c r="G6384" s="6" t="s">
        <v>297</v>
      </c>
      <c r="H6384" s="10">
        <v>46070.0</v>
      </c>
      <c r="I6384" s="12">
        <v>6.0</v>
      </c>
      <c r="J6384" s="6" t="s">
        <v>161</v>
      </c>
    </row>
    <row r="6385" ht="22.5" customHeight="1">
      <c r="A6385" s="6" t="s">
        <v>23193</v>
      </c>
      <c r="B6385" s="6" t="s">
        <v>14400</v>
      </c>
      <c r="C6385" s="10">
        <v>46048.0</v>
      </c>
      <c r="D6385" s="6" t="s">
        <v>391</v>
      </c>
      <c r="E6385" s="6" t="s">
        <v>1570</v>
      </c>
      <c r="F6385" s="6" t="s">
        <v>112</v>
      </c>
      <c r="G6385" s="6" t="s">
        <v>297</v>
      </c>
      <c r="H6385" s="10">
        <v>46052.0</v>
      </c>
      <c r="I6385" s="12">
        <v>11.0</v>
      </c>
      <c r="J6385" s="6" t="s">
        <v>161</v>
      </c>
    </row>
    <row r="6386" ht="22.5" customHeight="1">
      <c r="A6386" s="6" t="s">
        <v>23194</v>
      </c>
      <c r="B6386" s="6" t="s">
        <v>14407</v>
      </c>
      <c r="C6386" s="10">
        <v>46052.0</v>
      </c>
      <c r="D6386" s="6" t="s">
        <v>289</v>
      </c>
      <c r="E6386" s="6" t="s">
        <v>320</v>
      </c>
      <c r="F6386" s="6" t="s">
        <v>249</v>
      </c>
      <c r="G6386" s="6" t="s">
        <v>477</v>
      </c>
      <c r="H6386" s="10">
        <v>46057.0</v>
      </c>
      <c r="I6386" s="12">
        <v>6.0</v>
      </c>
      <c r="J6386" s="6" t="s">
        <v>161</v>
      </c>
    </row>
    <row r="6387" ht="22.5" customHeight="1">
      <c r="A6387" s="6" t="s">
        <v>23195</v>
      </c>
      <c r="B6387" s="6" t="s">
        <v>14407</v>
      </c>
      <c r="C6387" s="10">
        <v>46047.0</v>
      </c>
      <c r="D6387" s="6" t="s">
        <v>242</v>
      </c>
      <c r="E6387" s="6" t="s">
        <v>394</v>
      </c>
      <c r="F6387" s="6" t="s">
        <v>439</v>
      </c>
      <c r="G6387" s="6" t="s">
        <v>458</v>
      </c>
      <c r="H6387" s="11" t="s">
        <v>259</v>
      </c>
      <c r="I6387" s="12">
        <v>3.0</v>
      </c>
      <c r="J6387" s="6" t="s">
        <v>178</v>
      </c>
    </row>
    <row r="6388" ht="22.5" customHeight="1">
      <c r="A6388" s="6" t="s">
        <v>23196</v>
      </c>
      <c r="B6388" s="6" t="s">
        <v>14407</v>
      </c>
      <c r="C6388" s="10">
        <v>46051.0</v>
      </c>
      <c r="D6388" s="6" t="s">
        <v>289</v>
      </c>
      <c r="E6388" s="6" t="s">
        <v>716</v>
      </c>
      <c r="F6388" s="6" t="s">
        <v>249</v>
      </c>
      <c r="G6388" s="6" t="s">
        <v>494</v>
      </c>
      <c r="H6388" s="11" t="s">
        <v>259</v>
      </c>
      <c r="I6388" s="12">
        <v>7.0</v>
      </c>
      <c r="J6388" s="6" t="s">
        <v>161</v>
      </c>
    </row>
    <row r="6389" ht="22.5" customHeight="1">
      <c r="A6389" s="6" t="s">
        <v>23197</v>
      </c>
      <c r="B6389" s="6" t="s">
        <v>14407</v>
      </c>
      <c r="C6389" s="10">
        <v>46048.0</v>
      </c>
      <c r="D6389" s="6" t="s">
        <v>242</v>
      </c>
      <c r="E6389" s="6" t="s">
        <v>1570</v>
      </c>
      <c r="F6389" s="6" t="s">
        <v>112</v>
      </c>
      <c r="G6389" s="6" t="s">
        <v>458</v>
      </c>
      <c r="H6389" s="10">
        <v>46053.0</v>
      </c>
      <c r="I6389" s="12">
        <v>6.0</v>
      </c>
      <c r="J6389" s="6" t="s">
        <v>161</v>
      </c>
    </row>
    <row r="6390" ht="22.5" customHeight="1">
      <c r="A6390" s="6" t="s">
        <v>23198</v>
      </c>
      <c r="B6390" s="6" t="s">
        <v>14407</v>
      </c>
      <c r="C6390" s="10">
        <v>46050.0</v>
      </c>
      <c r="D6390" s="6" t="s">
        <v>677</v>
      </c>
      <c r="E6390" s="6" t="s">
        <v>365</v>
      </c>
      <c r="F6390" s="6" t="s">
        <v>283</v>
      </c>
      <c r="G6390" s="6" t="s">
        <v>458</v>
      </c>
      <c r="H6390" s="10">
        <v>46056.0</v>
      </c>
      <c r="I6390" s="12">
        <v>3.0</v>
      </c>
      <c r="J6390" s="6" t="s">
        <v>161</v>
      </c>
    </row>
    <row r="6391" ht="22.5" customHeight="1">
      <c r="A6391" s="6" t="s">
        <v>23199</v>
      </c>
      <c r="B6391" s="6" t="s">
        <v>14413</v>
      </c>
      <c r="C6391" s="10">
        <v>46078.0</v>
      </c>
      <c r="D6391" s="6" t="s">
        <v>289</v>
      </c>
      <c r="E6391" s="6" t="s">
        <v>731</v>
      </c>
      <c r="F6391" s="6" t="s">
        <v>283</v>
      </c>
      <c r="G6391" s="6" t="s">
        <v>297</v>
      </c>
      <c r="H6391" s="10">
        <v>46084.0</v>
      </c>
      <c r="I6391" s="12">
        <v>10.0</v>
      </c>
      <c r="J6391" s="6" t="s">
        <v>161</v>
      </c>
    </row>
    <row r="6392" ht="22.5" customHeight="1">
      <c r="A6392" s="6" t="s">
        <v>23200</v>
      </c>
      <c r="B6392" s="6" t="s">
        <v>14413</v>
      </c>
      <c r="C6392" s="10">
        <v>46067.0</v>
      </c>
      <c r="D6392" s="6" t="s">
        <v>312</v>
      </c>
      <c r="E6392" s="6" t="s">
        <v>658</v>
      </c>
      <c r="F6392" s="6" t="s">
        <v>283</v>
      </c>
      <c r="G6392" s="6" t="s">
        <v>458</v>
      </c>
      <c r="H6392" s="10">
        <v>46068.0</v>
      </c>
      <c r="I6392" s="12">
        <v>4.0</v>
      </c>
      <c r="J6392" s="6" t="s">
        <v>161</v>
      </c>
    </row>
    <row r="6393" ht="22.5" customHeight="1">
      <c r="A6393" s="6" t="s">
        <v>23201</v>
      </c>
      <c r="B6393" s="6" t="s">
        <v>14419</v>
      </c>
      <c r="C6393" s="10">
        <v>46035.0</v>
      </c>
      <c r="D6393" s="6" t="s">
        <v>242</v>
      </c>
      <c r="E6393" s="6" t="s">
        <v>628</v>
      </c>
      <c r="F6393" s="6" t="s">
        <v>283</v>
      </c>
      <c r="G6393" s="6" t="s">
        <v>494</v>
      </c>
      <c r="H6393" s="10">
        <v>46036.0</v>
      </c>
      <c r="I6393" s="12">
        <v>4.0</v>
      </c>
      <c r="J6393" s="6" t="s">
        <v>178</v>
      </c>
    </row>
    <row r="6394" ht="22.5" customHeight="1">
      <c r="A6394" s="6" t="s">
        <v>23202</v>
      </c>
      <c r="B6394" s="6" t="s">
        <v>14419</v>
      </c>
      <c r="C6394" s="10">
        <v>46049.0</v>
      </c>
      <c r="D6394" s="6" t="s">
        <v>242</v>
      </c>
      <c r="E6394" s="6" t="s">
        <v>1386</v>
      </c>
      <c r="F6394" s="6" t="s">
        <v>249</v>
      </c>
      <c r="G6394" s="6" t="s">
        <v>477</v>
      </c>
      <c r="H6394" s="10">
        <v>46054.0</v>
      </c>
      <c r="I6394" s="12">
        <v>5.0</v>
      </c>
      <c r="J6394" s="6" t="s">
        <v>161</v>
      </c>
    </row>
    <row r="6395" ht="22.5" customHeight="1">
      <c r="A6395" s="6" t="s">
        <v>23203</v>
      </c>
      <c r="B6395" s="6" t="s">
        <v>14419</v>
      </c>
      <c r="C6395" s="10">
        <v>46045.0</v>
      </c>
      <c r="D6395" s="6" t="s">
        <v>677</v>
      </c>
      <c r="E6395" s="6" t="s">
        <v>1035</v>
      </c>
      <c r="F6395" s="6" t="s">
        <v>283</v>
      </c>
      <c r="G6395" s="6" t="s">
        <v>369</v>
      </c>
      <c r="H6395" s="10">
        <v>46048.0</v>
      </c>
      <c r="I6395" s="12">
        <v>2.0</v>
      </c>
      <c r="J6395" s="6" t="s">
        <v>161</v>
      </c>
    </row>
    <row r="6396" ht="22.5" customHeight="1">
      <c r="A6396" s="6" t="s">
        <v>23204</v>
      </c>
      <c r="B6396" s="6" t="s">
        <v>14419</v>
      </c>
      <c r="C6396" s="10">
        <v>46052.0</v>
      </c>
      <c r="D6396" s="6" t="s">
        <v>312</v>
      </c>
      <c r="E6396" s="6" t="s">
        <v>628</v>
      </c>
      <c r="F6396" s="6" t="s">
        <v>439</v>
      </c>
      <c r="G6396" s="6" t="s">
        <v>326</v>
      </c>
      <c r="H6396" s="10">
        <v>46053.0</v>
      </c>
      <c r="I6396" s="12">
        <v>5.0</v>
      </c>
      <c r="J6396" s="6" t="s">
        <v>161</v>
      </c>
    </row>
    <row r="6397" ht="22.5" customHeight="1">
      <c r="A6397" s="6" t="s">
        <v>23205</v>
      </c>
      <c r="B6397" s="6" t="s">
        <v>14425</v>
      </c>
      <c r="C6397" s="10">
        <v>46078.0</v>
      </c>
      <c r="D6397" s="6" t="s">
        <v>391</v>
      </c>
      <c r="E6397" s="6" t="s">
        <v>1035</v>
      </c>
      <c r="F6397" s="6" t="s">
        <v>439</v>
      </c>
      <c r="G6397" s="6" t="s">
        <v>494</v>
      </c>
      <c r="H6397" s="10">
        <v>46085.0</v>
      </c>
      <c r="I6397" s="12">
        <v>10.0</v>
      </c>
      <c r="J6397" s="6" t="s">
        <v>161</v>
      </c>
    </row>
    <row r="6398" ht="22.5" customHeight="1">
      <c r="A6398" s="6" t="s">
        <v>23206</v>
      </c>
      <c r="B6398" s="6" t="s">
        <v>14425</v>
      </c>
      <c r="C6398" s="10">
        <v>46072.0</v>
      </c>
      <c r="D6398" s="6" t="s">
        <v>391</v>
      </c>
      <c r="E6398" s="6" t="s">
        <v>731</v>
      </c>
      <c r="F6398" s="6" t="s">
        <v>439</v>
      </c>
      <c r="G6398" s="6" t="s">
        <v>369</v>
      </c>
      <c r="H6398" s="10">
        <v>46079.0</v>
      </c>
      <c r="I6398" s="12">
        <v>11.0</v>
      </c>
      <c r="J6398" s="6" t="s">
        <v>161</v>
      </c>
    </row>
    <row r="6399" ht="22.5" customHeight="1">
      <c r="A6399" s="6" t="s">
        <v>23207</v>
      </c>
      <c r="B6399" s="6" t="s">
        <v>14425</v>
      </c>
      <c r="C6399" s="10">
        <v>46081.0</v>
      </c>
      <c r="D6399" s="6" t="s">
        <v>391</v>
      </c>
      <c r="E6399" s="6" t="s">
        <v>1552</v>
      </c>
      <c r="F6399" s="6" t="s">
        <v>283</v>
      </c>
      <c r="G6399" s="6" t="s">
        <v>369</v>
      </c>
      <c r="H6399" s="10">
        <v>46088.0</v>
      </c>
      <c r="I6399" s="12">
        <v>9.0</v>
      </c>
      <c r="J6399" s="6" t="s">
        <v>161</v>
      </c>
    </row>
    <row r="6400" ht="22.5" customHeight="1">
      <c r="A6400" s="6" t="s">
        <v>23208</v>
      </c>
      <c r="B6400" s="6" t="s">
        <v>14425</v>
      </c>
      <c r="C6400" s="10">
        <v>46068.0</v>
      </c>
      <c r="D6400" s="6" t="s">
        <v>242</v>
      </c>
      <c r="E6400" s="6" t="s">
        <v>1570</v>
      </c>
      <c r="F6400" s="6" t="s">
        <v>112</v>
      </c>
      <c r="G6400" s="6" t="s">
        <v>494</v>
      </c>
      <c r="H6400" s="10">
        <v>46074.0</v>
      </c>
      <c r="I6400" s="12">
        <v>6.0</v>
      </c>
      <c r="J6400" s="6" t="s">
        <v>161</v>
      </c>
    </row>
    <row r="6401" ht="22.5" customHeight="1">
      <c r="A6401" s="6" t="s">
        <v>23209</v>
      </c>
      <c r="B6401" s="6" t="s">
        <v>14432</v>
      </c>
      <c r="C6401" s="10">
        <v>46039.0</v>
      </c>
      <c r="D6401" s="6" t="s">
        <v>416</v>
      </c>
      <c r="E6401" s="6" t="s">
        <v>1241</v>
      </c>
      <c r="F6401" s="6" t="s">
        <v>439</v>
      </c>
      <c r="G6401" s="6" t="s">
        <v>458</v>
      </c>
      <c r="H6401" s="11" t="s">
        <v>259</v>
      </c>
      <c r="I6401" s="12">
        <v>11.0</v>
      </c>
      <c r="J6401" s="6" t="s">
        <v>161</v>
      </c>
    </row>
    <row r="6402" ht="22.5" customHeight="1">
      <c r="A6402" s="6" t="s">
        <v>23210</v>
      </c>
      <c r="B6402" s="6" t="s">
        <v>14432</v>
      </c>
      <c r="C6402" s="10">
        <v>46050.0</v>
      </c>
      <c r="D6402" s="6" t="s">
        <v>436</v>
      </c>
      <c r="E6402" s="6" t="s">
        <v>512</v>
      </c>
      <c r="F6402" s="6" t="s">
        <v>439</v>
      </c>
      <c r="G6402" s="6" t="s">
        <v>297</v>
      </c>
      <c r="H6402" s="10">
        <v>46053.0</v>
      </c>
      <c r="I6402" s="12">
        <v>12.0</v>
      </c>
      <c r="J6402" s="6" t="s">
        <v>161</v>
      </c>
    </row>
    <row r="6403" ht="22.5" customHeight="1">
      <c r="A6403" s="6" t="s">
        <v>23211</v>
      </c>
      <c r="B6403" s="6" t="s">
        <v>14432</v>
      </c>
      <c r="C6403" s="10">
        <v>46053.0</v>
      </c>
      <c r="D6403" s="6" t="s">
        <v>416</v>
      </c>
      <c r="E6403" s="6" t="s">
        <v>291</v>
      </c>
      <c r="F6403" s="6" t="s">
        <v>112</v>
      </c>
      <c r="G6403" s="6" t="s">
        <v>297</v>
      </c>
      <c r="H6403" s="10">
        <v>46055.0</v>
      </c>
      <c r="I6403" s="12">
        <v>13.0</v>
      </c>
      <c r="J6403" s="6" t="s">
        <v>161</v>
      </c>
    </row>
    <row r="6404" ht="22.5" customHeight="1">
      <c r="A6404" s="6" t="s">
        <v>23212</v>
      </c>
      <c r="B6404" s="6" t="s">
        <v>14432</v>
      </c>
      <c r="C6404" s="10">
        <v>46050.0</v>
      </c>
      <c r="D6404" s="6" t="s">
        <v>391</v>
      </c>
      <c r="E6404" s="6" t="s">
        <v>466</v>
      </c>
      <c r="F6404" s="6" t="s">
        <v>439</v>
      </c>
      <c r="G6404" s="6" t="s">
        <v>477</v>
      </c>
      <c r="H6404" s="10">
        <v>46056.0</v>
      </c>
      <c r="I6404" s="12">
        <v>10.0</v>
      </c>
      <c r="J6404" s="6" t="s">
        <v>161</v>
      </c>
    </row>
    <row r="6405" ht="22.5" customHeight="1">
      <c r="A6405" s="6" t="s">
        <v>23213</v>
      </c>
      <c r="B6405" s="6" t="s">
        <v>14432</v>
      </c>
      <c r="C6405" s="10">
        <v>46052.0</v>
      </c>
      <c r="D6405" s="6" t="s">
        <v>312</v>
      </c>
      <c r="E6405" s="6" t="s">
        <v>896</v>
      </c>
      <c r="F6405" s="6" t="s">
        <v>112</v>
      </c>
      <c r="G6405" s="6" t="s">
        <v>326</v>
      </c>
      <c r="H6405" s="10">
        <v>46056.0</v>
      </c>
      <c r="I6405" s="12">
        <v>5.0</v>
      </c>
      <c r="J6405" s="6" t="s">
        <v>161</v>
      </c>
    </row>
    <row r="6406" ht="22.5" customHeight="1">
      <c r="A6406" s="6" t="s">
        <v>23214</v>
      </c>
      <c r="B6406" s="6" t="s">
        <v>14438</v>
      </c>
      <c r="C6406" s="10">
        <v>46062.0</v>
      </c>
      <c r="D6406" s="6" t="s">
        <v>677</v>
      </c>
      <c r="E6406" s="6" t="s">
        <v>1122</v>
      </c>
      <c r="F6406" s="6" t="s">
        <v>283</v>
      </c>
      <c r="G6406" s="6" t="s">
        <v>369</v>
      </c>
      <c r="H6406" s="11" t="s">
        <v>259</v>
      </c>
      <c r="I6406" s="12">
        <v>2.0</v>
      </c>
      <c r="J6406" s="6" t="s">
        <v>161</v>
      </c>
    </row>
    <row r="6407" ht="22.5" customHeight="1">
      <c r="A6407" s="6" t="s">
        <v>23215</v>
      </c>
      <c r="B6407" s="6" t="s">
        <v>14438</v>
      </c>
      <c r="C6407" s="10">
        <v>46070.0</v>
      </c>
      <c r="D6407" s="6" t="s">
        <v>416</v>
      </c>
      <c r="E6407" s="6" t="s">
        <v>291</v>
      </c>
      <c r="F6407" s="6" t="s">
        <v>439</v>
      </c>
      <c r="G6407" s="6" t="s">
        <v>452</v>
      </c>
      <c r="H6407" s="10">
        <v>46073.0</v>
      </c>
      <c r="I6407" s="12">
        <v>13.0</v>
      </c>
      <c r="J6407" s="6" t="s">
        <v>161</v>
      </c>
    </row>
    <row r="6408" ht="22.5" customHeight="1">
      <c r="A6408" s="6" t="s">
        <v>23216</v>
      </c>
      <c r="B6408" s="6" t="s">
        <v>14438</v>
      </c>
      <c r="C6408" s="10">
        <v>46063.0</v>
      </c>
      <c r="D6408" s="6" t="s">
        <v>416</v>
      </c>
      <c r="E6408" s="6" t="s">
        <v>775</v>
      </c>
      <c r="F6408" s="6" t="s">
        <v>283</v>
      </c>
      <c r="G6408" s="6" t="s">
        <v>458</v>
      </c>
      <c r="H6408" s="11" t="s">
        <v>259</v>
      </c>
      <c r="I6408" s="12">
        <v>14.0</v>
      </c>
      <c r="J6408" s="6" t="s">
        <v>161</v>
      </c>
    </row>
    <row r="6409" ht="22.5" customHeight="1">
      <c r="A6409" s="6" t="s">
        <v>23217</v>
      </c>
      <c r="B6409" s="6" t="s">
        <v>14444</v>
      </c>
      <c r="C6409" s="10">
        <v>46076.0</v>
      </c>
      <c r="D6409" s="6" t="s">
        <v>242</v>
      </c>
      <c r="E6409" s="6" t="s">
        <v>1386</v>
      </c>
      <c r="F6409" s="6" t="s">
        <v>283</v>
      </c>
      <c r="G6409" s="6" t="s">
        <v>254</v>
      </c>
      <c r="H6409" s="11" t="s">
        <v>259</v>
      </c>
      <c r="I6409" s="12">
        <v>4.0</v>
      </c>
      <c r="J6409" s="6" t="s">
        <v>178</v>
      </c>
    </row>
    <row r="6410" ht="22.5" customHeight="1">
      <c r="A6410" s="6" t="s">
        <v>23218</v>
      </c>
      <c r="B6410" s="6" t="s">
        <v>14444</v>
      </c>
      <c r="C6410" s="10">
        <v>46075.0</v>
      </c>
      <c r="D6410" s="6" t="s">
        <v>289</v>
      </c>
      <c r="E6410" s="6" t="s">
        <v>1741</v>
      </c>
      <c r="F6410" s="6" t="s">
        <v>439</v>
      </c>
      <c r="G6410" s="6" t="s">
        <v>297</v>
      </c>
      <c r="H6410" s="10">
        <v>46081.0</v>
      </c>
      <c r="I6410" s="12">
        <v>9.0</v>
      </c>
      <c r="J6410" s="6" t="s">
        <v>161</v>
      </c>
    </row>
    <row r="6411" ht="22.5" customHeight="1">
      <c r="A6411" s="6" t="s">
        <v>23219</v>
      </c>
      <c r="B6411" s="6" t="s">
        <v>14451</v>
      </c>
      <c r="C6411" s="10">
        <v>46069.0</v>
      </c>
      <c r="D6411" s="6" t="s">
        <v>416</v>
      </c>
      <c r="E6411" s="6" t="s">
        <v>1600</v>
      </c>
      <c r="F6411" s="6" t="s">
        <v>112</v>
      </c>
      <c r="G6411" s="6" t="s">
        <v>254</v>
      </c>
      <c r="H6411" s="11" t="s">
        <v>259</v>
      </c>
      <c r="I6411" s="12">
        <v>10.0</v>
      </c>
      <c r="J6411" s="6" t="s">
        <v>161</v>
      </c>
    </row>
    <row r="6412" ht="22.5" customHeight="1">
      <c r="A6412" s="6" t="s">
        <v>23220</v>
      </c>
      <c r="B6412" s="6" t="s">
        <v>14451</v>
      </c>
      <c r="C6412" s="10">
        <v>46087.0</v>
      </c>
      <c r="D6412" s="6" t="s">
        <v>677</v>
      </c>
      <c r="E6412" s="6" t="s">
        <v>1280</v>
      </c>
      <c r="F6412" s="6" t="s">
        <v>439</v>
      </c>
      <c r="G6412" s="6" t="s">
        <v>477</v>
      </c>
      <c r="H6412" s="10">
        <v>46089.0</v>
      </c>
      <c r="I6412" s="12">
        <v>2.0</v>
      </c>
      <c r="J6412" s="6" t="s">
        <v>161</v>
      </c>
    </row>
    <row r="6413" ht="22.5" customHeight="1">
      <c r="A6413" s="6" t="s">
        <v>23221</v>
      </c>
      <c r="B6413" s="6" t="s">
        <v>14451</v>
      </c>
      <c r="C6413" s="10">
        <v>46074.0</v>
      </c>
      <c r="D6413" s="6" t="s">
        <v>312</v>
      </c>
      <c r="E6413" s="6" t="s">
        <v>417</v>
      </c>
      <c r="F6413" s="6" t="s">
        <v>112</v>
      </c>
      <c r="G6413" s="6" t="s">
        <v>326</v>
      </c>
      <c r="H6413" s="10">
        <v>46075.0</v>
      </c>
      <c r="I6413" s="12">
        <v>4.0</v>
      </c>
      <c r="J6413" s="6" t="s">
        <v>161</v>
      </c>
    </row>
    <row r="6414" ht="22.5" customHeight="1">
      <c r="A6414" s="6" t="s">
        <v>23222</v>
      </c>
      <c r="B6414" s="6" t="s">
        <v>14457</v>
      </c>
      <c r="C6414" s="10">
        <v>46060.0</v>
      </c>
      <c r="D6414" s="6" t="s">
        <v>391</v>
      </c>
      <c r="E6414" s="6" t="s">
        <v>512</v>
      </c>
      <c r="F6414" s="6" t="s">
        <v>439</v>
      </c>
      <c r="G6414" s="6" t="s">
        <v>326</v>
      </c>
      <c r="H6414" s="11" t="s">
        <v>259</v>
      </c>
      <c r="I6414" s="12">
        <v>9.0</v>
      </c>
      <c r="J6414" s="6" t="s">
        <v>161</v>
      </c>
    </row>
    <row r="6415" ht="22.5" customHeight="1">
      <c r="A6415" s="6" t="s">
        <v>23223</v>
      </c>
      <c r="B6415" s="6" t="s">
        <v>14457</v>
      </c>
      <c r="C6415" s="10">
        <v>46053.0</v>
      </c>
      <c r="D6415" s="6" t="s">
        <v>436</v>
      </c>
      <c r="E6415" s="6" t="s">
        <v>1570</v>
      </c>
      <c r="F6415" s="6" t="s">
        <v>112</v>
      </c>
      <c r="G6415" s="6" t="s">
        <v>494</v>
      </c>
      <c r="H6415" s="10">
        <v>46055.0</v>
      </c>
      <c r="I6415" s="12">
        <v>12.0</v>
      </c>
      <c r="J6415" s="6" t="s">
        <v>178</v>
      </c>
    </row>
    <row r="6416" ht="22.5" customHeight="1">
      <c r="A6416" s="6" t="s">
        <v>23224</v>
      </c>
      <c r="B6416" s="6" t="s">
        <v>14463</v>
      </c>
      <c r="C6416" s="10">
        <v>46079.0</v>
      </c>
      <c r="D6416" s="6" t="s">
        <v>436</v>
      </c>
      <c r="E6416" s="6" t="s">
        <v>687</v>
      </c>
      <c r="F6416" s="6" t="s">
        <v>249</v>
      </c>
      <c r="G6416" s="6" t="s">
        <v>494</v>
      </c>
      <c r="H6416" s="10">
        <v>46084.0</v>
      </c>
      <c r="I6416" s="12">
        <v>6.0</v>
      </c>
      <c r="J6416" s="6" t="s">
        <v>178</v>
      </c>
    </row>
    <row r="6417" ht="22.5" customHeight="1">
      <c r="A6417" s="6" t="s">
        <v>23225</v>
      </c>
      <c r="B6417" s="6" t="s">
        <v>14463</v>
      </c>
      <c r="C6417" s="10">
        <v>46061.0</v>
      </c>
      <c r="D6417" s="6" t="s">
        <v>242</v>
      </c>
      <c r="E6417" s="6" t="s">
        <v>695</v>
      </c>
      <c r="F6417" s="6" t="s">
        <v>283</v>
      </c>
      <c r="G6417" s="6" t="s">
        <v>326</v>
      </c>
      <c r="H6417" s="10">
        <v>46062.0</v>
      </c>
      <c r="I6417" s="12">
        <v>3.0</v>
      </c>
      <c r="J6417" s="6" t="s">
        <v>178</v>
      </c>
    </row>
    <row r="6418" ht="22.5" customHeight="1">
      <c r="A6418" s="6" t="s">
        <v>23226</v>
      </c>
      <c r="B6418" s="6" t="s">
        <v>14463</v>
      </c>
      <c r="C6418" s="10">
        <v>46069.0</v>
      </c>
      <c r="D6418" s="6" t="s">
        <v>312</v>
      </c>
      <c r="E6418" s="6" t="s">
        <v>1546</v>
      </c>
      <c r="F6418" s="6" t="s">
        <v>439</v>
      </c>
      <c r="G6418" s="6" t="s">
        <v>297</v>
      </c>
      <c r="H6418" s="10">
        <v>46076.0</v>
      </c>
      <c r="I6418" s="12">
        <v>5.0</v>
      </c>
      <c r="J6418" s="6" t="s">
        <v>161</v>
      </c>
    </row>
    <row r="6419" ht="22.5" customHeight="1">
      <c r="A6419" s="6" t="s">
        <v>23227</v>
      </c>
      <c r="B6419" s="6" t="s">
        <v>14463</v>
      </c>
      <c r="C6419" s="10">
        <v>46081.0</v>
      </c>
      <c r="D6419" s="6" t="s">
        <v>391</v>
      </c>
      <c r="E6419" s="6" t="s">
        <v>731</v>
      </c>
      <c r="F6419" s="6" t="s">
        <v>112</v>
      </c>
      <c r="G6419" s="6" t="s">
        <v>452</v>
      </c>
      <c r="H6419" s="10">
        <v>46082.0</v>
      </c>
      <c r="I6419" s="12">
        <v>10.0</v>
      </c>
      <c r="J6419" s="6" t="s">
        <v>161</v>
      </c>
    </row>
    <row r="6420" ht="22.5" customHeight="1">
      <c r="A6420" s="6" t="s">
        <v>23228</v>
      </c>
      <c r="B6420" s="6" t="s">
        <v>14469</v>
      </c>
      <c r="C6420" s="10">
        <v>46045.0</v>
      </c>
      <c r="D6420" s="6" t="s">
        <v>242</v>
      </c>
      <c r="E6420" s="6" t="s">
        <v>610</v>
      </c>
      <c r="F6420" s="6" t="s">
        <v>439</v>
      </c>
      <c r="G6420" s="6" t="s">
        <v>369</v>
      </c>
      <c r="H6420" s="10">
        <v>46050.0</v>
      </c>
      <c r="I6420" s="12">
        <v>4.0</v>
      </c>
      <c r="J6420" s="6" t="s">
        <v>161</v>
      </c>
    </row>
    <row r="6421" ht="22.5" customHeight="1">
      <c r="A6421" s="6" t="s">
        <v>23229</v>
      </c>
      <c r="B6421" s="6" t="s">
        <v>14469</v>
      </c>
      <c r="C6421" s="10">
        <v>46037.0</v>
      </c>
      <c r="D6421" s="6" t="s">
        <v>289</v>
      </c>
      <c r="E6421" s="6" t="s">
        <v>417</v>
      </c>
      <c r="F6421" s="6" t="s">
        <v>249</v>
      </c>
      <c r="G6421" s="6" t="s">
        <v>297</v>
      </c>
      <c r="H6421" s="11" t="s">
        <v>259</v>
      </c>
      <c r="I6421" s="12">
        <v>7.0</v>
      </c>
      <c r="J6421" s="6" t="s">
        <v>161</v>
      </c>
    </row>
    <row r="6422" ht="22.5" customHeight="1">
      <c r="A6422" s="6" t="s">
        <v>23230</v>
      </c>
      <c r="B6422" s="6" t="s">
        <v>14469</v>
      </c>
      <c r="C6422" s="10">
        <v>46031.0</v>
      </c>
      <c r="D6422" s="6" t="s">
        <v>677</v>
      </c>
      <c r="E6422" s="6" t="s">
        <v>291</v>
      </c>
      <c r="F6422" s="6" t="s">
        <v>439</v>
      </c>
      <c r="G6422" s="6" t="s">
        <v>452</v>
      </c>
      <c r="H6422" s="10">
        <v>46031.0</v>
      </c>
      <c r="I6422" s="12">
        <v>4.0</v>
      </c>
      <c r="J6422" s="6" t="s">
        <v>161</v>
      </c>
    </row>
    <row r="6423" ht="22.5" customHeight="1">
      <c r="A6423" s="6" t="s">
        <v>23231</v>
      </c>
      <c r="B6423" s="6" t="s">
        <v>14469</v>
      </c>
      <c r="C6423" s="10">
        <v>46044.0</v>
      </c>
      <c r="D6423" s="6" t="s">
        <v>391</v>
      </c>
      <c r="E6423" s="6" t="s">
        <v>833</v>
      </c>
      <c r="F6423" s="6" t="s">
        <v>249</v>
      </c>
      <c r="G6423" s="6" t="s">
        <v>452</v>
      </c>
      <c r="H6423" s="10">
        <v>46047.0</v>
      </c>
      <c r="I6423" s="12">
        <v>10.0</v>
      </c>
      <c r="J6423" s="6" t="s">
        <v>161</v>
      </c>
    </row>
    <row r="6424" ht="22.5" customHeight="1">
      <c r="A6424" s="6" t="s">
        <v>23232</v>
      </c>
      <c r="B6424" s="6" t="s">
        <v>14469</v>
      </c>
      <c r="C6424" s="10">
        <v>46045.0</v>
      </c>
      <c r="D6424" s="6" t="s">
        <v>391</v>
      </c>
      <c r="E6424" s="6" t="s">
        <v>687</v>
      </c>
      <c r="F6424" s="6" t="s">
        <v>112</v>
      </c>
      <c r="G6424" s="6" t="s">
        <v>297</v>
      </c>
      <c r="H6424" s="10">
        <v>46045.0</v>
      </c>
      <c r="I6424" s="12">
        <v>9.0</v>
      </c>
      <c r="J6424" s="6" t="s">
        <v>161</v>
      </c>
    </row>
    <row r="6425" ht="22.5" customHeight="1">
      <c r="A6425" s="6" t="s">
        <v>23233</v>
      </c>
      <c r="B6425" s="6" t="s">
        <v>14475</v>
      </c>
      <c r="C6425" s="10">
        <v>46068.0</v>
      </c>
      <c r="D6425" s="6" t="s">
        <v>677</v>
      </c>
      <c r="E6425" s="6" t="s">
        <v>704</v>
      </c>
      <c r="F6425" s="6" t="s">
        <v>439</v>
      </c>
      <c r="G6425" s="6" t="s">
        <v>326</v>
      </c>
      <c r="H6425" s="10">
        <v>46075.0</v>
      </c>
      <c r="I6425" s="12">
        <v>2.0</v>
      </c>
      <c r="J6425" s="6" t="s">
        <v>161</v>
      </c>
    </row>
    <row r="6426" ht="22.5" customHeight="1">
      <c r="A6426" s="6" t="s">
        <v>23234</v>
      </c>
      <c r="B6426" s="6" t="s">
        <v>14475</v>
      </c>
      <c r="C6426" s="10">
        <v>46086.0</v>
      </c>
      <c r="D6426" s="6" t="s">
        <v>242</v>
      </c>
      <c r="E6426" s="6" t="s">
        <v>1600</v>
      </c>
      <c r="F6426" s="6" t="s">
        <v>283</v>
      </c>
      <c r="G6426" s="6" t="s">
        <v>452</v>
      </c>
      <c r="H6426" s="10">
        <v>46088.0</v>
      </c>
      <c r="I6426" s="12">
        <v>6.0</v>
      </c>
      <c r="J6426" s="6" t="s">
        <v>178</v>
      </c>
    </row>
    <row r="6427" ht="22.5" customHeight="1">
      <c r="A6427" s="6" t="s">
        <v>23235</v>
      </c>
      <c r="B6427" s="6" t="s">
        <v>14482</v>
      </c>
      <c r="C6427" s="10">
        <v>46052.0</v>
      </c>
      <c r="D6427" s="6" t="s">
        <v>436</v>
      </c>
      <c r="E6427" s="6" t="s">
        <v>1241</v>
      </c>
      <c r="F6427" s="6" t="s">
        <v>112</v>
      </c>
      <c r="G6427" s="6" t="s">
        <v>297</v>
      </c>
      <c r="H6427" s="11" t="s">
        <v>259</v>
      </c>
      <c r="I6427" s="12">
        <v>12.0</v>
      </c>
      <c r="J6427" s="6" t="s">
        <v>161</v>
      </c>
    </row>
    <row r="6428" ht="22.5" customHeight="1">
      <c r="A6428" s="6" t="s">
        <v>23236</v>
      </c>
      <c r="B6428" s="6" t="s">
        <v>14482</v>
      </c>
      <c r="C6428" s="10">
        <v>46040.0</v>
      </c>
      <c r="D6428" s="6" t="s">
        <v>289</v>
      </c>
      <c r="E6428" s="6" t="s">
        <v>466</v>
      </c>
      <c r="F6428" s="6" t="s">
        <v>249</v>
      </c>
      <c r="G6428" s="6" t="s">
        <v>297</v>
      </c>
      <c r="H6428" s="10">
        <v>46042.0</v>
      </c>
      <c r="I6428" s="12">
        <v>5.0</v>
      </c>
      <c r="J6428" s="6" t="s">
        <v>161</v>
      </c>
    </row>
    <row r="6429" ht="22.5" customHeight="1">
      <c r="A6429" s="6" t="s">
        <v>23237</v>
      </c>
      <c r="B6429" s="6" t="s">
        <v>14482</v>
      </c>
      <c r="C6429" s="10">
        <v>46054.0</v>
      </c>
      <c r="D6429" s="6" t="s">
        <v>391</v>
      </c>
      <c r="E6429" s="6" t="s">
        <v>885</v>
      </c>
      <c r="F6429" s="6" t="s">
        <v>439</v>
      </c>
      <c r="G6429" s="6" t="s">
        <v>477</v>
      </c>
      <c r="H6429" s="10">
        <v>46061.0</v>
      </c>
      <c r="I6429" s="12">
        <v>11.0</v>
      </c>
      <c r="J6429" s="6" t="s">
        <v>161</v>
      </c>
    </row>
    <row r="6430" ht="22.5" customHeight="1">
      <c r="A6430" s="6" t="s">
        <v>23238</v>
      </c>
      <c r="B6430" s="6" t="s">
        <v>14482</v>
      </c>
      <c r="C6430" s="10">
        <v>46049.0</v>
      </c>
      <c r="D6430" s="6" t="s">
        <v>312</v>
      </c>
      <c r="E6430" s="6" t="s">
        <v>246</v>
      </c>
      <c r="F6430" s="6" t="s">
        <v>249</v>
      </c>
      <c r="G6430" s="6" t="s">
        <v>494</v>
      </c>
      <c r="H6430" s="10">
        <v>46050.0</v>
      </c>
      <c r="I6430" s="12">
        <v>6.0</v>
      </c>
      <c r="J6430" s="6" t="s">
        <v>161</v>
      </c>
    </row>
    <row r="6431" ht="22.5" customHeight="1">
      <c r="A6431" s="6" t="s">
        <v>23239</v>
      </c>
      <c r="B6431" s="6" t="s">
        <v>14489</v>
      </c>
      <c r="C6431" s="10">
        <v>46050.0</v>
      </c>
      <c r="D6431" s="6" t="s">
        <v>391</v>
      </c>
      <c r="E6431" s="6" t="s">
        <v>365</v>
      </c>
      <c r="F6431" s="6" t="s">
        <v>249</v>
      </c>
      <c r="G6431" s="6" t="s">
        <v>297</v>
      </c>
      <c r="H6431" s="10">
        <v>46055.0</v>
      </c>
      <c r="I6431" s="12">
        <v>10.0</v>
      </c>
      <c r="J6431" s="6" t="s">
        <v>161</v>
      </c>
    </row>
    <row r="6432" ht="22.5" customHeight="1">
      <c r="A6432" s="6" t="s">
        <v>23240</v>
      </c>
      <c r="B6432" s="6" t="s">
        <v>14497</v>
      </c>
      <c r="C6432" s="10">
        <v>46069.0</v>
      </c>
      <c r="D6432" s="6" t="s">
        <v>416</v>
      </c>
      <c r="E6432" s="6" t="s">
        <v>1720</v>
      </c>
      <c r="F6432" s="6" t="s">
        <v>249</v>
      </c>
      <c r="G6432" s="6" t="s">
        <v>452</v>
      </c>
      <c r="H6432" s="10">
        <v>46075.0</v>
      </c>
      <c r="I6432" s="12">
        <v>9.0</v>
      </c>
      <c r="J6432" s="6" t="s">
        <v>161</v>
      </c>
    </row>
    <row r="6433" ht="22.5" customHeight="1">
      <c r="A6433" s="6" t="s">
        <v>23241</v>
      </c>
      <c r="B6433" s="6" t="s">
        <v>14497</v>
      </c>
      <c r="C6433" s="10">
        <v>46057.0</v>
      </c>
      <c r="D6433" s="6" t="s">
        <v>391</v>
      </c>
      <c r="E6433" s="6" t="s">
        <v>610</v>
      </c>
      <c r="F6433" s="6" t="s">
        <v>249</v>
      </c>
      <c r="G6433" s="6" t="s">
        <v>326</v>
      </c>
      <c r="H6433" s="10">
        <v>46061.0</v>
      </c>
      <c r="I6433" s="12">
        <v>11.0</v>
      </c>
      <c r="J6433" s="6" t="s">
        <v>161</v>
      </c>
    </row>
    <row r="6434" ht="22.5" customHeight="1">
      <c r="A6434" s="6" t="s">
        <v>23242</v>
      </c>
      <c r="B6434" s="6" t="s">
        <v>14497</v>
      </c>
      <c r="C6434" s="10">
        <v>46066.0</v>
      </c>
      <c r="D6434" s="6" t="s">
        <v>242</v>
      </c>
      <c r="E6434" s="6" t="s">
        <v>670</v>
      </c>
      <c r="F6434" s="6" t="s">
        <v>112</v>
      </c>
      <c r="G6434" s="6" t="s">
        <v>297</v>
      </c>
      <c r="H6434" s="10">
        <v>46071.0</v>
      </c>
      <c r="I6434" s="12">
        <v>5.0</v>
      </c>
      <c r="J6434" s="6" t="s">
        <v>178</v>
      </c>
    </row>
    <row r="6435" ht="22.5" customHeight="1">
      <c r="A6435" s="6" t="s">
        <v>23243</v>
      </c>
      <c r="B6435" s="6" t="s">
        <v>14497</v>
      </c>
      <c r="C6435" s="10">
        <v>46063.0</v>
      </c>
      <c r="D6435" s="6" t="s">
        <v>416</v>
      </c>
      <c r="E6435" s="6" t="s">
        <v>1122</v>
      </c>
      <c r="F6435" s="6" t="s">
        <v>249</v>
      </c>
      <c r="G6435" s="6" t="s">
        <v>326</v>
      </c>
      <c r="H6435" s="10">
        <v>46067.0</v>
      </c>
      <c r="I6435" s="12">
        <v>13.0</v>
      </c>
      <c r="J6435" s="6" t="s">
        <v>161</v>
      </c>
    </row>
    <row r="6436" ht="22.5" customHeight="1">
      <c r="A6436" s="6" t="s">
        <v>23244</v>
      </c>
      <c r="B6436" s="6" t="s">
        <v>14505</v>
      </c>
      <c r="C6436" s="10">
        <v>46079.0</v>
      </c>
      <c r="D6436" s="6" t="s">
        <v>677</v>
      </c>
      <c r="E6436" s="6" t="s">
        <v>863</v>
      </c>
      <c r="F6436" s="6" t="s">
        <v>439</v>
      </c>
      <c r="G6436" s="6" t="s">
        <v>458</v>
      </c>
      <c r="H6436" s="10">
        <v>46080.0</v>
      </c>
      <c r="I6436" s="12">
        <v>4.0</v>
      </c>
      <c r="J6436" s="6" t="s">
        <v>161</v>
      </c>
    </row>
    <row r="6437" ht="22.5" customHeight="1">
      <c r="A6437" s="6" t="s">
        <v>23245</v>
      </c>
      <c r="B6437" s="6" t="s">
        <v>14505</v>
      </c>
      <c r="C6437" s="10">
        <v>46073.0</v>
      </c>
      <c r="D6437" s="6" t="s">
        <v>416</v>
      </c>
      <c r="E6437" s="6" t="s">
        <v>1296</v>
      </c>
      <c r="F6437" s="6" t="s">
        <v>283</v>
      </c>
      <c r="G6437" s="6" t="s">
        <v>369</v>
      </c>
      <c r="H6437" s="10">
        <v>46073.0</v>
      </c>
      <c r="I6437" s="12">
        <v>11.0</v>
      </c>
      <c r="J6437" s="6" t="s">
        <v>161</v>
      </c>
    </row>
    <row r="6438" ht="22.5" customHeight="1">
      <c r="A6438" s="6" t="s">
        <v>23246</v>
      </c>
      <c r="B6438" s="6" t="s">
        <v>14505</v>
      </c>
      <c r="C6438" s="10">
        <v>46063.0</v>
      </c>
      <c r="D6438" s="6" t="s">
        <v>242</v>
      </c>
      <c r="E6438" s="6" t="s">
        <v>566</v>
      </c>
      <c r="F6438" s="6" t="s">
        <v>112</v>
      </c>
      <c r="G6438" s="6" t="s">
        <v>326</v>
      </c>
      <c r="H6438" s="10">
        <v>46067.0</v>
      </c>
      <c r="I6438" s="12">
        <v>3.0</v>
      </c>
      <c r="J6438" s="6" t="s">
        <v>161</v>
      </c>
    </row>
    <row r="6439" ht="22.5" customHeight="1">
      <c r="A6439" s="6" t="s">
        <v>23247</v>
      </c>
      <c r="B6439" s="6" t="s">
        <v>14505</v>
      </c>
      <c r="C6439" s="10">
        <v>46071.0</v>
      </c>
      <c r="D6439" s="6" t="s">
        <v>242</v>
      </c>
      <c r="E6439" s="6" t="s">
        <v>798</v>
      </c>
      <c r="F6439" s="6" t="s">
        <v>112</v>
      </c>
      <c r="G6439" s="6" t="s">
        <v>494</v>
      </c>
      <c r="H6439" s="10">
        <v>46072.0</v>
      </c>
      <c r="I6439" s="12">
        <v>3.0</v>
      </c>
      <c r="J6439" s="6" t="s">
        <v>178</v>
      </c>
    </row>
    <row r="6440" ht="22.5" customHeight="1">
      <c r="A6440" s="6" t="s">
        <v>23248</v>
      </c>
      <c r="B6440" s="6" t="s">
        <v>14512</v>
      </c>
      <c r="C6440" s="10">
        <v>46073.0</v>
      </c>
      <c r="D6440" s="6" t="s">
        <v>242</v>
      </c>
      <c r="E6440" s="6" t="s">
        <v>1741</v>
      </c>
      <c r="F6440" s="6" t="s">
        <v>283</v>
      </c>
      <c r="G6440" s="6" t="s">
        <v>369</v>
      </c>
      <c r="H6440" s="11" t="s">
        <v>259</v>
      </c>
      <c r="I6440" s="12">
        <v>5.0</v>
      </c>
      <c r="J6440" s="6" t="s">
        <v>178</v>
      </c>
    </row>
    <row r="6441" ht="22.5" customHeight="1">
      <c r="A6441" s="6" t="s">
        <v>23249</v>
      </c>
      <c r="B6441" s="6" t="s">
        <v>14512</v>
      </c>
      <c r="C6441" s="10">
        <v>46072.0</v>
      </c>
      <c r="D6441" s="6" t="s">
        <v>416</v>
      </c>
      <c r="E6441" s="6" t="s">
        <v>1035</v>
      </c>
      <c r="F6441" s="6" t="s">
        <v>112</v>
      </c>
      <c r="G6441" s="6" t="s">
        <v>494</v>
      </c>
      <c r="H6441" s="10">
        <v>46078.0</v>
      </c>
      <c r="I6441" s="12">
        <v>11.0</v>
      </c>
      <c r="J6441" s="6" t="s">
        <v>161</v>
      </c>
    </row>
    <row r="6442" ht="22.5" customHeight="1">
      <c r="A6442" s="6" t="s">
        <v>23250</v>
      </c>
      <c r="B6442" s="6" t="s">
        <v>14512</v>
      </c>
      <c r="C6442" s="10">
        <v>46081.0</v>
      </c>
      <c r="D6442" s="6" t="s">
        <v>242</v>
      </c>
      <c r="E6442" s="6" t="s">
        <v>775</v>
      </c>
      <c r="F6442" s="6" t="s">
        <v>249</v>
      </c>
      <c r="G6442" s="6" t="s">
        <v>297</v>
      </c>
      <c r="H6442" s="10">
        <v>46083.0</v>
      </c>
      <c r="I6442" s="12">
        <v>3.0</v>
      </c>
      <c r="J6442" s="6" t="s">
        <v>161</v>
      </c>
    </row>
    <row r="6443" ht="22.5" customHeight="1">
      <c r="A6443" s="6" t="s">
        <v>23251</v>
      </c>
      <c r="B6443" s="6" t="s">
        <v>14512</v>
      </c>
      <c r="C6443" s="10">
        <v>46085.0</v>
      </c>
      <c r="D6443" s="6" t="s">
        <v>289</v>
      </c>
      <c r="E6443" s="6" t="s">
        <v>2365</v>
      </c>
      <c r="F6443" s="6" t="s">
        <v>283</v>
      </c>
      <c r="G6443" s="6" t="s">
        <v>494</v>
      </c>
      <c r="H6443" s="10">
        <v>46088.0</v>
      </c>
      <c r="I6443" s="12">
        <v>6.0</v>
      </c>
      <c r="J6443" s="6" t="s">
        <v>161</v>
      </c>
    </row>
    <row r="6444" ht="22.5" customHeight="1">
      <c r="A6444" s="6" t="s">
        <v>23252</v>
      </c>
      <c r="B6444" s="6" t="s">
        <v>14519</v>
      </c>
      <c r="C6444" s="10">
        <v>46076.0</v>
      </c>
      <c r="D6444" s="6" t="s">
        <v>242</v>
      </c>
      <c r="E6444" s="6" t="s">
        <v>1969</v>
      </c>
      <c r="F6444" s="6" t="s">
        <v>249</v>
      </c>
      <c r="G6444" s="6" t="s">
        <v>297</v>
      </c>
      <c r="H6444" s="10">
        <v>46077.0</v>
      </c>
      <c r="I6444" s="12">
        <v>5.0</v>
      </c>
      <c r="J6444" s="6" t="s">
        <v>161</v>
      </c>
    </row>
    <row r="6445" ht="22.5" customHeight="1">
      <c r="A6445" s="6" t="s">
        <v>23253</v>
      </c>
      <c r="B6445" s="6" t="s">
        <v>14519</v>
      </c>
      <c r="C6445" s="10">
        <v>46084.0</v>
      </c>
      <c r="D6445" s="6" t="s">
        <v>416</v>
      </c>
      <c r="E6445" s="6" t="s">
        <v>1386</v>
      </c>
      <c r="F6445" s="6" t="s">
        <v>112</v>
      </c>
      <c r="G6445" s="6" t="s">
        <v>458</v>
      </c>
      <c r="H6445" s="10">
        <v>46086.0</v>
      </c>
      <c r="I6445" s="12">
        <v>14.0</v>
      </c>
      <c r="J6445" s="6" t="s">
        <v>161</v>
      </c>
    </row>
    <row r="6446" ht="22.5" customHeight="1">
      <c r="A6446" s="6" t="s">
        <v>23254</v>
      </c>
      <c r="B6446" s="6" t="s">
        <v>14519</v>
      </c>
      <c r="C6446" s="10">
        <v>46076.0</v>
      </c>
      <c r="D6446" s="6" t="s">
        <v>677</v>
      </c>
      <c r="E6446" s="6" t="s">
        <v>566</v>
      </c>
      <c r="F6446" s="6" t="s">
        <v>112</v>
      </c>
      <c r="G6446" s="6" t="s">
        <v>458</v>
      </c>
      <c r="H6446" s="10">
        <v>46078.0</v>
      </c>
      <c r="I6446" s="12">
        <v>4.0</v>
      </c>
      <c r="J6446" s="6" t="s">
        <v>161</v>
      </c>
    </row>
    <row r="6447" ht="22.5" customHeight="1">
      <c r="A6447" s="6" t="s">
        <v>23255</v>
      </c>
      <c r="B6447" s="6" t="s">
        <v>14519</v>
      </c>
      <c r="C6447" s="10">
        <v>46078.0</v>
      </c>
      <c r="D6447" s="6" t="s">
        <v>436</v>
      </c>
      <c r="E6447" s="6" t="s">
        <v>512</v>
      </c>
      <c r="F6447" s="6" t="s">
        <v>112</v>
      </c>
      <c r="G6447" s="6" t="s">
        <v>458</v>
      </c>
      <c r="H6447" s="10">
        <v>46082.0</v>
      </c>
      <c r="I6447" s="12">
        <v>8.0</v>
      </c>
      <c r="J6447" s="6" t="s">
        <v>178</v>
      </c>
    </row>
    <row r="6448" ht="22.5" customHeight="1">
      <c r="A6448" s="6" t="s">
        <v>23256</v>
      </c>
      <c r="B6448" s="6" t="s">
        <v>14519</v>
      </c>
      <c r="C6448" s="10">
        <v>46083.0</v>
      </c>
      <c r="D6448" s="6" t="s">
        <v>312</v>
      </c>
      <c r="E6448" s="6" t="s">
        <v>775</v>
      </c>
      <c r="F6448" s="6" t="s">
        <v>283</v>
      </c>
      <c r="G6448" s="6" t="s">
        <v>477</v>
      </c>
      <c r="H6448" s="10">
        <v>46087.0</v>
      </c>
      <c r="I6448" s="12">
        <v>7.0</v>
      </c>
      <c r="J6448" s="6" t="s">
        <v>161</v>
      </c>
    </row>
    <row r="6449" ht="22.5" customHeight="1">
      <c r="A6449" s="6" t="s">
        <v>23257</v>
      </c>
      <c r="B6449" s="6" t="s">
        <v>14527</v>
      </c>
      <c r="C6449" s="10">
        <v>46029.0</v>
      </c>
      <c r="D6449" s="6" t="s">
        <v>436</v>
      </c>
      <c r="E6449" s="6" t="s">
        <v>1310</v>
      </c>
      <c r="F6449" s="6" t="s">
        <v>249</v>
      </c>
      <c r="G6449" s="6" t="s">
        <v>494</v>
      </c>
      <c r="H6449" s="10">
        <v>46031.0</v>
      </c>
      <c r="I6449" s="12">
        <v>10.0</v>
      </c>
      <c r="J6449" s="6" t="s">
        <v>178</v>
      </c>
    </row>
    <row r="6450" ht="22.5" customHeight="1">
      <c r="A6450" s="6" t="s">
        <v>23258</v>
      </c>
      <c r="B6450" s="6" t="s">
        <v>14527</v>
      </c>
      <c r="C6450" s="10">
        <v>46043.0</v>
      </c>
      <c r="D6450" s="6" t="s">
        <v>677</v>
      </c>
      <c r="E6450" s="6" t="s">
        <v>833</v>
      </c>
      <c r="F6450" s="6" t="s">
        <v>112</v>
      </c>
      <c r="G6450" s="6" t="s">
        <v>477</v>
      </c>
      <c r="H6450" s="10">
        <v>46044.0</v>
      </c>
      <c r="I6450" s="12">
        <v>4.0</v>
      </c>
      <c r="J6450" s="6" t="s">
        <v>161</v>
      </c>
    </row>
    <row r="6451" ht="22.5" customHeight="1">
      <c r="A6451" s="6" t="s">
        <v>23259</v>
      </c>
      <c r="B6451" s="6" t="s">
        <v>14533</v>
      </c>
      <c r="C6451" s="10">
        <v>46038.0</v>
      </c>
      <c r="D6451" s="6" t="s">
        <v>436</v>
      </c>
      <c r="E6451" s="6" t="s">
        <v>955</v>
      </c>
      <c r="F6451" s="6" t="s">
        <v>439</v>
      </c>
      <c r="G6451" s="6" t="s">
        <v>369</v>
      </c>
      <c r="H6451" s="10">
        <v>46045.0</v>
      </c>
      <c r="I6451" s="12">
        <v>7.0</v>
      </c>
      <c r="J6451" s="6" t="s">
        <v>178</v>
      </c>
    </row>
    <row r="6452" ht="22.5" customHeight="1">
      <c r="A6452" s="6" t="s">
        <v>23260</v>
      </c>
      <c r="B6452" s="6" t="s">
        <v>14533</v>
      </c>
      <c r="C6452" s="10">
        <v>46043.0</v>
      </c>
      <c r="D6452" s="6" t="s">
        <v>242</v>
      </c>
      <c r="E6452" s="6" t="s">
        <v>1280</v>
      </c>
      <c r="F6452" s="6" t="s">
        <v>249</v>
      </c>
      <c r="G6452" s="6" t="s">
        <v>452</v>
      </c>
      <c r="H6452" s="10">
        <v>46043.0</v>
      </c>
      <c r="I6452" s="12">
        <v>4.0</v>
      </c>
      <c r="J6452" s="6" t="s">
        <v>178</v>
      </c>
    </row>
    <row r="6453" ht="22.5" customHeight="1">
      <c r="A6453" s="6" t="s">
        <v>23261</v>
      </c>
      <c r="B6453" s="6" t="s">
        <v>14539</v>
      </c>
      <c r="C6453" s="10">
        <v>46069.0</v>
      </c>
      <c r="D6453" s="6" t="s">
        <v>416</v>
      </c>
      <c r="E6453" s="6" t="s">
        <v>738</v>
      </c>
      <c r="F6453" s="6" t="s">
        <v>112</v>
      </c>
      <c r="G6453" s="6" t="s">
        <v>494</v>
      </c>
      <c r="H6453" s="10">
        <v>46075.0</v>
      </c>
      <c r="I6453" s="12">
        <v>13.0</v>
      </c>
      <c r="J6453" s="6" t="s">
        <v>161</v>
      </c>
    </row>
    <row r="6454" ht="22.5" customHeight="1">
      <c r="A6454" s="6" t="s">
        <v>23262</v>
      </c>
      <c r="B6454" s="6" t="s">
        <v>14539</v>
      </c>
      <c r="C6454" s="10">
        <v>46075.0</v>
      </c>
      <c r="D6454" s="6" t="s">
        <v>436</v>
      </c>
      <c r="E6454" s="6" t="s">
        <v>896</v>
      </c>
      <c r="F6454" s="6" t="s">
        <v>439</v>
      </c>
      <c r="G6454" s="6" t="s">
        <v>254</v>
      </c>
      <c r="H6454" s="10">
        <v>46075.0</v>
      </c>
      <c r="I6454" s="12">
        <v>6.0</v>
      </c>
      <c r="J6454" s="6" t="s">
        <v>178</v>
      </c>
    </row>
    <row r="6455" ht="22.5" customHeight="1">
      <c r="A6455" s="6" t="s">
        <v>23263</v>
      </c>
      <c r="B6455" s="6" t="s">
        <v>14539</v>
      </c>
      <c r="C6455" s="10">
        <v>46064.0</v>
      </c>
      <c r="D6455" s="6" t="s">
        <v>391</v>
      </c>
      <c r="E6455" s="6" t="s">
        <v>1280</v>
      </c>
      <c r="F6455" s="6" t="s">
        <v>249</v>
      </c>
      <c r="G6455" s="6" t="s">
        <v>369</v>
      </c>
      <c r="H6455" s="10">
        <v>46068.0</v>
      </c>
      <c r="I6455" s="12">
        <v>8.0</v>
      </c>
      <c r="J6455" s="6" t="s">
        <v>161</v>
      </c>
    </row>
    <row r="6456" ht="22.5" customHeight="1">
      <c r="A6456" s="6" t="s">
        <v>23264</v>
      </c>
      <c r="B6456" s="6" t="s">
        <v>14539</v>
      </c>
      <c r="C6456" s="10">
        <v>46058.0</v>
      </c>
      <c r="D6456" s="6" t="s">
        <v>242</v>
      </c>
      <c r="E6456" s="6" t="s">
        <v>704</v>
      </c>
      <c r="F6456" s="6" t="s">
        <v>439</v>
      </c>
      <c r="G6456" s="6" t="s">
        <v>369</v>
      </c>
      <c r="H6456" s="10">
        <v>46058.0</v>
      </c>
      <c r="I6456" s="12">
        <v>3.0</v>
      </c>
      <c r="J6456" s="6" t="s">
        <v>178</v>
      </c>
    </row>
    <row r="6457" ht="22.5" customHeight="1">
      <c r="A6457" s="6" t="s">
        <v>23265</v>
      </c>
      <c r="B6457" s="6" t="s">
        <v>14539</v>
      </c>
      <c r="C6457" s="10">
        <v>46069.0</v>
      </c>
      <c r="D6457" s="6" t="s">
        <v>416</v>
      </c>
      <c r="E6457" s="6" t="s">
        <v>291</v>
      </c>
      <c r="F6457" s="6" t="s">
        <v>249</v>
      </c>
      <c r="G6457" s="6" t="s">
        <v>458</v>
      </c>
      <c r="H6457" s="10">
        <v>46074.0</v>
      </c>
      <c r="I6457" s="12">
        <v>9.0</v>
      </c>
      <c r="J6457" s="6" t="s">
        <v>161</v>
      </c>
    </row>
    <row r="6458" ht="22.5" customHeight="1">
      <c r="A6458" s="6" t="s">
        <v>23266</v>
      </c>
      <c r="B6458" s="6" t="s">
        <v>14546</v>
      </c>
      <c r="C6458" s="10">
        <v>46034.0</v>
      </c>
      <c r="D6458" s="6" t="s">
        <v>289</v>
      </c>
      <c r="E6458" s="6" t="s">
        <v>1122</v>
      </c>
      <c r="F6458" s="6" t="s">
        <v>283</v>
      </c>
      <c r="G6458" s="6" t="s">
        <v>477</v>
      </c>
      <c r="H6458" s="10">
        <v>46039.0</v>
      </c>
      <c r="I6458" s="12">
        <v>8.0</v>
      </c>
      <c r="J6458" s="6" t="s">
        <v>161</v>
      </c>
    </row>
    <row r="6459" ht="22.5" customHeight="1">
      <c r="A6459" s="6" t="s">
        <v>23267</v>
      </c>
      <c r="B6459" s="6" t="s">
        <v>14546</v>
      </c>
      <c r="C6459" s="10">
        <v>46032.0</v>
      </c>
      <c r="D6459" s="6" t="s">
        <v>312</v>
      </c>
      <c r="E6459" s="6" t="s">
        <v>1570</v>
      </c>
      <c r="F6459" s="6" t="s">
        <v>249</v>
      </c>
      <c r="G6459" s="6" t="s">
        <v>297</v>
      </c>
      <c r="H6459" s="11" t="s">
        <v>259</v>
      </c>
      <c r="I6459" s="12">
        <v>6.0</v>
      </c>
      <c r="J6459" s="6" t="s">
        <v>161</v>
      </c>
    </row>
    <row r="6460" ht="22.5" customHeight="1">
      <c r="A6460" s="6" t="s">
        <v>23268</v>
      </c>
      <c r="B6460" s="6" t="s">
        <v>14546</v>
      </c>
      <c r="C6460" s="10">
        <v>46035.0</v>
      </c>
      <c r="D6460" s="6" t="s">
        <v>391</v>
      </c>
      <c r="E6460" s="6" t="s">
        <v>738</v>
      </c>
      <c r="F6460" s="6" t="s">
        <v>112</v>
      </c>
      <c r="G6460" s="6" t="s">
        <v>369</v>
      </c>
      <c r="H6460" s="10">
        <v>46036.0</v>
      </c>
      <c r="I6460" s="12">
        <v>8.0</v>
      </c>
      <c r="J6460" s="6" t="s">
        <v>161</v>
      </c>
    </row>
    <row r="6461" ht="22.5" customHeight="1">
      <c r="A6461" s="6" t="s">
        <v>23269</v>
      </c>
      <c r="B6461" s="6" t="s">
        <v>14552</v>
      </c>
      <c r="C6461" s="10">
        <v>46042.0</v>
      </c>
      <c r="D6461" s="6" t="s">
        <v>242</v>
      </c>
      <c r="E6461" s="6" t="s">
        <v>731</v>
      </c>
      <c r="F6461" s="6" t="s">
        <v>439</v>
      </c>
      <c r="G6461" s="6" t="s">
        <v>452</v>
      </c>
      <c r="H6461" s="10">
        <v>46048.0</v>
      </c>
      <c r="I6461" s="12">
        <v>4.0</v>
      </c>
      <c r="J6461" s="6" t="s">
        <v>178</v>
      </c>
    </row>
    <row r="6462" ht="22.5" customHeight="1">
      <c r="A6462" s="6" t="s">
        <v>23270</v>
      </c>
      <c r="B6462" s="6" t="s">
        <v>14552</v>
      </c>
      <c r="C6462" s="10">
        <v>46028.0</v>
      </c>
      <c r="D6462" s="6" t="s">
        <v>391</v>
      </c>
      <c r="E6462" s="6" t="s">
        <v>775</v>
      </c>
      <c r="F6462" s="6" t="s">
        <v>112</v>
      </c>
      <c r="G6462" s="6" t="s">
        <v>477</v>
      </c>
      <c r="H6462" s="10">
        <v>46029.0</v>
      </c>
      <c r="I6462" s="12">
        <v>11.0</v>
      </c>
      <c r="J6462" s="6" t="s">
        <v>161</v>
      </c>
    </row>
    <row r="6463" ht="22.5" customHeight="1">
      <c r="A6463" s="6" t="s">
        <v>23271</v>
      </c>
      <c r="B6463" s="6" t="s">
        <v>14552</v>
      </c>
      <c r="C6463" s="10">
        <v>46043.0</v>
      </c>
      <c r="D6463" s="6" t="s">
        <v>242</v>
      </c>
      <c r="E6463" s="6" t="s">
        <v>2881</v>
      </c>
      <c r="F6463" s="6" t="s">
        <v>249</v>
      </c>
      <c r="G6463" s="6" t="s">
        <v>494</v>
      </c>
      <c r="H6463" s="10">
        <v>46049.0</v>
      </c>
      <c r="I6463" s="12">
        <v>4.0</v>
      </c>
      <c r="J6463" s="6" t="s">
        <v>161</v>
      </c>
    </row>
    <row r="6464" ht="22.5" customHeight="1">
      <c r="A6464" s="6" t="s">
        <v>23272</v>
      </c>
      <c r="B6464" s="6" t="s">
        <v>14552</v>
      </c>
      <c r="C6464" s="10">
        <v>46046.0</v>
      </c>
      <c r="D6464" s="6" t="s">
        <v>391</v>
      </c>
      <c r="E6464" s="6" t="s">
        <v>658</v>
      </c>
      <c r="F6464" s="6" t="s">
        <v>283</v>
      </c>
      <c r="G6464" s="6" t="s">
        <v>477</v>
      </c>
      <c r="H6464" s="10">
        <v>46051.0</v>
      </c>
      <c r="I6464" s="12">
        <v>9.0</v>
      </c>
      <c r="J6464" s="6" t="s">
        <v>161</v>
      </c>
    </row>
    <row r="6465" ht="22.5" customHeight="1">
      <c r="A6465" s="6" t="s">
        <v>23273</v>
      </c>
      <c r="B6465" s="6" t="s">
        <v>14558</v>
      </c>
      <c r="C6465" s="10">
        <v>46066.0</v>
      </c>
      <c r="D6465" s="6" t="s">
        <v>436</v>
      </c>
      <c r="E6465" s="6" t="s">
        <v>1626</v>
      </c>
      <c r="F6465" s="6" t="s">
        <v>112</v>
      </c>
      <c r="G6465" s="6" t="s">
        <v>477</v>
      </c>
      <c r="H6465" s="11" t="s">
        <v>259</v>
      </c>
      <c r="I6465" s="12">
        <v>10.0</v>
      </c>
      <c r="J6465" s="6" t="s">
        <v>178</v>
      </c>
    </row>
    <row r="6466" ht="22.5" customHeight="1">
      <c r="A6466" s="6" t="s">
        <v>23274</v>
      </c>
      <c r="B6466" s="6" t="s">
        <v>14558</v>
      </c>
      <c r="C6466" s="10">
        <v>46060.0</v>
      </c>
      <c r="D6466" s="6" t="s">
        <v>242</v>
      </c>
      <c r="E6466" s="6" t="s">
        <v>466</v>
      </c>
      <c r="F6466" s="6" t="s">
        <v>112</v>
      </c>
      <c r="G6466" s="6" t="s">
        <v>452</v>
      </c>
      <c r="H6466" s="10">
        <v>46060.0</v>
      </c>
      <c r="I6466" s="12">
        <v>4.0</v>
      </c>
      <c r="J6466" s="6" t="s">
        <v>178</v>
      </c>
    </row>
    <row r="6467" ht="22.5" customHeight="1">
      <c r="A6467" s="6" t="s">
        <v>23275</v>
      </c>
      <c r="B6467" s="6" t="s">
        <v>14558</v>
      </c>
      <c r="C6467" s="10">
        <v>46058.0</v>
      </c>
      <c r="D6467" s="6" t="s">
        <v>242</v>
      </c>
      <c r="E6467" s="6" t="s">
        <v>320</v>
      </c>
      <c r="F6467" s="6" t="s">
        <v>283</v>
      </c>
      <c r="G6467" s="6" t="s">
        <v>494</v>
      </c>
      <c r="H6467" s="10">
        <v>46061.0</v>
      </c>
      <c r="I6467" s="12">
        <v>5.0</v>
      </c>
      <c r="J6467" s="6" t="s">
        <v>161</v>
      </c>
    </row>
    <row r="6468" ht="22.5" customHeight="1">
      <c r="A6468" s="6" t="s">
        <v>23276</v>
      </c>
      <c r="B6468" s="6" t="s">
        <v>14565</v>
      </c>
      <c r="C6468" s="10">
        <v>46041.0</v>
      </c>
      <c r="D6468" s="6" t="s">
        <v>416</v>
      </c>
      <c r="E6468" s="6" t="s">
        <v>1296</v>
      </c>
      <c r="F6468" s="6" t="s">
        <v>283</v>
      </c>
      <c r="G6468" s="6" t="s">
        <v>452</v>
      </c>
      <c r="H6468" s="10">
        <v>46041.0</v>
      </c>
      <c r="I6468" s="12">
        <v>13.0</v>
      </c>
      <c r="J6468" s="6" t="s">
        <v>161</v>
      </c>
    </row>
    <row r="6469" ht="22.5" customHeight="1">
      <c r="A6469" s="6" t="s">
        <v>23277</v>
      </c>
      <c r="B6469" s="6" t="s">
        <v>14565</v>
      </c>
      <c r="C6469" s="10">
        <v>46038.0</v>
      </c>
      <c r="D6469" s="6" t="s">
        <v>677</v>
      </c>
      <c r="E6469" s="6" t="s">
        <v>320</v>
      </c>
      <c r="F6469" s="6" t="s">
        <v>283</v>
      </c>
      <c r="G6469" s="6" t="s">
        <v>477</v>
      </c>
      <c r="H6469" s="10">
        <v>46038.0</v>
      </c>
      <c r="I6469" s="12">
        <v>3.0</v>
      </c>
      <c r="J6469" s="6" t="s">
        <v>161</v>
      </c>
    </row>
    <row r="6470" ht="22.5" customHeight="1">
      <c r="A6470" s="6" t="s">
        <v>23278</v>
      </c>
      <c r="B6470" s="6" t="s">
        <v>14570</v>
      </c>
      <c r="C6470" s="10">
        <v>46028.0</v>
      </c>
      <c r="D6470" s="6" t="s">
        <v>242</v>
      </c>
      <c r="E6470" s="6" t="s">
        <v>863</v>
      </c>
      <c r="F6470" s="6" t="s">
        <v>112</v>
      </c>
      <c r="G6470" s="6" t="s">
        <v>369</v>
      </c>
      <c r="H6470" s="10">
        <v>46035.0</v>
      </c>
      <c r="I6470" s="12">
        <v>5.0</v>
      </c>
      <c r="J6470" s="6" t="s">
        <v>178</v>
      </c>
    </row>
    <row r="6471" ht="22.5" customHeight="1">
      <c r="A6471" s="6" t="s">
        <v>23279</v>
      </c>
      <c r="B6471" s="6" t="s">
        <v>14570</v>
      </c>
      <c r="C6471" s="10">
        <v>46029.0</v>
      </c>
      <c r="D6471" s="6" t="s">
        <v>677</v>
      </c>
      <c r="E6471" s="6" t="s">
        <v>628</v>
      </c>
      <c r="F6471" s="6" t="s">
        <v>112</v>
      </c>
      <c r="G6471" s="6" t="s">
        <v>326</v>
      </c>
      <c r="H6471" s="11" t="s">
        <v>259</v>
      </c>
      <c r="I6471" s="12">
        <v>3.0</v>
      </c>
      <c r="J6471" s="6" t="s">
        <v>161</v>
      </c>
    </row>
    <row r="6472" ht="22.5" customHeight="1">
      <c r="A6472" s="6" t="s">
        <v>23280</v>
      </c>
      <c r="B6472" s="6" t="s">
        <v>14570</v>
      </c>
      <c r="C6472" s="10">
        <v>46042.0</v>
      </c>
      <c r="D6472" s="6" t="s">
        <v>242</v>
      </c>
      <c r="E6472" s="6" t="s">
        <v>1741</v>
      </c>
      <c r="F6472" s="6" t="s">
        <v>283</v>
      </c>
      <c r="G6472" s="6" t="s">
        <v>369</v>
      </c>
      <c r="H6472" s="10">
        <v>46045.0</v>
      </c>
      <c r="I6472" s="12">
        <v>6.0</v>
      </c>
      <c r="J6472" s="6" t="s">
        <v>178</v>
      </c>
    </row>
    <row r="6473" ht="22.5" customHeight="1">
      <c r="A6473" s="6" t="s">
        <v>23281</v>
      </c>
      <c r="B6473" s="6" t="s">
        <v>14570</v>
      </c>
      <c r="C6473" s="10">
        <v>46038.0</v>
      </c>
      <c r="D6473" s="6" t="s">
        <v>312</v>
      </c>
      <c r="E6473" s="6" t="s">
        <v>1310</v>
      </c>
      <c r="F6473" s="6" t="s">
        <v>283</v>
      </c>
      <c r="G6473" s="6" t="s">
        <v>254</v>
      </c>
      <c r="H6473" s="10">
        <v>46043.0</v>
      </c>
      <c r="I6473" s="12">
        <v>6.0</v>
      </c>
      <c r="J6473" s="6" t="s">
        <v>161</v>
      </c>
    </row>
    <row r="6474" ht="22.5" customHeight="1">
      <c r="A6474" s="6" t="s">
        <v>23282</v>
      </c>
      <c r="B6474" s="6" t="s">
        <v>14577</v>
      </c>
      <c r="C6474" s="10">
        <v>46046.0</v>
      </c>
      <c r="D6474" s="6" t="s">
        <v>242</v>
      </c>
      <c r="E6474" s="6" t="s">
        <v>1070</v>
      </c>
      <c r="F6474" s="6" t="s">
        <v>283</v>
      </c>
      <c r="G6474" s="6" t="s">
        <v>452</v>
      </c>
      <c r="H6474" s="10">
        <v>46047.0</v>
      </c>
      <c r="I6474" s="12">
        <v>6.0</v>
      </c>
      <c r="J6474" s="6" t="s">
        <v>161</v>
      </c>
    </row>
    <row r="6475" ht="22.5" customHeight="1">
      <c r="A6475" s="6" t="s">
        <v>23283</v>
      </c>
      <c r="B6475" s="6" t="s">
        <v>14577</v>
      </c>
      <c r="C6475" s="10">
        <v>46045.0</v>
      </c>
      <c r="D6475" s="6" t="s">
        <v>436</v>
      </c>
      <c r="E6475" s="6" t="s">
        <v>1296</v>
      </c>
      <c r="F6475" s="6" t="s">
        <v>283</v>
      </c>
      <c r="G6475" s="6" t="s">
        <v>254</v>
      </c>
      <c r="H6475" s="10">
        <v>46052.0</v>
      </c>
      <c r="I6475" s="12">
        <v>12.0</v>
      </c>
      <c r="J6475" s="6" t="s">
        <v>178</v>
      </c>
    </row>
    <row r="6476" ht="22.5" customHeight="1">
      <c r="A6476" s="6" t="s">
        <v>23284</v>
      </c>
      <c r="B6476" s="6" t="s">
        <v>14577</v>
      </c>
      <c r="C6476" s="10">
        <v>46034.0</v>
      </c>
      <c r="D6476" s="6" t="s">
        <v>416</v>
      </c>
      <c r="E6476" s="6" t="s">
        <v>466</v>
      </c>
      <c r="F6476" s="6" t="s">
        <v>283</v>
      </c>
      <c r="G6476" s="6" t="s">
        <v>494</v>
      </c>
      <c r="H6476" s="10">
        <v>46040.0</v>
      </c>
      <c r="I6476" s="12">
        <v>12.0</v>
      </c>
      <c r="J6476" s="6" t="s">
        <v>161</v>
      </c>
    </row>
    <row r="6477" ht="22.5" customHeight="1">
      <c r="A6477" s="6" t="s">
        <v>23285</v>
      </c>
      <c r="B6477" s="6" t="s">
        <v>14577</v>
      </c>
      <c r="C6477" s="10">
        <v>46048.0</v>
      </c>
      <c r="D6477" s="6" t="s">
        <v>416</v>
      </c>
      <c r="E6477" s="6" t="s">
        <v>658</v>
      </c>
      <c r="F6477" s="6" t="s">
        <v>112</v>
      </c>
      <c r="G6477" s="6" t="s">
        <v>254</v>
      </c>
      <c r="H6477" s="10">
        <v>46053.0</v>
      </c>
      <c r="I6477" s="12">
        <v>12.0</v>
      </c>
      <c r="J6477" s="6" t="s">
        <v>161</v>
      </c>
    </row>
    <row r="6478" ht="22.5" customHeight="1">
      <c r="A6478" s="6" t="s">
        <v>23286</v>
      </c>
      <c r="B6478" s="6" t="s">
        <v>14577</v>
      </c>
      <c r="C6478" s="10">
        <v>46049.0</v>
      </c>
      <c r="D6478" s="6" t="s">
        <v>391</v>
      </c>
      <c r="E6478" s="6" t="s">
        <v>475</v>
      </c>
      <c r="F6478" s="6" t="s">
        <v>112</v>
      </c>
      <c r="G6478" s="6" t="s">
        <v>297</v>
      </c>
      <c r="H6478" s="10">
        <v>46055.0</v>
      </c>
      <c r="I6478" s="12">
        <v>8.0</v>
      </c>
      <c r="J6478" s="6" t="s">
        <v>161</v>
      </c>
    </row>
    <row r="6479" ht="22.5" customHeight="1">
      <c r="A6479" s="6" t="s">
        <v>23287</v>
      </c>
      <c r="B6479" s="6" t="s">
        <v>14583</v>
      </c>
      <c r="C6479" s="10">
        <v>46041.0</v>
      </c>
      <c r="D6479" s="6" t="s">
        <v>416</v>
      </c>
      <c r="E6479" s="6" t="s">
        <v>320</v>
      </c>
      <c r="F6479" s="6" t="s">
        <v>112</v>
      </c>
      <c r="G6479" s="6" t="s">
        <v>452</v>
      </c>
      <c r="H6479" s="11" t="s">
        <v>259</v>
      </c>
      <c r="I6479" s="12">
        <v>8.0</v>
      </c>
      <c r="J6479" s="6" t="s">
        <v>161</v>
      </c>
    </row>
    <row r="6480" ht="22.5" customHeight="1">
      <c r="A6480" s="6" t="s">
        <v>23288</v>
      </c>
      <c r="B6480" s="6" t="s">
        <v>14583</v>
      </c>
      <c r="C6480" s="10">
        <v>46036.0</v>
      </c>
      <c r="D6480" s="6" t="s">
        <v>242</v>
      </c>
      <c r="E6480" s="6" t="s">
        <v>695</v>
      </c>
      <c r="F6480" s="6" t="s">
        <v>283</v>
      </c>
      <c r="G6480" s="6" t="s">
        <v>326</v>
      </c>
      <c r="H6480" s="11" t="s">
        <v>259</v>
      </c>
      <c r="I6480" s="12">
        <v>5.0</v>
      </c>
      <c r="J6480" s="6" t="s">
        <v>161</v>
      </c>
    </row>
    <row r="6481" ht="22.5" customHeight="1">
      <c r="A6481" s="6" t="s">
        <v>23289</v>
      </c>
      <c r="B6481" s="6" t="s">
        <v>14590</v>
      </c>
      <c r="C6481" s="10">
        <v>46077.0</v>
      </c>
      <c r="D6481" s="6" t="s">
        <v>391</v>
      </c>
      <c r="E6481" s="6" t="s">
        <v>1102</v>
      </c>
      <c r="F6481" s="6" t="s">
        <v>112</v>
      </c>
      <c r="G6481" s="6" t="s">
        <v>297</v>
      </c>
      <c r="H6481" s="10">
        <v>46078.0</v>
      </c>
      <c r="I6481" s="12">
        <v>9.0</v>
      </c>
      <c r="J6481" s="6" t="s">
        <v>161</v>
      </c>
    </row>
    <row r="6482" ht="22.5" customHeight="1">
      <c r="A6482" s="6" t="s">
        <v>23290</v>
      </c>
      <c r="B6482" s="6" t="s">
        <v>14590</v>
      </c>
      <c r="C6482" s="10">
        <v>46083.0</v>
      </c>
      <c r="D6482" s="6" t="s">
        <v>391</v>
      </c>
      <c r="E6482" s="6" t="s">
        <v>610</v>
      </c>
      <c r="F6482" s="6" t="s">
        <v>283</v>
      </c>
      <c r="G6482" s="6" t="s">
        <v>326</v>
      </c>
      <c r="H6482" s="10">
        <v>46086.0</v>
      </c>
      <c r="I6482" s="12">
        <v>11.0</v>
      </c>
      <c r="J6482" s="6" t="s">
        <v>161</v>
      </c>
    </row>
    <row r="6483" ht="22.5" customHeight="1">
      <c r="A6483" s="6" t="s">
        <v>23291</v>
      </c>
      <c r="B6483" s="6" t="s">
        <v>14590</v>
      </c>
      <c r="C6483" s="10">
        <v>46073.0</v>
      </c>
      <c r="D6483" s="6" t="s">
        <v>416</v>
      </c>
      <c r="E6483" s="6" t="s">
        <v>1273</v>
      </c>
      <c r="F6483" s="6" t="s">
        <v>249</v>
      </c>
      <c r="G6483" s="6" t="s">
        <v>477</v>
      </c>
      <c r="H6483" s="10">
        <v>46074.0</v>
      </c>
      <c r="I6483" s="12">
        <v>12.0</v>
      </c>
      <c r="J6483" s="6" t="s">
        <v>161</v>
      </c>
    </row>
    <row r="6484" ht="22.5" customHeight="1">
      <c r="A6484" s="6" t="s">
        <v>23292</v>
      </c>
      <c r="B6484" s="6" t="s">
        <v>14590</v>
      </c>
      <c r="C6484" s="10">
        <v>46086.0</v>
      </c>
      <c r="D6484" s="6" t="s">
        <v>436</v>
      </c>
      <c r="E6484" s="6" t="s">
        <v>1546</v>
      </c>
      <c r="F6484" s="6" t="s">
        <v>283</v>
      </c>
      <c r="G6484" s="6" t="s">
        <v>326</v>
      </c>
      <c r="H6484" s="11" t="s">
        <v>259</v>
      </c>
      <c r="I6484" s="12">
        <v>10.0</v>
      </c>
      <c r="J6484" s="6" t="s">
        <v>161</v>
      </c>
    </row>
    <row r="6485" ht="22.5" customHeight="1">
      <c r="A6485" s="6" t="s">
        <v>23293</v>
      </c>
      <c r="B6485" s="6" t="s">
        <v>14596</v>
      </c>
      <c r="C6485" s="10">
        <v>46050.0</v>
      </c>
      <c r="D6485" s="6" t="s">
        <v>416</v>
      </c>
      <c r="E6485" s="6" t="s">
        <v>475</v>
      </c>
      <c r="F6485" s="6" t="s">
        <v>112</v>
      </c>
      <c r="G6485" s="6" t="s">
        <v>477</v>
      </c>
      <c r="H6485" s="10">
        <v>46051.0</v>
      </c>
      <c r="I6485" s="12">
        <v>10.0</v>
      </c>
      <c r="J6485" s="6" t="s">
        <v>161</v>
      </c>
    </row>
    <row r="6486" ht="22.5" customHeight="1">
      <c r="A6486" s="6" t="s">
        <v>23294</v>
      </c>
      <c r="B6486" s="6" t="s">
        <v>14603</v>
      </c>
      <c r="C6486" s="10">
        <v>46078.0</v>
      </c>
      <c r="D6486" s="6" t="s">
        <v>391</v>
      </c>
      <c r="E6486" s="6" t="s">
        <v>787</v>
      </c>
      <c r="F6486" s="6" t="s">
        <v>249</v>
      </c>
      <c r="G6486" s="6" t="s">
        <v>458</v>
      </c>
      <c r="H6486" s="11" t="s">
        <v>259</v>
      </c>
      <c r="I6486" s="12">
        <v>8.0</v>
      </c>
      <c r="J6486" s="6" t="s">
        <v>161</v>
      </c>
    </row>
    <row r="6487" ht="22.5" customHeight="1">
      <c r="A6487" s="6" t="s">
        <v>23295</v>
      </c>
      <c r="B6487" s="6" t="s">
        <v>14603</v>
      </c>
      <c r="C6487" s="10">
        <v>46076.0</v>
      </c>
      <c r="D6487" s="6" t="s">
        <v>677</v>
      </c>
      <c r="E6487" s="6" t="s">
        <v>731</v>
      </c>
      <c r="F6487" s="6" t="s">
        <v>249</v>
      </c>
      <c r="G6487" s="6" t="s">
        <v>458</v>
      </c>
      <c r="H6487" s="10">
        <v>46082.0</v>
      </c>
      <c r="I6487" s="12">
        <v>3.0</v>
      </c>
      <c r="J6487" s="6" t="s">
        <v>161</v>
      </c>
    </row>
    <row r="6488" ht="22.5" customHeight="1">
      <c r="A6488" s="6" t="s">
        <v>23296</v>
      </c>
      <c r="B6488" s="6" t="s">
        <v>14603</v>
      </c>
      <c r="C6488" s="10">
        <v>46072.0</v>
      </c>
      <c r="D6488" s="6" t="s">
        <v>391</v>
      </c>
      <c r="E6488" s="6" t="s">
        <v>1600</v>
      </c>
      <c r="F6488" s="6" t="s">
        <v>112</v>
      </c>
      <c r="G6488" s="6" t="s">
        <v>369</v>
      </c>
      <c r="H6488" s="10">
        <v>46072.0</v>
      </c>
      <c r="I6488" s="12">
        <v>7.0</v>
      </c>
      <c r="J6488" s="6" t="s">
        <v>161</v>
      </c>
    </row>
    <row r="6489" ht="22.5" customHeight="1">
      <c r="A6489" s="6" t="s">
        <v>23297</v>
      </c>
      <c r="B6489" s="6" t="s">
        <v>14603</v>
      </c>
      <c r="C6489" s="10">
        <v>46077.0</v>
      </c>
      <c r="D6489" s="6" t="s">
        <v>677</v>
      </c>
      <c r="E6489" s="6" t="s">
        <v>1310</v>
      </c>
      <c r="F6489" s="6" t="s">
        <v>439</v>
      </c>
      <c r="G6489" s="6" t="s">
        <v>458</v>
      </c>
      <c r="H6489" s="11" t="s">
        <v>259</v>
      </c>
      <c r="I6489" s="12">
        <v>2.0</v>
      </c>
      <c r="J6489" s="6" t="s">
        <v>161</v>
      </c>
    </row>
    <row r="6490" ht="22.5" customHeight="1">
      <c r="A6490" s="6" t="s">
        <v>23298</v>
      </c>
      <c r="B6490" s="6" t="s">
        <v>14603</v>
      </c>
      <c r="C6490" s="10">
        <v>46083.0</v>
      </c>
      <c r="D6490" s="6" t="s">
        <v>289</v>
      </c>
      <c r="E6490" s="6" t="s">
        <v>246</v>
      </c>
      <c r="F6490" s="6" t="s">
        <v>249</v>
      </c>
      <c r="G6490" s="6" t="s">
        <v>326</v>
      </c>
      <c r="H6490" s="11" t="s">
        <v>259</v>
      </c>
      <c r="I6490" s="12">
        <v>10.0</v>
      </c>
      <c r="J6490" s="6" t="s">
        <v>161</v>
      </c>
    </row>
    <row r="6491" ht="22.5" customHeight="1">
      <c r="A6491" s="6" t="s">
        <v>23299</v>
      </c>
      <c r="B6491" s="6" t="s">
        <v>14609</v>
      </c>
      <c r="C6491" s="10">
        <v>46047.0</v>
      </c>
      <c r="D6491" s="6" t="s">
        <v>312</v>
      </c>
      <c r="E6491" s="6" t="s">
        <v>618</v>
      </c>
      <c r="F6491" s="6" t="s">
        <v>249</v>
      </c>
      <c r="G6491" s="6" t="s">
        <v>477</v>
      </c>
      <c r="H6491" s="10">
        <v>46050.0</v>
      </c>
      <c r="I6491" s="12">
        <v>5.0</v>
      </c>
      <c r="J6491" s="6" t="s">
        <v>161</v>
      </c>
    </row>
    <row r="6492" ht="22.5" customHeight="1">
      <c r="A6492" s="6" t="s">
        <v>23300</v>
      </c>
      <c r="B6492" s="6" t="s">
        <v>14609</v>
      </c>
      <c r="C6492" s="10">
        <v>46032.0</v>
      </c>
      <c r="D6492" s="6" t="s">
        <v>436</v>
      </c>
      <c r="E6492" s="6" t="s">
        <v>2881</v>
      </c>
      <c r="F6492" s="6" t="s">
        <v>249</v>
      </c>
      <c r="G6492" s="6" t="s">
        <v>297</v>
      </c>
      <c r="H6492" s="10">
        <v>46039.0</v>
      </c>
      <c r="I6492" s="12">
        <v>12.0</v>
      </c>
      <c r="J6492" s="6" t="s">
        <v>178</v>
      </c>
    </row>
    <row r="6493" ht="22.5" customHeight="1">
      <c r="A6493" s="6" t="s">
        <v>23301</v>
      </c>
      <c r="B6493" s="6" t="s">
        <v>14609</v>
      </c>
      <c r="C6493" s="10">
        <v>46047.0</v>
      </c>
      <c r="D6493" s="6" t="s">
        <v>436</v>
      </c>
      <c r="E6493" s="6" t="s">
        <v>1600</v>
      </c>
      <c r="F6493" s="6" t="s">
        <v>112</v>
      </c>
      <c r="G6493" s="6" t="s">
        <v>369</v>
      </c>
      <c r="H6493" s="10">
        <v>46050.0</v>
      </c>
      <c r="I6493" s="12">
        <v>8.0</v>
      </c>
      <c r="J6493" s="6" t="s">
        <v>178</v>
      </c>
    </row>
    <row r="6494" ht="22.5" customHeight="1">
      <c r="A6494" s="6" t="s">
        <v>23302</v>
      </c>
      <c r="B6494" s="6" t="s">
        <v>14609</v>
      </c>
      <c r="C6494" s="10">
        <v>46040.0</v>
      </c>
      <c r="D6494" s="6" t="s">
        <v>289</v>
      </c>
      <c r="E6494" s="6" t="s">
        <v>2881</v>
      </c>
      <c r="F6494" s="6" t="s">
        <v>112</v>
      </c>
      <c r="G6494" s="6" t="s">
        <v>477</v>
      </c>
      <c r="H6494" s="10">
        <v>46042.0</v>
      </c>
      <c r="I6494" s="12">
        <v>5.0</v>
      </c>
      <c r="J6494" s="6" t="s">
        <v>161</v>
      </c>
    </row>
    <row r="6495" ht="22.5" customHeight="1">
      <c r="A6495" s="6" t="s">
        <v>23303</v>
      </c>
      <c r="B6495" s="6" t="s">
        <v>14609</v>
      </c>
      <c r="C6495" s="10">
        <v>46040.0</v>
      </c>
      <c r="D6495" s="6" t="s">
        <v>312</v>
      </c>
      <c r="E6495" s="6" t="s">
        <v>583</v>
      </c>
      <c r="F6495" s="6" t="s">
        <v>249</v>
      </c>
      <c r="G6495" s="6" t="s">
        <v>452</v>
      </c>
      <c r="H6495" s="10">
        <v>46044.0</v>
      </c>
      <c r="I6495" s="12">
        <v>4.0</v>
      </c>
      <c r="J6495" s="6" t="s">
        <v>161</v>
      </c>
    </row>
    <row r="6496" ht="22.5" customHeight="1">
      <c r="A6496" s="6" t="s">
        <v>23304</v>
      </c>
      <c r="B6496" s="6" t="s">
        <v>14616</v>
      </c>
      <c r="C6496" s="10">
        <v>46055.0</v>
      </c>
      <c r="D6496" s="6" t="s">
        <v>312</v>
      </c>
      <c r="E6496" s="6" t="s">
        <v>885</v>
      </c>
      <c r="F6496" s="6" t="s">
        <v>112</v>
      </c>
      <c r="G6496" s="6" t="s">
        <v>369</v>
      </c>
      <c r="H6496" s="10">
        <v>46056.0</v>
      </c>
      <c r="I6496" s="12">
        <v>5.0</v>
      </c>
      <c r="J6496" s="6" t="s">
        <v>161</v>
      </c>
    </row>
    <row r="6497" ht="22.5" customHeight="1">
      <c r="A6497" s="6" t="s">
        <v>23305</v>
      </c>
      <c r="B6497" s="6" t="s">
        <v>14616</v>
      </c>
      <c r="C6497" s="10">
        <v>46053.0</v>
      </c>
      <c r="D6497" s="6" t="s">
        <v>312</v>
      </c>
      <c r="E6497" s="6" t="s">
        <v>695</v>
      </c>
      <c r="F6497" s="6" t="s">
        <v>439</v>
      </c>
      <c r="G6497" s="6" t="s">
        <v>452</v>
      </c>
      <c r="H6497" s="10">
        <v>46056.0</v>
      </c>
      <c r="I6497" s="12">
        <v>5.0</v>
      </c>
      <c r="J6497" s="6" t="s">
        <v>161</v>
      </c>
    </row>
    <row r="6498" ht="22.5" customHeight="1">
      <c r="A6498" s="6" t="s">
        <v>23306</v>
      </c>
      <c r="B6498" s="6" t="s">
        <v>14621</v>
      </c>
      <c r="C6498" s="10">
        <v>46031.0</v>
      </c>
      <c r="D6498" s="6" t="s">
        <v>242</v>
      </c>
      <c r="E6498" s="6" t="s">
        <v>1570</v>
      </c>
      <c r="F6498" s="6" t="s">
        <v>249</v>
      </c>
      <c r="G6498" s="6" t="s">
        <v>458</v>
      </c>
      <c r="H6498" s="10">
        <v>46035.0</v>
      </c>
      <c r="I6498" s="12">
        <v>3.0</v>
      </c>
      <c r="J6498" s="6" t="s">
        <v>178</v>
      </c>
    </row>
    <row r="6499" ht="22.5" customHeight="1">
      <c r="A6499" s="6" t="s">
        <v>23307</v>
      </c>
      <c r="B6499" s="6" t="s">
        <v>14628</v>
      </c>
      <c r="C6499" s="10">
        <v>46076.0</v>
      </c>
      <c r="D6499" s="6" t="s">
        <v>416</v>
      </c>
      <c r="E6499" s="6" t="s">
        <v>955</v>
      </c>
      <c r="F6499" s="6" t="s">
        <v>112</v>
      </c>
      <c r="G6499" s="6" t="s">
        <v>297</v>
      </c>
      <c r="H6499" s="10">
        <v>46078.0</v>
      </c>
      <c r="I6499" s="12">
        <v>13.0</v>
      </c>
      <c r="J6499" s="6" t="s">
        <v>161</v>
      </c>
    </row>
    <row r="6500" ht="22.5" customHeight="1">
      <c r="A6500" s="6" t="s">
        <v>23308</v>
      </c>
      <c r="B6500" s="6" t="s">
        <v>14628</v>
      </c>
      <c r="C6500" s="10">
        <v>46074.0</v>
      </c>
      <c r="D6500" s="6" t="s">
        <v>391</v>
      </c>
      <c r="E6500" s="6" t="s">
        <v>955</v>
      </c>
      <c r="F6500" s="6" t="s">
        <v>439</v>
      </c>
      <c r="G6500" s="6" t="s">
        <v>477</v>
      </c>
      <c r="H6500" s="10">
        <v>46075.0</v>
      </c>
      <c r="I6500" s="12">
        <v>8.0</v>
      </c>
      <c r="J6500" s="6" t="s">
        <v>161</v>
      </c>
    </row>
    <row r="6501" ht="22.5" customHeight="1">
      <c r="A6501" s="6" t="s">
        <v>23309</v>
      </c>
      <c r="B6501" s="6" t="s">
        <v>14634</v>
      </c>
      <c r="C6501" s="10">
        <v>46072.0</v>
      </c>
      <c r="D6501" s="6" t="s">
        <v>289</v>
      </c>
      <c r="E6501" s="6" t="s">
        <v>775</v>
      </c>
      <c r="F6501" s="6" t="s">
        <v>249</v>
      </c>
      <c r="G6501" s="6" t="s">
        <v>458</v>
      </c>
      <c r="H6501" s="10">
        <v>46078.0</v>
      </c>
      <c r="I6501" s="12">
        <v>5.0</v>
      </c>
      <c r="J6501" s="6" t="s">
        <v>161</v>
      </c>
    </row>
    <row r="6502" ht="22.5" customHeight="1">
      <c r="A6502" s="6" t="s">
        <v>23310</v>
      </c>
      <c r="B6502" s="6" t="s">
        <v>14634</v>
      </c>
      <c r="C6502" s="10">
        <v>46060.0</v>
      </c>
      <c r="D6502" s="6" t="s">
        <v>289</v>
      </c>
      <c r="E6502" s="6" t="s">
        <v>1386</v>
      </c>
      <c r="F6502" s="6" t="s">
        <v>112</v>
      </c>
      <c r="G6502" s="6" t="s">
        <v>477</v>
      </c>
      <c r="H6502" s="10">
        <v>46062.0</v>
      </c>
      <c r="I6502" s="12">
        <v>9.0</v>
      </c>
      <c r="J6502" s="6" t="s">
        <v>161</v>
      </c>
    </row>
    <row r="6503" ht="22.5" customHeight="1">
      <c r="A6503" s="6" t="s">
        <v>23311</v>
      </c>
      <c r="B6503" s="6" t="s">
        <v>14640</v>
      </c>
      <c r="C6503" s="10">
        <v>46055.0</v>
      </c>
      <c r="D6503" s="6" t="s">
        <v>436</v>
      </c>
      <c r="E6503" s="6" t="s">
        <v>2365</v>
      </c>
      <c r="F6503" s="6" t="s">
        <v>283</v>
      </c>
      <c r="G6503" s="6" t="s">
        <v>477</v>
      </c>
      <c r="H6503" s="10">
        <v>46061.0</v>
      </c>
      <c r="I6503" s="12">
        <v>11.0</v>
      </c>
      <c r="J6503" s="6" t="s">
        <v>161</v>
      </c>
    </row>
    <row r="6504" ht="22.5" customHeight="1">
      <c r="A6504" s="6" t="s">
        <v>23312</v>
      </c>
      <c r="B6504" s="6" t="s">
        <v>14647</v>
      </c>
      <c r="C6504" s="10">
        <v>46066.0</v>
      </c>
      <c r="D6504" s="6" t="s">
        <v>416</v>
      </c>
      <c r="E6504" s="6" t="s">
        <v>1102</v>
      </c>
      <c r="F6504" s="6" t="s">
        <v>112</v>
      </c>
      <c r="G6504" s="6" t="s">
        <v>326</v>
      </c>
      <c r="H6504" s="11" t="s">
        <v>259</v>
      </c>
      <c r="I6504" s="12">
        <v>13.0</v>
      </c>
      <c r="J6504" s="6" t="s">
        <v>161</v>
      </c>
    </row>
    <row r="6505" ht="22.5" customHeight="1">
      <c r="A6505" s="6" t="s">
        <v>23313</v>
      </c>
      <c r="B6505" s="6" t="s">
        <v>14647</v>
      </c>
      <c r="C6505" s="10">
        <v>46077.0</v>
      </c>
      <c r="D6505" s="6" t="s">
        <v>391</v>
      </c>
      <c r="E6505" s="6" t="s">
        <v>1386</v>
      </c>
      <c r="F6505" s="6" t="s">
        <v>249</v>
      </c>
      <c r="G6505" s="6" t="s">
        <v>494</v>
      </c>
      <c r="H6505" s="10">
        <v>46081.0</v>
      </c>
      <c r="I6505" s="12">
        <v>7.0</v>
      </c>
      <c r="J6505" s="6" t="s">
        <v>161</v>
      </c>
    </row>
    <row r="6506" ht="22.5" customHeight="1">
      <c r="A6506" s="6" t="s">
        <v>23314</v>
      </c>
      <c r="B6506" s="6" t="s">
        <v>14653</v>
      </c>
      <c r="C6506" s="10">
        <v>46068.0</v>
      </c>
      <c r="D6506" s="6" t="s">
        <v>416</v>
      </c>
      <c r="E6506" s="6" t="s">
        <v>466</v>
      </c>
      <c r="F6506" s="6" t="s">
        <v>112</v>
      </c>
      <c r="G6506" s="6" t="s">
        <v>369</v>
      </c>
      <c r="H6506" s="10">
        <v>46069.0</v>
      </c>
      <c r="I6506" s="12">
        <v>14.0</v>
      </c>
      <c r="J6506" s="6" t="s">
        <v>161</v>
      </c>
    </row>
    <row r="6507" ht="22.5" customHeight="1">
      <c r="A6507" s="6" t="s">
        <v>23315</v>
      </c>
      <c r="B6507" s="6" t="s">
        <v>14653</v>
      </c>
      <c r="C6507" s="10">
        <v>46078.0</v>
      </c>
      <c r="D6507" s="6" t="s">
        <v>289</v>
      </c>
      <c r="E6507" s="6" t="s">
        <v>2365</v>
      </c>
      <c r="F6507" s="6" t="s">
        <v>112</v>
      </c>
      <c r="G6507" s="6" t="s">
        <v>326</v>
      </c>
      <c r="H6507" s="10">
        <v>46081.0</v>
      </c>
      <c r="I6507" s="12">
        <v>6.0</v>
      </c>
      <c r="J6507" s="6" t="s">
        <v>161</v>
      </c>
    </row>
    <row r="6508" ht="22.5" customHeight="1">
      <c r="A6508" s="6" t="s">
        <v>23316</v>
      </c>
      <c r="B6508" s="6" t="s">
        <v>14660</v>
      </c>
      <c r="C6508" s="10">
        <v>46061.0</v>
      </c>
      <c r="D6508" s="6" t="s">
        <v>416</v>
      </c>
      <c r="E6508" s="6" t="s">
        <v>438</v>
      </c>
      <c r="F6508" s="6" t="s">
        <v>439</v>
      </c>
      <c r="G6508" s="6" t="s">
        <v>452</v>
      </c>
      <c r="H6508" s="10">
        <v>46062.0</v>
      </c>
      <c r="I6508" s="12">
        <v>9.0</v>
      </c>
      <c r="J6508" s="6" t="s">
        <v>161</v>
      </c>
    </row>
    <row r="6509" ht="22.5" customHeight="1">
      <c r="A6509" s="6" t="s">
        <v>23317</v>
      </c>
      <c r="B6509" s="6" t="s">
        <v>14660</v>
      </c>
      <c r="C6509" s="10">
        <v>46080.0</v>
      </c>
      <c r="D6509" s="6" t="s">
        <v>242</v>
      </c>
      <c r="E6509" s="6" t="s">
        <v>731</v>
      </c>
      <c r="F6509" s="6" t="s">
        <v>112</v>
      </c>
      <c r="G6509" s="6" t="s">
        <v>452</v>
      </c>
      <c r="H6509" s="10">
        <v>46086.0</v>
      </c>
      <c r="I6509" s="12">
        <v>6.0</v>
      </c>
      <c r="J6509" s="6" t="s">
        <v>178</v>
      </c>
    </row>
    <row r="6510" ht="22.5" customHeight="1">
      <c r="A6510" s="6" t="s">
        <v>23318</v>
      </c>
      <c r="B6510" s="6" t="s">
        <v>14666</v>
      </c>
      <c r="C6510" s="10">
        <v>46044.0</v>
      </c>
      <c r="D6510" s="6" t="s">
        <v>416</v>
      </c>
      <c r="E6510" s="6" t="s">
        <v>512</v>
      </c>
      <c r="F6510" s="6" t="s">
        <v>283</v>
      </c>
      <c r="G6510" s="6" t="s">
        <v>494</v>
      </c>
      <c r="H6510" s="11" t="s">
        <v>259</v>
      </c>
      <c r="I6510" s="12">
        <v>11.0</v>
      </c>
      <c r="J6510" s="6" t="s">
        <v>161</v>
      </c>
    </row>
    <row r="6511" ht="22.5" customHeight="1">
      <c r="A6511" s="6" t="s">
        <v>23319</v>
      </c>
      <c r="B6511" s="6" t="s">
        <v>14666</v>
      </c>
      <c r="C6511" s="10">
        <v>46033.0</v>
      </c>
      <c r="D6511" s="6" t="s">
        <v>677</v>
      </c>
      <c r="E6511" s="6" t="s">
        <v>1570</v>
      </c>
      <c r="F6511" s="6" t="s">
        <v>283</v>
      </c>
      <c r="G6511" s="6" t="s">
        <v>254</v>
      </c>
      <c r="H6511" s="10">
        <v>46040.0</v>
      </c>
      <c r="I6511" s="12">
        <v>2.0</v>
      </c>
      <c r="J6511" s="6" t="s">
        <v>161</v>
      </c>
    </row>
    <row r="6512" ht="22.5" customHeight="1">
      <c r="A6512" s="6" t="s">
        <v>23320</v>
      </c>
      <c r="B6512" s="6" t="s">
        <v>14666</v>
      </c>
      <c r="C6512" s="10">
        <v>46030.0</v>
      </c>
      <c r="D6512" s="6" t="s">
        <v>391</v>
      </c>
      <c r="E6512" s="6" t="s">
        <v>1386</v>
      </c>
      <c r="F6512" s="6" t="s">
        <v>249</v>
      </c>
      <c r="G6512" s="6" t="s">
        <v>297</v>
      </c>
      <c r="H6512" s="11" t="s">
        <v>259</v>
      </c>
      <c r="I6512" s="12">
        <v>8.0</v>
      </c>
      <c r="J6512" s="6" t="s">
        <v>161</v>
      </c>
    </row>
    <row r="6513" ht="22.5" customHeight="1">
      <c r="A6513" s="6" t="s">
        <v>23321</v>
      </c>
      <c r="B6513" s="6" t="s">
        <v>14666</v>
      </c>
      <c r="C6513" s="10">
        <v>46031.0</v>
      </c>
      <c r="D6513" s="6" t="s">
        <v>436</v>
      </c>
      <c r="E6513" s="6" t="s">
        <v>731</v>
      </c>
      <c r="F6513" s="6" t="s">
        <v>283</v>
      </c>
      <c r="G6513" s="6" t="s">
        <v>326</v>
      </c>
      <c r="H6513" s="10">
        <v>46036.0</v>
      </c>
      <c r="I6513" s="12">
        <v>10.0</v>
      </c>
      <c r="J6513" s="6" t="s">
        <v>178</v>
      </c>
    </row>
    <row r="6514" ht="22.5" customHeight="1">
      <c r="A6514" s="6" t="s">
        <v>23322</v>
      </c>
      <c r="B6514" s="6" t="s">
        <v>14672</v>
      </c>
      <c r="C6514" s="10">
        <v>46076.0</v>
      </c>
      <c r="D6514" s="6" t="s">
        <v>391</v>
      </c>
      <c r="E6514" s="6" t="s">
        <v>787</v>
      </c>
      <c r="F6514" s="6" t="s">
        <v>249</v>
      </c>
      <c r="G6514" s="6" t="s">
        <v>326</v>
      </c>
      <c r="H6514" s="10">
        <v>46076.0</v>
      </c>
      <c r="I6514" s="12">
        <v>9.0</v>
      </c>
      <c r="J6514" s="6" t="s">
        <v>161</v>
      </c>
    </row>
    <row r="6515" ht="22.5" customHeight="1">
      <c r="A6515" s="6" t="s">
        <v>23323</v>
      </c>
      <c r="B6515" s="6" t="s">
        <v>14672</v>
      </c>
      <c r="C6515" s="10">
        <v>46074.0</v>
      </c>
      <c r="D6515" s="6" t="s">
        <v>312</v>
      </c>
      <c r="E6515" s="6" t="s">
        <v>394</v>
      </c>
      <c r="F6515" s="6" t="s">
        <v>439</v>
      </c>
      <c r="G6515" s="6" t="s">
        <v>494</v>
      </c>
      <c r="H6515" s="10">
        <v>46074.0</v>
      </c>
      <c r="I6515" s="12">
        <v>4.0</v>
      </c>
      <c r="J6515" s="6" t="s">
        <v>161</v>
      </c>
    </row>
    <row r="6516" ht="22.5" customHeight="1">
      <c r="A6516" s="6" t="s">
        <v>23324</v>
      </c>
      <c r="B6516" s="6" t="s">
        <v>14672</v>
      </c>
      <c r="C6516" s="10">
        <v>46061.0</v>
      </c>
      <c r="D6516" s="6" t="s">
        <v>242</v>
      </c>
      <c r="E6516" s="6" t="s">
        <v>291</v>
      </c>
      <c r="F6516" s="6" t="s">
        <v>439</v>
      </c>
      <c r="G6516" s="6" t="s">
        <v>254</v>
      </c>
      <c r="H6516" s="10">
        <v>46064.0</v>
      </c>
      <c r="I6516" s="12">
        <v>3.0</v>
      </c>
      <c r="J6516" s="6" t="s">
        <v>161</v>
      </c>
    </row>
    <row r="6517" ht="22.5" customHeight="1">
      <c r="A6517" s="6" t="s">
        <v>23325</v>
      </c>
      <c r="B6517" s="6" t="s">
        <v>14678</v>
      </c>
      <c r="C6517" s="10">
        <v>46059.0</v>
      </c>
      <c r="D6517" s="6" t="s">
        <v>436</v>
      </c>
      <c r="E6517" s="6" t="s">
        <v>1552</v>
      </c>
      <c r="F6517" s="6" t="s">
        <v>112</v>
      </c>
      <c r="G6517" s="6" t="s">
        <v>326</v>
      </c>
      <c r="H6517" s="11" t="s">
        <v>259</v>
      </c>
      <c r="I6517" s="12">
        <v>7.0</v>
      </c>
      <c r="J6517" s="6" t="s">
        <v>178</v>
      </c>
    </row>
    <row r="6518" ht="22.5" customHeight="1">
      <c r="A6518" s="6" t="s">
        <v>23326</v>
      </c>
      <c r="B6518" s="6" t="s">
        <v>14685</v>
      </c>
      <c r="C6518" s="10">
        <v>46048.0</v>
      </c>
      <c r="D6518" s="6" t="s">
        <v>677</v>
      </c>
      <c r="E6518" s="6" t="s">
        <v>2881</v>
      </c>
      <c r="F6518" s="6" t="s">
        <v>249</v>
      </c>
      <c r="G6518" s="6" t="s">
        <v>458</v>
      </c>
      <c r="H6518" s="10">
        <v>46052.0</v>
      </c>
      <c r="I6518" s="12">
        <v>4.0</v>
      </c>
      <c r="J6518" s="6" t="s">
        <v>161</v>
      </c>
    </row>
    <row r="6519" ht="22.5" customHeight="1">
      <c r="A6519" s="6" t="s">
        <v>23327</v>
      </c>
      <c r="B6519" s="6" t="s">
        <v>14685</v>
      </c>
      <c r="C6519" s="10">
        <v>46054.0</v>
      </c>
      <c r="D6519" s="6" t="s">
        <v>391</v>
      </c>
      <c r="E6519" s="6" t="s">
        <v>1546</v>
      </c>
      <c r="F6519" s="6" t="s">
        <v>283</v>
      </c>
      <c r="G6519" s="6" t="s">
        <v>369</v>
      </c>
      <c r="H6519" s="11" t="s">
        <v>259</v>
      </c>
      <c r="I6519" s="12">
        <v>11.0</v>
      </c>
      <c r="J6519" s="6" t="s">
        <v>161</v>
      </c>
    </row>
    <row r="6520" ht="22.5" customHeight="1">
      <c r="A6520" s="6" t="s">
        <v>23328</v>
      </c>
      <c r="B6520" s="6" t="s">
        <v>14685</v>
      </c>
      <c r="C6520" s="10">
        <v>46058.0</v>
      </c>
      <c r="D6520" s="6" t="s">
        <v>289</v>
      </c>
      <c r="E6520" s="6" t="s">
        <v>738</v>
      </c>
      <c r="F6520" s="6" t="s">
        <v>283</v>
      </c>
      <c r="G6520" s="6" t="s">
        <v>297</v>
      </c>
      <c r="H6520" s="10">
        <v>46062.0</v>
      </c>
      <c r="I6520" s="12">
        <v>6.0</v>
      </c>
      <c r="J6520" s="6" t="s">
        <v>161</v>
      </c>
    </row>
    <row r="6521" ht="22.5" customHeight="1">
      <c r="A6521" s="6" t="s">
        <v>23329</v>
      </c>
      <c r="B6521" s="6" t="s">
        <v>14685</v>
      </c>
      <c r="C6521" s="10">
        <v>46046.0</v>
      </c>
      <c r="D6521" s="6" t="s">
        <v>416</v>
      </c>
      <c r="E6521" s="6" t="s">
        <v>583</v>
      </c>
      <c r="F6521" s="6" t="s">
        <v>283</v>
      </c>
      <c r="G6521" s="6" t="s">
        <v>452</v>
      </c>
      <c r="H6521" s="10">
        <v>46050.0</v>
      </c>
      <c r="I6521" s="12">
        <v>8.0</v>
      </c>
      <c r="J6521" s="6" t="s">
        <v>161</v>
      </c>
    </row>
    <row r="6522" ht="22.5" customHeight="1">
      <c r="A6522" s="6" t="s">
        <v>23330</v>
      </c>
      <c r="B6522" s="6" t="s">
        <v>14685</v>
      </c>
      <c r="C6522" s="10">
        <v>46058.0</v>
      </c>
      <c r="D6522" s="6" t="s">
        <v>391</v>
      </c>
      <c r="E6522" s="6" t="s">
        <v>566</v>
      </c>
      <c r="F6522" s="6" t="s">
        <v>283</v>
      </c>
      <c r="G6522" s="6" t="s">
        <v>452</v>
      </c>
      <c r="H6522" s="10">
        <v>46060.0</v>
      </c>
      <c r="I6522" s="12">
        <v>7.0</v>
      </c>
      <c r="J6522" s="6" t="s">
        <v>161</v>
      </c>
    </row>
    <row r="6523" ht="22.5" customHeight="1">
      <c r="A6523" s="6" t="s">
        <v>23331</v>
      </c>
      <c r="B6523" s="6" t="s">
        <v>14692</v>
      </c>
      <c r="C6523" s="10">
        <v>46067.0</v>
      </c>
      <c r="D6523" s="6" t="s">
        <v>391</v>
      </c>
      <c r="E6523" s="6" t="s">
        <v>1517</v>
      </c>
      <c r="F6523" s="6" t="s">
        <v>283</v>
      </c>
      <c r="G6523" s="6" t="s">
        <v>254</v>
      </c>
      <c r="H6523" s="10">
        <v>46070.0</v>
      </c>
      <c r="I6523" s="12">
        <v>9.0</v>
      </c>
      <c r="J6523" s="6" t="s">
        <v>161</v>
      </c>
    </row>
    <row r="6524" ht="22.5" customHeight="1">
      <c r="A6524" s="6" t="s">
        <v>23332</v>
      </c>
      <c r="B6524" s="6" t="s">
        <v>14692</v>
      </c>
      <c r="C6524" s="10">
        <v>46055.0</v>
      </c>
      <c r="D6524" s="6" t="s">
        <v>391</v>
      </c>
      <c r="E6524" s="6" t="s">
        <v>291</v>
      </c>
      <c r="F6524" s="6" t="s">
        <v>249</v>
      </c>
      <c r="G6524" s="6" t="s">
        <v>254</v>
      </c>
      <c r="H6524" s="10">
        <v>46061.0</v>
      </c>
      <c r="I6524" s="12">
        <v>7.0</v>
      </c>
      <c r="J6524" s="6" t="s">
        <v>161</v>
      </c>
    </row>
    <row r="6525" ht="22.5" customHeight="1">
      <c r="A6525" s="6" t="s">
        <v>23333</v>
      </c>
      <c r="B6525" s="6" t="s">
        <v>14692</v>
      </c>
      <c r="C6525" s="10">
        <v>46049.0</v>
      </c>
      <c r="D6525" s="6" t="s">
        <v>312</v>
      </c>
      <c r="E6525" s="6" t="s">
        <v>1149</v>
      </c>
      <c r="F6525" s="6" t="s">
        <v>112</v>
      </c>
      <c r="G6525" s="6" t="s">
        <v>477</v>
      </c>
      <c r="H6525" s="10">
        <v>46049.0</v>
      </c>
      <c r="I6525" s="12">
        <v>4.0</v>
      </c>
      <c r="J6525" s="6" t="s">
        <v>161</v>
      </c>
    </row>
    <row r="6526" ht="22.5" customHeight="1">
      <c r="A6526" s="6" t="s">
        <v>23334</v>
      </c>
      <c r="B6526" s="6" t="s">
        <v>14698</v>
      </c>
      <c r="C6526" s="10">
        <v>46047.0</v>
      </c>
      <c r="D6526" s="6" t="s">
        <v>677</v>
      </c>
      <c r="E6526" s="6" t="s">
        <v>634</v>
      </c>
      <c r="F6526" s="6" t="s">
        <v>439</v>
      </c>
      <c r="G6526" s="6" t="s">
        <v>494</v>
      </c>
      <c r="H6526" s="10">
        <v>46047.0</v>
      </c>
      <c r="I6526" s="12">
        <v>4.0</v>
      </c>
      <c r="J6526" s="6" t="s">
        <v>161</v>
      </c>
    </row>
    <row r="6527" ht="22.5" customHeight="1">
      <c r="A6527" s="6" t="s">
        <v>23335</v>
      </c>
      <c r="B6527" s="6" t="s">
        <v>14704</v>
      </c>
      <c r="C6527" s="10">
        <v>46051.0</v>
      </c>
      <c r="D6527" s="6" t="s">
        <v>436</v>
      </c>
      <c r="E6527" s="6" t="s">
        <v>1626</v>
      </c>
      <c r="F6527" s="6" t="s">
        <v>112</v>
      </c>
      <c r="G6527" s="6" t="s">
        <v>452</v>
      </c>
      <c r="H6527" s="10">
        <v>46054.0</v>
      </c>
      <c r="I6527" s="12">
        <v>7.0</v>
      </c>
      <c r="J6527" s="6" t="s">
        <v>178</v>
      </c>
    </row>
    <row r="6528" ht="22.5" customHeight="1">
      <c r="A6528" s="6" t="s">
        <v>23336</v>
      </c>
      <c r="B6528" s="6" t="s">
        <v>14711</v>
      </c>
      <c r="C6528" s="10">
        <v>46060.0</v>
      </c>
      <c r="D6528" s="6" t="s">
        <v>289</v>
      </c>
      <c r="E6528" s="6" t="s">
        <v>738</v>
      </c>
      <c r="F6528" s="6" t="s">
        <v>249</v>
      </c>
      <c r="G6528" s="6" t="s">
        <v>297</v>
      </c>
      <c r="H6528" s="10">
        <v>46067.0</v>
      </c>
      <c r="I6528" s="12">
        <v>7.0</v>
      </c>
      <c r="J6528" s="6" t="s">
        <v>161</v>
      </c>
    </row>
    <row r="6529" ht="22.5" customHeight="1">
      <c r="A6529" s="6" t="s">
        <v>23337</v>
      </c>
      <c r="B6529" s="6" t="s">
        <v>14717</v>
      </c>
      <c r="C6529" s="10">
        <v>46049.0</v>
      </c>
      <c r="D6529" s="6" t="s">
        <v>242</v>
      </c>
      <c r="E6529" s="6" t="s">
        <v>716</v>
      </c>
      <c r="F6529" s="6" t="s">
        <v>249</v>
      </c>
      <c r="G6529" s="6" t="s">
        <v>458</v>
      </c>
      <c r="H6529" s="10">
        <v>46051.0</v>
      </c>
      <c r="I6529" s="12">
        <v>3.0</v>
      </c>
      <c r="J6529" s="6" t="s">
        <v>178</v>
      </c>
    </row>
    <row r="6530" ht="22.5" customHeight="1">
      <c r="A6530" s="6" t="s">
        <v>23338</v>
      </c>
      <c r="B6530" s="6" t="s">
        <v>14717</v>
      </c>
      <c r="C6530" s="10">
        <v>46054.0</v>
      </c>
      <c r="D6530" s="6" t="s">
        <v>677</v>
      </c>
      <c r="E6530" s="6" t="s">
        <v>512</v>
      </c>
      <c r="F6530" s="6" t="s">
        <v>283</v>
      </c>
      <c r="G6530" s="6" t="s">
        <v>369</v>
      </c>
      <c r="H6530" s="10">
        <v>46059.0</v>
      </c>
      <c r="I6530" s="12">
        <v>4.0</v>
      </c>
      <c r="J6530" s="6" t="s">
        <v>161</v>
      </c>
    </row>
    <row r="6531" ht="22.5" customHeight="1">
      <c r="A6531" s="6" t="s">
        <v>23339</v>
      </c>
      <c r="B6531" s="6" t="s">
        <v>14723</v>
      </c>
      <c r="C6531" s="10">
        <v>46064.0</v>
      </c>
      <c r="D6531" s="6" t="s">
        <v>436</v>
      </c>
      <c r="E6531" s="6" t="s">
        <v>695</v>
      </c>
      <c r="F6531" s="6" t="s">
        <v>249</v>
      </c>
      <c r="G6531" s="6" t="s">
        <v>326</v>
      </c>
      <c r="H6531" s="10">
        <v>46068.0</v>
      </c>
      <c r="I6531" s="12">
        <v>9.0</v>
      </c>
      <c r="J6531" s="6" t="s">
        <v>178</v>
      </c>
    </row>
    <row r="6532" ht="22.5" customHeight="1">
      <c r="A6532" s="6" t="s">
        <v>23340</v>
      </c>
      <c r="B6532" s="6" t="s">
        <v>14723</v>
      </c>
      <c r="C6532" s="10">
        <v>46056.0</v>
      </c>
      <c r="D6532" s="6" t="s">
        <v>416</v>
      </c>
      <c r="E6532" s="6" t="s">
        <v>365</v>
      </c>
      <c r="F6532" s="6" t="s">
        <v>112</v>
      </c>
      <c r="G6532" s="6" t="s">
        <v>458</v>
      </c>
      <c r="H6532" s="10">
        <v>46056.0</v>
      </c>
      <c r="I6532" s="12">
        <v>14.0</v>
      </c>
      <c r="J6532" s="6" t="s">
        <v>161</v>
      </c>
    </row>
    <row r="6533" ht="22.5" customHeight="1">
      <c r="A6533" s="6" t="s">
        <v>23341</v>
      </c>
      <c r="B6533" s="6" t="s">
        <v>14723</v>
      </c>
      <c r="C6533" s="10">
        <v>46051.0</v>
      </c>
      <c r="D6533" s="6" t="s">
        <v>312</v>
      </c>
      <c r="E6533" s="6" t="s">
        <v>1310</v>
      </c>
      <c r="F6533" s="6" t="s">
        <v>249</v>
      </c>
      <c r="G6533" s="6" t="s">
        <v>477</v>
      </c>
      <c r="H6533" s="10">
        <v>46057.0</v>
      </c>
      <c r="I6533" s="12">
        <v>4.0</v>
      </c>
      <c r="J6533" s="6" t="s">
        <v>161</v>
      </c>
    </row>
    <row r="6534" ht="22.5" customHeight="1">
      <c r="A6534" s="6" t="s">
        <v>23342</v>
      </c>
      <c r="B6534" s="6" t="s">
        <v>14723</v>
      </c>
      <c r="C6534" s="10">
        <v>46065.0</v>
      </c>
      <c r="D6534" s="6" t="s">
        <v>677</v>
      </c>
      <c r="E6534" s="6" t="s">
        <v>566</v>
      </c>
      <c r="F6534" s="6" t="s">
        <v>439</v>
      </c>
      <c r="G6534" s="6" t="s">
        <v>452</v>
      </c>
      <c r="H6534" s="10">
        <v>46071.0</v>
      </c>
      <c r="I6534" s="12">
        <v>2.0</v>
      </c>
      <c r="J6534" s="6" t="s">
        <v>161</v>
      </c>
    </row>
    <row r="6535" ht="22.5" customHeight="1">
      <c r="A6535" s="6" t="s">
        <v>23343</v>
      </c>
      <c r="B6535" s="6" t="s">
        <v>14730</v>
      </c>
      <c r="C6535" s="10">
        <v>46059.0</v>
      </c>
      <c r="D6535" s="6" t="s">
        <v>312</v>
      </c>
      <c r="E6535" s="6" t="s">
        <v>1552</v>
      </c>
      <c r="F6535" s="6" t="s">
        <v>112</v>
      </c>
      <c r="G6535" s="6" t="s">
        <v>326</v>
      </c>
      <c r="H6535" s="10">
        <v>46062.0</v>
      </c>
      <c r="I6535" s="12">
        <v>6.0</v>
      </c>
      <c r="J6535" s="6" t="s">
        <v>161</v>
      </c>
    </row>
    <row r="6536" ht="22.5" customHeight="1">
      <c r="A6536" s="6" t="s">
        <v>23344</v>
      </c>
      <c r="B6536" s="6" t="s">
        <v>14730</v>
      </c>
      <c r="C6536" s="10">
        <v>46062.0</v>
      </c>
      <c r="D6536" s="6" t="s">
        <v>312</v>
      </c>
      <c r="E6536" s="6" t="s">
        <v>1969</v>
      </c>
      <c r="F6536" s="6" t="s">
        <v>249</v>
      </c>
      <c r="G6536" s="6" t="s">
        <v>254</v>
      </c>
      <c r="H6536" s="10">
        <v>46068.0</v>
      </c>
      <c r="I6536" s="12">
        <v>4.0</v>
      </c>
      <c r="J6536" s="6" t="s">
        <v>161</v>
      </c>
    </row>
    <row r="6537" ht="22.5" customHeight="1">
      <c r="A6537" s="6" t="s">
        <v>23345</v>
      </c>
      <c r="B6537" s="6" t="s">
        <v>14730</v>
      </c>
      <c r="C6537" s="10">
        <v>46057.0</v>
      </c>
      <c r="D6537" s="6" t="s">
        <v>242</v>
      </c>
      <c r="E6537" s="6" t="s">
        <v>738</v>
      </c>
      <c r="F6537" s="6" t="s">
        <v>112</v>
      </c>
      <c r="G6537" s="6" t="s">
        <v>297</v>
      </c>
      <c r="H6537" s="10">
        <v>46062.0</v>
      </c>
      <c r="I6537" s="12">
        <v>3.0</v>
      </c>
      <c r="J6537" s="6" t="s">
        <v>178</v>
      </c>
    </row>
    <row r="6538" ht="22.5" customHeight="1">
      <c r="A6538" s="6" t="s">
        <v>23346</v>
      </c>
      <c r="B6538" s="6" t="s">
        <v>14736</v>
      </c>
      <c r="C6538" s="10">
        <v>46050.0</v>
      </c>
      <c r="D6538" s="6" t="s">
        <v>242</v>
      </c>
      <c r="E6538" s="6" t="s">
        <v>1741</v>
      </c>
      <c r="F6538" s="6" t="s">
        <v>439</v>
      </c>
      <c r="G6538" s="6" t="s">
        <v>326</v>
      </c>
      <c r="H6538" s="10">
        <v>46050.0</v>
      </c>
      <c r="I6538" s="12">
        <v>4.0</v>
      </c>
      <c r="J6538" s="6" t="s">
        <v>178</v>
      </c>
    </row>
    <row r="6539" ht="22.5" customHeight="1">
      <c r="A6539" s="6" t="s">
        <v>23347</v>
      </c>
      <c r="B6539" s="6" t="s">
        <v>14736</v>
      </c>
      <c r="C6539" s="10">
        <v>46057.0</v>
      </c>
      <c r="D6539" s="6" t="s">
        <v>416</v>
      </c>
      <c r="E6539" s="6" t="s">
        <v>716</v>
      </c>
      <c r="F6539" s="6" t="s">
        <v>283</v>
      </c>
      <c r="G6539" s="6" t="s">
        <v>477</v>
      </c>
      <c r="H6539" s="10">
        <v>46058.0</v>
      </c>
      <c r="I6539" s="12">
        <v>10.0</v>
      </c>
      <c r="J6539" s="6" t="s">
        <v>161</v>
      </c>
    </row>
    <row r="6540" ht="22.5" customHeight="1">
      <c r="A6540" s="6" t="s">
        <v>23348</v>
      </c>
      <c r="B6540" s="6" t="s">
        <v>14736</v>
      </c>
      <c r="C6540" s="10">
        <v>46043.0</v>
      </c>
      <c r="D6540" s="6" t="s">
        <v>436</v>
      </c>
      <c r="E6540" s="6" t="s">
        <v>738</v>
      </c>
      <c r="F6540" s="6" t="s">
        <v>283</v>
      </c>
      <c r="G6540" s="6" t="s">
        <v>326</v>
      </c>
      <c r="H6540" s="10">
        <v>46044.0</v>
      </c>
      <c r="I6540" s="12">
        <v>11.0</v>
      </c>
      <c r="J6540" s="6" t="s">
        <v>178</v>
      </c>
    </row>
    <row r="6541" ht="22.5" customHeight="1">
      <c r="A6541" s="6" t="s">
        <v>23349</v>
      </c>
      <c r="B6541" s="6" t="s">
        <v>14736</v>
      </c>
      <c r="C6541" s="10">
        <v>46043.0</v>
      </c>
      <c r="D6541" s="6" t="s">
        <v>677</v>
      </c>
      <c r="E6541" s="6" t="s">
        <v>610</v>
      </c>
      <c r="F6541" s="6" t="s">
        <v>439</v>
      </c>
      <c r="G6541" s="6" t="s">
        <v>458</v>
      </c>
      <c r="H6541" s="10">
        <v>46043.0</v>
      </c>
      <c r="I6541" s="12">
        <v>4.0</v>
      </c>
      <c r="J6541" s="6" t="s">
        <v>161</v>
      </c>
    </row>
    <row r="6542" ht="22.5" customHeight="1">
      <c r="A6542" s="6" t="s">
        <v>23350</v>
      </c>
      <c r="B6542" s="6" t="s">
        <v>14736</v>
      </c>
      <c r="C6542" s="10">
        <v>46052.0</v>
      </c>
      <c r="D6542" s="6" t="s">
        <v>289</v>
      </c>
      <c r="E6542" s="6" t="s">
        <v>1386</v>
      </c>
      <c r="F6542" s="6" t="s">
        <v>112</v>
      </c>
      <c r="G6542" s="6" t="s">
        <v>494</v>
      </c>
      <c r="H6542" s="10">
        <v>46057.0</v>
      </c>
      <c r="I6542" s="12">
        <v>8.0</v>
      </c>
      <c r="J6542" s="6" t="s">
        <v>161</v>
      </c>
    </row>
    <row r="6543" ht="22.5" customHeight="1">
      <c r="A6543" s="6" t="s">
        <v>23351</v>
      </c>
      <c r="B6543" s="6" t="s">
        <v>14741</v>
      </c>
      <c r="C6543" s="10">
        <v>46047.0</v>
      </c>
      <c r="D6543" s="6" t="s">
        <v>242</v>
      </c>
      <c r="E6543" s="6" t="s">
        <v>731</v>
      </c>
      <c r="F6543" s="6" t="s">
        <v>439</v>
      </c>
      <c r="G6543" s="6" t="s">
        <v>452</v>
      </c>
      <c r="H6543" s="10">
        <v>46049.0</v>
      </c>
      <c r="I6543" s="12">
        <v>5.0</v>
      </c>
      <c r="J6543" s="6" t="s">
        <v>178</v>
      </c>
    </row>
    <row r="6544" ht="22.5" customHeight="1">
      <c r="A6544" s="6" t="s">
        <v>23352</v>
      </c>
      <c r="B6544" s="6" t="s">
        <v>14741</v>
      </c>
      <c r="C6544" s="10">
        <v>46047.0</v>
      </c>
      <c r="D6544" s="6" t="s">
        <v>391</v>
      </c>
      <c r="E6544" s="6" t="s">
        <v>687</v>
      </c>
      <c r="F6544" s="6" t="s">
        <v>249</v>
      </c>
      <c r="G6544" s="6" t="s">
        <v>254</v>
      </c>
      <c r="H6544" s="10">
        <v>46052.0</v>
      </c>
      <c r="I6544" s="12">
        <v>7.0</v>
      </c>
      <c r="J6544" s="6" t="s">
        <v>161</v>
      </c>
    </row>
    <row r="6545" ht="22.5" customHeight="1">
      <c r="A6545" s="6" t="s">
        <v>23353</v>
      </c>
      <c r="B6545" s="6" t="s">
        <v>14741</v>
      </c>
      <c r="C6545" s="10">
        <v>46066.0</v>
      </c>
      <c r="D6545" s="6" t="s">
        <v>677</v>
      </c>
      <c r="E6545" s="6" t="s">
        <v>1310</v>
      </c>
      <c r="F6545" s="6" t="s">
        <v>112</v>
      </c>
      <c r="G6545" s="6" t="s">
        <v>452</v>
      </c>
      <c r="H6545" s="10">
        <v>46071.0</v>
      </c>
      <c r="I6545" s="12">
        <v>3.0</v>
      </c>
      <c r="J6545" s="6" t="s">
        <v>161</v>
      </c>
    </row>
    <row r="6546" ht="22.5" customHeight="1">
      <c r="A6546" s="6" t="s">
        <v>23354</v>
      </c>
      <c r="B6546" s="6" t="s">
        <v>14741</v>
      </c>
      <c r="C6546" s="10">
        <v>46057.0</v>
      </c>
      <c r="D6546" s="6" t="s">
        <v>391</v>
      </c>
      <c r="E6546" s="6" t="s">
        <v>1700</v>
      </c>
      <c r="F6546" s="6" t="s">
        <v>439</v>
      </c>
      <c r="G6546" s="6" t="s">
        <v>452</v>
      </c>
      <c r="H6546" s="10">
        <v>46058.0</v>
      </c>
      <c r="I6546" s="12">
        <v>8.0</v>
      </c>
      <c r="J6546" s="6" t="s">
        <v>161</v>
      </c>
    </row>
    <row r="6547" ht="22.5" customHeight="1">
      <c r="A6547" s="6" t="s">
        <v>23355</v>
      </c>
      <c r="B6547" s="6" t="s">
        <v>14748</v>
      </c>
      <c r="C6547" s="10">
        <v>46068.0</v>
      </c>
      <c r="D6547" s="6" t="s">
        <v>312</v>
      </c>
      <c r="E6547" s="6" t="s">
        <v>1122</v>
      </c>
      <c r="F6547" s="6" t="s">
        <v>283</v>
      </c>
      <c r="G6547" s="6" t="s">
        <v>254</v>
      </c>
      <c r="H6547" s="10">
        <v>46073.0</v>
      </c>
      <c r="I6547" s="12">
        <v>5.0</v>
      </c>
      <c r="J6547" s="6" t="s">
        <v>161</v>
      </c>
    </row>
    <row r="6548" ht="22.5" customHeight="1">
      <c r="A6548" s="6" t="s">
        <v>23356</v>
      </c>
      <c r="B6548" s="6" t="s">
        <v>14754</v>
      </c>
      <c r="C6548" s="10">
        <v>46058.0</v>
      </c>
      <c r="D6548" s="6" t="s">
        <v>242</v>
      </c>
      <c r="E6548" s="6" t="s">
        <v>1241</v>
      </c>
      <c r="F6548" s="6" t="s">
        <v>112</v>
      </c>
      <c r="G6548" s="6" t="s">
        <v>326</v>
      </c>
      <c r="H6548" s="10">
        <v>46059.0</v>
      </c>
      <c r="I6548" s="12">
        <v>5.0</v>
      </c>
      <c r="J6548" s="6" t="s">
        <v>161</v>
      </c>
    </row>
    <row r="6549" ht="22.5" customHeight="1">
      <c r="A6549" s="6" t="s">
        <v>23357</v>
      </c>
      <c r="B6549" s="6" t="s">
        <v>14760</v>
      </c>
      <c r="C6549" s="10">
        <v>46070.0</v>
      </c>
      <c r="D6549" s="6" t="s">
        <v>289</v>
      </c>
      <c r="E6549" s="6" t="s">
        <v>798</v>
      </c>
      <c r="F6549" s="6" t="s">
        <v>283</v>
      </c>
      <c r="G6549" s="6" t="s">
        <v>254</v>
      </c>
      <c r="H6549" s="10">
        <v>46077.0</v>
      </c>
      <c r="I6549" s="12">
        <v>10.0</v>
      </c>
      <c r="J6549" s="6" t="s">
        <v>161</v>
      </c>
    </row>
    <row r="6550" ht="22.5" customHeight="1">
      <c r="A6550" s="6" t="s">
        <v>23358</v>
      </c>
      <c r="B6550" s="6" t="s">
        <v>14760</v>
      </c>
      <c r="C6550" s="10">
        <v>46071.0</v>
      </c>
      <c r="D6550" s="6" t="s">
        <v>242</v>
      </c>
      <c r="E6550" s="6" t="s">
        <v>417</v>
      </c>
      <c r="F6550" s="6" t="s">
        <v>283</v>
      </c>
      <c r="G6550" s="6" t="s">
        <v>458</v>
      </c>
      <c r="H6550" s="10">
        <v>46078.0</v>
      </c>
      <c r="I6550" s="12">
        <v>6.0</v>
      </c>
      <c r="J6550" s="6" t="s">
        <v>161</v>
      </c>
    </row>
    <row r="6551" ht="22.5" customHeight="1">
      <c r="A6551" s="6" t="s">
        <v>23359</v>
      </c>
      <c r="B6551" s="6" t="s">
        <v>14760</v>
      </c>
      <c r="C6551" s="10">
        <v>46074.0</v>
      </c>
      <c r="D6551" s="6" t="s">
        <v>312</v>
      </c>
      <c r="E6551" s="6" t="s">
        <v>704</v>
      </c>
      <c r="F6551" s="6" t="s">
        <v>439</v>
      </c>
      <c r="G6551" s="6" t="s">
        <v>477</v>
      </c>
      <c r="H6551" s="11" t="s">
        <v>259</v>
      </c>
      <c r="I6551" s="12">
        <v>5.0</v>
      </c>
      <c r="J6551" s="6" t="s">
        <v>161</v>
      </c>
    </row>
    <row r="6552" ht="22.5" customHeight="1">
      <c r="A6552" s="6" t="s">
        <v>23360</v>
      </c>
      <c r="B6552" s="6" t="s">
        <v>14760</v>
      </c>
      <c r="C6552" s="10">
        <v>46077.0</v>
      </c>
      <c r="D6552" s="6" t="s">
        <v>436</v>
      </c>
      <c r="E6552" s="6" t="s">
        <v>566</v>
      </c>
      <c r="F6552" s="6" t="s">
        <v>439</v>
      </c>
      <c r="G6552" s="6" t="s">
        <v>297</v>
      </c>
      <c r="H6552" s="10">
        <v>46084.0</v>
      </c>
      <c r="I6552" s="12">
        <v>7.0</v>
      </c>
      <c r="J6552" s="6" t="s">
        <v>161</v>
      </c>
    </row>
    <row r="6553" ht="22.5" customHeight="1">
      <c r="A6553" s="6" t="s">
        <v>23361</v>
      </c>
      <c r="B6553" s="6" t="s">
        <v>14760</v>
      </c>
      <c r="C6553" s="10">
        <v>46065.0</v>
      </c>
      <c r="D6553" s="6" t="s">
        <v>312</v>
      </c>
      <c r="E6553" s="6" t="s">
        <v>896</v>
      </c>
      <c r="F6553" s="6" t="s">
        <v>249</v>
      </c>
      <c r="G6553" s="6" t="s">
        <v>254</v>
      </c>
      <c r="H6553" s="10">
        <v>46071.0</v>
      </c>
      <c r="I6553" s="12">
        <v>7.0</v>
      </c>
      <c r="J6553" s="6" t="s">
        <v>161</v>
      </c>
    </row>
    <row r="6554" ht="22.5" customHeight="1">
      <c r="A6554" s="6" t="s">
        <v>23362</v>
      </c>
      <c r="B6554" s="6" t="s">
        <v>14767</v>
      </c>
      <c r="C6554" s="10">
        <v>46081.0</v>
      </c>
      <c r="D6554" s="6" t="s">
        <v>289</v>
      </c>
      <c r="E6554" s="6" t="s">
        <v>687</v>
      </c>
      <c r="F6554" s="6" t="s">
        <v>439</v>
      </c>
      <c r="G6554" s="6" t="s">
        <v>326</v>
      </c>
      <c r="H6554" s="10">
        <v>46088.0</v>
      </c>
      <c r="I6554" s="12">
        <v>5.0</v>
      </c>
      <c r="J6554" s="6" t="s">
        <v>161</v>
      </c>
    </row>
    <row r="6555" ht="22.5" customHeight="1">
      <c r="A6555" s="6" t="s">
        <v>23363</v>
      </c>
      <c r="B6555" s="6" t="s">
        <v>14773</v>
      </c>
      <c r="C6555" s="10">
        <v>46042.0</v>
      </c>
      <c r="D6555" s="6" t="s">
        <v>312</v>
      </c>
      <c r="E6555" s="6" t="s">
        <v>955</v>
      </c>
      <c r="F6555" s="6" t="s">
        <v>112</v>
      </c>
      <c r="G6555" s="6" t="s">
        <v>458</v>
      </c>
      <c r="H6555" s="10">
        <v>46045.0</v>
      </c>
      <c r="I6555" s="12">
        <v>7.0</v>
      </c>
      <c r="J6555" s="6" t="s">
        <v>161</v>
      </c>
    </row>
    <row r="6556" ht="22.5" customHeight="1">
      <c r="A6556" s="6" t="s">
        <v>23364</v>
      </c>
      <c r="B6556" s="6" t="s">
        <v>14773</v>
      </c>
      <c r="C6556" s="10">
        <v>46041.0</v>
      </c>
      <c r="D6556" s="6" t="s">
        <v>242</v>
      </c>
      <c r="E6556" s="6" t="s">
        <v>1122</v>
      </c>
      <c r="F6556" s="6" t="s">
        <v>439</v>
      </c>
      <c r="G6556" s="6" t="s">
        <v>369</v>
      </c>
      <c r="H6556" s="10">
        <v>46041.0</v>
      </c>
      <c r="I6556" s="12">
        <v>4.0</v>
      </c>
      <c r="J6556" s="6" t="s">
        <v>178</v>
      </c>
    </row>
    <row r="6557" ht="22.5" customHeight="1">
      <c r="A6557" s="6" t="s">
        <v>23365</v>
      </c>
      <c r="B6557" s="6" t="s">
        <v>14773</v>
      </c>
      <c r="C6557" s="10">
        <v>46037.0</v>
      </c>
      <c r="D6557" s="6" t="s">
        <v>436</v>
      </c>
      <c r="E6557" s="6" t="s">
        <v>787</v>
      </c>
      <c r="F6557" s="6" t="s">
        <v>439</v>
      </c>
      <c r="G6557" s="6" t="s">
        <v>458</v>
      </c>
      <c r="H6557" s="10">
        <v>46040.0</v>
      </c>
      <c r="I6557" s="12">
        <v>11.0</v>
      </c>
      <c r="J6557" s="6" t="s">
        <v>178</v>
      </c>
    </row>
    <row r="6558" ht="22.5" customHeight="1">
      <c r="A6558" s="6" t="s">
        <v>23366</v>
      </c>
      <c r="B6558" s="6" t="s">
        <v>14779</v>
      </c>
      <c r="C6558" s="10">
        <v>46084.0</v>
      </c>
      <c r="D6558" s="6" t="s">
        <v>289</v>
      </c>
      <c r="E6558" s="6" t="s">
        <v>955</v>
      </c>
      <c r="F6558" s="6" t="s">
        <v>283</v>
      </c>
      <c r="G6558" s="6" t="s">
        <v>477</v>
      </c>
      <c r="H6558" s="11" t="s">
        <v>259</v>
      </c>
      <c r="I6558" s="12">
        <v>7.0</v>
      </c>
      <c r="J6558" s="6" t="s">
        <v>161</v>
      </c>
    </row>
    <row r="6559" ht="22.5" customHeight="1">
      <c r="A6559" s="6" t="s">
        <v>23367</v>
      </c>
      <c r="B6559" s="6" t="s">
        <v>14779</v>
      </c>
      <c r="C6559" s="10">
        <v>46085.0</v>
      </c>
      <c r="D6559" s="6" t="s">
        <v>416</v>
      </c>
      <c r="E6559" s="6" t="s">
        <v>1122</v>
      </c>
      <c r="F6559" s="6" t="s">
        <v>439</v>
      </c>
      <c r="G6559" s="6" t="s">
        <v>297</v>
      </c>
      <c r="H6559" s="11" t="s">
        <v>259</v>
      </c>
      <c r="I6559" s="12">
        <v>9.0</v>
      </c>
      <c r="J6559" s="6" t="s">
        <v>161</v>
      </c>
    </row>
    <row r="6560" ht="22.5" customHeight="1">
      <c r="A6560" s="6" t="s">
        <v>23368</v>
      </c>
      <c r="B6560" s="6" t="s">
        <v>14779</v>
      </c>
      <c r="C6560" s="10">
        <v>46072.0</v>
      </c>
      <c r="D6560" s="6" t="s">
        <v>677</v>
      </c>
      <c r="E6560" s="6" t="s">
        <v>394</v>
      </c>
      <c r="F6560" s="6" t="s">
        <v>439</v>
      </c>
      <c r="G6560" s="6" t="s">
        <v>326</v>
      </c>
      <c r="H6560" s="11" t="s">
        <v>259</v>
      </c>
      <c r="I6560" s="12">
        <v>4.0</v>
      </c>
      <c r="J6560" s="6" t="s">
        <v>161</v>
      </c>
    </row>
    <row r="6561" ht="22.5" customHeight="1">
      <c r="A6561" s="6" t="s">
        <v>23369</v>
      </c>
      <c r="B6561" s="6" t="s">
        <v>14779</v>
      </c>
      <c r="C6561" s="10">
        <v>46084.0</v>
      </c>
      <c r="D6561" s="6" t="s">
        <v>391</v>
      </c>
      <c r="E6561" s="6" t="s">
        <v>1035</v>
      </c>
      <c r="F6561" s="6" t="s">
        <v>249</v>
      </c>
      <c r="G6561" s="6" t="s">
        <v>458</v>
      </c>
      <c r="H6561" s="10">
        <v>46084.0</v>
      </c>
      <c r="I6561" s="12">
        <v>11.0</v>
      </c>
      <c r="J6561" s="6" t="s">
        <v>161</v>
      </c>
    </row>
    <row r="6562" ht="22.5" customHeight="1">
      <c r="A6562" s="6" t="s">
        <v>23370</v>
      </c>
      <c r="B6562" s="6" t="s">
        <v>14779</v>
      </c>
      <c r="C6562" s="10">
        <v>46082.0</v>
      </c>
      <c r="D6562" s="6" t="s">
        <v>436</v>
      </c>
      <c r="E6562" s="6" t="s">
        <v>1296</v>
      </c>
      <c r="F6562" s="6" t="s">
        <v>439</v>
      </c>
      <c r="G6562" s="6" t="s">
        <v>452</v>
      </c>
      <c r="H6562" s="10">
        <v>46083.0</v>
      </c>
      <c r="I6562" s="12">
        <v>8.0</v>
      </c>
      <c r="J6562" s="6" t="s">
        <v>178</v>
      </c>
    </row>
    <row r="6563" ht="22.5" customHeight="1">
      <c r="A6563" s="6" t="s">
        <v>23371</v>
      </c>
      <c r="B6563" s="6" t="s">
        <v>14785</v>
      </c>
      <c r="C6563" s="10">
        <v>46035.0</v>
      </c>
      <c r="D6563" s="6" t="s">
        <v>416</v>
      </c>
      <c r="E6563" s="6" t="s">
        <v>2881</v>
      </c>
      <c r="F6563" s="6" t="s">
        <v>283</v>
      </c>
      <c r="G6563" s="6" t="s">
        <v>458</v>
      </c>
      <c r="H6563" s="10">
        <v>46041.0</v>
      </c>
      <c r="I6563" s="12">
        <v>10.0</v>
      </c>
      <c r="J6563" s="6" t="s">
        <v>161</v>
      </c>
    </row>
    <row r="6564" ht="22.5" customHeight="1">
      <c r="A6564" s="6" t="s">
        <v>23372</v>
      </c>
      <c r="B6564" s="6" t="s">
        <v>14785</v>
      </c>
      <c r="C6564" s="10">
        <v>46052.0</v>
      </c>
      <c r="D6564" s="6" t="s">
        <v>312</v>
      </c>
      <c r="E6564" s="6" t="s">
        <v>394</v>
      </c>
      <c r="F6564" s="6" t="s">
        <v>283</v>
      </c>
      <c r="G6564" s="6" t="s">
        <v>452</v>
      </c>
      <c r="H6564" s="10">
        <v>46054.0</v>
      </c>
      <c r="I6564" s="12">
        <v>6.0</v>
      </c>
      <c r="J6564" s="6" t="s">
        <v>161</v>
      </c>
    </row>
    <row r="6565" ht="22.5" customHeight="1">
      <c r="A6565" s="6" t="s">
        <v>23373</v>
      </c>
      <c r="B6565" s="6" t="s">
        <v>14785</v>
      </c>
      <c r="C6565" s="10">
        <v>46038.0</v>
      </c>
      <c r="D6565" s="6" t="s">
        <v>391</v>
      </c>
      <c r="E6565" s="6" t="s">
        <v>738</v>
      </c>
      <c r="F6565" s="6" t="s">
        <v>249</v>
      </c>
      <c r="G6565" s="6" t="s">
        <v>369</v>
      </c>
      <c r="H6565" s="10">
        <v>46041.0</v>
      </c>
      <c r="I6565" s="12">
        <v>6.0</v>
      </c>
      <c r="J6565" s="6" t="s">
        <v>161</v>
      </c>
    </row>
    <row r="6566" ht="22.5" customHeight="1">
      <c r="A6566" s="6" t="s">
        <v>23374</v>
      </c>
      <c r="B6566" s="6" t="s">
        <v>14785</v>
      </c>
      <c r="C6566" s="10">
        <v>46039.0</v>
      </c>
      <c r="D6566" s="6" t="s">
        <v>242</v>
      </c>
      <c r="E6566" s="6" t="s">
        <v>566</v>
      </c>
      <c r="F6566" s="6" t="s">
        <v>249</v>
      </c>
      <c r="G6566" s="6" t="s">
        <v>369</v>
      </c>
      <c r="H6566" s="10">
        <v>46040.0</v>
      </c>
      <c r="I6566" s="12">
        <v>3.0</v>
      </c>
      <c r="J6566" s="6" t="s">
        <v>161</v>
      </c>
    </row>
    <row r="6567" ht="22.5" customHeight="1">
      <c r="A6567" s="6" t="s">
        <v>23375</v>
      </c>
      <c r="B6567" s="6" t="s">
        <v>14785</v>
      </c>
      <c r="C6567" s="10">
        <v>46045.0</v>
      </c>
      <c r="D6567" s="6" t="s">
        <v>312</v>
      </c>
      <c r="E6567" s="6" t="s">
        <v>246</v>
      </c>
      <c r="F6567" s="6" t="s">
        <v>249</v>
      </c>
      <c r="G6567" s="6" t="s">
        <v>477</v>
      </c>
      <c r="H6567" s="10">
        <v>46051.0</v>
      </c>
      <c r="I6567" s="12">
        <v>6.0</v>
      </c>
      <c r="J6567" s="6" t="s">
        <v>161</v>
      </c>
    </row>
    <row r="6568" ht="22.5" customHeight="1">
      <c r="A6568" s="6" t="s">
        <v>23376</v>
      </c>
      <c r="B6568" s="6" t="s">
        <v>14792</v>
      </c>
      <c r="C6568" s="10">
        <v>46064.0</v>
      </c>
      <c r="D6568" s="6" t="s">
        <v>416</v>
      </c>
      <c r="E6568" s="6" t="s">
        <v>812</v>
      </c>
      <c r="F6568" s="6" t="s">
        <v>439</v>
      </c>
      <c r="G6568" s="6" t="s">
        <v>494</v>
      </c>
      <c r="H6568" s="10">
        <v>46067.0</v>
      </c>
      <c r="I6568" s="12">
        <v>13.0</v>
      </c>
      <c r="J6568" s="6" t="s">
        <v>161</v>
      </c>
    </row>
    <row r="6569" ht="22.5" customHeight="1">
      <c r="A6569" s="6" t="s">
        <v>23377</v>
      </c>
      <c r="B6569" s="6" t="s">
        <v>14792</v>
      </c>
      <c r="C6569" s="10">
        <v>46051.0</v>
      </c>
      <c r="D6569" s="6" t="s">
        <v>312</v>
      </c>
      <c r="E6569" s="6" t="s">
        <v>417</v>
      </c>
      <c r="F6569" s="6" t="s">
        <v>283</v>
      </c>
      <c r="G6569" s="6" t="s">
        <v>494</v>
      </c>
      <c r="H6569" s="10">
        <v>46056.0</v>
      </c>
      <c r="I6569" s="12">
        <v>6.0</v>
      </c>
      <c r="J6569" s="6" t="s">
        <v>161</v>
      </c>
    </row>
    <row r="6570" ht="22.5" customHeight="1">
      <c r="A6570" s="6" t="s">
        <v>23378</v>
      </c>
      <c r="B6570" s="6" t="s">
        <v>14792</v>
      </c>
      <c r="C6570" s="10">
        <v>46054.0</v>
      </c>
      <c r="D6570" s="6" t="s">
        <v>391</v>
      </c>
      <c r="E6570" s="6" t="s">
        <v>291</v>
      </c>
      <c r="F6570" s="6" t="s">
        <v>283</v>
      </c>
      <c r="G6570" s="6" t="s">
        <v>477</v>
      </c>
      <c r="H6570" s="10">
        <v>46058.0</v>
      </c>
      <c r="I6570" s="12">
        <v>9.0</v>
      </c>
      <c r="J6570" s="6" t="s">
        <v>161</v>
      </c>
    </row>
    <row r="6571" ht="22.5" customHeight="1">
      <c r="A6571" s="6" t="s">
        <v>23379</v>
      </c>
      <c r="B6571" s="6" t="s">
        <v>14792</v>
      </c>
      <c r="C6571" s="10">
        <v>46059.0</v>
      </c>
      <c r="D6571" s="6" t="s">
        <v>677</v>
      </c>
      <c r="E6571" s="6" t="s">
        <v>716</v>
      </c>
      <c r="F6571" s="6" t="s">
        <v>439</v>
      </c>
      <c r="G6571" s="6" t="s">
        <v>369</v>
      </c>
      <c r="H6571" s="10">
        <v>46063.0</v>
      </c>
      <c r="I6571" s="12">
        <v>2.0</v>
      </c>
      <c r="J6571" s="6" t="s">
        <v>161</v>
      </c>
    </row>
    <row r="6572" ht="22.5" customHeight="1">
      <c r="A6572" s="6" t="s">
        <v>23380</v>
      </c>
      <c r="B6572" s="6" t="s">
        <v>14792</v>
      </c>
      <c r="C6572" s="10">
        <v>46054.0</v>
      </c>
      <c r="D6572" s="6" t="s">
        <v>416</v>
      </c>
      <c r="E6572" s="6" t="s">
        <v>1241</v>
      </c>
      <c r="F6572" s="6" t="s">
        <v>112</v>
      </c>
      <c r="G6572" s="6" t="s">
        <v>369</v>
      </c>
      <c r="H6572" s="10">
        <v>46061.0</v>
      </c>
      <c r="I6572" s="12">
        <v>11.0</v>
      </c>
      <c r="J6572" s="6" t="s">
        <v>161</v>
      </c>
    </row>
    <row r="6573" ht="22.5" customHeight="1">
      <c r="A6573" s="6" t="s">
        <v>23381</v>
      </c>
      <c r="B6573" s="6" t="s">
        <v>14797</v>
      </c>
      <c r="C6573" s="10">
        <v>46032.0</v>
      </c>
      <c r="D6573" s="6" t="s">
        <v>677</v>
      </c>
      <c r="E6573" s="6" t="s">
        <v>1741</v>
      </c>
      <c r="F6573" s="6" t="s">
        <v>249</v>
      </c>
      <c r="G6573" s="6" t="s">
        <v>254</v>
      </c>
      <c r="H6573" s="10">
        <v>46032.0</v>
      </c>
      <c r="I6573" s="12">
        <v>2.0</v>
      </c>
      <c r="J6573" s="6" t="s">
        <v>161</v>
      </c>
    </row>
    <row r="6574" ht="22.5" customHeight="1">
      <c r="A6574" s="6" t="s">
        <v>23382</v>
      </c>
      <c r="B6574" s="6" t="s">
        <v>14804</v>
      </c>
      <c r="C6574" s="10">
        <v>46065.0</v>
      </c>
      <c r="D6574" s="6" t="s">
        <v>312</v>
      </c>
      <c r="E6574" s="6" t="s">
        <v>812</v>
      </c>
      <c r="F6574" s="6" t="s">
        <v>249</v>
      </c>
      <c r="G6574" s="6" t="s">
        <v>369</v>
      </c>
      <c r="H6574" s="10">
        <v>46068.0</v>
      </c>
      <c r="I6574" s="12">
        <v>4.0</v>
      </c>
      <c r="J6574" s="6" t="s">
        <v>161</v>
      </c>
    </row>
    <row r="6575" ht="22.5" customHeight="1">
      <c r="A6575" s="6" t="s">
        <v>23383</v>
      </c>
      <c r="B6575" s="6" t="s">
        <v>14804</v>
      </c>
      <c r="C6575" s="10">
        <v>46060.0</v>
      </c>
      <c r="D6575" s="6" t="s">
        <v>677</v>
      </c>
      <c r="E6575" s="6" t="s">
        <v>438</v>
      </c>
      <c r="F6575" s="6" t="s">
        <v>249</v>
      </c>
      <c r="G6575" s="6" t="s">
        <v>458</v>
      </c>
      <c r="H6575" s="10">
        <v>46062.0</v>
      </c>
      <c r="I6575" s="12">
        <v>4.0</v>
      </c>
      <c r="J6575" s="6" t="s">
        <v>161</v>
      </c>
    </row>
    <row r="6576" ht="22.5" customHeight="1">
      <c r="A6576" s="6" t="s">
        <v>23384</v>
      </c>
      <c r="B6576" s="6" t="s">
        <v>14804</v>
      </c>
      <c r="C6576" s="10">
        <v>46053.0</v>
      </c>
      <c r="D6576" s="6" t="s">
        <v>289</v>
      </c>
      <c r="E6576" s="6" t="s">
        <v>320</v>
      </c>
      <c r="F6576" s="6" t="s">
        <v>283</v>
      </c>
      <c r="G6576" s="6" t="s">
        <v>477</v>
      </c>
      <c r="H6576" s="10">
        <v>46056.0</v>
      </c>
      <c r="I6576" s="12">
        <v>7.0</v>
      </c>
      <c r="J6576" s="6" t="s">
        <v>161</v>
      </c>
    </row>
    <row r="6577" ht="22.5" customHeight="1">
      <c r="A6577" s="6" t="s">
        <v>23385</v>
      </c>
      <c r="B6577" s="6" t="s">
        <v>14804</v>
      </c>
      <c r="C6577" s="10">
        <v>46057.0</v>
      </c>
      <c r="D6577" s="6" t="s">
        <v>391</v>
      </c>
      <c r="E6577" s="6" t="s">
        <v>738</v>
      </c>
      <c r="F6577" s="6" t="s">
        <v>439</v>
      </c>
      <c r="G6577" s="6" t="s">
        <v>494</v>
      </c>
      <c r="H6577" s="11" t="s">
        <v>259</v>
      </c>
      <c r="I6577" s="12">
        <v>9.0</v>
      </c>
      <c r="J6577" s="6" t="s">
        <v>161</v>
      </c>
    </row>
    <row r="6578" ht="22.5" customHeight="1">
      <c r="A6578" s="6" t="s">
        <v>23386</v>
      </c>
      <c r="B6578" s="6" t="s">
        <v>14804</v>
      </c>
      <c r="C6578" s="10">
        <v>46067.0</v>
      </c>
      <c r="D6578" s="6" t="s">
        <v>416</v>
      </c>
      <c r="E6578" s="6" t="s">
        <v>246</v>
      </c>
      <c r="F6578" s="6" t="s">
        <v>283</v>
      </c>
      <c r="G6578" s="6" t="s">
        <v>452</v>
      </c>
      <c r="H6578" s="10">
        <v>46068.0</v>
      </c>
      <c r="I6578" s="12">
        <v>13.0</v>
      </c>
      <c r="J6578" s="6" t="s">
        <v>161</v>
      </c>
    </row>
    <row r="6579" ht="22.5" customHeight="1">
      <c r="A6579" s="6" t="s">
        <v>23387</v>
      </c>
      <c r="B6579" s="6" t="s">
        <v>14810</v>
      </c>
      <c r="C6579" s="10">
        <v>46074.0</v>
      </c>
      <c r="D6579" s="6" t="s">
        <v>391</v>
      </c>
      <c r="E6579" s="6" t="s">
        <v>634</v>
      </c>
      <c r="F6579" s="6" t="s">
        <v>249</v>
      </c>
      <c r="G6579" s="6" t="s">
        <v>326</v>
      </c>
      <c r="H6579" s="10">
        <v>46081.0</v>
      </c>
      <c r="I6579" s="12">
        <v>6.0</v>
      </c>
      <c r="J6579" s="6" t="s">
        <v>161</v>
      </c>
    </row>
    <row r="6580" ht="22.5" customHeight="1">
      <c r="A6580" s="6" t="s">
        <v>23388</v>
      </c>
      <c r="B6580" s="6" t="s">
        <v>14810</v>
      </c>
      <c r="C6580" s="10">
        <v>46064.0</v>
      </c>
      <c r="D6580" s="6" t="s">
        <v>436</v>
      </c>
      <c r="E6580" s="6" t="s">
        <v>2365</v>
      </c>
      <c r="F6580" s="6" t="s">
        <v>249</v>
      </c>
      <c r="G6580" s="6" t="s">
        <v>297</v>
      </c>
      <c r="H6580" s="10">
        <v>46067.0</v>
      </c>
      <c r="I6580" s="12">
        <v>10.0</v>
      </c>
      <c r="J6580" s="6" t="s">
        <v>161</v>
      </c>
    </row>
    <row r="6581" ht="22.5" customHeight="1">
      <c r="A6581" s="6" t="s">
        <v>23389</v>
      </c>
      <c r="B6581" s="6" t="s">
        <v>14810</v>
      </c>
      <c r="C6581" s="10">
        <v>46079.0</v>
      </c>
      <c r="D6581" s="6" t="s">
        <v>312</v>
      </c>
      <c r="E6581" s="6" t="s">
        <v>2881</v>
      </c>
      <c r="F6581" s="6" t="s">
        <v>249</v>
      </c>
      <c r="G6581" s="6" t="s">
        <v>477</v>
      </c>
      <c r="H6581" s="10">
        <v>46083.0</v>
      </c>
      <c r="I6581" s="12">
        <v>5.0</v>
      </c>
      <c r="J6581" s="6" t="s">
        <v>161</v>
      </c>
    </row>
    <row r="6582" ht="22.5" customHeight="1">
      <c r="A6582" s="6" t="s">
        <v>23390</v>
      </c>
      <c r="B6582" s="6" t="s">
        <v>14810</v>
      </c>
      <c r="C6582" s="10">
        <v>46080.0</v>
      </c>
      <c r="D6582" s="6" t="s">
        <v>436</v>
      </c>
      <c r="E6582" s="6" t="s">
        <v>417</v>
      </c>
      <c r="F6582" s="6" t="s">
        <v>112</v>
      </c>
      <c r="G6582" s="6" t="s">
        <v>494</v>
      </c>
      <c r="H6582" s="10">
        <v>46080.0</v>
      </c>
      <c r="I6582" s="12">
        <v>11.0</v>
      </c>
      <c r="J6582" s="6" t="s">
        <v>178</v>
      </c>
    </row>
    <row r="6583" ht="22.5" customHeight="1">
      <c r="A6583" s="6" t="s">
        <v>23391</v>
      </c>
      <c r="B6583" s="6" t="s">
        <v>14818</v>
      </c>
      <c r="C6583" s="10">
        <v>46055.0</v>
      </c>
      <c r="D6583" s="6" t="s">
        <v>677</v>
      </c>
      <c r="E6583" s="6" t="s">
        <v>466</v>
      </c>
      <c r="F6583" s="6" t="s">
        <v>112</v>
      </c>
      <c r="G6583" s="6" t="s">
        <v>297</v>
      </c>
      <c r="H6583" s="10">
        <v>46062.0</v>
      </c>
      <c r="I6583" s="12">
        <v>2.0</v>
      </c>
      <c r="J6583" s="6" t="s">
        <v>161</v>
      </c>
    </row>
    <row r="6584" ht="22.5" customHeight="1">
      <c r="A6584" s="6" t="s">
        <v>23392</v>
      </c>
      <c r="B6584" s="6" t="s">
        <v>14818</v>
      </c>
      <c r="C6584" s="10">
        <v>46051.0</v>
      </c>
      <c r="D6584" s="6" t="s">
        <v>677</v>
      </c>
      <c r="E6584" s="6" t="s">
        <v>731</v>
      </c>
      <c r="F6584" s="6" t="s">
        <v>439</v>
      </c>
      <c r="G6584" s="6" t="s">
        <v>369</v>
      </c>
      <c r="H6584" s="10">
        <v>46057.0</v>
      </c>
      <c r="I6584" s="12">
        <v>2.0</v>
      </c>
      <c r="J6584" s="6" t="s">
        <v>161</v>
      </c>
    </row>
    <row r="6585" ht="22.5" customHeight="1">
      <c r="A6585" s="6" t="s">
        <v>23393</v>
      </c>
      <c r="B6585" s="6" t="s">
        <v>14818</v>
      </c>
      <c r="C6585" s="10">
        <v>46043.0</v>
      </c>
      <c r="D6585" s="6" t="s">
        <v>289</v>
      </c>
      <c r="E6585" s="6" t="s">
        <v>2365</v>
      </c>
      <c r="F6585" s="6" t="s">
        <v>439</v>
      </c>
      <c r="G6585" s="6" t="s">
        <v>494</v>
      </c>
      <c r="H6585" s="11" t="s">
        <v>259</v>
      </c>
      <c r="I6585" s="12">
        <v>7.0</v>
      </c>
      <c r="J6585" s="6" t="s">
        <v>161</v>
      </c>
    </row>
    <row r="6586" ht="22.5" customHeight="1">
      <c r="A6586" s="6" t="s">
        <v>23394</v>
      </c>
      <c r="B6586" s="6" t="s">
        <v>14818</v>
      </c>
      <c r="C6586" s="10">
        <v>46049.0</v>
      </c>
      <c r="D6586" s="6" t="s">
        <v>391</v>
      </c>
      <c r="E6586" s="6" t="s">
        <v>618</v>
      </c>
      <c r="F6586" s="6" t="s">
        <v>112</v>
      </c>
      <c r="G6586" s="6" t="s">
        <v>477</v>
      </c>
      <c r="H6586" s="10">
        <v>46051.0</v>
      </c>
      <c r="I6586" s="12">
        <v>9.0</v>
      </c>
      <c r="J6586" s="6" t="s">
        <v>161</v>
      </c>
    </row>
    <row r="6587" ht="22.5" customHeight="1">
      <c r="A6587" s="6" t="s">
        <v>23395</v>
      </c>
      <c r="B6587" s="6" t="s">
        <v>14824</v>
      </c>
      <c r="C6587" s="10">
        <v>46049.0</v>
      </c>
      <c r="D6587" s="6" t="s">
        <v>312</v>
      </c>
      <c r="E6587" s="6" t="s">
        <v>450</v>
      </c>
      <c r="F6587" s="6" t="s">
        <v>439</v>
      </c>
      <c r="G6587" s="6" t="s">
        <v>254</v>
      </c>
      <c r="H6587" s="10">
        <v>46049.0</v>
      </c>
      <c r="I6587" s="12">
        <v>4.0</v>
      </c>
      <c r="J6587" s="6" t="s">
        <v>161</v>
      </c>
    </row>
    <row r="6588" ht="22.5" customHeight="1">
      <c r="A6588" s="6" t="s">
        <v>23396</v>
      </c>
      <c r="B6588" s="6" t="s">
        <v>14824</v>
      </c>
      <c r="C6588" s="10">
        <v>46053.0</v>
      </c>
      <c r="D6588" s="6" t="s">
        <v>289</v>
      </c>
      <c r="E6588" s="6" t="s">
        <v>618</v>
      </c>
      <c r="F6588" s="6" t="s">
        <v>112</v>
      </c>
      <c r="G6588" s="6" t="s">
        <v>452</v>
      </c>
      <c r="H6588" s="10">
        <v>46054.0</v>
      </c>
      <c r="I6588" s="12">
        <v>9.0</v>
      </c>
      <c r="J6588" s="6" t="s">
        <v>161</v>
      </c>
    </row>
    <row r="6589" ht="22.5" customHeight="1">
      <c r="A6589" s="6" t="s">
        <v>23397</v>
      </c>
      <c r="B6589" s="6" t="s">
        <v>14824</v>
      </c>
      <c r="C6589" s="10">
        <v>46059.0</v>
      </c>
      <c r="D6589" s="6" t="s">
        <v>289</v>
      </c>
      <c r="E6589" s="6" t="s">
        <v>1296</v>
      </c>
      <c r="F6589" s="6" t="s">
        <v>249</v>
      </c>
      <c r="G6589" s="6" t="s">
        <v>297</v>
      </c>
      <c r="H6589" s="10">
        <v>46062.0</v>
      </c>
      <c r="I6589" s="12">
        <v>8.0</v>
      </c>
      <c r="J6589" s="6" t="s">
        <v>161</v>
      </c>
    </row>
    <row r="6590" ht="22.5" customHeight="1">
      <c r="A6590" s="6" t="s">
        <v>23398</v>
      </c>
      <c r="B6590" s="6" t="s">
        <v>14824</v>
      </c>
      <c r="C6590" s="10">
        <v>46058.0</v>
      </c>
      <c r="D6590" s="6" t="s">
        <v>436</v>
      </c>
      <c r="E6590" s="6" t="s">
        <v>695</v>
      </c>
      <c r="F6590" s="6" t="s">
        <v>283</v>
      </c>
      <c r="G6590" s="6" t="s">
        <v>297</v>
      </c>
      <c r="H6590" s="10">
        <v>46064.0</v>
      </c>
      <c r="I6590" s="12">
        <v>12.0</v>
      </c>
      <c r="J6590" s="6" t="s">
        <v>178</v>
      </c>
    </row>
    <row r="6591" ht="22.5" customHeight="1">
      <c r="A6591" s="6" t="s">
        <v>23399</v>
      </c>
      <c r="B6591" s="6" t="s">
        <v>14830</v>
      </c>
      <c r="C6591" s="10">
        <v>46054.0</v>
      </c>
      <c r="D6591" s="6" t="s">
        <v>289</v>
      </c>
      <c r="E6591" s="6" t="s">
        <v>1280</v>
      </c>
      <c r="F6591" s="6" t="s">
        <v>112</v>
      </c>
      <c r="G6591" s="6" t="s">
        <v>326</v>
      </c>
      <c r="H6591" s="10">
        <v>46055.0</v>
      </c>
      <c r="I6591" s="12">
        <v>7.0</v>
      </c>
      <c r="J6591" s="6" t="s">
        <v>161</v>
      </c>
    </row>
    <row r="6592" ht="22.5" customHeight="1">
      <c r="A6592" s="6" t="s">
        <v>23400</v>
      </c>
      <c r="B6592" s="6" t="s">
        <v>14830</v>
      </c>
      <c r="C6592" s="10">
        <v>46058.0</v>
      </c>
      <c r="D6592" s="6" t="s">
        <v>436</v>
      </c>
      <c r="E6592" s="6" t="s">
        <v>1310</v>
      </c>
      <c r="F6592" s="6" t="s">
        <v>283</v>
      </c>
      <c r="G6592" s="6" t="s">
        <v>254</v>
      </c>
      <c r="H6592" s="10">
        <v>46062.0</v>
      </c>
      <c r="I6592" s="12">
        <v>11.0</v>
      </c>
      <c r="J6592" s="6" t="s">
        <v>178</v>
      </c>
    </row>
    <row r="6593" ht="22.5" customHeight="1">
      <c r="A6593" s="6" t="s">
        <v>23401</v>
      </c>
      <c r="B6593" s="6" t="s">
        <v>14830</v>
      </c>
      <c r="C6593" s="10">
        <v>46062.0</v>
      </c>
      <c r="D6593" s="6" t="s">
        <v>242</v>
      </c>
      <c r="E6593" s="6" t="s">
        <v>583</v>
      </c>
      <c r="F6593" s="6" t="s">
        <v>249</v>
      </c>
      <c r="G6593" s="6" t="s">
        <v>494</v>
      </c>
      <c r="H6593" s="10">
        <v>46065.0</v>
      </c>
      <c r="I6593" s="12">
        <v>3.0</v>
      </c>
      <c r="J6593" s="6" t="s">
        <v>178</v>
      </c>
    </row>
    <row r="6594" ht="22.5" customHeight="1">
      <c r="A6594" s="6" t="s">
        <v>23402</v>
      </c>
      <c r="B6594" s="6" t="s">
        <v>14830</v>
      </c>
      <c r="C6594" s="10">
        <v>46068.0</v>
      </c>
      <c r="D6594" s="6" t="s">
        <v>416</v>
      </c>
      <c r="E6594" s="6" t="s">
        <v>417</v>
      </c>
      <c r="F6594" s="6" t="s">
        <v>283</v>
      </c>
      <c r="G6594" s="6" t="s">
        <v>477</v>
      </c>
      <c r="H6594" s="10">
        <v>46069.0</v>
      </c>
      <c r="I6594" s="12">
        <v>8.0</v>
      </c>
      <c r="J6594" s="6" t="s">
        <v>161</v>
      </c>
    </row>
    <row r="6595" ht="22.5" customHeight="1">
      <c r="A6595" s="6" t="s">
        <v>23403</v>
      </c>
      <c r="B6595" s="6" t="s">
        <v>14836</v>
      </c>
      <c r="C6595" s="10">
        <v>46052.0</v>
      </c>
      <c r="D6595" s="6" t="s">
        <v>242</v>
      </c>
      <c r="E6595" s="6" t="s">
        <v>512</v>
      </c>
      <c r="F6595" s="6" t="s">
        <v>249</v>
      </c>
      <c r="G6595" s="6" t="s">
        <v>494</v>
      </c>
      <c r="H6595" s="10">
        <v>46058.0</v>
      </c>
      <c r="I6595" s="12">
        <v>4.0</v>
      </c>
      <c r="J6595" s="6" t="s">
        <v>161</v>
      </c>
    </row>
    <row r="6596" ht="22.5" customHeight="1">
      <c r="A6596" s="6" t="s">
        <v>23404</v>
      </c>
      <c r="B6596" s="6" t="s">
        <v>14836</v>
      </c>
      <c r="C6596" s="10">
        <v>46063.0</v>
      </c>
      <c r="D6596" s="6" t="s">
        <v>312</v>
      </c>
      <c r="E6596" s="6" t="s">
        <v>475</v>
      </c>
      <c r="F6596" s="6" t="s">
        <v>283</v>
      </c>
      <c r="G6596" s="6" t="s">
        <v>494</v>
      </c>
      <c r="H6596" s="10">
        <v>46063.0</v>
      </c>
      <c r="I6596" s="12">
        <v>4.0</v>
      </c>
      <c r="J6596" s="6" t="s">
        <v>161</v>
      </c>
    </row>
    <row r="6597" ht="22.5" customHeight="1">
      <c r="A6597" s="6" t="s">
        <v>23405</v>
      </c>
      <c r="B6597" s="6" t="s">
        <v>14843</v>
      </c>
      <c r="C6597" s="10">
        <v>46039.0</v>
      </c>
      <c r="D6597" s="6" t="s">
        <v>391</v>
      </c>
      <c r="E6597" s="6" t="s">
        <v>610</v>
      </c>
      <c r="F6597" s="6" t="s">
        <v>439</v>
      </c>
      <c r="G6597" s="6" t="s">
        <v>494</v>
      </c>
      <c r="H6597" s="10">
        <v>46044.0</v>
      </c>
      <c r="I6597" s="12">
        <v>10.0</v>
      </c>
      <c r="J6597" s="6" t="s">
        <v>161</v>
      </c>
    </row>
    <row r="6598" ht="22.5" customHeight="1">
      <c r="A6598" s="6" t="s">
        <v>23406</v>
      </c>
      <c r="B6598" s="6" t="s">
        <v>14843</v>
      </c>
      <c r="C6598" s="10">
        <v>46042.0</v>
      </c>
      <c r="D6598" s="6" t="s">
        <v>677</v>
      </c>
      <c r="E6598" s="6" t="s">
        <v>475</v>
      </c>
      <c r="F6598" s="6" t="s">
        <v>112</v>
      </c>
      <c r="G6598" s="6" t="s">
        <v>326</v>
      </c>
      <c r="H6598" s="10">
        <v>46043.0</v>
      </c>
      <c r="I6598" s="12">
        <v>4.0</v>
      </c>
      <c r="J6598" s="6" t="s">
        <v>161</v>
      </c>
    </row>
    <row r="6599" ht="22.5" customHeight="1">
      <c r="A6599" s="6" t="s">
        <v>23407</v>
      </c>
      <c r="B6599" s="6" t="s">
        <v>14843</v>
      </c>
      <c r="C6599" s="10">
        <v>46031.0</v>
      </c>
      <c r="D6599" s="6" t="s">
        <v>436</v>
      </c>
      <c r="E6599" s="6" t="s">
        <v>798</v>
      </c>
      <c r="F6599" s="6" t="s">
        <v>112</v>
      </c>
      <c r="G6599" s="6" t="s">
        <v>477</v>
      </c>
      <c r="H6599" s="10">
        <v>46031.0</v>
      </c>
      <c r="I6599" s="12">
        <v>9.0</v>
      </c>
      <c r="J6599" s="6" t="s">
        <v>178</v>
      </c>
    </row>
    <row r="6600" ht="22.5" customHeight="1">
      <c r="A6600" s="6" t="s">
        <v>23408</v>
      </c>
      <c r="B6600" s="6" t="s">
        <v>14843</v>
      </c>
      <c r="C6600" s="10">
        <v>46044.0</v>
      </c>
      <c r="D6600" s="6" t="s">
        <v>436</v>
      </c>
      <c r="E6600" s="6" t="s">
        <v>1035</v>
      </c>
      <c r="F6600" s="6" t="s">
        <v>439</v>
      </c>
      <c r="G6600" s="6" t="s">
        <v>477</v>
      </c>
      <c r="H6600" s="11" t="s">
        <v>259</v>
      </c>
      <c r="I6600" s="12">
        <v>10.0</v>
      </c>
      <c r="J6600" s="6" t="s">
        <v>178</v>
      </c>
    </row>
    <row r="6601" ht="22.5" customHeight="1">
      <c r="A6601" s="6" t="s">
        <v>23409</v>
      </c>
      <c r="B6601" s="6" t="s">
        <v>14843</v>
      </c>
      <c r="C6601" s="10">
        <v>46040.0</v>
      </c>
      <c r="D6601" s="6" t="s">
        <v>436</v>
      </c>
      <c r="E6601" s="6" t="s">
        <v>1517</v>
      </c>
      <c r="F6601" s="6" t="s">
        <v>249</v>
      </c>
      <c r="G6601" s="6" t="s">
        <v>477</v>
      </c>
      <c r="H6601" s="10">
        <v>46047.0</v>
      </c>
      <c r="I6601" s="12">
        <v>11.0</v>
      </c>
      <c r="J6601" s="6" t="s">
        <v>178</v>
      </c>
    </row>
    <row r="6602" ht="22.5" customHeight="1">
      <c r="A6602" s="6" t="s">
        <v>23410</v>
      </c>
      <c r="B6602" s="6" t="s">
        <v>14850</v>
      </c>
      <c r="C6602" s="10">
        <v>46027.0</v>
      </c>
      <c r="D6602" s="6" t="s">
        <v>242</v>
      </c>
      <c r="E6602" s="6" t="s">
        <v>885</v>
      </c>
      <c r="F6602" s="6" t="s">
        <v>439</v>
      </c>
      <c r="G6602" s="6" t="s">
        <v>254</v>
      </c>
      <c r="H6602" s="10">
        <v>46028.0</v>
      </c>
      <c r="I6602" s="12">
        <v>4.0</v>
      </c>
      <c r="J6602" s="6" t="s">
        <v>161</v>
      </c>
    </row>
    <row r="6603" ht="22.5" customHeight="1">
      <c r="A6603" s="6" t="s">
        <v>23411</v>
      </c>
      <c r="B6603" s="6" t="s">
        <v>14850</v>
      </c>
      <c r="C6603" s="10">
        <v>46024.0</v>
      </c>
      <c r="D6603" s="6" t="s">
        <v>391</v>
      </c>
      <c r="E6603" s="6" t="s">
        <v>787</v>
      </c>
      <c r="F6603" s="6" t="s">
        <v>283</v>
      </c>
      <c r="G6603" s="6" t="s">
        <v>477</v>
      </c>
      <c r="H6603" s="11" t="s">
        <v>259</v>
      </c>
      <c r="I6603" s="12">
        <v>6.0</v>
      </c>
      <c r="J6603" s="6" t="s">
        <v>161</v>
      </c>
    </row>
    <row r="6604" ht="22.5" customHeight="1">
      <c r="A6604" s="6" t="s">
        <v>23412</v>
      </c>
      <c r="B6604" s="6" t="s">
        <v>14850</v>
      </c>
      <c r="C6604" s="10">
        <v>46029.0</v>
      </c>
      <c r="D6604" s="6" t="s">
        <v>416</v>
      </c>
      <c r="E6604" s="6" t="s">
        <v>634</v>
      </c>
      <c r="F6604" s="6" t="s">
        <v>283</v>
      </c>
      <c r="G6604" s="6" t="s">
        <v>452</v>
      </c>
      <c r="H6604" s="10">
        <v>46034.0</v>
      </c>
      <c r="I6604" s="12">
        <v>8.0</v>
      </c>
      <c r="J6604" s="6" t="s">
        <v>161</v>
      </c>
    </row>
    <row r="6605" ht="22.5" customHeight="1">
      <c r="A6605" s="6" t="s">
        <v>23413</v>
      </c>
      <c r="B6605" s="6" t="s">
        <v>14850</v>
      </c>
      <c r="C6605" s="10">
        <v>46041.0</v>
      </c>
      <c r="D6605" s="6" t="s">
        <v>391</v>
      </c>
      <c r="E6605" s="6" t="s">
        <v>610</v>
      </c>
      <c r="F6605" s="6" t="s">
        <v>283</v>
      </c>
      <c r="G6605" s="6" t="s">
        <v>254</v>
      </c>
      <c r="H6605" s="10">
        <v>46047.0</v>
      </c>
      <c r="I6605" s="12">
        <v>6.0</v>
      </c>
      <c r="J6605" s="6" t="s">
        <v>161</v>
      </c>
    </row>
    <row r="6606" ht="22.5" customHeight="1">
      <c r="A6606" s="6" t="s">
        <v>23414</v>
      </c>
      <c r="B6606" s="6" t="s">
        <v>14850</v>
      </c>
      <c r="C6606" s="10">
        <v>46025.0</v>
      </c>
      <c r="D6606" s="6" t="s">
        <v>289</v>
      </c>
      <c r="E6606" s="6" t="s">
        <v>610</v>
      </c>
      <c r="F6606" s="6" t="s">
        <v>439</v>
      </c>
      <c r="G6606" s="6" t="s">
        <v>477</v>
      </c>
      <c r="H6606" s="11" t="s">
        <v>259</v>
      </c>
      <c r="I6606" s="12">
        <v>7.0</v>
      </c>
      <c r="J6606" s="6" t="s">
        <v>161</v>
      </c>
    </row>
    <row r="6607" ht="22.5" customHeight="1">
      <c r="A6607" s="6" t="s">
        <v>23415</v>
      </c>
      <c r="B6607" s="6" t="s">
        <v>14857</v>
      </c>
      <c r="C6607" s="10">
        <v>46074.0</v>
      </c>
      <c r="D6607" s="6" t="s">
        <v>416</v>
      </c>
      <c r="E6607" s="6" t="s">
        <v>833</v>
      </c>
      <c r="F6607" s="6" t="s">
        <v>439</v>
      </c>
      <c r="G6607" s="6" t="s">
        <v>326</v>
      </c>
      <c r="H6607" s="10">
        <v>46076.0</v>
      </c>
      <c r="I6607" s="12">
        <v>14.0</v>
      </c>
      <c r="J6607" s="6" t="s">
        <v>161</v>
      </c>
    </row>
    <row r="6608" ht="22.5" customHeight="1">
      <c r="A6608" s="6" t="s">
        <v>23416</v>
      </c>
      <c r="B6608" s="6" t="s">
        <v>14857</v>
      </c>
      <c r="C6608" s="10">
        <v>46065.0</v>
      </c>
      <c r="D6608" s="6" t="s">
        <v>416</v>
      </c>
      <c r="E6608" s="6" t="s">
        <v>1122</v>
      </c>
      <c r="F6608" s="6" t="s">
        <v>112</v>
      </c>
      <c r="G6608" s="6" t="s">
        <v>297</v>
      </c>
      <c r="H6608" s="10">
        <v>46072.0</v>
      </c>
      <c r="I6608" s="12">
        <v>13.0</v>
      </c>
      <c r="J6608" s="6" t="s">
        <v>161</v>
      </c>
    </row>
    <row r="6609" ht="22.5" customHeight="1">
      <c r="A6609" s="6" t="s">
        <v>23417</v>
      </c>
      <c r="B6609" s="6" t="s">
        <v>14857</v>
      </c>
      <c r="C6609" s="10">
        <v>46072.0</v>
      </c>
      <c r="D6609" s="6" t="s">
        <v>416</v>
      </c>
      <c r="E6609" s="6" t="s">
        <v>1386</v>
      </c>
      <c r="F6609" s="6" t="s">
        <v>112</v>
      </c>
      <c r="G6609" s="6" t="s">
        <v>369</v>
      </c>
      <c r="H6609" s="10">
        <v>46077.0</v>
      </c>
      <c r="I6609" s="12">
        <v>14.0</v>
      </c>
      <c r="J6609" s="6" t="s">
        <v>161</v>
      </c>
    </row>
    <row r="6610" ht="22.5" customHeight="1">
      <c r="A6610" s="6" t="s">
        <v>23418</v>
      </c>
      <c r="B6610" s="6" t="s">
        <v>14857</v>
      </c>
      <c r="C6610" s="10">
        <v>46062.0</v>
      </c>
      <c r="D6610" s="6" t="s">
        <v>289</v>
      </c>
      <c r="E6610" s="6" t="s">
        <v>1626</v>
      </c>
      <c r="F6610" s="6" t="s">
        <v>112</v>
      </c>
      <c r="G6610" s="6" t="s">
        <v>477</v>
      </c>
      <c r="H6610" s="10">
        <v>46063.0</v>
      </c>
      <c r="I6610" s="12">
        <v>5.0</v>
      </c>
      <c r="J6610" s="6" t="s">
        <v>161</v>
      </c>
    </row>
    <row r="6611" ht="22.5" customHeight="1">
      <c r="A6611" s="6" t="s">
        <v>23419</v>
      </c>
      <c r="B6611" s="6" t="s">
        <v>14863</v>
      </c>
      <c r="C6611" s="10">
        <v>46059.0</v>
      </c>
      <c r="D6611" s="6" t="s">
        <v>242</v>
      </c>
      <c r="E6611" s="6" t="s">
        <v>1386</v>
      </c>
      <c r="F6611" s="6" t="s">
        <v>283</v>
      </c>
      <c r="G6611" s="6" t="s">
        <v>458</v>
      </c>
      <c r="H6611" s="10">
        <v>46061.0</v>
      </c>
      <c r="I6611" s="12">
        <v>3.0</v>
      </c>
      <c r="J6611" s="6" t="s">
        <v>161</v>
      </c>
    </row>
    <row r="6612" ht="22.5" customHeight="1">
      <c r="A6612" s="6" t="s">
        <v>23420</v>
      </c>
      <c r="B6612" s="6" t="s">
        <v>14863</v>
      </c>
      <c r="C6612" s="10">
        <v>46062.0</v>
      </c>
      <c r="D6612" s="6" t="s">
        <v>312</v>
      </c>
      <c r="E6612" s="6" t="s">
        <v>787</v>
      </c>
      <c r="F6612" s="6" t="s">
        <v>439</v>
      </c>
      <c r="G6612" s="6" t="s">
        <v>254</v>
      </c>
      <c r="H6612" s="10">
        <v>46062.0</v>
      </c>
      <c r="I6612" s="12">
        <v>6.0</v>
      </c>
      <c r="J6612" s="6" t="s">
        <v>161</v>
      </c>
    </row>
    <row r="6613" ht="22.5" customHeight="1">
      <c r="A6613" s="6" t="s">
        <v>23421</v>
      </c>
      <c r="B6613" s="6" t="s">
        <v>14863</v>
      </c>
      <c r="C6613" s="10">
        <v>46063.0</v>
      </c>
      <c r="D6613" s="6" t="s">
        <v>436</v>
      </c>
      <c r="E6613" s="6" t="s">
        <v>512</v>
      </c>
      <c r="F6613" s="6" t="s">
        <v>112</v>
      </c>
      <c r="G6613" s="6" t="s">
        <v>494</v>
      </c>
      <c r="H6613" s="10">
        <v>46067.0</v>
      </c>
      <c r="I6613" s="12">
        <v>10.0</v>
      </c>
      <c r="J6613" s="6" t="s">
        <v>178</v>
      </c>
    </row>
    <row r="6614" ht="22.5" customHeight="1">
      <c r="A6614" s="6" t="s">
        <v>23422</v>
      </c>
      <c r="B6614" s="6" t="s">
        <v>14863</v>
      </c>
      <c r="C6614" s="10">
        <v>46050.0</v>
      </c>
      <c r="D6614" s="6" t="s">
        <v>677</v>
      </c>
      <c r="E6614" s="6" t="s">
        <v>695</v>
      </c>
      <c r="F6614" s="6" t="s">
        <v>283</v>
      </c>
      <c r="G6614" s="6" t="s">
        <v>254</v>
      </c>
      <c r="H6614" s="10">
        <v>46051.0</v>
      </c>
      <c r="I6614" s="12">
        <v>3.0</v>
      </c>
      <c r="J6614" s="6" t="s">
        <v>161</v>
      </c>
    </row>
    <row r="6615" ht="22.5" customHeight="1">
      <c r="A6615" s="6" t="s">
        <v>23423</v>
      </c>
      <c r="B6615" s="6" t="s">
        <v>14863</v>
      </c>
      <c r="C6615" s="10">
        <v>46068.0</v>
      </c>
      <c r="D6615" s="6" t="s">
        <v>312</v>
      </c>
      <c r="E6615" s="6" t="s">
        <v>704</v>
      </c>
      <c r="F6615" s="6" t="s">
        <v>283</v>
      </c>
      <c r="G6615" s="6" t="s">
        <v>452</v>
      </c>
      <c r="H6615" s="10">
        <v>46070.0</v>
      </c>
      <c r="I6615" s="12">
        <v>4.0</v>
      </c>
      <c r="J6615" s="6" t="s">
        <v>161</v>
      </c>
    </row>
    <row r="6616" ht="22.5" customHeight="1">
      <c r="A6616" s="6" t="s">
        <v>23424</v>
      </c>
      <c r="B6616" s="6" t="s">
        <v>14870</v>
      </c>
      <c r="C6616" s="10">
        <v>46078.0</v>
      </c>
      <c r="D6616" s="6" t="s">
        <v>391</v>
      </c>
      <c r="E6616" s="6" t="s">
        <v>466</v>
      </c>
      <c r="F6616" s="6" t="s">
        <v>112</v>
      </c>
      <c r="G6616" s="6" t="s">
        <v>458</v>
      </c>
      <c r="H6616" s="10">
        <v>46081.0</v>
      </c>
      <c r="I6616" s="12">
        <v>10.0</v>
      </c>
      <c r="J6616" s="6" t="s">
        <v>161</v>
      </c>
    </row>
    <row r="6617" ht="22.5" customHeight="1">
      <c r="A6617" s="6" t="s">
        <v>23425</v>
      </c>
      <c r="B6617" s="6" t="s">
        <v>14870</v>
      </c>
      <c r="C6617" s="10">
        <v>46082.0</v>
      </c>
      <c r="D6617" s="6" t="s">
        <v>677</v>
      </c>
      <c r="E6617" s="6" t="s">
        <v>450</v>
      </c>
      <c r="F6617" s="6" t="s">
        <v>439</v>
      </c>
      <c r="G6617" s="6" t="s">
        <v>494</v>
      </c>
      <c r="H6617" s="10">
        <v>46083.0</v>
      </c>
      <c r="I6617" s="12">
        <v>4.0</v>
      </c>
      <c r="J6617" s="6" t="s">
        <v>161</v>
      </c>
    </row>
    <row r="6618" ht="22.5" customHeight="1">
      <c r="A6618" s="6" t="s">
        <v>23426</v>
      </c>
      <c r="B6618" s="6" t="s">
        <v>14870</v>
      </c>
      <c r="C6618" s="10">
        <v>46073.0</v>
      </c>
      <c r="D6618" s="6" t="s">
        <v>416</v>
      </c>
      <c r="E6618" s="6" t="s">
        <v>1241</v>
      </c>
      <c r="F6618" s="6" t="s">
        <v>439</v>
      </c>
      <c r="G6618" s="6" t="s">
        <v>369</v>
      </c>
      <c r="H6618" s="10">
        <v>46076.0</v>
      </c>
      <c r="I6618" s="12">
        <v>10.0</v>
      </c>
      <c r="J6618" s="6" t="s">
        <v>161</v>
      </c>
    </row>
    <row r="6619" ht="22.5" customHeight="1">
      <c r="A6619" s="6" t="s">
        <v>23427</v>
      </c>
      <c r="B6619" s="6" t="s">
        <v>14876</v>
      </c>
      <c r="C6619" s="10">
        <v>46047.0</v>
      </c>
      <c r="D6619" s="6" t="s">
        <v>436</v>
      </c>
      <c r="E6619" s="6" t="s">
        <v>1296</v>
      </c>
      <c r="F6619" s="6" t="s">
        <v>249</v>
      </c>
      <c r="G6619" s="6" t="s">
        <v>477</v>
      </c>
      <c r="H6619" s="10">
        <v>46051.0</v>
      </c>
      <c r="I6619" s="12">
        <v>10.0</v>
      </c>
      <c r="J6619" s="6" t="s">
        <v>178</v>
      </c>
    </row>
    <row r="6620" ht="22.5" customHeight="1">
      <c r="A6620" s="6" t="s">
        <v>23428</v>
      </c>
      <c r="B6620" s="6" t="s">
        <v>14881</v>
      </c>
      <c r="C6620" s="10">
        <v>46068.0</v>
      </c>
      <c r="D6620" s="6" t="s">
        <v>677</v>
      </c>
      <c r="E6620" s="6" t="s">
        <v>1600</v>
      </c>
      <c r="F6620" s="6" t="s">
        <v>112</v>
      </c>
      <c r="G6620" s="6" t="s">
        <v>369</v>
      </c>
      <c r="H6620" s="11" t="s">
        <v>259</v>
      </c>
      <c r="I6620" s="12">
        <v>2.0</v>
      </c>
      <c r="J6620" s="6" t="s">
        <v>161</v>
      </c>
    </row>
    <row r="6621" ht="22.5" customHeight="1">
      <c r="A6621" s="6" t="s">
        <v>23429</v>
      </c>
      <c r="B6621" s="6" t="s">
        <v>14881</v>
      </c>
      <c r="C6621" s="10">
        <v>46049.0</v>
      </c>
      <c r="D6621" s="6" t="s">
        <v>312</v>
      </c>
      <c r="E6621" s="6" t="s">
        <v>438</v>
      </c>
      <c r="F6621" s="6" t="s">
        <v>112</v>
      </c>
      <c r="G6621" s="6" t="s">
        <v>297</v>
      </c>
      <c r="H6621" s="10">
        <v>46055.0</v>
      </c>
      <c r="I6621" s="12">
        <v>5.0</v>
      </c>
      <c r="J6621" s="6" t="s">
        <v>161</v>
      </c>
    </row>
    <row r="6622" ht="22.5" customHeight="1">
      <c r="A6622" s="6" t="s">
        <v>23430</v>
      </c>
      <c r="B6622" s="6" t="s">
        <v>14881</v>
      </c>
      <c r="C6622" s="10">
        <v>46052.0</v>
      </c>
      <c r="D6622" s="6" t="s">
        <v>289</v>
      </c>
      <c r="E6622" s="6" t="s">
        <v>687</v>
      </c>
      <c r="F6622" s="6" t="s">
        <v>112</v>
      </c>
      <c r="G6622" s="6" t="s">
        <v>326</v>
      </c>
      <c r="H6622" s="10">
        <v>46057.0</v>
      </c>
      <c r="I6622" s="12">
        <v>9.0</v>
      </c>
      <c r="J6622" s="6" t="s">
        <v>161</v>
      </c>
    </row>
    <row r="6623" ht="22.5" customHeight="1">
      <c r="A6623" s="6" t="s">
        <v>23431</v>
      </c>
      <c r="B6623" s="6" t="s">
        <v>14881</v>
      </c>
      <c r="C6623" s="10">
        <v>46065.0</v>
      </c>
      <c r="D6623" s="6" t="s">
        <v>289</v>
      </c>
      <c r="E6623" s="6" t="s">
        <v>716</v>
      </c>
      <c r="F6623" s="6" t="s">
        <v>439</v>
      </c>
      <c r="G6623" s="6" t="s">
        <v>326</v>
      </c>
      <c r="H6623" s="11" t="s">
        <v>259</v>
      </c>
      <c r="I6623" s="12">
        <v>9.0</v>
      </c>
      <c r="J6623" s="6" t="s">
        <v>161</v>
      </c>
    </row>
    <row r="6624" ht="22.5" customHeight="1">
      <c r="A6624" s="6" t="s">
        <v>23432</v>
      </c>
      <c r="B6624" s="6" t="s">
        <v>14881</v>
      </c>
      <c r="C6624" s="10">
        <v>46065.0</v>
      </c>
      <c r="D6624" s="6" t="s">
        <v>416</v>
      </c>
      <c r="E6624" s="6" t="s">
        <v>320</v>
      </c>
      <c r="F6624" s="6" t="s">
        <v>112</v>
      </c>
      <c r="G6624" s="6" t="s">
        <v>477</v>
      </c>
      <c r="H6624" s="11" t="s">
        <v>259</v>
      </c>
      <c r="I6624" s="12">
        <v>10.0</v>
      </c>
      <c r="J6624" s="6" t="s">
        <v>161</v>
      </c>
    </row>
    <row r="6625" ht="22.5" customHeight="1">
      <c r="A6625" s="6" t="s">
        <v>23433</v>
      </c>
      <c r="B6625" s="6" t="s">
        <v>14887</v>
      </c>
      <c r="C6625" s="10">
        <v>46063.0</v>
      </c>
      <c r="D6625" s="6" t="s">
        <v>312</v>
      </c>
      <c r="E6625" s="6" t="s">
        <v>1122</v>
      </c>
      <c r="F6625" s="6" t="s">
        <v>112</v>
      </c>
      <c r="G6625" s="6" t="s">
        <v>369</v>
      </c>
      <c r="H6625" s="11" t="s">
        <v>259</v>
      </c>
      <c r="I6625" s="12">
        <v>7.0</v>
      </c>
      <c r="J6625" s="6" t="s">
        <v>161</v>
      </c>
    </row>
    <row r="6626" ht="22.5" customHeight="1">
      <c r="A6626" s="6" t="s">
        <v>23434</v>
      </c>
      <c r="B6626" s="6" t="s">
        <v>14893</v>
      </c>
      <c r="C6626" s="10">
        <v>46036.0</v>
      </c>
      <c r="D6626" s="6" t="s">
        <v>289</v>
      </c>
      <c r="E6626" s="6" t="s">
        <v>466</v>
      </c>
      <c r="F6626" s="6" t="s">
        <v>249</v>
      </c>
      <c r="G6626" s="6" t="s">
        <v>452</v>
      </c>
      <c r="H6626" s="10">
        <v>46040.0</v>
      </c>
      <c r="I6626" s="12">
        <v>8.0</v>
      </c>
      <c r="J6626" s="6" t="s">
        <v>161</v>
      </c>
    </row>
    <row r="6627" ht="22.5" customHeight="1">
      <c r="A6627" s="6" t="s">
        <v>23435</v>
      </c>
      <c r="B6627" s="6" t="s">
        <v>14893</v>
      </c>
      <c r="C6627" s="10">
        <v>46046.0</v>
      </c>
      <c r="D6627" s="6" t="s">
        <v>416</v>
      </c>
      <c r="E6627" s="6" t="s">
        <v>1386</v>
      </c>
      <c r="F6627" s="6" t="s">
        <v>249</v>
      </c>
      <c r="G6627" s="6" t="s">
        <v>326</v>
      </c>
      <c r="H6627" s="10">
        <v>46053.0</v>
      </c>
      <c r="I6627" s="12">
        <v>13.0</v>
      </c>
      <c r="J6627" s="6" t="s">
        <v>161</v>
      </c>
    </row>
    <row r="6628" ht="22.5" customHeight="1">
      <c r="A6628" s="6" t="s">
        <v>23436</v>
      </c>
      <c r="B6628" s="6" t="s">
        <v>14893</v>
      </c>
      <c r="C6628" s="10">
        <v>46036.0</v>
      </c>
      <c r="D6628" s="6" t="s">
        <v>391</v>
      </c>
      <c r="E6628" s="6" t="s">
        <v>1149</v>
      </c>
      <c r="F6628" s="6" t="s">
        <v>112</v>
      </c>
      <c r="G6628" s="6" t="s">
        <v>326</v>
      </c>
      <c r="H6628" s="10">
        <v>46043.0</v>
      </c>
      <c r="I6628" s="12">
        <v>10.0</v>
      </c>
      <c r="J6628" s="6" t="s">
        <v>161</v>
      </c>
    </row>
    <row r="6629" ht="22.5" customHeight="1">
      <c r="A6629" s="6" t="s">
        <v>23437</v>
      </c>
      <c r="B6629" s="6" t="s">
        <v>14893</v>
      </c>
      <c r="C6629" s="10">
        <v>46042.0</v>
      </c>
      <c r="D6629" s="6" t="s">
        <v>436</v>
      </c>
      <c r="E6629" s="6" t="s">
        <v>1720</v>
      </c>
      <c r="F6629" s="6" t="s">
        <v>249</v>
      </c>
      <c r="G6629" s="6" t="s">
        <v>452</v>
      </c>
      <c r="H6629" s="10">
        <v>46046.0</v>
      </c>
      <c r="I6629" s="12">
        <v>8.0</v>
      </c>
      <c r="J6629" s="6" t="s">
        <v>178</v>
      </c>
    </row>
    <row r="6630" ht="22.5" customHeight="1">
      <c r="A6630" s="6" t="s">
        <v>23438</v>
      </c>
      <c r="B6630" s="6" t="s">
        <v>14898</v>
      </c>
      <c r="C6630" s="10">
        <v>46027.0</v>
      </c>
      <c r="D6630" s="6" t="s">
        <v>289</v>
      </c>
      <c r="E6630" s="6" t="s">
        <v>1310</v>
      </c>
      <c r="F6630" s="6" t="s">
        <v>439</v>
      </c>
      <c r="G6630" s="6" t="s">
        <v>452</v>
      </c>
      <c r="H6630" s="10">
        <v>46030.0</v>
      </c>
      <c r="I6630" s="12">
        <v>8.0</v>
      </c>
      <c r="J6630" s="6" t="s">
        <v>161</v>
      </c>
    </row>
    <row r="6631" ht="22.5" customHeight="1">
      <c r="A6631" s="6" t="s">
        <v>23439</v>
      </c>
      <c r="B6631" s="6" t="s">
        <v>14898</v>
      </c>
      <c r="C6631" s="10">
        <v>46026.0</v>
      </c>
      <c r="D6631" s="6" t="s">
        <v>416</v>
      </c>
      <c r="E6631" s="6" t="s">
        <v>863</v>
      </c>
      <c r="F6631" s="6" t="s">
        <v>439</v>
      </c>
      <c r="G6631" s="6" t="s">
        <v>452</v>
      </c>
      <c r="H6631" s="10">
        <v>46032.0</v>
      </c>
      <c r="I6631" s="12">
        <v>9.0</v>
      </c>
      <c r="J6631" s="6" t="s">
        <v>161</v>
      </c>
    </row>
    <row r="6632" ht="22.5" customHeight="1">
      <c r="A6632" s="6" t="s">
        <v>23440</v>
      </c>
      <c r="B6632" s="6" t="s">
        <v>14898</v>
      </c>
      <c r="C6632" s="10">
        <v>46028.0</v>
      </c>
      <c r="D6632" s="6" t="s">
        <v>312</v>
      </c>
      <c r="E6632" s="6" t="s">
        <v>1122</v>
      </c>
      <c r="F6632" s="6" t="s">
        <v>283</v>
      </c>
      <c r="G6632" s="6" t="s">
        <v>254</v>
      </c>
      <c r="H6632" s="10">
        <v>46035.0</v>
      </c>
      <c r="I6632" s="12">
        <v>6.0</v>
      </c>
      <c r="J6632" s="6" t="s">
        <v>161</v>
      </c>
    </row>
    <row r="6633" ht="22.5" customHeight="1">
      <c r="A6633" s="6" t="s">
        <v>23441</v>
      </c>
      <c r="B6633" s="6" t="s">
        <v>14904</v>
      </c>
      <c r="C6633" s="10">
        <v>46048.0</v>
      </c>
      <c r="D6633" s="6" t="s">
        <v>391</v>
      </c>
      <c r="E6633" s="6" t="s">
        <v>704</v>
      </c>
      <c r="F6633" s="6" t="s">
        <v>249</v>
      </c>
      <c r="G6633" s="6" t="s">
        <v>452</v>
      </c>
      <c r="H6633" s="10">
        <v>46049.0</v>
      </c>
      <c r="I6633" s="12">
        <v>11.0</v>
      </c>
      <c r="J6633" s="6" t="s">
        <v>161</v>
      </c>
    </row>
    <row r="6634" ht="22.5" customHeight="1">
      <c r="A6634" s="6" t="s">
        <v>23442</v>
      </c>
      <c r="B6634" s="6" t="s">
        <v>14904</v>
      </c>
      <c r="C6634" s="10">
        <v>46057.0</v>
      </c>
      <c r="D6634" s="6" t="s">
        <v>312</v>
      </c>
      <c r="E6634" s="6" t="s">
        <v>670</v>
      </c>
      <c r="F6634" s="6" t="s">
        <v>283</v>
      </c>
      <c r="G6634" s="6" t="s">
        <v>297</v>
      </c>
      <c r="H6634" s="10">
        <v>46059.0</v>
      </c>
      <c r="I6634" s="12">
        <v>6.0</v>
      </c>
      <c r="J6634" s="6" t="s">
        <v>161</v>
      </c>
    </row>
    <row r="6635" ht="22.5" customHeight="1">
      <c r="A6635" s="6" t="s">
        <v>23443</v>
      </c>
      <c r="B6635" s="6" t="s">
        <v>14904</v>
      </c>
      <c r="C6635" s="10">
        <v>46052.0</v>
      </c>
      <c r="D6635" s="6" t="s">
        <v>312</v>
      </c>
      <c r="E6635" s="6" t="s">
        <v>1241</v>
      </c>
      <c r="F6635" s="6" t="s">
        <v>249</v>
      </c>
      <c r="G6635" s="6" t="s">
        <v>494</v>
      </c>
      <c r="H6635" s="11" t="s">
        <v>259</v>
      </c>
      <c r="I6635" s="12">
        <v>5.0</v>
      </c>
      <c r="J6635" s="6" t="s">
        <v>161</v>
      </c>
    </row>
    <row r="6636" ht="22.5" customHeight="1">
      <c r="A6636" s="6" t="s">
        <v>23444</v>
      </c>
      <c r="B6636" s="6" t="s">
        <v>14904</v>
      </c>
      <c r="C6636" s="10">
        <v>46055.0</v>
      </c>
      <c r="D6636" s="6" t="s">
        <v>312</v>
      </c>
      <c r="E6636" s="6" t="s">
        <v>1552</v>
      </c>
      <c r="F6636" s="6" t="s">
        <v>249</v>
      </c>
      <c r="G6636" s="6" t="s">
        <v>369</v>
      </c>
      <c r="H6636" s="11" t="s">
        <v>259</v>
      </c>
      <c r="I6636" s="12">
        <v>5.0</v>
      </c>
      <c r="J6636" s="6" t="s">
        <v>161</v>
      </c>
    </row>
    <row r="6637" ht="22.5" customHeight="1">
      <c r="A6637" s="6" t="s">
        <v>23445</v>
      </c>
      <c r="B6637" s="6" t="s">
        <v>14904</v>
      </c>
      <c r="C6637" s="10">
        <v>46039.0</v>
      </c>
      <c r="D6637" s="6" t="s">
        <v>677</v>
      </c>
      <c r="E6637" s="6" t="s">
        <v>695</v>
      </c>
      <c r="F6637" s="6" t="s">
        <v>439</v>
      </c>
      <c r="G6637" s="6" t="s">
        <v>452</v>
      </c>
      <c r="H6637" s="10">
        <v>46044.0</v>
      </c>
      <c r="I6637" s="12">
        <v>3.0</v>
      </c>
      <c r="J6637" s="6" t="s">
        <v>161</v>
      </c>
    </row>
    <row r="6638" ht="22.5" customHeight="1">
      <c r="A6638" s="6" t="s">
        <v>23446</v>
      </c>
      <c r="B6638" s="6" t="s">
        <v>14910</v>
      </c>
      <c r="C6638" s="10">
        <v>46048.0</v>
      </c>
      <c r="D6638" s="6" t="s">
        <v>312</v>
      </c>
      <c r="E6638" s="6" t="s">
        <v>618</v>
      </c>
      <c r="F6638" s="6" t="s">
        <v>249</v>
      </c>
      <c r="G6638" s="6" t="s">
        <v>494</v>
      </c>
      <c r="H6638" s="10">
        <v>46049.0</v>
      </c>
      <c r="I6638" s="12">
        <v>4.0</v>
      </c>
      <c r="J6638" s="6" t="s">
        <v>161</v>
      </c>
    </row>
    <row r="6639" ht="22.5" customHeight="1">
      <c r="A6639" s="6" t="s">
        <v>23447</v>
      </c>
      <c r="B6639" s="6" t="s">
        <v>14910</v>
      </c>
      <c r="C6639" s="10">
        <v>46053.0</v>
      </c>
      <c r="D6639" s="6" t="s">
        <v>677</v>
      </c>
      <c r="E6639" s="6" t="s">
        <v>1969</v>
      </c>
      <c r="F6639" s="6" t="s">
        <v>112</v>
      </c>
      <c r="G6639" s="6" t="s">
        <v>477</v>
      </c>
      <c r="H6639" s="10">
        <v>46054.0</v>
      </c>
      <c r="I6639" s="12">
        <v>4.0</v>
      </c>
      <c r="J6639" s="6" t="s">
        <v>161</v>
      </c>
    </row>
    <row r="6640" ht="22.5" customHeight="1">
      <c r="A6640" s="6" t="s">
        <v>23448</v>
      </c>
      <c r="B6640" s="6" t="s">
        <v>14916</v>
      </c>
      <c r="C6640" s="10">
        <v>46068.0</v>
      </c>
      <c r="D6640" s="6" t="s">
        <v>289</v>
      </c>
      <c r="E6640" s="6" t="s">
        <v>695</v>
      </c>
      <c r="F6640" s="6" t="s">
        <v>283</v>
      </c>
      <c r="G6640" s="6" t="s">
        <v>369</v>
      </c>
      <c r="H6640" s="11" t="s">
        <v>259</v>
      </c>
      <c r="I6640" s="12">
        <v>8.0</v>
      </c>
      <c r="J6640" s="6" t="s">
        <v>161</v>
      </c>
    </row>
    <row r="6641" ht="22.5" customHeight="1">
      <c r="A6641" s="6" t="s">
        <v>23449</v>
      </c>
      <c r="B6641" s="6" t="s">
        <v>14916</v>
      </c>
      <c r="C6641" s="10">
        <v>46074.0</v>
      </c>
      <c r="D6641" s="6" t="s">
        <v>677</v>
      </c>
      <c r="E6641" s="6" t="s">
        <v>896</v>
      </c>
      <c r="F6641" s="6" t="s">
        <v>283</v>
      </c>
      <c r="G6641" s="6" t="s">
        <v>297</v>
      </c>
      <c r="H6641" s="10">
        <v>46075.0</v>
      </c>
      <c r="I6641" s="12">
        <v>4.0</v>
      </c>
      <c r="J6641" s="6" t="s">
        <v>161</v>
      </c>
    </row>
    <row r="6642" ht="22.5" customHeight="1">
      <c r="A6642" s="6" t="s">
        <v>23450</v>
      </c>
      <c r="B6642" s="6" t="s">
        <v>14916</v>
      </c>
      <c r="C6642" s="10">
        <v>46068.0</v>
      </c>
      <c r="D6642" s="6" t="s">
        <v>436</v>
      </c>
      <c r="E6642" s="6" t="s">
        <v>1700</v>
      </c>
      <c r="F6642" s="6" t="s">
        <v>439</v>
      </c>
      <c r="G6642" s="6" t="s">
        <v>254</v>
      </c>
      <c r="H6642" s="11" t="s">
        <v>259</v>
      </c>
      <c r="I6642" s="12">
        <v>6.0</v>
      </c>
      <c r="J6642" s="6" t="s">
        <v>178</v>
      </c>
    </row>
    <row r="6643" ht="22.5" customHeight="1">
      <c r="A6643" s="6" t="s">
        <v>23451</v>
      </c>
      <c r="B6643" s="6" t="s">
        <v>14923</v>
      </c>
      <c r="C6643" s="10">
        <v>46050.0</v>
      </c>
      <c r="D6643" s="6" t="s">
        <v>436</v>
      </c>
      <c r="E6643" s="6" t="s">
        <v>1552</v>
      </c>
      <c r="F6643" s="6" t="s">
        <v>283</v>
      </c>
      <c r="G6643" s="6" t="s">
        <v>452</v>
      </c>
      <c r="H6643" s="10">
        <v>46052.0</v>
      </c>
      <c r="I6643" s="12">
        <v>12.0</v>
      </c>
      <c r="J6643" s="6" t="s">
        <v>178</v>
      </c>
    </row>
    <row r="6644" ht="22.5" customHeight="1">
      <c r="A6644" s="6" t="s">
        <v>23452</v>
      </c>
      <c r="B6644" s="6" t="s">
        <v>14923</v>
      </c>
      <c r="C6644" s="10">
        <v>46056.0</v>
      </c>
      <c r="D6644" s="6" t="s">
        <v>312</v>
      </c>
      <c r="E6644" s="6" t="s">
        <v>2881</v>
      </c>
      <c r="F6644" s="6" t="s">
        <v>249</v>
      </c>
      <c r="G6644" s="6" t="s">
        <v>254</v>
      </c>
      <c r="H6644" s="10">
        <v>46062.0</v>
      </c>
      <c r="I6644" s="12">
        <v>5.0</v>
      </c>
      <c r="J6644" s="6" t="s">
        <v>161</v>
      </c>
    </row>
    <row r="6645" ht="22.5" customHeight="1">
      <c r="A6645" s="6" t="s">
        <v>23453</v>
      </c>
      <c r="B6645" s="6" t="s">
        <v>14923</v>
      </c>
      <c r="C6645" s="10">
        <v>46058.0</v>
      </c>
      <c r="D6645" s="6" t="s">
        <v>677</v>
      </c>
      <c r="E6645" s="6" t="s">
        <v>1969</v>
      </c>
      <c r="F6645" s="6" t="s">
        <v>283</v>
      </c>
      <c r="G6645" s="6" t="s">
        <v>477</v>
      </c>
      <c r="H6645" s="11" t="s">
        <v>259</v>
      </c>
      <c r="I6645" s="12">
        <v>2.0</v>
      </c>
      <c r="J6645" s="6" t="s">
        <v>161</v>
      </c>
    </row>
    <row r="6646" ht="22.5" customHeight="1">
      <c r="A6646" s="6" t="s">
        <v>23454</v>
      </c>
      <c r="B6646" s="6" t="s">
        <v>14930</v>
      </c>
      <c r="C6646" s="10">
        <v>46084.0</v>
      </c>
      <c r="D6646" s="6" t="s">
        <v>242</v>
      </c>
      <c r="E6646" s="6" t="s">
        <v>716</v>
      </c>
      <c r="F6646" s="6" t="s">
        <v>283</v>
      </c>
      <c r="G6646" s="6" t="s">
        <v>369</v>
      </c>
      <c r="H6646" s="10">
        <v>46086.0</v>
      </c>
      <c r="I6646" s="12">
        <v>3.0</v>
      </c>
      <c r="J6646" s="6" t="s">
        <v>178</v>
      </c>
    </row>
    <row r="6647" ht="22.5" customHeight="1">
      <c r="A6647" s="6" t="s">
        <v>23455</v>
      </c>
      <c r="B6647" s="6" t="s">
        <v>14930</v>
      </c>
      <c r="C6647" s="10">
        <v>46071.0</v>
      </c>
      <c r="D6647" s="6" t="s">
        <v>416</v>
      </c>
      <c r="E6647" s="6" t="s">
        <v>1122</v>
      </c>
      <c r="F6647" s="6" t="s">
        <v>439</v>
      </c>
      <c r="G6647" s="6" t="s">
        <v>326</v>
      </c>
      <c r="H6647" s="11" t="s">
        <v>259</v>
      </c>
      <c r="I6647" s="12">
        <v>12.0</v>
      </c>
      <c r="J6647" s="6" t="s">
        <v>161</v>
      </c>
    </row>
    <row r="6648" ht="22.5" customHeight="1">
      <c r="A6648" s="6" t="s">
        <v>23456</v>
      </c>
      <c r="B6648" s="6" t="s">
        <v>14936</v>
      </c>
      <c r="C6648" s="10">
        <v>46031.0</v>
      </c>
      <c r="D6648" s="6" t="s">
        <v>391</v>
      </c>
      <c r="E6648" s="6" t="s">
        <v>1055</v>
      </c>
      <c r="F6648" s="6" t="s">
        <v>439</v>
      </c>
      <c r="G6648" s="6" t="s">
        <v>494</v>
      </c>
      <c r="H6648" s="10">
        <v>46031.0</v>
      </c>
      <c r="I6648" s="12">
        <v>11.0</v>
      </c>
      <c r="J6648" s="6" t="s">
        <v>161</v>
      </c>
    </row>
    <row r="6649" ht="22.5" customHeight="1">
      <c r="A6649" s="6" t="s">
        <v>23457</v>
      </c>
      <c r="B6649" s="6" t="s">
        <v>14943</v>
      </c>
      <c r="C6649" s="10">
        <v>46071.0</v>
      </c>
      <c r="D6649" s="6" t="s">
        <v>436</v>
      </c>
      <c r="E6649" s="6" t="s">
        <v>833</v>
      </c>
      <c r="F6649" s="6" t="s">
        <v>249</v>
      </c>
      <c r="G6649" s="6" t="s">
        <v>477</v>
      </c>
      <c r="H6649" s="11" t="s">
        <v>259</v>
      </c>
      <c r="I6649" s="12">
        <v>9.0</v>
      </c>
      <c r="J6649" s="6" t="s">
        <v>161</v>
      </c>
    </row>
    <row r="6650" ht="22.5" customHeight="1">
      <c r="A6650" s="6" t="s">
        <v>23458</v>
      </c>
      <c r="B6650" s="6" t="s">
        <v>14943</v>
      </c>
      <c r="C6650" s="10">
        <v>46065.0</v>
      </c>
      <c r="D6650" s="6" t="s">
        <v>436</v>
      </c>
      <c r="E6650" s="6" t="s">
        <v>1149</v>
      </c>
      <c r="F6650" s="6" t="s">
        <v>112</v>
      </c>
      <c r="G6650" s="6" t="s">
        <v>326</v>
      </c>
      <c r="H6650" s="10">
        <v>46069.0</v>
      </c>
      <c r="I6650" s="12">
        <v>11.0</v>
      </c>
      <c r="J6650" s="6" t="s">
        <v>178</v>
      </c>
    </row>
    <row r="6651" ht="22.5" customHeight="1">
      <c r="A6651" s="6" t="s">
        <v>23459</v>
      </c>
      <c r="B6651" s="6" t="s">
        <v>14949</v>
      </c>
      <c r="C6651" s="10">
        <v>46038.0</v>
      </c>
      <c r="D6651" s="6" t="s">
        <v>436</v>
      </c>
      <c r="E6651" s="6" t="s">
        <v>1700</v>
      </c>
      <c r="F6651" s="6" t="s">
        <v>439</v>
      </c>
      <c r="G6651" s="6" t="s">
        <v>494</v>
      </c>
      <c r="H6651" s="10">
        <v>46042.0</v>
      </c>
      <c r="I6651" s="12">
        <v>10.0</v>
      </c>
      <c r="J6651" s="6" t="s">
        <v>178</v>
      </c>
    </row>
    <row r="6652" ht="22.5" customHeight="1">
      <c r="A6652" s="6" t="s">
        <v>23460</v>
      </c>
      <c r="B6652" s="6" t="s">
        <v>14949</v>
      </c>
      <c r="C6652" s="10">
        <v>46030.0</v>
      </c>
      <c r="D6652" s="6" t="s">
        <v>391</v>
      </c>
      <c r="E6652" s="6" t="s">
        <v>365</v>
      </c>
      <c r="F6652" s="6" t="s">
        <v>439</v>
      </c>
      <c r="G6652" s="6" t="s">
        <v>326</v>
      </c>
      <c r="H6652" s="10">
        <v>46031.0</v>
      </c>
      <c r="I6652" s="12">
        <v>7.0</v>
      </c>
      <c r="J6652" s="6" t="s">
        <v>161</v>
      </c>
    </row>
    <row r="6653" ht="22.5" customHeight="1">
      <c r="A6653" s="6" t="s">
        <v>23461</v>
      </c>
      <c r="B6653" s="6" t="s">
        <v>14949</v>
      </c>
      <c r="C6653" s="10">
        <v>46046.0</v>
      </c>
      <c r="D6653" s="6" t="s">
        <v>677</v>
      </c>
      <c r="E6653" s="6" t="s">
        <v>787</v>
      </c>
      <c r="F6653" s="6" t="s">
        <v>112</v>
      </c>
      <c r="G6653" s="6" t="s">
        <v>297</v>
      </c>
      <c r="H6653" s="10">
        <v>46047.0</v>
      </c>
      <c r="I6653" s="12">
        <v>3.0</v>
      </c>
      <c r="J6653" s="6" t="s">
        <v>161</v>
      </c>
    </row>
    <row r="6654" ht="22.5" customHeight="1">
      <c r="A6654" s="6" t="s">
        <v>23462</v>
      </c>
      <c r="B6654" s="6" t="s">
        <v>14949</v>
      </c>
      <c r="C6654" s="10">
        <v>46036.0</v>
      </c>
      <c r="D6654" s="6" t="s">
        <v>242</v>
      </c>
      <c r="E6654" s="6" t="s">
        <v>863</v>
      </c>
      <c r="F6654" s="6" t="s">
        <v>249</v>
      </c>
      <c r="G6654" s="6" t="s">
        <v>369</v>
      </c>
      <c r="H6654" s="10">
        <v>46043.0</v>
      </c>
      <c r="I6654" s="12">
        <v>5.0</v>
      </c>
      <c r="J6654" s="6" t="s">
        <v>178</v>
      </c>
    </row>
    <row r="6655" ht="22.5" customHeight="1">
      <c r="A6655" s="6" t="s">
        <v>23463</v>
      </c>
      <c r="B6655" s="6" t="s">
        <v>14956</v>
      </c>
      <c r="C6655" s="10">
        <v>46045.0</v>
      </c>
      <c r="D6655" s="6" t="s">
        <v>391</v>
      </c>
      <c r="E6655" s="6" t="s">
        <v>812</v>
      </c>
      <c r="F6655" s="6" t="s">
        <v>439</v>
      </c>
      <c r="G6655" s="6" t="s">
        <v>326</v>
      </c>
      <c r="H6655" s="10">
        <v>46045.0</v>
      </c>
      <c r="I6655" s="12">
        <v>11.0</v>
      </c>
      <c r="J6655" s="6" t="s">
        <v>161</v>
      </c>
    </row>
    <row r="6656" ht="22.5" customHeight="1">
      <c r="A6656" s="6" t="s">
        <v>23464</v>
      </c>
      <c r="B6656" s="6" t="s">
        <v>14963</v>
      </c>
      <c r="C6656" s="10">
        <v>46065.0</v>
      </c>
      <c r="D6656" s="6" t="s">
        <v>289</v>
      </c>
      <c r="E6656" s="6" t="s">
        <v>863</v>
      </c>
      <c r="F6656" s="6" t="s">
        <v>249</v>
      </c>
      <c r="G6656" s="6" t="s">
        <v>458</v>
      </c>
      <c r="H6656" s="10">
        <v>46065.0</v>
      </c>
      <c r="I6656" s="12">
        <v>9.0</v>
      </c>
      <c r="J6656" s="6" t="s">
        <v>161</v>
      </c>
    </row>
    <row r="6657" ht="22.5" customHeight="1">
      <c r="A6657" s="6" t="s">
        <v>23465</v>
      </c>
      <c r="B6657" s="6" t="s">
        <v>14969</v>
      </c>
      <c r="C6657" s="10">
        <v>46053.0</v>
      </c>
      <c r="D6657" s="6" t="s">
        <v>436</v>
      </c>
      <c r="E6657" s="6" t="s">
        <v>833</v>
      </c>
      <c r="F6657" s="6" t="s">
        <v>283</v>
      </c>
      <c r="G6657" s="6" t="s">
        <v>458</v>
      </c>
      <c r="H6657" s="10">
        <v>46057.0</v>
      </c>
      <c r="I6657" s="12">
        <v>9.0</v>
      </c>
      <c r="J6657" s="6" t="s">
        <v>178</v>
      </c>
    </row>
    <row r="6658" ht="22.5" customHeight="1">
      <c r="A6658" s="6" t="s">
        <v>23466</v>
      </c>
      <c r="B6658" s="6" t="s">
        <v>14969</v>
      </c>
      <c r="C6658" s="10">
        <v>46054.0</v>
      </c>
      <c r="D6658" s="6" t="s">
        <v>289</v>
      </c>
      <c r="E6658" s="6" t="s">
        <v>320</v>
      </c>
      <c r="F6658" s="6" t="s">
        <v>112</v>
      </c>
      <c r="G6658" s="6" t="s">
        <v>477</v>
      </c>
      <c r="H6658" s="10">
        <v>46059.0</v>
      </c>
      <c r="I6658" s="12">
        <v>5.0</v>
      </c>
      <c r="J6658" s="6" t="s">
        <v>161</v>
      </c>
    </row>
    <row r="6659" ht="22.5" customHeight="1">
      <c r="A6659" s="6" t="s">
        <v>23467</v>
      </c>
      <c r="B6659" s="6" t="s">
        <v>14969</v>
      </c>
      <c r="C6659" s="10">
        <v>46069.0</v>
      </c>
      <c r="D6659" s="6" t="s">
        <v>677</v>
      </c>
      <c r="E6659" s="6" t="s">
        <v>1570</v>
      </c>
      <c r="F6659" s="6" t="s">
        <v>439</v>
      </c>
      <c r="G6659" s="6" t="s">
        <v>452</v>
      </c>
      <c r="H6659" s="10">
        <v>46070.0</v>
      </c>
      <c r="I6659" s="12">
        <v>4.0</v>
      </c>
      <c r="J6659" s="6" t="s">
        <v>161</v>
      </c>
    </row>
    <row r="6660" ht="22.5" customHeight="1">
      <c r="A6660" s="6" t="s">
        <v>23468</v>
      </c>
      <c r="B6660" s="6" t="s">
        <v>14969</v>
      </c>
      <c r="C6660" s="10">
        <v>46072.0</v>
      </c>
      <c r="D6660" s="6" t="s">
        <v>391</v>
      </c>
      <c r="E6660" s="6" t="s">
        <v>1720</v>
      </c>
      <c r="F6660" s="6" t="s">
        <v>283</v>
      </c>
      <c r="G6660" s="6" t="s">
        <v>254</v>
      </c>
      <c r="H6660" s="10">
        <v>46073.0</v>
      </c>
      <c r="I6660" s="12">
        <v>9.0</v>
      </c>
      <c r="J6660" s="6" t="s">
        <v>161</v>
      </c>
    </row>
    <row r="6661" ht="22.5" customHeight="1">
      <c r="A6661" s="6" t="s">
        <v>23469</v>
      </c>
      <c r="B6661" s="6" t="s">
        <v>14976</v>
      </c>
      <c r="C6661" s="10">
        <v>46043.0</v>
      </c>
      <c r="D6661" s="6" t="s">
        <v>242</v>
      </c>
      <c r="E6661" s="6" t="s">
        <v>812</v>
      </c>
      <c r="F6661" s="6" t="s">
        <v>112</v>
      </c>
      <c r="G6661" s="6" t="s">
        <v>369</v>
      </c>
      <c r="H6661" s="10">
        <v>46046.0</v>
      </c>
      <c r="I6661" s="12">
        <v>4.0</v>
      </c>
      <c r="J6661" s="6" t="s">
        <v>178</v>
      </c>
    </row>
    <row r="6662" ht="22.5" customHeight="1">
      <c r="A6662" s="6" t="s">
        <v>23470</v>
      </c>
      <c r="B6662" s="6" t="s">
        <v>14976</v>
      </c>
      <c r="C6662" s="10">
        <v>46035.0</v>
      </c>
      <c r="D6662" s="6" t="s">
        <v>391</v>
      </c>
      <c r="E6662" s="6" t="s">
        <v>738</v>
      </c>
      <c r="F6662" s="6" t="s">
        <v>112</v>
      </c>
      <c r="G6662" s="6" t="s">
        <v>254</v>
      </c>
      <c r="H6662" s="10">
        <v>46038.0</v>
      </c>
      <c r="I6662" s="12">
        <v>6.0</v>
      </c>
      <c r="J6662" s="6" t="s">
        <v>161</v>
      </c>
    </row>
    <row r="6663" ht="22.5" customHeight="1">
      <c r="A6663" s="6" t="s">
        <v>23471</v>
      </c>
      <c r="B6663" s="6" t="s">
        <v>14976</v>
      </c>
      <c r="C6663" s="10">
        <v>46037.0</v>
      </c>
      <c r="D6663" s="6" t="s">
        <v>242</v>
      </c>
      <c r="E6663" s="6" t="s">
        <v>1055</v>
      </c>
      <c r="F6663" s="6" t="s">
        <v>283</v>
      </c>
      <c r="G6663" s="6" t="s">
        <v>477</v>
      </c>
      <c r="H6663" s="10">
        <v>46043.0</v>
      </c>
      <c r="I6663" s="12">
        <v>5.0</v>
      </c>
      <c r="J6663" s="6" t="s">
        <v>161</v>
      </c>
    </row>
    <row r="6664" ht="22.5" customHeight="1">
      <c r="A6664" s="6" t="s">
        <v>23472</v>
      </c>
      <c r="B6664" s="6" t="s">
        <v>14976</v>
      </c>
      <c r="C6664" s="10">
        <v>46037.0</v>
      </c>
      <c r="D6664" s="6" t="s">
        <v>436</v>
      </c>
      <c r="E6664" s="6" t="s">
        <v>291</v>
      </c>
      <c r="F6664" s="6" t="s">
        <v>249</v>
      </c>
      <c r="G6664" s="6" t="s">
        <v>458</v>
      </c>
      <c r="H6664" s="10">
        <v>46041.0</v>
      </c>
      <c r="I6664" s="12">
        <v>10.0</v>
      </c>
      <c r="J6664" s="6" t="s">
        <v>178</v>
      </c>
    </row>
    <row r="6665" ht="22.5" customHeight="1">
      <c r="A6665" s="6" t="s">
        <v>23473</v>
      </c>
      <c r="B6665" s="6" t="s">
        <v>14976</v>
      </c>
      <c r="C6665" s="10">
        <v>46035.0</v>
      </c>
      <c r="D6665" s="6" t="s">
        <v>391</v>
      </c>
      <c r="E6665" s="6" t="s">
        <v>246</v>
      </c>
      <c r="F6665" s="6" t="s">
        <v>249</v>
      </c>
      <c r="G6665" s="6" t="s">
        <v>297</v>
      </c>
      <c r="H6665" s="10">
        <v>46035.0</v>
      </c>
      <c r="I6665" s="12">
        <v>10.0</v>
      </c>
      <c r="J6665" s="6" t="s">
        <v>161</v>
      </c>
    </row>
    <row r="6666" ht="22.5" customHeight="1">
      <c r="A6666" s="6" t="s">
        <v>23474</v>
      </c>
      <c r="B6666" s="6" t="s">
        <v>14982</v>
      </c>
      <c r="C6666" s="10">
        <v>46046.0</v>
      </c>
      <c r="D6666" s="6" t="s">
        <v>391</v>
      </c>
      <c r="E6666" s="6" t="s">
        <v>885</v>
      </c>
      <c r="F6666" s="6" t="s">
        <v>439</v>
      </c>
      <c r="G6666" s="6" t="s">
        <v>452</v>
      </c>
      <c r="H6666" s="10">
        <v>46050.0</v>
      </c>
      <c r="I6666" s="12">
        <v>6.0</v>
      </c>
      <c r="J6666" s="6" t="s">
        <v>161</v>
      </c>
    </row>
    <row r="6667" ht="22.5" customHeight="1">
      <c r="A6667" s="6" t="s">
        <v>23475</v>
      </c>
      <c r="B6667" s="6" t="s">
        <v>14982</v>
      </c>
      <c r="C6667" s="10">
        <v>46045.0</v>
      </c>
      <c r="D6667" s="6" t="s">
        <v>436</v>
      </c>
      <c r="E6667" s="6" t="s">
        <v>438</v>
      </c>
      <c r="F6667" s="6" t="s">
        <v>283</v>
      </c>
      <c r="G6667" s="6" t="s">
        <v>477</v>
      </c>
      <c r="H6667" s="10">
        <v>46052.0</v>
      </c>
      <c r="I6667" s="12">
        <v>9.0</v>
      </c>
      <c r="J6667" s="6" t="s">
        <v>178</v>
      </c>
    </row>
    <row r="6668" ht="22.5" customHeight="1">
      <c r="A6668" s="6" t="s">
        <v>23476</v>
      </c>
      <c r="B6668" s="6" t="s">
        <v>14988</v>
      </c>
      <c r="C6668" s="10">
        <v>46048.0</v>
      </c>
      <c r="D6668" s="6" t="s">
        <v>289</v>
      </c>
      <c r="E6668" s="6" t="s">
        <v>1241</v>
      </c>
      <c r="F6668" s="6" t="s">
        <v>283</v>
      </c>
      <c r="G6668" s="6" t="s">
        <v>494</v>
      </c>
      <c r="H6668" s="10">
        <v>46049.0</v>
      </c>
      <c r="I6668" s="12">
        <v>7.0</v>
      </c>
      <c r="J6668" s="6" t="s">
        <v>161</v>
      </c>
    </row>
    <row r="6669" ht="22.5" customHeight="1">
      <c r="A6669" s="6" t="s">
        <v>23477</v>
      </c>
      <c r="B6669" s="6" t="s">
        <v>14988</v>
      </c>
      <c r="C6669" s="10">
        <v>46048.0</v>
      </c>
      <c r="D6669" s="6" t="s">
        <v>391</v>
      </c>
      <c r="E6669" s="6" t="s">
        <v>618</v>
      </c>
      <c r="F6669" s="6" t="s">
        <v>283</v>
      </c>
      <c r="G6669" s="6" t="s">
        <v>477</v>
      </c>
      <c r="H6669" s="10">
        <v>46051.0</v>
      </c>
      <c r="I6669" s="12">
        <v>11.0</v>
      </c>
      <c r="J6669" s="6" t="s">
        <v>161</v>
      </c>
    </row>
    <row r="6670" ht="22.5" customHeight="1">
      <c r="A6670" s="6" t="s">
        <v>23478</v>
      </c>
      <c r="B6670" s="6" t="s">
        <v>14988</v>
      </c>
      <c r="C6670" s="10">
        <v>46049.0</v>
      </c>
      <c r="D6670" s="6" t="s">
        <v>436</v>
      </c>
      <c r="E6670" s="6" t="s">
        <v>1546</v>
      </c>
      <c r="F6670" s="6" t="s">
        <v>439</v>
      </c>
      <c r="G6670" s="6" t="s">
        <v>494</v>
      </c>
      <c r="H6670" s="10">
        <v>46049.0</v>
      </c>
      <c r="I6670" s="12">
        <v>9.0</v>
      </c>
      <c r="J6670" s="6" t="s">
        <v>178</v>
      </c>
    </row>
    <row r="6671" ht="22.5" customHeight="1">
      <c r="A6671" s="6" t="s">
        <v>23479</v>
      </c>
      <c r="B6671" s="6" t="s">
        <v>14995</v>
      </c>
      <c r="C6671" s="10">
        <v>46046.0</v>
      </c>
      <c r="D6671" s="6" t="s">
        <v>242</v>
      </c>
      <c r="E6671" s="6" t="s">
        <v>863</v>
      </c>
      <c r="F6671" s="6" t="s">
        <v>112</v>
      </c>
      <c r="G6671" s="6" t="s">
        <v>369</v>
      </c>
      <c r="H6671" s="10">
        <v>46049.0</v>
      </c>
      <c r="I6671" s="12">
        <v>3.0</v>
      </c>
      <c r="J6671" s="6" t="s">
        <v>178</v>
      </c>
    </row>
    <row r="6672" ht="22.5" customHeight="1">
      <c r="A6672" s="6" t="s">
        <v>23480</v>
      </c>
      <c r="B6672" s="6" t="s">
        <v>14995</v>
      </c>
      <c r="C6672" s="10">
        <v>46047.0</v>
      </c>
      <c r="D6672" s="6" t="s">
        <v>416</v>
      </c>
      <c r="E6672" s="6" t="s">
        <v>896</v>
      </c>
      <c r="F6672" s="6" t="s">
        <v>439</v>
      </c>
      <c r="G6672" s="6" t="s">
        <v>369</v>
      </c>
      <c r="H6672" s="10">
        <v>46047.0</v>
      </c>
      <c r="I6672" s="12">
        <v>12.0</v>
      </c>
      <c r="J6672" s="6" t="s">
        <v>161</v>
      </c>
    </row>
    <row r="6673" ht="22.5" customHeight="1">
      <c r="A6673" s="6" t="s">
        <v>23481</v>
      </c>
      <c r="B6673" s="6" t="s">
        <v>14995</v>
      </c>
      <c r="C6673" s="10">
        <v>46044.0</v>
      </c>
      <c r="D6673" s="6" t="s">
        <v>391</v>
      </c>
      <c r="E6673" s="6" t="s">
        <v>1600</v>
      </c>
      <c r="F6673" s="6" t="s">
        <v>249</v>
      </c>
      <c r="G6673" s="6" t="s">
        <v>477</v>
      </c>
      <c r="H6673" s="10">
        <v>46044.0</v>
      </c>
      <c r="I6673" s="12">
        <v>7.0</v>
      </c>
      <c r="J6673" s="6" t="s">
        <v>161</v>
      </c>
    </row>
    <row r="6674" ht="22.5" customHeight="1">
      <c r="A6674" s="6" t="s">
        <v>23482</v>
      </c>
      <c r="B6674" s="6" t="s">
        <v>14995</v>
      </c>
      <c r="C6674" s="10">
        <v>46042.0</v>
      </c>
      <c r="D6674" s="6" t="s">
        <v>312</v>
      </c>
      <c r="E6674" s="6" t="s">
        <v>1149</v>
      </c>
      <c r="F6674" s="6" t="s">
        <v>112</v>
      </c>
      <c r="G6674" s="6" t="s">
        <v>297</v>
      </c>
      <c r="H6674" s="10">
        <v>46049.0</v>
      </c>
      <c r="I6674" s="12">
        <v>7.0</v>
      </c>
      <c r="J6674" s="6" t="s">
        <v>161</v>
      </c>
    </row>
    <row r="6675" ht="22.5" customHeight="1">
      <c r="A6675" s="6" t="s">
        <v>23483</v>
      </c>
      <c r="B6675" s="6" t="s">
        <v>14995</v>
      </c>
      <c r="C6675" s="10">
        <v>46046.0</v>
      </c>
      <c r="D6675" s="6" t="s">
        <v>312</v>
      </c>
      <c r="E6675" s="6" t="s">
        <v>1273</v>
      </c>
      <c r="F6675" s="6" t="s">
        <v>439</v>
      </c>
      <c r="G6675" s="6" t="s">
        <v>369</v>
      </c>
      <c r="H6675" s="11" t="s">
        <v>259</v>
      </c>
      <c r="I6675" s="12">
        <v>5.0</v>
      </c>
      <c r="J6675" s="6" t="s">
        <v>161</v>
      </c>
    </row>
    <row r="6676" ht="22.5" customHeight="1">
      <c r="A6676" s="6" t="s">
        <v>23484</v>
      </c>
      <c r="B6676" s="6" t="s">
        <v>15001</v>
      </c>
      <c r="C6676" s="10">
        <v>46049.0</v>
      </c>
      <c r="D6676" s="6" t="s">
        <v>391</v>
      </c>
      <c r="E6676" s="6" t="s">
        <v>1720</v>
      </c>
      <c r="F6676" s="6" t="s">
        <v>249</v>
      </c>
      <c r="G6676" s="6" t="s">
        <v>254</v>
      </c>
      <c r="H6676" s="11" t="s">
        <v>259</v>
      </c>
      <c r="I6676" s="12">
        <v>10.0</v>
      </c>
      <c r="J6676" s="6" t="s">
        <v>161</v>
      </c>
    </row>
    <row r="6677" ht="22.5" customHeight="1">
      <c r="A6677" s="6" t="s">
        <v>23485</v>
      </c>
      <c r="B6677" s="6" t="s">
        <v>15001</v>
      </c>
      <c r="C6677" s="10">
        <v>46061.0</v>
      </c>
      <c r="D6677" s="6" t="s">
        <v>416</v>
      </c>
      <c r="E6677" s="6" t="s">
        <v>2365</v>
      </c>
      <c r="F6677" s="6" t="s">
        <v>249</v>
      </c>
      <c r="G6677" s="6" t="s">
        <v>477</v>
      </c>
      <c r="H6677" s="10">
        <v>46063.0</v>
      </c>
      <c r="I6677" s="12">
        <v>14.0</v>
      </c>
      <c r="J6677" s="6" t="s">
        <v>161</v>
      </c>
    </row>
    <row r="6678" ht="22.5" customHeight="1">
      <c r="A6678" s="6" t="s">
        <v>23486</v>
      </c>
      <c r="B6678" s="6" t="s">
        <v>15001</v>
      </c>
      <c r="C6678" s="10">
        <v>46053.0</v>
      </c>
      <c r="D6678" s="6" t="s">
        <v>436</v>
      </c>
      <c r="E6678" s="6" t="s">
        <v>658</v>
      </c>
      <c r="F6678" s="6" t="s">
        <v>439</v>
      </c>
      <c r="G6678" s="6" t="s">
        <v>458</v>
      </c>
      <c r="H6678" s="10">
        <v>46054.0</v>
      </c>
      <c r="I6678" s="12">
        <v>6.0</v>
      </c>
      <c r="J6678" s="6" t="s">
        <v>161</v>
      </c>
    </row>
    <row r="6679" ht="22.5" customHeight="1">
      <c r="A6679" s="6" t="s">
        <v>23487</v>
      </c>
      <c r="B6679" s="6" t="s">
        <v>15007</v>
      </c>
      <c r="C6679" s="10">
        <v>46049.0</v>
      </c>
      <c r="D6679" s="6" t="s">
        <v>242</v>
      </c>
      <c r="E6679" s="6" t="s">
        <v>475</v>
      </c>
      <c r="F6679" s="6" t="s">
        <v>283</v>
      </c>
      <c r="G6679" s="6" t="s">
        <v>452</v>
      </c>
      <c r="H6679" s="10">
        <v>46053.0</v>
      </c>
      <c r="I6679" s="12">
        <v>3.0</v>
      </c>
      <c r="J6679" s="6" t="s">
        <v>178</v>
      </c>
    </row>
    <row r="6680" ht="22.5" customHeight="1">
      <c r="A6680" s="6" t="s">
        <v>23488</v>
      </c>
      <c r="B6680" s="6" t="s">
        <v>15007</v>
      </c>
      <c r="C6680" s="10">
        <v>46048.0</v>
      </c>
      <c r="D6680" s="6" t="s">
        <v>416</v>
      </c>
      <c r="E6680" s="6" t="s">
        <v>450</v>
      </c>
      <c r="F6680" s="6" t="s">
        <v>283</v>
      </c>
      <c r="G6680" s="6" t="s">
        <v>458</v>
      </c>
      <c r="H6680" s="10">
        <v>46051.0</v>
      </c>
      <c r="I6680" s="12">
        <v>9.0</v>
      </c>
      <c r="J6680" s="6" t="s">
        <v>161</v>
      </c>
    </row>
    <row r="6681" ht="22.5" customHeight="1">
      <c r="A6681" s="6" t="s">
        <v>23489</v>
      </c>
      <c r="B6681" s="6" t="s">
        <v>15007</v>
      </c>
      <c r="C6681" s="10">
        <v>46044.0</v>
      </c>
      <c r="D6681" s="6" t="s">
        <v>391</v>
      </c>
      <c r="E6681" s="6" t="s">
        <v>787</v>
      </c>
      <c r="F6681" s="6" t="s">
        <v>439</v>
      </c>
      <c r="G6681" s="6" t="s">
        <v>297</v>
      </c>
      <c r="H6681" s="10">
        <v>46050.0</v>
      </c>
      <c r="I6681" s="12">
        <v>9.0</v>
      </c>
      <c r="J6681" s="6" t="s">
        <v>161</v>
      </c>
    </row>
    <row r="6682" ht="22.5" customHeight="1">
      <c r="A6682" s="6" t="s">
        <v>23490</v>
      </c>
      <c r="B6682" s="6" t="s">
        <v>15013</v>
      </c>
      <c r="C6682" s="10">
        <v>46045.0</v>
      </c>
      <c r="D6682" s="6" t="s">
        <v>289</v>
      </c>
      <c r="E6682" s="6" t="s">
        <v>687</v>
      </c>
      <c r="F6682" s="6" t="s">
        <v>112</v>
      </c>
      <c r="G6682" s="6" t="s">
        <v>477</v>
      </c>
      <c r="H6682" s="10">
        <v>46047.0</v>
      </c>
      <c r="I6682" s="12">
        <v>6.0</v>
      </c>
      <c r="J6682" s="6" t="s">
        <v>161</v>
      </c>
    </row>
    <row r="6683" ht="22.5" customHeight="1">
      <c r="A6683" s="6" t="s">
        <v>23491</v>
      </c>
      <c r="B6683" s="6" t="s">
        <v>15019</v>
      </c>
      <c r="C6683" s="10">
        <v>46054.0</v>
      </c>
      <c r="D6683" s="6" t="s">
        <v>436</v>
      </c>
      <c r="E6683" s="6" t="s">
        <v>687</v>
      </c>
      <c r="F6683" s="6" t="s">
        <v>283</v>
      </c>
      <c r="G6683" s="6" t="s">
        <v>477</v>
      </c>
      <c r="H6683" s="10">
        <v>46060.0</v>
      </c>
      <c r="I6683" s="12">
        <v>9.0</v>
      </c>
      <c r="J6683" s="6" t="s">
        <v>178</v>
      </c>
    </row>
    <row r="6684" ht="22.5" customHeight="1">
      <c r="A6684" s="6" t="s">
        <v>23492</v>
      </c>
      <c r="B6684" s="6" t="s">
        <v>15019</v>
      </c>
      <c r="C6684" s="10">
        <v>46057.0</v>
      </c>
      <c r="D6684" s="6" t="s">
        <v>677</v>
      </c>
      <c r="E6684" s="6" t="s">
        <v>566</v>
      </c>
      <c r="F6684" s="6" t="s">
        <v>112</v>
      </c>
      <c r="G6684" s="6" t="s">
        <v>254</v>
      </c>
      <c r="H6684" s="10">
        <v>46061.0</v>
      </c>
      <c r="I6684" s="12">
        <v>4.0</v>
      </c>
      <c r="J6684" s="6" t="s">
        <v>161</v>
      </c>
    </row>
    <row r="6685" ht="22.5" customHeight="1">
      <c r="A6685" s="6" t="s">
        <v>23493</v>
      </c>
      <c r="B6685" s="6" t="s">
        <v>15019</v>
      </c>
      <c r="C6685" s="10">
        <v>46050.0</v>
      </c>
      <c r="D6685" s="6" t="s">
        <v>416</v>
      </c>
      <c r="E6685" s="6" t="s">
        <v>2881</v>
      </c>
      <c r="F6685" s="6" t="s">
        <v>112</v>
      </c>
      <c r="G6685" s="6" t="s">
        <v>254</v>
      </c>
      <c r="H6685" s="11" t="s">
        <v>259</v>
      </c>
      <c r="I6685" s="12">
        <v>10.0</v>
      </c>
      <c r="J6685" s="6" t="s">
        <v>161</v>
      </c>
    </row>
    <row r="6686" ht="22.5" customHeight="1">
      <c r="A6686" s="6" t="s">
        <v>23494</v>
      </c>
      <c r="B6686" s="6" t="s">
        <v>15019</v>
      </c>
      <c r="C6686" s="10">
        <v>46054.0</v>
      </c>
      <c r="D6686" s="6" t="s">
        <v>677</v>
      </c>
      <c r="E6686" s="6" t="s">
        <v>1600</v>
      </c>
      <c r="F6686" s="6" t="s">
        <v>112</v>
      </c>
      <c r="G6686" s="6" t="s">
        <v>297</v>
      </c>
      <c r="H6686" s="10">
        <v>46055.0</v>
      </c>
      <c r="I6686" s="12">
        <v>4.0</v>
      </c>
      <c r="J6686" s="6" t="s">
        <v>161</v>
      </c>
    </row>
    <row r="6687" ht="22.5" customHeight="1">
      <c r="A6687" s="6" t="s">
        <v>23495</v>
      </c>
      <c r="B6687" s="6" t="s">
        <v>15019</v>
      </c>
      <c r="C6687" s="10">
        <v>46053.0</v>
      </c>
      <c r="D6687" s="6" t="s">
        <v>436</v>
      </c>
      <c r="E6687" s="6" t="s">
        <v>1055</v>
      </c>
      <c r="F6687" s="6" t="s">
        <v>439</v>
      </c>
      <c r="G6687" s="6" t="s">
        <v>452</v>
      </c>
      <c r="H6687" s="10">
        <v>46060.0</v>
      </c>
      <c r="I6687" s="12">
        <v>11.0</v>
      </c>
      <c r="J6687" s="6" t="s">
        <v>178</v>
      </c>
    </row>
    <row r="6688" ht="22.5" customHeight="1">
      <c r="A6688" s="6" t="s">
        <v>23496</v>
      </c>
      <c r="B6688" s="6" t="s">
        <v>15026</v>
      </c>
      <c r="C6688" s="10">
        <v>46037.0</v>
      </c>
      <c r="D6688" s="6" t="s">
        <v>242</v>
      </c>
      <c r="E6688" s="6" t="s">
        <v>2881</v>
      </c>
      <c r="F6688" s="6" t="s">
        <v>249</v>
      </c>
      <c r="G6688" s="6" t="s">
        <v>326</v>
      </c>
      <c r="H6688" s="10">
        <v>46041.0</v>
      </c>
      <c r="I6688" s="12">
        <v>3.0</v>
      </c>
      <c r="J6688" s="6" t="s">
        <v>178</v>
      </c>
    </row>
    <row r="6689" ht="22.5" customHeight="1">
      <c r="A6689" s="6" t="s">
        <v>23497</v>
      </c>
      <c r="B6689" s="6" t="s">
        <v>15026</v>
      </c>
      <c r="C6689" s="10">
        <v>46032.0</v>
      </c>
      <c r="D6689" s="6" t="s">
        <v>416</v>
      </c>
      <c r="E6689" s="6" t="s">
        <v>628</v>
      </c>
      <c r="F6689" s="6" t="s">
        <v>439</v>
      </c>
      <c r="G6689" s="6" t="s">
        <v>458</v>
      </c>
      <c r="H6689" s="10">
        <v>46033.0</v>
      </c>
      <c r="I6689" s="12">
        <v>12.0</v>
      </c>
      <c r="J6689" s="6" t="s">
        <v>161</v>
      </c>
    </row>
    <row r="6690" ht="22.5" customHeight="1">
      <c r="A6690" s="6" t="s">
        <v>23498</v>
      </c>
      <c r="B6690" s="6" t="s">
        <v>15026</v>
      </c>
      <c r="C6690" s="10">
        <v>46040.0</v>
      </c>
      <c r="D6690" s="6" t="s">
        <v>416</v>
      </c>
      <c r="E6690" s="6" t="s">
        <v>775</v>
      </c>
      <c r="F6690" s="6" t="s">
        <v>283</v>
      </c>
      <c r="G6690" s="6" t="s">
        <v>458</v>
      </c>
      <c r="H6690" s="10">
        <v>46040.0</v>
      </c>
      <c r="I6690" s="12">
        <v>12.0</v>
      </c>
      <c r="J6690" s="6" t="s">
        <v>161</v>
      </c>
    </row>
    <row r="6691" ht="22.5" customHeight="1">
      <c r="A6691" s="6" t="s">
        <v>23499</v>
      </c>
      <c r="B6691" s="6" t="s">
        <v>15026</v>
      </c>
      <c r="C6691" s="10">
        <v>46047.0</v>
      </c>
      <c r="D6691" s="6" t="s">
        <v>436</v>
      </c>
      <c r="E6691" s="6" t="s">
        <v>466</v>
      </c>
      <c r="F6691" s="6" t="s">
        <v>439</v>
      </c>
      <c r="G6691" s="6" t="s">
        <v>326</v>
      </c>
      <c r="H6691" s="10">
        <v>46052.0</v>
      </c>
      <c r="I6691" s="12">
        <v>8.0</v>
      </c>
      <c r="J6691" s="6" t="s">
        <v>178</v>
      </c>
    </row>
    <row r="6692" ht="22.5" customHeight="1">
      <c r="A6692" s="6" t="s">
        <v>23500</v>
      </c>
      <c r="B6692" s="6" t="s">
        <v>15032</v>
      </c>
      <c r="C6692" s="10">
        <v>46061.0</v>
      </c>
      <c r="D6692" s="6" t="s">
        <v>391</v>
      </c>
      <c r="E6692" s="6" t="s">
        <v>695</v>
      </c>
      <c r="F6692" s="6" t="s">
        <v>249</v>
      </c>
      <c r="G6692" s="6" t="s">
        <v>458</v>
      </c>
      <c r="H6692" s="10">
        <v>46068.0</v>
      </c>
      <c r="I6692" s="12">
        <v>9.0</v>
      </c>
      <c r="J6692" s="6" t="s">
        <v>161</v>
      </c>
    </row>
    <row r="6693" ht="22.5" customHeight="1">
      <c r="A6693" s="6" t="s">
        <v>23501</v>
      </c>
      <c r="B6693" s="6" t="s">
        <v>15032</v>
      </c>
      <c r="C6693" s="10">
        <v>46062.0</v>
      </c>
      <c r="D6693" s="6" t="s">
        <v>416</v>
      </c>
      <c r="E6693" s="6" t="s">
        <v>512</v>
      </c>
      <c r="F6693" s="6" t="s">
        <v>283</v>
      </c>
      <c r="G6693" s="6" t="s">
        <v>494</v>
      </c>
      <c r="H6693" s="11" t="s">
        <v>259</v>
      </c>
      <c r="I6693" s="12">
        <v>12.0</v>
      </c>
      <c r="J6693" s="6" t="s">
        <v>161</v>
      </c>
    </row>
    <row r="6694" ht="22.5" customHeight="1">
      <c r="A6694" s="6" t="s">
        <v>23502</v>
      </c>
      <c r="B6694" s="6" t="s">
        <v>15032</v>
      </c>
      <c r="C6694" s="10">
        <v>46057.0</v>
      </c>
      <c r="D6694" s="6" t="s">
        <v>289</v>
      </c>
      <c r="E6694" s="6" t="s">
        <v>695</v>
      </c>
      <c r="F6694" s="6" t="s">
        <v>249</v>
      </c>
      <c r="G6694" s="6" t="s">
        <v>458</v>
      </c>
      <c r="H6694" s="10">
        <v>46064.0</v>
      </c>
      <c r="I6694" s="12">
        <v>6.0</v>
      </c>
      <c r="J6694" s="6" t="s">
        <v>161</v>
      </c>
    </row>
    <row r="6695" ht="22.5" customHeight="1">
      <c r="A6695" s="6" t="s">
        <v>23503</v>
      </c>
      <c r="B6695" s="6" t="s">
        <v>15039</v>
      </c>
      <c r="C6695" s="10">
        <v>46049.0</v>
      </c>
      <c r="D6695" s="6" t="s">
        <v>677</v>
      </c>
      <c r="E6695" s="6" t="s">
        <v>1386</v>
      </c>
      <c r="F6695" s="6" t="s">
        <v>439</v>
      </c>
      <c r="G6695" s="6" t="s">
        <v>254</v>
      </c>
      <c r="H6695" s="10">
        <v>46056.0</v>
      </c>
      <c r="I6695" s="12">
        <v>2.0</v>
      </c>
      <c r="J6695" s="6" t="s">
        <v>161</v>
      </c>
    </row>
    <row r="6696" ht="22.5" customHeight="1">
      <c r="A6696" s="6" t="s">
        <v>23504</v>
      </c>
      <c r="B6696" s="6" t="s">
        <v>15039</v>
      </c>
      <c r="C6696" s="10">
        <v>46044.0</v>
      </c>
      <c r="D6696" s="6" t="s">
        <v>677</v>
      </c>
      <c r="E6696" s="6" t="s">
        <v>2881</v>
      </c>
      <c r="F6696" s="6" t="s">
        <v>112</v>
      </c>
      <c r="G6696" s="6" t="s">
        <v>458</v>
      </c>
      <c r="H6696" s="10">
        <v>46046.0</v>
      </c>
      <c r="I6696" s="12">
        <v>2.0</v>
      </c>
      <c r="J6696" s="6" t="s">
        <v>161</v>
      </c>
    </row>
    <row r="6697" ht="22.5" customHeight="1">
      <c r="A6697" s="6" t="s">
        <v>23505</v>
      </c>
      <c r="B6697" s="6" t="s">
        <v>15039</v>
      </c>
      <c r="C6697" s="10">
        <v>46036.0</v>
      </c>
      <c r="D6697" s="6" t="s">
        <v>289</v>
      </c>
      <c r="E6697" s="6" t="s">
        <v>566</v>
      </c>
      <c r="F6697" s="6" t="s">
        <v>283</v>
      </c>
      <c r="G6697" s="6" t="s">
        <v>254</v>
      </c>
      <c r="H6697" s="10">
        <v>46041.0</v>
      </c>
      <c r="I6697" s="12">
        <v>10.0</v>
      </c>
      <c r="J6697" s="6" t="s">
        <v>161</v>
      </c>
    </row>
    <row r="6698" ht="22.5" customHeight="1">
      <c r="A6698" s="6" t="s">
        <v>23506</v>
      </c>
      <c r="B6698" s="6" t="s">
        <v>15039</v>
      </c>
      <c r="C6698" s="10">
        <v>46053.0</v>
      </c>
      <c r="D6698" s="6" t="s">
        <v>242</v>
      </c>
      <c r="E6698" s="6" t="s">
        <v>787</v>
      </c>
      <c r="F6698" s="6" t="s">
        <v>283</v>
      </c>
      <c r="G6698" s="6" t="s">
        <v>297</v>
      </c>
      <c r="H6698" s="10">
        <v>46054.0</v>
      </c>
      <c r="I6698" s="12">
        <v>3.0</v>
      </c>
      <c r="J6698" s="6" t="s">
        <v>178</v>
      </c>
    </row>
    <row r="6699" ht="22.5" customHeight="1">
      <c r="A6699" s="6" t="s">
        <v>23507</v>
      </c>
      <c r="B6699" s="6" t="s">
        <v>15045</v>
      </c>
      <c r="C6699" s="10">
        <v>46053.0</v>
      </c>
      <c r="D6699" s="6" t="s">
        <v>391</v>
      </c>
      <c r="E6699" s="6" t="s">
        <v>787</v>
      </c>
      <c r="F6699" s="6" t="s">
        <v>283</v>
      </c>
      <c r="G6699" s="6" t="s">
        <v>477</v>
      </c>
      <c r="H6699" s="10">
        <v>46054.0</v>
      </c>
      <c r="I6699" s="12">
        <v>10.0</v>
      </c>
      <c r="J6699" s="6" t="s">
        <v>161</v>
      </c>
    </row>
    <row r="6700" ht="22.5" customHeight="1">
      <c r="A6700" s="6" t="s">
        <v>23508</v>
      </c>
      <c r="B6700" s="6" t="s">
        <v>15045</v>
      </c>
      <c r="C6700" s="10">
        <v>46043.0</v>
      </c>
      <c r="D6700" s="6" t="s">
        <v>436</v>
      </c>
      <c r="E6700" s="6" t="s">
        <v>1570</v>
      </c>
      <c r="F6700" s="6" t="s">
        <v>283</v>
      </c>
      <c r="G6700" s="6" t="s">
        <v>452</v>
      </c>
      <c r="H6700" s="11" t="s">
        <v>259</v>
      </c>
      <c r="I6700" s="12">
        <v>11.0</v>
      </c>
      <c r="J6700" s="6" t="s">
        <v>161</v>
      </c>
    </row>
    <row r="6701" ht="22.5" customHeight="1">
      <c r="A6701" s="6" t="s">
        <v>23509</v>
      </c>
      <c r="B6701" s="6" t="s">
        <v>15045</v>
      </c>
      <c r="C6701" s="10">
        <v>46045.0</v>
      </c>
      <c r="D6701" s="6" t="s">
        <v>436</v>
      </c>
      <c r="E6701" s="6" t="s">
        <v>2365</v>
      </c>
      <c r="F6701" s="6" t="s">
        <v>283</v>
      </c>
      <c r="G6701" s="6" t="s">
        <v>297</v>
      </c>
      <c r="H6701" s="10">
        <v>46046.0</v>
      </c>
      <c r="I6701" s="12">
        <v>9.0</v>
      </c>
      <c r="J6701" s="6" t="s">
        <v>178</v>
      </c>
    </row>
    <row r="6702" ht="22.5" customHeight="1">
      <c r="A6702" s="6" t="s">
        <v>23510</v>
      </c>
      <c r="B6702" s="6" t="s">
        <v>15045</v>
      </c>
      <c r="C6702" s="10">
        <v>46043.0</v>
      </c>
      <c r="D6702" s="6" t="s">
        <v>391</v>
      </c>
      <c r="E6702" s="6" t="s">
        <v>896</v>
      </c>
      <c r="F6702" s="6" t="s">
        <v>112</v>
      </c>
      <c r="G6702" s="6" t="s">
        <v>326</v>
      </c>
      <c r="H6702" s="10">
        <v>46043.0</v>
      </c>
      <c r="I6702" s="12">
        <v>7.0</v>
      </c>
      <c r="J6702" s="6" t="s">
        <v>161</v>
      </c>
    </row>
    <row r="6703" ht="22.5" customHeight="1">
      <c r="A6703" s="6" t="s">
        <v>23511</v>
      </c>
      <c r="B6703" s="6" t="s">
        <v>15045</v>
      </c>
      <c r="C6703" s="10">
        <v>46044.0</v>
      </c>
      <c r="D6703" s="6" t="s">
        <v>677</v>
      </c>
      <c r="E6703" s="6" t="s">
        <v>738</v>
      </c>
      <c r="F6703" s="6" t="s">
        <v>112</v>
      </c>
      <c r="G6703" s="6" t="s">
        <v>458</v>
      </c>
      <c r="H6703" s="10">
        <v>46049.0</v>
      </c>
      <c r="I6703" s="12">
        <v>4.0</v>
      </c>
      <c r="J6703" s="6" t="s">
        <v>161</v>
      </c>
    </row>
    <row r="6704" ht="22.5" customHeight="1">
      <c r="A6704" s="6" t="s">
        <v>23512</v>
      </c>
      <c r="B6704" s="6" t="s">
        <v>15052</v>
      </c>
      <c r="C6704" s="10">
        <v>46062.0</v>
      </c>
      <c r="D6704" s="6" t="s">
        <v>677</v>
      </c>
      <c r="E6704" s="6" t="s">
        <v>1552</v>
      </c>
      <c r="F6704" s="6" t="s">
        <v>283</v>
      </c>
      <c r="G6704" s="6" t="s">
        <v>477</v>
      </c>
      <c r="H6704" s="10">
        <v>46064.0</v>
      </c>
      <c r="I6704" s="12">
        <v>2.0</v>
      </c>
      <c r="J6704" s="6" t="s">
        <v>161</v>
      </c>
    </row>
    <row r="6705" ht="22.5" customHeight="1">
      <c r="A6705" s="6" t="s">
        <v>23513</v>
      </c>
      <c r="B6705" s="6" t="s">
        <v>15052</v>
      </c>
      <c r="C6705" s="10">
        <v>46057.0</v>
      </c>
      <c r="D6705" s="6" t="s">
        <v>677</v>
      </c>
      <c r="E6705" s="6" t="s">
        <v>812</v>
      </c>
      <c r="F6705" s="6" t="s">
        <v>249</v>
      </c>
      <c r="G6705" s="6" t="s">
        <v>254</v>
      </c>
      <c r="H6705" s="10">
        <v>46063.0</v>
      </c>
      <c r="I6705" s="12">
        <v>2.0</v>
      </c>
      <c r="J6705" s="6" t="s">
        <v>161</v>
      </c>
    </row>
    <row r="6706" ht="22.5" customHeight="1">
      <c r="A6706" s="6" t="s">
        <v>23514</v>
      </c>
      <c r="B6706" s="6" t="s">
        <v>15052</v>
      </c>
      <c r="C6706" s="10">
        <v>46058.0</v>
      </c>
      <c r="D6706" s="6" t="s">
        <v>436</v>
      </c>
      <c r="E6706" s="6" t="s">
        <v>2881</v>
      </c>
      <c r="F6706" s="6" t="s">
        <v>439</v>
      </c>
      <c r="G6706" s="6" t="s">
        <v>458</v>
      </c>
      <c r="H6706" s="10">
        <v>46064.0</v>
      </c>
      <c r="I6706" s="12">
        <v>8.0</v>
      </c>
      <c r="J6706" s="6" t="s">
        <v>161</v>
      </c>
    </row>
    <row r="6707" ht="22.5" customHeight="1">
      <c r="A6707" s="6" t="s">
        <v>23515</v>
      </c>
      <c r="B6707" s="6" t="s">
        <v>15052</v>
      </c>
      <c r="C6707" s="10">
        <v>46061.0</v>
      </c>
      <c r="D6707" s="6" t="s">
        <v>416</v>
      </c>
      <c r="E6707" s="6" t="s">
        <v>610</v>
      </c>
      <c r="F6707" s="6" t="s">
        <v>112</v>
      </c>
      <c r="G6707" s="6" t="s">
        <v>452</v>
      </c>
      <c r="H6707" s="10">
        <v>46067.0</v>
      </c>
      <c r="I6707" s="12">
        <v>12.0</v>
      </c>
      <c r="J6707" s="6" t="s">
        <v>161</v>
      </c>
    </row>
    <row r="6708" ht="22.5" customHeight="1">
      <c r="A6708" s="6" t="s">
        <v>23516</v>
      </c>
      <c r="B6708" s="6" t="s">
        <v>15058</v>
      </c>
      <c r="C6708" s="10">
        <v>46053.0</v>
      </c>
      <c r="D6708" s="6" t="s">
        <v>289</v>
      </c>
      <c r="E6708" s="6" t="s">
        <v>863</v>
      </c>
      <c r="F6708" s="6" t="s">
        <v>249</v>
      </c>
      <c r="G6708" s="6" t="s">
        <v>297</v>
      </c>
      <c r="H6708" s="10">
        <v>46054.0</v>
      </c>
      <c r="I6708" s="12">
        <v>5.0</v>
      </c>
      <c r="J6708" s="6" t="s">
        <v>161</v>
      </c>
    </row>
    <row r="6709" ht="22.5" customHeight="1">
      <c r="A6709" s="6" t="s">
        <v>23517</v>
      </c>
      <c r="B6709" s="6" t="s">
        <v>15058</v>
      </c>
      <c r="C6709" s="10">
        <v>46048.0</v>
      </c>
      <c r="D6709" s="6" t="s">
        <v>242</v>
      </c>
      <c r="E6709" s="6" t="s">
        <v>512</v>
      </c>
      <c r="F6709" s="6" t="s">
        <v>249</v>
      </c>
      <c r="G6709" s="6" t="s">
        <v>254</v>
      </c>
      <c r="H6709" s="10">
        <v>46048.0</v>
      </c>
      <c r="I6709" s="12">
        <v>6.0</v>
      </c>
      <c r="J6709" s="6" t="s">
        <v>161</v>
      </c>
    </row>
    <row r="6710" ht="22.5" customHeight="1">
      <c r="A6710" s="6" t="s">
        <v>23518</v>
      </c>
      <c r="B6710" s="6" t="s">
        <v>15058</v>
      </c>
      <c r="C6710" s="10">
        <v>46056.0</v>
      </c>
      <c r="D6710" s="6" t="s">
        <v>242</v>
      </c>
      <c r="E6710" s="6" t="s">
        <v>1241</v>
      </c>
      <c r="F6710" s="6" t="s">
        <v>439</v>
      </c>
      <c r="G6710" s="6" t="s">
        <v>458</v>
      </c>
      <c r="H6710" s="11" t="s">
        <v>259</v>
      </c>
      <c r="I6710" s="12">
        <v>5.0</v>
      </c>
      <c r="J6710" s="6" t="s">
        <v>178</v>
      </c>
    </row>
    <row r="6711" ht="22.5" customHeight="1">
      <c r="A6711" s="6" t="s">
        <v>23519</v>
      </c>
      <c r="B6711" s="6" t="s">
        <v>15064</v>
      </c>
      <c r="C6711" s="10">
        <v>46049.0</v>
      </c>
      <c r="D6711" s="6" t="s">
        <v>391</v>
      </c>
      <c r="E6711" s="6" t="s">
        <v>628</v>
      </c>
      <c r="F6711" s="6" t="s">
        <v>283</v>
      </c>
      <c r="G6711" s="6" t="s">
        <v>369</v>
      </c>
      <c r="H6711" s="10">
        <v>46056.0</v>
      </c>
      <c r="I6711" s="12">
        <v>8.0</v>
      </c>
      <c r="J6711" s="6" t="s">
        <v>161</v>
      </c>
    </row>
    <row r="6712" ht="22.5" customHeight="1">
      <c r="A6712" s="6" t="s">
        <v>23520</v>
      </c>
      <c r="B6712" s="6" t="s">
        <v>15070</v>
      </c>
      <c r="C6712" s="10">
        <v>46059.0</v>
      </c>
      <c r="D6712" s="6" t="s">
        <v>312</v>
      </c>
      <c r="E6712" s="6" t="s">
        <v>658</v>
      </c>
      <c r="F6712" s="6" t="s">
        <v>283</v>
      </c>
      <c r="G6712" s="6" t="s">
        <v>254</v>
      </c>
      <c r="H6712" s="10">
        <v>46060.0</v>
      </c>
      <c r="I6712" s="12">
        <v>4.0</v>
      </c>
      <c r="J6712" s="6" t="s">
        <v>161</v>
      </c>
    </row>
    <row r="6713" ht="22.5" customHeight="1">
      <c r="A6713" s="6" t="s">
        <v>23521</v>
      </c>
      <c r="B6713" s="6" t="s">
        <v>15070</v>
      </c>
      <c r="C6713" s="10">
        <v>46069.0</v>
      </c>
      <c r="D6713" s="6" t="s">
        <v>416</v>
      </c>
      <c r="E6713" s="6" t="s">
        <v>1600</v>
      </c>
      <c r="F6713" s="6" t="s">
        <v>249</v>
      </c>
      <c r="G6713" s="6" t="s">
        <v>326</v>
      </c>
      <c r="H6713" s="10">
        <v>46072.0</v>
      </c>
      <c r="I6713" s="12">
        <v>11.0</v>
      </c>
      <c r="J6713" s="6" t="s">
        <v>161</v>
      </c>
    </row>
    <row r="6714" ht="22.5" customHeight="1">
      <c r="A6714" s="6" t="s">
        <v>23522</v>
      </c>
      <c r="B6714" s="6" t="s">
        <v>15070</v>
      </c>
      <c r="C6714" s="10">
        <v>46070.0</v>
      </c>
      <c r="D6714" s="6" t="s">
        <v>242</v>
      </c>
      <c r="E6714" s="6" t="s">
        <v>450</v>
      </c>
      <c r="F6714" s="6" t="s">
        <v>283</v>
      </c>
      <c r="G6714" s="6" t="s">
        <v>254</v>
      </c>
      <c r="H6714" s="10">
        <v>46075.0</v>
      </c>
      <c r="I6714" s="12">
        <v>5.0</v>
      </c>
      <c r="J6714" s="6" t="s">
        <v>178</v>
      </c>
    </row>
    <row r="6715" ht="22.5" customHeight="1">
      <c r="A6715" s="6" t="s">
        <v>23523</v>
      </c>
      <c r="B6715" s="6" t="s">
        <v>15070</v>
      </c>
      <c r="C6715" s="10">
        <v>46055.0</v>
      </c>
      <c r="D6715" s="6" t="s">
        <v>677</v>
      </c>
      <c r="E6715" s="6" t="s">
        <v>466</v>
      </c>
      <c r="F6715" s="6" t="s">
        <v>283</v>
      </c>
      <c r="G6715" s="6" t="s">
        <v>452</v>
      </c>
      <c r="H6715" s="11" t="s">
        <v>259</v>
      </c>
      <c r="I6715" s="12">
        <v>4.0</v>
      </c>
      <c r="J6715" s="6" t="s">
        <v>161</v>
      </c>
    </row>
    <row r="6716" ht="22.5" customHeight="1">
      <c r="A6716" s="6" t="s">
        <v>23524</v>
      </c>
      <c r="B6716" s="6" t="s">
        <v>15076</v>
      </c>
      <c r="C6716" s="10">
        <v>46054.0</v>
      </c>
      <c r="D6716" s="6" t="s">
        <v>416</v>
      </c>
      <c r="E6716" s="6" t="s">
        <v>394</v>
      </c>
      <c r="F6716" s="6" t="s">
        <v>283</v>
      </c>
      <c r="G6716" s="6" t="s">
        <v>477</v>
      </c>
      <c r="H6716" s="10">
        <v>46056.0</v>
      </c>
      <c r="I6716" s="12">
        <v>11.0</v>
      </c>
      <c r="J6716" s="6" t="s">
        <v>161</v>
      </c>
    </row>
    <row r="6717" ht="22.5" customHeight="1">
      <c r="A6717" s="6" t="s">
        <v>23525</v>
      </c>
      <c r="B6717" s="6" t="s">
        <v>15076</v>
      </c>
      <c r="C6717" s="10">
        <v>46057.0</v>
      </c>
      <c r="D6717" s="6" t="s">
        <v>436</v>
      </c>
      <c r="E6717" s="6" t="s">
        <v>787</v>
      </c>
      <c r="F6717" s="6" t="s">
        <v>283</v>
      </c>
      <c r="G6717" s="6" t="s">
        <v>326</v>
      </c>
      <c r="H6717" s="10">
        <v>46064.0</v>
      </c>
      <c r="I6717" s="12">
        <v>6.0</v>
      </c>
      <c r="J6717" s="6" t="s">
        <v>178</v>
      </c>
    </row>
    <row r="6718" ht="22.5" customHeight="1">
      <c r="A6718" s="6" t="s">
        <v>23526</v>
      </c>
      <c r="B6718" s="6" t="s">
        <v>15076</v>
      </c>
      <c r="C6718" s="10">
        <v>46054.0</v>
      </c>
      <c r="D6718" s="6" t="s">
        <v>312</v>
      </c>
      <c r="E6718" s="6" t="s">
        <v>1055</v>
      </c>
      <c r="F6718" s="6" t="s">
        <v>249</v>
      </c>
      <c r="G6718" s="6" t="s">
        <v>452</v>
      </c>
      <c r="H6718" s="10">
        <v>46058.0</v>
      </c>
      <c r="I6718" s="12">
        <v>5.0</v>
      </c>
      <c r="J6718" s="6" t="s">
        <v>161</v>
      </c>
    </row>
    <row r="6719" ht="22.5" customHeight="1">
      <c r="A6719" s="6" t="s">
        <v>23527</v>
      </c>
      <c r="B6719" s="6" t="s">
        <v>15076</v>
      </c>
      <c r="C6719" s="10">
        <v>46050.0</v>
      </c>
      <c r="D6719" s="6" t="s">
        <v>677</v>
      </c>
      <c r="E6719" s="6" t="s">
        <v>704</v>
      </c>
      <c r="F6719" s="6" t="s">
        <v>112</v>
      </c>
      <c r="G6719" s="6" t="s">
        <v>458</v>
      </c>
      <c r="H6719" s="10">
        <v>46055.0</v>
      </c>
      <c r="I6719" s="12">
        <v>4.0</v>
      </c>
      <c r="J6719" s="6" t="s">
        <v>161</v>
      </c>
    </row>
    <row r="6720" ht="22.5" customHeight="1">
      <c r="A6720" s="6" t="s">
        <v>23528</v>
      </c>
      <c r="B6720" s="6" t="s">
        <v>15081</v>
      </c>
      <c r="C6720" s="10">
        <v>46067.0</v>
      </c>
      <c r="D6720" s="6" t="s">
        <v>242</v>
      </c>
      <c r="E6720" s="6" t="s">
        <v>798</v>
      </c>
      <c r="F6720" s="6" t="s">
        <v>249</v>
      </c>
      <c r="G6720" s="6" t="s">
        <v>458</v>
      </c>
      <c r="H6720" s="10">
        <v>46071.0</v>
      </c>
      <c r="I6720" s="12">
        <v>4.0</v>
      </c>
      <c r="J6720" s="6" t="s">
        <v>178</v>
      </c>
    </row>
    <row r="6721" ht="22.5" customHeight="1">
      <c r="A6721" s="6" t="s">
        <v>23529</v>
      </c>
      <c r="B6721" s="6" t="s">
        <v>15081</v>
      </c>
      <c r="C6721" s="10">
        <v>46076.0</v>
      </c>
      <c r="D6721" s="6" t="s">
        <v>289</v>
      </c>
      <c r="E6721" s="6" t="s">
        <v>1386</v>
      </c>
      <c r="F6721" s="6" t="s">
        <v>439</v>
      </c>
      <c r="G6721" s="6" t="s">
        <v>477</v>
      </c>
      <c r="H6721" s="10">
        <v>46076.0</v>
      </c>
      <c r="I6721" s="12">
        <v>8.0</v>
      </c>
      <c r="J6721" s="6" t="s">
        <v>161</v>
      </c>
    </row>
    <row r="6722" ht="22.5" customHeight="1">
      <c r="A6722" s="6" t="s">
        <v>23530</v>
      </c>
      <c r="B6722" s="6" t="s">
        <v>15081</v>
      </c>
      <c r="C6722" s="10">
        <v>46068.0</v>
      </c>
      <c r="D6722" s="6" t="s">
        <v>289</v>
      </c>
      <c r="E6722" s="6" t="s">
        <v>885</v>
      </c>
      <c r="F6722" s="6" t="s">
        <v>283</v>
      </c>
      <c r="G6722" s="6" t="s">
        <v>369</v>
      </c>
      <c r="H6722" s="10">
        <v>46075.0</v>
      </c>
      <c r="I6722" s="12">
        <v>5.0</v>
      </c>
      <c r="J6722" s="6" t="s">
        <v>161</v>
      </c>
    </row>
    <row r="6723" ht="22.5" customHeight="1">
      <c r="A6723" s="6" t="s">
        <v>23531</v>
      </c>
      <c r="B6723" s="6" t="s">
        <v>15087</v>
      </c>
      <c r="C6723" s="10">
        <v>46061.0</v>
      </c>
      <c r="D6723" s="6" t="s">
        <v>416</v>
      </c>
      <c r="E6723" s="6" t="s">
        <v>466</v>
      </c>
      <c r="F6723" s="6" t="s">
        <v>112</v>
      </c>
      <c r="G6723" s="6" t="s">
        <v>494</v>
      </c>
      <c r="H6723" s="10">
        <v>46063.0</v>
      </c>
      <c r="I6723" s="12">
        <v>13.0</v>
      </c>
      <c r="J6723" s="6" t="s">
        <v>161</v>
      </c>
    </row>
    <row r="6724" ht="22.5" customHeight="1">
      <c r="A6724" s="6" t="s">
        <v>23532</v>
      </c>
      <c r="B6724" s="6" t="s">
        <v>15087</v>
      </c>
      <c r="C6724" s="10">
        <v>46064.0</v>
      </c>
      <c r="D6724" s="6" t="s">
        <v>242</v>
      </c>
      <c r="E6724" s="6" t="s">
        <v>775</v>
      </c>
      <c r="F6724" s="6" t="s">
        <v>283</v>
      </c>
      <c r="G6724" s="6" t="s">
        <v>458</v>
      </c>
      <c r="H6724" s="10">
        <v>46069.0</v>
      </c>
      <c r="I6724" s="12">
        <v>3.0</v>
      </c>
      <c r="J6724" s="6" t="s">
        <v>178</v>
      </c>
    </row>
    <row r="6725" ht="22.5" customHeight="1">
      <c r="A6725" s="6" t="s">
        <v>23533</v>
      </c>
      <c r="B6725" s="6" t="s">
        <v>15087</v>
      </c>
      <c r="C6725" s="10">
        <v>46054.0</v>
      </c>
      <c r="D6725" s="6" t="s">
        <v>289</v>
      </c>
      <c r="E6725" s="6" t="s">
        <v>610</v>
      </c>
      <c r="F6725" s="6" t="s">
        <v>439</v>
      </c>
      <c r="G6725" s="6" t="s">
        <v>452</v>
      </c>
      <c r="H6725" s="11" t="s">
        <v>259</v>
      </c>
      <c r="I6725" s="12">
        <v>9.0</v>
      </c>
      <c r="J6725" s="6" t="s">
        <v>161</v>
      </c>
    </row>
    <row r="6726" ht="22.5" customHeight="1">
      <c r="A6726" s="6" t="s">
        <v>23534</v>
      </c>
      <c r="B6726" s="6" t="s">
        <v>15087</v>
      </c>
      <c r="C6726" s="10">
        <v>46055.0</v>
      </c>
      <c r="D6726" s="6" t="s">
        <v>416</v>
      </c>
      <c r="E6726" s="6" t="s">
        <v>618</v>
      </c>
      <c r="F6726" s="6" t="s">
        <v>283</v>
      </c>
      <c r="G6726" s="6" t="s">
        <v>254</v>
      </c>
      <c r="H6726" s="10">
        <v>46060.0</v>
      </c>
      <c r="I6726" s="12">
        <v>9.0</v>
      </c>
      <c r="J6726" s="6" t="s">
        <v>161</v>
      </c>
    </row>
    <row r="6727" ht="22.5" customHeight="1">
      <c r="A6727" s="6" t="s">
        <v>23535</v>
      </c>
      <c r="B6727" s="6" t="s">
        <v>15087</v>
      </c>
      <c r="C6727" s="10">
        <v>46059.0</v>
      </c>
      <c r="D6727" s="6" t="s">
        <v>289</v>
      </c>
      <c r="E6727" s="6" t="s">
        <v>798</v>
      </c>
      <c r="F6727" s="6" t="s">
        <v>283</v>
      </c>
      <c r="G6727" s="6" t="s">
        <v>458</v>
      </c>
      <c r="H6727" s="11" t="s">
        <v>259</v>
      </c>
      <c r="I6727" s="12">
        <v>8.0</v>
      </c>
      <c r="J6727" s="6" t="s">
        <v>161</v>
      </c>
    </row>
    <row r="6728" ht="22.5" customHeight="1">
      <c r="A6728" s="6" t="s">
        <v>23536</v>
      </c>
      <c r="B6728" s="6" t="s">
        <v>15095</v>
      </c>
      <c r="C6728" s="10">
        <v>46076.0</v>
      </c>
      <c r="D6728" s="6" t="s">
        <v>677</v>
      </c>
      <c r="E6728" s="6" t="s">
        <v>1700</v>
      </c>
      <c r="F6728" s="6" t="s">
        <v>249</v>
      </c>
      <c r="G6728" s="6" t="s">
        <v>494</v>
      </c>
      <c r="H6728" s="10">
        <v>46083.0</v>
      </c>
      <c r="I6728" s="12">
        <v>2.0</v>
      </c>
      <c r="J6728" s="6" t="s">
        <v>161</v>
      </c>
    </row>
    <row r="6729" ht="22.5" customHeight="1">
      <c r="A6729" s="6" t="s">
        <v>23537</v>
      </c>
      <c r="B6729" s="6" t="s">
        <v>15102</v>
      </c>
      <c r="C6729" s="10">
        <v>46060.0</v>
      </c>
      <c r="D6729" s="6" t="s">
        <v>289</v>
      </c>
      <c r="E6729" s="6" t="s">
        <v>583</v>
      </c>
      <c r="F6729" s="6" t="s">
        <v>112</v>
      </c>
      <c r="G6729" s="6" t="s">
        <v>494</v>
      </c>
      <c r="H6729" s="10">
        <v>46066.0</v>
      </c>
      <c r="I6729" s="12">
        <v>10.0</v>
      </c>
      <c r="J6729" s="6" t="s">
        <v>161</v>
      </c>
    </row>
    <row r="6730" ht="22.5" customHeight="1">
      <c r="A6730" s="6" t="s">
        <v>23538</v>
      </c>
      <c r="B6730" s="6" t="s">
        <v>15102</v>
      </c>
      <c r="C6730" s="10">
        <v>46043.0</v>
      </c>
      <c r="D6730" s="6" t="s">
        <v>312</v>
      </c>
      <c r="E6730" s="6" t="s">
        <v>1626</v>
      </c>
      <c r="F6730" s="6" t="s">
        <v>283</v>
      </c>
      <c r="G6730" s="6" t="s">
        <v>477</v>
      </c>
      <c r="H6730" s="10">
        <v>46044.0</v>
      </c>
      <c r="I6730" s="12">
        <v>6.0</v>
      </c>
      <c r="J6730" s="6" t="s">
        <v>161</v>
      </c>
    </row>
    <row r="6731" ht="22.5" customHeight="1">
      <c r="A6731" s="6" t="s">
        <v>23539</v>
      </c>
      <c r="B6731" s="6" t="s">
        <v>15102</v>
      </c>
      <c r="C6731" s="10">
        <v>46059.0</v>
      </c>
      <c r="D6731" s="6" t="s">
        <v>677</v>
      </c>
      <c r="E6731" s="6" t="s">
        <v>731</v>
      </c>
      <c r="F6731" s="6" t="s">
        <v>283</v>
      </c>
      <c r="G6731" s="6" t="s">
        <v>458</v>
      </c>
      <c r="H6731" s="10">
        <v>46061.0</v>
      </c>
      <c r="I6731" s="12">
        <v>3.0</v>
      </c>
      <c r="J6731" s="6" t="s">
        <v>161</v>
      </c>
    </row>
    <row r="6732" ht="22.5" customHeight="1">
      <c r="A6732" s="6" t="s">
        <v>23540</v>
      </c>
      <c r="B6732" s="6" t="s">
        <v>15102</v>
      </c>
      <c r="C6732" s="10">
        <v>46057.0</v>
      </c>
      <c r="D6732" s="6" t="s">
        <v>391</v>
      </c>
      <c r="E6732" s="6" t="s">
        <v>738</v>
      </c>
      <c r="F6732" s="6" t="s">
        <v>283</v>
      </c>
      <c r="G6732" s="6" t="s">
        <v>297</v>
      </c>
      <c r="H6732" s="11" t="s">
        <v>259</v>
      </c>
      <c r="I6732" s="12">
        <v>7.0</v>
      </c>
      <c r="J6732" s="6" t="s">
        <v>161</v>
      </c>
    </row>
    <row r="6733" ht="22.5" customHeight="1">
      <c r="A6733" s="6" t="s">
        <v>23541</v>
      </c>
      <c r="B6733" s="6" t="s">
        <v>15108</v>
      </c>
      <c r="C6733" s="10">
        <v>46071.0</v>
      </c>
      <c r="D6733" s="6" t="s">
        <v>391</v>
      </c>
      <c r="E6733" s="6" t="s">
        <v>1102</v>
      </c>
      <c r="F6733" s="6" t="s">
        <v>249</v>
      </c>
      <c r="G6733" s="6" t="s">
        <v>452</v>
      </c>
      <c r="H6733" s="10">
        <v>46073.0</v>
      </c>
      <c r="I6733" s="12">
        <v>10.0</v>
      </c>
      <c r="J6733" s="6" t="s">
        <v>161</v>
      </c>
    </row>
    <row r="6734" ht="22.5" customHeight="1">
      <c r="A6734" s="6" t="s">
        <v>23542</v>
      </c>
      <c r="B6734" s="6" t="s">
        <v>15108</v>
      </c>
      <c r="C6734" s="10">
        <v>46070.0</v>
      </c>
      <c r="D6734" s="6" t="s">
        <v>289</v>
      </c>
      <c r="E6734" s="6" t="s">
        <v>716</v>
      </c>
      <c r="F6734" s="6" t="s">
        <v>283</v>
      </c>
      <c r="G6734" s="6" t="s">
        <v>458</v>
      </c>
      <c r="H6734" s="11" t="s">
        <v>259</v>
      </c>
      <c r="I6734" s="12">
        <v>10.0</v>
      </c>
      <c r="J6734" s="6" t="s">
        <v>161</v>
      </c>
    </row>
    <row r="6735" ht="22.5" customHeight="1">
      <c r="A6735" s="6" t="s">
        <v>23543</v>
      </c>
      <c r="B6735" s="6" t="s">
        <v>15108</v>
      </c>
      <c r="C6735" s="10">
        <v>46055.0</v>
      </c>
      <c r="D6735" s="6" t="s">
        <v>677</v>
      </c>
      <c r="E6735" s="6" t="s">
        <v>1552</v>
      </c>
      <c r="F6735" s="6" t="s">
        <v>439</v>
      </c>
      <c r="G6735" s="6" t="s">
        <v>452</v>
      </c>
      <c r="H6735" s="10">
        <v>46061.0</v>
      </c>
      <c r="I6735" s="12">
        <v>3.0</v>
      </c>
      <c r="J6735" s="6" t="s">
        <v>161</v>
      </c>
    </row>
    <row r="6736" ht="22.5" customHeight="1">
      <c r="A6736" s="6" t="s">
        <v>23544</v>
      </c>
      <c r="B6736" s="6" t="s">
        <v>15108</v>
      </c>
      <c r="C6736" s="10">
        <v>46068.0</v>
      </c>
      <c r="D6736" s="6" t="s">
        <v>677</v>
      </c>
      <c r="E6736" s="6" t="s">
        <v>320</v>
      </c>
      <c r="F6736" s="6" t="s">
        <v>249</v>
      </c>
      <c r="G6736" s="6" t="s">
        <v>458</v>
      </c>
      <c r="H6736" s="10">
        <v>46075.0</v>
      </c>
      <c r="I6736" s="12">
        <v>3.0</v>
      </c>
      <c r="J6736" s="6" t="s">
        <v>161</v>
      </c>
    </row>
    <row r="6737" ht="22.5" customHeight="1">
      <c r="A6737" s="6" t="s">
        <v>23545</v>
      </c>
      <c r="B6737" s="6" t="s">
        <v>15108</v>
      </c>
      <c r="C6737" s="10">
        <v>46072.0</v>
      </c>
      <c r="D6737" s="6" t="s">
        <v>416</v>
      </c>
      <c r="E6737" s="6" t="s">
        <v>1310</v>
      </c>
      <c r="F6737" s="6" t="s">
        <v>283</v>
      </c>
      <c r="G6737" s="6" t="s">
        <v>297</v>
      </c>
      <c r="H6737" s="10">
        <v>46074.0</v>
      </c>
      <c r="I6737" s="12">
        <v>11.0</v>
      </c>
      <c r="J6737" s="6" t="s">
        <v>161</v>
      </c>
    </row>
    <row r="6738" ht="22.5" customHeight="1">
      <c r="A6738" s="6" t="s">
        <v>23546</v>
      </c>
      <c r="B6738" s="6" t="s">
        <v>15115</v>
      </c>
      <c r="C6738" s="10">
        <v>46054.0</v>
      </c>
      <c r="D6738" s="6" t="s">
        <v>289</v>
      </c>
      <c r="E6738" s="6" t="s">
        <v>512</v>
      </c>
      <c r="F6738" s="6" t="s">
        <v>112</v>
      </c>
      <c r="G6738" s="6" t="s">
        <v>452</v>
      </c>
      <c r="H6738" s="10">
        <v>46058.0</v>
      </c>
      <c r="I6738" s="12">
        <v>9.0</v>
      </c>
      <c r="J6738" s="6" t="s">
        <v>161</v>
      </c>
    </row>
    <row r="6739" ht="22.5" customHeight="1">
      <c r="A6739" s="6" t="s">
        <v>23547</v>
      </c>
      <c r="B6739" s="6" t="s">
        <v>15115</v>
      </c>
      <c r="C6739" s="10">
        <v>46053.0</v>
      </c>
      <c r="D6739" s="6" t="s">
        <v>416</v>
      </c>
      <c r="E6739" s="6" t="s">
        <v>658</v>
      </c>
      <c r="F6739" s="6" t="s">
        <v>283</v>
      </c>
      <c r="G6739" s="6" t="s">
        <v>452</v>
      </c>
      <c r="H6739" s="10">
        <v>46054.0</v>
      </c>
      <c r="I6739" s="12">
        <v>8.0</v>
      </c>
      <c r="J6739" s="6" t="s">
        <v>161</v>
      </c>
    </row>
    <row r="6740" ht="22.5" customHeight="1">
      <c r="A6740" s="6" t="s">
        <v>23548</v>
      </c>
      <c r="B6740" s="6" t="s">
        <v>15115</v>
      </c>
      <c r="C6740" s="10">
        <v>46043.0</v>
      </c>
      <c r="D6740" s="6" t="s">
        <v>242</v>
      </c>
      <c r="E6740" s="6" t="s">
        <v>670</v>
      </c>
      <c r="F6740" s="6" t="s">
        <v>249</v>
      </c>
      <c r="G6740" s="6" t="s">
        <v>458</v>
      </c>
      <c r="H6740" s="10">
        <v>46050.0</v>
      </c>
      <c r="I6740" s="12">
        <v>3.0</v>
      </c>
      <c r="J6740" s="6" t="s">
        <v>178</v>
      </c>
    </row>
    <row r="6741" ht="22.5" customHeight="1">
      <c r="A6741" s="6" t="s">
        <v>23549</v>
      </c>
      <c r="B6741" s="6" t="s">
        <v>15115</v>
      </c>
      <c r="C6741" s="10">
        <v>46038.0</v>
      </c>
      <c r="D6741" s="6" t="s">
        <v>436</v>
      </c>
      <c r="E6741" s="6" t="s">
        <v>1570</v>
      </c>
      <c r="F6741" s="6" t="s">
        <v>283</v>
      </c>
      <c r="G6741" s="6" t="s">
        <v>477</v>
      </c>
      <c r="H6741" s="10">
        <v>46045.0</v>
      </c>
      <c r="I6741" s="12">
        <v>9.0</v>
      </c>
      <c r="J6741" s="6" t="s">
        <v>178</v>
      </c>
    </row>
    <row r="6742" ht="22.5" customHeight="1">
      <c r="A6742" s="6" t="s">
        <v>23550</v>
      </c>
      <c r="B6742" s="6" t="s">
        <v>15122</v>
      </c>
      <c r="C6742" s="10">
        <v>46073.0</v>
      </c>
      <c r="D6742" s="6" t="s">
        <v>312</v>
      </c>
      <c r="E6742" s="6" t="s">
        <v>450</v>
      </c>
      <c r="F6742" s="6" t="s">
        <v>439</v>
      </c>
      <c r="G6742" s="6" t="s">
        <v>477</v>
      </c>
      <c r="H6742" s="10">
        <v>46073.0</v>
      </c>
      <c r="I6742" s="12">
        <v>5.0</v>
      </c>
      <c r="J6742" s="6" t="s">
        <v>161</v>
      </c>
    </row>
    <row r="6743" ht="22.5" customHeight="1">
      <c r="A6743" s="6" t="s">
        <v>23551</v>
      </c>
      <c r="B6743" s="6" t="s">
        <v>15122</v>
      </c>
      <c r="C6743" s="10">
        <v>46066.0</v>
      </c>
      <c r="D6743" s="6" t="s">
        <v>312</v>
      </c>
      <c r="E6743" s="6" t="s">
        <v>1552</v>
      </c>
      <c r="F6743" s="6" t="s">
        <v>283</v>
      </c>
      <c r="G6743" s="6" t="s">
        <v>477</v>
      </c>
      <c r="H6743" s="10">
        <v>46066.0</v>
      </c>
      <c r="I6743" s="12">
        <v>6.0</v>
      </c>
      <c r="J6743" s="6" t="s">
        <v>161</v>
      </c>
    </row>
    <row r="6744" ht="22.5" customHeight="1">
      <c r="A6744" s="6" t="s">
        <v>23552</v>
      </c>
      <c r="B6744" s="6" t="s">
        <v>15129</v>
      </c>
      <c r="C6744" s="10">
        <v>46054.0</v>
      </c>
      <c r="D6744" s="6" t="s">
        <v>289</v>
      </c>
      <c r="E6744" s="6" t="s">
        <v>512</v>
      </c>
      <c r="F6744" s="6" t="s">
        <v>283</v>
      </c>
      <c r="G6744" s="6" t="s">
        <v>477</v>
      </c>
      <c r="H6744" s="10">
        <v>46054.0</v>
      </c>
      <c r="I6744" s="12">
        <v>8.0</v>
      </c>
      <c r="J6744" s="6" t="s">
        <v>161</v>
      </c>
    </row>
    <row r="6745" ht="22.5" customHeight="1">
      <c r="A6745" s="6" t="s">
        <v>23553</v>
      </c>
      <c r="B6745" s="6" t="s">
        <v>15129</v>
      </c>
      <c r="C6745" s="10">
        <v>46047.0</v>
      </c>
      <c r="D6745" s="6" t="s">
        <v>416</v>
      </c>
      <c r="E6745" s="6" t="s">
        <v>634</v>
      </c>
      <c r="F6745" s="6" t="s">
        <v>439</v>
      </c>
      <c r="G6745" s="6" t="s">
        <v>452</v>
      </c>
      <c r="H6745" s="10">
        <v>46048.0</v>
      </c>
      <c r="I6745" s="12">
        <v>12.0</v>
      </c>
      <c r="J6745" s="6" t="s">
        <v>161</v>
      </c>
    </row>
    <row r="6746" ht="22.5" customHeight="1">
      <c r="A6746" s="6" t="s">
        <v>23554</v>
      </c>
      <c r="B6746" s="6" t="s">
        <v>15129</v>
      </c>
      <c r="C6746" s="10">
        <v>46053.0</v>
      </c>
      <c r="D6746" s="6" t="s">
        <v>416</v>
      </c>
      <c r="E6746" s="6" t="s">
        <v>394</v>
      </c>
      <c r="F6746" s="6" t="s">
        <v>112</v>
      </c>
      <c r="G6746" s="6" t="s">
        <v>369</v>
      </c>
      <c r="H6746" s="10">
        <v>46057.0</v>
      </c>
      <c r="I6746" s="12">
        <v>14.0</v>
      </c>
      <c r="J6746" s="6" t="s">
        <v>161</v>
      </c>
    </row>
    <row r="6747" ht="22.5" customHeight="1">
      <c r="A6747" s="6" t="s">
        <v>23555</v>
      </c>
      <c r="B6747" s="6" t="s">
        <v>15129</v>
      </c>
      <c r="C6747" s="10">
        <v>46053.0</v>
      </c>
      <c r="D6747" s="6" t="s">
        <v>391</v>
      </c>
      <c r="E6747" s="6" t="s">
        <v>618</v>
      </c>
      <c r="F6747" s="6" t="s">
        <v>283</v>
      </c>
      <c r="G6747" s="6" t="s">
        <v>477</v>
      </c>
      <c r="H6747" s="10">
        <v>46058.0</v>
      </c>
      <c r="I6747" s="12">
        <v>7.0</v>
      </c>
      <c r="J6747" s="6" t="s">
        <v>161</v>
      </c>
    </row>
    <row r="6748" ht="22.5" customHeight="1">
      <c r="A6748" s="6" t="s">
        <v>23556</v>
      </c>
      <c r="B6748" s="6" t="s">
        <v>15129</v>
      </c>
      <c r="C6748" s="10">
        <v>46053.0</v>
      </c>
      <c r="D6748" s="6" t="s">
        <v>312</v>
      </c>
      <c r="E6748" s="6" t="s">
        <v>955</v>
      </c>
      <c r="F6748" s="6" t="s">
        <v>112</v>
      </c>
      <c r="G6748" s="6" t="s">
        <v>452</v>
      </c>
      <c r="H6748" s="10">
        <v>46054.0</v>
      </c>
      <c r="I6748" s="12">
        <v>7.0</v>
      </c>
      <c r="J6748" s="6" t="s">
        <v>161</v>
      </c>
    </row>
    <row r="6749" ht="22.5" customHeight="1">
      <c r="A6749" s="6" t="s">
        <v>23557</v>
      </c>
      <c r="B6749" s="6" t="s">
        <v>15135</v>
      </c>
      <c r="C6749" s="10">
        <v>46050.0</v>
      </c>
      <c r="D6749" s="6" t="s">
        <v>312</v>
      </c>
      <c r="E6749" s="6" t="s">
        <v>1720</v>
      </c>
      <c r="F6749" s="6" t="s">
        <v>112</v>
      </c>
      <c r="G6749" s="6" t="s">
        <v>452</v>
      </c>
      <c r="H6749" s="10">
        <v>46055.0</v>
      </c>
      <c r="I6749" s="12">
        <v>7.0</v>
      </c>
      <c r="J6749" s="6" t="s">
        <v>161</v>
      </c>
    </row>
    <row r="6750" ht="22.5" customHeight="1">
      <c r="A6750" s="6" t="s">
        <v>23558</v>
      </c>
      <c r="B6750" s="6" t="s">
        <v>15142</v>
      </c>
      <c r="C6750" s="10">
        <v>46069.0</v>
      </c>
      <c r="D6750" s="6" t="s">
        <v>242</v>
      </c>
      <c r="E6750" s="6" t="s">
        <v>658</v>
      </c>
      <c r="F6750" s="6" t="s">
        <v>249</v>
      </c>
      <c r="G6750" s="6" t="s">
        <v>477</v>
      </c>
      <c r="H6750" s="10">
        <v>46071.0</v>
      </c>
      <c r="I6750" s="12">
        <v>5.0</v>
      </c>
      <c r="J6750" s="6" t="s">
        <v>161</v>
      </c>
    </row>
    <row r="6751" ht="22.5" customHeight="1">
      <c r="A6751" s="6" t="s">
        <v>23559</v>
      </c>
      <c r="B6751" s="6" t="s">
        <v>15149</v>
      </c>
      <c r="C6751" s="10">
        <v>46064.0</v>
      </c>
      <c r="D6751" s="6" t="s">
        <v>289</v>
      </c>
      <c r="E6751" s="6" t="s">
        <v>738</v>
      </c>
      <c r="F6751" s="6" t="s">
        <v>439</v>
      </c>
      <c r="G6751" s="6" t="s">
        <v>452</v>
      </c>
      <c r="H6751" s="10">
        <v>46065.0</v>
      </c>
      <c r="I6751" s="12">
        <v>10.0</v>
      </c>
      <c r="J6751" s="6" t="s">
        <v>161</v>
      </c>
    </row>
    <row r="6752" ht="22.5" customHeight="1">
      <c r="A6752" s="6" t="s">
        <v>23560</v>
      </c>
      <c r="B6752" s="6" t="s">
        <v>15149</v>
      </c>
      <c r="C6752" s="10">
        <v>46050.0</v>
      </c>
      <c r="D6752" s="6" t="s">
        <v>416</v>
      </c>
      <c r="E6752" s="6" t="s">
        <v>512</v>
      </c>
      <c r="F6752" s="6" t="s">
        <v>439</v>
      </c>
      <c r="G6752" s="6" t="s">
        <v>494</v>
      </c>
      <c r="H6752" s="11" t="s">
        <v>259</v>
      </c>
      <c r="I6752" s="12">
        <v>14.0</v>
      </c>
      <c r="J6752" s="6" t="s">
        <v>161</v>
      </c>
    </row>
    <row r="6753" ht="22.5" customHeight="1">
      <c r="A6753" s="6" t="s">
        <v>23561</v>
      </c>
      <c r="B6753" s="6" t="s">
        <v>15149</v>
      </c>
      <c r="C6753" s="10">
        <v>46068.0</v>
      </c>
      <c r="D6753" s="6" t="s">
        <v>312</v>
      </c>
      <c r="E6753" s="6" t="s">
        <v>1241</v>
      </c>
      <c r="F6753" s="6" t="s">
        <v>283</v>
      </c>
      <c r="G6753" s="6" t="s">
        <v>458</v>
      </c>
      <c r="H6753" s="10">
        <v>46072.0</v>
      </c>
      <c r="I6753" s="12">
        <v>7.0</v>
      </c>
      <c r="J6753" s="6" t="s">
        <v>161</v>
      </c>
    </row>
    <row r="6754" ht="22.5" customHeight="1">
      <c r="A6754" s="6" t="s">
        <v>23562</v>
      </c>
      <c r="B6754" s="6" t="s">
        <v>15155</v>
      </c>
      <c r="C6754" s="10">
        <v>46071.0</v>
      </c>
      <c r="D6754" s="6" t="s">
        <v>289</v>
      </c>
      <c r="E6754" s="6" t="s">
        <v>417</v>
      </c>
      <c r="F6754" s="6" t="s">
        <v>283</v>
      </c>
      <c r="G6754" s="6" t="s">
        <v>369</v>
      </c>
      <c r="H6754" s="10">
        <v>46074.0</v>
      </c>
      <c r="I6754" s="12">
        <v>8.0</v>
      </c>
      <c r="J6754" s="6" t="s">
        <v>161</v>
      </c>
    </row>
    <row r="6755" ht="22.5" customHeight="1">
      <c r="A6755" s="6" t="s">
        <v>23563</v>
      </c>
      <c r="B6755" s="6" t="s">
        <v>15155</v>
      </c>
      <c r="C6755" s="10">
        <v>46075.0</v>
      </c>
      <c r="D6755" s="6" t="s">
        <v>436</v>
      </c>
      <c r="E6755" s="6" t="s">
        <v>885</v>
      </c>
      <c r="F6755" s="6" t="s">
        <v>249</v>
      </c>
      <c r="G6755" s="6" t="s">
        <v>369</v>
      </c>
      <c r="H6755" s="10">
        <v>46075.0</v>
      </c>
      <c r="I6755" s="12">
        <v>6.0</v>
      </c>
      <c r="J6755" s="6" t="s">
        <v>178</v>
      </c>
    </row>
    <row r="6756" ht="22.5" customHeight="1">
      <c r="A6756" s="6" t="s">
        <v>23564</v>
      </c>
      <c r="B6756" s="6" t="s">
        <v>15155</v>
      </c>
      <c r="C6756" s="10">
        <v>46062.0</v>
      </c>
      <c r="D6756" s="6" t="s">
        <v>312</v>
      </c>
      <c r="E6756" s="6" t="s">
        <v>628</v>
      </c>
      <c r="F6756" s="6" t="s">
        <v>112</v>
      </c>
      <c r="G6756" s="6" t="s">
        <v>254</v>
      </c>
      <c r="H6756" s="10">
        <v>46068.0</v>
      </c>
      <c r="I6756" s="12">
        <v>7.0</v>
      </c>
      <c r="J6756" s="6" t="s">
        <v>161</v>
      </c>
    </row>
    <row r="6757" ht="22.5" customHeight="1">
      <c r="A6757" s="6" t="s">
        <v>23565</v>
      </c>
      <c r="B6757" s="6" t="s">
        <v>15155</v>
      </c>
      <c r="C6757" s="10">
        <v>46073.0</v>
      </c>
      <c r="D6757" s="6" t="s">
        <v>391</v>
      </c>
      <c r="E6757" s="6" t="s">
        <v>320</v>
      </c>
      <c r="F6757" s="6" t="s">
        <v>439</v>
      </c>
      <c r="G6757" s="6" t="s">
        <v>326</v>
      </c>
      <c r="H6757" s="10">
        <v>46077.0</v>
      </c>
      <c r="I6757" s="12">
        <v>7.0</v>
      </c>
      <c r="J6757" s="6" t="s">
        <v>161</v>
      </c>
    </row>
    <row r="6758" ht="22.5" customHeight="1">
      <c r="A6758" s="6" t="s">
        <v>23566</v>
      </c>
      <c r="B6758" s="6" t="s">
        <v>15161</v>
      </c>
      <c r="C6758" s="10">
        <v>46036.0</v>
      </c>
      <c r="D6758" s="6" t="s">
        <v>242</v>
      </c>
      <c r="E6758" s="6" t="s">
        <v>1296</v>
      </c>
      <c r="F6758" s="6" t="s">
        <v>439</v>
      </c>
      <c r="G6758" s="6" t="s">
        <v>254</v>
      </c>
      <c r="H6758" s="10">
        <v>46041.0</v>
      </c>
      <c r="I6758" s="12">
        <v>6.0</v>
      </c>
      <c r="J6758" s="6" t="s">
        <v>161</v>
      </c>
    </row>
    <row r="6759" ht="22.5" customHeight="1">
      <c r="A6759" s="6" t="s">
        <v>23567</v>
      </c>
      <c r="B6759" s="6" t="s">
        <v>15161</v>
      </c>
      <c r="C6759" s="10">
        <v>46038.0</v>
      </c>
      <c r="D6759" s="6" t="s">
        <v>242</v>
      </c>
      <c r="E6759" s="6" t="s">
        <v>394</v>
      </c>
      <c r="F6759" s="6" t="s">
        <v>112</v>
      </c>
      <c r="G6759" s="6" t="s">
        <v>297</v>
      </c>
      <c r="H6759" s="10">
        <v>46038.0</v>
      </c>
      <c r="I6759" s="12">
        <v>6.0</v>
      </c>
      <c r="J6759" s="6" t="s">
        <v>178</v>
      </c>
    </row>
    <row r="6760" ht="22.5" customHeight="1">
      <c r="A6760" s="6" t="s">
        <v>23568</v>
      </c>
      <c r="B6760" s="6" t="s">
        <v>15161</v>
      </c>
      <c r="C6760" s="10">
        <v>46041.0</v>
      </c>
      <c r="D6760" s="6" t="s">
        <v>436</v>
      </c>
      <c r="E6760" s="6" t="s">
        <v>1741</v>
      </c>
      <c r="F6760" s="6" t="s">
        <v>112</v>
      </c>
      <c r="G6760" s="6" t="s">
        <v>254</v>
      </c>
      <c r="H6760" s="10">
        <v>46041.0</v>
      </c>
      <c r="I6760" s="12">
        <v>7.0</v>
      </c>
      <c r="J6760" s="6" t="s">
        <v>178</v>
      </c>
    </row>
    <row r="6761" ht="22.5" customHeight="1">
      <c r="A6761" s="6" t="s">
        <v>23569</v>
      </c>
      <c r="B6761" s="6" t="s">
        <v>15161</v>
      </c>
      <c r="C6761" s="10">
        <v>46034.0</v>
      </c>
      <c r="D6761" s="6" t="s">
        <v>391</v>
      </c>
      <c r="E6761" s="6" t="s">
        <v>438</v>
      </c>
      <c r="F6761" s="6" t="s">
        <v>283</v>
      </c>
      <c r="G6761" s="6" t="s">
        <v>369</v>
      </c>
      <c r="H6761" s="10">
        <v>46039.0</v>
      </c>
      <c r="I6761" s="12">
        <v>7.0</v>
      </c>
      <c r="J6761" s="6" t="s">
        <v>161</v>
      </c>
    </row>
    <row r="6762" ht="22.5" customHeight="1">
      <c r="A6762" s="6" t="s">
        <v>23570</v>
      </c>
      <c r="B6762" s="6" t="s">
        <v>15161</v>
      </c>
      <c r="C6762" s="10">
        <v>46027.0</v>
      </c>
      <c r="D6762" s="6" t="s">
        <v>312</v>
      </c>
      <c r="E6762" s="6" t="s">
        <v>1386</v>
      </c>
      <c r="F6762" s="6" t="s">
        <v>439</v>
      </c>
      <c r="G6762" s="6" t="s">
        <v>477</v>
      </c>
      <c r="H6762" s="10">
        <v>46031.0</v>
      </c>
      <c r="I6762" s="12">
        <v>5.0</v>
      </c>
      <c r="J6762" s="6" t="s">
        <v>161</v>
      </c>
    </row>
    <row r="6763" ht="22.5" customHeight="1">
      <c r="A6763" s="6" t="s">
        <v>23571</v>
      </c>
      <c r="B6763" s="6" t="s">
        <v>15168</v>
      </c>
      <c r="C6763" s="10">
        <v>46048.0</v>
      </c>
      <c r="D6763" s="6" t="s">
        <v>416</v>
      </c>
      <c r="E6763" s="6" t="s">
        <v>1280</v>
      </c>
      <c r="F6763" s="6" t="s">
        <v>249</v>
      </c>
      <c r="G6763" s="6" t="s">
        <v>369</v>
      </c>
      <c r="H6763" s="10">
        <v>46053.0</v>
      </c>
      <c r="I6763" s="12">
        <v>12.0</v>
      </c>
      <c r="J6763" s="6" t="s">
        <v>161</v>
      </c>
    </row>
    <row r="6764" ht="22.5" customHeight="1">
      <c r="A6764" s="6" t="s">
        <v>23572</v>
      </c>
      <c r="B6764" s="6" t="s">
        <v>15174</v>
      </c>
      <c r="C6764" s="10">
        <v>46063.0</v>
      </c>
      <c r="D6764" s="6" t="s">
        <v>242</v>
      </c>
      <c r="E6764" s="6" t="s">
        <v>704</v>
      </c>
      <c r="F6764" s="6" t="s">
        <v>112</v>
      </c>
      <c r="G6764" s="6" t="s">
        <v>254</v>
      </c>
      <c r="H6764" s="10">
        <v>46064.0</v>
      </c>
      <c r="I6764" s="12">
        <v>5.0</v>
      </c>
      <c r="J6764" s="6" t="s">
        <v>178</v>
      </c>
    </row>
    <row r="6765" ht="22.5" customHeight="1">
      <c r="A6765" s="6" t="s">
        <v>23573</v>
      </c>
      <c r="B6765" s="6" t="s">
        <v>15174</v>
      </c>
      <c r="C6765" s="10">
        <v>46063.0</v>
      </c>
      <c r="D6765" s="6" t="s">
        <v>416</v>
      </c>
      <c r="E6765" s="6" t="s">
        <v>896</v>
      </c>
      <c r="F6765" s="6" t="s">
        <v>283</v>
      </c>
      <c r="G6765" s="6" t="s">
        <v>494</v>
      </c>
      <c r="H6765" s="10">
        <v>46069.0</v>
      </c>
      <c r="I6765" s="12">
        <v>11.0</v>
      </c>
      <c r="J6765" s="6" t="s">
        <v>161</v>
      </c>
    </row>
    <row r="6766" ht="22.5" customHeight="1">
      <c r="A6766" s="6" t="s">
        <v>23574</v>
      </c>
      <c r="B6766" s="6" t="s">
        <v>15174</v>
      </c>
      <c r="C6766" s="10">
        <v>46056.0</v>
      </c>
      <c r="D6766" s="6" t="s">
        <v>289</v>
      </c>
      <c r="E6766" s="6" t="s">
        <v>1102</v>
      </c>
      <c r="F6766" s="6" t="s">
        <v>439</v>
      </c>
      <c r="G6766" s="6" t="s">
        <v>458</v>
      </c>
      <c r="H6766" s="11" t="s">
        <v>259</v>
      </c>
      <c r="I6766" s="12">
        <v>9.0</v>
      </c>
      <c r="J6766" s="6" t="s">
        <v>161</v>
      </c>
    </row>
    <row r="6767" ht="22.5" customHeight="1">
      <c r="A6767" s="6" t="s">
        <v>23575</v>
      </c>
      <c r="B6767" s="6" t="s">
        <v>15174</v>
      </c>
      <c r="C6767" s="10">
        <v>46055.0</v>
      </c>
      <c r="D6767" s="6" t="s">
        <v>289</v>
      </c>
      <c r="E6767" s="6" t="s">
        <v>1741</v>
      </c>
      <c r="F6767" s="6" t="s">
        <v>283</v>
      </c>
      <c r="G6767" s="6" t="s">
        <v>254</v>
      </c>
      <c r="H6767" s="10">
        <v>46059.0</v>
      </c>
      <c r="I6767" s="12">
        <v>10.0</v>
      </c>
      <c r="J6767" s="6" t="s">
        <v>161</v>
      </c>
    </row>
    <row r="6768" ht="22.5" customHeight="1">
      <c r="A6768" s="6" t="s">
        <v>23576</v>
      </c>
      <c r="B6768" s="6" t="s">
        <v>15174</v>
      </c>
      <c r="C6768" s="10">
        <v>46049.0</v>
      </c>
      <c r="D6768" s="6" t="s">
        <v>436</v>
      </c>
      <c r="E6768" s="6" t="s">
        <v>1626</v>
      </c>
      <c r="F6768" s="6" t="s">
        <v>283</v>
      </c>
      <c r="G6768" s="6" t="s">
        <v>494</v>
      </c>
      <c r="H6768" s="10">
        <v>46049.0</v>
      </c>
      <c r="I6768" s="12">
        <v>7.0</v>
      </c>
      <c r="J6768" s="6" t="s">
        <v>178</v>
      </c>
    </row>
    <row r="6769" ht="22.5" customHeight="1">
      <c r="A6769" s="6" t="s">
        <v>23577</v>
      </c>
      <c r="B6769" s="6" t="s">
        <v>15181</v>
      </c>
      <c r="C6769" s="10">
        <v>46082.0</v>
      </c>
      <c r="D6769" s="6" t="s">
        <v>289</v>
      </c>
      <c r="E6769" s="6" t="s">
        <v>618</v>
      </c>
      <c r="F6769" s="6" t="s">
        <v>112</v>
      </c>
      <c r="G6769" s="6" t="s">
        <v>254</v>
      </c>
      <c r="H6769" s="10">
        <v>46085.0</v>
      </c>
      <c r="I6769" s="12">
        <v>9.0</v>
      </c>
      <c r="J6769" s="6" t="s">
        <v>161</v>
      </c>
    </row>
    <row r="6770" ht="22.5" customHeight="1">
      <c r="A6770" s="6" t="s">
        <v>23578</v>
      </c>
      <c r="B6770" s="6" t="s">
        <v>15181</v>
      </c>
      <c r="C6770" s="10">
        <v>46073.0</v>
      </c>
      <c r="D6770" s="6" t="s">
        <v>436</v>
      </c>
      <c r="E6770" s="6" t="s">
        <v>618</v>
      </c>
      <c r="F6770" s="6" t="s">
        <v>283</v>
      </c>
      <c r="G6770" s="6" t="s">
        <v>254</v>
      </c>
      <c r="H6770" s="10">
        <v>46079.0</v>
      </c>
      <c r="I6770" s="12">
        <v>9.0</v>
      </c>
      <c r="J6770" s="6" t="s">
        <v>178</v>
      </c>
    </row>
    <row r="6771" ht="22.5" customHeight="1">
      <c r="A6771" s="6" t="s">
        <v>23579</v>
      </c>
      <c r="B6771" s="6" t="s">
        <v>15187</v>
      </c>
      <c r="C6771" s="10">
        <v>46059.0</v>
      </c>
      <c r="D6771" s="6" t="s">
        <v>242</v>
      </c>
      <c r="E6771" s="6" t="s">
        <v>658</v>
      </c>
      <c r="F6771" s="6" t="s">
        <v>283</v>
      </c>
      <c r="G6771" s="6" t="s">
        <v>369</v>
      </c>
      <c r="H6771" s="10">
        <v>46059.0</v>
      </c>
      <c r="I6771" s="12">
        <v>5.0</v>
      </c>
      <c r="J6771" s="6" t="s">
        <v>161</v>
      </c>
    </row>
    <row r="6772" ht="22.5" customHeight="1">
      <c r="A6772" s="6" t="s">
        <v>23580</v>
      </c>
      <c r="B6772" s="6" t="s">
        <v>15193</v>
      </c>
      <c r="C6772" s="10">
        <v>46077.0</v>
      </c>
      <c r="D6772" s="6" t="s">
        <v>289</v>
      </c>
      <c r="E6772" s="6" t="s">
        <v>2881</v>
      </c>
      <c r="F6772" s="6" t="s">
        <v>249</v>
      </c>
      <c r="G6772" s="6" t="s">
        <v>254</v>
      </c>
      <c r="H6772" s="10">
        <v>46080.0</v>
      </c>
      <c r="I6772" s="12">
        <v>5.0</v>
      </c>
      <c r="J6772" s="6" t="s">
        <v>161</v>
      </c>
    </row>
    <row r="6773" ht="22.5" customHeight="1">
      <c r="A6773" s="6" t="s">
        <v>23581</v>
      </c>
      <c r="B6773" s="6" t="s">
        <v>15193</v>
      </c>
      <c r="C6773" s="10">
        <v>46079.0</v>
      </c>
      <c r="D6773" s="6" t="s">
        <v>436</v>
      </c>
      <c r="E6773" s="6" t="s">
        <v>512</v>
      </c>
      <c r="F6773" s="6" t="s">
        <v>112</v>
      </c>
      <c r="G6773" s="6" t="s">
        <v>452</v>
      </c>
      <c r="H6773" s="10">
        <v>46084.0</v>
      </c>
      <c r="I6773" s="12">
        <v>9.0</v>
      </c>
      <c r="J6773" s="6" t="s">
        <v>178</v>
      </c>
    </row>
    <row r="6774" ht="22.5" customHeight="1">
      <c r="A6774" s="6" t="s">
        <v>23582</v>
      </c>
      <c r="B6774" s="6" t="s">
        <v>15193</v>
      </c>
      <c r="C6774" s="10">
        <v>46075.0</v>
      </c>
      <c r="D6774" s="6" t="s">
        <v>416</v>
      </c>
      <c r="E6774" s="6" t="s">
        <v>1741</v>
      </c>
      <c r="F6774" s="6" t="s">
        <v>439</v>
      </c>
      <c r="G6774" s="6" t="s">
        <v>494</v>
      </c>
      <c r="H6774" s="10">
        <v>46080.0</v>
      </c>
      <c r="I6774" s="12">
        <v>13.0</v>
      </c>
      <c r="J6774" s="6" t="s">
        <v>161</v>
      </c>
    </row>
    <row r="6775" ht="22.5" customHeight="1">
      <c r="A6775" s="6" t="s">
        <v>23583</v>
      </c>
      <c r="B6775" s="6" t="s">
        <v>15199</v>
      </c>
      <c r="C6775" s="10">
        <v>46071.0</v>
      </c>
      <c r="D6775" s="6" t="s">
        <v>242</v>
      </c>
      <c r="E6775" s="6" t="s">
        <v>2881</v>
      </c>
      <c r="F6775" s="6" t="s">
        <v>439</v>
      </c>
      <c r="G6775" s="6" t="s">
        <v>477</v>
      </c>
      <c r="H6775" s="10">
        <v>46078.0</v>
      </c>
      <c r="I6775" s="12">
        <v>5.0</v>
      </c>
      <c r="J6775" s="6" t="s">
        <v>178</v>
      </c>
    </row>
    <row r="6776" ht="22.5" customHeight="1">
      <c r="A6776" s="6" t="s">
        <v>23584</v>
      </c>
      <c r="B6776" s="6" t="s">
        <v>15199</v>
      </c>
      <c r="C6776" s="10">
        <v>46075.0</v>
      </c>
      <c r="D6776" s="6" t="s">
        <v>289</v>
      </c>
      <c r="E6776" s="6" t="s">
        <v>738</v>
      </c>
      <c r="F6776" s="6" t="s">
        <v>112</v>
      </c>
      <c r="G6776" s="6" t="s">
        <v>494</v>
      </c>
      <c r="H6776" s="11" t="s">
        <v>259</v>
      </c>
      <c r="I6776" s="12">
        <v>8.0</v>
      </c>
      <c r="J6776" s="6" t="s">
        <v>161</v>
      </c>
    </row>
    <row r="6777" ht="22.5" customHeight="1">
      <c r="A6777" s="6" t="s">
        <v>23585</v>
      </c>
      <c r="B6777" s="6" t="s">
        <v>15199</v>
      </c>
      <c r="C6777" s="10">
        <v>46072.0</v>
      </c>
      <c r="D6777" s="6" t="s">
        <v>312</v>
      </c>
      <c r="E6777" s="6" t="s">
        <v>1517</v>
      </c>
      <c r="F6777" s="6" t="s">
        <v>112</v>
      </c>
      <c r="G6777" s="6" t="s">
        <v>326</v>
      </c>
      <c r="H6777" s="10">
        <v>46075.0</v>
      </c>
      <c r="I6777" s="12">
        <v>6.0</v>
      </c>
      <c r="J6777" s="6" t="s">
        <v>161</v>
      </c>
    </row>
    <row r="6778" ht="22.5" customHeight="1">
      <c r="A6778" s="6" t="s">
        <v>23586</v>
      </c>
      <c r="B6778" s="6" t="s">
        <v>15199</v>
      </c>
      <c r="C6778" s="10">
        <v>46078.0</v>
      </c>
      <c r="D6778" s="6" t="s">
        <v>391</v>
      </c>
      <c r="E6778" s="6" t="s">
        <v>1626</v>
      </c>
      <c r="F6778" s="6" t="s">
        <v>112</v>
      </c>
      <c r="G6778" s="6" t="s">
        <v>494</v>
      </c>
      <c r="H6778" s="10">
        <v>46079.0</v>
      </c>
      <c r="I6778" s="12">
        <v>6.0</v>
      </c>
      <c r="J6778" s="6" t="s">
        <v>161</v>
      </c>
    </row>
    <row r="6779" ht="22.5" customHeight="1">
      <c r="A6779" s="6" t="s">
        <v>23587</v>
      </c>
      <c r="B6779" s="6" t="s">
        <v>15206</v>
      </c>
      <c r="C6779" s="10">
        <v>46066.0</v>
      </c>
      <c r="D6779" s="6" t="s">
        <v>391</v>
      </c>
      <c r="E6779" s="6" t="s">
        <v>583</v>
      </c>
      <c r="F6779" s="6" t="s">
        <v>112</v>
      </c>
      <c r="G6779" s="6" t="s">
        <v>494</v>
      </c>
      <c r="H6779" s="10">
        <v>46066.0</v>
      </c>
      <c r="I6779" s="12">
        <v>11.0</v>
      </c>
      <c r="J6779" s="6" t="s">
        <v>161</v>
      </c>
    </row>
    <row r="6780" ht="22.5" customHeight="1">
      <c r="A6780" s="6" t="s">
        <v>23588</v>
      </c>
      <c r="B6780" s="6" t="s">
        <v>15206</v>
      </c>
      <c r="C6780" s="10">
        <v>46060.0</v>
      </c>
      <c r="D6780" s="6" t="s">
        <v>677</v>
      </c>
      <c r="E6780" s="6" t="s">
        <v>1600</v>
      </c>
      <c r="F6780" s="6" t="s">
        <v>283</v>
      </c>
      <c r="G6780" s="6" t="s">
        <v>452</v>
      </c>
      <c r="H6780" s="11" t="s">
        <v>259</v>
      </c>
      <c r="I6780" s="12">
        <v>3.0</v>
      </c>
      <c r="J6780" s="6" t="s">
        <v>161</v>
      </c>
    </row>
    <row r="6781" ht="22.5" customHeight="1">
      <c r="A6781" s="6" t="s">
        <v>23589</v>
      </c>
      <c r="B6781" s="6" t="s">
        <v>15212</v>
      </c>
      <c r="C6781" s="10">
        <v>46055.0</v>
      </c>
      <c r="D6781" s="6" t="s">
        <v>677</v>
      </c>
      <c r="E6781" s="6" t="s">
        <v>1720</v>
      </c>
      <c r="F6781" s="6" t="s">
        <v>112</v>
      </c>
      <c r="G6781" s="6" t="s">
        <v>458</v>
      </c>
      <c r="H6781" s="10">
        <v>46058.0</v>
      </c>
      <c r="I6781" s="12">
        <v>2.0</v>
      </c>
      <c r="J6781" s="6" t="s">
        <v>161</v>
      </c>
    </row>
    <row r="6782" ht="22.5" customHeight="1">
      <c r="A6782" s="6" t="s">
        <v>23590</v>
      </c>
      <c r="B6782" s="6" t="s">
        <v>15220</v>
      </c>
      <c r="C6782" s="10">
        <v>46073.0</v>
      </c>
      <c r="D6782" s="6" t="s">
        <v>436</v>
      </c>
      <c r="E6782" s="6" t="s">
        <v>896</v>
      </c>
      <c r="F6782" s="6" t="s">
        <v>439</v>
      </c>
      <c r="G6782" s="6" t="s">
        <v>326</v>
      </c>
      <c r="H6782" s="10">
        <v>46077.0</v>
      </c>
      <c r="I6782" s="12">
        <v>9.0</v>
      </c>
      <c r="J6782" s="6" t="s">
        <v>178</v>
      </c>
    </row>
    <row r="6783" ht="22.5" customHeight="1">
      <c r="A6783" s="6" t="s">
        <v>23591</v>
      </c>
      <c r="B6783" s="6" t="s">
        <v>15220</v>
      </c>
      <c r="C6783" s="10">
        <v>46070.0</v>
      </c>
      <c r="D6783" s="6" t="s">
        <v>312</v>
      </c>
      <c r="E6783" s="6" t="s">
        <v>670</v>
      </c>
      <c r="F6783" s="6" t="s">
        <v>112</v>
      </c>
      <c r="G6783" s="6" t="s">
        <v>477</v>
      </c>
      <c r="H6783" s="10">
        <v>46077.0</v>
      </c>
      <c r="I6783" s="12">
        <v>6.0</v>
      </c>
      <c r="J6783" s="6" t="s">
        <v>161</v>
      </c>
    </row>
    <row r="6784" ht="22.5" customHeight="1">
      <c r="A6784" s="6" t="s">
        <v>23592</v>
      </c>
      <c r="B6784" s="6" t="s">
        <v>15220</v>
      </c>
      <c r="C6784" s="10">
        <v>46083.0</v>
      </c>
      <c r="D6784" s="6" t="s">
        <v>677</v>
      </c>
      <c r="E6784" s="6" t="s">
        <v>1700</v>
      </c>
      <c r="F6784" s="6" t="s">
        <v>112</v>
      </c>
      <c r="G6784" s="6" t="s">
        <v>477</v>
      </c>
      <c r="H6784" s="11" t="s">
        <v>259</v>
      </c>
      <c r="I6784" s="12">
        <v>4.0</v>
      </c>
      <c r="J6784" s="6" t="s">
        <v>161</v>
      </c>
    </row>
    <row r="6785" ht="22.5" customHeight="1">
      <c r="A6785" s="6" t="s">
        <v>23593</v>
      </c>
      <c r="B6785" s="6" t="s">
        <v>15220</v>
      </c>
      <c r="C6785" s="10">
        <v>46072.0</v>
      </c>
      <c r="D6785" s="6" t="s">
        <v>677</v>
      </c>
      <c r="E6785" s="6" t="s">
        <v>2365</v>
      </c>
      <c r="F6785" s="6" t="s">
        <v>439</v>
      </c>
      <c r="G6785" s="6" t="s">
        <v>477</v>
      </c>
      <c r="H6785" s="10">
        <v>46072.0</v>
      </c>
      <c r="I6785" s="12">
        <v>3.0</v>
      </c>
      <c r="J6785" s="6" t="s">
        <v>161</v>
      </c>
    </row>
    <row r="6786" ht="22.5" customHeight="1">
      <c r="A6786" s="6" t="s">
        <v>23594</v>
      </c>
      <c r="B6786" s="6" t="s">
        <v>15226</v>
      </c>
      <c r="C6786" s="10">
        <v>46070.0</v>
      </c>
      <c r="D6786" s="6" t="s">
        <v>416</v>
      </c>
      <c r="E6786" s="6" t="s">
        <v>1386</v>
      </c>
      <c r="F6786" s="6" t="s">
        <v>112</v>
      </c>
      <c r="G6786" s="6" t="s">
        <v>254</v>
      </c>
      <c r="H6786" s="10">
        <v>46070.0</v>
      </c>
      <c r="I6786" s="12">
        <v>11.0</v>
      </c>
      <c r="J6786" s="6" t="s">
        <v>161</v>
      </c>
    </row>
    <row r="6787" ht="22.5" customHeight="1">
      <c r="A6787" s="6" t="s">
        <v>23595</v>
      </c>
      <c r="B6787" s="6" t="s">
        <v>15226</v>
      </c>
      <c r="C6787" s="10">
        <v>46059.0</v>
      </c>
      <c r="D6787" s="6" t="s">
        <v>436</v>
      </c>
      <c r="E6787" s="6" t="s">
        <v>1035</v>
      </c>
      <c r="F6787" s="6" t="s">
        <v>249</v>
      </c>
      <c r="G6787" s="6" t="s">
        <v>369</v>
      </c>
      <c r="H6787" s="11" t="s">
        <v>259</v>
      </c>
      <c r="I6787" s="12">
        <v>8.0</v>
      </c>
      <c r="J6787" s="6" t="s">
        <v>178</v>
      </c>
    </row>
    <row r="6788" ht="22.5" customHeight="1">
      <c r="A6788" s="6" t="s">
        <v>23596</v>
      </c>
      <c r="B6788" s="6" t="s">
        <v>15226</v>
      </c>
      <c r="C6788" s="10">
        <v>46071.0</v>
      </c>
      <c r="D6788" s="6" t="s">
        <v>677</v>
      </c>
      <c r="E6788" s="6" t="s">
        <v>1273</v>
      </c>
      <c r="F6788" s="6" t="s">
        <v>112</v>
      </c>
      <c r="G6788" s="6" t="s">
        <v>369</v>
      </c>
      <c r="H6788" s="10">
        <v>46071.0</v>
      </c>
      <c r="I6788" s="12">
        <v>3.0</v>
      </c>
      <c r="J6788" s="6" t="s">
        <v>161</v>
      </c>
    </row>
    <row r="6789" ht="22.5" customHeight="1">
      <c r="A6789" s="6" t="s">
        <v>23597</v>
      </c>
      <c r="B6789" s="6" t="s">
        <v>15233</v>
      </c>
      <c r="C6789" s="10">
        <v>46029.0</v>
      </c>
      <c r="D6789" s="6" t="s">
        <v>416</v>
      </c>
      <c r="E6789" s="6" t="s">
        <v>1600</v>
      </c>
      <c r="F6789" s="6" t="s">
        <v>249</v>
      </c>
      <c r="G6789" s="6" t="s">
        <v>477</v>
      </c>
      <c r="H6789" s="10">
        <v>46034.0</v>
      </c>
      <c r="I6789" s="12">
        <v>14.0</v>
      </c>
      <c r="J6789" s="6" t="s">
        <v>161</v>
      </c>
    </row>
    <row r="6790" ht="22.5" customHeight="1">
      <c r="A6790" s="6" t="s">
        <v>23598</v>
      </c>
      <c r="B6790" s="6" t="s">
        <v>15239</v>
      </c>
      <c r="C6790" s="10">
        <v>46072.0</v>
      </c>
      <c r="D6790" s="6" t="s">
        <v>242</v>
      </c>
      <c r="E6790" s="6" t="s">
        <v>1626</v>
      </c>
      <c r="F6790" s="6" t="s">
        <v>283</v>
      </c>
      <c r="G6790" s="6" t="s">
        <v>369</v>
      </c>
      <c r="H6790" s="10">
        <v>46074.0</v>
      </c>
      <c r="I6790" s="12">
        <v>3.0</v>
      </c>
      <c r="J6790" s="6" t="s">
        <v>178</v>
      </c>
    </row>
    <row r="6791" ht="22.5" customHeight="1">
      <c r="A6791" s="6" t="s">
        <v>23599</v>
      </c>
      <c r="B6791" s="6" t="s">
        <v>15239</v>
      </c>
      <c r="C6791" s="10">
        <v>46069.0</v>
      </c>
      <c r="D6791" s="6" t="s">
        <v>436</v>
      </c>
      <c r="E6791" s="6" t="s">
        <v>2365</v>
      </c>
      <c r="F6791" s="6" t="s">
        <v>249</v>
      </c>
      <c r="G6791" s="6" t="s">
        <v>297</v>
      </c>
      <c r="H6791" s="10">
        <v>46071.0</v>
      </c>
      <c r="I6791" s="12">
        <v>8.0</v>
      </c>
      <c r="J6791" s="6" t="s">
        <v>178</v>
      </c>
    </row>
    <row r="6792" ht="22.5" customHeight="1">
      <c r="A6792" s="6" t="s">
        <v>23600</v>
      </c>
      <c r="B6792" s="6" t="s">
        <v>15239</v>
      </c>
      <c r="C6792" s="10">
        <v>46062.0</v>
      </c>
      <c r="D6792" s="6" t="s">
        <v>436</v>
      </c>
      <c r="E6792" s="6" t="s">
        <v>738</v>
      </c>
      <c r="F6792" s="6" t="s">
        <v>283</v>
      </c>
      <c r="G6792" s="6" t="s">
        <v>477</v>
      </c>
      <c r="H6792" s="10">
        <v>46063.0</v>
      </c>
      <c r="I6792" s="12">
        <v>7.0</v>
      </c>
      <c r="J6792" s="6" t="s">
        <v>178</v>
      </c>
    </row>
    <row r="6793" ht="22.5" customHeight="1">
      <c r="A6793" s="6" t="s">
        <v>23601</v>
      </c>
      <c r="B6793" s="6" t="s">
        <v>15239</v>
      </c>
      <c r="C6793" s="10">
        <v>46063.0</v>
      </c>
      <c r="D6793" s="6" t="s">
        <v>436</v>
      </c>
      <c r="E6793" s="6" t="s">
        <v>955</v>
      </c>
      <c r="F6793" s="6" t="s">
        <v>112</v>
      </c>
      <c r="G6793" s="6" t="s">
        <v>477</v>
      </c>
      <c r="H6793" s="10">
        <v>46063.0</v>
      </c>
      <c r="I6793" s="12">
        <v>11.0</v>
      </c>
      <c r="J6793" s="6" t="s">
        <v>178</v>
      </c>
    </row>
    <row r="6794" ht="22.5" customHeight="1">
      <c r="A6794" s="6" t="s">
        <v>23602</v>
      </c>
      <c r="B6794" s="6" t="s">
        <v>15245</v>
      </c>
      <c r="C6794" s="10">
        <v>46044.0</v>
      </c>
      <c r="D6794" s="6" t="s">
        <v>289</v>
      </c>
      <c r="E6794" s="6" t="s">
        <v>512</v>
      </c>
      <c r="F6794" s="6" t="s">
        <v>249</v>
      </c>
      <c r="G6794" s="6" t="s">
        <v>326</v>
      </c>
      <c r="H6794" s="10">
        <v>46045.0</v>
      </c>
      <c r="I6794" s="12">
        <v>8.0</v>
      </c>
      <c r="J6794" s="6" t="s">
        <v>161</v>
      </c>
    </row>
    <row r="6795" ht="22.5" customHeight="1">
      <c r="A6795" s="6" t="s">
        <v>23603</v>
      </c>
      <c r="B6795" s="6" t="s">
        <v>15245</v>
      </c>
      <c r="C6795" s="10">
        <v>46047.0</v>
      </c>
      <c r="D6795" s="6" t="s">
        <v>391</v>
      </c>
      <c r="E6795" s="6" t="s">
        <v>716</v>
      </c>
      <c r="F6795" s="6" t="s">
        <v>439</v>
      </c>
      <c r="G6795" s="6" t="s">
        <v>452</v>
      </c>
      <c r="H6795" s="10">
        <v>46048.0</v>
      </c>
      <c r="I6795" s="12">
        <v>10.0</v>
      </c>
      <c r="J6795" s="6" t="s">
        <v>161</v>
      </c>
    </row>
    <row r="6796" ht="22.5" customHeight="1">
      <c r="A6796" s="6" t="s">
        <v>23604</v>
      </c>
      <c r="B6796" s="6" t="s">
        <v>15245</v>
      </c>
      <c r="C6796" s="10">
        <v>46043.0</v>
      </c>
      <c r="D6796" s="6" t="s">
        <v>391</v>
      </c>
      <c r="E6796" s="6" t="s">
        <v>833</v>
      </c>
      <c r="F6796" s="6" t="s">
        <v>283</v>
      </c>
      <c r="G6796" s="6" t="s">
        <v>477</v>
      </c>
      <c r="H6796" s="10">
        <v>46045.0</v>
      </c>
      <c r="I6796" s="12">
        <v>8.0</v>
      </c>
      <c r="J6796" s="6" t="s">
        <v>161</v>
      </c>
    </row>
    <row r="6797" ht="22.5" customHeight="1">
      <c r="A6797" s="6" t="s">
        <v>23605</v>
      </c>
      <c r="B6797" s="6" t="s">
        <v>15251</v>
      </c>
      <c r="C6797" s="10">
        <v>46028.0</v>
      </c>
      <c r="D6797" s="6" t="s">
        <v>289</v>
      </c>
      <c r="E6797" s="6" t="s">
        <v>695</v>
      </c>
      <c r="F6797" s="6" t="s">
        <v>283</v>
      </c>
      <c r="G6797" s="6" t="s">
        <v>326</v>
      </c>
      <c r="H6797" s="10">
        <v>46030.0</v>
      </c>
      <c r="I6797" s="12">
        <v>9.0</v>
      </c>
      <c r="J6797" s="6" t="s">
        <v>161</v>
      </c>
    </row>
    <row r="6798" ht="22.5" customHeight="1">
      <c r="A6798" s="6" t="s">
        <v>23606</v>
      </c>
      <c r="B6798" s="6" t="s">
        <v>15251</v>
      </c>
      <c r="C6798" s="10">
        <v>46043.0</v>
      </c>
      <c r="D6798" s="6" t="s">
        <v>242</v>
      </c>
      <c r="E6798" s="6" t="s">
        <v>731</v>
      </c>
      <c r="F6798" s="6" t="s">
        <v>112</v>
      </c>
      <c r="G6798" s="6" t="s">
        <v>452</v>
      </c>
      <c r="H6798" s="10">
        <v>46049.0</v>
      </c>
      <c r="I6798" s="12">
        <v>6.0</v>
      </c>
      <c r="J6798" s="6" t="s">
        <v>161</v>
      </c>
    </row>
    <row r="6799" ht="22.5" customHeight="1">
      <c r="A6799" s="6" t="s">
        <v>23607</v>
      </c>
      <c r="B6799" s="6" t="s">
        <v>15251</v>
      </c>
      <c r="C6799" s="10">
        <v>46041.0</v>
      </c>
      <c r="D6799" s="6" t="s">
        <v>391</v>
      </c>
      <c r="E6799" s="6" t="s">
        <v>1055</v>
      </c>
      <c r="F6799" s="6" t="s">
        <v>112</v>
      </c>
      <c r="G6799" s="6" t="s">
        <v>254</v>
      </c>
      <c r="H6799" s="10">
        <v>46044.0</v>
      </c>
      <c r="I6799" s="12">
        <v>9.0</v>
      </c>
      <c r="J6799" s="6" t="s">
        <v>161</v>
      </c>
    </row>
    <row r="6800" ht="22.5" customHeight="1">
      <c r="A6800" s="6" t="s">
        <v>23608</v>
      </c>
      <c r="B6800" s="6" t="s">
        <v>15258</v>
      </c>
      <c r="C6800" s="10">
        <v>46066.0</v>
      </c>
      <c r="D6800" s="6" t="s">
        <v>242</v>
      </c>
      <c r="E6800" s="6" t="s">
        <v>1035</v>
      </c>
      <c r="F6800" s="6" t="s">
        <v>112</v>
      </c>
      <c r="G6800" s="6" t="s">
        <v>494</v>
      </c>
      <c r="H6800" s="10">
        <v>46070.0</v>
      </c>
      <c r="I6800" s="12">
        <v>4.0</v>
      </c>
      <c r="J6800" s="6" t="s">
        <v>161</v>
      </c>
    </row>
    <row r="6801" ht="22.5" customHeight="1">
      <c r="A6801" s="6" t="s">
        <v>23609</v>
      </c>
      <c r="B6801" s="6" t="s">
        <v>15258</v>
      </c>
      <c r="C6801" s="10">
        <v>46078.0</v>
      </c>
      <c r="D6801" s="6" t="s">
        <v>289</v>
      </c>
      <c r="E6801" s="6" t="s">
        <v>1241</v>
      </c>
      <c r="F6801" s="6" t="s">
        <v>439</v>
      </c>
      <c r="G6801" s="6" t="s">
        <v>369</v>
      </c>
      <c r="H6801" s="11" t="s">
        <v>259</v>
      </c>
      <c r="I6801" s="12">
        <v>10.0</v>
      </c>
      <c r="J6801" s="6" t="s">
        <v>161</v>
      </c>
    </row>
    <row r="6802" ht="22.5" customHeight="1">
      <c r="A6802" s="6" t="s">
        <v>23610</v>
      </c>
      <c r="B6802" s="6" t="s">
        <v>15258</v>
      </c>
      <c r="C6802" s="10">
        <v>46078.0</v>
      </c>
      <c r="D6802" s="6" t="s">
        <v>391</v>
      </c>
      <c r="E6802" s="6" t="s">
        <v>738</v>
      </c>
      <c r="F6802" s="6" t="s">
        <v>112</v>
      </c>
      <c r="G6802" s="6" t="s">
        <v>254</v>
      </c>
      <c r="H6802" s="10">
        <v>46080.0</v>
      </c>
      <c r="I6802" s="12">
        <v>9.0</v>
      </c>
      <c r="J6802" s="6" t="s">
        <v>161</v>
      </c>
    </row>
    <row r="6803" ht="22.5" customHeight="1">
      <c r="A6803" s="6" t="s">
        <v>23611</v>
      </c>
      <c r="B6803" s="6" t="s">
        <v>15264</v>
      </c>
      <c r="C6803" s="10">
        <v>46040.0</v>
      </c>
      <c r="D6803" s="6" t="s">
        <v>312</v>
      </c>
      <c r="E6803" s="6" t="s">
        <v>628</v>
      </c>
      <c r="F6803" s="6" t="s">
        <v>283</v>
      </c>
      <c r="G6803" s="6" t="s">
        <v>326</v>
      </c>
      <c r="H6803" s="10">
        <v>46043.0</v>
      </c>
      <c r="I6803" s="12">
        <v>5.0</v>
      </c>
      <c r="J6803" s="6" t="s">
        <v>161</v>
      </c>
    </row>
    <row r="6804" ht="22.5" customHeight="1">
      <c r="A6804" s="6" t="s">
        <v>23612</v>
      </c>
      <c r="B6804" s="6" t="s">
        <v>15264</v>
      </c>
      <c r="C6804" s="10">
        <v>46037.0</v>
      </c>
      <c r="D6804" s="6" t="s">
        <v>289</v>
      </c>
      <c r="E6804" s="6" t="s">
        <v>716</v>
      </c>
      <c r="F6804" s="6" t="s">
        <v>439</v>
      </c>
      <c r="G6804" s="6" t="s">
        <v>297</v>
      </c>
      <c r="H6804" s="10">
        <v>46037.0</v>
      </c>
      <c r="I6804" s="12">
        <v>9.0</v>
      </c>
      <c r="J6804" s="6" t="s">
        <v>161</v>
      </c>
    </row>
    <row r="6805" ht="22.5" customHeight="1">
      <c r="A6805" s="6" t="s">
        <v>23613</v>
      </c>
      <c r="B6805" s="6" t="s">
        <v>15264</v>
      </c>
      <c r="C6805" s="10">
        <v>46047.0</v>
      </c>
      <c r="D6805" s="6" t="s">
        <v>436</v>
      </c>
      <c r="E6805" s="6" t="s">
        <v>475</v>
      </c>
      <c r="F6805" s="6" t="s">
        <v>283</v>
      </c>
      <c r="G6805" s="6" t="s">
        <v>458</v>
      </c>
      <c r="H6805" s="10">
        <v>46048.0</v>
      </c>
      <c r="I6805" s="12">
        <v>12.0</v>
      </c>
      <c r="J6805" s="6" t="s">
        <v>178</v>
      </c>
    </row>
    <row r="6806" ht="22.5" customHeight="1">
      <c r="A6806" s="6" t="s">
        <v>23614</v>
      </c>
      <c r="B6806" s="6" t="s">
        <v>15264</v>
      </c>
      <c r="C6806" s="10">
        <v>46048.0</v>
      </c>
      <c r="D6806" s="6" t="s">
        <v>289</v>
      </c>
      <c r="E6806" s="6" t="s">
        <v>320</v>
      </c>
      <c r="F6806" s="6" t="s">
        <v>112</v>
      </c>
      <c r="G6806" s="6" t="s">
        <v>477</v>
      </c>
      <c r="H6806" s="10">
        <v>46051.0</v>
      </c>
      <c r="I6806" s="12">
        <v>9.0</v>
      </c>
      <c r="J6806" s="6" t="s">
        <v>161</v>
      </c>
    </row>
    <row r="6807" ht="22.5" customHeight="1">
      <c r="A6807" s="6" t="s">
        <v>23615</v>
      </c>
      <c r="B6807" s="6" t="s">
        <v>15264</v>
      </c>
      <c r="C6807" s="10">
        <v>46033.0</v>
      </c>
      <c r="D6807" s="6" t="s">
        <v>312</v>
      </c>
      <c r="E6807" s="6" t="s">
        <v>1741</v>
      </c>
      <c r="F6807" s="6" t="s">
        <v>439</v>
      </c>
      <c r="G6807" s="6" t="s">
        <v>452</v>
      </c>
      <c r="H6807" s="11" t="s">
        <v>259</v>
      </c>
      <c r="I6807" s="12">
        <v>6.0</v>
      </c>
      <c r="J6807" s="6" t="s">
        <v>161</v>
      </c>
    </row>
    <row r="6808" ht="22.5" customHeight="1">
      <c r="A6808" s="6" t="s">
        <v>23616</v>
      </c>
      <c r="B6808" s="6" t="s">
        <v>15271</v>
      </c>
      <c r="C6808" s="10">
        <v>46067.0</v>
      </c>
      <c r="D6808" s="6" t="s">
        <v>312</v>
      </c>
      <c r="E6808" s="6" t="s">
        <v>583</v>
      </c>
      <c r="F6808" s="6" t="s">
        <v>439</v>
      </c>
      <c r="G6808" s="6" t="s">
        <v>254</v>
      </c>
      <c r="H6808" s="10">
        <v>46072.0</v>
      </c>
      <c r="I6808" s="12">
        <v>7.0</v>
      </c>
      <c r="J6808" s="6" t="s">
        <v>161</v>
      </c>
    </row>
    <row r="6809" ht="22.5" customHeight="1">
      <c r="A6809" s="6" t="s">
        <v>23617</v>
      </c>
      <c r="B6809" s="6" t="s">
        <v>15271</v>
      </c>
      <c r="C6809" s="10">
        <v>46073.0</v>
      </c>
      <c r="D6809" s="6" t="s">
        <v>289</v>
      </c>
      <c r="E6809" s="6" t="s">
        <v>291</v>
      </c>
      <c r="F6809" s="6" t="s">
        <v>283</v>
      </c>
      <c r="G6809" s="6" t="s">
        <v>369</v>
      </c>
      <c r="H6809" s="10">
        <v>46073.0</v>
      </c>
      <c r="I6809" s="12">
        <v>6.0</v>
      </c>
      <c r="J6809" s="6" t="s">
        <v>161</v>
      </c>
    </row>
    <row r="6810" ht="22.5" customHeight="1">
      <c r="A6810" s="6" t="s">
        <v>23618</v>
      </c>
      <c r="B6810" s="6" t="s">
        <v>15277</v>
      </c>
      <c r="C6810" s="10">
        <v>46073.0</v>
      </c>
      <c r="D6810" s="6" t="s">
        <v>242</v>
      </c>
      <c r="E6810" s="6" t="s">
        <v>787</v>
      </c>
      <c r="F6810" s="6" t="s">
        <v>283</v>
      </c>
      <c r="G6810" s="6" t="s">
        <v>494</v>
      </c>
      <c r="H6810" s="10">
        <v>46074.0</v>
      </c>
      <c r="I6810" s="12">
        <v>3.0</v>
      </c>
      <c r="J6810" s="6" t="s">
        <v>161</v>
      </c>
    </row>
    <row r="6811" ht="22.5" customHeight="1">
      <c r="A6811" s="6" t="s">
        <v>23619</v>
      </c>
      <c r="B6811" s="6" t="s">
        <v>15277</v>
      </c>
      <c r="C6811" s="10">
        <v>46068.0</v>
      </c>
      <c r="D6811" s="6" t="s">
        <v>416</v>
      </c>
      <c r="E6811" s="6" t="s">
        <v>1552</v>
      </c>
      <c r="F6811" s="6" t="s">
        <v>112</v>
      </c>
      <c r="G6811" s="6" t="s">
        <v>369</v>
      </c>
      <c r="H6811" s="10">
        <v>46073.0</v>
      </c>
      <c r="I6811" s="12">
        <v>14.0</v>
      </c>
      <c r="J6811" s="6" t="s">
        <v>161</v>
      </c>
    </row>
    <row r="6812" ht="22.5" customHeight="1">
      <c r="A6812" s="6" t="s">
        <v>23620</v>
      </c>
      <c r="B6812" s="6" t="s">
        <v>15277</v>
      </c>
      <c r="C6812" s="10">
        <v>46063.0</v>
      </c>
      <c r="D6812" s="6" t="s">
        <v>436</v>
      </c>
      <c r="E6812" s="6" t="s">
        <v>394</v>
      </c>
      <c r="F6812" s="6" t="s">
        <v>439</v>
      </c>
      <c r="G6812" s="6" t="s">
        <v>494</v>
      </c>
      <c r="H6812" s="10">
        <v>46065.0</v>
      </c>
      <c r="I6812" s="12">
        <v>12.0</v>
      </c>
      <c r="J6812" s="6" t="s">
        <v>178</v>
      </c>
    </row>
    <row r="6813" ht="22.5" customHeight="1">
      <c r="A6813" s="6" t="s">
        <v>23621</v>
      </c>
      <c r="B6813" s="6" t="s">
        <v>15277</v>
      </c>
      <c r="C6813" s="10">
        <v>46062.0</v>
      </c>
      <c r="D6813" s="6" t="s">
        <v>436</v>
      </c>
      <c r="E6813" s="6" t="s">
        <v>833</v>
      </c>
      <c r="F6813" s="6" t="s">
        <v>439</v>
      </c>
      <c r="G6813" s="6" t="s">
        <v>477</v>
      </c>
      <c r="H6813" s="10">
        <v>46065.0</v>
      </c>
      <c r="I6813" s="12">
        <v>11.0</v>
      </c>
      <c r="J6813" s="6" t="s">
        <v>161</v>
      </c>
    </row>
    <row r="6814" ht="22.5" customHeight="1">
      <c r="A6814" s="6" t="s">
        <v>23622</v>
      </c>
      <c r="B6814" s="6" t="s">
        <v>15277</v>
      </c>
      <c r="C6814" s="10">
        <v>46075.0</v>
      </c>
      <c r="D6814" s="6" t="s">
        <v>289</v>
      </c>
      <c r="E6814" s="6" t="s">
        <v>466</v>
      </c>
      <c r="F6814" s="6" t="s">
        <v>112</v>
      </c>
      <c r="G6814" s="6" t="s">
        <v>254</v>
      </c>
      <c r="H6814" s="10">
        <v>46076.0</v>
      </c>
      <c r="I6814" s="12">
        <v>10.0</v>
      </c>
      <c r="J6814" s="6" t="s">
        <v>161</v>
      </c>
    </row>
    <row r="6815" ht="22.5" customHeight="1">
      <c r="A6815" s="6" t="s">
        <v>23623</v>
      </c>
      <c r="B6815" s="6" t="s">
        <v>15283</v>
      </c>
      <c r="C6815" s="10">
        <v>46035.0</v>
      </c>
      <c r="D6815" s="6" t="s">
        <v>242</v>
      </c>
      <c r="E6815" s="6" t="s">
        <v>320</v>
      </c>
      <c r="F6815" s="6" t="s">
        <v>249</v>
      </c>
      <c r="G6815" s="6" t="s">
        <v>254</v>
      </c>
      <c r="H6815" s="10">
        <v>46038.0</v>
      </c>
      <c r="I6815" s="12">
        <v>3.0</v>
      </c>
      <c r="J6815" s="6" t="s">
        <v>178</v>
      </c>
    </row>
    <row r="6816" ht="22.5" customHeight="1">
      <c r="A6816" s="6" t="s">
        <v>23624</v>
      </c>
      <c r="B6816" s="6" t="s">
        <v>15283</v>
      </c>
      <c r="C6816" s="10">
        <v>46053.0</v>
      </c>
      <c r="D6816" s="6" t="s">
        <v>289</v>
      </c>
      <c r="E6816" s="6" t="s">
        <v>394</v>
      </c>
      <c r="F6816" s="6" t="s">
        <v>112</v>
      </c>
      <c r="G6816" s="6" t="s">
        <v>494</v>
      </c>
      <c r="H6816" s="10">
        <v>46058.0</v>
      </c>
      <c r="I6816" s="12">
        <v>6.0</v>
      </c>
      <c r="J6816" s="6" t="s">
        <v>161</v>
      </c>
    </row>
    <row r="6817" ht="22.5" customHeight="1">
      <c r="A6817" s="6" t="s">
        <v>23625</v>
      </c>
      <c r="B6817" s="6" t="s">
        <v>15283</v>
      </c>
      <c r="C6817" s="10">
        <v>46044.0</v>
      </c>
      <c r="D6817" s="6" t="s">
        <v>416</v>
      </c>
      <c r="E6817" s="6" t="s">
        <v>1517</v>
      </c>
      <c r="F6817" s="6" t="s">
        <v>112</v>
      </c>
      <c r="G6817" s="6" t="s">
        <v>452</v>
      </c>
      <c r="H6817" s="10">
        <v>46048.0</v>
      </c>
      <c r="I6817" s="12">
        <v>9.0</v>
      </c>
      <c r="J6817" s="6" t="s">
        <v>161</v>
      </c>
    </row>
    <row r="6818" ht="22.5" customHeight="1">
      <c r="A6818" s="6" t="s">
        <v>23626</v>
      </c>
      <c r="B6818" s="6" t="s">
        <v>15290</v>
      </c>
      <c r="C6818" s="10">
        <v>46078.0</v>
      </c>
      <c r="D6818" s="6" t="s">
        <v>289</v>
      </c>
      <c r="E6818" s="6" t="s">
        <v>1310</v>
      </c>
      <c r="F6818" s="6" t="s">
        <v>439</v>
      </c>
      <c r="G6818" s="6" t="s">
        <v>297</v>
      </c>
      <c r="H6818" s="10">
        <v>46078.0</v>
      </c>
      <c r="I6818" s="12">
        <v>10.0</v>
      </c>
      <c r="J6818" s="6" t="s">
        <v>161</v>
      </c>
    </row>
    <row r="6819" ht="22.5" customHeight="1">
      <c r="A6819" s="6" t="s">
        <v>23627</v>
      </c>
      <c r="B6819" s="6" t="s">
        <v>15296</v>
      </c>
      <c r="C6819" s="10">
        <v>46030.0</v>
      </c>
      <c r="D6819" s="6" t="s">
        <v>391</v>
      </c>
      <c r="E6819" s="6" t="s">
        <v>475</v>
      </c>
      <c r="F6819" s="6" t="s">
        <v>439</v>
      </c>
      <c r="G6819" s="6" t="s">
        <v>254</v>
      </c>
      <c r="H6819" s="11" t="s">
        <v>259</v>
      </c>
      <c r="I6819" s="12">
        <v>9.0</v>
      </c>
      <c r="J6819" s="6" t="s">
        <v>161</v>
      </c>
    </row>
    <row r="6820" ht="22.5" customHeight="1">
      <c r="A6820" s="6" t="s">
        <v>23628</v>
      </c>
      <c r="B6820" s="6" t="s">
        <v>15296</v>
      </c>
      <c r="C6820" s="10">
        <v>46032.0</v>
      </c>
      <c r="D6820" s="6" t="s">
        <v>391</v>
      </c>
      <c r="E6820" s="6" t="s">
        <v>1741</v>
      </c>
      <c r="F6820" s="6" t="s">
        <v>283</v>
      </c>
      <c r="G6820" s="6" t="s">
        <v>326</v>
      </c>
      <c r="H6820" s="10">
        <v>46033.0</v>
      </c>
      <c r="I6820" s="12">
        <v>6.0</v>
      </c>
      <c r="J6820" s="6" t="s">
        <v>161</v>
      </c>
    </row>
    <row r="6821" ht="22.5" customHeight="1">
      <c r="A6821" s="6" t="s">
        <v>23629</v>
      </c>
      <c r="B6821" s="6" t="s">
        <v>15301</v>
      </c>
      <c r="C6821" s="10">
        <v>46027.0</v>
      </c>
      <c r="D6821" s="6" t="s">
        <v>242</v>
      </c>
      <c r="E6821" s="6" t="s">
        <v>1149</v>
      </c>
      <c r="F6821" s="6" t="s">
        <v>112</v>
      </c>
      <c r="G6821" s="6" t="s">
        <v>254</v>
      </c>
      <c r="H6821" s="10">
        <v>46027.0</v>
      </c>
      <c r="I6821" s="12">
        <v>3.0</v>
      </c>
      <c r="J6821" s="6" t="s">
        <v>161</v>
      </c>
    </row>
    <row r="6822" ht="22.5" customHeight="1">
      <c r="A6822" s="6" t="s">
        <v>23630</v>
      </c>
      <c r="B6822" s="6" t="s">
        <v>15301</v>
      </c>
      <c r="C6822" s="10">
        <v>46035.0</v>
      </c>
      <c r="D6822" s="6" t="s">
        <v>436</v>
      </c>
      <c r="E6822" s="6" t="s">
        <v>687</v>
      </c>
      <c r="F6822" s="6" t="s">
        <v>112</v>
      </c>
      <c r="G6822" s="6" t="s">
        <v>458</v>
      </c>
      <c r="H6822" s="10">
        <v>46037.0</v>
      </c>
      <c r="I6822" s="12">
        <v>6.0</v>
      </c>
      <c r="J6822" s="6" t="s">
        <v>178</v>
      </c>
    </row>
    <row r="6823" ht="22.5" customHeight="1">
      <c r="A6823" s="6" t="s">
        <v>23631</v>
      </c>
      <c r="B6823" s="6" t="s">
        <v>15307</v>
      </c>
      <c r="C6823" s="10">
        <v>46048.0</v>
      </c>
      <c r="D6823" s="6" t="s">
        <v>312</v>
      </c>
      <c r="E6823" s="6" t="s">
        <v>775</v>
      </c>
      <c r="F6823" s="6" t="s">
        <v>283</v>
      </c>
      <c r="G6823" s="6" t="s">
        <v>452</v>
      </c>
      <c r="H6823" s="10">
        <v>46054.0</v>
      </c>
      <c r="I6823" s="12">
        <v>6.0</v>
      </c>
      <c r="J6823" s="6" t="s">
        <v>161</v>
      </c>
    </row>
    <row r="6824" ht="22.5" customHeight="1">
      <c r="A6824" s="6" t="s">
        <v>23632</v>
      </c>
      <c r="B6824" s="6" t="s">
        <v>15307</v>
      </c>
      <c r="C6824" s="10">
        <v>46059.0</v>
      </c>
      <c r="D6824" s="6" t="s">
        <v>436</v>
      </c>
      <c r="E6824" s="6" t="s">
        <v>610</v>
      </c>
      <c r="F6824" s="6" t="s">
        <v>249</v>
      </c>
      <c r="G6824" s="6" t="s">
        <v>326</v>
      </c>
      <c r="H6824" s="10">
        <v>46065.0</v>
      </c>
      <c r="I6824" s="12">
        <v>10.0</v>
      </c>
      <c r="J6824" s="6" t="s">
        <v>178</v>
      </c>
    </row>
    <row r="6825" ht="22.5" customHeight="1">
      <c r="A6825" s="6" t="s">
        <v>23633</v>
      </c>
      <c r="B6825" s="6" t="s">
        <v>15307</v>
      </c>
      <c r="C6825" s="10">
        <v>46045.0</v>
      </c>
      <c r="D6825" s="6" t="s">
        <v>289</v>
      </c>
      <c r="E6825" s="6" t="s">
        <v>695</v>
      </c>
      <c r="F6825" s="6" t="s">
        <v>112</v>
      </c>
      <c r="G6825" s="6" t="s">
        <v>477</v>
      </c>
      <c r="H6825" s="11" t="s">
        <v>259</v>
      </c>
      <c r="I6825" s="12">
        <v>10.0</v>
      </c>
      <c r="J6825" s="6" t="s">
        <v>161</v>
      </c>
    </row>
    <row r="6826" ht="22.5" customHeight="1">
      <c r="A6826" s="6" t="s">
        <v>23634</v>
      </c>
      <c r="B6826" s="6" t="s">
        <v>15307</v>
      </c>
      <c r="C6826" s="10">
        <v>46062.0</v>
      </c>
      <c r="D6826" s="6" t="s">
        <v>391</v>
      </c>
      <c r="E6826" s="6" t="s">
        <v>2365</v>
      </c>
      <c r="F6826" s="6" t="s">
        <v>249</v>
      </c>
      <c r="G6826" s="6" t="s">
        <v>297</v>
      </c>
      <c r="H6826" s="10">
        <v>46067.0</v>
      </c>
      <c r="I6826" s="12">
        <v>7.0</v>
      </c>
      <c r="J6826" s="6" t="s">
        <v>161</v>
      </c>
    </row>
    <row r="6827" ht="22.5" customHeight="1">
      <c r="A6827" s="6" t="s">
        <v>23635</v>
      </c>
      <c r="B6827" s="6" t="s">
        <v>15313</v>
      </c>
      <c r="C6827" s="10">
        <v>46049.0</v>
      </c>
      <c r="D6827" s="6" t="s">
        <v>312</v>
      </c>
      <c r="E6827" s="6" t="s">
        <v>863</v>
      </c>
      <c r="F6827" s="6" t="s">
        <v>439</v>
      </c>
      <c r="G6827" s="6" t="s">
        <v>297</v>
      </c>
      <c r="H6827" s="10">
        <v>46049.0</v>
      </c>
      <c r="I6827" s="12">
        <v>4.0</v>
      </c>
      <c r="J6827" s="6" t="s">
        <v>161</v>
      </c>
    </row>
    <row r="6828" ht="22.5" customHeight="1">
      <c r="A6828" s="6" t="s">
        <v>23636</v>
      </c>
      <c r="B6828" s="6" t="s">
        <v>15313</v>
      </c>
      <c r="C6828" s="10">
        <v>46059.0</v>
      </c>
      <c r="D6828" s="6" t="s">
        <v>416</v>
      </c>
      <c r="E6828" s="6" t="s">
        <v>2365</v>
      </c>
      <c r="F6828" s="6" t="s">
        <v>283</v>
      </c>
      <c r="G6828" s="6" t="s">
        <v>326</v>
      </c>
      <c r="H6828" s="10">
        <v>46065.0</v>
      </c>
      <c r="I6828" s="12">
        <v>9.0</v>
      </c>
      <c r="J6828" s="6" t="s">
        <v>161</v>
      </c>
    </row>
    <row r="6829" ht="22.5" customHeight="1">
      <c r="A6829" s="6" t="s">
        <v>23637</v>
      </c>
      <c r="B6829" s="6" t="s">
        <v>15313</v>
      </c>
      <c r="C6829" s="10">
        <v>46040.0</v>
      </c>
      <c r="D6829" s="6" t="s">
        <v>312</v>
      </c>
      <c r="E6829" s="6" t="s">
        <v>2365</v>
      </c>
      <c r="F6829" s="6" t="s">
        <v>112</v>
      </c>
      <c r="G6829" s="6" t="s">
        <v>452</v>
      </c>
      <c r="H6829" s="10">
        <v>46044.0</v>
      </c>
      <c r="I6829" s="12">
        <v>6.0</v>
      </c>
      <c r="J6829" s="6" t="s">
        <v>161</v>
      </c>
    </row>
    <row r="6830" ht="22.5" customHeight="1">
      <c r="A6830" s="6" t="s">
        <v>23638</v>
      </c>
      <c r="B6830" s="6" t="s">
        <v>15313</v>
      </c>
      <c r="C6830" s="10">
        <v>46047.0</v>
      </c>
      <c r="D6830" s="6" t="s">
        <v>677</v>
      </c>
      <c r="E6830" s="6" t="s">
        <v>775</v>
      </c>
      <c r="F6830" s="6" t="s">
        <v>439</v>
      </c>
      <c r="G6830" s="6" t="s">
        <v>452</v>
      </c>
      <c r="H6830" s="10">
        <v>46053.0</v>
      </c>
      <c r="I6830" s="12">
        <v>4.0</v>
      </c>
      <c r="J6830" s="6" t="s">
        <v>161</v>
      </c>
    </row>
    <row r="6831" ht="22.5" customHeight="1">
      <c r="A6831" s="6" t="s">
        <v>23639</v>
      </c>
      <c r="B6831" s="6" t="s">
        <v>15320</v>
      </c>
      <c r="C6831" s="10">
        <v>46070.0</v>
      </c>
      <c r="D6831" s="6" t="s">
        <v>677</v>
      </c>
      <c r="E6831" s="6" t="s">
        <v>1700</v>
      </c>
      <c r="F6831" s="6" t="s">
        <v>249</v>
      </c>
      <c r="G6831" s="6" t="s">
        <v>369</v>
      </c>
      <c r="H6831" s="10">
        <v>46072.0</v>
      </c>
      <c r="I6831" s="12">
        <v>4.0</v>
      </c>
      <c r="J6831" s="6" t="s">
        <v>161</v>
      </c>
    </row>
    <row r="6832" ht="22.5" customHeight="1">
      <c r="A6832" s="6" t="s">
        <v>23640</v>
      </c>
      <c r="B6832" s="6" t="s">
        <v>15320</v>
      </c>
      <c r="C6832" s="10">
        <v>46070.0</v>
      </c>
      <c r="D6832" s="6" t="s">
        <v>436</v>
      </c>
      <c r="E6832" s="6" t="s">
        <v>610</v>
      </c>
      <c r="F6832" s="6" t="s">
        <v>249</v>
      </c>
      <c r="G6832" s="6" t="s">
        <v>369</v>
      </c>
      <c r="H6832" s="10">
        <v>46074.0</v>
      </c>
      <c r="I6832" s="12">
        <v>9.0</v>
      </c>
      <c r="J6832" s="6" t="s">
        <v>178</v>
      </c>
    </row>
    <row r="6833" ht="22.5" customHeight="1">
      <c r="A6833" s="6" t="s">
        <v>23641</v>
      </c>
      <c r="B6833" s="6" t="s">
        <v>15320</v>
      </c>
      <c r="C6833" s="10">
        <v>46073.0</v>
      </c>
      <c r="D6833" s="6" t="s">
        <v>312</v>
      </c>
      <c r="E6833" s="6" t="s">
        <v>1280</v>
      </c>
      <c r="F6833" s="6" t="s">
        <v>112</v>
      </c>
      <c r="G6833" s="6" t="s">
        <v>477</v>
      </c>
      <c r="H6833" s="11" t="s">
        <v>259</v>
      </c>
      <c r="I6833" s="12">
        <v>4.0</v>
      </c>
      <c r="J6833" s="6" t="s">
        <v>161</v>
      </c>
    </row>
    <row r="6834" ht="22.5" customHeight="1">
      <c r="A6834" s="6" t="s">
        <v>23642</v>
      </c>
      <c r="B6834" s="6" t="s">
        <v>15320</v>
      </c>
      <c r="C6834" s="10">
        <v>46083.0</v>
      </c>
      <c r="D6834" s="6" t="s">
        <v>242</v>
      </c>
      <c r="E6834" s="6" t="s">
        <v>291</v>
      </c>
      <c r="F6834" s="6" t="s">
        <v>439</v>
      </c>
      <c r="G6834" s="6" t="s">
        <v>326</v>
      </c>
      <c r="H6834" s="10">
        <v>46083.0</v>
      </c>
      <c r="I6834" s="12">
        <v>6.0</v>
      </c>
      <c r="J6834" s="6" t="s">
        <v>178</v>
      </c>
    </row>
    <row r="6835" ht="22.5" customHeight="1">
      <c r="A6835" s="6" t="s">
        <v>23643</v>
      </c>
      <c r="B6835" s="6" t="s">
        <v>15320</v>
      </c>
      <c r="C6835" s="10">
        <v>46077.0</v>
      </c>
      <c r="D6835" s="6" t="s">
        <v>242</v>
      </c>
      <c r="E6835" s="6" t="s">
        <v>863</v>
      </c>
      <c r="F6835" s="6" t="s">
        <v>112</v>
      </c>
      <c r="G6835" s="6" t="s">
        <v>458</v>
      </c>
      <c r="H6835" s="10">
        <v>46080.0</v>
      </c>
      <c r="I6835" s="12">
        <v>6.0</v>
      </c>
      <c r="J6835" s="6" t="s">
        <v>178</v>
      </c>
    </row>
    <row r="6836" ht="22.5" customHeight="1">
      <c r="A6836" s="6" t="s">
        <v>23644</v>
      </c>
      <c r="B6836" s="6" t="s">
        <v>15327</v>
      </c>
      <c r="C6836" s="10">
        <v>46054.0</v>
      </c>
      <c r="D6836" s="6" t="s">
        <v>312</v>
      </c>
      <c r="E6836" s="6" t="s">
        <v>1720</v>
      </c>
      <c r="F6836" s="6" t="s">
        <v>112</v>
      </c>
      <c r="G6836" s="6" t="s">
        <v>477</v>
      </c>
      <c r="H6836" s="10">
        <v>46058.0</v>
      </c>
      <c r="I6836" s="12">
        <v>7.0</v>
      </c>
      <c r="J6836" s="6" t="s">
        <v>161</v>
      </c>
    </row>
    <row r="6837" ht="22.5" customHeight="1">
      <c r="A6837" s="6" t="s">
        <v>23645</v>
      </c>
      <c r="B6837" s="6" t="s">
        <v>15327</v>
      </c>
      <c r="C6837" s="10">
        <v>46055.0</v>
      </c>
      <c r="D6837" s="6" t="s">
        <v>416</v>
      </c>
      <c r="E6837" s="6" t="s">
        <v>2881</v>
      </c>
      <c r="F6837" s="6" t="s">
        <v>249</v>
      </c>
      <c r="G6837" s="6" t="s">
        <v>494</v>
      </c>
      <c r="H6837" s="10">
        <v>46060.0</v>
      </c>
      <c r="I6837" s="12">
        <v>11.0</v>
      </c>
      <c r="J6837" s="6" t="s">
        <v>161</v>
      </c>
    </row>
    <row r="6838" ht="22.5" customHeight="1">
      <c r="A6838" s="6" t="s">
        <v>23646</v>
      </c>
      <c r="B6838" s="6" t="s">
        <v>15334</v>
      </c>
      <c r="C6838" s="10">
        <v>46059.0</v>
      </c>
      <c r="D6838" s="6" t="s">
        <v>416</v>
      </c>
      <c r="E6838" s="6" t="s">
        <v>1700</v>
      </c>
      <c r="F6838" s="6" t="s">
        <v>283</v>
      </c>
      <c r="G6838" s="6" t="s">
        <v>458</v>
      </c>
      <c r="H6838" s="10">
        <v>46063.0</v>
      </c>
      <c r="I6838" s="12">
        <v>8.0</v>
      </c>
      <c r="J6838" s="6" t="s">
        <v>161</v>
      </c>
    </row>
    <row r="6839" ht="22.5" customHeight="1">
      <c r="A6839" s="6" t="s">
        <v>23647</v>
      </c>
      <c r="B6839" s="6" t="s">
        <v>15334</v>
      </c>
      <c r="C6839" s="10">
        <v>46060.0</v>
      </c>
      <c r="D6839" s="6" t="s">
        <v>289</v>
      </c>
      <c r="E6839" s="6" t="s">
        <v>246</v>
      </c>
      <c r="F6839" s="6" t="s">
        <v>439</v>
      </c>
      <c r="G6839" s="6" t="s">
        <v>254</v>
      </c>
      <c r="H6839" s="10">
        <v>46065.0</v>
      </c>
      <c r="I6839" s="12">
        <v>7.0</v>
      </c>
      <c r="J6839" s="6" t="s">
        <v>161</v>
      </c>
    </row>
    <row r="6840" ht="22.5" customHeight="1">
      <c r="A6840" s="6" t="s">
        <v>23648</v>
      </c>
      <c r="B6840" s="6" t="s">
        <v>15334</v>
      </c>
      <c r="C6840" s="10">
        <v>46077.0</v>
      </c>
      <c r="D6840" s="6" t="s">
        <v>391</v>
      </c>
      <c r="E6840" s="6" t="s">
        <v>1720</v>
      </c>
      <c r="F6840" s="6" t="s">
        <v>439</v>
      </c>
      <c r="G6840" s="6" t="s">
        <v>369</v>
      </c>
      <c r="H6840" s="10">
        <v>46083.0</v>
      </c>
      <c r="I6840" s="12">
        <v>10.0</v>
      </c>
      <c r="J6840" s="6" t="s">
        <v>161</v>
      </c>
    </row>
    <row r="6841" ht="22.5" customHeight="1">
      <c r="A6841" s="6" t="s">
        <v>23649</v>
      </c>
      <c r="B6841" s="6" t="s">
        <v>15334</v>
      </c>
      <c r="C6841" s="10">
        <v>46060.0</v>
      </c>
      <c r="D6841" s="6" t="s">
        <v>289</v>
      </c>
      <c r="E6841" s="6" t="s">
        <v>1552</v>
      </c>
      <c r="F6841" s="6" t="s">
        <v>112</v>
      </c>
      <c r="G6841" s="6" t="s">
        <v>369</v>
      </c>
      <c r="H6841" s="10">
        <v>46064.0</v>
      </c>
      <c r="I6841" s="12">
        <v>6.0</v>
      </c>
      <c r="J6841" s="6" t="s">
        <v>161</v>
      </c>
    </row>
    <row r="6842" ht="22.5" customHeight="1">
      <c r="A6842" s="6" t="s">
        <v>23650</v>
      </c>
      <c r="B6842" s="6" t="s">
        <v>15340</v>
      </c>
      <c r="C6842" s="10">
        <v>46028.0</v>
      </c>
      <c r="D6842" s="6" t="s">
        <v>391</v>
      </c>
      <c r="E6842" s="6" t="s">
        <v>1035</v>
      </c>
      <c r="F6842" s="6" t="s">
        <v>439</v>
      </c>
      <c r="G6842" s="6" t="s">
        <v>254</v>
      </c>
      <c r="H6842" s="10">
        <v>46029.0</v>
      </c>
      <c r="I6842" s="12">
        <v>9.0</v>
      </c>
      <c r="J6842" s="6" t="s">
        <v>161</v>
      </c>
    </row>
    <row r="6843" ht="22.5" customHeight="1">
      <c r="A6843" s="6" t="s">
        <v>23651</v>
      </c>
      <c r="B6843" s="6" t="s">
        <v>15340</v>
      </c>
      <c r="C6843" s="10">
        <v>46029.0</v>
      </c>
      <c r="D6843" s="6" t="s">
        <v>677</v>
      </c>
      <c r="E6843" s="6" t="s">
        <v>798</v>
      </c>
      <c r="F6843" s="6" t="s">
        <v>112</v>
      </c>
      <c r="G6843" s="6" t="s">
        <v>477</v>
      </c>
      <c r="H6843" s="10">
        <v>46034.0</v>
      </c>
      <c r="I6843" s="12">
        <v>4.0</v>
      </c>
      <c r="J6843" s="6" t="s">
        <v>161</v>
      </c>
    </row>
    <row r="6844" ht="22.5" customHeight="1">
      <c r="A6844" s="6" t="s">
        <v>23652</v>
      </c>
      <c r="B6844" s="6" t="s">
        <v>15340</v>
      </c>
      <c r="C6844" s="10">
        <v>46040.0</v>
      </c>
      <c r="D6844" s="6" t="s">
        <v>436</v>
      </c>
      <c r="E6844" s="6" t="s">
        <v>658</v>
      </c>
      <c r="F6844" s="6" t="s">
        <v>112</v>
      </c>
      <c r="G6844" s="6" t="s">
        <v>452</v>
      </c>
      <c r="H6844" s="11" t="s">
        <v>259</v>
      </c>
      <c r="I6844" s="12">
        <v>9.0</v>
      </c>
      <c r="J6844" s="6" t="s">
        <v>161</v>
      </c>
    </row>
    <row r="6845" ht="22.5" customHeight="1">
      <c r="A6845" s="6" t="s">
        <v>23653</v>
      </c>
      <c r="B6845" s="6" t="s">
        <v>15347</v>
      </c>
      <c r="C6845" s="10">
        <v>46050.0</v>
      </c>
      <c r="D6845" s="6" t="s">
        <v>242</v>
      </c>
      <c r="E6845" s="6" t="s">
        <v>885</v>
      </c>
      <c r="F6845" s="6" t="s">
        <v>439</v>
      </c>
      <c r="G6845" s="6" t="s">
        <v>326</v>
      </c>
      <c r="H6845" s="10">
        <v>46055.0</v>
      </c>
      <c r="I6845" s="12">
        <v>5.0</v>
      </c>
      <c r="J6845" s="6" t="s">
        <v>161</v>
      </c>
    </row>
    <row r="6846" ht="22.5" customHeight="1">
      <c r="A6846" s="6" t="s">
        <v>23654</v>
      </c>
      <c r="B6846" s="6" t="s">
        <v>15347</v>
      </c>
      <c r="C6846" s="10">
        <v>46061.0</v>
      </c>
      <c r="D6846" s="6" t="s">
        <v>289</v>
      </c>
      <c r="E6846" s="6" t="s">
        <v>320</v>
      </c>
      <c r="F6846" s="6" t="s">
        <v>112</v>
      </c>
      <c r="G6846" s="6" t="s">
        <v>477</v>
      </c>
      <c r="H6846" s="10">
        <v>46068.0</v>
      </c>
      <c r="I6846" s="12">
        <v>7.0</v>
      </c>
      <c r="J6846" s="6" t="s">
        <v>161</v>
      </c>
    </row>
    <row r="6847" ht="22.5" customHeight="1">
      <c r="A6847" s="6" t="s">
        <v>23655</v>
      </c>
      <c r="B6847" s="6" t="s">
        <v>15347</v>
      </c>
      <c r="C6847" s="10">
        <v>46065.0</v>
      </c>
      <c r="D6847" s="6" t="s">
        <v>416</v>
      </c>
      <c r="E6847" s="6" t="s">
        <v>566</v>
      </c>
      <c r="F6847" s="6" t="s">
        <v>112</v>
      </c>
      <c r="G6847" s="6" t="s">
        <v>297</v>
      </c>
      <c r="H6847" s="10">
        <v>46071.0</v>
      </c>
      <c r="I6847" s="12">
        <v>14.0</v>
      </c>
      <c r="J6847" s="6" t="s">
        <v>161</v>
      </c>
    </row>
    <row r="6848" ht="22.5" customHeight="1">
      <c r="A6848" s="6" t="s">
        <v>23656</v>
      </c>
      <c r="B6848" s="6" t="s">
        <v>15355</v>
      </c>
      <c r="C6848" s="10">
        <v>46051.0</v>
      </c>
      <c r="D6848" s="6" t="s">
        <v>391</v>
      </c>
      <c r="E6848" s="6" t="s">
        <v>291</v>
      </c>
      <c r="F6848" s="6" t="s">
        <v>249</v>
      </c>
      <c r="G6848" s="6" t="s">
        <v>254</v>
      </c>
      <c r="H6848" s="11" t="s">
        <v>259</v>
      </c>
      <c r="I6848" s="12">
        <v>7.0</v>
      </c>
      <c r="J6848" s="6" t="s">
        <v>161</v>
      </c>
    </row>
    <row r="6849" ht="22.5" customHeight="1">
      <c r="A6849" s="6" t="s">
        <v>23657</v>
      </c>
      <c r="B6849" s="6" t="s">
        <v>15363</v>
      </c>
      <c r="C6849" s="10">
        <v>46076.0</v>
      </c>
      <c r="D6849" s="6" t="s">
        <v>416</v>
      </c>
      <c r="E6849" s="6" t="s">
        <v>1626</v>
      </c>
      <c r="F6849" s="6" t="s">
        <v>112</v>
      </c>
      <c r="G6849" s="6" t="s">
        <v>297</v>
      </c>
      <c r="H6849" s="10">
        <v>46083.0</v>
      </c>
      <c r="I6849" s="12">
        <v>10.0</v>
      </c>
      <c r="J6849" s="6" t="s">
        <v>161</v>
      </c>
    </row>
    <row r="6850" ht="22.5" customHeight="1">
      <c r="A6850" s="6" t="s">
        <v>23658</v>
      </c>
      <c r="B6850" s="6" t="s">
        <v>15363</v>
      </c>
      <c r="C6850" s="10">
        <v>46074.0</v>
      </c>
      <c r="D6850" s="6" t="s">
        <v>677</v>
      </c>
      <c r="E6850" s="6" t="s">
        <v>1720</v>
      </c>
      <c r="F6850" s="6" t="s">
        <v>439</v>
      </c>
      <c r="G6850" s="6" t="s">
        <v>494</v>
      </c>
      <c r="H6850" s="10">
        <v>46079.0</v>
      </c>
      <c r="I6850" s="12">
        <v>4.0</v>
      </c>
      <c r="J6850" s="6" t="s">
        <v>161</v>
      </c>
    </row>
    <row r="6851" ht="22.5" customHeight="1">
      <c r="A6851" s="6" t="s">
        <v>23659</v>
      </c>
      <c r="B6851" s="6" t="s">
        <v>15370</v>
      </c>
      <c r="C6851" s="10">
        <v>46035.0</v>
      </c>
      <c r="D6851" s="6" t="s">
        <v>242</v>
      </c>
      <c r="E6851" s="6" t="s">
        <v>2881</v>
      </c>
      <c r="F6851" s="6" t="s">
        <v>112</v>
      </c>
      <c r="G6851" s="6" t="s">
        <v>297</v>
      </c>
      <c r="H6851" s="10">
        <v>46040.0</v>
      </c>
      <c r="I6851" s="12">
        <v>5.0</v>
      </c>
      <c r="J6851" s="6" t="s">
        <v>178</v>
      </c>
    </row>
    <row r="6852" ht="22.5" customHeight="1">
      <c r="A6852" s="6" t="s">
        <v>23660</v>
      </c>
      <c r="B6852" s="6" t="s">
        <v>15370</v>
      </c>
      <c r="C6852" s="10">
        <v>46024.0</v>
      </c>
      <c r="D6852" s="6" t="s">
        <v>312</v>
      </c>
      <c r="E6852" s="6" t="s">
        <v>2365</v>
      </c>
      <c r="F6852" s="6" t="s">
        <v>439</v>
      </c>
      <c r="G6852" s="6" t="s">
        <v>477</v>
      </c>
      <c r="H6852" s="11" t="s">
        <v>259</v>
      </c>
      <c r="I6852" s="12">
        <v>6.0</v>
      </c>
      <c r="J6852" s="6" t="s">
        <v>161</v>
      </c>
    </row>
    <row r="6853" ht="22.5" customHeight="1">
      <c r="A6853" s="6" t="s">
        <v>23661</v>
      </c>
      <c r="B6853" s="6" t="s">
        <v>15370</v>
      </c>
      <c r="C6853" s="10">
        <v>46036.0</v>
      </c>
      <c r="D6853" s="6" t="s">
        <v>416</v>
      </c>
      <c r="E6853" s="6" t="s">
        <v>1517</v>
      </c>
      <c r="F6853" s="6" t="s">
        <v>249</v>
      </c>
      <c r="G6853" s="6" t="s">
        <v>254</v>
      </c>
      <c r="H6853" s="10">
        <v>46040.0</v>
      </c>
      <c r="I6853" s="12">
        <v>12.0</v>
      </c>
      <c r="J6853" s="6" t="s">
        <v>161</v>
      </c>
    </row>
    <row r="6854" ht="22.5" customHeight="1">
      <c r="A6854" s="6" t="s">
        <v>23662</v>
      </c>
      <c r="B6854" s="6" t="s">
        <v>15378</v>
      </c>
      <c r="C6854" s="10">
        <v>46036.0</v>
      </c>
      <c r="D6854" s="6" t="s">
        <v>436</v>
      </c>
      <c r="E6854" s="6" t="s">
        <v>634</v>
      </c>
      <c r="F6854" s="6" t="s">
        <v>112</v>
      </c>
      <c r="G6854" s="6" t="s">
        <v>326</v>
      </c>
      <c r="H6854" s="10">
        <v>46039.0</v>
      </c>
      <c r="I6854" s="12">
        <v>9.0</v>
      </c>
      <c r="J6854" s="6" t="s">
        <v>178</v>
      </c>
    </row>
    <row r="6855" ht="22.5" customHeight="1">
      <c r="A6855" s="6" t="s">
        <v>23663</v>
      </c>
      <c r="B6855" s="6" t="s">
        <v>15378</v>
      </c>
      <c r="C6855" s="10">
        <v>46035.0</v>
      </c>
      <c r="D6855" s="6" t="s">
        <v>416</v>
      </c>
      <c r="E6855" s="6" t="s">
        <v>291</v>
      </c>
      <c r="F6855" s="6" t="s">
        <v>439</v>
      </c>
      <c r="G6855" s="6" t="s">
        <v>477</v>
      </c>
      <c r="H6855" s="10">
        <v>46041.0</v>
      </c>
      <c r="I6855" s="12">
        <v>9.0</v>
      </c>
      <c r="J6855" s="6" t="s">
        <v>161</v>
      </c>
    </row>
    <row r="6856" ht="22.5" customHeight="1">
      <c r="A6856" s="6" t="s">
        <v>23664</v>
      </c>
      <c r="B6856" s="6" t="s">
        <v>15386</v>
      </c>
      <c r="C6856" s="10">
        <v>46073.0</v>
      </c>
      <c r="D6856" s="6" t="s">
        <v>312</v>
      </c>
      <c r="E6856" s="6" t="s">
        <v>896</v>
      </c>
      <c r="F6856" s="6" t="s">
        <v>439</v>
      </c>
      <c r="G6856" s="6" t="s">
        <v>326</v>
      </c>
      <c r="H6856" s="10">
        <v>46076.0</v>
      </c>
      <c r="I6856" s="12">
        <v>6.0</v>
      </c>
      <c r="J6856" s="6" t="s">
        <v>161</v>
      </c>
    </row>
    <row r="6857" ht="22.5" customHeight="1">
      <c r="A6857" s="6" t="s">
        <v>23665</v>
      </c>
      <c r="B6857" s="6" t="s">
        <v>15386</v>
      </c>
      <c r="C6857" s="10">
        <v>46061.0</v>
      </c>
      <c r="D6857" s="6" t="s">
        <v>677</v>
      </c>
      <c r="E6857" s="6" t="s">
        <v>628</v>
      </c>
      <c r="F6857" s="6" t="s">
        <v>112</v>
      </c>
      <c r="G6857" s="6" t="s">
        <v>369</v>
      </c>
      <c r="H6857" s="10">
        <v>46068.0</v>
      </c>
      <c r="I6857" s="12">
        <v>4.0</v>
      </c>
      <c r="J6857" s="6" t="s">
        <v>161</v>
      </c>
    </row>
    <row r="6858" ht="22.5" customHeight="1">
      <c r="A6858" s="6" t="s">
        <v>23666</v>
      </c>
      <c r="B6858" s="6" t="s">
        <v>15386</v>
      </c>
      <c r="C6858" s="10">
        <v>46065.0</v>
      </c>
      <c r="D6858" s="6" t="s">
        <v>677</v>
      </c>
      <c r="E6858" s="6" t="s">
        <v>1386</v>
      </c>
      <c r="F6858" s="6" t="s">
        <v>283</v>
      </c>
      <c r="G6858" s="6" t="s">
        <v>297</v>
      </c>
      <c r="H6858" s="10">
        <v>46065.0</v>
      </c>
      <c r="I6858" s="12">
        <v>4.0</v>
      </c>
      <c r="J6858" s="6" t="s">
        <v>161</v>
      </c>
    </row>
    <row r="6859" ht="22.5" customHeight="1">
      <c r="A6859" s="6" t="s">
        <v>23667</v>
      </c>
      <c r="B6859" s="6" t="s">
        <v>15393</v>
      </c>
      <c r="C6859" s="10">
        <v>46047.0</v>
      </c>
      <c r="D6859" s="6" t="s">
        <v>289</v>
      </c>
      <c r="E6859" s="6" t="s">
        <v>1149</v>
      </c>
      <c r="F6859" s="6" t="s">
        <v>439</v>
      </c>
      <c r="G6859" s="6" t="s">
        <v>326</v>
      </c>
      <c r="H6859" s="10">
        <v>46052.0</v>
      </c>
      <c r="I6859" s="12">
        <v>9.0</v>
      </c>
      <c r="J6859" s="6" t="s">
        <v>161</v>
      </c>
    </row>
    <row r="6860" ht="22.5" customHeight="1">
      <c r="A6860" s="6" t="s">
        <v>23668</v>
      </c>
      <c r="B6860" s="6" t="s">
        <v>15393</v>
      </c>
      <c r="C6860" s="10">
        <v>46055.0</v>
      </c>
      <c r="D6860" s="6" t="s">
        <v>391</v>
      </c>
      <c r="E6860" s="6" t="s">
        <v>1296</v>
      </c>
      <c r="F6860" s="6" t="s">
        <v>283</v>
      </c>
      <c r="G6860" s="6" t="s">
        <v>452</v>
      </c>
      <c r="H6860" s="10">
        <v>46060.0</v>
      </c>
      <c r="I6860" s="12">
        <v>9.0</v>
      </c>
      <c r="J6860" s="6" t="s">
        <v>161</v>
      </c>
    </row>
    <row r="6861" ht="22.5" customHeight="1">
      <c r="A6861" s="6" t="s">
        <v>23669</v>
      </c>
      <c r="B6861" s="6" t="s">
        <v>15393</v>
      </c>
      <c r="C6861" s="10">
        <v>46057.0</v>
      </c>
      <c r="D6861" s="6" t="s">
        <v>391</v>
      </c>
      <c r="E6861" s="6" t="s">
        <v>1700</v>
      </c>
      <c r="F6861" s="6" t="s">
        <v>283</v>
      </c>
      <c r="G6861" s="6" t="s">
        <v>297</v>
      </c>
      <c r="H6861" s="10">
        <v>46058.0</v>
      </c>
      <c r="I6861" s="12">
        <v>9.0</v>
      </c>
      <c r="J6861" s="6" t="s">
        <v>161</v>
      </c>
    </row>
    <row r="6862" ht="22.5" customHeight="1">
      <c r="A6862" s="6" t="s">
        <v>23670</v>
      </c>
      <c r="B6862" s="6" t="s">
        <v>15393</v>
      </c>
      <c r="C6862" s="10">
        <v>46053.0</v>
      </c>
      <c r="D6862" s="6" t="s">
        <v>391</v>
      </c>
      <c r="E6862" s="6" t="s">
        <v>450</v>
      </c>
      <c r="F6862" s="6" t="s">
        <v>439</v>
      </c>
      <c r="G6862" s="6" t="s">
        <v>326</v>
      </c>
      <c r="H6862" s="10">
        <v>46055.0</v>
      </c>
      <c r="I6862" s="12">
        <v>6.0</v>
      </c>
      <c r="J6862" s="6" t="s">
        <v>161</v>
      </c>
    </row>
    <row r="6863" ht="22.5" customHeight="1">
      <c r="A6863" s="6" t="s">
        <v>23671</v>
      </c>
      <c r="B6863" s="6" t="s">
        <v>15401</v>
      </c>
      <c r="C6863" s="10">
        <v>46067.0</v>
      </c>
      <c r="D6863" s="6" t="s">
        <v>391</v>
      </c>
      <c r="E6863" s="6" t="s">
        <v>1626</v>
      </c>
      <c r="F6863" s="6" t="s">
        <v>439</v>
      </c>
      <c r="G6863" s="6" t="s">
        <v>297</v>
      </c>
      <c r="H6863" s="10">
        <v>46069.0</v>
      </c>
      <c r="I6863" s="12">
        <v>10.0</v>
      </c>
      <c r="J6863" s="6" t="s">
        <v>161</v>
      </c>
    </row>
    <row r="6864" ht="22.5" customHeight="1">
      <c r="A6864" s="6" t="s">
        <v>23672</v>
      </c>
      <c r="B6864" s="6" t="s">
        <v>15409</v>
      </c>
      <c r="C6864" s="10">
        <v>46046.0</v>
      </c>
      <c r="D6864" s="6" t="s">
        <v>289</v>
      </c>
      <c r="E6864" s="6" t="s">
        <v>2365</v>
      </c>
      <c r="F6864" s="6" t="s">
        <v>112</v>
      </c>
      <c r="G6864" s="6" t="s">
        <v>254</v>
      </c>
      <c r="H6864" s="10">
        <v>46046.0</v>
      </c>
      <c r="I6864" s="12">
        <v>10.0</v>
      </c>
      <c r="J6864" s="6" t="s">
        <v>161</v>
      </c>
    </row>
    <row r="6865" ht="22.5" customHeight="1">
      <c r="A6865" s="6" t="s">
        <v>23673</v>
      </c>
      <c r="B6865" s="6" t="s">
        <v>15409</v>
      </c>
      <c r="C6865" s="10">
        <v>46047.0</v>
      </c>
      <c r="D6865" s="6" t="s">
        <v>416</v>
      </c>
      <c r="E6865" s="6" t="s">
        <v>695</v>
      </c>
      <c r="F6865" s="6" t="s">
        <v>112</v>
      </c>
      <c r="G6865" s="6" t="s">
        <v>369</v>
      </c>
      <c r="H6865" s="10">
        <v>46048.0</v>
      </c>
      <c r="I6865" s="12">
        <v>12.0</v>
      </c>
      <c r="J6865" s="6" t="s">
        <v>161</v>
      </c>
    </row>
    <row r="6866" ht="22.5" customHeight="1">
      <c r="A6866" s="6" t="s">
        <v>23674</v>
      </c>
      <c r="B6866" s="6" t="s">
        <v>15409</v>
      </c>
      <c r="C6866" s="10">
        <v>46049.0</v>
      </c>
      <c r="D6866" s="6" t="s">
        <v>436</v>
      </c>
      <c r="E6866" s="6" t="s">
        <v>291</v>
      </c>
      <c r="F6866" s="6" t="s">
        <v>112</v>
      </c>
      <c r="G6866" s="6" t="s">
        <v>297</v>
      </c>
      <c r="H6866" s="10">
        <v>46049.0</v>
      </c>
      <c r="I6866" s="12">
        <v>10.0</v>
      </c>
      <c r="J6866" s="6" t="s">
        <v>178</v>
      </c>
    </row>
    <row r="6867" ht="22.5" customHeight="1">
      <c r="A6867" s="6" t="s">
        <v>23675</v>
      </c>
      <c r="B6867" s="6" t="s">
        <v>15409</v>
      </c>
      <c r="C6867" s="10">
        <v>46051.0</v>
      </c>
      <c r="D6867" s="6" t="s">
        <v>391</v>
      </c>
      <c r="E6867" s="6" t="s">
        <v>1546</v>
      </c>
      <c r="F6867" s="6" t="s">
        <v>439</v>
      </c>
      <c r="G6867" s="6" t="s">
        <v>494</v>
      </c>
      <c r="H6867" s="10">
        <v>46057.0</v>
      </c>
      <c r="I6867" s="12">
        <v>10.0</v>
      </c>
      <c r="J6867" s="6" t="s">
        <v>161</v>
      </c>
    </row>
    <row r="6868" ht="22.5" customHeight="1">
      <c r="A6868" s="6" t="s">
        <v>23676</v>
      </c>
      <c r="B6868" s="6" t="s">
        <v>15416</v>
      </c>
      <c r="C6868" s="10">
        <v>46047.0</v>
      </c>
      <c r="D6868" s="6" t="s">
        <v>436</v>
      </c>
      <c r="E6868" s="6" t="s">
        <v>812</v>
      </c>
      <c r="F6868" s="6" t="s">
        <v>439</v>
      </c>
      <c r="G6868" s="6" t="s">
        <v>477</v>
      </c>
      <c r="H6868" s="10">
        <v>46054.0</v>
      </c>
      <c r="I6868" s="12">
        <v>10.0</v>
      </c>
      <c r="J6868" s="6" t="s">
        <v>178</v>
      </c>
    </row>
    <row r="6869" ht="22.5" customHeight="1">
      <c r="A6869" s="6" t="s">
        <v>23677</v>
      </c>
      <c r="B6869" s="6" t="s">
        <v>15416</v>
      </c>
      <c r="C6869" s="10">
        <v>46037.0</v>
      </c>
      <c r="D6869" s="6" t="s">
        <v>436</v>
      </c>
      <c r="E6869" s="6" t="s">
        <v>1102</v>
      </c>
      <c r="F6869" s="6" t="s">
        <v>112</v>
      </c>
      <c r="G6869" s="6" t="s">
        <v>326</v>
      </c>
      <c r="H6869" s="10">
        <v>46042.0</v>
      </c>
      <c r="I6869" s="12">
        <v>12.0</v>
      </c>
      <c r="J6869" s="6" t="s">
        <v>178</v>
      </c>
    </row>
    <row r="6870" ht="22.5" customHeight="1">
      <c r="A6870" s="6" t="s">
        <v>23678</v>
      </c>
      <c r="B6870" s="6" t="s">
        <v>15416</v>
      </c>
      <c r="C6870" s="10">
        <v>46032.0</v>
      </c>
      <c r="D6870" s="6" t="s">
        <v>677</v>
      </c>
      <c r="E6870" s="6" t="s">
        <v>438</v>
      </c>
      <c r="F6870" s="6" t="s">
        <v>249</v>
      </c>
      <c r="G6870" s="6" t="s">
        <v>254</v>
      </c>
      <c r="H6870" s="10">
        <v>46038.0</v>
      </c>
      <c r="I6870" s="12">
        <v>4.0</v>
      </c>
      <c r="J6870" s="6" t="s">
        <v>161</v>
      </c>
    </row>
    <row r="6871" ht="22.5" customHeight="1">
      <c r="A6871" s="6" t="s">
        <v>23679</v>
      </c>
      <c r="B6871" s="6" t="s">
        <v>15422</v>
      </c>
      <c r="C6871" s="10">
        <v>46041.0</v>
      </c>
      <c r="D6871" s="6" t="s">
        <v>416</v>
      </c>
      <c r="E6871" s="6" t="s">
        <v>695</v>
      </c>
      <c r="F6871" s="6" t="s">
        <v>439</v>
      </c>
      <c r="G6871" s="6" t="s">
        <v>369</v>
      </c>
      <c r="H6871" s="10">
        <v>46043.0</v>
      </c>
      <c r="I6871" s="12">
        <v>10.0</v>
      </c>
      <c r="J6871" s="6" t="s">
        <v>161</v>
      </c>
    </row>
    <row r="6872" ht="22.5" customHeight="1">
      <c r="A6872" s="6" t="s">
        <v>23680</v>
      </c>
      <c r="B6872" s="6" t="s">
        <v>15422</v>
      </c>
      <c r="C6872" s="10">
        <v>46037.0</v>
      </c>
      <c r="D6872" s="6" t="s">
        <v>416</v>
      </c>
      <c r="E6872" s="6" t="s">
        <v>798</v>
      </c>
      <c r="F6872" s="6" t="s">
        <v>439</v>
      </c>
      <c r="G6872" s="6" t="s">
        <v>452</v>
      </c>
      <c r="H6872" s="10">
        <v>46040.0</v>
      </c>
      <c r="I6872" s="12">
        <v>10.0</v>
      </c>
      <c r="J6872" s="6" t="s">
        <v>161</v>
      </c>
    </row>
    <row r="6873" ht="22.5" customHeight="1">
      <c r="A6873" s="6" t="s">
        <v>23681</v>
      </c>
      <c r="B6873" s="6" t="s">
        <v>15422</v>
      </c>
      <c r="C6873" s="10">
        <v>46045.0</v>
      </c>
      <c r="D6873" s="6" t="s">
        <v>677</v>
      </c>
      <c r="E6873" s="6" t="s">
        <v>1517</v>
      </c>
      <c r="F6873" s="6" t="s">
        <v>249</v>
      </c>
      <c r="G6873" s="6" t="s">
        <v>254</v>
      </c>
      <c r="H6873" s="10">
        <v>46046.0</v>
      </c>
      <c r="I6873" s="12">
        <v>4.0</v>
      </c>
      <c r="J6873" s="6" t="s">
        <v>161</v>
      </c>
    </row>
    <row r="6874" ht="22.5" customHeight="1">
      <c r="A6874" s="6" t="s">
        <v>23682</v>
      </c>
      <c r="B6874" s="6" t="s">
        <v>15422</v>
      </c>
      <c r="C6874" s="10">
        <v>46031.0</v>
      </c>
      <c r="D6874" s="6" t="s">
        <v>289</v>
      </c>
      <c r="E6874" s="6" t="s">
        <v>687</v>
      </c>
      <c r="F6874" s="6" t="s">
        <v>439</v>
      </c>
      <c r="G6874" s="6" t="s">
        <v>254</v>
      </c>
      <c r="H6874" s="10">
        <v>46032.0</v>
      </c>
      <c r="I6874" s="12">
        <v>6.0</v>
      </c>
      <c r="J6874" s="6" t="s">
        <v>161</v>
      </c>
    </row>
    <row r="6875" ht="22.5" customHeight="1">
      <c r="A6875" s="6" t="s">
        <v>23683</v>
      </c>
      <c r="B6875" s="6" t="s">
        <v>15422</v>
      </c>
      <c r="C6875" s="10">
        <v>46043.0</v>
      </c>
      <c r="D6875" s="6" t="s">
        <v>289</v>
      </c>
      <c r="E6875" s="6" t="s">
        <v>466</v>
      </c>
      <c r="F6875" s="6" t="s">
        <v>249</v>
      </c>
      <c r="G6875" s="6" t="s">
        <v>477</v>
      </c>
      <c r="H6875" s="10">
        <v>46046.0</v>
      </c>
      <c r="I6875" s="12">
        <v>5.0</v>
      </c>
      <c r="J6875" s="6" t="s">
        <v>161</v>
      </c>
    </row>
    <row r="6876" ht="22.5" customHeight="1">
      <c r="A6876" s="6" t="s">
        <v>23684</v>
      </c>
      <c r="B6876" s="6" t="s">
        <v>15429</v>
      </c>
      <c r="C6876" s="10">
        <v>46036.0</v>
      </c>
      <c r="D6876" s="6" t="s">
        <v>289</v>
      </c>
      <c r="E6876" s="6" t="s">
        <v>394</v>
      </c>
      <c r="F6876" s="6" t="s">
        <v>249</v>
      </c>
      <c r="G6876" s="6" t="s">
        <v>452</v>
      </c>
      <c r="H6876" s="10">
        <v>46043.0</v>
      </c>
      <c r="I6876" s="12">
        <v>7.0</v>
      </c>
      <c r="J6876" s="6" t="s">
        <v>161</v>
      </c>
    </row>
    <row r="6877" ht="22.5" customHeight="1">
      <c r="A6877" s="6" t="s">
        <v>23685</v>
      </c>
      <c r="B6877" s="6" t="s">
        <v>15429</v>
      </c>
      <c r="C6877" s="10">
        <v>46045.0</v>
      </c>
      <c r="D6877" s="6" t="s">
        <v>436</v>
      </c>
      <c r="E6877" s="6" t="s">
        <v>738</v>
      </c>
      <c r="F6877" s="6" t="s">
        <v>283</v>
      </c>
      <c r="G6877" s="6" t="s">
        <v>477</v>
      </c>
      <c r="H6877" s="10">
        <v>46048.0</v>
      </c>
      <c r="I6877" s="12">
        <v>7.0</v>
      </c>
      <c r="J6877" s="6" t="s">
        <v>178</v>
      </c>
    </row>
    <row r="6878" ht="22.5" customHeight="1">
      <c r="A6878" s="6" t="s">
        <v>23686</v>
      </c>
      <c r="B6878" s="6" t="s">
        <v>15429</v>
      </c>
      <c r="C6878" s="10">
        <v>46030.0</v>
      </c>
      <c r="D6878" s="6" t="s">
        <v>312</v>
      </c>
      <c r="E6878" s="6" t="s">
        <v>955</v>
      </c>
      <c r="F6878" s="6" t="s">
        <v>112</v>
      </c>
      <c r="G6878" s="6" t="s">
        <v>494</v>
      </c>
      <c r="H6878" s="10">
        <v>46036.0</v>
      </c>
      <c r="I6878" s="12">
        <v>6.0</v>
      </c>
      <c r="J6878" s="6" t="s">
        <v>161</v>
      </c>
    </row>
    <row r="6879" ht="22.5" customHeight="1">
      <c r="A6879" s="6" t="s">
        <v>23687</v>
      </c>
      <c r="B6879" s="6" t="s">
        <v>15429</v>
      </c>
      <c r="C6879" s="10">
        <v>46038.0</v>
      </c>
      <c r="D6879" s="6" t="s">
        <v>416</v>
      </c>
      <c r="E6879" s="6" t="s">
        <v>1386</v>
      </c>
      <c r="F6879" s="6" t="s">
        <v>112</v>
      </c>
      <c r="G6879" s="6" t="s">
        <v>452</v>
      </c>
      <c r="H6879" s="10">
        <v>46043.0</v>
      </c>
      <c r="I6879" s="12">
        <v>14.0</v>
      </c>
      <c r="J6879" s="6" t="s">
        <v>161</v>
      </c>
    </row>
    <row r="6880" ht="22.5" customHeight="1">
      <c r="A6880" s="6" t="s">
        <v>23688</v>
      </c>
      <c r="B6880" s="6" t="s">
        <v>15436</v>
      </c>
      <c r="C6880" s="10">
        <v>46082.0</v>
      </c>
      <c r="D6880" s="6" t="s">
        <v>391</v>
      </c>
      <c r="E6880" s="6" t="s">
        <v>687</v>
      </c>
      <c r="F6880" s="6" t="s">
        <v>439</v>
      </c>
      <c r="G6880" s="6" t="s">
        <v>452</v>
      </c>
      <c r="H6880" s="10">
        <v>46088.0</v>
      </c>
      <c r="I6880" s="12">
        <v>10.0</v>
      </c>
      <c r="J6880" s="6" t="s">
        <v>161</v>
      </c>
    </row>
    <row r="6881" ht="22.5" customHeight="1">
      <c r="A6881" s="6" t="s">
        <v>23689</v>
      </c>
      <c r="B6881" s="6" t="s">
        <v>15436</v>
      </c>
      <c r="C6881" s="10">
        <v>46069.0</v>
      </c>
      <c r="D6881" s="6" t="s">
        <v>289</v>
      </c>
      <c r="E6881" s="6" t="s">
        <v>512</v>
      </c>
      <c r="F6881" s="6" t="s">
        <v>439</v>
      </c>
      <c r="G6881" s="6" t="s">
        <v>452</v>
      </c>
      <c r="H6881" s="10">
        <v>46069.0</v>
      </c>
      <c r="I6881" s="12">
        <v>7.0</v>
      </c>
      <c r="J6881" s="6" t="s">
        <v>161</v>
      </c>
    </row>
    <row r="6882" ht="22.5" customHeight="1">
      <c r="A6882" s="6" t="s">
        <v>23690</v>
      </c>
      <c r="B6882" s="6" t="s">
        <v>15442</v>
      </c>
      <c r="C6882" s="10">
        <v>46065.0</v>
      </c>
      <c r="D6882" s="6" t="s">
        <v>436</v>
      </c>
      <c r="E6882" s="6" t="s">
        <v>687</v>
      </c>
      <c r="F6882" s="6" t="s">
        <v>249</v>
      </c>
      <c r="G6882" s="6" t="s">
        <v>458</v>
      </c>
      <c r="H6882" s="10">
        <v>46071.0</v>
      </c>
      <c r="I6882" s="12">
        <v>12.0</v>
      </c>
      <c r="J6882" s="6" t="s">
        <v>161</v>
      </c>
    </row>
    <row r="6883" ht="22.5" customHeight="1">
      <c r="A6883" s="6" t="s">
        <v>23691</v>
      </c>
      <c r="B6883" s="6" t="s">
        <v>15442</v>
      </c>
      <c r="C6883" s="10">
        <v>46079.0</v>
      </c>
      <c r="D6883" s="6" t="s">
        <v>312</v>
      </c>
      <c r="E6883" s="6" t="s">
        <v>291</v>
      </c>
      <c r="F6883" s="6" t="s">
        <v>112</v>
      </c>
      <c r="G6883" s="6" t="s">
        <v>458</v>
      </c>
      <c r="H6883" s="10">
        <v>46086.0</v>
      </c>
      <c r="I6883" s="12">
        <v>4.0</v>
      </c>
      <c r="J6883" s="6" t="s">
        <v>161</v>
      </c>
    </row>
    <row r="6884" ht="22.5" customHeight="1">
      <c r="A6884" s="6" t="s">
        <v>23692</v>
      </c>
      <c r="B6884" s="6" t="s">
        <v>15442</v>
      </c>
      <c r="C6884" s="10">
        <v>46072.0</v>
      </c>
      <c r="D6884" s="6" t="s">
        <v>391</v>
      </c>
      <c r="E6884" s="6" t="s">
        <v>1035</v>
      </c>
      <c r="F6884" s="6" t="s">
        <v>439</v>
      </c>
      <c r="G6884" s="6" t="s">
        <v>458</v>
      </c>
      <c r="H6884" s="10">
        <v>46076.0</v>
      </c>
      <c r="I6884" s="12">
        <v>6.0</v>
      </c>
      <c r="J6884" s="6" t="s">
        <v>161</v>
      </c>
    </row>
    <row r="6885" ht="22.5" customHeight="1">
      <c r="A6885" s="6" t="s">
        <v>23693</v>
      </c>
      <c r="B6885" s="6" t="s">
        <v>15442</v>
      </c>
      <c r="C6885" s="10">
        <v>46073.0</v>
      </c>
      <c r="D6885" s="6" t="s">
        <v>312</v>
      </c>
      <c r="E6885" s="6" t="s">
        <v>731</v>
      </c>
      <c r="F6885" s="6" t="s">
        <v>249</v>
      </c>
      <c r="G6885" s="6" t="s">
        <v>326</v>
      </c>
      <c r="H6885" s="10">
        <v>46075.0</v>
      </c>
      <c r="I6885" s="12">
        <v>4.0</v>
      </c>
      <c r="J6885" s="6" t="s">
        <v>161</v>
      </c>
    </row>
    <row r="6886" ht="22.5" customHeight="1">
      <c r="A6886" s="6" t="s">
        <v>23694</v>
      </c>
      <c r="B6886" s="6" t="s">
        <v>15449</v>
      </c>
      <c r="C6886" s="10">
        <v>46048.0</v>
      </c>
      <c r="D6886" s="6" t="s">
        <v>312</v>
      </c>
      <c r="E6886" s="6" t="s">
        <v>634</v>
      </c>
      <c r="F6886" s="6" t="s">
        <v>249</v>
      </c>
      <c r="G6886" s="6" t="s">
        <v>297</v>
      </c>
      <c r="H6886" s="10">
        <v>46048.0</v>
      </c>
      <c r="I6886" s="12">
        <v>5.0</v>
      </c>
      <c r="J6886" s="6" t="s">
        <v>161</v>
      </c>
    </row>
    <row r="6887" ht="22.5" customHeight="1">
      <c r="A6887" s="6" t="s">
        <v>23695</v>
      </c>
      <c r="B6887" s="6" t="s">
        <v>15449</v>
      </c>
      <c r="C6887" s="10">
        <v>46054.0</v>
      </c>
      <c r="D6887" s="6" t="s">
        <v>436</v>
      </c>
      <c r="E6887" s="6" t="s">
        <v>704</v>
      </c>
      <c r="F6887" s="6" t="s">
        <v>439</v>
      </c>
      <c r="G6887" s="6" t="s">
        <v>477</v>
      </c>
      <c r="H6887" s="10">
        <v>46057.0</v>
      </c>
      <c r="I6887" s="12">
        <v>6.0</v>
      </c>
      <c r="J6887" s="6" t="s">
        <v>178</v>
      </c>
    </row>
    <row r="6888" ht="22.5" customHeight="1">
      <c r="A6888" s="6" t="s">
        <v>23696</v>
      </c>
      <c r="B6888" s="6" t="s">
        <v>15449</v>
      </c>
      <c r="C6888" s="10">
        <v>46059.0</v>
      </c>
      <c r="D6888" s="6" t="s">
        <v>242</v>
      </c>
      <c r="E6888" s="6" t="s">
        <v>2365</v>
      </c>
      <c r="F6888" s="6" t="s">
        <v>439</v>
      </c>
      <c r="G6888" s="6" t="s">
        <v>254</v>
      </c>
      <c r="H6888" s="10">
        <v>46062.0</v>
      </c>
      <c r="I6888" s="12">
        <v>6.0</v>
      </c>
      <c r="J6888" s="6" t="s">
        <v>178</v>
      </c>
    </row>
    <row r="6889" ht="22.5" customHeight="1">
      <c r="A6889" s="6" t="s">
        <v>23697</v>
      </c>
      <c r="B6889" s="6" t="s">
        <v>15457</v>
      </c>
      <c r="C6889" s="10">
        <v>46060.0</v>
      </c>
      <c r="D6889" s="6" t="s">
        <v>391</v>
      </c>
      <c r="E6889" s="6" t="s">
        <v>716</v>
      </c>
      <c r="F6889" s="6" t="s">
        <v>249</v>
      </c>
      <c r="G6889" s="6" t="s">
        <v>477</v>
      </c>
      <c r="H6889" s="10">
        <v>46060.0</v>
      </c>
      <c r="I6889" s="12">
        <v>10.0</v>
      </c>
      <c r="J6889" s="6" t="s">
        <v>161</v>
      </c>
    </row>
    <row r="6890" ht="22.5" customHeight="1">
      <c r="A6890" s="6" t="s">
        <v>23698</v>
      </c>
      <c r="B6890" s="6" t="s">
        <v>15457</v>
      </c>
      <c r="C6890" s="10">
        <v>46072.0</v>
      </c>
      <c r="D6890" s="6" t="s">
        <v>289</v>
      </c>
      <c r="E6890" s="6" t="s">
        <v>246</v>
      </c>
      <c r="F6890" s="6" t="s">
        <v>112</v>
      </c>
      <c r="G6890" s="6" t="s">
        <v>369</v>
      </c>
      <c r="H6890" s="10">
        <v>46077.0</v>
      </c>
      <c r="I6890" s="12">
        <v>6.0</v>
      </c>
      <c r="J6890" s="6" t="s">
        <v>161</v>
      </c>
    </row>
    <row r="6891" ht="22.5" customHeight="1">
      <c r="A6891" s="6" t="s">
        <v>23699</v>
      </c>
      <c r="B6891" s="6" t="s">
        <v>15457</v>
      </c>
      <c r="C6891" s="10">
        <v>46070.0</v>
      </c>
      <c r="D6891" s="6" t="s">
        <v>312</v>
      </c>
      <c r="E6891" s="6" t="s">
        <v>812</v>
      </c>
      <c r="F6891" s="6" t="s">
        <v>112</v>
      </c>
      <c r="G6891" s="6" t="s">
        <v>369</v>
      </c>
      <c r="H6891" s="11" t="s">
        <v>259</v>
      </c>
      <c r="I6891" s="12">
        <v>6.0</v>
      </c>
      <c r="J6891" s="6" t="s">
        <v>161</v>
      </c>
    </row>
    <row r="6892" ht="22.5" customHeight="1">
      <c r="A6892" s="6" t="s">
        <v>23700</v>
      </c>
      <c r="B6892" s="6" t="s">
        <v>15457</v>
      </c>
      <c r="C6892" s="10">
        <v>46052.0</v>
      </c>
      <c r="D6892" s="6" t="s">
        <v>242</v>
      </c>
      <c r="E6892" s="6" t="s">
        <v>1102</v>
      </c>
      <c r="F6892" s="6" t="s">
        <v>439</v>
      </c>
      <c r="G6892" s="6" t="s">
        <v>494</v>
      </c>
      <c r="H6892" s="10">
        <v>46057.0</v>
      </c>
      <c r="I6892" s="12">
        <v>5.0</v>
      </c>
      <c r="J6892" s="6" t="s">
        <v>161</v>
      </c>
    </row>
    <row r="6893" ht="22.5" customHeight="1">
      <c r="A6893" s="6" t="s">
        <v>23701</v>
      </c>
      <c r="B6893" s="6" t="s">
        <v>15464</v>
      </c>
      <c r="C6893" s="10">
        <v>46052.0</v>
      </c>
      <c r="D6893" s="6" t="s">
        <v>391</v>
      </c>
      <c r="E6893" s="6" t="s">
        <v>896</v>
      </c>
      <c r="F6893" s="6" t="s">
        <v>283</v>
      </c>
      <c r="G6893" s="6" t="s">
        <v>477</v>
      </c>
      <c r="H6893" s="10">
        <v>46057.0</v>
      </c>
      <c r="I6893" s="12">
        <v>7.0</v>
      </c>
      <c r="J6893" s="6" t="s">
        <v>161</v>
      </c>
    </row>
    <row r="6894" ht="22.5" customHeight="1">
      <c r="A6894" s="6" t="s">
        <v>23702</v>
      </c>
      <c r="B6894" s="6" t="s">
        <v>15471</v>
      </c>
      <c r="C6894" s="10">
        <v>46074.0</v>
      </c>
      <c r="D6894" s="6" t="s">
        <v>436</v>
      </c>
      <c r="E6894" s="6" t="s">
        <v>1517</v>
      </c>
      <c r="F6894" s="6" t="s">
        <v>283</v>
      </c>
      <c r="G6894" s="6" t="s">
        <v>494</v>
      </c>
      <c r="H6894" s="10">
        <v>46079.0</v>
      </c>
      <c r="I6894" s="12">
        <v>7.0</v>
      </c>
      <c r="J6894" s="6" t="s">
        <v>178</v>
      </c>
    </row>
    <row r="6895" ht="22.5" customHeight="1">
      <c r="A6895" s="6" t="s">
        <v>23703</v>
      </c>
      <c r="B6895" s="6" t="s">
        <v>15471</v>
      </c>
      <c r="C6895" s="10">
        <v>46080.0</v>
      </c>
      <c r="D6895" s="6" t="s">
        <v>436</v>
      </c>
      <c r="E6895" s="6" t="s">
        <v>438</v>
      </c>
      <c r="F6895" s="6" t="s">
        <v>283</v>
      </c>
      <c r="G6895" s="6" t="s">
        <v>254</v>
      </c>
      <c r="H6895" s="10">
        <v>46081.0</v>
      </c>
      <c r="I6895" s="12">
        <v>10.0</v>
      </c>
      <c r="J6895" s="6" t="s">
        <v>178</v>
      </c>
    </row>
    <row r="6896" ht="22.5" customHeight="1">
      <c r="A6896" s="6" t="s">
        <v>23704</v>
      </c>
      <c r="B6896" s="6" t="s">
        <v>15478</v>
      </c>
      <c r="C6896" s="10">
        <v>46041.0</v>
      </c>
      <c r="D6896" s="6" t="s">
        <v>436</v>
      </c>
      <c r="E6896" s="6" t="s">
        <v>670</v>
      </c>
      <c r="F6896" s="6" t="s">
        <v>249</v>
      </c>
      <c r="G6896" s="6" t="s">
        <v>254</v>
      </c>
      <c r="H6896" s="10">
        <v>46042.0</v>
      </c>
      <c r="I6896" s="12">
        <v>7.0</v>
      </c>
      <c r="J6896" s="6" t="s">
        <v>178</v>
      </c>
    </row>
    <row r="6897" ht="22.5" customHeight="1">
      <c r="A6897" s="6" t="s">
        <v>23705</v>
      </c>
      <c r="B6897" s="6" t="s">
        <v>15484</v>
      </c>
      <c r="C6897" s="10">
        <v>46052.0</v>
      </c>
      <c r="D6897" s="6" t="s">
        <v>677</v>
      </c>
      <c r="E6897" s="6" t="s">
        <v>450</v>
      </c>
      <c r="F6897" s="6" t="s">
        <v>249</v>
      </c>
      <c r="G6897" s="6" t="s">
        <v>369</v>
      </c>
      <c r="H6897" s="10">
        <v>46052.0</v>
      </c>
      <c r="I6897" s="12">
        <v>2.0</v>
      </c>
      <c r="J6897" s="6" t="s">
        <v>161</v>
      </c>
    </row>
    <row r="6898" ht="22.5" customHeight="1">
      <c r="A6898" s="6" t="s">
        <v>23706</v>
      </c>
      <c r="B6898" s="6" t="s">
        <v>15491</v>
      </c>
      <c r="C6898" s="10">
        <v>46049.0</v>
      </c>
      <c r="D6898" s="6" t="s">
        <v>677</v>
      </c>
      <c r="E6898" s="6" t="s">
        <v>618</v>
      </c>
      <c r="F6898" s="6" t="s">
        <v>112</v>
      </c>
      <c r="G6898" s="6" t="s">
        <v>458</v>
      </c>
      <c r="H6898" s="10">
        <v>46052.0</v>
      </c>
      <c r="I6898" s="12">
        <v>4.0</v>
      </c>
      <c r="J6898" s="6" t="s">
        <v>161</v>
      </c>
    </row>
    <row r="6899" ht="22.5" customHeight="1">
      <c r="A6899" s="6" t="s">
        <v>23707</v>
      </c>
      <c r="B6899" s="6" t="s">
        <v>15491</v>
      </c>
      <c r="C6899" s="10">
        <v>46040.0</v>
      </c>
      <c r="D6899" s="6" t="s">
        <v>391</v>
      </c>
      <c r="E6899" s="6" t="s">
        <v>2881</v>
      </c>
      <c r="F6899" s="6" t="s">
        <v>112</v>
      </c>
      <c r="G6899" s="6" t="s">
        <v>477</v>
      </c>
      <c r="H6899" s="10">
        <v>46045.0</v>
      </c>
      <c r="I6899" s="12">
        <v>10.0</v>
      </c>
      <c r="J6899" s="6" t="s">
        <v>161</v>
      </c>
    </row>
    <row r="6900" ht="22.5" customHeight="1">
      <c r="A6900" s="6" t="s">
        <v>23708</v>
      </c>
      <c r="B6900" s="6" t="s">
        <v>15491</v>
      </c>
      <c r="C6900" s="10">
        <v>46041.0</v>
      </c>
      <c r="D6900" s="6" t="s">
        <v>242</v>
      </c>
      <c r="E6900" s="6" t="s">
        <v>1546</v>
      </c>
      <c r="F6900" s="6" t="s">
        <v>283</v>
      </c>
      <c r="G6900" s="6" t="s">
        <v>254</v>
      </c>
      <c r="H6900" s="11" t="s">
        <v>259</v>
      </c>
      <c r="I6900" s="12">
        <v>4.0</v>
      </c>
      <c r="J6900" s="6" t="s">
        <v>178</v>
      </c>
    </row>
    <row r="6901" ht="22.5" customHeight="1">
      <c r="A6901" s="6" t="s">
        <v>23709</v>
      </c>
      <c r="B6901" s="6" t="s">
        <v>15491</v>
      </c>
      <c r="C6901" s="10">
        <v>46040.0</v>
      </c>
      <c r="D6901" s="6" t="s">
        <v>416</v>
      </c>
      <c r="E6901" s="6" t="s">
        <v>2365</v>
      </c>
      <c r="F6901" s="6" t="s">
        <v>112</v>
      </c>
      <c r="G6901" s="6" t="s">
        <v>494</v>
      </c>
      <c r="H6901" s="10">
        <v>46047.0</v>
      </c>
      <c r="I6901" s="12">
        <v>12.0</v>
      </c>
      <c r="J6901" s="6" t="s">
        <v>161</v>
      </c>
    </row>
    <row r="6902" ht="22.5" customHeight="1">
      <c r="A6902" s="6" t="s">
        <v>23710</v>
      </c>
      <c r="B6902" s="6" t="s">
        <v>15496</v>
      </c>
      <c r="C6902" s="10">
        <v>46051.0</v>
      </c>
      <c r="D6902" s="6" t="s">
        <v>312</v>
      </c>
      <c r="E6902" s="6" t="s">
        <v>394</v>
      </c>
      <c r="F6902" s="6" t="s">
        <v>439</v>
      </c>
      <c r="G6902" s="6" t="s">
        <v>494</v>
      </c>
      <c r="H6902" s="10">
        <v>46055.0</v>
      </c>
      <c r="I6902" s="12">
        <v>4.0</v>
      </c>
      <c r="J6902" s="6" t="s">
        <v>161</v>
      </c>
    </row>
    <row r="6903" ht="22.5" customHeight="1">
      <c r="A6903" s="6" t="s">
        <v>23711</v>
      </c>
      <c r="B6903" s="6" t="s">
        <v>15496</v>
      </c>
      <c r="C6903" s="10">
        <v>46054.0</v>
      </c>
      <c r="D6903" s="6" t="s">
        <v>391</v>
      </c>
      <c r="E6903" s="6" t="s">
        <v>955</v>
      </c>
      <c r="F6903" s="6" t="s">
        <v>249</v>
      </c>
      <c r="G6903" s="6" t="s">
        <v>254</v>
      </c>
      <c r="H6903" s="10">
        <v>46057.0</v>
      </c>
      <c r="I6903" s="12">
        <v>6.0</v>
      </c>
      <c r="J6903" s="6" t="s">
        <v>161</v>
      </c>
    </row>
    <row r="6904" ht="22.5" customHeight="1">
      <c r="A6904" s="6" t="s">
        <v>23712</v>
      </c>
      <c r="B6904" s="6" t="s">
        <v>15496</v>
      </c>
      <c r="C6904" s="10">
        <v>46066.0</v>
      </c>
      <c r="D6904" s="6" t="s">
        <v>677</v>
      </c>
      <c r="E6904" s="6" t="s">
        <v>291</v>
      </c>
      <c r="F6904" s="6" t="s">
        <v>439</v>
      </c>
      <c r="G6904" s="6" t="s">
        <v>477</v>
      </c>
      <c r="H6904" s="11" t="s">
        <v>259</v>
      </c>
      <c r="I6904" s="12">
        <v>3.0</v>
      </c>
      <c r="J6904" s="6" t="s">
        <v>161</v>
      </c>
    </row>
    <row r="6905" ht="22.5" customHeight="1">
      <c r="A6905" s="6" t="s">
        <v>23713</v>
      </c>
      <c r="B6905" s="6" t="s">
        <v>15502</v>
      </c>
      <c r="C6905" s="10">
        <v>46062.0</v>
      </c>
      <c r="D6905" s="6" t="s">
        <v>436</v>
      </c>
      <c r="E6905" s="6" t="s">
        <v>628</v>
      </c>
      <c r="F6905" s="6" t="s">
        <v>283</v>
      </c>
      <c r="G6905" s="6" t="s">
        <v>452</v>
      </c>
      <c r="H6905" s="10">
        <v>46062.0</v>
      </c>
      <c r="I6905" s="12">
        <v>11.0</v>
      </c>
      <c r="J6905" s="6" t="s">
        <v>178</v>
      </c>
    </row>
    <row r="6906" ht="22.5" customHeight="1">
      <c r="A6906" s="6" t="s">
        <v>23714</v>
      </c>
      <c r="B6906" s="6" t="s">
        <v>15508</v>
      </c>
      <c r="C6906" s="10">
        <v>46051.0</v>
      </c>
      <c r="D6906" s="6" t="s">
        <v>677</v>
      </c>
      <c r="E6906" s="6" t="s">
        <v>731</v>
      </c>
      <c r="F6906" s="6" t="s">
        <v>439</v>
      </c>
      <c r="G6906" s="6" t="s">
        <v>494</v>
      </c>
      <c r="H6906" s="10">
        <v>46055.0</v>
      </c>
      <c r="I6906" s="12">
        <v>4.0</v>
      </c>
      <c r="J6906" s="6" t="s">
        <v>161</v>
      </c>
    </row>
    <row r="6907" ht="22.5" customHeight="1">
      <c r="A6907" s="6" t="s">
        <v>23715</v>
      </c>
      <c r="B6907" s="6" t="s">
        <v>15508</v>
      </c>
      <c r="C6907" s="10">
        <v>46060.0</v>
      </c>
      <c r="D6907" s="6" t="s">
        <v>436</v>
      </c>
      <c r="E6907" s="6" t="s">
        <v>1626</v>
      </c>
      <c r="F6907" s="6" t="s">
        <v>439</v>
      </c>
      <c r="G6907" s="6" t="s">
        <v>452</v>
      </c>
      <c r="H6907" s="10">
        <v>46067.0</v>
      </c>
      <c r="I6907" s="12">
        <v>6.0</v>
      </c>
      <c r="J6907" s="6" t="s">
        <v>178</v>
      </c>
    </row>
    <row r="6908" ht="22.5" customHeight="1">
      <c r="A6908" s="6" t="s">
        <v>23716</v>
      </c>
      <c r="B6908" s="6" t="s">
        <v>15508</v>
      </c>
      <c r="C6908" s="10">
        <v>46062.0</v>
      </c>
      <c r="D6908" s="6" t="s">
        <v>416</v>
      </c>
      <c r="E6908" s="6" t="s">
        <v>775</v>
      </c>
      <c r="F6908" s="6" t="s">
        <v>439</v>
      </c>
      <c r="G6908" s="6" t="s">
        <v>254</v>
      </c>
      <c r="H6908" s="10">
        <v>46068.0</v>
      </c>
      <c r="I6908" s="12">
        <v>8.0</v>
      </c>
      <c r="J6908" s="6" t="s">
        <v>161</v>
      </c>
    </row>
    <row r="6909" ht="22.5" customHeight="1">
      <c r="A6909" s="6" t="s">
        <v>23717</v>
      </c>
      <c r="B6909" s="6" t="s">
        <v>15508</v>
      </c>
      <c r="C6909" s="10">
        <v>46061.0</v>
      </c>
      <c r="D6909" s="6" t="s">
        <v>391</v>
      </c>
      <c r="E6909" s="6" t="s">
        <v>1570</v>
      </c>
      <c r="F6909" s="6" t="s">
        <v>283</v>
      </c>
      <c r="G6909" s="6" t="s">
        <v>254</v>
      </c>
      <c r="H6909" s="10">
        <v>46067.0</v>
      </c>
      <c r="I6909" s="12">
        <v>9.0</v>
      </c>
      <c r="J6909" s="6" t="s">
        <v>161</v>
      </c>
    </row>
    <row r="6910" ht="22.5" customHeight="1">
      <c r="A6910" s="6" t="s">
        <v>23718</v>
      </c>
      <c r="B6910" s="6" t="s">
        <v>15515</v>
      </c>
      <c r="C6910" s="10">
        <v>46063.0</v>
      </c>
      <c r="D6910" s="6" t="s">
        <v>391</v>
      </c>
      <c r="E6910" s="6" t="s">
        <v>1280</v>
      </c>
      <c r="F6910" s="6" t="s">
        <v>112</v>
      </c>
      <c r="G6910" s="6" t="s">
        <v>477</v>
      </c>
      <c r="H6910" s="10">
        <v>46069.0</v>
      </c>
      <c r="I6910" s="12">
        <v>9.0</v>
      </c>
      <c r="J6910" s="6" t="s">
        <v>161</v>
      </c>
    </row>
    <row r="6911" ht="22.5" customHeight="1">
      <c r="A6911" s="6" t="s">
        <v>23719</v>
      </c>
      <c r="B6911" s="6" t="s">
        <v>15515</v>
      </c>
      <c r="C6911" s="10">
        <v>46055.0</v>
      </c>
      <c r="D6911" s="6" t="s">
        <v>677</v>
      </c>
      <c r="E6911" s="6" t="s">
        <v>1055</v>
      </c>
      <c r="F6911" s="6" t="s">
        <v>112</v>
      </c>
      <c r="G6911" s="6" t="s">
        <v>254</v>
      </c>
      <c r="H6911" s="10">
        <v>46062.0</v>
      </c>
      <c r="I6911" s="12">
        <v>3.0</v>
      </c>
      <c r="J6911" s="6" t="s">
        <v>161</v>
      </c>
    </row>
    <row r="6912" ht="22.5" customHeight="1">
      <c r="A6912" s="6" t="s">
        <v>23720</v>
      </c>
      <c r="B6912" s="6" t="s">
        <v>15515</v>
      </c>
      <c r="C6912" s="10">
        <v>46055.0</v>
      </c>
      <c r="D6912" s="6" t="s">
        <v>677</v>
      </c>
      <c r="E6912" s="6" t="s">
        <v>1122</v>
      </c>
      <c r="F6912" s="6" t="s">
        <v>112</v>
      </c>
      <c r="G6912" s="6" t="s">
        <v>254</v>
      </c>
      <c r="H6912" s="10">
        <v>46056.0</v>
      </c>
      <c r="I6912" s="12">
        <v>4.0</v>
      </c>
      <c r="J6912" s="6" t="s">
        <v>161</v>
      </c>
    </row>
    <row r="6913" ht="22.5" customHeight="1">
      <c r="A6913" s="6" t="s">
        <v>23721</v>
      </c>
      <c r="B6913" s="6" t="s">
        <v>15515</v>
      </c>
      <c r="C6913" s="10">
        <v>46071.0</v>
      </c>
      <c r="D6913" s="6" t="s">
        <v>436</v>
      </c>
      <c r="E6913" s="6" t="s">
        <v>716</v>
      </c>
      <c r="F6913" s="6" t="s">
        <v>439</v>
      </c>
      <c r="G6913" s="6" t="s">
        <v>458</v>
      </c>
      <c r="H6913" s="11" t="s">
        <v>259</v>
      </c>
      <c r="I6913" s="12">
        <v>8.0</v>
      </c>
      <c r="J6913" s="6" t="s">
        <v>178</v>
      </c>
    </row>
    <row r="6914" ht="22.5" customHeight="1">
      <c r="A6914" s="6" t="s">
        <v>23722</v>
      </c>
      <c r="B6914" s="6" t="s">
        <v>15522</v>
      </c>
      <c r="C6914" s="10">
        <v>46072.0</v>
      </c>
      <c r="D6914" s="6" t="s">
        <v>436</v>
      </c>
      <c r="E6914" s="6" t="s">
        <v>1149</v>
      </c>
      <c r="F6914" s="6" t="s">
        <v>439</v>
      </c>
      <c r="G6914" s="6" t="s">
        <v>254</v>
      </c>
      <c r="H6914" s="10">
        <v>46079.0</v>
      </c>
      <c r="I6914" s="12">
        <v>9.0</v>
      </c>
      <c r="J6914" s="6" t="s">
        <v>178</v>
      </c>
    </row>
    <row r="6915" ht="22.5" customHeight="1">
      <c r="A6915" s="6" t="s">
        <v>23723</v>
      </c>
      <c r="B6915" s="6" t="s">
        <v>15522</v>
      </c>
      <c r="C6915" s="10">
        <v>46074.0</v>
      </c>
      <c r="D6915" s="6" t="s">
        <v>391</v>
      </c>
      <c r="E6915" s="6" t="s">
        <v>618</v>
      </c>
      <c r="F6915" s="6" t="s">
        <v>249</v>
      </c>
      <c r="G6915" s="6" t="s">
        <v>452</v>
      </c>
      <c r="H6915" s="10">
        <v>46077.0</v>
      </c>
      <c r="I6915" s="12">
        <v>7.0</v>
      </c>
      <c r="J6915" s="6" t="s">
        <v>161</v>
      </c>
    </row>
    <row r="6916" ht="22.5" customHeight="1">
      <c r="A6916" s="6" t="s">
        <v>23724</v>
      </c>
      <c r="B6916" s="6" t="s">
        <v>15522</v>
      </c>
      <c r="C6916" s="10">
        <v>46076.0</v>
      </c>
      <c r="D6916" s="6" t="s">
        <v>312</v>
      </c>
      <c r="E6916" s="6" t="s">
        <v>438</v>
      </c>
      <c r="F6916" s="6" t="s">
        <v>283</v>
      </c>
      <c r="G6916" s="6" t="s">
        <v>452</v>
      </c>
      <c r="H6916" s="10">
        <v>46080.0</v>
      </c>
      <c r="I6916" s="12">
        <v>7.0</v>
      </c>
      <c r="J6916" s="6" t="s">
        <v>161</v>
      </c>
    </row>
    <row r="6917" ht="22.5" customHeight="1">
      <c r="A6917" s="6" t="s">
        <v>23725</v>
      </c>
      <c r="B6917" s="6" t="s">
        <v>15528</v>
      </c>
      <c r="C6917" s="10">
        <v>46069.0</v>
      </c>
      <c r="D6917" s="6" t="s">
        <v>416</v>
      </c>
      <c r="E6917" s="6" t="s">
        <v>670</v>
      </c>
      <c r="F6917" s="6" t="s">
        <v>249</v>
      </c>
      <c r="G6917" s="6" t="s">
        <v>297</v>
      </c>
      <c r="H6917" s="10">
        <v>46072.0</v>
      </c>
      <c r="I6917" s="12">
        <v>8.0</v>
      </c>
      <c r="J6917" s="6" t="s">
        <v>161</v>
      </c>
    </row>
    <row r="6918" ht="22.5" customHeight="1">
      <c r="A6918" s="6" t="s">
        <v>23726</v>
      </c>
      <c r="B6918" s="6" t="s">
        <v>15528</v>
      </c>
      <c r="C6918" s="10">
        <v>46062.0</v>
      </c>
      <c r="D6918" s="6" t="s">
        <v>289</v>
      </c>
      <c r="E6918" s="6" t="s">
        <v>1600</v>
      </c>
      <c r="F6918" s="6" t="s">
        <v>439</v>
      </c>
      <c r="G6918" s="6" t="s">
        <v>254</v>
      </c>
      <c r="H6918" s="11" t="s">
        <v>259</v>
      </c>
      <c r="I6918" s="12">
        <v>6.0</v>
      </c>
      <c r="J6918" s="6" t="s">
        <v>161</v>
      </c>
    </row>
    <row r="6919" ht="22.5" customHeight="1">
      <c r="A6919" s="6" t="s">
        <v>23727</v>
      </c>
      <c r="B6919" s="6" t="s">
        <v>15528</v>
      </c>
      <c r="C6919" s="10">
        <v>46070.0</v>
      </c>
      <c r="D6919" s="6" t="s">
        <v>436</v>
      </c>
      <c r="E6919" s="6" t="s">
        <v>291</v>
      </c>
      <c r="F6919" s="6" t="s">
        <v>112</v>
      </c>
      <c r="G6919" s="6" t="s">
        <v>477</v>
      </c>
      <c r="H6919" s="10">
        <v>46070.0</v>
      </c>
      <c r="I6919" s="12">
        <v>8.0</v>
      </c>
      <c r="J6919" s="6" t="s">
        <v>178</v>
      </c>
    </row>
    <row r="6920" ht="22.5" customHeight="1">
      <c r="A6920" s="6" t="s">
        <v>23728</v>
      </c>
      <c r="B6920" s="6" t="s">
        <v>15528</v>
      </c>
      <c r="C6920" s="10">
        <v>46055.0</v>
      </c>
      <c r="D6920" s="6" t="s">
        <v>242</v>
      </c>
      <c r="E6920" s="6" t="s">
        <v>2881</v>
      </c>
      <c r="F6920" s="6" t="s">
        <v>112</v>
      </c>
      <c r="G6920" s="6" t="s">
        <v>297</v>
      </c>
      <c r="H6920" s="10">
        <v>46059.0</v>
      </c>
      <c r="I6920" s="12">
        <v>5.0</v>
      </c>
      <c r="J6920" s="6" t="s">
        <v>178</v>
      </c>
    </row>
    <row r="6921" ht="22.5" customHeight="1">
      <c r="A6921" s="6" t="s">
        <v>23729</v>
      </c>
      <c r="B6921" s="6" t="s">
        <v>15528</v>
      </c>
      <c r="C6921" s="10">
        <v>46060.0</v>
      </c>
      <c r="D6921" s="6" t="s">
        <v>312</v>
      </c>
      <c r="E6921" s="6" t="s">
        <v>1626</v>
      </c>
      <c r="F6921" s="6" t="s">
        <v>249</v>
      </c>
      <c r="G6921" s="6" t="s">
        <v>477</v>
      </c>
      <c r="H6921" s="10">
        <v>46062.0</v>
      </c>
      <c r="I6921" s="12">
        <v>4.0</v>
      </c>
      <c r="J6921" s="6" t="s">
        <v>161</v>
      </c>
    </row>
    <row r="6922" ht="22.5" customHeight="1">
      <c r="A6922" s="6" t="s">
        <v>23730</v>
      </c>
      <c r="B6922" s="6" t="s">
        <v>15533</v>
      </c>
      <c r="C6922" s="10">
        <v>46053.0</v>
      </c>
      <c r="D6922" s="6" t="s">
        <v>289</v>
      </c>
      <c r="E6922" s="6" t="s">
        <v>450</v>
      </c>
      <c r="F6922" s="6" t="s">
        <v>249</v>
      </c>
      <c r="G6922" s="6" t="s">
        <v>458</v>
      </c>
      <c r="H6922" s="10">
        <v>46057.0</v>
      </c>
      <c r="I6922" s="12">
        <v>10.0</v>
      </c>
      <c r="J6922" s="6" t="s">
        <v>161</v>
      </c>
    </row>
    <row r="6923" ht="22.5" customHeight="1">
      <c r="A6923" s="6" t="s">
        <v>23731</v>
      </c>
      <c r="B6923" s="6" t="s">
        <v>15533</v>
      </c>
      <c r="C6923" s="10">
        <v>46064.0</v>
      </c>
      <c r="D6923" s="6" t="s">
        <v>436</v>
      </c>
      <c r="E6923" s="6" t="s">
        <v>1102</v>
      </c>
      <c r="F6923" s="6" t="s">
        <v>439</v>
      </c>
      <c r="G6923" s="6" t="s">
        <v>326</v>
      </c>
      <c r="H6923" s="10">
        <v>46068.0</v>
      </c>
      <c r="I6923" s="12">
        <v>12.0</v>
      </c>
      <c r="J6923" s="6" t="s">
        <v>161</v>
      </c>
    </row>
    <row r="6924" ht="22.5" customHeight="1">
      <c r="A6924" s="6" t="s">
        <v>23732</v>
      </c>
      <c r="B6924" s="6" t="s">
        <v>15533</v>
      </c>
      <c r="C6924" s="10">
        <v>46050.0</v>
      </c>
      <c r="D6924" s="6" t="s">
        <v>416</v>
      </c>
      <c r="E6924" s="6" t="s">
        <v>618</v>
      </c>
      <c r="F6924" s="6" t="s">
        <v>249</v>
      </c>
      <c r="G6924" s="6" t="s">
        <v>458</v>
      </c>
      <c r="H6924" s="10">
        <v>46055.0</v>
      </c>
      <c r="I6924" s="12">
        <v>10.0</v>
      </c>
      <c r="J6924" s="6" t="s">
        <v>161</v>
      </c>
    </row>
    <row r="6925" ht="22.5" customHeight="1">
      <c r="A6925" s="6" t="s">
        <v>23733</v>
      </c>
      <c r="B6925" s="6" t="s">
        <v>15541</v>
      </c>
      <c r="C6925" s="10">
        <v>46063.0</v>
      </c>
      <c r="D6925" s="6" t="s">
        <v>312</v>
      </c>
      <c r="E6925" s="6" t="s">
        <v>634</v>
      </c>
      <c r="F6925" s="6" t="s">
        <v>249</v>
      </c>
      <c r="G6925" s="6" t="s">
        <v>369</v>
      </c>
      <c r="H6925" s="10">
        <v>46068.0</v>
      </c>
      <c r="I6925" s="12">
        <v>6.0</v>
      </c>
      <c r="J6925" s="6" t="s">
        <v>161</v>
      </c>
    </row>
    <row r="6926" ht="22.5" customHeight="1">
      <c r="A6926" s="6" t="s">
        <v>23734</v>
      </c>
      <c r="B6926" s="6" t="s">
        <v>15541</v>
      </c>
      <c r="C6926" s="10">
        <v>46071.0</v>
      </c>
      <c r="D6926" s="6" t="s">
        <v>677</v>
      </c>
      <c r="E6926" s="6" t="s">
        <v>417</v>
      </c>
      <c r="F6926" s="6" t="s">
        <v>439</v>
      </c>
      <c r="G6926" s="6" t="s">
        <v>494</v>
      </c>
      <c r="H6926" s="10">
        <v>46071.0</v>
      </c>
      <c r="I6926" s="12">
        <v>4.0</v>
      </c>
      <c r="J6926" s="6" t="s">
        <v>161</v>
      </c>
    </row>
    <row r="6927" ht="22.5" customHeight="1">
      <c r="A6927" s="6" t="s">
        <v>23735</v>
      </c>
      <c r="B6927" s="6" t="s">
        <v>15541</v>
      </c>
      <c r="C6927" s="10">
        <v>46073.0</v>
      </c>
      <c r="D6927" s="6" t="s">
        <v>312</v>
      </c>
      <c r="E6927" s="6" t="s">
        <v>896</v>
      </c>
      <c r="F6927" s="6" t="s">
        <v>112</v>
      </c>
      <c r="G6927" s="6" t="s">
        <v>452</v>
      </c>
      <c r="H6927" s="10">
        <v>46077.0</v>
      </c>
      <c r="I6927" s="12">
        <v>7.0</v>
      </c>
      <c r="J6927" s="6" t="s">
        <v>161</v>
      </c>
    </row>
    <row r="6928" ht="22.5" customHeight="1">
      <c r="A6928" s="6" t="s">
        <v>23736</v>
      </c>
      <c r="B6928" s="6" t="s">
        <v>15541</v>
      </c>
      <c r="C6928" s="10">
        <v>46060.0</v>
      </c>
      <c r="D6928" s="6" t="s">
        <v>416</v>
      </c>
      <c r="E6928" s="6" t="s">
        <v>1296</v>
      </c>
      <c r="F6928" s="6" t="s">
        <v>112</v>
      </c>
      <c r="G6928" s="6" t="s">
        <v>369</v>
      </c>
      <c r="H6928" s="10">
        <v>46062.0</v>
      </c>
      <c r="I6928" s="12">
        <v>9.0</v>
      </c>
      <c r="J6928" s="6" t="s">
        <v>161</v>
      </c>
    </row>
    <row r="6929" ht="22.5" customHeight="1">
      <c r="A6929" s="6" t="s">
        <v>23737</v>
      </c>
      <c r="B6929" s="6" t="s">
        <v>15549</v>
      </c>
      <c r="C6929" s="10">
        <v>46067.0</v>
      </c>
      <c r="D6929" s="6" t="s">
        <v>242</v>
      </c>
      <c r="E6929" s="6" t="s">
        <v>885</v>
      </c>
      <c r="F6929" s="6" t="s">
        <v>283</v>
      </c>
      <c r="G6929" s="6" t="s">
        <v>477</v>
      </c>
      <c r="H6929" s="11" t="s">
        <v>259</v>
      </c>
      <c r="I6929" s="12">
        <v>6.0</v>
      </c>
      <c r="J6929" s="6" t="s">
        <v>161</v>
      </c>
    </row>
    <row r="6930" ht="22.5" customHeight="1">
      <c r="A6930" s="6" t="s">
        <v>23738</v>
      </c>
      <c r="B6930" s="6" t="s">
        <v>15556</v>
      </c>
      <c r="C6930" s="10">
        <v>46077.0</v>
      </c>
      <c r="D6930" s="6" t="s">
        <v>436</v>
      </c>
      <c r="E6930" s="6" t="s">
        <v>896</v>
      </c>
      <c r="F6930" s="6" t="s">
        <v>283</v>
      </c>
      <c r="G6930" s="6" t="s">
        <v>452</v>
      </c>
      <c r="H6930" s="10">
        <v>46080.0</v>
      </c>
      <c r="I6930" s="12">
        <v>6.0</v>
      </c>
      <c r="J6930" s="6" t="s">
        <v>178</v>
      </c>
    </row>
    <row r="6931" ht="22.5" customHeight="1">
      <c r="A6931" s="6" t="s">
        <v>23739</v>
      </c>
      <c r="B6931" s="6" t="s">
        <v>15556</v>
      </c>
      <c r="C6931" s="10">
        <v>46065.0</v>
      </c>
      <c r="D6931" s="6" t="s">
        <v>677</v>
      </c>
      <c r="E6931" s="6" t="s">
        <v>1546</v>
      </c>
      <c r="F6931" s="6" t="s">
        <v>283</v>
      </c>
      <c r="G6931" s="6" t="s">
        <v>369</v>
      </c>
      <c r="H6931" s="10">
        <v>46069.0</v>
      </c>
      <c r="I6931" s="12">
        <v>2.0</v>
      </c>
      <c r="J6931" s="6" t="s">
        <v>161</v>
      </c>
    </row>
    <row r="6932" ht="22.5" customHeight="1">
      <c r="A6932" s="6" t="s">
        <v>23740</v>
      </c>
      <c r="B6932" s="6" t="s">
        <v>15556</v>
      </c>
      <c r="C6932" s="10">
        <v>46072.0</v>
      </c>
      <c r="D6932" s="6" t="s">
        <v>391</v>
      </c>
      <c r="E6932" s="6" t="s">
        <v>1122</v>
      </c>
      <c r="F6932" s="6" t="s">
        <v>283</v>
      </c>
      <c r="G6932" s="6" t="s">
        <v>369</v>
      </c>
      <c r="H6932" s="10">
        <v>46073.0</v>
      </c>
      <c r="I6932" s="12">
        <v>7.0</v>
      </c>
      <c r="J6932" s="6" t="s">
        <v>161</v>
      </c>
    </row>
    <row r="6933" ht="22.5" customHeight="1">
      <c r="A6933" s="6" t="s">
        <v>23741</v>
      </c>
      <c r="B6933" s="6" t="s">
        <v>15564</v>
      </c>
      <c r="C6933" s="10">
        <v>46049.0</v>
      </c>
      <c r="D6933" s="6" t="s">
        <v>416</v>
      </c>
      <c r="E6933" s="6" t="s">
        <v>1700</v>
      </c>
      <c r="F6933" s="6" t="s">
        <v>439</v>
      </c>
      <c r="G6933" s="6" t="s">
        <v>326</v>
      </c>
      <c r="H6933" s="10">
        <v>46051.0</v>
      </c>
      <c r="I6933" s="12">
        <v>13.0</v>
      </c>
      <c r="J6933" s="6" t="s">
        <v>161</v>
      </c>
    </row>
    <row r="6934" ht="22.5" customHeight="1">
      <c r="A6934" s="6" t="s">
        <v>23742</v>
      </c>
      <c r="B6934" s="6" t="s">
        <v>15564</v>
      </c>
      <c r="C6934" s="10">
        <v>46039.0</v>
      </c>
      <c r="D6934" s="6" t="s">
        <v>312</v>
      </c>
      <c r="E6934" s="6" t="s">
        <v>695</v>
      </c>
      <c r="F6934" s="6" t="s">
        <v>249</v>
      </c>
      <c r="G6934" s="6" t="s">
        <v>254</v>
      </c>
      <c r="H6934" s="10">
        <v>46046.0</v>
      </c>
      <c r="I6934" s="12">
        <v>6.0</v>
      </c>
      <c r="J6934" s="6" t="s">
        <v>161</v>
      </c>
    </row>
    <row r="6935" ht="22.5" customHeight="1">
      <c r="A6935" s="6" t="s">
        <v>23743</v>
      </c>
      <c r="B6935" s="6" t="s">
        <v>15564</v>
      </c>
      <c r="C6935" s="10">
        <v>46039.0</v>
      </c>
      <c r="D6935" s="6" t="s">
        <v>436</v>
      </c>
      <c r="E6935" s="6" t="s">
        <v>1035</v>
      </c>
      <c r="F6935" s="6" t="s">
        <v>112</v>
      </c>
      <c r="G6935" s="6" t="s">
        <v>494</v>
      </c>
      <c r="H6935" s="10">
        <v>46039.0</v>
      </c>
      <c r="I6935" s="12">
        <v>9.0</v>
      </c>
      <c r="J6935" s="6" t="s">
        <v>178</v>
      </c>
    </row>
    <row r="6936" ht="22.5" customHeight="1">
      <c r="A6936" s="6" t="s">
        <v>23744</v>
      </c>
      <c r="B6936" s="6" t="s">
        <v>15564</v>
      </c>
      <c r="C6936" s="10">
        <v>46043.0</v>
      </c>
      <c r="D6936" s="6" t="s">
        <v>242</v>
      </c>
      <c r="E6936" s="6" t="s">
        <v>1070</v>
      </c>
      <c r="F6936" s="6" t="s">
        <v>439</v>
      </c>
      <c r="G6936" s="6" t="s">
        <v>458</v>
      </c>
      <c r="H6936" s="10">
        <v>46043.0</v>
      </c>
      <c r="I6936" s="12">
        <v>3.0</v>
      </c>
      <c r="J6936" s="6" t="s">
        <v>178</v>
      </c>
    </row>
    <row r="6937" ht="22.5" customHeight="1">
      <c r="A6937" s="6" t="s">
        <v>23745</v>
      </c>
      <c r="B6937" s="6" t="s">
        <v>15564</v>
      </c>
      <c r="C6937" s="10">
        <v>46051.0</v>
      </c>
      <c r="D6937" s="6" t="s">
        <v>677</v>
      </c>
      <c r="E6937" s="6" t="s">
        <v>1570</v>
      </c>
      <c r="F6937" s="6" t="s">
        <v>439</v>
      </c>
      <c r="G6937" s="6" t="s">
        <v>494</v>
      </c>
      <c r="H6937" s="10">
        <v>46056.0</v>
      </c>
      <c r="I6937" s="12">
        <v>2.0</v>
      </c>
      <c r="J6937" s="6" t="s">
        <v>161</v>
      </c>
    </row>
    <row r="6938" ht="22.5" customHeight="1">
      <c r="A6938" s="6" t="s">
        <v>23746</v>
      </c>
      <c r="B6938" s="6" t="s">
        <v>15571</v>
      </c>
      <c r="C6938" s="10">
        <v>46039.0</v>
      </c>
      <c r="D6938" s="6" t="s">
        <v>436</v>
      </c>
      <c r="E6938" s="6" t="s">
        <v>1296</v>
      </c>
      <c r="F6938" s="6" t="s">
        <v>283</v>
      </c>
      <c r="G6938" s="6" t="s">
        <v>477</v>
      </c>
      <c r="H6938" s="10">
        <v>46043.0</v>
      </c>
      <c r="I6938" s="12">
        <v>12.0</v>
      </c>
      <c r="J6938" s="6" t="s">
        <v>161</v>
      </c>
    </row>
    <row r="6939" ht="22.5" customHeight="1">
      <c r="A6939" s="6" t="s">
        <v>23747</v>
      </c>
      <c r="B6939" s="6" t="s">
        <v>15579</v>
      </c>
      <c r="C6939" s="10">
        <v>46058.0</v>
      </c>
      <c r="D6939" s="6" t="s">
        <v>312</v>
      </c>
      <c r="E6939" s="6" t="s">
        <v>1296</v>
      </c>
      <c r="F6939" s="6" t="s">
        <v>249</v>
      </c>
      <c r="G6939" s="6" t="s">
        <v>494</v>
      </c>
      <c r="H6939" s="10">
        <v>46061.0</v>
      </c>
      <c r="I6939" s="12">
        <v>6.0</v>
      </c>
      <c r="J6939" s="6" t="s">
        <v>161</v>
      </c>
    </row>
    <row r="6940" ht="22.5" customHeight="1">
      <c r="A6940" s="6" t="s">
        <v>23748</v>
      </c>
      <c r="B6940" s="6" t="s">
        <v>15579</v>
      </c>
      <c r="C6940" s="10">
        <v>46058.0</v>
      </c>
      <c r="D6940" s="6" t="s">
        <v>312</v>
      </c>
      <c r="E6940" s="6" t="s">
        <v>1546</v>
      </c>
      <c r="F6940" s="6" t="s">
        <v>112</v>
      </c>
      <c r="G6940" s="6" t="s">
        <v>477</v>
      </c>
      <c r="H6940" s="10">
        <v>46059.0</v>
      </c>
      <c r="I6940" s="12">
        <v>5.0</v>
      </c>
      <c r="J6940" s="6" t="s">
        <v>161</v>
      </c>
    </row>
    <row r="6941" ht="22.5" customHeight="1">
      <c r="A6941" s="6" t="s">
        <v>23749</v>
      </c>
      <c r="B6941" s="6" t="s">
        <v>15579</v>
      </c>
      <c r="C6941" s="10">
        <v>46061.0</v>
      </c>
      <c r="D6941" s="6" t="s">
        <v>391</v>
      </c>
      <c r="E6941" s="6" t="s">
        <v>1296</v>
      </c>
      <c r="F6941" s="6" t="s">
        <v>112</v>
      </c>
      <c r="G6941" s="6" t="s">
        <v>254</v>
      </c>
      <c r="H6941" s="10">
        <v>46062.0</v>
      </c>
      <c r="I6941" s="12">
        <v>6.0</v>
      </c>
      <c r="J6941" s="6" t="s">
        <v>161</v>
      </c>
    </row>
    <row r="6942" ht="22.5" customHeight="1">
      <c r="A6942" s="6" t="s">
        <v>23750</v>
      </c>
      <c r="B6942" s="6" t="s">
        <v>15579</v>
      </c>
      <c r="C6942" s="10">
        <v>46062.0</v>
      </c>
      <c r="D6942" s="6" t="s">
        <v>416</v>
      </c>
      <c r="E6942" s="6" t="s">
        <v>1700</v>
      </c>
      <c r="F6942" s="6" t="s">
        <v>112</v>
      </c>
      <c r="G6942" s="6" t="s">
        <v>326</v>
      </c>
      <c r="H6942" s="10">
        <v>46066.0</v>
      </c>
      <c r="I6942" s="12">
        <v>13.0</v>
      </c>
      <c r="J6942" s="6" t="s">
        <v>161</v>
      </c>
    </row>
    <row r="6943" ht="22.5" customHeight="1">
      <c r="A6943" s="6" t="s">
        <v>23751</v>
      </c>
      <c r="B6943" s="6" t="s">
        <v>15579</v>
      </c>
      <c r="C6943" s="10">
        <v>46067.0</v>
      </c>
      <c r="D6943" s="6" t="s">
        <v>242</v>
      </c>
      <c r="E6943" s="6" t="s">
        <v>798</v>
      </c>
      <c r="F6943" s="6" t="s">
        <v>249</v>
      </c>
      <c r="G6943" s="6" t="s">
        <v>326</v>
      </c>
      <c r="H6943" s="10">
        <v>46074.0</v>
      </c>
      <c r="I6943" s="12">
        <v>4.0</v>
      </c>
      <c r="J6943" s="6" t="s">
        <v>178</v>
      </c>
    </row>
    <row r="6944" ht="22.5" customHeight="1">
      <c r="A6944" s="6" t="s">
        <v>23752</v>
      </c>
      <c r="B6944" s="6" t="s">
        <v>15587</v>
      </c>
      <c r="C6944" s="10">
        <v>46076.0</v>
      </c>
      <c r="D6944" s="6" t="s">
        <v>677</v>
      </c>
      <c r="E6944" s="6" t="s">
        <v>1122</v>
      </c>
      <c r="F6944" s="6" t="s">
        <v>439</v>
      </c>
      <c r="G6944" s="6" t="s">
        <v>477</v>
      </c>
      <c r="H6944" s="10">
        <v>46077.0</v>
      </c>
      <c r="I6944" s="12">
        <v>4.0</v>
      </c>
      <c r="J6944" s="6" t="s">
        <v>161</v>
      </c>
    </row>
    <row r="6945" ht="22.5" customHeight="1">
      <c r="A6945" s="6" t="s">
        <v>23753</v>
      </c>
      <c r="B6945" s="6" t="s">
        <v>15587</v>
      </c>
      <c r="C6945" s="10">
        <v>46085.0</v>
      </c>
      <c r="D6945" s="6" t="s">
        <v>242</v>
      </c>
      <c r="E6945" s="6" t="s">
        <v>670</v>
      </c>
      <c r="F6945" s="6" t="s">
        <v>439</v>
      </c>
      <c r="G6945" s="6" t="s">
        <v>326</v>
      </c>
      <c r="H6945" s="10">
        <v>46090.0</v>
      </c>
      <c r="I6945" s="12">
        <v>3.0</v>
      </c>
      <c r="J6945" s="6" t="s">
        <v>161</v>
      </c>
    </row>
    <row r="6946" ht="22.5" customHeight="1">
      <c r="A6946" s="6" t="s">
        <v>23754</v>
      </c>
      <c r="B6946" s="6" t="s">
        <v>15587</v>
      </c>
      <c r="C6946" s="10">
        <v>46071.0</v>
      </c>
      <c r="D6946" s="6" t="s">
        <v>677</v>
      </c>
      <c r="E6946" s="6" t="s">
        <v>1273</v>
      </c>
      <c r="F6946" s="6" t="s">
        <v>439</v>
      </c>
      <c r="G6946" s="6" t="s">
        <v>494</v>
      </c>
      <c r="H6946" s="10">
        <v>46078.0</v>
      </c>
      <c r="I6946" s="12">
        <v>2.0</v>
      </c>
      <c r="J6946" s="6" t="s">
        <v>161</v>
      </c>
    </row>
    <row r="6947" ht="22.5" customHeight="1">
      <c r="A6947" s="6" t="s">
        <v>23755</v>
      </c>
      <c r="B6947" s="6" t="s">
        <v>15587</v>
      </c>
      <c r="C6947" s="10">
        <v>46076.0</v>
      </c>
      <c r="D6947" s="6" t="s">
        <v>289</v>
      </c>
      <c r="E6947" s="6" t="s">
        <v>438</v>
      </c>
      <c r="F6947" s="6" t="s">
        <v>112</v>
      </c>
      <c r="G6947" s="6" t="s">
        <v>326</v>
      </c>
      <c r="H6947" s="10">
        <v>46077.0</v>
      </c>
      <c r="I6947" s="12">
        <v>9.0</v>
      </c>
      <c r="J6947" s="6" t="s">
        <v>161</v>
      </c>
    </row>
    <row r="6948" ht="22.5" customHeight="1">
      <c r="A6948" s="6" t="s">
        <v>23756</v>
      </c>
      <c r="B6948" s="6" t="s">
        <v>15587</v>
      </c>
      <c r="C6948" s="10">
        <v>46088.0</v>
      </c>
      <c r="D6948" s="6" t="s">
        <v>677</v>
      </c>
      <c r="E6948" s="6" t="s">
        <v>365</v>
      </c>
      <c r="F6948" s="6" t="s">
        <v>439</v>
      </c>
      <c r="G6948" s="6" t="s">
        <v>452</v>
      </c>
      <c r="H6948" s="10">
        <v>46094.0</v>
      </c>
      <c r="I6948" s="12">
        <v>2.0</v>
      </c>
      <c r="J6948" s="6" t="s">
        <v>161</v>
      </c>
    </row>
    <row r="6949" ht="22.5" customHeight="1">
      <c r="A6949" s="6" t="s">
        <v>23757</v>
      </c>
      <c r="B6949" s="6" t="s">
        <v>15595</v>
      </c>
      <c r="C6949" s="10">
        <v>46037.0</v>
      </c>
      <c r="D6949" s="6" t="s">
        <v>436</v>
      </c>
      <c r="E6949" s="6" t="s">
        <v>658</v>
      </c>
      <c r="F6949" s="6" t="s">
        <v>439</v>
      </c>
      <c r="G6949" s="6" t="s">
        <v>452</v>
      </c>
      <c r="H6949" s="10">
        <v>46044.0</v>
      </c>
      <c r="I6949" s="12">
        <v>6.0</v>
      </c>
      <c r="J6949" s="6" t="s">
        <v>178</v>
      </c>
    </row>
    <row r="6950" ht="22.5" customHeight="1">
      <c r="A6950" s="6" t="s">
        <v>23758</v>
      </c>
      <c r="B6950" s="6" t="s">
        <v>15602</v>
      </c>
      <c r="C6950" s="10">
        <v>46069.0</v>
      </c>
      <c r="D6950" s="6" t="s">
        <v>242</v>
      </c>
      <c r="E6950" s="6" t="s">
        <v>320</v>
      </c>
      <c r="F6950" s="6" t="s">
        <v>439</v>
      </c>
      <c r="G6950" s="6" t="s">
        <v>458</v>
      </c>
      <c r="H6950" s="10">
        <v>46075.0</v>
      </c>
      <c r="I6950" s="12">
        <v>3.0</v>
      </c>
      <c r="J6950" s="6" t="s">
        <v>178</v>
      </c>
    </row>
    <row r="6951" ht="22.5" customHeight="1">
      <c r="A6951" s="6" t="s">
        <v>23759</v>
      </c>
      <c r="B6951" s="6" t="s">
        <v>15602</v>
      </c>
      <c r="C6951" s="10">
        <v>46084.0</v>
      </c>
      <c r="D6951" s="6" t="s">
        <v>242</v>
      </c>
      <c r="E6951" s="6" t="s">
        <v>863</v>
      </c>
      <c r="F6951" s="6" t="s">
        <v>283</v>
      </c>
      <c r="G6951" s="6" t="s">
        <v>297</v>
      </c>
      <c r="H6951" s="11" t="s">
        <v>259</v>
      </c>
      <c r="I6951" s="12">
        <v>3.0</v>
      </c>
      <c r="J6951" s="6" t="s">
        <v>161</v>
      </c>
    </row>
    <row r="6952" ht="22.5" customHeight="1">
      <c r="A6952" s="6" t="s">
        <v>23760</v>
      </c>
      <c r="B6952" s="6" t="s">
        <v>15610</v>
      </c>
      <c r="C6952" s="10">
        <v>46061.0</v>
      </c>
      <c r="D6952" s="6" t="s">
        <v>242</v>
      </c>
      <c r="E6952" s="6" t="s">
        <v>1280</v>
      </c>
      <c r="F6952" s="6" t="s">
        <v>112</v>
      </c>
      <c r="G6952" s="6" t="s">
        <v>326</v>
      </c>
      <c r="H6952" s="10">
        <v>46064.0</v>
      </c>
      <c r="I6952" s="12">
        <v>6.0</v>
      </c>
      <c r="J6952" s="6" t="s">
        <v>178</v>
      </c>
    </row>
    <row r="6953" ht="22.5" customHeight="1">
      <c r="A6953" s="6" t="s">
        <v>23761</v>
      </c>
      <c r="B6953" s="6" t="s">
        <v>15610</v>
      </c>
      <c r="C6953" s="10">
        <v>46066.0</v>
      </c>
      <c r="D6953" s="6" t="s">
        <v>289</v>
      </c>
      <c r="E6953" s="6" t="s">
        <v>738</v>
      </c>
      <c r="F6953" s="6" t="s">
        <v>112</v>
      </c>
      <c r="G6953" s="6" t="s">
        <v>326</v>
      </c>
      <c r="H6953" s="10">
        <v>46073.0</v>
      </c>
      <c r="I6953" s="12">
        <v>6.0</v>
      </c>
      <c r="J6953" s="6" t="s">
        <v>161</v>
      </c>
    </row>
    <row r="6954" ht="22.5" customHeight="1">
      <c r="A6954" s="6" t="s">
        <v>23762</v>
      </c>
      <c r="B6954" s="6" t="s">
        <v>15610</v>
      </c>
      <c r="C6954" s="10">
        <v>46059.0</v>
      </c>
      <c r="D6954" s="6" t="s">
        <v>242</v>
      </c>
      <c r="E6954" s="6" t="s">
        <v>1546</v>
      </c>
      <c r="F6954" s="6" t="s">
        <v>249</v>
      </c>
      <c r="G6954" s="6" t="s">
        <v>326</v>
      </c>
      <c r="H6954" s="10">
        <v>46062.0</v>
      </c>
      <c r="I6954" s="12">
        <v>5.0</v>
      </c>
      <c r="J6954" s="6" t="s">
        <v>178</v>
      </c>
    </row>
    <row r="6955" ht="22.5" customHeight="1">
      <c r="A6955" s="6" t="s">
        <v>23763</v>
      </c>
      <c r="B6955" s="6" t="s">
        <v>15610</v>
      </c>
      <c r="C6955" s="10">
        <v>46065.0</v>
      </c>
      <c r="D6955" s="6" t="s">
        <v>677</v>
      </c>
      <c r="E6955" s="6" t="s">
        <v>670</v>
      </c>
      <c r="F6955" s="6" t="s">
        <v>112</v>
      </c>
      <c r="G6955" s="6" t="s">
        <v>297</v>
      </c>
      <c r="H6955" s="10">
        <v>46067.0</v>
      </c>
      <c r="I6955" s="12">
        <v>2.0</v>
      </c>
      <c r="J6955" s="6" t="s">
        <v>161</v>
      </c>
    </row>
    <row r="6956" ht="22.5" customHeight="1">
      <c r="A6956" s="6" t="s">
        <v>23764</v>
      </c>
      <c r="B6956" s="6" t="s">
        <v>15618</v>
      </c>
      <c r="C6956" s="10">
        <v>46070.0</v>
      </c>
      <c r="D6956" s="6" t="s">
        <v>416</v>
      </c>
      <c r="E6956" s="6" t="s">
        <v>1241</v>
      </c>
      <c r="F6956" s="6" t="s">
        <v>112</v>
      </c>
      <c r="G6956" s="6" t="s">
        <v>254</v>
      </c>
      <c r="H6956" s="10">
        <v>46072.0</v>
      </c>
      <c r="I6956" s="12">
        <v>9.0</v>
      </c>
      <c r="J6956" s="6" t="s">
        <v>161</v>
      </c>
    </row>
    <row r="6957" ht="22.5" customHeight="1">
      <c r="A6957" s="6" t="s">
        <v>23765</v>
      </c>
      <c r="B6957" s="6" t="s">
        <v>15618</v>
      </c>
      <c r="C6957" s="10">
        <v>46069.0</v>
      </c>
      <c r="D6957" s="6" t="s">
        <v>436</v>
      </c>
      <c r="E6957" s="6" t="s">
        <v>634</v>
      </c>
      <c r="F6957" s="6" t="s">
        <v>439</v>
      </c>
      <c r="G6957" s="6" t="s">
        <v>452</v>
      </c>
      <c r="H6957" s="11" t="s">
        <v>259</v>
      </c>
      <c r="I6957" s="12">
        <v>9.0</v>
      </c>
      <c r="J6957" s="6" t="s">
        <v>178</v>
      </c>
    </row>
    <row r="6958" ht="22.5" customHeight="1">
      <c r="A6958" s="6" t="s">
        <v>23766</v>
      </c>
      <c r="B6958" s="6" t="s">
        <v>15625</v>
      </c>
      <c r="C6958" s="10">
        <v>46055.0</v>
      </c>
      <c r="D6958" s="6" t="s">
        <v>391</v>
      </c>
      <c r="E6958" s="6" t="s">
        <v>798</v>
      </c>
      <c r="F6958" s="6" t="s">
        <v>283</v>
      </c>
      <c r="G6958" s="6" t="s">
        <v>326</v>
      </c>
      <c r="H6958" s="10">
        <v>46060.0</v>
      </c>
      <c r="I6958" s="12">
        <v>8.0</v>
      </c>
      <c r="J6958" s="6" t="s">
        <v>161</v>
      </c>
    </row>
    <row r="6959" ht="22.5" customHeight="1">
      <c r="A6959" s="6" t="s">
        <v>23767</v>
      </c>
      <c r="B6959" s="6" t="s">
        <v>15633</v>
      </c>
      <c r="C6959" s="10">
        <v>46050.0</v>
      </c>
      <c r="D6959" s="6" t="s">
        <v>312</v>
      </c>
      <c r="E6959" s="6" t="s">
        <v>863</v>
      </c>
      <c r="F6959" s="6" t="s">
        <v>439</v>
      </c>
      <c r="G6959" s="6" t="s">
        <v>452</v>
      </c>
      <c r="H6959" s="11" t="s">
        <v>259</v>
      </c>
      <c r="I6959" s="12">
        <v>7.0</v>
      </c>
      <c r="J6959" s="6" t="s">
        <v>161</v>
      </c>
    </row>
    <row r="6960" ht="22.5" customHeight="1">
      <c r="A6960" s="6" t="s">
        <v>23768</v>
      </c>
      <c r="B6960" s="6" t="s">
        <v>15633</v>
      </c>
      <c r="C6960" s="10">
        <v>46051.0</v>
      </c>
      <c r="D6960" s="6" t="s">
        <v>391</v>
      </c>
      <c r="E6960" s="6" t="s">
        <v>1600</v>
      </c>
      <c r="F6960" s="6" t="s">
        <v>249</v>
      </c>
      <c r="G6960" s="6" t="s">
        <v>458</v>
      </c>
      <c r="H6960" s="11" t="s">
        <v>259</v>
      </c>
      <c r="I6960" s="12">
        <v>11.0</v>
      </c>
      <c r="J6960" s="6" t="s">
        <v>161</v>
      </c>
    </row>
    <row r="6961" ht="22.5" customHeight="1">
      <c r="A6961" s="6" t="s">
        <v>23769</v>
      </c>
      <c r="B6961" s="6" t="s">
        <v>15640</v>
      </c>
      <c r="C6961" s="10">
        <v>46035.0</v>
      </c>
      <c r="D6961" s="6" t="s">
        <v>391</v>
      </c>
      <c r="E6961" s="6" t="s">
        <v>1310</v>
      </c>
      <c r="F6961" s="6" t="s">
        <v>439</v>
      </c>
      <c r="G6961" s="6" t="s">
        <v>297</v>
      </c>
      <c r="H6961" s="10">
        <v>46040.0</v>
      </c>
      <c r="I6961" s="12">
        <v>7.0</v>
      </c>
      <c r="J6961" s="6" t="s">
        <v>161</v>
      </c>
    </row>
    <row r="6962" ht="22.5" customHeight="1">
      <c r="A6962" s="6" t="s">
        <v>23770</v>
      </c>
      <c r="B6962" s="6" t="s">
        <v>15640</v>
      </c>
      <c r="C6962" s="10">
        <v>46041.0</v>
      </c>
      <c r="D6962" s="6" t="s">
        <v>242</v>
      </c>
      <c r="E6962" s="6" t="s">
        <v>1600</v>
      </c>
      <c r="F6962" s="6" t="s">
        <v>283</v>
      </c>
      <c r="G6962" s="6" t="s">
        <v>452</v>
      </c>
      <c r="H6962" s="10">
        <v>46042.0</v>
      </c>
      <c r="I6962" s="12">
        <v>3.0</v>
      </c>
      <c r="J6962" s="6" t="s">
        <v>178</v>
      </c>
    </row>
    <row r="6963" ht="22.5" customHeight="1">
      <c r="A6963" s="6" t="s">
        <v>23771</v>
      </c>
      <c r="B6963" s="6" t="s">
        <v>15640</v>
      </c>
      <c r="C6963" s="10">
        <v>46044.0</v>
      </c>
      <c r="D6963" s="6" t="s">
        <v>436</v>
      </c>
      <c r="E6963" s="6" t="s">
        <v>566</v>
      </c>
      <c r="F6963" s="6" t="s">
        <v>439</v>
      </c>
      <c r="G6963" s="6" t="s">
        <v>477</v>
      </c>
      <c r="H6963" s="10">
        <v>46046.0</v>
      </c>
      <c r="I6963" s="12">
        <v>6.0</v>
      </c>
      <c r="J6963" s="6" t="s">
        <v>161</v>
      </c>
    </row>
    <row r="6964" ht="22.5" customHeight="1">
      <c r="A6964" s="6" t="s">
        <v>23772</v>
      </c>
      <c r="B6964" s="6" t="s">
        <v>15640</v>
      </c>
      <c r="C6964" s="10">
        <v>46038.0</v>
      </c>
      <c r="D6964" s="6" t="s">
        <v>436</v>
      </c>
      <c r="E6964" s="6" t="s">
        <v>246</v>
      </c>
      <c r="F6964" s="6" t="s">
        <v>249</v>
      </c>
      <c r="G6964" s="6" t="s">
        <v>297</v>
      </c>
      <c r="H6964" s="10">
        <v>46045.0</v>
      </c>
      <c r="I6964" s="12">
        <v>8.0</v>
      </c>
      <c r="J6964" s="6" t="s">
        <v>178</v>
      </c>
    </row>
    <row r="6965" ht="22.5" customHeight="1">
      <c r="A6965" s="6" t="s">
        <v>23773</v>
      </c>
      <c r="B6965" s="6" t="s">
        <v>15640</v>
      </c>
      <c r="C6965" s="10">
        <v>46029.0</v>
      </c>
      <c r="D6965" s="6" t="s">
        <v>289</v>
      </c>
      <c r="E6965" s="6" t="s">
        <v>812</v>
      </c>
      <c r="F6965" s="6" t="s">
        <v>112</v>
      </c>
      <c r="G6965" s="6" t="s">
        <v>326</v>
      </c>
      <c r="H6965" s="10">
        <v>46031.0</v>
      </c>
      <c r="I6965" s="12">
        <v>10.0</v>
      </c>
      <c r="J6965" s="6" t="s">
        <v>161</v>
      </c>
    </row>
    <row r="6966" ht="22.5" customHeight="1">
      <c r="A6966" s="6" t="s">
        <v>23774</v>
      </c>
      <c r="B6966" s="6" t="s">
        <v>15647</v>
      </c>
      <c r="C6966" s="10">
        <v>46036.0</v>
      </c>
      <c r="D6966" s="6" t="s">
        <v>289</v>
      </c>
      <c r="E6966" s="6" t="s">
        <v>955</v>
      </c>
      <c r="F6966" s="6" t="s">
        <v>439</v>
      </c>
      <c r="G6966" s="6" t="s">
        <v>369</v>
      </c>
      <c r="H6966" s="10">
        <v>46036.0</v>
      </c>
      <c r="I6966" s="12">
        <v>7.0</v>
      </c>
      <c r="J6966" s="6" t="s">
        <v>161</v>
      </c>
    </row>
    <row r="6967" ht="22.5" customHeight="1">
      <c r="A6967" s="6" t="s">
        <v>23775</v>
      </c>
      <c r="B6967" s="6" t="s">
        <v>15647</v>
      </c>
      <c r="C6967" s="10">
        <v>46045.0</v>
      </c>
      <c r="D6967" s="6" t="s">
        <v>242</v>
      </c>
      <c r="E6967" s="6" t="s">
        <v>1546</v>
      </c>
      <c r="F6967" s="6" t="s">
        <v>112</v>
      </c>
      <c r="G6967" s="6" t="s">
        <v>452</v>
      </c>
      <c r="H6967" s="11" t="s">
        <v>259</v>
      </c>
      <c r="I6967" s="12">
        <v>5.0</v>
      </c>
      <c r="J6967" s="6" t="s">
        <v>178</v>
      </c>
    </row>
    <row r="6968" ht="22.5" customHeight="1">
      <c r="A6968" s="6" t="s">
        <v>23776</v>
      </c>
      <c r="B6968" s="6" t="s">
        <v>15647</v>
      </c>
      <c r="C6968" s="10">
        <v>46043.0</v>
      </c>
      <c r="D6968" s="6" t="s">
        <v>289</v>
      </c>
      <c r="E6968" s="6" t="s">
        <v>628</v>
      </c>
      <c r="F6968" s="6" t="s">
        <v>249</v>
      </c>
      <c r="G6968" s="6" t="s">
        <v>452</v>
      </c>
      <c r="H6968" s="11" t="s">
        <v>259</v>
      </c>
      <c r="I6968" s="12">
        <v>7.0</v>
      </c>
      <c r="J6968" s="6" t="s">
        <v>161</v>
      </c>
    </row>
    <row r="6969" ht="22.5" customHeight="1">
      <c r="A6969" s="6" t="s">
        <v>23777</v>
      </c>
      <c r="B6969" s="6" t="s">
        <v>15647</v>
      </c>
      <c r="C6969" s="10">
        <v>46025.0</v>
      </c>
      <c r="D6969" s="6" t="s">
        <v>391</v>
      </c>
      <c r="E6969" s="6" t="s">
        <v>695</v>
      </c>
      <c r="F6969" s="6" t="s">
        <v>249</v>
      </c>
      <c r="G6969" s="6" t="s">
        <v>494</v>
      </c>
      <c r="H6969" s="10">
        <v>46026.0</v>
      </c>
      <c r="I6969" s="12">
        <v>6.0</v>
      </c>
      <c r="J6969" s="6" t="s">
        <v>161</v>
      </c>
    </row>
    <row r="6970" ht="22.5" customHeight="1">
      <c r="A6970" s="6" t="s">
        <v>23778</v>
      </c>
      <c r="B6970" s="6" t="s">
        <v>15647</v>
      </c>
      <c r="C6970" s="10">
        <v>46038.0</v>
      </c>
      <c r="D6970" s="6" t="s">
        <v>242</v>
      </c>
      <c r="E6970" s="6" t="s">
        <v>634</v>
      </c>
      <c r="F6970" s="6" t="s">
        <v>283</v>
      </c>
      <c r="G6970" s="6" t="s">
        <v>477</v>
      </c>
      <c r="H6970" s="10">
        <v>46042.0</v>
      </c>
      <c r="I6970" s="12">
        <v>3.0</v>
      </c>
      <c r="J6970" s="6" t="s">
        <v>178</v>
      </c>
    </row>
    <row r="6971" ht="22.5" customHeight="1">
      <c r="A6971" s="6" t="s">
        <v>23779</v>
      </c>
      <c r="B6971" s="6" t="s">
        <v>15654</v>
      </c>
      <c r="C6971" s="10">
        <v>46062.0</v>
      </c>
      <c r="D6971" s="6" t="s">
        <v>391</v>
      </c>
      <c r="E6971" s="6" t="s">
        <v>955</v>
      </c>
      <c r="F6971" s="6" t="s">
        <v>112</v>
      </c>
      <c r="G6971" s="6" t="s">
        <v>254</v>
      </c>
      <c r="H6971" s="10">
        <v>46069.0</v>
      </c>
      <c r="I6971" s="12">
        <v>8.0</v>
      </c>
      <c r="J6971" s="6" t="s">
        <v>161</v>
      </c>
    </row>
    <row r="6972" ht="22.5" customHeight="1">
      <c r="A6972" s="6" t="s">
        <v>23780</v>
      </c>
      <c r="B6972" s="6" t="s">
        <v>15654</v>
      </c>
      <c r="C6972" s="10">
        <v>46063.0</v>
      </c>
      <c r="D6972" s="6" t="s">
        <v>312</v>
      </c>
      <c r="E6972" s="6" t="s">
        <v>2365</v>
      </c>
      <c r="F6972" s="6" t="s">
        <v>283</v>
      </c>
      <c r="G6972" s="6" t="s">
        <v>494</v>
      </c>
      <c r="H6972" s="10">
        <v>46065.0</v>
      </c>
      <c r="I6972" s="12">
        <v>6.0</v>
      </c>
      <c r="J6972" s="6" t="s">
        <v>161</v>
      </c>
    </row>
    <row r="6973" ht="22.5" customHeight="1">
      <c r="A6973" s="6" t="s">
        <v>23781</v>
      </c>
      <c r="B6973" s="6" t="s">
        <v>15654</v>
      </c>
      <c r="C6973" s="10">
        <v>46053.0</v>
      </c>
      <c r="D6973" s="6" t="s">
        <v>242</v>
      </c>
      <c r="E6973" s="6" t="s">
        <v>787</v>
      </c>
      <c r="F6973" s="6" t="s">
        <v>283</v>
      </c>
      <c r="G6973" s="6" t="s">
        <v>369</v>
      </c>
      <c r="H6973" s="10">
        <v>46055.0</v>
      </c>
      <c r="I6973" s="12">
        <v>4.0</v>
      </c>
      <c r="J6973" s="6" t="s">
        <v>161</v>
      </c>
    </row>
    <row r="6974" ht="22.5" customHeight="1">
      <c r="A6974" s="6" t="s">
        <v>23782</v>
      </c>
      <c r="B6974" s="6" t="s">
        <v>15654</v>
      </c>
      <c r="C6974" s="10">
        <v>46047.0</v>
      </c>
      <c r="D6974" s="6" t="s">
        <v>289</v>
      </c>
      <c r="E6974" s="6" t="s">
        <v>695</v>
      </c>
      <c r="F6974" s="6" t="s">
        <v>283</v>
      </c>
      <c r="G6974" s="6" t="s">
        <v>297</v>
      </c>
      <c r="H6974" s="10">
        <v>46053.0</v>
      </c>
      <c r="I6974" s="12">
        <v>9.0</v>
      </c>
      <c r="J6974" s="6" t="s">
        <v>161</v>
      </c>
    </row>
    <row r="6975" ht="22.5" customHeight="1">
      <c r="A6975" s="6" t="s">
        <v>23783</v>
      </c>
      <c r="B6975" s="6" t="s">
        <v>15654</v>
      </c>
      <c r="C6975" s="10">
        <v>46060.0</v>
      </c>
      <c r="D6975" s="6" t="s">
        <v>312</v>
      </c>
      <c r="E6975" s="6" t="s">
        <v>2881</v>
      </c>
      <c r="F6975" s="6" t="s">
        <v>439</v>
      </c>
      <c r="G6975" s="6" t="s">
        <v>452</v>
      </c>
      <c r="H6975" s="10">
        <v>46060.0</v>
      </c>
      <c r="I6975" s="12">
        <v>4.0</v>
      </c>
      <c r="J6975" s="6" t="s">
        <v>161</v>
      </c>
    </row>
    <row r="6976" ht="22.5" customHeight="1">
      <c r="A6976" s="6" t="s">
        <v>23784</v>
      </c>
      <c r="B6976" s="6" t="s">
        <v>15661</v>
      </c>
      <c r="C6976" s="10">
        <v>46079.0</v>
      </c>
      <c r="D6976" s="6" t="s">
        <v>416</v>
      </c>
      <c r="E6976" s="6" t="s">
        <v>1969</v>
      </c>
      <c r="F6976" s="6" t="s">
        <v>439</v>
      </c>
      <c r="G6976" s="6" t="s">
        <v>458</v>
      </c>
      <c r="H6976" s="10">
        <v>46081.0</v>
      </c>
      <c r="I6976" s="12">
        <v>13.0</v>
      </c>
      <c r="J6976" s="6" t="s">
        <v>161</v>
      </c>
    </row>
    <row r="6977" ht="22.5" customHeight="1">
      <c r="A6977" s="6" t="s">
        <v>23785</v>
      </c>
      <c r="B6977" s="6" t="s">
        <v>15661</v>
      </c>
      <c r="C6977" s="10">
        <v>46083.0</v>
      </c>
      <c r="D6977" s="6" t="s">
        <v>312</v>
      </c>
      <c r="E6977" s="6" t="s">
        <v>658</v>
      </c>
      <c r="F6977" s="6" t="s">
        <v>249</v>
      </c>
      <c r="G6977" s="6" t="s">
        <v>458</v>
      </c>
      <c r="H6977" s="10">
        <v>46084.0</v>
      </c>
      <c r="I6977" s="12">
        <v>5.0</v>
      </c>
      <c r="J6977" s="6" t="s">
        <v>161</v>
      </c>
    </row>
    <row r="6978" ht="22.5" customHeight="1">
      <c r="A6978" s="6" t="s">
        <v>23786</v>
      </c>
      <c r="B6978" s="6" t="s">
        <v>15661</v>
      </c>
      <c r="C6978" s="10">
        <v>46075.0</v>
      </c>
      <c r="D6978" s="6" t="s">
        <v>677</v>
      </c>
      <c r="E6978" s="6" t="s">
        <v>566</v>
      </c>
      <c r="F6978" s="6" t="s">
        <v>283</v>
      </c>
      <c r="G6978" s="6" t="s">
        <v>458</v>
      </c>
      <c r="H6978" s="10">
        <v>46080.0</v>
      </c>
      <c r="I6978" s="12">
        <v>4.0</v>
      </c>
      <c r="J6978" s="6" t="s">
        <v>161</v>
      </c>
    </row>
    <row r="6979" ht="22.5" customHeight="1">
      <c r="A6979" s="6" t="s">
        <v>23787</v>
      </c>
      <c r="B6979" s="6" t="s">
        <v>15661</v>
      </c>
      <c r="C6979" s="10">
        <v>46082.0</v>
      </c>
      <c r="D6979" s="6" t="s">
        <v>312</v>
      </c>
      <c r="E6979" s="6" t="s">
        <v>2365</v>
      </c>
      <c r="F6979" s="6" t="s">
        <v>249</v>
      </c>
      <c r="G6979" s="6" t="s">
        <v>452</v>
      </c>
      <c r="H6979" s="10">
        <v>46084.0</v>
      </c>
      <c r="I6979" s="12">
        <v>4.0</v>
      </c>
      <c r="J6979" s="6" t="s">
        <v>161</v>
      </c>
    </row>
    <row r="6980" ht="22.5" customHeight="1">
      <c r="A6980" s="6" t="s">
        <v>23788</v>
      </c>
      <c r="B6980" s="6" t="s">
        <v>15668</v>
      </c>
      <c r="C6980" s="10">
        <v>46046.0</v>
      </c>
      <c r="D6980" s="6" t="s">
        <v>312</v>
      </c>
      <c r="E6980" s="6" t="s">
        <v>417</v>
      </c>
      <c r="F6980" s="6" t="s">
        <v>249</v>
      </c>
      <c r="G6980" s="6" t="s">
        <v>477</v>
      </c>
      <c r="H6980" s="10">
        <v>46050.0</v>
      </c>
      <c r="I6980" s="12">
        <v>5.0</v>
      </c>
      <c r="J6980" s="6" t="s">
        <v>161</v>
      </c>
    </row>
    <row r="6981" ht="22.5" customHeight="1">
      <c r="A6981" s="6" t="s">
        <v>23789</v>
      </c>
      <c r="B6981" s="6" t="s">
        <v>15668</v>
      </c>
      <c r="C6981" s="10">
        <v>46058.0</v>
      </c>
      <c r="D6981" s="6" t="s">
        <v>242</v>
      </c>
      <c r="E6981" s="6" t="s">
        <v>787</v>
      </c>
      <c r="F6981" s="6" t="s">
        <v>112</v>
      </c>
      <c r="G6981" s="6" t="s">
        <v>458</v>
      </c>
      <c r="H6981" s="10">
        <v>46061.0</v>
      </c>
      <c r="I6981" s="12">
        <v>5.0</v>
      </c>
      <c r="J6981" s="6" t="s">
        <v>178</v>
      </c>
    </row>
    <row r="6982" ht="22.5" customHeight="1">
      <c r="A6982" s="6" t="s">
        <v>23790</v>
      </c>
      <c r="B6982" s="6" t="s">
        <v>15668</v>
      </c>
      <c r="C6982" s="10">
        <v>46046.0</v>
      </c>
      <c r="D6982" s="6" t="s">
        <v>436</v>
      </c>
      <c r="E6982" s="6" t="s">
        <v>798</v>
      </c>
      <c r="F6982" s="6" t="s">
        <v>283</v>
      </c>
      <c r="G6982" s="6" t="s">
        <v>369</v>
      </c>
      <c r="H6982" s="10">
        <v>46052.0</v>
      </c>
      <c r="I6982" s="12">
        <v>11.0</v>
      </c>
      <c r="J6982" s="6" t="s">
        <v>178</v>
      </c>
    </row>
    <row r="6983" ht="22.5" customHeight="1">
      <c r="A6983" s="6" t="s">
        <v>23791</v>
      </c>
      <c r="B6983" s="6" t="s">
        <v>15668</v>
      </c>
      <c r="C6983" s="10">
        <v>46058.0</v>
      </c>
      <c r="D6983" s="6" t="s">
        <v>436</v>
      </c>
      <c r="E6983" s="6" t="s">
        <v>798</v>
      </c>
      <c r="F6983" s="6" t="s">
        <v>283</v>
      </c>
      <c r="G6983" s="6" t="s">
        <v>254</v>
      </c>
      <c r="H6983" s="11" t="s">
        <v>259</v>
      </c>
      <c r="I6983" s="12">
        <v>12.0</v>
      </c>
      <c r="J6983" s="6" t="s">
        <v>161</v>
      </c>
    </row>
    <row r="6984" ht="22.5" customHeight="1">
      <c r="A6984" s="6" t="s">
        <v>23792</v>
      </c>
      <c r="B6984" s="6" t="s">
        <v>15668</v>
      </c>
      <c r="C6984" s="10">
        <v>46059.0</v>
      </c>
      <c r="D6984" s="6" t="s">
        <v>391</v>
      </c>
      <c r="E6984" s="6" t="s">
        <v>798</v>
      </c>
      <c r="F6984" s="6" t="s">
        <v>283</v>
      </c>
      <c r="G6984" s="6" t="s">
        <v>254</v>
      </c>
      <c r="H6984" s="10">
        <v>46061.0</v>
      </c>
      <c r="I6984" s="12">
        <v>6.0</v>
      </c>
      <c r="J6984" s="6" t="s">
        <v>161</v>
      </c>
    </row>
    <row r="6985" ht="22.5" customHeight="1">
      <c r="A6985" s="6" t="s">
        <v>23793</v>
      </c>
      <c r="B6985" s="6" t="s">
        <v>15675</v>
      </c>
      <c r="C6985" s="10">
        <v>46060.0</v>
      </c>
      <c r="D6985" s="6" t="s">
        <v>289</v>
      </c>
      <c r="E6985" s="6" t="s">
        <v>246</v>
      </c>
      <c r="F6985" s="6" t="s">
        <v>249</v>
      </c>
      <c r="G6985" s="6" t="s">
        <v>452</v>
      </c>
      <c r="H6985" s="10">
        <v>46067.0</v>
      </c>
      <c r="I6985" s="12">
        <v>8.0</v>
      </c>
      <c r="J6985" s="6" t="s">
        <v>161</v>
      </c>
    </row>
    <row r="6986" ht="22.5" customHeight="1">
      <c r="A6986" s="6" t="s">
        <v>23794</v>
      </c>
      <c r="B6986" s="6" t="s">
        <v>15675</v>
      </c>
      <c r="C6986" s="10">
        <v>46054.0</v>
      </c>
      <c r="D6986" s="6" t="s">
        <v>416</v>
      </c>
      <c r="E6986" s="6" t="s">
        <v>1055</v>
      </c>
      <c r="F6986" s="6" t="s">
        <v>283</v>
      </c>
      <c r="G6986" s="6" t="s">
        <v>326</v>
      </c>
      <c r="H6986" s="10">
        <v>46059.0</v>
      </c>
      <c r="I6986" s="12">
        <v>9.0</v>
      </c>
      <c r="J6986" s="6" t="s">
        <v>161</v>
      </c>
    </row>
    <row r="6987" ht="22.5" customHeight="1">
      <c r="A6987" s="6" t="s">
        <v>23795</v>
      </c>
      <c r="B6987" s="6" t="s">
        <v>15683</v>
      </c>
      <c r="C6987" s="10">
        <v>46059.0</v>
      </c>
      <c r="D6987" s="6" t="s">
        <v>312</v>
      </c>
      <c r="E6987" s="6" t="s">
        <v>1070</v>
      </c>
      <c r="F6987" s="6" t="s">
        <v>283</v>
      </c>
      <c r="G6987" s="6" t="s">
        <v>452</v>
      </c>
      <c r="H6987" s="10">
        <v>46065.0</v>
      </c>
      <c r="I6987" s="12">
        <v>4.0</v>
      </c>
      <c r="J6987" s="6" t="s">
        <v>161</v>
      </c>
    </row>
    <row r="6988" ht="22.5" customHeight="1">
      <c r="A6988" s="6" t="s">
        <v>23796</v>
      </c>
      <c r="B6988" s="6" t="s">
        <v>15683</v>
      </c>
      <c r="C6988" s="10">
        <v>46070.0</v>
      </c>
      <c r="D6988" s="6" t="s">
        <v>289</v>
      </c>
      <c r="E6988" s="6" t="s">
        <v>618</v>
      </c>
      <c r="F6988" s="6" t="s">
        <v>249</v>
      </c>
      <c r="G6988" s="6" t="s">
        <v>477</v>
      </c>
      <c r="H6988" s="10">
        <v>46075.0</v>
      </c>
      <c r="I6988" s="12">
        <v>7.0</v>
      </c>
      <c r="J6988" s="6" t="s">
        <v>161</v>
      </c>
    </row>
    <row r="6989" ht="22.5" customHeight="1">
      <c r="A6989" s="6" t="s">
        <v>23797</v>
      </c>
      <c r="B6989" s="6" t="s">
        <v>15690</v>
      </c>
      <c r="C6989" s="10">
        <v>46075.0</v>
      </c>
      <c r="D6989" s="6" t="s">
        <v>242</v>
      </c>
      <c r="E6989" s="6" t="s">
        <v>1296</v>
      </c>
      <c r="F6989" s="6" t="s">
        <v>112</v>
      </c>
      <c r="G6989" s="6" t="s">
        <v>297</v>
      </c>
      <c r="H6989" s="11" t="s">
        <v>259</v>
      </c>
      <c r="I6989" s="12">
        <v>3.0</v>
      </c>
      <c r="J6989" s="6" t="s">
        <v>178</v>
      </c>
    </row>
    <row r="6990" ht="22.5" customHeight="1">
      <c r="A6990" s="6" t="s">
        <v>23798</v>
      </c>
      <c r="B6990" s="6" t="s">
        <v>15697</v>
      </c>
      <c r="C6990" s="10">
        <v>46069.0</v>
      </c>
      <c r="D6990" s="6" t="s">
        <v>436</v>
      </c>
      <c r="E6990" s="6" t="s">
        <v>320</v>
      </c>
      <c r="F6990" s="6" t="s">
        <v>112</v>
      </c>
      <c r="G6990" s="6" t="s">
        <v>452</v>
      </c>
      <c r="H6990" s="10">
        <v>46074.0</v>
      </c>
      <c r="I6990" s="12">
        <v>10.0</v>
      </c>
      <c r="J6990" s="6" t="s">
        <v>178</v>
      </c>
    </row>
    <row r="6991" ht="22.5" customHeight="1">
      <c r="A6991" s="6" t="s">
        <v>23799</v>
      </c>
      <c r="B6991" s="6" t="s">
        <v>15697</v>
      </c>
      <c r="C6991" s="10">
        <v>46068.0</v>
      </c>
      <c r="D6991" s="6" t="s">
        <v>677</v>
      </c>
      <c r="E6991" s="6" t="s">
        <v>246</v>
      </c>
      <c r="F6991" s="6" t="s">
        <v>249</v>
      </c>
      <c r="G6991" s="6" t="s">
        <v>254</v>
      </c>
      <c r="H6991" s="11" t="s">
        <v>259</v>
      </c>
      <c r="I6991" s="12">
        <v>2.0</v>
      </c>
      <c r="J6991" s="6" t="s">
        <v>161</v>
      </c>
    </row>
    <row r="6992" ht="22.5" customHeight="1">
      <c r="A6992" s="6" t="s">
        <v>23800</v>
      </c>
      <c r="B6992" s="6" t="s">
        <v>15705</v>
      </c>
      <c r="C6992" s="10">
        <v>46050.0</v>
      </c>
      <c r="D6992" s="6" t="s">
        <v>242</v>
      </c>
      <c r="E6992" s="6" t="s">
        <v>812</v>
      </c>
      <c r="F6992" s="6" t="s">
        <v>283</v>
      </c>
      <c r="G6992" s="6" t="s">
        <v>494</v>
      </c>
      <c r="H6992" s="10">
        <v>46055.0</v>
      </c>
      <c r="I6992" s="12">
        <v>6.0</v>
      </c>
      <c r="J6992" s="6" t="s">
        <v>161</v>
      </c>
    </row>
    <row r="6993" ht="22.5" customHeight="1">
      <c r="A6993" s="6" t="s">
        <v>23801</v>
      </c>
      <c r="B6993" s="6" t="s">
        <v>15713</v>
      </c>
      <c r="C6993" s="10">
        <v>46078.0</v>
      </c>
      <c r="D6993" s="6" t="s">
        <v>416</v>
      </c>
      <c r="E6993" s="6" t="s">
        <v>1102</v>
      </c>
      <c r="F6993" s="6" t="s">
        <v>249</v>
      </c>
      <c r="G6993" s="6" t="s">
        <v>494</v>
      </c>
      <c r="H6993" s="10">
        <v>46078.0</v>
      </c>
      <c r="I6993" s="12">
        <v>12.0</v>
      </c>
      <c r="J6993" s="6" t="s">
        <v>161</v>
      </c>
    </row>
    <row r="6994" ht="22.5" customHeight="1">
      <c r="A6994" s="6" t="s">
        <v>23802</v>
      </c>
      <c r="B6994" s="6" t="s">
        <v>15713</v>
      </c>
      <c r="C6994" s="10">
        <v>46069.0</v>
      </c>
      <c r="D6994" s="6" t="s">
        <v>242</v>
      </c>
      <c r="E6994" s="6" t="s">
        <v>320</v>
      </c>
      <c r="F6994" s="6" t="s">
        <v>112</v>
      </c>
      <c r="G6994" s="6" t="s">
        <v>254</v>
      </c>
      <c r="H6994" s="10">
        <v>46070.0</v>
      </c>
      <c r="I6994" s="12">
        <v>5.0</v>
      </c>
      <c r="J6994" s="6" t="s">
        <v>178</v>
      </c>
    </row>
    <row r="6995" ht="22.5" customHeight="1">
      <c r="A6995" s="6" t="s">
        <v>23803</v>
      </c>
      <c r="B6995" s="6" t="s">
        <v>15713</v>
      </c>
      <c r="C6995" s="10">
        <v>46069.0</v>
      </c>
      <c r="D6995" s="6" t="s">
        <v>289</v>
      </c>
      <c r="E6995" s="6" t="s">
        <v>417</v>
      </c>
      <c r="F6995" s="6" t="s">
        <v>112</v>
      </c>
      <c r="G6995" s="6" t="s">
        <v>494</v>
      </c>
      <c r="H6995" s="10">
        <v>46073.0</v>
      </c>
      <c r="I6995" s="12">
        <v>10.0</v>
      </c>
      <c r="J6995" s="6" t="s">
        <v>161</v>
      </c>
    </row>
    <row r="6996" ht="22.5" customHeight="1">
      <c r="A6996" s="6" t="s">
        <v>23804</v>
      </c>
      <c r="B6996" s="6" t="s">
        <v>15713</v>
      </c>
      <c r="C6996" s="10">
        <v>46085.0</v>
      </c>
      <c r="D6996" s="6" t="s">
        <v>289</v>
      </c>
      <c r="E6996" s="6" t="s">
        <v>618</v>
      </c>
      <c r="F6996" s="6" t="s">
        <v>112</v>
      </c>
      <c r="G6996" s="6" t="s">
        <v>452</v>
      </c>
      <c r="H6996" s="10">
        <v>46090.0</v>
      </c>
      <c r="I6996" s="12">
        <v>8.0</v>
      </c>
      <c r="J6996" s="6" t="s">
        <v>161</v>
      </c>
    </row>
    <row r="6997" ht="22.5" customHeight="1">
      <c r="A6997" s="6" t="s">
        <v>23805</v>
      </c>
      <c r="B6997" s="6" t="s">
        <v>15719</v>
      </c>
      <c r="C6997" s="10">
        <v>46045.0</v>
      </c>
      <c r="D6997" s="6" t="s">
        <v>312</v>
      </c>
      <c r="E6997" s="6" t="s">
        <v>1969</v>
      </c>
      <c r="F6997" s="6" t="s">
        <v>283</v>
      </c>
      <c r="G6997" s="6" t="s">
        <v>458</v>
      </c>
      <c r="H6997" s="10">
        <v>46052.0</v>
      </c>
      <c r="I6997" s="12">
        <v>4.0</v>
      </c>
      <c r="J6997" s="6" t="s">
        <v>161</v>
      </c>
    </row>
    <row r="6998" ht="22.5" customHeight="1">
      <c r="A6998" s="6" t="s">
        <v>23806</v>
      </c>
      <c r="B6998" s="6" t="s">
        <v>15719</v>
      </c>
      <c r="C6998" s="10">
        <v>46046.0</v>
      </c>
      <c r="D6998" s="6" t="s">
        <v>242</v>
      </c>
      <c r="E6998" s="6" t="s">
        <v>731</v>
      </c>
      <c r="F6998" s="6" t="s">
        <v>249</v>
      </c>
      <c r="G6998" s="6" t="s">
        <v>477</v>
      </c>
      <c r="H6998" s="10">
        <v>46047.0</v>
      </c>
      <c r="I6998" s="12">
        <v>3.0</v>
      </c>
      <c r="J6998" s="6" t="s">
        <v>161</v>
      </c>
    </row>
    <row r="6999" ht="22.5" customHeight="1">
      <c r="A6999" s="6" t="s">
        <v>23807</v>
      </c>
      <c r="B6999" s="6" t="s">
        <v>15727</v>
      </c>
      <c r="C6999" s="10">
        <v>46051.0</v>
      </c>
      <c r="D6999" s="6" t="s">
        <v>436</v>
      </c>
      <c r="E6999" s="6" t="s">
        <v>1055</v>
      </c>
      <c r="F6999" s="6" t="s">
        <v>283</v>
      </c>
      <c r="G6999" s="6" t="s">
        <v>458</v>
      </c>
      <c r="H6999" s="11" t="s">
        <v>259</v>
      </c>
      <c r="I6999" s="12">
        <v>12.0</v>
      </c>
      <c r="J6999" s="6" t="s">
        <v>161</v>
      </c>
    </row>
    <row r="7000" ht="22.5" customHeight="1">
      <c r="A7000" s="6" t="s">
        <v>23808</v>
      </c>
      <c r="B7000" s="6" t="s">
        <v>15735</v>
      </c>
      <c r="C7000" s="10">
        <v>46068.0</v>
      </c>
      <c r="D7000" s="6" t="s">
        <v>242</v>
      </c>
      <c r="E7000" s="6" t="s">
        <v>716</v>
      </c>
      <c r="F7000" s="6" t="s">
        <v>249</v>
      </c>
      <c r="G7000" s="6" t="s">
        <v>494</v>
      </c>
      <c r="H7000" s="11" t="s">
        <v>259</v>
      </c>
      <c r="I7000" s="12">
        <v>5.0</v>
      </c>
      <c r="J7000" s="6" t="s">
        <v>178</v>
      </c>
    </row>
    <row r="7001" ht="22.5" customHeight="1">
      <c r="A7001" s="6" t="s">
        <v>23809</v>
      </c>
      <c r="B7001" s="6" t="s">
        <v>15735</v>
      </c>
      <c r="C7001" s="10">
        <v>46076.0</v>
      </c>
      <c r="D7001" s="6" t="s">
        <v>416</v>
      </c>
      <c r="E7001" s="6" t="s">
        <v>670</v>
      </c>
      <c r="F7001" s="6" t="s">
        <v>439</v>
      </c>
      <c r="G7001" s="6" t="s">
        <v>458</v>
      </c>
      <c r="H7001" s="10">
        <v>46076.0</v>
      </c>
      <c r="I7001" s="12">
        <v>14.0</v>
      </c>
      <c r="J7001" s="6" t="s">
        <v>161</v>
      </c>
    </row>
    <row r="7002" ht="22.5" customHeight="1">
      <c r="A7002" s="6" t="s">
        <v>23810</v>
      </c>
      <c r="B7002" s="6" t="s">
        <v>15742</v>
      </c>
      <c r="C7002" s="10">
        <v>46070.0</v>
      </c>
      <c r="D7002" s="6" t="s">
        <v>312</v>
      </c>
      <c r="E7002" s="6" t="s">
        <v>1741</v>
      </c>
      <c r="F7002" s="6" t="s">
        <v>439</v>
      </c>
      <c r="G7002" s="6" t="s">
        <v>326</v>
      </c>
      <c r="H7002" s="11" t="s">
        <v>259</v>
      </c>
      <c r="I7002" s="12">
        <v>6.0</v>
      </c>
      <c r="J7002" s="6" t="s">
        <v>161</v>
      </c>
    </row>
    <row r="7003" ht="22.5" customHeight="1">
      <c r="A7003" s="6" t="s">
        <v>23811</v>
      </c>
      <c r="B7003" s="6" t="s">
        <v>15742</v>
      </c>
      <c r="C7003" s="10">
        <v>46077.0</v>
      </c>
      <c r="D7003" s="6" t="s">
        <v>242</v>
      </c>
      <c r="E7003" s="6" t="s">
        <v>1517</v>
      </c>
      <c r="F7003" s="6" t="s">
        <v>439</v>
      </c>
      <c r="G7003" s="6" t="s">
        <v>297</v>
      </c>
      <c r="H7003" s="10">
        <v>46079.0</v>
      </c>
      <c r="I7003" s="12">
        <v>3.0</v>
      </c>
      <c r="J7003" s="6" t="s">
        <v>161</v>
      </c>
    </row>
    <row r="7004" ht="22.5" customHeight="1">
      <c r="A7004" s="6" t="s">
        <v>23812</v>
      </c>
      <c r="B7004" s="6" t="s">
        <v>15749</v>
      </c>
      <c r="C7004" s="10">
        <v>46045.0</v>
      </c>
      <c r="D7004" s="6" t="s">
        <v>416</v>
      </c>
      <c r="E7004" s="6" t="s">
        <v>1741</v>
      </c>
      <c r="F7004" s="6" t="s">
        <v>112</v>
      </c>
      <c r="G7004" s="6" t="s">
        <v>254</v>
      </c>
      <c r="H7004" s="10">
        <v>46051.0</v>
      </c>
      <c r="I7004" s="12">
        <v>11.0</v>
      </c>
      <c r="J7004" s="6" t="s">
        <v>161</v>
      </c>
    </row>
    <row r="7005" ht="22.5" customHeight="1">
      <c r="A7005" s="6" t="s">
        <v>23813</v>
      </c>
      <c r="B7005" s="6" t="s">
        <v>15749</v>
      </c>
      <c r="C7005" s="10">
        <v>46053.0</v>
      </c>
      <c r="D7005" s="6" t="s">
        <v>312</v>
      </c>
      <c r="E7005" s="6" t="s">
        <v>1552</v>
      </c>
      <c r="F7005" s="6" t="s">
        <v>112</v>
      </c>
      <c r="G7005" s="6" t="s">
        <v>369</v>
      </c>
      <c r="H7005" s="10">
        <v>46054.0</v>
      </c>
      <c r="I7005" s="12">
        <v>6.0</v>
      </c>
      <c r="J7005" s="6" t="s">
        <v>161</v>
      </c>
    </row>
    <row r="7006" ht="22.5" customHeight="1">
      <c r="A7006" s="6" t="s">
        <v>23814</v>
      </c>
      <c r="B7006" s="6" t="s">
        <v>15755</v>
      </c>
      <c r="C7006" s="10">
        <v>46048.0</v>
      </c>
      <c r="D7006" s="6" t="s">
        <v>242</v>
      </c>
      <c r="E7006" s="6" t="s">
        <v>1517</v>
      </c>
      <c r="F7006" s="6" t="s">
        <v>439</v>
      </c>
      <c r="G7006" s="6" t="s">
        <v>254</v>
      </c>
      <c r="H7006" s="10">
        <v>46049.0</v>
      </c>
      <c r="I7006" s="12">
        <v>3.0</v>
      </c>
      <c r="J7006" s="6" t="s">
        <v>178</v>
      </c>
    </row>
    <row r="7007" ht="22.5" customHeight="1">
      <c r="A7007" s="6" t="s">
        <v>23815</v>
      </c>
      <c r="B7007" s="6" t="s">
        <v>15763</v>
      </c>
      <c r="C7007" s="10">
        <v>46071.0</v>
      </c>
      <c r="D7007" s="6" t="s">
        <v>391</v>
      </c>
      <c r="E7007" s="6" t="s">
        <v>1600</v>
      </c>
      <c r="F7007" s="6" t="s">
        <v>249</v>
      </c>
      <c r="G7007" s="6" t="s">
        <v>494</v>
      </c>
      <c r="H7007" s="10">
        <v>46074.0</v>
      </c>
      <c r="I7007" s="12">
        <v>7.0</v>
      </c>
      <c r="J7007" s="6" t="s">
        <v>161</v>
      </c>
    </row>
    <row r="7008" ht="22.5" customHeight="1">
      <c r="A7008" s="6" t="s">
        <v>23816</v>
      </c>
      <c r="B7008" s="6" t="s">
        <v>15763</v>
      </c>
      <c r="C7008" s="10">
        <v>46069.0</v>
      </c>
      <c r="D7008" s="6" t="s">
        <v>416</v>
      </c>
      <c r="E7008" s="6" t="s">
        <v>833</v>
      </c>
      <c r="F7008" s="6" t="s">
        <v>283</v>
      </c>
      <c r="G7008" s="6" t="s">
        <v>477</v>
      </c>
      <c r="H7008" s="10">
        <v>46070.0</v>
      </c>
      <c r="I7008" s="12">
        <v>14.0</v>
      </c>
      <c r="J7008" s="6" t="s">
        <v>161</v>
      </c>
    </row>
    <row r="7009" ht="22.5" customHeight="1">
      <c r="A7009" s="6" t="s">
        <v>23817</v>
      </c>
      <c r="B7009" s="6" t="s">
        <v>15763</v>
      </c>
      <c r="C7009" s="10">
        <v>46067.0</v>
      </c>
      <c r="D7009" s="6" t="s">
        <v>416</v>
      </c>
      <c r="E7009" s="6" t="s">
        <v>1626</v>
      </c>
      <c r="F7009" s="6" t="s">
        <v>112</v>
      </c>
      <c r="G7009" s="6" t="s">
        <v>326</v>
      </c>
      <c r="H7009" s="11" t="s">
        <v>259</v>
      </c>
      <c r="I7009" s="12">
        <v>14.0</v>
      </c>
      <c r="J7009" s="6" t="s">
        <v>161</v>
      </c>
    </row>
    <row r="7010" ht="22.5" customHeight="1">
      <c r="A7010" s="6" t="s">
        <v>23818</v>
      </c>
      <c r="B7010" s="6" t="s">
        <v>15763</v>
      </c>
      <c r="C7010" s="10">
        <v>46060.0</v>
      </c>
      <c r="D7010" s="6" t="s">
        <v>677</v>
      </c>
      <c r="E7010" s="6" t="s">
        <v>1700</v>
      </c>
      <c r="F7010" s="6" t="s">
        <v>249</v>
      </c>
      <c r="G7010" s="6" t="s">
        <v>254</v>
      </c>
      <c r="H7010" s="11" t="s">
        <v>259</v>
      </c>
      <c r="I7010" s="12">
        <v>3.0</v>
      </c>
      <c r="J7010" s="6" t="s">
        <v>161</v>
      </c>
    </row>
    <row r="7011" ht="22.5" customHeight="1">
      <c r="A7011" s="6" t="s">
        <v>23819</v>
      </c>
      <c r="B7011" s="6" t="s">
        <v>15770</v>
      </c>
      <c r="C7011" s="10">
        <v>46073.0</v>
      </c>
      <c r="D7011" s="6" t="s">
        <v>391</v>
      </c>
      <c r="E7011" s="6" t="s">
        <v>1122</v>
      </c>
      <c r="F7011" s="6" t="s">
        <v>439</v>
      </c>
      <c r="G7011" s="6" t="s">
        <v>494</v>
      </c>
      <c r="H7011" s="10">
        <v>46075.0</v>
      </c>
      <c r="I7011" s="12">
        <v>11.0</v>
      </c>
      <c r="J7011" s="6" t="s">
        <v>161</v>
      </c>
    </row>
    <row r="7012" ht="22.5" customHeight="1">
      <c r="A7012" s="6" t="s">
        <v>23820</v>
      </c>
      <c r="B7012" s="6" t="s">
        <v>15770</v>
      </c>
      <c r="C7012" s="10">
        <v>46085.0</v>
      </c>
      <c r="D7012" s="6" t="s">
        <v>242</v>
      </c>
      <c r="E7012" s="6" t="s">
        <v>1149</v>
      </c>
      <c r="F7012" s="6" t="s">
        <v>249</v>
      </c>
      <c r="G7012" s="6" t="s">
        <v>458</v>
      </c>
      <c r="H7012" s="10">
        <v>46086.0</v>
      </c>
      <c r="I7012" s="12">
        <v>4.0</v>
      </c>
      <c r="J7012" s="6" t="s">
        <v>178</v>
      </c>
    </row>
    <row r="7013" ht="22.5" customHeight="1">
      <c r="A7013" s="6" t="s">
        <v>23821</v>
      </c>
      <c r="B7013" s="6" t="s">
        <v>15770</v>
      </c>
      <c r="C7013" s="10">
        <v>46074.0</v>
      </c>
      <c r="D7013" s="6" t="s">
        <v>242</v>
      </c>
      <c r="E7013" s="6" t="s">
        <v>512</v>
      </c>
      <c r="F7013" s="6" t="s">
        <v>249</v>
      </c>
      <c r="G7013" s="6" t="s">
        <v>326</v>
      </c>
      <c r="H7013" s="10">
        <v>46074.0</v>
      </c>
      <c r="I7013" s="12">
        <v>5.0</v>
      </c>
      <c r="J7013" s="6" t="s">
        <v>161</v>
      </c>
    </row>
    <row r="7014" ht="22.5" customHeight="1">
      <c r="A7014" s="6" t="s">
        <v>23822</v>
      </c>
      <c r="B7014" s="6" t="s">
        <v>15778</v>
      </c>
      <c r="C7014" s="10">
        <v>46057.0</v>
      </c>
      <c r="D7014" s="6" t="s">
        <v>436</v>
      </c>
      <c r="E7014" s="6" t="s">
        <v>566</v>
      </c>
      <c r="F7014" s="6" t="s">
        <v>112</v>
      </c>
      <c r="G7014" s="6" t="s">
        <v>297</v>
      </c>
      <c r="H7014" s="10">
        <v>46063.0</v>
      </c>
      <c r="I7014" s="12">
        <v>9.0</v>
      </c>
      <c r="J7014" s="6" t="s">
        <v>178</v>
      </c>
    </row>
    <row r="7015" ht="22.5" customHeight="1">
      <c r="A7015" s="6" t="s">
        <v>23823</v>
      </c>
      <c r="B7015" s="6" t="s">
        <v>15778</v>
      </c>
      <c r="C7015" s="10">
        <v>46047.0</v>
      </c>
      <c r="D7015" s="6" t="s">
        <v>391</v>
      </c>
      <c r="E7015" s="6" t="s">
        <v>704</v>
      </c>
      <c r="F7015" s="6" t="s">
        <v>112</v>
      </c>
      <c r="G7015" s="6" t="s">
        <v>458</v>
      </c>
      <c r="H7015" s="10">
        <v>46048.0</v>
      </c>
      <c r="I7015" s="12">
        <v>11.0</v>
      </c>
      <c r="J7015" s="6" t="s">
        <v>161</v>
      </c>
    </row>
    <row r="7016" ht="22.5" customHeight="1">
      <c r="A7016" s="6" t="s">
        <v>23824</v>
      </c>
      <c r="B7016" s="6" t="s">
        <v>15778</v>
      </c>
      <c r="C7016" s="10">
        <v>46060.0</v>
      </c>
      <c r="D7016" s="6" t="s">
        <v>677</v>
      </c>
      <c r="E7016" s="6" t="s">
        <v>2365</v>
      </c>
      <c r="F7016" s="6" t="s">
        <v>283</v>
      </c>
      <c r="G7016" s="6" t="s">
        <v>297</v>
      </c>
      <c r="H7016" s="10">
        <v>46061.0</v>
      </c>
      <c r="I7016" s="12">
        <v>3.0</v>
      </c>
      <c r="J7016" s="6" t="s">
        <v>161</v>
      </c>
    </row>
    <row r="7017" ht="22.5" customHeight="1">
      <c r="A7017" s="6" t="s">
        <v>23825</v>
      </c>
      <c r="B7017" s="6" t="s">
        <v>15784</v>
      </c>
      <c r="C7017" s="10">
        <v>46044.0</v>
      </c>
      <c r="D7017" s="6" t="s">
        <v>416</v>
      </c>
      <c r="E7017" s="6" t="s">
        <v>475</v>
      </c>
      <c r="F7017" s="6" t="s">
        <v>112</v>
      </c>
      <c r="G7017" s="6" t="s">
        <v>326</v>
      </c>
      <c r="H7017" s="11" t="s">
        <v>259</v>
      </c>
      <c r="I7017" s="12">
        <v>8.0</v>
      </c>
      <c r="J7017" s="6" t="s">
        <v>161</v>
      </c>
    </row>
    <row r="7018" ht="22.5" customHeight="1">
      <c r="A7018" s="6" t="s">
        <v>23826</v>
      </c>
      <c r="B7018" s="6" t="s">
        <v>15784</v>
      </c>
      <c r="C7018" s="10">
        <v>46063.0</v>
      </c>
      <c r="D7018" s="6" t="s">
        <v>416</v>
      </c>
      <c r="E7018" s="6" t="s">
        <v>450</v>
      </c>
      <c r="F7018" s="6" t="s">
        <v>112</v>
      </c>
      <c r="G7018" s="6" t="s">
        <v>458</v>
      </c>
      <c r="H7018" s="11" t="s">
        <v>259</v>
      </c>
      <c r="I7018" s="12">
        <v>8.0</v>
      </c>
      <c r="J7018" s="6" t="s">
        <v>161</v>
      </c>
    </row>
    <row r="7019" ht="22.5" customHeight="1">
      <c r="A7019" s="6" t="s">
        <v>23827</v>
      </c>
      <c r="B7019" s="6" t="s">
        <v>15784</v>
      </c>
      <c r="C7019" s="10">
        <v>46058.0</v>
      </c>
      <c r="D7019" s="6" t="s">
        <v>391</v>
      </c>
      <c r="E7019" s="6" t="s">
        <v>798</v>
      </c>
      <c r="F7019" s="6" t="s">
        <v>439</v>
      </c>
      <c r="G7019" s="6" t="s">
        <v>369</v>
      </c>
      <c r="H7019" s="10">
        <v>46058.0</v>
      </c>
      <c r="I7019" s="12">
        <v>8.0</v>
      </c>
      <c r="J7019" s="6" t="s">
        <v>161</v>
      </c>
    </row>
    <row r="7020" ht="22.5" customHeight="1">
      <c r="A7020" s="6" t="s">
        <v>23828</v>
      </c>
      <c r="B7020" s="6" t="s">
        <v>15791</v>
      </c>
      <c r="C7020" s="10">
        <v>46058.0</v>
      </c>
      <c r="D7020" s="6" t="s">
        <v>436</v>
      </c>
      <c r="E7020" s="6" t="s">
        <v>610</v>
      </c>
      <c r="F7020" s="6" t="s">
        <v>249</v>
      </c>
      <c r="G7020" s="6" t="s">
        <v>494</v>
      </c>
      <c r="H7020" s="10">
        <v>46059.0</v>
      </c>
      <c r="I7020" s="12">
        <v>6.0</v>
      </c>
      <c r="J7020" s="6" t="s">
        <v>178</v>
      </c>
    </row>
    <row r="7021" ht="22.5" customHeight="1">
      <c r="A7021" s="6" t="s">
        <v>23829</v>
      </c>
      <c r="B7021" s="6" t="s">
        <v>15791</v>
      </c>
      <c r="C7021" s="10">
        <v>46060.0</v>
      </c>
      <c r="D7021" s="6" t="s">
        <v>289</v>
      </c>
      <c r="E7021" s="6" t="s">
        <v>394</v>
      </c>
      <c r="F7021" s="6" t="s">
        <v>283</v>
      </c>
      <c r="G7021" s="6" t="s">
        <v>494</v>
      </c>
      <c r="H7021" s="10">
        <v>46067.0</v>
      </c>
      <c r="I7021" s="12">
        <v>6.0</v>
      </c>
      <c r="J7021" s="6" t="s">
        <v>161</v>
      </c>
    </row>
    <row r="7022" ht="22.5" customHeight="1">
      <c r="A7022" s="6" t="s">
        <v>23830</v>
      </c>
      <c r="B7022" s="6" t="s">
        <v>15797</v>
      </c>
      <c r="C7022" s="10">
        <v>46080.0</v>
      </c>
      <c r="D7022" s="6" t="s">
        <v>312</v>
      </c>
      <c r="E7022" s="6" t="s">
        <v>291</v>
      </c>
      <c r="F7022" s="6" t="s">
        <v>439</v>
      </c>
      <c r="G7022" s="6" t="s">
        <v>458</v>
      </c>
      <c r="H7022" s="10">
        <v>46082.0</v>
      </c>
      <c r="I7022" s="12">
        <v>7.0</v>
      </c>
      <c r="J7022" s="6" t="s">
        <v>161</v>
      </c>
    </row>
    <row r="7023" ht="22.5" customHeight="1">
      <c r="A7023" s="6" t="s">
        <v>23831</v>
      </c>
      <c r="B7023" s="6" t="s">
        <v>15797</v>
      </c>
      <c r="C7023" s="10">
        <v>46082.0</v>
      </c>
      <c r="D7023" s="6" t="s">
        <v>677</v>
      </c>
      <c r="E7023" s="6" t="s">
        <v>450</v>
      </c>
      <c r="F7023" s="6" t="s">
        <v>112</v>
      </c>
      <c r="G7023" s="6" t="s">
        <v>452</v>
      </c>
      <c r="H7023" s="10">
        <v>46085.0</v>
      </c>
      <c r="I7023" s="12">
        <v>2.0</v>
      </c>
      <c r="J7023" s="6" t="s">
        <v>161</v>
      </c>
    </row>
    <row r="7024" ht="22.5" customHeight="1">
      <c r="A7024" s="6" t="s">
        <v>23832</v>
      </c>
      <c r="B7024" s="6" t="s">
        <v>15797</v>
      </c>
      <c r="C7024" s="10">
        <v>46085.0</v>
      </c>
      <c r="D7024" s="6" t="s">
        <v>289</v>
      </c>
      <c r="E7024" s="6" t="s">
        <v>246</v>
      </c>
      <c r="F7024" s="6" t="s">
        <v>112</v>
      </c>
      <c r="G7024" s="6" t="s">
        <v>494</v>
      </c>
      <c r="H7024" s="10">
        <v>46088.0</v>
      </c>
      <c r="I7024" s="12">
        <v>5.0</v>
      </c>
      <c r="J7024" s="6" t="s">
        <v>161</v>
      </c>
    </row>
    <row r="7025" ht="22.5" customHeight="1">
      <c r="A7025" s="6" t="s">
        <v>23833</v>
      </c>
      <c r="B7025" s="6" t="s">
        <v>15797</v>
      </c>
      <c r="C7025" s="10">
        <v>46070.0</v>
      </c>
      <c r="D7025" s="6" t="s">
        <v>391</v>
      </c>
      <c r="E7025" s="6" t="s">
        <v>1296</v>
      </c>
      <c r="F7025" s="6" t="s">
        <v>439</v>
      </c>
      <c r="G7025" s="6" t="s">
        <v>477</v>
      </c>
      <c r="H7025" s="10">
        <v>46071.0</v>
      </c>
      <c r="I7025" s="12">
        <v>11.0</v>
      </c>
      <c r="J7025" s="6" t="s">
        <v>161</v>
      </c>
    </row>
    <row r="7026" ht="22.5" customHeight="1">
      <c r="A7026" s="6" t="s">
        <v>23834</v>
      </c>
      <c r="B7026" s="6" t="s">
        <v>15797</v>
      </c>
      <c r="C7026" s="10">
        <v>46075.0</v>
      </c>
      <c r="D7026" s="6" t="s">
        <v>312</v>
      </c>
      <c r="E7026" s="6" t="s">
        <v>618</v>
      </c>
      <c r="F7026" s="6" t="s">
        <v>283</v>
      </c>
      <c r="G7026" s="6" t="s">
        <v>458</v>
      </c>
      <c r="H7026" s="10">
        <v>46079.0</v>
      </c>
      <c r="I7026" s="12">
        <v>5.0</v>
      </c>
      <c r="J7026" s="6" t="s">
        <v>161</v>
      </c>
    </row>
    <row r="7027" ht="22.5" customHeight="1">
      <c r="A7027" s="6" t="s">
        <v>23835</v>
      </c>
      <c r="B7027" s="6" t="s">
        <v>15804</v>
      </c>
      <c r="C7027" s="10">
        <v>46076.0</v>
      </c>
      <c r="D7027" s="6" t="s">
        <v>391</v>
      </c>
      <c r="E7027" s="6" t="s">
        <v>2365</v>
      </c>
      <c r="F7027" s="6" t="s">
        <v>112</v>
      </c>
      <c r="G7027" s="6" t="s">
        <v>297</v>
      </c>
      <c r="H7027" s="10">
        <v>46083.0</v>
      </c>
      <c r="I7027" s="12">
        <v>11.0</v>
      </c>
      <c r="J7027" s="6" t="s">
        <v>161</v>
      </c>
    </row>
    <row r="7028" ht="22.5" customHeight="1">
      <c r="A7028" s="6" t="s">
        <v>23836</v>
      </c>
      <c r="B7028" s="6" t="s">
        <v>15804</v>
      </c>
      <c r="C7028" s="10">
        <v>46072.0</v>
      </c>
      <c r="D7028" s="6" t="s">
        <v>677</v>
      </c>
      <c r="E7028" s="6" t="s">
        <v>2881</v>
      </c>
      <c r="F7028" s="6" t="s">
        <v>112</v>
      </c>
      <c r="G7028" s="6" t="s">
        <v>452</v>
      </c>
      <c r="H7028" s="11" t="s">
        <v>259</v>
      </c>
      <c r="I7028" s="12">
        <v>4.0</v>
      </c>
      <c r="J7028" s="6" t="s">
        <v>161</v>
      </c>
    </row>
    <row r="7029" ht="22.5" customHeight="1">
      <c r="A7029" s="6" t="s">
        <v>23837</v>
      </c>
      <c r="B7029" s="6" t="s">
        <v>15804</v>
      </c>
      <c r="C7029" s="10">
        <v>46076.0</v>
      </c>
      <c r="D7029" s="6" t="s">
        <v>391</v>
      </c>
      <c r="E7029" s="6" t="s">
        <v>863</v>
      </c>
      <c r="F7029" s="6" t="s">
        <v>249</v>
      </c>
      <c r="G7029" s="6" t="s">
        <v>458</v>
      </c>
      <c r="H7029" s="10">
        <v>46078.0</v>
      </c>
      <c r="I7029" s="12">
        <v>10.0</v>
      </c>
      <c r="J7029" s="6" t="s">
        <v>161</v>
      </c>
    </row>
    <row r="7030" ht="22.5" customHeight="1">
      <c r="A7030" s="6" t="s">
        <v>23838</v>
      </c>
      <c r="B7030" s="6" t="s">
        <v>15804</v>
      </c>
      <c r="C7030" s="10">
        <v>46065.0</v>
      </c>
      <c r="D7030" s="6" t="s">
        <v>436</v>
      </c>
      <c r="E7030" s="6" t="s">
        <v>2365</v>
      </c>
      <c r="F7030" s="6" t="s">
        <v>439</v>
      </c>
      <c r="G7030" s="6" t="s">
        <v>326</v>
      </c>
      <c r="H7030" s="10">
        <v>46067.0</v>
      </c>
      <c r="I7030" s="12">
        <v>6.0</v>
      </c>
      <c r="J7030" s="6" t="s">
        <v>161</v>
      </c>
    </row>
    <row r="7031" ht="22.5" customHeight="1">
      <c r="A7031" s="6" t="s">
        <v>23839</v>
      </c>
      <c r="B7031" s="6" t="s">
        <v>15810</v>
      </c>
      <c r="C7031" s="10">
        <v>46045.0</v>
      </c>
      <c r="D7031" s="6" t="s">
        <v>416</v>
      </c>
      <c r="E7031" s="6" t="s">
        <v>1720</v>
      </c>
      <c r="F7031" s="6" t="s">
        <v>283</v>
      </c>
      <c r="G7031" s="6" t="s">
        <v>326</v>
      </c>
      <c r="H7031" s="11" t="s">
        <v>259</v>
      </c>
      <c r="I7031" s="12">
        <v>11.0</v>
      </c>
      <c r="J7031" s="6" t="s">
        <v>161</v>
      </c>
    </row>
    <row r="7032" ht="22.5" customHeight="1">
      <c r="A7032" s="6" t="s">
        <v>23840</v>
      </c>
      <c r="B7032" s="6" t="s">
        <v>15810</v>
      </c>
      <c r="C7032" s="10">
        <v>46048.0</v>
      </c>
      <c r="D7032" s="6" t="s">
        <v>416</v>
      </c>
      <c r="E7032" s="6" t="s">
        <v>885</v>
      </c>
      <c r="F7032" s="6" t="s">
        <v>439</v>
      </c>
      <c r="G7032" s="6" t="s">
        <v>452</v>
      </c>
      <c r="H7032" s="11" t="s">
        <v>259</v>
      </c>
      <c r="I7032" s="12">
        <v>13.0</v>
      </c>
      <c r="J7032" s="6" t="s">
        <v>161</v>
      </c>
    </row>
    <row r="7033" ht="22.5" customHeight="1">
      <c r="A7033" s="6" t="s">
        <v>23841</v>
      </c>
      <c r="B7033" s="6" t="s">
        <v>15810</v>
      </c>
      <c r="C7033" s="10">
        <v>46058.0</v>
      </c>
      <c r="D7033" s="6" t="s">
        <v>416</v>
      </c>
      <c r="E7033" s="6" t="s">
        <v>687</v>
      </c>
      <c r="F7033" s="6" t="s">
        <v>249</v>
      </c>
      <c r="G7033" s="6" t="s">
        <v>477</v>
      </c>
      <c r="H7033" s="10">
        <v>46064.0</v>
      </c>
      <c r="I7033" s="12">
        <v>11.0</v>
      </c>
      <c r="J7033" s="6" t="s">
        <v>161</v>
      </c>
    </row>
    <row r="7034" ht="22.5" customHeight="1">
      <c r="A7034" s="6" t="s">
        <v>23842</v>
      </c>
      <c r="B7034" s="6" t="s">
        <v>15810</v>
      </c>
      <c r="C7034" s="10">
        <v>46054.0</v>
      </c>
      <c r="D7034" s="6" t="s">
        <v>242</v>
      </c>
      <c r="E7034" s="6" t="s">
        <v>1102</v>
      </c>
      <c r="F7034" s="6" t="s">
        <v>283</v>
      </c>
      <c r="G7034" s="6" t="s">
        <v>297</v>
      </c>
      <c r="H7034" s="10">
        <v>46058.0</v>
      </c>
      <c r="I7034" s="12">
        <v>6.0</v>
      </c>
      <c r="J7034" s="6" t="s">
        <v>178</v>
      </c>
    </row>
    <row r="7035" ht="22.5" customHeight="1">
      <c r="A7035" s="6" t="s">
        <v>23843</v>
      </c>
      <c r="B7035" s="6" t="s">
        <v>15816</v>
      </c>
      <c r="C7035" s="10">
        <v>46048.0</v>
      </c>
      <c r="D7035" s="6" t="s">
        <v>312</v>
      </c>
      <c r="E7035" s="6" t="s">
        <v>1280</v>
      </c>
      <c r="F7035" s="6" t="s">
        <v>439</v>
      </c>
      <c r="G7035" s="6" t="s">
        <v>494</v>
      </c>
      <c r="H7035" s="11" t="s">
        <v>259</v>
      </c>
      <c r="I7035" s="12">
        <v>5.0</v>
      </c>
      <c r="J7035" s="6" t="s">
        <v>161</v>
      </c>
    </row>
    <row r="7036" ht="22.5" customHeight="1">
      <c r="A7036" s="6" t="s">
        <v>23844</v>
      </c>
      <c r="B7036" s="6" t="s">
        <v>15816</v>
      </c>
      <c r="C7036" s="10">
        <v>46049.0</v>
      </c>
      <c r="D7036" s="6" t="s">
        <v>312</v>
      </c>
      <c r="E7036" s="6" t="s">
        <v>1700</v>
      </c>
      <c r="F7036" s="6" t="s">
        <v>283</v>
      </c>
      <c r="G7036" s="6" t="s">
        <v>254</v>
      </c>
      <c r="H7036" s="10">
        <v>46055.0</v>
      </c>
      <c r="I7036" s="12">
        <v>4.0</v>
      </c>
      <c r="J7036" s="6" t="s">
        <v>161</v>
      </c>
    </row>
    <row r="7037" ht="22.5" customHeight="1">
      <c r="A7037" s="6" t="s">
        <v>23845</v>
      </c>
      <c r="B7037" s="6" t="s">
        <v>15816</v>
      </c>
      <c r="C7037" s="10">
        <v>46067.0</v>
      </c>
      <c r="D7037" s="6" t="s">
        <v>242</v>
      </c>
      <c r="E7037" s="6" t="s">
        <v>955</v>
      </c>
      <c r="F7037" s="6" t="s">
        <v>112</v>
      </c>
      <c r="G7037" s="6" t="s">
        <v>452</v>
      </c>
      <c r="H7037" s="10">
        <v>46073.0</v>
      </c>
      <c r="I7037" s="12">
        <v>3.0</v>
      </c>
      <c r="J7037" s="6" t="s">
        <v>178</v>
      </c>
    </row>
    <row r="7038" ht="22.5" customHeight="1">
      <c r="A7038" s="6" t="s">
        <v>23846</v>
      </c>
      <c r="B7038" s="6" t="s">
        <v>15816</v>
      </c>
      <c r="C7038" s="10">
        <v>46056.0</v>
      </c>
      <c r="D7038" s="6" t="s">
        <v>391</v>
      </c>
      <c r="E7038" s="6" t="s">
        <v>1241</v>
      </c>
      <c r="F7038" s="6" t="s">
        <v>283</v>
      </c>
      <c r="G7038" s="6" t="s">
        <v>254</v>
      </c>
      <c r="H7038" s="10">
        <v>46056.0</v>
      </c>
      <c r="I7038" s="12">
        <v>11.0</v>
      </c>
      <c r="J7038" s="6" t="s">
        <v>161</v>
      </c>
    </row>
    <row r="7039" ht="22.5" customHeight="1">
      <c r="A7039" s="6" t="s">
        <v>23847</v>
      </c>
      <c r="B7039" s="6" t="s">
        <v>15816</v>
      </c>
      <c r="C7039" s="10">
        <v>46065.0</v>
      </c>
      <c r="D7039" s="6" t="s">
        <v>416</v>
      </c>
      <c r="E7039" s="6" t="s">
        <v>863</v>
      </c>
      <c r="F7039" s="6" t="s">
        <v>283</v>
      </c>
      <c r="G7039" s="6" t="s">
        <v>297</v>
      </c>
      <c r="H7039" s="10">
        <v>46070.0</v>
      </c>
      <c r="I7039" s="12">
        <v>11.0</v>
      </c>
      <c r="J7039" s="6" t="s">
        <v>161</v>
      </c>
    </row>
    <row r="7040" ht="22.5" customHeight="1">
      <c r="A7040" s="6" t="s">
        <v>23848</v>
      </c>
      <c r="B7040" s="6" t="s">
        <v>15823</v>
      </c>
      <c r="C7040" s="10">
        <v>46072.0</v>
      </c>
      <c r="D7040" s="6" t="s">
        <v>289</v>
      </c>
      <c r="E7040" s="6" t="s">
        <v>1720</v>
      </c>
      <c r="F7040" s="6" t="s">
        <v>283</v>
      </c>
      <c r="G7040" s="6" t="s">
        <v>458</v>
      </c>
      <c r="H7040" s="10">
        <v>46075.0</v>
      </c>
      <c r="I7040" s="12">
        <v>10.0</v>
      </c>
      <c r="J7040" s="6" t="s">
        <v>161</v>
      </c>
    </row>
    <row r="7041" ht="22.5" customHeight="1">
      <c r="A7041" s="6" t="s">
        <v>23849</v>
      </c>
      <c r="B7041" s="6" t="s">
        <v>15829</v>
      </c>
      <c r="C7041" s="10">
        <v>46078.0</v>
      </c>
      <c r="D7041" s="6" t="s">
        <v>391</v>
      </c>
      <c r="E7041" s="6" t="s">
        <v>628</v>
      </c>
      <c r="F7041" s="6" t="s">
        <v>112</v>
      </c>
      <c r="G7041" s="6" t="s">
        <v>458</v>
      </c>
      <c r="H7041" s="10">
        <v>46082.0</v>
      </c>
      <c r="I7041" s="12">
        <v>9.0</v>
      </c>
      <c r="J7041" s="6" t="s">
        <v>161</v>
      </c>
    </row>
    <row r="7042" ht="22.5" customHeight="1">
      <c r="A7042" s="6" t="s">
        <v>23850</v>
      </c>
      <c r="B7042" s="6" t="s">
        <v>15829</v>
      </c>
      <c r="C7042" s="10">
        <v>46070.0</v>
      </c>
      <c r="D7042" s="6" t="s">
        <v>312</v>
      </c>
      <c r="E7042" s="6" t="s">
        <v>955</v>
      </c>
      <c r="F7042" s="6" t="s">
        <v>439</v>
      </c>
      <c r="G7042" s="6" t="s">
        <v>297</v>
      </c>
      <c r="H7042" s="10">
        <v>46071.0</v>
      </c>
      <c r="I7042" s="12">
        <v>4.0</v>
      </c>
      <c r="J7042" s="6" t="s">
        <v>161</v>
      </c>
    </row>
    <row r="7043" ht="22.5" customHeight="1">
      <c r="A7043" s="6" t="s">
        <v>23851</v>
      </c>
      <c r="B7043" s="6" t="s">
        <v>15829</v>
      </c>
      <c r="C7043" s="10">
        <v>46079.0</v>
      </c>
      <c r="D7043" s="6" t="s">
        <v>391</v>
      </c>
      <c r="E7043" s="6" t="s">
        <v>610</v>
      </c>
      <c r="F7043" s="6" t="s">
        <v>112</v>
      </c>
      <c r="G7043" s="6" t="s">
        <v>458</v>
      </c>
      <c r="H7043" s="10">
        <v>46080.0</v>
      </c>
      <c r="I7043" s="12">
        <v>11.0</v>
      </c>
      <c r="J7043" s="6" t="s">
        <v>161</v>
      </c>
    </row>
    <row r="7044" ht="22.5" customHeight="1">
      <c r="A7044" s="6" t="s">
        <v>23852</v>
      </c>
      <c r="B7044" s="6" t="s">
        <v>15829</v>
      </c>
      <c r="C7044" s="10">
        <v>46078.0</v>
      </c>
      <c r="D7044" s="6" t="s">
        <v>289</v>
      </c>
      <c r="E7044" s="6" t="s">
        <v>365</v>
      </c>
      <c r="F7044" s="6" t="s">
        <v>283</v>
      </c>
      <c r="G7044" s="6" t="s">
        <v>452</v>
      </c>
      <c r="H7044" s="10">
        <v>46085.0</v>
      </c>
      <c r="I7044" s="12">
        <v>10.0</v>
      </c>
      <c r="J7044" s="6" t="s">
        <v>161</v>
      </c>
    </row>
    <row r="7045" ht="22.5" customHeight="1">
      <c r="A7045" s="6" t="s">
        <v>23853</v>
      </c>
      <c r="B7045" s="6" t="s">
        <v>15835</v>
      </c>
      <c r="C7045" s="10">
        <v>46039.0</v>
      </c>
      <c r="D7045" s="6" t="s">
        <v>436</v>
      </c>
      <c r="E7045" s="6" t="s">
        <v>885</v>
      </c>
      <c r="F7045" s="6" t="s">
        <v>439</v>
      </c>
      <c r="G7045" s="6" t="s">
        <v>254</v>
      </c>
      <c r="H7045" s="10">
        <v>46040.0</v>
      </c>
      <c r="I7045" s="12">
        <v>8.0</v>
      </c>
      <c r="J7045" s="6" t="s">
        <v>178</v>
      </c>
    </row>
    <row r="7046" ht="22.5" customHeight="1">
      <c r="A7046" s="6" t="s">
        <v>23854</v>
      </c>
      <c r="B7046" s="6" t="s">
        <v>15835</v>
      </c>
      <c r="C7046" s="10">
        <v>46053.0</v>
      </c>
      <c r="D7046" s="6" t="s">
        <v>416</v>
      </c>
      <c r="E7046" s="6" t="s">
        <v>1600</v>
      </c>
      <c r="F7046" s="6" t="s">
        <v>249</v>
      </c>
      <c r="G7046" s="6" t="s">
        <v>369</v>
      </c>
      <c r="H7046" s="10">
        <v>46057.0</v>
      </c>
      <c r="I7046" s="12">
        <v>12.0</v>
      </c>
      <c r="J7046" s="6" t="s">
        <v>161</v>
      </c>
    </row>
    <row r="7047" ht="22.5" customHeight="1">
      <c r="A7047" s="6" t="s">
        <v>23855</v>
      </c>
      <c r="B7047" s="6" t="s">
        <v>15835</v>
      </c>
      <c r="C7047" s="10">
        <v>46047.0</v>
      </c>
      <c r="D7047" s="6" t="s">
        <v>391</v>
      </c>
      <c r="E7047" s="6" t="s">
        <v>1310</v>
      </c>
      <c r="F7047" s="6" t="s">
        <v>439</v>
      </c>
      <c r="G7047" s="6" t="s">
        <v>494</v>
      </c>
      <c r="H7047" s="10">
        <v>46052.0</v>
      </c>
      <c r="I7047" s="12">
        <v>6.0</v>
      </c>
      <c r="J7047" s="6" t="s">
        <v>161</v>
      </c>
    </row>
    <row r="7048" ht="22.5" customHeight="1">
      <c r="A7048" s="6" t="s">
        <v>23856</v>
      </c>
      <c r="B7048" s="6" t="s">
        <v>15841</v>
      </c>
      <c r="C7048" s="10">
        <v>46063.0</v>
      </c>
      <c r="D7048" s="6" t="s">
        <v>436</v>
      </c>
      <c r="E7048" s="6" t="s">
        <v>417</v>
      </c>
      <c r="F7048" s="6" t="s">
        <v>283</v>
      </c>
      <c r="G7048" s="6" t="s">
        <v>297</v>
      </c>
      <c r="H7048" s="10">
        <v>46065.0</v>
      </c>
      <c r="I7048" s="12">
        <v>10.0</v>
      </c>
      <c r="J7048" s="6" t="s">
        <v>178</v>
      </c>
    </row>
    <row r="7049" ht="22.5" customHeight="1">
      <c r="A7049" s="6" t="s">
        <v>23857</v>
      </c>
      <c r="B7049" s="6" t="s">
        <v>15841</v>
      </c>
      <c r="C7049" s="10">
        <v>46074.0</v>
      </c>
      <c r="D7049" s="6" t="s">
        <v>242</v>
      </c>
      <c r="E7049" s="6" t="s">
        <v>812</v>
      </c>
      <c r="F7049" s="6" t="s">
        <v>283</v>
      </c>
      <c r="G7049" s="6" t="s">
        <v>452</v>
      </c>
      <c r="H7049" s="10">
        <v>46078.0</v>
      </c>
      <c r="I7049" s="12">
        <v>4.0</v>
      </c>
      <c r="J7049" s="6" t="s">
        <v>178</v>
      </c>
    </row>
    <row r="7050" ht="22.5" customHeight="1">
      <c r="A7050" s="6" t="s">
        <v>23858</v>
      </c>
      <c r="B7050" s="6" t="s">
        <v>15841</v>
      </c>
      <c r="C7050" s="10">
        <v>46071.0</v>
      </c>
      <c r="D7050" s="6" t="s">
        <v>312</v>
      </c>
      <c r="E7050" s="6" t="s">
        <v>955</v>
      </c>
      <c r="F7050" s="6" t="s">
        <v>249</v>
      </c>
      <c r="G7050" s="6" t="s">
        <v>369</v>
      </c>
      <c r="H7050" s="10">
        <v>46072.0</v>
      </c>
      <c r="I7050" s="12">
        <v>5.0</v>
      </c>
      <c r="J7050" s="6" t="s">
        <v>161</v>
      </c>
    </row>
    <row r="7051" ht="22.5" customHeight="1">
      <c r="A7051" s="6" t="s">
        <v>23859</v>
      </c>
      <c r="B7051" s="6" t="s">
        <v>15841</v>
      </c>
      <c r="C7051" s="10">
        <v>46069.0</v>
      </c>
      <c r="D7051" s="6" t="s">
        <v>242</v>
      </c>
      <c r="E7051" s="6" t="s">
        <v>466</v>
      </c>
      <c r="F7051" s="6" t="s">
        <v>439</v>
      </c>
      <c r="G7051" s="6" t="s">
        <v>477</v>
      </c>
      <c r="H7051" s="10">
        <v>46076.0</v>
      </c>
      <c r="I7051" s="12">
        <v>5.0</v>
      </c>
      <c r="J7051" s="6" t="s">
        <v>178</v>
      </c>
    </row>
    <row r="7052" ht="22.5" customHeight="1">
      <c r="A7052" s="6" t="s">
        <v>23860</v>
      </c>
      <c r="B7052" s="6" t="s">
        <v>15847</v>
      </c>
      <c r="C7052" s="10">
        <v>46074.0</v>
      </c>
      <c r="D7052" s="6" t="s">
        <v>436</v>
      </c>
      <c r="E7052" s="6" t="s">
        <v>583</v>
      </c>
      <c r="F7052" s="6" t="s">
        <v>249</v>
      </c>
      <c r="G7052" s="6" t="s">
        <v>494</v>
      </c>
      <c r="H7052" s="10">
        <v>46081.0</v>
      </c>
      <c r="I7052" s="12">
        <v>8.0</v>
      </c>
      <c r="J7052" s="6" t="s">
        <v>178</v>
      </c>
    </row>
    <row r="7053" ht="22.5" customHeight="1">
      <c r="A7053" s="6" t="s">
        <v>23861</v>
      </c>
      <c r="B7053" s="6" t="s">
        <v>15853</v>
      </c>
      <c r="C7053" s="10">
        <v>46057.0</v>
      </c>
      <c r="D7053" s="6" t="s">
        <v>242</v>
      </c>
      <c r="E7053" s="6" t="s">
        <v>1570</v>
      </c>
      <c r="F7053" s="6" t="s">
        <v>283</v>
      </c>
      <c r="G7053" s="6" t="s">
        <v>297</v>
      </c>
      <c r="H7053" s="10">
        <v>46062.0</v>
      </c>
      <c r="I7053" s="12">
        <v>6.0</v>
      </c>
      <c r="J7053" s="6" t="s">
        <v>178</v>
      </c>
    </row>
    <row r="7054" ht="22.5" customHeight="1">
      <c r="A7054" s="6" t="s">
        <v>23862</v>
      </c>
      <c r="B7054" s="6" t="s">
        <v>15853</v>
      </c>
      <c r="C7054" s="10">
        <v>46070.0</v>
      </c>
      <c r="D7054" s="6" t="s">
        <v>242</v>
      </c>
      <c r="E7054" s="6" t="s">
        <v>566</v>
      </c>
      <c r="F7054" s="6" t="s">
        <v>112</v>
      </c>
      <c r="G7054" s="6" t="s">
        <v>254</v>
      </c>
      <c r="H7054" s="10">
        <v>46074.0</v>
      </c>
      <c r="I7054" s="12">
        <v>6.0</v>
      </c>
      <c r="J7054" s="6" t="s">
        <v>178</v>
      </c>
    </row>
    <row r="7055" ht="22.5" customHeight="1">
      <c r="A7055" s="6" t="s">
        <v>23863</v>
      </c>
      <c r="B7055" s="6" t="s">
        <v>15853</v>
      </c>
      <c r="C7055" s="10">
        <v>46057.0</v>
      </c>
      <c r="D7055" s="6" t="s">
        <v>289</v>
      </c>
      <c r="E7055" s="6" t="s">
        <v>1296</v>
      </c>
      <c r="F7055" s="6" t="s">
        <v>249</v>
      </c>
      <c r="G7055" s="6" t="s">
        <v>297</v>
      </c>
      <c r="H7055" s="10">
        <v>46064.0</v>
      </c>
      <c r="I7055" s="12">
        <v>9.0</v>
      </c>
      <c r="J7055" s="6" t="s">
        <v>161</v>
      </c>
    </row>
    <row r="7056" ht="22.5" customHeight="1">
      <c r="A7056" s="6" t="s">
        <v>23864</v>
      </c>
      <c r="B7056" s="6" t="s">
        <v>15853</v>
      </c>
      <c r="C7056" s="10">
        <v>46067.0</v>
      </c>
      <c r="D7056" s="6" t="s">
        <v>312</v>
      </c>
      <c r="E7056" s="6" t="s">
        <v>658</v>
      </c>
      <c r="F7056" s="6" t="s">
        <v>112</v>
      </c>
      <c r="G7056" s="6" t="s">
        <v>369</v>
      </c>
      <c r="H7056" s="10">
        <v>46067.0</v>
      </c>
      <c r="I7056" s="12">
        <v>4.0</v>
      </c>
      <c r="J7056" s="6" t="s">
        <v>161</v>
      </c>
    </row>
    <row r="7057" ht="22.5" customHeight="1">
      <c r="A7057" s="6" t="s">
        <v>23865</v>
      </c>
      <c r="B7057" s="6" t="s">
        <v>15859</v>
      </c>
      <c r="C7057" s="10">
        <v>46080.0</v>
      </c>
      <c r="D7057" s="6" t="s">
        <v>677</v>
      </c>
      <c r="E7057" s="6" t="s">
        <v>1546</v>
      </c>
      <c r="F7057" s="6" t="s">
        <v>439</v>
      </c>
      <c r="G7057" s="6" t="s">
        <v>297</v>
      </c>
      <c r="H7057" s="10">
        <v>46087.0</v>
      </c>
      <c r="I7057" s="12">
        <v>4.0</v>
      </c>
      <c r="J7057" s="6" t="s">
        <v>161</v>
      </c>
    </row>
    <row r="7058" ht="22.5" customHeight="1">
      <c r="A7058" s="6" t="s">
        <v>23866</v>
      </c>
      <c r="B7058" s="6" t="s">
        <v>15859</v>
      </c>
      <c r="C7058" s="10">
        <v>46066.0</v>
      </c>
      <c r="D7058" s="6" t="s">
        <v>312</v>
      </c>
      <c r="E7058" s="6" t="s">
        <v>610</v>
      </c>
      <c r="F7058" s="6" t="s">
        <v>112</v>
      </c>
      <c r="G7058" s="6" t="s">
        <v>297</v>
      </c>
      <c r="H7058" s="10">
        <v>46070.0</v>
      </c>
      <c r="I7058" s="12">
        <v>4.0</v>
      </c>
      <c r="J7058" s="6" t="s">
        <v>161</v>
      </c>
    </row>
    <row r="7059" ht="22.5" customHeight="1">
      <c r="A7059" s="6" t="s">
        <v>23867</v>
      </c>
      <c r="B7059" s="6" t="s">
        <v>15859</v>
      </c>
      <c r="C7059" s="10">
        <v>46078.0</v>
      </c>
      <c r="D7059" s="6" t="s">
        <v>416</v>
      </c>
      <c r="E7059" s="6" t="s">
        <v>1241</v>
      </c>
      <c r="F7059" s="6" t="s">
        <v>283</v>
      </c>
      <c r="G7059" s="6" t="s">
        <v>452</v>
      </c>
      <c r="H7059" s="10">
        <v>46078.0</v>
      </c>
      <c r="I7059" s="12">
        <v>13.0</v>
      </c>
      <c r="J7059" s="6" t="s">
        <v>161</v>
      </c>
    </row>
    <row r="7060" ht="22.5" customHeight="1">
      <c r="A7060" s="6" t="s">
        <v>23868</v>
      </c>
      <c r="B7060" s="6" t="s">
        <v>15859</v>
      </c>
      <c r="C7060" s="10">
        <v>46074.0</v>
      </c>
      <c r="D7060" s="6" t="s">
        <v>416</v>
      </c>
      <c r="E7060" s="6" t="s">
        <v>618</v>
      </c>
      <c r="F7060" s="6" t="s">
        <v>249</v>
      </c>
      <c r="G7060" s="6" t="s">
        <v>458</v>
      </c>
      <c r="H7060" s="11" t="s">
        <v>259</v>
      </c>
      <c r="I7060" s="12">
        <v>12.0</v>
      </c>
      <c r="J7060" s="6" t="s">
        <v>161</v>
      </c>
    </row>
    <row r="7061" ht="22.5" customHeight="1">
      <c r="A7061" s="6" t="s">
        <v>23869</v>
      </c>
      <c r="B7061" s="6" t="s">
        <v>15859</v>
      </c>
      <c r="C7061" s="10">
        <v>46074.0</v>
      </c>
      <c r="D7061" s="6" t="s">
        <v>677</v>
      </c>
      <c r="E7061" s="6" t="s">
        <v>1310</v>
      </c>
      <c r="F7061" s="6" t="s">
        <v>249</v>
      </c>
      <c r="G7061" s="6" t="s">
        <v>369</v>
      </c>
      <c r="H7061" s="10">
        <v>46076.0</v>
      </c>
      <c r="I7061" s="12">
        <v>4.0</v>
      </c>
      <c r="J7061" s="6" t="s">
        <v>161</v>
      </c>
    </row>
    <row r="7062" ht="22.5" customHeight="1">
      <c r="A7062" s="6" t="s">
        <v>23870</v>
      </c>
      <c r="B7062" s="6" t="s">
        <v>15866</v>
      </c>
      <c r="C7062" s="10">
        <v>46048.0</v>
      </c>
      <c r="D7062" s="6" t="s">
        <v>391</v>
      </c>
      <c r="E7062" s="6" t="s">
        <v>450</v>
      </c>
      <c r="F7062" s="6" t="s">
        <v>439</v>
      </c>
      <c r="G7062" s="6" t="s">
        <v>297</v>
      </c>
      <c r="H7062" s="11" t="s">
        <v>259</v>
      </c>
      <c r="I7062" s="12">
        <v>6.0</v>
      </c>
      <c r="J7062" s="6" t="s">
        <v>161</v>
      </c>
    </row>
    <row r="7063" ht="22.5" customHeight="1">
      <c r="A7063" s="6" t="s">
        <v>23871</v>
      </c>
      <c r="B7063" s="6" t="s">
        <v>15866</v>
      </c>
      <c r="C7063" s="10">
        <v>46061.0</v>
      </c>
      <c r="D7063" s="6" t="s">
        <v>416</v>
      </c>
      <c r="E7063" s="6" t="s">
        <v>1070</v>
      </c>
      <c r="F7063" s="6" t="s">
        <v>112</v>
      </c>
      <c r="G7063" s="6" t="s">
        <v>494</v>
      </c>
      <c r="H7063" s="11" t="s">
        <v>259</v>
      </c>
      <c r="I7063" s="12">
        <v>14.0</v>
      </c>
      <c r="J7063" s="6" t="s">
        <v>161</v>
      </c>
    </row>
    <row r="7064" ht="22.5" customHeight="1">
      <c r="A7064" s="6" t="s">
        <v>23872</v>
      </c>
      <c r="B7064" s="6" t="s">
        <v>15866</v>
      </c>
      <c r="C7064" s="10">
        <v>46058.0</v>
      </c>
      <c r="D7064" s="6" t="s">
        <v>677</v>
      </c>
      <c r="E7064" s="6" t="s">
        <v>450</v>
      </c>
      <c r="F7064" s="6" t="s">
        <v>249</v>
      </c>
      <c r="G7064" s="6" t="s">
        <v>326</v>
      </c>
      <c r="H7064" s="11" t="s">
        <v>259</v>
      </c>
      <c r="I7064" s="12">
        <v>3.0</v>
      </c>
      <c r="J7064" s="6" t="s">
        <v>161</v>
      </c>
    </row>
    <row r="7065" ht="22.5" customHeight="1">
      <c r="A7065" s="6" t="s">
        <v>23873</v>
      </c>
      <c r="B7065" s="6" t="s">
        <v>15872</v>
      </c>
      <c r="C7065" s="10">
        <v>46041.0</v>
      </c>
      <c r="D7065" s="6" t="s">
        <v>242</v>
      </c>
      <c r="E7065" s="6" t="s">
        <v>438</v>
      </c>
      <c r="F7065" s="6" t="s">
        <v>249</v>
      </c>
      <c r="G7065" s="6" t="s">
        <v>494</v>
      </c>
      <c r="H7065" s="10">
        <v>46044.0</v>
      </c>
      <c r="I7065" s="12">
        <v>3.0</v>
      </c>
      <c r="J7065" s="6" t="s">
        <v>161</v>
      </c>
    </row>
    <row r="7066" ht="22.5" customHeight="1">
      <c r="A7066" s="6" t="s">
        <v>23874</v>
      </c>
      <c r="B7066" s="6" t="s">
        <v>15872</v>
      </c>
      <c r="C7066" s="10">
        <v>46046.0</v>
      </c>
      <c r="D7066" s="6" t="s">
        <v>289</v>
      </c>
      <c r="E7066" s="6" t="s">
        <v>1070</v>
      </c>
      <c r="F7066" s="6" t="s">
        <v>249</v>
      </c>
      <c r="G7066" s="6" t="s">
        <v>369</v>
      </c>
      <c r="H7066" s="10">
        <v>46053.0</v>
      </c>
      <c r="I7066" s="12">
        <v>6.0</v>
      </c>
      <c r="J7066" s="6" t="s">
        <v>161</v>
      </c>
    </row>
    <row r="7067" ht="22.5" customHeight="1">
      <c r="A7067" s="6" t="s">
        <v>23875</v>
      </c>
      <c r="B7067" s="6" t="s">
        <v>15872</v>
      </c>
      <c r="C7067" s="10">
        <v>46040.0</v>
      </c>
      <c r="D7067" s="6" t="s">
        <v>391</v>
      </c>
      <c r="E7067" s="6" t="s">
        <v>291</v>
      </c>
      <c r="F7067" s="6" t="s">
        <v>112</v>
      </c>
      <c r="G7067" s="6" t="s">
        <v>254</v>
      </c>
      <c r="H7067" s="10">
        <v>46041.0</v>
      </c>
      <c r="I7067" s="12">
        <v>7.0</v>
      </c>
      <c r="J7067" s="6" t="s">
        <v>161</v>
      </c>
    </row>
    <row r="7068" ht="22.5" customHeight="1">
      <c r="A7068" s="6" t="s">
        <v>23876</v>
      </c>
      <c r="B7068" s="6" t="s">
        <v>15872</v>
      </c>
      <c r="C7068" s="10">
        <v>46048.0</v>
      </c>
      <c r="D7068" s="6" t="s">
        <v>677</v>
      </c>
      <c r="E7068" s="6" t="s">
        <v>246</v>
      </c>
      <c r="F7068" s="6" t="s">
        <v>249</v>
      </c>
      <c r="G7068" s="6" t="s">
        <v>326</v>
      </c>
      <c r="H7068" s="10">
        <v>46050.0</v>
      </c>
      <c r="I7068" s="12">
        <v>4.0</v>
      </c>
      <c r="J7068" s="6" t="s">
        <v>161</v>
      </c>
    </row>
    <row r="7069" ht="22.5" customHeight="1">
      <c r="A7069" s="6" t="s">
        <v>23877</v>
      </c>
      <c r="B7069" s="6" t="s">
        <v>15872</v>
      </c>
      <c r="C7069" s="10">
        <v>46049.0</v>
      </c>
      <c r="D7069" s="6" t="s">
        <v>416</v>
      </c>
      <c r="E7069" s="6" t="s">
        <v>1720</v>
      </c>
      <c r="F7069" s="6" t="s">
        <v>283</v>
      </c>
      <c r="G7069" s="6" t="s">
        <v>369</v>
      </c>
      <c r="H7069" s="10">
        <v>46056.0</v>
      </c>
      <c r="I7069" s="12">
        <v>9.0</v>
      </c>
      <c r="J7069" s="6" t="s">
        <v>161</v>
      </c>
    </row>
    <row r="7070" ht="22.5" customHeight="1">
      <c r="A7070" s="6" t="s">
        <v>23878</v>
      </c>
      <c r="B7070" s="6" t="s">
        <v>15878</v>
      </c>
      <c r="C7070" s="10">
        <v>46048.0</v>
      </c>
      <c r="D7070" s="6" t="s">
        <v>436</v>
      </c>
      <c r="E7070" s="6" t="s">
        <v>1386</v>
      </c>
      <c r="F7070" s="6" t="s">
        <v>112</v>
      </c>
      <c r="G7070" s="6" t="s">
        <v>458</v>
      </c>
      <c r="H7070" s="10">
        <v>46053.0</v>
      </c>
      <c r="I7070" s="12">
        <v>6.0</v>
      </c>
      <c r="J7070" s="6" t="s">
        <v>178</v>
      </c>
    </row>
    <row r="7071" ht="22.5" customHeight="1">
      <c r="A7071" s="6" t="s">
        <v>23879</v>
      </c>
      <c r="B7071" s="6" t="s">
        <v>15884</v>
      </c>
      <c r="C7071" s="10">
        <v>46046.0</v>
      </c>
      <c r="D7071" s="6" t="s">
        <v>312</v>
      </c>
      <c r="E7071" s="6" t="s">
        <v>1741</v>
      </c>
      <c r="F7071" s="6" t="s">
        <v>283</v>
      </c>
      <c r="G7071" s="6" t="s">
        <v>254</v>
      </c>
      <c r="H7071" s="10">
        <v>46048.0</v>
      </c>
      <c r="I7071" s="12">
        <v>5.0</v>
      </c>
      <c r="J7071" s="6" t="s">
        <v>161</v>
      </c>
    </row>
    <row r="7072" ht="22.5" customHeight="1">
      <c r="A7072" s="6" t="s">
        <v>23880</v>
      </c>
      <c r="B7072" s="6" t="s">
        <v>15884</v>
      </c>
      <c r="C7072" s="10">
        <v>46058.0</v>
      </c>
      <c r="D7072" s="6" t="s">
        <v>312</v>
      </c>
      <c r="E7072" s="6" t="s">
        <v>1546</v>
      </c>
      <c r="F7072" s="6" t="s">
        <v>249</v>
      </c>
      <c r="G7072" s="6" t="s">
        <v>254</v>
      </c>
      <c r="H7072" s="10">
        <v>46060.0</v>
      </c>
      <c r="I7072" s="12">
        <v>5.0</v>
      </c>
      <c r="J7072" s="6" t="s">
        <v>161</v>
      </c>
    </row>
    <row r="7073" ht="22.5" customHeight="1">
      <c r="A7073" s="6" t="s">
        <v>23881</v>
      </c>
      <c r="B7073" s="6" t="s">
        <v>15884</v>
      </c>
      <c r="C7073" s="10">
        <v>46051.0</v>
      </c>
      <c r="D7073" s="6" t="s">
        <v>677</v>
      </c>
      <c r="E7073" s="6" t="s">
        <v>291</v>
      </c>
      <c r="F7073" s="6" t="s">
        <v>112</v>
      </c>
      <c r="G7073" s="6" t="s">
        <v>254</v>
      </c>
      <c r="H7073" s="10">
        <v>46052.0</v>
      </c>
      <c r="I7073" s="12">
        <v>4.0</v>
      </c>
      <c r="J7073" s="6" t="s">
        <v>161</v>
      </c>
    </row>
    <row r="7074" ht="22.5" customHeight="1">
      <c r="A7074" s="6" t="s">
        <v>23882</v>
      </c>
      <c r="B7074" s="6" t="s">
        <v>15890</v>
      </c>
      <c r="C7074" s="10">
        <v>46051.0</v>
      </c>
      <c r="D7074" s="6" t="s">
        <v>391</v>
      </c>
      <c r="E7074" s="6" t="s">
        <v>704</v>
      </c>
      <c r="F7074" s="6" t="s">
        <v>283</v>
      </c>
      <c r="G7074" s="6" t="s">
        <v>297</v>
      </c>
      <c r="H7074" s="10">
        <v>46051.0</v>
      </c>
      <c r="I7074" s="12">
        <v>11.0</v>
      </c>
      <c r="J7074" s="6" t="s">
        <v>161</v>
      </c>
    </row>
    <row r="7075" ht="22.5" customHeight="1">
      <c r="A7075" s="6" t="s">
        <v>23883</v>
      </c>
      <c r="B7075" s="6" t="s">
        <v>15897</v>
      </c>
      <c r="C7075" s="10">
        <v>46053.0</v>
      </c>
      <c r="D7075" s="6" t="s">
        <v>391</v>
      </c>
      <c r="E7075" s="6" t="s">
        <v>1102</v>
      </c>
      <c r="F7075" s="6" t="s">
        <v>112</v>
      </c>
      <c r="G7075" s="6" t="s">
        <v>254</v>
      </c>
      <c r="H7075" s="10">
        <v>46058.0</v>
      </c>
      <c r="I7075" s="12">
        <v>11.0</v>
      </c>
      <c r="J7075" s="6" t="s">
        <v>161</v>
      </c>
    </row>
    <row r="7076" ht="22.5" customHeight="1">
      <c r="A7076" s="6" t="s">
        <v>23884</v>
      </c>
      <c r="B7076" s="6" t="s">
        <v>15897</v>
      </c>
      <c r="C7076" s="10">
        <v>46052.0</v>
      </c>
      <c r="D7076" s="6" t="s">
        <v>436</v>
      </c>
      <c r="E7076" s="6" t="s">
        <v>1969</v>
      </c>
      <c r="F7076" s="6" t="s">
        <v>249</v>
      </c>
      <c r="G7076" s="6" t="s">
        <v>477</v>
      </c>
      <c r="H7076" s="10">
        <v>46054.0</v>
      </c>
      <c r="I7076" s="12">
        <v>6.0</v>
      </c>
      <c r="J7076" s="6" t="s">
        <v>178</v>
      </c>
    </row>
    <row r="7077" ht="22.5" customHeight="1">
      <c r="A7077" s="6" t="s">
        <v>23885</v>
      </c>
      <c r="B7077" s="6" t="s">
        <v>15903</v>
      </c>
      <c r="C7077" s="10">
        <v>46032.0</v>
      </c>
      <c r="D7077" s="6" t="s">
        <v>436</v>
      </c>
      <c r="E7077" s="6" t="s">
        <v>1310</v>
      </c>
      <c r="F7077" s="6" t="s">
        <v>112</v>
      </c>
      <c r="G7077" s="6" t="s">
        <v>297</v>
      </c>
      <c r="H7077" s="10">
        <v>46032.0</v>
      </c>
      <c r="I7077" s="12">
        <v>10.0</v>
      </c>
      <c r="J7077" s="6" t="s">
        <v>178</v>
      </c>
    </row>
    <row r="7078" ht="22.5" customHeight="1">
      <c r="A7078" s="6" t="s">
        <v>23886</v>
      </c>
      <c r="B7078" s="6" t="s">
        <v>15903</v>
      </c>
      <c r="C7078" s="10">
        <v>46036.0</v>
      </c>
      <c r="D7078" s="6" t="s">
        <v>436</v>
      </c>
      <c r="E7078" s="6" t="s">
        <v>1570</v>
      </c>
      <c r="F7078" s="6" t="s">
        <v>249</v>
      </c>
      <c r="G7078" s="6" t="s">
        <v>452</v>
      </c>
      <c r="H7078" s="10">
        <v>46039.0</v>
      </c>
      <c r="I7078" s="12">
        <v>12.0</v>
      </c>
      <c r="J7078" s="6" t="s">
        <v>178</v>
      </c>
    </row>
    <row r="7079" ht="22.5" customHeight="1">
      <c r="A7079" s="6" t="s">
        <v>23887</v>
      </c>
      <c r="B7079" s="6" t="s">
        <v>15903</v>
      </c>
      <c r="C7079" s="10">
        <v>46033.0</v>
      </c>
      <c r="D7079" s="6" t="s">
        <v>289</v>
      </c>
      <c r="E7079" s="6" t="s">
        <v>618</v>
      </c>
      <c r="F7079" s="6" t="s">
        <v>112</v>
      </c>
      <c r="G7079" s="6" t="s">
        <v>494</v>
      </c>
      <c r="H7079" s="10">
        <v>46034.0</v>
      </c>
      <c r="I7079" s="12">
        <v>8.0</v>
      </c>
      <c r="J7079" s="6" t="s">
        <v>161</v>
      </c>
    </row>
    <row r="7080" ht="22.5" customHeight="1">
      <c r="A7080" s="6" t="s">
        <v>23888</v>
      </c>
      <c r="B7080" s="6" t="s">
        <v>15903</v>
      </c>
      <c r="C7080" s="10">
        <v>46033.0</v>
      </c>
      <c r="D7080" s="6" t="s">
        <v>416</v>
      </c>
      <c r="E7080" s="6" t="s">
        <v>1600</v>
      </c>
      <c r="F7080" s="6" t="s">
        <v>283</v>
      </c>
      <c r="G7080" s="6" t="s">
        <v>477</v>
      </c>
      <c r="H7080" s="10">
        <v>46038.0</v>
      </c>
      <c r="I7080" s="12">
        <v>9.0</v>
      </c>
      <c r="J7080" s="6" t="s">
        <v>161</v>
      </c>
    </row>
    <row r="7081" ht="22.5" customHeight="1">
      <c r="A7081" s="6" t="s">
        <v>23889</v>
      </c>
      <c r="B7081" s="6" t="s">
        <v>15910</v>
      </c>
      <c r="C7081" s="10">
        <v>46045.0</v>
      </c>
      <c r="D7081" s="6" t="s">
        <v>677</v>
      </c>
      <c r="E7081" s="6" t="s">
        <v>512</v>
      </c>
      <c r="F7081" s="6" t="s">
        <v>112</v>
      </c>
      <c r="G7081" s="6" t="s">
        <v>297</v>
      </c>
      <c r="H7081" s="10">
        <v>46048.0</v>
      </c>
      <c r="I7081" s="12">
        <v>4.0</v>
      </c>
      <c r="J7081" s="6" t="s">
        <v>161</v>
      </c>
    </row>
    <row r="7082" ht="22.5" customHeight="1">
      <c r="A7082" s="6" t="s">
        <v>23890</v>
      </c>
      <c r="B7082" s="6" t="s">
        <v>15910</v>
      </c>
      <c r="C7082" s="10">
        <v>46034.0</v>
      </c>
      <c r="D7082" s="6" t="s">
        <v>289</v>
      </c>
      <c r="E7082" s="6" t="s">
        <v>731</v>
      </c>
      <c r="F7082" s="6" t="s">
        <v>283</v>
      </c>
      <c r="G7082" s="6" t="s">
        <v>477</v>
      </c>
      <c r="H7082" s="11" t="s">
        <v>259</v>
      </c>
      <c r="I7082" s="12">
        <v>8.0</v>
      </c>
      <c r="J7082" s="6" t="s">
        <v>161</v>
      </c>
    </row>
    <row r="7083" ht="22.5" customHeight="1">
      <c r="A7083" s="6" t="s">
        <v>23891</v>
      </c>
      <c r="B7083" s="6" t="s">
        <v>15910</v>
      </c>
      <c r="C7083" s="10">
        <v>46029.0</v>
      </c>
      <c r="D7083" s="6" t="s">
        <v>677</v>
      </c>
      <c r="E7083" s="6" t="s">
        <v>634</v>
      </c>
      <c r="F7083" s="6" t="s">
        <v>112</v>
      </c>
      <c r="G7083" s="6" t="s">
        <v>297</v>
      </c>
      <c r="H7083" s="11" t="s">
        <v>259</v>
      </c>
      <c r="I7083" s="12">
        <v>4.0</v>
      </c>
      <c r="J7083" s="6" t="s">
        <v>161</v>
      </c>
    </row>
    <row r="7084" ht="22.5" customHeight="1">
      <c r="A7084" s="6" t="s">
        <v>23892</v>
      </c>
      <c r="B7084" s="6" t="s">
        <v>15910</v>
      </c>
      <c r="C7084" s="10">
        <v>46030.0</v>
      </c>
      <c r="D7084" s="6" t="s">
        <v>312</v>
      </c>
      <c r="E7084" s="6" t="s">
        <v>1700</v>
      </c>
      <c r="F7084" s="6" t="s">
        <v>439</v>
      </c>
      <c r="G7084" s="6" t="s">
        <v>369</v>
      </c>
      <c r="H7084" s="10">
        <v>46037.0</v>
      </c>
      <c r="I7084" s="12">
        <v>5.0</v>
      </c>
      <c r="J7084" s="6" t="s">
        <v>161</v>
      </c>
    </row>
    <row r="7085" ht="22.5" customHeight="1">
      <c r="A7085" s="6" t="s">
        <v>23893</v>
      </c>
      <c r="B7085" s="6" t="s">
        <v>15910</v>
      </c>
      <c r="C7085" s="10">
        <v>46049.0</v>
      </c>
      <c r="D7085" s="6" t="s">
        <v>436</v>
      </c>
      <c r="E7085" s="6" t="s">
        <v>1720</v>
      </c>
      <c r="F7085" s="6" t="s">
        <v>249</v>
      </c>
      <c r="G7085" s="6" t="s">
        <v>254</v>
      </c>
      <c r="H7085" s="10">
        <v>46052.0</v>
      </c>
      <c r="I7085" s="12">
        <v>12.0</v>
      </c>
      <c r="J7085" s="6" t="s">
        <v>178</v>
      </c>
    </row>
    <row r="7086" ht="22.5" customHeight="1">
      <c r="A7086" s="6" t="s">
        <v>23894</v>
      </c>
      <c r="B7086" s="6" t="s">
        <v>15916</v>
      </c>
      <c r="C7086" s="10">
        <v>46071.0</v>
      </c>
      <c r="D7086" s="6" t="s">
        <v>391</v>
      </c>
      <c r="E7086" s="6" t="s">
        <v>417</v>
      </c>
      <c r="F7086" s="6" t="s">
        <v>249</v>
      </c>
      <c r="G7086" s="6" t="s">
        <v>452</v>
      </c>
      <c r="H7086" s="11" t="s">
        <v>259</v>
      </c>
      <c r="I7086" s="12">
        <v>7.0</v>
      </c>
      <c r="J7086" s="6" t="s">
        <v>161</v>
      </c>
    </row>
    <row r="7087" ht="22.5" customHeight="1">
      <c r="A7087" s="6" t="s">
        <v>23895</v>
      </c>
      <c r="B7087" s="6" t="s">
        <v>15916</v>
      </c>
      <c r="C7087" s="10">
        <v>46067.0</v>
      </c>
      <c r="D7087" s="6" t="s">
        <v>289</v>
      </c>
      <c r="E7087" s="6" t="s">
        <v>1241</v>
      </c>
      <c r="F7087" s="6" t="s">
        <v>112</v>
      </c>
      <c r="G7087" s="6" t="s">
        <v>254</v>
      </c>
      <c r="H7087" s="10">
        <v>46067.0</v>
      </c>
      <c r="I7087" s="12">
        <v>9.0</v>
      </c>
      <c r="J7087" s="6" t="s">
        <v>161</v>
      </c>
    </row>
    <row r="7088" ht="22.5" customHeight="1">
      <c r="A7088" s="6" t="s">
        <v>23896</v>
      </c>
      <c r="B7088" s="6" t="s">
        <v>15916</v>
      </c>
      <c r="C7088" s="10">
        <v>46074.0</v>
      </c>
      <c r="D7088" s="6" t="s">
        <v>436</v>
      </c>
      <c r="E7088" s="6" t="s">
        <v>670</v>
      </c>
      <c r="F7088" s="6" t="s">
        <v>439</v>
      </c>
      <c r="G7088" s="6" t="s">
        <v>297</v>
      </c>
      <c r="H7088" s="10">
        <v>46078.0</v>
      </c>
      <c r="I7088" s="12">
        <v>10.0</v>
      </c>
      <c r="J7088" s="6" t="s">
        <v>178</v>
      </c>
    </row>
    <row r="7089" ht="22.5" customHeight="1">
      <c r="A7089" s="6" t="s">
        <v>23897</v>
      </c>
      <c r="B7089" s="6" t="s">
        <v>15916</v>
      </c>
      <c r="C7089" s="10">
        <v>46059.0</v>
      </c>
      <c r="D7089" s="6" t="s">
        <v>289</v>
      </c>
      <c r="E7089" s="6" t="s">
        <v>687</v>
      </c>
      <c r="F7089" s="6" t="s">
        <v>112</v>
      </c>
      <c r="G7089" s="6" t="s">
        <v>297</v>
      </c>
      <c r="H7089" s="10">
        <v>46061.0</v>
      </c>
      <c r="I7089" s="12">
        <v>5.0</v>
      </c>
      <c r="J7089" s="6" t="s">
        <v>161</v>
      </c>
    </row>
    <row r="7090" ht="22.5" customHeight="1">
      <c r="A7090" s="6" t="s">
        <v>23898</v>
      </c>
      <c r="B7090" s="6" t="s">
        <v>15916</v>
      </c>
      <c r="C7090" s="10">
        <v>46066.0</v>
      </c>
      <c r="D7090" s="6" t="s">
        <v>416</v>
      </c>
      <c r="E7090" s="6" t="s">
        <v>833</v>
      </c>
      <c r="F7090" s="6" t="s">
        <v>283</v>
      </c>
      <c r="G7090" s="6" t="s">
        <v>326</v>
      </c>
      <c r="H7090" s="10">
        <v>46066.0</v>
      </c>
      <c r="I7090" s="12">
        <v>10.0</v>
      </c>
      <c r="J7090" s="6" t="s">
        <v>161</v>
      </c>
    </row>
    <row r="7091" ht="22.5" customHeight="1">
      <c r="A7091" s="6" t="s">
        <v>23899</v>
      </c>
      <c r="B7091" s="6" t="s">
        <v>15922</v>
      </c>
      <c r="C7091" s="10">
        <v>46073.0</v>
      </c>
      <c r="D7091" s="6" t="s">
        <v>289</v>
      </c>
      <c r="E7091" s="6" t="s">
        <v>1741</v>
      </c>
      <c r="F7091" s="6" t="s">
        <v>249</v>
      </c>
      <c r="G7091" s="6" t="s">
        <v>369</v>
      </c>
      <c r="H7091" s="10">
        <v>46077.0</v>
      </c>
      <c r="I7091" s="12">
        <v>6.0</v>
      </c>
      <c r="J7091" s="6" t="s">
        <v>161</v>
      </c>
    </row>
    <row r="7092" ht="22.5" customHeight="1">
      <c r="A7092" s="6" t="s">
        <v>23900</v>
      </c>
      <c r="B7092" s="6" t="s">
        <v>15922</v>
      </c>
      <c r="C7092" s="10">
        <v>46080.0</v>
      </c>
      <c r="D7092" s="6" t="s">
        <v>391</v>
      </c>
      <c r="E7092" s="6" t="s">
        <v>896</v>
      </c>
      <c r="F7092" s="6" t="s">
        <v>112</v>
      </c>
      <c r="G7092" s="6" t="s">
        <v>297</v>
      </c>
      <c r="H7092" s="10">
        <v>46082.0</v>
      </c>
      <c r="I7092" s="12">
        <v>6.0</v>
      </c>
      <c r="J7092" s="6" t="s">
        <v>161</v>
      </c>
    </row>
    <row r="7093" ht="22.5" customHeight="1">
      <c r="A7093" s="6" t="s">
        <v>23901</v>
      </c>
      <c r="B7093" s="6" t="s">
        <v>15922</v>
      </c>
      <c r="C7093" s="10">
        <v>46081.0</v>
      </c>
      <c r="D7093" s="6" t="s">
        <v>436</v>
      </c>
      <c r="E7093" s="6" t="s">
        <v>716</v>
      </c>
      <c r="F7093" s="6" t="s">
        <v>249</v>
      </c>
      <c r="G7093" s="6" t="s">
        <v>254</v>
      </c>
      <c r="H7093" s="11" t="s">
        <v>259</v>
      </c>
      <c r="I7093" s="12">
        <v>8.0</v>
      </c>
      <c r="J7093" s="6" t="s">
        <v>178</v>
      </c>
    </row>
    <row r="7094" ht="22.5" customHeight="1">
      <c r="A7094" s="6" t="s">
        <v>23902</v>
      </c>
      <c r="B7094" s="6" t="s">
        <v>15929</v>
      </c>
      <c r="C7094" s="10">
        <v>46068.0</v>
      </c>
      <c r="D7094" s="6" t="s">
        <v>416</v>
      </c>
      <c r="E7094" s="6" t="s">
        <v>1600</v>
      </c>
      <c r="F7094" s="6" t="s">
        <v>283</v>
      </c>
      <c r="G7094" s="6" t="s">
        <v>477</v>
      </c>
      <c r="H7094" s="10">
        <v>46075.0</v>
      </c>
      <c r="I7094" s="12">
        <v>12.0</v>
      </c>
      <c r="J7094" s="6" t="s">
        <v>161</v>
      </c>
    </row>
    <row r="7095" ht="22.5" customHeight="1">
      <c r="A7095" s="6" t="s">
        <v>23903</v>
      </c>
      <c r="B7095" s="6" t="s">
        <v>15937</v>
      </c>
      <c r="C7095" s="10">
        <v>46049.0</v>
      </c>
      <c r="D7095" s="6" t="s">
        <v>416</v>
      </c>
      <c r="E7095" s="6" t="s">
        <v>812</v>
      </c>
      <c r="F7095" s="6" t="s">
        <v>112</v>
      </c>
      <c r="G7095" s="6" t="s">
        <v>477</v>
      </c>
      <c r="H7095" s="10">
        <v>46051.0</v>
      </c>
      <c r="I7095" s="12">
        <v>12.0</v>
      </c>
      <c r="J7095" s="6" t="s">
        <v>161</v>
      </c>
    </row>
    <row r="7096" ht="22.5" customHeight="1">
      <c r="A7096" s="6" t="s">
        <v>23904</v>
      </c>
      <c r="B7096" s="6" t="s">
        <v>15937</v>
      </c>
      <c r="C7096" s="10">
        <v>46055.0</v>
      </c>
      <c r="D7096" s="6" t="s">
        <v>677</v>
      </c>
      <c r="E7096" s="6" t="s">
        <v>798</v>
      </c>
      <c r="F7096" s="6" t="s">
        <v>283</v>
      </c>
      <c r="G7096" s="6" t="s">
        <v>452</v>
      </c>
      <c r="H7096" s="10">
        <v>46060.0</v>
      </c>
      <c r="I7096" s="12">
        <v>3.0</v>
      </c>
      <c r="J7096" s="6" t="s">
        <v>161</v>
      </c>
    </row>
    <row r="7097" ht="22.5" customHeight="1">
      <c r="A7097" s="6" t="s">
        <v>23905</v>
      </c>
      <c r="B7097" s="6" t="s">
        <v>15945</v>
      </c>
      <c r="C7097" s="10">
        <v>46026.0</v>
      </c>
      <c r="D7097" s="6" t="s">
        <v>242</v>
      </c>
      <c r="E7097" s="6" t="s">
        <v>1517</v>
      </c>
      <c r="F7097" s="6" t="s">
        <v>249</v>
      </c>
      <c r="G7097" s="6" t="s">
        <v>477</v>
      </c>
      <c r="H7097" s="10">
        <v>46026.0</v>
      </c>
      <c r="I7097" s="12">
        <v>6.0</v>
      </c>
      <c r="J7097" s="6" t="s">
        <v>178</v>
      </c>
    </row>
    <row r="7098" ht="22.5" customHeight="1">
      <c r="A7098" s="6" t="s">
        <v>23906</v>
      </c>
      <c r="B7098" s="6" t="s">
        <v>15945</v>
      </c>
      <c r="C7098" s="10">
        <v>46027.0</v>
      </c>
      <c r="D7098" s="6" t="s">
        <v>289</v>
      </c>
      <c r="E7098" s="6" t="s">
        <v>1552</v>
      </c>
      <c r="F7098" s="6" t="s">
        <v>439</v>
      </c>
      <c r="G7098" s="6" t="s">
        <v>452</v>
      </c>
      <c r="H7098" s="10">
        <v>46029.0</v>
      </c>
      <c r="I7098" s="12">
        <v>6.0</v>
      </c>
      <c r="J7098" s="6" t="s">
        <v>161</v>
      </c>
    </row>
    <row r="7099" ht="22.5" customHeight="1">
      <c r="A7099" s="6" t="s">
        <v>23907</v>
      </c>
      <c r="B7099" s="6" t="s">
        <v>15945</v>
      </c>
      <c r="C7099" s="10">
        <v>46036.0</v>
      </c>
      <c r="D7099" s="6" t="s">
        <v>242</v>
      </c>
      <c r="E7099" s="6" t="s">
        <v>955</v>
      </c>
      <c r="F7099" s="6" t="s">
        <v>112</v>
      </c>
      <c r="G7099" s="6" t="s">
        <v>452</v>
      </c>
      <c r="H7099" s="10">
        <v>46040.0</v>
      </c>
      <c r="I7099" s="12">
        <v>5.0</v>
      </c>
      <c r="J7099" s="6" t="s">
        <v>178</v>
      </c>
    </row>
    <row r="7100" ht="22.5" customHeight="1">
      <c r="A7100" s="6" t="s">
        <v>23908</v>
      </c>
      <c r="B7100" s="6" t="s">
        <v>15945</v>
      </c>
      <c r="C7100" s="10">
        <v>46031.0</v>
      </c>
      <c r="D7100" s="6" t="s">
        <v>312</v>
      </c>
      <c r="E7100" s="6" t="s">
        <v>610</v>
      </c>
      <c r="F7100" s="6" t="s">
        <v>249</v>
      </c>
      <c r="G7100" s="6" t="s">
        <v>458</v>
      </c>
      <c r="H7100" s="10">
        <v>46038.0</v>
      </c>
      <c r="I7100" s="12">
        <v>5.0</v>
      </c>
      <c r="J7100" s="6" t="s">
        <v>161</v>
      </c>
    </row>
    <row r="7101" ht="22.5" customHeight="1">
      <c r="A7101" s="6" t="s">
        <v>23909</v>
      </c>
      <c r="B7101" s="6" t="s">
        <v>15945</v>
      </c>
      <c r="C7101" s="10">
        <v>46034.0</v>
      </c>
      <c r="D7101" s="6" t="s">
        <v>289</v>
      </c>
      <c r="E7101" s="6" t="s">
        <v>1102</v>
      </c>
      <c r="F7101" s="6" t="s">
        <v>283</v>
      </c>
      <c r="G7101" s="6" t="s">
        <v>254</v>
      </c>
      <c r="H7101" s="10">
        <v>46037.0</v>
      </c>
      <c r="I7101" s="12">
        <v>10.0</v>
      </c>
      <c r="J7101" s="6" t="s">
        <v>161</v>
      </c>
    </row>
    <row r="7102" ht="22.5" customHeight="1">
      <c r="A7102" s="6" t="s">
        <v>23910</v>
      </c>
      <c r="B7102" s="6" t="s">
        <v>15953</v>
      </c>
      <c r="C7102" s="10">
        <v>46025.0</v>
      </c>
      <c r="D7102" s="6" t="s">
        <v>416</v>
      </c>
      <c r="E7102" s="6" t="s">
        <v>1386</v>
      </c>
      <c r="F7102" s="6" t="s">
        <v>112</v>
      </c>
      <c r="G7102" s="6" t="s">
        <v>297</v>
      </c>
      <c r="H7102" s="10">
        <v>46027.0</v>
      </c>
      <c r="I7102" s="12">
        <v>8.0</v>
      </c>
      <c r="J7102" s="6" t="s">
        <v>161</v>
      </c>
    </row>
    <row r="7103" ht="22.5" customHeight="1">
      <c r="A7103" s="6" t="s">
        <v>23911</v>
      </c>
      <c r="B7103" s="6" t="s">
        <v>15953</v>
      </c>
      <c r="C7103" s="10">
        <v>46025.0</v>
      </c>
      <c r="D7103" s="6" t="s">
        <v>242</v>
      </c>
      <c r="E7103" s="6" t="s">
        <v>775</v>
      </c>
      <c r="F7103" s="6" t="s">
        <v>112</v>
      </c>
      <c r="G7103" s="6" t="s">
        <v>494</v>
      </c>
      <c r="H7103" s="10">
        <v>46028.0</v>
      </c>
      <c r="I7103" s="12">
        <v>6.0</v>
      </c>
      <c r="J7103" s="6" t="s">
        <v>161</v>
      </c>
    </row>
    <row r="7104" ht="22.5" customHeight="1">
      <c r="A7104" s="6" t="s">
        <v>23912</v>
      </c>
      <c r="B7104" s="6" t="s">
        <v>15953</v>
      </c>
      <c r="C7104" s="10">
        <v>46031.0</v>
      </c>
      <c r="D7104" s="6" t="s">
        <v>416</v>
      </c>
      <c r="E7104" s="6" t="s">
        <v>291</v>
      </c>
      <c r="F7104" s="6" t="s">
        <v>112</v>
      </c>
      <c r="G7104" s="6" t="s">
        <v>254</v>
      </c>
      <c r="H7104" s="10">
        <v>46031.0</v>
      </c>
      <c r="I7104" s="12">
        <v>10.0</v>
      </c>
      <c r="J7104" s="6" t="s">
        <v>161</v>
      </c>
    </row>
    <row r="7105" ht="22.5" customHeight="1">
      <c r="A7105" s="6" t="s">
        <v>23913</v>
      </c>
      <c r="B7105" s="6" t="s">
        <v>15953</v>
      </c>
      <c r="C7105" s="10">
        <v>46026.0</v>
      </c>
      <c r="D7105" s="6" t="s">
        <v>242</v>
      </c>
      <c r="E7105" s="6" t="s">
        <v>798</v>
      </c>
      <c r="F7105" s="6" t="s">
        <v>283</v>
      </c>
      <c r="G7105" s="6" t="s">
        <v>452</v>
      </c>
      <c r="H7105" s="10">
        <v>46033.0</v>
      </c>
      <c r="I7105" s="12">
        <v>5.0</v>
      </c>
      <c r="J7105" s="6" t="s">
        <v>178</v>
      </c>
    </row>
    <row r="7106" ht="22.5" customHeight="1">
      <c r="A7106" s="6" t="s">
        <v>23914</v>
      </c>
      <c r="B7106" s="6" t="s">
        <v>15953</v>
      </c>
      <c r="C7106" s="10">
        <v>46042.0</v>
      </c>
      <c r="D7106" s="6" t="s">
        <v>289</v>
      </c>
      <c r="E7106" s="6" t="s">
        <v>1122</v>
      </c>
      <c r="F7106" s="6" t="s">
        <v>112</v>
      </c>
      <c r="G7106" s="6" t="s">
        <v>458</v>
      </c>
      <c r="H7106" s="10">
        <v>46043.0</v>
      </c>
      <c r="I7106" s="12">
        <v>8.0</v>
      </c>
      <c r="J7106" s="6" t="s">
        <v>161</v>
      </c>
    </row>
    <row r="7107" ht="22.5" customHeight="1">
      <c r="A7107" s="6" t="s">
        <v>23915</v>
      </c>
      <c r="B7107" s="6" t="s">
        <v>15961</v>
      </c>
      <c r="C7107" s="10">
        <v>46042.0</v>
      </c>
      <c r="D7107" s="6" t="s">
        <v>289</v>
      </c>
      <c r="E7107" s="6" t="s">
        <v>1517</v>
      </c>
      <c r="F7107" s="6" t="s">
        <v>112</v>
      </c>
      <c r="G7107" s="6" t="s">
        <v>297</v>
      </c>
      <c r="H7107" s="11" t="s">
        <v>259</v>
      </c>
      <c r="I7107" s="12">
        <v>7.0</v>
      </c>
      <c r="J7107" s="6" t="s">
        <v>161</v>
      </c>
    </row>
    <row r="7108" ht="22.5" customHeight="1">
      <c r="A7108" s="6" t="s">
        <v>23916</v>
      </c>
      <c r="B7108" s="6" t="s">
        <v>15967</v>
      </c>
      <c r="C7108" s="10">
        <v>46041.0</v>
      </c>
      <c r="D7108" s="6" t="s">
        <v>289</v>
      </c>
      <c r="E7108" s="6" t="s">
        <v>885</v>
      </c>
      <c r="F7108" s="6" t="s">
        <v>439</v>
      </c>
      <c r="G7108" s="6" t="s">
        <v>494</v>
      </c>
      <c r="H7108" s="10">
        <v>46041.0</v>
      </c>
      <c r="I7108" s="12">
        <v>6.0</v>
      </c>
      <c r="J7108" s="6" t="s">
        <v>161</v>
      </c>
    </row>
    <row r="7109" ht="22.5" customHeight="1">
      <c r="A7109" s="6" t="s">
        <v>23917</v>
      </c>
      <c r="B7109" s="6" t="s">
        <v>15967</v>
      </c>
      <c r="C7109" s="10">
        <v>46037.0</v>
      </c>
      <c r="D7109" s="6" t="s">
        <v>416</v>
      </c>
      <c r="E7109" s="6" t="s">
        <v>634</v>
      </c>
      <c r="F7109" s="6" t="s">
        <v>112</v>
      </c>
      <c r="G7109" s="6" t="s">
        <v>477</v>
      </c>
      <c r="H7109" s="10">
        <v>46044.0</v>
      </c>
      <c r="I7109" s="12">
        <v>8.0</v>
      </c>
      <c r="J7109" s="6" t="s">
        <v>161</v>
      </c>
    </row>
    <row r="7110" ht="22.5" customHeight="1">
      <c r="A7110" s="6" t="s">
        <v>23918</v>
      </c>
      <c r="B7110" s="6" t="s">
        <v>15967</v>
      </c>
      <c r="C7110" s="10">
        <v>46034.0</v>
      </c>
      <c r="D7110" s="6" t="s">
        <v>677</v>
      </c>
      <c r="E7110" s="6" t="s">
        <v>716</v>
      </c>
      <c r="F7110" s="6" t="s">
        <v>439</v>
      </c>
      <c r="G7110" s="6" t="s">
        <v>326</v>
      </c>
      <c r="H7110" s="10">
        <v>46040.0</v>
      </c>
      <c r="I7110" s="12">
        <v>2.0</v>
      </c>
      <c r="J7110" s="6" t="s">
        <v>161</v>
      </c>
    </row>
    <row r="7111" ht="22.5" customHeight="1">
      <c r="A7111" s="6" t="s">
        <v>23919</v>
      </c>
      <c r="B7111" s="6" t="s">
        <v>15967</v>
      </c>
      <c r="C7111" s="10">
        <v>46033.0</v>
      </c>
      <c r="D7111" s="6" t="s">
        <v>416</v>
      </c>
      <c r="E7111" s="6" t="s">
        <v>417</v>
      </c>
      <c r="F7111" s="6" t="s">
        <v>249</v>
      </c>
      <c r="G7111" s="6" t="s">
        <v>254</v>
      </c>
      <c r="H7111" s="10">
        <v>46039.0</v>
      </c>
      <c r="I7111" s="12">
        <v>8.0</v>
      </c>
      <c r="J7111" s="6" t="s">
        <v>161</v>
      </c>
    </row>
    <row r="7112" ht="22.5" customHeight="1">
      <c r="A7112" s="6" t="s">
        <v>23920</v>
      </c>
      <c r="B7112" s="6" t="s">
        <v>15973</v>
      </c>
      <c r="C7112" s="10">
        <v>46029.0</v>
      </c>
      <c r="D7112" s="6" t="s">
        <v>677</v>
      </c>
      <c r="E7112" s="6" t="s">
        <v>1280</v>
      </c>
      <c r="F7112" s="6" t="s">
        <v>283</v>
      </c>
      <c r="G7112" s="6" t="s">
        <v>458</v>
      </c>
      <c r="H7112" s="10">
        <v>46030.0</v>
      </c>
      <c r="I7112" s="12">
        <v>4.0</v>
      </c>
      <c r="J7112" s="6" t="s">
        <v>161</v>
      </c>
    </row>
    <row r="7113" ht="22.5" customHeight="1">
      <c r="A7113" s="6" t="s">
        <v>23921</v>
      </c>
      <c r="B7113" s="6" t="s">
        <v>15973</v>
      </c>
      <c r="C7113" s="10">
        <v>46035.0</v>
      </c>
      <c r="D7113" s="6" t="s">
        <v>242</v>
      </c>
      <c r="E7113" s="6" t="s">
        <v>658</v>
      </c>
      <c r="F7113" s="6" t="s">
        <v>249</v>
      </c>
      <c r="G7113" s="6" t="s">
        <v>477</v>
      </c>
      <c r="H7113" s="10">
        <v>46037.0</v>
      </c>
      <c r="I7113" s="12">
        <v>3.0</v>
      </c>
      <c r="J7113" s="6" t="s">
        <v>178</v>
      </c>
    </row>
    <row r="7114" ht="22.5" customHeight="1">
      <c r="A7114" s="6" t="s">
        <v>23922</v>
      </c>
      <c r="B7114" s="6" t="s">
        <v>15973</v>
      </c>
      <c r="C7114" s="10">
        <v>46039.0</v>
      </c>
      <c r="D7114" s="6" t="s">
        <v>416</v>
      </c>
      <c r="E7114" s="6" t="s">
        <v>246</v>
      </c>
      <c r="F7114" s="6" t="s">
        <v>112</v>
      </c>
      <c r="G7114" s="6" t="s">
        <v>452</v>
      </c>
      <c r="H7114" s="10">
        <v>46040.0</v>
      </c>
      <c r="I7114" s="12">
        <v>11.0</v>
      </c>
      <c r="J7114" s="6" t="s">
        <v>161</v>
      </c>
    </row>
    <row r="7115" ht="22.5" customHeight="1">
      <c r="A7115" s="6" t="s">
        <v>23923</v>
      </c>
      <c r="B7115" s="6" t="s">
        <v>15973</v>
      </c>
      <c r="C7115" s="10">
        <v>46039.0</v>
      </c>
      <c r="D7115" s="6" t="s">
        <v>436</v>
      </c>
      <c r="E7115" s="6" t="s">
        <v>583</v>
      </c>
      <c r="F7115" s="6" t="s">
        <v>112</v>
      </c>
      <c r="G7115" s="6" t="s">
        <v>452</v>
      </c>
      <c r="H7115" s="10">
        <v>46045.0</v>
      </c>
      <c r="I7115" s="12">
        <v>11.0</v>
      </c>
      <c r="J7115" s="6" t="s">
        <v>178</v>
      </c>
    </row>
    <row r="7116" ht="22.5" customHeight="1">
      <c r="A7116" s="6" t="s">
        <v>23924</v>
      </c>
      <c r="B7116" s="6" t="s">
        <v>15979</v>
      </c>
      <c r="C7116" s="10">
        <v>46052.0</v>
      </c>
      <c r="D7116" s="6" t="s">
        <v>677</v>
      </c>
      <c r="E7116" s="6" t="s">
        <v>628</v>
      </c>
      <c r="F7116" s="6" t="s">
        <v>249</v>
      </c>
      <c r="G7116" s="6" t="s">
        <v>477</v>
      </c>
      <c r="H7116" s="10">
        <v>46055.0</v>
      </c>
      <c r="I7116" s="12">
        <v>2.0</v>
      </c>
      <c r="J7116" s="6" t="s">
        <v>161</v>
      </c>
    </row>
    <row r="7117" ht="22.5" customHeight="1">
      <c r="A7117" s="6" t="s">
        <v>23925</v>
      </c>
      <c r="B7117" s="6" t="s">
        <v>15979</v>
      </c>
      <c r="C7117" s="10">
        <v>46062.0</v>
      </c>
      <c r="D7117" s="6" t="s">
        <v>289</v>
      </c>
      <c r="E7117" s="6" t="s">
        <v>1969</v>
      </c>
      <c r="F7117" s="6" t="s">
        <v>439</v>
      </c>
      <c r="G7117" s="6" t="s">
        <v>254</v>
      </c>
      <c r="H7117" s="10">
        <v>46063.0</v>
      </c>
      <c r="I7117" s="12">
        <v>8.0</v>
      </c>
      <c r="J7117" s="6" t="s">
        <v>161</v>
      </c>
    </row>
    <row r="7118" ht="22.5" customHeight="1">
      <c r="A7118" s="6" t="s">
        <v>23926</v>
      </c>
      <c r="B7118" s="6" t="s">
        <v>15979</v>
      </c>
      <c r="C7118" s="10">
        <v>46060.0</v>
      </c>
      <c r="D7118" s="6" t="s">
        <v>242</v>
      </c>
      <c r="E7118" s="6" t="s">
        <v>628</v>
      </c>
      <c r="F7118" s="6" t="s">
        <v>112</v>
      </c>
      <c r="G7118" s="6" t="s">
        <v>326</v>
      </c>
      <c r="H7118" s="11" t="s">
        <v>259</v>
      </c>
      <c r="I7118" s="12">
        <v>3.0</v>
      </c>
      <c r="J7118" s="6" t="s">
        <v>178</v>
      </c>
    </row>
    <row r="7119" ht="22.5" customHeight="1">
      <c r="A7119" s="6" t="s">
        <v>23927</v>
      </c>
      <c r="B7119" s="6" t="s">
        <v>15979</v>
      </c>
      <c r="C7119" s="10">
        <v>46067.0</v>
      </c>
      <c r="D7119" s="6" t="s">
        <v>436</v>
      </c>
      <c r="E7119" s="6" t="s">
        <v>1055</v>
      </c>
      <c r="F7119" s="6" t="s">
        <v>112</v>
      </c>
      <c r="G7119" s="6" t="s">
        <v>369</v>
      </c>
      <c r="H7119" s="10">
        <v>46069.0</v>
      </c>
      <c r="I7119" s="12">
        <v>7.0</v>
      </c>
      <c r="J7119" s="6" t="s">
        <v>178</v>
      </c>
    </row>
    <row r="7120" ht="22.5" customHeight="1">
      <c r="A7120" s="6" t="s">
        <v>23928</v>
      </c>
      <c r="B7120" s="6" t="s">
        <v>15985</v>
      </c>
      <c r="C7120" s="10">
        <v>46060.0</v>
      </c>
      <c r="D7120" s="6" t="s">
        <v>312</v>
      </c>
      <c r="E7120" s="6" t="s">
        <v>1310</v>
      </c>
      <c r="F7120" s="6" t="s">
        <v>112</v>
      </c>
      <c r="G7120" s="6" t="s">
        <v>254</v>
      </c>
      <c r="H7120" s="10">
        <v>46067.0</v>
      </c>
      <c r="I7120" s="12">
        <v>6.0</v>
      </c>
      <c r="J7120" s="6" t="s">
        <v>161</v>
      </c>
    </row>
    <row r="7121" ht="22.5" customHeight="1">
      <c r="A7121" s="6" t="s">
        <v>23929</v>
      </c>
      <c r="B7121" s="6" t="s">
        <v>15985</v>
      </c>
      <c r="C7121" s="10">
        <v>46051.0</v>
      </c>
      <c r="D7121" s="6" t="s">
        <v>416</v>
      </c>
      <c r="E7121" s="6" t="s">
        <v>1600</v>
      </c>
      <c r="F7121" s="6" t="s">
        <v>249</v>
      </c>
      <c r="G7121" s="6" t="s">
        <v>297</v>
      </c>
      <c r="H7121" s="11" t="s">
        <v>259</v>
      </c>
      <c r="I7121" s="12">
        <v>9.0</v>
      </c>
      <c r="J7121" s="6" t="s">
        <v>161</v>
      </c>
    </row>
    <row r="7122" ht="22.5" customHeight="1">
      <c r="A7122" s="6" t="s">
        <v>23930</v>
      </c>
      <c r="B7122" s="6" t="s">
        <v>15985</v>
      </c>
      <c r="C7122" s="10">
        <v>46051.0</v>
      </c>
      <c r="D7122" s="6" t="s">
        <v>312</v>
      </c>
      <c r="E7122" s="6" t="s">
        <v>1969</v>
      </c>
      <c r="F7122" s="6" t="s">
        <v>439</v>
      </c>
      <c r="G7122" s="6" t="s">
        <v>458</v>
      </c>
      <c r="H7122" s="10">
        <v>46057.0</v>
      </c>
      <c r="I7122" s="12">
        <v>7.0</v>
      </c>
      <c r="J7122" s="6" t="s">
        <v>161</v>
      </c>
    </row>
    <row r="7123" ht="22.5" customHeight="1">
      <c r="A7123" s="6" t="s">
        <v>23931</v>
      </c>
      <c r="B7123" s="6" t="s">
        <v>15985</v>
      </c>
      <c r="C7123" s="10">
        <v>46054.0</v>
      </c>
      <c r="D7123" s="6" t="s">
        <v>436</v>
      </c>
      <c r="E7123" s="6" t="s">
        <v>1546</v>
      </c>
      <c r="F7123" s="6" t="s">
        <v>249</v>
      </c>
      <c r="G7123" s="6" t="s">
        <v>477</v>
      </c>
      <c r="H7123" s="11" t="s">
        <v>259</v>
      </c>
      <c r="I7123" s="12">
        <v>8.0</v>
      </c>
      <c r="J7123" s="6" t="s">
        <v>178</v>
      </c>
    </row>
    <row r="7124" ht="22.5" customHeight="1">
      <c r="A7124" s="6" t="s">
        <v>23932</v>
      </c>
      <c r="B7124" s="6" t="s">
        <v>15991</v>
      </c>
      <c r="C7124" s="10">
        <v>46030.0</v>
      </c>
      <c r="D7124" s="6" t="s">
        <v>242</v>
      </c>
      <c r="E7124" s="6" t="s">
        <v>695</v>
      </c>
      <c r="F7124" s="6" t="s">
        <v>439</v>
      </c>
      <c r="G7124" s="6" t="s">
        <v>369</v>
      </c>
      <c r="H7124" s="10">
        <v>46036.0</v>
      </c>
      <c r="I7124" s="12">
        <v>3.0</v>
      </c>
      <c r="J7124" s="6" t="s">
        <v>178</v>
      </c>
    </row>
    <row r="7125" ht="22.5" customHeight="1">
      <c r="A7125" s="6" t="s">
        <v>23933</v>
      </c>
      <c r="B7125" s="6" t="s">
        <v>15991</v>
      </c>
      <c r="C7125" s="10">
        <v>46042.0</v>
      </c>
      <c r="D7125" s="6" t="s">
        <v>416</v>
      </c>
      <c r="E7125" s="6" t="s">
        <v>787</v>
      </c>
      <c r="F7125" s="6" t="s">
        <v>283</v>
      </c>
      <c r="G7125" s="6" t="s">
        <v>369</v>
      </c>
      <c r="H7125" s="10">
        <v>46043.0</v>
      </c>
      <c r="I7125" s="12">
        <v>11.0</v>
      </c>
      <c r="J7125" s="6" t="s">
        <v>161</v>
      </c>
    </row>
    <row r="7126" ht="22.5" customHeight="1">
      <c r="A7126" s="6" t="s">
        <v>23934</v>
      </c>
      <c r="B7126" s="6" t="s">
        <v>15991</v>
      </c>
      <c r="C7126" s="10">
        <v>46034.0</v>
      </c>
      <c r="D7126" s="6" t="s">
        <v>312</v>
      </c>
      <c r="E7126" s="6" t="s">
        <v>775</v>
      </c>
      <c r="F7126" s="6" t="s">
        <v>249</v>
      </c>
      <c r="G7126" s="6" t="s">
        <v>369</v>
      </c>
      <c r="H7126" s="10">
        <v>46041.0</v>
      </c>
      <c r="I7126" s="12">
        <v>4.0</v>
      </c>
      <c r="J7126" s="6" t="s">
        <v>161</v>
      </c>
    </row>
    <row r="7127" ht="22.5" customHeight="1">
      <c r="A7127" s="6" t="s">
        <v>23935</v>
      </c>
      <c r="B7127" s="6" t="s">
        <v>15991</v>
      </c>
      <c r="C7127" s="10">
        <v>46035.0</v>
      </c>
      <c r="D7127" s="6" t="s">
        <v>677</v>
      </c>
      <c r="E7127" s="6" t="s">
        <v>1273</v>
      </c>
      <c r="F7127" s="6" t="s">
        <v>439</v>
      </c>
      <c r="G7127" s="6" t="s">
        <v>494</v>
      </c>
      <c r="H7127" s="11" t="s">
        <v>259</v>
      </c>
      <c r="I7127" s="12">
        <v>3.0</v>
      </c>
      <c r="J7127" s="6" t="s">
        <v>161</v>
      </c>
    </row>
    <row r="7128" ht="22.5" customHeight="1">
      <c r="A7128" s="6" t="s">
        <v>23936</v>
      </c>
      <c r="B7128" s="6" t="s">
        <v>15991</v>
      </c>
      <c r="C7128" s="10">
        <v>46037.0</v>
      </c>
      <c r="D7128" s="6" t="s">
        <v>242</v>
      </c>
      <c r="E7128" s="6" t="s">
        <v>2881</v>
      </c>
      <c r="F7128" s="6" t="s">
        <v>249</v>
      </c>
      <c r="G7128" s="6" t="s">
        <v>458</v>
      </c>
      <c r="H7128" s="10">
        <v>46042.0</v>
      </c>
      <c r="I7128" s="12">
        <v>5.0</v>
      </c>
      <c r="J7128" s="6" t="s">
        <v>178</v>
      </c>
    </row>
    <row r="7129" ht="22.5" customHeight="1">
      <c r="A7129" s="6" t="s">
        <v>23937</v>
      </c>
      <c r="B7129" s="6" t="s">
        <v>15997</v>
      </c>
      <c r="C7129" s="10">
        <v>46042.0</v>
      </c>
      <c r="D7129" s="6" t="s">
        <v>312</v>
      </c>
      <c r="E7129" s="6" t="s">
        <v>1070</v>
      </c>
      <c r="F7129" s="6" t="s">
        <v>112</v>
      </c>
      <c r="G7129" s="6" t="s">
        <v>494</v>
      </c>
      <c r="H7129" s="10">
        <v>46048.0</v>
      </c>
      <c r="I7129" s="12">
        <v>4.0</v>
      </c>
      <c r="J7129" s="6" t="s">
        <v>161</v>
      </c>
    </row>
    <row r="7130" ht="22.5" customHeight="1">
      <c r="A7130" s="6" t="s">
        <v>23938</v>
      </c>
      <c r="B7130" s="6" t="s">
        <v>15997</v>
      </c>
      <c r="C7130" s="10">
        <v>46054.0</v>
      </c>
      <c r="D7130" s="6" t="s">
        <v>289</v>
      </c>
      <c r="E7130" s="6" t="s">
        <v>704</v>
      </c>
      <c r="F7130" s="6" t="s">
        <v>112</v>
      </c>
      <c r="G7130" s="6" t="s">
        <v>297</v>
      </c>
      <c r="H7130" s="11" t="s">
        <v>259</v>
      </c>
      <c r="I7130" s="12">
        <v>6.0</v>
      </c>
      <c r="J7130" s="6" t="s">
        <v>161</v>
      </c>
    </row>
    <row r="7131" ht="22.5" customHeight="1">
      <c r="A7131" s="6" t="s">
        <v>23939</v>
      </c>
      <c r="B7131" s="6" t="s">
        <v>15997</v>
      </c>
      <c r="C7131" s="10">
        <v>46042.0</v>
      </c>
      <c r="D7131" s="6" t="s">
        <v>242</v>
      </c>
      <c r="E7131" s="6" t="s">
        <v>731</v>
      </c>
      <c r="F7131" s="6" t="s">
        <v>439</v>
      </c>
      <c r="G7131" s="6" t="s">
        <v>254</v>
      </c>
      <c r="H7131" s="11" t="s">
        <v>259</v>
      </c>
      <c r="I7131" s="12">
        <v>5.0</v>
      </c>
      <c r="J7131" s="6" t="s">
        <v>178</v>
      </c>
    </row>
    <row r="7132" ht="22.5" customHeight="1">
      <c r="A7132" s="6" t="s">
        <v>23940</v>
      </c>
      <c r="B7132" s="6" t="s">
        <v>16003</v>
      </c>
      <c r="C7132" s="10">
        <v>46045.0</v>
      </c>
      <c r="D7132" s="6" t="s">
        <v>289</v>
      </c>
      <c r="E7132" s="6" t="s">
        <v>1070</v>
      </c>
      <c r="F7132" s="6" t="s">
        <v>283</v>
      </c>
      <c r="G7132" s="6" t="s">
        <v>452</v>
      </c>
      <c r="H7132" s="10">
        <v>46045.0</v>
      </c>
      <c r="I7132" s="12">
        <v>8.0</v>
      </c>
      <c r="J7132" s="6" t="s">
        <v>161</v>
      </c>
    </row>
    <row r="7133" ht="22.5" customHeight="1">
      <c r="A7133" s="6" t="s">
        <v>23941</v>
      </c>
      <c r="B7133" s="6" t="s">
        <v>16003</v>
      </c>
      <c r="C7133" s="10">
        <v>46052.0</v>
      </c>
      <c r="D7133" s="6" t="s">
        <v>242</v>
      </c>
      <c r="E7133" s="6" t="s">
        <v>658</v>
      </c>
      <c r="F7133" s="6" t="s">
        <v>112</v>
      </c>
      <c r="G7133" s="6" t="s">
        <v>494</v>
      </c>
      <c r="H7133" s="11" t="s">
        <v>259</v>
      </c>
      <c r="I7133" s="12">
        <v>5.0</v>
      </c>
      <c r="J7133" s="6" t="s">
        <v>178</v>
      </c>
    </row>
    <row r="7134" ht="22.5" customHeight="1">
      <c r="A7134" s="6" t="s">
        <v>23942</v>
      </c>
      <c r="B7134" s="6" t="s">
        <v>16003</v>
      </c>
      <c r="C7134" s="10">
        <v>46043.0</v>
      </c>
      <c r="D7134" s="6" t="s">
        <v>289</v>
      </c>
      <c r="E7134" s="6" t="s">
        <v>1035</v>
      </c>
      <c r="F7134" s="6" t="s">
        <v>283</v>
      </c>
      <c r="G7134" s="6" t="s">
        <v>369</v>
      </c>
      <c r="H7134" s="10">
        <v>46048.0</v>
      </c>
      <c r="I7134" s="12">
        <v>6.0</v>
      </c>
      <c r="J7134" s="6" t="s">
        <v>161</v>
      </c>
    </row>
    <row r="7135" ht="22.5" customHeight="1">
      <c r="A7135" s="6" t="s">
        <v>23943</v>
      </c>
      <c r="B7135" s="6" t="s">
        <v>16003</v>
      </c>
      <c r="C7135" s="10">
        <v>46049.0</v>
      </c>
      <c r="D7135" s="6" t="s">
        <v>289</v>
      </c>
      <c r="E7135" s="6" t="s">
        <v>1296</v>
      </c>
      <c r="F7135" s="6" t="s">
        <v>249</v>
      </c>
      <c r="G7135" s="6" t="s">
        <v>254</v>
      </c>
      <c r="H7135" s="10">
        <v>46056.0</v>
      </c>
      <c r="I7135" s="12">
        <v>7.0</v>
      </c>
      <c r="J7135" s="6" t="s">
        <v>161</v>
      </c>
    </row>
    <row r="7136" ht="22.5" customHeight="1">
      <c r="A7136" s="6" t="s">
        <v>23944</v>
      </c>
      <c r="B7136" s="6" t="s">
        <v>16003</v>
      </c>
      <c r="C7136" s="10">
        <v>46052.0</v>
      </c>
      <c r="D7136" s="6" t="s">
        <v>289</v>
      </c>
      <c r="E7136" s="6" t="s">
        <v>2881</v>
      </c>
      <c r="F7136" s="6" t="s">
        <v>112</v>
      </c>
      <c r="G7136" s="6" t="s">
        <v>494</v>
      </c>
      <c r="H7136" s="10">
        <v>46053.0</v>
      </c>
      <c r="I7136" s="12">
        <v>10.0</v>
      </c>
      <c r="J7136" s="6" t="s">
        <v>161</v>
      </c>
    </row>
    <row r="7137" ht="22.5" customHeight="1">
      <c r="A7137" s="6" t="s">
        <v>23945</v>
      </c>
      <c r="B7137" s="6" t="s">
        <v>16009</v>
      </c>
      <c r="C7137" s="10">
        <v>46033.0</v>
      </c>
      <c r="D7137" s="6" t="s">
        <v>242</v>
      </c>
      <c r="E7137" s="6" t="s">
        <v>812</v>
      </c>
      <c r="F7137" s="6" t="s">
        <v>112</v>
      </c>
      <c r="G7137" s="6" t="s">
        <v>452</v>
      </c>
      <c r="H7137" s="10">
        <v>46034.0</v>
      </c>
      <c r="I7137" s="12">
        <v>5.0</v>
      </c>
      <c r="J7137" s="6" t="s">
        <v>178</v>
      </c>
    </row>
    <row r="7138" ht="22.5" customHeight="1">
      <c r="A7138" s="6" t="s">
        <v>23946</v>
      </c>
      <c r="B7138" s="6" t="s">
        <v>16009</v>
      </c>
      <c r="C7138" s="10">
        <v>46033.0</v>
      </c>
      <c r="D7138" s="6" t="s">
        <v>416</v>
      </c>
      <c r="E7138" s="6" t="s">
        <v>628</v>
      </c>
      <c r="F7138" s="6" t="s">
        <v>249</v>
      </c>
      <c r="G7138" s="6" t="s">
        <v>452</v>
      </c>
      <c r="H7138" s="10">
        <v>46036.0</v>
      </c>
      <c r="I7138" s="12">
        <v>14.0</v>
      </c>
      <c r="J7138" s="6" t="s">
        <v>161</v>
      </c>
    </row>
    <row r="7139" ht="22.5" customHeight="1">
      <c r="A7139" s="6" t="s">
        <v>23947</v>
      </c>
      <c r="B7139" s="6" t="s">
        <v>16009</v>
      </c>
      <c r="C7139" s="10">
        <v>46033.0</v>
      </c>
      <c r="D7139" s="6" t="s">
        <v>242</v>
      </c>
      <c r="E7139" s="6" t="s">
        <v>1070</v>
      </c>
      <c r="F7139" s="6" t="s">
        <v>112</v>
      </c>
      <c r="G7139" s="6" t="s">
        <v>297</v>
      </c>
      <c r="H7139" s="10">
        <v>46038.0</v>
      </c>
      <c r="I7139" s="12">
        <v>3.0</v>
      </c>
      <c r="J7139" s="6" t="s">
        <v>161</v>
      </c>
    </row>
    <row r="7140" ht="22.5" customHeight="1">
      <c r="A7140" s="6" t="s">
        <v>23948</v>
      </c>
      <c r="B7140" s="6" t="s">
        <v>16009</v>
      </c>
      <c r="C7140" s="10">
        <v>46030.0</v>
      </c>
      <c r="D7140" s="6" t="s">
        <v>391</v>
      </c>
      <c r="E7140" s="6" t="s">
        <v>417</v>
      </c>
      <c r="F7140" s="6" t="s">
        <v>439</v>
      </c>
      <c r="G7140" s="6" t="s">
        <v>297</v>
      </c>
      <c r="H7140" s="10">
        <v>46033.0</v>
      </c>
      <c r="I7140" s="12">
        <v>10.0</v>
      </c>
      <c r="J7140" s="6" t="s">
        <v>161</v>
      </c>
    </row>
    <row r="7141" ht="22.5" customHeight="1">
      <c r="A7141" s="6" t="s">
        <v>23949</v>
      </c>
      <c r="B7141" s="6" t="s">
        <v>16009</v>
      </c>
      <c r="C7141" s="10">
        <v>46045.0</v>
      </c>
      <c r="D7141" s="6" t="s">
        <v>289</v>
      </c>
      <c r="E7141" s="6" t="s">
        <v>1273</v>
      </c>
      <c r="F7141" s="6" t="s">
        <v>283</v>
      </c>
      <c r="G7141" s="6" t="s">
        <v>254</v>
      </c>
      <c r="H7141" s="10">
        <v>46050.0</v>
      </c>
      <c r="I7141" s="12">
        <v>7.0</v>
      </c>
      <c r="J7141" s="6" t="s">
        <v>161</v>
      </c>
    </row>
    <row r="7142" ht="22.5" customHeight="1">
      <c r="A7142" s="6" t="s">
        <v>23950</v>
      </c>
      <c r="B7142" s="6" t="s">
        <v>16014</v>
      </c>
      <c r="C7142" s="10">
        <v>46049.0</v>
      </c>
      <c r="D7142" s="6" t="s">
        <v>242</v>
      </c>
      <c r="E7142" s="6" t="s">
        <v>885</v>
      </c>
      <c r="F7142" s="6" t="s">
        <v>112</v>
      </c>
      <c r="G7142" s="6" t="s">
        <v>477</v>
      </c>
      <c r="H7142" s="11" t="s">
        <v>259</v>
      </c>
      <c r="I7142" s="12">
        <v>5.0</v>
      </c>
      <c r="J7142" s="6" t="s">
        <v>161</v>
      </c>
    </row>
    <row r="7143" ht="22.5" customHeight="1">
      <c r="A7143" s="6" t="s">
        <v>23951</v>
      </c>
      <c r="B7143" s="6" t="s">
        <v>16014</v>
      </c>
      <c r="C7143" s="10">
        <v>46062.0</v>
      </c>
      <c r="D7143" s="6" t="s">
        <v>312</v>
      </c>
      <c r="E7143" s="6" t="s">
        <v>1517</v>
      </c>
      <c r="F7143" s="6" t="s">
        <v>283</v>
      </c>
      <c r="G7143" s="6" t="s">
        <v>369</v>
      </c>
      <c r="H7143" s="10">
        <v>46064.0</v>
      </c>
      <c r="I7143" s="12">
        <v>4.0</v>
      </c>
      <c r="J7143" s="6" t="s">
        <v>161</v>
      </c>
    </row>
    <row r="7144" ht="22.5" customHeight="1">
      <c r="A7144" s="6" t="s">
        <v>23952</v>
      </c>
      <c r="B7144" s="6" t="s">
        <v>16014</v>
      </c>
      <c r="C7144" s="10">
        <v>46056.0</v>
      </c>
      <c r="D7144" s="6" t="s">
        <v>289</v>
      </c>
      <c r="E7144" s="6" t="s">
        <v>610</v>
      </c>
      <c r="F7144" s="6" t="s">
        <v>112</v>
      </c>
      <c r="G7144" s="6" t="s">
        <v>458</v>
      </c>
      <c r="H7144" s="11" t="s">
        <v>259</v>
      </c>
      <c r="I7144" s="12">
        <v>7.0</v>
      </c>
      <c r="J7144" s="6" t="s">
        <v>161</v>
      </c>
    </row>
    <row r="7145" ht="22.5" customHeight="1">
      <c r="A7145" s="6" t="s">
        <v>23953</v>
      </c>
      <c r="B7145" s="6" t="s">
        <v>16021</v>
      </c>
      <c r="C7145" s="10">
        <v>46046.0</v>
      </c>
      <c r="D7145" s="6" t="s">
        <v>289</v>
      </c>
      <c r="E7145" s="6" t="s">
        <v>1102</v>
      </c>
      <c r="F7145" s="6" t="s">
        <v>249</v>
      </c>
      <c r="G7145" s="6" t="s">
        <v>297</v>
      </c>
      <c r="H7145" s="10">
        <v>46048.0</v>
      </c>
      <c r="I7145" s="12">
        <v>7.0</v>
      </c>
      <c r="J7145" s="6" t="s">
        <v>161</v>
      </c>
    </row>
    <row r="7146" ht="22.5" customHeight="1">
      <c r="A7146" s="6" t="s">
        <v>23954</v>
      </c>
      <c r="B7146" s="6" t="s">
        <v>16026</v>
      </c>
      <c r="C7146" s="10">
        <v>46036.0</v>
      </c>
      <c r="D7146" s="6" t="s">
        <v>677</v>
      </c>
      <c r="E7146" s="6" t="s">
        <v>1149</v>
      </c>
      <c r="F7146" s="6" t="s">
        <v>112</v>
      </c>
      <c r="G7146" s="6" t="s">
        <v>369</v>
      </c>
      <c r="H7146" s="10">
        <v>46040.0</v>
      </c>
      <c r="I7146" s="12">
        <v>3.0</v>
      </c>
      <c r="J7146" s="6" t="s">
        <v>161</v>
      </c>
    </row>
    <row r="7147" ht="22.5" customHeight="1">
      <c r="A7147" s="6" t="s">
        <v>23955</v>
      </c>
      <c r="B7147" s="6" t="s">
        <v>16026</v>
      </c>
      <c r="C7147" s="10">
        <v>46041.0</v>
      </c>
      <c r="D7147" s="6" t="s">
        <v>242</v>
      </c>
      <c r="E7147" s="6" t="s">
        <v>450</v>
      </c>
      <c r="F7147" s="6" t="s">
        <v>112</v>
      </c>
      <c r="G7147" s="6" t="s">
        <v>452</v>
      </c>
      <c r="H7147" s="10">
        <v>46044.0</v>
      </c>
      <c r="I7147" s="12">
        <v>5.0</v>
      </c>
      <c r="J7147" s="6" t="s">
        <v>178</v>
      </c>
    </row>
    <row r="7148" ht="22.5" customHeight="1">
      <c r="A7148" s="6" t="s">
        <v>23956</v>
      </c>
      <c r="B7148" s="6" t="s">
        <v>16026</v>
      </c>
      <c r="C7148" s="10">
        <v>46035.0</v>
      </c>
      <c r="D7148" s="6" t="s">
        <v>416</v>
      </c>
      <c r="E7148" s="6" t="s">
        <v>634</v>
      </c>
      <c r="F7148" s="6" t="s">
        <v>249</v>
      </c>
      <c r="G7148" s="6" t="s">
        <v>452</v>
      </c>
      <c r="H7148" s="10">
        <v>46039.0</v>
      </c>
      <c r="I7148" s="12">
        <v>10.0</v>
      </c>
      <c r="J7148" s="6" t="s">
        <v>161</v>
      </c>
    </row>
    <row r="7149" ht="22.5" customHeight="1">
      <c r="A7149" s="6" t="s">
        <v>23957</v>
      </c>
      <c r="B7149" s="6" t="s">
        <v>16026</v>
      </c>
      <c r="C7149" s="10">
        <v>46028.0</v>
      </c>
      <c r="D7149" s="6" t="s">
        <v>677</v>
      </c>
      <c r="E7149" s="6" t="s">
        <v>610</v>
      </c>
      <c r="F7149" s="6" t="s">
        <v>249</v>
      </c>
      <c r="G7149" s="6" t="s">
        <v>297</v>
      </c>
      <c r="H7149" s="10">
        <v>46034.0</v>
      </c>
      <c r="I7149" s="12">
        <v>4.0</v>
      </c>
      <c r="J7149" s="6" t="s">
        <v>161</v>
      </c>
    </row>
    <row r="7150" ht="22.5" customHeight="1">
      <c r="A7150" s="6" t="s">
        <v>23958</v>
      </c>
      <c r="B7150" s="6" t="s">
        <v>16026</v>
      </c>
      <c r="C7150" s="10">
        <v>46032.0</v>
      </c>
      <c r="D7150" s="6" t="s">
        <v>391</v>
      </c>
      <c r="E7150" s="6" t="s">
        <v>394</v>
      </c>
      <c r="F7150" s="6" t="s">
        <v>112</v>
      </c>
      <c r="G7150" s="6" t="s">
        <v>477</v>
      </c>
      <c r="H7150" s="10">
        <v>46039.0</v>
      </c>
      <c r="I7150" s="12">
        <v>6.0</v>
      </c>
      <c r="J7150" s="6" t="s">
        <v>161</v>
      </c>
    </row>
    <row r="7151" ht="22.5" customHeight="1">
      <c r="A7151" s="6" t="s">
        <v>23959</v>
      </c>
      <c r="B7151" s="6" t="s">
        <v>16034</v>
      </c>
      <c r="C7151" s="10">
        <v>46062.0</v>
      </c>
      <c r="D7151" s="6" t="s">
        <v>391</v>
      </c>
      <c r="E7151" s="6" t="s">
        <v>628</v>
      </c>
      <c r="F7151" s="6" t="s">
        <v>439</v>
      </c>
      <c r="G7151" s="6" t="s">
        <v>254</v>
      </c>
      <c r="H7151" s="10">
        <v>46063.0</v>
      </c>
      <c r="I7151" s="12">
        <v>9.0</v>
      </c>
      <c r="J7151" s="6" t="s">
        <v>161</v>
      </c>
    </row>
    <row r="7152" ht="22.5" customHeight="1">
      <c r="A7152" s="6" t="s">
        <v>23960</v>
      </c>
      <c r="B7152" s="6" t="s">
        <v>16040</v>
      </c>
      <c r="C7152" s="10">
        <v>46053.0</v>
      </c>
      <c r="D7152" s="6" t="s">
        <v>289</v>
      </c>
      <c r="E7152" s="6" t="s">
        <v>787</v>
      </c>
      <c r="F7152" s="6" t="s">
        <v>112</v>
      </c>
      <c r="G7152" s="6" t="s">
        <v>458</v>
      </c>
      <c r="H7152" s="10">
        <v>46060.0</v>
      </c>
      <c r="I7152" s="12">
        <v>9.0</v>
      </c>
      <c r="J7152" s="6" t="s">
        <v>161</v>
      </c>
    </row>
    <row r="7153" ht="22.5" customHeight="1">
      <c r="A7153" s="6" t="s">
        <v>23961</v>
      </c>
      <c r="B7153" s="6" t="s">
        <v>16040</v>
      </c>
      <c r="C7153" s="10">
        <v>46045.0</v>
      </c>
      <c r="D7153" s="6" t="s">
        <v>391</v>
      </c>
      <c r="E7153" s="6" t="s">
        <v>1386</v>
      </c>
      <c r="F7153" s="6" t="s">
        <v>283</v>
      </c>
      <c r="G7153" s="6" t="s">
        <v>477</v>
      </c>
      <c r="H7153" s="11" t="s">
        <v>259</v>
      </c>
      <c r="I7153" s="12">
        <v>9.0</v>
      </c>
      <c r="J7153" s="6" t="s">
        <v>161</v>
      </c>
    </row>
    <row r="7154" ht="22.5" customHeight="1">
      <c r="A7154" s="6" t="s">
        <v>23962</v>
      </c>
      <c r="B7154" s="6" t="s">
        <v>16040</v>
      </c>
      <c r="C7154" s="10">
        <v>46034.0</v>
      </c>
      <c r="D7154" s="6" t="s">
        <v>436</v>
      </c>
      <c r="E7154" s="6" t="s">
        <v>1517</v>
      </c>
      <c r="F7154" s="6" t="s">
        <v>249</v>
      </c>
      <c r="G7154" s="6" t="s">
        <v>494</v>
      </c>
      <c r="H7154" s="10">
        <v>46040.0</v>
      </c>
      <c r="I7154" s="12">
        <v>8.0</v>
      </c>
      <c r="J7154" s="6" t="s">
        <v>161</v>
      </c>
    </row>
    <row r="7155" ht="22.5" customHeight="1">
      <c r="A7155" s="6" t="s">
        <v>23963</v>
      </c>
      <c r="B7155" s="6" t="s">
        <v>16046</v>
      </c>
      <c r="C7155" s="10">
        <v>46050.0</v>
      </c>
      <c r="D7155" s="6" t="s">
        <v>312</v>
      </c>
      <c r="E7155" s="6" t="s">
        <v>670</v>
      </c>
      <c r="F7155" s="6" t="s">
        <v>439</v>
      </c>
      <c r="G7155" s="6" t="s">
        <v>494</v>
      </c>
      <c r="H7155" s="11" t="s">
        <v>259</v>
      </c>
      <c r="I7155" s="12">
        <v>4.0</v>
      </c>
      <c r="J7155" s="6" t="s">
        <v>161</v>
      </c>
    </row>
    <row r="7156" ht="22.5" customHeight="1">
      <c r="A7156" s="6" t="s">
        <v>23964</v>
      </c>
      <c r="B7156" s="6" t="s">
        <v>16053</v>
      </c>
      <c r="C7156" s="10">
        <v>46027.0</v>
      </c>
      <c r="D7156" s="6" t="s">
        <v>289</v>
      </c>
      <c r="E7156" s="6" t="s">
        <v>1296</v>
      </c>
      <c r="F7156" s="6" t="s">
        <v>249</v>
      </c>
      <c r="G7156" s="6" t="s">
        <v>494</v>
      </c>
      <c r="H7156" s="10">
        <v>46033.0</v>
      </c>
      <c r="I7156" s="12">
        <v>5.0</v>
      </c>
      <c r="J7156" s="6" t="s">
        <v>161</v>
      </c>
    </row>
    <row r="7157" ht="22.5" customHeight="1">
      <c r="A7157" s="6" t="s">
        <v>23965</v>
      </c>
      <c r="B7157" s="6" t="s">
        <v>16053</v>
      </c>
      <c r="C7157" s="10">
        <v>46046.0</v>
      </c>
      <c r="D7157" s="6" t="s">
        <v>677</v>
      </c>
      <c r="E7157" s="6" t="s">
        <v>1102</v>
      </c>
      <c r="F7157" s="6" t="s">
        <v>439</v>
      </c>
      <c r="G7157" s="6" t="s">
        <v>254</v>
      </c>
      <c r="H7157" s="10">
        <v>46046.0</v>
      </c>
      <c r="I7157" s="12">
        <v>3.0</v>
      </c>
      <c r="J7157" s="6" t="s">
        <v>161</v>
      </c>
    </row>
    <row r="7158" ht="22.5" customHeight="1">
      <c r="A7158" s="6" t="s">
        <v>23966</v>
      </c>
      <c r="B7158" s="6" t="s">
        <v>16053</v>
      </c>
      <c r="C7158" s="10">
        <v>46036.0</v>
      </c>
      <c r="D7158" s="6" t="s">
        <v>391</v>
      </c>
      <c r="E7158" s="6" t="s">
        <v>775</v>
      </c>
      <c r="F7158" s="6" t="s">
        <v>112</v>
      </c>
      <c r="G7158" s="6" t="s">
        <v>458</v>
      </c>
      <c r="H7158" s="10">
        <v>46039.0</v>
      </c>
      <c r="I7158" s="12">
        <v>8.0</v>
      </c>
      <c r="J7158" s="6" t="s">
        <v>161</v>
      </c>
    </row>
    <row r="7159" ht="22.5" customHeight="1">
      <c r="A7159" s="6" t="s">
        <v>23967</v>
      </c>
      <c r="B7159" s="6" t="s">
        <v>16053</v>
      </c>
      <c r="C7159" s="10">
        <v>46045.0</v>
      </c>
      <c r="D7159" s="6" t="s">
        <v>289</v>
      </c>
      <c r="E7159" s="6" t="s">
        <v>634</v>
      </c>
      <c r="F7159" s="6" t="s">
        <v>249</v>
      </c>
      <c r="G7159" s="6" t="s">
        <v>254</v>
      </c>
      <c r="H7159" s="10">
        <v>46048.0</v>
      </c>
      <c r="I7159" s="12">
        <v>5.0</v>
      </c>
      <c r="J7159" s="6" t="s">
        <v>161</v>
      </c>
    </row>
    <row r="7160" ht="22.5" customHeight="1">
      <c r="A7160" s="6" t="s">
        <v>23968</v>
      </c>
      <c r="B7160" s="6" t="s">
        <v>16053</v>
      </c>
      <c r="C7160" s="10">
        <v>46043.0</v>
      </c>
      <c r="D7160" s="6" t="s">
        <v>416</v>
      </c>
      <c r="E7160" s="6" t="s">
        <v>1241</v>
      </c>
      <c r="F7160" s="6" t="s">
        <v>439</v>
      </c>
      <c r="G7160" s="6" t="s">
        <v>452</v>
      </c>
      <c r="H7160" s="10">
        <v>46050.0</v>
      </c>
      <c r="I7160" s="12">
        <v>12.0</v>
      </c>
      <c r="J7160" s="6" t="s">
        <v>161</v>
      </c>
    </row>
    <row r="7161" ht="22.5" customHeight="1">
      <c r="A7161" s="6" t="s">
        <v>23969</v>
      </c>
      <c r="B7161" s="6" t="s">
        <v>16059</v>
      </c>
      <c r="C7161" s="10">
        <v>46063.0</v>
      </c>
      <c r="D7161" s="6" t="s">
        <v>242</v>
      </c>
      <c r="E7161" s="6" t="s">
        <v>1070</v>
      </c>
      <c r="F7161" s="6" t="s">
        <v>439</v>
      </c>
      <c r="G7161" s="6" t="s">
        <v>494</v>
      </c>
      <c r="H7161" s="11" t="s">
        <v>259</v>
      </c>
      <c r="I7161" s="12">
        <v>5.0</v>
      </c>
      <c r="J7161" s="6" t="s">
        <v>178</v>
      </c>
    </row>
    <row r="7162" ht="22.5" customHeight="1">
      <c r="A7162" s="6" t="s">
        <v>23970</v>
      </c>
      <c r="B7162" s="6" t="s">
        <v>16059</v>
      </c>
      <c r="C7162" s="10">
        <v>46065.0</v>
      </c>
      <c r="D7162" s="6" t="s">
        <v>416</v>
      </c>
      <c r="E7162" s="6" t="s">
        <v>738</v>
      </c>
      <c r="F7162" s="6" t="s">
        <v>249</v>
      </c>
      <c r="G7162" s="6" t="s">
        <v>494</v>
      </c>
      <c r="H7162" s="10">
        <v>46071.0</v>
      </c>
      <c r="I7162" s="12">
        <v>14.0</v>
      </c>
      <c r="J7162" s="6" t="s">
        <v>161</v>
      </c>
    </row>
    <row r="7163" ht="22.5" customHeight="1">
      <c r="A7163" s="6" t="s">
        <v>23971</v>
      </c>
      <c r="B7163" s="6" t="s">
        <v>16066</v>
      </c>
      <c r="C7163" s="10">
        <v>46068.0</v>
      </c>
      <c r="D7163" s="6" t="s">
        <v>289</v>
      </c>
      <c r="E7163" s="6" t="s">
        <v>775</v>
      </c>
      <c r="F7163" s="6" t="s">
        <v>249</v>
      </c>
      <c r="G7163" s="6" t="s">
        <v>477</v>
      </c>
      <c r="H7163" s="11" t="s">
        <v>259</v>
      </c>
      <c r="I7163" s="12">
        <v>8.0</v>
      </c>
      <c r="J7163" s="6" t="s">
        <v>161</v>
      </c>
    </row>
    <row r="7164" ht="22.5" customHeight="1">
      <c r="A7164" s="6" t="s">
        <v>23972</v>
      </c>
      <c r="B7164" s="6" t="s">
        <v>16066</v>
      </c>
      <c r="C7164" s="10">
        <v>46052.0</v>
      </c>
      <c r="D7164" s="6" t="s">
        <v>416</v>
      </c>
      <c r="E7164" s="6" t="s">
        <v>1122</v>
      </c>
      <c r="F7164" s="6" t="s">
        <v>439</v>
      </c>
      <c r="G7164" s="6" t="s">
        <v>297</v>
      </c>
      <c r="H7164" s="10">
        <v>46056.0</v>
      </c>
      <c r="I7164" s="12">
        <v>14.0</v>
      </c>
      <c r="J7164" s="6" t="s">
        <v>161</v>
      </c>
    </row>
    <row r="7165" ht="22.5" customHeight="1">
      <c r="A7165" s="6" t="s">
        <v>23973</v>
      </c>
      <c r="B7165" s="6" t="s">
        <v>16066</v>
      </c>
      <c r="C7165" s="10">
        <v>46057.0</v>
      </c>
      <c r="D7165" s="6" t="s">
        <v>416</v>
      </c>
      <c r="E7165" s="6" t="s">
        <v>634</v>
      </c>
      <c r="F7165" s="6" t="s">
        <v>249</v>
      </c>
      <c r="G7165" s="6" t="s">
        <v>297</v>
      </c>
      <c r="H7165" s="10">
        <v>46064.0</v>
      </c>
      <c r="I7165" s="12">
        <v>12.0</v>
      </c>
      <c r="J7165" s="6" t="s">
        <v>161</v>
      </c>
    </row>
    <row r="7166" ht="22.5" customHeight="1">
      <c r="A7166" s="6" t="s">
        <v>23974</v>
      </c>
      <c r="B7166" s="6" t="s">
        <v>16066</v>
      </c>
      <c r="C7166" s="10">
        <v>46056.0</v>
      </c>
      <c r="D7166" s="6" t="s">
        <v>416</v>
      </c>
      <c r="E7166" s="6" t="s">
        <v>1055</v>
      </c>
      <c r="F7166" s="6" t="s">
        <v>249</v>
      </c>
      <c r="G7166" s="6" t="s">
        <v>254</v>
      </c>
      <c r="H7166" s="10">
        <v>46056.0</v>
      </c>
      <c r="I7166" s="12">
        <v>13.0</v>
      </c>
      <c r="J7166" s="6" t="s">
        <v>161</v>
      </c>
    </row>
    <row r="7167" ht="22.5" customHeight="1">
      <c r="A7167" s="6" t="s">
        <v>23975</v>
      </c>
      <c r="B7167" s="6" t="s">
        <v>16066</v>
      </c>
      <c r="C7167" s="10">
        <v>46060.0</v>
      </c>
      <c r="D7167" s="6" t="s">
        <v>677</v>
      </c>
      <c r="E7167" s="6" t="s">
        <v>1600</v>
      </c>
      <c r="F7167" s="6" t="s">
        <v>439</v>
      </c>
      <c r="G7167" s="6" t="s">
        <v>458</v>
      </c>
      <c r="H7167" s="10">
        <v>46065.0</v>
      </c>
      <c r="I7167" s="12">
        <v>4.0</v>
      </c>
      <c r="J7167" s="6" t="s">
        <v>161</v>
      </c>
    </row>
    <row r="7168" ht="22.5" customHeight="1">
      <c r="A7168" s="6" t="s">
        <v>23976</v>
      </c>
      <c r="B7168" s="6" t="s">
        <v>16071</v>
      </c>
      <c r="C7168" s="10">
        <v>46054.0</v>
      </c>
      <c r="D7168" s="6" t="s">
        <v>289</v>
      </c>
      <c r="E7168" s="6" t="s">
        <v>695</v>
      </c>
      <c r="F7168" s="6" t="s">
        <v>439</v>
      </c>
      <c r="G7168" s="6" t="s">
        <v>369</v>
      </c>
      <c r="H7168" s="10">
        <v>46059.0</v>
      </c>
      <c r="I7168" s="12">
        <v>7.0</v>
      </c>
      <c r="J7168" s="6" t="s">
        <v>161</v>
      </c>
    </row>
    <row r="7169" ht="22.5" customHeight="1">
      <c r="A7169" s="6" t="s">
        <v>23977</v>
      </c>
      <c r="B7169" s="6" t="s">
        <v>16071</v>
      </c>
      <c r="C7169" s="10">
        <v>46052.0</v>
      </c>
      <c r="D7169" s="6" t="s">
        <v>416</v>
      </c>
      <c r="E7169" s="6" t="s">
        <v>658</v>
      </c>
      <c r="F7169" s="6" t="s">
        <v>249</v>
      </c>
      <c r="G7169" s="6" t="s">
        <v>254</v>
      </c>
      <c r="H7169" s="10">
        <v>46059.0</v>
      </c>
      <c r="I7169" s="12">
        <v>14.0</v>
      </c>
      <c r="J7169" s="6" t="s">
        <v>161</v>
      </c>
    </row>
    <row r="7170" ht="22.5" customHeight="1">
      <c r="A7170" s="6" t="s">
        <v>23978</v>
      </c>
      <c r="B7170" s="6" t="s">
        <v>16071</v>
      </c>
      <c r="C7170" s="10">
        <v>46049.0</v>
      </c>
      <c r="D7170" s="6" t="s">
        <v>436</v>
      </c>
      <c r="E7170" s="6" t="s">
        <v>1310</v>
      </c>
      <c r="F7170" s="6" t="s">
        <v>283</v>
      </c>
      <c r="G7170" s="6" t="s">
        <v>458</v>
      </c>
      <c r="H7170" s="10">
        <v>46052.0</v>
      </c>
      <c r="I7170" s="12">
        <v>7.0</v>
      </c>
      <c r="J7170" s="6" t="s">
        <v>178</v>
      </c>
    </row>
    <row r="7171" ht="22.5" customHeight="1">
      <c r="A7171" s="6" t="s">
        <v>23979</v>
      </c>
      <c r="B7171" s="6" t="s">
        <v>16077</v>
      </c>
      <c r="C7171" s="10">
        <v>46047.0</v>
      </c>
      <c r="D7171" s="6" t="s">
        <v>289</v>
      </c>
      <c r="E7171" s="6" t="s">
        <v>658</v>
      </c>
      <c r="F7171" s="6" t="s">
        <v>439</v>
      </c>
      <c r="G7171" s="6" t="s">
        <v>326</v>
      </c>
      <c r="H7171" s="10">
        <v>46047.0</v>
      </c>
      <c r="I7171" s="12">
        <v>7.0</v>
      </c>
      <c r="J7171" s="6" t="s">
        <v>161</v>
      </c>
    </row>
    <row r="7172" ht="22.5" customHeight="1">
      <c r="A7172" s="6" t="s">
        <v>23980</v>
      </c>
      <c r="B7172" s="6" t="s">
        <v>16077</v>
      </c>
      <c r="C7172" s="10">
        <v>46043.0</v>
      </c>
      <c r="D7172" s="6" t="s">
        <v>312</v>
      </c>
      <c r="E7172" s="6" t="s">
        <v>1600</v>
      </c>
      <c r="F7172" s="6" t="s">
        <v>249</v>
      </c>
      <c r="G7172" s="6" t="s">
        <v>326</v>
      </c>
      <c r="H7172" s="10">
        <v>46043.0</v>
      </c>
      <c r="I7172" s="12">
        <v>6.0</v>
      </c>
      <c r="J7172" s="6" t="s">
        <v>161</v>
      </c>
    </row>
    <row r="7173" ht="22.5" customHeight="1">
      <c r="A7173" s="6" t="s">
        <v>23981</v>
      </c>
      <c r="B7173" s="6" t="s">
        <v>16077</v>
      </c>
      <c r="C7173" s="10">
        <v>46039.0</v>
      </c>
      <c r="D7173" s="6" t="s">
        <v>436</v>
      </c>
      <c r="E7173" s="6" t="s">
        <v>716</v>
      </c>
      <c r="F7173" s="6" t="s">
        <v>439</v>
      </c>
      <c r="G7173" s="6" t="s">
        <v>254</v>
      </c>
      <c r="H7173" s="10">
        <v>46042.0</v>
      </c>
      <c r="I7173" s="12">
        <v>12.0</v>
      </c>
      <c r="J7173" s="6" t="s">
        <v>178</v>
      </c>
    </row>
    <row r="7174" ht="22.5" customHeight="1">
      <c r="A7174" s="6" t="s">
        <v>23982</v>
      </c>
      <c r="B7174" s="6" t="s">
        <v>16077</v>
      </c>
      <c r="C7174" s="10">
        <v>46044.0</v>
      </c>
      <c r="D7174" s="6" t="s">
        <v>416</v>
      </c>
      <c r="E7174" s="6" t="s">
        <v>1552</v>
      </c>
      <c r="F7174" s="6" t="s">
        <v>439</v>
      </c>
      <c r="G7174" s="6" t="s">
        <v>494</v>
      </c>
      <c r="H7174" s="10">
        <v>46046.0</v>
      </c>
      <c r="I7174" s="12">
        <v>9.0</v>
      </c>
      <c r="J7174" s="6" t="s">
        <v>161</v>
      </c>
    </row>
    <row r="7175" ht="22.5" customHeight="1">
      <c r="A7175" s="6" t="s">
        <v>23983</v>
      </c>
      <c r="B7175" s="6" t="s">
        <v>16077</v>
      </c>
      <c r="C7175" s="10">
        <v>46046.0</v>
      </c>
      <c r="D7175" s="6" t="s">
        <v>416</v>
      </c>
      <c r="E7175" s="6" t="s">
        <v>1102</v>
      </c>
      <c r="F7175" s="6" t="s">
        <v>439</v>
      </c>
      <c r="G7175" s="6" t="s">
        <v>297</v>
      </c>
      <c r="H7175" s="10">
        <v>46046.0</v>
      </c>
      <c r="I7175" s="12">
        <v>9.0</v>
      </c>
      <c r="J7175" s="6" t="s">
        <v>161</v>
      </c>
    </row>
    <row r="7176" ht="22.5" customHeight="1">
      <c r="A7176" s="6" t="s">
        <v>23984</v>
      </c>
      <c r="B7176" s="6" t="s">
        <v>16084</v>
      </c>
      <c r="C7176" s="10">
        <v>46050.0</v>
      </c>
      <c r="D7176" s="6" t="s">
        <v>242</v>
      </c>
      <c r="E7176" s="6" t="s">
        <v>610</v>
      </c>
      <c r="F7176" s="6" t="s">
        <v>439</v>
      </c>
      <c r="G7176" s="6" t="s">
        <v>452</v>
      </c>
      <c r="H7176" s="10">
        <v>46053.0</v>
      </c>
      <c r="I7176" s="12">
        <v>6.0</v>
      </c>
      <c r="J7176" s="6" t="s">
        <v>178</v>
      </c>
    </row>
    <row r="7177" ht="22.5" customHeight="1">
      <c r="A7177" s="6" t="s">
        <v>23985</v>
      </c>
      <c r="B7177" s="6" t="s">
        <v>16091</v>
      </c>
      <c r="C7177" s="10">
        <v>46031.0</v>
      </c>
      <c r="D7177" s="6" t="s">
        <v>677</v>
      </c>
      <c r="E7177" s="6" t="s">
        <v>365</v>
      </c>
      <c r="F7177" s="6" t="s">
        <v>249</v>
      </c>
      <c r="G7177" s="6" t="s">
        <v>477</v>
      </c>
      <c r="H7177" s="10">
        <v>46038.0</v>
      </c>
      <c r="I7177" s="12">
        <v>3.0</v>
      </c>
      <c r="J7177" s="6" t="s">
        <v>161</v>
      </c>
    </row>
    <row r="7178" ht="22.5" customHeight="1">
      <c r="A7178" s="6" t="s">
        <v>23986</v>
      </c>
      <c r="B7178" s="6" t="s">
        <v>16091</v>
      </c>
      <c r="C7178" s="10">
        <v>46032.0</v>
      </c>
      <c r="D7178" s="6" t="s">
        <v>436</v>
      </c>
      <c r="E7178" s="6" t="s">
        <v>634</v>
      </c>
      <c r="F7178" s="6" t="s">
        <v>439</v>
      </c>
      <c r="G7178" s="6" t="s">
        <v>369</v>
      </c>
      <c r="H7178" s="10">
        <v>46035.0</v>
      </c>
      <c r="I7178" s="12">
        <v>11.0</v>
      </c>
      <c r="J7178" s="6" t="s">
        <v>178</v>
      </c>
    </row>
    <row r="7179" ht="22.5" customHeight="1">
      <c r="A7179" s="6" t="s">
        <v>23987</v>
      </c>
      <c r="B7179" s="6" t="s">
        <v>16091</v>
      </c>
      <c r="C7179" s="10">
        <v>46043.0</v>
      </c>
      <c r="D7179" s="6" t="s">
        <v>289</v>
      </c>
      <c r="E7179" s="6" t="s">
        <v>1969</v>
      </c>
      <c r="F7179" s="6" t="s">
        <v>439</v>
      </c>
      <c r="G7179" s="6" t="s">
        <v>254</v>
      </c>
      <c r="H7179" s="10">
        <v>46048.0</v>
      </c>
      <c r="I7179" s="12">
        <v>10.0</v>
      </c>
      <c r="J7179" s="6" t="s">
        <v>161</v>
      </c>
    </row>
    <row r="7180" ht="22.5" customHeight="1">
      <c r="A7180" s="6" t="s">
        <v>23988</v>
      </c>
      <c r="B7180" s="6" t="s">
        <v>16091</v>
      </c>
      <c r="C7180" s="10">
        <v>46040.0</v>
      </c>
      <c r="D7180" s="6" t="s">
        <v>677</v>
      </c>
      <c r="E7180" s="6" t="s">
        <v>1149</v>
      </c>
      <c r="F7180" s="6" t="s">
        <v>249</v>
      </c>
      <c r="G7180" s="6" t="s">
        <v>297</v>
      </c>
      <c r="H7180" s="10">
        <v>46046.0</v>
      </c>
      <c r="I7180" s="12">
        <v>2.0</v>
      </c>
      <c r="J7180" s="6" t="s">
        <v>161</v>
      </c>
    </row>
    <row r="7181" ht="22.5" customHeight="1">
      <c r="A7181" s="6" t="s">
        <v>23989</v>
      </c>
      <c r="B7181" s="6" t="s">
        <v>16097</v>
      </c>
      <c r="C7181" s="10">
        <v>46062.0</v>
      </c>
      <c r="D7181" s="6" t="s">
        <v>289</v>
      </c>
      <c r="E7181" s="6" t="s">
        <v>1626</v>
      </c>
      <c r="F7181" s="6" t="s">
        <v>283</v>
      </c>
      <c r="G7181" s="6" t="s">
        <v>477</v>
      </c>
      <c r="H7181" s="10">
        <v>46065.0</v>
      </c>
      <c r="I7181" s="12">
        <v>9.0</v>
      </c>
      <c r="J7181" s="6" t="s">
        <v>161</v>
      </c>
    </row>
    <row r="7182" ht="22.5" customHeight="1">
      <c r="A7182" s="6" t="s">
        <v>23990</v>
      </c>
      <c r="B7182" s="6" t="s">
        <v>16097</v>
      </c>
      <c r="C7182" s="10">
        <v>46073.0</v>
      </c>
      <c r="D7182" s="6" t="s">
        <v>416</v>
      </c>
      <c r="E7182" s="6" t="s">
        <v>798</v>
      </c>
      <c r="F7182" s="6" t="s">
        <v>283</v>
      </c>
      <c r="G7182" s="6" t="s">
        <v>369</v>
      </c>
      <c r="H7182" s="10">
        <v>46079.0</v>
      </c>
      <c r="I7182" s="12">
        <v>13.0</v>
      </c>
      <c r="J7182" s="6" t="s">
        <v>161</v>
      </c>
    </row>
    <row r="7183" ht="22.5" customHeight="1">
      <c r="A7183" s="6" t="s">
        <v>23991</v>
      </c>
      <c r="B7183" s="6" t="s">
        <v>16097</v>
      </c>
      <c r="C7183" s="10">
        <v>46059.0</v>
      </c>
      <c r="D7183" s="6" t="s">
        <v>391</v>
      </c>
      <c r="E7183" s="6" t="s">
        <v>1600</v>
      </c>
      <c r="F7183" s="6" t="s">
        <v>112</v>
      </c>
      <c r="G7183" s="6" t="s">
        <v>326</v>
      </c>
      <c r="H7183" s="10">
        <v>46066.0</v>
      </c>
      <c r="I7183" s="12">
        <v>6.0</v>
      </c>
      <c r="J7183" s="6" t="s">
        <v>161</v>
      </c>
    </row>
    <row r="7184" ht="22.5" customHeight="1">
      <c r="A7184" s="6" t="s">
        <v>23992</v>
      </c>
      <c r="B7184" s="6" t="s">
        <v>16097</v>
      </c>
      <c r="C7184" s="10">
        <v>46068.0</v>
      </c>
      <c r="D7184" s="6" t="s">
        <v>312</v>
      </c>
      <c r="E7184" s="6" t="s">
        <v>1296</v>
      </c>
      <c r="F7184" s="6" t="s">
        <v>112</v>
      </c>
      <c r="G7184" s="6" t="s">
        <v>326</v>
      </c>
      <c r="H7184" s="10">
        <v>46070.0</v>
      </c>
      <c r="I7184" s="12">
        <v>5.0</v>
      </c>
      <c r="J7184" s="6" t="s">
        <v>161</v>
      </c>
    </row>
    <row r="7185" ht="22.5" customHeight="1">
      <c r="A7185" s="6" t="s">
        <v>23993</v>
      </c>
      <c r="B7185" s="6" t="s">
        <v>16097</v>
      </c>
      <c r="C7185" s="10">
        <v>46059.0</v>
      </c>
      <c r="D7185" s="6" t="s">
        <v>436</v>
      </c>
      <c r="E7185" s="6" t="s">
        <v>634</v>
      </c>
      <c r="F7185" s="6" t="s">
        <v>249</v>
      </c>
      <c r="G7185" s="6" t="s">
        <v>297</v>
      </c>
      <c r="H7185" s="11" t="s">
        <v>259</v>
      </c>
      <c r="I7185" s="12">
        <v>10.0</v>
      </c>
      <c r="J7185" s="6" t="s">
        <v>178</v>
      </c>
    </row>
    <row r="7186" ht="22.5" customHeight="1">
      <c r="A7186" s="6" t="s">
        <v>23994</v>
      </c>
      <c r="B7186" s="6" t="s">
        <v>16103</v>
      </c>
      <c r="C7186" s="10">
        <v>46062.0</v>
      </c>
      <c r="D7186" s="6" t="s">
        <v>436</v>
      </c>
      <c r="E7186" s="6" t="s">
        <v>1600</v>
      </c>
      <c r="F7186" s="6" t="s">
        <v>283</v>
      </c>
      <c r="G7186" s="6" t="s">
        <v>326</v>
      </c>
      <c r="H7186" s="10">
        <v>46067.0</v>
      </c>
      <c r="I7186" s="12">
        <v>7.0</v>
      </c>
      <c r="J7186" s="6" t="s">
        <v>178</v>
      </c>
    </row>
    <row r="7187" ht="22.5" customHeight="1">
      <c r="A7187" s="6" t="s">
        <v>23995</v>
      </c>
      <c r="B7187" s="6" t="s">
        <v>16103</v>
      </c>
      <c r="C7187" s="10">
        <v>46065.0</v>
      </c>
      <c r="D7187" s="6" t="s">
        <v>312</v>
      </c>
      <c r="E7187" s="6" t="s">
        <v>1070</v>
      </c>
      <c r="F7187" s="6" t="s">
        <v>439</v>
      </c>
      <c r="G7187" s="6" t="s">
        <v>254</v>
      </c>
      <c r="H7187" s="10">
        <v>46072.0</v>
      </c>
      <c r="I7187" s="12">
        <v>4.0</v>
      </c>
      <c r="J7187" s="6" t="s">
        <v>161</v>
      </c>
    </row>
    <row r="7188" ht="22.5" customHeight="1">
      <c r="A7188" s="6" t="s">
        <v>23996</v>
      </c>
      <c r="B7188" s="6" t="s">
        <v>16103</v>
      </c>
      <c r="C7188" s="10">
        <v>46075.0</v>
      </c>
      <c r="D7188" s="6" t="s">
        <v>312</v>
      </c>
      <c r="E7188" s="6" t="s">
        <v>438</v>
      </c>
      <c r="F7188" s="6" t="s">
        <v>283</v>
      </c>
      <c r="G7188" s="6" t="s">
        <v>477</v>
      </c>
      <c r="H7188" s="10">
        <v>46075.0</v>
      </c>
      <c r="I7188" s="12">
        <v>4.0</v>
      </c>
      <c r="J7188" s="6" t="s">
        <v>161</v>
      </c>
    </row>
    <row r="7189" ht="22.5" customHeight="1">
      <c r="A7189" s="6" t="s">
        <v>23997</v>
      </c>
      <c r="B7189" s="6" t="s">
        <v>16103</v>
      </c>
      <c r="C7189" s="10">
        <v>46066.0</v>
      </c>
      <c r="D7189" s="6" t="s">
        <v>242</v>
      </c>
      <c r="E7189" s="6" t="s">
        <v>2881</v>
      </c>
      <c r="F7189" s="6" t="s">
        <v>283</v>
      </c>
      <c r="G7189" s="6" t="s">
        <v>369</v>
      </c>
      <c r="H7189" s="10">
        <v>46070.0</v>
      </c>
      <c r="I7189" s="12">
        <v>5.0</v>
      </c>
      <c r="J7189" s="6" t="s">
        <v>178</v>
      </c>
    </row>
    <row r="7190" ht="22.5" customHeight="1">
      <c r="A7190" s="6" t="s">
        <v>23998</v>
      </c>
      <c r="B7190" s="6" t="s">
        <v>16103</v>
      </c>
      <c r="C7190" s="10">
        <v>46061.0</v>
      </c>
      <c r="D7190" s="6" t="s">
        <v>391</v>
      </c>
      <c r="E7190" s="6" t="s">
        <v>1102</v>
      </c>
      <c r="F7190" s="6" t="s">
        <v>283</v>
      </c>
      <c r="G7190" s="6" t="s">
        <v>326</v>
      </c>
      <c r="H7190" s="10">
        <v>46067.0</v>
      </c>
      <c r="I7190" s="12">
        <v>8.0</v>
      </c>
      <c r="J7190" s="6" t="s">
        <v>161</v>
      </c>
    </row>
    <row r="7191" ht="22.5" customHeight="1">
      <c r="A7191" s="6" t="s">
        <v>23999</v>
      </c>
      <c r="B7191" s="6" t="s">
        <v>16109</v>
      </c>
      <c r="C7191" s="10">
        <v>46053.0</v>
      </c>
      <c r="D7191" s="6" t="s">
        <v>289</v>
      </c>
      <c r="E7191" s="6" t="s">
        <v>628</v>
      </c>
      <c r="F7191" s="6" t="s">
        <v>112</v>
      </c>
      <c r="G7191" s="6" t="s">
        <v>494</v>
      </c>
      <c r="H7191" s="10">
        <v>46053.0</v>
      </c>
      <c r="I7191" s="12">
        <v>7.0</v>
      </c>
      <c r="J7191" s="6" t="s">
        <v>161</v>
      </c>
    </row>
    <row r="7192" ht="22.5" customHeight="1">
      <c r="A7192" s="6" t="s">
        <v>24000</v>
      </c>
      <c r="B7192" s="6" t="s">
        <v>16109</v>
      </c>
      <c r="C7192" s="10">
        <v>46049.0</v>
      </c>
      <c r="D7192" s="6" t="s">
        <v>416</v>
      </c>
      <c r="E7192" s="6" t="s">
        <v>1386</v>
      </c>
      <c r="F7192" s="6" t="s">
        <v>249</v>
      </c>
      <c r="G7192" s="6" t="s">
        <v>477</v>
      </c>
      <c r="H7192" s="10">
        <v>46056.0</v>
      </c>
      <c r="I7192" s="12">
        <v>10.0</v>
      </c>
      <c r="J7192" s="6" t="s">
        <v>161</v>
      </c>
    </row>
    <row r="7193" ht="22.5" customHeight="1">
      <c r="A7193" s="6" t="s">
        <v>24001</v>
      </c>
      <c r="B7193" s="6" t="s">
        <v>16109</v>
      </c>
      <c r="C7193" s="10">
        <v>46049.0</v>
      </c>
      <c r="D7193" s="6" t="s">
        <v>289</v>
      </c>
      <c r="E7193" s="6" t="s">
        <v>512</v>
      </c>
      <c r="F7193" s="6" t="s">
        <v>283</v>
      </c>
      <c r="G7193" s="6" t="s">
        <v>494</v>
      </c>
      <c r="H7193" s="10">
        <v>46050.0</v>
      </c>
      <c r="I7193" s="12">
        <v>8.0</v>
      </c>
      <c r="J7193" s="6" t="s">
        <v>161</v>
      </c>
    </row>
    <row r="7194" ht="22.5" customHeight="1">
      <c r="A7194" s="6" t="s">
        <v>24002</v>
      </c>
      <c r="B7194" s="6" t="s">
        <v>16109</v>
      </c>
      <c r="C7194" s="10">
        <v>46051.0</v>
      </c>
      <c r="D7194" s="6" t="s">
        <v>242</v>
      </c>
      <c r="E7194" s="6" t="s">
        <v>896</v>
      </c>
      <c r="F7194" s="6" t="s">
        <v>283</v>
      </c>
      <c r="G7194" s="6" t="s">
        <v>494</v>
      </c>
      <c r="H7194" s="10">
        <v>46051.0</v>
      </c>
      <c r="I7194" s="12">
        <v>3.0</v>
      </c>
      <c r="J7194" s="6" t="s">
        <v>161</v>
      </c>
    </row>
    <row r="7195" ht="22.5" customHeight="1">
      <c r="A7195" s="6" t="s">
        <v>24003</v>
      </c>
      <c r="B7195" s="6" t="s">
        <v>16116</v>
      </c>
      <c r="C7195" s="10">
        <v>46054.0</v>
      </c>
      <c r="D7195" s="6" t="s">
        <v>436</v>
      </c>
      <c r="E7195" s="6" t="s">
        <v>1969</v>
      </c>
      <c r="F7195" s="6" t="s">
        <v>112</v>
      </c>
      <c r="G7195" s="6" t="s">
        <v>254</v>
      </c>
      <c r="H7195" s="10">
        <v>46057.0</v>
      </c>
      <c r="I7195" s="12">
        <v>11.0</v>
      </c>
      <c r="J7195" s="6" t="s">
        <v>178</v>
      </c>
    </row>
    <row r="7196" ht="22.5" customHeight="1">
      <c r="A7196" s="6" t="s">
        <v>24004</v>
      </c>
      <c r="B7196" s="6" t="s">
        <v>16116</v>
      </c>
      <c r="C7196" s="10">
        <v>46058.0</v>
      </c>
      <c r="D7196" s="6" t="s">
        <v>391</v>
      </c>
      <c r="E7196" s="6" t="s">
        <v>695</v>
      </c>
      <c r="F7196" s="6" t="s">
        <v>112</v>
      </c>
      <c r="G7196" s="6" t="s">
        <v>369</v>
      </c>
      <c r="H7196" s="10">
        <v>46064.0</v>
      </c>
      <c r="I7196" s="12">
        <v>11.0</v>
      </c>
      <c r="J7196" s="6" t="s">
        <v>161</v>
      </c>
    </row>
    <row r="7197" ht="22.5" customHeight="1">
      <c r="A7197" s="6" t="s">
        <v>24005</v>
      </c>
      <c r="B7197" s="6" t="s">
        <v>16116</v>
      </c>
      <c r="C7197" s="10">
        <v>46062.0</v>
      </c>
      <c r="D7197" s="6" t="s">
        <v>677</v>
      </c>
      <c r="E7197" s="6" t="s">
        <v>1969</v>
      </c>
      <c r="F7197" s="6" t="s">
        <v>249</v>
      </c>
      <c r="G7197" s="6" t="s">
        <v>452</v>
      </c>
      <c r="H7197" s="10">
        <v>46069.0</v>
      </c>
      <c r="I7197" s="12">
        <v>3.0</v>
      </c>
      <c r="J7197" s="6" t="s">
        <v>161</v>
      </c>
    </row>
    <row r="7198" ht="22.5" customHeight="1">
      <c r="A7198" s="6" t="s">
        <v>24006</v>
      </c>
      <c r="B7198" s="6" t="s">
        <v>16116</v>
      </c>
      <c r="C7198" s="10">
        <v>46056.0</v>
      </c>
      <c r="D7198" s="6" t="s">
        <v>289</v>
      </c>
      <c r="E7198" s="6" t="s">
        <v>1626</v>
      </c>
      <c r="F7198" s="6" t="s">
        <v>112</v>
      </c>
      <c r="G7198" s="6" t="s">
        <v>494</v>
      </c>
      <c r="H7198" s="10">
        <v>46059.0</v>
      </c>
      <c r="I7198" s="12">
        <v>6.0</v>
      </c>
      <c r="J7198" s="6" t="s">
        <v>161</v>
      </c>
    </row>
    <row r="7199" ht="22.5" customHeight="1">
      <c r="A7199" s="6" t="s">
        <v>24007</v>
      </c>
      <c r="B7199" s="6" t="s">
        <v>16116</v>
      </c>
      <c r="C7199" s="10">
        <v>46060.0</v>
      </c>
      <c r="D7199" s="6" t="s">
        <v>436</v>
      </c>
      <c r="E7199" s="6" t="s">
        <v>583</v>
      </c>
      <c r="F7199" s="6" t="s">
        <v>439</v>
      </c>
      <c r="G7199" s="6" t="s">
        <v>369</v>
      </c>
      <c r="H7199" s="11" t="s">
        <v>259</v>
      </c>
      <c r="I7199" s="12">
        <v>12.0</v>
      </c>
      <c r="J7199" s="6" t="s">
        <v>161</v>
      </c>
    </row>
    <row r="7200" ht="22.5" customHeight="1">
      <c r="A7200" s="6" t="s">
        <v>24008</v>
      </c>
      <c r="B7200" s="6" t="s">
        <v>16122</v>
      </c>
      <c r="C7200" s="10">
        <v>46074.0</v>
      </c>
      <c r="D7200" s="6" t="s">
        <v>436</v>
      </c>
      <c r="E7200" s="6" t="s">
        <v>1241</v>
      </c>
      <c r="F7200" s="6" t="s">
        <v>283</v>
      </c>
      <c r="G7200" s="6" t="s">
        <v>326</v>
      </c>
      <c r="H7200" s="10">
        <v>46078.0</v>
      </c>
      <c r="I7200" s="12">
        <v>12.0</v>
      </c>
      <c r="J7200" s="6" t="s">
        <v>178</v>
      </c>
    </row>
    <row r="7201" ht="22.5" customHeight="1">
      <c r="A7201" s="6" t="s">
        <v>24009</v>
      </c>
      <c r="B7201" s="6" t="s">
        <v>16129</v>
      </c>
      <c r="C7201" s="10">
        <v>46068.0</v>
      </c>
      <c r="D7201" s="6" t="s">
        <v>677</v>
      </c>
      <c r="E7201" s="6" t="s">
        <v>1720</v>
      </c>
      <c r="F7201" s="6" t="s">
        <v>439</v>
      </c>
      <c r="G7201" s="6" t="s">
        <v>369</v>
      </c>
      <c r="H7201" s="10">
        <v>46073.0</v>
      </c>
      <c r="I7201" s="12">
        <v>4.0</v>
      </c>
      <c r="J7201" s="6" t="s">
        <v>161</v>
      </c>
    </row>
    <row r="7202" ht="22.5" customHeight="1">
      <c r="A7202" s="6" t="s">
        <v>24010</v>
      </c>
      <c r="B7202" s="6" t="s">
        <v>16136</v>
      </c>
      <c r="C7202" s="10">
        <v>46079.0</v>
      </c>
      <c r="D7202" s="6" t="s">
        <v>391</v>
      </c>
      <c r="E7202" s="6" t="s">
        <v>738</v>
      </c>
      <c r="F7202" s="6" t="s">
        <v>249</v>
      </c>
      <c r="G7202" s="6" t="s">
        <v>477</v>
      </c>
      <c r="H7202" s="11" t="s">
        <v>259</v>
      </c>
      <c r="I7202" s="12">
        <v>8.0</v>
      </c>
      <c r="J7202" s="6" t="s">
        <v>161</v>
      </c>
    </row>
    <row r="7203" ht="22.5" customHeight="1">
      <c r="A7203" s="6" t="s">
        <v>24011</v>
      </c>
      <c r="B7203" s="6" t="s">
        <v>16136</v>
      </c>
      <c r="C7203" s="10">
        <v>46062.0</v>
      </c>
      <c r="D7203" s="6" t="s">
        <v>289</v>
      </c>
      <c r="E7203" s="6" t="s">
        <v>1386</v>
      </c>
      <c r="F7203" s="6" t="s">
        <v>439</v>
      </c>
      <c r="G7203" s="6" t="s">
        <v>494</v>
      </c>
      <c r="H7203" s="10">
        <v>46068.0</v>
      </c>
      <c r="I7203" s="12">
        <v>8.0</v>
      </c>
      <c r="J7203" s="6" t="s">
        <v>161</v>
      </c>
    </row>
    <row r="7204" ht="22.5" customHeight="1">
      <c r="A7204" s="6" t="s">
        <v>24012</v>
      </c>
      <c r="B7204" s="6" t="s">
        <v>16136</v>
      </c>
      <c r="C7204" s="10">
        <v>46073.0</v>
      </c>
      <c r="D7204" s="6" t="s">
        <v>677</v>
      </c>
      <c r="E7204" s="6" t="s">
        <v>2365</v>
      </c>
      <c r="F7204" s="6" t="s">
        <v>112</v>
      </c>
      <c r="G7204" s="6" t="s">
        <v>452</v>
      </c>
      <c r="H7204" s="10">
        <v>46077.0</v>
      </c>
      <c r="I7204" s="12">
        <v>3.0</v>
      </c>
      <c r="J7204" s="6" t="s">
        <v>161</v>
      </c>
    </row>
    <row r="7205" ht="22.5" customHeight="1">
      <c r="A7205" s="6" t="s">
        <v>24013</v>
      </c>
      <c r="B7205" s="6" t="s">
        <v>16142</v>
      </c>
      <c r="C7205" s="10">
        <v>46039.0</v>
      </c>
      <c r="D7205" s="6" t="s">
        <v>436</v>
      </c>
      <c r="E7205" s="6" t="s">
        <v>246</v>
      </c>
      <c r="F7205" s="6" t="s">
        <v>112</v>
      </c>
      <c r="G7205" s="6" t="s">
        <v>477</v>
      </c>
      <c r="H7205" s="10">
        <v>46044.0</v>
      </c>
      <c r="I7205" s="12">
        <v>6.0</v>
      </c>
      <c r="J7205" s="6" t="s">
        <v>178</v>
      </c>
    </row>
    <row r="7206" ht="22.5" customHeight="1">
      <c r="A7206" s="6" t="s">
        <v>24014</v>
      </c>
      <c r="B7206" s="6" t="s">
        <v>16142</v>
      </c>
      <c r="C7206" s="10">
        <v>46044.0</v>
      </c>
      <c r="D7206" s="6" t="s">
        <v>289</v>
      </c>
      <c r="E7206" s="6" t="s">
        <v>1741</v>
      </c>
      <c r="F7206" s="6" t="s">
        <v>112</v>
      </c>
      <c r="G7206" s="6" t="s">
        <v>297</v>
      </c>
      <c r="H7206" s="10">
        <v>46048.0</v>
      </c>
      <c r="I7206" s="12">
        <v>6.0</v>
      </c>
      <c r="J7206" s="6" t="s">
        <v>161</v>
      </c>
    </row>
    <row r="7207" ht="22.5" customHeight="1">
      <c r="A7207" s="6" t="s">
        <v>24015</v>
      </c>
      <c r="B7207" s="6" t="s">
        <v>16142</v>
      </c>
      <c r="C7207" s="10">
        <v>46031.0</v>
      </c>
      <c r="D7207" s="6" t="s">
        <v>677</v>
      </c>
      <c r="E7207" s="6" t="s">
        <v>1600</v>
      </c>
      <c r="F7207" s="6" t="s">
        <v>283</v>
      </c>
      <c r="G7207" s="6" t="s">
        <v>452</v>
      </c>
      <c r="H7207" s="10">
        <v>46034.0</v>
      </c>
      <c r="I7207" s="12">
        <v>2.0</v>
      </c>
      <c r="J7207" s="6" t="s">
        <v>161</v>
      </c>
    </row>
    <row r="7208" ht="22.5" customHeight="1">
      <c r="A7208" s="6" t="s">
        <v>24016</v>
      </c>
      <c r="B7208" s="6" t="s">
        <v>16142</v>
      </c>
      <c r="C7208" s="10">
        <v>46033.0</v>
      </c>
      <c r="D7208" s="6" t="s">
        <v>312</v>
      </c>
      <c r="E7208" s="6" t="s">
        <v>1035</v>
      </c>
      <c r="F7208" s="6" t="s">
        <v>283</v>
      </c>
      <c r="G7208" s="6" t="s">
        <v>494</v>
      </c>
      <c r="H7208" s="10">
        <v>46039.0</v>
      </c>
      <c r="I7208" s="12">
        <v>5.0</v>
      </c>
      <c r="J7208" s="6" t="s">
        <v>161</v>
      </c>
    </row>
    <row r="7209" ht="22.5" customHeight="1">
      <c r="A7209" s="6" t="s">
        <v>24017</v>
      </c>
      <c r="B7209" s="6" t="s">
        <v>16148</v>
      </c>
      <c r="C7209" s="10">
        <v>46043.0</v>
      </c>
      <c r="D7209" s="6" t="s">
        <v>436</v>
      </c>
      <c r="E7209" s="6" t="s">
        <v>365</v>
      </c>
      <c r="F7209" s="6" t="s">
        <v>249</v>
      </c>
      <c r="G7209" s="6" t="s">
        <v>452</v>
      </c>
      <c r="H7209" s="10">
        <v>46043.0</v>
      </c>
      <c r="I7209" s="12">
        <v>7.0</v>
      </c>
      <c r="J7209" s="6" t="s">
        <v>178</v>
      </c>
    </row>
    <row r="7210" ht="22.5" customHeight="1">
      <c r="A7210" s="6" t="s">
        <v>24018</v>
      </c>
      <c r="B7210" s="6" t="s">
        <v>16148</v>
      </c>
      <c r="C7210" s="10">
        <v>46051.0</v>
      </c>
      <c r="D7210" s="6" t="s">
        <v>416</v>
      </c>
      <c r="E7210" s="6" t="s">
        <v>863</v>
      </c>
      <c r="F7210" s="6" t="s">
        <v>439</v>
      </c>
      <c r="G7210" s="6" t="s">
        <v>254</v>
      </c>
      <c r="H7210" s="10">
        <v>46057.0</v>
      </c>
      <c r="I7210" s="12">
        <v>14.0</v>
      </c>
      <c r="J7210" s="6" t="s">
        <v>161</v>
      </c>
    </row>
    <row r="7211" ht="22.5" customHeight="1">
      <c r="A7211" s="6" t="s">
        <v>24019</v>
      </c>
      <c r="B7211" s="6" t="s">
        <v>16148</v>
      </c>
      <c r="C7211" s="10">
        <v>46045.0</v>
      </c>
      <c r="D7211" s="6" t="s">
        <v>436</v>
      </c>
      <c r="E7211" s="6" t="s">
        <v>1546</v>
      </c>
      <c r="F7211" s="6" t="s">
        <v>439</v>
      </c>
      <c r="G7211" s="6" t="s">
        <v>369</v>
      </c>
      <c r="H7211" s="10">
        <v>46051.0</v>
      </c>
      <c r="I7211" s="12">
        <v>6.0</v>
      </c>
      <c r="J7211" s="6" t="s">
        <v>161</v>
      </c>
    </row>
    <row r="7212" ht="22.5" customHeight="1">
      <c r="A7212" s="6" t="s">
        <v>24020</v>
      </c>
      <c r="B7212" s="6" t="s">
        <v>16148</v>
      </c>
      <c r="C7212" s="10">
        <v>46049.0</v>
      </c>
      <c r="D7212" s="6" t="s">
        <v>289</v>
      </c>
      <c r="E7212" s="6" t="s">
        <v>610</v>
      </c>
      <c r="F7212" s="6" t="s">
        <v>249</v>
      </c>
      <c r="G7212" s="6" t="s">
        <v>369</v>
      </c>
      <c r="H7212" s="10">
        <v>46052.0</v>
      </c>
      <c r="I7212" s="12">
        <v>7.0</v>
      </c>
      <c r="J7212" s="6" t="s">
        <v>161</v>
      </c>
    </row>
    <row r="7213" ht="22.5" customHeight="1">
      <c r="A7213" s="6" t="s">
        <v>24021</v>
      </c>
      <c r="B7213" s="6" t="s">
        <v>16153</v>
      </c>
      <c r="C7213" s="10">
        <v>46069.0</v>
      </c>
      <c r="D7213" s="6" t="s">
        <v>677</v>
      </c>
      <c r="E7213" s="6" t="s">
        <v>1700</v>
      </c>
      <c r="F7213" s="6" t="s">
        <v>112</v>
      </c>
      <c r="G7213" s="6" t="s">
        <v>297</v>
      </c>
      <c r="H7213" s="10">
        <v>46074.0</v>
      </c>
      <c r="I7213" s="12">
        <v>2.0</v>
      </c>
      <c r="J7213" s="6" t="s">
        <v>161</v>
      </c>
    </row>
    <row r="7214" ht="22.5" customHeight="1">
      <c r="A7214" s="6" t="s">
        <v>24022</v>
      </c>
      <c r="B7214" s="6" t="s">
        <v>16153</v>
      </c>
      <c r="C7214" s="10">
        <v>46061.0</v>
      </c>
      <c r="D7214" s="6" t="s">
        <v>312</v>
      </c>
      <c r="E7214" s="6" t="s">
        <v>634</v>
      </c>
      <c r="F7214" s="6" t="s">
        <v>439</v>
      </c>
      <c r="G7214" s="6" t="s">
        <v>452</v>
      </c>
      <c r="H7214" s="10">
        <v>46061.0</v>
      </c>
      <c r="I7214" s="12">
        <v>7.0</v>
      </c>
      <c r="J7214" s="6" t="s">
        <v>161</v>
      </c>
    </row>
    <row r="7215" ht="22.5" customHeight="1">
      <c r="A7215" s="6" t="s">
        <v>24023</v>
      </c>
      <c r="B7215" s="6" t="s">
        <v>16153</v>
      </c>
      <c r="C7215" s="10">
        <v>46053.0</v>
      </c>
      <c r="D7215" s="6" t="s">
        <v>312</v>
      </c>
      <c r="E7215" s="6" t="s">
        <v>695</v>
      </c>
      <c r="F7215" s="6" t="s">
        <v>439</v>
      </c>
      <c r="G7215" s="6" t="s">
        <v>494</v>
      </c>
      <c r="H7215" s="10">
        <v>46058.0</v>
      </c>
      <c r="I7215" s="12">
        <v>4.0</v>
      </c>
      <c r="J7215" s="6" t="s">
        <v>161</v>
      </c>
    </row>
    <row r="7216" ht="22.5" customHeight="1">
      <c r="A7216" s="6" t="s">
        <v>24024</v>
      </c>
      <c r="B7216" s="6" t="s">
        <v>16153</v>
      </c>
      <c r="C7216" s="10">
        <v>46056.0</v>
      </c>
      <c r="D7216" s="6" t="s">
        <v>391</v>
      </c>
      <c r="E7216" s="6" t="s">
        <v>798</v>
      </c>
      <c r="F7216" s="6" t="s">
        <v>112</v>
      </c>
      <c r="G7216" s="6" t="s">
        <v>369</v>
      </c>
      <c r="H7216" s="10">
        <v>46058.0</v>
      </c>
      <c r="I7216" s="12">
        <v>10.0</v>
      </c>
      <c r="J7216" s="6" t="s">
        <v>161</v>
      </c>
    </row>
    <row r="7217" ht="22.5" customHeight="1">
      <c r="A7217" s="6" t="s">
        <v>24025</v>
      </c>
      <c r="B7217" s="6" t="s">
        <v>16159</v>
      </c>
      <c r="C7217" s="10">
        <v>46048.0</v>
      </c>
      <c r="D7217" s="6" t="s">
        <v>289</v>
      </c>
      <c r="E7217" s="6" t="s">
        <v>812</v>
      </c>
      <c r="F7217" s="6" t="s">
        <v>249</v>
      </c>
      <c r="G7217" s="6" t="s">
        <v>452</v>
      </c>
      <c r="H7217" s="10">
        <v>46048.0</v>
      </c>
      <c r="I7217" s="12">
        <v>5.0</v>
      </c>
      <c r="J7217" s="6" t="s">
        <v>161</v>
      </c>
    </row>
    <row r="7218" ht="22.5" customHeight="1">
      <c r="A7218" s="6" t="s">
        <v>24026</v>
      </c>
      <c r="B7218" s="6" t="s">
        <v>16159</v>
      </c>
      <c r="C7218" s="10">
        <v>46053.0</v>
      </c>
      <c r="D7218" s="6" t="s">
        <v>242</v>
      </c>
      <c r="E7218" s="6" t="s">
        <v>1280</v>
      </c>
      <c r="F7218" s="6" t="s">
        <v>439</v>
      </c>
      <c r="G7218" s="6" t="s">
        <v>297</v>
      </c>
      <c r="H7218" s="10">
        <v>46053.0</v>
      </c>
      <c r="I7218" s="12">
        <v>4.0</v>
      </c>
      <c r="J7218" s="6" t="s">
        <v>178</v>
      </c>
    </row>
    <row r="7219" ht="22.5" customHeight="1">
      <c r="A7219" s="6" t="s">
        <v>24027</v>
      </c>
      <c r="B7219" s="6" t="s">
        <v>16165</v>
      </c>
      <c r="C7219" s="10">
        <v>46078.0</v>
      </c>
      <c r="D7219" s="6" t="s">
        <v>312</v>
      </c>
      <c r="E7219" s="6" t="s">
        <v>812</v>
      </c>
      <c r="F7219" s="6" t="s">
        <v>439</v>
      </c>
      <c r="G7219" s="6" t="s">
        <v>369</v>
      </c>
      <c r="H7219" s="11" t="s">
        <v>259</v>
      </c>
      <c r="I7219" s="12">
        <v>6.0</v>
      </c>
      <c r="J7219" s="6" t="s">
        <v>161</v>
      </c>
    </row>
    <row r="7220" ht="22.5" customHeight="1">
      <c r="A7220" s="6" t="s">
        <v>24028</v>
      </c>
      <c r="B7220" s="6" t="s">
        <v>16165</v>
      </c>
      <c r="C7220" s="10">
        <v>46078.0</v>
      </c>
      <c r="D7220" s="6" t="s">
        <v>436</v>
      </c>
      <c r="E7220" s="6" t="s">
        <v>628</v>
      </c>
      <c r="F7220" s="6" t="s">
        <v>249</v>
      </c>
      <c r="G7220" s="6" t="s">
        <v>477</v>
      </c>
      <c r="H7220" s="10">
        <v>46078.0</v>
      </c>
      <c r="I7220" s="12">
        <v>7.0</v>
      </c>
      <c r="J7220" s="6" t="s">
        <v>178</v>
      </c>
    </row>
    <row r="7221" ht="22.5" customHeight="1">
      <c r="A7221" s="6" t="s">
        <v>24029</v>
      </c>
      <c r="B7221" s="6" t="s">
        <v>16165</v>
      </c>
      <c r="C7221" s="10">
        <v>46076.0</v>
      </c>
      <c r="D7221" s="6" t="s">
        <v>391</v>
      </c>
      <c r="E7221" s="6" t="s">
        <v>863</v>
      </c>
      <c r="F7221" s="6" t="s">
        <v>283</v>
      </c>
      <c r="G7221" s="6" t="s">
        <v>326</v>
      </c>
      <c r="H7221" s="10">
        <v>46077.0</v>
      </c>
      <c r="I7221" s="12">
        <v>8.0</v>
      </c>
      <c r="J7221" s="6" t="s">
        <v>161</v>
      </c>
    </row>
    <row r="7222" ht="22.5" customHeight="1">
      <c r="A7222" s="6" t="s">
        <v>24030</v>
      </c>
      <c r="B7222" s="6" t="s">
        <v>16165</v>
      </c>
      <c r="C7222" s="10">
        <v>46074.0</v>
      </c>
      <c r="D7222" s="6" t="s">
        <v>677</v>
      </c>
      <c r="E7222" s="6" t="s">
        <v>2881</v>
      </c>
      <c r="F7222" s="6" t="s">
        <v>112</v>
      </c>
      <c r="G7222" s="6" t="s">
        <v>494</v>
      </c>
      <c r="H7222" s="10">
        <v>46074.0</v>
      </c>
      <c r="I7222" s="12">
        <v>3.0</v>
      </c>
      <c r="J7222" s="6" t="s">
        <v>161</v>
      </c>
    </row>
    <row r="7223" ht="22.5" customHeight="1">
      <c r="A7223" s="6" t="s">
        <v>24031</v>
      </c>
      <c r="B7223" s="6" t="s">
        <v>16171</v>
      </c>
      <c r="C7223" s="10">
        <v>46051.0</v>
      </c>
      <c r="D7223" s="6" t="s">
        <v>242</v>
      </c>
      <c r="E7223" s="6" t="s">
        <v>670</v>
      </c>
      <c r="F7223" s="6" t="s">
        <v>112</v>
      </c>
      <c r="G7223" s="6" t="s">
        <v>452</v>
      </c>
      <c r="H7223" s="10">
        <v>46056.0</v>
      </c>
      <c r="I7223" s="12">
        <v>5.0</v>
      </c>
      <c r="J7223" s="6" t="s">
        <v>178</v>
      </c>
    </row>
    <row r="7224" ht="22.5" customHeight="1">
      <c r="A7224" s="6" t="s">
        <v>24032</v>
      </c>
      <c r="B7224" s="6" t="s">
        <v>16171</v>
      </c>
      <c r="C7224" s="10">
        <v>46045.0</v>
      </c>
      <c r="D7224" s="6" t="s">
        <v>242</v>
      </c>
      <c r="E7224" s="6" t="s">
        <v>583</v>
      </c>
      <c r="F7224" s="6" t="s">
        <v>249</v>
      </c>
      <c r="G7224" s="6" t="s">
        <v>477</v>
      </c>
      <c r="H7224" s="10">
        <v>46051.0</v>
      </c>
      <c r="I7224" s="12">
        <v>6.0</v>
      </c>
      <c r="J7224" s="6" t="s">
        <v>161</v>
      </c>
    </row>
    <row r="7225" ht="22.5" customHeight="1">
      <c r="A7225" s="6" t="s">
        <v>24033</v>
      </c>
      <c r="B7225" s="6" t="s">
        <v>16177</v>
      </c>
      <c r="C7225" s="10">
        <v>46051.0</v>
      </c>
      <c r="D7225" s="6" t="s">
        <v>289</v>
      </c>
      <c r="E7225" s="6" t="s">
        <v>1546</v>
      </c>
      <c r="F7225" s="6" t="s">
        <v>283</v>
      </c>
      <c r="G7225" s="6" t="s">
        <v>297</v>
      </c>
      <c r="H7225" s="10">
        <v>46053.0</v>
      </c>
      <c r="I7225" s="12">
        <v>7.0</v>
      </c>
      <c r="J7225" s="6" t="s">
        <v>161</v>
      </c>
    </row>
    <row r="7226" ht="22.5" customHeight="1">
      <c r="A7226" s="6" t="s">
        <v>24034</v>
      </c>
      <c r="B7226" s="6" t="s">
        <v>16177</v>
      </c>
      <c r="C7226" s="10">
        <v>46048.0</v>
      </c>
      <c r="D7226" s="6" t="s">
        <v>312</v>
      </c>
      <c r="E7226" s="6" t="s">
        <v>738</v>
      </c>
      <c r="F7226" s="6" t="s">
        <v>249</v>
      </c>
      <c r="G7226" s="6" t="s">
        <v>326</v>
      </c>
      <c r="H7226" s="10">
        <v>46049.0</v>
      </c>
      <c r="I7226" s="12">
        <v>4.0</v>
      </c>
      <c r="J7226" s="6" t="s">
        <v>161</v>
      </c>
    </row>
    <row r="7227" ht="22.5" customHeight="1">
      <c r="A7227" s="6" t="s">
        <v>24035</v>
      </c>
      <c r="B7227" s="6" t="s">
        <v>16177</v>
      </c>
      <c r="C7227" s="10">
        <v>46050.0</v>
      </c>
      <c r="D7227" s="6" t="s">
        <v>677</v>
      </c>
      <c r="E7227" s="6" t="s">
        <v>512</v>
      </c>
      <c r="F7227" s="6" t="s">
        <v>283</v>
      </c>
      <c r="G7227" s="6" t="s">
        <v>326</v>
      </c>
      <c r="H7227" s="10">
        <v>46056.0</v>
      </c>
      <c r="I7227" s="12">
        <v>4.0</v>
      </c>
      <c r="J7227" s="6" t="s">
        <v>161</v>
      </c>
    </row>
    <row r="7228" ht="22.5" customHeight="1">
      <c r="A7228" s="6" t="s">
        <v>24036</v>
      </c>
      <c r="B7228" s="6" t="s">
        <v>16177</v>
      </c>
      <c r="C7228" s="10">
        <v>46065.0</v>
      </c>
      <c r="D7228" s="6" t="s">
        <v>289</v>
      </c>
      <c r="E7228" s="6" t="s">
        <v>618</v>
      </c>
      <c r="F7228" s="6" t="s">
        <v>112</v>
      </c>
      <c r="G7228" s="6" t="s">
        <v>458</v>
      </c>
      <c r="H7228" s="10">
        <v>46069.0</v>
      </c>
      <c r="I7228" s="12">
        <v>10.0</v>
      </c>
      <c r="J7228" s="6" t="s">
        <v>161</v>
      </c>
    </row>
    <row r="7229" ht="22.5" customHeight="1">
      <c r="A7229" s="6" t="s">
        <v>24037</v>
      </c>
      <c r="B7229" s="6" t="s">
        <v>16182</v>
      </c>
      <c r="C7229" s="10">
        <v>46069.0</v>
      </c>
      <c r="D7229" s="6" t="s">
        <v>312</v>
      </c>
      <c r="E7229" s="6" t="s">
        <v>955</v>
      </c>
      <c r="F7229" s="6" t="s">
        <v>283</v>
      </c>
      <c r="G7229" s="6" t="s">
        <v>452</v>
      </c>
      <c r="H7229" s="10">
        <v>46071.0</v>
      </c>
      <c r="I7229" s="12">
        <v>6.0</v>
      </c>
      <c r="J7229" s="6" t="s">
        <v>161</v>
      </c>
    </row>
    <row r="7230" ht="22.5" customHeight="1">
      <c r="A7230" s="6" t="s">
        <v>24038</v>
      </c>
      <c r="B7230" s="6" t="s">
        <v>16182</v>
      </c>
      <c r="C7230" s="10">
        <v>46070.0</v>
      </c>
      <c r="D7230" s="6" t="s">
        <v>436</v>
      </c>
      <c r="E7230" s="6" t="s">
        <v>1386</v>
      </c>
      <c r="F7230" s="6" t="s">
        <v>249</v>
      </c>
      <c r="G7230" s="6" t="s">
        <v>326</v>
      </c>
      <c r="H7230" s="11" t="s">
        <v>259</v>
      </c>
      <c r="I7230" s="12">
        <v>8.0</v>
      </c>
      <c r="J7230" s="6" t="s">
        <v>161</v>
      </c>
    </row>
    <row r="7231" ht="22.5" customHeight="1">
      <c r="A7231" s="6" t="s">
        <v>24039</v>
      </c>
      <c r="B7231" s="6" t="s">
        <v>16182</v>
      </c>
      <c r="C7231" s="10">
        <v>46069.0</v>
      </c>
      <c r="D7231" s="6" t="s">
        <v>677</v>
      </c>
      <c r="E7231" s="6" t="s">
        <v>566</v>
      </c>
      <c r="F7231" s="6" t="s">
        <v>439</v>
      </c>
      <c r="G7231" s="6" t="s">
        <v>458</v>
      </c>
      <c r="H7231" s="10">
        <v>46070.0</v>
      </c>
      <c r="I7231" s="12">
        <v>4.0</v>
      </c>
      <c r="J7231" s="6" t="s">
        <v>161</v>
      </c>
    </row>
    <row r="7232" ht="22.5" customHeight="1">
      <c r="A7232" s="6" t="s">
        <v>24040</v>
      </c>
      <c r="B7232" s="6" t="s">
        <v>16182</v>
      </c>
      <c r="C7232" s="10">
        <v>46079.0</v>
      </c>
      <c r="D7232" s="6" t="s">
        <v>312</v>
      </c>
      <c r="E7232" s="6" t="s">
        <v>512</v>
      </c>
      <c r="F7232" s="6" t="s">
        <v>439</v>
      </c>
      <c r="G7232" s="6" t="s">
        <v>452</v>
      </c>
      <c r="H7232" s="10">
        <v>46085.0</v>
      </c>
      <c r="I7232" s="12">
        <v>6.0</v>
      </c>
      <c r="J7232" s="6" t="s">
        <v>161</v>
      </c>
    </row>
    <row r="7233" ht="22.5" customHeight="1">
      <c r="A7233" s="6" t="s">
        <v>24041</v>
      </c>
      <c r="B7233" s="6" t="s">
        <v>16182</v>
      </c>
      <c r="C7233" s="10">
        <v>46074.0</v>
      </c>
      <c r="D7233" s="6" t="s">
        <v>391</v>
      </c>
      <c r="E7233" s="6" t="s">
        <v>628</v>
      </c>
      <c r="F7233" s="6" t="s">
        <v>439</v>
      </c>
      <c r="G7233" s="6" t="s">
        <v>369</v>
      </c>
      <c r="H7233" s="10">
        <v>46078.0</v>
      </c>
      <c r="I7233" s="12">
        <v>8.0</v>
      </c>
      <c r="J7233" s="6" t="s">
        <v>161</v>
      </c>
    </row>
    <row r="7234" ht="22.5" customHeight="1">
      <c r="A7234" s="6" t="s">
        <v>24042</v>
      </c>
      <c r="B7234" s="6" t="s">
        <v>16188</v>
      </c>
      <c r="C7234" s="10">
        <v>46058.0</v>
      </c>
      <c r="D7234" s="6" t="s">
        <v>242</v>
      </c>
      <c r="E7234" s="6" t="s">
        <v>417</v>
      </c>
      <c r="F7234" s="6" t="s">
        <v>439</v>
      </c>
      <c r="G7234" s="6" t="s">
        <v>369</v>
      </c>
      <c r="H7234" s="10">
        <v>46063.0</v>
      </c>
      <c r="I7234" s="12">
        <v>5.0</v>
      </c>
      <c r="J7234" s="6" t="s">
        <v>161</v>
      </c>
    </row>
    <row r="7235" ht="22.5" customHeight="1">
      <c r="A7235" s="6" t="s">
        <v>24043</v>
      </c>
      <c r="B7235" s="6" t="s">
        <v>16188</v>
      </c>
      <c r="C7235" s="10">
        <v>46059.0</v>
      </c>
      <c r="D7235" s="6" t="s">
        <v>677</v>
      </c>
      <c r="E7235" s="6" t="s">
        <v>775</v>
      </c>
      <c r="F7235" s="6" t="s">
        <v>439</v>
      </c>
      <c r="G7235" s="6" t="s">
        <v>494</v>
      </c>
      <c r="H7235" s="10">
        <v>46065.0</v>
      </c>
      <c r="I7235" s="12">
        <v>3.0</v>
      </c>
      <c r="J7235" s="6" t="s">
        <v>161</v>
      </c>
    </row>
    <row r="7236" ht="22.5" customHeight="1">
      <c r="A7236" s="6" t="s">
        <v>24044</v>
      </c>
      <c r="B7236" s="6" t="s">
        <v>16194</v>
      </c>
      <c r="C7236" s="10">
        <v>46053.0</v>
      </c>
      <c r="D7236" s="6" t="s">
        <v>289</v>
      </c>
      <c r="E7236" s="6" t="s">
        <v>1273</v>
      </c>
      <c r="F7236" s="6" t="s">
        <v>283</v>
      </c>
      <c r="G7236" s="6" t="s">
        <v>297</v>
      </c>
      <c r="H7236" s="11" t="s">
        <v>259</v>
      </c>
      <c r="I7236" s="12">
        <v>10.0</v>
      </c>
      <c r="J7236" s="6" t="s">
        <v>161</v>
      </c>
    </row>
    <row r="7237" ht="22.5" customHeight="1">
      <c r="A7237" s="6" t="s">
        <v>24045</v>
      </c>
      <c r="B7237" s="6" t="s">
        <v>16194</v>
      </c>
      <c r="C7237" s="10">
        <v>46057.0</v>
      </c>
      <c r="D7237" s="6" t="s">
        <v>436</v>
      </c>
      <c r="E7237" s="6" t="s">
        <v>583</v>
      </c>
      <c r="F7237" s="6" t="s">
        <v>439</v>
      </c>
      <c r="G7237" s="6" t="s">
        <v>369</v>
      </c>
      <c r="H7237" s="10">
        <v>46060.0</v>
      </c>
      <c r="I7237" s="12">
        <v>10.0</v>
      </c>
      <c r="J7237" s="6" t="s">
        <v>178</v>
      </c>
    </row>
    <row r="7238" ht="22.5" customHeight="1">
      <c r="A7238" s="6" t="s">
        <v>24046</v>
      </c>
      <c r="B7238" s="6" t="s">
        <v>16194</v>
      </c>
      <c r="C7238" s="10">
        <v>46056.0</v>
      </c>
      <c r="D7238" s="6" t="s">
        <v>289</v>
      </c>
      <c r="E7238" s="6" t="s">
        <v>566</v>
      </c>
      <c r="F7238" s="6" t="s">
        <v>283</v>
      </c>
      <c r="G7238" s="6" t="s">
        <v>458</v>
      </c>
      <c r="H7238" s="10">
        <v>46056.0</v>
      </c>
      <c r="I7238" s="12">
        <v>9.0</v>
      </c>
      <c r="J7238" s="6" t="s">
        <v>161</v>
      </c>
    </row>
    <row r="7239" ht="22.5" customHeight="1">
      <c r="A7239" s="6" t="s">
        <v>24047</v>
      </c>
      <c r="B7239" s="6" t="s">
        <v>16194</v>
      </c>
      <c r="C7239" s="10">
        <v>46057.0</v>
      </c>
      <c r="D7239" s="6" t="s">
        <v>312</v>
      </c>
      <c r="E7239" s="6" t="s">
        <v>438</v>
      </c>
      <c r="F7239" s="6" t="s">
        <v>439</v>
      </c>
      <c r="G7239" s="6" t="s">
        <v>369</v>
      </c>
      <c r="H7239" s="10">
        <v>46064.0</v>
      </c>
      <c r="I7239" s="12">
        <v>7.0</v>
      </c>
      <c r="J7239" s="6" t="s">
        <v>161</v>
      </c>
    </row>
    <row r="7240" ht="22.5" customHeight="1">
      <c r="A7240" s="6" t="s">
        <v>24048</v>
      </c>
      <c r="B7240" s="6" t="s">
        <v>16200</v>
      </c>
      <c r="C7240" s="10">
        <v>46052.0</v>
      </c>
      <c r="D7240" s="6" t="s">
        <v>391</v>
      </c>
      <c r="E7240" s="6" t="s">
        <v>566</v>
      </c>
      <c r="F7240" s="6" t="s">
        <v>249</v>
      </c>
      <c r="G7240" s="6" t="s">
        <v>477</v>
      </c>
      <c r="H7240" s="10">
        <v>46059.0</v>
      </c>
      <c r="I7240" s="12">
        <v>8.0</v>
      </c>
      <c r="J7240" s="6" t="s">
        <v>161</v>
      </c>
    </row>
    <row r="7241" ht="22.5" customHeight="1">
      <c r="A7241" s="6" t="s">
        <v>24049</v>
      </c>
      <c r="B7241" s="6" t="s">
        <v>16200</v>
      </c>
      <c r="C7241" s="10">
        <v>46054.0</v>
      </c>
      <c r="D7241" s="6" t="s">
        <v>312</v>
      </c>
      <c r="E7241" s="6" t="s">
        <v>394</v>
      </c>
      <c r="F7241" s="6" t="s">
        <v>249</v>
      </c>
      <c r="G7241" s="6" t="s">
        <v>494</v>
      </c>
      <c r="H7241" s="10">
        <v>46058.0</v>
      </c>
      <c r="I7241" s="12">
        <v>4.0</v>
      </c>
      <c r="J7241" s="6" t="s">
        <v>161</v>
      </c>
    </row>
    <row r="7242" ht="22.5" customHeight="1">
      <c r="A7242" s="6" t="s">
        <v>24050</v>
      </c>
      <c r="B7242" s="6" t="s">
        <v>16200</v>
      </c>
      <c r="C7242" s="10">
        <v>46050.0</v>
      </c>
      <c r="D7242" s="6" t="s">
        <v>436</v>
      </c>
      <c r="E7242" s="6" t="s">
        <v>798</v>
      </c>
      <c r="F7242" s="6" t="s">
        <v>249</v>
      </c>
      <c r="G7242" s="6" t="s">
        <v>452</v>
      </c>
      <c r="H7242" s="10">
        <v>46054.0</v>
      </c>
      <c r="I7242" s="12">
        <v>7.0</v>
      </c>
      <c r="J7242" s="6" t="s">
        <v>161</v>
      </c>
    </row>
    <row r="7243" ht="22.5" customHeight="1">
      <c r="A7243" s="6" t="s">
        <v>24051</v>
      </c>
      <c r="B7243" s="6" t="s">
        <v>16206</v>
      </c>
      <c r="C7243" s="10">
        <v>46071.0</v>
      </c>
      <c r="D7243" s="6" t="s">
        <v>312</v>
      </c>
      <c r="E7243" s="6" t="s">
        <v>365</v>
      </c>
      <c r="F7243" s="6" t="s">
        <v>112</v>
      </c>
      <c r="G7243" s="6" t="s">
        <v>477</v>
      </c>
      <c r="H7243" s="10">
        <v>46078.0</v>
      </c>
      <c r="I7243" s="12">
        <v>7.0</v>
      </c>
      <c r="J7243" s="6" t="s">
        <v>161</v>
      </c>
    </row>
    <row r="7244" ht="22.5" customHeight="1">
      <c r="A7244" s="6" t="s">
        <v>24052</v>
      </c>
      <c r="B7244" s="6" t="s">
        <v>16206</v>
      </c>
      <c r="C7244" s="10">
        <v>46065.0</v>
      </c>
      <c r="D7244" s="6" t="s">
        <v>391</v>
      </c>
      <c r="E7244" s="6" t="s">
        <v>450</v>
      </c>
      <c r="F7244" s="6" t="s">
        <v>249</v>
      </c>
      <c r="G7244" s="6" t="s">
        <v>452</v>
      </c>
      <c r="H7244" s="10">
        <v>46071.0</v>
      </c>
      <c r="I7244" s="12">
        <v>11.0</v>
      </c>
      <c r="J7244" s="6" t="s">
        <v>161</v>
      </c>
    </row>
    <row r="7245" ht="22.5" customHeight="1">
      <c r="A7245" s="6" t="s">
        <v>24053</v>
      </c>
      <c r="B7245" s="6" t="s">
        <v>16206</v>
      </c>
      <c r="C7245" s="10">
        <v>46069.0</v>
      </c>
      <c r="D7245" s="6" t="s">
        <v>436</v>
      </c>
      <c r="E7245" s="6" t="s">
        <v>775</v>
      </c>
      <c r="F7245" s="6" t="s">
        <v>283</v>
      </c>
      <c r="G7245" s="6" t="s">
        <v>297</v>
      </c>
      <c r="H7245" s="10">
        <v>46071.0</v>
      </c>
      <c r="I7245" s="12">
        <v>8.0</v>
      </c>
      <c r="J7245" s="6" t="s">
        <v>161</v>
      </c>
    </row>
    <row r="7246" ht="22.5" customHeight="1">
      <c r="A7246" s="6" t="s">
        <v>24054</v>
      </c>
      <c r="B7246" s="6" t="s">
        <v>16206</v>
      </c>
      <c r="C7246" s="10">
        <v>46060.0</v>
      </c>
      <c r="D7246" s="6" t="s">
        <v>289</v>
      </c>
      <c r="E7246" s="6" t="s">
        <v>798</v>
      </c>
      <c r="F7246" s="6" t="s">
        <v>283</v>
      </c>
      <c r="G7246" s="6" t="s">
        <v>494</v>
      </c>
      <c r="H7246" s="10">
        <v>46064.0</v>
      </c>
      <c r="I7246" s="12">
        <v>7.0</v>
      </c>
      <c r="J7246" s="6" t="s">
        <v>161</v>
      </c>
    </row>
    <row r="7247" ht="22.5" customHeight="1">
      <c r="A7247" s="6" t="s">
        <v>24055</v>
      </c>
      <c r="B7247" s="6" t="s">
        <v>16211</v>
      </c>
      <c r="C7247" s="10">
        <v>46058.0</v>
      </c>
      <c r="D7247" s="6" t="s">
        <v>242</v>
      </c>
      <c r="E7247" s="6" t="s">
        <v>1273</v>
      </c>
      <c r="F7247" s="6" t="s">
        <v>249</v>
      </c>
      <c r="G7247" s="6" t="s">
        <v>326</v>
      </c>
      <c r="H7247" s="10">
        <v>46063.0</v>
      </c>
      <c r="I7247" s="12">
        <v>3.0</v>
      </c>
      <c r="J7247" s="6" t="s">
        <v>178</v>
      </c>
    </row>
    <row r="7248" ht="22.5" customHeight="1">
      <c r="A7248" s="6" t="s">
        <v>24056</v>
      </c>
      <c r="B7248" s="6" t="s">
        <v>16211</v>
      </c>
      <c r="C7248" s="10">
        <v>46057.0</v>
      </c>
      <c r="D7248" s="6" t="s">
        <v>289</v>
      </c>
      <c r="E7248" s="6" t="s">
        <v>787</v>
      </c>
      <c r="F7248" s="6" t="s">
        <v>249</v>
      </c>
      <c r="G7248" s="6" t="s">
        <v>458</v>
      </c>
      <c r="H7248" s="10">
        <v>46059.0</v>
      </c>
      <c r="I7248" s="12">
        <v>9.0</v>
      </c>
      <c r="J7248" s="6" t="s">
        <v>161</v>
      </c>
    </row>
    <row r="7249" ht="22.5" customHeight="1">
      <c r="A7249" s="6" t="s">
        <v>24057</v>
      </c>
      <c r="B7249" s="6" t="s">
        <v>16211</v>
      </c>
      <c r="C7249" s="10">
        <v>46053.0</v>
      </c>
      <c r="D7249" s="6" t="s">
        <v>312</v>
      </c>
      <c r="E7249" s="6" t="s">
        <v>716</v>
      </c>
      <c r="F7249" s="6" t="s">
        <v>249</v>
      </c>
      <c r="G7249" s="6" t="s">
        <v>297</v>
      </c>
      <c r="H7249" s="10">
        <v>46055.0</v>
      </c>
      <c r="I7249" s="12">
        <v>7.0</v>
      </c>
      <c r="J7249" s="6" t="s">
        <v>161</v>
      </c>
    </row>
    <row r="7250" ht="22.5" customHeight="1">
      <c r="A7250" s="6" t="s">
        <v>24058</v>
      </c>
      <c r="B7250" s="6" t="s">
        <v>16217</v>
      </c>
      <c r="C7250" s="10">
        <v>46039.0</v>
      </c>
      <c r="D7250" s="6" t="s">
        <v>416</v>
      </c>
      <c r="E7250" s="6" t="s">
        <v>687</v>
      </c>
      <c r="F7250" s="6" t="s">
        <v>249</v>
      </c>
      <c r="G7250" s="6" t="s">
        <v>452</v>
      </c>
      <c r="H7250" s="10">
        <v>46046.0</v>
      </c>
      <c r="I7250" s="12">
        <v>13.0</v>
      </c>
      <c r="J7250" s="6" t="s">
        <v>161</v>
      </c>
    </row>
    <row r="7251" ht="22.5" customHeight="1">
      <c r="A7251" s="6" t="s">
        <v>24059</v>
      </c>
      <c r="B7251" s="6" t="s">
        <v>16217</v>
      </c>
      <c r="C7251" s="10">
        <v>46039.0</v>
      </c>
      <c r="D7251" s="6" t="s">
        <v>242</v>
      </c>
      <c r="E7251" s="6" t="s">
        <v>583</v>
      </c>
      <c r="F7251" s="6" t="s">
        <v>439</v>
      </c>
      <c r="G7251" s="6" t="s">
        <v>254</v>
      </c>
      <c r="H7251" s="10">
        <v>46043.0</v>
      </c>
      <c r="I7251" s="12">
        <v>6.0</v>
      </c>
      <c r="J7251" s="6" t="s">
        <v>161</v>
      </c>
    </row>
    <row r="7252" ht="22.5" customHeight="1">
      <c r="A7252" s="6" t="s">
        <v>24060</v>
      </c>
      <c r="B7252" s="6" t="s">
        <v>16217</v>
      </c>
      <c r="C7252" s="10">
        <v>46045.0</v>
      </c>
      <c r="D7252" s="6" t="s">
        <v>312</v>
      </c>
      <c r="E7252" s="6" t="s">
        <v>1386</v>
      </c>
      <c r="F7252" s="6" t="s">
        <v>283</v>
      </c>
      <c r="G7252" s="6" t="s">
        <v>326</v>
      </c>
      <c r="H7252" s="11" t="s">
        <v>259</v>
      </c>
      <c r="I7252" s="12">
        <v>7.0</v>
      </c>
      <c r="J7252" s="6" t="s">
        <v>161</v>
      </c>
    </row>
    <row r="7253" ht="22.5" customHeight="1">
      <c r="A7253" s="6" t="s">
        <v>24061</v>
      </c>
      <c r="B7253" s="6" t="s">
        <v>16223</v>
      </c>
      <c r="C7253" s="10">
        <v>46056.0</v>
      </c>
      <c r="D7253" s="6" t="s">
        <v>416</v>
      </c>
      <c r="E7253" s="6" t="s">
        <v>394</v>
      </c>
      <c r="F7253" s="6" t="s">
        <v>249</v>
      </c>
      <c r="G7253" s="6" t="s">
        <v>326</v>
      </c>
      <c r="H7253" s="10">
        <v>46060.0</v>
      </c>
      <c r="I7253" s="12">
        <v>11.0</v>
      </c>
      <c r="J7253" s="6" t="s">
        <v>161</v>
      </c>
    </row>
    <row r="7254" ht="22.5" customHeight="1">
      <c r="A7254" s="6" t="s">
        <v>24062</v>
      </c>
      <c r="B7254" s="6" t="s">
        <v>16229</v>
      </c>
      <c r="C7254" s="10">
        <v>46061.0</v>
      </c>
      <c r="D7254" s="6" t="s">
        <v>391</v>
      </c>
      <c r="E7254" s="6" t="s">
        <v>1122</v>
      </c>
      <c r="F7254" s="6" t="s">
        <v>439</v>
      </c>
      <c r="G7254" s="6" t="s">
        <v>254</v>
      </c>
      <c r="H7254" s="10">
        <v>46063.0</v>
      </c>
      <c r="I7254" s="12">
        <v>9.0</v>
      </c>
      <c r="J7254" s="6" t="s">
        <v>161</v>
      </c>
    </row>
    <row r="7255" ht="22.5" customHeight="1">
      <c r="A7255" s="6" t="s">
        <v>24063</v>
      </c>
      <c r="B7255" s="6" t="s">
        <v>16229</v>
      </c>
      <c r="C7255" s="10">
        <v>46063.0</v>
      </c>
      <c r="D7255" s="6" t="s">
        <v>242</v>
      </c>
      <c r="E7255" s="6" t="s">
        <v>1122</v>
      </c>
      <c r="F7255" s="6" t="s">
        <v>249</v>
      </c>
      <c r="G7255" s="6" t="s">
        <v>477</v>
      </c>
      <c r="H7255" s="10">
        <v>46065.0</v>
      </c>
      <c r="I7255" s="12">
        <v>5.0</v>
      </c>
      <c r="J7255" s="6" t="s">
        <v>161</v>
      </c>
    </row>
    <row r="7256" ht="22.5" customHeight="1">
      <c r="A7256" s="6" t="s">
        <v>24064</v>
      </c>
      <c r="B7256" s="6" t="s">
        <v>16229</v>
      </c>
      <c r="C7256" s="10">
        <v>46062.0</v>
      </c>
      <c r="D7256" s="6" t="s">
        <v>436</v>
      </c>
      <c r="E7256" s="6" t="s">
        <v>512</v>
      </c>
      <c r="F7256" s="6" t="s">
        <v>283</v>
      </c>
      <c r="G7256" s="6" t="s">
        <v>452</v>
      </c>
      <c r="H7256" s="10">
        <v>46064.0</v>
      </c>
      <c r="I7256" s="12">
        <v>10.0</v>
      </c>
      <c r="J7256" s="6" t="s">
        <v>178</v>
      </c>
    </row>
    <row r="7257" ht="22.5" customHeight="1">
      <c r="A7257" s="6" t="s">
        <v>24065</v>
      </c>
      <c r="B7257" s="6" t="s">
        <v>16229</v>
      </c>
      <c r="C7257" s="10">
        <v>46066.0</v>
      </c>
      <c r="D7257" s="6" t="s">
        <v>312</v>
      </c>
      <c r="E7257" s="6" t="s">
        <v>1517</v>
      </c>
      <c r="F7257" s="6" t="s">
        <v>439</v>
      </c>
      <c r="G7257" s="6" t="s">
        <v>326</v>
      </c>
      <c r="H7257" s="10">
        <v>46070.0</v>
      </c>
      <c r="I7257" s="12">
        <v>5.0</v>
      </c>
      <c r="J7257" s="6" t="s">
        <v>161</v>
      </c>
    </row>
    <row r="7258" ht="22.5" customHeight="1">
      <c r="A7258" s="6" t="s">
        <v>24066</v>
      </c>
      <c r="B7258" s="6" t="s">
        <v>16229</v>
      </c>
      <c r="C7258" s="10">
        <v>46050.0</v>
      </c>
      <c r="D7258" s="6" t="s">
        <v>391</v>
      </c>
      <c r="E7258" s="6" t="s">
        <v>291</v>
      </c>
      <c r="F7258" s="6" t="s">
        <v>439</v>
      </c>
      <c r="G7258" s="6" t="s">
        <v>326</v>
      </c>
      <c r="H7258" s="10">
        <v>46056.0</v>
      </c>
      <c r="I7258" s="12">
        <v>9.0</v>
      </c>
      <c r="J7258" s="6" t="s">
        <v>161</v>
      </c>
    </row>
    <row r="7259" ht="22.5" customHeight="1">
      <c r="A7259" s="6" t="s">
        <v>24067</v>
      </c>
      <c r="B7259" s="6" t="s">
        <v>16234</v>
      </c>
      <c r="C7259" s="10">
        <v>46037.0</v>
      </c>
      <c r="D7259" s="6" t="s">
        <v>677</v>
      </c>
      <c r="E7259" s="6" t="s">
        <v>738</v>
      </c>
      <c r="F7259" s="6" t="s">
        <v>249</v>
      </c>
      <c r="G7259" s="6" t="s">
        <v>458</v>
      </c>
      <c r="H7259" s="10">
        <v>46041.0</v>
      </c>
      <c r="I7259" s="12">
        <v>4.0</v>
      </c>
      <c r="J7259" s="6" t="s">
        <v>161</v>
      </c>
    </row>
    <row r="7260" ht="22.5" customHeight="1">
      <c r="A7260" s="6" t="s">
        <v>24068</v>
      </c>
      <c r="B7260" s="6" t="s">
        <v>16234</v>
      </c>
      <c r="C7260" s="10">
        <v>46038.0</v>
      </c>
      <c r="D7260" s="6" t="s">
        <v>312</v>
      </c>
      <c r="E7260" s="6" t="s">
        <v>1741</v>
      </c>
      <c r="F7260" s="6" t="s">
        <v>283</v>
      </c>
      <c r="G7260" s="6" t="s">
        <v>297</v>
      </c>
      <c r="H7260" s="10">
        <v>46045.0</v>
      </c>
      <c r="I7260" s="12">
        <v>6.0</v>
      </c>
      <c r="J7260" s="6" t="s">
        <v>161</v>
      </c>
    </row>
    <row r="7261" ht="22.5" customHeight="1">
      <c r="A7261" s="6" t="s">
        <v>24069</v>
      </c>
      <c r="B7261" s="6" t="s">
        <v>16241</v>
      </c>
      <c r="C7261" s="10">
        <v>46034.0</v>
      </c>
      <c r="D7261" s="6" t="s">
        <v>436</v>
      </c>
      <c r="E7261" s="6" t="s">
        <v>583</v>
      </c>
      <c r="F7261" s="6" t="s">
        <v>249</v>
      </c>
      <c r="G7261" s="6" t="s">
        <v>458</v>
      </c>
      <c r="H7261" s="10">
        <v>46040.0</v>
      </c>
      <c r="I7261" s="12">
        <v>12.0</v>
      </c>
      <c r="J7261" s="6" t="s">
        <v>161</v>
      </c>
    </row>
    <row r="7262" ht="22.5" customHeight="1">
      <c r="A7262" s="6" t="s">
        <v>24070</v>
      </c>
      <c r="B7262" s="6" t="s">
        <v>16241</v>
      </c>
      <c r="C7262" s="10">
        <v>46038.0</v>
      </c>
      <c r="D7262" s="6" t="s">
        <v>677</v>
      </c>
      <c r="E7262" s="6" t="s">
        <v>716</v>
      </c>
      <c r="F7262" s="6" t="s">
        <v>112</v>
      </c>
      <c r="G7262" s="6" t="s">
        <v>297</v>
      </c>
      <c r="H7262" s="10">
        <v>46044.0</v>
      </c>
      <c r="I7262" s="12">
        <v>2.0</v>
      </c>
      <c r="J7262" s="6" t="s">
        <v>161</v>
      </c>
    </row>
    <row r="7263" ht="22.5" customHeight="1">
      <c r="A7263" s="6" t="s">
        <v>24071</v>
      </c>
      <c r="B7263" s="6" t="s">
        <v>16248</v>
      </c>
      <c r="C7263" s="10">
        <v>46045.0</v>
      </c>
      <c r="D7263" s="6" t="s">
        <v>436</v>
      </c>
      <c r="E7263" s="6" t="s">
        <v>863</v>
      </c>
      <c r="F7263" s="6" t="s">
        <v>439</v>
      </c>
      <c r="G7263" s="6" t="s">
        <v>477</v>
      </c>
      <c r="H7263" s="11" t="s">
        <v>259</v>
      </c>
      <c r="I7263" s="12">
        <v>8.0</v>
      </c>
      <c r="J7263" s="6" t="s">
        <v>178</v>
      </c>
    </row>
    <row r="7264" ht="22.5" customHeight="1">
      <c r="A7264" s="6" t="s">
        <v>24072</v>
      </c>
      <c r="B7264" s="6" t="s">
        <v>16248</v>
      </c>
      <c r="C7264" s="10">
        <v>46041.0</v>
      </c>
      <c r="D7264" s="6" t="s">
        <v>416</v>
      </c>
      <c r="E7264" s="6" t="s">
        <v>731</v>
      </c>
      <c r="F7264" s="6" t="s">
        <v>112</v>
      </c>
      <c r="G7264" s="6" t="s">
        <v>477</v>
      </c>
      <c r="H7264" s="10">
        <v>46041.0</v>
      </c>
      <c r="I7264" s="12">
        <v>9.0</v>
      </c>
      <c r="J7264" s="6" t="s">
        <v>161</v>
      </c>
    </row>
    <row r="7265" ht="22.5" customHeight="1">
      <c r="A7265" s="6" t="s">
        <v>24073</v>
      </c>
      <c r="B7265" s="6" t="s">
        <v>16254</v>
      </c>
      <c r="C7265" s="10">
        <v>46069.0</v>
      </c>
      <c r="D7265" s="6" t="s">
        <v>436</v>
      </c>
      <c r="E7265" s="6" t="s">
        <v>798</v>
      </c>
      <c r="F7265" s="6" t="s">
        <v>249</v>
      </c>
      <c r="G7265" s="6" t="s">
        <v>326</v>
      </c>
      <c r="H7265" s="10">
        <v>46075.0</v>
      </c>
      <c r="I7265" s="12">
        <v>11.0</v>
      </c>
      <c r="J7265" s="6" t="s">
        <v>178</v>
      </c>
    </row>
    <row r="7266" ht="22.5" customHeight="1">
      <c r="A7266" s="6" t="s">
        <v>24074</v>
      </c>
      <c r="B7266" s="6" t="s">
        <v>16254</v>
      </c>
      <c r="C7266" s="10">
        <v>46056.0</v>
      </c>
      <c r="D7266" s="6" t="s">
        <v>416</v>
      </c>
      <c r="E7266" s="6" t="s">
        <v>704</v>
      </c>
      <c r="F7266" s="6" t="s">
        <v>249</v>
      </c>
      <c r="G7266" s="6" t="s">
        <v>326</v>
      </c>
      <c r="H7266" s="10">
        <v>46057.0</v>
      </c>
      <c r="I7266" s="12">
        <v>10.0</v>
      </c>
      <c r="J7266" s="6" t="s">
        <v>161</v>
      </c>
    </row>
    <row r="7267" ht="22.5" customHeight="1">
      <c r="A7267" s="6" t="s">
        <v>24075</v>
      </c>
      <c r="B7267" s="6" t="s">
        <v>16254</v>
      </c>
      <c r="C7267" s="10">
        <v>46064.0</v>
      </c>
      <c r="D7267" s="6" t="s">
        <v>391</v>
      </c>
      <c r="E7267" s="6" t="s">
        <v>1570</v>
      </c>
      <c r="F7267" s="6" t="s">
        <v>112</v>
      </c>
      <c r="G7267" s="6" t="s">
        <v>369</v>
      </c>
      <c r="H7267" s="10">
        <v>46064.0</v>
      </c>
      <c r="I7267" s="12">
        <v>9.0</v>
      </c>
      <c r="J7267" s="6" t="s">
        <v>161</v>
      </c>
    </row>
    <row r="7268" ht="22.5" customHeight="1">
      <c r="A7268" s="6" t="s">
        <v>24076</v>
      </c>
      <c r="B7268" s="6" t="s">
        <v>16261</v>
      </c>
      <c r="C7268" s="10">
        <v>46077.0</v>
      </c>
      <c r="D7268" s="6" t="s">
        <v>312</v>
      </c>
      <c r="E7268" s="6" t="s">
        <v>1570</v>
      </c>
      <c r="F7268" s="6" t="s">
        <v>283</v>
      </c>
      <c r="G7268" s="6" t="s">
        <v>254</v>
      </c>
      <c r="H7268" s="10">
        <v>46081.0</v>
      </c>
      <c r="I7268" s="12">
        <v>6.0</v>
      </c>
      <c r="J7268" s="6" t="s">
        <v>161</v>
      </c>
    </row>
    <row r="7269" ht="22.5" customHeight="1">
      <c r="A7269" s="6" t="s">
        <v>24077</v>
      </c>
      <c r="B7269" s="6" t="s">
        <v>16261</v>
      </c>
      <c r="C7269" s="10">
        <v>46080.0</v>
      </c>
      <c r="D7269" s="6" t="s">
        <v>391</v>
      </c>
      <c r="E7269" s="6" t="s">
        <v>475</v>
      </c>
      <c r="F7269" s="6" t="s">
        <v>249</v>
      </c>
      <c r="G7269" s="6" t="s">
        <v>494</v>
      </c>
      <c r="H7269" s="10">
        <v>46086.0</v>
      </c>
      <c r="I7269" s="12">
        <v>6.0</v>
      </c>
      <c r="J7269" s="6" t="s">
        <v>161</v>
      </c>
    </row>
    <row r="7270" ht="22.5" customHeight="1">
      <c r="A7270" s="6" t="s">
        <v>24078</v>
      </c>
      <c r="B7270" s="6" t="s">
        <v>16261</v>
      </c>
      <c r="C7270" s="10">
        <v>46068.0</v>
      </c>
      <c r="D7270" s="6" t="s">
        <v>677</v>
      </c>
      <c r="E7270" s="6" t="s">
        <v>438</v>
      </c>
      <c r="F7270" s="6" t="s">
        <v>112</v>
      </c>
      <c r="G7270" s="6" t="s">
        <v>326</v>
      </c>
      <c r="H7270" s="10">
        <v>46075.0</v>
      </c>
      <c r="I7270" s="12">
        <v>2.0</v>
      </c>
      <c r="J7270" s="6" t="s">
        <v>161</v>
      </c>
    </row>
    <row r="7271" ht="22.5" customHeight="1">
      <c r="A7271" s="6" t="s">
        <v>24079</v>
      </c>
      <c r="B7271" s="6" t="s">
        <v>16261</v>
      </c>
      <c r="C7271" s="10">
        <v>46079.0</v>
      </c>
      <c r="D7271" s="6" t="s">
        <v>242</v>
      </c>
      <c r="E7271" s="6" t="s">
        <v>787</v>
      </c>
      <c r="F7271" s="6" t="s">
        <v>249</v>
      </c>
      <c r="G7271" s="6" t="s">
        <v>369</v>
      </c>
      <c r="H7271" s="11" t="s">
        <v>259</v>
      </c>
      <c r="I7271" s="12">
        <v>4.0</v>
      </c>
      <c r="J7271" s="6" t="s">
        <v>178</v>
      </c>
    </row>
    <row r="7272" ht="22.5" customHeight="1">
      <c r="A7272" s="6" t="s">
        <v>24080</v>
      </c>
      <c r="B7272" s="6" t="s">
        <v>16267</v>
      </c>
      <c r="C7272" s="10">
        <v>46048.0</v>
      </c>
      <c r="D7272" s="6" t="s">
        <v>242</v>
      </c>
      <c r="E7272" s="6" t="s">
        <v>583</v>
      </c>
      <c r="F7272" s="6" t="s">
        <v>439</v>
      </c>
      <c r="G7272" s="6" t="s">
        <v>458</v>
      </c>
      <c r="H7272" s="10">
        <v>46049.0</v>
      </c>
      <c r="I7272" s="12">
        <v>5.0</v>
      </c>
      <c r="J7272" s="6" t="s">
        <v>178</v>
      </c>
    </row>
    <row r="7273" ht="22.5" customHeight="1">
      <c r="A7273" s="6" t="s">
        <v>24081</v>
      </c>
      <c r="B7273" s="6" t="s">
        <v>16267</v>
      </c>
      <c r="C7273" s="10">
        <v>46050.0</v>
      </c>
      <c r="D7273" s="6" t="s">
        <v>289</v>
      </c>
      <c r="E7273" s="6" t="s">
        <v>812</v>
      </c>
      <c r="F7273" s="6" t="s">
        <v>283</v>
      </c>
      <c r="G7273" s="6" t="s">
        <v>297</v>
      </c>
      <c r="H7273" s="10">
        <v>46055.0</v>
      </c>
      <c r="I7273" s="12">
        <v>9.0</v>
      </c>
      <c r="J7273" s="6" t="s">
        <v>161</v>
      </c>
    </row>
    <row r="7274" ht="22.5" customHeight="1">
      <c r="A7274" s="6" t="s">
        <v>24082</v>
      </c>
      <c r="B7274" s="6" t="s">
        <v>16272</v>
      </c>
      <c r="C7274" s="10">
        <v>46084.0</v>
      </c>
      <c r="D7274" s="6" t="s">
        <v>677</v>
      </c>
      <c r="E7274" s="6" t="s">
        <v>610</v>
      </c>
      <c r="F7274" s="6" t="s">
        <v>112</v>
      </c>
      <c r="G7274" s="6" t="s">
        <v>369</v>
      </c>
      <c r="H7274" s="11" t="s">
        <v>259</v>
      </c>
      <c r="I7274" s="12">
        <v>4.0</v>
      </c>
      <c r="J7274" s="6" t="s">
        <v>161</v>
      </c>
    </row>
    <row r="7275" ht="22.5" customHeight="1">
      <c r="A7275" s="6" t="s">
        <v>24083</v>
      </c>
      <c r="B7275" s="6" t="s">
        <v>16272</v>
      </c>
      <c r="C7275" s="10">
        <v>46073.0</v>
      </c>
      <c r="D7275" s="6" t="s">
        <v>242</v>
      </c>
      <c r="E7275" s="6" t="s">
        <v>1720</v>
      </c>
      <c r="F7275" s="6" t="s">
        <v>249</v>
      </c>
      <c r="G7275" s="6" t="s">
        <v>369</v>
      </c>
      <c r="H7275" s="11" t="s">
        <v>259</v>
      </c>
      <c r="I7275" s="12">
        <v>4.0</v>
      </c>
      <c r="J7275" s="6" t="s">
        <v>161</v>
      </c>
    </row>
    <row r="7276" ht="22.5" customHeight="1">
      <c r="A7276" s="6" t="s">
        <v>24084</v>
      </c>
      <c r="B7276" s="6" t="s">
        <v>16272</v>
      </c>
      <c r="C7276" s="10">
        <v>46088.0</v>
      </c>
      <c r="D7276" s="6" t="s">
        <v>289</v>
      </c>
      <c r="E7276" s="6" t="s">
        <v>450</v>
      </c>
      <c r="F7276" s="6" t="s">
        <v>112</v>
      </c>
      <c r="G7276" s="6" t="s">
        <v>452</v>
      </c>
      <c r="H7276" s="11" t="s">
        <v>259</v>
      </c>
      <c r="I7276" s="12">
        <v>7.0</v>
      </c>
      <c r="J7276" s="6" t="s">
        <v>161</v>
      </c>
    </row>
    <row r="7277" ht="22.5" customHeight="1">
      <c r="A7277" s="6" t="s">
        <v>24085</v>
      </c>
      <c r="B7277" s="6" t="s">
        <v>16278</v>
      </c>
      <c r="C7277" s="10">
        <v>46065.0</v>
      </c>
      <c r="D7277" s="6" t="s">
        <v>416</v>
      </c>
      <c r="E7277" s="6" t="s">
        <v>417</v>
      </c>
      <c r="F7277" s="6" t="s">
        <v>439</v>
      </c>
      <c r="G7277" s="6" t="s">
        <v>452</v>
      </c>
      <c r="H7277" s="10">
        <v>46071.0</v>
      </c>
      <c r="I7277" s="12">
        <v>11.0</v>
      </c>
      <c r="J7277" s="6" t="s">
        <v>161</v>
      </c>
    </row>
    <row r="7278" ht="22.5" customHeight="1">
      <c r="A7278" s="6" t="s">
        <v>24086</v>
      </c>
      <c r="B7278" s="6" t="s">
        <v>16278</v>
      </c>
      <c r="C7278" s="10">
        <v>46075.0</v>
      </c>
      <c r="D7278" s="6" t="s">
        <v>242</v>
      </c>
      <c r="E7278" s="6" t="s">
        <v>566</v>
      </c>
      <c r="F7278" s="6" t="s">
        <v>249</v>
      </c>
      <c r="G7278" s="6" t="s">
        <v>326</v>
      </c>
      <c r="H7278" s="11" t="s">
        <v>259</v>
      </c>
      <c r="I7278" s="12">
        <v>6.0</v>
      </c>
      <c r="J7278" s="6" t="s">
        <v>161</v>
      </c>
    </row>
    <row r="7279" ht="22.5" customHeight="1">
      <c r="A7279" s="6" t="s">
        <v>24087</v>
      </c>
      <c r="B7279" s="6" t="s">
        <v>16284</v>
      </c>
      <c r="C7279" s="10">
        <v>46060.0</v>
      </c>
      <c r="D7279" s="6" t="s">
        <v>391</v>
      </c>
      <c r="E7279" s="6" t="s">
        <v>450</v>
      </c>
      <c r="F7279" s="6" t="s">
        <v>283</v>
      </c>
      <c r="G7279" s="6" t="s">
        <v>297</v>
      </c>
      <c r="H7279" s="11" t="s">
        <v>259</v>
      </c>
      <c r="I7279" s="12">
        <v>11.0</v>
      </c>
      <c r="J7279" s="6" t="s">
        <v>161</v>
      </c>
    </row>
    <row r="7280" ht="22.5" customHeight="1">
      <c r="A7280" s="6" t="s">
        <v>24088</v>
      </c>
      <c r="B7280" s="6" t="s">
        <v>16291</v>
      </c>
      <c r="C7280" s="10">
        <v>46053.0</v>
      </c>
      <c r="D7280" s="6" t="s">
        <v>312</v>
      </c>
      <c r="E7280" s="6" t="s">
        <v>704</v>
      </c>
      <c r="F7280" s="6" t="s">
        <v>249</v>
      </c>
      <c r="G7280" s="6" t="s">
        <v>254</v>
      </c>
      <c r="H7280" s="10">
        <v>46058.0</v>
      </c>
      <c r="I7280" s="12">
        <v>4.0</v>
      </c>
      <c r="J7280" s="6" t="s">
        <v>161</v>
      </c>
    </row>
    <row r="7281" ht="22.5" customHeight="1">
      <c r="A7281" s="6" t="s">
        <v>24089</v>
      </c>
      <c r="B7281" s="6" t="s">
        <v>16291</v>
      </c>
      <c r="C7281" s="10">
        <v>46045.0</v>
      </c>
      <c r="D7281" s="6" t="s">
        <v>416</v>
      </c>
      <c r="E7281" s="6" t="s">
        <v>1386</v>
      </c>
      <c r="F7281" s="6" t="s">
        <v>283</v>
      </c>
      <c r="G7281" s="6" t="s">
        <v>452</v>
      </c>
      <c r="H7281" s="11" t="s">
        <v>259</v>
      </c>
      <c r="I7281" s="12">
        <v>8.0</v>
      </c>
      <c r="J7281" s="6" t="s">
        <v>161</v>
      </c>
    </row>
    <row r="7282" ht="22.5" customHeight="1">
      <c r="A7282" s="6" t="s">
        <v>24090</v>
      </c>
      <c r="B7282" s="6" t="s">
        <v>16291</v>
      </c>
      <c r="C7282" s="10">
        <v>46055.0</v>
      </c>
      <c r="D7282" s="6" t="s">
        <v>312</v>
      </c>
      <c r="E7282" s="6" t="s">
        <v>1700</v>
      </c>
      <c r="F7282" s="6" t="s">
        <v>112</v>
      </c>
      <c r="G7282" s="6" t="s">
        <v>297</v>
      </c>
      <c r="H7282" s="10">
        <v>46060.0</v>
      </c>
      <c r="I7282" s="12">
        <v>4.0</v>
      </c>
      <c r="J7282" s="6" t="s">
        <v>161</v>
      </c>
    </row>
    <row r="7283" ht="22.5" customHeight="1">
      <c r="A7283" s="6" t="s">
        <v>24091</v>
      </c>
      <c r="B7283" s="6" t="s">
        <v>16291</v>
      </c>
      <c r="C7283" s="10">
        <v>46058.0</v>
      </c>
      <c r="D7283" s="6" t="s">
        <v>677</v>
      </c>
      <c r="E7283" s="6" t="s">
        <v>1552</v>
      </c>
      <c r="F7283" s="6" t="s">
        <v>249</v>
      </c>
      <c r="G7283" s="6" t="s">
        <v>494</v>
      </c>
      <c r="H7283" s="10">
        <v>46058.0</v>
      </c>
      <c r="I7283" s="12">
        <v>3.0</v>
      </c>
      <c r="J7283" s="6" t="s">
        <v>161</v>
      </c>
    </row>
    <row r="7284" ht="22.5" customHeight="1">
      <c r="A7284" s="6" t="s">
        <v>24092</v>
      </c>
      <c r="B7284" s="6" t="s">
        <v>16291</v>
      </c>
      <c r="C7284" s="10">
        <v>46053.0</v>
      </c>
      <c r="D7284" s="6" t="s">
        <v>242</v>
      </c>
      <c r="E7284" s="6" t="s">
        <v>417</v>
      </c>
      <c r="F7284" s="6" t="s">
        <v>283</v>
      </c>
      <c r="G7284" s="6" t="s">
        <v>458</v>
      </c>
      <c r="H7284" s="10">
        <v>46058.0</v>
      </c>
      <c r="I7284" s="12">
        <v>5.0</v>
      </c>
      <c r="J7284" s="6" t="s">
        <v>178</v>
      </c>
    </row>
    <row r="7285" ht="22.5" customHeight="1">
      <c r="A7285" s="6" t="s">
        <v>24093</v>
      </c>
      <c r="B7285" s="6" t="s">
        <v>16297</v>
      </c>
      <c r="C7285" s="10">
        <v>46050.0</v>
      </c>
      <c r="D7285" s="6" t="s">
        <v>677</v>
      </c>
      <c r="E7285" s="6" t="s">
        <v>610</v>
      </c>
      <c r="F7285" s="6" t="s">
        <v>112</v>
      </c>
      <c r="G7285" s="6" t="s">
        <v>458</v>
      </c>
      <c r="H7285" s="10">
        <v>46052.0</v>
      </c>
      <c r="I7285" s="12">
        <v>4.0</v>
      </c>
      <c r="J7285" s="6" t="s">
        <v>161</v>
      </c>
    </row>
    <row r="7286" ht="22.5" customHeight="1">
      <c r="A7286" s="6" t="s">
        <v>24094</v>
      </c>
      <c r="B7286" s="6" t="s">
        <v>16297</v>
      </c>
      <c r="C7286" s="10">
        <v>46047.0</v>
      </c>
      <c r="D7286" s="6" t="s">
        <v>312</v>
      </c>
      <c r="E7286" s="6" t="s">
        <v>695</v>
      </c>
      <c r="F7286" s="6" t="s">
        <v>249</v>
      </c>
      <c r="G7286" s="6" t="s">
        <v>452</v>
      </c>
      <c r="H7286" s="10">
        <v>46050.0</v>
      </c>
      <c r="I7286" s="12">
        <v>6.0</v>
      </c>
      <c r="J7286" s="6" t="s">
        <v>161</v>
      </c>
    </row>
    <row r="7287" ht="22.5" customHeight="1">
      <c r="A7287" s="6" t="s">
        <v>24095</v>
      </c>
      <c r="B7287" s="6" t="s">
        <v>16297</v>
      </c>
      <c r="C7287" s="10">
        <v>46036.0</v>
      </c>
      <c r="D7287" s="6" t="s">
        <v>416</v>
      </c>
      <c r="E7287" s="6" t="s">
        <v>1310</v>
      </c>
      <c r="F7287" s="6" t="s">
        <v>283</v>
      </c>
      <c r="G7287" s="6" t="s">
        <v>477</v>
      </c>
      <c r="H7287" s="10">
        <v>46040.0</v>
      </c>
      <c r="I7287" s="12">
        <v>8.0</v>
      </c>
      <c r="J7287" s="6" t="s">
        <v>161</v>
      </c>
    </row>
    <row r="7288" ht="22.5" customHeight="1">
      <c r="A7288" s="6" t="s">
        <v>24096</v>
      </c>
      <c r="B7288" s="6" t="s">
        <v>16297</v>
      </c>
      <c r="C7288" s="10">
        <v>46034.0</v>
      </c>
      <c r="D7288" s="6" t="s">
        <v>242</v>
      </c>
      <c r="E7288" s="6" t="s">
        <v>1070</v>
      </c>
      <c r="F7288" s="6" t="s">
        <v>249</v>
      </c>
      <c r="G7288" s="6" t="s">
        <v>326</v>
      </c>
      <c r="H7288" s="10">
        <v>46034.0</v>
      </c>
      <c r="I7288" s="12">
        <v>6.0</v>
      </c>
      <c r="J7288" s="6" t="s">
        <v>178</v>
      </c>
    </row>
    <row r="7289" ht="22.5" customHeight="1">
      <c r="A7289" s="6" t="s">
        <v>24097</v>
      </c>
      <c r="B7289" s="6" t="s">
        <v>16297</v>
      </c>
      <c r="C7289" s="10">
        <v>46037.0</v>
      </c>
      <c r="D7289" s="6" t="s">
        <v>242</v>
      </c>
      <c r="E7289" s="6" t="s">
        <v>417</v>
      </c>
      <c r="F7289" s="6" t="s">
        <v>112</v>
      </c>
      <c r="G7289" s="6" t="s">
        <v>326</v>
      </c>
      <c r="H7289" s="10">
        <v>46037.0</v>
      </c>
      <c r="I7289" s="12">
        <v>4.0</v>
      </c>
      <c r="J7289" s="6" t="s">
        <v>178</v>
      </c>
    </row>
    <row r="7290" ht="22.5" customHeight="1">
      <c r="A7290" s="6" t="s">
        <v>24098</v>
      </c>
      <c r="B7290" s="6" t="s">
        <v>16303</v>
      </c>
      <c r="C7290" s="10">
        <v>46066.0</v>
      </c>
      <c r="D7290" s="6" t="s">
        <v>242</v>
      </c>
      <c r="E7290" s="6" t="s">
        <v>1600</v>
      </c>
      <c r="F7290" s="6" t="s">
        <v>112</v>
      </c>
      <c r="G7290" s="6" t="s">
        <v>369</v>
      </c>
      <c r="H7290" s="10">
        <v>46070.0</v>
      </c>
      <c r="I7290" s="12">
        <v>5.0</v>
      </c>
      <c r="J7290" s="6" t="s">
        <v>161</v>
      </c>
    </row>
    <row r="7291" ht="22.5" customHeight="1">
      <c r="A7291" s="6" t="s">
        <v>24099</v>
      </c>
      <c r="B7291" s="6" t="s">
        <v>16303</v>
      </c>
      <c r="C7291" s="10">
        <v>46079.0</v>
      </c>
      <c r="D7291" s="6" t="s">
        <v>391</v>
      </c>
      <c r="E7291" s="6" t="s">
        <v>1700</v>
      </c>
      <c r="F7291" s="6" t="s">
        <v>283</v>
      </c>
      <c r="G7291" s="6" t="s">
        <v>458</v>
      </c>
      <c r="H7291" s="10">
        <v>46081.0</v>
      </c>
      <c r="I7291" s="12">
        <v>6.0</v>
      </c>
      <c r="J7291" s="6" t="s">
        <v>161</v>
      </c>
    </row>
    <row r="7292" ht="22.5" customHeight="1">
      <c r="A7292" s="6" t="s">
        <v>24100</v>
      </c>
      <c r="B7292" s="6" t="s">
        <v>16310</v>
      </c>
      <c r="C7292" s="10">
        <v>46054.0</v>
      </c>
      <c r="D7292" s="6" t="s">
        <v>677</v>
      </c>
      <c r="E7292" s="6" t="s">
        <v>450</v>
      </c>
      <c r="F7292" s="6" t="s">
        <v>439</v>
      </c>
      <c r="G7292" s="6" t="s">
        <v>458</v>
      </c>
      <c r="H7292" s="10">
        <v>46060.0</v>
      </c>
      <c r="I7292" s="12">
        <v>3.0</v>
      </c>
      <c r="J7292" s="6" t="s">
        <v>161</v>
      </c>
    </row>
    <row r="7293" ht="22.5" customHeight="1">
      <c r="A7293" s="6" t="s">
        <v>24101</v>
      </c>
      <c r="B7293" s="6" t="s">
        <v>16310</v>
      </c>
      <c r="C7293" s="10">
        <v>46053.0</v>
      </c>
      <c r="D7293" s="6" t="s">
        <v>242</v>
      </c>
      <c r="E7293" s="6" t="s">
        <v>1122</v>
      </c>
      <c r="F7293" s="6" t="s">
        <v>112</v>
      </c>
      <c r="G7293" s="6" t="s">
        <v>477</v>
      </c>
      <c r="H7293" s="10">
        <v>46055.0</v>
      </c>
      <c r="I7293" s="12">
        <v>3.0</v>
      </c>
      <c r="J7293" s="6" t="s">
        <v>161</v>
      </c>
    </row>
    <row r="7294" ht="22.5" customHeight="1">
      <c r="A7294" s="6" t="s">
        <v>24102</v>
      </c>
      <c r="B7294" s="6" t="s">
        <v>16310</v>
      </c>
      <c r="C7294" s="10">
        <v>46039.0</v>
      </c>
      <c r="D7294" s="6" t="s">
        <v>312</v>
      </c>
      <c r="E7294" s="6" t="s">
        <v>438</v>
      </c>
      <c r="F7294" s="6" t="s">
        <v>283</v>
      </c>
      <c r="G7294" s="6" t="s">
        <v>369</v>
      </c>
      <c r="H7294" s="10">
        <v>46042.0</v>
      </c>
      <c r="I7294" s="12">
        <v>7.0</v>
      </c>
      <c r="J7294" s="6" t="s">
        <v>161</v>
      </c>
    </row>
    <row r="7295" ht="22.5" customHeight="1">
      <c r="A7295" s="6" t="s">
        <v>24103</v>
      </c>
      <c r="B7295" s="6" t="s">
        <v>16310</v>
      </c>
      <c r="C7295" s="10">
        <v>46051.0</v>
      </c>
      <c r="D7295" s="6" t="s">
        <v>677</v>
      </c>
      <c r="E7295" s="6" t="s">
        <v>1700</v>
      </c>
      <c r="F7295" s="6" t="s">
        <v>439</v>
      </c>
      <c r="G7295" s="6" t="s">
        <v>458</v>
      </c>
      <c r="H7295" s="10">
        <v>46051.0</v>
      </c>
      <c r="I7295" s="12">
        <v>2.0</v>
      </c>
      <c r="J7295" s="6" t="s">
        <v>161</v>
      </c>
    </row>
    <row r="7296" ht="22.5" customHeight="1">
      <c r="A7296" s="6" t="s">
        <v>24104</v>
      </c>
      <c r="B7296" s="6" t="s">
        <v>16310</v>
      </c>
      <c r="C7296" s="10">
        <v>46046.0</v>
      </c>
      <c r="D7296" s="6" t="s">
        <v>677</v>
      </c>
      <c r="E7296" s="6" t="s">
        <v>1296</v>
      </c>
      <c r="F7296" s="6" t="s">
        <v>112</v>
      </c>
      <c r="G7296" s="6" t="s">
        <v>477</v>
      </c>
      <c r="H7296" s="11" t="s">
        <v>259</v>
      </c>
      <c r="I7296" s="12">
        <v>4.0</v>
      </c>
      <c r="J7296" s="6" t="s">
        <v>161</v>
      </c>
    </row>
    <row r="7297" ht="22.5" customHeight="1">
      <c r="A7297" s="6" t="s">
        <v>24105</v>
      </c>
      <c r="B7297" s="6" t="s">
        <v>16315</v>
      </c>
      <c r="C7297" s="10">
        <v>46039.0</v>
      </c>
      <c r="D7297" s="6" t="s">
        <v>312</v>
      </c>
      <c r="E7297" s="6" t="s">
        <v>320</v>
      </c>
      <c r="F7297" s="6" t="s">
        <v>249</v>
      </c>
      <c r="G7297" s="6" t="s">
        <v>297</v>
      </c>
      <c r="H7297" s="10">
        <v>46045.0</v>
      </c>
      <c r="I7297" s="12">
        <v>5.0</v>
      </c>
      <c r="J7297" s="6" t="s">
        <v>161</v>
      </c>
    </row>
    <row r="7298" ht="22.5" customHeight="1">
      <c r="A7298" s="6" t="s">
        <v>24106</v>
      </c>
      <c r="B7298" s="6" t="s">
        <v>16315</v>
      </c>
      <c r="C7298" s="10">
        <v>46028.0</v>
      </c>
      <c r="D7298" s="6" t="s">
        <v>416</v>
      </c>
      <c r="E7298" s="6" t="s">
        <v>716</v>
      </c>
      <c r="F7298" s="6" t="s">
        <v>283</v>
      </c>
      <c r="G7298" s="6" t="s">
        <v>297</v>
      </c>
      <c r="H7298" s="10">
        <v>46031.0</v>
      </c>
      <c r="I7298" s="12">
        <v>11.0</v>
      </c>
      <c r="J7298" s="6" t="s">
        <v>161</v>
      </c>
    </row>
    <row r="7299" ht="22.5" customHeight="1">
      <c r="A7299" s="6" t="s">
        <v>24107</v>
      </c>
      <c r="B7299" s="6" t="s">
        <v>16315</v>
      </c>
      <c r="C7299" s="10">
        <v>46029.0</v>
      </c>
      <c r="D7299" s="6" t="s">
        <v>242</v>
      </c>
      <c r="E7299" s="6" t="s">
        <v>475</v>
      </c>
      <c r="F7299" s="6" t="s">
        <v>283</v>
      </c>
      <c r="G7299" s="6" t="s">
        <v>326</v>
      </c>
      <c r="H7299" s="10">
        <v>46030.0</v>
      </c>
      <c r="I7299" s="12">
        <v>3.0</v>
      </c>
      <c r="J7299" s="6" t="s">
        <v>161</v>
      </c>
    </row>
    <row r="7300" ht="22.5" customHeight="1">
      <c r="A7300" s="6" t="s">
        <v>24108</v>
      </c>
      <c r="B7300" s="6" t="s">
        <v>16315</v>
      </c>
      <c r="C7300" s="10">
        <v>46045.0</v>
      </c>
      <c r="D7300" s="6" t="s">
        <v>391</v>
      </c>
      <c r="E7300" s="6" t="s">
        <v>1310</v>
      </c>
      <c r="F7300" s="6" t="s">
        <v>249</v>
      </c>
      <c r="G7300" s="6" t="s">
        <v>254</v>
      </c>
      <c r="H7300" s="10">
        <v>46047.0</v>
      </c>
      <c r="I7300" s="12">
        <v>8.0</v>
      </c>
      <c r="J7300" s="6" t="s">
        <v>161</v>
      </c>
    </row>
    <row r="7301" ht="22.5" customHeight="1">
      <c r="A7301" s="6" t="s">
        <v>24109</v>
      </c>
      <c r="B7301" s="6" t="s">
        <v>16322</v>
      </c>
      <c r="C7301" s="10">
        <v>46075.0</v>
      </c>
      <c r="D7301" s="6" t="s">
        <v>242</v>
      </c>
      <c r="E7301" s="6" t="s">
        <v>1070</v>
      </c>
      <c r="F7301" s="6" t="s">
        <v>249</v>
      </c>
      <c r="G7301" s="6" t="s">
        <v>326</v>
      </c>
      <c r="H7301" s="10">
        <v>46081.0</v>
      </c>
      <c r="I7301" s="12">
        <v>3.0</v>
      </c>
      <c r="J7301" s="6" t="s">
        <v>178</v>
      </c>
    </row>
    <row r="7302" ht="22.5" customHeight="1">
      <c r="A7302" s="6" t="s">
        <v>24110</v>
      </c>
      <c r="B7302" s="6" t="s">
        <v>16322</v>
      </c>
      <c r="C7302" s="10">
        <v>46062.0</v>
      </c>
      <c r="D7302" s="6" t="s">
        <v>312</v>
      </c>
      <c r="E7302" s="6" t="s">
        <v>812</v>
      </c>
      <c r="F7302" s="6" t="s">
        <v>439</v>
      </c>
      <c r="G7302" s="6" t="s">
        <v>452</v>
      </c>
      <c r="H7302" s="10">
        <v>46062.0</v>
      </c>
      <c r="I7302" s="12">
        <v>7.0</v>
      </c>
      <c r="J7302" s="6" t="s">
        <v>161</v>
      </c>
    </row>
    <row r="7303" ht="22.5" customHeight="1">
      <c r="A7303" s="6" t="s">
        <v>24111</v>
      </c>
      <c r="B7303" s="6" t="s">
        <v>16322</v>
      </c>
      <c r="C7303" s="10">
        <v>46079.0</v>
      </c>
      <c r="D7303" s="6" t="s">
        <v>312</v>
      </c>
      <c r="E7303" s="6" t="s">
        <v>670</v>
      </c>
      <c r="F7303" s="6" t="s">
        <v>283</v>
      </c>
      <c r="G7303" s="6" t="s">
        <v>254</v>
      </c>
      <c r="H7303" s="11" t="s">
        <v>259</v>
      </c>
      <c r="I7303" s="12">
        <v>5.0</v>
      </c>
      <c r="J7303" s="6" t="s">
        <v>161</v>
      </c>
    </row>
    <row r="7304" ht="22.5" customHeight="1">
      <c r="A7304" s="6" t="s">
        <v>24112</v>
      </c>
      <c r="B7304" s="6" t="s">
        <v>16322</v>
      </c>
      <c r="C7304" s="10">
        <v>46073.0</v>
      </c>
      <c r="D7304" s="6" t="s">
        <v>436</v>
      </c>
      <c r="E7304" s="6" t="s">
        <v>863</v>
      </c>
      <c r="F7304" s="6" t="s">
        <v>283</v>
      </c>
      <c r="G7304" s="6" t="s">
        <v>369</v>
      </c>
      <c r="H7304" s="10">
        <v>46073.0</v>
      </c>
      <c r="I7304" s="12">
        <v>9.0</v>
      </c>
      <c r="J7304" s="6" t="s">
        <v>161</v>
      </c>
    </row>
    <row r="7305" ht="22.5" customHeight="1">
      <c r="A7305" s="6" t="s">
        <v>24113</v>
      </c>
      <c r="B7305" s="6" t="s">
        <v>16328</v>
      </c>
      <c r="C7305" s="10">
        <v>46038.0</v>
      </c>
      <c r="D7305" s="6" t="s">
        <v>677</v>
      </c>
      <c r="E7305" s="6" t="s">
        <v>1546</v>
      </c>
      <c r="F7305" s="6" t="s">
        <v>249</v>
      </c>
      <c r="G7305" s="6" t="s">
        <v>369</v>
      </c>
      <c r="H7305" s="10">
        <v>46041.0</v>
      </c>
      <c r="I7305" s="12">
        <v>3.0</v>
      </c>
      <c r="J7305" s="6" t="s">
        <v>161</v>
      </c>
    </row>
    <row r="7306" ht="22.5" customHeight="1">
      <c r="A7306" s="6" t="s">
        <v>24114</v>
      </c>
      <c r="B7306" s="6" t="s">
        <v>16328</v>
      </c>
      <c r="C7306" s="10">
        <v>46034.0</v>
      </c>
      <c r="D7306" s="6" t="s">
        <v>312</v>
      </c>
      <c r="E7306" s="6" t="s">
        <v>1969</v>
      </c>
      <c r="F7306" s="6" t="s">
        <v>112</v>
      </c>
      <c r="G7306" s="6" t="s">
        <v>477</v>
      </c>
      <c r="H7306" s="10">
        <v>46035.0</v>
      </c>
      <c r="I7306" s="12">
        <v>6.0</v>
      </c>
      <c r="J7306" s="6" t="s">
        <v>161</v>
      </c>
    </row>
    <row r="7307" ht="22.5" customHeight="1">
      <c r="A7307" s="6" t="s">
        <v>24115</v>
      </c>
      <c r="B7307" s="6" t="s">
        <v>16328</v>
      </c>
      <c r="C7307" s="10">
        <v>46035.0</v>
      </c>
      <c r="D7307" s="6" t="s">
        <v>391</v>
      </c>
      <c r="E7307" s="6" t="s">
        <v>787</v>
      </c>
      <c r="F7307" s="6" t="s">
        <v>283</v>
      </c>
      <c r="G7307" s="6" t="s">
        <v>369</v>
      </c>
      <c r="H7307" s="10">
        <v>46042.0</v>
      </c>
      <c r="I7307" s="12">
        <v>6.0</v>
      </c>
      <c r="J7307" s="6" t="s">
        <v>161</v>
      </c>
    </row>
    <row r="7308" ht="22.5" customHeight="1">
      <c r="A7308" s="6" t="s">
        <v>24116</v>
      </c>
      <c r="B7308" s="6" t="s">
        <v>16328</v>
      </c>
      <c r="C7308" s="10">
        <v>46026.0</v>
      </c>
      <c r="D7308" s="6" t="s">
        <v>416</v>
      </c>
      <c r="E7308" s="6" t="s">
        <v>2365</v>
      </c>
      <c r="F7308" s="6" t="s">
        <v>112</v>
      </c>
      <c r="G7308" s="6" t="s">
        <v>452</v>
      </c>
      <c r="H7308" s="10">
        <v>46030.0</v>
      </c>
      <c r="I7308" s="12">
        <v>14.0</v>
      </c>
      <c r="J7308" s="6" t="s">
        <v>161</v>
      </c>
    </row>
    <row r="7309" ht="22.5" customHeight="1">
      <c r="A7309" s="6" t="s">
        <v>24117</v>
      </c>
      <c r="B7309" s="6" t="s">
        <v>16334</v>
      </c>
      <c r="C7309" s="10">
        <v>46048.0</v>
      </c>
      <c r="D7309" s="6" t="s">
        <v>416</v>
      </c>
      <c r="E7309" s="6" t="s">
        <v>1386</v>
      </c>
      <c r="F7309" s="6" t="s">
        <v>112</v>
      </c>
      <c r="G7309" s="6" t="s">
        <v>477</v>
      </c>
      <c r="H7309" s="10">
        <v>46048.0</v>
      </c>
      <c r="I7309" s="12">
        <v>12.0</v>
      </c>
      <c r="J7309" s="6" t="s">
        <v>161</v>
      </c>
    </row>
    <row r="7310" ht="22.5" customHeight="1">
      <c r="A7310" s="6" t="s">
        <v>24118</v>
      </c>
      <c r="B7310" s="6" t="s">
        <v>16334</v>
      </c>
      <c r="C7310" s="10">
        <v>46051.0</v>
      </c>
      <c r="D7310" s="6" t="s">
        <v>416</v>
      </c>
      <c r="E7310" s="6" t="s">
        <v>1102</v>
      </c>
      <c r="F7310" s="6" t="s">
        <v>249</v>
      </c>
      <c r="G7310" s="6" t="s">
        <v>494</v>
      </c>
      <c r="H7310" s="10">
        <v>46052.0</v>
      </c>
      <c r="I7310" s="12">
        <v>8.0</v>
      </c>
      <c r="J7310" s="6" t="s">
        <v>161</v>
      </c>
    </row>
    <row r="7311" ht="22.5" customHeight="1">
      <c r="A7311" s="6" t="s">
        <v>24119</v>
      </c>
      <c r="B7311" s="6" t="s">
        <v>16334</v>
      </c>
      <c r="C7311" s="10">
        <v>46051.0</v>
      </c>
      <c r="D7311" s="6" t="s">
        <v>289</v>
      </c>
      <c r="E7311" s="6" t="s">
        <v>812</v>
      </c>
      <c r="F7311" s="6" t="s">
        <v>283</v>
      </c>
      <c r="G7311" s="6" t="s">
        <v>326</v>
      </c>
      <c r="H7311" s="10">
        <v>46052.0</v>
      </c>
      <c r="I7311" s="12">
        <v>9.0</v>
      </c>
      <c r="J7311" s="6" t="s">
        <v>161</v>
      </c>
    </row>
    <row r="7312" ht="22.5" customHeight="1">
      <c r="A7312" s="6" t="s">
        <v>24120</v>
      </c>
      <c r="B7312" s="6" t="s">
        <v>16341</v>
      </c>
      <c r="C7312" s="10">
        <v>46065.0</v>
      </c>
      <c r="D7312" s="6" t="s">
        <v>242</v>
      </c>
      <c r="E7312" s="6" t="s">
        <v>1600</v>
      </c>
      <c r="F7312" s="6" t="s">
        <v>249</v>
      </c>
      <c r="G7312" s="6" t="s">
        <v>326</v>
      </c>
      <c r="H7312" s="10">
        <v>46068.0</v>
      </c>
      <c r="I7312" s="12">
        <v>5.0</v>
      </c>
      <c r="J7312" s="6" t="s">
        <v>178</v>
      </c>
    </row>
    <row r="7313" ht="22.5" customHeight="1">
      <c r="A7313" s="6" t="s">
        <v>24121</v>
      </c>
      <c r="B7313" s="6" t="s">
        <v>16341</v>
      </c>
      <c r="C7313" s="10">
        <v>46067.0</v>
      </c>
      <c r="D7313" s="6" t="s">
        <v>677</v>
      </c>
      <c r="E7313" s="6" t="s">
        <v>1149</v>
      </c>
      <c r="F7313" s="6" t="s">
        <v>249</v>
      </c>
      <c r="G7313" s="6" t="s">
        <v>369</v>
      </c>
      <c r="H7313" s="11" t="s">
        <v>259</v>
      </c>
      <c r="I7313" s="12">
        <v>4.0</v>
      </c>
      <c r="J7313" s="6" t="s">
        <v>161</v>
      </c>
    </row>
    <row r="7314" ht="22.5" customHeight="1">
      <c r="A7314" s="6" t="s">
        <v>24122</v>
      </c>
      <c r="B7314" s="6" t="s">
        <v>16341</v>
      </c>
      <c r="C7314" s="10">
        <v>46072.0</v>
      </c>
      <c r="D7314" s="6" t="s">
        <v>242</v>
      </c>
      <c r="E7314" s="6" t="s">
        <v>1102</v>
      </c>
      <c r="F7314" s="6" t="s">
        <v>249</v>
      </c>
      <c r="G7314" s="6" t="s">
        <v>254</v>
      </c>
      <c r="H7314" s="10">
        <v>46074.0</v>
      </c>
      <c r="I7314" s="12">
        <v>4.0</v>
      </c>
      <c r="J7314" s="6" t="s">
        <v>178</v>
      </c>
    </row>
    <row r="7315" ht="22.5" customHeight="1">
      <c r="A7315" s="6" t="s">
        <v>24123</v>
      </c>
      <c r="B7315" s="6" t="s">
        <v>16347</v>
      </c>
      <c r="C7315" s="10">
        <v>46042.0</v>
      </c>
      <c r="D7315" s="6" t="s">
        <v>289</v>
      </c>
      <c r="E7315" s="6" t="s">
        <v>1241</v>
      </c>
      <c r="F7315" s="6" t="s">
        <v>439</v>
      </c>
      <c r="G7315" s="6" t="s">
        <v>297</v>
      </c>
      <c r="H7315" s="11" t="s">
        <v>259</v>
      </c>
      <c r="I7315" s="12">
        <v>10.0</v>
      </c>
      <c r="J7315" s="6" t="s">
        <v>161</v>
      </c>
    </row>
    <row r="7316" ht="22.5" customHeight="1">
      <c r="A7316" s="6" t="s">
        <v>24124</v>
      </c>
      <c r="B7316" s="6" t="s">
        <v>16347</v>
      </c>
      <c r="C7316" s="10">
        <v>46031.0</v>
      </c>
      <c r="D7316" s="6" t="s">
        <v>242</v>
      </c>
      <c r="E7316" s="6" t="s">
        <v>704</v>
      </c>
      <c r="F7316" s="6" t="s">
        <v>439</v>
      </c>
      <c r="G7316" s="6" t="s">
        <v>477</v>
      </c>
      <c r="H7316" s="10">
        <v>46034.0</v>
      </c>
      <c r="I7316" s="12">
        <v>6.0</v>
      </c>
      <c r="J7316" s="6" t="s">
        <v>178</v>
      </c>
    </row>
    <row r="7317" ht="22.5" customHeight="1">
      <c r="A7317" s="6" t="s">
        <v>24125</v>
      </c>
      <c r="B7317" s="6" t="s">
        <v>16347</v>
      </c>
      <c r="C7317" s="10">
        <v>46035.0</v>
      </c>
      <c r="D7317" s="6" t="s">
        <v>312</v>
      </c>
      <c r="E7317" s="6" t="s">
        <v>1969</v>
      </c>
      <c r="F7317" s="6" t="s">
        <v>283</v>
      </c>
      <c r="G7317" s="6" t="s">
        <v>477</v>
      </c>
      <c r="H7317" s="10">
        <v>46039.0</v>
      </c>
      <c r="I7317" s="12">
        <v>5.0</v>
      </c>
      <c r="J7317" s="6" t="s">
        <v>161</v>
      </c>
    </row>
    <row r="7318" ht="22.5" customHeight="1">
      <c r="A7318" s="6" t="s">
        <v>24126</v>
      </c>
      <c r="B7318" s="6" t="s">
        <v>16347</v>
      </c>
      <c r="C7318" s="10">
        <v>46038.0</v>
      </c>
      <c r="D7318" s="6" t="s">
        <v>242</v>
      </c>
      <c r="E7318" s="6" t="s">
        <v>291</v>
      </c>
      <c r="F7318" s="6" t="s">
        <v>112</v>
      </c>
      <c r="G7318" s="6" t="s">
        <v>477</v>
      </c>
      <c r="H7318" s="10">
        <v>46041.0</v>
      </c>
      <c r="I7318" s="12">
        <v>3.0</v>
      </c>
      <c r="J7318" s="6" t="s">
        <v>178</v>
      </c>
    </row>
    <row r="7319" ht="22.5" customHeight="1">
      <c r="A7319" s="6" t="s">
        <v>24127</v>
      </c>
      <c r="B7319" s="6" t="s">
        <v>16354</v>
      </c>
      <c r="C7319" s="10">
        <v>46052.0</v>
      </c>
      <c r="D7319" s="6" t="s">
        <v>436</v>
      </c>
      <c r="E7319" s="6" t="s">
        <v>1035</v>
      </c>
      <c r="F7319" s="6" t="s">
        <v>439</v>
      </c>
      <c r="G7319" s="6" t="s">
        <v>254</v>
      </c>
      <c r="H7319" s="10">
        <v>46056.0</v>
      </c>
      <c r="I7319" s="12">
        <v>8.0</v>
      </c>
      <c r="J7319" s="6" t="s">
        <v>178</v>
      </c>
    </row>
    <row r="7320" ht="22.5" customHeight="1">
      <c r="A7320" s="6" t="s">
        <v>24128</v>
      </c>
      <c r="B7320" s="6" t="s">
        <v>16354</v>
      </c>
      <c r="C7320" s="10">
        <v>46058.0</v>
      </c>
      <c r="D7320" s="6" t="s">
        <v>391</v>
      </c>
      <c r="E7320" s="6" t="s">
        <v>450</v>
      </c>
      <c r="F7320" s="6" t="s">
        <v>439</v>
      </c>
      <c r="G7320" s="6" t="s">
        <v>326</v>
      </c>
      <c r="H7320" s="10">
        <v>46059.0</v>
      </c>
      <c r="I7320" s="12">
        <v>6.0</v>
      </c>
      <c r="J7320" s="6" t="s">
        <v>161</v>
      </c>
    </row>
    <row r="7321" ht="22.5" customHeight="1">
      <c r="A7321" s="6" t="s">
        <v>24129</v>
      </c>
      <c r="B7321" s="6" t="s">
        <v>16360</v>
      </c>
      <c r="C7321" s="10">
        <v>46068.0</v>
      </c>
      <c r="D7321" s="6" t="s">
        <v>416</v>
      </c>
      <c r="E7321" s="6" t="s">
        <v>1600</v>
      </c>
      <c r="F7321" s="6" t="s">
        <v>112</v>
      </c>
      <c r="G7321" s="6" t="s">
        <v>477</v>
      </c>
      <c r="H7321" s="10">
        <v>46075.0</v>
      </c>
      <c r="I7321" s="12">
        <v>14.0</v>
      </c>
      <c r="J7321" s="6" t="s">
        <v>161</v>
      </c>
    </row>
    <row r="7322" ht="22.5" customHeight="1">
      <c r="A7322" s="6" t="s">
        <v>24130</v>
      </c>
      <c r="B7322" s="6" t="s">
        <v>16360</v>
      </c>
      <c r="C7322" s="10">
        <v>46073.0</v>
      </c>
      <c r="D7322" s="6" t="s">
        <v>391</v>
      </c>
      <c r="E7322" s="6" t="s">
        <v>2881</v>
      </c>
      <c r="F7322" s="6" t="s">
        <v>112</v>
      </c>
      <c r="G7322" s="6" t="s">
        <v>494</v>
      </c>
      <c r="H7322" s="10">
        <v>46075.0</v>
      </c>
      <c r="I7322" s="12">
        <v>6.0</v>
      </c>
      <c r="J7322" s="6" t="s">
        <v>161</v>
      </c>
    </row>
    <row r="7323" ht="22.5" customHeight="1">
      <c r="A7323" s="6" t="s">
        <v>24131</v>
      </c>
      <c r="B7323" s="6" t="s">
        <v>16360</v>
      </c>
      <c r="C7323" s="10">
        <v>46072.0</v>
      </c>
      <c r="D7323" s="6" t="s">
        <v>312</v>
      </c>
      <c r="E7323" s="6" t="s">
        <v>512</v>
      </c>
      <c r="F7323" s="6" t="s">
        <v>439</v>
      </c>
      <c r="G7323" s="6" t="s">
        <v>494</v>
      </c>
      <c r="H7323" s="10">
        <v>46074.0</v>
      </c>
      <c r="I7323" s="12">
        <v>4.0</v>
      </c>
      <c r="J7323" s="6" t="s">
        <v>161</v>
      </c>
    </row>
    <row r="7324" ht="22.5" customHeight="1">
      <c r="A7324" s="6" t="s">
        <v>24132</v>
      </c>
      <c r="B7324" s="6" t="s">
        <v>16360</v>
      </c>
      <c r="C7324" s="10">
        <v>46083.0</v>
      </c>
      <c r="D7324" s="6" t="s">
        <v>416</v>
      </c>
      <c r="E7324" s="6" t="s">
        <v>787</v>
      </c>
      <c r="F7324" s="6" t="s">
        <v>283</v>
      </c>
      <c r="G7324" s="6" t="s">
        <v>494</v>
      </c>
      <c r="H7324" s="10">
        <v>46083.0</v>
      </c>
      <c r="I7324" s="12">
        <v>12.0</v>
      </c>
      <c r="J7324" s="6" t="s">
        <v>161</v>
      </c>
    </row>
    <row r="7325" ht="22.5" customHeight="1">
      <c r="A7325" s="6" t="s">
        <v>24133</v>
      </c>
      <c r="B7325" s="6" t="s">
        <v>16360</v>
      </c>
      <c r="C7325" s="10">
        <v>46083.0</v>
      </c>
      <c r="D7325" s="6" t="s">
        <v>242</v>
      </c>
      <c r="E7325" s="6" t="s">
        <v>610</v>
      </c>
      <c r="F7325" s="6" t="s">
        <v>249</v>
      </c>
      <c r="G7325" s="6" t="s">
        <v>326</v>
      </c>
      <c r="H7325" s="11" t="s">
        <v>259</v>
      </c>
      <c r="I7325" s="12">
        <v>3.0</v>
      </c>
      <c r="J7325" s="6" t="s">
        <v>178</v>
      </c>
    </row>
    <row r="7326" ht="22.5" customHeight="1">
      <c r="A7326" s="6" t="s">
        <v>24134</v>
      </c>
      <c r="B7326" s="6" t="s">
        <v>16367</v>
      </c>
      <c r="C7326" s="10">
        <v>46066.0</v>
      </c>
      <c r="D7326" s="6" t="s">
        <v>677</v>
      </c>
      <c r="E7326" s="6" t="s">
        <v>320</v>
      </c>
      <c r="F7326" s="6" t="s">
        <v>249</v>
      </c>
      <c r="G7326" s="6" t="s">
        <v>254</v>
      </c>
      <c r="H7326" s="10">
        <v>46072.0</v>
      </c>
      <c r="I7326" s="12">
        <v>4.0</v>
      </c>
      <c r="J7326" s="6" t="s">
        <v>161</v>
      </c>
    </row>
    <row r="7327" ht="22.5" customHeight="1">
      <c r="A7327" s="6" t="s">
        <v>24135</v>
      </c>
      <c r="B7327" s="6" t="s">
        <v>16367</v>
      </c>
      <c r="C7327" s="10">
        <v>46066.0</v>
      </c>
      <c r="D7327" s="6" t="s">
        <v>391</v>
      </c>
      <c r="E7327" s="6" t="s">
        <v>833</v>
      </c>
      <c r="F7327" s="6" t="s">
        <v>112</v>
      </c>
      <c r="G7327" s="6" t="s">
        <v>494</v>
      </c>
      <c r="H7327" s="11" t="s">
        <v>259</v>
      </c>
      <c r="I7327" s="12">
        <v>10.0</v>
      </c>
      <c r="J7327" s="6" t="s">
        <v>161</v>
      </c>
    </row>
    <row r="7328" ht="22.5" customHeight="1">
      <c r="A7328" s="6" t="s">
        <v>24136</v>
      </c>
      <c r="B7328" s="6" t="s">
        <v>16374</v>
      </c>
      <c r="C7328" s="10">
        <v>46040.0</v>
      </c>
      <c r="D7328" s="6" t="s">
        <v>312</v>
      </c>
      <c r="E7328" s="6" t="s">
        <v>365</v>
      </c>
      <c r="F7328" s="6" t="s">
        <v>112</v>
      </c>
      <c r="G7328" s="6" t="s">
        <v>297</v>
      </c>
      <c r="H7328" s="10">
        <v>46042.0</v>
      </c>
      <c r="I7328" s="12">
        <v>6.0</v>
      </c>
      <c r="J7328" s="6" t="s">
        <v>161</v>
      </c>
    </row>
    <row r="7329" ht="22.5" customHeight="1">
      <c r="A7329" s="6" t="s">
        <v>24137</v>
      </c>
      <c r="B7329" s="6" t="s">
        <v>16374</v>
      </c>
      <c r="C7329" s="10">
        <v>46050.0</v>
      </c>
      <c r="D7329" s="6" t="s">
        <v>436</v>
      </c>
      <c r="E7329" s="6" t="s">
        <v>738</v>
      </c>
      <c r="F7329" s="6" t="s">
        <v>112</v>
      </c>
      <c r="G7329" s="6" t="s">
        <v>452</v>
      </c>
      <c r="H7329" s="10">
        <v>46053.0</v>
      </c>
      <c r="I7329" s="12">
        <v>6.0</v>
      </c>
      <c r="J7329" s="6" t="s">
        <v>178</v>
      </c>
    </row>
    <row r="7330" ht="22.5" customHeight="1">
      <c r="A7330" s="6" t="s">
        <v>24138</v>
      </c>
      <c r="B7330" s="6" t="s">
        <v>16374</v>
      </c>
      <c r="C7330" s="10">
        <v>46044.0</v>
      </c>
      <c r="D7330" s="6" t="s">
        <v>289</v>
      </c>
      <c r="E7330" s="6" t="s">
        <v>566</v>
      </c>
      <c r="F7330" s="6" t="s">
        <v>283</v>
      </c>
      <c r="G7330" s="6" t="s">
        <v>452</v>
      </c>
      <c r="H7330" s="10">
        <v>46047.0</v>
      </c>
      <c r="I7330" s="12">
        <v>8.0</v>
      </c>
      <c r="J7330" s="6" t="s">
        <v>161</v>
      </c>
    </row>
    <row r="7331" ht="22.5" customHeight="1">
      <c r="A7331" s="6" t="s">
        <v>24139</v>
      </c>
      <c r="B7331" s="6" t="s">
        <v>16374</v>
      </c>
      <c r="C7331" s="10">
        <v>46039.0</v>
      </c>
      <c r="D7331" s="6" t="s">
        <v>436</v>
      </c>
      <c r="E7331" s="6" t="s">
        <v>863</v>
      </c>
      <c r="F7331" s="6" t="s">
        <v>112</v>
      </c>
      <c r="G7331" s="6" t="s">
        <v>254</v>
      </c>
      <c r="H7331" s="10">
        <v>46043.0</v>
      </c>
      <c r="I7331" s="12">
        <v>12.0</v>
      </c>
      <c r="J7331" s="6" t="s">
        <v>161</v>
      </c>
    </row>
    <row r="7332" ht="22.5" customHeight="1">
      <c r="A7332" s="6" t="s">
        <v>24140</v>
      </c>
      <c r="B7332" s="6" t="s">
        <v>16374</v>
      </c>
      <c r="C7332" s="10">
        <v>46054.0</v>
      </c>
      <c r="D7332" s="6" t="s">
        <v>436</v>
      </c>
      <c r="E7332" s="6" t="s">
        <v>1149</v>
      </c>
      <c r="F7332" s="6" t="s">
        <v>249</v>
      </c>
      <c r="G7332" s="6" t="s">
        <v>297</v>
      </c>
      <c r="H7332" s="10">
        <v>46054.0</v>
      </c>
      <c r="I7332" s="12">
        <v>7.0</v>
      </c>
      <c r="J7332" s="6" t="s">
        <v>161</v>
      </c>
    </row>
    <row r="7333" ht="22.5" customHeight="1">
      <c r="A7333" s="6" t="s">
        <v>24141</v>
      </c>
      <c r="B7333" s="6" t="s">
        <v>16380</v>
      </c>
      <c r="C7333" s="10">
        <v>46068.0</v>
      </c>
      <c r="D7333" s="6" t="s">
        <v>416</v>
      </c>
      <c r="E7333" s="6" t="s">
        <v>1517</v>
      </c>
      <c r="F7333" s="6" t="s">
        <v>112</v>
      </c>
      <c r="G7333" s="6" t="s">
        <v>254</v>
      </c>
      <c r="H7333" s="10">
        <v>46072.0</v>
      </c>
      <c r="I7333" s="12">
        <v>8.0</v>
      </c>
      <c r="J7333" s="6" t="s">
        <v>161</v>
      </c>
    </row>
    <row r="7334" ht="22.5" customHeight="1">
      <c r="A7334" s="6" t="s">
        <v>24142</v>
      </c>
      <c r="B7334" s="6" t="s">
        <v>16380</v>
      </c>
      <c r="C7334" s="10">
        <v>46067.0</v>
      </c>
      <c r="D7334" s="6" t="s">
        <v>391</v>
      </c>
      <c r="E7334" s="6" t="s">
        <v>566</v>
      </c>
      <c r="F7334" s="6" t="s">
        <v>249</v>
      </c>
      <c r="G7334" s="6" t="s">
        <v>494</v>
      </c>
      <c r="H7334" s="11" t="s">
        <v>259</v>
      </c>
      <c r="I7334" s="12">
        <v>8.0</v>
      </c>
      <c r="J7334" s="6" t="s">
        <v>161</v>
      </c>
    </row>
    <row r="7335" ht="22.5" customHeight="1">
      <c r="A7335" s="6" t="s">
        <v>24143</v>
      </c>
      <c r="B7335" s="6" t="s">
        <v>16380</v>
      </c>
      <c r="C7335" s="10">
        <v>46072.0</v>
      </c>
      <c r="D7335" s="6" t="s">
        <v>289</v>
      </c>
      <c r="E7335" s="6" t="s">
        <v>365</v>
      </c>
      <c r="F7335" s="6" t="s">
        <v>249</v>
      </c>
      <c r="G7335" s="6" t="s">
        <v>326</v>
      </c>
      <c r="H7335" s="11" t="s">
        <v>259</v>
      </c>
      <c r="I7335" s="12">
        <v>6.0</v>
      </c>
      <c r="J7335" s="6" t="s">
        <v>161</v>
      </c>
    </row>
    <row r="7336" ht="22.5" customHeight="1">
      <c r="A7336" s="6" t="s">
        <v>24144</v>
      </c>
      <c r="B7336" s="6" t="s">
        <v>16380</v>
      </c>
      <c r="C7336" s="10">
        <v>46075.0</v>
      </c>
      <c r="D7336" s="6" t="s">
        <v>312</v>
      </c>
      <c r="E7336" s="6" t="s">
        <v>731</v>
      </c>
      <c r="F7336" s="6" t="s">
        <v>249</v>
      </c>
      <c r="G7336" s="6" t="s">
        <v>452</v>
      </c>
      <c r="H7336" s="10">
        <v>46082.0</v>
      </c>
      <c r="I7336" s="12">
        <v>7.0</v>
      </c>
      <c r="J7336" s="6" t="s">
        <v>161</v>
      </c>
    </row>
    <row r="7337" ht="22.5" customHeight="1">
      <c r="A7337" s="6" t="s">
        <v>24145</v>
      </c>
      <c r="B7337" s="6" t="s">
        <v>16380</v>
      </c>
      <c r="C7337" s="10">
        <v>46076.0</v>
      </c>
      <c r="D7337" s="6" t="s">
        <v>416</v>
      </c>
      <c r="E7337" s="6" t="s">
        <v>955</v>
      </c>
      <c r="F7337" s="6" t="s">
        <v>439</v>
      </c>
      <c r="G7337" s="6" t="s">
        <v>326</v>
      </c>
      <c r="H7337" s="10">
        <v>46081.0</v>
      </c>
      <c r="I7337" s="12">
        <v>11.0</v>
      </c>
      <c r="J7337" s="6" t="s">
        <v>161</v>
      </c>
    </row>
    <row r="7338" ht="22.5" customHeight="1">
      <c r="A7338" s="6" t="s">
        <v>24146</v>
      </c>
      <c r="B7338" s="6" t="s">
        <v>16386</v>
      </c>
      <c r="C7338" s="10">
        <v>46046.0</v>
      </c>
      <c r="D7338" s="6" t="s">
        <v>242</v>
      </c>
      <c r="E7338" s="6" t="s">
        <v>1055</v>
      </c>
      <c r="F7338" s="6" t="s">
        <v>439</v>
      </c>
      <c r="G7338" s="6" t="s">
        <v>452</v>
      </c>
      <c r="H7338" s="10">
        <v>46049.0</v>
      </c>
      <c r="I7338" s="12">
        <v>4.0</v>
      </c>
      <c r="J7338" s="6" t="s">
        <v>178</v>
      </c>
    </row>
    <row r="7339" ht="22.5" customHeight="1">
      <c r="A7339" s="6" t="s">
        <v>24147</v>
      </c>
      <c r="B7339" s="6" t="s">
        <v>16386</v>
      </c>
      <c r="C7339" s="10">
        <v>46044.0</v>
      </c>
      <c r="D7339" s="6" t="s">
        <v>436</v>
      </c>
      <c r="E7339" s="6" t="s">
        <v>365</v>
      </c>
      <c r="F7339" s="6" t="s">
        <v>439</v>
      </c>
      <c r="G7339" s="6" t="s">
        <v>254</v>
      </c>
      <c r="H7339" s="10">
        <v>46045.0</v>
      </c>
      <c r="I7339" s="12">
        <v>10.0</v>
      </c>
      <c r="J7339" s="6" t="s">
        <v>178</v>
      </c>
    </row>
    <row r="7340" ht="22.5" customHeight="1">
      <c r="A7340" s="6" t="s">
        <v>24148</v>
      </c>
      <c r="B7340" s="6" t="s">
        <v>16386</v>
      </c>
      <c r="C7340" s="10">
        <v>46047.0</v>
      </c>
      <c r="D7340" s="6" t="s">
        <v>289</v>
      </c>
      <c r="E7340" s="6" t="s">
        <v>583</v>
      </c>
      <c r="F7340" s="6" t="s">
        <v>283</v>
      </c>
      <c r="G7340" s="6" t="s">
        <v>477</v>
      </c>
      <c r="H7340" s="10">
        <v>46053.0</v>
      </c>
      <c r="I7340" s="12">
        <v>9.0</v>
      </c>
      <c r="J7340" s="6" t="s">
        <v>161</v>
      </c>
    </row>
    <row r="7341" ht="22.5" customHeight="1">
      <c r="A7341" s="6" t="s">
        <v>24149</v>
      </c>
      <c r="B7341" s="6" t="s">
        <v>16393</v>
      </c>
      <c r="C7341" s="10">
        <v>46052.0</v>
      </c>
      <c r="D7341" s="6" t="s">
        <v>242</v>
      </c>
      <c r="E7341" s="6" t="s">
        <v>833</v>
      </c>
      <c r="F7341" s="6" t="s">
        <v>249</v>
      </c>
      <c r="G7341" s="6" t="s">
        <v>326</v>
      </c>
      <c r="H7341" s="10">
        <v>46056.0</v>
      </c>
      <c r="I7341" s="12">
        <v>6.0</v>
      </c>
      <c r="J7341" s="6" t="s">
        <v>178</v>
      </c>
    </row>
    <row r="7342" ht="22.5" customHeight="1">
      <c r="A7342" s="6" t="s">
        <v>24150</v>
      </c>
      <c r="B7342" s="6" t="s">
        <v>16393</v>
      </c>
      <c r="C7342" s="10">
        <v>46060.0</v>
      </c>
      <c r="D7342" s="6" t="s">
        <v>416</v>
      </c>
      <c r="E7342" s="6" t="s">
        <v>1969</v>
      </c>
      <c r="F7342" s="6" t="s">
        <v>283</v>
      </c>
      <c r="G7342" s="6" t="s">
        <v>477</v>
      </c>
      <c r="H7342" s="10">
        <v>46063.0</v>
      </c>
      <c r="I7342" s="12">
        <v>9.0</v>
      </c>
      <c r="J7342" s="6" t="s">
        <v>161</v>
      </c>
    </row>
    <row r="7343" ht="22.5" customHeight="1">
      <c r="A7343" s="6" t="s">
        <v>24151</v>
      </c>
      <c r="B7343" s="6" t="s">
        <v>16399</v>
      </c>
      <c r="C7343" s="10">
        <v>46062.0</v>
      </c>
      <c r="D7343" s="6" t="s">
        <v>436</v>
      </c>
      <c r="E7343" s="6" t="s">
        <v>610</v>
      </c>
      <c r="F7343" s="6" t="s">
        <v>249</v>
      </c>
      <c r="G7343" s="6" t="s">
        <v>458</v>
      </c>
      <c r="H7343" s="10">
        <v>46065.0</v>
      </c>
      <c r="I7343" s="12">
        <v>10.0</v>
      </c>
      <c r="J7343" s="6" t="s">
        <v>178</v>
      </c>
    </row>
    <row r="7344" ht="22.5" customHeight="1">
      <c r="A7344" s="6" t="s">
        <v>24152</v>
      </c>
      <c r="B7344" s="6" t="s">
        <v>16399</v>
      </c>
      <c r="C7344" s="10">
        <v>46068.0</v>
      </c>
      <c r="D7344" s="6" t="s">
        <v>289</v>
      </c>
      <c r="E7344" s="6" t="s">
        <v>365</v>
      </c>
      <c r="F7344" s="6" t="s">
        <v>249</v>
      </c>
      <c r="G7344" s="6" t="s">
        <v>297</v>
      </c>
      <c r="H7344" s="10">
        <v>46073.0</v>
      </c>
      <c r="I7344" s="12">
        <v>9.0</v>
      </c>
      <c r="J7344" s="6" t="s">
        <v>161</v>
      </c>
    </row>
    <row r="7345" ht="22.5" customHeight="1">
      <c r="A7345" s="6" t="s">
        <v>24153</v>
      </c>
      <c r="B7345" s="6" t="s">
        <v>16399</v>
      </c>
      <c r="C7345" s="10">
        <v>46061.0</v>
      </c>
      <c r="D7345" s="6" t="s">
        <v>416</v>
      </c>
      <c r="E7345" s="6" t="s">
        <v>1296</v>
      </c>
      <c r="F7345" s="6" t="s">
        <v>112</v>
      </c>
      <c r="G7345" s="6" t="s">
        <v>477</v>
      </c>
      <c r="H7345" s="10">
        <v>46067.0</v>
      </c>
      <c r="I7345" s="12">
        <v>13.0</v>
      </c>
      <c r="J7345" s="6" t="s">
        <v>161</v>
      </c>
    </row>
    <row r="7346" ht="22.5" customHeight="1">
      <c r="A7346" s="6" t="s">
        <v>24154</v>
      </c>
      <c r="B7346" s="6" t="s">
        <v>16399</v>
      </c>
      <c r="C7346" s="10">
        <v>46063.0</v>
      </c>
      <c r="D7346" s="6" t="s">
        <v>416</v>
      </c>
      <c r="E7346" s="6" t="s">
        <v>1720</v>
      </c>
      <c r="F7346" s="6" t="s">
        <v>112</v>
      </c>
      <c r="G7346" s="6" t="s">
        <v>369</v>
      </c>
      <c r="H7346" s="10">
        <v>46069.0</v>
      </c>
      <c r="I7346" s="12">
        <v>12.0</v>
      </c>
      <c r="J7346" s="6" t="s">
        <v>161</v>
      </c>
    </row>
    <row r="7347" ht="22.5" customHeight="1">
      <c r="A7347" s="6" t="s">
        <v>24155</v>
      </c>
      <c r="B7347" s="6" t="s">
        <v>16405</v>
      </c>
      <c r="C7347" s="10">
        <v>46053.0</v>
      </c>
      <c r="D7347" s="6" t="s">
        <v>391</v>
      </c>
      <c r="E7347" s="6" t="s">
        <v>1552</v>
      </c>
      <c r="F7347" s="6" t="s">
        <v>112</v>
      </c>
      <c r="G7347" s="6" t="s">
        <v>369</v>
      </c>
      <c r="H7347" s="10">
        <v>46059.0</v>
      </c>
      <c r="I7347" s="12">
        <v>6.0</v>
      </c>
      <c r="J7347" s="6" t="s">
        <v>161</v>
      </c>
    </row>
    <row r="7348" ht="22.5" customHeight="1">
      <c r="A7348" s="6" t="s">
        <v>24156</v>
      </c>
      <c r="B7348" s="6" t="s">
        <v>16405</v>
      </c>
      <c r="C7348" s="10">
        <v>46042.0</v>
      </c>
      <c r="D7348" s="6" t="s">
        <v>416</v>
      </c>
      <c r="E7348" s="6" t="s">
        <v>787</v>
      </c>
      <c r="F7348" s="6" t="s">
        <v>112</v>
      </c>
      <c r="G7348" s="6" t="s">
        <v>477</v>
      </c>
      <c r="H7348" s="10">
        <v>46046.0</v>
      </c>
      <c r="I7348" s="12">
        <v>10.0</v>
      </c>
      <c r="J7348" s="6" t="s">
        <v>161</v>
      </c>
    </row>
    <row r="7349" ht="22.5" customHeight="1">
      <c r="A7349" s="6" t="s">
        <v>24157</v>
      </c>
      <c r="B7349" s="6" t="s">
        <v>16411</v>
      </c>
      <c r="C7349" s="10">
        <v>46057.0</v>
      </c>
      <c r="D7349" s="6" t="s">
        <v>312</v>
      </c>
      <c r="E7349" s="6" t="s">
        <v>2365</v>
      </c>
      <c r="F7349" s="6" t="s">
        <v>112</v>
      </c>
      <c r="G7349" s="6" t="s">
        <v>477</v>
      </c>
      <c r="H7349" s="10">
        <v>46061.0</v>
      </c>
      <c r="I7349" s="12">
        <v>5.0</v>
      </c>
      <c r="J7349" s="6" t="s">
        <v>161</v>
      </c>
    </row>
    <row r="7350" ht="22.5" customHeight="1">
      <c r="A7350" s="6" t="s">
        <v>24158</v>
      </c>
      <c r="B7350" s="6" t="s">
        <v>16418</v>
      </c>
      <c r="C7350" s="10">
        <v>46066.0</v>
      </c>
      <c r="D7350" s="6" t="s">
        <v>436</v>
      </c>
      <c r="E7350" s="6" t="s">
        <v>1570</v>
      </c>
      <c r="F7350" s="6" t="s">
        <v>249</v>
      </c>
      <c r="G7350" s="6" t="s">
        <v>297</v>
      </c>
      <c r="H7350" s="10">
        <v>46073.0</v>
      </c>
      <c r="I7350" s="12">
        <v>9.0</v>
      </c>
      <c r="J7350" s="6" t="s">
        <v>161</v>
      </c>
    </row>
    <row r="7351" ht="22.5" customHeight="1">
      <c r="A7351" s="6" t="s">
        <v>24159</v>
      </c>
      <c r="B7351" s="6" t="s">
        <v>16418</v>
      </c>
      <c r="C7351" s="10">
        <v>46058.0</v>
      </c>
      <c r="D7351" s="6" t="s">
        <v>242</v>
      </c>
      <c r="E7351" s="6" t="s">
        <v>1570</v>
      </c>
      <c r="F7351" s="6" t="s">
        <v>112</v>
      </c>
      <c r="G7351" s="6" t="s">
        <v>254</v>
      </c>
      <c r="H7351" s="10">
        <v>46060.0</v>
      </c>
      <c r="I7351" s="12">
        <v>6.0</v>
      </c>
      <c r="J7351" s="6" t="s">
        <v>178</v>
      </c>
    </row>
    <row r="7352" ht="22.5" customHeight="1">
      <c r="A7352" s="6" t="s">
        <v>24160</v>
      </c>
      <c r="B7352" s="6" t="s">
        <v>16424</v>
      </c>
      <c r="C7352" s="10">
        <v>46034.0</v>
      </c>
      <c r="D7352" s="6" t="s">
        <v>242</v>
      </c>
      <c r="E7352" s="6" t="s">
        <v>1070</v>
      </c>
      <c r="F7352" s="6" t="s">
        <v>249</v>
      </c>
      <c r="G7352" s="6" t="s">
        <v>452</v>
      </c>
      <c r="H7352" s="11" t="s">
        <v>259</v>
      </c>
      <c r="I7352" s="12">
        <v>5.0</v>
      </c>
      <c r="J7352" s="6" t="s">
        <v>161</v>
      </c>
    </row>
    <row r="7353" ht="22.5" customHeight="1">
      <c r="A7353" s="6" t="s">
        <v>24161</v>
      </c>
      <c r="B7353" s="6" t="s">
        <v>16424</v>
      </c>
      <c r="C7353" s="10">
        <v>46036.0</v>
      </c>
      <c r="D7353" s="6" t="s">
        <v>289</v>
      </c>
      <c r="E7353" s="6" t="s">
        <v>628</v>
      </c>
      <c r="F7353" s="6" t="s">
        <v>249</v>
      </c>
      <c r="G7353" s="6" t="s">
        <v>369</v>
      </c>
      <c r="H7353" s="10">
        <v>46042.0</v>
      </c>
      <c r="I7353" s="12">
        <v>6.0</v>
      </c>
      <c r="J7353" s="6" t="s">
        <v>161</v>
      </c>
    </row>
    <row r="7354" ht="22.5" customHeight="1">
      <c r="A7354" s="6" t="s">
        <v>24162</v>
      </c>
      <c r="B7354" s="6" t="s">
        <v>16424</v>
      </c>
      <c r="C7354" s="10">
        <v>46038.0</v>
      </c>
      <c r="D7354" s="6" t="s">
        <v>312</v>
      </c>
      <c r="E7354" s="6" t="s">
        <v>450</v>
      </c>
      <c r="F7354" s="6" t="s">
        <v>249</v>
      </c>
      <c r="G7354" s="6" t="s">
        <v>477</v>
      </c>
      <c r="H7354" s="10">
        <v>46043.0</v>
      </c>
      <c r="I7354" s="12">
        <v>7.0</v>
      </c>
      <c r="J7354" s="6" t="s">
        <v>161</v>
      </c>
    </row>
    <row r="7355" ht="22.5" customHeight="1">
      <c r="A7355" s="6" t="s">
        <v>24163</v>
      </c>
      <c r="B7355" s="6" t="s">
        <v>16424</v>
      </c>
      <c r="C7355" s="10">
        <v>46029.0</v>
      </c>
      <c r="D7355" s="6" t="s">
        <v>391</v>
      </c>
      <c r="E7355" s="6" t="s">
        <v>738</v>
      </c>
      <c r="F7355" s="6" t="s">
        <v>283</v>
      </c>
      <c r="G7355" s="6" t="s">
        <v>452</v>
      </c>
      <c r="H7355" s="10">
        <v>46035.0</v>
      </c>
      <c r="I7355" s="12">
        <v>6.0</v>
      </c>
      <c r="J7355" s="6" t="s">
        <v>161</v>
      </c>
    </row>
    <row r="7356" ht="22.5" customHeight="1">
      <c r="A7356" s="6" t="s">
        <v>24164</v>
      </c>
      <c r="B7356" s="6" t="s">
        <v>16424</v>
      </c>
      <c r="C7356" s="10">
        <v>46042.0</v>
      </c>
      <c r="D7356" s="6" t="s">
        <v>242</v>
      </c>
      <c r="E7356" s="6" t="s">
        <v>775</v>
      </c>
      <c r="F7356" s="6" t="s">
        <v>249</v>
      </c>
      <c r="G7356" s="6" t="s">
        <v>254</v>
      </c>
      <c r="H7356" s="10">
        <v>46045.0</v>
      </c>
      <c r="I7356" s="12">
        <v>3.0</v>
      </c>
      <c r="J7356" s="6" t="s">
        <v>178</v>
      </c>
    </row>
    <row r="7357" ht="22.5" customHeight="1">
      <c r="A7357" s="6" t="s">
        <v>24165</v>
      </c>
      <c r="B7357" s="6" t="s">
        <v>16430</v>
      </c>
      <c r="C7357" s="10">
        <v>46070.0</v>
      </c>
      <c r="D7357" s="6" t="s">
        <v>391</v>
      </c>
      <c r="E7357" s="6" t="s">
        <v>695</v>
      </c>
      <c r="F7357" s="6" t="s">
        <v>112</v>
      </c>
      <c r="G7357" s="6" t="s">
        <v>494</v>
      </c>
      <c r="H7357" s="10">
        <v>46073.0</v>
      </c>
      <c r="I7357" s="12">
        <v>8.0</v>
      </c>
      <c r="J7357" s="6" t="s">
        <v>161</v>
      </c>
    </row>
    <row r="7358" ht="22.5" customHeight="1">
      <c r="A7358" s="6" t="s">
        <v>24166</v>
      </c>
      <c r="B7358" s="6" t="s">
        <v>16437</v>
      </c>
      <c r="C7358" s="10">
        <v>46067.0</v>
      </c>
      <c r="D7358" s="6" t="s">
        <v>391</v>
      </c>
      <c r="E7358" s="6" t="s">
        <v>775</v>
      </c>
      <c r="F7358" s="6" t="s">
        <v>439</v>
      </c>
      <c r="G7358" s="6" t="s">
        <v>254</v>
      </c>
      <c r="H7358" s="11" t="s">
        <v>259</v>
      </c>
      <c r="I7358" s="12">
        <v>11.0</v>
      </c>
      <c r="J7358" s="6" t="s">
        <v>161</v>
      </c>
    </row>
    <row r="7359" ht="22.5" customHeight="1">
      <c r="A7359" s="6" t="s">
        <v>24167</v>
      </c>
      <c r="B7359" s="6" t="s">
        <v>16437</v>
      </c>
      <c r="C7359" s="10">
        <v>46077.0</v>
      </c>
      <c r="D7359" s="6" t="s">
        <v>436</v>
      </c>
      <c r="E7359" s="6" t="s">
        <v>2365</v>
      </c>
      <c r="F7359" s="6" t="s">
        <v>439</v>
      </c>
      <c r="G7359" s="6" t="s">
        <v>254</v>
      </c>
      <c r="H7359" s="10">
        <v>46084.0</v>
      </c>
      <c r="I7359" s="12">
        <v>11.0</v>
      </c>
      <c r="J7359" s="6" t="s">
        <v>178</v>
      </c>
    </row>
    <row r="7360" ht="22.5" customHeight="1">
      <c r="A7360" s="6" t="s">
        <v>24168</v>
      </c>
      <c r="B7360" s="6" t="s">
        <v>16443</v>
      </c>
      <c r="C7360" s="10">
        <v>46048.0</v>
      </c>
      <c r="D7360" s="6" t="s">
        <v>436</v>
      </c>
      <c r="E7360" s="6" t="s">
        <v>738</v>
      </c>
      <c r="F7360" s="6" t="s">
        <v>249</v>
      </c>
      <c r="G7360" s="6" t="s">
        <v>477</v>
      </c>
      <c r="H7360" s="10">
        <v>46052.0</v>
      </c>
      <c r="I7360" s="12">
        <v>12.0</v>
      </c>
      <c r="J7360" s="6" t="s">
        <v>178</v>
      </c>
    </row>
    <row r="7361" ht="22.5" customHeight="1">
      <c r="A7361" s="6" t="s">
        <v>24169</v>
      </c>
      <c r="B7361" s="6" t="s">
        <v>16443</v>
      </c>
      <c r="C7361" s="10">
        <v>46051.0</v>
      </c>
      <c r="D7361" s="6" t="s">
        <v>391</v>
      </c>
      <c r="E7361" s="6" t="s">
        <v>1102</v>
      </c>
      <c r="F7361" s="6" t="s">
        <v>439</v>
      </c>
      <c r="G7361" s="6" t="s">
        <v>297</v>
      </c>
      <c r="H7361" s="10">
        <v>46051.0</v>
      </c>
      <c r="I7361" s="12">
        <v>7.0</v>
      </c>
      <c r="J7361" s="6" t="s">
        <v>161</v>
      </c>
    </row>
    <row r="7362" ht="22.5" customHeight="1">
      <c r="A7362" s="6" t="s">
        <v>24170</v>
      </c>
      <c r="B7362" s="6" t="s">
        <v>16450</v>
      </c>
      <c r="C7362" s="10">
        <v>46043.0</v>
      </c>
      <c r="D7362" s="6" t="s">
        <v>677</v>
      </c>
      <c r="E7362" s="6" t="s">
        <v>246</v>
      </c>
      <c r="F7362" s="6" t="s">
        <v>283</v>
      </c>
      <c r="G7362" s="6" t="s">
        <v>326</v>
      </c>
      <c r="H7362" s="10">
        <v>46050.0</v>
      </c>
      <c r="I7362" s="12">
        <v>4.0</v>
      </c>
      <c r="J7362" s="6" t="s">
        <v>161</v>
      </c>
    </row>
    <row r="7363" ht="22.5" customHeight="1">
      <c r="A7363" s="6" t="s">
        <v>24171</v>
      </c>
      <c r="B7363" s="6" t="s">
        <v>16450</v>
      </c>
      <c r="C7363" s="10">
        <v>46036.0</v>
      </c>
      <c r="D7363" s="6" t="s">
        <v>436</v>
      </c>
      <c r="E7363" s="6" t="s">
        <v>450</v>
      </c>
      <c r="F7363" s="6" t="s">
        <v>249</v>
      </c>
      <c r="G7363" s="6" t="s">
        <v>494</v>
      </c>
      <c r="H7363" s="10">
        <v>46043.0</v>
      </c>
      <c r="I7363" s="12">
        <v>10.0</v>
      </c>
      <c r="J7363" s="6" t="s">
        <v>161</v>
      </c>
    </row>
    <row r="7364" ht="22.5" customHeight="1">
      <c r="A7364" s="6" t="s">
        <v>24172</v>
      </c>
      <c r="B7364" s="6" t="s">
        <v>16450</v>
      </c>
      <c r="C7364" s="10">
        <v>46042.0</v>
      </c>
      <c r="D7364" s="6" t="s">
        <v>289</v>
      </c>
      <c r="E7364" s="6" t="s">
        <v>885</v>
      </c>
      <c r="F7364" s="6" t="s">
        <v>283</v>
      </c>
      <c r="G7364" s="6" t="s">
        <v>369</v>
      </c>
      <c r="H7364" s="10">
        <v>46046.0</v>
      </c>
      <c r="I7364" s="12">
        <v>5.0</v>
      </c>
      <c r="J7364" s="6" t="s">
        <v>161</v>
      </c>
    </row>
    <row r="7365" ht="22.5" customHeight="1">
      <c r="A7365" s="6" t="s">
        <v>24173</v>
      </c>
      <c r="B7365" s="6" t="s">
        <v>16450</v>
      </c>
      <c r="C7365" s="10">
        <v>46039.0</v>
      </c>
      <c r="D7365" s="6" t="s">
        <v>289</v>
      </c>
      <c r="E7365" s="6" t="s">
        <v>738</v>
      </c>
      <c r="F7365" s="6" t="s">
        <v>439</v>
      </c>
      <c r="G7365" s="6" t="s">
        <v>494</v>
      </c>
      <c r="H7365" s="10">
        <v>46041.0</v>
      </c>
      <c r="I7365" s="12">
        <v>9.0</v>
      </c>
      <c r="J7365" s="6" t="s">
        <v>161</v>
      </c>
    </row>
    <row r="7366" ht="22.5" customHeight="1">
      <c r="A7366" s="6" t="s">
        <v>24174</v>
      </c>
      <c r="B7366" s="6" t="s">
        <v>16456</v>
      </c>
      <c r="C7366" s="10">
        <v>46038.0</v>
      </c>
      <c r="D7366" s="6" t="s">
        <v>289</v>
      </c>
      <c r="E7366" s="6" t="s">
        <v>634</v>
      </c>
      <c r="F7366" s="6" t="s">
        <v>112</v>
      </c>
      <c r="G7366" s="6" t="s">
        <v>477</v>
      </c>
      <c r="H7366" s="10">
        <v>46043.0</v>
      </c>
      <c r="I7366" s="12">
        <v>10.0</v>
      </c>
      <c r="J7366" s="6" t="s">
        <v>161</v>
      </c>
    </row>
    <row r="7367" ht="22.5" customHeight="1">
      <c r="A7367" s="6" t="s">
        <v>24175</v>
      </c>
      <c r="B7367" s="6" t="s">
        <v>16456</v>
      </c>
      <c r="C7367" s="10">
        <v>46042.0</v>
      </c>
      <c r="D7367" s="6" t="s">
        <v>391</v>
      </c>
      <c r="E7367" s="6" t="s">
        <v>566</v>
      </c>
      <c r="F7367" s="6" t="s">
        <v>439</v>
      </c>
      <c r="G7367" s="6" t="s">
        <v>326</v>
      </c>
      <c r="H7367" s="10">
        <v>46046.0</v>
      </c>
      <c r="I7367" s="12">
        <v>6.0</v>
      </c>
      <c r="J7367" s="6" t="s">
        <v>161</v>
      </c>
    </row>
    <row r="7368" ht="22.5" customHeight="1">
      <c r="A7368" s="6" t="s">
        <v>24176</v>
      </c>
      <c r="B7368" s="6" t="s">
        <v>16456</v>
      </c>
      <c r="C7368" s="10">
        <v>46036.0</v>
      </c>
      <c r="D7368" s="6" t="s">
        <v>312</v>
      </c>
      <c r="E7368" s="6" t="s">
        <v>246</v>
      </c>
      <c r="F7368" s="6" t="s">
        <v>249</v>
      </c>
      <c r="G7368" s="6" t="s">
        <v>326</v>
      </c>
      <c r="H7368" s="10">
        <v>46036.0</v>
      </c>
      <c r="I7368" s="12">
        <v>5.0</v>
      </c>
      <c r="J7368" s="6" t="s">
        <v>161</v>
      </c>
    </row>
    <row r="7369" ht="22.5" customHeight="1">
      <c r="A7369" s="6" t="s">
        <v>24177</v>
      </c>
      <c r="B7369" s="6" t="s">
        <v>16456</v>
      </c>
      <c r="C7369" s="10">
        <v>46052.0</v>
      </c>
      <c r="D7369" s="6" t="s">
        <v>391</v>
      </c>
      <c r="E7369" s="6" t="s">
        <v>833</v>
      </c>
      <c r="F7369" s="6" t="s">
        <v>283</v>
      </c>
      <c r="G7369" s="6" t="s">
        <v>452</v>
      </c>
      <c r="H7369" s="10">
        <v>46058.0</v>
      </c>
      <c r="I7369" s="12">
        <v>8.0</v>
      </c>
      <c r="J7369" s="6" t="s">
        <v>161</v>
      </c>
    </row>
    <row r="7370" ht="22.5" customHeight="1">
      <c r="A7370" s="6" t="s">
        <v>24178</v>
      </c>
      <c r="B7370" s="6" t="s">
        <v>16463</v>
      </c>
      <c r="C7370" s="10">
        <v>46066.0</v>
      </c>
      <c r="D7370" s="6" t="s">
        <v>242</v>
      </c>
      <c r="E7370" s="6" t="s">
        <v>1546</v>
      </c>
      <c r="F7370" s="6" t="s">
        <v>439</v>
      </c>
      <c r="G7370" s="6" t="s">
        <v>477</v>
      </c>
      <c r="H7370" s="10">
        <v>46070.0</v>
      </c>
      <c r="I7370" s="12">
        <v>4.0</v>
      </c>
      <c r="J7370" s="6" t="s">
        <v>178</v>
      </c>
    </row>
    <row r="7371" ht="22.5" customHeight="1">
      <c r="A7371" s="6" t="s">
        <v>24179</v>
      </c>
      <c r="B7371" s="6" t="s">
        <v>16469</v>
      </c>
      <c r="C7371" s="10">
        <v>46053.0</v>
      </c>
      <c r="D7371" s="6" t="s">
        <v>312</v>
      </c>
      <c r="E7371" s="6" t="s">
        <v>246</v>
      </c>
      <c r="F7371" s="6" t="s">
        <v>283</v>
      </c>
      <c r="G7371" s="6" t="s">
        <v>326</v>
      </c>
      <c r="H7371" s="10">
        <v>46056.0</v>
      </c>
      <c r="I7371" s="12">
        <v>6.0</v>
      </c>
      <c r="J7371" s="6" t="s">
        <v>161</v>
      </c>
    </row>
    <row r="7372" ht="22.5" customHeight="1">
      <c r="A7372" s="6" t="s">
        <v>24180</v>
      </c>
      <c r="B7372" s="6" t="s">
        <v>16469</v>
      </c>
      <c r="C7372" s="10">
        <v>46059.0</v>
      </c>
      <c r="D7372" s="6" t="s">
        <v>312</v>
      </c>
      <c r="E7372" s="6" t="s">
        <v>466</v>
      </c>
      <c r="F7372" s="6" t="s">
        <v>439</v>
      </c>
      <c r="G7372" s="6" t="s">
        <v>326</v>
      </c>
      <c r="H7372" s="10">
        <v>46059.0</v>
      </c>
      <c r="I7372" s="12">
        <v>5.0</v>
      </c>
      <c r="J7372" s="6" t="s">
        <v>161</v>
      </c>
    </row>
    <row r="7373" ht="22.5" customHeight="1">
      <c r="A7373" s="6" t="s">
        <v>24181</v>
      </c>
      <c r="B7373" s="6" t="s">
        <v>16476</v>
      </c>
      <c r="C7373" s="10">
        <v>46042.0</v>
      </c>
      <c r="D7373" s="6" t="s">
        <v>436</v>
      </c>
      <c r="E7373" s="6" t="s">
        <v>583</v>
      </c>
      <c r="F7373" s="6" t="s">
        <v>249</v>
      </c>
      <c r="G7373" s="6" t="s">
        <v>458</v>
      </c>
      <c r="H7373" s="10">
        <v>46049.0</v>
      </c>
      <c r="I7373" s="12">
        <v>7.0</v>
      </c>
      <c r="J7373" s="6" t="s">
        <v>178</v>
      </c>
    </row>
    <row r="7374" ht="22.5" customHeight="1">
      <c r="A7374" s="6" t="s">
        <v>24182</v>
      </c>
      <c r="B7374" s="6" t="s">
        <v>16476</v>
      </c>
      <c r="C7374" s="10">
        <v>46054.0</v>
      </c>
      <c r="D7374" s="6" t="s">
        <v>416</v>
      </c>
      <c r="E7374" s="6" t="s">
        <v>466</v>
      </c>
      <c r="F7374" s="6" t="s">
        <v>439</v>
      </c>
      <c r="G7374" s="6" t="s">
        <v>369</v>
      </c>
      <c r="H7374" s="10">
        <v>46061.0</v>
      </c>
      <c r="I7374" s="12">
        <v>8.0</v>
      </c>
      <c r="J7374" s="6" t="s">
        <v>161</v>
      </c>
    </row>
    <row r="7375" ht="22.5" customHeight="1">
      <c r="A7375" s="6" t="s">
        <v>24183</v>
      </c>
      <c r="B7375" s="6" t="s">
        <v>16476</v>
      </c>
      <c r="C7375" s="10">
        <v>46053.0</v>
      </c>
      <c r="D7375" s="6" t="s">
        <v>436</v>
      </c>
      <c r="E7375" s="6" t="s">
        <v>1149</v>
      </c>
      <c r="F7375" s="6" t="s">
        <v>283</v>
      </c>
      <c r="G7375" s="6" t="s">
        <v>254</v>
      </c>
      <c r="H7375" s="10">
        <v>46060.0</v>
      </c>
      <c r="I7375" s="12">
        <v>7.0</v>
      </c>
      <c r="J7375" s="6" t="s">
        <v>161</v>
      </c>
    </row>
    <row r="7376" ht="22.5" customHeight="1">
      <c r="A7376" s="6" t="s">
        <v>24184</v>
      </c>
      <c r="B7376" s="6" t="s">
        <v>16476</v>
      </c>
      <c r="C7376" s="10">
        <v>46047.0</v>
      </c>
      <c r="D7376" s="6" t="s">
        <v>242</v>
      </c>
      <c r="E7376" s="6" t="s">
        <v>658</v>
      </c>
      <c r="F7376" s="6" t="s">
        <v>249</v>
      </c>
      <c r="G7376" s="6" t="s">
        <v>452</v>
      </c>
      <c r="H7376" s="10">
        <v>46052.0</v>
      </c>
      <c r="I7376" s="12">
        <v>6.0</v>
      </c>
      <c r="J7376" s="6" t="s">
        <v>178</v>
      </c>
    </row>
    <row r="7377" ht="22.5" customHeight="1">
      <c r="A7377" s="6" t="s">
        <v>24185</v>
      </c>
      <c r="B7377" s="6" t="s">
        <v>16476</v>
      </c>
      <c r="C7377" s="10">
        <v>46034.0</v>
      </c>
      <c r="D7377" s="6" t="s">
        <v>289</v>
      </c>
      <c r="E7377" s="6" t="s">
        <v>466</v>
      </c>
      <c r="F7377" s="6" t="s">
        <v>439</v>
      </c>
      <c r="G7377" s="6" t="s">
        <v>477</v>
      </c>
      <c r="H7377" s="10">
        <v>46036.0</v>
      </c>
      <c r="I7377" s="12">
        <v>10.0</v>
      </c>
      <c r="J7377" s="6" t="s">
        <v>161</v>
      </c>
    </row>
    <row r="7378" ht="22.5" customHeight="1">
      <c r="A7378" s="6" t="s">
        <v>24186</v>
      </c>
      <c r="B7378" s="6" t="s">
        <v>16482</v>
      </c>
      <c r="C7378" s="10">
        <v>46050.0</v>
      </c>
      <c r="D7378" s="6" t="s">
        <v>677</v>
      </c>
      <c r="E7378" s="6" t="s">
        <v>2881</v>
      </c>
      <c r="F7378" s="6" t="s">
        <v>112</v>
      </c>
      <c r="G7378" s="6" t="s">
        <v>326</v>
      </c>
      <c r="H7378" s="10">
        <v>46057.0</v>
      </c>
      <c r="I7378" s="12">
        <v>2.0</v>
      </c>
      <c r="J7378" s="6" t="s">
        <v>161</v>
      </c>
    </row>
    <row r="7379" ht="22.5" customHeight="1">
      <c r="A7379" s="6" t="s">
        <v>24187</v>
      </c>
      <c r="B7379" s="6" t="s">
        <v>16488</v>
      </c>
      <c r="C7379" s="10">
        <v>46058.0</v>
      </c>
      <c r="D7379" s="6" t="s">
        <v>391</v>
      </c>
      <c r="E7379" s="6" t="s">
        <v>1720</v>
      </c>
      <c r="F7379" s="6" t="s">
        <v>439</v>
      </c>
      <c r="G7379" s="6" t="s">
        <v>458</v>
      </c>
      <c r="H7379" s="10">
        <v>46062.0</v>
      </c>
      <c r="I7379" s="12">
        <v>10.0</v>
      </c>
      <c r="J7379" s="6" t="s">
        <v>161</v>
      </c>
    </row>
    <row r="7380" ht="22.5" customHeight="1">
      <c r="A7380" s="6" t="s">
        <v>24188</v>
      </c>
      <c r="B7380" s="6" t="s">
        <v>16488</v>
      </c>
      <c r="C7380" s="10">
        <v>46069.0</v>
      </c>
      <c r="D7380" s="6" t="s">
        <v>416</v>
      </c>
      <c r="E7380" s="6" t="s">
        <v>1570</v>
      </c>
      <c r="F7380" s="6" t="s">
        <v>283</v>
      </c>
      <c r="G7380" s="6" t="s">
        <v>369</v>
      </c>
      <c r="H7380" s="10">
        <v>46075.0</v>
      </c>
      <c r="I7380" s="12">
        <v>14.0</v>
      </c>
      <c r="J7380" s="6" t="s">
        <v>161</v>
      </c>
    </row>
    <row r="7381" ht="22.5" customHeight="1">
      <c r="A7381" s="6" t="s">
        <v>24189</v>
      </c>
      <c r="B7381" s="6" t="s">
        <v>16488</v>
      </c>
      <c r="C7381" s="10">
        <v>46068.0</v>
      </c>
      <c r="D7381" s="6" t="s">
        <v>416</v>
      </c>
      <c r="E7381" s="6" t="s">
        <v>450</v>
      </c>
      <c r="F7381" s="6" t="s">
        <v>283</v>
      </c>
      <c r="G7381" s="6" t="s">
        <v>369</v>
      </c>
      <c r="H7381" s="10">
        <v>46073.0</v>
      </c>
      <c r="I7381" s="12">
        <v>13.0</v>
      </c>
      <c r="J7381" s="6" t="s">
        <v>161</v>
      </c>
    </row>
    <row r="7382" ht="22.5" customHeight="1">
      <c r="A7382" s="6" t="s">
        <v>24190</v>
      </c>
      <c r="B7382" s="6" t="s">
        <v>16488</v>
      </c>
      <c r="C7382" s="10">
        <v>46050.0</v>
      </c>
      <c r="D7382" s="6" t="s">
        <v>416</v>
      </c>
      <c r="E7382" s="6" t="s">
        <v>1035</v>
      </c>
      <c r="F7382" s="6" t="s">
        <v>283</v>
      </c>
      <c r="G7382" s="6" t="s">
        <v>369</v>
      </c>
      <c r="H7382" s="10">
        <v>46057.0</v>
      </c>
      <c r="I7382" s="12">
        <v>13.0</v>
      </c>
      <c r="J7382" s="6" t="s">
        <v>161</v>
      </c>
    </row>
    <row r="7383" ht="22.5" customHeight="1">
      <c r="A7383" s="6" t="s">
        <v>24191</v>
      </c>
      <c r="B7383" s="6" t="s">
        <v>16488</v>
      </c>
      <c r="C7383" s="10">
        <v>46069.0</v>
      </c>
      <c r="D7383" s="6" t="s">
        <v>242</v>
      </c>
      <c r="E7383" s="6" t="s">
        <v>885</v>
      </c>
      <c r="F7383" s="6" t="s">
        <v>439</v>
      </c>
      <c r="G7383" s="6" t="s">
        <v>458</v>
      </c>
      <c r="H7383" s="11" t="s">
        <v>259</v>
      </c>
      <c r="I7383" s="12">
        <v>6.0</v>
      </c>
      <c r="J7383" s="6" t="s">
        <v>178</v>
      </c>
    </row>
    <row r="7384" ht="22.5" customHeight="1">
      <c r="A7384" s="6" t="s">
        <v>24192</v>
      </c>
      <c r="B7384" s="6" t="s">
        <v>16495</v>
      </c>
      <c r="C7384" s="10">
        <v>46046.0</v>
      </c>
      <c r="D7384" s="6" t="s">
        <v>242</v>
      </c>
      <c r="E7384" s="6" t="s">
        <v>365</v>
      </c>
      <c r="F7384" s="6" t="s">
        <v>439</v>
      </c>
      <c r="G7384" s="6" t="s">
        <v>254</v>
      </c>
      <c r="H7384" s="10">
        <v>46051.0</v>
      </c>
      <c r="I7384" s="12">
        <v>6.0</v>
      </c>
      <c r="J7384" s="6" t="s">
        <v>161</v>
      </c>
    </row>
    <row r="7385" ht="22.5" customHeight="1">
      <c r="A7385" s="6" t="s">
        <v>24193</v>
      </c>
      <c r="B7385" s="6" t="s">
        <v>16495</v>
      </c>
      <c r="C7385" s="10">
        <v>46053.0</v>
      </c>
      <c r="D7385" s="6" t="s">
        <v>436</v>
      </c>
      <c r="E7385" s="6" t="s">
        <v>618</v>
      </c>
      <c r="F7385" s="6" t="s">
        <v>249</v>
      </c>
      <c r="G7385" s="6" t="s">
        <v>477</v>
      </c>
      <c r="H7385" s="10">
        <v>46060.0</v>
      </c>
      <c r="I7385" s="12">
        <v>8.0</v>
      </c>
      <c r="J7385" s="6" t="s">
        <v>178</v>
      </c>
    </row>
    <row r="7386" ht="22.5" customHeight="1">
      <c r="A7386" s="6" t="s">
        <v>24194</v>
      </c>
      <c r="B7386" s="6" t="s">
        <v>16495</v>
      </c>
      <c r="C7386" s="10">
        <v>46052.0</v>
      </c>
      <c r="D7386" s="6" t="s">
        <v>416</v>
      </c>
      <c r="E7386" s="6" t="s">
        <v>1310</v>
      </c>
      <c r="F7386" s="6" t="s">
        <v>249</v>
      </c>
      <c r="G7386" s="6" t="s">
        <v>254</v>
      </c>
      <c r="H7386" s="11" t="s">
        <v>259</v>
      </c>
      <c r="I7386" s="12">
        <v>14.0</v>
      </c>
      <c r="J7386" s="6" t="s">
        <v>161</v>
      </c>
    </row>
    <row r="7387" ht="22.5" customHeight="1">
      <c r="A7387" s="6" t="s">
        <v>24195</v>
      </c>
      <c r="B7387" s="6" t="s">
        <v>16495</v>
      </c>
      <c r="C7387" s="10">
        <v>46044.0</v>
      </c>
      <c r="D7387" s="6" t="s">
        <v>416</v>
      </c>
      <c r="E7387" s="6" t="s">
        <v>731</v>
      </c>
      <c r="F7387" s="6" t="s">
        <v>439</v>
      </c>
      <c r="G7387" s="6" t="s">
        <v>254</v>
      </c>
      <c r="H7387" s="11" t="s">
        <v>259</v>
      </c>
      <c r="I7387" s="12">
        <v>9.0</v>
      </c>
      <c r="J7387" s="6" t="s">
        <v>161</v>
      </c>
    </row>
    <row r="7388" ht="22.5" customHeight="1">
      <c r="A7388" s="6" t="s">
        <v>24196</v>
      </c>
      <c r="B7388" s="6" t="s">
        <v>16502</v>
      </c>
      <c r="C7388" s="10">
        <v>46065.0</v>
      </c>
      <c r="D7388" s="6" t="s">
        <v>242</v>
      </c>
      <c r="E7388" s="6" t="s">
        <v>1720</v>
      </c>
      <c r="F7388" s="6" t="s">
        <v>439</v>
      </c>
      <c r="G7388" s="6" t="s">
        <v>494</v>
      </c>
      <c r="H7388" s="10">
        <v>46066.0</v>
      </c>
      <c r="I7388" s="12">
        <v>6.0</v>
      </c>
      <c r="J7388" s="6" t="s">
        <v>178</v>
      </c>
    </row>
    <row r="7389" ht="22.5" customHeight="1">
      <c r="A7389" s="6" t="s">
        <v>24197</v>
      </c>
      <c r="B7389" s="6" t="s">
        <v>16502</v>
      </c>
      <c r="C7389" s="10">
        <v>46062.0</v>
      </c>
      <c r="D7389" s="6" t="s">
        <v>289</v>
      </c>
      <c r="E7389" s="6" t="s">
        <v>512</v>
      </c>
      <c r="F7389" s="6" t="s">
        <v>283</v>
      </c>
      <c r="G7389" s="6" t="s">
        <v>326</v>
      </c>
      <c r="H7389" s="10">
        <v>46062.0</v>
      </c>
      <c r="I7389" s="12">
        <v>7.0</v>
      </c>
      <c r="J7389" s="6" t="s">
        <v>161</v>
      </c>
    </row>
    <row r="7390" ht="22.5" customHeight="1">
      <c r="A7390" s="6" t="s">
        <v>24198</v>
      </c>
      <c r="B7390" s="6" t="s">
        <v>16502</v>
      </c>
      <c r="C7390" s="10">
        <v>46055.0</v>
      </c>
      <c r="D7390" s="6" t="s">
        <v>436</v>
      </c>
      <c r="E7390" s="6" t="s">
        <v>1055</v>
      </c>
      <c r="F7390" s="6" t="s">
        <v>249</v>
      </c>
      <c r="G7390" s="6" t="s">
        <v>326</v>
      </c>
      <c r="H7390" s="10">
        <v>46056.0</v>
      </c>
      <c r="I7390" s="12">
        <v>6.0</v>
      </c>
      <c r="J7390" s="6" t="s">
        <v>178</v>
      </c>
    </row>
    <row r="7391" ht="22.5" customHeight="1">
      <c r="A7391" s="6" t="s">
        <v>24199</v>
      </c>
      <c r="B7391" s="6" t="s">
        <v>16508</v>
      </c>
      <c r="C7391" s="10">
        <v>46037.0</v>
      </c>
      <c r="D7391" s="6" t="s">
        <v>242</v>
      </c>
      <c r="E7391" s="6" t="s">
        <v>658</v>
      </c>
      <c r="F7391" s="6" t="s">
        <v>249</v>
      </c>
      <c r="G7391" s="6" t="s">
        <v>369</v>
      </c>
      <c r="H7391" s="10">
        <v>46043.0</v>
      </c>
      <c r="I7391" s="12">
        <v>6.0</v>
      </c>
      <c r="J7391" s="6" t="s">
        <v>178</v>
      </c>
    </row>
    <row r="7392" ht="22.5" customHeight="1">
      <c r="A7392" s="6" t="s">
        <v>24200</v>
      </c>
      <c r="B7392" s="6" t="s">
        <v>16508</v>
      </c>
      <c r="C7392" s="10">
        <v>46035.0</v>
      </c>
      <c r="D7392" s="6" t="s">
        <v>436</v>
      </c>
      <c r="E7392" s="6" t="s">
        <v>1280</v>
      </c>
      <c r="F7392" s="6" t="s">
        <v>283</v>
      </c>
      <c r="G7392" s="6" t="s">
        <v>494</v>
      </c>
      <c r="H7392" s="11" t="s">
        <v>259</v>
      </c>
      <c r="I7392" s="12">
        <v>7.0</v>
      </c>
      <c r="J7392" s="6" t="s">
        <v>178</v>
      </c>
    </row>
    <row r="7393" ht="22.5" customHeight="1">
      <c r="A7393" s="6" t="s">
        <v>24201</v>
      </c>
      <c r="B7393" s="6" t="s">
        <v>16508</v>
      </c>
      <c r="C7393" s="10">
        <v>46037.0</v>
      </c>
      <c r="D7393" s="6" t="s">
        <v>312</v>
      </c>
      <c r="E7393" s="6" t="s">
        <v>1552</v>
      </c>
      <c r="F7393" s="6" t="s">
        <v>249</v>
      </c>
      <c r="G7393" s="6" t="s">
        <v>452</v>
      </c>
      <c r="H7393" s="11" t="s">
        <v>259</v>
      </c>
      <c r="I7393" s="12">
        <v>7.0</v>
      </c>
      <c r="J7393" s="6" t="s">
        <v>161</v>
      </c>
    </row>
    <row r="7394" ht="22.5" customHeight="1">
      <c r="A7394" s="6" t="s">
        <v>24202</v>
      </c>
      <c r="B7394" s="6" t="s">
        <v>16508</v>
      </c>
      <c r="C7394" s="10">
        <v>46045.0</v>
      </c>
      <c r="D7394" s="6" t="s">
        <v>677</v>
      </c>
      <c r="E7394" s="6" t="s">
        <v>1720</v>
      </c>
      <c r="F7394" s="6" t="s">
        <v>439</v>
      </c>
      <c r="G7394" s="6" t="s">
        <v>254</v>
      </c>
      <c r="H7394" s="10">
        <v>46048.0</v>
      </c>
      <c r="I7394" s="12">
        <v>2.0</v>
      </c>
      <c r="J7394" s="6" t="s">
        <v>161</v>
      </c>
    </row>
    <row r="7395" ht="22.5" customHeight="1">
      <c r="A7395" s="6" t="s">
        <v>24203</v>
      </c>
      <c r="B7395" s="6" t="s">
        <v>16508</v>
      </c>
      <c r="C7395" s="10">
        <v>46043.0</v>
      </c>
      <c r="D7395" s="6" t="s">
        <v>312</v>
      </c>
      <c r="E7395" s="6" t="s">
        <v>670</v>
      </c>
      <c r="F7395" s="6" t="s">
        <v>112</v>
      </c>
      <c r="G7395" s="6" t="s">
        <v>477</v>
      </c>
      <c r="H7395" s="10">
        <v>46043.0</v>
      </c>
      <c r="I7395" s="12">
        <v>5.0</v>
      </c>
      <c r="J7395" s="6" t="s">
        <v>161</v>
      </c>
    </row>
    <row r="7396" ht="22.5" customHeight="1">
      <c r="A7396" s="6" t="s">
        <v>24204</v>
      </c>
      <c r="B7396" s="6" t="s">
        <v>16514</v>
      </c>
      <c r="C7396" s="10">
        <v>46072.0</v>
      </c>
      <c r="D7396" s="6" t="s">
        <v>416</v>
      </c>
      <c r="E7396" s="6" t="s">
        <v>1296</v>
      </c>
      <c r="F7396" s="6" t="s">
        <v>249</v>
      </c>
      <c r="G7396" s="6" t="s">
        <v>477</v>
      </c>
      <c r="H7396" s="10">
        <v>46078.0</v>
      </c>
      <c r="I7396" s="12">
        <v>11.0</v>
      </c>
      <c r="J7396" s="6" t="s">
        <v>161</v>
      </c>
    </row>
    <row r="7397" ht="22.5" customHeight="1">
      <c r="A7397" s="6" t="s">
        <v>24205</v>
      </c>
      <c r="B7397" s="6" t="s">
        <v>16514</v>
      </c>
      <c r="C7397" s="10">
        <v>46068.0</v>
      </c>
      <c r="D7397" s="6" t="s">
        <v>677</v>
      </c>
      <c r="E7397" s="6" t="s">
        <v>658</v>
      </c>
      <c r="F7397" s="6" t="s">
        <v>439</v>
      </c>
      <c r="G7397" s="6" t="s">
        <v>452</v>
      </c>
      <c r="H7397" s="11" t="s">
        <v>259</v>
      </c>
      <c r="I7397" s="12">
        <v>4.0</v>
      </c>
      <c r="J7397" s="6" t="s">
        <v>161</v>
      </c>
    </row>
    <row r="7398" ht="22.5" customHeight="1">
      <c r="A7398" s="6" t="s">
        <v>24206</v>
      </c>
      <c r="B7398" s="6" t="s">
        <v>16514</v>
      </c>
      <c r="C7398" s="10">
        <v>46072.0</v>
      </c>
      <c r="D7398" s="6" t="s">
        <v>436</v>
      </c>
      <c r="E7398" s="6" t="s">
        <v>787</v>
      </c>
      <c r="F7398" s="6" t="s">
        <v>439</v>
      </c>
      <c r="G7398" s="6" t="s">
        <v>254</v>
      </c>
      <c r="H7398" s="10">
        <v>46075.0</v>
      </c>
      <c r="I7398" s="12">
        <v>8.0</v>
      </c>
      <c r="J7398" s="6" t="s">
        <v>178</v>
      </c>
    </row>
    <row r="7399" ht="22.5" customHeight="1">
      <c r="A7399" s="6" t="s">
        <v>24207</v>
      </c>
      <c r="B7399" s="6" t="s">
        <v>16520</v>
      </c>
      <c r="C7399" s="10">
        <v>46059.0</v>
      </c>
      <c r="D7399" s="6" t="s">
        <v>436</v>
      </c>
      <c r="E7399" s="6" t="s">
        <v>1386</v>
      </c>
      <c r="F7399" s="6" t="s">
        <v>112</v>
      </c>
      <c r="G7399" s="6" t="s">
        <v>254</v>
      </c>
      <c r="H7399" s="11" t="s">
        <v>259</v>
      </c>
      <c r="I7399" s="12">
        <v>7.0</v>
      </c>
      <c r="J7399" s="6" t="s">
        <v>178</v>
      </c>
    </row>
    <row r="7400" ht="22.5" customHeight="1">
      <c r="A7400" s="6" t="s">
        <v>24208</v>
      </c>
      <c r="B7400" s="6" t="s">
        <v>16520</v>
      </c>
      <c r="C7400" s="10">
        <v>46046.0</v>
      </c>
      <c r="D7400" s="6" t="s">
        <v>436</v>
      </c>
      <c r="E7400" s="6" t="s">
        <v>833</v>
      </c>
      <c r="F7400" s="6" t="s">
        <v>112</v>
      </c>
      <c r="G7400" s="6" t="s">
        <v>369</v>
      </c>
      <c r="H7400" s="10">
        <v>46048.0</v>
      </c>
      <c r="I7400" s="12">
        <v>6.0</v>
      </c>
      <c r="J7400" s="6" t="s">
        <v>178</v>
      </c>
    </row>
    <row r="7401" ht="22.5" customHeight="1">
      <c r="A7401" s="6" t="s">
        <v>24209</v>
      </c>
      <c r="B7401" s="6" t="s">
        <v>16520</v>
      </c>
      <c r="C7401" s="10">
        <v>46058.0</v>
      </c>
      <c r="D7401" s="6" t="s">
        <v>312</v>
      </c>
      <c r="E7401" s="6" t="s">
        <v>1149</v>
      </c>
      <c r="F7401" s="6" t="s">
        <v>283</v>
      </c>
      <c r="G7401" s="6" t="s">
        <v>326</v>
      </c>
      <c r="H7401" s="10">
        <v>46064.0</v>
      </c>
      <c r="I7401" s="12">
        <v>7.0</v>
      </c>
      <c r="J7401" s="6" t="s">
        <v>161</v>
      </c>
    </row>
    <row r="7402" ht="22.5" customHeight="1">
      <c r="A7402" s="6" t="s">
        <v>24210</v>
      </c>
      <c r="B7402" s="6" t="s">
        <v>16520</v>
      </c>
      <c r="C7402" s="10">
        <v>46042.0</v>
      </c>
      <c r="D7402" s="6" t="s">
        <v>436</v>
      </c>
      <c r="E7402" s="6" t="s">
        <v>618</v>
      </c>
      <c r="F7402" s="6" t="s">
        <v>112</v>
      </c>
      <c r="G7402" s="6" t="s">
        <v>297</v>
      </c>
      <c r="H7402" s="11" t="s">
        <v>259</v>
      </c>
      <c r="I7402" s="12">
        <v>9.0</v>
      </c>
      <c r="J7402" s="6" t="s">
        <v>161</v>
      </c>
    </row>
    <row r="7403" ht="22.5" customHeight="1">
      <c r="A7403" s="6" t="s">
        <v>24211</v>
      </c>
      <c r="B7403" s="6" t="s">
        <v>16520</v>
      </c>
      <c r="C7403" s="10">
        <v>46054.0</v>
      </c>
      <c r="D7403" s="6" t="s">
        <v>289</v>
      </c>
      <c r="E7403" s="6" t="s">
        <v>1626</v>
      </c>
      <c r="F7403" s="6" t="s">
        <v>249</v>
      </c>
      <c r="G7403" s="6" t="s">
        <v>369</v>
      </c>
      <c r="H7403" s="10">
        <v>46056.0</v>
      </c>
      <c r="I7403" s="12">
        <v>5.0</v>
      </c>
      <c r="J7403" s="6" t="s">
        <v>161</v>
      </c>
    </row>
    <row r="7404" ht="22.5" customHeight="1">
      <c r="A7404" s="6" t="s">
        <v>24212</v>
      </c>
      <c r="B7404" s="6" t="s">
        <v>16526</v>
      </c>
      <c r="C7404" s="10">
        <v>46041.0</v>
      </c>
      <c r="D7404" s="6" t="s">
        <v>289</v>
      </c>
      <c r="E7404" s="6" t="s">
        <v>566</v>
      </c>
      <c r="F7404" s="6" t="s">
        <v>112</v>
      </c>
      <c r="G7404" s="6" t="s">
        <v>326</v>
      </c>
      <c r="H7404" s="10">
        <v>46044.0</v>
      </c>
      <c r="I7404" s="12">
        <v>7.0</v>
      </c>
      <c r="J7404" s="6" t="s">
        <v>161</v>
      </c>
    </row>
    <row r="7405" ht="22.5" customHeight="1">
      <c r="A7405" s="6" t="s">
        <v>24213</v>
      </c>
      <c r="B7405" s="6" t="s">
        <v>16532</v>
      </c>
      <c r="C7405" s="10">
        <v>46057.0</v>
      </c>
      <c r="D7405" s="6" t="s">
        <v>436</v>
      </c>
      <c r="E7405" s="6" t="s">
        <v>704</v>
      </c>
      <c r="F7405" s="6" t="s">
        <v>112</v>
      </c>
      <c r="G7405" s="6" t="s">
        <v>254</v>
      </c>
      <c r="H7405" s="10">
        <v>46064.0</v>
      </c>
      <c r="I7405" s="12">
        <v>7.0</v>
      </c>
      <c r="J7405" s="6" t="s">
        <v>178</v>
      </c>
    </row>
    <row r="7406" ht="22.5" customHeight="1">
      <c r="A7406" s="6" t="s">
        <v>24214</v>
      </c>
      <c r="B7406" s="6" t="s">
        <v>16538</v>
      </c>
      <c r="C7406" s="10">
        <v>46063.0</v>
      </c>
      <c r="D7406" s="6" t="s">
        <v>391</v>
      </c>
      <c r="E7406" s="6" t="s">
        <v>2881</v>
      </c>
      <c r="F7406" s="6" t="s">
        <v>439</v>
      </c>
      <c r="G7406" s="6" t="s">
        <v>477</v>
      </c>
      <c r="H7406" s="10">
        <v>46069.0</v>
      </c>
      <c r="I7406" s="12">
        <v>10.0</v>
      </c>
      <c r="J7406" s="6" t="s">
        <v>161</v>
      </c>
    </row>
    <row r="7407" ht="22.5" customHeight="1">
      <c r="A7407" s="6" t="s">
        <v>24215</v>
      </c>
      <c r="B7407" s="6" t="s">
        <v>16538</v>
      </c>
      <c r="C7407" s="10">
        <v>46071.0</v>
      </c>
      <c r="D7407" s="6" t="s">
        <v>677</v>
      </c>
      <c r="E7407" s="6" t="s">
        <v>658</v>
      </c>
      <c r="F7407" s="6" t="s">
        <v>249</v>
      </c>
      <c r="G7407" s="6" t="s">
        <v>452</v>
      </c>
      <c r="H7407" s="10">
        <v>46071.0</v>
      </c>
      <c r="I7407" s="12">
        <v>3.0</v>
      </c>
      <c r="J7407" s="6" t="s">
        <v>161</v>
      </c>
    </row>
    <row r="7408" ht="22.5" customHeight="1">
      <c r="A7408" s="6" t="s">
        <v>24216</v>
      </c>
      <c r="B7408" s="6" t="s">
        <v>16538</v>
      </c>
      <c r="C7408" s="10">
        <v>46056.0</v>
      </c>
      <c r="D7408" s="6" t="s">
        <v>391</v>
      </c>
      <c r="E7408" s="6" t="s">
        <v>610</v>
      </c>
      <c r="F7408" s="6" t="s">
        <v>112</v>
      </c>
      <c r="G7408" s="6" t="s">
        <v>494</v>
      </c>
      <c r="H7408" s="11" t="s">
        <v>259</v>
      </c>
      <c r="I7408" s="12">
        <v>11.0</v>
      </c>
      <c r="J7408" s="6" t="s">
        <v>161</v>
      </c>
    </row>
    <row r="7409" ht="22.5" customHeight="1">
      <c r="A7409" s="6" t="s">
        <v>24217</v>
      </c>
      <c r="B7409" s="6" t="s">
        <v>16538</v>
      </c>
      <c r="C7409" s="10">
        <v>46063.0</v>
      </c>
      <c r="D7409" s="6" t="s">
        <v>289</v>
      </c>
      <c r="E7409" s="6" t="s">
        <v>1070</v>
      </c>
      <c r="F7409" s="6" t="s">
        <v>249</v>
      </c>
      <c r="G7409" s="6" t="s">
        <v>254</v>
      </c>
      <c r="H7409" s="10">
        <v>46069.0</v>
      </c>
      <c r="I7409" s="12">
        <v>5.0</v>
      </c>
      <c r="J7409" s="6" t="s">
        <v>161</v>
      </c>
    </row>
    <row r="7410" ht="22.5" customHeight="1">
      <c r="A7410" s="6" t="s">
        <v>24218</v>
      </c>
      <c r="B7410" s="6" t="s">
        <v>16543</v>
      </c>
      <c r="C7410" s="10">
        <v>46049.0</v>
      </c>
      <c r="D7410" s="6" t="s">
        <v>677</v>
      </c>
      <c r="E7410" s="6" t="s">
        <v>787</v>
      </c>
      <c r="F7410" s="6" t="s">
        <v>112</v>
      </c>
      <c r="G7410" s="6" t="s">
        <v>477</v>
      </c>
      <c r="H7410" s="10">
        <v>46051.0</v>
      </c>
      <c r="I7410" s="12">
        <v>4.0</v>
      </c>
      <c r="J7410" s="6" t="s">
        <v>161</v>
      </c>
    </row>
    <row r="7411" ht="22.5" customHeight="1">
      <c r="A7411" s="6" t="s">
        <v>24219</v>
      </c>
      <c r="B7411" s="6" t="s">
        <v>16549</v>
      </c>
      <c r="C7411" s="10">
        <v>46046.0</v>
      </c>
      <c r="D7411" s="6" t="s">
        <v>391</v>
      </c>
      <c r="E7411" s="6" t="s">
        <v>695</v>
      </c>
      <c r="F7411" s="6" t="s">
        <v>283</v>
      </c>
      <c r="G7411" s="6" t="s">
        <v>477</v>
      </c>
      <c r="H7411" s="10">
        <v>46052.0</v>
      </c>
      <c r="I7411" s="12">
        <v>6.0</v>
      </c>
      <c r="J7411" s="6" t="s">
        <v>161</v>
      </c>
    </row>
    <row r="7412" ht="22.5" customHeight="1">
      <c r="A7412" s="6" t="s">
        <v>24220</v>
      </c>
      <c r="B7412" s="6" t="s">
        <v>16549</v>
      </c>
      <c r="C7412" s="10">
        <v>46039.0</v>
      </c>
      <c r="D7412" s="6" t="s">
        <v>416</v>
      </c>
      <c r="E7412" s="6" t="s">
        <v>1570</v>
      </c>
      <c r="F7412" s="6" t="s">
        <v>439</v>
      </c>
      <c r="G7412" s="6" t="s">
        <v>297</v>
      </c>
      <c r="H7412" s="10">
        <v>46045.0</v>
      </c>
      <c r="I7412" s="12">
        <v>13.0</v>
      </c>
      <c r="J7412" s="6" t="s">
        <v>161</v>
      </c>
    </row>
    <row r="7413" ht="22.5" customHeight="1">
      <c r="A7413" s="6" t="s">
        <v>24221</v>
      </c>
      <c r="B7413" s="6" t="s">
        <v>16549</v>
      </c>
      <c r="C7413" s="10">
        <v>46037.0</v>
      </c>
      <c r="D7413" s="6" t="s">
        <v>436</v>
      </c>
      <c r="E7413" s="6" t="s">
        <v>658</v>
      </c>
      <c r="F7413" s="6" t="s">
        <v>112</v>
      </c>
      <c r="G7413" s="6" t="s">
        <v>326</v>
      </c>
      <c r="H7413" s="10">
        <v>46043.0</v>
      </c>
      <c r="I7413" s="12">
        <v>7.0</v>
      </c>
      <c r="J7413" s="6" t="s">
        <v>161</v>
      </c>
    </row>
    <row r="7414" ht="22.5" customHeight="1">
      <c r="A7414" s="6" t="s">
        <v>24222</v>
      </c>
      <c r="B7414" s="6" t="s">
        <v>16549</v>
      </c>
      <c r="C7414" s="10">
        <v>46049.0</v>
      </c>
      <c r="D7414" s="6" t="s">
        <v>436</v>
      </c>
      <c r="E7414" s="6" t="s">
        <v>1241</v>
      </c>
      <c r="F7414" s="6" t="s">
        <v>249</v>
      </c>
      <c r="G7414" s="6" t="s">
        <v>297</v>
      </c>
      <c r="H7414" s="11" t="s">
        <v>259</v>
      </c>
      <c r="I7414" s="12">
        <v>9.0</v>
      </c>
      <c r="J7414" s="6" t="s">
        <v>178</v>
      </c>
    </row>
    <row r="7415" ht="22.5" customHeight="1">
      <c r="A7415" s="6" t="s">
        <v>24223</v>
      </c>
      <c r="B7415" s="6" t="s">
        <v>16555</v>
      </c>
      <c r="C7415" s="10">
        <v>46084.0</v>
      </c>
      <c r="D7415" s="6" t="s">
        <v>289</v>
      </c>
      <c r="E7415" s="6" t="s">
        <v>417</v>
      </c>
      <c r="F7415" s="6" t="s">
        <v>283</v>
      </c>
      <c r="G7415" s="6" t="s">
        <v>458</v>
      </c>
      <c r="H7415" s="10">
        <v>46090.0</v>
      </c>
      <c r="I7415" s="12">
        <v>7.0</v>
      </c>
      <c r="J7415" s="6" t="s">
        <v>161</v>
      </c>
    </row>
    <row r="7416" ht="22.5" customHeight="1">
      <c r="A7416" s="6" t="s">
        <v>24224</v>
      </c>
      <c r="B7416" s="6" t="s">
        <v>16555</v>
      </c>
      <c r="C7416" s="10">
        <v>46076.0</v>
      </c>
      <c r="D7416" s="6" t="s">
        <v>391</v>
      </c>
      <c r="E7416" s="6" t="s">
        <v>1570</v>
      </c>
      <c r="F7416" s="6" t="s">
        <v>112</v>
      </c>
      <c r="G7416" s="6" t="s">
        <v>326</v>
      </c>
      <c r="H7416" s="10">
        <v>46077.0</v>
      </c>
      <c r="I7416" s="12">
        <v>6.0</v>
      </c>
      <c r="J7416" s="6" t="s">
        <v>161</v>
      </c>
    </row>
    <row r="7417" ht="22.5" customHeight="1">
      <c r="A7417" s="6" t="s">
        <v>24225</v>
      </c>
      <c r="B7417" s="6" t="s">
        <v>16555</v>
      </c>
      <c r="C7417" s="10">
        <v>46070.0</v>
      </c>
      <c r="D7417" s="6" t="s">
        <v>391</v>
      </c>
      <c r="E7417" s="6" t="s">
        <v>1241</v>
      </c>
      <c r="F7417" s="6" t="s">
        <v>112</v>
      </c>
      <c r="G7417" s="6" t="s">
        <v>458</v>
      </c>
      <c r="H7417" s="11" t="s">
        <v>259</v>
      </c>
      <c r="I7417" s="12">
        <v>6.0</v>
      </c>
      <c r="J7417" s="6" t="s">
        <v>161</v>
      </c>
    </row>
    <row r="7418" ht="22.5" customHeight="1">
      <c r="A7418" s="6" t="s">
        <v>24226</v>
      </c>
      <c r="B7418" s="6" t="s">
        <v>16555</v>
      </c>
      <c r="C7418" s="10">
        <v>46082.0</v>
      </c>
      <c r="D7418" s="6" t="s">
        <v>416</v>
      </c>
      <c r="E7418" s="6" t="s">
        <v>1600</v>
      </c>
      <c r="F7418" s="6" t="s">
        <v>249</v>
      </c>
      <c r="G7418" s="6" t="s">
        <v>458</v>
      </c>
      <c r="H7418" s="10">
        <v>46083.0</v>
      </c>
      <c r="I7418" s="12">
        <v>8.0</v>
      </c>
      <c r="J7418" s="6" t="s">
        <v>161</v>
      </c>
    </row>
    <row r="7419" ht="22.5" customHeight="1">
      <c r="A7419" s="6" t="s">
        <v>24227</v>
      </c>
      <c r="B7419" s="6" t="s">
        <v>16555</v>
      </c>
      <c r="C7419" s="10">
        <v>46083.0</v>
      </c>
      <c r="D7419" s="6" t="s">
        <v>436</v>
      </c>
      <c r="E7419" s="6" t="s">
        <v>1517</v>
      </c>
      <c r="F7419" s="6" t="s">
        <v>439</v>
      </c>
      <c r="G7419" s="6" t="s">
        <v>458</v>
      </c>
      <c r="H7419" s="10">
        <v>46086.0</v>
      </c>
      <c r="I7419" s="12">
        <v>9.0</v>
      </c>
      <c r="J7419" s="6" t="s">
        <v>178</v>
      </c>
    </row>
    <row r="7420" ht="22.5" customHeight="1">
      <c r="A7420" s="6" t="s">
        <v>24228</v>
      </c>
      <c r="B7420" s="6" t="s">
        <v>16560</v>
      </c>
      <c r="C7420" s="10">
        <v>46060.0</v>
      </c>
      <c r="D7420" s="6" t="s">
        <v>391</v>
      </c>
      <c r="E7420" s="6" t="s">
        <v>1035</v>
      </c>
      <c r="F7420" s="6" t="s">
        <v>249</v>
      </c>
      <c r="G7420" s="6" t="s">
        <v>369</v>
      </c>
      <c r="H7420" s="10">
        <v>46060.0</v>
      </c>
      <c r="I7420" s="12">
        <v>6.0</v>
      </c>
      <c r="J7420" s="6" t="s">
        <v>161</v>
      </c>
    </row>
    <row r="7421" ht="22.5" customHeight="1">
      <c r="A7421" s="6" t="s">
        <v>24229</v>
      </c>
      <c r="B7421" s="6" t="s">
        <v>16560</v>
      </c>
      <c r="C7421" s="10">
        <v>46067.0</v>
      </c>
      <c r="D7421" s="6" t="s">
        <v>416</v>
      </c>
      <c r="E7421" s="6" t="s">
        <v>466</v>
      </c>
      <c r="F7421" s="6" t="s">
        <v>283</v>
      </c>
      <c r="G7421" s="6" t="s">
        <v>326</v>
      </c>
      <c r="H7421" s="10">
        <v>46070.0</v>
      </c>
      <c r="I7421" s="12">
        <v>14.0</v>
      </c>
      <c r="J7421" s="6" t="s">
        <v>161</v>
      </c>
    </row>
    <row r="7422" ht="22.5" customHeight="1">
      <c r="A7422" s="6" t="s">
        <v>24230</v>
      </c>
      <c r="B7422" s="6" t="s">
        <v>16560</v>
      </c>
      <c r="C7422" s="10">
        <v>46073.0</v>
      </c>
      <c r="D7422" s="6" t="s">
        <v>436</v>
      </c>
      <c r="E7422" s="6" t="s">
        <v>738</v>
      </c>
      <c r="F7422" s="6" t="s">
        <v>112</v>
      </c>
      <c r="G7422" s="6" t="s">
        <v>297</v>
      </c>
      <c r="H7422" s="10">
        <v>46076.0</v>
      </c>
      <c r="I7422" s="12">
        <v>10.0</v>
      </c>
      <c r="J7422" s="6" t="s">
        <v>178</v>
      </c>
    </row>
    <row r="7423" ht="22.5" customHeight="1">
      <c r="A7423" s="6" t="s">
        <v>24231</v>
      </c>
      <c r="B7423" s="6" t="s">
        <v>16566</v>
      </c>
      <c r="C7423" s="10">
        <v>46071.0</v>
      </c>
      <c r="D7423" s="6" t="s">
        <v>391</v>
      </c>
      <c r="E7423" s="6" t="s">
        <v>291</v>
      </c>
      <c r="F7423" s="6" t="s">
        <v>283</v>
      </c>
      <c r="G7423" s="6" t="s">
        <v>369</v>
      </c>
      <c r="H7423" s="10">
        <v>46077.0</v>
      </c>
      <c r="I7423" s="12">
        <v>7.0</v>
      </c>
      <c r="J7423" s="6" t="s">
        <v>161</v>
      </c>
    </row>
    <row r="7424" ht="22.5" customHeight="1">
      <c r="A7424" s="6" t="s">
        <v>24232</v>
      </c>
      <c r="B7424" s="6" t="s">
        <v>16566</v>
      </c>
      <c r="C7424" s="10">
        <v>46066.0</v>
      </c>
      <c r="D7424" s="6" t="s">
        <v>436</v>
      </c>
      <c r="E7424" s="6" t="s">
        <v>628</v>
      </c>
      <c r="F7424" s="6" t="s">
        <v>112</v>
      </c>
      <c r="G7424" s="6" t="s">
        <v>458</v>
      </c>
      <c r="H7424" s="10">
        <v>46069.0</v>
      </c>
      <c r="I7424" s="12">
        <v>7.0</v>
      </c>
      <c r="J7424" s="6" t="s">
        <v>161</v>
      </c>
    </row>
    <row r="7425" ht="22.5" customHeight="1">
      <c r="A7425" s="6" t="s">
        <v>24233</v>
      </c>
      <c r="B7425" s="6" t="s">
        <v>16571</v>
      </c>
      <c r="C7425" s="10">
        <v>46061.0</v>
      </c>
      <c r="D7425" s="6" t="s">
        <v>391</v>
      </c>
      <c r="E7425" s="6" t="s">
        <v>670</v>
      </c>
      <c r="F7425" s="6" t="s">
        <v>249</v>
      </c>
      <c r="G7425" s="6" t="s">
        <v>369</v>
      </c>
      <c r="H7425" s="10">
        <v>46063.0</v>
      </c>
      <c r="I7425" s="12">
        <v>11.0</v>
      </c>
      <c r="J7425" s="6" t="s">
        <v>161</v>
      </c>
    </row>
    <row r="7426" ht="22.5" customHeight="1">
      <c r="A7426" s="6" t="s">
        <v>24234</v>
      </c>
      <c r="B7426" s="6" t="s">
        <v>16571</v>
      </c>
      <c r="C7426" s="10">
        <v>46060.0</v>
      </c>
      <c r="D7426" s="6" t="s">
        <v>289</v>
      </c>
      <c r="E7426" s="6" t="s">
        <v>1969</v>
      </c>
      <c r="F7426" s="6" t="s">
        <v>249</v>
      </c>
      <c r="G7426" s="6" t="s">
        <v>452</v>
      </c>
      <c r="H7426" s="10">
        <v>46060.0</v>
      </c>
      <c r="I7426" s="12">
        <v>7.0</v>
      </c>
      <c r="J7426" s="6" t="s">
        <v>161</v>
      </c>
    </row>
    <row r="7427" ht="22.5" customHeight="1">
      <c r="A7427" s="6" t="s">
        <v>24235</v>
      </c>
      <c r="B7427" s="6" t="s">
        <v>16571</v>
      </c>
      <c r="C7427" s="10">
        <v>46054.0</v>
      </c>
      <c r="D7427" s="6" t="s">
        <v>416</v>
      </c>
      <c r="E7427" s="6" t="s">
        <v>583</v>
      </c>
      <c r="F7427" s="6" t="s">
        <v>283</v>
      </c>
      <c r="G7427" s="6" t="s">
        <v>369</v>
      </c>
      <c r="H7427" s="11" t="s">
        <v>259</v>
      </c>
      <c r="I7427" s="12">
        <v>8.0</v>
      </c>
      <c r="J7427" s="6" t="s">
        <v>161</v>
      </c>
    </row>
    <row r="7428" ht="22.5" customHeight="1">
      <c r="A7428" s="6" t="s">
        <v>24236</v>
      </c>
      <c r="B7428" s="6" t="s">
        <v>16571</v>
      </c>
      <c r="C7428" s="10">
        <v>46056.0</v>
      </c>
      <c r="D7428" s="6" t="s">
        <v>677</v>
      </c>
      <c r="E7428" s="6" t="s">
        <v>1700</v>
      </c>
      <c r="F7428" s="6" t="s">
        <v>283</v>
      </c>
      <c r="G7428" s="6" t="s">
        <v>254</v>
      </c>
      <c r="H7428" s="10">
        <v>46062.0</v>
      </c>
      <c r="I7428" s="12">
        <v>3.0</v>
      </c>
      <c r="J7428" s="6" t="s">
        <v>161</v>
      </c>
    </row>
    <row r="7429" ht="22.5" customHeight="1">
      <c r="A7429" s="6" t="s">
        <v>24237</v>
      </c>
      <c r="B7429" s="6" t="s">
        <v>16577</v>
      </c>
      <c r="C7429" s="10">
        <v>46069.0</v>
      </c>
      <c r="D7429" s="6" t="s">
        <v>289</v>
      </c>
      <c r="E7429" s="6" t="s">
        <v>1102</v>
      </c>
      <c r="F7429" s="6" t="s">
        <v>249</v>
      </c>
      <c r="G7429" s="6" t="s">
        <v>369</v>
      </c>
      <c r="H7429" s="10">
        <v>46072.0</v>
      </c>
      <c r="I7429" s="12">
        <v>6.0</v>
      </c>
      <c r="J7429" s="6" t="s">
        <v>161</v>
      </c>
    </row>
    <row r="7430" ht="22.5" customHeight="1">
      <c r="A7430" s="6" t="s">
        <v>24238</v>
      </c>
      <c r="B7430" s="6" t="s">
        <v>16577</v>
      </c>
      <c r="C7430" s="10">
        <v>46064.0</v>
      </c>
      <c r="D7430" s="6" t="s">
        <v>289</v>
      </c>
      <c r="E7430" s="6" t="s">
        <v>1102</v>
      </c>
      <c r="F7430" s="6" t="s">
        <v>283</v>
      </c>
      <c r="G7430" s="6" t="s">
        <v>297</v>
      </c>
      <c r="H7430" s="10">
        <v>46071.0</v>
      </c>
      <c r="I7430" s="12">
        <v>9.0</v>
      </c>
      <c r="J7430" s="6" t="s">
        <v>161</v>
      </c>
    </row>
    <row r="7431" ht="22.5" customHeight="1">
      <c r="A7431" s="6" t="s">
        <v>24239</v>
      </c>
      <c r="B7431" s="6" t="s">
        <v>16583</v>
      </c>
      <c r="C7431" s="10">
        <v>46070.0</v>
      </c>
      <c r="D7431" s="6" t="s">
        <v>677</v>
      </c>
      <c r="E7431" s="6" t="s">
        <v>365</v>
      </c>
      <c r="F7431" s="6" t="s">
        <v>439</v>
      </c>
      <c r="G7431" s="6" t="s">
        <v>494</v>
      </c>
      <c r="H7431" s="10">
        <v>46072.0</v>
      </c>
      <c r="I7431" s="12">
        <v>4.0</v>
      </c>
      <c r="J7431" s="6" t="s">
        <v>161</v>
      </c>
    </row>
    <row r="7432" ht="22.5" customHeight="1">
      <c r="A7432" s="6" t="s">
        <v>24240</v>
      </c>
      <c r="B7432" s="6" t="s">
        <v>16583</v>
      </c>
      <c r="C7432" s="10">
        <v>46072.0</v>
      </c>
      <c r="D7432" s="6" t="s">
        <v>436</v>
      </c>
      <c r="E7432" s="6" t="s">
        <v>658</v>
      </c>
      <c r="F7432" s="6" t="s">
        <v>283</v>
      </c>
      <c r="G7432" s="6" t="s">
        <v>254</v>
      </c>
      <c r="H7432" s="10">
        <v>46075.0</v>
      </c>
      <c r="I7432" s="12">
        <v>11.0</v>
      </c>
      <c r="J7432" s="6" t="s">
        <v>178</v>
      </c>
    </row>
    <row r="7433" ht="22.5" customHeight="1">
      <c r="A7433" s="6" t="s">
        <v>24241</v>
      </c>
      <c r="B7433" s="6" t="s">
        <v>16583</v>
      </c>
      <c r="C7433" s="10">
        <v>46084.0</v>
      </c>
      <c r="D7433" s="6" t="s">
        <v>289</v>
      </c>
      <c r="E7433" s="6" t="s">
        <v>1273</v>
      </c>
      <c r="F7433" s="6" t="s">
        <v>283</v>
      </c>
      <c r="G7433" s="6" t="s">
        <v>477</v>
      </c>
      <c r="H7433" s="10">
        <v>46086.0</v>
      </c>
      <c r="I7433" s="12">
        <v>6.0</v>
      </c>
      <c r="J7433" s="6" t="s">
        <v>161</v>
      </c>
    </row>
    <row r="7434" ht="22.5" customHeight="1">
      <c r="A7434" s="6" t="s">
        <v>24242</v>
      </c>
      <c r="B7434" s="6" t="s">
        <v>16583</v>
      </c>
      <c r="C7434" s="10">
        <v>46081.0</v>
      </c>
      <c r="D7434" s="6" t="s">
        <v>242</v>
      </c>
      <c r="E7434" s="6" t="s">
        <v>863</v>
      </c>
      <c r="F7434" s="6" t="s">
        <v>249</v>
      </c>
      <c r="G7434" s="6" t="s">
        <v>477</v>
      </c>
      <c r="H7434" s="10">
        <v>46087.0</v>
      </c>
      <c r="I7434" s="12">
        <v>6.0</v>
      </c>
      <c r="J7434" s="6" t="s">
        <v>178</v>
      </c>
    </row>
    <row r="7435" ht="22.5" customHeight="1">
      <c r="A7435" s="6" t="s">
        <v>24243</v>
      </c>
      <c r="B7435" s="6" t="s">
        <v>16591</v>
      </c>
      <c r="C7435" s="10">
        <v>46050.0</v>
      </c>
      <c r="D7435" s="6" t="s">
        <v>436</v>
      </c>
      <c r="E7435" s="6" t="s">
        <v>1122</v>
      </c>
      <c r="F7435" s="6" t="s">
        <v>439</v>
      </c>
      <c r="G7435" s="6" t="s">
        <v>477</v>
      </c>
      <c r="H7435" s="11" t="s">
        <v>259</v>
      </c>
      <c r="I7435" s="12">
        <v>7.0</v>
      </c>
      <c r="J7435" s="6" t="s">
        <v>178</v>
      </c>
    </row>
    <row r="7436" ht="22.5" customHeight="1">
      <c r="A7436" s="6" t="s">
        <v>24244</v>
      </c>
      <c r="B7436" s="6" t="s">
        <v>16591</v>
      </c>
      <c r="C7436" s="10">
        <v>46059.0</v>
      </c>
      <c r="D7436" s="6" t="s">
        <v>289</v>
      </c>
      <c r="E7436" s="6" t="s">
        <v>583</v>
      </c>
      <c r="F7436" s="6" t="s">
        <v>283</v>
      </c>
      <c r="G7436" s="6" t="s">
        <v>326</v>
      </c>
      <c r="H7436" s="10">
        <v>46064.0</v>
      </c>
      <c r="I7436" s="12">
        <v>8.0</v>
      </c>
      <c r="J7436" s="6" t="s">
        <v>161</v>
      </c>
    </row>
    <row r="7437" ht="22.5" customHeight="1">
      <c r="A7437" s="6" t="s">
        <v>24245</v>
      </c>
      <c r="B7437" s="6" t="s">
        <v>16591</v>
      </c>
      <c r="C7437" s="10">
        <v>46052.0</v>
      </c>
      <c r="D7437" s="6" t="s">
        <v>677</v>
      </c>
      <c r="E7437" s="6" t="s">
        <v>1570</v>
      </c>
      <c r="F7437" s="6" t="s">
        <v>112</v>
      </c>
      <c r="G7437" s="6" t="s">
        <v>369</v>
      </c>
      <c r="H7437" s="10">
        <v>46055.0</v>
      </c>
      <c r="I7437" s="12">
        <v>2.0</v>
      </c>
      <c r="J7437" s="6" t="s">
        <v>161</v>
      </c>
    </row>
    <row r="7438" ht="22.5" customHeight="1">
      <c r="A7438" s="6" t="s">
        <v>24246</v>
      </c>
      <c r="B7438" s="6" t="s">
        <v>16591</v>
      </c>
      <c r="C7438" s="10">
        <v>46059.0</v>
      </c>
      <c r="D7438" s="6" t="s">
        <v>416</v>
      </c>
      <c r="E7438" s="6" t="s">
        <v>1546</v>
      </c>
      <c r="F7438" s="6" t="s">
        <v>112</v>
      </c>
      <c r="G7438" s="6" t="s">
        <v>477</v>
      </c>
      <c r="H7438" s="11" t="s">
        <v>259</v>
      </c>
      <c r="I7438" s="12">
        <v>12.0</v>
      </c>
      <c r="J7438" s="6" t="s">
        <v>161</v>
      </c>
    </row>
    <row r="7439" ht="22.5" customHeight="1">
      <c r="A7439" s="6" t="s">
        <v>24247</v>
      </c>
      <c r="B7439" s="6" t="s">
        <v>16591</v>
      </c>
      <c r="C7439" s="10">
        <v>46059.0</v>
      </c>
      <c r="D7439" s="6" t="s">
        <v>312</v>
      </c>
      <c r="E7439" s="6" t="s">
        <v>610</v>
      </c>
      <c r="F7439" s="6" t="s">
        <v>439</v>
      </c>
      <c r="G7439" s="6" t="s">
        <v>254</v>
      </c>
      <c r="H7439" s="10">
        <v>46061.0</v>
      </c>
      <c r="I7439" s="12">
        <v>7.0</v>
      </c>
      <c r="J7439" s="6" t="s">
        <v>161</v>
      </c>
    </row>
    <row r="7440" ht="22.5" customHeight="1">
      <c r="A7440" s="6" t="s">
        <v>24248</v>
      </c>
      <c r="B7440" s="6" t="s">
        <v>16598</v>
      </c>
      <c r="C7440" s="10">
        <v>46042.0</v>
      </c>
      <c r="D7440" s="6" t="s">
        <v>289</v>
      </c>
      <c r="E7440" s="6" t="s">
        <v>618</v>
      </c>
      <c r="F7440" s="6" t="s">
        <v>112</v>
      </c>
      <c r="G7440" s="6" t="s">
        <v>326</v>
      </c>
      <c r="H7440" s="10">
        <v>46042.0</v>
      </c>
      <c r="I7440" s="12">
        <v>9.0</v>
      </c>
      <c r="J7440" s="6" t="s">
        <v>161</v>
      </c>
    </row>
    <row r="7441" ht="22.5" customHeight="1">
      <c r="A7441" s="6" t="s">
        <v>24249</v>
      </c>
      <c r="B7441" s="6" t="s">
        <v>16604</v>
      </c>
      <c r="C7441" s="10">
        <v>46054.0</v>
      </c>
      <c r="D7441" s="6" t="s">
        <v>289</v>
      </c>
      <c r="E7441" s="6" t="s">
        <v>2881</v>
      </c>
      <c r="F7441" s="6" t="s">
        <v>283</v>
      </c>
      <c r="G7441" s="6" t="s">
        <v>458</v>
      </c>
      <c r="H7441" s="10">
        <v>46055.0</v>
      </c>
      <c r="I7441" s="12">
        <v>9.0</v>
      </c>
      <c r="J7441" s="6" t="s">
        <v>161</v>
      </c>
    </row>
    <row r="7442" ht="22.5" customHeight="1">
      <c r="A7442" s="6" t="s">
        <v>24250</v>
      </c>
      <c r="B7442" s="6" t="s">
        <v>16604</v>
      </c>
      <c r="C7442" s="10">
        <v>46067.0</v>
      </c>
      <c r="D7442" s="6" t="s">
        <v>436</v>
      </c>
      <c r="E7442" s="6" t="s">
        <v>1296</v>
      </c>
      <c r="F7442" s="6" t="s">
        <v>249</v>
      </c>
      <c r="G7442" s="6" t="s">
        <v>477</v>
      </c>
      <c r="H7442" s="10">
        <v>46074.0</v>
      </c>
      <c r="I7442" s="12">
        <v>7.0</v>
      </c>
      <c r="J7442" s="6" t="s">
        <v>178</v>
      </c>
    </row>
    <row r="7443" ht="22.5" customHeight="1">
      <c r="A7443" s="6" t="s">
        <v>24251</v>
      </c>
      <c r="B7443" s="6" t="s">
        <v>16609</v>
      </c>
      <c r="C7443" s="10">
        <v>46030.0</v>
      </c>
      <c r="D7443" s="6" t="s">
        <v>677</v>
      </c>
      <c r="E7443" s="6" t="s">
        <v>1241</v>
      </c>
      <c r="F7443" s="6" t="s">
        <v>112</v>
      </c>
      <c r="G7443" s="6" t="s">
        <v>494</v>
      </c>
      <c r="H7443" s="10">
        <v>46031.0</v>
      </c>
      <c r="I7443" s="12">
        <v>4.0</v>
      </c>
      <c r="J7443" s="6" t="s">
        <v>161</v>
      </c>
    </row>
    <row r="7444" ht="22.5" customHeight="1">
      <c r="A7444" s="6" t="s">
        <v>24252</v>
      </c>
      <c r="B7444" s="6" t="s">
        <v>16609</v>
      </c>
      <c r="C7444" s="10">
        <v>46029.0</v>
      </c>
      <c r="D7444" s="6" t="s">
        <v>242</v>
      </c>
      <c r="E7444" s="6" t="s">
        <v>1720</v>
      </c>
      <c r="F7444" s="6" t="s">
        <v>112</v>
      </c>
      <c r="G7444" s="6" t="s">
        <v>254</v>
      </c>
      <c r="H7444" s="10">
        <v>46029.0</v>
      </c>
      <c r="I7444" s="12">
        <v>4.0</v>
      </c>
      <c r="J7444" s="6" t="s">
        <v>178</v>
      </c>
    </row>
    <row r="7445" ht="22.5" customHeight="1">
      <c r="A7445" s="6" t="s">
        <v>24253</v>
      </c>
      <c r="B7445" s="6" t="s">
        <v>16616</v>
      </c>
      <c r="C7445" s="10">
        <v>46048.0</v>
      </c>
      <c r="D7445" s="6" t="s">
        <v>289</v>
      </c>
      <c r="E7445" s="6" t="s">
        <v>2365</v>
      </c>
      <c r="F7445" s="6" t="s">
        <v>249</v>
      </c>
      <c r="G7445" s="6" t="s">
        <v>297</v>
      </c>
      <c r="H7445" s="10">
        <v>46048.0</v>
      </c>
      <c r="I7445" s="12">
        <v>5.0</v>
      </c>
      <c r="J7445" s="6" t="s">
        <v>161</v>
      </c>
    </row>
    <row r="7446" ht="22.5" customHeight="1">
      <c r="A7446" s="6" t="s">
        <v>24254</v>
      </c>
      <c r="B7446" s="6" t="s">
        <v>16616</v>
      </c>
      <c r="C7446" s="10">
        <v>46047.0</v>
      </c>
      <c r="D7446" s="6" t="s">
        <v>391</v>
      </c>
      <c r="E7446" s="6" t="s">
        <v>1055</v>
      </c>
      <c r="F7446" s="6" t="s">
        <v>112</v>
      </c>
      <c r="G7446" s="6" t="s">
        <v>254</v>
      </c>
      <c r="H7446" s="10">
        <v>46053.0</v>
      </c>
      <c r="I7446" s="12">
        <v>7.0</v>
      </c>
      <c r="J7446" s="6" t="s">
        <v>161</v>
      </c>
    </row>
    <row r="7447" ht="22.5" customHeight="1">
      <c r="A7447" s="6" t="s">
        <v>24255</v>
      </c>
      <c r="B7447" s="6" t="s">
        <v>16616</v>
      </c>
      <c r="C7447" s="10">
        <v>46050.0</v>
      </c>
      <c r="D7447" s="6" t="s">
        <v>416</v>
      </c>
      <c r="E7447" s="6" t="s">
        <v>610</v>
      </c>
      <c r="F7447" s="6" t="s">
        <v>283</v>
      </c>
      <c r="G7447" s="6" t="s">
        <v>494</v>
      </c>
      <c r="H7447" s="10">
        <v>46051.0</v>
      </c>
      <c r="I7447" s="12">
        <v>14.0</v>
      </c>
      <c r="J7447" s="6" t="s">
        <v>161</v>
      </c>
    </row>
    <row r="7448" ht="22.5" customHeight="1">
      <c r="A7448" s="6" t="s">
        <v>24256</v>
      </c>
      <c r="B7448" s="6" t="s">
        <v>16616</v>
      </c>
      <c r="C7448" s="10">
        <v>46045.0</v>
      </c>
      <c r="D7448" s="6" t="s">
        <v>677</v>
      </c>
      <c r="E7448" s="6" t="s">
        <v>885</v>
      </c>
      <c r="F7448" s="6" t="s">
        <v>249</v>
      </c>
      <c r="G7448" s="6" t="s">
        <v>477</v>
      </c>
      <c r="H7448" s="10">
        <v>46048.0</v>
      </c>
      <c r="I7448" s="12">
        <v>4.0</v>
      </c>
      <c r="J7448" s="6" t="s">
        <v>161</v>
      </c>
    </row>
    <row r="7449" ht="22.5" customHeight="1">
      <c r="A7449" s="6" t="s">
        <v>24257</v>
      </c>
      <c r="B7449" s="6" t="s">
        <v>16616</v>
      </c>
      <c r="C7449" s="10">
        <v>46047.0</v>
      </c>
      <c r="D7449" s="6" t="s">
        <v>677</v>
      </c>
      <c r="E7449" s="6" t="s">
        <v>687</v>
      </c>
      <c r="F7449" s="6" t="s">
        <v>439</v>
      </c>
      <c r="G7449" s="6" t="s">
        <v>452</v>
      </c>
      <c r="H7449" s="10">
        <v>46048.0</v>
      </c>
      <c r="I7449" s="12">
        <v>3.0</v>
      </c>
      <c r="J7449" s="6" t="s">
        <v>161</v>
      </c>
    </row>
    <row r="7450" ht="22.5" customHeight="1">
      <c r="A7450" s="6" t="s">
        <v>24258</v>
      </c>
      <c r="B7450" s="6" t="s">
        <v>16622</v>
      </c>
      <c r="C7450" s="10">
        <v>46048.0</v>
      </c>
      <c r="D7450" s="6" t="s">
        <v>312</v>
      </c>
      <c r="E7450" s="6" t="s">
        <v>731</v>
      </c>
      <c r="F7450" s="6" t="s">
        <v>249</v>
      </c>
      <c r="G7450" s="6" t="s">
        <v>297</v>
      </c>
      <c r="H7450" s="10">
        <v>46049.0</v>
      </c>
      <c r="I7450" s="12">
        <v>4.0</v>
      </c>
      <c r="J7450" s="6" t="s">
        <v>161</v>
      </c>
    </row>
    <row r="7451" ht="22.5" customHeight="1">
      <c r="A7451" s="6" t="s">
        <v>24259</v>
      </c>
      <c r="B7451" s="6" t="s">
        <v>16622</v>
      </c>
      <c r="C7451" s="10">
        <v>46036.0</v>
      </c>
      <c r="D7451" s="6" t="s">
        <v>391</v>
      </c>
      <c r="E7451" s="6" t="s">
        <v>896</v>
      </c>
      <c r="F7451" s="6" t="s">
        <v>112</v>
      </c>
      <c r="G7451" s="6" t="s">
        <v>458</v>
      </c>
      <c r="H7451" s="10">
        <v>46038.0</v>
      </c>
      <c r="I7451" s="12">
        <v>7.0</v>
      </c>
      <c r="J7451" s="6" t="s">
        <v>161</v>
      </c>
    </row>
    <row r="7452" ht="22.5" customHeight="1">
      <c r="A7452" s="6" t="s">
        <v>24260</v>
      </c>
      <c r="B7452" s="6" t="s">
        <v>16622</v>
      </c>
      <c r="C7452" s="10">
        <v>46033.0</v>
      </c>
      <c r="D7452" s="6" t="s">
        <v>312</v>
      </c>
      <c r="E7452" s="6" t="s">
        <v>833</v>
      </c>
      <c r="F7452" s="6" t="s">
        <v>439</v>
      </c>
      <c r="G7452" s="6" t="s">
        <v>494</v>
      </c>
      <c r="H7452" s="11" t="s">
        <v>259</v>
      </c>
      <c r="I7452" s="12">
        <v>5.0</v>
      </c>
      <c r="J7452" s="6" t="s">
        <v>161</v>
      </c>
    </row>
    <row r="7453" ht="22.5" customHeight="1">
      <c r="A7453" s="6" t="s">
        <v>24261</v>
      </c>
      <c r="B7453" s="6" t="s">
        <v>16629</v>
      </c>
      <c r="C7453" s="10">
        <v>46064.0</v>
      </c>
      <c r="D7453" s="6" t="s">
        <v>391</v>
      </c>
      <c r="E7453" s="6" t="s">
        <v>738</v>
      </c>
      <c r="F7453" s="6" t="s">
        <v>283</v>
      </c>
      <c r="G7453" s="6" t="s">
        <v>494</v>
      </c>
      <c r="H7453" s="10">
        <v>46069.0</v>
      </c>
      <c r="I7453" s="12">
        <v>6.0</v>
      </c>
      <c r="J7453" s="6" t="s">
        <v>161</v>
      </c>
    </row>
    <row r="7454" ht="22.5" customHeight="1">
      <c r="A7454" s="6" t="s">
        <v>24262</v>
      </c>
      <c r="B7454" s="6" t="s">
        <v>16636</v>
      </c>
      <c r="C7454" s="10">
        <v>46074.0</v>
      </c>
      <c r="D7454" s="6" t="s">
        <v>289</v>
      </c>
      <c r="E7454" s="6" t="s">
        <v>670</v>
      </c>
      <c r="F7454" s="6" t="s">
        <v>112</v>
      </c>
      <c r="G7454" s="6" t="s">
        <v>458</v>
      </c>
      <c r="H7454" s="10">
        <v>46076.0</v>
      </c>
      <c r="I7454" s="12">
        <v>7.0</v>
      </c>
      <c r="J7454" s="6" t="s">
        <v>161</v>
      </c>
    </row>
    <row r="7455" ht="22.5" customHeight="1">
      <c r="A7455" s="6" t="s">
        <v>24263</v>
      </c>
      <c r="B7455" s="6" t="s">
        <v>16636</v>
      </c>
      <c r="C7455" s="10">
        <v>46076.0</v>
      </c>
      <c r="D7455" s="6" t="s">
        <v>289</v>
      </c>
      <c r="E7455" s="6" t="s">
        <v>775</v>
      </c>
      <c r="F7455" s="6" t="s">
        <v>283</v>
      </c>
      <c r="G7455" s="6" t="s">
        <v>477</v>
      </c>
      <c r="H7455" s="10">
        <v>46076.0</v>
      </c>
      <c r="I7455" s="12">
        <v>7.0</v>
      </c>
      <c r="J7455" s="6" t="s">
        <v>161</v>
      </c>
    </row>
    <row r="7456" ht="22.5" customHeight="1">
      <c r="A7456" s="6" t="s">
        <v>24264</v>
      </c>
      <c r="B7456" s="6" t="s">
        <v>16636</v>
      </c>
      <c r="C7456" s="10">
        <v>46073.0</v>
      </c>
      <c r="D7456" s="6" t="s">
        <v>289</v>
      </c>
      <c r="E7456" s="6" t="s">
        <v>394</v>
      </c>
      <c r="F7456" s="6" t="s">
        <v>439</v>
      </c>
      <c r="G7456" s="6" t="s">
        <v>254</v>
      </c>
      <c r="H7456" s="10">
        <v>46074.0</v>
      </c>
      <c r="I7456" s="12">
        <v>10.0</v>
      </c>
      <c r="J7456" s="6" t="s">
        <v>161</v>
      </c>
    </row>
    <row r="7457" ht="22.5" customHeight="1">
      <c r="A7457" s="6" t="s">
        <v>24265</v>
      </c>
      <c r="B7457" s="6" t="s">
        <v>16642</v>
      </c>
      <c r="C7457" s="10">
        <v>46053.0</v>
      </c>
      <c r="D7457" s="6" t="s">
        <v>436</v>
      </c>
      <c r="E7457" s="6" t="s">
        <v>1552</v>
      </c>
      <c r="F7457" s="6" t="s">
        <v>249</v>
      </c>
      <c r="G7457" s="6" t="s">
        <v>254</v>
      </c>
      <c r="H7457" s="10">
        <v>46056.0</v>
      </c>
      <c r="I7457" s="12">
        <v>8.0</v>
      </c>
      <c r="J7457" s="6" t="s">
        <v>178</v>
      </c>
    </row>
    <row r="7458" ht="22.5" customHeight="1">
      <c r="A7458" s="6" t="s">
        <v>24266</v>
      </c>
      <c r="B7458" s="6" t="s">
        <v>16642</v>
      </c>
      <c r="C7458" s="10">
        <v>46038.0</v>
      </c>
      <c r="D7458" s="6" t="s">
        <v>416</v>
      </c>
      <c r="E7458" s="6" t="s">
        <v>1310</v>
      </c>
      <c r="F7458" s="6" t="s">
        <v>439</v>
      </c>
      <c r="G7458" s="6" t="s">
        <v>494</v>
      </c>
      <c r="H7458" s="11" t="s">
        <v>259</v>
      </c>
      <c r="I7458" s="12">
        <v>11.0</v>
      </c>
      <c r="J7458" s="6" t="s">
        <v>161</v>
      </c>
    </row>
    <row r="7459" ht="22.5" customHeight="1">
      <c r="A7459" s="6" t="s">
        <v>24267</v>
      </c>
      <c r="B7459" s="6" t="s">
        <v>16642</v>
      </c>
      <c r="C7459" s="10">
        <v>46035.0</v>
      </c>
      <c r="D7459" s="6" t="s">
        <v>416</v>
      </c>
      <c r="E7459" s="6" t="s">
        <v>1310</v>
      </c>
      <c r="F7459" s="6" t="s">
        <v>112</v>
      </c>
      <c r="G7459" s="6" t="s">
        <v>326</v>
      </c>
      <c r="H7459" s="10">
        <v>46039.0</v>
      </c>
      <c r="I7459" s="12">
        <v>10.0</v>
      </c>
      <c r="J7459" s="6" t="s">
        <v>161</v>
      </c>
    </row>
    <row r="7460" ht="22.5" customHeight="1">
      <c r="A7460" s="6" t="s">
        <v>24268</v>
      </c>
      <c r="B7460" s="6" t="s">
        <v>16642</v>
      </c>
      <c r="C7460" s="10">
        <v>46043.0</v>
      </c>
      <c r="D7460" s="6" t="s">
        <v>677</v>
      </c>
      <c r="E7460" s="6" t="s">
        <v>1386</v>
      </c>
      <c r="F7460" s="6" t="s">
        <v>112</v>
      </c>
      <c r="G7460" s="6" t="s">
        <v>297</v>
      </c>
      <c r="H7460" s="10">
        <v>46050.0</v>
      </c>
      <c r="I7460" s="12">
        <v>3.0</v>
      </c>
      <c r="J7460" s="6" t="s">
        <v>161</v>
      </c>
    </row>
    <row r="7461" ht="22.5" customHeight="1">
      <c r="A7461" s="6" t="s">
        <v>24269</v>
      </c>
      <c r="B7461" s="6" t="s">
        <v>16642</v>
      </c>
      <c r="C7461" s="10">
        <v>46049.0</v>
      </c>
      <c r="D7461" s="6" t="s">
        <v>289</v>
      </c>
      <c r="E7461" s="6" t="s">
        <v>1546</v>
      </c>
      <c r="F7461" s="6" t="s">
        <v>112</v>
      </c>
      <c r="G7461" s="6" t="s">
        <v>297</v>
      </c>
      <c r="H7461" s="10">
        <v>46054.0</v>
      </c>
      <c r="I7461" s="12">
        <v>9.0</v>
      </c>
      <c r="J7461" s="6" t="s">
        <v>161</v>
      </c>
    </row>
    <row r="7462" ht="22.5" customHeight="1">
      <c r="A7462" s="6" t="s">
        <v>24270</v>
      </c>
      <c r="B7462" s="6" t="s">
        <v>16649</v>
      </c>
      <c r="C7462" s="10">
        <v>46075.0</v>
      </c>
      <c r="D7462" s="6" t="s">
        <v>391</v>
      </c>
      <c r="E7462" s="6" t="s">
        <v>738</v>
      </c>
      <c r="F7462" s="6" t="s">
        <v>112</v>
      </c>
      <c r="G7462" s="6" t="s">
        <v>477</v>
      </c>
      <c r="H7462" s="10">
        <v>46075.0</v>
      </c>
      <c r="I7462" s="12">
        <v>9.0</v>
      </c>
      <c r="J7462" s="6" t="s">
        <v>161</v>
      </c>
    </row>
    <row r="7463" ht="22.5" customHeight="1">
      <c r="A7463" s="6" t="s">
        <v>24271</v>
      </c>
      <c r="B7463" s="6" t="s">
        <v>16649</v>
      </c>
      <c r="C7463" s="10">
        <v>46079.0</v>
      </c>
      <c r="D7463" s="6" t="s">
        <v>312</v>
      </c>
      <c r="E7463" s="6" t="s">
        <v>738</v>
      </c>
      <c r="F7463" s="6" t="s">
        <v>249</v>
      </c>
      <c r="G7463" s="6" t="s">
        <v>326</v>
      </c>
      <c r="H7463" s="10">
        <v>46080.0</v>
      </c>
      <c r="I7463" s="12">
        <v>6.0</v>
      </c>
      <c r="J7463" s="6" t="s">
        <v>161</v>
      </c>
    </row>
    <row r="7464" ht="22.5" customHeight="1">
      <c r="A7464" s="6" t="s">
        <v>24272</v>
      </c>
      <c r="B7464" s="6" t="s">
        <v>16649</v>
      </c>
      <c r="C7464" s="10">
        <v>46069.0</v>
      </c>
      <c r="D7464" s="6" t="s">
        <v>416</v>
      </c>
      <c r="E7464" s="6" t="s">
        <v>475</v>
      </c>
      <c r="F7464" s="6" t="s">
        <v>249</v>
      </c>
      <c r="G7464" s="6" t="s">
        <v>452</v>
      </c>
      <c r="H7464" s="10">
        <v>46070.0</v>
      </c>
      <c r="I7464" s="12">
        <v>14.0</v>
      </c>
      <c r="J7464" s="6" t="s">
        <v>161</v>
      </c>
    </row>
    <row r="7465" ht="22.5" customHeight="1">
      <c r="A7465" s="6" t="s">
        <v>24273</v>
      </c>
      <c r="B7465" s="6" t="s">
        <v>16649</v>
      </c>
      <c r="C7465" s="10">
        <v>46072.0</v>
      </c>
      <c r="D7465" s="6" t="s">
        <v>391</v>
      </c>
      <c r="E7465" s="6" t="s">
        <v>1386</v>
      </c>
      <c r="F7465" s="6" t="s">
        <v>112</v>
      </c>
      <c r="G7465" s="6" t="s">
        <v>458</v>
      </c>
      <c r="H7465" s="10">
        <v>46073.0</v>
      </c>
      <c r="I7465" s="12">
        <v>7.0</v>
      </c>
      <c r="J7465" s="6" t="s">
        <v>161</v>
      </c>
    </row>
    <row r="7466" ht="22.5" customHeight="1">
      <c r="A7466" s="6" t="s">
        <v>24274</v>
      </c>
      <c r="B7466" s="6" t="s">
        <v>16655</v>
      </c>
      <c r="C7466" s="10">
        <v>46026.0</v>
      </c>
      <c r="D7466" s="6" t="s">
        <v>391</v>
      </c>
      <c r="E7466" s="6" t="s">
        <v>394</v>
      </c>
      <c r="F7466" s="6" t="s">
        <v>283</v>
      </c>
      <c r="G7466" s="6" t="s">
        <v>477</v>
      </c>
      <c r="H7466" s="10">
        <v>46026.0</v>
      </c>
      <c r="I7466" s="12">
        <v>7.0</v>
      </c>
      <c r="J7466" s="6" t="s">
        <v>161</v>
      </c>
    </row>
    <row r="7467" ht="22.5" customHeight="1">
      <c r="A7467" s="6" t="s">
        <v>24275</v>
      </c>
      <c r="B7467" s="6" t="s">
        <v>16655</v>
      </c>
      <c r="C7467" s="10">
        <v>46026.0</v>
      </c>
      <c r="D7467" s="6" t="s">
        <v>677</v>
      </c>
      <c r="E7467" s="6" t="s">
        <v>1310</v>
      </c>
      <c r="F7467" s="6" t="s">
        <v>249</v>
      </c>
      <c r="G7467" s="6" t="s">
        <v>477</v>
      </c>
      <c r="H7467" s="10">
        <v>46032.0</v>
      </c>
      <c r="I7467" s="12">
        <v>3.0</v>
      </c>
      <c r="J7467" s="6" t="s">
        <v>161</v>
      </c>
    </row>
    <row r="7468" ht="22.5" customHeight="1">
      <c r="A7468" s="6" t="s">
        <v>24276</v>
      </c>
      <c r="B7468" s="6" t="s">
        <v>16655</v>
      </c>
      <c r="C7468" s="10">
        <v>46038.0</v>
      </c>
      <c r="D7468" s="6" t="s">
        <v>312</v>
      </c>
      <c r="E7468" s="6" t="s">
        <v>896</v>
      </c>
      <c r="F7468" s="6" t="s">
        <v>283</v>
      </c>
      <c r="G7468" s="6" t="s">
        <v>326</v>
      </c>
      <c r="H7468" s="10">
        <v>46042.0</v>
      </c>
      <c r="I7468" s="12">
        <v>6.0</v>
      </c>
      <c r="J7468" s="6" t="s">
        <v>161</v>
      </c>
    </row>
    <row r="7469" ht="22.5" customHeight="1">
      <c r="A7469" s="6" t="s">
        <v>24277</v>
      </c>
      <c r="B7469" s="6" t="s">
        <v>16655</v>
      </c>
      <c r="C7469" s="10">
        <v>46044.0</v>
      </c>
      <c r="D7469" s="6" t="s">
        <v>289</v>
      </c>
      <c r="E7469" s="6" t="s">
        <v>731</v>
      </c>
      <c r="F7469" s="6" t="s">
        <v>283</v>
      </c>
      <c r="G7469" s="6" t="s">
        <v>369</v>
      </c>
      <c r="H7469" s="10">
        <v>46051.0</v>
      </c>
      <c r="I7469" s="12">
        <v>10.0</v>
      </c>
      <c r="J7469" s="6" t="s">
        <v>161</v>
      </c>
    </row>
    <row r="7470" ht="22.5" customHeight="1">
      <c r="A7470" s="6" t="s">
        <v>24278</v>
      </c>
      <c r="B7470" s="6" t="s">
        <v>16655</v>
      </c>
      <c r="C7470" s="10">
        <v>46030.0</v>
      </c>
      <c r="D7470" s="6" t="s">
        <v>312</v>
      </c>
      <c r="E7470" s="6" t="s">
        <v>1720</v>
      </c>
      <c r="F7470" s="6" t="s">
        <v>249</v>
      </c>
      <c r="G7470" s="6" t="s">
        <v>452</v>
      </c>
      <c r="H7470" s="10">
        <v>46033.0</v>
      </c>
      <c r="I7470" s="12">
        <v>7.0</v>
      </c>
      <c r="J7470" s="6" t="s">
        <v>161</v>
      </c>
    </row>
    <row r="7471" ht="22.5" customHeight="1">
      <c r="A7471" s="6" t="s">
        <v>24279</v>
      </c>
      <c r="B7471" s="6" t="s">
        <v>16662</v>
      </c>
      <c r="C7471" s="10">
        <v>46050.0</v>
      </c>
      <c r="D7471" s="6" t="s">
        <v>677</v>
      </c>
      <c r="E7471" s="6" t="s">
        <v>438</v>
      </c>
      <c r="F7471" s="6" t="s">
        <v>439</v>
      </c>
      <c r="G7471" s="6" t="s">
        <v>452</v>
      </c>
      <c r="H7471" s="10">
        <v>46051.0</v>
      </c>
      <c r="I7471" s="12">
        <v>2.0</v>
      </c>
      <c r="J7471" s="6" t="s">
        <v>161</v>
      </c>
    </row>
    <row r="7472" ht="22.5" customHeight="1">
      <c r="A7472" s="6" t="s">
        <v>24280</v>
      </c>
      <c r="B7472" s="6" t="s">
        <v>16662</v>
      </c>
      <c r="C7472" s="10">
        <v>46057.0</v>
      </c>
      <c r="D7472" s="6" t="s">
        <v>416</v>
      </c>
      <c r="E7472" s="6" t="s">
        <v>1273</v>
      </c>
      <c r="F7472" s="6" t="s">
        <v>112</v>
      </c>
      <c r="G7472" s="6" t="s">
        <v>494</v>
      </c>
      <c r="H7472" s="11" t="s">
        <v>259</v>
      </c>
      <c r="I7472" s="12">
        <v>13.0</v>
      </c>
      <c r="J7472" s="6" t="s">
        <v>161</v>
      </c>
    </row>
    <row r="7473" ht="22.5" customHeight="1">
      <c r="A7473" s="6" t="s">
        <v>24281</v>
      </c>
      <c r="B7473" s="6" t="s">
        <v>16662</v>
      </c>
      <c r="C7473" s="10">
        <v>46057.0</v>
      </c>
      <c r="D7473" s="6" t="s">
        <v>436</v>
      </c>
      <c r="E7473" s="6" t="s">
        <v>670</v>
      </c>
      <c r="F7473" s="6" t="s">
        <v>112</v>
      </c>
      <c r="G7473" s="6" t="s">
        <v>452</v>
      </c>
      <c r="H7473" s="10">
        <v>46057.0</v>
      </c>
      <c r="I7473" s="12">
        <v>10.0</v>
      </c>
      <c r="J7473" s="6" t="s">
        <v>178</v>
      </c>
    </row>
    <row r="7474" ht="22.5" customHeight="1">
      <c r="A7474" s="6" t="s">
        <v>24282</v>
      </c>
      <c r="B7474" s="6" t="s">
        <v>16668</v>
      </c>
      <c r="C7474" s="10">
        <v>46044.0</v>
      </c>
      <c r="D7474" s="6" t="s">
        <v>391</v>
      </c>
      <c r="E7474" s="6" t="s">
        <v>475</v>
      </c>
      <c r="F7474" s="6" t="s">
        <v>112</v>
      </c>
      <c r="G7474" s="6" t="s">
        <v>452</v>
      </c>
      <c r="H7474" s="10">
        <v>46045.0</v>
      </c>
      <c r="I7474" s="12">
        <v>9.0</v>
      </c>
      <c r="J7474" s="6" t="s">
        <v>161</v>
      </c>
    </row>
    <row r="7475" ht="22.5" customHeight="1">
      <c r="A7475" s="6" t="s">
        <v>24283</v>
      </c>
      <c r="B7475" s="6" t="s">
        <v>16674</v>
      </c>
      <c r="C7475" s="10">
        <v>46078.0</v>
      </c>
      <c r="D7475" s="6" t="s">
        <v>289</v>
      </c>
      <c r="E7475" s="6" t="s">
        <v>1070</v>
      </c>
      <c r="F7475" s="6" t="s">
        <v>283</v>
      </c>
      <c r="G7475" s="6" t="s">
        <v>326</v>
      </c>
      <c r="H7475" s="10">
        <v>46082.0</v>
      </c>
      <c r="I7475" s="12">
        <v>10.0</v>
      </c>
      <c r="J7475" s="6" t="s">
        <v>161</v>
      </c>
    </row>
    <row r="7476" ht="22.5" customHeight="1">
      <c r="A7476" s="6" t="s">
        <v>24284</v>
      </c>
      <c r="B7476" s="6" t="s">
        <v>16674</v>
      </c>
      <c r="C7476" s="10">
        <v>46083.0</v>
      </c>
      <c r="D7476" s="6" t="s">
        <v>436</v>
      </c>
      <c r="E7476" s="6" t="s">
        <v>896</v>
      </c>
      <c r="F7476" s="6" t="s">
        <v>112</v>
      </c>
      <c r="G7476" s="6" t="s">
        <v>494</v>
      </c>
      <c r="H7476" s="10">
        <v>46089.0</v>
      </c>
      <c r="I7476" s="12">
        <v>8.0</v>
      </c>
      <c r="J7476" s="6" t="s">
        <v>161</v>
      </c>
    </row>
    <row r="7477" ht="22.5" customHeight="1">
      <c r="A7477" s="6" t="s">
        <v>24285</v>
      </c>
      <c r="B7477" s="6" t="s">
        <v>16674</v>
      </c>
      <c r="C7477" s="10">
        <v>46075.0</v>
      </c>
      <c r="D7477" s="6" t="s">
        <v>436</v>
      </c>
      <c r="E7477" s="6" t="s">
        <v>365</v>
      </c>
      <c r="F7477" s="6" t="s">
        <v>439</v>
      </c>
      <c r="G7477" s="6" t="s">
        <v>297</v>
      </c>
      <c r="H7477" s="11" t="s">
        <v>259</v>
      </c>
      <c r="I7477" s="12">
        <v>8.0</v>
      </c>
      <c r="J7477" s="6" t="s">
        <v>178</v>
      </c>
    </row>
    <row r="7478" ht="22.5" customHeight="1">
      <c r="A7478" s="6" t="s">
        <v>24286</v>
      </c>
      <c r="B7478" s="6" t="s">
        <v>16674</v>
      </c>
      <c r="C7478" s="10">
        <v>46066.0</v>
      </c>
      <c r="D7478" s="6" t="s">
        <v>391</v>
      </c>
      <c r="E7478" s="6" t="s">
        <v>1296</v>
      </c>
      <c r="F7478" s="6" t="s">
        <v>439</v>
      </c>
      <c r="G7478" s="6" t="s">
        <v>458</v>
      </c>
      <c r="H7478" s="10">
        <v>46069.0</v>
      </c>
      <c r="I7478" s="12">
        <v>7.0</v>
      </c>
      <c r="J7478" s="6" t="s">
        <v>161</v>
      </c>
    </row>
    <row r="7479" ht="22.5" customHeight="1">
      <c r="A7479" s="6" t="s">
        <v>24287</v>
      </c>
      <c r="B7479" s="6" t="s">
        <v>16674</v>
      </c>
      <c r="C7479" s="10">
        <v>46064.0</v>
      </c>
      <c r="D7479" s="6" t="s">
        <v>242</v>
      </c>
      <c r="E7479" s="6" t="s">
        <v>695</v>
      </c>
      <c r="F7479" s="6" t="s">
        <v>112</v>
      </c>
      <c r="G7479" s="6" t="s">
        <v>494</v>
      </c>
      <c r="H7479" s="10">
        <v>46065.0</v>
      </c>
      <c r="I7479" s="12">
        <v>5.0</v>
      </c>
      <c r="J7479" s="6" t="s">
        <v>178</v>
      </c>
    </row>
    <row r="7480" ht="22.5" customHeight="1">
      <c r="A7480" s="6" t="s">
        <v>24288</v>
      </c>
      <c r="B7480" s="6" t="s">
        <v>16680</v>
      </c>
      <c r="C7480" s="10">
        <v>46074.0</v>
      </c>
      <c r="D7480" s="6" t="s">
        <v>289</v>
      </c>
      <c r="E7480" s="6" t="s">
        <v>417</v>
      </c>
      <c r="F7480" s="6" t="s">
        <v>112</v>
      </c>
      <c r="G7480" s="6" t="s">
        <v>477</v>
      </c>
      <c r="H7480" s="10">
        <v>46081.0</v>
      </c>
      <c r="I7480" s="12">
        <v>5.0</v>
      </c>
      <c r="J7480" s="6" t="s">
        <v>161</v>
      </c>
    </row>
    <row r="7481" ht="22.5" customHeight="1">
      <c r="A7481" s="6" t="s">
        <v>24289</v>
      </c>
      <c r="B7481" s="6" t="s">
        <v>16687</v>
      </c>
      <c r="C7481" s="10">
        <v>46071.0</v>
      </c>
      <c r="D7481" s="6" t="s">
        <v>312</v>
      </c>
      <c r="E7481" s="6" t="s">
        <v>1296</v>
      </c>
      <c r="F7481" s="6" t="s">
        <v>249</v>
      </c>
      <c r="G7481" s="6" t="s">
        <v>326</v>
      </c>
      <c r="H7481" s="11" t="s">
        <v>259</v>
      </c>
      <c r="I7481" s="12">
        <v>6.0</v>
      </c>
      <c r="J7481" s="6" t="s">
        <v>161</v>
      </c>
    </row>
    <row r="7482" ht="22.5" customHeight="1">
      <c r="A7482" s="6" t="s">
        <v>24290</v>
      </c>
      <c r="B7482" s="6" t="s">
        <v>16693</v>
      </c>
      <c r="C7482" s="10">
        <v>46059.0</v>
      </c>
      <c r="D7482" s="6" t="s">
        <v>242</v>
      </c>
      <c r="E7482" s="6" t="s">
        <v>863</v>
      </c>
      <c r="F7482" s="6" t="s">
        <v>249</v>
      </c>
      <c r="G7482" s="6" t="s">
        <v>326</v>
      </c>
      <c r="H7482" s="10">
        <v>46059.0</v>
      </c>
      <c r="I7482" s="12">
        <v>3.0</v>
      </c>
      <c r="J7482" s="6" t="s">
        <v>178</v>
      </c>
    </row>
    <row r="7483" ht="22.5" customHeight="1">
      <c r="A7483" s="6" t="s">
        <v>24291</v>
      </c>
      <c r="B7483" s="6" t="s">
        <v>16693</v>
      </c>
      <c r="C7483" s="10">
        <v>46046.0</v>
      </c>
      <c r="D7483" s="6" t="s">
        <v>436</v>
      </c>
      <c r="E7483" s="6" t="s">
        <v>1626</v>
      </c>
      <c r="F7483" s="6" t="s">
        <v>439</v>
      </c>
      <c r="G7483" s="6" t="s">
        <v>326</v>
      </c>
      <c r="H7483" s="10">
        <v>46047.0</v>
      </c>
      <c r="I7483" s="12">
        <v>8.0</v>
      </c>
      <c r="J7483" s="6" t="s">
        <v>178</v>
      </c>
    </row>
    <row r="7484" ht="22.5" customHeight="1">
      <c r="A7484" s="6" t="s">
        <v>24292</v>
      </c>
      <c r="B7484" s="6" t="s">
        <v>16699</v>
      </c>
      <c r="C7484" s="10">
        <v>46025.0</v>
      </c>
      <c r="D7484" s="6" t="s">
        <v>416</v>
      </c>
      <c r="E7484" s="6" t="s">
        <v>2881</v>
      </c>
      <c r="F7484" s="6" t="s">
        <v>283</v>
      </c>
      <c r="G7484" s="6" t="s">
        <v>369</v>
      </c>
      <c r="H7484" s="10">
        <v>46027.0</v>
      </c>
      <c r="I7484" s="12">
        <v>12.0</v>
      </c>
      <c r="J7484" s="6" t="s">
        <v>161</v>
      </c>
    </row>
    <row r="7485" ht="22.5" customHeight="1">
      <c r="A7485" s="6" t="s">
        <v>24293</v>
      </c>
      <c r="B7485" s="6" t="s">
        <v>16699</v>
      </c>
      <c r="C7485" s="10">
        <v>46032.0</v>
      </c>
      <c r="D7485" s="6" t="s">
        <v>436</v>
      </c>
      <c r="E7485" s="6" t="s">
        <v>787</v>
      </c>
      <c r="F7485" s="6" t="s">
        <v>283</v>
      </c>
      <c r="G7485" s="6" t="s">
        <v>458</v>
      </c>
      <c r="H7485" s="11" t="s">
        <v>259</v>
      </c>
      <c r="I7485" s="12">
        <v>11.0</v>
      </c>
      <c r="J7485" s="6" t="s">
        <v>178</v>
      </c>
    </row>
    <row r="7486" ht="22.5" customHeight="1">
      <c r="A7486" s="6" t="s">
        <v>24294</v>
      </c>
      <c r="B7486" s="6" t="s">
        <v>16699</v>
      </c>
      <c r="C7486" s="10">
        <v>46033.0</v>
      </c>
      <c r="D7486" s="6" t="s">
        <v>312</v>
      </c>
      <c r="E7486" s="6" t="s">
        <v>738</v>
      </c>
      <c r="F7486" s="6" t="s">
        <v>249</v>
      </c>
      <c r="G7486" s="6" t="s">
        <v>477</v>
      </c>
      <c r="H7486" s="10">
        <v>46040.0</v>
      </c>
      <c r="I7486" s="12">
        <v>6.0</v>
      </c>
      <c r="J7486" s="6" t="s">
        <v>161</v>
      </c>
    </row>
    <row r="7487" ht="22.5" customHeight="1">
      <c r="A7487" s="6" t="s">
        <v>24295</v>
      </c>
      <c r="B7487" s="6" t="s">
        <v>16699</v>
      </c>
      <c r="C7487" s="10">
        <v>46029.0</v>
      </c>
      <c r="D7487" s="6" t="s">
        <v>289</v>
      </c>
      <c r="E7487" s="6" t="s">
        <v>863</v>
      </c>
      <c r="F7487" s="6" t="s">
        <v>283</v>
      </c>
      <c r="G7487" s="6" t="s">
        <v>477</v>
      </c>
      <c r="H7487" s="11" t="s">
        <v>259</v>
      </c>
      <c r="I7487" s="12">
        <v>9.0</v>
      </c>
      <c r="J7487" s="6" t="s">
        <v>161</v>
      </c>
    </row>
    <row r="7488" ht="22.5" customHeight="1">
      <c r="A7488" s="6" t="s">
        <v>24296</v>
      </c>
      <c r="B7488" s="6" t="s">
        <v>16706</v>
      </c>
      <c r="C7488" s="10">
        <v>46035.0</v>
      </c>
      <c r="D7488" s="6" t="s">
        <v>677</v>
      </c>
      <c r="E7488" s="6" t="s">
        <v>1280</v>
      </c>
      <c r="F7488" s="6" t="s">
        <v>112</v>
      </c>
      <c r="G7488" s="6" t="s">
        <v>477</v>
      </c>
      <c r="H7488" s="10">
        <v>46037.0</v>
      </c>
      <c r="I7488" s="12">
        <v>4.0</v>
      </c>
      <c r="J7488" s="6" t="s">
        <v>161</v>
      </c>
    </row>
    <row r="7489" ht="22.5" customHeight="1">
      <c r="A7489" s="6" t="s">
        <v>24297</v>
      </c>
      <c r="B7489" s="6" t="s">
        <v>16706</v>
      </c>
      <c r="C7489" s="10">
        <v>46041.0</v>
      </c>
      <c r="D7489" s="6" t="s">
        <v>312</v>
      </c>
      <c r="E7489" s="6" t="s">
        <v>566</v>
      </c>
      <c r="F7489" s="6" t="s">
        <v>112</v>
      </c>
      <c r="G7489" s="6" t="s">
        <v>494</v>
      </c>
      <c r="H7489" s="10">
        <v>46043.0</v>
      </c>
      <c r="I7489" s="12">
        <v>6.0</v>
      </c>
      <c r="J7489" s="6" t="s">
        <v>161</v>
      </c>
    </row>
    <row r="7490" ht="22.5" customHeight="1">
      <c r="A7490" s="6" t="s">
        <v>24298</v>
      </c>
      <c r="B7490" s="6" t="s">
        <v>16706</v>
      </c>
      <c r="C7490" s="10">
        <v>46044.0</v>
      </c>
      <c r="D7490" s="6" t="s">
        <v>391</v>
      </c>
      <c r="E7490" s="6" t="s">
        <v>1386</v>
      </c>
      <c r="F7490" s="6" t="s">
        <v>249</v>
      </c>
      <c r="G7490" s="6" t="s">
        <v>458</v>
      </c>
      <c r="H7490" s="10">
        <v>46048.0</v>
      </c>
      <c r="I7490" s="12">
        <v>7.0</v>
      </c>
      <c r="J7490" s="6" t="s">
        <v>161</v>
      </c>
    </row>
    <row r="7491" ht="22.5" customHeight="1">
      <c r="A7491" s="6" t="s">
        <v>24299</v>
      </c>
      <c r="B7491" s="6" t="s">
        <v>16706</v>
      </c>
      <c r="C7491" s="10">
        <v>46041.0</v>
      </c>
      <c r="D7491" s="6" t="s">
        <v>391</v>
      </c>
      <c r="E7491" s="6" t="s">
        <v>610</v>
      </c>
      <c r="F7491" s="6" t="s">
        <v>249</v>
      </c>
      <c r="G7491" s="6" t="s">
        <v>254</v>
      </c>
      <c r="H7491" s="11" t="s">
        <v>259</v>
      </c>
      <c r="I7491" s="12">
        <v>11.0</v>
      </c>
      <c r="J7491" s="6" t="s">
        <v>161</v>
      </c>
    </row>
    <row r="7492" ht="22.5" customHeight="1">
      <c r="A7492" s="6" t="s">
        <v>24300</v>
      </c>
      <c r="B7492" s="6" t="s">
        <v>16712</v>
      </c>
      <c r="C7492" s="10">
        <v>46045.0</v>
      </c>
      <c r="D7492" s="6" t="s">
        <v>391</v>
      </c>
      <c r="E7492" s="6" t="s">
        <v>583</v>
      </c>
      <c r="F7492" s="6" t="s">
        <v>112</v>
      </c>
      <c r="G7492" s="6" t="s">
        <v>297</v>
      </c>
      <c r="H7492" s="10">
        <v>46045.0</v>
      </c>
      <c r="I7492" s="12">
        <v>6.0</v>
      </c>
      <c r="J7492" s="6" t="s">
        <v>161</v>
      </c>
    </row>
    <row r="7493" ht="22.5" customHeight="1">
      <c r="A7493" s="6" t="s">
        <v>24301</v>
      </c>
      <c r="B7493" s="6" t="s">
        <v>16712</v>
      </c>
      <c r="C7493" s="10">
        <v>46036.0</v>
      </c>
      <c r="D7493" s="6" t="s">
        <v>289</v>
      </c>
      <c r="E7493" s="6" t="s">
        <v>775</v>
      </c>
      <c r="F7493" s="6" t="s">
        <v>112</v>
      </c>
      <c r="G7493" s="6" t="s">
        <v>477</v>
      </c>
      <c r="H7493" s="11" t="s">
        <v>259</v>
      </c>
      <c r="I7493" s="12">
        <v>5.0</v>
      </c>
      <c r="J7493" s="6" t="s">
        <v>161</v>
      </c>
    </row>
    <row r="7494" ht="22.5" customHeight="1">
      <c r="A7494" s="6" t="s">
        <v>24302</v>
      </c>
      <c r="B7494" s="6" t="s">
        <v>16718</v>
      </c>
      <c r="C7494" s="10">
        <v>46075.0</v>
      </c>
      <c r="D7494" s="6" t="s">
        <v>677</v>
      </c>
      <c r="E7494" s="6" t="s">
        <v>618</v>
      </c>
      <c r="F7494" s="6" t="s">
        <v>439</v>
      </c>
      <c r="G7494" s="6" t="s">
        <v>297</v>
      </c>
      <c r="H7494" s="10">
        <v>46080.0</v>
      </c>
      <c r="I7494" s="12">
        <v>4.0</v>
      </c>
      <c r="J7494" s="6" t="s">
        <v>161</v>
      </c>
    </row>
    <row r="7495" ht="22.5" customHeight="1">
      <c r="A7495" s="6" t="s">
        <v>24303</v>
      </c>
      <c r="B7495" s="6" t="s">
        <v>16718</v>
      </c>
      <c r="C7495" s="10">
        <v>46068.0</v>
      </c>
      <c r="D7495" s="6" t="s">
        <v>312</v>
      </c>
      <c r="E7495" s="6" t="s">
        <v>695</v>
      </c>
      <c r="F7495" s="6" t="s">
        <v>249</v>
      </c>
      <c r="G7495" s="6" t="s">
        <v>254</v>
      </c>
      <c r="H7495" s="10">
        <v>46073.0</v>
      </c>
      <c r="I7495" s="12">
        <v>7.0</v>
      </c>
      <c r="J7495" s="6" t="s">
        <v>161</v>
      </c>
    </row>
    <row r="7496" ht="22.5" customHeight="1">
      <c r="A7496" s="6" t="s">
        <v>24304</v>
      </c>
      <c r="B7496" s="6" t="s">
        <v>16725</v>
      </c>
      <c r="C7496" s="10">
        <v>46060.0</v>
      </c>
      <c r="D7496" s="6" t="s">
        <v>436</v>
      </c>
      <c r="E7496" s="6" t="s">
        <v>798</v>
      </c>
      <c r="F7496" s="6" t="s">
        <v>283</v>
      </c>
      <c r="G7496" s="6" t="s">
        <v>458</v>
      </c>
      <c r="H7496" s="10">
        <v>46065.0</v>
      </c>
      <c r="I7496" s="12">
        <v>6.0</v>
      </c>
      <c r="J7496" s="6" t="s">
        <v>178</v>
      </c>
    </row>
    <row r="7497" ht="22.5" customHeight="1">
      <c r="A7497" s="6" t="s">
        <v>24305</v>
      </c>
      <c r="B7497" s="6" t="s">
        <v>16725</v>
      </c>
      <c r="C7497" s="10">
        <v>46043.0</v>
      </c>
      <c r="D7497" s="6" t="s">
        <v>242</v>
      </c>
      <c r="E7497" s="6" t="s">
        <v>246</v>
      </c>
      <c r="F7497" s="6" t="s">
        <v>249</v>
      </c>
      <c r="G7497" s="6" t="s">
        <v>297</v>
      </c>
      <c r="H7497" s="11" t="s">
        <v>259</v>
      </c>
      <c r="I7497" s="12">
        <v>6.0</v>
      </c>
      <c r="J7497" s="6" t="s">
        <v>178</v>
      </c>
    </row>
    <row r="7498" ht="22.5" customHeight="1">
      <c r="A7498" s="6" t="s">
        <v>24306</v>
      </c>
      <c r="B7498" s="6" t="s">
        <v>16725</v>
      </c>
      <c r="C7498" s="10">
        <v>46061.0</v>
      </c>
      <c r="D7498" s="6" t="s">
        <v>416</v>
      </c>
      <c r="E7498" s="6" t="s">
        <v>1102</v>
      </c>
      <c r="F7498" s="6" t="s">
        <v>112</v>
      </c>
      <c r="G7498" s="6" t="s">
        <v>458</v>
      </c>
      <c r="H7498" s="10">
        <v>46061.0</v>
      </c>
      <c r="I7498" s="12">
        <v>12.0</v>
      </c>
      <c r="J7498" s="6" t="s">
        <v>161</v>
      </c>
    </row>
    <row r="7499" ht="22.5" customHeight="1">
      <c r="A7499" s="6" t="s">
        <v>24307</v>
      </c>
      <c r="B7499" s="6" t="s">
        <v>16725</v>
      </c>
      <c r="C7499" s="10">
        <v>46061.0</v>
      </c>
      <c r="D7499" s="6" t="s">
        <v>289</v>
      </c>
      <c r="E7499" s="6" t="s">
        <v>320</v>
      </c>
      <c r="F7499" s="6" t="s">
        <v>249</v>
      </c>
      <c r="G7499" s="6" t="s">
        <v>452</v>
      </c>
      <c r="H7499" s="10">
        <v>46067.0</v>
      </c>
      <c r="I7499" s="12">
        <v>6.0</v>
      </c>
      <c r="J7499" s="6" t="s">
        <v>161</v>
      </c>
    </row>
    <row r="7500" ht="22.5" customHeight="1">
      <c r="A7500" s="6" t="s">
        <v>24308</v>
      </c>
      <c r="B7500" s="6" t="s">
        <v>16725</v>
      </c>
      <c r="C7500" s="10">
        <v>46048.0</v>
      </c>
      <c r="D7500" s="6" t="s">
        <v>289</v>
      </c>
      <c r="E7500" s="6" t="s">
        <v>687</v>
      </c>
      <c r="F7500" s="6" t="s">
        <v>249</v>
      </c>
      <c r="G7500" s="6" t="s">
        <v>326</v>
      </c>
      <c r="H7500" s="10">
        <v>46055.0</v>
      </c>
      <c r="I7500" s="12">
        <v>9.0</v>
      </c>
      <c r="J7500" s="6" t="s">
        <v>161</v>
      </c>
    </row>
    <row r="7501" ht="22.5" customHeight="1">
      <c r="A7501" s="6" t="s">
        <v>24309</v>
      </c>
      <c r="B7501" s="6" t="s">
        <v>16732</v>
      </c>
      <c r="C7501" s="10">
        <v>46052.0</v>
      </c>
      <c r="D7501" s="6" t="s">
        <v>242</v>
      </c>
      <c r="E7501" s="6" t="s">
        <v>365</v>
      </c>
      <c r="F7501" s="6" t="s">
        <v>249</v>
      </c>
      <c r="G7501" s="6" t="s">
        <v>477</v>
      </c>
      <c r="H7501" s="10">
        <v>46057.0</v>
      </c>
      <c r="I7501" s="12">
        <v>4.0</v>
      </c>
      <c r="J7501" s="6" t="s">
        <v>161</v>
      </c>
    </row>
    <row r="7502" ht="22.5" customHeight="1">
      <c r="A7502" s="6" t="s">
        <v>24310</v>
      </c>
      <c r="B7502" s="6" t="s">
        <v>16738</v>
      </c>
      <c r="C7502" s="10">
        <v>46061.0</v>
      </c>
      <c r="D7502" s="6" t="s">
        <v>289</v>
      </c>
      <c r="E7502" s="6" t="s">
        <v>1969</v>
      </c>
      <c r="F7502" s="6" t="s">
        <v>439</v>
      </c>
      <c r="G7502" s="6" t="s">
        <v>326</v>
      </c>
      <c r="H7502" s="10">
        <v>46062.0</v>
      </c>
      <c r="I7502" s="12">
        <v>8.0</v>
      </c>
      <c r="J7502" s="6" t="s">
        <v>161</v>
      </c>
    </row>
    <row r="7503" ht="22.5" customHeight="1">
      <c r="A7503" s="6" t="s">
        <v>24311</v>
      </c>
      <c r="B7503" s="6" t="s">
        <v>16738</v>
      </c>
      <c r="C7503" s="10">
        <v>46056.0</v>
      </c>
      <c r="D7503" s="6" t="s">
        <v>289</v>
      </c>
      <c r="E7503" s="6" t="s">
        <v>738</v>
      </c>
      <c r="F7503" s="6" t="s">
        <v>283</v>
      </c>
      <c r="G7503" s="6" t="s">
        <v>326</v>
      </c>
      <c r="H7503" s="10">
        <v>46056.0</v>
      </c>
      <c r="I7503" s="12">
        <v>9.0</v>
      </c>
      <c r="J7503" s="6" t="s">
        <v>161</v>
      </c>
    </row>
    <row r="7504" ht="22.5" customHeight="1">
      <c r="A7504" s="6" t="s">
        <v>24312</v>
      </c>
      <c r="B7504" s="6" t="s">
        <v>16745</v>
      </c>
      <c r="C7504" s="10">
        <v>46057.0</v>
      </c>
      <c r="D7504" s="6" t="s">
        <v>436</v>
      </c>
      <c r="E7504" s="6" t="s">
        <v>1517</v>
      </c>
      <c r="F7504" s="6" t="s">
        <v>112</v>
      </c>
      <c r="G7504" s="6" t="s">
        <v>477</v>
      </c>
      <c r="H7504" s="10">
        <v>46059.0</v>
      </c>
      <c r="I7504" s="12">
        <v>9.0</v>
      </c>
      <c r="J7504" s="6" t="s">
        <v>178</v>
      </c>
    </row>
    <row r="7505" ht="22.5" customHeight="1">
      <c r="A7505" s="6" t="s">
        <v>24313</v>
      </c>
      <c r="B7505" s="6" t="s">
        <v>16745</v>
      </c>
      <c r="C7505" s="10">
        <v>46049.0</v>
      </c>
      <c r="D7505" s="6" t="s">
        <v>436</v>
      </c>
      <c r="E7505" s="6" t="s">
        <v>2881</v>
      </c>
      <c r="F7505" s="6" t="s">
        <v>249</v>
      </c>
      <c r="G7505" s="6" t="s">
        <v>458</v>
      </c>
      <c r="H7505" s="10">
        <v>46053.0</v>
      </c>
      <c r="I7505" s="12">
        <v>10.0</v>
      </c>
      <c r="J7505" s="6" t="s">
        <v>178</v>
      </c>
    </row>
    <row r="7506" ht="22.5" customHeight="1">
      <c r="A7506" s="6" t="s">
        <v>24314</v>
      </c>
      <c r="B7506" s="6" t="s">
        <v>16745</v>
      </c>
      <c r="C7506" s="10">
        <v>46064.0</v>
      </c>
      <c r="D7506" s="6" t="s">
        <v>677</v>
      </c>
      <c r="E7506" s="6" t="s">
        <v>704</v>
      </c>
      <c r="F7506" s="6" t="s">
        <v>439</v>
      </c>
      <c r="G7506" s="6" t="s">
        <v>458</v>
      </c>
      <c r="H7506" s="10">
        <v>46068.0</v>
      </c>
      <c r="I7506" s="12">
        <v>3.0</v>
      </c>
      <c r="J7506" s="6" t="s">
        <v>161</v>
      </c>
    </row>
    <row r="7507" ht="22.5" customHeight="1">
      <c r="A7507" s="6" t="s">
        <v>24315</v>
      </c>
      <c r="B7507" s="6" t="s">
        <v>16745</v>
      </c>
      <c r="C7507" s="10">
        <v>46063.0</v>
      </c>
      <c r="D7507" s="6" t="s">
        <v>289</v>
      </c>
      <c r="E7507" s="6" t="s">
        <v>2881</v>
      </c>
      <c r="F7507" s="6" t="s">
        <v>439</v>
      </c>
      <c r="G7507" s="6" t="s">
        <v>494</v>
      </c>
      <c r="H7507" s="10">
        <v>46067.0</v>
      </c>
      <c r="I7507" s="12">
        <v>10.0</v>
      </c>
      <c r="J7507" s="6" t="s">
        <v>161</v>
      </c>
    </row>
    <row r="7508" ht="22.5" customHeight="1">
      <c r="A7508" s="6" t="s">
        <v>24316</v>
      </c>
      <c r="B7508" s="6" t="s">
        <v>16745</v>
      </c>
      <c r="C7508" s="10">
        <v>46048.0</v>
      </c>
      <c r="D7508" s="6" t="s">
        <v>242</v>
      </c>
      <c r="E7508" s="6" t="s">
        <v>2881</v>
      </c>
      <c r="F7508" s="6" t="s">
        <v>283</v>
      </c>
      <c r="G7508" s="6" t="s">
        <v>452</v>
      </c>
      <c r="H7508" s="10">
        <v>46055.0</v>
      </c>
      <c r="I7508" s="12">
        <v>4.0</v>
      </c>
      <c r="J7508" s="6" t="s">
        <v>178</v>
      </c>
    </row>
    <row r="7509" ht="22.5" customHeight="1">
      <c r="A7509" s="6" t="s">
        <v>24317</v>
      </c>
      <c r="B7509" s="6" t="s">
        <v>16751</v>
      </c>
      <c r="C7509" s="10">
        <v>46052.0</v>
      </c>
      <c r="D7509" s="6" t="s">
        <v>312</v>
      </c>
      <c r="E7509" s="6" t="s">
        <v>955</v>
      </c>
      <c r="F7509" s="6" t="s">
        <v>112</v>
      </c>
      <c r="G7509" s="6" t="s">
        <v>326</v>
      </c>
      <c r="H7509" s="10">
        <v>46057.0</v>
      </c>
      <c r="I7509" s="12">
        <v>4.0</v>
      </c>
      <c r="J7509" s="6" t="s">
        <v>161</v>
      </c>
    </row>
    <row r="7510" ht="22.5" customHeight="1">
      <c r="A7510" s="6" t="s">
        <v>24318</v>
      </c>
      <c r="B7510" s="6" t="s">
        <v>16751</v>
      </c>
      <c r="C7510" s="10">
        <v>46046.0</v>
      </c>
      <c r="D7510" s="6" t="s">
        <v>416</v>
      </c>
      <c r="E7510" s="6" t="s">
        <v>658</v>
      </c>
      <c r="F7510" s="6" t="s">
        <v>112</v>
      </c>
      <c r="G7510" s="6" t="s">
        <v>254</v>
      </c>
      <c r="H7510" s="10">
        <v>46051.0</v>
      </c>
      <c r="I7510" s="12">
        <v>14.0</v>
      </c>
      <c r="J7510" s="6" t="s">
        <v>161</v>
      </c>
    </row>
    <row r="7511" ht="22.5" customHeight="1">
      <c r="A7511" s="6" t="s">
        <v>24319</v>
      </c>
      <c r="B7511" s="6" t="s">
        <v>16751</v>
      </c>
      <c r="C7511" s="10">
        <v>46059.0</v>
      </c>
      <c r="D7511" s="6" t="s">
        <v>312</v>
      </c>
      <c r="E7511" s="6" t="s">
        <v>634</v>
      </c>
      <c r="F7511" s="6" t="s">
        <v>283</v>
      </c>
      <c r="G7511" s="6" t="s">
        <v>254</v>
      </c>
      <c r="H7511" s="10">
        <v>46062.0</v>
      </c>
      <c r="I7511" s="12">
        <v>5.0</v>
      </c>
      <c r="J7511" s="6" t="s">
        <v>161</v>
      </c>
    </row>
    <row r="7512" ht="22.5" customHeight="1">
      <c r="A7512" s="6" t="s">
        <v>24320</v>
      </c>
      <c r="B7512" s="6" t="s">
        <v>16751</v>
      </c>
      <c r="C7512" s="10">
        <v>46043.0</v>
      </c>
      <c r="D7512" s="6" t="s">
        <v>436</v>
      </c>
      <c r="E7512" s="6" t="s">
        <v>833</v>
      </c>
      <c r="F7512" s="6" t="s">
        <v>439</v>
      </c>
      <c r="G7512" s="6" t="s">
        <v>369</v>
      </c>
      <c r="H7512" s="10">
        <v>46047.0</v>
      </c>
      <c r="I7512" s="12">
        <v>9.0</v>
      </c>
      <c r="J7512" s="6" t="s">
        <v>178</v>
      </c>
    </row>
    <row r="7513" ht="22.5" customHeight="1">
      <c r="A7513" s="6" t="s">
        <v>24321</v>
      </c>
      <c r="B7513" s="6" t="s">
        <v>16751</v>
      </c>
      <c r="C7513" s="10">
        <v>46048.0</v>
      </c>
      <c r="D7513" s="6" t="s">
        <v>436</v>
      </c>
      <c r="E7513" s="6" t="s">
        <v>1241</v>
      </c>
      <c r="F7513" s="6" t="s">
        <v>249</v>
      </c>
      <c r="G7513" s="6" t="s">
        <v>254</v>
      </c>
      <c r="H7513" s="10">
        <v>46055.0</v>
      </c>
      <c r="I7513" s="12">
        <v>7.0</v>
      </c>
      <c r="J7513" s="6" t="s">
        <v>178</v>
      </c>
    </row>
    <row r="7514" ht="22.5" customHeight="1">
      <c r="A7514" s="6" t="s">
        <v>24322</v>
      </c>
      <c r="B7514" s="6" t="s">
        <v>16757</v>
      </c>
      <c r="C7514" s="10">
        <v>46034.0</v>
      </c>
      <c r="D7514" s="6" t="s">
        <v>436</v>
      </c>
      <c r="E7514" s="6" t="s">
        <v>1386</v>
      </c>
      <c r="F7514" s="6" t="s">
        <v>249</v>
      </c>
      <c r="G7514" s="6" t="s">
        <v>494</v>
      </c>
      <c r="H7514" s="11" t="s">
        <v>259</v>
      </c>
      <c r="I7514" s="12">
        <v>11.0</v>
      </c>
      <c r="J7514" s="6" t="s">
        <v>178</v>
      </c>
    </row>
    <row r="7515" ht="22.5" customHeight="1">
      <c r="A7515" s="6" t="s">
        <v>24323</v>
      </c>
      <c r="B7515" s="6" t="s">
        <v>16757</v>
      </c>
      <c r="C7515" s="10">
        <v>46039.0</v>
      </c>
      <c r="D7515" s="6" t="s">
        <v>416</v>
      </c>
      <c r="E7515" s="6" t="s">
        <v>1296</v>
      </c>
      <c r="F7515" s="6" t="s">
        <v>283</v>
      </c>
      <c r="G7515" s="6" t="s">
        <v>458</v>
      </c>
      <c r="H7515" s="10">
        <v>46043.0</v>
      </c>
      <c r="I7515" s="12">
        <v>12.0</v>
      </c>
      <c r="J7515" s="6" t="s">
        <v>161</v>
      </c>
    </row>
    <row r="7516" ht="22.5" customHeight="1">
      <c r="A7516" s="6" t="s">
        <v>24324</v>
      </c>
      <c r="B7516" s="6" t="s">
        <v>16763</v>
      </c>
      <c r="C7516" s="10">
        <v>46063.0</v>
      </c>
      <c r="D7516" s="6" t="s">
        <v>289</v>
      </c>
      <c r="E7516" s="6" t="s">
        <v>787</v>
      </c>
      <c r="F7516" s="6" t="s">
        <v>439</v>
      </c>
      <c r="G7516" s="6" t="s">
        <v>494</v>
      </c>
      <c r="H7516" s="10">
        <v>46063.0</v>
      </c>
      <c r="I7516" s="12">
        <v>9.0</v>
      </c>
      <c r="J7516" s="6" t="s">
        <v>161</v>
      </c>
    </row>
    <row r="7517" ht="22.5" customHeight="1">
      <c r="A7517" s="6" t="s">
        <v>24325</v>
      </c>
      <c r="B7517" s="6" t="s">
        <v>16763</v>
      </c>
      <c r="C7517" s="10">
        <v>46052.0</v>
      </c>
      <c r="D7517" s="6" t="s">
        <v>312</v>
      </c>
      <c r="E7517" s="6" t="s">
        <v>1546</v>
      </c>
      <c r="F7517" s="6" t="s">
        <v>439</v>
      </c>
      <c r="G7517" s="6" t="s">
        <v>369</v>
      </c>
      <c r="H7517" s="10">
        <v>46057.0</v>
      </c>
      <c r="I7517" s="12">
        <v>5.0</v>
      </c>
      <c r="J7517" s="6" t="s">
        <v>161</v>
      </c>
    </row>
    <row r="7518" ht="22.5" customHeight="1">
      <c r="A7518" s="6" t="s">
        <v>24326</v>
      </c>
      <c r="B7518" s="6" t="s">
        <v>16763</v>
      </c>
      <c r="C7518" s="10">
        <v>46048.0</v>
      </c>
      <c r="D7518" s="6" t="s">
        <v>391</v>
      </c>
      <c r="E7518" s="6" t="s">
        <v>1720</v>
      </c>
      <c r="F7518" s="6" t="s">
        <v>112</v>
      </c>
      <c r="G7518" s="6" t="s">
        <v>369</v>
      </c>
      <c r="H7518" s="10">
        <v>46054.0</v>
      </c>
      <c r="I7518" s="12">
        <v>7.0</v>
      </c>
      <c r="J7518" s="6" t="s">
        <v>161</v>
      </c>
    </row>
    <row r="7519" ht="22.5" customHeight="1">
      <c r="A7519" s="6" t="s">
        <v>24327</v>
      </c>
      <c r="B7519" s="6" t="s">
        <v>16763</v>
      </c>
      <c r="C7519" s="10">
        <v>46049.0</v>
      </c>
      <c r="D7519" s="6" t="s">
        <v>312</v>
      </c>
      <c r="E7519" s="6" t="s">
        <v>246</v>
      </c>
      <c r="F7519" s="6" t="s">
        <v>439</v>
      </c>
      <c r="G7519" s="6" t="s">
        <v>297</v>
      </c>
      <c r="H7519" s="10">
        <v>46052.0</v>
      </c>
      <c r="I7519" s="12">
        <v>4.0</v>
      </c>
      <c r="J7519" s="6" t="s">
        <v>161</v>
      </c>
    </row>
    <row r="7520" ht="22.5" customHeight="1">
      <c r="A7520" s="6" t="s">
        <v>24328</v>
      </c>
      <c r="B7520" s="6" t="s">
        <v>16770</v>
      </c>
      <c r="C7520" s="10">
        <v>46057.0</v>
      </c>
      <c r="D7520" s="6" t="s">
        <v>312</v>
      </c>
      <c r="E7520" s="6" t="s">
        <v>466</v>
      </c>
      <c r="F7520" s="6" t="s">
        <v>439</v>
      </c>
      <c r="G7520" s="6" t="s">
        <v>477</v>
      </c>
      <c r="H7520" s="10">
        <v>46058.0</v>
      </c>
      <c r="I7520" s="12">
        <v>5.0</v>
      </c>
      <c r="J7520" s="6" t="s">
        <v>161</v>
      </c>
    </row>
    <row r="7521" ht="22.5" customHeight="1">
      <c r="A7521" s="6" t="s">
        <v>24329</v>
      </c>
      <c r="B7521" s="6" t="s">
        <v>16776</v>
      </c>
      <c r="C7521" s="10">
        <v>46063.0</v>
      </c>
      <c r="D7521" s="6" t="s">
        <v>391</v>
      </c>
      <c r="E7521" s="6" t="s">
        <v>885</v>
      </c>
      <c r="F7521" s="6" t="s">
        <v>439</v>
      </c>
      <c r="G7521" s="6" t="s">
        <v>369</v>
      </c>
      <c r="H7521" s="10">
        <v>46066.0</v>
      </c>
      <c r="I7521" s="12">
        <v>11.0</v>
      </c>
      <c r="J7521" s="6" t="s">
        <v>161</v>
      </c>
    </row>
    <row r="7522" ht="22.5" customHeight="1">
      <c r="A7522" s="6" t="s">
        <v>24330</v>
      </c>
      <c r="B7522" s="6" t="s">
        <v>16776</v>
      </c>
      <c r="C7522" s="10">
        <v>46059.0</v>
      </c>
      <c r="D7522" s="6" t="s">
        <v>289</v>
      </c>
      <c r="E7522" s="6" t="s">
        <v>634</v>
      </c>
      <c r="F7522" s="6" t="s">
        <v>112</v>
      </c>
      <c r="G7522" s="6" t="s">
        <v>452</v>
      </c>
      <c r="H7522" s="10">
        <v>46065.0</v>
      </c>
      <c r="I7522" s="12">
        <v>8.0</v>
      </c>
      <c r="J7522" s="6" t="s">
        <v>161</v>
      </c>
    </row>
    <row r="7523" ht="22.5" customHeight="1">
      <c r="A7523" s="6" t="s">
        <v>24331</v>
      </c>
      <c r="B7523" s="6" t="s">
        <v>16776</v>
      </c>
      <c r="C7523" s="10">
        <v>46063.0</v>
      </c>
      <c r="D7523" s="6" t="s">
        <v>416</v>
      </c>
      <c r="E7523" s="6" t="s">
        <v>634</v>
      </c>
      <c r="F7523" s="6" t="s">
        <v>439</v>
      </c>
      <c r="G7523" s="6" t="s">
        <v>297</v>
      </c>
      <c r="H7523" s="11" t="s">
        <v>259</v>
      </c>
      <c r="I7523" s="12">
        <v>12.0</v>
      </c>
      <c r="J7523" s="6" t="s">
        <v>161</v>
      </c>
    </row>
    <row r="7524" ht="22.5" customHeight="1">
      <c r="A7524" s="6" t="s">
        <v>24332</v>
      </c>
      <c r="B7524" s="6" t="s">
        <v>16776</v>
      </c>
      <c r="C7524" s="10">
        <v>46055.0</v>
      </c>
      <c r="D7524" s="6" t="s">
        <v>289</v>
      </c>
      <c r="E7524" s="6" t="s">
        <v>738</v>
      </c>
      <c r="F7524" s="6" t="s">
        <v>283</v>
      </c>
      <c r="G7524" s="6" t="s">
        <v>254</v>
      </c>
      <c r="H7524" s="10">
        <v>46058.0</v>
      </c>
      <c r="I7524" s="12">
        <v>9.0</v>
      </c>
      <c r="J7524" s="6" t="s">
        <v>161</v>
      </c>
    </row>
    <row r="7525" ht="22.5" customHeight="1">
      <c r="A7525" s="6" t="s">
        <v>24333</v>
      </c>
      <c r="B7525" s="6" t="s">
        <v>16776</v>
      </c>
      <c r="C7525" s="10">
        <v>46052.0</v>
      </c>
      <c r="D7525" s="6" t="s">
        <v>391</v>
      </c>
      <c r="E7525" s="6" t="s">
        <v>1741</v>
      </c>
      <c r="F7525" s="6" t="s">
        <v>249</v>
      </c>
      <c r="G7525" s="6" t="s">
        <v>458</v>
      </c>
      <c r="H7525" s="10">
        <v>46056.0</v>
      </c>
      <c r="I7525" s="12">
        <v>7.0</v>
      </c>
      <c r="J7525" s="6" t="s">
        <v>161</v>
      </c>
    </row>
    <row r="7526" ht="22.5" customHeight="1">
      <c r="A7526" s="6" t="s">
        <v>24334</v>
      </c>
      <c r="B7526" s="6" t="s">
        <v>16782</v>
      </c>
      <c r="C7526" s="10">
        <v>46035.0</v>
      </c>
      <c r="D7526" s="6" t="s">
        <v>289</v>
      </c>
      <c r="E7526" s="6" t="s">
        <v>716</v>
      </c>
      <c r="F7526" s="6" t="s">
        <v>439</v>
      </c>
      <c r="G7526" s="6" t="s">
        <v>452</v>
      </c>
      <c r="H7526" s="10">
        <v>46041.0</v>
      </c>
      <c r="I7526" s="12">
        <v>7.0</v>
      </c>
      <c r="J7526" s="6" t="s">
        <v>161</v>
      </c>
    </row>
    <row r="7527" ht="22.5" customHeight="1">
      <c r="A7527" s="6" t="s">
        <v>24335</v>
      </c>
      <c r="B7527" s="6" t="s">
        <v>16782</v>
      </c>
      <c r="C7527" s="10">
        <v>46035.0</v>
      </c>
      <c r="D7527" s="6" t="s">
        <v>391</v>
      </c>
      <c r="E7527" s="6" t="s">
        <v>634</v>
      </c>
      <c r="F7527" s="6" t="s">
        <v>283</v>
      </c>
      <c r="G7527" s="6" t="s">
        <v>494</v>
      </c>
      <c r="H7527" s="10">
        <v>46035.0</v>
      </c>
      <c r="I7527" s="12">
        <v>7.0</v>
      </c>
      <c r="J7527" s="6" t="s">
        <v>161</v>
      </c>
    </row>
    <row r="7528" ht="22.5" customHeight="1">
      <c r="A7528" s="6" t="s">
        <v>24336</v>
      </c>
      <c r="B7528" s="6" t="s">
        <v>16782</v>
      </c>
      <c r="C7528" s="10">
        <v>46034.0</v>
      </c>
      <c r="D7528" s="6" t="s">
        <v>677</v>
      </c>
      <c r="E7528" s="6" t="s">
        <v>618</v>
      </c>
      <c r="F7528" s="6" t="s">
        <v>283</v>
      </c>
      <c r="G7528" s="6" t="s">
        <v>254</v>
      </c>
      <c r="H7528" s="10">
        <v>46041.0</v>
      </c>
      <c r="I7528" s="12">
        <v>3.0</v>
      </c>
      <c r="J7528" s="6" t="s">
        <v>161</v>
      </c>
    </row>
    <row r="7529" ht="22.5" customHeight="1">
      <c r="A7529" s="6" t="s">
        <v>24337</v>
      </c>
      <c r="B7529" s="6" t="s">
        <v>16788</v>
      </c>
      <c r="C7529" s="10">
        <v>46042.0</v>
      </c>
      <c r="D7529" s="6" t="s">
        <v>391</v>
      </c>
      <c r="E7529" s="6" t="s">
        <v>628</v>
      </c>
      <c r="F7529" s="6" t="s">
        <v>439</v>
      </c>
      <c r="G7529" s="6" t="s">
        <v>326</v>
      </c>
      <c r="H7529" s="10">
        <v>46044.0</v>
      </c>
      <c r="I7529" s="12">
        <v>7.0</v>
      </c>
      <c r="J7529" s="6" t="s">
        <v>161</v>
      </c>
    </row>
    <row r="7530" ht="22.5" customHeight="1">
      <c r="A7530" s="6" t="s">
        <v>24338</v>
      </c>
      <c r="B7530" s="6" t="s">
        <v>16788</v>
      </c>
      <c r="C7530" s="10">
        <v>46045.0</v>
      </c>
      <c r="D7530" s="6" t="s">
        <v>436</v>
      </c>
      <c r="E7530" s="6" t="s">
        <v>833</v>
      </c>
      <c r="F7530" s="6" t="s">
        <v>249</v>
      </c>
      <c r="G7530" s="6" t="s">
        <v>477</v>
      </c>
      <c r="H7530" s="10">
        <v>46050.0</v>
      </c>
      <c r="I7530" s="12">
        <v>8.0</v>
      </c>
      <c r="J7530" s="6" t="s">
        <v>178</v>
      </c>
    </row>
    <row r="7531" ht="22.5" customHeight="1">
      <c r="A7531" s="6" t="s">
        <v>24339</v>
      </c>
      <c r="B7531" s="6" t="s">
        <v>16788</v>
      </c>
      <c r="C7531" s="10">
        <v>46052.0</v>
      </c>
      <c r="D7531" s="6" t="s">
        <v>416</v>
      </c>
      <c r="E7531" s="6" t="s">
        <v>833</v>
      </c>
      <c r="F7531" s="6" t="s">
        <v>249</v>
      </c>
      <c r="G7531" s="6" t="s">
        <v>297</v>
      </c>
      <c r="H7531" s="11" t="s">
        <v>259</v>
      </c>
      <c r="I7531" s="12">
        <v>14.0</v>
      </c>
      <c r="J7531" s="6" t="s">
        <v>161</v>
      </c>
    </row>
    <row r="7532" ht="22.5" customHeight="1">
      <c r="A7532" s="6" t="s">
        <v>24340</v>
      </c>
      <c r="B7532" s="6" t="s">
        <v>16788</v>
      </c>
      <c r="C7532" s="10">
        <v>46054.0</v>
      </c>
      <c r="D7532" s="6" t="s">
        <v>436</v>
      </c>
      <c r="E7532" s="6" t="s">
        <v>628</v>
      </c>
      <c r="F7532" s="6" t="s">
        <v>249</v>
      </c>
      <c r="G7532" s="6" t="s">
        <v>477</v>
      </c>
      <c r="H7532" s="11" t="s">
        <v>259</v>
      </c>
      <c r="I7532" s="12">
        <v>7.0</v>
      </c>
      <c r="J7532" s="6" t="s">
        <v>161</v>
      </c>
    </row>
    <row r="7533" ht="22.5" customHeight="1">
      <c r="A7533" s="6" t="s">
        <v>24341</v>
      </c>
      <c r="B7533" s="6" t="s">
        <v>16788</v>
      </c>
      <c r="C7533" s="10">
        <v>46056.0</v>
      </c>
      <c r="D7533" s="6" t="s">
        <v>416</v>
      </c>
      <c r="E7533" s="6" t="s">
        <v>775</v>
      </c>
      <c r="F7533" s="6" t="s">
        <v>112</v>
      </c>
      <c r="G7533" s="6" t="s">
        <v>369</v>
      </c>
      <c r="H7533" s="10">
        <v>46060.0</v>
      </c>
      <c r="I7533" s="12">
        <v>13.0</v>
      </c>
      <c r="J7533" s="6" t="s">
        <v>161</v>
      </c>
    </row>
    <row r="7534" ht="22.5" customHeight="1">
      <c r="A7534" s="6" t="s">
        <v>24342</v>
      </c>
      <c r="B7534" s="6" t="s">
        <v>16793</v>
      </c>
      <c r="C7534" s="10">
        <v>46059.0</v>
      </c>
      <c r="D7534" s="6" t="s">
        <v>436</v>
      </c>
      <c r="E7534" s="6" t="s">
        <v>775</v>
      </c>
      <c r="F7534" s="6" t="s">
        <v>439</v>
      </c>
      <c r="G7534" s="6" t="s">
        <v>452</v>
      </c>
      <c r="H7534" s="10">
        <v>46059.0</v>
      </c>
      <c r="I7534" s="12">
        <v>12.0</v>
      </c>
      <c r="J7534" s="6" t="s">
        <v>178</v>
      </c>
    </row>
    <row r="7535" ht="22.5" customHeight="1">
      <c r="A7535" s="6" t="s">
        <v>24343</v>
      </c>
      <c r="B7535" s="6" t="s">
        <v>16793</v>
      </c>
      <c r="C7535" s="10">
        <v>46057.0</v>
      </c>
      <c r="D7535" s="6" t="s">
        <v>391</v>
      </c>
      <c r="E7535" s="6" t="s">
        <v>955</v>
      </c>
      <c r="F7535" s="6" t="s">
        <v>249</v>
      </c>
      <c r="G7535" s="6" t="s">
        <v>494</v>
      </c>
      <c r="H7535" s="10">
        <v>46063.0</v>
      </c>
      <c r="I7535" s="12">
        <v>6.0</v>
      </c>
      <c r="J7535" s="6" t="s">
        <v>161</v>
      </c>
    </row>
    <row r="7536" ht="22.5" customHeight="1">
      <c r="A7536" s="6" t="s">
        <v>24344</v>
      </c>
      <c r="B7536" s="6" t="s">
        <v>16799</v>
      </c>
      <c r="C7536" s="10">
        <v>46044.0</v>
      </c>
      <c r="D7536" s="6" t="s">
        <v>436</v>
      </c>
      <c r="E7536" s="6" t="s">
        <v>1552</v>
      </c>
      <c r="F7536" s="6" t="s">
        <v>112</v>
      </c>
      <c r="G7536" s="6" t="s">
        <v>297</v>
      </c>
      <c r="H7536" s="10">
        <v>46050.0</v>
      </c>
      <c r="I7536" s="12">
        <v>6.0</v>
      </c>
      <c r="J7536" s="6" t="s">
        <v>178</v>
      </c>
    </row>
    <row r="7537" ht="22.5" customHeight="1">
      <c r="A7537" s="6" t="s">
        <v>24345</v>
      </c>
      <c r="B7537" s="6" t="s">
        <v>16799</v>
      </c>
      <c r="C7537" s="10">
        <v>46056.0</v>
      </c>
      <c r="D7537" s="6" t="s">
        <v>312</v>
      </c>
      <c r="E7537" s="6" t="s">
        <v>787</v>
      </c>
      <c r="F7537" s="6" t="s">
        <v>283</v>
      </c>
      <c r="G7537" s="6" t="s">
        <v>477</v>
      </c>
      <c r="H7537" s="11" t="s">
        <v>259</v>
      </c>
      <c r="I7537" s="12">
        <v>6.0</v>
      </c>
      <c r="J7537" s="6" t="s">
        <v>161</v>
      </c>
    </row>
    <row r="7538" ht="22.5" customHeight="1">
      <c r="A7538" s="6" t="s">
        <v>24346</v>
      </c>
      <c r="B7538" s="6" t="s">
        <v>16799</v>
      </c>
      <c r="C7538" s="10">
        <v>46057.0</v>
      </c>
      <c r="D7538" s="6" t="s">
        <v>391</v>
      </c>
      <c r="E7538" s="6" t="s">
        <v>1310</v>
      </c>
      <c r="F7538" s="6" t="s">
        <v>249</v>
      </c>
      <c r="G7538" s="6" t="s">
        <v>477</v>
      </c>
      <c r="H7538" s="10">
        <v>46064.0</v>
      </c>
      <c r="I7538" s="12">
        <v>6.0</v>
      </c>
      <c r="J7538" s="6" t="s">
        <v>161</v>
      </c>
    </row>
    <row r="7539" ht="22.5" customHeight="1">
      <c r="A7539" s="6" t="s">
        <v>24347</v>
      </c>
      <c r="B7539" s="6" t="s">
        <v>16799</v>
      </c>
      <c r="C7539" s="10">
        <v>46040.0</v>
      </c>
      <c r="D7539" s="6" t="s">
        <v>416</v>
      </c>
      <c r="E7539" s="6" t="s">
        <v>246</v>
      </c>
      <c r="F7539" s="6" t="s">
        <v>249</v>
      </c>
      <c r="G7539" s="6" t="s">
        <v>254</v>
      </c>
      <c r="H7539" s="10">
        <v>46044.0</v>
      </c>
      <c r="I7539" s="12">
        <v>12.0</v>
      </c>
      <c r="J7539" s="6" t="s">
        <v>161</v>
      </c>
    </row>
    <row r="7540" ht="22.5" customHeight="1">
      <c r="A7540" s="6" t="s">
        <v>24348</v>
      </c>
      <c r="B7540" s="6" t="s">
        <v>16805</v>
      </c>
      <c r="C7540" s="10">
        <v>46060.0</v>
      </c>
      <c r="D7540" s="6" t="s">
        <v>677</v>
      </c>
      <c r="E7540" s="6" t="s">
        <v>2881</v>
      </c>
      <c r="F7540" s="6" t="s">
        <v>283</v>
      </c>
      <c r="G7540" s="6" t="s">
        <v>494</v>
      </c>
      <c r="H7540" s="11" t="s">
        <v>259</v>
      </c>
      <c r="I7540" s="12">
        <v>3.0</v>
      </c>
      <c r="J7540" s="6" t="s">
        <v>161</v>
      </c>
    </row>
    <row r="7541" ht="22.5" customHeight="1">
      <c r="A7541" s="6" t="s">
        <v>24349</v>
      </c>
      <c r="B7541" s="6" t="s">
        <v>16805</v>
      </c>
      <c r="C7541" s="10">
        <v>46060.0</v>
      </c>
      <c r="D7541" s="6" t="s">
        <v>391</v>
      </c>
      <c r="E7541" s="6" t="s">
        <v>670</v>
      </c>
      <c r="F7541" s="6" t="s">
        <v>439</v>
      </c>
      <c r="G7541" s="6" t="s">
        <v>369</v>
      </c>
      <c r="H7541" s="10">
        <v>46063.0</v>
      </c>
      <c r="I7541" s="12">
        <v>11.0</v>
      </c>
      <c r="J7541" s="6" t="s">
        <v>161</v>
      </c>
    </row>
    <row r="7542" ht="22.5" customHeight="1">
      <c r="A7542" s="6" t="s">
        <v>24350</v>
      </c>
      <c r="B7542" s="6" t="s">
        <v>16805</v>
      </c>
      <c r="C7542" s="10">
        <v>46058.0</v>
      </c>
      <c r="D7542" s="6" t="s">
        <v>677</v>
      </c>
      <c r="E7542" s="6" t="s">
        <v>833</v>
      </c>
      <c r="F7542" s="6" t="s">
        <v>112</v>
      </c>
      <c r="G7542" s="6" t="s">
        <v>494</v>
      </c>
      <c r="H7542" s="11" t="s">
        <v>259</v>
      </c>
      <c r="I7542" s="12">
        <v>2.0</v>
      </c>
      <c r="J7542" s="6" t="s">
        <v>161</v>
      </c>
    </row>
    <row r="7543" ht="22.5" customHeight="1">
      <c r="A7543" s="6" t="s">
        <v>24351</v>
      </c>
      <c r="B7543" s="6" t="s">
        <v>16812</v>
      </c>
      <c r="C7543" s="10">
        <v>46050.0</v>
      </c>
      <c r="D7543" s="6" t="s">
        <v>436</v>
      </c>
      <c r="E7543" s="6" t="s">
        <v>634</v>
      </c>
      <c r="F7543" s="6" t="s">
        <v>112</v>
      </c>
      <c r="G7543" s="6" t="s">
        <v>458</v>
      </c>
      <c r="H7543" s="10">
        <v>46056.0</v>
      </c>
      <c r="I7543" s="12">
        <v>12.0</v>
      </c>
      <c r="J7543" s="6" t="s">
        <v>178</v>
      </c>
    </row>
    <row r="7544" ht="22.5" customHeight="1">
      <c r="A7544" s="6" t="s">
        <v>24352</v>
      </c>
      <c r="B7544" s="6" t="s">
        <v>16812</v>
      </c>
      <c r="C7544" s="10">
        <v>46049.0</v>
      </c>
      <c r="D7544" s="6" t="s">
        <v>289</v>
      </c>
      <c r="E7544" s="6" t="s">
        <v>704</v>
      </c>
      <c r="F7544" s="6" t="s">
        <v>439</v>
      </c>
      <c r="G7544" s="6" t="s">
        <v>326</v>
      </c>
      <c r="H7544" s="10">
        <v>46052.0</v>
      </c>
      <c r="I7544" s="12">
        <v>5.0</v>
      </c>
      <c r="J7544" s="6" t="s">
        <v>161</v>
      </c>
    </row>
    <row r="7545" ht="22.5" customHeight="1">
      <c r="A7545" s="6" t="s">
        <v>24353</v>
      </c>
      <c r="B7545" s="6" t="s">
        <v>16818</v>
      </c>
      <c r="C7545" s="10">
        <v>46062.0</v>
      </c>
      <c r="D7545" s="6" t="s">
        <v>289</v>
      </c>
      <c r="E7545" s="6" t="s">
        <v>394</v>
      </c>
      <c r="F7545" s="6" t="s">
        <v>112</v>
      </c>
      <c r="G7545" s="6" t="s">
        <v>477</v>
      </c>
      <c r="H7545" s="10">
        <v>46069.0</v>
      </c>
      <c r="I7545" s="12">
        <v>9.0</v>
      </c>
      <c r="J7545" s="6" t="s">
        <v>161</v>
      </c>
    </row>
    <row r="7546" ht="22.5" customHeight="1">
      <c r="A7546" s="6" t="s">
        <v>24354</v>
      </c>
      <c r="B7546" s="6" t="s">
        <v>16825</v>
      </c>
      <c r="C7546" s="10">
        <v>46058.0</v>
      </c>
      <c r="D7546" s="6" t="s">
        <v>242</v>
      </c>
      <c r="E7546" s="6" t="s">
        <v>512</v>
      </c>
      <c r="F7546" s="6" t="s">
        <v>283</v>
      </c>
      <c r="G7546" s="6" t="s">
        <v>297</v>
      </c>
      <c r="H7546" s="10">
        <v>46058.0</v>
      </c>
      <c r="I7546" s="12">
        <v>4.0</v>
      </c>
      <c r="J7546" s="6" t="s">
        <v>178</v>
      </c>
    </row>
    <row r="7547" ht="22.5" customHeight="1">
      <c r="A7547" s="6" t="s">
        <v>24355</v>
      </c>
      <c r="B7547" s="6" t="s">
        <v>16831</v>
      </c>
      <c r="C7547" s="10">
        <v>46043.0</v>
      </c>
      <c r="D7547" s="6" t="s">
        <v>677</v>
      </c>
      <c r="E7547" s="6" t="s">
        <v>450</v>
      </c>
      <c r="F7547" s="6" t="s">
        <v>283</v>
      </c>
      <c r="G7547" s="6" t="s">
        <v>494</v>
      </c>
      <c r="H7547" s="11" t="s">
        <v>259</v>
      </c>
      <c r="I7547" s="12">
        <v>2.0</v>
      </c>
      <c r="J7547" s="6" t="s">
        <v>161</v>
      </c>
    </row>
    <row r="7548" ht="22.5" customHeight="1">
      <c r="A7548" s="6" t="s">
        <v>24356</v>
      </c>
      <c r="B7548" s="6" t="s">
        <v>16831</v>
      </c>
      <c r="C7548" s="10">
        <v>46052.0</v>
      </c>
      <c r="D7548" s="6" t="s">
        <v>242</v>
      </c>
      <c r="E7548" s="6" t="s">
        <v>896</v>
      </c>
      <c r="F7548" s="6" t="s">
        <v>112</v>
      </c>
      <c r="G7548" s="6" t="s">
        <v>458</v>
      </c>
      <c r="H7548" s="10">
        <v>46052.0</v>
      </c>
      <c r="I7548" s="12">
        <v>6.0</v>
      </c>
      <c r="J7548" s="6" t="s">
        <v>178</v>
      </c>
    </row>
    <row r="7549" ht="22.5" customHeight="1">
      <c r="A7549" s="6" t="s">
        <v>24357</v>
      </c>
      <c r="B7549" s="6" t="s">
        <v>16831</v>
      </c>
      <c r="C7549" s="10">
        <v>46060.0</v>
      </c>
      <c r="D7549" s="6" t="s">
        <v>436</v>
      </c>
      <c r="E7549" s="6" t="s">
        <v>2365</v>
      </c>
      <c r="F7549" s="6" t="s">
        <v>249</v>
      </c>
      <c r="G7549" s="6" t="s">
        <v>458</v>
      </c>
      <c r="H7549" s="10">
        <v>46065.0</v>
      </c>
      <c r="I7549" s="12">
        <v>8.0</v>
      </c>
      <c r="J7549" s="6" t="s">
        <v>178</v>
      </c>
    </row>
    <row r="7550" ht="22.5" customHeight="1">
      <c r="A7550" s="6" t="s">
        <v>24358</v>
      </c>
      <c r="B7550" s="6" t="s">
        <v>16831</v>
      </c>
      <c r="C7550" s="10">
        <v>46058.0</v>
      </c>
      <c r="D7550" s="6" t="s">
        <v>436</v>
      </c>
      <c r="E7550" s="6" t="s">
        <v>450</v>
      </c>
      <c r="F7550" s="6" t="s">
        <v>283</v>
      </c>
      <c r="G7550" s="6" t="s">
        <v>494</v>
      </c>
      <c r="H7550" s="10">
        <v>46064.0</v>
      </c>
      <c r="I7550" s="12">
        <v>9.0</v>
      </c>
      <c r="J7550" s="6" t="s">
        <v>178</v>
      </c>
    </row>
    <row r="7551" ht="22.5" customHeight="1">
      <c r="A7551" s="6" t="s">
        <v>24359</v>
      </c>
      <c r="B7551" s="6" t="s">
        <v>16837</v>
      </c>
      <c r="C7551" s="10">
        <v>46070.0</v>
      </c>
      <c r="D7551" s="6" t="s">
        <v>436</v>
      </c>
      <c r="E7551" s="6" t="s">
        <v>512</v>
      </c>
      <c r="F7551" s="6" t="s">
        <v>249</v>
      </c>
      <c r="G7551" s="6" t="s">
        <v>326</v>
      </c>
      <c r="H7551" s="10">
        <v>46070.0</v>
      </c>
      <c r="I7551" s="12">
        <v>7.0</v>
      </c>
      <c r="J7551" s="6" t="s">
        <v>161</v>
      </c>
    </row>
    <row r="7552" ht="22.5" customHeight="1">
      <c r="A7552" s="6" t="s">
        <v>24360</v>
      </c>
      <c r="B7552" s="6" t="s">
        <v>16837</v>
      </c>
      <c r="C7552" s="10">
        <v>46069.0</v>
      </c>
      <c r="D7552" s="6" t="s">
        <v>391</v>
      </c>
      <c r="E7552" s="6" t="s">
        <v>566</v>
      </c>
      <c r="F7552" s="6" t="s">
        <v>112</v>
      </c>
      <c r="G7552" s="6" t="s">
        <v>494</v>
      </c>
      <c r="H7552" s="10">
        <v>46076.0</v>
      </c>
      <c r="I7552" s="12">
        <v>9.0</v>
      </c>
      <c r="J7552" s="6" t="s">
        <v>161</v>
      </c>
    </row>
    <row r="7553" ht="22.5" customHeight="1">
      <c r="A7553" s="6" t="s">
        <v>24361</v>
      </c>
      <c r="B7553" s="6" t="s">
        <v>16843</v>
      </c>
      <c r="C7553" s="10">
        <v>46049.0</v>
      </c>
      <c r="D7553" s="6" t="s">
        <v>677</v>
      </c>
      <c r="E7553" s="6" t="s">
        <v>896</v>
      </c>
      <c r="F7553" s="6" t="s">
        <v>439</v>
      </c>
      <c r="G7553" s="6" t="s">
        <v>458</v>
      </c>
      <c r="H7553" s="11" t="s">
        <v>259</v>
      </c>
      <c r="I7553" s="12">
        <v>2.0</v>
      </c>
      <c r="J7553" s="6" t="s">
        <v>161</v>
      </c>
    </row>
    <row r="7554" ht="22.5" customHeight="1">
      <c r="A7554" s="6" t="s">
        <v>24362</v>
      </c>
      <c r="B7554" s="6" t="s">
        <v>16843</v>
      </c>
      <c r="C7554" s="10">
        <v>46053.0</v>
      </c>
      <c r="D7554" s="6" t="s">
        <v>436</v>
      </c>
      <c r="E7554" s="6" t="s">
        <v>394</v>
      </c>
      <c r="F7554" s="6" t="s">
        <v>249</v>
      </c>
      <c r="G7554" s="6" t="s">
        <v>477</v>
      </c>
      <c r="H7554" s="10">
        <v>46053.0</v>
      </c>
      <c r="I7554" s="12">
        <v>7.0</v>
      </c>
      <c r="J7554" s="6" t="s">
        <v>161</v>
      </c>
    </row>
    <row r="7555" ht="22.5" customHeight="1">
      <c r="A7555" s="6" t="s">
        <v>24363</v>
      </c>
      <c r="B7555" s="6" t="s">
        <v>16843</v>
      </c>
      <c r="C7555" s="10">
        <v>46036.0</v>
      </c>
      <c r="D7555" s="6" t="s">
        <v>312</v>
      </c>
      <c r="E7555" s="6" t="s">
        <v>2881</v>
      </c>
      <c r="F7555" s="6" t="s">
        <v>112</v>
      </c>
      <c r="G7555" s="6" t="s">
        <v>477</v>
      </c>
      <c r="H7555" s="10">
        <v>46043.0</v>
      </c>
      <c r="I7555" s="12">
        <v>7.0</v>
      </c>
      <c r="J7555" s="6" t="s">
        <v>161</v>
      </c>
    </row>
    <row r="7556" ht="22.5" customHeight="1">
      <c r="A7556" s="6" t="s">
        <v>24364</v>
      </c>
      <c r="B7556" s="6" t="s">
        <v>16843</v>
      </c>
      <c r="C7556" s="10">
        <v>46054.0</v>
      </c>
      <c r="D7556" s="6" t="s">
        <v>416</v>
      </c>
      <c r="E7556" s="6" t="s">
        <v>1035</v>
      </c>
      <c r="F7556" s="6" t="s">
        <v>283</v>
      </c>
      <c r="G7556" s="6" t="s">
        <v>452</v>
      </c>
      <c r="H7556" s="10">
        <v>46056.0</v>
      </c>
      <c r="I7556" s="12">
        <v>13.0</v>
      </c>
      <c r="J7556" s="6" t="s">
        <v>161</v>
      </c>
    </row>
    <row r="7557" ht="22.5" customHeight="1">
      <c r="A7557" s="6" t="s">
        <v>24365</v>
      </c>
      <c r="B7557" s="6" t="s">
        <v>16843</v>
      </c>
      <c r="C7557" s="10">
        <v>46044.0</v>
      </c>
      <c r="D7557" s="6" t="s">
        <v>677</v>
      </c>
      <c r="E7557" s="6" t="s">
        <v>955</v>
      </c>
      <c r="F7557" s="6" t="s">
        <v>283</v>
      </c>
      <c r="G7557" s="6" t="s">
        <v>452</v>
      </c>
      <c r="H7557" s="10">
        <v>46050.0</v>
      </c>
      <c r="I7557" s="12">
        <v>3.0</v>
      </c>
      <c r="J7557" s="6" t="s">
        <v>161</v>
      </c>
    </row>
    <row r="7558" ht="22.5" customHeight="1">
      <c r="A7558" s="6" t="s">
        <v>24366</v>
      </c>
      <c r="B7558" s="6" t="s">
        <v>16850</v>
      </c>
      <c r="C7558" s="10">
        <v>46068.0</v>
      </c>
      <c r="D7558" s="6" t="s">
        <v>677</v>
      </c>
      <c r="E7558" s="6" t="s">
        <v>658</v>
      </c>
      <c r="F7558" s="6" t="s">
        <v>249</v>
      </c>
      <c r="G7558" s="6" t="s">
        <v>458</v>
      </c>
      <c r="H7558" s="10">
        <v>46069.0</v>
      </c>
      <c r="I7558" s="12">
        <v>2.0</v>
      </c>
      <c r="J7558" s="6" t="s">
        <v>161</v>
      </c>
    </row>
    <row r="7559" ht="22.5" customHeight="1">
      <c r="A7559" s="6" t="s">
        <v>24367</v>
      </c>
      <c r="B7559" s="6" t="s">
        <v>16850</v>
      </c>
      <c r="C7559" s="10">
        <v>46067.0</v>
      </c>
      <c r="D7559" s="6" t="s">
        <v>391</v>
      </c>
      <c r="E7559" s="6" t="s">
        <v>1386</v>
      </c>
      <c r="F7559" s="6" t="s">
        <v>283</v>
      </c>
      <c r="G7559" s="6" t="s">
        <v>494</v>
      </c>
      <c r="H7559" s="10">
        <v>46069.0</v>
      </c>
      <c r="I7559" s="12">
        <v>7.0</v>
      </c>
      <c r="J7559" s="6" t="s">
        <v>161</v>
      </c>
    </row>
    <row r="7560" ht="22.5" customHeight="1">
      <c r="A7560" s="6" t="s">
        <v>24368</v>
      </c>
      <c r="B7560" s="6" t="s">
        <v>16850</v>
      </c>
      <c r="C7560" s="10">
        <v>46070.0</v>
      </c>
      <c r="D7560" s="6" t="s">
        <v>242</v>
      </c>
      <c r="E7560" s="6" t="s">
        <v>450</v>
      </c>
      <c r="F7560" s="6" t="s">
        <v>283</v>
      </c>
      <c r="G7560" s="6" t="s">
        <v>254</v>
      </c>
      <c r="H7560" s="10">
        <v>46072.0</v>
      </c>
      <c r="I7560" s="12">
        <v>6.0</v>
      </c>
      <c r="J7560" s="6" t="s">
        <v>161</v>
      </c>
    </row>
    <row r="7561" ht="22.5" customHeight="1">
      <c r="A7561" s="6" t="s">
        <v>24369</v>
      </c>
      <c r="B7561" s="6" t="s">
        <v>16850</v>
      </c>
      <c r="C7561" s="10">
        <v>46063.0</v>
      </c>
      <c r="D7561" s="6" t="s">
        <v>436</v>
      </c>
      <c r="E7561" s="6" t="s">
        <v>716</v>
      </c>
      <c r="F7561" s="6" t="s">
        <v>439</v>
      </c>
      <c r="G7561" s="6" t="s">
        <v>254</v>
      </c>
      <c r="H7561" s="11" t="s">
        <v>259</v>
      </c>
      <c r="I7561" s="12">
        <v>11.0</v>
      </c>
      <c r="J7561" s="6" t="s">
        <v>161</v>
      </c>
    </row>
    <row r="7562" ht="22.5" customHeight="1">
      <c r="A7562" s="6" t="s">
        <v>24370</v>
      </c>
      <c r="B7562" s="6" t="s">
        <v>16850</v>
      </c>
      <c r="C7562" s="10">
        <v>46057.0</v>
      </c>
      <c r="D7562" s="6" t="s">
        <v>436</v>
      </c>
      <c r="E7562" s="6" t="s">
        <v>466</v>
      </c>
      <c r="F7562" s="6" t="s">
        <v>112</v>
      </c>
      <c r="G7562" s="6" t="s">
        <v>458</v>
      </c>
      <c r="H7562" s="10">
        <v>46061.0</v>
      </c>
      <c r="I7562" s="12">
        <v>6.0</v>
      </c>
      <c r="J7562" s="6" t="s">
        <v>178</v>
      </c>
    </row>
    <row r="7563" ht="22.5" customHeight="1">
      <c r="A7563" s="6" t="s">
        <v>24371</v>
      </c>
      <c r="B7563" s="6" t="s">
        <v>16856</v>
      </c>
      <c r="C7563" s="10">
        <v>46030.0</v>
      </c>
      <c r="D7563" s="6" t="s">
        <v>312</v>
      </c>
      <c r="E7563" s="6" t="s">
        <v>1969</v>
      </c>
      <c r="F7563" s="6" t="s">
        <v>112</v>
      </c>
      <c r="G7563" s="6" t="s">
        <v>494</v>
      </c>
      <c r="H7563" s="10">
        <v>46031.0</v>
      </c>
      <c r="I7563" s="12">
        <v>6.0</v>
      </c>
      <c r="J7563" s="6" t="s">
        <v>161</v>
      </c>
    </row>
    <row r="7564" ht="22.5" customHeight="1">
      <c r="A7564" s="6" t="s">
        <v>24372</v>
      </c>
      <c r="B7564" s="6" t="s">
        <v>16856</v>
      </c>
      <c r="C7564" s="10">
        <v>46034.0</v>
      </c>
      <c r="D7564" s="6" t="s">
        <v>242</v>
      </c>
      <c r="E7564" s="6" t="s">
        <v>618</v>
      </c>
      <c r="F7564" s="6" t="s">
        <v>112</v>
      </c>
      <c r="G7564" s="6" t="s">
        <v>326</v>
      </c>
      <c r="H7564" s="11" t="s">
        <v>259</v>
      </c>
      <c r="I7564" s="12">
        <v>5.0</v>
      </c>
      <c r="J7564" s="6" t="s">
        <v>178</v>
      </c>
    </row>
    <row r="7565" ht="22.5" customHeight="1">
      <c r="A7565" s="6" t="s">
        <v>24373</v>
      </c>
      <c r="B7565" s="6" t="s">
        <v>16856</v>
      </c>
      <c r="C7565" s="10">
        <v>46035.0</v>
      </c>
      <c r="D7565" s="6" t="s">
        <v>391</v>
      </c>
      <c r="E7565" s="6" t="s">
        <v>618</v>
      </c>
      <c r="F7565" s="6" t="s">
        <v>249</v>
      </c>
      <c r="G7565" s="6" t="s">
        <v>452</v>
      </c>
      <c r="H7565" s="10">
        <v>46039.0</v>
      </c>
      <c r="I7565" s="12">
        <v>11.0</v>
      </c>
      <c r="J7565" s="6" t="s">
        <v>161</v>
      </c>
    </row>
    <row r="7566" ht="22.5" customHeight="1">
      <c r="A7566" s="6" t="s">
        <v>24374</v>
      </c>
      <c r="B7566" s="6" t="s">
        <v>16856</v>
      </c>
      <c r="C7566" s="10">
        <v>46031.0</v>
      </c>
      <c r="D7566" s="6" t="s">
        <v>436</v>
      </c>
      <c r="E7566" s="6" t="s">
        <v>833</v>
      </c>
      <c r="F7566" s="6" t="s">
        <v>439</v>
      </c>
      <c r="G7566" s="6" t="s">
        <v>297</v>
      </c>
      <c r="H7566" s="10">
        <v>46037.0</v>
      </c>
      <c r="I7566" s="12">
        <v>8.0</v>
      </c>
      <c r="J7566" s="6" t="s">
        <v>178</v>
      </c>
    </row>
    <row r="7567" ht="22.5" customHeight="1">
      <c r="A7567" s="6" t="s">
        <v>24375</v>
      </c>
      <c r="B7567" s="6" t="s">
        <v>16863</v>
      </c>
      <c r="C7567" s="10">
        <v>46054.0</v>
      </c>
      <c r="D7567" s="6" t="s">
        <v>436</v>
      </c>
      <c r="E7567" s="6" t="s">
        <v>1070</v>
      </c>
      <c r="F7567" s="6" t="s">
        <v>249</v>
      </c>
      <c r="G7567" s="6" t="s">
        <v>494</v>
      </c>
      <c r="H7567" s="11" t="s">
        <v>259</v>
      </c>
      <c r="I7567" s="12">
        <v>8.0</v>
      </c>
      <c r="J7567" s="6" t="s">
        <v>161</v>
      </c>
    </row>
    <row r="7568" ht="22.5" customHeight="1">
      <c r="A7568" s="6" t="s">
        <v>24376</v>
      </c>
      <c r="B7568" s="6" t="s">
        <v>16863</v>
      </c>
      <c r="C7568" s="10">
        <v>46038.0</v>
      </c>
      <c r="D7568" s="6" t="s">
        <v>677</v>
      </c>
      <c r="E7568" s="6" t="s">
        <v>1280</v>
      </c>
      <c r="F7568" s="6" t="s">
        <v>439</v>
      </c>
      <c r="G7568" s="6" t="s">
        <v>452</v>
      </c>
      <c r="H7568" s="10">
        <v>46039.0</v>
      </c>
      <c r="I7568" s="12">
        <v>3.0</v>
      </c>
      <c r="J7568" s="6" t="s">
        <v>161</v>
      </c>
    </row>
    <row r="7569" ht="22.5" customHeight="1">
      <c r="A7569" s="6" t="s">
        <v>24377</v>
      </c>
      <c r="B7569" s="6" t="s">
        <v>16863</v>
      </c>
      <c r="C7569" s="10">
        <v>46038.0</v>
      </c>
      <c r="D7569" s="6" t="s">
        <v>416</v>
      </c>
      <c r="E7569" s="6" t="s">
        <v>1296</v>
      </c>
      <c r="F7569" s="6" t="s">
        <v>112</v>
      </c>
      <c r="G7569" s="6" t="s">
        <v>369</v>
      </c>
      <c r="H7569" s="10">
        <v>46045.0</v>
      </c>
      <c r="I7569" s="12">
        <v>11.0</v>
      </c>
      <c r="J7569" s="6" t="s">
        <v>161</v>
      </c>
    </row>
    <row r="7570" ht="22.5" customHeight="1">
      <c r="A7570" s="6" t="s">
        <v>24378</v>
      </c>
      <c r="B7570" s="6" t="s">
        <v>16863</v>
      </c>
      <c r="C7570" s="10">
        <v>46052.0</v>
      </c>
      <c r="D7570" s="6" t="s">
        <v>436</v>
      </c>
      <c r="E7570" s="6" t="s">
        <v>798</v>
      </c>
      <c r="F7570" s="6" t="s">
        <v>439</v>
      </c>
      <c r="G7570" s="6" t="s">
        <v>254</v>
      </c>
      <c r="H7570" s="10">
        <v>46053.0</v>
      </c>
      <c r="I7570" s="12">
        <v>9.0</v>
      </c>
      <c r="J7570" s="6" t="s">
        <v>178</v>
      </c>
    </row>
    <row r="7571" ht="22.5" customHeight="1">
      <c r="A7571" s="6" t="s">
        <v>24379</v>
      </c>
      <c r="B7571" s="6" t="s">
        <v>16870</v>
      </c>
      <c r="C7571" s="10">
        <v>46075.0</v>
      </c>
      <c r="D7571" s="6" t="s">
        <v>391</v>
      </c>
      <c r="E7571" s="6" t="s">
        <v>1741</v>
      </c>
      <c r="F7571" s="6" t="s">
        <v>112</v>
      </c>
      <c r="G7571" s="6" t="s">
        <v>494</v>
      </c>
      <c r="H7571" s="10">
        <v>46076.0</v>
      </c>
      <c r="I7571" s="12">
        <v>11.0</v>
      </c>
      <c r="J7571" s="6" t="s">
        <v>161</v>
      </c>
    </row>
    <row r="7572" ht="22.5" customHeight="1">
      <c r="A7572" s="6" t="s">
        <v>24380</v>
      </c>
      <c r="B7572" s="6" t="s">
        <v>16870</v>
      </c>
      <c r="C7572" s="10">
        <v>46064.0</v>
      </c>
      <c r="D7572" s="6" t="s">
        <v>312</v>
      </c>
      <c r="E7572" s="6" t="s">
        <v>634</v>
      </c>
      <c r="F7572" s="6" t="s">
        <v>439</v>
      </c>
      <c r="G7572" s="6" t="s">
        <v>369</v>
      </c>
      <c r="H7572" s="10">
        <v>46070.0</v>
      </c>
      <c r="I7572" s="12">
        <v>6.0</v>
      </c>
      <c r="J7572" s="6" t="s">
        <v>161</v>
      </c>
    </row>
    <row r="7573" ht="22.5" customHeight="1">
      <c r="A7573" s="6" t="s">
        <v>24381</v>
      </c>
      <c r="B7573" s="6" t="s">
        <v>16870</v>
      </c>
      <c r="C7573" s="10">
        <v>46062.0</v>
      </c>
      <c r="D7573" s="6" t="s">
        <v>242</v>
      </c>
      <c r="E7573" s="6" t="s">
        <v>1386</v>
      </c>
      <c r="F7573" s="6" t="s">
        <v>249</v>
      </c>
      <c r="G7573" s="6" t="s">
        <v>458</v>
      </c>
      <c r="H7573" s="10">
        <v>46069.0</v>
      </c>
      <c r="I7573" s="12">
        <v>3.0</v>
      </c>
      <c r="J7573" s="6" t="s">
        <v>178</v>
      </c>
    </row>
    <row r="7574" ht="22.5" customHeight="1">
      <c r="A7574" s="6" t="s">
        <v>24382</v>
      </c>
      <c r="B7574" s="6" t="s">
        <v>16870</v>
      </c>
      <c r="C7574" s="10">
        <v>46065.0</v>
      </c>
      <c r="D7574" s="6" t="s">
        <v>436</v>
      </c>
      <c r="E7574" s="6" t="s">
        <v>1055</v>
      </c>
      <c r="F7574" s="6" t="s">
        <v>112</v>
      </c>
      <c r="G7574" s="6" t="s">
        <v>494</v>
      </c>
      <c r="H7574" s="10">
        <v>46065.0</v>
      </c>
      <c r="I7574" s="12">
        <v>11.0</v>
      </c>
      <c r="J7574" s="6" t="s">
        <v>178</v>
      </c>
    </row>
    <row r="7575" ht="22.5" customHeight="1">
      <c r="A7575" s="6" t="s">
        <v>24383</v>
      </c>
      <c r="B7575" s="6" t="s">
        <v>16870</v>
      </c>
      <c r="C7575" s="10">
        <v>46070.0</v>
      </c>
      <c r="D7575" s="6" t="s">
        <v>436</v>
      </c>
      <c r="E7575" s="6" t="s">
        <v>438</v>
      </c>
      <c r="F7575" s="6" t="s">
        <v>249</v>
      </c>
      <c r="G7575" s="6" t="s">
        <v>326</v>
      </c>
      <c r="H7575" s="11" t="s">
        <v>259</v>
      </c>
      <c r="I7575" s="12">
        <v>10.0</v>
      </c>
      <c r="J7575" s="6" t="s">
        <v>161</v>
      </c>
    </row>
    <row r="7576" ht="22.5" customHeight="1">
      <c r="A7576" s="6" t="s">
        <v>24384</v>
      </c>
      <c r="B7576" s="6" t="s">
        <v>16875</v>
      </c>
      <c r="C7576" s="10">
        <v>46072.0</v>
      </c>
      <c r="D7576" s="6" t="s">
        <v>677</v>
      </c>
      <c r="E7576" s="6" t="s">
        <v>798</v>
      </c>
      <c r="F7576" s="6" t="s">
        <v>439</v>
      </c>
      <c r="G7576" s="6" t="s">
        <v>369</v>
      </c>
      <c r="H7576" s="10">
        <v>46072.0</v>
      </c>
      <c r="I7576" s="12">
        <v>2.0</v>
      </c>
      <c r="J7576" s="6" t="s">
        <v>161</v>
      </c>
    </row>
    <row r="7577" ht="22.5" customHeight="1">
      <c r="A7577" s="6" t="s">
        <v>24385</v>
      </c>
      <c r="B7577" s="6" t="s">
        <v>16875</v>
      </c>
      <c r="C7577" s="10">
        <v>46067.0</v>
      </c>
      <c r="D7577" s="6" t="s">
        <v>677</v>
      </c>
      <c r="E7577" s="6" t="s">
        <v>863</v>
      </c>
      <c r="F7577" s="6" t="s">
        <v>249</v>
      </c>
      <c r="G7577" s="6" t="s">
        <v>326</v>
      </c>
      <c r="H7577" s="10">
        <v>46067.0</v>
      </c>
      <c r="I7577" s="12">
        <v>3.0</v>
      </c>
      <c r="J7577" s="6" t="s">
        <v>161</v>
      </c>
    </row>
    <row r="7578" ht="22.5" customHeight="1">
      <c r="A7578" s="6" t="s">
        <v>24386</v>
      </c>
      <c r="B7578" s="6" t="s">
        <v>16882</v>
      </c>
      <c r="C7578" s="10">
        <v>46050.0</v>
      </c>
      <c r="D7578" s="6" t="s">
        <v>289</v>
      </c>
      <c r="E7578" s="6" t="s">
        <v>812</v>
      </c>
      <c r="F7578" s="6" t="s">
        <v>112</v>
      </c>
      <c r="G7578" s="6" t="s">
        <v>326</v>
      </c>
      <c r="H7578" s="10">
        <v>46053.0</v>
      </c>
      <c r="I7578" s="12">
        <v>10.0</v>
      </c>
      <c r="J7578" s="6" t="s">
        <v>161</v>
      </c>
    </row>
    <row r="7579" ht="22.5" customHeight="1">
      <c r="A7579" s="6" t="s">
        <v>24387</v>
      </c>
      <c r="B7579" s="6" t="s">
        <v>16887</v>
      </c>
      <c r="C7579" s="10">
        <v>46067.0</v>
      </c>
      <c r="D7579" s="6" t="s">
        <v>289</v>
      </c>
      <c r="E7579" s="6" t="s">
        <v>618</v>
      </c>
      <c r="F7579" s="6" t="s">
        <v>249</v>
      </c>
      <c r="G7579" s="6" t="s">
        <v>477</v>
      </c>
      <c r="H7579" s="10">
        <v>46067.0</v>
      </c>
      <c r="I7579" s="12">
        <v>6.0</v>
      </c>
      <c r="J7579" s="6" t="s">
        <v>161</v>
      </c>
    </row>
    <row r="7580" ht="22.5" customHeight="1">
      <c r="A7580" s="6" t="s">
        <v>24388</v>
      </c>
      <c r="B7580" s="6" t="s">
        <v>16887</v>
      </c>
      <c r="C7580" s="10">
        <v>46055.0</v>
      </c>
      <c r="D7580" s="6" t="s">
        <v>677</v>
      </c>
      <c r="E7580" s="6" t="s">
        <v>475</v>
      </c>
      <c r="F7580" s="6" t="s">
        <v>283</v>
      </c>
      <c r="G7580" s="6" t="s">
        <v>452</v>
      </c>
      <c r="H7580" s="10">
        <v>46059.0</v>
      </c>
      <c r="I7580" s="12">
        <v>2.0</v>
      </c>
      <c r="J7580" s="6" t="s">
        <v>161</v>
      </c>
    </row>
    <row r="7581" ht="22.5" customHeight="1">
      <c r="A7581" s="6" t="s">
        <v>24389</v>
      </c>
      <c r="B7581" s="6" t="s">
        <v>16894</v>
      </c>
      <c r="C7581" s="10">
        <v>46045.0</v>
      </c>
      <c r="D7581" s="6" t="s">
        <v>289</v>
      </c>
      <c r="E7581" s="6" t="s">
        <v>695</v>
      </c>
      <c r="F7581" s="6" t="s">
        <v>249</v>
      </c>
      <c r="G7581" s="6" t="s">
        <v>369</v>
      </c>
      <c r="H7581" s="10">
        <v>46049.0</v>
      </c>
      <c r="I7581" s="12">
        <v>5.0</v>
      </c>
      <c r="J7581" s="6" t="s">
        <v>161</v>
      </c>
    </row>
    <row r="7582" ht="22.5" customHeight="1">
      <c r="A7582" s="6" t="s">
        <v>24390</v>
      </c>
      <c r="B7582" s="6" t="s">
        <v>16894</v>
      </c>
      <c r="C7582" s="10">
        <v>46044.0</v>
      </c>
      <c r="D7582" s="6" t="s">
        <v>416</v>
      </c>
      <c r="E7582" s="6" t="s">
        <v>695</v>
      </c>
      <c r="F7582" s="6" t="s">
        <v>283</v>
      </c>
      <c r="G7582" s="6" t="s">
        <v>477</v>
      </c>
      <c r="H7582" s="10">
        <v>46047.0</v>
      </c>
      <c r="I7582" s="12">
        <v>8.0</v>
      </c>
      <c r="J7582" s="6" t="s">
        <v>161</v>
      </c>
    </row>
    <row r="7583" ht="22.5" customHeight="1">
      <c r="A7583" s="6" t="s">
        <v>24391</v>
      </c>
      <c r="B7583" s="6" t="s">
        <v>16894</v>
      </c>
      <c r="C7583" s="10">
        <v>46045.0</v>
      </c>
      <c r="D7583" s="6" t="s">
        <v>436</v>
      </c>
      <c r="E7583" s="6" t="s">
        <v>1386</v>
      </c>
      <c r="F7583" s="6" t="s">
        <v>439</v>
      </c>
      <c r="G7583" s="6" t="s">
        <v>494</v>
      </c>
      <c r="H7583" s="10">
        <v>46050.0</v>
      </c>
      <c r="I7583" s="12">
        <v>7.0</v>
      </c>
      <c r="J7583" s="6" t="s">
        <v>178</v>
      </c>
    </row>
    <row r="7584" ht="22.5" customHeight="1">
      <c r="A7584" s="6" t="s">
        <v>24392</v>
      </c>
      <c r="B7584" s="6" t="s">
        <v>16900</v>
      </c>
      <c r="C7584" s="10">
        <v>46083.0</v>
      </c>
      <c r="D7584" s="6" t="s">
        <v>416</v>
      </c>
      <c r="E7584" s="6" t="s">
        <v>731</v>
      </c>
      <c r="F7584" s="6" t="s">
        <v>112</v>
      </c>
      <c r="G7584" s="6" t="s">
        <v>297</v>
      </c>
      <c r="H7584" s="10">
        <v>46084.0</v>
      </c>
      <c r="I7584" s="12">
        <v>9.0</v>
      </c>
      <c r="J7584" s="6" t="s">
        <v>161</v>
      </c>
    </row>
    <row r="7585" ht="22.5" customHeight="1">
      <c r="A7585" s="6" t="s">
        <v>24393</v>
      </c>
      <c r="B7585" s="6" t="s">
        <v>16900</v>
      </c>
      <c r="C7585" s="10">
        <v>46083.0</v>
      </c>
      <c r="D7585" s="6" t="s">
        <v>416</v>
      </c>
      <c r="E7585" s="6" t="s">
        <v>466</v>
      </c>
      <c r="F7585" s="6" t="s">
        <v>283</v>
      </c>
      <c r="G7585" s="6" t="s">
        <v>452</v>
      </c>
      <c r="H7585" s="10">
        <v>46088.0</v>
      </c>
      <c r="I7585" s="12">
        <v>8.0</v>
      </c>
      <c r="J7585" s="6" t="s">
        <v>161</v>
      </c>
    </row>
    <row r="7586" ht="22.5" customHeight="1">
      <c r="A7586" s="6" t="s">
        <v>24394</v>
      </c>
      <c r="B7586" s="6" t="s">
        <v>16900</v>
      </c>
      <c r="C7586" s="10">
        <v>46078.0</v>
      </c>
      <c r="D7586" s="6" t="s">
        <v>312</v>
      </c>
      <c r="E7586" s="6" t="s">
        <v>320</v>
      </c>
      <c r="F7586" s="6" t="s">
        <v>439</v>
      </c>
      <c r="G7586" s="6" t="s">
        <v>297</v>
      </c>
      <c r="H7586" s="10">
        <v>46079.0</v>
      </c>
      <c r="I7586" s="12">
        <v>5.0</v>
      </c>
      <c r="J7586" s="6" t="s">
        <v>161</v>
      </c>
    </row>
    <row r="7587" ht="22.5" customHeight="1">
      <c r="A7587" s="6" t="s">
        <v>24395</v>
      </c>
      <c r="B7587" s="6" t="s">
        <v>16907</v>
      </c>
      <c r="C7587" s="10">
        <v>46035.0</v>
      </c>
      <c r="D7587" s="6" t="s">
        <v>391</v>
      </c>
      <c r="E7587" s="6" t="s">
        <v>787</v>
      </c>
      <c r="F7587" s="6" t="s">
        <v>283</v>
      </c>
      <c r="G7587" s="6" t="s">
        <v>458</v>
      </c>
      <c r="H7587" s="10">
        <v>46038.0</v>
      </c>
      <c r="I7587" s="12">
        <v>7.0</v>
      </c>
      <c r="J7587" s="6" t="s">
        <v>161</v>
      </c>
    </row>
    <row r="7588" ht="22.5" customHeight="1">
      <c r="A7588" s="6" t="s">
        <v>24396</v>
      </c>
      <c r="B7588" s="6" t="s">
        <v>16907</v>
      </c>
      <c r="C7588" s="10">
        <v>46035.0</v>
      </c>
      <c r="D7588" s="6" t="s">
        <v>312</v>
      </c>
      <c r="E7588" s="6" t="s">
        <v>365</v>
      </c>
      <c r="F7588" s="6" t="s">
        <v>439</v>
      </c>
      <c r="G7588" s="6" t="s">
        <v>326</v>
      </c>
      <c r="H7588" s="10">
        <v>46036.0</v>
      </c>
      <c r="I7588" s="12">
        <v>6.0</v>
      </c>
      <c r="J7588" s="6" t="s">
        <v>161</v>
      </c>
    </row>
    <row r="7589" ht="22.5" customHeight="1">
      <c r="A7589" s="6" t="s">
        <v>24397</v>
      </c>
      <c r="B7589" s="6" t="s">
        <v>16914</v>
      </c>
      <c r="C7589" s="10">
        <v>46070.0</v>
      </c>
      <c r="D7589" s="6" t="s">
        <v>436</v>
      </c>
      <c r="E7589" s="6" t="s">
        <v>1296</v>
      </c>
      <c r="F7589" s="6" t="s">
        <v>249</v>
      </c>
      <c r="G7589" s="6" t="s">
        <v>369</v>
      </c>
      <c r="H7589" s="10">
        <v>46076.0</v>
      </c>
      <c r="I7589" s="12">
        <v>8.0</v>
      </c>
      <c r="J7589" s="6" t="s">
        <v>161</v>
      </c>
    </row>
    <row r="7590" ht="22.5" customHeight="1">
      <c r="A7590" s="6" t="s">
        <v>24398</v>
      </c>
      <c r="B7590" s="6" t="s">
        <v>16914</v>
      </c>
      <c r="C7590" s="10">
        <v>46057.0</v>
      </c>
      <c r="D7590" s="6" t="s">
        <v>312</v>
      </c>
      <c r="E7590" s="6" t="s">
        <v>1741</v>
      </c>
      <c r="F7590" s="6" t="s">
        <v>439</v>
      </c>
      <c r="G7590" s="6" t="s">
        <v>477</v>
      </c>
      <c r="H7590" s="10">
        <v>46060.0</v>
      </c>
      <c r="I7590" s="12">
        <v>7.0</v>
      </c>
      <c r="J7590" s="6" t="s">
        <v>161</v>
      </c>
    </row>
    <row r="7591" ht="22.5" customHeight="1">
      <c r="A7591" s="6" t="s">
        <v>24399</v>
      </c>
      <c r="B7591" s="6" t="s">
        <v>16914</v>
      </c>
      <c r="C7591" s="10">
        <v>46057.0</v>
      </c>
      <c r="D7591" s="6" t="s">
        <v>312</v>
      </c>
      <c r="E7591" s="6" t="s">
        <v>896</v>
      </c>
      <c r="F7591" s="6" t="s">
        <v>249</v>
      </c>
      <c r="G7591" s="6" t="s">
        <v>369</v>
      </c>
      <c r="H7591" s="10">
        <v>46058.0</v>
      </c>
      <c r="I7591" s="12">
        <v>5.0</v>
      </c>
      <c r="J7591" s="6" t="s">
        <v>161</v>
      </c>
    </row>
    <row r="7592" ht="22.5" customHeight="1">
      <c r="A7592" s="6" t="s">
        <v>24400</v>
      </c>
      <c r="B7592" s="6" t="s">
        <v>16914</v>
      </c>
      <c r="C7592" s="10">
        <v>46069.0</v>
      </c>
      <c r="D7592" s="6" t="s">
        <v>436</v>
      </c>
      <c r="E7592" s="6" t="s">
        <v>833</v>
      </c>
      <c r="F7592" s="6" t="s">
        <v>112</v>
      </c>
      <c r="G7592" s="6" t="s">
        <v>326</v>
      </c>
      <c r="H7592" s="10">
        <v>46075.0</v>
      </c>
      <c r="I7592" s="12">
        <v>6.0</v>
      </c>
      <c r="J7592" s="6" t="s">
        <v>161</v>
      </c>
    </row>
    <row r="7593" ht="22.5" customHeight="1">
      <c r="A7593" s="6" t="s">
        <v>24401</v>
      </c>
      <c r="B7593" s="6" t="s">
        <v>16920</v>
      </c>
      <c r="C7593" s="10">
        <v>46076.0</v>
      </c>
      <c r="D7593" s="6" t="s">
        <v>242</v>
      </c>
      <c r="E7593" s="6" t="s">
        <v>1055</v>
      </c>
      <c r="F7593" s="6" t="s">
        <v>249</v>
      </c>
      <c r="G7593" s="6" t="s">
        <v>297</v>
      </c>
      <c r="H7593" s="10">
        <v>46076.0</v>
      </c>
      <c r="I7593" s="12">
        <v>3.0</v>
      </c>
      <c r="J7593" s="6" t="s">
        <v>178</v>
      </c>
    </row>
    <row r="7594" ht="22.5" customHeight="1">
      <c r="A7594" s="6" t="s">
        <v>24402</v>
      </c>
      <c r="B7594" s="6" t="s">
        <v>16920</v>
      </c>
      <c r="C7594" s="10">
        <v>46067.0</v>
      </c>
      <c r="D7594" s="6" t="s">
        <v>677</v>
      </c>
      <c r="E7594" s="6" t="s">
        <v>466</v>
      </c>
      <c r="F7594" s="6" t="s">
        <v>112</v>
      </c>
      <c r="G7594" s="6" t="s">
        <v>297</v>
      </c>
      <c r="H7594" s="10">
        <v>46067.0</v>
      </c>
      <c r="I7594" s="12">
        <v>4.0</v>
      </c>
      <c r="J7594" s="6" t="s">
        <v>161</v>
      </c>
    </row>
    <row r="7595" ht="22.5" customHeight="1">
      <c r="A7595" s="6" t="s">
        <v>24403</v>
      </c>
      <c r="B7595" s="6" t="s">
        <v>16920</v>
      </c>
      <c r="C7595" s="10">
        <v>46067.0</v>
      </c>
      <c r="D7595" s="6" t="s">
        <v>242</v>
      </c>
      <c r="E7595" s="6" t="s">
        <v>1741</v>
      </c>
      <c r="F7595" s="6" t="s">
        <v>283</v>
      </c>
      <c r="G7595" s="6" t="s">
        <v>326</v>
      </c>
      <c r="H7595" s="10">
        <v>46073.0</v>
      </c>
      <c r="I7595" s="12">
        <v>4.0</v>
      </c>
      <c r="J7595" s="6" t="s">
        <v>178</v>
      </c>
    </row>
    <row r="7596" ht="22.5" customHeight="1">
      <c r="A7596" s="6" t="s">
        <v>24404</v>
      </c>
      <c r="B7596" s="6" t="s">
        <v>16927</v>
      </c>
      <c r="C7596" s="10">
        <v>46085.0</v>
      </c>
      <c r="D7596" s="6" t="s">
        <v>391</v>
      </c>
      <c r="E7596" s="6" t="s">
        <v>687</v>
      </c>
      <c r="F7596" s="6" t="s">
        <v>249</v>
      </c>
      <c r="G7596" s="6" t="s">
        <v>326</v>
      </c>
      <c r="H7596" s="10">
        <v>46092.0</v>
      </c>
      <c r="I7596" s="12">
        <v>9.0</v>
      </c>
      <c r="J7596" s="6" t="s">
        <v>161</v>
      </c>
    </row>
    <row r="7597" ht="22.5" customHeight="1">
      <c r="A7597" s="6" t="s">
        <v>24405</v>
      </c>
      <c r="B7597" s="6" t="s">
        <v>16927</v>
      </c>
      <c r="C7597" s="10">
        <v>46072.0</v>
      </c>
      <c r="D7597" s="6" t="s">
        <v>416</v>
      </c>
      <c r="E7597" s="6" t="s">
        <v>738</v>
      </c>
      <c r="F7597" s="6" t="s">
        <v>112</v>
      </c>
      <c r="G7597" s="6" t="s">
        <v>369</v>
      </c>
      <c r="H7597" s="11" t="s">
        <v>259</v>
      </c>
      <c r="I7597" s="12">
        <v>10.0</v>
      </c>
      <c r="J7597" s="6" t="s">
        <v>161</v>
      </c>
    </row>
    <row r="7598" ht="22.5" customHeight="1">
      <c r="A7598" s="6" t="s">
        <v>24406</v>
      </c>
      <c r="B7598" s="6" t="s">
        <v>16927</v>
      </c>
      <c r="C7598" s="10">
        <v>46069.0</v>
      </c>
      <c r="D7598" s="6" t="s">
        <v>391</v>
      </c>
      <c r="E7598" s="6" t="s">
        <v>634</v>
      </c>
      <c r="F7598" s="6" t="s">
        <v>439</v>
      </c>
      <c r="G7598" s="6" t="s">
        <v>458</v>
      </c>
      <c r="H7598" s="11" t="s">
        <v>259</v>
      </c>
      <c r="I7598" s="12">
        <v>7.0</v>
      </c>
      <c r="J7598" s="6" t="s">
        <v>161</v>
      </c>
    </row>
    <row r="7599" ht="22.5" customHeight="1">
      <c r="A7599" s="6" t="s">
        <v>24407</v>
      </c>
      <c r="B7599" s="6" t="s">
        <v>16933</v>
      </c>
      <c r="C7599" s="10">
        <v>46054.0</v>
      </c>
      <c r="D7599" s="6" t="s">
        <v>289</v>
      </c>
      <c r="E7599" s="6" t="s">
        <v>787</v>
      </c>
      <c r="F7599" s="6" t="s">
        <v>439</v>
      </c>
      <c r="G7599" s="6" t="s">
        <v>326</v>
      </c>
      <c r="H7599" s="10">
        <v>46056.0</v>
      </c>
      <c r="I7599" s="12">
        <v>9.0</v>
      </c>
      <c r="J7599" s="6" t="s">
        <v>161</v>
      </c>
    </row>
    <row r="7600" ht="22.5" customHeight="1">
      <c r="A7600" s="6" t="s">
        <v>24408</v>
      </c>
      <c r="B7600" s="6" t="s">
        <v>16933</v>
      </c>
      <c r="C7600" s="10">
        <v>46057.0</v>
      </c>
      <c r="D7600" s="6" t="s">
        <v>436</v>
      </c>
      <c r="E7600" s="6" t="s">
        <v>512</v>
      </c>
      <c r="F7600" s="6" t="s">
        <v>112</v>
      </c>
      <c r="G7600" s="6" t="s">
        <v>477</v>
      </c>
      <c r="H7600" s="10">
        <v>46063.0</v>
      </c>
      <c r="I7600" s="12">
        <v>8.0</v>
      </c>
      <c r="J7600" s="6" t="s">
        <v>161</v>
      </c>
    </row>
    <row r="7601" ht="22.5" customHeight="1">
      <c r="A7601" s="6" t="s">
        <v>24409</v>
      </c>
      <c r="B7601" s="6" t="s">
        <v>16940</v>
      </c>
      <c r="C7601" s="10">
        <v>46061.0</v>
      </c>
      <c r="D7601" s="6" t="s">
        <v>416</v>
      </c>
      <c r="E7601" s="6" t="s">
        <v>1600</v>
      </c>
      <c r="F7601" s="6" t="s">
        <v>283</v>
      </c>
      <c r="G7601" s="6" t="s">
        <v>254</v>
      </c>
      <c r="H7601" s="11" t="s">
        <v>259</v>
      </c>
      <c r="I7601" s="12">
        <v>9.0</v>
      </c>
      <c r="J7601" s="6" t="s">
        <v>161</v>
      </c>
    </row>
    <row r="7602" ht="22.5" customHeight="1">
      <c r="A7602" s="6" t="s">
        <v>24410</v>
      </c>
      <c r="B7602" s="6" t="s">
        <v>16946</v>
      </c>
      <c r="C7602" s="10">
        <v>46027.0</v>
      </c>
      <c r="D7602" s="6" t="s">
        <v>242</v>
      </c>
      <c r="E7602" s="6" t="s">
        <v>1102</v>
      </c>
      <c r="F7602" s="6" t="s">
        <v>283</v>
      </c>
      <c r="G7602" s="6" t="s">
        <v>369</v>
      </c>
      <c r="H7602" s="10">
        <v>46032.0</v>
      </c>
      <c r="I7602" s="12">
        <v>3.0</v>
      </c>
      <c r="J7602" s="6" t="s">
        <v>161</v>
      </c>
    </row>
    <row r="7603" ht="22.5" customHeight="1">
      <c r="A7603" s="6" t="s">
        <v>24411</v>
      </c>
      <c r="B7603" s="6" t="s">
        <v>16946</v>
      </c>
      <c r="C7603" s="10">
        <v>46037.0</v>
      </c>
      <c r="D7603" s="6" t="s">
        <v>312</v>
      </c>
      <c r="E7603" s="6" t="s">
        <v>512</v>
      </c>
      <c r="F7603" s="6" t="s">
        <v>283</v>
      </c>
      <c r="G7603" s="6" t="s">
        <v>326</v>
      </c>
      <c r="H7603" s="10">
        <v>46037.0</v>
      </c>
      <c r="I7603" s="12">
        <v>5.0</v>
      </c>
      <c r="J7603" s="6" t="s">
        <v>161</v>
      </c>
    </row>
    <row r="7604" ht="22.5" customHeight="1">
      <c r="A7604" s="6" t="s">
        <v>24412</v>
      </c>
      <c r="B7604" s="6" t="s">
        <v>16946</v>
      </c>
      <c r="C7604" s="10">
        <v>46037.0</v>
      </c>
      <c r="D7604" s="6" t="s">
        <v>242</v>
      </c>
      <c r="E7604" s="6" t="s">
        <v>716</v>
      </c>
      <c r="F7604" s="6" t="s">
        <v>249</v>
      </c>
      <c r="G7604" s="6" t="s">
        <v>458</v>
      </c>
      <c r="H7604" s="10">
        <v>46044.0</v>
      </c>
      <c r="I7604" s="12">
        <v>6.0</v>
      </c>
      <c r="J7604" s="6" t="s">
        <v>178</v>
      </c>
    </row>
    <row r="7605" ht="22.5" customHeight="1">
      <c r="A7605" s="6" t="s">
        <v>24413</v>
      </c>
      <c r="B7605" s="6" t="s">
        <v>16953</v>
      </c>
      <c r="C7605" s="10">
        <v>46071.0</v>
      </c>
      <c r="D7605" s="6" t="s">
        <v>391</v>
      </c>
      <c r="E7605" s="6" t="s">
        <v>1273</v>
      </c>
      <c r="F7605" s="6" t="s">
        <v>439</v>
      </c>
      <c r="G7605" s="6" t="s">
        <v>326</v>
      </c>
      <c r="H7605" s="10">
        <v>46071.0</v>
      </c>
      <c r="I7605" s="12">
        <v>11.0</v>
      </c>
      <c r="J7605" s="6" t="s">
        <v>161</v>
      </c>
    </row>
    <row r="7606" ht="22.5" customHeight="1">
      <c r="A7606" s="6" t="s">
        <v>24414</v>
      </c>
      <c r="B7606" s="6" t="s">
        <v>16953</v>
      </c>
      <c r="C7606" s="10">
        <v>46078.0</v>
      </c>
      <c r="D7606" s="6" t="s">
        <v>242</v>
      </c>
      <c r="E7606" s="6" t="s">
        <v>775</v>
      </c>
      <c r="F7606" s="6" t="s">
        <v>112</v>
      </c>
      <c r="G7606" s="6" t="s">
        <v>254</v>
      </c>
      <c r="H7606" s="10">
        <v>46084.0</v>
      </c>
      <c r="I7606" s="12">
        <v>6.0</v>
      </c>
      <c r="J7606" s="6" t="s">
        <v>178</v>
      </c>
    </row>
    <row r="7607" ht="22.5" customHeight="1">
      <c r="A7607" s="6" t="s">
        <v>24415</v>
      </c>
      <c r="B7607" s="6" t="s">
        <v>16959</v>
      </c>
      <c r="C7607" s="10">
        <v>46038.0</v>
      </c>
      <c r="D7607" s="6" t="s">
        <v>436</v>
      </c>
      <c r="E7607" s="6" t="s">
        <v>1035</v>
      </c>
      <c r="F7607" s="6" t="s">
        <v>112</v>
      </c>
      <c r="G7607" s="6" t="s">
        <v>326</v>
      </c>
      <c r="H7607" s="10">
        <v>46045.0</v>
      </c>
      <c r="I7607" s="12">
        <v>9.0</v>
      </c>
      <c r="J7607" s="6" t="s">
        <v>178</v>
      </c>
    </row>
    <row r="7608" ht="22.5" customHeight="1">
      <c r="A7608" s="6" t="s">
        <v>24416</v>
      </c>
      <c r="B7608" s="6" t="s">
        <v>16959</v>
      </c>
      <c r="C7608" s="10">
        <v>46028.0</v>
      </c>
      <c r="D7608" s="6" t="s">
        <v>436</v>
      </c>
      <c r="E7608" s="6" t="s">
        <v>438</v>
      </c>
      <c r="F7608" s="6" t="s">
        <v>249</v>
      </c>
      <c r="G7608" s="6" t="s">
        <v>326</v>
      </c>
      <c r="H7608" s="10">
        <v>46029.0</v>
      </c>
      <c r="I7608" s="12">
        <v>10.0</v>
      </c>
      <c r="J7608" s="6" t="s">
        <v>161</v>
      </c>
    </row>
    <row r="7609" ht="22.5" customHeight="1">
      <c r="A7609" s="6" t="s">
        <v>24417</v>
      </c>
      <c r="B7609" s="6" t="s">
        <v>16959</v>
      </c>
      <c r="C7609" s="10">
        <v>46043.0</v>
      </c>
      <c r="D7609" s="6" t="s">
        <v>677</v>
      </c>
      <c r="E7609" s="6" t="s">
        <v>1386</v>
      </c>
      <c r="F7609" s="6" t="s">
        <v>439</v>
      </c>
      <c r="G7609" s="6" t="s">
        <v>369</v>
      </c>
      <c r="H7609" s="10">
        <v>46048.0</v>
      </c>
      <c r="I7609" s="12">
        <v>2.0</v>
      </c>
      <c r="J7609" s="6" t="s">
        <v>161</v>
      </c>
    </row>
    <row r="7610" ht="22.5" customHeight="1">
      <c r="A7610" s="6" t="s">
        <v>24418</v>
      </c>
      <c r="B7610" s="6" t="s">
        <v>16959</v>
      </c>
      <c r="C7610" s="10">
        <v>46041.0</v>
      </c>
      <c r="D7610" s="6" t="s">
        <v>436</v>
      </c>
      <c r="E7610" s="6" t="s">
        <v>566</v>
      </c>
      <c r="F7610" s="6" t="s">
        <v>249</v>
      </c>
      <c r="G7610" s="6" t="s">
        <v>297</v>
      </c>
      <c r="H7610" s="10">
        <v>46047.0</v>
      </c>
      <c r="I7610" s="12">
        <v>6.0</v>
      </c>
      <c r="J7610" s="6" t="s">
        <v>178</v>
      </c>
    </row>
    <row r="7611" ht="22.5" customHeight="1">
      <c r="A7611" s="6" t="s">
        <v>24419</v>
      </c>
      <c r="B7611" s="6" t="s">
        <v>16959</v>
      </c>
      <c r="C7611" s="10">
        <v>46041.0</v>
      </c>
      <c r="D7611" s="6" t="s">
        <v>677</v>
      </c>
      <c r="E7611" s="6" t="s">
        <v>1055</v>
      </c>
      <c r="F7611" s="6" t="s">
        <v>249</v>
      </c>
      <c r="G7611" s="6" t="s">
        <v>369</v>
      </c>
      <c r="H7611" s="10">
        <v>46048.0</v>
      </c>
      <c r="I7611" s="12">
        <v>4.0</v>
      </c>
      <c r="J7611" s="6" t="s">
        <v>161</v>
      </c>
    </row>
    <row r="7612" ht="22.5" customHeight="1">
      <c r="A7612" s="6" t="s">
        <v>24420</v>
      </c>
      <c r="B7612" s="6" t="s">
        <v>16966</v>
      </c>
      <c r="C7612" s="10">
        <v>46083.0</v>
      </c>
      <c r="D7612" s="6" t="s">
        <v>436</v>
      </c>
      <c r="E7612" s="6" t="s">
        <v>787</v>
      </c>
      <c r="F7612" s="6" t="s">
        <v>112</v>
      </c>
      <c r="G7612" s="6" t="s">
        <v>494</v>
      </c>
      <c r="H7612" s="10">
        <v>46084.0</v>
      </c>
      <c r="I7612" s="12">
        <v>7.0</v>
      </c>
      <c r="J7612" s="6" t="s">
        <v>161</v>
      </c>
    </row>
    <row r="7613" ht="22.5" customHeight="1">
      <c r="A7613" s="6" t="s">
        <v>24421</v>
      </c>
      <c r="B7613" s="6" t="s">
        <v>16966</v>
      </c>
      <c r="C7613" s="10">
        <v>46075.0</v>
      </c>
      <c r="D7613" s="6" t="s">
        <v>416</v>
      </c>
      <c r="E7613" s="6" t="s">
        <v>2365</v>
      </c>
      <c r="F7613" s="6" t="s">
        <v>439</v>
      </c>
      <c r="G7613" s="6" t="s">
        <v>494</v>
      </c>
      <c r="H7613" s="10">
        <v>46075.0</v>
      </c>
      <c r="I7613" s="12">
        <v>9.0</v>
      </c>
      <c r="J7613" s="6" t="s">
        <v>161</v>
      </c>
    </row>
    <row r="7614" ht="22.5" customHeight="1">
      <c r="A7614" s="6" t="s">
        <v>24422</v>
      </c>
      <c r="B7614" s="6" t="s">
        <v>16966</v>
      </c>
      <c r="C7614" s="10">
        <v>46083.0</v>
      </c>
      <c r="D7614" s="6" t="s">
        <v>416</v>
      </c>
      <c r="E7614" s="6" t="s">
        <v>1296</v>
      </c>
      <c r="F7614" s="6" t="s">
        <v>112</v>
      </c>
      <c r="G7614" s="6" t="s">
        <v>458</v>
      </c>
      <c r="H7614" s="11" t="s">
        <v>259</v>
      </c>
      <c r="I7614" s="12">
        <v>11.0</v>
      </c>
      <c r="J7614" s="6" t="s">
        <v>161</v>
      </c>
    </row>
    <row r="7615" ht="22.5" customHeight="1">
      <c r="A7615" s="6" t="s">
        <v>24423</v>
      </c>
      <c r="B7615" s="6" t="s">
        <v>16972</v>
      </c>
      <c r="C7615" s="10">
        <v>46070.0</v>
      </c>
      <c r="D7615" s="6" t="s">
        <v>312</v>
      </c>
      <c r="E7615" s="6" t="s">
        <v>787</v>
      </c>
      <c r="F7615" s="6" t="s">
        <v>112</v>
      </c>
      <c r="G7615" s="6" t="s">
        <v>458</v>
      </c>
      <c r="H7615" s="10">
        <v>46072.0</v>
      </c>
      <c r="I7615" s="12">
        <v>5.0</v>
      </c>
      <c r="J7615" s="6" t="s">
        <v>161</v>
      </c>
    </row>
    <row r="7616" ht="22.5" customHeight="1">
      <c r="A7616" s="6" t="s">
        <v>24424</v>
      </c>
      <c r="B7616" s="6" t="s">
        <v>16972</v>
      </c>
      <c r="C7616" s="10">
        <v>46086.0</v>
      </c>
      <c r="D7616" s="6" t="s">
        <v>289</v>
      </c>
      <c r="E7616" s="6" t="s">
        <v>687</v>
      </c>
      <c r="F7616" s="6" t="s">
        <v>439</v>
      </c>
      <c r="G7616" s="6" t="s">
        <v>369</v>
      </c>
      <c r="H7616" s="10">
        <v>46086.0</v>
      </c>
      <c r="I7616" s="12">
        <v>8.0</v>
      </c>
      <c r="J7616" s="6" t="s">
        <v>161</v>
      </c>
    </row>
    <row r="7617" ht="22.5" customHeight="1">
      <c r="A7617" s="6" t="s">
        <v>24425</v>
      </c>
      <c r="B7617" s="6" t="s">
        <v>16972</v>
      </c>
      <c r="C7617" s="10">
        <v>46068.0</v>
      </c>
      <c r="D7617" s="6" t="s">
        <v>312</v>
      </c>
      <c r="E7617" s="6" t="s">
        <v>716</v>
      </c>
      <c r="F7617" s="6" t="s">
        <v>283</v>
      </c>
      <c r="G7617" s="6" t="s">
        <v>326</v>
      </c>
      <c r="H7617" s="10">
        <v>46068.0</v>
      </c>
      <c r="I7617" s="12">
        <v>6.0</v>
      </c>
      <c r="J7617" s="6" t="s">
        <v>161</v>
      </c>
    </row>
    <row r="7618" ht="22.5" customHeight="1">
      <c r="A7618" s="6" t="s">
        <v>24426</v>
      </c>
      <c r="B7618" s="6" t="s">
        <v>16972</v>
      </c>
      <c r="C7618" s="10">
        <v>46072.0</v>
      </c>
      <c r="D7618" s="6" t="s">
        <v>242</v>
      </c>
      <c r="E7618" s="6" t="s">
        <v>634</v>
      </c>
      <c r="F7618" s="6" t="s">
        <v>249</v>
      </c>
      <c r="G7618" s="6" t="s">
        <v>458</v>
      </c>
      <c r="H7618" s="10">
        <v>46076.0</v>
      </c>
      <c r="I7618" s="12">
        <v>4.0</v>
      </c>
      <c r="J7618" s="6" t="s">
        <v>178</v>
      </c>
    </row>
    <row r="7619" ht="22.5" customHeight="1">
      <c r="A7619" s="6" t="s">
        <v>24427</v>
      </c>
      <c r="B7619" s="6" t="s">
        <v>16979</v>
      </c>
      <c r="C7619" s="10">
        <v>46031.0</v>
      </c>
      <c r="D7619" s="6" t="s">
        <v>416</v>
      </c>
      <c r="E7619" s="6" t="s">
        <v>1552</v>
      </c>
      <c r="F7619" s="6" t="s">
        <v>283</v>
      </c>
      <c r="G7619" s="6" t="s">
        <v>297</v>
      </c>
      <c r="H7619" s="10">
        <v>46035.0</v>
      </c>
      <c r="I7619" s="12">
        <v>12.0</v>
      </c>
      <c r="J7619" s="6" t="s">
        <v>161</v>
      </c>
    </row>
    <row r="7620" ht="22.5" customHeight="1">
      <c r="A7620" s="6" t="s">
        <v>24428</v>
      </c>
      <c r="B7620" s="6" t="s">
        <v>16979</v>
      </c>
      <c r="C7620" s="10">
        <v>46041.0</v>
      </c>
      <c r="D7620" s="6" t="s">
        <v>289</v>
      </c>
      <c r="E7620" s="6" t="s">
        <v>1570</v>
      </c>
      <c r="F7620" s="6" t="s">
        <v>439</v>
      </c>
      <c r="G7620" s="6" t="s">
        <v>452</v>
      </c>
      <c r="H7620" s="10">
        <v>46044.0</v>
      </c>
      <c r="I7620" s="12">
        <v>9.0</v>
      </c>
      <c r="J7620" s="6" t="s">
        <v>161</v>
      </c>
    </row>
    <row r="7621" ht="22.5" customHeight="1">
      <c r="A7621" s="6" t="s">
        <v>24429</v>
      </c>
      <c r="B7621" s="6" t="s">
        <v>16985</v>
      </c>
      <c r="C7621" s="10">
        <v>46075.0</v>
      </c>
      <c r="D7621" s="6" t="s">
        <v>416</v>
      </c>
      <c r="E7621" s="6" t="s">
        <v>798</v>
      </c>
      <c r="F7621" s="6" t="s">
        <v>112</v>
      </c>
      <c r="G7621" s="6" t="s">
        <v>369</v>
      </c>
      <c r="H7621" s="10">
        <v>46078.0</v>
      </c>
      <c r="I7621" s="12">
        <v>9.0</v>
      </c>
      <c r="J7621" s="6" t="s">
        <v>161</v>
      </c>
    </row>
    <row r="7622" ht="22.5" customHeight="1">
      <c r="A7622" s="6" t="s">
        <v>24430</v>
      </c>
      <c r="B7622" s="6" t="s">
        <v>16985</v>
      </c>
      <c r="C7622" s="10">
        <v>46068.0</v>
      </c>
      <c r="D7622" s="6" t="s">
        <v>677</v>
      </c>
      <c r="E7622" s="6" t="s">
        <v>1296</v>
      </c>
      <c r="F7622" s="6" t="s">
        <v>439</v>
      </c>
      <c r="G7622" s="6" t="s">
        <v>494</v>
      </c>
      <c r="H7622" s="10">
        <v>46072.0</v>
      </c>
      <c r="I7622" s="12">
        <v>2.0</v>
      </c>
      <c r="J7622" s="6" t="s">
        <v>161</v>
      </c>
    </row>
    <row r="7623" ht="22.5" customHeight="1">
      <c r="A7623" s="6" t="s">
        <v>24431</v>
      </c>
      <c r="B7623" s="6" t="s">
        <v>16985</v>
      </c>
      <c r="C7623" s="10">
        <v>46069.0</v>
      </c>
      <c r="D7623" s="6" t="s">
        <v>436</v>
      </c>
      <c r="E7623" s="6" t="s">
        <v>1626</v>
      </c>
      <c r="F7623" s="6" t="s">
        <v>439</v>
      </c>
      <c r="G7623" s="6" t="s">
        <v>326</v>
      </c>
      <c r="H7623" s="10">
        <v>46075.0</v>
      </c>
      <c r="I7623" s="12">
        <v>7.0</v>
      </c>
      <c r="J7623" s="6" t="s">
        <v>178</v>
      </c>
    </row>
    <row r="7624" ht="22.5" customHeight="1">
      <c r="A7624" s="6" t="s">
        <v>24432</v>
      </c>
      <c r="B7624" s="6" t="s">
        <v>16985</v>
      </c>
      <c r="C7624" s="10">
        <v>46073.0</v>
      </c>
      <c r="D7624" s="6" t="s">
        <v>391</v>
      </c>
      <c r="E7624" s="6" t="s">
        <v>466</v>
      </c>
      <c r="F7624" s="6" t="s">
        <v>439</v>
      </c>
      <c r="G7624" s="6" t="s">
        <v>297</v>
      </c>
      <c r="H7624" s="10">
        <v>46073.0</v>
      </c>
      <c r="I7624" s="12">
        <v>6.0</v>
      </c>
      <c r="J7624" s="6" t="s">
        <v>161</v>
      </c>
    </row>
    <row r="7625" ht="22.5" customHeight="1">
      <c r="A7625" s="6" t="s">
        <v>24433</v>
      </c>
      <c r="B7625" s="6" t="s">
        <v>16991</v>
      </c>
      <c r="C7625" s="10">
        <v>46057.0</v>
      </c>
      <c r="D7625" s="6" t="s">
        <v>416</v>
      </c>
      <c r="E7625" s="6" t="s">
        <v>731</v>
      </c>
      <c r="F7625" s="6" t="s">
        <v>112</v>
      </c>
      <c r="G7625" s="6" t="s">
        <v>452</v>
      </c>
      <c r="H7625" s="10">
        <v>46057.0</v>
      </c>
      <c r="I7625" s="12">
        <v>13.0</v>
      </c>
      <c r="J7625" s="6" t="s">
        <v>161</v>
      </c>
    </row>
    <row r="7626" ht="22.5" customHeight="1">
      <c r="A7626" s="6" t="s">
        <v>24434</v>
      </c>
      <c r="B7626" s="6" t="s">
        <v>16991</v>
      </c>
      <c r="C7626" s="10">
        <v>46049.0</v>
      </c>
      <c r="D7626" s="6" t="s">
        <v>242</v>
      </c>
      <c r="E7626" s="6" t="s">
        <v>618</v>
      </c>
      <c r="F7626" s="6" t="s">
        <v>112</v>
      </c>
      <c r="G7626" s="6" t="s">
        <v>369</v>
      </c>
      <c r="H7626" s="10">
        <v>46055.0</v>
      </c>
      <c r="I7626" s="12">
        <v>3.0</v>
      </c>
      <c r="J7626" s="6" t="s">
        <v>178</v>
      </c>
    </row>
    <row r="7627" ht="22.5" customHeight="1">
      <c r="A7627" s="6" t="s">
        <v>24435</v>
      </c>
      <c r="B7627" s="6" t="s">
        <v>16991</v>
      </c>
      <c r="C7627" s="10">
        <v>46057.0</v>
      </c>
      <c r="D7627" s="6" t="s">
        <v>677</v>
      </c>
      <c r="E7627" s="6" t="s">
        <v>450</v>
      </c>
      <c r="F7627" s="6" t="s">
        <v>283</v>
      </c>
      <c r="G7627" s="6" t="s">
        <v>458</v>
      </c>
      <c r="H7627" s="11" t="s">
        <v>259</v>
      </c>
      <c r="I7627" s="12">
        <v>2.0</v>
      </c>
      <c r="J7627" s="6" t="s">
        <v>161</v>
      </c>
    </row>
    <row r="7628" ht="22.5" customHeight="1">
      <c r="A7628" s="6" t="s">
        <v>24436</v>
      </c>
      <c r="B7628" s="6" t="s">
        <v>16999</v>
      </c>
      <c r="C7628" s="10">
        <v>46026.0</v>
      </c>
      <c r="D7628" s="6" t="s">
        <v>289</v>
      </c>
      <c r="E7628" s="6" t="s">
        <v>583</v>
      </c>
      <c r="F7628" s="6" t="s">
        <v>439</v>
      </c>
      <c r="G7628" s="6" t="s">
        <v>494</v>
      </c>
      <c r="H7628" s="11" t="s">
        <v>259</v>
      </c>
      <c r="I7628" s="12">
        <v>6.0</v>
      </c>
      <c r="J7628" s="6" t="s">
        <v>161</v>
      </c>
    </row>
    <row r="7629" ht="22.5" customHeight="1">
      <c r="A7629" s="6" t="s">
        <v>24437</v>
      </c>
      <c r="B7629" s="6" t="s">
        <v>17005</v>
      </c>
      <c r="C7629" s="10">
        <v>46031.0</v>
      </c>
      <c r="D7629" s="6" t="s">
        <v>391</v>
      </c>
      <c r="E7629" s="6" t="s">
        <v>1055</v>
      </c>
      <c r="F7629" s="6" t="s">
        <v>283</v>
      </c>
      <c r="G7629" s="6" t="s">
        <v>458</v>
      </c>
      <c r="H7629" s="10">
        <v>46036.0</v>
      </c>
      <c r="I7629" s="12">
        <v>6.0</v>
      </c>
      <c r="J7629" s="6" t="s">
        <v>161</v>
      </c>
    </row>
    <row r="7630" ht="22.5" customHeight="1">
      <c r="A7630" s="6" t="s">
        <v>24438</v>
      </c>
      <c r="B7630" s="6" t="s">
        <v>17012</v>
      </c>
      <c r="C7630" s="10">
        <v>46068.0</v>
      </c>
      <c r="D7630" s="6" t="s">
        <v>416</v>
      </c>
      <c r="E7630" s="6" t="s">
        <v>1517</v>
      </c>
      <c r="F7630" s="6" t="s">
        <v>112</v>
      </c>
      <c r="G7630" s="6" t="s">
        <v>254</v>
      </c>
      <c r="H7630" s="10">
        <v>46068.0</v>
      </c>
      <c r="I7630" s="12">
        <v>10.0</v>
      </c>
      <c r="J7630" s="6" t="s">
        <v>161</v>
      </c>
    </row>
    <row r="7631" ht="22.5" customHeight="1">
      <c r="A7631" s="6" t="s">
        <v>24439</v>
      </c>
      <c r="B7631" s="6" t="s">
        <v>17012</v>
      </c>
      <c r="C7631" s="10">
        <v>46054.0</v>
      </c>
      <c r="D7631" s="6" t="s">
        <v>677</v>
      </c>
      <c r="E7631" s="6" t="s">
        <v>512</v>
      </c>
      <c r="F7631" s="6" t="s">
        <v>283</v>
      </c>
      <c r="G7631" s="6" t="s">
        <v>494</v>
      </c>
      <c r="H7631" s="10">
        <v>46055.0</v>
      </c>
      <c r="I7631" s="12">
        <v>4.0</v>
      </c>
      <c r="J7631" s="6" t="s">
        <v>161</v>
      </c>
    </row>
    <row r="7632" ht="22.5" customHeight="1">
      <c r="A7632" s="6" t="s">
        <v>24440</v>
      </c>
      <c r="B7632" s="6" t="s">
        <v>17012</v>
      </c>
      <c r="C7632" s="10">
        <v>46057.0</v>
      </c>
      <c r="D7632" s="6" t="s">
        <v>416</v>
      </c>
      <c r="E7632" s="6" t="s">
        <v>833</v>
      </c>
      <c r="F7632" s="6" t="s">
        <v>249</v>
      </c>
      <c r="G7632" s="6" t="s">
        <v>326</v>
      </c>
      <c r="H7632" s="10">
        <v>46057.0</v>
      </c>
      <c r="I7632" s="12">
        <v>11.0</v>
      </c>
      <c r="J7632" s="6" t="s">
        <v>161</v>
      </c>
    </row>
    <row r="7633" ht="22.5" customHeight="1">
      <c r="A7633" s="6" t="s">
        <v>24441</v>
      </c>
      <c r="B7633" s="6" t="s">
        <v>17019</v>
      </c>
      <c r="C7633" s="10">
        <v>46038.0</v>
      </c>
      <c r="D7633" s="6" t="s">
        <v>242</v>
      </c>
      <c r="E7633" s="6" t="s">
        <v>1102</v>
      </c>
      <c r="F7633" s="6" t="s">
        <v>112</v>
      </c>
      <c r="G7633" s="6" t="s">
        <v>254</v>
      </c>
      <c r="H7633" s="10">
        <v>46041.0</v>
      </c>
      <c r="I7633" s="12">
        <v>5.0</v>
      </c>
      <c r="J7633" s="6" t="s">
        <v>178</v>
      </c>
    </row>
    <row r="7634" ht="22.5" customHeight="1">
      <c r="A7634" s="6" t="s">
        <v>24442</v>
      </c>
      <c r="B7634" s="6" t="s">
        <v>17019</v>
      </c>
      <c r="C7634" s="10">
        <v>46031.0</v>
      </c>
      <c r="D7634" s="6" t="s">
        <v>436</v>
      </c>
      <c r="E7634" s="6" t="s">
        <v>365</v>
      </c>
      <c r="F7634" s="6" t="s">
        <v>283</v>
      </c>
      <c r="G7634" s="6" t="s">
        <v>254</v>
      </c>
      <c r="H7634" s="10">
        <v>46034.0</v>
      </c>
      <c r="I7634" s="12">
        <v>12.0</v>
      </c>
      <c r="J7634" s="6" t="s">
        <v>178</v>
      </c>
    </row>
    <row r="7635" ht="22.5" customHeight="1">
      <c r="A7635" s="6" t="s">
        <v>24443</v>
      </c>
      <c r="B7635" s="6" t="s">
        <v>17019</v>
      </c>
      <c r="C7635" s="10">
        <v>46036.0</v>
      </c>
      <c r="D7635" s="6" t="s">
        <v>242</v>
      </c>
      <c r="E7635" s="6" t="s">
        <v>1149</v>
      </c>
      <c r="F7635" s="6" t="s">
        <v>249</v>
      </c>
      <c r="G7635" s="6" t="s">
        <v>297</v>
      </c>
      <c r="H7635" s="10">
        <v>46043.0</v>
      </c>
      <c r="I7635" s="12">
        <v>3.0</v>
      </c>
      <c r="J7635" s="6" t="s">
        <v>178</v>
      </c>
    </row>
    <row r="7636" ht="22.5" customHeight="1">
      <c r="A7636" s="6" t="s">
        <v>24444</v>
      </c>
      <c r="B7636" s="6" t="s">
        <v>17025</v>
      </c>
      <c r="C7636" s="10">
        <v>46045.0</v>
      </c>
      <c r="D7636" s="6" t="s">
        <v>436</v>
      </c>
      <c r="E7636" s="6" t="s">
        <v>291</v>
      </c>
      <c r="F7636" s="6" t="s">
        <v>283</v>
      </c>
      <c r="G7636" s="6" t="s">
        <v>452</v>
      </c>
      <c r="H7636" s="10">
        <v>46049.0</v>
      </c>
      <c r="I7636" s="12">
        <v>10.0</v>
      </c>
      <c r="J7636" s="6" t="s">
        <v>178</v>
      </c>
    </row>
    <row r="7637" ht="22.5" customHeight="1">
      <c r="A7637" s="6" t="s">
        <v>24445</v>
      </c>
      <c r="B7637" s="6" t="s">
        <v>17025</v>
      </c>
      <c r="C7637" s="10">
        <v>46055.0</v>
      </c>
      <c r="D7637" s="6" t="s">
        <v>391</v>
      </c>
      <c r="E7637" s="6" t="s">
        <v>1296</v>
      </c>
      <c r="F7637" s="6" t="s">
        <v>283</v>
      </c>
      <c r="G7637" s="6" t="s">
        <v>452</v>
      </c>
      <c r="H7637" s="10">
        <v>46061.0</v>
      </c>
      <c r="I7637" s="12">
        <v>8.0</v>
      </c>
      <c r="J7637" s="6" t="s">
        <v>161</v>
      </c>
    </row>
    <row r="7638" ht="22.5" customHeight="1">
      <c r="A7638" s="6" t="s">
        <v>24446</v>
      </c>
      <c r="B7638" s="6" t="s">
        <v>17025</v>
      </c>
      <c r="C7638" s="10">
        <v>46057.0</v>
      </c>
      <c r="D7638" s="6" t="s">
        <v>391</v>
      </c>
      <c r="E7638" s="6" t="s">
        <v>417</v>
      </c>
      <c r="F7638" s="6" t="s">
        <v>249</v>
      </c>
      <c r="G7638" s="6" t="s">
        <v>458</v>
      </c>
      <c r="H7638" s="10">
        <v>46061.0</v>
      </c>
      <c r="I7638" s="12">
        <v>10.0</v>
      </c>
      <c r="J7638" s="6" t="s">
        <v>161</v>
      </c>
    </row>
    <row r="7639" ht="22.5" customHeight="1">
      <c r="A7639" s="6" t="s">
        <v>24447</v>
      </c>
      <c r="B7639" s="6" t="s">
        <v>17032</v>
      </c>
      <c r="C7639" s="10">
        <v>46057.0</v>
      </c>
      <c r="D7639" s="6" t="s">
        <v>416</v>
      </c>
      <c r="E7639" s="6" t="s">
        <v>634</v>
      </c>
      <c r="F7639" s="6" t="s">
        <v>249</v>
      </c>
      <c r="G7639" s="6" t="s">
        <v>452</v>
      </c>
      <c r="H7639" s="10">
        <v>46061.0</v>
      </c>
      <c r="I7639" s="12">
        <v>10.0</v>
      </c>
      <c r="J7639" s="6" t="s">
        <v>161</v>
      </c>
    </row>
    <row r="7640" ht="22.5" customHeight="1">
      <c r="A7640" s="6" t="s">
        <v>24448</v>
      </c>
      <c r="B7640" s="6" t="s">
        <v>17037</v>
      </c>
      <c r="C7640" s="10">
        <v>46040.0</v>
      </c>
      <c r="D7640" s="6" t="s">
        <v>677</v>
      </c>
      <c r="E7640" s="6" t="s">
        <v>475</v>
      </c>
      <c r="F7640" s="6" t="s">
        <v>439</v>
      </c>
      <c r="G7640" s="6" t="s">
        <v>458</v>
      </c>
      <c r="H7640" s="10">
        <v>46040.0</v>
      </c>
      <c r="I7640" s="12">
        <v>4.0</v>
      </c>
      <c r="J7640" s="6" t="s">
        <v>161</v>
      </c>
    </row>
    <row r="7641" ht="22.5" customHeight="1">
      <c r="A7641" s="6" t="s">
        <v>24449</v>
      </c>
      <c r="B7641" s="6" t="s">
        <v>17037</v>
      </c>
      <c r="C7641" s="10">
        <v>46039.0</v>
      </c>
      <c r="D7641" s="6" t="s">
        <v>242</v>
      </c>
      <c r="E7641" s="6" t="s">
        <v>695</v>
      </c>
      <c r="F7641" s="6" t="s">
        <v>439</v>
      </c>
      <c r="G7641" s="6" t="s">
        <v>477</v>
      </c>
      <c r="H7641" s="10">
        <v>46042.0</v>
      </c>
      <c r="I7641" s="12">
        <v>5.0</v>
      </c>
      <c r="J7641" s="6" t="s">
        <v>178</v>
      </c>
    </row>
    <row r="7642" ht="22.5" customHeight="1">
      <c r="A7642" s="6" t="s">
        <v>24450</v>
      </c>
      <c r="B7642" s="6" t="s">
        <v>17043</v>
      </c>
      <c r="C7642" s="10">
        <v>46065.0</v>
      </c>
      <c r="D7642" s="6" t="s">
        <v>289</v>
      </c>
      <c r="E7642" s="6" t="s">
        <v>394</v>
      </c>
      <c r="F7642" s="6" t="s">
        <v>283</v>
      </c>
      <c r="G7642" s="6" t="s">
        <v>369</v>
      </c>
      <c r="H7642" s="10">
        <v>46069.0</v>
      </c>
      <c r="I7642" s="12">
        <v>7.0</v>
      </c>
      <c r="J7642" s="6" t="s">
        <v>161</v>
      </c>
    </row>
    <row r="7643" ht="22.5" customHeight="1">
      <c r="A7643" s="6" t="s">
        <v>24451</v>
      </c>
      <c r="B7643" s="6" t="s">
        <v>17043</v>
      </c>
      <c r="C7643" s="10">
        <v>46057.0</v>
      </c>
      <c r="D7643" s="6" t="s">
        <v>391</v>
      </c>
      <c r="E7643" s="6" t="s">
        <v>833</v>
      </c>
      <c r="F7643" s="6" t="s">
        <v>249</v>
      </c>
      <c r="G7643" s="6" t="s">
        <v>458</v>
      </c>
      <c r="H7643" s="10">
        <v>46064.0</v>
      </c>
      <c r="I7643" s="12">
        <v>11.0</v>
      </c>
      <c r="J7643" s="6" t="s">
        <v>161</v>
      </c>
    </row>
    <row r="7644" ht="22.5" customHeight="1">
      <c r="A7644" s="6" t="s">
        <v>24452</v>
      </c>
      <c r="B7644" s="6" t="s">
        <v>17043</v>
      </c>
      <c r="C7644" s="10">
        <v>46058.0</v>
      </c>
      <c r="D7644" s="6" t="s">
        <v>391</v>
      </c>
      <c r="E7644" s="6" t="s">
        <v>670</v>
      </c>
      <c r="F7644" s="6" t="s">
        <v>249</v>
      </c>
      <c r="G7644" s="6" t="s">
        <v>452</v>
      </c>
      <c r="H7644" s="10">
        <v>46059.0</v>
      </c>
      <c r="I7644" s="12">
        <v>11.0</v>
      </c>
      <c r="J7644" s="6" t="s">
        <v>161</v>
      </c>
    </row>
    <row r="7645" ht="22.5" customHeight="1">
      <c r="A7645" s="6" t="s">
        <v>24453</v>
      </c>
      <c r="B7645" s="6" t="s">
        <v>17043</v>
      </c>
      <c r="C7645" s="10">
        <v>46064.0</v>
      </c>
      <c r="D7645" s="6" t="s">
        <v>242</v>
      </c>
      <c r="E7645" s="6" t="s">
        <v>833</v>
      </c>
      <c r="F7645" s="6" t="s">
        <v>112</v>
      </c>
      <c r="G7645" s="6" t="s">
        <v>477</v>
      </c>
      <c r="H7645" s="10">
        <v>46068.0</v>
      </c>
      <c r="I7645" s="12">
        <v>6.0</v>
      </c>
      <c r="J7645" s="6" t="s">
        <v>178</v>
      </c>
    </row>
    <row r="7646" ht="22.5" customHeight="1">
      <c r="A7646" s="6" t="s">
        <v>24454</v>
      </c>
      <c r="B7646" s="6" t="s">
        <v>17050</v>
      </c>
      <c r="C7646" s="10">
        <v>46048.0</v>
      </c>
      <c r="D7646" s="6" t="s">
        <v>289</v>
      </c>
      <c r="E7646" s="6" t="s">
        <v>658</v>
      </c>
      <c r="F7646" s="6" t="s">
        <v>283</v>
      </c>
      <c r="G7646" s="6" t="s">
        <v>297</v>
      </c>
      <c r="H7646" s="10">
        <v>46048.0</v>
      </c>
      <c r="I7646" s="12">
        <v>5.0</v>
      </c>
      <c r="J7646" s="6" t="s">
        <v>161</v>
      </c>
    </row>
    <row r="7647" ht="22.5" customHeight="1">
      <c r="A7647" s="6" t="s">
        <v>24455</v>
      </c>
      <c r="B7647" s="6" t="s">
        <v>17050</v>
      </c>
      <c r="C7647" s="10">
        <v>46043.0</v>
      </c>
      <c r="D7647" s="6" t="s">
        <v>391</v>
      </c>
      <c r="E7647" s="6" t="s">
        <v>475</v>
      </c>
      <c r="F7647" s="6" t="s">
        <v>112</v>
      </c>
      <c r="G7647" s="6" t="s">
        <v>326</v>
      </c>
      <c r="H7647" s="10">
        <v>46048.0</v>
      </c>
      <c r="I7647" s="12">
        <v>8.0</v>
      </c>
      <c r="J7647" s="6" t="s">
        <v>161</v>
      </c>
    </row>
    <row r="7648" ht="22.5" customHeight="1">
      <c r="A7648" s="6" t="s">
        <v>24456</v>
      </c>
      <c r="B7648" s="6" t="s">
        <v>17050</v>
      </c>
      <c r="C7648" s="10">
        <v>46028.0</v>
      </c>
      <c r="D7648" s="6" t="s">
        <v>416</v>
      </c>
      <c r="E7648" s="6" t="s">
        <v>1310</v>
      </c>
      <c r="F7648" s="6" t="s">
        <v>439</v>
      </c>
      <c r="G7648" s="6" t="s">
        <v>369</v>
      </c>
      <c r="H7648" s="10">
        <v>46035.0</v>
      </c>
      <c r="I7648" s="12">
        <v>8.0</v>
      </c>
      <c r="J7648" s="6" t="s">
        <v>161</v>
      </c>
    </row>
    <row r="7649" ht="22.5" customHeight="1">
      <c r="A7649" s="6" t="s">
        <v>24457</v>
      </c>
      <c r="B7649" s="6" t="s">
        <v>17050</v>
      </c>
      <c r="C7649" s="10">
        <v>46033.0</v>
      </c>
      <c r="D7649" s="6" t="s">
        <v>677</v>
      </c>
      <c r="E7649" s="6" t="s">
        <v>1241</v>
      </c>
      <c r="F7649" s="6" t="s">
        <v>439</v>
      </c>
      <c r="G7649" s="6" t="s">
        <v>254</v>
      </c>
      <c r="H7649" s="10">
        <v>46038.0</v>
      </c>
      <c r="I7649" s="12">
        <v>2.0</v>
      </c>
      <c r="J7649" s="6" t="s">
        <v>161</v>
      </c>
    </row>
    <row r="7650" ht="22.5" customHeight="1">
      <c r="A7650" s="6" t="s">
        <v>24458</v>
      </c>
      <c r="B7650" s="6" t="s">
        <v>17056</v>
      </c>
      <c r="C7650" s="10">
        <v>46067.0</v>
      </c>
      <c r="D7650" s="6" t="s">
        <v>242</v>
      </c>
      <c r="E7650" s="6" t="s">
        <v>1310</v>
      </c>
      <c r="F7650" s="6" t="s">
        <v>112</v>
      </c>
      <c r="G7650" s="6" t="s">
        <v>458</v>
      </c>
      <c r="H7650" s="10">
        <v>46067.0</v>
      </c>
      <c r="I7650" s="12">
        <v>5.0</v>
      </c>
      <c r="J7650" s="6" t="s">
        <v>178</v>
      </c>
    </row>
    <row r="7651" ht="22.5" customHeight="1">
      <c r="A7651" s="6" t="s">
        <v>24459</v>
      </c>
      <c r="B7651" s="6" t="s">
        <v>17056</v>
      </c>
      <c r="C7651" s="10">
        <v>46078.0</v>
      </c>
      <c r="D7651" s="6" t="s">
        <v>391</v>
      </c>
      <c r="E7651" s="6" t="s">
        <v>2881</v>
      </c>
      <c r="F7651" s="6" t="s">
        <v>283</v>
      </c>
      <c r="G7651" s="6" t="s">
        <v>369</v>
      </c>
      <c r="H7651" s="11" t="s">
        <v>259</v>
      </c>
      <c r="I7651" s="12">
        <v>9.0</v>
      </c>
      <c r="J7651" s="6" t="s">
        <v>161</v>
      </c>
    </row>
    <row r="7652" ht="22.5" customHeight="1">
      <c r="A7652" s="6" t="s">
        <v>24460</v>
      </c>
      <c r="B7652" s="6" t="s">
        <v>17056</v>
      </c>
      <c r="C7652" s="10">
        <v>46068.0</v>
      </c>
      <c r="D7652" s="6" t="s">
        <v>677</v>
      </c>
      <c r="E7652" s="6" t="s">
        <v>1626</v>
      </c>
      <c r="F7652" s="6" t="s">
        <v>283</v>
      </c>
      <c r="G7652" s="6" t="s">
        <v>458</v>
      </c>
      <c r="H7652" s="10">
        <v>46069.0</v>
      </c>
      <c r="I7652" s="12">
        <v>3.0</v>
      </c>
      <c r="J7652" s="6" t="s">
        <v>161</v>
      </c>
    </row>
    <row r="7653" ht="22.5" customHeight="1">
      <c r="A7653" s="6" t="s">
        <v>24461</v>
      </c>
      <c r="B7653" s="6" t="s">
        <v>17056</v>
      </c>
      <c r="C7653" s="10">
        <v>46074.0</v>
      </c>
      <c r="D7653" s="6" t="s">
        <v>289</v>
      </c>
      <c r="E7653" s="6" t="s">
        <v>658</v>
      </c>
      <c r="F7653" s="6" t="s">
        <v>112</v>
      </c>
      <c r="G7653" s="6" t="s">
        <v>452</v>
      </c>
      <c r="H7653" s="11" t="s">
        <v>259</v>
      </c>
      <c r="I7653" s="12">
        <v>7.0</v>
      </c>
      <c r="J7653" s="6" t="s">
        <v>161</v>
      </c>
    </row>
    <row r="7654" ht="22.5" customHeight="1">
      <c r="A7654" s="6" t="s">
        <v>24462</v>
      </c>
      <c r="B7654" s="6" t="s">
        <v>17056</v>
      </c>
      <c r="C7654" s="10">
        <v>46064.0</v>
      </c>
      <c r="D7654" s="6" t="s">
        <v>312</v>
      </c>
      <c r="E7654" s="6" t="s">
        <v>787</v>
      </c>
      <c r="F7654" s="6" t="s">
        <v>249</v>
      </c>
      <c r="G7654" s="6" t="s">
        <v>452</v>
      </c>
      <c r="H7654" s="10">
        <v>46066.0</v>
      </c>
      <c r="I7654" s="12">
        <v>6.0</v>
      </c>
      <c r="J7654" s="6" t="s">
        <v>161</v>
      </c>
    </row>
    <row r="7655" ht="22.5" customHeight="1">
      <c r="A7655" s="6" t="s">
        <v>24463</v>
      </c>
      <c r="B7655" s="6" t="s">
        <v>17062</v>
      </c>
      <c r="C7655" s="10">
        <v>46043.0</v>
      </c>
      <c r="D7655" s="6" t="s">
        <v>677</v>
      </c>
      <c r="E7655" s="6" t="s">
        <v>775</v>
      </c>
      <c r="F7655" s="6" t="s">
        <v>112</v>
      </c>
      <c r="G7655" s="6" t="s">
        <v>326</v>
      </c>
      <c r="H7655" s="10">
        <v>46044.0</v>
      </c>
      <c r="I7655" s="12">
        <v>4.0</v>
      </c>
      <c r="J7655" s="6" t="s">
        <v>161</v>
      </c>
    </row>
    <row r="7656" ht="22.5" customHeight="1">
      <c r="A7656" s="6" t="s">
        <v>24464</v>
      </c>
      <c r="B7656" s="6" t="s">
        <v>17062</v>
      </c>
      <c r="C7656" s="10">
        <v>46033.0</v>
      </c>
      <c r="D7656" s="6" t="s">
        <v>416</v>
      </c>
      <c r="E7656" s="6" t="s">
        <v>1280</v>
      </c>
      <c r="F7656" s="6" t="s">
        <v>439</v>
      </c>
      <c r="G7656" s="6" t="s">
        <v>297</v>
      </c>
      <c r="H7656" s="10">
        <v>46033.0</v>
      </c>
      <c r="I7656" s="12">
        <v>12.0</v>
      </c>
      <c r="J7656" s="6" t="s">
        <v>161</v>
      </c>
    </row>
    <row r="7657" ht="22.5" customHeight="1">
      <c r="A7657" s="6" t="s">
        <v>24465</v>
      </c>
      <c r="B7657" s="6" t="s">
        <v>17062</v>
      </c>
      <c r="C7657" s="10">
        <v>46035.0</v>
      </c>
      <c r="D7657" s="6" t="s">
        <v>416</v>
      </c>
      <c r="E7657" s="6" t="s">
        <v>695</v>
      </c>
      <c r="F7657" s="6" t="s">
        <v>112</v>
      </c>
      <c r="G7657" s="6" t="s">
        <v>452</v>
      </c>
      <c r="H7657" s="10">
        <v>46036.0</v>
      </c>
      <c r="I7657" s="12">
        <v>8.0</v>
      </c>
      <c r="J7657" s="6" t="s">
        <v>161</v>
      </c>
    </row>
    <row r="7658" ht="22.5" customHeight="1">
      <c r="A7658" s="6" t="s">
        <v>24466</v>
      </c>
      <c r="B7658" s="6" t="s">
        <v>17069</v>
      </c>
      <c r="C7658" s="10">
        <v>46070.0</v>
      </c>
      <c r="D7658" s="6" t="s">
        <v>312</v>
      </c>
      <c r="E7658" s="6" t="s">
        <v>798</v>
      </c>
      <c r="F7658" s="6" t="s">
        <v>249</v>
      </c>
      <c r="G7658" s="6" t="s">
        <v>494</v>
      </c>
      <c r="H7658" s="10">
        <v>46073.0</v>
      </c>
      <c r="I7658" s="12">
        <v>5.0</v>
      </c>
      <c r="J7658" s="6" t="s">
        <v>161</v>
      </c>
    </row>
    <row r="7659" ht="22.5" customHeight="1">
      <c r="A7659" s="6" t="s">
        <v>24467</v>
      </c>
      <c r="B7659" s="6" t="s">
        <v>17069</v>
      </c>
      <c r="C7659" s="10">
        <v>46063.0</v>
      </c>
      <c r="D7659" s="6" t="s">
        <v>391</v>
      </c>
      <c r="E7659" s="6" t="s">
        <v>246</v>
      </c>
      <c r="F7659" s="6" t="s">
        <v>112</v>
      </c>
      <c r="G7659" s="6" t="s">
        <v>494</v>
      </c>
      <c r="H7659" s="10">
        <v>46064.0</v>
      </c>
      <c r="I7659" s="12">
        <v>7.0</v>
      </c>
      <c r="J7659" s="6" t="s">
        <v>161</v>
      </c>
    </row>
    <row r="7660" ht="22.5" customHeight="1">
      <c r="A7660" s="6" t="s">
        <v>24468</v>
      </c>
      <c r="B7660" s="6" t="s">
        <v>17069</v>
      </c>
      <c r="C7660" s="10">
        <v>46077.0</v>
      </c>
      <c r="D7660" s="6" t="s">
        <v>242</v>
      </c>
      <c r="E7660" s="6" t="s">
        <v>863</v>
      </c>
      <c r="F7660" s="6" t="s">
        <v>112</v>
      </c>
      <c r="G7660" s="6" t="s">
        <v>494</v>
      </c>
      <c r="H7660" s="10">
        <v>46082.0</v>
      </c>
      <c r="I7660" s="12">
        <v>3.0</v>
      </c>
      <c r="J7660" s="6" t="s">
        <v>178</v>
      </c>
    </row>
    <row r="7661" ht="22.5" customHeight="1">
      <c r="A7661" s="6" t="s">
        <v>24469</v>
      </c>
      <c r="B7661" s="6" t="s">
        <v>17069</v>
      </c>
      <c r="C7661" s="10">
        <v>46078.0</v>
      </c>
      <c r="D7661" s="6" t="s">
        <v>242</v>
      </c>
      <c r="E7661" s="6" t="s">
        <v>512</v>
      </c>
      <c r="F7661" s="6" t="s">
        <v>439</v>
      </c>
      <c r="G7661" s="6" t="s">
        <v>369</v>
      </c>
      <c r="H7661" s="10">
        <v>46082.0</v>
      </c>
      <c r="I7661" s="12">
        <v>3.0</v>
      </c>
      <c r="J7661" s="6" t="s">
        <v>178</v>
      </c>
    </row>
    <row r="7662" ht="22.5" customHeight="1">
      <c r="A7662" s="6" t="s">
        <v>24470</v>
      </c>
      <c r="B7662" s="6" t="s">
        <v>17075</v>
      </c>
      <c r="C7662" s="10">
        <v>46083.0</v>
      </c>
      <c r="D7662" s="6" t="s">
        <v>416</v>
      </c>
      <c r="E7662" s="6" t="s">
        <v>291</v>
      </c>
      <c r="F7662" s="6" t="s">
        <v>112</v>
      </c>
      <c r="G7662" s="6" t="s">
        <v>369</v>
      </c>
      <c r="H7662" s="10">
        <v>46088.0</v>
      </c>
      <c r="I7662" s="12">
        <v>12.0</v>
      </c>
      <c r="J7662" s="6" t="s">
        <v>161</v>
      </c>
    </row>
    <row r="7663" ht="22.5" customHeight="1">
      <c r="A7663" s="6" t="s">
        <v>24471</v>
      </c>
      <c r="B7663" s="6" t="s">
        <v>17075</v>
      </c>
      <c r="C7663" s="10">
        <v>46067.0</v>
      </c>
      <c r="D7663" s="6" t="s">
        <v>677</v>
      </c>
      <c r="E7663" s="6" t="s">
        <v>566</v>
      </c>
      <c r="F7663" s="6" t="s">
        <v>112</v>
      </c>
      <c r="G7663" s="6" t="s">
        <v>369</v>
      </c>
      <c r="H7663" s="10">
        <v>46074.0</v>
      </c>
      <c r="I7663" s="12">
        <v>3.0</v>
      </c>
      <c r="J7663" s="6" t="s">
        <v>161</v>
      </c>
    </row>
    <row r="7664" ht="22.5" customHeight="1">
      <c r="A7664" s="6" t="s">
        <v>24472</v>
      </c>
      <c r="B7664" s="6" t="s">
        <v>17075</v>
      </c>
      <c r="C7664" s="10">
        <v>46083.0</v>
      </c>
      <c r="D7664" s="6" t="s">
        <v>242</v>
      </c>
      <c r="E7664" s="6" t="s">
        <v>1149</v>
      </c>
      <c r="F7664" s="6" t="s">
        <v>439</v>
      </c>
      <c r="G7664" s="6" t="s">
        <v>452</v>
      </c>
      <c r="H7664" s="10">
        <v>46089.0</v>
      </c>
      <c r="I7664" s="12">
        <v>4.0</v>
      </c>
      <c r="J7664" s="6" t="s">
        <v>161</v>
      </c>
    </row>
    <row r="7665" ht="22.5" customHeight="1">
      <c r="A7665" s="6" t="s">
        <v>24473</v>
      </c>
      <c r="B7665" s="6" t="s">
        <v>17082</v>
      </c>
      <c r="C7665" s="10">
        <v>46068.0</v>
      </c>
      <c r="D7665" s="6" t="s">
        <v>289</v>
      </c>
      <c r="E7665" s="6" t="s">
        <v>628</v>
      </c>
      <c r="F7665" s="6" t="s">
        <v>283</v>
      </c>
      <c r="G7665" s="6" t="s">
        <v>458</v>
      </c>
      <c r="H7665" s="10">
        <v>46068.0</v>
      </c>
      <c r="I7665" s="12">
        <v>9.0</v>
      </c>
      <c r="J7665" s="6" t="s">
        <v>161</v>
      </c>
    </row>
    <row r="7666" ht="22.5" customHeight="1">
      <c r="A7666" s="6" t="s">
        <v>24474</v>
      </c>
      <c r="B7666" s="6" t="s">
        <v>17082</v>
      </c>
      <c r="C7666" s="10">
        <v>46064.0</v>
      </c>
      <c r="D7666" s="6" t="s">
        <v>391</v>
      </c>
      <c r="E7666" s="6" t="s">
        <v>1070</v>
      </c>
      <c r="F7666" s="6" t="s">
        <v>439</v>
      </c>
      <c r="G7666" s="6" t="s">
        <v>369</v>
      </c>
      <c r="H7666" s="10">
        <v>46064.0</v>
      </c>
      <c r="I7666" s="12">
        <v>11.0</v>
      </c>
      <c r="J7666" s="6" t="s">
        <v>161</v>
      </c>
    </row>
    <row r="7667" ht="22.5" customHeight="1">
      <c r="A7667" s="6" t="s">
        <v>24475</v>
      </c>
      <c r="B7667" s="6" t="s">
        <v>17089</v>
      </c>
      <c r="C7667" s="10">
        <v>46083.0</v>
      </c>
      <c r="D7667" s="6" t="s">
        <v>436</v>
      </c>
      <c r="E7667" s="6" t="s">
        <v>634</v>
      </c>
      <c r="F7667" s="6" t="s">
        <v>439</v>
      </c>
      <c r="G7667" s="6" t="s">
        <v>458</v>
      </c>
      <c r="H7667" s="10">
        <v>46090.0</v>
      </c>
      <c r="I7667" s="12">
        <v>8.0</v>
      </c>
      <c r="J7667" s="6" t="s">
        <v>178</v>
      </c>
    </row>
    <row r="7668" ht="22.5" customHeight="1">
      <c r="A7668" s="6" t="s">
        <v>24476</v>
      </c>
      <c r="B7668" s="6" t="s">
        <v>17089</v>
      </c>
      <c r="C7668" s="10">
        <v>46076.0</v>
      </c>
      <c r="D7668" s="6" t="s">
        <v>677</v>
      </c>
      <c r="E7668" s="6" t="s">
        <v>618</v>
      </c>
      <c r="F7668" s="6" t="s">
        <v>249</v>
      </c>
      <c r="G7668" s="6" t="s">
        <v>326</v>
      </c>
      <c r="H7668" s="10">
        <v>46081.0</v>
      </c>
      <c r="I7668" s="12">
        <v>4.0</v>
      </c>
      <c r="J7668" s="6" t="s">
        <v>161</v>
      </c>
    </row>
    <row r="7669" ht="22.5" customHeight="1">
      <c r="A7669" s="6" t="s">
        <v>24477</v>
      </c>
      <c r="B7669" s="6" t="s">
        <v>17089</v>
      </c>
      <c r="C7669" s="10">
        <v>46082.0</v>
      </c>
      <c r="D7669" s="6" t="s">
        <v>391</v>
      </c>
      <c r="E7669" s="6" t="s">
        <v>1570</v>
      </c>
      <c r="F7669" s="6" t="s">
        <v>249</v>
      </c>
      <c r="G7669" s="6" t="s">
        <v>494</v>
      </c>
      <c r="H7669" s="10">
        <v>46083.0</v>
      </c>
      <c r="I7669" s="12">
        <v>6.0</v>
      </c>
      <c r="J7669" s="6" t="s">
        <v>161</v>
      </c>
    </row>
    <row r="7670" ht="22.5" customHeight="1">
      <c r="A7670" s="6" t="s">
        <v>24478</v>
      </c>
      <c r="B7670" s="6" t="s">
        <v>17089</v>
      </c>
      <c r="C7670" s="10">
        <v>46082.0</v>
      </c>
      <c r="D7670" s="6" t="s">
        <v>289</v>
      </c>
      <c r="E7670" s="6" t="s">
        <v>1386</v>
      </c>
      <c r="F7670" s="6" t="s">
        <v>249</v>
      </c>
      <c r="G7670" s="6" t="s">
        <v>297</v>
      </c>
      <c r="H7670" s="10">
        <v>46087.0</v>
      </c>
      <c r="I7670" s="12">
        <v>9.0</v>
      </c>
      <c r="J7670" s="6" t="s">
        <v>161</v>
      </c>
    </row>
    <row r="7671" ht="22.5" customHeight="1">
      <c r="A7671" s="6" t="s">
        <v>24479</v>
      </c>
      <c r="B7671" s="6" t="s">
        <v>17089</v>
      </c>
      <c r="C7671" s="10">
        <v>46085.0</v>
      </c>
      <c r="D7671" s="6" t="s">
        <v>391</v>
      </c>
      <c r="E7671" s="6" t="s">
        <v>1626</v>
      </c>
      <c r="F7671" s="6" t="s">
        <v>283</v>
      </c>
      <c r="G7671" s="6" t="s">
        <v>458</v>
      </c>
      <c r="H7671" s="10">
        <v>46091.0</v>
      </c>
      <c r="I7671" s="12">
        <v>7.0</v>
      </c>
      <c r="J7671" s="6" t="s">
        <v>161</v>
      </c>
    </row>
    <row r="7672" ht="22.5" customHeight="1">
      <c r="A7672" s="6" t="s">
        <v>24480</v>
      </c>
      <c r="B7672" s="6" t="s">
        <v>17095</v>
      </c>
      <c r="C7672" s="10">
        <v>46039.0</v>
      </c>
      <c r="D7672" s="6" t="s">
        <v>436</v>
      </c>
      <c r="E7672" s="6" t="s">
        <v>798</v>
      </c>
      <c r="F7672" s="6" t="s">
        <v>283</v>
      </c>
      <c r="G7672" s="6" t="s">
        <v>254</v>
      </c>
      <c r="H7672" s="10">
        <v>46041.0</v>
      </c>
      <c r="I7672" s="12">
        <v>7.0</v>
      </c>
      <c r="J7672" s="6" t="s">
        <v>178</v>
      </c>
    </row>
    <row r="7673" ht="22.5" customHeight="1">
      <c r="A7673" s="6" t="s">
        <v>24481</v>
      </c>
      <c r="B7673" s="6" t="s">
        <v>17095</v>
      </c>
      <c r="C7673" s="10">
        <v>46023.0</v>
      </c>
      <c r="D7673" s="6" t="s">
        <v>416</v>
      </c>
      <c r="E7673" s="6" t="s">
        <v>618</v>
      </c>
      <c r="F7673" s="6" t="s">
        <v>112</v>
      </c>
      <c r="G7673" s="6" t="s">
        <v>326</v>
      </c>
      <c r="H7673" s="10">
        <v>46024.0</v>
      </c>
      <c r="I7673" s="12">
        <v>9.0</v>
      </c>
      <c r="J7673" s="6" t="s">
        <v>161</v>
      </c>
    </row>
    <row r="7674" ht="22.5" customHeight="1">
      <c r="A7674" s="6" t="s">
        <v>24482</v>
      </c>
      <c r="B7674" s="6" t="s">
        <v>17095</v>
      </c>
      <c r="C7674" s="10">
        <v>46040.0</v>
      </c>
      <c r="D7674" s="6" t="s">
        <v>391</v>
      </c>
      <c r="E7674" s="6" t="s">
        <v>812</v>
      </c>
      <c r="F7674" s="6" t="s">
        <v>249</v>
      </c>
      <c r="G7674" s="6" t="s">
        <v>326</v>
      </c>
      <c r="H7674" s="10">
        <v>46044.0</v>
      </c>
      <c r="I7674" s="12">
        <v>7.0</v>
      </c>
      <c r="J7674" s="6" t="s">
        <v>161</v>
      </c>
    </row>
    <row r="7675" ht="22.5" customHeight="1">
      <c r="A7675" s="6" t="s">
        <v>24483</v>
      </c>
      <c r="B7675" s="6" t="s">
        <v>17095</v>
      </c>
      <c r="C7675" s="10">
        <v>46034.0</v>
      </c>
      <c r="D7675" s="6" t="s">
        <v>416</v>
      </c>
      <c r="E7675" s="6" t="s">
        <v>1600</v>
      </c>
      <c r="F7675" s="6" t="s">
        <v>249</v>
      </c>
      <c r="G7675" s="6" t="s">
        <v>326</v>
      </c>
      <c r="H7675" s="10">
        <v>46034.0</v>
      </c>
      <c r="I7675" s="12">
        <v>8.0</v>
      </c>
      <c r="J7675" s="6" t="s">
        <v>161</v>
      </c>
    </row>
    <row r="7676" ht="22.5" customHeight="1">
      <c r="A7676" s="6" t="s">
        <v>24484</v>
      </c>
      <c r="B7676" s="6" t="s">
        <v>17095</v>
      </c>
      <c r="C7676" s="10">
        <v>46037.0</v>
      </c>
      <c r="D7676" s="6" t="s">
        <v>677</v>
      </c>
      <c r="E7676" s="6" t="s">
        <v>687</v>
      </c>
      <c r="F7676" s="6" t="s">
        <v>249</v>
      </c>
      <c r="G7676" s="6" t="s">
        <v>297</v>
      </c>
      <c r="H7676" s="11" t="s">
        <v>259</v>
      </c>
      <c r="I7676" s="12">
        <v>2.0</v>
      </c>
      <c r="J7676" s="6" t="s">
        <v>161</v>
      </c>
    </row>
    <row r="7677" ht="22.5" customHeight="1">
      <c r="A7677" s="6" t="s">
        <v>24485</v>
      </c>
      <c r="B7677" s="6" t="s">
        <v>17101</v>
      </c>
      <c r="C7677" s="10">
        <v>46047.0</v>
      </c>
      <c r="D7677" s="6" t="s">
        <v>416</v>
      </c>
      <c r="E7677" s="6" t="s">
        <v>1720</v>
      </c>
      <c r="F7677" s="6" t="s">
        <v>112</v>
      </c>
      <c r="G7677" s="6" t="s">
        <v>254</v>
      </c>
      <c r="H7677" s="10">
        <v>46053.0</v>
      </c>
      <c r="I7677" s="12">
        <v>10.0</v>
      </c>
      <c r="J7677" s="6" t="s">
        <v>161</v>
      </c>
    </row>
    <row r="7678" ht="22.5" customHeight="1">
      <c r="A7678" s="6" t="s">
        <v>24486</v>
      </c>
      <c r="B7678" s="6" t="s">
        <v>17101</v>
      </c>
      <c r="C7678" s="10">
        <v>46059.0</v>
      </c>
      <c r="D7678" s="6" t="s">
        <v>416</v>
      </c>
      <c r="E7678" s="6" t="s">
        <v>394</v>
      </c>
      <c r="F7678" s="6" t="s">
        <v>283</v>
      </c>
      <c r="G7678" s="6" t="s">
        <v>297</v>
      </c>
      <c r="H7678" s="11" t="s">
        <v>259</v>
      </c>
      <c r="I7678" s="12">
        <v>10.0</v>
      </c>
      <c r="J7678" s="6" t="s">
        <v>161</v>
      </c>
    </row>
    <row r="7679" ht="22.5" customHeight="1">
      <c r="A7679" s="6" t="s">
        <v>24487</v>
      </c>
      <c r="B7679" s="6" t="s">
        <v>17101</v>
      </c>
      <c r="C7679" s="10">
        <v>46047.0</v>
      </c>
      <c r="D7679" s="6" t="s">
        <v>289</v>
      </c>
      <c r="E7679" s="6" t="s">
        <v>320</v>
      </c>
      <c r="F7679" s="6" t="s">
        <v>249</v>
      </c>
      <c r="G7679" s="6" t="s">
        <v>458</v>
      </c>
      <c r="H7679" s="10">
        <v>46050.0</v>
      </c>
      <c r="I7679" s="12">
        <v>5.0</v>
      </c>
      <c r="J7679" s="6" t="s">
        <v>161</v>
      </c>
    </row>
    <row r="7680" ht="22.5" customHeight="1">
      <c r="A7680" s="6" t="s">
        <v>24488</v>
      </c>
      <c r="B7680" s="6" t="s">
        <v>17108</v>
      </c>
      <c r="C7680" s="10">
        <v>46065.0</v>
      </c>
      <c r="D7680" s="6" t="s">
        <v>416</v>
      </c>
      <c r="E7680" s="6" t="s">
        <v>716</v>
      </c>
      <c r="F7680" s="6" t="s">
        <v>439</v>
      </c>
      <c r="G7680" s="6" t="s">
        <v>326</v>
      </c>
      <c r="H7680" s="10">
        <v>46067.0</v>
      </c>
      <c r="I7680" s="12">
        <v>10.0</v>
      </c>
      <c r="J7680" s="6" t="s">
        <v>161</v>
      </c>
    </row>
    <row r="7681" ht="22.5" customHeight="1">
      <c r="A7681" s="6" t="s">
        <v>24489</v>
      </c>
      <c r="B7681" s="6" t="s">
        <v>17108</v>
      </c>
      <c r="C7681" s="10">
        <v>46051.0</v>
      </c>
      <c r="D7681" s="6" t="s">
        <v>436</v>
      </c>
      <c r="E7681" s="6" t="s">
        <v>1273</v>
      </c>
      <c r="F7681" s="6" t="s">
        <v>283</v>
      </c>
      <c r="G7681" s="6" t="s">
        <v>458</v>
      </c>
      <c r="H7681" s="11" t="s">
        <v>259</v>
      </c>
      <c r="I7681" s="12">
        <v>7.0</v>
      </c>
      <c r="J7681" s="6" t="s">
        <v>178</v>
      </c>
    </row>
    <row r="7682" ht="22.5" customHeight="1">
      <c r="A7682" s="6" t="s">
        <v>24490</v>
      </c>
      <c r="B7682" s="6" t="s">
        <v>17114</v>
      </c>
      <c r="C7682" s="10">
        <v>46067.0</v>
      </c>
      <c r="D7682" s="6" t="s">
        <v>242</v>
      </c>
      <c r="E7682" s="6" t="s">
        <v>704</v>
      </c>
      <c r="F7682" s="6" t="s">
        <v>283</v>
      </c>
      <c r="G7682" s="6" t="s">
        <v>369</v>
      </c>
      <c r="H7682" s="10">
        <v>46074.0</v>
      </c>
      <c r="I7682" s="12">
        <v>4.0</v>
      </c>
      <c r="J7682" s="6" t="s">
        <v>178</v>
      </c>
    </row>
    <row r="7683" ht="22.5" customHeight="1">
      <c r="A7683" s="6" t="s">
        <v>24491</v>
      </c>
      <c r="B7683" s="6" t="s">
        <v>17120</v>
      </c>
      <c r="C7683" s="10">
        <v>46038.0</v>
      </c>
      <c r="D7683" s="6" t="s">
        <v>416</v>
      </c>
      <c r="E7683" s="6" t="s">
        <v>583</v>
      </c>
      <c r="F7683" s="6" t="s">
        <v>249</v>
      </c>
      <c r="G7683" s="6" t="s">
        <v>297</v>
      </c>
      <c r="H7683" s="11" t="s">
        <v>259</v>
      </c>
      <c r="I7683" s="12">
        <v>14.0</v>
      </c>
      <c r="J7683" s="6" t="s">
        <v>161</v>
      </c>
    </row>
    <row r="7684" ht="22.5" customHeight="1">
      <c r="A7684" s="6" t="s">
        <v>24492</v>
      </c>
      <c r="B7684" s="6" t="s">
        <v>17120</v>
      </c>
      <c r="C7684" s="10">
        <v>46043.0</v>
      </c>
      <c r="D7684" s="6" t="s">
        <v>416</v>
      </c>
      <c r="E7684" s="6" t="s">
        <v>687</v>
      </c>
      <c r="F7684" s="6" t="s">
        <v>439</v>
      </c>
      <c r="G7684" s="6" t="s">
        <v>297</v>
      </c>
      <c r="H7684" s="10">
        <v>46043.0</v>
      </c>
      <c r="I7684" s="12">
        <v>11.0</v>
      </c>
      <c r="J7684" s="6" t="s">
        <v>161</v>
      </c>
    </row>
    <row r="7685" ht="22.5" customHeight="1">
      <c r="A7685" s="6" t="s">
        <v>24493</v>
      </c>
      <c r="B7685" s="6" t="s">
        <v>17120</v>
      </c>
      <c r="C7685" s="10">
        <v>46048.0</v>
      </c>
      <c r="D7685" s="6" t="s">
        <v>436</v>
      </c>
      <c r="E7685" s="6" t="s">
        <v>618</v>
      </c>
      <c r="F7685" s="6" t="s">
        <v>112</v>
      </c>
      <c r="G7685" s="6" t="s">
        <v>326</v>
      </c>
      <c r="H7685" s="10">
        <v>46050.0</v>
      </c>
      <c r="I7685" s="12">
        <v>8.0</v>
      </c>
      <c r="J7685" s="6" t="s">
        <v>178</v>
      </c>
    </row>
    <row r="7686" ht="22.5" customHeight="1">
      <c r="A7686" s="6" t="s">
        <v>24494</v>
      </c>
      <c r="B7686" s="6" t="s">
        <v>17127</v>
      </c>
      <c r="C7686" s="10">
        <v>46062.0</v>
      </c>
      <c r="D7686" s="6" t="s">
        <v>416</v>
      </c>
      <c r="E7686" s="6" t="s">
        <v>417</v>
      </c>
      <c r="F7686" s="6" t="s">
        <v>112</v>
      </c>
      <c r="G7686" s="6" t="s">
        <v>452</v>
      </c>
      <c r="H7686" s="10">
        <v>46064.0</v>
      </c>
      <c r="I7686" s="12">
        <v>14.0</v>
      </c>
      <c r="J7686" s="6" t="s">
        <v>161</v>
      </c>
    </row>
    <row r="7687" ht="22.5" customHeight="1">
      <c r="A7687" s="6" t="s">
        <v>24495</v>
      </c>
      <c r="B7687" s="6" t="s">
        <v>17127</v>
      </c>
      <c r="C7687" s="10">
        <v>46051.0</v>
      </c>
      <c r="D7687" s="6" t="s">
        <v>391</v>
      </c>
      <c r="E7687" s="6" t="s">
        <v>634</v>
      </c>
      <c r="F7687" s="6" t="s">
        <v>249</v>
      </c>
      <c r="G7687" s="6" t="s">
        <v>494</v>
      </c>
      <c r="H7687" s="10">
        <v>46052.0</v>
      </c>
      <c r="I7687" s="12">
        <v>10.0</v>
      </c>
      <c r="J7687" s="6" t="s">
        <v>161</v>
      </c>
    </row>
    <row r="7688" ht="22.5" customHeight="1">
      <c r="A7688" s="6" t="s">
        <v>24496</v>
      </c>
      <c r="B7688" s="6" t="s">
        <v>17127</v>
      </c>
      <c r="C7688" s="10">
        <v>46062.0</v>
      </c>
      <c r="D7688" s="6" t="s">
        <v>391</v>
      </c>
      <c r="E7688" s="6" t="s">
        <v>885</v>
      </c>
      <c r="F7688" s="6" t="s">
        <v>112</v>
      </c>
      <c r="G7688" s="6" t="s">
        <v>297</v>
      </c>
      <c r="H7688" s="10">
        <v>46064.0</v>
      </c>
      <c r="I7688" s="12">
        <v>8.0</v>
      </c>
      <c r="J7688" s="6" t="s">
        <v>161</v>
      </c>
    </row>
    <row r="7689" ht="22.5" customHeight="1">
      <c r="A7689" s="6" t="s">
        <v>24497</v>
      </c>
      <c r="B7689" s="6" t="s">
        <v>17133</v>
      </c>
      <c r="C7689" s="10">
        <v>46036.0</v>
      </c>
      <c r="D7689" s="6" t="s">
        <v>391</v>
      </c>
      <c r="E7689" s="6" t="s">
        <v>1570</v>
      </c>
      <c r="F7689" s="6" t="s">
        <v>439</v>
      </c>
      <c r="G7689" s="6" t="s">
        <v>254</v>
      </c>
      <c r="H7689" s="10">
        <v>46036.0</v>
      </c>
      <c r="I7689" s="12">
        <v>9.0</v>
      </c>
      <c r="J7689" s="6" t="s">
        <v>161</v>
      </c>
    </row>
    <row r="7690" ht="22.5" customHeight="1">
      <c r="A7690" s="6" t="s">
        <v>24498</v>
      </c>
      <c r="B7690" s="6" t="s">
        <v>17140</v>
      </c>
      <c r="C7690" s="10">
        <v>46060.0</v>
      </c>
      <c r="D7690" s="6" t="s">
        <v>242</v>
      </c>
      <c r="E7690" s="6" t="s">
        <v>1600</v>
      </c>
      <c r="F7690" s="6" t="s">
        <v>439</v>
      </c>
      <c r="G7690" s="6" t="s">
        <v>477</v>
      </c>
      <c r="H7690" s="10">
        <v>46061.0</v>
      </c>
      <c r="I7690" s="12">
        <v>3.0</v>
      </c>
      <c r="J7690" s="6" t="s">
        <v>161</v>
      </c>
    </row>
    <row r="7691" ht="22.5" customHeight="1">
      <c r="A7691" s="6" t="s">
        <v>24499</v>
      </c>
      <c r="B7691" s="6" t="s">
        <v>17140</v>
      </c>
      <c r="C7691" s="10">
        <v>46065.0</v>
      </c>
      <c r="D7691" s="6" t="s">
        <v>436</v>
      </c>
      <c r="E7691" s="6" t="s">
        <v>450</v>
      </c>
      <c r="F7691" s="6" t="s">
        <v>249</v>
      </c>
      <c r="G7691" s="6" t="s">
        <v>458</v>
      </c>
      <c r="H7691" s="10">
        <v>46065.0</v>
      </c>
      <c r="I7691" s="12">
        <v>9.0</v>
      </c>
      <c r="J7691" s="6" t="s">
        <v>178</v>
      </c>
    </row>
    <row r="7692" ht="22.5" customHeight="1">
      <c r="A7692" s="6" t="s">
        <v>24500</v>
      </c>
      <c r="B7692" s="6" t="s">
        <v>17140</v>
      </c>
      <c r="C7692" s="10">
        <v>46054.0</v>
      </c>
      <c r="D7692" s="6" t="s">
        <v>416</v>
      </c>
      <c r="E7692" s="6" t="s">
        <v>1720</v>
      </c>
      <c r="F7692" s="6" t="s">
        <v>249</v>
      </c>
      <c r="G7692" s="6" t="s">
        <v>297</v>
      </c>
      <c r="H7692" s="10">
        <v>46058.0</v>
      </c>
      <c r="I7692" s="12">
        <v>14.0</v>
      </c>
      <c r="J7692" s="6" t="s">
        <v>161</v>
      </c>
    </row>
    <row r="7693" ht="22.5" customHeight="1">
      <c r="A7693" s="6" t="s">
        <v>24501</v>
      </c>
      <c r="B7693" s="6" t="s">
        <v>17140</v>
      </c>
      <c r="C7693" s="10">
        <v>46051.0</v>
      </c>
      <c r="D7693" s="6" t="s">
        <v>312</v>
      </c>
      <c r="E7693" s="6" t="s">
        <v>2881</v>
      </c>
      <c r="F7693" s="6" t="s">
        <v>249</v>
      </c>
      <c r="G7693" s="6" t="s">
        <v>477</v>
      </c>
      <c r="H7693" s="11" t="s">
        <v>259</v>
      </c>
      <c r="I7693" s="12">
        <v>7.0</v>
      </c>
      <c r="J7693" s="6" t="s">
        <v>161</v>
      </c>
    </row>
    <row r="7694" ht="22.5" customHeight="1">
      <c r="A7694" s="6" t="s">
        <v>24502</v>
      </c>
      <c r="B7694" s="6" t="s">
        <v>17140</v>
      </c>
      <c r="C7694" s="10">
        <v>46063.0</v>
      </c>
      <c r="D7694" s="6" t="s">
        <v>242</v>
      </c>
      <c r="E7694" s="6" t="s">
        <v>670</v>
      </c>
      <c r="F7694" s="6" t="s">
        <v>112</v>
      </c>
      <c r="G7694" s="6" t="s">
        <v>452</v>
      </c>
      <c r="H7694" s="11" t="s">
        <v>259</v>
      </c>
      <c r="I7694" s="12">
        <v>3.0</v>
      </c>
      <c r="J7694" s="6" t="s">
        <v>178</v>
      </c>
    </row>
    <row r="7695" ht="22.5" customHeight="1">
      <c r="A7695" s="6" t="s">
        <v>24503</v>
      </c>
      <c r="B7695" s="6" t="s">
        <v>17146</v>
      </c>
      <c r="C7695" s="10">
        <v>46052.0</v>
      </c>
      <c r="D7695" s="6" t="s">
        <v>391</v>
      </c>
      <c r="E7695" s="6" t="s">
        <v>394</v>
      </c>
      <c r="F7695" s="6" t="s">
        <v>112</v>
      </c>
      <c r="G7695" s="6" t="s">
        <v>494</v>
      </c>
      <c r="H7695" s="10">
        <v>46059.0</v>
      </c>
      <c r="I7695" s="12">
        <v>6.0</v>
      </c>
      <c r="J7695" s="6" t="s">
        <v>161</v>
      </c>
    </row>
    <row r="7696" ht="22.5" customHeight="1">
      <c r="A7696" s="6" t="s">
        <v>24504</v>
      </c>
      <c r="B7696" s="6" t="s">
        <v>17153</v>
      </c>
      <c r="C7696" s="10">
        <v>46048.0</v>
      </c>
      <c r="D7696" s="6" t="s">
        <v>436</v>
      </c>
      <c r="E7696" s="6" t="s">
        <v>955</v>
      </c>
      <c r="F7696" s="6" t="s">
        <v>283</v>
      </c>
      <c r="G7696" s="6" t="s">
        <v>369</v>
      </c>
      <c r="H7696" s="10">
        <v>46049.0</v>
      </c>
      <c r="I7696" s="12">
        <v>8.0</v>
      </c>
      <c r="J7696" s="6" t="s">
        <v>178</v>
      </c>
    </row>
    <row r="7697" ht="22.5" customHeight="1">
      <c r="A7697" s="6" t="s">
        <v>24505</v>
      </c>
      <c r="B7697" s="6" t="s">
        <v>17153</v>
      </c>
      <c r="C7697" s="10">
        <v>46051.0</v>
      </c>
      <c r="D7697" s="6" t="s">
        <v>416</v>
      </c>
      <c r="E7697" s="6" t="s">
        <v>1720</v>
      </c>
      <c r="F7697" s="6" t="s">
        <v>283</v>
      </c>
      <c r="G7697" s="6" t="s">
        <v>297</v>
      </c>
      <c r="H7697" s="10">
        <v>46051.0</v>
      </c>
      <c r="I7697" s="12">
        <v>12.0</v>
      </c>
      <c r="J7697" s="6" t="s">
        <v>161</v>
      </c>
    </row>
    <row r="7698" ht="22.5" customHeight="1">
      <c r="A7698" s="6" t="s">
        <v>24506</v>
      </c>
      <c r="B7698" s="6" t="s">
        <v>17153</v>
      </c>
      <c r="C7698" s="10">
        <v>46055.0</v>
      </c>
      <c r="D7698" s="6" t="s">
        <v>289</v>
      </c>
      <c r="E7698" s="6" t="s">
        <v>1102</v>
      </c>
      <c r="F7698" s="6" t="s">
        <v>439</v>
      </c>
      <c r="G7698" s="6" t="s">
        <v>254</v>
      </c>
      <c r="H7698" s="10">
        <v>46060.0</v>
      </c>
      <c r="I7698" s="12">
        <v>7.0</v>
      </c>
      <c r="J7698" s="6" t="s">
        <v>161</v>
      </c>
    </row>
    <row r="7699" ht="22.5" customHeight="1">
      <c r="A7699" s="6" t="s">
        <v>24507</v>
      </c>
      <c r="B7699" s="6" t="s">
        <v>17159</v>
      </c>
      <c r="C7699" s="10">
        <v>46073.0</v>
      </c>
      <c r="D7699" s="6" t="s">
        <v>677</v>
      </c>
      <c r="E7699" s="6" t="s">
        <v>1055</v>
      </c>
      <c r="F7699" s="6" t="s">
        <v>283</v>
      </c>
      <c r="G7699" s="6" t="s">
        <v>477</v>
      </c>
      <c r="H7699" s="10">
        <v>46075.0</v>
      </c>
      <c r="I7699" s="12">
        <v>4.0</v>
      </c>
      <c r="J7699" s="6" t="s">
        <v>161</v>
      </c>
    </row>
    <row r="7700" ht="22.5" customHeight="1">
      <c r="A7700" s="6" t="s">
        <v>24508</v>
      </c>
      <c r="B7700" s="6" t="s">
        <v>17159</v>
      </c>
      <c r="C7700" s="10">
        <v>46066.0</v>
      </c>
      <c r="D7700" s="6" t="s">
        <v>391</v>
      </c>
      <c r="E7700" s="6" t="s">
        <v>291</v>
      </c>
      <c r="F7700" s="6" t="s">
        <v>112</v>
      </c>
      <c r="G7700" s="6" t="s">
        <v>254</v>
      </c>
      <c r="H7700" s="10">
        <v>46067.0</v>
      </c>
      <c r="I7700" s="12">
        <v>7.0</v>
      </c>
      <c r="J7700" s="6" t="s">
        <v>161</v>
      </c>
    </row>
    <row r="7701" ht="22.5" customHeight="1">
      <c r="A7701" s="6" t="s">
        <v>24509</v>
      </c>
      <c r="B7701" s="6" t="s">
        <v>17166</v>
      </c>
      <c r="C7701" s="10">
        <v>46068.0</v>
      </c>
      <c r="D7701" s="6" t="s">
        <v>416</v>
      </c>
      <c r="E7701" s="6" t="s">
        <v>246</v>
      </c>
      <c r="F7701" s="6" t="s">
        <v>112</v>
      </c>
      <c r="G7701" s="6" t="s">
        <v>494</v>
      </c>
      <c r="H7701" s="10">
        <v>46073.0</v>
      </c>
      <c r="I7701" s="12">
        <v>8.0</v>
      </c>
      <c r="J7701" s="6" t="s">
        <v>161</v>
      </c>
    </row>
    <row r="7702" ht="22.5" customHeight="1">
      <c r="A7702" s="6" t="s">
        <v>24510</v>
      </c>
      <c r="B7702" s="6" t="s">
        <v>17166</v>
      </c>
      <c r="C7702" s="10">
        <v>46058.0</v>
      </c>
      <c r="D7702" s="6" t="s">
        <v>416</v>
      </c>
      <c r="E7702" s="6" t="s">
        <v>1741</v>
      </c>
      <c r="F7702" s="6" t="s">
        <v>439</v>
      </c>
      <c r="G7702" s="6" t="s">
        <v>494</v>
      </c>
      <c r="H7702" s="10">
        <v>46064.0</v>
      </c>
      <c r="I7702" s="12">
        <v>12.0</v>
      </c>
      <c r="J7702" s="6" t="s">
        <v>161</v>
      </c>
    </row>
    <row r="7703" ht="22.5" customHeight="1">
      <c r="A7703" s="6" t="s">
        <v>24511</v>
      </c>
      <c r="B7703" s="6" t="s">
        <v>17166</v>
      </c>
      <c r="C7703" s="10">
        <v>46053.0</v>
      </c>
      <c r="D7703" s="6" t="s">
        <v>436</v>
      </c>
      <c r="E7703" s="6" t="s">
        <v>695</v>
      </c>
      <c r="F7703" s="6" t="s">
        <v>112</v>
      </c>
      <c r="G7703" s="6" t="s">
        <v>452</v>
      </c>
      <c r="H7703" s="10">
        <v>46053.0</v>
      </c>
      <c r="I7703" s="12">
        <v>9.0</v>
      </c>
      <c r="J7703" s="6" t="s">
        <v>161</v>
      </c>
    </row>
    <row r="7704" ht="22.5" customHeight="1">
      <c r="A7704" s="6" t="s">
        <v>24512</v>
      </c>
      <c r="B7704" s="6" t="s">
        <v>17166</v>
      </c>
      <c r="C7704" s="10">
        <v>46058.0</v>
      </c>
      <c r="D7704" s="6" t="s">
        <v>677</v>
      </c>
      <c r="E7704" s="6" t="s">
        <v>365</v>
      </c>
      <c r="F7704" s="6" t="s">
        <v>439</v>
      </c>
      <c r="G7704" s="6" t="s">
        <v>477</v>
      </c>
      <c r="H7704" s="10">
        <v>46060.0</v>
      </c>
      <c r="I7704" s="12">
        <v>3.0</v>
      </c>
      <c r="J7704" s="6" t="s">
        <v>161</v>
      </c>
    </row>
    <row r="7705" ht="22.5" customHeight="1">
      <c r="A7705" s="6" t="s">
        <v>24513</v>
      </c>
      <c r="B7705" s="6" t="s">
        <v>17172</v>
      </c>
      <c r="C7705" s="10">
        <v>46040.0</v>
      </c>
      <c r="D7705" s="6" t="s">
        <v>391</v>
      </c>
      <c r="E7705" s="6" t="s">
        <v>1741</v>
      </c>
      <c r="F7705" s="6" t="s">
        <v>112</v>
      </c>
      <c r="G7705" s="6" t="s">
        <v>494</v>
      </c>
      <c r="H7705" s="11" t="s">
        <v>259</v>
      </c>
      <c r="I7705" s="12">
        <v>7.0</v>
      </c>
      <c r="J7705" s="6" t="s">
        <v>161</v>
      </c>
    </row>
    <row r="7706" ht="22.5" customHeight="1">
      <c r="A7706" s="6" t="s">
        <v>24514</v>
      </c>
      <c r="B7706" s="6" t="s">
        <v>17179</v>
      </c>
      <c r="C7706" s="10">
        <v>46039.0</v>
      </c>
      <c r="D7706" s="6" t="s">
        <v>242</v>
      </c>
      <c r="E7706" s="6" t="s">
        <v>1122</v>
      </c>
      <c r="F7706" s="6" t="s">
        <v>112</v>
      </c>
      <c r="G7706" s="6" t="s">
        <v>369</v>
      </c>
      <c r="H7706" s="10">
        <v>46045.0</v>
      </c>
      <c r="I7706" s="12">
        <v>3.0</v>
      </c>
      <c r="J7706" s="6" t="s">
        <v>178</v>
      </c>
    </row>
    <row r="7707" ht="22.5" customHeight="1">
      <c r="A7707" s="6" t="s">
        <v>24515</v>
      </c>
      <c r="B7707" s="6" t="s">
        <v>17179</v>
      </c>
      <c r="C7707" s="10">
        <v>46044.0</v>
      </c>
      <c r="D7707" s="6" t="s">
        <v>391</v>
      </c>
      <c r="E7707" s="6" t="s">
        <v>417</v>
      </c>
      <c r="F7707" s="6" t="s">
        <v>439</v>
      </c>
      <c r="G7707" s="6" t="s">
        <v>452</v>
      </c>
      <c r="H7707" s="10">
        <v>46050.0</v>
      </c>
      <c r="I7707" s="12">
        <v>9.0</v>
      </c>
      <c r="J7707" s="6" t="s">
        <v>161</v>
      </c>
    </row>
    <row r="7708" ht="22.5" customHeight="1">
      <c r="A7708" s="6" t="s">
        <v>24516</v>
      </c>
      <c r="B7708" s="6" t="s">
        <v>17179</v>
      </c>
      <c r="C7708" s="10">
        <v>46044.0</v>
      </c>
      <c r="D7708" s="6" t="s">
        <v>677</v>
      </c>
      <c r="E7708" s="6" t="s">
        <v>1741</v>
      </c>
      <c r="F7708" s="6" t="s">
        <v>283</v>
      </c>
      <c r="G7708" s="6" t="s">
        <v>326</v>
      </c>
      <c r="H7708" s="11" t="s">
        <v>259</v>
      </c>
      <c r="I7708" s="12">
        <v>2.0</v>
      </c>
      <c r="J7708" s="6" t="s">
        <v>161</v>
      </c>
    </row>
    <row r="7709" ht="22.5" customHeight="1">
      <c r="A7709" s="6" t="s">
        <v>24517</v>
      </c>
      <c r="B7709" s="6" t="s">
        <v>17179</v>
      </c>
      <c r="C7709" s="10">
        <v>46053.0</v>
      </c>
      <c r="D7709" s="6" t="s">
        <v>242</v>
      </c>
      <c r="E7709" s="6" t="s">
        <v>291</v>
      </c>
      <c r="F7709" s="6" t="s">
        <v>439</v>
      </c>
      <c r="G7709" s="6" t="s">
        <v>326</v>
      </c>
      <c r="H7709" s="10">
        <v>46058.0</v>
      </c>
      <c r="I7709" s="12">
        <v>4.0</v>
      </c>
      <c r="J7709" s="6" t="s">
        <v>161</v>
      </c>
    </row>
    <row r="7710" ht="22.5" customHeight="1">
      <c r="A7710" s="6" t="s">
        <v>24518</v>
      </c>
      <c r="B7710" s="6" t="s">
        <v>17179</v>
      </c>
      <c r="C7710" s="10">
        <v>46040.0</v>
      </c>
      <c r="D7710" s="6" t="s">
        <v>391</v>
      </c>
      <c r="E7710" s="6" t="s">
        <v>2365</v>
      </c>
      <c r="F7710" s="6" t="s">
        <v>439</v>
      </c>
      <c r="G7710" s="6" t="s">
        <v>477</v>
      </c>
      <c r="H7710" s="10">
        <v>46046.0</v>
      </c>
      <c r="I7710" s="12">
        <v>9.0</v>
      </c>
      <c r="J7710" s="6" t="s">
        <v>161</v>
      </c>
    </row>
    <row r="7711" ht="22.5" customHeight="1">
      <c r="A7711" s="6" t="s">
        <v>24519</v>
      </c>
      <c r="B7711" s="6" t="s">
        <v>17186</v>
      </c>
      <c r="C7711" s="10">
        <v>46034.0</v>
      </c>
      <c r="D7711" s="6" t="s">
        <v>242</v>
      </c>
      <c r="E7711" s="6" t="s">
        <v>731</v>
      </c>
      <c r="F7711" s="6" t="s">
        <v>112</v>
      </c>
      <c r="G7711" s="6" t="s">
        <v>477</v>
      </c>
      <c r="H7711" s="10">
        <v>46039.0</v>
      </c>
      <c r="I7711" s="12">
        <v>6.0</v>
      </c>
      <c r="J7711" s="6" t="s">
        <v>178</v>
      </c>
    </row>
    <row r="7712" ht="22.5" customHeight="1">
      <c r="A7712" s="6" t="s">
        <v>24520</v>
      </c>
      <c r="B7712" s="6" t="s">
        <v>17186</v>
      </c>
      <c r="C7712" s="10">
        <v>46035.0</v>
      </c>
      <c r="D7712" s="6" t="s">
        <v>312</v>
      </c>
      <c r="E7712" s="6" t="s">
        <v>955</v>
      </c>
      <c r="F7712" s="6" t="s">
        <v>249</v>
      </c>
      <c r="G7712" s="6" t="s">
        <v>254</v>
      </c>
      <c r="H7712" s="11" t="s">
        <v>259</v>
      </c>
      <c r="I7712" s="12">
        <v>7.0</v>
      </c>
      <c r="J7712" s="6" t="s">
        <v>161</v>
      </c>
    </row>
    <row r="7713" ht="22.5" customHeight="1">
      <c r="A7713" s="6" t="s">
        <v>24521</v>
      </c>
      <c r="B7713" s="6" t="s">
        <v>17192</v>
      </c>
      <c r="C7713" s="10">
        <v>46042.0</v>
      </c>
      <c r="D7713" s="6" t="s">
        <v>416</v>
      </c>
      <c r="E7713" s="6" t="s">
        <v>320</v>
      </c>
      <c r="F7713" s="6" t="s">
        <v>249</v>
      </c>
      <c r="G7713" s="6" t="s">
        <v>254</v>
      </c>
      <c r="H7713" s="10">
        <v>46043.0</v>
      </c>
      <c r="I7713" s="12">
        <v>9.0</v>
      </c>
      <c r="J7713" s="6" t="s">
        <v>161</v>
      </c>
    </row>
    <row r="7714" ht="22.5" customHeight="1">
      <c r="A7714" s="6" t="s">
        <v>24522</v>
      </c>
      <c r="B7714" s="6" t="s">
        <v>17198</v>
      </c>
      <c r="C7714" s="10">
        <v>46051.0</v>
      </c>
      <c r="D7714" s="6" t="s">
        <v>677</v>
      </c>
      <c r="E7714" s="6" t="s">
        <v>731</v>
      </c>
      <c r="F7714" s="6" t="s">
        <v>283</v>
      </c>
      <c r="G7714" s="6" t="s">
        <v>494</v>
      </c>
      <c r="H7714" s="10">
        <v>46054.0</v>
      </c>
      <c r="I7714" s="12">
        <v>4.0</v>
      </c>
      <c r="J7714" s="6" t="s">
        <v>161</v>
      </c>
    </row>
    <row r="7715" ht="22.5" customHeight="1">
      <c r="A7715" s="6" t="s">
        <v>24523</v>
      </c>
      <c r="B7715" s="6" t="s">
        <v>17205</v>
      </c>
      <c r="C7715" s="10">
        <v>46040.0</v>
      </c>
      <c r="D7715" s="6" t="s">
        <v>436</v>
      </c>
      <c r="E7715" s="6" t="s">
        <v>1035</v>
      </c>
      <c r="F7715" s="6" t="s">
        <v>283</v>
      </c>
      <c r="G7715" s="6" t="s">
        <v>452</v>
      </c>
      <c r="H7715" s="10">
        <v>46044.0</v>
      </c>
      <c r="I7715" s="12">
        <v>7.0</v>
      </c>
      <c r="J7715" s="6" t="s">
        <v>178</v>
      </c>
    </row>
    <row r="7716" ht="22.5" customHeight="1">
      <c r="A7716" s="6" t="s">
        <v>24524</v>
      </c>
      <c r="B7716" s="6" t="s">
        <v>17212</v>
      </c>
      <c r="C7716" s="10">
        <v>46066.0</v>
      </c>
      <c r="D7716" s="6" t="s">
        <v>436</v>
      </c>
      <c r="E7716" s="6" t="s">
        <v>450</v>
      </c>
      <c r="F7716" s="6" t="s">
        <v>283</v>
      </c>
      <c r="G7716" s="6" t="s">
        <v>494</v>
      </c>
      <c r="H7716" s="10">
        <v>46068.0</v>
      </c>
      <c r="I7716" s="12">
        <v>11.0</v>
      </c>
      <c r="J7716" s="6" t="s">
        <v>161</v>
      </c>
    </row>
    <row r="7717" ht="22.5" customHeight="1">
      <c r="A7717" s="6" t="s">
        <v>24525</v>
      </c>
      <c r="B7717" s="6" t="s">
        <v>17212</v>
      </c>
      <c r="C7717" s="10">
        <v>46083.0</v>
      </c>
      <c r="D7717" s="6" t="s">
        <v>242</v>
      </c>
      <c r="E7717" s="6" t="s">
        <v>658</v>
      </c>
      <c r="F7717" s="6" t="s">
        <v>249</v>
      </c>
      <c r="G7717" s="6" t="s">
        <v>297</v>
      </c>
      <c r="H7717" s="11" t="s">
        <v>259</v>
      </c>
      <c r="I7717" s="12">
        <v>4.0</v>
      </c>
      <c r="J7717" s="6" t="s">
        <v>178</v>
      </c>
    </row>
    <row r="7718" ht="22.5" customHeight="1">
      <c r="A7718" s="6" t="s">
        <v>24526</v>
      </c>
      <c r="B7718" s="6" t="s">
        <v>17218</v>
      </c>
      <c r="C7718" s="10">
        <v>46068.0</v>
      </c>
      <c r="D7718" s="6" t="s">
        <v>416</v>
      </c>
      <c r="E7718" s="6" t="s">
        <v>798</v>
      </c>
      <c r="F7718" s="6" t="s">
        <v>249</v>
      </c>
      <c r="G7718" s="6" t="s">
        <v>297</v>
      </c>
      <c r="H7718" s="10">
        <v>46074.0</v>
      </c>
      <c r="I7718" s="12">
        <v>9.0</v>
      </c>
      <c r="J7718" s="6" t="s">
        <v>161</v>
      </c>
    </row>
    <row r="7719" ht="22.5" customHeight="1">
      <c r="A7719" s="6" t="s">
        <v>24527</v>
      </c>
      <c r="B7719" s="6" t="s">
        <v>17218</v>
      </c>
      <c r="C7719" s="10">
        <v>46059.0</v>
      </c>
      <c r="D7719" s="6" t="s">
        <v>242</v>
      </c>
      <c r="E7719" s="6" t="s">
        <v>738</v>
      </c>
      <c r="F7719" s="6" t="s">
        <v>439</v>
      </c>
      <c r="G7719" s="6" t="s">
        <v>477</v>
      </c>
      <c r="H7719" s="11" t="s">
        <v>259</v>
      </c>
      <c r="I7719" s="12">
        <v>4.0</v>
      </c>
      <c r="J7719" s="6" t="s">
        <v>178</v>
      </c>
    </row>
    <row r="7720" ht="22.5" customHeight="1">
      <c r="A7720" s="6" t="s">
        <v>24528</v>
      </c>
      <c r="B7720" s="6" t="s">
        <v>17218</v>
      </c>
      <c r="C7720" s="10">
        <v>46060.0</v>
      </c>
      <c r="D7720" s="6" t="s">
        <v>242</v>
      </c>
      <c r="E7720" s="6" t="s">
        <v>610</v>
      </c>
      <c r="F7720" s="6" t="s">
        <v>439</v>
      </c>
      <c r="G7720" s="6" t="s">
        <v>369</v>
      </c>
      <c r="H7720" s="10">
        <v>46063.0</v>
      </c>
      <c r="I7720" s="12">
        <v>5.0</v>
      </c>
      <c r="J7720" s="6" t="s">
        <v>178</v>
      </c>
    </row>
    <row r="7721" ht="22.5" customHeight="1">
      <c r="A7721" s="6" t="s">
        <v>24529</v>
      </c>
      <c r="B7721" s="6" t="s">
        <v>17225</v>
      </c>
      <c r="C7721" s="10">
        <v>46047.0</v>
      </c>
      <c r="D7721" s="6" t="s">
        <v>677</v>
      </c>
      <c r="E7721" s="6" t="s">
        <v>738</v>
      </c>
      <c r="F7721" s="6" t="s">
        <v>283</v>
      </c>
      <c r="G7721" s="6" t="s">
        <v>254</v>
      </c>
      <c r="H7721" s="10">
        <v>46047.0</v>
      </c>
      <c r="I7721" s="12">
        <v>2.0</v>
      </c>
      <c r="J7721" s="6" t="s">
        <v>161</v>
      </c>
    </row>
    <row r="7722" ht="22.5" customHeight="1">
      <c r="A7722" s="6" t="s">
        <v>24530</v>
      </c>
      <c r="B7722" s="6" t="s">
        <v>17225</v>
      </c>
      <c r="C7722" s="10">
        <v>46049.0</v>
      </c>
      <c r="D7722" s="6" t="s">
        <v>289</v>
      </c>
      <c r="E7722" s="6" t="s">
        <v>1310</v>
      </c>
      <c r="F7722" s="6" t="s">
        <v>249</v>
      </c>
      <c r="G7722" s="6" t="s">
        <v>326</v>
      </c>
      <c r="H7722" s="10">
        <v>46050.0</v>
      </c>
      <c r="I7722" s="12">
        <v>9.0</v>
      </c>
      <c r="J7722" s="6" t="s">
        <v>161</v>
      </c>
    </row>
    <row r="7723" ht="22.5" customHeight="1">
      <c r="A7723" s="6" t="s">
        <v>24531</v>
      </c>
      <c r="B7723" s="6" t="s">
        <v>17225</v>
      </c>
      <c r="C7723" s="10">
        <v>46063.0</v>
      </c>
      <c r="D7723" s="6" t="s">
        <v>677</v>
      </c>
      <c r="E7723" s="6" t="s">
        <v>1055</v>
      </c>
      <c r="F7723" s="6" t="s">
        <v>283</v>
      </c>
      <c r="G7723" s="6" t="s">
        <v>494</v>
      </c>
      <c r="H7723" s="10">
        <v>46064.0</v>
      </c>
      <c r="I7723" s="12">
        <v>2.0</v>
      </c>
      <c r="J7723" s="6" t="s">
        <v>161</v>
      </c>
    </row>
    <row r="7724" ht="22.5" customHeight="1">
      <c r="A7724" s="6" t="s">
        <v>24532</v>
      </c>
      <c r="B7724" s="6" t="s">
        <v>17225</v>
      </c>
      <c r="C7724" s="10">
        <v>46050.0</v>
      </c>
      <c r="D7724" s="6" t="s">
        <v>289</v>
      </c>
      <c r="E7724" s="6" t="s">
        <v>695</v>
      </c>
      <c r="F7724" s="6" t="s">
        <v>249</v>
      </c>
      <c r="G7724" s="6" t="s">
        <v>297</v>
      </c>
      <c r="H7724" s="11" t="s">
        <v>259</v>
      </c>
      <c r="I7724" s="12">
        <v>8.0</v>
      </c>
      <c r="J7724" s="6" t="s">
        <v>161</v>
      </c>
    </row>
    <row r="7725" ht="22.5" customHeight="1">
      <c r="A7725" s="6" t="s">
        <v>24533</v>
      </c>
      <c r="B7725" s="6" t="s">
        <v>17225</v>
      </c>
      <c r="C7725" s="10">
        <v>46050.0</v>
      </c>
      <c r="D7725" s="6" t="s">
        <v>436</v>
      </c>
      <c r="E7725" s="6" t="s">
        <v>1273</v>
      </c>
      <c r="F7725" s="6" t="s">
        <v>439</v>
      </c>
      <c r="G7725" s="6" t="s">
        <v>369</v>
      </c>
      <c r="H7725" s="10">
        <v>46053.0</v>
      </c>
      <c r="I7725" s="12">
        <v>7.0</v>
      </c>
      <c r="J7725" s="6" t="s">
        <v>161</v>
      </c>
    </row>
    <row r="7726" ht="22.5" customHeight="1">
      <c r="A7726" s="6" t="s">
        <v>24534</v>
      </c>
      <c r="B7726" s="6" t="s">
        <v>17231</v>
      </c>
      <c r="C7726" s="10">
        <v>46075.0</v>
      </c>
      <c r="D7726" s="6" t="s">
        <v>289</v>
      </c>
      <c r="E7726" s="6" t="s">
        <v>1570</v>
      </c>
      <c r="F7726" s="6" t="s">
        <v>249</v>
      </c>
      <c r="G7726" s="6" t="s">
        <v>494</v>
      </c>
      <c r="H7726" s="10">
        <v>46078.0</v>
      </c>
      <c r="I7726" s="12">
        <v>7.0</v>
      </c>
      <c r="J7726" s="6" t="s">
        <v>161</v>
      </c>
    </row>
    <row r="7727" ht="22.5" customHeight="1">
      <c r="A7727" s="6" t="s">
        <v>24535</v>
      </c>
      <c r="B7727" s="6" t="s">
        <v>17231</v>
      </c>
      <c r="C7727" s="10">
        <v>46073.0</v>
      </c>
      <c r="D7727" s="6" t="s">
        <v>677</v>
      </c>
      <c r="E7727" s="6" t="s">
        <v>658</v>
      </c>
      <c r="F7727" s="6" t="s">
        <v>283</v>
      </c>
      <c r="G7727" s="6" t="s">
        <v>297</v>
      </c>
      <c r="H7727" s="10">
        <v>46075.0</v>
      </c>
      <c r="I7727" s="12">
        <v>4.0</v>
      </c>
      <c r="J7727" s="6" t="s">
        <v>161</v>
      </c>
    </row>
    <row r="7728" ht="22.5" customHeight="1">
      <c r="A7728" s="6" t="s">
        <v>24536</v>
      </c>
      <c r="B7728" s="6" t="s">
        <v>17231</v>
      </c>
      <c r="C7728" s="10">
        <v>46067.0</v>
      </c>
      <c r="D7728" s="6" t="s">
        <v>312</v>
      </c>
      <c r="E7728" s="6" t="s">
        <v>2365</v>
      </c>
      <c r="F7728" s="6" t="s">
        <v>283</v>
      </c>
      <c r="G7728" s="6" t="s">
        <v>458</v>
      </c>
      <c r="H7728" s="11" t="s">
        <v>259</v>
      </c>
      <c r="I7728" s="12">
        <v>4.0</v>
      </c>
      <c r="J7728" s="6" t="s">
        <v>161</v>
      </c>
    </row>
    <row r="7729" ht="22.5" customHeight="1">
      <c r="A7729" s="6" t="s">
        <v>24537</v>
      </c>
      <c r="B7729" s="6" t="s">
        <v>17238</v>
      </c>
      <c r="C7729" s="10">
        <v>46057.0</v>
      </c>
      <c r="D7729" s="6" t="s">
        <v>677</v>
      </c>
      <c r="E7729" s="6" t="s">
        <v>450</v>
      </c>
      <c r="F7729" s="6" t="s">
        <v>439</v>
      </c>
      <c r="G7729" s="6" t="s">
        <v>326</v>
      </c>
      <c r="H7729" s="10">
        <v>46063.0</v>
      </c>
      <c r="I7729" s="12">
        <v>2.0</v>
      </c>
      <c r="J7729" s="6" t="s">
        <v>161</v>
      </c>
    </row>
    <row r="7730" ht="22.5" customHeight="1">
      <c r="A7730" s="6" t="s">
        <v>24538</v>
      </c>
      <c r="B7730" s="6" t="s">
        <v>17238</v>
      </c>
      <c r="C7730" s="10">
        <v>46070.0</v>
      </c>
      <c r="D7730" s="6" t="s">
        <v>242</v>
      </c>
      <c r="E7730" s="6" t="s">
        <v>775</v>
      </c>
      <c r="F7730" s="6" t="s">
        <v>439</v>
      </c>
      <c r="G7730" s="6" t="s">
        <v>254</v>
      </c>
      <c r="H7730" s="10">
        <v>46070.0</v>
      </c>
      <c r="I7730" s="12">
        <v>5.0</v>
      </c>
      <c r="J7730" s="6" t="s">
        <v>161</v>
      </c>
    </row>
    <row r="7731" ht="22.5" customHeight="1">
      <c r="A7731" s="6" t="s">
        <v>24539</v>
      </c>
      <c r="B7731" s="6" t="s">
        <v>17238</v>
      </c>
      <c r="C7731" s="10">
        <v>46068.0</v>
      </c>
      <c r="D7731" s="6" t="s">
        <v>289</v>
      </c>
      <c r="E7731" s="6" t="s">
        <v>787</v>
      </c>
      <c r="F7731" s="6" t="s">
        <v>439</v>
      </c>
      <c r="G7731" s="6" t="s">
        <v>452</v>
      </c>
      <c r="H7731" s="10">
        <v>46073.0</v>
      </c>
      <c r="I7731" s="12">
        <v>6.0</v>
      </c>
      <c r="J7731" s="6" t="s">
        <v>161</v>
      </c>
    </row>
    <row r="7732" ht="22.5" customHeight="1">
      <c r="A7732" s="6" t="s">
        <v>24540</v>
      </c>
      <c r="B7732" s="6" t="s">
        <v>17238</v>
      </c>
      <c r="C7732" s="10">
        <v>46063.0</v>
      </c>
      <c r="D7732" s="6" t="s">
        <v>312</v>
      </c>
      <c r="E7732" s="6" t="s">
        <v>291</v>
      </c>
      <c r="F7732" s="6" t="s">
        <v>439</v>
      </c>
      <c r="G7732" s="6" t="s">
        <v>477</v>
      </c>
      <c r="H7732" s="10">
        <v>46070.0</v>
      </c>
      <c r="I7732" s="12">
        <v>4.0</v>
      </c>
      <c r="J7732" s="6" t="s">
        <v>161</v>
      </c>
    </row>
    <row r="7733" ht="22.5" customHeight="1">
      <c r="A7733" s="6" t="s">
        <v>24541</v>
      </c>
      <c r="B7733" s="6" t="s">
        <v>17245</v>
      </c>
      <c r="C7733" s="10">
        <v>46086.0</v>
      </c>
      <c r="D7733" s="6" t="s">
        <v>242</v>
      </c>
      <c r="E7733" s="6" t="s">
        <v>417</v>
      </c>
      <c r="F7733" s="6" t="s">
        <v>283</v>
      </c>
      <c r="G7733" s="6" t="s">
        <v>458</v>
      </c>
      <c r="H7733" s="10">
        <v>46086.0</v>
      </c>
      <c r="I7733" s="12">
        <v>6.0</v>
      </c>
      <c r="J7733" s="6" t="s">
        <v>161</v>
      </c>
    </row>
    <row r="7734" ht="22.5" customHeight="1">
      <c r="A7734" s="6" t="s">
        <v>24542</v>
      </c>
      <c r="B7734" s="6" t="s">
        <v>17245</v>
      </c>
      <c r="C7734" s="10">
        <v>46067.0</v>
      </c>
      <c r="D7734" s="6" t="s">
        <v>289</v>
      </c>
      <c r="E7734" s="6" t="s">
        <v>1122</v>
      </c>
      <c r="F7734" s="6" t="s">
        <v>112</v>
      </c>
      <c r="G7734" s="6" t="s">
        <v>458</v>
      </c>
      <c r="H7734" s="10">
        <v>46068.0</v>
      </c>
      <c r="I7734" s="12">
        <v>10.0</v>
      </c>
      <c r="J7734" s="6" t="s">
        <v>161</v>
      </c>
    </row>
    <row r="7735" ht="22.5" customHeight="1">
      <c r="A7735" s="6" t="s">
        <v>24543</v>
      </c>
      <c r="B7735" s="6" t="s">
        <v>17245</v>
      </c>
      <c r="C7735" s="10">
        <v>46073.0</v>
      </c>
      <c r="D7735" s="6" t="s">
        <v>677</v>
      </c>
      <c r="E7735" s="6" t="s">
        <v>628</v>
      </c>
      <c r="F7735" s="6" t="s">
        <v>283</v>
      </c>
      <c r="G7735" s="6" t="s">
        <v>326</v>
      </c>
      <c r="H7735" s="10">
        <v>46074.0</v>
      </c>
      <c r="I7735" s="12">
        <v>3.0</v>
      </c>
      <c r="J7735" s="6" t="s">
        <v>161</v>
      </c>
    </row>
    <row r="7736" ht="22.5" customHeight="1">
      <c r="A7736" s="6" t="s">
        <v>24544</v>
      </c>
      <c r="B7736" s="6" t="s">
        <v>17245</v>
      </c>
      <c r="C7736" s="10">
        <v>46085.0</v>
      </c>
      <c r="D7736" s="6" t="s">
        <v>391</v>
      </c>
      <c r="E7736" s="6" t="s">
        <v>731</v>
      </c>
      <c r="F7736" s="6" t="s">
        <v>112</v>
      </c>
      <c r="G7736" s="6" t="s">
        <v>458</v>
      </c>
      <c r="H7736" s="10">
        <v>46085.0</v>
      </c>
      <c r="I7736" s="12">
        <v>9.0</v>
      </c>
      <c r="J7736" s="6" t="s">
        <v>161</v>
      </c>
    </row>
    <row r="7737" ht="22.5" customHeight="1">
      <c r="A7737" s="6" t="s">
        <v>24545</v>
      </c>
      <c r="B7737" s="6" t="s">
        <v>17245</v>
      </c>
      <c r="C7737" s="10">
        <v>46070.0</v>
      </c>
      <c r="D7737" s="6" t="s">
        <v>312</v>
      </c>
      <c r="E7737" s="6" t="s">
        <v>394</v>
      </c>
      <c r="F7737" s="6" t="s">
        <v>439</v>
      </c>
      <c r="G7737" s="6" t="s">
        <v>297</v>
      </c>
      <c r="H7737" s="10">
        <v>46075.0</v>
      </c>
      <c r="I7737" s="12">
        <v>4.0</v>
      </c>
      <c r="J7737" s="6" t="s">
        <v>161</v>
      </c>
    </row>
    <row r="7738" ht="22.5" customHeight="1">
      <c r="A7738" s="6" t="s">
        <v>24546</v>
      </c>
      <c r="B7738" s="6" t="s">
        <v>17252</v>
      </c>
      <c r="C7738" s="10">
        <v>46036.0</v>
      </c>
      <c r="D7738" s="6" t="s">
        <v>416</v>
      </c>
      <c r="E7738" s="6" t="s">
        <v>634</v>
      </c>
      <c r="F7738" s="6" t="s">
        <v>112</v>
      </c>
      <c r="G7738" s="6" t="s">
        <v>458</v>
      </c>
      <c r="H7738" s="10">
        <v>46043.0</v>
      </c>
      <c r="I7738" s="12">
        <v>9.0</v>
      </c>
      <c r="J7738" s="6" t="s">
        <v>161</v>
      </c>
    </row>
    <row r="7739" ht="22.5" customHeight="1">
      <c r="A7739" s="6" t="s">
        <v>24547</v>
      </c>
      <c r="B7739" s="6" t="s">
        <v>17252</v>
      </c>
      <c r="C7739" s="10">
        <v>46039.0</v>
      </c>
      <c r="D7739" s="6" t="s">
        <v>677</v>
      </c>
      <c r="E7739" s="6" t="s">
        <v>1310</v>
      </c>
      <c r="F7739" s="6" t="s">
        <v>249</v>
      </c>
      <c r="G7739" s="6" t="s">
        <v>452</v>
      </c>
      <c r="H7739" s="10">
        <v>46041.0</v>
      </c>
      <c r="I7739" s="12">
        <v>2.0</v>
      </c>
      <c r="J7739" s="6" t="s">
        <v>161</v>
      </c>
    </row>
    <row r="7740" ht="22.5" customHeight="1">
      <c r="A7740" s="6" t="s">
        <v>24548</v>
      </c>
      <c r="B7740" s="6" t="s">
        <v>17252</v>
      </c>
      <c r="C7740" s="10">
        <v>46045.0</v>
      </c>
      <c r="D7740" s="6" t="s">
        <v>312</v>
      </c>
      <c r="E7740" s="6" t="s">
        <v>566</v>
      </c>
      <c r="F7740" s="6" t="s">
        <v>112</v>
      </c>
      <c r="G7740" s="6" t="s">
        <v>452</v>
      </c>
      <c r="H7740" s="11" t="s">
        <v>259</v>
      </c>
      <c r="I7740" s="12">
        <v>7.0</v>
      </c>
      <c r="J7740" s="6" t="s">
        <v>161</v>
      </c>
    </row>
    <row r="7741" ht="22.5" customHeight="1">
      <c r="A7741" s="6" t="s">
        <v>24549</v>
      </c>
      <c r="B7741" s="6" t="s">
        <v>17252</v>
      </c>
      <c r="C7741" s="10">
        <v>46039.0</v>
      </c>
      <c r="D7741" s="6" t="s">
        <v>677</v>
      </c>
      <c r="E7741" s="6" t="s">
        <v>618</v>
      </c>
      <c r="F7741" s="6" t="s">
        <v>249</v>
      </c>
      <c r="G7741" s="6" t="s">
        <v>477</v>
      </c>
      <c r="H7741" s="11" t="s">
        <v>259</v>
      </c>
      <c r="I7741" s="12">
        <v>3.0</v>
      </c>
      <c r="J7741" s="6" t="s">
        <v>161</v>
      </c>
    </row>
    <row r="7742" ht="22.5" customHeight="1">
      <c r="A7742" s="6" t="s">
        <v>24550</v>
      </c>
      <c r="B7742" s="6" t="s">
        <v>17252</v>
      </c>
      <c r="C7742" s="10">
        <v>46043.0</v>
      </c>
      <c r="D7742" s="6" t="s">
        <v>416</v>
      </c>
      <c r="E7742" s="6" t="s">
        <v>1552</v>
      </c>
      <c r="F7742" s="6" t="s">
        <v>112</v>
      </c>
      <c r="G7742" s="6" t="s">
        <v>369</v>
      </c>
      <c r="H7742" s="10">
        <v>46050.0</v>
      </c>
      <c r="I7742" s="12">
        <v>12.0</v>
      </c>
      <c r="J7742" s="6" t="s">
        <v>161</v>
      </c>
    </row>
    <row r="7743" ht="22.5" customHeight="1">
      <c r="A7743" s="6" t="s">
        <v>24551</v>
      </c>
      <c r="B7743" s="6" t="s">
        <v>17258</v>
      </c>
      <c r="C7743" s="10">
        <v>46059.0</v>
      </c>
      <c r="D7743" s="6" t="s">
        <v>242</v>
      </c>
      <c r="E7743" s="6" t="s">
        <v>1517</v>
      </c>
      <c r="F7743" s="6" t="s">
        <v>112</v>
      </c>
      <c r="G7743" s="6" t="s">
        <v>477</v>
      </c>
      <c r="H7743" s="11" t="s">
        <v>259</v>
      </c>
      <c r="I7743" s="12">
        <v>3.0</v>
      </c>
      <c r="J7743" s="6" t="s">
        <v>161</v>
      </c>
    </row>
    <row r="7744" ht="22.5" customHeight="1">
      <c r="A7744" s="6" t="s">
        <v>24552</v>
      </c>
      <c r="B7744" s="6" t="s">
        <v>17258</v>
      </c>
      <c r="C7744" s="10">
        <v>46068.0</v>
      </c>
      <c r="D7744" s="6" t="s">
        <v>416</v>
      </c>
      <c r="E7744" s="6" t="s">
        <v>450</v>
      </c>
      <c r="F7744" s="6" t="s">
        <v>283</v>
      </c>
      <c r="G7744" s="6" t="s">
        <v>369</v>
      </c>
      <c r="H7744" s="11" t="s">
        <v>259</v>
      </c>
      <c r="I7744" s="12">
        <v>11.0</v>
      </c>
      <c r="J7744" s="6" t="s">
        <v>161</v>
      </c>
    </row>
    <row r="7745" ht="22.5" customHeight="1">
      <c r="A7745" s="6" t="s">
        <v>24553</v>
      </c>
      <c r="B7745" s="6" t="s">
        <v>17258</v>
      </c>
      <c r="C7745" s="10">
        <v>46059.0</v>
      </c>
      <c r="D7745" s="6" t="s">
        <v>677</v>
      </c>
      <c r="E7745" s="6" t="s">
        <v>1296</v>
      </c>
      <c r="F7745" s="6" t="s">
        <v>283</v>
      </c>
      <c r="G7745" s="6" t="s">
        <v>297</v>
      </c>
      <c r="H7745" s="10">
        <v>46059.0</v>
      </c>
      <c r="I7745" s="12">
        <v>3.0</v>
      </c>
      <c r="J7745" s="6" t="s">
        <v>161</v>
      </c>
    </row>
    <row r="7746" ht="22.5" customHeight="1">
      <c r="A7746" s="6" t="s">
        <v>24554</v>
      </c>
      <c r="B7746" s="6" t="s">
        <v>17258</v>
      </c>
      <c r="C7746" s="10">
        <v>46056.0</v>
      </c>
      <c r="D7746" s="6" t="s">
        <v>242</v>
      </c>
      <c r="E7746" s="6" t="s">
        <v>738</v>
      </c>
      <c r="F7746" s="6" t="s">
        <v>249</v>
      </c>
      <c r="G7746" s="6" t="s">
        <v>369</v>
      </c>
      <c r="H7746" s="11" t="s">
        <v>259</v>
      </c>
      <c r="I7746" s="12">
        <v>3.0</v>
      </c>
      <c r="J7746" s="6" t="s">
        <v>161</v>
      </c>
    </row>
    <row r="7747" ht="22.5" customHeight="1">
      <c r="A7747" s="6" t="s">
        <v>24555</v>
      </c>
      <c r="B7747" s="6" t="s">
        <v>17258</v>
      </c>
      <c r="C7747" s="10">
        <v>46058.0</v>
      </c>
      <c r="D7747" s="6" t="s">
        <v>312</v>
      </c>
      <c r="E7747" s="6" t="s">
        <v>787</v>
      </c>
      <c r="F7747" s="6" t="s">
        <v>439</v>
      </c>
      <c r="G7747" s="6" t="s">
        <v>477</v>
      </c>
      <c r="H7747" s="10">
        <v>46061.0</v>
      </c>
      <c r="I7747" s="12">
        <v>7.0</v>
      </c>
      <c r="J7747" s="6" t="s">
        <v>161</v>
      </c>
    </row>
    <row r="7748" ht="22.5" customHeight="1">
      <c r="A7748" s="6" t="s">
        <v>24556</v>
      </c>
      <c r="B7748" s="6" t="s">
        <v>17265</v>
      </c>
      <c r="C7748" s="10">
        <v>46038.0</v>
      </c>
      <c r="D7748" s="6" t="s">
        <v>391</v>
      </c>
      <c r="E7748" s="6" t="s">
        <v>1280</v>
      </c>
      <c r="F7748" s="6" t="s">
        <v>283</v>
      </c>
      <c r="G7748" s="6" t="s">
        <v>458</v>
      </c>
      <c r="H7748" s="10">
        <v>46043.0</v>
      </c>
      <c r="I7748" s="12">
        <v>10.0</v>
      </c>
      <c r="J7748" s="6" t="s">
        <v>161</v>
      </c>
    </row>
    <row r="7749" ht="22.5" customHeight="1">
      <c r="A7749" s="6" t="s">
        <v>24557</v>
      </c>
      <c r="B7749" s="6" t="s">
        <v>17265</v>
      </c>
      <c r="C7749" s="10">
        <v>46051.0</v>
      </c>
      <c r="D7749" s="6" t="s">
        <v>312</v>
      </c>
      <c r="E7749" s="6" t="s">
        <v>1035</v>
      </c>
      <c r="F7749" s="6" t="s">
        <v>249</v>
      </c>
      <c r="G7749" s="6" t="s">
        <v>297</v>
      </c>
      <c r="H7749" s="10">
        <v>46052.0</v>
      </c>
      <c r="I7749" s="12">
        <v>5.0</v>
      </c>
      <c r="J7749" s="6" t="s">
        <v>161</v>
      </c>
    </row>
    <row r="7750" ht="22.5" customHeight="1">
      <c r="A7750" s="6" t="s">
        <v>24558</v>
      </c>
      <c r="B7750" s="6" t="s">
        <v>17265</v>
      </c>
      <c r="C7750" s="10">
        <v>46049.0</v>
      </c>
      <c r="D7750" s="6" t="s">
        <v>436</v>
      </c>
      <c r="E7750" s="6" t="s">
        <v>628</v>
      </c>
      <c r="F7750" s="6" t="s">
        <v>112</v>
      </c>
      <c r="G7750" s="6" t="s">
        <v>477</v>
      </c>
      <c r="H7750" s="10">
        <v>46056.0</v>
      </c>
      <c r="I7750" s="12">
        <v>12.0</v>
      </c>
      <c r="J7750" s="6" t="s">
        <v>161</v>
      </c>
    </row>
    <row r="7751" ht="22.5" customHeight="1">
      <c r="A7751" s="6" t="s">
        <v>24559</v>
      </c>
      <c r="B7751" s="6" t="s">
        <v>17271</v>
      </c>
      <c r="C7751" s="10">
        <v>46052.0</v>
      </c>
      <c r="D7751" s="6" t="s">
        <v>242</v>
      </c>
      <c r="E7751" s="6" t="s">
        <v>246</v>
      </c>
      <c r="F7751" s="6" t="s">
        <v>112</v>
      </c>
      <c r="G7751" s="6" t="s">
        <v>297</v>
      </c>
      <c r="H7751" s="10">
        <v>46055.0</v>
      </c>
      <c r="I7751" s="12">
        <v>6.0</v>
      </c>
      <c r="J7751" s="6" t="s">
        <v>178</v>
      </c>
    </row>
    <row r="7752" ht="22.5" customHeight="1">
      <c r="A7752" s="6" t="s">
        <v>24560</v>
      </c>
      <c r="B7752" s="6" t="s">
        <v>17271</v>
      </c>
      <c r="C7752" s="10">
        <v>46056.0</v>
      </c>
      <c r="D7752" s="6" t="s">
        <v>677</v>
      </c>
      <c r="E7752" s="6" t="s">
        <v>1741</v>
      </c>
      <c r="F7752" s="6" t="s">
        <v>439</v>
      </c>
      <c r="G7752" s="6" t="s">
        <v>297</v>
      </c>
      <c r="H7752" s="11" t="s">
        <v>259</v>
      </c>
      <c r="I7752" s="12">
        <v>4.0</v>
      </c>
      <c r="J7752" s="6" t="s">
        <v>161</v>
      </c>
    </row>
    <row r="7753" ht="22.5" customHeight="1">
      <c r="A7753" s="6" t="s">
        <v>24561</v>
      </c>
      <c r="B7753" s="6" t="s">
        <v>17271</v>
      </c>
      <c r="C7753" s="10">
        <v>46058.0</v>
      </c>
      <c r="D7753" s="6" t="s">
        <v>312</v>
      </c>
      <c r="E7753" s="6" t="s">
        <v>1273</v>
      </c>
      <c r="F7753" s="6" t="s">
        <v>249</v>
      </c>
      <c r="G7753" s="6" t="s">
        <v>452</v>
      </c>
      <c r="H7753" s="10">
        <v>46059.0</v>
      </c>
      <c r="I7753" s="12">
        <v>4.0</v>
      </c>
      <c r="J7753" s="6" t="s">
        <v>161</v>
      </c>
    </row>
    <row r="7754" ht="22.5" customHeight="1">
      <c r="A7754" s="6" t="s">
        <v>24562</v>
      </c>
      <c r="B7754" s="6" t="s">
        <v>17271</v>
      </c>
      <c r="C7754" s="10">
        <v>46057.0</v>
      </c>
      <c r="D7754" s="6" t="s">
        <v>312</v>
      </c>
      <c r="E7754" s="6" t="s">
        <v>1310</v>
      </c>
      <c r="F7754" s="6" t="s">
        <v>283</v>
      </c>
      <c r="G7754" s="6" t="s">
        <v>297</v>
      </c>
      <c r="H7754" s="10">
        <v>46059.0</v>
      </c>
      <c r="I7754" s="12">
        <v>4.0</v>
      </c>
      <c r="J7754" s="6" t="s">
        <v>161</v>
      </c>
    </row>
    <row r="7755" ht="22.5" customHeight="1">
      <c r="A7755" s="6" t="s">
        <v>24563</v>
      </c>
      <c r="B7755" s="6" t="s">
        <v>17271</v>
      </c>
      <c r="C7755" s="10">
        <v>46063.0</v>
      </c>
      <c r="D7755" s="6" t="s">
        <v>416</v>
      </c>
      <c r="E7755" s="6" t="s">
        <v>798</v>
      </c>
      <c r="F7755" s="6" t="s">
        <v>283</v>
      </c>
      <c r="G7755" s="6" t="s">
        <v>297</v>
      </c>
      <c r="H7755" s="10">
        <v>46068.0</v>
      </c>
      <c r="I7755" s="12">
        <v>12.0</v>
      </c>
      <c r="J7755" s="6" t="s">
        <v>161</v>
      </c>
    </row>
    <row r="7756" ht="22.5" customHeight="1">
      <c r="A7756" s="6" t="s">
        <v>24564</v>
      </c>
      <c r="B7756" s="6" t="s">
        <v>17278</v>
      </c>
      <c r="C7756" s="10">
        <v>46057.0</v>
      </c>
      <c r="D7756" s="6" t="s">
        <v>391</v>
      </c>
      <c r="E7756" s="6" t="s">
        <v>1626</v>
      </c>
      <c r="F7756" s="6" t="s">
        <v>283</v>
      </c>
      <c r="G7756" s="6" t="s">
        <v>494</v>
      </c>
      <c r="H7756" s="10">
        <v>46058.0</v>
      </c>
      <c r="I7756" s="12">
        <v>7.0</v>
      </c>
      <c r="J7756" s="6" t="s">
        <v>161</v>
      </c>
    </row>
    <row r="7757" ht="22.5" customHeight="1">
      <c r="A7757" s="6" t="s">
        <v>24565</v>
      </c>
      <c r="B7757" s="6" t="s">
        <v>17278</v>
      </c>
      <c r="C7757" s="10">
        <v>46060.0</v>
      </c>
      <c r="D7757" s="6" t="s">
        <v>391</v>
      </c>
      <c r="E7757" s="6" t="s">
        <v>583</v>
      </c>
      <c r="F7757" s="6" t="s">
        <v>249</v>
      </c>
      <c r="G7757" s="6" t="s">
        <v>297</v>
      </c>
      <c r="H7757" s="10">
        <v>46061.0</v>
      </c>
      <c r="I7757" s="12">
        <v>6.0</v>
      </c>
      <c r="J7757" s="6" t="s">
        <v>161</v>
      </c>
    </row>
    <row r="7758" ht="22.5" customHeight="1">
      <c r="A7758" s="6" t="s">
        <v>24566</v>
      </c>
      <c r="B7758" s="6" t="s">
        <v>17284</v>
      </c>
      <c r="C7758" s="10">
        <v>46061.0</v>
      </c>
      <c r="D7758" s="6" t="s">
        <v>242</v>
      </c>
      <c r="E7758" s="6" t="s">
        <v>466</v>
      </c>
      <c r="F7758" s="6" t="s">
        <v>283</v>
      </c>
      <c r="G7758" s="6" t="s">
        <v>494</v>
      </c>
      <c r="H7758" s="11" t="s">
        <v>259</v>
      </c>
      <c r="I7758" s="12">
        <v>4.0</v>
      </c>
      <c r="J7758" s="6" t="s">
        <v>178</v>
      </c>
    </row>
    <row r="7759" ht="22.5" customHeight="1">
      <c r="A7759" s="6" t="s">
        <v>24567</v>
      </c>
      <c r="B7759" s="6" t="s">
        <v>17284</v>
      </c>
      <c r="C7759" s="10">
        <v>46073.0</v>
      </c>
      <c r="D7759" s="6" t="s">
        <v>312</v>
      </c>
      <c r="E7759" s="6" t="s">
        <v>896</v>
      </c>
      <c r="F7759" s="6" t="s">
        <v>112</v>
      </c>
      <c r="G7759" s="6" t="s">
        <v>477</v>
      </c>
      <c r="H7759" s="10">
        <v>46074.0</v>
      </c>
      <c r="I7759" s="12">
        <v>6.0</v>
      </c>
      <c r="J7759" s="6" t="s">
        <v>161</v>
      </c>
    </row>
    <row r="7760" ht="22.5" customHeight="1">
      <c r="A7760" s="6" t="s">
        <v>24568</v>
      </c>
      <c r="B7760" s="6" t="s">
        <v>17290</v>
      </c>
      <c r="C7760" s="10">
        <v>46051.0</v>
      </c>
      <c r="D7760" s="6" t="s">
        <v>289</v>
      </c>
      <c r="E7760" s="6" t="s">
        <v>246</v>
      </c>
      <c r="F7760" s="6" t="s">
        <v>283</v>
      </c>
      <c r="G7760" s="6" t="s">
        <v>458</v>
      </c>
      <c r="H7760" s="10">
        <v>46053.0</v>
      </c>
      <c r="I7760" s="12">
        <v>6.0</v>
      </c>
      <c r="J7760" s="6" t="s">
        <v>161</v>
      </c>
    </row>
    <row r="7761" ht="22.5" customHeight="1">
      <c r="A7761" s="6" t="s">
        <v>24569</v>
      </c>
      <c r="B7761" s="6" t="s">
        <v>17297</v>
      </c>
      <c r="C7761" s="10">
        <v>46062.0</v>
      </c>
      <c r="D7761" s="6" t="s">
        <v>416</v>
      </c>
      <c r="E7761" s="6" t="s">
        <v>1386</v>
      </c>
      <c r="F7761" s="6" t="s">
        <v>112</v>
      </c>
      <c r="G7761" s="6" t="s">
        <v>297</v>
      </c>
      <c r="H7761" s="11" t="s">
        <v>259</v>
      </c>
      <c r="I7761" s="12">
        <v>11.0</v>
      </c>
      <c r="J7761" s="6" t="s">
        <v>161</v>
      </c>
    </row>
    <row r="7762" ht="22.5" customHeight="1">
      <c r="A7762" s="6" t="s">
        <v>24570</v>
      </c>
      <c r="B7762" s="6" t="s">
        <v>17303</v>
      </c>
      <c r="C7762" s="10">
        <v>46046.0</v>
      </c>
      <c r="D7762" s="6" t="s">
        <v>677</v>
      </c>
      <c r="E7762" s="6" t="s">
        <v>475</v>
      </c>
      <c r="F7762" s="6" t="s">
        <v>112</v>
      </c>
      <c r="G7762" s="6" t="s">
        <v>297</v>
      </c>
      <c r="H7762" s="10">
        <v>46047.0</v>
      </c>
      <c r="I7762" s="12">
        <v>3.0</v>
      </c>
      <c r="J7762" s="6" t="s">
        <v>161</v>
      </c>
    </row>
    <row r="7763" ht="22.5" customHeight="1">
      <c r="A7763" s="6" t="s">
        <v>24571</v>
      </c>
      <c r="B7763" s="6" t="s">
        <v>17303</v>
      </c>
      <c r="C7763" s="10">
        <v>46033.0</v>
      </c>
      <c r="D7763" s="6" t="s">
        <v>677</v>
      </c>
      <c r="E7763" s="6" t="s">
        <v>731</v>
      </c>
      <c r="F7763" s="6" t="s">
        <v>249</v>
      </c>
      <c r="G7763" s="6" t="s">
        <v>477</v>
      </c>
      <c r="H7763" s="10">
        <v>46038.0</v>
      </c>
      <c r="I7763" s="12">
        <v>3.0</v>
      </c>
      <c r="J7763" s="6" t="s">
        <v>161</v>
      </c>
    </row>
    <row r="7764" ht="22.5" customHeight="1">
      <c r="A7764" s="6" t="s">
        <v>24572</v>
      </c>
      <c r="B7764" s="6" t="s">
        <v>17310</v>
      </c>
      <c r="C7764" s="10">
        <v>46038.0</v>
      </c>
      <c r="D7764" s="6" t="s">
        <v>242</v>
      </c>
      <c r="E7764" s="6" t="s">
        <v>628</v>
      </c>
      <c r="F7764" s="6" t="s">
        <v>112</v>
      </c>
      <c r="G7764" s="6" t="s">
        <v>369</v>
      </c>
      <c r="H7764" s="10">
        <v>46044.0</v>
      </c>
      <c r="I7764" s="12">
        <v>6.0</v>
      </c>
      <c r="J7764" s="6" t="s">
        <v>178</v>
      </c>
    </row>
    <row r="7765" ht="22.5" customHeight="1">
      <c r="A7765" s="6" t="s">
        <v>24573</v>
      </c>
      <c r="B7765" s="6" t="s">
        <v>17310</v>
      </c>
      <c r="C7765" s="10">
        <v>46032.0</v>
      </c>
      <c r="D7765" s="6" t="s">
        <v>677</v>
      </c>
      <c r="E7765" s="6" t="s">
        <v>566</v>
      </c>
      <c r="F7765" s="6" t="s">
        <v>283</v>
      </c>
      <c r="G7765" s="6" t="s">
        <v>254</v>
      </c>
      <c r="H7765" s="10">
        <v>46033.0</v>
      </c>
      <c r="I7765" s="12">
        <v>4.0</v>
      </c>
      <c r="J7765" s="6" t="s">
        <v>161</v>
      </c>
    </row>
    <row r="7766" ht="22.5" customHeight="1">
      <c r="A7766" s="6" t="s">
        <v>24574</v>
      </c>
      <c r="B7766" s="6" t="s">
        <v>17310</v>
      </c>
      <c r="C7766" s="10">
        <v>46034.0</v>
      </c>
      <c r="D7766" s="6" t="s">
        <v>677</v>
      </c>
      <c r="E7766" s="6" t="s">
        <v>628</v>
      </c>
      <c r="F7766" s="6" t="s">
        <v>112</v>
      </c>
      <c r="G7766" s="6" t="s">
        <v>297</v>
      </c>
      <c r="H7766" s="10">
        <v>46036.0</v>
      </c>
      <c r="I7766" s="12">
        <v>4.0</v>
      </c>
      <c r="J7766" s="6" t="s">
        <v>161</v>
      </c>
    </row>
    <row r="7767" ht="22.5" customHeight="1">
      <c r="A7767" s="6" t="s">
        <v>24575</v>
      </c>
      <c r="B7767" s="6" t="s">
        <v>17310</v>
      </c>
      <c r="C7767" s="10">
        <v>46044.0</v>
      </c>
      <c r="D7767" s="6" t="s">
        <v>242</v>
      </c>
      <c r="E7767" s="6" t="s">
        <v>1386</v>
      </c>
      <c r="F7767" s="6" t="s">
        <v>283</v>
      </c>
      <c r="G7767" s="6" t="s">
        <v>452</v>
      </c>
      <c r="H7767" s="10">
        <v>46051.0</v>
      </c>
      <c r="I7767" s="12">
        <v>5.0</v>
      </c>
      <c r="J7767" s="6" t="s">
        <v>178</v>
      </c>
    </row>
    <row r="7768" ht="22.5" customHeight="1">
      <c r="A7768" s="6" t="s">
        <v>24576</v>
      </c>
      <c r="B7768" s="6" t="s">
        <v>17318</v>
      </c>
      <c r="C7768" s="10">
        <v>46072.0</v>
      </c>
      <c r="D7768" s="6" t="s">
        <v>391</v>
      </c>
      <c r="E7768" s="6" t="s">
        <v>394</v>
      </c>
      <c r="F7768" s="6" t="s">
        <v>439</v>
      </c>
      <c r="G7768" s="6" t="s">
        <v>494</v>
      </c>
      <c r="H7768" s="10">
        <v>46073.0</v>
      </c>
      <c r="I7768" s="12">
        <v>7.0</v>
      </c>
      <c r="J7768" s="6" t="s">
        <v>161</v>
      </c>
    </row>
    <row r="7769" ht="22.5" customHeight="1">
      <c r="A7769" s="6" t="s">
        <v>24577</v>
      </c>
      <c r="B7769" s="6" t="s">
        <v>17318</v>
      </c>
      <c r="C7769" s="10">
        <v>46055.0</v>
      </c>
      <c r="D7769" s="6" t="s">
        <v>436</v>
      </c>
      <c r="E7769" s="6" t="s">
        <v>1546</v>
      </c>
      <c r="F7769" s="6" t="s">
        <v>249</v>
      </c>
      <c r="G7769" s="6" t="s">
        <v>369</v>
      </c>
      <c r="H7769" s="10">
        <v>46061.0</v>
      </c>
      <c r="I7769" s="12">
        <v>11.0</v>
      </c>
      <c r="J7769" s="6" t="s">
        <v>161</v>
      </c>
    </row>
    <row r="7770" ht="22.5" customHeight="1">
      <c r="A7770" s="6" t="s">
        <v>24578</v>
      </c>
      <c r="B7770" s="6" t="s">
        <v>17318</v>
      </c>
      <c r="C7770" s="10">
        <v>46052.0</v>
      </c>
      <c r="D7770" s="6" t="s">
        <v>289</v>
      </c>
      <c r="E7770" s="6" t="s">
        <v>512</v>
      </c>
      <c r="F7770" s="6" t="s">
        <v>112</v>
      </c>
      <c r="G7770" s="6" t="s">
        <v>494</v>
      </c>
      <c r="H7770" s="10">
        <v>46056.0</v>
      </c>
      <c r="I7770" s="12">
        <v>8.0</v>
      </c>
      <c r="J7770" s="6" t="s">
        <v>161</v>
      </c>
    </row>
    <row r="7771" ht="22.5" customHeight="1">
      <c r="A7771" s="6" t="s">
        <v>24579</v>
      </c>
      <c r="B7771" s="6" t="s">
        <v>17324</v>
      </c>
      <c r="C7771" s="10">
        <v>46054.0</v>
      </c>
      <c r="D7771" s="6" t="s">
        <v>436</v>
      </c>
      <c r="E7771" s="6" t="s">
        <v>775</v>
      </c>
      <c r="F7771" s="6" t="s">
        <v>112</v>
      </c>
      <c r="G7771" s="6" t="s">
        <v>494</v>
      </c>
      <c r="H7771" s="10">
        <v>46055.0</v>
      </c>
      <c r="I7771" s="12">
        <v>10.0</v>
      </c>
      <c r="J7771" s="6" t="s">
        <v>161</v>
      </c>
    </row>
    <row r="7772" ht="22.5" customHeight="1">
      <c r="A7772" s="6" t="s">
        <v>24580</v>
      </c>
      <c r="B7772" s="6" t="s">
        <v>17324</v>
      </c>
      <c r="C7772" s="10">
        <v>46053.0</v>
      </c>
      <c r="D7772" s="6" t="s">
        <v>289</v>
      </c>
      <c r="E7772" s="6" t="s">
        <v>863</v>
      </c>
      <c r="F7772" s="6" t="s">
        <v>439</v>
      </c>
      <c r="G7772" s="6" t="s">
        <v>297</v>
      </c>
      <c r="H7772" s="10">
        <v>46053.0</v>
      </c>
      <c r="I7772" s="12">
        <v>5.0</v>
      </c>
      <c r="J7772" s="6" t="s">
        <v>161</v>
      </c>
    </row>
    <row r="7773" ht="22.5" customHeight="1">
      <c r="A7773" s="6" t="s">
        <v>24581</v>
      </c>
      <c r="B7773" s="6" t="s">
        <v>17324</v>
      </c>
      <c r="C7773" s="10">
        <v>46054.0</v>
      </c>
      <c r="D7773" s="6" t="s">
        <v>312</v>
      </c>
      <c r="E7773" s="6" t="s">
        <v>512</v>
      </c>
      <c r="F7773" s="6" t="s">
        <v>439</v>
      </c>
      <c r="G7773" s="6" t="s">
        <v>452</v>
      </c>
      <c r="H7773" s="10">
        <v>46054.0</v>
      </c>
      <c r="I7773" s="12">
        <v>7.0</v>
      </c>
      <c r="J7773" s="6" t="s">
        <v>161</v>
      </c>
    </row>
    <row r="7774" ht="22.5" customHeight="1">
      <c r="A7774" s="6" t="s">
        <v>24582</v>
      </c>
      <c r="B7774" s="6" t="s">
        <v>17331</v>
      </c>
      <c r="C7774" s="10">
        <v>46045.0</v>
      </c>
      <c r="D7774" s="6" t="s">
        <v>391</v>
      </c>
      <c r="E7774" s="6" t="s">
        <v>291</v>
      </c>
      <c r="F7774" s="6" t="s">
        <v>283</v>
      </c>
      <c r="G7774" s="6" t="s">
        <v>494</v>
      </c>
      <c r="H7774" s="10">
        <v>46051.0</v>
      </c>
      <c r="I7774" s="12">
        <v>11.0</v>
      </c>
      <c r="J7774" s="6" t="s">
        <v>161</v>
      </c>
    </row>
    <row r="7775" ht="22.5" customHeight="1">
      <c r="A7775" s="6" t="s">
        <v>24583</v>
      </c>
      <c r="B7775" s="6" t="s">
        <v>17331</v>
      </c>
      <c r="C7775" s="10">
        <v>46045.0</v>
      </c>
      <c r="D7775" s="6" t="s">
        <v>289</v>
      </c>
      <c r="E7775" s="6" t="s">
        <v>1035</v>
      </c>
      <c r="F7775" s="6" t="s">
        <v>283</v>
      </c>
      <c r="G7775" s="6" t="s">
        <v>254</v>
      </c>
      <c r="H7775" s="11" t="s">
        <v>259</v>
      </c>
      <c r="I7775" s="12">
        <v>9.0</v>
      </c>
      <c r="J7775" s="6" t="s">
        <v>161</v>
      </c>
    </row>
    <row r="7776" ht="22.5" customHeight="1">
      <c r="A7776" s="6" t="s">
        <v>24584</v>
      </c>
      <c r="B7776" s="6" t="s">
        <v>17331</v>
      </c>
      <c r="C7776" s="10">
        <v>46036.0</v>
      </c>
      <c r="D7776" s="6" t="s">
        <v>289</v>
      </c>
      <c r="E7776" s="6" t="s">
        <v>1720</v>
      </c>
      <c r="F7776" s="6" t="s">
        <v>249</v>
      </c>
      <c r="G7776" s="6" t="s">
        <v>452</v>
      </c>
      <c r="H7776" s="10">
        <v>46042.0</v>
      </c>
      <c r="I7776" s="12">
        <v>7.0</v>
      </c>
      <c r="J7776" s="6" t="s">
        <v>161</v>
      </c>
    </row>
    <row r="7777" ht="22.5" customHeight="1">
      <c r="A7777" s="6" t="s">
        <v>24585</v>
      </c>
      <c r="B7777" s="6" t="s">
        <v>17331</v>
      </c>
      <c r="C7777" s="10">
        <v>46029.0</v>
      </c>
      <c r="D7777" s="6" t="s">
        <v>289</v>
      </c>
      <c r="E7777" s="6" t="s">
        <v>687</v>
      </c>
      <c r="F7777" s="6" t="s">
        <v>439</v>
      </c>
      <c r="G7777" s="6" t="s">
        <v>477</v>
      </c>
      <c r="H7777" s="10">
        <v>46034.0</v>
      </c>
      <c r="I7777" s="12">
        <v>10.0</v>
      </c>
      <c r="J7777" s="6" t="s">
        <v>161</v>
      </c>
    </row>
    <row r="7778" ht="22.5" customHeight="1">
      <c r="A7778" s="6" t="s">
        <v>24586</v>
      </c>
      <c r="B7778" s="6" t="s">
        <v>17336</v>
      </c>
      <c r="C7778" s="10">
        <v>46037.0</v>
      </c>
      <c r="D7778" s="6" t="s">
        <v>289</v>
      </c>
      <c r="E7778" s="6" t="s">
        <v>704</v>
      </c>
      <c r="F7778" s="6" t="s">
        <v>439</v>
      </c>
      <c r="G7778" s="6" t="s">
        <v>254</v>
      </c>
      <c r="H7778" s="10">
        <v>46042.0</v>
      </c>
      <c r="I7778" s="12">
        <v>8.0</v>
      </c>
      <c r="J7778" s="6" t="s">
        <v>161</v>
      </c>
    </row>
    <row r="7779" ht="22.5" customHeight="1">
      <c r="A7779" s="6" t="s">
        <v>24587</v>
      </c>
      <c r="B7779" s="6" t="s">
        <v>17336</v>
      </c>
      <c r="C7779" s="10">
        <v>46043.0</v>
      </c>
      <c r="D7779" s="6" t="s">
        <v>677</v>
      </c>
      <c r="E7779" s="6" t="s">
        <v>628</v>
      </c>
      <c r="F7779" s="6" t="s">
        <v>439</v>
      </c>
      <c r="G7779" s="6" t="s">
        <v>254</v>
      </c>
      <c r="H7779" s="10">
        <v>46048.0</v>
      </c>
      <c r="I7779" s="12">
        <v>4.0</v>
      </c>
      <c r="J7779" s="6" t="s">
        <v>161</v>
      </c>
    </row>
    <row r="7780" ht="22.5" customHeight="1">
      <c r="A7780" s="6" t="s">
        <v>24588</v>
      </c>
      <c r="B7780" s="6" t="s">
        <v>17336</v>
      </c>
      <c r="C7780" s="10">
        <v>46033.0</v>
      </c>
      <c r="D7780" s="6" t="s">
        <v>436</v>
      </c>
      <c r="E7780" s="6" t="s">
        <v>394</v>
      </c>
      <c r="F7780" s="6" t="s">
        <v>439</v>
      </c>
      <c r="G7780" s="6" t="s">
        <v>458</v>
      </c>
      <c r="H7780" s="10">
        <v>46035.0</v>
      </c>
      <c r="I7780" s="12">
        <v>7.0</v>
      </c>
      <c r="J7780" s="6" t="s">
        <v>178</v>
      </c>
    </row>
    <row r="7781" ht="22.5" customHeight="1">
      <c r="A7781" s="6" t="s">
        <v>24589</v>
      </c>
      <c r="B7781" s="6" t="s">
        <v>17342</v>
      </c>
      <c r="C7781" s="10">
        <v>46048.0</v>
      </c>
      <c r="D7781" s="6" t="s">
        <v>289</v>
      </c>
      <c r="E7781" s="6" t="s">
        <v>695</v>
      </c>
      <c r="F7781" s="6" t="s">
        <v>249</v>
      </c>
      <c r="G7781" s="6" t="s">
        <v>458</v>
      </c>
      <c r="H7781" s="10">
        <v>46053.0</v>
      </c>
      <c r="I7781" s="12">
        <v>8.0</v>
      </c>
      <c r="J7781" s="6" t="s">
        <v>161</v>
      </c>
    </row>
    <row r="7782" ht="22.5" customHeight="1">
      <c r="A7782" s="6" t="s">
        <v>24590</v>
      </c>
      <c r="B7782" s="6" t="s">
        <v>17342</v>
      </c>
      <c r="C7782" s="10">
        <v>46060.0</v>
      </c>
      <c r="D7782" s="6" t="s">
        <v>391</v>
      </c>
      <c r="E7782" s="6" t="s">
        <v>738</v>
      </c>
      <c r="F7782" s="6" t="s">
        <v>439</v>
      </c>
      <c r="G7782" s="6" t="s">
        <v>458</v>
      </c>
      <c r="H7782" s="11" t="s">
        <v>259</v>
      </c>
      <c r="I7782" s="12">
        <v>11.0</v>
      </c>
      <c r="J7782" s="6" t="s">
        <v>161</v>
      </c>
    </row>
    <row r="7783" ht="22.5" customHeight="1">
      <c r="A7783" s="6" t="s">
        <v>24591</v>
      </c>
      <c r="B7783" s="6" t="s">
        <v>17342</v>
      </c>
      <c r="C7783" s="10">
        <v>46055.0</v>
      </c>
      <c r="D7783" s="6" t="s">
        <v>391</v>
      </c>
      <c r="E7783" s="6" t="s">
        <v>2365</v>
      </c>
      <c r="F7783" s="6" t="s">
        <v>249</v>
      </c>
      <c r="G7783" s="6" t="s">
        <v>458</v>
      </c>
      <c r="H7783" s="10">
        <v>46060.0</v>
      </c>
      <c r="I7783" s="12">
        <v>11.0</v>
      </c>
      <c r="J7783" s="6" t="s">
        <v>161</v>
      </c>
    </row>
    <row r="7784" ht="22.5" customHeight="1">
      <c r="A7784" s="6" t="s">
        <v>24592</v>
      </c>
      <c r="B7784" s="6" t="s">
        <v>17342</v>
      </c>
      <c r="C7784" s="10">
        <v>46047.0</v>
      </c>
      <c r="D7784" s="6" t="s">
        <v>312</v>
      </c>
      <c r="E7784" s="6" t="s">
        <v>1035</v>
      </c>
      <c r="F7784" s="6" t="s">
        <v>249</v>
      </c>
      <c r="G7784" s="6" t="s">
        <v>254</v>
      </c>
      <c r="H7784" s="10">
        <v>46050.0</v>
      </c>
      <c r="I7784" s="12">
        <v>5.0</v>
      </c>
      <c r="J7784" s="6" t="s">
        <v>161</v>
      </c>
    </row>
    <row r="7785" ht="22.5" customHeight="1">
      <c r="A7785" s="6" t="s">
        <v>24593</v>
      </c>
      <c r="B7785" s="6" t="s">
        <v>17342</v>
      </c>
      <c r="C7785" s="10">
        <v>46062.0</v>
      </c>
      <c r="D7785" s="6" t="s">
        <v>391</v>
      </c>
      <c r="E7785" s="6" t="s">
        <v>731</v>
      </c>
      <c r="F7785" s="6" t="s">
        <v>283</v>
      </c>
      <c r="G7785" s="6" t="s">
        <v>254</v>
      </c>
      <c r="H7785" s="10">
        <v>46065.0</v>
      </c>
      <c r="I7785" s="12">
        <v>6.0</v>
      </c>
      <c r="J7785" s="6" t="s">
        <v>161</v>
      </c>
    </row>
    <row r="7786" ht="22.5" customHeight="1">
      <c r="A7786" s="6" t="s">
        <v>24594</v>
      </c>
      <c r="B7786" s="6" t="s">
        <v>17349</v>
      </c>
      <c r="C7786" s="10">
        <v>46073.0</v>
      </c>
      <c r="D7786" s="6" t="s">
        <v>289</v>
      </c>
      <c r="E7786" s="6" t="s">
        <v>320</v>
      </c>
      <c r="F7786" s="6" t="s">
        <v>283</v>
      </c>
      <c r="G7786" s="6" t="s">
        <v>326</v>
      </c>
      <c r="H7786" s="10">
        <v>46077.0</v>
      </c>
      <c r="I7786" s="12">
        <v>10.0</v>
      </c>
      <c r="J7786" s="6" t="s">
        <v>161</v>
      </c>
    </row>
    <row r="7787" ht="22.5" customHeight="1">
      <c r="A7787" s="6" t="s">
        <v>24595</v>
      </c>
      <c r="B7787" s="6" t="s">
        <v>17349</v>
      </c>
      <c r="C7787" s="10">
        <v>46069.0</v>
      </c>
      <c r="D7787" s="6" t="s">
        <v>677</v>
      </c>
      <c r="E7787" s="6" t="s">
        <v>291</v>
      </c>
      <c r="F7787" s="6" t="s">
        <v>283</v>
      </c>
      <c r="G7787" s="6" t="s">
        <v>254</v>
      </c>
      <c r="H7787" s="10">
        <v>46072.0</v>
      </c>
      <c r="I7787" s="12">
        <v>2.0</v>
      </c>
      <c r="J7787" s="6" t="s">
        <v>161</v>
      </c>
    </row>
    <row r="7788" ht="22.5" customHeight="1">
      <c r="A7788" s="6" t="s">
        <v>24596</v>
      </c>
      <c r="B7788" s="6" t="s">
        <v>17355</v>
      </c>
      <c r="C7788" s="10">
        <v>46051.0</v>
      </c>
      <c r="D7788" s="6" t="s">
        <v>312</v>
      </c>
      <c r="E7788" s="6" t="s">
        <v>787</v>
      </c>
      <c r="F7788" s="6" t="s">
        <v>112</v>
      </c>
      <c r="G7788" s="6" t="s">
        <v>458</v>
      </c>
      <c r="H7788" s="10">
        <v>46057.0</v>
      </c>
      <c r="I7788" s="12">
        <v>7.0</v>
      </c>
      <c r="J7788" s="6" t="s">
        <v>161</v>
      </c>
    </row>
    <row r="7789" ht="22.5" customHeight="1">
      <c r="A7789" s="6" t="s">
        <v>24597</v>
      </c>
      <c r="B7789" s="6" t="s">
        <v>17355</v>
      </c>
      <c r="C7789" s="10">
        <v>46054.0</v>
      </c>
      <c r="D7789" s="6" t="s">
        <v>416</v>
      </c>
      <c r="E7789" s="6" t="s">
        <v>670</v>
      </c>
      <c r="F7789" s="6" t="s">
        <v>283</v>
      </c>
      <c r="G7789" s="6" t="s">
        <v>494</v>
      </c>
      <c r="H7789" s="11" t="s">
        <v>259</v>
      </c>
      <c r="I7789" s="12">
        <v>10.0</v>
      </c>
      <c r="J7789" s="6" t="s">
        <v>161</v>
      </c>
    </row>
    <row r="7790" ht="22.5" customHeight="1">
      <c r="A7790" s="6" t="s">
        <v>24598</v>
      </c>
      <c r="B7790" s="6" t="s">
        <v>17355</v>
      </c>
      <c r="C7790" s="10">
        <v>46054.0</v>
      </c>
      <c r="D7790" s="6" t="s">
        <v>391</v>
      </c>
      <c r="E7790" s="6" t="s">
        <v>1310</v>
      </c>
      <c r="F7790" s="6" t="s">
        <v>112</v>
      </c>
      <c r="G7790" s="6" t="s">
        <v>452</v>
      </c>
      <c r="H7790" s="10">
        <v>46060.0</v>
      </c>
      <c r="I7790" s="12">
        <v>9.0</v>
      </c>
      <c r="J7790" s="6" t="s">
        <v>161</v>
      </c>
    </row>
    <row r="7791" ht="22.5" customHeight="1">
      <c r="A7791" s="6" t="s">
        <v>24599</v>
      </c>
      <c r="B7791" s="6" t="s">
        <v>17362</v>
      </c>
      <c r="C7791" s="10">
        <v>46077.0</v>
      </c>
      <c r="D7791" s="6" t="s">
        <v>436</v>
      </c>
      <c r="E7791" s="6" t="s">
        <v>1700</v>
      </c>
      <c r="F7791" s="6" t="s">
        <v>249</v>
      </c>
      <c r="G7791" s="6" t="s">
        <v>369</v>
      </c>
      <c r="H7791" s="10">
        <v>46079.0</v>
      </c>
      <c r="I7791" s="12">
        <v>11.0</v>
      </c>
      <c r="J7791" s="6" t="s">
        <v>178</v>
      </c>
    </row>
    <row r="7792" ht="22.5" customHeight="1">
      <c r="A7792" s="6" t="s">
        <v>24600</v>
      </c>
      <c r="B7792" s="6" t="s">
        <v>17362</v>
      </c>
      <c r="C7792" s="10">
        <v>46067.0</v>
      </c>
      <c r="D7792" s="6" t="s">
        <v>242</v>
      </c>
      <c r="E7792" s="6" t="s">
        <v>775</v>
      </c>
      <c r="F7792" s="6" t="s">
        <v>112</v>
      </c>
      <c r="G7792" s="6" t="s">
        <v>452</v>
      </c>
      <c r="H7792" s="11" t="s">
        <v>259</v>
      </c>
      <c r="I7792" s="12">
        <v>5.0</v>
      </c>
      <c r="J7792" s="6" t="s">
        <v>178</v>
      </c>
    </row>
    <row r="7793" ht="22.5" customHeight="1">
      <c r="A7793" s="6" t="s">
        <v>24601</v>
      </c>
      <c r="B7793" s="6" t="s">
        <v>17362</v>
      </c>
      <c r="C7793" s="10">
        <v>46065.0</v>
      </c>
      <c r="D7793" s="6" t="s">
        <v>242</v>
      </c>
      <c r="E7793" s="6" t="s">
        <v>1070</v>
      </c>
      <c r="F7793" s="6" t="s">
        <v>439</v>
      </c>
      <c r="G7793" s="6" t="s">
        <v>254</v>
      </c>
      <c r="H7793" s="10">
        <v>46071.0</v>
      </c>
      <c r="I7793" s="12">
        <v>5.0</v>
      </c>
      <c r="J7793" s="6" t="s">
        <v>178</v>
      </c>
    </row>
    <row r="7794" ht="22.5" customHeight="1">
      <c r="A7794" s="6" t="s">
        <v>24602</v>
      </c>
      <c r="B7794" s="6" t="s">
        <v>17362</v>
      </c>
      <c r="C7794" s="10">
        <v>46072.0</v>
      </c>
      <c r="D7794" s="6" t="s">
        <v>416</v>
      </c>
      <c r="E7794" s="6" t="s">
        <v>1280</v>
      </c>
      <c r="F7794" s="6" t="s">
        <v>283</v>
      </c>
      <c r="G7794" s="6" t="s">
        <v>254</v>
      </c>
      <c r="H7794" s="11" t="s">
        <v>259</v>
      </c>
      <c r="I7794" s="12">
        <v>14.0</v>
      </c>
      <c r="J7794" s="6" t="s">
        <v>161</v>
      </c>
    </row>
    <row r="7795" ht="22.5" customHeight="1">
      <c r="A7795" s="6" t="s">
        <v>24603</v>
      </c>
      <c r="B7795" s="6" t="s">
        <v>17369</v>
      </c>
      <c r="C7795" s="10">
        <v>46074.0</v>
      </c>
      <c r="D7795" s="6" t="s">
        <v>677</v>
      </c>
      <c r="E7795" s="6" t="s">
        <v>812</v>
      </c>
      <c r="F7795" s="6" t="s">
        <v>283</v>
      </c>
      <c r="G7795" s="6" t="s">
        <v>458</v>
      </c>
      <c r="H7795" s="10">
        <v>46080.0</v>
      </c>
      <c r="I7795" s="12">
        <v>4.0</v>
      </c>
      <c r="J7795" s="6" t="s">
        <v>161</v>
      </c>
    </row>
    <row r="7796" ht="22.5" customHeight="1">
      <c r="A7796" s="6" t="s">
        <v>24604</v>
      </c>
      <c r="B7796" s="6" t="s">
        <v>17369</v>
      </c>
      <c r="C7796" s="10">
        <v>46075.0</v>
      </c>
      <c r="D7796" s="6" t="s">
        <v>312</v>
      </c>
      <c r="E7796" s="6" t="s">
        <v>687</v>
      </c>
      <c r="F7796" s="6" t="s">
        <v>249</v>
      </c>
      <c r="G7796" s="6" t="s">
        <v>477</v>
      </c>
      <c r="H7796" s="10">
        <v>46082.0</v>
      </c>
      <c r="I7796" s="12">
        <v>7.0</v>
      </c>
      <c r="J7796" s="6" t="s">
        <v>161</v>
      </c>
    </row>
    <row r="7797" ht="22.5" customHeight="1">
      <c r="A7797" s="6" t="s">
        <v>24605</v>
      </c>
      <c r="B7797" s="6" t="s">
        <v>17369</v>
      </c>
      <c r="C7797" s="10">
        <v>46070.0</v>
      </c>
      <c r="D7797" s="6" t="s">
        <v>289</v>
      </c>
      <c r="E7797" s="6" t="s">
        <v>1517</v>
      </c>
      <c r="F7797" s="6" t="s">
        <v>439</v>
      </c>
      <c r="G7797" s="6" t="s">
        <v>369</v>
      </c>
      <c r="H7797" s="10">
        <v>46070.0</v>
      </c>
      <c r="I7797" s="12">
        <v>9.0</v>
      </c>
      <c r="J7797" s="6" t="s">
        <v>161</v>
      </c>
    </row>
    <row r="7798" ht="22.5" customHeight="1">
      <c r="A7798" s="6" t="s">
        <v>24606</v>
      </c>
      <c r="B7798" s="6" t="s">
        <v>17375</v>
      </c>
      <c r="C7798" s="10">
        <v>46061.0</v>
      </c>
      <c r="D7798" s="6" t="s">
        <v>677</v>
      </c>
      <c r="E7798" s="6" t="s">
        <v>1700</v>
      </c>
      <c r="F7798" s="6" t="s">
        <v>439</v>
      </c>
      <c r="G7798" s="6" t="s">
        <v>326</v>
      </c>
      <c r="H7798" s="10">
        <v>46065.0</v>
      </c>
      <c r="I7798" s="12">
        <v>3.0</v>
      </c>
      <c r="J7798" s="6" t="s">
        <v>161</v>
      </c>
    </row>
    <row r="7799" ht="22.5" customHeight="1">
      <c r="A7799" s="6" t="s">
        <v>24607</v>
      </c>
      <c r="B7799" s="6" t="s">
        <v>17381</v>
      </c>
      <c r="C7799" s="10">
        <v>46048.0</v>
      </c>
      <c r="D7799" s="6" t="s">
        <v>242</v>
      </c>
      <c r="E7799" s="6" t="s">
        <v>798</v>
      </c>
      <c r="F7799" s="6" t="s">
        <v>249</v>
      </c>
      <c r="G7799" s="6" t="s">
        <v>477</v>
      </c>
      <c r="H7799" s="10">
        <v>46052.0</v>
      </c>
      <c r="I7799" s="12">
        <v>5.0</v>
      </c>
      <c r="J7799" s="6" t="s">
        <v>161</v>
      </c>
    </row>
    <row r="7800" ht="22.5" customHeight="1">
      <c r="A7800" s="6" t="s">
        <v>24608</v>
      </c>
      <c r="B7800" s="6" t="s">
        <v>17381</v>
      </c>
      <c r="C7800" s="10">
        <v>46042.0</v>
      </c>
      <c r="D7800" s="6" t="s">
        <v>416</v>
      </c>
      <c r="E7800" s="6" t="s">
        <v>1600</v>
      </c>
      <c r="F7800" s="6" t="s">
        <v>283</v>
      </c>
      <c r="G7800" s="6" t="s">
        <v>369</v>
      </c>
      <c r="H7800" s="11" t="s">
        <v>259</v>
      </c>
      <c r="I7800" s="12">
        <v>14.0</v>
      </c>
      <c r="J7800" s="6" t="s">
        <v>161</v>
      </c>
    </row>
    <row r="7801" ht="22.5" customHeight="1">
      <c r="A7801" s="6" t="s">
        <v>24609</v>
      </c>
      <c r="B7801" s="6" t="s">
        <v>17381</v>
      </c>
      <c r="C7801" s="10">
        <v>46050.0</v>
      </c>
      <c r="D7801" s="6" t="s">
        <v>391</v>
      </c>
      <c r="E7801" s="6" t="s">
        <v>475</v>
      </c>
      <c r="F7801" s="6" t="s">
        <v>112</v>
      </c>
      <c r="G7801" s="6" t="s">
        <v>458</v>
      </c>
      <c r="H7801" s="10">
        <v>46056.0</v>
      </c>
      <c r="I7801" s="12">
        <v>10.0</v>
      </c>
      <c r="J7801" s="6" t="s">
        <v>161</v>
      </c>
    </row>
    <row r="7802" ht="22.5" customHeight="1">
      <c r="A7802" s="6" t="s">
        <v>24610</v>
      </c>
      <c r="B7802" s="6" t="s">
        <v>17381</v>
      </c>
      <c r="C7802" s="10">
        <v>46030.0</v>
      </c>
      <c r="D7802" s="6" t="s">
        <v>391</v>
      </c>
      <c r="E7802" s="6" t="s">
        <v>687</v>
      </c>
      <c r="F7802" s="6" t="s">
        <v>249</v>
      </c>
      <c r="G7802" s="6" t="s">
        <v>494</v>
      </c>
      <c r="H7802" s="10">
        <v>46035.0</v>
      </c>
      <c r="I7802" s="12">
        <v>11.0</v>
      </c>
      <c r="J7802" s="6" t="s">
        <v>161</v>
      </c>
    </row>
    <row r="7803" ht="22.5" customHeight="1">
      <c r="A7803" s="6" t="s">
        <v>24611</v>
      </c>
      <c r="B7803" s="6" t="s">
        <v>17381</v>
      </c>
      <c r="C7803" s="10">
        <v>46050.0</v>
      </c>
      <c r="D7803" s="6" t="s">
        <v>436</v>
      </c>
      <c r="E7803" s="6" t="s">
        <v>716</v>
      </c>
      <c r="F7803" s="6" t="s">
        <v>249</v>
      </c>
      <c r="G7803" s="6" t="s">
        <v>254</v>
      </c>
      <c r="H7803" s="10">
        <v>46050.0</v>
      </c>
      <c r="I7803" s="12">
        <v>12.0</v>
      </c>
      <c r="J7803" s="6" t="s">
        <v>178</v>
      </c>
    </row>
    <row r="7804" ht="22.5" customHeight="1">
      <c r="A7804" s="6" t="s">
        <v>24612</v>
      </c>
      <c r="B7804" s="6" t="s">
        <v>17387</v>
      </c>
      <c r="C7804" s="10">
        <v>46069.0</v>
      </c>
      <c r="D7804" s="6" t="s">
        <v>677</v>
      </c>
      <c r="E7804" s="6" t="s">
        <v>1600</v>
      </c>
      <c r="F7804" s="6" t="s">
        <v>283</v>
      </c>
      <c r="G7804" s="6" t="s">
        <v>477</v>
      </c>
      <c r="H7804" s="10">
        <v>46076.0</v>
      </c>
      <c r="I7804" s="12">
        <v>3.0</v>
      </c>
      <c r="J7804" s="6" t="s">
        <v>161</v>
      </c>
    </row>
    <row r="7805" ht="22.5" customHeight="1">
      <c r="A7805" s="6" t="s">
        <v>24613</v>
      </c>
      <c r="B7805" s="6" t="s">
        <v>17387</v>
      </c>
      <c r="C7805" s="10">
        <v>46070.0</v>
      </c>
      <c r="D7805" s="6" t="s">
        <v>312</v>
      </c>
      <c r="E7805" s="6" t="s">
        <v>731</v>
      </c>
      <c r="F7805" s="6" t="s">
        <v>439</v>
      </c>
      <c r="G7805" s="6" t="s">
        <v>494</v>
      </c>
      <c r="H7805" s="10">
        <v>46072.0</v>
      </c>
      <c r="I7805" s="12">
        <v>5.0</v>
      </c>
      <c r="J7805" s="6" t="s">
        <v>161</v>
      </c>
    </row>
    <row r="7806" ht="22.5" customHeight="1">
      <c r="A7806" s="6" t="s">
        <v>24614</v>
      </c>
      <c r="B7806" s="6" t="s">
        <v>17387</v>
      </c>
      <c r="C7806" s="10">
        <v>46064.0</v>
      </c>
      <c r="D7806" s="6" t="s">
        <v>416</v>
      </c>
      <c r="E7806" s="6" t="s">
        <v>628</v>
      </c>
      <c r="F7806" s="6" t="s">
        <v>249</v>
      </c>
      <c r="G7806" s="6" t="s">
        <v>477</v>
      </c>
      <c r="H7806" s="10">
        <v>46065.0</v>
      </c>
      <c r="I7806" s="12">
        <v>10.0</v>
      </c>
      <c r="J7806" s="6" t="s">
        <v>161</v>
      </c>
    </row>
    <row r="7807" ht="22.5" customHeight="1">
      <c r="A7807" s="6" t="s">
        <v>24615</v>
      </c>
      <c r="B7807" s="6" t="s">
        <v>17387</v>
      </c>
      <c r="C7807" s="10">
        <v>46065.0</v>
      </c>
      <c r="D7807" s="6" t="s">
        <v>391</v>
      </c>
      <c r="E7807" s="6" t="s">
        <v>738</v>
      </c>
      <c r="F7807" s="6" t="s">
        <v>112</v>
      </c>
      <c r="G7807" s="6" t="s">
        <v>458</v>
      </c>
      <c r="H7807" s="10">
        <v>46068.0</v>
      </c>
      <c r="I7807" s="12">
        <v>10.0</v>
      </c>
      <c r="J7807" s="6" t="s">
        <v>161</v>
      </c>
    </row>
    <row r="7808" ht="22.5" customHeight="1">
      <c r="A7808" s="6" t="s">
        <v>24616</v>
      </c>
      <c r="B7808" s="6" t="s">
        <v>17393</v>
      </c>
      <c r="C7808" s="10">
        <v>46054.0</v>
      </c>
      <c r="D7808" s="6" t="s">
        <v>312</v>
      </c>
      <c r="E7808" s="6" t="s">
        <v>1102</v>
      </c>
      <c r="F7808" s="6" t="s">
        <v>283</v>
      </c>
      <c r="G7808" s="6" t="s">
        <v>452</v>
      </c>
      <c r="H7808" s="10">
        <v>46054.0</v>
      </c>
      <c r="I7808" s="12">
        <v>5.0</v>
      </c>
      <c r="J7808" s="6" t="s">
        <v>161</v>
      </c>
    </row>
    <row r="7809" ht="22.5" customHeight="1">
      <c r="A7809" s="6" t="s">
        <v>24617</v>
      </c>
      <c r="B7809" s="6" t="s">
        <v>17399</v>
      </c>
      <c r="C7809" s="10">
        <v>46058.0</v>
      </c>
      <c r="D7809" s="6" t="s">
        <v>677</v>
      </c>
      <c r="E7809" s="6" t="s">
        <v>863</v>
      </c>
      <c r="F7809" s="6" t="s">
        <v>283</v>
      </c>
      <c r="G7809" s="6" t="s">
        <v>297</v>
      </c>
      <c r="H7809" s="10">
        <v>46065.0</v>
      </c>
      <c r="I7809" s="12">
        <v>3.0</v>
      </c>
      <c r="J7809" s="6" t="s">
        <v>161</v>
      </c>
    </row>
    <row r="7810" ht="22.5" customHeight="1">
      <c r="A7810" s="6" t="s">
        <v>24618</v>
      </c>
      <c r="B7810" s="6" t="s">
        <v>17399</v>
      </c>
      <c r="C7810" s="10">
        <v>46043.0</v>
      </c>
      <c r="D7810" s="6" t="s">
        <v>677</v>
      </c>
      <c r="E7810" s="6" t="s">
        <v>466</v>
      </c>
      <c r="F7810" s="6" t="s">
        <v>283</v>
      </c>
      <c r="G7810" s="6" t="s">
        <v>458</v>
      </c>
      <c r="H7810" s="10">
        <v>46049.0</v>
      </c>
      <c r="I7810" s="12">
        <v>3.0</v>
      </c>
      <c r="J7810" s="6" t="s">
        <v>161</v>
      </c>
    </row>
    <row r="7811" ht="22.5" customHeight="1">
      <c r="A7811" s="6" t="s">
        <v>24619</v>
      </c>
      <c r="B7811" s="6" t="s">
        <v>17399</v>
      </c>
      <c r="C7811" s="10">
        <v>46053.0</v>
      </c>
      <c r="D7811" s="6" t="s">
        <v>242</v>
      </c>
      <c r="E7811" s="6" t="s">
        <v>1102</v>
      </c>
      <c r="F7811" s="6" t="s">
        <v>112</v>
      </c>
      <c r="G7811" s="6" t="s">
        <v>458</v>
      </c>
      <c r="H7811" s="10">
        <v>46055.0</v>
      </c>
      <c r="I7811" s="12">
        <v>3.0</v>
      </c>
      <c r="J7811" s="6" t="s">
        <v>178</v>
      </c>
    </row>
    <row r="7812" ht="22.5" customHeight="1">
      <c r="A7812" s="6" t="s">
        <v>24620</v>
      </c>
      <c r="B7812" s="6" t="s">
        <v>17405</v>
      </c>
      <c r="C7812" s="10">
        <v>46053.0</v>
      </c>
      <c r="D7812" s="6" t="s">
        <v>436</v>
      </c>
      <c r="E7812" s="6" t="s">
        <v>1600</v>
      </c>
      <c r="F7812" s="6" t="s">
        <v>439</v>
      </c>
      <c r="G7812" s="6" t="s">
        <v>369</v>
      </c>
      <c r="H7812" s="10">
        <v>46056.0</v>
      </c>
      <c r="I7812" s="12">
        <v>10.0</v>
      </c>
      <c r="J7812" s="6" t="s">
        <v>161</v>
      </c>
    </row>
    <row r="7813" ht="22.5" customHeight="1">
      <c r="A7813" s="6" t="s">
        <v>24621</v>
      </c>
      <c r="B7813" s="6" t="s">
        <v>17405</v>
      </c>
      <c r="C7813" s="10">
        <v>46066.0</v>
      </c>
      <c r="D7813" s="6" t="s">
        <v>289</v>
      </c>
      <c r="E7813" s="6" t="s">
        <v>1070</v>
      </c>
      <c r="F7813" s="6" t="s">
        <v>439</v>
      </c>
      <c r="G7813" s="6" t="s">
        <v>254</v>
      </c>
      <c r="H7813" s="10">
        <v>46073.0</v>
      </c>
      <c r="I7813" s="12">
        <v>10.0</v>
      </c>
      <c r="J7813" s="6" t="s">
        <v>161</v>
      </c>
    </row>
    <row r="7814" ht="22.5" customHeight="1">
      <c r="A7814" s="6" t="s">
        <v>24622</v>
      </c>
      <c r="B7814" s="6" t="s">
        <v>17405</v>
      </c>
      <c r="C7814" s="10">
        <v>46067.0</v>
      </c>
      <c r="D7814" s="6" t="s">
        <v>312</v>
      </c>
      <c r="E7814" s="6" t="s">
        <v>450</v>
      </c>
      <c r="F7814" s="6" t="s">
        <v>112</v>
      </c>
      <c r="G7814" s="6" t="s">
        <v>254</v>
      </c>
      <c r="H7814" s="10">
        <v>46068.0</v>
      </c>
      <c r="I7814" s="12">
        <v>4.0</v>
      </c>
      <c r="J7814" s="6" t="s">
        <v>161</v>
      </c>
    </row>
    <row r="7815" ht="22.5" customHeight="1">
      <c r="A7815" s="6" t="s">
        <v>24623</v>
      </c>
      <c r="B7815" s="6" t="s">
        <v>17405</v>
      </c>
      <c r="C7815" s="10">
        <v>46049.0</v>
      </c>
      <c r="D7815" s="6" t="s">
        <v>242</v>
      </c>
      <c r="E7815" s="6" t="s">
        <v>1741</v>
      </c>
      <c r="F7815" s="6" t="s">
        <v>112</v>
      </c>
      <c r="G7815" s="6" t="s">
        <v>326</v>
      </c>
      <c r="H7815" s="10">
        <v>46056.0</v>
      </c>
      <c r="I7815" s="12">
        <v>4.0</v>
      </c>
      <c r="J7815" s="6" t="s">
        <v>178</v>
      </c>
    </row>
    <row r="7816" ht="22.5" customHeight="1">
      <c r="A7816" s="6" t="s">
        <v>24624</v>
      </c>
      <c r="B7816" s="6" t="s">
        <v>17405</v>
      </c>
      <c r="C7816" s="10">
        <v>46055.0</v>
      </c>
      <c r="D7816" s="6" t="s">
        <v>391</v>
      </c>
      <c r="E7816" s="6" t="s">
        <v>687</v>
      </c>
      <c r="F7816" s="6" t="s">
        <v>112</v>
      </c>
      <c r="G7816" s="6" t="s">
        <v>297</v>
      </c>
      <c r="H7816" s="10">
        <v>46061.0</v>
      </c>
      <c r="I7816" s="12">
        <v>7.0</v>
      </c>
      <c r="J7816" s="6" t="s">
        <v>161</v>
      </c>
    </row>
    <row r="7817" ht="22.5" customHeight="1">
      <c r="A7817" s="6" t="s">
        <v>24625</v>
      </c>
      <c r="B7817" s="6" t="s">
        <v>17411</v>
      </c>
      <c r="C7817" s="10">
        <v>46062.0</v>
      </c>
      <c r="D7817" s="6" t="s">
        <v>391</v>
      </c>
      <c r="E7817" s="6" t="s">
        <v>466</v>
      </c>
      <c r="F7817" s="6" t="s">
        <v>249</v>
      </c>
      <c r="G7817" s="6" t="s">
        <v>477</v>
      </c>
      <c r="H7817" s="10">
        <v>46066.0</v>
      </c>
      <c r="I7817" s="12">
        <v>10.0</v>
      </c>
      <c r="J7817" s="6" t="s">
        <v>161</v>
      </c>
    </row>
    <row r="7818" ht="22.5" customHeight="1">
      <c r="A7818" s="6" t="s">
        <v>24626</v>
      </c>
      <c r="B7818" s="6" t="s">
        <v>17411</v>
      </c>
      <c r="C7818" s="10">
        <v>46064.0</v>
      </c>
      <c r="D7818" s="6" t="s">
        <v>312</v>
      </c>
      <c r="E7818" s="6" t="s">
        <v>618</v>
      </c>
      <c r="F7818" s="6" t="s">
        <v>249</v>
      </c>
      <c r="G7818" s="6" t="s">
        <v>458</v>
      </c>
      <c r="H7818" s="10">
        <v>46064.0</v>
      </c>
      <c r="I7818" s="12">
        <v>4.0</v>
      </c>
      <c r="J7818" s="6" t="s">
        <v>161</v>
      </c>
    </row>
    <row r="7819" ht="22.5" customHeight="1">
      <c r="A7819" s="6" t="s">
        <v>24627</v>
      </c>
      <c r="B7819" s="6" t="s">
        <v>17411</v>
      </c>
      <c r="C7819" s="10">
        <v>46066.0</v>
      </c>
      <c r="D7819" s="6" t="s">
        <v>391</v>
      </c>
      <c r="E7819" s="6" t="s">
        <v>1386</v>
      </c>
      <c r="F7819" s="6" t="s">
        <v>439</v>
      </c>
      <c r="G7819" s="6" t="s">
        <v>458</v>
      </c>
      <c r="H7819" s="11" t="s">
        <v>259</v>
      </c>
      <c r="I7819" s="12">
        <v>10.0</v>
      </c>
      <c r="J7819" s="6" t="s">
        <v>161</v>
      </c>
    </row>
    <row r="7820" ht="22.5" customHeight="1">
      <c r="A7820" s="6" t="s">
        <v>24628</v>
      </c>
      <c r="B7820" s="6" t="s">
        <v>17411</v>
      </c>
      <c r="C7820" s="10">
        <v>46075.0</v>
      </c>
      <c r="D7820" s="6" t="s">
        <v>416</v>
      </c>
      <c r="E7820" s="6" t="s">
        <v>1700</v>
      </c>
      <c r="F7820" s="6" t="s">
        <v>249</v>
      </c>
      <c r="G7820" s="6" t="s">
        <v>254</v>
      </c>
      <c r="H7820" s="10">
        <v>46078.0</v>
      </c>
      <c r="I7820" s="12">
        <v>9.0</v>
      </c>
      <c r="J7820" s="6" t="s">
        <v>161</v>
      </c>
    </row>
    <row r="7821" ht="22.5" customHeight="1">
      <c r="A7821" s="6" t="s">
        <v>24629</v>
      </c>
      <c r="B7821" s="6" t="s">
        <v>17411</v>
      </c>
      <c r="C7821" s="10">
        <v>46062.0</v>
      </c>
      <c r="D7821" s="6" t="s">
        <v>677</v>
      </c>
      <c r="E7821" s="6" t="s">
        <v>394</v>
      </c>
      <c r="F7821" s="6" t="s">
        <v>249</v>
      </c>
      <c r="G7821" s="6" t="s">
        <v>297</v>
      </c>
      <c r="H7821" s="10">
        <v>46067.0</v>
      </c>
      <c r="I7821" s="12">
        <v>2.0</v>
      </c>
      <c r="J7821" s="6" t="s">
        <v>161</v>
      </c>
    </row>
    <row r="7822" ht="22.5" customHeight="1">
      <c r="A7822" s="6" t="s">
        <v>24630</v>
      </c>
      <c r="B7822" s="6" t="s">
        <v>17417</v>
      </c>
      <c r="C7822" s="10">
        <v>46053.0</v>
      </c>
      <c r="D7822" s="6" t="s">
        <v>416</v>
      </c>
      <c r="E7822" s="6" t="s">
        <v>394</v>
      </c>
      <c r="F7822" s="6" t="s">
        <v>439</v>
      </c>
      <c r="G7822" s="6" t="s">
        <v>477</v>
      </c>
      <c r="H7822" s="11" t="s">
        <v>259</v>
      </c>
      <c r="I7822" s="12">
        <v>12.0</v>
      </c>
      <c r="J7822" s="6" t="s">
        <v>161</v>
      </c>
    </row>
    <row r="7823" ht="22.5" customHeight="1">
      <c r="A7823" s="6" t="s">
        <v>24631</v>
      </c>
      <c r="B7823" s="6" t="s">
        <v>17417</v>
      </c>
      <c r="C7823" s="10">
        <v>46055.0</v>
      </c>
      <c r="D7823" s="6" t="s">
        <v>416</v>
      </c>
      <c r="E7823" s="6" t="s">
        <v>1741</v>
      </c>
      <c r="F7823" s="6" t="s">
        <v>283</v>
      </c>
      <c r="G7823" s="6" t="s">
        <v>477</v>
      </c>
      <c r="H7823" s="11" t="s">
        <v>259</v>
      </c>
      <c r="I7823" s="12">
        <v>12.0</v>
      </c>
      <c r="J7823" s="6" t="s">
        <v>161</v>
      </c>
    </row>
    <row r="7824" ht="22.5" customHeight="1">
      <c r="A7824" s="6" t="s">
        <v>24632</v>
      </c>
      <c r="B7824" s="6" t="s">
        <v>17417</v>
      </c>
      <c r="C7824" s="10">
        <v>46048.0</v>
      </c>
      <c r="D7824" s="6" t="s">
        <v>436</v>
      </c>
      <c r="E7824" s="6" t="s">
        <v>450</v>
      </c>
      <c r="F7824" s="6" t="s">
        <v>249</v>
      </c>
      <c r="G7824" s="6" t="s">
        <v>477</v>
      </c>
      <c r="H7824" s="10">
        <v>46052.0</v>
      </c>
      <c r="I7824" s="12">
        <v>8.0</v>
      </c>
      <c r="J7824" s="6" t="s">
        <v>178</v>
      </c>
    </row>
    <row r="7825" ht="22.5" customHeight="1">
      <c r="A7825" s="6" t="s">
        <v>24633</v>
      </c>
      <c r="B7825" s="6" t="s">
        <v>17417</v>
      </c>
      <c r="C7825" s="10">
        <v>46052.0</v>
      </c>
      <c r="D7825" s="6" t="s">
        <v>242</v>
      </c>
      <c r="E7825" s="6" t="s">
        <v>731</v>
      </c>
      <c r="F7825" s="6" t="s">
        <v>249</v>
      </c>
      <c r="G7825" s="6" t="s">
        <v>369</v>
      </c>
      <c r="H7825" s="11" t="s">
        <v>259</v>
      </c>
      <c r="I7825" s="12">
        <v>5.0</v>
      </c>
      <c r="J7825" s="6" t="s">
        <v>178</v>
      </c>
    </row>
    <row r="7826" ht="22.5" customHeight="1">
      <c r="A7826" s="6" t="s">
        <v>24634</v>
      </c>
      <c r="B7826" s="6" t="s">
        <v>17417</v>
      </c>
      <c r="C7826" s="10">
        <v>46052.0</v>
      </c>
      <c r="D7826" s="6" t="s">
        <v>677</v>
      </c>
      <c r="E7826" s="6" t="s">
        <v>1720</v>
      </c>
      <c r="F7826" s="6" t="s">
        <v>249</v>
      </c>
      <c r="G7826" s="6" t="s">
        <v>369</v>
      </c>
      <c r="H7826" s="11" t="s">
        <v>259</v>
      </c>
      <c r="I7826" s="12">
        <v>2.0</v>
      </c>
      <c r="J7826" s="6" t="s">
        <v>161</v>
      </c>
    </row>
    <row r="7827" ht="22.5" customHeight="1">
      <c r="A7827" s="6" t="s">
        <v>24635</v>
      </c>
      <c r="B7827" s="6" t="s">
        <v>17423</v>
      </c>
      <c r="C7827" s="10">
        <v>46045.0</v>
      </c>
      <c r="D7827" s="6" t="s">
        <v>391</v>
      </c>
      <c r="E7827" s="6" t="s">
        <v>658</v>
      </c>
      <c r="F7827" s="6" t="s">
        <v>439</v>
      </c>
      <c r="G7827" s="6" t="s">
        <v>458</v>
      </c>
      <c r="H7827" s="10">
        <v>46045.0</v>
      </c>
      <c r="I7827" s="12">
        <v>8.0</v>
      </c>
      <c r="J7827" s="6" t="s">
        <v>161</v>
      </c>
    </row>
    <row r="7828" ht="22.5" customHeight="1">
      <c r="A7828" s="6" t="s">
        <v>24636</v>
      </c>
      <c r="B7828" s="6" t="s">
        <v>17423</v>
      </c>
      <c r="C7828" s="10">
        <v>46053.0</v>
      </c>
      <c r="D7828" s="6" t="s">
        <v>677</v>
      </c>
      <c r="E7828" s="6" t="s">
        <v>1741</v>
      </c>
      <c r="F7828" s="6" t="s">
        <v>249</v>
      </c>
      <c r="G7828" s="6" t="s">
        <v>297</v>
      </c>
      <c r="H7828" s="10">
        <v>46054.0</v>
      </c>
      <c r="I7828" s="12">
        <v>4.0</v>
      </c>
      <c r="J7828" s="6" t="s">
        <v>161</v>
      </c>
    </row>
    <row r="7829" ht="22.5" customHeight="1">
      <c r="A7829" s="6" t="s">
        <v>24637</v>
      </c>
      <c r="B7829" s="6" t="s">
        <v>17423</v>
      </c>
      <c r="C7829" s="10">
        <v>46042.0</v>
      </c>
      <c r="D7829" s="6" t="s">
        <v>289</v>
      </c>
      <c r="E7829" s="6" t="s">
        <v>863</v>
      </c>
      <c r="F7829" s="6" t="s">
        <v>439</v>
      </c>
      <c r="G7829" s="6" t="s">
        <v>477</v>
      </c>
      <c r="H7829" s="10">
        <v>46047.0</v>
      </c>
      <c r="I7829" s="12">
        <v>6.0</v>
      </c>
      <c r="J7829" s="6" t="s">
        <v>161</v>
      </c>
    </row>
    <row r="7830" ht="22.5" customHeight="1">
      <c r="A7830" s="6" t="s">
        <v>24638</v>
      </c>
      <c r="B7830" s="6" t="s">
        <v>17423</v>
      </c>
      <c r="C7830" s="10">
        <v>46043.0</v>
      </c>
      <c r="D7830" s="6" t="s">
        <v>436</v>
      </c>
      <c r="E7830" s="6" t="s">
        <v>394</v>
      </c>
      <c r="F7830" s="6" t="s">
        <v>112</v>
      </c>
      <c r="G7830" s="6" t="s">
        <v>369</v>
      </c>
      <c r="H7830" s="11" t="s">
        <v>259</v>
      </c>
      <c r="I7830" s="12">
        <v>11.0</v>
      </c>
      <c r="J7830" s="6" t="s">
        <v>178</v>
      </c>
    </row>
    <row r="7831" ht="22.5" customHeight="1">
      <c r="A7831" s="6" t="s">
        <v>24639</v>
      </c>
      <c r="B7831" s="6" t="s">
        <v>17423</v>
      </c>
      <c r="C7831" s="10">
        <v>46056.0</v>
      </c>
      <c r="D7831" s="6" t="s">
        <v>289</v>
      </c>
      <c r="E7831" s="6" t="s">
        <v>466</v>
      </c>
      <c r="F7831" s="6" t="s">
        <v>439</v>
      </c>
      <c r="G7831" s="6" t="s">
        <v>494</v>
      </c>
      <c r="H7831" s="10">
        <v>46056.0</v>
      </c>
      <c r="I7831" s="12">
        <v>7.0</v>
      </c>
      <c r="J7831" s="6" t="s">
        <v>161</v>
      </c>
    </row>
    <row r="7832" ht="22.5" customHeight="1">
      <c r="A7832" s="6" t="s">
        <v>24640</v>
      </c>
      <c r="B7832" s="6" t="s">
        <v>17428</v>
      </c>
      <c r="C7832" s="10">
        <v>46068.0</v>
      </c>
      <c r="D7832" s="6" t="s">
        <v>312</v>
      </c>
      <c r="E7832" s="6" t="s">
        <v>1122</v>
      </c>
      <c r="F7832" s="6" t="s">
        <v>439</v>
      </c>
      <c r="G7832" s="6" t="s">
        <v>494</v>
      </c>
      <c r="H7832" s="11" t="s">
        <v>259</v>
      </c>
      <c r="I7832" s="12">
        <v>5.0</v>
      </c>
      <c r="J7832" s="6" t="s">
        <v>161</v>
      </c>
    </row>
    <row r="7833" ht="22.5" customHeight="1">
      <c r="A7833" s="6" t="s">
        <v>24641</v>
      </c>
      <c r="B7833" s="6" t="s">
        <v>17428</v>
      </c>
      <c r="C7833" s="10">
        <v>46068.0</v>
      </c>
      <c r="D7833" s="6" t="s">
        <v>289</v>
      </c>
      <c r="E7833" s="6" t="s">
        <v>955</v>
      </c>
      <c r="F7833" s="6" t="s">
        <v>249</v>
      </c>
      <c r="G7833" s="6" t="s">
        <v>458</v>
      </c>
      <c r="H7833" s="10">
        <v>46071.0</v>
      </c>
      <c r="I7833" s="12">
        <v>5.0</v>
      </c>
      <c r="J7833" s="6" t="s">
        <v>161</v>
      </c>
    </row>
    <row r="7834" ht="22.5" customHeight="1">
      <c r="A7834" s="6" t="s">
        <v>24642</v>
      </c>
      <c r="B7834" s="6" t="s">
        <v>17428</v>
      </c>
      <c r="C7834" s="10">
        <v>46067.0</v>
      </c>
      <c r="D7834" s="6" t="s">
        <v>416</v>
      </c>
      <c r="E7834" s="6" t="s">
        <v>716</v>
      </c>
      <c r="F7834" s="6" t="s">
        <v>112</v>
      </c>
      <c r="G7834" s="6" t="s">
        <v>477</v>
      </c>
      <c r="H7834" s="10">
        <v>46072.0</v>
      </c>
      <c r="I7834" s="12">
        <v>10.0</v>
      </c>
      <c r="J7834" s="6" t="s">
        <v>161</v>
      </c>
    </row>
    <row r="7835" ht="22.5" customHeight="1">
      <c r="A7835" s="6" t="s">
        <v>24643</v>
      </c>
      <c r="B7835" s="6" t="s">
        <v>17428</v>
      </c>
      <c r="C7835" s="10">
        <v>46071.0</v>
      </c>
      <c r="D7835" s="6" t="s">
        <v>289</v>
      </c>
      <c r="E7835" s="6" t="s">
        <v>1552</v>
      </c>
      <c r="F7835" s="6" t="s">
        <v>112</v>
      </c>
      <c r="G7835" s="6" t="s">
        <v>477</v>
      </c>
      <c r="H7835" s="10">
        <v>46076.0</v>
      </c>
      <c r="I7835" s="12">
        <v>10.0</v>
      </c>
      <c r="J7835" s="6" t="s">
        <v>161</v>
      </c>
    </row>
    <row r="7836" ht="22.5" customHeight="1">
      <c r="A7836" s="6" t="s">
        <v>24644</v>
      </c>
      <c r="B7836" s="6" t="s">
        <v>17435</v>
      </c>
      <c r="C7836" s="10">
        <v>46038.0</v>
      </c>
      <c r="D7836" s="6" t="s">
        <v>312</v>
      </c>
      <c r="E7836" s="6" t="s">
        <v>365</v>
      </c>
      <c r="F7836" s="6" t="s">
        <v>439</v>
      </c>
      <c r="G7836" s="6" t="s">
        <v>477</v>
      </c>
      <c r="H7836" s="10">
        <v>46041.0</v>
      </c>
      <c r="I7836" s="12">
        <v>7.0</v>
      </c>
      <c r="J7836" s="6" t="s">
        <v>161</v>
      </c>
    </row>
    <row r="7837" ht="22.5" customHeight="1">
      <c r="A7837" s="6" t="s">
        <v>24645</v>
      </c>
      <c r="B7837" s="6" t="s">
        <v>17435</v>
      </c>
      <c r="C7837" s="10">
        <v>46031.0</v>
      </c>
      <c r="D7837" s="6" t="s">
        <v>391</v>
      </c>
      <c r="E7837" s="6" t="s">
        <v>1741</v>
      </c>
      <c r="F7837" s="6" t="s">
        <v>112</v>
      </c>
      <c r="G7837" s="6" t="s">
        <v>369</v>
      </c>
      <c r="H7837" s="10">
        <v>46037.0</v>
      </c>
      <c r="I7837" s="12">
        <v>7.0</v>
      </c>
      <c r="J7837" s="6" t="s">
        <v>161</v>
      </c>
    </row>
    <row r="7838" ht="22.5" customHeight="1">
      <c r="A7838" s="6" t="s">
        <v>24646</v>
      </c>
      <c r="B7838" s="6" t="s">
        <v>17441</v>
      </c>
      <c r="C7838" s="10">
        <v>46041.0</v>
      </c>
      <c r="D7838" s="6" t="s">
        <v>242</v>
      </c>
      <c r="E7838" s="6" t="s">
        <v>716</v>
      </c>
      <c r="F7838" s="6" t="s">
        <v>283</v>
      </c>
      <c r="G7838" s="6" t="s">
        <v>326</v>
      </c>
      <c r="H7838" s="10">
        <v>46048.0</v>
      </c>
      <c r="I7838" s="12">
        <v>5.0</v>
      </c>
      <c r="J7838" s="6" t="s">
        <v>161</v>
      </c>
    </row>
    <row r="7839" ht="22.5" customHeight="1">
      <c r="A7839" s="6" t="s">
        <v>24647</v>
      </c>
      <c r="B7839" s="6" t="s">
        <v>17441</v>
      </c>
      <c r="C7839" s="10">
        <v>46029.0</v>
      </c>
      <c r="D7839" s="6" t="s">
        <v>289</v>
      </c>
      <c r="E7839" s="6" t="s">
        <v>833</v>
      </c>
      <c r="F7839" s="6" t="s">
        <v>283</v>
      </c>
      <c r="G7839" s="6" t="s">
        <v>369</v>
      </c>
      <c r="H7839" s="10">
        <v>46030.0</v>
      </c>
      <c r="I7839" s="12">
        <v>5.0</v>
      </c>
      <c r="J7839" s="6" t="s">
        <v>161</v>
      </c>
    </row>
    <row r="7840" ht="22.5" customHeight="1">
      <c r="A7840" s="6" t="s">
        <v>24648</v>
      </c>
      <c r="B7840" s="6" t="s">
        <v>17441</v>
      </c>
      <c r="C7840" s="10">
        <v>46032.0</v>
      </c>
      <c r="D7840" s="6" t="s">
        <v>312</v>
      </c>
      <c r="E7840" s="6" t="s">
        <v>246</v>
      </c>
      <c r="F7840" s="6" t="s">
        <v>439</v>
      </c>
      <c r="G7840" s="6" t="s">
        <v>297</v>
      </c>
      <c r="H7840" s="10">
        <v>46034.0</v>
      </c>
      <c r="I7840" s="12">
        <v>7.0</v>
      </c>
      <c r="J7840" s="6" t="s">
        <v>161</v>
      </c>
    </row>
    <row r="7841" ht="22.5" customHeight="1">
      <c r="A7841" s="6" t="s">
        <v>24649</v>
      </c>
      <c r="B7841" s="6" t="s">
        <v>17441</v>
      </c>
      <c r="C7841" s="10">
        <v>46044.0</v>
      </c>
      <c r="D7841" s="6" t="s">
        <v>242</v>
      </c>
      <c r="E7841" s="6" t="s">
        <v>658</v>
      </c>
      <c r="F7841" s="6" t="s">
        <v>249</v>
      </c>
      <c r="G7841" s="6" t="s">
        <v>494</v>
      </c>
      <c r="H7841" s="11" t="s">
        <v>259</v>
      </c>
      <c r="I7841" s="12">
        <v>6.0</v>
      </c>
      <c r="J7841" s="6" t="s">
        <v>178</v>
      </c>
    </row>
    <row r="7842" ht="22.5" customHeight="1">
      <c r="A7842" s="6" t="s">
        <v>24650</v>
      </c>
      <c r="B7842" s="6" t="s">
        <v>17448</v>
      </c>
      <c r="C7842" s="10">
        <v>46064.0</v>
      </c>
      <c r="D7842" s="6" t="s">
        <v>677</v>
      </c>
      <c r="E7842" s="6" t="s">
        <v>704</v>
      </c>
      <c r="F7842" s="6" t="s">
        <v>439</v>
      </c>
      <c r="G7842" s="6" t="s">
        <v>369</v>
      </c>
      <c r="H7842" s="10">
        <v>46069.0</v>
      </c>
      <c r="I7842" s="12">
        <v>4.0</v>
      </c>
      <c r="J7842" s="6" t="s">
        <v>161</v>
      </c>
    </row>
    <row r="7843" ht="22.5" customHeight="1">
      <c r="A7843" s="6" t="s">
        <v>24651</v>
      </c>
      <c r="B7843" s="6" t="s">
        <v>17448</v>
      </c>
      <c r="C7843" s="10">
        <v>46049.0</v>
      </c>
      <c r="D7843" s="6" t="s">
        <v>677</v>
      </c>
      <c r="E7843" s="6" t="s">
        <v>1310</v>
      </c>
      <c r="F7843" s="6" t="s">
        <v>439</v>
      </c>
      <c r="G7843" s="6" t="s">
        <v>494</v>
      </c>
      <c r="H7843" s="10">
        <v>46054.0</v>
      </c>
      <c r="I7843" s="12">
        <v>2.0</v>
      </c>
      <c r="J7843" s="6" t="s">
        <v>161</v>
      </c>
    </row>
    <row r="7844" ht="22.5" customHeight="1">
      <c r="A7844" s="6" t="s">
        <v>24652</v>
      </c>
      <c r="B7844" s="6" t="s">
        <v>17448</v>
      </c>
      <c r="C7844" s="10">
        <v>46059.0</v>
      </c>
      <c r="D7844" s="6" t="s">
        <v>391</v>
      </c>
      <c r="E7844" s="6" t="s">
        <v>1102</v>
      </c>
      <c r="F7844" s="6" t="s">
        <v>249</v>
      </c>
      <c r="G7844" s="6" t="s">
        <v>477</v>
      </c>
      <c r="H7844" s="10">
        <v>46060.0</v>
      </c>
      <c r="I7844" s="12">
        <v>11.0</v>
      </c>
      <c r="J7844" s="6" t="s">
        <v>161</v>
      </c>
    </row>
    <row r="7845" ht="22.5" customHeight="1">
      <c r="A7845" s="6" t="s">
        <v>24653</v>
      </c>
      <c r="B7845" s="6" t="s">
        <v>17448</v>
      </c>
      <c r="C7845" s="10">
        <v>46052.0</v>
      </c>
      <c r="D7845" s="6" t="s">
        <v>416</v>
      </c>
      <c r="E7845" s="6" t="s">
        <v>610</v>
      </c>
      <c r="F7845" s="6" t="s">
        <v>112</v>
      </c>
      <c r="G7845" s="6" t="s">
        <v>369</v>
      </c>
      <c r="H7845" s="10">
        <v>46058.0</v>
      </c>
      <c r="I7845" s="12">
        <v>11.0</v>
      </c>
      <c r="J7845" s="6" t="s">
        <v>161</v>
      </c>
    </row>
    <row r="7846" ht="22.5" customHeight="1">
      <c r="A7846" s="6" t="s">
        <v>24654</v>
      </c>
      <c r="B7846" s="6" t="s">
        <v>17448</v>
      </c>
      <c r="C7846" s="10">
        <v>46060.0</v>
      </c>
      <c r="D7846" s="6" t="s">
        <v>391</v>
      </c>
      <c r="E7846" s="6" t="s">
        <v>394</v>
      </c>
      <c r="F7846" s="6" t="s">
        <v>439</v>
      </c>
      <c r="G7846" s="6" t="s">
        <v>452</v>
      </c>
      <c r="H7846" s="11" t="s">
        <v>259</v>
      </c>
      <c r="I7846" s="12">
        <v>8.0</v>
      </c>
      <c r="J7846" s="6" t="s">
        <v>161</v>
      </c>
    </row>
    <row r="7847" ht="22.5" customHeight="1">
      <c r="A7847" s="6" t="s">
        <v>24655</v>
      </c>
      <c r="B7847" s="6" t="s">
        <v>17455</v>
      </c>
      <c r="C7847" s="10">
        <v>46052.0</v>
      </c>
      <c r="D7847" s="6" t="s">
        <v>677</v>
      </c>
      <c r="E7847" s="6" t="s">
        <v>1626</v>
      </c>
      <c r="F7847" s="6" t="s">
        <v>283</v>
      </c>
      <c r="G7847" s="6" t="s">
        <v>452</v>
      </c>
      <c r="H7847" s="11" t="s">
        <v>259</v>
      </c>
      <c r="I7847" s="12">
        <v>3.0</v>
      </c>
      <c r="J7847" s="6" t="s">
        <v>161</v>
      </c>
    </row>
    <row r="7848" ht="22.5" customHeight="1">
      <c r="A7848" s="6" t="s">
        <v>24656</v>
      </c>
      <c r="B7848" s="6" t="s">
        <v>17455</v>
      </c>
      <c r="C7848" s="10">
        <v>46044.0</v>
      </c>
      <c r="D7848" s="6" t="s">
        <v>391</v>
      </c>
      <c r="E7848" s="6" t="s">
        <v>566</v>
      </c>
      <c r="F7848" s="6" t="s">
        <v>439</v>
      </c>
      <c r="G7848" s="6" t="s">
        <v>494</v>
      </c>
      <c r="H7848" s="10">
        <v>46046.0</v>
      </c>
      <c r="I7848" s="12">
        <v>9.0</v>
      </c>
      <c r="J7848" s="6" t="s">
        <v>161</v>
      </c>
    </row>
    <row r="7849" ht="22.5" customHeight="1">
      <c r="A7849" s="6" t="s">
        <v>24657</v>
      </c>
      <c r="B7849" s="6" t="s">
        <v>17455</v>
      </c>
      <c r="C7849" s="10">
        <v>46050.0</v>
      </c>
      <c r="D7849" s="6" t="s">
        <v>436</v>
      </c>
      <c r="E7849" s="6" t="s">
        <v>475</v>
      </c>
      <c r="F7849" s="6" t="s">
        <v>112</v>
      </c>
      <c r="G7849" s="6" t="s">
        <v>494</v>
      </c>
      <c r="H7849" s="10">
        <v>46052.0</v>
      </c>
      <c r="I7849" s="12">
        <v>6.0</v>
      </c>
      <c r="J7849" s="6" t="s">
        <v>161</v>
      </c>
    </row>
    <row r="7850" ht="22.5" customHeight="1">
      <c r="A7850" s="6" t="s">
        <v>24658</v>
      </c>
      <c r="B7850" s="6" t="s">
        <v>17455</v>
      </c>
      <c r="C7850" s="10">
        <v>46037.0</v>
      </c>
      <c r="D7850" s="6" t="s">
        <v>391</v>
      </c>
      <c r="E7850" s="6" t="s">
        <v>1070</v>
      </c>
      <c r="F7850" s="6" t="s">
        <v>439</v>
      </c>
      <c r="G7850" s="6" t="s">
        <v>494</v>
      </c>
      <c r="H7850" s="10">
        <v>46040.0</v>
      </c>
      <c r="I7850" s="12">
        <v>11.0</v>
      </c>
      <c r="J7850" s="6" t="s">
        <v>161</v>
      </c>
    </row>
    <row r="7851" ht="22.5" customHeight="1">
      <c r="A7851" s="6" t="s">
        <v>24659</v>
      </c>
      <c r="B7851" s="6" t="s">
        <v>17461</v>
      </c>
      <c r="C7851" s="10">
        <v>46047.0</v>
      </c>
      <c r="D7851" s="6" t="s">
        <v>416</v>
      </c>
      <c r="E7851" s="6" t="s">
        <v>394</v>
      </c>
      <c r="F7851" s="6" t="s">
        <v>112</v>
      </c>
      <c r="G7851" s="6" t="s">
        <v>297</v>
      </c>
      <c r="H7851" s="10">
        <v>46050.0</v>
      </c>
      <c r="I7851" s="12">
        <v>9.0</v>
      </c>
      <c r="J7851" s="6" t="s">
        <v>161</v>
      </c>
    </row>
    <row r="7852" ht="22.5" customHeight="1">
      <c r="A7852" s="6" t="s">
        <v>24660</v>
      </c>
      <c r="B7852" s="6" t="s">
        <v>17468</v>
      </c>
      <c r="C7852" s="10">
        <v>46060.0</v>
      </c>
      <c r="D7852" s="6" t="s">
        <v>391</v>
      </c>
      <c r="E7852" s="6" t="s">
        <v>1310</v>
      </c>
      <c r="F7852" s="6" t="s">
        <v>112</v>
      </c>
      <c r="G7852" s="6" t="s">
        <v>494</v>
      </c>
      <c r="H7852" s="10">
        <v>46062.0</v>
      </c>
      <c r="I7852" s="12">
        <v>11.0</v>
      </c>
      <c r="J7852" s="6" t="s">
        <v>161</v>
      </c>
    </row>
    <row r="7853" ht="22.5" customHeight="1">
      <c r="A7853" s="6" t="s">
        <v>24661</v>
      </c>
      <c r="B7853" s="6" t="s">
        <v>17468</v>
      </c>
      <c r="C7853" s="10">
        <v>46078.0</v>
      </c>
      <c r="D7853" s="6" t="s">
        <v>677</v>
      </c>
      <c r="E7853" s="6" t="s">
        <v>1241</v>
      </c>
      <c r="F7853" s="6" t="s">
        <v>249</v>
      </c>
      <c r="G7853" s="6" t="s">
        <v>254</v>
      </c>
      <c r="H7853" s="10">
        <v>46082.0</v>
      </c>
      <c r="I7853" s="12">
        <v>3.0</v>
      </c>
      <c r="J7853" s="6" t="s">
        <v>161</v>
      </c>
    </row>
    <row r="7854" ht="22.5" customHeight="1">
      <c r="A7854" s="6" t="s">
        <v>24662</v>
      </c>
      <c r="B7854" s="6" t="s">
        <v>17468</v>
      </c>
      <c r="C7854" s="10">
        <v>46063.0</v>
      </c>
      <c r="D7854" s="6" t="s">
        <v>391</v>
      </c>
      <c r="E7854" s="6" t="s">
        <v>1570</v>
      </c>
      <c r="F7854" s="6" t="s">
        <v>112</v>
      </c>
      <c r="G7854" s="6" t="s">
        <v>297</v>
      </c>
      <c r="H7854" s="10">
        <v>46065.0</v>
      </c>
      <c r="I7854" s="12">
        <v>8.0</v>
      </c>
      <c r="J7854" s="6" t="s">
        <v>161</v>
      </c>
    </row>
    <row r="7855" ht="22.5" customHeight="1">
      <c r="A7855" s="6" t="s">
        <v>24663</v>
      </c>
      <c r="B7855" s="6" t="s">
        <v>17475</v>
      </c>
      <c r="C7855" s="10">
        <v>46040.0</v>
      </c>
      <c r="D7855" s="6" t="s">
        <v>391</v>
      </c>
      <c r="E7855" s="6" t="s">
        <v>1296</v>
      </c>
      <c r="F7855" s="6" t="s">
        <v>249</v>
      </c>
      <c r="G7855" s="6" t="s">
        <v>452</v>
      </c>
      <c r="H7855" s="10">
        <v>46044.0</v>
      </c>
      <c r="I7855" s="12">
        <v>11.0</v>
      </c>
      <c r="J7855" s="6" t="s">
        <v>161</v>
      </c>
    </row>
    <row r="7856" ht="22.5" customHeight="1">
      <c r="A7856" s="6" t="s">
        <v>24664</v>
      </c>
      <c r="B7856" s="6" t="s">
        <v>17475</v>
      </c>
      <c r="C7856" s="10">
        <v>46043.0</v>
      </c>
      <c r="D7856" s="6" t="s">
        <v>436</v>
      </c>
      <c r="E7856" s="6" t="s">
        <v>1149</v>
      </c>
      <c r="F7856" s="6" t="s">
        <v>283</v>
      </c>
      <c r="G7856" s="6" t="s">
        <v>477</v>
      </c>
      <c r="H7856" s="10">
        <v>46049.0</v>
      </c>
      <c r="I7856" s="12">
        <v>11.0</v>
      </c>
      <c r="J7856" s="6" t="s">
        <v>178</v>
      </c>
    </row>
    <row r="7857" ht="22.5" customHeight="1">
      <c r="A7857" s="6" t="s">
        <v>24665</v>
      </c>
      <c r="B7857" s="6" t="s">
        <v>17475</v>
      </c>
      <c r="C7857" s="10">
        <v>46049.0</v>
      </c>
      <c r="D7857" s="6" t="s">
        <v>677</v>
      </c>
      <c r="E7857" s="6" t="s">
        <v>687</v>
      </c>
      <c r="F7857" s="6" t="s">
        <v>439</v>
      </c>
      <c r="G7857" s="6" t="s">
        <v>297</v>
      </c>
      <c r="H7857" s="10">
        <v>46056.0</v>
      </c>
      <c r="I7857" s="12">
        <v>2.0</v>
      </c>
      <c r="J7857" s="6" t="s">
        <v>161</v>
      </c>
    </row>
    <row r="7858" ht="22.5" customHeight="1">
      <c r="A7858" s="6" t="s">
        <v>24666</v>
      </c>
      <c r="B7858" s="6" t="s">
        <v>17475</v>
      </c>
      <c r="C7858" s="10">
        <v>46052.0</v>
      </c>
      <c r="D7858" s="6" t="s">
        <v>416</v>
      </c>
      <c r="E7858" s="6" t="s">
        <v>812</v>
      </c>
      <c r="F7858" s="6" t="s">
        <v>283</v>
      </c>
      <c r="G7858" s="6" t="s">
        <v>477</v>
      </c>
      <c r="H7858" s="10">
        <v>46052.0</v>
      </c>
      <c r="I7858" s="12">
        <v>13.0</v>
      </c>
      <c r="J7858" s="6" t="s">
        <v>161</v>
      </c>
    </row>
    <row r="7859" ht="22.5" customHeight="1">
      <c r="A7859" s="6" t="s">
        <v>24667</v>
      </c>
      <c r="B7859" s="6" t="s">
        <v>17475</v>
      </c>
      <c r="C7859" s="10">
        <v>46054.0</v>
      </c>
      <c r="D7859" s="6" t="s">
        <v>289</v>
      </c>
      <c r="E7859" s="6" t="s">
        <v>2365</v>
      </c>
      <c r="F7859" s="6" t="s">
        <v>249</v>
      </c>
      <c r="G7859" s="6" t="s">
        <v>369</v>
      </c>
      <c r="H7859" s="10">
        <v>46055.0</v>
      </c>
      <c r="I7859" s="12">
        <v>5.0</v>
      </c>
      <c r="J7859" s="6" t="s">
        <v>161</v>
      </c>
    </row>
    <row r="7860" ht="22.5" customHeight="1">
      <c r="A7860" s="6" t="s">
        <v>24668</v>
      </c>
      <c r="B7860" s="6" t="s">
        <v>17481</v>
      </c>
      <c r="C7860" s="10">
        <v>46050.0</v>
      </c>
      <c r="D7860" s="6" t="s">
        <v>436</v>
      </c>
      <c r="E7860" s="6" t="s">
        <v>475</v>
      </c>
      <c r="F7860" s="6" t="s">
        <v>283</v>
      </c>
      <c r="G7860" s="6" t="s">
        <v>494</v>
      </c>
      <c r="H7860" s="10">
        <v>46057.0</v>
      </c>
      <c r="I7860" s="12">
        <v>9.0</v>
      </c>
      <c r="J7860" s="6" t="s">
        <v>178</v>
      </c>
    </row>
    <row r="7861" ht="22.5" customHeight="1">
      <c r="A7861" s="6" t="s">
        <v>24669</v>
      </c>
      <c r="B7861" s="6" t="s">
        <v>17487</v>
      </c>
      <c r="C7861" s="10">
        <v>46072.0</v>
      </c>
      <c r="D7861" s="6" t="s">
        <v>436</v>
      </c>
      <c r="E7861" s="6" t="s">
        <v>512</v>
      </c>
      <c r="F7861" s="6" t="s">
        <v>112</v>
      </c>
      <c r="G7861" s="6" t="s">
        <v>477</v>
      </c>
      <c r="H7861" s="10">
        <v>46074.0</v>
      </c>
      <c r="I7861" s="12">
        <v>8.0</v>
      </c>
      <c r="J7861" s="6" t="s">
        <v>178</v>
      </c>
    </row>
    <row r="7862" ht="22.5" customHeight="1">
      <c r="A7862" s="6" t="s">
        <v>24670</v>
      </c>
      <c r="B7862" s="6" t="s">
        <v>17494</v>
      </c>
      <c r="C7862" s="10">
        <v>46061.0</v>
      </c>
      <c r="D7862" s="6" t="s">
        <v>391</v>
      </c>
      <c r="E7862" s="6" t="s">
        <v>246</v>
      </c>
      <c r="F7862" s="6" t="s">
        <v>112</v>
      </c>
      <c r="G7862" s="6" t="s">
        <v>452</v>
      </c>
      <c r="H7862" s="10">
        <v>46061.0</v>
      </c>
      <c r="I7862" s="12">
        <v>7.0</v>
      </c>
      <c r="J7862" s="6" t="s">
        <v>161</v>
      </c>
    </row>
    <row r="7863" ht="22.5" customHeight="1">
      <c r="A7863" s="6" t="s">
        <v>24671</v>
      </c>
      <c r="B7863" s="6" t="s">
        <v>17494</v>
      </c>
      <c r="C7863" s="10">
        <v>46060.0</v>
      </c>
      <c r="D7863" s="6" t="s">
        <v>312</v>
      </c>
      <c r="E7863" s="6" t="s">
        <v>2881</v>
      </c>
      <c r="F7863" s="6" t="s">
        <v>249</v>
      </c>
      <c r="G7863" s="6" t="s">
        <v>477</v>
      </c>
      <c r="H7863" s="10">
        <v>46063.0</v>
      </c>
      <c r="I7863" s="12">
        <v>4.0</v>
      </c>
      <c r="J7863" s="6" t="s">
        <v>161</v>
      </c>
    </row>
    <row r="7864" ht="22.5" customHeight="1">
      <c r="A7864" s="6" t="s">
        <v>24672</v>
      </c>
      <c r="B7864" s="6" t="s">
        <v>17494</v>
      </c>
      <c r="C7864" s="10">
        <v>46044.0</v>
      </c>
      <c r="D7864" s="6" t="s">
        <v>242</v>
      </c>
      <c r="E7864" s="6" t="s">
        <v>1310</v>
      </c>
      <c r="F7864" s="6" t="s">
        <v>283</v>
      </c>
      <c r="G7864" s="6" t="s">
        <v>452</v>
      </c>
      <c r="H7864" s="10">
        <v>46049.0</v>
      </c>
      <c r="I7864" s="12">
        <v>5.0</v>
      </c>
      <c r="J7864" s="6" t="s">
        <v>178</v>
      </c>
    </row>
    <row r="7865" ht="22.5" customHeight="1">
      <c r="A7865" s="6" t="s">
        <v>24673</v>
      </c>
      <c r="B7865" s="6" t="s">
        <v>17494</v>
      </c>
      <c r="C7865" s="10">
        <v>46053.0</v>
      </c>
      <c r="D7865" s="6" t="s">
        <v>391</v>
      </c>
      <c r="E7865" s="6" t="s">
        <v>1626</v>
      </c>
      <c r="F7865" s="6" t="s">
        <v>439</v>
      </c>
      <c r="G7865" s="6" t="s">
        <v>326</v>
      </c>
      <c r="H7865" s="10">
        <v>46059.0</v>
      </c>
      <c r="I7865" s="12">
        <v>10.0</v>
      </c>
      <c r="J7865" s="6" t="s">
        <v>161</v>
      </c>
    </row>
    <row r="7866" ht="22.5" customHeight="1">
      <c r="A7866" s="6" t="s">
        <v>24674</v>
      </c>
      <c r="B7866" s="6" t="s">
        <v>17499</v>
      </c>
      <c r="C7866" s="10">
        <v>46043.0</v>
      </c>
      <c r="D7866" s="6" t="s">
        <v>391</v>
      </c>
      <c r="E7866" s="6" t="s">
        <v>738</v>
      </c>
      <c r="F7866" s="6" t="s">
        <v>283</v>
      </c>
      <c r="G7866" s="6" t="s">
        <v>254</v>
      </c>
      <c r="H7866" s="10">
        <v>46049.0</v>
      </c>
      <c r="I7866" s="12">
        <v>11.0</v>
      </c>
      <c r="J7866" s="6" t="s">
        <v>161</v>
      </c>
    </row>
    <row r="7867" ht="22.5" customHeight="1">
      <c r="A7867" s="6" t="s">
        <v>24675</v>
      </c>
      <c r="B7867" s="6" t="s">
        <v>17506</v>
      </c>
      <c r="C7867" s="10">
        <v>46063.0</v>
      </c>
      <c r="D7867" s="6" t="s">
        <v>416</v>
      </c>
      <c r="E7867" s="6" t="s">
        <v>731</v>
      </c>
      <c r="F7867" s="6" t="s">
        <v>249</v>
      </c>
      <c r="G7867" s="6" t="s">
        <v>369</v>
      </c>
      <c r="H7867" s="10">
        <v>46069.0</v>
      </c>
      <c r="I7867" s="12">
        <v>8.0</v>
      </c>
      <c r="J7867" s="6" t="s">
        <v>161</v>
      </c>
    </row>
    <row r="7868" ht="22.5" customHeight="1">
      <c r="A7868" s="6" t="s">
        <v>24676</v>
      </c>
      <c r="B7868" s="6" t="s">
        <v>17506</v>
      </c>
      <c r="C7868" s="10">
        <v>46081.0</v>
      </c>
      <c r="D7868" s="6" t="s">
        <v>416</v>
      </c>
      <c r="E7868" s="6" t="s">
        <v>1386</v>
      </c>
      <c r="F7868" s="6" t="s">
        <v>249</v>
      </c>
      <c r="G7868" s="6" t="s">
        <v>452</v>
      </c>
      <c r="H7868" s="10">
        <v>46083.0</v>
      </c>
      <c r="I7868" s="12">
        <v>12.0</v>
      </c>
      <c r="J7868" s="6" t="s">
        <v>161</v>
      </c>
    </row>
    <row r="7869" ht="22.5" customHeight="1">
      <c r="A7869" s="6" t="s">
        <v>24677</v>
      </c>
      <c r="B7869" s="6" t="s">
        <v>17506</v>
      </c>
      <c r="C7869" s="10">
        <v>46073.0</v>
      </c>
      <c r="D7869" s="6" t="s">
        <v>677</v>
      </c>
      <c r="E7869" s="6" t="s">
        <v>291</v>
      </c>
      <c r="F7869" s="6" t="s">
        <v>249</v>
      </c>
      <c r="G7869" s="6" t="s">
        <v>458</v>
      </c>
      <c r="H7869" s="10">
        <v>46080.0</v>
      </c>
      <c r="I7869" s="12">
        <v>2.0</v>
      </c>
      <c r="J7869" s="6" t="s">
        <v>161</v>
      </c>
    </row>
    <row r="7870" ht="22.5" customHeight="1">
      <c r="A7870" s="6" t="s">
        <v>24678</v>
      </c>
      <c r="B7870" s="6" t="s">
        <v>17506</v>
      </c>
      <c r="C7870" s="10">
        <v>46073.0</v>
      </c>
      <c r="D7870" s="6" t="s">
        <v>436</v>
      </c>
      <c r="E7870" s="6" t="s">
        <v>1102</v>
      </c>
      <c r="F7870" s="6" t="s">
        <v>112</v>
      </c>
      <c r="G7870" s="6" t="s">
        <v>452</v>
      </c>
      <c r="H7870" s="10">
        <v>46073.0</v>
      </c>
      <c r="I7870" s="12">
        <v>6.0</v>
      </c>
      <c r="J7870" s="6" t="s">
        <v>178</v>
      </c>
    </row>
    <row r="7871" ht="22.5" customHeight="1">
      <c r="A7871" s="6" t="s">
        <v>24679</v>
      </c>
      <c r="B7871" s="6" t="s">
        <v>17506</v>
      </c>
      <c r="C7871" s="10">
        <v>46077.0</v>
      </c>
      <c r="D7871" s="6" t="s">
        <v>289</v>
      </c>
      <c r="E7871" s="6" t="s">
        <v>1720</v>
      </c>
      <c r="F7871" s="6" t="s">
        <v>439</v>
      </c>
      <c r="G7871" s="6" t="s">
        <v>494</v>
      </c>
      <c r="H7871" s="10">
        <v>46079.0</v>
      </c>
      <c r="I7871" s="12">
        <v>6.0</v>
      </c>
      <c r="J7871" s="6" t="s">
        <v>161</v>
      </c>
    </row>
    <row r="7872" ht="22.5" customHeight="1">
      <c r="A7872" s="6" t="s">
        <v>24680</v>
      </c>
      <c r="B7872" s="6" t="s">
        <v>17512</v>
      </c>
      <c r="C7872" s="10">
        <v>46079.0</v>
      </c>
      <c r="D7872" s="6" t="s">
        <v>242</v>
      </c>
      <c r="E7872" s="6" t="s">
        <v>1310</v>
      </c>
      <c r="F7872" s="6" t="s">
        <v>249</v>
      </c>
      <c r="G7872" s="6" t="s">
        <v>297</v>
      </c>
      <c r="H7872" s="10">
        <v>46080.0</v>
      </c>
      <c r="I7872" s="12">
        <v>6.0</v>
      </c>
      <c r="J7872" s="6" t="s">
        <v>178</v>
      </c>
    </row>
    <row r="7873" ht="22.5" customHeight="1">
      <c r="A7873" s="6" t="s">
        <v>24681</v>
      </c>
      <c r="B7873" s="6" t="s">
        <v>17512</v>
      </c>
      <c r="C7873" s="10">
        <v>46067.0</v>
      </c>
      <c r="D7873" s="6" t="s">
        <v>289</v>
      </c>
      <c r="E7873" s="6" t="s">
        <v>1122</v>
      </c>
      <c r="F7873" s="6" t="s">
        <v>439</v>
      </c>
      <c r="G7873" s="6" t="s">
        <v>494</v>
      </c>
      <c r="H7873" s="10">
        <v>46069.0</v>
      </c>
      <c r="I7873" s="12">
        <v>9.0</v>
      </c>
      <c r="J7873" s="6" t="s">
        <v>161</v>
      </c>
    </row>
    <row r="7874" ht="22.5" customHeight="1">
      <c r="A7874" s="6" t="s">
        <v>24682</v>
      </c>
      <c r="B7874" s="6" t="s">
        <v>17512</v>
      </c>
      <c r="C7874" s="10">
        <v>46074.0</v>
      </c>
      <c r="D7874" s="6" t="s">
        <v>312</v>
      </c>
      <c r="E7874" s="6" t="s">
        <v>450</v>
      </c>
      <c r="F7874" s="6" t="s">
        <v>283</v>
      </c>
      <c r="G7874" s="6" t="s">
        <v>369</v>
      </c>
      <c r="H7874" s="10">
        <v>46075.0</v>
      </c>
      <c r="I7874" s="12">
        <v>4.0</v>
      </c>
      <c r="J7874" s="6" t="s">
        <v>161</v>
      </c>
    </row>
    <row r="7875" ht="22.5" customHeight="1">
      <c r="A7875" s="6" t="s">
        <v>24683</v>
      </c>
      <c r="B7875" s="6" t="s">
        <v>17518</v>
      </c>
      <c r="C7875" s="10">
        <v>46074.0</v>
      </c>
      <c r="D7875" s="6" t="s">
        <v>312</v>
      </c>
      <c r="E7875" s="6" t="s">
        <v>394</v>
      </c>
      <c r="F7875" s="6" t="s">
        <v>439</v>
      </c>
      <c r="G7875" s="6" t="s">
        <v>326</v>
      </c>
      <c r="H7875" s="10">
        <v>46081.0</v>
      </c>
      <c r="I7875" s="12">
        <v>4.0</v>
      </c>
      <c r="J7875" s="6" t="s">
        <v>161</v>
      </c>
    </row>
    <row r="7876" ht="22.5" customHeight="1">
      <c r="A7876" s="6" t="s">
        <v>24684</v>
      </c>
      <c r="B7876" s="6" t="s">
        <v>17518</v>
      </c>
      <c r="C7876" s="10">
        <v>46082.0</v>
      </c>
      <c r="D7876" s="6" t="s">
        <v>391</v>
      </c>
      <c r="E7876" s="6" t="s">
        <v>658</v>
      </c>
      <c r="F7876" s="6" t="s">
        <v>249</v>
      </c>
      <c r="G7876" s="6" t="s">
        <v>297</v>
      </c>
      <c r="H7876" s="10">
        <v>46084.0</v>
      </c>
      <c r="I7876" s="12">
        <v>10.0</v>
      </c>
      <c r="J7876" s="6" t="s">
        <v>161</v>
      </c>
    </row>
    <row r="7877" ht="22.5" customHeight="1">
      <c r="A7877" s="6" t="s">
        <v>24685</v>
      </c>
      <c r="B7877" s="6" t="s">
        <v>17518</v>
      </c>
      <c r="C7877" s="10">
        <v>46069.0</v>
      </c>
      <c r="D7877" s="6" t="s">
        <v>391</v>
      </c>
      <c r="E7877" s="6" t="s">
        <v>716</v>
      </c>
      <c r="F7877" s="6" t="s">
        <v>439</v>
      </c>
      <c r="G7877" s="6" t="s">
        <v>254</v>
      </c>
      <c r="H7877" s="10">
        <v>46071.0</v>
      </c>
      <c r="I7877" s="12">
        <v>9.0</v>
      </c>
      <c r="J7877" s="6" t="s">
        <v>161</v>
      </c>
    </row>
    <row r="7878" ht="22.5" customHeight="1">
      <c r="A7878" s="6" t="s">
        <v>24686</v>
      </c>
      <c r="B7878" s="6" t="s">
        <v>17518</v>
      </c>
      <c r="C7878" s="10">
        <v>46070.0</v>
      </c>
      <c r="D7878" s="6" t="s">
        <v>436</v>
      </c>
      <c r="E7878" s="6" t="s">
        <v>1546</v>
      </c>
      <c r="F7878" s="6" t="s">
        <v>439</v>
      </c>
      <c r="G7878" s="6" t="s">
        <v>494</v>
      </c>
      <c r="H7878" s="10">
        <v>46071.0</v>
      </c>
      <c r="I7878" s="12">
        <v>12.0</v>
      </c>
      <c r="J7878" s="6" t="s">
        <v>161</v>
      </c>
    </row>
    <row r="7879" ht="22.5" customHeight="1">
      <c r="A7879" s="6" t="s">
        <v>24687</v>
      </c>
      <c r="B7879" s="6" t="s">
        <v>17518</v>
      </c>
      <c r="C7879" s="10">
        <v>46083.0</v>
      </c>
      <c r="D7879" s="6" t="s">
        <v>312</v>
      </c>
      <c r="E7879" s="6" t="s">
        <v>246</v>
      </c>
      <c r="F7879" s="6" t="s">
        <v>249</v>
      </c>
      <c r="G7879" s="6" t="s">
        <v>369</v>
      </c>
      <c r="H7879" s="10">
        <v>46090.0</v>
      </c>
      <c r="I7879" s="12">
        <v>6.0</v>
      </c>
      <c r="J7879" s="6" t="s">
        <v>161</v>
      </c>
    </row>
    <row r="7880" ht="22.5" customHeight="1">
      <c r="A7880" s="6" t="s">
        <v>24688</v>
      </c>
      <c r="B7880" s="6" t="s">
        <v>17524</v>
      </c>
      <c r="C7880" s="10">
        <v>46027.0</v>
      </c>
      <c r="D7880" s="6" t="s">
        <v>312</v>
      </c>
      <c r="E7880" s="6" t="s">
        <v>450</v>
      </c>
      <c r="F7880" s="6" t="s">
        <v>112</v>
      </c>
      <c r="G7880" s="6" t="s">
        <v>477</v>
      </c>
      <c r="H7880" s="10">
        <v>46031.0</v>
      </c>
      <c r="I7880" s="12">
        <v>6.0</v>
      </c>
      <c r="J7880" s="6" t="s">
        <v>161</v>
      </c>
    </row>
    <row r="7881" ht="22.5" customHeight="1">
      <c r="A7881" s="6" t="s">
        <v>24689</v>
      </c>
      <c r="B7881" s="6" t="s">
        <v>17524</v>
      </c>
      <c r="C7881" s="10">
        <v>46032.0</v>
      </c>
      <c r="D7881" s="6" t="s">
        <v>677</v>
      </c>
      <c r="E7881" s="6" t="s">
        <v>1700</v>
      </c>
      <c r="F7881" s="6" t="s">
        <v>249</v>
      </c>
      <c r="G7881" s="6" t="s">
        <v>254</v>
      </c>
      <c r="H7881" s="11" t="s">
        <v>259</v>
      </c>
      <c r="I7881" s="12">
        <v>2.0</v>
      </c>
      <c r="J7881" s="6" t="s">
        <v>161</v>
      </c>
    </row>
    <row r="7882" ht="22.5" customHeight="1">
      <c r="A7882" s="6" t="s">
        <v>24690</v>
      </c>
      <c r="B7882" s="6" t="s">
        <v>17524</v>
      </c>
      <c r="C7882" s="10">
        <v>46025.0</v>
      </c>
      <c r="D7882" s="6" t="s">
        <v>289</v>
      </c>
      <c r="E7882" s="6" t="s">
        <v>512</v>
      </c>
      <c r="F7882" s="6" t="s">
        <v>112</v>
      </c>
      <c r="G7882" s="6" t="s">
        <v>326</v>
      </c>
      <c r="H7882" s="10">
        <v>46025.0</v>
      </c>
      <c r="I7882" s="12">
        <v>5.0</v>
      </c>
      <c r="J7882" s="6" t="s">
        <v>161</v>
      </c>
    </row>
    <row r="7883" ht="22.5" customHeight="1">
      <c r="A7883" s="6" t="s">
        <v>24691</v>
      </c>
      <c r="B7883" s="6" t="s">
        <v>17524</v>
      </c>
      <c r="C7883" s="10">
        <v>46036.0</v>
      </c>
      <c r="D7883" s="6" t="s">
        <v>312</v>
      </c>
      <c r="E7883" s="6" t="s">
        <v>438</v>
      </c>
      <c r="F7883" s="6" t="s">
        <v>283</v>
      </c>
      <c r="G7883" s="6" t="s">
        <v>297</v>
      </c>
      <c r="H7883" s="10">
        <v>46036.0</v>
      </c>
      <c r="I7883" s="12">
        <v>7.0</v>
      </c>
      <c r="J7883" s="6" t="s">
        <v>161</v>
      </c>
    </row>
    <row r="7884" ht="22.5" customHeight="1">
      <c r="A7884" s="6" t="s">
        <v>24692</v>
      </c>
      <c r="B7884" s="6" t="s">
        <v>17524</v>
      </c>
      <c r="C7884" s="10">
        <v>46034.0</v>
      </c>
      <c r="D7884" s="6" t="s">
        <v>677</v>
      </c>
      <c r="E7884" s="6" t="s">
        <v>610</v>
      </c>
      <c r="F7884" s="6" t="s">
        <v>249</v>
      </c>
      <c r="G7884" s="6" t="s">
        <v>369</v>
      </c>
      <c r="H7884" s="10">
        <v>46034.0</v>
      </c>
      <c r="I7884" s="12">
        <v>3.0</v>
      </c>
      <c r="J7884" s="6" t="s">
        <v>161</v>
      </c>
    </row>
    <row r="7885" ht="22.5" customHeight="1">
      <c r="A7885" s="6" t="s">
        <v>24693</v>
      </c>
      <c r="B7885" s="6" t="s">
        <v>17529</v>
      </c>
      <c r="C7885" s="10">
        <v>46067.0</v>
      </c>
      <c r="D7885" s="6" t="s">
        <v>312</v>
      </c>
      <c r="E7885" s="6" t="s">
        <v>863</v>
      </c>
      <c r="F7885" s="6" t="s">
        <v>283</v>
      </c>
      <c r="G7885" s="6" t="s">
        <v>452</v>
      </c>
      <c r="H7885" s="10">
        <v>46070.0</v>
      </c>
      <c r="I7885" s="12">
        <v>4.0</v>
      </c>
      <c r="J7885" s="6" t="s">
        <v>161</v>
      </c>
    </row>
    <row r="7886" ht="22.5" customHeight="1">
      <c r="A7886" s="6" t="s">
        <v>24694</v>
      </c>
      <c r="B7886" s="6" t="s">
        <v>17535</v>
      </c>
      <c r="C7886" s="10">
        <v>46064.0</v>
      </c>
      <c r="D7886" s="6" t="s">
        <v>312</v>
      </c>
      <c r="E7886" s="6" t="s">
        <v>1969</v>
      </c>
      <c r="F7886" s="6" t="s">
        <v>283</v>
      </c>
      <c r="G7886" s="6" t="s">
        <v>458</v>
      </c>
      <c r="H7886" s="10">
        <v>46065.0</v>
      </c>
      <c r="I7886" s="12">
        <v>7.0</v>
      </c>
      <c r="J7886" s="6" t="s">
        <v>161</v>
      </c>
    </row>
    <row r="7887" ht="22.5" customHeight="1">
      <c r="A7887" s="6" t="s">
        <v>24695</v>
      </c>
      <c r="B7887" s="6" t="s">
        <v>17535</v>
      </c>
      <c r="C7887" s="10">
        <v>46064.0</v>
      </c>
      <c r="D7887" s="6" t="s">
        <v>289</v>
      </c>
      <c r="E7887" s="6" t="s">
        <v>716</v>
      </c>
      <c r="F7887" s="6" t="s">
        <v>439</v>
      </c>
      <c r="G7887" s="6" t="s">
        <v>326</v>
      </c>
      <c r="H7887" s="10">
        <v>46066.0</v>
      </c>
      <c r="I7887" s="12">
        <v>6.0</v>
      </c>
      <c r="J7887" s="6" t="s">
        <v>161</v>
      </c>
    </row>
    <row r="7888" ht="22.5" customHeight="1">
      <c r="A7888" s="6" t="s">
        <v>24696</v>
      </c>
      <c r="B7888" s="6" t="s">
        <v>17535</v>
      </c>
      <c r="C7888" s="10">
        <v>46057.0</v>
      </c>
      <c r="D7888" s="6" t="s">
        <v>312</v>
      </c>
      <c r="E7888" s="6" t="s">
        <v>1720</v>
      </c>
      <c r="F7888" s="6" t="s">
        <v>249</v>
      </c>
      <c r="G7888" s="6" t="s">
        <v>369</v>
      </c>
      <c r="H7888" s="10">
        <v>46059.0</v>
      </c>
      <c r="I7888" s="12">
        <v>4.0</v>
      </c>
      <c r="J7888" s="6" t="s">
        <v>161</v>
      </c>
    </row>
    <row r="7889" ht="22.5" customHeight="1">
      <c r="A7889" s="6" t="s">
        <v>24697</v>
      </c>
      <c r="B7889" s="6" t="s">
        <v>17535</v>
      </c>
      <c r="C7889" s="10">
        <v>46048.0</v>
      </c>
      <c r="D7889" s="6" t="s">
        <v>416</v>
      </c>
      <c r="E7889" s="6" t="s">
        <v>2365</v>
      </c>
      <c r="F7889" s="6" t="s">
        <v>439</v>
      </c>
      <c r="G7889" s="6" t="s">
        <v>477</v>
      </c>
      <c r="H7889" s="10">
        <v>46049.0</v>
      </c>
      <c r="I7889" s="12">
        <v>13.0</v>
      </c>
      <c r="J7889" s="6" t="s">
        <v>161</v>
      </c>
    </row>
    <row r="7890" ht="22.5" customHeight="1">
      <c r="A7890" s="6" t="s">
        <v>24698</v>
      </c>
      <c r="B7890" s="6" t="s">
        <v>17535</v>
      </c>
      <c r="C7890" s="10">
        <v>46052.0</v>
      </c>
      <c r="D7890" s="6" t="s">
        <v>312</v>
      </c>
      <c r="E7890" s="6" t="s">
        <v>775</v>
      </c>
      <c r="F7890" s="6" t="s">
        <v>283</v>
      </c>
      <c r="G7890" s="6" t="s">
        <v>477</v>
      </c>
      <c r="H7890" s="10">
        <v>46056.0</v>
      </c>
      <c r="I7890" s="12">
        <v>6.0</v>
      </c>
      <c r="J7890" s="6" t="s">
        <v>161</v>
      </c>
    </row>
    <row r="7891" ht="22.5" customHeight="1">
      <c r="A7891" s="6" t="s">
        <v>24699</v>
      </c>
      <c r="B7891" s="6" t="s">
        <v>17541</v>
      </c>
      <c r="C7891" s="10">
        <v>46067.0</v>
      </c>
      <c r="D7891" s="6" t="s">
        <v>677</v>
      </c>
      <c r="E7891" s="6" t="s">
        <v>955</v>
      </c>
      <c r="F7891" s="6" t="s">
        <v>112</v>
      </c>
      <c r="G7891" s="6" t="s">
        <v>254</v>
      </c>
      <c r="H7891" s="10">
        <v>46073.0</v>
      </c>
      <c r="I7891" s="12">
        <v>3.0</v>
      </c>
      <c r="J7891" s="6" t="s">
        <v>161</v>
      </c>
    </row>
    <row r="7892" ht="22.5" customHeight="1">
      <c r="A7892" s="6" t="s">
        <v>24700</v>
      </c>
      <c r="B7892" s="6" t="s">
        <v>17541</v>
      </c>
      <c r="C7892" s="10">
        <v>46067.0</v>
      </c>
      <c r="D7892" s="6" t="s">
        <v>289</v>
      </c>
      <c r="E7892" s="6" t="s">
        <v>1055</v>
      </c>
      <c r="F7892" s="6" t="s">
        <v>249</v>
      </c>
      <c r="G7892" s="6" t="s">
        <v>326</v>
      </c>
      <c r="H7892" s="10">
        <v>46067.0</v>
      </c>
      <c r="I7892" s="12">
        <v>7.0</v>
      </c>
      <c r="J7892" s="6" t="s">
        <v>161</v>
      </c>
    </row>
    <row r="7893" ht="22.5" customHeight="1">
      <c r="A7893" s="6" t="s">
        <v>24701</v>
      </c>
      <c r="B7893" s="6" t="s">
        <v>17541</v>
      </c>
      <c r="C7893" s="10">
        <v>46082.0</v>
      </c>
      <c r="D7893" s="6" t="s">
        <v>677</v>
      </c>
      <c r="E7893" s="6" t="s">
        <v>394</v>
      </c>
      <c r="F7893" s="6" t="s">
        <v>439</v>
      </c>
      <c r="G7893" s="6" t="s">
        <v>369</v>
      </c>
      <c r="H7893" s="10">
        <v>46084.0</v>
      </c>
      <c r="I7893" s="12">
        <v>4.0</v>
      </c>
      <c r="J7893" s="6" t="s">
        <v>161</v>
      </c>
    </row>
    <row r="7894" ht="22.5" customHeight="1">
      <c r="A7894" s="6" t="s">
        <v>24702</v>
      </c>
      <c r="B7894" s="6" t="s">
        <v>17541</v>
      </c>
      <c r="C7894" s="10">
        <v>46067.0</v>
      </c>
      <c r="D7894" s="6" t="s">
        <v>436</v>
      </c>
      <c r="E7894" s="6" t="s">
        <v>634</v>
      </c>
      <c r="F7894" s="6" t="s">
        <v>283</v>
      </c>
      <c r="G7894" s="6" t="s">
        <v>326</v>
      </c>
      <c r="H7894" s="10">
        <v>46067.0</v>
      </c>
      <c r="I7894" s="12">
        <v>9.0</v>
      </c>
      <c r="J7894" s="6" t="s">
        <v>178</v>
      </c>
    </row>
    <row r="7895" ht="22.5" customHeight="1">
      <c r="A7895" s="6" t="s">
        <v>24703</v>
      </c>
      <c r="B7895" s="6" t="s">
        <v>17547</v>
      </c>
      <c r="C7895" s="10">
        <v>46053.0</v>
      </c>
      <c r="D7895" s="6" t="s">
        <v>312</v>
      </c>
      <c r="E7895" s="6" t="s">
        <v>1626</v>
      </c>
      <c r="F7895" s="6" t="s">
        <v>112</v>
      </c>
      <c r="G7895" s="6" t="s">
        <v>369</v>
      </c>
      <c r="H7895" s="10">
        <v>46055.0</v>
      </c>
      <c r="I7895" s="12">
        <v>5.0</v>
      </c>
      <c r="J7895" s="6" t="s">
        <v>161</v>
      </c>
    </row>
    <row r="7896" ht="22.5" customHeight="1">
      <c r="A7896" s="6" t="s">
        <v>24704</v>
      </c>
      <c r="B7896" s="6" t="s">
        <v>17547</v>
      </c>
      <c r="C7896" s="10">
        <v>46052.0</v>
      </c>
      <c r="D7896" s="6" t="s">
        <v>677</v>
      </c>
      <c r="E7896" s="6" t="s">
        <v>1296</v>
      </c>
      <c r="F7896" s="6" t="s">
        <v>112</v>
      </c>
      <c r="G7896" s="6" t="s">
        <v>458</v>
      </c>
      <c r="H7896" s="10">
        <v>46052.0</v>
      </c>
      <c r="I7896" s="12">
        <v>2.0</v>
      </c>
      <c r="J7896" s="6" t="s">
        <v>161</v>
      </c>
    </row>
    <row r="7897" ht="22.5" customHeight="1">
      <c r="A7897" s="6" t="s">
        <v>24705</v>
      </c>
      <c r="B7897" s="6" t="s">
        <v>17554</v>
      </c>
      <c r="C7897" s="10">
        <v>46053.0</v>
      </c>
      <c r="D7897" s="6" t="s">
        <v>289</v>
      </c>
      <c r="E7897" s="6" t="s">
        <v>512</v>
      </c>
      <c r="F7897" s="6" t="s">
        <v>112</v>
      </c>
      <c r="G7897" s="6" t="s">
        <v>477</v>
      </c>
      <c r="H7897" s="10">
        <v>46054.0</v>
      </c>
      <c r="I7897" s="12">
        <v>8.0</v>
      </c>
      <c r="J7897" s="6" t="s">
        <v>161</v>
      </c>
    </row>
    <row r="7898" ht="22.5" customHeight="1">
      <c r="A7898" s="6" t="s">
        <v>24706</v>
      </c>
      <c r="B7898" s="6" t="s">
        <v>17554</v>
      </c>
      <c r="C7898" s="10">
        <v>46052.0</v>
      </c>
      <c r="D7898" s="6" t="s">
        <v>242</v>
      </c>
      <c r="E7898" s="6" t="s">
        <v>863</v>
      </c>
      <c r="F7898" s="6" t="s">
        <v>283</v>
      </c>
      <c r="G7898" s="6" t="s">
        <v>326</v>
      </c>
      <c r="H7898" s="10">
        <v>46053.0</v>
      </c>
      <c r="I7898" s="12">
        <v>3.0</v>
      </c>
      <c r="J7898" s="6" t="s">
        <v>161</v>
      </c>
    </row>
    <row r="7899" ht="22.5" customHeight="1">
      <c r="A7899" s="6" t="s">
        <v>24707</v>
      </c>
      <c r="B7899" s="6" t="s">
        <v>17554</v>
      </c>
      <c r="C7899" s="10">
        <v>46041.0</v>
      </c>
      <c r="D7899" s="6" t="s">
        <v>416</v>
      </c>
      <c r="E7899" s="6" t="s">
        <v>1280</v>
      </c>
      <c r="F7899" s="6" t="s">
        <v>439</v>
      </c>
      <c r="G7899" s="6" t="s">
        <v>452</v>
      </c>
      <c r="H7899" s="10">
        <v>46044.0</v>
      </c>
      <c r="I7899" s="12">
        <v>10.0</v>
      </c>
      <c r="J7899" s="6" t="s">
        <v>161</v>
      </c>
    </row>
    <row r="7900" ht="22.5" customHeight="1">
      <c r="A7900" s="6" t="s">
        <v>24708</v>
      </c>
      <c r="B7900" s="6" t="s">
        <v>17560</v>
      </c>
      <c r="C7900" s="10">
        <v>46055.0</v>
      </c>
      <c r="D7900" s="6" t="s">
        <v>242</v>
      </c>
      <c r="E7900" s="6" t="s">
        <v>320</v>
      </c>
      <c r="F7900" s="6" t="s">
        <v>439</v>
      </c>
      <c r="G7900" s="6" t="s">
        <v>458</v>
      </c>
      <c r="H7900" s="10">
        <v>46056.0</v>
      </c>
      <c r="I7900" s="12">
        <v>3.0</v>
      </c>
      <c r="J7900" s="6" t="s">
        <v>178</v>
      </c>
    </row>
    <row r="7901" ht="22.5" customHeight="1">
      <c r="A7901" s="6" t="s">
        <v>24709</v>
      </c>
      <c r="B7901" s="6" t="s">
        <v>17560</v>
      </c>
      <c r="C7901" s="10">
        <v>46056.0</v>
      </c>
      <c r="D7901" s="6" t="s">
        <v>391</v>
      </c>
      <c r="E7901" s="6" t="s">
        <v>466</v>
      </c>
      <c r="F7901" s="6" t="s">
        <v>283</v>
      </c>
      <c r="G7901" s="6" t="s">
        <v>494</v>
      </c>
      <c r="H7901" s="10">
        <v>46057.0</v>
      </c>
      <c r="I7901" s="12">
        <v>6.0</v>
      </c>
      <c r="J7901" s="6" t="s">
        <v>161</v>
      </c>
    </row>
    <row r="7902" ht="22.5" customHeight="1">
      <c r="A7902" s="6" t="s">
        <v>24710</v>
      </c>
      <c r="B7902" s="6" t="s">
        <v>17566</v>
      </c>
      <c r="C7902" s="10">
        <v>46068.0</v>
      </c>
      <c r="D7902" s="6" t="s">
        <v>289</v>
      </c>
      <c r="E7902" s="6" t="s">
        <v>787</v>
      </c>
      <c r="F7902" s="6" t="s">
        <v>283</v>
      </c>
      <c r="G7902" s="6" t="s">
        <v>458</v>
      </c>
      <c r="H7902" s="10">
        <v>46071.0</v>
      </c>
      <c r="I7902" s="12">
        <v>8.0</v>
      </c>
      <c r="J7902" s="6" t="s">
        <v>161</v>
      </c>
    </row>
    <row r="7903" ht="22.5" customHeight="1">
      <c r="A7903" s="6" t="s">
        <v>24711</v>
      </c>
      <c r="B7903" s="6" t="s">
        <v>17566</v>
      </c>
      <c r="C7903" s="10">
        <v>46076.0</v>
      </c>
      <c r="D7903" s="6" t="s">
        <v>289</v>
      </c>
      <c r="E7903" s="6" t="s">
        <v>863</v>
      </c>
      <c r="F7903" s="6" t="s">
        <v>249</v>
      </c>
      <c r="G7903" s="6" t="s">
        <v>452</v>
      </c>
      <c r="H7903" s="10">
        <v>46081.0</v>
      </c>
      <c r="I7903" s="12">
        <v>6.0</v>
      </c>
      <c r="J7903" s="6" t="s">
        <v>161</v>
      </c>
    </row>
    <row r="7904" ht="22.5" customHeight="1">
      <c r="A7904" s="6" t="s">
        <v>24712</v>
      </c>
      <c r="B7904" s="6" t="s">
        <v>17566</v>
      </c>
      <c r="C7904" s="10">
        <v>46073.0</v>
      </c>
      <c r="D7904" s="6" t="s">
        <v>312</v>
      </c>
      <c r="E7904" s="6" t="s">
        <v>704</v>
      </c>
      <c r="F7904" s="6" t="s">
        <v>283</v>
      </c>
      <c r="G7904" s="6" t="s">
        <v>326</v>
      </c>
      <c r="H7904" s="10">
        <v>46080.0</v>
      </c>
      <c r="I7904" s="12">
        <v>5.0</v>
      </c>
      <c r="J7904" s="6" t="s">
        <v>161</v>
      </c>
    </row>
    <row r="7905" ht="22.5" customHeight="1">
      <c r="A7905" s="6" t="s">
        <v>24713</v>
      </c>
      <c r="B7905" s="6" t="s">
        <v>17566</v>
      </c>
      <c r="C7905" s="10">
        <v>46059.0</v>
      </c>
      <c r="D7905" s="6" t="s">
        <v>416</v>
      </c>
      <c r="E7905" s="6" t="s">
        <v>1517</v>
      </c>
      <c r="F7905" s="6" t="s">
        <v>439</v>
      </c>
      <c r="G7905" s="6" t="s">
        <v>452</v>
      </c>
      <c r="H7905" s="10">
        <v>46063.0</v>
      </c>
      <c r="I7905" s="12">
        <v>13.0</v>
      </c>
      <c r="J7905" s="6" t="s">
        <v>161</v>
      </c>
    </row>
    <row r="7906" ht="22.5" customHeight="1">
      <c r="A7906" s="6" t="s">
        <v>24714</v>
      </c>
      <c r="B7906" s="6" t="s">
        <v>17566</v>
      </c>
      <c r="C7906" s="10">
        <v>46064.0</v>
      </c>
      <c r="D7906" s="6" t="s">
        <v>416</v>
      </c>
      <c r="E7906" s="6" t="s">
        <v>610</v>
      </c>
      <c r="F7906" s="6" t="s">
        <v>283</v>
      </c>
      <c r="G7906" s="6" t="s">
        <v>477</v>
      </c>
      <c r="H7906" s="10">
        <v>46070.0</v>
      </c>
      <c r="I7906" s="12">
        <v>14.0</v>
      </c>
      <c r="J7906" s="6" t="s">
        <v>161</v>
      </c>
    </row>
    <row r="7907" ht="22.5" customHeight="1">
      <c r="A7907" s="6" t="s">
        <v>24715</v>
      </c>
      <c r="B7907" s="6" t="s">
        <v>17572</v>
      </c>
      <c r="C7907" s="10">
        <v>46055.0</v>
      </c>
      <c r="D7907" s="6" t="s">
        <v>312</v>
      </c>
      <c r="E7907" s="6" t="s">
        <v>833</v>
      </c>
      <c r="F7907" s="6" t="s">
        <v>439</v>
      </c>
      <c r="G7907" s="6" t="s">
        <v>452</v>
      </c>
      <c r="H7907" s="10">
        <v>46061.0</v>
      </c>
      <c r="I7907" s="12">
        <v>4.0</v>
      </c>
      <c r="J7907" s="6" t="s">
        <v>161</v>
      </c>
    </row>
    <row r="7908" ht="22.5" customHeight="1">
      <c r="A7908" s="6" t="s">
        <v>24716</v>
      </c>
      <c r="B7908" s="6" t="s">
        <v>17572</v>
      </c>
      <c r="C7908" s="10">
        <v>46059.0</v>
      </c>
      <c r="D7908" s="6" t="s">
        <v>677</v>
      </c>
      <c r="E7908" s="6" t="s">
        <v>658</v>
      </c>
      <c r="F7908" s="6" t="s">
        <v>249</v>
      </c>
      <c r="G7908" s="6" t="s">
        <v>452</v>
      </c>
      <c r="H7908" s="10">
        <v>46065.0</v>
      </c>
      <c r="I7908" s="12">
        <v>3.0</v>
      </c>
      <c r="J7908" s="6" t="s">
        <v>161</v>
      </c>
    </row>
    <row r="7909" ht="22.5" customHeight="1">
      <c r="A7909" s="6" t="s">
        <v>24717</v>
      </c>
      <c r="B7909" s="6" t="s">
        <v>17572</v>
      </c>
      <c r="C7909" s="10">
        <v>46064.0</v>
      </c>
      <c r="D7909" s="6" t="s">
        <v>416</v>
      </c>
      <c r="E7909" s="6" t="s">
        <v>833</v>
      </c>
      <c r="F7909" s="6" t="s">
        <v>249</v>
      </c>
      <c r="G7909" s="6" t="s">
        <v>452</v>
      </c>
      <c r="H7909" s="10">
        <v>46068.0</v>
      </c>
      <c r="I7909" s="12">
        <v>12.0</v>
      </c>
      <c r="J7909" s="6" t="s">
        <v>161</v>
      </c>
    </row>
    <row r="7910" ht="22.5" customHeight="1">
      <c r="A7910" s="6" t="s">
        <v>24718</v>
      </c>
      <c r="B7910" s="6" t="s">
        <v>17572</v>
      </c>
      <c r="C7910" s="10">
        <v>46060.0</v>
      </c>
      <c r="D7910" s="6" t="s">
        <v>391</v>
      </c>
      <c r="E7910" s="6" t="s">
        <v>246</v>
      </c>
      <c r="F7910" s="6" t="s">
        <v>439</v>
      </c>
      <c r="G7910" s="6" t="s">
        <v>452</v>
      </c>
      <c r="H7910" s="10">
        <v>46063.0</v>
      </c>
      <c r="I7910" s="12">
        <v>9.0</v>
      </c>
      <c r="J7910" s="6" t="s">
        <v>161</v>
      </c>
    </row>
    <row r="7911" ht="22.5" customHeight="1">
      <c r="A7911" s="6" t="s">
        <v>24719</v>
      </c>
      <c r="B7911" s="6" t="s">
        <v>17579</v>
      </c>
      <c r="C7911" s="10">
        <v>46068.0</v>
      </c>
      <c r="D7911" s="6" t="s">
        <v>677</v>
      </c>
      <c r="E7911" s="6" t="s">
        <v>1055</v>
      </c>
      <c r="F7911" s="6" t="s">
        <v>283</v>
      </c>
      <c r="G7911" s="6" t="s">
        <v>369</v>
      </c>
      <c r="H7911" s="10">
        <v>46071.0</v>
      </c>
      <c r="I7911" s="12">
        <v>4.0</v>
      </c>
      <c r="J7911" s="6" t="s">
        <v>161</v>
      </c>
    </row>
    <row r="7912" ht="22.5" customHeight="1">
      <c r="A7912" s="6" t="s">
        <v>24720</v>
      </c>
      <c r="B7912" s="6" t="s">
        <v>17579</v>
      </c>
      <c r="C7912" s="10">
        <v>46062.0</v>
      </c>
      <c r="D7912" s="6" t="s">
        <v>242</v>
      </c>
      <c r="E7912" s="6" t="s">
        <v>775</v>
      </c>
      <c r="F7912" s="6" t="s">
        <v>112</v>
      </c>
      <c r="G7912" s="6" t="s">
        <v>477</v>
      </c>
      <c r="H7912" s="10">
        <v>46068.0</v>
      </c>
      <c r="I7912" s="12">
        <v>6.0</v>
      </c>
      <c r="J7912" s="6" t="s">
        <v>161</v>
      </c>
    </row>
    <row r="7913" ht="22.5" customHeight="1">
      <c r="A7913" s="6" t="s">
        <v>24721</v>
      </c>
      <c r="B7913" s="6" t="s">
        <v>17579</v>
      </c>
      <c r="C7913" s="10">
        <v>46066.0</v>
      </c>
      <c r="D7913" s="6" t="s">
        <v>436</v>
      </c>
      <c r="E7913" s="6" t="s">
        <v>716</v>
      </c>
      <c r="F7913" s="6" t="s">
        <v>112</v>
      </c>
      <c r="G7913" s="6" t="s">
        <v>452</v>
      </c>
      <c r="H7913" s="10">
        <v>46071.0</v>
      </c>
      <c r="I7913" s="12">
        <v>10.0</v>
      </c>
      <c r="J7913" s="6" t="s">
        <v>178</v>
      </c>
    </row>
    <row r="7914" ht="22.5" customHeight="1">
      <c r="A7914" s="6" t="s">
        <v>24722</v>
      </c>
      <c r="B7914" s="6" t="s">
        <v>17579</v>
      </c>
      <c r="C7914" s="10">
        <v>46063.0</v>
      </c>
      <c r="D7914" s="6" t="s">
        <v>677</v>
      </c>
      <c r="E7914" s="6" t="s">
        <v>1517</v>
      </c>
      <c r="F7914" s="6" t="s">
        <v>249</v>
      </c>
      <c r="G7914" s="6" t="s">
        <v>326</v>
      </c>
      <c r="H7914" s="10">
        <v>46068.0</v>
      </c>
      <c r="I7914" s="12">
        <v>4.0</v>
      </c>
      <c r="J7914" s="6" t="s">
        <v>161</v>
      </c>
    </row>
    <row r="7915" ht="22.5" customHeight="1">
      <c r="A7915" s="6" t="s">
        <v>24723</v>
      </c>
      <c r="B7915" s="6" t="s">
        <v>17584</v>
      </c>
      <c r="C7915" s="10">
        <v>46076.0</v>
      </c>
      <c r="D7915" s="6" t="s">
        <v>436</v>
      </c>
      <c r="E7915" s="6" t="s">
        <v>1102</v>
      </c>
      <c r="F7915" s="6" t="s">
        <v>439</v>
      </c>
      <c r="G7915" s="6" t="s">
        <v>458</v>
      </c>
      <c r="H7915" s="10">
        <v>46076.0</v>
      </c>
      <c r="I7915" s="12">
        <v>8.0</v>
      </c>
      <c r="J7915" s="6" t="s">
        <v>178</v>
      </c>
    </row>
    <row r="7916" ht="22.5" customHeight="1">
      <c r="A7916" s="6" t="s">
        <v>24724</v>
      </c>
      <c r="B7916" s="6" t="s">
        <v>17591</v>
      </c>
      <c r="C7916" s="10">
        <v>46040.0</v>
      </c>
      <c r="D7916" s="6" t="s">
        <v>312</v>
      </c>
      <c r="E7916" s="6" t="s">
        <v>1969</v>
      </c>
      <c r="F7916" s="6" t="s">
        <v>439</v>
      </c>
      <c r="G7916" s="6" t="s">
        <v>369</v>
      </c>
      <c r="H7916" s="10">
        <v>46047.0</v>
      </c>
      <c r="I7916" s="12">
        <v>6.0</v>
      </c>
      <c r="J7916" s="6" t="s">
        <v>161</v>
      </c>
    </row>
    <row r="7917" ht="22.5" customHeight="1">
      <c r="A7917" s="6" t="s">
        <v>24725</v>
      </c>
      <c r="B7917" s="6" t="s">
        <v>17591</v>
      </c>
      <c r="C7917" s="10">
        <v>46055.0</v>
      </c>
      <c r="D7917" s="6" t="s">
        <v>436</v>
      </c>
      <c r="E7917" s="6" t="s">
        <v>512</v>
      </c>
      <c r="F7917" s="6" t="s">
        <v>249</v>
      </c>
      <c r="G7917" s="6" t="s">
        <v>477</v>
      </c>
      <c r="H7917" s="10">
        <v>46058.0</v>
      </c>
      <c r="I7917" s="12">
        <v>9.0</v>
      </c>
      <c r="J7917" s="6" t="s">
        <v>161</v>
      </c>
    </row>
    <row r="7918" ht="22.5" customHeight="1">
      <c r="A7918" s="6" t="s">
        <v>24726</v>
      </c>
      <c r="B7918" s="6" t="s">
        <v>17591</v>
      </c>
      <c r="C7918" s="10">
        <v>46049.0</v>
      </c>
      <c r="D7918" s="6" t="s">
        <v>391</v>
      </c>
      <c r="E7918" s="6" t="s">
        <v>475</v>
      </c>
      <c r="F7918" s="6" t="s">
        <v>112</v>
      </c>
      <c r="G7918" s="6" t="s">
        <v>326</v>
      </c>
      <c r="H7918" s="10">
        <v>46049.0</v>
      </c>
      <c r="I7918" s="12">
        <v>11.0</v>
      </c>
      <c r="J7918" s="6" t="s">
        <v>161</v>
      </c>
    </row>
    <row r="7919" ht="22.5" customHeight="1">
      <c r="A7919" s="6" t="s">
        <v>24727</v>
      </c>
      <c r="B7919" s="6" t="s">
        <v>17591</v>
      </c>
      <c r="C7919" s="10">
        <v>46039.0</v>
      </c>
      <c r="D7919" s="6" t="s">
        <v>289</v>
      </c>
      <c r="E7919" s="6" t="s">
        <v>695</v>
      </c>
      <c r="F7919" s="6" t="s">
        <v>112</v>
      </c>
      <c r="G7919" s="6" t="s">
        <v>297</v>
      </c>
      <c r="H7919" s="10">
        <v>46043.0</v>
      </c>
      <c r="I7919" s="12">
        <v>6.0</v>
      </c>
      <c r="J7919" s="6" t="s">
        <v>161</v>
      </c>
    </row>
    <row r="7920" ht="22.5" customHeight="1">
      <c r="A7920" s="6" t="s">
        <v>24728</v>
      </c>
      <c r="B7920" s="6" t="s">
        <v>17597</v>
      </c>
      <c r="C7920" s="10">
        <v>46043.0</v>
      </c>
      <c r="D7920" s="6" t="s">
        <v>416</v>
      </c>
      <c r="E7920" s="6" t="s">
        <v>1310</v>
      </c>
      <c r="F7920" s="6" t="s">
        <v>283</v>
      </c>
      <c r="G7920" s="6" t="s">
        <v>297</v>
      </c>
      <c r="H7920" s="10">
        <v>46047.0</v>
      </c>
      <c r="I7920" s="12">
        <v>8.0</v>
      </c>
      <c r="J7920" s="6" t="s">
        <v>161</v>
      </c>
    </row>
    <row r="7921" ht="22.5" customHeight="1">
      <c r="A7921" s="6" t="s">
        <v>24729</v>
      </c>
      <c r="B7921" s="6" t="s">
        <v>17597</v>
      </c>
      <c r="C7921" s="10">
        <v>46032.0</v>
      </c>
      <c r="D7921" s="6" t="s">
        <v>677</v>
      </c>
      <c r="E7921" s="6" t="s">
        <v>1626</v>
      </c>
      <c r="F7921" s="6" t="s">
        <v>249</v>
      </c>
      <c r="G7921" s="6" t="s">
        <v>369</v>
      </c>
      <c r="H7921" s="10">
        <v>46034.0</v>
      </c>
      <c r="I7921" s="12">
        <v>4.0</v>
      </c>
      <c r="J7921" s="6" t="s">
        <v>161</v>
      </c>
    </row>
    <row r="7922" ht="22.5" customHeight="1">
      <c r="A7922" s="6" t="s">
        <v>24730</v>
      </c>
      <c r="B7922" s="6" t="s">
        <v>17604</v>
      </c>
      <c r="C7922" s="10">
        <v>46046.0</v>
      </c>
      <c r="D7922" s="6" t="s">
        <v>391</v>
      </c>
      <c r="E7922" s="6" t="s">
        <v>1310</v>
      </c>
      <c r="F7922" s="6" t="s">
        <v>112</v>
      </c>
      <c r="G7922" s="6" t="s">
        <v>297</v>
      </c>
      <c r="H7922" s="10">
        <v>46046.0</v>
      </c>
      <c r="I7922" s="12">
        <v>10.0</v>
      </c>
      <c r="J7922" s="6" t="s">
        <v>161</v>
      </c>
    </row>
    <row r="7923" ht="22.5" customHeight="1">
      <c r="A7923" s="6" t="s">
        <v>24731</v>
      </c>
      <c r="B7923" s="6" t="s">
        <v>17604</v>
      </c>
      <c r="C7923" s="10">
        <v>46054.0</v>
      </c>
      <c r="D7923" s="6" t="s">
        <v>312</v>
      </c>
      <c r="E7923" s="6" t="s">
        <v>566</v>
      </c>
      <c r="F7923" s="6" t="s">
        <v>249</v>
      </c>
      <c r="G7923" s="6" t="s">
        <v>452</v>
      </c>
      <c r="H7923" s="10">
        <v>46061.0</v>
      </c>
      <c r="I7923" s="12">
        <v>6.0</v>
      </c>
      <c r="J7923" s="6" t="s">
        <v>161</v>
      </c>
    </row>
    <row r="7924" ht="22.5" customHeight="1">
      <c r="A7924" s="6" t="s">
        <v>24732</v>
      </c>
      <c r="B7924" s="6" t="s">
        <v>17604</v>
      </c>
      <c r="C7924" s="10">
        <v>46059.0</v>
      </c>
      <c r="D7924" s="6" t="s">
        <v>436</v>
      </c>
      <c r="E7924" s="6" t="s">
        <v>2881</v>
      </c>
      <c r="F7924" s="6" t="s">
        <v>249</v>
      </c>
      <c r="G7924" s="6" t="s">
        <v>254</v>
      </c>
      <c r="H7924" s="11" t="s">
        <v>259</v>
      </c>
      <c r="I7924" s="12">
        <v>8.0</v>
      </c>
      <c r="J7924" s="6" t="s">
        <v>178</v>
      </c>
    </row>
    <row r="7925" ht="22.5" customHeight="1">
      <c r="A7925" s="6" t="s">
        <v>24733</v>
      </c>
      <c r="B7925" s="6" t="s">
        <v>17611</v>
      </c>
      <c r="C7925" s="10">
        <v>46066.0</v>
      </c>
      <c r="D7925" s="6" t="s">
        <v>677</v>
      </c>
      <c r="E7925" s="6" t="s">
        <v>798</v>
      </c>
      <c r="F7925" s="6" t="s">
        <v>283</v>
      </c>
      <c r="G7925" s="6" t="s">
        <v>297</v>
      </c>
      <c r="H7925" s="10">
        <v>46072.0</v>
      </c>
      <c r="I7925" s="12">
        <v>2.0</v>
      </c>
      <c r="J7925" s="6" t="s">
        <v>161</v>
      </c>
    </row>
    <row r="7926" ht="22.5" customHeight="1">
      <c r="A7926" s="6" t="s">
        <v>24734</v>
      </c>
      <c r="B7926" s="6" t="s">
        <v>17611</v>
      </c>
      <c r="C7926" s="10">
        <v>46074.0</v>
      </c>
      <c r="D7926" s="6" t="s">
        <v>416</v>
      </c>
      <c r="E7926" s="6" t="s">
        <v>1122</v>
      </c>
      <c r="F7926" s="6" t="s">
        <v>439</v>
      </c>
      <c r="G7926" s="6" t="s">
        <v>452</v>
      </c>
      <c r="H7926" s="10">
        <v>46080.0</v>
      </c>
      <c r="I7926" s="12">
        <v>9.0</v>
      </c>
      <c r="J7926" s="6" t="s">
        <v>161</v>
      </c>
    </row>
    <row r="7927" ht="22.5" customHeight="1">
      <c r="A7927" s="6" t="s">
        <v>24735</v>
      </c>
      <c r="B7927" s="6" t="s">
        <v>17611</v>
      </c>
      <c r="C7927" s="10">
        <v>46064.0</v>
      </c>
      <c r="D7927" s="6" t="s">
        <v>436</v>
      </c>
      <c r="E7927" s="6" t="s">
        <v>1102</v>
      </c>
      <c r="F7927" s="6" t="s">
        <v>112</v>
      </c>
      <c r="G7927" s="6" t="s">
        <v>494</v>
      </c>
      <c r="H7927" s="10">
        <v>46069.0</v>
      </c>
      <c r="I7927" s="12">
        <v>12.0</v>
      </c>
      <c r="J7927" s="6" t="s">
        <v>178</v>
      </c>
    </row>
    <row r="7928" ht="22.5" customHeight="1">
      <c r="A7928" s="6" t="s">
        <v>24736</v>
      </c>
      <c r="B7928" s="6" t="s">
        <v>17611</v>
      </c>
      <c r="C7928" s="10">
        <v>46074.0</v>
      </c>
      <c r="D7928" s="6" t="s">
        <v>677</v>
      </c>
      <c r="E7928" s="6" t="s">
        <v>1296</v>
      </c>
      <c r="F7928" s="6" t="s">
        <v>112</v>
      </c>
      <c r="G7928" s="6" t="s">
        <v>458</v>
      </c>
      <c r="H7928" s="10">
        <v>46075.0</v>
      </c>
      <c r="I7928" s="12">
        <v>3.0</v>
      </c>
      <c r="J7928" s="6" t="s">
        <v>161</v>
      </c>
    </row>
    <row r="7929" ht="22.5" customHeight="1">
      <c r="A7929" s="6" t="s">
        <v>24737</v>
      </c>
      <c r="B7929" s="6" t="s">
        <v>17611</v>
      </c>
      <c r="C7929" s="10">
        <v>46061.0</v>
      </c>
      <c r="D7929" s="6" t="s">
        <v>436</v>
      </c>
      <c r="E7929" s="6" t="s">
        <v>1296</v>
      </c>
      <c r="F7929" s="6" t="s">
        <v>439</v>
      </c>
      <c r="G7929" s="6" t="s">
        <v>254</v>
      </c>
      <c r="H7929" s="10">
        <v>46062.0</v>
      </c>
      <c r="I7929" s="12">
        <v>8.0</v>
      </c>
      <c r="J7929" s="6" t="s">
        <v>178</v>
      </c>
    </row>
    <row r="7930" ht="22.5" customHeight="1">
      <c r="A7930" s="6" t="s">
        <v>24738</v>
      </c>
      <c r="B7930" s="6" t="s">
        <v>17617</v>
      </c>
      <c r="C7930" s="10">
        <v>46048.0</v>
      </c>
      <c r="D7930" s="6" t="s">
        <v>289</v>
      </c>
      <c r="E7930" s="6" t="s">
        <v>394</v>
      </c>
      <c r="F7930" s="6" t="s">
        <v>249</v>
      </c>
      <c r="G7930" s="6" t="s">
        <v>458</v>
      </c>
      <c r="H7930" s="11" t="s">
        <v>259</v>
      </c>
      <c r="I7930" s="12">
        <v>5.0</v>
      </c>
      <c r="J7930" s="6" t="s">
        <v>161</v>
      </c>
    </row>
    <row r="7931" ht="22.5" customHeight="1">
      <c r="A7931" s="6" t="s">
        <v>24739</v>
      </c>
      <c r="B7931" s="6" t="s">
        <v>17617</v>
      </c>
      <c r="C7931" s="10">
        <v>46042.0</v>
      </c>
      <c r="D7931" s="6" t="s">
        <v>391</v>
      </c>
      <c r="E7931" s="6" t="s">
        <v>1386</v>
      </c>
      <c r="F7931" s="6" t="s">
        <v>249</v>
      </c>
      <c r="G7931" s="6" t="s">
        <v>326</v>
      </c>
      <c r="H7931" s="10">
        <v>46047.0</v>
      </c>
      <c r="I7931" s="12">
        <v>6.0</v>
      </c>
      <c r="J7931" s="6" t="s">
        <v>161</v>
      </c>
    </row>
    <row r="7932" ht="22.5" customHeight="1">
      <c r="A7932" s="6" t="s">
        <v>24740</v>
      </c>
      <c r="B7932" s="6" t="s">
        <v>17617</v>
      </c>
      <c r="C7932" s="10">
        <v>46043.0</v>
      </c>
      <c r="D7932" s="6" t="s">
        <v>391</v>
      </c>
      <c r="E7932" s="6" t="s">
        <v>512</v>
      </c>
      <c r="F7932" s="6" t="s">
        <v>249</v>
      </c>
      <c r="G7932" s="6" t="s">
        <v>369</v>
      </c>
      <c r="H7932" s="10">
        <v>46045.0</v>
      </c>
      <c r="I7932" s="12">
        <v>11.0</v>
      </c>
      <c r="J7932" s="6" t="s">
        <v>161</v>
      </c>
    </row>
    <row r="7933" ht="22.5" customHeight="1">
      <c r="A7933" s="6" t="s">
        <v>24741</v>
      </c>
      <c r="B7933" s="6" t="s">
        <v>17617</v>
      </c>
      <c r="C7933" s="10">
        <v>46053.0</v>
      </c>
      <c r="D7933" s="6" t="s">
        <v>312</v>
      </c>
      <c r="E7933" s="6" t="s">
        <v>1280</v>
      </c>
      <c r="F7933" s="6" t="s">
        <v>112</v>
      </c>
      <c r="G7933" s="6" t="s">
        <v>254</v>
      </c>
      <c r="H7933" s="10">
        <v>46058.0</v>
      </c>
      <c r="I7933" s="12">
        <v>5.0</v>
      </c>
      <c r="J7933" s="6" t="s">
        <v>161</v>
      </c>
    </row>
    <row r="7934" ht="22.5" customHeight="1">
      <c r="A7934" s="6" t="s">
        <v>24742</v>
      </c>
      <c r="B7934" s="6" t="s">
        <v>17623</v>
      </c>
      <c r="C7934" s="10">
        <v>46065.0</v>
      </c>
      <c r="D7934" s="6" t="s">
        <v>312</v>
      </c>
      <c r="E7934" s="6" t="s">
        <v>438</v>
      </c>
      <c r="F7934" s="6" t="s">
        <v>439</v>
      </c>
      <c r="G7934" s="6" t="s">
        <v>254</v>
      </c>
      <c r="H7934" s="10">
        <v>46070.0</v>
      </c>
      <c r="I7934" s="12">
        <v>7.0</v>
      </c>
      <c r="J7934" s="6" t="s">
        <v>161</v>
      </c>
    </row>
    <row r="7935" ht="22.5" customHeight="1">
      <c r="A7935" s="6" t="s">
        <v>24743</v>
      </c>
      <c r="B7935" s="6" t="s">
        <v>17623</v>
      </c>
      <c r="C7935" s="10">
        <v>46056.0</v>
      </c>
      <c r="D7935" s="6" t="s">
        <v>312</v>
      </c>
      <c r="E7935" s="6" t="s">
        <v>731</v>
      </c>
      <c r="F7935" s="6" t="s">
        <v>112</v>
      </c>
      <c r="G7935" s="6" t="s">
        <v>494</v>
      </c>
      <c r="H7935" s="10">
        <v>46057.0</v>
      </c>
      <c r="I7935" s="12">
        <v>6.0</v>
      </c>
      <c r="J7935" s="6" t="s">
        <v>161</v>
      </c>
    </row>
    <row r="7936" ht="22.5" customHeight="1">
      <c r="A7936" s="6" t="s">
        <v>24744</v>
      </c>
      <c r="B7936" s="6" t="s">
        <v>17623</v>
      </c>
      <c r="C7936" s="10">
        <v>46062.0</v>
      </c>
      <c r="D7936" s="6" t="s">
        <v>242</v>
      </c>
      <c r="E7936" s="6" t="s">
        <v>566</v>
      </c>
      <c r="F7936" s="6" t="s">
        <v>283</v>
      </c>
      <c r="G7936" s="6" t="s">
        <v>254</v>
      </c>
      <c r="H7936" s="10">
        <v>46062.0</v>
      </c>
      <c r="I7936" s="12">
        <v>5.0</v>
      </c>
      <c r="J7936" s="6" t="s">
        <v>178</v>
      </c>
    </row>
    <row r="7937" ht="22.5" customHeight="1">
      <c r="A7937" s="6" t="s">
        <v>24745</v>
      </c>
      <c r="B7937" s="6" t="s">
        <v>17623</v>
      </c>
      <c r="C7937" s="10">
        <v>46052.0</v>
      </c>
      <c r="D7937" s="6" t="s">
        <v>416</v>
      </c>
      <c r="E7937" s="6" t="s">
        <v>1546</v>
      </c>
      <c r="F7937" s="6" t="s">
        <v>439</v>
      </c>
      <c r="G7937" s="6" t="s">
        <v>458</v>
      </c>
      <c r="H7937" s="11" t="s">
        <v>259</v>
      </c>
      <c r="I7937" s="12">
        <v>14.0</v>
      </c>
      <c r="J7937" s="6" t="s">
        <v>161</v>
      </c>
    </row>
    <row r="7938" ht="22.5" customHeight="1">
      <c r="A7938" s="6" t="s">
        <v>24746</v>
      </c>
      <c r="B7938" s="6" t="s">
        <v>17629</v>
      </c>
      <c r="C7938" s="10">
        <v>46065.0</v>
      </c>
      <c r="D7938" s="6" t="s">
        <v>677</v>
      </c>
      <c r="E7938" s="6" t="s">
        <v>787</v>
      </c>
      <c r="F7938" s="6" t="s">
        <v>439</v>
      </c>
      <c r="G7938" s="6" t="s">
        <v>452</v>
      </c>
      <c r="H7938" s="10">
        <v>46071.0</v>
      </c>
      <c r="I7938" s="12">
        <v>3.0</v>
      </c>
      <c r="J7938" s="6" t="s">
        <v>161</v>
      </c>
    </row>
    <row r="7939" ht="22.5" customHeight="1">
      <c r="A7939" s="6" t="s">
        <v>24747</v>
      </c>
      <c r="B7939" s="6" t="s">
        <v>17629</v>
      </c>
      <c r="C7939" s="10">
        <v>46074.0</v>
      </c>
      <c r="D7939" s="6" t="s">
        <v>391</v>
      </c>
      <c r="E7939" s="6" t="s">
        <v>704</v>
      </c>
      <c r="F7939" s="6" t="s">
        <v>283</v>
      </c>
      <c r="G7939" s="6" t="s">
        <v>254</v>
      </c>
      <c r="H7939" s="10">
        <v>46075.0</v>
      </c>
      <c r="I7939" s="12">
        <v>9.0</v>
      </c>
      <c r="J7939" s="6" t="s">
        <v>161</v>
      </c>
    </row>
    <row r="7940" ht="22.5" customHeight="1">
      <c r="A7940" s="6" t="s">
        <v>24748</v>
      </c>
      <c r="B7940" s="6" t="s">
        <v>17629</v>
      </c>
      <c r="C7940" s="10">
        <v>46080.0</v>
      </c>
      <c r="D7940" s="6" t="s">
        <v>242</v>
      </c>
      <c r="E7940" s="6" t="s">
        <v>1055</v>
      </c>
      <c r="F7940" s="6" t="s">
        <v>112</v>
      </c>
      <c r="G7940" s="6" t="s">
        <v>297</v>
      </c>
      <c r="H7940" s="10">
        <v>46086.0</v>
      </c>
      <c r="I7940" s="12">
        <v>3.0</v>
      </c>
      <c r="J7940" s="6" t="s">
        <v>178</v>
      </c>
    </row>
    <row r="7941" ht="22.5" customHeight="1">
      <c r="A7941" s="6" t="s">
        <v>24749</v>
      </c>
      <c r="B7941" s="6" t="s">
        <v>17636</v>
      </c>
      <c r="C7941" s="10">
        <v>46033.0</v>
      </c>
      <c r="D7941" s="6" t="s">
        <v>312</v>
      </c>
      <c r="E7941" s="6" t="s">
        <v>695</v>
      </c>
      <c r="F7941" s="6" t="s">
        <v>283</v>
      </c>
      <c r="G7941" s="6" t="s">
        <v>494</v>
      </c>
      <c r="H7941" s="10">
        <v>46040.0</v>
      </c>
      <c r="I7941" s="12">
        <v>6.0</v>
      </c>
      <c r="J7941" s="6" t="s">
        <v>161</v>
      </c>
    </row>
    <row r="7942" ht="22.5" customHeight="1">
      <c r="A7942" s="6" t="s">
        <v>24750</v>
      </c>
      <c r="B7942" s="6" t="s">
        <v>17636</v>
      </c>
      <c r="C7942" s="10">
        <v>46037.0</v>
      </c>
      <c r="D7942" s="6" t="s">
        <v>436</v>
      </c>
      <c r="E7942" s="6" t="s">
        <v>417</v>
      </c>
      <c r="F7942" s="6" t="s">
        <v>249</v>
      </c>
      <c r="G7942" s="6" t="s">
        <v>458</v>
      </c>
      <c r="H7942" s="10">
        <v>46043.0</v>
      </c>
      <c r="I7942" s="12">
        <v>7.0</v>
      </c>
      <c r="J7942" s="6" t="s">
        <v>178</v>
      </c>
    </row>
    <row r="7943" ht="22.5" customHeight="1">
      <c r="A7943" s="6" t="s">
        <v>24751</v>
      </c>
      <c r="B7943" s="6" t="s">
        <v>17636</v>
      </c>
      <c r="C7943" s="10">
        <v>46040.0</v>
      </c>
      <c r="D7943" s="6" t="s">
        <v>677</v>
      </c>
      <c r="E7943" s="6" t="s">
        <v>1741</v>
      </c>
      <c r="F7943" s="6" t="s">
        <v>112</v>
      </c>
      <c r="G7943" s="6" t="s">
        <v>297</v>
      </c>
      <c r="H7943" s="10">
        <v>46047.0</v>
      </c>
      <c r="I7943" s="12">
        <v>3.0</v>
      </c>
      <c r="J7943" s="6" t="s">
        <v>161</v>
      </c>
    </row>
    <row r="7944" ht="22.5" customHeight="1">
      <c r="A7944" s="6" t="s">
        <v>24752</v>
      </c>
      <c r="B7944" s="6" t="s">
        <v>17636</v>
      </c>
      <c r="C7944" s="10">
        <v>46049.0</v>
      </c>
      <c r="D7944" s="6" t="s">
        <v>289</v>
      </c>
      <c r="E7944" s="6" t="s">
        <v>1273</v>
      </c>
      <c r="F7944" s="6" t="s">
        <v>112</v>
      </c>
      <c r="G7944" s="6" t="s">
        <v>369</v>
      </c>
      <c r="H7944" s="10">
        <v>46050.0</v>
      </c>
      <c r="I7944" s="12">
        <v>9.0</v>
      </c>
      <c r="J7944" s="6" t="s">
        <v>161</v>
      </c>
    </row>
    <row r="7945" ht="22.5" customHeight="1">
      <c r="A7945" s="6" t="s">
        <v>24753</v>
      </c>
      <c r="B7945" s="6" t="s">
        <v>17636</v>
      </c>
      <c r="C7945" s="10">
        <v>46034.0</v>
      </c>
      <c r="D7945" s="6" t="s">
        <v>391</v>
      </c>
      <c r="E7945" s="6" t="s">
        <v>610</v>
      </c>
      <c r="F7945" s="6" t="s">
        <v>439</v>
      </c>
      <c r="G7945" s="6" t="s">
        <v>452</v>
      </c>
      <c r="H7945" s="10">
        <v>46036.0</v>
      </c>
      <c r="I7945" s="12">
        <v>8.0</v>
      </c>
      <c r="J7945" s="6" t="s">
        <v>161</v>
      </c>
    </row>
    <row r="7946" ht="22.5" customHeight="1">
      <c r="A7946" s="6" t="s">
        <v>24754</v>
      </c>
      <c r="B7946" s="6" t="s">
        <v>17642</v>
      </c>
      <c r="C7946" s="10">
        <v>46034.0</v>
      </c>
      <c r="D7946" s="6" t="s">
        <v>436</v>
      </c>
      <c r="E7946" s="6" t="s">
        <v>775</v>
      </c>
      <c r="F7946" s="6" t="s">
        <v>283</v>
      </c>
      <c r="G7946" s="6" t="s">
        <v>326</v>
      </c>
      <c r="H7946" s="10">
        <v>46034.0</v>
      </c>
      <c r="I7946" s="12">
        <v>8.0</v>
      </c>
      <c r="J7946" s="6" t="s">
        <v>178</v>
      </c>
    </row>
    <row r="7947" ht="22.5" customHeight="1">
      <c r="A7947" s="6" t="s">
        <v>24755</v>
      </c>
      <c r="B7947" s="6" t="s">
        <v>17642</v>
      </c>
      <c r="C7947" s="10">
        <v>46050.0</v>
      </c>
      <c r="D7947" s="6" t="s">
        <v>312</v>
      </c>
      <c r="E7947" s="6" t="s">
        <v>1310</v>
      </c>
      <c r="F7947" s="6" t="s">
        <v>112</v>
      </c>
      <c r="G7947" s="6" t="s">
        <v>452</v>
      </c>
      <c r="H7947" s="10">
        <v>46053.0</v>
      </c>
      <c r="I7947" s="12">
        <v>5.0</v>
      </c>
      <c r="J7947" s="6" t="s">
        <v>161</v>
      </c>
    </row>
    <row r="7948" ht="22.5" customHeight="1">
      <c r="A7948" s="6" t="s">
        <v>24756</v>
      </c>
      <c r="B7948" s="6" t="s">
        <v>17642</v>
      </c>
      <c r="C7948" s="10">
        <v>46048.0</v>
      </c>
      <c r="D7948" s="6" t="s">
        <v>436</v>
      </c>
      <c r="E7948" s="6" t="s">
        <v>1102</v>
      </c>
      <c r="F7948" s="6" t="s">
        <v>112</v>
      </c>
      <c r="G7948" s="6" t="s">
        <v>477</v>
      </c>
      <c r="H7948" s="11" t="s">
        <v>259</v>
      </c>
      <c r="I7948" s="12">
        <v>7.0</v>
      </c>
      <c r="J7948" s="6" t="s">
        <v>178</v>
      </c>
    </row>
    <row r="7949" ht="22.5" customHeight="1">
      <c r="A7949" s="6" t="s">
        <v>24757</v>
      </c>
      <c r="B7949" s="6" t="s">
        <v>17649</v>
      </c>
      <c r="C7949" s="10">
        <v>46046.0</v>
      </c>
      <c r="D7949" s="6" t="s">
        <v>289</v>
      </c>
      <c r="E7949" s="6" t="s">
        <v>1517</v>
      </c>
      <c r="F7949" s="6" t="s">
        <v>283</v>
      </c>
      <c r="G7949" s="6" t="s">
        <v>326</v>
      </c>
      <c r="H7949" s="10">
        <v>46047.0</v>
      </c>
      <c r="I7949" s="12">
        <v>10.0</v>
      </c>
      <c r="J7949" s="6" t="s">
        <v>161</v>
      </c>
    </row>
    <row r="7950" ht="22.5" customHeight="1">
      <c r="A7950" s="6" t="s">
        <v>24758</v>
      </c>
      <c r="B7950" s="6" t="s">
        <v>17649</v>
      </c>
      <c r="C7950" s="10">
        <v>46045.0</v>
      </c>
      <c r="D7950" s="6" t="s">
        <v>312</v>
      </c>
      <c r="E7950" s="6" t="s">
        <v>1035</v>
      </c>
      <c r="F7950" s="6" t="s">
        <v>283</v>
      </c>
      <c r="G7950" s="6" t="s">
        <v>458</v>
      </c>
      <c r="H7950" s="10">
        <v>46052.0</v>
      </c>
      <c r="I7950" s="12">
        <v>6.0</v>
      </c>
      <c r="J7950" s="6" t="s">
        <v>161</v>
      </c>
    </row>
    <row r="7951" ht="22.5" customHeight="1">
      <c r="A7951" s="6" t="s">
        <v>24759</v>
      </c>
      <c r="B7951" s="6" t="s">
        <v>17649</v>
      </c>
      <c r="C7951" s="10">
        <v>46064.0</v>
      </c>
      <c r="D7951" s="6" t="s">
        <v>289</v>
      </c>
      <c r="E7951" s="6" t="s">
        <v>658</v>
      </c>
      <c r="F7951" s="6" t="s">
        <v>112</v>
      </c>
      <c r="G7951" s="6" t="s">
        <v>494</v>
      </c>
      <c r="H7951" s="10">
        <v>46071.0</v>
      </c>
      <c r="I7951" s="12">
        <v>8.0</v>
      </c>
      <c r="J7951" s="6" t="s">
        <v>161</v>
      </c>
    </row>
    <row r="7952" ht="22.5" customHeight="1">
      <c r="A7952" s="6" t="s">
        <v>24760</v>
      </c>
      <c r="B7952" s="6" t="s">
        <v>17649</v>
      </c>
      <c r="C7952" s="10">
        <v>46058.0</v>
      </c>
      <c r="D7952" s="6" t="s">
        <v>436</v>
      </c>
      <c r="E7952" s="6" t="s">
        <v>687</v>
      </c>
      <c r="F7952" s="6" t="s">
        <v>249</v>
      </c>
      <c r="G7952" s="6" t="s">
        <v>477</v>
      </c>
      <c r="H7952" s="10">
        <v>46065.0</v>
      </c>
      <c r="I7952" s="12">
        <v>11.0</v>
      </c>
      <c r="J7952" s="6" t="s">
        <v>178</v>
      </c>
    </row>
    <row r="7953" ht="22.5" customHeight="1">
      <c r="A7953" s="6" t="s">
        <v>24761</v>
      </c>
      <c r="B7953" s="6" t="s">
        <v>17649</v>
      </c>
      <c r="C7953" s="10">
        <v>46045.0</v>
      </c>
      <c r="D7953" s="6" t="s">
        <v>242</v>
      </c>
      <c r="E7953" s="6" t="s">
        <v>1741</v>
      </c>
      <c r="F7953" s="6" t="s">
        <v>249</v>
      </c>
      <c r="G7953" s="6" t="s">
        <v>369</v>
      </c>
      <c r="H7953" s="10">
        <v>46051.0</v>
      </c>
      <c r="I7953" s="12">
        <v>6.0</v>
      </c>
      <c r="J7953" s="6" t="s">
        <v>161</v>
      </c>
    </row>
    <row r="7954" ht="22.5" customHeight="1">
      <c r="A7954" s="6" t="s">
        <v>24762</v>
      </c>
      <c r="B7954" s="6" t="s">
        <v>17655</v>
      </c>
      <c r="C7954" s="10">
        <v>46054.0</v>
      </c>
      <c r="D7954" s="6" t="s">
        <v>436</v>
      </c>
      <c r="E7954" s="6" t="s">
        <v>1241</v>
      </c>
      <c r="F7954" s="6" t="s">
        <v>112</v>
      </c>
      <c r="G7954" s="6" t="s">
        <v>458</v>
      </c>
      <c r="H7954" s="10">
        <v>46058.0</v>
      </c>
      <c r="I7954" s="12">
        <v>12.0</v>
      </c>
      <c r="J7954" s="6" t="s">
        <v>178</v>
      </c>
    </row>
    <row r="7955" ht="22.5" customHeight="1">
      <c r="A7955" s="6" t="s">
        <v>24763</v>
      </c>
      <c r="B7955" s="6" t="s">
        <v>17655</v>
      </c>
      <c r="C7955" s="10">
        <v>46063.0</v>
      </c>
      <c r="D7955" s="6" t="s">
        <v>312</v>
      </c>
      <c r="E7955" s="6" t="s">
        <v>955</v>
      </c>
      <c r="F7955" s="6" t="s">
        <v>249</v>
      </c>
      <c r="G7955" s="6" t="s">
        <v>452</v>
      </c>
      <c r="H7955" s="10">
        <v>46064.0</v>
      </c>
      <c r="I7955" s="12">
        <v>4.0</v>
      </c>
      <c r="J7955" s="6" t="s">
        <v>161</v>
      </c>
    </row>
    <row r="7956" ht="22.5" customHeight="1">
      <c r="A7956" s="6" t="s">
        <v>24764</v>
      </c>
      <c r="B7956" s="6" t="s">
        <v>17662</v>
      </c>
      <c r="C7956" s="10">
        <v>46037.0</v>
      </c>
      <c r="D7956" s="6" t="s">
        <v>416</v>
      </c>
      <c r="E7956" s="6" t="s">
        <v>466</v>
      </c>
      <c r="F7956" s="6" t="s">
        <v>112</v>
      </c>
      <c r="G7956" s="6" t="s">
        <v>369</v>
      </c>
      <c r="H7956" s="10">
        <v>46037.0</v>
      </c>
      <c r="I7956" s="12">
        <v>9.0</v>
      </c>
      <c r="J7956" s="6" t="s">
        <v>161</v>
      </c>
    </row>
    <row r="7957" ht="22.5" customHeight="1">
      <c r="A7957" s="6" t="s">
        <v>24765</v>
      </c>
      <c r="B7957" s="6" t="s">
        <v>17662</v>
      </c>
      <c r="C7957" s="10">
        <v>46040.0</v>
      </c>
      <c r="D7957" s="6" t="s">
        <v>436</v>
      </c>
      <c r="E7957" s="6" t="s">
        <v>1055</v>
      </c>
      <c r="F7957" s="6" t="s">
        <v>439</v>
      </c>
      <c r="G7957" s="6" t="s">
        <v>297</v>
      </c>
      <c r="H7957" s="10">
        <v>46047.0</v>
      </c>
      <c r="I7957" s="12">
        <v>10.0</v>
      </c>
      <c r="J7957" s="6" t="s">
        <v>178</v>
      </c>
    </row>
    <row r="7958" ht="22.5" customHeight="1">
      <c r="A7958" s="6" t="s">
        <v>24766</v>
      </c>
      <c r="B7958" s="6" t="s">
        <v>17662</v>
      </c>
      <c r="C7958" s="10">
        <v>46050.0</v>
      </c>
      <c r="D7958" s="6" t="s">
        <v>391</v>
      </c>
      <c r="E7958" s="6" t="s">
        <v>1969</v>
      </c>
      <c r="F7958" s="6" t="s">
        <v>439</v>
      </c>
      <c r="G7958" s="6" t="s">
        <v>458</v>
      </c>
      <c r="H7958" s="10">
        <v>46055.0</v>
      </c>
      <c r="I7958" s="12">
        <v>10.0</v>
      </c>
      <c r="J7958" s="6" t="s">
        <v>161</v>
      </c>
    </row>
    <row r="7959" ht="22.5" customHeight="1">
      <c r="A7959" s="6" t="s">
        <v>24767</v>
      </c>
      <c r="B7959" s="6" t="s">
        <v>17662</v>
      </c>
      <c r="C7959" s="10">
        <v>46045.0</v>
      </c>
      <c r="D7959" s="6" t="s">
        <v>677</v>
      </c>
      <c r="E7959" s="6" t="s">
        <v>670</v>
      </c>
      <c r="F7959" s="6" t="s">
        <v>439</v>
      </c>
      <c r="G7959" s="6" t="s">
        <v>452</v>
      </c>
      <c r="H7959" s="10">
        <v>46052.0</v>
      </c>
      <c r="I7959" s="12">
        <v>2.0</v>
      </c>
      <c r="J7959" s="6" t="s">
        <v>161</v>
      </c>
    </row>
    <row r="7960" ht="22.5" customHeight="1">
      <c r="A7960" s="6" t="s">
        <v>24768</v>
      </c>
      <c r="B7960" s="6" t="s">
        <v>17662</v>
      </c>
      <c r="C7960" s="10">
        <v>46034.0</v>
      </c>
      <c r="D7960" s="6" t="s">
        <v>312</v>
      </c>
      <c r="E7960" s="6" t="s">
        <v>731</v>
      </c>
      <c r="F7960" s="6" t="s">
        <v>283</v>
      </c>
      <c r="G7960" s="6" t="s">
        <v>369</v>
      </c>
      <c r="H7960" s="10">
        <v>46037.0</v>
      </c>
      <c r="I7960" s="12">
        <v>7.0</v>
      </c>
      <c r="J7960" s="6" t="s">
        <v>161</v>
      </c>
    </row>
    <row r="7961" ht="22.5" customHeight="1">
      <c r="A7961" s="6" t="s">
        <v>24769</v>
      </c>
      <c r="B7961" s="6" t="s">
        <v>17668</v>
      </c>
      <c r="C7961" s="10">
        <v>46055.0</v>
      </c>
      <c r="D7961" s="6" t="s">
        <v>289</v>
      </c>
      <c r="E7961" s="6" t="s">
        <v>438</v>
      </c>
      <c r="F7961" s="6" t="s">
        <v>112</v>
      </c>
      <c r="G7961" s="6" t="s">
        <v>297</v>
      </c>
      <c r="H7961" s="10">
        <v>46061.0</v>
      </c>
      <c r="I7961" s="12">
        <v>7.0</v>
      </c>
      <c r="J7961" s="6" t="s">
        <v>161</v>
      </c>
    </row>
    <row r="7962" ht="22.5" customHeight="1">
      <c r="A7962" s="6" t="s">
        <v>24770</v>
      </c>
      <c r="B7962" s="6" t="s">
        <v>17668</v>
      </c>
      <c r="C7962" s="10">
        <v>46057.0</v>
      </c>
      <c r="D7962" s="6" t="s">
        <v>677</v>
      </c>
      <c r="E7962" s="6" t="s">
        <v>716</v>
      </c>
      <c r="F7962" s="6" t="s">
        <v>283</v>
      </c>
      <c r="G7962" s="6" t="s">
        <v>297</v>
      </c>
      <c r="H7962" s="11" t="s">
        <v>259</v>
      </c>
      <c r="I7962" s="12">
        <v>4.0</v>
      </c>
      <c r="J7962" s="6" t="s">
        <v>161</v>
      </c>
    </row>
    <row r="7963" ht="22.5" customHeight="1">
      <c r="A7963" s="6" t="s">
        <v>24771</v>
      </c>
      <c r="B7963" s="6" t="s">
        <v>17668</v>
      </c>
      <c r="C7963" s="10">
        <v>46063.0</v>
      </c>
      <c r="D7963" s="6" t="s">
        <v>242</v>
      </c>
      <c r="E7963" s="6" t="s">
        <v>1386</v>
      </c>
      <c r="F7963" s="6" t="s">
        <v>112</v>
      </c>
      <c r="G7963" s="6" t="s">
        <v>369</v>
      </c>
      <c r="H7963" s="11" t="s">
        <v>259</v>
      </c>
      <c r="I7963" s="12">
        <v>6.0</v>
      </c>
      <c r="J7963" s="6" t="s">
        <v>178</v>
      </c>
    </row>
    <row r="7964" ht="22.5" customHeight="1">
      <c r="A7964" s="6" t="s">
        <v>24772</v>
      </c>
      <c r="B7964" s="6" t="s">
        <v>17668</v>
      </c>
      <c r="C7964" s="10">
        <v>46045.0</v>
      </c>
      <c r="D7964" s="6" t="s">
        <v>312</v>
      </c>
      <c r="E7964" s="6" t="s">
        <v>1241</v>
      </c>
      <c r="F7964" s="6" t="s">
        <v>439</v>
      </c>
      <c r="G7964" s="6" t="s">
        <v>369</v>
      </c>
      <c r="H7964" s="10">
        <v>46052.0</v>
      </c>
      <c r="I7964" s="12">
        <v>7.0</v>
      </c>
      <c r="J7964" s="6" t="s">
        <v>161</v>
      </c>
    </row>
    <row r="7965" ht="22.5" customHeight="1">
      <c r="A7965" s="6" t="s">
        <v>24773</v>
      </c>
      <c r="B7965" s="6" t="s">
        <v>17675</v>
      </c>
      <c r="C7965" s="10">
        <v>46075.0</v>
      </c>
      <c r="D7965" s="6" t="s">
        <v>677</v>
      </c>
      <c r="E7965" s="6" t="s">
        <v>610</v>
      </c>
      <c r="F7965" s="6" t="s">
        <v>112</v>
      </c>
      <c r="G7965" s="6" t="s">
        <v>494</v>
      </c>
      <c r="H7965" s="10">
        <v>46082.0</v>
      </c>
      <c r="I7965" s="12">
        <v>4.0</v>
      </c>
      <c r="J7965" s="6" t="s">
        <v>161</v>
      </c>
    </row>
    <row r="7966" ht="22.5" customHeight="1">
      <c r="A7966" s="6" t="s">
        <v>24774</v>
      </c>
      <c r="B7966" s="6" t="s">
        <v>17675</v>
      </c>
      <c r="C7966" s="10">
        <v>46073.0</v>
      </c>
      <c r="D7966" s="6" t="s">
        <v>289</v>
      </c>
      <c r="E7966" s="6" t="s">
        <v>1517</v>
      </c>
      <c r="F7966" s="6" t="s">
        <v>283</v>
      </c>
      <c r="G7966" s="6" t="s">
        <v>326</v>
      </c>
      <c r="H7966" s="10">
        <v>46079.0</v>
      </c>
      <c r="I7966" s="12">
        <v>5.0</v>
      </c>
      <c r="J7966" s="6" t="s">
        <v>161</v>
      </c>
    </row>
    <row r="7967" ht="22.5" customHeight="1">
      <c r="A7967" s="6" t="s">
        <v>24775</v>
      </c>
      <c r="B7967" s="6" t="s">
        <v>17675</v>
      </c>
      <c r="C7967" s="10">
        <v>46069.0</v>
      </c>
      <c r="D7967" s="6" t="s">
        <v>312</v>
      </c>
      <c r="E7967" s="6" t="s">
        <v>798</v>
      </c>
      <c r="F7967" s="6" t="s">
        <v>112</v>
      </c>
      <c r="G7967" s="6" t="s">
        <v>494</v>
      </c>
      <c r="H7967" s="10">
        <v>46070.0</v>
      </c>
      <c r="I7967" s="12">
        <v>5.0</v>
      </c>
      <c r="J7967" s="6" t="s">
        <v>161</v>
      </c>
    </row>
    <row r="7968" ht="22.5" customHeight="1">
      <c r="A7968" s="6" t="s">
        <v>24776</v>
      </c>
      <c r="B7968" s="6" t="s">
        <v>17675</v>
      </c>
      <c r="C7968" s="10">
        <v>46062.0</v>
      </c>
      <c r="D7968" s="6" t="s">
        <v>416</v>
      </c>
      <c r="E7968" s="6" t="s">
        <v>1070</v>
      </c>
      <c r="F7968" s="6" t="s">
        <v>283</v>
      </c>
      <c r="G7968" s="6" t="s">
        <v>477</v>
      </c>
      <c r="H7968" s="10">
        <v>46062.0</v>
      </c>
      <c r="I7968" s="12">
        <v>14.0</v>
      </c>
      <c r="J7968" s="6" t="s">
        <v>161</v>
      </c>
    </row>
    <row r="7969" ht="22.5" customHeight="1">
      <c r="A7969" s="6" t="s">
        <v>24777</v>
      </c>
      <c r="B7969" s="6" t="s">
        <v>17682</v>
      </c>
      <c r="C7969" s="10">
        <v>46039.0</v>
      </c>
      <c r="D7969" s="6" t="s">
        <v>436</v>
      </c>
      <c r="E7969" s="6" t="s">
        <v>417</v>
      </c>
      <c r="F7969" s="6" t="s">
        <v>439</v>
      </c>
      <c r="G7969" s="6" t="s">
        <v>326</v>
      </c>
      <c r="H7969" s="10">
        <v>46039.0</v>
      </c>
      <c r="I7969" s="12">
        <v>6.0</v>
      </c>
      <c r="J7969" s="6" t="s">
        <v>161</v>
      </c>
    </row>
    <row r="7970" ht="22.5" customHeight="1">
      <c r="A7970" s="6" t="s">
        <v>24778</v>
      </c>
      <c r="B7970" s="6" t="s">
        <v>17682</v>
      </c>
      <c r="C7970" s="10">
        <v>46028.0</v>
      </c>
      <c r="D7970" s="6" t="s">
        <v>416</v>
      </c>
      <c r="E7970" s="6" t="s">
        <v>731</v>
      </c>
      <c r="F7970" s="6" t="s">
        <v>283</v>
      </c>
      <c r="G7970" s="6" t="s">
        <v>477</v>
      </c>
      <c r="H7970" s="10">
        <v>46033.0</v>
      </c>
      <c r="I7970" s="12">
        <v>10.0</v>
      </c>
      <c r="J7970" s="6" t="s">
        <v>161</v>
      </c>
    </row>
    <row r="7971" ht="22.5" customHeight="1">
      <c r="A7971" s="6" t="s">
        <v>24779</v>
      </c>
      <c r="B7971" s="6" t="s">
        <v>17682</v>
      </c>
      <c r="C7971" s="10">
        <v>46028.0</v>
      </c>
      <c r="D7971" s="6" t="s">
        <v>391</v>
      </c>
      <c r="E7971" s="6" t="s">
        <v>896</v>
      </c>
      <c r="F7971" s="6" t="s">
        <v>439</v>
      </c>
      <c r="G7971" s="6" t="s">
        <v>494</v>
      </c>
      <c r="H7971" s="10">
        <v>46032.0</v>
      </c>
      <c r="I7971" s="12">
        <v>6.0</v>
      </c>
      <c r="J7971" s="6" t="s">
        <v>161</v>
      </c>
    </row>
    <row r="7972" ht="22.5" customHeight="1">
      <c r="A7972" s="6" t="s">
        <v>24780</v>
      </c>
      <c r="B7972" s="6" t="s">
        <v>17689</v>
      </c>
      <c r="C7972" s="10">
        <v>46070.0</v>
      </c>
      <c r="D7972" s="6" t="s">
        <v>391</v>
      </c>
      <c r="E7972" s="6" t="s">
        <v>566</v>
      </c>
      <c r="F7972" s="6" t="s">
        <v>283</v>
      </c>
      <c r="G7972" s="6" t="s">
        <v>297</v>
      </c>
      <c r="H7972" s="10">
        <v>46077.0</v>
      </c>
      <c r="I7972" s="12">
        <v>6.0</v>
      </c>
      <c r="J7972" s="6" t="s">
        <v>161</v>
      </c>
    </row>
    <row r="7973" ht="22.5" customHeight="1">
      <c r="A7973" s="6" t="s">
        <v>24781</v>
      </c>
      <c r="B7973" s="6" t="s">
        <v>17689</v>
      </c>
      <c r="C7973" s="10">
        <v>46065.0</v>
      </c>
      <c r="D7973" s="6" t="s">
        <v>416</v>
      </c>
      <c r="E7973" s="6" t="s">
        <v>1149</v>
      </c>
      <c r="F7973" s="6" t="s">
        <v>439</v>
      </c>
      <c r="G7973" s="6" t="s">
        <v>494</v>
      </c>
      <c r="H7973" s="10">
        <v>46066.0</v>
      </c>
      <c r="I7973" s="12">
        <v>10.0</v>
      </c>
      <c r="J7973" s="6" t="s">
        <v>161</v>
      </c>
    </row>
    <row r="7974" ht="22.5" customHeight="1">
      <c r="A7974" s="6" t="s">
        <v>24782</v>
      </c>
      <c r="B7974" s="6" t="s">
        <v>17689</v>
      </c>
      <c r="C7974" s="10">
        <v>46074.0</v>
      </c>
      <c r="D7974" s="6" t="s">
        <v>436</v>
      </c>
      <c r="E7974" s="6" t="s">
        <v>704</v>
      </c>
      <c r="F7974" s="6" t="s">
        <v>439</v>
      </c>
      <c r="G7974" s="6" t="s">
        <v>477</v>
      </c>
      <c r="H7974" s="10">
        <v>46076.0</v>
      </c>
      <c r="I7974" s="12">
        <v>9.0</v>
      </c>
      <c r="J7974" s="6" t="s">
        <v>178</v>
      </c>
    </row>
    <row r="7975" ht="22.5" customHeight="1">
      <c r="A7975" s="6" t="s">
        <v>24783</v>
      </c>
      <c r="B7975" s="6" t="s">
        <v>17689</v>
      </c>
      <c r="C7975" s="10">
        <v>46082.0</v>
      </c>
      <c r="D7975" s="6" t="s">
        <v>391</v>
      </c>
      <c r="E7975" s="6" t="s">
        <v>512</v>
      </c>
      <c r="F7975" s="6" t="s">
        <v>283</v>
      </c>
      <c r="G7975" s="6" t="s">
        <v>477</v>
      </c>
      <c r="H7975" s="10">
        <v>46088.0</v>
      </c>
      <c r="I7975" s="12">
        <v>10.0</v>
      </c>
      <c r="J7975" s="6" t="s">
        <v>161</v>
      </c>
    </row>
    <row r="7976" ht="22.5" customHeight="1">
      <c r="A7976" s="6" t="s">
        <v>24784</v>
      </c>
      <c r="B7976" s="6" t="s">
        <v>17689</v>
      </c>
      <c r="C7976" s="10">
        <v>46072.0</v>
      </c>
      <c r="D7976" s="6" t="s">
        <v>416</v>
      </c>
      <c r="E7976" s="6" t="s">
        <v>1600</v>
      </c>
      <c r="F7976" s="6" t="s">
        <v>283</v>
      </c>
      <c r="G7976" s="6" t="s">
        <v>297</v>
      </c>
      <c r="H7976" s="11" t="s">
        <v>259</v>
      </c>
      <c r="I7976" s="12">
        <v>11.0</v>
      </c>
      <c r="J7976" s="6" t="s">
        <v>161</v>
      </c>
    </row>
    <row r="7977" ht="22.5" customHeight="1">
      <c r="A7977" s="6" t="s">
        <v>24785</v>
      </c>
      <c r="B7977" s="6" t="s">
        <v>17695</v>
      </c>
      <c r="C7977" s="10">
        <v>46062.0</v>
      </c>
      <c r="D7977" s="6" t="s">
        <v>436</v>
      </c>
      <c r="E7977" s="6" t="s">
        <v>1517</v>
      </c>
      <c r="F7977" s="6" t="s">
        <v>249</v>
      </c>
      <c r="G7977" s="6" t="s">
        <v>326</v>
      </c>
      <c r="H7977" s="11" t="s">
        <v>259</v>
      </c>
      <c r="I7977" s="12">
        <v>6.0</v>
      </c>
      <c r="J7977" s="6" t="s">
        <v>178</v>
      </c>
    </row>
    <row r="7978" ht="22.5" customHeight="1">
      <c r="A7978" s="6" t="s">
        <v>24786</v>
      </c>
      <c r="B7978" s="6" t="s">
        <v>17695</v>
      </c>
      <c r="C7978" s="10">
        <v>46055.0</v>
      </c>
      <c r="D7978" s="6" t="s">
        <v>677</v>
      </c>
      <c r="E7978" s="6" t="s">
        <v>687</v>
      </c>
      <c r="F7978" s="6" t="s">
        <v>112</v>
      </c>
      <c r="G7978" s="6" t="s">
        <v>254</v>
      </c>
      <c r="H7978" s="10">
        <v>46056.0</v>
      </c>
      <c r="I7978" s="12">
        <v>4.0</v>
      </c>
      <c r="J7978" s="6" t="s">
        <v>161</v>
      </c>
    </row>
    <row r="7979" ht="22.5" customHeight="1">
      <c r="A7979" s="6" t="s">
        <v>24787</v>
      </c>
      <c r="B7979" s="6" t="s">
        <v>17695</v>
      </c>
      <c r="C7979" s="10">
        <v>46061.0</v>
      </c>
      <c r="D7979" s="6" t="s">
        <v>416</v>
      </c>
      <c r="E7979" s="6" t="s">
        <v>450</v>
      </c>
      <c r="F7979" s="6" t="s">
        <v>283</v>
      </c>
      <c r="G7979" s="6" t="s">
        <v>458</v>
      </c>
      <c r="H7979" s="10">
        <v>46068.0</v>
      </c>
      <c r="I7979" s="12">
        <v>11.0</v>
      </c>
      <c r="J7979" s="6" t="s">
        <v>161</v>
      </c>
    </row>
    <row r="7980" ht="22.5" customHeight="1">
      <c r="A7980" s="6" t="s">
        <v>24788</v>
      </c>
      <c r="B7980" s="6" t="s">
        <v>17695</v>
      </c>
      <c r="C7980" s="10">
        <v>46056.0</v>
      </c>
      <c r="D7980" s="6" t="s">
        <v>391</v>
      </c>
      <c r="E7980" s="6" t="s">
        <v>1296</v>
      </c>
      <c r="F7980" s="6" t="s">
        <v>439</v>
      </c>
      <c r="G7980" s="6" t="s">
        <v>452</v>
      </c>
      <c r="H7980" s="10">
        <v>46060.0</v>
      </c>
      <c r="I7980" s="12">
        <v>7.0</v>
      </c>
      <c r="J7980" s="6" t="s">
        <v>161</v>
      </c>
    </row>
    <row r="7981" ht="22.5" customHeight="1">
      <c r="A7981" s="6" t="s">
        <v>24789</v>
      </c>
      <c r="B7981" s="6" t="s">
        <v>17695</v>
      </c>
      <c r="C7981" s="10">
        <v>46051.0</v>
      </c>
      <c r="D7981" s="6" t="s">
        <v>416</v>
      </c>
      <c r="E7981" s="6" t="s">
        <v>1122</v>
      </c>
      <c r="F7981" s="6" t="s">
        <v>112</v>
      </c>
      <c r="G7981" s="6" t="s">
        <v>254</v>
      </c>
      <c r="H7981" s="10">
        <v>46051.0</v>
      </c>
      <c r="I7981" s="12">
        <v>12.0</v>
      </c>
      <c r="J7981" s="6" t="s">
        <v>161</v>
      </c>
    </row>
    <row r="7982" ht="22.5" customHeight="1">
      <c r="A7982" s="6" t="s">
        <v>24790</v>
      </c>
      <c r="B7982" s="6" t="s">
        <v>17701</v>
      </c>
      <c r="C7982" s="10">
        <v>46049.0</v>
      </c>
      <c r="D7982" s="6" t="s">
        <v>416</v>
      </c>
      <c r="E7982" s="6" t="s">
        <v>365</v>
      </c>
      <c r="F7982" s="6" t="s">
        <v>283</v>
      </c>
      <c r="G7982" s="6" t="s">
        <v>477</v>
      </c>
      <c r="H7982" s="10">
        <v>46055.0</v>
      </c>
      <c r="I7982" s="12">
        <v>10.0</v>
      </c>
      <c r="J7982" s="6" t="s">
        <v>161</v>
      </c>
    </row>
    <row r="7983" ht="22.5" customHeight="1">
      <c r="A7983" s="6" t="s">
        <v>24791</v>
      </c>
      <c r="B7983" s="6" t="s">
        <v>17701</v>
      </c>
      <c r="C7983" s="10">
        <v>46048.0</v>
      </c>
      <c r="D7983" s="6" t="s">
        <v>416</v>
      </c>
      <c r="E7983" s="6" t="s">
        <v>896</v>
      </c>
      <c r="F7983" s="6" t="s">
        <v>249</v>
      </c>
      <c r="G7983" s="6" t="s">
        <v>254</v>
      </c>
      <c r="H7983" s="10">
        <v>46049.0</v>
      </c>
      <c r="I7983" s="12">
        <v>8.0</v>
      </c>
      <c r="J7983" s="6" t="s">
        <v>161</v>
      </c>
    </row>
    <row r="7984" ht="22.5" customHeight="1">
      <c r="A7984" s="6" t="s">
        <v>24792</v>
      </c>
      <c r="B7984" s="6" t="s">
        <v>17707</v>
      </c>
      <c r="C7984" s="10">
        <v>46069.0</v>
      </c>
      <c r="D7984" s="6" t="s">
        <v>677</v>
      </c>
      <c r="E7984" s="6" t="s">
        <v>1122</v>
      </c>
      <c r="F7984" s="6" t="s">
        <v>112</v>
      </c>
      <c r="G7984" s="6" t="s">
        <v>452</v>
      </c>
      <c r="H7984" s="10">
        <v>46069.0</v>
      </c>
      <c r="I7984" s="12">
        <v>3.0</v>
      </c>
      <c r="J7984" s="6" t="s">
        <v>161</v>
      </c>
    </row>
    <row r="7985" ht="22.5" customHeight="1">
      <c r="A7985" s="6" t="s">
        <v>24793</v>
      </c>
      <c r="B7985" s="6" t="s">
        <v>17707</v>
      </c>
      <c r="C7985" s="10">
        <v>46071.0</v>
      </c>
      <c r="D7985" s="6" t="s">
        <v>312</v>
      </c>
      <c r="E7985" s="6" t="s">
        <v>320</v>
      </c>
      <c r="F7985" s="6" t="s">
        <v>283</v>
      </c>
      <c r="G7985" s="6" t="s">
        <v>326</v>
      </c>
      <c r="H7985" s="10">
        <v>46074.0</v>
      </c>
      <c r="I7985" s="12">
        <v>7.0</v>
      </c>
      <c r="J7985" s="6" t="s">
        <v>161</v>
      </c>
    </row>
    <row r="7986" ht="22.5" customHeight="1">
      <c r="A7986" s="6" t="s">
        <v>24794</v>
      </c>
      <c r="B7986" s="6" t="s">
        <v>17707</v>
      </c>
      <c r="C7986" s="10">
        <v>46055.0</v>
      </c>
      <c r="D7986" s="6" t="s">
        <v>242</v>
      </c>
      <c r="E7986" s="6" t="s">
        <v>885</v>
      </c>
      <c r="F7986" s="6" t="s">
        <v>249</v>
      </c>
      <c r="G7986" s="6" t="s">
        <v>326</v>
      </c>
      <c r="H7986" s="10">
        <v>46058.0</v>
      </c>
      <c r="I7986" s="12">
        <v>5.0</v>
      </c>
      <c r="J7986" s="6" t="s">
        <v>178</v>
      </c>
    </row>
    <row r="7987" ht="22.5" customHeight="1">
      <c r="A7987" s="6" t="s">
        <v>24795</v>
      </c>
      <c r="B7987" s="6" t="s">
        <v>17707</v>
      </c>
      <c r="C7987" s="10">
        <v>46064.0</v>
      </c>
      <c r="D7987" s="6" t="s">
        <v>677</v>
      </c>
      <c r="E7987" s="6" t="s">
        <v>1296</v>
      </c>
      <c r="F7987" s="6" t="s">
        <v>439</v>
      </c>
      <c r="G7987" s="6" t="s">
        <v>494</v>
      </c>
      <c r="H7987" s="10">
        <v>46067.0</v>
      </c>
      <c r="I7987" s="12">
        <v>2.0</v>
      </c>
      <c r="J7987" s="6" t="s">
        <v>161</v>
      </c>
    </row>
    <row r="7988" ht="22.5" customHeight="1">
      <c r="A7988" s="6" t="s">
        <v>24796</v>
      </c>
      <c r="B7988" s="6" t="s">
        <v>17707</v>
      </c>
      <c r="C7988" s="10">
        <v>46055.0</v>
      </c>
      <c r="D7988" s="6" t="s">
        <v>289</v>
      </c>
      <c r="E7988" s="6" t="s">
        <v>687</v>
      </c>
      <c r="F7988" s="6" t="s">
        <v>112</v>
      </c>
      <c r="G7988" s="6" t="s">
        <v>452</v>
      </c>
      <c r="H7988" s="10">
        <v>46060.0</v>
      </c>
      <c r="I7988" s="12">
        <v>5.0</v>
      </c>
      <c r="J7988" s="6" t="s">
        <v>161</v>
      </c>
    </row>
    <row r="7989" ht="22.5" customHeight="1">
      <c r="A7989" s="6" t="s">
        <v>24797</v>
      </c>
      <c r="B7989" s="6" t="s">
        <v>17714</v>
      </c>
      <c r="C7989" s="10">
        <v>46066.0</v>
      </c>
      <c r="D7989" s="6" t="s">
        <v>289</v>
      </c>
      <c r="E7989" s="6" t="s">
        <v>1741</v>
      </c>
      <c r="F7989" s="6" t="s">
        <v>439</v>
      </c>
      <c r="G7989" s="6" t="s">
        <v>297</v>
      </c>
      <c r="H7989" s="10">
        <v>46072.0</v>
      </c>
      <c r="I7989" s="12">
        <v>9.0</v>
      </c>
      <c r="J7989" s="6" t="s">
        <v>161</v>
      </c>
    </row>
    <row r="7990" ht="22.5" customHeight="1">
      <c r="A7990" s="6" t="s">
        <v>24798</v>
      </c>
      <c r="B7990" s="6" t="s">
        <v>17714</v>
      </c>
      <c r="C7990" s="10">
        <v>46077.0</v>
      </c>
      <c r="D7990" s="6" t="s">
        <v>416</v>
      </c>
      <c r="E7990" s="6" t="s">
        <v>1122</v>
      </c>
      <c r="F7990" s="6" t="s">
        <v>439</v>
      </c>
      <c r="G7990" s="6" t="s">
        <v>326</v>
      </c>
      <c r="H7990" s="10">
        <v>46081.0</v>
      </c>
      <c r="I7990" s="12">
        <v>10.0</v>
      </c>
      <c r="J7990" s="6" t="s">
        <v>161</v>
      </c>
    </row>
    <row r="7991" ht="22.5" customHeight="1">
      <c r="A7991" s="6" t="s">
        <v>24799</v>
      </c>
      <c r="B7991" s="6" t="s">
        <v>17714</v>
      </c>
      <c r="C7991" s="10">
        <v>46072.0</v>
      </c>
      <c r="D7991" s="6" t="s">
        <v>416</v>
      </c>
      <c r="E7991" s="6" t="s">
        <v>1700</v>
      </c>
      <c r="F7991" s="6" t="s">
        <v>439</v>
      </c>
      <c r="G7991" s="6" t="s">
        <v>326</v>
      </c>
      <c r="H7991" s="10">
        <v>46076.0</v>
      </c>
      <c r="I7991" s="12">
        <v>9.0</v>
      </c>
      <c r="J7991" s="6" t="s">
        <v>161</v>
      </c>
    </row>
    <row r="7992" ht="22.5" customHeight="1">
      <c r="A7992" s="6" t="s">
        <v>24800</v>
      </c>
      <c r="B7992" s="6" t="s">
        <v>17714</v>
      </c>
      <c r="C7992" s="10">
        <v>46064.0</v>
      </c>
      <c r="D7992" s="6" t="s">
        <v>289</v>
      </c>
      <c r="E7992" s="6" t="s">
        <v>1035</v>
      </c>
      <c r="F7992" s="6" t="s">
        <v>439</v>
      </c>
      <c r="G7992" s="6" t="s">
        <v>494</v>
      </c>
      <c r="H7992" s="10">
        <v>46067.0</v>
      </c>
      <c r="I7992" s="12">
        <v>9.0</v>
      </c>
      <c r="J7992" s="6" t="s">
        <v>161</v>
      </c>
    </row>
    <row r="7993" ht="22.5" customHeight="1">
      <c r="A7993" s="6" t="s">
        <v>24801</v>
      </c>
      <c r="B7993" s="6" t="s">
        <v>17720</v>
      </c>
      <c r="C7993" s="10">
        <v>46042.0</v>
      </c>
      <c r="D7993" s="6" t="s">
        <v>416</v>
      </c>
      <c r="E7993" s="6" t="s">
        <v>716</v>
      </c>
      <c r="F7993" s="6" t="s">
        <v>439</v>
      </c>
      <c r="G7993" s="6" t="s">
        <v>452</v>
      </c>
      <c r="H7993" s="10">
        <v>46049.0</v>
      </c>
      <c r="I7993" s="12">
        <v>8.0</v>
      </c>
      <c r="J7993" s="6" t="s">
        <v>161</v>
      </c>
    </row>
    <row r="7994" ht="22.5" customHeight="1">
      <c r="A7994" s="6" t="s">
        <v>24802</v>
      </c>
      <c r="B7994" s="6" t="s">
        <v>17720</v>
      </c>
      <c r="C7994" s="10">
        <v>46036.0</v>
      </c>
      <c r="D7994" s="6" t="s">
        <v>436</v>
      </c>
      <c r="E7994" s="6" t="s">
        <v>1273</v>
      </c>
      <c r="F7994" s="6" t="s">
        <v>439</v>
      </c>
      <c r="G7994" s="6" t="s">
        <v>494</v>
      </c>
      <c r="H7994" s="10">
        <v>46039.0</v>
      </c>
      <c r="I7994" s="12">
        <v>10.0</v>
      </c>
      <c r="J7994" s="6" t="s">
        <v>178</v>
      </c>
    </row>
    <row r="7995" ht="22.5" customHeight="1">
      <c r="A7995" s="6" t="s">
        <v>24803</v>
      </c>
      <c r="B7995" s="6" t="s">
        <v>17720</v>
      </c>
      <c r="C7995" s="10">
        <v>46055.0</v>
      </c>
      <c r="D7995" s="6" t="s">
        <v>289</v>
      </c>
      <c r="E7995" s="6" t="s">
        <v>417</v>
      </c>
      <c r="F7995" s="6" t="s">
        <v>439</v>
      </c>
      <c r="G7995" s="6" t="s">
        <v>297</v>
      </c>
      <c r="H7995" s="11" t="s">
        <v>259</v>
      </c>
      <c r="I7995" s="12">
        <v>5.0</v>
      </c>
      <c r="J7995" s="6" t="s">
        <v>161</v>
      </c>
    </row>
    <row r="7996" ht="22.5" customHeight="1">
      <c r="A7996" s="6" t="s">
        <v>24804</v>
      </c>
      <c r="B7996" s="6" t="s">
        <v>17720</v>
      </c>
      <c r="C7996" s="10">
        <v>46045.0</v>
      </c>
      <c r="D7996" s="6" t="s">
        <v>436</v>
      </c>
      <c r="E7996" s="6" t="s">
        <v>704</v>
      </c>
      <c r="F7996" s="6" t="s">
        <v>112</v>
      </c>
      <c r="G7996" s="6" t="s">
        <v>494</v>
      </c>
      <c r="H7996" s="10">
        <v>46048.0</v>
      </c>
      <c r="I7996" s="12">
        <v>10.0</v>
      </c>
      <c r="J7996" s="6" t="s">
        <v>178</v>
      </c>
    </row>
    <row r="7997" ht="22.5" customHeight="1">
      <c r="A7997" s="6" t="s">
        <v>24805</v>
      </c>
      <c r="B7997" s="6" t="s">
        <v>17727</v>
      </c>
      <c r="C7997" s="10">
        <v>46042.0</v>
      </c>
      <c r="D7997" s="6" t="s">
        <v>391</v>
      </c>
      <c r="E7997" s="6" t="s">
        <v>438</v>
      </c>
      <c r="F7997" s="6" t="s">
        <v>112</v>
      </c>
      <c r="G7997" s="6" t="s">
        <v>458</v>
      </c>
      <c r="H7997" s="10">
        <v>46046.0</v>
      </c>
      <c r="I7997" s="12">
        <v>8.0</v>
      </c>
      <c r="J7997" s="6" t="s">
        <v>161</v>
      </c>
    </row>
    <row r="7998" ht="22.5" customHeight="1">
      <c r="A7998" s="6" t="s">
        <v>24806</v>
      </c>
      <c r="B7998" s="6" t="s">
        <v>17727</v>
      </c>
      <c r="C7998" s="10">
        <v>46038.0</v>
      </c>
      <c r="D7998" s="6" t="s">
        <v>677</v>
      </c>
      <c r="E7998" s="6" t="s">
        <v>246</v>
      </c>
      <c r="F7998" s="6" t="s">
        <v>439</v>
      </c>
      <c r="G7998" s="6" t="s">
        <v>477</v>
      </c>
      <c r="H7998" s="10">
        <v>46045.0</v>
      </c>
      <c r="I7998" s="12">
        <v>3.0</v>
      </c>
      <c r="J7998" s="6" t="s">
        <v>161</v>
      </c>
    </row>
    <row r="7999" ht="22.5" customHeight="1">
      <c r="A7999" s="6" t="s">
        <v>24807</v>
      </c>
      <c r="B7999" s="6" t="s">
        <v>17727</v>
      </c>
      <c r="C7999" s="10">
        <v>46052.0</v>
      </c>
      <c r="D7999" s="6" t="s">
        <v>289</v>
      </c>
      <c r="E7999" s="6" t="s">
        <v>1102</v>
      </c>
      <c r="F7999" s="6" t="s">
        <v>439</v>
      </c>
      <c r="G7999" s="6" t="s">
        <v>452</v>
      </c>
      <c r="H7999" s="10">
        <v>46052.0</v>
      </c>
      <c r="I7999" s="12">
        <v>5.0</v>
      </c>
      <c r="J7999" s="6" t="s">
        <v>161</v>
      </c>
    </row>
    <row r="8000" ht="22.5" customHeight="1">
      <c r="A8000" s="6" t="s">
        <v>24808</v>
      </c>
      <c r="B8000" s="6" t="s">
        <v>17727</v>
      </c>
      <c r="C8000" s="10">
        <v>46035.0</v>
      </c>
      <c r="D8000" s="6" t="s">
        <v>416</v>
      </c>
      <c r="E8000" s="6" t="s">
        <v>475</v>
      </c>
      <c r="F8000" s="6" t="s">
        <v>439</v>
      </c>
      <c r="G8000" s="6" t="s">
        <v>254</v>
      </c>
      <c r="H8000" s="10">
        <v>46038.0</v>
      </c>
      <c r="I8000" s="12">
        <v>12.0</v>
      </c>
      <c r="J8000" s="6" t="s">
        <v>161</v>
      </c>
    </row>
    <row r="8001" ht="22.5" customHeight="1">
      <c r="A8001" s="6" t="s">
        <v>24809</v>
      </c>
      <c r="B8001" s="6" t="s">
        <v>17727</v>
      </c>
      <c r="C8001" s="10">
        <v>46045.0</v>
      </c>
      <c r="D8001" s="6" t="s">
        <v>416</v>
      </c>
      <c r="E8001" s="6" t="s">
        <v>1600</v>
      </c>
      <c r="F8001" s="6" t="s">
        <v>112</v>
      </c>
      <c r="G8001" s="6" t="s">
        <v>297</v>
      </c>
      <c r="H8001" s="10">
        <v>46046.0</v>
      </c>
      <c r="I8001" s="12">
        <v>13.0</v>
      </c>
      <c r="J8001" s="6" t="s">
        <v>161</v>
      </c>
    </row>
    <row r="8002" ht="22.5" customHeight="1">
      <c r="A8002" s="6" t="s">
        <v>24810</v>
      </c>
      <c r="B8002" s="6" t="s">
        <v>17733</v>
      </c>
      <c r="C8002" s="10">
        <v>46072.0</v>
      </c>
      <c r="D8002" s="6" t="s">
        <v>677</v>
      </c>
      <c r="E8002" s="6" t="s">
        <v>1310</v>
      </c>
      <c r="F8002" s="6" t="s">
        <v>249</v>
      </c>
      <c r="G8002" s="6" t="s">
        <v>326</v>
      </c>
      <c r="H8002" s="10">
        <v>46075.0</v>
      </c>
      <c r="I8002" s="12">
        <v>2.0</v>
      </c>
      <c r="J8002" s="6" t="s">
        <v>161</v>
      </c>
    </row>
    <row r="8003" ht="22.5" customHeight="1">
      <c r="A8003" s="6" t="s">
        <v>24811</v>
      </c>
      <c r="B8003" s="6" t="s">
        <v>17733</v>
      </c>
      <c r="C8003" s="10">
        <v>46064.0</v>
      </c>
      <c r="D8003" s="6" t="s">
        <v>391</v>
      </c>
      <c r="E8003" s="6" t="s">
        <v>438</v>
      </c>
      <c r="F8003" s="6" t="s">
        <v>283</v>
      </c>
      <c r="G8003" s="6" t="s">
        <v>326</v>
      </c>
      <c r="H8003" s="10">
        <v>46064.0</v>
      </c>
      <c r="I8003" s="12">
        <v>7.0</v>
      </c>
      <c r="J8003" s="6" t="s">
        <v>161</v>
      </c>
    </row>
    <row r="8004" ht="22.5" customHeight="1">
      <c r="A8004" s="6" t="s">
        <v>24812</v>
      </c>
      <c r="B8004" s="6" t="s">
        <v>17733</v>
      </c>
      <c r="C8004" s="10">
        <v>46078.0</v>
      </c>
      <c r="D8004" s="6" t="s">
        <v>312</v>
      </c>
      <c r="E8004" s="6" t="s">
        <v>394</v>
      </c>
      <c r="F8004" s="6" t="s">
        <v>283</v>
      </c>
      <c r="G8004" s="6" t="s">
        <v>494</v>
      </c>
      <c r="H8004" s="10">
        <v>46079.0</v>
      </c>
      <c r="I8004" s="12">
        <v>5.0</v>
      </c>
      <c r="J8004" s="6" t="s">
        <v>161</v>
      </c>
    </row>
    <row r="8005" ht="22.5" customHeight="1">
      <c r="A8005" s="6" t="s">
        <v>24813</v>
      </c>
      <c r="B8005" s="6" t="s">
        <v>17740</v>
      </c>
      <c r="C8005" s="10">
        <v>46033.0</v>
      </c>
      <c r="D8005" s="6" t="s">
        <v>312</v>
      </c>
      <c r="E8005" s="6" t="s">
        <v>466</v>
      </c>
      <c r="F8005" s="6" t="s">
        <v>283</v>
      </c>
      <c r="G8005" s="6" t="s">
        <v>254</v>
      </c>
      <c r="H8005" s="10">
        <v>46034.0</v>
      </c>
      <c r="I8005" s="12">
        <v>6.0</v>
      </c>
      <c r="J8005" s="6" t="s">
        <v>161</v>
      </c>
    </row>
    <row r="8006" ht="22.5" customHeight="1">
      <c r="A8006" s="6" t="s">
        <v>24814</v>
      </c>
      <c r="B8006" s="6" t="s">
        <v>17746</v>
      </c>
      <c r="C8006" s="10">
        <v>46060.0</v>
      </c>
      <c r="D8006" s="6" t="s">
        <v>391</v>
      </c>
      <c r="E8006" s="6" t="s">
        <v>885</v>
      </c>
      <c r="F8006" s="6" t="s">
        <v>439</v>
      </c>
      <c r="G8006" s="6" t="s">
        <v>452</v>
      </c>
      <c r="H8006" s="10">
        <v>46065.0</v>
      </c>
      <c r="I8006" s="12">
        <v>6.0</v>
      </c>
      <c r="J8006" s="6" t="s">
        <v>161</v>
      </c>
    </row>
    <row r="8007" ht="22.5" customHeight="1">
      <c r="A8007" s="6" t="s">
        <v>24815</v>
      </c>
      <c r="B8007" s="6" t="s">
        <v>17746</v>
      </c>
      <c r="C8007" s="10">
        <v>46053.0</v>
      </c>
      <c r="D8007" s="6" t="s">
        <v>242</v>
      </c>
      <c r="E8007" s="6" t="s">
        <v>1700</v>
      </c>
      <c r="F8007" s="6" t="s">
        <v>283</v>
      </c>
      <c r="G8007" s="6" t="s">
        <v>326</v>
      </c>
      <c r="H8007" s="10">
        <v>46053.0</v>
      </c>
      <c r="I8007" s="12">
        <v>6.0</v>
      </c>
      <c r="J8007" s="6" t="s">
        <v>178</v>
      </c>
    </row>
    <row r="8008" ht="22.5" customHeight="1">
      <c r="A8008" s="6" t="s">
        <v>24816</v>
      </c>
      <c r="B8008" s="6" t="s">
        <v>17746</v>
      </c>
      <c r="C8008" s="10">
        <v>46046.0</v>
      </c>
      <c r="D8008" s="6" t="s">
        <v>312</v>
      </c>
      <c r="E8008" s="6" t="s">
        <v>716</v>
      </c>
      <c r="F8008" s="6" t="s">
        <v>439</v>
      </c>
      <c r="G8008" s="6" t="s">
        <v>494</v>
      </c>
      <c r="H8008" s="10">
        <v>46046.0</v>
      </c>
      <c r="I8008" s="12">
        <v>5.0</v>
      </c>
      <c r="J8008" s="6" t="s">
        <v>161</v>
      </c>
    </row>
    <row r="8009" ht="22.5" customHeight="1">
      <c r="A8009" s="6" t="s">
        <v>24817</v>
      </c>
      <c r="B8009" s="6" t="s">
        <v>17746</v>
      </c>
      <c r="C8009" s="10">
        <v>46051.0</v>
      </c>
      <c r="D8009" s="6" t="s">
        <v>416</v>
      </c>
      <c r="E8009" s="6" t="s">
        <v>704</v>
      </c>
      <c r="F8009" s="6" t="s">
        <v>439</v>
      </c>
      <c r="G8009" s="6" t="s">
        <v>494</v>
      </c>
      <c r="H8009" s="10">
        <v>46056.0</v>
      </c>
      <c r="I8009" s="12">
        <v>11.0</v>
      </c>
      <c r="J8009" s="6" t="s">
        <v>161</v>
      </c>
    </row>
    <row r="8010" ht="22.5" customHeight="1">
      <c r="A8010" s="6" t="s">
        <v>24818</v>
      </c>
      <c r="B8010" s="6" t="s">
        <v>17746</v>
      </c>
      <c r="C8010" s="10">
        <v>46059.0</v>
      </c>
      <c r="D8010" s="6" t="s">
        <v>242</v>
      </c>
      <c r="E8010" s="6" t="s">
        <v>670</v>
      </c>
      <c r="F8010" s="6" t="s">
        <v>439</v>
      </c>
      <c r="G8010" s="6" t="s">
        <v>326</v>
      </c>
      <c r="H8010" s="10">
        <v>46060.0</v>
      </c>
      <c r="I8010" s="12">
        <v>5.0</v>
      </c>
      <c r="J8010" s="6" t="s">
        <v>178</v>
      </c>
    </row>
    <row r="8011" ht="22.5" customHeight="1">
      <c r="A8011" s="6" t="s">
        <v>24819</v>
      </c>
      <c r="B8011" s="6" t="s">
        <v>17752</v>
      </c>
      <c r="C8011" s="10">
        <v>46077.0</v>
      </c>
      <c r="D8011" s="6" t="s">
        <v>391</v>
      </c>
      <c r="E8011" s="6" t="s">
        <v>1055</v>
      </c>
      <c r="F8011" s="6" t="s">
        <v>249</v>
      </c>
      <c r="G8011" s="6" t="s">
        <v>458</v>
      </c>
      <c r="H8011" s="10">
        <v>46083.0</v>
      </c>
      <c r="I8011" s="12">
        <v>10.0</v>
      </c>
      <c r="J8011" s="6" t="s">
        <v>161</v>
      </c>
    </row>
    <row r="8012" ht="22.5" customHeight="1">
      <c r="A8012" s="6" t="s">
        <v>24820</v>
      </c>
      <c r="B8012" s="6" t="s">
        <v>17752</v>
      </c>
      <c r="C8012" s="10">
        <v>46072.0</v>
      </c>
      <c r="D8012" s="6" t="s">
        <v>391</v>
      </c>
      <c r="E8012" s="6" t="s">
        <v>1517</v>
      </c>
      <c r="F8012" s="6" t="s">
        <v>439</v>
      </c>
      <c r="G8012" s="6" t="s">
        <v>452</v>
      </c>
      <c r="H8012" s="10">
        <v>46075.0</v>
      </c>
      <c r="I8012" s="12">
        <v>7.0</v>
      </c>
      <c r="J8012" s="6" t="s">
        <v>161</v>
      </c>
    </row>
    <row r="8013" ht="22.5" customHeight="1">
      <c r="A8013" s="6" t="s">
        <v>24821</v>
      </c>
      <c r="B8013" s="6" t="s">
        <v>17759</v>
      </c>
      <c r="C8013" s="10">
        <v>46042.0</v>
      </c>
      <c r="D8013" s="6" t="s">
        <v>289</v>
      </c>
      <c r="E8013" s="6" t="s">
        <v>1241</v>
      </c>
      <c r="F8013" s="6" t="s">
        <v>283</v>
      </c>
      <c r="G8013" s="6" t="s">
        <v>326</v>
      </c>
      <c r="H8013" s="11" t="s">
        <v>259</v>
      </c>
      <c r="I8013" s="12">
        <v>10.0</v>
      </c>
      <c r="J8013" s="6" t="s">
        <v>161</v>
      </c>
    </row>
    <row r="8014" ht="22.5" customHeight="1">
      <c r="A8014" s="6" t="s">
        <v>24822</v>
      </c>
      <c r="B8014" s="6" t="s">
        <v>17759</v>
      </c>
      <c r="C8014" s="10">
        <v>46031.0</v>
      </c>
      <c r="D8014" s="6" t="s">
        <v>242</v>
      </c>
      <c r="E8014" s="6" t="s">
        <v>1102</v>
      </c>
      <c r="F8014" s="6" t="s">
        <v>439</v>
      </c>
      <c r="G8014" s="6" t="s">
        <v>477</v>
      </c>
      <c r="H8014" s="10">
        <v>46036.0</v>
      </c>
      <c r="I8014" s="12">
        <v>6.0</v>
      </c>
      <c r="J8014" s="6" t="s">
        <v>178</v>
      </c>
    </row>
    <row r="8015" ht="22.5" customHeight="1">
      <c r="A8015" s="6" t="s">
        <v>24823</v>
      </c>
      <c r="B8015" s="6" t="s">
        <v>17765</v>
      </c>
      <c r="C8015" s="10">
        <v>46069.0</v>
      </c>
      <c r="D8015" s="6" t="s">
        <v>391</v>
      </c>
      <c r="E8015" s="6" t="s">
        <v>716</v>
      </c>
      <c r="F8015" s="6" t="s">
        <v>112</v>
      </c>
      <c r="G8015" s="6" t="s">
        <v>254</v>
      </c>
      <c r="H8015" s="10">
        <v>46076.0</v>
      </c>
      <c r="I8015" s="12">
        <v>9.0</v>
      </c>
      <c r="J8015" s="6" t="s">
        <v>161</v>
      </c>
    </row>
    <row r="8016" ht="22.5" customHeight="1">
      <c r="A8016" s="6" t="s">
        <v>24824</v>
      </c>
      <c r="B8016" s="6" t="s">
        <v>17765</v>
      </c>
      <c r="C8016" s="10">
        <v>46059.0</v>
      </c>
      <c r="D8016" s="6" t="s">
        <v>677</v>
      </c>
      <c r="E8016" s="6" t="s">
        <v>2881</v>
      </c>
      <c r="F8016" s="6" t="s">
        <v>249</v>
      </c>
      <c r="G8016" s="6" t="s">
        <v>326</v>
      </c>
      <c r="H8016" s="10">
        <v>46064.0</v>
      </c>
      <c r="I8016" s="12">
        <v>3.0</v>
      </c>
      <c r="J8016" s="6" t="s">
        <v>161</v>
      </c>
    </row>
    <row r="8017" ht="22.5" customHeight="1">
      <c r="A8017" s="6" t="s">
        <v>24825</v>
      </c>
      <c r="B8017" s="6" t="s">
        <v>17765</v>
      </c>
      <c r="C8017" s="10">
        <v>46054.0</v>
      </c>
      <c r="D8017" s="6" t="s">
        <v>677</v>
      </c>
      <c r="E8017" s="6" t="s">
        <v>2365</v>
      </c>
      <c r="F8017" s="6" t="s">
        <v>283</v>
      </c>
      <c r="G8017" s="6" t="s">
        <v>369</v>
      </c>
      <c r="H8017" s="10">
        <v>46058.0</v>
      </c>
      <c r="I8017" s="12">
        <v>2.0</v>
      </c>
      <c r="J8017" s="6" t="s">
        <v>161</v>
      </c>
    </row>
    <row r="8018" ht="22.5" customHeight="1">
      <c r="A8018" s="6" t="s">
        <v>24826</v>
      </c>
      <c r="B8018" s="6" t="s">
        <v>17771</v>
      </c>
      <c r="C8018" s="10">
        <v>46083.0</v>
      </c>
      <c r="D8018" s="6" t="s">
        <v>312</v>
      </c>
      <c r="E8018" s="6" t="s">
        <v>1122</v>
      </c>
      <c r="F8018" s="6" t="s">
        <v>112</v>
      </c>
      <c r="G8018" s="6" t="s">
        <v>369</v>
      </c>
      <c r="H8018" s="10">
        <v>46085.0</v>
      </c>
      <c r="I8018" s="12">
        <v>5.0</v>
      </c>
      <c r="J8018" s="6" t="s">
        <v>161</v>
      </c>
    </row>
    <row r="8019" ht="22.5" customHeight="1">
      <c r="A8019" s="6" t="s">
        <v>24827</v>
      </c>
      <c r="B8019" s="6" t="s">
        <v>17771</v>
      </c>
      <c r="C8019" s="10">
        <v>46082.0</v>
      </c>
      <c r="D8019" s="6" t="s">
        <v>416</v>
      </c>
      <c r="E8019" s="6" t="s">
        <v>1055</v>
      </c>
      <c r="F8019" s="6" t="s">
        <v>112</v>
      </c>
      <c r="G8019" s="6" t="s">
        <v>369</v>
      </c>
      <c r="H8019" s="10">
        <v>46086.0</v>
      </c>
      <c r="I8019" s="12">
        <v>13.0</v>
      </c>
      <c r="J8019" s="6" t="s">
        <v>161</v>
      </c>
    </row>
    <row r="8020" ht="22.5" customHeight="1">
      <c r="A8020" s="6" t="s">
        <v>24828</v>
      </c>
      <c r="B8020" s="6" t="s">
        <v>17771</v>
      </c>
      <c r="C8020" s="10">
        <v>46078.0</v>
      </c>
      <c r="D8020" s="6" t="s">
        <v>242</v>
      </c>
      <c r="E8020" s="6" t="s">
        <v>512</v>
      </c>
      <c r="F8020" s="6" t="s">
        <v>249</v>
      </c>
      <c r="G8020" s="6" t="s">
        <v>254</v>
      </c>
      <c r="H8020" s="10">
        <v>46083.0</v>
      </c>
      <c r="I8020" s="12">
        <v>3.0</v>
      </c>
      <c r="J8020" s="6" t="s">
        <v>178</v>
      </c>
    </row>
    <row r="8021" ht="22.5" customHeight="1">
      <c r="A8021" s="6" t="s">
        <v>24829</v>
      </c>
      <c r="B8021" s="6" t="s">
        <v>17771</v>
      </c>
      <c r="C8021" s="10">
        <v>46069.0</v>
      </c>
      <c r="D8021" s="6" t="s">
        <v>289</v>
      </c>
      <c r="E8021" s="6" t="s">
        <v>1241</v>
      </c>
      <c r="F8021" s="6" t="s">
        <v>249</v>
      </c>
      <c r="G8021" s="6" t="s">
        <v>477</v>
      </c>
      <c r="H8021" s="10">
        <v>46074.0</v>
      </c>
      <c r="I8021" s="12">
        <v>10.0</v>
      </c>
      <c r="J8021" s="6" t="s">
        <v>161</v>
      </c>
    </row>
    <row r="8022" ht="22.5" customHeight="1">
      <c r="A8022" s="6" t="s">
        <v>24830</v>
      </c>
      <c r="B8022" s="6" t="s">
        <v>17778</v>
      </c>
      <c r="C8022" s="10">
        <v>46052.0</v>
      </c>
      <c r="D8022" s="6" t="s">
        <v>242</v>
      </c>
      <c r="E8022" s="6" t="s">
        <v>1570</v>
      </c>
      <c r="F8022" s="6" t="s">
        <v>112</v>
      </c>
      <c r="G8022" s="6" t="s">
        <v>477</v>
      </c>
      <c r="H8022" s="10">
        <v>46059.0</v>
      </c>
      <c r="I8022" s="12">
        <v>3.0</v>
      </c>
      <c r="J8022" s="6" t="s">
        <v>178</v>
      </c>
    </row>
    <row r="8023" ht="22.5" customHeight="1">
      <c r="A8023" s="6" t="s">
        <v>24831</v>
      </c>
      <c r="B8023" s="6" t="s">
        <v>17778</v>
      </c>
      <c r="C8023" s="10">
        <v>46046.0</v>
      </c>
      <c r="D8023" s="6" t="s">
        <v>242</v>
      </c>
      <c r="E8023" s="6" t="s">
        <v>512</v>
      </c>
      <c r="F8023" s="6" t="s">
        <v>283</v>
      </c>
      <c r="G8023" s="6" t="s">
        <v>494</v>
      </c>
      <c r="H8023" s="10">
        <v>46052.0</v>
      </c>
      <c r="I8023" s="12">
        <v>4.0</v>
      </c>
      <c r="J8023" s="6" t="s">
        <v>178</v>
      </c>
    </row>
    <row r="8024" ht="22.5" customHeight="1">
      <c r="A8024" s="6" t="s">
        <v>24832</v>
      </c>
      <c r="B8024" s="6" t="s">
        <v>17785</v>
      </c>
      <c r="C8024" s="10">
        <v>46077.0</v>
      </c>
      <c r="D8024" s="6" t="s">
        <v>436</v>
      </c>
      <c r="E8024" s="6" t="s">
        <v>475</v>
      </c>
      <c r="F8024" s="6" t="s">
        <v>249</v>
      </c>
      <c r="G8024" s="6" t="s">
        <v>326</v>
      </c>
      <c r="H8024" s="10">
        <v>46083.0</v>
      </c>
      <c r="I8024" s="12">
        <v>6.0</v>
      </c>
      <c r="J8024" s="6" t="s">
        <v>178</v>
      </c>
    </row>
    <row r="8025" ht="22.5" customHeight="1">
      <c r="A8025" s="6" t="s">
        <v>24833</v>
      </c>
      <c r="B8025" s="6" t="s">
        <v>17785</v>
      </c>
      <c r="C8025" s="10">
        <v>46085.0</v>
      </c>
      <c r="D8025" s="6" t="s">
        <v>312</v>
      </c>
      <c r="E8025" s="6" t="s">
        <v>291</v>
      </c>
      <c r="F8025" s="6" t="s">
        <v>283</v>
      </c>
      <c r="G8025" s="6" t="s">
        <v>254</v>
      </c>
      <c r="H8025" s="11" t="s">
        <v>259</v>
      </c>
      <c r="I8025" s="12">
        <v>7.0</v>
      </c>
      <c r="J8025" s="6" t="s">
        <v>161</v>
      </c>
    </row>
    <row r="8026" ht="22.5" customHeight="1">
      <c r="A8026" s="6" t="s">
        <v>24834</v>
      </c>
      <c r="B8026" s="6" t="s">
        <v>17785</v>
      </c>
      <c r="C8026" s="10">
        <v>46071.0</v>
      </c>
      <c r="D8026" s="6" t="s">
        <v>289</v>
      </c>
      <c r="E8026" s="6" t="s">
        <v>583</v>
      </c>
      <c r="F8026" s="6" t="s">
        <v>439</v>
      </c>
      <c r="G8026" s="6" t="s">
        <v>458</v>
      </c>
      <c r="H8026" s="10">
        <v>46076.0</v>
      </c>
      <c r="I8026" s="12">
        <v>7.0</v>
      </c>
      <c r="J8026" s="6" t="s">
        <v>161</v>
      </c>
    </row>
    <row r="8027" ht="22.5" customHeight="1">
      <c r="A8027" s="6" t="s">
        <v>24835</v>
      </c>
      <c r="B8027" s="6" t="s">
        <v>17785</v>
      </c>
      <c r="C8027" s="10">
        <v>46078.0</v>
      </c>
      <c r="D8027" s="6" t="s">
        <v>242</v>
      </c>
      <c r="E8027" s="6" t="s">
        <v>716</v>
      </c>
      <c r="F8027" s="6" t="s">
        <v>249</v>
      </c>
      <c r="G8027" s="6" t="s">
        <v>297</v>
      </c>
      <c r="H8027" s="10">
        <v>46083.0</v>
      </c>
      <c r="I8027" s="12">
        <v>4.0</v>
      </c>
      <c r="J8027" s="6" t="s">
        <v>178</v>
      </c>
    </row>
    <row r="8028" ht="22.5" customHeight="1">
      <c r="A8028" s="6" t="s">
        <v>24836</v>
      </c>
      <c r="B8028" s="6" t="s">
        <v>17792</v>
      </c>
      <c r="C8028" s="10">
        <v>46046.0</v>
      </c>
      <c r="D8028" s="6" t="s">
        <v>391</v>
      </c>
      <c r="E8028" s="6" t="s">
        <v>1741</v>
      </c>
      <c r="F8028" s="6" t="s">
        <v>112</v>
      </c>
      <c r="G8028" s="6" t="s">
        <v>452</v>
      </c>
      <c r="H8028" s="11" t="s">
        <v>259</v>
      </c>
      <c r="I8028" s="12">
        <v>7.0</v>
      </c>
      <c r="J8028" s="6" t="s">
        <v>161</v>
      </c>
    </row>
    <row r="8029" ht="22.5" customHeight="1">
      <c r="A8029" s="6" t="s">
        <v>24837</v>
      </c>
      <c r="B8029" s="6" t="s">
        <v>17792</v>
      </c>
      <c r="C8029" s="10">
        <v>46046.0</v>
      </c>
      <c r="D8029" s="6" t="s">
        <v>312</v>
      </c>
      <c r="E8029" s="6" t="s">
        <v>1517</v>
      </c>
      <c r="F8029" s="6" t="s">
        <v>439</v>
      </c>
      <c r="G8029" s="6" t="s">
        <v>254</v>
      </c>
      <c r="H8029" s="10">
        <v>46048.0</v>
      </c>
      <c r="I8029" s="12">
        <v>6.0</v>
      </c>
      <c r="J8029" s="6" t="s">
        <v>161</v>
      </c>
    </row>
    <row r="8030" ht="22.5" customHeight="1">
      <c r="A8030" s="6" t="s">
        <v>24838</v>
      </c>
      <c r="B8030" s="6" t="s">
        <v>17792</v>
      </c>
      <c r="C8030" s="10">
        <v>46043.0</v>
      </c>
      <c r="D8030" s="6" t="s">
        <v>312</v>
      </c>
      <c r="E8030" s="6" t="s">
        <v>450</v>
      </c>
      <c r="F8030" s="6" t="s">
        <v>112</v>
      </c>
      <c r="G8030" s="6" t="s">
        <v>326</v>
      </c>
      <c r="H8030" s="10">
        <v>46044.0</v>
      </c>
      <c r="I8030" s="12">
        <v>6.0</v>
      </c>
      <c r="J8030" s="6" t="s">
        <v>161</v>
      </c>
    </row>
    <row r="8031" ht="22.5" customHeight="1">
      <c r="A8031" s="6" t="s">
        <v>24839</v>
      </c>
      <c r="B8031" s="6" t="s">
        <v>17799</v>
      </c>
      <c r="C8031" s="10">
        <v>46069.0</v>
      </c>
      <c r="D8031" s="6" t="s">
        <v>391</v>
      </c>
      <c r="E8031" s="6" t="s">
        <v>798</v>
      </c>
      <c r="F8031" s="6" t="s">
        <v>249</v>
      </c>
      <c r="G8031" s="6" t="s">
        <v>297</v>
      </c>
      <c r="H8031" s="11" t="s">
        <v>259</v>
      </c>
      <c r="I8031" s="12">
        <v>6.0</v>
      </c>
      <c r="J8031" s="6" t="s">
        <v>161</v>
      </c>
    </row>
    <row r="8032" ht="22.5" customHeight="1">
      <c r="A8032" s="6" t="s">
        <v>24840</v>
      </c>
      <c r="B8032" s="6" t="s">
        <v>17799</v>
      </c>
      <c r="C8032" s="10">
        <v>46062.0</v>
      </c>
      <c r="D8032" s="6" t="s">
        <v>242</v>
      </c>
      <c r="E8032" s="6" t="s">
        <v>896</v>
      </c>
      <c r="F8032" s="6" t="s">
        <v>439</v>
      </c>
      <c r="G8032" s="6" t="s">
        <v>369</v>
      </c>
      <c r="H8032" s="10">
        <v>46068.0</v>
      </c>
      <c r="I8032" s="12">
        <v>5.0</v>
      </c>
      <c r="J8032" s="6" t="s">
        <v>178</v>
      </c>
    </row>
    <row r="8033" ht="22.5" customHeight="1">
      <c r="A8033" s="6" t="s">
        <v>24841</v>
      </c>
      <c r="B8033" s="6" t="s">
        <v>17799</v>
      </c>
      <c r="C8033" s="10">
        <v>46059.0</v>
      </c>
      <c r="D8033" s="6" t="s">
        <v>416</v>
      </c>
      <c r="E8033" s="6" t="s">
        <v>863</v>
      </c>
      <c r="F8033" s="6" t="s">
        <v>439</v>
      </c>
      <c r="G8033" s="6" t="s">
        <v>326</v>
      </c>
      <c r="H8033" s="11" t="s">
        <v>259</v>
      </c>
      <c r="I8033" s="12">
        <v>9.0</v>
      </c>
      <c r="J8033" s="6" t="s">
        <v>161</v>
      </c>
    </row>
    <row r="8034" ht="22.5" customHeight="1">
      <c r="A8034" s="6" t="s">
        <v>24842</v>
      </c>
      <c r="B8034" s="6" t="s">
        <v>17799</v>
      </c>
      <c r="C8034" s="10">
        <v>46068.0</v>
      </c>
      <c r="D8034" s="6" t="s">
        <v>436</v>
      </c>
      <c r="E8034" s="6" t="s">
        <v>1273</v>
      </c>
      <c r="F8034" s="6" t="s">
        <v>112</v>
      </c>
      <c r="G8034" s="6" t="s">
        <v>458</v>
      </c>
      <c r="H8034" s="10">
        <v>46071.0</v>
      </c>
      <c r="I8034" s="12">
        <v>6.0</v>
      </c>
      <c r="J8034" s="6" t="s">
        <v>178</v>
      </c>
    </row>
    <row r="8035" ht="22.5" customHeight="1">
      <c r="A8035" s="6" t="s">
        <v>24843</v>
      </c>
      <c r="B8035" s="6" t="s">
        <v>17799</v>
      </c>
      <c r="C8035" s="10">
        <v>46056.0</v>
      </c>
      <c r="D8035" s="6" t="s">
        <v>391</v>
      </c>
      <c r="E8035" s="6" t="s">
        <v>610</v>
      </c>
      <c r="F8035" s="6" t="s">
        <v>249</v>
      </c>
      <c r="G8035" s="6" t="s">
        <v>297</v>
      </c>
      <c r="H8035" s="11" t="s">
        <v>259</v>
      </c>
      <c r="I8035" s="12">
        <v>6.0</v>
      </c>
      <c r="J8035" s="6" t="s">
        <v>161</v>
      </c>
    </row>
    <row r="8036" ht="22.5" customHeight="1">
      <c r="A8036" s="6" t="s">
        <v>24844</v>
      </c>
      <c r="B8036" s="6" t="s">
        <v>17805</v>
      </c>
      <c r="C8036" s="10">
        <v>46071.0</v>
      </c>
      <c r="D8036" s="6" t="s">
        <v>391</v>
      </c>
      <c r="E8036" s="6" t="s">
        <v>466</v>
      </c>
      <c r="F8036" s="6" t="s">
        <v>112</v>
      </c>
      <c r="G8036" s="6" t="s">
        <v>458</v>
      </c>
      <c r="H8036" s="10">
        <v>46078.0</v>
      </c>
      <c r="I8036" s="12">
        <v>9.0</v>
      </c>
      <c r="J8036" s="6" t="s">
        <v>161</v>
      </c>
    </row>
    <row r="8037" ht="22.5" customHeight="1">
      <c r="A8037" s="6" t="s">
        <v>24845</v>
      </c>
      <c r="B8037" s="6" t="s">
        <v>17805</v>
      </c>
      <c r="C8037" s="10">
        <v>46059.0</v>
      </c>
      <c r="D8037" s="6" t="s">
        <v>242</v>
      </c>
      <c r="E8037" s="6" t="s">
        <v>320</v>
      </c>
      <c r="F8037" s="6" t="s">
        <v>112</v>
      </c>
      <c r="G8037" s="6" t="s">
        <v>477</v>
      </c>
      <c r="H8037" s="10">
        <v>46062.0</v>
      </c>
      <c r="I8037" s="12">
        <v>4.0</v>
      </c>
      <c r="J8037" s="6" t="s">
        <v>178</v>
      </c>
    </row>
    <row r="8038" ht="22.5" customHeight="1">
      <c r="A8038" s="6" t="s">
        <v>24846</v>
      </c>
      <c r="B8038" s="6" t="s">
        <v>17805</v>
      </c>
      <c r="C8038" s="10">
        <v>46060.0</v>
      </c>
      <c r="D8038" s="6" t="s">
        <v>416</v>
      </c>
      <c r="E8038" s="6" t="s">
        <v>417</v>
      </c>
      <c r="F8038" s="6" t="s">
        <v>439</v>
      </c>
      <c r="G8038" s="6" t="s">
        <v>452</v>
      </c>
      <c r="H8038" s="10">
        <v>46062.0</v>
      </c>
      <c r="I8038" s="12">
        <v>8.0</v>
      </c>
      <c r="J8038" s="6" t="s">
        <v>161</v>
      </c>
    </row>
    <row r="8039" ht="22.5" customHeight="1">
      <c r="A8039" s="6" t="s">
        <v>24847</v>
      </c>
      <c r="B8039" s="6" t="s">
        <v>17805</v>
      </c>
      <c r="C8039" s="10">
        <v>46061.0</v>
      </c>
      <c r="D8039" s="6" t="s">
        <v>391</v>
      </c>
      <c r="E8039" s="6" t="s">
        <v>1720</v>
      </c>
      <c r="F8039" s="6" t="s">
        <v>112</v>
      </c>
      <c r="G8039" s="6" t="s">
        <v>297</v>
      </c>
      <c r="H8039" s="10">
        <v>46062.0</v>
      </c>
      <c r="I8039" s="12">
        <v>8.0</v>
      </c>
      <c r="J8039" s="6" t="s">
        <v>161</v>
      </c>
    </row>
    <row r="8040" ht="22.5" customHeight="1">
      <c r="A8040" s="6" t="s">
        <v>24848</v>
      </c>
      <c r="B8040" s="6" t="s">
        <v>17811</v>
      </c>
      <c r="C8040" s="10">
        <v>46057.0</v>
      </c>
      <c r="D8040" s="6" t="s">
        <v>289</v>
      </c>
      <c r="E8040" s="6" t="s">
        <v>775</v>
      </c>
      <c r="F8040" s="6" t="s">
        <v>283</v>
      </c>
      <c r="G8040" s="6" t="s">
        <v>369</v>
      </c>
      <c r="H8040" s="10">
        <v>46057.0</v>
      </c>
      <c r="I8040" s="12">
        <v>6.0</v>
      </c>
      <c r="J8040" s="6" t="s">
        <v>161</v>
      </c>
    </row>
    <row r="8041" ht="22.5" customHeight="1">
      <c r="A8041" s="6" t="s">
        <v>24849</v>
      </c>
      <c r="B8041" s="6" t="s">
        <v>17817</v>
      </c>
      <c r="C8041" s="10">
        <v>46037.0</v>
      </c>
      <c r="D8041" s="6" t="s">
        <v>242</v>
      </c>
      <c r="E8041" s="6" t="s">
        <v>394</v>
      </c>
      <c r="F8041" s="6" t="s">
        <v>283</v>
      </c>
      <c r="G8041" s="6" t="s">
        <v>494</v>
      </c>
      <c r="H8041" s="10">
        <v>46041.0</v>
      </c>
      <c r="I8041" s="12">
        <v>6.0</v>
      </c>
      <c r="J8041" s="6" t="s">
        <v>161</v>
      </c>
    </row>
    <row r="8042" ht="22.5" customHeight="1">
      <c r="A8042" s="6" t="s">
        <v>24850</v>
      </c>
      <c r="B8042" s="6" t="s">
        <v>17817</v>
      </c>
      <c r="C8042" s="10">
        <v>46051.0</v>
      </c>
      <c r="D8042" s="6" t="s">
        <v>677</v>
      </c>
      <c r="E8042" s="6" t="s">
        <v>798</v>
      </c>
      <c r="F8042" s="6" t="s">
        <v>283</v>
      </c>
      <c r="G8042" s="6" t="s">
        <v>458</v>
      </c>
      <c r="H8042" s="11" t="s">
        <v>259</v>
      </c>
      <c r="I8042" s="12">
        <v>2.0</v>
      </c>
      <c r="J8042" s="6" t="s">
        <v>161</v>
      </c>
    </row>
    <row r="8043" ht="22.5" customHeight="1">
      <c r="A8043" s="6" t="s">
        <v>24851</v>
      </c>
      <c r="B8043" s="6" t="s">
        <v>17824</v>
      </c>
      <c r="C8043" s="10">
        <v>46058.0</v>
      </c>
      <c r="D8043" s="6" t="s">
        <v>416</v>
      </c>
      <c r="E8043" s="6" t="s">
        <v>1741</v>
      </c>
      <c r="F8043" s="6" t="s">
        <v>439</v>
      </c>
      <c r="G8043" s="6" t="s">
        <v>494</v>
      </c>
      <c r="H8043" s="10">
        <v>46065.0</v>
      </c>
      <c r="I8043" s="12">
        <v>9.0</v>
      </c>
      <c r="J8043" s="6" t="s">
        <v>161</v>
      </c>
    </row>
    <row r="8044" ht="22.5" customHeight="1">
      <c r="A8044" s="6" t="s">
        <v>24852</v>
      </c>
      <c r="B8044" s="6" t="s">
        <v>17824</v>
      </c>
      <c r="C8044" s="10">
        <v>46058.0</v>
      </c>
      <c r="D8044" s="6" t="s">
        <v>242</v>
      </c>
      <c r="E8044" s="6" t="s">
        <v>1035</v>
      </c>
      <c r="F8044" s="6" t="s">
        <v>439</v>
      </c>
      <c r="G8044" s="6" t="s">
        <v>477</v>
      </c>
      <c r="H8044" s="10">
        <v>46064.0</v>
      </c>
      <c r="I8044" s="12">
        <v>6.0</v>
      </c>
      <c r="J8044" s="6" t="s">
        <v>178</v>
      </c>
    </row>
    <row r="8045" ht="22.5" customHeight="1">
      <c r="A8045" s="6" t="s">
        <v>24853</v>
      </c>
      <c r="B8045" s="6" t="s">
        <v>17824</v>
      </c>
      <c r="C8045" s="10">
        <v>46062.0</v>
      </c>
      <c r="D8045" s="6" t="s">
        <v>312</v>
      </c>
      <c r="E8045" s="6" t="s">
        <v>833</v>
      </c>
      <c r="F8045" s="6" t="s">
        <v>249</v>
      </c>
      <c r="G8045" s="6" t="s">
        <v>477</v>
      </c>
      <c r="H8045" s="11" t="s">
        <v>259</v>
      </c>
      <c r="I8045" s="12">
        <v>7.0</v>
      </c>
      <c r="J8045" s="6" t="s">
        <v>161</v>
      </c>
    </row>
    <row r="8046" ht="22.5" customHeight="1">
      <c r="A8046" s="6" t="s">
        <v>24854</v>
      </c>
      <c r="B8046" s="6" t="s">
        <v>17830</v>
      </c>
      <c r="C8046" s="10">
        <v>46073.0</v>
      </c>
      <c r="D8046" s="6" t="s">
        <v>312</v>
      </c>
      <c r="E8046" s="6" t="s">
        <v>1386</v>
      </c>
      <c r="F8046" s="6" t="s">
        <v>112</v>
      </c>
      <c r="G8046" s="6" t="s">
        <v>369</v>
      </c>
      <c r="H8046" s="10">
        <v>46074.0</v>
      </c>
      <c r="I8046" s="12">
        <v>5.0</v>
      </c>
      <c r="J8046" s="6" t="s">
        <v>161</v>
      </c>
    </row>
    <row r="8047" ht="22.5" customHeight="1">
      <c r="A8047" s="6" t="s">
        <v>24855</v>
      </c>
      <c r="B8047" s="6" t="s">
        <v>17836</v>
      </c>
      <c r="C8047" s="10">
        <v>46066.0</v>
      </c>
      <c r="D8047" s="6" t="s">
        <v>312</v>
      </c>
      <c r="E8047" s="6" t="s">
        <v>417</v>
      </c>
      <c r="F8047" s="6" t="s">
        <v>439</v>
      </c>
      <c r="G8047" s="6" t="s">
        <v>297</v>
      </c>
      <c r="H8047" s="10">
        <v>46069.0</v>
      </c>
      <c r="I8047" s="12">
        <v>4.0</v>
      </c>
      <c r="J8047" s="6" t="s">
        <v>161</v>
      </c>
    </row>
    <row r="8048" ht="22.5" customHeight="1">
      <c r="A8048" s="6" t="s">
        <v>24856</v>
      </c>
      <c r="B8048" s="6" t="s">
        <v>17836</v>
      </c>
      <c r="C8048" s="10">
        <v>46066.0</v>
      </c>
      <c r="D8048" s="6" t="s">
        <v>312</v>
      </c>
      <c r="E8048" s="6" t="s">
        <v>658</v>
      </c>
      <c r="F8048" s="6" t="s">
        <v>249</v>
      </c>
      <c r="G8048" s="6" t="s">
        <v>326</v>
      </c>
      <c r="H8048" s="10">
        <v>46068.0</v>
      </c>
      <c r="I8048" s="12">
        <v>4.0</v>
      </c>
      <c r="J8048" s="6" t="s">
        <v>161</v>
      </c>
    </row>
    <row r="8049" ht="22.5" customHeight="1">
      <c r="A8049" s="6" t="s">
        <v>24857</v>
      </c>
      <c r="B8049" s="6" t="s">
        <v>17842</v>
      </c>
      <c r="C8049" s="10">
        <v>46064.0</v>
      </c>
      <c r="D8049" s="6" t="s">
        <v>391</v>
      </c>
      <c r="E8049" s="6" t="s">
        <v>670</v>
      </c>
      <c r="F8049" s="6" t="s">
        <v>112</v>
      </c>
      <c r="G8049" s="6" t="s">
        <v>452</v>
      </c>
      <c r="H8049" s="10">
        <v>46066.0</v>
      </c>
      <c r="I8049" s="12">
        <v>8.0</v>
      </c>
      <c r="J8049" s="6" t="s">
        <v>161</v>
      </c>
    </row>
    <row r="8050" ht="22.5" customHeight="1">
      <c r="A8050" s="6" t="s">
        <v>24858</v>
      </c>
      <c r="B8050" s="6" t="s">
        <v>17842</v>
      </c>
      <c r="C8050" s="10">
        <v>46066.0</v>
      </c>
      <c r="D8050" s="6" t="s">
        <v>242</v>
      </c>
      <c r="E8050" s="6" t="s">
        <v>2881</v>
      </c>
      <c r="F8050" s="6" t="s">
        <v>283</v>
      </c>
      <c r="G8050" s="6" t="s">
        <v>452</v>
      </c>
      <c r="H8050" s="10">
        <v>46073.0</v>
      </c>
      <c r="I8050" s="12">
        <v>6.0</v>
      </c>
      <c r="J8050" s="6" t="s">
        <v>178</v>
      </c>
    </row>
    <row r="8051" ht="22.5" customHeight="1">
      <c r="A8051" s="6" t="s">
        <v>24859</v>
      </c>
      <c r="B8051" s="6" t="s">
        <v>17842</v>
      </c>
      <c r="C8051" s="10">
        <v>46078.0</v>
      </c>
      <c r="D8051" s="6" t="s">
        <v>416</v>
      </c>
      <c r="E8051" s="6" t="s">
        <v>417</v>
      </c>
      <c r="F8051" s="6" t="s">
        <v>249</v>
      </c>
      <c r="G8051" s="6" t="s">
        <v>369</v>
      </c>
      <c r="H8051" s="10">
        <v>46081.0</v>
      </c>
      <c r="I8051" s="12">
        <v>14.0</v>
      </c>
      <c r="J8051" s="6" t="s">
        <v>161</v>
      </c>
    </row>
    <row r="8052" ht="22.5" customHeight="1">
      <c r="A8052" s="6" t="s">
        <v>24860</v>
      </c>
      <c r="B8052" s="6" t="s">
        <v>17842</v>
      </c>
      <c r="C8052" s="10">
        <v>46083.0</v>
      </c>
      <c r="D8052" s="6" t="s">
        <v>436</v>
      </c>
      <c r="E8052" s="6" t="s">
        <v>450</v>
      </c>
      <c r="F8052" s="6" t="s">
        <v>112</v>
      </c>
      <c r="G8052" s="6" t="s">
        <v>254</v>
      </c>
      <c r="H8052" s="10">
        <v>46085.0</v>
      </c>
      <c r="I8052" s="12">
        <v>7.0</v>
      </c>
      <c r="J8052" s="6" t="s">
        <v>178</v>
      </c>
    </row>
    <row r="8053" ht="22.5" customHeight="1">
      <c r="A8053" s="6" t="s">
        <v>24861</v>
      </c>
      <c r="B8053" s="6" t="s">
        <v>17842</v>
      </c>
      <c r="C8053" s="10">
        <v>46078.0</v>
      </c>
      <c r="D8053" s="6" t="s">
        <v>416</v>
      </c>
      <c r="E8053" s="6" t="s">
        <v>628</v>
      </c>
      <c r="F8053" s="6" t="s">
        <v>249</v>
      </c>
      <c r="G8053" s="6" t="s">
        <v>326</v>
      </c>
      <c r="H8053" s="10">
        <v>46085.0</v>
      </c>
      <c r="I8053" s="12">
        <v>12.0</v>
      </c>
      <c r="J8053" s="6" t="s">
        <v>161</v>
      </c>
    </row>
    <row r="8054" ht="22.5" customHeight="1">
      <c r="A8054" s="6" t="s">
        <v>24862</v>
      </c>
      <c r="B8054" s="6" t="s">
        <v>17848</v>
      </c>
      <c r="C8054" s="10">
        <v>46064.0</v>
      </c>
      <c r="D8054" s="6" t="s">
        <v>391</v>
      </c>
      <c r="E8054" s="6" t="s">
        <v>583</v>
      </c>
      <c r="F8054" s="6" t="s">
        <v>439</v>
      </c>
      <c r="G8054" s="6" t="s">
        <v>326</v>
      </c>
      <c r="H8054" s="11" t="s">
        <v>259</v>
      </c>
      <c r="I8054" s="12">
        <v>6.0</v>
      </c>
      <c r="J8054" s="6" t="s">
        <v>161</v>
      </c>
    </row>
    <row r="8055" ht="22.5" customHeight="1">
      <c r="A8055" s="6" t="s">
        <v>24863</v>
      </c>
      <c r="B8055" s="6" t="s">
        <v>17848</v>
      </c>
      <c r="C8055" s="10">
        <v>46053.0</v>
      </c>
      <c r="D8055" s="6" t="s">
        <v>416</v>
      </c>
      <c r="E8055" s="6" t="s">
        <v>634</v>
      </c>
      <c r="F8055" s="6" t="s">
        <v>283</v>
      </c>
      <c r="G8055" s="6" t="s">
        <v>494</v>
      </c>
      <c r="H8055" s="10">
        <v>46057.0</v>
      </c>
      <c r="I8055" s="12">
        <v>12.0</v>
      </c>
      <c r="J8055" s="6" t="s">
        <v>161</v>
      </c>
    </row>
    <row r="8056" ht="22.5" customHeight="1">
      <c r="A8056" s="6" t="s">
        <v>24864</v>
      </c>
      <c r="B8056" s="6" t="s">
        <v>17848</v>
      </c>
      <c r="C8056" s="10">
        <v>46064.0</v>
      </c>
      <c r="D8056" s="6" t="s">
        <v>242</v>
      </c>
      <c r="E8056" s="6" t="s">
        <v>812</v>
      </c>
      <c r="F8056" s="6" t="s">
        <v>439</v>
      </c>
      <c r="G8056" s="6" t="s">
        <v>452</v>
      </c>
      <c r="H8056" s="10">
        <v>46071.0</v>
      </c>
      <c r="I8056" s="12">
        <v>6.0</v>
      </c>
      <c r="J8056" s="6" t="s">
        <v>161</v>
      </c>
    </row>
    <row r="8057" ht="22.5" customHeight="1">
      <c r="A8057" s="6" t="s">
        <v>24865</v>
      </c>
      <c r="B8057" s="6" t="s">
        <v>17854</v>
      </c>
      <c r="C8057" s="10">
        <v>46068.0</v>
      </c>
      <c r="D8057" s="6" t="s">
        <v>436</v>
      </c>
      <c r="E8057" s="6" t="s">
        <v>787</v>
      </c>
      <c r="F8057" s="6" t="s">
        <v>249</v>
      </c>
      <c r="G8057" s="6" t="s">
        <v>477</v>
      </c>
      <c r="H8057" s="10">
        <v>46069.0</v>
      </c>
      <c r="I8057" s="12">
        <v>10.0</v>
      </c>
      <c r="J8057" s="6" t="s">
        <v>178</v>
      </c>
    </row>
    <row r="8058" ht="22.5" customHeight="1">
      <c r="A8058" s="6" t="s">
        <v>24866</v>
      </c>
      <c r="B8058" s="6" t="s">
        <v>17860</v>
      </c>
      <c r="C8058" s="10">
        <v>46077.0</v>
      </c>
      <c r="D8058" s="6" t="s">
        <v>391</v>
      </c>
      <c r="E8058" s="6" t="s">
        <v>583</v>
      </c>
      <c r="F8058" s="6" t="s">
        <v>249</v>
      </c>
      <c r="G8058" s="6" t="s">
        <v>477</v>
      </c>
      <c r="H8058" s="10">
        <v>46077.0</v>
      </c>
      <c r="I8058" s="12">
        <v>6.0</v>
      </c>
      <c r="J8058" s="6" t="s">
        <v>161</v>
      </c>
    </row>
    <row r="8059" ht="22.5" customHeight="1">
      <c r="A8059" s="6" t="s">
        <v>24867</v>
      </c>
      <c r="B8059" s="6" t="s">
        <v>17860</v>
      </c>
      <c r="C8059" s="10">
        <v>46066.0</v>
      </c>
      <c r="D8059" s="6" t="s">
        <v>289</v>
      </c>
      <c r="E8059" s="6" t="s">
        <v>1102</v>
      </c>
      <c r="F8059" s="6" t="s">
        <v>249</v>
      </c>
      <c r="G8059" s="6" t="s">
        <v>254</v>
      </c>
      <c r="H8059" s="10">
        <v>46073.0</v>
      </c>
      <c r="I8059" s="12">
        <v>7.0</v>
      </c>
      <c r="J8059" s="6" t="s">
        <v>161</v>
      </c>
    </row>
    <row r="8060" ht="22.5" customHeight="1">
      <c r="A8060" s="6" t="s">
        <v>24868</v>
      </c>
      <c r="B8060" s="6" t="s">
        <v>17860</v>
      </c>
      <c r="C8060" s="10">
        <v>46068.0</v>
      </c>
      <c r="D8060" s="6" t="s">
        <v>416</v>
      </c>
      <c r="E8060" s="6" t="s">
        <v>833</v>
      </c>
      <c r="F8060" s="6" t="s">
        <v>112</v>
      </c>
      <c r="G8060" s="6" t="s">
        <v>326</v>
      </c>
      <c r="H8060" s="10">
        <v>46069.0</v>
      </c>
      <c r="I8060" s="12">
        <v>13.0</v>
      </c>
      <c r="J8060" s="6" t="s">
        <v>161</v>
      </c>
    </row>
    <row r="8061" ht="22.5" customHeight="1">
      <c r="A8061" s="6" t="s">
        <v>24869</v>
      </c>
      <c r="B8061" s="6" t="s">
        <v>17860</v>
      </c>
      <c r="C8061" s="10">
        <v>46067.0</v>
      </c>
      <c r="D8061" s="6" t="s">
        <v>416</v>
      </c>
      <c r="E8061" s="6" t="s">
        <v>512</v>
      </c>
      <c r="F8061" s="6" t="s">
        <v>249</v>
      </c>
      <c r="G8061" s="6" t="s">
        <v>369</v>
      </c>
      <c r="H8061" s="10">
        <v>46072.0</v>
      </c>
      <c r="I8061" s="12">
        <v>14.0</v>
      </c>
      <c r="J8061" s="6" t="s">
        <v>161</v>
      </c>
    </row>
    <row r="8062" ht="22.5" customHeight="1">
      <c r="A8062" s="6" t="s">
        <v>24870</v>
      </c>
      <c r="B8062" s="6" t="s">
        <v>17860</v>
      </c>
      <c r="C8062" s="10">
        <v>46069.0</v>
      </c>
      <c r="D8062" s="6" t="s">
        <v>391</v>
      </c>
      <c r="E8062" s="6" t="s">
        <v>1055</v>
      </c>
      <c r="F8062" s="6" t="s">
        <v>112</v>
      </c>
      <c r="G8062" s="6" t="s">
        <v>452</v>
      </c>
      <c r="H8062" s="10">
        <v>46071.0</v>
      </c>
      <c r="I8062" s="12">
        <v>6.0</v>
      </c>
      <c r="J8062" s="6" t="s">
        <v>161</v>
      </c>
    </row>
    <row r="8063" ht="22.5" customHeight="1">
      <c r="A8063" s="6" t="s">
        <v>24871</v>
      </c>
      <c r="B8063" s="6" t="s">
        <v>17867</v>
      </c>
      <c r="C8063" s="10">
        <v>46059.0</v>
      </c>
      <c r="D8063" s="6" t="s">
        <v>436</v>
      </c>
      <c r="E8063" s="6" t="s">
        <v>291</v>
      </c>
      <c r="F8063" s="6" t="s">
        <v>249</v>
      </c>
      <c r="G8063" s="6" t="s">
        <v>458</v>
      </c>
      <c r="H8063" s="10">
        <v>46066.0</v>
      </c>
      <c r="I8063" s="12">
        <v>12.0</v>
      </c>
      <c r="J8063" s="6" t="s">
        <v>161</v>
      </c>
    </row>
    <row r="8064" ht="22.5" customHeight="1">
      <c r="A8064" s="6" t="s">
        <v>24872</v>
      </c>
      <c r="B8064" s="6" t="s">
        <v>17867</v>
      </c>
      <c r="C8064" s="10">
        <v>46056.0</v>
      </c>
      <c r="D8064" s="6" t="s">
        <v>677</v>
      </c>
      <c r="E8064" s="6" t="s">
        <v>394</v>
      </c>
      <c r="F8064" s="6" t="s">
        <v>283</v>
      </c>
      <c r="G8064" s="6" t="s">
        <v>326</v>
      </c>
      <c r="H8064" s="10">
        <v>46061.0</v>
      </c>
      <c r="I8064" s="12">
        <v>4.0</v>
      </c>
      <c r="J8064" s="6" t="s">
        <v>161</v>
      </c>
    </row>
    <row r="8065" ht="22.5" customHeight="1">
      <c r="A8065" s="6" t="s">
        <v>24873</v>
      </c>
      <c r="B8065" s="6" t="s">
        <v>17867</v>
      </c>
      <c r="C8065" s="10">
        <v>46046.0</v>
      </c>
      <c r="D8065" s="6" t="s">
        <v>436</v>
      </c>
      <c r="E8065" s="6" t="s">
        <v>1310</v>
      </c>
      <c r="F8065" s="6" t="s">
        <v>112</v>
      </c>
      <c r="G8065" s="6" t="s">
        <v>477</v>
      </c>
      <c r="H8065" s="10">
        <v>46048.0</v>
      </c>
      <c r="I8065" s="12">
        <v>11.0</v>
      </c>
      <c r="J8065" s="6" t="s">
        <v>178</v>
      </c>
    </row>
    <row r="8066" ht="22.5" customHeight="1">
      <c r="A8066" s="6" t="s">
        <v>24874</v>
      </c>
      <c r="B8066" s="6" t="s">
        <v>17867</v>
      </c>
      <c r="C8066" s="10">
        <v>46047.0</v>
      </c>
      <c r="D8066" s="6" t="s">
        <v>242</v>
      </c>
      <c r="E8066" s="6" t="s">
        <v>687</v>
      </c>
      <c r="F8066" s="6" t="s">
        <v>249</v>
      </c>
      <c r="G8066" s="6" t="s">
        <v>369</v>
      </c>
      <c r="H8066" s="10">
        <v>46051.0</v>
      </c>
      <c r="I8066" s="12">
        <v>6.0</v>
      </c>
      <c r="J8066" s="6" t="s">
        <v>178</v>
      </c>
    </row>
    <row r="8067" ht="22.5" customHeight="1">
      <c r="A8067" s="6" t="s">
        <v>24875</v>
      </c>
      <c r="B8067" s="6" t="s">
        <v>17874</v>
      </c>
      <c r="C8067" s="10">
        <v>46061.0</v>
      </c>
      <c r="D8067" s="6" t="s">
        <v>436</v>
      </c>
      <c r="E8067" s="6" t="s">
        <v>320</v>
      </c>
      <c r="F8067" s="6" t="s">
        <v>439</v>
      </c>
      <c r="G8067" s="6" t="s">
        <v>458</v>
      </c>
      <c r="H8067" s="10">
        <v>46067.0</v>
      </c>
      <c r="I8067" s="12">
        <v>6.0</v>
      </c>
      <c r="J8067" s="6" t="s">
        <v>178</v>
      </c>
    </row>
    <row r="8068" ht="22.5" customHeight="1">
      <c r="A8068" s="6" t="s">
        <v>24876</v>
      </c>
      <c r="B8068" s="6" t="s">
        <v>17874</v>
      </c>
      <c r="C8068" s="10">
        <v>46047.0</v>
      </c>
      <c r="D8068" s="6" t="s">
        <v>289</v>
      </c>
      <c r="E8068" s="6" t="s">
        <v>634</v>
      </c>
      <c r="F8068" s="6" t="s">
        <v>283</v>
      </c>
      <c r="G8068" s="6" t="s">
        <v>254</v>
      </c>
      <c r="H8068" s="10">
        <v>46049.0</v>
      </c>
      <c r="I8068" s="12">
        <v>9.0</v>
      </c>
      <c r="J8068" s="6" t="s">
        <v>161</v>
      </c>
    </row>
    <row r="8069" ht="22.5" customHeight="1">
      <c r="A8069" s="6" t="s">
        <v>24877</v>
      </c>
      <c r="B8069" s="6" t="s">
        <v>17880</v>
      </c>
      <c r="C8069" s="10">
        <v>46035.0</v>
      </c>
      <c r="D8069" s="6" t="s">
        <v>289</v>
      </c>
      <c r="E8069" s="6" t="s">
        <v>1273</v>
      </c>
      <c r="F8069" s="6" t="s">
        <v>249</v>
      </c>
      <c r="G8069" s="6" t="s">
        <v>297</v>
      </c>
      <c r="H8069" s="10">
        <v>46041.0</v>
      </c>
      <c r="I8069" s="12">
        <v>9.0</v>
      </c>
      <c r="J8069" s="6" t="s">
        <v>161</v>
      </c>
    </row>
    <row r="8070" ht="22.5" customHeight="1">
      <c r="A8070" s="6" t="s">
        <v>24878</v>
      </c>
      <c r="B8070" s="6" t="s">
        <v>17886</v>
      </c>
      <c r="C8070" s="10">
        <v>46040.0</v>
      </c>
      <c r="D8070" s="6" t="s">
        <v>242</v>
      </c>
      <c r="E8070" s="6" t="s">
        <v>1969</v>
      </c>
      <c r="F8070" s="6" t="s">
        <v>112</v>
      </c>
      <c r="G8070" s="6" t="s">
        <v>458</v>
      </c>
      <c r="H8070" s="10">
        <v>46044.0</v>
      </c>
      <c r="I8070" s="12">
        <v>6.0</v>
      </c>
      <c r="J8070" s="6" t="s">
        <v>178</v>
      </c>
    </row>
    <row r="8071" ht="22.5" customHeight="1">
      <c r="A8071" s="6" t="s">
        <v>24879</v>
      </c>
      <c r="B8071" s="6" t="s">
        <v>17886</v>
      </c>
      <c r="C8071" s="10">
        <v>46036.0</v>
      </c>
      <c r="D8071" s="6" t="s">
        <v>416</v>
      </c>
      <c r="E8071" s="6" t="s">
        <v>670</v>
      </c>
      <c r="F8071" s="6" t="s">
        <v>439</v>
      </c>
      <c r="G8071" s="6" t="s">
        <v>254</v>
      </c>
      <c r="H8071" s="10">
        <v>46037.0</v>
      </c>
      <c r="I8071" s="12">
        <v>9.0</v>
      </c>
      <c r="J8071" s="6" t="s">
        <v>161</v>
      </c>
    </row>
    <row r="8072" ht="22.5" customHeight="1">
      <c r="A8072" s="6" t="s">
        <v>24880</v>
      </c>
      <c r="B8072" s="6" t="s">
        <v>17886</v>
      </c>
      <c r="C8072" s="10">
        <v>46047.0</v>
      </c>
      <c r="D8072" s="6" t="s">
        <v>289</v>
      </c>
      <c r="E8072" s="6" t="s">
        <v>1296</v>
      </c>
      <c r="F8072" s="6" t="s">
        <v>283</v>
      </c>
      <c r="G8072" s="6" t="s">
        <v>254</v>
      </c>
      <c r="H8072" s="10">
        <v>46047.0</v>
      </c>
      <c r="I8072" s="12">
        <v>6.0</v>
      </c>
      <c r="J8072" s="6" t="s">
        <v>161</v>
      </c>
    </row>
    <row r="8073" ht="22.5" customHeight="1">
      <c r="A8073" s="6" t="s">
        <v>24881</v>
      </c>
      <c r="B8073" s="6" t="s">
        <v>17892</v>
      </c>
      <c r="C8073" s="10">
        <v>46061.0</v>
      </c>
      <c r="D8073" s="6" t="s">
        <v>677</v>
      </c>
      <c r="E8073" s="6" t="s">
        <v>566</v>
      </c>
      <c r="F8073" s="6" t="s">
        <v>112</v>
      </c>
      <c r="G8073" s="6" t="s">
        <v>254</v>
      </c>
      <c r="H8073" s="10">
        <v>46061.0</v>
      </c>
      <c r="I8073" s="12">
        <v>2.0</v>
      </c>
      <c r="J8073" s="6" t="s">
        <v>161</v>
      </c>
    </row>
    <row r="8074" ht="22.5" customHeight="1">
      <c r="A8074" s="6" t="s">
        <v>24882</v>
      </c>
      <c r="B8074" s="6" t="s">
        <v>17892</v>
      </c>
      <c r="C8074" s="10">
        <v>46060.0</v>
      </c>
      <c r="D8074" s="6" t="s">
        <v>677</v>
      </c>
      <c r="E8074" s="6" t="s">
        <v>583</v>
      </c>
      <c r="F8074" s="6" t="s">
        <v>283</v>
      </c>
      <c r="G8074" s="6" t="s">
        <v>254</v>
      </c>
      <c r="H8074" s="10">
        <v>46066.0</v>
      </c>
      <c r="I8074" s="12">
        <v>2.0</v>
      </c>
      <c r="J8074" s="6" t="s">
        <v>161</v>
      </c>
    </row>
    <row r="8075" ht="22.5" customHeight="1">
      <c r="A8075" s="6" t="s">
        <v>24883</v>
      </c>
      <c r="B8075" s="6" t="s">
        <v>17892</v>
      </c>
      <c r="C8075" s="10">
        <v>46052.0</v>
      </c>
      <c r="D8075" s="6" t="s">
        <v>416</v>
      </c>
      <c r="E8075" s="6" t="s">
        <v>1122</v>
      </c>
      <c r="F8075" s="6" t="s">
        <v>249</v>
      </c>
      <c r="G8075" s="6" t="s">
        <v>369</v>
      </c>
      <c r="H8075" s="10">
        <v>46056.0</v>
      </c>
      <c r="I8075" s="12">
        <v>12.0</v>
      </c>
      <c r="J8075" s="6" t="s">
        <v>161</v>
      </c>
    </row>
    <row r="8076" ht="22.5" customHeight="1">
      <c r="A8076" s="6" t="s">
        <v>24884</v>
      </c>
      <c r="B8076" s="6" t="s">
        <v>17892</v>
      </c>
      <c r="C8076" s="10">
        <v>46046.0</v>
      </c>
      <c r="D8076" s="6" t="s">
        <v>677</v>
      </c>
      <c r="E8076" s="6" t="s">
        <v>1720</v>
      </c>
      <c r="F8076" s="6" t="s">
        <v>112</v>
      </c>
      <c r="G8076" s="6" t="s">
        <v>369</v>
      </c>
      <c r="H8076" s="11" t="s">
        <v>259</v>
      </c>
      <c r="I8076" s="12">
        <v>3.0</v>
      </c>
      <c r="J8076" s="6" t="s">
        <v>161</v>
      </c>
    </row>
    <row r="8077" ht="22.5" customHeight="1">
      <c r="A8077" s="6" t="s">
        <v>24885</v>
      </c>
      <c r="B8077" s="6" t="s">
        <v>17898</v>
      </c>
      <c r="C8077" s="10">
        <v>46039.0</v>
      </c>
      <c r="D8077" s="6" t="s">
        <v>242</v>
      </c>
      <c r="E8077" s="6" t="s">
        <v>1035</v>
      </c>
      <c r="F8077" s="6" t="s">
        <v>283</v>
      </c>
      <c r="G8077" s="6" t="s">
        <v>458</v>
      </c>
      <c r="H8077" s="10">
        <v>46039.0</v>
      </c>
      <c r="I8077" s="12">
        <v>3.0</v>
      </c>
      <c r="J8077" s="6" t="s">
        <v>161</v>
      </c>
    </row>
    <row r="8078" ht="22.5" customHeight="1">
      <c r="A8078" s="6" t="s">
        <v>24886</v>
      </c>
      <c r="B8078" s="6" t="s">
        <v>17905</v>
      </c>
      <c r="C8078" s="10">
        <v>46081.0</v>
      </c>
      <c r="D8078" s="6" t="s">
        <v>436</v>
      </c>
      <c r="E8078" s="6" t="s">
        <v>704</v>
      </c>
      <c r="F8078" s="6" t="s">
        <v>283</v>
      </c>
      <c r="G8078" s="6" t="s">
        <v>254</v>
      </c>
      <c r="H8078" s="10">
        <v>46081.0</v>
      </c>
      <c r="I8078" s="12">
        <v>8.0</v>
      </c>
      <c r="J8078" s="6" t="s">
        <v>178</v>
      </c>
    </row>
    <row r="8079" ht="22.5" customHeight="1">
      <c r="A8079" s="6" t="s">
        <v>24887</v>
      </c>
      <c r="B8079" s="6" t="s">
        <v>17905</v>
      </c>
      <c r="C8079" s="10">
        <v>46067.0</v>
      </c>
      <c r="D8079" s="6" t="s">
        <v>677</v>
      </c>
      <c r="E8079" s="6" t="s">
        <v>634</v>
      </c>
      <c r="F8079" s="6" t="s">
        <v>249</v>
      </c>
      <c r="G8079" s="6" t="s">
        <v>477</v>
      </c>
      <c r="H8079" s="10">
        <v>46074.0</v>
      </c>
      <c r="I8079" s="12">
        <v>3.0</v>
      </c>
      <c r="J8079" s="6" t="s">
        <v>161</v>
      </c>
    </row>
    <row r="8080" ht="22.5" customHeight="1">
      <c r="A8080" s="6" t="s">
        <v>24888</v>
      </c>
      <c r="B8080" s="6" t="s">
        <v>17911</v>
      </c>
      <c r="C8080" s="10">
        <v>46053.0</v>
      </c>
      <c r="D8080" s="6" t="s">
        <v>289</v>
      </c>
      <c r="E8080" s="6" t="s">
        <v>1055</v>
      </c>
      <c r="F8080" s="6" t="s">
        <v>439</v>
      </c>
      <c r="G8080" s="6" t="s">
        <v>458</v>
      </c>
      <c r="H8080" s="10">
        <v>46058.0</v>
      </c>
      <c r="I8080" s="12">
        <v>8.0</v>
      </c>
      <c r="J8080" s="6" t="s">
        <v>161</v>
      </c>
    </row>
    <row r="8081" ht="22.5" customHeight="1">
      <c r="A8081" s="6" t="s">
        <v>24889</v>
      </c>
      <c r="B8081" s="6" t="s">
        <v>17911</v>
      </c>
      <c r="C8081" s="10">
        <v>46059.0</v>
      </c>
      <c r="D8081" s="6" t="s">
        <v>436</v>
      </c>
      <c r="E8081" s="6" t="s">
        <v>798</v>
      </c>
      <c r="F8081" s="6" t="s">
        <v>439</v>
      </c>
      <c r="G8081" s="6" t="s">
        <v>458</v>
      </c>
      <c r="H8081" s="10">
        <v>46066.0</v>
      </c>
      <c r="I8081" s="12">
        <v>6.0</v>
      </c>
      <c r="J8081" s="6" t="s">
        <v>178</v>
      </c>
    </row>
    <row r="8082" ht="22.5" customHeight="1">
      <c r="A8082" s="6" t="s">
        <v>24890</v>
      </c>
      <c r="B8082" s="6" t="s">
        <v>17911</v>
      </c>
      <c r="C8082" s="10">
        <v>46052.0</v>
      </c>
      <c r="D8082" s="6" t="s">
        <v>436</v>
      </c>
      <c r="E8082" s="6" t="s">
        <v>1310</v>
      </c>
      <c r="F8082" s="6" t="s">
        <v>283</v>
      </c>
      <c r="G8082" s="6" t="s">
        <v>326</v>
      </c>
      <c r="H8082" s="10">
        <v>46057.0</v>
      </c>
      <c r="I8082" s="12">
        <v>6.0</v>
      </c>
      <c r="J8082" s="6" t="s">
        <v>178</v>
      </c>
    </row>
    <row r="8083" ht="22.5" customHeight="1">
      <c r="A8083" s="6" t="s">
        <v>24891</v>
      </c>
      <c r="B8083" s="6" t="s">
        <v>17918</v>
      </c>
      <c r="C8083" s="10">
        <v>46055.0</v>
      </c>
      <c r="D8083" s="6" t="s">
        <v>416</v>
      </c>
      <c r="E8083" s="6" t="s">
        <v>450</v>
      </c>
      <c r="F8083" s="6" t="s">
        <v>112</v>
      </c>
      <c r="G8083" s="6" t="s">
        <v>254</v>
      </c>
      <c r="H8083" s="11" t="s">
        <v>259</v>
      </c>
      <c r="I8083" s="12">
        <v>10.0</v>
      </c>
      <c r="J8083" s="6" t="s">
        <v>161</v>
      </c>
    </row>
    <row r="8084" ht="22.5" customHeight="1">
      <c r="A8084" s="6" t="s">
        <v>24892</v>
      </c>
      <c r="B8084" s="6" t="s">
        <v>17918</v>
      </c>
      <c r="C8084" s="10">
        <v>46051.0</v>
      </c>
      <c r="D8084" s="6" t="s">
        <v>436</v>
      </c>
      <c r="E8084" s="6" t="s">
        <v>394</v>
      </c>
      <c r="F8084" s="6" t="s">
        <v>439</v>
      </c>
      <c r="G8084" s="6" t="s">
        <v>297</v>
      </c>
      <c r="H8084" s="10">
        <v>46058.0</v>
      </c>
      <c r="I8084" s="12">
        <v>7.0</v>
      </c>
      <c r="J8084" s="6" t="s">
        <v>178</v>
      </c>
    </row>
    <row r="8085" ht="22.5" customHeight="1">
      <c r="A8085" s="6" t="s">
        <v>24893</v>
      </c>
      <c r="B8085" s="6" t="s">
        <v>17925</v>
      </c>
      <c r="C8085" s="10">
        <v>46025.0</v>
      </c>
      <c r="D8085" s="6" t="s">
        <v>289</v>
      </c>
      <c r="E8085" s="6" t="s">
        <v>1122</v>
      </c>
      <c r="F8085" s="6" t="s">
        <v>249</v>
      </c>
      <c r="G8085" s="6" t="s">
        <v>369</v>
      </c>
      <c r="H8085" s="10">
        <v>46027.0</v>
      </c>
      <c r="I8085" s="12">
        <v>10.0</v>
      </c>
      <c r="J8085" s="6" t="s">
        <v>161</v>
      </c>
    </row>
    <row r="8086" ht="22.5" customHeight="1">
      <c r="A8086" s="6" t="s">
        <v>24894</v>
      </c>
      <c r="B8086" s="6" t="s">
        <v>17925</v>
      </c>
      <c r="C8086" s="10">
        <v>46033.0</v>
      </c>
      <c r="D8086" s="6" t="s">
        <v>416</v>
      </c>
      <c r="E8086" s="6" t="s">
        <v>798</v>
      </c>
      <c r="F8086" s="6" t="s">
        <v>283</v>
      </c>
      <c r="G8086" s="6" t="s">
        <v>477</v>
      </c>
      <c r="H8086" s="10">
        <v>46034.0</v>
      </c>
      <c r="I8086" s="12">
        <v>13.0</v>
      </c>
      <c r="J8086" s="6" t="s">
        <v>161</v>
      </c>
    </row>
    <row r="8087" ht="22.5" customHeight="1">
      <c r="A8087" s="6" t="s">
        <v>24895</v>
      </c>
      <c r="B8087" s="6" t="s">
        <v>17925</v>
      </c>
      <c r="C8087" s="10">
        <v>46039.0</v>
      </c>
      <c r="D8087" s="6" t="s">
        <v>436</v>
      </c>
      <c r="E8087" s="6" t="s">
        <v>1626</v>
      </c>
      <c r="F8087" s="6" t="s">
        <v>112</v>
      </c>
      <c r="G8087" s="6" t="s">
        <v>297</v>
      </c>
      <c r="H8087" s="10">
        <v>46045.0</v>
      </c>
      <c r="I8087" s="12">
        <v>12.0</v>
      </c>
      <c r="J8087" s="6" t="s">
        <v>161</v>
      </c>
    </row>
    <row r="8088" ht="22.5" customHeight="1">
      <c r="A8088" s="6" t="s">
        <v>24896</v>
      </c>
      <c r="B8088" s="6" t="s">
        <v>17925</v>
      </c>
      <c r="C8088" s="10">
        <v>46035.0</v>
      </c>
      <c r="D8088" s="6" t="s">
        <v>436</v>
      </c>
      <c r="E8088" s="6" t="s">
        <v>246</v>
      </c>
      <c r="F8088" s="6" t="s">
        <v>249</v>
      </c>
      <c r="G8088" s="6" t="s">
        <v>458</v>
      </c>
      <c r="H8088" s="10">
        <v>46037.0</v>
      </c>
      <c r="I8088" s="12">
        <v>9.0</v>
      </c>
      <c r="J8088" s="6" t="s">
        <v>178</v>
      </c>
    </row>
    <row r="8089" ht="22.5" customHeight="1">
      <c r="A8089" s="6" t="s">
        <v>24897</v>
      </c>
      <c r="B8089" s="6" t="s">
        <v>17933</v>
      </c>
      <c r="C8089" s="10">
        <v>46029.0</v>
      </c>
      <c r="D8089" s="6" t="s">
        <v>312</v>
      </c>
      <c r="E8089" s="6" t="s">
        <v>566</v>
      </c>
      <c r="F8089" s="6" t="s">
        <v>112</v>
      </c>
      <c r="G8089" s="6" t="s">
        <v>477</v>
      </c>
      <c r="H8089" s="11" t="s">
        <v>259</v>
      </c>
      <c r="I8089" s="12">
        <v>6.0</v>
      </c>
      <c r="J8089" s="6" t="s">
        <v>161</v>
      </c>
    </row>
    <row r="8090" ht="22.5" customHeight="1">
      <c r="A8090" s="6" t="s">
        <v>24898</v>
      </c>
      <c r="B8090" s="6" t="s">
        <v>17933</v>
      </c>
      <c r="C8090" s="10">
        <v>46034.0</v>
      </c>
      <c r="D8090" s="6" t="s">
        <v>312</v>
      </c>
      <c r="E8090" s="6" t="s">
        <v>2365</v>
      </c>
      <c r="F8090" s="6" t="s">
        <v>283</v>
      </c>
      <c r="G8090" s="6" t="s">
        <v>297</v>
      </c>
      <c r="H8090" s="10">
        <v>46034.0</v>
      </c>
      <c r="I8090" s="12">
        <v>7.0</v>
      </c>
      <c r="J8090" s="6" t="s">
        <v>161</v>
      </c>
    </row>
    <row r="8091" ht="22.5" customHeight="1">
      <c r="A8091" s="6" t="s">
        <v>24899</v>
      </c>
      <c r="B8091" s="6" t="s">
        <v>17933</v>
      </c>
      <c r="C8091" s="10">
        <v>46043.0</v>
      </c>
      <c r="D8091" s="6" t="s">
        <v>436</v>
      </c>
      <c r="E8091" s="6" t="s">
        <v>512</v>
      </c>
      <c r="F8091" s="6" t="s">
        <v>439</v>
      </c>
      <c r="G8091" s="6" t="s">
        <v>494</v>
      </c>
      <c r="H8091" s="10">
        <v>46045.0</v>
      </c>
      <c r="I8091" s="12">
        <v>9.0</v>
      </c>
      <c r="J8091" s="6" t="s">
        <v>178</v>
      </c>
    </row>
    <row r="8092" ht="22.5" customHeight="1">
      <c r="A8092" s="6" t="s">
        <v>24900</v>
      </c>
      <c r="B8092" s="6" t="s">
        <v>17940</v>
      </c>
      <c r="C8092" s="10">
        <v>46057.0</v>
      </c>
      <c r="D8092" s="6" t="s">
        <v>436</v>
      </c>
      <c r="E8092" s="6" t="s">
        <v>634</v>
      </c>
      <c r="F8092" s="6" t="s">
        <v>249</v>
      </c>
      <c r="G8092" s="6" t="s">
        <v>494</v>
      </c>
      <c r="H8092" s="10">
        <v>46063.0</v>
      </c>
      <c r="I8092" s="12">
        <v>6.0</v>
      </c>
      <c r="J8092" s="6" t="s">
        <v>178</v>
      </c>
    </row>
    <row r="8093" ht="22.5" customHeight="1">
      <c r="A8093" s="6" t="s">
        <v>24901</v>
      </c>
      <c r="B8093" s="6" t="s">
        <v>17940</v>
      </c>
      <c r="C8093" s="10">
        <v>46062.0</v>
      </c>
      <c r="D8093" s="6" t="s">
        <v>391</v>
      </c>
      <c r="E8093" s="6" t="s">
        <v>394</v>
      </c>
      <c r="F8093" s="6" t="s">
        <v>112</v>
      </c>
      <c r="G8093" s="6" t="s">
        <v>452</v>
      </c>
      <c r="H8093" s="10">
        <v>46062.0</v>
      </c>
      <c r="I8093" s="12">
        <v>11.0</v>
      </c>
      <c r="J8093" s="6" t="s">
        <v>161</v>
      </c>
    </row>
    <row r="8094" ht="22.5" customHeight="1">
      <c r="A8094" s="6" t="s">
        <v>24902</v>
      </c>
      <c r="B8094" s="6" t="s">
        <v>17940</v>
      </c>
      <c r="C8094" s="10">
        <v>46068.0</v>
      </c>
      <c r="D8094" s="6" t="s">
        <v>391</v>
      </c>
      <c r="E8094" s="6" t="s">
        <v>610</v>
      </c>
      <c r="F8094" s="6" t="s">
        <v>112</v>
      </c>
      <c r="G8094" s="6" t="s">
        <v>369</v>
      </c>
      <c r="H8094" s="11" t="s">
        <v>259</v>
      </c>
      <c r="I8094" s="12">
        <v>7.0</v>
      </c>
      <c r="J8094" s="6" t="s">
        <v>161</v>
      </c>
    </row>
    <row r="8095" ht="22.5" customHeight="1">
      <c r="A8095" s="6" t="s">
        <v>24903</v>
      </c>
      <c r="B8095" s="6" t="s">
        <v>17947</v>
      </c>
      <c r="C8095" s="10">
        <v>46056.0</v>
      </c>
      <c r="D8095" s="6" t="s">
        <v>312</v>
      </c>
      <c r="E8095" s="6" t="s">
        <v>291</v>
      </c>
      <c r="F8095" s="6" t="s">
        <v>249</v>
      </c>
      <c r="G8095" s="6" t="s">
        <v>452</v>
      </c>
      <c r="H8095" s="10">
        <v>46058.0</v>
      </c>
      <c r="I8095" s="12">
        <v>7.0</v>
      </c>
      <c r="J8095" s="6" t="s">
        <v>161</v>
      </c>
    </row>
    <row r="8096" ht="22.5" customHeight="1">
      <c r="A8096" s="6" t="s">
        <v>24904</v>
      </c>
      <c r="B8096" s="6" t="s">
        <v>17947</v>
      </c>
      <c r="C8096" s="10">
        <v>46062.0</v>
      </c>
      <c r="D8096" s="6" t="s">
        <v>416</v>
      </c>
      <c r="E8096" s="6" t="s">
        <v>466</v>
      </c>
      <c r="F8096" s="6" t="s">
        <v>283</v>
      </c>
      <c r="G8096" s="6" t="s">
        <v>477</v>
      </c>
      <c r="H8096" s="10">
        <v>46063.0</v>
      </c>
      <c r="I8096" s="12">
        <v>10.0</v>
      </c>
      <c r="J8096" s="6" t="s">
        <v>161</v>
      </c>
    </row>
    <row r="8097" ht="22.5" customHeight="1">
      <c r="A8097" s="6" t="s">
        <v>24905</v>
      </c>
      <c r="B8097" s="6" t="s">
        <v>17947</v>
      </c>
      <c r="C8097" s="10">
        <v>46053.0</v>
      </c>
      <c r="D8097" s="6" t="s">
        <v>416</v>
      </c>
      <c r="E8097" s="6" t="s">
        <v>628</v>
      </c>
      <c r="F8097" s="6" t="s">
        <v>249</v>
      </c>
      <c r="G8097" s="6" t="s">
        <v>477</v>
      </c>
      <c r="H8097" s="10">
        <v>46057.0</v>
      </c>
      <c r="I8097" s="12">
        <v>10.0</v>
      </c>
      <c r="J8097" s="6" t="s">
        <v>161</v>
      </c>
    </row>
    <row r="8098" ht="22.5" customHeight="1">
      <c r="A8098" s="6" t="s">
        <v>24906</v>
      </c>
      <c r="B8098" s="6" t="s">
        <v>17947</v>
      </c>
      <c r="C8098" s="10">
        <v>46061.0</v>
      </c>
      <c r="D8098" s="6" t="s">
        <v>289</v>
      </c>
      <c r="E8098" s="6" t="s">
        <v>716</v>
      </c>
      <c r="F8098" s="6" t="s">
        <v>439</v>
      </c>
      <c r="G8098" s="6" t="s">
        <v>494</v>
      </c>
      <c r="H8098" s="11" t="s">
        <v>259</v>
      </c>
      <c r="I8098" s="12">
        <v>6.0</v>
      </c>
      <c r="J8098" s="6" t="s">
        <v>161</v>
      </c>
    </row>
    <row r="8099" ht="22.5" customHeight="1">
      <c r="A8099" s="6" t="s">
        <v>24907</v>
      </c>
      <c r="B8099" s="6" t="s">
        <v>17947</v>
      </c>
      <c r="C8099" s="10">
        <v>46065.0</v>
      </c>
      <c r="D8099" s="6" t="s">
        <v>436</v>
      </c>
      <c r="E8099" s="6" t="s">
        <v>738</v>
      </c>
      <c r="F8099" s="6" t="s">
        <v>249</v>
      </c>
      <c r="G8099" s="6" t="s">
        <v>326</v>
      </c>
      <c r="H8099" s="10">
        <v>46071.0</v>
      </c>
      <c r="I8099" s="12">
        <v>10.0</v>
      </c>
      <c r="J8099" s="6" t="s">
        <v>161</v>
      </c>
    </row>
    <row r="8100" ht="22.5" customHeight="1">
      <c r="A8100" s="6" t="s">
        <v>24908</v>
      </c>
      <c r="B8100" s="6" t="s">
        <v>17954</v>
      </c>
      <c r="C8100" s="10">
        <v>46061.0</v>
      </c>
      <c r="D8100" s="6" t="s">
        <v>677</v>
      </c>
      <c r="E8100" s="6" t="s">
        <v>704</v>
      </c>
      <c r="F8100" s="6" t="s">
        <v>112</v>
      </c>
      <c r="G8100" s="6" t="s">
        <v>477</v>
      </c>
      <c r="H8100" s="10">
        <v>46063.0</v>
      </c>
      <c r="I8100" s="12">
        <v>3.0</v>
      </c>
      <c r="J8100" s="6" t="s">
        <v>161</v>
      </c>
    </row>
    <row r="8101" ht="22.5" customHeight="1">
      <c r="A8101" s="6" t="s">
        <v>24909</v>
      </c>
      <c r="B8101" s="6" t="s">
        <v>17960</v>
      </c>
      <c r="C8101" s="10">
        <v>46066.0</v>
      </c>
      <c r="D8101" s="6" t="s">
        <v>242</v>
      </c>
      <c r="E8101" s="6" t="s">
        <v>798</v>
      </c>
      <c r="F8101" s="6" t="s">
        <v>439</v>
      </c>
      <c r="G8101" s="6" t="s">
        <v>458</v>
      </c>
      <c r="H8101" s="10">
        <v>46068.0</v>
      </c>
      <c r="I8101" s="12">
        <v>4.0</v>
      </c>
      <c r="J8101" s="6" t="s">
        <v>178</v>
      </c>
    </row>
    <row r="8102" ht="22.5" customHeight="1">
      <c r="A8102" s="6" t="s">
        <v>24910</v>
      </c>
      <c r="B8102" s="6" t="s">
        <v>17966</v>
      </c>
      <c r="C8102" s="10">
        <v>46078.0</v>
      </c>
      <c r="D8102" s="6" t="s">
        <v>242</v>
      </c>
      <c r="E8102" s="6" t="s">
        <v>687</v>
      </c>
      <c r="F8102" s="6" t="s">
        <v>249</v>
      </c>
      <c r="G8102" s="6" t="s">
        <v>326</v>
      </c>
      <c r="H8102" s="11" t="s">
        <v>259</v>
      </c>
      <c r="I8102" s="12">
        <v>5.0</v>
      </c>
      <c r="J8102" s="6" t="s">
        <v>178</v>
      </c>
    </row>
    <row r="8103" ht="22.5" customHeight="1">
      <c r="A8103" s="6" t="s">
        <v>24911</v>
      </c>
      <c r="B8103" s="6" t="s">
        <v>17966</v>
      </c>
      <c r="C8103" s="10">
        <v>46078.0</v>
      </c>
      <c r="D8103" s="6" t="s">
        <v>416</v>
      </c>
      <c r="E8103" s="6" t="s">
        <v>1241</v>
      </c>
      <c r="F8103" s="6" t="s">
        <v>249</v>
      </c>
      <c r="G8103" s="6" t="s">
        <v>494</v>
      </c>
      <c r="H8103" s="10">
        <v>46082.0</v>
      </c>
      <c r="I8103" s="12">
        <v>11.0</v>
      </c>
      <c r="J8103" s="6" t="s">
        <v>161</v>
      </c>
    </row>
    <row r="8104" ht="22.5" customHeight="1">
      <c r="A8104" s="6" t="s">
        <v>24912</v>
      </c>
      <c r="B8104" s="6" t="s">
        <v>17966</v>
      </c>
      <c r="C8104" s="10">
        <v>46072.0</v>
      </c>
      <c r="D8104" s="6" t="s">
        <v>436</v>
      </c>
      <c r="E8104" s="6" t="s">
        <v>634</v>
      </c>
      <c r="F8104" s="6" t="s">
        <v>112</v>
      </c>
      <c r="G8104" s="6" t="s">
        <v>477</v>
      </c>
      <c r="H8104" s="10">
        <v>46072.0</v>
      </c>
      <c r="I8104" s="12">
        <v>12.0</v>
      </c>
      <c r="J8104" s="6" t="s">
        <v>178</v>
      </c>
    </row>
    <row r="8105" ht="22.5" customHeight="1">
      <c r="A8105" s="6" t="s">
        <v>24913</v>
      </c>
      <c r="B8105" s="6" t="s">
        <v>17966</v>
      </c>
      <c r="C8105" s="10">
        <v>46078.0</v>
      </c>
      <c r="D8105" s="6" t="s">
        <v>677</v>
      </c>
      <c r="E8105" s="6" t="s">
        <v>365</v>
      </c>
      <c r="F8105" s="6" t="s">
        <v>439</v>
      </c>
      <c r="G8105" s="6" t="s">
        <v>369</v>
      </c>
      <c r="H8105" s="10">
        <v>46082.0</v>
      </c>
      <c r="I8105" s="12">
        <v>3.0</v>
      </c>
      <c r="J8105" s="6" t="s">
        <v>161</v>
      </c>
    </row>
    <row r="8106" ht="22.5" customHeight="1">
      <c r="A8106" s="6" t="s">
        <v>24914</v>
      </c>
      <c r="B8106" s="6" t="s">
        <v>17973</v>
      </c>
      <c r="C8106" s="10">
        <v>46028.0</v>
      </c>
      <c r="D8106" s="6" t="s">
        <v>436</v>
      </c>
      <c r="E8106" s="6" t="s">
        <v>1600</v>
      </c>
      <c r="F8106" s="6" t="s">
        <v>249</v>
      </c>
      <c r="G8106" s="6" t="s">
        <v>494</v>
      </c>
      <c r="H8106" s="10">
        <v>46030.0</v>
      </c>
      <c r="I8106" s="12">
        <v>9.0</v>
      </c>
      <c r="J8106" s="6" t="s">
        <v>161</v>
      </c>
    </row>
    <row r="8107" ht="22.5" customHeight="1">
      <c r="A8107" s="6" t="s">
        <v>24915</v>
      </c>
      <c r="B8107" s="6" t="s">
        <v>17979</v>
      </c>
      <c r="C8107" s="10">
        <v>46058.0</v>
      </c>
      <c r="D8107" s="6" t="s">
        <v>391</v>
      </c>
      <c r="E8107" s="6" t="s">
        <v>896</v>
      </c>
      <c r="F8107" s="6" t="s">
        <v>112</v>
      </c>
      <c r="G8107" s="6" t="s">
        <v>477</v>
      </c>
      <c r="H8107" s="10">
        <v>46063.0</v>
      </c>
      <c r="I8107" s="12">
        <v>9.0</v>
      </c>
      <c r="J8107" s="6" t="s">
        <v>161</v>
      </c>
    </row>
    <row r="8108" ht="22.5" customHeight="1">
      <c r="A8108" s="6" t="s">
        <v>24916</v>
      </c>
      <c r="B8108" s="6" t="s">
        <v>17979</v>
      </c>
      <c r="C8108" s="10">
        <v>46056.0</v>
      </c>
      <c r="D8108" s="6" t="s">
        <v>436</v>
      </c>
      <c r="E8108" s="6" t="s">
        <v>512</v>
      </c>
      <c r="F8108" s="6" t="s">
        <v>249</v>
      </c>
      <c r="G8108" s="6" t="s">
        <v>494</v>
      </c>
      <c r="H8108" s="10">
        <v>46057.0</v>
      </c>
      <c r="I8108" s="12">
        <v>11.0</v>
      </c>
      <c r="J8108" s="6" t="s">
        <v>161</v>
      </c>
    </row>
    <row r="8109" ht="22.5" customHeight="1">
      <c r="A8109" s="6" t="s">
        <v>24917</v>
      </c>
      <c r="B8109" s="6" t="s">
        <v>17985</v>
      </c>
      <c r="C8109" s="10">
        <v>46056.0</v>
      </c>
      <c r="D8109" s="6" t="s">
        <v>677</v>
      </c>
      <c r="E8109" s="6" t="s">
        <v>291</v>
      </c>
      <c r="F8109" s="6" t="s">
        <v>112</v>
      </c>
      <c r="G8109" s="6" t="s">
        <v>494</v>
      </c>
      <c r="H8109" s="10">
        <v>46057.0</v>
      </c>
      <c r="I8109" s="12">
        <v>3.0</v>
      </c>
      <c r="J8109" s="6" t="s">
        <v>161</v>
      </c>
    </row>
    <row r="8110" ht="22.5" customHeight="1">
      <c r="A8110" s="6" t="s">
        <v>24918</v>
      </c>
      <c r="B8110" s="6" t="s">
        <v>17985</v>
      </c>
      <c r="C8110" s="10">
        <v>46038.0</v>
      </c>
      <c r="D8110" s="6" t="s">
        <v>416</v>
      </c>
      <c r="E8110" s="6" t="s">
        <v>1386</v>
      </c>
      <c r="F8110" s="6" t="s">
        <v>283</v>
      </c>
      <c r="G8110" s="6" t="s">
        <v>254</v>
      </c>
      <c r="H8110" s="10">
        <v>46040.0</v>
      </c>
      <c r="I8110" s="12">
        <v>14.0</v>
      </c>
      <c r="J8110" s="6" t="s">
        <v>161</v>
      </c>
    </row>
    <row r="8111" ht="22.5" customHeight="1">
      <c r="A8111" s="6" t="s">
        <v>24919</v>
      </c>
      <c r="B8111" s="6" t="s">
        <v>17985</v>
      </c>
      <c r="C8111" s="10">
        <v>46042.0</v>
      </c>
      <c r="D8111" s="6" t="s">
        <v>436</v>
      </c>
      <c r="E8111" s="6" t="s">
        <v>1741</v>
      </c>
      <c r="F8111" s="6" t="s">
        <v>112</v>
      </c>
      <c r="G8111" s="6" t="s">
        <v>297</v>
      </c>
      <c r="H8111" s="10">
        <v>46046.0</v>
      </c>
      <c r="I8111" s="12">
        <v>12.0</v>
      </c>
      <c r="J8111" s="6" t="s">
        <v>178</v>
      </c>
    </row>
    <row r="8112" ht="22.5" customHeight="1">
      <c r="A8112" s="6" t="s">
        <v>24920</v>
      </c>
      <c r="B8112" s="6" t="s">
        <v>17985</v>
      </c>
      <c r="C8112" s="10">
        <v>46043.0</v>
      </c>
      <c r="D8112" s="6" t="s">
        <v>436</v>
      </c>
      <c r="E8112" s="6" t="s">
        <v>417</v>
      </c>
      <c r="F8112" s="6" t="s">
        <v>112</v>
      </c>
      <c r="G8112" s="6" t="s">
        <v>254</v>
      </c>
      <c r="H8112" s="10">
        <v>46043.0</v>
      </c>
      <c r="I8112" s="12">
        <v>10.0</v>
      </c>
      <c r="J8112" s="6" t="s">
        <v>178</v>
      </c>
    </row>
    <row r="8113" ht="22.5" customHeight="1">
      <c r="A8113" s="6" t="s">
        <v>24921</v>
      </c>
      <c r="B8113" s="6" t="s">
        <v>17985</v>
      </c>
      <c r="C8113" s="10">
        <v>46049.0</v>
      </c>
      <c r="D8113" s="6" t="s">
        <v>416</v>
      </c>
      <c r="E8113" s="6" t="s">
        <v>687</v>
      </c>
      <c r="F8113" s="6" t="s">
        <v>112</v>
      </c>
      <c r="G8113" s="6" t="s">
        <v>494</v>
      </c>
      <c r="H8113" s="10">
        <v>46053.0</v>
      </c>
      <c r="I8113" s="12">
        <v>11.0</v>
      </c>
      <c r="J8113" s="6" t="s">
        <v>161</v>
      </c>
    </row>
    <row r="8114" ht="22.5" customHeight="1">
      <c r="A8114" s="6" t="s">
        <v>24922</v>
      </c>
      <c r="B8114" s="6" t="s">
        <v>17992</v>
      </c>
      <c r="C8114" s="10">
        <v>46028.0</v>
      </c>
      <c r="D8114" s="6" t="s">
        <v>436</v>
      </c>
      <c r="E8114" s="6" t="s">
        <v>863</v>
      </c>
      <c r="F8114" s="6" t="s">
        <v>112</v>
      </c>
      <c r="G8114" s="6" t="s">
        <v>326</v>
      </c>
      <c r="H8114" s="10">
        <v>46029.0</v>
      </c>
      <c r="I8114" s="12">
        <v>8.0</v>
      </c>
      <c r="J8114" s="6" t="s">
        <v>178</v>
      </c>
    </row>
    <row r="8115" ht="22.5" customHeight="1">
      <c r="A8115" s="6" t="s">
        <v>24923</v>
      </c>
      <c r="B8115" s="6" t="s">
        <v>17998</v>
      </c>
      <c r="C8115" s="10">
        <v>46065.0</v>
      </c>
      <c r="D8115" s="6" t="s">
        <v>289</v>
      </c>
      <c r="E8115" s="6" t="s">
        <v>687</v>
      </c>
      <c r="F8115" s="6" t="s">
        <v>283</v>
      </c>
      <c r="G8115" s="6" t="s">
        <v>458</v>
      </c>
      <c r="H8115" s="10">
        <v>46072.0</v>
      </c>
      <c r="I8115" s="12">
        <v>9.0</v>
      </c>
      <c r="J8115" s="6" t="s">
        <v>161</v>
      </c>
    </row>
    <row r="8116" ht="22.5" customHeight="1">
      <c r="A8116" s="6" t="s">
        <v>24924</v>
      </c>
      <c r="B8116" s="6" t="s">
        <v>17998</v>
      </c>
      <c r="C8116" s="10">
        <v>46060.0</v>
      </c>
      <c r="D8116" s="6" t="s">
        <v>242</v>
      </c>
      <c r="E8116" s="6" t="s">
        <v>618</v>
      </c>
      <c r="F8116" s="6" t="s">
        <v>249</v>
      </c>
      <c r="G8116" s="6" t="s">
        <v>494</v>
      </c>
      <c r="H8116" s="10">
        <v>46066.0</v>
      </c>
      <c r="I8116" s="12">
        <v>6.0</v>
      </c>
      <c r="J8116" s="6" t="s">
        <v>178</v>
      </c>
    </row>
    <row r="8117" ht="22.5" customHeight="1">
      <c r="A8117" s="6" t="s">
        <v>24925</v>
      </c>
      <c r="B8117" s="6" t="s">
        <v>18004</v>
      </c>
      <c r="C8117" s="10">
        <v>46067.0</v>
      </c>
      <c r="D8117" s="6" t="s">
        <v>416</v>
      </c>
      <c r="E8117" s="6" t="s">
        <v>1070</v>
      </c>
      <c r="F8117" s="6" t="s">
        <v>439</v>
      </c>
      <c r="G8117" s="6" t="s">
        <v>477</v>
      </c>
      <c r="H8117" s="10">
        <v>46073.0</v>
      </c>
      <c r="I8117" s="12">
        <v>11.0</v>
      </c>
      <c r="J8117" s="6" t="s">
        <v>161</v>
      </c>
    </row>
    <row r="8118" ht="22.5" customHeight="1">
      <c r="A8118" s="6" t="s">
        <v>24926</v>
      </c>
      <c r="B8118" s="6" t="s">
        <v>18004</v>
      </c>
      <c r="C8118" s="10">
        <v>46052.0</v>
      </c>
      <c r="D8118" s="6" t="s">
        <v>391</v>
      </c>
      <c r="E8118" s="6" t="s">
        <v>1720</v>
      </c>
      <c r="F8118" s="6" t="s">
        <v>283</v>
      </c>
      <c r="G8118" s="6" t="s">
        <v>494</v>
      </c>
      <c r="H8118" s="10">
        <v>46059.0</v>
      </c>
      <c r="I8118" s="12">
        <v>11.0</v>
      </c>
      <c r="J8118" s="6" t="s">
        <v>161</v>
      </c>
    </row>
    <row r="8119" ht="22.5" customHeight="1">
      <c r="A8119" s="6" t="s">
        <v>24927</v>
      </c>
      <c r="B8119" s="6" t="s">
        <v>18004</v>
      </c>
      <c r="C8119" s="10">
        <v>46052.0</v>
      </c>
      <c r="D8119" s="6" t="s">
        <v>391</v>
      </c>
      <c r="E8119" s="6" t="s">
        <v>1552</v>
      </c>
      <c r="F8119" s="6" t="s">
        <v>439</v>
      </c>
      <c r="G8119" s="6" t="s">
        <v>477</v>
      </c>
      <c r="H8119" s="10">
        <v>46057.0</v>
      </c>
      <c r="I8119" s="12">
        <v>11.0</v>
      </c>
      <c r="J8119" s="6" t="s">
        <v>161</v>
      </c>
    </row>
    <row r="8120" ht="22.5" customHeight="1">
      <c r="A8120" s="6" t="s">
        <v>24928</v>
      </c>
      <c r="B8120" s="6" t="s">
        <v>18004</v>
      </c>
      <c r="C8120" s="10">
        <v>46064.0</v>
      </c>
      <c r="D8120" s="6" t="s">
        <v>436</v>
      </c>
      <c r="E8120" s="6" t="s">
        <v>566</v>
      </c>
      <c r="F8120" s="6" t="s">
        <v>112</v>
      </c>
      <c r="G8120" s="6" t="s">
        <v>297</v>
      </c>
      <c r="H8120" s="10">
        <v>46068.0</v>
      </c>
      <c r="I8120" s="12">
        <v>6.0</v>
      </c>
      <c r="J8120" s="6" t="s">
        <v>178</v>
      </c>
    </row>
    <row r="8121" ht="22.5" customHeight="1">
      <c r="A8121" s="6" t="s">
        <v>24929</v>
      </c>
      <c r="B8121" s="6" t="s">
        <v>18009</v>
      </c>
      <c r="C8121" s="10">
        <v>46029.0</v>
      </c>
      <c r="D8121" s="6" t="s">
        <v>242</v>
      </c>
      <c r="E8121" s="6" t="s">
        <v>1280</v>
      </c>
      <c r="F8121" s="6" t="s">
        <v>112</v>
      </c>
      <c r="G8121" s="6" t="s">
        <v>297</v>
      </c>
      <c r="H8121" s="10">
        <v>46034.0</v>
      </c>
      <c r="I8121" s="12">
        <v>6.0</v>
      </c>
      <c r="J8121" s="6" t="s">
        <v>178</v>
      </c>
    </row>
    <row r="8122" ht="22.5" customHeight="1">
      <c r="A8122" s="6" t="s">
        <v>24930</v>
      </c>
      <c r="B8122" s="6" t="s">
        <v>18009</v>
      </c>
      <c r="C8122" s="10">
        <v>46032.0</v>
      </c>
      <c r="D8122" s="6" t="s">
        <v>242</v>
      </c>
      <c r="E8122" s="6" t="s">
        <v>1626</v>
      </c>
      <c r="F8122" s="6" t="s">
        <v>439</v>
      </c>
      <c r="G8122" s="6" t="s">
        <v>254</v>
      </c>
      <c r="H8122" s="10">
        <v>46039.0</v>
      </c>
      <c r="I8122" s="12">
        <v>4.0</v>
      </c>
      <c r="J8122" s="6" t="s">
        <v>178</v>
      </c>
    </row>
    <row r="8123" ht="22.5" customHeight="1">
      <c r="A8123" s="6" t="s">
        <v>24931</v>
      </c>
      <c r="B8123" s="6" t="s">
        <v>18016</v>
      </c>
      <c r="C8123" s="10">
        <v>46080.0</v>
      </c>
      <c r="D8123" s="6" t="s">
        <v>391</v>
      </c>
      <c r="E8123" s="6" t="s">
        <v>566</v>
      </c>
      <c r="F8123" s="6" t="s">
        <v>112</v>
      </c>
      <c r="G8123" s="6" t="s">
        <v>326</v>
      </c>
      <c r="H8123" s="10">
        <v>46080.0</v>
      </c>
      <c r="I8123" s="12">
        <v>8.0</v>
      </c>
      <c r="J8123" s="6" t="s">
        <v>161</v>
      </c>
    </row>
    <row r="8124" ht="22.5" customHeight="1">
      <c r="A8124" s="6" t="s">
        <v>24932</v>
      </c>
      <c r="B8124" s="6" t="s">
        <v>18016</v>
      </c>
      <c r="C8124" s="10">
        <v>46081.0</v>
      </c>
      <c r="D8124" s="6" t="s">
        <v>391</v>
      </c>
      <c r="E8124" s="6" t="s">
        <v>1273</v>
      </c>
      <c r="F8124" s="6" t="s">
        <v>112</v>
      </c>
      <c r="G8124" s="6" t="s">
        <v>297</v>
      </c>
      <c r="H8124" s="10">
        <v>46088.0</v>
      </c>
      <c r="I8124" s="12">
        <v>10.0</v>
      </c>
      <c r="J8124" s="6" t="s">
        <v>161</v>
      </c>
    </row>
    <row r="8125" ht="22.5" customHeight="1">
      <c r="A8125" s="6" t="s">
        <v>24933</v>
      </c>
      <c r="B8125" s="6" t="s">
        <v>18016</v>
      </c>
      <c r="C8125" s="10">
        <v>46078.0</v>
      </c>
      <c r="D8125" s="6" t="s">
        <v>242</v>
      </c>
      <c r="E8125" s="6" t="s">
        <v>896</v>
      </c>
      <c r="F8125" s="6" t="s">
        <v>249</v>
      </c>
      <c r="G8125" s="6" t="s">
        <v>477</v>
      </c>
      <c r="H8125" s="10">
        <v>46085.0</v>
      </c>
      <c r="I8125" s="12">
        <v>3.0</v>
      </c>
      <c r="J8125" s="6" t="s">
        <v>178</v>
      </c>
    </row>
    <row r="8126" ht="22.5" customHeight="1">
      <c r="A8126" s="6" t="s">
        <v>24934</v>
      </c>
      <c r="B8126" s="6" t="s">
        <v>18023</v>
      </c>
      <c r="C8126" s="10">
        <v>46052.0</v>
      </c>
      <c r="D8126" s="6" t="s">
        <v>242</v>
      </c>
      <c r="E8126" s="6" t="s">
        <v>704</v>
      </c>
      <c r="F8126" s="6" t="s">
        <v>112</v>
      </c>
      <c r="G8126" s="6" t="s">
        <v>369</v>
      </c>
      <c r="H8126" s="10">
        <v>46055.0</v>
      </c>
      <c r="I8126" s="12">
        <v>4.0</v>
      </c>
      <c r="J8126" s="6" t="s">
        <v>178</v>
      </c>
    </row>
    <row r="8127" ht="22.5" customHeight="1">
      <c r="A8127" s="6" t="s">
        <v>24935</v>
      </c>
      <c r="B8127" s="6" t="s">
        <v>18023</v>
      </c>
      <c r="C8127" s="10">
        <v>46038.0</v>
      </c>
      <c r="D8127" s="6" t="s">
        <v>391</v>
      </c>
      <c r="E8127" s="6" t="s">
        <v>1035</v>
      </c>
      <c r="F8127" s="6" t="s">
        <v>112</v>
      </c>
      <c r="G8127" s="6" t="s">
        <v>452</v>
      </c>
      <c r="H8127" s="10">
        <v>46044.0</v>
      </c>
      <c r="I8127" s="12">
        <v>8.0</v>
      </c>
      <c r="J8127" s="6" t="s">
        <v>161</v>
      </c>
    </row>
    <row r="8128" ht="22.5" customHeight="1">
      <c r="A8128" s="6" t="s">
        <v>24936</v>
      </c>
      <c r="B8128" s="6" t="s">
        <v>18023</v>
      </c>
      <c r="C8128" s="10">
        <v>46043.0</v>
      </c>
      <c r="D8128" s="6" t="s">
        <v>391</v>
      </c>
      <c r="E8128" s="6" t="s">
        <v>1546</v>
      </c>
      <c r="F8128" s="6" t="s">
        <v>249</v>
      </c>
      <c r="G8128" s="6" t="s">
        <v>326</v>
      </c>
      <c r="H8128" s="10">
        <v>46049.0</v>
      </c>
      <c r="I8128" s="12">
        <v>11.0</v>
      </c>
      <c r="J8128" s="6" t="s">
        <v>161</v>
      </c>
    </row>
    <row r="8129" ht="22.5" customHeight="1">
      <c r="A8129" s="6" t="s">
        <v>24937</v>
      </c>
      <c r="B8129" s="6" t="s">
        <v>18023</v>
      </c>
      <c r="C8129" s="10">
        <v>46036.0</v>
      </c>
      <c r="D8129" s="6" t="s">
        <v>436</v>
      </c>
      <c r="E8129" s="6" t="s">
        <v>628</v>
      </c>
      <c r="F8129" s="6" t="s">
        <v>439</v>
      </c>
      <c r="G8129" s="6" t="s">
        <v>494</v>
      </c>
      <c r="H8129" s="10">
        <v>46043.0</v>
      </c>
      <c r="I8129" s="12">
        <v>12.0</v>
      </c>
      <c r="J8129" s="6" t="s">
        <v>161</v>
      </c>
    </row>
    <row r="8130" ht="22.5" customHeight="1">
      <c r="A8130" s="6" t="s">
        <v>24938</v>
      </c>
      <c r="B8130" s="6" t="s">
        <v>18023</v>
      </c>
      <c r="C8130" s="10">
        <v>46040.0</v>
      </c>
      <c r="D8130" s="6" t="s">
        <v>242</v>
      </c>
      <c r="E8130" s="6" t="s">
        <v>2881</v>
      </c>
      <c r="F8130" s="6" t="s">
        <v>112</v>
      </c>
      <c r="G8130" s="6" t="s">
        <v>458</v>
      </c>
      <c r="H8130" s="10">
        <v>46043.0</v>
      </c>
      <c r="I8130" s="12">
        <v>5.0</v>
      </c>
      <c r="J8130" s="6" t="s">
        <v>178</v>
      </c>
    </row>
    <row r="8131" ht="22.5" customHeight="1">
      <c r="A8131" s="6" t="s">
        <v>24939</v>
      </c>
      <c r="B8131" s="6" t="s">
        <v>18030</v>
      </c>
      <c r="C8131" s="10">
        <v>46074.0</v>
      </c>
      <c r="D8131" s="6" t="s">
        <v>436</v>
      </c>
      <c r="E8131" s="6" t="s">
        <v>291</v>
      </c>
      <c r="F8131" s="6" t="s">
        <v>249</v>
      </c>
      <c r="G8131" s="6" t="s">
        <v>494</v>
      </c>
      <c r="H8131" s="11" t="s">
        <v>259</v>
      </c>
      <c r="I8131" s="12">
        <v>9.0</v>
      </c>
      <c r="J8131" s="6" t="s">
        <v>178</v>
      </c>
    </row>
    <row r="8132" ht="22.5" customHeight="1">
      <c r="A8132" s="6" t="s">
        <v>24940</v>
      </c>
      <c r="B8132" s="6" t="s">
        <v>18030</v>
      </c>
      <c r="C8132" s="10">
        <v>46063.0</v>
      </c>
      <c r="D8132" s="6" t="s">
        <v>391</v>
      </c>
      <c r="E8132" s="6" t="s">
        <v>955</v>
      </c>
      <c r="F8132" s="6" t="s">
        <v>283</v>
      </c>
      <c r="G8132" s="6" t="s">
        <v>477</v>
      </c>
      <c r="H8132" s="10">
        <v>46065.0</v>
      </c>
      <c r="I8132" s="12">
        <v>11.0</v>
      </c>
      <c r="J8132" s="6" t="s">
        <v>161</v>
      </c>
    </row>
    <row r="8133" ht="22.5" customHeight="1">
      <c r="A8133" s="6" t="s">
        <v>24941</v>
      </c>
      <c r="B8133" s="6" t="s">
        <v>18030</v>
      </c>
      <c r="C8133" s="10">
        <v>46075.0</v>
      </c>
      <c r="D8133" s="6" t="s">
        <v>436</v>
      </c>
      <c r="E8133" s="6" t="s">
        <v>583</v>
      </c>
      <c r="F8133" s="6" t="s">
        <v>112</v>
      </c>
      <c r="G8133" s="6" t="s">
        <v>297</v>
      </c>
      <c r="H8133" s="10">
        <v>46076.0</v>
      </c>
      <c r="I8133" s="12">
        <v>11.0</v>
      </c>
      <c r="J8133" s="6" t="s">
        <v>178</v>
      </c>
    </row>
    <row r="8134" ht="22.5" customHeight="1">
      <c r="A8134" s="6" t="s">
        <v>24942</v>
      </c>
      <c r="B8134" s="6" t="s">
        <v>18037</v>
      </c>
      <c r="C8134" s="10">
        <v>46041.0</v>
      </c>
      <c r="D8134" s="6" t="s">
        <v>391</v>
      </c>
      <c r="E8134" s="6" t="s">
        <v>787</v>
      </c>
      <c r="F8134" s="6" t="s">
        <v>283</v>
      </c>
      <c r="G8134" s="6" t="s">
        <v>458</v>
      </c>
      <c r="H8134" s="10">
        <v>46046.0</v>
      </c>
      <c r="I8134" s="12">
        <v>8.0</v>
      </c>
      <c r="J8134" s="6" t="s">
        <v>161</v>
      </c>
    </row>
    <row r="8135" ht="22.5" customHeight="1">
      <c r="A8135" s="6" t="s">
        <v>24943</v>
      </c>
      <c r="B8135" s="6" t="s">
        <v>18037</v>
      </c>
      <c r="C8135" s="10">
        <v>46038.0</v>
      </c>
      <c r="D8135" s="6" t="s">
        <v>391</v>
      </c>
      <c r="E8135" s="6" t="s">
        <v>1552</v>
      </c>
      <c r="F8135" s="6" t="s">
        <v>249</v>
      </c>
      <c r="G8135" s="6" t="s">
        <v>297</v>
      </c>
      <c r="H8135" s="10">
        <v>46040.0</v>
      </c>
      <c r="I8135" s="12">
        <v>8.0</v>
      </c>
      <c r="J8135" s="6" t="s">
        <v>161</v>
      </c>
    </row>
    <row r="8136" ht="22.5" customHeight="1">
      <c r="A8136" s="6" t="s">
        <v>24944</v>
      </c>
      <c r="B8136" s="6" t="s">
        <v>18037</v>
      </c>
      <c r="C8136" s="10">
        <v>46050.0</v>
      </c>
      <c r="D8136" s="6" t="s">
        <v>391</v>
      </c>
      <c r="E8136" s="6" t="s">
        <v>716</v>
      </c>
      <c r="F8136" s="6" t="s">
        <v>283</v>
      </c>
      <c r="G8136" s="6" t="s">
        <v>477</v>
      </c>
      <c r="H8136" s="10">
        <v>46055.0</v>
      </c>
      <c r="I8136" s="12">
        <v>8.0</v>
      </c>
      <c r="J8136" s="6" t="s">
        <v>161</v>
      </c>
    </row>
    <row r="8137" ht="22.5" customHeight="1">
      <c r="A8137" s="6" t="s">
        <v>24945</v>
      </c>
      <c r="B8137" s="6" t="s">
        <v>18037</v>
      </c>
      <c r="C8137" s="10">
        <v>46049.0</v>
      </c>
      <c r="D8137" s="6" t="s">
        <v>391</v>
      </c>
      <c r="E8137" s="6" t="s">
        <v>885</v>
      </c>
      <c r="F8137" s="6" t="s">
        <v>283</v>
      </c>
      <c r="G8137" s="6" t="s">
        <v>297</v>
      </c>
      <c r="H8137" s="11" t="s">
        <v>259</v>
      </c>
      <c r="I8137" s="12">
        <v>7.0</v>
      </c>
      <c r="J8137" s="6" t="s">
        <v>161</v>
      </c>
    </row>
    <row r="8138" ht="22.5" customHeight="1">
      <c r="A8138" s="6" t="s">
        <v>24946</v>
      </c>
      <c r="B8138" s="6" t="s">
        <v>18037</v>
      </c>
      <c r="C8138" s="10">
        <v>46040.0</v>
      </c>
      <c r="D8138" s="6" t="s">
        <v>289</v>
      </c>
      <c r="E8138" s="6" t="s">
        <v>1552</v>
      </c>
      <c r="F8138" s="6" t="s">
        <v>112</v>
      </c>
      <c r="G8138" s="6" t="s">
        <v>326</v>
      </c>
      <c r="H8138" s="10">
        <v>46045.0</v>
      </c>
      <c r="I8138" s="12">
        <v>8.0</v>
      </c>
      <c r="J8138" s="6" t="s">
        <v>161</v>
      </c>
    </row>
    <row r="8139" ht="22.5" customHeight="1">
      <c r="A8139" s="6" t="s">
        <v>24947</v>
      </c>
      <c r="B8139" s="6" t="s">
        <v>18044</v>
      </c>
      <c r="C8139" s="10">
        <v>46060.0</v>
      </c>
      <c r="D8139" s="6" t="s">
        <v>312</v>
      </c>
      <c r="E8139" s="6" t="s">
        <v>787</v>
      </c>
      <c r="F8139" s="6" t="s">
        <v>283</v>
      </c>
      <c r="G8139" s="6" t="s">
        <v>452</v>
      </c>
      <c r="H8139" s="10">
        <v>46067.0</v>
      </c>
      <c r="I8139" s="12">
        <v>6.0</v>
      </c>
      <c r="J8139" s="6" t="s">
        <v>161</v>
      </c>
    </row>
    <row r="8140" ht="22.5" customHeight="1">
      <c r="A8140" s="6" t="s">
        <v>24948</v>
      </c>
      <c r="B8140" s="6" t="s">
        <v>18044</v>
      </c>
      <c r="C8140" s="10">
        <v>46058.0</v>
      </c>
      <c r="D8140" s="6" t="s">
        <v>312</v>
      </c>
      <c r="E8140" s="6" t="s">
        <v>512</v>
      </c>
      <c r="F8140" s="6" t="s">
        <v>283</v>
      </c>
      <c r="G8140" s="6" t="s">
        <v>254</v>
      </c>
      <c r="H8140" s="10">
        <v>46060.0</v>
      </c>
      <c r="I8140" s="12">
        <v>4.0</v>
      </c>
      <c r="J8140" s="6" t="s">
        <v>161</v>
      </c>
    </row>
    <row r="8141" ht="22.5" customHeight="1">
      <c r="A8141" s="6" t="s">
        <v>24949</v>
      </c>
      <c r="B8141" s="6" t="s">
        <v>18051</v>
      </c>
      <c r="C8141" s="10">
        <v>46038.0</v>
      </c>
      <c r="D8141" s="6" t="s">
        <v>391</v>
      </c>
      <c r="E8141" s="6" t="s">
        <v>466</v>
      </c>
      <c r="F8141" s="6" t="s">
        <v>112</v>
      </c>
      <c r="G8141" s="6" t="s">
        <v>326</v>
      </c>
      <c r="H8141" s="10">
        <v>46042.0</v>
      </c>
      <c r="I8141" s="12">
        <v>10.0</v>
      </c>
      <c r="J8141" s="6" t="s">
        <v>161</v>
      </c>
    </row>
    <row r="8142" ht="22.5" customHeight="1">
      <c r="A8142" s="6" t="s">
        <v>24950</v>
      </c>
      <c r="B8142" s="6" t="s">
        <v>18051</v>
      </c>
      <c r="C8142" s="10">
        <v>46032.0</v>
      </c>
      <c r="D8142" s="6" t="s">
        <v>312</v>
      </c>
      <c r="E8142" s="6" t="s">
        <v>1070</v>
      </c>
      <c r="F8142" s="6" t="s">
        <v>112</v>
      </c>
      <c r="G8142" s="6" t="s">
        <v>452</v>
      </c>
      <c r="H8142" s="10">
        <v>46034.0</v>
      </c>
      <c r="I8142" s="12">
        <v>6.0</v>
      </c>
      <c r="J8142" s="6" t="s">
        <v>161</v>
      </c>
    </row>
    <row r="8143" ht="22.5" customHeight="1">
      <c r="A8143" s="6" t="s">
        <v>24951</v>
      </c>
      <c r="B8143" s="6" t="s">
        <v>18056</v>
      </c>
      <c r="C8143" s="10">
        <v>46085.0</v>
      </c>
      <c r="D8143" s="6" t="s">
        <v>416</v>
      </c>
      <c r="E8143" s="6" t="s">
        <v>365</v>
      </c>
      <c r="F8143" s="6" t="s">
        <v>283</v>
      </c>
      <c r="G8143" s="6" t="s">
        <v>297</v>
      </c>
      <c r="H8143" s="11" t="s">
        <v>259</v>
      </c>
      <c r="I8143" s="12">
        <v>12.0</v>
      </c>
      <c r="J8143" s="6" t="s">
        <v>161</v>
      </c>
    </row>
    <row r="8144" ht="22.5" customHeight="1">
      <c r="A8144" s="6" t="s">
        <v>24952</v>
      </c>
      <c r="B8144" s="6" t="s">
        <v>18056</v>
      </c>
      <c r="C8144" s="10">
        <v>46072.0</v>
      </c>
      <c r="D8144" s="6" t="s">
        <v>677</v>
      </c>
      <c r="E8144" s="6" t="s">
        <v>775</v>
      </c>
      <c r="F8144" s="6" t="s">
        <v>283</v>
      </c>
      <c r="G8144" s="6" t="s">
        <v>452</v>
      </c>
      <c r="H8144" s="10">
        <v>46073.0</v>
      </c>
      <c r="I8144" s="12">
        <v>2.0</v>
      </c>
      <c r="J8144" s="6" t="s">
        <v>161</v>
      </c>
    </row>
    <row r="8145" ht="22.5" customHeight="1">
      <c r="A8145" s="6" t="s">
        <v>24953</v>
      </c>
      <c r="B8145" s="6" t="s">
        <v>18056</v>
      </c>
      <c r="C8145" s="10">
        <v>46086.0</v>
      </c>
      <c r="D8145" s="6" t="s">
        <v>436</v>
      </c>
      <c r="E8145" s="6" t="s">
        <v>320</v>
      </c>
      <c r="F8145" s="6" t="s">
        <v>112</v>
      </c>
      <c r="G8145" s="6" t="s">
        <v>297</v>
      </c>
      <c r="H8145" s="10">
        <v>46088.0</v>
      </c>
      <c r="I8145" s="12">
        <v>11.0</v>
      </c>
      <c r="J8145" s="6" t="s">
        <v>178</v>
      </c>
    </row>
    <row r="8146" ht="22.5" customHeight="1">
      <c r="A8146" s="6" t="s">
        <v>24954</v>
      </c>
      <c r="B8146" s="6" t="s">
        <v>18062</v>
      </c>
      <c r="C8146" s="10">
        <v>46034.0</v>
      </c>
      <c r="D8146" s="6" t="s">
        <v>416</v>
      </c>
      <c r="E8146" s="6" t="s">
        <v>1600</v>
      </c>
      <c r="F8146" s="6" t="s">
        <v>249</v>
      </c>
      <c r="G8146" s="6" t="s">
        <v>326</v>
      </c>
      <c r="H8146" s="10">
        <v>46040.0</v>
      </c>
      <c r="I8146" s="12">
        <v>9.0</v>
      </c>
      <c r="J8146" s="6" t="s">
        <v>161</v>
      </c>
    </row>
    <row r="8147" ht="22.5" customHeight="1">
      <c r="A8147" s="6" t="s">
        <v>24955</v>
      </c>
      <c r="B8147" s="6" t="s">
        <v>18062</v>
      </c>
      <c r="C8147" s="10">
        <v>46046.0</v>
      </c>
      <c r="D8147" s="6" t="s">
        <v>242</v>
      </c>
      <c r="E8147" s="6" t="s">
        <v>687</v>
      </c>
      <c r="F8147" s="6" t="s">
        <v>439</v>
      </c>
      <c r="G8147" s="6" t="s">
        <v>458</v>
      </c>
      <c r="H8147" s="10">
        <v>46049.0</v>
      </c>
      <c r="I8147" s="12">
        <v>5.0</v>
      </c>
      <c r="J8147" s="6" t="s">
        <v>161</v>
      </c>
    </row>
    <row r="8148" ht="22.5" customHeight="1">
      <c r="A8148" s="6" t="s">
        <v>24956</v>
      </c>
      <c r="B8148" s="6" t="s">
        <v>18062</v>
      </c>
      <c r="C8148" s="10">
        <v>46033.0</v>
      </c>
      <c r="D8148" s="6" t="s">
        <v>289</v>
      </c>
      <c r="E8148" s="6" t="s">
        <v>291</v>
      </c>
      <c r="F8148" s="6" t="s">
        <v>439</v>
      </c>
      <c r="G8148" s="6" t="s">
        <v>494</v>
      </c>
      <c r="H8148" s="10">
        <v>46035.0</v>
      </c>
      <c r="I8148" s="12">
        <v>10.0</v>
      </c>
      <c r="J8148" s="6" t="s">
        <v>161</v>
      </c>
    </row>
    <row r="8149" ht="22.5" customHeight="1">
      <c r="A8149" s="6" t="s">
        <v>24957</v>
      </c>
      <c r="B8149" s="6" t="s">
        <v>18062</v>
      </c>
      <c r="C8149" s="10">
        <v>46031.0</v>
      </c>
      <c r="D8149" s="6" t="s">
        <v>312</v>
      </c>
      <c r="E8149" s="6" t="s">
        <v>628</v>
      </c>
      <c r="F8149" s="6" t="s">
        <v>439</v>
      </c>
      <c r="G8149" s="6" t="s">
        <v>458</v>
      </c>
      <c r="H8149" s="10">
        <v>46033.0</v>
      </c>
      <c r="I8149" s="12">
        <v>6.0</v>
      </c>
      <c r="J8149" s="6" t="s">
        <v>161</v>
      </c>
    </row>
    <row r="8150" ht="22.5" customHeight="1">
      <c r="A8150" s="6" t="s">
        <v>24958</v>
      </c>
      <c r="B8150" s="6" t="s">
        <v>18062</v>
      </c>
      <c r="C8150" s="10">
        <v>46044.0</v>
      </c>
      <c r="D8150" s="6" t="s">
        <v>677</v>
      </c>
      <c r="E8150" s="6" t="s">
        <v>1570</v>
      </c>
      <c r="F8150" s="6" t="s">
        <v>112</v>
      </c>
      <c r="G8150" s="6" t="s">
        <v>326</v>
      </c>
      <c r="H8150" s="10">
        <v>46046.0</v>
      </c>
      <c r="I8150" s="12">
        <v>3.0</v>
      </c>
      <c r="J8150" s="6" t="s">
        <v>161</v>
      </c>
    </row>
    <row r="8151" ht="22.5" customHeight="1">
      <c r="A8151" s="6" t="s">
        <v>24959</v>
      </c>
      <c r="B8151" s="6" t="s">
        <v>18068</v>
      </c>
      <c r="C8151" s="10">
        <v>46046.0</v>
      </c>
      <c r="D8151" s="6" t="s">
        <v>391</v>
      </c>
      <c r="E8151" s="6" t="s">
        <v>798</v>
      </c>
      <c r="F8151" s="6" t="s">
        <v>283</v>
      </c>
      <c r="G8151" s="6" t="s">
        <v>326</v>
      </c>
      <c r="H8151" s="11" t="s">
        <v>259</v>
      </c>
      <c r="I8151" s="12">
        <v>6.0</v>
      </c>
      <c r="J8151" s="6" t="s">
        <v>161</v>
      </c>
    </row>
    <row r="8152" ht="22.5" customHeight="1">
      <c r="A8152" s="6" t="s">
        <v>24960</v>
      </c>
      <c r="B8152" s="6" t="s">
        <v>18068</v>
      </c>
      <c r="C8152" s="10">
        <v>46061.0</v>
      </c>
      <c r="D8152" s="6" t="s">
        <v>416</v>
      </c>
      <c r="E8152" s="6" t="s">
        <v>885</v>
      </c>
      <c r="F8152" s="6" t="s">
        <v>112</v>
      </c>
      <c r="G8152" s="6" t="s">
        <v>494</v>
      </c>
      <c r="H8152" s="11" t="s">
        <v>259</v>
      </c>
      <c r="I8152" s="12">
        <v>10.0</v>
      </c>
      <c r="J8152" s="6" t="s">
        <v>161</v>
      </c>
    </row>
    <row r="8153" ht="22.5" customHeight="1">
      <c r="A8153" s="6" t="s">
        <v>24961</v>
      </c>
      <c r="B8153" s="6" t="s">
        <v>18068</v>
      </c>
      <c r="C8153" s="10">
        <v>46045.0</v>
      </c>
      <c r="D8153" s="6" t="s">
        <v>391</v>
      </c>
      <c r="E8153" s="6" t="s">
        <v>1741</v>
      </c>
      <c r="F8153" s="6" t="s">
        <v>283</v>
      </c>
      <c r="G8153" s="6" t="s">
        <v>326</v>
      </c>
      <c r="H8153" s="10">
        <v>46047.0</v>
      </c>
      <c r="I8153" s="12">
        <v>7.0</v>
      </c>
      <c r="J8153" s="6" t="s">
        <v>161</v>
      </c>
    </row>
    <row r="8154" ht="22.5" customHeight="1">
      <c r="A8154" s="6" t="s">
        <v>24962</v>
      </c>
      <c r="B8154" s="6" t="s">
        <v>18068</v>
      </c>
      <c r="C8154" s="10">
        <v>46044.0</v>
      </c>
      <c r="D8154" s="6" t="s">
        <v>242</v>
      </c>
      <c r="E8154" s="6" t="s">
        <v>1741</v>
      </c>
      <c r="F8154" s="6" t="s">
        <v>112</v>
      </c>
      <c r="G8154" s="6" t="s">
        <v>254</v>
      </c>
      <c r="H8154" s="11" t="s">
        <v>259</v>
      </c>
      <c r="I8154" s="12">
        <v>6.0</v>
      </c>
      <c r="J8154" s="6" t="s">
        <v>178</v>
      </c>
    </row>
    <row r="8155" ht="22.5" customHeight="1">
      <c r="A8155" s="6" t="s">
        <v>24963</v>
      </c>
      <c r="B8155" s="6" t="s">
        <v>18074</v>
      </c>
      <c r="C8155" s="10">
        <v>46039.0</v>
      </c>
      <c r="D8155" s="6" t="s">
        <v>391</v>
      </c>
      <c r="E8155" s="6" t="s">
        <v>291</v>
      </c>
      <c r="F8155" s="6" t="s">
        <v>249</v>
      </c>
      <c r="G8155" s="6" t="s">
        <v>369</v>
      </c>
      <c r="H8155" s="10">
        <v>46041.0</v>
      </c>
      <c r="I8155" s="12">
        <v>6.0</v>
      </c>
      <c r="J8155" s="6" t="s">
        <v>161</v>
      </c>
    </row>
    <row r="8156" ht="22.5" customHeight="1">
      <c r="A8156" s="6" t="s">
        <v>24964</v>
      </c>
      <c r="B8156" s="6" t="s">
        <v>18074</v>
      </c>
      <c r="C8156" s="10">
        <v>46043.0</v>
      </c>
      <c r="D8156" s="6" t="s">
        <v>242</v>
      </c>
      <c r="E8156" s="6" t="s">
        <v>583</v>
      </c>
      <c r="F8156" s="6" t="s">
        <v>112</v>
      </c>
      <c r="G8156" s="6" t="s">
        <v>297</v>
      </c>
      <c r="H8156" s="10">
        <v>46047.0</v>
      </c>
      <c r="I8156" s="12">
        <v>4.0</v>
      </c>
      <c r="J8156" s="6" t="s">
        <v>161</v>
      </c>
    </row>
    <row r="8157" ht="22.5" customHeight="1">
      <c r="A8157" s="6" t="s">
        <v>24965</v>
      </c>
      <c r="B8157" s="6" t="s">
        <v>18074</v>
      </c>
      <c r="C8157" s="10">
        <v>46029.0</v>
      </c>
      <c r="D8157" s="6" t="s">
        <v>391</v>
      </c>
      <c r="E8157" s="6" t="s">
        <v>450</v>
      </c>
      <c r="F8157" s="6" t="s">
        <v>283</v>
      </c>
      <c r="G8157" s="6" t="s">
        <v>477</v>
      </c>
      <c r="H8157" s="11" t="s">
        <v>259</v>
      </c>
      <c r="I8157" s="12">
        <v>11.0</v>
      </c>
      <c r="J8157" s="6" t="s">
        <v>161</v>
      </c>
    </row>
    <row r="8158" ht="22.5" customHeight="1">
      <c r="A8158" s="6" t="s">
        <v>24966</v>
      </c>
      <c r="B8158" s="6" t="s">
        <v>18080</v>
      </c>
      <c r="C8158" s="10">
        <v>46061.0</v>
      </c>
      <c r="D8158" s="6" t="s">
        <v>677</v>
      </c>
      <c r="E8158" s="6" t="s">
        <v>1546</v>
      </c>
      <c r="F8158" s="6" t="s">
        <v>283</v>
      </c>
      <c r="G8158" s="6" t="s">
        <v>326</v>
      </c>
      <c r="H8158" s="10">
        <v>46068.0</v>
      </c>
      <c r="I8158" s="12">
        <v>2.0</v>
      </c>
      <c r="J8158" s="6" t="s">
        <v>161</v>
      </c>
    </row>
    <row r="8159" ht="22.5" customHeight="1">
      <c r="A8159" s="6" t="s">
        <v>24967</v>
      </c>
      <c r="B8159" s="6" t="s">
        <v>18080</v>
      </c>
      <c r="C8159" s="10">
        <v>46074.0</v>
      </c>
      <c r="D8159" s="6" t="s">
        <v>436</v>
      </c>
      <c r="E8159" s="6" t="s">
        <v>787</v>
      </c>
      <c r="F8159" s="6" t="s">
        <v>439</v>
      </c>
      <c r="G8159" s="6" t="s">
        <v>452</v>
      </c>
      <c r="H8159" s="10">
        <v>46075.0</v>
      </c>
      <c r="I8159" s="12">
        <v>6.0</v>
      </c>
      <c r="J8159" s="6" t="s">
        <v>178</v>
      </c>
    </row>
    <row r="8160" ht="22.5" customHeight="1">
      <c r="A8160" s="6" t="s">
        <v>24968</v>
      </c>
      <c r="B8160" s="6" t="s">
        <v>18080</v>
      </c>
      <c r="C8160" s="10">
        <v>46068.0</v>
      </c>
      <c r="D8160" s="6" t="s">
        <v>289</v>
      </c>
      <c r="E8160" s="6" t="s">
        <v>417</v>
      </c>
      <c r="F8160" s="6" t="s">
        <v>112</v>
      </c>
      <c r="G8160" s="6" t="s">
        <v>452</v>
      </c>
      <c r="H8160" s="10">
        <v>46073.0</v>
      </c>
      <c r="I8160" s="12">
        <v>8.0</v>
      </c>
      <c r="J8160" s="6" t="s">
        <v>161</v>
      </c>
    </row>
    <row r="8161" ht="22.5" customHeight="1">
      <c r="A8161" s="6" t="s">
        <v>24969</v>
      </c>
      <c r="B8161" s="6" t="s">
        <v>18087</v>
      </c>
      <c r="C8161" s="10">
        <v>46079.0</v>
      </c>
      <c r="D8161" s="6" t="s">
        <v>416</v>
      </c>
      <c r="E8161" s="6" t="s">
        <v>687</v>
      </c>
      <c r="F8161" s="6" t="s">
        <v>249</v>
      </c>
      <c r="G8161" s="6" t="s">
        <v>452</v>
      </c>
      <c r="H8161" s="11" t="s">
        <v>259</v>
      </c>
      <c r="I8161" s="12">
        <v>10.0</v>
      </c>
      <c r="J8161" s="6" t="s">
        <v>161</v>
      </c>
    </row>
    <row r="8162" ht="22.5" customHeight="1">
      <c r="A8162" s="6" t="s">
        <v>24970</v>
      </c>
      <c r="B8162" s="6" t="s">
        <v>18087</v>
      </c>
      <c r="C8162" s="10">
        <v>46085.0</v>
      </c>
      <c r="D8162" s="6" t="s">
        <v>677</v>
      </c>
      <c r="E8162" s="6" t="s">
        <v>738</v>
      </c>
      <c r="F8162" s="6" t="s">
        <v>439</v>
      </c>
      <c r="G8162" s="6" t="s">
        <v>369</v>
      </c>
      <c r="H8162" s="10">
        <v>46090.0</v>
      </c>
      <c r="I8162" s="12">
        <v>4.0</v>
      </c>
      <c r="J8162" s="6" t="s">
        <v>161</v>
      </c>
    </row>
    <row r="8163" ht="22.5" customHeight="1">
      <c r="A8163" s="6" t="s">
        <v>24971</v>
      </c>
      <c r="B8163" s="6" t="s">
        <v>18087</v>
      </c>
      <c r="C8163" s="10">
        <v>46078.0</v>
      </c>
      <c r="D8163" s="6" t="s">
        <v>289</v>
      </c>
      <c r="E8163" s="6" t="s">
        <v>246</v>
      </c>
      <c r="F8163" s="6" t="s">
        <v>112</v>
      </c>
      <c r="G8163" s="6" t="s">
        <v>254</v>
      </c>
      <c r="H8163" s="10">
        <v>46079.0</v>
      </c>
      <c r="I8163" s="12">
        <v>9.0</v>
      </c>
      <c r="J8163" s="6" t="s">
        <v>161</v>
      </c>
    </row>
    <row r="8164" ht="22.5" customHeight="1">
      <c r="A8164" s="6" t="s">
        <v>24972</v>
      </c>
      <c r="B8164" s="6" t="s">
        <v>18093</v>
      </c>
      <c r="C8164" s="10">
        <v>46065.0</v>
      </c>
      <c r="D8164" s="6" t="s">
        <v>312</v>
      </c>
      <c r="E8164" s="6" t="s">
        <v>320</v>
      </c>
      <c r="F8164" s="6" t="s">
        <v>249</v>
      </c>
      <c r="G8164" s="6" t="s">
        <v>477</v>
      </c>
      <c r="H8164" s="10">
        <v>46068.0</v>
      </c>
      <c r="I8164" s="12">
        <v>6.0</v>
      </c>
      <c r="J8164" s="6" t="s">
        <v>161</v>
      </c>
    </row>
    <row r="8165" ht="22.5" customHeight="1">
      <c r="A8165" s="6" t="s">
        <v>24973</v>
      </c>
      <c r="B8165" s="6" t="s">
        <v>18093</v>
      </c>
      <c r="C8165" s="10">
        <v>46074.0</v>
      </c>
      <c r="D8165" s="6" t="s">
        <v>416</v>
      </c>
      <c r="E8165" s="6" t="s">
        <v>2365</v>
      </c>
      <c r="F8165" s="6" t="s">
        <v>283</v>
      </c>
      <c r="G8165" s="6" t="s">
        <v>369</v>
      </c>
      <c r="H8165" s="10">
        <v>46075.0</v>
      </c>
      <c r="I8165" s="12">
        <v>11.0</v>
      </c>
      <c r="J8165" s="6" t="s">
        <v>161</v>
      </c>
    </row>
    <row r="8166" ht="22.5" customHeight="1">
      <c r="A8166" s="6" t="s">
        <v>24974</v>
      </c>
      <c r="B8166" s="6" t="s">
        <v>18093</v>
      </c>
      <c r="C8166" s="10">
        <v>46070.0</v>
      </c>
      <c r="D8166" s="6" t="s">
        <v>289</v>
      </c>
      <c r="E8166" s="6" t="s">
        <v>1741</v>
      </c>
      <c r="F8166" s="6" t="s">
        <v>249</v>
      </c>
      <c r="G8166" s="6" t="s">
        <v>477</v>
      </c>
      <c r="H8166" s="10">
        <v>46075.0</v>
      </c>
      <c r="I8166" s="12">
        <v>7.0</v>
      </c>
      <c r="J8166" s="6" t="s">
        <v>161</v>
      </c>
    </row>
    <row r="8167" ht="22.5" customHeight="1">
      <c r="A8167" s="6" t="s">
        <v>24975</v>
      </c>
      <c r="B8167" s="6" t="s">
        <v>18098</v>
      </c>
      <c r="C8167" s="10">
        <v>46062.0</v>
      </c>
      <c r="D8167" s="6" t="s">
        <v>242</v>
      </c>
      <c r="E8167" s="6" t="s">
        <v>1273</v>
      </c>
      <c r="F8167" s="6" t="s">
        <v>249</v>
      </c>
      <c r="G8167" s="6" t="s">
        <v>477</v>
      </c>
      <c r="H8167" s="10">
        <v>46064.0</v>
      </c>
      <c r="I8167" s="12">
        <v>3.0</v>
      </c>
      <c r="J8167" s="6" t="s">
        <v>178</v>
      </c>
    </row>
    <row r="8168" ht="22.5" customHeight="1">
      <c r="A8168" s="6" t="s">
        <v>24976</v>
      </c>
      <c r="B8168" s="6" t="s">
        <v>18098</v>
      </c>
      <c r="C8168" s="10">
        <v>46055.0</v>
      </c>
      <c r="D8168" s="6" t="s">
        <v>242</v>
      </c>
      <c r="E8168" s="6" t="s">
        <v>2365</v>
      </c>
      <c r="F8168" s="6" t="s">
        <v>283</v>
      </c>
      <c r="G8168" s="6" t="s">
        <v>458</v>
      </c>
      <c r="H8168" s="11" t="s">
        <v>259</v>
      </c>
      <c r="I8168" s="12">
        <v>4.0</v>
      </c>
      <c r="J8168" s="6" t="s">
        <v>178</v>
      </c>
    </row>
    <row r="8169" ht="22.5" customHeight="1">
      <c r="A8169" s="6" t="s">
        <v>24977</v>
      </c>
      <c r="B8169" s="6" t="s">
        <v>18098</v>
      </c>
      <c r="C8169" s="10">
        <v>46059.0</v>
      </c>
      <c r="D8169" s="6" t="s">
        <v>677</v>
      </c>
      <c r="E8169" s="6" t="s">
        <v>634</v>
      </c>
      <c r="F8169" s="6" t="s">
        <v>249</v>
      </c>
      <c r="G8169" s="6" t="s">
        <v>254</v>
      </c>
      <c r="H8169" s="10">
        <v>46059.0</v>
      </c>
      <c r="I8169" s="12">
        <v>3.0</v>
      </c>
      <c r="J8169" s="6" t="s">
        <v>161</v>
      </c>
    </row>
    <row r="8170" ht="22.5" customHeight="1">
      <c r="A8170" s="6" t="s">
        <v>24978</v>
      </c>
      <c r="B8170" s="6" t="s">
        <v>18098</v>
      </c>
      <c r="C8170" s="10">
        <v>46054.0</v>
      </c>
      <c r="D8170" s="6" t="s">
        <v>391</v>
      </c>
      <c r="E8170" s="6" t="s">
        <v>246</v>
      </c>
      <c r="F8170" s="6" t="s">
        <v>283</v>
      </c>
      <c r="G8170" s="6" t="s">
        <v>452</v>
      </c>
      <c r="H8170" s="10">
        <v>46055.0</v>
      </c>
      <c r="I8170" s="12">
        <v>10.0</v>
      </c>
      <c r="J8170" s="6" t="s">
        <v>161</v>
      </c>
    </row>
    <row r="8171" ht="22.5" customHeight="1">
      <c r="A8171" s="6" t="s">
        <v>24979</v>
      </c>
      <c r="B8171" s="6" t="s">
        <v>18098</v>
      </c>
      <c r="C8171" s="10">
        <v>46061.0</v>
      </c>
      <c r="D8171" s="6" t="s">
        <v>416</v>
      </c>
      <c r="E8171" s="6" t="s">
        <v>618</v>
      </c>
      <c r="F8171" s="6" t="s">
        <v>283</v>
      </c>
      <c r="G8171" s="6" t="s">
        <v>452</v>
      </c>
      <c r="H8171" s="10">
        <v>46067.0</v>
      </c>
      <c r="I8171" s="12">
        <v>12.0</v>
      </c>
      <c r="J8171" s="6" t="s">
        <v>161</v>
      </c>
    </row>
    <row r="8172" ht="22.5" customHeight="1">
      <c r="A8172" s="6" t="s">
        <v>24980</v>
      </c>
      <c r="B8172" s="6" t="s">
        <v>18104</v>
      </c>
      <c r="C8172" s="10">
        <v>46052.0</v>
      </c>
      <c r="D8172" s="6" t="s">
        <v>242</v>
      </c>
      <c r="E8172" s="6" t="s">
        <v>1241</v>
      </c>
      <c r="F8172" s="6" t="s">
        <v>249</v>
      </c>
      <c r="G8172" s="6" t="s">
        <v>494</v>
      </c>
      <c r="H8172" s="10">
        <v>46057.0</v>
      </c>
      <c r="I8172" s="12">
        <v>3.0</v>
      </c>
      <c r="J8172" s="6" t="s">
        <v>178</v>
      </c>
    </row>
    <row r="8173" ht="22.5" customHeight="1">
      <c r="A8173" s="6" t="s">
        <v>24981</v>
      </c>
      <c r="B8173" s="6" t="s">
        <v>18110</v>
      </c>
      <c r="C8173" s="10">
        <v>46027.0</v>
      </c>
      <c r="D8173" s="6" t="s">
        <v>289</v>
      </c>
      <c r="E8173" s="6" t="s">
        <v>731</v>
      </c>
      <c r="F8173" s="6" t="s">
        <v>439</v>
      </c>
      <c r="G8173" s="6" t="s">
        <v>369</v>
      </c>
      <c r="H8173" s="10">
        <v>46032.0</v>
      </c>
      <c r="I8173" s="12">
        <v>9.0</v>
      </c>
      <c r="J8173" s="6" t="s">
        <v>161</v>
      </c>
    </row>
    <row r="8174" ht="22.5" customHeight="1">
      <c r="A8174" s="6" t="s">
        <v>24982</v>
      </c>
      <c r="B8174" s="6" t="s">
        <v>18110</v>
      </c>
      <c r="C8174" s="10">
        <v>46031.0</v>
      </c>
      <c r="D8174" s="6" t="s">
        <v>416</v>
      </c>
      <c r="E8174" s="6" t="s">
        <v>687</v>
      </c>
      <c r="F8174" s="6" t="s">
        <v>283</v>
      </c>
      <c r="G8174" s="6" t="s">
        <v>326</v>
      </c>
      <c r="H8174" s="10">
        <v>46038.0</v>
      </c>
      <c r="I8174" s="12">
        <v>12.0</v>
      </c>
      <c r="J8174" s="6" t="s">
        <v>161</v>
      </c>
    </row>
    <row r="8175" ht="22.5" customHeight="1">
      <c r="A8175" s="6" t="s">
        <v>24983</v>
      </c>
      <c r="B8175" s="6" t="s">
        <v>18110</v>
      </c>
      <c r="C8175" s="10">
        <v>46034.0</v>
      </c>
      <c r="D8175" s="6" t="s">
        <v>416</v>
      </c>
      <c r="E8175" s="6" t="s">
        <v>1070</v>
      </c>
      <c r="F8175" s="6" t="s">
        <v>439</v>
      </c>
      <c r="G8175" s="6" t="s">
        <v>452</v>
      </c>
      <c r="H8175" s="10">
        <v>46041.0</v>
      </c>
      <c r="I8175" s="12">
        <v>8.0</v>
      </c>
      <c r="J8175" s="6" t="s">
        <v>161</v>
      </c>
    </row>
    <row r="8176" ht="22.5" customHeight="1">
      <c r="A8176" s="6" t="s">
        <v>24984</v>
      </c>
      <c r="B8176" s="6" t="s">
        <v>18116</v>
      </c>
      <c r="C8176" s="10">
        <v>46041.0</v>
      </c>
      <c r="D8176" s="6" t="s">
        <v>242</v>
      </c>
      <c r="E8176" s="6" t="s">
        <v>863</v>
      </c>
      <c r="F8176" s="6" t="s">
        <v>112</v>
      </c>
      <c r="G8176" s="6" t="s">
        <v>477</v>
      </c>
      <c r="H8176" s="10">
        <v>46046.0</v>
      </c>
      <c r="I8176" s="12">
        <v>6.0</v>
      </c>
      <c r="J8176" s="6" t="s">
        <v>161</v>
      </c>
    </row>
    <row r="8177" ht="22.5" customHeight="1">
      <c r="A8177" s="6" t="s">
        <v>24985</v>
      </c>
      <c r="B8177" s="6" t="s">
        <v>18122</v>
      </c>
      <c r="C8177" s="10">
        <v>46068.0</v>
      </c>
      <c r="D8177" s="6" t="s">
        <v>242</v>
      </c>
      <c r="E8177" s="6" t="s">
        <v>1102</v>
      </c>
      <c r="F8177" s="6" t="s">
        <v>439</v>
      </c>
      <c r="G8177" s="6" t="s">
        <v>477</v>
      </c>
      <c r="H8177" s="10">
        <v>46069.0</v>
      </c>
      <c r="I8177" s="12">
        <v>6.0</v>
      </c>
      <c r="J8177" s="6" t="s">
        <v>161</v>
      </c>
    </row>
    <row r="8178" ht="22.5" customHeight="1">
      <c r="A8178" s="6" t="s">
        <v>24986</v>
      </c>
      <c r="B8178" s="6" t="s">
        <v>18129</v>
      </c>
      <c r="C8178" s="10">
        <v>46072.0</v>
      </c>
      <c r="D8178" s="6" t="s">
        <v>416</v>
      </c>
      <c r="E8178" s="6" t="s">
        <v>833</v>
      </c>
      <c r="F8178" s="6" t="s">
        <v>112</v>
      </c>
      <c r="G8178" s="6" t="s">
        <v>297</v>
      </c>
      <c r="H8178" s="10">
        <v>46077.0</v>
      </c>
      <c r="I8178" s="12">
        <v>10.0</v>
      </c>
      <c r="J8178" s="6" t="s">
        <v>161</v>
      </c>
    </row>
    <row r="8179" ht="22.5" customHeight="1">
      <c r="A8179" s="6" t="s">
        <v>24987</v>
      </c>
      <c r="B8179" s="6" t="s">
        <v>18129</v>
      </c>
      <c r="C8179" s="10">
        <v>46064.0</v>
      </c>
      <c r="D8179" s="6" t="s">
        <v>242</v>
      </c>
      <c r="E8179" s="6" t="s">
        <v>775</v>
      </c>
      <c r="F8179" s="6" t="s">
        <v>112</v>
      </c>
      <c r="G8179" s="6" t="s">
        <v>297</v>
      </c>
      <c r="H8179" s="10">
        <v>46068.0</v>
      </c>
      <c r="I8179" s="12">
        <v>3.0</v>
      </c>
      <c r="J8179" s="6" t="s">
        <v>178</v>
      </c>
    </row>
    <row r="8180" ht="22.5" customHeight="1">
      <c r="A8180" s="6" t="s">
        <v>24988</v>
      </c>
      <c r="B8180" s="6" t="s">
        <v>18129</v>
      </c>
      <c r="C8180" s="10">
        <v>46072.0</v>
      </c>
      <c r="D8180" s="6" t="s">
        <v>242</v>
      </c>
      <c r="E8180" s="6" t="s">
        <v>291</v>
      </c>
      <c r="F8180" s="6" t="s">
        <v>439</v>
      </c>
      <c r="G8180" s="6" t="s">
        <v>326</v>
      </c>
      <c r="H8180" s="10">
        <v>46079.0</v>
      </c>
      <c r="I8180" s="12">
        <v>6.0</v>
      </c>
      <c r="J8180" s="6" t="s">
        <v>178</v>
      </c>
    </row>
    <row r="8181" ht="22.5" customHeight="1">
      <c r="A8181" s="6" t="s">
        <v>24989</v>
      </c>
      <c r="B8181" s="6" t="s">
        <v>18135</v>
      </c>
      <c r="C8181" s="10">
        <v>46062.0</v>
      </c>
      <c r="D8181" s="6" t="s">
        <v>677</v>
      </c>
      <c r="E8181" s="6" t="s">
        <v>246</v>
      </c>
      <c r="F8181" s="6" t="s">
        <v>439</v>
      </c>
      <c r="G8181" s="6" t="s">
        <v>254</v>
      </c>
      <c r="H8181" s="10">
        <v>46062.0</v>
      </c>
      <c r="I8181" s="12">
        <v>4.0</v>
      </c>
      <c r="J8181" s="6" t="s">
        <v>161</v>
      </c>
    </row>
    <row r="8182" ht="22.5" customHeight="1">
      <c r="A8182" s="6" t="s">
        <v>24990</v>
      </c>
      <c r="B8182" s="6" t="s">
        <v>18135</v>
      </c>
      <c r="C8182" s="10">
        <v>46056.0</v>
      </c>
      <c r="D8182" s="6" t="s">
        <v>416</v>
      </c>
      <c r="E8182" s="6" t="s">
        <v>704</v>
      </c>
      <c r="F8182" s="6" t="s">
        <v>439</v>
      </c>
      <c r="G8182" s="6" t="s">
        <v>452</v>
      </c>
      <c r="H8182" s="10">
        <v>46061.0</v>
      </c>
      <c r="I8182" s="12">
        <v>10.0</v>
      </c>
      <c r="J8182" s="6" t="s">
        <v>161</v>
      </c>
    </row>
    <row r="8183" ht="22.5" customHeight="1">
      <c r="A8183" s="6" t="s">
        <v>24991</v>
      </c>
      <c r="B8183" s="6" t="s">
        <v>18135</v>
      </c>
      <c r="C8183" s="10">
        <v>46055.0</v>
      </c>
      <c r="D8183" s="6" t="s">
        <v>677</v>
      </c>
      <c r="E8183" s="6" t="s">
        <v>1386</v>
      </c>
      <c r="F8183" s="6" t="s">
        <v>439</v>
      </c>
      <c r="G8183" s="6" t="s">
        <v>326</v>
      </c>
      <c r="H8183" s="10">
        <v>46059.0</v>
      </c>
      <c r="I8183" s="12">
        <v>4.0</v>
      </c>
      <c r="J8183" s="6" t="s">
        <v>161</v>
      </c>
    </row>
    <row r="8184" ht="22.5" customHeight="1">
      <c r="A8184" s="6" t="s">
        <v>24992</v>
      </c>
      <c r="B8184" s="6" t="s">
        <v>18141</v>
      </c>
      <c r="C8184" s="10">
        <v>46078.0</v>
      </c>
      <c r="D8184" s="6" t="s">
        <v>416</v>
      </c>
      <c r="E8184" s="6" t="s">
        <v>365</v>
      </c>
      <c r="F8184" s="6" t="s">
        <v>283</v>
      </c>
      <c r="G8184" s="6" t="s">
        <v>494</v>
      </c>
      <c r="H8184" s="11" t="s">
        <v>259</v>
      </c>
      <c r="I8184" s="12">
        <v>10.0</v>
      </c>
      <c r="J8184" s="6" t="s">
        <v>161</v>
      </c>
    </row>
    <row r="8185" ht="22.5" customHeight="1">
      <c r="A8185" s="6" t="s">
        <v>24993</v>
      </c>
      <c r="B8185" s="6" t="s">
        <v>18148</v>
      </c>
      <c r="C8185" s="10">
        <v>46065.0</v>
      </c>
      <c r="D8185" s="6" t="s">
        <v>289</v>
      </c>
      <c r="E8185" s="6" t="s">
        <v>1241</v>
      </c>
      <c r="F8185" s="6" t="s">
        <v>112</v>
      </c>
      <c r="G8185" s="6" t="s">
        <v>494</v>
      </c>
      <c r="H8185" s="10">
        <v>46070.0</v>
      </c>
      <c r="I8185" s="12">
        <v>7.0</v>
      </c>
      <c r="J8185" s="6" t="s">
        <v>161</v>
      </c>
    </row>
    <row r="8186" ht="22.5" customHeight="1">
      <c r="A8186" s="6" t="s">
        <v>24994</v>
      </c>
      <c r="B8186" s="6" t="s">
        <v>18148</v>
      </c>
      <c r="C8186" s="10">
        <v>46068.0</v>
      </c>
      <c r="D8186" s="6" t="s">
        <v>312</v>
      </c>
      <c r="E8186" s="6" t="s">
        <v>1600</v>
      </c>
      <c r="F8186" s="6" t="s">
        <v>283</v>
      </c>
      <c r="G8186" s="6" t="s">
        <v>369</v>
      </c>
      <c r="H8186" s="11" t="s">
        <v>259</v>
      </c>
      <c r="I8186" s="12">
        <v>5.0</v>
      </c>
      <c r="J8186" s="6" t="s">
        <v>161</v>
      </c>
    </row>
    <row r="8187" ht="22.5" customHeight="1">
      <c r="A8187" s="6" t="s">
        <v>24995</v>
      </c>
      <c r="B8187" s="6" t="s">
        <v>18148</v>
      </c>
      <c r="C8187" s="10">
        <v>46074.0</v>
      </c>
      <c r="D8187" s="6" t="s">
        <v>677</v>
      </c>
      <c r="E8187" s="6" t="s">
        <v>863</v>
      </c>
      <c r="F8187" s="6" t="s">
        <v>112</v>
      </c>
      <c r="G8187" s="6" t="s">
        <v>458</v>
      </c>
      <c r="H8187" s="10">
        <v>46080.0</v>
      </c>
      <c r="I8187" s="12">
        <v>4.0</v>
      </c>
      <c r="J8187" s="6" t="s">
        <v>161</v>
      </c>
    </row>
    <row r="8188" ht="22.5" customHeight="1">
      <c r="A8188" s="6" t="s">
        <v>24996</v>
      </c>
      <c r="B8188" s="6" t="s">
        <v>18148</v>
      </c>
      <c r="C8188" s="10">
        <v>46078.0</v>
      </c>
      <c r="D8188" s="6" t="s">
        <v>312</v>
      </c>
      <c r="E8188" s="6" t="s">
        <v>1570</v>
      </c>
      <c r="F8188" s="6" t="s">
        <v>249</v>
      </c>
      <c r="G8188" s="6" t="s">
        <v>326</v>
      </c>
      <c r="H8188" s="11" t="s">
        <v>259</v>
      </c>
      <c r="I8188" s="12">
        <v>4.0</v>
      </c>
      <c r="J8188" s="6" t="s">
        <v>161</v>
      </c>
    </row>
    <row r="8189" ht="22.5" customHeight="1">
      <c r="A8189" s="6" t="s">
        <v>24997</v>
      </c>
      <c r="B8189" s="6" t="s">
        <v>18155</v>
      </c>
      <c r="C8189" s="10">
        <v>46039.0</v>
      </c>
      <c r="D8189" s="6" t="s">
        <v>416</v>
      </c>
      <c r="E8189" s="6" t="s">
        <v>695</v>
      </c>
      <c r="F8189" s="6" t="s">
        <v>249</v>
      </c>
      <c r="G8189" s="6" t="s">
        <v>458</v>
      </c>
      <c r="H8189" s="10">
        <v>46044.0</v>
      </c>
      <c r="I8189" s="12">
        <v>8.0</v>
      </c>
      <c r="J8189" s="6" t="s">
        <v>161</v>
      </c>
    </row>
    <row r="8190" ht="22.5" customHeight="1">
      <c r="A8190" s="6" t="s">
        <v>24998</v>
      </c>
      <c r="B8190" s="6" t="s">
        <v>18155</v>
      </c>
      <c r="C8190" s="10">
        <v>46038.0</v>
      </c>
      <c r="D8190" s="6" t="s">
        <v>436</v>
      </c>
      <c r="E8190" s="6" t="s">
        <v>628</v>
      </c>
      <c r="F8190" s="6" t="s">
        <v>249</v>
      </c>
      <c r="G8190" s="6" t="s">
        <v>369</v>
      </c>
      <c r="H8190" s="10">
        <v>46040.0</v>
      </c>
      <c r="I8190" s="12">
        <v>10.0</v>
      </c>
      <c r="J8190" s="6" t="s">
        <v>178</v>
      </c>
    </row>
    <row r="8191" ht="22.5" customHeight="1">
      <c r="A8191" s="6" t="s">
        <v>24999</v>
      </c>
      <c r="B8191" s="6" t="s">
        <v>18155</v>
      </c>
      <c r="C8191" s="10">
        <v>46047.0</v>
      </c>
      <c r="D8191" s="6" t="s">
        <v>436</v>
      </c>
      <c r="E8191" s="6" t="s">
        <v>704</v>
      </c>
      <c r="F8191" s="6" t="s">
        <v>249</v>
      </c>
      <c r="G8191" s="6" t="s">
        <v>254</v>
      </c>
      <c r="H8191" s="11" t="s">
        <v>259</v>
      </c>
      <c r="I8191" s="12">
        <v>6.0</v>
      </c>
      <c r="J8191" s="6" t="s">
        <v>178</v>
      </c>
    </row>
    <row r="8192" ht="22.5" customHeight="1">
      <c r="A8192" s="6" t="s">
        <v>25000</v>
      </c>
      <c r="B8192" s="6" t="s">
        <v>18155</v>
      </c>
      <c r="C8192" s="10">
        <v>46037.0</v>
      </c>
      <c r="D8192" s="6" t="s">
        <v>436</v>
      </c>
      <c r="E8192" s="6" t="s">
        <v>512</v>
      </c>
      <c r="F8192" s="6" t="s">
        <v>249</v>
      </c>
      <c r="G8192" s="6" t="s">
        <v>494</v>
      </c>
      <c r="H8192" s="10">
        <v>46043.0</v>
      </c>
      <c r="I8192" s="12">
        <v>6.0</v>
      </c>
      <c r="J8192" s="6" t="s">
        <v>178</v>
      </c>
    </row>
    <row r="8193" ht="22.5" customHeight="1">
      <c r="A8193" s="6" t="s">
        <v>25001</v>
      </c>
      <c r="B8193" s="6" t="s">
        <v>18155</v>
      </c>
      <c r="C8193" s="10">
        <v>46052.0</v>
      </c>
      <c r="D8193" s="6" t="s">
        <v>312</v>
      </c>
      <c r="E8193" s="6" t="s">
        <v>2365</v>
      </c>
      <c r="F8193" s="6" t="s">
        <v>283</v>
      </c>
      <c r="G8193" s="6" t="s">
        <v>452</v>
      </c>
      <c r="H8193" s="10">
        <v>46056.0</v>
      </c>
      <c r="I8193" s="12">
        <v>7.0</v>
      </c>
      <c r="J8193" s="6" t="s">
        <v>161</v>
      </c>
    </row>
    <row r="8194" ht="22.5" customHeight="1">
      <c r="A8194" s="6" t="s">
        <v>25002</v>
      </c>
      <c r="B8194" s="6" t="s">
        <v>18162</v>
      </c>
      <c r="C8194" s="10">
        <v>46061.0</v>
      </c>
      <c r="D8194" s="6" t="s">
        <v>391</v>
      </c>
      <c r="E8194" s="6" t="s">
        <v>775</v>
      </c>
      <c r="F8194" s="6" t="s">
        <v>112</v>
      </c>
      <c r="G8194" s="6" t="s">
        <v>297</v>
      </c>
      <c r="H8194" s="10">
        <v>46066.0</v>
      </c>
      <c r="I8194" s="12">
        <v>7.0</v>
      </c>
      <c r="J8194" s="6" t="s">
        <v>161</v>
      </c>
    </row>
    <row r="8195" ht="22.5" customHeight="1">
      <c r="A8195" s="6" t="s">
        <v>25003</v>
      </c>
      <c r="B8195" s="6" t="s">
        <v>18162</v>
      </c>
      <c r="C8195" s="10">
        <v>46050.0</v>
      </c>
      <c r="D8195" s="6" t="s">
        <v>416</v>
      </c>
      <c r="E8195" s="6" t="s">
        <v>628</v>
      </c>
      <c r="F8195" s="6" t="s">
        <v>249</v>
      </c>
      <c r="G8195" s="6" t="s">
        <v>477</v>
      </c>
      <c r="H8195" s="11" t="s">
        <v>259</v>
      </c>
      <c r="I8195" s="12">
        <v>11.0</v>
      </c>
      <c r="J8195" s="6" t="s">
        <v>161</v>
      </c>
    </row>
    <row r="8196" ht="22.5" customHeight="1">
      <c r="A8196" s="6" t="s">
        <v>25004</v>
      </c>
      <c r="B8196" s="6" t="s">
        <v>18169</v>
      </c>
      <c r="C8196" s="10">
        <v>46033.0</v>
      </c>
      <c r="D8196" s="6" t="s">
        <v>312</v>
      </c>
      <c r="E8196" s="6" t="s">
        <v>1310</v>
      </c>
      <c r="F8196" s="6" t="s">
        <v>439</v>
      </c>
      <c r="G8196" s="6" t="s">
        <v>297</v>
      </c>
      <c r="H8196" s="10">
        <v>46036.0</v>
      </c>
      <c r="I8196" s="12">
        <v>6.0</v>
      </c>
      <c r="J8196" s="6" t="s">
        <v>161</v>
      </c>
    </row>
    <row r="8197" ht="22.5" customHeight="1">
      <c r="A8197" s="6" t="s">
        <v>25005</v>
      </c>
      <c r="B8197" s="6" t="s">
        <v>18169</v>
      </c>
      <c r="C8197" s="10">
        <v>46035.0</v>
      </c>
      <c r="D8197" s="6" t="s">
        <v>391</v>
      </c>
      <c r="E8197" s="6" t="s">
        <v>1070</v>
      </c>
      <c r="F8197" s="6" t="s">
        <v>283</v>
      </c>
      <c r="G8197" s="6" t="s">
        <v>326</v>
      </c>
      <c r="H8197" s="10">
        <v>46041.0</v>
      </c>
      <c r="I8197" s="12">
        <v>7.0</v>
      </c>
      <c r="J8197" s="6" t="s">
        <v>161</v>
      </c>
    </row>
    <row r="8198" ht="22.5" customHeight="1">
      <c r="A8198" s="6" t="s">
        <v>25006</v>
      </c>
      <c r="B8198" s="6" t="s">
        <v>18169</v>
      </c>
      <c r="C8198" s="10">
        <v>46046.0</v>
      </c>
      <c r="D8198" s="6" t="s">
        <v>436</v>
      </c>
      <c r="E8198" s="6" t="s">
        <v>896</v>
      </c>
      <c r="F8198" s="6" t="s">
        <v>283</v>
      </c>
      <c r="G8198" s="6" t="s">
        <v>458</v>
      </c>
      <c r="H8198" s="11" t="s">
        <v>259</v>
      </c>
      <c r="I8198" s="12">
        <v>12.0</v>
      </c>
      <c r="J8198" s="6" t="s">
        <v>161</v>
      </c>
    </row>
    <row r="8199" ht="22.5" customHeight="1">
      <c r="A8199" s="6" t="s">
        <v>25007</v>
      </c>
      <c r="B8199" s="6" t="s">
        <v>18169</v>
      </c>
      <c r="C8199" s="10">
        <v>46046.0</v>
      </c>
      <c r="D8199" s="6" t="s">
        <v>677</v>
      </c>
      <c r="E8199" s="6" t="s">
        <v>1386</v>
      </c>
      <c r="F8199" s="6" t="s">
        <v>439</v>
      </c>
      <c r="G8199" s="6" t="s">
        <v>326</v>
      </c>
      <c r="H8199" s="10">
        <v>46053.0</v>
      </c>
      <c r="I8199" s="12">
        <v>3.0</v>
      </c>
      <c r="J8199" s="6" t="s">
        <v>161</v>
      </c>
    </row>
    <row r="8200" ht="22.5" customHeight="1">
      <c r="A8200" s="6" t="s">
        <v>25008</v>
      </c>
      <c r="B8200" s="6" t="s">
        <v>18169</v>
      </c>
      <c r="C8200" s="10">
        <v>46041.0</v>
      </c>
      <c r="D8200" s="6" t="s">
        <v>416</v>
      </c>
      <c r="E8200" s="6" t="s">
        <v>1700</v>
      </c>
      <c r="F8200" s="6" t="s">
        <v>439</v>
      </c>
      <c r="G8200" s="6" t="s">
        <v>477</v>
      </c>
      <c r="H8200" s="10">
        <v>46047.0</v>
      </c>
      <c r="I8200" s="12">
        <v>9.0</v>
      </c>
      <c r="J8200" s="6" t="s">
        <v>161</v>
      </c>
    </row>
    <row r="8201" ht="22.5" customHeight="1">
      <c r="A8201" s="6" t="s">
        <v>25009</v>
      </c>
      <c r="B8201" s="6" t="s">
        <v>18176</v>
      </c>
      <c r="C8201" s="10">
        <v>46049.0</v>
      </c>
      <c r="D8201" s="6" t="s">
        <v>391</v>
      </c>
      <c r="E8201" s="6" t="s">
        <v>798</v>
      </c>
      <c r="F8201" s="6" t="s">
        <v>112</v>
      </c>
      <c r="G8201" s="6" t="s">
        <v>297</v>
      </c>
      <c r="H8201" s="11" t="s">
        <v>259</v>
      </c>
      <c r="I8201" s="12">
        <v>11.0</v>
      </c>
      <c r="J8201" s="6" t="s">
        <v>161</v>
      </c>
    </row>
    <row r="8202" ht="22.5" customHeight="1">
      <c r="A8202" s="6" t="s">
        <v>25010</v>
      </c>
      <c r="B8202" s="6" t="s">
        <v>18176</v>
      </c>
      <c r="C8202" s="10">
        <v>46032.0</v>
      </c>
      <c r="D8202" s="6" t="s">
        <v>289</v>
      </c>
      <c r="E8202" s="6" t="s">
        <v>738</v>
      </c>
      <c r="F8202" s="6" t="s">
        <v>249</v>
      </c>
      <c r="G8202" s="6" t="s">
        <v>254</v>
      </c>
      <c r="H8202" s="10">
        <v>46033.0</v>
      </c>
      <c r="I8202" s="12">
        <v>6.0</v>
      </c>
      <c r="J8202" s="6" t="s">
        <v>161</v>
      </c>
    </row>
    <row r="8203" ht="22.5" customHeight="1">
      <c r="A8203" s="6" t="s">
        <v>25011</v>
      </c>
      <c r="B8203" s="6" t="s">
        <v>18176</v>
      </c>
      <c r="C8203" s="10">
        <v>46040.0</v>
      </c>
      <c r="D8203" s="6" t="s">
        <v>312</v>
      </c>
      <c r="E8203" s="6" t="s">
        <v>610</v>
      </c>
      <c r="F8203" s="6" t="s">
        <v>112</v>
      </c>
      <c r="G8203" s="6" t="s">
        <v>458</v>
      </c>
      <c r="H8203" s="10">
        <v>46040.0</v>
      </c>
      <c r="I8203" s="12">
        <v>5.0</v>
      </c>
      <c r="J8203" s="6" t="s">
        <v>161</v>
      </c>
    </row>
    <row r="8204" ht="22.5" customHeight="1">
      <c r="A8204" s="6" t="s">
        <v>25012</v>
      </c>
      <c r="B8204" s="6" t="s">
        <v>18176</v>
      </c>
      <c r="C8204" s="10">
        <v>46032.0</v>
      </c>
      <c r="D8204" s="6" t="s">
        <v>312</v>
      </c>
      <c r="E8204" s="6" t="s">
        <v>320</v>
      </c>
      <c r="F8204" s="6" t="s">
        <v>249</v>
      </c>
      <c r="G8204" s="6" t="s">
        <v>452</v>
      </c>
      <c r="H8204" s="10">
        <v>46033.0</v>
      </c>
      <c r="I8204" s="12">
        <v>5.0</v>
      </c>
      <c r="J8204" s="6" t="s">
        <v>161</v>
      </c>
    </row>
    <row r="8205" ht="22.5" customHeight="1">
      <c r="A8205" s="6" t="s">
        <v>25013</v>
      </c>
      <c r="B8205" s="6" t="s">
        <v>18176</v>
      </c>
      <c r="C8205" s="10">
        <v>46047.0</v>
      </c>
      <c r="D8205" s="6" t="s">
        <v>289</v>
      </c>
      <c r="E8205" s="6" t="s">
        <v>2881</v>
      </c>
      <c r="F8205" s="6" t="s">
        <v>112</v>
      </c>
      <c r="G8205" s="6" t="s">
        <v>297</v>
      </c>
      <c r="H8205" s="10">
        <v>46051.0</v>
      </c>
      <c r="I8205" s="12">
        <v>10.0</v>
      </c>
      <c r="J8205" s="6" t="s">
        <v>161</v>
      </c>
    </row>
    <row r="8206" ht="22.5" customHeight="1">
      <c r="A8206" s="6" t="s">
        <v>25014</v>
      </c>
      <c r="B8206" s="6" t="s">
        <v>18183</v>
      </c>
      <c r="C8206" s="10">
        <v>46041.0</v>
      </c>
      <c r="D8206" s="6" t="s">
        <v>677</v>
      </c>
      <c r="E8206" s="6" t="s">
        <v>704</v>
      </c>
      <c r="F8206" s="6" t="s">
        <v>439</v>
      </c>
      <c r="G8206" s="6" t="s">
        <v>477</v>
      </c>
      <c r="H8206" s="10">
        <v>46046.0</v>
      </c>
      <c r="I8206" s="12">
        <v>3.0</v>
      </c>
      <c r="J8206" s="6" t="s">
        <v>161</v>
      </c>
    </row>
    <row r="8207" ht="22.5" customHeight="1">
      <c r="A8207" s="6" t="s">
        <v>25015</v>
      </c>
      <c r="B8207" s="6" t="s">
        <v>18183</v>
      </c>
      <c r="C8207" s="10">
        <v>46052.0</v>
      </c>
      <c r="D8207" s="6" t="s">
        <v>242</v>
      </c>
      <c r="E8207" s="6" t="s">
        <v>1273</v>
      </c>
      <c r="F8207" s="6" t="s">
        <v>249</v>
      </c>
      <c r="G8207" s="6" t="s">
        <v>452</v>
      </c>
      <c r="H8207" s="10">
        <v>46052.0</v>
      </c>
      <c r="I8207" s="12">
        <v>3.0</v>
      </c>
      <c r="J8207" s="6" t="s">
        <v>178</v>
      </c>
    </row>
    <row r="8208" ht="22.5" customHeight="1">
      <c r="A8208" s="6" t="s">
        <v>25016</v>
      </c>
      <c r="B8208" s="6" t="s">
        <v>18183</v>
      </c>
      <c r="C8208" s="10">
        <v>46040.0</v>
      </c>
      <c r="D8208" s="6" t="s">
        <v>242</v>
      </c>
      <c r="E8208" s="6" t="s">
        <v>320</v>
      </c>
      <c r="F8208" s="6" t="s">
        <v>283</v>
      </c>
      <c r="G8208" s="6" t="s">
        <v>494</v>
      </c>
      <c r="H8208" s="10">
        <v>46040.0</v>
      </c>
      <c r="I8208" s="12">
        <v>3.0</v>
      </c>
      <c r="J8208" s="6" t="s">
        <v>178</v>
      </c>
    </row>
    <row r="8209" ht="22.5" customHeight="1">
      <c r="A8209" s="6" t="s">
        <v>25017</v>
      </c>
      <c r="B8209" s="6" t="s">
        <v>18183</v>
      </c>
      <c r="C8209" s="10">
        <v>46050.0</v>
      </c>
      <c r="D8209" s="6" t="s">
        <v>312</v>
      </c>
      <c r="E8209" s="6" t="s">
        <v>833</v>
      </c>
      <c r="F8209" s="6" t="s">
        <v>283</v>
      </c>
      <c r="G8209" s="6" t="s">
        <v>326</v>
      </c>
      <c r="H8209" s="10">
        <v>46051.0</v>
      </c>
      <c r="I8209" s="12">
        <v>5.0</v>
      </c>
      <c r="J8209" s="6" t="s">
        <v>161</v>
      </c>
    </row>
    <row r="8210" ht="22.5" customHeight="1">
      <c r="A8210" s="6" t="s">
        <v>25018</v>
      </c>
      <c r="B8210" s="6" t="s">
        <v>18190</v>
      </c>
      <c r="C8210" s="10">
        <v>46042.0</v>
      </c>
      <c r="D8210" s="6" t="s">
        <v>312</v>
      </c>
      <c r="E8210" s="6" t="s">
        <v>1149</v>
      </c>
      <c r="F8210" s="6" t="s">
        <v>249</v>
      </c>
      <c r="G8210" s="6" t="s">
        <v>494</v>
      </c>
      <c r="H8210" s="11" t="s">
        <v>259</v>
      </c>
      <c r="I8210" s="12">
        <v>4.0</v>
      </c>
      <c r="J8210" s="6" t="s">
        <v>161</v>
      </c>
    </row>
    <row r="8211" ht="22.5" customHeight="1">
      <c r="A8211" s="6" t="s">
        <v>25019</v>
      </c>
      <c r="B8211" s="6" t="s">
        <v>18196</v>
      </c>
      <c r="C8211" s="10">
        <v>46027.0</v>
      </c>
      <c r="D8211" s="6" t="s">
        <v>289</v>
      </c>
      <c r="E8211" s="6" t="s">
        <v>1570</v>
      </c>
      <c r="F8211" s="6" t="s">
        <v>439</v>
      </c>
      <c r="G8211" s="6" t="s">
        <v>452</v>
      </c>
      <c r="H8211" s="10">
        <v>46032.0</v>
      </c>
      <c r="I8211" s="12">
        <v>6.0</v>
      </c>
      <c r="J8211" s="6" t="s">
        <v>161</v>
      </c>
    </row>
    <row r="8212" ht="22.5" customHeight="1">
      <c r="A8212" s="6" t="s">
        <v>25020</v>
      </c>
      <c r="B8212" s="6" t="s">
        <v>18196</v>
      </c>
      <c r="C8212" s="10">
        <v>46026.0</v>
      </c>
      <c r="D8212" s="6" t="s">
        <v>677</v>
      </c>
      <c r="E8212" s="6" t="s">
        <v>246</v>
      </c>
      <c r="F8212" s="6" t="s">
        <v>439</v>
      </c>
      <c r="G8212" s="6" t="s">
        <v>452</v>
      </c>
      <c r="H8212" s="10">
        <v>46027.0</v>
      </c>
      <c r="I8212" s="12">
        <v>2.0</v>
      </c>
      <c r="J8212" s="6" t="s">
        <v>161</v>
      </c>
    </row>
    <row r="8213" ht="22.5" customHeight="1">
      <c r="A8213" s="6" t="s">
        <v>25021</v>
      </c>
      <c r="B8213" s="6" t="s">
        <v>18196</v>
      </c>
      <c r="C8213" s="10">
        <v>46028.0</v>
      </c>
      <c r="D8213" s="6" t="s">
        <v>677</v>
      </c>
      <c r="E8213" s="6" t="s">
        <v>704</v>
      </c>
      <c r="F8213" s="6" t="s">
        <v>283</v>
      </c>
      <c r="G8213" s="6" t="s">
        <v>477</v>
      </c>
      <c r="H8213" s="11" t="s">
        <v>259</v>
      </c>
      <c r="I8213" s="12">
        <v>4.0</v>
      </c>
      <c r="J8213" s="6" t="s">
        <v>161</v>
      </c>
    </row>
    <row r="8214" ht="22.5" customHeight="1">
      <c r="A8214" s="6" t="s">
        <v>25022</v>
      </c>
      <c r="B8214" s="6" t="s">
        <v>18196</v>
      </c>
      <c r="C8214" s="10">
        <v>46027.0</v>
      </c>
      <c r="D8214" s="6" t="s">
        <v>436</v>
      </c>
      <c r="E8214" s="6" t="s">
        <v>2881</v>
      </c>
      <c r="F8214" s="6" t="s">
        <v>112</v>
      </c>
      <c r="G8214" s="6" t="s">
        <v>452</v>
      </c>
      <c r="H8214" s="10">
        <v>46029.0</v>
      </c>
      <c r="I8214" s="12">
        <v>9.0</v>
      </c>
      <c r="J8214" s="6" t="s">
        <v>161</v>
      </c>
    </row>
    <row r="8215" ht="22.5" customHeight="1">
      <c r="A8215" s="6" t="s">
        <v>25023</v>
      </c>
      <c r="B8215" s="6" t="s">
        <v>18196</v>
      </c>
      <c r="C8215" s="10">
        <v>46040.0</v>
      </c>
      <c r="D8215" s="6" t="s">
        <v>289</v>
      </c>
      <c r="E8215" s="6" t="s">
        <v>291</v>
      </c>
      <c r="F8215" s="6" t="s">
        <v>283</v>
      </c>
      <c r="G8215" s="6" t="s">
        <v>369</v>
      </c>
      <c r="H8215" s="10">
        <v>46045.0</v>
      </c>
      <c r="I8215" s="12">
        <v>5.0</v>
      </c>
      <c r="J8215" s="6" t="s">
        <v>161</v>
      </c>
    </row>
    <row r="8216" ht="22.5" customHeight="1">
      <c r="A8216" s="6" t="s">
        <v>25024</v>
      </c>
      <c r="B8216" s="6" t="s">
        <v>18202</v>
      </c>
      <c r="C8216" s="10">
        <v>46060.0</v>
      </c>
      <c r="D8216" s="6" t="s">
        <v>436</v>
      </c>
      <c r="E8216" s="6" t="s">
        <v>1626</v>
      </c>
      <c r="F8216" s="6" t="s">
        <v>249</v>
      </c>
      <c r="G8216" s="6" t="s">
        <v>326</v>
      </c>
      <c r="H8216" s="10">
        <v>46060.0</v>
      </c>
      <c r="I8216" s="12">
        <v>10.0</v>
      </c>
      <c r="J8216" s="6" t="s">
        <v>178</v>
      </c>
    </row>
    <row r="8217" ht="22.5" customHeight="1">
      <c r="A8217" s="6" t="s">
        <v>25025</v>
      </c>
      <c r="B8217" s="6" t="s">
        <v>18206</v>
      </c>
      <c r="C8217" s="10">
        <v>46068.0</v>
      </c>
      <c r="D8217" s="6" t="s">
        <v>242</v>
      </c>
      <c r="E8217" s="6" t="s">
        <v>1273</v>
      </c>
      <c r="F8217" s="6" t="s">
        <v>283</v>
      </c>
      <c r="G8217" s="6" t="s">
        <v>369</v>
      </c>
      <c r="H8217" s="10">
        <v>46071.0</v>
      </c>
      <c r="I8217" s="12">
        <v>6.0</v>
      </c>
      <c r="J8217" s="6" t="s">
        <v>178</v>
      </c>
    </row>
    <row r="8218" ht="22.5" customHeight="1">
      <c r="A8218" s="6" t="s">
        <v>25026</v>
      </c>
      <c r="B8218" s="6" t="s">
        <v>18206</v>
      </c>
      <c r="C8218" s="10">
        <v>46069.0</v>
      </c>
      <c r="D8218" s="6" t="s">
        <v>312</v>
      </c>
      <c r="E8218" s="6" t="s">
        <v>704</v>
      </c>
      <c r="F8218" s="6" t="s">
        <v>112</v>
      </c>
      <c r="G8218" s="6" t="s">
        <v>458</v>
      </c>
      <c r="H8218" s="10">
        <v>46075.0</v>
      </c>
      <c r="I8218" s="12">
        <v>6.0</v>
      </c>
      <c r="J8218" s="6" t="s">
        <v>161</v>
      </c>
    </row>
    <row r="8219" ht="22.5" customHeight="1">
      <c r="A8219" s="6" t="s">
        <v>25027</v>
      </c>
      <c r="B8219" s="6" t="s">
        <v>18206</v>
      </c>
      <c r="C8219" s="10">
        <v>46058.0</v>
      </c>
      <c r="D8219" s="6" t="s">
        <v>677</v>
      </c>
      <c r="E8219" s="6" t="s">
        <v>2365</v>
      </c>
      <c r="F8219" s="6" t="s">
        <v>283</v>
      </c>
      <c r="G8219" s="6" t="s">
        <v>326</v>
      </c>
      <c r="H8219" s="10">
        <v>46063.0</v>
      </c>
      <c r="I8219" s="12">
        <v>2.0</v>
      </c>
      <c r="J8219" s="6" t="s">
        <v>161</v>
      </c>
    </row>
    <row r="8220" ht="22.5" customHeight="1">
      <c r="A8220" s="6" t="s">
        <v>25028</v>
      </c>
      <c r="B8220" s="6" t="s">
        <v>18206</v>
      </c>
      <c r="C8220" s="10">
        <v>46072.0</v>
      </c>
      <c r="D8220" s="6" t="s">
        <v>391</v>
      </c>
      <c r="E8220" s="6" t="s">
        <v>450</v>
      </c>
      <c r="F8220" s="6" t="s">
        <v>249</v>
      </c>
      <c r="G8220" s="6" t="s">
        <v>369</v>
      </c>
      <c r="H8220" s="10">
        <v>46078.0</v>
      </c>
      <c r="I8220" s="12">
        <v>11.0</v>
      </c>
      <c r="J8220" s="6" t="s">
        <v>161</v>
      </c>
    </row>
    <row r="8221" ht="22.5" customHeight="1">
      <c r="A8221" s="6" t="s">
        <v>25029</v>
      </c>
      <c r="B8221" s="6" t="s">
        <v>18212</v>
      </c>
      <c r="C8221" s="10">
        <v>46052.0</v>
      </c>
      <c r="D8221" s="6" t="s">
        <v>677</v>
      </c>
      <c r="E8221" s="6" t="s">
        <v>731</v>
      </c>
      <c r="F8221" s="6" t="s">
        <v>112</v>
      </c>
      <c r="G8221" s="6" t="s">
        <v>297</v>
      </c>
      <c r="H8221" s="10">
        <v>46057.0</v>
      </c>
      <c r="I8221" s="12">
        <v>4.0</v>
      </c>
      <c r="J8221" s="6" t="s">
        <v>161</v>
      </c>
    </row>
    <row r="8222" ht="22.5" customHeight="1">
      <c r="A8222" s="6" t="s">
        <v>25030</v>
      </c>
      <c r="B8222" s="6" t="s">
        <v>18219</v>
      </c>
      <c r="C8222" s="10">
        <v>46056.0</v>
      </c>
      <c r="D8222" s="6" t="s">
        <v>436</v>
      </c>
      <c r="E8222" s="6" t="s">
        <v>885</v>
      </c>
      <c r="F8222" s="6" t="s">
        <v>439</v>
      </c>
      <c r="G8222" s="6" t="s">
        <v>254</v>
      </c>
      <c r="H8222" s="10">
        <v>46059.0</v>
      </c>
      <c r="I8222" s="12">
        <v>9.0</v>
      </c>
      <c r="J8222" s="6" t="s">
        <v>161</v>
      </c>
    </row>
    <row r="8223" ht="22.5" customHeight="1">
      <c r="A8223" s="6" t="s">
        <v>25031</v>
      </c>
      <c r="B8223" s="6" t="s">
        <v>18219</v>
      </c>
      <c r="C8223" s="10">
        <v>46047.0</v>
      </c>
      <c r="D8223" s="6" t="s">
        <v>312</v>
      </c>
      <c r="E8223" s="6" t="s">
        <v>1149</v>
      </c>
      <c r="F8223" s="6" t="s">
        <v>283</v>
      </c>
      <c r="G8223" s="6" t="s">
        <v>494</v>
      </c>
      <c r="H8223" s="10">
        <v>46052.0</v>
      </c>
      <c r="I8223" s="12">
        <v>7.0</v>
      </c>
      <c r="J8223" s="6" t="s">
        <v>161</v>
      </c>
    </row>
    <row r="8224" ht="22.5" customHeight="1">
      <c r="A8224" s="6" t="s">
        <v>25032</v>
      </c>
      <c r="B8224" s="6" t="s">
        <v>18219</v>
      </c>
      <c r="C8224" s="10">
        <v>46057.0</v>
      </c>
      <c r="D8224" s="6" t="s">
        <v>289</v>
      </c>
      <c r="E8224" s="6" t="s">
        <v>365</v>
      </c>
      <c r="F8224" s="6" t="s">
        <v>249</v>
      </c>
      <c r="G8224" s="6" t="s">
        <v>458</v>
      </c>
      <c r="H8224" s="10">
        <v>46063.0</v>
      </c>
      <c r="I8224" s="12">
        <v>8.0</v>
      </c>
      <c r="J8224" s="6" t="s">
        <v>161</v>
      </c>
    </row>
    <row r="8225" ht="22.5" customHeight="1">
      <c r="A8225" s="6" t="s">
        <v>25033</v>
      </c>
      <c r="B8225" s="6" t="s">
        <v>18225</v>
      </c>
      <c r="C8225" s="10">
        <v>46044.0</v>
      </c>
      <c r="D8225" s="6" t="s">
        <v>416</v>
      </c>
      <c r="E8225" s="6" t="s">
        <v>2365</v>
      </c>
      <c r="F8225" s="6" t="s">
        <v>249</v>
      </c>
      <c r="G8225" s="6" t="s">
        <v>452</v>
      </c>
      <c r="H8225" s="10">
        <v>46051.0</v>
      </c>
      <c r="I8225" s="12">
        <v>10.0</v>
      </c>
      <c r="J8225" s="6" t="s">
        <v>161</v>
      </c>
    </row>
    <row r="8226" ht="22.5" customHeight="1">
      <c r="A8226" s="6" t="s">
        <v>25034</v>
      </c>
      <c r="B8226" s="6" t="s">
        <v>18231</v>
      </c>
      <c r="C8226" s="10">
        <v>46056.0</v>
      </c>
      <c r="D8226" s="6" t="s">
        <v>242</v>
      </c>
      <c r="E8226" s="6" t="s">
        <v>291</v>
      </c>
      <c r="F8226" s="6" t="s">
        <v>439</v>
      </c>
      <c r="G8226" s="6" t="s">
        <v>254</v>
      </c>
      <c r="H8226" s="10">
        <v>46063.0</v>
      </c>
      <c r="I8226" s="12">
        <v>3.0</v>
      </c>
      <c r="J8226" s="6" t="s">
        <v>161</v>
      </c>
    </row>
    <row r="8227" ht="22.5" customHeight="1">
      <c r="A8227" s="6" t="s">
        <v>25035</v>
      </c>
      <c r="B8227" s="6" t="s">
        <v>18231</v>
      </c>
      <c r="C8227" s="10">
        <v>46069.0</v>
      </c>
      <c r="D8227" s="6" t="s">
        <v>289</v>
      </c>
      <c r="E8227" s="6" t="s">
        <v>1149</v>
      </c>
      <c r="F8227" s="6" t="s">
        <v>439</v>
      </c>
      <c r="G8227" s="6" t="s">
        <v>326</v>
      </c>
      <c r="H8227" s="10">
        <v>46071.0</v>
      </c>
      <c r="I8227" s="12">
        <v>7.0</v>
      </c>
      <c r="J8227" s="6" t="s">
        <v>161</v>
      </c>
    </row>
    <row r="8228" ht="22.5" customHeight="1">
      <c r="A8228" s="6" t="s">
        <v>25036</v>
      </c>
      <c r="B8228" s="6" t="s">
        <v>18231</v>
      </c>
      <c r="C8228" s="10">
        <v>46069.0</v>
      </c>
      <c r="D8228" s="6" t="s">
        <v>242</v>
      </c>
      <c r="E8228" s="6" t="s">
        <v>1280</v>
      </c>
      <c r="F8228" s="6" t="s">
        <v>249</v>
      </c>
      <c r="G8228" s="6" t="s">
        <v>458</v>
      </c>
      <c r="H8228" s="10">
        <v>46075.0</v>
      </c>
      <c r="I8228" s="12">
        <v>3.0</v>
      </c>
      <c r="J8228" s="6" t="s">
        <v>161</v>
      </c>
    </row>
    <row r="8229" ht="22.5" customHeight="1">
      <c r="A8229" s="6" t="s">
        <v>25037</v>
      </c>
      <c r="B8229" s="6" t="s">
        <v>18237</v>
      </c>
      <c r="C8229" s="10">
        <v>46059.0</v>
      </c>
      <c r="D8229" s="6" t="s">
        <v>391</v>
      </c>
      <c r="E8229" s="6" t="s">
        <v>1055</v>
      </c>
      <c r="F8229" s="6" t="s">
        <v>283</v>
      </c>
      <c r="G8229" s="6" t="s">
        <v>254</v>
      </c>
      <c r="H8229" s="10">
        <v>46063.0</v>
      </c>
      <c r="I8229" s="12">
        <v>11.0</v>
      </c>
      <c r="J8229" s="6" t="s">
        <v>161</v>
      </c>
    </row>
    <row r="8230" ht="22.5" customHeight="1">
      <c r="A8230" s="6" t="s">
        <v>25038</v>
      </c>
      <c r="B8230" s="6" t="s">
        <v>18237</v>
      </c>
      <c r="C8230" s="10">
        <v>46054.0</v>
      </c>
      <c r="D8230" s="6" t="s">
        <v>391</v>
      </c>
      <c r="E8230" s="6" t="s">
        <v>1310</v>
      </c>
      <c r="F8230" s="6" t="s">
        <v>112</v>
      </c>
      <c r="G8230" s="6" t="s">
        <v>458</v>
      </c>
      <c r="H8230" s="10">
        <v>46057.0</v>
      </c>
      <c r="I8230" s="12">
        <v>7.0</v>
      </c>
      <c r="J8230" s="6" t="s">
        <v>161</v>
      </c>
    </row>
    <row r="8231" ht="22.5" customHeight="1">
      <c r="A8231" s="6" t="s">
        <v>25039</v>
      </c>
      <c r="B8231" s="6" t="s">
        <v>18237</v>
      </c>
      <c r="C8231" s="10">
        <v>46061.0</v>
      </c>
      <c r="D8231" s="6" t="s">
        <v>312</v>
      </c>
      <c r="E8231" s="6" t="s">
        <v>417</v>
      </c>
      <c r="F8231" s="6" t="s">
        <v>249</v>
      </c>
      <c r="G8231" s="6" t="s">
        <v>452</v>
      </c>
      <c r="H8231" s="10">
        <v>46066.0</v>
      </c>
      <c r="I8231" s="12">
        <v>7.0</v>
      </c>
      <c r="J8231" s="6" t="s">
        <v>161</v>
      </c>
    </row>
    <row r="8232" ht="22.5" customHeight="1">
      <c r="A8232" s="6" t="s">
        <v>25040</v>
      </c>
      <c r="B8232" s="6" t="s">
        <v>18237</v>
      </c>
      <c r="C8232" s="10">
        <v>46064.0</v>
      </c>
      <c r="D8232" s="6" t="s">
        <v>677</v>
      </c>
      <c r="E8232" s="6" t="s">
        <v>1969</v>
      </c>
      <c r="F8232" s="6" t="s">
        <v>249</v>
      </c>
      <c r="G8232" s="6" t="s">
        <v>369</v>
      </c>
      <c r="H8232" s="10">
        <v>46069.0</v>
      </c>
      <c r="I8232" s="12">
        <v>2.0</v>
      </c>
      <c r="J8232" s="6" t="s">
        <v>161</v>
      </c>
    </row>
    <row r="8233" ht="22.5" customHeight="1">
      <c r="A8233" s="6" t="s">
        <v>25041</v>
      </c>
      <c r="B8233" s="6" t="s">
        <v>18243</v>
      </c>
      <c r="C8233" s="10">
        <v>46026.0</v>
      </c>
      <c r="D8233" s="6" t="s">
        <v>416</v>
      </c>
      <c r="E8233" s="6" t="s">
        <v>1149</v>
      </c>
      <c r="F8233" s="6" t="s">
        <v>112</v>
      </c>
      <c r="G8233" s="6" t="s">
        <v>254</v>
      </c>
      <c r="H8233" s="10">
        <v>46032.0</v>
      </c>
      <c r="I8233" s="12">
        <v>12.0</v>
      </c>
      <c r="J8233" s="6" t="s">
        <v>161</v>
      </c>
    </row>
    <row r="8234" ht="22.5" customHeight="1">
      <c r="A8234" s="6" t="s">
        <v>25042</v>
      </c>
      <c r="B8234" s="6" t="s">
        <v>18243</v>
      </c>
      <c r="C8234" s="10">
        <v>46039.0</v>
      </c>
      <c r="D8234" s="6" t="s">
        <v>391</v>
      </c>
      <c r="E8234" s="6" t="s">
        <v>1273</v>
      </c>
      <c r="F8234" s="6" t="s">
        <v>249</v>
      </c>
      <c r="G8234" s="6" t="s">
        <v>326</v>
      </c>
      <c r="H8234" s="11" t="s">
        <v>259</v>
      </c>
      <c r="I8234" s="12">
        <v>7.0</v>
      </c>
      <c r="J8234" s="6" t="s">
        <v>161</v>
      </c>
    </row>
    <row r="8235" ht="22.5" customHeight="1">
      <c r="A8235" s="6" t="s">
        <v>25043</v>
      </c>
      <c r="B8235" s="6" t="s">
        <v>18243</v>
      </c>
      <c r="C8235" s="10">
        <v>46024.0</v>
      </c>
      <c r="D8235" s="6" t="s">
        <v>416</v>
      </c>
      <c r="E8235" s="6" t="s">
        <v>1310</v>
      </c>
      <c r="F8235" s="6" t="s">
        <v>283</v>
      </c>
      <c r="G8235" s="6" t="s">
        <v>452</v>
      </c>
      <c r="H8235" s="10">
        <v>46026.0</v>
      </c>
      <c r="I8235" s="12">
        <v>11.0</v>
      </c>
      <c r="J8235" s="6" t="s">
        <v>161</v>
      </c>
    </row>
    <row r="8236" ht="22.5" customHeight="1">
      <c r="A8236" s="6" t="s">
        <v>25044</v>
      </c>
      <c r="B8236" s="6" t="s">
        <v>18249</v>
      </c>
      <c r="C8236" s="10">
        <v>46069.0</v>
      </c>
      <c r="D8236" s="6" t="s">
        <v>677</v>
      </c>
      <c r="E8236" s="6" t="s">
        <v>417</v>
      </c>
      <c r="F8236" s="6" t="s">
        <v>283</v>
      </c>
      <c r="G8236" s="6" t="s">
        <v>297</v>
      </c>
      <c r="H8236" s="10">
        <v>46073.0</v>
      </c>
      <c r="I8236" s="12">
        <v>2.0</v>
      </c>
      <c r="J8236" s="6" t="s">
        <v>161</v>
      </c>
    </row>
    <row r="8237" ht="22.5" customHeight="1">
      <c r="A8237" s="6" t="s">
        <v>25045</v>
      </c>
      <c r="B8237" s="6" t="s">
        <v>18249</v>
      </c>
      <c r="C8237" s="10">
        <v>46064.0</v>
      </c>
      <c r="D8237" s="6" t="s">
        <v>677</v>
      </c>
      <c r="E8237" s="6" t="s">
        <v>833</v>
      </c>
      <c r="F8237" s="6" t="s">
        <v>283</v>
      </c>
      <c r="G8237" s="6" t="s">
        <v>369</v>
      </c>
      <c r="H8237" s="10">
        <v>46064.0</v>
      </c>
      <c r="I8237" s="12">
        <v>3.0</v>
      </c>
      <c r="J8237" s="6" t="s">
        <v>161</v>
      </c>
    </row>
    <row r="8238" ht="22.5" customHeight="1">
      <c r="A8238" s="6" t="s">
        <v>25046</v>
      </c>
      <c r="B8238" s="6" t="s">
        <v>18249</v>
      </c>
      <c r="C8238" s="10">
        <v>46075.0</v>
      </c>
      <c r="D8238" s="6" t="s">
        <v>312</v>
      </c>
      <c r="E8238" s="6" t="s">
        <v>320</v>
      </c>
      <c r="F8238" s="6" t="s">
        <v>439</v>
      </c>
      <c r="G8238" s="6" t="s">
        <v>297</v>
      </c>
      <c r="H8238" s="10">
        <v>46076.0</v>
      </c>
      <c r="I8238" s="12">
        <v>7.0</v>
      </c>
      <c r="J8238" s="6" t="s">
        <v>161</v>
      </c>
    </row>
    <row r="8239" ht="22.5" customHeight="1">
      <c r="A8239" s="6" t="s">
        <v>25047</v>
      </c>
      <c r="B8239" s="6" t="s">
        <v>18249</v>
      </c>
      <c r="C8239" s="10">
        <v>46062.0</v>
      </c>
      <c r="D8239" s="6" t="s">
        <v>436</v>
      </c>
      <c r="E8239" s="6" t="s">
        <v>1241</v>
      </c>
      <c r="F8239" s="6" t="s">
        <v>249</v>
      </c>
      <c r="G8239" s="6" t="s">
        <v>458</v>
      </c>
      <c r="H8239" s="10">
        <v>46063.0</v>
      </c>
      <c r="I8239" s="12">
        <v>6.0</v>
      </c>
      <c r="J8239" s="6" t="s">
        <v>178</v>
      </c>
    </row>
    <row r="8240" ht="22.5" customHeight="1">
      <c r="A8240" s="6" t="s">
        <v>25048</v>
      </c>
      <c r="B8240" s="6" t="s">
        <v>18255</v>
      </c>
      <c r="C8240" s="10">
        <v>46054.0</v>
      </c>
      <c r="D8240" s="6" t="s">
        <v>289</v>
      </c>
      <c r="E8240" s="6" t="s">
        <v>670</v>
      </c>
      <c r="F8240" s="6" t="s">
        <v>439</v>
      </c>
      <c r="G8240" s="6" t="s">
        <v>458</v>
      </c>
      <c r="H8240" s="10">
        <v>46057.0</v>
      </c>
      <c r="I8240" s="12">
        <v>7.0</v>
      </c>
      <c r="J8240" s="6" t="s">
        <v>161</v>
      </c>
    </row>
    <row r="8241" ht="22.5" customHeight="1">
      <c r="A8241" s="6" t="s">
        <v>25049</v>
      </c>
      <c r="B8241" s="6" t="s">
        <v>18255</v>
      </c>
      <c r="C8241" s="10">
        <v>46054.0</v>
      </c>
      <c r="D8241" s="6" t="s">
        <v>677</v>
      </c>
      <c r="E8241" s="6" t="s">
        <v>365</v>
      </c>
      <c r="F8241" s="6" t="s">
        <v>112</v>
      </c>
      <c r="G8241" s="6" t="s">
        <v>369</v>
      </c>
      <c r="H8241" s="10">
        <v>46057.0</v>
      </c>
      <c r="I8241" s="12">
        <v>2.0</v>
      </c>
      <c r="J8241" s="6" t="s">
        <v>161</v>
      </c>
    </row>
    <row r="8242" ht="22.5" customHeight="1">
      <c r="A8242" s="6" t="s">
        <v>25050</v>
      </c>
      <c r="B8242" s="6" t="s">
        <v>18255</v>
      </c>
      <c r="C8242" s="10">
        <v>46049.0</v>
      </c>
      <c r="D8242" s="6" t="s">
        <v>416</v>
      </c>
      <c r="E8242" s="6" t="s">
        <v>1969</v>
      </c>
      <c r="F8242" s="6" t="s">
        <v>283</v>
      </c>
      <c r="G8242" s="6" t="s">
        <v>297</v>
      </c>
      <c r="H8242" s="10">
        <v>46050.0</v>
      </c>
      <c r="I8242" s="12">
        <v>8.0</v>
      </c>
      <c r="J8242" s="6" t="s">
        <v>161</v>
      </c>
    </row>
    <row r="8243" ht="22.5" customHeight="1">
      <c r="A8243" s="6" t="s">
        <v>25051</v>
      </c>
      <c r="B8243" s="6" t="s">
        <v>18262</v>
      </c>
      <c r="C8243" s="10">
        <v>46047.0</v>
      </c>
      <c r="D8243" s="6" t="s">
        <v>677</v>
      </c>
      <c r="E8243" s="6" t="s">
        <v>1070</v>
      </c>
      <c r="F8243" s="6" t="s">
        <v>112</v>
      </c>
      <c r="G8243" s="6" t="s">
        <v>326</v>
      </c>
      <c r="H8243" s="10">
        <v>46053.0</v>
      </c>
      <c r="I8243" s="12">
        <v>2.0</v>
      </c>
      <c r="J8243" s="6" t="s">
        <v>161</v>
      </c>
    </row>
    <row r="8244" ht="22.5" customHeight="1">
      <c r="A8244" s="6" t="s">
        <v>25052</v>
      </c>
      <c r="B8244" s="6" t="s">
        <v>18262</v>
      </c>
      <c r="C8244" s="10">
        <v>46046.0</v>
      </c>
      <c r="D8244" s="6" t="s">
        <v>677</v>
      </c>
      <c r="E8244" s="6" t="s">
        <v>2365</v>
      </c>
      <c r="F8244" s="6" t="s">
        <v>112</v>
      </c>
      <c r="G8244" s="6" t="s">
        <v>477</v>
      </c>
      <c r="H8244" s="11" t="s">
        <v>259</v>
      </c>
      <c r="I8244" s="12">
        <v>3.0</v>
      </c>
      <c r="J8244" s="6" t="s">
        <v>161</v>
      </c>
    </row>
    <row r="8245" ht="22.5" customHeight="1">
      <c r="A8245" s="6" t="s">
        <v>25053</v>
      </c>
      <c r="B8245" s="6" t="s">
        <v>18262</v>
      </c>
      <c r="C8245" s="10">
        <v>46044.0</v>
      </c>
      <c r="D8245" s="6" t="s">
        <v>677</v>
      </c>
      <c r="E8245" s="6" t="s">
        <v>610</v>
      </c>
      <c r="F8245" s="6" t="s">
        <v>283</v>
      </c>
      <c r="G8245" s="6" t="s">
        <v>494</v>
      </c>
      <c r="H8245" s="11" t="s">
        <v>259</v>
      </c>
      <c r="I8245" s="12">
        <v>4.0</v>
      </c>
      <c r="J8245" s="6" t="s">
        <v>161</v>
      </c>
    </row>
    <row r="8246" ht="22.5" customHeight="1">
      <c r="A8246" s="6" t="s">
        <v>25054</v>
      </c>
      <c r="B8246" s="6" t="s">
        <v>18262</v>
      </c>
      <c r="C8246" s="10">
        <v>46041.0</v>
      </c>
      <c r="D8246" s="6" t="s">
        <v>436</v>
      </c>
      <c r="E8246" s="6" t="s">
        <v>670</v>
      </c>
      <c r="F8246" s="6" t="s">
        <v>439</v>
      </c>
      <c r="G8246" s="6" t="s">
        <v>452</v>
      </c>
      <c r="H8246" s="10">
        <v>46041.0</v>
      </c>
      <c r="I8246" s="12">
        <v>7.0</v>
      </c>
      <c r="J8246" s="6" t="s">
        <v>178</v>
      </c>
    </row>
    <row r="8247" ht="22.5" customHeight="1">
      <c r="A8247" s="6" t="s">
        <v>25055</v>
      </c>
      <c r="B8247" s="6" t="s">
        <v>18262</v>
      </c>
      <c r="C8247" s="10">
        <v>46061.0</v>
      </c>
      <c r="D8247" s="6" t="s">
        <v>289</v>
      </c>
      <c r="E8247" s="6" t="s">
        <v>1273</v>
      </c>
      <c r="F8247" s="6" t="s">
        <v>112</v>
      </c>
      <c r="G8247" s="6" t="s">
        <v>369</v>
      </c>
      <c r="H8247" s="11" t="s">
        <v>259</v>
      </c>
      <c r="I8247" s="12">
        <v>7.0</v>
      </c>
      <c r="J8247" s="6" t="s">
        <v>161</v>
      </c>
    </row>
    <row r="8248" ht="22.5" customHeight="1">
      <c r="A8248" s="6" t="s">
        <v>25056</v>
      </c>
      <c r="B8248" s="6" t="s">
        <v>18267</v>
      </c>
      <c r="C8248" s="10">
        <v>46036.0</v>
      </c>
      <c r="D8248" s="6" t="s">
        <v>436</v>
      </c>
      <c r="E8248" s="6" t="s">
        <v>833</v>
      </c>
      <c r="F8248" s="6" t="s">
        <v>439</v>
      </c>
      <c r="G8248" s="6" t="s">
        <v>254</v>
      </c>
      <c r="H8248" s="11" t="s">
        <v>259</v>
      </c>
      <c r="I8248" s="12">
        <v>6.0</v>
      </c>
      <c r="J8248" s="6" t="s">
        <v>178</v>
      </c>
    </row>
    <row r="8249" ht="22.5" customHeight="1">
      <c r="A8249" s="6" t="s">
        <v>25057</v>
      </c>
      <c r="B8249" s="6" t="s">
        <v>18267</v>
      </c>
      <c r="C8249" s="10">
        <v>46028.0</v>
      </c>
      <c r="D8249" s="6" t="s">
        <v>289</v>
      </c>
      <c r="E8249" s="6" t="s">
        <v>1241</v>
      </c>
      <c r="F8249" s="6" t="s">
        <v>112</v>
      </c>
      <c r="G8249" s="6" t="s">
        <v>297</v>
      </c>
      <c r="H8249" s="10">
        <v>46032.0</v>
      </c>
      <c r="I8249" s="12">
        <v>8.0</v>
      </c>
      <c r="J8249" s="6" t="s">
        <v>161</v>
      </c>
    </row>
    <row r="8250" ht="22.5" customHeight="1">
      <c r="A8250" s="6" t="s">
        <v>25058</v>
      </c>
      <c r="B8250" s="6" t="s">
        <v>18267</v>
      </c>
      <c r="C8250" s="10">
        <v>46044.0</v>
      </c>
      <c r="D8250" s="6" t="s">
        <v>391</v>
      </c>
      <c r="E8250" s="6" t="s">
        <v>704</v>
      </c>
      <c r="F8250" s="6" t="s">
        <v>283</v>
      </c>
      <c r="G8250" s="6" t="s">
        <v>452</v>
      </c>
      <c r="H8250" s="10">
        <v>46048.0</v>
      </c>
      <c r="I8250" s="12">
        <v>9.0</v>
      </c>
      <c r="J8250" s="6" t="s">
        <v>161</v>
      </c>
    </row>
    <row r="8251" ht="22.5" customHeight="1">
      <c r="A8251" s="6" t="s">
        <v>25059</v>
      </c>
      <c r="B8251" s="6" t="s">
        <v>18273</v>
      </c>
      <c r="C8251" s="10">
        <v>46079.0</v>
      </c>
      <c r="D8251" s="6" t="s">
        <v>312</v>
      </c>
      <c r="E8251" s="6" t="s">
        <v>1296</v>
      </c>
      <c r="F8251" s="6" t="s">
        <v>249</v>
      </c>
      <c r="G8251" s="6" t="s">
        <v>254</v>
      </c>
      <c r="H8251" s="11" t="s">
        <v>259</v>
      </c>
      <c r="I8251" s="12">
        <v>6.0</v>
      </c>
      <c r="J8251" s="6" t="s">
        <v>161</v>
      </c>
    </row>
    <row r="8252" ht="22.5" customHeight="1">
      <c r="A8252" s="6" t="s">
        <v>25060</v>
      </c>
      <c r="B8252" s="6" t="s">
        <v>18273</v>
      </c>
      <c r="C8252" s="10">
        <v>46066.0</v>
      </c>
      <c r="D8252" s="6" t="s">
        <v>289</v>
      </c>
      <c r="E8252" s="6" t="s">
        <v>320</v>
      </c>
      <c r="F8252" s="6" t="s">
        <v>439</v>
      </c>
      <c r="G8252" s="6" t="s">
        <v>477</v>
      </c>
      <c r="H8252" s="10">
        <v>46066.0</v>
      </c>
      <c r="I8252" s="12">
        <v>8.0</v>
      </c>
      <c r="J8252" s="6" t="s">
        <v>161</v>
      </c>
    </row>
    <row r="8253" ht="22.5" customHeight="1">
      <c r="A8253" s="6" t="s">
        <v>25061</v>
      </c>
      <c r="B8253" s="6" t="s">
        <v>18278</v>
      </c>
      <c r="C8253" s="10">
        <v>46057.0</v>
      </c>
      <c r="D8253" s="6" t="s">
        <v>312</v>
      </c>
      <c r="E8253" s="6" t="s">
        <v>1035</v>
      </c>
      <c r="F8253" s="6" t="s">
        <v>439</v>
      </c>
      <c r="G8253" s="6" t="s">
        <v>254</v>
      </c>
      <c r="H8253" s="10">
        <v>46059.0</v>
      </c>
      <c r="I8253" s="12">
        <v>4.0</v>
      </c>
      <c r="J8253" s="6" t="s">
        <v>161</v>
      </c>
    </row>
    <row r="8254" ht="22.5" customHeight="1">
      <c r="A8254" s="6" t="s">
        <v>25062</v>
      </c>
      <c r="B8254" s="6" t="s">
        <v>18278</v>
      </c>
      <c r="C8254" s="10">
        <v>46055.0</v>
      </c>
      <c r="D8254" s="6" t="s">
        <v>436</v>
      </c>
      <c r="E8254" s="6" t="s">
        <v>2881</v>
      </c>
      <c r="F8254" s="6" t="s">
        <v>112</v>
      </c>
      <c r="G8254" s="6" t="s">
        <v>326</v>
      </c>
      <c r="H8254" s="10">
        <v>46061.0</v>
      </c>
      <c r="I8254" s="12">
        <v>7.0</v>
      </c>
      <c r="J8254" s="6" t="s">
        <v>161</v>
      </c>
    </row>
    <row r="8255" ht="22.5" customHeight="1">
      <c r="A8255" s="6" t="s">
        <v>25063</v>
      </c>
      <c r="B8255" s="6" t="s">
        <v>18278</v>
      </c>
      <c r="C8255" s="10">
        <v>46053.0</v>
      </c>
      <c r="D8255" s="6" t="s">
        <v>289</v>
      </c>
      <c r="E8255" s="6" t="s">
        <v>955</v>
      </c>
      <c r="F8255" s="6" t="s">
        <v>283</v>
      </c>
      <c r="G8255" s="6" t="s">
        <v>477</v>
      </c>
      <c r="H8255" s="11" t="s">
        <v>259</v>
      </c>
      <c r="I8255" s="12">
        <v>8.0</v>
      </c>
      <c r="J8255" s="6" t="s">
        <v>161</v>
      </c>
    </row>
    <row r="8256" ht="22.5" customHeight="1">
      <c r="A8256" s="6" t="s">
        <v>25064</v>
      </c>
      <c r="B8256" s="6" t="s">
        <v>18284</v>
      </c>
      <c r="C8256" s="10">
        <v>46037.0</v>
      </c>
      <c r="D8256" s="6" t="s">
        <v>312</v>
      </c>
      <c r="E8256" s="6" t="s">
        <v>417</v>
      </c>
      <c r="F8256" s="6" t="s">
        <v>439</v>
      </c>
      <c r="G8256" s="6" t="s">
        <v>458</v>
      </c>
      <c r="H8256" s="10">
        <v>46044.0</v>
      </c>
      <c r="I8256" s="12">
        <v>5.0</v>
      </c>
      <c r="J8256" s="6" t="s">
        <v>161</v>
      </c>
    </row>
    <row r="8257" ht="22.5" customHeight="1">
      <c r="A8257" s="6" t="s">
        <v>25065</v>
      </c>
      <c r="B8257" s="6" t="s">
        <v>18284</v>
      </c>
      <c r="C8257" s="10">
        <v>46054.0</v>
      </c>
      <c r="D8257" s="6" t="s">
        <v>312</v>
      </c>
      <c r="E8257" s="6" t="s">
        <v>704</v>
      </c>
      <c r="F8257" s="6" t="s">
        <v>283</v>
      </c>
      <c r="G8257" s="6" t="s">
        <v>254</v>
      </c>
      <c r="H8257" s="10">
        <v>46061.0</v>
      </c>
      <c r="I8257" s="12">
        <v>6.0</v>
      </c>
      <c r="J8257" s="6" t="s">
        <v>161</v>
      </c>
    </row>
    <row r="8258" ht="22.5" customHeight="1">
      <c r="A8258" s="6" t="s">
        <v>25066</v>
      </c>
      <c r="B8258" s="6" t="s">
        <v>18290</v>
      </c>
      <c r="C8258" s="10">
        <v>46061.0</v>
      </c>
      <c r="D8258" s="6" t="s">
        <v>312</v>
      </c>
      <c r="E8258" s="6" t="s">
        <v>438</v>
      </c>
      <c r="F8258" s="6" t="s">
        <v>249</v>
      </c>
      <c r="G8258" s="6" t="s">
        <v>254</v>
      </c>
      <c r="H8258" s="11" t="s">
        <v>259</v>
      </c>
      <c r="I8258" s="12">
        <v>7.0</v>
      </c>
      <c r="J8258" s="6" t="s">
        <v>161</v>
      </c>
    </row>
    <row r="8259" ht="22.5" customHeight="1">
      <c r="A8259" s="6" t="s">
        <v>25067</v>
      </c>
      <c r="B8259" s="6" t="s">
        <v>18290</v>
      </c>
      <c r="C8259" s="10">
        <v>46057.0</v>
      </c>
      <c r="D8259" s="6" t="s">
        <v>391</v>
      </c>
      <c r="E8259" s="6" t="s">
        <v>1386</v>
      </c>
      <c r="F8259" s="6" t="s">
        <v>283</v>
      </c>
      <c r="G8259" s="6" t="s">
        <v>326</v>
      </c>
      <c r="H8259" s="10">
        <v>46062.0</v>
      </c>
      <c r="I8259" s="12">
        <v>7.0</v>
      </c>
      <c r="J8259" s="6" t="s">
        <v>161</v>
      </c>
    </row>
    <row r="8260" ht="22.5" customHeight="1">
      <c r="A8260" s="6" t="s">
        <v>25068</v>
      </c>
      <c r="B8260" s="6" t="s">
        <v>18290</v>
      </c>
      <c r="C8260" s="10">
        <v>46056.0</v>
      </c>
      <c r="D8260" s="6" t="s">
        <v>436</v>
      </c>
      <c r="E8260" s="6" t="s">
        <v>417</v>
      </c>
      <c r="F8260" s="6" t="s">
        <v>249</v>
      </c>
      <c r="G8260" s="6" t="s">
        <v>254</v>
      </c>
      <c r="H8260" s="11" t="s">
        <v>259</v>
      </c>
      <c r="I8260" s="12">
        <v>9.0</v>
      </c>
      <c r="J8260" s="6" t="s">
        <v>161</v>
      </c>
    </row>
    <row r="8261" ht="22.5" customHeight="1">
      <c r="A8261" s="6" t="s">
        <v>25069</v>
      </c>
      <c r="B8261" s="6" t="s">
        <v>18290</v>
      </c>
      <c r="C8261" s="10">
        <v>46065.0</v>
      </c>
      <c r="D8261" s="6" t="s">
        <v>416</v>
      </c>
      <c r="E8261" s="6" t="s">
        <v>1600</v>
      </c>
      <c r="F8261" s="6" t="s">
        <v>112</v>
      </c>
      <c r="G8261" s="6" t="s">
        <v>494</v>
      </c>
      <c r="H8261" s="10">
        <v>46068.0</v>
      </c>
      <c r="I8261" s="12">
        <v>13.0</v>
      </c>
      <c r="J8261" s="6" t="s">
        <v>161</v>
      </c>
    </row>
    <row r="8262" ht="22.5" customHeight="1">
      <c r="A8262" s="6" t="s">
        <v>25070</v>
      </c>
      <c r="B8262" s="6" t="s">
        <v>18290</v>
      </c>
      <c r="C8262" s="10">
        <v>46066.0</v>
      </c>
      <c r="D8262" s="6" t="s">
        <v>289</v>
      </c>
      <c r="E8262" s="6" t="s">
        <v>1102</v>
      </c>
      <c r="F8262" s="6" t="s">
        <v>249</v>
      </c>
      <c r="G8262" s="6" t="s">
        <v>254</v>
      </c>
      <c r="H8262" s="11" t="s">
        <v>259</v>
      </c>
      <c r="I8262" s="12">
        <v>10.0</v>
      </c>
      <c r="J8262" s="6" t="s">
        <v>161</v>
      </c>
    </row>
    <row r="8263" ht="22.5" customHeight="1">
      <c r="A8263" s="6" t="s">
        <v>25071</v>
      </c>
      <c r="B8263" s="6" t="s">
        <v>18296</v>
      </c>
      <c r="C8263" s="10">
        <v>46066.0</v>
      </c>
      <c r="D8263" s="6" t="s">
        <v>391</v>
      </c>
      <c r="E8263" s="6" t="s">
        <v>833</v>
      </c>
      <c r="F8263" s="6" t="s">
        <v>249</v>
      </c>
      <c r="G8263" s="6" t="s">
        <v>477</v>
      </c>
      <c r="H8263" s="10">
        <v>46069.0</v>
      </c>
      <c r="I8263" s="12">
        <v>8.0</v>
      </c>
      <c r="J8263" s="6" t="s">
        <v>161</v>
      </c>
    </row>
    <row r="8264" ht="22.5" customHeight="1">
      <c r="A8264" s="6" t="s">
        <v>25072</v>
      </c>
      <c r="B8264" s="6" t="s">
        <v>18303</v>
      </c>
      <c r="C8264" s="10">
        <v>46049.0</v>
      </c>
      <c r="D8264" s="6" t="s">
        <v>289</v>
      </c>
      <c r="E8264" s="6" t="s">
        <v>1570</v>
      </c>
      <c r="F8264" s="6" t="s">
        <v>283</v>
      </c>
      <c r="G8264" s="6" t="s">
        <v>326</v>
      </c>
      <c r="H8264" s="10">
        <v>46050.0</v>
      </c>
      <c r="I8264" s="12">
        <v>10.0</v>
      </c>
      <c r="J8264" s="6" t="s">
        <v>161</v>
      </c>
    </row>
    <row r="8265" ht="22.5" customHeight="1">
      <c r="A8265" s="6" t="s">
        <v>25073</v>
      </c>
      <c r="B8265" s="6" t="s">
        <v>18303</v>
      </c>
      <c r="C8265" s="10">
        <v>46052.0</v>
      </c>
      <c r="D8265" s="6" t="s">
        <v>416</v>
      </c>
      <c r="E8265" s="6" t="s">
        <v>687</v>
      </c>
      <c r="F8265" s="6" t="s">
        <v>439</v>
      </c>
      <c r="G8265" s="6" t="s">
        <v>254</v>
      </c>
      <c r="H8265" s="10">
        <v>46052.0</v>
      </c>
      <c r="I8265" s="12">
        <v>14.0</v>
      </c>
      <c r="J8265" s="6" t="s">
        <v>161</v>
      </c>
    </row>
    <row r="8266" ht="22.5" customHeight="1">
      <c r="A8266" s="6" t="s">
        <v>25074</v>
      </c>
      <c r="B8266" s="6" t="s">
        <v>18303</v>
      </c>
      <c r="C8266" s="10">
        <v>46061.0</v>
      </c>
      <c r="D8266" s="6" t="s">
        <v>677</v>
      </c>
      <c r="E8266" s="6" t="s">
        <v>1600</v>
      </c>
      <c r="F8266" s="6" t="s">
        <v>112</v>
      </c>
      <c r="G8266" s="6" t="s">
        <v>254</v>
      </c>
      <c r="H8266" s="10">
        <v>46062.0</v>
      </c>
      <c r="I8266" s="12">
        <v>2.0</v>
      </c>
      <c r="J8266" s="6" t="s">
        <v>161</v>
      </c>
    </row>
    <row r="8267" ht="22.5" customHeight="1">
      <c r="A8267" s="6" t="s">
        <v>25075</v>
      </c>
      <c r="B8267" s="6" t="s">
        <v>18303</v>
      </c>
      <c r="C8267" s="10">
        <v>46048.0</v>
      </c>
      <c r="D8267" s="6" t="s">
        <v>436</v>
      </c>
      <c r="E8267" s="6" t="s">
        <v>438</v>
      </c>
      <c r="F8267" s="6" t="s">
        <v>283</v>
      </c>
      <c r="G8267" s="6" t="s">
        <v>452</v>
      </c>
      <c r="H8267" s="10">
        <v>46052.0</v>
      </c>
      <c r="I8267" s="12">
        <v>8.0</v>
      </c>
      <c r="J8267" s="6" t="s">
        <v>161</v>
      </c>
    </row>
    <row r="8268" ht="22.5" customHeight="1">
      <c r="A8268" s="6" t="s">
        <v>25076</v>
      </c>
      <c r="B8268" s="6" t="s">
        <v>18310</v>
      </c>
      <c r="C8268" s="10">
        <v>46055.0</v>
      </c>
      <c r="D8268" s="6" t="s">
        <v>242</v>
      </c>
      <c r="E8268" s="6" t="s">
        <v>1122</v>
      </c>
      <c r="F8268" s="6" t="s">
        <v>249</v>
      </c>
      <c r="G8268" s="6" t="s">
        <v>477</v>
      </c>
      <c r="H8268" s="10">
        <v>46059.0</v>
      </c>
      <c r="I8268" s="12">
        <v>3.0</v>
      </c>
      <c r="J8268" s="6" t="s">
        <v>178</v>
      </c>
    </row>
    <row r="8269" ht="22.5" customHeight="1">
      <c r="A8269" s="6" t="s">
        <v>25077</v>
      </c>
      <c r="B8269" s="6" t="s">
        <v>18310</v>
      </c>
      <c r="C8269" s="10">
        <v>46056.0</v>
      </c>
      <c r="D8269" s="6" t="s">
        <v>289</v>
      </c>
      <c r="E8269" s="6" t="s">
        <v>863</v>
      </c>
      <c r="F8269" s="6" t="s">
        <v>112</v>
      </c>
      <c r="G8269" s="6" t="s">
        <v>326</v>
      </c>
      <c r="H8269" s="11" t="s">
        <v>259</v>
      </c>
      <c r="I8269" s="12">
        <v>7.0</v>
      </c>
      <c r="J8269" s="6" t="s">
        <v>161</v>
      </c>
    </row>
    <row r="8270" ht="22.5" customHeight="1">
      <c r="A8270" s="6" t="s">
        <v>25078</v>
      </c>
      <c r="B8270" s="6" t="s">
        <v>18316</v>
      </c>
      <c r="C8270" s="10">
        <v>46060.0</v>
      </c>
      <c r="D8270" s="6" t="s">
        <v>312</v>
      </c>
      <c r="E8270" s="6" t="s">
        <v>775</v>
      </c>
      <c r="F8270" s="6" t="s">
        <v>283</v>
      </c>
      <c r="G8270" s="6" t="s">
        <v>297</v>
      </c>
      <c r="H8270" s="10">
        <v>46062.0</v>
      </c>
      <c r="I8270" s="12">
        <v>7.0</v>
      </c>
      <c r="J8270" s="6" t="s">
        <v>161</v>
      </c>
    </row>
    <row r="8271" ht="22.5" customHeight="1">
      <c r="A8271" s="6" t="s">
        <v>25079</v>
      </c>
      <c r="B8271" s="6" t="s">
        <v>18316</v>
      </c>
      <c r="C8271" s="10">
        <v>46057.0</v>
      </c>
      <c r="D8271" s="6" t="s">
        <v>312</v>
      </c>
      <c r="E8271" s="6" t="s">
        <v>610</v>
      </c>
      <c r="F8271" s="6" t="s">
        <v>249</v>
      </c>
      <c r="G8271" s="6" t="s">
        <v>297</v>
      </c>
      <c r="H8271" s="10">
        <v>46062.0</v>
      </c>
      <c r="I8271" s="12">
        <v>4.0</v>
      </c>
      <c r="J8271" s="6" t="s">
        <v>161</v>
      </c>
    </row>
    <row r="8272" ht="22.5" customHeight="1">
      <c r="A8272" s="6" t="s">
        <v>25080</v>
      </c>
      <c r="B8272" s="6" t="s">
        <v>18323</v>
      </c>
      <c r="C8272" s="10">
        <v>46060.0</v>
      </c>
      <c r="D8272" s="6" t="s">
        <v>391</v>
      </c>
      <c r="E8272" s="6" t="s">
        <v>798</v>
      </c>
      <c r="F8272" s="6" t="s">
        <v>112</v>
      </c>
      <c r="G8272" s="6" t="s">
        <v>477</v>
      </c>
      <c r="H8272" s="10">
        <v>46063.0</v>
      </c>
      <c r="I8272" s="12">
        <v>9.0</v>
      </c>
      <c r="J8272" s="6" t="s">
        <v>161</v>
      </c>
    </row>
    <row r="8273" ht="22.5" customHeight="1">
      <c r="A8273" s="6" t="s">
        <v>25081</v>
      </c>
      <c r="B8273" s="6" t="s">
        <v>18323</v>
      </c>
      <c r="C8273" s="10">
        <v>46057.0</v>
      </c>
      <c r="D8273" s="6" t="s">
        <v>391</v>
      </c>
      <c r="E8273" s="6" t="s">
        <v>1102</v>
      </c>
      <c r="F8273" s="6" t="s">
        <v>439</v>
      </c>
      <c r="G8273" s="6" t="s">
        <v>369</v>
      </c>
      <c r="H8273" s="11" t="s">
        <v>259</v>
      </c>
      <c r="I8273" s="12">
        <v>10.0</v>
      </c>
      <c r="J8273" s="6" t="s">
        <v>161</v>
      </c>
    </row>
    <row r="8274" ht="22.5" customHeight="1">
      <c r="A8274" s="6" t="s">
        <v>25082</v>
      </c>
      <c r="B8274" s="6" t="s">
        <v>18323</v>
      </c>
      <c r="C8274" s="10">
        <v>46070.0</v>
      </c>
      <c r="D8274" s="6" t="s">
        <v>391</v>
      </c>
      <c r="E8274" s="6" t="s">
        <v>738</v>
      </c>
      <c r="F8274" s="6" t="s">
        <v>249</v>
      </c>
      <c r="G8274" s="6" t="s">
        <v>369</v>
      </c>
      <c r="H8274" s="10">
        <v>46072.0</v>
      </c>
      <c r="I8274" s="12">
        <v>10.0</v>
      </c>
      <c r="J8274" s="6" t="s">
        <v>161</v>
      </c>
    </row>
    <row r="8275" ht="22.5" customHeight="1">
      <c r="A8275" s="6" t="s">
        <v>25083</v>
      </c>
      <c r="B8275" s="6" t="s">
        <v>18323</v>
      </c>
      <c r="C8275" s="10">
        <v>46064.0</v>
      </c>
      <c r="D8275" s="6" t="s">
        <v>677</v>
      </c>
      <c r="E8275" s="6" t="s">
        <v>687</v>
      </c>
      <c r="F8275" s="6" t="s">
        <v>112</v>
      </c>
      <c r="G8275" s="6" t="s">
        <v>452</v>
      </c>
      <c r="H8275" s="10">
        <v>46065.0</v>
      </c>
      <c r="I8275" s="12">
        <v>3.0</v>
      </c>
      <c r="J8275" s="6" t="s">
        <v>161</v>
      </c>
    </row>
    <row r="8276" ht="22.5" customHeight="1">
      <c r="A8276" s="6" t="s">
        <v>25084</v>
      </c>
      <c r="B8276" s="6" t="s">
        <v>18323</v>
      </c>
      <c r="C8276" s="10">
        <v>46054.0</v>
      </c>
      <c r="D8276" s="6" t="s">
        <v>436</v>
      </c>
      <c r="E8276" s="6" t="s">
        <v>2365</v>
      </c>
      <c r="F8276" s="6" t="s">
        <v>439</v>
      </c>
      <c r="G8276" s="6" t="s">
        <v>297</v>
      </c>
      <c r="H8276" s="10">
        <v>46054.0</v>
      </c>
      <c r="I8276" s="12">
        <v>6.0</v>
      </c>
      <c r="J8276" s="6" t="s">
        <v>178</v>
      </c>
    </row>
    <row r="8277" ht="22.5" customHeight="1">
      <c r="A8277" s="6" t="s">
        <v>25085</v>
      </c>
      <c r="B8277" s="6" t="s">
        <v>18329</v>
      </c>
      <c r="C8277" s="10">
        <v>46082.0</v>
      </c>
      <c r="D8277" s="6" t="s">
        <v>312</v>
      </c>
      <c r="E8277" s="6" t="s">
        <v>618</v>
      </c>
      <c r="F8277" s="6" t="s">
        <v>283</v>
      </c>
      <c r="G8277" s="6" t="s">
        <v>297</v>
      </c>
      <c r="H8277" s="11" t="s">
        <v>259</v>
      </c>
      <c r="I8277" s="12">
        <v>4.0</v>
      </c>
      <c r="J8277" s="6" t="s">
        <v>161</v>
      </c>
    </row>
    <row r="8278" ht="22.5" customHeight="1">
      <c r="A8278" s="6" t="s">
        <v>25086</v>
      </c>
      <c r="B8278" s="6" t="s">
        <v>18337</v>
      </c>
      <c r="C8278" s="10">
        <v>46045.0</v>
      </c>
      <c r="D8278" s="6" t="s">
        <v>436</v>
      </c>
      <c r="E8278" s="6" t="s">
        <v>1570</v>
      </c>
      <c r="F8278" s="6" t="s">
        <v>439</v>
      </c>
      <c r="G8278" s="6" t="s">
        <v>452</v>
      </c>
      <c r="H8278" s="10">
        <v>46048.0</v>
      </c>
      <c r="I8278" s="12">
        <v>6.0</v>
      </c>
      <c r="J8278" s="6" t="s">
        <v>178</v>
      </c>
    </row>
    <row r="8279" ht="22.5" customHeight="1">
      <c r="A8279" s="6" t="s">
        <v>25087</v>
      </c>
      <c r="B8279" s="6" t="s">
        <v>18337</v>
      </c>
      <c r="C8279" s="10">
        <v>46037.0</v>
      </c>
      <c r="D8279" s="6" t="s">
        <v>436</v>
      </c>
      <c r="E8279" s="6" t="s">
        <v>466</v>
      </c>
      <c r="F8279" s="6" t="s">
        <v>439</v>
      </c>
      <c r="G8279" s="6" t="s">
        <v>297</v>
      </c>
      <c r="H8279" s="10">
        <v>46044.0</v>
      </c>
      <c r="I8279" s="12">
        <v>12.0</v>
      </c>
      <c r="J8279" s="6" t="s">
        <v>178</v>
      </c>
    </row>
    <row r="8280" ht="22.5" customHeight="1">
      <c r="A8280" s="6" t="s">
        <v>25088</v>
      </c>
      <c r="B8280" s="6" t="s">
        <v>18337</v>
      </c>
      <c r="C8280" s="10">
        <v>46053.0</v>
      </c>
      <c r="D8280" s="6" t="s">
        <v>289</v>
      </c>
      <c r="E8280" s="6" t="s">
        <v>618</v>
      </c>
      <c r="F8280" s="6" t="s">
        <v>283</v>
      </c>
      <c r="G8280" s="6" t="s">
        <v>326</v>
      </c>
      <c r="H8280" s="10">
        <v>46057.0</v>
      </c>
      <c r="I8280" s="12">
        <v>8.0</v>
      </c>
      <c r="J8280" s="6" t="s">
        <v>161</v>
      </c>
    </row>
    <row r="8281" ht="22.5" customHeight="1">
      <c r="A8281" s="6" t="s">
        <v>25089</v>
      </c>
      <c r="B8281" s="6" t="s">
        <v>18337</v>
      </c>
      <c r="C8281" s="10">
        <v>46052.0</v>
      </c>
      <c r="D8281" s="6" t="s">
        <v>416</v>
      </c>
      <c r="E8281" s="6" t="s">
        <v>1310</v>
      </c>
      <c r="F8281" s="6" t="s">
        <v>112</v>
      </c>
      <c r="G8281" s="6" t="s">
        <v>477</v>
      </c>
      <c r="H8281" s="10">
        <v>46055.0</v>
      </c>
      <c r="I8281" s="12">
        <v>10.0</v>
      </c>
      <c r="J8281" s="6" t="s">
        <v>161</v>
      </c>
    </row>
    <row r="8282" ht="22.5" customHeight="1">
      <c r="A8282" s="6" t="s">
        <v>25090</v>
      </c>
      <c r="B8282" s="6" t="s">
        <v>18337</v>
      </c>
      <c r="C8282" s="10">
        <v>46054.0</v>
      </c>
      <c r="D8282" s="6" t="s">
        <v>677</v>
      </c>
      <c r="E8282" s="6" t="s">
        <v>2881</v>
      </c>
      <c r="F8282" s="6" t="s">
        <v>112</v>
      </c>
      <c r="G8282" s="6" t="s">
        <v>254</v>
      </c>
      <c r="H8282" s="10">
        <v>46056.0</v>
      </c>
      <c r="I8282" s="12">
        <v>4.0</v>
      </c>
      <c r="J8282" s="6" t="s">
        <v>161</v>
      </c>
    </row>
    <row r="8283" ht="22.5" customHeight="1">
      <c r="A8283" s="6" t="s">
        <v>25091</v>
      </c>
      <c r="B8283" s="6" t="s">
        <v>18342</v>
      </c>
      <c r="C8283" s="10">
        <v>46047.0</v>
      </c>
      <c r="D8283" s="6" t="s">
        <v>289</v>
      </c>
      <c r="E8283" s="6" t="s">
        <v>566</v>
      </c>
      <c r="F8283" s="6" t="s">
        <v>283</v>
      </c>
      <c r="G8283" s="6" t="s">
        <v>494</v>
      </c>
      <c r="H8283" s="10">
        <v>46047.0</v>
      </c>
      <c r="I8283" s="12">
        <v>7.0</v>
      </c>
      <c r="J8283" s="6" t="s">
        <v>161</v>
      </c>
    </row>
    <row r="8284" ht="22.5" customHeight="1">
      <c r="A8284" s="6" t="s">
        <v>25092</v>
      </c>
      <c r="B8284" s="6" t="s">
        <v>18342</v>
      </c>
      <c r="C8284" s="10">
        <v>46036.0</v>
      </c>
      <c r="D8284" s="6" t="s">
        <v>312</v>
      </c>
      <c r="E8284" s="6" t="s">
        <v>731</v>
      </c>
      <c r="F8284" s="6" t="s">
        <v>439</v>
      </c>
      <c r="G8284" s="6" t="s">
        <v>326</v>
      </c>
      <c r="H8284" s="11" t="s">
        <v>259</v>
      </c>
      <c r="I8284" s="12">
        <v>7.0</v>
      </c>
      <c r="J8284" s="6" t="s">
        <v>161</v>
      </c>
    </row>
    <row r="8285" ht="22.5" customHeight="1">
      <c r="A8285" s="6" t="s">
        <v>25093</v>
      </c>
      <c r="B8285" s="6" t="s">
        <v>18342</v>
      </c>
      <c r="C8285" s="10">
        <v>46038.0</v>
      </c>
      <c r="D8285" s="6" t="s">
        <v>677</v>
      </c>
      <c r="E8285" s="6" t="s">
        <v>863</v>
      </c>
      <c r="F8285" s="6" t="s">
        <v>283</v>
      </c>
      <c r="G8285" s="6" t="s">
        <v>477</v>
      </c>
      <c r="H8285" s="10">
        <v>46045.0</v>
      </c>
      <c r="I8285" s="12">
        <v>4.0</v>
      </c>
      <c r="J8285" s="6" t="s">
        <v>161</v>
      </c>
    </row>
    <row r="8286" ht="22.5" customHeight="1">
      <c r="A8286" s="6" t="s">
        <v>25094</v>
      </c>
      <c r="B8286" s="6" t="s">
        <v>18349</v>
      </c>
      <c r="C8286" s="10">
        <v>46068.0</v>
      </c>
      <c r="D8286" s="6" t="s">
        <v>289</v>
      </c>
      <c r="E8286" s="6" t="s">
        <v>738</v>
      </c>
      <c r="F8286" s="6" t="s">
        <v>439</v>
      </c>
      <c r="G8286" s="6" t="s">
        <v>254</v>
      </c>
      <c r="H8286" s="10">
        <v>46069.0</v>
      </c>
      <c r="I8286" s="12">
        <v>7.0</v>
      </c>
      <c r="J8286" s="6" t="s">
        <v>161</v>
      </c>
    </row>
    <row r="8287" ht="22.5" customHeight="1">
      <c r="A8287" s="6" t="s">
        <v>25095</v>
      </c>
      <c r="B8287" s="6" t="s">
        <v>18355</v>
      </c>
      <c r="C8287" s="10">
        <v>46064.0</v>
      </c>
      <c r="D8287" s="6" t="s">
        <v>416</v>
      </c>
      <c r="E8287" s="6" t="s">
        <v>618</v>
      </c>
      <c r="F8287" s="6" t="s">
        <v>112</v>
      </c>
      <c r="G8287" s="6" t="s">
        <v>254</v>
      </c>
      <c r="H8287" s="10">
        <v>46067.0</v>
      </c>
      <c r="I8287" s="12">
        <v>9.0</v>
      </c>
      <c r="J8287" s="6" t="s">
        <v>161</v>
      </c>
    </row>
    <row r="8288" ht="22.5" customHeight="1">
      <c r="A8288" s="6" t="s">
        <v>25096</v>
      </c>
      <c r="B8288" s="6" t="s">
        <v>18355</v>
      </c>
      <c r="C8288" s="10">
        <v>46057.0</v>
      </c>
      <c r="D8288" s="6" t="s">
        <v>436</v>
      </c>
      <c r="E8288" s="6" t="s">
        <v>1310</v>
      </c>
      <c r="F8288" s="6" t="s">
        <v>249</v>
      </c>
      <c r="G8288" s="6" t="s">
        <v>297</v>
      </c>
      <c r="H8288" s="10">
        <v>46064.0</v>
      </c>
      <c r="I8288" s="12">
        <v>7.0</v>
      </c>
      <c r="J8288" s="6" t="s">
        <v>178</v>
      </c>
    </row>
    <row r="8289" ht="22.5" customHeight="1">
      <c r="A8289" s="6" t="s">
        <v>25097</v>
      </c>
      <c r="B8289" s="6" t="s">
        <v>18355</v>
      </c>
      <c r="C8289" s="10">
        <v>46053.0</v>
      </c>
      <c r="D8289" s="6" t="s">
        <v>289</v>
      </c>
      <c r="E8289" s="6" t="s">
        <v>320</v>
      </c>
      <c r="F8289" s="6" t="s">
        <v>112</v>
      </c>
      <c r="G8289" s="6" t="s">
        <v>458</v>
      </c>
      <c r="H8289" s="10">
        <v>46060.0</v>
      </c>
      <c r="I8289" s="12">
        <v>9.0</v>
      </c>
      <c r="J8289" s="6" t="s">
        <v>161</v>
      </c>
    </row>
    <row r="8290" ht="22.5" customHeight="1">
      <c r="A8290" s="6" t="s">
        <v>25098</v>
      </c>
      <c r="B8290" s="6" t="s">
        <v>18355</v>
      </c>
      <c r="C8290" s="10">
        <v>46059.0</v>
      </c>
      <c r="D8290" s="6" t="s">
        <v>312</v>
      </c>
      <c r="E8290" s="6" t="s">
        <v>716</v>
      </c>
      <c r="F8290" s="6" t="s">
        <v>249</v>
      </c>
      <c r="G8290" s="6" t="s">
        <v>452</v>
      </c>
      <c r="H8290" s="10">
        <v>46064.0</v>
      </c>
      <c r="I8290" s="12">
        <v>6.0</v>
      </c>
      <c r="J8290" s="6" t="s">
        <v>161</v>
      </c>
    </row>
    <row r="8291" ht="22.5" customHeight="1">
      <c r="A8291" s="6" t="s">
        <v>25099</v>
      </c>
      <c r="B8291" s="6" t="s">
        <v>18362</v>
      </c>
      <c r="C8291" s="10">
        <v>46052.0</v>
      </c>
      <c r="D8291" s="6" t="s">
        <v>289</v>
      </c>
      <c r="E8291" s="6" t="s">
        <v>798</v>
      </c>
      <c r="F8291" s="6" t="s">
        <v>439</v>
      </c>
      <c r="G8291" s="6" t="s">
        <v>369</v>
      </c>
      <c r="H8291" s="10">
        <v>46055.0</v>
      </c>
      <c r="I8291" s="12">
        <v>6.0</v>
      </c>
      <c r="J8291" s="6" t="s">
        <v>161</v>
      </c>
    </row>
    <row r="8292" ht="22.5" customHeight="1">
      <c r="A8292" s="6" t="s">
        <v>25100</v>
      </c>
      <c r="B8292" s="6" t="s">
        <v>18369</v>
      </c>
      <c r="C8292" s="10">
        <v>46057.0</v>
      </c>
      <c r="D8292" s="6" t="s">
        <v>436</v>
      </c>
      <c r="E8292" s="6" t="s">
        <v>1517</v>
      </c>
      <c r="F8292" s="6" t="s">
        <v>439</v>
      </c>
      <c r="G8292" s="6" t="s">
        <v>326</v>
      </c>
      <c r="H8292" s="11" t="s">
        <v>259</v>
      </c>
      <c r="I8292" s="12">
        <v>12.0</v>
      </c>
      <c r="J8292" s="6" t="s">
        <v>178</v>
      </c>
    </row>
    <row r="8293" ht="22.5" customHeight="1">
      <c r="A8293" s="6" t="s">
        <v>25101</v>
      </c>
      <c r="B8293" s="6" t="s">
        <v>18369</v>
      </c>
      <c r="C8293" s="10">
        <v>46055.0</v>
      </c>
      <c r="D8293" s="6" t="s">
        <v>391</v>
      </c>
      <c r="E8293" s="6" t="s">
        <v>716</v>
      </c>
      <c r="F8293" s="6" t="s">
        <v>283</v>
      </c>
      <c r="G8293" s="6" t="s">
        <v>326</v>
      </c>
      <c r="H8293" s="10">
        <v>46062.0</v>
      </c>
      <c r="I8293" s="12">
        <v>7.0</v>
      </c>
      <c r="J8293" s="6" t="s">
        <v>161</v>
      </c>
    </row>
    <row r="8294" ht="22.5" customHeight="1">
      <c r="A8294" s="6" t="s">
        <v>25102</v>
      </c>
      <c r="B8294" s="6" t="s">
        <v>18369</v>
      </c>
      <c r="C8294" s="10">
        <v>46062.0</v>
      </c>
      <c r="D8294" s="6" t="s">
        <v>312</v>
      </c>
      <c r="E8294" s="6" t="s">
        <v>1517</v>
      </c>
      <c r="F8294" s="6" t="s">
        <v>112</v>
      </c>
      <c r="G8294" s="6" t="s">
        <v>494</v>
      </c>
      <c r="H8294" s="10">
        <v>46067.0</v>
      </c>
      <c r="I8294" s="12">
        <v>5.0</v>
      </c>
      <c r="J8294" s="6" t="s">
        <v>161</v>
      </c>
    </row>
    <row r="8295" ht="22.5" customHeight="1">
      <c r="A8295" s="6" t="s">
        <v>25103</v>
      </c>
      <c r="B8295" s="6" t="s">
        <v>18375</v>
      </c>
      <c r="C8295" s="10">
        <v>46052.0</v>
      </c>
      <c r="D8295" s="6" t="s">
        <v>677</v>
      </c>
      <c r="E8295" s="6" t="s">
        <v>618</v>
      </c>
      <c r="F8295" s="6" t="s">
        <v>249</v>
      </c>
      <c r="G8295" s="6" t="s">
        <v>369</v>
      </c>
      <c r="H8295" s="10">
        <v>46058.0</v>
      </c>
      <c r="I8295" s="12">
        <v>4.0</v>
      </c>
      <c r="J8295" s="6" t="s">
        <v>161</v>
      </c>
    </row>
    <row r="8296" ht="22.5" customHeight="1">
      <c r="A8296" s="6" t="s">
        <v>25104</v>
      </c>
      <c r="B8296" s="6" t="s">
        <v>18375</v>
      </c>
      <c r="C8296" s="10">
        <v>46053.0</v>
      </c>
      <c r="D8296" s="6" t="s">
        <v>677</v>
      </c>
      <c r="E8296" s="6" t="s">
        <v>394</v>
      </c>
      <c r="F8296" s="6" t="s">
        <v>283</v>
      </c>
      <c r="G8296" s="6" t="s">
        <v>477</v>
      </c>
      <c r="H8296" s="10">
        <v>46054.0</v>
      </c>
      <c r="I8296" s="12">
        <v>2.0</v>
      </c>
      <c r="J8296" s="6" t="s">
        <v>161</v>
      </c>
    </row>
    <row r="8297" ht="22.5" customHeight="1">
      <c r="A8297" s="6" t="s">
        <v>25105</v>
      </c>
      <c r="B8297" s="6" t="s">
        <v>18375</v>
      </c>
      <c r="C8297" s="10">
        <v>46050.0</v>
      </c>
      <c r="D8297" s="6" t="s">
        <v>677</v>
      </c>
      <c r="E8297" s="6" t="s">
        <v>687</v>
      </c>
      <c r="F8297" s="6" t="s">
        <v>283</v>
      </c>
      <c r="G8297" s="6" t="s">
        <v>369</v>
      </c>
      <c r="H8297" s="10">
        <v>46050.0</v>
      </c>
      <c r="I8297" s="12">
        <v>3.0</v>
      </c>
      <c r="J8297" s="6" t="s">
        <v>161</v>
      </c>
    </row>
    <row r="8298" ht="22.5" customHeight="1">
      <c r="A8298" s="6" t="s">
        <v>25106</v>
      </c>
      <c r="B8298" s="6" t="s">
        <v>18381</v>
      </c>
      <c r="C8298" s="10">
        <v>46070.0</v>
      </c>
      <c r="D8298" s="6" t="s">
        <v>391</v>
      </c>
      <c r="E8298" s="6" t="s">
        <v>634</v>
      </c>
      <c r="F8298" s="6" t="s">
        <v>439</v>
      </c>
      <c r="G8298" s="6" t="s">
        <v>254</v>
      </c>
      <c r="H8298" s="11" t="s">
        <v>259</v>
      </c>
      <c r="I8298" s="12">
        <v>11.0</v>
      </c>
      <c r="J8298" s="6" t="s">
        <v>161</v>
      </c>
    </row>
    <row r="8299" ht="22.5" customHeight="1">
      <c r="A8299" s="6" t="s">
        <v>25107</v>
      </c>
      <c r="B8299" s="6" t="s">
        <v>18387</v>
      </c>
      <c r="C8299" s="10">
        <v>46060.0</v>
      </c>
      <c r="D8299" s="6" t="s">
        <v>391</v>
      </c>
      <c r="E8299" s="6" t="s">
        <v>704</v>
      </c>
      <c r="F8299" s="6" t="s">
        <v>249</v>
      </c>
      <c r="G8299" s="6" t="s">
        <v>254</v>
      </c>
      <c r="H8299" s="11" t="s">
        <v>259</v>
      </c>
      <c r="I8299" s="12">
        <v>10.0</v>
      </c>
      <c r="J8299" s="6" t="s">
        <v>161</v>
      </c>
    </row>
    <row r="8300" ht="22.5" customHeight="1">
      <c r="A8300" s="6" t="s">
        <v>25108</v>
      </c>
      <c r="B8300" s="6" t="s">
        <v>18387</v>
      </c>
      <c r="C8300" s="10">
        <v>46058.0</v>
      </c>
      <c r="D8300" s="6" t="s">
        <v>416</v>
      </c>
      <c r="E8300" s="6" t="s">
        <v>618</v>
      </c>
      <c r="F8300" s="6" t="s">
        <v>249</v>
      </c>
      <c r="G8300" s="6" t="s">
        <v>297</v>
      </c>
      <c r="H8300" s="11" t="s">
        <v>259</v>
      </c>
      <c r="I8300" s="12">
        <v>8.0</v>
      </c>
      <c r="J8300" s="6" t="s">
        <v>161</v>
      </c>
    </row>
    <row r="8301" ht="22.5" customHeight="1">
      <c r="A8301" s="6" t="s">
        <v>25109</v>
      </c>
      <c r="B8301" s="6" t="s">
        <v>18387</v>
      </c>
      <c r="C8301" s="10">
        <v>46042.0</v>
      </c>
      <c r="D8301" s="6" t="s">
        <v>242</v>
      </c>
      <c r="E8301" s="6" t="s">
        <v>1386</v>
      </c>
      <c r="F8301" s="6" t="s">
        <v>249</v>
      </c>
      <c r="G8301" s="6" t="s">
        <v>326</v>
      </c>
      <c r="H8301" s="11" t="s">
        <v>259</v>
      </c>
      <c r="I8301" s="12">
        <v>3.0</v>
      </c>
      <c r="J8301" s="6" t="s">
        <v>161</v>
      </c>
    </row>
    <row r="8302" ht="22.5" customHeight="1">
      <c r="A8302" s="6" t="s">
        <v>25110</v>
      </c>
      <c r="B8302" s="6" t="s">
        <v>18393</v>
      </c>
      <c r="C8302" s="10">
        <v>46076.0</v>
      </c>
      <c r="D8302" s="6" t="s">
        <v>289</v>
      </c>
      <c r="E8302" s="6" t="s">
        <v>1720</v>
      </c>
      <c r="F8302" s="6" t="s">
        <v>112</v>
      </c>
      <c r="G8302" s="6" t="s">
        <v>477</v>
      </c>
      <c r="H8302" s="10">
        <v>46076.0</v>
      </c>
      <c r="I8302" s="12">
        <v>5.0</v>
      </c>
      <c r="J8302" s="6" t="s">
        <v>161</v>
      </c>
    </row>
    <row r="8303" ht="22.5" customHeight="1">
      <c r="A8303" s="6" t="s">
        <v>25111</v>
      </c>
      <c r="B8303" s="6" t="s">
        <v>18393</v>
      </c>
      <c r="C8303" s="10">
        <v>46079.0</v>
      </c>
      <c r="D8303" s="6" t="s">
        <v>416</v>
      </c>
      <c r="E8303" s="6" t="s">
        <v>896</v>
      </c>
      <c r="F8303" s="6" t="s">
        <v>249</v>
      </c>
      <c r="G8303" s="6" t="s">
        <v>254</v>
      </c>
      <c r="H8303" s="10">
        <v>46084.0</v>
      </c>
      <c r="I8303" s="12">
        <v>13.0</v>
      </c>
      <c r="J8303" s="6" t="s">
        <v>161</v>
      </c>
    </row>
    <row r="8304" ht="22.5" customHeight="1">
      <c r="A8304" s="6" t="s">
        <v>25112</v>
      </c>
      <c r="B8304" s="6" t="s">
        <v>18393</v>
      </c>
      <c r="C8304" s="10">
        <v>46071.0</v>
      </c>
      <c r="D8304" s="6" t="s">
        <v>312</v>
      </c>
      <c r="E8304" s="6" t="s">
        <v>687</v>
      </c>
      <c r="F8304" s="6" t="s">
        <v>112</v>
      </c>
      <c r="G8304" s="6" t="s">
        <v>494</v>
      </c>
      <c r="H8304" s="11" t="s">
        <v>259</v>
      </c>
      <c r="I8304" s="12">
        <v>6.0</v>
      </c>
      <c r="J8304" s="6" t="s">
        <v>161</v>
      </c>
    </row>
    <row r="8305" ht="22.5" customHeight="1">
      <c r="A8305" s="6" t="s">
        <v>25113</v>
      </c>
      <c r="B8305" s="6" t="s">
        <v>18400</v>
      </c>
      <c r="C8305" s="10">
        <v>46038.0</v>
      </c>
      <c r="D8305" s="6" t="s">
        <v>289</v>
      </c>
      <c r="E8305" s="6" t="s">
        <v>1600</v>
      </c>
      <c r="F8305" s="6" t="s">
        <v>283</v>
      </c>
      <c r="G8305" s="6" t="s">
        <v>452</v>
      </c>
      <c r="H8305" s="11" t="s">
        <v>259</v>
      </c>
      <c r="I8305" s="12">
        <v>7.0</v>
      </c>
      <c r="J8305" s="6" t="s">
        <v>161</v>
      </c>
    </row>
    <row r="8306" ht="22.5" customHeight="1">
      <c r="A8306" s="6" t="s">
        <v>25114</v>
      </c>
      <c r="B8306" s="6" t="s">
        <v>18406</v>
      </c>
      <c r="C8306" s="10">
        <v>46036.0</v>
      </c>
      <c r="D8306" s="6" t="s">
        <v>312</v>
      </c>
      <c r="E8306" s="6" t="s">
        <v>738</v>
      </c>
      <c r="F8306" s="6" t="s">
        <v>439</v>
      </c>
      <c r="G8306" s="6" t="s">
        <v>494</v>
      </c>
      <c r="H8306" s="10">
        <v>46043.0</v>
      </c>
      <c r="I8306" s="12">
        <v>6.0</v>
      </c>
      <c r="J8306" s="6" t="s">
        <v>161</v>
      </c>
    </row>
    <row r="8307" ht="22.5" customHeight="1">
      <c r="A8307" s="6" t="s">
        <v>25115</v>
      </c>
      <c r="B8307" s="6" t="s">
        <v>18412</v>
      </c>
      <c r="C8307" s="10">
        <v>46064.0</v>
      </c>
      <c r="D8307" s="6" t="s">
        <v>436</v>
      </c>
      <c r="E8307" s="6" t="s">
        <v>731</v>
      </c>
      <c r="F8307" s="6" t="s">
        <v>112</v>
      </c>
      <c r="G8307" s="6" t="s">
        <v>369</v>
      </c>
      <c r="H8307" s="10">
        <v>46064.0</v>
      </c>
      <c r="I8307" s="12">
        <v>11.0</v>
      </c>
      <c r="J8307" s="6" t="s">
        <v>178</v>
      </c>
    </row>
    <row r="8308" ht="22.5" customHeight="1">
      <c r="A8308" s="6" t="s">
        <v>25116</v>
      </c>
      <c r="B8308" s="6" t="s">
        <v>18419</v>
      </c>
      <c r="C8308" s="10">
        <v>46087.0</v>
      </c>
      <c r="D8308" s="6" t="s">
        <v>242</v>
      </c>
      <c r="E8308" s="6" t="s">
        <v>2881</v>
      </c>
      <c r="F8308" s="6" t="s">
        <v>249</v>
      </c>
      <c r="G8308" s="6" t="s">
        <v>297</v>
      </c>
      <c r="H8308" s="10">
        <v>46094.0</v>
      </c>
      <c r="I8308" s="12">
        <v>4.0</v>
      </c>
      <c r="J8308" s="6" t="s">
        <v>161</v>
      </c>
    </row>
    <row r="8309" ht="22.5" customHeight="1">
      <c r="A8309" s="6" t="s">
        <v>25117</v>
      </c>
      <c r="B8309" s="6" t="s">
        <v>18419</v>
      </c>
      <c r="C8309" s="10">
        <v>46082.0</v>
      </c>
      <c r="D8309" s="6" t="s">
        <v>312</v>
      </c>
      <c r="E8309" s="6" t="s">
        <v>320</v>
      </c>
      <c r="F8309" s="6" t="s">
        <v>283</v>
      </c>
      <c r="G8309" s="6" t="s">
        <v>458</v>
      </c>
      <c r="H8309" s="10">
        <v>46088.0</v>
      </c>
      <c r="I8309" s="12">
        <v>7.0</v>
      </c>
      <c r="J8309" s="6" t="s">
        <v>161</v>
      </c>
    </row>
    <row r="8310" ht="22.5" customHeight="1">
      <c r="A8310" s="6" t="s">
        <v>25118</v>
      </c>
      <c r="B8310" s="6" t="s">
        <v>18425</v>
      </c>
      <c r="C8310" s="10">
        <v>46060.0</v>
      </c>
      <c r="D8310" s="6" t="s">
        <v>391</v>
      </c>
      <c r="E8310" s="6" t="s">
        <v>896</v>
      </c>
      <c r="F8310" s="6" t="s">
        <v>283</v>
      </c>
      <c r="G8310" s="6" t="s">
        <v>297</v>
      </c>
      <c r="H8310" s="10">
        <v>46065.0</v>
      </c>
      <c r="I8310" s="12">
        <v>9.0</v>
      </c>
      <c r="J8310" s="6" t="s">
        <v>161</v>
      </c>
    </row>
    <row r="8311" ht="22.5" customHeight="1">
      <c r="A8311" s="6" t="s">
        <v>25119</v>
      </c>
      <c r="B8311" s="6" t="s">
        <v>18430</v>
      </c>
      <c r="C8311" s="10">
        <v>46049.0</v>
      </c>
      <c r="D8311" s="6" t="s">
        <v>289</v>
      </c>
      <c r="E8311" s="6" t="s">
        <v>320</v>
      </c>
      <c r="F8311" s="6" t="s">
        <v>283</v>
      </c>
      <c r="G8311" s="6" t="s">
        <v>326</v>
      </c>
      <c r="H8311" s="10">
        <v>46052.0</v>
      </c>
      <c r="I8311" s="12">
        <v>10.0</v>
      </c>
      <c r="J8311" s="6" t="s">
        <v>161</v>
      </c>
    </row>
    <row r="8312" ht="22.5" customHeight="1">
      <c r="A8312" s="6" t="s">
        <v>25120</v>
      </c>
      <c r="B8312" s="6" t="s">
        <v>18430</v>
      </c>
      <c r="C8312" s="10">
        <v>46032.0</v>
      </c>
      <c r="D8312" s="6" t="s">
        <v>289</v>
      </c>
      <c r="E8312" s="6" t="s">
        <v>566</v>
      </c>
      <c r="F8312" s="6" t="s">
        <v>249</v>
      </c>
      <c r="G8312" s="6" t="s">
        <v>369</v>
      </c>
      <c r="H8312" s="11" t="s">
        <v>259</v>
      </c>
      <c r="I8312" s="12">
        <v>6.0</v>
      </c>
      <c r="J8312" s="6" t="s">
        <v>161</v>
      </c>
    </row>
    <row r="8313" ht="22.5" customHeight="1">
      <c r="A8313" s="6" t="s">
        <v>25121</v>
      </c>
      <c r="B8313" s="6" t="s">
        <v>18430</v>
      </c>
      <c r="C8313" s="10">
        <v>46041.0</v>
      </c>
      <c r="D8313" s="6" t="s">
        <v>436</v>
      </c>
      <c r="E8313" s="6" t="s">
        <v>798</v>
      </c>
      <c r="F8313" s="6" t="s">
        <v>112</v>
      </c>
      <c r="G8313" s="6" t="s">
        <v>297</v>
      </c>
      <c r="H8313" s="10">
        <v>46047.0</v>
      </c>
      <c r="I8313" s="12">
        <v>8.0</v>
      </c>
      <c r="J8313" s="6" t="s">
        <v>178</v>
      </c>
    </row>
    <row r="8314" ht="22.5" customHeight="1">
      <c r="A8314" s="6" t="s">
        <v>25122</v>
      </c>
      <c r="B8314" s="6" t="s">
        <v>18430</v>
      </c>
      <c r="C8314" s="10">
        <v>46036.0</v>
      </c>
      <c r="D8314" s="6" t="s">
        <v>289</v>
      </c>
      <c r="E8314" s="6" t="s">
        <v>1310</v>
      </c>
      <c r="F8314" s="6" t="s">
        <v>283</v>
      </c>
      <c r="G8314" s="6" t="s">
        <v>458</v>
      </c>
      <c r="H8314" s="10">
        <v>46040.0</v>
      </c>
      <c r="I8314" s="12">
        <v>9.0</v>
      </c>
      <c r="J8314" s="6" t="s">
        <v>161</v>
      </c>
    </row>
    <row r="8315" ht="22.5" customHeight="1">
      <c r="A8315" s="6" t="s">
        <v>25123</v>
      </c>
      <c r="B8315" s="6" t="s">
        <v>18430</v>
      </c>
      <c r="C8315" s="10">
        <v>46042.0</v>
      </c>
      <c r="D8315" s="6" t="s">
        <v>289</v>
      </c>
      <c r="E8315" s="6" t="s">
        <v>618</v>
      </c>
      <c r="F8315" s="6" t="s">
        <v>283</v>
      </c>
      <c r="G8315" s="6" t="s">
        <v>452</v>
      </c>
      <c r="H8315" s="10">
        <v>46044.0</v>
      </c>
      <c r="I8315" s="12">
        <v>6.0</v>
      </c>
      <c r="J8315" s="6" t="s">
        <v>161</v>
      </c>
    </row>
    <row r="8316" ht="22.5" customHeight="1">
      <c r="A8316" s="6" t="s">
        <v>25124</v>
      </c>
      <c r="B8316" s="6" t="s">
        <v>18436</v>
      </c>
      <c r="C8316" s="10">
        <v>46075.0</v>
      </c>
      <c r="D8316" s="6" t="s">
        <v>677</v>
      </c>
      <c r="E8316" s="6" t="s">
        <v>716</v>
      </c>
      <c r="F8316" s="6" t="s">
        <v>249</v>
      </c>
      <c r="G8316" s="6" t="s">
        <v>452</v>
      </c>
      <c r="H8316" s="10">
        <v>46081.0</v>
      </c>
      <c r="I8316" s="12">
        <v>4.0</v>
      </c>
      <c r="J8316" s="6" t="s">
        <v>161</v>
      </c>
    </row>
    <row r="8317" ht="22.5" customHeight="1">
      <c r="A8317" s="6" t="s">
        <v>25125</v>
      </c>
      <c r="B8317" s="6" t="s">
        <v>18436</v>
      </c>
      <c r="C8317" s="10">
        <v>46071.0</v>
      </c>
      <c r="D8317" s="6" t="s">
        <v>391</v>
      </c>
      <c r="E8317" s="6" t="s">
        <v>1122</v>
      </c>
      <c r="F8317" s="6" t="s">
        <v>283</v>
      </c>
      <c r="G8317" s="6" t="s">
        <v>458</v>
      </c>
      <c r="H8317" s="10">
        <v>46075.0</v>
      </c>
      <c r="I8317" s="12">
        <v>9.0</v>
      </c>
      <c r="J8317" s="6" t="s">
        <v>161</v>
      </c>
    </row>
    <row r="8318" ht="22.5" customHeight="1">
      <c r="A8318" s="6" t="s">
        <v>25126</v>
      </c>
      <c r="B8318" s="6" t="s">
        <v>18442</v>
      </c>
      <c r="C8318" s="10">
        <v>46067.0</v>
      </c>
      <c r="D8318" s="6" t="s">
        <v>416</v>
      </c>
      <c r="E8318" s="6" t="s">
        <v>417</v>
      </c>
      <c r="F8318" s="6" t="s">
        <v>439</v>
      </c>
      <c r="G8318" s="6" t="s">
        <v>254</v>
      </c>
      <c r="H8318" s="10">
        <v>46071.0</v>
      </c>
      <c r="I8318" s="12">
        <v>10.0</v>
      </c>
      <c r="J8318" s="6" t="s">
        <v>161</v>
      </c>
    </row>
    <row r="8319" ht="22.5" customHeight="1">
      <c r="A8319" s="6" t="s">
        <v>25127</v>
      </c>
      <c r="B8319" s="6" t="s">
        <v>18442</v>
      </c>
      <c r="C8319" s="10">
        <v>46064.0</v>
      </c>
      <c r="D8319" s="6" t="s">
        <v>289</v>
      </c>
      <c r="E8319" s="6" t="s">
        <v>704</v>
      </c>
      <c r="F8319" s="6" t="s">
        <v>249</v>
      </c>
      <c r="G8319" s="6" t="s">
        <v>494</v>
      </c>
      <c r="H8319" s="10">
        <v>46067.0</v>
      </c>
      <c r="I8319" s="12">
        <v>10.0</v>
      </c>
      <c r="J8319" s="6" t="s">
        <v>161</v>
      </c>
    </row>
    <row r="8320" ht="22.5" customHeight="1">
      <c r="A8320" s="6" t="s">
        <v>25128</v>
      </c>
      <c r="B8320" s="6" t="s">
        <v>18442</v>
      </c>
      <c r="C8320" s="10">
        <v>46065.0</v>
      </c>
      <c r="D8320" s="6" t="s">
        <v>391</v>
      </c>
      <c r="E8320" s="6" t="s">
        <v>738</v>
      </c>
      <c r="F8320" s="6" t="s">
        <v>112</v>
      </c>
      <c r="G8320" s="6" t="s">
        <v>458</v>
      </c>
      <c r="H8320" s="10">
        <v>46066.0</v>
      </c>
      <c r="I8320" s="12">
        <v>8.0</v>
      </c>
      <c r="J8320" s="6" t="s">
        <v>161</v>
      </c>
    </row>
    <row r="8321" ht="22.5" customHeight="1">
      <c r="A8321" s="6" t="s">
        <v>25129</v>
      </c>
      <c r="B8321" s="6" t="s">
        <v>18442</v>
      </c>
      <c r="C8321" s="10">
        <v>46068.0</v>
      </c>
      <c r="D8321" s="6" t="s">
        <v>289</v>
      </c>
      <c r="E8321" s="6" t="s">
        <v>291</v>
      </c>
      <c r="F8321" s="6" t="s">
        <v>439</v>
      </c>
      <c r="G8321" s="6" t="s">
        <v>458</v>
      </c>
      <c r="H8321" s="10">
        <v>46074.0</v>
      </c>
      <c r="I8321" s="12">
        <v>9.0</v>
      </c>
      <c r="J8321" s="6" t="s">
        <v>161</v>
      </c>
    </row>
    <row r="8322" ht="22.5" customHeight="1">
      <c r="A8322" s="6" t="s">
        <v>25130</v>
      </c>
      <c r="B8322" s="6" t="s">
        <v>18442</v>
      </c>
      <c r="C8322" s="10">
        <v>46073.0</v>
      </c>
      <c r="D8322" s="6" t="s">
        <v>312</v>
      </c>
      <c r="E8322" s="6" t="s">
        <v>695</v>
      </c>
      <c r="F8322" s="6" t="s">
        <v>249</v>
      </c>
      <c r="G8322" s="6" t="s">
        <v>369</v>
      </c>
      <c r="H8322" s="10">
        <v>46076.0</v>
      </c>
      <c r="I8322" s="12">
        <v>5.0</v>
      </c>
      <c r="J8322" s="6" t="s">
        <v>161</v>
      </c>
    </row>
    <row r="8323" ht="22.5" customHeight="1">
      <c r="A8323" s="6" t="s">
        <v>25131</v>
      </c>
      <c r="B8323" s="6" t="s">
        <v>18447</v>
      </c>
      <c r="C8323" s="10">
        <v>46047.0</v>
      </c>
      <c r="D8323" s="6" t="s">
        <v>677</v>
      </c>
      <c r="E8323" s="6" t="s">
        <v>2365</v>
      </c>
      <c r="F8323" s="6" t="s">
        <v>439</v>
      </c>
      <c r="G8323" s="6" t="s">
        <v>452</v>
      </c>
      <c r="H8323" s="10">
        <v>46049.0</v>
      </c>
      <c r="I8323" s="12">
        <v>4.0</v>
      </c>
      <c r="J8323" s="6" t="s">
        <v>161</v>
      </c>
    </row>
    <row r="8324" ht="22.5" customHeight="1">
      <c r="A8324" s="6" t="s">
        <v>25132</v>
      </c>
      <c r="B8324" s="6" t="s">
        <v>18447</v>
      </c>
      <c r="C8324" s="10">
        <v>46039.0</v>
      </c>
      <c r="D8324" s="6" t="s">
        <v>391</v>
      </c>
      <c r="E8324" s="6" t="s">
        <v>798</v>
      </c>
      <c r="F8324" s="6" t="s">
        <v>112</v>
      </c>
      <c r="G8324" s="6" t="s">
        <v>494</v>
      </c>
      <c r="H8324" s="10">
        <v>46046.0</v>
      </c>
      <c r="I8324" s="12">
        <v>11.0</v>
      </c>
      <c r="J8324" s="6" t="s">
        <v>161</v>
      </c>
    </row>
    <row r="8325" ht="22.5" customHeight="1">
      <c r="A8325" s="6" t="s">
        <v>25133</v>
      </c>
      <c r="B8325" s="6" t="s">
        <v>18447</v>
      </c>
      <c r="C8325" s="10">
        <v>46038.0</v>
      </c>
      <c r="D8325" s="6" t="s">
        <v>289</v>
      </c>
      <c r="E8325" s="6" t="s">
        <v>812</v>
      </c>
      <c r="F8325" s="6" t="s">
        <v>439</v>
      </c>
      <c r="G8325" s="6" t="s">
        <v>477</v>
      </c>
      <c r="H8325" s="10">
        <v>46044.0</v>
      </c>
      <c r="I8325" s="12">
        <v>7.0</v>
      </c>
      <c r="J8325" s="6" t="s">
        <v>161</v>
      </c>
    </row>
    <row r="8326" ht="22.5" customHeight="1">
      <c r="A8326" s="6" t="s">
        <v>25134</v>
      </c>
      <c r="B8326" s="6" t="s">
        <v>18453</v>
      </c>
      <c r="C8326" s="10">
        <v>46073.0</v>
      </c>
      <c r="D8326" s="6" t="s">
        <v>677</v>
      </c>
      <c r="E8326" s="6" t="s">
        <v>670</v>
      </c>
      <c r="F8326" s="6" t="s">
        <v>439</v>
      </c>
      <c r="G8326" s="6" t="s">
        <v>297</v>
      </c>
      <c r="H8326" s="10">
        <v>46077.0</v>
      </c>
      <c r="I8326" s="12">
        <v>2.0</v>
      </c>
      <c r="J8326" s="6" t="s">
        <v>161</v>
      </c>
    </row>
    <row r="8327" ht="22.5" customHeight="1">
      <c r="A8327" s="6" t="s">
        <v>25135</v>
      </c>
      <c r="B8327" s="6" t="s">
        <v>18453</v>
      </c>
      <c r="C8327" s="10">
        <v>46078.0</v>
      </c>
      <c r="D8327" s="6" t="s">
        <v>436</v>
      </c>
      <c r="E8327" s="6" t="s">
        <v>628</v>
      </c>
      <c r="F8327" s="6" t="s">
        <v>439</v>
      </c>
      <c r="G8327" s="6" t="s">
        <v>254</v>
      </c>
      <c r="H8327" s="10">
        <v>46082.0</v>
      </c>
      <c r="I8327" s="12">
        <v>6.0</v>
      </c>
      <c r="J8327" s="6" t="s">
        <v>178</v>
      </c>
    </row>
    <row r="8328" ht="22.5" customHeight="1">
      <c r="A8328" s="6" t="s">
        <v>25136</v>
      </c>
      <c r="B8328" s="6" t="s">
        <v>18453</v>
      </c>
      <c r="C8328" s="10">
        <v>46082.0</v>
      </c>
      <c r="D8328" s="6" t="s">
        <v>312</v>
      </c>
      <c r="E8328" s="6" t="s">
        <v>450</v>
      </c>
      <c r="F8328" s="6" t="s">
        <v>283</v>
      </c>
      <c r="G8328" s="6" t="s">
        <v>452</v>
      </c>
      <c r="H8328" s="10">
        <v>46086.0</v>
      </c>
      <c r="I8328" s="12">
        <v>4.0</v>
      </c>
      <c r="J8328" s="6" t="s">
        <v>161</v>
      </c>
    </row>
    <row r="8329" ht="22.5" customHeight="1">
      <c r="A8329" s="6" t="s">
        <v>25137</v>
      </c>
      <c r="B8329" s="6" t="s">
        <v>18453</v>
      </c>
      <c r="C8329" s="10">
        <v>46070.0</v>
      </c>
      <c r="D8329" s="6" t="s">
        <v>242</v>
      </c>
      <c r="E8329" s="6" t="s">
        <v>1517</v>
      </c>
      <c r="F8329" s="6" t="s">
        <v>283</v>
      </c>
      <c r="G8329" s="6" t="s">
        <v>494</v>
      </c>
      <c r="H8329" s="10">
        <v>46074.0</v>
      </c>
      <c r="I8329" s="12">
        <v>4.0</v>
      </c>
      <c r="J8329" s="6" t="s">
        <v>178</v>
      </c>
    </row>
    <row r="8330" ht="22.5" customHeight="1">
      <c r="A8330" s="6" t="s">
        <v>25138</v>
      </c>
      <c r="B8330" s="6" t="s">
        <v>18453</v>
      </c>
      <c r="C8330" s="10">
        <v>46084.0</v>
      </c>
      <c r="D8330" s="6" t="s">
        <v>416</v>
      </c>
      <c r="E8330" s="6" t="s">
        <v>1273</v>
      </c>
      <c r="F8330" s="6" t="s">
        <v>249</v>
      </c>
      <c r="G8330" s="6" t="s">
        <v>458</v>
      </c>
      <c r="H8330" s="10">
        <v>46091.0</v>
      </c>
      <c r="I8330" s="12">
        <v>10.0</v>
      </c>
      <c r="J8330" s="6" t="s">
        <v>161</v>
      </c>
    </row>
    <row r="8331" ht="22.5" customHeight="1">
      <c r="A8331" s="6" t="s">
        <v>25139</v>
      </c>
      <c r="B8331" s="6" t="s">
        <v>18459</v>
      </c>
      <c r="C8331" s="10">
        <v>46027.0</v>
      </c>
      <c r="D8331" s="6" t="s">
        <v>391</v>
      </c>
      <c r="E8331" s="6" t="s">
        <v>716</v>
      </c>
      <c r="F8331" s="6" t="s">
        <v>112</v>
      </c>
      <c r="G8331" s="6" t="s">
        <v>369</v>
      </c>
      <c r="H8331" s="10">
        <v>46030.0</v>
      </c>
      <c r="I8331" s="12">
        <v>10.0</v>
      </c>
      <c r="J8331" s="6" t="s">
        <v>161</v>
      </c>
    </row>
    <row r="8332" ht="22.5" customHeight="1">
      <c r="A8332" s="6" t="s">
        <v>25140</v>
      </c>
      <c r="B8332" s="6" t="s">
        <v>18465</v>
      </c>
      <c r="C8332" s="10">
        <v>46043.0</v>
      </c>
      <c r="D8332" s="6" t="s">
        <v>391</v>
      </c>
      <c r="E8332" s="6" t="s">
        <v>1310</v>
      </c>
      <c r="F8332" s="6" t="s">
        <v>283</v>
      </c>
      <c r="G8332" s="6" t="s">
        <v>494</v>
      </c>
      <c r="H8332" s="10">
        <v>46045.0</v>
      </c>
      <c r="I8332" s="12">
        <v>6.0</v>
      </c>
      <c r="J8332" s="6" t="s">
        <v>161</v>
      </c>
    </row>
    <row r="8333" ht="22.5" customHeight="1">
      <c r="A8333" s="6" t="s">
        <v>25141</v>
      </c>
      <c r="B8333" s="6" t="s">
        <v>18465</v>
      </c>
      <c r="C8333" s="10">
        <v>46040.0</v>
      </c>
      <c r="D8333" s="6" t="s">
        <v>677</v>
      </c>
      <c r="E8333" s="6" t="s">
        <v>1310</v>
      </c>
      <c r="F8333" s="6" t="s">
        <v>249</v>
      </c>
      <c r="G8333" s="6" t="s">
        <v>369</v>
      </c>
      <c r="H8333" s="10">
        <v>46046.0</v>
      </c>
      <c r="I8333" s="12">
        <v>3.0</v>
      </c>
      <c r="J8333" s="6" t="s">
        <v>161</v>
      </c>
    </row>
    <row r="8334" ht="22.5" customHeight="1">
      <c r="A8334" s="6" t="s">
        <v>25142</v>
      </c>
      <c r="B8334" s="6" t="s">
        <v>18465</v>
      </c>
      <c r="C8334" s="10">
        <v>46048.0</v>
      </c>
      <c r="D8334" s="6" t="s">
        <v>436</v>
      </c>
      <c r="E8334" s="6" t="s">
        <v>417</v>
      </c>
      <c r="F8334" s="6" t="s">
        <v>249</v>
      </c>
      <c r="G8334" s="6" t="s">
        <v>494</v>
      </c>
      <c r="H8334" s="10">
        <v>46049.0</v>
      </c>
      <c r="I8334" s="12">
        <v>10.0</v>
      </c>
      <c r="J8334" s="6" t="s">
        <v>178</v>
      </c>
    </row>
    <row r="8335" ht="22.5" customHeight="1">
      <c r="A8335" s="6" t="s">
        <v>25143</v>
      </c>
      <c r="B8335" s="6" t="s">
        <v>18472</v>
      </c>
      <c r="C8335" s="10">
        <v>46034.0</v>
      </c>
      <c r="D8335" s="6" t="s">
        <v>416</v>
      </c>
      <c r="E8335" s="6" t="s">
        <v>466</v>
      </c>
      <c r="F8335" s="6" t="s">
        <v>439</v>
      </c>
      <c r="G8335" s="6" t="s">
        <v>477</v>
      </c>
      <c r="H8335" s="10">
        <v>46036.0</v>
      </c>
      <c r="I8335" s="12">
        <v>11.0</v>
      </c>
      <c r="J8335" s="6" t="s">
        <v>161</v>
      </c>
    </row>
    <row r="8336" ht="22.5" customHeight="1">
      <c r="A8336" s="6" t="s">
        <v>25144</v>
      </c>
      <c r="B8336" s="6" t="s">
        <v>18472</v>
      </c>
      <c r="C8336" s="10">
        <v>46046.0</v>
      </c>
      <c r="D8336" s="6" t="s">
        <v>312</v>
      </c>
      <c r="E8336" s="6" t="s">
        <v>1741</v>
      </c>
      <c r="F8336" s="6" t="s">
        <v>112</v>
      </c>
      <c r="G8336" s="6" t="s">
        <v>452</v>
      </c>
      <c r="H8336" s="10">
        <v>46048.0</v>
      </c>
      <c r="I8336" s="12">
        <v>7.0</v>
      </c>
      <c r="J8336" s="6" t="s">
        <v>161</v>
      </c>
    </row>
    <row r="8337" ht="22.5" customHeight="1">
      <c r="A8337" s="6" t="s">
        <v>25145</v>
      </c>
      <c r="B8337" s="6" t="s">
        <v>18472</v>
      </c>
      <c r="C8337" s="10">
        <v>46038.0</v>
      </c>
      <c r="D8337" s="6" t="s">
        <v>289</v>
      </c>
      <c r="E8337" s="6" t="s">
        <v>1700</v>
      </c>
      <c r="F8337" s="6" t="s">
        <v>112</v>
      </c>
      <c r="G8337" s="6" t="s">
        <v>452</v>
      </c>
      <c r="H8337" s="10">
        <v>46044.0</v>
      </c>
      <c r="I8337" s="12">
        <v>8.0</v>
      </c>
      <c r="J8337" s="6" t="s">
        <v>161</v>
      </c>
    </row>
    <row r="8338" ht="22.5" customHeight="1">
      <c r="A8338" s="6" t="s">
        <v>25146</v>
      </c>
      <c r="B8338" s="6" t="s">
        <v>18480</v>
      </c>
      <c r="C8338" s="10">
        <v>46066.0</v>
      </c>
      <c r="D8338" s="6" t="s">
        <v>289</v>
      </c>
      <c r="E8338" s="6" t="s">
        <v>394</v>
      </c>
      <c r="F8338" s="6" t="s">
        <v>249</v>
      </c>
      <c r="G8338" s="6" t="s">
        <v>254</v>
      </c>
      <c r="H8338" s="10">
        <v>46068.0</v>
      </c>
      <c r="I8338" s="12">
        <v>9.0</v>
      </c>
      <c r="J8338" s="6" t="s">
        <v>161</v>
      </c>
    </row>
    <row r="8339" ht="22.5" customHeight="1">
      <c r="A8339" s="6" t="s">
        <v>25147</v>
      </c>
      <c r="B8339" s="6" t="s">
        <v>18480</v>
      </c>
      <c r="C8339" s="10">
        <v>46061.0</v>
      </c>
      <c r="D8339" s="6" t="s">
        <v>312</v>
      </c>
      <c r="E8339" s="6" t="s">
        <v>670</v>
      </c>
      <c r="F8339" s="6" t="s">
        <v>249</v>
      </c>
      <c r="G8339" s="6" t="s">
        <v>369</v>
      </c>
      <c r="H8339" s="11" t="s">
        <v>259</v>
      </c>
      <c r="I8339" s="12">
        <v>6.0</v>
      </c>
      <c r="J8339" s="6" t="s">
        <v>161</v>
      </c>
    </row>
    <row r="8340" ht="22.5" customHeight="1">
      <c r="A8340" s="6" t="s">
        <v>25148</v>
      </c>
      <c r="B8340" s="6" t="s">
        <v>18486</v>
      </c>
      <c r="C8340" s="10">
        <v>46040.0</v>
      </c>
      <c r="D8340" s="6" t="s">
        <v>289</v>
      </c>
      <c r="E8340" s="6" t="s">
        <v>1122</v>
      </c>
      <c r="F8340" s="6" t="s">
        <v>112</v>
      </c>
      <c r="G8340" s="6" t="s">
        <v>326</v>
      </c>
      <c r="H8340" s="10">
        <v>46045.0</v>
      </c>
      <c r="I8340" s="12">
        <v>6.0</v>
      </c>
      <c r="J8340" s="6" t="s">
        <v>161</v>
      </c>
    </row>
    <row r="8341" ht="22.5" customHeight="1">
      <c r="A8341" s="6" t="s">
        <v>25149</v>
      </c>
      <c r="B8341" s="6" t="s">
        <v>18486</v>
      </c>
      <c r="C8341" s="10">
        <v>46040.0</v>
      </c>
      <c r="D8341" s="6" t="s">
        <v>289</v>
      </c>
      <c r="E8341" s="6" t="s">
        <v>896</v>
      </c>
      <c r="F8341" s="6" t="s">
        <v>439</v>
      </c>
      <c r="G8341" s="6" t="s">
        <v>326</v>
      </c>
      <c r="H8341" s="10">
        <v>46043.0</v>
      </c>
      <c r="I8341" s="12">
        <v>8.0</v>
      </c>
      <c r="J8341" s="6" t="s">
        <v>161</v>
      </c>
    </row>
    <row r="8342" ht="22.5" customHeight="1">
      <c r="A8342" s="6" t="s">
        <v>25150</v>
      </c>
      <c r="B8342" s="6" t="s">
        <v>18486</v>
      </c>
      <c r="C8342" s="10">
        <v>46030.0</v>
      </c>
      <c r="D8342" s="6" t="s">
        <v>677</v>
      </c>
      <c r="E8342" s="6" t="s">
        <v>1600</v>
      </c>
      <c r="F8342" s="6" t="s">
        <v>249</v>
      </c>
      <c r="G8342" s="6" t="s">
        <v>477</v>
      </c>
      <c r="H8342" s="10">
        <v>46035.0</v>
      </c>
      <c r="I8342" s="12">
        <v>4.0</v>
      </c>
      <c r="J8342" s="6" t="s">
        <v>161</v>
      </c>
    </row>
    <row r="8343" ht="22.5" customHeight="1">
      <c r="A8343" s="6" t="s">
        <v>25151</v>
      </c>
      <c r="B8343" s="6" t="s">
        <v>18486</v>
      </c>
      <c r="C8343" s="10">
        <v>46047.0</v>
      </c>
      <c r="D8343" s="6" t="s">
        <v>436</v>
      </c>
      <c r="E8343" s="6" t="s">
        <v>512</v>
      </c>
      <c r="F8343" s="6" t="s">
        <v>249</v>
      </c>
      <c r="G8343" s="6" t="s">
        <v>297</v>
      </c>
      <c r="H8343" s="10">
        <v>46050.0</v>
      </c>
      <c r="I8343" s="12">
        <v>12.0</v>
      </c>
      <c r="J8343" s="6" t="s">
        <v>178</v>
      </c>
    </row>
    <row r="8344" ht="22.5" customHeight="1">
      <c r="A8344" s="6" t="s">
        <v>25152</v>
      </c>
      <c r="B8344" s="6" t="s">
        <v>18493</v>
      </c>
      <c r="C8344" s="10">
        <v>46055.0</v>
      </c>
      <c r="D8344" s="6" t="s">
        <v>242</v>
      </c>
      <c r="E8344" s="6" t="s">
        <v>658</v>
      </c>
      <c r="F8344" s="6" t="s">
        <v>283</v>
      </c>
      <c r="G8344" s="6" t="s">
        <v>369</v>
      </c>
      <c r="H8344" s="11" t="s">
        <v>259</v>
      </c>
      <c r="I8344" s="12">
        <v>6.0</v>
      </c>
      <c r="J8344" s="6" t="s">
        <v>178</v>
      </c>
    </row>
    <row r="8345" ht="22.5" customHeight="1">
      <c r="A8345" s="6" t="s">
        <v>25153</v>
      </c>
      <c r="B8345" s="6" t="s">
        <v>18493</v>
      </c>
      <c r="C8345" s="10">
        <v>46062.0</v>
      </c>
      <c r="D8345" s="6" t="s">
        <v>391</v>
      </c>
      <c r="E8345" s="6" t="s">
        <v>658</v>
      </c>
      <c r="F8345" s="6" t="s">
        <v>249</v>
      </c>
      <c r="G8345" s="6" t="s">
        <v>254</v>
      </c>
      <c r="H8345" s="10">
        <v>46064.0</v>
      </c>
      <c r="I8345" s="12">
        <v>11.0</v>
      </c>
      <c r="J8345" s="6" t="s">
        <v>161</v>
      </c>
    </row>
    <row r="8346" ht="22.5" customHeight="1">
      <c r="A8346" s="6" t="s">
        <v>25154</v>
      </c>
      <c r="B8346" s="6" t="s">
        <v>18493</v>
      </c>
      <c r="C8346" s="10">
        <v>46065.0</v>
      </c>
      <c r="D8346" s="6" t="s">
        <v>391</v>
      </c>
      <c r="E8346" s="6" t="s">
        <v>610</v>
      </c>
      <c r="F8346" s="6" t="s">
        <v>283</v>
      </c>
      <c r="G8346" s="6" t="s">
        <v>494</v>
      </c>
      <c r="H8346" s="10">
        <v>46066.0</v>
      </c>
      <c r="I8346" s="12">
        <v>7.0</v>
      </c>
      <c r="J8346" s="6" t="s">
        <v>161</v>
      </c>
    </row>
    <row r="8347" ht="22.5" customHeight="1">
      <c r="A8347" s="6" t="s">
        <v>25155</v>
      </c>
      <c r="B8347" s="6" t="s">
        <v>18493</v>
      </c>
      <c r="C8347" s="10">
        <v>46057.0</v>
      </c>
      <c r="D8347" s="6" t="s">
        <v>312</v>
      </c>
      <c r="E8347" s="6" t="s">
        <v>775</v>
      </c>
      <c r="F8347" s="6" t="s">
        <v>439</v>
      </c>
      <c r="G8347" s="6" t="s">
        <v>494</v>
      </c>
      <c r="H8347" s="11" t="s">
        <v>259</v>
      </c>
      <c r="I8347" s="12">
        <v>5.0</v>
      </c>
      <c r="J8347" s="6" t="s">
        <v>161</v>
      </c>
    </row>
    <row r="8348" ht="22.5" customHeight="1">
      <c r="A8348" s="6" t="s">
        <v>25156</v>
      </c>
      <c r="B8348" s="6" t="s">
        <v>18499</v>
      </c>
      <c r="C8348" s="10">
        <v>46037.0</v>
      </c>
      <c r="D8348" s="6" t="s">
        <v>312</v>
      </c>
      <c r="E8348" s="6" t="s">
        <v>885</v>
      </c>
      <c r="F8348" s="6" t="s">
        <v>112</v>
      </c>
      <c r="G8348" s="6" t="s">
        <v>369</v>
      </c>
      <c r="H8348" s="10">
        <v>46041.0</v>
      </c>
      <c r="I8348" s="12">
        <v>6.0</v>
      </c>
      <c r="J8348" s="6" t="s">
        <v>161</v>
      </c>
    </row>
    <row r="8349" ht="22.5" customHeight="1">
      <c r="A8349" s="6" t="s">
        <v>25157</v>
      </c>
      <c r="B8349" s="6" t="s">
        <v>18499</v>
      </c>
      <c r="C8349" s="10">
        <v>46037.0</v>
      </c>
      <c r="D8349" s="6" t="s">
        <v>391</v>
      </c>
      <c r="E8349" s="6" t="s">
        <v>628</v>
      </c>
      <c r="F8349" s="6" t="s">
        <v>249</v>
      </c>
      <c r="G8349" s="6" t="s">
        <v>477</v>
      </c>
      <c r="H8349" s="10">
        <v>46039.0</v>
      </c>
      <c r="I8349" s="12">
        <v>7.0</v>
      </c>
      <c r="J8349" s="6" t="s">
        <v>161</v>
      </c>
    </row>
    <row r="8350" ht="22.5" customHeight="1">
      <c r="A8350" s="6" t="s">
        <v>25158</v>
      </c>
      <c r="B8350" s="6" t="s">
        <v>18499</v>
      </c>
      <c r="C8350" s="10">
        <v>46038.0</v>
      </c>
      <c r="D8350" s="6" t="s">
        <v>312</v>
      </c>
      <c r="E8350" s="6" t="s">
        <v>566</v>
      </c>
      <c r="F8350" s="6" t="s">
        <v>283</v>
      </c>
      <c r="G8350" s="6" t="s">
        <v>452</v>
      </c>
      <c r="H8350" s="10">
        <v>46045.0</v>
      </c>
      <c r="I8350" s="12">
        <v>7.0</v>
      </c>
      <c r="J8350" s="6" t="s">
        <v>161</v>
      </c>
    </row>
    <row r="8351" ht="22.5" customHeight="1">
      <c r="A8351" s="6" t="s">
        <v>25159</v>
      </c>
      <c r="B8351" s="6" t="s">
        <v>18499</v>
      </c>
      <c r="C8351" s="10">
        <v>46043.0</v>
      </c>
      <c r="D8351" s="6" t="s">
        <v>242</v>
      </c>
      <c r="E8351" s="6" t="s">
        <v>1570</v>
      </c>
      <c r="F8351" s="6" t="s">
        <v>249</v>
      </c>
      <c r="G8351" s="6" t="s">
        <v>254</v>
      </c>
      <c r="H8351" s="10">
        <v>46049.0</v>
      </c>
      <c r="I8351" s="12">
        <v>4.0</v>
      </c>
      <c r="J8351" s="6" t="s">
        <v>178</v>
      </c>
    </row>
    <row r="8352" ht="22.5" customHeight="1">
      <c r="A8352" s="6" t="s">
        <v>25160</v>
      </c>
      <c r="B8352" s="6" t="s">
        <v>18499</v>
      </c>
      <c r="C8352" s="10">
        <v>46044.0</v>
      </c>
      <c r="D8352" s="6" t="s">
        <v>416</v>
      </c>
      <c r="E8352" s="6" t="s">
        <v>731</v>
      </c>
      <c r="F8352" s="6" t="s">
        <v>249</v>
      </c>
      <c r="G8352" s="6" t="s">
        <v>494</v>
      </c>
      <c r="H8352" s="10">
        <v>46051.0</v>
      </c>
      <c r="I8352" s="12">
        <v>10.0</v>
      </c>
      <c r="J8352" s="6" t="s">
        <v>161</v>
      </c>
    </row>
    <row r="8353" ht="22.5" customHeight="1">
      <c r="A8353" s="6" t="s">
        <v>25161</v>
      </c>
      <c r="B8353" s="6" t="s">
        <v>18505</v>
      </c>
      <c r="C8353" s="10">
        <v>46049.0</v>
      </c>
      <c r="D8353" s="6" t="s">
        <v>436</v>
      </c>
      <c r="E8353" s="6" t="s">
        <v>833</v>
      </c>
      <c r="F8353" s="6" t="s">
        <v>112</v>
      </c>
      <c r="G8353" s="6" t="s">
        <v>494</v>
      </c>
      <c r="H8353" s="11" t="s">
        <v>259</v>
      </c>
      <c r="I8353" s="12">
        <v>7.0</v>
      </c>
      <c r="J8353" s="6" t="s">
        <v>178</v>
      </c>
    </row>
    <row r="8354" ht="22.5" customHeight="1">
      <c r="A8354" s="6" t="s">
        <v>25162</v>
      </c>
      <c r="B8354" s="6" t="s">
        <v>18505</v>
      </c>
      <c r="C8354" s="10">
        <v>46039.0</v>
      </c>
      <c r="D8354" s="6" t="s">
        <v>416</v>
      </c>
      <c r="E8354" s="6" t="s">
        <v>1552</v>
      </c>
      <c r="F8354" s="6" t="s">
        <v>439</v>
      </c>
      <c r="G8354" s="6" t="s">
        <v>326</v>
      </c>
      <c r="H8354" s="10">
        <v>46043.0</v>
      </c>
      <c r="I8354" s="12">
        <v>14.0</v>
      </c>
      <c r="J8354" s="6" t="s">
        <v>161</v>
      </c>
    </row>
    <row r="8355" ht="22.5" customHeight="1">
      <c r="A8355" s="6" t="s">
        <v>25163</v>
      </c>
      <c r="B8355" s="6" t="s">
        <v>18505</v>
      </c>
      <c r="C8355" s="10">
        <v>46040.0</v>
      </c>
      <c r="D8355" s="6" t="s">
        <v>289</v>
      </c>
      <c r="E8355" s="6" t="s">
        <v>1546</v>
      </c>
      <c r="F8355" s="6" t="s">
        <v>249</v>
      </c>
      <c r="G8355" s="6" t="s">
        <v>452</v>
      </c>
      <c r="H8355" s="10">
        <v>46040.0</v>
      </c>
      <c r="I8355" s="12">
        <v>10.0</v>
      </c>
      <c r="J8355" s="6" t="s">
        <v>161</v>
      </c>
    </row>
    <row r="8356" ht="22.5" customHeight="1">
      <c r="A8356" s="6" t="s">
        <v>25164</v>
      </c>
      <c r="B8356" s="6" t="s">
        <v>18512</v>
      </c>
      <c r="C8356" s="10">
        <v>46052.0</v>
      </c>
      <c r="D8356" s="6" t="s">
        <v>289</v>
      </c>
      <c r="E8356" s="6" t="s">
        <v>2365</v>
      </c>
      <c r="F8356" s="6" t="s">
        <v>249</v>
      </c>
      <c r="G8356" s="6" t="s">
        <v>254</v>
      </c>
      <c r="H8356" s="11" t="s">
        <v>259</v>
      </c>
      <c r="I8356" s="12">
        <v>10.0</v>
      </c>
      <c r="J8356" s="6" t="s">
        <v>161</v>
      </c>
    </row>
    <row r="8357" ht="22.5" customHeight="1">
      <c r="A8357" s="6" t="s">
        <v>25165</v>
      </c>
      <c r="B8357" s="6" t="s">
        <v>18512</v>
      </c>
      <c r="C8357" s="10">
        <v>46050.0</v>
      </c>
      <c r="D8357" s="6" t="s">
        <v>436</v>
      </c>
      <c r="E8357" s="6" t="s">
        <v>475</v>
      </c>
      <c r="F8357" s="6" t="s">
        <v>439</v>
      </c>
      <c r="G8357" s="6" t="s">
        <v>326</v>
      </c>
      <c r="H8357" s="11" t="s">
        <v>259</v>
      </c>
      <c r="I8357" s="12">
        <v>11.0</v>
      </c>
      <c r="J8357" s="6" t="s">
        <v>178</v>
      </c>
    </row>
    <row r="8358" ht="22.5" customHeight="1">
      <c r="A8358" s="6" t="s">
        <v>25166</v>
      </c>
      <c r="B8358" s="6" t="s">
        <v>18512</v>
      </c>
      <c r="C8358" s="10">
        <v>46043.0</v>
      </c>
      <c r="D8358" s="6" t="s">
        <v>242</v>
      </c>
      <c r="E8358" s="6" t="s">
        <v>955</v>
      </c>
      <c r="F8358" s="6" t="s">
        <v>439</v>
      </c>
      <c r="G8358" s="6" t="s">
        <v>494</v>
      </c>
      <c r="H8358" s="11" t="s">
        <v>259</v>
      </c>
      <c r="I8358" s="12">
        <v>5.0</v>
      </c>
      <c r="J8358" s="6" t="s">
        <v>178</v>
      </c>
    </row>
    <row r="8359" ht="22.5" customHeight="1">
      <c r="A8359" s="6" t="s">
        <v>25167</v>
      </c>
      <c r="B8359" s="6" t="s">
        <v>18512</v>
      </c>
      <c r="C8359" s="10">
        <v>46050.0</v>
      </c>
      <c r="D8359" s="6" t="s">
        <v>312</v>
      </c>
      <c r="E8359" s="6" t="s">
        <v>1546</v>
      </c>
      <c r="F8359" s="6" t="s">
        <v>112</v>
      </c>
      <c r="G8359" s="6" t="s">
        <v>477</v>
      </c>
      <c r="H8359" s="10">
        <v>46056.0</v>
      </c>
      <c r="I8359" s="12">
        <v>4.0</v>
      </c>
      <c r="J8359" s="6" t="s">
        <v>161</v>
      </c>
    </row>
    <row r="8360" ht="22.5" customHeight="1">
      <c r="A8360" s="6" t="s">
        <v>25168</v>
      </c>
      <c r="B8360" s="6" t="s">
        <v>18518</v>
      </c>
      <c r="C8360" s="10">
        <v>46076.0</v>
      </c>
      <c r="D8360" s="6" t="s">
        <v>677</v>
      </c>
      <c r="E8360" s="6" t="s">
        <v>1273</v>
      </c>
      <c r="F8360" s="6" t="s">
        <v>283</v>
      </c>
      <c r="G8360" s="6" t="s">
        <v>452</v>
      </c>
      <c r="H8360" s="10">
        <v>46076.0</v>
      </c>
      <c r="I8360" s="12">
        <v>2.0</v>
      </c>
      <c r="J8360" s="6" t="s">
        <v>161</v>
      </c>
    </row>
    <row r="8361" ht="22.5" customHeight="1">
      <c r="A8361" s="6" t="s">
        <v>25169</v>
      </c>
      <c r="B8361" s="6" t="s">
        <v>18524</v>
      </c>
      <c r="C8361" s="10">
        <v>46067.0</v>
      </c>
      <c r="D8361" s="6" t="s">
        <v>312</v>
      </c>
      <c r="E8361" s="6" t="s">
        <v>1552</v>
      </c>
      <c r="F8361" s="6" t="s">
        <v>112</v>
      </c>
      <c r="G8361" s="6" t="s">
        <v>494</v>
      </c>
      <c r="H8361" s="10">
        <v>46067.0</v>
      </c>
      <c r="I8361" s="12">
        <v>6.0</v>
      </c>
      <c r="J8361" s="6" t="s">
        <v>161</v>
      </c>
    </row>
    <row r="8362" ht="22.5" customHeight="1">
      <c r="A8362" s="6" t="s">
        <v>25170</v>
      </c>
      <c r="B8362" s="6" t="s">
        <v>18524</v>
      </c>
      <c r="C8362" s="10">
        <v>46068.0</v>
      </c>
      <c r="D8362" s="6" t="s">
        <v>436</v>
      </c>
      <c r="E8362" s="6" t="s">
        <v>628</v>
      </c>
      <c r="F8362" s="6" t="s">
        <v>112</v>
      </c>
      <c r="G8362" s="6" t="s">
        <v>254</v>
      </c>
      <c r="H8362" s="11" t="s">
        <v>259</v>
      </c>
      <c r="I8362" s="12">
        <v>12.0</v>
      </c>
      <c r="J8362" s="6" t="s">
        <v>161</v>
      </c>
    </row>
    <row r="8363" ht="22.5" customHeight="1">
      <c r="A8363" s="6" t="s">
        <v>25171</v>
      </c>
      <c r="B8363" s="6" t="s">
        <v>18524</v>
      </c>
      <c r="C8363" s="10">
        <v>46070.0</v>
      </c>
      <c r="D8363" s="6" t="s">
        <v>416</v>
      </c>
      <c r="E8363" s="6" t="s">
        <v>1741</v>
      </c>
      <c r="F8363" s="6" t="s">
        <v>439</v>
      </c>
      <c r="G8363" s="6" t="s">
        <v>494</v>
      </c>
      <c r="H8363" s="11" t="s">
        <v>259</v>
      </c>
      <c r="I8363" s="12">
        <v>9.0</v>
      </c>
      <c r="J8363" s="6" t="s">
        <v>161</v>
      </c>
    </row>
    <row r="8364" ht="22.5" customHeight="1">
      <c r="A8364" s="6" t="s">
        <v>25172</v>
      </c>
      <c r="B8364" s="6" t="s">
        <v>18531</v>
      </c>
      <c r="C8364" s="10">
        <v>46035.0</v>
      </c>
      <c r="D8364" s="6" t="s">
        <v>312</v>
      </c>
      <c r="E8364" s="6" t="s">
        <v>466</v>
      </c>
      <c r="F8364" s="6" t="s">
        <v>439</v>
      </c>
      <c r="G8364" s="6" t="s">
        <v>326</v>
      </c>
      <c r="H8364" s="10">
        <v>46038.0</v>
      </c>
      <c r="I8364" s="12">
        <v>5.0</v>
      </c>
      <c r="J8364" s="6" t="s">
        <v>161</v>
      </c>
    </row>
    <row r="8365" ht="22.5" customHeight="1">
      <c r="A8365" s="6" t="s">
        <v>25173</v>
      </c>
      <c r="B8365" s="6" t="s">
        <v>18531</v>
      </c>
      <c r="C8365" s="10">
        <v>46034.0</v>
      </c>
      <c r="D8365" s="6" t="s">
        <v>289</v>
      </c>
      <c r="E8365" s="6" t="s">
        <v>1552</v>
      </c>
      <c r="F8365" s="6" t="s">
        <v>439</v>
      </c>
      <c r="G8365" s="6" t="s">
        <v>326</v>
      </c>
      <c r="H8365" s="10">
        <v>46036.0</v>
      </c>
      <c r="I8365" s="12">
        <v>7.0</v>
      </c>
      <c r="J8365" s="6" t="s">
        <v>161</v>
      </c>
    </row>
    <row r="8366" ht="22.5" customHeight="1">
      <c r="A8366" s="6" t="s">
        <v>25174</v>
      </c>
      <c r="B8366" s="6" t="s">
        <v>18537</v>
      </c>
      <c r="C8366" s="10">
        <v>46027.0</v>
      </c>
      <c r="D8366" s="6" t="s">
        <v>416</v>
      </c>
      <c r="E8366" s="6" t="s">
        <v>394</v>
      </c>
      <c r="F8366" s="6" t="s">
        <v>249</v>
      </c>
      <c r="G8366" s="6" t="s">
        <v>326</v>
      </c>
      <c r="H8366" s="11" t="s">
        <v>259</v>
      </c>
      <c r="I8366" s="12">
        <v>8.0</v>
      </c>
      <c r="J8366" s="6" t="s">
        <v>161</v>
      </c>
    </row>
    <row r="8367" ht="22.5" customHeight="1">
      <c r="A8367" s="6" t="s">
        <v>25175</v>
      </c>
      <c r="B8367" s="6" t="s">
        <v>18537</v>
      </c>
      <c r="C8367" s="10">
        <v>46028.0</v>
      </c>
      <c r="D8367" s="6" t="s">
        <v>391</v>
      </c>
      <c r="E8367" s="6" t="s">
        <v>610</v>
      </c>
      <c r="F8367" s="6" t="s">
        <v>439</v>
      </c>
      <c r="G8367" s="6" t="s">
        <v>369</v>
      </c>
      <c r="H8367" s="10">
        <v>46034.0</v>
      </c>
      <c r="I8367" s="12">
        <v>7.0</v>
      </c>
      <c r="J8367" s="6" t="s">
        <v>161</v>
      </c>
    </row>
    <row r="8368" ht="22.5" customHeight="1">
      <c r="A8368" s="6" t="s">
        <v>25176</v>
      </c>
      <c r="B8368" s="6" t="s">
        <v>18542</v>
      </c>
      <c r="C8368" s="10">
        <v>46064.0</v>
      </c>
      <c r="D8368" s="6" t="s">
        <v>677</v>
      </c>
      <c r="E8368" s="6" t="s">
        <v>896</v>
      </c>
      <c r="F8368" s="6" t="s">
        <v>112</v>
      </c>
      <c r="G8368" s="6" t="s">
        <v>326</v>
      </c>
      <c r="H8368" s="10">
        <v>46070.0</v>
      </c>
      <c r="I8368" s="12">
        <v>3.0</v>
      </c>
      <c r="J8368" s="6" t="s">
        <v>161</v>
      </c>
    </row>
    <row r="8369" ht="22.5" customHeight="1">
      <c r="A8369" s="6" t="s">
        <v>25177</v>
      </c>
      <c r="B8369" s="6" t="s">
        <v>18542</v>
      </c>
      <c r="C8369" s="10">
        <v>46067.0</v>
      </c>
      <c r="D8369" s="6" t="s">
        <v>677</v>
      </c>
      <c r="E8369" s="6" t="s">
        <v>1700</v>
      </c>
      <c r="F8369" s="6" t="s">
        <v>439</v>
      </c>
      <c r="G8369" s="6" t="s">
        <v>452</v>
      </c>
      <c r="H8369" s="10">
        <v>46068.0</v>
      </c>
      <c r="I8369" s="12">
        <v>3.0</v>
      </c>
      <c r="J8369" s="6" t="s">
        <v>161</v>
      </c>
    </row>
    <row r="8370" ht="22.5" customHeight="1">
      <c r="A8370" s="6" t="s">
        <v>25178</v>
      </c>
      <c r="B8370" s="6" t="s">
        <v>18542</v>
      </c>
      <c r="C8370" s="10">
        <v>46074.0</v>
      </c>
      <c r="D8370" s="6" t="s">
        <v>391</v>
      </c>
      <c r="E8370" s="6" t="s">
        <v>798</v>
      </c>
      <c r="F8370" s="6" t="s">
        <v>283</v>
      </c>
      <c r="G8370" s="6" t="s">
        <v>458</v>
      </c>
      <c r="H8370" s="10">
        <v>46081.0</v>
      </c>
      <c r="I8370" s="12">
        <v>6.0</v>
      </c>
      <c r="J8370" s="6" t="s">
        <v>161</v>
      </c>
    </row>
    <row r="8371" ht="22.5" customHeight="1">
      <c r="A8371" s="6" t="s">
        <v>25179</v>
      </c>
      <c r="B8371" s="6" t="s">
        <v>18542</v>
      </c>
      <c r="C8371" s="10">
        <v>46074.0</v>
      </c>
      <c r="D8371" s="6" t="s">
        <v>391</v>
      </c>
      <c r="E8371" s="6" t="s">
        <v>1296</v>
      </c>
      <c r="F8371" s="6" t="s">
        <v>112</v>
      </c>
      <c r="G8371" s="6" t="s">
        <v>458</v>
      </c>
      <c r="H8371" s="10">
        <v>46078.0</v>
      </c>
      <c r="I8371" s="12">
        <v>11.0</v>
      </c>
      <c r="J8371" s="6" t="s">
        <v>161</v>
      </c>
    </row>
    <row r="8372" ht="22.5" customHeight="1">
      <c r="A8372" s="6" t="s">
        <v>25180</v>
      </c>
      <c r="B8372" s="6" t="s">
        <v>18548</v>
      </c>
      <c r="C8372" s="10">
        <v>46036.0</v>
      </c>
      <c r="D8372" s="6" t="s">
        <v>242</v>
      </c>
      <c r="E8372" s="6" t="s">
        <v>704</v>
      </c>
      <c r="F8372" s="6" t="s">
        <v>112</v>
      </c>
      <c r="G8372" s="6" t="s">
        <v>326</v>
      </c>
      <c r="H8372" s="11" t="s">
        <v>259</v>
      </c>
      <c r="I8372" s="12">
        <v>6.0</v>
      </c>
      <c r="J8372" s="6" t="s">
        <v>161</v>
      </c>
    </row>
    <row r="8373" ht="22.5" customHeight="1">
      <c r="A8373" s="6" t="s">
        <v>25181</v>
      </c>
      <c r="B8373" s="6" t="s">
        <v>18548</v>
      </c>
      <c r="C8373" s="10">
        <v>46034.0</v>
      </c>
      <c r="D8373" s="6" t="s">
        <v>416</v>
      </c>
      <c r="E8373" s="6" t="s">
        <v>896</v>
      </c>
      <c r="F8373" s="6" t="s">
        <v>249</v>
      </c>
      <c r="G8373" s="6" t="s">
        <v>369</v>
      </c>
      <c r="H8373" s="10">
        <v>46038.0</v>
      </c>
      <c r="I8373" s="12">
        <v>8.0</v>
      </c>
      <c r="J8373" s="6" t="s">
        <v>161</v>
      </c>
    </row>
    <row r="8374" ht="22.5" customHeight="1">
      <c r="A8374" s="6" t="s">
        <v>25182</v>
      </c>
      <c r="B8374" s="6" t="s">
        <v>18548</v>
      </c>
      <c r="C8374" s="10">
        <v>46035.0</v>
      </c>
      <c r="D8374" s="6" t="s">
        <v>242</v>
      </c>
      <c r="E8374" s="6" t="s">
        <v>634</v>
      </c>
      <c r="F8374" s="6" t="s">
        <v>249</v>
      </c>
      <c r="G8374" s="6" t="s">
        <v>297</v>
      </c>
      <c r="H8374" s="10">
        <v>46037.0</v>
      </c>
      <c r="I8374" s="12">
        <v>6.0</v>
      </c>
      <c r="J8374" s="6" t="s">
        <v>178</v>
      </c>
    </row>
    <row r="8375" ht="22.5" customHeight="1">
      <c r="A8375" s="6" t="s">
        <v>25183</v>
      </c>
      <c r="B8375" s="6" t="s">
        <v>18548</v>
      </c>
      <c r="C8375" s="10">
        <v>46035.0</v>
      </c>
      <c r="D8375" s="6" t="s">
        <v>289</v>
      </c>
      <c r="E8375" s="6" t="s">
        <v>634</v>
      </c>
      <c r="F8375" s="6" t="s">
        <v>439</v>
      </c>
      <c r="G8375" s="6" t="s">
        <v>297</v>
      </c>
      <c r="H8375" s="10">
        <v>46036.0</v>
      </c>
      <c r="I8375" s="12">
        <v>9.0</v>
      </c>
      <c r="J8375" s="6" t="s">
        <v>161</v>
      </c>
    </row>
    <row r="8376" ht="22.5" customHeight="1">
      <c r="A8376" s="6" t="s">
        <v>25184</v>
      </c>
      <c r="B8376" s="6" t="s">
        <v>18548</v>
      </c>
      <c r="C8376" s="10">
        <v>46034.0</v>
      </c>
      <c r="D8376" s="6" t="s">
        <v>312</v>
      </c>
      <c r="E8376" s="6" t="s">
        <v>1700</v>
      </c>
      <c r="F8376" s="6" t="s">
        <v>439</v>
      </c>
      <c r="G8376" s="6" t="s">
        <v>477</v>
      </c>
      <c r="H8376" s="10">
        <v>46036.0</v>
      </c>
      <c r="I8376" s="12">
        <v>6.0</v>
      </c>
      <c r="J8376" s="6" t="s">
        <v>161</v>
      </c>
    </row>
    <row r="8377" ht="22.5" customHeight="1">
      <c r="A8377" s="6" t="s">
        <v>25185</v>
      </c>
      <c r="B8377" s="6" t="s">
        <v>18553</v>
      </c>
      <c r="C8377" s="10">
        <v>46085.0</v>
      </c>
      <c r="D8377" s="6" t="s">
        <v>436</v>
      </c>
      <c r="E8377" s="6" t="s">
        <v>512</v>
      </c>
      <c r="F8377" s="6" t="s">
        <v>439</v>
      </c>
      <c r="G8377" s="6" t="s">
        <v>369</v>
      </c>
      <c r="H8377" s="10">
        <v>46089.0</v>
      </c>
      <c r="I8377" s="12">
        <v>6.0</v>
      </c>
      <c r="J8377" s="6" t="s">
        <v>178</v>
      </c>
    </row>
    <row r="8378" ht="22.5" customHeight="1">
      <c r="A8378" s="6" t="s">
        <v>25186</v>
      </c>
      <c r="B8378" s="6" t="s">
        <v>18559</v>
      </c>
      <c r="C8378" s="10">
        <v>46075.0</v>
      </c>
      <c r="D8378" s="6" t="s">
        <v>416</v>
      </c>
      <c r="E8378" s="6" t="s">
        <v>704</v>
      </c>
      <c r="F8378" s="6" t="s">
        <v>439</v>
      </c>
      <c r="G8378" s="6" t="s">
        <v>326</v>
      </c>
      <c r="H8378" s="10">
        <v>46078.0</v>
      </c>
      <c r="I8378" s="12">
        <v>9.0</v>
      </c>
      <c r="J8378" s="6" t="s">
        <v>161</v>
      </c>
    </row>
    <row r="8379" ht="22.5" customHeight="1">
      <c r="A8379" s="6" t="s">
        <v>25187</v>
      </c>
      <c r="B8379" s="6" t="s">
        <v>18559</v>
      </c>
      <c r="C8379" s="10">
        <v>46064.0</v>
      </c>
      <c r="D8379" s="6" t="s">
        <v>436</v>
      </c>
      <c r="E8379" s="6" t="s">
        <v>583</v>
      </c>
      <c r="F8379" s="6" t="s">
        <v>112</v>
      </c>
      <c r="G8379" s="6" t="s">
        <v>452</v>
      </c>
      <c r="H8379" s="10">
        <v>46064.0</v>
      </c>
      <c r="I8379" s="12">
        <v>11.0</v>
      </c>
      <c r="J8379" s="6" t="s">
        <v>178</v>
      </c>
    </row>
    <row r="8380" ht="22.5" customHeight="1">
      <c r="A8380" s="6" t="s">
        <v>25188</v>
      </c>
      <c r="B8380" s="6" t="s">
        <v>18566</v>
      </c>
      <c r="C8380" s="10">
        <v>46082.0</v>
      </c>
      <c r="D8380" s="6" t="s">
        <v>436</v>
      </c>
      <c r="E8380" s="6" t="s">
        <v>885</v>
      </c>
      <c r="F8380" s="6" t="s">
        <v>112</v>
      </c>
      <c r="G8380" s="6" t="s">
        <v>458</v>
      </c>
      <c r="H8380" s="11" t="s">
        <v>259</v>
      </c>
      <c r="I8380" s="12">
        <v>6.0</v>
      </c>
      <c r="J8380" s="6" t="s">
        <v>178</v>
      </c>
    </row>
    <row r="8381" ht="22.5" customHeight="1">
      <c r="A8381" s="6" t="s">
        <v>25189</v>
      </c>
      <c r="B8381" s="6" t="s">
        <v>18566</v>
      </c>
      <c r="C8381" s="10">
        <v>46077.0</v>
      </c>
      <c r="D8381" s="6" t="s">
        <v>289</v>
      </c>
      <c r="E8381" s="6" t="s">
        <v>695</v>
      </c>
      <c r="F8381" s="6" t="s">
        <v>283</v>
      </c>
      <c r="G8381" s="6" t="s">
        <v>254</v>
      </c>
      <c r="H8381" s="11" t="s">
        <v>259</v>
      </c>
      <c r="I8381" s="12">
        <v>5.0</v>
      </c>
      <c r="J8381" s="6" t="s">
        <v>161</v>
      </c>
    </row>
    <row r="8382" ht="22.5" customHeight="1">
      <c r="A8382" s="6" t="s">
        <v>25190</v>
      </c>
      <c r="B8382" s="6" t="s">
        <v>18566</v>
      </c>
      <c r="C8382" s="10">
        <v>46067.0</v>
      </c>
      <c r="D8382" s="6" t="s">
        <v>677</v>
      </c>
      <c r="E8382" s="6" t="s">
        <v>687</v>
      </c>
      <c r="F8382" s="6" t="s">
        <v>439</v>
      </c>
      <c r="G8382" s="6" t="s">
        <v>494</v>
      </c>
      <c r="H8382" s="10">
        <v>46070.0</v>
      </c>
      <c r="I8382" s="12">
        <v>3.0</v>
      </c>
      <c r="J8382" s="6" t="s">
        <v>161</v>
      </c>
    </row>
    <row r="8383" ht="22.5" customHeight="1">
      <c r="A8383" s="6" t="s">
        <v>25191</v>
      </c>
      <c r="B8383" s="6" t="s">
        <v>18566</v>
      </c>
      <c r="C8383" s="10">
        <v>46072.0</v>
      </c>
      <c r="D8383" s="6" t="s">
        <v>391</v>
      </c>
      <c r="E8383" s="6" t="s">
        <v>955</v>
      </c>
      <c r="F8383" s="6" t="s">
        <v>112</v>
      </c>
      <c r="G8383" s="6" t="s">
        <v>254</v>
      </c>
      <c r="H8383" s="10">
        <v>46075.0</v>
      </c>
      <c r="I8383" s="12">
        <v>6.0</v>
      </c>
      <c r="J8383" s="6" t="s">
        <v>161</v>
      </c>
    </row>
    <row r="8384" ht="22.5" customHeight="1">
      <c r="A8384" s="6" t="s">
        <v>25192</v>
      </c>
      <c r="B8384" s="6" t="s">
        <v>18571</v>
      </c>
      <c r="C8384" s="10">
        <v>46041.0</v>
      </c>
      <c r="D8384" s="6" t="s">
        <v>436</v>
      </c>
      <c r="E8384" s="6" t="s">
        <v>1149</v>
      </c>
      <c r="F8384" s="6" t="s">
        <v>112</v>
      </c>
      <c r="G8384" s="6" t="s">
        <v>458</v>
      </c>
      <c r="H8384" s="10">
        <v>46047.0</v>
      </c>
      <c r="I8384" s="12">
        <v>11.0</v>
      </c>
      <c r="J8384" s="6" t="s">
        <v>178</v>
      </c>
    </row>
    <row r="8385" ht="22.5" customHeight="1">
      <c r="A8385" s="6" t="s">
        <v>25193</v>
      </c>
      <c r="B8385" s="6" t="s">
        <v>18571</v>
      </c>
      <c r="C8385" s="10">
        <v>46028.0</v>
      </c>
      <c r="D8385" s="6" t="s">
        <v>312</v>
      </c>
      <c r="E8385" s="6" t="s">
        <v>1122</v>
      </c>
      <c r="F8385" s="6" t="s">
        <v>249</v>
      </c>
      <c r="G8385" s="6" t="s">
        <v>452</v>
      </c>
      <c r="H8385" s="10">
        <v>46034.0</v>
      </c>
      <c r="I8385" s="12">
        <v>5.0</v>
      </c>
      <c r="J8385" s="6" t="s">
        <v>161</v>
      </c>
    </row>
    <row r="8386" ht="22.5" customHeight="1">
      <c r="A8386" s="6" t="s">
        <v>25194</v>
      </c>
      <c r="B8386" s="6" t="s">
        <v>18571</v>
      </c>
      <c r="C8386" s="10">
        <v>46029.0</v>
      </c>
      <c r="D8386" s="6" t="s">
        <v>391</v>
      </c>
      <c r="E8386" s="6" t="s">
        <v>1035</v>
      </c>
      <c r="F8386" s="6" t="s">
        <v>112</v>
      </c>
      <c r="G8386" s="6" t="s">
        <v>494</v>
      </c>
      <c r="H8386" s="10">
        <v>46033.0</v>
      </c>
      <c r="I8386" s="12">
        <v>10.0</v>
      </c>
      <c r="J8386" s="6" t="s">
        <v>161</v>
      </c>
    </row>
    <row r="8387" ht="22.5" customHeight="1">
      <c r="A8387" s="6" t="s">
        <v>25195</v>
      </c>
      <c r="B8387" s="6" t="s">
        <v>18571</v>
      </c>
      <c r="C8387" s="10">
        <v>46033.0</v>
      </c>
      <c r="D8387" s="6" t="s">
        <v>416</v>
      </c>
      <c r="E8387" s="6" t="s">
        <v>466</v>
      </c>
      <c r="F8387" s="6" t="s">
        <v>283</v>
      </c>
      <c r="G8387" s="6" t="s">
        <v>452</v>
      </c>
      <c r="H8387" s="10">
        <v>46034.0</v>
      </c>
      <c r="I8387" s="12">
        <v>13.0</v>
      </c>
      <c r="J8387" s="6" t="s">
        <v>161</v>
      </c>
    </row>
    <row r="8388" ht="22.5" customHeight="1">
      <c r="A8388" s="6" t="s">
        <v>25196</v>
      </c>
      <c r="B8388" s="6" t="s">
        <v>18571</v>
      </c>
      <c r="C8388" s="10">
        <v>46044.0</v>
      </c>
      <c r="D8388" s="6" t="s">
        <v>289</v>
      </c>
      <c r="E8388" s="6" t="s">
        <v>628</v>
      </c>
      <c r="F8388" s="6" t="s">
        <v>439</v>
      </c>
      <c r="G8388" s="6" t="s">
        <v>452</v>
      </c>
      <c r="H8388" s="10">
        <v>46045.0</v>
      </c>
      <c r="I8388" s="12">
        <v>7.0</v>
      </c>
      <c r="J8388" s="6" t="s">
        <v>161</v>
      </c>
    </row>
    <row r="8389" ht="22.5" customHeight="1">
      <c r="A8389" s="6" t="s">
        <v>25197</v>
      </c>
      <c r="B8389" s="6" t="s">
        <v>18577</v>
      </c>
      <c r="C8389" s="10">
        <v>46078.0</v>
      </c>
      <c r="D8389" s="6" t="s">
        <v>416</v>
      </c>
      <c r="E8389" s="6" t="s">
        <v>365</v>
      </c>
      <c r="F8389" s="6" t="s">
        <v>283</v>
      </c>
      <c r="G8389" s="6" t="s">
        <v>458</v>
      </c>
      <c r="H8389" s="10">
        <v>46084.0</v>
      </c>
      <c r="I8389" s="12">
        <v>9.0</v>
      </c>
      <c r="J8389" s="6" t="s">
        <v>161</v>
      </c>
    </row>
    <row r="8390" ht="22.5" customHeight="1">
      <c r="A8390" s="6" t="s">
        <v>25198</v>
      </c>
      <c r="B8390" s="6" t="s">
        <v>18577</v>
      </c>
      <c r="C8390" s="10">
        <v>46082.0</v>
      </c>
      <c r="D8390" s="6" t="s">
        <v>677</v>
      </c>
      <c r="E8390" s="6" t="s">
        <v>583</v>
      </c>
      <c r="F8390" s="6" t="s">
        <v>112</v>
      </c>
      <c r="G8390" s="6" t="s">
        <v>477</v>
      </c>
      <c r="H8390" s="10">
        <v>46086.0</v>
      </c>
      <c r="I8390" s="12">
        <v>3.0</v>
      </c>
      <c r="J8390" s="6" t="s">
        <v>161</v>
      </c>
    </row>
    <row r="8391" ht="22.5" customHeight="1">
      <c r="A8391" s="6" t="s">
        <v>25199</v>
      </c>
      <c r="B8391" s="6" t="s">
        <v>18577</v>
      </c>
      <c r="C8391" s="10">
        <v>46085.0</v>
      </c>
      <c r="D8391" s="6" t="s">
        <v>312</v>
      </c>
      <c r="E8391" s="6" t="s">
        <v>394</v>
      </c>
      <c r="F8391" s="6" t="s">
        <v>112</v>
      </c>
      <c r="G8391" s="6" t="s">
        <v>477</v>
      </c>
      <c r="H8391" s="10">
        <v>46085.0</v>
      </c>
      <c r="I8391" s="12">
        <v>5.0</v>
      </c>
      <c r="J8391" s="6" t="s">
        <v>161</v>
      </c>
    </row>
    <row r="8392" ht="22.5" customHeight="1">
      <c r="A8392" s="6" t="s">
        <v>25200</v>
      </c>
      <c r="B8392" s="6" t="s">
        <v>18577</v>
      </c>
      <c r="C8392" s="10">
        <v>46081.0</v>
      </c>
      <c r="D8392" s="6" t="s">
        <v>242</v>
      </c>
      <c r="E8392" s="6" t="s">
        <v>955</v>
      </c>
      <c r="F8392" s="6" t="s">
        <v>112</v>
      </c>
      <c r="G8392" s="6" t="s">
        <v>326</v>
      </c>
      <c r="H8392" s="10">
        <v>46088.0</v>
      </c>
      <c r="I8392" s="12">
        <v>5.0</v>
      </c>
      <c r="J8392" s="6" t="s">
        <v>178</v>
      </c>
    </row>
    <row r="8393" ht="22.5" customHeight="1">
      <c r="A8393" s="6" t="s">
        <v>25201</v>
      </c>
      <c r="B8393" s="6" t="s">
        <v>18583</v>
      </c>
      <c r="C8393" s="10">
        <v>46058.0</v>
      </c>
      <c r="D8393" s="6" t="s">
        <v>416</v>
      </c>
      <c r="E8393" s="6" t="s">
        <v>1570</v>
      </c>
      <c r="F8393" s="6" t="s">
        <v>283</v>
      </c>
      <c r="G8393" s="6" t="s">
        <v>326</v>
      </c>
      <c r="H8393" s="10">
        <v>46064.0</v>
      </c>
      <c r="I8393" s="12">
        <v>8.0</v>
      </c>
      <c r="J8393" s="6" t="s">
        <v>161</v>
      </c>
    </row>
    <row r="8394" ht="22.5" customHeight="1">
      <c r="A8394" s="6" t="s">
        <v>25202</v>
      </c>
      <c r="B8394" s="6" t="s">
        <v>18589</v>
      </c>
      <c r="C8394" s="10">
        <v>46072.0</v>
      </c>
      <c r="D8394" s="6" t="s">
        <v>416</v>
      </c>
      <c r="E8394" s="6" t="s">
        <v>798</v>
      </c>
      <c r="F8394" s="6" t="s">
        <v>249</v>
      </c>
      <c r="G8394" s="6" t="s">
        <v>369</v>
      </c>
      <c r="H8394" s="10">
        <v>46078.0</v>
      </c>
      <c r="I8394" s="12">
        <v>12.0</v>
      </c>
      <c r="J8394" s="6" t="s">
        <v>161</v>
      </c>
    </row>
    <row r="8395" ht="22.5" customHeight="1">
      <c r="A8395" s="6" t="s">
        <v>25203</v>
      </c>
      <c r="B8395" s="6" t="s">
        <v>18589</v>
      </c>
      <c r="C8395" s="10">
        <v>46064.0</v>
      </c>
      <c r="D8395" s="6" t="s">
        <v>289</v>
      </c>
      <c r="E8395" s="6" t="s">
        <v>885</v>
      </c>
      <c r="F8395" s="6" t="s">
        <v>112</v>
      </c>
      <c r="G8395" s="6" t="s">
        <v>452</v>
      </c>
      <c r="H8395" s="10">
        <v>46068.0</v>
      </c>
      <c r="I8395" s="12">
        <v>9.0</v>
      </c>
      <c r="J8395" s="6" t="s">
        <v>161</v>
      </c>
    </row>
    <row r="8396" ht="22.5" customHeight="1">
      <c r="A8396" s="6" t="s">
        <v>25204</v>
      </c>
      <c r="B8396" s="6" t="s">
        <v>18589</v>
      </c>
      <c r="C8396" s="10">
        <v>46064.0</v>
      </c>
      <c r="D8396" s="6" t="s">
        <v>416</v>
      </c>
      <c r="E8396" s="6" t="s">
        <v>731</v>
      </c>
      <c r="F8396" s="6" t="s">
        <v>249</v>
      </c>
      <c r="G8396" s="6" t="s">
        <v>458</v>
      </c>
      <c r="H8396" s="10">
        <v>46064.0</v>
      </c>
      <c r="I8396" s="12">
        <v>13.0</v>
      </c>
      <c r="J8396" s="6" t="s">
        <v>161</v>
      </c>
    </row>
    <row r="8397" ht="22.5" customHeight="1">
      <c r="A8397" s="6" t="s">
        <v>25205</v>
      </c>
      <c r="B8397" s="6" t="s">
        <v>18595</v>
      </c>
      <c r="C8397" s="10">
        <v>46028.0</v>
      </c>
      <c r="D8397" s="6" t="s">
        <v>416</v>
      </c>
      <c r="E8397" s="6" t="s">
        <v>610</v>
      </c>
      <c r="F8397" s="6" t="s">
        <v>439</v>
      </c>
      <c r="G8397" s="6" t="s">
        <v>254</v>
      </c>
      <c r="H8397" s="10">
        <v>46033.0</v>
      </c>
      <c r="I8397" s="12">
        <v>14.0</v>
      </c>
      <c r="J8397" s="6" t="s">
        <v>161</v>
      </c>
    </row>
    <row r="8398" ht="22.5" customHeight="1">
      <c r="A8398" s="6" t="s">
        <v>25206</v>
      </c>
      <c r="B8398" s="6" t="s">
        <v>18595</v>
      </c>
      <c r="C8398" s="10">
        <v>46029.0</v>
      </c>
      <c r="D8398" s="6" t="s">
        <v>289</v>
      </c>
      <c r="E8398" s="6" t="s">
        <v>583</v>
      </c>
      <c r="F8398" s="6" t="s">
        <v>283</v>
      </c>
      <c r="G8398" s="6" t="s">
        <v>458</v>
      </c>
      <c r="H8398" s="10">
        <v>46036.0</v>
      </c>
      <c r="I8398" s="12">
        <v>7.0</v>
      </c>
      <c r="J8398" s="6" t="s">
        <v>161</v>
      </c>
    </row>
    <row r="8399" ht="22.5" customHeight="1">
      <c r="A8399" s="6" t="s">
        <v>25207</v>
      </c>
      <c r="B8399" s="6" t="s">
        <v>18601</v>
      </c>
      <c r="C8399" s="10">
        <v>46068.0</v>
      </c>
      <c r="D8399" s="6" t="s">
        <v>391</v>
      </c>
      <c r="E8399" s="6" t="s">
        <v>394</v>
      </c>
      <c r="F8399" s="6" t="s">
        <v>439</v>
      </c>
      <c r="G8399" s="6" t="s">
        <v>369</v>
      </c>
      <c r="H8399" s="10">
        <v>46071.0</v>
      </c>
      <c r="I8399" s="12">
        <v>11.0</v>
      </c>
      <c r="J8399" s="6" t="s">
        <v>161</v>
      </c>
    </row>
    <row r="8400" ht="22.5" customHeight="1">
      <c r="A8400" s="6" t="s">
        <v>25208</v>
      </c>
      <c r="B8400" s="6" t="s">
        <v>18601</v>
      </c>
      <c r="C8400" s="10">
        <v>46086.0</v>
      </c>
      <c r="D8400" s="6" t="s">
        <v>436</v>
      </c>
      <c r="E8400" s="6" t="s">
        <v>896</v>
      </c>
      <c r="F8400" s="6" t="s">
        <v>249</v>
      </c>
      <c r="G8400" s="6" t="s">
        <v>369</v>
      </c>
      <c r="H8400" s="10">
        <v>46086.0</v>
      </c>
      <c r="I8400" s="12">
        <v>12.0</v>
      </c>
      <c r="J8400" s="6" t="s">
        <v>161</v>
      </c>
    </row>
    <row r="8401" ht="22.5" customHeight="1">
      <c r="A8401" s="6" t="s">
        <v>25209</v>
      </c>
      <c r="B8401" s="6" t="s">
        <v>18607</v>
      </c>
      <c r="C8401" s="10">
        <v>46080.0</v>
      </c>
      <c r="D8401" s="6" t="s">
        <v>677</v>
      </c>
      <c r="E8401" s="6" t="s">
        <v>775</v>
      </c>
      <c r="F8401" s="6" t="s">
        <v>249</v>
      </c>
      <c r="G8401" s="6" t="s">
        <v>458</v>
      </c>
      <c r="H8401" s="10">
        <v>46083.0</v>
      </c>
      <c r="I8401" s="12">
        <v>3.0</v>
      </c>
      <c r="J8401" s="6" t="s">
        <v>161</v>
      </c>
    </row>
    <row r="8402" ht="22.5" customHeight="1">
      <c r="A8402" s="6" t="s">
        <v>25210</v>
      </c>
      <c r="B8402" s="6" t="s">
        <v>18607</v>
      </c>
      <c r="C8402" s="10">
        <v>46077.0</v>
      </c>
      <c r="D8402" s="6" t="s">
        <v>436</v>
      </c>
      <c r="E8402" s="6" t="s">
        <v>863</v>
      </c>
      <c r="F8402" s="6" t="s">
        <v>283</v>
      </c>
      <c r="G8402" s="6" t="s">
        <v>326</v>
      </c>
      <c r="H8402" s="11" t="s">
        <v>259</v>
      </c>
      <c r="I8402" s="12">
        <v>7.0</v>
      </c>
      <c r="J8402" s="6" t="s">
        <v>178</v>
      </c>
    </row>
    <row r="8403" ht="22.5" customHeight="1">
      <c r="A8403" s="6" t="s">
        <v>25211</v>
      </c>
      <c r="B8403" s="6" t="s">
        <v>18613</v>
      </c>
      <c r="C8403" s="10">
        <v>46032.0</v>
      </c>
      <c r="D8403" s="6" t="s">
        <v>416</v>
      </c>
      <c r="E8403" s="6" t="s">
        <v>1386</v>
      </c>
      <c r="F8403" s="6" t="s">
        <v>283</v>
      </c>
      <c r="G8403" s="6" t="s">
        <v>297</v>
      </c>
      <c r="H8403" s="10">
        <v>46034.0</v>
      </c>
      <c r="I8403" s="12">
        <v>10.0</v>
      </c>
      <c r="J8403" s="6" t="s">
        <v>161</v>
      </c>
    </row>
    <row r="8404" ht="22.5" customHeight="1">
      <c r="A8404" s="6" t="s">
        <v>25212</v>
      </c>
      <c r="B8404" s="6" t="s">
        <v>18613</v>
      </c>
      <c r="C8404" s="10">
        <v>46040.0</v>
      </c>
      <c r="D8404" s="6" t="s">
        <v>416</v>
      </c>
      <c r="E8404" s="6" t="s">
        <v>704</v>
      </c>
      <c r="F8404" s="6" t="s">
        <v>439</v>
      </c>
      <c r="G8404" s="6" t="s">
        <v>452</v>
      </c>
      <c r="H8404" s="10">
        <v>46047.0</v>
      </c>
      <c r="I8404" s="12">
        <v>8.0</v>
      </c>
      <c r="J8404" s="6" t="s">
        <v>161</v>
      </c>
    </row>
    <row r="8405" ht="22.5" customHeight="1">
      <c r="A8405" s="6" t="s">
        <v>25213</v>
      </c>
      <c r="B8405" s="6" t="s">
        <v>18620</v>
      </c>
      <c r="C8405" s="10">
        <v>46060.0</v>
      </c>
      <c r="D8405" s="6" t="s">
        <v>242</v>
      </c>
      <c r="E8405" s="6" t="s">
        <v>1035</v>
      </c>
      <c r="F8405" s="6" t="s">
        <v>439</v>
      </c>
      <c r="G8405" s="6" t="s">
        <v>477</v>
      </c>
      <c r="H8405" s="10">
        <v>46060.0</v>
      </c>
      <c r="I8405" s="12">
        <v>5.0</v>
      </c>
      <c r="J8405" s="6" t="s">
        <v>161</v>
      </c>
    </row>
    <row r="8406" ht="22.5" customHeight="1">
      <c r="A8406" s="6" t="s">
        <v>25214</v>
      </c>
      <c r="B8406" s="6" t="s">
        <v>18620</v>
      </c>
      <c r="C8406" s="10">
        <v>46046.0</v>
      </c>
      <c r="D8406" s="6" t="s">
        <v>289</v>
      </c>
      <c r="E8406" s="6" t="s">
        <v>1070</v>
      </c>
      <c r="F8406" s="6" t="s">
        <v>249</v>
      </c>
      <c r="G8406" s="6" t="s">
        <v>254</v>
      </c>
      <c r="H8406" s="10">
        <v>46050.0</v>
      </c>
      <c r="I8406" s="12">
        <v>9.0</v>
      </c>
      <c r="J8406" s="6" t="s">
        <v>161</v>
      </c>
    </row>
    <row r="8407" ht="22.5" customHeight="1">
      <c r="A8407" s="6" t="s">
        <v>25215</v>
      </c>
      <c r="B8407" s="6" t="s">
        <v>18620</v>
      </c>
      <c r="C8407" s="10">
        <v>46058.0</v>
      </c>
      <c r="D8407" s="6" t="s">
        <v>312</v>
      </c>
      <c r="E8407" s="6" t="s">
        <v>475</v>
      </c>
      <c r="F8407" s="6" t="s">
        <v>283</v>
      </c>
      <c r="G8407" s="6" t="s">
        <v>254</v>
      </c>
      <c r="H8407" s="10">
        <v>46061.0</v>
      </c>
      <c r="I8407" s="12">
        <v>4.0</v>
      </c>
      <c r="J8407" s="6" t="s">
        <v>161</v>
      </c>
    </row>
    <row r="8408" ht="22.5" customHeight="1">
      <c r="A8408" s="6" t="s">
        <v>25216</v>
      </c>
      <c r="B8408" s="6" t="s">
        <v>18625</v>
      </c>
      <c r="C8408" s="10">
        <v>46071.0</v>
      </c>
      <c r="D8408" s="6" t="s">
        <v>289</v>
      </c>
      <c r="E8408" s="6" t="s">
        <v>1241</v>
      </c>
      <c r="F8408" s="6" t="s">
        <v>249</v>
      </c>
      <c r="G8408" s="6" t="s">
        <v>477</v>
      </c>
      <c r="H8408" s="10">
        <v>46074.0</v>
      </c>
      <c r="I8408" s="12">
        <v>10.0</v>
      </c>
      <c r="J8408" s="6" t="s">
        <v>161</v>
      </c>
    </row>
    <row r="8409" ht="22.5" customHeight="1">
      <c r="A8409" s="6" t="s">
        <v>25217</v>
      </c>
      <c r="B8409" s="6" t="s">
        <v>18625</v>
      </c>
      <c r="C8409" s="10">
        <v>46075.0</v>
      </c>
      <c r="D8409" s="6" t="s">
        <v>312</v>
      </c>
      <c r="E8409" s="6" t="s">
        <v>687</v>
      </c>
      <c r="F8409" s="6" t="s">
        <v>249</v>
      </c>
      <c r="G8409" s="6" t="s">
        <v>458</v>
      </c>
      <c r="H8409" s="10">
        <v>46081.0</v>
      </c>
      <c r="I8409" s="12">
        <v>4.0</v>
      </c>
      <c r="J8409" s="6" t="s">
        <v>161</v>
      </c>
    </row>
    <row r="8410" ht="22.5" customHeight="1">
      <c r="A8410" s="6" t="s">
        <v>25218</v>
      </c>
      <c r="B8410" s="6" t="s">
        <v>18630</v>
      </c>
      <c r="C8410" s="10">
        <v>46060.0</v>
      </c>
      <c r="D8410" s="6" t="s">
        <v>289</v>
      </c>
      <c r="E8410" s="6" t="s">
        <v>1720</v>
      </c>
      <c r="F8410" s="6" t="s">
        <v>112</v>
      </c>
      <c r="G8410" s="6" t="s">
        <v>458</v>
      </c>
      <c r="H8410" s="11" t="s">
        <v>259</v>
      </c>
      <c r="I8410" s="12">
        <v>10.0</v>
      </c>
      <c r="J8410" s="6" t="s">
        <v>161</v>
      </c>
    </row>
    <row r="8411" ht="22.5" customHeight="1">
      <c r="A8411" s="6" t="s">
        <v>25219</v>
      </c>
      <c r="B8411" s="6" t="s">
        <v>18630</v>
      </c>
      <c r="C8411" s="10">
        <v>46057.0</v>
      </c>
      <c r="D8411" s="6" t="s">
        <v>677</v>
      </c>
      <c r="E8411" s="6" t="s">
        <v>466</v>
      </c>
      <c r="F8411" s="6" t="s">
        <v>112</v>
      </c>
      <c r="G8411" s="6" t="s">
        <v>452</v>
      </c>
      <c r="H8411" s="10">
        <v>46058.0</v>
      </c>
      <c r="I8411" s="12">
        <v>2.0</v>
      </c>
      <c r="J8411" s="6" t="s">
        <v>161</v>
      </c>
    </row>
    <row r="8412" ht="22.5" customHeight="1">
      <c r="A8412" s="6" t="s">
        <v>25220</v>
      </c>
      <c r="B8412" s="6" t="s">
        <v>18630</v>
      </c>
      <c r="C8412" s="10">
        <v>46048.0</v>
      </c>
      <c r="D8412" s="6" t="s">
        <v>312</v>
      </c>
      <c r="E8412" s="6" t="s">
        <v>2881</v>
      </c>
      <c r="F8412" s="6" t="s">
        <v>249</v>
      </c>
      <c r="G8412" s="6" t="s">
        <v>494</v>
      </c>
      <c r="H8412" s="10">
        <v>46053.0</v>
      </c>
      <c r="I8412" s="12">
        <v>7.0</v>
      </c>
      <c r="J8412" s="6" t="s">
        <v>161</v>
      </c>
    </row>
    <row r="8413" ht="22.5" customHeight="1">
      <c r="A8413" s="6" t="s">
        <v>25221</v>
      </c>
      <c r="B8413" s="6" t="s">
        <v>18630</v>
      </c>
      <c r="C8413" s="10">
        <v>46050.0</v>
      </c>
      <c r="D8413" s="6" t="s">
        <v>436</v>
      </c>
      <c r="E8413" s="6" t="s">
        <v>1600</v>
      </c>
      <c r="F8413" s="6" t="s">
        <v>249</v>
      </c>
      <c r="G8413" s="6" t="s">
        <v>326</v>
      </c>
      <c r="H8413" s="10">
        <v>46054.0</v>
      </c>
      <c r="I8413" s="12">
        <v>6.0</v>
      </c>
      <c r="J8413" s="6" t="s">
        <v>178</v>
      </c>
    </row>
    <row r="8414" ht="22.5" customHeight="1">
      <c r="A8414" s="6" t="s">
        <v>25222</v>
      </c>
      <c r="B8414" s="6" t="s">
        <v>18636</v>
      </c>
      <c r="C8414" s="10">
        <v>46043.0</v>
      </c>
      <c r="D8414" s="6" t="s">
        <v>391</v>
      </c>
      <c r="E8414" s="6" t="s">
        <v>1035</v>
      </c>
      <c r="F8414" s="6" t="s">
        <v>112</v>
      </c>
      <c r="G8414" s="6" t="s">
        <v>326</v>
      </c>
      <c r="H8414" s="11" t="s">
        <v>259</v>
      </c>
      <c r="I8414" s="12">
        <v>11.0</v>
      </c>
      <c r="J8414" s="6" t="s">
        <v>161</v>
      </c>
    </row>
    <row r="8415" ht="22.5" customHeight="1">
      <c r="A8415" s="6" t="s">
        <v>25223</v>
      </c>
      <c r="B8415" s="6" t="s">
        <v>18636</v>
      </c>
      <c r="C8415" s="10">
        <v>46030.0</v>
      </c>
      <c r="D8415" s="6" t="s">
        <v>416</v>
      </c>
      <c r="E8415" s="6" t="s">
        <v>695</v>
      </c>
      <c r="F8415" s="6" t="s">
        <v>283</v>
      </c>
      <c r="G8415" s="6" t="s">
        <v>254</v>
      </c>
      <c r="H8415" s="10">
        <v>46033.0</v>
      </c>
      <c r="I8415" s="12">
        <v>9.0</v>
      </c>
      <c r="J8415" s="6" t="s">
        <v>161</v>
      </c>
    </row>
    <row r="8416" ht="22.5" customHeight="1">
      <c r="A8416" s="6" t="s">
        <v>25224</v>
      </c>
      <c r="B8416" s="6" t="s">
        <v>18636</v>
      </c>
      <c r="C8416" s="10">
        <v>46039.0</v>
      </c>
      <c r="D8416" s="6" t="s">
        <v>312</v>
      </c>
      <c r="E8416" s="6" t="s">
        <v>1552</v>
      </c>
      <c r="F8416" s="6" t="s">
        <v>249</v>
      </c>
      <c r="G8416" s="6" t="s">
        <v>326</v>
      </c>
      <c r="H8416" s="10">
        <v>46044.0</v>
      </c>
      <c r="I8416" s="12">
        <v>4.0</v>
      </c>
      <c r="J8416" s="6" t="s">
        <v>161</v>
      </c>
    </row>
    <row r="8417" ht="22.5" customHeight="1">
      <c r="A8417" s="6" t="s">
        <v>25225</v>
      </c>
      <c r="B8417" s="6" t="s">
        <v>18642</v>
      </c>
      <c r="C8417" s="10">
        <v>46061.0</v>
      </c>
      <c r="D8417" s="6" t="s">
        <v>436</v>
      </c>
      <c r="E8417" s="6" t="s">
        <v>731</v>
      </c>
      <c r="F8417" s="6" t="s">
        <v>439</v>
      </c>
      <c r="G8417" s="6" t="s">
        <v>477</v>
      </c>
      <c r="H8417" s="10">
        <v>46065.0</v>
      </c>
      <c r="I8417" s="12">
        <v>7.0</v>
      </c>
      <c r="J8417" s="6" t="s">
        <v>161</v>
      </c>
    </row>
    <row r="8418" ht="22.5" customHeight="1">
      <c r="A8418" s="6" t="s">
        <v>25226</v>
      </c>
      <c r="B8418" s="6" t="s">
        <v>18642</v>
      </c>
      <c r="C8418" s="10">
        <v>46070.0</v>
      </c>
      <c r="D8418" s="6" t="s">
        <v>312</v>
      </c>
      <c r="E8418" s="6" t="s">
        <v>1055</v>
      </c>
      <c r="F8418" s="6" t="s">
        <v>283</v>
      </c>
      <c r="G8418" s="6" t="s">
        <v>254</v>
      </c>
      <c r="H8418" s="11" t="s">
        <v>259</v>
      </c>
      <c r="I8418" s="12">
        <v>4.0</v>
      </c>
      <c r="J8418" s="6" t="s">
        <v>161</v>
      </c>
    </row>
    <row r="8419" ht="22.5" customHeight="1">
      <c r="A8419" s="6" t="s">
        <v>25227</v>
      </c>
      <c r="B8419" s="6" t="s">
        <v>18642</v>
      </c>
      <c r="C8419" s="10">
        <v>46068.0</v>
      </c>
      <c r="D8419" s="6" t="s">
        <v>391</v>
      </c>
      <c r="E8419" s="6" t="s">
        <v>634</v>
      </c>
      <c r="F8419" s="6" t="s">
        <v>283</v>
      </c>
      <c r="G8419" s="6" t="s">
        <v>297</v>
      </c>
      <c r="H8419" s="10">
        <v>46075.0</v>
      </c>
      <c r="I8419" s="12">
        <v>10.0</v>
      </c>
      <c r="J8419" s="6" t="s">
        <v>161</v>
      </c>
    </row>
    <row r="8420" ht="22.5" customHeight="1">
      <c r="A8420" s="6" t="s">
        <v>25228</v>
      </c>
      <c r="B8420" s="6" t="s">
        <v>18642</v>
      </c>
      <c r="C8420" s="10">
        <v>46068.0</v>
      </c>
      <c r="D8420" s="6" t="s">
        <v>677</v>
      </c>
      <c r="E8420" s="6" t="s">
        <v>1122</v>
      </c>
      <c r="F8420" s="6" t="s">
        <v>112</v>
      </c>
      <c r="G8420" s="6" t="s">
        <v>494</v>
      </c>
      <c r="H8420" s="10">
        <v>46071.0</v>
      </c>
      <c r="I8420" s="12">
        <v>4.0</v>
      </c>
      <c r="J8420" s="6" t="s">
        <v>161</v>
      </c>
    </row>
    <row r="8421" ht="22.5" customHeight="1">
      <c r="A8421" s="6" t="s">
        <v>25229</v>
      </c>
      <c r="B8421" s="6" t="s">
        <v>18647</v>
      </c>
      <c r="C8421" s="10">
        <v>46087.0</v>
      </c>
      <c r="D8421" s="6" t="s">
        <v>416</v>
      </c>
      <c r="E8421" s="6" t="s">
        <v>1386</v>
      </c>
      <c r="F8421" s="6" t="s">
        <v>112</v>
      </c>
      <c r="G8421" s="6" t="s">
        <v>458</v>
      </c>
      <c r="H8421" s="10">
        <v>46092.0</v>
      </c>
      <c r="I8421" s="12">
        <v>13.0</v>
      </c>
      <c r="J8421" s="6" t="s">
        <v>161</v>
      </c>
    </row>
    <row r="8422" ht="22.5" customHeight="1">
      <c r="A8422" s="6" t="s">
        <v>25230</v>
      </c>
      <c r="B8422" s="6" t="s">
        <v>18647</v>
      </c>
      <c r="C8422" s="10">
        <v>46084.0</v>
      </c>
      <c r="D8422" s="6" t="s">
        <v>242</v>
      </c>
      <c r="E8422" s="6" t="s">
        <v>1296</v>
      </c>
      <c r="F8422" s="6" t="s">
        <v>439</v>
      </c>
      <c r="G8422" s="6" t="s">
        <v>254</v>
      </c>
      <c r="H8422" s="10">
        <v>46089.0</v>
      </c>
      <c r="I8422" s="12">
        <v>4.0</v>
      </c>
      <c r="J8422" s="6" t="s">
        <v>178</v>
      </c>
    </row>
    <row r="8423" ht="22.5" customHeight="1">
      <c r="A8423" s="6" t="s">
        <v>25231</v>
      </c>
      <c r="B8423" s="6" t="s">
        <v>18647</v>
      </c>
      <c r="C8423" s="10">
        <v>46082.0</v>
      </c>
      <c r="D8423" s="6" t="s">
        <v>242</v>
      </c>
      <c r="E8423" s="6" t="s">
        <v>1280</v>
      </c>
      <c r="F8423" s="6" t="s">
        <v>249</v>
      </c>
      <c r="G8423" s="6" t="s">
        <v>369</v>
      </c>
      <c r="H8423" s="10">
        <v>46084.0</v>
      </c>
      <c r="I8423" s="12">
        <v>5.0</v>
      </c>
      <c r="J8423" s="6" t="s">
        <v>178</v>
      </c>
    </row>
    <row r="8424" ht="22.5" customHeight="1">
      <c r="A8424" s="6" t="s">
        <v>25232</v>
      </c>
      <c r="B8424" s="6" t="s">
        <v>18647</v>
      </c>
      <c r="C8424" s="10">
        <v>46081.0</v>
      </c>
      <c r="D8424" s="6" t="s">
        <v>677</v>
      </c>
      <c r="E8424" s="6" t="s">
        <v>787</v>
      </c>
      <c r="F8424" s="6" t="s">
        <v>112</v>
      </c>
      <c r="G8424" s="6" t="s">
        <v>452</v>
      </c>
      <c r="H8424" s="11" t="s">
        <v>259</v>
      </c>
      <c r="I8424" s="12">
        <v>3.0</v>
      </c>
      <c r="J8424" s="6" t="s">
        <v>161</v>
      </c>
    </row>
    <row r="8425" ht="22.5" customHeight="1">
      <c r="A8425" s="6" t="s">
        <v>25233</v>
      </c>
      <c r="B8425" s="6" t="s">
        <v>18647</v>
      </c>
      <c r="C8425" s="10">
        <v>46084.0</v>
      </c>
      <c r="D8425" s="6" t="s">
        <v>416</v>
      </c>
      <c r="E8425" s="6" t="s">
        <v>1280</v>
      </c>
      <c r="F8425" s="6" t="s">
        <v>249</v>
      </c>
      <c r="G8425" s="6" t="s">
        <v>326</v>
      </c>
      <c r="H8425" s="10">
        <v>46084.0</v>
      </c>
      <c r="I8425" s="12">
        <v>9.0</v>
      </c>
      <c r="J8425" s="6" t="s">
        <v>161</v>
      </c>
    </row>
    <row r="8426" ht="22.5" customHeight="1">
      <c r="A8426" s="6" t="s">
        <v>25234</v>
      </c>
      <c r="B8426" s="6" t="s">
        <v>18653</v>
      </c>
      <c r="C8426" s="10">
        <v>46035.0</v>
      </c>
      <c r="D8426" s="6" t="s">
        <v>312</v>
      </c>
      <c r="E8426" s="6" t="s">
        <v>628</v>
      </c>
      <c r="F8426" s="6" t="s">
        <v>283</v>
      </c>
      <c r="G8426" s="6" t="s">
        <v>452</v>
      </c>
      <c r="H8426" s="11" t="s">
        <v>259</v>
      </c>
      <c r="I8426" s="12">
        <v>4.0</v>
      </c>
      <c r="J8426" s="6" t="s">
        <v>161</v>
      </c>
    </row>
    <row r="8427" ht="22.5" customHeight="1">
      <c r="A8427" s="6" t="s">
        <v>25235</v>
      </c>
      <c r="B8427" s="6" t="s">
        <v>18660</v>
      </c>
      <c r="C8427" s="10">
        <v>46063.0</v>
      </c>
      <c r="D8427" s="6" t="s">
        <v>436</v>
      </c>
      <c r="E8427" s="6" t="s">
        <v>583</v>
      </c>
      <c r="F8427" s="6" t="s">
        <v>249</v>
      </c>
      <c r="G8427" s="6" t="s">
        <v>477</v>
      </c>
      <c r="H8427" s="10">
        <v>46068.0</v>
      </c>
      <c r="I8427" s="12">
        <v>9.0</v>
      </c>
      <c r="J8427" s="6" t="s">
        <v>178</v>
      </c>
    </row>
    <row r="8428" ht="22.5" customHeight="1">
      <c r="A8428" s="6" t="s">
        <v>25236</v>
      </c>
      <c r="B8428" s="6" t="s">
        <v>18660</v>
      </c>
      <c r="C8428" s="10">
        <v>46052.0</v>
      </c>
      <c r="D8428" s="6" t="s">
        <v>391</v>
      </c>
      <c r="E8428" s="6" t="s">
        <v>475</v>
      </c>
      <c r="F8428" s="6" t="s">
        <v>249</v>
      </c>
      <c r="G8428" s="6" t="s">
        <v>369</v>
      </c>
      <c r="H8428" s="10">
        <v>46059.0</v>
      </c>
      <c r="I8428" s="12">
        <v>6.0</v>
      </c>
      <c r="J8428" s="6" t="s">
        <v>161</v>
      </c>
    </row>
    <row r="8429" ht="22.5" customHeight="1">
      <c r="A8429" s="6" t="s">
        <v>25237</v>
      </c>
      <c r="B8429" s="6" t="s">
        <v>18665</v>
      </c>
      <c r="C8429" s="10">
        <v>46080.0</v>
      </c>
      <c r="D8429" s="6" t="s">
        <v>391</v>
      </c>
      <c r="E8429" s="6" t="s">
        <v>1296</v>
      </c>
      <c r="F8429" s="6" t="s">
        <v>249</v>
      </c>
      <c r="G8429" s="6" t="s">
        <v>477</v>
      </c>
      <c r="H8429" s="10">
        <v>46086.0</v>
      </c>
      <c r="I8429" s="12">
        <v>9.0</v>
      </c>
      <c r="J8429" s="6" t="s">
        <v>161</v>
      </c>
    </row>
    <row r="8430" ht="22.5" customHeight="1">
      <c r="A8430" s="6" t="s">
        <v>25238</v>
      </c>
      <c r="B8430" s="6" t="s">
        <v>18665</v>
      </c>
      <c r="C8430" s="10">
        <v>46070.0</v>
      </c>
      <c r="D8430" s="6" t="s">
        <v>391</v>
      </c>
      <c r="E8430" s="6" t="s">
        <v>1102</v>
      </c>
      <c r="F8430" s="6" t="s">
        <v>439</v>
      </c>
      <c r="G8430" s="6" t="s">
        <v>477</v>
      </c>
      <c r="H8430" s="10">
        <v>46073.0</v>
      </c>
      <c r="I8430" s="12">
        <v>8.0</v>
      </c>
      <c r="J8430" s="6" t="s">
        <v>161</v>
      </c>
    </row>
    <row r="8431" ht="22.5" customHeight="1">
      <c r="A8431" s="6" t="s">
        <v>25239</v>
      </c>
      <c r="B8431" s="6" t="s">
        <v>18672</v>
      </c>
      <c r="C8431" s="10">
        <v>46048.0</v>
      </c>
      <c r="D8431" s="6" t="s">
        <v>436</v>
      </c>
      <c r="E8431" s="6" t="s">
        <v>1386</v>
      </c>
      <c r="F8431" s="6" t="s">
        <v>112</v>
      </c>
      <c r="G8431" s="6" t="s">
        <v>326</v>
      </c>
      <c r="H8431" s="10">
        <v>46052.0</v>
      </c>
      <c r="I8431" s="12">
        <v>10.0</v>
      </c>
      <c r="J8431" s="6" t="s">
        <v>161</v>
      </c>
    </row>
    <row r="8432" ht="22.5" customHeight="1">
      <c r="A8432" s="6" t="s">
        <v>25240</v>
      </c>
      <c r="B8432" s="6" t="s">
        <v>18672</v>
      </c>
      <c r="C8432" s="10">
        <v>46058.0</v>
      </c>
      <c r="D8432" s="6" t="s">
        <v>312</v>
      </c>
      <c r="E8432" s="6" t="s">
        <v>896</v>
      </c>
      <c r="F8432" s="6" t="s">
        <v>283</v>
      </c>
      <c r="G8432" s="6" t="s">
        <v>458</v>
      </c>
      <c r="H8432" s="10">
        <v>46058.0</v>
      </c>
      <c r="I8432" s="12">
        <v>4.0</v>
      </c>
      <c r="J8432" s="6" t="s">
        <v>161</v>
      </c>
    </row>
    <row r="8433" ht="22.5" customHeight="1">
      <c r="A8433" s="6" t="s">
        <v>25241</v>
      </c>
      <c r="B8433" s="6" t="s">
        <v>18672</v>
      </c>
      <c r="C8433" s="10">
        <v>46066.0</v>
      </c>
      <c r="D8433" s="6" t="s">
        <v>289</v>
      </c>
      <c r="E8433" s="6" t="s">
        <v>812</v>
      </c>
      <c r="F8433" s="6" t="s">
        <v>112</v>
      </c>
      <c r="G8433" s="6" t="s">
        <v>297</v>
      </c>
      <c r="H8433" s="10">
        <v>46066.0</v>
      </c>
      <c r="I8433" s="12">
        <v>10.0</v>
      </c>
      <c r="J8433" s="6" t="s">
        <v>161</v>
      </c>
    </row>
    <row r="8434" ht="22.5" customHeight="1">
      <c r="A8434" s="6" t="s">
        <v>25242</v>
      </c>
      <c r="B8434" s="6" t="s">
        <v>18672</v>
      </c>
      <c r="C8434" s="10">
        <v>46049.0</v>
      </c>
      <c r="D8434" s="6" t="s">
        <v>312</v>
      </c>
      <c r="E8434" s="6" t="s">
        <v>583</v>
      </c>
      <c r="F8434" s="6" t="s">
        <v>112</v>
      </c>
      <c r="G8434" s="6" t="s">
        <v>369</v>
      </c>
      <c r="H8434" s="11" t="s">
        <v>259</v>
      </c>
      <c r="I8434" s="12">
        <v>6.0</v>
      </c>
      <c r="J8434" s="6" t="s">
        <v>161</v>
      </c>
    </row>
    <row r="8435" ht="22.5" customHeight="1">
      <c r="A8435" s="6" t="s">
        <v>25243</v>
      </c>
      <c r="B8435" s="6" t="s">
        <v>18678</v>
      </c>
      <c r="C8435" s="10">
        <v>46053.0</v>
      </c>
      <c r="D8435" s="6" t="s">
        <v>436</v>
      </c>
      <c r="E8435" s="6" t="s">
        <v>798</v>
      </c>
      <c r="F8435" s="6" t="s">
        <v>112</v>
      </c>
      <c r="G8435" s="6" t="s">
        <v>369</v>
      </c>
      <c r="H8435" s="10">
        <v>46053.0</v>
      </c>
      <c r="I8435" s="12">
        <v>6.0</v>
      </c>
      <c r="J8435" s="6" t="s">
        <v>161</v>
      </c>
    </row>
    <row r="8436" ht="22.5" customHeight="1">
      <c r="A8436" s="6" t="s">
        <v>25244</v>
      </c>
      <c r="B8436" s="6" t="s">
        <v>18684</v>
      </c>
      <c r="C8436" s="10">
        <v>46037.0</v>
      </c>
      <c r="D8436" s="6" t="s">
        <v>312</v>
      </c>
      <c r="E8436" s="6" t="s">
        <v>1070</v>
      </c>
      <c r="F8436" s="6" t="s">
        <v>249</v>
      </c>
      <c r="G8436" s="6" t="s">
        <v>458</v>
      </c>
      <c r="H8436" s="10">
        <v>46044.0</v>
      </c>
      <c r="I8436" s="12">
        <v>6.0</v>
      </c>
      <c r="J8436" s="6" t="s">
        <v>161</v>
      </c>
    </row>
    <row r="8437" ht="22.5" customHeight="1">
      <c r="A8437" s="6" t="s">
        <v>25245</v>
      </c>
      <c r="B8437" s="6" t="s">
        <v>18684</v>
      </c>
      <c r="C8437" s="10">
        <v>46044.0</v>
      </c>
      <c r="D8437" s="6" t="s">
        <v>677</v>
      </c>
      <c r="E8437" s="6" t="s">
        <v>704</v>
      </c>
      <c r="F8437" s="6" t="s">
        <v>439</v>
      </c>
      <c r="G8437" s="6" t="s">
        <v>254</v>
      </c>
      <c r="H8437" s="10">
        <v>46045.0</v>
      </c>
      <c r="I8437" s="12">
        <v>3.0</v>
      </c>
      <c r="J8437" s="6" t="s">
        <v>161</v>
      </c>
    </row>
    <row r="8438" ht="22.5" customHeight="1">
      <c r="A8438" s="6" t="s">
        <v>25246</v>
      </c>
      <c r="B8438" s="6" t="s">
        <v>18684</v>
      </c>
      <c r="C8438" s="10">
        <v>46041.0</v>
      </c>
      <c r="D8438" s="6" t="s">
        <v>677</v>
      </c>
      <c r="E8438" s="6" t="s">
        <v>417</v>
      </c>
      <c r="F8438" s="6" t="s">
        <v>439</v>
      </c>
      <c r="G8438" s="6" t="s">
        <v>458</v>
      </c>
      <c r="H8438" s="10">
        <v>46044.0</v>
      </c>
      <c r="I8438" s="12">
        <v>3.0</v>
      </c>
      <c r="J8438" s="6" t="s">
        <v>161</v>
      </c>
    </row>
    <row r="8439" ht="22.5" customHeight="1">
      <c r="A8439" s="6" t="s">
        <v>25247</v>
      </c>
      <c r="B8439" s="6" t="s">
        <v>18684</v>
      </c>
      <c r="C8439" s="10">
        <v>46043.0</v>
      </c>
      <c r="D8439" s="6" t="s">
        <v>242</v>
      </c>
      <c r="E8439" s="6" t="s">
        <v>1700</v>
      </c>
      <c r="F8439" s="6" t="s">
        <v>112</v>
      </c>
      <c r="G8439" s="6" t="s">
        <v>254</v>
      </c>
      <c r="H8439" s="11" t="s">
        <v>259</v>
      </c>
      <c r="I8439" s="12">
        <v>5.0</v>
      </c>
      <c r="J8439" s="6" t="s">
        <v>161</v>
      </c>
    </row>
    <row r="8440" ht="22.5" customHeight="1">
      <c r="A8440" s="6" t="s">
        <v>25248</v>
      </c>
      <c r="B8440" s="6" t="s">
        <v>18684</v>
      </c>
      <c r="C8440" s="10">
        <v>46042.0</v>
      </c>
      <c r="D8440" s="6" t="s">
        <v>677</v>
      </c>
      <c r="E8440" s="6" t="s">
        <v>955</v>
      </c>
      <c r="F8440" s="6" t="s">
        <v>283</v>
      </c>
      <c r="G8440" s="6" t="s">
        <v>297</v>
      </c>
      <c r="H8440" s="10">
        <v>46047.0</v>
      </c>
      <c r="I8440" s="12">
        <v>3.0</v>
      </c>
      <c r="J8440" s="6" t="s">
        <v>161</v>
      </c>
    </row>
    <row r="8441" ht="22.5" customHeight="1">
      <c r="A8441" s="6" t="s">
        <v>25249</v>
      </c>
      <c r="B8441" s="6" t="s">
        <v>18691</v>
      </c>
      <c r="C8441" s="10">
        <v>46049.0</v>
      </c>
      <c r="D8441" s="6" t="s">
        <v>416</v>
      </c>
      <c r="E8441" s="6" t="s">
        <v>583</v>
      </c>
      <c r="F8441" s="6" t="s">
        <v>112</v>
      </c>
      <c r="G8441" s="6" t="s">
        <v>326</v>
      </c>
      <c r="H8441" s="10">
        <v>46053.0</v>
      </c>
      <c r="I8441" s="12">
        <v>14.0</v>
      </c>
      <c r="J8441" s="6" t="s">
        <v>161</v>
      </c>
    </row>
    <row r="8442" ht="22.5" customHeight="1">
      <c r="A8442" s="6" t="s">
        <v>25250</v>
      </c>
      <c r="B8442" s="6" t="s">
        <v>18697</v>
      </c>
      <c r="C8442" s="10">
        <v>46071.0</v>
      </c>
      <c r="D8442" s="6" t="s">
        <v>416</v>
      </c>
      <c r="E8442" s="6" t="s">
        <v>704</v>
      </c>
      <c r="F8442" s="6" t="s">
        <v>249</v>
      </c>
      <c r="G8442" s="6" t="s">
        <v>494</v>
      </c>
      <c r="H8442" s="10">
        <v>46076.0</v>
      </c>
      <c r="I8442" s="12">
        <v>13.0</v>
      </c>
      <c r="J8442" s="6" t="s">
        <v>161</v>
      </c>
    </row>
    <row r="8443" ht="22.5" customHeight="1">
      <c r="A8443" s="6" t="s">
        <v>25251</v>
      </c>
      <c r="B8443" s="6" t="s">
        <v>18697</v>
      </c>
      <c r="C8443" s="10">
        <v>46059.0</v>
      </c>
      <c r="D8443" s="6" t="s">
        <v>391</v>
      </c>
      <c r="E8443" s="6" t="s">
        <v>1552</v>
      </c>
      <c r="F8443" s="6" t="s">
        <v>283</v>
      </c>
      <c r="G8443" s="6" t="s">
        <v>297</v>
      </c>
      <c r="H8443" s="11" t="s">
        <v>259</v>
      </c>
      <c r="I8443" s="12">
        <v>7.0</v>
      </c>
      <c r="J8443" s="6" t="s">
        <v>161</v>
      </c>
    </row>
    <row r="8444" ht="22.5" customHeight="1">
      <c r="A8444" s="6" t="s">
        <v>25252</v>
      </c>
      <c r="B8444" s="6" t="s">
        <v>18697</v>
      </c>
      <c r="C8444" s="10">
        <v>46061.0</v>
      </c>
      <c r="D8444" s="6" t="s">
        <v>242</v>
      </c>
      <c r="E8444" s="6" t="s">
        <v>450</v>
      </c>
      <c r="F8444" s="6" t="s">
        <v>439</v>
      </c>
      <c r="G8444" s="6" t="s">
        <v>297</v>
      </c>
      <c r="H8444" s="10">
        <v>46062.0</v>
      </c>
      <c r="I8444" s="12">
        <v>5.0</v>
      </c>
      <c r="J8444" s="6" t="s">
        <v>178</v>
      </c>
    </row>
    <row r="8445" ht="22.5" customHeight="1">
      <c r="A8445" s="6" t="s">
        <v>25253</v>
      </c>
      <c r="B8445" s="6" t="s">
        <v>18697</v>
      </c>
      <c r="C8445" s="10">
        <v>46060.0</v>
      </c>
      <c r="D8445" s="6" t="s">
        <v>677</v>
      </c>
      <c r="E8445" s="6" t="s">
        <v>716</v>
      </c>
      <c r="F8445" s="6" t="s">
        <v>249</v>
      </c>
      <c r="G8445" s="6" t="s">
        <v>297</v>
      </c>
      <c r="H8445" s="11" t="s">
        <v>259</v>
      </c>
      <c r="I8445" s="12">
        <v>3.0</v>
      </c>
      <c r="J8445" s="6" t="s">
        <v>161</v>
      </c>
    </row>
    <row r="8446" ht="22.5" customHeight="1">
      <c r="A8446" s="6" t="s">
        <v>25254</v>
      </c>
      <c r="B8446" s="6" t="s">
        <v>18704</v>
      </c>
      <c r="C8446" s="10">
        <v>46036.0</v>
      </c>
      <c r="D8446" s="6" t="s">
        <v>289</v>
      </c>
      <c r="E8446" s="6" t="s">
        <v>628</v>
      </c>
      <c r="F8446" s="6" t="s">
        <v>283</v>
      </c>
      <c r="G8446" s="6" t="s">
        <v>452</v>
      </c>
      <c r="H8446" s="10">
        <v>46041.0</v>
      </c>
      <c r="I8446" s="12">
        <v>10.0</v>
      </c>
      <c r="J8446" s="6" t="s">
        <v>161</v>
      </c>
    </row>
    <row r="8447" ht="22.5" customHeight="1">
      <c r="A8447" s="6" t="s">
        <v>25255</v>
      </c>
      <c r="B8447" s="6" t="s">
        <v>18704</v>
      </c>
      <c r="C8447" s="10">
        <v>46047.0</v>
      </c>
      <c r="D8447" s="6" t="s">
        <v>312</v>
      </c>
      <c r="E8447" s="6" t="s">
        <v>863</v>
      </c>
      <c r="F8447" s="6" t="s">
        <v>283</v>
      </c>
      <c r="G8447" s="6" t="s">
        <v>254</v>
      </c>
      <c r="H8447" s="10">
        <v>46047.0</v>
      </c>
      <c r="I8447" s="12">
        <v>4.0</v>
      </c>
      <c r="J8447" s="6" t="s">
        <v>161</v>
      </c>
    </row>
    <row r="8448" ht="22.5" customHeight="1">
      <c r="A8448" s="6" t="s">
        <v>25256</v>
      </c>
      <c r="B8448" s="6" t="s">
        <v>18704</v>
      </c>
      <c r="C8448" s="10">
        <v>46046.0</v>
      </c>
      <c r="D8448" s="6" t="s">
        <v>312</v>
      </c>
      <c r="E8448" s="6" t="s">
        <v>475</v>
      </c>
      <c r="F8448" s="6" t="s">
        <v>283</v>
      </c>
      <c r="G8448" s="6" t="s">
        <v>494</v>
      </c>
      <c r="H8448" s="10">
        <v>46048.0</v>
      </c>
      <c r="I8448" s="12">
        <v>5.0</v>
      </c>
      <c r="J8448" s="6" t="s">
        <v>161</v>
      </c>
    </row>
    <row r="8449" ht="22.5" customHeight="1">
      <c r="A8449" s="6" t="s">
        <v>25257</v>
      </c>
      <c r="B8449" s="6" t="s">
        <v>18704</v>
      </c>
      <c r="C8449" s="10">
        <v>46037.0</v>
      </c>
      <c r="D8449" s="6" t="s">
        <v>416</v>
      </c>
      <c r="E8449" s="6" t="s">
        <v>863</v>
      </c>
      <c r="F8449" s="6" t="s">
        <v>439</v>
      </c>
      <c r="G8449" s="6" t="s">
        <v>477</v>
      </c>
      <c r="H8449" s="10">
        <v>46041.0</v>
      </c>
      <c r="I8449" s="12">
        <v>10.0</v>
      </c>
      <c r="J8449" s="6" t="s">
        <v>161</v>
      </c>
    </row>
    <row r="8450" ht="22.5" customHeight="1">
      <c r="A8450" s="6" t="s">
        <v>25258</v>
      </c>
      <c r="B8450" s="6" t="s">
        <v>18711</v>
      </c>
      <c r="C8450" s="10">
        <v>46045.0</v>
      </c>
      <c r="D8450" s="6" t="s">
        <v>289</v>
      </c>
      <c r="E8450" s="6" t="s">
        <v>1517</v>
      </c>
      <c r="F8450" s="6" t="s">
        <v>112</v>
      </c>
      <c r="G8450" s="6" t="s">
        <v>326</v>
      </c>
      <c r="H8450" s="10">
        <v>46047.0</v>
      </c>
      <c r="I8450" s="12">
        <v>5.0</v>
      </c>
      <c r="J8450" s="6" t="s">
        <v>161</v>
      </c>
    </row>
    <row r="8451" ht="22.5" customHeight="1">
      <c r="A8451" s="6" t="s">
        <v>25259</v>
      </c>
      <c r="B8451" s="6" t="s">
        <v>18711</v>
      </c>
      <c r="C8451" s="10">
        <v>46033.0</v>
      </c>
      <c r="D8451" s="6" t="s">
        <v>436</v>
      </c>
      <c r="E8451" s="6" t="s">
        <v>1149</v>
      </c>
      <c r="F8451" s="6" t="s">
        <v>249</v>
      </c>
      <c r="G8451" s="6" t="s">
        <v>477</v>
      </c>
      <c r="H8451" s="11" t="s">
        <v>259</v>
      </c>
      <c r="I8451" s="12">
        <v>10.0</v>
      </c>
      <c r="J8451" s="6" t="s">
        <v>178</v>
      </c>
    </row>
    <row r="8452" ht="22.5" customHeight="1">
      <c r="A8452" s="6" t="s">
        <v>25260</v>
      </c>
      <c r="B8452" s="6" t="s">
        <v>18711</v>
      </c>
      <c r="C8452" s="10">
        <v>46046.0</v>
      </c>
      <c r="D8452" s="6" t="s">
        <v>289</v>
      </c>
      <c r="E8452" s="6" t="s">
        <v>1720</v>
      </c>
      <c r="F8452" s="6" t="s">
        <v>112</v>
      </c>
      <c r="G8452" s="6" t="s">
        <v>297</v>
      </c>
      <c r="H8452" s="10">
        <v>46051.0</v>
      </c>
      <c r="I8452" s="12">
        <v>7.0</v>
      </c>
      <c r="J8452" s="6" t="s">
        <v>161</v>
      </c>
    </row>
    <row r="8453" ht="22.5" customHeight="1">
      <c r="A8453" s="6" t="s">
        <v>25261</v>
      </c>
      <c r="B8453" s="6" t="s">
        <v>18711</v>
      </c>
      <c r="C8453" s="10">
        <v>46034.0</v>
      </c>
      <c r="D8453" s="6" t="s">
        <v>416</v>
      </c>
      <c r="E8453" s="6" t="s">
        <v>775</v>
      </c>
      <c r="F8453" s="6" t="s">
        <v>112</v>
      </c>
      <c r="G8453" s="6" t="s">
        <v>458</v>
      </c>
      <c r="H8453" s="10">
        <v>46034.0</v>
      </c>
      <c r="I8453" s="12">
        <v>13.0</v>
      </c>
      <c r="J8453" s="6" t="s">
        <v>161</v>
      </c>
    </row>
    <row r="8454" ht="22.5" customHeight="1">
      <c r="A8454" s="6" t="s">
        <v>25262</v>
      </c>
      <c r="B8454" s="6" t="s">
        <v>18711</v>
      </c>
      <c r="C8454" s="10">
        <v>46044.0</v>
      </c>
      <c r="D8454" s="6" t="s">
        <v>416</v>
      </c>
      <c r="E8454" s="6" t="s">
        <v>450</v>
      </c>
      <c r="F8454" s="6" t="s">
        <v>439</v>
      </c>
      <c r="G8454" s="6" t="s">
        <v>458</v>
      </c>
      <c r="H8454" s="10">
        <v>46050.0</v>
      </c>
      <c r="I8454" s="12">
        <v>9.0</v>
      </c>
      <c r="J8454" s="6" t="s">
        <v>161</v>
      </c>
    </row>
    <row r="8455" ht="22.5" customHeight="1">
      <c r="A8455" s="6" t="s">
        <v>25263</v>
      </c>
      <c r="B8455" s="6" t="s">
        <v>18718</v>
      </c>
      <c r="C8455" s="10">
        <v>46036.0</v>
      </c>
      <c r="D8455" s="6" t="s">
        <v>416</v>
      </c>
      <c r="E8455" s="6" t="s">
        <v>670</v>
      </c>
      <c r="F8455" s="6" t="s">
        <v>439</v>
      </c>
      <c r="G8455" s="6" t="s">
        <v>297</v>
      </c>
      <c r="H8455" s="11" t="s">
        <v>259</v>
      </c>
      <c r="I8455" s="12">
        <v>11.0</v>
      </c>
      <c r="J8455" s="6" t="s">
        <v>161</v>
      </c>
    </row>
    <row r="8456" ht="22.5" customHeight="1">
      <c r="A8456" s="6" t="s">
        <v>25264</v>
      </c>
      <c r="B8456" s="6" t="s">
        <v>18718</v>
      </c>
      <c r="C8456" s="10">
        <v>46036.0</v>
      </c>
      <c r="D8456" s="6" t="s">
        <v>436</v>
      </c>
      <c r="E8456" s="6" t="s">
        <v>1517</v>
      </c>
      <c r="F8456" s="6" t="s">
        <v>112</v>
      </c>
      <c r="G8456" s="6" t="s">
        <v>369</v>
      </c>
      <c r="H8456" s="11" t="s">
        <v>259</v>
      </c>
      <c r="I8456" s="12">
        <v>10.0</v>
      </c>
      <c r="J8456" s="6" t="s">
        <v>178</v>
      </c>
    </row>
    <row r="8457" ht="22.5" customHeight="1">
      <c r="A8457" s="6" t="s">
        <v>25265</v>
      </c>
      <c r="B8457" s="6" t="s">
        <v>18718</v>
      </c>
      <c r="C8457" s="10">
        <v>46046.0</v>
      </c>
      <c r="D8457" s="6" t="s">
        <v>436</v>
      </c>
      <c r="E8457" s="6" t="s">
        <v>1122</v>
      </c>
      <c r="F8457" s="6" t="s">
        <v>249</v>
      </c>
      <c r="G8457" s="6" t="s">
        <v>452</v>
      </c>
      <c r="H8457" s="10">
        <v>46053.0</v>
      </c>
      <c r="I8457" s="12">
        <v>8.0</v>
      </c>
      <c r="J8457" s="6" t="s">
        <v>161</v>
      </c>
    </row>
    <row r="8458" ht="22.5" customHeight="1">
      <c r="A8458" s="6" t="s">
        <v>25266</v>
      </c>
      <c r="B8458" s="6" t="s">
        <v>18723</v>
      </c>
      <c r="C8458" s="10">
        <v>46045.0</v>
      </c>
      <c r="D8458" s="6" t="s">
        <v>242</v>
      </c>
      <c r="E8458" s="6" t="s">
        <v>798</v>
      </c>
      <c r="F8458" s="6" t="s">
        <v>439</v>
      </c>
      <c r="G8458" s="6" t="s">
        <v>458</v>
      </c>
      <c r="H8458" s="10">
        <v>46049.0</v>
      </c>
      <c r="I8458" s="12">
        <v>6.0</v>
      </c>
      <c r="J8458" s="6" t="s">
        <v>178</v>
      </c>
    </row>
    <row r="8459" ht="22.5" customHeight="1">
      <c r="A8459" s="6" t="s">
        <v>25267</v>
      </c>
      <c r="B8459" s="6" t="s">
        <v>18723</v>
      </c>
      <c r="C8459" s="10">
        <v>46058.0</v>
      </c>
      <c r="D8459" s="6" t="s">
        <v>436</v>
      </c>
      <c r="E8459" s="6" t="s">
        <v>1700</v>
      </c>
      <c r="F8459" s="6" t="s">
        <v>283</v>
      </c>
      <c r="G8459" s="6" t="s">
        <v>369</v>
      </c>
      <c r="H8459" s="11" t="s">
        <v>259</v>
      </c>
      <c r="I8459" s="12">
        <v>9.0</v>
      </c>
      <c r="J8459" s="6" t="s">
        <v>178</v>
      </c>
    </row>
    <row r="8460" ht="22.5" customHeight="1">
      <c r="A8460" s="6" t="s">
        <v>25268</v>
      </c>
      <c r="B8460" s="6" t="s">
        <v>18723</v>
      </c>
      <c r="C8460" s="10">
        <v>46062.0</v>
      </c>
      <c r="D8460" s="6" t="s">
        <v>289</v>
      </c>
      <c r="E8460" s="6" t="s">
        <v>1720</v>
      </c>
      <c r="F8460" s="6" t="s">
        <v>249</v>
      </c>
      <c r="G8460" s="6" t="s">
        <v>458</v>
      </c>
      <c r="H8460" s="11" t="s">
        <v>259</v>
      </c>
      <c r="I8460" s="12">
        <v>5.0</v>
      </c>
      <c r="J8460" s="6" t="s">
        <v>161</v>
      </c>
    </row>
    <row r="8461" ht="22.5" customHeight="1">
      <c r="A8461" s="6" t="s">
        <v>25269</v>
      </c>
      <c r="B8461" s="6" t="s">
        <v>18723</v>
      </c>
      <c r="C8461" s="10">
        <v>46049.0</v>
      </c>
      <c r="D8461" s="6" t="s">
        <v>312</v>
      </c>
      <c r="E8461" s="6" t="s">
        <v>716</v>
      </c>
      <c r="F8461" s="6" t="s">
        <v>112</v>
      </c>
      <c r="G8461" s="6" t="s">
        <v>458</v>
      </c>
      <c r="H8461" s="10">
        <v>46052.0</v>
      </c>
      <c r="I8461" s="12">
        <v>6.0</v>
      </c>
      <c r="J8461" s="6" t="s">
        <v>161</v>
      </c>
    </row>
    <row r="8462" ht="22.5" customHeight="1">
      <c r="A8462" s="6" t="s">
        <v>25270</v>
      </c>
      <c r="B8462" s="6" t="s">
        <v>18723</v>
      </c>
      <c r="C8462" s="10">
        <v>46043.0</v>
      </c>
      <c r="D8462" s="6" t="s">
        <v>312</v>
      </c>
      <c r="E8462" s="6" t="s">
        <v>438</v>
      </c>
      <c r="F8462" s="6" t="s">
        <v>112</v>
      </c>
      <c r="G8462" s="6" t="s">
        <v>254</v>
      </c>
      <c r="H8462" s="10">
        <v>46045.0</v>
      </c>
      <c r="I8462" s="12">
        <v>6.0</v>
      </c>
      <c r="J8462" s="6" t="s">
        <v>161</v>
      </c>
    </row>
    <row r="8463" ht="22.5" customHeight="1">
      <c r="A8463" s="6" t="s">
        <v>25271</v>
      </c>
      <c r="B8463" s="6" t="s">
        <v>18729</v>
      </c>
      <c r="C8463" s="10">
        <v>46053.0</v>
      </c>
      <c r="D8463" s="6" t="s">
        <v>677</v>
      </c>
      <c r="E8463" s="6" t="s">
        <v>394</v>
      </c>
      <c r="F8463" s="6" t="s">
        <v>439</v>
      </c>
      <c r="G8463" s="6" t="s">
        <v>477</v>
      </c>
      <c r="H8463" s="10">
        <v>46054.0</v>
      </c>
      <c r="I8463" s="12">
        <v>2.0</v>
      </c>
      <c r="J8463" s="6" t="s">
        <v>161</v>
      </c>
    </row>
    <row r="8464" ht="22.5" customHeight="1">
      <c r="A8464" s="6" t="s">
        <v>25272</v>
      </c>
      <c r="B8464" s="6" t="s">
        <v>18729</v>
      </c>
      <c r="C8464" s="10">
        <v>46053.0</v>
      </c>
      <c r="D8464" s="6" t="s">
        <v>436</v>
      </c>
      <c r="E8464" s="6" t="s">
        <v>1296</v>
      </c>
      <c r="F8464" s="6" t="s">
        <v>283</v>
      </c>
      <c r="G8464" s="6" t="s">
        <v>254</v>
      </c>
      <c r="H8464" s="10">
        <v>46056.0</v>
      </c>
      <c r="I8464" s="12">
        <v>7.0</v>
      </c>
      <c r="J8464" s="6" t="s">
        <v>178</v>
      </c>
    </row>
    <row r="8465" ht="22.5" customHeight="1">
      <c r="A8465" s="6" t="s">
        <v>25273</v>
      </c>
      <c r="B8465" s="6" t="s">
        <v>18729</v>
      </c>
      <c r="C8465" s="10">
        <v>46040.0</v>
      </c>
      <c r="D8465" s="6" t="s">
        <v>436</v>
      </c>
      <c r="E8465" s="6" t="s">
        <v>1700</v>
      </c>
      <c r="F8465" s="6" t="s">
        <v>112</v>
      </c>
      <c r="G8465" s="6" t="s">
        <v>494</v>
      </c>
      <c r="H8465" s="11" t="s">
        <v>259</v>
      </c>
      <c r="I8465" s="12">
        <v>10.0</v>
      </c>
      <c r="J8465" s="6" t="s">
        <v>161</v>
      </c>
    </row>
    <row r="8466" ht="22.5" customHeight="1">
      <c r="A8466" s="6" t="s">
        <v>25274</v>
      </c>
      <c r="B8466" s="6" t="s">
        <v>18729</v>
      </c>
      <c r="C8466" s="10">
        <v>46048.0</v>
      </c>
      <c r="D8466" s="6" t="s">
        <v>677</v>
      </c>
      <c r="E8466" s="6" t="s">
        <v>1600</v>
      </c>
      <c r="F8466" s="6" t="s">
        <v>112</v>
      </c>
      <c r="G8466" s="6" t="s">
        <v>494</v>
      </c>
      <c r="H8466" s="10">
        <v>46053.0</v>
      </c>
      <c r="I8466" s="12">
        <v>4.0</v>
      </c>
      <c r="J8466" s="6" t="s">
        <v>161</v>
      </c>
    </row>
    <row r="8467" ht="22.5" customHeight="1">
      <c r="A8467" s="6" t="s">
        <v>25275</v>
      </c>
      <c r="B8467" s="6" t="s">
        <v>18735</v>
      </c>
      <c r="C8467" s="10">
        <v>46051.0</v>
      </c>
      <c r="D8467" s="6" t="s">
        <v>391</v>
      </c>
      <c r="E8467" s="6" t="s">
        <v>1055</v>
      </c>
      <c r="F8467" s="6" t="s">
        <v>112</v>
      </c>
      <c r="G8467" s="6" t="s">
        <v>494</v>
      </c>
      <c r="H8467" s="10">
        <v>46055.0</v>
      </c>
      <c r="I8467" s="12">
        <v>7.0</v>
      </c>
      <c r="J8467" s="6" t="s">
        <v>161</v>
      </c>
    </row>
    <row r="8468" ht="22.5" customHeight="1">
      <c r="A8468" s="6" t="s">
        <v>25276</v>
      </c>
      <c r="B8468" s="6" t="s">
        <v>18735</v>
      </c>
      <c r="C8468" s="10">
        <v>46048.0</v>
      </c>
      <c r="D8468" s="6" t="s">
        <v>242</v>
      </c>
      <c r="E8468" s="6" t="s">
        <v>833</v>
      </c>
      <c r="F8468" s="6" t="s">
        <v>283</v>
      </c>
      <c r="G8468" s="6" t="s">
        <v>458</v>
      </c>
      <c r="H8468" s="10">
        <v>46050.0</v>
      </c>
      <c r="I8468" s="12">
        <v>4.0</v>
      </c>
      <c r="J8468" s="6" t="s">
        <v>161</v>
      </c>
    </row>
    <row r="8469" ht="22.5" customHeight="1">
      <c r="A8469" s="6" t="s">
        <v>25277</v>
      </c>
      <c r="B8469" s="6" t="s">
        <v>18735</v>
      </c>
      <c r="C8469" s="10">
        <v>46060.0</v>
      </c>
      <c r="D8469" s="6" t="s">
        <v>312</v>
      </c>
      <c r="E8469" s="6" t="s">
        <v>1552</v>
      </c>
      <c r="F8469" s="6" t="s">
        <v>283</v>
      </c>
      <c r="G8469" s="6" t="s">
        <v>369</v>
      </c>
      <c r="H8469" s="10">
        <v>46063.0</v>
      </c>
      <c r="I8469" s="12">
        <v>4.0</v>
      </c>
      <c r="J8469" s="6" t="s">
        <v>161</v>
      </c>
    </row>
    <row r="8470" ht="22.5" customHeight="1">
      <c r="A8470" s="6" t="s">
        <v>25278</v>
      </c>
      <c r="B8470" s="6" t="s">
        <v>18741</v>
      </c>
      <c r="C8470" s="10">
        <v>46069.0</v>
      </c>
      <c r="D8470" s="6" t="s">
        <v>391</v>
      </c>
      <c r="E8470" s="6" t="s">
        <v>812</v>
      </c>
      <c r="F8470" s="6" t="s">
        <v>112</v>
      </c>
      <c r="G8470" s="6" t="s">
        <v>458</v>
      </c>
      <c r="H8470" s="10">
        <v>46073.0</v>
      </c>
      <c r="I8470" s="12">
        <v>6.0</v>
      </c>
      <c r="J8470" s="6" t="s">
        <v>161</v>
      </c>
    </row>
    <row r="8471" ht="22.5" customHeight="1">
      <c r="A8471" s="6" t="s">
        <v>25279</v>
      </c>
      <c r="B8471" s="6" t="s">
        <v>18741</v>
      </c>
      <c r="C8471" s="10">
        <v>46066.0</v>
      </c>
      <c r="D8471" s="6" t="s">
        <v>436</v>
      </c>
      <c r="E8471" s="6" t="s">
        <v>1102</v>
      </c>
      <c r="F8471" s="6" t="s">
        <v>249</v>
      </c>
      <c r="G8471" s="6" t="s">
        <v>477</v>
      </c>
      <c r="H8471" s="10">
        <v>46070.0</v>
      </c>
      <c r="I8471" s="12">
        <v>10.0</v>
      </c>
      <c r="J8471" s="6" t="s">
        <v>161</v>
      </c>
    </row>
    <row r="8472" ht="22.5" customHeight="1">
      <c r="A8472" s="6" t="s">
        <v>25280</v>
      </c>
      <c r="B8472" s="6" t="s">
        <v>18741</v>
      </c>
      <c r="C8472" s="10">
        <v>46073.0</v>
      </c>
      <c r="D8472" s="6" t="s">
        <v>436</v>
      </c>
      <c r="E8472" s="6" t="s">
        <v>1552</v>
      </c>
      <c r="F8472" s="6" t="s">
        <v>283</v>
      </c>
      <c r="G8472" s="6" t="s">
        <v>494</v>
      </c>
      <c r="H8472" s="10">
        <v>46078.0</v>
      </c>
      <c r="I8472" s="12">
        <v>6.0</v>
      </c>
      <c r="J8472" s="6" t="s">
        <v>161</v>
      </c>
    </row>
    <row r="8473" ht="22.5" customHeight="1">
      <c r="A8473" s="6" t="s">
        <v>25281</v>
      </c>
      <c r="B8473" s="6" t="s">
        <v>18747</v>
      </c>
      <c r="C8473" s="10">
        <v>46033.0</v>
      </c>
      <c r="D8473" s="6" t="s">
        <v>677</v>
      </c>
      <c r="E8473" s="6" t="s">
        <v>658</v>
      </c>
      <c r="F8473" s="6" t="s">
        <v>283</v>
      </c>
      <c r="G8473" s="6" t="s">
        <v>452</v>
      </c>
      <c r="H8473" s="10">
        <v>46040.0</v>
      </c>
      <c r="I8473" s="12">
        <v>3.0</v>
      </c>
      <c r="J8473" s="6" t="s">
        <v>161</v>
      </c>
    </row>
    <row r="8474" ht="22.5" customHeight="1">
      <c r="A8474" s="6" t="s">
        <v>25282</v>
      </c>
      <c r="B8474" s="6" t="s">
        <v>18747</v>
      </c>
      <c r="C8474" s="10">
        <v>46039.0</v>
      </c>
      <c r="D8474" s="6" t="s">
        <v>242</v>
      </c>
      <c r="E8474" s="6" t="s">
        <v>1280</v>
      </c>
      <c r="F8474" s="6" t="s">
        <v>439</v>
      </c>
      <c r="G8474" s="6" t="s">
        <v>369</v>
      </c>
      <c r="H8474" s="11" t="s">
        <v>259</v>
      </c>
      <c r="I8474" s="12">
        <v>5.0</v>
      </c>
      <c r="J8474" s="6" t="s">
        <v>161</v>
      </c>
    </row>
    <row r="8475" ht="22.5" customHeight="1">
      <c r="A8475" s="6" t="s">
        <v>25283</v>
      </c>
      <c r="B8475" s="6" t="s">
        <v>18747</v>
      </c>
      <c r="C8475" s="10">
        <v>46043.0</v>
      </c>
      <c r="D8475" s="6" t="s">
        <v>289</v>
      </c>
      <c r="E8475" s="6" t="s">
        <v>1969</v>
      </c>
      <c r="F8475" s="6" t="s">
        <v>249</v>
      </c>
      <c r="G8475" s="6" t="s">
        <v>452</v>
      </c>
      <c r="H8475" s="10">
        <v>46046.0</v>
      </c>
      <c r="I8475" s="12">
        <v>9.0</v>
      </c>
      <c r="J8475" s="6" t="s">
        <v>161</v>
      </c>
    </row>
    <row r="8476" ht="22.5" customHeight="1">
      <c r="A8476" s="6" t="s">
        <v>25284</v>
      </c>
      <c r="B8476" s="6" t="s">
        <v>18747</v>
      </c>
      <c r="C8476" s="10">
        <v>46028.0</v>
      </c>
      <c r="D8476" s="6" t="s">
        <v>391</v>
      </c>
      <c r="E8476" s="6" t="s">
        <v>798</v>
      </c>
      <c r="F8476" s="6" t="s">
        <v>112</v>
      </c>
      <c r="G8476" s="6" t="s">
        <v>297</v>
      </c>
      <c r="H8476" s="11" t="s">
        <v>259</v>
      </c>
      <c r="I8476" s="12">
        <v>10.0</v>
      </c>
      <c r="J8476" s="6" t="s">
        <v>161</v>
      </c>
    </row>
    <row r="8477" ht="22.5" customHeight="1">
      <c r="A8477" s="6" t="s">
        <v>25285</v>
      </c>
      <c r="B8477" s="6" t="s">
        <v>18753</v>
      </c>
      <c r="C8477" s="10">
        <v>46031.0</v>
      </c>
      <c r="D8477" s="6" t="s">
        <v>289</v>
      </c>
      <c r="E8477" s="6" t="s">
        <v>1055</v>
      </c>
      <c r="F8477" s="6" t="s">
        <v>249</v>
      </c>
      <c r="G8477" s="6" t="s">
        <v>452</v>
      </c>
      <c r="H8477" s="10">
        <v>46037.0</v>
      </c>
      <c r="I8477" s="12">
        <v>9.0</v>
      </c>
      <c r="J8477" s="6" t="s">
        <v>161</v>
      </c>
    </row>
    <row r="8478" ht="22.5" customHeight="1">
      <c r="A8478" s="6" t="s">
        <v>25286</v>
      </c>
      <c r="B8478" s="6" t="s">
        <v>18753</v>
      </c>
      <c r="C8478" s="10">
        <v>46038.0</v>
      </c>
      <c r="D8478" s="6" t="s">
        <v>416</v>
      </c>
      <c r="E8478" s="6" t="s">
        <v>798</v>
      </c>
      <c r="F8478" s="6" t="s">
        <v>439</v>
      </c>
      <c r="G8478" s="6" t="s">
        <v>326</v>
      </c>
      <c r="H8478" s="10">
        <v>46040.0</v>
      </c>
      <c r="I8478" s="12">
        <v>13.0</v>
      </c>
      <c r="J8478" s="6" t="s">
        <v>161</v>
      </c>
    </row>
    <row r="8479" ht="22.5" customHeight="1">
      <c r="A8479" s="6" t="s">
        <v>25287</v>
      </c>
      <c r="B8479" s="6" t="s">
        <v>18759</v>
      </c>
      <c r="C8479" s="10">
        <v>46054.0</v>
      </c>
      <c r="D8479" s="6" t="s">
        <v>289</v>
      </c>
      <c r="E8479" s="6" t="s">
        <v>618</v>
      </c>
      <c r="F8479" s="6" t="s">
        <v>439</v>
      </c>
      <c r="G8479" s="6" t="s">
        <v>458</v>
      </c>
      <c r="H8479" s="10">
        <v>46055.0</v>
      </c>
      <c r="I8479" s="12">
        <v>5.0</v>
      </c>
      <c r="J8479" s="6" t="s">
        <v>161</v>
      </c>
    </row>
    <row r="8480" ht="22.5" customHeight="1">
      <c r="A8480" s="6" t="s">
        <v>25288</v>
      </c>
      <c r="B8480" s="6" t="s">
        <v>18759</v>
      </c>
      <c r="C8480" s="10">
        <v>46041.0</v>
      </c>
      <c r="D8480" s="6" t="s">
        <v>436</v>
      </c>
      <c r="E8480" s="6" t="s">
        <v>320</v>
      </c>
      <c r="F8480" s="6" t="s">
        <v>283</v>
      </c>
      <c r="G8480" s="6" t="s">
        <v>477</v>
      </c>
      <c r="H8480" s="10">
        <v>46043.0</v>
      </c>
      <c r="I8480" s="12">
        <v>9.0</v>
      </c>
      <c r="J8480" s="6" t="s">
        <v>161</v>
      </c>
    </row>
    <row r="8481" ht="22.5" customHeight="1">
      <c r="A8481" s="6" t="s">
        <v>25289</v>
      </c>
      <c r="B8481" s="6" t="s">
        <v>18759</v>
      </c>
      <c r="C8481" s="10">
        <v>46045.0</v>
      </c>
      <c r="D8481" s="6" t="s">
        <v>436</v>
      </c>
      <c r="E8481" s="6" t="s">
        <v>716</v>
      </c>
      <c r="F8481" s="6" t="s">
        <v>283</v>
      </c>
      <c r="G8481" s="6" t="s">
        <v>477</v>
      </c>
      <c r="H8481" s="10">
        <v>46049.0</v>
      </c>
      <c r="I8481" s="12">
        <v>9.0</v>
      </c>
      <c r="J8481" s="6" t="s">
        <v>161</v>
      </c>
    </row>
    <row r="8482" ht="22.5" customHeight="1">
      <c r="A8482" s="6" t="s">
        <v>25290</v>
      </c>
      <c r="B8482" s="6" t="s">
        <v>18766</v>
      </c>
      <c r="C8482" s="10">
        <v>46036.0</v>
      </c>
      <c r="D8482" s="6" t="s">
        <v>416</v>
      </c>
      <c r="E8482" s="6" t="s">
        <v>512</v>
      </c>
      <c r="F8482" s="6" t="s">
        <v>112</v>
      </c>
      <c r="G8482" s="6" t="s">
        <v>458</v>
      </c>
      <c r="H8482" s="10">
        <v>46041.0</v>
      </c>
      <c r="I8482" s="12">
        <v>8.0</v>
      </c>
      <c r="J8482" s="6" t="s">
        <v>161</v>
      </c>
    </row>
    <row r="8483" ht="22.5" customHeight="1">
      <c r="A8483" s="6" t="s">
        <v>25291</v>
      </c>
      <c r="B8483" s="6" t="s">
        <v>18766</v>
      </c>
      <c r="C8483" s="10">
        <v>46042.0</v>
      </c>
      <c r="D8483" s="6" t="s">
        <v>289</v>
      </c>
      <c r="E8483" s="6" t="s">
        <v>1600</v>
      </c>
      <c r="F8483" s="6" t="s">
        <v>249</v>
      </c>
      <c r="G8483" s="6" t="s">
        <v>458</v>
      </c>
      <c r="H8483" s="11" t="s">
        <v>259</v>
      </c>
      <c r="I8483" s="12">
        <v>7.0</v>
      </c>
      <c r="J8483" s="6" t="s">
        <v>161</v>
      </c>
    </row>
    <row r="8484" ht="22.5" customHeight="1">
      <c r="A8484" s="6" t="s">
        <v>25292</v>
      </c>
      <c r="B8484" s="6" t="s">
        <v>18766</v>
      </c>
      <c r="C8484" s="10">
        <v>46042.0</v>
      </c>
      <c r="D8484" s="6" t="s">
        <v>416</v>
      </c>
      <c r="E8484" s="6" t="s">
        <v>738</v>
      </c>
      <c r="F8484" s="6" t="s">
        <v>249</v>
      </c>
      <c r="G8484" s="6" t="s">
        <v>477</v>
      </c>
      <c r="H8484" s="10">
        <v>46046.0</v>
      </c>
      <c r="I8484" s="12">
        <v>13.0</v>
      </c>
      <c r="J8484" s="6" t="s">
        <v>161</v>
      </c>
    </row>
    <row r="8485" ht="22.5" customHeight="1">
      <c r="A8485" s="6" t="s">
        <v>25293</v>
      </c>
      <c r="B8485" s="6" t="s">
        <v>18766</v>
      </c>
      <c r="C8485" s="10">
        <v>46036.0</v>
      </c>
      <c r="D8485" s="6" t="s">
        <v>677</v>
      </c>
      <c r="E8485" s="6" t="s">
        <v>658</v>
      </c>
      <c r="F8485" s="6" t="s">
        <v>112</v>
      </c>
      <c r="G8485" s="6" t="s">
        <v>458</v>
      </c>
      <c r="H8485" s="10">
        <v>46041.0</v>
      </c>
      <c r="I8485" s="12">
        <v>4.0</v>
      </c>
      <c r="J8485" s="6" t="s">
        <v>161</v>
      </c>
    </row>
    <row r="8486" ht="22.5" customHeight="1">
      <c r="A8486" s="6" t="s">
        <v>25294</v>
      </c>
      <c r="B8486" s="6" t="s">
        <v>18773</v>
      </c>
      <c r="C8486" s="10">
        <v>46075.0</v>
      </c>
      <c r="D8486" s="6" t="s">
        <v>289</v>
      </c>
      <c r="E8486" s="6" t="s">
        <v>634</v>
      </c>
      <c r="F8486" s="6" t="s">
        <v>283</v>
      </c>
      <c r="G8486" s="6" t="s">
        <v>297</v>
      </c>
      <c r="H8486" s="10">
        <v>46078.0</v>
      </c>
      <c r="I8486" s="12">
        <v>6.0</v>
      </c>
      <c r="J8486" s="6" t="s">
        <v>161</v>
      </c>
    </row>
    <row r="8487" ht="22.5" customHeight="1">
      <c r="A8487" s="6" t="s">
        <v>25295</v>
      </c>
      <c r="B8487" s="6" t="s">
        <v>18779</v>
      </c>
      <c r="C8487" s="10">
        <v>46065.0</v>
      </c>
      <c r="D8487" s="6" t="s">
        <v>242</v>
      </c>
      <c r="E8487" s="6" t="s">
        <v>695</v>
      </c>
      <c r="F8487" s="6" t="s">
        <v>439</v>
      </c>
      <c r="G8487" s="6" t="s">
        <v>477</v>
      </c>
      <c r="H8487" s="10">
        <v>46067.0</v>
      </c>
      <c r="I8487" s="12">
        <v>6.0</v>
      </c>
      <c r="J8487" s="6" t="s">
        <v>178</v>
      </c>
    </row>
    <row r="8488" ht="22.5" customHeight="1">
      <c r="A8488" s="6" t="s">
        <v>25296</v>
      </c>
      <c r="B8488" s="6" t="s">
        <v>18779</v>
      </c>
      <c r="C8488" s="10">
        <v>46058.0</v>
      </c>
      <c r="D8488" s="6" t="s">
        <v>391</v>
      </c>
      <c r="E8488" s="6" t="s">
        <v>618</v>
      </c>
      <c r="F8488" s="6" t="s">
        <v>112</v>
      </c>
      <c r="G8488" s="6" t="s">
        <v>477</v>
      </c>
      <c r="H8488" s="10">
        <v>46064.0</v>
      </c>
      <c r="I8488" s="12">
        <v>7.0</v>
      </c>
      <c r="J8488" s="6" t="s">
        <v>161</v>
      </c>
    </row>
    <row r="8489" ht="22.5" customHeight="1">
      <c r="A8489" s="6" t="s">
        <v>25297</v>
      </c>
      <c r="B8489" s="6" t="s">
        <v>18786</v>
      </c>
      <c r="C8489" s="10">
        <v>46060.0</v>
      </c>
      <c r="D8489" s="6" t="s">
        <v>289</v>
      </c>
      <c r="E8489" s="6" t="s">
        <v>512</v>
      </c>
      <c r="F8489" s="6" t="s">
        <v>249</v>
      </c>
      <c r="G8489" s="6" t="s">
        <v>254</v>
      </c>
      <c r="H8489" s="10">
        <v>46064.0</v>
      </c>
      <c r="I8489" s="12">
        <v>5.0</v>
      </c>
      <c r="J8489" s="6" t="s">
        <v>161</v>
      </c>
    </row>
    <row r="8490" ht="22.5" customHeight="1">
      <c r="A8490" s="6" t="s">
        <v>25298</v>
      </c>
      <c r="B8490" s="6" t="s">
        <v>18786</v>
      </c>
      <c r="C8490" s="10">
        <v>46074.0</v>
      </c>
      <c r="D8490" s="6" t="s">
        <v>391</v>
      </c>
      <c r="E8490" s="6" t="s">
        <v>291</v>
      </c>
      <c r="F8490" s="6" t="s">
        <v>283</v>
      </c>
      <c r="G8490" s="6" t="s">
        <v>297</v>
      </c>
      <c r="H8490" s="11" t="s">
        <v>259</v>
      </c>
      <c r="I8490" s="12">
        <v>9.0</v>
      </c>
      <c r="J8490" s="6" t="s">
        <v>161</v>
      </c>
    </row>
    <row r="8491" ht="22.5" customHeight="1">
      <c r="A8491" s="6" t="s">
        <v>25299</v>
      </c>
      <c r="B8491" s="6" t="s">
        <v>18793</v>
      </c>
      <c r="C8491" s="10">
        <v>46075.0</v>
      </c>
      <c r="D8491" s="6" t="s">
        <v>312</v>
      </c>
      <c r="E8491" s="6" t="s">
        <v>1035</v>
      </c>
      <c r="F8491" s="6" t="s">
        <v>112</v>
      </c>
      <c r="G8491" s="6" t="s">
        <v>369</v>
      </c>
      <c r="H8491" s="10">
        <v>46079.0</v>
      </c>
      <c r="I8491" s="12">
        <v>4.0</v>
      </c>
      <c r="J8491" s="6" t="s">
        <v>161</v>
      </c>
    </row>
    <row r="8492" ht="22.5" customHeight="1">
      <c r="A8492" s="6" t="s">
        <v>25300</v>
      </c>
      <c r="B8492" s="6" t="s">
        <v>18793</v>
      </c>
      <c r="C8492" s="10">
        <v>46061.0</v>
      </c>
      <c r="D8492" s="6" t="s">
        <v>677</v>
      </c>
      <c r="E8492" s="6" t="s">
        <v>704</v>
      </c>
      <c r="F8492" s="6" t="s">
        <v>249</v>
      </c>
      <c r="G8492" s="6" t="s">
        <v>494</v>
      </c>
      <c r="H8492" s="10">
        <v>46062.0</v>
      </c>
      <c r="I8492" s="12">
        <v>3.0</v>
      </c>
      <c r="J8492" s="6" t="s">
        <v>161</v>
      </c>
    </row>
    <row r="8493" ht="22.5" customHeight="1">
      <c r="A8493" s="6" t="s">
        <v>25301</v>
      </c>
      <c r="B8493" s="6" t="s">
        <v>18793</v>
      </c>
      <c r="C8493" s="10">
        <v>46076.0</v>
      </c>
      <c r="D8493" s="6" t="s">
        <v>289</v>
      </c>
      <c r="E8493" s="6" t="s">
        <v>1570</v>
      </c>
      <c r="F8493" s="6" t="s">
        <v>249</v>
      </c>
      <c r="G8493" s="6" t="s">
        <v>254</v>
      </c>
      <c r="H8493" s="11" t="s">
        <v>259</v>
      </c>
      <c r="I8493" s="12">
        <v>7.0</v>
      </c>
      <c r="J8493" s="6" t="s">
        <v>161</v>
      </c>
    </row>
    <row r="8494" ht="22.5" customHeight="1">
      <c r="A8494" s="6" t="s">
        <v>25302</v>
      </c>
      <c r="B8494" s="6" t="s">
        <v>18793</v>
      </c>
      <c r="C8494" s="10">
        <v>46063.0</v>
      </c>
      <c r="D8494" s="6" t="s">
        <v>436</v>
      </c>
      <c r="E8494" s="6" t="s">
        <v>1280</v>
      </c>
      <c r="F8494" s="6" t="s">
        <v>112</v>
      </c>
      <c r="G8494" s="6" t="s">
        <v>297</v>
      </c>
      <c r="H8494" s="10">
        <v>46068.0</v>
      </c>
      <c r="I8494" s="12">
        <v>6.0</v>
      </c>
      <c r="J8494" s="6" t="s">
        <v>178</v>
      </c>
    </row>
    <row r="8495" ht="22.5" customHeight="1">
      <c r="A8495" s="6" t="s">
        <v>25303</v>
      </c>
      <c r="B8495" s="6" t="s">
        <v>18799</v>
      </c>
      <c r="C8495" s="10">
        <v>46039.0</v>
      </c>
      <c r="D8495" s="6" t="s">
        <v>391</v>
      </c>
      <c r="E8495" s="6" t="s">
        <v>246</v>
      </c>
      <c r="F8495" s="6" t="s">
        <v>112</v>
      </c>
      <c r="G8495" s="6" t="s">
        <v>369</v>
      </c>
      <c r="H8495" s="10">
        <v>46044.0</v>
      </c>
      <c r="I8495" s="12">
        <v>8.0</v>
      </c>
      <c r="J8495" s="6" t="s">
        <v>161</v>
      </c>
    </row>
    <row r="8496" ht="22.5" customHeight="1">
      <c r="A8496" s="6" t="s">
        <v>25304</v>
      </c>
      <c r="B8496" s="6" t="s">
        <v>18806</v>
      </c>
      <c r="C8496" s="10">
        <v>46077.0</v>
      </c>
      <c r="D8496" s="6" t="s">
        <v>677</v>
      </c>
      <c r="E8496" s="6" t="s">
        <v>291</v>
      </c>
      <c r="F8496" s="6" t="s">
        <v>112</v>
      </c>
      <c r="G8496" s="6" t="s">
        <v>494</v>
      </c>
      <c r="H8496" s="11" t="s">
        <v>259</v>
      </c>
      <c r="I8496" s="12">
        <v>3.0</v>
      </c>
      <c r="J8496" s="6" t="s">
        <v>161</v>
      </c>
    </row>
    <row r="8497" ht="22.5" customHeight="1">
      <c r="A8497" s="6" t="s">
        <v>25305</v>
      </c>
      <c r="B8497" s="6" t="s">
        <v>18806</v>
      </c>
      <c r="C8497" s="10">
        <v>46066.0</v>
      </c>
      <c r="D8497" s="6" t="s">
        <v>242</v>
      </c>
      <c r="E8497" s="6" t="s">
        <v>566</v>
      </c>
      <c r="F8497" s="6" t="s">
        <v>283</v>
      </c>
      <c r="G8497" s="6" t="s">
        <v>369</v>
      </c>
      <c r="H8497" s="10">
        <v>46070.0</v>
      </c>
      <c r="I8497" s="12">
        <v>6.0</v>
      </c>
      <c r="J8497" s="6" t="s">
        <v>161</v>
      </c>
    </row>
    <row r="8498" ht="22.5" customHeight="1">
      <c r="A8498" s="6" t="s">
        <v>25306</v>
      </c>
      <c r="B8498" s="6" t="s">
        <v>18806</v>
      </c>
      <c r="C8498" s="10">
        <v>46062.0</v>
      </c>
      <c r="D8498" s="6" t="s">
        <v>391</v>
      </c>
      <c r="E8498" s="6" t="s">
        <v>670</v>
      </c>
      <c r="F8498" s="6" t="s">
        <v>439</v>
      </c>
      <c r="G8498" s="6" t="s">
        <v>458</v>
      </c>
      <c r="H8498" s="10">
        <v>46069.0</v>
      </c>
      <c r="I8498" s="12">
        <v>6.0</v>
      </c>
      <c r="J8498" s="6" t="s">
        <v>161</v>
      </c>
    </row>
    <row r="8499" ht="22.5" customHeight="1">
      <c r="A8499" s="6" t="s">
        <v>25307</v>
      </c>
      <c r="B8499" s="6" t="s">
        <v>18806</v>
      </c>
      <c r="C8499" s="10">
        <v>46067.0</v>
      </c>
      <c r="D8499" s="6" t="s">
        <v>436</v>
      </c>
      <c r="E8499" s="6" t="s">
        <v>1552</v>
      </c>
      <c r="F8499" s="6" t="s">
        <v>283</v>
      </c>
      <c r="G8499" s="6" t="s">
        <v>369</v>
      </c>
      <c r="H8499" s="11" t="s">
        <v>259</v>
      </c>
      <c r="I8499" s="12">
        <v>9.0</v>
      </c>
      <c r="J8499" s="6" t="s">
        <v>178</v>
      </c>
    </row>
    <row r="8500" ht="22.5" customHeight="1">
      <c r="A8500" s="6" t="s">
        <v>25308</v>
      </c>
      <c r="B8500" s="6" t="s">
        <v>18813</v>
      </c>
      <c r="C8500" s="10">
        <v>46046.0</v>
      </c>
      <c r="D8500" s="6" t="s">
        <v>391</v>
      </c>
      <c r="E8500" s="6" t="s">
        <v>610</v>
      </c>
      <c r="F8500" s="6" t="s">
        <v>112</v>
      </c>
      <c r="G8500" s="6" t="s">
        <v>494</v>
      </c>
      <c r="H8500" s="10">
        <v>46053.0</v>
      </c>
      <c r="I8500" s="12">
        <v>9.0</v>
      </c>
      <c r="J8500" s="6" t="s">
        <v>161</v>
      </c>
    </row>
    <row r="8501" ht="22.5" customHeight="1">
      <c r="A8501" s="6" t="s">
        <v>25309</v>
      </c>
      <c r="B8501" s="6" t="s">
        <v>18813</v>
      </c>
      <c r="C8501" s="10">
        <v>46044.0</v>
      </c>
      <c r="D8501" s="6" t="s">
        <v>289</v>
      </c>
      <c r="E8501" s="6" t="s">
        <v>863</v>
      </c>
      <c r="F8501" s="6" t="s">
        <v>283</v>
      </c>
      <c r="G8501" s="6" t="s">
        <v>297</v>
      </c>
      <c r="H8501" s="10">
        <v>46051.0</v>
      </c>
      <c r="I8501" s="12">
        <v>5.0</v>
      </c>
      <c r="J8501" s="6" t="s">
        <v>161</v>
      </c>
    </row>
    <row r="8502" ht="22.5" customHeight="1">
      <c r="A8502" s="6" t="s">
        <v>25310</v>
      </c>
      <c r="B8502" s="6" t="s">
        <v>18813</v>
      </c>
      <c r="C8502" s="10">
        <v>46053.0</v>
      </c>
      <c r="D8502" s="6" t="s">
        <v>436</v>
      </c>
      <c r="E8502" s="6" t="s">
        <v>2881</v>
      </c>
      <c r="F8502" s="6" t="s">
        <v>439</v>
      </c>
      <c r="G8502" s="6" t="s">
        <v>458</v>
      </c>
      <c r="H8502" s="10">
        <v>46054.0</v>
      </c>
      <c r="I8502" s="12">
        <v>12.0</v>
      </c>
      <c r="J8502" s="6" t="s">
        <v>178</v>
      </c>
    </row>
    <row r="8503" ht="22.5" customHeight="1">
      <c r="A8503" s="6" t="s">
        <v>25311</v>
      </c>
      <c r="B8503" s="6" t="s">
        <v>18813</v>
      </c>
      <c r="C8503" s="10">
        <v>46060.0</v>
      </c>
      <c r="D8503" s="6" t="s">
        <v>677</v>
      </c>
      <c r="E8503" s="6" t="s">
        <v>1296</v>
      </c>
      <c r="F8503" s="6" t="s">
        <v>112</v>
      </c>
      <c r="G8503" s="6" t="s">
        <v>494</v>
      </c>
      <c r="H8503" s="10">
        <v>46061.0</v>
      </c>
      <c r="I8503" s="12">
        <v>4.0</v>
      </c>
      <c r="J8503" s="6" t="s">
        <v>161</v>
      </c>
    </row>
    <row r="8504" ht="22.5" customHeight="1">
      <c r="A8504" s="6" t="s">
        <v>25312</v>
      </c>
      <c r="B8504" s="6" t="s">
        <v>18819</v>
      </c>
      <c r="C8504" s="10">
        <v>46033.0</v>
      </c>
      <c r="D8504" s="6" t="s">
        <v>391</v>
      </c>
      <c r="E8504" s="6" t="s">
        <v>1149</v>
      </c>
      <c r="F8504" s="6" t="s">
        <v>439</v>
      </c>
      <c r="G8504" s="6" t="s">
        <v>452</v>
      </c>
      <c r="H8504" s="10">
        <v>46034.0</v>
      </c>
      <c r="I8504" s="12">
        <v>6.0</v>
      </c>
      <c r="J8504" s="6" t="s">
        <v>161</v>
      </c>
    </row>
    <row r="8505" ht="22.5" customHeight="1">
      <c r="A8505" s="6" t="s">
        <v>25313</v>
      </c>
      <c r="B8505" s="6" t="s">
        <v>18819</v>
      </c>
      <c r="C8505" s="10">
        <v>46048.0</v>
      </c>
      <c r="D8505" s="6" t="s">
        <v>416</v>
      </c>
      <c r="E8505" s="6" t="s">
        <v>1546</v>
      </c>
      <c r="F8505" s="6" t="s">
        <v>249</v>
      </c>
      <c r="G8505" s="6" t="s">
        <v>369</v>
      </c>
      <c r="H8505" s="10">
        <v>46053.0</v>
      </c>
      <c r="I8505" s="12">
        <v>14.0</v>
      </c>
      <c r="J8505" s="6" t="s">
        <v>161</v>
      </c>
    </row>
    <row r="8506" ht="22.5" customHeight="1">
      <c r="A8506" s="6" t="s">
        <v>25314</v>
      </c>
      <c r="B8506" s="6" t="s">
        <v>18825</v>
      </c>
      <c r="C8506" s="10">
        <v>46079.0</v>
      </c>
      <c r="D8506" s="6" t="s">
        <v>391</v>
      </c>
      <c r="E8506" s="6" t="s">
        <v>687</v>
      </c>
      <c r="F8506" s="6" t="s">
        <v>249</v>
      </c>
      <c r="G8506" s="6" t="s">
        <v>326</v>
      </c>
      <c r="H8506" s="10">
        <v>46081.0</v>
      </c>
      <c r="I8506" s="12">
        <v>6.0</v>
      </c>
      <c r="J8506" s="6" t="s">
        <v>161</v>
      </c>
    </row>
    <row r="8507" ht="22.5" customHeight="1">
      <c r="A8507" s="6" t="s">
        <v>25315</v>
      </c>
      <c r="B8507" s="6" t="s">
        <v>18825</v>
      </c>
      <c r="C8507" s="10">
        <v>46082.0</v>
      </c>
      <c r="D8507" s="6" t="s">
        <v>391</v>
      </c>
      <c r="E8507" s="6" t="s">
        <v>1517</v>
      </c>
      <c r="F8507" s="6" t="s">
        <v>112</v>
      </c>
      <c r="G8507" s="6" t="s">
        <v>477</v>
      </c>
      <c r="H8507" s="11" t="s">
        <v>259</v>
      </c>
      <c r="I8507" s="12">
        <v>7.0</v>
      </c>
      <c r="J8507" s="6" t="s">
        <v>161</v>
      </c>
    </row>
    <row r="8508" ht="22.5" customHeight="1">
      <c r="A8508" s="6" t="s">
        <v>25316</v>
      </c>
      <c r="B8508" s="6" t="s">
        <v>18825</v>
      </c>
      <c r="C8508" s="10">
        <v>46081.0</v>
      </c>
      <c r="D8508" s="6" t="s">
        <v>416</v>
      </c>
      <c r="E8508" s="6" t="s">
        <v>1626</v>
      </c>
      <c r="F8508" s="6" t="s">
        <v>439</v>
      </c>
      <c r="G8508" s="6" t="s">
        <v>494</v>
      </c>
      <c r="H8508" s="11" t="s">
        <v>259</v>
      </c>
      <c r="I8508" s="12">
        <v>10.0</v>
      </c>
      <c r="J8508" s="6" t="s">
        <v>161</v>
      </c>
    </row>
    <row r="8509" ht="22.5" customHeight="1">
      <c r="A8509" s="6" t="s">
        <v>25317</v>
      </c>
      <c r="B8509" s="6" t="s">
        <v>18831</v>
      </c>
      <c r="C8509" s="10">
        <v>46068.0</v>
      </c>
      <c r="D8509" s="6" t="s">
        <v>289</v>
      </c>
      <c r="E8509" s="6" t="s">
        <v>291</v>
      </c>
      <c r="F8509" s="6" t="s">
        <v>439</v>
      </c>
      <c r="G8509" s="6" t="s">
        <v>297</v>
      </c>
      <c r="H8509" s="10">
        <v>46068.0</v>
      </c>
      <c r="I8509" s="12">
        <v>5.0</v>
      </c>
      <c r="J8509" s="6" t="s">
        <v>161</v>
      </c>
    </row>
    <row r="8510" ht="22.5" customHeight="1">
      <c r="A8510" s="6" t="s">
        <v>25318</v>
      </c>
      <c r="B8510" s="6" t="s">
        <v>18831</v>
      </c>
      <c r="C8510" s="10">
        <v>46070.0</v>
      </c>
      <c r="D8510" s="6" t="s">
        <v>677</v>
      </c>
      <c r="E8510" s="6" t="s">
        <v>1310</v>
      </c>
      <c r="F8510" s="6" t="s">
        <v>283</v>
      </c>
      <c r="G8510" s="6" t="s">
        <v>369</v>
      </c>
      <c r="H8510" s="10">
        <v>46074.0</v>
      </c>
      <c r="I8510" s="12">
        <v>4.0</v>
      </c>
      <c r="J8510" s="6" t="s">
        <v>161</v>
      </c>
    </row>
    <row r="8511" ht="22.5" customHeight="1">
      <c r="A8511" s="6" t="s">
        <v>25319</v>
      </c>
      <c r="B8511" s="6" t="s">
        <v>18831</v>
      </c>
      <c r="C8511" s="10">
        <v>46058.0</v>
      </c>
      <c r="D8511" s="6" t="s">
        <v>312</v>
      </c>
      <c r="E8511" s="6" t="s">
        <v>610</v>
      </c>
      <c r="F8511" s="6" t="s">
        <v>439</v>
      </c>
      <c r="G8511" s="6" t="s">
        <v>254</v>
      </c>
      <c r="H8511" s="11" t="s">
        <v>259</v>
      </c>
      <c r="I8511" s="12">
        <v>4.0</v>
      </c>
      <c r="J8511" s="6" t="s">
        <v>161</v>
      </c>
    </row>
    <row r="8512" ht="22.5" customHeight="1">
      <c r="A8512" s="6" t="s">
        <v>25320</v>
      </c>
      <c r="B8512" s="6" t="s">
        <v>18831</v>
      </c>
      <c r="C8512" s="10">
        <v>46063.0</v>
      </c>
      <c r="D8512" s="6" t="s">
        <v>289</v>
      </c>
      <c r="E8512" s="6" t="s">
        <v>291</v>
      </c>
      <c r="F8512" s="6" t="s">
        <v>249</v>
      </c>
      <c r="G8512" s="6" t="s">
        <v>494</v>
      </c>
      <c r="H8512" s="11" t="s">
        <v>259</v>
      </c>
      <c r="I8512" s="12">
        <v>10.0</v>
      </c>
      <c r="J8512" s="6" t="s">
        <v>161</v>
      </c>
    </row>
    <row r="8513" ht="22.5" customHeight="1">
      <c r="A8513" s="6" t="s">
        <v>25321</v>
      </c>
      <c r="B8513" s="6" t="s">
        <v>18837</v>
      </c>
      <c r="C8513" s="10">
        <v>46073.0</v>
      </c>
      <c r="D8513" s="6" t="s">
        <v>242</v>
      </c>
      <c r="E8513" s="6" t="s">
        <v>1035</v>
      </c>
      <c r="F8513" s="6" t="s">
        <v>112</v>
      </c>
      <c r="G8513" s="6" t="s">
        <v>494</v>
      </c>
      <c r="H8513" s="10">
        <v>46079.0</v>
      </c>
      <c r="I8513" s="12">
        <v>6.0</v>
      </c>
      <c r="J8513" s="6" t="s">
        <v>178</v>
      </c>
    </row>
    <row r="8514" ht="22.5" customHeight="1">
      <c r="A8514" s="6" t="s">
        <v>25322</v>
      </c>
      <c r="B8514" s="6" t="s">
        <v>18837</v>
      </c>
      <c r="C8514" s="10">
        <v>46084.0</v>
      </c>
      <c r="D8514" s="6" t="s">
        <v>289</v>
      </c>
      <c r="E8514" s="6" t="s">
        <v>466</v>
      </c>
      <c r="F8514" s="6" t="s">
        <v>439</v>
      </c>
      <c r="G8514" s="6" t="s">
        <v>452</v>
      </c>
      <c r="H8514" s="10">
        <v>46091.0</v>
      </c>
      <c r="I8514" s="12">
        <v>10.0</v>
      </c>
      <c r="J8514" s="6" t="s">
        <v>161</v>
      </c>
    </row>
    <row r="8515" ht="22.5" customHeight="1">
      <c r="A8515" s="6" t="s">
        <v>25323</v>
      </c>
      <c r="B8515" s="6" t="s">
        <v>18843</v>
      </c>
      <c r="C8515" s="10">
        <v>46049.0</v>
      </c>
      <c r="D8515" s="6" t="s">
        <v>289</v>
      </c>
      <c r="E8515" s="6" t="s">
        <v>1700</v>
      </c>
      <c r="F8515" s="6" t="s">
        <v>283</v>
      </c>
      <c r="G8515" s="6" t="s">
        <v>452</v>
      </c>
      <c r="H8515" s="10">
        <v>46052.0</v>
      </c>
      <c r="I8515" s="12">
        <v>8.0</v>
      </c>
      <c r="J8515" s="6" t="s">
        <v>161</v>
      </c>
    </row>
    <row r="8516" ht="22.5" customHeight="1">
      <c r="A8516" s="6" t="s">
        <v>25324</v>
      </c>
      <c r="B8516" s="6" t="s">
        <v>18843</v>
      </c>
      <c r="C8516" s="10">
        <v>46042.0</v>
      </c>
      <c r="D8516" s="6" t="s">
        <v>242</v>
      </c>
      <c r="E8516" s="6" t="s">
        <v>1122</v>
      </c>
      <c r="F8516" s="6" t="s">
        <v>249</v>
      </c>
      <c r="G8516" s="6" t="s">
        <v>326</v>
      </c>
      <c r="H8516" s="10">
        <v>46045.0</v>
      </c>
      <c r="I8516" s="12">
        <v>5.0</v>
      </c>
      <c r="J8516" s="6" t="s">
        <v>178</v>
      </c>
    </row>
    <row r="8517" ht="22.5" customHeight="1">
      <c r="A8517" s="6" t="s">
        <v>25325</v>
      </c>
      <c r="B8517" s="6" t="s">
        <v>18843</v>
      </c>
      <c r="C8517" s="10">
        <v>46039.0</v>
      </c>
      <c r="D8517" s="6" t="s">
        <v>242</v>
      </c>
      <c r="E8517" s="6" t="s">
        <v>1741</v>
      </c>
      <c r="F8517" s="6" t="s">
        <v>249</v>
      </c>
      <c r="G8517" s="6" t="s">
        <v>477</v>
      </c>
      <c r="H8517" s="10">
        <v>46045.0</v>
      </c>
      <c r="I8517" s="12">
        <v>6.0</v>
      </c>
      <c r="J8517" s="6" t="s">
        <v>178</v>
      </c>
    </row>
    <row r="8518" ht="22.5" customHeight="1">
      <c r="A8518" s="6" t="s">
        <v>25326</v>
      </c>
      <c r="B8518" s="6" t="s">
        <v>18843</v>
      </c>
      <c r="C8518" s="10">
        <v>46033.0</v>
      </c>
      <c r="D8518" s="6" t="s">
        <v>436</v>
      </c>
      <c r="E8518" s="6" t="s">
        <v>634</v>
      </c>
      <c r="F8518" s="6" t="s">
        <v>283</v>
      </c>
      <c r="G8518" s="6" t="s">
        <v>452</v>
      </c>
      <c r="H8518" s="10">
        <v>46034.0</v>
      </c>
      <c r="I8518" s="12">
        <v>6.0</v>
      </c>
      <c r="J8518" s="6" t="s">
        <v>178</v>
      </c>
    </row>
    <row r="8519" ht="22.5" customHeight="1">
      <c r="A8519" s="6" t="s">
        <v>25327</v>
      </c>
      <c r="B8519" s="6" t="s">
        <v>18849</v>
      </c>
      <c r="C8519" s="10">
        <v>46071.0</v>
      </c>
      <c r="D8519" s="6" t="s">
        <v>289</v>
      </c>
      <c r="E8519" s="6" t="s">
        <v>716</v>
      </c>
      <c r="F8519" s="6" t="s">
        <v>112</v>
      </c>
      <c r="G8519" s="6" t="s">
        <v>494</v>
      </c>
      <c r="H8519" s="11" t="s">
        <v>259</v>
      </c>
      <c r="I8519" s="12">
        <v>9.0</v>
      </c>
      <c r="J8519" s="6" t="s">
        <v>161</v>
      </c>
    </row>
    <row r="8520" ht="22.5" customHeight="1">
      <c r="A8520" s="6" t="s">
        <v>25328</v>
      </c>
      <c r="B8520" s="6" t="s">
        <v>18849</v>
      </c>
      <c r="C8520" s="10">
        <v>46074.0</v>
      </c>
      <c r="D8520" s="6" t="s">
        <v>436</v>
      </c>
      <c r="E8520" s="6" t="s">
        <v>475</v>
      </c>
      <c r="F8520" s="6" t="s">
        <v>249</v>
      </c>
      <c r="G8520" s="6" t="s">
        <v>326</v>
      </c>
      <c r="H8520" s="10">
        <v>46076.0</v>
      </c>
      <c r="I8520" s="12">
        <v>12.0</v>
      </c>
      <c r="J8520" s="6" t="s">
        <v>178</v>
      </c>
    </row>
    <row r="8521" ht="22.5" customHeight="1">
      <c r="A8521" s="6" t="s">
        <v>25329</v>
      </c>
      <c r="B8521" s="6" t="s">
        <v>18849</v>
      </c>
      <c r="C8521" s="10">
        <v>46078.0</v>
      </c>
      <c r="D8521" s="6" t="s">
        <v>242</v>
      </c>
      <c r="E8521" s="6" t="s">
        <v>1570</v>
      </c>
      <c r="F8521" s="6" t="s">
        <v>112</v>
      </c>
      <c r="G8521" s="6" t="s">
        <v>369</v>
      </c>
      <c r="H8521" s="10">
        <v>46084.0</v>
      </c>
      <c r="I8521" s="12">
        <v>4.0</v>
      </c>
      <c r="J8521" s="6" t="s">
        <v>178</v>
      </c>
    </row>
    <row r="8522" ht="22.5" customHeight="1">
      <c r="A8522" s="6" t="s">
        <v>25330</v>
      </c>
      <c r="B8522" s="6" t="s">
        <v>18855</v>
      </c>
      <c r="C8522" s="10">
        <v>46079.0</v>
      </c>
      <c r="D8522" s="6" t="s">
        <v>391</v>
      </c>
      <c r="E8522" s="6" t="s">
        <v>798</v>
      </c>
      <c r="F8522" s="6" t="s">
        <v>283</v>
      </c>
      <c r="G8522" s="6" t="s">
        <v>458</v>
      </c>
      <c r="H8522" s="10">
        <v>46079.0</v>
      </c>
      <c r="I8522" s="12">
        <v>9.0</v>
      </c>
      <c r="J8522" s="6" t="s">
        <v>161</v>
      </c>
    </row>
    <row r="8523" ht="22.5" customHeight="1">
      <c r="A8523" s="6" t="s">
        <v>25331</v>
      </c>
      <c r="B8523" s="6" t="s">
        <v>18855</v>
      </c>
      <c r="C8523" s="10">
        <v>46075.0</v>
      </c>
      <c r="D8523" s="6" t="s">
        <v>436</v>
      </c>
      <c r="E8523" s="6" t="s">
        <v>787</v>
      </c>
      <c r="F8523" s="6" t="s">
        <v>439</v>
      </c>
      <c r="G8523" s="6" t="s">
        <v>458</v>
      </c>
      <c r="H8523" s="10">
        <v>46080.0</v>
      </c>
      <c r="I8523" s="12">
        <v>11.0</v>
      </c>
      <c r="J8523" s="6" t="s">
        <v>161</v>
      </c>
    </row>
    <row r="8524" ht="22.5" customHeight="1">
      <c r="A8524" s="6" t="s">
        <v>25332</v>
      </c>
      <c r="B8524" s="6" t="s">
        <v>18855</v>
      </c>
      <c r="C8524" s="10">
        <v>46065.0</v>
      </c>
      <c r="D8524" s="6" t="s">
        <v>436</v>
      </c>
      <c r="E8524" s="6" t="s">
        <v>1122</v>
      </c>
      <c r="F8524" s="6" t="s">
        <v>283</v>
      </c>
      <c r="G8524" s="6" t="s">
        <v>452</v>
      </c>
      <c r="H8524" s="10">
        <v>46066.0</v>
      </c>
      <c r="I8524" s="12">
        <v>11.0</v>
      </c>
      <c r="J8524" s="6" t="s">
        <v>161</v>
      </c>
    </row>
    <row r="8525" ht="22.5" customHeight="1">
      <c r="A8525" s="6" t="s">
        <v>25333</v>
      </c>
      <c r="B8525" s="6" t="s">
        <v>18855</v>
      </c>
      <c r="C8525" s="10">
        <v>46079.0</v>
      </c>
      <c r="D8525" s="6" t="s">
        <v>391</v>
      </c>
      <c r="E8525" s="6" t="s">
        <v>394</v>
      </c>
      <c r="F8525" s="6" t="s">
        <v>439</v>
      </c>
      <c r="G8525" s="6" t="s">
        <v>369</v>
      </c>
      <c r="H8525" s="10">
        <v>46081.0</v>
      </c>
      <c r="I8525" s="12">
        <v>11.0</v>
      </c>
      <c r="J8525" s="6" t="s">
        <v>161</v>
      </c>
    </row>
    <row r="8526" ht="22.5" customHeight="1">
      <c r="A8526" s="6" t="s">
        <v>25334</v>
      </c>
      <c r="B8526" s="6" t="s">
        <v>18861</v>
      </c>
      <c r="C8526" s="10">
        <v>46067.0</v>
      </c>
      <c r="D8526" s="6" t="s">
        <v>416</v>
      </c>
      <c r="E8526" s="6" t="s">
        <v>1386</v>
      </c>
      <c r="F8526" s="6" t="s">
        <v>112</v>
      </c>
      <c r="G8526" s="6" t="s">
        <v>326</v>
      </c>
      <c r="H8526" s="10">
        <v>46074.0</v>
      </c>
      <c r="I8526" s="12">
        <v>13.0</v>
      </c>
      <c r="J8526" s="6" t="s">
        <v>161</v>
      </c>
    </row>
    <row r="8527" ht="22.5" customHeight="1">
      <c r="A8527" s="6" t="s">
        <v>25335</v>
      </c>
      <c r="B8527" s="6" t="s">
        <v>18861</v>
      </c>
      <c r="C8527" s="10">
        <v>46056.0</v>
      </c>
      <c r="D8527" s="6" t="s">
        <v>242</v>
      </c>
      <c r="E8527" s="6" t="s">
        <v>775</v>
      </c>
      <c r="F8527" s="6" t="s">
        <v>439</v>
      </c>
      <c r="G8527" s="6" t="s">
        <v>326</v>
      </c>
      <c r="H8527" s="10">
        <v>46060.0</v>
      </c>
      <c r="I8527" s="12">
        <v>5.0</v>
      </c>
      <c r="J8527" s="6" t="s">
        <v>161</v>
      </c>
    </row>
    <row r="8528" ht="22.5" customHeight="1">
      <c r="A8528" s="6" t="s">
        <v>25336</v>
      </c>
      <c r="B8528" s="6" t="s">
        <v>18861</v>
      </c>
      <c r="C8528" s="10">
        <v>46056.0</v>
      </c>
      <c r="D8528" s="6" t="s">
        <v>391</v>
      </c>
      <c r="E8528" s="6" t="s">
        <v>1720</v>
      </c>
      <c r="F8528" s="6" t="s">
        <v>439</v>
      </c>
      <c r="G8528" s="6" t="s">
        <v>297</v>
      </c>
      <c r="H8528" s="10">
        <v>46059.0</v>
      </c>
      <c r="I8528" s="12">
        <v>10.0</v>
      </c>
      <c r="J8528" s="6" t="s">
        <v>161</v>
      </c>
    </row>
    <row r="8529" ht="22.5" customHeight="1">
      <c r="A8529" s="6" t="s">
        <v>25337</v>
      </c>
      <c r="B8529" s="6" t="s">
        <v>18861</v>
      </c>
      <c r="C8529" s="10">
        <v>46054.0</v>
      </c>
      <c r="D8529" s="6" t="s">
        <v>677</v>
      </c>
      <c r="E8529" s="6" t="s">
        <v>775</v>
      </c>
      <c r="F8529" s="6" t="s">
        <v>439</v>
      </c>
      <c r="G8529" s="6" t="s">
        <v>254</v>
      </c>
      <c r="H8529" s="10">
        <v>46056.0</v>
      </c>
      <c r="I8529" s="12">
        <v>3.0</v>
      </c>
      <c r="J8529" s="6" t="s">
        <v>161</v>
      </c>
    </row>
    <row r="8530" ht="22.5" customHeight="1">
      <c r="A8530" s="6" t="s">
        <v>25338</v>
      </c>
      <c r="B8530" s="6" t="s">
        <v>18866</v>
      </c>
      <c r="C8530" s="10">
        <v>46044.0</v>
      </c>
      <c r="D8530" s="6" t="s">
        <v>289</v>
      </c>
      <c r="E8530" s="6" t="s">
        <v>787</v>
      </c>
      <c r="F8530" s="6" t="s">
        <v>249</v>
      </c>
      <c r="G8530" s="6" t="s">
        <v>477</v>
      </c>
      <c r="H8530" s="11" t="s">
        <v>259</v>
      </c>
      <c r="I8530" s="12">
        <v>5.0</v>
      </c>
      <c r="J8530" s="6" t="s">
        <v>161</v>
      </c>
    </row>
    <row r="8531" ht="22.5" customHeight="1">
      <c r="A8531" s="6" t="s">
        <v>25339</v>
      </c>
      <c r="B8531" s="6" t="s">
        <v>18872</v>
      </c>
      <c r="C8531" s="10">
        <v>46066.0</v>
      </c>
      <c r="D8531" s="6" t="s">
        <v>391</v>
      </c>
      <c r="E8531" s="6" t="s">
        <v>417</v>
      </c>
      <c r="F8531" s="6" t="s">
        <v>283</v>
      </c>
      <c r="G8531" s="6" t="s">
        <v>326</v>
      </c>
      <c r="H8531" s="10">
        <v>46068.0</v>
      </c>
      <c r="I8531" s="12">
        <v>10.0</v>
      </c>
      <c r="J8531" s="6" t="s">
        <v>161</v>
      </c>
    </row>
    <row r="8532" ht="22.5" customHeight="1">
      <c r="A8532" s="6" t="s">
        <v>25340</v>
      </c>
      <c r="B8532" s="6" t="s">
        <v>18872</v>
      </c>
      <c r="C8532" s="10">
        <v>46057.0</v>
      </c>
      <c r="D8532" s="6" t="s">
        <v>677</v>
      </c>
      <c r="E8532" s="6" t="s">
        <v>365</v>
      </c>
      <c r="F8532" s="6" t="s">
        <v>112</v>
      </c>
      <c r="G8532" s="6" t="s">
        <v>326</v>
      </c>
      <c r="H8532" s="10">
        <v>46064.0</v>
      </c>
      <c r="I8532" s="12">
        <v>3.0</v>
      </c>
      <c r="J8532" s="6" t="s">
        <v>161</v>
      </c>
    </row>
    <row r="8533" ht="22.5" customHeight="1">
      <c r="A8533" s="6" t="s">
        <v>25341</v>
      </c>
      <c r="B8533" s="6" t="s">
        <v>18872</v>
      </c>
      <c r="C8533" s="10">
        <v>46063.0</v>
      </c>
      <c r="D8533" s="6" t="s">
        <v>242</v>
      </c>
      <c r="E8533" s="6" t="s">
        <v>1969</v>
      </c>
      <c r="F8533" s="6" t="s">
        <v>112</v>
      </c>
      <c r="G8533" s="6" t="s">
        <v>326</v>
      </c>
      <c r="H8533" s="10">
        <v>46069.0</v>
      </c>
      <c r="I8533" s="12">
        <v>3.0</v>
      </c>
      <c r="J8533" s="6" t="s">
        <v>161</v>
      </c>
    </row>
    <row r="8534" ht="22.5" customHeight="1">
      <c r="A8534" s="6" t="s">
        <v>25342</v>
      </c>
      <c r="B8534" s="6" t="s">
        <v>18872</v>
      </c>
      <c r="C8534" s="10">
        <v>46067.0</v>
      </c>
      <c r="D8534" s="6" t="s">
        <v>436</v>
      </c>
      <c r="E8534" s="6" t="s">
        <v>466</v>
      </c>
      <c r="F8534" s="6" t="s">
        <v>283</v>
      </c>
      <c r="G8534" s="6" t="s">
        <v>326</v>
      </c>
      <c r="H8534" s="10">
        <v>46068.0</v>
      </c>
      <c r="I8534" s="12">
        <v>10.0</v>
      </c>
      <c r="J8534" s="6" t="s">
        <v>178</v>
      </c>
    </row>
    <row r="8535" ht="22.5" customHeight="1">
      <c r="A8535" s="6" t="s">
        <v>25343</v>
      </c>
      <c r="B8535" s="6" t="s">
        <v>18880</v>
      </c>
      <c r="C8535" s="10">
        <v>46047.0</v>
      </c>
      <c r="D8535" s="6" t="s">
        <v>312</v>
      </c>
      <c r="E8535" s="6" t="s">
        <v>1570</v>
      </c>
      <c r="F8535" s="6" t="s">
        <v>249</v>
      </c>
      <c r="G8535" s="6" t="s">
        <v>254</v>
      </c>
      <c r="H8535" s="10">
        <v>46050.0</v>
      </c>
      <c r="I8535" s="12">
        <v>5.0</v>
      </c>
      <c r="J8535" s="6" t="s">
        <v>161</v>
      </c>
    </row>
    <row r="8536" ht="22.5" customHeight="1">
      <c r="A8536" s="6" t="s">
        <v>25344</v>
      </c>
      <c r="B8536" s="6" t="s">
        <v>18880</v>
      </c>
      <c r="C8536" s="10">
        <v>46041.0</v>
      </c>
      <c r="D8536" s="6" t="s">
        <v>391</v>
      </c>
      <c r="E8536" s="6" t="s">
        <v>1700</v>
      </c>
      <c r="F8536" s="6" t="s">
        <v>249</v>
      </c>
      <c r="G8536" s="6" t="s">
        <v>369</v>
      </c>
      <c r="H8536" s="10">
        <v>46048.0</v>
      </c>
      <c r="I8536" s="12">
        <v>7.0</v>
      </c>
      <c r="J8536" s="6" t="s">
        <v>161</v>
      </c>
    </row>
    <row r="8537" ht="22.5" customHeight="1">
      <c r="A8537" s="6" t="s">
        <v>25345</v>
      </c>
      <c r="B8537" s="6" t="s">
        <v>18880</v>
      </c>
      <c r="C8537" s="10">
        <v>46043.0</v>
      </c>
      <c r="D8537" s="6" t="s">
        <v>436</v>
      </c>
      <c r="E8537" s="6" t="s">
        <v>1280</v>
      </c>
      <c r="F8537" s="6" t="s">
        <v>283</v>
      </c>
      <c r="G8537" s="6" t="s">
        <v>494</v>
      </c>
      <c r="H8537" s="10">
        <v>46043.0</v>
      </c>
      <c r="I8537" s="12">
        <v>11.0</v>
      </c>
      <c r="J8537" s="6" t="s">
        <v>161</v>
      </c>
    </row>
    <row r="8538" ht="22.5" customHeight="1">
      <c r="A8538" s="6" t="s">
        <v>25346</v>
      </c>
      <c r="B8538" s="6" t="s">
        <v>18880</v>
      </c>
      <c r="C8538" s="10">
        <v>46037.0</v>
      </c>
      <c r="D8538" s="6" t="s">
        <v>312</v>
      </c>
      <c r="E8538" s="6" t="s">
        <v>2881</v>
      </c>
      <c r="F8538" s="6" t="s">
        <v>439</v>
      </c>
      <c r="G8538" s="6" t="s">
        <v>254</v>
      </c>
      <c r="H8538" s="10">
        <v>46040.0</v>
      </c>
      <c r="I8538" s="12">
        <v>6.0</v>
      </c>
      <c r="J8538" s="6" t="s">
        <v>161</v>
      </c>
    </row>
    <row r="8539" ht="22.5" customHeight="1">
      <c r="A8539" s="6" t="s">
        <v>25347</v>
      </c>
      <c r="B8539" s="6" t="s">
        <v>18887</v>
      </c>
      <c r="C8539" s="10">
        <v>46069.0</v>
      </c>
      <c r="D8539" s="6" t="s">
        <v>391</v>
      </c>
      <c r="E8539" s="6" t="s">
        <v>291</v>
      </c>
      <c r="F8539" s="6" t="s">
        <v>439</v>
      </c>
      <c r="G8539" s="6" t="s">
        <v>254</v>
      </c>
      <c r="H8539" s="10">
        <v>46073.0</v>
      </c>
      <c r="I8539" s="12">
        <v>11.0</v>
      </c>
      <c r="J8539" s="6" t="s">
        <v>161</v>
      </c>
    </row>
    <row r="8540" ht="22.5" customHeight="1">
      <c r="A8540" s="6" t="s">
        <v>25348</v>
      </c>
      <c r="B8540" s="6" t="s">
        <v>18887</v>
      </c>
      <c r="C8540" s="10">
        <v>46067.0</v>
      </c>
      <c r="D8540" s="6" t="s">
        <v>312</v>
      </c>
      <c r="E8540" s="6" t="s">
        <v>716</v>
      </c>
      <c r="F8540" s="6" t="s">
        <v>439</v>
      </c>
      <c r="G8540" s="6" t="s">
        <v>452</v>
      </c>
      <c r="H8540" s="10">
        <v>46072.0</v>
      </c>
      <c r="I8540" s="12">
        <v>7.0</v>
      </c>
      <c r="J8540" s="6" t="s">
        <v>161</v>
      </c>
    </row>
    <row r="8541" ht="22.5" customHeight="1">
      <c r="A8541" s="6" t="s">
        <v>25349</v>
      </c>
      <c r="B8541" s="6" t="s">
        <v>18893</v>
      </c>
      <c r="C8541" s="10">
        <v>46063.0</v>
      </c>
      <c r="D8541" s="6" t="s">
        <v>391</v>
      </c>
      <c r="E8541" s="6" t="s">
        <v>583</v>
      </c>
      <c r="F8541" s="6" t="s">
        <v>249</v>
      </c>
      <c r="G8541" s="6" t="s">
        <v>494</v>
      </c>
      <c r="H8541" s="10">
        <v>46065.0</v>
      </c>
      <c r="I8541" s="12">
        <v>6.0</v>
      </c>
      <c r="J8541" s="6" t="s">
        <v>161</v>
      </c>
    </row>
    <row r="8542" ht="22.5" customHeight="1">
      <c r="A8542" s="6" t="s">
        <v>25350</v>
      </c>
      <c r="B8542" s="6" t="s">
        <v>18893</v>
      </c>
      <c r="C8542" s="10">
        <v>46048.0</v>
      </c>
      <c r="D8542" s="6" t="s">
        <v>289</v>
      </c>
      <c r="E8542" s="6" t="s">
        <v>1626</v>
      </c>
      <c r="F8542" s="6" t="s">
        <v>439</v>
      </c>
      <c r="G8542" s="6" t="s">
        <v>458</v>
      </c>
      <c r="H8542" s="11" t="s">
        <v>259</v>
      </c>
      <c r="I8542" s="12">
        <v>6.0</v>
      </c>
      <c r="J8542" s="6" t="s">
        <v>161</v>
      </c>
    </row>
    <row r="8543" ht="22.5" customHeight="1">
      <c r="A8543" s="6" t="s">
        <v>25351</v>
      </c>
      <c r="B8543" s="6" t="s">
        <v>18893</v>
      </c>
      <c r="C8543" s="10">
        <v>46066.0</v>
      </c>
      <c r="D8543" s="6" t="s">
        <v>677</v>
      </c>
      <c r="E8543" s="6" t="s">
        <v>634</v>
      </c>
      <c r="F8543" s="6" t="s">
        <v>283</v>
      </c>
      <c r="G8543" s="6" t="s">
        <v>494</v>
      </c>
      <c r="H8543" s="10">
        <v>46066.0</v>
      </c>
      <c r="I8543" s="12">
        <v>4.0</v>
      </c>
      <c r="J8543" s="6" t="s">
        <v>161</v>
      </c>
    </row>
    <row r="8544" ht="22.5" customHeight="1">
      <c r="A8544" s="6" t="s">
        <v>25352</v>
      </c>
      <c r="B8544" s="6" t="s">
        <v>18893</v>
      </c>
      <c r="C8544" s="10">
        <v>46053.0</v>
      </c>
      <c r="D8544" s="6" t="s">
        <v>312</v>
      </c>
      <c r="E8544" s="6" t="s">
        <v>1070</v>
      </c>
      <c r="F8544" s="6" t="s">
        <v>112</v>
      </c>
      <c r="G8544" s="6" t="s">
        <v>477</v>
      </c>
      <c r="H8544" s="10">
        <v>46057.0</v>
      </c>
      <c r="I8544" s="12">
        <v>7.0</v>
      </c>
      <c r="J8544" s="6" t="s">
        <v>161</v>
      </c>
    </row>
    <row r="8545" ht="22.5" customHeight="1">
      <c r="A8545" s="6" t="s">
        <v>25353</v>
      </c>
      <c r="B8545" s="6" t="s">
        <v>18893</v>
      </c>
      <c r="C8545" s="10">
        <v>46048.0</v>
      </c>
      <c r="D8545" s="6" t="s">
        <v>312</v>
      </c>
      <c r="E8545" s="6" t="s">
        <v>704</v>
      </c>
      <c r="F8545" s="6" t="s">
        <v>283</v>
      </c>
      <c r="G8545" s="6" t="s">
        <v>297</v>
      </c>
      <c r="H8545" s="10">
        <v>46049.0</v>
      </c>
      <c r="I8545" s="12">
        <v>6.0</v>
      </c>
      <c r="J8545" s="6" t="s">
        <v>161</v>
      </c>
    </row>
    <row r="8546" ht="22.5" customHeight="1">
      <c r="A8546" s="6" t="s">
        <v>25354</v>
      </c>
      <c r="B8546" s="6" t="s">
        <v>18900</v>
      </c>
      <c r="C8546" s="10">
        <v>46062.0</v>
      </c>
      <c r="D8546" s="6" t="s">
        <v>312</v>
      </c>
      <c r="E8546" s="6" t="s">
        <v>1517</v>
      </c>
      <c r="F8546" s="6" t="s">
        <v>283</v>
      </c>
      <c r="G8546" s="6" t="s">
        <v>369</v>
      </c>
      <c r="H8546" s="10">
        <v>46064.0</v>
      </c>
      <c r="I8546" s="12">
        <v>5.0</v>
      </c>
      <c r="J8546" s="6" t="s">
        <v>161</v>
      </c>
    </row>
    <row r="8547" ht="22.5" customHeight="1">
      <c r="A8547" s="6" t="s">
        <v>25355</v>
      </c>
      <c r="B8547" s="6" t="s">
        <v>18900</v>
      </c>
      <c r="C8547" s="10">
        <v>46058.0</v>
      </c>
      <c r="D8547" s="6" t="s">
        <v>416</v>
      </c>
      <c r="E8547" s="6" t="s">
        <v>438</v>
      </c>
      <c r="F8547" s="6" t="s">
        <v>439</v>
      </c>
      <c r="G8547" s="6" t="s">
        <v>477</v>
      </c>
      <c r="H8547" s="11" t="s">
        <v>259</v>
      </c>
      <c r="I8547" s="12">
        <v>10.0</v>
      </c>
      <c r="J8547" s="6" t="s">
        <v>161</v>
      </c>
    </row>
    <row r="8548" ht="22.5" customHeight="1">
      <c r="A8548" s="6" t="s">
        <v>25356</v>
      </c>
      <c r="B8548" s="6" t="s">
        <v>18900</v>
      </c>
      <c r="C8548" s="10">
        <v>46056.0</v>
      </c>
      <c r="D8548" s="6" t="s">
        <v>242</v>
      </c>
      <c r="E8548" s="6" t="s">
        <v>1969</v>
      </c>
      <c r="F8548" s="6" t="s">
        <v>283</v>
      </c>
      <c r="G8548" s="6" t="s">
        <v>297</v>
      </c>
      <c r="H8548" s="10">
        <v>46061.0</v>
      </c>
      <c r="I8548" s="12">
        <v>5.0</v>
      </c>
      <c r="J8548" s="6" t="s">
        <v>178</v>
      </c>
    </row>
    <row r="8549" ht="22.5" customHeight="1">
      <c r="A8549" s="6" t="s">
        <v>25357</v>
      </c>
      <c r="B8549" s="6" t="s">
        <v>18900</v>
      </c>
      <c r="C8549" s="10">
        <v>46065.0</v>
      </c>
      <c r="D8549" s="6" t="s">
        <v>677</v>
      </c>
      <c r="E8549" s="6" t="s">
        <v>583</v>
      </c>
      <c r="F8549" s="6" t="s">
        <v>283</v>
      </c>
      <c r="G8549" s="6" t="s">
        <v>452</v>
      </c>
      <c r="H8549" s="10">
        <v>46070.0</v>
      </c>
      <c r="I8549" s="12">
        <v>2.0</v>
      </c>
      <c r="J8549" s="6" t="s">
        <v>161</v>
      </c>
    </row>
    <row r="8550" ht="22.5" customHeight="1">
      <c r="A8550" s="6" t="s">
        <v>25358</v>
      </c>
      <c r="B8550" s="6" t="s">
        <v>18900</v>
      </c>
      <c r="C8550" s="10">
        <v>46062.0</v>
      </c>
      <c r="D8550" s="6" t="s">
        <v>391</v>
      </c>
      <c r="E8550" s="6" t="s">
        <v>394</v>
      </c>
      <c r="F8550" s="6" t="s">
        <v>112</v>
      </c>
      <c r="G8550" s="6" t="s">
        <v>494</v>
      </c>
      <c r="H8550" s="10">
        <v>46064.0</v>
      </c>
      <c r="I8550" s="12">
        <v>8.0</v>
      </c>
      <c r="J8550" s="6" t="s">
        <v>161</v>
      </c>
    </row>
    <row r="8551" ht="22.5" customHeight="1">
      <c r="A8551" s="6" t="s">
        <v>25359</v>
      </c>
      <c r="B8551" s="6" t="s">
        <v>18907</v>
      </c>
      <c r="C8551" s="10">
        <v>46076.0</v>
      </c>
      <c r="D8551" s="6" t="s">
        <v>436</v>
      </c>
      <c r="E8551" s="6" t="s">
        <v>716</v>
      </c>
      <c r="F8551" s="6" t="s">
        <v>249</v>
      </c>
      <c r="G8551" s="6" t="s">
        <v>458</v>
      </c>
      <c r="H8551" s="10">
        <v>46079.0</v>
      </c>
      <c r="I8551" s="12">
        <v>10.0</v>
      </c>
      <c r="J8551" s="6" t="s">
        <v>178</v>
      </c>
    </row>
    <row r="8552" ht="22.5" customHeight="1">
      <c r="A8552" s="6" t="s">
        <v>25360</v>
      </c>
      <c r="B8552" s="6" t="s">
        <v>18907</v>
      </c>
      <c r="C8552" s="10">
        <v>46077.0</v>
      </c>
      <c r="D8552" s="6" t="s">
        <v>242</v>
      </c>
      <c r="E8552" s="6" t="s">
        <v>450</v>
      </c>
      <c r="F8552" s="6" t="s">
        <v>283</v>
      </c>
      <c r="G8552" s="6" t="s">
        <v>458</v>
      </c>
      <c r="H8552" s="10">
        <v>46082.0</v>
      </c>
      <c r="I8552" s="12">
        <v>3.0</v>
      </c>
      <c r="J8552" s="6" t="s">
        <v>178</v>
      </c>
    </row>
    <row r="8553" ht="22.5" customHeight="1">
      <c r="A8553" s="6" t="s">
        <v>25361</v>
      </c>
      <c r="B8553" s="6" t="s">
        <v>18907</v>
      </c>
      <c r="C8553" s="10">
        <v>46087.0</v>
      </c>
      <c r="D8553" s="6" t="s">
        <v>677</v>
      </c>
      <c r="E8553" s="6" t="s">
        <v>246</v>
      </c>
      <c r="F8553" s="6" t="s">
        <v>283</v>
      </c>
      <c r="G8553" s="6" t="s">
        <v>477</v>
      </c>
      <c r="H8553" s="10">
        <v>46089.0</v>
      </c>
      <c r="I8553" s="12">
        <v>4.0</v>
      </c>
      <c r="J8553" s="6" t="s">
        <v>161</v>
      </c>
    </row>
    <row r="8554" ht="22.5" customHeight="1">
      <c r="A8554" s="6" t="s">
        <v>25362</v>
      </c>
      <c r="B8554" s="6" t="s">
        <v>18913</v>
      </c>
      <c r="C8554" s="10">
        <v>46076.0</v>
      </c>
      <c r="D8554" s="6" t="s">
        <v>416</v>
      </c>
      <c r="E8554" s="6" t="s">
        <v>775</v>
      </c>
      <c r="F8554" s="6" t="s">
        <v>283</v>
      </c>
      <c r="G8554" s="6" t="s">
        <v>369</v>
      </c>
      <c r="H8554" s="10">
        <v>46077.0</v>
      </c>
      <c r="I8554" s="12">
        <v>14.0</v>
      </c>
      <c r="J8554" s="6" t="s">
        <v>161</v>
      </c>
    </row>
    <row r="8555" ht="22.5" customHeight="1">
      <c r="A8555" s="6" t="s">
        <v>25363</v>
      </c>
      <c r="B8555" s="6" t="s">
        <v>18920</v>
      </c>
      <c r="C8555" s="10">
        <v>46044.0</v>
      </c>
      <c r="D8555" s="6" t="s">
        <v>391</v>
      </c>
      <c r="E8555" s="6" t="s">
        <v>365</v>
      </c>
      <c r="F8555" s="6" t="s">
        <v>283</v>
      </c>
      <c r="G8555" s="6" t="s">
        <v>254</v>
      </c>
      <c r="H8555" s="10">
        <v>46046.0</v>
      </c>
      <c r="I8555" s="12">
        <v>11.0</v>
      </c>
      <c r="J8555" s="6" t="s">
        <v>161</v>
      </c>
    </row>
    <row r="8556" ht="22.5" customHeight="1">
      <c r="A8556" s="6" t="s">
        <v>25364</v>
      </c>
      <c r="B8556" s="6" t="s">
        <v>18920</v>
      </c>
      <c r="C8556" s="10">
        <v>46043.0</v>
      </c>
      <c r="D8556" s="6" t="s">
        <v>391</v>
      </c>
      <c r="E8556" s="6" t="s">
        <v>1273</v>
      </c>
      <c r="F8556" s="6" t="s">
        <v>439</v>
      </c>
      <c r="G8556" s="6" t="s">
        <v>477</v>
      </c>
      <c r="H8556" s="11" t="s">
        <v>259</v>
      </c>
      <c r="I8556" s="12">
        <v>9.0</v>
      </c>
      <c r="J8556" s="6" t="s">
        <v>161</v>
      </c>
    </row>
    <row r="8557" ht="22.5" customHeight="1">
      <c r="A8557" s="6" t="s">
        <v>25365</v>
      </c>
      <c r="B8557" s="6" t="s">
        <v>18920</v>
      </c>
      <c r="C8557" s="10">
        <v>46054.0</v>
      </c>
      <c r="D8557" s="6" t="s">
        <v>242</v>
      </c>
      <c r="E8557" s="6" t="s">
        <v>610</v>
      </c>
      <c r="F8557" s="6" t="s">
        <v>249</v>
      </c>
      <c r="G8557" s="6" t="s">
        <v>458</v>
      </c>
      <c r="H8557" s="10">
        <v>46061.0</v>
      </c>
      <c r="I8557" s="12">
        <v>4.0</v>
      </c>
      <c r="J8557" s="6" t="s">
        <v>178</v>
      </c>
    </row>
    <row r="8558" ht="22.5" customHeight="1">
      <c r="A8558" s="6" t="s">
        <v>25366</v>
      </c>
      <c r="B8558" s="6" t="s">
        <v>18920</v>
      </c>
      <c r="C8558" s="10">
        <v>46049.0</v>
      </c>
      <c r="D8558" s="6" t="s">
        <v>416</v>
      </c>
      <c r="E8558" s="6" t="s">
        <v>566</v>
      </c>
      <c r="F8558" s="6" t="s">
        <v>283</v>
      </c>
      <c r="G8558" s="6" t="s">
        <v>458</v>
      </c>
      <c r="H8558" s="10">
        <v>46049.0</v>
      </c>
      <c r="I8558" s="12">
        <v>12.0</v>
      </c>
      <c r="J8558" s="6" t="s">
        <v>161</v>
      </c>
    </row>
    <row r="8559" ht="22.5" customHeight="1">
      <c r="A8559" s="6" t="s">
        <v>25367</v>
      </c>
      <c r="B8559" s="6" t="s">
        <v>18927</v>
      </c>
      <c r="C8559" s="10">
        <v>46082.0</v>
      </c>
      <c r="D8559" s="6" t="s">
        <v>242</v>
      </c>
      <c r="E8559" s="6" t="s">
        <v>670</v>
      </c>
      <c r="F8559" s="6" t="s">
        <v>439</v>
      </c>
      <c r="G8559" s="6" t="s">
        <v>326</v>
      </c>
      <c r="H8559" s="11" t="s">
        <v>259</v>
      </c>
      <c r="I8559" s="12">
        <v>4.0</v>
      </c>
      <c r="J8559" s="6" t="s">
        <v>161</v>
      </c>
    </row>
    <row r="8560" ht="22.5" customHeight="1">
      <c r="A8560" s="6" t="s">
        <v>25368</v>
      </c>
      <c r="B8560" s="6" t="s">
        <v>18927</v>
      </c>
      <c r="C8560" s="10">
        <v>46072.0</v>
      </c>
      <c r="D8560" s="6" t="s">
        <v>391</v>
      </c>
      <c r="E8560" s="6" t="s">
        <v>1122</v>
      </c>
      <c r="F8560" s="6" t="s">
        <v>249</v>
      </c>
      <c r="G8560" s="6" t="s">
        <v>477</v>
      </c>
      <c r="H8560" s="10">
        <v>46079.0</v>
      </c>
      <c r="I8560" s="12">
        <v>10.0</v>
      </c>
      <c r="J8560" s="6" t="s">
        <v>161</v>
      </c>
    </row>
    <row r="8561" ht="22.5" customHeight="1">
      <c r="A8561" s="6" t="s">
        <v>25369</v>
      </c>
      <c r="B8561" s="6" t="s">
        <v>18927</v>
      </c>
      <c r="C8561" s="10">
        <v>46072.0</v>
      </c>
      <c r="D8561" s="6" t="s">
        <v>312</v>
      </c>
      <c r="E8561" s="6" t="s">
        <v>417</v>
      </c>
      <c r="F8561" s="6" t="s">
        <v>249</v>
      </c>
      <c r="G8561" s="6" t="s">
        <v>369</v>
      </c>
      <c r="H8561" s="11" t="s">
        <v>259</v>
      </c>
      <c r="I8561" s="12">
        <v>7.0</v>
      </c>
      <c r="J8561" s="6" t="s">
        <v>161</v>
      </c>
    </row>
    <row r="8562" ht="22.5" customHeight="1">
      <c r="A8562" s="6" t="s">
        <v>25370</v>
      </c>
      <c r="B8562" s="6" t="s">
        <v>18934</v>
      </c>
      <c r="C8562" s="10">
        <v>46050.0</v>
      </c>
      <c r="D8562" s="6" t="s">
        <v>391</v>
      </c>
      <c r="E8562" s="6" t="s">
        <v>896</v>
      </c>
      <c r="F8562" s="6" t="s">
        <v>112</v>
      </c>
      <c r="G8562" s="6" t="s">
        <v>297</v>
      </c>
      <c r="H8562" s="10">
        <v>46056.0</v>
      </c>
      <c r="I8562" s="12">
        <v>11.0</v>
      </c>
      <c r="J8562" s="6" t="s">
        <v>161</v>
      </c>
    </row>
    <row r="8563" ht="22.5" customHeight="1">
      <c r="A8563" s="6" t="s">
        <v>25371</v>
      </c>
      <c r="B8563" s="6" t="s">
        <v>18934</v>
      </c>
      <c r="C8563" s="10">
        <v>46053.0</v>
      </c>
      <c r="D8563" s="6" t="s">
        <v>391</v>
      </c>
      <c r="E8563" s="6" t="s">
        <v>1055</v>
      </c>
      <c r="F8563" s="6" t="s">
        <v>439</v>
      </c>
      <c r="G8563" s="6" t="s">
        <v>458</v>
      </c>
      <c r="H8563" s="10">
        <v>46058.0</v>
      </c>
      <c r="I8563" s="12">
        <v>6.0</v>
      </c>
      <c r="J8563" s="6" t="s">
        <v>161</v>
      </c>
    </row>
    <row r="8564" ht="22.5" customHeight="1">
      <c r="A8564" s="6" t="s">
        <v>25372</v>
      </c>
      <c r="B8564" s="6" t="s">
        <v>18934</v>
      </c>
      <c r="C8564" s="10">
        <v>46043.0</v>
      </c>
      <c r="D8564" s="6" t="s">
        <v>436</v>
      </c>
      <c r="E8564" s="6" t="s">
        <v>1386</v>
      </c>
      <c r="F8564" s="6" t="s">
        <v>439</v>
      </c>
      <c r="G8564" s="6" t="s">
        <v>254</v>
      </c>
      <c r="H8564" s="10">
        <v>46049.0</v>
      </c>
      <c r="I8564" s="12">
        <v>10.0</v>
      </c>
      <c r="J8564" s="6" t="s">
        <v>161</v>
      </c>
    </row>
    <row r="8565" ht="22.5" customHeight="1">
      <c r="A8565" s="6" t="s">
        <v>25373</v>
      </c>
      <c r="B8565" s="6" t="s">
        <v>18942</v>
      </c>
      <c r="C8565" s="10">
        <v>46061.0</v>
      </c>
      <c r="D8565" s="6" t="s">
        <v>242</v>
      </c>
      <c r="E8565" s="6" t="s">
        <v>628</v>
      </c>
      <c r="F8565" s="6" t="s">
        <v>439</v>
      </c>
      <c r="G8565" s="6" t="s">
        <v>458</v>
      </c>
      <c r="H8565" s="10">
        <v>46066.0</v>
      </c>
      <c r="I8565" s="12">
        <v>3.0</v>
      </c>
      <c r="J8565" s="6" t="s">
        <v>161</v>
      </c>
    </row>
    <row r="8566" ht="22.5" customHeight="1">
      <c r="A8566" s="6" t="s">
        <v>25374</v>
      </c>
      <c r="B8566" s="6" t="s">
        <v>18942</v>
      </c>
      <c r="C8566" s="10">
        <v>46056.0</v>
      </c>
      <c r="D8566" s="6" t="s">
        <v>677</v>
      </c>
      <c r="E8566" s="6" t="s">
        <v>583</v>
      </c>
      <c r="F8566" s="6" t="s">
        <v>283</v>
      </c>
      <c r="G8566" s="6" t="s">
        <v>326</v>
      </c>
      <c r="H8566" s="10">
        <v>46058.0</v>
      </c>
      <c r="I8566" s="12">
        <v>3.0</v>
      </c>
      <c r="J8566" s="6" t="s">
        <v>161</v>
      </c>
    </row>
    <row r="8567" ht="22.5" customHeight="1">
      <c r="A8567" s="6" t="s">
        <v>25375</v>
      </c>
      <c r="B8567" s="6" t="s">
        <v>18949</v>
      </c>
      <c r="C8567" s="10">
        <v>46072.0</v>
      </c>
      <c r="D8567" s="6" t="s">
        <v>289</v>
      </c>
      <c r="E8567" s="6" t="s">
        <v>1720</v>
      </c>
      <c r="F8567" s="6" t="s">
        <v>249</v>
      </c>
      <c r="G8567" s="6" t="s">
        <v>254</v>
      </c>
      <c r="H8567" s="10">
        <v>46075.0</v>
      </c>
      <c r="I8567" s="12">
        <v>9.0</v>
      </c>
      <c r="J8567" s="6" t="s">
        <v>161</v>
      </c>
    </row>
    <row r="8568" ht="22.5" customHeight="1">
      <c r="A8568" s="6" t="s">
        <v>25376</v>
      </c>
      <c r="B8568" s="6" t="s">
        <v>18949</v>
      </c>
      <c r="C8568" s="10">
        <v>46065.0</v>
      </c>
      <c r="D8568" s="6" t="s">
        <v>242</v>
      </c>
      <c r="E8568" s="6" t="s">
        <v>291</v>
      </c>
      <c r="F8568" s="6" t="s">
        <v>439</v>
      </c>
      <c r="G8568" s="6" t="s">
        <v>297</v>
      </c>
      <c r="H8568" s="11" t="s">
        <v>259</v>
      </c>
      <c r="I8568" s="12">
        <v>3.0</v>
      </c>
      <c r="J8568" s="6" t="s">
        <v>178</v>
      </c>
    </row>
    <row r="8569" ht="22.5" customHeight="1">
      <c r="A8569" s="6" t="s">
        <v>25377</v>
      </c>
      <c r="B8569" s="6" t="s">
        <v>18957</v>
      </c>
      <c r="C8569" s="10">
        <v>46062.0</v>
      </c>
      <c r="D8569" s="6" t="s">
        <v>391</v>
      </c>
      <c r="E8569" s="6" t="s">
        <v>1741</v>
      </c>
      <c r="F8569" s="6" t="s">
        <v>112</v>
      </c>
      <c r="G8569" s="6" t="s">
        <v>297</v>
      </c>
      <c r="H8569" s="10">
        <v>46067.0</v>
      </c>
      <c r="I8569" s="12">
        <v>9.0</v>
      </c>
      <c r="J8569" s="6" t="s">
        <v>161</v>
      </c>
    </row>
    <row r="8570" ht="22.5" customHeight="1">
      <c r="A8570" s="6" t="s">
        <v>25378</v>
      </c>
      <c r="B8570" s="6" t="s">
        <v>18957</v>
      </c>
      <c r="C8570" s="10">
        <v>46076.0</v>
      </c>
      <c r="D8570" s="6" t="s">
        <v>677</v>
      </c>
      <c r="E8570" s="6" t="s">
        <v>833</v>
      </c>
      <c r="F8570" s="6" t="s">
        <v>249</v>
      </c>
      <c r="G8570" s="6" t="s">
        <v>452</v>
      </c>
      <c r="H8570" s="10">
        <v>46081.0</v>
      </c>
      <c r="I8570" s="12">
        <v>4.0</v>
      </c>
      <c r="J8570" s="6" t="s">
        <v>161</v>
      </c>
    </row>
    <row r="8571" ht="22.5" customHeight="1">
      <c r="A8571" s="6" t="s">
        <v>25379</v>
      </c>
      <c r="B8571" s="6" t="s">
        <v>18957</v>
      </c>
      <c r="C8571" s="10">
        <v>46071.0</v>
      </c>
      <c r="D8571" s="6" t="s">
        <v>416</v>
      </c>
      <c r="E8571" s="6" t="s">
        <v>1969</v>
      </c>
      <c r="F8571" s="6" t="s">
        <v>439</v>
      </c>
      <c r="G8571" s="6" t="s">
        <v>477</v>
      </c>
      <c r="H8571" s="10">
        <v>46073.0</v>
      </c>
      <c r="I8571" s="12">
        <v>10.0</v>
      </c>
      <c r="J8571" s="6" t="s">
        <v>161</v>
      </c>
    </row>
    <row r="8572" ht="22.5" customHeight="1">
      <c r="A8572" s="6" t="s">
        <v>25380</v>
      </c>
      <c r="B8572" s="6" t="s">
        <v>18964</v>
      </c>
      <c r="C8572" s="10">
        <v>46056.0</v>
      </c>
      <c r="D8572" s="6" t="s">
        <v>677</v>
      </c>
      <c r="E8572" s="6" t="s">
        <v>1035</v>
      </c>
      <c r="F8572" s="6" t="s">
        <v>283</v>
      </c>
      <c r="G8572" s="6" t="s">
        <v>297</v>
      </c>
      <c r="H8572" s="10">
        <v>46059.0</v>
      </c>
      <c r="I8572" s="12">
        <v>3.0</v>
      </c>
      <c r="J8572" s="6" t="s">
        <v>161</v>
      </c>
    </row>
    <row r="8573" ht="22.5" customHeight="1">
      <c r="A8573" s="6" t="s">
        <v>25381</v>
      </c>
      <c r="B8573" s="6" t="s">
        <v>18969</v>
      </c>
      <c r="C8573" s="10">
        <v>46067.0</v>
      </c>
      <c r="D8573" s="6" t="s">
        <v>312</v>
      </c>
      <c r="E8573" s="6" t="s">
        <v>1570</v>
      </c>
      <c r="F8573" s="6" t="s">
        <v>439</v>
      </c>
      <c r="G8573" s="6" t="s">
        <v>369</v>
      </c>
      <c r="H8573" s="10">
        <v>46070.0</v>
      </c>
      <c r="I8573" s="12">
        <v>5.0</v>
      </c>
      <c r="J8573" s="6" t="s">
        <v>161</v>
      </c>
    </row>
    <row r="8574" ht="22.5" customHeight="1">
      <c r="A8574" s="6" t="s">
        <v>25382</v>
      </c>
      <c r="B8574" s="6" t="s">
        <v>18969</v>
      </c>
      <c r="C8574" s="10">
        <v>46066.0</v>
      </c>
      <c r="D8574" s="6" t="s">
        <v>677</v>
      </c>
      <c r="E8574" s="6" t="s">
        <v>246</v>
      </c>
      <c r="F8574" s="6" t="s">
        <v>439</v>
      </c>
      <c r="G8574" s="6" t="s">
        <v>494</v>
      </c>
      <c r="H8574" s="11" t="s">
        <v>259</v>
      </c>
      <c r="I8574" s="12">
        <v>3.0</v>
      </c>
      <c r="J8574" s="6" t="s">
        <v>161</v>
      </c>
    </row>
    <row r="8575" ht="22.5" customHeight="1">
      <c r="A8575" s="6" t="s">
        <v>25383</v>
      </c>
      <c r="B8575" s="6" t="s">
        <v>18975</v>
      </c>
      <c r="C8575" s="10">
        <v>46071.0</v>
      </c>
      <c r="D8575" s="6" t="s">
        <v>242</v>
      </c>
      <c r="E8575" s="6" t="s">
        <v>955</v>
      </c>
      <c r="F8575" s="6" t="s">
        <v>112</v>
      </c>
      <c r="G8575" s="6" t="s">
        <v>369</v>
      </c>
      <c r="H8575" s="10">
        <v>46077.0</v>
      </c>
      <c r="I8575" s="12">
        <v>3.0</v>
      </c>
      <c r="J8575" s="6" t="s">
        <v>161</v>
      </c>
    </row>
    <row r="8576" ht="22.5" customHeight="1">
      <c r="A8576" s="6" t="s">
        <v>25384</v>
      </c>
      <c r="B8576" s="6" t="s">
        <v>18975</v>
      </c>
      <c r="C8576" s="10">
        <v>46079.0</v>
      </c>
      <c r="D8576" s="6" t="s">
        <v>416</v>
      </c>
      <c r="E8576" s="6" t="s">
        <v>716</v>
      </c>
      <c r="F8576" s="6" t="s">
        <v>112</v>
      </c>
      <c r="G8576" s="6" t="s">
        <v>297</v>
      </c>
      <c r="H8576" s="10">
        <v>46083.0</v>
      </c>
      <c r="I8576" s="12">
        <v>13.0</v>
      </c>
      <c r="J8576" s="6" t="s">
        <v>161</v>
      </c>
    </row>
    <row r="8577" ht="22.5" customHeight="1">
      <c r="A8577" s="6" t="s">
        <v>25385</v>
      </c>
      <c r="B8577" s="6" t="s">
        <v>18982</v>
      </c>
      <c r="C8577" s="10">
        <v>46082.0</v>
      </c>
      <c r="D8577" s="6" t="s">
        <v>289</v>
      </c>
      <c r="E8577" s="6" t="s">
        <v>775</v>
      </c>
      <c r="F8577" s="6" t="s">
        <v>112</v>
      </c>
      <c r="G8577" s="6" t="s">
        <v>297</v>
      </c>
      <c r="H8577" s="10">
        <v>46086.0</v>
      </c>
      <c r="I8577" s="12">
        <v>10.0</v>
      </c>
      <c r="J8577" s="6" t="s">
        <v>161</v>
      </c>
    </row>
    <row r="8578" ht="22.5" customHeight="1">
      <c r="A8578" s="6" t="s">
        <v>25386</v>
      </c>
      <c r="B8578" s="6" t="s">
        <v>18982</v>
      </c>
      <c r="C8578" s="10">
        <v>46066.0</v>
      </c>
      <c r="D8578" s="6" t="s">
        <v>677</v>
      </c>
      <c r="E8578" s="6" t="s">
        <v>1741</v>
      </c>
      <c r="F8578" s="6" t="s">
        <v>249</v>
      </c>
      <c r="G8578" s="6" t="s">
        <v>452</v>
      </c>
      <c r="H8578" s="10">
        <v>46070.0</v>
      </c>
      <c r="I8578" s="12">
        <v>3.0</v>
      </c>
      <c r="J8578" s="6" t="s">
        <v>161</v>
      </c>
    </row>
    <row r="8579" ht="22.5" customHeight="1">
      <c r="A8579" s="6" t="s">
        <v>25387</v>
      </c>
      <c r="B8579" s="6" t="s">
        <v>18982</v>
      </c>
      <c r="C8579" s="10">
        <v>46062.0</v>
      </c>
      <c r="D8579" s="6" t="s">
        <v>391</v>
      </c>
      <c r="E8579" s="6" t="s">
        <v>365</v>
      </c>
      <c r="F8579" s="6" t="s">
        <v>439</v>
      </c>
      <c r="G8579" s="6" t="s">
        <v>494</v>
      </c>
      <c r="H8579" s="11" t="s">
        <v>259</v>
      </c>
      <c r="I8579" s="12">
        <v>8.0</v>
      </c>
      <c r="J8579" s="6" t="s">
        <v>161</v>
      </c>
    </row>
    <row r="8580" ht="22.5" customHeight="1">
      <c r="A8580" s="6" t="s">
        <v>25388</v>
      </c>
      <c r="B8580" s="6" t="s">
        <v>18982</v>
      </c>
      <c r="C8580" s="10">
        <v>46063.0</v>
      </c>
      <c r="D8580" s="6" t="s">
        <v>416</v>
      </c>
      <c r="E8580" s="6" t="s">
        <v>833</v>
      </c>
      <c r="F8580" s="6" t="s">
        <v>439</v>
      </c>
      <c r="G8580" s="6" t="s">
        <v>369</v>
      </c>
      <c r="H8580" s="10">
        <v>46067.0</v>
      </c>
      <c r="I8580" s="12">
        <v>10.0</v>
      </c>
      <c r="J8580" s="6" t="s">
        <v>161</v>
      </c>
    </row>
    <row r="8581" ht="22.5" customHeight="1">
      <c r="A8581" s="6" t="s">
        <v>25389</v>
      </c>
      <c r="B8581" s="6" t="s">
        <v>18982</v>
      </c>
      <c r="C8581" s="10">
        <v>46069.0</v>
      </c>
      <c r="D8581" s="6" t="s">
        <v>436</v>
      </c>
      <c r="E8581" s="6" t="s">
        <v>2365</v>
      </c>
      <c r="F8581" s="6" t="s">
        <v>439</v>
      </c>
      <c r="G8581" s="6" t="s">
        <v>494</v>
      </c>
      <c r="H8581" s="10">
        <v>46073.0</v>
      </c>
      <c r="I8581" s="12">
        <v>12.0</v>
      </c>
      <c r="J8581" s="6" t="s">
        <v>178</v>
      </c>
    </row>
    <row r="8582" ht="22.5" customHeight="1">
      <c r="A8582" s="6" t="s">
        <v>25390</v>
      </c>
      <c r="B8582" s="6" t="s">
        <v>18989</v>
      </c>
      <c r="C8582" s="10">
        <v>46046.0</v>
      </c>
      <c r="D8582" s="6" t="s">
        <v>289</v>
      </c>
      <c r="E8582" s="6" t="s">
        <v>246</v>
      </c>
      <c r="F8582" s="6" t="s">
        <v>249</v>
      </c>
      <c r="G8582" s="6" t="s">
        <v>494</v>
      </c>
      <c r="H8582" s="10">
        <v>46050.0</v>
      </c>
      <c r="I8582" s="12">
        <v>9.0</v>
      </c>
      <c r="J8582" s="6" t="s">
        <v>161</v>
      </c>
    </row>
    <row r="8583" ht="22.5" customHeight="1">
      <c r="A8583" s="6" t="s">
        <v>25391</v>
      </c>
      <c r="B8583" s="6" t="s">
        <v>18989</v>
      </c>
      <c r="C8583" s="10">
        <v>46046.0</v>
      </c>
      <c r="D8583" s="6" t="s">
        <v>289</v>
      </c>
      <c r="E8583" s="6" t="s">
        <v>1570</v>
      </c>
      <c r="F8583" s="6" t="s">
        <v>249</v>
      </c>
      <c r="G8583" s="6" t="s">
        <v>369</v>
      </c>
      <c r="H8583" s="11" t="s">
        <v>259</v>
      </c>
      <c r="I8583" s="12">
        <v>6.0</v>
      </c>
      <c r="J8583" s="6" t="s">
        <v>161</v>
      </c>
    </row>
    <row r="8584" ht="22.5" customHeight="1">
      <c r="A8584" s="6" t="s">
        <v>25392</v>
      </c>
      <c r="B8584" s="6" t="s">
        <v>18994</v>
      </c>
      <c r="C8584" s="10">
        <v>46059.0</v>
      </c>
      <c r="D8584" s="6" t="s">
        <v>436</v>
      </c>
      <c r="E8584" s="6" t="s">
        <v>512</v>
      </c>
      <c r="F8584" s="6" t="s">
        <v>112</v>
      </c>
      <c r="G8584" s="6" t="s">
        <v>452</v>
      </c>
      <c r="H8584" s="10">
        <v>46063.0</v>
      </c>
      <c r="I8584" s="12">
        <v>7.0</v>
      </c>
      <c r="J8584" s="6" t="s">
        <v>161</v>
      </c>
    </row>
    <row r="8585" ht="22.5" customHeight="1">
      <c r="A8585" s="6" t="s">
        <v>25393</v>
      </c>
      <c r="B8585" s="6" t="s">
        <v>18994</v>
      </c>
      <c r="C8585" s="10">
        <v>46056.0</v>
      </c>
      <c r="D8585" s="6" t="s">
        <v>312</v>
      </c>
      <c r="E8585" s="6" t="s">
        <v>566</v>
      </c>
      <c r="F8585" s="6" t="s">
        <v>249</v>
      </c>
      <c r="G8585" s="6" t="s">
        <v>254</v>
      </c>
      <c r="H8585" s="10">
        <v>46060.0</v>
      </c>
      <c r="I8585" s="12">
        <v>6.0</v>
      </c>
      <c r="J8585" s="6" t="s">
        <v>161</v>
      </c>
    </row>
    <row r="8586" ht="22.5" customHeight="1">
      <c r="A8586" s="6" t="s">
        <v>25394</v>
      </c>
      <c r="B8586" s="6" t="s">
        <v>18999</v>
      </c>
      <c r="C8586" s="10">
        <v>46067.0</v>
      </c>
      <c r="D8586" s="6" t="s">
        <v>416</v>
      </c>
      <c r="E8586" s="6" t="s">
        <v>566</v>
      </c>
      <c r="F8586" s="6" t="s">
        <v>112</v>
      </c>
      <c r="G8586" s="6" t="s">
        <v>452</v>
      </c>
      <c r="H8586" s="10">
        <v>46072.0</v>
      </c>
      <c r="I8586" s="12">
        <v>9.0</v>
      </c>
      <c r="J8586" s="6" t="s">
        <v>161</v>
      </c>
    </row>
    <row r="8587" ht="22.5" customHeight="1">
      <c r="A8587" s="6" t="s">
        <v>25395</v>
      </c>
      <c r="B8587" s="6" t="s">
        <v>19005</v>
      </c>
      <c r="C8587" s="10">
        <v>46065.0</v>
      </c>
      <c r="D8587" s="6" t="s">
        <v>416</v>
      </c>
      <c r="E8587" s="6" t="s">
        <v>1035</v>
      </c>
      <c r="F8587" s="6" t="s">
        <v>439</v>
      </c>
      <c r="G8587" s="6" t="s">
        <v>326</v>
      </c>
      <c r="H8587" s="11" t="s">
        <v>259</v>
      </c>
      <c r="I8587" s="12">
        <v>12.0</v>
      </c>
      <c r="J8587" s="6" t="s">
        <v>161</v>
      </c>
    </row>
    <row r="8588" ht="22.5" customHeight="1">
      <c r="A8588" s="6" t="s">
        <v>25396</v>
      </c>
      <c r="B8588" s="6" t="s">
        <v>19005</v>
      </c>
      <c r="C8588" s="10">
        <v>46064.0</v>
      </c>
      <c r="D8588" s="6" t="s">
        <v>677</v>
      </c>
      <c r="E8588" s="6" t="s">
        <v>394</v>
      </c>
      <c r="F8588" s="6" t="s">
        <v>439</v>
      </c>
      <c r="G8588" s="6" t="s">
        <v>369</v>
      </c>
      <c r="H8588" s="10">
        <v>46070.0</v>
      </c>
      <c r="I8588" s="12">
        <v>2.0</v>
      </c>
      <c r="J8588" s="6" t="s">
        <v>161</v>
      </c>
    </row>
    <row r="8589" ht="22.5" customHeight="1">
      <c r="A8589" s="6" t="s">
        <v>25397</v>
      </c>
      <c r="B8589" s="6" t="s">
        <v>19005</v>
      </c>
      <c r="C8589" s="10">
        <v>46046.0</v>
      </c>
      <c r="D8589" s="6" t="s">
        <v>436</v>
      </c>
      <c r="E8589" s="6" t="s">
        <v>738</v>
      </c>
      <c r="F8589" s="6" t="s">
        <v>112</v>
      </c>
      <c r="G8589" s="6" t="s">
        <v>254</v>
      </c>
      <c r="H8589" s="10">
        <v>46050.0</v>
      </c>
      <c r="I8589" s="12">
        <v>6.0</v>
      </c>
      <c r="J8589" s="6" t="s">
        <v>178</v>
      </c>
    </row>
    <row r="8590" ht="22.5" customHeight="1">
      <c r="A8590" s="6" t="s">
        <v>25398</v>
      </c>
      <c r="B8590" s="6" t="s">
        <v>19005</v>
      </c>
      <c r="C8590" s="10">
        <v>46054.0</v>
      </c>
      <c r="D8590" s="6" t="s">
        <v>289</v>
      </c>
      <c r="E8590" s="6" t="s">
        <v>1969</v>
      </c>
      <c r="F8590" s="6" t="s">
        <v>283</v>
      </c>
      <c r="G8590" s="6" t="s">
        <v>254</v>
      </c>
      <c r="H8590" s="10">
        <v>46054.0</v>
      </c>
      <c r="I8590" s="12">
        <v>10.0</v>
      </c>
      <c r="J8590" s="6" t="s">
        <v>161</v>
      </c>
    </row>
    <row r="8591" ht="22.5" customHeight="1">
      <c r="A8591" s="6" t="s">
        <v>25399</v>
      </c>
      <c r="B8591" s="6" t="s">
        <v>19012</v>
      </c>
      <c r="C8591" s="10">
        <v>46073.0</v>
      </c>
      <c r="D8591" s="6" t="s">
        <v>242</v>
      </c>
      <c r="E8591" s="6" t="s">
        <v>583</v>
      </c>
      <c r="F8591" s="6" t="s">
        <v>112</v>
      </c>
      <c r="G8591" s="6" t="s">
        <v>369</v>
      </c>
      <c r="H8591" s="11" t="s">
        <v>259</v>
      </c>
      <c r="I8591" s="12">
        <v>3.0</v>
      </c>
      <c r="J8591" s="6" t="s">
        <v>161</v>
      </c>
    </row>
    <row r="8592" ht="22.5" customHeight="1">
      <c r="A8592" s="6" t="s">
        <v>25400</v>
      </c>
      <c r="B8592" s="6" t="s">
        <v>19012</v>
      </c>
      <c r="C8592" s="10">
        <v>46063.0</v>
      </c>
      <c r="D8592" s="6" t="s">
        <v>416</v>
      </c>
      <c r="E8592" s="6" t="s">
        <v>618</v>
      </c>
      <c r="F8592" s="6" t="s">
        <v>249</v>
      </c>
      <c r="G8592" s="6" t="s">
        <v>477</v>
      </c>
      <c r="H8592" s="10">
        <v>46070.0</v>
      </c>
      <c r="I8592" s="12">
        <v>11.0</v>
      </c>
      <c r="J8592" s="6" t="s">
        <v>161</v>
      </c>
    </row>
    <row r="8593" ht="22.5" customHeight="1">
      <c r="A8593" s="6" t="s">
        <v>25401</v>
      </c>
      <c r="B8593" s="6" t="s">
        <v>19012</v>
      </c>
      <c r="C8593" s="10">
        <v>46058.0</v>
      </c>
      <c r="D8593" s="6" t="s">
        <v>416</v>
      </c>
      <c r="E8593" s="6" t="s">
        <v>417</v>
      </c>
      <c r="F8593" s="6" t="s">
        <v>112</v>
      </c>
      <c r="G8593" s="6" t="s">
        <v>297</v>
      </c>
      <c r="H8593" s="10">
        <v>46065.0</v>
      </c>
      <c r="I8593" s="12">
        <v>10.0</v>
      </c>
      <c r="J8593" s="6" t="s">
        <v>161</v>
      </c>
    </row>
    <row r="8594" ht="22.5" customHeight="1">
      <c r="A8594" s="6" t="s">
        <v>25402</v>
      </c>
      <c r="B8594" s="6" t="s">
        <v>19012</v>
      </c>
      <c r="C8594" s="10">
        <v>46064.0</v>
      </c>
      <c r="D8594" s="6" t="s">
        <v>677</v>
      </c>
      <c r="E8594" s="6" t="s">
        <v>738</v>
      </c>
      <c r="F8594" s="6" t="s">
        <v>283</v>
      </c>
      <c r="G8594" s="6" t="s">
        <v>326</v>
      </c>
      <c r="H8594" s="10">
        <v>46068.0</v>
      </c>
      <c r="I8594" s="12">
        <v>3.0</v>
      </c>
      <c r="J8594" s="6" t="s">
        <v>161</v>
      </c>
    </row>
    <row r="8595" ht="22.5" customHeight="1">
      <c r="A8595" s="6" t="s">
        <v>25403</v>
      </c>
      <c r="B8595" s="6" t="s">
        <v>19018</v>
      </c>
      <c r="C8595" s="10">
        <v>46080.0</v>
      </c>
      <c r="D8595" s="6" t="s">
        <v>391</v>
      </c>
      <c r="E8595" s="6" t="s">
        <v>583</v>
      </c>
      <c r="F8595" s="6" t="s">
        <v>283</v>
      </c>
      <c r="G8595" s="6" t="s">
        <v>326</v>
      </c>
      <c r="H8595" s="10">
        <v>46084.0</v>
      </c>
      <c r="I8595" s="12">
        <v>7.0</v>
      </c>
      <c r="J8595" s="6" t="s">
        <v>161</v>
      </c>
    </row>
    <row r="8596" ht="22.5" customHeight="1">
      <c r="A8596" s="6" t="s">
        <v>25404</v>
      </c>
      <c r="B8596" s="6" t="s">
        <v>19018</v>
      </c>
      <c r="C8596" s="10">
        <v>46068.0</v>
      </c>
      <c r="D8596" s="6" t="s">
        <v>242</v>
      </c>
      <c r="E8596" s="6" t="s">
        <v>320</v>
      </c>
      <c r="F8596" s="6" t="s">
        <v>112</v>
      </c>
      <c r="G8596" s="6" t="s">
        <v>254</v>
      </c>
      <c r="H8596" s="11" t="s">
        <v>259</v>
      </c>
      <c r="I8596" s="12">
        <v>3.0</v>
      </c>
      <c r="J8596" s="6" t="s">
        <v>178</v>
      </c>
    </row>
    <row r="8597" ht="22.5" customHeight="1">
      <c r="A8597" s="6" t="s">
        <v>25405</v>
      </c>
      <c r="B8597" s="6" t="s">
        <v>19018</v>
      </c>
      <c r="C8597" s="10">
        <v>46068.0</v>
      </c>
      <c r="D8597" s="6" t="s">
        <v>289</v>
      </c>
      <c r="E8597" s="6" t="s">
        <v>583</v>
      </c>
      <c r="F8597" s="6" t="s">
        <v>439</v>
      </c>
      <c r="G8597" s="6" t="s">
        <v>369</v>
      </c>
      <c r="H8597" s="10">
        <v>46070.0</v>
      </c>
      <c r="I8597" s="12">
        <v>10.0</v>
      </c>
      <c r="J8597" s="6" t="s">
        <v>161</v>
      </c>
    </row>
    <row r="8598" ht="22.5" customHeight="1">
      <c r="A8598" s="6" t="s">
        <v>25406</v>
      </c>
      <c r="B8598" s="6" t="s">
        <v>19018</v>
      </c>
      <c r="C8598" s="10">
        <v>46072.0</v>
      </c>
      <c r="D8598" s="6" t="s">
        <v>289</v>
      </c>
      <c r="E8598" s="6" t="s">
        <v>1546</v>
      </c>
      <c r="F8598" s="6" t="s">
        <v>283</v>
      </c>
      <c r="G8598" s="6" t="s">
        <v>458</v>
      </c>
      <c r="H8598" s="11" t="s">
        <v>259</v>
      </c>
      <c r="I8598" s="12">
        <v>5.0</v>
      </c>
      <c r="J8598" s="6" t="s">
        <v>161</v>
      </c>
    </row>
    <row r="8599" ht="22.5" customHeight="1">
      <c r="A8599" s="6" t="s">
        <v>25407</v>
      </c>
      <c r="B8599" s="6" t="s">
        <v>19024</v>
      </c>
      <c r="C8599" s="10">
        <v>46088.0</v>
      </c>
      <c r="D8599" s="6" t="s">
        <v>416</v>
      </c>
      <c r="E8599" s="6" t="s">
        <v>1720</v>
      </c>
      <c r="F8599" s="6" t="s">
        <v>283</v>
      </c>
      <c r="G8599" s="6" t="s">
        <v>494</v>
      </c>
      <c r="H8599" s="10">
        <v>46091.0</v>
      </c>
      <c r="I8599" s="12">
        <v>8.0</v>
      </c>
      <c r="J8599" s="6" t="s">
        <v>161</v>
      </c>
    </row>
    <row r="8600" ht="22.5" customHeight="1">
      <c r="A8600" s="6" t="s">
        <v>25408</v>
      </c>
      <c r="B8600" s="6" t="s">
        <v>19024</v>
      </c>
      <c r="C8600" s="10">
        <v>46084.0</v>
      </c>
      <c r="D8600" s="6" t="s">
        <v>289</v>
      </c>
      <c r="E8600" s="6" t="s">
        <v>833</v>
      </c>
      <c r="F8600" s="6" t="s">
        <v>249</v>
      </c>
      <c r="G8600" s="6" t="s">
        <v>452</v>
      </c>
      <c r="H8600" s="10">
        <v>46084.0</v>
      </c>
      <c r="I8600" s="12">
        <v>5.0</v>
      </c>
      <c r="J8600" s="6" t="s">
        <v>161</v>
      </c>
    </row>
    <row r="8601" ht="22.5" customHeight="1">
      <c r="A8601" s="6" t="s">
        <v>25409</v>
      </c>
      <c r="B8601" s="6" t="s">
        <v>19024</v>
      </c>
      <c r="C8601" s="10">
        <v>46078.0</v>
      </c>
      <c r="D8601" s="6" t="s">
        <v>436</v>
      </c>
      <c r="E8601" s="6" t="s">
        <v>885</v>
      </c>
      <c r="F8601" s="6" t="s">
        <v>439</v>
      </c>
      <c r="G8601" s="6" t="s">
        <v>297</v>
      </c>
      <c r="H8601" s="10">
        <v>46078.0</v>
      </c>
      <c r="I8601" s="12">
        <v>8.0</v>
      </c>
      <c r="J8601" s="6" t="s">
        <v>178</v>
      </c>
    </row>
    <row r="8602" ht="22.5" customHeight="1">
      <c r="A8602" s="6" t="s">
        <v>25410</v>
      </c>
      <c r="B8602" s="6" t="s">
        <v>19024</v>
      </c>
      <c r="C8602" s="10">
        <v>46087.0</v>
      </c>
      <c r="D8602" s="6" t="s">
        <v>289</v>
      </c>
      <c r="E8602" s="6" t="s">
        <v>365</v>
      </c>
      <c r="F8602" s="6" t="s">
        <v>283</v>
      </c>
      <c r="G8602" s="6" t="s">
        <v>297</v>
      </c>
      <c r="H8602" s="10">
        <v>46094.0</v>
      </c>
      <c r="I8602" s="12">
        <v>7.0</v>
      </c>
      <c r="J8602" s="6" t="s">
        <v>161</v>
      </c>
    </row>
    <row r="8603" ht="22.5" customHeight="1">
      <c r="A8603" s="6" t="s">
        <v>25411</v>
      </c>
      <c r="B8603" s="6" t="s">
        <v>19032</v>
      </c>
      <c r="C8603" s="10">
        <v>46050.0</v>
      </c>
      <c r="D8603" s="6" t="s">
        <v>312</v>
      </c>
      <c r="E8603" s="6" t="s">
        <v>246</v>
      </c>
      <c r="F8603" s="6" t="s">
        <v>439</v>
      </c>
      <c r="G8603" s="6" t="s">
        <v>326</v>
      </c>
      <c r="H8603" s="10">
        <v>46052.0</v>
      </c>
      <c r="I8603" s="12">
        <v>5.0</v>
      </c>
      <c r="J8603" s="6" t="s">
        <v>161</v>
      </c>
    </row>
    <row r="8604" ht="22.5" customHeight="1">
      <c r="A8604" s="6" t="s">
        <v>25412</v>
      </c>
      <c r="B8604" s="6" t="s">
        <v>19032</v>
      </c>
      <c r="C8604" s="10">
        <v>46050.0</v>
      </c>
      <c r="D8604" s="6" t="s">
        <v>312</v>
      </c>
      <c r="E8604" s="6" t="s">
        <v>394</v>
      </c>
      <c r="F8604" s="6" t="s">
        <v>439</v>
      </c>
      <c r="G8604" s="6" t="s">
        <v>254</v>
      </c>
      <c r="H8604" s="10">
        <v>46052.0</v>
      </c>
      <c r="I8604" s="12">
        <v>7.0</v>
      </c>
      <c r="J8604" s="6" t="s">
        <v>161</v>
      </c>
    </row>
    <row r="8605" ht="22.5" customHeight="1">
      <c r="A8605" s="6" t="s">
        <v>25413</v>
      </c>
      <c r="B8605" s="6" t="s">
        <v>19032</v>
      </c>
      <c r="C8605" s="10">
        <v>46065.0</v>
      </c>
      <c r="D8605" s="6" t="s">
        <v>391</v>
      </c>
      <c r="E8605" s="6" t="s">
        <v>628</v>
      </c>
      <c r="F8605" s="6" t="s">
        <v>439</v>
      </c>
      <c r="G8605" s="6" t="s">
        <v>369</v>
      </c>
      <c r="H8605" s="11" t="s">
        <v>259</v>
      </c>
      <c r="I8605" s="12">
        <v>7.0</v>
      </c>
      <c r="J8605" s="6" t="s">
        <v>161</v>
      </c>
    </row>
    <row r="8606" ht="22.5" customHeight="1">
      <c r="A8606" s="6" t="s">
        <v>25414</v>
      </c>
      <c r="B8606" s="6" t="s">
        <v>19032</v>
      </c>
      <c r="C8606" s="10">
        <v>46060.0</v>
      </c>
      <c r="D8606" s="6" t="s">
        <v>242</v>
      </c>
      <c r="E8606" s="6" t="s">
        <v>2365</v>
      </c>
      <c r="F8606" s="6" t="s">
        <v>249</v>
      </c>
      <c r="G8606" s="6" t="s">
        <v>477</v>
      </c>
      <c r="H8606" s="10">
        <v>46066.0</v>
      </c>
      <c r="I8606" s="12">
        <v>5.0</v>
      </c>
      <c r="J8606" s="6" t="s">
        <v>178</v>
      </c>
    </row>
    <row r="8607" ht="22.5" customHeight="1">
      <c r="A8607" s="6" t="s">
        <v>25415</v>
      </c>
      <c r="B8607" s="6" t="s">
        <v>19032</v>
      </c>
      <c r="C8607" s="10">
        <v>46059.0</v>
      </c>
      <c r="D8607" s="6" t="s">
        <v>242</v>
      </c>
      <c r="E8607" s="6" t="s">
        <v>1122</v>
      </c>
      <c r="F8607" s="6" t="s">
        <v>249</v>
      </c>
      <c r="G8607" s="6" t="s">
        <v>477</v>
      </c>
      <c r="H8607" s="10">
        <v>46060.0</v>
      </c>
      <c r="I8607" s="12">
        <v>4.0</v>
      </c>
      <c r="J8607" s="6" t="s">
        <v>178</v>
      </c>
    </row>
    <row r="8608" ht="22.5" customHeight="1">
      <c r="A8608" s="6" t="s">
        <v>25416</v>
      </c>
      <c r="B8608" s="6" t="s">
        <v>19038</v>
      </c>
      <c r="C8608" s="10">
        <v>46069.0</v>
      </c>
      <c r="D8608" s="6" t="s">
        <v>436</v>
      </c>
      <c r="E8608" s="6" t="s">
        <v>1273</v>
      </c>
      <c r="F8608" s="6" t="s">
        <v>112</v>
      </c>
      <c r="G8608" s="6" t="s">
        <v>297</v>
      </c>
      <c r="H8608" s="10">
        <v>46075.0</v>
      </c>
      <c r="I8608" s="12">
        <v>10.0</v>
      </c>
      <c r="J8608" s="6" t="s">
        <v>161</v>
      </c>
    </row>
    <row r="8609" ht="22.5" customHeight="1">
      <c r="A8609" s="6" t="s">
        <v>25417</v>
      </c>
      <c r="B8609" s="6" t="s">
        <v>19038</v>
      </c>
      <c r="C8609" s="10">
        <v>46078.0</v>
      </c>
      <c r="D8609" s="6" t="s">
        <v>289</v>
      </c>
      <c r="E8609" s="6" t="s">
        <v>704</v>
      </c>
      <c r="F8609" s="6" t="s">
        <v>283</v>
      </c>
      <c r="G8609" s="6" t="s">
        <v>254</v>
      </c>
      <c r="H8609" s="10">
        <v>46080.0</v>
      </c>
      <c r="I8609" s="12">
        <v>9.0</v>
      </c>
      <c r="J8609" s="6" t="s">
        <v>161</v>
      </c>
    </row>
    <row r="8610" ht="22.5" customHeight="1">
      <c r="A8610" s="6" t="s">
        <v>25418</v>
      </c>
      <c r="B8610" s="6" t="s">
        <v>19045</v>
      </c>
      <c r="C8610" s="10">
        <v>46042.0</v>
      </c>
      <c r="D8610" s="6" t="s">
        <v>242</v>
      </c>
      <c r="E8610" s="6" t="s">
        <v>466</v>
      </c>
      <c r="F8610" s="6" t="s">
        <v>112</v>
      </c>
      <c r="G8610" s="6" t="s">
        <v>369</v>
      </c>
      <c r="H8610" s="10">
        <v>46047.0</v>
      </c>
      <c r="I8610" s="12">
        <v>4.0</v>
      </c>
      <c r="J8610" s="6" t="s">
        <v>178</v>
      </c>
    </row>
    <row r="8611" ht="22.5" customHeight="1">
      <c r="A8611" s="6" t="s">
        <v>25419</v>
      </c>
      <c r="B8611" s="6" t="s">
        <v>19045</v>
      </c>
      <c r="C8611" s="10">
        <v>46033.0</v>
      </c>
      <c r="D8611" s="6" t="s">
        <v>677</v>
      </c>
      <c r="E8611" s="6" t="s">
        <v>512</v>
      </c>
      <c r="F8611" s="6" t="s">
        <v>439</v>
      </c>
      <c r="G8611" s="6" t="s">
        <v>477</v>
      </c>
      <c r="H8611" s="10">
        <v>46038.0</v>
      </c>
      <c r="I8611" s="12">
        <v>2.0</v>
      </c>
      <c r="J8611" s="6" t="s">
        <v>161</v>
      </c>
    </row>
    <row r="8612" ht="22.5" customHeight="1">
      <c r="A8612" s="6" t="s">
        <v>25420</v>
      </c>
      <c r="B8612" s="6" t="s">
        <v>19045</v>
      </c>
      <c r="C8612" s="10">
        <v>46047.0</v>
      </c>
      <c r="D8612" s="6" t="s">
        <v>289</v>
      </c>
      <c r="E8612" s="6" t="s">
        <v>885</v>
      </c>
      <c r="F8612" s="6" t="s">
        <v>439</v>
      </c>
      <c r="G8612" s="6" t="s">
        <v>254</v>
      </c>
      <c r="H8612" s="11" t="s">
        <v>259</v>
      </c>
      <c r="I8612" s="12">
        <v>10.0</v>
      </c>
      <c r="J8612" s="6" t="s">
        <v>161</v>
      </c>
    </row>
    <row r="8613" ht="22.5" customHeight="1">
      <c r="A8613" s="6" t="s">
        <v>25421</v>
      </c>
      <c r="B8613" s="6" t="s">
        <v>19045</v>
      </c>
      <c r="C8613" s="10">
        <v>46052.0</v>
      </c>
      <c r="D8613" s="6" t="s">
        <v>289</v>
      </c>
      <c r="E8613" s="6" t="s">
        <v>475</v>
      </c>
      <c r="F8613" s="6" t="s">
        <v>439</v>
      </c>
      <c r="G8613" s="6" t="s">
        <v>452</v>
      </c>
      <c r="H8613" s="10">
        <v>46054.0</v>
      </c>
      <c r="I8613" s="12">
        <v>9.0</v>
      </c>
      <c r="J8613" s="6" t="s">
        <v>161</v>
      </c>
    </row>
    <row r="8614" ht="22.5" customHeight="1">
      <c r="A8614" s="6" t="s">
        <v>25422</v>
      </c>
      <c r="B8614" s="6" t="s">
        <v>19052</v>
      </c>
      <c r="C8614" s="10">
        <v>46078.0</v>
      </c>
      <c r="D8614" s="6" t="s">
        <v>677</v>
      </c>
      <c r="E8614" s="6" t="s">
        <v>512</v>
      </c>
      <c r="F8614" s="6" t="s">
        <v>112</v>
      </c>
      <c r="G8614" s="6" t="s">
        <v>369</v>
      </c>
      <c r="H8614" s="10">
        <v>46084.0</v>
      </c>
      <c r="I8614" s="12">
        <v>3.0</v>
      </c>
      <c r="J8614" s="6" t="s">
        <v>161</v>
      </c>
    </row>
    <row r="8615" ht="22.5" customHeight="1">
      <c r="A8615" s="6" t="s">
        <v>25423</v>
      </c>
      <c r="B8615" s="6" t="s">
        <v>19052</v>
      </c>
      <c r="C8615" s="10">
        <v>46062.0</v>
      </c>
      <c r="D8615" s="6" t="s">
        <v>436</v>
      </c>
      <c r="E8615" s="6" t="s">
        <v>885</v>
      </c>
      <c r="F8615" s="6" t="s">
        <v>249</v>
      </c>
      <c r="G8615" s="6" t="s">
        <v>452</v>
      </c>
      <c r="H8615" s="10">
        <v>46065.0</v>
      </c>
      <c r="I8615" s="12">
        <v>12.0</v>
      </c>
      <c r="J8615" s="6" t="s">
        <v>178</v>
      </c>
    </row>
    <row r="8616" ht="22.5" customHeight="1">
      <c r="A8616" s="6" t="s">
        <v>25424</v>
      </c>
      <c r="B8616" s="6" t="s">
        <v>19052</v>
      </c>
      <c r="C8616" s="10">
        <v>46076.0</v>
      </c>
      <c r="D8616" s="6" t="s">
        <v>289</v>
      </c>
      <c r="E8616" s="6" t="s">
        <v>466</v>
      </c>
      <c r="F8616" s="6" t="s">
        <v>439</v>
      </c>
      <c r="G8616" s="6" t="s">
        <v>494</v>
      </c>
      <c r="H8616" s="10">
        <v>46076.0</v>
      </c>
      <c r="I8616" s="12">
        <v>6.0</v>
      </c>
      <c r="J8616" s="6" t="s">
        <v>161</v>
      </c>
    </row>
    <row r="8617" ht="22.5" customHeight="1">
      <c r="A8617" s="6" t="s">
        <v>25425</v>
      </c>
      <c r="B8617" s="6" t="s">
        <v>19052</v>
      </c>
      <c r="C8617" s="10">
        <v>46068.0</v>
      </c>
      <c r="D8617" s="6" t="s">
        <v>312</v>
      </c>
      <c r="E8617" s="6" t="s">
        <v>438</v>
      </c>
      <c r="F8617" s="6" t="s">
        <v>283</v>
      </c>
      <c r="G8617" s="6" t="s">
        <v>494</v>
      </c>
      <c r="H8617" s="10">
        <v>46073.0</v>
      </c>
      <c r="I8617" s="12">
        <v>6.0</v>
      </c>
      <c r="J8617" s="6" t="s">
        <v>161</v>
      </c>
    </row>
    <row r="8618" ht="22.5" customHeight="1">
      <c r="A8618" s="6" t="s">
        <v>25426</v>
      </c>
      <c r="B8618" s="6" t="s">
        <v>19052</v>
      </c>
      <c r="C8618" s="10">
        <v>46064.0</v>
      </c>
      <c r="D8618" s="6" t="s">
        <v>436</v>
      </c>
      <c r="E8618" s="6" t="s">
        <v>885</v>
      </c>
      <c r="F8618" s="6" t="s">
        <v>283</v>
      </c>
      <c r="G8618" s="6" t="s">
        <v>494</v>
      </c>
      <c r="H8618" s="11" t="s">
        <v>259</v>
      </c>
      <c r="I8618" s="12">
        <v>11.0</v>
      </c>
      <c r="J8618" s="6" t="s">
        <v>178</v>
      </c>
    </row>
    <row r="8619" ht="22.5" customHeight="1">
      <c r="A8619" s="6" t="s">
        <v>25427</v>
      </c>
      <c r="B8619" s="6" t="s">
        <v>19058</v>
      </c>
      <c r="C8619" s="10">
        <v>46057.0</v>
      </c>
      <c r="D8619" s="6" t="s">
        <v>289</v>
      </c>
      <c r="E8619" s="6" t="s">
        <v>1273</v>
      </c>
      <c r="F8619" s="6" t="s">
        <v>439</v>
      </c>
      <c r="G8619" s="6" t="s">
        <v>369</v>
      </c>
      <c r="H8619" s="10">
        <v>46057.0</v>
      </c>
      <c r="I8619" s="12">
        <v>5.0</v>
      </c>
      <c r="J8619" s="6" t="s">
        <v>161</v>
      </c>
    </row>
    <row r="8620" ht="22.5" customHeight="1">
      <c r="A8620" s="6" t="s">
        <v>25428</v>
      </c>
      <c r="B8620" s="6" t="s">
        <v>19058</v>
      </c>
      <c r="C8620" s="10">
        <v>46050.0</v>
      </c>
      <c r="D8620" s="6" t="s">
        <v>289</v>
      </c>
      <c r="E8620" s="6" t="s">
        <v>466</v>
      </c>
      <c r="F8620" s="6" t="s">
        <v>249</v>
      </c>
      <c r="G8620" s="6" t="s">
        <v>254</v>
      </c>
      <c r="H8620" s="10">
        <v>46050.0</v>
      </c>
      <c r="I8620" s="12">
        <v>10.0</v>
      </c>
      <c r="J8620" s="6" t="s">
        <v>161</v>
      </c>
    </row>
    <row r="8621" ht="22.5" customHeight="1">
      <c r="A8621" s="6" t="s">
        <v>25429</v>
      </c>
      <c r="B8621" s="6" t="s">
        <v>19058</v>
      </c>
      <c r="C8621" s="10">
        <v>46047.0</v>
      </c>
      <c r="D8621" s="6" t="s">
        <v>677</v>
      </c>
      <c r="E8621" s="6" t="s">
        <v>1552</v>
      </c>
      <c r="F8621" s="6" t="s">
        <v>439</v>
      </c>
      <c r="G8621" s="6" t="s">
        <v>494</v>
      </c>
      <c r="H8621" s="10">
        <v>46050.0</v>
      </c>
      <c r="I8621" s="12">
        <v>3.0</v>
      </c>
      <c r="J8621" s="6" t="s">
        <v>161</v>
      </c>
    </row>
    <row r="8622" ht="22.5" customHeight="1">
      <c r="A8622" s="6" t="s">
        <v>25430</v>
      </c>
      <c r="B8622" s="6" t="s">
        <v>19058</v>
      </c>
      <c r="C8622" s="10">
        <v>46052.0</v>
      </c>
      <c r="D8622" s="6" t="s">
        <v>436</v>
      </c>
      <c r="E8622" s="6" t="s">
        <v>365</v>
      </c>
      <c r="F8622" s="6" t="s">
        <v>439</v>
      </c>
      <c r="G8622" s="6" t="s">
        <v>254</v>
      </c>
      <c r="H8622" s="10">
        <v>46056.0</v>
      </c>
      <c r="I8622" s="12">
        <v>7.0</v>
      </c>
      <c r="J8622" s="6" t="s">
        <v>178</v>
      </c>
    </row>
    <row r="8623" ht="22.5" customHeight="1">
      <c r="A8623" s="6" t="s">
        <v>25431</v>
      </c>
      <c r="B8623" s="6" t="s">
        <v>19064</v>
      </c>
      <c r="C8623" s="10">
        <v>46069.0</v>
      </c>
      <c r="D8623" s="6" t="s">
        <v>312</v>
      </c>
      <c r="E8623" s="6" t="s">
        <v>438</v>
      </c>
      <c r="F8623" s="6" t="s">
        <v>283</v>
      </c>
      <c r="G8623" s="6" t="s">
        <v>477</v>
      </c>
      <c r="H8623" s="10">
        <v>46076.0</v>
      </c>
      <c r="I8623" s="12">
        <v>6.0</v>
      </c>
      <c r="J8623" s="6" t="s">
        <v>161</v>
      </c>
    </row>
    <row r="8624" ht="22.5" customHeight="1">
      <c r="A8624" s="6" t="s">
        <v>25432</v>
      </c>
      <c r="B8624" s="6" t="s">
        <v>19070</v>
      </c>
      <c r="C8624" s="10">
        <v>46051.0</v>
      </c>
      <c r="D8624" s="6" t="s">
        <v>289</v>
      </c>
      <c r="E8624" s="6" t="s">
        <v>1149</v>
      </c>
      <c r="F8624" s="6" t="s">
        <v>112</v>
      </c>
      <c r="G8624" s="6" t="s">
        <v>297</v>
      </c>
      <c r="H8624" s="10">
        <v>46052.0</v>
      </c>
      <c r="I8624" s="12">
        <v>5.0</v>
      </c>
      <c r="J8624" s="6" t="s">
        <v>161</v>
      </c>
    </row>
    <row r="8625" ht="22.5" customHeight="1">
      <c r="A8625" s="6" t="s">
        <v>25433</v>
      </c>
      <c r="B8625" s="6" t="s">
        <v>19077</v>
      </c>
      <c r="C8625" s="10">
        <v>46035.0</v>
      </c>
      <c r="D8625" s="6" t="s">
        <v>242</v>
      </c>
      <c r="E8625" s="6" t="s">
        <v>1720</v>
      </c>
      <c r="F8625" s="6" t="s">
        <v>283</v>
      </c>
      <c r="G8625" s="6" t="s">
        <v>326</v>
      </c>
      <c r="H8625" s="10">
        <v>46040.0</v>
      </c>
      <c r="I8625" s="12">
        <v>6.0</v>
      </c>
      <c r="J8625" s="6" t="s">
        <v>161</v>
      </c>
    </row>
    <row r="8626" ht="22.5" customHeight="1">
      <c r="A8626" s="6" t="s">
        <v>25434</v>
      </c>
      <c r="B8626" s="6" t="s">
        <v>19077</v>
      </c>
      <c r="C8626" s="10">
        <v>46048.0</v>
      </c>
      <c r="D8626" s="6" t="s">
        <v>677</v>
      </c>
      <c r="E8626" s="6" t="s">
        <v>896</v>
      </c>
      <c r="F8626" s="6" t="s">
        <v>249</v>
      </c>
      <c r="G8626" s="6" t="s">
        <v>452</v>
      </c>
      <c r="H8626" s="10">
        <v>46054.0</v>
      </c>
      <c r="I8626" s="12">
        <v>4.0</v>
      </c>
      <c r="J8626" s="6" t="s">
        <v>161</v>
      </c>
    </row>
    <row r="8627" ht="22.5" customHeight="1">
      <c r="A8627" s="6" t="s">
        <v>25435</v>
      </c>
      <c r="B8627" s="6" t="s">
        <v>19077</v>
      </c>
      <c r="C8627" s="10">
        <v>46043.0</v>
      </c>
      <c r="D8627" s="6" t="s">
        <v>242</v>
      </c>
      <c r="E8627" s="6" t="s">
        <v>634</v>
      </c>
      <c r="F8627" s="6" t="s">
        <v>112</v>
      </c>
      <c r="G8627" s="6" t="s">
        <v>494</v>
      </c>
      <c r="H8627" s="10">
        <v>46043.0</v>
      </c>
      <c r="I8627" s="12">
        <v>3.0</v>
      </c>
      <c r="J8627" s="6" t="s">
        <v>178</v>
      </c>
    </row>
    <row r="8628" ht="22.5" customHeight="1">
      <c r="A8628" s="6" t="s">
        <v>25436</v>
      </c>
      <c r="B8628" s="6" t="s">
        <v>19085</v>
      </c>
      <c r="C8628" s="10">
        <v>46072.0</v>
      </c>
      <c r="D8628" s="6" t="s">
        <v>416</v>
      </c>
      <c r="E8628" s="6" t="s">
        <v>610</v>
      </c>
      <c r="F8628" s="6" t="s">
        <v>112</v>
      </c>
      <c r="G8628" s="6" t="s">
        <v>452</v>
      </c>
      <c r="H8628" s="10">
        <v>46073.0</v>
      </c>
      <c r="I8628" s="12">
        <v>13.0</v>
      </c>
      <c r="J8628" s="6" t="s">
        <v>161</v>
      </c>
    </row>
    <row r="8629" ht="22.5" customHeight="1">
      <c r="A8629" s="6" t="s">
        <v>25437</v>
      </c>
      <c r="B8629" s="6" t="s">
        <v>19092</v>
      </c>
      <c r="C8629" s="10">
        <v>46070.0</v>
      </c>
      <c r="D8629" s="6" t="s">
        <v>242</v>
      </c>
      <c r="E8629" s="6" t="s">
        <v>1070</v>
      </c>
      <c r="F8629" s="6" t="s">
        <v>283</v>
      </c>
      <c r="G8629" s="6" t="s">
        <v>452</v>
      </c>
      <c r="H8629" s="10">
        <v>46074.0</v>
      </c>
      <c r="I8629" s="12">
        <v>5.0</v>
      </c>
      <c r="J8629" s="6" t="s">
        <v>178</v>
      </c>
    </row>
    <row r="8630" ht="22.5" customHeight="1">
      <c r="A8630" s="6" t="s">
        <v>25438</v>
      </c>
      <c r="B8630" s="6" t="s">
        <v>19092</v>
      </c>
      <c r="C8630" s="10">
        <v>46079.0</v>
      </c>
      <c r="D8630" s="6" t="s">
        <v>391</v>
      </c>
      <c r="E8630" s="6" t="s">
        <v>658</v>
      </c>
      <c r="F8630" s="6" t="s">
        <v>112</v>
      </c>
      <c r="G8630" s="6" t="s">
        <v>477</v>
      </c>
      <c r="H8630" s="10">
        <v>46081.0</v>
      </c>
      <c r="I8630" s="12">
        <v>9.0</v>
      </c>
      <c r="J8630" s="6" t="s">
        <v>161</v>
      </c>
    </row>
    <row r="8631" ht="22.5" customHeight="1">
      <c r="A8631" s="6" t="s">
        <v>25439</v>
      </c>
      <c r="B8631" s="6" t="s">
        <v>19092</v>
      </c>
      <c r="C8631" s="10">
        <v>46076.0</v>
      </c>
      <c r="D8631" s="6" t="s">
        <v>677</v>
      </c>
      <c r="E8631" s="6" t="s">
        <v>1546</v>
      </c>
      <c r="F8631" s="6" t="s">
        <v>112</v>
      </c>
      <c r="G8631" s="6" t="s">
        <v>369</v>
      </c>
      <c r="H8631" s="10">
        <v>46077.0</v>
      </c>
      <c r="I8631" s="12">
        <v>4.0</v>
      </c>
      <c r="J8631" s="6" t="s">
        <v>161</v>
      </c>
    </row>
    <row r="8632" ht="22.5" customHeight="1">
      <c r="A8632" s="6" t="s">
        <v>25440</v>
      </c>
      <c r="B8632" s="6" t="s">
        <v>19092</v>
      </c>
      <c r="C8632" s="10">
        <v>46076.0</v>
      </c>
      <c r="D8632" s="6" t="s">
        <v>416</v>
      </c>
      <c r="E8632" s="6" t="s">
        <v>1035</v>
      </c>
      <c r="F8632" s="6" t="s">
        <v>249</v>
      </c>
      <c r="G8632" s="6" t="s">
        <v>494</v>
      </c>
      <c r="H8632" s="11" t="s">
        <v>259</v>
      </c>
      <c r="I8632" s="12">
        <v>9.0</v>
      </c>
      <c r="J8632" s="6" t="s">
        <v>161</v>
      </c>
    </row>
    <row r="8633" ht="22.5" customHeight="1">
      <c r="A8633" s="6" t="s">
        <v>25441</v>
      </c>
      <c r="B8633" s="6" t="s">
        <v>19092</v>
      </c>
      <c r="C8633" s="10">
        <v>46084.0</v>
      </c>
      <c r="D8633" s="6" t="s">
        <v>312</v>
      </c>
      <c r="E8633" s="6" t="s">
        <v>1070</v>
      </c>
      <c r="F8633" s="6" t="s">
        <v>439</v>
      </c>
      <c r="G8633" s="6" t="s">
        <v>458</v>
      </c>
      <c r="H8633" s="11" t="s">
        <v>259</v>
      </c>
      <c r="I8633" s="12">
        <v>4.0</v>
      </c>
      <c r="J8633" s="6" t="s">
        <v>161</v>
      </c>
    </row>
    <row r="8634" ht="22.5" customHeight="1">
      <c r="A8634" s="6" t="s">
        <v>25442</v>
      </c>
      <c r="B8634" s="6" t="s">
        <v>19098</v>
      </c>
      <c r="C8634" s="10">
        <v>46033.0</v>
      </c>
      <c r="D8634" s="6" t="s">
        <v>416</v>
      </c>
      <c r="E8634" s="6" t="s">
        <v>438</v>
      </c>
      <c r="F8634" s="6" t="s">
        <v>283</v>
      </c>
      <c r="G8634" s="6" t="s">
        <v>254</v>
      </c>
      <c r="H8634" s="10">
        <v>46034.0</v>
      </c>
      <c r="I8634" s="12">
        <v>12.0</v>
      </c>
      <c r="J8634" s="6" t="s">
        <v>161</v>
      </c>
    </row>
    <row r="8635" ht="22.5" customHeight="1">
      <c r="A8635" s="6" t="s">
        <v>25443</v>
      </c>
      <c r="B8635" s="6" t="s">
        <v>19098</v>
      </c>
      <c r="C8635" s="10">
        <v>46035.0</v>
      </c>
      <c r="D8635" s="6" t="s">
        <v>312</v>
      </c>
      <c r="E8635" s="6" t="s">
        <v>885</v>
      </c>
      <c r="F8635" s="6" t="s">
        <v>283</v>
      </c>
      <c r="G8635" s="6" t="s">
        <v>254</v>
      </c>
      <c r="H8635" s="10">
        <v>46041.0</v>
      </c>
      <c r="I8635" s="12">
        <v>4.0</v>
      </c>
      <c r="J8635" s="6" t="s">
        <v>161</v>
      </c>
    </row>
    <row r="8636" ht="22.5" customHeight="1">
      <c r="A8636" s="6" t="s">
        <v>25444</v>
      </c>
      <c r="B8636" s="6" t="s">
        <v>19105</v>
      </c>
      <c r="C8636" s="10">
        <v>46073.0</v>
      </c>
      <c r="D8636" s="6" t="s">
        <v>677</v>
      </c>
      <c r="E8636" s="6" t="s">
        <v>1149</v>
      </c>
      <c r="F8636" s="6" t="s">
        <v>112</v>
      </c>
      <c r="G8636" s="6" t="s">
        <v>369</v>
      </c>
      <c r="H8636" s="10">
        <v>46078.0</v>
      </c>
      <c r="I8636" s="12">
        <v>4.0</v>
      </c>
      <c r="J8636" s="6" t="s">
        <v>161</v>
      </c>
    </row>
    <row r="8637" ht="22.5" customHeight="1">
      <c r="A8637" s="6" t="s">
        <v>25445</v>
      </c>
      <c r="B8637" s="6" t="s">
        <v>19111</v>
      </c>
      <c r="C8637" s="10">
        <v>46048.0</v>
      </c>
      <c r="D8637" s="6" t="s">
        <v>391</v>
      </c>
      <c r="E8637" s="6" t="s">
        <v>583</v>
      </c>
      <c r="F8637" s="6" t="s">
        <v>112</v>
      </c>
      <c r="G8637" s="6" t="s">
        <v>477</v>
      </c>
      <c r="H8637" s="11" t="s">
        <v>259</v>
      </c>
      <c r="I8637" s="12">
        <v>6.0</v>
      </c>
      <c r="J8637" s="6" t="s">
        <v>161</v>
      </c>
    </row>
    <row r="8638" ht="22.5" customHeight="1">
      <c r="A8638" s="6" t="s">
        <v>25446</v>
      </c>
      <c r="B8638" s="6" t="s">
        <v>19118</v>
      </c>
      <c r="C8638" s="10">
        <v>46051.0</v>
      </c>
      <c r="D8638" s="6" t="s">
        <v>436</v>
      </c>
      <c r="E8638" s="6" t="s">
        <v>2881</v>
      </c>
      <c r="F8638" s="6" t="s">
        <v>283</v>
      </c>
      <c r="G8638" s="6" t="s">
        <v>477</v>
      </c>
      <c r="H8638" s="10">
        <v>46055.0</v>
      </c>
      <c r="I8638" s="12">
        <v>9.0</v>
      </c>
      <c r="J8638" s="6" t="s">
        <v>161</v>
      </c>
    </row>
    <row r="8639" ht="22.5" customHeight="1">
      <c r="A8639" s="6" t="s">
        <v>25447</v>
      </c>
      <c r="B8639" s="6" t="s">
        <v>19118</v>
      </c>
      <c r="C8639" s="10">
        <v>46044.0</v>
      </c>
      <c r="D8639" s="6" t="s">
        <v>242</v>
      </c>
      <c r="E8639" s="6" t="s">
        <v>885</v>
      </c>
      <c r="F8639" s="6" t="s">
        <v>112</v>
      </c>
      <c r="G8639" s="6" t="s">
        <v>297</v>
      </c>
      <c r="H8639" s="11" t="s">
        <v>259</v>
      </c>
      <c r="I8639" s="12">
        <v>5.0</v>
      </c>
      <c r="J8639" s="6" t="s">
        <v>178</v>
      </c>
    </row>
    <row r="8640" ht="22.5" customHeight="1">
      <c r="A8640" s="6" t="s">
        <v>25448</v>
      </c>
      <c r="B8640" s="6" t="s">
        <v>19118</v>
      </c>
      <c r="C8640" s="10">
        <v>46055.0</v>
      </c>
      <c r="D8640" s="6" t="s">
        <v>391</v>
      </c>
      <c r="E8640" s="6" t="s">
        <v>955</v>
      </c>
      <c r="F8640" s="6" t="s">
        <v>283</v>
      </c>
      <c r="G8640" s="6" t="s">
        <v>458</v>
      </c>
      <c r="H8640" s="10">
        <v>46059.0</v>
      </c>
      <c r="I8640" s="12">
        <v>10.0</v>
      </c>
      <c r="J8640" s="6" t="s">
        <v>161</v>
      </c>
    </row>
    <row r="8641" ht="22.5" customHeight="1">
      <c r="A8641" s="6" t="s">
        <v>25449</v>
      </c>
      <c r="B8641" s="6" t="s">
        <v>19118</v>
      </c>
      <c r="C8641" s="10">
        <v>46042.0</v>
      </c>
      <c r="D8641" s="6" t="s">
        <v>242</v>
      </c>
      <c r="E8641" s="6" t="s">
        <v>704</v>
      </c>
      <c r="F8641" s="6" t="s">
        <v>283</v>
      </c>
      <c r="G8641" s="6" t="s">
        <v>369</v>
      </c>
      <c r="H8641" s="11" t="s">
        <v>259</v>
      </c>
      <c r="I8641" s="12">
        <v>5.0</v>
      </c>
      <c r="J8641" s="6" t="s">
        <v>178</v>
      </c>
    </row>
    <row r="8642" ht="22.5" customHeight="1">
      <c r="A8642" s="6" t="s">
        <v>25450</v>
      </c>
      <c r="B8642" s="6" t="s">
        <v>19118</v>
      </c>
      <c r="C8642" s="10">
        <v>46050.0</v>
      </c>
      <c r="D8642" s="6" t="s">
        <v>312</v>
      </c>
      <c r="E8642" s="6" t="s">
        <v>670</v>
      </c>
      <c r="F8642" s="6" t="s">
        <v>283</v>
      </c>
      <c r="G8642" s="6" t="s">
        <v>254</v>
      </c>
      <c r="H8642" s="10">
        <v>46050.0</v>
      </c>
      <c r="I8642" s="12">
        <v>5.0</v>
      </c>
      <c r="J8642" s="6" t="s">
        <v>161</v>
      </c>
    </row>
    <row r="8643" ht="22.5" customHeight="1">
      <c r="A8643" s="6" t="s">
        <v>25451</v>
      </c>
      <c r="B8643" s="6" t="s">
        <v>19124</v>
      </c>
      <c r="C8643" s="10">
        <v>46079.0</v>
      </c>
      <c r="D8643" s="6" t="s">
        <v>677</v>
      </c>
      <c r="E8643" s="6" t="s">
        <v>896</v>
      </c>
      <c r="F8643" s="6" t="s">
        <v>283</v>
      </c>
      <c r="G8643" s="6" t="s">
        <v>369</v>
      </c>
      <c r="H8643" s="10">
        <v>46079.0</v>
      </c>
      <c r="I8643" s="12">
        <v>2.0</v>
      </c>
      <c r="J8643" s="6" t="s">
        <v>161</v>
      </c>
    </row>
    <row r="8644" ht="22.5" customHeight="1">
      <c r="A8644" s="6" t="s">
        <v>25452</v>
      </c>
      <c r="B8644" s="6" t="s">
        <v>19124</v>
      </c>
      <c r="C8644" s="10">
        <v>46071.0</v>
      </c>
      <c r="D8644" s="6" t="s">
        <v>391</v>
      </c>
      <c r="E8644" s="6" t="s">
        <v>1552</v>
      </c>
      <c r="F8644" s="6" t="s">
        <v>283</v>
      </c>
      <c r="G8644" s="6" t="s">
        <v>452</v>
      </c>
      <c r="H8644" s="10">
        <v>46073.0</v>
      </c>
      <c r="I8644" s="12">
        <v>11.0</v>
      </c>
      <c r="J8644" s="6" t="s">
        <v>161</v>
      </c>
    </row>
    <row r="8645" ht="22.5" customHeight="1">
      <c r="A8645" s="6" t="s">
        <v>25453</v>
      </c>
      <c r="B8645" s="6" t="s">
        <v>19124</v>
      </c>
      <c r="C8645" s="10">
        <v>46072.0</v>
      </c>
      <c r="D8645" s="6" t="s">
        <v>391</v>
      </c>
      <c r="E8645" s="6" t="s">
        <v>475</v>
      </c>
      <c r="F8645" s="6" t="s">
        <v>439</v>
      </c>
      <c r="G8645" s="6" t="s">
        <v>477</v>
      </c>
      <c r="H8645" s="10">
        <v>46075.0</v>
      </c>
      <c r="I8645" s="12">
        <v>10.0</v>
      </c>
      <c r="J8645" s="6" t="s">
        <v>161</v>
      </c>
    </row>
    <row r="8646" ht="22.5" customHeight="1">
      <c r="A8646" s="6" t="s">
        <v>25454</v>
      </c>
      <c r="B8646" s="6" t="s">
        <v>19132</v>
      </c>
      <c r="C8646" s="10">
        <v>46046.0</v>
      </c>
      <c r="D8646" s="6" t="s">
        <v>391</v>
      </c>
      <c r="E8646" s="6" t="s">
        <v>775</v>
      </c>
      <c r="F8646" s="6" t="s">
        <v>283</v>
      </c>
      <c r="G8646" s="6" t="s">
        <v>297</v>
      </c>
      <c r="H8646" s="10">
        <v>46053.0</v>
      </c>
      <c r="I8646" s="12">
        <v>9.0</v>
      </c>
      <c r="J8646" s="6" t="s">
        <v>161</v>
      </c>
    </row>
    <row r="8647" ht="22.5" customHeight="1">
      <c r="A8647" s="6" t="s">
        <v>25455</v>
      </c>
      <c r="B8647" s="6" t="s">
        <v>19132</v>
      </c>
      <c r="C8647" s="10">
        <v>46049.0</v>
      </c>
      <c r="D8647" s="6" t="s">
        <v>289</v>
      </c>
      <c r="E8647" s="6" t="s">
        <v>955</v>
      </c>
      <c r="F8647" s="6" t="s">
        <v>439</v>
      </c>
      <c r="G8647" s="6" t="s">
        <v>494</v>
      </c>
      <c r="H8647" s="10">
        <v>46056.0</v>
      </c>
      <c r="I8647" s="12">
        <v>5.0</v>
      </c>
      <c r="J8647" s="6" t="s">
        <v>161</v>
      </c>
    </row>
    <row r="8648" ht="22.5" customHeight="1">
      <c r="A8648" s="6" t="s">
        <v>25456</v>
      </c>
      <c r="B8648" s="6" t="s">
        <v>19132</v>
      </c>
      <c r="C8648" s="10">
        <v>46055.0</v>
      </c>
      <c r="D8648" s="6" t="s">
        <v>289</v>
      </c>
      <c r="E8648" s="6" t="s">
        <v>1600</v>
      </c>
      <c r="F8648" s="6" t="s">
        <v>112</v>
      </c>
      <c r="G8648" s="6" t="s">
        <v>458</v>
      </c>
      <c r="H8648" s="10">
        <v>46060.0</v>
      </c>
      <c r="I8648" s="12">
        <v>9.0</v>
      </c>
      <c r="J8648" s="6" t="s">
        <v>161</v>
      </c>
    </row>
    <row r="8649" ht="22.5" customHeight="1">
      <c r="A8649" s="6" t="s">
        <v>25457</v>
      </c>
      <c r="B8649" s="6" t="s">
        <v>19132</v>
      </c>
      <c r="C8649" s="10">
        <v>46052.0</v>
      </c>
      <c r="D8649" s="6" t="s">
        <v>391</v>
      </c>
      <c r="E8649" s="6" t="s">
        <v>687</v>
      </c>
      <c r="F8649" s="6" t="s">
        <v>439</v>
      </c>
      <c r="G8649" s="6" t="s">
        <v>326</v>
      </c>
      <c r="H8649" s="10">
        <v>46052.0</v>
      </c>
      <c r="I8649" s="12">
        <v>10.0</v>
      </c>
      <c r="J8649" s="6" t="s">
        <v>161</v>
      </c>
    </row>
    <row r="8650" ht="22.5" customHeight="1">
      <c r="A8650" s="6" t="s">
        <v>25458</v>
      </c>
      <c r="B8650" s="6" t="s">
        <v>19132</v>
      </c>
      <c r="C8650" s="10">
        <v>46049.0</v>
      </c>
      <c r="D8650" s="6" t="s">
        <v>312</v>
      </c>
      <c r="E8650" s="6" t="s">
        <v>2881</v>
      </c>
      <c r="F8650" s="6" t="s">
        <v>283</v>
      </c>
      <c r="G8650" s="6" t="s">
        <v>458</v>
      </c>
      <c r="H8650" s="10">
        <v>46056.0</v>
      </c>
      <c r="I8650" s="12">
        <v>4.0</v>
      </c>
      <c r="J8650" s="6" t="s">
        <v>161</v>
      </c>
    </row>
    <row r="8651" ht="22.5" customHeight="1">
      <c r="A8651" s="6" t="s">
        <v>25459</v>
      </c>
      <c r="B8651" s="6" t="s">
        <v>19139</v>
      </c>
      <c r="C8651" s="10">
        <v>46071.0</v>
      </c>
      <c r="D8651" s="6" t="s">
        <v>312</v>
      </c>
      <c r="E8651" s="6" t="s">
        <v>291</v>
      </c>
      <c r="F8651" s="6" t="s">
        <v>249</v>
      </c>
      <c r="G8651" s="6" t="s">
        <v>369</v>
      </c>
      <c r="H8651" s="10">
        <v>46073.0</v>
      </c>
      <c r="I8651" s="12">
        <v>6.0</v>
      </c>
      <c r="J8651" s="6" t="s">
        <v>161</v>
      </c>
    </row>
    <row r="8652" ht="22.5" customHeight="1">
      <c r="A8652" s="6" t="s">
        <v>25460</v>
      </c>
      <c r="B8652" s="6" t="s">
        <v>19139</v>
      </c>
      <c r="C8652" s="10">
        <v>46064.0</v>
      </c>
      <c r="D8652" s="6" t="s">
        <v>312</v>
      </c>
      <c r="E8652" s="6" t="s">
        <v>1600</v>
      </c>
      <c r="F8652" s="6" t="s">
        <v>249</v>
      </c>
      <c r="G8652" s="6" t="s">
        <v>254</v>
      </c>
      <c r="H8652" s="11" t="s">
        <v>259</v>
      </c>
      <c r="I8652" s="12">
        <v>7.0</v>
      </c>
      <c r="J8652" s="6" t="s">
        <v>161</v>
      </c>
    </row>
    <row r="8653" ht="22.5" customHeight="1">
      <c r="A8653" s="6" t="s">
        <v>25461</v>
      </c>
      <c r="B8653" s="6" t="s">
        <v>19139</v>
      </c>
      <c r="C8653" s="10">
        <v>46056.0</v>
      </c>
      <c r="D8653" s="6" t="s">
        <v>436</v>
      </c>
      <c r="E8653" s="6" t="s">
        <v>1070</v>
      </c>
      <c r="F8653" s="6" t="s">
        <v>249</v>
      </c>
      <c r="G8653" s="6" t="s">
        <v>326</v>
      </c>
      <c r="H8653" s="10">
        <v>46057.0</v>
      </c>
      <c r="I8653" s="12">
        <v>6.0</v>
      </c>
      <c r="J8653" s="6" t="s">
        <v>161</v>
      </c>
    </row>
    <row r="8654" ht="22.5" customHeight="1">
      <c r="A8654" s="6" t="s">
        <v>25462</v>
      </c>
      <c r="B8654" s="6" t="s">
        <v>19139</v>
      </c>
      <c r="C8654" s="10">
        <v>46062.0</v>
      </c>
      <c r="D8654" s="6" t="s">
        <v>391</v>
      </c>
      <c r="E8654" s="6" t="s">
        <v>512</v>
      </c>
      <c r="F8654" s="6" t="s">
        <v>249</v>
      </c>
      <c r="G8654" s="6" t="s">
        <v>297</v>
      </c>
      <c r="H8654" s="11" t="s">
        <v>259</v>
      </c>
      <c r="I8654" s="12">
        <v>6.0</v>
      </c>
      <c r="J8654" s="6" t="s">
        <v>161</v>
      </c>
    </row>
    <row r="8655" ht="22.5" customHeight="1">
      <c r="A8655" s="6" t="s">
        <v>25463</v>
      </c>
      <c r="B8655" s="6" t="s">
        <v>19144</v>
      </c>
      <c r="C8655" s="10">
        <v>46044.0</v>
      </c>
      <c r="D8655" s="6" t="s">
        <v>242</v>
      </c>
      <c r="E8655" s="6" t="s">
        <v>1241</v>
      </c>
      <c r="F8655" s="6" t="s">
        <v>112</v>
      </c>
      <c r="G8655" s="6" t="s">
        <v>477</v>
      </c>
      <c r="H8655" s="10">
        <v>46049.0</v>
      </c>
      <c r="I8655" s="12">
        <v>4.0</v>
      </c>
      <c r="J8655" s="6" t="s">
        <v>161</v>
      </c>
    </row>
    <row r="8656" ht="22.5" customHeight="1">
      <c r="A8656" s="6" t="s">
        <v>25464</v>
      </c>
      <c r="B8656" s="6" t="s">
        <v>19144</v>
      </c>
      <c r="C8656" s="10">
        <v>46036.0</v>
      </c>
      <c r="D8656" s="6" t="s">
        <v>436</v>
      </c>
      <c r="E8656" s="6" t="s">
        <v>2881</v>
      </c>
      <c r="F8656" s="6" t="s">
        <v>439</v>
      </c>
      <c r="G8656" s="6" t="s">
        <v>297</v>
      </c>
      <c r="H8656" s="11" t="s">
        <v>259</v>
      </c>
      <c r="I8656" s="12">
        <v>6.0</v>
      </c>
      <c r="J8656" s="6" t="s">
        <v>178</v>
      </c>
    </row>
    <row r="8657" ht="22.5" customHeight="1">
      <c r="A8657" s="6" t="s">
        <v>25465</v>
      </c>
      <c r="B8657" s="6" t="s">
        <v>19144</v>
      </c>
      <c r="C8657" s="10">
        <v>46049.0</v>
      </c>
      <c r="D8657" s="6" t="s">
        <v>436</v>
      </c>
      <c r="E8657" s="6" t="s">
        <v>365</v>
      </c>
      <c r="F8657" s="6" t="s">
        <v>439</v>
      </c>
      <c r="G8657" s="6" t="s">
        <v>254</v>
      </c>
      <c r="H8657" s="11" t="s">
        <v>259</v>
      </c>
      <c r="I8657" s="12">
        <v>12.0</v>
      </c>
      <c r="J8657" s="6" t="s">
        <v>161</v>
      </c>
    </row>
    <row r="8658" ht="22.5" customHeight="1">
      <c r="A8658" s="6" t="s">
        <v>25466</v>
      </c>
      <c r="B8658" s="6" t="s">
        <v>19144</v>
      </c>
      <c r="C8658" s="10">
        <v>46041.0</v>
      </c>
      <c r="D8658" s="6" t="s">
        <v>289</v>
      </c>
      <c r="E8658" s="6" t="s">
        <v>466</v>
      </c>
      <c r="F8658" s="6" t="s">
        <v>283</v>
      </c>
      <c r="G8658" s="6" t="s">
        <v>326</v>
      </c>
      <c r="H8658" s="11" t="s">
        <v>259</v>
      </c>
      <c r="I8658" s="12">
        <v>6.0</v>
      </c>
      <c r="J8658" s="6" t="s">
        <v>161</v>
      </c>
    </row>
    <row r="8659" ht="22.5" customHeight="1">
      <c r="A8659" s="6" t="s">
        <v>25467</v>
      </c>
      <c r="B8659" s="6" t="s">
        <v>19151</v>
      </c>
      <c r="C8659" s="10">
        <v>46079.0</v>
      </c>
      <c r="D8659" s="6" t="s">
        <v>677</v>
      </c>
      <c r="E8659" s="6" t="s">
        <v>475</v>
      </c>
      <c r="F8659" s="6" t="s">
        <v>112</v>
      </c>
      <c r="G8659" s="6" t="s">
        <v>254</v>
      </c>
      <c r="H8659" s="11" t="s">
        <v>259</v>
      </c>
      <c r="I8659" s="12">
        <v>2.0</v>
      </c>
      <c r="J8659" s="6" t="s">
        <v>161</v>
      </c>
    </row>
    <row r="8660" ht="22.5" customHeight="1">
      <c r="A8660" s="6" t="s">
        <v>25468</v>
      </c>
      <c r="B8660" s="6" t="s">
        <v>19151</v>
      </c>
      <c r="C8660" s="10">
        <v>46080.0</v>
      </c>
      <c r="D8660" s="6" t="s">
        <v>677</v>
      </c>
      <c r="E8660" s="6" t="s">
        <v>670</v>
      </c>
      <c r="F8660" s="6" t="s">
        <v>283</v>
      </c>
      <c r="G8660" s="6" t="s">
        <v>452</v>
      </c>
      <c r="H8660" s="11" t="s">
        <v>259</v>
      </c>
      <c r="I8660" s="12">
        <v>3.0</v>
      </c>
      <c r="J8660" s="6" t="s">
        <v>161</v>
      </c>
    </row>
    <row r="8661" ht="22.5" customHeight="1">
      <c r="A8661" s="6" t="s">
        <v>25469</v>
      </c>
      <c r="B8661" s="6" t="s">
        <v>19151</v>
      </c>
      <c r="C8661" s="10">
        <v>46082.0</v>
      </c>
      <c r="D8661" s="6" t="s">
        <v>677</v>
      </c>
      <c r="E8661" s="6" t="s">
        <v>634</v>
      </c>
      <c r="F8661" s="6" t="s">
        <v>439</v>
      </c>
      <c r="G8661" s="6" t="s">
        <v>494</v>
      </c>
      <c r="H8661" s="10">
        <v>46083.0</v>
      </c>
      <c r="I8661" s="12">
        <v>2.0</v>
      </c>
      <c r="J8661" s="6" t="s">
        <v>161</v>
      </c>
    </row>
    <row r="8662" ht="22.5" customHeight="1">
      <c r="A8662" s="6" t="s">
        <v>25470</v>
      </c>
      <c r="B8662" s="6" t="s">
        <v>19151</v>
      </c>
      <c r="C8662" s="10">
        <v>46070.0</v>
      </c>
      <c r="D8662" s="6" t="s">
        <v>289</v>
      </c>
      <c r="E8662" s="6" t="s">
        <v>670</v>
      </c>
      <c r="F8662" s="6" t="s">
        <v>112</v>
      </c>
      <c r="G8662" s="6" t="s">
        <v>326</v>
      </c>
      <c r="H8662" s="10">
        <v>46076.0</v>
      </c>
      <c r="I8662" s="12">
        <v>5.0</v>
      </c>
      <c r="J8662" s="6" t="s">
        <v>161</v>
      </c>
    </row>
    <row r="8663" ht="22.5" customHeight="1">
      <c r="A8663" s="6" t="s">
        <v>25471</v>
      </c>
      <c r="B8663" s="6" t="s">
        <v>19151</v>
      </c>
      <c r="C8663" s="10">
        <v>46087.0</v>
      </c>
      <c r="D8663" s="6" t="s">
        <v>289</v>
      </c>
      <c r="E8663" s="6" t="s">
        <v>1122</v>
      </c>
      <c r="F8663" s="6" t="s">
        <v>439</v>
      </c>
      <c r="G8663" s="6" t="s">
        <v>326</v>
      </c>
      <c r="H8663" s="10">
        <v>46093.0</v>
      </c>
      <c r="I8663" s="12">
        <v>7.0</v>
      </c>
      <c r="J8663" s="6" t="s">
        <v>161</v>
      </c>
    </row>
    <row r="8664" ht="22.5" customHeight="1">
      <c r="A8664" s="6" t="s">
        <v>25472</v>
      </c>
      <c r="B8664" s="6" t="s">
        <v>19157</v>
      </c>
      <c r="C8664" s="10">
        <v>46085.0</v>
      </c>
      <c r="D8664" s="6" t="s">
        <v>436</v>
      </c>
      <c r="E8664" s="6" t="s">
        <v>1546</v>
      </c>
      <c r="F8664" s="6" t="s">
        <v>249</v>
      </c>
      <c r="G8664" s="6" t="s">
        <v>477</v>
      </c>
      <c r="H8664" s="10">
        <v>46091.0</v>
      </c>
      <c r="I8664" s="12">
        <v>9.0</v>
      </c>
      <c r="J8664" s="6" t="s">
        <v>178</v>
      </c>
    </row>
    <row r="8665" ht="22.5" customHeight="1">
      <c r="A8665" s="6" t="s">
        <v>25473</v>
      </c>
      <c r="B8665" s="6" t="s">
        <v>19157</v>
      </c>
      <c r="C8665" s="10">
        <v>46083.0</v>
      </c>
      <c r="D8665" s="6" t="s">
        <v>677</v>
      </c>
      <c r="E8665" s="6" t="s">
        <v>738</v>
      </c>
      <c r="F8665" s="6" t="s">
        <v>283</v>
      </c>
      <c r="G8665" s="6" t="s">
        <v>254</v>
      </c>
      <c r="H8665" s="10">
        <v>46085.0</v>
      </c>
      <c r="I8665" s="12">
        <v>4.0</v>
      </c>
      <c r="J8665" s="6" t="s">
        <v>161</v>
      </c>
    </row>
    <row r="8666" ht="22.5" customHeight="1">
      <c r="A8666" s="6" t="s">
        <v>25474</v>
      </c>
      <c r="B8666" s="6" t="s">
        <v>19164</v>
      </c>
      <c r="C8666" s="10">
        <v>46062.0</v>
      </c>
      <c r="D8666" s="6" t="s">
        <v>436</v>
      </c>
      <c r="E8666" s="6" t="s">
        <v>1552</v>
      </c>
      <c r="F8666" s="6" t="s">
        <v>249</v>
      </c>
      <c r="G8666" s="6" t="s">
        <v>494</v>
      </c>
      <c r="H8666" s="10">
        <v>46067.0</v>
      </c>
      <c r="I8666" s="12">
        <v>12.0</v>
      </c>
      <c r="J8666" s="6" t="s">
        <v>178</v>
      </c>
    </row>
    <row r="8667" ht="22.5" customHeight="1">
      <c r="A8667" s="6" t="s">
        <v>25475</v>
      </c>
      <c r="B8667" s="6" t="s">
        <v>19164</v>
      </c>
      <c r="C8667" s="10">
        <v>46073.0</v>
      </c>
      <c r="D8667" s="6" t="s">
        <v>416</v>
      </c>
      <c r="E8667" s="6" t="s">
        <v>775</v>
      </c>
      <c r="F8667" s="6" t="s">
        <v>112</v>
      </c>
      <c r="G8667" s="6" t="s">
        <v>452</v>
      </c>
      <c r="H8667" s="10">
        <v>46078.0</v>
      </c>
      <c r="I8667" s="12">
        <v>10.0</v>
      </c>
      <c r="J8667" s="6" t="s">
        <v>161</v>
      </c>
    </row>
    <row r="8668" ht="22.5" customHeight="1">
      <c r="A8668" s="6" t="s">
        <v>25476</v>
      </c>
      <c r="B8668" s="6" t="s">
        <v>19170</v>
      </c>
      <c r="C8668" s="10">
        <v>46035.0</v>
      </c>
      <c r="D8668" s="6" t="s">
        <v>391</v>
      </c>
      <c r="E8668" s="6" t="s">
        <v>320</v>
      </c>
      <c r="F8668" s="6" t="s">
        <v>112</v>
      </c>
      <c r="G8668" s="6" t="s">
        <v>458</v>
      </c>
      <c r="H8668" s="11" t="s">
        <v>259</v>
      </c>
      <c r="I8668" s="12">
        <v>9.0</v>
      </c>
      <c r="J8668" s="6" t="s">
        <v>161</v>
      </c>
    </row>
    <row r="8669" ht="22.5" customHeight="1">
      <c r="A8669" s="6" t="s">
        <v>25477</v>
      </c>
      <c r="B8669" s="6" t="s">
        <v>19170</v>
      </c>
      <c r="C8669" s="10">
        <v>46029.0</v>
      </c>
      <c r="D8669" s="6" t="s">
        <v>391</v>
      </c>
      <c r="E8669" s="6" t="s">
        <v>1570</v>
      </c>
      <c r="F8669" s="6" t="s">
        <v>249</v>
      </c>
      <c r="G8669" s="6" t="s">
        <v>369</v>
      </c>
      <c r="H8669" s="10">
        <v>46033.0</v>
      </c>
      <c r="I8669" s="12">
        <v>6.0</v>
      </c>
      <c r="J8669" s="6" t="s">
        <v>161</v>
      </c>
    </row>
    <row r="8670" ht="22.5" customHeight="1">
      <c r="A8670" s="6" t="s">
        <v>25478</v>
      </c>
      <c r="B8670" s="6" t="s">
        <v>19170</v>
      </c>
      <c r="C8670" s="10">
        <v>46045.0</v>
      </c>
      <c r="D8670" s="6" t="s">
        <v>416</v>
      </c>
      <c r="E8670" s="6" t="s">
        <v>670</v>
      </c>
      <c r="F8670" s="6" t="s">
        <v>112</v>
      </c>
      <c r="G8670" s="6" t="s">
        <v>494</v>
      </c>
      <c r="H8670" s="10">
        <v>46048.0</v>
      </c>
      <c r="I8670" s="12">
        <v>10.0</v>
      </c>
      <c r="J8670" s="6" t="s">
        <v>161</v>
      </c>
    </row>
    <row r="8671" ht="22.5" customHeight="1">
      <c r="A8671" s="6" t="s">
        <v>25479</v>
      </c>
      <c r="B8671" s="6" t="s">
        <v>19177</v>
      </c>
      <c r="C8671" s="10">
        <v>46073.0</v>
      </c>
      <c r="D8671" s="6" t="s">
        <v>391</v>
      </c>
      <c r="E8671" s="6" t="s">
        <v>466</v>
      </c>
      <c r="F8671" s="6" t="s">
        <v>283</v>
      </c>
      <c r="G8671" s="6" t="s">
        <v>494</v>
      </c>
      <c r="H8671" s="10">
        <v>46077.0</v>
      </c>
      <c r="I8671" s="12">
        <v>7.0</v>
      </c>
      <c r="J8671" s="6" t="s">
        <v>161</v>
      </c>
    </row>
    <row r="8672" ht="22.5" customHeight="1">
      <c r="A8672" s="6" t="s">
        <v>25480</v>
      </c>
      <c r="B8672" s="6" t="s">
        <v>19177</v>
      </c>
      <c r="C8672" s="10">
        <v>46068.0</v>
      </c>
      <c r="D8672" s="6" t="s">
        <v>289</v>
      </c>
      <c r="E8672" s="6" t="s">
        <v>566</v>
      </c>
      <c r="F8672" s="6" t="s">
        <v>283</v>
      </c>
      <c r="G8672" s="6" t="s">
        <v>494</v>
      </c>
      <c r="H8672" s="10">
        <v>46068.0</v>
      </c>
      <c r="I8672" s="12">
        <v>5.0</v>
      </c>
      <c r="J8672" s="6" t="s">
        <v>161</v>
      </c>
    </row>
    <row r="8673" ht="22.5" customHeight="1">
      <c r="A8673" s="6" t="s">
        <v>25481</v>
      </c>
      <c r="B8673" s="6" t="s">
        <v>19177</v>
      </c>
      <c r="C8673" s="10">
        <v>46070.0</v>
      </c>
      <c r="D8673" s="6" t="s">
        <v>391</v>
      </c>
      <c r="E8673" s="6" t="s">
        <v>1626</v>
      </c>
      <c r="F8673" s="6" t="s">
        <v>283</v>
      </c>
      <c r="G8673" s="6" t="s">
        <v>452</v>
      </c>
      <c r="H8673" s="10">
        <v>46076.0</v>
      </c>
      <c r="I8673" s="12">
        <v>11.0</v>
      </c>
      <c r="J8673" s="6" t="s">
        <v>161</v>
      </c>
    </row>
    <row r="8674" ht="22.5" customHeight="1">
      <c r="A8674" s="6" t="s">
        <v>25482</v>
      </c>
      <c r="B8674" s="6" t="s">
        <v>19177</v>
      </c>
      <c r="C8674" s="10">
        <v>46069.0</v>
      </c>
      <c r="D8674" s="6" t="s">
        <v>436</v>
      </c>
      <c r="E8674" s="6" t="s">
        <v>896</v>
      </c>
      <c r="F8674" s="6" t="s">
        <v>249</v>
      </c>
      <c r="G8674" s="6" t="s">
        <v>452</v>
      </c>
      <c r="H8674" s="10">
        <v>46072.0</v>
      </c>
      <c r="I8674" s="12">
        <v>10.0</v>
      </c>
      <c r="J8674" s="6" t="s">
        <v>178</v>
      </c>
    </row>
    <row r="8675" ht="22.5" customHeight="1">
      <c r="A8675" s="6" t="s">
        <v>25483</v>
      </c>
      <c r="B8675" s="6" t="s">
        <v>19177</v>
      </c>
      <c r="C8675" s="10">
        <v>46075.0</v>
      </c>
      <c r="D8675" s="6" t="s">
        <v>289</v>
      </c>
      <c r="E8675" s="6" t="s">
        <v>2365</v>
      </c>
      <c r="F8675" s="6" t="s">
        <v>439</v>
      </c>
      <c r="G8675" s="6" t="s">
        <v>494</v>
      </c>
      <c r="H8675" s="11" t="s">
        <v>259</v>
      </c>
      <c r="I8675" s="12">
        <v>9.0</v>
      </c>
      <c r="J8675" s="6" t="s">
        <v>161</v>
      </c>
    </row>
    <row r="8676" ht="22.5" customHeight="1">
      <c r="A8676" s="6" t="s">
        <v>25484</v>
      </c>
      <c r="B8676" s="6" t="s">
        <v>19183</v>
      </c>
      <c r="C8676" s="10">
        <v>46077.0</v>
      </c>
      <c r="D8676" s="6" t="s">
        <v>242</v>
      </c>
      <c r="E8676" s="6" t="s">
        <v>704</v>
      </c>
      <c r="F8676" s="6" t="s">
        <v>249</v>
      </c>
      <c r="G8676" s="6" t="s">
        <v>254</v>
      </c>
      <c r="H8676" s="10">
        <v>46080.0</v>
      </c>
      <c r="I8676" s="12">
        <v>6.0</v>
      </c>
      <c r="J8676" s="6" t="s">
        <v>178</v>
      </c>
    </row>
    <row r="8677" ht="22.5" customHeight="1">
      <c r="A8677" s="6" t="s">
        <v>25485</v>
      </c>
      <c r="B8677" s="6" t="s">
        <v>19183</v>
      </c>
      <c r="C8677" s="10">
        <v>46064.0</v>
      </c>
      <c r="D8677" s="6" t="s">
        <v>391</v>
      </c>
      <c r="E8677" s="6" t="s">
        <v>450</v>
      </c>
      <c r="F8677" s="6" t="s">
        <v>249</v>
      </c>
      <c r="G8677" s="6" t="s">
        <v>477</v>
      </c>
      <c r="H8677" s="10">
        <v>46070.0</v>
      </c>
      <c r="I8677" s="12">
        <v>8.0</v>
      </c>
      <c r="J8677" s="6" t="s">
        <v>161</v>
      </c>
    </row>
    <row r="8678" ht="22.5" customHeight="1">
      <c r="A8678" s="6" t="s">
        <v>25486</v>
      </c>
      <c r="B8678" s="6" t="s">
        <v>19183</v>
      </c>
      <c r="C8678" s="10">
        <v>46059.0</v>
      </c>
      <c r="D8678" s="6" t="s">
        <v>677</v>
      </c>
      <c r="E8678" s="6" t="s">
        <v>618</v>
      </c>
      <c r="F8678" s="6" t="s">
        <v>439</v>
      </c>
      <c r="G8678" s="6" t="s">
        <v>369</v>
      </c>
      <c r="H8678" s="10">
        <v>46063.0</v>
      </c>
      <c r="I8678" s="12">
        <v>4.0</v>
      </c>
      <c r="J8678" s="6" t="s">
        <v>161</v>
      </c>
    </row>
    <row r="8679" ht="22.5" customHeight="1">
      <c r="A8679" s="6" t="s">
        <v>25487</v>
      </c>
      <c r="B8679" s="6" t="s">
        <v>19189</v>
      </c>
      <c r="C8679" s="10">
        <v>46057.0</v>
      </c>
      <c r="D8679" s="6" t="s">
        <v>242</v>
      </c>
      <c r="E8679" s="6" t="s">
        <v>885</v>
      </c>
      <c r="F8679" s="6" t="s">
        <v>249</v>
      </c>
      <c r="G8679" s="6" t="s">
        <v>297</v>
      </c>
      <c r="H8679" s="10">
        <v>46058.0</v>
      </c>
      <c r="I8679" s="12">
        <v>6.0</v>
      </c>
      <c r="J8679" s="6" t="s">
        <v>178</v>
      </c>
    </row>
    <row r="8680" ht="22.5" customHeight="1">
      <c r="A8680" s="6" t="s">
        <v>25488</v>
      </c>
      <c r="B8680" s="6" t="s">
        <v>19189</v>
      </c>
      <c r="C8680" s="10">
        <v>46062.0</v>
      </c>
      <c r="D8680" s="6" t="s">
        <v>677</v>
      </c>
      <c r="E8680" s="6" t="s">
        <v>618</v>
      </c>
      <c r="F8680" s="6" t="s">
        <v>112</v>
      </c>
      <c r="G8680" s="6" t="s">
        <v>494</v>
      </c>
      <c r="H8680" s="10">
        <v>46062.0</v>
      </c>
      <c r="I8680" s="12">
        <v>4.0</v>
      </c>
      <c r="J8680" s="6" t="s">
        <v>161</v>
      </c>
    </row>
    <row r="8681" ht="22.5" customHeight="1">
      <c r="A8681" s="6" t="s">
        <v>25489</v>
      </c>
      <c r="B8681" s="6" t="s">
        <v>19197</v>
      </c>
      <c r="C8681" s="10">
        <v>46045.0</v>
      </c>
      <c r="D8681" s="6" t="s">
        <v>391</v>
      </c>
      <c r="E8681" s="6" t="s">
        <v>438</v>
      </c>
      <c r="F8681" s="6" t="s">
        <v>112</v>
      </c>
      <c r="G8681" s="6" t="s">
        <v>369</v>
      </c>
      <c r="H8681" s="10">
        <v>46048.0</v>
      </c>
      <c r="I8681" s="12">
        <v>11.0</v>
      </c>
      <c r="J8681" s="6" t="s">
        <v>161</v>
      </c>
    </row>
    <row r="8682" ht="22.5" customHeight="1">
      <c r="A8682" s="6" t="s">
        <v>25490</v>
      </c>
      <c r="B8682" s="6" t="s">
        <v>19197</v>
      </c>
      <c r="C8682" s="10">
        <v>46059.0</v>
      </c>
      <c r="D8682" s="6" t="s">
        <v>416</v>
      </c>
      <c r="E8682" s="6" t="s">
        <v>885</v>
      </c>
      <c r="F8682" s="6" t="s">
        <v>283</v>
      </c>
      <c r="G8682" s="6" t="s">
        <v>477</v>
      </c>
      <c r="H8682" s="10">
        <v>46062.0</v>
      </c>
      <c r="I8682" s="12">
        <v>8.0</v>
      </c>
      <c r="J8682" s="6" t="s">
        <v>161</v>
      </c>
    </row>
    <row r="8683" ht="22.5" customHeight="1">
      <c r="A8683" s="6" t="s">
        <v>25491</v>
      </c>
      <c r="B8683" s="6" t="s">
        <v>19197</v>
      </c>
      <c r="C8683" s="10">
        <v>46045.0</v>
      </c>
      <c r="D8683" s="6" t="s">
        <v>312</v>
      </c>
      <c r="E8683" s="6" t="s">
        <v>2881</v>
      </c>
      <c r="F8683" s="6" t="s">
        <v>249</v>
      </c>
      <c r="G8683" s="6" t="s">
        <v>494</v>
      </c>
      <c r="H8683" s="10">
        <v>46045.0</v>
      </c>
      <c r="I8683" s="12">
        <v>7.0</v>
      </c>
      <c r="J8683" s="6" t="s">
        <v>161</v>
      </c>
    </row>
    <row r="8684" ht="22.5" customHeight="1">
      <c r="A8684" s="6" t="s">
        <v>25492</v>
      </c>
      <c r="B8684" s="6" t="s">
        <v>19197</v>
      </c>
      <c r="C8684" s="10">
        <v>46062.0</v>
      </c>
      <c r="D8684" s="6" t="s">
        <v>677</v>
      </c>
      <c r="E8684" s="6" t="s">
        <v>896</v>
      </c>
      <c r="F8684" s="6" t="s">
        <v>283</v>
      </c>
      <c r="G8684" s="6" t="s">
        <v>254</v>
      </c>
      <c r="H8684" s="11" t="s">
        <v>259</v>
      </c>
      <c r="I8684" s="12">
        <v>4.0</v>
      </c>
      <c r="J8684" s="6" t="s">
        <v>161</v>
      </c>
    </row>
    <row r="8685" ht="22.5" customHeight="1">
      <c r="A8685" s="6" t="s">
        <v>25493</v>
      </c>
      <c r="B8685" s="6" t="s">
        <v>19204</v>
      </c>
      <c r="C8685" s="10">
        <v>46056.0</v>
      </c>
      <c r="D8685" s="6" t="s">
        <v>289</v>
      </c>
      <c r="E8685" s="6" t="s">
        <v>1055</v>
      </c>
      <c r="F8685" s="6" t="s">
        <v>249</v>
      </c>
      <c r="G8685" s="6" t="s">
        <v>477</v>
      </c>
      <c r="H8685" s="10">
        <v>46059.0</v>
      </c>
      <c r="I8685" s="12">
        <v>9.0</v>
      </c>
      <c r="J8685" s="6" t="s">
        <v>161</v>
      </c>
    </row>
    <row r="8686" ht="22.5" customHeight="1">
      <c r="A8686" s="6" t="s">
        <v>25494</v>
      </c>
      <c r="B8686" s="6" t="s">
        <v>19204</v>
      </c>
      <c r="C8686" s="10">
        <v>46073.0</v>
      </c>
      <c r="D8686" s="6" t="s">
        <v>242</v>
      </c>
      <c r="E8686" s="6" t="s">
        <v>417</v>
      </c>
      <c r="F8686" s="6" t="s">
        <v>249</v>
      </c>
      <c r="G8686" s="6" t="s">
        <v>369</v>
      </c>
      <c r="H8686" s="10">
        <v>46077.0</v>
      </c>
      <c r="I8686" s="12">
        <v>6.0</v>
      </c>
      <c r="J8686" s="6" t="s">
        <v>161</v>
      </c>
    </row>
    <row r="8687" ht="22.5" customHeight="1">
      <c r="A8687" s="6" t="s">
        <v>25495</v>
      </c>
      <c r="B8687" s="6" t="s">
        <v>19204</v>
      </c>
      <c r="C8687" s="10">
        <v>46067.0</v>
      </c>
      <c r="D8687" s="6" t="s">
        <v>677</v>
      </c>
      <c r="E8687" s="6" t="s">
        <v>1055</v>
      </c>
      <c r="F8687" s="6" t="s">
        <v>439</v>
      </c>
      <c r="G8687" s="6" t="s">
        <v>494</v>
      </c>
      <c r="H8687" s="10">
        <v>46071.0</v>
      </c>
      <c r="I8687" s="12">
        <v>4.0</v>
      </c>
      <c r="J8687" s="6" t="s">
        <v>161</v>
      </c>
    </row>
    <row r="8688" ht="22.5" customHeight="1">
      <c r="A8688" s="6" t="s">
        <v>25496</v>
      </c>
      <c r="B8688" s="6" t="s">
        <v>19204</v>
      </c>
      <c r="C8688" s="10">
        <v>46060.0</v>
      </c>
      <c r="D8688" s="6" t="s">
        <v>677</v>
      </c>
      <c r="E8688" s="6" t="s">
        <v>450</v>
      </c>
      <c r="F8688" s="6" t="s">
        <v>112</v>
      </c>
      <c r="G8688" s="6" t="s">
        <v>254</v>
      </c>
      <c r="H8688" s="10">
        <v>46066.0</v>
      </c>
      <c r="I8688" s="12">
        <v>4.0</v>
      </c>
      <c r="J8688" s="6" t="s">
        <v>161</v>
      </c>
    </row>
    <row r="8689" ht="22.5" customHeight="1">
      <c r="A8689" s="6" t="s">
        <v>25497</v>
      </c>
      <c r="B8689" s="6" t="s">
        <v>19211</v>
      </c>
      <c r="C8689" s="10">
        <v>46046.0</v>
      </c>
      <c r="D8689" s="6" t="s">
        <v>677</v>
      </c>
      <c r="E8689" s="6" t="s">
        <v>787</v>
      </c>
      <c r="F8689" s="6" t="s">
        <v>283</v>
      </c>
      <c r="G8689" s="6" t="s">
        <v>297</v>
      </c>
      <c r="H8689" s="10">
        <v>46053.0</v>
      </c>
      <c r="I8689" s="12">
        <v>2.0</v>
      </c>
      <c r="J8689" s="6" t="s">
        <v>161</v>
      </c>
    </row>
    <row r="8690" ht="22.5" customHeight="1">
      <c r="A8690" s="6" t="s">
        <v>25498</v>
      </c>
      <c r="B8690" s="6" t="s">
        <v>19211</v>
      </c>
      <c r="C8690" s="10">
        <v>46031.0</v>
      </c>
      <c r="D8690" s="6" t="s">
        <v>677</v>
      </c>
      <c r="E8690" s="6" t="s">
        <v>365</v>
      </c>
      <c r="F8690" s="6" t="s">
        <v>439</v>
      </c>
      <c r="G8690" s="6" t="s">
        <v>477</v>
      </c>
      <c r="H8690" s="10">
        <v>46036.0</v>
      </c>
      <c r="I8690" s="12">
        <v>2.0</v>
      </c>
      <c r="J8690" s="6" t="s">
        <v>161</v>
      </c>
    </row>
    <row r="8691" ht="22.5" customHeight="1">
      <c r="A8691" s="6" t="s">
        <v>25499</v>
      </c>
      <c r="B8691" s="6" t="s">
        <v>19211</v>
      </c>
      <c r="C8691" s="10">
        <v>46026.0</v>
      </c>
      <c r="D8691" s="6" t="s">
        <v>289</v>
      </c>
      <c r="E8691" s="6" t="s">
        <v>1517</v>
      </c>
      <c r="F8691" s="6" t="s">
        <v>283</v>
      </c>
      <c r="G8691" s="6" t="s">
        <v>452</v>
      </c>
      <c r="H8691" s="10">
        <v>46030.0</v>
      </c>
      <c r="I8691" s="12">
        <v>9.0</v>
      </c>
      <c r="J8691" s="6" t="s">
        <v>161</v>
      </c>
    </row>
    <row r="8692" ht="22.5" customHeight="1">
      <c r="A8692" s="6" t="s">
        <v>25500</v>
      </c>
      <c r="B8692" s="6" t="s">
        <v>19217</v>
      </c>
      <c r="C8692" s="10">
        <v>46050.0</v>
      </c>
      <c r="D8692" s="6" t="s">
        <v>416</v>
      </c>
      <c r="E8692" s="6" t="s">
        <v>716</v>
      </c>
      <c r="F8692" s="6" t="s">
        <v>249</v>
      </c>
      <c r="G8692" s="6" t="s">
        <v>477</v>
      </c>
      <c r="H8692" s="10">
        <v>46054.0</v>
      </c>
      <c r="I8692" s="12">
        <v>14.0</v>
      </c>
      <c r="J8692" s="6" t="s">
        <v>161</v>
      </c>
    </row>
    <row r="8693" ht="22.5" customHeight="1">
      <c r="A8693" s="6" t="s">
        <v>25501</v>
      </c>
      <c r="B8693" s="6" t="s">
        <v>19223</v>
      </c>
      <c r="C8693" s="10">
        <v>46048.0</v>
      </c>
      <c r="D8693" s="6" t="s">
        <v>677</v>
      </c>
      <c r="E8693" s="6" t="s">
        <v>1035</v>
      </c>
      <c r="F8693" s="6" t="s">
        <v>439</v>
      </c>
      <c r="G8693" s="6" t="s">
        <v>477</v>
      </c>
      <c r="H8693" s="10">
        <v>46051.0</v>
      </c>
      <c r="I8693" s="12">
        <v>2.0</v>
      </c>
      <c r="J8693" s="6" t="s">
        <v>161</v>
      </c>
    </row>
    <row r="8694" ht="22.5" customHeight="1">
      <c r="A8694" s="6" t="s">
        <v>25502</v>
      </c>
      <c r="B8694" s="6" t="s">
        <v>19223</v>
      </c>
      <c r="C8694" s="10">
        <v>46050.0</v>
      </c>
      <c r="D8694" s="6" t="s">
        <v>312</v>
      </c>
      <c r="E8694" s="6" t="s">
        <v>583</v>
      </c>
      <c r="F8694" s="6" t="s">
        <v>249</v>
      </c>
      <c r="G8694" s="6" t="s">
        <v>369</v>
      </c>
      <c r="H8694" s="10">
        <v>46051.0</v>
      </c>
      <c r="I8694" s="12">
        <v>5.0</v>
      </c>
      <c r="J8694" s="6" t="s">
        <v>161</v>
      </c>
    </row>
    <row r="8695" ht="22.5" customHeight="1">
      <c r="A8695" s="6" t="s">
        <v>25503</v>
      </c>
      <c r="B8695" s="6" t="s">
        <v>19223</v>
      </c>
      <c r="C8695" s="10">
        <v>46065.0</v>
      </c>
      <c r="D8695" s="6" t="s">
        <v>289</v>
      </c>
      <c r="E8695" s="6" t="s">
        <v>583</v>
      </c>
      <c r="F8695" s="6" t="s">
        <v>439</v>
      </c>
      <c r="G8695" s="6" t="s">
        <v>458</v>
      </c>
      <c r="H8695" s="11" t="s">
        <v>259</v>
      </c>
      <c r="I8695" s="12">
        <v>10.0</v>
      </c>
      <c r="J8695" s="6" t="s">
        <v>161</v>
      </c>
    </row>
    <row r="8696" ht="22.5" customHeight="1">
      <c r="A8696" s="6" t="s">
        <v>25504</v>
      </c>
      <c r="B8696" s="6" t="s">
        <v>19223</v>
      </c>
      <c r="C8696" s="10">
        <v>46055.0</v>
      </c>
      <c r="D8696" s="6" t="s">
        <v>677</v>
      </c>
      <c r="E8696" s="6" t="s">
        <v>628</v>
      </c>
      <c r="F8696" s="6" t="s">
        <v>283</v>
      </c>
      <c r="G8696" s="6" t="s">
        <v>297</v>
      </c>
      <c r="H8696" s="10">
        <v>46055.0</v>
      </c>
      <c r="I8696" s="12">
        <v>2.0</v>
      </c>
      <c r="J8696" s="6" t="s">
        <v>161</v>
      </c>
    </row>
    <row r="8697" ht="22.5" customHeight="1">
      <c r="A8697" s="6" t="s">
        <v>25505</v>
      </c>
      <c r="B8697" s="6" t="s">
        <v>19223</v>
      </c>
      <c r="C8697" s="10">
        <v>46058.0</v>
      </c>
      <c r="D8697" s="6" t="s">
        <v>289</v>
      </c>
      <c r="E8697" s="6" t="s">
        <v>716</v>
      </c>
      <c r="F8697" s="6" t="s">
        <v>249</v>
      </c>
      <c r="G8697" s="6" t="s">
        <v>254</v>
      </c>
      <c r="H8697" s="10">
        <v>46058.0</v>
      </c>
      <c r="I8697" s="12">
        <v>6.0</v>
      </c>
      <c r="J8697" s="6" t="s">
        <v>161</v>
      </c>
    </row>
    <row r="8698" ht="22.5" customHeight="1">
      <c r="A8698" s="6" t="s">
        <v>25506</v>
      </c>
      <c r="B8698" s="6" t="s">
        <v>19231</v>
      </c>
      <c r="C8698" s="10">
        <v>46057.0</v>
      </c>
      <c r="D8698" s="6" t="s">
        <v>312</v>
      </c>
      <c r="E8698" s="6" t="s">
        <v>2881</v>
      </c>
      <c r="F8698" s="6" t="s">
        <v>112</v>
      </c>
      <c r="G8698" s="6" t="s">
        <v>458</v>
      </c>
      <c r="H8698" s="10">
        <v>46057.0</v>
      </c>
      <c r="I8698" s="12">
        <v>5.0</v>
      </c>
      <c r="J8698" s="6" t="s">
        <v>161</v>
      </c>
    </row>
    <row r="8699" ht="22.5" customHeight="1">
      <c r="A8699" s="6" t="s">
        <v>25507</v>
      </c>
      <c r="B8699" s="6" t="s">
        <v>19238</v>
      </c>
      <c r="C8699" s="10">
        <v>46040.0</v>
      </c>
      <c r="D8699" s="6" t="s">
        <v>416</v>
      </c>
      <c r="E8699" s="6" t="s">
        <v>1273</v>
      </c>
      <c r="F8699" s="6" t="s">
        <v>439</v>
      </c>
      <c r="G8699" s="6" t="s">
        <v>477</v>
      </c>
      <c r="H8699" s="10">
        <v>46044.0</v>
      </c>
      <c r="I8699" s="12">
        <v>11.0</v>
      </c>
      <c r="J8699" s="6" t="s">
        <v>161</v>
      </c>
    </row>
    <row r="8700" ht="22.5" customHeight="1">
      <c r="A8700" s="6" t="s">
        <v>25508</v>
      </c>
      <c r="B8700" s="6" t="s">
        <v>19238</v>
      </c>
      <c r="C8700" s="10">
        <v>46040.0</v>
      </c>
      <c r="D8700" s="6" t="s">
        <v>312</v>
      </c>
      <c r="E8700" s="6" t="s">
        <v>466</v>
      </c>
      <c r="F8700" s="6" t="s">
        <v>283</v>
      </c>
      <c r="G8700" s="6" t="s">
        <v>494</v>
      </c>
      <c r="H8700" s="10">
        <v>46043.0</v>
      </c>
      <c r="I8700" s="12">
        <v>4.0</v>
      </c>
      <c r="J8700" s="6" t="s">
        <v>161</v>
      </c>
    </row>
    <row r="8701" ht="22.5" customHeight="1">
      <c r="A8701" s="6" t="s">
        <v>25509</v>
      </c>
      <c r="B8701" s="6" t="s">
        <v>19238</v>
      </c>
      <c r="C8701" s="10">
        <v>46025.0</v>
      </c>
      <c r="D8701" s="6" t="s">
        <v>312</v>
      </c>
      <c r="E8701" s="6" t="s">
        <v>1149</v>
      </c>
      <c r="F8701" s="6" t="s">
        <v>112</v>
      </c>
      <c r="G8701" s="6" t="s">
        <v>477</v>
      </c>
      <c r="H8701" s="11" t="s">
        <v>259</v>
      </c>
      <c r="I8701" s="12">
        <v>7.0</v>
      </c>
      <c r="J8701" s="6" t="s">
        <v>161</v>
      </c>
    </row>
    <row r="8702" ht="22.5" customHeight="1">
      <c r="A8702" s="6" t="s">
        <v>25510</v>
      </c>
      <c r="B8702" s="6" t="s">
        <v>19238</v>
      </c>
      <c r="C8702" s="10">
        <v>46031.0</v>
      </c>
      <c r="D8702" s="6" t="s">
        <v>312</v>
      </c>
      <c r="E8702" s="6" t="s">
        <v>417</v>
      </c>
      <c r="F8702" s="6" t="s">
        <v>439</v>
      </c>
      <c r="G8702" s="6" t="s">
        <v>494</v>
      </c>
      <c r="H8702" s="10">
        <v>46035.0</v>
      </c>
      <c r="I8702" s="12">
        <v>6.0</v>
      </c>
      <c r="J8702" s="6" t="s">
        <v>161</v>
      </c>
    </row>
    <row r="8703" ht="22.5" customHeight="1">
      <c r="A8703" s="6" t="s">
        <v>25511</v>
      </c>
      <c r="B8703" s="6" t="s">
        <v>19238</v>
      </c>
      <c r="C8703" s="10">
        <v>46033.0</v>
      </c>
      <c r="D8703" s="6" t="s">
        <v>242</v>
      </c>
      <c r="E8703" s="6" t="s">
        <v>438</v>
      </c>
      <c r="F8703" s="6" t="s">
        <v>283</v>
      </c>
      <c r="G8703" s="6" t="s">
        <v>369</v>
      </c>
      <c r="H8703" s="10">
        <v>46037.0</v>
      </c>
      <c r="I8703" s="12">
        <v>3.0</v>
      </c>
      <c r="J8703" s="6" t="s">
        <v>161</v>
      </c>
    </row>
    <row r="8704" ht="22.5" customHeight="1">
      <c r="A8704" s="6" t="s">
        <v>25512</v>
      </c>
      <c r="B8704" s="6" t="s">
        <v>19246</v>
      </c>
      <c r="C8704" s="10">
        <v>46034.0</v>
      </c>
      <c r="D8704" s="6" t="s">
        <v>312</v>
      </c>
      <c r="E8704" s="6" t="s">
        <v>634</v>
      </c>
      <c r="F8704" s="6" t="s">
        <v>112</v>
      </c>
      <c r="G8704" s="6" t="s">
        <v>254</v>
      </c>
      <c r="H8704" s="10">
        <v>46035.0</v>
      </c>
      <c r="I8704" s="12">
        <v>4.0</v>
      </c>
      <c r="J8704" s="6" t="s">
        <v>161</v>
      </c>
    </row>
    <row r="8705" ht="22.5" customHeight="1">
      <c r="A8705" s="6" t="s">
        <v>25513</v>
      </c>
      <c r="B8705" s="6" t="s">
        <v>19252</v>
      </c>
      <c r="C8705" s="10">
        <v>46054.0</v>
      </c>
      <c r="D8705" s="6" t="s">
        <v>312</v>
      </c>
      <c r="E8705" s="6" t="s">
        <v>787</v>
      </c>
      <c r="F8705" s="6" t="s">
        <v>283</v>
      </c>
      <c r="G8705" s="6" t="s">
        <v>477</v>
      </c>
      <c r="H8705" s="10">
        <v>46058.0</v>
      </c>
      <c r="I8705" s="12">
        <v>6.0</v>
      </c>
      <c r="J8705" s="6" t="s">
        <v>161</v>
      </c>
    </row>
    <row r="8706" ht="22.5" customHeight="1">
      <c r="A8706" s="6" t="s">
        <v>25514</v>
      </c>
      <c r="B8706" s="6" t="s">
        <v>19252</v>
      </c>
      <c r="C8706" s="10">
        <v>46044.0</v>
      </c>
      <c r="D8706" s="6" t="s">
        <v>242</v>
      </c>
      <c r="E8706" s="6" t="s">
        <v>2881</v>
      </c>
      <c r="F8706" s="6" t="s">
        <v>439</v>
      </c>
      <c r="G8706" s="6" t="s">
        <v>254</v>
      </c>
      <c r="H8706" s="10">
        <v>46050.0</v>
      </c>
      <c r="I8706" s="12">
        <v>4.0</v>
      </c>
      <c r="J8706" s="6" t="s">
        <v>178</v>
      </c>
    </row>
    <row r="8707" ht="22.5" customHeight="1">
      <c r="A8707" s="6" t="s">
        <v>25515</v>
      </c>
      <c r="B8707" s="6" t="s">
        <v>19252</v>
      </c>
      <c r="C8707" s="10">
        <v>46041.0</v>
      </c>
      <c r="D8707" s="6" t="s">
        <v>677</v>
      </c>
      <c r="E8707" s="6" t="s">
        <v>1035</v>
      </c>
      <c r="F8707" s="6" t="s">
        <v>283</v>
      </c>
      <c r="G8707" s="6" t="s">
        <v>326</v>
      </c>
      <c r="H8707" s="10">
        <v>46044.0</v>
      </c>
      <c r="I8707" s="12">
        <v>4.0</v>
      </c>
      <c r="J8707" s="6" t="s">
        <v>161</v>
      </c>
    </row>
    <row r="8708" ht="22.5" customHeight="1">
      <c r="A8708" s="6" t="s">
        <v>25516</v>
      </c>
      <c r="B8708" s="6" t="s">
        <v>19260</v>
      </c>
      <c r="C8708" s="10">
        <v>46053.0</v>
      </c>
      <c r="D8708" s="6" t="s">
        <v>289</v>
      </c>
      <c r="E8708" s="6" t="s">
        <v>246</v>
      </c>
      <c r="F8708" s="6" t="s">
        <v>283</v>
      </c>
      <c r="G8708" s="6" t="s">
        <v>369</v>
      </c>
      <c r="H8708" s="10">
        <v>46055.0</v>
      </c>
      <c r="I8708" s="12">
        <v>10.0</v>
      </c>
      <c r="J8708" s="6" t="s">
        <v>161</v>
      </c>
    </row>
    <row r="8709" ht="22.5" customHeight="1">
      <c r="A8709" s="6" t="s">
        <v>25517</v>
      </c>
      <c r="B8709" s="6" t="s">
        <v>19260</v>
      </c>
      <c r="C8709" s="10">
        <v>46045.0</v>
      </c>
      <c r="D8709" s="6" t="s">
        <v>391</v>
      </c>
      <c r="E8709" s="6" t="s">
        <v>1700</v>
      </c>
      <c r="F8709" s="6" t="s">
        <v>439</v>
      </c>
      <c r="G8709" s="6" t="s">
        <v>458</v>
      </c>
      <c r="H8709" s="10">
        <v>46052.0</v>
      </c>
      <c r="I8709" s="12">
        <v>10.0</v>
      </c>
      <c r="J8709" s="6" t="s">
        <v>161</v>
      </c>
    </row>
    <row r="8710" ht="22.5" customHeight="1">
      <c r="A8710" s="6" t="s">
        <v>25518</v>
      </c>
      <c r="B8710" s="6" t="s">
        <v>19260</v>
      </c>
      <c r="C8710" s="10">
        <v>46053.0</v>
      </c>
      <c r="D8710" s="6" t="s">
        <v>242</v>
      </c>
      <c r="E8710" s="6" t="s">
        <v>955</v>
      </c>
      <c r="F8710" s="6" t="s">
        <v>249</v>
      </c>
      <c r="G8710" s="6" t="s">
        <v>452</v>
      </c>
      <c r="H8710" s="10">
        <v>46055.0</v>
      </c>
      <c r="I8710" s="12">
        <v>4.0</v>
      </c>
      <c r="J8710" s="6" t="s">
        <v>178</v>
      </c>
    </row>
    <row r="8711" ht="22.5" customHeight="1">
      <c r="A8711" s="6" t="s">
        <v>25519</v>
      </c>
      <c r="B8711" s="6" t="s">
        <v>19260</v>
      </c>
      <c r="C8711" s="10">
        <v>46051.0</v>
      </c>
      <c r="D8711" s="6" t="s">
        <v>416</v>
      </c>
      <c r="E8711" s="6" t="s">
        <v>1969</v>
      </c>
      <c r="F8711" s="6" t="s">
        <v>112</v>
      </c>
      <c r="G8711" s="6" t="s">
        <v>326</v>
      </c>
      <c r="H8711" s="10">
        <v>46058.0</v>
      </c>
      <c r="I8711" s="12">
        <v>11.0</v>
      </c>
      <c r="J8711" s="6" t="s">
        <v>161</v>
      </c>
    </row>
    <row r="8712" ht="22.5" customHeight="1">
      <c r="A8712" s="6" t="s">
        <v>25520</v>
      </c>
      <c r="B8712" s="6" t="s">
        <v>19260</v>
      </c>
      <c r="C8712" s="10">
        <v>46048.0</v>
      </c>
      <c r="D8712" s="6" t="s">
        <v>677</v>
      </c>
      <c r="E8712" s="6" t="s">
        <v>438</v>
      </c>
      <c r="F8712" s="6" t="s">
        <v>112</v>
      </c>
      <c r="G8712" s="6" t="s">
        <v>494</v>
      </c>
      <c r="H8712" s="10">
        <v>46055.0</v>
      </c>
      <c r="I8712" s="12">
        <v>4.0</v>
      </c>
      <c r="J8712" s="6" t="s">
        <v>161</v>
      </c>
    </row>
    <row r="8713" ht="22.5" customHeight="1">
      <c r="A8713" s="6" t="s">
        <v>25521</v>
      </c>
      <c r="B8713" s="6" t="s">
        <v>19268</v>
      </c>
      <c r="C8713" s="10">
        <v>46051.0</v>
      </c>
      <c r="D8713" s="6" t="s">
        <v>391</v>
      </c>
      <c r="E8713" s="6" t="s">
        <v>618</v>
      </c>
      <c r="F8713" s="6" t="s">
        <v>112</v>
      </c>
      <c r="G8713" s="6" t="s">
        <v>477</v>
      </c>
      <c r="H8713" s="10">
        <v>46055.0</v>
      </c>
      <c r="I8713" s="12">
        <v>6.0</v>
      </c>
      <c r="J8713" s="6" t="s">
        <v>161</v>
      </c>
    </row>
    <row r="8714" ht="22.5" customHeight="1">
      <c r="A8714" s="6" t="s">
        <v>25522</v>
      </c>
      <c r="B8714" s="6" t="s">
        <v>19275</v>
      </c>
      <c r="C8714" s="10">
        <v>46062.0</v>
      </c>
      <c r="D8714" s="6" t="s">
        <v>416</v>
      </c>
      <c r="E8714" s="6" t="s">
        <v>1273</v>
      </c>
      <c r="F8714" s="6" t="s">
        <v>283</v>
      </c>
      <c r="G8714" s="6" t="s">
        <v>494</v>
      </c>
      <c r="H8714" s="10">
        <v>46063.0</v>
      </c>
      <c r="I8714" s="12">
        <v>12.0</v>
      </c>
      <c r="J8714" s="6" t="s">
        <v>161</v>
      </c>
    </row>
    <row r="8715" ht="22.5" customHeight="1">
      <c r="A8715" s="6" t="s">
        <v>25523</v>
      </c>
      <c r="B8715" s="6" t="s">
        <v>19275</v>
      </c>
      <c r="C8715" s="10">
        <v>46051.0</v>
      </c>
      <c r="D8715" s="6" t="s">
        <v>312</v>
      </c>
      <c r="E8715" s="6" t="s">
        <v>1720</v>
      </c>
      <c r="F8715" s="6" t="s">
        <v>249</v>
      </c>
      <c r="G8715" s="6" t="s">
        <v>326</v>
      </c>
      <c r="H8715" s="11" t="s">
        <v>259</v>
      </c>
      <c r="I8715" s="12">
        <v>4.0</v>
      </c>
      <c r="J8715" s="6" t="s">
        <v>161</v>
      </c>
    </row>
    <row r="8716" ht="22.5" customHeight="1">
      <c r="A8716" s="6" t="s">
        <v>25524</v>
      </c>
      <c r="B8716" s="6" t="s">
        <v>19275</v>
      </c>
      <c r="C8716" s="10">
        <v>46064.0</v>
      </c>
      <c r="D8716" s="6" t="s">
        <v>416</v>
      </c>
      <c r="E8716" s="6" t="s">
        <v>1035</v>
      </c>
      <c r="F8716" s="6" t="s">
        <v>249</v>
      </c>
      <c r="G8716" s="6" t="s">
        <v>477</v>
      </c>
      <c r="H8716" s="10">
        <v>46065.0</v>
      </c>
      <c r="I8716" s="12">
        <v>13.0</v>
      </c>
      <c r="J8716" s="6" t="s">
        <v>161</v>
      </c>
    </row>
    <row r="8717" ht="22.5" customHeight="1">
      <c r="A8717" s="6" t="s">
        <v>25525</v>
      </c>
      <c r="B8717" s="6" t="s">
        <v>19284</v>
      </c>
      <c r="C8717" s="10">
        <v>46044.0</v>
      </c>
      <c r="D8717" s="6" t="s">
        <v>436</v>
      </c>
      <c r="E8717" s="6" t="s">
        <v>634</v>
      </c>
      <c r="F8717" s="6" t="s">
        <v>249</v>
      </c>
      <c r="G8717" s="6" t="s">
        <v>297</v>
      </c>
      <c r="H8717" s="10">
        <v>46048.0</v>
      </c>
      <c r="I8717" s="12">
        <v>9.0</v>
      </c>
      <c r="J8717" s="6" t="s">
        <v>178</v>
      </c>
    </row>
    <row r="8718" ht="22.5" customHeight="1">
      <c r="A8718" s="6" t="s">
        <v>25526</v>
      </c>
      <c r="B8718" s="6" t="s">
        <v>19284</v>
      </c>
      <c r="C8718" s="10">
        <v>46031.0</v>
      </c>
      <c r="D8718" s="6" t="s">
        <v>391</v>
      </c>
      <c r="E8718" s="6" t="s">
        <v>1720</v>
      </c>
      <c r="F8718" s="6" t="s">
        <v>112</v>
      </c>
      <c r="G8718" s="6" t="s">
        <v>297</v>
      </c>
      <c r="H8718" s="10">
        <v>46034.0</v>
      </c>
      <c r="I8718" s="12">
        <v>9.0</v>
      </c>
      <c r="J8718" s="6" t="s">
        <v>161</v>
      </c>
    </row>
    <row r="8719" ht="22.5" customHeight="1">
      <c r="A8719" s="6" t="s">
        <v>25527</v>
      </c>
      <c r="B8719" s="6" t="s">
        <v>19284</v>
      </c>
      <c r="C8719" s="10">
        <v>46046.0</v>
      </c>
      <c r="D8719" s="6" t="s">
        <v>677</v>
      </c>
      <c r="E8719" s="6" t="s">
        <v>1969</v>
      </c>
      <c r="F8719" s="6" t="s">
        <v>249</v>
      </c>
      <c r="G8719" s="6" t="s">
        <v>477</v>
      </c>
      <c r="H8719" s="10">
        <v>46052.0</v>
      </c>
      <c r="I8719" s="12">
        <v>2.0</v>
      </c>
      <c r="J8719" s="6" t="s">
        <v>161</v>
      </c>
    </row>
    <row r="8720" ht="22.5" customHeight="1">
      <c r="A8720" s="6" t="s">
        <v>25528</v>
      </c>
      <c r="B8720" s="6" t="s">
        <v>19291</v>
      </c>
      <c r="C8720" s="10">
        <v>46031.0</v>
      </c>
      <c r="D8720" s="6" t="s">
        <v>436</v>
      </c>
      <c r="E8720" s="6" t="s">
        <v>885</v>
      </c>
      <c r="F8720" s="6" t="s">
        <v>283</v>
      </c>
      <c r="G8720" s="6" t="s">
        <v>297</v>
      </c>
      <c r="H8720" s="10">
        <v>46031.0</v>
      </c>
      <c r="I8720" s="12">
        <v>8.0</v>
      </c>
      <c r="J8720" s="6" t="s">
        <v>178</v>
      </c>
    </row>
    <row r="8721" ht="22.5" customHeight="1">
      <c r="A8721" s="6" t="s">
        <v>25529</v>
      </c>
      <c r="B8721" s="6" t="s">
        <v>19291</v>
      </c>
      <c r="C8721" s="10">
        <v>46046.0</v>
      </c>
      <c r="D8721" s="6" t="s">
        <v>436</v>
      </c>
      <c r="E8721" s="6" t="s">
        <v>512</v>
      </c>
      <c r="F8721" s="6" t="s">
        <v>249</v>
      </c>
      <c r="G8721" s="6" t="s">
        <v>254</v>
      </c>
      <c r="H8721" s="10">
        <v>46050.0</v>
      </c>
      <c r="I8721" s="12">
        <v>11.0</v>
      </c>
      <c r="J8721" s="6" t="s">
        <v>178</v>
      </c>
    </row>
    <row r="8722" ht="22.5" customHeight="1">
      <c r="A8722" s="6" t="s">
        <v>25530</v>
      </c>
      <c r="B8722" s="6" t="s">
        <v>19291</v>
      </c>
      <c r="C8722" s="10">
        <v>46029.0</v>
      </c>
      <c r="D8722" s="6" t="s">
        <v>289</v>
      </c>
      <c r="E8722" s="6" t="s">
        <v>833</v>
      </c>
      <c r="F8722" s="6" t="s">
        <v>249</v>
      </c>
      <c r="G8722" s="6" t="s">
        <v>494</v>
      </c>
      <c r="H8722" s="10">
        <v>46031.0</v>
      </c>
      <c r="I8722" s="12">
        <v>9.0</v>
      </c>
      <c r="J8722" s="6" t="s">
        <v>161</v>
      </c>
    </row>
    <row r="8723" ht="22.5" customHeight="1">
      <c r="A8723" s="6" t="s">
        <v>25531</v>
      </c>
      <c r="B8723" s="6" t="s">
        <v>19291</v>
      </c>
      <c r="C8723" s="10">
        <v>46033.0</v>
      </c>
      <c r="D8723" s="6" t="s">
        <v>242</v>
      </c>
      <c r="E8723" s="6" t="s">
        <v>1122</v>
      </c>
      <c r="F8723" s="6" t="s">
        <v>249</v>
      </c>
      <c r="G8723" s="6" t="s">
        <v>254</v>
      </c>
      <c r="H8723" s="10">
        <v>46033.0</v>
      </c>
      <c r="I8723" s="12">
        <v>6.0</v>
      </c>
      <c r="J8723" s="6" t="s">
        <v>178</v>
      </c>
    </row>
    <row r="8724" ht="22.5" customHeight="1">
      <c r="A8724" s="6" t="s">
        <v>25532</v>
      </c>
      <c r="B8724" s="6" t="s">
        <v>19298</v>
      </c>
      <c r="C8724" s="10">
        <v>46035.0</v>
      </c>
      <c r="D8724" s="6" t="s">
        <v>677</v>
      </c>
      <c r="E8724" s="6" t="s">
        <v>1600</v>
      </c>
      <c r="F8724" s="6" t="s">
        <v>283</v>
      </c>
      <c r="G8724" s="6" t="s">
        <v>369</v>
      </c>
      <c r="H8724" s="11" t="s">
        <v>259</v>
      </c>
      <c r="I8724" s="12">
        <v>3.0</v>
      </c>
      <c r="J8724" s="6" t="s">
        <v>161</v>
      </c>
    </row>
    <row r="8725" ht="22.5" customHeight="1">
      <c r="A8725" s="6" t="s">
        <v>25533</v>
      </c>
      <c r="B8725" s="6" t="s">
        <v>19306</v>
      </c>
      <c r="C8725" s="10">
        <v>46030.0</v>
      </c>
      <c r="D8725" s="6" t="s">
        <v>436</v>
      </c>
      <c r="E8725" s="6" t="s">
        <v>1700</v>
      </c>
      <c r="F8725" s="6" t="s">
        <v>283</v>
      </c>
      <c r="G8725" s="6" t="s">
        <v>326</v>
      </c>
      <c r="H8725" s="10">
        <v>46031.0</v>
      </c>
      <c r="I8725" s="12">
        <v>9.0</v>
      </c>
      <c r="J8725" s="6" t="s">
        <v>161</v>
      </c>
    </row>
    <row r="8726" ht="22.5" customHeight="1">
      <c r="A8726" s="6" t="s">
        <v>25534</v>
      </c>
      <c r="B8726" s="6" t="s">
        <v>19306</v>
      </c>
      <c r="C8726" s="10">
        <v>46028.0</v>
      </c>
      <c r="D8726" s="6" t="s">
        <v>312</v>
      </c>
      <c r="E8726" s="6" t="s">
        <v>417</v>
      </c>
      <c r="F8726" s="6" t="s">
        <v>249</v>
      </c>
      <c r="G8726" s="6" t="s">
        <v>458</v>
      </c>
      <c r="H8726" s="10">
        <v>46035.0</v>
      </c>
      <c r="I8726" s="12">
        <v>7.0</v>
      </c>
      <c r="J8726" s="6" t="s">
        <v>161</v>
      </c>
    </row>
    <row r="8727" ht="22.5" customHeight="1">
      <c r="A8727" s="6" t="s">
        <v>25535</v>
      </c>
      <c r="B8727" s="6" t="s">
        <v>19306</v>
      </c>
      <c r="C8727" s="10">
        <v>46029.0</v>
      </c>
      <c r="D8727" s="6" t="s">
        <v>391</v>
      </c>
      <c r="E8727" s="6" t="s">
        <v>1102</v>
      </c>
      <c r="F8727" s="6" t="s">
        <v>439</v>
      </c>
      <c r="G8727" s="6" t="s">
        <v>477</v>
      </c>
      <c r="H8727" s="10">
        <v>46034.0</v>
      </c>
      <c r="I8727" s="12">
        <v>9.0</v>
      </c>
      <c r="J8727" s="6" t="s">
        <v>161</v>
      </c>
    </row>
    <row r="8728" ht="22.5" customHeight="1">
      <c r="A8728" s="6" t="s">
        <v>25536</v>
      </c>
      <c r="B8728" s="6" t="s">
        <v>19306</v>
      </c>
      <c r="C8728" s="10">
        <v>46039.0</v>
      </c>
      <c r="D8728" s="6" t="s">
        <v>242</v>
      </c>
      <c r="E8728" s="6" t="s">
        <v>787</v>
      </c>
      <c r="F8728" s="6" t="s">
        <v>439</v>
      </c>
      <c r="G8728" s="6" t="s">
        <v>297</v>
      </c>
      <c r="H8728" s="10">
        <v>46042.0</v>
      </c>
      <c r="I8728" s="12">
        <v>6.0</v>
      </c>
      <c r="J8728" s="6" t="s">
        <v>178</v>
      </c>
    </row>
    <row r="8729" ht="22.5" customHeight="1">
      <c r="A8729" s="6" t="s">
        <v>25537</v>
      </c>
      <c r="B8729" s="6" t="s">
        <v>19306</v>
      </c>
      <c r="C8729" s="10">
        <v>46040.0</v>
      </c>
      <c r="D8729" s="6" t="s">
        <v>242</v>
      </c>
      <c r="E8729" s="6" t="s">
        <v>394</v>
      </c>
      <c r="F8729" s="6" t="s">
        <v>439</v>
      </c>
      <c r="G8729" s="6" t="s">
        <v>254</v>
      </c>
      <c r="H8729" s="11" t="s">
        <v>259</v>
      </c>
      <c r="I8729" s="12">
        <v>3.0</v>
      </c>
      <c r="J8729" s="6" t="s">
        <v>178</v>
      </c>
    </row>
    <row r="8730" ht="22.5" customHeight="1">
      <c r="A8730" s="6" t="s">
        <v>25538</v>
      </c>
      <c r="B8730" s="6" t="s">
        <v>19314</v>
      </c>
      <c r="C8730" s="10">
        <v>46048.0</v>
      </c>
      <c r="D8730" s="6" t="s">
        <v>242</v>
      </c>
      <c r="E8730" s="6" t="s">
        <v>320</v>
      </c>
      <c r="F8730" s="6" t="s">
        <v>439</v>
      </c>
      <c r="G8730" s="6" t="s">
        <v>452</v>
      </c>
      <c r="H8730" s="10">
        <v>46054.0</v>
      </c>
      <c r="I8730" s="12">
        <v>3.0</v>
      </c>
      <c r="J8730" s="6" t="s">
        <v>178</v>
      </c>
    </row>
    <row r="8731" ht="22.5" customHeight="1">
      <c r="A8731" s="6" t="s">
        <v>25539</v>
      </c>
      <c r="B8731" s="6" t="s">
        <v>19314</v>
      </c>
      <c r="C8731" s="10">
        <v>46054.0</v>
      </c>
      <c r="D8731" s="6" t="s">
        <v>289</v>
      </c>
      <c r="E8731" s="6" t="s">
        <v>775</v>
      </c>
      <c r="F8731" s="6" t="s">
        <v>283</v>
      </c>
      <c r="G8731" s="6" t="s">
        <v>477</v>
      </c>
      <c r="H8731" s="10">
        <v>46057.0</v>
      </c>
      <c r="I8731" s="12">
        <v>8.0</v>
      </c>
      <c r="J8731" s="6" t="s">
        <v>161</v>
      </c>
    </row>
    <row r="8732" ht="22.5" customHeight="1">
      <c r="A8732" s="6" t="s">
        <v>25540</v>
      </c>
      <c r="B8732" s="6" t="s">
        <v>19314</v>
      </c>
      <c r="C8732" s="10">
        <v>46051.0</v>
      </c>
      <c r="D8732" s="6" t="s">
        <v>416</v>
      </c>
      <c r="E8732" s="6" t="s">
        <v>731</v>
      </c>
      <c r="F8732" s="6" t="s">
        <v>283</v>
      </c>
      <c r="G8732" s="6" t="s">
        <v>297</v>
      </c>
      <c r="H8732" s="10">
        <v>46058.0</v>
      </c>
      <c r="I8732" s="12">
        <v>10.0</v>
      </c>
      <c r="J8732" s="6" t="s">
        <v>161</v>
      </c>
    </row>
    <row r="8733" ht="22.5" customHeight="1">
      <c r="A8733" s="6" t="s">
        <v>25541</v>
      </c>
      <c r="B8733" s="6" t="s">
        <v>19314</v>
      </c>
      <c r="C8733" s="10">
        <v>46045.0</v>
      </c>
      <c r="D8733" s="6" t="s">
        <v>677</v>
      </c>
      <c r="E8733" s="6" t="s">
        <v>475</v>
      </c>
      <c r="F8733" s="6" t="s">
        <v>283</v>
      </c>
      <c r="G8733" s="6" t="s">
        <v>452</v>
      </c>
      <c r="H8733" s="11" t="s">
        <v>259</v>
      </c>
      <c r="I8733" s="12">
        <v>2.0</v>
      </c>
      <c r="J8733" s="6" t="s">
        <v>161</v>
      </c>
    </row>
    <row r="8734" ht="22.5" customHeight="1">
      <c r="A8734" s="6" t="s">
        <v>25542</v>
      </c>
      <c r="B8734" s="6" t="s">
        <v>19320</v>
      </c>
      <c r="C8734" s="10">
        <v>46048.0</v>
      </c>
      <c r="D8734" s="6" t="s">
        <v>312</v>
      </c>
      <c r="E8734" s="6" t="s">
        <v>1070</v>
      </c>
      <c r="F8734" s="6" t="s">
        <v>283</v>
      </c>
      <c r="G8734" s="6" t="s">
        <v>494</v>
      </c>
      <c r="H8734" s="10">
        <v>46049.0</v>
      </c>
      <c r="I8734" s="12">
        <v>5.0</v>
      </c>
      <c r="J8734" s="6" t="s">
        <v>161</v>
      </c>
    </row>
    <row r="8735" ht="22.5" customHeight="1">
      <c r="A8735" s="6" t="s">
        <v>25543</v>
      </c>
      <c r="B8735" s="6" t="s">
        <v>19326</v>
      </c>
      <c r="C8735" s="10">
        <v>46060.0</v>
      </c>
      <c r="D8735" s="6" t="s">
        <v>677</v>
      </c>
      <c r="E8735" s="6" t="s">
        <v>833</v>
      </c>
      <c r="F8735" s="6" t="s">
        <v>439</v>
      </c>
      <c r="G8735" s="6" t="s">
        <v>477</v>
      </c>
      <c r="H8735" s="10">
        <v>46063.0</v>
      </c>
      <c r="I8735" s="12">
        <v>2.0</v>
      </c>
      <c r="J8735" s="6" t="s">
        <v>161</v>
      </c>
    </row>
    <row r="8736" ht="22.5" customHeight="1">
      <c r="A8736" s="6" t="s">
        <v>25544</v>
      </c>
      <c r="B8736" s="6" t="s">
        <v>19332</v>
      </c>
      <c r="C8736" s="10">
        <v>46060.0</v>
      </c>
      <c r="D8736" s="6" t="s">
        <v>677</v>
      </c>
      <c r="E8736" s="6" t="s">
        <v>1241</v>
      </c>
      <c r="F8736" s="6" t="s">
        <v>283</v>
      </c>
      <c r="G8736" s="6" t="s">
        <v>297</v>
      </c>
      <c r="H8736" s="10">
        <v>46063.0</v>
      </c>
      <c r="I8736" s="12">
        <v>4.0</v>
      </c>
      <c r="J8736" s="6" t="s">
        <v>161</v>
      </c>
    </row>
    <row r="8737" ht="22.5" customHeight="1">
      <c r="A8737" s="6" t="s">
        <v>25545</v>
      </c>
      <c r="B8737" s="6" t="s">
        <v>19339</v>
      </c>
      <c r="C8737" s="10">
        <v>46051.0</v>
      </c>
      <c r="D8737" s="6" t="s">
        <v>391</v>
      </c>
      <c r="E8737" s="6" t="s">
        <v>246</v>
      </c>
      <c r="F8737" s="6" t="s">
        <v>112</v>
      </c>
      <c r="G8737" s="6" t="s">
        <v>369</v>
      </c>
      <c r="H8737" s="10">
        <v>46056.0</v>
      </c>
      <c r="I8737" s="12">
        <v>7.0</v>
      </c>
      <c r="J8737" s="6" t="s">
        <v>161</v>
      </c>
    </row>
    <row r="8738" ht="22.5" customHeight="1">
      <c r="A8738" s="6" t="s">
        <v>25546</v>
      </c>
      <c r="B8738" s="6" t="s">
        <v>19346</v>
      </c>
      <c r="C8738" s="10">
        <v>46070.0</v>
      </c>
      <c r="D8738" s="6" t="s">
        <v>677</v>
      </c>
      <c r="E8738" s="6" t="s">
        <v>885</v>
      </c>
      <c r="F8738" s="6" t="s">
        <v>112</v>
      </c>
      <c r="G8738" s="6" t="s">
        <v>494</v>
      </c>
      <c r="H8738" s="10">
        <v>46075.0</v>
      </c>
      <c r="I8738" s="12">
        <v>3.0</v>
      </c>
      <c r="J8738" s="6" t="s">
        <v>161</v>
      </c>
    </row>
    <row r="8739" ht="22.5" customHeight="1">
      <c r="A8739" s="6" t="s">
        <v>25547</v>
      </c>
      <c r="B8739" s="6" t="s">
        <v>19346</v>
      </c>
      <c r="C8739" s="10">
        <v>46058.0</v>
      </c>
      <c r="D8739" s="6" t="s">
        <v>312</v>
      </c>
      <c r="E8739" s="6" t="s">
        <v>704</v>
      </c>
      <c r="F8739" s="6" t="s">
        <v>283</v>
      </c>
      <c r="G8739" s="6" t="s">
        <v>494</v>
      </c>
      <c r="H8739" s="10">
        <v>46062.0</v>
      </c>
      <c r="I8739" s="12">
        <v>7.0</v>
      </c>
      <c r="J8739" s="6" t="s">
        <v>161</v>
      </c>
    </row>
    <row r="8740" ht="22.5" customHeight="1">
      <c r="A8740" s="6" t="s">
        <v>25548</v>
      </c>
      <c r="B8740" s="6" t="s">
        <v>19346</v>
      </c>
      <c r="C8740" s="10">
        <v>46073.0</v>
      </c>
      <c r="D8740" s="6" t="s">
        <v>391</v>
      </c>
      <c r="E8740" s="6" t="s">
        <v>1241</v>
      </c>
      <c r="F8740" s="6" t="s">
        <v>283</v>
      </c>
      <c r="G8740" s="6" t="s">
        <v>297</v>
      </c>
      <c r="H8740" s="10">
        <v>46073.0</v>
      </c>
      <c r="I8740" s="12">
        <v>8.0</v>
      </c>
      <c r="J8740" s="6" t="s">
        <v>161</v>
      </c>
    </row>
    <row r="8741" ht="22.5" customHeight="1">
      <c r="A8741" s="6" t="s">
        <v>25549</v>
      </c>
      <c r="B8741" s="6" t="s">
        <v>19346</v>
      </c>
      <c r="C8741" s="10">
        <v>46063.0</v>
      </c>
      <c r="D8741" s="6" t="s">
        <v>677</v>
      </c>
      <c r="E8741" s="6" t="s">
        <v>1149</v>
      </c>
      <c r="F8741" s="6" t="s">
        <v>249</v>
      </c>
      <c r="G8741" s="6" t="s">
        <v>452</v>
      </c>
      <c r="H8741" s="10">
        <v>46065.0</v>
      </c>
      <c r="I8741" s="12">
        <v>2.0</v>
      </c>
      <c r="J8741" s="6" t="s">
        <v>161</v>
      </c>
    </row>
    <row r="8742" ht="22.5" customHeight="1">
      <c r="A8742" s="6" t="s">
        <v>25550</v>
      </c>
      <c r="B8742" s="6" t="s">
        <v>19346</v>
      </c>
      <c r="C8742" s="10">
        <v>46063.0</v>
      </c>
      <c r="D8742" s="6" t="s">
        <v>242</v>
      </c>
      <c r="E8742" s="6" t="s">
        <v>618</v>
      </c>
      <c r="F8742" s="6" t="s">
        <v>439</v>
      </c>
      <c r="G8742" s="6" t="s">
        <v>297</v>
      </c>
      <c r="H8742" s="10">
        <v>46066.0</v>
      </c>
      <c r="I8742" s="12">
        <v>5.0</v>
      </c>
      <c r="J8742" s="6" t="s">
        <v>161</v>
      </c>
    </row>
    <row r="8743" ht="22.5" customHeight="1">
      <c r="A8743" s="6" t="s">
        <v>25551</v>
      </c>
      <c r="B8743" s="6" t="s">
        <v>19353</v>
      </c>
      <c r="C8743" s="10">
        <v>46037.0</v>
      </c>
      <c r="D8743" s="6" t="s">
        <v>289</v>
      </c>
      <c r="E8743" s="6" t="s">
        <v>1546</v>
      </c>
      <c r="F8743" s="6" t="s">
        <v>283</v>
      </c>
      <c r="G8743" s="6" t="s">
        <v>254</v>
      </c>
      <c r="H8743" s="11" t="s">
        <v>259</v>
      </c>
      <c r="I8743" s="12">
        <v>6.0</v>
      </c>
      <c r="J8743" s="6" t="s">
        <v>161</v>
      </c>
    </row>
    <row r="8744" ht="22.5" customHeight="1">
      <c r="A8744" s="6" t="s">
        <v>25552</v>
      </c>
      <c r="B8744" s="6" t="s">
        <v>19353</v>
      </c>
      <c r="C8744" s="10">
        <v>46038.0</v>
      </c>
      <c r="D8744" s="6" t="s">
        <v>312</v>
      </c>
      <c r="E8744" s="6" t="s">
        <v>798</v>
      </c>
      <c r="F8744" s="6" t="s">
        <v>283</v>
      </c>
      <c r="G8744" s="6" t="s">
        <v>458</v>
      </c>
      <c r="H8744" s="10">
        <v>46038.0</v>
      </c>
      <c r="I8744" s="12">
        <v>4.0</v>
      </c>
      <c r="J8744" s="6" t="s">
        <v>161</v>
      </c>
    </row>
    <row r="8745" ht="22.5" customHeight="1">
      <c r="A8745" s="6" t="s">
        <v>25553</v>
      </c>
      <c r="B8745" s="6" t="s">
        <v>19353</v>
      </c>
      <c r="C8745" s="10">
        <v>46044.0</v>
      </c>
      <c r="D8745" s="6" t="s">
        <v>416</v>
      </c>
      <c r="E8745" s="6" t="s">
        <v>475</v>
      </c>
      <c r="F8745" s="6" t="s">
        <v>439</v>
      </c>
      <c r="G8745" s="6" t="s">
        <v>494</v>
      </c>
      <c r="H8745" s="10">
        <v>46046.0</v>
      </c>
      <c r="I8745" s="12">
        <v>8.0</v>
      </c>
      <c r="J8745" s="6" t="s">
        <v>161</v>
      </c>
    </row>
    <row r="8746" ht="22.5" customHeight="1">
      <c r="A8746" s="6" t="s">
        <v>25554</v>
      </c>
      <c r="B8746" s="6" t="s">
        <v>19359</v>
      </c>
      <c r="C8746" s="10">
        <v>46088.0</v>
      </c>
      <c r="D8746" s="6" t="s">
        <v>242</v>
      </c>
      <c r="E8746" s="6" t="s">
        <v>320</v>
      </c>
      <c r="F8746" s="6" t="s">
        <v>439</v>
      </c>
      <c r="G8746" s="6" t="s">
        <v>369</v>
      </c>
      <c r="H8746" s="10">
        <v>46093.0</v>
      </c>
      <c r="I8746" s="12">
        <v>6.0</v>
      </c>
      <c r="J8746" s="6" t="s">
        <v>178</v>
      </c>
    </row>
    <row r="8747" ht="22.5" customHeight="1">
      <c r="A8747" s="6" t="s">
        <v>25555</v>
      </c>
      <c r="B8747" s="6" t="s">
        <v>19359</v>
      </c>
      <c r="C8747" s="10">
        <v>46081.0</v>
      </c>
      <c r="D8747" s="6" t="s">
        <v>677</v>
      </c>
      <c r="E8747" s="6" t="s">
        <v>246</v>
      </c>
      <c r="F8747" s="6" t="s">
        <v>112</v>
      </c>
      <c r="G8747" s="6" t="s">
        <v>494</v>
      </c>
      <c r="H8747" s="10">
        <v>46084.0</v>
      </c>
      <c r="I8747" s="12">
        <v>4.0</v>
      </c>
      <c r="J8747" s="6" t="s">
        <v>161</v>
      </c>
    </row>
    <row r="8748" ht="22.5" customHeight="1">
      <c r="A8748" s="6" t="s">
        <v>25556</v>
      </c>
      <c r="B8748" s="6" t="s">
        <v>19359</v>
      </c>
      <c r="C8748" s="10">
        <v>46079.0</v>
      </c>
      <c r="D8748" s="6" t="s">
        <v>416</v>
      </c>
      <c r="E8748" s="6" t="s">
        <v>1149</v>
      </c>
      <c r="F8748" s="6" t="s">
        <v>439</v>
      </c>
      <c r="G8748" s="6" t="s">
        <v>254</v>
      </c>
      <c r="H8748" s="10">
        <v>46086.0</v>
      </c>
      <c r="I8748" s="12">
        <v>13.0</v>
      </c>
      <c r="J8748" s="6" t="s">
        <v>161</v>
      </c>
    </row>
    <row r="8749" ht="22.5" customHeight="1">
      <c r="A8749" s="6" t="s">
        <v>25557</v>
      </c>
      <c r="B8749" s="6" t="s">
        <v>19359</v>
      </c>
      <c r="C8749" s="10">
        <v>46072.0</v>
      </c>
      <c r="D8749" s="6" t="s">
        <v>436</v>
      </c>
      <c r="E8749" s="6" t="s">
        <v>475</v>
      </c>
      <c r="F8749" s="6" t="s">
        <v>249</v>
      </c>
      <c r="G8749" s="6" t="s">
        <v>452</v>
      </c>
      <c r="H8749" s="11" t="s">
        <v>259</v>
      </c>
      <c r="I8749" s="12">
        <v>9.0</v>
      </c>
      <c r="J8749" s="6" t="s">
        <v>178</v>
      </c>
    </row>
    <row r="8750" ht="22.5" customHeight="1">
      <c r="A8750" s="6" t="s">
        <v>25558</v>
      </c>
      <c r="B8750" s="6" t="s">
        <v>19366</v>
      </c>
      <c r="C8750" s="10">
        <v>46045.0</v>
      </c>
      <c r="D8750" s="6" t="s">
        <v>436</v>
      </c>
      <c r="E8750" s="6" t="s">
        <v>1386</v>
      </c>
      <c r="F8750" s="6" t="s">
        <v>112</v>
      </c>
      <c r="G8750" s="6" t="s">
        <v>326</v>
      </c>
      <c r="H8750" s="10">
        <v>46048.0</v>
      </c>
      <c r="I8750" s="12">
        <v>10.0</v>
      </c>
      <c r="J8750" s="6" t="s">
        <v>178</v>
      </c>
    </row>
    <row r="8751" ht="22.5" customHeight="1">
      <c r="A8751" s="6" t="s">
        <v>25559</v>
      </c>
      <c r="B8751" s="6" t="s">
        <v>19366</v>
      </c>
      <c r="C8751" s="10">
        <v>46031.0</v>
      </c>
      <c r="D8751" s="6" t="s">
        <v>391</v>
      </c>
      <c r="E8751" s="6" t="s">
        <v>246</v>
      </c>
      <c r="F8751" s="6" t="s">
        <v>439</v>
      </c>
      <c r="G8751" s="6" t="s">
        <v>297</v>
      </c>
      <c r="H8751" s="10">
        <v>46036.0</v>
      </c>
      <c r="I8751" s="12">
        <v>9.0</v>
      </c>
      <c r="J8751" s="6" t="s">
        <v>161</v>
      </c>
    </row>
    <row r="8752" ht="22.5" customHeight="1">
      <c r="A8752" s="6" t="s">
        <v>25560</v>
      </c>
      <c r="B8752" s="6" t="s">
        <v>19366</v>
      </c>
      <c r="C8752" s="10">
        <v>46042.0</v>
      </c>
      <c r="D8752" s="6" t="s">
        <v>416</v>
      </c>
      <c r="E8752" s="6" t="s">
        <v>1386</v>
      </c>
      <c r="F8752" s="6" t="s">
        <v>249</v>
      </c>
      <c r="G8752" s="6" t="s">
        <v>326</v>
      </c>
      <c r="H8752" s="10">
        <v>46047.0</v>
      </c>
      <c r="I8752" s="12">
        <v>8.0</v>
      </c>
      <c r="J8752" s="6" t="s">
        <v>161</v>
      </c>
    </row>
    <row r="8753" ht="22.5" customHeight="1">
      <c r="A8753" s="6" t="s">
        <v>25561</v>
      </c>
      <c r="B8753" s="6" t="s">
        <v>19373</v>
      </c>
      <c r="C8753" s="10">
        <v>46042.0</v>
      </c>
      <c r="D8753" s="6" t="s">
        <v>242</v>
      </c>
      <c r="E8753" s="6" t="s">
        <v>1386</v>
      </c>
      <c r="F8753" s="6" t="s">
        <v>439</v>
      </c>
      <c r="G8753" s="6" t="s">
        <v>494</v>
      </c>
      <c r="H8753" s="10">
        <v>46048.0</v>
      </c>
      <c r="I8753" s="12">
        <v>4.0</v>
      </c>
      <c r="J8753" s="6" t="s">
        <v>178</v>
      </c>
    </row>
    <row r="8754" ht="22.5" customHeight="1">
      <c r="A8754" s="6" t="s">
        <v>25562</v>
      </c>
      <c r="B8754" s="6" t="s">
        <v>19373</v>
      </c>
      <c r="C8754" s="10">
        <v>46040.0</v>
      </c>
      <c r="D8754" s="6" t="s">
        <v>416</v>
      </c>
      <c r="E8754" s="6" t="s">
        <v>716</v>
      </c>
      <c r="F8754" s="6" t="s">
        <v>439</v>
      </c>
      <c r="G8754" s="6" t="s">
        <v>326</v>
      </c>
      <c r="H8754" s="10">
        <v>46040.0</v>
      </c>
      <c r="I8754" s="12">
        <v>12.0</v>
      </c>
      <c r="J8754" s="6" t="s">
        <v>161</v>
      </c>
    </row>
    <row r="8755" ht="22.5" customHeight="1">
      <c r="A8755" s="6" t="s">
        <v>25563</v>
      </c>
      <c r="B8755" s="6" t="s">
        <v>19373</v>
      </c>
      <c r="C8755" s="10">
        <v>46041.0</v>
      </c>
      <c r="D8755" s="6" t="s">
        <v>242</v>
      </c>
      <c r="E8755" s="6" t="s">
        <v>1969</v>
      </c>
      <c r="F8755" s="6" t="s">
        <v>283</v>
      </c>
      <c r="G8755" s="6" t="s">
        <v>452</v>
      </c>
      <c r="H8755" s="10">
        <v>46041.0</v>
      </c>
      <c r="I8755" s="12">
        <v>6.0</v>
      </c>
      <c r="J8755" s="6" t="s">
        <v>178</v>
      </c>
    </row>
    <row r="8756" ht="22.5" customHeight="1">
      <c r="A8756" s="6" t="s">
        <v>25564</v>
      </c>
      <c r="B8756" s="6" t="s">
        <v>19379</v>
      </c>
      <c r="C8756" s="10">
        <v>46039.0</v>
      </c>
      <c r="D8756" s="6" t="s">
        <v>416</v>
      </c>
      <c r="E8756" s="6" t="s">
        <v>775</v>
      </c>
      <c r="F8756" s="6" t="s">
        <v>283</v>
      </c>
      <c r="G8756" s="6" t="s">
        <v>477</v>
      </c>
      <c r="H8756" s="10">
        <v>46044.0</v>
      </c>
      <c r="I8756" s="12">
        <v>11.0</v>
      </c>
      <c r="J8756" s="6" t="s">
        <v>161</v>
      </c>
    </row>
    <row r="8757" ht="22.5" customHeight="1">
      <c r="A8757" s="6" t="s">
        <v>25565</v>
      </c>
      <c r="B8757" s="6" t="s">
        <v>19385</v>
      </c>
      <c r="C8757" s="10">
        <v>46079.0</v>
      </c>
      <c r="D8757" s="6" t="s">
        <v>289</v>
      </c>
      <c r="E8757" s="6" t="s">
        <v>1296</v>
      </c>
      <c r="F8757" s="6" t="s">
        <v>249</v>
      </c>
      <c r="G8757" s="6" t="s">
        <v>297</v>
      </c>
      <c r="H8757" s="10">
        <v>46083.0</v>
      </c>
      <c r="I8757" s="12">
        <v>6.0</v>
      </c>
      <c r="J8757" s="6" t="s">
        <v>161</v>
      </c>
    </row>
    <row r="8758" ht="22.5" customHeight="1">
      <c r="A8758" s="6" t="s">
        <v>25566</v>
      </c>
      <c r="B8758" s="6" t="s">
        <v>19385</v>
      </c>
      <c r="C8758" s="10">
        <v>46071.0</v>
      </c>
      <c r="D8758" s="6" t="s">
        <v>312</v>
      </c>
      <c r="E8758" s="6" t="s">
        <v>1626</v>
      </c>
      <c r="F8758" s="6" t="s">
        <v>283</v>
      </c>
      <c r="G8758" s="6" t="s">
        <v>297</v>
      </c>
      <c r="H8758" s="11" t="s">
        <v>259</v>
      </c>
      <c r="I8758" s="12">
        <v>7.0</v>
      </c>
      <c r="J8758" s="6" t="s">
        <v>161</v>
      </c>
    </row>
    <row r="8759" ht="22.5" customHeight="1">
      <c r="A8759" s="6" t="s">
        <v>25567</v>
      </c>
      <c r="B8759" s="6" t="s">
        <v>19385</v>
      </c>
      <c r="C8759" s="10">
        <v>46079.0</v>
      </c>
      <c r="D8759" s="6" t="s">
        <v>289</v>
      </c>
      <c r="E8759" s="6" t="s">
        <v>1626</v>
      </c>
      <c r="F8759" s="6" t="s">
        <v>283</v>
      </c>
      <c r="G8759" s="6" t="s">
        <v>458</v>
      </c>
      <c r="H8759" s="10">
        <v>46085.0</v>
      </c>
      <c r="I8759" s="12">
        <v>8.0</v>
      </c>
      <c r="J8759" s="6" t="s">
        <v>161</v>
      </c>
    </row>
    <row r="8760" ht="22.5" customHeight="1">
      <c r="A8760" s="6" t="s">
        <v>25568</v>
      </c>
      <c r="B8760" s="6" t="s">
        <v>19385</v>
      </c>
      <c r="C8760" s="10">
        <v>46068.0</v>
      </c>
      <c r="D8760" s="6" t="s">
        <v>436</v>
      </c>
      <c r="E8760" s="6" t="s">
        <v>394</v>
      </c>
      <c r="F8760" s="6" t="s">
        <v>439</v>
      </c>
      <c r="G8760" s="6" t="s">
        <v>369</v>
      </c>
      <c r="H8760" s="10">
        <v>46073.0</v>
      </c>
      <c r="I8760" s="12">
        <v>12.0</v>
      </c>
      <c r="J8760" s="6" t="s">
        <v>161</v>
      </c>
    </row>
    <row r="8761" ht="22.5" customHeight="1">
      <c r="A8761" s="6" t="s">
        <v>25569</v>
      </c>
      <c r="B8761" s="6" t="s">
        <v>19385</v>
      </c>
      <c r="C8761" s="10">
        <v>46074.0</v>
      </c>
      <c r="D8761" s="6" t="s">
        <v>289</v>
      </c>
      <c r="E8761" s="6" t="s">
        <v>618</v>
      </c>
      <c r="F8761" s="6" t="s">
        <v>112</v>
      </c>
      <c r="G8761" s="6" t="s">
        <v>254</v>
      </c>
      <c r="H8761" s="10">
        <v>46074.0</v>
      </c>
      <c r="I8761" s="12">
        <v>9.0</v>
      </c>
      <c r="J8761" s="6" t="s">
        <v>161</v>
      </c>
    </row>
    <row r="8762" ht="22.5" customHeight="1">
      <c r="A8762" s="6" t="s">
        <v>25570</v>
      </c>
      <c r="B8762" s="6" t="s">
        <v>19392</v>
      </c>
      <c r="C8762" s="10">
        <v>46055.0</v>
      </c>
      <c r="D8762" s="6" t="s">
        <v>391</v>
      </c>
      <c r="E8762" s="6" t="s">
        <v>417</v>
      </c>
      <c r="F8762" s="6" t="s">
        <v>283</v>
      </c>
      <c r="G8762" s="6" t="s">
        <v>452</v>
      </c>
      <c r="H8762" s="11" t="s">
        <v>259</v>
      </c>
      <c r="I8762" s="12">
        <v>8.0</v>
      </c>
      <c r="J8762" s="6" t="s">
        <v>161</v>
      </c>
    </row>
    <row r="8763" ht="22.5" customHeight="1">
      <c r="A8763" s="6" t="s">
        <v>25571</v>
      </c>
      <c r="B8763" s="6" t="s">
        <v>19392</v>
      </c>
      <c r="C8763" s="10">
        <v>46058.0</v>
      </c>
      <c r="D8763" s="6" t="s">
        <v>416</v>
      </c>
      <c r="E8763" s="6" t="s">
        <v>955</v>
      </c>
      <c r="F8763" s="6" t="s">
        <v>249</v>
      </c>
      <c r="G8763" s="6" t="s">
        <v>369</v>
      </c>
      <c r="H8763" s="10">
        <v>46058.0</v>
      </c>
      <c r="I8763" s="12">
        <v>8.0</v>
      </c>
      <c r="J8763" s="6" t="s">
        <v>161</v>
      </c>
    </row>
    <row r="8764" ht="22.5" customHeight="1">
      <c r="A8764" s="6" t="s">
        <v>25572</v>
      </c>
      <c r="B8764" s="6" t="s">
        <v>19398</v>
      </c>
      <c r="C8764" s="10">
        <v>46046.0</v>
      </c>
      <c r="D8764" s="6" t="s">
        <v>289</v>
      </c>
      <c r="E8764" s="6" t="s">
        <v>658</v>
      </c>
      <c r="F8764" s="6" t="s">
        <v>283</v>
      </c>
      <c r="G8764" s="6" t="s">
        <v>369</v>
      </c>
      <c r="H8764" s="11" t="s">
        <v>259</v>
      </c>
      <c r="I8764" s="12">
        <v>7.0</v>
      </c>
      <c r="J8764" s="6" t="s">
        <v>161</v>
      </c>
    </row>
    <row r="8765" ht="22.5" customHeight="1">
      <c r="A8765" s="6" t="s">
        <v>25573</v>
      </c>
      <c r="B8765" s="6" t="s">
        <v>19398</v>
      </c>
      <c r="C8765" s="10">
        <v>46036.0</v>
      </c>
      <c r="D8765" s="6" t="s">
        <v>242</v>
      </c>
      <c r="E8765" s="6" t="s">
        <v>628</v>
      </c>
      <c r="F8765" s="6" t="s">
        <v>283</v>
      </c>
      <c r="G8765" s="6" t="s">
        <v>297</v>
      </c>
      <c r="H8765" s="10">
        <v>46042.0</v>
      </c>
      <c r="I8765" s="12">
        <v>5.0</v>
      </c>
      <c r="J8765" s="6" t="s">
        <v>161</v>
      </c>
    </row>
    <row r="8766" ht="22.5" customHeight="1">
      <c r="A8766" s="6" t="s">
        <v>25574</v>
      </c>
      <c r="B8766" s="6" t="s">
        <v>19404</v>
      </c>
      <c r="C8766" s="10">
        <v>46071.0</v>
      </c>
      <c r="D8766" s="6" t="s">
        <v>416</v>
      </c>
      <c r="E8766" s="6" t="s">
        <v>955</v>
      </c>
      <c r="F8766" s="6" t="s">
        <v>249</v>
      </c>
      <c r="G8766" s="6" t="s">
        <v>297</v>
      </c>
      <c r="H8766" s="11" t="s">
        <v>259</v>
      </c>
      <c r="I8766" s="12">
        <v>14.0</v>
      </c>
      <c r="J8766" s="6" t="s">
        <v>161</v>
      </c>
    </row>
    <row r="8767" ht="22.5" customHeight="1">
      <c r="A8767" s="6" t="s">
        <v>25575</v>
      </c>
      <c r="B8767" s="6" t="s">
        <v>19404</v>
      </c>
      <c r="C8767" s="10">
        <v>46063.0</v>
      </c>
      <c r="D8767" s="6" t="s">
        <v>677</v>
      </c>
      <c r="E8767" s="6" t="s">
        <v>1070</v>
      </c>
      <c r="F8767" s="6" t="s">
        <v>112</v>
      </c>
      <c r="G8767" s="6" t="s">
        <v>458</v>
      </c>
      <c r="H8767" s="10">
        <v>46067.0</v>
      </c>
      <c r="I8767" s="12">
        <v>3.0</v>
      </c>
      <c r="J8767" s="6" t="s">
        <v>161</v>
      </c>
    </row>
    <row r="8768" ht="22.5" customHeight="1">
      <c r="A8768" s="6" t="s">
        <v>25576</v>
      </c>
      <c r="B8768" s="6" t="s">
        <v>19404</v>
      </c>
      <c r="C8768" s="10">
        <v>46064.0</v>
      </c>
      <c r="D8768" s="6" t="s">
        <v>436</v>
      </c>
      <c r="E8768" s="6" t="s">
        <v>1969</v>
      </c>
      <c r="F8768" s="6" t="s">
        <v>112</v>
      </c>
      <c r="G8768" s="6" t="s">
        <v>369</v>
      </c>
      <c r="H8768" s="10">
        <v>46068.0</v>
      </c>
      <c r="I8768" s="12">
        <v>10.0</v>
      </c>
      <c r="J8768" s="6" t="s">
        <v>161</v>
      </c>
    </row>
    <row r="8769" ht="22.5" customHeight="1">
      <c r="A8769" s="6" t="s">
        <v>25577</v>
      </c>
      <c r="B8769" s="6" t="s">
        <v>19404</v>
      </c>
      <c r="C8769" s="10">
        <v>46074.0</v>
      </c>
      <c r="D8769" s="6" t="s">
        <v>436</v>
      </c>
      <c r="E8769" s="6" t="s">
        <v>1241</v>
      </c>
      <c r="F8769" s="6" t="s">
        <v>283</v>
      </c>
      <c r="G8769" s="6" t="s">
        <v>297</v>
      </c>
      <c r="H8769" s="10">
        <v>46080.0</v>
      </c>
      <c r="I8769" s="12">
        <v>8.0</v>
      </c>
      <c r="J8769" s="6" t="s">
        <v>178</v>
      </c>
    </row>
    <row r="8770" ht="22.5" customHeight="1">
      <c r="A8770" s="6" t="s">
        <v>25578</v>
      </c>
      <c r="B8770" s="6" t="s">
        <v>19404</v>
      </c>
      <c r="C8770" s="10">
        <v>46080.0</v>
      </c>
      <c r="D8770" s="6" t="s">
        <v>312</v>
      </c>
      <c r="E8770" s="6" t="s">
        <v>583</v>
      </c>
      <c r="F8770" s="6" t="s">
        <v>249</v>
      </c>
      <c r="G8770" s="6" t="s">
        <v>494</v>
      </c>
      <c r="H8770" s="10">
        <v>46086.0</v>
      </c>
      <c r="I8770" s="12">
        <v>5.0</v>
      </c>
      <c r="J8770" s="6" t="s">
        <v>161</v>
      </c>
    </row>
    <row r="8771" ht="22.5" customHeight="1">
      <c r="A8771" s="6" t="s">
        <v>25579</v>
      </c>
      <c r="B8771" s="6" t="s">
        <v>19411</v>
      </c>
      <c r="C8771" s="10">
        <v>46068.0</v>
      </c>
      <c r="D8771" s="6" t="s">
        <v>416</v>
      </c>
      <c r="E8771" s="6" t="s">
        <v>1310</v>
      </c>
      <c r="F8771" s="6" t="s">
        <v>283</v>
      </c>
      <c r="G8771" s="6" t="s">
        <v>477</v>
      </c>
      <c r="H8771" s="10">
        <v>46068.0</v>
      </c>
      <c r="I8771" s="12">
        <v>14.0</v>
      </c>
      <c r="J8771" s="6" t="s">
        <v>161</v>
      </c>
    </row>
    <row r="8772" ht="22.5" customHeight="1">
      <c r="A8772" s="6" t="s">
        <v>25580</v>
      </c>
      <c r="B8772" s="6" t="s">
        <v>19417</v>
      </c>
      <c r="C8772" s="10">
        <v>46052.0</v>
      </c>
      <c r="D8772" s="6" t="s">
        <v>242</v>
      </c>
      <c r="E8772" s="6" t="s">
        <v>417</v>
      </c>
      <c r="F8772" s="6" t="s">
        <v>112</v>
      </c>
      <c r="G8772" s="6" t="s">
        <v>326</v>
      </c>
      <c r="H8772" s="11" t="s">
        <v>259</v>
      </c>
      <c r="I8772" s="12">
        <v>6.0</v>
      </c>
      <c r="J8772" s="6" t="s">
        <v>161</v>
      </c>
    </row>
    <row r="8773" ht="22.5" customHeight="1">
      <c r="A8773" s="6" t="s">
        <v>25581</v>
      </c>
      <c r="B8773" s="6" t="s">
        <v>19417</v>
      </c>
      <c r="C8773" s="10">
        <v>46053.0</v>
      </c>
      <c r="D8773" s="6" t="s">
        <v>391</v>
      </c>
      <c r="E8773" s="6" t="s">
        <v>475</v>
      </c>
      <c r="F8773" s="6" t="s">
        <v>439</v>
      </c>
      <c r="G8773" s="6" t="s">
        <v>369</v>
      </c>
      <c r="H8773" s="10">
        <v>46056.0</v>
      </c>
      <c r="I8773" s="12">
        <v>7.0</v>
      </c>
      <c r="J8773" s="6" t="s">
        <v>161</v>
      </c>
    </row>
    <row r="8774" ht="22.5" customHeight="1">
      <c r="A8774" s="6" t="s">
        <v>25582</v>
      </c>
      <c r="B8774" s="6" t="s">
        <v>19424</v>
      </c>
      <c r="C8774" s="10">
        <v>46059.0</v>
      </c>
      <c r="D8774" s="6" t="s">
        <v>436</v>
      </c>
      <c r="E8774" s="6" t="s">
        <v>1070</v>
      </c>
      <c r="F8774" s="6" t="s">
        <v>249</v>
      </c>
      <c r="G8774" s="6" t="s">
        <v>254</v>
      </c>
      <c r="H8774" s="10">
        <v>46061.0</v>
      </c>
      <c r="I8774" s="12">
        <v>6.0</v>
      </c>
      <c r="J8774" s="6" t="s">
        <v>178</v>
      </c>
    </row>
    <row r="8775" ht="22.5" customHeight="1">
      <c r="A8775" s="6" t="s">
        <v>25583</v>
      </c>
      <c r="B8775" s="6" t="s">
        <v>19430</v>
      </c>
      <c r="C8775" s="10">
        <v>46064.0</v>
      </c>
      <c r="D8775" s="6" t="s">
        <v>416</v>
      </c>
      <c r="E8775" s="6" t="s">
        <v>896</v>
      </c>
      <c r="F8775" s="6" t="s">
        <v>439</v>
      </c>
      <c r="G8775" s="6" t="s">
        <v>452</v>
      </c>
      <c r="H8775" s="10">
        <v>46065.0</v>
      </c>
      <c r="I8775" s="12">
        <v>9.0</v>
      </c>
      <c r="J8775" s="6" t="s">
        <v>161</v>
      </c>
    </row>
    <row r="8776" ht="22.5" customHeight="1">
      <c r="A8776" s="6" t="s">
        <v>25584</v>
      </c>
      <c r="B8776" s="6" t="s">
        <v>19430</v>
      </c>
      <c r="C8776" s="10">
        <v>46070.0</v>
      </c>
      <c r="D8776" s="6" t="s">
        <v>391</v>
      </c>
      <c r="E8776" s="6" t="s">
        <v>1546</v>
      </c>
      <c r="F8776" s="6" t="s">
        <v>283</v>
      </c>
      <c r="G8776" s="6" t="s">
        <v>477</v>
      </c>
      <c r="H8776" s="10">
        <v>46076.0</v>
      </c>
      <c r="I8776" s="12">
        <v>11.0</v>
      </c>
      <c r="J8776" s="6" t="s">
        <v>161</v>
      </c>
    </row>
    <row r="8777" ht="22.5" customHeight="1">
      <c r="A8777" s="6" t="s">
        <v>25585</v>
      </c>
      <c r="B8777" s="6" t="s">
        <v>19430</v>
      </c>
      <c r="C8777" s="10">
        <v>46079.0</v>
      </c>
      <c r="D8777" s="6" t="s">
        <v>436</v>
      </c>
      <c r="E8777" s="6" t="s">
        <v>1273</v>
      </c>
      <c r="F8777" s="6" t="s">
        <v>283</v>
      </c>
      <c r="G8777" s="6" t="s">
        <v>326</v>
      </c>
      <c r="H8777" s="10">
        <v>46085.0</v>
      </c>
      <c r="I8777" s="12">
        <v>8.0</v>
      </c>
      <c r="J8777" s="6" t="s">
        <v>178</v>
      </c>
    </row>
    <row r="8778" ht="22.5" customHeight="1">
      <c r="A8778" s="6" t="s">
        <v>25586</v>
      </c>
      <c r="B8778" s="6" t="s">
        <v>19430</v>
      </c>
      <c r="C8778" s="10">
        <v>46068.0</v>
      </c>
      <c r="D8778" s="6" t="s">
        <v>289</v>
      </c>
      <c r="E8778" s="6" t="s">
        <v>1741</v>
      </c>
      <c r="F8778" s="6" t="s">
        <v>249</v>
      </c>
      <c r="G8778" s="6" t="s">
        <v>477</v>
      </c>
      <c r="H8778" s="10">
        <v>46071.0</v>
      </c>
      <c r="I8778" s="12">
        <v>5.0</v>
      </c>
      <c r="J8778" s="6" t="s">
        <v>161</v>
      </c>
    </row>
    <row r="8779" ht="22.5" customHeight="1">
      <c r="A8779" s="6" t="s">
        <v>25587</v>
      </c>
      <c r="B8779" s="6" t="s">
        <v>19437</v>
      </c>
      <c r="C8779" s="10">
        <v>46072.0</v>
      </c>
      <c r="D8779" s="6" t="s">
        <v>289</v>
      </c>
      <c r="E8779" s="6" t="s">
        <v>798</v>
      </c>
      <c r="F8779" s="6" t="s">
        <v>283</v>
      </c>
      <c r="G8779" s="6" t="s">
        <v>297</v>
      </c>
      <c r="H8779" s="10">
        <v>46075.0</v>
      </c>
      <c r="I8779" s="12">
        <v>8.0</v>
      </c>
      <c r="J8779" s="6" t="s">
        <v>161</v>
      </c>
    </row>
    <row r="8780" ht="22.5" customHeight="1">
      <c r="A8780" s="6" t="s">
        <v>25588</v>
      </c>
      <c r="B8780" s="6" t="s">
        <v>19437</v>
      </c>
      <c r="C8780" s="10">
        <v>46076.0</v>
      </c>
      <c r="D8780" s="6" t="s">
        <v>416</v>
      </c>
      <c r="E8780" s="6" t="s">
        <v>1552</v>
      </c>
      <c r="F8780" s="6" t="s">
        <v>249</v>
      </c>
      <c r="G8780" s="6" t="s">
        <v>458</v>
      </c>
      <c r="H8780" s="10">
        <v>46077.0</v>
      </c>
      <c r="I8780" s="12">
        <v>12.0</v>
      </c>
      <c r="J8780" s="6" t="s">
        <v>161</v>
      </c>
    </row>
    <row r="8781" ht="22.5" customHeight="1">
      <c r="A8781" s="6" t="s">
        <v>25589</v>
      </c>
      <c r="B8781" s="6" t="s">
        <v>19443</v>
      </c>
      <c r="C8781" s="10">
        <v>46033.0</v>
      </c>
      <c r="D8781" s="6" t="s">
        <v>312</v>
      </c>
      <c r="E8781" s="6" t="s">
        <v>1035</v>
      </c>
      <c r="F8781" s="6" t="s">
        <v>249</v>
      </c>
      <c r="G8781" s="6" t="s">
        <v>326</v>
      </c>
      <c r="H8781" s="10">
        <v>46039.0</v>
      </c>
      <c r="I8781" s="12">
        <v>7.0</v>
      </c>
      <c r="J8781" s="6" t="s">
        <v>161</v>
      </c>
    </row>
    <row r="8782" ht="22.5" customHeight="1">
      <c r="A8782" s="6" t="s">
        <v>25590</v>
      </c>
      <c r="B8782" s="6" t="s">
        <v>19443</v>
      </c>
      <c r="C8782" s="10">
        <v>46029.0</v>
      </c>
      <c r="D8782" s="6" t="s">
        <v>416</v>
      </c>
      <c r="E8782" s="6" t="s">
        <v>450</v>
      </c>
      <c r="F8782" s="6" t="s">
        <v>249</v>
      </c>
      <c r="G8782" s="6" t="s">
        <v>477</v>
      </c>
      <c r="H8782" s="11" t="s">
        <v>259</v>
      </c>
      <c r="I8782" s="12">
        <v>9.0</v>
      </c>
      <c r="J8782" s="6" t="s">
        <v>161</v>
      </c>
    </row>
    <row r="8783" ht="22.5" customHeight="1">
      <c r="A8783" s="6" t="s">
        <v>25591</v>
      </c>
      <c r="B8783" s="6" t="s">
        <v>19443</v>
      </c>
      <c r="C8783" s="10">
        <v>46034.0</v>
      </c>
      <c r="D8783" s="6" t="s">
        <v>436</v>
      </c>
      <c r="E8783" s="6" t="s">
        <v>628</v>
      </c>
      <c r="F8783" s="6" t="s">
        <v>249</v>
      </c>
      <c r="G8783" s="6" t="s">
        <v>494</v>
      </c>
      <c r="H8783" s="10">
        <v>46041.0</v>
      </c>
      <c r="I8783" s="12">
        <v>12.0</v>
      </c>
      <c r="J8783" s="6" t="s">
        <v>178</v>
      </c>
    </row>
    <row r="8784" ht="22.5" customHeight="1">
      <c r="A8784" s="6" t="s">
        <v>25592</v>
      </c>
      <c r="B8784" s="6" t="s">
        <v>19443</v>
      </c>
      <c r="C8784" s="10">
        <v>46039.0</v>
      </c>
      <c r="D8784" s="6" t="s">
        <v>677</v>
      </c>
      <c r="E8784" s="6" t="s">
        <v>1296</v>
      </c>
      <c r="F8784" s="6" t="s">
        <v>439</v>
      </c>
      <c r="G8784" s="6" t="s">
        <v>494</v>
      </c>
      <c r="H8784" s="10">
        <v>46042.0</v>
      </c>
      <c r="I8784" s="12">
        <v>4.0</v>
      </c>
      <c r="J8784" s="6" t="s">
        <v>161</v>
      </c>
    </row>
    <row r="8785" ht="22.5" customHeight="1">
      <c r="A8785" s="6" t="s">
        <v>25593</v>
      </c>
      <c r="B8785" s="6" t="s">
        <v>19450</v>
      </c>
      <c r="C8785" s="10">
        <v>46048.0</v>
      </c>
      <c r="D8785" s="6" t="s">
        <v>436</v>
      </c>
      <c r="E8785" s="6" t="s">
        <v>417</v>
      </c>
      <c r="F8785" s="6" t="s">
        <v>249</v>
      </c>
      <c r="G8785" s="6" t="s">
        <v>369</v>
      </c>
      <c r="H8785" s="10">
        <v>46055.0</v>
      </c>
      <c r="I8785" s="12">
        <v>11.0</v>
      </c>
      <c r="J8785" s="6" t="s">
        <v>178</v>
      </c>
    </row>
    <row r="8786" ht="22.5" customHeight="1">
      <c r="A8786" s="6" t="s">
        <v>25594</v>
      </c>
      <c r="B8786" s="6" t="s">
        <v>19450</v>
      </c>
      <c r="C8786" s="10">
        <v>46065.0</v>
      </c>
      <c r="D8786" s="6" t="s">
        <v>677</v>
      </c>
      <c r="E8786" s="6" t="s">
        <v>1386</v>
      </c>
      <c r="F8786" s="6" t="s">
        <v>112</v>
      </c>
      <c r="G8786" s="6" t="s">
        <v>369</v>
      </c>
      <c r="H8786" s="10">
        <v>46070.0</v>
      </c>
      <c r="I8786" s="12">
        <v>4.0</v>
      </c>
      <c r="J8786" s="6" t="s">
        <v>161</v>
      </c>
    </row>
    <row r="8787" ht="22.5" customHeight="1">
      <c r="A8787" s="6" t="s">
        <v>25595</v>
      </c>
      <c r="B8787" s="6" t="s">
        <v>19450</v>
      </c>
      <c r="C8787" s="10">
        <v>46055.0</v>
      </c>
      <c r="D8787" s="6" t="s">
        <v>391</v>
      </c>
      <c r="E8787" s="6" t="s">
        <v>1280</v>
      </c>
      <c r="F8787" s="6" t="s">
        <v>112</v>
      </c>
      <c r="G8787" s="6" t="s">
        <v>458</v>
      </c>
      <c r="H8787" s="10">
        <v>46055.0</v>
      </c>
      <c r="I8787" s="12">
        <v>10.0</v>
      </c>
      <c r="J8787" s="6" t="s">
        <v>161</v>
      </c>
    </row>
    <row r="8788" ht="22.5" customHeight="1">
      <c r="A8788" s="6" t="s">
        <v>25596</v>
      </c>
      <c r="B8788" s="6" t="s">
        <v>19450</v>
      </c>
      <c r="C8788" s="10">
        <v>46049.0</v>
      </c>
      <c r="D8788" s="6" t="s">
        <v>242</v>
      </c>
      <c r="E8788" s="6" t="s">
        <v>2365</v>
      </c>
      <c r="F8788" s="6" t="s">
        <v>249</v>
      </c>
      <c r="G8788" s="6" t="s">
        <v>458</v>
      </c>
      <c r="H8788" s="10">
        <v>46052.0</v>
      </c>
      <c r="I8788" s="12">
        <v>4.0</v>
      </c>
      <c r="J8788" s="6" t="s">
        <v>161</v>
      </c>
    </row>
    <row r="8789" ht="22.5" customHeight="1">
      <c r="A8789" s="6" t="s">
        <v>25597</v>
      </c>
      <c r="B8789" s="6" t="s">
        <v>19450</v>
      </c>
      <c r="C8789" s="10">
        <v>46049.0</v>
      </c>
      <c r="D8789" s="6" t="s">
        <v>391</v>
      </c>
      <c r="E8789" s="6" t="s">
        <v>716</v>
      </c>
      <c r="F8789" s="6" t="s">
        <v>283</v>
      </c>
      <c r="G8789" s="6" t="s">
        <v>458</v>
      </c>
      <c r="H8789" s="10">
        <v>46055.0</v>
      </c>
      <c r="I8789" s="12">
        <v>10.0</v>
      </c>
      <c r="J8789" s="6" t="s">
        <v>161</v>
      </c>
    </row>
    <row r="8790" ht="22.5" customHeight="1">
      <c r="A8790" s="6" t="s">
        <v>25598</v>
      </c>
      <c r="B8790" s="6" t="s">
        <v>19456</v>
      </c>
      <c r="C8790" s="10">
        <v>46031.0</v>
      </c>
      <c r="D8790" s="6" t="s">
        <v>416</v>
      </c>
      <c r="E8790" s="6" t="s">
        <v>365</v>
      </c>
      <c r="F8790" s="6" t="s">
        <v>283</v>
      </c>
      <c r="G8790" s="6" t="s">
        <v>297</v>
      </c>
      <c r="H8790" s="10">
        <v>46037.0</v>
      </c>
      <c r="I8790" s="12">
        <v>10.0</v>
      </c>
      <c r="J8790" s="6" t="s">
        <v>161</v>
      </c>
    </row>
    <row r="8791" ht="22.5" customHeight="1">
      <c r="A8791" s="6" t="s">
        <v>25599</v>
      </c>
      <c r="B8791" s="6" t="s">
        <v>19456</v>
      </c>
      <c r="C8791" s="10">
        <v>46048.0</v>
      </c>
      <c r="D8791" s="6" t="s">
        <v>289</v>
      </c>
      <c r="E8791" s="6" t="s">
        <v>695</v>
      </c>
      <c r="F8791" s="6" t="s">
        <v>283</v>
      </c>
      <c r="G8791" s="6" t="s">
        <v>458</v>
      </c>
      <c r="H8791" s="10">
        <v>46052.0</v>
      </c>
      <c r="I8791" s="12">
        <v>7.0</v>
      </c>
      <c r="J8791" s="6" t="s">
        <v>161</v>
      </c>
    </row>
    <row r="8792" ht="22.5" customHeight="1">
      <c r="A8792" s="6" t="s">
        <v>25600</v>
      </c>
      <c r="B8792" s="6" t="s">
        <v>19462</v>
      </c>
      <c r="C8792" s="10">
        <v>46059.0</v>
      </c>
      <c r="D8792" s="6" t="s">
        <v>416</v>
      </c>
      <c r="E8792" s="6" t="s">
        <v>466</v>
      </c>
      <c r="F8792" s="6" t="s">
        <v>439</v>
      </c>
      <c r="G8792" s="6" t="s">
        <v>297</v>
      </c>
      <c r="H8792" s="11" t="s">
        <v>259</v>
      </c>
      <c r="I8792" s="12">
        <v>13.0</v>
      </c>
      <c r="J8792" s="6" t="s">
        <v>161</v>
      </c>
    </row>
    <row r="8793" ht="22.5" customHeight="1">
      <c r="A8793" s="6" t="s">
        <v>25601</v>
      </c>
      <c r="B8793" s="6" t="s">
        <v>19469</v>
      </c>
      <c r="C8793" s="10">
        <v>46065.0</v>
      </c>
      <c r="D8793" s="6" t="s">
        <v>312</v>
      </c>
      <c r="E8793" s="6" t="s">
        <v>417</v>
      </c>
      <c r="F8793" s="6" t="s">
        <v>439</v>
      </c>
      <c r="G8793" s="6" t="s">
        <v>369</v>
      </c>
      <c r="H8793" s="10">
        <v>46069.0</v>
      </c>
      <c r="I8793" s="12">
        <v>5.0</v>
      </c>
      <c r="J8793" s="6" t="s">
        <v>161</v>
      </c>
    </row>
    <row r="8794" ht="22.5" customHeight="1">
      <c r="A8794" s="6" t="s">
        <v>25602</v>
      </c>
      <c r="B8794" s="6" t="s">
        <v>19474</v>
      </c>
      <c r="C8794" s="10">
        <v>46055.0</v>
      </c>
      <c r="D8794" s="6" t="s">
        <v>242</v>
      </c>
      <c r="E8794" s="6" t="s">
        <v>634</v>
      </c>
      <c r="F8794" s="6" t="s">
        <v>249</v>
      </c>
      <c r="G8794" s="6" t="s">
        <v>297</v>
      </c>
      <c r="H8794" s="10">
        <v>46062.0</v>
      </c>
      <c r="I8794" s="12">
        <v>3.0</v>
      </c>
      <c r="J8794" s="6" t="s">
        <v>178</v>
      </c>
    </row>
    <row r="8795" ht="22.5" customHeight="1">
      <c r="A8795" s="6" t="s">
        <v>25603</v>
      </c>
      <c r="B8795" s="6" t="s">
        <v>19474</v>
      </c>
      <c r="C8795" s="10">
        <v>46047.0</v>
      </c>
      <c r="D8795" s="6" t="s">
        <v>436</v>
      </c>
      <c r="E8795" s="6" t="s">
        <v>1122</v>
      </c>
      <c r="F8795" s="6" t="s">
        <v>249</v>
      </c>
      <c r="G8795" s="6" t="s">
        <v>458</v>
      </c>
      <c r="H8795" s="10">
        <v>46051.0</v>
      </c>
      <c r="I8795" s="12">
        <v>9.0</v>
      </c>
      <c r="J8795" s="6" t="s">
        <v>178</v>
      </c>
    </row>
    <row r="8796" ht="22.5" customHeight="1">
      <c r="A8796" s="6" t="s">
        <v>25604</v>
      </c>
      <c r="B8796" s="6" t="s">
        <v>19474</v>
      </c>
      <c r="C8796" s="10">
        <v>46067.0</v>
      </c>
      <c r="D8796" s="6" t="s">
        <v>312</v>
      </c>
      <c r="E8796" s="6" t="s">
        <v>812</v>
      </c>
      <c r="F8796" s="6" t="s">
        <v>249</v>
      </c>
      <c r="G8796" s="6" t="s">
        <v>494</v>
      </c>
      <c r="H8796" s="10">
        <v>46073.0</v>
      </c>
      <c r="I8796" s="12">
        <v>6.0</v>
      </c>
      <c r="J8796" s="6" t="s">
        <v>161</v>
      </c>
    </row>
    <row r="8797" ht="22.5" customHeight="1">
      <c r="A8797" s="6" t="s">
        <v>25605</v>
      </c>
      <c r="B8797" s="6" t="s">
        <v>19474</v>
      </c>
      <c r="C8797" s="10">
        <v>46051.0</v>
      </c>
      <c r="D8797" s="6" t="s">
        <v>416</v>
      </c>
      <c r="E8797" s="6" t="s">
        <v>610</v>
      </c>
      <c r="F8797" s="6" t="s">
        <v>249</v>
      </c>
      <c r="G8797" s="6" t="s">
        <v>458</v>
      </c>
      <c r="H8797" s="10">
        <v>46051.0</v>
      </c>
      <c r="I8797" s="12">
        <v>14.0</v>
      </c>
      <c r="J8797" s="6" t="s">
        <v>161</v>
      </c>
    </row>
    <row r="8798" ht="22.5" customHeight="1">
      <c r="A8798" s="6" t="s">
        <v>25606</v>
      </c>
      <c r="B8798" s="6" t="s">
        <v>19474</v>
      </c>
      <c r="C8798" s="10">
        <v>46050.0</v>
      </c>
      <c r="D8798" s="6" t="s">
        <v>436</v>
      </c>
      <c r="E8798" s="6" t="s">
        <v>512</v>
      </c>
      <c r="F8798" s="6" t="s">
        <v>283</v>
      </c>
      <c r="G8798" s="6" t="s">
        <v>297</v>
      </c>
      <c r="H8798" s="10">
        <v>46052.0</v>
      </c>
      <c r="I8798" s="12">
        <v>11.0</v>
      </c>
      <c r="J8798" s="6" t="s">
        <v>178</v>
      </c>
    </row>
    <row r="8799" ht="22.5" customHeight="1">
      <c r="A8799" s="6" t="s">
        <v>25607</v>
      </c>
      <c r="B8799" s="6" t="s">
        <v>19481</v>
      </c>
      <c r="C8799" s="10">
        <v>46076.0</v>
      </c>
      <c r="D8799" s="6" t="s">
        <v>416</v>
      </c>
      <c r="E8799" s="6" t="s">
        <v>2365</v>
      </c>
      <c r="F8799" s="6" t="s">
        <v>249</v>
      </c>
      <c r="G8799" s="6" t="s">
        <v>254</v>
      </c>
      <c r="H8799" s="10">
        <v>46081.0</v>
      </c>
      <c r="I8799" s="12">
        <v>12.0</v>
      </c>
      <c r="J8799" s="6" t="s">
        <v>161</v>
      </c>
    </row>
    <row r="8800" ht="22.5" customHeight="1">
      <c r="A8800" s="6" t="s">
        <v>25608</v>
      </c>
      <c r="B8800" s="6" t="s">
        <v>19481</v>
      </c>
      <c r="C8800" s="10">
        <v>46070.0</v>
      </c>
      <c r="D8800" s="6" t="s">
        <v>242</v>
      </c>
      <c r="E8800" s="6" t="s">
        <v>798</v>
      </c>
      <c r="F8800" s="6" t="s">
        <v>112</v>
      </c>
      <c r="G8800" s="6" t="s">
        <v>297</v>
      </c>
      <c r="H8800" s="10">
        <v>46071.0</v>
      </c>
      <c r="I8800" s="12">
        <v>3.0</v>
      </c>
      <c r="J8800" s="6" t="s">
        <v>178</v>
      </c>
    </row>
    <row r="8801" ht="22.5" customHeight="1">
      <c r="A8801" s="6" t="s">
        <v>25609</v>
      </c>
      <c r="B8801" s="6" t="s">
        <v>19481</v>
      </c>
      <c r="C8801" s="10">
        <v>46077.0</v>
      </c>
      <c r="D8801" s="6" t="s">
        <v>436</v>
      </c>
      <c r="E8801" s="6" t="s">
        <v>738</v>
      </c>
      <c r="F8801" s="6" t="s">
        <v>112</v>
      </c>
      <c r="G8801" s="6" t="s">
        <v>458</v>
      </c>
      <c r="H8801" s="10">
        <v>46081.0</v>
      </c>
      <c r="I8801" s="12">
        <v>7.0</v>
      </c>
      <c r="J8801" s="6" t="s">
        <v>178</v>
      </c>
    </row>
    <row r="8802" ht="22.5" customHeight="1">
      <c r="A8802" s="6" t="s">
        <v>25610</v>
      </c>
      <c r="B8802" s="6" t="s">
        <v>19481</v>
      </c>
      <c r="C8802" s="10">
        <v>46073.0</v>
      </c>
      <c r="D8802" s="6" t="s">
        <v>416</v>
      </c>
      <c r="E8802" s="6" t="s">
        <v>1552</v>
      </c>
      <c r="F8802" s="6" t="s">
        <v>112</v>
      </c>
      <c r="G8802" s="6" t="s">
        <v>477</v>
      </c>
      <c r="H8802" s="10">
        <v>46079.0</v>
      </c>
      <c r="I8802" s="12">
        <v>8.0</v>
      </c>
      <c r="J8802" s="6" t="s">
        <v>161</v>
      </c>
    </row>
    <row r="8803" ht="22.5" customHeight="1">
      <c r="A8803" s="6" t="s">
        <v>25611</v>
      </c>
      <c r="B8803" s="6" t="s">
        <v>19481</v>
      </c>
      <c r="C8803" s="10">
        <v>46070.0</v>
      </c>
      <c r="D8803" s="6" t="s">
        <v>289</v>
      </c>
      <c r="E8803" s="6" t="s">
        <v>634</v>
      </c>
      <c r="F8803" s="6" t="s">
        <v>249</v>
      </c>
      <c r="G8803" s="6" t="s">
        <v>297</v>
      </c>
      <c r="H8803" s="10">
        <v>46072.0</v>
      </c>
      <c r="I8803" s="12">
        <v>9.0</v>
      </c>
      <c r="J8803" s="6" t="s">
        <v>161</v>
      </c>
    </row>
    <row r="8804" ht="22.5" customHeight="1">
      <c r="A8804" s="6" t="s">
        <v>25612</v>
      </c>
      <c r="B8804" s="6" t="s">
        <v>19488</v>
      </c>
      <c r="C8804" s="10">
        <v>46040.0</v>
      </c>
      <c r="D8804" s="6" t="s">
        <v>416</v>
      </c>
      <c r="E8804" s="6" t="s">
        <v>246</v>
      </c>
      <c r="F8804" s="6" t="s">
        <v>249</v>
      </c>
      <c r="G8804" s="6" t="s">
        <v>477</v>
      </c>
      <c r="H8804" s="10">
        <v>46046.0</v>
      </c>
      <c r="I8804" s="12">
        <v>9.0</v>
      </c>
      <c r="J8804" s="6" t="s">
        <v>161</v>
      </c>
    </row>
    <row r="8805" ht="22.5" customHeight="1">
      <c r="A8805" s="6" t="s">
        <v>25613</v>
      </c>
      <c r="B8805" s="6" t="s">
        <v>19488</v>
      </c>
      <c r="C8805" s="10">
        <v>46047.0</v>
      </c>
      <c r="D8805" s="6" t="s">
        <v>677</v>
      </c>
      <c r="E8805" s="6" t="s">
        <v>1600</v>
      </c>
      <c r="F8805" s="6" t="s">
        <v>439</v>
      </c>
      <c r="G8805" s="6" t="s">
        <v>494</v>
      </c>
      <c r="H8805" s="10">
        <v>46048.0</v>
      </c>
      <c r="I8805" s="12">
        <v>3.0</v>
      </c>
      <c r="J8805" s="6" t="s">
        <v>161</v>
      </c>
    </row>
    <row r="8806" ht="22.5" customHeight="1">
      <c r="A8806" s="6" t="s">
        <v>25614</v>
      </c>
      <c r="B8806" s="6" t="s">
        <v>19488</v>
      </c>
      <c r="C8806" s="10">
        <v>46033.0</v>
      </c>
      <c r="D8806" s="6" t="s">
        <v>436</v>
      </c>
      <c r="E8806" s="6" t="s">
        <v>1626</v>
      </c>
      <c r="F8806" s="6" t="s">
        <v>283</v>
      </c>
      <c r="G8806" s="6" t="s">
        <v>494</v>
      </c>
      <c r="H8806" s="11" t="s">
        <v>259</v>
      </c>
      <c r="I8806" s="12">
        <v>12.0</v>
      </c>
      <c r="J8806" s="6" t="s">
        <v>178</v>
      </c>
    </row>
    <row r="8807" ht="22.5" customHeight="1">
      <c r="A8807" s="6" t="s">
        <v>25615</v>
      </c>
      <c r="B8807" s="6" t="s">
        <v>19494</v>
      </c>
      <c r="C8807" s="10">
        <v>46053.0</v>
      </c>
      <c r="D8807" s="6" t="s">
        <v>416</v>
      </c>
      <c r="E8807" s="6" t="s">
        <v>863</v>
      </c>
      <c r="F8807" s="6" t="s">
        <v>249</v>
      </c>
      <c r="G8807" s="6" t="s">
        <v>458</v>
      </c>
      <c r="H8807" s="10">
        <v>46056.0</v>
      </c>
      <c r="I8807" s="12">
        <v>11.0</v>
      </c>
      <c r="J8807" s="6" t="s">
        <v>161</v>
      </c>
    </row>
    <row r="8808" ht="22.5" customHeight="1">
      <c r="A8808" s="6" t="s">
        <v>25616</v>
      </c>
      <c r="B8808" s="6" t="s">
        <v>19494</v>
      </c>
      <c r="C8808" s="10">
        <v>46050.0</v>
      </c>
      <c r="D8808" s="6" t="s">
        <v>677</v>
      </c>
      <c r="E8808" s="6" t="s">
        <v>716</v>
      </c>
      <c r="F8808" s="6" t="s">
        <v>249</v>
      </c>
      <c r="G8808" s="6" t="s">
        <v>452</v>
      </c>
      <c r="H8808" s="10">
        <v>46054.0</v>
      </c>
      <c r="I8808" s="12">
        <v>3.0</v>
      </c>
      <c r="J8808" s="6" t="s">
        <v>161</v>
      </c>
    </row>
    <row r="8809" ht="22.5" customHeight="1">
      <c r="A8809" s="6" t="s">
        <v>25617</v>
      </c>
      <c r="B8809" s="6" t="s">
        <v>19494</v>
      </c>
      <c r="C8809" s="10">
        <v>46037.0</v>
      </c>
      <c r="D8809" s="6" t="s">
        <v>391</v>
      </c>
      <c r="E8809" s="6" t="s">
        <v>1035</v>
      </c>
      <c r="F8809" s="6" t="s">
        <v>283</v>
      </c>
      <c r="G8809" s="6" t="s">
        <v>494</v>
      </c>
      <c r="H8809" s="10">
        <v>46037.0</v>
      </c>
      <c r="I8809" s="12">
        <v>8.0</v>
      </c>
      <c r="J8809" s="6" t="s">
        <v>161</v>
      </c>
    </row>
    <row r="8810" ht="22.5" customHeight="1">
      <c r="A8810" s="6" t="s">
        <v>25618</v>
      </c>
      <c r="B8810" s="6" t="s">
        <v>19494</v>
      </c>
      <c r="C8810" s="10">
        <v>46037.0</v>
      </c>
      <c r="D8810" s="6" t="s">
        <v>312</v>
      </c>
      <c r="E8810" s="6" t="s">
        <v>670</v>
      </c>
      <c r="F8810" s="6" t="s">
        <v>283</v>
      </c>
      <c r="G8810" s="6" t="s">
        <v>369</v>
      </c>
      <c r="H8810" s="10">
        <v>46040.0</v>
      </c>
      <c r="I8810" s="12">
        <v>5.0</v>
      </c>
      <c r="J8810" s="6" t="s">
        <v>161</v>
      </c>
    </row>
    <row r="8811" ht="22.5" customHeight="1">
      <c r="A8811" s="6" t="s">
        <v>25619</v>
      </c>
      <c r="B8811" s="6" t="s">
        <v>19494</v>
      </c>
      <c r="C8811" s="10">
        <v>46051.0</v>
      </c>
      <c r="D8811" s="6" t="s">
        <v>677</v>
      </c>
      <c r="E8811" s="6" t="s">
        <v>1600</v>
      </c>
      <c r="F8811" s="6" t="s">
        <v>283</v>
      </c>
      <c r="G8811" s="6" t="s">
        <v>494</v>
      </c>
      <c r="H8811" s="10">
        <v>46055.0</v>
      </c>
      <c r="I8811" s="12">
        <v>3.0</v>
      </c>
      <c r="J8811" s="6" t="s">
        <v>161</v>
      </c>
    </row>
    <row r="8812" ht="22.5" customHeight="1">
      <c r="A8812" s="6" t="s">
        <v>25620</v>
      </c>
      <c r="B8812" s="6" t="s">
        <v>19501</v>
      </c>
      <c r="C8812" s="10">
        <v>46038.0</v>
      </c>
      <c r="D8812" s="6" t="s">
        <v>416</v>
      </c>
      <c r="E8812" s="6" t="s">
        <v>1055</v>
      </c>
      <c r="F8812" s="6" t="s">
        <v>283</v>
      </c>
      <c r="G8812" s="6" t="s">
        <v>297</v>
      </c>
      <c r="H8812" s="11" t="s">
        <v>259</v>
      </c>
      <c r="I8812" s="12">
        <v>12.0</v>
      </c>
      <c r="J8812" s="6" t="s">
        <v>161</v>
      </c>
    </row>
    <row r="8813" ht="22.5" customHeight="1">
      <c r="A8813" s="6" t="s">
        <v>25621</v>
      </c>
      <c r="B8813" s="6" t="s">
        <v>19505</v>
      </c>
      <c r="C8813" s="10">
        <v>46072.0</v>
      </c>
      <c r="D8813" s="6" t="s">
        <v>312</v>
      </c>
      <c r="E8813" s="6" t="s">
        <v>687</v>
      </c>
      <c r="F8813" s="6" t="s">
        <v>283</v>
      </c>
      <c r="G8813" s="6" t="s">
        <v>477</v>
      </c>
      <c r="H8813" s="10">
        <v>46074.0</v>
      </c>
      <c r="I8813" s="12">
        <v>5.0</v>
      </c>
      <c r="J8813" s="6" t="s">
        <v>161</v>
      </c>
    </row>
    <row r="8814" ht="22.5" customHeight="1">
      <c r="A8814" s="6" t="s">
        <v>25622</v>
      </c>
      <c r="B8814" s="6" t="s">
        <v>19505</v>
      </c>
      <c r="C8814" s="10">
        <v>46079.0</v>
      </c>
      <c r="D8814" s="6" t="s">
        <v>312</v>
      </c>
      <c r="E8814" s="6" t="s">
        <v>896</v>
      </c>
      <c r="F8814" s="6" t="s">
        <v>439</v>
      </c>
      <c r="G8814" s="6" t="s">
        <v>477</v>
      </c>
      <c r="H8814" s="10">
        <v>46086.0</v>
      </c>
      <c r="I8814" s="12">
        <v>5.0</v>
      </c>
      <c r="J8814" s="6" t="s">
        <v>161</v>
      </c>
    </row>
    <row r="8815" ht="22.5" customHeight="1">
      <c r="A8815" s="6" t="s">
        <v>25623</v>
      </c>
      <c r="B8815" s="6" t="s">
        <v>19505</v>
      </c>
      <c r="C8815" s="10">
        <v>46074.0</v>
      </c>
      <c r="D8815" s="6" t="s">
        <v>677</v>
      </c>
      <c r="E8815" s="6" t="s">
        <v>2365</v>
      </c>
      <c r="F8815" s="6" t="s">
        <v>439</v>
      </c>
      <c r="G8815" s="6" t="s">
        <v>297</v>
      </c>
      <c r="H8815" s="10">
        <v>46075.0</v>
      </c>
      <c r="I8815" s="12">
        <v>2.0</v>
      </c>
      <c r="J8815" s="6" t="s">
        <v>161</v>
      </c>
    </row>
    <row r="8816" ht="22.5" customHeight="1">
      <c r="A8816" s="6" t="s">
        <v>25624</v>
      </c>
      <c r="B8816" s="6" t="s">
        <v>19512</v>
      </c>
      <c r="C8816" s="10">
        <v>46040.0</v>
      </c>
      <c r="D8816" s="6" t="s">
        <v>289</v>
      </c>
      <c r="E8816" s="6" t="s">
        <v>291</v>
      </c>
      <c r="F8816" s="6" t="s">
        <v>439</v>
      </c>
      <c r="G8816" s="6" t="s">
        <v>494</v>
      </c>
      <c r="H8816" s="10">
        <v>46046.0</v>
      </c>
      <c r="I8816" s="12">
        <v>5.0</v>
      </c>
      <c r="J8816" s="6" t="s">
        <v>161</v>
      </c>
    </row>
    <row r="8817" ht="22.5" customHeight="1">
      <c r="A8817" s="6" t="s">
        <v>25625</v>
      </c>
      <c r="B8817" s="6" t="s">
        <v>19512</v>
      </c>
      <c r="C8817" s="10">
        <v>46048.0</v>
      </c>
      <c r="D8817" s="6" t="s">
        <v>391</v>
      </c>
      <c r="E8817" s="6" t="s">
        <v>1741</v>
      </c>
      <c r="F8817" s="6" t="s">
        <v>249</v>
      </c>
      <c r="G8817" s="6" t="s">
        <v>458</v>
      </c>
      <c r="H8817" s="11" t="s">
        <v>259</v>
      </c>
      <c r="I8817" s="12">
        <v>8.0</v>
      </c>
      <c r="J8817" s="6" t="s">
        <v>161</v>
      </c>
    </row>
    <row r="8818" ht="22.5" customHeight="1">
      <c r="A8818" s="6" t="s">
        <v>25626</v>
      </c>
      <c r="B8818" s="6" t="s">
        <v>19512</v>
      </c>
      <c r="C8818" s="10">
        <v>46039.0</v>
      </c>
      <c r="D8818" s="6" t="s">
        <v>242</v>
      </c>
      <c r="E8818" s="6" t="s">
        <v>787</v>
      </c>
      <c r="F8818" s="6" t="s">
        <v>112</v>
      </c>
      <c r="G8818" s="6" t="s">
        <v>477</v>
      </c>
      <c r="H8818" s="10">
        <v>46039.0</v>
      </c>
      <c r="I8818" s="12">
        <v>5.0</v>
      </c>
      <c r="J8818" s="6" t="s">
        <v>161</v>
      </c>
    </row>
    <row r="8819" ht="22.5" customHeight="1">
      <c r="A8819" s="6" t="s">
        <v>25627</v>
      </c>
      <c r="B8819" s="6" t="s">
        <v>19512</v>
      </c>
      <c r="C8819" s="10">
        <v>46051.0</v>
      </c>
      <c r="D8819" s="6" t="s">
        <v>436</v>
      </c>
      <c r="E8819" s="6" t="s">
        <v>2365</v>
      </c>
      <c r="F8819" s="6" t="s">
        <v>439</v>
      </c>
      <c r="G8819" s="6" t="s">
        <v>452</v>
      </c>
      <c r="H8819" s="10">
        <v>46054.0</v>
      </c>
      <c r="I8819" s="12">
        <v>10.0</v>
      </c>
      <c r="J8819" s="6" t="s">
        <v>178</v>
      </c>
    </row>
    <row r="8820" ht="22.5" customHeight="1">
      <c r="A8820" s="6" t="s">
        <v>25628</v>
      </c>
      <c r="B8820" s="6" t="s">
        <v>19518</v>
      </c>
      <c r="C8820" s="10">
        <v>46074.0</v>
      </c>
      <c r="D8820" s="6" t="s">
        <v>436</v>
      </c>
      <c r="E8820" s="6" t="s">
        <v>775</v>
      </c>
      <c r="F8820" s="6" t="s">
        <v>439</v>
      </c>
      <c r="G8820" s="6" t="s">
        <v>452</v>
      </c>
      <c r="H8820" s="10">
        <v>46079.0</v>
      </c>
      <c r="I8820" s="12">
        <v>7.0</v>
      </c>
      <c r="J8820" s="6" t="s">
        <v>178</v>
      </c>
    </row>
    <row r="8821" ht="22.5" customHeight="1">
      <c r="A8821" s="6" t="s">
        <v>25629</v>
      </c>
      <c r="B8821" s="6" t="s">
        <v>19518</v>
      </c>
      <c r="C8821" s="10">
        <v>46076.0</v>
      </c>
      <c r="D8821" s="6" t="s">
        <v>242</v>
      </c>
      <c r="E8821" s="6" t="s">
        <v>1149</v>
      </c>
      <c r="F8821" s="6" t="s">
        <v>283</v>
      </c>
      <c r="G8821" s="6" t="s">
        <v>494</v>
      </c>
      <c r="H8821" s="10">
        <v>46083.0</v>
      </c>
      <c r="I8821" s="12">
        <v>5.0</v>
      </c>
      <c r="J8821" s="6" t="s">
        <v>178</v>
      </c>
    </row>
    <row r="8822" ht="22.5" customHeight="1">
      <c r="A8822" s="6" t="s">
        <v>25630</v>
      </c>
      <c r="B8822" s="6" t="s">
        <v>19518</v>
      </c>
      <c r="C8822" s="10">
        <v>46074.0</v>
      </c>
      <c r="D8822" s="6" t="s">
        <v>312</v>
      </c>
      <c r="E8822" s="6" t="s">
        <v>1386</v>
      </c>
      <c r="F8822" s="6" t="s">
        <v>112</v>
      </c>
      <c r="G8822" s="6" t="s">
        <v>297</v>
      </c>
      <c r="H8822" s="10">
        <v>46078.0</v>
      </c>
      <c r="I8822" s="12">
        <v>5.0</v>
      </c>
      <c r="J8822" s="6" t="s">
        <v>161</v>
      </c>
    </row>
    <row r="8823" ht="22.5" customHeight="1">
      <c r="A8823" s="6" t="s">
        <v>25631</v>
      </c>
      <c r="B8823" s="6" t="s">
        <v>19524</v>
      </c>
      <c r="C8823" s="10">
        <v>46040.0</v>
      </c>
      <c r="D8823" s="6" t="s">
        <v>289</v>
      </c>
      <c r="E8823" s="6" t="s">
        <v>1741</v>
      </c>
      <c r="F8823" s="6" t="s">
        <v>249</v>
      </c>
      <c r="G8823" s="6" t="s">
        <v>477</v>
      </c>
      <c r="H8823" s="10">
        <v>46046.0</v>
      </c>
      <c r="I8823" s="12">
        <v>7.0</v>
      </c>
      <c r="J8823" s="6" t="s">
        <v>161</v>
      </c>
    </row>
    <row r="8824" ht="22.5" customHeight="1">
      <c r="A8824" s="6" t="s">
        <v>25632</v>
      </c>
      <c r="B8824" s="6" t="s">
        <v>19524</v>
      </c>
      <c r="C8824" s="10">
        <v>46029.0</v>
      </c>
      <c r="D8824" s="6" t="s">
        <v>416</v>
      </c>
      <c r="E8824" s="6" t="s">
        <v>787</v>
      </c>
      <c r="F8824" s="6" t="s">
        <v>283</v>
      </c>
      <c r="G8824" s="6" t="s">
        <v>254</v>
      </c>
      <c r="H8824" s="10">
        <v>46031.0</v>
      </c>
      <c r="I8824" s="12">
        <v>9.0</v>
      </c>
      <c r="J8824" s="6" t="s">
        <v>161</v>
      </c>
    </row>
    <row r="8825" ht="22.5" customHeight="1">
      <c r="A8825" s="6" t="s">
        <v>25633</v>
      </c>
      <c r="B8825" s="6" t="s">
        <v>19524</v>
      </c>
      <c r="C8825" s="10">
        <v>46031.0</v>
      </c>
      <c r="D8825" s="6" t="s">
        <v>391</v>
      </c>
      <c r="E8825" s="6" t="s">
        <v>1741</v>
      </c>
      <c r="F8825" s="6" t="s">
        <v>439</v>
      </c>
      <c r="G8825" s="6" t="s">
        <v>369</v>
      </c>
      <c r="H8825" s="10">
        <v>46032.0</v>
      </c>
      <c r="I8825" s="12">
        <v>6.0</v>
      </c>
      <c r="J8825" s="6" t="s">
        <v>161</v>
      </c>
    </row>
    <row r="8826" ht="22.5" customHeight="1">
      <c r="A8826" s="6" t="s">
        <v>25634</v>
      </c>
      <c r="B8826" s="6" t="s">
        <v>19524</v>
      </c>
      <c r="C8826" s="10">
        <v>46042.0</v>
      </c>
      <c r="D8826" s="6" t="s">
        <v>677</v>
      </c>
      <c r="E8826" s="6" t="s">
        <v>1241</v>
      </c>
      <c r="F8826" s="6" t="s">
        <v>249</v>
      </c>
      <c r="G8826" s="6" t="s">
        <v>494</v>
      </c>
      <c r="H8826" s="11" t="s">
        <v>259</v>
      </c>
      <c r="I8826" s="12">
        <v>4.0</v>
      </c>
      <c r="J8826" s="6" t="s">
        <v>161</v>
      </c>
    </row>
    <row r="8827" ht="22.5" customHeight="1">
      <c r="A8827" s="6" t="s">
        <v>25635</v>
      </c>
      <c r="B8827" s="6" t="s">
        <v>19531</v>
      </c>
      <c r="C8827" s="10">
        <v>46056.0</v>
      </c>
      <c r="D8827" s="6" t="s">
        <v>391</v>
      </c>
      <c r="E8827" s="6" t="s">
        <v>1241</v>
      </c>
      <c r="F8827" s="6" t="s">
        <v>112</v>
      </c>
      <c r="G8827" s="6" t="s">
        <v>297</v>
      </c>
      <c r="H8827" s="10">
        <v>46062.0</v>
      </c>
      <c r="I8827" s="12">
        <v>7.0</v>
      </c>
      <c r="J8827" s="6" t="s">
        <v>161</v>
      </c>
    </row>
    <row r="8828" ht="22.5" customHeight="1">
      <c r="A8828" s="6" t="s">
        <v>25636</v>
      </c>
      <c r="B8828" s="6" t="s">
        <v>19537</v>
      </c>
      <c r="C8828" s="10">
        <v>46080.0</v>
      </c>
      <c r="D8828" s="6" t="s">
        <v>391</v>
      </c>
      <c r="E8828" s="6" t="s">
        <v>1035</v>
      </c>
      <c r="F8828" s="6" t="s">
        <v>283</v>
      </c>
      <c r="G8828" s="6" t="s">
        <v>458</v>
      </c>
      <c r="H8828" s="10">
        <v>46080.0</v>
      </c>
      <c r="I8828" s="12">
        <v>10.0</v>
      </c>
      <c r="J8828" s="6" t="s">
        <v>161</v>
      </c>
    </row>
    <row r="8829" ht="22.5" customHeight="1">
      <c r="A8829" s="6" t="s">
        <v>25637</v>
      </c>
      <c r="B8829" s="6" t="s">
        <v>19537</v>
      </c>
      <c r="C8829" s="10">
        <v>46075.0</v>
      </c>
      <c r="D8829" s="6" t="s">
        <v>289</v>
      </c>
      <c r="E8829" s="6" t="s">
        <v>291</v>
      </c>
      <c r="F8829" s="6" t="s">
        <v>249</v>
      </c>
      <c r="G8829" s="6" t="s">
        <v>369</v>
      </c>
      <c r="H8829" s="10">
        <v>46080.0</v>
      </c>
      <c r="I8829" s="12">
        <v>9.0</v>
      </c>
      <c r="J8829" s="6" t="s">
        <v>161</v>
      </c>
    </row>
    <row r="8830" ht="22.5" customHeight="1">
      <c r="A8830" s="6" t="s">
        <v>25638</v>
      </c>
      <c r="B8830" s="6" t="s">
        <v>19537</v>
      </c>
      <c r="C8830" s="10">
        <v>46069.0</v>
      </c>
      <c r="D8830" s="6" t="s">
        <v>289</v>
      </c>
      <c r="E8830" s="6" t="s">
        <v>246</v>
      </c>
      <c r="F8830" s="6" t="s">
        <v>112</v>
      </c>
      <c r="G8830" s="6" t="s">
        <v>458</v>
      </c>
      <c r="H8830" s="10">
        <v>46069.0</v>
      </c>
      <c r="I8830" s="12">
        <v>7.0</v>
      </c>
      <c r="J8830" s="6" t="s">
        <v>161</v>
      </c>
    </row>
    <row r="8831" ht="22.5" customHeight="1">
      <c r="A8831" s="6" t="s">
        <v>25639</v>
      </c>
      <c r="B8831" s="6" t="s">
        <v>19537</v>
      </c>
      <c r="C8831" s="10">
        <v>46065.0</v>
      </c>
      <c r="D8831" s="6" t="s">
        <v>677</v>
      </c>
      <c r="E8831" s="6" t="s">
        <v>833</v>
      </c>
      <c r="F8831" s="6" t="s">
        <v>112</v>
      </c>
      <c r="G8831" s="6" t="s">
        <v>458</v>
      </c>
      <c r="H8831" s="10">
        <v>46069.0</v>
      </c>
      <c r="I8831" s="12">
        <v>4.0</v>
      </c>
      <c r="J8831" s="6" t="s">
        <v>161</v>
      </c>
    </row>
    <row r="8832" ht="22.5" customHeight="1">
      <c r="A8832" s="6" t="s">
        <v>25640</v>
      </c>
      <c r="B8832" s="6" t="s">
        <v>19537</v>
      </c>
      <c r="C8832" s="10">
        <v>46061.0</v>
      </c>
      <c r="D8832" s="6" t="s">
        <v>677</v>
      </c>
      <c r="E8832" s="6" t="s">
        <v>1741</v>
      </c>
      <c r="F8832" s="6" t="s">
        <v>249</v>
      </c>
      <c r="G8832" s="6" t="s">
        <v>477</v>
      </c>
      <c r="H8832" s="11" t="s">
        <v>259</v>
      </c>
      <c r="I8832" s="12">
        <v>2.0</v>
      </c>
      <c r="J8832" s="6" t="s">
        <v>161</v>
      </c>
    </row>
    <row r="8833" ht="22.5" customHeight="1">
      <c r="A8833" s="6" t="s">
        <v>25641</v>
      </c>
      <c r="B8833" s="6" t="s">
        <v>19544</v>
      </c>
      <c r="C8833" s="10">
        <v>46053.0</v>
      </c>
      <c r="D8833" s="6" t="s">
        <v>436</v>
      </c>
      <c r="E8833" s="6" t="s">
        <v>716</v>
      </c>
      <c r="F8833" s="6" t="s">
        <v>439</v>
      </c>
      <c r="G8833" s="6" t="s">
        <v>458</v>
      </c>
      <c r="H8833" s="10">
        <v>46056.0</v>
      </c>
      <c r="I8833" s="12">
        <v>9.0</v>
      </c>
      <c r="J8833" s="6" t="s">
        <v>178</v>
      </c>
    </row>
    <row r="8834" ht="22.5" customHeight="1">
      <c r="A8834" s="6" t="s">
        <v>25642</v>
      </c>
      <c r="B8834" s="6" t="s">
        <v>19544</v>
      </c>
      <c r="C8834" s="10">
        <v>46057.0</v>
      </c>
      <c r="D8834" s="6" t="s">
        <v>391</v>
      </c>
      <c r="E8834" s="6" t="s">
        <v>512</v>
      </c>
      <c r="F8834" s="6" t="s">
        <v>283</v>
      </c>
      <c r="G8834" s="6" t="s">
        <v>477</v>
      </c>
      <c r="H8834" s="10">
        <v>46064.0</v>
      </c>
      <c r="I8834" s="12">
        <v>8.0</v>
      </c>
      <c r="J8834" s="6" t="s">
        <v>161</v>
      </c>
    </row>
    <row r="8835" ht="22.5" customHeight="1">
      <c r="A8835" s="6" t="s">
        <v>25643</v>
      </c>
      <c r="B8835" s="6" t="s">
        <v>19544</v>
      </c>
      <c r="C8835" s="10">
        <v>46041.0</v>
      </c>
      <c r="D8835" s="6" t="s">
        <v>391</v>
      </c>
      <c r="E8835" s="6" t="s">
        <v>1570</v>
      </c>
      <c r="F8835" s="6" t="s">
        <v>249</v>
      </c>
      <c r="G8835" s="6" t="s">
        <v>452</v>
      </c>
      <c r="H8835" s="11" t="s">
        <v>259</v>
      </c>
      <c r="I8835" s="12">
        <v>11.0</v>
      </c>
      <c r="J8835" s="6" t="s">
        <v>161</v>
      </c>
    </row>
    <row r="8836" ht="22.5" customHeight="1">
      <c r="A8836" s="6" t="s">
        <v>25644</v>
      </c>
      <c r="B8836" s="6" t="s">
        <v>19544</v>
      </c>
      <c r="C8836" s="10">
        <v>46049.0</v>
      </c>
      <c r="D8836" s="6" t="s">
        <v>677</v>
      </c>
      <c r="E8836" s="6" t="s">
        <v>320</v>
      </c>
      <c r="F8836" s="6" t="s">
        <v>249</v>
      </c>
      <c r="G8836" s="6" t="s">
        <v>326</v>
      </c>
      <c r="H8836" s="10">
        <v>46055.0</v>
      </c>
      <c r="I8836" s="12">
        <v>3.0</v>
      </c>
      <c r="J8836" s="6" t="s">
        <v>161</v>
      </c>
    </row>
    <row r="8837" ht="22.5" customHeight="1">
      <c r="A8837" s="6" t="s">
        <v>25645</v>
      </c>
      <c r="B8837" s="6" t="s">
        <v>19544</v>
      </c>
      <c r="C8837" s="10">
        <v>46054.0</v>
      </c>
      <c r="D8837" s="6" t="s">
        <v>391</v>
      </c>
      <c r="E8837" s="6" t="s">
        <v>1700</v>
      </c>
      <c r="F8837" s="6" t="s">
        <v>283</v>
      </c>
      <c r="G8837" s="6" t="s">
        <v>254</v>
      </c>
      <c r="H8837" s="10">
        <v>46061.0</v>
      </c>
      <c r="I8837" s="12">
        <v>7.0</v>
      </c>
      <c r="J8837" s="6" t="s">
        <v>161</v>
      </c>
    </row>
    <row r="8838" ht="22.5" customHeight="1">
      <c r="A8838" s="6" t="s">
        <v>25646</v>
      </c>
      <c r="B8838" s="6" t="s">
        <v>19551</v>
      </c>
      <c r="C8838" s="10">
        <v>46088.0</v>
      </c>
      <c r="D8838" s="6" t="s">
        <v>677</v>
      </c>
      <c r="E8838" s="6" t="s">
        <v>1296</v>
      </c>
      <c r="F8838" s="6" t="s">
        <v>439</v>
      </c>
      <c r="G8838" s="6" t="s">
        <v>326</v>
      </c>
      <c r="H8838" s="10">
        <v>46095.0</v>
      </c>
      <c r="I8838" s="12">
        <v>4.0</v>
      </c>
      <c r="J8838" s="6" t="s">
        <v>161</v>
      </c>
    </row>
    <row r="8839" ht="22.5" customHeight="1">
      <c r="A8839" s="6" t="s">
        <v>25647</v>
      </c>
      <c r="B8839" s="6" t="s">
        <v>19557</v>
      </c>
      <c r="C8839" s="10">
        <v>46028.0</v>
      </c>
      <c r="D8839" s="6" t="s">
        <v>436</v>
      </c>
      <c r="E8839" s="6" t="s">
        <v>583</v>
      </c>
      <c r="F8839" s="6" t="s">
        <v>112</v>
      </c>
      <c r="G8839" s="6" t="s">
        <v>458</v>
      </c>
      <c r="H8839" s="11" t="s">
        <v>259</v>
      </c>
      <c r="I8839" s="12">
        <v>6.0</v>
      </c>
      <c r="J8839" s="6" t="s">
        <v>178</v>
      </c>
    </row>
    <row r="8840" ht="22.5" customHeight="1">
      <c r="A8840" s="6" t="s">
        <v>25648</v>
      </c>
      <c r="B8840" s="6" t="s">
        <v>19557</v>
      </c>
      <c r="C8840" s="10">
        <v>46036.0</v>
      </c>
      <c r="D8840" s="6" t="s">
        <v>242</v>
      </c>
      <c r="E8840" s="6" t="s">
        <v>365</v>
      </c>
      <c r="F8840" s="6" t="s">
        <v>249</v>
      </c>
      <c r="G8840" s="6" t="s">
        <v>297</v>
      </c>
      <c r="H8840" s="10">
        <v>46036.0</v>
      </c>
      <c r="I8840" s="12">
        <v>5.0</v>
      </c>
      <c r="J8840" s="6" t="s">
        <v>178</v>
      </c>
    </row>
    <row r="8841" ht="22.5" customHeight="1">
      <c r="A8841" s="6" t="s">
        <v>25649</v>
      </c>
      <c r="B8841" s="6" t="s">
        <v>19563</v>
      </c>
      <c r="C8841" s="10">
        <v>46038.0</v>
      </c>
      <c r="D8841" s="6" t="s">
        <v>289</v>
      </c>
      <c r="E8841" s="6" t="s">
        <v>658</v>
      </c>
      <c r="F8841" s="6" t="s">
        <v>283</v>
      </c>
      <c r="G8841" s="6" t="s">
        <v>477</v>
      </c>
      <c r="H8841" s="11" t="s">
        <v>259</v>
      </c>
      <c r="I8841" s="12">
        <v>5.0</v>
      </c>
      <c r="J8841" s="6" t="s">
        <v>161</v>
      </c>
    </row>
    <row r="8842" ht="22.5" customHeight="1">
      <c r="A8842" s="6" t="s">
        <v>25650</v>
      </c>
      <c r="B8842" s="6" t="s">
        <v>19563</v>
      </c>
      <c r="C8842" s="10">
        <v>46026.0</v>
      </c>
      <c r="D8842" s="6" t="s">
        <v>391</v>
      </c>
      <c r="E8842" s="6" t="s">
        <v>365</v>
      </c>
      <c r="F8842" s="6" t="s">
        <v>283</v>
      </c>
      <c r="G8842" s="6" t="s">
        <v>326</v>
      </c>
      <c r="H8842" s="10">
        <v>46028.0</v>
      </c>
      <c r="I8842" s="12">
        <v>10.0</v>
      </c>
      <c r="J8842" s="6" t="s">
        <v>161</v>
      </c>
    </row>
    <row r="8843" ht="22.5" customHeight="1">
      <c r="A8843" s="6" t="s">
        <v>25651</v>
      </c>
      <c r="B8843" s="6" t="s">
        <v>19563</v>
      </c>
      <c r="C8843" s="10">
        <v>46032.0</v>
      </c>
      <c r="D8843" s="6" t="s">
        <v>436</v>
      </c>
      <c r="E8843" s="6" t="s">
        <v>475</v>
      </c>
      <c r="F8843" s="6" t="s">
        <v>283</v>
      </c>
      <c r="G8843" s="6" t="s">
        <v>326</v>
      </c>
      <c r="H8843" s="10">
        <v>46034.0</v>
      </c>
      <c r="I8843" s="12">
        <v>8.0</v>
      </c>
      <c r="J8843" s="6" t="s">
        <v>161</v>
      </c>
    </row>
    <row r="8844" ht="22.5" customHeight="1">
      <c r="A8844" s="6" t="s">
        <v>25652</v>
      </c>
      <c r="B8844" s="6" t="s">
        <v>19563</v>
      </c>
      <c r="C8844" s="10">
        <v>46030.0</v>
      </c>
      <c r="D8844" s="6" t="s">
        <v>312</v>
      </c>
      <c r="E8844" s="6" t="s">
        <v>731</v>
      </c>
      <c r="F8844" s="6" t="s">
        <v>112</v>
      </c>
      <c r="G8844" s="6" t="s">
        <v>297</v>
      </c>
      <c r="H8844" s="10">
        <v>46035.0</v>
      </c>
      <c r="I8844" s="12">
        <v>6.0</v>
      </c>
      <c r="J8844" s="6" t="s">
        <v>161</v>
      </c>
    </row>
    <row r="8845" ht="22.5" customHeight="1">
      <c r="A8845" s="6" t="s">
        <v>25653</v>
      </c>
      <c r="B8845" s="6" t="s">
        <v>19570</v>
      </c>
      <c r="C8845" s="10">
        <v>46040.0</v>
      </c>
      <c r="D8845" s="6" t="s">
        <v>436</v>
      </c>
      <c r="E8845" s="6" t="s">
        <v>1720</v>
      </c>
      <c r="F8845" s="6" t="s">
        <v>283</v>
      </c>
      <c r="G8845" s="6" t="s">
        <v>477</v>
      </c>
      <c r="H8845" s="10">
        <v>46041.0</v>
      </c>
      <c r="I8845" s="12">
        <v>12.0</v>
      </c>
      <c r="J8845" s="6" t="s">
        <v>178</v>
      </c>
    </row>
    <row r="8846" ht="22.5" customHeight="1">
      <c r="A8846" s="6" t="s">
        <v>25654</v>
      </c>
      <c r="B8846" s="6" t="s">
        <v>19570</v>
      </c>
      <c r="C8846" s="10">
        <v>46048.0</v>
      </c>
      <c r="D8846" s="6" t="s">
        <v>416</v>
      </c>
      <c r="E8846" s="6" t="s">
        <v>1386</v>
      </c>
      <c r="F8846" s="6" t="s">
        <v>283</v>
      </c>
      <c r="G8846" s="6" t="s">
        <v>254</v>
      </c>
      <c r="H8846" s="10">
        <v>46052.0</v>
      </c>
      <c r="I8846" s="12">
        <v>11.0</v>
      </c>
      <c r="J8846" s="6" t="s">
        <v>161</v>
      </c>
    </row>
    <row r="8847" ht="22.5" customHeight="1">
      <c r="A8847" s="6" t="s">
        <v>25655</v>
      </c>
      <c r="B8847" s="6" t="s">
        <v>19570</v>
      </c>
      <c r="C8847" s="10">
        <v>46044.0</v>
      </c>
      <c r="D8847" s="6" t="s">
        <v>416</v>
      </c>
      <c r="E8847" s="6" t="s">
        <v>863</v>
      </c>
      <c r="F8847" s="6" t="s">
        <v>112</v>
      </c>
      <c r="G8847" s="6" t="s">
        <v>452</v>
      </c>
      <c r="H8847" s="10">
        <v>46050.0</v>
      </c>
      <c r="I8847" s="12">
        <v>11.0</v>
      </c>
      <c r="J8847" s="6" t="s">
        <v>161</v>
      </c>
    </row>
    <row r="8848" ht="22.5" customHeight="1">
      <c r="A8848" s="6" t="s">
        <v>25656</v>
      </c>
      <c r="B8848" s="6" t="s">
        <v>19576</v>
      </c>
      <c r="C8848" s="10">
        <v>46058.0</v>
      </c>
      <c r="D8848" s="6" t="s">
        <v>677</v>
      </c>
      <c r="E8848" s="6" t="s">
        <v>687</v>
      </c>
      <c r="F8848" s="6" t="s">
        <v>249</v>
      </c>
      <c r="G8848" s="6" t="s">
        <v>494</v>
      </c>
      <c r="H8848" s="10">
        <v>46065.0</v>
      </c>
      <c r="I8848" s="12">
        <v>2.0</v>
      </c>
      <c r="J8848" s="6" t="s">
        <v>161</v>
      </c>
    </row>
    <row r="8849" ht="22.5" customHeight="1">
      <c r="A8849" s="6" t="s">
        <v>25657</v>
      </c>
      <c r="B8849" s="6" t="s">
        <v>19576</v>
      </c>
      <c r="C8849" s="10">
        <v>46061.0</v>
      </c>
      <c r="D8849" s="6" t="s">
        <v>312</v>
      </c>
      <c r="E8849" s="6" t="s">
        <v>2881</v>
      </c>
      <c r="F8849" s="6" t="s">
        <v>439</v>
      </c>
      <c r="G8849" s="6" t="s">
        <v>452</v>
      </c>
      <c r="H8849" s="11" t="s">
        <v>259</v>
      </c>
      <c r="I8849" s="12">
        <v>5.0</v>
      </c>
      <c r="J8849" s="6" t="s">
        <v>161</v>
      </c>
    </row>
    <row r="8850" ht="22.5" customHeight="1">
      <c r="A8850" s="6" t="s">
        <v>25658</v>
      </c>
      <c r="B8850" s="6" t="s">
        <v>19582</v>
      </c>
      <c r="C8850" s="10">
        <v>46042.0</v>
      </c>
      <c r="D8850" s="6" t="s">
        <v>312</v>
      </c>
      <c r="E8850" s="6" t="s">
        <v>738</v>
      </c>
      <c r="F8850" s="6" t="s">
        <v>249</v>
      </c>
      <c r="G8850" s="6" t="s">
        <v>369</v>
      </c>
      <c r="H8850" s="10">
        <v>46044.0</v>
      </c>
      <c r="I8850" s="12">
        <v>5.0</v>
      </c>
      <c r="J8850" s="6" t="s">
        <v>161</v>
      </c>
    </row>
    <row r="8851" ht="22.5" customHeight="1">
      <c r="A8851" s="6" t="s">
        <v>25659</v>
      </c>
      <c r="B8851" s="6" t="s">
        <v>19582</v>
      </c>
      <c r="C8851" s="10">
        <v>46040.0</v>
      </c>
      <c r="D8851" s="6" t="s">
        <v>677</v>
      </c>
      <c r="E8851" s="6" t="s">
        <v>1280</v>
      </c>
      <c r="F8851" s="6" t="s">
        <v>439</v>
      </c>
      <c r="G8851" s="6" t="s">
        <v>326</v>
      </c>
      <c r="H8851" s="11" t="s">
        <v>259</v>
      </c>
      <c r="I8851" s="12">
        <v>3.0</v>
      </c>
      <c r="J8851" s="6" t="s">
        <v>161</v>
      </c>
    </row>
    <row r="8852" ht="22.5" customHeight="1">
      <c r="A8852" s="6" t="s">
        <v>25660</v>
      </c>
      <c r="B8852" s="6" t="s">
        <v>19582</v>
      </c>
      <c r="C8852" s="10">
        <v>46037.0</v>
      </c>
      <c r="D8852" s="6" t="s">
        <v>391</v>
      </c>
      <c r="E8852" s="6" t="s">
        <v>1386</v>
      </c>
      <c r="F8852" s="6" t="s">
        <v>249</v>
      </c>
      <c r="G8852" s="6" t="s">
        <v>494</v>
      </c>
      <c r="H8852" s="11" t="s">
        <v>259</v>
      </c>
      <c r="I8852" s="12">
        <v>9.0</v>
      </c>
      <c r="J8852" s="6" t="s">
        <v>161</v>
      </c>
    </row>
    <row r="8853" ht="22.5" customHeight="1">
      <c r="A8853" s="6" t="s">
        <v>25661</v>
      </c>
      <c r="B8853" s="6" t="s">
        <v>19582</v>
      </c>
      <c r="C8853" s="10">
        <v>46045.0</v>
      </c>
      <c r="D8853" s="6" t="s">
        <v>312</v>
      </c>
      <c r="E8853" s="6" t="s">
        <v>658</v>
      </c>
      <c r="F8853" s="6" t="s">
        <v>112</v>
      </c>
      <c r="G8853" s="6" t="s">
        <v>326</v>
      </c>
      <c r="H8853" s="10">
        <v>46050.0</v>
      </c>
      <c r="I8853" s="12">
        <v>4.0</v>
      </c>
      <c r="J8853" s="6" t="s">
        <v>161</v>
      </c>
    </row>
    <row r="8854" ht="22.5" customHeight="1">
      <c r="A8854" s="6" t="s">
        <v>25662</v>
      </c>
      <c r="B8854" s="6" t="s">
        <v>19582</v>
      </c>
      <c r="C8854" s="10">
        <v>46037.0</v>
      </c>
      <c r="D8854" s="6" t="s">
        <v>416</v>
      </c>
      <c r="E8854" s="6" t="s">
        <v>475</v>
      </c>
      <c r="F8854" s="6" t="s">
        <v>439</v>
      </c>
      <c r="G8854" s="6" t="s">
        <v>254</v>
      </c>
      <c r="H8854" s="10">
        <v>46042.0</v>
      </c>
      <c r="I8854" s="12">
        <v>14.0</v>
      </c>
      <c r="J8854" s="6" t="s">
        <v>161</v>
      </c>
    </row>
    <row r="8855" ht="22.5" customHeight="1">
      <c r="A8855" s="6" t="s">
        <v>25663</v>
      </c>
      <c r="B8855" s="6" t="s">
        <v>19589</v>
      </c>
      <c r="C8855" s="10">
        <v>46054.0</v>
      </c>
      <c r="D8855" s="6" t="s">
        <v>677</v>
      </c>
      <c r="E8855" s="6" t="s">
        <v>438</v>
      </c>
      <c r="F8855" s="6" t="s">
        <v>283</v>
      </c>
      <c r="G8855" s="6" t="s">
        <v>477</v>
      </c>
      <c r="H8855" s="10">
        <v>46056.0</v>
      </c>
      <c r="I8855" s="12">
        <v>4.0</v>
      </c>
      <c r="J8855" s="6" t="s">
        <v>161</v>
      </c>
    </row>
    <row r="8856" ht="22.5" customHeight="1">
      <c r="A8856" s="6" t="s">
        <v>25664</v>
      </c>
      <c r="B8856" s="6" t="s">
        <v>19589</v>
      </c>
      <c r="C8856" s="10">
        <v>46046.0</v>
      </c>
      <c r="D8856" s="6" t="s">
        <v>416</v>
      </c>
      <c r="E8856" s="6" t="s">
        <v>670</v>
      </c>
      <c r="F8856" s="6" t="s">
        <v>112</v>
      </c>
      <c r="G8856" s="6" t="s">
        <v>369</v>
      </c>
      <c r="H8856" s="11" t="s">
        <v>259</v>
      </c>
      <c r="I8856" s="12">
        <v>11.0</v>
      </c>
      <c r="J8856" s="6" t="s">
        <v>161</v>
      </c>
    </row>
    <row r="8857" ht="22.5" customHeight="1">
      <c r="A8857" s="6" t="s">
        <v>25665</v>
      </c>
      <c r="B8857" s="6" t="s">
        <v>19589</v>
      </c>
      <c r="C8857" s="10">
        <v>46043.0</v>
      </c>
      <c r="D8857" s="6" t="s">
        <v>242</v>
      </c>
      <c r="E8857" s="6" t="s">
        <v>583</v>
      </c>
      <c r="F8857" s="6" t="s">
        <v>249</v>
      </c>
      <c r="G8857" s="6" t="s">
        <v>369</v>
      </c>
      <c r="H8857" s="11" t="s">
        <v>259</v>
      </c>
      <c r="I8857" s="12">
        <v>4.0</v>
      </c>
      <c r="J8857" s="6" t="s">
        <v>178</v>
      </c>
    </row>
    <row r="8858" ht="22.5" customHeight="1">
      <c r="A8858" s="6" t="s">
        <v>25666</v>
      </c>
      <c r="B8858" s="6" t="s">
        <v>19595</v>
      </c>
      <c r="C8858" s="10">
        <v>46045.0</v>
      </c>
      <c r="D8858" s="6" t="s">
        <v>391</v>
      </c>
      <c r="E8858" s="6" t="s">
        <v>475</v>
      </c>
      <c r="F8858" s="6" t="s">
        <v>112</v>
      </c>
      <c r="G8858" s="6" t="s">
        <v>477</v>
      </c>
      <c r="H8858" s="10">
        <v>46051.0</v>
      </c>
      <c r="I8858" s="12">
        <v>11.0</v>
      </c>
      <c r="J8858" s="6" t="s">
        <v>161</v>
      </c>
    </row>
    <row r="8859" ht="22.5" customHeight="1">
      <c r="A8859" s="6" t="s">
        <v>25667</v>
      </c>
      <c r="B8859" s="6" t="s">
        <v>19595</v>
      </c>
      <c r="C8859" s="10">
        <v>46064.0</v>
      </c>
      <c r="D8859" s="6" t="s">
        <v>312</v>
      </c>
      <c r="E8859" s="6" t="s">
        <v>695</v>
      </c>
      <c r="F8859" s="6" t="s">
        <v>112</v>
      </c>
      <c r="G8859" s="6" t="s">
        <v>297</v>
      </c>
      <c r="H8859" s="11" t="s">
        <v>259</v>
      </c>
      <c r="I8859" s="12">
        <v>7.0</v>
      </c>
      <c r="J8859" s="6" t="s">
        <v>161</v>
      </c>
    </row>
    <row r="8860" ht="22.5" customHeight="1">
      <c r="A8860" s="6" t="s">
        <v>25668</v>
      </c>
      <c r="B8860" s="6" t="s">
        <v>19595</v>
      </c>
      <c r="C8860" s="10">
        <v>46056.0</v>
      </c>
      <c r="D8860" s="6" t="s">
        <v>677</v>
      </c>
      <c r="E8860" s="6" t="s">
        <v>2881</v>
      </c>
      <c r="F8860" s="6" t="s">
        <v>439</v>
      </c>
      <c r="G8860" s="6" t="s">
        <v>326</v>
      </c>
      <c r="H8860" s="11" t="s">
        <v>259</v>
      </c>
      <c r="I8860" s="12">
        <v>3.0</v>
      </c>
      <c r="J8860" s="6" t="s">
        <v>161</v>
      </c>
    </row>
    <row r="8861" ht="22.5" customHeight="1">
      <c r="A8861" s="6" t="s">
        <v>25669</v>
      </c>
      <c r="B8861" s="6" t="s">
        <v>19595</v>
      </c>
      <c r="C8861" s="10">
        <v>46046.0</v>
      </c>
      <c r="D8861" s="6" t="s">
        <v>391</v>
      </c>
      <c r="E8861" s="6" t="s">
        <v>365</v>
      </c>
      <c r="F8861" s="6" t="s">
        <v>439</v>
      </c>
      <c r="G8861" s="6" t="s">
        <v>452</v>
      </c>
      <c r="H8861" s="10">
        <v>46050.0</v>
      </c>
      <c r="I8861" s="12">
        <v>8.0</v>
      </c>
      <c r="J8861" s="6" t="s">
        <v>161</v>
      </c>
    </row>
    <row r="8862" ht="22.5" customHeight="1">
      <c r="A8862" s="6" t="s">
        <v>25670</v>
      </c>
      <c r="B8862" s="6" t="s">
        <v>19595</v>
      </c>
      <c r="C8862" s="10">
        <v>46062.0</v>
      </c>
      <c r="D8862" s="6" t="s">
        <v>677</v>
      </c>
      <c r="E8862" s="6" t="s">
        <v>1035</v>
      </c>
      <c r="F8862" s="6" t="s">
        <v>439</v>
      </c>
      <c r="G8862" s="6" t="s">
        <v>477</v>
      </c>
      <c r="H8862" s="10">
        <v>46063.0</v>
      </c>
      <c r="I8862" s="12">
        <v>3.0</v>
      </c>
      <c r="J8862" s="6" t="s">
        <v>161</v>
      </c>
    </row>
    <row r="8863" ht="22.5" customHeight="1">
      <c r="A8863" s="6" t="s">
        <v>25671</v>
      </c>
      <c r="B8863" s="6" t="s">
        <v>19601</v>
      </c>
      <c r="C8863" s="10">
        <v>46037.0</v>
      </c>
      <c r="D8863" s="6" t="s">
        <v>416</v>
      </c>
      <c r="E8863" s="6" t="s">
        <v>475</v>
      </c>
      <c r="F8863" s="6" t="s">
        <v>112</v>
      </c>
      <c r="G8863" s="6" t="s">
        <v>326</v>
      </c>
      <c r="H8863" s="10">
        <v>46043.0</v>
      </c>
      <c r="I8863" s="12">
        <v>12.0</v>
      </c>
      <c r="J8863" s="6" t="s">
        <v>161</v>
      </c>
    </row>
    <row r="8864" ht="22.5" customHeight="1">
      <c r="A8864" s="6" t="s">
        <v>25672</v>
      </c>
      <c r="B8864" s="6" t="s">
        <v>19601</v>
      </c>
      <c r="C8864" s="10">
        <v>46032.0</v>
      </c>
      <c r="D8864" s="6" t="s">
        <v>391</v>
      </c>
      <c r="E8864" s="6" t="s">
        <v>1070</v>
      </c>
      <c r="F8864" s="6" t="s">
        <v>283</v>
      </c>
      <c r="G8864" s="6" t="s">
        <v>458</v>
      </c>
      <c r="H8864" s="10">
        <v>46039.0</v>
      </c>
      <c r="I8864" s="12">
        <v>6.0</v>
      </c>
      <c r="J8864" s="6" t="s">
        <v>161</v>
      </c>
    </row>
    <row r="8865" ht="22.5" customHeight="1">
      <c r="A8865" s="6" t="s">
        <v>25673</v>
      </c>
      <c r="B8865" s="6" t="s">
        <v>19608</v>
      </c>
      <c r="C8865" s="10">
        <v>46041.0</v>
      </c>
      <c r="D8865" s="6" t="s">
        <v>289</v>
      </c>
      <c r="E8865" s="6" t="s">
        <v>2365</v>
      </c>
      <c r="F8865" s="6" t="s">
        <v>283</v>
      </c>
      <c r="G8865" s="6" t="s">
        <v>458</v>
      </c>
      <c r="H8865" s="10">
        <v>46048.0</v>
      </c>
      <c r="I8865" s="12">
        <v>10.0</v>
      </c>
      <c r="J8865" s="6" t="s">
        <v>161</v>
      </c>
    </row>
    <row r="8866" ht="22.5" customHeight="1">
      <c r="A8866" s="6" t="s">
        <v>25674</v>
      </c>
      <c r="B8866" s="6" t="s">
        <v>19608</v>
      </c>
      <c r="C8866" s="10">
        <v>46033.0</v>
      </c>
      <c r="D8866" s="6" t="s">
        <v>242</v>
      </c>
      <c r="E8866" s="6" t="s">
        <v>583</v>
      </c>
      <c r="F8866" s="6" t="s">
        <v>249</v>
      </c>
      <c r="G8866" s="6" t="s">
        <v>326</v>
      </c>
      <c r="H8866" s="10">
        <v>46035.0</v>
      </c>
      <c r="I8866" s="12">
        <v>3.0</v>
      </c>
      <c r="J8866" s="6" t="s">
        <v>161</v>
      </c>
    </row>
    <row r="8867" ht="22.5" customHeight="1">
      <c r="A8867" s="6" t="s">
        <v>25675</v>
      </c>
      <c r="B8867" s="6" t="s">
        <v>19608</v>
      </c>
      <c r="C8867" s="10">
        <v>46044.0</v>
      </c>
      <c r="D8867" s="6" t="s">
        <v>391</v>
      </c>
      <c r="E8867" s="6" t="s">
        <v>670</v>
      </c>
      <c r="F8867" s="6" t="s">
        <v>439</v>
      </c>
      <c r="G8867" s="6" t="s">
        <v>326</v>
      </c>
      <c r="H8867" s="10">
        <v>46050.0</v>
      </c>
      <c r="I8867" s="12">
        <v>8.0</v>
      </c>
      <c r="J8867" s="6" t="s">
        <v>161</v>
      </c>
    </row>
    <row r="8868" ht="22.5" customHeight="1">
      <c r="A8868" s="6" t="s">
        <v>25676</v>
      </c>
      <c r="B8868" s="6" t="s">
        <v>19608</v>
      </c>
      <c r="C8868" s="10">
        <v>46042.0</v>
      </c>
      <c r="D8868" s="6" t="s">
        <v>391</v>
      </c>
      <c r="E8868" s="6" t="s">
        <v>1122</v>
      </c>
      <c r="F8868" s="6" t="s">
        <v>283</v>
      </c>
      <c r="G8868" s="6" t="s">
        <v>477</v>
      </c>
      <c r="H8868" s="10">
        <v>46049.0</v>
      </c>
      <c r="I8868" s="12">
        <v>9.0</v>
      </c>
      <c r="J8868" s="6" t="s">
        <v>161</v>
      </c>
    </row>
    <row r="8869" ht="22.5" customHeight="1">
      <c r="A8869" s="6" t="s">
        <v>25677</v>
      </c>
      <c r="B8869" s="6" t="s">
        <v>19614</v>
      </c>
      <c r="C8869" s="10">
        <v>46054.0</v>
      </c>
      <c r="D8869" s="6" t="s">
        <v>436</v>
      </c>
      <c r="E8869" s="6" t="s">
        <v>1626</v>
      </c>
      <c r="F8869" s="6" t="s">
        <v>439</v>
      </c>
      <c r="G8869" s="6" t="s">
        <v>369</v>
      </c>
      <c r="H8869" s="10">
        <v>46054.0</v>
      </c>
      <c r="I8869" s="12">
        <v>10.0</v>
      </c>
      <c r="J8869" s="6" t="s">
        <v>178</v>
      </c>
    </row>
    <row r="8870" ht="22.5" customHeight="1">
      <c r="A8870" s="6" t="s">
        <v>25678</v>
      </c>
      <c r="B8870" s="6" t="s">
        <v>19614</v>
      </c>
      <c r="C8870" s="10">
        <v>46059.0</v>
      </c>
      <c r="D8870" s="6" t="s">
        <v>312</v>
      </c>
      <c r="E8870" s="6" t="s">
        <v>610</v>
      </c>
      <c r="F8870" s="6" t="s">
        <v>283</v>
      </c>
      <c r="G8870" s="6" t="s">
        <v>477</v>
      </c>
      <c r="H8870" s="10">
        <v>46061.0</v>
      </c>
      <c r="I8870" s="12">
        <v>5.0</v>
      </c>
      <c r="J8870" s="6" t="s">
        <v>161</v>
      </c>
    </row>
    <row r="8871" ht="22.5" customHeight="1">
      <c r="A8871" s="6" t="s">
        <v>25679</v>
      </c>
      <c r="B8871" s="6" t="s">
        <v>19614</v>
      </c>
      <c r="C8871" s="10">
        <v>46059.0</v>
      </c>
      <c r="D8871" s="6" t="s">
        <v>242</v>
      </c>
      <c r="E8871" s="6" t="s">
        <v>1055</v>
      </c>
      <c r="F8871" s="6" t="s">
        <v>112</v>
      </c>
      <c r="G8871" s="6" t="s">
        <v>477</v>
      </c>
      <c r="H8871" s="11" t="s">
        <v>259</v>
      </c>
      <c r="I8871" s="12">
        <v>5.0</v>
      </c>
      <c r="J8871" s="6" t="s">
        <v>161</v>
      </c>
    </row>
    <row r="8872" ht="22.5" customHeight="1">
      <c r="A8872" s="6" t="s">
        <v>25680</v>
      </c>
      <c r="B8872" s="6" t="s">
        <v>19614</v>
      </c>
      <c r="C8872" s="10">
        <v>46045.0</v>
      </c>
      <c r="D8872" s="6" t="s">
        <v>391</v>
      </c>
      <c r="E8872" s="6" t="s">
        <v>583</v>
      </c>
      <c r="F8872" s="6" t="s">
        <v>283</v>
      </c>
      <c r="G8872" s="6" t="s">
        <v>326</v>
      </c>
      <c r="H8872" s="10">
        <v>46049.0</v>
      </c>
      <c r="I8872" s="12">
        <v>6.0</v>
      </c>
      <c r="J8872" s="6" t="s">
        <v>161</v>
      </c>
    </row>
    <row r="8873" ht="22.5" customHeight="1">
      <c r="A8873" s="6" t="s">
        <v>25681</v>
      </c>
      <c r="B8873" s="6" t="s">
        <v>19621</v>
      </c>
      <c r="C8873" s="10">
        <v>46078.0</v>
      </c>
      <c r="D8873" s="6" t="s">
        <v>289</v>
      </c>
      <c r="E8873" s="6" t="s">
        <v>1570</v>
      </c>
      <c r="F8873" s="6" t="s">
        <v>283</v>
      </c>
      <c r="G8873" s="6" t="s">
        <v>494</v>
      </c>
      <c r="H8873" s="10">
        <v>46083.0</v>
      </c>
      <c r="I8873" s="12">
        <v>9.0</v>
      </c>
      <c r="J8873" s="6" t="s">
        <v>161</v>
      </c>
    </row>
    <row r="8874" ht="22.5" customHeight="1">
      <c r="A8874" s="6" t="s">
        <v>25682</v>
      </c>
      <c r="B8874" s="6" t="s">
        <v>19621</v>
      </c>
      <c r="C8874" s="10">
        <v>46066.0</v>
      </c>
      <c r="D8874" s="6" t="s">
        <v>312</v>
      </c>
      <c r="E8874" s="6" t="s">
        <v>475</v>
      </c>
      <c r="F8874" s="6" t="s">
        <v>112</v>
      </c>
      <c r="G8874" s="6" t="s">
        <v>369</v>
      </c>
      <c r="H8874" s="10">
        <v>46066.0</v>
      </c>
      <c r="I8874" s="12">
        <v>6.0</v>
      </c>
      <c r="J8874" s="6" t="s">
        <v>161</v>
      </c>
    </row>
    <row r="8875" ht="22.5" customHeight="1">
      <c r="A8875" s="6" t="s">
        <v>25683</v>
      </c>
      <c r="B8875" s="6" t="s">
        <v>19627</v>
      </c>
      <c r="C8875" s="10">
        <v>46070.0</v>
      </c>
      <c r="D8875" s="6" t="s">
        <v>242</v>
      </c>
      <c r="E8875" s="6" t="s">
        <v>812</v>
      </c>
      <c r="F8875" s="6" t="s">
        <v>112</v>
      </c>
      <c r="G8875" s="6" t="s">
        <v>477</v>
      </c>
      <c r="H8875" s="10">
        <v>46071.0</v>
      </c>
      <c r="I8875" s="12">
        <v>5.0</v>
      </c>
      <c r="J8875" s="6" t="s">
        <v>161</v>
      </c>
    </row>
    <row r="8876" ht="22.5" customHeight="1">
      <c r="A8876" s="6" t="s">
        <v>25684</v>
      </c>
      <c r="B8876" s="6" t="s">
        <v>19627</v>
      </c>
      <c r="C8876" s="10">
        <v>46078.0</v>
      </c>
      <c r="D8876" s="6" t="s">
        <v>416</v>
      </c>
      <c r="E8876" s="6" t="s">
        <v>863</v>
      </c>
      <c r="F8876" s="6" t="s">
        <v>439</v>
      </c>
      <c r="G8876" s="6" t="s">
        <v>458</v>
      </c>
      <c r="H8876" s="10">
        <v>46083.0</v>
      </c>
      <c r="I8876" s="12">
        <v>12.0</v>
      </c>
      <c r="J8876" s="6" t="s">
        <v>161</v>
      </c>
    </row>
    <row r="8877" ht="22.5" customHeight="1">
      <c r="A8877" s="6" t="s">
        <v>25685</v>
      </c>
      <c r="B8877" s="6" t="s">
        <v>19634</v>
      </c>
      <c r="C8877" s="10">
        <v>46069.0</v>
      </c>
      <c r="D8877" s="6" t="s">
        <v>242</v>
      </c>
      <c r="E8877" s="6" t="s">
        <v>731</v>
      </c>
      <c r="F8877" s="6" t="s">
        <v>439</v>
      </c>
      <c r="G8877" s="6" t="s">
        <v>494</v>
      </c>
      <c r="H8877" s="10">
        <v>46074.0</v>
      </c>
      <c r="I8877" s="12">
        <v>6.0</v>
      </c>
      <c r="J8877" s="6" t="s">
        <v>178</v>
      </c>
    </row>
    <row r="8878" ht="22.5" customHeight="1">
      <c r="A8878" s="6" t="s">
        <v>25686</v>
      </c>
      <c r="B8878" s="6" t="s">
        <v>19634</v>
      </c>
      <c r="C8878" s="10">
        <v>46060.0</v>
      </c>
      <c r="D8878" s="6" t="s">
        <v>242</v>
      </c>
      <c r="E8878" s="6" t="s">
        <v>1626</v>
      </c>
      <c r="F8878" s="6" t="s">
        <v>283</v>
      </c>
      <c r="G8878" s="6" t="s">
        <v>254</v>
      </c>
      <c r="H8878" s="10">
        <v>46064.0</v>
      </c>
      <c r="I8878" s="12">
        <v>3.0</v>
      </c>
      <c r="J8878" s="6" t="s">
        <v>161</v>
      </c>
    </row>
    <row r="8879" ht="22.5" customHeight="1">
      <c r="A8879" s="6" t="s">
        <v>25687</v>
      </c>
      <c r="B8879" s="6" t="s">
        <v>19634</v>
      </c>
      <c r="C8879" s="10">
        <v>46063.0</v>
      </c>
      <c r="D8879" s="6" t="s">
        <v>289</v>
      </c>
      <c r="E8879" s="6" t="s">
        <v>628</v>
      </c>
      <c r="F8879" s="6" t="s">
        <v>112</v>
      </c>
      <c r="G8879" s="6" t="s">
        <v>254</v>
      </c>
      <c r="H8879" s="10">
        <v>46068.0</v>
      </c>
      <c r="I8879" s="12">
        <v>7.0</v>
      </c>
      <c r="J8879" s="6" t="s">
        <v>161</v>
      </c>
    </row>
    <row r="8880" ht="22.5" customHeight="1">
      <c r="A8880" s="6" t="s">
        <v>25688</v>
      </c>
      <c r="B8880" s="6" t="s">
        <v>19634</v>
      </c>
      <c r="C8880" s="10">
        <v>46053.0</v>
      </c>
      <c r="D8880" s="6" t="s">
        <v>677</v>
      </c>
      <c r="E8880" s="6" t="s">
        <v>1700</v>
      </c>
      <c r="F8880" s="6" t="s">
        <v>249</v>
      </c>
      <c r="G8880" s="6" t="s">
        <v>494</v>
      </c>
      <c r="H8880" s="10">
        <v>46055.0</v>
      </c>
      <c r="I8880" s="12">
        <v>3.0</v>
      </c>
      <c r="J8880" s="6" t="s">
        <v>161</v>
      </c>
    </row>
    <row r="8881" ht="22.5" customHeight="1">
      <c r="A8881" s="6" t="s">
        <v>25689</v>
      </c>
      <c r="B8881" s="6" t="s">
        <v>19634</v>
      </c>
      <c r="C8881" s="10">
        <v>46063.0</v>
      </c>
      <c r="D8881" s="6" t="s">
        <v>436</v>
      </c>
      <c r="E8881" s="6" t="s">
        <v>885</v>
      </c>
      <c r="F8881" s="6" t="s">
        <v>283</v>
      </c>
      <c r="G8881" s="6" t="s">
        <v>254</v>
      </c>
      <c r="H8881" s="10">
        <v>46069.0</v>
      </c>
      <c r="I8881" s="12">
        <v>9.0</v>
      </c>
      <c r="J8881" s="6" t="s">
        <v>178</v>
      </c>
    </row>
    <row r="8882" ht="22.5" customHeight="1">
      <c r="A8882" s="6" t="s">
        <v>25690</v>
      </c>
      <c r="B8882" s="6" t="s">
        <v>19641</v>
      </c>
      <c r="C8882" s="10">
        <v>46069.0</v>
      </c>
      <c r="D8882" s="6" t="s">
        <v>289</v>
      </c>
      <c r="E8882" s="6" t="s">
        <v>833</v>
      </c>
      <c r="F8882" s="6" t="s">
        <v>283</v>
      </c>
      <c r="G8882" s="6" t="s">
        <v>254</v>
      </c>
      <c r="H8882" s="10">
        <v>46074.0</v>
      </c>
      <c r="I8882" s="12">
        <v>5.0</v>
      </c>
      <c r="J8882" s="6" t="s">
        <v>161</v>
      </c>
    </row>
    <row r="8883" ht="22.5" customHeight="1">
      <c r="A8883" s="6" t="s">
        <v>25691</v>
      </c>
      <c r="B8883" s="6" t="s">
        <v>19641</v>
      </c>
      <c r="C8883" s="10">
        <v>46061.0</v>
      </c>
      <c r="D8883" s="6" t="s">
        <v>312</v>
      </c>
      <c r="E8883" s="6" t="s">
        <v>2365</v>
      </c>
      <c r="F8883" s="6" t="s">
        <v>112</v>
      </c>
      <c r="G8883" s="6" t="s">
        <v>369</v>
      </c>
      <c r="H8883" s="10">
        <v>46065.0</v>
      </c>
      <c r="I8883" s="12">
        <v>5.0</v>
      </c>
      <c r="J8883" s="6" t="s">
        <v>161</v>
      </c>
    </row>
    <row r="8884" ht="22.5" customHeight="1">
      <c r="A8884" s="6" t="s">
        <v>25692</v>
      </c>
      <c r="B8884" s="6" t="s">
        <v>19641</v>
      </c>
      <c r="C8884" s="10">
        <v>46063.0</v>
      </c>
      <c r="D8884" s="6" t="s">
        <v>242</v>
      </c>
      <c r="E8884" s="6" t="s">
        <v>1741</v>
      </c>
      <c r="F8884" s="6" t="s">
        <v>283</v>
      </c>
      <c r="G8884" s="6" t="s">
        <v>254</v>
      </c>
      <c r="H8884" s="10">
        <v>46069.0</v>
      </c>
      <c r="I8884" s="12">
        <v>3.0</v>
      </c>
      <c r="J8884" s="6" t="s">
        <v>178</v>
      </c>
    </row>
    <row r="8885" ht="22.5" customHeight="1">
      <c r="A8885" s="6" t="s">
        <v>25693</v>
      </c>
      <c r="B8885" s="6" t="s">
        <v>19641</v>
      </c>
      <c r="C8885" s="10">
        <v>46060.0</v>
      </c>
      <c r="D8885" s="6" t="s">
        <v>677</v>
      </c>
      <c r="E8885" s="6" t="s">
        <v>1055</v>
      </c>
      <c r="F8885" s="6" t="s">
        <v>439</v>
      </c>
      <c r="G8885" s="6" t="s">
        <v>494</v>
      </c>
      <c r="H8885" s="11" t="s">
        <v>259</v>
      </c>
      <c r="I8885" s="12">
        <v>3.0</v>
      </c>
      <c r="J8885" s="6" t="s">
        <v>161</v>
      </c>
    </row>
    <row r="8886" ht="22.5" customHeight="1">
      <c r="A8886" s="6" t="s">
        <v>25694</v>
      </c>
      <c r="B8886" s="6" t="s">
        <v>19641</v>
      </c>
      <c r="C8886" s="10">
        <v>46062.0</v>
      </c>
      <c r="D8886" s="6" t="s">
        <v>416</v>
      </c>
      <c r="E8886" s="6" t="s">
        <v>1241</v>
      </c>
      <c r="F8886" s="6" t="s">
        <v>283</v>
      </c>
      <c r="G8886" s="6" t="s">
        <v>452</v>
      </c>
      <c r="H8886" s="10">
        <v>46065.0</v>
      </c>
      <c r="I8886" s="12">
        <v>9.0</v>
      </c>
      <c r="J8886" s="6" t="s">
        <v>161</v>
      </c>
    </row>
    <row r="8887" ht="22.5" customHeight="1">
      <c r="A8887" s="6" t="s">
        <v>25695</v>
      </c>
      <c r="B8887" s="6" t="s">
        <v>19648</v>
      </c>
      <c r="C8887" s="10">
        <v>46052.0</v>
      </c>
      <c r="D8887" s="6" t="s">
        <v>289</v>
      </c>
      <c r="E8887" s="6" t="s">
        <v>246</v>
      </c>
      <c r="F8887" s="6" t="s">
        <v>439</v>
      </c>
      <c r="G8887" s="6" t="s">
        <v>452</v>
      </c>
      <c r="H8887" s="10">
        <v>46053.0</v>
      </c>
      <c r="I8887" s="12">
        <v>9.0</v>
      </c>
      <c r="J8887" s="6" t="s">
        <v>161</v>
      </c>
    </row>
    <row r="8888" ht="22.5" customHeight="1">
      <c r="A8888" s="6" t="s">
        <v>25696</v>
      </c>
      <c r="B8888" s="6" t="s">
        <v>19648</v>
      </c>
      <c r="C8888" s="10">
        <v>46046.0</v>
      </c>
      <c r="D8888" s="6" t="s">
        <v>312</v>
      </c>
      <c r="E8888" s="6" t="s">
        <v>1600</v>
      </c>
      <c r="F8888" s="6" t="s">
        <v>283</v>
      </c>
      <c r="G8888" s="6" t="s">
        <v>254</v>
      </c>
      <c r="H8888" s="10">
        <v>46051.0</v>
      </c>
      <c r="I8888" s="12">
        <v>6.0</v>
      </c>
      <c r="J8888" s="6" t="s">
        <v>161</v>
      </c>
    </row>
    <row r="8889" ht="22.5" customHeight="1">
      <c r="A8889" s="6" t="s">
        <v>25697</v>
      </c>
      <c r="B8889" s="6" t="s">
        <v>19648</v>
      </c>
      <c r="C8889" s="10">
        <v>46046.0</v>
      </c>
      <c r="D8889" s="6" t="s">
        <v>391</v>
      </c>
      <c r="E8889" s="6" t="s">
        <v>1149</v>
      </c>
      <c r="F8889" s="6" t="s">
        <v>439</v>
      </c>
      <c r="G8889" s="6" t="s">
        <v>369</v>
      </c>
      <c r="H8889" s="10">
        <v>46051.0</v>
      </c>
      <c r="I8889" s="12">
        <v>8.0</v>
      </c>
      <c r="J8889" s="6" t="s">
        <v>161</v>
      </c>
    </row>
    <row r="8890" ht="22.5" customHeight="1">
      <c r="A8890" s="6" t="s">
        <v>25698</v>
      </c>
      <c r="B8890" s="6" t="s">
        <v>19654</v>
      </c>
      <c r="C8890" s="10">
        <v>46064.0</v>
      </c>
      <c r="D8890" s="6" t="s">
        <v>416</v>
      </c>
      <c r="E8890" s="6" t="s">
        <v>670</v>
      </c>
      <c r="F8890" s="6" t="s">
        <v>112</v>
      </c>
      <c r="G8890" s="6" t="s">
        <v>477</v>
      </c>
      <c r="H8890" s="10">
        <v>46067.0</v>
      </c>
      <c r="I8890" s="12">
        <v>14.0</v>
      </c>
      <c r="J8890" s="6" t="s">
        <v>161</v>
      </c>
    </row>
    <row r="8891" ht="22.5" customHeight="1">
      <c r="A8891" s="6" t="s">
        <v>25699</v>
      </c>
      <c r="B8891" s="6" t="s">
        <v>19654</v>
      </c>
      <c r="C8891" s="10">
        <v>46072.0</v>
      </c>
      <c r="D8891" s="6" t="s">
        <v>436</v>
      </c>
      <c r="E8891" s="6" t="s">
        <v>775</v>
      </c>
      <c r="F8891" s="6" t="s">
        <v>249</v>
      </c>
      <c r="G8891" s="6" t="s">
        <v>477</v>
      </c>
      <c r="H8891" s="10">
        <v>46077.0</v>
      </c>
      <c r="I8891" s="12">
        <v>7.0</v>
      </c>
      <c r="J8891" s="6" t="s">
        <v>178</v>
      </c>
    </row>
    <row r="8892" ht="22.5" customHeight="1">
      <c r="A8892" s="6" t="s">
        <v>25700</v>
      </c>
      <c r="B8892" s="6" t="s">
        <v>19654</v>
      </c>
      <c r="C8892" s="10">
        <v>46071.0</v>
      </c>
      <c r="D8892" s="6" t="s">
        <v>289</v>
      </c>
      <c r="E8892" s="6" t="s">
        <v>320</v>
      </c>
      <c r="F8892" s="6" t="s">
        <v>249</v>
      </c>
      <c r="G8892" s="6" t="s">
        <v>477</v>
      </c>
      <c r="H8892" s="10">
        <v>46072.0</v>
      </c>
      <c r="I8892" s="12">
        <v>6.0</v>
      </c>
      <c r="J8892" s="6" t="s">
        <v>161</v>
      </c>
    </row>
    <row r="8893" ht="22.5" customHeight="1">
      <c r="A8893" s="6" t="s">
        <v>25701</v>
      </c>
      <c r="B8893" s="6" t="s">
        <v>19654</v>
      </c>
      <c r="C8893" s="10">
        <v>46064.0</v>
      </c>
      <c r="D8893" s="6" t="s">
        <v>677</v>
      </c>
      <c r="E8893" s="6" t="s">
        <v>695</v>
      </c>
      <c r="F8893" s="6" t="s">
        <v>439</v>
      </c>
      <c r="G8893" s="6" t="s">
        <v>369</v>
      </c>
      <c r="H8893" s="10">
        <v>46064.0</v>
      </c>
      <c r="I8893" s="12">
        <v>4.0</v>
      </c>
      <c r="J8893" s="6" t="s">
        <v>161</v>
      </c>
    </row>
    <row r="8894" ht="22.5" customHeight="1">
      <c r="A8894" s="6" t="s">
        <v>25702</v>
      </c>
      <c r="B8894" s="6" t="s">
        <v>19661</v>
      </c>
      <c r="C8894" s="10">
        <v>46069.0</v>
      </c>
      <c r="D8894" s="6" t="s">
        <v>391</v>
      </c>
      <c r="E8894" s="6" t="s">
        <v>618</v>
      </c>
      <c r="F8894" s="6" t="s">
        <v>283</v>
      </c>
      <c r="G8894" s="6" t="s">
        <v>494</v>
      </c>
      <c r="H8894" s="10">
        <v>46073.0</v>
      </c>
      <c r="I8894" s="12">
        <v>11.0</v>
      </c>
      <c r="J8894" s="6" t="s">
        <v>161</v>
      </c>
    </row>
    <row r="8895" ht="22.5" customHeight="1">
      <c r="A8895" s="6" t="s">
        <v>25703</v>
      </c>
      <c r="B8895" s="6" t="s">
        <v>19661</v>
      </c>
      <c r="C8895" s="10">
        <v>46062.0</v>
      </c>
      <c r="D8895" s="6" t="s">
        <v>391</v>
      </c>
      <c r="E8895" s="6" t="s">
        <v>610</v>
      </c>
      <c r="F8895" s="6" t="s">
        <v>112</v>
      </c>
      <c r="G8895" s="6" t="s">
        <v>326</v>
      </c>
      <c r="H8895" s="10">
        <v>46063.0</v>
      </c>
      <c r="I8895" s="12">
        <v>11.0</v>
      </c>
      <c r="J8895" s="6" t="s">
        <v>161</v>
      </c>
    </row>
    <row r="8896" ht="22.5" customHeight="1">
      <c r="A8896" s="6" t="s">
        <v>25704</v>
      </c>
      <c r="B8896" s="6" t="s">
        <v>19661</v>
      </c>
      <c r="C8896" s="10">
        <v>46058.0</v>
      </c>
      <c r="D8896" s="6" t="s">
        <v>289</v>
      </c>
      <c r="E8896" s="6" t="s">
        <v>1626</v>
      </c>
      <c r="F8896" s="6" t="s">
        <v>283</v>
      </c>
      <c r="G8896" s="6" t="s">
        <v>369</v>
      </c>
      <c r="H8896" s="10">
        <v>46062.0</v>
      </c>
      <c r="I8896" s="12">
        <v>5.0</v>
      </c>
      <c r="J8896" s="6" t="s">
        <v>161</v>
      </c>
    </row>
    <row r="8897" ht="22.5" customHeight="1">
      <c r="A8897" s="6" t="s">
        <v>25705</v>
      </c>
      <c r="B8897" s="6" t="s">
        <v>19661</v>
      </c>
      <c r="C8897" s="10">
        <v>46071.0</v>
      </c>
      <c r="D8897" s="6" t="s">
        <v>391</v>
      </c>
      <c r="E8897" s="6" t="s">
        <v>812</v>
      </c>
      <c r="F8897" s="6" t="s">
        <v>283</v>
      </c>
      <c r="G8897" s="6" t="s">
        <v>369</v>
      </c>
      <c r="H8897" s="10">
        <v>46077.0</v>
      </c>
      <c r="I8897" s="12">
        <v>8.0</v>
      </c>
      <c r="J8897" s="6" t="s">
        <v>161</v>
      </c>
    </row>
    <row r="8898" ht="22.5" customHeight="1">
      <c r="A8898" s="6" t="s">
        <v>25706</v>
      </c>
      <c r="B8898" s="6" t="s">
        <v>19668</v>
      </c>
      <c r="C8898" s="10">
        <v>46073.0</v>
      </c>
      <c r="D8898" s="6" t="s">
        <v>677</v>
      </c>
      <c r="E8898" s="6" t="s">
        <v>695</v>
      </c>
      <c r="F8898" s="6" t="s">
        <v>249</v>
      </c>
      <c r="G8898" s="6" t="s">
        <v>297</v>
      </c>
      <c r="H8898" s="10">
        <v>46078.0</v>
      </c>
      <c r="I8898" s="12">
        <v>2.0</v>
      </c>
      <c r="J8898" s="6" t="s">
        <v>161</v>
      </c>
    </row>
    <row r="8899" ht="22.5" customHeight="1">
      <c r="A8899" s="6" t="s">
        <v>25707</v>
      </c>
      <c r="B8899" s="6" t="s">
        <v>19668</v>
      </c>
      <c r="C8899" s="10">
        <v>46075.0</v>
      </c>
      <c r="D8899" s="6" t="s">
        <v>436</v>
      </c>
      <c r="E8899" s="6" t="s">
        <v>566</v>
      </c>
      <c r="F8899" s="6" t="s">
        <v>439</v>
      </c>
      <c r="G8899" s="6" t="s">
        <v>369</v>
      </c>
      <c r="H8899" s="10">
        <v>46079.0</v>
      </c>
      <c r="I8899" s="12">
        <v>7.0</v>
      </c>
      <c r="J8899" s="6" t="s">
        <v>161</v>
      </c>
    </row>
    <row r="8900" ht="22.5" customHeight="1">
      <c r="A8900" s="6" t="s">
        <v>25708</v>
      </c>
      <c r="B8900" s="6" t="s">
        <v>19668</v>
      </c>
      <c r="C8900" s="10">
        <v>46077.0</v>
      </c>
      <c r="D8900" s="6" t="s">
        <v>416</v>
      </c>
      <c r="E8900" s="6" t="s">
        <v>863</v>
      </c>
      <c r="F8900" s="6" t="s">
        <v>249</v>
      </c>
      <c r="G8900" s="6" t="s">
        <v>297</v>
      </c>
      <c r="H8900" s="10">
        <v>46079.0</v>
      </c>
      <c r="I8900" s="12">
        <v>11.0</v>
      </c>
      <c r="J8900" s="6" t="s">
        <v>161</v>
      </c>
    </row>
    <row r="8901" ht="22.5" customHeight="1">
      <c r="A8901" s="6" t="s">
        <v>25709</v>
      </c>
      <c r="B8901" s="6" t="s">
        <v>19668</v>
      </c>
      <c r="C8901" s="10">
        <v>46072.0</v>
      </c>
      <c r="D8901" s="6" t="s">
        <v>416</v>
      </c>
      <c r="E8901" s="6" t="s">
        <v>365</v>
      </c>
      <c r="F8901" s="6" t="s">
        <v>283</v>
      </c>
      <c r="G8901" s="6" t="s">
        <v>254</v>
      </c>
      <c r="H8901" s="10">
        <v>46077.0</v>
      </c>
      <c r="I8901" s="12">
        <v>13.0</v>
      </c>
      <c r="J8901" s="6" t="s">
        <v>161</v>
      </c>
    </row>
    <row r="8902" ht="22.5" customHeight="1">
      <c r="A8902" s="6" t="s">
        <v>25710</v>
      </c>
      <c r="B8902" s="6" t="s">
        <v>19668</v>
      </c>
      <c r="C8902" s="10">
        <v>46070.0</v>
      </c>
      <c r="D8902" s="6" t="s">
        <v>436</v>
      </c>
      <c r="E8902" s="6" t="s">
        <v>787</v>
      </c>
      <c r="F8902" s="6" t="s">
        <v>439</v>
      </c>
      <c r="G8902" s="6" t="s">
        <v>477</v>
      </c>
      <c r="H8902" s="11" t="s">
        <v>259</v>
      </c>
      <c r="I8902" s="12">
        <v>12.0</v>
      </c>
      <c r="J8902" s="6" t="s">
        <v>178</v>
      </c>
    </row>
    <row r="8903" ht="22.5" customHeight="1">
      <c r="A8903" s="6" t="s">
        <v>25711</v>
      </c>
      <c r="B8903" s="6" t="s">
        <v>19675</v>
      </c>
      <c r="C8903" s="10">
        <v>46083.0</v>
      </c>
      <c r="D8903" s="6" t="s">
        <v>677</v>
      </c>
      <c r="E8903" s="6" t="s">
        <v>246</v>
      </c>
      <c r="F8903" s="6" t="s">
        <v>439</v>
      </c>
      <c r="G8903" s="6" t="s">
        <v>326</v>
      </c>
      <c r="H8903" s="10">
        <v>46087.0</v>
      </c>
      <c r="I8903" s="12">
        <v>3.0</v>
      </c>
      <c r="J8903" s="6" t="s">
        <v>161</v>
      </c>
    </row>
    <row r="8904" ht="22.5" customHeight="1">
      <c r="A8904" s="6" t="s">
        <v>25712</v>
      </c>
      <c r="B8904" s="6" t="s">
        <v>19675</v>
      </c>
      <c r="C8904" s="10">
        <v>46086.0</v>
      </c>
      <c r="D8904" s="6" t="s">
        <v>312</v>
      </c>
      <c r="E8904" s="6" t="s">
        <v>320</v>
      </c>
      <c r="F8904" s="6" t="s">
        <v>249</v>
      </c>
      <c r="G8904" s="6" t="s">
        <v>477</v>
      </c>
      <c r="H8904" s="10">
        <v>46087.0</v>
      </c>
      <c r="I8904" s="12">
        <v>7.0</v>
      </c>
      <c r="J8904" s="6" t="s">
        <v>161</v>
      </c>
    </row>
    <row r="8905" ht="22.5" customHeight="1">
      <c r="A8905" s="6" t="s">
        <v>25713</v>
      </c>
      <c r="B8905" s="6" t="s">
        <v>19675</v>
      </c>
      <c r="C8905" s="10">
        <v>46082.0</v>
      </c>
      <c r="D8905" s="6" t="s">
        <v>416</v>
      </c>
      <c r="E8905" s="6" t="s">
        <v>618</v>
      </c>
      <c r="F8905" s="6" t="s">
        <v>439</v>
      </c>
      <c r="G8905" s="6" t="s">
        <v>477</v>
      </c>
      <c r="H8905" s="11" t="s">
        <v>259</v>
      </c>
      <c r="I8905" s="12">
        <v>13.0</v>
      </c>
      <c r="J8905" s="6" t="s">
        <v>161</v>
      </c>
    </row>
    <row r="8906" ht="22.5" customHeight="1">
      <c r="A8906" s="6" t="s">
        <v>25714</v>
      </c>
      <c r="B8906" s="6" t="s">
        <v>19675</v>
      </c>
      <c r="C8906" s="10">
        <v>46087.0</v>
      </c>
      <c r="D8906" s="6" t="s">
        <v>436</v>
      </c>
      <c r="E8906" s="6" t="s">
        <v>1055</v>
      </c>
      <c r="F8906" s="6" t="s">
        <v>439</v>
      </c>
      <c r="G8906" s="6" t="s">
        <v>494</v>
      </c>
      <c r="H8906" s="10">
        <v>46094.0</v>
      </c>
      <c r="I8906" s="12">
        <v>11.0</v>
      </c>
      <c r="J8906" s="6" t="s">
        <v>178</v>
      </c>
    </row>
    <row r="8907" ht="22.5" customHeight="1">
      <c r="A8907" s="6" t="s">
        <v>25715</v>
      </c>
      <c r="B8907" s="6" t="s">
        <v>19682</v>
      </c>
      <c r="C8907" s="10">
        <v>46066.0</v>
      </c>
      <c r="D8907" s="6" t="s">
        <v>312</v>
      </c>
      <c r="E8907" s="6" t="s">
        <v>658</v>
      </c>
      <c r="F8907" s="6" t="s">
        <v>112</v>
      </c>
      <c r="G8907" s="6" t="s">
        <v>326</v>
      </c>
      <c r="H8907" s="10">
        <v>46073.0</v>
      </c>
      <c r="I8907" s="12">
        <v>5.0</v>
      </c>
      <c r="J8907" s="6" t="s">
        <v>161</v>
      </c>
    </row>
    <row r="8908" ht="22.5" customHeight="1">
      <c r="A8908" s="6" t="s">
        <v>25716</v>
      </c>
      <c r="B8908" s="6" t="s">
        <v>19682</v>
      </c>
      <c r="C8908" s="10">
        <v>46068.0</v>
      </c>
      <c r="D8908" s="6" t="s">
        <v>677</v>
      </c>
      <c r="E8908" s="6" t="s">
        <v>1517</v>
      </c>
      <c r="F8908" s="6" t="s">
        <v>439</v>
      </c>
      <c r="G8908" s="6" t="s">
        <v>369</v>
      </c>
      <c r="H8908" s="10">
        <v>46075.0</v>
      </c>
      <c r="I8908" s="12">
        <v>2.0</v>
      </c>
      <c r="J8908" s="6" t="s">
        <v>161</v>
      </c>
    </row>
    <row r="8909" ht="22.5" customHeight="1">
      <c r="A8909" s="6" t="s">
        <v>25717</v>
      </c>
      <c r="B8909" s="6" t="s">
        <v>19682</v>
      </c>
      <c r="C8909" s="10">
        <v>46061.0</v>
      </c>
      <c r="D8909" s="6" t="s">
        <v>391</v>
      </c>
      <c r="E8909" s="6" t="s">
        <v>833</v>
      </c>
      <c r="F8909" s="6" t="s">
        <v>283</v>
      </c>
      <c r="G8909" s="6" t="s">
        <v>477</v>
      </c>
      <c r="H8909" s="10">
        <v>46065.0</v>
      </c>
      <c r="I8909" s="12">
        <v>11.0</v>
      </c>
      <c r="J8909" s="6" t="s">
        <v>161</v>
      </c>
    </row>
    <row r="8910" ht="22.5" customHeight="1">
      <c r="A8910" s="6" t="s">
        <v>25718</v>
      </c>
      <c r="B8910" s="6" t="s">
        <v>19690</v>
      </c>
      <c r="C8910" s="10">
        <v>46055.0</v>
      </c>
      <c r="D8910" s="6" t="s">
        <v>391</v>
      </c>
      <c r="E8910" s="6" t="s">
        <v>628</v>
      </c>
      <c r="F8910" s="6" t="s">
        <v>439</v>
      </c>
      <c r="G8910" s="6" t="s">
        <v>452</v>
      </c>
      <c r="H8910" s="10">
        <v>46059.0</v>
      </c>
      <c r="I8910" s="12">
        <v>11.0</v>
      </c>
      <c r="J8910" s="6" t="s">
        <v>161</v>
      </c>
    </row>
    <row r="8911" ht="22.5" customHeight="1">
      <c r="A8911" s="6" t="s">
        <v>25719</v>
      </c>
      <c r="B8911" s="6" t="s">
        <v>19690</v>
      </c>
      <c r="C8911" s="10">
        <v>46054.0</v>
      </c>
      <c r="D8911" s="6" t="s">
        <v>312</v>
      </c>
      <c r="E8911" s="6" t="s">
        <v>1070</v>
      </c>
      <c r="F8911" s="6" t="s">
        <v>439</v>
      </c>
      <c r="G8911" s="6" t="s">
        <v>458</v>
      </c>
      <c r="H8911" s="10">
        <v>46059.0</v>
      </c>
      <c r="I8911" s="12">
        <v>5.0</v>
      </c>
      <c r="J8911" s="6" t="s">
        <v>161</v>
      </c>
    </row>
    <row r="8912" ht="22.5" customHeight="1">
      <c r="A8912" s="6" t="s">
        <v>25720</v>
      </c>
      <c r="B8912" s="6" t="s">
        <v>19690</v>
      </c>
      <c r="C8912" s="10">
        <v>46042.0</v>
      </c>
      <c r="D8912" s="6" t="s">
        <v>289</v>
      </c>
      <c r="E8912" s="6" t="s">
        <v>798</v>
      </c>
      <c r="F8912" s="6" t="s">
        <v>112</v>
      </c>
      <c r="G8912" s="6" t="s">
        <v>452</v>
      </c>
      <c r="H8912" s="10">
        <v>46049.0</v>
      </c>
      <c r="I8912" s="12">
        <v>5.0</v>
      </c>
      <c r="J8912" s="6" t="s">
        <v>161</v>
      </c>
    </row>
    <row r="8913" ht="22.5" customHeight="1">
      <c r="A8913" s="6" t="s">
        <v>25721</v>
      </c>
      <c r="B8913" s="6" t="s">
        <v>19690</v>
      </c>
      <c r="C8913" s="10">
        <v>46050.0</v>
      </c>
      <c r="D8913" s="6" t="s">
        <v>436</v>
      </c>
      <c r="E8913" s="6" t="s">
        <v>885</v>
      </c>
      <c r="F8913" s="6" t="s">
        <v>283</v>
      </c>
      <c r="G8913" s="6" t="s">
        <v>477</v>
      </c>
      <c r="H8913" s="10">
        <v>46054.0</v>
      </c>
      <c r="I8913" s="12">
        <v>7.0</v>
      </c>
      <c r="J8913" s="6" t="s">
        <v>161</v>
      </c>
    </row>
    <row r="8914" ht="22.5" customHeight="1">
      <c r="A8914" s="6" t="s">
        <v>25722</v>
      </c>
      <c r="B8914" s="6" t="s">
        <v>19696</v>
      </c>
      <c r="C8914" s="10">
        <v>46032.0</v>
      </c>
      <c r="D8914" s="6" t="s">
        <v>391</v>
      </c>
      <c r="E8914" s="6" t="s">
        <v>1055</v>
      </c>
      <c r="F8914" s="6" t="s">
        <v>283</v>
      </c>
      <c r="G8914" s="6" t="s">
        <v>452</v>
      </c>
      <c r="H8914" s="10">
        <v>46033.0</v>
      </c>
      <c r="I8914" s="12">
        <v>6.0</v>
      </c>
      <c r="J8914" s="6" t="s">
        <v>161</v>
      </c>
    </row>
    <row r="8915" ht="22.5" customHeight="1">
      <c r="A8915" s="6" t="s">
        <v>25723</v>
      </c>
      <c r="B8915" s="6" t="s">
        <v>19696</v>
      </c>
      <c r="C8915" s="10">
        <v>46042.0</v>
      </c>
      <c r="D8915" s="6" t="s">
        <v>289</v>
      </c>
      <c r="E8915" s="6" t="s">
        <v>628</v>
      </c>
      <c r="F8915" s="6" t="s">
        <v>283</v>
      </c>
      <c r="G8915" s="6" t="s">
        <v>477</v>
      </c>
      <c r="H8915" s="10">
        <v>46046.0</v>
      </c>
      <c r="I8915" s="12">
        <v>7.0</v>
      </c>
      <c r="J8915" s="6" t="s">
        <v>161</v>
      </c>
    </row>
    <row r="8916" ht="22.5" customHeight="1">
      <c r="A8916" s="6" t="s">
        <v>25724</v>
      </c>
      <c r="B8916" s="6" t="s">
        <v>19696</v>
      </c>
      <c r="C8916" s="10">
        <v>46033.0</v>
      </c>
      <c r="D8916" s="6" t="s">
        <v>436</v>
      </c>
      <c r="E8916" s="6" t="s">
        <v>1149</v>
      </c>
      <c r="F8916" s="6" t="s">
        <v>249</v>
      </c>
      <c r="G8916" s="6" t="s">
        <v>326</v>
      </c>
      <c r="H8916" s="10">
        <v>46038.0</v>
      </c>
      <c r="I8916" s="12">
        <v>12.0</v>
      </c>
      <c r="J8916" s="6" t="s">
        <v>178</v>
      </c>
    </row>
    <row r="8917" ht="22.5" customHeight="1">
      <c r="A8917" s="6" t="s">
        <v>25725</v>
      </c>
      <c r="B8917" s="6" t="s">
        <v>19696</v>
      </c>
      <c r="C8917" s="10">
        <v>46025.0</v>
      </c>
      <c r="D8917" s="6" t="s">
        <v>312</v>
      </c>
      <c r="E8917" s="6" t="s">
        <v>618</v>
      </c>
      <c r="F8917" s="6" t="s">
        <v>112</v>
      </c>
      <c r="G8917" s="6" t="s">
        <v>477</v>
      </c>
      <c r="H8917" s="10">
        <v>46028.0</v>
      </c>
      <c r="I8917" s="12">
        <v>5.0</v>
      </c>
      <c r="J8917" s="6" t="s">
        <v>161</v>
      </c>
    </row>
    <row r="8918" ht="22.5" customHeight="1">
      <c r="A8918" s="6" t="s">
        <v>25726</v>
      </c>
      <c r="B8918" s="6" t="s">
        <v>19696</v>
      </c>
      <c r="C8918" s="10">
        <v>46039.0</v>
      </c>
      <c r="D8918" s="6" t="s">
        <v>242</v>
      </c>
      <c r="E8918" s="6" t="s">
        <v>658</v>
      </c>
      <c r="F8918" s="6" t="s">
        <v>283</v>
      </c>
      <c r="G8918" s="6" t="s">
        <v>494</v>
      </c>
      <c r="H8918" s="10">
        <v>46045.0</v>
      </c>
      <c r="I8918" s="12">
        <v>4.0</v>
      </c>
      <c r="J8918" s="6" t="s">
        <v>178</v>
      </c>
    </row>
    <row r="8919" ht="22.5" customHeight="1">
      <c r="A8919" s="6" t="s">
        <v>25727</v>
      </c>
      <c r="B8919" s="6" t="s">
        <v>19702</v>
      </c>
      <c r="C8919" s="10">
        <v>46067.0</v>
      </c>
      <c r="D8919" s="6" t="s">
        <v>436</v>
      </c>
      <c r="E8919" s="6" t="s">
        <v>475</v>
      </c>
      <c r="F8919" s="6" t="s">
        <v>249</v>
      </c>
      <c r="G8919" s="6" t="s">
        <v>254</v>
      </c>
      <c r="H8919" s="10">
        <v>46071.0</v>
      </c>
      <c r="I8919" s="12">
        <v>11.0</v>
      </c>
      <c r="J8919" s="6" t="s">
        <v>161</v>
      </c>
    </row>
    <row r="8920" ht="22.5" customHeight="1">
      <c r="A8920" s="6" t="s">
        <v>25728</v>
      </c>
      <c r="B8920" s="6" t="s">
        <v>19702</v>
      </c>
      <c r="C8920" s="10">
        <v>46065.0</v>
      </c>
      <c r="D8920" s="6" t="s">
        <v>289</v>
      </c>
      <c r="E8920" s="6" t="s">
        <v>955</v>
      </c>
      <c r="F8920" s="6" t="s">
        <v>439</v>
      </c>
      <c r="G8920" s="6" t="s">
        <v>369</v>
      </c>
      <c r="H8920" s="10">
        <v>46070.0</v>
      </c>
      <c r="I8920" s="12">
        <v>6.0</v>
      </c>
      <c r="J8920" s="6" t="s">
        <v>161</v>
      </c>
    </row>
    <row r="8921" ht="22.5" customHeight="1">
      <c r="A8921" s="6" t="s">
        <v>25729</v>
      </c>
      <c r="B8921" s="6" t="s">
        <v>19709</v>
      </c>
      <c r="C8921" s="10">
        <v>46061.0</v>
      </c>
      <c r="D8921" s="6" t="s">
        <v>391</v>
      </c>
      <c r="E8921" s="6" t="s">
        <v>1055</v>
      </c>
      <c r="F8921" s="6" t="s">
        <v>283</v>
      </c>
      <c r="G8921" s="6" t="s">
        <v>452</v>
      </c>
      <c r="H8921" s="10">
        <v>46067.0</v>
      </c>
      <c r="I8921" s="12">
        <v>8.0</v>
      </c>
      <c r="J8921" s="6" t="s">
        <v>161</v>
      </c>
    </row>
    <row r="8922" ht="22.5" customHeight="1">
      <c r="A8922" s="6" t="s">
        <v>25730</v>
      </c>
      <c r="B8922" s="6" t="s">
        <v>19709</v>
      </c>
      <c r="C8922" s="10">
        <v>46075.0</v>
      </c>
      <c r="D8922" s="6" t="s">
        <v>677</v>
      </c>
      <c r="E8922" s="6" t="s">
        <v>658</v>
      </c>
      <c r="F8922" s="6" t="s">
        <v>112</v>
      </c>
      <c r="G8922" s="6" t="s">
        <v>452</v>
      </c>
      <c r="H8922" s="10">
        <v>46078.0</v>
      </c>
      <c r="I8922" s="12">
        <v>4.0</v>
      </c>
      <c r="J8922" s="6" t="s">
        <v>161</v>
      </c>
    </row>
    <row r="8923" ht="22.5" customHeight="1">
      <c r="A8923" s="6" t="s">
        <v>25731</v>
      </c>
      <c r="B8923" s="6" t="s">
        <v>19709</v>
      </c>
      <c r="C8923" s="10">
        <v>46074.0</v>
      </c>
      <c r="D8923" s="6" t="s">
        <v>677</v>
      </c>
      <c r="E8923" s="6" t="s">
        <v>863</v>
      </c>
      <c r="F8923" s="6" t="s">
        <v>439</v>
      </c>
      <c r="G8923" s="6" t="s">
        <v>369</v>
      </c>
      <c r="H8923" s="10">
        <v>46076.0</v>
      </c>
      <c r="I8923" s="12">
        <v>4.0</v>
      </c>
      <c r="J8923" s="6" t="s">
        <v>161</v>
      </c>
    </row>
    <row r="8924" ht="22.5" customHeight="1">
      <c r="A8924" s="6" t="s">
        <v>25732</v>
      </c>
      <c r="B8924" s="6" t="s">
        <v>19709</v>
      </c>
      <c r="C8924" s="10">
        <v>46074.0</v>
      </c>
      <c r="D8924" s="6" t="s">
        <v>242</v>
      </c>
      <c r="E8924" s="6" t="s">
        <v>1102</v>
      </c>
      <c r="F8924" s="6" t="s">
        <v>112</v>
      </c>
      <c r="G8924" s="6" t="s">
        <v>494</v>
      </c>
      <c r="H8924" s="10">
        <v>46074.0</v>
      </c>
      <c r="I8924" s="12">
        <v>3.0</v>
      </c>
      <c r="J8924" s="6" t="s">
        <v>161</v>
      </c>
    </row>
    <row r="8925" ht="22.5" customHeight="1">
      <c r="A8925" s="6" t="s">
        <v>25733</v>
      </c>
      <c r="B8925" s="6" t="s">
        <v>19715</v>
      </c>
      <c r="C8925" s="10">
        <v>46055.0</v>
      </c>
      <c r="D8925" s="6" t="s">
        <v>677</v>
      </c>
      <c r="E8925" s="6" t="s">
        <v>1600</v>
      </c>
      <c r="F8925" s="6" t="s">
        <v>249</v>
      </c>
      <c r="G8925" s="6" t="s">
        <v>477</v>
      </c>
      <c r="H8925" s="10">
        <v>46055.0</v>
      </c>
      <c r="I8925" s="12">
        <v>3.0</v>
      </c>
      <c r="J8925" s="6" t="s">
        <v>161</v>
      </c>
    </row>
    <row r="8926" ht="22.5" customHeight="1">
      <c r="A8926" s="6" t="s">
        <v>25734</v>
      </c>
      <c r="B8926" s="6" t="s">
        <v>19715</v>
      </c>
      <c r="C8926" s="10">
        <v>46047.0</v>
      </c>
      <c r="D8926" s="6" t="s">
        <v>289</v>
      </c>
      <c r="E8926" s="6" t="s">
        <v>687</v>
      </c>
      <c r="F8926" s="6" t="s">
        <v>439</v>
      </c>
      <c r="G8926" s="6" t="s">
        <v>452</v>
      </c>
      <c r="H8926" s="10">
        <v>46054.0</v>
      </c>
      <c r="I8926" s="12">
        <v>7.0</v>
      </c>
      <c r="J8926" s="6" t="s">
        <v>161</v>
      </c>
    </row>
    <row r="8927" ht="22.5" customHeight="1">
      <c r="A8927" s="6" t="s">
        <v>25735</v>
      </c>
      <c r="B8927" s="6" t="s">
        <v>19721</v>
      </c>
      <c r="C8927" s="10">
        <v>46045.0</v>
      </c>
      <c r="D8927" s="6" t="s">
        <v>416</v>
      </c>
      <c r="E8927" s="6" t="s">
        <v>1552</v>
      </c>
      <c r="F8927" s="6" t="s">
        <v>439</v>
      </c>
      <c r="G8927" s="6" t="s">
        <v>452</v>
      </c>
      <c r="H8927" s="10">
        <v>46045.0</v>
      </c>
      <c r="I8927" s="12">
        <v>11.0</v>
      </c>
      <c r="J8927" s="6" t="s">
        <v>161</v>
      </c>
    </row>
    <row r="8928" ht="22.5" customHeight="1">
      <c r="A8928" s="6" t="s">
        <v>25736</v>
      </c>
      <c r="B8928" s="6" t="s">
        <v>19728</v>
      </c>
      <c r="C8928" s="10">
        <v>46047.0</v>
      </c>
      <c r="D8928" s="6" t="s">
        <v>416</v>
      </c>
      <c r="E8928" s="6" t="s">
        <v>812</v>
      </c>
      <c r="F8928" s="6" t="s">
        <v>283</v>
      </c>
      <c r="G8928" s="6" t="s">
        <v>254</v>
      </c>
      <c r="H8928" s="10">
        <v>46052.0</v>
      </c>
      <c r="I8928" s="12">
        <v>10.0</v>
      </c>
      <c r="J8928" s="6" t="s">
        <v>161</v>
      </c>
    </row>
    <row r="8929" ht="22.5" customHeight="1">
      <c r="A8929" s="6" t="s">
        <v>25737</v>
      </c>
      <c r="B8929" s="6" t="s">
        <v>19728</v>
      </c>
      <c r="C8929" s="10">
        <v>46062.0</v>
      </c>
      <c r="D8929" s="6" t="s">
        <v>289</v>
      </c>
      <c r="E8929" s="6" t="s">
        <v>438</v>
      </c>
      <c r="F8929" s="6" t="s">
        <v>112</v>
      </c>
      <c r="G8929" s="6" t="s">
        <v>254</v>
      </c>
      <c r="H8929" s="10">
        <v>46069.0</v>
      </c>
      <c r="I8929" s="12">
        <v>7.0</v>
      </c>
      <c r="J8929" s="6" t="s">
        <v>161</v>
      </c>
    </row>
    <row r="8930" ht="22.5" customHeight="1">
      <c r="A8930" s="6" t="s">
        <v>25738</v>
      </c>
      <c r="B8930" s="6" t="s">
        <v>19735</v>
      </c>
      <c r="C8930" s="10">
        <v>46049.0</v>
      </c>
      <c r="D8930" s="6" t="s">
        <v>312</v>
      </c>
      <c r="E8930" s="6" t="s">
        <v>320</v>
      </c>
      <c r="F8930" s="6" t="s">
        <v>283</v>
      </c>
      <c r="G8930" s="6" t="s">
        <v>452</v>
      </c>
      <c r="H8930" s="10">
        <v>46053.0</v>
      </c>
      <c r="I8930" s="12">
        <v>7.0</v>
      </c>
      <c r="J8930" s="6" t="s">
        <v>161</v>
      </c>
    </row>
    <row r="8931" ht="22.5" customHeight="1">
      <c r="A8931" s="6" t="s">
        <v>25739</v>
      </c>
      <c r="B8931" s="6" t="s">
        <v>19735</v>
      </c>
      <c r="C8931" s="10">
        <v>46056.0</v>
      </c>
      <c r="D8931" s="6" t="s">
        <v>242</v>
      </c>
      <c r="E8931" s="6" t="s">
        <v>1035</v>
      </c>
      <c r="F8931" s="6" t="s">
        <v>112</v>
      </c>
      <c r="G8931" s="6" t="s">
        <v>452</v>
      </c>
      <c r="H8931" s="10">
        <v>46056.0</v>
      </c>
      <c r="I8931" s="12">
        <v>5.0</v>
      </c>
      <c r="J8931" s="6" t="s">
        <v>178</v>
      </c>
    </row>
    <row r="8932" ht="22.5" customHeight="1">
      <c r="A8932" s="6" t="s">
        <v>25740</v>
      </c>
      <c r="B8932" s="6" t="s">
        <v>19735</v>
      </c>
      <c r="C8932" s="10">
        <v>46063.0</v>
      </c>
      <c r="D8932" s="6" t="s">
        <v>436</v>
      </c>
      <c r="E8932" s="6" t="s">
        <v>1122</v>
      </c>
      <c r="F8932" s="6" t="s">
        <v>283</v>
      </c>
      <c r="G8932" s="6" t="s">
        <v>297</v>
      </c>
      <c r="H8932" s="10">
        <v>46066.0</v>
      </c>
      <c r="I8932" s="12">
        <v>12.0</v>
      </c>
      <c r="J8932" s="6" t="s">
        <v>161</v>
      </c>
    </row>
    <row r="8933" ht="22.5" customHeight="1">
      <c r="A8933" s="6" t="s">
        <v>25741</v>
      </c>
      <c r="B8933" s="6" t="s">
        <v>19735</v>
      </c>
      <c r="C8933" s="10">
        <v>46048.0</v>
      </c>
      <c r="D8933" s="6" t="s">
        <v>312</v>
      </c>
      <c r="E8933" s="6" t="s">
        <v>1035</v>
      </c>
      <c r="F8933" s="6" t="s">
        <v>112</v>
      </c>
      <c r="G8933" s="6" t="s">
        <v>326</v>
      </c>
      <c r="H8933" s="10">
        <v>46052.0</v>
      </c>
      <c r="I8933" s="12">
        <v>6.0</v>
      </c>
      <c r="J8933" s="6" t="s">
        <v>161</v>
      </c>
    </row>
    <row r="8934" ht="22.5" customHeight="1">
      <c r="A8934" s="6" t="s">
        <v>25742</v>
      </c>
      <c r="B8934" s="6" t="s">
        <v>19735</v>
      </c>
      <c r="C8934" s="10">
        <v>46044.0</v>
      </c>
      <c r="D8934" s="6" t="s">
        <v>677</v>
      </c>
      <c r="E8934" s="6" t="s">
        <v>1273</v>
      </c>
      <c r="F8934" s="6" t="s">
        <v>249</v>
      </c>
      <c r="G8934" s="6" t="s">
        <v>494</v>
      </c>
      <c r="H8934" s="10">
        <v>46050.0</v>
      </c>
      <c r="I8934" s="12">
        <v>4.0</v>
      </c>
      <c r="J8934" s="6" t="s">
        <v>161</v>
      </c>
    </row>
    <row r="8935" ht="22.5" customHeight="1">
      <c r="A8935" s="6" t="s">
        <v>25743</v>
      </c>
      <c r="B8935" s="6" t="s">
        <v>19742</v>
      </c>
      <c r="C8935" s="10">
        <v>46063.0</v>
      </c>
      <c r="D8935" s="6" t="s">
        <v>436</v>
      </c>
      <c r="E8935" s="6" t="s">
        <v>1546</v>
      </c>
      <c r="F8935" s="6" t="s">
        <v>283</v>
      </c>
      <c r="G8935" s="6" t="s">
        <v>297</v>
      </c>
      <c r="H8935" s="11" t="s">
        <v>259</v>
      </c>
      <c r="I8935" s="12">
        <v>8.0</v>
      </c>
      <c r="J8935" s="6" t="s">
        <v>161</v>
      </c>
    </row>
    <row r="8936" ht="22.5" customHeight="1">
      <c r="A8936" s="6" t="s">
        <v>25744</v>
      </c>
      <c r="B8936" s="6" t="s">
        <v>19742</v>
      </c>
      <c r="C8936" s="10">
        <v>46061.0</v>
      </c>
      <c r="D8936" s="6" t="s">
        <v>289</v>
      </c>
      <c r="E8936" s="6" t="s">
        <v>658</v>
      </c>
      <c r="F8936" s="6" t="s">
        <v>439</v>
      </c>
      <c r="G8936" s="6" t="s">
        <v>452</v>
      </c>
      <c r="H8936" s="10">
        <v>46067.0</v>
      </c>
      <c r="I8936" s="12">
        <v>10.0</v>
      </c>
      <c r="J8936" s="6" t="s">
        <v>161</v>
      </c>
    </row>
    <row r="8937" ht="22.5" customHeight="1">
      <c r="A8937" s="6" t="s">
        <v>25745</v>
      </c>
      <c r="B8937" s="6" t="s">
        <v>19742</v>
      </c>
      <c r="C8937" s="10">
        <v>46067.0</v>
      </c>
      <c r="D8937" s="6" t="s">
        <v>391</v>
      </c>
      <c r="E8937" s="6" t="s">
        <v>695</v>
      </c>
      <c r="F8937" s="6" t="s">
        <v>439</v>
      </c>
      <c r="G8937" s="6" t="s">
        <v>326</v>
      </c>
      <c r="H8937" s="10">
        <v>46069.0</v>
      </c>
      <c r="I8937" s="12">
        <v>8.0</v>
      </c>
      <c r="J8937" s="6" t="s">
        <v>161</v>
      </c>
    </row>
    <row r="8938" ht="22.5" customHeight="1">
      <c r="A8938" s="6" t="s">
        <v>25746</v>
      </c>
      <c r="B8938" s="6" t="s">
        <v>19742</v>
      </c>
      <c r="C8938" s="10">
        <v>46079.0</v>
      </c>
      <c r="D8938" s="6" t="s">
        <v>436</v>
      </c>
      <c r="E8938" s="6" t="s">
        <v>885</v>
      </c>
      <c r="F8938" s="6" t="s">
        <v>439</v>
      </c>
      <c r="G8938" s="6" t="s">
        <v>494</v>
      </c>
      <c r="H8938" s="10">
        <v>46079.0</v>
      </c>
      <c r="I8938" s="12">
        <v>7.0</v>
      </c>
      <c r="J8938" s="6" t="s">
        <v>178</v>
      </c>
    </row>
    <row r="8939" ht="22.5" customHeight="1">
      <c r="A8939" s="6" t="s">
        <v>25747</v>
      </c>
      <c r="B8939" s="6" t="s">
        <v>19749</v>
      </c>
      <c r="C8939" s="10">
        <v>46074.0</v>
      </c>
      <c r="D8939" s="6" t="s">
        <v>242</v>
      </c>
      <c r="E8939" s="6" t="s">
        <v>1969</v>
      </c>
      <c r="F8939" s="6" t="s">
        <v>249</v>
      </c>
      <c r="G8939" s="6" t="s">
        <v>494</v>
      </c>
      <c r="H8939" s="11" t="s">
        <v>259</v>
      </c>
      <c r="I8939" s="12">
        <v>5.0</v>
      </c>
      <c r="J8939" s="6" t="s">
        <v>178</v>
      </c>
    </row>
    <row r="8940" ht="22.5" customHeight="1">
      <c r="A8940" s="6" t="s">
        <v>25748</v>
      </c>
      <c r="B8940" s="6" t="s">
        <v>19755</v>
      </c>
      <c r="C8940" s="10">
        <v>46064.0</v>
      </c>
      <c r="D8940" s="6" t="s">
        <v>436</v>
      </c>
      <c r="E8940" s="6" t="s">
        <v>1280</v>
      </c>
      <c r="F8940" s="6" t="s">
        <v>283</v>
      </c>
      <c r="G8940" s="6" t="s">
        <v>254</v>
      </c>
      <c r="H8940" s="10">
        <v>46071.0</v>
      </c>
      <c r="I8940" s="12">
        <v>10.0</v>
      </c>
      <c r="J8940" s="6" t="s">
        <v>178</v>
      </c>
    </row>
    <row r="8941" ht="22.5" customHeight="1">
      <c r="A8941" s="6" t="s">
        <v>25749</v>
      </c>
      <c r="B8941" s="6" t="s">
        <v>19755</v>
      </c>
      <c r="C8941" s="10">
        <v>46074.0</v>
      </c>
      <c r="D8941" s="6" t="s">
        <v>312</v>
      </c>
      <c r="E8941" s="6" t="s">
        <v>1386</v>
      </c>
      <c r="F8941" s="6" t="s">
        <v>439</v>
      </c>
      <c r="G8941" s="6" t="s">
        <v>458</v>
      </c>
      <c r="H8941" s="10">
        <v>46076.0</v>
      </c>
      <c r="I8941" s="12">
        <v>4.0</v>
      </c>
      <c r="J8941" s="6" t="s">
        <v>161</v>
      </c>
    </row>
    <row r="8942" ht="22.5" customHeight="1">
      <c r="A8942" s="6" t="s">
        <v>25750</v>
      </c>
      <c r="B8942" s="6" t="s">
        <v>19755</v>
      </c>
      <c r="C8942" s="10">
        <v>46076.0</v>
      </c>
      <c r="D8942" s="6" t="s">
        <v>677</v>
      </c>
      <c r="E8942" s="6" t="s">
        <v>1720</v>
      </c>
      <c r="F8942" s="6" t="s">
        <v>249</v>
      </c>
      <c r="G8942" s="6" t="s">
        <v>369</v>
      </c>
      <c r="H8942" s="10">
        <v>46077.0</v>
      </c>
      <c r="I8942" s="12">
        <v>4.0</v>
      </c>
      <c r="J8942" s="6" t="s">
        <v>161</v>
      </c>
    </row>
    <row r="8943" ht="22.5" customHeight="1">
      <c r="A8943" s="6" t="s">
        <v>25751</v>
      </c>
      <c r="B8943" s="6" t="s">
        <v>19755</v>
      </c>
      <c r="C8943" s="10">
        <v>46079.0</v>
      </c>
      <c r="D8943" s="6" t="s">
        <v>436</v>
      </c>
      <c r="E8943" s="6" t="s">
        <v>628</v>
      </c>
      <c r="F8943" s="6" t="s">
        <v>439</v>
      </c>
      <c r="G8943" s="6" t="s">
        <v>494</v>
      </c>
      <c r="H8943" s="10">
        <v>46081.0</v>
      </c>
      <c r="I8943" s="12">
        <v>9.0</v>
      </c>
      <c r="J8943" s="6" t="s">
        <v>178</v>
      </c>
    </row>
    <row r="8944" ht="22.5" customHeight="1">
      <c r="A8944" s="6" t="s">
        <v>25752</v>
      </c>
      <c r="B8944" s="6" t="s">
        <v>19761</v>
      </c>
      <c r="C8944" s="10">
        <v>46073.0</v>
      </c>
      <c r="D8944" s="6" t="s">
        <v>391</v>
      </c>
      <c r="E8944" s="6" t="s">
        <v>955</v>
      </c>
      <c r="F8944" s="6" t="s">
        <v>249</v>
      </c>
      <c r="G8944" s="6" t="s">
        <v>452</v>
      </c>
      <c r="H8944" s="10">
        <v>46078.0</v>
      </c>
      <c r="I8944" s="12">
        <v>11.0</v>
      </c>
      <c r="J8944" s="6" t="s">
        <v>161</v>
      </c>
    </row>
    <row r="8945" ht="22.5" customHeight="1">
      <c r="A8945" s="6" t="s">
        <v>25753</v>
      </c>
      <c r="B8945" s="6" t="s">
        <v>19761</v>
      </c>
      <c r="C8945" s="10">
        <v>46067.0</v>
      </c>
      <c r="D8945" s="6" t="s">
        <v>416</v>
      </c>
      <c r="E8945" s="6" t="s">
        <v>1241</v>
      </c>
      <c r="F8945" s="6" t="s">
        <v>112</v>
      </c>
      <c r="G8945" s="6" t="s">
        <v>477</v>
      </c>
      <c r="H8945" s="11" t="s">
        <v>259</v>
      </c>
      <c r="I8945" s="12">
        <v>12.0</v>
      </c>
      <c r="J8945" s="6" t="s">
        <v>161</v>
      </c>
    </row>
    <row r="8946" ht="22.5" customHeight="1">
      <c r="A8946" s="6" t="s">
        <v>25754</v>
      </c>
      <c r="B8946" s="6" t="s">
        <v>19761</v>
      </c>
      <c r="C8946" s="10">
        <v>46076.0</v>
      </c>
      <c r="D8946" s="6" t="s">
        <v>242</v>
      </c>
      <c r="E8946" s="6" t="s">
        <v>1149</v>
      </c>
      <c r="F8946" s="6" t="s">
        <v>112</v>
      </c>
      <c r="G8946" s="6" t="s">
        <v>254</v>
      </c>
      <c r="H8946" s="10">
        <v>46076.0</v>
      </c>
      <c r="I8946" s="12">
        <v>5.0</v>
      </c>
      <c r="J8946" s="6" t="s">
        <v>178</v>
      </c>
    </row>
    <row r="8947" ht="22.5" customHeight="1">
      <c r="A8947" s="6" t="s">
        <v>25755</v>
      </c>
      <c r="B8947" s="6" t="s">
        <v>19767</v>
      </c>
      <c r="C8947" s="10">
        <v>46051.0</v>
      </c>
      <c r="D8947" s="6" t="s">
        <v>289</v>
      </c>
      <c r="E8947" s="6" t="s">
        <v>885</v>
      </c>
      <c r="F8947" s="6" t="s">
        <v>283</v>
      </c>
      <c r="G8947" s="6" t="s">
        <v>458</v>
      </c>
      <c r="H8947" s="10">
        <v>46058.0</v>
      </c>
      <c r="I8947" s="12">
        <v>6.0</v>
      </c>
      <c r="J8947" s="6" t="s">
        <v>161</v>
      </c>
    </row>
    <row r="8948" ht="22.5" customHeight="1">
      <c r="A8948" s="6" t="s">
        <v>25756</v>
      </c>
      <c r="B8948" s="6" t="s">
        <v>19767</v>
      </c>
      <c r="C8948" s="10">
        <v>46040.0</v>
      </c>
      <c r="D8948" s="6" t="s">
        <v>436</v>
      </c>
      <c r="E8948" s="6" t="s">
        <v>475</v>
      </c>
      <c r="F8948" s="6" t="s">
        <v>249</v>
      </c>
      <c r="G8948" s="6" t="s">
        <v>477</v>
      </c>
      <c r="H8948" s="10">
        <v>46047.0</v>
      </c>
      <c r="I8948" s="12">
        <v>6.0</v>
      </c>
      <c r="J8948" s="6" t="s">
        <v>161</v>
      </c>
    </row>
    <row r="8949" ht="22.5" customHeight="1">
      <c r="A8949" s="6" t="s">
        <v>25757</v>
      </c>
      <c r="B8949" s="6" t="s">
        <v>19767</v>
      </c>
      <c r="C8949" s="10">
        <v>46034.0</v>
      </c>
      <c r="D8949" s="6" t="s">
        <v>242</v>
      </c>
      <c r="E8949" s="6" t="s">
        <v>1720</v>
      </c>
      <c r="F8949" s="6" t="s">
        <v>249</v>
      </c>
      <c r="G8949" s="6" t="s">
        <v>452</v>
      </c>
      <c r="H8949" s="10">
        <v>46034.0</v>
      </c>
      <c r="I8949" s="12">
        <v>4.0</v>
      </c>
      <c r="J8949" s="6" t="s">
        <v>161</v>
      </c>
    </row>
    <row r="8950" ht="22.5" customHeight="1">
      <c r="A8950" s="6" t="s">
        <v>25758</v>
      </c>
      <c r="B8950" s="6" t="s">
        <v>19767</v>
      </c>
      <c r="C8950" s="10">
        <v>46041.0</v>
      </c>
      <c r="D8950" s="6" t="s">
        <v>242</v>
      </c>
      <c r="E8950" s="6" t="s">
        <v>798</v>
      </c>
      <c r="F8950" s="6" t="s">
        <v>439</v>
      </c>
      <c r="G8950" s="6" t="s">
        <v>254</v>
      </c>
      <c r="H8950" s="10">
        <v>46044.0</v>
      </c>
      <c r="I8950" s="12">
        <v>6.0</v>
      </c>
      <c r="J8950" s="6" t="s">
        <v>178</v>
      </c>
    </row>
    <row r="8951" ht="22.5" customHeight="1">
      <c r="A8951" s="6" t="s">
        <v>25759</v>
      </c>
      <c r="B8951" s="6" t="s">
        <v>19774</v>
      </c>
      <c r="C8951" s="10">
        <v>46047.0</v>
      </c>
      <c r="D8951" s="6" t="s">
        <v>677</v>
      </c>
      <c r="E8951" s="6" t="s">
        <v>1273</v>
      </c>
      <c r="F8951" s="6" t="s">
        <v>439</v>
      </c>
      <c r="G8951" s="6" t="s">
        <v>477</v>
      </c>
      <c r="H8951" s="10">
        <v>46048.0</v>
      </c>
      <c r="I8951" s="12">
        <v>3.0</v>
      </c>
      <c r="J8951" s="6" t="s">
        <v>161</v>
      </c>
    </row>
    <row r="8952" ht="22.5" customHeight="1">
      <c r="A8952" s="6" t="s">
        <v>25760</v>
      </c>
      <c r="B8952" s="6" t="s">
        <v>19774</v>
      </c>
      <c r="C8952" s="10">
        <v>46028.0</v>
      </c>
      <c r="D8952" s="6" t="s">
        <v>677</v>
      </c>
      <c r="E8952" s="6" t="s">
        <v>1386</v>
      </c>
      <c r="F8952" s="6" t="s">
        <v>249</v>
      </c>
      <c r="G8952" s="6" t="s">
        <v>452</v>
      </c>
      <c r="H8952" s="10">
        <v>46033.0</v>
      </c>
      <c r="I8952" s="12">
        <v>3.0</v>
      </c>
      <c r="J8952" s="6" t="s">
        <v>161</v>
      </c>
    </row>
    <row r="8953" ht="22.5" customHeight="1">
      <c r="A8953" s="6" t="s">
        <v>25761</v>
      </c>
      <c r="B8953" s="6" t="s">
        <v>19774</v>
      </c>
      <c r="C8953" s="10">
        <v>46030.0</v>
      </c>
      <c r="D8953" s="6" t="s">
        <v>436</v>
      </c>
      <c r="E8953" s="6" t="s">
        <v>1700</v>
      </c>
      <c r="F8953" s="6" t="s">
        <v>249</v>
      </c>
      <c r="G8953" s="6" t="s">
        <v>297</v>
      </c>
      <c r="H8953" s="10">
        <v>46033.0</v>
      </c>
      <c r="I8953" s="12">
        <v>8.0</v>
      </c>
      <c r="J8953" s="6" t="s">
        <v>178</v>
      </c>
    </row>
    <row r="8954" ht="22.5" customHeight="1">
      <c r="A8954" s="6" t="s">
        <v>25762</v>
      </c>
      <c r="B8954" s="6" t="s">
        <v>19774</v>
      </c>
      <c r="C8954" s="10">
        <v>46041.0</v>
      </c>
      <c r="D8954" s="6" t="s">
        <v>416</v>
      </c>
      <c r="E8954" s="6" t="s">
        <v>583</v>
      </c>
      <c r="F8954" s="6" t="s">
        <v>283</v>
      </c>
      <c r="G8954" s="6" t="s">
        <v>254</v>
      </c>
      <c r="H8954" s="11" t="s">
        <v>259</v>
      </c>
      <c r="I8954" s="12">
        <v>10.0</v>
      </c>
      <c r="J8954" s="6" t="s">
        <v>161</v>
      </c>
    </row>
    <row r="8955" ht="22.5" customHeight="1">
      <c r="A8955" s="6" t="s">
        <v>25763</v>
      </c>
      <c r="B8955" s="6" t="s">
        <v>19780</v>
      </c>
      <c r="C8955" s="10">
        <v>46072.0</v>
      </c>
      <c r="D8955" s="6" t="s">
        <v>242</v>
      </c>
      <c r="E8955" s="6" t="s">
        <v>1070</v>
      </c>
      <c r="F8955" s="6" t="s">
        <v>439</v>
      </c>
      <c r="G8955" s="6" t="s">
        <v>477</v>
      </c>
      <c r="H8955" s="10">
        <v>46079.0</v>
      </c>
      <c r="I8955" s="12">
        <v>4.0</v>
      </c>
      <c r="J8955" s="6" t="s">
        <v>178</v>
      </c>
    </row>
    <row r="8956" ht="22.5" customHeight="1">
      <c r="A8956" s="6" t="s">
        <v>25764</v>
      </c>
      <c r="B8956" s="6" t="s">
        <v>19780</v>
      </c>
      <c r="C8956" s="10">
        <v>46072.0</v>
      </c>
      <c r="D8956" s="6" t="s">
        <v>289</v>
      </c>
      <c r="E8956" s="6" t="s">
        <v>2881</v>
      </c>
      <c r="F8956" s="6" t="s">
        <v>439</v>
      </c>
      <c r="G8956" s="6" t="s">
        <v>326</v>
      </c>
      <c r="H8956" s="10">
        <v>46073.0</v>
      </c>
      <c r="I8956" s="12">
        <v>5.0</v>
      </c>
      <c r="J8956" s="6" t="s">
        <v>161</v>
      </c>
    </row>
    <row r="8957" ht="22.5" customHeight="1">
      <c r="A8957" s="6" t="s">
        <v>25765</v>
      </c>
      <c r="B8957" s="6" t="s">
        <v>19780</v>
      </c>
      <c r="C8957" s="10">
        <v>46079.0</v>
      </c>
      <c r="D8957" s="6" t="s">
        <v>436</v>
      </c>
      <c r="E8957" s="6" t="s">
        <v>365</v>
      </c>
      <c r="F8957" s="6" t="s">
        <v>112</v>
      </c>
      <c r="G8957" s="6" t="s">
        <v>369</v>
      </c>
      <c r="H8957" s="10">
        <v>46082.0</v>
      </c>
      <c r="I8957" s="12">
        <v>8.0</v>
      </c>
      <c r="J8957" s="6" t="s">
        <v>161</v>
      </c>
    </row>
    <row r="8958" ht="22.5" customHeight="1">
      <c r="A8958" s="6" t="s">
        <v>25766</v>
      </c>
      <c r="B8958" s="6" t="s">
        <v>19780</v>
      </c>
      <c r="C8958" s="10">
        <v>46073.0</v>
      </c>
      <c r="D8958" s="6" t="s">
        <v>242</v>
      </c>
      <c r="E8958" s="6" t="s">
        <v>1273</v>
      </c>
      <c r="F8958" s="6" t="s">
        <v>249</v>
      </c>
      <c r="G8958" s="6" t="s">
        <v>254</v>
      </c>
      <c r="H8958" s="10">
        <v>46078.0</v>
      </c>
      <c r="I8958" s="12">
        <v>6.0</v>
      </c>
      <c r="J8958" s="6" t="s">
        <v>178</v>
      </c>
    </row>
    <row r="8959" ht="22.5" customHeight="1">
      <c r="A8959" s="6" t="s">
        <v>25767</v>
      </c>
      <c r="B8959" s="6" t="s">
        <v>19787</v>
      </c>
      <c r="C8959" s="10">
        <v>46069.0</v>
      </c>
      <c r="D8959" s="6" t="s">
        <v>289</v>
      </c>
      <c r="E8959" s="6" t="s">
        <v>1241</v>
      </c>
      <c r="F8959" s="6" t="s">
        <v>439</v>
      </c>
      <c r="G8959" s="6" t="s">
        <v>494</v>
      </c>
      <c r="H8959" s="10">
        <v>46072.0</v>
      </c>
      <c r="I8959" s="12">
        <v>7.0</v>
      </c>
      <c r="J8959" s="6" t="s">
        <v>161</v>
      </c>
    </row>
    <row r="8960" ht="22.5" customHeight="1">
      <c r="A8960" s="6" t="s">
        <v>25768</v>
      </c>
      <c r="B8960" s="6" t="s">
        <v>19787</v>
      </c>
      <c r="C8960" s="10">
        <v>46061.0</v>
      </c>
      <c r="D8960" s="6" t="s">
        <v>242</v>
      </c>
      <c r="E8960" s="6" t="s">
        <v>610</v>
      </c>
      <c r="F8960" s="6" t="s">
        <v>249</v>
      </c>
      <c r="G8960" s="6" t="s">
        <v>326</v>
      </c>
      <c r="H8960" s="10">
        <v>46065.0</v>
      </c>
      <c r="I8960" s="12">
        <v>6.0</v>
      </c>
      <c r="J8960" s="6" t="s">
        <v>178</v>
      </c>
    </row>
    <row r="8961" ht="22.5" customHeight="1">
      <c r="A8961" s="6" t="s">
        <v>25769</v>
      </c>
      <c r="B8961" s="6" t="s">
        <v>19787</v>
      </c>
      <c r="C8961" s="10">
        <v>46072.0</v>
      </c>
      <c r="D8961" s="6" t="s">
        <v>677</v>
      </c>
      <c r="E8961" s="6" t="s">
        <v>798</v>
      </c>
      <c r="F8961" s="6" t="s">
        <v>439</v>
      </c>
      <c r="G8961" s="6" t="s">
        <v>326</v>
      </c>
      <c r="H8961" s="10">
        <v>46075.0</v>
      </c>
      <c r="I8961" s="12">
        <v>3.0</v>
      </c>
      <c r="J8961" s="6" t="s">
        <v>161</v>
      </c>
    </row>
    <row r="8962" ht="22.5" customHeight="1">
      <c r="A8962" s="6" t="s">
        <v>25770</v>
      </c>
      <c r="B8962" s="6" t="s">
        <v>19793</v>
      </c>
      <c r="C8962" s="10">
        <v>46045.0</v>
      </c>
      <c r="D8962" s="6" t="s">
        <v>289</v>
      </c>
      <c r="E8962" s="6" t="s">
        <v>466</v>
      </c>
      <c r="F8962" s="6" t="s">
        <v>112</v>
      </c>
      <c r="G8962" s="6" t="s">
        <v>297</v>
      </c>
      <c r="H8962" s="11" t="s">
        <v>259</v>
      </c>
      <c r="I8962" s="12">
        <v>5.0</v>
      </c>
      <c r="J8962" s="6" t="s">
        <v>161</v>
      </c>
    </row>
    <row r="8963" ht="22.5" customHeight="1">
      <c r="A8963" s="6" t="s">
        <v>25771</v>
      </c>
      <c r="B8963" s="6" t="s">
        <v>19793</v>
      </c>
      <c r="C8963" s="10">
        <v>46051.0</v>
      </c>
      <c r="D8963" s="6" t="s">
        <v>312</v>
      </c>
      <c r="E8963" s="6" t="s">
        <v>885</v>
      </c>
      <c r="F8963" s="6" t="s">
        <v>112</v>
      </c>
      <c r="G8963" s="6" t="s">
        <v>369</v>
      </c>
      <c r="H8963" s="10">
        <v>46056.0</v>
      </c>
      <c r="I8963" s="12">
        <v>7.0</v>
      </c>
      <c r="J8963" s="6" t="s">
        <v>161</v>
      </c>
    </row>
    <row r="8964" ht="22.5" customHeight="1">
      <c r="A8964" s="6" t="s">
        <v>25772</v>
      </c>
      <c r="B8964" s="6" t="s">
        <v>19800</v>
      </c>
      <c r="C8964" s="10">
        <v>46043.0</v>
      </c>
      <c r="D8964" s="6" t="s">
        <v>416</v>
      </c>
      <c r="E8964" s="6" t="s">
        <v>583</v>
      </c>
      <c r="F8964" s="6" t="s">
        <v>283</v>
      </c>
      <c r="G8964" s="6" t="s">
        <v>326</v>
      </c>
      <c r="H8964" s="10">
        <v>46048.0</v>
      </c>
      <c r="I8964" s="12">
        <v>8.0</v>
      </c>
      <c r="J8964" s="6" t="s">
        <v>161</v>
      </c>
    </row>
    <row r="8965" ht="22.5" customHeight="1">
      <c r="A8965" s="6" t="s">
        <v>25773</v>
      </c>
      <c r="B8965" s="6" t="s">
        <v>19807</v>
      </c>
      <c r="C8965" s="10">
        <v>46037.0</v>
      </c>
      <c r="D8965" s="6" t="s">
        <v>677</v>
      </c>
      <c r="E8965" s="6" t="s">
        <v>2365</v>
      </c>
      <c r="F8965" s="6" t="s">
        <v>283</v>
      </c>
      <c r="G8965" s="6" t="s">
        <v>326</v>
      </c>
      <c r="H8965" s="11" t="s">
        <v>259</v>
      </c>
      <c r="I8965" s="12">
        <v>3.0</v>
      </c>
      <c r="J8965" s="6" t="s">
        <v>161</v>
      </c>
    </row>
    <row r="8966" ht="22.5" customHeight="1">
      <c r="A8966" s="6" t="s">
        <v>25774</v>
      </c>
      <c r="B8966" s="6" t="s">
        <v>19807</v>
      </c>
      <c r="C8966" s="10">
        <v>46036.0</v>
      </c>
      <c r="D8966" s="6" t="s">
        <v>436</v>
      </c>
      <c r="E8966" s="6" t="s">
        <v>787</v>
      </c>
      <c r="F8966" s="6" t="s">
        <v>283</v>
      </c>
      <c r="G8966" s="6" t="s">
        <v>369</v>
      </c>
      <c r="H8966" s="10">
        <v>46042.0</v>
      </c>
      <c r="I8966" s="12">
        <v>8.0</v>
      </c>
      <c r="J8966" s="6" t="s">
        <v>161</v>
      </c>
    </row>
    <row r="8967" ht="22.5" customHeight="1">
      <c r="A8967" s="6" t="s">
        <v>25775</v>
      </c>
      <c r="B8967" s="6" t="s">
        <v>19807</v>
      </c>
      <c r="C8967" s="10">
        <v>46038.0</v>
      </c>
      <c r="D8967" s="6" t="s">
        <v>242</v>
      </c>
      <c r="E8967" s="6" t="s">
        <v>658</v>
      </c>
      <c r="F8967" s="6" t="s">
        <v>439</v>
      </c>
      <c r="G8967" s="6" t="s">
        <v>369</v>
      </c>
      <c r="H8967" s="10">
        <v>46040.0</v>
      </c>
      <c r="I8967" s="12">
        <v>5.0</v>
      </c>
      <c r="J8967" s="6" t="s">
        <v>161</v>
      </c>
    </row>
    <row r="8968" ht="22.5" customHeight="1">
      <c r="A8968" s="6" t="s">
        <v>25776</v>
      </c>
      <c r="B8968" s="6" t="s">
        <v>19813</v>
      </c>
      <c r="C8968" s="10">
        <v>46074.0</v>
      </c>
      <c r="D8968" s="6" t="s">
        <v>312</v>
      </c>
      <c r="E8968" s="6" t="s">
        <v>1102</v>
      </c>
      <c r="F8968" s="6" t="s">
        <v>249</v>
      </c>
      <c r="G8968" s="6" t="s">
        <v>326</v>
      </c>
      <c r="H8968" s="10">
        <v>46080.0</v>
      </c>
      <c r="I8968" s="12">
        <v>5.0</v>
      </c>
      <c r="J8968" s="6" t="s">
        <v>161</v>
      </c>
    </row>
    <row r="8969" ht="22.5" customHeight="1">
      <c r="A8969" s="6" t="s">
        <v>25777</v>
      </c>
      <c r="B8969" s="6" t="s">
        <v>19813</v>
      </c>
      <c r="C8969" s="10">
        <v>46070.0</v>
      </c>
      <c r="D8969" s="6" t="s">
        <v>242</v>
      </c>
      <c r="E8969" s="6" t="s">
        <v>885</v>
      </c>
      <c r="F8969" s="6" t="s">
        <v>112</v>
      </c>
      <c r="G8969" s="6" t="s">
        <v>494</v>
      </c>
      <c r="H8969" s="10">
        <v>46076.0</v>
      </c>
      <c r="I8969" s="12">
        <v>5.0</v>
      </c>
      <c r="J8969" s="6" t="s">
        <v>178</v>
      </c>
    </row>
    <row r="8970" ht="22.5" customHeight="1">
      <c r="A8970" s="6" t="s">
        <v>25778</v>
      </c>
      <c r="B8970" s="6" t="s">
        <v>19813</v>
      </c>
      <c r="C8970" s="10">
        <v>46080.0</v>
      </c>
      <c r="D8970" s="6" t="s">
        <v>436</v>
      </c>
      <c r="E8970" s="6" t="s">
        <v>833</v>
      </c>
      <c r="F8970" s="6" t="s">
        <v>439</v>
      </c>
      <c r="G8970" s="6" t="s">
        <v>477</v>
      </c>
      <c r="H8970" s="10">
        <v>46080.0</v>
      </c>
      <c r="I8970" s="12">
        <v>7.0</v>
      </c>
      <c r="J8970" s="6" t="s">
        <v>178</v>
      </c>
    </row>
    <row r="8971" ht="22.5" customHeight="1">
      <c r="A8971" s="6" t="s">
        <v>25779</v>
      </c>
      <c r="B8971" s="6" t="s">
        <v>19813</v>
      </c>
      <c r="C8971" s="10">
        <v>46075.0</v>
      </c>
      <c r="D8971" s="6" t="s">
        <v>312</v>
      </c>
      <c r="E8971" s="6" t="s">
        <v>1570</v>
      </c>
      <c r="F8971" s="6" t="s">
        <v>249</v>
      </c>
      <c r="G8971" s="6" t="s">
        <v>369</v>
      </c>
      <c r="H8971" s="10">
        <v>46078.0</v>
      </c>
      <c r="I8971" s="12">
        <v>4.0</v>
      </c>
      <c r="J8971" s="6" t="s">
        <v>161</v>
      </c>
    </row>
    <row r="8972" ht="22.5" customHeight="1">
      <c r="A8972" s="6" t="s">
        <v>25780</v>
      </c>
      <c r="B8972" s="6" t="s">
        <v>19819</v>
      </c>
      <c r="C8972" s="10">
        <v>46086.0</v>
      </c>
      <c r="D8972" s="6" t="s">
        <v>289</v>
      </c>
      <c r="E8972" s="6" t="s">
        <v>1055</v>
      </c>
      <c r="F8972" s="6" t="s">
        <v>283</v>
      </c>
      <c r="G8972" s="6" t="s">
        <v>494</v>
      </c>
      <c r="H8972" s="10">
        <v>46087.0</v>
      </c>
      <c r="I8972" s="12">
        <v>7.0</v>
      </c>
      <c r="J8972" s="6" t="s">
        <v>161</v>
      </c>
    </row>
    <row r="8973" ht="22.5" customHeight="1">
      <c r="A8973" s="6" t="s">
        <v>25781</v>
      </c>
      <c r="B8973" s="6" t="s">
        <v>19827</v>
      </c>
      <c r="C8973" s="10">
        <v>46058.0</v>
      </c>
      <c r="D8973" s="6" t="s">
        <v>436</v>
      </c>
      <c r="E8973" s="6" t="s">
        <v>1552</v>
      </c>
      <c r="F8973" s="6" t="s">
        <v>112</v>
      </c>
      <c r="G8973" s="6" t="s">
        <v>297</v>
      </c>
      <c r="H8973" s="11" t="s">
        <v>259</v>
      </c>
      <c r="I8973" s="12">
        <v>6.0</v>
      </c>
      <c r="J8973" s="6" t="s">
        <v>161</v>
      </c>
    </row>
    <row r="8974" ht="22.5" customHeight="1">
      <c r="A8974" s="6" t="s">
        <v>25782</v>
      </c>
      <c r="B8974" s="6" t="s">
        <v>19827</v>
      </c>
      <c r="C8974" s="10">
        <v>46070.0</v>
      </c>
      <c r="D8974" s="6" t="s">
        <v>391</v>
      </c>
      <c r="E8974" s="6" t="s">
        <v>291</v>
      </c>
      <c r="F8974" s="6" t="s">
        <v>439</v>
      </c>
      <c r="G8974" s="6" t="s">
        <v>458</v>
      </c>
      <c r="H8974" s="10">
        <v>46077.0</v>
      </c>
      <c r="I8974" s="12">
        <v>11.0</v>
      </c>
      <c r="J8974" s="6" t="s">
        <v>161</v>
      </c>
    </row>
    <row r="8975" ht="22.5" customHeight="1">
      <c r="A8975" s="6" t="s">
        <v>25783</v>
      </c>
      <c r="B8975" s="6" t="s">
        <v>19827</v>
      </c>
      <c r="C8975" s="10">
        <v>46056.0</v>
      </c>
      <c r="D8975" s="6" t="s">
        <v>289</v>
      </c>
      <c r="E8975" s="6" t="s">
        <v>450</v>
      </c>
      <c r="F8975" s="6" t="s">
        <v>283</v>
      </c>
      <c r="G8975" s="6" t="s">
        <v>494</v>
      </c>
      <c r="H8975" s="10">
        <v>46056.0</v>
      </c>
      <c r="I8975" s="12">
        <v>8.0</v>
      </c>
      <c r="J8975" s="6" t="s">
        <v>161</v>
      </c>
    </row>
    <row r="8976" ht="22.5" customHeight="1">
      <c r="A8976" s="6" t="s">
        <v>25784</v>
      </c>
      <c r="B8976" s="6" t="s">
        <v>19827</v>
      </c>
      <c r="C8976" s="10">
        <v>46063.0</v>
      </c>
      <c r="D8976" s="6" t="s">
        <v>391</v>
      </c>
      <c r="E8976" s="6" t="s">
        <v>2881</v>
      </c>
      <c r="F8976" s="6" t="s">
        <v>439</v>
      </c>
      <c r="G8976" s="6" t="s">
        <v>458</v>
      </c>
      <c r="H8976" s="10">
        <v>46068.0</v>
      </c>
      <c r="I8976" s="12">
        <v>9.0</v>
      </c>
      <c r="J8976" s="6" t="s">
        <v>161</v>
      </c>
    </row>
    <row r="8977" ht="22.5" customHeight="1">
      <c r="A8977" s="6" t="s">
        <v>25785</v>
      </c>
      <c r="B8977" s="6" t="s">
        <v>19834</v>
      </c>
      <c r="C8977" s="10">
        <v>46062.0</v>
      </c>
      <c r="D8977" s="6" t="s">
        <v>312</v>
      </c>
      <c r="E8977" s="6" t="s">
        <v>955</v>
      </c>
      <c r="F8977" s="6" t="s">
        <v>439</v>
      </c>
      <c r="G8977" s="6" t="s">
        <v>254</v>
      </c>
      <c r="H8977" s="11" t="s">
        <v>259</v>
      </c>
      <c r="I8977" s="12">
        <v>4.0</v>
      </c>
      <c r="J8977" s="6" t="s">
        <v>161</v>
      </c>
    </row>
    <row r="8978" ht="22.5" customHeight="1">
      <c r="A8978" s="6" t="s">
        <v>25786</v>
      </c>
      <c r="B8978" s="6" t="s">
        <v>19834</v>
      </c>
      <c r="C8978" s="10">
        <v>46071.0</v>
      </c>
      <c r="D8978" s="6" t="s">
        <v>289</v>
      </c>
      <c r="E8978" s="6" t="s">
        <v>1969</v>
      </c>
      <c r="F8978" s="6" t="s">
        <v>283</v>
      </c>
      <c r="G8978" s="6" t="s">
        <v>458</v>
      </c>
      <c r="H8978" s="10">
        <v>46077.0</v>
      </c>
      <c r="I8978" s="12">
        <v>10.0</v>
      </c>
      <c r="J8978" s="6" t="s">
        <v>161</v>
      </c>
    </row>
    <row r="8979" ht="22.5" customHeight="1">
      <c r="A8979" s="6" t="s">
        <v>25787</v>
      </c>
      <c r="B8979" s="6" t="s">
        <v>19834</v>
      </c>
      <c r="C8979" s="10">
        <v>46066.0</v>
      </c>
      <c r="D8979" s="6" t="s">
        <v>391</v>
      </c>
      <c r="E8979" s="6" t="s">
        <v>1310</v>
      </c>
      <c r="F8979" s="6" t="s">
        <v>283</v>
      </c>
      <c r="G8979" s="6" t="s">
        <v>458</v>
      </c>
      <c r="H8979" s="10">
        <v>46067.0</v>
      </c>
      <c r="I8979" s="12">
        <v>7.0</v>
      </c>
      <c r="J8979" s="6" t="s">
        <v>161</v>
      </c>
    </row>
    <row r="8980" ht="22.5" customHeight="1">
      <c r="A8980" s="6" t="s">
        <v>25788</v>
      </c>
      <c r="B8980" s="6" t="s">
        <v>19840</v>
      </c>
      <c r="C8980" s="10">
        <v>46063.0</v>
      </c>
      <c r="D8980" s="6" t="s">
        <v>436</v>
      </c>
      <c r="E8980" s="6" t="s">
        <v>1626</v>
      </c>
      <c r="F8980" s="6" t="s">
        <v>439</v>
      </c>
      <c r="G8980" s="6" t="s">
        <v>297</v>
      </c>
      <c r="H8980" s="10">
        <v>46067.0</v>
      </c>
      <c r="I8980" s="12">
        <v>6.0</v>
      </c>
      <c r="J8980" s="6" t="s">
        <v>178</v>
      </c>
    </row>
    <row r="8981" ht="22.5" customHeight="1">
      <c r="A8981" s="6" t="s">
        <v>25789</v>
      </c>
      <c r="B8981" s="6" t="s">
        <v>19840</v>
      </c>
      <c r="C8981" s="10">
        <v>46070.0</v>
      </c>
      <c r="D8981" s="6" t="s">
        <v>416</v>
      </c>
      <c r="E8981" s="6" t="s">
        <v>1310</v>
      </c>
      <c r="F8981" s="6" t="s">
        <v>439</v>
      </c>
      <c r="G8981" s="6" t="s">
        <v>369</v>
      </c>
      <c r="H8981" s="10">
        <v>46073.0</v>
      </c>
      <c r="I8981" s="12">
        <v>11.0</v>
      </c>
      <c r="J8981" s="6" t="s">
        <v>161</v>
      </c>
    </row>
    <row r="8982" ht="22.5" customHeight="1">
      <c r="A8982" s="6" t="s">
        <v>25790</v>
      </c>
      <c r="B8982" s="6" t="s">
        <v>19847</v>
      </c>
      <c r="C8982" s="10">
        <v>46038.0</v>
      </c>
      <c r="D8982" s="6" t="s">
        <v>289</v>
      </c>
      <c r="E8982" s="6" t="s">
        <v>687</v>
      </c>
      <c r="F8982" s="6" t="s">
        <v>112</v>
      </c>
      <c r="G8982" s="6" t="s">
        <v>326</v>
      </c>
      <c r="H8982" s="10">
        <v>46042.0</v>
      </c>
      <c r="I8982" s="12">
        <v>7.0</v>
      </c>
      <c r="J8982" s="6" t="s">
        <v>161</v>
      </c>
    </row>
    <row r="8983" ht="22.5" customHeight="1">
      <c r="A8983" s="6" t="s">
        <v>25791</v>
      </c>
      <c r="B8983" s="6" t="s">
        <v>19847</v>
      </c>
      <c r="C8983" s="10">
        <v>46033.0</v>
      </c>
      <c r="D8983" s="6" t="s">
        <v>416</v>
      </c>
      <c r="E8983" s="6" t="s">
        <v>365</v>
      </c>
      <c r="F8983" s="6" t="s">
        <v>112</v>
      </c>
      <c r="G8983" s="6" t="s">
        <v>254</v>
      </c>
      <c r="H8983" s="10">
        <v>46040.0</v>
      </c>
      <c r="I8983" s="12">
        <v>14.0</v>
      </c>
      <c r="J8983" s="6" t="s">
        <v>161</v>
      </c>
    </row>
    <row r="8984" ht="22.5" customHeight="1">
      <c r="A8984" s="6" t="s">
        <v>25792</v>
      </c>
      <c r="B8984" s="6" t="s">
        <v>19847</v>
      </c>
      <c r="C8984" s="10">
        <v>46024.0</v>
      </c>
      <c r="D8984" s="6" t="s">
        <v>436</v>
      </c>
      <c r="E8984" s="6" t="s">
        <v>1070</v>
      </c>
      <c r="F8984" s="6" t="s">
        <v>283</v>
      </c>
      <c r="G8984" s="6" t="s">
        <v>494</v>
      </c>
      <c r="H8984" s="10">
        <v>46024.0</v>
      </c>
      <c r="I8984" s="12">
        <v>7.0</v>
      </c>
      <c r="J8984" s="6" t="s">
        <v>178</v>
      </c>
    </row>
    <row r="8985" ht="22.5" customHeight="1">
      <c r="A8985" s="6" t="s">
        <v>25793</v>
      </c>
      <c r="B8985" s="6" t="s">
        <v>19854</v>
      </c>
      <c r="C8985" s="10">
        <v>46064.0</v>
      </c>
      <c r="D8985" s="6" t="s">
        <v>312</v>
      </c>
      <c r="E8985" s="6" t="s">
        <v>1570</v>
      </c>
      <c r="F8985" s="6" t="s">
        <v>112</v>
      </c>
      <c r="G8985" s="6" t="s">
        <v>458</v>
      </c>
      <c r="H8985" s="10">
        <v>46068.0</v>
      </c>
      <c r="I8985" s="12">
        <v>7.0</v>
      </c>
      <c r="J8985" s="6" t="s">
        <v>161</v>
      </c>
    </row>
    <row r="8986" ht="22.5" customHeight="1">
      <c r="A8986" s="6" t="s">
        <v>25794</v>
      </c>
      <c r="B8986" s="6" t="s">
        <v>19854</v>
      </c>
      <c r="C8986" s="10">
        <v>46074.0</v>
      </c>
      <c r="D8986" s="6" t="s">
        <v>391</v>
      </c>
      <c r="E8986" s="6" t="s">
        <v>1700</v>
      </c>
      <c r="F8986" s="6" t="s">
        <v>439</v>
      </c>
      <c r="G8986" s="6" t="s">
        <v>458</v>
      </c>
      <c r="H8986" s="10">
        <v>46077.0</v>
      </c>
      <c r="I8986" s="12">
        <v>6.0</v>
      </c>
      <c r="J8986" s="6" t="s">
        <v>161</v>
      </c>
    </row>
    <row r="8987" ht="22.5" customHeight="1">
      <c r="A8987" s="6" t="s">
        <v>25795</v>
      </c>
      <c r="B8987" s="6" t="s">
        <v>19854</v>
      </c>
      <c r="C8987" s="10">
        <v>46066.0</v>
      </c>
      <c r="D8987" s="6" t="s">
        <v>242</v>
      </c>
      <c r="E8987" s="6" t="s">
        <v>618</v>
      </c>
      <c r="F8987" s="6" t="s">
        <v>112</v>
      </c>
      <c r="G8987" s="6" t="s">
        <v>458</v>
      </c>
      <c r="H8987" s="10">
        <v>46070.0</v>
      </c>
      <c r="I8987" s="12">
        <v>5.0</v>
      </c>
      <c r="J8987" s="6" t="s">
        <v>161</v>
      </c>
    </row>
    <row r="8988" ht="22.5" customHeight="1">
      <c r="A8988" s="6" t="s">
        <v>25796</v>
      </c>
      <c r="B8988" s="6" t="s">
        <v>19854</v>
      </c>
      <c r="C8988" s="10">
        <v>46071.0</v>
      </c>
      <c r="D8988" s="6" t="s">
        <v>242</v>
      </c>
      <c r="E8988" s="6" t="s">
        <v>438</v>
      </c>
      <c r="F8988" s="6" t="s">
        <v>283</v>
      </c>
      <c r="G8988" s="6" t="s">
        <v>254</v>
      </c>
      <c r="H8988" s="10">
        <v>46075.0</v>
      </c>
      <c r="I8988" s="12">
        <v>4.0</v>
      </c>
      <c r="J8988" s="6" t="s">
        <v>178</v>
      </c>
    </row>
    <row r="8989" ht="22.5" customHeight="1">
      <c r="A8989" s="6" t="s">
        <v>25797</v>
      </c>
      <c r="B8989" s="6" t="s">
        <v>19854</v>
      </c>
      <c r="C8989" s="10">
        <v>46081.0</v>
      </c>
      <c r="D8989" s="6" t="s">
        <v>289</v>
      </c>
      <c r="E8989" s="6" t="s">
        <v>1626</v>
      </c>
      <c r="F8989" s="6" t="s">
        <v>283</v>
      </c>
      <c r="G8989" s="6" t="s">
        <v>297</v>
      </c>
      <c r="H8989" s="10">
        <v>46088.0</v>
      </c>
      <c r="I8989" s="12">
        <v>9.0</v>
      </c>
      <c r="J8989" s="6" t="s">
        <v>161</v>
      </c>
    </row>
    <row r="8990" ht="22.5" customHeight="1">
      <c r="A8990" s="6" t="s">
        <v>25798</v>
      </c>
      <c r="B8990" s="6" t="s">
        <v>19860</v>
      </c>
      <c r="C8990" s="10">
        <v>46070.0</v>
      </c>
      <c r="D8990" s="6" t="s">
        <v>312</v>
      </c>
      <c r="E8990" s="6" t="s">
        <v>863</v>
      </c>
      <c r="F8990" s="6" t="s">
        <v>439</v>
      </c>
      <c r="G8990" s="6" t="s">
        <v>297</v>
      </c>
      <c r="H8990" s="10">
        <v>46077.0</v>
      </c>
      <c r="I8990" s="12">
        <v>6.0</v>
      </c>
      <c r="J8990" s="6" t="s">
        <v>161</v>
      </c>
    </row>
    <row r="8991" ht="22.5" customHeight="1">
      <c r="A8991" s="6" t="s">
        <v>25799</v>
      </c>
      <c r="B8991" s="6" t="s">
        <v>19860</v>
      </c>
      <c r="C8991" s="10">
        <v>46056.0</v>
      </c>
      <c r="D8991" s="6" t="s">
        <v>416</v>
      </c>
      <c r="E8991" s="6" t="s">
        <v>812</v>
      </c>
      <c r="F8991" s="6" t="s">
        <v>112</v>
      </c>
      <c r="G8991" s="6" t="s">
        <v>452</v>
      </c>
      <c r="H8991" s="10">
        <v>46061.0</v>
      </c>
      <c r="I8991" s="12">
        <v>9.0</v>
      </c>
      <c r="J8991" s="6" t="s">
        <v>161</v>
      </c>
    </row>
    <row r="8992" ht="22.5" customHeight="1">
      <c r="A8992" s="6" t="s">
        <v>25800</v>
      </c>
      <c r="B8992" s="6" t="s">
        <v>19860</v>
      </c>
      <c r="C8992" s="10">
        <v>46059.0</v>
      </c>
      <c r="D8992" s="6" t="s">
        <v>312</v>
      </c>
      <c r="E8992" s="6" t="s">
        <v>1386</v>
      </c>
      <c r="F8992" s="6" t="s">
        <v>283</v>
      </c>
      <c r="G8992" s="6" t="s">
        <v>494</v>
      </c>
      <c r="H8992" s="10">
        <v>46059.0</v>
      </c>
      <c r="I8992" s="12">
        <v>6.0</v>
      </c>
      <c r="J8992" s="6" t="s">
        <v>161</v>
      </c>
    </row>
    <row r="8993" ht="22.5" customHeight="1">
      <c r="A8993" s="6" t="s">
        <v>25801</v>
      </c>
      <c r="B8993" s="6" t="s">
        <v>19867</v>
      </c>
      <c r="C8993" s="10">
        <v>46072.0</v>
      </c>
      <c r="D8993" s="6" t="s">
        <v>242</v>
      </c>
      <c r="E8993" s="6" t="s">
        <v>1035</v>
      </c>
      <c r="F8993" s="6" t="s">
        <v>283</v>
      </c>
      <c r="G8993" s="6" t="s">
        <v>494</v>
      </c>
      <c r="H8993" s="10">
        <v>46072.0</v>
      </c>
      <c r="I8993" s="12">
        <v>5.0</v>
      </c>
      <c r="J8993" s="6" t="s">
        <v>161</v>
      </c>
    </row>
    <row r="8994" ht="22.5" customHeight="1">
      <c r="A8994" s="6" t="s">
        <v>25802</v>
      </c>
      <c r="B8994" s="6" t="s">
        <v>19867</v>
      </c>
      <c r="C8994" s="10">
        <v>46069.0</v>
      </c>
      <c r="D8994" s="6" t="s">
        <v>677</v>
      </c>
      <c r="E8994" s="6" t="s">
        <v>1149</v>
      </c>
      <c r="F8994" s="6" t="s">
        <v>112</v>
      </c>
      <c r="G8994" s="6" t="s">
        <v>494</v>
      </c>
      <c r="H8994" s="10">
        <v>46074.0</v>
      </c>
      <c r="I8994" s="12">
        <v>4.0</v>
      </c>
      <c r="J8994" s="6" t="s">
        <v>161</v>
      </c>
    </row>
    <row r="8995" ht="22.5" customHeight="1">
      <c r="A8995" s="6" t="s">
        <v>25803</v>
      </c>
      <c r="B8995" s="6" t="s">
        <v>19873</v>
      </c>
      <c r="C8995" s="10">
        <v>46049.0</v>
      </c>
      <c r="D8995" s="6" t="s">
        <v>436</v>
      </c>
      <c r="E8995" s="6" t="s">
        <v>1149</v>
      </c>
      <c r="F8995" s="6" t="s">
        <v>249</v>
      </c>
      <c r="G8995" s="6" t="s">
        <v>477</v>
      </c>
      <c r="H8995" s="11" t="s">
        <v>259</v>
      </c>
      <c r="I8995" s="12">
        <v>7.0</v>
      </c>
      <c r="J8995" s="6" t="s">
        <v>178</v>
      </c>
    </row>
    <row r="8996" ht="22.5" customHeight="1">
      <c r="A8996" s="6" t="s">
        <v>25804</v>
      </c>
      <c r="B8996" s="6" t="s">
        <v>19873</v>
      </c>
      <c r="C8996" s="10">
        <v>46049.0</v>
      </c>
      <c r="D8996" s="6" t="s">
        <v>312</v>
      </c>
      <c r="E8996" s="6" t="s">
        <v>2881</v>
      </c>
      <c r="F8996" s="6" t="s">
        <v>283</v>
      </c>
      <c r="G8996" s="6" t="s">
        <v>452</v>
      </c>
      <c r="H8996" s="10">
        <v>46053.0</v>
      </c>
      <c r="I8996" s="12">
        <v>4.0</v>
      </c>
      <c r="J8996" s="6" t="s">
        <v>161</v>
      </c>
    </row>
    <row r="8997" ht="22.5" customHeight="1">
      <c r="A8997" s="6" t="s">
        <v>25805</v>
      </c>
      <c r="B8997" s="6" t="s">
        <v>19880</v>
      </c>
      <c r="C8997" s="10">
        <v>46032.0</v>
      </c>
      <c r="D8997" s="6" t="s">
        <v>312</v>
      </c>
      <c r="E8997" s="6" t="s">
        <v>1296</v>
      </c>
      <c r="F8997" s="6" t="s">
        <v>249</v>
      </c>
      <c r="G8997" s="6" t="s">
        <v>452</v>
      </c>
      <c r="H8997" s="10">
        <v>46036.0</v>
      </c>
      <c r="I8997" s="12">
        <v>7.0</v>
      </c>
      <c r="J8997" s="6" t="s">
        <v>161</v>
      </c>
    </row>
    <row r="8998" ht="22.5" customHeight="1">
      <c r="A8998" s="6" t="s">
        <v>25806</v>
      </c>
      <c r="B8998" s="6" t="s">
        <v>19880</v>
      </c>
      <c r="C8998" s="10">
        <v>46042.0</v>
      </c>
      <c r="D8998" s="6" t="s">
        <v>312</v>
      </c>
      <c r="E8998" s="6" t="s">
        <v>1552</v>
      </c>
      <c r="F8998" s="6" t="s">
        <v>439</v>
      </c>
      <c r="G8998" s="6" t="s">
        <v>254</v>
      </c>
      <c r="H8998" s="10">
        <v>46047.0</v>
      </c>
      <c r="I8998" s="12">
        <v>4.0</v>
      </c>
      <c r="J8998" s="6" t="s">
        <v>161</v>
      </c>
    </row>
    <row r="8999" ht="22.5" customHeight="1">
      <c r="A8999" s="6" t="s">
        <v>25807</v>
      </c>
      <c r="B8999" s="6" t="s">
        <v>19880</v>
      </c>
      <c r="C8999" s="10">
        <v>46031.0</v>
      </c>
      <c r="D8999" s="6" t="s">
        <v>416</v>
      </c>
      <c r="E8999" s="6" t="s">
        <v>1310</v>
      </c>
      <c r="F8999" s="6" t="s">
        <v>283</v>
      </c>
      <c r="G8999" s="6" t="s">
        <v>297</v>
      </c>
      <c r="H8999" s="10">
        <v>46038.0</v>
      </c>
      <c r="I8999" s="12">
        <v>12.0</v>
      </c>
      <c r="J8999" s="6" t="s">
        <v>161</v>
      </c>
    </row>
    <row r="9000" ht="22.5" customHeight="1">
      <c r="A9000" s="6" t="s">
        <v>25808</v>
      </c>
      <c r="B9000" s="6" t="s">
        <v>19880</v>
      </c>
      <c r="C9000" s="10">
        <v>46037.0</v>
      </c>
      <c r="D9000" s="6" t="s">
        <v>677</v>
      </c>
      <c r="E9000" s="6" t="s">
        <v>610</v>
      </c>
      <c r="F9000" s="6" t="s">
        <v>439</v>
      </c>
      <c r="G9000" s="6" t="s">
        <v>458</v>
      </c>
      <c r="H9000" s="10">
        <v>46041.0</v>
      </c>
      <c r="I9000" s="12">
        <v>3.0</v>
      </c>
      <c r="J9000" s="6" t="s">
        <v>161</v>
      </c>
    </row>
    <row r="9001" ht="22.5" customHeight="1">
      <c r="A9001" s="6" t="s">
        <v>25809</v>
      </c>
      <c r="B9001" s="6" t="s">
        <v>19880</v>
      </c>
      <c r="C9001" s="10">
        <v>46038.0</v>
      </c>
      <c r="D9001" s="6" t="s">
        <v>242</v>
      </c>
      <c r="E9001" s="6" t="s">
        <v>1626</v>
      </c>
      <c r="F9001" s="6" t="s">
        <v>249</v>
      </c>
      <c r="G9001" s="6" t="s">
        <v>254</v>
      </c>
      <c r="H9001" s="11" t="s">
        <v>259</v>
      </c>
      <c r="I9001" s="12">
        <v>4.0</v>
      </c>
      <c r="J9001" s="6" t="s">
        <v>178</v>
      </c>
    </row>
    <row r="9002" ht="22.5" customHeight="1">
      <c r="A9002" s="6" t="s">
        <v>25810</v>
      </c>
      <c r="B9002" s="6" t="s">
        <v>19885</v>
      </c>
      <c r="C9002" s="10">
        <v>46039.0</v>
      </c>
      <c r="D9002" s="6" t="s">
        <v>242</v>
      </c>
      <c r="E9002" s="6" t="s">
        <v>1386</v>
      </c>
      <c r="F9002" s="6" t="s">
        <v>249</v>
      </c>
      <c r="G9002" s="6" t="s">
        <v>452</v>
      </c>
      <c r="H9002" s="10">
        <v>46045.0</v>
      </c>
      <c r="I9002" s="12">
        <v>3.0</v>
      </c>
      <c r="J9002" s="6" t="s">
        <v>161</v>
      </c>
    </row>
    <row r="9003" ht="22.5" customHeight="1">
      <c r="A9003" s="6" t="s">
        <v>25811</v>
      </c>
      <c r="B9003" s="6" t="s">
        <v>19885</v>
      </c>
      <c r="C9003" s="10">
        <v>46050.0</v>
      </c>
      <c r="D9003" s="6" t="s">
        <v>242</v>
      </c>
      <c r="E9003" s="6" t="s">
        <v>610</v>
      </c>
      <c r="F9003" s="6" t="s">
        <v>249</v>
      </c>
      <c r="G9003" s="6" t="s">
        <v>326</v>
      </c>
      <c r="H9003" s="11" t="s">
        <v>259</v>
      </c>
      <c r="I9003" s="12">
        <v>4.0</v>
      </c>
      <c r="J9003" s="6" t="s">
        <v>178</v>
      </c>
    </row>
    <row r="9004" ht="22.5" customHeight="1">
      <c r="A9004" s="6" t="s">
        <v>25812</v>
      </c>
      <c r="B9004" s="6" t="s">
        <v>19885</v>
      </c>
      <c r="C9004" s="10">
        <v>46042.0</v>
      </c>
      <c r="D9004" s="6" t="s">
        <v>677</v>
      </c>
      <c r="E9004" s="6" t="s">
        <v>1296</v>
      </c>
      <c r="F9004" s="6" t="s">
        <v>249</v>
      </c>
      <c r="G9004" s="6" t="s">
        <v>297</v>
      </c>
      <c r="H9004" s="10">
        <v>46044.0</v>
      </c>
      <c r="I9004" s="12">
        <v>3.0</v>
      </c>
      <c r="J9004" s="6" t="s">
        <v>161</v>
      </c>
    </row>
    <row r="9005" ht="22.5" customHeight="1">
      <c r="A9005" s="6" t="s">
        <v>25813</v>
      </c>
      <c r="B9005" s="6" t="s">
        <v>19892</v>
      </c>
      <c r="C9005" s="10">
        <v>46069.0</v>
      </c>
      <c r="D9005" s="6" t="s">
        <v>242</v>
      </c>
      <c r="E9005" s="6" t="s">
        <v>475</v>
      </c>
      <c r="F9005" s="6" t="s">
        <v>249</v>
      </c>
      <c r="G9005" s="6" t="s">
        <v>297</v>
      </c>
      <c r="H9005" s="10">
        <v>46076.0</v>
      </c>
      <c r="I9005" s="12">
        <v>3.0</v>
      </c>
      <c r="J9005" s="6" t="s">
        <v>178</v>
      </c>
    </row>
    <row r="9006" ht="22.5" customHeight="1">
      <c r="A9006" s="6" t="s">
        <v>25814</v>
      </c>
      <c r="B9006" s="6" t="s">
        <v>19892</v>
      </c>
      <c r="C9006" s="10">
        <v>46068.0</v>
      </c>
      <c r="D9006" s="6" t="s">
        <v>436</v>
      </c>
      <c r="E9006" s="6" t="s">
        <v>1070</v>
      </c>
      <c r="F9006" s="6" t="s">
        <v>283</v>
      </c>
      <c r="G9006" s="6" t="s">
        <v>458</v>
      </c>
      <c r="H9006" s="10">
        <v>46069.0</v>
      </c>
      <c r="I9006" s="12">
        <v>7.0</v>
      </c>
      <c r="J9006" s="6" t="s">
        <v>178</v>
      </c>
    </row>
    <row r="9007" ht="22.5" customHeight="1">
      <c r="A9007" s="6" t="s">
        <v>25815</v>
      </c>
      <c r="B9007" s="6" t="s">
        <v>19898</v>
      </c>
      <c r="C9007" s="10">
        <v>46074.0</v>
      </c>
      <c r="D9007" s="6" t="s">
        <v>312</v>
      </c>
      <c r="E9007" s="6" t="s">
        <v>1035</v>
      </c>
      <c r="F9007" s="6" t="s">
        <v>283</v>
      </c>
      <c r="G9007" s="6" t="s">
        <v>254</v>
      </c>
      <c r="H9007" s="10">
        <v>46080.0</v>
      </c>
      <c r="I9007" s="12">
        <v>6.0</v>
      </c>
      <c r="J9007" s="6" t="s">
        <v>161</v>
      </c>
    </row>
    <row r="9008" ht="22.5" customHeight="1">
      <c r="A9008" s="6" t="s">
        <v>25816</v>
      </c>
      <c r="B9008" s="6" t="s">
        <v>19898</v>
      </c>
      <c r="C9008" s="10">
        <v>46069.0</v>
      </c>
      <c r="D9008" s="6" t="s">
        <v>436</v>
      </c>
      <c r="E9008" s="6" t="s">
        <v>787</v>
      </c>
      <c r="F9008" s="6" t="s">
        <v>283</v>
      </c>
      <c r="G9008" s="6" t="s">
        <v>326</v>
      </c>
      <c r="H9008" s="10">
        <v>46074.0</v>
      </c>
      <c r="I9008" s="12">
        <v>12.0</v>
      </c>
      <c r="J9008" s="6" t="s">
        <v>161</v>
      </c>
    </row>
    <row r="9009" ht="22.5" customHeight="1">
      <c r="A9009" s="6" t="s">
        <v>25817</v>
      </c>
      <c r="B9009" s="6" t="s">
        <v>19905</v>
      </c>
      <c r="C9009" s="10">
        <v>46036.0</v>
      </c>
      <c r="D9009" s="6" t="s">
        <v>677</v>
      </c>
      <c r="E9009" s="6" t="s">
        <v>1241</v>
      </c>
      <c r="F9009" s="6" t="s">
        <v>249</v>
      </c>
      <c r="G9009" s="6" t="s">
        <v>254</v>
      </c>
      <c r="H9009" s="11" t="s">
        <v>259</v>
      </c>
      <c r="I9009" s="12">
        <v>3.0</v>
      </c>
      <c r="J9009" s="6" t="s">
        <v>161</v>
      </c>
    </row>
    <row r="9010" ht="22.5" customHeight="1">
      <c r="A9010" s="6" t="s">
        <v>25818</v>
      </c>
      <c r="B9010" s="6" t="s">
        <v>19910</v>
      </c>
      <c r="C9010" s="10">
        <v>46084.0</v>
      </c>
      <c r="D9010" s="6" t="s">
        <v>416</v>
      </c>
      <c r="E9010" s="6" t="s">
        <v>775</v>
      </c>
      <c r="F9010" s="6" t="s">
        <v>283</v>
      </c>
      <c r="G9010" s="6" t="s">
        <v>477</v>
      </c>
      <c r="H9010" s="10">
        <v>46087.0</v>
      </c>
      <c r="I9010" s="12">
        <v>13.0</v>
      </c>
      <c r="J9010" s="6" t="s">
        <v>161</v>
      </c>
    </row>
    <row r="9011" ht="22.5" customHeight="1">
      <c r="A9011" s="6" t="s">
        <v>25819</v>
      </c>
      <c r="B9011" s="6" t="s">
        <v>19910</v>
      </c>
      <c r="C9011" s="10">
        <v>46065.0</v>
      </c>
      <c r="D9011" s="6" t="s">
        <v>289</v>
      </c>
      <c r="E9011" s="6" t="s">
        <v>955</v>
      </c>
      <c r="F9011" s="6" t="s">
        <v>249</v>
      </c>
      <c r="G9011" s="6" t="s">
        <v>452</v>
      </c>
      <c r="H9011" s="10">
        <v>46066.0</v>
      </c>
      <c r="I9011" s="12">
        <v>5.0</v>
      </c>
      <c r="J9011" s="6" t="s">
        <v>161</v>
      </c>
    </row>
    <row r="9012" ht="22.5" customHeight="1">
      <c r="A9012" s="6" t="s">
        <v>25820</v>
      </c>
      <c r="B9012" s="6" t="s">
        <v>19910</v>
      </c>
      <c r="C9012" s="10">
        <v>46070.0</v>
      </c>
      <c r="D9012" s="6" t="s">
        <v>242</v>
      </c>
      <c r="E9012" s="6" t="s">
        <v>1720</v>
      </c>
      <c r="F9012" s="6" t="s">
        <v>439</v>
      </c>
      <c r="G9012" s="6" t="s">
        <v>494</v>
      </c>
      <c r="H9012" s="10">
        <v>46075.0</v>
      </c>
      <c r="I9012" s="12">
        <v>3.0</v>
      </c>
      <c r="J9012" s="6" t="s">
        <v>178</v>
      </c>
    </row>
    <row r="9013" ht="22.5" customHeight="1">
      <c r="A9013" s="6" t="s">
        <v>25821</v>
      </c>
      <c r="B9013" s="6" t="s">
        <v>19910</v>
      </c>
      <c r="C9013" s="10">
        <v>46066.0</v>
      </c>
      <c r="D9013" s="6" t="s">
        <v>391</v>
      </c>
      <c r="E9013" s="6" t="s">
        <v>833</v>
      </c>
      <c r="F9013" s="6" t="s">
        <v>249</v>
      </c>
      <c r="G9013" s="6" t="s">
        <v>297</v>
      </c>
      <c r="H9013" s="10">
        <v>46067.0</v>
      </c>
      <c r="I9013" s="12">
        <v>10.0</v>
      </c>
      <c r="J9013" s="6" t="s">
        <v>161</v>
      </c>
    </row>
    <row r="9014" ht="22.5" customHeight="1">
      <c r="A9014" s="6" t="s">
        <v>25822</v>
      </c>
      <c r="B9014" s="6" t="s">
        <v>19910</v>
      </c>
      <c r="C9014" s="10">
        <v>46074.0</v>
      </c>
      <c r="D9014" s="6" t="s">
        <v>677</v>
      </c>
      <c r="E9014" s="6" t="s">
        <v>628</v>
      </c>
      <c r="F9014" s="6" t="s">
        <v>439</v>
      </c>
      <c r="G9014" s="6" t="s">
        <v>477</v>
      </c>
      <c r="H9014" s="10">
        <v>46074.0</v>
      </c>
      <c r="I9014" s="12">
        <v>2.0</v>
      </c>
      <c r="J9014" s="6" t="s">
        <v>161</v>
      </c>
    </row>
    <row r="9015" ht="22.5" customHeight="1">
      <c r="A9015" s="6" t="s">
        <v>25823</v>
      </c>
      <c r="B9015" s="6" t="s">
        <v>19916</v>
      </c>
      <c r="C9015" s="10">
        <v>46045.0</v>
      </c>
      <c r="D9015" s="6" t="s">
        <v>677</v>
      </c>
      <c r="E9015" s="6" t="s">
        <v>1386</v>
      </c>
      <c r="F9015" s="6" t="s">
        <v>283</v>
      </c>
      <c r="G9015" s="6" t="s">
        <v>477</v>
      </c>
      <c r="H9015" s="10">
        <v>46048.0</v>
      </c>
      <c r="I9015" s="12">
        <v>3.0</v>
      </c>
      <c r="J9015" s="6" t="s">
        <v>161</v>
      </c>
    </row>
    <row r="9016" ht="22.5" customHeight="1">
      <c r="A9016" s="6" t="s">
        <v>25824</v>
      </c>
      <c r="B9016" s="6" t="s">
        <v>19916</v>
      </c>
      <c r="C9016" s="10">
        <v>46051.0</v>
      </c>
      <c r="D9016" s="6" t="s">
        <v>436</v>
      </c>
      <c r="E9016" s="6" t="s">
        <v>798</v>
      </c>
      <c r="F9016" s="6" t="s">
        <v>249</v>
      </c>
      <c r="G9016" s="6" t="s">
        <v>254</v>
      </c>
      <c r="H9016" s="10">
        <v>46054.0</v>
      </c>
      <c r="I9016" s="12">
        <v>10.0</v>
      </c>
      <c r="J9016" s="6" t="s">
        <v>178</v>
      </c>
    </row>
    <row r="9017" ht="22.5" customHeight="1">
      <c r="A9017" s="6" t="s">
        <v>25825</v>
      </c>
      <c r="B9017" s="6" t="s">
        <v>19916</v>
      </c>
      <c r="C9017" s="10">
        <v>46057.0</v>
      </c>
      <c r="D9017" s="6" t="s">
        <v>289</v>
      </c>
      <c r="E9017" s="6" t="s">
        <v>1273</v>
      </c>
      <c r="F9017" s="6" t="s">
        <v>283</v>
      </c>
      <c r="G9017" s="6" t="s">
        <v>369</v>
      </c>
      <c r="H9017" s="10">
        <v>46062.0</v>
      </c>
      <c r="I9017" s="12">
        <v>5.0</v>
      </c>
      <c r="J9017" s="6" t="s">
        <v>161</v>
      </c>
    </row>
    <row r="9018" ht="22.5" customHeight="1">
      <c r="A9018" s="6" t="s">
        <v>25826</v>
      </c>
      <c r="B9018" s="6" t="s">
        <v>19916</v>
      </c>
      <c r="C9018" s="10">
        <v>46052.0</v>
      </c>
      <c r="D9018" s="6" t="s">
        <v>289</v>
      </c>
      <c r="E9018" s="6" t="s">
        <v>618</v>
      </c>
      <c r="F9018" s="6" t="s">
        <v>439</v>
      </c>
      <c r="G9018" s="6" t="s">
        <v>477</v>
      </c>
      <c r="H9018" s="10">
        <v>46059.0</v>
      </c>
      <c r="I9018" s="12">
        <v>9.0</v>
      </c>
      <c r="J9018" s="6" t="s">
        <v>161</v>
      </c>
    </row>
    <row r="9019" ht="22.5" customHeight="1">
      <c r="A9019" s="6" t="s">
        <v>25827</v>
      </c>
      <c r="B9019" s="6" t="s">
        <v>19916</v>
      </c>
      <c r="C9019" s="10">
        <v>46058.0</v>
      </c>
      <c r="D9019" s="6" t="s">
        <v>416</v>
      </c>
      <c r="E9019" s="6" t="s">
        <v>695</v>
      </c>
      <c r="F9019" s="6" t="s">
        <v>112</v>
      </c>
      <c r="G9019" s="6" t="s">
        <v>369</v>
      </c>
      <c r="H9019" s="10">
        <v>46065.0</v>
      </c>
      <c r="I9019" s="12">
        <v>12.0</v>
      </c>
      <c r="J9019" s="6" t="s">
        <v>161</v>
      </c>
    </row>
    <row r="9020" ht="22.5" customHeight="1">
      <c r="A9020" s="6" t="s">
        <v>25828</v>
      </c>
      <c r="B9020" s="6" t="s">
        <v>19923</v>
      </c>
      <c r="C9020" s="10">
        <v>46051.0</v>
      </c>
      <c r="D9020" s="6" t="s">
        <v>436</v>
      </c>
      <c r="E9020" s="6" t="s">
        <v>1386</v>
      </c>
      <c r="F9020" s="6" t="s">
        <v>112</v>
      </c>
      <c r="G9020" s="6" t="s">
        <v>254</v>
      </c>
      <c r="H9020" s="11" t="s">
        <v>259</v>
      </c>
      <c r="I9020" s="12">
        <v>12.0</v>
      </c>
      <c r="J9020" s="6" t="s">
        <v>178</v>
      </c>
    </row>
    <row r="9021" ht="22.5" customHeight="1">
      <c r="A9021" s="6" t="s">
        <v>25829</v>
      </c>
      <c r="B9021" s="6" t="s">
        <v>19923</v>
      </c>
      <c r="C9021" s="10">
        <v>46056.0</v>
      </c>
      <c r="D9021" s="6" t="s">
        <v>242</v>
      </c>
      <c r="E9021" s="6" t="s">
        <v>1600</v>
      </c>
      <c r="F9021" s="6" t="s">
        <v>249</v>
      </c>
      <c r="G9021" s="6" t="s">
        <v>458</v>
      </c>
      <c r="H9021" s="11" t="s">
        <v>259</v>
      </c>
      <c r="I9021" s="12">
        <v>5.0</v>
      </c>
      <c r="J9021" s="6" t="s">
        <v>178</v>
      </c>
    </row>
    <row r="9022" ht="22.5" customHeight="1">
      <c r="A9022" s="6" t="s">
        <v>25830</v>
      </c>
      <c r="B9022" s="6" t="s">
        <v>19923</v>
      </c>
      <c r="C9022" s="10">
        <v>46050.0</v>
      </c>
      <c r="D9022" s="6" t="s">
        <v>416</v>
      </c>
      <c r="E9022" s="6" t="s">
        <v>1570</v>
      </c>
      <c r="F9022" s="6" t="s">
        <v>439</v>
      </c>
      <c r="G9022" s="6" t="s">
        <v>458</v>
      </c>
      <c r="H9022" s="11" t="s">
        <v>259</v>
      </c>
      <c r="I9022" s="12">
        <v>8.0</v>
      </c>
      <c r="J9022" s="6" t="s">
        <v>161</v>
      </c>
    </row>
    <row r="9023" ht="22.5" customHeight="1">
      <c r="A9023" s="6" t="s">
        <v>25831</v>
      </c>
      <c r="B9023" s="6" t="s">
        <v>19929</v>
      </c>
      <c r="C9023" s="10">
        <v>46054.0</v>
      </c>
      <c r="D9023" s="6" t="s">
        <v>436</v>
      </c>
      <c r="E9023" s="6" t="s">
        <v>475</v>
      </c>
      <c r="F9023" s="6" t="s">
        <v>439</v>
      </c>
      <c r="G9023" s="6" t="s">
        <v>326</v>
      </c>
      <c r="H9023" s="10">
        <v>46060.0</v>
      </c>
      <c r="I9023" s="12">
        <v>12.0</v>
      </c>
      <c r="J9023" s="6" t="s">
        <v>161</v>
      </c>
    </row>
    <row r="9024" ht="22.5" customHeight="1">
      <c r="A9024" s="6" t="s">
        <v>25832</v>
      </c>
      <c r="B9024" s="6" t="s">
        <v>19929</v>
      </c>
      <c r="C9024" s="10">
        <v>46044.0</v>
      </c>
      <c r="D9024" s="6" t="s">
        <v>391</v>
      </c>
      <c r="E9024" s="6" t="s">
        <v>775</v>
      </c>
      <c r="F9024" s="6" t="s">
        <v>439</v>
      </c>
      <c r="G9024" s="6" t="s">
        <v>477</v>
      </c>
      <c r="H9024" s="10">
        <v>46045.0</v>
      </c>
      <c r="I9024" s="12">
        <v>6.0</v>
      </c>
      <c r="J9024" s="6" t="s">
        <v>161</v>
      </c>
    </row>
    <row r="9025" ht="22.5" customHeight="1">
      <c r="A9025" s="6" t="s">
        <v>25833</v>
      </c>
      <c r="B9025" s="6" t="s">
        <v>19929</v>
      </c>
      <c r="C9025" s="10">
        <v>46039.0</v>
      </c>
      <c r="D9025" s="6" t="s">
        <v>312</v>
      </c>
      <c r="E9025" s="6" t="s">
        <v>1296</v>
      </c>
      <c r="F9025" s="6" t="s">
        <v>283</v>
      </c>
      <c r="G9025" s="6" t="s">
        <v>458</v>
      </c>
      <c r="H9025" s="10">
        <v>46046.0</v>
      </c>
      <c r="I9025" s="12">
        <v>5.0</v>
      </c>
      <c r="J9025" s="6" t="s">
        <v>161</v>
      </c>
    </row>
    <row r="9026" ht="22.5" customHeight="1">
      <c r="A9026" s="6" t="s">
        <v>25834</v>
      </c>
      <c r="B9026" s="6" t="s">
        <v>19929</v>
      </c>
      <c r="C9026" s="10">
        <v>46044.0</v>
      </c>
      <c r="D9026" s="6" t="s">
        <v>436</v>
      </c>
      <c r="E9026" s="6" t="s">
        <v>628</v>
      </c>
      <c r="F9026" s="6" t="s">
        <v>249</v>
      </c>
      <c r="G9026" s="6" t="s">
        <v>458</v>
      </c>
      <c r="H9026" s="10">
        <v>46051.0</v>
      </c>
      <c r="I9026" s="12">
        <v>6.0</v>
      </c>
      <c r="J9026" s="6" t="s">
        <v>161</v>
      </c>
    </row>
    <row r="9027" ht="22.5" customHeight="1">
      <c r="A9027" s="6" t="s">
        <v>25835</v>
      </c>
      <c r="B9027" s="6" t="s">
        <v>19929</v>
      </c>
      <c r="C9027" s="10">
        <v>46039.0</v>
      </c>
      <c r="D9027" s="6" t="s">
        <v>391</v>
      </c>
      <c r="E9027" s="6" t="s">
        <v>2365</v>
      </c>
      <c r="F9027" s="6" t="s">
        <v>283</v>
      </c>
      <c r="G9027" s="6" t="s">
        <v>477</v>
      </c>
      <c r="H9027" s="10">
        <v>46046.0</v>
      </c>
      <c r="I9027" s="12">
        <v>7.0</v>
      </c>
      <c r="J9027" s="6" t="s">
        <v>161</v>
      </c>
    </row>
    <row r="9028" ht="22.5" customHeight="1">
      <c r="A9028" s="6" t="s">
        <v>25836</v>
      </c>
      <c r="B9028" s="6" t="s">
        <v>19936</v>
      </c>
      <c r="C9028" s="10">
        <v>46072.0</v>
      </c>
      <c r="D9028" s="6" t="s">
        <v>436</v>
      </c>
      <c r="E9028" s="6" t="s">
        <v>738</v>
      </c>
      <c r="F9028" s="6" t="s">
        <v>439</v>
      </c>
      <c r="G9028" s="6" t="s">
        <v>458</v>
      </c>
      <c r="H9028" s="10">
        <v>46076.0</v>
      </c>
      <c r="I9028" s="12">
        <v>10.0</v>
      </c>
      <c r="J9028" s="6" t="s">
        <v>178</v>
      </c>
    </row>
    <row r="9029" ht="22.5" customHeight="1">
      <c r="A9029" s="6" t="s">
        <v>25837</v>
      </c>
      <c r="B9029" s="6" t="s">
        <v>19943</v>
      </c>
      <c r="C9029" s="10">
        <v>46041.0</v>
      </c>
      <c r="D9029" s="6" t="s">
        <v>242</v>
      </c>
      <c r="E9029" s="6" t="s">
        <v>885</v>
      </c>
      <c r="F9029" s="6" t="s">
        <v>439</v>
      </c>
      <c r="G9029" s="6" t="s">
        <v>254</v>
      </c>
      <c r="H9029" s="10">
        <v>46048.0</v>
      </c>
      <c r="I9029" s="12">
        <v>6.0</v>
      </c>
      <c r="J9029" s="6" t="s">
        <v>178</v>
      </c>
    </row>
    <row r="9030" ht="22.5" customHeight="1">
      <c r="A9030" s="6" t="s">
        <v>25838</v>
      </c>
      <c r="B9030" s="6" t="s">
        <v>19950</v>
      </c>
      <c r="C9030" s="10">
        <v>46075.0</v>
      </c>
      <c r="D9030" s="6" t="s">
        <v>289</v>
      </c>
      <c r="E9030" s="6" t="s">
        <v>438</v>
      </c>
      <c r="F9030" s="6" t="s">
        <v>112</v>
      </c>
      <c r="G9030" s="6" t="s">
        <v>297</v>
      </c>
      <c r="H9030" s="10">
        <v>46082.0</v>
      </c>
      <c r="I9030" s="12">
        <v>6.0</v>
      </c>
      <c r="J9030" s="6" t="s">
        <v>161</v>
      </c>
    </row>
    <row r="9031" ht="22.5" customHeight="1">
      <c r="A9031" s="6" t="s">
        <v>25839</v>
      </c>
      <c r="B9031" s="6" t="s">
        <v>19950</v>
      </c>
      <c r="C9031" s="10">
        <v>46074.0</v>
      </c>
      <c r="D9031" s="6" t="s">
        <v>677</v>
      </c>
      <c r="E9031" s="6" t="s">
        <v>1055</v>
      </c>
      <c r="F9031" s="6" t="s">
        <v>283</v>
      </c>
      <c r="G9031" s="6" t="s">
        <v>458</v>
      </c>
      <c r="H9031" s="10">
        <v>46075.0</v>
      </c>
      <c r="I9031" s="12">
        <v>3.0</v>
      </c>
      <c r="J9031" s="6" t="s">
        <v>161</v>
      </c>
    </row>
    <row r="9032" ht="22.5" customHeight="1">
      <c r="A9032" s="6" t="s">
        <v>25840</v>
      </c>
      <c r="B9032" s="6" t="s">
        <v>19950</v>
      </c>
      <c r="C9032" s="10">
        <v>46065.0</v>
      </c>
      <c r="D9032" s="6" t="s">
        <v>289</v>
      </c>
      <c r="E9032" s="6" t="s">
        <v>610</v>
      </c>
      <c r="F9032" s="6" t="s">
        <v>439</v>
      </c>
      <c r="G9032" s="6" t="s">
        <v>326</v>
      </c>
      <c r="H9032" s="10">
        <v>46068.0</v>
      </c>
      <c r="I9032" s="12">
        <v>8.0</v>
      </c>
      <c r="J9032" s="6" t="s">
        <v>161</v>
      </c>
    </row>
    <row r="9033" ht="22.5" customHeight="1">
      <c r="A9033" s="6" t="s">
        <v>25841</v>
      </c>
      <c r="B9033" s="6" t="s">
        <v>19950</v>
      </c>
      <c r="C9033" s="10">
        <v>46073.0</v>
      </c>
      <c r="D9033" s="6" t="s">
        <v>289</v>
      </c>
      <c r="E9033" s="6" t="s">
        <v>1626</v>
      </c>
      <c r="F9033" s="6" t="s">
        <v>112</v>
      </c>
      <c r="G9033" s="6" t="s">
        <v>326</v>
      </c>
      <c r="H9033" s="10">
        <v>46076.0</v>
      </c>
      <c r="I9033" s="12">
        <v>5.0</v>
      </c>
      <c r="J9033" s="6" t="s">
        <v>161</v>
      </c>
    </row>
    <row r="9034" ht="22.5" customHeight="1">
      <c r="A9034" s="6" t="s">
        <v>25842</v>
      </c>
      <c r="B9034" s="6" t="s">
        <v>19956</v>
      </c>
      <c r="C9034" s="10">
        <v>46035.0</v>
      </c>
      <c r="D9034" s="6" t="s">
        <v>289</v>
      </c>
      <c r="E9034" s="6" t="s">
        <v>885</v>
      </c>
      <c r="F9034" s="6" t="s">
        <v>439</v>
      </c>
      <c r="G9034" s="6" t="s">
        <v>452</v>
      </c>
      <c r="H9034" s="11" t="s">
        <v>259</v>
      </c>
      <c r="I9034" s="12">
        <v>10.0</v>
      </c>
      <c r="J9034" s="6" t="s">
        <v>161</v>
      </c>
    </row>
    <row r="9035" ht="22.5" customHeight="1">
      <c r="A9035" s="6" t="s">
        <v>25843</v>
      </c>
      <c r="B9035" s="6" t="s">
        <v>19956</v>
      </c>
      <c r="C9035" s="10">
        <v>46025.0</v>
      </c>
      <c r="D9035" s="6" t="s">
        <v>242</v>
      </c>
      <c r="E9035" s="6" t="s">
        <v>475</v>
      </c>
      <c r="F9035" s="6" t="s">
        <v>283</v>
      </c>
      <c r="G9035" s="6" t="s">
        <v>477</v>
      </c>
      <c r="H9035" s="10">
        <v>46029.0</v>
      </c>
      <c r="I9035" s="12">
        <v>5.0</v>
      </c>
      <c r="J9035" s="6" t="s">
        <v>178</v>
      </c>
    </row>
    <row r="9036" ht="22.5" customHeight="1">
      <c r="A9036" s="6" t="s">
        <v>25844</v>
      </c>
      <c r="B9036" s="6" t="s">
        <v>19956</v>
      </c>
      <c r="C9036" s="10">
        <v>46037.0</v>
      </c>
      <c r="D9036" s="6" t="s">
        <v>677</v>
      </c>
      <c r="E9036" s="6" t="s">
        <v>246</v>
      </c>
      <c r="F9036" s="6" t="s">
        <v>112</v>
      </c>
      <c r="G9036" s="6" t="s">
        <v>477</v>
      </c>
      <c r="H9036" s="10">
        <v>46037.0</v>
      </c>
      <c r="I9036" s="12">
        <v>4.0</v>
      </c>
      <c r="J9036" s="6" t="s">
        <v>161</v>
      </c>
    </row>
    <row r="9037" ht="22.5" customHeight="1">
      <c r="A9037" s="6" t="s">
        <v>25845</v>
      </c>
      <c r="B9037" s="6" t="s">
        <v>19956</v>
      </c>
      <c r="C9037" s="10">
        <v>46043.0</v>
      </c>
      <c r="D9037" s="6" t="s">
        <v>416</v>
      </c>
      <c r="E9037" s="6" t="s">
        <v>775</v>
      </c>
      <c r="F9037" s="6" t="s">
        <v>112</v>
      </c>
      <c r="G9037" s="6" t="s">
        <v>494</v>
      </c>
      <c r="H9037" s="10">
        <v>46050.0</v>
      </c>
      <c r="I9037" s="12">
        <v>10.0</v>
      </c>
      <c r="J9037" s="6" t="s">
        <v>161</v>
      </c>
    </row>
    <row r="9038" ht="22.5" customHeight="1">
      <c r="A9038" s="6" t="s">
        <v>25846</v>
      </c>
      <c r="B9038" s="6" t="s">
        <v>19962</v>
      </c>
      <c r="C9038" s="10">
        <v>46071.0</v>
      </c>
      <c r="D9038" s="6" t="s">
        <v>242</v>
      </c>
      <c r="E9038" s="6" t="s">
        <v>1280</v>
      </c>
      <c r="F9038" s="6" t="s">
        <v>283</v>
      </c>
      <c r="G9038" s="6" t="s">
        <v>494</v>
      </c>
      <c r="H9038" s="10">
        <v>46078.0</v>
      </c>
      <c r="I9038" s="12">
        <v>5.0</v>
      </c>
      <c r="J9038" s="6" t="s">
        <v>161</v>
      </c>
    </row>
    <row r="9039" ht="22.5" customHeight="1">
      <c r="A9039" s="6" t="s">
        <v>25847</v>
      </c>
      <c r="B9039" s="6" t="s">
        <v>19962</v>
      </c>
      <c r="C9039" s="10">
        <v>46067.0</v>
      </c>
      <c r="D9039" s="6" t="s">
        <v>242</v>
      </c>
      <c r="E9039" s="6" t="s">
        <v>320</v>
      </c>
      <c r="F9039" s="6" t="s">
        <v>112</v>
      </c>
      <c r="G9039" s="6" t="s">
        <v>494</v>
      </c>
      <c r="H9039" s="10">
        <v>46073.0</v>
      </c>
      <c r="I9039" s="12">
        <v>5.0</v>
      </c>
      <c r="J9039" s="6" t="s">
        <v>161</v>
      </c>
    </row>
    <row r="9040" ht="22.5" customHeight="1">
      <c r="A9040" s="6" t="s">
        <v>25848</v>
      </c>
      <c r="B9040" s="6" t="s">
        <v>19969</v>
      </c>
      <c r="C9040" s="10">
        <v>46047.0</v>
      </c>
      <c r="D9040" s="6" t="s">
        <v>312</v>
      </c>
      <c r="E9040" s="6" t="s">
        <v>634</v>
      </c>
      <c r="F9040" s="6" t="s">
        <v>283</v>
      </c>
      <c r="G9040" s="6" t="s">
        <v>452</v>
      </c>
      <c r="H9040" s="10">
        <v>46051.0</v>
      </c>
      <c r="I9040" s="12">
        <v>6.0</v>
      </c>
      <c r="J9040" s="6" t="s">
        <v>161</v>
      </c>
    </row>
    <row r="9041" ht="22.5" customHeight="1">
      <c r="A9041" s="6" t="s">
        <v>25849</v>
      </c>
      <c r="B9041" s="6" t="s">
        <v>19969</v>
      </c>
      <c r="C9041" s="10">
        <v>46049.0</v>
      </c>
      <c r="D9041" s="6" t="s">
        <v>312</v>
      </c>
      <c r="E9041" s="6" t="s">
        <v>1969</v>
      </c>
      <c r="F9041" s="6" t="s">
        <v>249</v>
      </c>
      <c r="G9041" s="6" t="s">
        <v>458</v>
      </c>
      <c r="H9041" s="10">
        <v>46052.0</v>
      </c>
      <c r="I9041" s="12">
        <v>6.0</v>
      </c>
      <c r="J9041" s="6" t="s">
        <v>161</v>
      </c>
    </row>
    <row r="9042" ht="22.5" customHeight="1">
      <c r="A9042" s="6" t="s">
        <v>25850</v>
      </c>
      <c r="B9042" s="6" t="s">
        <v>19969</v>
      </c>
      <c r="C9042" s="10">
        <v>46036.0</v>
      </c>
      <c r="D9042" s="6" t="s">
        <v>391</v>
      </c>
      <c r="E9042" s="6" t="s">
        <v>1149</v>
      </c>
      <c r="F9042" s="6" t="s">
        <v>283</v>
      </c>
      <c r="G9042" s="6" t="s">
        <v>369</v>
      </c>
      <c r="H9042" s="10">
        <v>46043.0</v>
      </c>
      <c r="I9042" s="12">
        <v>7.0</v>
      </c>
      <c r="J9042" s="6" t="s">
        <v>161</v>
      </c>
    </row>
    <row r="9043" ht="22.5" customHeight="1">
      <c r="A9043" s="6" t="s">
        <v>25851</v>
      </c>
      <c r="B9043" s="6" t="s">
        <v>19969</v>
      </c>
      <c r="C9043" s="10">
        <v>46036.0</v>
      </c>
      <c r="D9043" s="6" t="s">
        <v>391</v>
      </c>
      <c r="E9043" s="6" t="s">
        <v>365</v>
      </c>
      <c r="F9043" s="6" t="s">
        <v>439</v>
      </c>
      <c r="G9043" s="6" t="s">
        <v>477</v>
      </c>
      <c r="H9043" s="10">
        <v>46040.0</v>
      </c>
      <c r="I9043" s="12">
        <v>6.0</v>
      </c>
      <c r="J9043" s="6" t="s">
        <v>161</v>
      </c>
    </row>
    <row r="9044" ht="22.5" customHeight="1">
      <c r="A9044" s="6" t="s">
        <v>25852</v>
      </c>
      <c r="B9044" s="6" t="s">
        <v>19975</v>
      </c>
      <c r="C9044" s="10">
        <v>46043.0</v>
      </c>
      <c r="D9044" s="6" t="s">
        <v>436</v>
      </c>
      <c r="E9044" s="6" t="s">
        <v>787</v>
      </c>
      <c r="F9044" s="6" t="s">
        <v>283</v>
      </c>
      <c r="G9044" s="6" t="s">
        <v>326</v>
      </c>
      <c r="H9044" s="10">
        <v>46046.0</v>
      </c>
      <c r="I9044" s="12">
        <v>11.0</v>
      </c>
      <c r="J9044" s="6" t="s">
        <v>178</v>
      </c>
    </row>
    <row r="9045" ht="22.5" customHeight="1">
      <c r="A9045" s="6" t="s">
        <v>25853</v>
      </c>
      <c r="B9045" s="6" t="s">
        <v>19975</v>
      </c>
      <c r="C9045" s="10">
        <v>46040.0</v>
      </c>
      <c r="D9045" s="6" t="s">
        <v>289</v>
      </c>
      <c r="E9045" s="6" t="s">
        <v>628</v>
      </c>
      <c r="F9045" s="6" t="s">
        <v>283</v>
      </c>
      <c r="G9045" s="6" t="s">
        <v>458</v>
      </c>
      <c r="H9045" s="10">
        <v>46047.0</v>
      </c>
      <c r="I9045" s="12">
        <v>6.0</v>
      </c>
      <c r="J9045" s="6" t="s">
        <v>161</v>
      </c>
    </row>
    <row r="9046" ht="22.5" customHeight="1">
      <c r="A9046" s="6" t="s">
        <v>25854</v>
      </c>
      <c r="B9046" s="6" t="s">
        <v>19975</v>
      </c>
      <c r="C9046" s="10">
        <v>46033.0</v>
      </c>
      <c r="D9046" s="6" t="s">
        <v>416</v>
      </c>
      <c r="E9046" s="6" t="s">
        <v>2365</v>
      </c>
      <c r="F9046" s="6" t="s">
        <v>283</v>
      </c>
      <c r="G9046" s="6" t="s">
        <v>477</v>
      </c>
      <c r="H9046" s="11" t="s">
        <v>259</v>
      </c>
      <c r="I9046" s="12">
        <v>10.0</v>
      </c>
      <c r="J9046" s="6" t="s">
        <v>161</v>
      </c>
    </row>
    <row r="9047" ht="22.5" customHeight="1">
      <c r="A9047" s="6" t="s">
        <v>25855</v>
      </c>
      <c r="B9047" s="6" t="s">
        <v>19975</v>
      </c>
      <c r="C9047" s="10">
        <v>46040.0</v>
      </c>
      <c r="D9047" s="6" t="s">
        <v>289</v>
      </c>
      <c r="E9047" s="6" t="s">
        <v>812</v>
      </c>
      <c r="F9047" s="6" t="s">
        <v>283</v>
      </c>
      <c r="G9047" s="6" t="s">
        <v>369</v>
      </c>
      <c r="H9047" s="10">
        <v>46045.0</v>
      </c>
      <c r="I9047" s="12">
        <v>10.0</v>
      </c>
      <c r="J9047" s="6" t="s">
        <v>161</v>
      </c>
    </row>
    <row r="9048" ht="22.5" customHeight="1">
      <c r="A9048" s="6" t="s">
        <v>25856</v>
      </c>
      <c r="B9048" s="6" t="s">
        <v>19980</v>
      </c>
      <c r="C9048" s="10">
        <v>46070.0</v>
      </c>
      <c r="D9048" s="6" t="s">
        <v>416</v>
      </c>
      <c r="E9048" s="6" t="s">
        <v>450</v>
      </c>
      <c r="F9048" s="6" t="s">
        <v>112</v>
      </c>
      <c r="G9048" s="6" t="s">
        <v>297</v>
      </c>
      <c r="H9048" s="10">
        <v>46071.0</v>
      </c>
      <c r="I9048" s="12">
        <v>13.0</v>
      </c>
      <c r="J9048" s="6" t="s">
        <v>161</v>
      </c>
    </row>
    <row r="9049" ht="22.5" customHeight="1">
      <c r="A9049" s="6" t="s">
        <v>25857</v>
      </c>
      <c r="B9049" s="6" t="s">
        <v>19980</v>
      </c>
      <c r="C9049" s="10">
        <v>46072.0</v>
      </c>
      <c r="D9049" s="6" t="s">
        <v>242</v>
      </c>
      <c r="E9049" s="6" t="s">
        <v>394</v>
      </c>
      <c r="F9049" s="6" t="s">
        <v>112</v>
      </c>
      <c r="G9049" s="6" t="s">
        <v>494</v>
      </c>
      <c r="H9049" s="10">
        <v>46076.0</v>
      </c>
      <c r="I9049" s="12">
        <v>3.0</v>
      </c>
      <c r="J9049" s="6" t="s">
        <v>178</v>
      </c>
    </row>
    <row r="9050" ht="22.5" customHeight="1">
      <c r="A9050" s="6" t="s">
        <v>25858</v>
      </c>
      <c r="B9050" s="6" t="s">
        <v>19980</v>
      </c>
      <c r="C9050" s="10">
        <v>46057.0</v>
      </c>
      <c r="D9050" s="6" t="s">
        <v>289</v>
      </c>
      <c r="E9050" s="6" t="s">
        <v>1626</v>
      </c>
      <c r="F9050" s="6" t="s">
        <v>112</v>
      </c>
      <c r="G9050" s="6" t="s">
        <v>297</v>
      </c>
      <c r="H9050" s="10">
        <v>46061.0</v>
      </c>
      <c r="I9050" s="12">
        <v>7.0</v>
      </c>
      <c r="J9050" s="6" t="s">
        <v>161</v>
      </c>
    </row>
    <row r="9051" ht="22.5" customHeight="1">
      <c r="A9051" s="6" t="s">
        <v>25859</v>
      </c>
      <c r="B9051" s="6" t="s">
        <v>19987</v>
      </c>
      <c r="C9051" s="10">
        <v>46049.0</v>
      </c>
      <c r="D9051" s="6" t="s">
        <v>289</v>
      </c>
      <c r="E9051" s="6" t="s">
        <v>716</v>
      </c>
      <c r="F9051" s="6" t="s">
        <v>112</v>
      </c>
      <c r="G9051" s="6" t="s">
        <v>369</v>
      </c>
      <c r="H9051" s="10">
        <v>46049.0</v>
      </c>
      <c r="I9051" s="12">
        <v>5.0</v>
      </c>
      <c r="J9051" s="6" t="s">
        <v>161</v>
      </c>
    </row>
    <row r="9052" ht="22.5" customHeight="1">
      <c r="A9052" s="6" t="s">
        <v>25860</v>
      </c>
      <c r="B9052" s="6" t="s">
        <v>19987</v>
      </c>
      <c r="C9052" s="10">
        <v>46049.0</v>
      </c>
      <c r="D9052" s="6" t="s">
        <v>391</v>
      </c>
      <c r="E9052" s="6" t="s">
        <v>1546</v>
      </c>
      <c r="F9052" s="6" t="s">
        <v>439</v>
      </c>
      <c r="G9052" s="6" t="s">
        <v>458</v>
      </c>
      <c r="H9052" s="10">
        <v>46049.0</v>
      </c>
      <c r="I9052" s="12">
        <v>9.0</v>
      </c>
      <c r="J9052" s="6" t="s">
        <v>161</v>
      </c>
    </row>
    <row r="9053" ht="22.5" customHeight="1">
      <c r="A9053" s="6" t="s">
        <v>25861</v>
      </c>
      <c r="B9053" s="6" t="s">
        <v>19987</v>
      </c>
      <c r="C9053" s="10">
        <v>46052.0</v>
      </c>
      <c r="D9053" s="6" t="s">
        <v>677</v>
      </c>
      <c r="E9053" s="6" t="s">
        <v>246</v>
      </c>
      <c r="F9053" s="6" t="s">
        <v>439</v>
      </c>
      <c r="G9053" s="6" t="s">
        <v>369</v>
      </c>
      <c r="H9053" s="10">
        <v>46058.0</v>
      </c>
      <c r="I9053" s="12">
        <v>2.0</v>
      </c>
      <c r="J9053" s="6" t="s">
        <v>161</v>
      </c>
    </row>
    <row r="9054" ht="22.5" customHeight="1">
      <c r="A9054" s="6" t="s">
        <v>25862</v>
      </c>
      <c r="B9054" s="6" t="s">
        <v>19994</v>
      </c>
      <c r="C9054" s="10">
        <v>46054.0</v>
      </c>
      <c r="D9054" s="6" t="s">
        <v>242</v>
      </c>
      <c r="E9054" s="6" t="s">
        <v>291</v>
      </c>
      <c r="F9054" s="6" t="s">
        <v>112</v>
      </c>
      <c r="G9054" s="6" t="s">
        <v>494</v>
      </c>
      <c r="H9054" s="10">
        <v>46059.0</v>
      </c>
      <c r="I9054" s="12">
        <v>3.0</v>
      </c>
      <c r="J9054" s="6" t="s">
        <v>178</v>
      </c>
    </row>
    <row r="9055" ht="22.5" customHeight="1">
      <c r="A9055" s="6" t="s">
        <v>25863</v>
      </c>
      <c r="B9055" s="6" t="s">
        <v>20001</v>
      </c>
      <c r="C9055" s="10">
        <v>46053.0</v>
      </c>
      <c r="D9055" s="6" t="s">
        <v>391</v>
      </c>
      <c r="E9055" s="6" t="s">
        <v>955</v>
      </c>
      <c r="F9055" s="6" t="s">
        <v>112</v>
      </c>
      <c r="G9055" s="6" t="s">
        <v>369</v>
      </c>
      <c r="H9055" s="10">
        <v>46056.0</v>
      </c>
      <c r="I9055" s="12">
        <v>11.0</v>
      </c>
      <c r="J9055" s="6" t="s">
        <v>161</v>
      </c>
    </row>
    <row r="9056" ht="22.5" customHeight="1">
      <c r="A9056" s="6" t="s">
        <v>25864</v>
      </c>
      <c r="B9056" s="6" t="s">
        <v>20001</v>
      </c>
      <c r="C9056" s="10">
        <v>46050.0</v>
      </c>
      <c r="D9056" s="6" t="s">
        <v>242</v>
      </c>
      <c r="E9056" s="6" t="s">
        <v>704</v>
      </c>
      <c r="F9056" s="6" t="s">
        <v>439</v>
      </c>
      <c r="G9056" s="6" t="s">
        <v>254</v>
      </c>
      <c r="H9056" s="10">
        <v>46050.0</v>
      </c>
      <c r="I9056" s="12">
        <v>5.0</v>
      </c>
      <c r="J9056" s="6" t="s">
        <v>178</v>
      </c>
    </row>
    <row r="9057" ht="22.5" customHeight="1">
      <c r="A9057" s="6" t="s">
        <v>25865</v>
      </c>
      <c r="B9057" s="6" t="s">
        <v>20001</v>
      </c>
      <c r="C9057" s="10">
        <v>46043.0</v>
      </c>
      <c r="D9057" s="6" t="s">
        <v>242</v>
      </c>
      <c r="E9057" s="6" t="s">
        <v>885</v>
      </c>
      <c r="F9057" s="6" t="s">
        <v>439</v>
      </c>
      <c r="G9057" s="6" t="s">
        <v>452</v>
      </c>
      <c r="H9057" s="10">
        <v>46044.0</v>
      </c>
      <c r="I9057" s="12">
        <v>4.0</v>
      </c>
      <c r="J9057" s="6" t="s">
        <v>161</v>
      </c>
    </row>
    <row r="9058" ht="22.5" customHeight="1">
      <c r="A9058" s="6" t="s">
        <v>25866</v>
      </c>
      <c r="B9058" s="6" t="s">
        <v>20008</v>
      </c>
      <c r="C9058" s="10">
        <v>46087.0</v>
      </c>
      <c r="D9058" s="6" t="s">
        <v>391</v>
      </c>
      <c r="E9058" s="6" t="s">
        <v>618</v>
      </c>
      <c r="F9058" s="6" t="s">
        <v>249</v>
      </c>
      <c r="G9058" s="6" t="s">
        <v>254</v>
      </c>
      <c r="H9058" s="11" t="s">
        <v>259</v>
      </c>
      <c r="I9058" s="12">
        <v>9.0</v>
      </c>
      <c r="J9058" s="6" t="s">
        <v>161</v>
      </c>
    </row>
    <row r="9059" ht="22.5" customHeight="1">
      <c r="A9059" s="6" t="s">
        <v>25867</v>
      </c>
      <c r="B9059" s="6" t="s">
        <v>20008</v>
      </c>
      <c r="C9059" s="10">
        <v>46081.0</v>
      </c>
      <c r="D9059" s="6" t="s">
        <v>391</v>
      </c>
      <c r="E9059" s="6" t="s">
        <v>394</v>
      </c>
      <c r="F9059" s="6" t="s">
        <v>249</v>
      </c>
      <c r="G9059" s="6" t="s">
        <v>494</v>
      </c>
      <c r="H9059" s="10">
        <v>46083.0</v>
      </c>
      <c r="I9059" s="12">
        <v>11.0</v>
      </c>
      <c r="J9059" s="6" t="s">
        <v>161</v>
      </c>
    </row>
    <row r="9060" ht="22.5" customHeight="1">
      <c r="A9060" s="6" t="s">
        <v>25868</v>
      </c>
      <c r="B9060" s="6" t="s">
        <v>20008</v>
      </c>
      <c r="C9060" s="10">
        <v>46070.0</v>
      </c>
      <c r="D9060" s="6" t="s">
        <v>677</v>
      </c>
      <c r="E9060" s="6" t="s">
        <v>610</v>
      </c>
      <c r="F9060" s="6" t="s">
        <v>112</v>
      </c>
      <c r="G9060" s="6" t="s">
        <v>254</v>
      </c>
      <c r="H9060" s="10">
        <v>46076.0</v>
      </c>
      <c r="I9060" s="12">
        <v>2.0</v>
      </c>
      <c r="J9060" s="6" t="s">
        <v>161</v>
      </c>
    </row>
    <row r="9061" ht="22.5" customHeight="1">
      <c r="A9061" s="6" t="s">
        <v>25869</v>
      </c>
      <c r="B9061" s="6" t="s">
        <v>20008</v>
      </c>
      <c r="C9061" s="10">
        <v>46087.0</v>
      </c>
      <c r="D9061" s="6" t="s">
        <v>391</v>
      </c>
      <c r="E9061" s="6" t="s">
        <v>695</v>
      </c>
      <c r="F9061" s="6" t="s">
        <v>249</v>
      </c>
      <c r="G9061" s="6" t="s">
        <v>326</v>
      </c>
      <c r="H9061" s="10">
        <v>46087.0</v>
      </c>
      <c r="I9061" s="12">
        <v>10.0</v>
      </c>
      <c r="J9061" s="6" t="s">
        <v>161</v>
      </c>
    </row>
    <row r="9062" ht="22.5" customHeight="1">
      <c r="A9062" s="6" t="s">
        <v>25870</v>
      </c>
      <c r="B9062" s="6" t="s">
        <v>20013</v>
      </c>
      <c r="C9062" s="10">
        <v>46088.0</v>
      </c>
      <c r="D9062" s="6" t="s">
        <v>416</v>
      </c>
      <c r="E9062" s="6" t="s">
        <v>1055</v>
      </c>
      <c r="F9062" s="6" t="s">
        <v>283</v>
      </c>
      <c r="G9062" s="6" t="s">
        <v>297</v>
      </c>
      <c r="H9062" s="10">
        <v>46093.0</v>
      </c>
      <c r="I9062" s="12">
        <v>11.0</v>
      </c>
      <c r="J9062" s="6" t="s">
        <v>161</v>
      </c>
    </row>
    <row r="9063" ht="22.5" customHeight="1">
      <c r="A9063" s="6" t="s">
        <v>25871</v>
      </c>
      <c r="B9063" s="6" t="s">
        <v>20013</v>
      </c>
      <c r="C9063" s="10">
        <v>46086.0</v>
      </c>
      <c r="D9063" s="6" t="s">
        <v>391</v>
      </c>
      <c r="E9063" s="6" t="s">
        <v>787</v>
      </c>
      <c r="F9063" s="6" t="s">
        <v>112</v>
      </c>
      <c r="G9063" s="6" t="s">
        <v>458</v>
      </c>
      <c r="H9063" s="10">
        <v>46092.0</v>
      </c>
      <c r="I9063" s="12">
        <v>7.0</v>
      </c>
      <c r="J9063" s="6" t="s">
        <v>161</v>
      </c>
    </row>
    <row r="9064" ht="22.5" customHeight="1">
      <c r="A9064" s="6" t="s">
        <v>25872</v>
      </c>
      <c r="B9064" s="6" t="s">
        <v>20013</v>
      </c>
      <c r="C9064" s="10">
        <v>46087.0</v>
      </c>
      <c r="D9064" s="6" t="s">
        <v>416</v>
      </c>
      <c r="E9064" s="6" t="s">
        <v>610</v>
      </c>
      <c r="F9064" s="6" t="s">
        <v>112</v>
      </c>
      <c r="G9064" s="6" t="s">
        <v>254</v>
      </c>
      <c r="H9064" s="10">
        <v>46092.0</v>
      </c>
      <c r="I9064" s="12">
        <v>14.0</v>
      </c>
      <c r="J9064" s="6" t="s">
        <v>161</v>
      </c>
    </row>
    <row r="9065" ht="22.5" customHeight="1">
      <c r="A9065" s="6" t="s">
        <v>25873</v>
      </c>
      <c r="B9065" s="6" t="s">
        <v>20013</v>
      </c>
      <c r="C9065" s="10">
        <v>46082.0</v>
      </c>
      <c r="D9065" s="6" t="s">
        <v>242</v>
      </c>
      <c r="E9065" s="6" t="s">
        <v>466</v>
      </c>
      <c r="F9065" s="6" t="s">
        <v>112</v>
      </c>
      <c r="G9065" s="6" t="s">
        <v>297</v>
      </c>
      <c r="H9065" s="10">
        <v>46089.0</v>
      </c>
      <c r="I9065" s="12">
        <v>5.0</v>
      </c>
      <c r="J9065" s="6" t="s">
        <v>161</v>
      </c>
    </row>
    <row r="9066" ht="22.5" customHeight="1">
      <c r="A9066" s="6" t="s">
        <v>25874</v>
      </c>
      <c r="B9066" s="6" t="s">
        <v>20020</v>
      </c>
      <c r="C9066" s="10">
        <v>46058.0</v>
      </c>
      <c r="D9066" s="6" t="s">
        <v>677</v>
      </c>
      <c r="E9066" s="6" t="s">
        <v>1700</v>
      </c>
      <c r="F9066" s="6" t="s">
        <v>112</v>
      </c>
      <c r="G9066" s="6" t="s">
        <v>297</v>
      </c>
      <c r="H9066" s="10">
        <v>46063.0</v>
      </c>
      <c r="I9066" s="12">
        <v>4.0</v>
      </c>
      <c r="J9066" s="6" t="s">
        <v>161</v>
      </c>
    </row>
    <row r="9067" ht="22.5" customHeight="1">
      <c r="A9067" s="6" t="s">
        <v>25875</v>
      </c>
      <c r="B9067" s="6" t="s">
        <v>20020</v>
      </c>
      <c r="C9067" s="10">
        <v>46046.0</v>
      </c>
      <c r="D9067" s="6" t="s">
        <v>391</v>
      </c>
      <c r="E9067" s="6" t="s">
        <v>1546</v>
      </c>
      <c r="F9067" s="6" t="s">
        <v>439</v>
      </c>
      <c r="G9067" s="6" t="s">
        <v>477</v>
      </c>
      <c r="H9067" s="11" t="s">
        <v>259</v>
      </c>
      <c r="I9067" s="12">
        <v>9.0</v>
      </c>
      <c r="J9067" s="6" t="s">
        <v>161</v>
      </c>
    </row>
    <row r="9068" ht="22.5" customHeight="1">
      <c r="A9068" s="6" t="s">
        <v>25876</v>
      </c>
      <c r="B9068" s="6" t="s">
        <v>20020</v>
      </c>
      <c r="C9068" s="10">
        <v>46046.0</v>
      </c>
      <c r="D9068" s="6" t="s">
        <v>436</v>
      </c>
      <c r="E9068" s="6" t="s">
        <v>1102</v>
      </c>
      <c r="F9068" s="6" t="s">
        <v>112</v>
      </c>
      <c r="G9068" s="6" t="s">
        <v>477</v>
      </c>
      <c r="H9068" s="10">
        <v>46053.0</v>
      </c>
      <c r="I9068" s="12">
        <v>7.0</v>
      </c>
      <c r="J9068" s="6" t="s">
        <v>178</v>
      </c>
    </row>
    <row r="9069" ht="22.5" customHeight="1">
      <c r="A9069" s="6" t="s">
        <v>25877</v>
      </c>
      <c r="B9069" s="6" t="s">
        <v>20025</v>
      </c>
      <c r="C9069" s="10">
        <v>46048.0</v>
      </c>
      <c r="D9069" s="6" t="s">
        <v>677</v>
      </c>
      <c r="E9069" s="6" t="s">
        <v>2881</v>
      </c>
      <c r="F9069" s="6" t="s">
        <v>283</v>
      </c>
      <c r="G9069" s="6" t="s">
        <v>452</v>
      </c>
      <c r="H9069" s="10">
        <v>46055.0</v>
      </c>
      <c r="I9069" s="12">
        <v>4.0</v>
      </c>
      <c r="J9069" s="6" t="s">
        <v>161</v>
      </c>
    </row>
    <row r="9070" ht="22.5" customHeight="1">
      <c r="A9070" s="6" t="s">
        <v>25878</v>
      </c>
      <c r="B9070" s="6" t="s">
        <v>20025</v>
      </c>
      <c r="C9070" s="10">
        <v>46041.0</v>
      </c>
      <c r="D9070" s="6" t="s">
        <v>416</v>
      </c>
      <c r="E9070" s="6" t="s">
        <v>1296</v>
      </c>
      <c r="F9070" s="6" t="s">
        <v>283</v>
      </c>
      <c r="G9070" s="6" t="s">
        <v>494</v>
      </c>
      <c r="H9070" s="10">
        <v>46048.0</v>
      </c>
      <c r="I9070" s="12">
        <v>14.0</v>
      </c>
      <c r="J9070" s="6" t="s">
        <v>161</v>
      </c>
    </row>
    <row r="9071" ht="22.5" customHeight="1">
      <c r="A9071" s="6" t="s">
        <v>25879</v>
      </c>
      <c r="B9071" s="6" t="s">
        <v>20031</v>
      </c>
      <c r="C9071" s="10">
        <v>46077.0</v>
      </c>
      <c r="D9071" s="6" t="s">
        <v>289</v>
      </c>
      <c r="E9071" s="6" t="s">
        <v>1546</v>
      </c>
      <c r="F9071" s="6" t="s">
        <v>439</v>
      </c>
      <c r="G9071" s="6" t="s">
        <v>369</v>
      </c>
      <c r="H9071" s="10">
        <v>46081.0</v>
      </c>
      <c r="I9071" s="12">
        <v>7.0</v>
      </c>
      <c r="J9071" s="6" t="s">
        <v>161</v>
      </c>
    </row>
    <row r="9072" ht="22.5" customHeight="1">
      <c r="A9072" s="6" t="s">
        <v>25880</v>
      </c>
      <c r="B9072" s="6" t="s">
        <v>20031</v>
      </c>
      <c r="C9072" s="10">
        <v>46074.0</v>
      </c>
      <c r="D9072" s="6" t="s">
        <v>436</v>
      </c>
      <c r="E9072" s="6" t="s">
        <v>1741</v>
      </c>
      <c r="F9072" s="6" t="s">
        <v>439</v>
      </c>
      <c r="G9072" s="6" t="s">
        <v>458</v>
      </c>
      <c r="H9072" s="10">
        <v>46075.0</v>
      </c>
      <c r="I9072" s="12">
        <v>12.0</v>
      </c>
      <c r="J9072" s="6" t="s">
        <v>161</v>
      </c>
    </row>
    <row r="9073" ht="22.5" customHeight="1">
      <c r="A9073" s="6" t="s">
        <v>25881</v>
      </c>
      <c r="B9073" s="6" t="s">
        <v>20031</v>
      </c>
      <c r="C9073" s="10">
        <v>46065.0</v>
      </c>
      <c r="D9073" s="6" t="s">
        <v>391</v>
      </c>
      <c r="E9073" s="6" t="s">
        <v>1546</v>
      </c>
      <c r="F9073" s="6" t="s">
        <v>439</v>
      </c>
      <c r="G9073" s="6" t="s">
        <v>458</v>
      </c>
      <c r="H9073" s="10">
        <v>46071.0</v>
      </c>
      <c r="I9073" s="12">
        <v>8.0</v>
      </c>
      <c r="J9073" s="6" t="s">
        <v>161</v>
      </c>
    </row>
    <row r="9074" ht="22.5" customHeight="1">
      <c r="A9074" s="6" t="s">
        <v>25882</v>
      </c>
      <c r="B9074" s="6" t="s">
        <v>20031</v>
      </c>
      <c r="C9074" s="10">
        <v>46070.0</v>
      </c>
      <c r="D9074" s="6" t="s">
        <v>391</v>
      </c>
      <c r="E9074" s="6" t="s">
        <v>583</v>
      </c>
      <c r="F9074" s="6" t="s">
        <v>283</v>
      </c>
      <c r="G9074" s="6" t="s">
        <v>452</v>
      </c>
      <c r="H9074" s="11" t="s">
        <v>259</v>
      </c>
      <c r="I9074" s="12">
        <v>6.0</v>
      </c>
      <c r="J9074" s="6" t="s">
        <v>161</v>
      </c>
    </row>
    <row r="9075" ht="22.5" customHeight="1">
      <c r="A9075" s="6" t="s">
        <v>25883</v>
      </c>
      <c r="B9075" s="6" t="s">
        <v>20038</v>
      </c>
      <c r="C9075" s="10">
        <v>46042.0</v>
      </c>
      <c r="D9075" s="6" t="s">
        <v>242</v>
      </c>
      <c r="E9075" s="6" t="s">
        <v>1517</v>
      </c>
      <c r="F9075" s="6" t="s">
        <v>249</v>
      </c>
      <c r="G9075" s="6" t="s">
        <v>494</v>
      </c>
      <c r="H9075" s="10">
        <v>46049.0</v>
      </c>
      <c r="I9075" s="12">
        <v>6.0</v>
      </c>
      <c r="J9075" s="6" t="s">
        <v>161</v>
      </c>
    </row>
    <row r="9076" ht="22.5" customHeight="1">
      <c r="A9076" s="6" t="s">
        <v>25884</v>
      </c>
      <c r="B9076" s="6" t="s">
        <v>20038</v>
      </c>
      <c r="C9076" s="10">
        <v>46039.0</v>
      </c>
      <c r="D9076" s="6" t="s">
        <v>312</v>
      </c>
      <c r="E9076" s="6" t="s">
        <v>1070</v>
      </c>
      <c r="F9076" s="6" t="s">
        <v>283</v>
      </c>
      <c r="G9076" s="6" t="s">
        <v>477</v>
      </c>
      <c r="H9076" s="10">
        <v>46042.0</v>
      </c>
      <c r="I9076" s="12">
        <v>7.0</v>
      </c>
      <c r="J9076" s="6" t="s">
        <v>161</v>
      </c>
    </row>
    <row r="9077" ht="22.5" customHeight="1">
      <c r="A9077" s="6" t="s">
        <v>25885</v>
      </c>
      <c r="B9077" s="6" t="s">
        <v>20038</v>
      </c>
      <c r="C9077" s="10">
        <v>46043.0</v>
      </c>
      <c r="D9077" s="6" t="s">
        <v>436</v>
      </c>
      <c r="E9077" s="6" t="s">
        <v>863</v>
      </c>
      <c r="F9077" s="6" t="s">
        <v>283</v>
      </c>
      <c r="G9077" s="6" t="s">
        <v>326</v>
      </c>
      <c r="H9077" s="10">
        <v>46046.0</v>
      </c>
      <c r="I9077" s="12">
        <v>7.0</v>
      </c>
      <c r="J9077" s="6" t="s">
        <v>178</v>
      </c>
    </row>
    <row r="9078" ht="22.5" customHeight="1">
      <c r="A9078" s="6" t="s">
        <v>25886</v>
      </c>
      <c r="B9078" s="6" t="s">
        <v>20038</v>
      </c>
      <c r="C9078" s="10">
        <v>46033.0</v>
      </c>
      <c r="D9078" s="6" t="s">
        <v>436</v>
      </c>
      <c r="E9078" s="6" t="s">
        <v>1700</v>
      </c>
      <c r="F9078" s="6" t="s">
        <v>439</v>
      </c>
      <c r="G9078" s="6" t="s">
        <v>494</v>
      </c>
      <c r="H9078" s="10">
        <v>46035.0</v>
      </c>
      <c r="I9078" s="12">
        <v>8.0</v>
      </c>
      <c r="J9078" s="6" t="s">
        <v>178</v>
      </c>
    </row>
    <row r="9079" ht="22.5" customHeight="1">
      <c r="A9079" s="6" t="s">
        <v>25887</v>
      </c>
      <c r="B9079" s="6" t="s">
        <v>20038</v>
      </c>
      <c r="C9079" s="10">
        <v>46029.0</v>
      </c>
      <c r="D9079" s="6" t="s">
        <v>416</v>
      </c>
      <c r="E9079" s="6" t="s">
        <v>955</v>
      </c>
      <c r="F9079" s="6" t="s">
        <v>112</v>
      </c>
      <c r="G9079" s="6" t="s">
        <v>369</v>
      </c>
      <c r="H9079" s="10">
        <v>46031.0</v>
      </c>
      <c r="I9079" s="12">
        <v>8.0</v>
      </c>
      <c r="J9079" s="6" t="s">
        <v>161</v>
      </c>
    </row>
    <row r="9080" ht="22.5" customHeight="1">
      <c r="A9080" s="6" t="s">
        <v>25888</v>
      </c>
      <c r="B9080" s="6" t="s">
        <v>20045</v>
      </c>
      <c r="C9080" s="10">
        <v>46070.0</v>
      </c>
      <c r="D9080" s="6" t="s">
        <v>312</v>
      </c>
      <c r="E9080" s="6" t="s">
        <v>812</v>
      </c>
      <c r="F9080" s="6" t="s">
        <v>112</v>
      </c>
      <c r="G9080" s="6" t="s">
        <v>369</v>
      </c>
      <c r="H9080" s="10">
        <v>46073.0</v>
      </c>
      <c r="I9080" s="12">
        <v>5.0</v>
      </c>
      <c r="J9080" s="6" t="s">
        <v>161</v>
      </c>
    </row>
    <row r="9081" ht="22.5" customHeight="1">
      <c r="A9081" s="6" t="s">
        <v>25889</v>
      </c>
      <c r="B9081" s="6" t="s">
        <v>20045</v>
      </c>
      <c r="C9081" s="10">
        <v>46077.0</v>
      </c>
      <c r="D9081" s="6" t="s">
        <v>416</v>
      </c>
      <c r="E9081" s="6" t="s">
        <v>833</v>
      </c>
      <c r="F9081" s="6" t="s">
        <v>439</v>
      </c>
      <c r="G9081" s="6" t="s">
        <v>452</v>
      </c>
      <c r="H9081" s="10">
        <v>46080.0</v>
      </c>
      <c r="I9081" s="12">
        <v>13.0</v>
      </c>
      <c r="J9081" s="6" t="s">
        <v>161</v>
      </c>
    </row>
    <row r="9082" ht="22.5" customHeight="1">
      <c r="A9082" s="6" t="s">
        <v>25890</v>
      </c>
      <c r="B9082" s="6" t="s">
        <v>20045</v>
      </c>
      <c r="C9082" s="10">
        <v>46070.0</v>
      </c>
      <c r="D9082" s="6" t="s">
        <v>242</v>
      </c>
      <c r="E9082" s="6" t="s">
        <v>955</v>
      </c>
      <c r="F9082" s="6" t="s">
        <v>249</v>
      </c>
      <c r="G9082" s="6" t="s">
        <v>369</v>
      </c>
      <c r="H9082" s="11" t="s">
        <v>259</v>
      </c>
      <c r="I9082" s="12">
        <v>3.0</v>
      </c>
      <c r="J9082" s="6" t="s">
        <v>178</v>
      </c>
    </row>
    <row r="9083" ht="22.5" customHeight="1">
      <c r="A9083" s="6" t="s">
        <v>25891</v>
      </c>
      <c r="B9083" s="6" t="s">
        <v>20045</v>
      </c>
      <c r="C9083" s="10">
        <v>46080.0</v>
      </c>
      <c r="D9083" s="6" t="s">
        <v>242</v>
      </c>
      <c r="E9083" s="6" t="s">
        <v>1700</v>
      </c>
      <c r="F9083" s="6" t="s">
        <v>439</v>
      </c>
      <c r="G9083" s="6" t="s">
        <v>297</v>
      </c>
      <c r="H9083" s="10">
        <v>46083.0</v>
      </c>
      <c r="I9083" s="12">
        <v>6.0</v>
      </c>
      <c r="J9083" s="6" t="s">
        <v>178</v>
      </c>
    </row>
    <row r="9084" ht="22.5" customHeight="1">
      <c r="A9084" s="6" t="s">
        <v>25892</v>
      </c>
      <c r="B9084" s="6" t="s">
        <v>20051</v>
      </c>
      <c r="C9084" s="10">
        <v>46061.0</v>
      </c>
      <c r="D9084" s="6" t="s">
        <v>312</v>
      </c>
      <c r="E9084" s="6" t="s">
        <v>1517</v>
      </c>
      <c r="F9084" s="6" t="s">
        <v>112</v>
      </c>
      <c r="G9084" s="6" t="s">
        <v>369</v>
      </c>
      <c r="H9084" s="10">
        <v>46067.0</v>
      </c>
      <c r="I9084" s="12">
        <v>6.0</v>
      </c>
      <c r="J9084" s="6" t="s">
        <v>161</v>
      </c>
    </row>
    <row r="9085" ht="22.5" customHeight="1">
      <c r="A9085" s="6" t="s">
        <v>25893</v>
      </c>
      <c r="B9085" s="6" t="s">
        <v>20051</v>
      </c>
      <c r="C9085" s="10">
        <v>46068.0</v>
      </c>
      <c r="D9085" s="6" t="s">
        <v>416</v>
      </c>
      <c r="E9085" s="6" t="s">
        <v>1969</v>
      </c>
      <c r="F9085" s="6" t="s">
        <v>112</v>
      </c>
      <c r="G9085" s="6" t="s">
        <v>477</v>
      </c>
      <c r="H9085" s="11" t="s">
        <v>259</v>
      </c>
      <c r="I9085" s="12">
        <v>10.0</v>
      </c>
      <c r="J9085" s="6" t="s">
        <v>161</v>
      </c>
    </row>
    <row r="9086" ht="22.5" customHeight="1">
      <c r="A9086" s="6" t="s">
        <v>25894</v>
      </c>
      <c r="B9086" s="6" t="s">
        <v>20058</v>
      </c>
      <c r="C9086" s="10">
        <v>46060.0</v>
      </c>
      <c r="D9086" s="6" t="s">
        <v>289</v>
      </c>
      <c r="E9086" s="6" t="s">
        <v>634</v>
      </c>
      <c r="F9086" s="6" t="s">
        <v>249</v>
      </c>
      <c r="G9086" s="6" t="s">
        <v>326</v>
      </c>
      <c r="H9086" s="10">
        <v>46062.0</v>
      </c>
      <c r="I9086" s="12">
        <v>6.0</v>
      </c>
      <c r="J9086" s="6" t="s">
        <v>161</v>
      </c>
    </row>
    <row r="9087" ht="22.5" customHeight="1">
      <c r="A9087" s="6" t="s">
        <v>25895</v>
      </c>
      <c r="B9087" s="6" t="s">
        <v>20058</v>
      </c>
      <c r="C9087" s="10">
        <v>46050.0</v>
      </c>
      <c r="D9087" s="6" t="s">
        <v>391</v>
      </c>
      <c r="E9087" s="6" t="s">
        <v>1310</v>
      </c>
      <c r="F9087" s="6" t="s">
        <v>112</v>
      </c>
      <c r="G9087" s="6" t="s">
        <v>297</v>
      </c>
      <c r="H9087" s="11" t="s">
        <v>259</v>
      </c>
      <c r="I9087" s="12">
        <v>10.0</v>
      </c>
      <c r="J9087" s="6" t="s">
        <v>161</v>
      </c>
    </row>
    <row r="9088" ht="22.5" customHeight="1">
      <c r="A9088" s="6" t="s">
        <v>25896</v>
      </c>
      <c r="B9088" s="6" t="s">
        <v>20058</v>
      </c>
      <c r="C9088" s="10">
        <v>46053.0</v>
      </c>
      <c r="D9088" s="6" t="s">
        <v>436</v>
      </c>
      <c r="E9088" s="6" t="s">
        <v>394</v>
      </c>
      <c r="F9088" s="6" t="s">
        <v>283</v>
      </c>
      <c r="G9088" s="6" t="s">
        <v>452</v>
      </c>
      <c r="H9088" s="10">
        <v>46060.0</v>
      </c>
      <c r="I9088" s="12">
        <v>9.0</v>
      </c>
      <c r="J9088" s="6" t="s">
        <v>178</v>
      </c>
    </row>
    <row r="9089" ht="22.5" customHeight="1">
      <c r="A9089" s="6" t="s">
        <v>25897</v>
      </c>
      <c r="B9089" s="6" t="s">
        <v>20064</v>
      </c>
      <c r="C9089" s="10">
        <v>46046.0</v>
      </c>
      <c r="D9089" s="6" t="s">
        <v>416</v>
      </c>
      <c r="E9089" s="6" t="s">
        <v>618</v>
      </c>
      <c r="F9089" s="6" t="s">
        <v>112</v>
      </c>
      <c r="G9089" s="6" t="s">
        <v>254</v>
      </c>
      <c r="H9089" s="10">
        <v>46053.0</v>
      </c>
      <c r="I9089" s="12">
        <v>10.0</v>
      </c>
      <c r="J9089" s="6" t="s">
        <v>161</v>
      </c>
    </row>
    <row r="9090" ht="22.5" customHeight="1">
      <c r="A9090" s="6" t="s">
        <v>25898</v>
      </c>
      <c r="B9090" s="6" t="s">
        <v>20064</v>
      </c>
      <c r="C9090" s="10">
        <v>46035.0</v>
      </c>
      <c r="D9090" s="6" t="s">
        <v>391</v>
      </c>
      <c r="E9090" s="6" t="s">
        <v>670</v>
      </c>
      <c r="F9090" s="6" t="s">
        <v>439</v>
      </c>
      <c r="G9090" s="6" t="s">
        <v>458</v>
      </c>
      <c r="H9090" s="10">
        <v>46036.0</v>
      </c>
      <c r="I9090" s="12">
        <v>6.0</v>
      </c>
      <c r="J9090" s="6" t="s">
        <v>161</v>
      </c>
    </row>
    <row r="9091" ht="22.5" customHeight="1">
      <c r="A9091" s="6" t="s">
        <v>25899</v>
      </c>
      <c r="B9091" s="6" t="s">
        <v>20064</v>
      </c>
      <c r="C9091" s="10">
        <v>46044.0</v>
      </c>
      <c r="D9091" s="6" t="s">
        <v>416</v>
      </c>
      <c r="E9091" s="6" t="s">
        <v>1102</v>
      </c>
      <c r="F9091" s="6" t="s">
        <v>439</v>
      </c>
      <c r="G9091" s="6" t="s">
        <v>254</v>
      </c>
      <c r="H9091" s="11" t="s">
        <v>259</v>
      </c>
      <c r="I9091" s="12">
        <v>11.0</v>
      </c>
      <c r="J9091" s="6" t="s">
        <v>161</v>
      </c>
    </row>
    <row r="9092" ht="22.5" customHeight="1">
      <c r="A9092" s="6" t="s">
        <v>25900</v>
      </c>
      <c r="B9092" s="6" t="s">
        <v>20064</v>
      </c>
      <c r="C9092" s="10">
        <v>46028.0</v>
      </c>
      <c r="D9092" s="6" t="s">
        <v>242</v>
      </c>
      <c r="E9092" s="6" t="s">
        <v>695</v>
      </c>
      <c r="F9092" s="6" t="s">
        <v>112</v>
      </c>
      <c r="G9092" s="6" t="s">
        <v>452</v>
      </c>
      <c r="H9092" s="10">
        <v>46033.0</v>
      </c>
      <c r="I9092" s="12">
        <v>6.0</v>
      </c>
      <c r="J9092" s="6" t="s">
        <v>178</v>
      </c>
    </row>
    <row r="9093" ht="22.5" customHeight="1">
      <c r="A9093" s="6" t="s">
        <v>25901</v>
      </c>
      <c r="B9093" s="6" t="s">
        <v>20064</v>
      </c>
      <c r="C9093" s="10">
        <v>46029.0</v>
      </c>
      <c r="D9093" s="6" t="s">
        <v>242</v>
      </c>
      <c r="E9093" s="6" t="s">
        <v>291</v>
      </c>
      <c r="F9093" s="6" t="s">
        <v>283</v>
      </c>
      <c r="G9093" s="6" t="s">
        <v>254</v>
      </c>
      <c r="H9093" s="11" t="s">
        <v>259</v>
      </c>
      <c r="I9093" s="12">
        <v>3.0</v>
      </c>
      <c r="J9093" s="6" t="s">
        <v>178</v>
      </c>
    </row>
    <row r="9094" ht="22.5" customHeight="1">
      <c r="A9094" s="6" t="s">
        <v>25902</v>
      </c>
      <c r="B9094" s="6" t="s">
        <v>20071</v>
      </c>
      <c r="C9094" s="10">
        <v>46062.0</v>
      </c>
      <c r="D9094" s="6" t="s">
        <v>391</v>
      </c>
      <c r="E9094" s="6" t="s">
        <v>1102</v>
      </c>
      <c r="F9094" s="6" t="s">
        <v>249</v>
      </c>
      <c r="G9094" s="6" t="s">
        <v>452</v>
      </c>
      <c r="H9094" s="10">
        <v>46067.0</v>
      </c>
      <c r="I9094" s="12">
        <v>11.0</v>
      </c>
      <c r="J9094" s="6" t="s">
        <v>161</v>
      </c>
    </row>
    <row r="9095" ht="22.5" customHeight="1">
      <c r="A9095" s="6" t="s">
        <v>25903</v>
      </c>
      <c r="B9095" s="6" t="s">
        <v>20076</v>
      </c>
      <c r="C9095" s="10">
        <v>46083.0</v>
      </c>
      <c r="D9095" s="6" t="s">
        <v>289</v>
      </c>
      <c r="E9095" s="6" t="s">
        <v>291</v>
      </c>
      <c r="F9095" s="6" t="s">
        <v>249</v>
      </c>
      <c r="G9095" s="6" t="s">
        <v>326</v>
      </c>
      <c r="H9095" s="10">
        <v>46086.0</v>
      </c>
      <c r="I9095" s="12">
        <v>9.0</v>
      </c>
      <c r="J9095" s="6" t="s">
        <v>161</v>
      </c>
    </row>
    <row r="9096" ht="22.5" customHeight="1">
      <c r="A9096" s="6" t="s">
        <v>25904</v>
      </c>
      <c r="B9096" s="6" t="s">
        <v>20076</v>
      </c>
      <c r="C9096" s="10">
        <v>46075.0</v>
      </c>
      <c r="D9096" s="6" t="s">
        <v>312</v>
      </c>
      <c r="E9096" s="6" t="s">
        <v>658</v>
      </c>
      <c r="F9096" s="6" t="s">
        <v>249</v>
      </c>
      <c r="G9096" s="6" t="s">
        <v>297</v>
      </c>
      <c r="H9096" s="10">
        <v>46081.0</v>
      </c>
      <c r="I9096" s="12">
        <v>4.0</v>
      </c>
      <c r="J9096" s="6" t="s">
        <v>161</v>
      </c>
    </row>
    <row r="9097" ht="22.5" customHeight="1">
      <c r="A9097" s="6" t="s">
        <v>25905</v>
      </c>
      <c r="B9097" s="6" t="s">
        <v>20076</v>
      </c>
      <c r="C9097" s="10">
        <v>46083.0</v>
      </c>
      <c r="D9097" s="6" t="s">
        <v>416</v>
      </c>
      <c r="E9097" s="6" t="s">
        <v>2365</v>
      </c>
      <c r="F9097" s="6" t="s">
        <v>112</v>
      </c>
      <c r="G9097" s="6" t="s">
        <v>452</v>
      </c>
      <c r="H9097" s="10">
        <v>46089.0</v>
      </c>
      <c r="I9097" s="12">
        <v>14.0</v>
      </c>
      <c r="J9097" s="6" t="s">
        <v>161</v>
      </c>
    </row>
    <row r="9098" ht="22.5" customHeight="1">
      <c r="A9098" s="6" t="s">
        <v>25906</v>
      </c>
      <c r="B9098" s="6" t="s">
        <v>20076</v>
      </c>
      <c r="C9098" s="10">
        <v>46079.0</v>
      </c>
      <c r="D9098" s="6" t="s">
        <v>677</v>
      </c>
      <c r="E9098" s="6" t="s">
        <v>1055</v>
      </c>
      <c r="F9098" s="6" t="s">
        <v>249</v>
      </c>
      <c r="G9098" s="6" t="s">
        <v>494</v>
      </c>
      <c r="H9098" s="10">
        <v>46084.0</v>
      </c>
      <c r="I9098" s="12">
        <v>2.0</v>
      </c>
      <c r="J9098" s="6" t="s">
        <v>161</v>
      </c>
    </row>
    <row r="9099" ht="22.5" customHeight="1">
      <c r="A9099" s="6" t="s">
        <v>25907</v>
      </c>
      <c r="B9099" s="6" t="s">
        <v>20083</v>
      </c>
      <c r="C9099" s="10">
        <v>46044.0</v>
      </c>
      <c r="D9099" s="6" t="s">
        <v>312</v>
      </c>
      <c r="E9099" s="6" t="s">
        <v>658</v>
      </c>
      <c r="F9099" s="6" t="s">
        <v>112</v>
      </c>
      <c r="G9099" s="6" t="s">
        <v>326</v>
      </c>
      <c r="H9099" s="10">
        <v>46044.0</v>
      </c>
      <c r="I9099" s="12">
        <v>7.0</v>
      </c>
      <c r="J9099" s="6" t="s">
        <v>161</v>
      </c>
    </row>
    <row r="9100" ht="22.5" customHeight="1">
      <c r="A9100" s="6" t="s">
        <v>25908</v>
      </c>
      <c r="B9100" s="6" t="s">
        <v>20083</v>
      </c>
      <c r="C9100" s="10">
        <v>46042.0</v>
      </c>
      <c r="D9100" s="6" t="s">
        <v>242</v>
      </c>
      <c r="E9100" s="6" t="s">
        <v>1035</v>
      </c>
      <c r="F9100" s="6" t="s">
        <v>112</v>
      </c>
      <c r="G9100" s="6" t="s">
        <v>254</v>
      </c>
      <c r="H9100" s="10">
        <v>46048.0</v>
      </c>
      <c r="I9100" s="12">
        <v>4.0</v>
      </c>
      <c r="J9100" s="6" t="s">
        <v>178</v>
      </c>
    </row>
    <row r="9101" ht="22.5" customHeight="1">
      <c r="A9101" s="6" t="s">
        <v>25909</v>
      </c>
      <c r="B9101" s="6" t="s">
        <v>20083</v>
      </c>
      <c r="C9101" s="10">
        <v>46044.0</v>
      </c>
      <c r="D9101" s="6" t="s">
        <v>677</v>
      </c>
      <c r="E9101" s="6" t="s">
        <v>1102</v>
      </c>
      <c r="F9101" s="6" t="s">
        <v>439</v>
      </c>
      <c r="G9101" s="6" t="s">
        <v>297</v>
      </c>
      <c r="H9101" s="10">
        <v>46049.0</v>
      </c>
      <c r="I9101" s="12">
        <v>2.0</v>
      </c>
      <c r="J9101" s="6" t="s">
        <v>161</v>
      </c>
    </row>
    <row r="9102" ht="22.5" customHeight="1">
      <c r="A9102" s="6" t="s">
        <v>25910</v>
      </c>
      <c r="B9102" s="6" t="s">
        <v>20083</v>
      </c>
      <c r="C9102" s="10">
        <v>46032.0</v>
      </c>
      <c r="D9102" s="6" t="s">
        <v>391</v>
      </c>
      <c r="E9102" s="6" t="s">
        <v>291</v>
      </c>
      <c r="F9102" s="6" t="s">
        <v>283</v>
      </c>
      <c r="G9102" s="6" t="s">
        <v>254</v>
      </c>
      <c r="H9102" s="10">
        <v>46039.0</v>
      </c>
      <c r="I9102" s="12">
        <v>6.0</v>
      </c>
      <c r="J9102" s="6" t="s">
        <v>161</v>
      </c>
    </row>
    <row r="9103" ht="22.5" customHeight="1">
      <c r="A9103" s="6" t="s">
        <v>25911</v>
      </c>
      <c r="B9103" s="6" t="s">
        <v>20089</v>
      </c>
      <c r="C9103" s="10">
        <v>46060.0</v>
      </c>
      <c r="D9103" s="6" t="s">
        <v>312</v>
      </c>
      <c r="E9103" s="6" t="s">
        <v>1122</v>
      </c>
      <c r="F9103" s="6" t="s">
        <v>439</v>
      </c>
      <c r="G9103" s="6" t="s">
        <v>458</v>
      </c>
      <c r="H9103" s="10">
        <v>46065.0</v>
      </c>
      <c r="I9103" s="12">
        <v>5.0</v>
      </c>
      <c r="J9103" s="6" t="s">
        <v>161</v>
      </c>
    </row>
    <row r="9104" ht="22.5" customHeight="1">
      <c r="A9104" s="6" t="s">
        <v>25912</v>
      </c>
      <c r="B9104" s="6" t="s">
        <v>20089</v>
      </c>
      <c r="C9104" s="10">
        <v>46042.0</v>
      </c>
      <c r="D9104" s="6" t="s">
        <v>289</v>
      </c>
      <c r="E9104" s="6" t="s">
        <v>475</v>
      </c>
      <c r="F9104" s="6" t="s">
        <v>112</v>
      </c>
      <c r="G9104" s="6" t="s">
        <v>458</v>
      </c>
      <c r="H9104" s="10">
        <v>46048.0</v>
      </c>
      <c r="I9104" s="12">
        <v>5.0</v>
      </c>
      <c r="J9104" s="6" t="s">
        <v>161</v>
      </c>
    </row>
    <row r="9105" ht="22.5" customHeight="1">
      <c r="A9105" s="6" t="s">
        <v>25913</v>
      </c>
      <c r="B9105" s="6" t="s">
        <v>20096</v>
      </c>
      <c r="C9105" s="10">
        <v>46085.0</v>
      </c>
      <c r="D9105" s="6" t="s">
        <v>242</v>
      </c>
      <c r="E9105" s="6" t="s">
        <v>787</v>
      </c>
      <c r="F9105" s="6" t="s">
        <v>439</v>
      </c>
      <c r="G9105" s="6" t="s">
        <v>326</v>
      </c>
      <c r="H9105" s="10">
        <v>46088.0</v>
      </c>
      <c r="I9105" s="12">
        <v>5.0</v>
      </c>
      <c r="J9105" s="6" t="s">
        <v>178</v>
      </c>
    </row>
    <row r="9106" ht="22.5" customHeight="1">
      <c r="A9106" s="6" t="s">
        <v>25914</v>
      </c>
      <c r="B9106" s="6" t="s">
        <v>20096</v>
      </c>
      <c r="C9106" s="10">
        <v>46068.0</v>
      </c>
      <c r="D9106" s="6" t="s">
        <v>312</v>
      </c>
      <c r="E9106" s="6" t="s">
        <v>738</v>
      </c>
      <c r="F9106" s="6" t="s">
        <v>249</v>
      </c>
      <c r="G9106" s="6" t="s">
        <v>369</v>
      </c>
      <c r="H9106" s="10">
        <v>46068.0</v>
      </c>
      <c r="I9106" s="12">
        <v>4.0</v>
      </c>
      <c r="J9106" s="6" t="s">
        <v>161</v>
      </c>
    </row>
    <row r="9107" ht="22.5" customHeight="1">
      <c r="A9107" s="6" t="s">
        <v>25915</v>
      </c>
      <c r="B9107" s="6" t="s">
        <v>20096</v>
      </c>
      <c r="C9107" s="10">
        <v>46078.0</v>
      </c>
      <c r="D9107" s="6" t="s">
        <v>312</v>
      </c>
      <c r="E9107" s="6" t="s">
        <v>466</v>
      </c>
      <c r="F9107" s="6" t="s">
        <v>439</v>
      </c>
      <c r="G9107" s="6" t="s">
        <v>458</v>
      </c>
      <c r="H9107" s="10">
        <v>46085.0</v>
      </c>
      <c r="I9107" s="12">
        <v>4.0</v>
      </c>
      <c r="J9107" s="6" t="s">
        <v>161</v>
      </c>
    </row>
    <row r="9108" ht="22.5" customHeight="1">
      <c r="A9108" s="6" t="s">
        <v>25916</v>
      </c>
      <c r="B9108" s="6" t="s">
        <v>20102</v>
      </c>
      <c r="C9108" s="10">
        <v>46077.0</v>
      </c>
      <c r="D9108" s="6" t="s">
        <v>436</v>
      </c>
      <c r="E9108" s="6" t="s">
        <v>634</v>
      </c>
      <c r="F9108" s="6" t="s">
        <v>283</v>
      </c>
      <c r="G9108" s="6" t="s">
        <v>452</v>
      </c>
      <c r="H9108" s="10">
        <v>46078.0</v>
      </c>
      <c r="I9108" s="12">
        <v>6.0</v>
      </c>
      <c r="J9108" s="6" t="s">
        <v>178</v>
      </c>
    </row>
    <row r="9109" ht="22.5" customHeight="1">
      <c r="A9109" s="6" t="s">
        <v>25917</v>
      </c>
      <c r="B9109" s="6" t="s">
        <v>20102</v>
      </c>
      <c r="C9109" s="10">
        <v>46073.0</v>
      </c>
      <c r="D9109" s="6" t="s">
        <v>416</v>
      </c>
      <c r="E9109" s="6" t="s">
        <v>1969</v>
      </c>
      <c r="F9109" s="6" t="s">
        <v>439</v>
      </c>
      <c r="G9109" s="6" t="s">
        <v>452</v>
      </c>
      <c r="H9109" s="10">
        <v>46078.0</v>
      </c>
      <c r="I9109" s="12">
        <v>11.0</v>
      </c>
      <c r="J9109" s="6" t="s">
        <v>161</v>
      </c>
    </row>
    <row r="9110" ht="22.5" customHeight="1">
      <c r="A9110" s="6" t="s">
        <v>25918</v>
      </c>
      <c r="B9110" s="6" t="s">
        <v>20102</v>
      </c>
      <c r="C9110" s="10">
        <v>46061.0</v>
      </c>
      <c r="D9110" s="6" t="s">
        <v>312</v>
      </c>
      <c r="E9110" s="6" t="s">
        <v>566</v>
      </c>
      <c r="F9110" s="6" t="s">
        <v>249</v>
      </c>
      <c r="G9110" s="6" t="s">
        <v>494</v>
      </c>
      <c r="H9110" s="10">
        <v>46062.0</v>
      </c>
      <c r="I9110" s="12">
        <v>5.0</v>
      </c>
      <c r="J9110" s="6" t="s">
        <v>161</v>
      </c>
    </row>
    <row r="9111" ht="22.5" customHeight="1">
      <c r="A9111" s="6" t="s">
        <v>25919</v>
      </c>
      <c r="B9111" s="6" t="s">
        <v>20108</v>
      </c>
      <c r="C9111" s="10">
        <v>46066.0</v>
      </c>
      <c r="D9111" s="6" t="s">
        <v>436</v>
      </c>
      <c r="E9111" s="6" t="s">
        <v>1122</v>
      </c>
      <c r="F9111" s="6" t="s">
        <v>112</v>
      </c>
      <c r="G9111" s="6" t="s">
        <v>477</v>
      </c>
      <c r="H9111" s="10">
        <v>46067.0</v>
      </c>
      <c r="I9111" s="12">
        <v>8.0</v>
      </c>
      <c r="J9111" s="6" t="s">
        <v>161</v>
      </c>
    </row>
    <row r="9112" ht="22.5" customHeight="1">
      <c r="A9112" s="6" t="s">
        <v>25920</v>
      </c>
      <c r="B9112" s="6" t="s">
        <v>20108</v>
      </c>
      <c r="C9112" s="10">
        <v>46071.0</v>
      </c>
      <c r="D9112" s="6" t="s">
        <v>436</v>
      </c>
      <c r="E9112" s="6" t="s">
        <v>1386</v>
      </c>
      <c r="F9112" s="6" t="s">
        <v>112</v>
      </c>
      <c r="G9112" s="6" t="s">
        <v>452</v>
      </c>
      <c r="H9112" s="10">
        <v>46078.0</v>
      </c>
      <c r="I9112" s="12">
        <v>11.0</v>
      </c>
      <c r="J9112" s="6" t="s">
        <v>161</v>
      </c>
    </row>
    <row r="9113" ht="22.5" customHeight="1">
      <c r="A9113" s="6" t="s">
        <v>25921</v>
      </c>
      <c r="B9113" s="6" t="s">
        <v>20108</v>
      </c>
      <c r="C9113" s="10">
        <v>46064.0</v>
      </c>
      <c r="D9113" s="6" t="s">
        <v>436</v>
      </c>
      <c r="E9113" s="6" t="s">
        <v>466</v>
      </c>
      <c r="F9113" s="6" t="s">
        <v>283</v>
      </c>
      <c r="G9113" s="6" t="s">
        <v>326</v>
      </c>
      <c r="H9113" s="10">
        <v>46067.0</v>
      </c>
      <c r="I9113" s="12">
        <v>10.0</v>
      </c>
      <c r="J9113" s="6" t="s">
        <v>178</v>
      </c>
    </row>
    <row r="9114" ht="22.5" customHeight="1">
      <c r="A9114" s="6" t="s">
        <v>25922</v>
      </c>
      <c r="B9114" s="6" t="s">
        <v>20108</v>
      </c>
      <c r="C9114" s="10">
        <v>46057.0</v>
      </c>
      <c r="D9114" s="6" t="s">
        <v>677</v>
      </c>
      <c r="E9114" s="6" t="s">
        <v>695</v>
      </c>
      <c r="F9114" s="6" t="s">
        <v>283</v>
      </c>
      <c r="G9114" s="6" t="s">
        <v>297</v>
      </c>
      <c r="H9114" s="10">
        <v>46058.0</v>
      </c>
      <c r="I9114" s="12">
        <v>3.0</v>
      </c>
      <c r="J9114" s="6" t="s">
        <v>161</v>
      </c>
    </row>
    <row r="9115" ht="22.5" customHeight="1">
      <c r="A9115" s="6" t="s">
        <v>25923</v>
      </c>
      <c r="B9115" s="6" t="s">
        <v>20114</v>
      </c>
      <c r="C9115" s="10">
        <v>46073.0</v>
      </c>
      <c r="D9115" s="6" t="s">
        <v>312</v>
      </c>
      <c r="E9115" s="6" t="s">
        <v>2881</v>
      </c>
      <c r="F9115" s="6" t="s">
        <v>283</v>
      </c>
      <c r="G9115" s="6" t="s">
        <v>326</v>
      </c>
      <c r="H9115" s="10">
        <v>46077.0</v>
      </c>
      <c r="I9115" s="12">
        <v>4.0</v>
      </c>
      <c r="J9115" s="6" t="s">
        <v>161</v>
      </c>
    </row>
    <row r="9116" ht="22.5" customHeight="1">
      <c r="A9116" s="6" t="s">
        <v>25924</v>
      </c>
      <c r="B9116" s="6" t="s">
        <v>20120</v>
      </c>
      <c r="C9116" s="10">
        <v>46066.0</v>
      </c>
      <c r="D9116" s="6" t="s">
        <v>289</v>
      </c>
      <c r="E9116" s="6" t="s">
        <v>695</v>
      </c>
      <c r="F9116" s="6" t="s">
        <v>112</v>
      </c>
      <c r="G9116" s="6" t="s">
        <v>477</v>
      </c>
      <c r="H9116" s="11" t="s">
        <v>259</v>
      </c>
      <c r="I9116" s="12">
        <v>9.0</v>
      </c>
      <c r="J9116" s="6" t="s">
        <v>161</v>
      </c>
    </row>
    <row r="9117" ht="22.5" customHeight="1">
      <c r="A9117" s="6" t="s">
        <v>25925</v>
      </c>
      <c r="B9117" s="6" t="s">
        <v>20126</v>
      </c>
      <c r="C9117" s="10">
        <v>46069.0</v>
      </c>
      <c r="D9117" s="6" t="s">
        <v>416</v>
      </c>
      <c r="E9117" s="6" t="s">
        <v>955</v>
      </c>
      <c r="F9117" s="6" t="s">
        <v>283</v>
      </c>
      <c r="G9117" s="6" t="s">
        <v>477</v>
      </c>
      <c r="H9117" s="10">
        <v>46074.0</v>
      </c>
      <c r="I9117" s="12">
        <v>13.0</v>
      </c>
      <c r="J9117" s="6" t="s">
        <v>161</v>
      </c>
    </row>
    <row r="9118" ht="22.5" customHeight="1">
      <c r="A9118" s="6" t="s">
        <v>25926</v>
      </c>
      <c r="B9118" s="6" t="s">
        <v>20132</v>
      </c>
      <c r="C9118" s="10">
        <v>46071.0</v>
      </c>
      <c r="D9118" s="6" t="s">
        <v>436</v>
      </c>
      <c r="E9118" s="6" t="s">
        <v>812</v>
      </c>
      <c r="F9118" s="6" t="s">
        <v>439</v>
      </c>
      <c r="G9118" s="6" t="s">
        <v>326</v>
      </c>
      <c r="H9118" s="11" t="s">
        <v>259</v>
      </c>
      <c r="I9118" s="12">
        <v>11.0</v>
      </c>
      <c r="J9118" s="6" t="s">
        <v>161</v>
      </c>
    </row>
    <row r="9119" ht="22.5" customHeight="1">
      <c r="A9119" s="6" t="s">
        <v>25927</v>
      </c>
      <c r="B9119" s="6" t="s">
        <v>20132</v>
      </c>
      <c r="C9119" s="10">
        <v>46062.0</v>
      </c>
      <c r="D9119" s="6" t="s">
        <v>312</v>
      </c>
      <c r="E9119" s="6" t="s">
        <v>628</v>
      </c>
      <c r="F9119" s="6" t="s">
        <v>439</v>
      </c>
      <c r="G9119" s="6" t="s">
        <v>477</v>
      </c>
      <c r="H9119" s="10">
        <v>46063.0</v>
      </c>
      <c r="I9119" s="12">
        <v>5.0</v>
      </c>
      <c r="J9119" s="6" t="s">
        <v>161</v>
      </c>
    </row>
    <row r="9120" ht="22.5" customHeight="1">
      <c r="A9120" s="6" t="s">
        <v>25928</v>
      </c>
      <c r="B9120" s="6" t="s">
        <v>20132</v>
      </c>
      <c r="C9120" s="10">
        <v>46067.0</v>
      </c>
      <c r="D9120" s="6" t="s">
        <v>436</v>
      </c>
      <c r="E9120" s="6" t="s">
        <v>1149</v>
      </c>
      <c r="F9120" s="6" t="s">
        <v>283</v>
      </c>
      <c r="G9120" s="6" t="s">
        <v>326</v>
      </c>
      <c r="H9120" s="10">
        <v>46071.0</v>
      </c>
      <c r="I9120" s="12">
        <v>6.0</v>
      </c>
      <c r="J9120" s="6" t="s">
        <v>178</v>
      </c>
    </row>
    <row r="9121" ht="22.5" customHeight="1">
      <c r="A9121" s="6" t="s">
        <v>25929</v>
      </c>
      <c r="B9121" s="6" t="s">
        <v>20132</v>
      </c>
      <c r="C9121" s="10">
        <v>46066.0</v>
      </c>
      <c r="D9121" s="6" t="s">
        <v>677</v>
      </c>
      <c r="E9121" s="6" t="s">
        <v>738</v>
      </c>
      <c r="F9121" s="6" t="s">
        <v>249</v>
      </c>
      <c r="G9121" s="6" t="s">
        <v>452</v>
      </c>
      <c r="H9121" s="10">
        <v>46071.0</v>
      </c>
      <c r="I9121" s="12">
        <v>4.0</v>
      </c>
      <c r="J9121" s="6" t="s">
        <v>161</v>
      </c>
    </row>
    <row r="9122" ht="22.5" customHeight="1">
      <c r="A9122" s="6" t="s">
        <v>25930</v>
      </c>
      <c r="B9122" s="6" t="s">
        <v>20138</v>
      </c>
      <c r="C9122" s="10">
        <v>46046.0</v>
      </c>
      <c r="D9122" s="6" t="s">
        <v>242</v>
      </c>
      <c r="E9122" s="6" t="s">
        <v>775</v>
      </c>
      <c r="F9122" s="6" t="s">
        <v>112</v>
      </c>
      <c r="G9122" s="6" t="s">
        <v>326</v>
      </c>
      <c r="H9122" s="10">
        <v>46051.0</v>
      </c>
      <c r="I9122" s="12">
        <v>6.0</v>
      </c>
      <c r="J9122" s="6" t="s">
        <v>178</v>
      </c>
    </row>
    <row r="9123" ht="22.5" customHeight="1">
      <c r="A9123" s="6" t="s">
        <v>25931</v>
      </c>
      <c r="B9123" s="6" t="s">
        <v>20138</v>
      </c>
      <c r="C9123" s="10">
        <v>46050.0</v>
      </c>
      <c r="D9123" s="6" t="s">
        <v>436</v>
      </c>
      <c r="E9123" s="6" t="s">
        <v>320</v>
      </c>
      <c r="F9123" s="6" t="s">
        <v>439</v>
      </c>
      <c r="G9123" s="6" t="s">
        <v>297</v>
      </c>
      <c r="H9123" s="10">
        <v>46053.0</v>
      </c>
      <c r="I9123" s="12">
        <v>6.0</v>
      </c>
      <c r="J9123" s="6" t="s">
        <v>178</v>
      </c>
    </row>
    <row r="9124" ht="22.5" customHeight="1">
      <c r="A9124" s="6" t="s">
        <v>25932</v>
      </c>
      <c r="B9124" s="6" t="s">
        <v>20138</v>
      </c>
      <c r="C9124" s="10">
        <v>46041.0</v>
      </c>
      <c r="D9124" s="6" t="s">
        <v>416</v>
      </c>
      <c r="E9124" s="6" t="s">
        <v>2881</v>
      </c>
      <c r="F9124" s="6" t="s">
        <v>112</v>
      </c>
      <c r="G9124" s="6" t="s">
        <v>297</v>
      </c>
      <c r="H9124" s="10">
        <v>46043.0</v>
      </c>
      <c r="I9124" s="12">
        <v>9.0</v>
      </c>
      <c r="J9124" s="6" t="s">
        <v>161</v>
      </c>
    </row>
    <row r="9125" ht="22.5" customHeight="1">
      <c r="A9125" s="6" t="s">
        <v>25933</v>
      </c>
      <c r="B9125" s="6" t="s">
        <v>20138</v>
      </c>
      <c r="C9125" s="10">
        <v>46047.0</v>
      </c>
      <c r="D9125" s="6" t="s">
        <v>677</v>
      </c>
      <c r="E9125" s="6" t="s">
        <v>833</v>
      </c>
      <c r="F9125" s="6" t="s">
        <v>112</v>
      </c>
      <c r="G9125" s="6" t="s">
        <v>297</v>
      </c>
      <c r="H9125" s="10">
        <v>46054.0</v>
      </c>
      <c r="I9125" s="12">
        <v>4.0</v>
      </c>
      <c r="J9125" s="6" t="s">
        <v>161</v>
      </c>
    </row>
    <row r="9126" ht="22.5" customHeight="1">
      <c r="A9126" s="6" t="s">
        <v>25934</v>
      </c>
      <c r="B9126" s="6" t="s">
        <v>20144</v>
      </c>
      <c r="C9126" s="10">
        <v>46069.0</v>
      </c>
      <c r="D9126" s="6" t="s">
        <v>312</v>
      </c>
      <c r="E9126" s="6" t="s">
        <v>1149</v>
      </c>
      <c r="F9126" s="6" t="s">
        <v>283</v>
      </c>
      <c r="G9126" s="6" t="s">
        <v>254</v>
      </c>
      <c r="H9126" s="10">
        <v>46070.0</v>
      </c>
      <c r="I9126" s="12">
        <v>6.0</v>
      </c>
      <c r="J9126" s="6" t="s">
        <v>161</v>
      </c>
    </row>
    <row r="9127" ht="22.5" customHeight="1">
      <c r="A9127" s="6" t="s">
        <v>25935</v>
      </c>
      <c r="B9127" s="6" t="s">
        <v>20144</v>
      </c>
      <c r="C9127" s="10">
        <v>46074.0</v>
      </c>
      <c r="D9127" s="6" t="s">
        <v>436</v>
      </c>
      <c r="E9127" s="6" t="s">
        <v>1241</v>
      </c>
      <c r="F9127" s="6" t="s">
        <v>249</v>
      </c>
      <c r="G9127" s="6" t="s">
        <v>494</v>
      </c>
      <c r="H9127" s="10">
        <v>46079.0</v>
      </c>
      <c r="I9127" s="12">
        <v>11.0</v>
      </c>
      <c r="J9127" s="6" t="s">
        <v>178</v>
      </c>
    </row>
    <row r="9128" ht="22.5" customHeight="1">
      <c r="A9128" s="6" t="s">
        <v>25936</v>
      </c>
      <c r="B9128" s="6" t="s">
        <v>20144</v>
      </c>
      <c r="C9128" s="10">
        <v>46069.0</v>
      </c>
      <c r="D9128" s="6" t="s">
        <v>391</v>
      </c>
      <c r="E9128" s="6" t="s">
        <v>896</v>
      </c>
      <c r="F9128" s="6" t="s">
        <v>283</v>
      </c>
      <c r="G9128" s="6" t="s">
        <v>452</v>
      </c>
      <c r="H9128" s="11" t="s">
        <v>259</v>
      </c>
      <c r="I9128" s="12">
        <v>6.0</v>
      </c>
      <c r="J9128" s="6" t="s">
        <v>161</v>
      </c>
    </row>
    <row r="9129" ht="22.5" customHeight="1">
      <c r="A9129" s="6" t="s">
        <v>25937</v>
      </c>
      <c r="B9129" s="6" t="s">
        <v>20151</v>
      </c>
      <c r="C9129" s="10">
        <v>46065.0</v>
      </c>
      <c r="D9129" s="6" t="s">
        <v>391</v>
      </c>
      <c r="E9129" s="6" t="s">
        <v>833</v>
      </c>
      <c r="F9129" s="6" t="s">
        <v>112</v>
      </c>
      <c r="G9129" s="6" t="s">
        <v>297</v>
      </c>
      <c r="H9129" s="10">
        <v>46067.0</v>
      </c>
      <c r="I9129" s="12">
        <v>8.0</v>
      </c>
      <c r="J9129" s="6" t="s">
        <v>161</v>
      </c>
    </row>
    <row r="9130" ht="22.5" customHeight="1">
      <c r="A9130" s="6" t="s">
        <v>25938</v>
      </c>
      <c r="B9130" s="6" t="s">
        <v>20158</v>
      </c>
      <c r="C9130" s="10">
        <v>46046.0</v>
      </c>
      <c r="D9130" s="6" t="s">
        <v>312</v>
      </c>
      <c r="E9130" s="6" t="s">
        <v>1122</v>
      </c>
      <c r="F9130" s="6" t="s">
        <v>249</v>
      </c>
      <c r="G9130" s="6" t="s">
        <v>477</v>
      </c>
      <c r="H9130" s="10">
        <v>46053.0</v>
      </c>
      <c r="I9130" s="12">
        <v>4.0</v>
      </c>
      <c r="J9130" s="6" t="s">
        <v>161</v>
      </c>
    </row>
    <row r="9131" ht="22.5" customHeight="1">
      <c r="A9131" s="6" t="s">
        <v>25939</v>
      </c>
      <c r="B9131" s="6" t="s">
        <v>20158</v>
      </c>
      <c r="C9131" s="10">
        <v>46062.0</v>
      </c>
      <c r="D9131" s="6" t="s">
        <v>436</v>
      </c>
      <c r="E9131" s="6" t="s">
        <v>731</v>
      </c>
      <c r="F9131" s="6" t="s">
        <v>112</v>
      </c>
      <c r="G9131" s="6" t="s">
        <v>326</v>
      </c>
      <c r="H9131" s="10">
        <v>46068.0</v>
      </c>
      <c r="I9131" s="12">
        <v>11.0</v>
      </c>
      <c r="J9131" s="6" t="s">
        <v>161</v>
      </c>
    </row>
    <row r="9132" ht="22.5" customHeight="1">
      <c r="A9132" s="6" t="s">
        <v>25940</v>
      </c>
      <c r="B9132" s="6" t="s">
        <v>20158</v>
      </c>
      <c r="C9132" s="10">
        <v>46046.0</v>
      </c>
      <c r="D9132" s="6" t="s">
        <v>677</v>
      </c>
      <c r="E9132" s="6" t="s">
        <v>634</v>
      </c>
      <c r="F9132" s="6" t="s">
        <v>283</v>
      </c>
      <c r="G9132" s="6" t="s">
        <v>254</v>
      </c>
      <c r="H9132" s="10">
        <v>46053.0</v>
      </c>
      <c r="I9132" s="12">
        <v>2.0</v>
      </c>
      <c r="J9132" s="6" t="s">
        <v>161</v>
      </c>
    </row>
    <row r="9133" ht="22.5" customHeight="1">
      <c r="A9133" s="6" t="s">
        <v>25941</v>
      </c>
      <c r="B9133" s="6" t="s">
        <v>20158</v>
      </c>
      <c r="C9133" s="10">
        <v>46045.0</v>
      </c>
      <c r="D9133" s="6" t="s">
        <v>289</v>
      </c>
      <c r="E9133" s="6" t="s">
        <v>1570</v>
      </c>
      <c r="F9133" s="6" t="s">
        <v>112</v>
      </c>
      <c r="G9133" s="6" t="s">
        <v>494</v>
      </c>
      <c r="H9133" s="10">
        <v>46050.0</v>
      </c>
      <c r="I9133" s="12">
        <v>10.0</v>
      </c>
      <c r="J9133" s="6" t="s">
        <v>161</v>
      </c>
    </row>
    <row r="9134" ht="22.5" customHeight="1">
      <c r="A9134" s="6" t="s">
        <v>25942</v>
      </c>
      <c r="B9134" s="6" t="s">
        <v>20164</v>
      </c>
      <c r="C9134" s="10">
        <v>46046.0</v>
      </c>
      <c r="D9134" s="6" t="s">
        <v>391</v>
      </c>
      <c r="E9134" s="6" t="s">
        <v>738</v>
      </c>
      <c r="F9134" s="6" t="s">
        <v>439</v>
      </c>
      <c r="G9134" s="6" t="s">
        <v>297</v>
      </c>
      <c r="H9134" s="10">
        <v>46049.0</v>
      </c>
      <c r="I9134" s="12">
        <v>9.0</v>
      </c>
      <c r="J9134" s="6" t="s">
        <v>161</v>
      </c>
    </row>
    <row r="9135" ht="22.5" customHeight="1">
      <c r="A9135" s="6" t="s">
        <v>25943</v>
      </c>
      <c r="B9135" s="6" t="s">
        <v>20170</v>
      </c>
      <c r="C9135" s="10">
        <v>46046.0</v>
      </c>
      <c r="D9135" s="6" t="s">
        <v>436</v>
      </c>
      <c r="E9135" s="6" t="s">
        <v>1386</v>
      </c>
      <c r="F9135" s="6" t="s">
        <v>112</v>
      </c>
      <c r="G9135" s="6" t="s">
        <v>477</v>
      </c>
      <c r="H9135" s="10">
        <v>46052.0</v>
      </c>
      <c r="I9135" s="12">
        <v>12.0</v>
      </c>
      <c r="J9135" s="6" t="s">
        <v>161</v>
      </c>
    </row>
    <row r="9136" ht="22.5" customHeight="1">
      <c r="A9136" s="6" t="s">
        <v>25944</v>
      </c>
      <c r="B9136" s="6" t="s">
        <v>20170</v>
      </c>
      <c r="C9136" s="10">
        <v>46052.0</v>
      </c>
      <c r="D9136" s="6" t="s">
        <v>312</v>
      </c>
      <c r="E9136" s="6" t="s">
        <v>450</v>
      </c>
      <c r="F9136" s="6" t="s">
        <v>439</v>
      </c>
      <c r="G9136" s="6" t="s">
        <v>494</v>
      </c>
      <c r="H9136" s="10">
        <v>46059.0</v>
      </c>
      <c r="I9136" s="12">
        <v>6.0</v>
      </c>
      <c r="J9136" s="6" t="s">
        <v>161</v>
      </c>
    </row>
    <row r="9137" ht="22.5" customHeight="1">
      <c r="A9137" s="6" t="s">
        <v>25945</v>
      </c>
      <c r="B9137" s="6" t="s">
        <v>20170</v>
      </c>
      <c r="C9137" s="10">
        <v>46041.0</v>
      </c>
      <c r="D9137" s="6" t="s">
        <v>242</v>
      </c>
      <c r="E9137" s="6" t="s">
        <v>610</v>
      </c>
      <c r="F9137" s="6" t="s">
        <v>249</v>
      </c>
      <c r="G9137" s="6" t="s">
        <v>254</v>
      </c>
      <c r="H9137" s="10">
        <v>46044.0</v>
      </c>
      <c r="I9137" s="12">
        <v>3.0</v>
      </c>
      <c r="J9137" s="6" t="s">
        <v>178</v>
      </c>
    </row>
    <row r="9138" ht="22.5" customHeight="1">
      <c r="A9138" s="6" t="s">
        <v>25946</v>
      </c>
      <c r="B9138" s="6" t="s">
        <v>20177</v>
      </c>
      <c r="C9138" s="10">
        <v>46065.0</v>
      </c>
      <c r="D9138" s="6" t="s">
        <v>391</v>
      </c>
      <c r="E9138" s="6" t="s">
        <v>628</v>
      </c>
      <c r="F9138" s="6" t="s">
        <v>112</v>
      </c>
      <c r="G9138" s="6" t="s">
        <v>254</v>
      </c>
      <c r="H9138" s="10">
        <v>46069.0</v>
      </c>
      <c r="I9138" s="12">
        <v>7.0</v>
      </c>
      <c r="J9138" s="6" t="s">
        <v>161</v>
      </c>
    </row>
    <row r="9139" ht="22.5" customHeight="1">
      <c r="A9139" s="6" t="s">
        <v>25947</v>
      </c>
      <c r="B9139" s="6" t="s">
        <v>20177</v>
      </c>
      <c r="C9139" s="10">
        <v>46064.0</v>
      </c>
      <c r="D9139" s="6" t="s">
        <v>289</v>
      </c>
      <c r="E9139" s="6" t="s">
        <v>466</v>
      </c>
      <c r="F9139" s="6" t="s">
        <v>112</v>
      </c>
      <c r="G9139" s="6" t="s">
        <v>494</v>
      </c>
      <c r="H9139" s="10">
        <v>46070.0</v>
      </c>
      <c r="I9139" s="12">
        <v>7.0</v>
      </c>
      <c r="J9139" s="6" t="s">
        <v>161</v>
      </c>
    </row>
    <row r="9140" ht="22.5" customHeight="1">
      <c r="A9140" s="6" t="s">
        <v>25948</v>
      </c>
      <c r="B9140" s="6" t="s">
        <v>20177</v>
      </c>
      <c r="C9140" s="10">
        <v>46056.0</v>
      </c>
      <c r="D9140" s="6" t="s">
        <v>242</v>
      </c>
      <c r="E9140" s="6" t="s">
        <v>1570</v>
      </c>
      <c r="F9140" s="6" t="s">
        <v>283</v>
      </c>
      <c r="G9140" s="6" t="s">
        <v>369</v>
      </c>
      <c r="H9140" s="10">
        <v>46063.0</v>
      </c>
      <c r="I9140" s="12">
        <v>5.0</v>
      </c>
      <c r="J9140" s="6" t="s">
        <v>161</v>
      </c>
    </row>
    <row r="9141" ht="22.5" customHeight="1">
      <c r="A9141" s="6" t="s">
        <v>25949</v>
      </c>
      <c r="B9141" s="6" t="s">
        <v>20177</v>
      </c>
      <c r="C9141" s="10">
        <v>46068.0</v>
      </c>
      <c r="D9141" s="6" t="s">
        <v>436</v>
      </c>
      <c r="E9141" s="6" t="s">
        <v>394</v>
      </c>
      <c r="F9141" s="6" t="s">
        <v>112</v>
      </c>
      <c r="G9141" s="6" t="s">
        <v>458</v>
      </c>
      <c r="H9141" s="10">
        <v>46070.0</v>
      </c>
      <c r="I9141" s="12">
        <v>12.0</v>
      </c>
      <c r="J9141" s="6" t="s">
        <v>161</v>
      </c>
    </row>
    <row r="9142" ht="22.5" customHeight="1">
      <c r="A9142" s="6" t="s">
        <v>25950</v>
      </c>
      <c r="B9142" s="6" t="s">
        <v>20183</v>
      </c>
      <c r="C9142" s="10">
        <v>46044.0</v>
      </c>
      <c r="D9142" s="6" t="s">
        <v>312</v>
      </c>
      <c r="E9142" s="6" t="s">
        <v>731</v>
      </c>
      <c r="F9142" s="6" t="s">
        <v>283</v>
      </c>
      <c r="G9142" s="6" t="s">
        <v>494</v>
      </c>
      <c r="H9142" s="10">
        <v>46044.0</v>
      </c>
      <c r="I9142" s="12">
        <v>5.0</v>
      </c>
      <c r="J9142" s="6" t="s">
        <v>161</v>
      </c>
    </row>
    <row r="9143" ht="22.5" customHeight="1">
      <c r="A9143" s="6" t="s">
        <v>25951</v>
      </c>
      <c r="B9143" s="6" t="s">
        <v>20183</v>
      </c>
      <c r="C9143" s="10">
        <v>46055.0</v>
      </c>
      <c r="D9143" s="6" t="s">
        <v>242</v>
      </c>
      <c r="E9143" s="6" t="s">
        <v>438</v>
      </c>
      <c r="F9143" s="6" t="s">
        <v>249</v>
      </c>
      <c r="G9143" s="6" t="s">
        <v>369</v>
      </c>
      <c r="H9143" s="10">
        <v>46056.0</v>
      </c>
      <c r="I9143" s="12">
        <v>3.0</v>
      </c>
      <c r="J9143" s="6" t="s">
        <v>178</v>
      </c>
    </row>
    <row r="9144" ht="22.5" customHeight="1">
      <c r="A9144" s="6" t="s">
        <v>25952</v>
      </c>
      <c r="B9144" s="6" t="s">
        <v>20183</v>
      </c>
      <c r="C9144" s="10">
        <v>46061.0</v>
      </c>
      <c r="D9144" s="6" t="s">
        <v>436</v>
      </c>
      <c r="E9144" s="6" t="s">
        <v>1741</v>
      </c>
      <c r="F9144" s="6" t="s">
        <v>283</v>
      </c>
      <c r="G9144" s="6" t="s">
        <v>458</v>
      </c>
      <c r="H9144" s="10">
        <v>46064.0</v>
      </c>
      <c r="I9144" s="12">
        <v>12.0</v>
      </c>
      <c r="J9144" s="6" t="s">
        <v>178</v>
      </c>
    </row>
    <row r="9145" ht="22.5" customHeight="1">
      <c r="A9145" s="6" t="s">
        <v>25953</v>
      </c>
      <c r="B9145" s="6" t="s">
        <v>20183</v>
      </c>
      <c r="C9145" s="10">
        <v>46043.0</v>
      </c>
      <c r="D9145" s="6" t="s">
        <v>391</v>
      </c>
      <c r="E9145" s="6" t="s">
        <v>1969</v>
      </c>
      <c r="F9145" s="6" t="s">
        <v>439</v>
      </c>
      <c r="G9145" s="6" t="s">
        <v>369</v>
      </c>
      <c r="H9145" s="10">
        <v>46049.0</v>
      </c>
      <c r="I9145" s="12">
        <v>9.0</v>
      </c>
      <c r="J9145" s="6" t="s">
        <v>161</v>
      </c>
    </row>
    <row r="9146" ht="22.5" customHeight="1">
      <c r="A9146" s="6" t="s">
        <v>25954</v>
      </c>
      <c r="B9146" s="6" t="s">
        <v>20183</v>
      </c>
      <c r="C9146" s="10">
        <v>46061.0</v>
      </c>
      <c r="D9146" s="6" t="s">
        <v>436</v>
      </c>
      <c r="E9146" s="6" t="s">
        <v>955</v>
      </c>
      <c r="F9146" s="6" t="s">
        <v>283</v>
      </c>
      <c r="G9146" s="6" t="s">
        <v>326</v>
      </c>
      <c r="H9146" s="11" t="s">
        <v>259</v>
      </c>
      <c r="I9146" s="12">
        <v>11.0</v>
      </c>
      <c r="J9146" s="6" t="s">
        <v>178</v>
      </c>
    </row>
    <row r="9147" ht="22.5" customHeight="1">
      <c r="A9147" s="6" t="s">
        <v>25955</v>
      </c>
      <c r="B9147" s="6" t="s">
        <v>20190</v>
      </c>
      <c r="C9147" s="10">
        <v>46072.0</v>
      </c>
      <c r="D9147" s="6" t="s">
        <v>677</v>
      </c>
      <c r="E9147" s="6" t="s">
        <v>1969</v>
      </c>
      <c r="F9147" s="6" t="s">
        <v>283</v>
      </c>
      <c r="G9147" s="6" t="s">
        <v>477</v>
      </c>
      <c r="H9147" s="10">
        <v>46072.0</v>
      </c>
      <c r="I9147" s="12">
        <v>3.0</v>
      </c>
      <c r="J9147" s="6" t="s">
        <v>161</v>
      </c>
    </row>
    <row r="9148" ht="22.5" customHeight="1">
      <c r="A9148" s="6" t="s">
        <v>25956</v>
      </c>
      <c r="B9148" s="6" t="s">
        <v>20195</v>
      </c>
      <c r="C9148" s="10">
        <v>46056.0</v>
      </c>
      <c r="D9148" s="6" t="s">
        <v>677</v>
      </c>
      <c r="E9148" s="6" t="s">
        <v>417</v>
      </c>
      <c r="F9148" s="6" t="s">
        <v>112</v>
      </c>
      <c r="G9148" s="6" t="s">
        <v>369</v>
      </c>
      <c r="H9148" s="10">
        <v>46061.0</v>
      </c>
      <c r="I9148" s="12">
        <v>4.0</v>
      </c>
      <c r="J9148" s="6" t="s">
        <v>161</v>
      </c>
    </row>
    <row r="9149" ht="22.5" customHeight="1">
      <c r="A9149" s="6" t="s">
        <v>25957</v>
      </c>
      <c r="B9149" s="6" t="s">
        <v>20195</v>
      </c>
      <c r="C9149" s="10">
        <v>46058.0</v>
      </c>
      <c r="D9149" s="6" t="s">
        <v>289</v>
      </c>
      <c r="E9149" s="6" t="s">
        <v>695</v>
      </c>
      <c r="F9149" s="6" t="s">
        <v>439</v>
      </c>
      <c r="G9149" s="6" t="s">
        <v>254</v>
      </c>
      <c r="H9149" s="10">
        <v>46061.0</v>
      </c>
      <c r="I9149" s="12">
        <v>8.0</v>
      </c>
      <c r="J9149" s="6" t="s">
        <v>161</v>
      </c>
    </row>
    <row r="9150" ht="22.5" customHeight="1">
      <c r="A9150" s="6" t="s">
        <v>25958</v>
      </c>
      <c r="B9150" s="6" t="s">
        <v>20195</v>
      </c>
      <c r="C9150" s="10">
        <v>46056.0</v>
      </c>
      <c r="D9150" s="6" t="s">
        <v>242</v>
      </c>
      <c r="E9150" s="6" t="s">
        <v>1273</v>
      </c>
      <c r="F9150" s="6" t="s">
        <v>439</v>
      </c>
      <c r="G9150" s="6" t="s">
        <v>297</v>
      </c>
      <c r="H9150" s="10">
        <v>46058.0</v>
      </c>
      <c r="I9150" s="12">
        <v>4.0</v>
      </c>
      <c r="J9150" s="6" t="s">
        <v>178</v>
      </c>
    </row>
    <row r="9151" ht="22.5" customHeight="1">
      <c r="A9151" s="6" t="s">
        <v>25959</v>
      </c>
      <c r="B9151" s="6" t="s">
        <v>20201</v>
      </c>
      <c r="C9151" s="10">
        <v>46036.0</v>
      </c>
      <c r="D9151" s="6" t="s">
        <v>242</v>
      </c>
      <c r="E9151" s="6" t="s">
        <v>618</v>
      </c>
      <c r="F9151" s="6" t="s">
        <v>439</v>
      </c>
      <c r="G9151" s="6" t="s">
        <v>494</v>
      </c>
      <c r="H9151" s="10">
        <v>46038.0</v>
      </c>
      <c r="I9151" s="12">
        <v>3.0</v>
      </c>
      <c r="J9151" s="6" t="s">
        <v>161</v>
      </c>
    </row>
    <row r="9152" ht="22.5" customHeight="1">
      <c r="A9152" s="6" t="s">
        <v>25960</v>
      </c>
      <c r="B9152" s="6" t="s">
        <v>20201</v>
      </c>
      <c r="C9152" s="10">
        <v>46046.0</v>
      </c>
      <c r="D9152" s="6" t="s">
        <v>677</v>
      </c>
      <c r="E9152" s="6" t="s">
        <v>1149</v>
      </c>
      <c r="F9152" s="6" t="s">
        <v>112</v>
      </c>
      <c r="G9152" s="6" t="s">
        <v>326</v>
      </c>
      <c r="H9152" s="10">
        <v>46052.0</v>
      </c>
      <c r="I9152" s="12">
        <v>3.0</v>
      </c>
      <c r="J9152" s="6" t="s">
        <v>161</v>
      </c>
    </row>
    <row r="9153" ht="22.5" customHeight="1">
      <c r="A9153" s="6" t="s">
        <v>25961</v>
      </c>
      <c r="B9153" s="6" t="s">
        <v>20208</v>
      </c>
      <c r="C9153" s="10">
        <v>46079.0</v>
      </c>
      <c r="D9153" s="6" t="s">
        <v>436</v>
      </c>
      <c r="E9153" s="6" t="s">
        <v>1310</v>
      </c>
      <c r="F9153" s="6" t="s">
        <v>439</v>
      </c>
      <c r="G9153" s="6" t="s">
        <v>477</v>
      </c>
      <c r="H9153" s="10">
        <v>46079.0</v>
      </c>
      <c r="I9153" s="12">
        <v>12.0</v>
      </c>
      <c r="J9153" s="6" t="s">
        <v>178</v>
      </c>
    </row>
    <row r="9154" ht="22.5" customHeight="1">
      <c r="A9154" s="6" t="s">
        <v>25962</v>
      </c>
      <c r="B9154" s="6" t="s">
        <v>20214</v>
      </c>
      <c r="C9154" s="10">
        <v>46046.0</v>
      </c>
      <c r="D9154" s="6" t="s">
        <v>242</v>
      </c>
      <c r="E9154" s="6" t="s">
        <v>2365</v>
      </c>
      <c r="F9154" s="6" t="s">
        <v>249</v>
      </c>
      <c r="G9154" s="6" t="s">
        <v>326</v>
      </c>
      <c r="H9154" s="10">
        <v>46053.0</v>
      </c>
      <c r="I9154" s="12">
        <v>3.0</v>
      </c>
      <c r="J9154" s="6" t="s">
        <v>161</v>
      </c>
    </row>
    <row r="9155" ht="22.5" customHeight="1">
      <c r="A9155" s="6" t="s">
        <v>25963</v>
      </c>
      <c r="B9155" s="6" t="s">
        <v>20214</v>
      </c>
      <c r="C9155" s="10">
        <v>46029.0</v>
      </c>
      <c r="D9155" s="6" t="s">
        <v>242</v>
      </c>
      <c r="E9155" s="6" t="s">
        <v>466</v>
      </c>
      <c r="F9155" s="6" t="s">
        <v>283</v>
      </c>
      <c r="G9155" s="6" t="s">
        <v>494</v>
      </c>
      <c r="H9155" s="10">
        <v>46035.0</v>
      </c>
      <c r="I9155" s="12">
        <v>3.0</v>
      </c>
      <c r="J9155" s="6" t="s">
        <v>161</v>
      </c>
    </row>
    <row r="9156" ht="22.5" customHeight="1">
      <c r="A9156" s="6" t="s">
        <v>25964</v>
      </c>
      <c r="B9156" s="6" t="s">
        <v>20214</v>
      </c>
      <c r="C9156" s="10">
        <v>46039.0</v>
      </c>
      <c r="D9156" s="6" t="s">
        <v>242</v>
      </c>
      <c r="E9156" s="6" t="s">
        <v>1241</v>
      </c>
      <c r="F9156" s="6" t="s">
        <v>249</v>
      </c>
      <c r="G9156" s="6" t="s">
        <v>297</v>
      </c>
      <c r="H9156" s="11" t="s">
        <v>259</v>
      </c>
      <c r="I9156" s="12">
        <v>5.0</v>
      </c>
      <c r="J9156" s="6" t="s">
        <v>178</v>
      </c>
    </row>
    <row r="9157" ht="22.5" customHeight="1">
      <c r="A9157" s="6" t="s">
        <v>25965</v>
      </c>
      <c r="B9157" s="6" t="s">
        <v>20214</v>
      </c>
      <c r="C9157" s="10">
        <v>46046.0</v>
      </c>
      <c r="D9157" s="6" t="s">
        <v>242</v>
      </c>
      <c r="E9157" s="6" t="s">
        <v>775</v>
      </c>
      <c r="F9157" s="6" t="s">
        <v>249</v>
      </c>
      <c r="G9157" s="6" t="s">
        <v>452</v>
      </c>
      <c r="H9157" s="10">
        <v>46048.0</v>
      </c>
      <c r="I9157" s="12">
        <v>4.0</v>
      </c>
      <c r="J9157" s="6" t="s">
        <v>178</v>
      </c>
    </row>
    <row r="9158" ht="22.5" customHeight="1">
      <c r="A9158" s="6" t="s">
        <v>25966</v>
      </c>
      <c r="B9158" s="6" t="s">
        <v>20214</v>
      </c>
      <c r="C9158" s="10">
        <v>46027.0</v>
      </c>
      <c r="D9158" s="6" t="s">
        <v>289</v>
      </c>
      <c r="E9158" s="6" t="s">
        <v>1700</v>
      </c>
      <c r="F9158" s="6" t="s">
        <v>439</v>
      </c>
      <c r="G9158" s="6" t="s">
        <v>494</v>
      </c>
      <c r="H9158" s="10">
        <v>46034.0</v>
      </c>
      <c r="I9158" s="12">
        <v>5.0</v>
      </c>
      <c r="J9158" s="6" t="s">
        <v>161</v>
      </c>
    </row>
    <row r="9159" ht="22.5" customHeight="1">
      <c r="A9159" s="6" t="s">
        <v>25967</v>
      </c>
      <c r="B9159" s="6" t="s">
        <v>20221</v>
      </c>
      <c r="C9159" s="10">
        <v>46044.0</v>
      </c>
      <c r="D9159" s="6" t="s">
        <v>289</v>
      </c>
      <c r="E9159" s="6" t="s">
        <v>658</v>
      </c>
      <c r="F9159" s="6" t="s">
        <v>439</v>
      </c>
      <c r="G9159" s="6" t="s">
        <v>297</v>
      </c>
      <c r="H9159" s="11" t="s">
        <v>259</v>
      </c>
      <c r="I9159" s="12">
        <v>8.0</v>
      </c>
      <c r="J9159" s="6" t="s">
        <v>161</v>
      </c>
    </row>
    <row r="9160" ht="22.5" customHeight="1">
      <c r="A9160" s="6" t="s">
        <v>25968</v>
      </c>
      <c r="B9160" s="6" t="s">
        <v>20221</v>
      </c>
      <c r="C9160" s="10">
        <v>46048.0</v>
      </c>
      <c r="D9160" s="6" t="s">
        <v>677</v>
      </c>
      <c r="E9160" s="6" t="s">
        <v>896</v>
      </c>
      <c r="F9160" s="6" t="s">
        <v>283</v>
      </c>
      <c r="G9160" s="6" t="s">
        <v>452</v>
      </c>
      <c r="H9160" s="10">
        <v>46054.0</v>
      </c>
      <c r="I9160" s="12">
        <v>2.0</v>
      </c>
      <c r="J9160" s="6" t="s">
        <v>161</v>
      </c>
    </row>
    <row r="9161" ht="22.5" customHeight="1">
      <c r="A9161" s="6" t="s">
        <v>25969</v>
      </c>
      <c r="B9161" s="6" t="s">
        <v>20227</v>
      </c>
      <c r="C9161" s="10">
        <v>46046.0</v>
      </c>
      <c r="D9161" s="6" t="s">
        <v>416</v>
      </c>
      <c r="E9161" s="6" t="s">
        <v>246</v>
      </c>
      <c r="F9161" s="6" t="s">
        <v>283</v>
      </c>
      <c r="G9161" s="6" t="s">
        <v>254</v>
      </c>
      <c r="H9161" s="10">
        <v>46048.0</v>
      </c>
      <c r="I9161" s="12">
        <v>8.0</v>
      </c>
      <c r="J9161" s="6" t="s">
        <v>161</v>
      </c>
    </row>
    <row r="9162" ht="22.5" customHeight="1">
      <c r="A9162" s="6" t="s">
        <v>25970</v>
      </c>
      <c r="B9162" s="6" t="s">
        <v>20227</v>
      </c>
      <c r="C9162" s="10">
        <v>46052.0</v>
      </c>
      <c r="D9162" s="6" t="s">
        <v>312</v>
      </c>
      <c r="E9162" s="6" t="s">
        <v>1969</v>
      </c>
      <c r="F9162" s="6" t="s">
        <v>249</v>
      </c>
      <c r="G9162" s="6" t="s">
        <v>452</v>
      </c>
      <c r="H9162" s="10">
        <v>46056.0</v>
      </c>
      <c r="I9162" s="12">
        <v>4.0</v>
      </c>
      <c r="J9162" s="6" t="s">
        <v>161</v>
      </c>
    </row>
    <row r="9163" ht="22.5" customHeight="1">
      <c r="A9163" s="6" t="s">
        <v>25971</v>
      </c>
      <c r="B9163" s="6" t="s">
        <v>20227</v>
      </c>
      <c r="C9163" s="10">
        <v>46046.0</v>
      </c>
      <c r="D9163" s="6" t="s">
        <v>677</v>
      </c>
      <c r="E9163" s="6" t="s">
        <v>1600</v>
      </c>
      <c r="F9163" s="6" t="s">
        <v>439</v>
      </c>
      <c r="G9163" s="6" t="s">
        <v>494</v>
      </c>
      <c r="H9163" s="10">
        <v>46053.0</v>
      </c>
      <c r="I9163" s="12">
        <v>2.0</v>
      </c>
      <c r="J9163" s="6" t="s">
        <v>161</v>
      </c>
    </row>
    <row r="9164" ht="22.5" customHeight="1">
      <c r="A9164" s="6" t="s">
        <v>25972</v>
      </c>
      <c r="B9164" s="6" t="s">
        <v>20227</v>
      </c>
      <c r="C9164" s="10">
        <v>46055.0</v>
      </c>
      <c r="D9164" s="6" t="s">
        <v>436</v>
      </c>
      <c r="E9164" s="6" t="s">
        <v>618</v>
      </c>
      <c r="F9164" s="6" t="s">
        <v>439</v>
      </c>
      <c r="G9164" s="6" t="s">
        <v>494</v>
      </c>
      <c r="H9164" s="10">
        <v>46061.0</v>
      </c>
      <c r="I9164" s="12">
        <v>8.0</v>
      </c>
      <c r="J9164" s="6" t="s">
        <v>178</v>
      </c>
    </row>
    <row r="9165" ht="22.5" customHeight="1">
      <c r="A9165" s="6" t="s">
        <v>25973</v>
      </c>
      <c r="B9165" s="6" t="s">
        <v>20227</v>
      </c>
      <c r="C9165" s="10">
        <v>46060.0</v>
      </c>
      <c r="D9165" s="6" t="s">
        <v>677</v>
      </c>
      <c r="E9165" s="6" t="s">
        <v>1546</v>
      </c>
      <c r="F9165" s="6" t="s">
        <v>112</v>
      </c>
      <c r="G9165" s="6" t="s">
        <v>254</v>
      </c>
      <c r="H9165" s="10">
        <v>46062.0</v>
      </c>
      <c r="I9165" s="12">
        <v>3.0</v>
      </c>
      <c r="J9165" s="6" t="s">
        <v>161</v>
      </c>
    </row>
    <row r="9166" ht="22.5" customHeight="1">
      <c r="A9166" s="6" t="s">
        <v>25974</v>
      </c>
      <c r="B9166" s="6" t="s">
        <v>20234</v>
      </c>
      <c r="C9166" s="10">
        <v>46071.0</v>
      </c>
      <c r="D9166" s="6" t="s">
        <v>416</v>
      </c>
      <c r="E9166" s="6" t="s">
        <v>687</v>
      </c>
      <c r="F9166" s="6" t="s">
        <v>283</v>
      </c>
      <c r="G9166" s="6" t="s">
        <v>477</v>
      </c>
      <c r="H9166" s="10">
        <v>46078.0</v>
      </c>
      <c r="I9166" s="12">
        <v>11.0</v>
      </c>
      <c r="J9166" s="6" t="s">
        <v>161</v>
      </c>
    </row>
    <row r="9167" ht="22.5" customHeight="1">
      <c r="A9167" s="6" t="s">
        <v>25975</v>
      </c>
      <c r="B9167" s="6" t="s">
        <v>20234</v>
      </c>
      <c r="C9167" s="10">
        <v>46071.0</v>
      </c>
      <c r="D9167" s="6" t="s">
        <v>391</v>
      </c>
      <c r="E9167" s="6" t="s">
        <v>628</v>
      </c>
      <c r="F9167" s="6" t="s">
        <v>249</v>
      </c>
      <c r="G9167" s="6" t="s">
        <v>477</v>
      </c>
      <c r="H9167" s="11" t="s">
        <v>259</v>
      </c>
      <c r="I9167" s="12">
        <v>10.0</v>
      </c>
      <c r="J9167" s="6" t="s">
        <v>161</v>
      </c>
    </row>
    <row r="9168" ht="22.5" customHeight="1">
      <c r="A9168" s="6" t="s">
        <v>25976</v>
      </c>
      <c r="B9168" s="6" t="s">
        <v>20234</v>
      </c>
      <c r="C9168" s="10">
        <v>46066.0</v>
      </c>
      <c r="D9168" s="6" t="s">
        <v>289</v>
      </c>
      <c r="E9168" s="6" t="s">
        <v>1273</v>
      </c>
      <c r="F9168" s="6" t="s">
        <v>283</v>
      </c>
      <c r="G9168" s="6" t="s">
        <v>494</v>
      </c>
      <c r="H9168" s="10">
        <v>46072.0</v>
      </c>
      <c r="I9168" s="12">
        <v>6.0</v>
      </c>
      <c r="J9168" s="6" t="s">
        <v>161</v>
      </c>
    </row>
    <row r="9169" ht="22.5" customHeight="1">
      <c r="A9169" s="6" t="s">
        <v>25977</v>
      </c>
      <c r="B9169" s="6" t="s">
        <v>20240</v>
      </c>
      <c r="C9169" s="10">
        <v>46064.0</v>
      </c>
      <c r="D9169" s="6" t="s">
        <v>242</v>
      </c>
      <c r="E9169" s="6" t="s">
        <v>775</v>
      </c>
      <c r="F9169" s="6" t="s">
        <v>283</v>
      </c>
      <c r="G9169" s="6" t="s">
        <v>326</v>
      </c>
      <c r="H9169" s="11" t="s">
        <v>259</v>
      </c>
      <c r="I9169" s="12">
        <v>4.0</v>
      </c>
      <c r="J9169" s="6" t="s">
        <v>161</v>
      </c>
    </row>
    <row r="9170" ht="22.5" customHeight="1">
      <c r="A9170" s="6" t="s">
        <v>25978</v>
      </c>
      <c r="B9170" s="6" t="s">
        <v>20240</v>
      </c>
      <c r="C9170" s="10">
        <v>46064.0</v>
      </c>
      <c r="D9170" s="6" t="s">
        <v>289</v>
      </c>
      <c r="E9170" s="6" t="s">
        <v>775</v>
      </c>
      <c r="F9170" s="6" t="s">
        <v>283</v>
      </c>
      <c r="G9170" s="6" t="s">
        <v>369</v>
      </c>
      <c r="H9170" s="10">
        <v>46068.0</v>
      </c>
      <c r="I9170" s="12">
        <v>5.0</v>
      </c>
      <c r="J9170" s="6" t="s">
        <v>161</v>
      </c>
    </row>
    <row r="9171" ht="22.5" customHeight="1">
      <c r="A9171" s="6" t="s">
        <v>25979</v>
      </c>
      <c r="B9171" s="6" t="s">
        <v>20240</v>
      </c>
      <c r="C9171" s="10">
        <v>46074.0</v>
      </c>
      <c r="D9171" s="6" t="s">
        <v>242</v>
      </c>
      <c r="E9171" s="6" t="s">
        <v>775</v>
      </c>
      <c r="F9171" s="6" t="s">
        <v>249</v>
      </c>
      <c r="G9171" s="6" t="s">
        <v>254</v>
      </c>
      <c r="H9171" s="10">
        <v>46077.0</v>
      </c>
      <c r="I9171" s="12">
        <v>4.0</v>
      </c>
      <c r="J9171" s="6" t="s">
        <v>161</v>
      </c>
    </row>
    <row r="9172" ht="22.5" customHeight="1">
      <c r="A9172" s="6" t="s">
        <v>25980</v>
      </c>
      <c r="B9172" s="6" t="s">
        <v>20240</v>
      </c>
      <c r="C9172" s="10">
        <v>46071.0</v>
      </c>
      <c r="D9172" s="6" t="s">
        <v>312</v>
      </c>
      <c r="E9172" s="6" t="s">
        <v>1296</v>
      </c>
      <c r="F9172" s="6" t="s">
        <v>283</v>
      </c>
      <c r="G9172" s="6" t="s">
        <v>297</v>
      </c>
      <c r="H9172" s="10">
        <v>46072.0</v>
      </c>
      <c r="I9172" s="12">
        <v>4.0</v>
      </c>
      <c r="J9172" s="6" t="s">
        <v>161</v>
      </c>
    </row>
    <row r="9173" ht="22.5" customHeight="1">
      <c r="A9173" s="6" t="s">
        <v>25981</v>
      </c>
      <c r="B9173" s="6" t="s">
        <v>20240</v>
      </c>
      <c r="C9173" s="10">
        <v>46071.0</v>
      </c>
      <c r="D9173" s="6" t="s">
        <v>416</v>
      </c>
      <c r="E9173" s="6" t="s">
        <v>670</v>
      </c>
      <c r="F9173" s="6" t="s">
        <v>112</v>
      </c>
      <c r="G9173" s="6" t="s">
        <v>458</v>
      </c>
      <c r="H9173" s="10">
        <v>46075.0</v>
      </c>
      <c r="I9173" s="12">
        <v>8.0</v>
      </c>
      <c r="J9173" s="6" t="s">
        <v>161</v>
      </c>
    </row>
    <row r="9174" ht="22.5" customHeight="1">
      <c r="A9174" s="6" t="s">
        <v>25982</v>
      </c>
      <c r="B9174" s="6" t="s">
        <v>20246</v>
      </c>
      <c r="C9174" s="10">
        <v>46049.0</v>
      </c>
      <c r="D9174" s="6" t="s">
        <v>312</v>
      </c>
      <c r="E9174" s="6" t="s">
        <v>475</v>
      </c>
      <c r="F9174" s="6" t="s">
        <v>249</v>
      </c>
      <c r="G9174" s="6" t="s">
        <v>297</v>
      </c>
      <c r="H9174" s="10">
        <v>46054.0</v>
      </c>
      <c r="I9174" s="12">
        <v>4.0</v>
      </c>
      <c r="J9174" s="6" t="s">
        <v>161</v>
      </c>
    </row>
    <row r="9175" ht="22.5" customHeight="1">
      <c r="A9175" s="6" t="s">
        <v>25983</v>
      </c>
      <c r="B9175" s="6" t="s">
        <v>20246</v>
      </c>
      <c r="C9175" s="10">
        <v>46045.0</v>
      </c>
      <c r="D9175" s="6" t="s">
        <v>416</v>
      </c>
      <c r="E9175" s="6" t="s">
        <v>798</v>
      </c>
      <c r="F9175" s="6" t="s">
        <v>112</v>
      </c>
      <c r="G9175" s="6" t="s">
        <v>297</v>
      </c>
      <c r="H9175" s="10">
        <v>46045.0</v>
      </c>
      <c r="I9175" s="12">
        <v>11.0</v>
      </c>
      <c r="J9175" s="6" t="s">
        <v>161</v>
      </c>
    </row>
    <row r="9176" ht="22.5" customHeight="1">
      <c r="A9176" s="6" t="s">
        <v>25984</v>
      </c>
      <c r="B9176" s="6" t="s">
        <v>20246</v>
      </c>
      <c r="C9176" s="10">
        <v>46042.0</v>
      </c>
      <c r="D9176" s="6" t="s">
        <v>416</v>
      </c>
      <c r="E9176" s="6" t="s">
        <v>738</v>
      </c>
      <c r="F9176" s="6" t="s">
        <v>439</v>
      </c>
      <c r="G9176" s="6" t="s">
        <v>326</v>
      </c>
      <c r="H9176" s="10">
        <v>46047.0</v>
      </c>
      <c r="I9176" s="12">
        <v>12.0</v>
      </c>
      <c r="J9176" s="6" t="s">
        <v>161</v>
      </c>
    </row>
    <row r="9177" ht="22.5" customHeight="1">
      <c r="A9177" s="6" t="s">
        <v>25985</v>
      </c>
      <c r="B9177" s="6" t="s">
        <v>20246</v>
      </c>
      <c r="C9177" s="10">
        <v>46040.0</v>
      </c>
      <c r="D9177" s="6" t="s">
        <v>289</v>
      </c>
      <c r="E9177" s="6" t="s">
        <v>1102</v>
      </c>
      <c r="F9177" s="6" t="s">
        <v>249</v>
      </c>
      <c r="G9177" s="6" t="s">
        <v>458</v>
      </c>
      <c r="H9177" s="11" t="s">
        <v>259</v>
      </c>
      <c r="I9177" s="12">
        <v>9.0</v>
      </c>
      <c r="J9177" s="6" t="s">
        <v>161</v>
      </c>
    </row>
    <row r="9178" ht="22.5" customHeight="1">
      <c r="A9178" s="6" t="s">
        <v>25986</v>
      </c>
      <c r="B9178" s="6" t="s">
        <v>20246</v>
      </c>
      <c r="C9178" s="10">
        <v>46033.0</v>
      </c>
      <c r="D9178" s="6" t="s">
        <v>242</v>
      </c>
      <c r="E9178" s="6" t="s">
        <v>1035</v>
      </c>
      <c r="F9178" s="6" t="s">
        <v>439</v>
      </c>
      <c r="G9178" s="6" t="s">
        <v>297</v>
      </c>
      <c r="H9178" s="10">
        <v>46039.0</v>
      </c>
      <c r="I9178" s="12">
        <v>5.0</v>
      </c>
      <c r="J9178" s="6" t="s">
        <v>178</v>
      </c>
    </row>
    <row r="9179" ht="22.5" customHeight="1">
      <c r="A9179" s="6" t="s">
        <v>25987</v>
      </c>
      <c r="B9179" s="6" t="s">
        <v>20252</v>
      </c>
      <c r="C9179" s="10">
        <v>46045.0</v>
      </c>
      <c r="D9179" s="6" t="s">
        <v>289</v>
      </c>
      <c r="E9179" s="6" t="s">
        <v>1552</v>
      </c>
      <c r="F9179" s="6" t="s">
        <v>112</v>
      </c>
      <c r="G9179" s="6" t="s">
        <v>458</v>
      </c>
      <c r="H9179" s="10">
        <v>46050.0</v>
      </c>
      <c r="I9179" s="12">
        <v>5.0</v>
      </c>
      <c r="J9179" s="6" t="s">
        <v>161</v>
      </c>
    </row>
    <row r="9180" ht="22.5" customHeight="1">
      <c r="A9180" s="6" t="s">
        <v>25988</v>
      </c>
      <c r="B9180" s="6" t="s">
        <v>20252</v>
      </c>
      <c r="C9180" s="10">
        <v>46045.0</v>
      </c>
      <c r="D9180" s="6" t="s">
        <v>391</v>
      </c>
      <c r="E9180" s="6" t="s">
        <v>1070</v>
      </c>
      <c r="F9180" s="6" t="s">
        <v>112</v>
      </c>
      <c r="G9180" s="6" t="s">
        <v>452</v>
      </c>
      <c r="H9180" s="11" t="s">
        <v>259</v>
      </c>
      <c r="I9180" s="12">
        <v>8.0</v>
      </c>
      <c r="J9180" s="6" t="s">
        <v>161</v>
      </c>
    </row>
    <row r="9181" ht="22.5" customHeight="1">
      <c r="A9181" s="6" t="s">
        <v>25989</v>
      </c>
      <c r="B9181" s="6" t="s">
        <v>20252</v>
      </c>
      <c r="C9181" s="10">
        <v>46042.0</v>
      </c>
      <c r="D9181" s="6" t="s">
        <v>289</v>
      </c>
      <c r="E9181" s="6" t="s">
        <v>695</v>
      </c>
      <c r="F9181" s="6" t="s">
        <v>439</v>
      </c>
      <c r="G9181" s="6" t="s">
        <v>297</v>
      </c>
      <c r="H9181" s="10">
        <v>46048.0</v>
      </c>
      <c r="I9181" s="12">
        <v>5.0</v>
      </c>
      <c r="J9181" s="6" t="s">
        <v>161</v>
      </c>
    </row>
    <row r="9182" ht="22.5" customHeight="1">
      <c r="A9182" s="6" t="s">
        <v>25990</v>
      </c>
      <c r="B9182" s="6" t="s">
        <v>20252</v>
      </c>
      <c r="C9182" s="10">
        <v>46042.0</v>
      </c>
      <c r="D9182" s="6" t="s">
        <v>677</v>
      </c>
      <c r="E9182" s="6" t="s">
        <v>566</v>
      </c>
      <c r="F9182" s="6" t="s">
        <v>283</v>
      </c>
      <c r="G9182" s="6" t="s">
        <v>297</v>
      </c>
      <c r="H9182" s="10">
        <v>46043.0</v>
      </c>
      <c r="I9182" s="12">
        <v>4.0</v>
      </c>
      <c r="J9182" s="6" t="s">
        <v>161</v>
      </c>
    </row>
    <row r="9183" ht="22.5" customHeight="1">
      <c r="A9183" s="6" t="s">
        <v>25991</v>
      </c>
      <c r="B9183" s="6" t="s">
        <v>20258</v>
      </c>
      <c r="C9183" s="10">
        <v>46044.0</v>
      </c>
      <c r="D9183" s="6" t="s">
        <v>391</v>
      </c>
      <c r="E9183" s="6" t="s">
        <v>1296</v>
      </c>
      <c r="F9183" s="6" t="s">
        <v>439</v>
      </c>
      <c r="G9183" s="6" t="s">
        <v>369</v>
      </c>
      <c r="H9183" s="10">
        <v>46051.0</v>
      </c>
      <c r="I9183" s="12">
        <v>8.0</v>
      </c>
      <c r="J9183" s="6" t="s">
        <v>161</v>
      </c>
    </row>
    <row r="9184" ht="22.5" customHeight="1">
      <c r="A9184" s="6" t="s">
        <v>25992</v>
      </c>
      <c r="B9184" s="6" t="s">
        <v>20258</v>
      </c>
      <c r="C9184" s="10">
        <v>46040.0</v>
      </c>
      <c r="D9184" s="6" t="s">
        <v>242</v>
      </c>
      <c r="E9184" s="6" t="s">
        <v>787</v>
      </c>
      <c r="F9184" s="6" t="s">
        <v>439</v>
      </c>
      <c r="G9184" s="6" t="s">
        <v>477</v>
      </c>
      <c r="H9184" s="10">
        <v>46040.0</v>
      </c>
      <c r="I9184" s="12">
        <v>6.0</v>
      </c>
      <c r="J9184" s="6" t="s">
        <v>178</v>
      </c>
    </row>
    <row r="9185" ht="22.5" customHeight="1">
      <c r="A9185" s="6" t="s">
        <v>25993</v>
      </c>
      <c r="B9185" s="6" t="s">
        <v>20258</v>
      </c>
      <c r="C9185" s="10">
        <v>46043.0</v>
      </c>
      <c r="D9185" s="6" t="s">
        <v>242</v>
      </c>
      <c r="E9185" s="6" t="s">
        <v>566</v>
      </c>
      <c r="F9185" s="6" t="s">
        <v>439</v>
      </c>
      <c r="G9185" s="6" t="s">
        <v>369</v>
      </c>
      <c r="H9185" s="10">
        <v>46048.0</v>
      </c>
      <c r="I9185" s="12">
        <v>3.0</v>
      </c>
      <c r="J9185" s="6" t="s">
        <v>178</v>
      </c>
    </row>
    <row r="9186" ht="22.5" customHeight="1">
      <c r="A9186" s="6" t="s">
        <v>25994</v>
      </c>
      <c r="B9186" s="6" t="s">
        <v>20265</v>
      </c>
      <c r="C9186" s="10">
        <v>46061.0</v>
      </c>
      <c r="D9186" s="6" t="s">
        <v>436</v>
      </c>
      <c r="E9186" s="6" t="s">
        <v>1310</v>
      </c>
      <c r="F9186" s="6" t="s">
        <v>283</v>
      </c>
      <c r="G9186" s="6" t="s">
        <v>254</v>
      </c>
      <c r="H9186" s="10">
        <v>46068.0</v>
      </c>
      <c r="I9186" s="12">
        <v>10.0</v>
      </c>
      <c r="J9186" s="6" t="s">
        <v>161</v>
      </c>
    </row>
    <row r="9187" ht="22.5" customHeight="1">
      <c r="A9187" s="6" t="s">
        <v>25995</v>
      </c>
      <c r="B9187" s="6" t="s">
        <v>20265</v>
      </c>
      <c r="C9187" s="10">
        <v>46044.0</v>
      </c>
      <c r="D9187" s="6" t="s">
        <v>289</v>
      </c>
      <c r="E9187" s="6" t="s">
        <v>246</v>
      </c>
      <c r="F9187" s="6" t="s">
        <v>439</v>
      </c>
      <c r="G9187" s="6" t="s">
        <v>458</v>
      </c>
      <c r="H9187" s="10">
        <v>46045.0</v>
      </c>
      <c r="I9187" s="12">
        <v>5.0</v>
      </c>
      <c r="J9187" s="6" t="s">
        <v>161</v>
      </c>
    </row>
    <row r="9188" ht="22.5" customHeight="1">
      <c r="A9188" s="6" t="s">
        <v>25996</v>
      </c>
      <c r="B9188" s="6" t="s">
        <v>20270</v>
      </c>
      <c r="C9188" s="10">
        <v>46065.0</v>
      </c>
      <c r="D9188" s="6" t="s">
        <v>677</v>
      </c>
      <c r="E9188" s="6" t="s">
        <v>670</v>
      </c>
      <c r="F9188" s="6" t="s">
        <v>283</v>
      </c>
      <c r="G9188" s="6" t="s">
        <v>369</v>
      </c>
      <c r="H9188" s="11" t="s">
        <v>259</v>
      </c>
      <c r="I9188" s="12">
        <v>3.0</v>
      </c>
      <c r="J9188" s="6" t="s">
        <v>161</v>
      </c>
    </row>
    <row r="9189" ht="22.5" customHeight="1">
      <c r="A9189" s="6" t="s">
        <v>25997</v>
      </c>
      <c r="B9189" s="6" t="s">
        <v>20270</v>
      </c>
      <c r="C9189" s="10">
        <v>46083.0</v>
      </c>
      <c r="D9189" s="6" t="s">
        <v>312</v>
      </c>
      <c r="E9189" s="6" t="s">
        <v>1055</v>
      </c>
      <c r="F9189" s="6" t="s">
        <v>439</v>
      </c>
      <c r="G9189" s="6" t="s">
        <v>477</v>
      </c>
      <c r="H9189" s="11" t="s">
        <v>259</v>
      </c>
      <c r="I9189" s="12">
        <v>7.0</v>
      </c>
      <c r="J9189" s="6" t="s">
        <v>161</v>
      </c>
    </row>
    <row r="9190" ht="22.5" customHeight="1">
      <c r="A9190" s="6" t="s">
        <v>25998</v>
      </c>
      <c r="B9190" s="6" t="s">
        <v>20277</v>
      </c>
      <c r="C9190" s="10">
        <v>46059.0</v>
      </c>
      <c r="D9190" s="6" t="s">
        <v>289</v>
      </c>
      <c r="E9190" s="6" t="s">
        <v>566</v>
      </c>
      <c r="F9190" s="6" t="s">
        <v>439</v>
      </c>
      <c r="G9190" s="6" t="s">
        <v>254</v>
      </c>
      <c r="H9190" s="11" t="s">
        <v>259</v>
      </c>
      <c r="I9190" s="12">
        <v>10.0</v>
      </c>
      <c r="J9190" s="6" t="s">
        <v>161</v>
      </c>
    </row>
    <row r="9191" ht="22.5" customHeight="1">
      <c r="A9191" s="6" t="s">
        <v>25999</v>
      </c>
      <c r="B9191" s="6" t="s">
        <v>20277</v>
      </c>
      <c r="C9191" s="10">
        <v>46056.0</v>
      </c>
      <c r="D9191" s="6" t="s">
        <v>242</v>
      </c>
      <c r="E9191" s="6" t="s">
        <v>628</v>
      </c>
      <c r="F9191" s="6" t="s">
        <v>283</v>
      </c>
      <c r="G9191" s="6" t="s">
        <v>452</v>
      </c>
      <c r="H9191" s="10">
        <v>46058.0</v>
      </c>
      <c r="I9191" s="12">
        <v>4.0</v>
      </c>
      <c r="J9191" s="6" t="s">
        <v>161</v>
      </c>
    </row>
    <row r="9192" ht="22.5" customHeight="1">
      <c r="A9192" s="6" t="s">
        <v>26000</v>
      </c>
      <c r="B9192" s="6" t="s">
        <v>20277</v>
      </c>
      <c r="C9192" s="10">
        <v>46052.0</v>
      </c>
      <c r="D9192" s="6" t="s">
        <v>312</v>
      </c>
      <c r="E9192" s="6" t="s">
        <v>2881</v>
      </c>
      <c r="F9192" s="6" t="s">
        <v>112</v>
      </c>
      <c r="G9192" s="6" t="s">
        <v>297</v>
      </c>
      <c r="H9192" s="10">
        <v>46057.0</v>
      </c>
      <c r="I9192" s="12">
        <v>4.0</v>
      </c>
      <c r="J9192" s="6" t="s">
        <v>161</v>
      </c>
    </row>
    <row r="9193" ht="22.5" customHeight="1">
      <c r="A9193" s="6" t="s">
        <v>26001</v>
      </c>
      <c r="B9193" s="6" t="s">
        <v>20284</v>
      </c>
      <c r="C9193" s="10">
        <v>46068.0</v>
      </c>
      <c r="D9193" s="6" t="s">
        <v>436</v>
      </c>
      <c r="E9193" s="6" t="s">
        <v>475</v>
      </c>
      <c r="F9193" s="6" t="s">
        <v>439</v>
      </c>
      <c r="G9193" s="6" t="s">
        <v>477</v>
      </c>
      <c r="H9193" s="10">
        <v>46071.0</v>
      </c>
      <c r="I9193" s="12">
        <v>6.0</v>
      </c>
      <c r="J9193" s="6" t="s">
        <v>161</v>
      </c>
    </row>
    <row r="9194" ht="22.5" customHeight="1">
      <c r="A9194" s="6" t="s">
        <v>26002</v>
      </c>
      <c r="B9194" s="6" t="s">
        <v>20284</v>
      </c>
      <c r="C9194" s="10">
        <v>46057.0</v>
      </c>
      <c r="D9194" s="6" t="s">
        <v>242</v>
      </c>
      <c r="E9194" s="6" t="s">
        <v>610</v>
      </c>
      <c r="F9194" s="6" t="s">
        <v>112</v>
      </c>
      <c r="G9194" s="6" t="s">
        <v>494</v>
      </c>
      <c r="H9194" s="10">
        <v>46064.0</v>
      </c>
      <c r="I9194" s="12">
        <v>6.0</v>
      </c>
      <c r="J9194" s="6" t="s">
        <v>178</v>
      </c>
    </row>
    <row r="9195" ht="22.5" customHeight="1">
      <c r="A9195" s="6" t="s">
        <v>26003</v>
      </c>
      <c r="B9195" s="6" t="s">
        <v>20290</v>
      </c>
      <c r="C9195" s="10">
        <v>46078.0</v>
      </c>
      <c r="D9195" s="6" t="s">
        <v>289</v>
      </c>
      <c r="E9195" s="6" t="s">
        <v>628</v>
      </c>
      <c r="F9195" s="6" t="s">
        <v>283</v>
      </c>
      <c r="G9195" s="6" t="s">
        <v>254</v>
      </c>
      <c r="H9195" s="10">
        <v>46079.0</v>
      </c>
      <c r="I9195" s="12">
        <v>9.0</v>
      </c>
      <c r="J9195" s="6" t="s">
        <v>161</v>
      </c>
    </row>
    <row r="9196" ht="22.5" customHeight="1">
      <c r="A9196" s="6" t="s">
        <v>26004</v>
      </c>
      <c r="B9196" s="6" t="s">
        <v>20290</v>
      </c>
      <c r="C9196" s="10">
        <v>46082.0</v>
      </c>
      <c r="D9196" s="6" t="s">
        <v>289</v>
      </c>
      <c r="E9196" s="6" t="s">
        <v>583</v>
      </c>
      <c r="F9196" s="6" t="s">
        <v>439</v>
      </c>
      <c r="G9196" s="6" t="s">
        <v>452</v>
      </c>
      <c r="H9196" s="10">
        <v>46084.0</v>
      </c>
      <c r="I9196" s="12">
        <v>9.0</v>
      </c>
      <c r="J9196" s="6" t="s">
        <v>161</v>
      </c>
    </row>
    <row r="9197" ht="22.5" customHeight="1">
      <c r="A9197" s="6" t="s">
        <v>26005</v>
      </c>
      <c r="B9197" s="6" t="s">
        <v>20290</v>
      </c>
      <c r="C9197" s="10">
        <v>46083.0</v>
      </c>
      <c r="D9197" s="6" t="s">
        <v>242</v>
      </c>
      <c r="E9197" s="6" t="s">
        <v>787</v>
      </c>
      <c r="F9197" s="6" t="s">
        <v>439</v>
      </c>
      <c r="G9197" s="6" t="s">
        <v>254</v>
      </c>
      <c r="H9197" s="10">
        <v>46085.0</v>
      </c>
      <c r="I9197" s="12">
        <v>6.0</v>
      </c>
      <c r="J9197" s="6" t="s">
        <v>161</v>
      </c>
    </row>
    <row r="9198" ht="22.5" customHeight="1">
      <c r="A9198" s="6" t="s">
        <v>26006</v>
      </c>
      <c r="B9198" s="6" t="s">
        <v>20290</v>
      </c>
      <c r="C9198" s="10">
        <v>46083.0</v>
      </c>
      <c r="D9198" s="6" t="s">
        <v>416</v>
      </c>
      <c r="E9198" s="6" t="s">
        <v>1055</v>
      </c>
      <c r="F9198" s="6" t="s">
        <v>112</v>
      </c>
      <c r="G9198" s="6" t="s">
        <v>369</v>
      </c>
      <c r="H9198" s="10">
        <v>46088.0</v>
      </c>
      <c r="I9198" s="12">
        <v>11.0</v>
      </c>
      <c r="J9198" s="6" t="s">
        <v>161</v>
      </c>
    </row>
    <row r="9199" ht="22.5" customHeight="1">
      <c r="A9199" s="6" t="s">
        <v>26007</v>
      </c>
      <c r="B9199" s="6" t="s">
        <v>20290</v>
      </c>
      <c r="C9199" s="10">
        <v>46072.0</v>
      </c>
      <c r="D9199" s="6" t="s">
        <v>436</v>
      </c>
      <c r="E9199" s="6" t="s">
        <v>775</v>
      </c>
      <c r="F9199" s="6" t="s">
        <v>249</v>
      </c>
      <c r="G9199" s="6" t="s">
        <v>458</v>
      </c>
      <c r="H9199" s="10">
        <v>46072.0</v>
      </c>
      <c r="I9199" s="12">
        <v>7.0</v>
      </c>
      <c r="J9199" s="6" t="s">
        <v>178</v>
      </c>
    </row>
    <row r="9200" ht="22.5" customHeight="1">
      <c r="A9200" s="6" t="s">
        <v>26008</v>
      </c>
      <c r="B9200" s="6" t="s">
        <v>20297</v>
      </c>
      <c r="C9200" s="10">
        <v>46080.0</v>
      </c>
      <c r="D9200" s="6" t="s">
        <v>416</v>
      </c>
      <c r="E9200" s="6" t="s">
        <v>1296</v>
      </c>
      <c r="F9200" s="6" t="s">
        <v>439</v>
      </c>
      <c r="G9200" s="6" t="s">
        <v>458</v>
      </c>
      <c r="H9200" s="10">
        <v>46086.0</v>
      </c>
      <c r="I9200" s="12">
        <v>13.0</v>
      </c>
      <c r="J9200" s="6" t="s">
        <v>161</v>
      </c>
    </row>
    <row r="9201" ht="22.5" customHeight="1">
      <c r="A9201" s="6" t="s">
        <v>26009</v>
      </c>
      <c r="B9201" s="6" t="s">
        <v>20297</v>
      </c>
      <c r="C9201" s="10">
        <v>46083.0</v>
      </c>
      <c r="D9201" s="6" t="s">
        <v>289</v>
      </c>
      <c r="E9201" s="6" t="s">
        <v>291</v>
      </c>
      <c r="F9201" s="6" t="s">
        <v>249</v>
      </c>
      <c r="G9201" s="6" t="s">
        <v>326</v>
      </c>
      <c r="H9201" s="10">
        <v>46089.0</v>
      </c>
      <c r="I9201" s="12">
        <v>6.0</v>
      </c>
      <c r="J9201" s="6" t="s">
        <v>161</v>
      </c>
    </row>
    <row r="9202" ht="22.5" customHeight="1">
      <c r="A9202" s="6" t="s">
        <v>26010</v>
      </c>
      <c r="B9202" s="6" t="s">
        <v>20297</v>
      </c>
      <c r="C9202" s="10">
        <v>46083.0</v>
      </c>
      <c r="D9202" s="6" t="s">
        <v>436</v>
      </c>
      <c r="E9202" s="6" t="s">
        <v>512</v>
      </c>
      <c r="F9202" s="6" t="s">
        <v>439</v>
      </c>
      <c r="G9202" s="6" t="s">
        <v>326</v>
      </c>
      <c r="H9202" s="10">
        <v>46090.0</v>
      </c>
      <c r="I9202" s="12">
        <v>8.0</v>
      </c>
      <c r="J9202" s="6" t="s">
        <v>178</v>
      </c>
    </row>
    <row r="9203" ht="22.5" customHeight="1">
      <c r="A9203" s="6" t="s">
        <v>26011</v>
      </c>
      <c r="B9203" s="6" t="s">
        <v>20297</v>
      </c>
      <c r="C9203" s="10">
        <v>46076.0</v>
      </c>
      <c r="D9203" s="6" t="s">
        <v>677</v>
      </c>
      <c r="E9203" s="6" t="s">
        <v>1626</v>
      </c>
      <c r="F9203" s="6" t="s">
        <v>112</v>
      </c>
      <c r="G9203" s="6" t="s">
        <v>452</v>
      </c>
      <c r="H9203" s="10">
        <v>46076.0</v>
      </c>
      <c r="I9203" s="12">
        <v>4.0</v>
      </c>
      <c r="J9203" s="6" t="s">
        <v>161</v>
      </c>
    </row>
    <row r="9204" ht="22.5" customHeight="1">
      <c r="A9204" s="6" t="s">
        <v>26012</v>
      </c>
      <c r="B9204" s="6" t="s">
        <v>20304</v>
      </c>
      <c r="C9204" s="10">
        <v>46053.0</v>
      </c>
      <c r="D9204" s="6" t="s">
        <v>677</v>
      </c>
      <c r="E9204" s="6" t="s">
        <v>704</v>
      </c>
      <c r="F9204" s="6" t="s">
        <v>249</v>
      </c>
      <c r="G9204" s="6" t="s">
        <v>477</v>
      </c>
      <c r="H9204" s="10">
        <v>46058.0</v>
      </c>
      <c r="I9204" s="12">
        <v>2.0</v>
      </c>
      <c r="J9204" s="6" t="s">
        <v>161</v>
      </c>
    </row>
    <row r="9205" ht="22.5" customHeight="1">
      <c r="A9205" s="6" t="s">
        <v>26013</v>
      </c>
      <c r="B9205" s="6" t="s">
        <v>20304</v>
      </c>
      <c r="C9205" s="10">
        <v>46060.0</v>
      </c>
      <c r="D9205" s="6" t="s">
        <v>436</v>
      </c>
      <c r="E9205" s="6" t="s">
        <v>896</v>
      </c>
      <c r="F9205" s="6" t="s">
        <v>112</v>
      </c>
      <c r="G9205" s="6" t="s">
        <v>477</v>
      </c>
      <c r="H9205" s="10">
        <v>46063.0</v>
      </c>
      <c r="I9205" s="12">
        <v>9.0</v>
      </c>
      <c r="J9205" s="6" t="s">
        <v>161</v>
      </c>
    </row>
    <row r="9206" ht="22.5" customHeight="1">
      <c r="A9206" s="6" t="s">
        <v>26014</v>
      </c>
      <c r="B9206" s="6" t="s">
        <v>20304</v>
      </c>
      <c r="C9206" s="10">
        <v>46059.0</v>
      </c>
      <c r="D9206" s="6" t="s">
        <v>677</v>
      </c>
      <c r="E9206" s="6" t="s">
        <v>1122</v>
      </c>
      <c r="F9206" s="6" t="s">
        <v>249</v>
      </c>
      <c r="G9206" s="6" t="s">
        <v>369</v>
      </c>
      <c r="H9206" s="10">
        <v>46060.0</v>
      </c>
      <c r="I9206" s="12">
        <v>4.0</v>
      </c>
      <c r="J9206" s="6" t="s">
        <v>161</v>
      </c>
    </row>
    <row r="9207" ht="22.5" customHeight="1">
      <c r="A9207" s="6" t="s">
        <v>26015</v>
      </c>
      <c r="B9207" s="6" t="s">
        <v>20304</v>
      </c>
      <c r="C9207" s="10">
        <v>46045.0</v>
      </c>
      <c r="D9207" s="6" t="s">
        <v>312</v>
      </c>
      <c r="E9207" s="6" t="s">
        <v>320</v>
      </c>
      <c r="F9207" s="6" t="s">
        <v>112</v>
      </c>
      <c r="G9207" s="6" t="s">
        <v>452</v>
      </c>
      <c r="H9207" s="10">
        <v>46050.0</v>
      </c>
      <c r="I9207" s="12">
        <v>7.0</v>
      </c>
      <c r="J9207" s="6" t="s">
        <v>161</v>
      </c>
    </row>
    <row r="9208" ht="22.5" customHeight="1">
      <c r="A9208" s="6" t="s">
        <v>26016</v>
      </c>
      <c r="B9208" s="6" t="s">
        <v>20304</v>
      </c>
      <c r="C9208" s="10">
        <v>46057.0</v>
      </c>
      <c r="D9208" s="6" t="s">
        <v>416</v>
      </c>
      <c r="E9208" s="6" t="s">
        <v>438</v>
      </c>
      <c r="F9208" s="6" t="s">
        <v>249</v>
      </c>
      <c r="G9208" s="6" t="s">
        <v>452</v>
      </c>
      <c r="H9208" s="10">
        <v>46060.0</v>
      </c>
      <c r="I9208" s="12">
        <v>11.0</v>
      </c>
      <c r="J9208" s="6" t="s">
        <v>161</v>
      </c>
    </row>
    <row r="9209" ht="22.5" customHeight="1">
      <c r="A9209" s="6" t="s">
        <v>26017</v>
      </c>
      <c r="B9209" s="6" t="s">
        <v>20310</v>
      </c>
      <c r="C9209" s="10">
        <v>46059.0</v>
      </c>
      <c r="D9209" s="6" t="s">
        <v>436</v>
      </c>
      <c r="E9209" s="6" t="s">
        <v>1280</v>
      </c>
      <c r="F9209" s="6" t="s">
        <v>112</v>
      </c>
      <c r="G9209" s="6" t="s">
        <v>477</v>
      </c>
      <c r="H9209" s="10">
        <v>46062.0</v>
      </c>
      <c r="I9209" s="12">
        <v>7.0</v>
      </c>
      <c r="J9209" s="6" t="s">
        <v>161</v>
      </c>
    </row>
    <row r="9210" ht="22.5" customHeight="1">
      <c r="A9210" s="6" t="s">
        <v>26018</v>
      </c>
      <c r="B9210" s="6" t="s">
        <v>20317</v>
      </c>
      <c r="C9210" s="10">
        <v>46035.0</v>
      </c>
      <c r="D9210" s="6" t="s">
        <v>677</v>
      </c>
      <c r="E9210" s="6" t="s">
        <v>658</v>
      </c>
      <c r="F9210" s="6" t="s">
        <v>112</v>
      </c>
      <c r="G9210" s="6" t="s">
        <v>297</v>
      </c>
      <c r="H9210" s="10">
        <v>46039.0</v>
      </c>
      <c r="I9210" s="12">
        <v>4.0</v>
      </c>
      <c r="J9210" s="6" t="s">
        <v>161</v>
      </c>
    </row>
    <row r="9211" ht="22.5" customHeight="1">
      <c r="A9211" s="6" t="s">
        <v>26019</v>
      </c>
      <c r="B9211" s="6" t="s">
        <v>20317</v>
      </c>
      <c r="C9211" s="10">
        <v>46045.0</v>
      </c>
      <c r="D9211" s="6" t="s">
        <v>416</v>
      </c>
      <c r="E9211" s="6" t="s">
        <v>1035</v>
      </c>
      <c r="F9211" s="6" t="s">
        <v>439</v>
      </c>
      <c r="G9211" s="6" t="s">
        <v>369</v>
      </c>
      <c r="H9211" s="10">
        <v>46050.0</v>
      </c>
      <c r="I9211" s="12">
        <v>8.0</v>
      </c>
      <c r="J9211" s="6" t="s">
        <v>161</v>
      </c>
    </row>
    <row r="9212" ht="22.5" customHeight="1">
      <c r="A9212" s="6" t="s">
        <v>26020</v>
      </c>
      <c r="B9212" s="6" t="s">
        <v>20317</v>
      </c>
      <c r="C9212" s="10">
        <v>46032.0</v>
      </c>
      <c r="D9212" s="6" t="s">
        <v>416</v>
      </c>
      <c r="E9212" s="6" t="s">
        <v>1570</v>
      </c>
      <c r="F9212" s="6" t="s">
        <v>249</v>
      </c>
      <c r="G9212" s="6" t="s">
        <v>494</v>
      </c>
      <c r="H9212" s="10">
        <v>46039.0</v>
      </c>
      <c r="I9212" s="12">
        <v>11.0</v>
      </c>
      <c r="J9212" s="6" t="s">
        <v>161</v>
      </c>
    </row>
    <row r="9213" ht="22.5" customHeight="1">
      <c r="A9213" s="6" t="s">
        <v>26021</v>
      </c>
      <c r="B9213" s="6" t="s">
        <v>20325</v>
      </c>
      <c r="C9213" s="10">
        <v>46032.0</v>
      </c>
      <c r="D9213" s="6" t="s">
        <v>436</v>
      </c>
      <c r="E9213" s="6" t="s">
        <v>246</v>
      </c>
      <c r="F9213" s="6" t="s">
        <v>249</v>
      </c>
      <c r="G9213" s="6" t="s">
        <v>458</v>
      </c>
      <c r="H9213" s="10">
        <v>46034.0</v>
      </c>
      <c r="I9213" s="12">
        <v>8.0</v>
      </c>
      <c r="J9213" s="6" t="s">
        <v>178</v>
      </c>
    </row>
    <row r="9214" ht="22.5" customHeight="1">
      <c r="A9214" s="6" t="s">
        <v>26022</v>
      </c>
      <c r="B9214" s="6" t="s">
        <v>20325</v>
      </c>
      <c r="C9214" s="10">
        <v>46035.0</v>
      </c>
      <c r="D9214" s="6" t="s">
        <v>289</v>
      </c>
      <c r="E9214" s="6" t="s">
        <v>1570</v>
      </c>
      <c r="F9214" s="6" t="s">
        <v>112</v>
      </c>
      <c r="G9214" s="6" t="s">
        <v>254</v>
      </c>
      <c r="H9214" s="10">
        <v>46040.0</v>
      </c>
      <c r="I9214" s="12">
        <v>7.0</v>
      </c>
      <c r="J9214" s="6" t="s">
        <v>161</v>
      </c>
    </row>
    <row r="9215" ht="22.5" customHeight="1">
      <c r="A9215" s="6" t="s">
        <v>26023</v>
      </c>
      <c r="B9215" s="6" t="s">
        <v>20325</v>
      </c>
      <c r="C9215" s="10">
        <v>46025.0</v>
      </c>
      <c r="D9215" s="6" t="s">
        <v>312</v>
      </c>
      <c r="E9215" s="6" t="s">
        <v>1969</v>
      </c>
      <c r="F9215" s="6" t="s">
        <v>249</v>
      </c>
      <c r="G9215" s="6" t="s">
        <v>297</v>
      </c>
      <c r="H9215" s="10">
        <v>46029.0</v>
      </c>
      <c r="I9215" s="12">
        <v>5.0</v>
      </c>
      <c r="J9215" s="6" t="s">
        <v>161</v>
      </c>
    </row>
    <row r="9216" ht="22.5" customHeight="1">
      <c r="A9216" s="6" t="s">
        <v>26024</v>
      </c>
      <c r="B9216" s="6" t="s">
        <v>20325</v>
      </c>
      <c r="C9216" s="10">
        <v>46031.0</v>
      </c>
      <c r="D9216" s="6" t="s">
        <v>416</v>
      </c>
      <c r="E9216" s="6" t="s">
        <v>1102</v>
      </c>
      <c r="F9216" s="6" t="s">
        <v>249</v>
      </c>
      <c r="G9216" s="6" t="s">
        <v>477</v>
      </c>
      <c r="H9216" s="11" t="s">
        <v>259</v>
      </c>
      <c r="I9216" s="12">
        <v>14.0</v>
      </c>
      <c r="J9216" s="6" t="s">
        <v>161</v>
      </c>
    </row>
    <row r="9217" ht="22.5" customHeight="1">
      <c r="A9217" s="6" t="s">
        <v>26025</v>
      </c>
      <c r="B9217" s="6" t="s">
        <v>20332</v>
      </c>
      <c r="C9217" s="10">
        <v>46057.0</v>
      </c>
      <c r="D9217" s="6" t="s">
        <v>242</v>
      </c>
      <c r="E9217" s="6" t="s">
        <v>1280</v>
      </c>
      <c r="F9217" s="6" t="s">
        <v>249</v>
      </c>
      <c r="G9217" s="6" t="s">
        <v>452</v>
      </c>
      <c r="H9217" s="10">
        <v>46057.0</v>
      </c>
      <c r="I9217" s="12">
        <v>6.0</v>
      </c>
      <c r="J9217" s="6" t="s">
        <v>178</v>
      </c>
    </row>
    <row r="9218" ht="22.5" customHeight="1">
      <c r="A9218" s="6" t="s">
        <v>26026</v>
      </c>
      <c r="B9218" s="6" t="s">
        <v>20332</v>
      </c>
      <c r="C9218" s="10">
        <v>46069.0</v>
      </c>
      <c r="D9218" s="6" t="s">
        <v>416</v>
      </c>
      <c r="E9218" s="6" t="s">
        <v>812</v>
      </c>
      <c r="F9218" s="6" t="s">
        <v>283</v>
      </c>
      <c r="G9218" s="6" t="s">
        <v>494</v>
      </c>
      <c r="H9218" s="10">
        <v>46074.0</v>
      </c>
      <c r="I9218" s="12">
        <v>12.0</v>
      </c>
      <c r="J9218" s="6" t="s">
        <v>161</v>
      </c>
    </row>
    <row r="9219" ht="22.5" customHeight="1">
      <c r="A9219" s="6" t="s">
        <v>26027</v>
      </c>
      <c r="B9219" s="6" t="s">
        <v>20332</v>
      </c>
      <c r="C9219" s="10">
        <v>46072.0</v>
      </c>
      <c r="D9219" s="6" t="s">
        <v>391</v>
      </c>
      <c r="E9219" s="6" t="s">
        <v>687</v>
      </c>
      <c r="F9219" s="6" t="s">
        <v>112</v>
      </c>
      <c r="G9219" s="6" t="s">
        <v>369</v>
      </c>
      <c r="H9219" s="10">
        <v>46074.0</v>
      </c>
      <c r="I9219" s="12">
        <v>10.0</v>
      </c>
      <c r="J9219" s="6" t="s">
        <v>161</v>
      </c>
    </row>
    <row r="9220" ht="22.5" customHeight="1">
      <c r="A9220" s="6" t="s">
        <v>26028</v>
      </c>
      <c r="B9220" s="6" t="s">
        <v>20332</v>
      </c>
      <c r="C9220" s="10">
        <v>46073.0</v>
      </c>
      <c r="D9220" s="6" t="s">
        <v>242</v>
      </c>
      <c r="E9220" s="6" t="s">
        <v>1741</v>
      </c>
      <c r="F9220" s="6" t="s">
        <v>283</v>
      </c>
      <c r="G9220" s="6" t="s">
        <v>297</v>
      </c>
      <c r="H9220" s="10">
        <v>46078.0</v>
      </c>
      <c r="I9220" s="12">
        <v>4.0</v>
      </c>
      <c r="J9220" s="6" t="s">
        <v>178</v>
      </c>
    </row>
    <row r="9221" ht="22.5" customHeight="1">
      <c r="A9221" s="6" t="s">
        <v>26029</v>
      </c>
      <c r="B9221" s="6" t="s">
        <v>20339</v>
      </c>
      <c r="C9221" s="10">
        <v>46037.0</v>
      </c>
      <c r="D9221" s="6" t="s">
        <v>289</v>
      </c>
      <c r="E9221" s="6" t="s">
        <v>1600</v>
      </c>
      <c r="F9221" s="6" t="s">
        <v>439</v>
      </c>
      <c r="G9221" s="6" t="s">
        <v>254</v>
      </c>
      <c r="H9221" s="10">
        <v>46041.0</v>
      </c>
      <c r="I9221" s="12">
        <v>9.0</v>
      </c>
      <c r="J9221" s="6" t="s">
        <v>161</v>
      </c>
    </row>
    <row r="9222" ht="22.5" customHeight="1">
      <c r="A9222" s="6" t="s">
        <v>26030</v>
      </c>
      <c r="B9222" s="6" t="s">
        <v>20339</v>
      </c>
      <c r="C9222" s="10">
        <v>46042.0</v>
      </c>
      <c r="D9222" s="6" t="s">
        <v>436</v>
      </c>
      <c r="E9222" s="6" t="s">
        <v>450</v>
      </c>
      <c r="F9222" s="6" t="s">
        <v>439</v>
      </c>
      <c r="G9222" s="6" t="s">
        <v>297</v>
      </c>
      <c r="H9222" s="10">
        <v>46046.0</v>
      </c>
      <c r="I9222" s="12">
        <v>9.0</v>
      </c>
      <c r="J9222" s="6" t="s">
        <v>161</v>
      </c>
    </row>
    <row r="9223" ht="22.5" customHeight="1">
      <c r="A9223" s="6" t="s">
        <v>26031</v>
      </c>
      <c r="B9223" s="6" t="s">
        <v>20339</v>
      </c>
      <c r="C9223" s="10">
        <v>46031.0</v>
      </c>
      <c r="D9223" s="6" t="s">
        <v>391</v>
      </c>
      <c r="E9223" s="6" t="s">
        <v>798</v>
      </c>
      <c r="F9223" s="6" t="s">
        <v>112</v>
      </c>
      <c r="G9223" s="6" t="s">
        <v>458</v>
      </c>
      <c r="H9223" s="10">
        <v>46036.0</v>
      </c>
      <c r="I9223" s="12">
        <v>7.0</v>
      </c>
      <c r="J9223" s="6" t="s">
        <v>161</v>
      </c>
    </row>
    <row r="9224" ht="22.5" customHeight="1">
      <c r="A9224" s="6" t="s">
        <v>26032</v>
      </c>
      <c r="B9224" s="6" t="s">
        <v>20339</v>
      </c>
      <c r="C9224" s="10">
        <v>46036.0</v>
      </c>
      <c r="D9224" s="6" t="s">
        <v>312</v>
      </c>
      <c r="E9224" s="6" t="s">
        <v>583</v>
      </c>
      <c r="F9224" s="6" t="s">
        <v>439</v>
      </c>
      <c r="G9224" s="6" t="s">
        <v>326</v>
      </c>
      <c r="H9224" s="10">
        <v>46043.0</v>
      </c>
      <c r="I9224" s="12">
        <v>6.0</v>
      </c>
      <c r="J9224" s="6" t="s">
        <v>161</v>
      </c>
    </row>
    <row r="9225" ht="22.5" customHeight="1">
      <c r="A9225" s="6" t="s">
        <v>26033</v>
      </c>
      <c r="B9225" s="6" t="s">
        <v>20339</v>
      </c>
      <c r="C9225" s="10">
        <v>46046.0</v>
      </c>
      <c r="D9225" s="6" t="s">
        <v>416</v>
      </c>
      <c r="E9225" s="6" t="s">
        <v>1273</v>
      </c>
      <c r="F9225" s="6" t="s">
        <v>112</v>
      </c>
      <c r="G9225" s="6" t="s">
        <v>452</v>
      </c>
      <c r="H9225" s="10">
        <v>46047.0</v>
      </c>
      <c r="I9225" s="12">
        <v>10.0</v>
      </c>
      <c r="J9225" s="6" t="s">
        <v>161</v>
      </c>
    </row>
    <row r="9226" ht="22.5" customHeight="1">
      <c r="A9226" s="6" t="s">
        <v>26034</v>
      </c>
      <c r="B9226" s="6" t="s">
        <v>20346</v>
      </c>
      <c r="C9226" s="10">
        <v>46055.0</v>
      </c>
      <c r="D9226" s="6" t="s">
        <v>416</v>
      </c>
      <c r="E9226" s="6" t="s">
        <v>1280</v>
      </c>
      <c r="F9226" s="6" t="s">
        <v>439</v>
      </c>
      <c r="G9226" s="6" t="s">
        <v>477</v>
      </c>
      <c r="H9226" s="10">
        <v>46056.0</v>
      </c>
      <c r="I9226" s="12">
        <v>13.0</v>
      </c>
      <c r="J9226" s="6" t="s">
        <v>161</v>
      </c>
    </row>
    <row r="9227" ht="22.5" customHeight="1">
      <c r="A9227" s="6" t="s">
        <v>26035</v>
      </c>
      <c r="B9227" s="6" t="s">
        <v>20346</v>
      </c>
      <c r="C9227" s="10">
        <v>46065.0</v>
      </c>
      <c r="D9227" s="6" t="s">
        <v>289</v>
      </c>
      <c r="E9227" s="6" t="s">
        <v>1102</v>
      </c>
      <c r="F9227" s="6" t="s">
        <v>249</v>
      </c>
      <c r="G9227" s="6" t="s">
        <v>494</v>
      </c>
      <c r="H9227" s="10">
        <v>46066.0</v>
      </c>
      <c r="I9227" s="12">
        <v>9.0</v>
      </c>
      <c r="J9227" s="6" t="s">
        <v>161</v>
      </c>
    </row>
    <row r="9228" ht="22.5" customHeight="1">
      <c r="A9228" s="6" t="s">
        <v>26036</v>
      </c>
      <c r="B9228" s="6" t="s">
        <v>20346</v>
      </c>
      <c r="C9228" s="10">
        <v>46067.0</v>
      </c>
      <c r="D9228" s="6" t="s">
        <v>289</v>
      </c>
      <c r="E9228" s="6" t="s">
        <v>466</v>
      </c>
      <c r="F9228" s="6" t="s">
        <v>112</v>
      </c>
      <c r="G9228" s="6" t="s">
        <v>297</v>
      </c>
      <c r="H9228" s="10">
        <v>46074.0</v>
      </c>
      <c r="I9228" s="12">
        <v>5.0</v>
      </c>
      <c r="J9228" s="6" t="s">
        <v>161</v>
      </c>
    </row>
    <row r="9229" ht="22.5" customHeight="1">
      <c r="A9229" s="6" t="s">
        <v>26037</v>
      </c>
      <c r="B9229" s="6" t="s">
        <v>20352</v>
      </c>
      <c r="C9229" s="10">
        <v>46059.0</v>
      </c>
      <c r="D9229" s="6" t="s">
        <v>242</v>
      </c>
      <c r="E9229" s="6" t="s">
        <v>1102</v>
      </c>
      <c r="F9229" s="6" t="s">
        <v>439</v>
      </c>
      <c r="G9229" s="6" t="s">
        <v>452</v>
      </c>
      <c r="H9229" s="10">
        <v>46059.0</v>
      </c>
      <c r="I9229" s="12">
        <v>5.0</v>
      </c>
      <c r="J9229" s="6" t="s">
        <v>178</v>
      </c>
    </row>
    <row r="9230" ht="22.5" customHeight="1">
      <c r="A9230" s="6" t="s">
        <v>26038</v>
      </c>
      <c r="B9230" s="6" t="s">
        <v>20352</v>
      </c>
      <c r="C9230" s="10">
        <v>46049.0</v>
      </c>
      <c r="D9230" s="6" t="s">
        <v>436</v>
      </c>
      <c r="E9230" s="6" t="s">
        <v>320</v>
      </c>
      <c r="F9230" s="6" t="s">
        <v>112</v>
      </c>
      <c r="G9230" s="6" t="s">
        <v>458</v>
      </c>
      <c r="H9230" s="10">
        <v>46049.0</v>
      </c>
      <c r="I9230" s="12">
        <v>12.0</v>
      </c>
      <c r="J9230" s="6" t="s">
        <v>178</v>
      </c>
    </row>
    <row r="9231" ht="22.5" customHeight="1">
      <c r="A9231" s="6" t="s">
        <v>26039</v>
      </c>
      <c r="B9231" s="6" t="s">
        <v>20352</v>
      </c>
      <c r="C9231" s="10">
        <v>46058.0</v>
      </c>
      <c r="D9231" s="6" t="s">
        <v>289</v>
      </c>
      <c r="E9231" s="6" t="s">
        <v>246</v>
      </c>
      <c r="F9231" s="6" t="s">
        <v>283</v>
      </c>
      <c r="G9231" s="6" t="s">
        <v>369</v>
      </c>
      <c r="H9231" s="10">
        <v>46060.0</v>
      </c>
      <c r="I9231" s="12">
        <v>9.0</v>
      </c>
      <c r="J9231" s="6" t="s">
        <v>161</v>
      </c>
    </row>
    <row r="9232" ht="22.5" customHeight="1">
      <c r="A9232" s="6" t="s">
        <v>26040</v>
      </c>
      <c r="B9232" s="6" t="s">
        <v>20360</v>
      </c>
      <c r="C9232" s="10">
        <v>46045.0</v>
      </c>
      <c r="D9232" s="6" t="s">
        <v>416</v>
      </c>
      <c r="E9232" s="6" t="s">
        <v>775</v>
      </c>
      <c r="F9232" s="6" t="s">
        <v>439</v>
      </c>
      <c r="G9232" s="6" t="s">
        <v>369</v>
      </c>
      <c r="H9232" s="10">
        <v>46049.0</v>
      </c>
      <c r="I9232" s="12">
        <v>14.0</v>
      </c>
      <c r="J9232" s="6" t="s">
        <v>161</v>
      </c>
    </row>
    <row r="9233" ht="22.5" customHeight="1">
      <c r="A9233" s="6" t="s">
        <v>26041</v>
      </c>
      <c r="B9233" s="6" t="s">
        <v>20367</v>
      </c>
      <c r="C9233" s="10">
        <v>46034.0</v>
      </c>
      <c r="D9233" s="6" t="s">
        <v>436</v>
      </c>
      <c r="E9233" s="6" t="s">
        <v>634</v>
      </c>
      <c r="F9233" s="6" t="s">
        <v>439</v>
      </c>
      <c r="G9233" s="6" t="s">
        <v>254</v>
      </c>
      <c r="H9233" s="10">
        <v>46034.0</v>
      </c>
      <c r="I9233" s="12">
        <v>10.0</v>
      </c>
      <c r="J9233" s="6" t="s">
        <v>161</v>
      </c>
    </row>
    <row r="9234" ht="22.5" customHeight="1">
      <c r="A9234" s="6" t="s">
        <v>26042</v>
      </c>
      <c r="B9234" s="6" t="s">
        <v>20367</v>
      </c>
      <c r="C9234" s="10">
        <v>46030.0</v>
      </c>
      <c r="D9234" s="6" t="s">
        <v>677</v>
      </c>
      <c r="E9234" s="6" t="s">
        <v>291</v>
      </c>
      <c r="F9234" s="6" t="s">
        <v>439</v>
      </c>
      <c r="G9234" s="6" t="s">
        <v>369</v>
      </c>
      <c r="H9234" s="10">
        <v>46037.0</v>
      </c>
      <c r="I9234" s="12">
        <v>3.0</v>
      </c>
      <c r="J9234" s="6" t="s">
        <v>161</v>
      </c>
    </row>
    <row r="9235" ht="22.5" customHeight="1">
      <c r="A9235" s="6" t="s">
        <v>26043</v>
      </c>
      <c r="B9235" s="6" t="s">
        <v>20367</v>
      </c>
      <c r="C9235" s="10">
        <v>46031.0</v>
      </c>
      <c r="D9235" s="6" t="s">
        <v>289</v>
      </c>
      <c r="E9235" s="6" t="s">
        <v>365</v>
      </c>
      <c r="F9235" s="6" t="s">
        <v>439</v>
      </c>
      <c r="G9235" s="6" t="s">
        <v>452</v>
      </c>
      <c r="H9235" s="10">
        <v>46034.0</v>
      </c>
      <c r="I9235" s="12">
        <v>6.0</v>
      </c>
      <c r="J9235" s="6" t="s">
        <v>161</v>
      </c>
    </row>
    <row r="9236" ht="22.5" customHeight="1">
      <c r="A9236" s="6" t="s">
        <v>26044</v>
      </c>
      <c r="B9236" s="6" t="s">
        <v>20375</v>
      </c>
      <c r="C9236" s="10">
        <v>46063.0</v>
      </c>
      <c r="D9236" s="6" t="s">
        <v>436</v>
      </c>
      <c r="E9236" s="6" t="s">
        <v>731</v>
      </c>
      <c r="F9236" s="6" t="s">
        <v>439</v>
      </c>
      <c r="G9236" s="6" t="s">
        <v>458</v>
      </c>
      <c r="H9236" s="10">
        <v>46067.0</v>
      </c>
      <c r="I9236" s="12">
        <v>9.0</v>
      </c>
      <c r="J9236" s="6" t="s">
        <v>161</v>
      </c>
    </row>
    <row r="9237" ht="22.5" customHeight="1">
      <c r="A9237" s="6" t="s">
        <v>26045</v>
      </c>
      <c r="B9237" s="6" t="s">
        <v>20375</v>
      </c>
      <c r="C9237" s="10">
        <v>46051.0</v>
      </c>
      <c r="D9237" s="6" t="s">
        <v>242</v>
      </c>
      <c r="E9237" s="6" t="s">
        <v>450</v>
      </c>
      <c r="F9237" s="6" t="s">
        <v>283</v>
      </c>
      <c r="G9237" s="6" t="s">
        <v>369</v>
      </c>
      <c r="H9237" s="10">
        <v>46056.0</v>
      </c>
      <c r="I9237" s="12">
        <v>4.0</v>
      </c>
      <c r="J9237" s="6" t="s">
        <v>178</v>
      </c>
    </row>
    <row r="9238" ht="22.5" customHeight="1">
      <c r="A9238" s="6" t="s">
        <v>26046</v>
      </c>
      <c r="B9238" s="6" t="s">
        <v>20382</v>
      </c>
      <c r="C9238" s="10">
        <v>46048.0</v>
      </c>
      <c r="D9238" s="6" t="s">
        <v>289</v>
      </c>
      <c r="E9238" s="6" t="s">
        <v>731</v>
      </c>
      <c r="F9238" s="6" t="s">
        <v>283</v>
      </c>
      <c r="G9238" s="6" t="s">
        <v>458</v>
      </c>
      <c r="H9238" s="10">
        <v>46052.0</v>
      </c>
      <c r="I9238" s="12">
        <v>9.0</v>
      </c>
      <c r="J9238" s="6" t="s">
        <v>161</v>
      </c>
    </row>
    <row r="9239" ht="22.5" customHeight="1">
      <c r="A9239" s="6" t="s">
        <v>26047</v>
      </c>
      <c r="B9239" s="6" t="s">
        <v>20382</v>
      </c>
      <c r="C9239" s="10">
        <v>46040.0</v>
      </c>
      <c r="D9239" s="6" t="s">
        <v>242</v>
      </c>
      <c r="E9239" s="6" t="s">
        <v>1035</v>
      </c>
      <c r="F9239" s="6" t="s">
        <v>283</v>
      </c>
      <c r="G9239" s="6" t="s">
        <v>452</v>
      </c>
      <c r="H9239" s="10">
        <v>46045.0</v>
      </c>
      <c r="I9239" s="12">
        <v>4.0</v>
      </c>
      <c r="J9239" s="6" t="s">
        <v>178</v>
      </c>
    </row>
    <row r="9240" ht="22.5" customHeight="1">
      <c r="A9240" s="6" t="s">
        <v>26048</v>
      </c>
      <c r="B9240" s="6" t="s">
        <v>20382</v>
      </c>
      <c r="C9240" s="10">
        <v>46044.0</v>
      </c>
      <c r="D9240" s="6" t="s">
        <v>416</v>
      </c>
      <c r="E9240" s="6" t="s">
        <v>731</v>
      </c>
      <c r="F9240" s="6" t="s">
        <v>439</v>
      </c>
      <c r="G9240" s="6" t="s">
        <v>458</v>
      </c>
      <c r="H9240" s="10">
        <v>46049.0</v>
      </c>
      <c r="I9240" s="12">
        <v>9.0</v>
      </c>
      <c r="J9240" s="6" t="s">
        <v>161</v>
      </c>
    </row>
    <row r="9241" ht="22.5" customHeight="1">
      <c r="A9241" s="6" t="s">
        <v>26049</v>
      </c>
      <c r="B9241" s="6" t="s">
        <v>20390</v>
      </c>
      <c r="C9241" s="10">
        <v>46053.0</v>
      </c>
      <c r="D9241" s="6" t="s">
        <v>289</v>
      </c>
      <c r="E9241" s="6" t="s">
        <v>628</v>
      </c>
      <c r="F9241" s="6" t="s">
        <v>283</v>
      </c>
      <c r="G9241" s="6" t="s">
        <v>297</v>
      </c>
      <c r="H9241" s="10">
        <v>46060.0</v>
      </c>
      <c r="I9241" s="12">
        <v>10.0</v>
      </c>
      <c r="J9241" s="6" t="s">
        <v>161</v>
      </c>
    </row>
    <row r="9242" ht="22.5" customHeight="1">
      <c r="A9242" s="6" t="s">
        <v>26050</v>
      </c>
      <c r="B9242" s="6" t="s">
        <v>20390</v>
      </c>
      <c r="C9242" s="10">
        <v>46047.0</v>
      </c>
      <c r="D9242" s="6" t="s">
        <v>312</v>
      </c>
      <c r="E9242" s="6" t="s">
        <v>320</v>
      </c>
      <c r="F9242" s="6" t="s">
        <v>439</v>
      </c>
      <c r="G9242" s="6" t="s">
        <v>452</v>
      </c>
      <c r="H9242" s="10">
        <v>46051.0</v>
      </c>
      <c r="I9242" s="12">
        <v>5.0</v>
      </c>
      <c r="J9242" s="6" t="s">
        <v>161</v>
      </c>
    </row>
    <row r="9243" ht="22.5" customHeight="1">
      <c r="A9243" s="6" t="s">
        <v>26051</v>
      </c>
      <c r="B9243" s="6" t="s">
        <v>20390</v>
      </c>
      <c r="C9243" s="10">
        <v>46064.0</v>
      </c>
      <c r="D9243" s="6" t="s">
        <v>677</v>
      </c>
      <c r="E9243" s="6" t="s">
        <v>863</v>
      </c>
      <c r="F9243" s="6" t="s">
        <v>112</v>
      </c>
      <c r="G9243" s="6" t="s">
        <v>458</v>
      </c>
      <c r="H9243" s="11" t="s">
        <v>259</v>
      </c>
      <c r="I9243" s="12">
        <v>2.0</v>
      </c>
      <c r="J9243" s="6" t="s">
        <v>161</v>
      </c>
    </row>
    <row r="9244" ht="22.5" customHeight="1">
      <c r="A9244" s="6" t="s">
        <v>26052</v>
      </c>
      <c r="B9244" s="6" t="s">
        <v>20390</v>
      </c>
      <c r="C9244" s="10">
        <v>46050.0</v>
      </c>
      <c r="D9244" s="6" t="s">
        <v>677</v>
      </c>
      <c r="E9244" s="6" t="s">
        <v>634</v>
      </c>
      <c r="F9244" s="6" t="s">
        <v>439</v>
      </c>
      <c r="G9244" s="6" t="s">
        <v>477</v>
      </c>
      <c r="H9244" s="10">
        <v>46056.0</v>
      </c>
      <c r="I9244" s="12">
        <v>4.0</v>
      </c>
      <c r="J9244" s="6" t="s">
        <v>161</v>
      </c>
    </row>
    <row r="9245" ht="22.5" customHeight="1">
      <c r="A9245" s="6" t="s">
        <v>26053</v>
      </c>
      <c r="B9245" s="6" t="s">
        <v>20390</v>
      </c>
      <c r="C9245" s="10">
        <v>46063.0</v>
      </c>
      <c r="D9245" s="6" t="s">
        <v>289</v>
      </c>
      <c r="E9245" s="6" t="s">
        <v>798</v>
      </c>
      <c r="F9245" s="6" t="s">
        <v>283</v>
      </c>
      <c r="G9245" s="6" t="s">
        <v>458</v>
      </c>
      <c r="H9245" s="10">
        <v>46065.0</v>
      </c>
      <c r="I9245" s="12">
        <v>8.0</v>
      </c>
      <c r="J9245" s="6" t="s">
        <v>161</v>
      </c>
    </row>
    <row r="9246" ht="22.5" customHeight="1">
      <c r="A9246" s="6" t="s">
        <v>26054</v>
      </c>
      <c r="B9246" s="6" t="s">
        <v>20397</v>
      </c>
      <c r="C9246" s="10">
        <v>46058.0</v>
      </c>
      <c r="D9246" s="6" t="s">
        <v>289</v>
      </c>
      <c r="E9246" s="6" t="s">
        <v>1070</v>
      </c>
      <c r="F9246" s="6" t="s">
        <v>283</v>
      </c>
      <c r="G9246" s="6" t="s">
        <v>297</v>
      </c>
      <c r="H9246" s="10">
        <v>46059.0</v>
      </c>
      <c r="I9246" s="12">
        <v>7.0</v>
      </c>
      <c r="J9246" s="6" t="s">
        <v>161</v>
      </c>
    </row>
    <row r="9247" ht="22.5" customHeight="1">
      <c r="A9247" s="6" t="s">
        <v>26055</v>
      </c>
      <c r="B9247" s="6" t="s">
        <v>20397</v>
      </c>
      <c r="C9247" s="10">
        <v>46052.0</v>
      </c>
      <c r="D9247" s="6" t="s">
        <v>242</v>
      </c>
      <c r="E9247" s="6" t="s">
        <v>738</v>
      </c>
      <c r="F9247" s="6" t="s">
        <v>283</v>
      </c>
      <c r="G9247" s="6" t="s">
        <v>494</v>
      </c>
      <c r="H9247" s="10">
        <v>46055.0</v>
      </c>
      <c r="I9247" s="12">
        <v>6.0</v>
      </c>
      <c r="J9247" s="6" t="s">
        <v>161</v>
      </c>
    </row>
    <row r="9248" ht="22.5" customHeight="1">
      <c r="A9248" s="6" t="s">
        <v>26056</v>
      </c>
      <c r="B9248" s="6" t="s">
        <v>20397</v>
      </c>
      <c r="C9248" s="10">
        <v>46055.0</v>
      </c>
      <c r="D9248" s="6" t="s">
        <v>677</v>
      </c>
      <c r="E9248" s="6" t="s">
        <v>512</v>
      </c>
      <c r="F9248" s="6" t="s">
        <v>112</v>
      </c>
      <c r="G9248" s="6" t="s">
        <v>297</v>
      </c>
      <c r="H9248" s="10">
        <v>46060.0</v>
      </c>
      <c r="I9248" s="12">
        <v>2.0</v>
      </c>
      <c r="J9248" s="6" t="s">
        <v>161</v>
      </c>
    </row>
    <row r="9249" ht="22.5" customHeight="1">
      <c r="A9249" s="6" t="s">
        <v>26057</v>
      </c>
      <c r="B9249" s="6" t="s">
        <v>20397</v>
      </c>
      <c r="C9249" s="10">
        <v>46057.0</v>
      </c>
      <c r="D9249" s="6" t="s">
        <v>416</v>
      </c>
      <c r="E9249" s="6" t="s">
        <v>1600</v>
      </c>
      <c r="F9249" s="6" t="s">
        <v>249</v>
      </c>
      <c r="G9249" s="6" t="s">
        <v>297</v>
      </c>
      <c r="H9249" s="10">
        <v>46059.0</v>
      </c>
      <c r="I9249" s="12">
        <v>9.0</v>
      </c>
      <c r="J9249" s="6" t="s">
        <v>161</v>
      </c>
    </row>
    <row r="9250" ht="22.5" customHeight="1">
      <c r="A9250" s="6" t="s">
        <v>26058</v>
      </c>
      <c r="B9250" s="6" t="s">
        <v>20403</v>
      </c>
      <c r="C9250" s="10">
        <v>46043.0</v>
      </c>
      <c r="D9250" s="6" t="s">
        <v>242</v>
      </c>
      <c r="E9250" s="6" t="s">
        <v>716</v>
      </c>
      <c r="F9250" s="6" t="s">
        <v>439</v>
      </c>
      <c r="G9250" s="6" t="s">
        <v>369</v>
      </c>
      <c r="H9250" s="10">
        <v>46047.0</v>
      </c>
      <c r="I9250" s="12">
        <v>3.0</v>
      </c>
      <c r="J9250" s="6" t="s">
        <v>178</v>
      </c>
    </row>
    <row r="9251" ht="22.5" customHeight="1">
      <c r="A9251" s="6" t="s">
        <v>26059</v>
      </c>
      <c r="B9251" s="6" t="s">
        <v>20403</v>
      </c>
      <c r="C9251" s="10">
        <v>46032.0</v>
      </c>
      <c r="D9251" s="6" t="s">
        <v>677</v>
      </c>
      <c r="E9251" s="6" t="s">
        <v>291</v>
      </c>
      <c r="F9251" s="6" t="s">
        <v>249</v>
      </c>
      <c r="G9251" s="6" t="s">
        <v>297</v>
      </c>
      <c r="H9251" s="11" t="s">
        <v>259</v>
      </c>
      <c r="I9251" s="12">
        <v>3.0</v>
      </c>
      <c r="J9251" s="6" t="s">
        <v>161</v>
      </c>
    </row>
    <row r="9252" ht="22.5" customHeight="1">
      <c r="A9252" s="6" t="s">
        <v>26060</v>
      </c>
      <c r="B9252" s="6" t="s">
        <v>20409</v>
      </c>
      <c r="C9252" s="10">
        <v>46075.0</v>
      </c>
      <c r="D9252" s="6" t="s">
        <v>242</v>
      </c>
      <c r="E9252" s="6" t="s">
        <v>1102</v>
      </c>
      <c r="F9252" s="6" t="s">
        <v>249</v>
      </c>
      <c r="G9252" s="6" t="s">
        <v>326</v>
      </c>
      <c r="H9252" s="10">
        <v>46080.0</v>
      </c>
      <c r="I9252" s="12">
        <v>3.0</v>
      </c>
      <c r="J9252" s="6" t="s">
        <v>178</v>
      </c>
    </row>
    <row r="9253" ht="22.5" customHeight="1">
      <c r="A9253" s="6" t="s">
        <v>26061</v>
      </c>
      <c r="B9253" s="6" t="s">
        <v>20416</v>
      </c>
      <c r="C9253" s="10">
        <v>46033.0</v>
      </c>
      <c r="D9253" s="6" t="s">
        <v>677</v>
      </c>
      <c r="E9253" s="6" t="s">
        <v>833</v>
      </c>
      <c r="F9253" s="6" t="s">
        <v>249</v>
      </c>
      <c r="G9253" s="6" t="s">
        <v>494</v>
      </c>
      <c r="H9253" s="10">
        <v>46040.0</v>
      </c>
      <c r="I9253" s="12">
        <v>3.0</v>
      </c>
      <c r="J9253" s="6" t="s">
        <v>161</v>
      </c>
    </row>
    <row r="9254" ht="22.5" customHeight="1">
      <c r="A9254" s="6" t="s">
        <v>26062</v>
      </c>
      <c r="B9254" s="6" t="s">
        <v>20416</v>
      </c>
      <c r="C9254" s="10">
        <v>46035.0</v>
      </c>
      <c r="D9254" s="6" t="s">
        <v>242</v>
      </c>
      <c r="E9254" s="6" t="s">
        <v>417</v>
      </c>
      <c r="F9254" s="6" t="s">
        <v>249</v>
      </c>
      <c r="G9254" s="6" t="s">
        <v>326</v>
      </c>
      <c r="H9254" s="10">
        <v>46037.0</v>
      </c>
      <c r="I9254" s="12">
        <v>6.0</v>
      </c>
      <c r="J9254" s="6" t="s">
        <v>178</v>
      </c>
    </row>
    <row r="9255" ht="22.5" customHeight="1">
      <c r="A9255" s="6" t="s">
        <v>26063</v>
      </c>
      <c r="B9255" s="6" t="s">
        <v>20416</v>
      </c>
      <c r="C9255" s="10">
        <v>46038.0</v>
      </c>
      <c r="D9255" s="6" t="s">
        <v>242</v>
      </c>
      <c r="E9255" s="6" t="s">
        <v>475</v>
      </c>
      <c r="F9255" s="6" t="s">
        <v>283</v>
      </c>
      <c r="G9255" s="6" t="s">
        <v>326</v>
      </c>
      <c r="H9255" s="10">
        <v>46043.0</v>
      </c>
      <c r="I9255" s="12">
        <v>4.0</v>
      </c>
      <c r="J9255" s="6" t="s">
        <v>178</v>
      </c>
    </row>
    <row r="9256" ht="22.5" customHeight="1">
      <c r="A9256" s="6" t="s">
        <v>26064</v>
      </c>
      <c r="B9256" s="6" t="s">
        <v>20416</v>
      </c>
      <c r="C9256" s="10">
        <v>46034.0</v>
      </c>
      <c r="D9256" s="6" t="s">
        <v>416</v>
      </c>
      <c r="E9256" s="6" t="s">
        <v>628</v>
      </c>
      <c r="F9256" s="6" t="s">
        <v>283</v>
      </c>
      <c r="G9256" s="6" t="s">
        <v>297</v>
      </c>
      <c r="H9256" s="10">
        <v>46037.0</v>
      </c>
      <c r="I9256" s="12">
        <v>9.0</v>
      </c>
      <c r="J9256" s="6" t="s">
        <v>161</v>
      </c>
    </row>
    <row r="9257" ht="22.5" customHeight="1">
      <c r="A9257" s="6" t="s">
        <v>26065</v>
      </c>
      <c r="B9257" s="6" t="s">
        <v>20422</v>
      </c>
      <c r="C9257" s="10">
        <v>46037.0</v>
      </c>
      <c r="D9257" s="6" t="s">
        <v>312</v>
      </c>
      <c r="E9257" s="6" t="s">
        <v>1741</v>
      </c>
      <c r="F9257" s="6" t="s">
        <v>112</v>
      </c>
      <c r="G9257" s="6" t="s">
        <v>494</v>
      </c>
      <c r="H9257" s="10">
        <v>46040.0</v>
      </c>
      <c r="I9257" s="12">
        <v>5.0</v>
      </c>
      <c r="J9257" s="6" t="s">
        <v>161</v>
      </c>
    </row>
    <row r="9258" ht="22.5" customHeight="1">
      <c r="A9258" s="6" t="s">
        <v>26066</v>
      </c>
      <c r="B9258" s="6" t="s">
        <v>20430</v>
      </c>
      <c r="C9258" s="10">
        <v>46057.0</v>
      </c>
      <c r="D9258" s="6" t="s">
        <v>312</v>
      </c>
      <c r="E9258" s="6" t="s">
        <v>787</v>
      </c>
      <c r="F9258" s="6" t="s">
        <v>112</v>
      </c>
      <c r="G9258" s="6" t="s">
        <v>477</v>
      </c>
      <c r="H9258" s="10">
        <v>46064.0</v>
      </c>
      <c r="I9258" s="12">
        <v>7.0</v>
      </c>
      <c r="J9258" s="6" t="s">
        <v>161</v>
      </c>
    </row>
    <row r="9259" ht="22.5" customHeight="1">
      <c r="A9259" s="6" t="s">
        <v>26067</v>
      </c>
      <c r="B9259" s="6" t="s">
        <v>20437</v>
      </c>
      <c r="C9259" s="10">
        <v>46057.0</v>
      </c>
      <c r="D9259" s="6" t="s">
        <v>289</v>
      </c>
      <c r="E9259" s="6" t="s">
        <v>634</v>
      </c>
      <c r="F9259" s="6" t="s">
        <v>249</v>
      </c>
      <c r="G9259" s="6" t="s">
        <v>477</v>
      </c>
      <c r="H9259" s="10">
        <v>46059.0</v>
      </c>
      <c r="I9259" s="12">
        <v>6.0</v>
      </c>
      <c r="J9259" s="6" t="s">
        <v>161</v>
      </c>
    </row>
    <row r="9260" ht="22.5" customHeight="1">
      <c r="A9260" s="6" t="s">
        <v>26068</v>
      </c>
      <c r="B9260" s="6" t="s">
        <v>20437</v>
      </c>
      <c r="C9260" s="10">
        <v>46068.0</v>
      </c>
      <c r="D9260" s="6" t="s">
        <v>436</v>
      </c>
      <c r="E9260" s="6" t="s">
        <v>1552</v>
      </c>
      <c r="F9260" s="6" t="s">
        <v>249</v>
      </c>
      <c r="G9260" s="6" t="s">
        <v>494</v>
      </c>
      <c r="H9260" s="10">
        <v>46073.0</v>
      </c>
      <c r="I9260" s="12">
        <v>8.0</v>
      </c>
      <c r="J9260" s="6" t="s">
        <v>178</v>
      </c>
    </row>
    <row r="9261" ht="22.5" customHeight="1">
      <c r="A9261" s="6" t="s">
        <v>26069</v>
      </c>
      <c r="B9261" s="6" t="s">
        <v>20437</v>
      </c>
      <c r="C9261" s="10">
        <v>46060.0</v>
      </c>
      <c r="D9261" s="6" t="s">
        <v>391</v>
      </c>
      <c r="E9261" s="6" t="s">
        <v>738</v>
      </c>
      <c r="F9261" s="6" t="s">
        <v>283</v>
      </c>
      <c r="G9261" s="6" t="s">
        <v>477</v>
      </c>
      <c r="H9261" s="10">
        <v>46064.0</v>
      </c>
      <c r="I9261" s="12">
        <v>10.0</v>
      </c>
      <c r="J9261" s="6" t="s">
        <v>161</v>
      </c>
    </row>
    <row r="9262" ht="22.5" customHeight="1">
      <c r="A9262" s="6" t="s">
        <v>26070</v>
      </c>
      <c r="B9262" s="6" t="s">
        <v>20437</v>
      </c>
      <c r="C9262" s="10">
        <v>46067.0</v>
      </c>
      <c r="D9262" s="6" t="s">
        <v>391</v>
      </c>
      <c r="E9262" s="6" t="s">
        <v>1969</v>
      </c>
      <c r="F9262" s="6" t="s">
        <v>112</v>
      </c>
      <c r="G9262" s="6" t="s">
        <v>254</v>
      </c>
      <c r="H9262" s="10">
        <v>46071.0</v>
      </c>
      <c r="I9262" s="12">
        <v>8.0</v>
      </c>
      <c r="J9262" s="6" t="s">
        <v>161</v>
      </c>
    </row>
    <row r="9263" ht="22.5" customHeight="1">
      <c r="A9263" s="6" t="s">
        <v>26071</v>
      </c>
      <c r="B9263" s="6" t="s">
        <v>20444</v>
      </c>
      <c r="C9263" s="10">
        <v>46061.0</v>
      </c>
      <c r="D9263" s="6" t="s">
        <v>289</v>
      </c>
      <c r="E9263" s="6" t="s">
        <v>450</v>
      </c>
      <c r="F9263" s="6" t="s">
        <v>112</v>
      </c>
      <c r="G9263" s="6" t="s">
        <v>458</v>
      </c>
      <c r="H9263" s="10">
        <v>46062.0</v>
      </c>
      <c r="I9263" s="12">
        <v>9.0</v>
      </c>
      <c r="J9263" s="6" t="s">
        <v>161</v>
      </c>
    </row>
    <row r="9264" ht="22.5" customHeight="1">
      <c r="A9264" s="6" t="s">
        <v>26072</v>
      </c>
      <c r="B9264" s="6" t="s">
        <v>20444</v>
      </c>
      <c r="C9264" s="10">
        <v>46079.0</v>
      </c>
      <c r="D9264" s="6" t="s">
        <v>242</v>
      </c>
      <c r="E9264" s="6" t="s">
        <v>320</v>
      </c>
      <c r="F9264" s="6" t="s">
        <v>439</v>
      </c>
      <c r="G9264" s="6" t="s">
        <v>452</v>
      </c>
      <c r="H9264" s="10">
        <v>46079.0</v>
      </c>
      <c r="I9264" s="12">
        <v>3.0</v>
      </c>
      <c r="J9264" s="6" t="s">
        <v>161</v>
      </c>
    </row>
    <row r="9265" ht="22.5" customHeight="1">
      <c r="A9265" s="6" t="s">
        <v>26073</v>
      </c>
      <c r="B9265" s="6" t="s">
        <v>20444</v>
      </c>
      <c r="C9265" s="10">
        <v>46063.0</v>
      </c>
      <c r="D9265" s="6" t="s">
        <v>289</v>
      </c>
      <c r="E9265" s="6" t="s">
        <v>1055</v>
      </c>
      <c r="F9265" s="6" t="s">
        <v>249</v>
      </c>
      <c r="G9265" s="6" t="s">
        <v>297</v>
      </c>
      <c r="H9265" s="10">
        <v>46070.0</v>
      </c>
      <c r="I9265" s="12">
        <v>5.0</v>
      </c>
      <c r="J9265" s="6" t="s">
        <v>161</v>
      </c>
    </row>
    <row r="9266" ht="22.5" customHeight="1">
      <c r="A9266" s="6" t="s">
        <v>26074</v>
      </c>
      <c r="B9266" s="6" t="s">
        <v>20451</v>
      </c>
      <c r="C9266" s="10">
        <v>46046.0</v>
      </c>
      <c r="D9266" s="6" t="s">
        <v>391</v>
      </c>
      <c r="E9266" s="6" t="s">
        <v>731</v>
      </c>
      <c r="F9266" s="6" t="s">
        <v>249</v>
      </c>
      <c r="G9266" s="6" t="s">
        <v>477</v>
      </c>
      <c r="H9266" s="10">
        <v>46051.0</v>
      </c>
      <c r="I9266" s="12">
        <v>11.0</v>
      </c>
      <c r="J9266" s="6" t="s">
        <v>161</v>
      </c>
    </row>
    <row r="9267" ht="22.5" customHeight="1">
      <c r="A9267" s="6" t="s">
        <v>26075</v>
      </c>
      <c r="B9267" s="6" t="s">
        <v>20451</v>
      </c>
      <c r="C9267" s="10">
        <v>46042.0</v>
      </c>
      <c r="D9267" s="6" t="s">
        <v>289</v>
      </c>
      <c r="E9267" s="6" t="s">
        <v>1552</v>
      </c>
      <c r="F9267" s="6" t="s">
        <v>283</v>
      </c>
      <c r="G9267" s="6" t="s">
        <v>477</v>
      </c>
      <c r="H9267" s="10">
        <v>46048.0</v>
      </c>
      <c r="I9267" s="12">
        <v>9.0</v>
      </c>
      <c r="J9267" s="6" t="s">
        <v>161</v>
      </c>
    </row>
    <row r="9268" ht="22.5" customHeight="1">
      <c r="A9268" s="6" t="s">
        <v>26076</v>
      </c>
      <c r="B9268" s="6" t="s">
        <v>20458</v>
      </c>
      <c r="C9268" s="10">
        <v>46051.0</v>
      </c>
      <c r="D9268" s="6" t="s">
        <v>416</v>
      </c>
      <c r="E9268" s="6" t="s">
        <v>670</v>
      </c>
      <c r="F9268" s="6" t="s">
        <v>112</v>
      </c>
      <c r="G9268" s="6" t="s">
        <v>494</v>
      </c>
      <c r="H9268" s="10">
        <v>46055.0</v>
      </c>
      <c r="I9268" s="12">
        <v>12.0</v>
      </c>
      <c r="J9268" s="6" t="s">
        <v>161</v>
      </c>
    </row>
    <row r="9269" ht="22.5" customHeight="1">
      <c r="A9269" s="6" t="s">
        <v>26077</v>
      </c>
      <c r="B9269" s="6" t="s">
        <v>20458</v>
      </c>
      <c r="C9269" s="10">
        <v>46050.0</v>
      </c>
      <c r="D9269" s="6" t="s">
        <v>289</v>
      </c>
      <c r="E9269" s="6" t="s">
        <v>955</v>
      </c>
      <c r="F9269" s="6" t="s">
        <v>439</v>
      </c>
      <c r="G9269" s="6" t="s">
        <v>369</v>
      </c>
      <c r="H9269" s="10">
        <v>46053.0</v>
      </c>
      <c r="I9269" s="12">
        <v>9.0</v>
      </c>
      <c r="J9269" s="6" t="s">
        <v>161</v>
      </c>
    </row>
    <row r="9270" ht="22.5" customHeight="1">
      <c r="A9270" s="6" t="s">
        <v>26078</v>
      </c>
      <c r="B9270" s="6" t="s">
        <v>20466</v>
      </c>
      <c r="C9270" s="10">
        <v>46068.0</v>
      </c>
      <c r="D9270" s="6" t="s">
        <v>289</v>
      </c>
      <c r="E9270" s="6" t="s">
        <v>670</v>
      </c>
      <c r="F9270" s="6" t="s">
        <v>112</v>
      </c>
      <c r="G9270" s="6" t="s">
        <v>452</v>
      </c>
      <c r="H9270" s="10">
        <v>46075.0</v>
      </c>
      <c r="I9270" s="12">
        <v>6.0</v>
      </c>
      <c r="J9270" s="6" t="s">
        <v>161</v>
      </c>
    </row>
    <row r="9271" ht="22.5" customHeight="1">
      <c r="A9271" s="6" t="s">
        <v>26079</v>
      </c>
      <c r="B9271" s="6" t="s">
        <v>20466</v>
      </c>
      <c r="C9271" s="10">
        <v>46071.0</v>
      </c>
      <c r="D9271" s="6" t="s">
        <v>289</v>
      </c>
      <c r="E9271" s="6" t="s">
        <v>610</v>
      </c>
      <c r="F9271" s="6" t="s">
        <v>112</v>
      </c>
      <c r="G9271" s="6" t="s">
        <v>477</v>
      </c>
      <c r="H9271" s="10">
        <v>46078.0</v>
      </c>
      <c r="I9271" s="12">
        <v>6.0</v>
      </c>
      <c r="J9271" s="6" t="s">
        <v>161</v>
      </c>
    </row>
    <row r="9272" ht="22.5" customHeight="1">
      <c r="A9272" s="6" t="s">
        <v>26080</v>
      </c>
      <c r="B9272" s="6" t="s">
        <v>20466</v>
      </c>
      <c r="C9272" s="10">
        <v>46086.0</v>
      </c>
      <c r="D9272" s="6" t="s">
        <v>242</v>
      </c>
      <c r="E9272" s="6" t="s">
        <v>2365</v>
      </c>
      <c r="F9272" s="6" t="s">
        <v>439</v>
      </c>
      <c r="G9272" s="6" t="s">
        <v>254</v>
      </c>
      <c r="H9272" s="10">
        <v>46091.0</v>
      </c>
      <c r="I9272" s="12">
        <v>6.0</v>
      </c>
      <c r="J9272" s="6" t="s">
        <v>161</v>
      </c>
    </row>
    <row r="9273" ht="22.5" customHeight="1">
      <c r="A9273" s="6" t="s">
        <v>26081</v>
      </c>
      <c r="B9273" s="6" t="s">
        <v>20473</v>
      </c>
      <c r="C9273" s="10">
        <v>46049.0</v>
      </c>
      <c r="D9273" s="6" t="s">
        <v>242</v>
      </c>
      <c r="E9273" s="6" t="s">
        <v>1102</v>
      </c>
      <c r="F9273" s="6" t="s">
        <v>283</v>
      </c>
      <c r="G9273" s="6" t="s">
        <v>452</v>
      </c>
      <c r="H9273" s="10">
        <v>46056.0</v>
      </c>
      <c r="I9273" s="12">
        <v>3.0</v>
      </c>
      <c r="J9273" s="6" t="s">
        <v>178</v>
      </c>
    </row>
    <row r="9274" ht="22.5" customHeight="1">
      <c r="A9274" s="6" t="s">
        <v>26082</v>
      </c>
      <c r="B9274" s="6" t="s">
        <v>20473</v>
      </c>
      <c r="C9274" s="10">
        <v>46039.0</v>
      </c>
      <c r="D9274" s="6" t="s">
        <v>391</v>
      </c>
      <c r="E9274" s="6" t="s">
        <v>863</v>
      </c>
      <c r="F9274" s="6" t="s">
        <v>249</v>
      </c>
      <c r="G9274" s="6" t="s">
        <v>494</v>
      </c>
      <c r="H9274" s="10">
        <v>46039.0</v>
      </c>
      <c r="I9274" s="12">
        <v>8.0</v>
      </c>
      <c r="J9274" s="6" t="s">
        <v>161</v>
      </c>
    </row>
    <row r="9275" ht="22.5" customHeight="1">
      <c r="A9275" s="6" t="s">
        <v>26083</v>
      </c>
      <c r="B9275" s="6" t="s">
        <v>20473</v>
      </c>
      <c r="C9275" s="10">
        <v>46053.0</v>
      </c>
      <c r="D9275" s="6" t="s">
        <v>391</v>
      </c>
      <c r="E9275" s="6" t="s">
        <v>450</v>
      </c>
      <c r="F9275" s="6" t="s">
        <v>112</v>
      </c>
      <c r="G9275" s="6" t="s">
        <v>458</v>
      </c>
      <c r="H9275" s="10">
        <v>46060.0</v>
      </c>
      <c r="I9275" s="12">
        <v>9.0</v>
      </c>
      <c r="J9275" s="6" t="s">
        <v>161</v>
      </c>
    </row>
    <row r="9276" ht="22.5" customHeight="1">
      <c r="A9276" s="6" t="s">
        <v>26084</v>
      </c>
      <c r="B9276" s="6" t="s">
        <v>20473</v>
      </c>
      <c r="C9276" s="10">
        <v>46045.0</v>
      </c>
      <c r="D9276" s="6" t="s">
        <v>677</v>
      </c>
      <c r="E9276" s="6" t="s">
        <v>2881</v>
      </c>
      <c r="F9276" s="6" t="s">
        <v>439</v>
      </c>
      <c r="G9276" s="6" t="s">
        <v>369</v>
      </c>
      <c r="H9276" s="10">
        <v>46052.0</v>
      </c>
      <c r="I9276" s="12">
        <v>3.0</v>
      </c>
      <c r="J9276" s="6" t="s">
        <v>161</v>
      </c>
    </row>
    <row r="9277" ht="22.5" customHeight="1">
      <c r="A9277" s="6" t="s">
        <v>26085</v>
      </c>
      <c r="B9277" s="6" t="s">
        <v>20473</v>
      </c>
      <c r="C9277" s="10">
        <v>46041.0</v>
      </c>
      <c r="D9277" s="6" t="s">
        <v>312</v>
      </c>
      <c r="E9277" s="6" t="s">
        <v>475</v>
      </c>
      <c r="F9277" s="6" t="s">
        <v>283</v>
      </c>
      <c r="G9277" s="6" t="s">
        <v>297</v>
      </c>
      <c r="H9277" s="10">
        <v>46042.0</v>
      </c>
      <c r="I9277" s="12">
        <v>5.0</v>
      </c>
      <c r="J9277" s="6" t="s">
        <v>161</v>
      </c>
    </row>
    <row r="9278" ht="22.5" customHeight="1">
      <c r="A9278" s="6" t="s">
        <v>26086</v>
      </c>
      <c r="B9278" s="6" t="s">
        <v>20480</v>
      </c>
      <c r="C9278" s="10">
        <v>46076.0</v>
      </c>
      <c r="D9278" s="6" t="s">
        <v>312</v>
      </c>
      <c r="E9278" s="6" t="s">
        <v>716</v>
      </c>
      <c r="F9278" s="6" t="s">
        <v>439</v>
      </c>
      <c r="G9278" s="6" t="s">
        <v>297</v>
      </c>
      <c r="H9278" s="10">
        <v>46077.0</v>
      </c>
      <c r="I9278" s="12">
        <v>5.0</v>
      </c>
      <c r="J9278" s="6" t="s">
        <v>161</v>
      </c>
    </row>
    <row r="9279" ht="22.5" customHeight="1">
      <c r="A9279" s="6" t="s">
        <v>26087</v>
      </c>
      <c r="B9279" s="6" t="s">
        <v>20480</v>
      </c>
      <c r="C9279" s="10">
        <v>46075.0</v>
      </c>
      <c r="D9279" s="6" t="s">
        <v>242</v>
      </c>
      <c r="E9279" s="6" t="s">
        <v>1386</v>
      </c>
      <c r="F9279" s="6" t="s">
        <v>283</v>
      </c>
      <c r="G9279" s="6" t="s">
        <v>254</v>
      </c>
      <c r="H9279" s="10">
        <v>46081.0</v>
      </c>
      <c r="I9279" s="12">
        <v>5.0</v>
      </c>
      <c r="J9279" s="6" t="s">
        <v>178</v>
      </c>
    </row>
    <row r="9280" ht="22.5" customHeight="1">
      <c r="A9280" s="6" t="s">
        <v>26088</v>
      </c>
      <c r="B9280" s="6" t="s">
        <v>20480</v>
      </c>
      <c r="C9280" s="10">
        <v>46074.0</v>
      </c>
      <c r="D9280" s="6" t="s">
        <v>416</v>
      </c>
      <c r="E9280" s="6" t="s">
        <v>863</v>
      </c>
      <c r="F9280" s="6" t="s">
        <v>249</v>
      </c>
      <c r="G9280" s="6" t="s">
        <v>326</v>
      </c>
      <c r="H9280" s="10">
        <v>46081.0</v>
      </c>
      <c r="I9280" s="12">
        <v>9.0</v>
      </c>
      <c r="J9280" s="6" t="s">
        <v>161</v>
      </c>
    </row>
    <row r="9281" ht="22.5" customHeight="1">
      <c r="A9281" s="6" t="s">
        <v>26089</v>
      </c>
      <c r="B9281" s="6" t="s">
        <v>20488</v>
      </c>
      <c r="C9281" s="10">
        <v>46054.0</v>
      </c>
      <c r="D9281" s="6" t="s">
        <v>391</v>
      </c>
      <c r="E9281" s="6" t="s">
        <v>2365</v>
      </c>
      <c r="F9281" s="6" t="s">
        <v>249</v>
      </c>
      <c r="G9281" s="6" t="s">
        <v>297</v>
      </c>
      <c r="H9281" s="10">
        <v>46054.0</v>
      </c>
      <c r="I9281" s="12">
        <v>9.0</v>
      </c>
      <c r="J9281" s="6" t="s">
        <v>161</v>
      </c>
    </row>
    <row r="9282" ht="22.5" customHeight="1">
      <c r="A9282" s="6" t="s">
        <v>26090</v>
      </c>
      <c r="B9282" s="6" t="s">
        <v>20495</v>
      </c>
      <c r="C9282" s="10">
        <v>46030.0</v>
      </c>
      <c r="D9282" s="6" t="s">
        <v>391</v>
      </c>
      <c r="E9282" s="6" t="s">
        <v>1626</v>
      </c>
      <c r="F9282" s="6" t="s">
        <v>112</v>
      </c>
      <c r="G9282" s="6" t="s">
        <v>494</v>
      </c>
      <c r="H9282" s="10">
        <v>46034.0</v>
      </c>
      <c r="I9282" s="12">
        <v>7.0</v>
      </c>
      <c r="J9282" s="6" t="s">
        <v>161</v>
      </c>
    </row>
    <row r="9283" ht="22.5" customHeight="1">
      <c r="A9283" s="6" t="s">
        <v>26091</v>
      </c>
      <c r="B9283" s="6" t="s">
        <v>20495</v>
      </c>
      <c r="C9283" s="10">
        <v>46037.0</v>
      </c>
      <c r="D9283" s="6" t="s">
        <v>391</v>
      </c>
      <c r="E9283" s="6" t="s">
        <v>1241</v>
      </c>
      <c r="F9283" s="6" t="s">
        <v>439</v>
      </c>
      <c r="G9283" s="6" t="s">
        <v>297</v>
      </c>
      <c r="H9283" s="10">
        <v>46041.0</v>
      </c>
      <c r="I9283" s="12">
        <v>7.0</v>
      </c>
      <c r="J9283" s="6" t="s">
        <v>161</v>
      </c>
    </row>
    <row r="9284" ht="22.5" customHeight="1">
      <c r="A9284" s="6" t="s">
        <v>26092</v>
      </c>
      <c r="B9284" s="6" t="s">
        <v>20495</v>
      </c>
      <c r="C9284" s="10">
        <v>46026.0</v>
      </c>
      <c r="D9284" s="6" t="s">
        <v>436</v>
      </c>
      <c r="E9284" s="6" t="s">
        <v>450</v>
      </c>
      <c r="F9284" s="6" t="s">
        <v>283</v>
      </c>
      <c r="G9284" s="6" t="s">
        <v>326</v>
      </c>
      <c r="H9284" s="11" t="s">
        <v>259</v>
      </c>
      <c r="I9284" s="12">
        <v>10.0</v>
      </c>
      <c r="J9284" s="6" t="s">
        <v>161</v>
      </c>
    </row>
    <row r="9285" ht="22.5" customHeight="1">
      <c r="A9285" s="6" t="s">
        <v>26093</v>
      </c>
      <c r="B9285" s="6" t="s">
        <v>20495</v>
      </c>
      <c r="C9285" s="10">
        <v>46033.0</v>
      </c>
      <c r="D9285" s="6" t="s">
        <v>677</v>
      </c>
      <c r="E9285" s="6" t="s">
        <v>670</v>
      </c>
      <c r="F9285" s="6" t="s">
        <v>112</v>
      </c>
      <c r="G9285" s="6" t="s">
        <v>326</v>
      </c>
      <c r="H9285" s="10">
        <v>46036.0</v>
      </c>
      <c r="I9285" s="12">
        <v>3.0</v>
      </c>
      <c r="J9285" s="6" t="s">
        <v>161</v>
      </c>
    </row>
    <row r="9286" ht="22.5" customHeight="1">
      <c r="A9286" s="6" t="s">
        <v>26094</v>
      </c>
      <c r="B9286" s="6" t="s">
        <v>20495</v>
      </c>
      <c r="C9286" s="10">
        <v>46032.0</v>
      </c>
      <c r="D9286" s="6" t="s">
        <v>289</v>
      </c>
      <c r="E9286" s="6" t="s">
        <v>1720</v>
      </c>
      <c r="F9286" s="6" t="s">
        <v>283</v>
      </c>
      <c r="G9286" s="6" t="s">
        <v>452</v>
      </c>
      <c r="H9286" s="10">
        <v>46036.0</v>
      </c>
      <c r="I9286" s="12">
        <v>6.0</v>
      </c>
      <c r="J9286" s="6" t="s">
        <v>161</v>
      </c>
    </row>
    <row r="9287" ht="22.5" customHeight="1">
      <c r="A9287" s="6" t="s">
        <v>26095</v>
      </c>
      <c r="B9287" s="6" t="s">
        <v>20503</v>
      </c>
      <c r="C9287" s="10">
        <v>46041.0</v>
      </c>
      <c r="D9287" s="6" t="s">
        <v>436</v>
      </c>
      <c r="E9287" s="6" t="s">
        <v>1149</v>
      </c>
      <c r="F9287" s="6" t="s">
        <v>249</v>
      </c>
      <c r="G9287" s="6" t="s">
        <v>297</v>
      </c>
      <c r="H9287" s="10">
        <v>46048.0</v>
      </c>
      <c r="I9287" s="12">
        <v>6.0</v>
      </c>
      <c r="J9287" s="6" t="s">
        <v>178</v>
      </c>
    </row>
    <row r="9288" ht="22.5" customHeight="1">
      <c r="A9288" s="6" t="s">
        <v>26096</v>
      </c>
      <c r="B9288" s="6" t="s">
        <v>20503</v>
      </c>
      <c r="C9288" s="10">
        <v>46033.0</v>
      </c>
      <c r="D9288" s="6" t="s">
        <v>312</v>
      </c>
      <c r="E9288" s="6" t="s">
        <v>798</v>
      </c>
      <c r="F9288" s="6" t="s">
        <v>249</v>
      </c>
      <c r="G9288" s="6" t="s">
        <v>458</v>
      </c>
      <c r="H9288" s="11" t="s">
        <v>259</v>
      </c>
      <c r="I9288" s="12">
        <v>7.0</v>
      </c>
      <c r="J9288" s="6" t="s">
        <v>161</v>
      </c>
    </row>
    <row r="9289" ht="22.5" customHeight="1">
      <c r="A9289" s="6" t="s">
        <v>26097</v>
      </c>
      <c r="B9289" s="6" t="s">
        <v>20503</v>
      </c>
      <c r="C9289" s="10">
        <v>46039.0</v>
      </c>
      <c r="D9289" s="6" t="s">
        <v>242</v>
      </c>
      <c r="E9289" s="6" t="s">
        <v>2365</v>
      </c>
      <c r="F9289" s="6" t="s">
        <v>112</v>
      </c>
      <c r="G9289" s="6" t="s">
        <v>297</v>
      </c>
      <c r="H9289" s="10">
        <v>46041.0</v>
      </c>
      <c r="I9289" s="12">
        <v>6.0</v>
      </c>
      <c r="J9289" s="6" t="s">
        <v>178</v>
      </c>
    </row>
    <row r="9290" ht="22.5" customHeight="1">
      <c r="A9290" s="6" t="s">
        <v>26098</v>
      </c>
      <c r="B9290" s="6" t="s">
        <v>20503</v>
      </c>
      <c r="C9290" s="10">
        <v>46045.0</v>
      </c>
      <c r="D9290" s="6" t="s">
        <v>416</v>
      </c>
      <c r="E9290" s="6" t="s">
        <v>1280</v>
      </c>
      <c r="F9290" s="6" t="s">
        <v>439</v>
      </c>
      <c r="G9290" s="6" t="s">
        <v>494</v>
      </c>
      <c r="H9290" s="10">
        <v>46051.0</v>
      </c>
      <c r="I9290" s="12">
        <v>9.0</v>
      </c>
      <c r="J9290" s="6" t="s">
        <v>161</v>
      </c>
    </row>
    <row r="9291" ht="22.5" customHeight="1">
      <c r="A9291" s="6" t="s">
        <v>26099</v>
      </c>
      <c r="B9291" s="6" t="s">
        <v>20503</v>
      </c>
      <c r="C9291" s="10">
        <v>46036.0</v>
      </c>
      <c r="D9291" s="6" t="s">
        <v>416</v>
      </c>
      <c r="E9291" s="6" t="s">
        <v>512</v>
      </c>
      <c r="F9291" s="6" t="s">
        <v>112</v>
      </c>
      <c r="G9291" s="6" t="s">
        <v>254</v>
      </c>
      <c r="H9291" s="10">
        <v>46043.0</v>
      </c>
      <c r="I9291" s="12">
        <v>10.0</v>
      </c>
      <c r="J9291" s="6" t="s">
        <v>161</v>
      </c>
    </row>
    <row r="9292" ht="22.5" customHeight="1">
      <c r="A9292" s="6" t="s">
        <v>26100</v>
      </c>
      <c r="B9292" s="6" t="s">
        <v>20510</v>
      </c>
      <c r="C9292" s="10">
        <v>46069.0</v>
      </c>
      <c r="D9292" s="6" t="s">
        <v>242</v>
      </c>
      <c r="E9292" s="6" t="s">
        <v>896</v>
      </c>
      <c r="F9292" s="6" t="s">
        <v>249</v>
      </c>
      <c r="G9292" s="6" t="s">
        <v>326</v>
      </c>
      <c r="H9292" s="10">
        <v>46069.0</v>
      </c>
      <c r="I9292" s="12">
        <v>3.0</v>
      </c>
      <c r="J9292" s="6" t="s">
        <v>178</v>
      </c>
    </row>
    <row r="9293" ht="22.5" customHeight="1">
      <c r="A9293" s="6" t="s">
        <v>26101</v>
      </c>
      <c r="B9293" s="6" t="s">
        <v>20510</v>
      </c>
      <c r="C9293" s="10">
        <v>46070.0</v>
      </c>
      <c r="D9293" s="6" t="s">
        <v>312</v>
      </c>
      <c r="E9293" s="6" t="s">
        <v>738</v>
      </c>
      <c r="F9293" s="6" t="s">
        <v>283</v>
      </c>
      <c r="G9293" s="6" t="s">
        <v>297</v>
      </c>
      <c r="H9293" s="10">
        <v>46070.0</v>
      </c>
      <c r="I9293" s="12">
        <v>5.0</v>
      </c>
      <c r="J9293" s="6" t="s">
        <v>161</v>
      </c>
    </row>
    <row r="9294" ht="22.5" customHeight="1">
      <c r="A9294" s="6" t="s">
        <v>26102</v>
      </c>
      <c r="B9294" s="6" t="s">
        <v>20510</v>
      </c>
      <c r="C9294" s="10">
        <v>46075.0</v>
      </c>
      <c r="D9294" s="6" t="s">
        <v>289</v>
      </c>
      <c r="E9294" s="6" t="s">
        <v>634</v>
      </c>
      <c r="F9294" s="6" t="s">
        <v>249</v>
      </c>
      <c r="G9294" s="6" t="s">
        <v>326</v>
      </c>
      <c r="H9294" s="10">
        <v>46078.0</v>
      </c>
      <c r="I9294" s="12">
        <v>5.0</v>
      </c>
      <c r="J9294" s="6" t="s">
        <v>161</v>
      </c>
    </row>
    <row r="9295" ht="22.5" customHeight="1">
      <c r="A9295" s="6" t="s">
        <v>26103</v>
      </c>
      <c r="B9295" s="6" t="s">
        <v>20510</v>
      </c>
      <c r="C9295" s="10">
        <v>46069.0</v>
      </c>
      <c r="D9295" s="6" t="s">
        <v>677</v>
      </c>
      <c r="E9295" s="6" t="s">
        <v>634</v>
      </c>
      <c r="F9295" s="6" t="s">
        <v>112</v>
      </c>
      <c r="G9295" s="6" t="s">
        <v>494</v>
      </c>
      <c r="H9295" s="10">
        <v>46073.0</v>
      </c>
      <c r="I9295" s="12">
        <v>2.0</v>
      </c>
      <c r="J9295" s="6" t="s">
        <v>161</v>
      </c>
    </row>
    <row r="9296" ht="22.5" customHeight="1">
      <c r="A9296" s="6" t="s">
        <v>26104</v>
      </c>
      <c r="B9296" s="6" t="s">
        <v>20518</v>
      </c>
      <c r="C9296" s="10">
        <v>46081.0</v>
      </c>
      <c r="D9296" s="6" t="s">
        <v>677</v>
      </c>
      <c r="E9296" s="6" t="s">
        <v>1552</v>
      </c>
      <c r="F9296" s="6" t="s">
        <v>249</v>
      </c>
      <c r="G9296" s="6" t="s">
        <v>326</v>
      </c>
      <c r="H9296" s="10">
        <v>46082.0</v>
      </c>
      <c r="I9296" s="12">
        <v>4.0</v>
      </c>
      <c r="J9296" s="6" t="s">
        <v>161</v>
      </c>
    </row>
    <row r="9297" ht="22.5" customHeight="1">
      <c r="A9297" s="6" t="s">
        <v>26105</v>
      </c>
      <c r="B9297" s="6" t="s">
        <v>20518</v>
      </c>
      <c r="C9297" s="10">
        <v>46070.0</v>
      </c>
      <c r="D9297" s="6" t="s">
        <v>391</v>
      </c>
      <c r="E9297" s="6" t="s">
        <v>1102</v>
      </c>
      <c r="F9297" s="6" t="s">
        <v>249</v>
      </c>
      <c r="G9297" s="6" t="s">
        <v>458</v>
      </c>
      <c r="H9297" s="10">
        <v>46070.0</v>
      </c>
      <c r="I9297" s="12">
        <v>9.0</v>
      </c>
      <c r="J9297" s="6" t="s">
        <v>161</v>
      </c>
    </row>
    <row r="9298" ht="22.5" customHeight="1">
      <c r="A9298" s="6" t="s">
        <v>26106</v>
      </c>
      <c r="B9298" s="6" t="s">
        <v>20518</v>
      </c>
      <c r="C9298" s="10">
        <v>46066.0</v>
      </c>
      <c r="D9298" s="6" t="s">
        <v>242</v>
      </c>
      <c r="E9298" s="6" t="s">
        <v>634</v>
      </c>
      <c r="F9298" s="6" t="s">
        <v>439</v>
      </c>
      <c r="G9298" s="6" t="s">
        <v>458</v>
      </c>
      <c r="H9298" s="10">
        <v>46066.0</v>
      </c>
      <c r="I9298" s="12">
        <v>6.0</v>
      </c>
      <c r="J9298" s="6" t="s">
        <v>178</v>
      </c>
    </row>
    <row r="9299" ht="22.5" customHeight="1">
      <c r="A9299" s="6" t="s">
        <v>26107</v>
      </c>
      <c r="B9299" s="6" t="s">
        <v>20525</v>
      </c>
      <c r="C9299" s="10">
        <v>46044.0</v>
      </c>
      <c r="D9299" s="6" t="s">
        <v>436</v>
      </c>
      <c r="E9299" s="6" t="s">
        <v>1570</v>
      </c>
      <c r="F9299" s="6" t="s">
        <v>249</v>
      </c>
      <c r="G9299" s="6" t="s">
        <v>477</v>
      </c>
      <c r="H9299" s="10">
        <v>46044.0</v>
      </c>
      <c r="I9299" s="12">
        <v>9.0</v>
      </c>
      <c r="J9299" s="6" t="s">
        <v>178</v>
      </c>
    </row>
    <row r="9300" ht="22.5" customHeight="1">
      <c r="A9300" s="6" t="s">
        <v>26108</v>
      </c>
      <c r="B9300" s="6" t="s">
        <v>20525</v>
      </c>
      <c r="C9300" s="10">
        <v>46043.0</v>
      </c>
      <c r="D9300" s="6" t="s">
        <v>242</v>
      </c>
      <c r="E9300" s="6" t="s">
        <v>320</v>
      </c>
      <c r="F9300" s="6" t="s">
        <v>249</v>
      </c>
      <c r="G9300" s="6" t="s">
        <v>458</v>
      </c>
      <c r="H9300" s="10">
        <v>46043.0</v>
      </c>
      <c r="I9300" s="12">
        <v>4.0</v>
      </c>
      <c r="J9300" s="6" t="s">
        <v>178</v>
      </c>
    </row>
    <row r="9301" ht="22.5" customHeight="1">
      <c r="A9301" s="6" t="s">
        <v>26109</v>
      </c>
      <c r="B9301" s="6" t="s">
        <v>20525</v>
      </c>
      <c r="C9301" s="10">
        <v>46048.0</v>
      </c>
      <c r="D9301" s="6" t="s">
        <v>436</v>
      </c>
      <c r="E9301" s="6" t="s">
        <v>1546</v>
      </c>
      <c r="F9301" s="6" t="s">
        <v>112</v>
      </c>
      <c r="G9301" s="6" t="s">
        <v>477</v>
      </c>
      <c r="H9301" s="10">
        <v>46054.0</v>
      </c>
      <c r="I9301" s="12">
        <v>12.0</v>
      </c>
      <c r="J9301" s="6" t="s">
        <v>178</v>
      </c>
    </row>
    <row r="9302" ht="22.5" customHeight="1">
      <c r="A9302" s="6" t="s">
        <v>26110</v>
      </c>
      <c r="B9302" s="6" t="s">
        <v>20525</v>
      </c>
      <c r="C9302" s="10">
        <v>46040.0</v>
      </c>
      <c r="D9302" s="6" t="s">
        <v>391</v>
      </c>
      <c r="E9302" s="6" t="s">
        <v>1070</v>
      </c>
      <c r="F9302" s="6" t="s">
        <v>249</v>
      </c>
      <c r="G9302" s="6" t="s">
        <v>452</v>
      </c>
      <c r="H9302" s="10">
        <v>46042.0</v>
      </c>
      <c r="I9302" s="12">
        <v>8.0</v>
      </c>
      <c r="J9302" s="6" t="s">
        <v>161</v>
      </c>
    </row>
    <row r="9303" ht="22.5" customHeight="1">
      <c r="A9303" s="6" t="s">
        <v>26111</v>
      </c>
      <c r="B9303" s="6" t="s">
        <v>20533</v>
      </c>
      <c r="C9303" s="10">
        <v>46051.0</v>
      </c>
      <c r="D9303" s="6" t="s">
        <v>416</v>
      </c>
      <c r="E9303" s="6" t="s">
        <v>833</v>
      </c>
      <c r="F9303" s="6" t="s">
        <v>249</v>
      </c>
      <c r="G9303" s="6" t="s">
        <v>477</v>
      </c>
      <c r="H9303" s="10">
        <v>46052.0</v>
      </c>
      <c r="I9303" s="12">
        <v>8.0</v>
      </c>
      <c r="J9303" s="6" t="s">
        <v>161</v>
      </c>
    </row>
    <row r="9304" ht="22.5" customHeight="1">
      <c r="A9304" s="6" t="s">
        <v>26112</v>
      </c>
      <c r="B9304" s="6" t="s">
        <v>20533</v>
      </c>
      <c r="C9304" s="10">
        <v>46050.0</v>
      </c>
      <c r="D9304" s="6" t="s">
        <v>242</v>
      </c>
      <c r="E9304" s="6" t="s">
        <v>775</v>
      </c>
      <c r="F9304" s="6" t="s">
        <v>439</v>
      </c>
      <c r="G9304" s="6" t="s">
        <v>326</v>
      </c>
      <c r="H9304" s="10">
        <v>46050.0</v>
      </c>
      <c r="I9304" s="12">
        <v>3.0</v>
      </c>
      <c r="J9304" s="6" t="s">
        <v>161</v>
      </c>
    </row>
    <row r="9305" ht="22.5" customHeight="1">
      <c r="A9305" s="6" t="s">
        <v>26113</v>
      </c>
      <c r="B9305" s="6" t="s">
        <v>20533</v>
      </c>
      <c r="C9305" s="10">
        <v>46051.0</v>
      </c>
      <c r="D9305" s="6" t="s">
        <v>391</v>
      </c>
      <c r="E9305" s="6" t="s">
        <v>566</v>
      </c>
      <c r="F9305" s="6" t="s">
        <v>112</v>
      </c>
      <c r="G9305" s="6" t="s">
        <v>297</v>
      </c>
      <c r="H9305" s="10">
        <v>46051.0</v>
      </c>
      <c r="I9305" s="12">
        <v>6.0</v>
      </c>
      <c r="J9305" s="6" t="s">
        <v>161</v>
      </c>
    </row>
    <row r="9306" ht="22.5" customHeight="1">
      <c r="A9306" s="6" t="s">
        <v>26114</v>
      </c>
      <c r="B9306" s="6" t="s">
        <v>20541</v>
      </c>
      <c r="C9306" s="10">
        <v>46038.0</v>
      </c>
      <c r="D9306" s="6" t="s">
        <v>436</v>
      </c>
      <c r="E9306" s="6" t="s">
        <v>798</v>
      </c>
      <c r="F9306" s="6" t="s">
        <v>283</v>
      </c>
      <c r="G9306" s="6" t="s">
        <v>326</v>
      </c>
      <c r="H9306" s="10">
        <v>46040.0</v>
      </c>
      <c r="I9306" s="12">
        <v>10.0</v>
      </c>
      <c r="J9306" s="6" t="s">
        <v>178</v>
      </c>
    </row>
    <row r="9307" ht="22.5" customHeight="1">
      <c r="A9307" s="6" t="s">
        <v>26115</v>
      </c>
      <c r="B9307" s="6" t="s">
        <v>20541</v>
      </c>
      <c r="C9307" s="10">
        <v>46035.0</v>
      </c>
      <c r="D9307" s="6" t="s">
        <v>436</v>
      </c>
      <c r="E9307" s="6" t="s">
        <v>775</v>
      </c>
      <c r="F9307" s="6" t="s">
        <v>249</v>
      </c>
      <c r="G9307" s="6" t="s">
        <v>297</v>
      </c>
      <c r="H9307" s="10">
        <v>46036.0</v>
      </c>
      <c r="I9307" s="12">
        <v>12.0</v>
      </c>
      <c r="J9307" s="6" t="s">
        <v>178</v>
      </c>
    </row>
    <row r="9308" ht="22.5" customHeight="1">
      <c r="A9308" s="6" t="s">
        <v>26116</v>
      </c>
      <c r="B9308" s="6" t="s">
        <v>20541</v>
      </c>
      <c r="C9308" s="10">
        <v>46039.0</v>
      </c>
      <c r="D9308" s="6" t="s">
        <v>312</v>
      </c>
      <c r="E9308" s="6" t="s">
        <v>2365</v>
      </c>
      <c r="F9308" s="6" t="s">
        <v>112</v>
      </c>
      <c r="G9308" s="6" t="s">
        <v>458</v>
      </c>
      <c r="H9308" s="10">
        <v>46042.0</v>
      </c>
      <c r="I9308" s="12">
        <v>5.0</v>
      </c>
      <c r="J9308" s="6" t="s">
        <v>161</v>
      </c>
    </row>
    <row r="9309" ht="22.5" customHeight="1">
      <c r="A9309" s="6" t="s">
        <v>26117</v>
      </c>
      <c r="B9309" s="6" t="s">
        <v>20541</v>
      </c>
      <c r="C9309" s="10">
        <v>46037.0</v>
      </c>
      <c r="D9309" s="6" t="s">
        <v>289</v>
      </c>
      <c r="E9309" s="6" t="s">
        <v>687</v>
      </c>
      <c r="F9309" s="6" t="s">
        <v>249</v>
      </c>
      <c r="G9309" s="6" t="s">
        <v>494</v>
      </c>
      <c r="H9309" s="10">
        <v>46039.0</v>
      </c>
      <c r="I9309" s="12">
        <v>6.0</v>
      </c>
      <c r="J9309" s="6" t="s">
        <v>161</v>
      </c>
    </row>
    <row r="9310" ht="22.5" customHeight="1">
      <c r="A9310" s="6" t="s">
        <v>26118</v>
      </c>
      <c r="B9310" s="6" t="s">
        <v>20548</v>
      </c>
      <c r="C9310" s="10">
        <v>46059.0</v>
      </c>
      <c r="D9310" s="6" t="s">
        <v>312</v>
      </c>
      <c r="E9310" s="6" t="s">
        <v>583</v>
      </c>
      <c r="F9310" s="6" t="s">
        <v>112</v>
      </c>
      <c r="G9310" s="6" t="s">
        <v>369</v>
      </c>
      <c r="H9310" s="10">
        <v>46062.0</v>
      </c>
      <c r="I9310" s="12">
        <v>6.0</v>
      </c>
      <c r="J9310" s="6" t="s">
        <v>161</v>
      </c>
    </row>
    <row r="9311" ht="22.5" customHeight="1">
      <c r="A9311" s="6" t="s">
        <v>26119</v>
      </c>
      <c r="B9311" s="6" t="s">
        <v>20555</v>
      </c>
      <c r="C9311" s="10">
        <v>46066.0</v>
      </c>
      <c r="D9311" s="6" t="s">
        <v>289</v>
      </c>
      <c r="E9311" s="6" t="s">
        <v>1386</v>
      </c>
      <c r="F9311" s="6" t="s">
        <v>112</v>
      </c>
      <c r="G9311" s="6" t="s">
        <v>369</v>
      </c>
      <c r="H9311" s="10">
        <v>46067.0</v>
      </c>
      <c r="I9311" s="12">
        <v>10.0</v>
      </c>
      <c r="J9311" s="6" t="s">
        <v>161</v>
      </c>
    </row>
    <row r="9312" ht="22.5" customHeight="1">
      <c r="A9312" s="6" t="s">
        <v>26120</v>
      </c>
      <c r="B9312" s="6" t="s">
        <v>20555</v>
      </c>
      <c r="C9312" s="10">
        <v>46061.0</v>
      </c>
      <c r="D9312" s="6" t="s">
        <v>391</v>
      </c>
      <c r="E9312" s="6" t="s">
        <v>1552</v>
      </c>
      <c r="F9312" s="6" t="s">
        <v>249</v>
      </c>
      <c r="G9312" s="6" t="s">
        <v>297</v>
      </c>
      <c r="H9312" s="10">
        <v>46063.0</v>
      </c>
      <c r="I9312" s="12">
        <v>9.0</v>
      </c>
      <c r="J9312" s="6" t="s">
        <v>161</v>
      </c>
    </row>
    <row r="9313" ht="22.5" customHeight="1">
      <c r="A9313" s="6" t="s">
        <v>26121</v>
      </c>
      <c r="B9313" s="6" t="s">
        <v>20555</v>
      </c>
      <c r="C9313" s="10">
        <v>46063.0</v>
      </c>
      <c r="D9313" s="6" t="s">
        <v>391</v>
      </c>
      <c r="E9313" s="6" t="s">
        <v>863</v>
      </c>
      <c r="F9313" s="6" t="s">
        <v>439</v>
      </c>
      <c r="G9313" s="6" t="s">
        <v>369</v>
      </c>
      <c r="H9313" s="10">
        <v>46067.0</v>
      </c>
      <c r="I9313" s="12">
        <v>9.0</v>
      </c>
      <c r="J9313" s="6" t="s">
        <v>161</v>
      </c>
    </row>
    <row r="9314" ht="22.5" customHeight="1">
      <c r="A9314" s="6" t="s">
        <v>26122</v>
      </c>
      <c r="B9314" s="6" t="s">
        <v>20555</v>
      </c>
      <c r="C9314" s="10">
        <v>46070.0</v>
      </c>
      <c r="D9314" s="6" t="s">
        <v>289</v>
      </c>
      <c r="E9314" s="6" t="s">
        <v>716</v>
      </c>
      <c r="F9314" s="6" t="s">
        <v>439</v>
      </c>
      <c r="G9314" s="6" t="s">
        <v>458</v>
      </c>
      <c r="H9314" s="10">
        <v>46072.0</v>
      </c>
      <c r="I9314" s="12">
        <v>10.0</v>
      </c>
      <c r="J9314" s="6" t="s">
        <v>161</v>
      </c>
    </row>
    <row r="9315" ht="22.5" customHeight="1">
      <c r="A9315" s="6" t="s">
        <v>26123</v>
      </c>
      <c r="B9315" s="6" t="s">
        <v>20555</v>
      </c>
      <c r="C9315" s="10">
        <v>46062.0</v>
      </c>
      <c r="D9315" s="6" t="s">
        <v>416</v>
      </c>
      <c r="E9315" s="6" t="s">
        <v>1102</v>
      </c>
      <c r="F9315" s="6" t="s">
        <v>249</v>
      </c>
      <c r="G9315" s="6" t="s">
        <v>452</v>
      </c>
      <c r="H9315" s="11" t="s">
        <v>259</v>
      </c>
      <c r="I9315" s="12">
        <v>9.0</v>
      </c>
      <c r="J9315" s="6" t="s">
        <v>161</v>
      </c>
    </row>
    <row r="9316" ht="22.5" customHeight="1">
      <c r="A9316" s="6" t="s">
        <v>26124</v>
      </c>
      <c r="B9316" s="6" t="s">
        <v>20561</v>
      </c>
      <c r="C9316" s="10">
        <v>46050.0</v>
      </c>
      <c r="D9316" s="6" t="s">
        <v>391</v>
      </c>
      <c r="E9316" s="6" t="s">
        <v>1386</v>
      </c>
      <c r="F9316" s="6" t="s">
        <v>439</v>
      </c>
      <c r="G9316" s="6" t="s">
        <v>452</v>
      </c>
      <c r="H9316" s="10">
        <v>46052.0</v>
      </c>
      <c r="I9316" s="12">
        <v>7.0</v>
      </c>
      <c r="J9316" s="6" t="s">
        <v>161</v>
      </c>
    </row>
    <row r="9317" ht="22.5" customHeight="1">
      <c r="A9317" s="6" t="s">
        <v>26125</v>
      </c>
      <c r="B9317" s="6" t="s">
        <v>20561</v>
      </c>
      <c r="C9317" s="10">
        <v>46052.0</v>
      </c>
      <c r="D9317" s="6" t="s">
        <v>416</v>
      </c>
      <c r="E9317" s="6" t="s">
        <v>1055</v>
      </c>
      <c r="F9317" s="6" t="s">
        <v>439</v>
      </c>
      <c r="G9317" s="6" t="s">
        <v>458</v>
      </c>
      <c r="H9317" s="10">
        <v>46058.0</v>
      </c>
      <c r="I9317" s="12">
        <v>8.0</v>
      </c>
      <c r="J9317" s="6" t="s">
        <v>161</v>
      </c>
    </row>
    <row r="9318" ht="22.5" customHeight="1">
      <c r="A9318" s="6" t="s">
        <v>26126</v>
      </c>
      <c r="B9318" s="6" t="s">
        <v>20561</v>
      </c>
      <c r="C9318" s="10">
        <v>46058.0</v>
      </c>
      <c r="D9318" s="6" t="s">
        <v>416</v>
      </c>
      <c r="E9318" s="6" t="s">
        <v>687</v>
      </c>
      <c r="F9318" s="6" t="s">
        <v>112</v>
      </c>
      <c r="G9318" s="6" t="s">
        <v>369</v>
      </c>
      <c r="H9318" s="10">
        <v>46062.0</v>
      </c>
      <c r="I9318" s="12">
        <v>10.0</v>
      </c>
      <c r="J9318" s="6" t="s">
        <v>161</v>
      </c>
    </row>
    <row r="9319" ht="22.5" customHeight="1">
      <c r="A9319" s="6" t="s">
        <v>26127</v>
      </c>
      <c r="B9319" s="6" t="s">
        <v>20561</v>
      </c>
      <c r="C9319" s="10">
        <v>46053.0</v>
      </c>
      <c r="D9319" s="6" t="s">
        <v>416</v>
      </c>
      <c r="E9319" s="6" t="s">
        <v>634</v>
      </c>
      <c r="F9319" s="6" t="s">
        <v>283</v>
      </c>
      <c r="G9319" s="6" t="s">
        <v>452</v>
      </c>
      <c r="H9319" s="10">
        <v>46055.0</v>
      </c>
      <c r="I9319" s="12">
        <v>14.0</v>
      </c>
      <c r="J9319" s="6" t="s">
        <v>161</v>
      </c>
    </row>
    <row r="9320" ht="22.5" customHeight="1">
      <c r="A9320" s="6" t="s">
        <v>26128</v>
      </c>
      <c r="B9320" s="6" t="s">
        <v>20569</v>
      </c>
      <c r="C9320" s="10">
        <v>46052.0</v>
      </c>
      <c r="D9320" s="6" t="s">
        <v>312</v>
      </c>
      <c r="E9320" s="6" t="s">
        <v>863</v>
      </c>
      <c r="F9320" s="6" t="s">
        <v>283</v>
      </c>
      <c r="G9320" s="6" t="s">
        <v>477</v>
      </c>
      <c r="H9320" s="10">
        <v>46056.0</v>
      </c>
      <c r="I9320" s="12">
        <v>6.0</v>
      </c>
      <c r="J9320" s="6" t="s">
        <v>161</v>
      </c>
    </row>
    <row r="9321" ht="22.5" customHeight="1">
      <c r="A9321" s="6" t="s">
        <v>26129</v>
      </c>
      <c r="B9321" s="6" t="s">
        <v>20569</v>
      </c>
      <c r="C9321" s="10">
        <v>46052.0</v>
      </c>
      <c r="D9321" s="6" t="s">
        <v>242</v>
      </c>
      <c r="E9321" s="6" t="s">
        <v>1600</v>
      </c>
      <c r="F9321" s="6" t="s">
        <v>283</v>
      </c>
      <c r="G9321" s="6" t="s">
        <v>494</v>
      </c>
      <c r="H9321" s="10">
        <v>46058.0</v>
      </c>
      <c r="I9321" s="12">
        <v>6.0</v>
      </c>
      <c r="J9321" s="6" t="s">
        <v>161</v>
      </c>
    </row>
    <row r="9322" ht="22.5" customHeight="1">
      <c r="A9322" s="6" t="s">
        <v>26130</v>
      </c>
      <c r="B9322" s="6" t="s">
        <v>20569</v>
      </c>
      <c r="C9322" s="10">
        <v>46055.0</v>
      </c>
      <c r="D9322" s="6" t="s">
        <v>242</v>
      </c>
      <c r="E9322" s="6" t="s">
        <v>1600</v>
      </c>
      <c r="F9322" s="6" t="s">
        <v>249</v>
      </c>
      <c r="G9322" s="6" t="s">
        <v>254</v>
      </c>
      <c r="H9322" s="10">
        <v>46060.0</v>
      </c>
      <c r="I9322" s="12">
        <v>5.0</v>
      </c>
      <c r="J9322" s="6" t="s">
        <v>178</v>
      </c>
    </row>
    <row r="9323" ht="22.5" customHeight="1">
      <c r="A9323" s="6" t="s">
        <v>26131</v>
      </c>
      <c r="B9323" s="6" t="s">
        <v>20576</v>
      </c>
      <c r="C9323" s="10">
        <v>46053.0</v>
      </c>
      <c r="D9323" s="6" t="s">
        <v>391</v>
      </c>
      <c r="E9323" s="6" t="s">
        <v>775</v>
      </c>
      <c r="F9323" s="6" t="s">
        <v>249</v>
      </c>
      <c r="G9323" s="6" t="s">
        <v>297</v>
      </c>
      <c r="H9323" s="10">
        <v>46056.0</v>
      </c>
      <c r="I9323" s="12">
        <v>7.0</v>
      </c>
      <c r="J9323" s="6" t="s">
        <v>161</v>
      </c>
    </row>
    <row r="9324" ht="22.5" customHeight="1">
      <c r="A9324" s="6" t="s">
        <v>26132</v>
      </c>
      <c r="B9324" s="6" t="s">
        <v>20576</v>
      </c>
      <c r="C9324" s="10">
        <v>46056.0</v>
      </c>
      <c r="D9324" s="6" t="s">
        <v>436</v>
      </c>
      <c r="E9324" s="6" t="s">
        <v>1626</v>
      </c>
      <c r="F9324" s="6" t="s">
        <v>112</v>
      </c>
      <c r="G9324" s="6" t="s">
        <v>254</v>
      </c>
      <c r="H9324" s="10">
        <v>46059.0</v>
      </c>
      <c r="I9324" s="12">
        <v>11.0</v>
      </c>
      <c r="J9324" s="6" t="s">
        <v>178</v>
      </c>
    </row>
    <row r="9325" ht="22.5" customHeight="1">
      <c r="A9325" s="6" t="s">
        <v>26133</v>
      </c>
      <c r="B9325" s="6" t="s">
        <v>20576</v>
      </c>
      <c r="C9325" s="10">
        <v>46056.0</v>
      </c>
      <c r="D9325" s="6" t="s">
        <v>416</v>
      </c>
      <c r="E9325" s="6" t="s">
        <v>885</v>
      </c>
      <c r="F9325" s="6" t="s">
        <v>283</v>
      </c>
      <c r="G9325" s="6" t="s">
        <v>369</v>
      </c>
      <c r="H9325" s="10">
        <v>46059.0</v>
      </c>
      <c r="I9325" s="12">
        <v>9.0</v>
      </c>
      <c r="J9325" s="6" t="s">
        <v>161</v>
      </c>
    </row>
    <row r="9326" ht="22.5" customHeight="1">
      <c r="A9326" s="6" t="s">
        <v>26134</v>
      </c>
      <c r="B9326" s="6" t="s">
        <v>20584</v>
      </c>
      <c r="C9326" s="10">
        <v>46074.0</v>
      </c>
      <c r="D9326" s="6" t="s">
        <v>436</v>
      </c>
      <c r="E9326" s="6" t="s">
        <v>583</v>
      </c>
      <c r="F9326" s="6" t="s">
        <v>439</v>
      </c>
      <c r="G9326" s="6" t="s">
        <v>458</v>
      </c>
      <c r="H9326" s="11" t="s">
        <v>259</v>
      </c>
      <c r="I9326" s="12">
        <v>9.0</v>
      </c>
      <c r="J9326" s="6" t="s">
        <v>178</v>
      </c>
    </row>
    <row r="9327" ht="22.5" customHeight="1">
      <c r="A9327" s="6" t="s">
        <v>26135</v>
      </c>
      <c r="B9327" s="6" t="s">
        <v>20584</v>
      </c>
      <c r="C9327" s="10">
        <v>46081.0</v>
      </c>
      <c r="D9327" s="6" t="s">
        <v>391</v>
      </c>
      <c r="E9327" s="6" t="s">
        <v>687</v>
      </c>
      <c r="F9327" s="6" t="s">
        <v>249</v>
      </c>
      <c r="G9327" s="6" t="s">
        <v>458</v>
      </c>
      <c r="H9327" s="10">
        <v>46081.0</v>
      </c>
      <c r="I9327" s="12">
        <v>6.0</v>
      </c>
      <c r="J9327" s="6" t="s">
        <v>161</v>
      </c>
    </row>
    <row r="9328" ht="22.5" customHeight="1">
      <c r="A9328" s="6" t="s">
        <v>26136</v>
      </c>
      <c r="B9328" s="6" t="s">
        <v>20592</v>
      </c>
      <c r="C9328" s="10">
        <v>46075.0</v>
      </c>
      <c r="D9328" s="6" t="s">
        <v>312</v>
      </c>
      <c r="E9328" s="6" t="s">
        <v>438</v>
      </c>
      <c r="F9328" s="6" t="s">
        <v>112</v>
      </c>
      <c r="G9328" s="6" t="s">
        <v>326</v>
      </c>
      <c r="H9328" s="10">
        <v>46079.0</v>
      </c>
      <c r="I9328" s="12">
        <v>7.0</v>
      </c>
      <c r="J9328" s="6" t="s">
        <v>161</v>
      </c>
    </row>
    <row r="9329" ht="22.5" customHeight="1">
      <c r="A9329" s="6" t="s">
        <v>26137</v>
      </c>
      <c r="B9329" s="6" t="s">
        <v>20599</v>
      </c>
      <c r="C9329" s="10">
        <v>46068.0</v>
      </c>
      <c r="D9329" s="6" t="s">
        <v>242</v>
      </c>
      <c r="E9329" s="6" t="s">
        <v>1310</v>
      </c>
      <c r="F9329" s="6" t="s">
        <v>439</v>
      </c>
      <c r="G9329" s="6" t="s">
        <v>297</v>
      </c>
      <c r="H9329" s="10">
        <v>46075.0</v>
      </c>
      <c r="I9329" s="12">
        <v>3.0</v>
      </c>
      <c r="J9329" s="6" t="s">
        <v>178</v>
      </c>
    </row>
    <row r="9330" ht="22.5" customHeight="1">
      <c r="A9330" s="6" t="s">
        <v>26138</v>
      </c>
      <c r="B9330" s="6" t="s">
        <v>20607</v>
      </c>
      <c r="C9330" s="10">
        <v>46052.0</v>
      </c>
      <c r="D9330" s="6" t="s">
        <v>289</v>
      </c>
      <c r="E9330" s="6" t="s">
        <v>618</v>
      </c>
      <c r="F9330" s="6" t="s">
        <v>249</v>
      </c>
      <c r="G9330" s="6" t="s">
        <v>452</v>
      </c>
      <c r="H9330" s="10">
        <v>46056.0</v>
      </c>
      <c r="I9330" s="12">
        <v>5.0</v>
      </c>
      <c r="J9330" s="6" t="s">
        <v>161</v>
      </c>
    </row>
    <row r="9331" ht="22.5" customHeight="1">
      <c r="A9331" s="6" t="s">
        <v>26139</v>
      </c>
      <c r="B9331" s="6" t="s">
        <v>20607</v>
      </c>
      <c r="C9331" s="10">
        <v>46054.0</v>
      </c>
      <c r="D9331" s="6" t="s">
        <v>677</v>
      </c>
      <c r="E9331" s="6" t="s">
        <v>246</v>
      </c>
      <c r="F9331" s="6" t="s">
        <v>249</v>
      </c>
      <c r="G9331" s="6" t="s">
        <v>326</v>
      </c>
      <c r="H9331" s="10">
        <v>46061.0</v>
      </c>
      <c r="I9331" s="12">
        <v>4.0</v>
      </c>
      <c r="J9331" s="6" t="s">
        <v>161</v>
      </c>
    </row>
    <row r="9332" ht="22.5" customHeight="1">
      <c r="A9332" s="6" t="s">
        <v>26140</v>
      </c>
      <c r="B9332" s="6" t="s">
        <v>20607</v>
      </c>
      <c r="C9332" s="10">
        <v>46066.0</v>
      </c>
      <c r="D9332" s="6" t="s">
        <v>677</v>
      </c>
      <c r="E9332" s="6" t="s">
        <v>863</v>
      </c>
      <c r="F9332" s="6" t="s">
        <v>249</v>
      </c>
      <c r="G9332" s="6" t="s">
        <v>297</v>
      </c>
      <c r="H9332" s="10">
        <v>46067.0</v>
      </c>
      <c r="I9332" s="12">
        <v>4.0</v>
      </c>
      <c r="J9332" s="6" t="s">
        <v>161</v>
      </c>
    </row>
    <row r="9333" ht="22.5" customHeight="1">
      <c r="A9333" s="6" t="s">
        <v>26141</v>
      </c>
      <c r="B9333" s="6" t="s">
        <v>20607</v>
      </c>
      <c r="C9333" s="10">
        <v>46047.0</v>
      </c>
      <c r="D9333" s="6" t="s">
        <v>242</v>
      </c>
      <c r="E9333" s="6" t="s">
        <v>1035</v>
      </c>
      <c r="F9333" s="6" t="s">
        <v>283</v>
      </c>
      <c r="G9333" s="6" t="s">
        <v>369</v>
      </c>
      <c r="H9333" s="10">
        <v>46049.0</v>
      </c>
      <c r="I9333" s="12">
        <v>3.0</v>
      </c>
      <c r="J9333" s="6" t="s">
        <v>178</v>
      </c>
    </row>
    <row r="9334" ht="22.5" customHeight="1">
      <c r="A9334" s="6" t="s">
        <v>26142</v>
      </c>
      <c r="B9334" s="6" t="s">
        <v>20607</v>
      </c>
      <c r="C9334" s="10">
        <v>46058.0</v>
      </c>
      <c r="D9334" s="6" t="s">
        <v>416</v>
      </c>
      <c r="E9334" s="6" t="s">
        <v>618</v>
      </c>
      <c r="F9334" s="6" t="s">
        <v>112</v>
      </c>
      <c r="G9334" s="6" t="s">
        <v>452</v>
      </c>
      <c r="H9334" s="10">
        <v>46064.0</v>
      </c>
      <c r="I9334" s="12">
        <v>13.0</v>
      </c>
      <c r="J9334" s="6" t="s">
        <v>161</v>
      </c>
    </row>
    <row r="9335" ht="22.5" customHeight="1">
      <c r="A9335" s="6" t="s">
        <v>26143</v>
      </c>
      <c r="B9335" s="6" t="s">
        <v>20613</v>
      </c>
      <c r="C9335" s="10">
        <v>46051.0</v>
      </c>
      <c r="D9335" s="6" t="s">
        <v>436</v>
      </c>
      <c r="E9335" s="6" t="s">
        <v>955</v>
      </c>
      <c r="F9335" s="6" t="s">
        <v>112</v>
      </c>
      <c r="G9335" s="6" t="s">
        <v>494</v>
      </c>
      <c r="H9335" s="10">
        <v>46055.0</v>
      </c>
      <c r="I9335" s="12">
        <v>7.0</v>
      </c>
      <c r="J9335" s="6" t="s">
        <v>178</v>
      </c>
    </row>
    <row r="9336" ht="22.5" customHeight="1">
      <c r="A9336" s="6" t="s">
        <v>26144</v>
      </c>
      <c r="B9336" s="6" t="s">
        <v>20613</v>
      </c>
      <c r="C9336" s="10">
        <v>46050.0</v>
      </c>
      <c r="D9336" s="6" t="s">
        <v>391</v>
      </c>
      <c r="E9336" s="6" t="s">
        <v>687</v>
      </c>
      <c r="F9336" s="6" t="s">
        <v>112</v>
      </c>
      <c r="G9336" s="6" t="s">
        <v>452</v>
      </c>
      <c r="H9336" s="10">
        <v>46053.0</v>
      </c>
      <c r="I9336" s="12">
        <v>10.0</v>
      </c>
      <c r="J9336" s="6" t="s">
        <v>161</v>
      </c>
    </row>
    <row r="9337" ht="22.5" customHeight="1">
      <c r="A9337" s="6" t="s">
        <v>26145</v>
      </c>
      <c r="B9337" s="6" t="s">
        <v>20613</v>
      </c>
      <c r="C9337" s="10">
        <v>46054.0</v>
      </c>
      <c r="D9337" s="6" t="s">
        <v>677</v>
      </c>
      <c r="E9337" s="6" t="s">
        <v>438</v>
      </c>
      <c r="F9337" s="6" t="s">
        <v>249</v>
      </c>
      <c r="G9337" s="6" t="s">
        <v>458</v>
      </c>
      <c r="H9337" s="10">
        <v>46060.0</v>
      </c>
      <c r="I9337" s="12">
        <v>2.0</v>
      </c>
      <c r="J9337" s="6" t="s">
        <v>161</v>
      </c>
    </row>
    <row r="9338" ht="22.5" customHeight="1">
      <c r="A9338" s="6" t="s">
        <v>26146</v>
      </c>
      <c r="B9338" s="6" t="s">
        <v>20613</v>
      </c>
      <c r="C9338" s="10">
        <v>46068.0</v>
      </c>
      <c r="D9338" s="6" t="s">
        <v>312</v>
      </c>
      <c r="E9338" s="6" t="s">
        <v>628</v>
      </c>
      <c r="F9338" s="6" t="s">
        <v>249</v>
      </c>
      <c r="G9338" s="6" t="s">
        <v>297</v>
      </c>
      <c r="H9338" s="10">
        <v>46070.0</v>
      </c>
      <c r="I9338" s="12">
        <v>4.0</v>
      </c>
      <c r="J9338" s="6" t="s">
        <v>161</v>
      </c>
    </row>
    <row r="9339" ht="22.5" customHeight="1">
      <c r="A9339" s="6" t="s">
        <v>26147</v>
      </c>
      <c r="B9339" s="6" t="s">
        <v>20621</v>
      </c>
      <c r="C9339" s="10">
        <v>46059.0</v>
      </c>
      <c r="D9339" s="6" t="s">
        <v>416</v>
      </c>
      <c r="E9339" s="6" t="s">
        <v>731</v>
      </c>
      <c r="F9339" s="6" t="s">
        <v>112</v>
      </c>
      <c r="G9339" s="6" t="s">
        <v>452</v>
      </c>
      <c r="H9339" s="10">
        <v>46059.0</v>
      </c>
      <c r="I9339" s="12">
        <v>10.0</v>
      </c>
      <c r="J9339" s="6" t="s">
        <v>161</v>
      </c>
    </row>
    <row r="9340" ht="22.5" customHeight="1">
      <c r="A9340" s="6" t="s">
        <v>26148</v>
      </c>
      <c r="B9340" s="6" t="s">
        <v>20621</v>
      </c>
      <c r="C9340" s="10">
        <v>46056.0</v>
      </c>
      <c r="D9340" s="6" t="s">
        <v>416</v>
      </c>
      <c r="E9340" s="6" t="s">
        <v>512</v>
      </c>
      <c r="F9340" s="6" t="s">
        <v>283</v>
      </c>
      <c r="G9340" s="6" t="s">
        <v>494</v>
      </c>
      <c r="H9340" s="10">
        <v>46056.0</v>
      </c>
      <c r="I9340" s="12">
        <v>8.0</v>
      </c>
      <c r="J9340" s="6" t="s">
        <v>161</v>
      </c>
    </row>
    <row r="9341" ht="22.5" customHeight="1">
      <c r="A9341" s="6" t="s">
        <v>26149</v>
      </c>
      <c r="B9341" s="6" t="s">
        <v>20628</v>
      </c>
      <c r="C9341" s="10">
        <v>46049.0</v>
      </c>
      <c r="D9341" s="6" t="s">
        <v>436</v>
      </c>
      <c r="E9341" s="6" t="s">
        <v>955</v>
      </c>
      <c r="F9341" s="6" t="s">
        <v>112</v>
      </c>
      <c r="G9341" s="6" t="s">
        <v>477</v>
      </c>
      <c r="H9341" s="10">
        <v>46052.0</v>
      </c>
      <c r="I9341" s="12">
        <v>9.0</v>
      </c>
      <c r="J9341" s="6" t="s">
        <v>178</v>
      </c>
    </row>
    <row r="9342" ht="22.5" customHeight="1">
      <c r="A9342" s="6" t="s">
        <v>26150</v>
      </c>
      <c r="B9342" s="6" t="s">
        <v>20628</v>
      </c>
      <c r="C9342" s="10">
        <v>46047.0</v>
      </c>
      <c r="D9342" s="6" t="s">
        <v>436</v>
      </c>
      <c r="E9342" s="6" t="s">
        <v>1149</v>
      </c>
      <c r="F9342" s="6" t="s">
        <v>283</v>
      </c>
      <c r="G9342" s="6" t="s">
        <v>326</v>
      </c>
      <c r="H9342" s="10">
        <v>46053.0</v>
      </c>
      <c r="I9342" s="12">
        <v>7.0</v>
      </c>
      <c r="J9342" s="6" t="s">
        <v>161</v>
      </c>
    </row>
    <row r="9343" ht="22.5" customHeight="1">
      <c r="A9343" s="6" t="s">
        <v>26151</v>
      </c>
      <c r="B9343" s="6" t="s">
        <v>20635</v>
      </c>
      <c r="C9343" s="10">
        <v>46075.0</v>
      </c>
      <c r="D9343" s="6" t="s">
        <v>677</v>
      </c>
      <c r="E9343" s="6" t="s">
        <v>291</v>
      </c>
      <c r="F9343" s="6" t="s">
        <v>112</v>
      </c>
      <c r="G9343" s="6" t="s">
        <v>477</v>
      </c>
      <c r="H9343" s="10">
        <v>46077.0</v>
      </c>
      <c r="I9343" s="12">
        <v>4.0</v>
      </c>
      <c r="J9343" s="6" t="s">
        <v>161</v>
      </c>
    </row>
    <row r="9344" ht="22.5" customHeight="1">
      <c r="A9344" s="6" t="s">
        <v>26152</v>
      </c>
      <c r="B9344" s="6" t="s">
        <v>20635</v>
      </c>
      <c r="C9344" s="10">
        <v>46061.0</v>
      </c>
      <c r="D9344" s="6" t="s">
        <v>436</v>
      </c>
      <c r="E9344" s="6" t="s">
        <v>1600</v>
      </c>
      <c r="F9344" s="6" t="s">
        <v>112</v>
      </c>
      <c r="G9344" s="6" t="s">
        <v>326</v>
      </c>
      <c r="H9344" s="10">
        <v>46064.0</v>
      </c>
      <c r="I9344" s="12">
        <v>6.0</v>
      </c>
      <c r="J9344" s="6" t="s">
        <v>161</v>
      </c>
    </row>
    <row r="9345" ht="22.5" customHeight="1">
      <c r="A9345" s="6" t="s">
        <v>26153</v>
      </c>
      <c r="B9345" s="6" t="s">
        <v>20635</v>
      </c>
      <c r="C9345" s="10">
        <v>46062.0</v>
      </c>
      <c r="D9345" s="6" t="s">
        <v>312</v>
      </c>
      <c r="E9345" s="6" t="s">
        <v>618</v>
      </c>
      <c r="F9345" s="6" t="s">
        <v>112</v>
      </c>
      <c r="G9345" s="6" t="s">
        <v>458</v>
      </c>
      <c r="H9345" s="10">
        <v>46064.0</v>
      </c>
      <c r="I9345" s="12">
        <v>7.0</v>
      </c>
      <c r="J9345" s="6" t="s">
        <v>161</v>
      </c>
    </row>
    <row r="9346" ht="22.5" customHeight="1">
      <c r="A9346" s="6" t="s">
        <v>26154</v>
      </c>
      <c r="B9346" s="6" t="s">
        <v>20635</v>
      </c>
      <c r="C9346" s="10">
        <v>46060.0</v>
      </c>
      <c r="D9346" s="6" t="s">
        <v>677</v>
      </c>
      <c r="E9346" s="6" t="s">
        <v>1241</v>
      </c>
      <c r="F9346" s="6" t="s">
        <v>249</v>
      </c>
      <c r="G9346" s="6" t="s">
        <v>494</v>
      </c>
      <c r="H9346" s="10">
        <v>46066.0</v>
      </c>
      <c r="I9346" s="12">
        <v>2.0</v>
      </c>
      <c r="J9346" s="6" t="s">
        <v>161</v>
      </c>
    </row>
    <row r="9347" ht="22.5" customHeight="1">
      <c r="A9347" s="6" t="s">
        <v>26155</v>
      </c>
      <c r="B9347" s="6" t="s">
        <v>20635</v>
      </c>
      <c r="C9347" s="10">
        <v>46070.0</v>
      </c>
      <c r="D9347" s="6" t="s">
        <v>436</v>
      </c>
      <c r="E9347" s="6" t="s">
        <v>1600</v>
      </c>
      <c r="F9347" s="6" t="s">
        <v>283</v>
      </c>
      <c r="G9347" s="6" t="s">
        <v>477</v>
      </c>
      <c r="H9347" s="10">
        <v>46071.0</v>
      </c>
      <c r="I9347" s="12">
        <v>7.0</v>
      </c>
      <c r="J9347" s="6" t="s">
        <v>178</v>
      </c>
    </row>
    <row r="9348" ht="22.5" customHeight="1">
      <c r="A9348" s="6" t="s">
        <v>26156</v>
      </c>
      <c r="B9348" s="6" t="s">
        <v>20642</v>
      </c>
      <c r="C9348" s="10">
        <v>46063.0</v>
      </c>
      <c r="D9348" s="6" t="s">
        <v>436</v>
      </c>
      <c r="E9348" s="6" t="s">
        <v>1517</v>
      </c>
      <c r="F9348" s="6" t="s">
        <v>283</v>
      </c>
      <c r="G9348" s="6" t="s">
        <v>452</v>
      </c>
      <c r="H9348" s="11" t="s">
        <v>259</v>
      </c>
      <c r="I9348" s="12">
        <v>8.0</v>
      </c>
      <c r="J9348" s="6" t="s">
        <v>178</v>
      </c>
    </row>
    <row r="9349" ht="22.5" customHeight="1">
      <c r="A9349" s="6" t="s">
        <v>26157</v>
      </c>
      <c r="B9349" s="6" t="s">
        <v>20642</v>
      </c>
      <c r="C9349" s="10">
        <v>46044.0</v>
      </c>
      <c r="D9349" s="6" t="s">
        <v>416</v>
      </c>
      <c r="E9349" s="6" t="s">
        <v>798</v>
      </c>
      <c r="F9349" s="6" t="s">
        <v>439</v>
      </c>
      <c r="G9349" s="6" t="s">
        <v>369</v>
      </c>
      <c r="H9349" s="10">
        <v>46050.0</v>
      </c>
      <c r="I9349" s="12">
        <v>12.0</v>
      </c>
      <c r="J9349" s="6" t="s">
        <v>161</v>
      </c>
    </row>
    <row r="9350" ht="22.5" customHeight="1">
      <c r="A9350" s="6" t="s">
        <v>26158</v>
      </c>
      <c r="B9350" s="6" t="s">
        <v>20642</v>
      </c>
      <c r="C9350" s="10">
        <v>46051.0</v>
      </c>
      <c r="D9350" s="6" t="s">
        <v>391</v>
      </c>
      <c r="E9350" s="6" t="s">
        <v>628</v>
      </c>
      <c r="F9350" s="6" t="s">
        <v>249</v>
      </c>
      <c r="G9350" s="6" t="s">
        <v>477</v>
      </c>
      <c r="H9350" s="10">
        <v>46054.0</v>
      </c>
      <c r="I9350" s="12">
        <v>9.0</v>
      </c>
      <c r="J9350" s="6" t="s">
        <v>161</v>
      </c>
    </row>
    <row r="9351" ht="22.5" customHeight="1">
      <c r="A9351" s="6" t="s">
        <v>26159</v>
      </c>
      <c r="B9351" s="6" t="s">
        <v>20649</v>
      </c>
      <c r="C9351" s="10">
        <v>46060.0</v>
      </c>
      <c r="D9351" s="6" t="s">
        <v>242</v>
      </c>
      <c r="E9351" s="6" t="s">
        <v>628</v>
      </c>
      <c r="F9351" s="6" t="s">
        <v>283</v>
      </c>
      <c r="G9351" s="6" t="s">
        <v>369</v>
      </c>
      <c r="H9351" s="10">
        <v>46063.0</v>
      </c>
      <c r="I9351" s="12">
        <v>6.0</v>
      </c>
      <c r="J9351" s="6" t="s">
        <v>178</v>
      </c>
    </row>
    <row r="9352" ht="22.5" customHeight="1">
      <c r="A9352" s="6" t="s">
        <v>26160</v>
      </c>
      <c r="B9352" s="6" t="s">
        <v>20649</v>
      </c>
      <c r="C9352" s="10">
        <v>46067.0</v>
      </c>
      <c r="D9352" s="6" t="s">
        <v>312</v>
      </c>
      <c r="E9352" s="6" t="s">
        <v>438</v>
      </c>
      <c r="F9352" s="6" t="s">
        <v>439</v>
      </c>
      <c r="G9352" s="6" t="s">
        <v>326</v>
      </c>
      <c r="H9352" s="10">
        <v>46072.0</v>
      </c>
      <c r="I9352" s="12">
        <v>5.0</v>
      </c>
      <c r="J9352" s="6" t="s">
        <v>161</v>
      </c>
    </row>
    <row r="9353" ht="22.5" customHeight="1">
      <c r="A9353" s="6" t="s">
        <v>26161</v>
      </c>
      <c r="B9353" s="6" t="s">
        <v>20649</v>
      </c>
      <c r="C9353" s="10">
        <v>46051.0</v>
      </c>
      <c r="D9353" s="6" t="s">
        <v>436</v>
      </c>
      <c r="E9353" s="6" t="s">
        <v>438</v>
      </c>
      <c r="F9353" s="6" t="s">
        <v>249</v>
      </c>
      <c r="G9353" s="6" t="s">
        <v>297</v>
      </c>
      <c r="H9353" s="10">
        <v>46056.0</v>
      </c>
      <c r="I9353" s="12">
        <v>8.0</v>
      </c>
      <c r="J9353" s="6" t="s">
        <v>161</v>
      </c>
    </row>
    <row r="9354" ht="22.5" customHeight="1">
      <c r="A9354" s="6" t="s">
        <v>26162</v>
      </c>
      <c r="B9354" s="6" t="s">
        <v>20649</v>
      </c>
      <c r="C9354" s="10">
        <v>46066.0</v>
      </c>
      <c r="D9354" s="6" t="s">
        <v>312</v>
      </c>
      <c r="E9354" s="6" t="s">
        <v>1149</v>
      </c>
      <c r="F9354" s="6" t="s">
        <v>439</v>
      </c>
      <c r="G9354" s="6" t="s">
        <v>452</v>
      </c>
      <c r="H9354" s="10">
        <v>46071.0</v>
      </c>
      <c r="I9354" s="12">
        <v>7.0</v>
      </c>
      <c r="J9354" s="6" t="s">
        <v>161</v>
      </c>
    </row>
    <row r="9355" ht="22.5" customHeight="1">
      <c r="A9355" s="6" t="s">
        <v>26163</v>
      </c>
      <c r="B9355" s="6" t="s">
        <v>20649</v>
      </c>
      <c r="C9355" s="10">
        <v>46069.0</v>
      </c>
      <c r="D9355" s="6" t="s">
        <v>677</v>
      </c>
      <c r="E9355" s="6" t="s">
        <v>687</v>
      </c>
      <c r="F9355" s="6" t="s">
        <v>439</v>
      </c>
      <c r="G9355" s="6" t="s">
        <v>326</v>
      </c>
      <c r="H9355" s="10">
        <v>46072.0</v>
      </c>
      <c r="I9355" s="12">
        <v>4.0</v>
      </c>
      <c r="J9355" s="6" t="s">
        <v>161</v>
      </c>
    </row>
    <row r="9356" ht="22.5" customHeight="1">
      <c r="A9356" s="6" t="s">
        <v>26164</v>
      </c>
      <c r="B9356" s="6" t="s">
        <v>20655</v>
      </c>
      <c r="C9356" s="10">
        <v>46031.0</v>
      </c>
      <c r="D9356" s="6" t="s">
        <v>289</v>
      </c>
      <c r="E9356" s="6" t="s">
        <v>1273</v>
      </c>
      <c r="F9356" s="6" t="s">
        <v>439</v>
      </c>
      <c r="G9356" s="6" t="s">
        <v>326</v>
      </c>
      <c r="H9356" s="10">
        <v>46037.0</v>
      </c>
      <c r="I9356" s="12">
        <v>8.0</v>
      </c>
      <c r="J9356" s="6" t="s">
        <v>161</v>
      </c>
    </row>
    <row r="9357" ht="22.5" customHeight="1">
      <c r="A9357" s="6" t="s">
        <v>26165</v>
      </c>
      <c r="B9357" s="6" t="s">
        <v>20655</v>
      </c>
      <c r="C9357" s="10">
        <v>46032.0</v>
      </c>
      <c r="D9357" s="6" t="s">
        <v>436</v>
      </c>
      <c r="E9357" s="6" t="s">
        <v>812</v>
      </c>
      <c r="F9357" s="6" t="s">
        <v>283</v>
      </c>
      <c r="G9357" s="6" t="s">
        <v>494</v>
      </c>
      <c r="H9357" s="10">
        <v>46036.0</v>
      </c>
      <c r="I9357" s="12">
        <v>12.0</v>
      </c>
      <c r="J9357" s="6" t="s">
        <v>178</v>
      </c>
    </row>
    <row r="9358" ht="22.5" customHeight="1">
      <c r="A9358" s="6" t="s">
        <v>26166</v>
      </c>
      <c r="B9358" s="6" t="s">
        <v>20655</v>
      </c>
      <c r="C9358" s="10">
        <v>46036.0</v>
      </c>
      <c r="D9358" s="6" t="s">
        <v>416</v>
      </c>
      <c r="E9358" s="6" t="s">
        <v>704</v>
      </c>
      <c r="F9358" s="6" t="s">
        <v>283</v>
      </c>
      <c r="G9358" s="6" t="s">
        <v>452</v>
      </c>
      <c r="H9358" s="10">
        <v>46041.0</v>
      </c>
      <c r="I9358" s="12">
        <v>9.0</v>
      </c>
      <c r="J9358" s="6" t="s">
        <v>161</v>
      </c>
    </row>
    <row r="9359" ht="22.5" customHeight="1">
      <c r="A9359" s="6" t="s">
        <v>26167</v>
      </c>
      <c r="B9359" s="6" t="s">
        <v>20655</v>
      </c>
      <c r="C9359" s="10">
        <v>46033.0</v>
      </c>
      <c r="D9359" s="6" t="s">
        <v>436</v>
      </c>
      <c r="E9359" s="6" t="s">
        <v>1969</v>
      </c>
      <c r="F9359" s="6" t="s">
        <v>112</v>
      </c>
      <c r="G9359" s="6" t="s">
        <v>452</v>
      </c>
      <c r="H9359" s="10">
        <v>46035.0</v>
      </c>
      <c r="I9359" s="12">
        <v>12.0</v>
      </c>
      <c r="J9359" s="6" t="s">
        <v>178</v>
      </c>
    </row>
    <row r="9360" ht="22.5" customHeight="1">
      <c r="A9360" s="6" t="s">
        <v>26168</v>
      </c>
      <c r="B9360" s="6" t="s">
        <v>20655</v>
      </c>
      <c r="C9360" s="10">
        <v>46028.0</v>
      </c>
      <c r="D9360" s="6" t="s">
        <v>242</v>
      </c>
      <c r="E9360" s="6" t="s">
        <v>246</v>
      </c>
      <c r="F9360" s="6" t="s">
        <v>112</v>
      </c>
      <c r="G9360" s="6" t="s">
        <v>297</v>
      </c>
      <c r="H9360" s="10">
        <v>46030.0</v>
      </c>
      <c r="I9360" s="12">
        <v>3.0</v>
      </c>
      <c r="J9360" s="6" t="s">
        <v>178</v>
      </c>
    </row>
    <row r="9361" ht="22.5" customHeight="1">
      <c r="A9361" s="6" t="s">
        <v>26169</v>
      </c>
      <c r="B9361" s="6" t="s">
        <v>20661</v>
      </c>
      <c r="C9361" s="10">
        <v>46044.0</v>
      </c>
      <c r="D9361" s="6" t="s">
        <v>391</v>
      </c>
      <c r="E9361" s="6" t="s">
        <v>1070</v>
      </c>
      <c r="F9361" s="6" t="s">
        <v>112</v>
      </c>
      <c r="G9361" s="6" t="s">
        <v>458</v>
      </c>
      <c r="H9361" s="10">
        <v>46049.0</v>
      </c>
      <c r="I9361" s="12">
        <v>10.0</v>
      </c>
      <c r="J9361" s="6" t="s">
        <v>161</v>
      </c>
    </row>
    <row r="9362" ht="22.5" customHeight="1">
      <c r="A9362" s="6" t="s">
        <v>26170</v>
      </c>
      <c r="B9362" s="6" t="s">
        <v>20668</v>
      </c>
      <c r="C9362" s="10">
        <v>46066.0</v>
      </c>
      <c r="D9362" s="6" t="s">
        <v>242</v>
      </c>
      <c r="E9362" s="6" t="s">
        <v>566</v>
      </c>
      <c r="F9362" s="6" t="s">
        <v>112</v>
      </c>
      <c r="G9362" s="6" t="s">
        <v>254</v>
      </c>
      <c r="H9362" s="10">
        <v>46072.0</v>
      </c>
      <c r="I9362" s="12">
        <v>6.0</v>
      </c>
      <c r="J9362" s="6" t="s">
        <v>178</v>
      </c>
    </row>
    <row r="9363" ht="22.5" customHeight="1">
      <c r="A9363" s="6" t="s">
        <v>26171</v>
      </c>
      <c r="B9363" s="6" t="s">
        <v>20668</v>
      </c>
      <c r="C9363" s="10">
        <v>46067.0</v>
      </c>
      <c r="D9363" s="6" t="s">
        <v>312</v>
      </c>
      <c r="E9363" s="6" t="s">
        <v>1149</v>
      </c>
      <c r="F9363" s="6" t="s">
        <v>283</v>
      </c>
      <c r="G9363" s="6" t="s">
        <v>458</v>
      </c>
      <c r="H9363" s="10">
        <v>46071.0</v>
      </c>
      <c r="I9363" s="12">
        <v>7.0</v>
      </c>
      <c r="J9363" s="6" t="s">
        <v>161</v>
      </c>
    </row>
    <row r="9364" ht="22.5" customHeight="1">
      <c r="A9364" s="6" t="s">
        <v>26172</v>
      </c>
      <c r="B9364" s="6" t="s">
        <v>20668</v>
      </c>
      <c r="C9364" s="10">
        <v>46078.0</v>
      </c>
      <c r="D9364" s="6" t="s">
        <v>289</v>
      </c>
      <c r="E9364" s="6" t="s">
        <v>716</v>
      </c>
      <c r="F9364" s="6" t="s">
        <v>439</v>
      </c>
      <c r="G9364" s="6" t="s">
        <v>452</v>
      </c>
      <c r="H9364" s="10">
        <v>46082.0</v>
      </c>
      <c r="I9364" s="12">
        <v>9.0</v>
      </c>
      <c r="J9364" s="6" t="s">
        <v>161</v>
      </c>
    </row>
    <row r="9365" ht="22.5" customHeight="1">
      <c r="A9365" s="6" t="s">
        <v>26173</v>
      </c>
      <c r="B9365" s="6" t="s">
        <v>20675</v>
      </c>
      <c r="C9365" s="10">
        <v>46036.0</v>
      </c>
      <c r="D9365" s="6" t="s">
        <v>416</v>
      </c>
      <c r="E9365" s="6" t="s">
        <v>512</v>
      </c>
      <c r="F9365" s="6" t="s">
        <v>249</v>
      </c>
      <c r="G9365" s="6" t="s">
        <v>452</v>
      </c>
      <c r="H9365" s="11" t="s">
        <v>259</v>
      </c>
      <c r="I9365" s="12">
        <v>14.0</v>
      </c>
      <c r="J9365" s="6" t="s">
        <v>161</v>
      </c>
    </row>
    <row r="9366" ht="22.5" customHeight="1">
      <c r="A9366" s="6" t="s">
        <v>26174</v>
      </c>
      <c r="B9366" s="6" t="s">
        <v>20675</v>
      </c>
      <c r="C9366" s="10">
        <v>46030.0</v>
      </c>
      <c r="D9366" s="6" t="s">
        <v>312</v>
      </c>
      <c r="E9366" s="6" t="s">
        <v>1296</v>
      </c>
      <c r="F9366" s="6" t="s">
        <v>439</v>
      </c>
      <c r="G9366" s="6" t="s">
        <v>254</v>
      </c>
      <c r="H9366" s="10">
        <v>46035.0</v>
      </c>
      <c r="I9366" s="12">
        <v>4.0</v>
      </c>
      <c r="J9366" s="6" t="s">
        <v>161</v>
      </c>
    </row>
    <row r="9367" ht="22.5" customHeight="1">
      <c r="A9367" s="6" t="s">
        <v>26175</v>
      </c>
      <c r="B9367" s="6" t="s">
        <v>20675</v>
      </c>
      <c r="C9367" s="10">
        <v>46033.0</v>
      </c>
      <c r="D9367" s="6" t="s">
        <v>436</v>
      </c>
      <c r="E9367" s="6" t="s">
        <v>1741</v>
      </c>
      <c r="F9367" s="6" t="s">
        <v>283</v>
      </c>
      <c r="G9367" s="6" t="s">
        <v>326</v>
      </c>
      <c r="H9367" s="10">
        <v>46040.0</v>
      </c>
      <c r="I9367" s="12">
        <v>10.0</v>
      </c>
      <c r="J9367" s="6" t="s">
        <v>178</v>
      </c>
    </row>
    <row r="9368" ht="22.5" customHeight="1">
      <c r="A9368" s="6" t="s">
        <v>26176</v>
      </c>
      <c r="B9368" s="6" t="s">
        <v>20675</v>
      </c>
      <c r="C9368" s="10">
        <v>46026.0</v>
      </c>
      <c r="D9368" s="6" t="s">
        <v>242</v>
      </c>
      <c r="E9368" s="6" t="s">
        <v>955</v>
      </c>
      <c r="F9368" s="6" t="s">
        <v>112</v>
      </c>
      <c r="G9368" s="6" t="s">
        <v>494</v>
      </c>
      <c r="H9368" s="10">
        <v>46026.0</v>
      </c>
      <c r="I9368" s="12">
        <v>3.0</v>
      </c>
      <c r="J9368" s="6" t="s">
        <v>161</v>
      </c>
    </row>
    <row r="9369" ht="22.5" customHeight="1">
      <c r="A9369" s="6" t="s">
        <v>26177</v>
      </c>
      <c r="B9369" s="6" t="s">
        <v>20681</v>
      </c>
      <c r="C9369" s="10">
        <v>46064.0</v>
      </c>
      <c r="D9369" s="6" t="s">
        <v>312</v>
      </c>
      <c r="E9369" s="6" t="s">
        <v>1310</v>
      </c>
      <c r="F9369" s="6" t="s">
        <v>283</v>
      </c>
      <c r="G9369" s="6" t="s">
        <v>369</v>
      </c>
      <c r="H9369" s="10">
        <v>46068.0</v>
      </c>
      <c r="I9369" s="12">
        <v>5.0</v>
      </c>
      <c r="J9369" s="6" t="s">
        <v>161</v>
      </c>
    </row>
    <row r="9370" ht="22.5" customHeight="1">
      <c r="A9370" s="6" t="s">
        <v>26178</v>
      </c>
      <c r="B9370" s="6" t="s">
        <v>20681</v>
      </c>
      <c r="C9370" s="10">
        <v>46064.0</v>
      </c>
      <c r="D9370" s="6" t="s">
        <v>391</v>
      </c>
      <c r="E9370" s="6" t="s">
        <v>885</v>
      </c>
      <c r="F9370" s="6" t="s">
        <v>283</v>
      </c>
      <c r="G9370" s="6" t="s">
        <v>494</v>
      </c>
      <c r="H9370" s="11" t="s">
        <v>259</v>
      </c>
      <c r="I9370" s="12">
        <v>9.0</v>
      </c>
      <c r="J9370" s="6" t="s">
        <v>161</v>
      </c>
    </row>
    <row r="9371" ht="22.5" customHeight="1">
      <c r="A9371" s="6" t="s">
        <v>26179</v>
      </c>
      <c r="B9371" s="6" t="s">
        <v>20681</v>
      </c>
      <c r="C9371" s="10">
        <v>46066.0</v>
      </c>
      <c r="D9371" s="6" t="s">
        <v>242</v>
      </c>
      <c r="E9371" s="6" t="s">
        <v>670</v>
      </c>
      <c r="F9371" s="6" t="s">
        <v>249</v>
      </c>
      <c r="G9371" s="6" t="s">
        <v>297</v>
      </c>
      <c r="H9371" s="10">
        <v>46072.0</v>
      </c>
      <c r="I9371" s="12">
        <v>3.0</v>
      </c>
      <c r="J9371" s="6" t="s">
        <v>161</v>
      </c>
    </row>
    <row r="9372" ht="22.5" customHeight="1">
      <c r="A9372" s="6" t="s">
        <v>26180</v>
      </c>
      <c r="B9372" s="6" t="s">
        <v>20681</v>
      </c>
      <c r="C9372" s="10">
        <v>46066.0</v>
      </c>
      <c r="D9372" s="6" t="s">
        <v>391</v>
      </c>
      <c r="E9372" s="6" t="s">
        <v>955</v>
      </c>
      <c r="F9372" s="6" t="s">
        <v>283</v>
      </c>
      <c r="G9372" s="6" t="s">
        <v>297</v>
      </c>
      <c r="H9372" s="10">
        <v>46068.0</v>
      </c>
      <c r="I9372" s="12">
        <v>9.0</v>
      </c>
      <c r="J9372" s="6" t="s">
        <v>161</v>
      </c>
    </row>
    <row r="9373" ht="22.5" customHeight="1">
      <c r="A9373" s="6" t="s">
        <v>26181</v>
      </c>
      <c r="B9373" s="6" t="s">
        <v>20688</v>
      </c>
      <c r="C9373" s="10">
        <v>46024.0</v>
      </c>
      <c r="D9373" s="6" t="s">
        <v>289</v>
      </c>
      <c r="E9373" s="6" t="s">
        <v>320</v>
      </c>
      <c r="F9373" s="6" t="s">
        <v>112</v>
      </c>
      <c r="G9373" s="6" t="s">
        <v>369</v>
      </c>
      <c r="H9373" s="10">
        <v>46028.0</v>
      </c>
      <c r="I9373" s="12">
        <v>8.0</v>
      </c>
      <c r="J9373" s="6" t="s">
        <v>161</v>
      </c>
    </row>
    <row r="9374" ht="22.5" customHeight="1">
      <c r="A9374" s="6" t="s">
        <v>26182</v>
      </c>
      <c r="B9374" s="6" t="s">
        <v>20688</v>
      </c>
      <c r="C9374" s="10">
        <v>46039.0</v>
      </c>
      <c r="D9374" s="6" t="s">
        <v>391</v>
      </c>
      <c r="E9374" s="6" t="s">
        <v>955</v>
      </c>
      <c r="F9374" s="6" t="s">
        <v>283</v>
      </c>
      <c r="G9374" s="6" t="s">
        <v>458</v>
      </c>
      <c r="H9374" s="10">
        <v>46043.0</v>
      </c>
      <c r="I9374" s="12">
        <v>8.0</v>
      </c>
      <c r="J9374" s="6" t="s">
        <v>161</v>
      </c>
    </row>
    <row r="9375" ht="22.5" customHeight="1">
      <c r="A9375" s="6" t="s">
        <v>26183</v>
      </c>
      <c r="B9375" s="6" t="s">
        <v>20694</v>
      </c>
      <c r="C9375" s="10">
        <v>46037.0</v>
      </c>
      <c r="D9375" s="6" t="s">
        <v>242</v>
      </c>
      <c r="E9375" s="6" t="s">
        <v>1700</v>
      </c>
      <c r="F9375" s="6" t="s">
        <v>283</v>
      </c>
      <c r="G9375" s="6" t="s">
        <v>494</v>
      </c>
      <c r="H9375" s="10">
        <v>46044.0</v>
      </c>
      <c r="I9375" s="12">
        <v>5.0</v>
      </c>
      <c r="J9375" s="6" t="s">
        <v>178</v>
      </c>
    </row>
    <row r="9376" ht="22.5" customHeight="1">
      <c r="A9376" s="6" t="s">
        <v>26184</v>
      </c>
      <c r="B9376" s="6" t="s">
        <v>20694</v>
      </c>
      <c r="C9376" s="10">
        <v>46032.0</v>
      </c>
      <c r="D9376" s="6" t="s">
        <v>312</v>
      </c>
      <c r="E9376" s="6" t="s">
        <v>1035</v>
      </c>
      <c r="F9376" s="6" t="s">
        <v>283</v>
      </c>
      <c r="G9376" s="6" t="s">
        <v>297</v>
      </c>
      <c r="H9376" s="10">
        <v>46036.0</v>
      </c>
      <c r="I9376" s="12">
        <v>4.0</v>
      </c>
      <c r="J9376" s="6" t="s">
        <v>161</v>
      </c>
    </row>
    <row r="9377" ht="22.5" customHeight="1">
      <c r="A9377" s="6" t="s">
        <v>26185</v>
      </c>
      <c r="B9377" s="6" t="s">
        <v>20701</v>
      </c>
      <c r="C9377" s="10">
        <v>46074.0</v>
      </c>
      <c r="D9377" s="6" t="s">
        <v>312</v>
      </c>
      <c r="E9377" s="6" t="s">
        <v>731</v>
      </c>
      <c r="F9377" s="6" t="s">
        <v>283</v>
      </c>
      <c r="G9377" s="6" t="s">
        <v>494</v>
      </c>
      <c r="H9377" s="11" t="s">
        <v>259</v>
      </c>
      <c r="I9377" s="12">
        <v>7.0</v>
      </c>
      <c r="J9377" s="6" t="s">
        <v>161</v>
      </c>
    </row>
    <row r="9378" ht="22.5" customHeight="1">
      <c r="A9378" s="6" t="s">
        <v>26186</v>
      </c>
      <c r="B9378" s="6" t="s">
        <v>20707</v>
      </c>
      <c r="C9378" s="10">
        <v>46038.0</v>
      </c>
      <c r="D9378" s="6" t="s">
        <v>391</v>
      </c>
      <c r="E9378" s="6" t="s">
        <v>2881</v>
      </c>
      <c r="F9378" s="6" t="s">
        <v>112</v>
      </c>
      <c r="G9378" s="6" t="s">
        <v>452</v>
      </c>
      <c r="H9378" s="10">
        <v>46041.0</v>
      </c>
      <c r="I9378" s="12">
        <v>6.0</v>
      </c>
      <c r="J9378" s="6" t="s">
        <v>161</v>
      </c>
    </row>
    <row r="9379" ht="22.5" customHeight="1">
      <c r="A9379" s="6" t="s">
        <v>26187</v>
      </c>
      <c r="B9379" s="6" t="s">
        <v>20707</v>
      </c>
      <c r="C9379" s="10">
        <v>46050.0</v>
      </c>
      <c r="D9379" s="6" t="s">
        <v>416</v>
      </c>
      <c r="E9379" s="6" t="s">
        <v>466</v>
      </c>
      <c r="F9379" s="6" t="s">
        <v>112</v>
      </c>
      <c r="G9379" s="6" t="s">
        <v>254</v>
      </c>
      <c r="H9379" s="10">
        <v>46054.0</v>
      </c>
      <c r="I9379" s="12">
        <v>13.0</v>
      </c>
      <c r="J9379" s="6" t="s">
        <v>161</v>
      </c>
    </row>
    <row r="9380" ht="22.5" customHeight="1">
      <c r="A9380" s="6" t="s">
        <v>26188</v>
      </c>
      <c r="B9380" s="6" t="s">
        <v>20707</v>
      </c>
      <c r="C9380" s="10">
        <v>46041.0</v>
      </c>
      <c r="D9380" s="6" t="s">
        <v>416</v>
      </c>
      <c r="E9380" s="6" t="s">
        <v>583</v>
      </c>
      <c r="F9380" s="6" t="s">
        <v>249</v>
      </c>
      <c r="G9380" s="6" t="s">
        <v>326</v>
      </c>
      <c r="H9380" s="10">
        <v>46048.0</v>
      </c>
      <c r="I9380" s="12">
        <v>12.0</v>
      </c>
      <c r="J9380" s="6" t="s">
        <v>161</v>
      </c>
    </row>
    <row r="9381" ht="22.5" customHeight="1">
      <c r="A9381" s="6" t="s">
        <v>26189</v>
      </c>
      <c r="B9381" s="6" t="s">
        <v>20707</v>
      </c>
      <c r="C9381" s="10">
        <v>46036.0</v>
      </c>
      <c r="D9381" s="6" t="s">
        <v>242</v>
      </c>
      <c r="E9381" s="6" t="s">
        <v>687</v>
      </c>
      <c r="F9381" s="6" t="s">
        <v>112</v>
      </c>
      <c r="G9381" s="6" t="s">
        <v>477</v>
      </c>
      <c r="H9381" s="10">
        <v>46037.0</v>
      </c>
      <c r="I9381" s="12">
        <v>4.0</v>
      </c>
      <c r="J9381" s="6" t="s">
        <v>178</v>
      </c>
    </row>
    <row r="9382" ht="22.5" customHeight="1">
      <c r="A9382" s="6" t="s">
        <v>26190</v>
      </c>
      <c r="B9382" s="6" t="s">
        <v>20707</v>
      </c>
      <c r="C9382" s="10">
        <v>46049.0</v>
      </c>
      <c r="D9382" s="6" t="s">
        <v>677</v>
      </c>
      <c r="E9382" s="6" t="s">
        <v>475</v>
      </c>
      <c r="F9382" s="6" t="s">
        <v>439</v>
      </c>
      <c r="G9382" s="6" t="s">
        <v>297</v>
      </c>
      <c r="H9382" s="10">
        <v>46053.0</v>
      </c>
      <c r="I9382" s="12">
        <v>2.0</v>
      </c>
      <c r="J9382" s="6" t="s">
        <v>161</v>
      </c>
    </row>
    <row r="9383" ht="22.5" customHeight="1">
      <c r="A9383" s="6" t="s">
        <v>26191</v>
      </c>
      <c r="B9383" s="6" t="s">
        <v>20713</v>
      </c>
      <c r="C9383" s="10">
        <v>46067.0</v>
      </c>
      <c r="D9383" s="6" t="s">
        <v>289</v>
      </c>
      <c r="E9383" s="6" t="s">
        <v>716</v>
      </c>
      <c r="F9383" s="6" t="s">
        <v>249</v>
      </c>
      <c r="G9383" s="6" t="s">
        <v>326</v>
      </c>
      <c r="H9383" s="10">
        <v>46067.0</v>
      </c>
      <c r="I9383" s="12">
        <v>10.0</v>
      </c>
      <c r="J9383" s="6" t="s">
        <v>161</v>
      </c>
    </row>
    <row r="9384" ht="22.5" customHeight="1">
      <c r="A9384" s="6" t="s">
        <v>26192</v>
      </c>
      <c r="B9384" s="6" t="s">
        <v>20721</v>
      </c>
      <c r="C9384" s="10">
        <v>46068.0</v>
      </c>
      <c r="D9384" s="6" t="s">
        <v>289</v>
      </c>
      <c r="E9384" s="6" t="s">
        <v>704</v>
      </c>
      <c r="F9384" s="6" t="s">
        <v>439</v>
      </c>
      <c r="G9384" s="6" t="s">
        <v>369</v>
      </c>
      <c r="H9384" s="10">
        <v>46073.0</v>
      </c>
      <c r="I9384" s="12">
        <v>10.0</v>
      </c>
      <c r="J9384" s="6" t="s">
        <v>161</v>
      </c>
    </row>
    <row r="9385" ht="22.5" customHeight="1">
      <c r="A9385" s="6" t="s">
        <v>26193</v>
      </c>
      <c r="B9385" s="6" t="s">
        <v>20728</v>
      </c>
      <c r="C9385" s="10">
        <v>46069.0</v>
      </c>
      <c r="D9385" s="6" t="s">
        <v>677</v>
      </c>
      <c r="E9385" s="6" t="s">
        <v>450</v>
      </c>
      <c r="F9385" s="6" t="s">
        <v>439</v>
      </c>
      <c r="G9385" s="6" t="s">
        <v>458</v>
      </c>
      <c r="H9385" s="10">
        <v>46073.0</v>
      </c>
      <c r="I9385" s="12">
        <v>3.0</v>
      </c>
      <c r="J9385" s="6" t="s">
        <v>161</v>
      </c>
    </row>
    <row r="9386" ht="22.5" customHeight="1">
      <c r="A9386" s="6" t="s">
        <v>26194</v>
      </c>
      <c r="B9386" s="6" t="s">
        <v>20735</v>
      </c>
      <c r="C9386" s="10">
        <v>46048.0</v>
      </c>
      <c r="D9386" s="6" t="s">
        <v>289</v>
      </c>
      <c r="E9386" s="6" t="s">
        <v>1122</v>
      </c>
      <c r="F9386" s="6" t="s">
        <v>112</v>
      </c>
      <c r="G9386" s="6" t="s">
        <v>494</v>
      </c>
      <c r="H9386" s="11" t="s">
        <v>259</v>
      </c>
      <c r="I9386" s="12">
        <v>10.0</v>
      </c>
      <c r="J9386" s="6" t="s">
        <v>161</v>
      </c>
    </row>
    <row r="9387" ht="22.5" customHeight="1">
      <c r="A9387" s="6" t="s">
        <v>26195</v>
      </c>
      <c r="B9387" s="6" t="s">
        <v>20735</v>
      </c>
      <c r="C9387" s="10">
        <v>46045.0</v>
      </c>
      <c r="D9387" s="6" t="s">
        <v>416</v>
      </c>
      <c r="E9387" s="6" t="s">
        <v>1055</v>
      </c>
      <c r="F9387" s="6" t="s">
        <v>439</v>
      </c>
      <c r="G9387" s="6" t="s">
        <v>369</v>
      </c>
      <c r="H9387" s="10">
        <v>46051.0</v>
      </c>
      <c r="I9387" s="12">
        <v>9.0</v>
      </c>
      <c r="J9387" s="6" t="s">
        <v>161</v>
      </c>
    </row>
    <row r="9388" ht="22.5" customHeight="1">
      <c r="A9388" s="6" t="s">
        <v>26196</v>
      </c>
      <c r="B9388" s="6" t="s">
        <v>20735</v>
      </c>
      <c r="C9388" s="10">
        <v>46053.0</v>
      </c>
      <c r="D9388" s="6" t="s">
        <v>436</v>
      </c>
      <c r="E9388" s="6" t="s">
        <v>704</v>
      </c>
      <c r="F9388" s="6" t="s">
        <v>283</v>
      </c>
      <c r="G9388" s="6" t="s">
        <v>326</v>
      </c>
      <c r="H9388" s="10">
        <v>46059.0</v>
      </c>
      <c r="I9388" s="12">
        <v>12.0</v>
      </c>
      <c r="J9388" s="6" t="s">
        <v>161</v>
      </c>
    </row>
    <row r="9389" ht="22.5" customHeight="1">
      <c r="A9389" s="6" t="s">
        <v>26197</v>
      </c>
      <c r="B9389" s="6" t="s">
        <v>20743</v>
      </c>
      <c r="C9389" s="10">
        <v>46028.0</v>
      </c>
      <c r="D9389" s="6" t="s">
        <v>677</v>
      </c>
      <c r="E9389" s="6" t="s">
        <v>716</v>
      </c>
      <c r="F9389" s="6" t="s">
        <v>249</v>
      </c>
      <c r="G9389" s="6" t="s">
        <v>458</v>
      </c>
      <c r="H9389" s="10">
        <v>46028.0</v>
      </c>
      <c r="I9389" s="12">
        <v>2.0</v>
      </c>
      <c r="J9389" s="6" t="s">
        <v>161</v>
      </c>
    </row>
    <row r="9390" ht="22.5" customHeight="1">
      <c r="A9390" s="6" t="s">
        <v>26198</v>
      </c>
      <c r="B9390" s="6" t="s">
        <v>20743</v>
      </c>
      <c r="C9390" s="10">
        <v>46041.0</v>
      </c>
      <c r="D9390" s="6" t="s">
        <v>677</v>
      </c>
      <c r="E9390" s="6" t="s">
        <v>1720</v>
      </c>
      <c r="F9390" s="6" t="s">
        <v>439</v>
      </c>
      <c r="G9390" s="6" t="s">
        <v>326</v>
      </c>
      <c r="H9390" s="10">
        <v>46041.0</v>
      </c>
      <c r="I9390" s="12">
        <v>2.0</v>
      </c>
      <c r="J9390" s="6" t="s">
        <v>161</v>
      </c>
    </row>
    <row r="9391" ht="22.5" customHeight="1">
      <c r="A9391" s="6" t="s">
        <v>26199</v>
      </c>
      <c r="B9391" s="6" t="s">
        <v>20743</v>
      </c>
      <c r="C9391" s="10">
        <v>46037.0</v>
      </c>
      <c r="D9391" s="6" t="s">
        <v>289</v>
      </c>
      <c r="E9391" s="6" t="s">
        <v>1241</v>
      </c>
      <c r="F9391" s="6" t="s">
        <v>283</v>
      </c>
      <c r="G9391" s="6" t="s">
        <v>369</v>
      </c>
      <c r="H9391" s="10">
        <v>46043.0</v>
      </c>
      <c r="I9391" s="12">
        <v>6.0</v>
      </c>
      <c r="J9391" s="6" t="s">
        <v>161</v>
      </c>
    </row>
    <row r="9392" ht="22.5" customHeight="1">
      <c r="A9392" s="6" t="s">
        <v>26200</v>
      </c>
      <c r="B9392" s="6" t="s">
        <v>20743</v>
      </c>
      <c r="C9392" s="10">
        <v>46043.0</v>
      </c>
      <c r="D9392" s="6" t="s">
        <v>242</v>
      </c>
      <c r="E9392" s="6" t="s">
        <v>246</v>
      </c>
      <c r="F9392" s="6" t="s">
        <v>283</v>
      </c>
      <c r="G9392" s="6" t="s">
        <v>254</v>
      </c>
      <c r="H9392" s="11" t="s">
        <v>259</v>
      </c>
      <c r="I9392" s="12">
        <v>3.0</v>
      </c>
      <c r="J9392" s="6" t="s">
        <v>178</v>
      </c>
    </row>
    <row r="9393" ht="22.5" customHeight="1">
      <c r="A9393" s="6" t="s">
        <v>26201</v>
      </c>
      <c r="B9393" s="6" t="s">
        <v>20750</v>
      </c>
      <c r="C9393" s="10">
        <v>46068.0</v>
      </c>
      <c r="D9393" s="6" t="s">
        <v>242</v>
      </c>
      <c r="E9393" s="6" t="s">
        <v>955</v>
      </c>
      <c r="F9393" s="6" t="s">
        <v>283</v>
      </c>
      <c r="G9393" s="6" t="s">
        <v>494</v>
      </c>
      <c r="H9393" s="10">
        <v>46075.0</v>
      </c>
      <c r="I9393" s="12">
        <v>5.0</v>
      </c>
      <c r="J9393" s="6" t="s">
        <v>161</v>
      </c>
    </row>
    <row r="9394" ht="22.5" customHeight="1">
      <c r="A9394" s="6" t="s">
        <v>26202</v>
      </c>
      <c r="B9394" s="6" t="s">
        <v>20758</v>
      </c>
      <c r="C9394" s="10">
        <v>46076.0</v>
      </c>
      <c r="D9394" s="6" t="s">
        <v>677</v>
      </c>
      <c r="E9394" s="6" t="s">
        <v>798</v>
      </c>
      <c r="F9394" s="6" t="s">
        <v>112</v>
      </c>
      <c r="G9394" s="6" t="s">
        <v>297</v>
      </c>
      <c r="H9394" s="10">
        <v>46083.0</v>
      </c>
      <c r="I9394" s="12">
        <v>3.0</v>
      </c>
      <c r="J9394" s="6" t="s">
        <v>161</v>
      </c>
    </row>
    <row r="9395" ht="22.5" customHeight="1">
      <c r="A9395" s="6" t="s">
        <v>26203</v>
      </c>
      <c r="B9395" s="6" t="s">
        <v>20758</v>
      </c>
      <c r="C9395" s="10">
        <v>46071.0</v>
      </c>
      <c r="D9395" s="6" t="s">
        <v>242</v>
      </c>
      <c r="E9395" s="6" t="s">
        <v>450</v>
      </c>
      <c r="F9395" s="6" t="s">
        <v>112</v>
      </c>
      <c r="G9395" s="6" t="s">
        <v>458</v>
      </c>
      <c r="H9395" s="10">
        <v>46073.0</v>
      </c>
      <c r="I9395" s="12">
        <v>5.0</v>
      </c>
      <c r="J9395" s="6" t="s">
        <v>178</v>
      </c>
    </row>
    <row r="9396" ht="22.5" customHeight="1">
      <c r="A9396" s="6" t="s">
        <v>26204</v>
      </c>
      <c r="B9396" s="6" t="s">
        <v>20758</v>
      </c>
      <c r="C9396" s="10">
        <v>46078.0</v>
      </c>
      <c r="D9396" s="6" t="s">
        <v>416</v>
      </c>
      <c r="E9396" s="6" t="s">
        <v>1626</v>
      </c>
      <c r="F9396" s="6" t="s">
        <v>439</v>
      </c>
      <c r="G9396" s="6" t="s">
        <v>494</v>
      </c>
      <c r="H9396" s="10">
        <v>46084.0</v>
      </c>
      <c r="I9396" s="12">
        <v>12.0</v>
      </c>
      <c r="J9396" s="6" t="s">
        <v>161</v>
      </c>
    </row>
    <row r="9397" ht="22.5" customHeight="1">
      <c r="A9397" s="6" t="s">
        <v>26205</v>
      </c>
      <c r="B9397" s="6" t="s">
        <v>20758</v>
      </c>
      <c r="C9397" s="10">
        <v>46083.0</v>
      </c>
      <c r="D9397" s="6" t="s">
        <v>289</v>
      </c>
      <c r="E9397" s="6" t="s">
        <v>618</v>
      </c>
      <c r="F9397" s="6" t="s">
        <v>439</v>
      </c>
      <c r="G9397" s="6" t="s">
        <v>458</v>
      </c>
      <c r="H9397" s="10">
        <v>46089.0</v>
      </c>
      <c r="I9397" s="12">
        <v>8.0</v>
      </c>
      <c r="J9397" s="6" t="s">
        <v>161</v>
      </c>
    </row>
    <row r="9398" ht="22.5" customHeight="1">
      <c r="A9398" s="6" t="s">
        <v>26206</v>
      </c>
      <c r="B9398" s="6" t="s">
        <v>20758</v>
      </c>
      <c r="C9398" s="10">
        <v>46078.0</v>
      </c>
      <c r="D9398" s="6" t="s">
        <v>312</v>
      </c>
      <c r="E9398" s="6" t="s">
        <v>1552</v>
      </c>
      <c r="F9398" s="6" t="s">
        <v>112</v>
      </c>
      <c r="G9398" s="6" t="s">
        <v>458</v>
      </c>
      <c r="H9398" s="10">
        <v>46083.0</v>
      </c>
      <c r="I9398" s="12">
        <v>4.0</v>
      </c>
      <c r="J9398" s="6" t="s">
        <v>161</v>
      </c>
    </row>
    <row r="9399" ht="22.5" customHeight="1">
      <c r="A9399" s="6" t="s">
        <v>26207</v>
      </c>
      <c r="B9399" s="6" t="s">
        <v>20765</v>
      </c>
      <c r="C9399" s="10">
        <v>46047.0</v>
      </c>
      <c r="D9399" s="6" t="s">
        <v>242</v>
      </c>
      <c r="E9399" s="6" t="s">
        <v>394</v>
      </c>
      <c r="F9399" s="6" t="s">
        <v>283</v>
      </c>
      <c r="G9399" s="6" t="s">
        <v>369</v>
      </c>
      <c r="H9399" s="10">
        <v>46048.0</v>
      </c>
      <c r="I9399" s="12">
        <v>4.0</v>
      </c>
      <c r="J9399" s="6" t="s">
        <v>161</v>
      </c>
    </row>
    <row r="9400" ht="22.5" customHeight="1">
      <c r="A9400" s="6" t="s">
        <v>26208</v>
      </c>
      <c r="B9400" s="6" t="s">
        <v>20765</v>
      </c>
      <c r="C9400" s="10">
        <v>46051.0</v>
      </c>
      <c r="D9400" s="6" t="s">
        <v>677</v>
      </c>
      <c r="E9400" s="6" t="s">
        <v>1517</v>
      </c>
      <c r="F9400" s="6" t="s">
        <v>283</v>
      </c>
      <c r="G9400" s="6" t="s">
        <v>477</v>
      </c>
      <c r="H9400" s="10">
        <v>46058.0</v>
      </c>
      <c r="I9400" s="12">
        <v>4.0</v>
      </c>
      <c r="J9400" s="6" t="s">
        <v>161</v>
      </c>
    </row>
    <row r="9401" ht="22.5" customHeight="1">
      <c r="A9401" s="6" t="s">
        <v>26209</v>
      </c>
      <c r="B9401" s="6" t="s">
        <v>20765</v>
      </c>
      <c r="C9401" s="10">
        <v>46049.0</v>
      </c>
      <c r="D9401" s="6" t="s">
        <v>289</v>
      </c>
      <c r="E9401" s="6" t="s">
        <v>1149</v>
      </c>
      <c r="F9401" s="6" t="s">
        <v>439</v>
      </c>
      <c r="G9401" s="6" t="s">
        <v>326</v>
      </c>
      <c r="H9401" s="10">
        <v>46050.0</v>
      </c>
      <c r="I9401" s="12">
        <v>5.0</v>
      </c>
      <c r="J9401" s="6" t="s">
        <v>161</v>
      </c>
    </row>
    <row r="9402" ht="22.5" customHeight="1">
      <c r="A9402" s="6" t="s">
        <v>26210</v>
      </c>
      <c r="B9402" s="6" t="s">
        <v>20765</v>
      </c>
      <c r="C9402" s="10">
        <v>46054.0</v>
      </c>
      <c r="D9402" s="6" t="s">
        <v>312</v>
      </c>
      <c r="E9402" s="6" t="s">
        <v>833</v>
      </c>
      <c r="F9402" s="6" t="s">
        <v>283</v>
      </c>
      <c r="G9402" s="6" t="s">
        <v>254</v>
      </c>
      <c r="H9402" s="11" t="s">
        <v>259</v>
      </c>
      <c r="I9402" s="12">
        <v>5.0</v>
      </c>
      <c r="J9402" s="6" t="s">
        <v>161</v>
      </c>
    </row>
    <row r="9403" ht="22.5" customHeight="1">
      <c r="A9403" s="6" t="s">
        <v>26211</v>
      </c>
      <c r="B9403" s="6" t="s">
        <v>20773</v>
      </c>
      <c r="C9403" s="10">
        <v>46063.0</v>
      </c>
      <c r="D9403" s="6" t="s">
        <v>436</v>
      </c>
      <c r="E9403" s="6" t="s">
        <v>1241</v>
      </c>
      <c r="F9403" s="6" t="s">
        <v>249</v>
      </c>
      <c r="G9403" s="6" t="s">
        <v>494</v>
      </c>
      <c r="H9403" s="10">
        <v>46063.0</v>
      </c>
      <c r="I9403" s="12">
        <v>11.0</v>
      </c>
      <c r="J9403" s="6" t="s">
        <v>178</v>
      </c>
    </row>
    <row r="9404" ht="22.5" customHeight="1">
      <c r="A9404" s="6" t="s">
        <v>26212</v>
      </c>
      <c r="B9404" s="6" t="s">
        <v>20781</v>
      </c>
      <c r="C9404" s="10">
        <v>46063.0</v>
      </c>
      <c r="D9404" s="6" t="s">
        <v>436</v>
      </c>
      <c r="E9404" s="6" t="s">
        <v>628</v>
      </c>
      <c r="F9404" s="6" t="s">
        <v>112</v>
      </c>
      <c r="G9404" s="6" t="s">
        <v>326</v>
      </c>
      <c r="H9404" s="10">
        <v>46067.0</v>
      </c>
      <c r="I9404" s="12">
        <v>11.0</v>
      </c>
      <c r="J9404" s="6" t="s">
        <v>178</v>
      </c>
    </row>
    <row r="9405" ht="22.5" customHeight="1">
      <c r="A9405" s="6" t="s">
        <v>26213</v>
      </c>
      <c r="B9405" s="6" t="s">
        <v>20781</v>
      </c>
      <c r="C9405" s="10">
        <v>46070.0</v>
      </c>
      <c r="D9405" s="6" t="s">
        <v>416</v>
      </c>
      <c r="E9405" s="6" t="s">
        <v>466</v>
      </c>
      <c r="F9405" s="6" t="s">
        <v>283</v>
      </c>
      <c r="G9405" s="6" t="s">
        <v>452</v>
      </c>
      <c r="H9405" s="10">
        <v>46071.0</v>
      </c>
      <c r="I9405" s="12">
        <v>14.0</v>
      </c>
      <c r="J9405" s="6" t="s">
        <v>161</v>
      </c>
    </row>
    <row r="9406" ht="22.5" customHeight="1">
      <c r="A9406" s="6" t="s">
        <v>26214</v>
      </c>
      <c r="B9406" s="6" t="s">
        <v>20789</v>
      </c>
      <c r="C9406" s="10">
        <v>46047.0</v>
      </c>
      <c r="D9406" s="6" t="s">
        <v>391</v>
      </c>
      <c r="E9406" s="6" t="s">
        <v>1969</v>
      </c>
      <c r="F9406" s="6" t="s">
        <v>249</v>
      </c>
      <c r="G9406" s="6" t="s">
        <v>452</v>
      </c>
      <c r="H9406" s="10">
        <v>46053.0</v>
      </c>
      <c r="I9406" s="12">
        <v>10.0</v>
      </c>
      <c r="J9406" s="6" t="s">
        <v>161</v>
      </c>
    </row>
    <row r="9407" ht="22.5" customHeight="1">
      <c r="A9407" s="6" t="s">
        <v>26215</v>
      </c>
      <c r="B9407" s="6" t="s">
        <v>20789</v>
      </c>
      <c r="C9407" s="10">
        <v>46042.0</v>
      </c>
      <c r="D9407" s="6" t="s">
        <v>242</v>
      </c>
      <c r="E9407" s="6" t="s">
        <v>1570</v>
      </c>
      <c r="F9407" s="6" t="s">
        <v>112</v>
      </c>
      <c r="G9407" s="6" t="s">
        <v>452</v>
      </c>
      <c r="H9407" s="10">
        <v>46047.0</v>
      </c>
      <c r="I9407" s="12">
        <v>5.0</v>
      </c>
      <c r="J9407" s="6" t="s">
        <v>178</v>
      </c>
    </row>
    <row r="9408" ht="22.5" customHeight="1">
      <c r="A9408" s="6" t="s">
        <v>26216</v>
      </c>
      <c r="B9408" s="6" t="s">
        <v>20797</v>
      </c>
      <c r="C9408" s="10">
        <v>46068.0</v>
      </c>
      <c r="D9408" s="6" t="s">
        <v>677</v>
      </c>
      <c r="E9408" s="6" t="s">
        <v>1600</v>
      </c>
      <c r="F9408" s="6" t="s">
        <v>112</v>
      </c>
      <c r="G9408" s="6" t="s">
        <v>297</v>
      </c>
      <c r="H9408" s="10">
        <v>46068.0</v>
      </c>
      <c r="I9408" s="12">
        <v>4.0</v>
      </c>
      <c r="J9408" s="6" t="s">
        <v>161</v>
      </c>
    </row>
    <row r="9409" ht="22.5" customHeight="1">
      <c r="A9409" s="6" t="s">
        <v>26217</v>
      </c>
      <c r="B9409" s="6" t="s">
        <v>20797</v>
      </c>
      <c r="C9409" s="10">
        <v>46051.0</v>
      </c>
      <c r="D9409" s="6" t="s">
        <v>416</v>
      </c>
      <c r="E9409" s="6" t="s">
        <v>1241</v>
      </c>
      <c r="F9409" s="6" t="s">
        <v>439</v>
      </c>
      <c r="G9409" s="6" t="s">
        <v>297</v>
      </c>
      <c r="H9409" s="10">
        <v>46057.0</v>
      </c>
      <c r="I9409" s="12">
        <v>12.0</v>
      </c>
      <c r="J9409" s="6" t="s">
        <v>161</v>
      </c>
    </row>
    <row r="9410" ht="22.5" customHeight="1">
      <c r="A9410" s="6" t="s">
        <v>26218</v>
      </c>
      <c r="B9410" s="6" t="s">
        <v>20797</v>
      </c>
      <c r="C9410" s="10">
        <v>46068.0</v>
      </c>
      <c r="D9410" s="6" t="s">
        <v>391</v>
      </c>
      <c r="E9410" s="6" t="s">
        <v>618</v>
      </c>
      <c r="F9410" s="6" t="s">
        <v>112</v>
      </c>
      <c r="G9410" s="6" t="s">
        <v>494</v>
      </c>
      <c r="H9410" s="11" t="s">
        <v>259</v>
      </c>
      <c r="I9410" s="12">
        <v>6.0</v>
      </c>
      <c r="J9410" s="6" t="s">
        <v>161</v>
      </c>
    </row>
    <row r="9411" ht="22.5" customHeight="1">
      <c r="A9411" s="6" t="s">
        <v>26219</v>
      </c>
      <c r="B9411" s="6" t="s">
        <v>20797</v>
      </c>
      <c r="C9411" s="10">
        <v>46060.0</v>
      </c>
      <c r="D9411" s="6" t="s">
        <v>416</v>
      </c>
      <c r="E9411" s="6" t="s">
        <v>731</v>
      </c>
      <c r="F9411" s="6" t="s">
        <v>439</v>
      </c>
      <c r="G9411" s="6" t="s">
        <v>494</v>
      </c>
      <c r="H9411" s="10">
        <v>46064.0</v>
      </c>
      <c r="I9411" s="12">
        <v>11.0</v>
      </c>
      <c r="J9411" s="6" t="s">
        <v>161</v>
      </c>
    </row>
    <row r="9412" ht="22.5" customHeight="1">
      <c r="A9412" s="6" t="s">
        <v>26220</v>
      </c>
      <c r="B9412" s="6" t="s">
        <v>20804</v>
      </c>
      <c r="C9412" s="10">
        <v>46061.0</v>
      </c>
      <c r="D9412" s="6" t="s">
        <v>391</v>
      </c>
      <c r="E9412" s="6" t="s">
        <v>896</v>
      </c>
      <c r="F9412" s="6" t="s">
        <v>249</v>
      </c>
      <c r="G9412" s="6" t="s">
        <v>297</v>
      </c>
      <c r="H9412" s="10">
        <v>46062.0</v>
      </c>
      <c r="I9412" s="12">
        <v>9.0</v>
      </c>
      <c r="J9412" s="6" t="s">
        <v>161</v>
      </c>
    </row>
    <row r="9413" ht="22.5" customHeight="1">
      <c r="A9413" s="6" t="s">
        <v>26221</v>
      </c>
      <c r="B9413" s="6" t="s">
        <v>20810</v>
      </c>
      <c r="C9413" s="10">
        <v>46045.0</v>
      </c>
      <c r="D9413" s="6" t="s">
        <v>289</v>
      </c>
      <c r="E9413" s="6" t="s">
        <v>438</v>
      </c>
      <c r="F9413" s="6" t="s">
        <v>439</v>
      </c>
      <c r="G9413" s="6" t="s">
        <v>369</v>
      </c>
      <c r="H9413" s="10">
        <v>46045.0</v>
      </c>
      <c r="I9413" s="12">
        <v>10.0</v>
      </c>
      <c r="J9413" s="6" t="s">
        <v>161</v>
      </c>
    </row>
    <row r="9414" ht="22.5" customHeight="1">
      <c r="A9414" s="6" t="s">
        <v>26222</v>
      </c>
      <c r="B9414" s="6" t="s">
        <v>20817</v>
      </c>
      <c r="C9414" s="10">
        <v>46058.0</v>
      </c>
      <c r="D9414" s="6" t="s">
        <v>312</v>
      </c>
      <c r="E9414" s="6" t="s">
        <v>885</v>
      </c>
      <c r="F9414" s="6" t="s">
        <v>249</v>
      </c>
      <c r="G9414" s="6" t="s">
        <v>477</v>
      </c>
      <c r="H9414" s="10">
        <v>46065.0</v>
      </c>
      <c r="I9414" s="12">
        <v>7.0</v>
      </c>
      <c r="J9414" s="6" t="s">
        <v>161</v>
      </c>
    </row>
    <row r="9415" ht="22.5" customHeight="1">
      <c r="A9415" s="6" t="s">
        <v>26223</v>
      </c>
      <c r="B9415" s="6" t="s">
        <v>20824</v>
      </c>
      <c r="C9415" s="10">
        <v>46037.0</v>
      </c>
      <c r="D9415" s="6" t="s">
        <v>436</v>
      </c>
      <c r="E9415" s="6" t="s">
        <v>1055</v>
      </c>
      <c r="F9415" s="6" t="s">
        <v>249</v>
      </c>
      <c r="G9415" s="6" t="s">
        <v>494</v>
      </c>
      <c r="H9415" s="10">
        <v>46043.0</v>
      </c>
      <c r="I9415" s="12">
        <v>11.0</v>
      </c>
      <c r="J9415" s="6" t="s">
        <v>178</v>
      </c>
    </row>
    <row r="9416" ht="22.5" customHeight="1">
      <c r="A9416" s="6" t="s">
        <v>26224</v>
      </c>
      <c r="B9416" s="6" t="s">
        <v>20830</v>
      </c>
      <c r="C9416" s="10">
        <v>46081.0</v>
      </c>
      <c r="D9416" s="6" t="s">
        <v>436</v>
      </c>
      <c r="E9416" s="6" t="s">
        <v>246</v>
      </c>
      <c r="F9416" s="6" t="s">
        <v>112</v>
      </c>
      <c r="G9416" s="6" t="s">
        <v>458</v>
      </c>
      <c r="H9416" s="10">
        <v>46083.0</v>
      </c>
      <c r="I9416" s="12">
        <v>12.0</v>
      </c>
      <c r="J9416" s="6" t="s">
        <v>178</v>
      </c>
    </row>
    <row r="9417" ht="22.5" customHeight="1">
      <c r="A9417" s="6" t="s">
        <v>26225</v>
      </c>
      <c r="B9417" s="6" t="s">
        <v>20830</v>
      </c>
      <c r="C9417" s="10">
        <v>46076.0</v>
      </c>
      <c r="D9417" s="6" t="s">
        <v>677</v>
      </c>
      <c r="E9417" s="6" t="s">
        <v>687</v>
      </c>
      <c r="F9417" s="6" t="s">
        <v>249</v>
      </c>
      <c r="G9417" s="6" t="s">
        <v>326</v>
      </c>
      <c r="H9417" s="10">
        <v>46078.0</v>
      </c>
      <c r="I9417" s="12">
        <v>2.0</v>
      </c>
      <c r="J9417" s="6" t="s">
        <v>161</v>
      </c>
    </row>
    <row r="9418" ht="22.5" customHeight="1">
      <c r="A9418" s="6" t="s">
        <v>26226</v>
      </c>
      <c r="B9418" s="6" t="s">
        <v>20836</v>
      </c>
      <c r="C9418" s="10">
        <v>46047.0</v>
      </c>
      <c r="D9418" s="6" t="s">
        <v>391</v>
      </c>
      <c r="E9418" s="6" t="s">
        <v>1552</v>
      </c>
      <c r="F9418" s="6" t="s">
        <v>249</v>
      </c>
      <c r="G9418" s="6" t="s">
        <v>477</v>
      </c>
      <c r="H9418" s="10">
        <v>46050.0</v>
      </c>
      <c r="I9418" s="12">
        <v>9.0</v>
      </c>
      <c r="J9418" s="6" t="s">
        <v>161</v>
      </c>
    </row>
    <row r="9419" ht="22.5" customHeight="1">
      <c r="A9419" s="6" t="s">
        <v>26227</v>
      </c>
      <c r="B9419" s="6" t="s">
        <v>20836</v>
      </c>
      <c r="C9419" s="10">
        <v>46051.0</v>
      </c>
      <c r="D9419" s="6" t="s">
        <v>416</v>
      </c>
      <c r="E9419" s="6" t="s">
        <v>798</v>
      </c>
      <c r="F9419" s="6" t="s">
        <v>283</v>
      </c>
      <c r="G9419" s="6" t="s">
        <v>494</v>
      </c>
      <c r="H9419" s="10">
        <v>46056.0</v>
      </c>
      <c r="I9419" s="12">
        <v>8.0</v>
      </c>
      <c r="J9419" s="6" t="s">
        <v>161</v>
      </c>
    </row>
    <row r="9420" ht="22.5" customHeight="1">
      <c r="A9420" s="6" t="s">
        <v>26228</v>
      </c>
      <c r="B9420" s="6" t="s">
        <v>20836</v>
      </c>
      <c r="C9420" s="10">
        <v>46040.0</v>
      </c>
      <c r="D9420" s="6" t="s">
        <v>312</v>
      </c>
      <c r="E9420" s="6" t="s">
        <v>1122</v>
      </c>
      <c r="F9420" s="6" t="s">
        <v>112</v>
      </c>
      <c r="G9420" s="6" t="s">
        <v>369</v>
      </c>
      <c r="H9420" s="10">
        <v>46042.0</v>
      </c>
      <c r="I9420" s="12">
        <v>6.0</v>
      </c>
      <c r="J9420" s="6" t="s">
        <v>161</v>
      </c>
    </row>
    <row r="9421" ht="22.5" customHeight="1">
      <c r="A9421" s="6" t="s">
        <v>26229</v>
      </c>
      <c r="B9421" s="6" t="s">
        <v>20843</v>
      </c>
      <c r="C9421" s="10">
        <v>46045.0</v>
      </c>
      <c r="D9421" s="6" t="s">
        <v>312</v>
      </c>
      <c r="E9421" s="6" t="s">
        <v>291</v>
      </c>
      <c r="F9421" s="6" t="s">
        <v>112</v>
      </c>
      <c r="G9421" s="6" t="s">
        <v>458</v>
      </c>
      <c r="H9421" s="10">
        <v>46048.0</v>
      </c>
      <c r="I9421" s="12">
        <v>7.0</v>
      </c>
      <c r="J9421" s="6" t="s">
        <v>161</v>
      </c>
    </row>
    <row r="9422" ht="22.5" customHeight="1">
      <c r="A9422" s="6" t="s">
        <v>26230</v>
      </c>
      <c r="B9422" s="6" t="s">
        <v>20843</v>
      </c>
      <c r="C9422" s="10">
        <v>46056.0</v>
      </c>
      <c r="D9422" s="6" t="s">
        <v>391</v>
      </c>
      <c r="E9422" s="6" t="s">
        <v>1386</v>
      </c>
      <c r="F9422" s="6" t="s">
        <v>249</v>
      </c>
      <c r="G9422" s="6" t="s">
        <v>254</v>
      </c>
      <c r="H9422" s="10">
        <v>46061.0</v>
      </c>
      <c r="I9422" s="12">
        <v>9.0</v>
      </c>
      <c r="J9422" s="6" t="s">
        <v>161</v>
      </c>
    </row>
    <row r="9423" ht="22.5" customHeight="1">
      <c r="A9423" s="6" t="s">
        <v>26231</v>
      </c>
      <c r="B9423" s="6" t="s">
        <v>20843</v>
      </c>
      <c r="C9423" s="10">
        <v>46053.0</v>
      </c>
      <c r="D9423" s="6" t="s">
        <v>436</v>
      </c>
      <c r="E9423" s="6" t="s">
        <v>896</v>
      </c>
      <c r="F9423" s="6" t="s">
        <v>112</v>
      </c>
      <c r="G9423" s="6" t="s">
        <v>297</v>
      </c>
      <c r="H9423" s="10">
        <v>46059.0</v>
      </c>
      <c r="I9423" s="12">
        <v>10.0</v>
      </c>
      <c r="J9423" s="6" t="s">
        <v>178</v>
      </c>
    </row>
    <row r="9424" ht="22.5" customHeight="1">
      <c r="A9424" s="6" t="s">
        <v>26232</v>
      </c>
      <c r="B9424" s="6" t="s">
        <v>20843</v>
      </c>
      <c r="C9424" s="10">
        <v>46044.0</v>
      </c>
      <c r="D9424" s="6" t="s">
        <v>416</v>
      </c>
      <c r="E9424" s="6" t="s">
        <v>670</v>
      </c>
      <c r="F9424" s="6" t="s">
        <v>249</v>
      </c>
      <c r="G9424" s="6" t="s">
        <v>477</v>
      </c>
      <c r="H9424" s="10">
        <v>46045.0</v>
      </c>
      <c r="I9424" s="12">
        <v>12.0</v>
      </c>
      <c r="J9424" s="6" t="s">
        <v>161</v>
      </c>
    </row>
    <row r="9425" ht="22.5" customHeight="1">
      <c r="A9425" s="6" t="s">
        <v>26233</v>
      </c>
      <c r="B9425" s="6" t="s">
        <v>20843</v>
      </c>
      <c r="C9425" s="10">
        <v>46042.0</v>
      </c>
      <c r="D9425" s="6" t="s">
        <v>416</v>
      </c>
      <c r="E9425" s="6" t="s">
        <v>438</v>
      </c>
      <c r="F9425" s="6" t="s">
        <v>112</v>
      </c>
      <c r="G9425" s="6" t="s">
        <v>494</v>
      </c>
      <c r="H9425" s="10">
        <v>46045.0</v>
      </c>
      <c r="I9425" s="12">
        <v>11.0</v>
      </c>
      <c r="J9425" s="6" t="s">
        <v>161</v>
      </c>
    </row>
    <row r="9426" ht="22.5" customHeight="1">
      <c r="A9426" s="6" t="s">
        <v>26234</v>
      </c>
      <c r="B9426" s="6" t="s">
        <v>20849</v>
      </c>
      <c r="C9426" s="10">
        <v>46070.0</v>
      </c>
      <c r="D9426" s="6" t="s">
        <v>312</v>
      </c>
      <c r="E9426" s="6" t="s">
        <v>1626</v>
      </c>
      <c r="F9426" s="6" t="s">
        <v>112</v>
      </c>
      <c r="G9426" s="6" t="s">
        <v>458</v>
      </c>
      <c r="H9426" s="10">
        <v>46071.0</v>
      </c>
      <c r="I9426" s="12">
        <v>4.0</v>
      </c>
      <c r="J9426" s="6" t="s">
        <v>161</v>
      </c>
    </row>
    <row r="9427" ht="22.5" customHeight="1">
      <c r="A9427" s="6" t="s">
        <v>26235</v>
      </c>
      <c r="B9427" s="6" t="s">
        <v>20856</v>
      </c>
      <c r="C9427" s="10">
        <v>46045.0</v>
      </c>
      <c r="D9427" s="6" t="s">
        <v>242</v>
      </c>
      <c r="E9427" s="6" t="s">
        <v>450</v>
      </c>
      <c r="F9427" s="6" t="s">
        <v>439</v>
      </c>
      <c r="G9427" s="6" t="s">
        <v>254</v>
      </c>
      <c r="H9427" s="10">
        <v>46045.0</v>
      </c>
      <c r="I9427" s="12">
        <v>6.0</v>
      </c>
      <c r="J9427" s="6" t="s">
        <v>161</v>
      </c>
    </row>
    <row r="9428" ht="22.5" customHeight="1">
      <c r="A9428" s="6" t="s">
        <v>26236</v>
      </c>
      <c r="B9428" s="6" t="s">
        <v>20856</v>
      </c>
      <c r="C9428" s="10">
        <v>46047.0</v>
      </c>
      <c r="D9428" s="6" t="s">
        <v>391</v>
      </c>
      <c r="E9428" s="6" t="s">
        <v>246</v>
      </c>
      <c r="F9428" s="6" t="s">
        <v>439</v>
      </c>
      <c r="G9428" s="6" t="s">
        <v>254</v>
      </c>
      <c r="H9428" s="10">
        <v>46050.0</v>
      </c>
      <c r="I9428" s="12">
        <v>6.0</v>
      </c>
      <c r="J9428" s="6" t="s">
        <v>161</v>
      </c>
    </row>
    <row r="9429" ht="22.5" customHeight="1">
      <c r="A9429" s="6" t="s">
        <v>26237</v>
      </c>
      <c r="B9429" s="6" t="s">
        <v>20856</v>
      </c>
      <c r="C9429" s="10">
        <v>46046.0</v>
      </c>
      <c r="D9429" s="6" t="s">
        <v>289</v>
      </c>
      <c r="E9429" s="6" t="s">
        <v>365</v>
      </c>
      <c r="F9429" s="6" t="s">
        <v>283</v>
      </c>
      <c r="G9429" s="6" t="s">
        <v>494</v>
      </c>
      <c r="H9429" s="11" t="s">
        <v>259</v>
      </c>
      <c r="I9429" s="12">
        <v>10.0</v>
      </c>
      <c r="J9429" s="6" t="s">
        <v>161</v>
      </c>
    </row>
    <row r="9430" ht="22.5" customHeight="1">
      <c r="A9430" s="6" t="s">
        <v>26238</v>
      </c>
      <c r="B9430" s="6" t="s">
        <v>20862</v>
      </c>
      <c r="C9430" s="10">
        <v>46053.0</v>
      </c>
      <c r="D9430" s="6" t="s">
        <v>391</v>
      </c>
      <c r="E9430" s="6" t="s">
        <v>628</v>
      </c>
      <c r="F9430" s="6" t="s">
        <v>439</v>
      </c>
      <c r="G9430" s="6" t="s">
        <v>254</v>
      </c>
      <c r="H9430" s="10">
        <v>46059.0</v>
      </c>
      <c r="I9430" s="12">
        <v>6.0</v>
      </c>
      <c r="J9430" s="6" t="s">
        <v>161</v>
      </c>
    </row>
    <row r="9431" ht="22.5" customHeight="1">
      <c r="A9431" s="6" t="s">
        <v>26239</v>
      </c>
      <c r="B9431" s="6" t="s">
        <v>20862</v>
      </c>
      <c r="C9431" s="10">
        <v>46057.0</v>
      </c>
      <c r="D9431" s="6" t="s">
        <v>289</v>
      </c>
      <c r="E9431" s="6" t="s">
        <v>1310</v>
      </c>
      <c r="F9431" s="6" t="s">
        <v>249</v>
      </c>
      <c r="G9431" s="6" t="s">
        <v>494</v>
      </c>
      <c r="H9431" s="10">
        <v>46062.0</v>
      </c>
      <c r="I9431" s="12">
        <v>9.0</v>
      </c>
      <c r="J9431" s="6" t="s">
        <v>161</v>
      </c>
    </row>
    <row r="9432" ht="22.5" customHeight="1">
      <c r="A9432" s="6" t="s">
        <v>26240</v>
      </c>
      <c r="B9432" s="6" t="s">
        <v>20869</v>
      </c>
      <c r="C9432" s="10">
        <v>46047.0</v>
      </c>
      <c r="D9432" s="6" t="s">
        <v>436</v>
      </c>
      <c r="E9432" s="6" t="s">
        <v>320</v>
      </c>
      <c r="F9432" s="6" t="s">
        <v>283</v>
      </c>
      <c r="G9432" s="6" t="s">
        <v>297</v>
      </c>
      <c r="H9432" s="10">
        <v>46047.0</v>
      </c>
      <c r="I9432" s="12">
        <v>10.0</v>
      </c>
      <c r="J9432" s="6" t="s">
        <v>178</v>
      </c>
    </row>
    <row r="9433" ht="22.5" customHeight="1">
      <c r="A9433" s="6" t="s">
        <v>26241</v>
      </c>
      <c r="B9433" s="6" t="s">
        <v>20869</v>
      </c>
      <c r="C9433" s="10">
        <v>46048.0</v>
      </c>
      <c r="D9433" s="6" t="s">
        <v>436</v>
      </c>
      <c r="E9433" s="6" t="s">
        <v>291</v>
      </c>
      <c r="F9433" s="6" t="s">
        <v>249</v>
      </c>
      <c r="G9433" s="6" t="s">
        <v>254</v>
      </c>
      <c r="H9433" s="10">
        <v>46051.0</v>
      </c>
      <c r="I9433" s="12">
        <v>8.0</v>
      </c>
      <c r="J9433" s="6" t="s">
        <v>178</v>
      </c>
    </row>
    <row r="9434" ht="22.5" customHeight="1">
      <c r="A9434" s="6" t="s">
        <v>26242</v>
      </c>
      <c r="B9434" s="6" t="s">
        <v>20869</v>
      </c>
      <c r="C9434" s="10">
        <v>46055.0</v>
      </c>
      <c r="D9434" s="6" t="s">
        <v>289</v>
      </c>
      <c r="E9434" s="6" t="s">
        <v>628</v>
      </c>
      <c r="F9434" s="6" t="s">
        <v>283</v>
      </c>
      <c r="G9434" s="6" t="s">
        <v>452</v>
      </c>
      <c r="H9434" s="10">
        <v>46061.0</v>
      </c>
      <c r="I9434" s="12">
        <v>6.0</v>
      </c>
      <c r="J9434" s="6" t="s">
        <v>161</v>
      </c>
    </row>
    <row r="9435" ht="22.5" customHeight="1">
      <c r="A9435" s="6" t="s">
        <v>26243</v>
      </c>
      <c r="B9435" s="6" t="s">
        <v>20869</v>
      </c>
      <c r="C9435" s="10">
        <v>46056.0</v>
      </c>
      <c r="D9435" s="6" t="s">
        <v>391</v>
      </c>
      <c r="E9435" s="6" t="s">
        <v>610</v>
      </c>
      <c r="F9435" s="6" t="s">
        <v>439</v>
      </c>
      <c r="G9435" s="6" t="s">
        <v>477</v>
      </c>
      <c r="H9435" s="10">
        <v>46060.0</v>
      </c>
      <c r="I9435" s="12">
        <v>8.0</v>
      </c>
      <c r="J9435" s="6" t="s">
        <v>161</v>
      </c>
    </row>
    <row r="9436" ht="22.5" customHeight="1">
      <c r="A9436" s="6" t="s">
        <v>26244</v>
      </c>
      <c r="B9436" s="6" t="s">
        <v>20875</v>
      </c>
      <c r="C9436" s="10">
        <v>46076.0</v>
      </c>
      <c r="D9436" s="6" t="s">
        <v>416</v>
      </c>
      <c r="E9436" s="6" t="s">
        <v>634</v>
      </c>
      <c r="F9436" s="6" t="s">
        <v>112</v>
      </c>
      <c r="G9436" s="6" t="s">
        <v>494</v>
      </c>
      <c r="H9436" s="10">
        <v>46081.0</v>
      </c>
      <c r="I9436" s="12">
        <v>8.0</v>
      </c>
      <c r="J9436" s="6" t="s">
        <v>161</v>
      </c>
    </row>
    <row r="9437" ht="22.5" customHeight="1">
      <c r="A9437" s="6" t="s">
        <v>26245</v>
      </c>
      <c r="B9437" s="6" t="s">
        <v>20875</v>
      </c>
      <c r="C9437" s="10">
        <v>46078.0</v>
      </c>
      <c r="D9437" s="6" t="s">
        <v>391</v>
      </c>
      <c r="E9437" s="6" t="s">
        <v>246</v>
      </c>
      <c r="F9437" s="6" t="s">
        <v>112</v>
      </c>
      <c r="G9437" s="6" t="s">
        <v>452</v>
      </c>
      <c r="H9437" s="10">
        <v>46081.0</v>
      </c>
      <c r="I9437" s="12">
        <v>7.0</v>
      </c>
      <c r="J9437" s="6" t="s">
        <v>161</v>
      </c>
    </row>
    <row r="9438" ht="22.5" customHeight="1">
      <c r="A9438" s="6" t="s">
        <v>26246</v>
      </c>
      <c r="B9438" s="6" t="s">
        <v>20875</v>
      </c>
      <c r="C9438" s="10">
        <v>46061.0</v>
      </c>
      <c r="D9438" s="6" t="s">
        <v>416</v>
      </c>
      <c r="E9438" s="6" t="s">
        <v>365</v>
      </c>
      <c r="F9438" s="6" t="s">
        <v>439</v>
      </c>
      <c r="G9438" s="6" t="s">
        <v>477</v>
      </c>
      <c r="H9438" s="10">
        <v>46063.0</v>
      </c>
      <c r="I9438" s="12">
        <v>12.0</v>
      </c>
      <c r="J9438" s="6" t="s">
        <v>161</v>
      </c>
    </row>
    <row r="9439" ht="22.5" customHeight="1">
      <c r="A9439" s="6" t="s">
        <v>26247</v>
      </c>
      <c r="B9439" s="6" t="s">
        <v>20882</v>
      </c>
      <c r="C9439" s="10">
        <v>46043.0</v>
      </c>
      <c r="D9439" s="6" t="s">
        <v>312</v>
      </c>
      <c r="E9439" s="6" t="s">
        <v>1296</v>
      </c>
      <c r="F9439" s="6" t="s">
        <v>249</v>
      </c>
      <c r="G9439" s="6" t="s">
        <v>452</v>
      </c>
      <c r="H9439" s="10">
        <v>46050.0</v>
      </c>
      <c r="I9439" s="12">
        <v>6.0</v>
      </c>
      <c r="J9439" s="6" t="s">
        <v>161</v>
      </c>
    </row>
    <row r="9440" ht="22.5" customHeight="1">
      <c r="A9440" s="6" t="s">
        <v>26248</v>
      </c>
      <c r="B9440" s="6" t="s">
        <v>20882</v>
      </c>
      <c r="C9440" s="10">
        <v>46048.0</v>
      </c>
      <c r="D9440" s="6" t="s">
        <v>391</v>
      </c>
      <c r="E9440" s="6" t="s">
        <v>634</v>
      </c>
      <c r="F9440" s="6" t="s">
        <v>249</v>
      </c>
      <c r="G9440" s="6" t="s">
        <v>452</v>
      </c>
      <c r="H9440" s="11" t="s">
        <v>259</v>
      </c>
      <c r="I9440" s="12">
        <v>6.0</v>
      </c>
      <c r="J9440" s="6" t="s">
        <v>161</v>
      </c>
    </row>
    <row r="9441" ht="22.5" customHeight="1">
      <c r="A9441" s="6" t="s">
        <v>26249</v>
      </c>
      <c r="B9441" s="6" t="s">
        <v>20888</v>
      </c>
      <c r="C9441" s="10">
        <v>46065.0</v>
      </c>
      <c r="D9441" s="6" t="s">
        <v>242</v>
      </c>
      <c r="E9441" s="6" t="s">
        <v>2365</v>
      </c>
      <c r="F9441" s="6" t="s">
        <v>439</v>
      </c>
      <c r="G9441" s="6" t="s">
        <v>297</v>
      </c>
      <c r="H9441" s="10">
        <v>46072.0</v>
      </c>
      <c r="I9441" s="12">
        <v>3.0</v>
      </c>
      <c r="J9441" s="6" t="s">
        <v>178</v>
      </c>
    </row>
    <row r="9442" ht="22.5" customHeight="1">
      <c r="A9442" s="6" t="s">
        <v>26250</v>
      </c>
      <c r="B9442" s="6" t="s">
        <v>20888</v>
      </c>
      <c r="C9442" s="10">
        <v>46068.0</v>
      </c>
      <c r="D9442" s="6" t="s">
        <v>436</v>
      </c>
      <c r="E9442" s="6" t="s">
        <v>955</v>
      </c>
      <c r="F9442" s="6" t="s">
        <v>249</v>
      </c>
      <c r="G9442" s="6" t="s">
        <v>458</v>
      </c>
      <c r="H9442" s="10">
        <v>46073.0</v>
      </c>
      <c r="I9442" s="12">
        <v>9.0</v>
      </c>
      <c r="J9442" s="6" t="s">
        <v>178</v>
      </c>
    </row>
    <row r="9443" ht="22.5" customHeight="1">
      <c r="A9443" s="6" t="s">
        <v>26251</v>
      </c>
      <c r="B9443" s="6" t="s">
        <v>20888</v>
      </c>
      <c r="C9443" s="10">
        <v>46072.0</v>
      </c>
      <c r="D9443" s="6" t="s">
        <v>436</v>
      </c>
      <c r="E9443" s="6" t="s">
        <v>1070</v>
      </c>
      <c r="F9443" s="6" t="s">
        <v>249</v>
      </c>
      <c r="G9443" s="6" t="s">
        <v>477</v>
      </c>
      <c r="H9443" s="10">
        <v>46077.0</v>
      </c>
      <c r="I9443" s="12">
        <v>8.0</v>
      </c>
      <c r="J9443" s="6" t="s">
        <v>178</v>
      </c>
    </row>
    <row r="9444" ht="22.5" customHeight="1">
      <c r="A9444" s="6" t="s">
        <v>26252</v>
      </c>
      <c r="B9444" s="6" t="s">
        <v>20888</v>
      </c>
      <c r="C9444" s="10">
        <v>46067.0</v>
      </c>
      <c r="D9444" s="6" t="s">
        <v>436</v>
      </c>
      <c r="E9444" s="6" t="s">
        <v>687</v>
      </c>
      <c r="F9444" s="6" t="s">
        <v>249</v>
      </c>
      <c r="G9444" s="6" t="s">
        <v>452</v>
      </c>
      <c r="H9444" s="10">
        <v>46074.0</v>
      </c>
      <c r="I9444" s="12">
        <v>6.0</v>
      </c>
      <c r="J9444" s="6" t="s">
        <v>178</v>
      </c>
    </row>
    <row r="9445" ht="22.5" customHeight="1">
      <c r="A9445" s="6" t="s">
        <v>26253</v>
      </c>
      <c r="B9445" s="6" t="s">
        <v>20888</v>
      </c>
      <c r="C9445" s="10">
        <v>46071.0</v>
      </c>
      <c r="D9445" s="6" t="s">
        <v>436</v>
      </c>
      <c r="E9445" s="6" t="s">
        <v>1969</v>
      </c>
      <c r="F9445" s="6" t="s">
        <v>249</v>
      </c>
      <c r="G9445" s="6" t="s">
        <v>326</v>
      </c>
      <c r="H9445" s="10">
        <v>46077.0</v>
      </c>
      <c r="I9445" s="12">
        <v>6.0</v>
      </c>
      <c r="J9445" s="6" t="s">
        <v>178</v>
      </c>
    </row>
    <row r="9446" ht="22.5" customHeight="1">
      <c r="A9446" s="6" t="s">
        <v>26254</v>
      </c>
      <c r="B9446" s="6" t="s">
        <v>20895</v>
      </c>
      <c r="C9446" s="10">
        <v>46060.0</v>
      </c>
      <c r="D9446" s="6" t="s">
        <v>677</v>
      </c>
      <c r="E9446" s="6" t="s">
        <v>618</v>
      </c>
      <c r="F9446" s="6" t="s">
        <v>249</v>
      </c>
      <c r="G9446" s="6" t="s">
        <v>458</v>
      </c>
      <c r="H9446" s="10">
        <v>46066.0</v>
      </c>
      <c r="I9446" s="12">
        <v>3.0</v>
      </c>
      <c r="J9446" s="6" t="s">
        <v>161</v>
      </c>
    </row>
    <row r="9447" ht="22.5" customHeight="1">
      <c r="A9447" s="6" t="s">
        <v>26255</v>
      </c>
      <c r="B9447" s="6" t="s">
        <v>20901</v>
      </c>
      <c r="C9447" s="10">
        <v>46042.0</v>
      </c>
      <c r="D9447" s="6" t="s">
        <v>289</v>
      </c>
      <c r="E9447" s="6" t="s">
        <v>246</v>
      </c>
      <c r="F9447" s="6" t="s">
        <v>283</v>
      </c>
      <c r="G9447" s="6" t="s">
        <v>254</v>
      </c>
      <c r="H9447" s="11" t="s">
        <v>259</v>
      </c>
      <c r="I9447" s="12">
        <v>7.0</v>
      </c>
      <c r="J9447" s="6" t="s">
        <v>161</v>
      </c>
    </row>
    <row r="9448" ht="22.5" customHeight="1">
      <c r="A9448" s="6" t="s">
        <v>26256</v>
      </c>
      <c r="B9448" s="6" t="s">
        <v>20901</v>
      </c>
      <c r="C9448" s="10">
        <v>46038.0</v>
      </c>
      <c r="D9448" s="6" t="s">
        <v>289</v>
      </c>
      <c r="E9448" s="6" t="s">
        <v>1741</v>
      </c>
      <c r="F9448" s="6" t="s">
        <v>439</v>
      </c>
      <c r="G9448" s="6" t="s">
        <v>326</v>
      </c>
      <c r="H9448" s="10">
        <v>46038.0</v>
      </c>
      <c r="I9448" s="12">
        <v>7.0</v>
      </c>
      <c r="J9448" s="6" t="s">
        <v>161</v>
      </c>
    </row>
    <row r="9449" ht="22.5" customHeight="1">
      <c r="A9449" s="6" t="s">
        <v>26257</v>
      </c>
      <c r="B9449" s="6" t="s">
        <v>20901</v>
      </c>
      <c r="C9449" s="10">
        <v>46048.0</v>
      </c>
      <c r="D9449" s="6" t="s">
        <v>391</v>
      </c>
      <c r="E9449" s="6" t="s">
        <v>1386</v>
      </c>
      <c r="F9449" s="6" t="s">
        <v>439</v>
      </c>
      <c r="G9449" s="6" t="s">
        <v>452</v>
      </c>
      <c r="H9449" s="10">
        <v>46055.0</v>
      </c>
      <c r="I9449" s="12">
        <v>10.0</v>
      </c>
      <c r="J9449" s="6" t="s">
        <v>161</v>
      </c>
    </row>
    <row r="9450" ht="22.5" customHeight="1">
      <c r="A9450" s="6" t="s">
        <v>26258</v>
      </c>
      <c r="B9450" s="6" t="s">
        <v>20901</v>
      </c>
      <c r="C9450" s="10">
        <v>46038.0</v>
      </c>
      <c r="D9450" s="6" t="s">
        <v>677</v>
      </c>
      <c r="E9450" s="6" t="s">
        <v>1280</v>
      </c>
      <c r="F9450" s="6" t="s">
        <v>112</v>
      </c>
      <c r="G9450" s="6" t="s">
        <v>494</v>
      </c>
      <c r="H9450" s="10">
        <v>46043.0</v>
      </c>
      <c r="I9450" s="12">
        <v>3.0</v>
      </c>
      <c r="J9450" s="6" t="s">
        <v>161</v>
      </c>
    </row>
    <row r="9451" ht="22.5" customHeight="1">
      <c r="A9451" s="6" t="s">
        <v>26259</v>
      </c>
      <c r="B9451" s="6" t="s">
        <v>20901</v>
      </c>
      <c r="C9451" s="10">
        <v>46046.0</v>
      </c>
      <c r="D9451" s="6" t="s">
        <v>242</v>
      </c>
      <c r="E9451" s="6" t="s">
        <v>1517</v>
      </c>
      <c r="F9451" s="6" t="s">
        <v>283</v>
      </c>
      <c r="G9451" s="6" t="s">
        <v>326</v>
      </c>
      <c r="H9451" s="10">
        <v>46048.0</v>
      </c>
      <c r="I9451" s="12">
        <v>4.0</v>
      </c>
      <c r="J9451" s="6" t="s">
        <v>178</v>
      </c>
    </row>
    <row r="9452" ht="22.5" customHeight="1">
      <c r="A9452" s="6" t="s">
        <v>26260</v>
      </c>
      <c r="B9452" s="6" t="s">
        <v>20907</v>
      </c>
      <c r="C9452" s="10">
        <v>46045.0</v>
      </c>
      <c r="D9452" s="6" t="s">
        <v>436</v>
      </c>
      <c r="E9452" s="6" t="s">
        <v>885</v>
      </c>
      <c r="F9452" s="6" t="s">
        <v>249</v>
      </c>
      <c r="G9452" s="6" t="s">
        <v>326</v>
      </c>
      <c r="H9452" s="10">
        <v>46051.0</v>
      </c>
      <c r="I9452" s="12">
        <v>8.0</v>
      </c>
      <c r="J9452" s="6" t="s">
        <v>161</v>
      </c>
    </row>
    <row r="9453" ht="22.5" customHeight="1">
      <c r="A9453" s="6" t="s">
        <v>26261</v>
      </c>
      <c r="B9453" s="6" t="s">
        <v>20907</v>
      </c>
      <c r="C9453" s="10">
        <v>46033.0</v>
      </c>
      <c r="D9453" s="6" t="s">
        <v>436</v>
      </c>
      <c r="E9453" s="6" t="s">
        <v>1035</v>
      </c>
      <c r="F9453" s="6" t="s">
        <v>112</v>
      </c>
      <c r="G9453" s="6" t="s">
        <v>297</v>
      </c>
      <c r="H9453" s="10">
        <v>46038.0</v>
      </c>
      <c r="I9453" s="12">
        <v>6.0</v>
      </c>
      <c r="J9453" s="6" t="s">
        <v>178</v>
      </c>
    </row>
    <row r="9454" ht="22.5" customHeight="1">
      <c r="A9454" s="6" t="s">
        <v>26262</v>
      </c>
      <c r="B9454" s="6" t="s">
        <v>20907</v>
      </c>
      <c r="C9454" s="10">
        <v>46043.0</v>
      </c>
      <c r="D9454" s="6" t="s">
        <v>242</v>
      </c>
      <c r="E9454" s="6" t="s">
        <v>1570</v>
      </c>
      <c r="F9454" s="6" t="s">
        <v>283</v>
      </c>
      <c r="G9454" s="6" t="s">
        <v>477</v>
      </c>
      <c r="H9454" s="11" t="s">
        <v>259</v>
      </c>
      <c r="I9454" s="12">
        <v>4.0</v>
      </c>
      <c r="J9454" s="6" t="s">
        <v>178</v>
      </c>
    </row>
    <row r="9455" ht="22.5" customHeight="1">
      <c r="A9455" s="6" t="s">
        <v>26263</v>
      </c>
      <c r="B9455" s="6" t="s">
        <v>20907</v>
      </c>
      <c r="C9455" s="10">
        <v>46030.0</v>
      </c>
      <c r="D9455" s="6" t="s">
        <v>416</v>
      </c>
      <c r="E9455" s="6" t="s">
        <v>610</v>
      </c>
      <c r="F9455" s="6" t="s">
        <v>249</v>
      </c>
      <c r="G9455" s="6" t="s">
        <v>254</v>
      </c>
      <c r="H9455" s="10">
        <v>46033.0</v>
      </c>
      <c r="I9455" s="12">
        <v>11.0</v>
      </c>
      <c r="J9455" s="6" t="s">
        <v>161</v>
      </c>
    </row>
    <row r="9456" ht="22.5" customHeight="1">
      <c r="A9456" s="6" t="s">
        <v>26264</v>
      </c>
      <c r="B9456" s="6" t="s">
        <v>20907</v>
      </c>
      <c r="C9456" s="10">
        <v>46028.0</v>
      </c>
      <c r="D9456" s="6" t="s">
        <v>289</v>
      </c>
      <c r="E9456" s="6" t="s">
        <v>1700</v>
      </c>
      <c r="F9456" s="6" t="s">
        <v>283</v>
      </c>
      <c r="G9456" s="6" t="s">
        <v>494</v>
      </c>
      <c r="H9456" s="10">
        <v>46031.0</v>
      </c>
      <c r="I9456" s="12">
        <v>5.0</v>
      </c>
      <c r="J9456" s="6" t="s">
        <v>161</v>
      </c>
    </row>
    <row r="9457" ht="22.5" customHeight="1">
      <c r="A9457" s="6" t="s">
        <v>26265</v>
      </c>
      <c r="B9457" s="6" t="s">
        <v>20913</v>
      </c>
      <c r="C9457" s="10">
        <v>46073.0</v>
      </c>
      <c r="D9457" s="6" t="s">
        <v>677</v>
      </c>
      <c r="E9457" s="6" t="s">
        <v>833</v>
      </c>
      <c r="F9457" s="6" t="s">
        <v>112</v>
      </c>
      <c r="G9457" s="6" t="s">
        <v>297</v>
      </c>
      <c r="H9457" s="10">
        <v>46076.0</v>
      </c>
      <c r="I9457" s="12">
        <v>4.0</v>
      </c>
      <c r="J9457" s="6" t="s">
        <v>161</v>
      </c>
    </row>
    <row r="9458" ht="22.5" customHeight="1">
      <c r="A9458" s="6" t="s">
        <v>26266</v>
      </c>
      <c r="B9458" s="6" t="s">
        <v>20913</v>
      </c>
      <c r="C9458" s="10">
        <v>46074.0</v>
      </c>
      <c r="D9458" s="6" t="s">
        <v>436</v>
      </c>
      <c r="E9458" s="6" t="s">
        <v>1149</v>
      </c>
      <c r="F9458" s="6" t="s">
        <v>283</v>
      </c>
      <c r="G9458" s="6" t="s">
        <v>254</v>
      </c>
      <c r="H9458" s="10">
        <v>46077.0</v>
      </c>
      <c r="I9458" s="12">
        <v>10.0</v>
      </c>
      <c r="J9458" s="6" t="s">
        <v>178</v>
      </c>
    </row>
    <row r="9459" ht="22.5" customHeight="1">
      <c r="A9459" s="6" t="s">
        <v>26267</v>
      </c>
      <c r="B9459" s="6" t="s">
        <v>20920</v>
      </c>
      <c r="C9459" s="10">
        <v>46074.0</v>
      </c>
      <c r="D9459" s="6" t="s">
        <v>677</v>
      </c>
      <c r="E9459" s="6" t="s">
        <v>1570</v>
      </c>
      <c r="F9459" s="6" t="s">
        <v>112</v>
      </c>
      <c r="G9459" s="6" t="s">
        <v>494</v>
      </c>
      <c r="H9459" s="10">
        <v>46081.0</v>
      </c>
      <c r="I9459" s="12">
        <v>4.0</v>
      </c>
      <c r="J9459" s="6" t="s">
        <v>161</v>
      </c>
    </row>
    <row r="9460" ht="22.5" customHeight="1">
      <c r="A9460" s="6" t="s">
        <v>26268</v>
      </c>
      <c r="B9460" s="6" t="s">
        <v>20920</v>
      </c>
      <c r="C9460" s="10">
        <v>46082.0</v>
      </c>
      <c r="D9460" s="6" t="s">
        <v>391</v>
      </c>
      <c r="E9460" s="6" t="s">
        <v>1552</v>
      </c>
      <c r="F9460" s="6" t="s">
        <v>439</v>
      </c>
      <c r="G9460" s="6" t="s">
        <v>477</v>
      </c>
      <c r="H9460" s="10">
        <v>46085.0</v>
      </c>
      <c r="I9460" s="12">
        <v>9.0</v>
      </c>
      <c r="J9460" s="6" t="s">
        <v>161</v>
      </c>
    </row>
    <row r="9461" ht="22.5" customHeight="1">
      <c r="A9461" s="6" t="s">
        <v>26269</v>
      </c>
      <c r="B9461" s="6" t="s">
        <v>20920</v>
      </c>
      <c r="C9461" s="10">
        <v>46079.0</v>
      </c>
      <c r="D9461" s="6" t="s">
        <v>242</v>
      </c>
      <c r="E9461" s="6" t="s">
        <v>716</v>
      </c>
      <c r="F9461" s="6" t="s">
        <v>439</v>
      </c>
      <c r="G9461" s="6" t="s">
        <v>326</v>
      </c>
      <c r="H9461" s="11" t="s">
        <v>259</v>
      </c>
      <c r="I9461" s="12">
        <v>3.0</v>
      </c>
      <c r="J9461" s="6" t="s">
        <v>178</v>
      </c>
    </row>
    <row r="9462" ht="22.5" customHeight="1">
      <c r="A9462" s="6" t="s">
        <v>26270</v>
      </c>
      <c r="B9462" s="6" t="s">
        <v>20920</v>
      </c>
      <c r="C9462" s="10">
        <v>46073.0</v>
      </c>
      <c r="D9462" s="6" t="s">
        <v>416</v>
      </c>
      <c r="E9462" s="6" t="s">
        <v>1149</v>
      </c>
      <c r="F9462" s="6" t="s">
        <v>283</v>
      </c>
      <c r="G9462" s="6" t="s">
        <v>254</v>
      </c>
      <c r="H9462" s="10">
        <v>46076.0</v>
      </c>
      <c r="I9462" s="12">
        <v>11.0</v>
      </c>
      <c r="J9462" s="6" t="s">
        <v>161</v>
      </c>
    </row>
    <row r="9463" ht="22.5" customHeight="1">
      <c r="A9463" s="6" t="s">
        <v>26271</v>
      </c>
      <c r="B9463" s="6" t="s">
        <v>20927</v>
      </c>
      <c r="C9463" s="10">
        <v>46052.0</v>
      </c>
      <c r="D9463" s="6" t="s">
        <v>677</v>
      </c>
      <c r="E9463" s="6" t="s">
        <v>475</v>
      </c>
      <c r="F9463" s="6" t="s">
        <v>439</v>
      </c>
      <c r="G9463" s="6" t="s">
        <v>458</v>
      </c>
      <c r="H9463" s="10">
        <v>46057.0</v>
      </c>
      <c r="I9463" s="12">
        <v>2.0</v>
      </c>
      <c r="J9463" s="6" t="s">
        <v>161</v>
      </c>
    </row>
    <row r="9464" ht="22.5" customHeight="1">
      <c r="A9464" s="6" t="s">
        <v>26272</v>
      </c>
      <c r="B9464" s="6" t="s">
        <v>20927</v>
      </c>
      <c r="C9464" s="10">
        <v>46057.0</v>
      </c>
      <c r="D9464" s="6" t="s">
        <v>677</v>
      </c>
      <c r="E9464" s="6" t="s">
        <v>246</v>
      </c>
      <c r="F9464" s="6" t="s">
        <v>112</v>
      </c>
      <c r="G9464" s="6" t="s">
        <v>369</v>
      </c>
      <c r="H9464" s="11" t="s">
        <v>259</v>
      </c>
      <c r="I9464" s="12">
        <v>4.0</v>
      </c>
      <c r="J9464" s="6" t="s">
        <v>161</v>
      </c>
    </row>
    <row r="9465" ht="22.5" customHeight="1">
      <c r="A9465" s="6" t="s">
        <v>26273</v>
      </c>
      <c r="B9465" s="6" t="s">
        <v>20927</v>
      </c>
      <c r="C9465" s="10">
        <v>46054.0</v>
      </c>
      <c r="D9465" s="6" t="s">
        <v>416</v>
      </c>
      <c r="E9465" s="6" t="s">
        <v>738</v>
      </c>
      <c r="F9465" s="6" t="s">
        <v>112</v>
      </c>
      <c r="G9465" s="6" t="s">
        <v>458</v>
      </c>
      <c r="H9465" s="10">
        <v>46061.0</v>
      </c>
      <c r="I9465" s="12">
        <v>8.0</v>
      </c>
      <c r="J9465" s="6" t="s">
        <v>161</v>
      </c>
    </row>
    <row r="9466" ht="22.5" customHeight="1">
      <c r="A9466" s="6" t="s">
        <v>26274</v>
      </c>
      <c r="B9466" s="6" t="s">
        <v>20927</v>
      </c>
      <c r="C9466" s="10">
        <v>46060.0</v>
      </c>
      <c r="D9466" s="6" t="s">
        <v>436</v>
      </c>
      <c r="E9466" s="6" t="s">
        <v>566</v>
      </c>
      <c r="F9466" s="6" t="s">
        <v>283</v>
      </c>
      <c r="G9466" s="6" t="s">
        <v>297</v>
      </c>
      <c r="H9466" s="10">
        <v>46061.0</v>
      </c>
      <c r="I9466" s="12">
        <v>8.0</v>
      </c>
      <c r="J9466" s="6" t="s">
        <v>178</v>
      </c>
    </row>
    <row r="9467" ht="22.5" customHeight="1">
      <c r="A9467" s="6" t="s">
        <v>26275</v>
      </c>
      <c r="B9467" s="6" t="s">
        <v>20927</v>
      </c>
      <c r="C9467" s="10">
        <v>46061.0</v>
      </c>
      <c r="D9467" s="6" t="s">
        <v>391</v>
      </c>
      <c r="E9467" s="6" t="s">
        <v>687</v>
      </c>
      <c r="F9467" s="6" t="s">
        <v>283</v>
      </c>
      <c r="G9467" s="6" t="s">
        <v>326</v>
      </c>
      <c r="H9467" s="10">
        <v>46062.0</v>
      </c>
      <c r="I9467" s="12">
        <v>9.0</v>
      </c>
      <c r="J9467" s="6" t="s">
        <v>161</v>
      </c>
    </row>
    <row r="9468" ht="22.5" customHeight="1">
      <c r="A9468" s="6" t="s">
        <v>26276</v>
      </c>
      <c r="B9468" s="6" t="s">
        <v>20934</v>
      </c>
      <c r="C9468" s="10">
        <v>46040.0</v>
      </c>
      <c r="D9468" s="6" t="s">
        <v>312</v>
      </c>
      <c r="E9468" s="6" t="s">
        <v>438</v>
      </c>
      <c r="F9468" s="6" t="s">
        <v>439</v>
      </c>
      <c r="G9468" s="6" t="s">
        <v>452</v>
      </c>
      <c r="H9468" s="10">
        <v>46041.0</v>
      </c>
      <c r="I9468" s="12">
        <v>4.0</v>
      </c>
      <c r="J9468" s="6" t="s">
        <v>161</v>
      </c>
    </row>
    <row r="9469" ht="22.5" customHeight="1">
      <c r="A9469" s="6" t="s">
        <v>26277</v>
      </c>
      <c r="B9469" s="6" t="s">
        <v>20934</v>
      </c>
      <c r="C9469" s="10">
        <v>46048.0</v>
      </c>
      <c r="D9469" s="6" t="s">
        <v>416</v>
      </c>
      <c r="E9469" s="6" t="s">
        <v>566</v>
      </c>
      <c r="F9469" s="6" t="s">
        <v>249</v>
      </c>
      <c r="G9469" s="6" t="s">
        <v>452</v>
      </c>
      <c r="H9469" s="10">
        <v>46051.0</v>
      </c>
      <c r="I9469" s="12">
        <v>11.0</v>
      </c>
      <c r="J9469" s="6" t="s">
        <v>161</v>
      </c>
    </row>
    <row r="9470" ht="22.5" customHeight="1">
      <c r="A9470" s="6" t="s">
        <v>26278</v>
      </c>
      <c r="B9470" s="6" t="s">
        <v>20940</v>
      </c>
      <c r="C9470" s="10">
        <v>46025.0</v>
      </c>
      <c r="D9470" s="6" t="s">
        <v>677</v>
      </c>
      <c r="E9470" s="6" t="s">
        <v>1296</v>
      </c>
      <c r="F9470" s="6" t="s">
        <v>112</v>
      </c>
      <c r="G9470" s="6" t="s">
        <v>254</v>
      </c>
      <c r="H9470" s="11" t="s">
        <v>259</v>
      </c>
      <c r="I9470" s="12">
        <v>2.0</v>
      </c>
      <c r="J9470" s="6" t="s">
        <v>161</v>
      </c>
    </row>
    <row r="9471" ht="22.5" customHeight="1">
      <c r="A9471" s="6" t="s">
        <v>26279</v>
      </c>
      <c r="B9471" s="6" t="s">
        <v>20940</v>
      </c>
      <c r="C9471" s="10">
        <v>46042.0</v>
      </c>
      <c r="D9471" s="6" t="s">
        <v>416</v>
      </c>
      <c r="E9471" s="6" t="s">
        <v>1102</v>
      </c>
      <c r="F9471" s="6" t="s">
        <v>283</v>
      </c>
      <c r="G9471" s="6" t="s">
        <v>477</v>
      </c>
      <c r="H9471" s="10">
        <v>46044.0</v>
      </c>
      <c r="I9471" s="12">
        <v>10.0</v>
      </c>
      <c r="J9471" s="6" t="s">
        <v>161</v>
      </c>
    </row>
    <row r="9472" ht="22.5" customHeight="1">
      <c r="A9472" s="6" t="s">
        <v>26280</v>
      </c>
      <c r="B9472" s="6" t="s">
        <v>20940</v>
      </c>
      <c r="C9472" s="10">
        <v>46033.0</v>
      </c>
      <c r="D9472" s="6" t="s">
        <v>416</v>
      </c>
      <c r="E9472" s="6" t="s">
        <v>1102</v>
      </c>
      <c r="F9472" s="6" t="s">
        <v>439</v>
      </c>
      <c r="G9472" s="6" t="s">
        <v>452</v>
      </c>
      <c r="H9472" s="10">
        <v>46033.0</v>
      </c>
      <c r="I9472" s="12">
        <v>9.0</v>
      </c>
      <c r="J9472" s="6" t="s">
        <v>161</v>
      </c>
    </row>
    <row r="9473" ht="22.5" customHeight="1">
      <c r="A9473" s="6" t="s">
        <v>26281</v>
      </c>
      <c r="B9473" s="6" t="s">
        <v>20940</v>
      </c>
      <c r="C9473" s="10">
        <v>46038.0</v>
      </c>
      <c r="D9473" s="6" t="s">
        <v>242</v>
      </c>
      <c r="E9473" s="6" t="s">
        <v>1280</v>
      </c>
      <c r="F9473" s="6" t="s">
        <v>283</v>
      </c>
      <c r="G9473" s="6" t="s">
        <v>369</v>
      </c>
      <c r="H9473" s="10">
        <v>46043.0</v>
      </c>
      <c r="I9473" s="12">
        <v>3.0</v>
      </c>
      <c r="J9473" s="6" t="s">
        <v>178</v>
      </c>
    </row>
    <row r="9474" ht="22.5" customHeight="1">
      <c r="A9474" s="6" t="s">
        <v>26282</v>
      </c>
      <c r="B9474" s="6" t="s">
        <v>20940</v>
      </c>
      <c r="C9474" s="10">
        <v>46029.0</v>
      </c>
      <c r="D9474" s="6" t="s">
        <v>312</v>
      </c>
      <c r="E9474" s="6" t="s">
        <v>687</v>
      </c>
      <c r="F9474" s="6" t="s">
        <v>439</v>
      </c>
      <c r="G9474" s="6" t="s">
        <v>297</v>
      </c>
      <c r="H9474" s="10">
        <v>46030.0</v>
      </c>
      <c r="I9474" s="12">
        <v>7.0</v>
      </c>
      <c r="J9474" s="6" t="s">
        <v>161</v>
      </c>
    </row>
    <row r="9475" ht="22.5" customHeight="1">
      <c r="A9475" s="6" t="s">
        <v>26283</v>
      </c>
      <c r="B9475" s="6" t="s">
        <v>20947</v>
      </c>
      <c r="C9475" s="10">
        <v>46040.0</v>
      </c>
      <c r="D9475" s="6" t="s">
        <v>416</v>
      </c>
      <c r="E9475" s="6" t="s">
        <v>1720</v>
      </c>
      <c r="F9475" s="6" t="s">
        <v>439</v>
      </c>
      <c r="G9475" s="6" t="s">
        <v>297</v>
      </c>
      <c r="H9475" s="11" t="s">
        <v>259</v>
      </c>
      <c r="I9475" s="12">
        <v>13.0</v>
      </c>
      <c r="J9475" s="6" t="s">
        <v>161</v>
      </c>
    </row>
    <row r="9476" ht="22.5" customHeight="1">
      <c r="A9476" s="6" t="s">
        <v>26284</v>
      </c>
      <c r="B9476" s="6" t="s">
        <v>20947</v>
      </c>
      <c r="C9476" s="10">
        <v>46048.0</v>
      </c>
      <c r="D9476" s="6" t="s">
        <v>312</v>
      </c>
      <c r="E9476" s="6" t="s">
        <v>628</v>
      </c>
      <c r="F9476" s="6" t="s">
        <v>283</v>
      </c>
      <c r="G9476" s="6" t="s">
        <v>326</v>
      </c>
      <c r="H9476" s="10">
        <v>46048.0</v>
      </c>
      <c r="I9476" s="12">
        <v>5.0</v>
      </c>
      <c r="J9476" s="6" t="s">
        <v>161</v>
      </c>
    </row>
    <row r="9477" ht="22.5" customHeight="1">
      <c r="A9477" s="6" t="s">
        <v>26285</v>
      </c>
      <c r="B9477" s="6" t="s">
        <v>20947</v>
      </c>
      <c r="C9477" s="10">
        <v>46051.0</v>
      </c>
      <c r="D9477" s="6" t="s">
        <v>391</v>
      </c>
      <c r="E9477" s="6" t="s">
        <v>1122</v>
      </c>
      <c r="F9477" s="6" t="s">
        <v>283</v>
      </c>
      <c r="G9477" s="6" t="s">
        <v>494</v>
      </c>
      <c r="H9477" s="10">
        <v>46054.0</v>
      </c>
      <c r="I9477" s="12">
        <v>7.0</v>
      </c>
      <c r="J9477" s="6" t="s">
        <v>161</v>
      </c>
    </row>
    <row r="9478" ht="22.5" customHeight="1">
      <c r="A9478" s="6" t="s">
        <v>26286</v>
      </c>
      <c r="B9478" s="6" t="s">
        <v>20947</v>
      </c>
      <c r="C9478" s="10">
        <v>46038.0</v>
      </c>
      <c r="D9478" s="6" t="s">
        <v>242</v>
      </c>
      <c r="E9478" s="6" t="s">
        <v>1310</v>
      </c>
      <c r="F9478" s="6" t="s">
        <v>249</v>
      </c>
      <c r="G9478" s="6" t="s">
        <v>477</v>
      </c>
      <c r="H9478" s="11" t="s">
        <v>259</v>
      </c>
      <c r="I9478" s="12">
        <v>6.0</v>
      </c>
      <c r="J9478" s="6" t="s">
        <v>178</v>
      </c>
    </row>
    <row r="9479" ht="22.5" customHeight="1">
      <c r="A9479" s="6" t="s">
        <v>26287</v>
      </c>
      <c r="B9479" s="6" t="s">
        <v>20947</v>
      </c>
      <c r="C9479" s="10">
        <v>46035.0</v>
      </c>
      <c r="D9479" s="6" t="s">
        <v>436</v>
      </c>
      <c r="E9479" s="6" t="s">
        <v>394</v>
      </c>
      <c r="F9479" s="6" t="s">
        <v>283</v>
      </c>
      <c r="G9479" s="6" t="s">
        <v>297</v>
      </c>
      <c r="H9479" s="10">
        <v>46041.0</v>
      </c>
      <c r="I9479" s="12">
        <v>12.0</v>
      </c>
      <c r="J9479" s="6" t="s">
        <v>178</v>
      </c>
    </row>
    <row r="9480" ht="22.5" customHeight="1">
      <c r="A9480" s="6" t="s">
        <v>26288</v>
      </c>
      <c r="B9480" s="6" t="s">
        <v>20953</v>
      </c>
      <c r="C9480" s="10">
        <v>46060.0</v>
      </c>
      <c r="D9480" s="6" t="s">
        <v>242</v>
      </c>
      <c r="E9480" s="6" t="s">
        <v>704</v>
      </c>
      <c r="F9480" s="6" t="s">
        <v>249</v>
      </c>
      <c r="G9480" s="6" t="s">
        <v>458</v>
      </c>
      <c r="H9480" s="10">
        <v>46067.0</v>
      </c>
      <c r="I9480" s="12">
        <v>5.0</v>
      </c>
      <c r="J9480" s="6" t="s">
        <v>178</v>
      </c>
    </row>
    <row r="9481" ht="22.5" customHeight="1">
      <c r="A9481" s="6" t="s">
        <v>26289</v>
      </c>
      <c r="B9481" s="6" t="s">
        <v>20953</v>
      </c>
      <c r="C9481" s="10">
        <v>46068.0</v>
      </c>
      <c r="D9481" s="6" t="s">
        <v>436</v>
      </c>
      <c r="E9481" s="6" t="s">
        <v>1517</v>
      </c>
      <c r="F9481" s="6" t="s">
        <v>439</v>
      </c>
      <c r="G9481" s="6" t="s">
        <v>458</v>
      </c>
      <c r="H9481" s="10">
        <v>46071.0</v>
      </c>
      <c r="I9481" s="12">
        <v>10.0</v>
      </c>
      <c r="J9481" s="6" t="s">
        <v>161</v>
      </c>
    </row>
    <row r="9482" ht="22.5" customHeight="1">
      <c r="A9482" s="6" t="s">
        <v>26290</v>
      </c>
      <c r="B9482" s="6" t="s">
        <v>20953</v>
      </c>
      <c r="C9482" s="10">
        <v>46056.0</v>
      </c>
      <c r="D9482" s="6" t="s">
        <v>391</v>
      </c>
      <c r="E9482" s="6" t="s">
        <v>775</v>
      </c>
      <c r="F9482" s="6" t="s">
        <v>439</v>
      </c>
      <c r="G9482" s="6" t="s">
        <v>458</v>
      </c>
      <c r="H9482" s="10">
        <v>46060.0</v>
      </c>
      <c r="I9482" s="12">
        <v>11.0</v>
      </c>
      <c r="J9482" s="6" t="s">
        <v>161</v>
      </c>
    </row>
    <row r="9483" ht="22.5" customHeight="1">
      <c r="A9483" s="6" t="s">
        <v>26291</v>
      </c>
      <c r="B9483" s="6" t="s">
        <v>20953</v>
      </c>
      <c r="C9483" s="10">
        <v>46059.0</v>
      </c>
      <c r="D9483" s="6" t="s">
        <v>416</v>
      </c>
      <c r="E9483" s="6" t="s">
        <v>896</v>
      </c>
      <c r="F9483" s="6" t="s">
        <v>283</v>
      </c>
      <c r="G9483" s="6" t="s">
        <v>254</v>
      </c>
      <c r="H9483" s="11" t="s">
        <v>259</v>
      </c>
      <c r="I9483" s="12">
        <v>11.0</v>
      </c>
      <c r="J9483" s="6" t="s">
        <v>161</v>
      </c>
    </row>
    <row r="9484" ht="22.5" customHeight="1">
      <c r="A9484" s="6" t="s">
        <v>26292</v>
      </c>
      <c r="B9484" s="6" t="s">
        <v>20960</v>
      </c>
      <c r="C9484" s="10">
        <v>46048.0</v>
      </c>
      <c r="D9484" s="6" t="s">
        <v>677</v>
      </c>
      <c r="E9484" s="6" t="s">
        <v>885</v>
      </c>
      <c r="F9484" s="6" t="s">
        <v>439</v>
      </c>
      <c r="G9484" s="6" t="s">
        <v>254</v>
      </c>
      <c r="H9484" s="10">
        <v>46055.0</v>
      </c>
      <c r="I9484" s="12">
        <v>3.0</v>
      </c>
      <c r="J9484" s="6" t="s">
        <v>161</v>
      </c>
    </row>
    <row r="9485" ht="22.5" customHeight="1">
      <c r="A9485" s="6" t="s">
        <v>26293</v>
      </c>
      <c r="B9485" s="6" t="s">
        <v>20960</v>
      </c>
      <c r="C9485" s="10">
        <v>46046.0</v>
      </c>
      <c r="D9485" s="6" t="s">
        <v>436</v>
      </c>
      <c r="E9485" s="6" t="s">
        <v>1626</v>
      </c>
      <c r="F9485" s="6" t="s">
        <v>283</v>
      </c>
      <c r="G9485" s="6" t="s">
        <v>458</v>
      </c>
      <c r="H9485" s="10">
        <v>46046.0</v>
      </c>
      <c r="I9485" s="12">
        <v>10.0</v>
      </c>
      <c r="J9485" s="6" t="s">
        <v>178</v>
      </c>
    </row>
    <row r="9486" ht="22.5" customHeight="1">
      <c r="A9486" s="6" t="s">
        <v>26294</v>
      </c>
      <c r="B9486" s="6" t="s">
        <v>20960</v>
      </c>
      <c r="C9486" s="10">
        <v>46039.0</v>
      </c>
      <c r="D9486" s="6" t="s">
        <v>289</v>
      </c>
      <c r="E9486" s="6" t="s">
        <v>775</v>
      </c>
      <c r="F9486" s="6" t="s">
        <v>249</v>
      </c>
      <c r="G9486" s="6" t="s">
        <v>254</v>
      </c>
      <c r="H9486" s="10">
        <v>46044.0</v>
      </c>
      <c r="I9486" s="12">
        <v>7.0</v>
      </c>
      <c r="J9486" s="6" t="s">
        <v>161</v>
      </c>
    </row>
    <row r="9487" ht="22.5" customHeight="1">
      <c r="A9487" s="6" t="s">
        <v>26295</v>
      </c>
      <c r="B9487" s="6" t="s">
        <v>20960</v>
      </c>
      <c r="C9487" s="10">
        <v>46049.0</v>
      </c>
      <c r="D9487" s="6" t="s">
        <v>677</v>
      </c>
      <c r="E9487" s="6" t="s">
        <v>320</v>
      </c>
      <c r="F9487" s="6" t="s">
        <v>112</v>
      </c>
      <c r="G9487" s="6" t="s">
        <v>452</v>
      </c>
      <c r="H9487" s="10">
        <v>46051.0</v>
      </c>
      <c r="I9487" s="12">
        <v>4.0</v>
      </c>
      <c r="J9487" s="6" t="s">
        <v>161</v>
      </c>
    </row>
    <row r="9488" ht="22.5" customHeight="1">
      <c r="A9488" s="6" t="s">
        <v>26296</v>
      </c>
      <c r="B9488" s="6" t="s">
        <v>20967</v>
      </c>
      <c r="C9488" s="10">
        <v>46071.0</v>
      </c>
      <c r="D9488" s="6" t="s">
        <v>242</v>
      </c>
      <c r="E9488" s="6" t="s">
        <v>1296</v>
      </c>
      <c r="F9488" s="6" t="s">
        <v>249</v>
      </c>
      <c r="G9488" s="6" t="s">
        <v>494</v>
      </c>
      <c r="H9488" s="10">
        <v>46078.0</v>
      </c>
      <c r="I9488" s="12">
        <v>4.0</v>
      </c>
      <c r="J9488" s="6" t="s">
        <v>161</v>
      </c>
    </row>
    <row r="9489" ht="22.5" customHeight="1">
      <c r="A9489" s="6" t="s">
        <v>26297</v>
      </c>
      <c r="B9489" s="6" t="s">
        <v>20967</v>
      </c>
      <c r="C9489" s="10">
        <v>46078.0</v>
      </c>
      <c r="D9489" s="6" t="s">
        <v>312</v>
      </c>
      <c r="E9489" s="6" t="s">
        <v>438</v>
      </c>
      <c r="F9489" s="6" t="s">
        <v>283</v>
      </c>
      <c r="G9489" s="6" t="s">
        <v>369</v>
      </c>
      <c r="H9489" s="10">
        <v>46084.0</v>
      </c>
      <c r="I9489" s="12">
        <v>7.0</v>
      </c>
      <c r="J9489" s="6" t="s">
        <v>161</v>
      </c>
    </row>
    <row r="9490" ht="22.5" customHeight="1">
      <c r="A9490" s="6" t="s">
        <v>26298</v>
      </c>
      <c r="B9490" s="6" t="s">
        <v>20967</v>
      </c>
      <c r="C9490" s="10">
        <v>46070.0</v>
      </c>
      <c r="D9490" s="6" t="s">
        <v>391</v>
      </c>
      <c r="E9490" s="6" t="s">
        <v>955</v>
      </c>
      <c r="F9490" s="6" t="s">
        <v>249</v>
      </c>
      <c r="G9490" s="6" t="s">
        <v>254</v>
      </c>
      <c r="H9490" s="10">
        <v>46072.0</v>
      </c>
      <c r="I9490" s="12">
        <v>6.0</v>
      </c>
      <c r="J9490" s="6" t="s">
        <v>161</v>
      </c>
    </row>
    <row r="9491" ht="22.5" customHeight="1">
      <c r="A9491" s="6" t="s">
        <v>26299</v>
      </c>
      <c r="B9491" s="6" t="s">
        <v>20972</v>
      </c>
      <c r="C9491" s="10">
        <v>46040.0</v>
      </c>
      <c r="D9491" s="6" t="s">
        <v>416</v>
      </c>
      <c r="E9491" s="6" t="s">
        <v>1296</v>
      </c>
      <c r="F9491" s="6" t="s">
        <v>112</v>
      </c>
      <c r="G9491" s="6" t="s">
        <v>452</v>
      </c>
      <c r="H9491" s="10">
        <v>46047.0</v>
      </c>
      <c r="I9491" s="12">
        <v>11.0</v>
      </c>
      <c r="J9491" s="6" t="s">
        <v>161</v>
      </c>
    </row>
    <row r="9492" ht="22.5" customHeight="1">
      <c r="A9492" s="6" t="s">
        <v>26300</v>
      </c>
      <c r="B9492" s="6" t="s">
        <v>20972</v>
      </c>
      <c r="C9492" s="10">
        <v>46042.0</v>
      </c>
      <c r="D9492" s="6" t="s">
        <v>677</v>
      </c>
      <c r="E9492" s="6" t="s">
        <v>512</v>
      </c>
      <c r="F9492" s="6" t="s">
        <v>283</v>
      </c>
      <c r="G9492" s="6" t="s">
        <v>494</v>
      </c>
      <c r="H9492" s="10">
        <v>46046.0</v>
      </c>
      <c r="I9492" s="12">
        <v>4.0</v>
      </c>
      <c r="J9492" s="6" t="s">
        <v>161</v>
      </c>
    </row>
    <row r="9493" ht="22.5" customHeight="1">
      <c r="A9493" s="6" t="s">
        <v>26301</v>
      </c>
      <c r="B9493" s="6" t="s">
        <v>20972</v>
      </c>
      <c r="C9493" s="10">
        <v>46031.0</v>
      </c>
      <c r="D9493" s="6" t="s">
        <v>242</v>
      </c>
      <c r="E9493" s="6" t="s">
        <v>1517</v>
      </c>
      <c r="F9493" s="6" t="s">
        <v>439</v>
      </c>
      <c r="G9493" s="6" t="s">
        <v>297</v>
      </c>
      <c r="H9493" s="10">
        <v>46033.0</v>
      </c>
      <c r="I9493" s="12">
        <v>5.0</v>
      </c>
      <c r="J9493" s="6" t="s">
        <v>178</v>
      </c>
    </row>
    <row r="9494" ht="22.5" customHeight="1">
      <c r="A9494" s="6" t="s">
        <v>26302</v>
      </c>
      <c r="B9494" s="6" t="s">
        <v>20979</v>
      </c>
      <c r="C9494" s="10">
        <v>46084.0</v>
      </c>
      <c r="D9494" s="6" t="s">
        <v>289</v>
      </c>
      <c r="E9494" s="6" t="s">
        <v>450</v>
      </c>
      <c r="F9494" s="6" t="s">
        <v>283</v>
      </c>
      <c r="G9494" s="6" t="s">
        <v>326</v>
      </c>
      <c r="H9494" s="10">
        <v>46087.0</v>
      </c>
      <c r="I9494" s="12">
        <v>9.0</v>
      </c>
      <c r="J9494" s="6" t="s">
        <v>161</v>
      </c>
    </row>
    <row r="9495" ht="22.5" customHeight="1">
      <c r="A9495" s="6" t="s">
        <v>26303</v>
      </c>
      <c r="B9495" s="6" t="s">
        <v>20979</v>
      </c>
      <c r="C9495" s="10">
        <v>46072.0</v>
      </c>
      <c r="D9495" s="6" t="s">
        <v>677</v>
      </c>
      <c r="E9495" s="6" t="s">
        <v>394</v>
      </c>
      <c r="F9495" s="6" t="s">
        <v>439</v>
      </c>
      <c r="G9495" s="6" t="s">
        <v>254</v>
      </c>
      <c r="H9495" s="10">
        <v>46073.0</v>
      </c>
      <c r="I9495" s="12">
        <v>2.0</v>
      </c>
      <c r="J9495" s="6" t="s">
        <v>161</v>
      </c>
    </row>
    <row r="9496" ht="22.5" customHeight="1">
      <c r="A9496" s="6" t="s">
        <v>26304</v>
      </c>
      <c r="B9496" s="6" t="s">
        <v>20979</v>
      </c>
      <c r="C9496" s="10">
        <v>46077.0</v>
      </c>
      <c r="D9496" s="6" t="s">
        <v>391</v>
      </c>
      <c r="E9496" s="6" t="s">
        <v>417</v>
      </c>
      <c r="F9496" s="6" t="s">
        <v>439</v>
      </c>
      <c r="G9496" s="6" t="s">
        <v>254</v>
      </c>
      <c r="H9496" s="11" t="s">
        <v>259</v>
      </c>
      <c r="I9496" s="12">
        <v>7.0</v>
      </c>
      <c r="J9496" s="6" t="s">
        <v>161</v>
      </c>
    </row>
    <row r="9497" ht="22.5" customHeight="1">
      <c r="A9497" s="6" t="s">
        <v>26305</v>
      </c>
      <c r="B9497" s="6" t="s">
        <v>20979</v>
      </c>
      <c r="C9497" s="10">
        <v>46066.0</v>
      </c>
      <c r="D9497" s="6" t="s">
        <v>677</v>
      </c>
      <c r="E9497" s="6" t="s">
        <v>291</v>
      </c>
      <c r="F9497" s="6" t="s">
        <v>249</v>
      </c>
      <c r="G9497" s="6" t="s">
        <v>297</v>
      </c>
      <c r="H9497" s="11" t="s">
        <v>259</v>
      </c>
      <c r="I9497" s="12">
        <v>2.0</v>
      </c>
      <c r="J9497" s="6" t="s">
        <v>161</v>
      </c>
    </row>
    <row r="9498" ht="22.5" customHeight="1">
      <c r="A9498" s="6" t="s">
        <v>26306</v>
      </c>
      <c r="B9498" s="6" t="s">
        <v>20986</v>
      </c>
      <c r="C9498" s="10">
        <v>46065.0</v>
      </c>
      <c r="D9498" s="6" t="s">
        <v>391</v>
      </c>
      <c r="E9498" s="6" t="s">
        <v>738</v>
      </c>
      <c r="F9498" s="6" t="s">
        <v>283</v>
      </c>
      <c r="G9498" s="6" t="s">
        <v>494</v>
      </c>
      <c r="H9498" s="10">
        <v>46066.0</v>
      </c>
      <c r="I9498" s="12">
        <v>9.0</v>
      </c>
      <c r="J9498" s="6" t="s">
        <v>161</v>
      </c>
    </row>
    <row r="9499" ht="22.5" customHeight="1">
      <c r="A9499" s="6" t="s">
        <v>26307</v>
      </c>
      <c r="B9499" s="6" t="s">
        <v>20986</v>
      </c>
      <c r="C9499" s="10">
        <v>46070.0</v>
      </c>
      <c r="D9499" s="6" t="s">
        <v>242</v>
      </c>
      <c r="E9499" s="6" t="s">
        <v>1720</v>
      </c>
      <c r="F9499" s="6" t="s">
        <v>283</v>
      </c>
      <c r="G9499" s="6" t="s">
        <v>458</v>
      </c>
      <c r="H9499" s="10">
        <v>46076.0</v>
      </c>
      <c r="I9499" s="12">
        <v>3.0</v>
      </c>
      <c r="J9499" s="6" t="s">
        <v>178</v>
      </c>
    </row>
    <row r="9500" ht="22.5" customHeight="1">
      <c r="A9500" s="6" t="s">
        <v>26308</v>
      </c>
      <c r="B9500" s="6" t="s">
        <v>20986</v>
      </c>
      <c r="C9500" s="10">
        <v>46062.0</v>
      </c>
      <c r="D9500" s="6" t="s">
        <v>242</v>
      </c>
      <c r="E9500" s="6" t="s">
        <v>512</v>
      </c>
      <c r="F9500" s="6" t="s">
        <v>283</v>
      </c>
      <c r="G9500" s="6" t="s">
        <v>458</v>
      </c>
      <c r="H9500" s="10">
        <v>46065.0</v>
      </c>
      <c r="I9500" s="12">
        <v>6.0</v>
      </c>
      <c r="J9500" s="6" t="s">
        <v>178</v>
      </c>
    </row>
    <row r="9501" ht="22.5" customHeight="1">
      <c r="A9501" s="6" t="s">
        <v>26309</v>
      </c>
      <c r="B9501" s="6" t="s">
        <v>20986</v>
      </c>
      <c r="C9501" s="10">
        <v>46065.0</v>
      </c>
      <c r="D9501" s="6" t="s">
        <v>312</v>
      </c>
      <c r="E9501" s="6" t="s">
        <v>1280</v>
      </c>
      <c r="F9501" s="6" t="s">
        <v>283</v>
      </c>
      <c r="G9501" s="6" t="s">
        <v>326</v>
      </c>
      <c r="H9501" s="10">
        <v>46068.0</v>
      </c>
      <c r="I9501" s="12">
        <v>7.0</v>
      </c>
      <c r="J9501" s="6" t="s">
        <v>161</v>
      </c>
    </row>
    <row r="9502" ht="22.5" customHeight="1">
      <c r="A9502" s="6" t="s">
        <v>26310</v>
      </c>
      <c r="B9502" s="6" t="s">
        <v>20993</v>
      </c>
      <c r="C9502" s="10">
        <v>46035.0</v>
      </c>
      <c r="D9502" s="6" t="s">
        <v>289</v>
      </c>
      <c r="E9502" s="6" t="s">
        <v>1280</v>
      </c>
      <c r="F9502" s="6" t="s">
        <v>112</v>
      </c>
      <c r="G9502" s="6" t="s">
        <v>297</v>
      </c>
      <c r="H9502" s="10">
        <v>46035.0</v>
      </c>
      <c r="I9502" s="12">
        <v>6.0</v>
      </c>
      <c r="J9502" s="6" t="s">
        <v>161</v>
      </c>
    </row>
    <row r="9503" ht="22.5" customHeight="1">
      <c r="A9503" s="6" t="s">
        <v>26311</v>
      </c>
      <c r="B9503" s="6" t="s">
        <v>20993</v>
      </c>
      <c r="C9503" s="10">
        <v>46035.0</v>
      </c>
      <c r="D9503" s="6" t="s">
        <v>391</v>
      </c>
      <c r="E9503" s="6" t="s">
        <v>1035</v>
      </c>
      <c r="F9503" s="6" t="s">
        <v>249</v>
      </c>
      <c r="G9503" s="6" t="s">
        <v>326</v>
      </c>
      <c r="H9503" s="11" t="s">
        <v>259</v>
      </c>
      <c r="I9503" s="12">
        <v>8.0</v>
      </c>
      <c r="J9503" s="6" t="s">
        <v>161</v>
      </c>
    </row>
    <row r="9504" ht="22.5" customHeight="1">
      <c r="A9504" s="6" t="s">
        <v>26312</v>
      </c>
      <c r="B9504" s="6" t="s">
        <v>20993</v>
      </c>
      <c r="C9504" s="10">
        <v>46027.0</v>
      </c>
      <c r="D9504" s="6" t="s">
        <v>391</v>
      </c>
      <c r="E9504" s="6" t="s">
        <v>450</v>
      </c>
      <c r="F9504" s="6" t="s">
        <v>283</v>
      </c>
      <c r="G9504" s="6" t="s">
        <v>369</v>
      </c>
      <c r="H9504" s="10">
        <v>46034.0</v>
      </c>
      <c r="I9504" s="12">
        <v>10.0</v>
      </c>
      <c r="J9504" s="6" t="s">
        <v>161</v>
      </c>
    </row>
    <row r="9505" ht="22.5" customHeight="1">
      <c r="A9505" s="6" t="s">
        <v>26313</v>
      </c>
      <c r="B9505" s="6" t="s">
        <v>20993</v>
      </c>
      <c r="C9505" s="10">
        <v>46027.0</v>
      </c>
      <c r="D9505" s="6" t="s">
        <v>416</v>
      </c>
      <c r="E9505" s="6" t="s">
        <v>2881</v>
      </c>
      <c r="F9505" s="6" t="s">
        <v>112</v>
      </c>
      <c r="G9505" s="6" t="s">
        <v>458</v>
      </c>
      <c r="H9505" s="10">
        <v>46029.0</v>
      </c>
      <c r="I9505" s="12">
        <v>9.0</v>
      </c>
      <c r="J9505" s="6" t="s">
        <v>161</v>
      </c>
    </row>
    <row r="9506" ht="22.5" customHeight="1">
      <c r="A9506" s="6" t="s">
        <v>26314</v>
      </c>
      <c r="B9506" s="6" t="s">
        <v>21000</v>
      </c>
      <c r="C9506" s="10">
        <v>46067.0</v>
      </c>
      <c r="D9506" s="6" t="s">
        <v>677</v>
      </c>
      <c r="E9506" s="6" t="s">
        <v>787</v>
      </c>
      <c r="F9506" s="6" t="s">
        <v>283</v>
      </c>
      <c r="G9506" s="6" t="s">
        <v>494</v>
      </c>
      <c r="H9506" s="10">
        <v>46072.0</v>
      </c>
      <c r="I9506" s="12">
        <v>4.0</v>
      </c>
      <c r="J9506" s="6" t="s">
        <v>161</v>
      </c>
    </row>
    <row r="9507" ht="22.5" customHeight="1">
      <c r="A9507" s="6" t="s">
        <v>26315</v>
      </c>
      <c r="B9507" s="6" t="s">
        <v>21000</v>
      </c>
      <c r="C9507" s="10">
        <v>46061.0</v>
      </c>
      <c r="D9507" s="6" t="s">
        <v>436</v>
      </c>
      <c r="E9507" s="6" t="s">
        <v>1969</v>
      </c>
      <c r="F9507" s="6" t="s">
        <v>439</v>
      </c>
      <c r="G9507" s="6" t="s">
        <v>458</v>
      </c>
      <c r="H9507" s="10">
        <v>46063.0</v>
      </c>
      <c r="I9507" s="12">
        <v>10.0</v>
      </c>
      <c r="J9507" s="6" t="s">
        <v>178</v>
      </c>
    </row>
    <row r="9508" ht="22.5" customHeight="1">
      <c r="A9508" s="6" t="s">
        <v>26316</v>
      </c>
      <c r="B9508" s="6" t="s">
        <v>21006</v>
      </c>
      <c r="C9508" s="10">
        <v>46038.0</v>
      </c>
      <c r="D9508" s="6" t="s">
        <v>312</v>
      </c>
      <c r="E9508" s="6" t="s">
        <v>658</v>
      </c>
      <c r="F9508" s="6" t="s">
        <v>249</v>
      </c>
      <c r="G9508" s="6" t="s">
        <v>494</v>
      </c>
      <c r="H9508" s="10">
        <v>46040.0</v>
      </c>
      <c r="I9508" s="12">
        <v>5.0</v>
      </c>
      <c r="J9508" s="6" t="s">
        <v>161</v>
      </c>
    </row>
    <row r="9509" ht="22.5" customHeight="1">
      <c r="A9509" s="6" t="s">
        <v>26317</v>
      </c>
      <c r="B9509" s="6" t="s">
        <v>21012</v>
      </c>
      <c r="C9509" s="10">
        <v>46074.0</v>
      </c>
      <c r="D9509" s="6" t="s">
        <v>436</v>
      </c>
      <c r="E9509" s="6" t="s">
        <v>1280</v>
      </c>
      <c r="F9509" s="6" t="s">
        <v>439</v>
      </c>
      <c r="G9509" s="6" t="s">
        <v>477</v>
      </c>
      <c r="H9509" s="10">
        <v>46075.0</v>
      </c>
      <c r="I9509" s="12">
        <v>6.0</v>
      </c>
      <c r="J9509" s="6" t="s">
        <v>161</v>
      </c>
    </row>
    <row r="9510" ht="22.5" customHeight="1">
      <c r="A9510" s="6" t="s">
        <v>26318</v>
      </c>
      <c r="B9510" s="6" t="s">
        <v>21019</v>
      </c>
      <c r="C9510" s="10">
        <v>46073.0</v>
      </c>
      <c r="D9510" s="6" t="s">
        <v>416</v>
      </c>
      <c r="E9510" s="6" t="s">
        <v>438</v>
      </c>
      <c r="F9510" s="6" t="s">
        <v>249</v>
      </c>
      <c r="G9510" s="6" t="s">
        <v>452</v>
      </c>
      <c r="H9510" s="10">
        <v>46075.0</v>
      </c>
      <c r="I9510" s="12">
        <v>13.0</v>
      </c>
      <c r="J9510" s="6" t="s">
        <v>161</v>
      </c>
    </row>
    <row r="9511" ht="22.5" customHeight="1">
      <c r="A9511" s="6" t="s">
        <v>26319</v>
      </c>
      <c r="B9511" s="6" t="s">
        <v>21019</v>
      </c>
      <c r="C9511" s="10">
        <v>46061.0</v>
      </c>
      <c r="D9511" s="6" t="s">
        <v>436</v>
      </c>
      <c r="E9511" s="6" t="s">
        <v>1070</v>
      </c>
      <c r="F9511" s="6" t="s">
        <v>112</v>
      </c>
      <c r="G9511" s="6" t="s">
        <v>254</v>
      </c>
      <c r="H9511" s="10">
        <v>46061.0</v>
      </c>
      <c r="I9511" s="12">
        <v>8.0</v>
      </c>
      <c r="J9511" s="6" t="s">
        <v>178</v>
      </c>
    </row>
    <row r="9512" ht="22.5" customHeight="1">
      <c r="A9512" s="6" t="s">
        <v>26320</v>
      </c>
      <c r="B9512" s="6" t="s">
        <v>21019</v>
      </c>
      <c r="C9512" s="10">
        <v>46077.0</v>
      </c>
      <c r="D9512" s="6" t="s">
        <v>289</v>
      </c>
      <c r="E9512" s="6" t="s">
        <v>812</v>
      </c>
      <c r="F9512" s="6" t="s">
        <v>439</v>
      </c>
      <c r="G9512" s="6" t="s">
        <v>369</v>
      </c>
      <c r="H9512" s="11" t="s">
        <v>259</v>
      </c>
      <c r="I9512" s="12">
        <v>6.0</v>
      </c>
      <c r="J9512" s="6" t="s">
        <v>161</v>
      </c>
    </row>
    <row r="9513" ht="22.5" customHeight="1">
      <c r="A9513" s="6" t="s">
        <v>26321</v>
      </c>
      <c r="B9513" s="6" t="s">
        <v>21019</v>
      </c>
      <c r="C9513" s="10">
        <v>46057.0</v>
      </c>
      <c r="D9513" s="6" t="s">
        <v>436</v>
      </c>
      <c r="E9513" s="6" t="s">
        <v>1102</v>
      </c>
      <c r="F9513" s="6" t="s">
        <v>283</v>
      </c>
      <c r="G9513" s="6" t="s">
        <v>369</v>
      </c>
      <c r="H9513" s="10">
        <v>46061.0</v>
      </c>
      <c r="I9513" s="12">
        <v>6.0</v>
      </c>
      <c r="J9513" s="6" t="s">
        <v>161</v>
      </c>
    </row>
    <row r="9514" ht="22.5" customHeight="1">
      <c r="A9514" s="6" t="s">
        <v>26322</v>
      </c>
      <c r="B9514" s="6" t="s">
        <v>21025</v>
      </c>
      <c r="C9514" s="10">
        <v>46044.0</v>
      </c>
      <c r="D9514" s="6" t="s">
        <v>312</v>
      </c>
      <c r="E9514" s="6" t="s">
        <v>1149</v>
      </c>
      <c r="F9514" s="6" t="s">
        <v>439</v>
      </c>
      <c r="G9514" s="6" t="s">
        <v>369</v>
      </c>
      <c r="H9514" s="10">
        <v>46048.0</v>
      </c>
      <c r="I9514" s="12">
        <v>5.0</v>
      </c>
      <c r="J9514" s="6" t="s">
        <v>161</v>
      </c>
    </row>
    <row r="9515" ht="22.5" customHeight="1">
      <c r="A9515" s="6" t="s">
        <v>26323</v>
      </c>
      <c r="B9515" s="6" t="s">
        <v>21025</v>
      </c>
      <c r="C9515" s="10">
        <v>46042.0</v>
      </c>
      <c r="D9515" s="6" t="s">
        <v>416</v>
      </c>
      <c r="E9515" s="6" t="s">
        <v>885</v>
      </c>
      <c r="F9515" s="6" t="s">
        <v>112</v>
      </c>
      <c r="G9515" s="6" t="s">
        <v>297</v>
      </c>
      <c r="H9515" s="10">
        <v>46047.0</v>
      </c>
      <c r="I9515" s="12">
        <v>13.0</v>
      </c>
      <c r="J9515" s="6" t="s">
        <v>161</v>
      </c>
    </row>
    <row r="9516" ht="22.5" customHeight="1">
      <c r="A9516" s="6" t="s">
        <v>26324</v>
      </c>
      <c r="B9516" s="6" t="s">
        <v>21031</v>
      </c>
      <c r="C9516" s="10">
        <v>46069.0</v>
      </c>
      <c r="D9516" s="6" t="s">
        <v>312</v>
      </c>
      <c r="E9516" s="6" t="s">
        <v>1070</v>
      </c>
      <c r="F9516" s="6" t="s">
        <v>112</v>
      </c>
      <c r="G9516" s="6" t="s">
        <v>254</v>
      </c>
      <c r="H9516" s="10">
        <v>46074.0</v>
      </c>
      <c r="I9516" s="12">
        <v>5.0</v>
      </c>
      <c r="J9516" s="6" t="s">
        <v>161</v>
      </c>
    </row>
    <row r="9517" ht="22.5" customHeight="1">
      <c r="A9517" s="6" t="s">
        <v>26325</v>
      </c>
      <c r="B9517" s="6" t="s">
        <v>21031</v>
      </c>
      <c r="C9517" s="10">
        <v>46075.0</v>
      </c>
      <c r="D9517" s="6" t="s">
        <v>416</v>
      </c>
      <c r="E9517" s="6" t="s">
        <v>1546</v>
      </c>
      <c r="F9517" s="6" t="s">
        <v>439</v>
      </c>
      <c r="G9517" s="6" t="s">
        <v>452</v>
      </c>
      <c r="H9517" s="10">
        <v>46078.0</v>
      </c>
      <c r="I9517" s="12">
        <v>13.0</v>
      </c>
      <c r="J9517" s="6" t="s">
        <v>161</v>
      </c>
    </row>
    <row r="9518" ht="22.5" customHeight="1">
      <c r="A9518" s="6" t="s">
        <v>26326</v>
      </c>
      <c r="B9518" s="6" t="s">
        <v>21031</v>
      </c>
      <c r="C9518" s="10">
        <v>46087.0</v>
      </c>
      <c r="D9518" s="6" t="s">
        <v>677</v>
      </c>
      <c r="E9518" s="6" t="s">
        <v>798</v>
      </c>
      <c r="F9518" s="6" t="s">
        <v>112</v>
      </c>
      <c r="G9518" s="6" t="s">
        <v>297</v>
      </c>
      <c r="H9518" s="11" t="s">
        <v>259</v>
      </c>
      <c r="I9518" s="12">
        <v>4.0</v>
      </c>
      <c r="J9518" s="6" t="s">
        <v>161</v>
      </c>
    </row>
    <row r="9519" ht="22.5" customHeight="1">
      <c r="A9519" s="6" t="s">
        <v>26327</v>
      </c>
      <c r="B9519" s="6" t="s">
        <v>21031</v>
      </c>
      <c r="C9519" s="10">
        <v>46073.0</v>
      </c>
      <c r="D9519" s="6" t="s">
        <v>436</v>
      </c>
      <c r="E9519" s="6" t="s">
        <v>1102</v>
      </c>
      <c r="F9519" s="6" t="s">
        <v>283</v>
      </c>
      <c r="G9519" s="6" t="s">
        <v>452</v>
      </c>
      <c r="H9519" s="10">
        <v>46074.0</v>
      </c>
      <c r="I9519" s="12">
        <v>12.0</v>
      </c>
      <c r="J9519" s="6" t="s">
        <v>161</v>
      </c>
    </row>
    <row r="9520" ht="22.5" customHeight="1">
      <c r="A9520" s="6" t="s">
        <v>26328</v>
      </c>
      <c r="B9520" s="6" t="s">
        <v>21031</v>
      </c>
      <c r="C9520" s="10">
        <v>46073.0</v>
      </c>
      <c r="D9520" s="6" t="s">
        <v>436</v>
      </c>
      <c r="E9520" s="6" t="s">
        <v>1626</v>
      </c>
      <c r="F9520" s="6" t="s">
        <v>249</v>
      </c>
      <c r="G9520" s="6" t="s">
        <v>477</v>
      </c>
      <c r="H9520" s="10">
        <v>46075.0</v>
      </c>
      <c r="I9520" s="12">
        <v>7.0</v>
      </c>
      <c r="J9520" s="6" t="s">
        <v>178</v>
      </c>
    </row>
    <row r="9521" ht="22.5" customHeight="1">
      <c r="A9521" s="6" t="s">
        <v>26329</v>
      </c>
      <c r="B9521" s="6" t="s">
        <v>21038</v>
      </c>
      <c r="C9521" s="10">
        <v>46046.0</v>
      </c>
      <c r="D9521" s="6" t="s">
        <v>289</v>
      </c>
      <c r="E9521" s="6" t="s">
        <v>670</v>
      </c>
      <c r="F9521" s="6" t="s">
        <v>439</v>
      </c>
      <c r="G9521" s="6" t="s">
        <v>477</v>
      </c>
      <c r="H9521" s="11" t="s">
        <v>259</v>
      </c>
      <c r="I9521" s="12">
        <v>7.0</v>
      </c>
      <c r="J9521" s="6" t="s">
        <v>161</v>
      </c>
    </row>
    <row r="9522" ht="22.5" customHeight="1">
      <c r="A9522" s="6" t="s">
        <v>26330</v>
      </c>
      <c r="B9522" s="6" t="s">
        <v>21038</v>
      </c>
      <c r="C9522" s="10">
        <v>46044.0</v>
      </c>
      <c r="D9522" s="6" t="s">
        <v>242</v>
      </c>
      <c r="E9522" s="6" t="s">
        <v>2365</v>
      </c>
      <c r="F9522" s="6" t="s">
        <v>112</v>
      </c>
      <c r="G9522" s="6" t="s">
        <v>369</v>
      </c>
      <c r="H9522" s="10">
        <v>46047.0</v>
      </c>
      <c r="I9522" s="12">
        <v>5.0</v>
      </c>
      <c r="J9522" s="6" t="s">
        <v>178</v>
      </c>
    </row>
    <row r="9523" ht="22.5" customHeight="1">
      <c r="A9523" s="6" t="s">
        <v>26331</v>
      </c>
      <c r="B9523" s="6" t="s">
        <v>21044</v>
      </c>
      <c r="C9523" s="10">
        <v>46051.0</v>
      </c>
      <c r="D9523" s="6" t="s">
        <v>677</v>
      </c>
      <c r="E9523" s="6" t="s">
        <v>687</v>
      </c>
      <c r="F9523" s="6" t="s">
        <v>112</v>
      </c>
      <c r="G9523" s="6" t="s">
        <v>326</v>
      </c>
      <c r="H9523" s="10">
        <v>46058.0</v>
      </c>
      <c r="I9523" s="12">
        <v>4.0</v>
      </c>
      <c r="J9523" s="6" t="s">
        <v>161</v>
      </c>
    </row>
    <row r="9524" ht="22.5" customHeight="1">
      <c r="A9524" s="6" t="s">
        <v>26332</v>
      </c>
      <c r="B9524" s="6" t="s">
        <v>21044</v>
      </c>
      <c r="C9524" s="10">
        <v>46070.0</v>
      </c>
      <c r="D9524" s="6" t="s">
        <v>242</v>
      </c>
      <c r="E9524" s="6" t="s">
        <v>512</v>
      </c>
      <c r="F9524" s="6" t="s">
        <v>283</v>
      </c>
      <c r="G9524" s="6" t="s">
        <v>369</v>
      </c>
      <c r="H9524" s="10">
        <v>46075.0</v>
      </c>
      <c r="I9524" s="12">
        <v>6.0</v>
      </c>
      <c r="J9524" s="6" t="s">
        <v>178</v>
      </c>
    </row>
    <row r="9525" ht="22.5" customHeight="1">
      <c r="A9525" s="6" t="s">
        <v>26333</v>
      </c>
      <c r="B9525" s="6" t="s">
        <v>21051</v>
      </c>
      <c r="C9525" s="10">
        <v>46069.0</v>
      </c>
      <c r="D9525" s="6" t="s">
        <v>677</v>
      </c>
      <c r="E9525" s="6" t="s">
        <v>1552</v>
      </c>
      <c r="F9525" s="6" t="s">
        <v>283</v>
      </c>
      <c r="G9525" s="6" t="s">
        <v>297</v>
      </c>
      <c r="H9525" s="10">
        <v>46073.0</v>
      </c>
      <c r="I9525" s="12">
        <v>4.0</v>
      </c>
      <c r="J9525" s="6" t="s">
        <v>161</v>
      </c>
    </row>
    <row r="9526" ht="22.5" customHeight="1">
      <c r="A9526" s="6" t="s">
        <v>26334</v>
      </c>
      <c r="B9526" s="6" t="s">
        <v>21051</v>
      </c>
      <c r="C9526" s="10">
        <v>46075.0</v>
      </c>
      <c r="D9526" s="6" t="s">
        <v>242</v>
      </c>
      <c r="E9526" s="6" t="s">
        <v>450</v>
      </c>
      <c r="F9526" s="6" t="s">
        <v>249</v>
      </c>
      <c r="G9526" s="6" t="s">
        <v>452</v>
      </c>
      <c r="H9526" s="10">
        <v>46079.0</v>
      </c>
      <c r="I9526" s="12">
        <v>4.0</v>
      </c>
      <c r="J9526" s="6" t="s">
        <v>178</v>
      </c>
    </row>
    <row r="9527" ht="22.5" customHeight="1">
      <c r="A9527" s="6" t="s">
        <v>26335</v>
      </c>
      <c r="B9527" s="6" t="s">
        <v>21051</v>
      </c>
      <c r="C9527" s="10">
        <v>46074.0</v>
      </c>
      <c r="D9527" s="6" t="s">
        <v>289</v>
      </c>
      <c r="E9527" s="6" t="s">
        <v>1969</v>
      </c>
      <c r="F9527" s="6" t="s">
        <v>249</v>
      </c>
      <c r="G9527" s="6" t="s">
        <v>494</v>
      </c>
      <c r="H9527" s="10">
        <v>46081.0</v>
      </c>
      <c r="I9527" s="12">
        <v>7.0</v>
      </c>
      <c r="J9527" s="6" t="s">
        <v>161</v>
      </c>
    </row>
    <row r="9528" ht="22.5" customHeight="1">
      <c r="A9528" s="6" t="s">
        <v>26336</v>
      </c>
      <c r="B9528" s="6" t="s">
        <v>21051</v>
      </c>
      <c r="C9528" s="10">
        <v>46068.0</v>
      </c>
      <c r="D9528" s="6" t="s">
        <v>436</v>
      </c>
      <c r="E9528" s="6" t="s">
        <v>716</v>
      </c>
      <c r="F9528" s="6" t="s">
        <v>283</v>
      </c>
      <c r="G9528" s="6" t="s">
        <v>452</v>
      </c>
      <c r="H9528" s="10">
        <v>46070.0</v>
      </c>
      <c r="I9528" s="12">
        <v>11.0</v>
      </c>
      <c r="J9528" s="6" t="s">
        <v>178</v>
      </c>
    </row>
    <row r="9529" ht="22.5" customHeight="1">
      <c r="A9529" s="6" t="s">
        <v>26337</v>
      </c>
      <c r="B9529" s="6" t="s">
        <v>21057</v>
      </c>
      <c r="C9529" s="10">
        <v>46029.0</v>
      </c>
      <c r="D9529" s="6" t="s">
        <v>677</v>
      </c>
      <c r="E9529" s="6" t="s">
        <v>291</v>
      </c>
      <c r="F9529" s="6" t="s">
        <v>283</v>
      </c>
      <c r="G9529" s="6" t="s">
        <v>369</v>
      </c>
      <c r="H9529" s="10">
        <v>46034.0</v>
      </c>
      <c r="I9529" s="12">
        <v>3.0</v>
      </c>
      <c r="J9529" s="6" t="s">
        <v>161</v>
      </c>
    </row>
    <row r="9530" ht="22.5" customHeight="1">
      <c r="A9530" s="6" t="s">
        <v>26338</v>
      </c>
      <c r="B9530" s="6" t="s">
        <v>21057</v>
      </c>
      <c r="C9530" s="10">
        <v>46028.0</v>
      </c>
      <c r="D9530" s="6" t="s">
        <v>312</v>
      </c>
      <c r="E9530" s="6" t="s">
        <v>618</v>
      </c>
      <c r="F9530" s="6" t="s">
        <v>283</v>
      </c>
      <c r="G9530" s="6" t="s">
        <v>477</v>
      </c>
      <c r="H9530" s="10">
        <v>46035.0</v>
      </c>
      <c r="I9530" s="12">
        <v>6.0</v>
      </c>
      <c r="J9530" s="6" t="s">
        <v>161</v>
      </c>
    </row>
    <row r="9531" ht="22.5" customHeight="1">
      <c r="A9531" s="6" t="s">
        <v>26339</v>
      </c>
      <c r="B9531" s="6" t="s">
        <v>21057</v>
      </c>
      <c r="C9531" s="10">
        <v>46028.0</v>
      </c>
      <c r="D9531" s="6" t="s">
        <v>677</v>
      </c>
      <c r="E9531" s="6" t="s">
        <v>896</v>
      </c>
      <c r="F9531" s="6" t="s">
        <v>112</v>
      </c>
      <c r="G9531" s="6" t="s">
        <v>326</v>
      </c>
      <c r="H9531" s="10">
        <v>46031.0</v>
      </c>
      <c r="I9531" s="12">
        <v>4.0</v>
      </c>
      <c r="J9531" s="6" t="s">
        <v>161</v>
      </c>
    </row>
    <row r="9532" ht="22.5" customHeight="1">
      <c r="A9532" s="6" t="s">
        <v>26340</v>
      </c>
      <c r="B9532" s="6" t="s">
        <v>21057</v>
      </c>
      <c r="C9532" s="10">
        <v>46042.0</v>
      </c>
      <c r="D9532" s="6" t="s">
        <v>312</v>
      </c>
      <c r="E9532" s="6" t="s">
        <v>512</v>
      </c>
      <c r="F9532" s="6" t="s">
        <v>249</v>
      </c>
      <c r="G9532" s="6" t="s">
        <v>254</v>
      </c>
      <c r="H9532" s="10">
        <v>46047.0</v>
      </c>
      <c r="I9532" s="12">
        <v>6.0</v>
      </c>
      <c r="J9532" s="6" t="s">
        <v>161</v>
      </c>
    </row>
    <row r="9533" ht="22.5" customHeight="1">
      <c r="A9533" s="6" t="s">
        <v>26341</v>
      </c>
      <c r="B9533" s="6" t="s">
        <v>21064</v>
      </c>
      <c r="C9533" s="10">
        <v>46075.0</v>
      </c>
      <c r="D9533" s="6" t="s">
        <v>312</v>
      </c>
      <c r="E9533" s="6" t="s">
        <v>1626</v>
      </c>
      <c r="F9533" s="6" t="s">
        <v>112</v>
      </c>
      <c r="G9533" s="6" t="s">
        <v>494</v>
      </c>
      <c r="H9533" s="10">
        <v>46079.0</v>
      </c>
      <c r="I9533" s="12">
        <v>7.0</v>
      </c>
      <c r="J9533" s="6" t="s">
        <v>161</v>
      </c>
    </row>
    <row r="9534" ht="22.5" customHeight="1">
      <c r="A9534" s="6" t="s">
        <v>26342</v>
      </c>
      <c r="B9534" s="6" t="s">
        <v>21064</v>
      </c>
      <c r="C9534" s="10">
        <v>46072.0</v>
      </c>
      <c r="D9534" s="6" t="s">
        <v>242</v>
      </c>
      <c r="E9534" s="6" t="s">
        <v>610</v>
      </c>
      <c r="F9534" s="6" t="s">
        <v>249</v>
      </c>
      <c r="G9534" s="6" t="s">
        <v>458</v>
      </c>
      <c r="H9534" s="10">
        <v>46077.0</v>
      </c>
      <c r="I9534" s="12">
        <v>6.0</v>
      </c>
      <c r="J9534" s="6" t="s">
        <v>178</v>
      </c>
    </row>
    <row r="9535" ht="22.5" customHeight="1">
      <c r="A9535" s="6" t="s">
        <v>26343</v>
      </c>
      <c r="B9535" s="6" t="s">
        <v>21064</v>
      </c>
      <c r="C9535" s="10">
        <v>46062.0</v>
      </c>
      <c r="D9535" s="6" t="s">
        <v>436</v>
      </c>
      <c r="E9535" s="6" t="s">
        <v>1310</v>
      </c>
      <c r="F9535" s="6" t="s">
        <v>283</v>
      </c>
      <c r="G9535" s="6" t="s">
        <v>458</v>
      </c>
      <c r="H9535" s="10">
        <v>46064.0</v>
      </c>
      <c r="I9535" s="12">
        <v>7.0</v>
      </c>
      <c r="J9535" s="6" t="s">
        <v>178</v>
      </c>
    </row>
    <row r="9536" ht="22.5" customHeight="1">
      <c r="A9536" s="6" t="s">
        <v>26344</v>
      </c>
      <c r="B9536" s="6" t="s">
        <v>21070</v>
      </c>
      <c r="C9536" s="10">
        <v>46074.0</v>
      </c>
      <c r="D9536" s="6" t="s">
        <v>677</v>
      </c>
      <c r="E9536" s="6" t="s">
        <v>1070</v>
      </c>
      <c r="F9536" s="6" t="s">
        <v>249</v>
      </c>
      <c r="G9536" s="6" t="s">
        <v>458</v>
      </c>
      <c r="H9536" s="10">
        <v>46075.0</v>
      </c>
      <c r="I9536" s="12">
        <v>2.0</v>
      </c>
      <c r="J9536" s="6" t="s">
        <v>161</v>
      </c>
    </row>
    <row r="9537" ht="22.5" customHeight="1">
      <c r="A9537" s="6" t="s">
        <v>26345</v>
      </c>
      <c r="B9537" s="6" t="s">
        <v>21070</v>
      </c>
      <c r="C9537" s="10">
        <v>46070.0</v>
      </c>
      <c r="D9537" s="6" t="s">
        <v>677</v>
      </c>
      <c r="E9537" s="6" t="s">
        <v>687</v>
      </c>
      <c r="F9537" s="6" t="s">
        <v>249</v>
      </c>
      <c r="G9537" s="6" t="s">
        <v>326</v>
      </c>
      <c r="H9537" s="11" t="s">
        <v>259</v>
      </c>
      <c r="I9537" s="12">
        <v>4.0</v>
      </c>
      <c r="J9537" s="6" t="s">
        <v>161</v>
      </c>
    </row>
    <row r="9538" ht="22.5" customHeight="1">
      <c r="A9538" s="6" t="s">
        <v>26346</v>
      </c>
      <c r="B9538" s="6" t="s">
        <v>21077</v>
      </c>
      <c r="C9538" s="10">
        <v>46043.0</v>
      </c>
      <c r="D9538" s="6" t="s">
        <v>416</v>
      </c>
      <c r="E9538" s="6" t="s">
        <v>618</v>
      </c>
      <c r="F9538" s="6" t="s">
        <v>112</v>
      </c>
      <c r="G9538" s="6" t="s">
        <v>369</v>
      </c>
      <c r="H9538" s="10">
        <v>46048.0</v>
      </c>
      <c r="I9538" s="12">
        <v>10.0</v>
      </c>
      <c r="J9538" s="6" t="s">
        <v>161</v>
      </c>
    </row>
    <row r="9539" ht="22.5" customHeight="1">
      <c r="A9539" s="6" t="s">
        <v>26347</v>
      </c>
      <c r="B9539" s="6" t="s">
        <v>21077</v>
      </c>
      <c r="C9539" s="10">
        <v>46027.0</v>
      </c>
      <c r="D9539" s="6" t="s">
        <v>416</v>
      </c>
      <c r="E9539" s="6" t="s">
        <v>566</v>
      </c>
      <c r="F9539" s="6" t="s">
        <v>249</v>
      </c>
      <c r="G9539" s="6" t="s">
        <v>297</v>
      </c>
      <c r="H9539" s="10">
        <v>46031.0</v>
      </c>
      <c r="I9539" s="12">
        <v>9.0</v>
      </c>
      <c r="J9539" s="6" t="s">
        <v>161</v>
      </c>
    </row>
    <row r="9540" ht="22.5" customHeight="1">
      <c r="A9540" s="6" t="s">
        <v>26348</v>
      </c>
      <c r="B9540" s="6" t="s">
        <v>21077</v>
      </c>
      <c r="C9540" s="10">
        <v>46034.0</v>
      </c>
      <c r="D9540" s="6" t="s">
        <v>289</v>
      </c>
      <c r="E9540" s="6" t="s">
        <v>885</v>
      </c>
      <c r="F9540" s="6" t="s">
        <v>249</v>
      </c>
      <c r="G9540" s="6" t="s">
        <v>477</v>
      </c>
      <c r="H9540" s="10">
        <v>46040.0</v>
      </c>
      <c r="I9540" s="12">
        <v>10.0</v>
      </c>
      <c r="J9540" s="6" t="s">
        <v>161</v>
      </c>
    </row>
    <row r="9541" ht="22.5" customHeight="1">
      <c r="A9541" s="6" t="s">
        <v>26349</v>
      </c>
      <c r="B9541" s="6" t="s">
        <v>21077</v>
      </c>
      <c r="C9541" s="10">
        <v>46035.0</v>
      </c>
      <c r="D9541" s="6" t="s">
        <v>391</v>
      </c>
      <c r="E9541" s="6" t="s">
        <v>1741</v>
      </c>
      <c r="F9541" s="6" t="s">
        <v>112</v>
      </c>
      <c r="G9541" s="6" t="s">
        <v>494</v>
      </c>
      <c r="H9541" s="10">
        <v>46040.0</v>
      </c>
      <c r="I9541" s="12">
        <v>7.0</v>
      </c>
      <c r="J9541" s="6" t="s">
        <v>161</v>
      </c>
    </row>
    <row r="9542" ht="22.5" customHeight="1">
      <c r="A9542" s="6" t="s">
        <v>26350</v>
      </c>
      <c r="B9542" s="6" t="s">
        <v>21083</v>
      </c>
      <c r="C9542" s="10">
        <v>46084.0</v>
      </c>
      <c r="D9542" s="6" t="s">
        <v>312</v>
      </c>
      <c r="E9542" s="6" t="s">
        <v>1310</v>
      </c>
      <c r="F9542" s="6" t="s">
        <v>439</v>
      </c>
      <c r="G9542" s="6" t="s">
        <v>297</v>
      </c>
      <c r="H9542" s="10">
        <v>46087.0</v>
      </c>
      <c r="I9542" s="12">
        <v>7.0</v>
      </c>
      <c r="J9542" s="6" t="s">
        <v>161</v>
      </c>
    </row>
    <row r="9543" ht="22.5" customHeight="1">
      <c r="A9543" s="6" t="s">
        <v>26351</v>
      </c>
      <c r="B9543" s="6" t="s">
        <v>21083</v>
      </c>
      <c r="C9543" s="10">
        <v>46068.0</v>
      </c>
      <c r="D9543" s="6" t="s">
        <v>436</v>
      </c>
      <c r="E9543" s="6" t="s">
        <v>438</v>
      </c>
      <c r="F9543" s="6" t="s">
        <v>112</v>
      </c>
      <c r="G9543" s="6" t="s">
        <v>452</v>
      </c>
      <c r="H9543" s="10">
        <v>46071.0</v>
      </c>
      <c r="I9543" s="12">
        <v>12.0</v>
      </c>
      <c r="J9543" s="6" t="s">
        <v>178</v>
      </c>
    </row>
    <row r="9544" ht="22.5" customHeight="1">
      <c r="A9544" s="6" t="s">
        <v>26352</v>
      </c>
      <c r="B9544" s="6" t="s">
        <v>21083</v>
      </c>
      <c r="C9544" s="10">
        <v>46084.0</v>
      </c>
      <c r="D9544" s="6" t="s">
        <v>677</v>
      </c>
      <c r="E9544" s="6" t="s">
        <v>833</v>
      </c>
      <c r="F9544" s="6" t="s">
        <v>283</v>
      </c>
      <c r="G9544" s="6" t="s">
        <v>458</v>
      </c>
      <c r="H9544" s="10">
        <v>46087.0</v>
      </c>
      <c r="I9544" s="12">
        <v>4.0</v>
      </c>
      <c r="J9544" s="6" t="s">
        <v>161</v>
      </c>
    </row>
    <row r="9545" ht="22.5" customHeight="1">
      <c r="A9545" s="6" t="s">
        <v>26353</v>
      </c>
      <c r="B9545" s="6" t="s">
        <v>21083</v>
      </c>
      <c r="C9545" s="10">
        <v>46081.0</v>
      </c>
      <c r="D9545" s="6" t="s">
        <v>242</v>
      </c>
      <c r="E9545" s="6" t="s">
        <v>583</v>
      </c>
      <c r="F9545" s="6" t="s">
        <v>112</v>
      </c>
      <c r="G9545" s="6" t="s">
        <v>477</v>
      </c>
      <c r="H9545" s="10">
        <v>46084.0</v>
      </c>
      <c r="I9545" s="12">
        <v>3.0</v>
      </c>
      <c r="J9545" s="6" t="s">
        <v>178</v>
      </c>
    </row>
    <row r="9546" ht="22.5" customHeight="1">
      <c r="A9546" s="6" t="s">
        <v>26354</v>
      </c>
      <c r="B9546" s="6" t="s">
        <v>21083</v>
      </c>
      <c r="C9546" s="10">
        <v>46066.0</v>
      </c>
      <c r="D9546" s="6" t="s">
        <v>677</v>
      </c>
      <c r="E9546" s="6" t="s">
        <v>1241</v>
      </c>
      <c r="F9546" s="6" t="s">
        <v>439</v>
      </c>
      <c r="G9546" s="6" t="s">
        <v>477</v>
      </c>
      <c r="H9546" s="10">
        <v>46067.0</v>
      </c>
      <c r="I9546" s="12">
        <v>3.0</v>
      </c>
      <c r="J9546" s="6" t="s">
        <v>161</v>
      </c>
    </row>
    <row r="9547" ht="22.5" customHeight="1">
      <c r="A9547" s="6" t="s">
        <v>26355</v>
      </c>
      <c r="B9547" s="6" t="s">
        <v>21090</v>
      </c>
      <c r="C9547" s="10">
        <v>46039.0</v>
      </c>
      <c r="D9547" s="6" t="s">
        <v>391</v>
      </c>
      <c r="E9547" s="6" t="s">
        <v>450</v>
      </c>
      <c r="F9547" s="6" t="s">
        <v>283</v>
      </c>
      <c r="G9547" s="6" t="s">
        <v>369</v>
      </c>
      <c r="H9547" s="10">
        <v>46046.0</v>
      </c>
      <c r="I9547" s="12">
        <v>11.0</v>
      </c>
      <c r="J9547" s="6" t="s">
        <v>161</v>
      </c>
    </row>
    <row r="9548" ht="22.5" customHeight="1">
      <c r="A9548" s="6" t="s">
        <v>26356</v>
      </c>
      <c r="B9548" s="6" t="s">
        <v>21090</v>
      </c>
      <c r="C9548" s="10">
        <v>46031.0</v>
      </c>
      <c r="D9548" s="6" t="s">
        <v>289</v>
      </c>
      <c r="E9548" s="6" t="s">
        <v>438</v>
      </c>
      <c r="F9548" s="6" t="s">
        <v>439</v>
      </c>
      <c r="G9548" s="6" t="s">
        <v>477</v>
      </c>
      <c r="H9548" s="10">
        <v>46031.0</v>
      </c>
      <c r="I9548" s="12">
        <v>9.0</v>
      </c>
      <c r="J9548" s="6" t="s">
        <v>161</v>
      </c>
    </row>
    <row r="9549" ht="22.5" customHeight="1">
      <c r="A9549" s="6" t="s">
        <v>26357</v>
      </c>
      <c r="B9549" s="6" t="s">
        <v>21090</v>
      </c>
      <c r="C9549" s="10">
        <v>46041.0</v>
      </c>
      <c r="D9549" s="6" t="s">
        <v>436</v>
      </c>
      <c r="E9549" s="6" t="s">
        <v>1241</v>
      </c>
      <c r="F9549" s="6" t="s">
        <v>439</v>
      </c>
      <c r="G9549" s="6" t="s">
        <v>326</v>
      </c>
      <c r="H9549" s="11" t="s">
        <v>259</v>
      </c>
      <c r="I9549" s="12">
        <v>12.0</v>
      </c>
      <c r="J9549" s="6" t="s">
        <v>178</v>
      </c>
    </row>
    <row r="9550" ht="22.5" customHeight="1">
      <c r="A9550" s="6" t="s">
        <v>26358</v>
      </c>
      <c r="B9550" s="6" t="s">
        <v>21090</v>
      </c>
      <c r="C9550" s="10">
        <v>46034.0</v>
      </c>
      <c r="D9550" s="6" t="s">
        <v>242</v>
      </c>
      <c r="E9550" s="6" t="s">
        <v>716</v>
      </c>
      <c r="F9550" s="6" t="s">
        <v>283</v>
      </c>
      <c r="G9550" s="6" t="s">
        <v>297</v>
      </c>
      <c r="H9550" s="10">
        <v>46034.0</v>
      </c>
      <c r="I9550" s="12">
        <v>4.0</v>
      </c>
      <c r="J9550" s="6" t="s">
        <v>178</v>
      </c>
    </row>
    <row r="9551" ht="22.5" customHeight="1">
      <c r="A9551" s="6" t="s">
        <v>26359</v>
      </c>
      <c r="B9551" s="6" t="s">
        <v>21090</v>
      </c>
      <c r="C9551" s="10">
        <v>46034.0</v>
      </c>
      <c r="D9551" s="6" t="s">
        <v>416</v>
      </c>
      <c r="E9551" s="6" t="s">
        <v>618</v>
      </c>
      <c r="F9551" s="6" t="s">
        <v>439</v>
      </c>
      <c r="G9551" s="6" t="s">
        <v>452</v>
      </c>
      <c r="H9551" s="10">
        <v>46041.0</v>
      </c>
      <c r="I9551" s="12">
        <v>11.0</v>
      </c>
      <c r="J9551" s="6" t="s">
        <v>161</v>
      </c>
    </row>
    <row r="9552" ht="22.5" customHeight="1">
      <c r="A9552" s="6" t="s">
        <v>26360</v>
      </c>
      <c r="B9552" s="6" t="s">
        <v>21096</v>
      </c>
      <c r="C9552" s="10">
        <v>46059.0</v>
      </c>
      <c r="D9552" s="6" t="s">
        <v>391</v>
      </c>
      <c r="E9552" s="6" t="s">
        <v>394</v>
      </c>
      <c r="F9552" s="6" t="s">
        <v>112</v>
      </c>
      <c r="G9552" s="6" t="s">
        <v>494</v>
      </c>
      <c r="H9552" s="10">
        <v>46062.0</v>
      </c>
      <c r="I9552" s="12">
        <v>7.0</v>
      </c>
      <c r="J9552" s="6" t="s">
        <v>161</v>
      </c>
    </row>
    <row r="9553" ht="22.5" customHeight="1">
      <c r="A9553" s="6" t="s">
        <v>26361</v>
      </c>
      <c r="B9553" s="6" t="s">
        <v>21096</v>
      </c>
      <c r="C9553" s="10">
        <v>46049.0</v>
      </c>
      <c r="D9553" s="6" t="s">
        <v>289</v>
      </c>
      <c r="E9553" s="6" t="s">
        <v>1741</v>
      </c>
      <c r="F9553" s="6" t="s">
        <v>439</v>
      </c>
      <c r="G9553" s="6" t="s">
        <v>458</v>
      </c>
      <c r="H9553" s="10">
        <v>46054.0</v>
      </c>
      <c r="I9553" s="12">
        <v>10.0</v>
      </c>
      <c r="J9553" s="6" t="s">
        <v>161</v>
      </c>
    </row>
    <row r="9554" ht="22.5" customHeight="1">
      <c r="A9554" s="6" t="s">
        <v>26362</v>
      </c>
      <c r="B9554" s="6" t="s">
        <v>21102</v>
      </c>
      <c r="C9554" s="10">
        <v>46046.0</v>
      </c>
      <c r="D9554" s="6" t="s">
        <v>312</v>
      </c>
      <c r="E9554" s="6" t="s">
        <v>475</v>
      </c>
      <c r="F9554" s="6" t="s">
        <v>439</v>
      </c>
      <c r="G9554" s="6" t="s">
        <v>297</v>
      </c>
      <c r="H9554" s="10">
        <v>46051.0</v>
      </c>
      <c r="I9554" s="12">
        <v>6.0</v>
      </c>
      <c r="J9554" s="6" t="s">
        <v>161</v>
      </c>
    </row>
    <row r="9555" ht="22.5" customHeight="1">
      <c r="A9555" s="6" t="s">
        <v>26363</v>
      </c>
      <c r="B9555" s="6" t="s">
        <v>21102</v>
      </c>
      <c r="C9555" s="10">
        <v>46038.0</v>
      </c>
      <c r="D9555" s="6" t="s">
        <v>416</v>
      </c>
      <c r="E9555" s="6" t="s">
        <v>1741</v>
      </c>
      <c r="F9555" s="6" t="s">
        <v>112</v>
      </c>
      <c r="G9555" s="6" t="s">
        <v>477</v>
      </c>
      <c r="H9555" s="10">
        <v>46045.0</v>
      </c>
      <c r="I9555" s="12">
        <v>9.0</v>
      </c>
      <c r="J9555" s="6" t="s">
        <v>161</v>
      </c>
    </row>
    <row r="9556" ht="22.5" customHeight="1">
      <c r="A9556" s="6" t="s">
        <v>26364</v>
      </c>
      <c r="B9556" s="6" t="s">
        <v>21102</v>
      </c>
      <c r="C9556" s="10">
        <v>46054.0</v>
      </c>
      <c r="D9556" s="6" t="s">
        <v>436</v>
      </c>
      <c r="E9556" s="6" t="s">
        <v>438</v>
      </c>
      <c r="F9556" s="6" t="s">
        <v>283</v>
      </c>
      <c r="G9556" s="6" t="s">
        <v>458</v>
      </c>
      <c r="H9556" s="10">
        <v>46058.0</v>
      </c>
      <c r="I9556" s="12">
        <v>6.0</v>
      </c>
      <c r="J9556" s="6" t="s">
        <v>178</v>
      </c>
    </row>
    <row r="9557" ht="22.5" customHeight="1">
      <c r="A9557" s="6" t="s">
        <v>26365</v>
      </c>
      <c r="B9557" s="6" t="s">
        <v>21109</v>
      </c>
      <c r="C9557" s="10">
        <v>46041.0</v>
      </c>
      <c r="D9557" s="6" t="s">
        <v>436</v>
      </c>
      <c r="E9557" s="6" t="s">
        <v>1969</v>
      </c>
      <c r="F9557" s="6" t="s">
        <v>112</v>
      </c>
      <c r="G9557" s="6" t="s">
        <v>458</v>
      </c>
      <c r="H9557" s="10">
        <v>46044.0</v>
      </c>
      <c r="I9557" s="12">
        <v>10.0</v>
      </c>
      <c r="J9557" s="6" t="s">
        <v>161</v>
      </c>
    </row>
    <row r="9558" ht="22.5" customHeight="1">
      <c r="A9558" s="6" t="s">
        <v>26366</v>
      </c>
      <c r="B9558" s="6" t="s">
        <v>21109</v>
      </c>
      <c r="C9558" s="10">
        <v>46036.0</v>
      </c>
      <c r="D9558" s="6" t="s">
        <v>289</v>
      </c>
      <c r="E9558" s="6" t="s">
        <v>320</v>
      </c>
      <c r="F9558" s="6" t="s">
        <v>439</v>
      </c>
      <c r="G9558" s="6" t="s">
        <v>477</v>
      </c>
      <c r="H9558" s="10">
        <v>46042.0</v>
      </c>
      <c r="I9558" s="12">
        <v>10.0</v>
      </c>
      <c r="J9558" s="6" t="s">
        <v>161</v>
      </c>
    </row>
    <row r="9559" ht="22.5" customHeight="1">
      <c r="A9559" s="6" t="s">
        <v>26367</v>
      </c>
      <c r="B9559" s="6" t="s">
        <v>21109</v>
      </c>
      <c r="C9559" s="10">
        <v>46033.0</v>
      </c>
      <c r="D9559" s="6" t="s">
        <v>242</v>
      </c>
      <c r="E9559" s="6" t="s">
        <v>1149</v>
      </c>
      <c r="F9559" s="6" t="s">
        <v>283</v>
      </c>
      <c r="G9559" s="6" t="s">
        <v>458</v>
      </c>
      <c r="H9559" s="10">
        <v>46040.0</v>
      </c>
      <c r="I9559" s="12">
        <v>3.0</v>
      </c>
      <c r="J9559" s="6" t="s">
        <v>161</v>
      </c>
    </row>
    <row r="9560" ht="22.5" customHeight="1">
      <c r="A9560" s="6" t="s">
        <v>26368</v>
      </c>
      <c r="B9560" s="6" t="s">
        <v>21109</v>
      </c>
      <c r="C9560" s="10">
        <v>46050.0</v>
      </c>
      <c r="D9560" s="6" t="s">
        <v>391</v>
      </c>
      <c r="E9560" s="6" t="s">
        <v>1055</v>
      </c>
      <c r="F9560" s="6" t="s">
        <v>112</v>
      </c>
      <c r="G9560" s="6" t="s">
        <v>326</v>
      </c>
      <c r="H9560" s="10">
        <v>46050.0</v>
      </c>
      <c r="I9560" s="12">
        <v>9.0</v>
      </c>
      <c r="J9560" s="6" t="s">
        <v>161</v>
      </c>
    </row>
    <row r="9561" ht="22.5" customHeight="1">
      <c r="A9561" s="6" t="s">
        <v>26369</v>
      </c>
      <c r="B9561" s="6" t="s">
        <v>21116</v>
      </c>
      <c r="C9561" s="10">
        <v>46039.0</v>
      </c>
      <c r="D9561" s="6" t="s">
        <v>242</v>
      </c>
      <c r="E9561" s="6" t="s">
        <v>2881</v>
      </c>
      <c r="F9561" s="6" t="s">
        <v>112</v>
      </c>
      <c r="G9561" s="6" t="s">
        <v>326</v>
      </c>
      <c r="H9561" s="10">
        <v>46045.0</v>
      </c>
      <c r="I9561" s="12">
        <v>6.0</v>
      </c>
      <c r="J9561" s="6" t="s">
        <v>178</v>
      </c>
    </row>
    <row r="9562" ht="22.5" customHeight="1">
      <c r="A9562" s="6" t="s">
        <v>26370</v>
      </c>
      <c r="B9562" s="6" t="s">
        <v>21116</v>
      </c>
      <c r="C9562" s="10">
        <v>46028.0</v>
      </c>
      <c r="D9562" s="6" t="s">
        <v>242</v>
      </c>
      <c r="E9562" s="6" t="s">
        <v>1741</v>
      </c>
      <c r="F9562" s="6" t="s">
        <v>249</v>
      </c>
      <c r="G9562" s="6" t="s">
        <v>452</v>
      </c>
      <c r="H9562" s="10">
        <v>46030.0</v>
      </c>
      <c r="I9562" s="12">
        <v>3.0</v>
      </c>
      <c r="J9562" s="6" t="s">
        <v>178</v>
      </c>
    </row>
    <row r="9563" ht="22.5" customHeight="1">
      <c r="A9563" s="6" t="s">
        <v>26371</v>
      </c>
      <c r="B9563" s="6" t="s">
        <v>21116</v>
      </c>
      <c r="C9563" s="10">
        <v>46027.0</v>
      </c>
      <c r="D9563" s="6" t="s">
        <v>677</v>
      </c>
      <c r="E9563" s="6" t="s">
        <v>417</v>
      </c>
      <c r="F9563" s="6" t="s">
        <v>439</v>
      </c>
      <c r="G9563" s="6" t="s">
        <v>452</v>
      </c>
      <c r="H9563" s="11" t="s">
        <v>259</v>
      </c>
      <c r="I9563" s="12">
        <v>3.0</v>
      </c>
      <c r="J9563" s="6" t="s">
        <v>161</v>
      </c>
    </row>
    <row r="9564" ht="22.5" customHeight="1">
      <c r="A9564" s="6" t="s">
        <v>26372</v>
      </c>
      <c r="B9564" s="6" t="s">
        <v>21124</v>
      </c>
      <c r="C9564" s="10">
        <v>46046.0</v>
      </c>
      <c r="D9564" s="6" t="s">
        <v>312</v>
      </c>
      <c r="E9564" s="6" t="s">
        <v>1600</v>
      </c>
      <c r="F9564" s="6" t="s">
        <v>249</v>
      </c>
      <c r="G9564" s="6" t="s">
        <v>326</v>
      </c>
      <c r="H9564" s="10">
        <v>46049.0</v>
      </c>
      <c r="I9564" s="12">
        <v>4.0</v>
      </c>
      <c r="J9564" s="6" t="s">
        <v>161</v>
      </c>
    </row>
    <row r="9565" ht="22.5" customHeight="1">
      <c r="A9565" s="6" t="s">
        <v>26373</v>
      </c>
      <c r="B9565" s="6" t="s">
        <v>21124</v>
      </c>
      <c r="C9565" s="10">
        <v>46054.0</v>
      </c>
      <c r="D9565" s="6" t="s">
        <v>436</v>
      </c>
      <c r="E9565" s="6" t="s">
        <v>1517</v>
      </c>
      <c r="F9565" s="6" t="s">
        <v>249</v>
      </c>
      <c r="G9565" s="6" t="s">
        <v>494</v>
      </c>
      <c r="H9565" s="10">
        <v>46056.0</v>
      </c>
      <c r="I9565" s="12">
        <v>7.0</v>
      </c>
      <c r="J9565" s="6" t="s">
        <v>178</v>
      </c>
    </row>
    <row r="9566" ht="22.5" customHeight="1">
      <c r="A9566" s="6" t="s">
        <v>26374</v>
      </c>
      <c r="B9566" s="6" t="s">
        <v>21124</v>
      </c>
      <c r="C9566" s="10">
        <v>46045.0</v>
      </c>
      <c r="D9566" s="6" t="s">
        <v>391</v>
      </c>
      <c r="E9566" s="6" t="s">
        <v>450</v>
      </c>
      <c r="F9566" s="6" t="s">
        <v>249</v>
      </c>
      <c r="G9566" s="6" t="s">
        <v>326</v>
      </c>
      <c r="H9566" s="10">
        <v>46045.0</v>
      </c>
      <c r="I9566" s="12">
        <v>8.0</v>
      </c>
      <c r="J9566" s="6" t="s">
        <v>161</v>
      </c>
    </row>
    <row r="9567" ht="22.5" customHeight="1">
      <c r="A9567" s="6" t="s">
        <v>26375</v>
      </c>
      <c r="B9567" s="6" t="s">
        <v>21124</v>
      </c>
      <c r="C9567" s="10">
        <v>46060.0</v>
      </c>
      <c r="D9567" s="6" t="s">
        <v>289</v>
      </c>
      <c r="E9567" s="6" t="s">
        <v>365</v>
      </c>
      <c r="F9567" s="6" t="s">
        <v>283</v>
      </c>
      <c r="G9567" s="6" t="s">
        <v>369</v>
      </c>
      <c r="H9567" s="10">
        <v>46062.0</v>
      </c>
      <c r="I9567" s="12">
        <v>8.0</v>
      </c>
      <c r="J9567" s="6" t="s">
        <v>161</v>
      </c>
    </row>
    <row r="9568" ht="22.5" customHeight="1">
      <c r="A9568" s="6" t="s">
        <v>26376</v>
      </c>
      <c r="B9568" s="6" t="s">
        <v>21124</v>
      </c>
      <c r="C9568" s="10">
        <v>46053.0</v>
      </c>
      <c r="D9568" s="6" t="s">
        <v>242</v>
      </c>
      <c r="E9568" s="6" t="s">
        <v>1741</v>
      </c>
      <c r="F9568" s="6" t="s">
        <v>283</v>
      </c>
      <c r="G9568" s="6" t="s">
        <v>254</v>
      </c>
      <c r="H9568" s="11" t="s">
        <v>259</v>
      </c>
      <c r="I9568" s="12">
        <v>4.0</v>
      </c>
      <c r="J9568" s="6" t="s">
        <v>178</v>
      </c>
    </row>
    <row r="9569" ht="22.5" customHeight="1">
      <c r="A9569" s="6" t="s">
        <v>26377</v>
      </c>
      <c r="B9569" s="6" t="s">
        <v>21130</v>
      </c>
      <c r="C9569" s="10">
        <v>46049.0</v>
      </c>
      <c r="D9569" s="6" t="s">
        <v>677</v>
      </c>
      <c r="E9569" s="6" t="s">
        <v>704</v>
      </c>
      <c r="F9569" s="6" t="s">
        <v>283</v>
      </c>
      <c r="G9569" s="6" t="s">
        <v>477</v>
      </c>
      <c r="H9569" s="10">
        <v>46050.0</v>
      </c>
      <c r="I9569" s="12">
        <v>3.0</v>
      </c>
      <c r="J9569" s="6" t="s">
        <v>161</v>
      </c>
    </row>
    <row r="9570" ht="22.5" customHeight="1">
      <c r="A9570" s="6" t="s">
        <v>26378</v>
      </c>
      <c r="B9570" s="6" t="s">
        <v>21138</v>
      </c>
      <c r="C9570" s="10">
        <v>46050.0</v>
      </c>
      <c r="D9570" s="6" t="s">
        <v>242</v>
      </c>
      <c r="E9570" s="6" t="s">
        <v>566</v>
      </c>
      <c r="F9570" s="6" t="s">
        <v>283</v>
      </c>
      <c r="G9570" s="6" t="s">
        <v>369</v>
      </c>
      <c r="H9570" s="10">
        <v>46054.0</v>
      </c>
      <c r="I9570" s="12">
        <v>6.0</v>
      </c>
      <c r="J9570" s="6" t="s">
        <v>178</v>
      </c>
    </row>
    <row r="9571" ht="22.5" customHeight="1">
      <c r="A9571" s="6" t="s">
        <v>26379</v>
      </c>
      <c r="B9571" s="6" t="s">
        <v>21145</v>
      </c>
      <c r="C9571" s="10">
        <v>46058.0</v>
      </c>
      <c r="D9571" s="6" t="s">
        <v>416</v>
      </c>
      <c r="E9571" s="6" t="s">
        <v>320</v>
      </c>
      <c r="F9571" s="6" t="s">
        <v>112</v>
      </c>
      <c r="G9571" s="6" t="s">
        <v>477</v>
      </c>
      <c r="H9571" s="10">
        <v>46058.0</v>
      </c>
      <c r="I9571" s="12">
        <v>12.0</v>
      </c>
      <c r="J9571" s="6" t="s">
        <v>161</v>
      </c>
    </row>
    <row r="9572" ht="22.5" customHeight="1">
      <c r="A9572" s="6" t="s">
        <v>26380</v>
      </c>
      <c r="B9572" s="6" t="s">
        <v>21145</v>
      </c>
      <c r="C9572" s="10">
        <v>46069.0</v>
      </c>
      <c r="D9572" s="6" t="s">
        <v>242</v>
      </c>
      <c r="E9572" s="6" t="s">
        <v>450</v>
      </c>
      <c r="F9572" s="6" t="s">
        <v>112</v>
      </c>
      <c r="G9572" s="6" t="s">
        <v>254</v>
      </c>
      <c r="H9572" s="10">
        <v>46073.0</v>
      </c>
      <c r="I9572" s="12">
        <v>5.0</v>
      </c>
      <c r="J9572" s="6" t="s">
        <v>161</v>
      </c>
    </row>
    <row r="9573" ht="22.5" customHeight="1">
      <c r="A9573" s="6" t="s">
        <v>26381</v>
      </c>
      <c r="B9573" s="6" t="s">
        <v>21145</v>
      </c>
      <c r="C9573" s="10">
        <v>46067.0</v>
      </c>
      <c r="D9573" s="6" t="s">
        <v>242</v>
      </c>
      <c r="E9573" s="6" t="s">
        <v>417</v>
      </c>
      <c r="F9573" s="6" t="s">
        <v>439</v>
      </c>
      <c r="G9573" s="6" t="s">
        <v>326</v>
      </c>
      <c r="H9573" s="10">
        <v>46071.0</v>
      </c>
      <c r="I9573" s="12">
        <v>5.0</v>
      </c>
      <c r="J9573" s="6" t="s">
        <v>161</v>
      </c>
    </row>
    <row r="9574" ht="22.5" customHeight="1">
      <c r="A9574" s="6" t="s">
        <v>26382</v>
      </c>
      <c r="B9574" s="6" t="s">
        <v>21151</v>
      </c>
      <c r="C9574" s="10">
        <v>46032.0</v>
      </c>
      <c r="D9574" s="6" t="s">
        <v>436</v>
      </c>
      <c r="E9574" s="6" t="s">
        <v>695</v>
      </c>
      <c r="F9574" s="6" t="s">
        <v>439</v>
      </c>
      <c r="G9574" s="6" t="s">
        <v>326</v>
      </c>
      <c r="H9574" s="10">
        <v>46036.0</v>
      </c>
      <c r="I9574" s="12">
        <v>9.0</v>
      </c>
      <c r="J9574" s="6" t="s">
        <v>178</v>
      </c>
    </row>
    <row r="9575" ht="22.5" customHeight="1">
      <c r="A9575" s="6" t="s">
        <v>26383</v>
      </c>
      <c r="B9575" s="6" t="s">
        <v>21151</v>
      </c>
      <c r="C9575" s="10">
        <v>46037.0</v>
      </c>
      <c r="D9575" s="6" t="s">
        <v>677</v>
      </c>
      <c r="E9575" s="6" t="s">
        <v>687</v>
      </c>
      <c r="F9575" s="6" t="s">
        <v>249</v>
      </c>
      <c r="G9575" s="6" t="s">
        <v>452</v>
      </c>
      <c r="H9575" s="11" t="s">
        <v>259</v>
      </c>
      <c r="I9575" s="12">
        <v>4.0</v>
      </c>
      <c r="J9575" s="6" t="s">
        <v>161</v>
      </c>
    </row>
    <row r="9576" ht="22.5" customHeight="1">
      <c r="A9576" s="6" t="s">
        <v>26384</v>
      </c>
      <c r="B9576" s="6" t="s">
        <v>21151</v>
      </c>
      <c r="C9576" s="10">
        <v>46037.0</v>
      </c>
      <c r="D9576" s="6" t="s">
        <v>289</v>
      </c>
      <c r="E9576" s="6" t="s">
        <v>438</v>
      </c>
      <c r="F9576" s="6" t="s">
        <v>112</v>
      </c>
      <c r="G9576" s="6" t="s">
        <v>326</v>
      </c>
      <c r="H9576" s="10">
        <v>46039.0</v>
      </c>
      <c r="I9576" s="12">
        <v>9.0</v>
      </c>
      <c r="J9576" s="6" t="s">
        <v>161</v>
      </c>
    </row>
    <row r="9577" ht="22.5" customHeight="1">
      <c r="A9577" s="6" t="s">
        <v>26385</v>
      </c>
      <c r="B9577" s="6" t="s">
        <v>21151</v>
      </c>
      <c r="C9577" s="10">
        <v>46042.0</v>
      </c>
      <c r="D9577" s="6" t="s">
        <v>242</v>
      </c>
      <c r="E9577" s="6" t="s">
        <v>695</v>
      </c>
      <c r="F9577" s="6" t="s">
        <v>439</v>
      </c>
      <c r="G9577" s="6" t="s">
        <v>254</v>
      </c>
      <c r="H9577" s="10">
        <v>46045.0</v>
      </c>
      <c r="I9577" s="12">
        <v>6.0</v>
      </c>
      <c r="J9577" s="6" t="s">
        <v>178</v>
      </c>
    </row>
    <row r="9578" ht="22.5" customHeight="1">
      <c r="A9578" s="6" t="s">
        <v>26386</v>
      </c>
      <c r="B9578" s="6" t="s">
        <v>21151</v>
      </c>
      <c r="C9578" s="10">
        <v>46038.0</v>
      </c>
      <c r="D9578" s="6" t="s">
        <v>242</v>
      </c>
      <c r="E9578" s="6" t="s">
        <v>775</v>
      </c>
      <c r="F9578" s="6" t="s">
        <v>439</v>
      </c>
      <c r="G9578" s="6" t="s">
        <v>326</v>
      </c>
      <c r="H9578" s="10">
        <v>46044.0</v>
      </c>
      <c r="I9578" s="12">
        <v>4.0</v>
      </c>
      <c r="J9578" s="6" t="s">
        <v>178</v>
      </c>
    </row>
    <row r="9579" ht="22.5" customHeight="1">
      <c r="A9579" s="6" t="s">
        <v>26387</v>
      </c>
      <c r="B9579" s="6" t="s">
        <v>21158</v>
      </c>
      <c r="C9579" s="10">
        <v>46035.0</v>
      </c>
      <c r="D9579" s="6" t="s">
        <v>677</v>
      </c>
      <c r="E9579" s="6" t="s">
        <v>1273</v>
      </c>
      <c r="F9579" s="6" t="s">
        <v>283</v>
      </c>
      <c r="G9579" s="6" t="s">
        <v>452</v>
      </c>
      <c r="H9579" s="10">
        <v>46036.0</v>
      </c>
      <c r="I9579" s="12">
        <v>4.0</v>
      </c>
      <c r="J9579" s="6" t="s">
        <v>161</v>
      </c>
    </row>
    <row r="9580" ht="22.5" customHeight="1">
      <c r="A9580" s="6" t="s">
        <v>26388</v>
      </c>
      <c r="B9580" s="6" t="s">
        <v>21158</v>
      </c>
      <c r="C9580" s="10">
        <v>46036.0</v>
      </c>
      <c r="D9580" s="6" t="s">
        <v>289</v>
      </c>
      <c r="E9580" s="6" t="s">
        <v>320</v>
      </c>
      <c r="F9580" s="6" t="s">
        <v>283</v>
      </c>
      <c r="G9580" s="6" t="s">
        <v>458</v>
      </c>
      <c r="H9580" s="10">
        <v>46038.0</v>
      </c>
      <c r="I9580" s="12">
        <v>10.0</v>
      </c>
      <c r="J9580" s="6" t="s">
        <v>161</v>
      </c>
    </row>
    <row r="9581" ht="22.5" customHeight="1">
      <c r="A9581" s="6" t="s">
        <v>26389</v>
      </c>
      <c r="B9581" s="6" t="s">
        <v>21158</v>
      </c>
      <c r="C9581" s="10">
        <v>46040.0</v>
      </c>
      <c r="D9581" s="6" t="s">
        <v>312</v>
      </c>
      <c r="E9581" s="6" t="s">
        <v>1070</v>
      </c>
      <c r="F9581" s="6" t="s">
        <v>249</v>
      </c>
      <c r="G9581" s="6" t="s">
        <v>458</v>
      </c>
      <c r="H9581" s="11" t="s">
        <v>259</v>
      </c>
      <c r="I9581" s="12">
        <v>5.0</v>
      </c>
      <c r="J9581" s="6" t="s">
        <v>161</v>
      </c>
    </row>
    <row r="9582" ht="22.5" customHeight="1">
      <c r="A9582" s="6" t="s">
        <v>26390</v>
      </c>
      <c r="B9582" s="6" t="s">
        <v>21158</v>
      </c>
      <c r="C9582" s="10">
        <v>46034.0</v>
      </c>
      <c r="D9582" s="6" t="s">
        <v>677</v>
      </c>
      <c r="E9582" s="6" t="s">
        <v>1280</v>
      </c>
      <c r="F9582" s="6" t="s">
        <v>283</v>
      </c>
      <c r="G9582" s="6" t="s">
        <v>452</v>
      </c>
      <c r="H9582" s="10">
        <v>46041.0</v>
      </c>
      <c r="I9582" s="12">
        <v>4.0</v>
      </c>
      <c r="J9582" s="6" t="s">
        <v>161</v>
      </c>
    </row>
    <row r="9583" ht="22.5" customHeight="1">
      <c r="A9583" s="6" t="s">
        <v>26391</v>
      </c>
      <c r="B9583" s="6" t="s">
        <v>21164</v>
      </c>
      <c r="C9583" s="10">
        <v>46032.0</v>
      </c>
      <c r="D9583" s="6" t="s">
        <v>242</v>
      </c>
      <c r="E9583" s="6" t="s">
        <v>246</v>
      </c>
      <c r="F9583" s="6" t="s">
        <v>439</v>
      </c>
      <c r="G9583" s="6" t="s">
        <v>477</v>
      </c>
      <c r="H9583" s="11" t="s">
        <v>259</v>
      </c>
      <c r="I9583" s="12">
        <v>5.0</v>
      </c>
      <c r="J9583" s="6" t="s">
        <v>178</v>
      </c>
    </row>
    <row r="9584" ht="22.5" customHeight="1">
      <c r="A9584" s="6" t="s">
        <v>26392</v>
      </c>
      <c r="B9584" s="6" t="s">
        <v>21164</v>
      </c>
      <c r="C9584" s="10">
        <v>46038.0</v>
      </c>
      <c r="D9584" s="6" t="s">
        <v>312</v>
      </c>
      <c r="E9584" s="6" t="s">
        <v>1055</v>
      </c>
      <c r="F9584" s="6" t="s">
        <v>249</v>
      </c>
      <c r="G9584" s="6" t="s">
        <v>369</v>
      </c>
      <c r="H9584" s="10">
        <v>46039.0</v>
      </c>
      <c r="I9584" s="12">
        <v>4.0</v>
      </c>
      <c r="J9584" s="6" t="s">
        <v>161</v>
      </c>
    </row>
    <row r="9585" ht="22.5" customHeight="1">
      <c r="A9585" s="6" t="s">
        <v>26393</v>
      </c>
      <c r="B9585" s="6" t="s">
        <v>21164</v>
      </c>
      <c r="C9585" s="10">
        <v>46041.0</v>
      </c>
      <c r="D9585" s="6" t="s">
        <v>677</v>
      </c>
      <c r="E9585" s="6" t="s">
        <v>896</v>
      </c>
      <c r="F9585" s="6" t="s">
        <v>439</v>
      </c>
      <c r="G9585" s="6" t="s">
        <v>494</v>
      </c>
      <c r="H9585" s="10">
        <v>46047.0</v>
      </c>
      <c r="I9585" s="12">
        <v>2.0</v>
      </c>
      <c r="J9585" s="6" t="s">
        <v>161</v>
      </c>
    </row>
    <row r="9586" ht="22.5" customHeight="1">
      <c r="A9586" s="6" t="s">
        <v>26394</v>
      </c>
      <c r="B9586" s="6" t="s">
        <v>21164</v>
      </c>
      <c r="C9586" s="10">
        <v>46047.0</v>
      </c>
      <c r="D9586" s="6" t="s">
        <v>289</v>
      </c>
      <c r="E9586" s="6" t="s">
        <v>787</v>
      </c>
      <c r="F9586" s="6" t="s">
        <v>439</v>
      </c>
      <c r="G9586" s="6" t="s">
        <v>477</v>
      </c>
      <c r="H9586" s="10">
        <v>46052.0</v>
      </c>
      <c r="I9586" s="12">
        <v>7.0</v>
      </c>
      <c r="J9586" s="6" t="s">
        <v>161</v>
      </c>
    </row>
    <row r="9587" ht="22.5" customHeight="1">
      <c r="A9587" s="6" t="s">
        <v>26395</v>
      </c>
      <c r="B9587" s="6" t="s">
        <v>21171</v>
      </c>
      <c r="C9587" s="10">
        <v>46075.0</v>
      </c>
      <c r="D9587" s="6" t="s">
        <v>677</v>
      </c>
      <c r="E9587" s="6" t="s">
        <v>618</v>
      </c>
      <c r="F9587" s="6" t="s">
        <v>439</v>
      </c>
      <c r="G9587" s="6" t="s">
        <v>458</v>
      </c>
      <c r="H9587" s="10">
        <v>46078.0</v>
      </c>
      <c r="I9587" s="12">
        <v>2.0</v>
      </c>
      <c r="J9587" s="6" t="s">
        <v>161</v>
      </c>
    </row>
    <row r="9588" ht="22.5" customHeight="1">
      <c r="A9588" s="6" t="s">
        <v>26396</v>
      </c>
      <c r="B9588" s="6" t="s">
        <v>21171</v>
      </c>
      <c r="C9588" s="10">
        <v>46083.0</v>
      </c>
      <c r="D9588" s="6" t="s">
        <v>289</v>
      </c>
      <c r="E9588" s="6" t="s">
        <v>1700</v>
      </c>
      <c r="F9588" s="6" t="s">
        <v>112</v>
      </c>
      <c r="G9588" s="6" t="s">
        <v>494</v>
      </c>
      <c r="H9588" s="10">
        <v>46087.0</v>
      </c>
      <c r="I9588" s="12">
        <v>9.0</v>
      </c>
      <c r="J9588" s="6" t="s">
        <v>161</v>
      </c>
    </row>
    <row r="9589" ht="22.5" customHeight="1">
      <c r="A9589" s="6" t="s">
        <v>26397</v>
      </c>
      <c r="B9589" s="6" t="s">
        <v>21171</v>
      </c>
      <c r="C9589" s="10">
        <v>46071.0</v>
      </c>
      <c r="D9589" s="6" t="s">
        <v>677</v>
      </c>
      <c r="E9589" s="6" t="s">
        <v>787</v>
      </c>
      <c r="F9589" s="6" t="s">
        <v>283</v>
      </c>
      <c r="G9589" s="6" t="s">
        <v>369</v>
      </c>
      <c r="H9589" s="10">
        <v>46078.0</v>
      </c>
      <c r="I9589" s="12">
        <v>2.0</v>
      </c>
      <c r="J9589" s="6" t="s">
        <v>161</v>
      </c>
    </row>
    <row r="9590" ht="22.5" customHeight="1">
      <c r="A9590" s="6" t="s">
        <v>26398</v>
      </c>
      <c r="B9590" s="6" t="s">
        <v>21171</v>
      </c>
      <c r="C9590" s="10">
        <v>46085.0</v>
      </c>
      <c r="D9590" s="6" t="s">
        <v>677</v>
      </c>
      <c r="E9590" s="6" t="s">
        <v>1280</v>
      </c>
      <c r="F9590" s="6" t="s">
        <v>283</v>
      </c>
      <c r="G9590" s="6" t="s">
        <v>254</v>
      </c>
      <c r="H9590" s="10">
        <v>46091.0</v>
      </c>
      <c r="I9590" s="12">
        <v>2.0</v>
      </c>
      <c r="J9590" s="6" t="s">
        <v>161</v>
      </c>
    </row>
    <row r="9591" ht="22.5" customHeight="1">
      <c r="A9591" s="6" t="s">
        <v>26399</v>
      </c>
      <c r="B9591" s="6" t="s">
        <v>21171</v>
      </c>
      <c r="C9591" s="10">
        <v>46066.0</v>
      </c>
      <c r="D9591" s="6" t="s">
        <v>242</v>
      </c>
      <c r="E9591" s="6" t="s">
        <v>1296</v>
      </c>
      <c r="F9591" s="6" t="s">
        <v>283</v>
      </c>
      <c r="G9591" s="6" t="s">
        <v>494</v>
      </c>
      <c r="H9591" s="10">
        <v>46071.0</v>
      </c>
      <c r="I9591" s="12">
        <v>5.0</v>
      </c>
      <c r="J9591" s="6" t="s">
        <v>161</v>
      </c>
    </row>
    <row r="9592" ht="22.5" customHeight="1">
      <c r="A9592" s="6" t="s">
        <v>26400</v>
      </c>
      <c r="B9592" s="6" t="s">
        <v>21178</v>
      </c>
      <c r="C9592" s="10">
        <v>46067.0</v>
      </c>
      <c r="D9592" s="6" t="s">
        <v>416</v>
      </c>
      <c r="E9592" s="6" t="s">
        <v>695</v>
      </c>
      <c r="F9592" s="6" t="s">
        <v>249</v>
      </c>
      <c r="G9592" s="6" t="s">
        <v>254</v>
      </c>
      <c r="H9592" s="10">
        <v>46073.0</v>
      </c>
      <c r="I9592" s="12">
        <v>12.0</v>
      </c>
      <c r="J9592" s="6" t="s">
        <v>161</v>
      </c>
    </row>
    <row r="9593" ht="22.5" customHeight="1">
      <c r="A9593" s="6" t="s">
        <v>26401</v>
      </c>
      <c r="B9593" s="6" t="s">
        <v>21178</v>
      </c>
      <c r="C9593" s="10">
        <v>46054.0</v>
      </c>
      <c r="D9593" s="6" t="s">
        <v>436</v>
      </c>
      <c r="E9593" s="6" t="s">
        <v>1700</v>
      </c>
      <c r="F9593" s="6" t="s">
        <v>439</v>
      </c>
      <c r="G9593" s="6" t="s">
        <v>477</v>
      </c>
      <c r="H9593" s="10">
        <v>46054.0</v>
      </c>
      <c r="I9593" s="12">
        <v>7.0</v>
      </c>
      <c r="J9593" s="6" t="s">
        <v>178</v>
      </c>
    </row>
    <row r="9594" ht="22.5" customHeight="1">
      <c r="A9594" s="6" t="s">
        <v>26402</v>
      </c>
      <c r="B9594" s="6" t="s">
        <v>21178</v>
      </c>
      <c r="C9594" s="10">
        <v>46062.0</v>
      </c>
      <c r="D9594" s="6" t="s">
        <v>416</v>
      </c>
      <c r="E9594" s="6" t="s">
        <v>896</v>
      </c>
      <c r="F9594" s="6" t="s">
        <v>439</v>
      </c>
      <c r="G9594" s="6" t="s">
        <v>254</v>
      </c>
      <c r="H9594" s="10">
        <v>46069.0</v>
      </c>
      <c r="I9594" s="12">
        <v>12.0</v>
      </c>
      <c r="J9594" s="6" t="s">
        <v>161</v>
      </c>
    </row>
    <row r="9595" ht="22.5" customHeight="1">
      <c r="A9595" s="6" t="s">
        <v>26403</v>
      </c>
      <c r="B9595" s="6" t="s">
        <v>21178</v>
      </c>
      <c r="C9595" s="10">
        <v>46063.0</v>
      </c>
      <c r="D9595" s="6" t="s">
        <v>436</v>
      </c>
      <c r="E9595" s="6" t="s">
        <v>812</v>
      </c>
      <c r="F9595" s="6" t="s">
        <v>112</v>
      </c>
      <c r="G9595" s="6" t="s">
        <v>452</v>
      </c>
      <c r="H9595" s="10">
        <v>46070.0</v>
      </c>
      <c r="I9595" s="12">
        <v>10.0</v>
      </c>
      <c r="J9595" s="6" t="s">
        <v>178</v>
      </c>
    </row>
    <row r="9596" ht="22.5" customHeight="1">
      <c r="A9596" s="6" t="s">
        <v>26404</v>
      </c>
      <c r="B9596" s="6" t="s">
        <v>21185</v>
      </c>
      <c r="C9596" s="10">
        <v>46057.0</v>
      </c>
      <c r="D9596" s="6" t="s">
        <v>436</v>
      </c>
      <c r="E9596" s="6" t="s">
        <v>955</v>
      </c>
      <c r="F9596" s="6" t="s">
        <v>112</v>
      </c>
      <c r="G9596" s="6" t="s">
        <v>326</v>
      </c>
      <c r="H9596" s="10">
        <v>46059.0</v>
      </c>
      <c r="I9596" s="12">
        <v>7.0</v>
      </c>
      <c r="J9596" s="6" t="s">
        <v>178</v>
      </c>
    </row>
    <row r="9597" ht="22.5" customHeight="1">
      <c r="A9597" s="6" t="s">
        <v>26405</v>
      </c>
      <c r="B9597" s="6" t="s">
        <v>21185</v>
      </c>
      <c r="C9597" s="10">
        <v>46059.0</v>
      </c>
      <c r="D9597" s="6" t="s">
        <v>289</v>
      </c>
      <c r="E9597" s="6" t="s">
        <v>1280</v>
      </c>
      <c r="F9597" s="6" t="s">
        <v>112</v>
      </c>
      <c r="G9597" s="6" t="s">
        <v>254</v>
      </c>
      <c r="H9597" s="10">
        <v>46062.0</v>
      </c>
      <c r="I9597" s="12">
        <v>7.0</v>
      </c>
      <c r="J9597" s="6" t="s">
        <v>161</v>
      </c>
    </row>
    <row r="9598" ht="22.5" customHeight="1">
      <c r="A9598" s="6" t="s">
        <v>26406</v>
      </c>
      <c r="B9598" s="6" t="s">
        <v>21192</v>
      </c>
      <c r="C9598" s="10">
        <v>46077.0</v>
      </c>
      <c r="D9598" s="6" t="s">
        <v>242</v>
      </c>
      <c r="E9598" s="6" t="s">
        <v>417</v>
      </c>
      <c r="F9598" s="6" t="s">
        <v>439</v>
      </c>
      <c r="G9598" s="6" t="s">
        <v>452</v>
      </c>
      <c r="H9598" s="10">
        <v>46081.0</v>
      </c>
      <c r="I9598" s="12">
        <v>4.0</v>
      </c>
      <c r="J9598" s="6" t="s">
        <v>178</v>
      </c>
    </row>
    <row r="9599" ht="22.5" customHeight="1">
      <c r="A9599" s="6" t="s">
        <v>26407</v>
      </c>
      <c r="B9599" s="6" t="s">
        <v>21200</v>
      </c>
      <c r="C9599" s="10">
        <v>46030.0</v>
      </c>
      <c r="D9599" s="6" t="s">
        <v>391</v>
      </c>
      <c r="E9599" s="6" t="s">
        <v>394</v>
      </c>
      <c r="F9599" s="6" t="s">
        <v>439</v>
      </c>
      <c r="G9599" s="6" t="s">
        <v>494</v>
      </c>
      <c r="H9599" s="10">
        <v>46036.0</v>
      </c>
      <c r="I9599" s="12">
        <v>10.0</v>
      </c>
      <c r="J9599" s="6" t="s">
        <v>161</v>
      </c>
    </row>
    <row r="9600" ht="22.5" customHeight="1">
      <c r="A9600" s="6" t="s">
        <v>26408</v>
      </c>
      <c r="B9600" s="6" t="s">
        <v>21200</v>
      </c>
      <c r="C9600" s="10">
        <v>46045.0</v>
      </c>
      <c r="D9600" s="6" t="s">
        <v>242</v>
      </c>
      <c r="E9600" s="6" t="s">
        <v>1055</v>
      </c>
      <c r="F9600" s="6" t="s">
        <v>249</v>
      </c>
      <c r="G9600" s="6" t="s">
        <v>254</v>
      </c>
      <c r="H9600" s="11" t="s">
        <v>259</v>
      </c>
      <c r="I9600" s="12">
        <v>3.0</v>
      </c>
      <c r="J9600" s="6" t="s">
        <v>178</v>
      </c>
    </row>
    <row r="9601" ht="22.5" customHeight="1">
      <c r="A9601" s="6" t="s">
        <v>26409</v>
      </c>
      <c r="B9601" s="6" t="s">
        <v>21200</v>
      </c>
      <c r="C9601" s="10">
        <v>46026.0</v>
      </c>
      <c r="D9601" s="6" t="s">
        <v>436</v>
      </c>
      <c r="E9601" s="6" t="s">
        <v>1600</v>
      </c>
      <c r="F9601" s="6" t="s">
        <v>112</v>
      </c>
      <c r="G9601" s="6" t="s">
        <v>458</v>
      </c>
      <c r="H9601" s="11" t="s">
        <v>259</v>
      </c>
      <c r="I9601" s="12">
        <v>12.0</v>
      </c>
      <c r="J9601" s="6" t="s">
        <v>178</v>
      </c>
    </row>
    <row r="9602" ht="22.5" customHeight="1">
      <c r="A9602" s="6" t="s">
        <v>26410</v>
      </c>
      <c r="B9602" s="6" t="s">
        <v>21200</v>
      </c>
      <c r="C9602" s="10">
        <v>46042.0</v>
      </c>
      <c r="D9602" s="6" t="s">
        <v>416</v>
      </c>
      <c r="E9602" s="6" t="s">
        <v>394</v>
      </c>
      <c r="F9602" s="6" t="s">
        <v>439</v>
      </c>
      <c r="G9602" s="6" t="s">
        <v>297</v>
      </c>
      <c r="H9602" s="10">
        <v>46043.0</v>
      </c>
      <c r="I9602" s="12">
        <v>10.0</v>
      </c>
      <c r="J9602" s="6" t="s">
        <v>161</v>
      </c>
    </row>
    <row r="9603" ht="22.5" customHeight="1">
      <c r="A9603" s="6" t="s">
        <v>26411</v>
      </c>
      <c r="B9603" s="6" t="s">
        <v>21207</v>
      </c>
      <c r="C9603" s="10">
        <v>46030.0</v>
      </c>
      <c r="D9603" s="6" t="s">
        <v>242</v>
      </c>
      <c r="E9603" s="6" t="s">
        <v>738</v>
      </c>
      <c r="F9603" s="6" t="s">
        <v>112</v>
      </c>
      <c r="G9603" s="6" t="s">
        <v>369</v>
      </c>
      <c r="H9603" s="10">
        <v>46031.0</v>
      </c>
      <c r="I9603" s="12">
        <v>4.0</v>
      </c>
      <c r="J9603" s="6" t="s">
        <v>178</v>
      </c>
    </row>
    <row r="9604" ht="22.5" customHeight="1">
      <c r="A9604" s="6" t="s">
        <v>26412</v>
      </c>
      <c r="B9604" s="6" t="s">
        <v>21207</v>
      </c>
      <c r="C9604" s="10">
        <v>46031.0</v>
      </c>
      <c r="D9604" s="6" t="s">
        <v>677</v>
      </c>
      <c r="E9604" s="6" t="s">
        <v>1741</v>
      </c>
      <c r="F9604" s="6" t="s">
        <v>439</v>
      </c>
      <c r="G9604" s="6" t="s">
        <v>458</v>
      </c>
      <c r="H9604" s="10">
        <v>46038.0</v>
      </c>
      <c r="I9604" s="12">
        <v>4.0</v>
      </c>
      <c r="J9604" s="6" t="s">
        <v>161</v>
      </c>
    </row>
    <row r="9605" ht="22.5" customHeight="1">
      <c r="A9605" s="6" t="s">
        <v>26413</v>
      </c>
      <c r="B9605" s="6" t="s">
        <v>21214</v>
      </c>
      <c r="C9605" s="10">
        <v>46030.0</v>
      </c>
      <c r="D9605" s="6" t="s">
        <v>391</v>
      </c>
      <c r="E9605" s="6" t="s">
        <v>394</v>
      </c>
      <c r="F9605" s="6" t="s">
        <v>439</v>
      </c>
      <c r="G9605" s="6" t="s">
        <v>477</v>
      </c>
      <c r="H9605" s="10">
        <v>46032.0</v>
      </c>
      <c r="I9605" s="12">
        <v>8.0</v>
      </c>
      <c r="J9605" s="6" t="s">
        <v>161</v>
      </c>
    </row>
    <row r="9606" ht="22.5" customHeight="1">
      <c r="A9606" s="6" t="s">
        <v>26414</v>
      </c>
      <c r="B9606" s="6" t="s">
        <v>21214</v>
      </c>
      <c r="C9606" s="10">
        <v>46042.0</v>
      </c>
      <c r="D9606" s="6" t="s">
        <v>391</v>
      </c>
      <c r="E9606" s="6" t="s">
        <v>955</v>
      </c>
      <c r="F9606" s="6" t="s">
        <v>439</v>
      </c>
      <c r="G9606" s="6" t="s">
        <v>494</v>
      </c>
      <c r="H9606" s="10">
        <v>46048.0</v>
      </c>
      <c r="I9606" s="12">
        <v>11.0</v>
      </c>
      <c r="J9606" s="6" t="s">
        <v>161</v>
      </c>
    </row>
    <row r="9607" ht="22.5" customHeight="1">
      <c r="A9607" s="6" t="s">
        <v>26415</v>
      </c>
      <c r="B9607" s="6" t="s">
        <v>21214</v>
      </c>
      <c r="C9607" s="10">
        <v>46026.0</v>
      </c>
      <c r="D9607" s="6" t="s">
        <v>289</v>
      </c>
      <c r="E9607" s="6" t="s">
        <v>1310</v>
      </c>
      <c r="F9607" s="6" t="s">
        <v>249</v>
      </c>
      <c r="G9607" s="6" t="s">
        <v>494</v>
      </c>
      <c r="H9607" s="11" t="s">
        <v>259</v>
      </c>
      <c r="I9607" s="12">
        <v>9.0</v>
      </c>
      <c r="J9607" s="6" t="s">
        <v>161</v>
      </c>
    </row>
    <row r="9608" ht="22.5" customHeight="1">
      <c r="A9608" s="6" t="s">
        <v>26416</v>
      </c>
      <c r="B9608" s="6" t="s">
        <v>21221</v>
      </c>
      <c r="C9608" s="10">
        <v>46081.0</v>
      </c>
      <c r="D9608" s="6" t="s">
        <v>416</v>
      </c>
      <c r="E9608" s="6" t="s">
        <v>1070</v>
      </c>
      <c r="F9608" s="6" t="s">
        <v>439</v>
      </c>
      <c r="G9608" s="6" t="s">
        <v>452</v>
      </c>
      <c r="H9608" s="10">
        <v>46082.0</v>
      </c>
      <c r="I9608" s="12">
        <v>11.0</v>
      </c>
      <c r="J9608" s="6" t="s">
        <v>161</v>
      </c>
    </row>
    <row r="9609" ht="22.5" customHeight="1">
      <c r="A9609" s="6" t="s">
        <v>26417</v>
      </c>
      <c r="B9609" s="6" t="s">
        <v>21221</v>
      </c>
      <c r="C9609" s="10">
        <v>46062.0</v>
      </c>
      <c r="D9609" s="6" t="s">
        <v>416</v>
      </c>
      <c r="E9609" s="6" t="s">
        <v>291</v>
      </c>
      <c r="F9609" s="6" t="s">
        <v>439</v>
      </c>
      <c r="G9609" s="6" t="s">
        <v>458</v>
      </c>
      <c r="H9609" s="11" t="s">
        <v>259</v>
      </c>
      <c r="I9609" s="12">
        <v>9.0</v>
      </c>
      <c r="J9609" s="6" t="s">
        <v>161</v>
      </c>
    </row>
    <row r="9610" ht="22.5" customHeight="1">
      <c r="A9610" s="6" t="s">
        <v>26418</v>
      </c>
      <c r="B9610" s="6" t="s">
        <v>21221</v>
      </c>
      <c r="C9610" s="10">
        <v>46082.0</v>
      </c>
      <c r="D9610" s="6" t="s">
        <v>677</v>
      </c>
      <c r="E9610" s="6" t="s">
        <v>833</v>
      </c>
      <c r="F9610" s="6" t="s">
        <v>112</v>
      </c>
      <c r="G9610" s="6" t="s">
        <v>458</v>
      </c>
      <c r="H9610" s="10">
        <v>46085.0</v>
      </c>
      <c r="I9610" s="12">
        <v>2.0</v>
      </c>
      <c r="J9610" s="6" t="s">
        <v>161</v>
      </c>
    </row>
    <row r="9611" ht="22.5" customHeight="1">
      <c r="A9611" s="6" t="s">
        <v>26419</v>
      </c>
      <c r="B9611" s="6" t="s">
        <v>21221</v>
      </c>
      <c r="C9611" s="10">
        <v>46065.0</v>
      </c>
      <c r="D9611" s="6" t="s">
        <v>391</v>
      </c>
      <c r="E9611" s="6" t="s">
        <v>417</v>
      </c>
      <c r="F9611" s="6" t="s">
        <v>112</v>
      </c>
      <c r="G9611" s="6" t="s">
        <v>477</v>
      </c>
      <c r="H9611" s="10">
        <v>46066.0</v>
      </c>
      <c r="I9611" s="12">
        <v>11.0</v>
      </c>
      <c r="J9611" s="6" t="s">
        <v>161</v>
      </c>
    </row>
    <row r="9612" ht="22.5" customHeight="1">
      <c r="A9612" s="6" t="s">
        <v>26420</v>
      </c>
      <c r="B9612" s="6" t="s">
        <v>21227</v>
      </c>
      <c r="C9612" s="10">
        <v>46047.0</v>
      </c>
      <c r="D9612" s="6" t="s">
        <v>436</v>
      </c>
      <c r="E9612" s="6" t="s">
        <v>812</v>
      </c>
      <c r="F9612" s="6" t="s">
        <v>249</v>
      </c>
      <c r="G9612" s="6" t="s">
        <v>326</v>
      </c>
      <c r="H9612" s="10">
        <v>46048.0</v>
      </c>
      <c r="I9612" s="12">
        <v>12.0</v>
      </c>
      <c r="J9612" s="6" t="s">
        <v>161</v>
      </c>
    </row>
    <row r="9613" ht="22.5" customHeight="1">
      <c r="A9613" s="6" t="s">
        <v>26421</v>
      </c>
      <c r="B9613" s="6" t="s">
        <v>21227</v>
      </c>
      <c r="C9613" s="10">
        <v>46051.0</v>
      </c>
      <c r="D9613" s="6" t="s">
        <v>312</v>
      </c>
      <c r="E9613" s="6" t="s">
        <v>658</v>
      </c>
      <c r="F9613" s="6" t="s">
        <v>249</v>
      </c>
      <c r="G9613" s="6" t="s">
        <v>452</v>
      </c>
      <c r="H9613" s="10">
        <v>46053.0</v>
      </c>
      <c r="I9613" s="12">
        <v>7.0</v>
      </c>
      <c r="J9613" s="6" t="s">
        <v>161</v>
      </c>
    </row>
    <row r="9614" ht="22.5" customHeight="1">
      <c r="A9614" s="6" t="s">
        <v>26422</v>
      </c>
      <c r="B9614" s="6" t="s">
        <v>21234</v>
      </c>
      <c r="C9614" s="10">
        <v>46077.0</v>
      </c>
      <c r="D9614" s="6" t="s">
        <v>289</v>
      </c>
      <c r="E9614" s="6" t="s">
        <v>512</v>
      </c>
      <c r="F9614" s="6" t="s">
        <v>249</v>
      </c>
      <c r="G9614" s="6" t="s">
        <v>494</v>
      </c>
      <c r="H9614" s="10">
        <v>46077.0</v>
      </c>
      <c r="I9614" s="12">
        <v>7.0</v>
      </c>
      <c r="J9614" s="6" t="s">
        <v>161</v>
      </c>
    </row>
    <row r="9615" ht="22.5" customHeight="1">
      <c r="A9615" s="6" t="s">
        <v>26423</v>
      </c>
      <c r="B9615" s="6" t="s">
        <v>21242</v>
      </c>
      <c r="C9615" s="10">
        <v>46049.0</v>
      </c>
      <c r="D9615" s="6" t="s">
        <v>677</v>
      </c>
      <c r="E9615" s="6" t="s">
        <v>1035</v>
      </c>
      <c r="F9615" s="6" t="s">
        <v>112</v>
      </c>
      <c r="G9615" s="6" t="s">
        <v>326</v>
      </c>
      <c r="H9615" s="10">
        <v>46056.0</v>
      </c>
      <c r="I9615" s="12">
        <v>2.0</v>
      </c>
      <c r="J9615" s="6" t="s">
        <v>161</v>
      </c>
    </row>
    <row r="9616" ht="22.5" customHeight="1">
      <c r="A9616" s="6" t="s">
        <v>26424</v>
      </c>
      <c r="B9616" s="6" t="s">
        <v>21242</v>
      </c>
      <c r="C9616" s="10">
        <v>46055.0</v>
      </c>
      <c r="D9616" s="6" t="s">
        <v>416</v>
      </c>
      <c r="E9616" s="6" t="s">
        <v>687</v>
      </c>
      <c r="F9616" s="6" t="s">
        <v>249</v>
      </c>
      <c r="G9616" s="6" t="s">
        <v>494</v>
      </c>
      <c r="H9616" s="10">
        <v>46057.0</v>
      </c>
      <c r="I9616" s="12">
        <v>13.0</v>
      </c>
      <c r="J9616" s="6" t="s">
        <v>161</v>
      </c>
    </row>
    <row r="9617" ht="22.5" customHeight="1">
      <c r="A9617" s="6" t="s">
        <v>26425</v>
      </c>
      <c r="B9617" s="6" t="s">
        <v>21242</v>
      </c>
      <c r="C9617" s="10">
        <v>46064.0</v>
      </c>
      <c r="D9617" s="6" t="s">
        <v>289</v>
      </c>
      <c r="E9617" s="6" t="s">
        <v>1720</v>
      </c>
      <c r="F9617" s="6" t="s">
        <v>112</v>
      </c>
      <c r="G9617" s="6" t="s">
        <v>494</v>
      </c>
      <c r="H9617" s="10">
        <v>46067.0</v>
      </c>
      <c r="I9617" s="12">
        <v>5.0</v>
      </c>
      <c r="J9617" s="6" t="s">
        <v>161</v>
      </c>
    </row>
    <row r="9618" ht="22.5" customHeight="1">
      <c r="A9618" s="6" t="s">
        <v>26426</v>
      </c>
      <c r="B9618" s="6" t="s">
        <v>21242</v>
      </c>
      <c r="C9618" s="10">
        <v>46061.0</v>
      </c>
      <c r="D9618" s="6" t="s">
        <v>391</v>
      </c>
      <c r="E9618" s="6" t="s">
        <v>1241</v>
      </c>
      <c r="F9618" s="6" t="s">
        <v>439</v>
      </c>
      <c r="G9618" s="6" t="s">
        <v>326</v>
      </c>
      <c r="H9618" s="10">
        <v>46065.0</v>
      </c>
      <c r="I9618" s="12">
        <v>6.0</v>
      </c>
      <c r="J9618" s="6" t="s">
        <v>161</v>
      </c>
    </row>
    <row r="9619" ht="22.5" customHeight="1">
      <c r="A9619" s="6" t="s">
        <v>26427</v>
      </c>
      <c r="B9619" s="6" t="s">
        <v>21250</v>
      </c>
      <c r="C9619" s="10">
        <v>46062.0</v>
      </c>
      <c r="D9619" s="6" t="s">
        <v>416</v>
      </c>
      <c r="E9619" s="6" t="s">
        <v>738</v>
      </c>
      <c r="F9619" s="6" t="s">
        <v>249</v>
      </c>
      <c r="G9619" s="6" t="s">
        <v>254</v>
      </c>
      <c r="H9619" s="11" t="s">
        <v>259</v>
      </c>
      <c r="I9619" s="12">
        <v>8.0</v>
      </c>
      <c r="J9619" s="6" t="s">
        <v>161</v>
      </c>
    </row>
    <row r="9620" ht="22.5" customHeight="1">
      <c r="A9620" s="6" t="s">
        <v>26428</v>
      </c>
      <c r="B9620" s="6" t="s">
        <v>21257</v>
      </c>
      <c r="C9620" s="10">
        <v>46061.0</v>
      </c>
      <c r="D9620" s="6" t="s">
        <v>436</v>
      </c>
      <c r="E9620" s="6" t="s">
        <v>394</v>
      </c>
      <c r="F9620" s="6" t="s">
        <v>249</v>
      </c>
      <c r="G9620" s="6" t="s">
        <v>477</v>
      </c>
      <c r="H9620" s="10">
        <v>46065.0</v>
      </c>
      <c r="I9620" s="12">
        <v>9.0</v>
      </c>
      <c r="J9620" s="6" t="s">
        <v>161</v>
      </c>
    </row>
    <row r="9621" ht="22.5" customHeight="1">
      <c r="A9621" s="6" t="s">
        <v>26429</v>
      </c>
      <c r="B9621" s="6" t="s">
        <v>21257</v>
      </c>
      <c r="C9621" s="10">
        <v>46056.0</v>
      </c>
      <c r="D9621" s="6" t="s">
        <v>312</v>
      </c>
      <c r="E9621" s="6" t="s">
        <v>863</v>
      </c>
      <c r="F9621" s="6" t="s">
        <v>439</v>
      </c>
      <c r="G9621" s="6" t="s">
        <v>452</v>
      </c>
      <c r="H9621" s="10">
        <v>46063.0</v>
      </c>
      <c r="I9621" s="12">
        <v>4.0</v>
      </c>
      <c r="J9621" s="6" t="s">
        <v>161</v>
      </c>
    </row>
    <row r="9622" ht="22.5" customHeight="1">
      <c r="A9622" s="6" t="s">
        <v>26430</v>
      </c>
      <c r="B9622" s="6" t="s">
        <v>21265</v>
      </c>
      <c r="C9622" s="10">
        <v>46081.0</v>
      </c>
      <c r="D9622" s="6" t="s">
        <v>436</v>
      </c>
      <c r="E9622" s="6" t="s">
        <v>450</v>
      </c>
      <c r="F9622" s="6" t="s">
        <v>283</v>
      </c>
      <c r="G9622" s="6" t="s">
        <v>369</v>
      </c>
      <c r="H9622" s="10">
        <v>46088.0</v>
      </c>
      <c r="I9622" s="12">
        <v>10.0</v>
      </c>
      <c r="J9622" s="6" t="s">
        <v>178</v>
      </c>
    </row>
    <row r="9623" ht="22.5" customHeight="1">
      <c r="A9623" s="6" t="s">
        <v>26431</v>
      </c>
      <c r="B9623" s="6" t="s">
        <v>21265</v>
      </c>
      <c r="C9623" s="10">
        <v>46063.0</v>
      </c>
      <c r="D9623" s="6" t="s">
        <v>242</v>
      </c>
      <c r="E9623" s="6" t="s">
        <v>1386</v>
      </c>
      <c r="F9623" s="6" t="s">
        <v>249</v>
      </c>
      <c r="G9623" s="6" t="s">
        <v>297</v>
      </c>
      <c r="H9623" s="10">
        <v>46067.0</v>
      </c>
      <c r="I9623" s="12">
        <v>4.0</v>
      </c>
      <c r="J9623" s="6" t="s">
        <v>178</v>
      </c>
    </row>
    <row r="9624" ht="22.5" customHeight="1">
      <c r="A9624" s="6" t="s">
        <v>26432</v>
      </c>
      <c r="B9624" s="6" t="s">
        <v>21272</v>
      </c>
      <c r="C9624" s="10">
        <v>46057.0</v>
      </c>
      <c r="D9624" s="6" t="s">
        <v>416</v>
      </c>
      <c r="E9624" s="6" t="s">
        <v>1241</v>
      </c>
      <c r="F9624" s="6" t="s">
        <v>112</v>
      </c>
      <c r="G9624" s="6" t="s">
        <v>494</v>
      </c>
      <c r="H9624" s="10">
        <v>46058.0</v>
      </c>
      <c r="I9624" s="12">
        <v>13.0</v>
      </c>
      <c r="J9624" s="6" t="s">
        <v>161</v>
      </c>
    </row>
    <row r="9625" ht="22.5" customHeight="1">
      <c r="A9625" s="6" t="s">
        <v>26433</v>
      </c>
      <c r="B9625" s="6" t="s">
        <v>21272</v>
      </c>
      <c r="C9625" s="10">
        <v>46055.0</v>
      </c>
      <c r="D9625" s="6" t="s">
        <v>312</v>
      </c>
      <c r="E9625" s="6" t="s">
        <v>1741</v>
      </c>
      <c r="F9625" s="6" t="s">
        <v>439</v>
      </c>
      <c r="G9625" s="6" t="s">
        <v>494</v>
      </c>
      <c r="H9625" s="10">
        <v>46059.0</v>
      </c>
      <c r="I9625" s="12">
        <v>4.0</v>
      </c>
      <c r="J9625" s="6" t="s">
        <v>161</v>
      </c>
    </row>
    <row r="9626" ht="22.5" customHeight="1">
      <c r="A9626" s="6" t="s">
        <v>26434</v>
      </c>
      <c r="B9626" s="6" t="s">
        <v>21272</v>
      </c>
      <c r="C9626" s="10">
        <v>46046.0</v>
      </c>
      <c r="D9626" s="6" t="s">
        <v>436</v>
      </c>
      <c r="E9626" s="6" t="s">
        <v>1552</v>
      </c>
      <c r="F9626" s="6" t="s">
        <v>112</v>
      </c>
      <c r="G9626" s="6" t="s">
        <v>326</v>
      </c>
      <c r="H9626" s="10">
        <v>46052.0</v>
      </c>
      <c r="I9626" s="12">
        <v>7.0</v>
      </c>
      <c r="J9626" s="6" t="s">
        <v>178</v>
      </c>
    </row>
    <row r="9627" ht="22.5" customHeight="1">
      <c r="A9627" s="6" t="s">
        <v>26435</v>
      </c>
      <c r="B9627" s="6" t="s">
        <v>21272</v>
      </c>
      <c r="C9627" s="10">
        <v>46044.0</v>
      </c>
      <c r="D9627" s="6" t="s">
        <v>391</v>
      </c>
      <c r="E9627" s="6" t="s">
        <v>618</v>
      </c>
      <c r="F9627" s="6" t="s">
        <v>249</v>
      </c>
      <c r="G9627" s="6" t="s">
        <v>452</v>
      </c>
      <c r="H9627" s="10">
        <v>46045.0</v>
      </c>
      <c r="I9627" s="12">
        <v>6.0</v>
      </c>
      <c r="J9627" s="6" t="s">
        <v>161</v>
      </c>
    </row>
    <row r="9628" ht="22.5" customHeight="1">
      <c r="A9628" s="6" t="s">
        <v>26436</v>
      </c>
      <c r="B9628" s="6" t="s">
        <v>21280</v>
      </c>
      <c r="C9628" s="10">
        <v>46081.0</v>
      </c>
      <c r="D9628" s="6" t="s">
        <v>391</v>
      </c>
      <c r="E9628" s="6" t="s">
        <v>704</v>
      </c>
      <c r="F9628" s="6" t="s">
        <v>439</v>
      </c>
      <c r="G9628" s="6" t="s">
        <v>452</v>
      </c>
      <c r="H9628" s="10">
        <v>46087.0</v>
      </c>
      <c r="I9628" s="12">
        <v>7.0</v>
      </c>
      <c r="J9628" s="6" t="s">
        <v>161</v>
      </c>
    </row>
    <row r="9629" ht="22.5" customHeight="1">
      <c r="A9629" s="6" t="s">
        <v>26437</v>
      </c>
      <c r="B9629" s="6" t="s">
        <v>21280</v>
      </c>
      <c r="C9629" s="10">
        <v>46072.0</v>
      </c>
      <c r="D9629" s="6" t="s">
        <v>416</v>
      </c>
      <c r="E9629" s="6" t="s">
        <v>695</v>
      </c>
      <c r="F9629" s="6" t="s">
        <v>112</v>
      </c>
      <c r="G9629" s="6" t="s">
        <v>494</v>
      </c>
      <c r="H9629" s="10">
        <v>46077.0</v>
      </c>
      <c r="I9629" s="12">
        <v>13.0</v>
      </c>
      <c r="J9629" s="6" t="s">
        <v>161</v>
      </c>
    </row>
    <row r="9630" ht="22.5" customHeight="1">
      <c r="A9630" s="6" t="s">
        <v>26438</v>
      </c>
      <c r="B9630" s="6" t="s">
        <v>21280</v>
      </c>
      <c r="C9630" s="10">
        <v>46073.0</v>
      </c>
      <c r="D9630" s="6" t="s">
        <v>242</v>
      </c>
      <c r="E9630" s="6" t="s">
        <v>658</v>
      </c>
      <c r="F9630" s="6" t="s">
        <v>439</v>
      </c>
      <c r="G9630" s="6" t="s">
        <v>326</v>
      </c>
      <c r="H9630" s="11" t="s">
        <v>259</v>
      </c>
      <c r="I9630" s="12">
        <v>6.0</v>
      </c>
      <c r="J9630" s="6" t="s">
        <v>178</v>
      </c>
    </row>
    <row r="9631" ht="22.5" customHeight="1">
      <c r="A9631" s="6" t="s">
        <v>26439</v>
      </c>
      <c r="B9631" s="6" t="s">
        <v>21286</v>
      </c>
      <c r="C9631" s="10">
        <v>46074.0</v>
      </c>
      <c r="D9631" s="6" t="s">
        <v>677</v>
      </c>
      <c r="E9631" s="6" t="s">
        <v>1035</v>
      </c>
      <c r="F9631" s="6" t="s">
        <v>112</v>
      </c>
      <c r="G9631" s="6" t="s">
        <v>458</v>
      </c>
      <c r="H9631" s="10">
        <v>46079.0</v>
      </c>
      <c r="I9631" s="12">
        <v>2.0</v>
      </c>
      <c r="J9631" s="6" t="s">
        <v>161</v>
      </c>
    </row>
    <row r="9632" ht="22.5" customHeight="1">
      <c r="A9632" s="6" t="s">
        <v>26440</v>
      </c>
      <c r="B9632" s="6" t="s">
        <v>21286</v>
      </c>
      <c r="C9632" s="10">
        <v>46069.0</v>
      </c>
      <c r="D9632" s="6" t="s">
        <v>312</v>
      </c>
      <c r="E9632" s="6" t="s">
        <v>1600</v>
      </c>
      <c r="F9632" s="6" t="s">
        <v>112</v>
      </c>
      <c r="G9632" s="6" t="s">
        <v>254</v>
      </c>
      <c r="H9632" s="10">
        <v>46072.0</v>
      </c>
      <c r="I9632" s="12">
        <v>7.0</v>
      </c>
      <c r="J9632" s="6" t="s">
        <v>161</v>
      </c>
    </row>
    <row r="9633" ht="22.5" customHeight="1">
      <c r="A9633" s="6" t="s">
        <v>26441</v>
      </c>
      <c r="B9633" s="6" t="s">
        <v>21293</v>
      </c>
      <c r="C9633" s="10">
        <v>46065.0</v>
      </c>
      <c r="D9633" s="6" t="s">
        <v>242</v>
      </c>
      <c r="E9633" s="6" t="s">
        <v>716</v>
      </c>
      <c r="F9633" s="6" t="s">
        <v>112</v>
      </c>
      <c r="G9633" s="6" t="s">
        <v>297</v>
      </c>
      <c r="H9633" s="10">
        <v>46072.0</v>
      </c>
      <c r="I9633" s="12">
        <v>5.0</v>
      </c>
      <c r="J9633" s="6" t="s">
        <v>178</v>
      </c>
    </row>
    <row r="9634" ht="22.5" customHeight="1">
      <c r="A9634" s="6" t="s">
        <v>26442</v>
      </c>
      <c r="B9634" s="6" t="s">
        <v>21293</v>
      </c>
      <c r="C9634" s="10">
        <v>46067.0</v>
      </c>
      <c r="D9634" s="6" t="s">
        <v>677</v>
      </c>
      <c r="E9634" s="6" t="s">
        <v>618</v>
      </c>
      <c r="F9634" s="6" t="s">
        <v>249</v>
      </c>
      <c r="G9634" s="6" t="s">
        <v>369</v>
      </c>
      <c r="H9634" s="10">
        <v>46073.0</v>
      </c>
      <c r="I9634" s="12">
        <v>3.0</v>
      </c>
      <c r="J9634" s="6" t="s">
        <v>161</v>
      </c>
    </row>
    <row r="9635" ht="22.5" customHeight="1">
      <c r="A9635" s="6" t="s">
        <v>26443</v>
      </c>
      <c r="B9635" s="6" t="s">
        <v>21293</v>
      </c>
      <c r="C9635" s="10">
        <v>46058.0</v>
      </c>
      <c r="D9635" s="6" t="s">
        <v>242</v>
      </c>
      <c r="E9635" s="6" t="s">
        <v>1969</v>
      </c>
      <c r="F9635" s="6" t="s">
        <v>439</v>
      </c>
      <c r="G9635" s="6" t="s">
        <v>452</v>
      </c>
      <c r="H9635" s="11" t="s">
        <v>259</v>
      </c>
      <c r="I9635" s="12">
        <v>5.0</v>
      </c>
      <c r="J9635" s="6" t="s">
        <v>161</v>
      </c>
    </row>
    <row r="9636" ht="22.5" customHeight="1">
      <c r="A9636" s="6" t="s">
        <v>26444</v>
      </c>
      <c r="B9636" s="6" t="s">
        <v>21293</v>
      </c>
      <c r="C9636" s="10">
        <v>46058.0</v>
      </c>
      <c r="D9636" s="6" t="s">
        <v>391</v>
      </c>
      <c r="E9636" s="6" t="s">
        <v>1310</v>
      </c>
      <c r="F9636" s="6" t="s">
        <v>249</v>
      </c>
      <c r="G9636" s="6" t="s">
        <v>369</v>
      </c>
      <c r="H9636" s="10">
        <v>46065.0</v>
      </c>
      <c r="I9636" s="12">
        <v>10.0</v>
      </c>
      <c r="J9636" s="6" t="s">
        <v>161</v>
      </c>
    </row>
    <row r="9637" ht="22.5" customHeight="1">
      <c r="A9637" s="6" t="s">
        <v>26445</v>
      </c>
      <c r="B9637" s="6" t="s">
        <v>21293</v>
      </c>
      <c r="C9637" s="10">
        <v>46061.0</v>
      </c>
      <c r="D9637" s="6" t="s">
        <v>416</v>
      </c>
      <c r="E9637" s="6" t="s">
        <v>1035</v>
      </c>
      <c r="F9637" s="6" t="s">
        <v>112</v>
      </c>
      <c r="G9637" s="6" t="s">
        <v>458</v>
      </c>
      <c r="H9637" s="10">
        <v>46066.0</v>
      </c>
      <c r="I9637" s="12">
        <v>9.0</v>
      </c>
      <c r="J9637" s="6" t="s">
        <v>161</v>
      </c>
    </row>
    <row r="9638" ht="22.5" customHeight="1">
      <c r="A9638" s="6" t="s">
        <v>26446</v>
      </c>
      <c r="B9638" s="6" t="s">
        <v>21301</v>
      </c>
      <c r="C9638" s="10">
        <v>46049.0</v>
      </c>
      <c r="D9638" s="6" t="s">
        <v>436</v>
      </c>
      <c r="E9638" s="6" t="s">
        <v>2881</v>
      </c>
      <c r="F9638" s="6" t="s">
        <v>439</v>
      </c>
      <c r="G9638" s="6" t="s">
        <v>494</v>
      </c>
      <c r="H9638" s="10">
        <v>46051.0</v>
      </c>
      <c r="I9638" s="12">
        <v>6.0</v>
      </c>
      <c r="J9638" s="6" t="s">
        <v>178</v>
      </c>
    </row>
    <row r="9639" ht="22.5" customHeight="1">
      <c r="A9639" s="6" t="s">
        <v>26447</v>
      </c>
      <c r="B9639" s="6" t="s">
        <v>21301</v>
      </c>
      <c r="C9639" s="10">
        <v>46043.0</v>
      </c>
      <c r="D9639" s="6" t="s">
        <v>416</v>
      </c>
      <c r="E9639" s="6" t="s">
        <v>670</v>
      </c>
      <c r="F9639" s="6" t="s">
        <v>112</v>
      </c>
      <c r="G9639" s="6" t="s">
        <v>494</v>
      </c>
      <c r="H9639" s="10">
        <v>46047.0</v>
      </c>
      <c r="I9639" s="12">
        <v>11.0</v>
      </c>
      <c r="J9639" s="6" t="s">
        <v>161</v>
      </c>
    </row>
    <row r="9640" ht="22.5" customHeight="1">
      <c r="A9640" s="6" t="s">
        <v>26448</v>
      </c>
      <c r="B9640" s="6" t="s">
        <v>21301</v>
      </c>
      <c r="C9640" s="10">
        <v>46053.0</v>
      </c>
      <c r="D9640" s="6" t="s">
        <v>242</v>
      </c>
      <c r="E9640" s="6" t="s">
        <v>2365</v>
      </c>
      <c r="F9640" s="6" t="s">
        <v>439</v>
      </c>
      <c r="G9640" s="6" t="s">
        <v>254</v>
      </c>
      <c r="H9640" s="10">
        <v>46055.0</v>
      </c>
      <c r="I9640" s="12">
        <v>3.0</v>
      </c>
      <c r="J9640" s="6" t="s">
        <v>178</v>
      </c>
    </row>
    <row r="9641" ht="22.5" customHeight="1">
      <c r="A9641" s="6" t="s">
        <v>26449</v>
      </c>
      <c r="B9641" s="6" t="s">
        <v>21308</v>
      </c>
      <c r="C9641" s="10">
        <v>46078.0</v>
      </c>
      <c r="D9641" s="6" t="s">
        <v>312</v>
      </c>
      <c r="E9641" s="6" t="s">
        <v>1517</v>
      </c>
      <c r="F9641" s="6" t="s">
        <v>439</v>
      </c>
      <c r="G9641" s="6" t="s">
        <v>458</v>
      </c>
      <c r="H9641" s="11" t="s">
        <v>259</v>
      </c>
      <c r="I9641" s="12">
        <v>5.0</v>
      </c>
      <c r="J9641" s="6" t="s">
        <v>161</v>
      </c>
    </row>
    <row r="9642" ht="22.5" customHeight="1">
      <c r="A9642" s="6" t="s">
        <v>26450</v>
      </c>
      <c r="B9642" s="6" t="s">
        <v>21308</v>
      </c>
      <c r="C9642" s="10">
        <v>46070.0</v>
      </c>
      <c r="D9642" s="6" t="s">
        <v>312</v>
      </c>
      <c r="E9642" s="6" t="s">
        <v>2881</v>
      </c>
      <c r="F9642" s="6" t="s">
        <v>249</v>
      </c>
      <c r="G9642" s="6" t="s">
        <v>494</v>
      </c>
      <c r="H9642" s="10">
        <v>46072.0</v>
      </c>
      <c r="I9642" s="12">
        <v>6.0</v>
      </c>
      <c r="J9642" s="6" t="s">
        <v>161</v>
      </c>
    </row>
    <row r="9643" ht="22.5" customHeight="1">
      <c r="A9643" s="6" t="s">
        <v>26451</v>
      </c>
      <c r="B9643" s="6" t="s">
        <v>21308</v>
      </c>
      <c r="C9643" s="10">
        <v>46070.0</v>
      </c>
      <c r="D9643" s="6" t="s">
        <v>677</v>
      </c>
      <c r="E9643" s="6" t="s">
        <v>775</v>
      </c>
      <c r="F9643" s="6" t="s">
        <v>112</v>
      </c>
      <c r="G9643" s="6" t="s">
        <v>477</v>
      </c>
      <c r="H9643" s="10">
        <v>46070.0</v>
      </c>
      <c r="I9643" s="12">
        <v>3.0</v>
      </c>
      <c r="J9643" s="6" t="s">
        <v>161</v>
      </c>
    </row>
    <row r="9644" ht="22.5" customHeight="1">
      <c r="A9644" s="6" t="s">
        <v>26452</v>
      </c>
      <c r="B9644" s="6" t="s">
        <v>21315</v>
      </c>
      <c r="C9644" s="10">
        <v>46057.0</v>
      </c>
      <c r="D9644" s="6" t="s">
        <v>436</v>
      </c>
      <c r="E9644" s="6" t="s">
        <v>1273</v>
      </c>
      <c r="F9644" s="6" t="s">
        <v>439</v>
      </c>
      <c r="G9644" s="6" t="s">
        <v>254</v>
      </c>
      <c r="H9644" s="10">
        <v>46058.0</v>
      </c>
      <c r="I9644" s="12">
        <v>7.0</v>
      </c>
      <c r="J9644" s="6" t="s">
        <v>178</v>
      </c>
    </row>
    <row r="9645" ht="22.5" customHeight="1">
      <c r="A9645" s="6" t="s">
        <v>26453</v>
      </c>
      <c r="B9645" s="6" t="s">
        <v>21315</v>
      </c>
      <c r="C9645" s="10">
        <v>46047.0</v>
      </c>
      <c r="D9645" s="6" t="s">
        <v>289</v>
      </c>
      <c r="E9645" s="6" t="s">
        <v>246</v>
      </c>
      <c r="F9645" s="6" t="s">
        <v>283</v>
      </c>
      <c r="G9645" s="6" t="s">
        <v>254</v>
      </c>
      <c r="H9645" s="10">
        <v>46047.0</v>
      </c>
      <c r="I9645" s="12">
        <v>5.0</v>
      </c>
      <c r="J9645" s="6" t="s">
        <v>161</v>
      </c>
    </row>
    <row r="9646" ht="22.5" customHeight="1">
      <c r="A9646" s="6" t="s">
        <v>26454</v>
      </c>
      <c r="B9646" s="6" t="s">
        <v>21315</v>
      </c>
      <c r="C9646" s="10">
        <v>46050.0</v>
      </c>
      <c r="D9646" s="6" t="s">
        <v>391</v>
      </c>
      <c r="E9646" s="6" t="s">
        <v>955</v>
      </c>
      <c r="F9646" s="6" t="s">
        <v>439</v>
      </c>
      <c r="G9646" s="6" t="s">
        <v>297</v>
      </c>
      <c r="H9646" s="10">
        <v>46055.0</v>
      </c>
      <c r="I9646" s="12">
        <v>8.0</v>
      </c>
      <c r="J9646" s="6" t="s">
        <v>161</v>
      </c>
    </row>
    <row r="9647" ht="22.5" customHeight="1">
      <c r="A9647" s="6" t="s">
        <v>26455</v>
      </c>
      <c r="B9647" s="6" t="s">
        <v>21315</v>
      </c>
      <c r="C9647" s="10">
        <v>46053.0</v>
      </c>
      <c r="D9647" s="6" t="s">
        <v>677</v>
      </c>
      <c r="E9647" s="6" t="s">
        <v>320</v>
      </c>
      <c r="F9647" s="6" t="s">
        <v>283</v>
      </c>
      <c r="G9647" s="6" t="s">
        <v>452</v>
      </c>
      <c r="H9647" s="10">
        <v>46054.0</v>
      </c>
      <c r="I9647" s="12">
        <v>4.0</v>
      </c>
      <c r="J9647" s="6" t="s">
        <v>161</v>
      </c>
    </row>
    <row r="9648" ht="22.5" customHeight="1">
      <c r="A9648" s="6" t="s">
        <v>26456</v>
      </c>
      <c r="B9648" s="6" t="s">
        <v>21323</v>
      </c>
      <c r="C9648" s="10">
        <v>46051.0</v>
      </c>
      <c r="D9648" s="6" t="s">
        <v>677</v>
      </c>
      <c r="E9648" s="6" t="s">
        <v>246</v>
      </c>
      <c r="F9648" s="6" t="s">
        <v>439</v>
      </c>
      <c r="G9648" s="6" t="s">
        <v>297</v>
      </c>
      <c r="H9648" s="10">
        <v>46055.0</v>
      </c>
      <c r="I9648" s="12">
        <v>4.0</v>
      </c>
      <c r="J9648" s="6" t="s">
        <v>161</v>
      </c>
    </row>
    <row r="9649" ht="22.5" customHeight="1">
      <c r="A9649" s="6" t="s">
        <v>26457</v>
      </c>
      <c r="B9649" s="6" t="s">
        <v>21330</v>
      </c>
      <c r="C9649" s="10">
        <v>46029.0</v>
      </c>
      <c r="D9649" s="6" t="s">
        <v>436</v>
      </c>
      <c r="E9649" s="6" t="s">
        <v>1310</v>
      </c>
      <c r="F9649" s="6" t="s">
        <v>112</v>
      </c>
      <c r="G9649" s="6" t="s">
        <v>458</v>
      </c>
      <c r="H9649" s="10">
        <v>46031.0</v>
      </c>
      <c r="I9649" s="12">
        <v>7.0</v>
      </c>
      <c r="J9649" s="6" t="s">
        <v>178</v>
      </c>
    </row>
    <row r="9650" ht="22.5" customHeight="1">
      <c r="A9650" s="6" t="s">
        <v>26458</v>
      </c>
      <c r="B9650" s="6" t="s">
        <v>21330</v>
      </c>
      <c r="C9650" s="10">
        <v>46025.0</v>
      </c>
      <c r="D9650" s="6" t="s">
        <v>416</v>
      </c>
      <c r="E9650" s="6" t="s">
        <v>1310</v>
      </c>
      <c r="F9650" s="6" t="s">
        <v>112</v>
      </c>
      <c r="G9650" s="6" t="s">
        <v>458</v>
      </c>
      <c r="H9650" s="11" t="s">
        <v>259</v>
      </c>
      <c r="I9650" s="12">
        <v>11.0</v>
      </c>
      <c r="J9650" s="6" t="s">
        <v>161</v>
      </c>
    </row>
    <row r="9651" ht="22.5" customHeight="1">
      <c r="A9651" s="6" t="s">
        <v>26459</v>
      </c>
      <c r="B9651" s="6" t="s">
        <v>21330</v>
      </c>
      <c r="C9651" s="10">
        <v>46031.0</v>
      </c>
      <c r="D9651" s="6" t="s">
        <v>436</v>
      </c>
      <c r="E9651" s="6" t="s">
        <v>704</v>
      </c>
      <c r="F9651" s="6" t="s">
        <v>439</v>
      </c>
      <c r="G9651" s="6" t="s">
        <v>458</v>
      </c>
      <c r="H9651" s="10">
        <v>46033.0</v>
      </c>
      <c r="I9651" s="12">
        <v>8.0</v>
      </c>
      <c r="J9651" s="6" t="s">
        <v>178</v>
      </c>
    </row>
    <row r="9652" ht="22.5" customHeight="1">
      <c r="A9652" s="6" t="s">
        <v>26460</v>
      </c>
      <c r="B9652" s="6" t="s">
        <v>21330</v>
      </c>
      <c r="C9652" s="10">
        <v>46043.0</v>
      </c>
      <c r="D9652" s="6" t="s">
        <v>242</v>
      </c>
      <c r="E9652" s="6" t="s">
        <v>1070</v>
      </c>
      <c r="F9652" s="6" t="s">
        <v>249</v>
      </c>
      <c r="G9652" s="6" t="s">
        <v>369</v>
      </c>
      <c r="H9652" s="10">
        <v>46044.0</v>
      </c>
      <c r="I9652" s="12">
        <v>4.0</v>
      </c>
      <c r="J9652" s="6" t="s">
        <v>161</v>
      </c>
    </row>
    <row r="9653" ht="22.5" customHeight="1">
      <c r="A9653" s="6" t="s">
        <v>26461</v>
      </c>
      <c r="B9653" s="6" t="s">
        <v>21330</v>
      </c>
      <c r="C9653" s="10">
        <v>46044.0</v>
      </c>
      <c r="D9653" s="6" t="s">
        <v>677</v>
      </c>
      <c r="E9653" s="6" t="s">
        <v>1280</v>
      </c>
      <c r="F9653" s="6" t="s">
        <v>283</v>
      </c>
      <c r="G9653" s="6" t="s">
        <v>254</v>
      </c>
      <c r="H9653" s="10">
        <v>46050.0</v>
      </c>
      <c r="I9653" s="12">
        <v>2.0</v>
      </c>
      <c r="J9653" s="6" t="s">
        <v>161</v>
      </c>
    </row>
    <row r="9654" ht="22.5" customHeight="1">
      <c r="A9654" s="6" t="s">
        <v>26462</v>
      </c>
      <c r="B9654" s="6" t="s">
        <v>21337</v>
      </c>
      <c r="C9654" s="10">
        <v>46046.0</v>
      </c>
      <c r="D9654" s="6" t="s">
        <v>312</v>
      </c>
      <c r="E9654" s="6" t="s">
        <v>365</v>
      </c>
      <c r="F9654" s="6" t="s">
        <v>283</v>
      </c>
      <c r="G9654" s="6" t="s">
        <v>477</v>
      </c>
      <c r="H9654" s="10">
        <v>46047.0</v>
      </c>
      <c r="I9654" s="12">
        <v>5.0</v>
      </c>
      <c r="J9654" s="6" t="s">
        <v>161</v>
      </c>
    </row>
    <row r="9655" ht="22.5" customHeight="1">
      <c r="A9655" s="6" t="s">
        <v>26463</v>
      </c>
      <c r="B9655" s="6" t="s">
        <v>21345</v>
      </c>
      <c r="C9655" s="10">
        <v>46076.0</v>
      </c>
      <c r="D9655" s="6" t="s">
        <v>289</v>
      </c>
      <c r="E9655" s="6" t="s">
        <v>1552</v>
      </c>
      <c r="F9655" s="6" t="s">
        <v>283</v>
      </c>
      <c r="G9655" s="6" t="s">
        <v>452</v>
      </c>
      <c r="H9655" s="10">
        <v>46076.0</v>
      </c>
      <c r="I9655" s="12">
        <v>5.0</v>
      </c>
      <c r="J9655" s="6" t="s">
        <v>161</v>
      </c>
    </row>
    <row r="9656" ht="22.5" customHeight="1">
      <c r="A9656" s="6" t="s">
        <v>26464</v>
      </c>
      <c r="B9656" s="6" t="s">
        <v>21345</v>
      </c>
      <c r="C9656" s="10">
        <v>46065.0</v>
      </c>
      <c r="D9656" s="6" t="s">
        <v>312</v>
      </c>
      <c r="E9656" s="6" t="s">
        <v>812</v>
      </c>
      <c r="F9656" s="6" t="s">
        <v>283</v>
      </c>
      <c r="G9656" s="6" t="s">
        <v>494</v>
      </c>
      <c r="H9656" s="10">
        <v>46072.0</v>
      </c>
      <c r="I9656" s="12">
        <v>7.0</v>
      </c>
      <c r="J9656" s="6" t="s">
        <v>161</v>
      </c>
    </row>
    <row r="9657" ht="22.5" customHeight="1">
      <c r="A9657" s="6" t="s">
        <v>26465</v>
      </c>
      <c r="B9657" s="6" t="s">
        <v>21352</v>
      </c>
      <c r="C9657" s="10">
        <v>46034.0</v>
      </c>
      <c r="D9657" s="6" t="s">
        <v>416</v>
      </c>
      <c r="E9657" s="6" t="s">
        <v>812</v>
      </c>
      <c r="F9657" s="6" t="s">
        <v>439</v>
      </c>
      <c r="G9657" s="6" t="s">
        <v>326</v>
      </c>
      <c r="H9657" s="10">
        <v>46036.0</v>
      </c>
      <c r="I9657" s="12">
        <v>11.0</v>
      </c>
      <c r="J9657" s="6" t="s">
        <v>161</v>
      </c>
    </row>
    <row r="9658" ht="22.5" customHeight="1">
      <c r="A9658" s="6" t="s">
        <v>26466</v>
      </c>
      <c r="B9658" s="6" t="s">
        <v>21359</v>
      </c>
      <c r="C9658" s="10">
        <v>46068.0</v>
      </c>
      <c r="D9658" s="6" t="s">
        <v>391</v>
      </c>
      <c r="E9658" s="6" t="s">
        <v>2365</v>
      </c>
      <c r="F9658" s="6" t="s">
        <v>112</v>
      </c>
      <c r="G9658" s="6" t="s">
        <v>452</v>
      </c>
      <c r="H9658" s="11" t="s">
        <v>259</v>
      </c>
      <c r="I9658" s="12">
        <v>9.0</v>
      </c>
      <c r="J9658" s="6" t="s">
        <v>161</v>
      </c>
    </row>
    <row r="9659" ht="22.5" customHeight="1">
      <c r="A9659" s="6" t="s">
        <v>26467</v>
      </c>
      <c r="B9659" s="6" t="s">
        <v>21359</v>
      </c>
      <c r="C9659" s="10">
        <v>46055.0</v>
      </c>
      <c r="D9659" s="6" t="s">
        <v>416</v>
      </c>
      <c r="E9659" s="6" t="s">
        <v>1280</v>
      </c>
      <c r="F9659" s="6" t="s">
        <v>439</v>
      </c>
      <c r="G9659" s="6" t="s">
        <v>254</v>
      </c>
      <c r="H9659" s="11" t="s">
        <v>259</v>
      </c>
      <c r="I9659" s="12">
        <v>12.0</v>
      </c>
      <c r="J9659" s="6" t="s">
        <v>161</v>
      </c>
    </row>
    <row r="9660" ht="22.5" customHeight="1">
      <c r="A9660" s="6" t="s">
        <v>26468</v>
      </c>
      <c r="B9660" s="6" t="s">
        <v>21359</v>
      </c>
      <c r="C9660" s="10">
        <v>46061.0</v>
      </c>
      <c r="D9660" s="6" t="s">
        <v>677</v>
      </c>
      <c r="E9660" s="6" t="s">
        <v>896</v>
      </c>
      <c r="F9660" s="6" t="s">
        <v>283</v>
      </c>
      <c r="G9660" s="6" t="s">
        <v>477</v>
      </c>
      <c r="H9660" s="10">
        <v>46067.0</v>
      </c>
      <c r="I9660" s="12">
        <v>2.0</v>
      </c>
      <c r="J9660" s="6" t="s">
        <v>161</v>
      </c>
    </row>
    <row r="9661" ht="22.5" customHeight="1">
      <c r="A9661" s="6" t="s">
        <v>26469</v>
      </c>
      <c r="B9661" s="6" t="s">
        <v>21366</v>
      </c>
      <c r="C9661" s="10">
        <v>46054.0</v>
      </c>
      <c r="D9661" s="6" t="s">
        <v>289</v>
      </c>
      <c r="E9661" s="6" t="s">
        <v>658</v>
      </c>
      <c r="F9661" s="6" t="s">
        <v>112</v>
      </c>
      <c r="G9661" s="6" t="s">
        <v>254</v>
      </c>
      <c r="H9661" s="10">
        <v>46060.0</v>
      </c>
      <c r="I9661" s="12">
        <v>5.0</v>
      </c>
      <c r="J9661" s="6" t="s">
        <v>161</v>
      </c>
    </row>
    <row r="9662" ht="22.5" customHeight="1">
      <c r="A9662" s="6" t="s">
        <v>26470</v>
      </c>
      <c r="B9662" s="6" t="s">
        <v>21373</v>
      </c>
      <c r="C9662" s="10">
        <v>46043.0</v>
      </c>
      <c r="D9662" s="6" t="s">
        <v>289</v>
      </c>
      <c r="E9662" s="6" t="s">
        <v>475</v>
      </c>
      <c r="F9662" s="6" t="s">
        <v>112</v>
      </c>
      <c r="G9662" s="6" t="s">
        <v>369</v>
      </c>
      <c r="H9662" s="10">
        <v>46048.0</v>
      </c>
      <c r="I9662" s="12">
        <v>7.0</v>
      </c>
      <c r="J9662" s="6" t="s">
        <v>161</v>
      </c>
    </row>
    <row r="9663" ht="22.5" customHeight="1">
      <c r="A9663" s="6" t="s">
        <v>26471</v>
      </c>
      <c r="B9663" s="6" t="s">
        <v>21373</v>
      </c>
      <c r="C9663" s="10">
        <v>46032.0</v>
      </c>
      <c r="D9663" s="6" t="s">
        <v>391</v>
      </c>
      <c r="E9663" s="6" t="s">
        <v>417</v>
      </c>
      <c r="F9663" s="6" t="s">
        <v>439</v>
      </c>
      <c r="G9663" s="6" t="s">
        <v>297</v>
      </c>
      <c r="H9663" s="10">
        <v>46038.0</v>
      </c>
      <c r="I9663" s="12">
        <v>7.0</v>
      </c>
      <c r="J9663" s="6" t="s">
        <v>161</v>
      </c>
    </row>
    <row r="9664" ht="22.5" customHeight="1">
      <c r="A9664" s="6" t="s">
        <v>26472</v>
      </c>
      <c r="B9664" s="6" t="s">
        <v>21380</v>
      </c>
      <c r="C9664" s="10">
        <v>46033.0</v>
      </c>
      <c r="D9664" s="6" t="s">
        <v>677</v>
      </c>
      <c r="E9664" s="6" t="s">
        <v>1626</v>
      </c>
      <c r="F9664" s="6" t="s">
        <v>249</v>
      </c>
      <c r="G9664" s="6" t="s">
        <v>477</v>
      </c>
      <c r="H9664" s="10">
        <v>46034.0</v>
      </c>
      <c r="I9664" s="12">
        <v>4.0</v>
      </c>
      <c r="J9664" s="6" t="s">
        <v>161</v>
      </c>
    </row>
    <row r="9665" ht="22.5" customHeight="1">
      <c r="A9665" s="6" t="s">
        <v>26473</v>
      </c>
      <c r="B9665" s="6" t="s">
        <v>21380</v>
      </c>
      <c r="C9665" s="10">
        <v>46032.0</v>
      </c>
      <c r="D9665" s="6" t="s">
        <v>677</v>
      </c>
      <c r="E9665" s="6" t="s">
        <v>955</v>
      </c>
      <c r="F9665" s="6" t="s">
        <v>112</v>
      </c>
      <c r="G9665" s="6" t="s">
        <v>494</v>
      </c>
      <c r="H9665" s="10">
        <v>46032.0</v>
      </c>
      <c r="I9665" s="12">
        <v>3.0</v>
      </c>
      <c r="J9665" s="6" t="s">
        <v>161</v>
      </c>
    </row>
    <row r="9666" ht="22.5" customHeight="1">
      <c r="A9666" s="6" t="s">
        <v>26474</v>
      </c>
      <c r="B9666" s="6" t="s">
        <v>21380</v>
      </c>
      <c r="C9666" s="10">
        <v>46045.0</v>
      </c>
      <c r="D9666" s="6" t="s">
        <v>242</v>
      </c>
      <c r="E9666" s="6" t="s">
        <v>1122</v>
      </c>
      <c r="F9666" s="6" t="s">
        <v>112</v>
      </c>
      <c r="G9666" s="6" t="s">
        <v>458</v>
      </c>
      <c r="H9666" s="10">
        <v>46049.0</v>
      </c>
      <c r="I9666" s="12">
        <v>5.0</v>
      </c>
      <c r="J9666" s="6" t="s">
        <v>178</v>
      </c>
    </row>
    <row r="9667" ht="22.5" customHeight="1">
      <c r="A9667" s="6" t="s">
        <v>26475</v>
      </c>
      <c r="B9667" s="6" t="s">
        <v>21380</v>
      </c>
      <c r="C9667" s="10">
        <v>46035.0</v>
      </c>
      <c r="D9667" s="6" t="s">
        <v>289</v>
      </c>
      <c r="E9667" s="6" t="s">
        <v>695</v>
      </c>
      <c r="F9667" s="6" t="s">
        <v>112</v>
      </c>
      <c r="G9667" s="6" t="s">
        <v>254</v>
      </c>
      <c r="H9667" s="10">
        <v>46036.0</v>
      </c>
      <c r="I9667" s="12">
        <v>6.0</v>
      </c>
      <c r="J9667" s="6" t="s">
        <v>161</v>
      </c>
    </row>
    <row r="9668" ht="22.5" customHeight="1">
      <c r="A9668" s="6" t="s">
        <v>26476</v>
      </c>
      <c r="B9668" s="6" t="s">
        <v>21380</v>
      </c>
      <c r="C9668" s="10">
        <v>46037.0</v>
      </c>
      <c r="D9668" s="6" t="s">
        <v>242</v>
      </c>
      <c r="E9668" s="6" t="s">
        <v>798</v>
      </c>
      <c r="F9668" s="6" t="s">
        <v>283</v>
      </c>
      <c r="G9668" s="6" t="s">
        <v>477</v>
      </c>
      <c r="H9668" s="10">
        <v>46041.0</v>
      </c>
      <c r="I9668" s="12">
        <v>3.0</v>
      </c>
      <c r="J9668" s="6" t="s">
        <v>161</v>
      </c>
    </row>
    <row r="9669" ht="22.5" customHeight="1">
      <c r="A9669" s="6" t="s">
        <v>26477</v>
      </c>
      <c r="B9669" s="6" t="s">
        <v>21388</v>
      </c>
      <c r="C9669" s="10">
        <v>46034.0</v>
      </c>
      <c r="D9669" s="6" t="s">
        <v>289</v>
      </c>
      <c r="E9669" s="6" t="s">
        <v>687</v>
      </c>
      <c r="F9669" s="6" t="s">
        <v>283</v>
      </c>
      <c r="G9669" s="6" t="s">
        <v>458</v>
      </c>
      <c r="H9669" s="10">
        <v>46036.0</v>
      </c>
      <c r="I9669" s="12">
        <v>5.0</v>
      </c>
      <c r="J9669" s="6" t="s">
        <v>161</v>
      </c>
    </row>
    <row r="9670" ht="22.5" customHeight="1">
      <c r="A9670" s="6" t="s">
        <v>26478</v>
      </c>
      <c r="B9670" s="6" t="s">
        <v>21395</v>
      </c>
      <c r="C9670" s="10">
        <v>46033.0</v>
      </c>
      <c r="D9670" s="6" t="s">
        <v>436</v>
      </c>
      <c r="E9670" s="6" t="s">
        <v>475</v>
      </c>
      <c r="F9670" s="6" t="s">
        <v>283</v>
      </c>
      <c r="G9670" s="6" t="s">
        <v>494</v>
      </c>
      <c r="H9670" s="10">
        <v>46037.0</v>
      </c>
      <c r="I9670" s="12">
        <v>8.0</v>
      </c>
      <c r="J9670" s="6" t="s">
        <v>178</v>
      </c>
    </row>
    <row r="9671" ht="22.5" customHeight="1">
      <c r="A9671" s="6" t="s">
        <v>26479</v>
      </c>
      <c r="B9671" s="6" t="s">
        <v>21401</v>
      </c>
      <c r="C9671" s="10">
        <v>46032.0</v>
      </c>
      <c r="D9671" s="6" t="s">
        <v>289</v>
      </c>
      <c r="E9671" s="6" t="s">
        <v>417</v>
      </c>
      <c r="F9671" s="6" t="s">
        <v>283</v>
      </c>
      <c r="G9671" s="6" t="s">
        <v>326</v>
      </c>
      <c r="H9671" s="10">
        <v>46034.0</v>
      </c>
      <c r="I9671" s="12">
        <v>9.0</v>
      </c>
      <c r="J9671" s="6" t="s">
        <v>161</v>
      </c>
    </row>
    <row r="9672" ht="22.5" customHeight="1">
      <c r="A9672" s="6" t="s">
        <v>26480</v>
      </c>
      <c r="B9672" s="6" t="s">
        <v>21401</v>
      </c>
      <c r="C9672" s="10">
        <v>46032.0</v>
      </c>
      <c r="D9672" s="6" t="s">
        <v>416</v>
      </c>
      <c r="E9672" s="6" t="s">
        <v>365</v>
      </c>
      <c r="F9672" s="6" t="s">
        <v>283</v>
      </c>
      <c r="G9672" s="6" t="s">
        <v>254</v>
      </c>
      <c r="H9672" s="10">
        <v>46035.0</v>
      </c>
      <c r="I9672" s="12">
        <v>9.0</v>
      </c>
      <c r="J9672" s="6" t="s">
        <v>161</v>
      </c>
    </row>
    <row r="9673" ht="22.5" customHeight="1">
      <c r="A9673" s="6" t="s">
        <v>26481</v>
      </c>
      <c r="B9673" s="6" t="s">
        <v>21401</v>
      </c>
      <c r="C9673" s="10">
        <v>46033.0</v>
      </c>
      <c r="D9673" s="6" t="s">
        <v>416</v>
      </c>
      <c r="E9673" s="6" t="s">
        <v>1626</v>
      </c>
      <c r="F9673" s="6" t="s">
        <v>249</v>
      </c>
      <c r="G9673" s="6" t="s">
        <v>369</v>
      </c>
      <c r="H9673" s="11" t="s">
        <v>259</v>
      </c>
      <c r="I9673" s="12">
        <v>13.0</v>
      </c>
      <c r="J9673" s="6" t="s">
        <v>161</v>
      </c>
    </row>
    <row r="9674" ht="22.5" customHeight="1">
      <c r="A9674" s="6" t="s">
        <v>26482</v>
      </c>
      <c r="B9674" s="6" t="s">
        <v>21409</v>
      </c>
      <c r="C9674" s="10">
        <v>46078.0</v>
      </c>
      <c r="D9674" s="6" t="s">
        <v>289</v>
      </c>
      <c r="E9674" s="6" t="s">
        <v>438</v>
      </c>
      <c r="F9674" s="6" t="s">
        <v>439</v>
      </c>
      <c r="G9674" s="6" t="s">
        <v>297</v>
      </c>
      <c r="H9674" s="10">
        <v>46078.0</v>
      </c>
      <c r="I9674" s="12">
        <v>5.0</v>
      </c>
      <c r="J9674" s="6" t="s">
        <v>161</v>
      </c>
    </row>
    <row r="9675" ht="22.5" customHeight="1">
      <c r="A9675" s="6" t="s">
        <v>26483</v>
      </c>
      <c r="B9675" s="6" t="s">
        <v>21409</v>
      </c>
      <c r="C9675" s="10">
        <v>46070.0</v>
      </c>
      <c r="D9675" s="6" t="s">
        <v>289</v>
      </c>
      <c r="E9675" s="6" t="s">
        <v>1552</v>
      </c>
      <c r="F9675" s="6" t="s">
        <v>283</v>
      </c>
      <c r="G9675" s="6" t="s">
        <v>297</v>
      </c>
      <c r="H9675" s="10">
        <v>46074.0</v>
      </c>
      <c r="I9675" s="12">
        <v>6.0</v>
      </c>
      <c r="J9675" s="6" t="s">
        <v>161</v>
      </c>
    </row>
    <row r="9676" ht="22.5" customHeight="1">
      <c r="A9676" s="6" t="s">
        <v>26484</v>
      </c>
      <c r="B9676" s="6" t="s">
        <v>21416</v>
      </c>
      <c r="C9676" s="10">
        <v>46046.0</v>
      </c>
      <c r="D9676" s="6" t="s">
        <v>312</v>
      </c>
      <c r="E9676" s="6" t="s">
        <v>1517</v>
      </c>
      <c r="F9676" s="6" t="s">
        <v>249</v>
      </c>
      <c r="G9676" s="6" t="s">
        <v>326</v>
      </c>
      <c r="H9676" s="10">
        <v>46052.0</v>
      </c>
      <c r="I9676" s="12">
        <v>7.0</v>
      </c>
      <c r="J9676" s="6" t="s">
        <v>161</v>
      </c>
    </row>
    <row r="9677" ht="22.5" customHeight="1">
      <c r="A9677" s="6" t="s">
        <v>26485</v>
      </c>
      <c r="B9677" s="6" t="s">
        <v>21424</v>
      </c>
      <c r="C9677" s="10">
        <v>46054.0</v>
      </c>
      <c r="D9677" s="6" t="s">
        <v>242</v>
      </c>
      <c r="E9677" s="6" t="s">
        <v>1149</v>
      </c>
      <c r="F9677" s="6" t="s">
        <v>249</v>
      </c>
      <c r="G9677" s="6" t="s">
        <v>494</v>
      </c>
      <c r="H9677" s="10">
        <v>46057.0</v>
      </c>
      <c r="I9677" s="12">
        <v>6.0</v>
      </c>
      <c r="J9677" s="6" t="s">
        <v>178</v>
      </c>
    </row>
    <row r="9678" ht="22.5" customHeight="1">
      <c r="A9678" s="6" t="s">
        <v>26486</v>
      </c>
      <c r="B9678" s="6" t="s">
        <v>21424</v>
      </c>
      <c r="C9678" s="10">
        <v>46053.0</v>
      </c>
      <c r="D9678" s="6" t="s">
        <v>416</v>
      </c>
      <c r="E9678" s="6" t="s">
        <v>466</v>
      </c>
      <c r="F9678" s="6" t="s">
        <v>112</v>
      </c>
      <c r="G9678" s="6" t="s">
        <v>452</v>
      </c>
      <c r="H9678" s="11" t="s">
        <v>259</v>
      </c>
      <c r="I9678" s="12">
        <v>11.0</v>
      </c>
      <c r="J9678" s="6" t="s">
        <v>161</v>
      </c>
    </row>
    <row r="9679" ht="22.5" customHeight="1">
      <c r="A9679" s="6" t="s">
        <v>26487</v>
      </c>
      <c r="B9679" s="6" t="s">
        <v>21431</v>
      </c>
      <c r="C9679" s="10">
        <v>46064.0</v>
      </c>
      <c r="D9679" s="6" t="s">
        <v>416</v>
      </c>
      <c r="E9679" s="6" t="s">
        <v>833</v>
      </c>
      <c r="F9679" s="6" t="s">
        <v>249</v>
      </c>
      <c r="G9679" s="6" t="s">
        <v>494</v>
      </c>
      <c r="H9679" s="11" t="s">
        <v>259</v>
      </c>
      <c r="I9679" s="12">
        <v>11.0</v>
      </c>
      <c r="J9679" s="6" t="s">
        <v>161</v>
      </c>
    </row>
    <row r="9680" ht="22.5" customHeight="1">
      <c r="A9680" s="6" t="s">
        <v>26488</v>
      </c>
      <c r="B9680" s="6" t="s">
        <v>21431</v>
      </c>
      <c r="C9680" s="10">
        <v>46075.0</v>
      </c>
      <c r="D9680" s="6" t="s">
        <v>436</v>
      </c>
      <c r="E9680" s="6" t="s">
        <v>1626</v>
      </c>
      <c r="F9680" s="6" t="s">
        <v>283</v>
      </c>
      <c r="G9680" s="6" t="s">
        <v>477</v>
      </c>
      <c r="H9680" s="10">
        <v>46080.0</v>
      </c>
      <c r="I9680" s="12">
        <v>6.0</v>
      </c>
      <c r="J9680" s="6" t="s">
        <v>178</v>
      </c>
    </row>
    <row r="9681" ht="22.5" customHeight="1">
      <c r="A9681" s="6" t="s">
        <v>26489</v>
      </c>
      <c r="B9681" s="6" t="s">
        <v>21431</v>
      </c>
      <c r="C9681" s="10">
        <v>46066.0</v>
      </c>
      <c r="D9681" s="6" t="s">
        <v>391</v>
      </c>
      <c r="E9681" s="6" t="s">
        <v>1055</v>
      </c>
      <c r="F9681" s="6" t="s">
        <v>283</v>
      </c>
      <c r="G9681" s="6" t="s">
        <v>477</v>
      </c>
      <c r="H9681" s="10">
        <v>46072.0</v>
      </c>
      <c r="I9681" s="12">
        <v>9.0</v>
      </c>
      <c r="J9681" s="6" t="s">
        <v>161</v>
      </c>
    </row>
    <row r="9682" ht="22.5" customHeight="1">
      <c r="A9682" s="6" t="s">
        <v>26490</v>
      </c>
      <c r="B9682" s="6" t="s">
        <v>21431</v>
      </c>
      <c r="C9682" s="10">
        <v>46073.0</v>
      </c>
      <c r="D9682" s="6" t="s">
        <v>677</v>
      </c>
      <c r="E9682" s="6" t="s">
        <v>738</v>
      </c>
      <c r="F9682" s="6" t="s">
        <v>439</v>
      </c>
      <c r="G9682" s="6" t="s">
        <v>458</v>
      </c>
      <c r="H9682" s="10">
        <v>46074.0</v>
      </c>
      <c r="I9682" s="12">
        <v>3.0</v>
      </c>
      <c r="J9682" s="6" t="s">
        <v>161</v>
      </c>
    </row>
    <row r="9683" ht="22.5" customHeight="1">
      <c r="A9683" s="6" t="s">
        <v>26491</v>
      </c>
      <c r="B9683" s="6" t="s">
        <v>21431</v>
      </c>
      <c r="C9683" s="10">
        <v>46071.0</v>
      </c>
      <c r="D9683" s="6" t="s">
        <v>416</v>
      </c>
      <c r="E9683" s="6" t="s">
        <v>716</v>
      </c>
      <c r="F9683" s="6" t="s">
        <v>249</v>
      </c>
      <c r="G9683" s="6" t="s">
        <v>297</v>
      </c>
      <c r="H9683" s="10">
        <v>46075.0</v>
      </c>
      <c r="I9683" s="12">
        <v>11.0</v>
      </c>
      <c r="J9683" s="6" t="s">
        <v>161</v>
      </c>
    </row>
    <row r="9684" ht="22.5" customHeight="1">
      <c r="A9684" s="6" t="s">
        <v>26492</v>
      </c>
      <c r="B9684" s="6" t="s">
        <v>21439</v>
      </c>
      <c r="C9684" s="10">
        <v>46062.0</v>
      </c>
      <c r="D9684" s="6" t="s">
        <v>416</v>
      </c>
      <c r="E9684" s="6" t="s">
        <v>670</v>
      </c>
      <c r="F9684" s="6" t="s">
        <v>439</v>
      </c>
      <c r="G9684" s="6" t="s">
        <v>254</v>
      </c>
      <c r="H9684" s="10">
        <v>46063.0</v>
      </c>
      <c r="I9684" s="12">
        <v>11.0</v>
      </c>
      <c r="J9684" s="6" t="s">
        <v>161</v>
      </c>
    </row>
    <row r="9685" ht="22.5" customHeight="1">
      <c r="A9685" s="6" t="s">
        <v>26493</v>
      </c>
      <c r="B9685" s="6" t="s">
        <v>21439</v>
      </c>
      <c r="C9685" s="10">
        <v>46070.0</v>
      </c>
      <c r="D9685" s="6" t="s">
        <v>391</v>
      </c>
      <c r="E9685" s="6" t="s">
        <v>1102</v>
      </c>
      <c r="F9685" s="6" t="s">
        <v>112</v>
      </c>
      <c r="G9685" s="6" t="s">
        <v>452</v>
      </c>
      <c r="H9685" s="10">
        <v>46076.0</v>
      </c>
      <c r="I9685" s="12">
        <v>6.0</v>
      </c>
      <c r="J9685" s="6" t="s">
        <v>161</v>
      </c>
    </row>
    <row r="9686" ht="22.5" customHeight="1">
      <c r="A9686" s="6" t="s">
        <v>26494</v>
      </c>
      <c r="B9686" s="6" t="s">
        <v>21439</v>
      </c>
      <c r="C9686" s="10">
        <v>46058.0</v>
      </c>
      <c r="D9686" s="6" t="s">
        <v>391</v>
      </c>
      <c r="E9686" s="6" t="s">
        <v>1600</v>
      </c>
      <c r="F9686" s="6" t="s">
        <v>439</v>
      </c>
      <c r="G9686" s="6" t="s">
        <v>452</v>
      </c>
      <c r="H9686" s="10">
        <v>46059.0</v>
      </c>
      <c r="I9686" s="12">
        <v>6.0</v>
      </c>
      <c r="J9686" s="6" t="s">
        <v>161</v>
      </c>
    </row>
    <row r="9687" ht="22.5" customHeight="1">
      <c r="A9687" s="6" t="s">
        <v>26495</v>
      </c>
      <c r="B9687" s="6" t="s">
        <v>21446</v>
      </c>
      <c r="C9687" s="10">
        <v>46038.0</v>
      </c>
      <c r="D9687" s="6" t="s">
        <v>416</v>
      </c>
      <c r="E9687" s="6" t="s">
        <v>2881</v>
      </c>
      <c r="F9687" s="6" t="s">
        <v>112</v>
      </c>
      <c r="G9687" s="6" t="s">
        <v>254</v>
      </c>
      <c r="H9687" s="10">
        <v>46045.0</v>
      </c>
      <c r="I9687" s="12">
        <v>10.0</v>
      </c>
      <c r="J9687" s="6" t="s">
        <v>161</v>
      </c>
    </row>
    <row r="9688" ht="22.5" customHeight="1">
      <c r="A9688" s="6" t="s">
        <v>26496</v>
      </c>
      <c r="B9688" s="6" t="s">
        <v>21454</v>
      </c>
      <c r="C9688" s="10">
        <v>46067.0</v>
      </c>
      <c r="D9688" s="6" t="s">
        <v>436</v>
      </c>
      <c r="E9688" s="6" t="s">
        <v>1122</v>
      </c>
      <c r="F9688" s="6" t="s">
        <v>439</v>
      </c>
      <c r="G9688" s="6" t="s">
        <v>477</v>
      </c>
      <c r="H9688" s="10">
        <v>46070.0</v>
      </c>
      <c r="I9688" s="12">
        <v>12.0</v>
      </c>
      <c r="J9688" s="6" t="s">
        <v>161</v>
      </c>
    </row>
    <row r="9689" ht="22.5" customHeight="1">
      <c r="A9689" s="6" t="s">
        <v>26497</v>
      </c>
      <c r="B9689" s="6" t="s">
        <v>21462</v>
      </c>
      <c r="C9689" s="10">
        <v>46069.0</v>
      </c>
      <c r="D9689" s="6" t="s">
        <v>436</v>
      </c>
      <c r="E9689" s="6" t="s">
        <v>1626</v>
      </c>
      <c r="F9689" s="6" t="s">
        <v>283</v>
      </c>
      <c r="G9689" s="6" t="s">
        <v>452</v>
      </c>
      <c r="H9689" s="11" t="s">
        <v>259</v>
      </c>
      <c r="I9689" s="12">
        <v>11.0</v>
      </c>
      <c r="J9689" s="6" t="s">
        <v>178</v>
      </c>
    </row>
    <row r="9690" ht="22.5" customHeight="1">
      <c r="A9690" s="6" t="s">
        <v>26498</v>
      </c>
      <c r="B9690" s="6" t="s">
        <v>21462</v>
      </c>
      <c r="C9690" s="10">
        <v>46075.0</v>
      </c>
      <c r="D9690" s="6" t="s">
        <v>242</v>
      </c>
      <c r="E9690" s="6" t="s">
        <v>716</v>
      </c>
      <c r="F9690" s="6" t="s">
        <v>283</v>
      </c>
      <c r="G9690" s="6" t="s">
        <v>369</v>
      </c>
      <c r="H9690" s="10">
        <v>46080.0</v>
      </c>
      <c r="I9690" s="12">
        <v>4.0</v>
      </c>
      <c r="J9690" s="6" t="s">
        <v>161</v>
      </c>
    </row>
    <row r="9691" ht="22.5" customHeight="1">
      <c r="A9691" s="6" t="s">
        <v>26499</v>
      </c>
      <c r="B9691" s="6" t="s">
        <v>21462</v>
      </c>
      <c r="C9691" s="10">
        <v>46069.0</v>
      </c>
      <c r="D9691" s="6" t="s">
        <v>391</v>
      </c>
      <c r="E9691" s="6" t="s">
        <v>475</v>
      </c>
      <c r="F9691" s="6" t="s">
        <v>439</v>
      </c>
      <c r="G9691" s="6" t="s">
        <v>452</v>
      </c>
      <c r="H9691" s="10">
        <v>46071.0</v>
      </c>
      <c r="I9691" s="12">
        <v>6.0</v>
      </c>
      <c r="J9691" s="6" t="s">
        <v>161</v>
      </c>
    </row>
    <row r="9692" ht="22.5" customHeight="1">
      <c r="A9692" s="6" t="s">
        <v>26500</v>
      </c>
      <c r="B9692" s="6" t="s">
        <v>21468</v>
      </c>
      <c r="C9692" s="10">
        <v>46055.0</v>
      </c>
      <c r="D9692" s="6" t="s">
        <v>242</v>
      </c>
      <c r="E9692" s="6" t="s">
        <v>787</v>
      </c>
      <c r="F9692" s="6" t="s">
        <v>283</v>
      </c>
      <c r="G9692" s="6" t="s">
        <v>494</v>
      </c>
      <c r="H9692" s="10">
        <v>46056.0</v>
      </c>
      <c r="I9692" s="12">
        <v>4.0</v>
      </c>
      <c r="J9692" s="6" t="s">
        <v>178</v>
      </c>
    </row>
    <row r="9693" ht="22.5" customHeight="1">
      <c r="A9693" s="6" t="s">
        <v>26501</v>
      </c>
      <c r="B9693" s="6" t="s">
        <v>21468</v>
      </c>
      <c r="C9693" s="10">
        <v>46061.0</v>
      </c>
      <c r="D9693" s="6" t="s">
        <v>242</v>
      </c>
      <c r="E9693" s="6" t="s">
        <v>2365</v>
      </c>
      <c r="F9693" s="6" t="s">
        <v>112</v>
      </c>
      <c r="G9693" s="6" t="s">
        <v>452</v>
      </c>
      <c r="H9693" s="10">
        <v>46068.0</v>
      </c>
      <c r="I9693" s="12">
        <v>3.0</v>
      </c>
      <c r="J9693" s="6" t="s">
        <v>178</v>
      </c>
    </row>
    <row r="9694" ht="22.5" customHeight="1">
      <c r="A9694" s="6" t="s">
        <v>26502</v>
      </c>
      <c r="B9694" s="6" t="s">
        <v>21468</v>
      </c>
      <c r="C9694" s="10">
        <v>46069.0</v>
      </c>
      <c r="D9694" s="6" t="s">
        <v>416</v>
      </c>
      <c r="E9694" s="6" t="s">
        <v>1149</v>
      </c>
      <c r="F9694" s="6" t="s">
        <v>283</v>
      </c>
      <c r="G9694" s="6" t="s">
        <v>254</v>
      </c>
      <c r="H9694" s="10">
        <v>46076.0</v>
      </c>
      <c r="I9694" s="12">
        <v>13.0</v>
      </c>
      <c r="J9694" s="6" t="s">
        <v>161</v>
      </c>
    </row>
    <row r="9695" ht="22.5" customHeight="1">
      <c r="A9695" s="6" t="s">
        <v>26503</v>
      </c>
      <c r="B9695" s="6" t="s">
        <v>21475</v>
      </c>
      <c r="C9695" s="10">
        <v>46059.0</v>
      </c>
      <c r="D9695" s="6" t="s">
        <v>312</v>
      </c>
      <c r="E9695" s="6" t="s">
        <v>885</v>
      </c>
      <c r="F9695" s="6" t="s">
        <v>249</v>
      </c>
      <c r="G9695" s="6" t="s">
        <v>452</v>
      </c>
      <c r="H9695" s="10">
        <v>46060.0</v>
      </c>
      <c r="I9695" s="12">
        <v>5.0</v>
      </c>
      <c r="J9695" s="6" t="s">
        <v>161</v>
      </c>
    </row>
    <row r="9696" ht="22.5" customHeight="1">
      <c r="A9696" s="6" t="s">
        <v>26504</v>
      </c>
      <c r="B9696" s="6" t="s">
        <v>21475</v>
      </c>
      <c r="C9696" s="10">
        <v>46052.0</v>
      </c>
      <c r="D9696" s="6" t="s">
        <v>391</v>
      </c>
      <c r="E9696" s="6" t="s">
        <v>583</v>
      </c>
      <c r="F9696" s="6" t="s">
        <v>112</v>
      </c>
      <c r="G9696" s="6" t="s">
        <v>458</v>
      </c>
      <c r="H9696" s="10">
        <v>46059.0</v>
      </c>
      <c r="I9696" s="12">
        <v>7.0</v>
      </c>
      <c r="J9696" s="6" t="s">
        <v>161</v>
      </c>
    </row>
    <row r="9697" ht="22.5" customHeight="1">
      <c r="A9697" s="6" t="s">
        <v>26505</v>
      </c>
      <c r="B9697" s="6" t="s">
        <v>21475</v>
      </c>
      <c r="C9697" s="10">
        <v>46062.0</v>
      </c>
      <c r="D9697" s="6" t="s">
        <v>242</v>
      </c>
      <c r="E9697" s="6" t="s">
        <v>1969</v>
      </c>
      <c r="F9697" s="6" t="s">
        <v>249</v>
      </c>
      <c r="G9697" s="6" t="s">
        <v>458</v>
      </c>
      <c r="H9697" s="10">
        <v>46065.0</v>
      </c>
      <c r="I9697" s="12">
        <v>3.0</v>
      </c>
      <c r="J9697" s="6" t="s">
        <v>161</v>
      </c>
    </row>
    <row r="9698" ht="22.5" customHeight="1">
      <c r="A9698" s="6" t="s">
        <v>26506</v>
      </c>
      <c r="B9698" s="6" t="s">
        <v>21475</v>
      </c>
      <c r="C9698" s="10">
        <v>46043.0</v>
      </c>
      <c r="D9698" s="6" t="s">
        <v>289</v>
      </c>
      <c r="E9698" s="6" t="s">
        <v>1720</v>
      </c>
      <c r="F9698" s="6" t="s">
        <v>283</v>
      </c>
      <c r="G9698" s="6" t="s">
        <v>494</v>
      </c>
      <c r="H9698" s="10">
        <v>46044.0</v>
      </c>
      <c r="I9698" s="12">
        <v>8.0</v>
      </c>
      <c r="J9698" s="6" t="s">
        <v>161</v>
      </c>
    </row>
    <row r="9699" ht="22.5" customHeight="1">
      <c r="A9699" s="6" t="s">
        <v>26507</v>
      </c>
      <c r="B9699" s="6" t="s">
        <v>21475</v>
      </c>
      <c r="C9699" s="10">
        <v>46050.0</v>
      </c>
      <c r="D9699" s="6" t="s">
        <v>289</v>
      </c>
      <c r="E9699" s="6" t="s">
        <v>1386</v>
      </c>
      <c r="F9699" s="6" t="s">
        <v>439</v>
      </c>
      <c r="G9699" s="6" t="s">
        <v>458</v>
      </c>
      <c r="H9699" s="10">
        <v>46050.0</v>
      </c>
      <c r="I9699" s="12">
        <v>10.0</v>
      </c>
      <c r="J9699" s="6" t="s">
        <v>161</v>
      </c>
    </row>
    <row r="9700" ht="22.5" customHeight="1">
      <c r="A9700" s="6" t="s">
        <v>26508</v>
      </c>
      <c r="B9700" s="6" t="s">
        <v>21481</v>
      </c>
      <c r="C9700" s="10">
        <v>46048.0</v>
      </c>
      <c r="D9700" s="6" t="s">
        <v>391</v>
      </c>
      <c r="E9700" s="6" t="s">
        <v>438</v>
      </c>
      <c r="F9700" s="6" t="s">
        <v>439</v>
      </c>
      <c r="G9700" s="6" t="s">
        <v>369</v>
      </c>
      <c r="H9700" s="10">
        <v>46049.0</v>
      </c>
      <c r="I9700" s="12">
        <v>10.0</v>
      </c>
      <c r="J9700" s="6" t="s">
        <v>161</v>
      </c>
    </row>
    <row r="9701" ht="22.5" customHeight="1">
      <c r="A9701" s="6" t="s">
        <v>26509</v>
      </c>
      <c r="B9701" s="6" t="s">
        <v>21481</v>
      </c>
      <c r="C9701" s="10">
        <v>46035.0</v>
      </c>
      <c r="D9701" s="6" t="s">
        <v>436</v>
      </c>
      <c r="E9701" s="6" t="s">
        <v>1122</v>
      </c>
      <c r="F9701" s="6" t="s">
        <v>249</v>
      </c>
      <c r="G9701" s="6" t="s">
        <v>369</v>
      </c>
      <c r="H9701" s="10">
        <v>46041.0</v>
      </c>
      <c r="I9701" s="12">
        <v>9.0</v>
      </c>
      <c r="J9701" s="6" t="s">
        <v>161</v>
      </c>
    </row>
    <row r="9702" ht="22.5" customHeight="1">
      <c r="A9702" s="6" t="s">
        <v>26510</v>
      </c>
      <c r="B9702" s="6" t="s">
        <v>21481</v>
      </c>
      <c r="C9702" s="10">
        <v>46031.0</v>
      </c>
      <c r="D9702" s="6" t="s">
        <v>677</v>
      </c>
      <c r="E9702" s="6" t="s">
        <v>438</v>
      </c>
      <c r="F9702" s="6" t="s">
        <v>249</v>
      </c>
      <c r="G9702" s="6" t="s">
        <v>458</v>
      </c>
      <c r="H9702" s="10">
        <v>46036.0</v>
      </c>
      <c r="I9702" s="12">
        <v>4.0</v>
      </c>
      <c r="J9702" s="6" t="s">
        <v>161</v>
      </c>
    </row>
    <row r="9703" ht="22.5" customHeight="1">
      <c r="A9703" s="6" t="s">
        <v>26511</v>
      </c>
      <c r="B9703" s="6" t="s">
        <v>21488</v>
      </c>
      <c r="C9703" s="10">
        <v>46082.0</v>
      </c>
      <c r="D9703" s="6" t="s">
        <v>436</v>
      </c>
      <c r="E9703" s="6" t="s">
        <v>450</v>
      </c>
      <c r="F9703" s="6" t="s">
        <v>249</v>
      </c>
      <c r="G9703" s="6" t="s">
        <v>477</v>
      </c>
      <c r="H9703" s="10">
        <v>46089.0</v>
      </c>
      <c r="I9703" s="12">
        <v>12.0</v>
      </c>
      <c r="J9703" s="6" t="s">
        <v>178</v>
      </c>
    </row>
    <row r="9704" ht="22.5" customHeight="1">
      <c r="A9704" s="6" t="s">
        <v>26512</v>
      </c>
      <c r="B9704" s="6" t="s">
        <v>21488</v>
      </c>
      <c r="C9704" s="10">
        <v>46075.0</v>
      </c>
      <c r="D9704" s="6" t="s">
        <v>312</v>
      </c>
      <c r="E9704" s="6" t="s">
        <v>798</v>
      </c>
      <c r="F9704" s="6" t="s">
        <v>283</v>
      </c>
      <c r="G9704" s="6" t="s">
        <v>458</v>
      </c>
      <c r="H9704" s="10">
        <v>46077.0</v>
      </c>
      <c r="I9704" s="12">
        <v>5.0</v>
      </c>
      <c r="J9704" s="6" t="s">
        <v>161</v>
      </c>
    </row>
    <row r="9705" ht="22.5" customHeight="1">
      <c r="A9705" s="6" t="s">
        <v>26513</v>
      </c>
      <c r="B9705" s="6" t="s">
        <v>21488</v>
      </c>
      <c r="C9705" s="10">
        <v>46068.0</v>
      </c>
      <c r="D9705" s="6" t="s">
        <v>391</v>
      </c>
      <c r="E9705" s="6" t="s">
        <v>1035</v>
      </c>
      <c r="F9705" s="6" t="s">
        <v>283</v>
      </c>
      <c r="G9705" s="6" t="s">
        <v>494</v>
      </c>
      <c r="H9705" s="10">
        <v>46074.0</v>
      </c>
      <c r="I9705" s="12">
        <v>10.0</v>
      </c>
      <c r="J9705" s="6" t="s">
        <v>161</v>
      </c>
    </row>
    <row r="9706" ht="22.5" customHeight="1">
      <c r="A9706" s="6" t="s">
        <v>26514</v>
      </c>
      <c r="B9706" s="6" t="s">
        <v>21495</v>
      </c>
      <c r="C9706" s="10">
        <v>46061.0</v>
      </c>
      <c r="D9706" s="6" t="s">
        <v>289</v>
      </c>
      <c r="E9706" s="6" t="s">
        <v>1969</v>
      </c>
      <c r="F9706" s="6" t="s">
        <v>249</v>
      </c>
      <c r="G9706" s="6" t="s">
        <v>477</v>
      </c>
      <c r="H9706" s="10">
        <v>46066.0</v>
      </c>
      <c r="I9706" s="12">
        <v>8.0</v>
      </c>
      <c r="J9706" s="6" t="s">
        <v>161</v>
      </c>
    </row>
    <row r="9707" ht="22.5" customHeight="1">
      <c r="A9707" s="6" t="s">
        <v>26515</v>
      </c>
      <c r="B9707" s="6" t="s">
        <v>21502</v>
      </c>
      <c r="C9707" s="10">
        <v>46040.0</v>
      </c>
      <c r="D9707" s="6" t="s">
        <v>436</v>
      </c>
      <c r="E9707" s="6" t="s">
        <v>812</v>
      </c>
      <c r="F9707" s="6" t="s">
        <v>439</v>
      </c>
      <c r="G9707" s="6" t="s">
        <v>458</v>
      </c>
      <c r="H9707" s="10">
        <v>46046.0</v>
      </c>
      <c r="I9707" s="12">
        <v>11.0</v>
      </c>
      <c r="J9707" s="6" t="s">
        <v>178</v>
      </c>
    </row>
    <row r="9708" ht="22.5" customHeight="1">
      <c r="A9708" s="6" t="s">
        <v>26516</v>
      </c>
      <c r="B9708" s="6" t="s">
        <v>21509</v>
      </c>
      <c r="C9708" s="10">
        <v>46070.0</v>
      </c>
      <c r="D9708" s="6" t="s">
        <v>416</v>
      </c>
      <c r="E9708" s="6" t="s">
        <v>863</v>
      </c>
      <c r="F9708" s="6" t="s">
        <v>439</v>
      </c>
      <c r="G9708" s="6" t="s">
        <v>326</v>
      </c>
      <c r="H9708" s="10">
        <v>46076.0</v>
      </c>
      <c r="I9708" s="12">
        <v>8.0</v>
      </c>
      <c r="J9708" s="6" t="s">
        <v>161</v>
      </c>
    </row>
    <row r="9709" ht="22.5" customHeight="1">
      <c r="A9709" s="6" t="s">
        <v>26517</v>
      </c>
      <c r="B9709" s="6" t="s">
        <v>21509</v>
      </c>
      <c r="C9709" s="10">
        <v>46080.0</v>
      </c>
      <c r="D9709" s="6" t="s">
        <v>677</v>
      </c>
      <c r="E9709" s="6" t="s">
        <v>438</v>
      </c>
      <c r="F9709" s="6" t="s">
        <v>249</v>
      </c>
      <c r="G9709" s="6" t="s">
        <v>297</v>
      </c>
      <c r="H9709" s="10">
        <v>46080.0</v>
      </c>
      <c r="I9709" s="12">
        <v>4.0</v>
      </c>
      <c r="J9709" s="6" t="s">
        <v>161</v>
      </c>
    </row>
    <row r="9710" ht="22.5" customHeight="1">
      <c r="A9710" s="6" t="s">
        <v>26518</v>
      </c>
      <c r="B9710" s="6" t="s">
        <v>21515</v>
      </c>
      <c r="C9710" s="10">
        <v>46065.0</v>
      </c>
      <c r="D9710" s="6" t="s">
        <v>242</v>
      </c>
      <c r="E9710" s="6" t="s">
        <v>1122</v>
      </c>
      <c r="F9710" s="6" t="s">
        <v>112</v>
      </c>
      <c r="G9710" s="6" t="s">
        <v>494</v>
      </c>
      <c r="H9710" s="11" t="s">
        <v>259</v>
      </c>
      <c r="I9710" s="12">
        <v>4.0</v>
      </c>
      <c r="J9710" s="6" t="s">
        <v>178</v>
      </c>
    </row>
    <row r="9711" ht="22.5" customHeight="1">
      <c r="A9711" s="6" t="s">
        <v>26519</v>
      </c>
      <c r="B9711" s="6" t="s">
        <v>21515</v>
      </c>
      <c r="C9711" s="10">
        <v>46068.0</v>
      </c>
      <c r="D9711" s="6" t="s">
        <v>436</v>
      </c>
      <c r="E9711" s="6" t="s">
        <v>1600</v>
      </c>
      <c r="F9711" s="6" t="s">
        <v>283</v>
      </c>
      <c r="G9711" s="6" t="s">
        <v>494</v>
      </c>
      <c r="H9711" s="10">
        <v>46071.0</v>
      </c>
      <c r="I9711" s="12">
        <v>6.0</v>
      </c>
      <c r="J9711" s="6" t="s">
        <v>161</v>
      </c>
    </row>
    <row r="9712" ht="22.5" customHeight="1">
      <c r="A9712" s="6" t="s">
        <v>26520</v>
      </c>
      <c r="B9712" s="6" t="s">
        <v>11594</v>
      </c>
      <c r="C9712" s="10">
        <v>46072.0</v>
      </c>
      <c r="D9712" s="6" t="s">
        <v>436</v>
      </c>
      <c r="E9712" s="6" t="s">
        <v>1296</v>
      </c>
      <c r="F9712" s="6" t="s">
        <v>249</v>
      </c>
      <c r="G9712" s="6" t="s">
        <v>494</v>
      </c>
      <c r="H9712" s="10">
        <v>46079.0</v>
      </c>
      <c r="I9712" s="12">
        <v>11.0</v>
      </c>
      <c r="J9712" s="6" t="s">
        <v>161</v>
      </c>
    </row>
    <row r="9713" ht="22.5" customHeight="1">
      <c r="A9713" s="6" t="s">
        <v>26521</v>
      </c>
      <c r="B9713" s="6" t="s">
        <v>2008</v>
      </c>
      <c r="C9713" s="10">
        <v>46077.0</v>
      </c>
      <c r="D9713" s="6" t="s">
        <v>289</v>
      </c>
      <c r="E9713" s="6" t="s">
        <v>670</v>
      </c>
      <c r="F9713" s="6" t="s">
        <v>112</v>
      </c>
      <c r="G9713" s="6" t="s">
        <v>297</v>
      </c>
      <c r="H9713" s="10">
        <v>46078.0</v>
      </c>
      <c r="I9713" s="12">
        <v>7.0</v>
      </c>
      <c r="J9713" s="6" t="s">
        <v>161</v>
      </c>
    </row>
    <row r="9714" ht="22.5" customHeight="1">
      <c r="A9714" s="6" t="s">
        <v>26522</v>
      </c>
      <c r="B9714" s="6" t="s">
        <v>2008</v>
      </c>
      <c r="C9714" s="10">
        <v>46066.0</v>
      </c>
      <c r="D9714" s="6" t="s">
        <v>312</v>
      </c>
      <c r="E9714" s="6" t="s">
        <v>610</v>
      </c>
      <c r="F9714" s="6" t="s">
        <v>283</v>
      </c>
      <c r="G9714" s="6" t="s">
        <v>254</v>
      </c>
      <c r="H9714" s="11" t="s">
        <v>259</v>
      </c>
      <c r="I9714" s="12">
        <v>6.0</v>
      </c>
      <c r="J9714" s="6" t="s">
        <v>161</v>
      </c>
    </row>
    <row r="9715" ht="22.5" customHeight="1">
      <c r="A9715" s="6" t="s">
        <v>26523</v>
      </c>
      <c r="B9715" s="6" t="s">
        <v>2780</v>
      </c>
      <c r="C9715" s="10">
        <v>46056.0</v>
      </c>
      <c r="D9715" s="6" t="s">
        <v>242</v>
      </c>
      <c r="E9715" s="6" t="s">
        <v>716</v>
      </c>
      <c r="F9715" s="6" t="s">
        <v>112</v>
      </c>
      <c r="G9715" s="6" t="s">
        <v>254</v>
      </c>
      <c r="H9715" s="10">
        <v>46059.0</v>
      </c>
      <c r="I9715" s="12">
        <v>4.0</v>
      </c>
      <c r="J9715" s="6" t="s">
        <v>178</v>
      </c>
    </row>
    <row r="9716" ht="22.5" customHeight="1">
      <c r="A9716" s="6" t="s">
        <v>26524</v>
      </c>
      <c r="B9716" s="6" t="s">
        <v>2780</v>
      </c>
      <c r="C9716" s="10">
        <v>46072.0</v>
      </c>
      <c r="D9716" s="6" t="s">
        <v>242</v>
      </c>
      <c r="E9716" s="6" t="s">
        <v>1273</v>
      </c>
      <c r="F9716" s="6" t="s">
        <v>112</v>
      </c>
      <c r="G9716" s="6" t="s">
        <v>326</v>
      </c>
      <c r="H9716" s="10">
        <v>46072.0</v>
      </c>
      <c r="I9716" s="12">
        <v>5.0</v>
      </c>
      <c r="J9716" s="6" t="s">
        <v>178</v>
      </c>
    </row>
    <row r="9717" ht="22.5" customHeight="1">
      <c r="A9717" s="6" t="s">
        <v>26525</v>
      </c>
      <c r="B9717" s="6" t="s">
        <v>2780</v>
      </c>
      <c r="C9717" s="10">
        <v>46062.0</v>
      </c>
      <c r="D9717" s="6" t="s">
        <v>289</v>
      </c>
      <c r="E9717" s="6" t="s">
        <v>320</v>
      </c>
      <c r="F9717" s="6" t="s">
        <v>112</v>
      </c>
      <c r="G9717" s="6" t="s">
        <v>452</v>
      </c>
      <c r="H9717" s="10">
        <v>46068.0</v>
      </c>
      <c r="I9717" s="12">
        <v>10.0</v>
      </c>
      <c r="J9717" s="6" t="s">
        <v>161</v>
      </c>
    </row>
    <row r="9718" ht="22.5" customHeight="1">
      <c r="A9718" s="6" t="s">
        <v>26526</v>
      </c>
      <c r="B9718" s="6" t="s">
        <v>13300</v>
      </c>
      <c r="C9718" s="10">
        <v>46065.0</v>
      </c>
      <c r="D9718" s="6" t="s">
        <v>416</v>
      </c>
      <c r="E9718" s="6" t="s">
        <v>291</v>
      </c>
      <c r="F9718" s="6" t="s">
        <v>112</v>
      </c>
      <c r="G9718" s="6" t="s">
        <v>369</v>
      </c>
      <c r="H9718" s="10">
        <v>46065.0</v>
      </c>
      <c r="I9718" s="12">
        <v>13.0</v>
      </c>
      <c r="J9718" s="6" t="s">
        <v>161</v>
      </c>
    </row>
    <row r="9719" ht="22.5" customHeight="1">
      <c r="A9719" s="6" t="s">
        <v>26527</v>
      </c>
      <c r="B9719" s="6" t="s">
        <v>4967</v>
      </c>
      <c r="C9719" s="10">
        <v>46062.0</v>
      </c>
      <c r="D9719" s="6" t="s">
        <v>416</v>
      </c>
      <c r="E9719" s="6" t="s">
        <v>1386</v>
      </c>
      <c r="F9719" s="6" t="s">
        <v>249</v>
      </c>
      <c r="G9719" s="6" t="s">
        <v>452</v>
      </c>
      <c r="H9719" s="10">
        <v>46066.0</v>
      </c>
      <c r="I9719" s="12">
        <v>11.0</v>
      </c>
      <c r="J9719" s="6" t="s">
        <v>161</v>
      </c>
    </row>
    <row r="9720" ht="22.5" customHeight="1">
      <c r="A9720" s="6" t="s">
        <v>26528</v>
      </c>
      <c r="B9720" s="6" t="s">
        <v>4967</v>
      </c>
      <c r="C9720" s="10">
        <v>46059.0</v>
      </c>
      <c r="D9720" s="6" t="s">
        <v>677</v>
      </c>
      <c r="E9720" s="6" t="s">
        <v>1035</v>
      </c>
      <c r="F9720" s="6" t="s">
        <v>439</v>
      </c>
      <c r="G9720" s="6" t="s">
        <v>369</v>
      </c>
      <c r="H9720" s="10">
        <v>46059.0</v>
      </c>
      <c r="I9720" s="12">
        <v>2.0</v>
      </c>
      <c r="J9720" s="6" t="s">
        <v>161</v>
      </c>
    </row>
    <row r="9721" ht="22.5" customHeight="1">
      <c r="A9721" s="6" t="s">
        <v>26529</v>
      </c>
      <c r="B9721" s="6" t="s">
        <v>4967</v>
      </c>
      <c r="C9721" s="10">
        <v>46056.0</v>
      </c>
      <c r="D9721" s="6" t="s">
        <v>312</v>
      </c>
      <c r="E9721" s="6" t="s">
        <v>1280</v>
      </c>
      <c r="F9721" s="6" t="s">
        <v>249</v>
      </c>
      <c r="G9721" s="6" t="s">
        <v>452</v>
      </c>
      <c r="H9721" s="10">
        <v>46061.0</v>
      </c>
      <c r="I9721" s="12">
        <v>4.0</v>
      </c>
      <c r="J9721" s="6" t="s">
        <v>161</v>
      </c>
    </row>
    <row r="9722" ht="22.5" customHeight="1">
      <c r="A9722" s="6" t="s">
        <v>26530</v>
      </c>
      <c r="B9722" s="6" t="s">
        <v>4967</v>
      </c>
      <c r="C9722" s="10">
        <v>46066.0</v>
      </c>
      <c r="D9722" s="6" t="s">
        <v>416</v>
      </c>
      <c r="E9722" s="6" t="s">
        <v>955</v>
      </c>
      <c r="F9722" s="6" t="s">
        <v>112</v>
      </c>
      <c r="G9722" s="6" t="s">
        <v>326</v>
      </c>
      <c r="H9722" s="10">
        <v>46068.0</v>
      </c>
      <c r="I9722" s="12">
        <v>12.0</v>
      </c>
      <c r="J9722" s="6" t="s">
        <v>161</v>
      </c>
    </row>
    <row r="9723" ht="22.5" customHeight="1">
      <c r="A9723" s="6" t="s">
        <v>26531</v>
      </c>
      <c r="B9723" s="6" t="s">
        <v>8669</v>
      </c>
      <c r="C9723" s="10">
        <v>46068.0</v>
      </c>
      <c r="D9723" s="6" t="s">
        <v>677</v>
      </c>
      <c r="E9723" s="6" t="s">
        <v>1310</v>
      </c>
      <c r="F9723" s="6" t="s">
        <v>249</v>
      </c>
      <c r="G9723" s="6" t="s">
        <v>458</v>
      </c>
      <c r="H9723" s="10">
        <v>46074.0</v>
      </c>
      <c r="I9723" s="12">
        <v>2.0</v>
      </c>
      <c r="J9723" s="6" t="s">
        <v>161</v>
      </c>
    </row>
    <row r="9724" ht="22.5" customHeight="1">
      <c r="A9724" s="6" t="s">
        <v>26532</v>
      </c>
      <c r="B9724" s="6" t="s">
        <v>8669</v>
      </c>
      <c r="C9724" s="10">
        <v>46068.0</v>
      </c>
      <c r="D9724" s="6" t="s">
        <v>312</v>
      </c>
      <c r="E9724" s="6" t="s">
        <v>2365</v>
      </c>
      <c r="F9724" s="6" t="s">
        <v>283</v>
      </c>
      <c r="G9724" s="6" t="s">
        <v>369</v>
      </c>
      <c r="H9724" s="10">
        <v>46073.0</v>
      </c>
      <c r="I9724" s="12">
        <v>4.0</v>
      </c>
      <c r="J9724" s="6" t="s">
        <v>161</v>
      </c>
    </row>
    <row r="9725" ht="22.5" customHeight="1">
      <c r="A9725" s="6" t="s">
        <v>26533</v>
      </c>
      <c r="B9725" s="6" t="s">
        <v>8669</v>
      </c>
      <c r="C9725" s="10">
        <v>46080.0</v>
      </c>
      <c r="D9725" s="6" t="s">
        <v>436</v>
      </c>
      <c r="E9725" s="6" t="s">
        <v>566</v>
      </c>
      <c r="F9725" s="6" t="s">
        <v>283</v>
      </c>
      <c r="G9725" s="6" t="s">
        <v>254</v>
      </c>
      <c r="H9725" s="10">
        <v>46082.0</v>
      </c>
      <c r="I9725" s="12">
        <v>12.0</v>
      </c>
      <c r="J9725" s="6" t="s">
        <v>178</v>
      </c>
    </row>
    <row r="9726" ht="22.5" customHeight="1">
      <c r="A9726" s="6" t="s">
        <v>26534</v>
      </c>
      <c r="B9726" s="6" t="s">
        <v>8669</v>
      </c>
      <c r="C9726" s="10">
        <v>46079.0</v>
      </c>
      <c r="D9726" s="6" t="s">
        <v>242</v>
      </c>
      <c r="E9726" s="6" t="s">
        <v>812</v>
      </c>
      <c r="F9726" s="6" t="s">
        <v>112</v>
      </c>
      <c r="G9726" s="6" t="s">
        <v>494</v>
      </c>
      <c r="H9726" s="11" t="s">
        <v>259</v>
      </c>
      <c r="I9726" s="12">
        <v>3.0</v>
      </c>
      <c r="J9726" s="6" t="s">
        <v>178</v>
      </c>
    </row>
    <row r="9727" ht="22.5" customHeight="1">
      <c r="A9727" s="6" t="s">
        <v>26535</v>
      </c>
      <c r="B9727" s="6" t="s">
        <v>8669</v>
      </c>
      <c r="C9727" s="10">
        <v>46068.0</v>
      </c>
      <c r="D9727" s="6" t="s">
        <v>677</v>
      </c>
      <c r="E9727" s="6" t="s">
        <v>1552</v>
      </c>
      <c r="F9727" s="6" t="s">
        <v>112</v>
      </c>
      <c r="G9727" s="6" t="s">
        <v>254</v>
      </c>
      <c r="H9727" s="10">
        <v>46070.0</v>
      </c>
      <c r="I9727" s="12">
        <v>3.0</v>
      </c>
      <c r="J9727" s="6" t="s">
        <v>161</v>
      </c>
    </row>
    <row r="9728" ht="22.5" customHeight="1">
      <c r="A9728" s="6" t="s">
        <v>26536</v>
      </c>
      <c r="B9728" s="6" t="s">
        <v>19392</v>
      </c>
      <c r="C9728" s="10">
        <v>46041.0</v>
      </c>
      <c r="D9728" s="6" t="s">
        <v>436</v>
      </c>
      <c r="E9728" s="6" t="s">
        <v>863</v>
      </c>
      <c r="F9728" s="6" t="s">
        <v>439</v>
      </c>
      <c r="G9728" s="6" t="s">
        <v>477</v>
      </c>
      <c r="H9728" s="10">
        <v>46047.0</v>
      </c>
      <c r="I9728" s="12">
        <v>11.0</v>
      </c>
      <c r="J9728" s="6" t="s">
        <v>178</v>
      </c>
    </row>
    <row r="9729" ht="22.5" customHeight="1">
      <c r="A9729" s="6" t="s">
        <v>26537</v>
      </c>
      <c r="B9729" s="6" t="s">
        <v>19392</v>
      </c>
      <c r="C9729" s="10">
        <v>46046.0</v>
      </c>
      <c r="D9729" s="6" t="s">
        <v>416</v>
      </c>
      <c r="E9729" s="6" t="s">
        <v>704</v>
      </c>
      <c r="F9729" s="6" t="s">
        <v>249</v>
      </c>
      <c r="G9729" s="6" t="s">
        <v>326</v>
      </c>
      <c r="H9729" s="11" t="s">
        <v>259</v>
      </c>
      <c r="I9729" s="12">
        <v>14.0</v>
      </c>
      <c r="J9729" s="6" t="s">
        <v>161</v>
      </c>
    </row>
    <row r="9730" ht="22.5" customHeight="1">
      <c r="A9730" s="6" t="s">
        <v>26538</v>
      </c>
      <c r="B9730" s="6" t="s">
        <v>19392</v>
      </c>
      <c r="C9730" s="10">
        <v>46055.0</v>
      </c>
      <c r="D9730" s="6" t="s">
        <v>677</v>
      </c>
      <c r="E9730" s="6" t="s">
        <v>1546</v>
      </c>
      <c r="F9730" s="6" t="s">
        <v>283</v>
      </c>
      <c r="G9730" s="6" t="s">
        <v>458</v>
      </c>
      <c r="H9730" s="10">
        <v>46056.0</v>
      </c>
      <c r="I9730" s="12">
        <v>4.0</v>
      </c>
      <c r="J9730" s="6" t="s">
        <v>161</v>
      </c>
    </row>
    <row r="9731" ht="22.5" customHeight="1">
      <c r="A9731" s="6" t="s">
        <v>26539</v>
      </c>
      <c r="B9731" s="6" t="s">
        <v>11067</v>
      </c>
      <c r="C9731" s="10">
        <v>46076.0</v>
      </c>
      <c r="D9731" s="6" t="s">
        <v>416</v>
      </c>
      <c r="E9731" s="6" t="s">
        <v>1552</v>
      </c>
      <c r="F9731" s="6" t="s">
        <v>439</v>
      </c>
      <c r="G9731" s="6" t="s">
        <v>369</v>
      </c>
      <c r="H9731" s="10">
        <v>46082.0</v>
      </c>
      <c r="I9731" s="12">
        <v>11.0</v>
      </c>
      <c r="J9731" s="6" t="s">
        <v>161</v>
      </c>
    </row>
    <row r="9732" ht="22.5" customHeight="1">
      <c r="A9732" s="6" t="s">
        <v>26540</v>
      </c>
      <c r="B9732" s="6" t="s">
        <v>11067</v>
      </c>
      <c r="C9732" s="10">
        <v>46063.0</v>
      </c>
      <c r="D9732" s="6" t="s">
        <v>416</v>
      </c>
      <c r="E9732" s="6" t="s">
        <v>738</v>
      </c>
      <c r="F9732" s="6" t="s">
        <v>112</v>
      </c>
      <c r="G9732" s="6" t="s">
        <v>452</v>
      </c>
      <c r="H9732" s="10">
        <v>46064.0</v>
      </c>
      <c r="I9732" s="12">
        <v>14.0</v>
      </c>
      <c r="J9732" s="6" t="s">
        <v>161</v>
      </c>
    </row>
    <row r="9733" ht="22.5" customHeight="1">
      <c r="A9733" s="6" t="s">
        <v>26541</v>
      </c>
      <c r="B9733" s="6" t="s">
        <v>11067</v>
      </c>
      <c r="C9733" s="10">
        <v>46075.0</v>
      </c>
      <c r="D9733" s="6" t="s">
        <v>436</v>
      </c>
      <c r="E9733" s="6" t="s">
        <v>687</v>
      </c>
      <c r="F9733" s="6" t="s">
        <v>283</v>
      </c>
      <c r="G9733" s="6" t="s">
        <v>369</v>
      </c>
      <c r="H9733" s="10">
        <v>46078.0</v>
      </c>
      <c r="I9733" s="12">
        <v>7.0</v>
      </c>
      <c r="J9733" s="6" t="s">
        <v>178</v>
      </c>
    </row>
    <row r="9734" ht="22.5" customHeight="1">
      <c r="A9734" s="6" t="s">
        <v>26542</v>
      </c>
      <c r="B9734" s="6" t="s">
        <v>11067</v>
      </c>
      <c r="C9734" s="10">
        <v>46065.0</v>
      </c>
      <c r="D9734" s="6" t="s">
        <v>677</v>
      </c>
      <c r="E9734" s="6" t="s">
        <v>812</v>
      </c>
      <c r="F9734" s="6" t="s">
        <v>283</v>
      </c>
      <c r="G9734" s="6" t="s">
        <v>477</v>
      </c>
      <c r="H9734" s="10">
        <v>46068.0</v>
      </c>
      <c r="I9734" s="12">
        <v>2.0</v>
      </c>
      <c r="J9734" s="6" t="s">
        <v>161</v>
      </c>
    </row>
    <row r="9735" ht="22.5" customHeight="1">
      <c r="A9735" s="6" t="s">
        <v>26543</v>
      </c>
      <c r="B9735" s="6" t="s">
        <v>11067</v>
      </c>
      <c r="C9735" s="10">
        <v>46076.0</v>
      </c>
      <c r="D9735" s="6" t="s">
        <v>312</v>
      </c>
      <c r="E9735" s="6" t="s">
        <v>2881</v>
      </c>
      <c r="F9735" s="6" t="s">
        <v>112</v>
      </c>
      <c r="G9735" s="6" t="s">
        <v>326</v>
      </c>
      <c r="H9735" s="10">
        <v>46078.0</v>
      </c>
      <c r="I9735" s="12">
        <v>7.0</v>
      </c>
      <c r="J9735" s="6" t="s">
        <v>161</v>
      </c>
    </row>
    <row r="9736" ht="22.5" customHeight="1">
      <c r="A9736" s="6" t="s">
        <v>26544</v>
      </c>
      <c r="B9736" s="6" t="s">
        <v>20913</v>
      </c>
      <c r="C9736" s="10">
        <v>46044.0</v>
      </c>
      <c r="D9736" s="6" t="s">
        <v>242</v>
      </c>
      <c r="E9736" s="6" t="s">
        <v>566</v>
      </c>
      <c r="F9736" s="6" t="s">
        <v>112</v>
      </c>
      <c r="G9736" s="6" t="s">
        <v>297</v>
      </c>
      <c r="H9736" s="10">
        <v>46049.0</v>
      </c>
      <c r="I9736" s="12">
        <v>5.0</v>
      </c>
      <c r="J9736" s="6" t="s">
        <v>178</v>
      </c>
    </row>
    <row r="9737" ht="22.5" customHeight="1">
      <c r="A9737" s="6" t="s">
        <v>26545</v>
      </c>
      <c r="B9737" s="6" t="s">
        <v>20913</v>
      </c>
      <c r="C9737" s="10">
        <v>46035.0</v>
      </c>
      <c r="D9737" s="6" t="s">
        <v>242</v>
      </c>
      <c r="E9737" s="6" t="s">
        <v>704</v>
      </c>
      <c r="F9737" s="6" t="s">
        <v>112</v>
      </c>
      <c r="G9737" s="6" t="s">
        <v>254</v>
      </c>
      <c r="H9737" s="10">
        <v>46041.0</v>
      </c>
      <c r="I9737" s="12">
        <v>6.0</v>
      </c>
      <c r="J9737" s="6" t="s">
        <v>161</v>
      </c>
    </row>
    <row r="9738" ht="22.5" customHeight="1">
      <c r="A9738" s="6" t="s">
        <v>26546</v>
      </c>
      <c r="B9738" s="6" t="s">
        <v>20913</v>
      </c>
      <c r="C9738" s="10">
        <v>46039.0</v>
      </c>
      <c r="D9738" s="6" t="s">
        <v>312</v>
      </c>
      <c r="E9738" s="6" t="s">
        <v>812</v>
      </c>
      <c r="F9738" s="6" t="s">
        <v>249</v>
      </c>
      <c r="G9738" s="6" t="s">
        <v>452</v>
      </c>
      <c r="H9738" s="10">
        <v>46040.0</v>
      </c>
      <c r="I9738" s="12">
        <v>7.0</v>
      </c>
      <c r="J9738" s="6" t="s">
        <v>161</v>
      </c>
    </row>
    <row r="9739" ht="22.5" customHeight="1">
      <c r="A9739" s="6" t="s">
        <v>26547</v>
      </c>
      <c r="B9739" s="6" t="s">
        <v>20913</v>
      </c>
      <c r="C9739" s="10">
        <v>46030.0</v>
      </c>
      <c r="D9739" s="6" t="s">
        <v>436</v>
      </c>
      <c r="E9739" s="6" t="s">
        <v>787</v>
      </c>
      <c r="F9739" s="6" t="s">
        <v>439</v>
      </c>
      <c r="G9739" s="6" t="s">
        <v>297</v>
      </c>
      <c r="H9739" s="10">
        <v>46030.0</v>
      </c>
      <c r="I9739" s="12">
        <v>9.0</v>
      </c>
      <c r="J9739" s="6" t="s">
        <v>178</v>
      </c>
    </row>
    <row r="9740" ht="22.5" customHeight="1">
      <c r="A9740" s="6" t="s">
        <v>26548</v>
      </c>
      <c r="B9740" s="6" t="s">
        <v>20913</v>
      </c>
      <c r="C9740" s="10">
        <v>46037.0</v>
      </c>
      <c r="D9740" s="6" t="s">
        <v>391</v>
      </c>
      <c r="E9740" s="6" t="s">
        <v>1626</v>
      </c>
      <c r="F9740" s="6" t="s">
        <v>249</v>
      </c>
      <c r="G9740" s="6" t="s">
        <v>254</v>
      </c>
      <c r="H9740" s="11" t="s">
        <v>259</v>
      </c>
      <c r="I9740" s="12">
        <v>6.0</v>
      </c>
      <c r="J9740" s="6" t="s">
        <v>161</v>
      </c>
    </row>
    <row r="9741" ht="22.5" customHeight="1">
      <c r="A9741" s="6" t="s">
        <v>26549</v>
      </c>
      <c r="B9741" s="6" t="s">
        <v>2842</v>
      </c>
      <c r="C9741" s="10">
        <v>46063.0</v>
      </c>
      <c r="D9741" s="6" t="s">
        <v>677</v>
      </c>
      <c r="E9741" s="6" t="s">
        <v>955</v>
      </c>
      <c r="F9741" s="6" t="s">
        <v>283</v>
      </c>
      <c r="G9741" s="6" t="s">
        <v>326</v>
      </c>
      <c r="H9741" s="10">
        <v>46065.0</v>
      </c>
      <c r="I9741" s="12">
        <v>2.0</v>
      </c>
      <c r="J9741" s="6" t="s">
        <v>161</v>
      </c>
    </row>
    <row r="9742" ht="22.5" customHeight="1">
      <c r="A9742" s="6" t="s">
        <v>26550</v>
      </c>
      <c r="B9742" s="6" t="s">
        <v>2842</v>
      </c>
      <c r="C9742" s="10">
        <v>46063.0</v>
      </c>
      <c r="D9742" s="6" t="s">
        <v>242</v>
      </c>
      <c r="E9742" s="6" t="s">
        <v>1122</v>
      </c>
      <c r="F9742" s="6" t="s">
        <v>112</v>
      </c>
      <c r="G9742" s="6" t="s">
        <v>254</v>
      </c>
      <c r="H9742" s="10">
        <v>46068.0</v>
      </c>
      <c r="I9742" s="12">
        <v>3.0</v>
      </c>
      <c r="J9742" s="6" t="s">
        <v>178</v>
      </c>
    </row>
    <row r="9743" ht="22.5" customHeight="1">
      <c r="A9743" s="6" t="s">
        <v>26551</v>
      </c>
      <c r="B9743" s="6" t="s">
        <v>18601</v>
      </c>
      <c r="C9743" s="10">
        <v>46052.0</v>
      </c>
      <c r="D9743" s="6" t="s">
        <v>289</v>
      </c>
      <c r="E9743" s="6" t="s">
        <v>246</v>
      </c>
      <c r="F9743" s="6" t="s">
        <v>439</v>
      </c>
      <c r="G9743" s="6" t="s">
        <v>254</v>
      </c>
      <c r="H9743" s="10">
        <v>46058.0</v>
      </c>
      <c r="I9743" s="12">
        <v>7.0</v>
      </c>
      <c r="J9743" s="6" t="s">
        <v>161</v>
      </c>
    </row>
    <row r="9744" ht="22.5" customHeight="1">
      <c r="A9744" s="6" t="s">
        <v>26552</v>
      </c>
      <c r="B9744" s="6" t="s">
        <v>18601</v>
      </c>
      <c r="C9744" s="10">
        <v>46049.0</v>
      </c>
      <c r="D9744" s="6" t="s">
        <v>312</v>
      </c>
      <c r="E9744" s="6" t="s">
        <v>618</v>
      </c>
      <c r="F9744" s="6" t="s">
        <v>283</v>
      </c>
      <c r="G9744" s="6" t="s">
        <v>254</v>
      </c>
      <c r="H9744" s="10">
        <v>46051.0</v>
      </c>
      <c r="I9744" s="12">
        <v>7.0</v>
      </c>
      <c r="J9744" s="6" t="s">
        <v>161</v>
      </c>
    </row>
    <row r="9745" ht="22.5" customHeight="1">
      <c r="A9745" s="6" t="s">
        <v>26553</v>
      </c>
      <c r="B9745" s="6" t="s">
        <v>18601</v>
      </c>
      <c r="C9745" s="10">
        <v>46055.0</v>
      </c>
      <c r="D9745" s="6" t="s">
        <v>391</v>
      </c>
      <c r="E9745" s="6" t="s">
        <v>1386</v>
      </c>
      <c r="F9745" s="6" t="s">
        <v>283</v>
      </c>
      <c r="G9745" s="6" t="s">
        <v>297</v>
      </c>
      <c r="H9745" s="10">
        <v>46056.0</v>
      </c>
      <c r="I9745" s="12">
        <v>9.0</v>
      </c>
      <c r="J9745" s="6" t="s">
        <v>161</v>
      </c>
    </row>
    <row r="9746" ht="22.5" customHeight="1">
      <c r="A9746" s="6" t="s">
        <v>26554</v>
      </c>
      <c r="B9746" s="6" t="s">
        <v>17056</v>
      </c>
      <c r="C9746" s="10">
        <v>46044.0</v>
      </c>
      <c r="D9746" s="6" t="s">
        <v>289</v>
      </c>
      <c r="E9746" s="6" t="s">
        <v>417</v>
      </c>
      <c r="F9746" s="6" t="s">
        <v>112</v>
      </c>
      <c r="G9746" s="6" t="s">
        <v>369</v>
      </c>
      <c r="H9746" s="10">
        <v>46046.0</v>
      </c>
      <c r="I9746" s="12">
        <v>7.0</v>
      </c>
      <c r="J9746" s="6" t="s">
        <v>161</v>
      </c>
    </row>
    <row r="9747" ht="22.5" customHeight="1">
      <c r="A9747" s="6" t="s">
        <v>26555</v>
      </c>
      <c r="B9747" s="6" t="s">
        <v>20797</v>
      </c>
      <c r="C9747" s="10">
        <v>46045.0</v>
      </c>
      <c r="D9747" s="6" t="s">
        <v>289</v>
      </c>
      <c r="E9747" s="6" t="s">
        <v>1241</v>
      </c>
      <c r="F9747" s="6" t="s">
        <v>283</v>
      </c>
      <c r="G9747" s="6" t="s">
        <v>254</v>
      </c>
      <c r="H9747" s="10">
        <v>46052.0</v>
      </c>
      <c r="I9747" s="12">
        <v>7.0</v>
      </c>
      <c r="J9747" s="6" t="s">
        <v>161</v>
      </c>
    </row>
    <row r="9748" ht="22.5" customHeight="1">
      <c r="A9748" s="6" t="s">
        <v>26556</v>
      </c>
      <c r="B9748" s="6" t="s">
        <v>5264</v>
      </c>
      <c r="C9748" s="10">
        <v>46065.0</v>
      </c>
      <c r="D9748" s="6" t="s">
        <v>289</v>
      </c>
      <c r="E9748" s="6" t="s">
        <v>628</v>
      </c>
      <c r="F9748" s="6" t="s">
        <v>439</v>
      </c>
      <c r="G9748" s="6" t="s">
        <v>494</v>
      </c>
      <c r="H9748" s="10">
        <v>46067.0</v>
      </c>
      <c r="I9748" s="12">
        <v>10.0</v>
      </c>
      <c r="J9748" s="6" t="s">
        <v>161</v>
      </c>
    </row>
    <row r="9749" ht="22.5" customHeight="1">
      <c r="A9749" s="6" t="s">
        <v>26557</v>
      </c>
      <c r="B9749" s="6" t="s">
        <v>5264</v>
      </c>
      <c r="C9749" s="10">
        <v>46069.0</v>
      </c>
      <c r="D9749" s="6" t="s">
        <v>416</v>
      </c>
      <c r="E9749" s="6" t="s">
        <v>583</v>
      </c>
      <c r="F9749" s="6" t="s">
        <v>112</v>
      </c>
      <c r="G9749" s="6" t="s">
        <v>297</v>
      </c>
      <c r="H9749" s="10">
        <v>46074.0</v>
      </c>
      <c r="I9749" s="12">
        <v>9.0</v>
      </c>
      <c r="J9749" s="6" t="s">
        <v>161</v>
      </c>
    </row>
    <row r="9750" ht="22.5" customHeight="1">
      <c r="A9750" s="6" t="s">
        <v>26558</v>
      </c>
      <c r="B9750" s="6" t="s">
        <v>5264</v>
      </c>
      <c r="C9750" s="10">
        <v>46076.0</v>
      </c>
      <c r="D9750" s="6" t="s">
        <v>289</v>
      </c>
      <c r="E9750" s="6" t="s">
        <v>1386</v>
      </c>
      <c r="F9750" s="6" t="s">
        <v>249</v>
      </c>
      <c r="G9750" s="6" t="s">
        <v>369</v>
      </c>
      <c r="H9750" s="10">
        <v>46083.0</v>
      </c>
      <c r="I9750" s="12">
        <v>8.0</v>
      </c>
      <c r="J9750" s="6" t="s">
        <v>161</v>
      </c>
    </row>
    <row r="9751" ht="22.5" customHeight="1">
      <c r="A9751" s="6" t="s">
        <v>26559</v>
      </c>
      <c r="B9751" s="6" t="s">
        <v>5264</v>
      </c>
      <c r="C9751" s="10">
        <v>46069.0</v>
      </c>
      <c r="D9751" s="6" t="s">
        <v>391</v>
      </c>
      <c r="E9751" s="6" t="s">
        <v>1070</v>
      </c>
      <c r="F9751" s="6" t="s">
        <v>249</v>
      </c>
      <c r="G9751" s="6" t="s">
        <v>297</v>
      </c>
      <c r="H9751" s="10">
        <v>46074.0</v>
      </c>
      <c r="I9751" s="12">
        <v>10.0</v>
      </c>
      <c r="J9751" s="6" t="s">
        <v>161</v>
      </c>
    </row>
    <row r="9752" ht="22.5" customHeight="1">
      <c r="A9752" s="6" t="s">
        <v>26560</v>
      </c>
      <c r="B9752" s="6" t="s">
        <v>5264</v>
      </c>
      <c r="C9752" s="10">
        <v>46067.0</v>
      </c>
      <c r="D9752" s="6" t="s">
        <v>677</v>
      </c>
      <c r="E9752" s="6" t="s">
        <v>475</v>
      </c>
      <c r="F9752" s="6" t="s">
        <v>283</v>
      </c>
      <c r="G9752" s="6" t="s">
        <v>369</v>
      </c>
      <c r="H9752" s="10">
        <v>46071.0</v>
      </c>
      <c r="I9752" s="12">
        <v>3.0</v>
      </c>
      <c r="J9752" s="6" t="s">
        <v>161</v>
      </c>
    </row>
    <row r="9753" ht="22.5" customHeight="1">
      <c r="A9753" s="6" t="s">
        <v>26561</v>
      </c>
      <c r="B9753" s="6" t="s">
        <v>11845</v>
      </c>
      <c r="C9753" s="10">
        <v>46038.0</v>
      </c>
      <c r="D9753" s="6" t="s">
        <v>289</v>
      </c>
      <c r="E9753" s="6" t="s">
        <v>566</v>
      </c>
      <c r="F9753" s="6" t="s">
        <v>283</v>
      </c>
      <c r="G9753" s="6" t="s">
        <v>477</v>
      </c>
      <c r="H9753" s="10">
        <v>46042.0</v>
      </c>
      <c r="I9753" s="12">
        <v>10.0</v>
      </c>
      <c r="J9753" s="6" t="s">
        <v>161</v>
      </c>
    </row>
    <row r="9754" ht="22.5" customHeight="1">
      <c r="A9754" s="6" t="s">
        <v>26562</v>
      </c>
      <c r="B9754" s="6" t="s">
        <v>11845</v>
      </c>
      <c r="C9754" s="10">
        <v>46039.0</v>
      </c>
      <c r="D9754" s="6" t="s">
        <v>416</v>
      </c>
      <c r="E9754" s="6" t="s">
        <v>512</v>
      </c>
      <c r="F9754" s="6" t="s">
        <v>249</v>
      </c>
      <c r="G9754" s="6" t="s">
        <v>326</v>
      </c>
      <c r="H9754" s="10">
        <v>46044.0</v>
      </c>
      <c r="I9754" s="12">
        <v>11.0</v>
      </c>
      <c r="J9754" s="6" t="s">
        <v>161</v>
      </c>
    </row>
    <row r="9755" ht="22.5" customHeight="1">
      <c r="A9755" s="6" t="s">
        <v>26563</v>
      </c>
      <c r="B9755" s="6" t="s">
        <v>4124</v>
      </c>
      <c r="C9755" s="10">
        <v>46046.0</v>
      </c>
      <c r="D9755" s="6" t="s">
        <v>289</v>
      </c>
      <c r="E9755" s="6" t="s">
        <v>291</v>
      </c>
      <c r="F9755" s="6" t="s">
        <v>439</v>
      </c>
      <c r="G9755" s="6" t="s">
        <v>477</v>
      </c>
      <c r="H9755" s="11" t="s">
        <v>259</v>
      </c>
      <c r="I9755" s="12">
        <v>7.0</v>
      </c>
      <c r="J9755" s="6" t="s">
        <v>161</v>
      </c>
    </row>
    <row r="9756" ht="22.5" customHeight="1">
      <c r="A9756" s="6" t="s">
        <v>26564</v>
      </c>
      <c r="B9756" s="6" t="s">
        <v>4124</v>
      </c>
      <c r="C9756" s="10">
        <v>46047.0</v>
      </c>
      <c r="D9756" s="6" t="s">
        <v>436</v>
      </c>
      <c r="E9756" s="6" t="s">
        <v>1273</v>
      </c>
      <c r="F9756" s="6" t="s">
        <v>283</v>
      </c>
      <c r="G9756" s="6" t="s">
        <v>369</v>
      </c>
      <c r="H9756" s="10">
        <v>46050.0</v>
      </c>
      <c r="I9756" s="12">
        <v>8.0</v>
      </c>
      <c r="J9756" s="6" t="s">
        <v>178</v>
      </c>
    </row>
    <row r="9757" ht="22.5" customHeight="1">
      <c r="A9757" s="6" t="s">
        <v>26565</v>
      </c>
      <c r="B9757" s="6" t="s">
        <v>4124</v>
      </c>
      <c r="C9757" s="10">
        <v>46048.0</v>
      </c>
      <c r="D9757" s="6" t="s">
        <v>436</v>
      </c>
      <c r="E9757" s="6" t="s">
        <v>798</v>
      </c>
      <c r="F9757" s="6" t="s">
        <v>283</v>
      </c>
      <c r="G9757" s="6" t="s">
        <v>477</v>
      </c>
      <c r="H9757" s="10">
        <v>46053.0</v>
      </c>
      <c r="I9757" s="12">
        <v>11.0</v>
      </c>
      <c r="J9757" s="6" t="s">
        <v>178</v>
      </c>
    </row>
    <row r="9758" ht="22.5" customHeight="1">
      <c r="A9758" s="6" t="s">
        <v>26566</v>
      </c>
      <c r="B9758" s="6" t="s">
        <v>4124</v>
      </c>
      <c r="C9758" s="10">
        <v>46054.0</v>
      </c>
      <c r="D9758" s="6" t="s">
        <v>436</v>
      </c>
      <c r="E9758" s="6" t="s">
        <v>695</v>
      </c>
      <c r="F9758" s="6" t="s">
        <v>439</v>
      </c>
      <c r="G9758" s="6" t="s">
        <v>254</v>
      </c>
      <c r="H9758" s="10">
        <v>46058.0</v>
      </c>
      <c r="I9758" s="12">
        <v>7.0</v>
      </c>
      <c r="J9758" s="6" t="s">
        <v>178</v>
      </c>
    </row>
    <row r="9759" ht="22.5" customHeight="1">
      <c r="A9759" s="6" t="s">
        <v>26567</v>
      </c>
      <c r="B9759" s="6" t="s">
        <v>4623</v>
      </c>
      <c r="C9759" s="10">
        <v>46081.0</v>
      </c>
      <c r="D9759" s="6" t="s">
        <v>289</v>
      </c>
      <c r="E9759" s="6" t="s">
        <v>1149</v>
      </c>
      <c r="F9759" s="6" t="s">
        <v>112</v>
      </c>
      <c r="G9759" s="6" t="s">
        <v>297</v>
      </c>
      <c r="H9759" s="10">
        <v>46081.0</v>
      </c>
      <c r="I9759" s="12">
        <v>6.0</v>
      </c>
      <c r="J9759" s="6" t="s">
        <v>161</v>
      </c>
    </row>
    <row r="9760" ht="22.5" customHeight="1">
      <c r="A9760" s="6" t="s">
        <v>26568</v>
      </c>
      <c r="B9760" s="6" t="s">
        <v>4623</v>
      </c>
      <c r="C9760" s="10">
        <v>46077.0</v>
      </c>
      <c r="D9760" s="6" t="s">
        <v>312</v>
      </c>
      <c r="E9760" s="6" t="s">
        <v>1070</v>
      </c>
      <c r="F9760" s="6" t="s">
        <v>439</v>
      </c>
      <c r="G9760" s="6" t="s">
        <v>494</v>
      </c>
      <c r="H9760" s="10">
        <v>46077.0</v>
      </c>
      <c r="I9760" s="12">
        <v>4.0</v>
      </c>
      <c r="J9760" s="6" t="s">
        <v>161</v>
      </c>
    </row>
    <row r="9761" ht="22.5" customHeight="1">
      <c r="A9761" s="6" t="s">
        <v>26569</v>
      </c>
      <c r="B9761" s="6" t="s">
        <v>4623</v>
      </c>
      <c r="C9761" s="10">
        <v>46074.0</v>
      </c>
      <c r="D9761" s="6" t="s">
        <v>391</v>
      </c>
      <c r="E9761" s="6" t="s">
        <v>1741</v>
      </c>
      <c r="F9761" s="6" t="s">
        <v>249</v>
      </c>
      <c r="G9761" s="6" t="s">
        <v>369</v>
      </c>
      <c r="H9761" s="10">
        <v>46077.0</v>
      </c>
      <c r="I9761" s="12">
        <v>10.0</v>
      </c>
      <c r="J9761" s="6" t="s">
        <v>161</v>
      </c>
    </row>
    <row r="9762" ht="22.5" customHeight="1">
      <c r="A9762" s="6" t="s">
        <v>26570</v>
      </c>
      <c r="B9762" s="6" t="s">
        <v>7823</v>
      </c>
      <c r="C9762" s="10">
        <v>46069.0</v>
      </c>
      <c r="D9762" s="6" t="s">
        <v>391</v>
      </c>
      <c r="E9762" s="6" t="s">
        <v>610</v>
      </c>
      <c r="F9762" s="6" t="s">
        <v>283</v>
      </c>
      <c r="G9762" s="6" t="s">
        <v>458</v>
      </c>
      <c r="H9762" s="10">
        <v>46071.0</v>
      </c>
      <c r="I9762" s="12">
        <v>10.0</v>
      </c>
      <c r="J9762" s="6" t="s">
        <v>161</v>
      </c>
    </row>
    <row r="9763" ht="22.5" customHeight="1">
      <c r="A9763" s="6" t="s">
        <v>26571</v>
      </c>
      <c r="B9763" s="6" t="s">
        <v>7463</v>
      </c>
      <c r="C9763" s="10">
        <v>46066.0</v>
      </c>
      <c r="D9763" s="6" t="s">
        <v>391</v>
      </c>
      <c r="E9763" s="6" t="s">
        <v>2365</v>
      </c>
      <c r="F9763" s="6" t="s">
        <v>283</v>
      </c>
      <c r="G9763" s="6" t="s">
        <v>254</v>
      </c>
      <c r="H9763" s="10">
        <v>46068.0</v>
      </c>
      <c r="I9763" s="12">
        <v>10.0</v>
      </c>
      <c r="J9763" s="6" t="s">
        <v>161</v>
      </c>
    </row>
    <row r="9764" ht="22.5" customHeight="1">
      <c r="A9764" s="6" t="s">
        <v>26572</v>
      </c>
      <c r="B9764" s="6" t="s">
        <v>7463</v>
      </c>
      <c r="C9764" s="10">
        <v>46063.0</v>
      </c>
      <c r="D9764" s="6" t="s">
        <v>242</v>
      </c>
      <c r="E9764" s="6" t="s">
        <v>610</v>
      </c>
      <c r="F9764" s="6" t="s">
        <v>283</v>
      </c>
      <c r="G9764" s="6" t="s">
        <v>494</v>
      </c>
      <c r="H9764" s="11" t="s">
        <v>259</v>
      </c>
      <c r="I9764" s="12">
        <v>6.0</v>
      </c>
      <c r="J9764" s="6" t="s">
        <v>161</v>
      </c>
    </row>
    <row r="9765" ht="22.5" customHeight="1">
      <c r="A9765" s="6" t="s">
        <v>26573</v>
      </c>
      <c r="B9765" s="6" t="s">
        <v>19291</v>
      </c>
      <c r="C9765" s="10">
        <v>46042.0</v>
      </c>
      <c r="D9765" s="6" t="s">
        <v>677</v>
      </c>
      <c r="E9765" s="6" t="s">
        <v>704</v>
      </c>
      <c r="F9765" s="6" t="s">
        <v>112</v>
      </c>
      <c r="G9765" s="6" t="s">
        <v>458</v>
      </c>
      <c r="H9765" s="10">
        <v>46047.0</v>
      </c>
      <c r="I9765" s="12">
        <v>4.0</v>
      </c>
      <c r="J9765" s="6" t="s">
        <v>161</v>
      </c>
    </row>
    <row r="9766" ht="22.5" customHeight="1">
      <c r="A9766" s="6" t="s">
        <v>26574</v>
      </c>
      <c r="B9766" s="6" t="s">
        <v>19291</v>
      </c>
      <c r="C9766" s="10">
        <v>46050.0</v>
      </c>
      <c r="D9766" s="6" t="s">
        <v>416</v>
      </c>
      <c r="E9766" s="6" t="s">
        <v>394</v>
      </c>
      <c r="F9766" s="6" t="s">
        <v>283</v>
      </c>
      <c r="G9766" s="6" t="s">
        <v>494</v>
      </c>
      <c r="H9766" s="10">
        <v>46053.0</v>
      </c>
      <c r="I9766" s="12">
        <v>11.0</v>
      </c>
      <c r="J9766" s="6" t="s">
        <v>161</v>
      </c>
    </row>
    <row r="9767" ht="22.5" customHeight="1">
      <c r="A9767" s="6" t="s">
        <v>26575</v>
      </c>
      <c r="B9767" s="6" t="s">
        <v>20064</v>
      </c>
      <c r="C9767" s="10">
        <v>46042.0</v>
      </c>
      <c r="D9767" s="6" t="s">
        <v>289</v>
      </c>
      <c r="E9767" s="6" t="s">
        <v>628</v>
      </c>
      <c r="F9767" s="6" t="s">
        <v>439</v>
      </c>
      <c r="G9767" s="6" t="s">
        <v>452</v>
      </c>
      <c r="H9767" s="10">
        <v>46049.0</v>
      </c>
      <c r="I9767" s="12">
        <v>6.0</v>
      </c>
      <c r="J9767" s="6" t="s">
        <v>161</v>
      </c>
    </row>
    <row r="9768" ht="22.5" customHeight="1">
      <c r="A9768" s="6" t="s">
        <v>26576</v>
      </c>
      <c r="B9768" s="6" t="s">
        <v>20064</v>
      </c>
      <c r="C9768" s="10">
        <v>46026.0</v>
      </c>
      <c r="D9768" s="6" t="s">
        <v>242</v>
      </c>
      <c r="E9768" s="6" t="s">
        <v>246</v>
      </c>
      <c r="F9768" s="6" t="s">
        <v>249</v>
      </c>
      <c r="G9768" s="6" t="s">
        <v>494</v>
      </c>
      <c r="H9768" s="11" t="s">
        <v>259</v>
      </c>
      <c r="I9768" s="12">
        <v>3.0</v>
      </c>
      <c r="J9768" s="6" t="s">
        <v>178</v>
      </c>
    </row>
    <row r="9769" ht="22.5" customHeight="1">
      <c r="A9769" s="6" t="s">
        <v>26577</v>
      </c>
      <c r="B9769" s="6" t="s">
        <v>20064</v>
      </c>
      <c r="C9769" s="10">
        <v>46025.0</v>
      </c>
      <c r="D9769" s="6" t="s">
        <v>436</v>
      </c>
      <c r="E9769" s="6" t="s">
        <v>1626</v>
      </c>
      <c r="F9769" s="6" t="s">
        <v>439</v>
      </c>
      <c r="G9769" s="6" t="s">
        <v>494</v>
      </c>
      <c r="H9769" s="10">
        <v>46028.0</v>
      </c>
      <c r="I9769" s="12">
        <v>12.0</v>
      </c>
      <c r="J9769" s="6" t="s">
        <v>178</v>
      </c>
    </row>
    <row r="9770" ht="22.5" customHeight="1">
      <c r="A9770" s="6" t="s">
        <v>26578</v>
      </c>
      <c r="B9770" s="6" t="s">
        <v>5609</v>
      </c>
      <c r="C9770" s="10">
        <v>46078.0</v>
      </c>
      <c r="D9770" s="6" t="s">
        <v>312</v>
      </c>
      <c r="E9770" s="6" t="s">
        <v>1280</v>
      </c>
      <c r="F9770" s="6" t="s">
        <v>249</v>
      </c>
      <c r="G9770" s="6" t="s">
        <v>297</v>
      </c>
      <c r="H9770" s="10">
        <v>46083.0</v>
      </c>
      <c r="I9770" s="12">
        <v>4.0</v>
      </c>
      <c r="J9770" s="6" t="s">
        <v>161</v>
      </c>
    </row>
    <row r="9771" ht="22.5" customHeight="1">
      <c r="A9771" s="6" t="s">
        <v>26579</v>
      </c>
      <c r="B9771" s="6" t="s">
        <v>5609</v>
      </c>
      <c r="C9771" s="10">
        <v>46075.0</v>
      </c>
      <c r="D9771" s="6" t="s">
        <v>416</v>
      </c>
      <c r="E9771" s="6" t="s">
        <v>466</v>
      </c>
      <c r="F9771" s="6" t="s">
        <v>283</v>
      </c>
      <c r="G9771" s="6" t="s">
        <v>452</v>
      </c>
      <c r="H9771" s="10">
        <v>46082.0</v>
      </c>
      <c r="I9771" s="12">
        <v>11.0</v>
      </c>
      <c r="J9771" s="6" t="s">
        <v>161</v>
      </c>
    </row>
    <row r="9772" ht="22.5" customHeight="1">
      <c r="A9772" s="6" t="s">
        <v>26580</v>
      </c>
      <c r="B9772" s="6" t="s">
        <v>5609</v>
      </c>
      <c r="C9772" s="10">
        <v>46065.0</v>
      </c>
      <c r="D9772" s="6" t="s">
        <v>312</v>
      </c>
      <c r="E9772" s="6" t="s">
        <v>566</v>
      </c>
      <c r="F9772" s="6" t="s">
        <v>283</v>
      </c>
      <c r="G9772" s="6" t="s">
        <v>494</v>
      </c>
      <c r="H9772" s="10">
        <v>46065.0</v>
      </c>
      <c r="I9772" s="12">
        <v>7.0</v>
      </c>
      <c r="J9772" s="6" t="s">
        <v>161</v>
      </c>
    </row>
    <row r="9773" ht="22.5" customHeight="1">
      <c r="A9773" s="6" t="s">
        <v>26581</v>
      </c>
      <c r="B9773" s="6" t="s">
        <v>5609</v>
      </c>
      <c r="C9773" s="10">
        <v>46074.0</v>
      </c>
      <c r="D9773" s="6" t="s">
        <v>312</v>
      </c>
      <c r="E9773" s="6" t="s">
        <v>1296</v>
      </c>
      <c r="F9773" s="6" t="s">
        <v>112</v>
      </c>
      <c r="G9773" s="6" t="s">
        <v>297</v>
      </c>
      <c r="H9773" s="11" t="s">
        <v>259</v>
      </c>
      <c r="I9773" s="12">
        <v>7.0</v>
      </c>
      <c r="J9773" s="6" t="s">
        <v>161</v>
      </c>
    </row>
    <row r="9774" ht="22.5" customHeight="1">
      <c r="A9774" s="6" t="s">
        <v>26582</v>
      </c>
      <c r="B9774" s="6" t="s">
        <v>19268</v>
      </c>
      <c r="C9774" s="10">
        <v>46038.0</v>
      </c>
      <c r="D9774" s="6" t="s">
        <v>677</v>
      </c>
      <c r="E9774" s="6" t="s">
        <v>687</v>
      </c>
      <c r="F9774" s="6" t="s">
        <v>249</v>
      </c>
      <c r="G9774" s="6" t="s">
        <v>369</v>
      </c>
      <c r="H9774" s="11" t="s">
        <v>259</v>
      </c>
      <c r="I9774" s="12">
        <v>2.0</v>
      </c>
      <c r="J9774" s="6" t="s">
        <v>161</v>
      </c>
    </row>
    <row r="9775" ht="22.5" customHeight="1">
      <c r="A9775" s="6" t="s">
        <v>26583</v>
      </c>
      <c r="B9775" s="6" t="s">
        <v>19268</v>
      </c>
      <c r="C9775" s="10">
        <v>46044.0</v>
      </c>
      <c r="D9775" s="6" t="s">
        <v>289</v>
      </c>
      <c r="E9775" s="6" t="s">
        <v>885</v>
      </c>
      <c r="F9775" s="6" t="s">
        <v>439</v>
      </c>
      <c r="G9775" s="6" t="s">
        <v>297</v>
      </c>
      <c r="H9775" s="11" t="s">
        <v>259</v>
      </c>
      <c r="I9775" s="12">
        <v>9.0</v>
      </c>
      <c r="J9775" s="6" t="s">
        <v>161</v>
      </c>
    </row>
    <row r="9776" ht="22.5" customHeight="1">
      <c r="A9776" s="6" t="s">
        <v>26584</v>
      </c>
      <c r="B9776" s="6" t="s">
        <v>19268</v>
      </c>
      <c r="C9776" s="10">
        <v>46028.0</v>
      </c>
      <c r="D9776" s="6" t="s">
        <v>289</v>
      </c>
      <c r="E9776" s="6" t="s">
        <v>450</v>
      </c>
      <c r="F9776" s="6" t="s">
        <v>283</v>
      </c>
      <c r="G9776" s="6" t="s">
        <v>477</v>
      </c>
      <c r="H9776" s="10">
        <v>46033.0</v>
      </c>
      <c r="I9776" s="12">
        <v>8.0</v>
      </c>
      <c r="J9776" s="6" t="s">
        <v>161</v>
      </c>
    </row>
    <row r="9777" ht="22.5" customHeight="1">
      <c r="A9777" s="6" t="s">
        <v>26585</v>
      </c>
      <c r="B9777" s="6" t="s">
        <v>19268</v>
      </c>
      <c r="C9777" s="10">
        <v>46045.0</v>
      </c>
      <c r="D9777" s="6" t="s">
        <v>312</v>
      </c>
      <c r="E9777" s="6" t="s">
        <v>394</v>
      </c>
      <c r="F9777" s="6" t="s">
        <v>249</v>
      </c>
      <c r="G9777" s="6" t="s">
        <v>254</v>
      </c>
      <c r="H9777" s="11" t="s">
        <v>259</v>
      </c>
      <c r="I9777" s="12">
        <v>6.0</v>
      </c>
      <c r="J9777" s="6" t="s">
        <v>161</v>
      </c>
    </row>
    <row r="9778" ht="22.5" customHeight="1">
      <c r="A9778" s="6" t="s">
        <v>26586</v>
      </c>
      <c r="B9778" s="6" t="s">
        <v>19268</v>
      </c>
      <c r="C9778" s="10">
        <v>46032.0</v>
      </c>
      <c r="D9778" s="6" t="s">
        <v>436</v>
      </c>
      <c r="E9778" s="6" t="s">
        <v>1070</v>
      </c>
      <c r="F9778" s="6" t="s">
        <v>112</v>
      </c>
      <c r="G9778" s="6" t="s">
        <v>477</v>
      </c>
      <c r="H9778" s="10">
        <v>46032.0</v>
      </c>
      <c r="I9778" s="12">
        <v>9.0</v>
      </c>
      <c r="J9778" s="6" t="s">
        <v>178</v>
      </c>
    </row>
    <row r="9779" ht="22.5" customHeight="1">
      <c r="A9779" s="6" t="s">
        <v>26587</v>
      </c>
      <c r="B9779" s="6" t="s">
        <v>2040</v>
      </c>
      <c r="C9779" s="10">
        <v>46071.0</v>
      </c>
      <c r="D9779" s="6" t="s">
        <v>242</v>
      </c>
      <c r="E9779" s="6" t="s">
        <v>512</v>
      </c>
      <c r="F9779" s="6" t="s">
        <v>112</v>
      </c>
      <c r="G9779" s="6" t="s">
        <v>494</v>
      </c>
      <c r="H9779" s="10">
        <v>46076.0</v>
      </c>
      <c r="I9779" s="12">
        <v>4.0</v>
      </c>
      <c r="J9779" s="6" t="s">
        <v>161</v>
      </c>
    </row>
    <row r="9780" ht="22.5" customHeight="1">
      <c r="A9780" s="6" t="s">
        <v>26588</v>
      </c>
      <c r="B9780" s="6" t="s">
        <v>2040</v>
      </c>
      <c r="C9780" s="10">
        <v>46082.0</v>
      </c>
      <c r="D9780" s="6" t="s">
        <v>436</v>
      </c>
      <c r="E9780" s="6" t="s">
        <v>291</v>
      </c>
      <c r="F9780" s="6" t="s">
        <v>112</v>
      </c>
      <c r="G9780" s="6" t="s">
        <v>458</v>
      </c>
      <c r="H9780" s="11" t="s">
        <v>259</v>
      </c>
      <c r="I9780" s="12">
        <v>12.0</v>
      </c>
      <c r="J9780" s="6" t="s">
        <v>178</v>
      </c>
    </row>
    <row r="9781" ht="22.5" customHeight="1">
      <c r="A9781" s="6" t="s">
        <v>26589</v>
      </c>
      <c r="B9781" s="6" t="s">
        <v>2040</v>
      </c>
      <c r="C9781" s="10">
        <v>46067.0</v>
      </c>
      <c r="D9781" s="6" t="s">
        <v>289</v>
      </c>
      <c r="E9781" s="6" t="s">
        <v>618</v>
      </c>
      <c r="F9781" s="6" t="s">
        <v>112</v>
      </c>
      <c r="G9781" s="6" t="s">
        <v>326</v>
      </c>
      <c r="H9781" s="10">
        <v>46072.0</v>
      </c>
      <c r="I9781" s="12">
        <v>10.0</v>
      </c>
      <c r="J9781" s="6" t="s">
        <v>161</v>
      </c>
    </row>
    <row r="9782" ht="22.5" customHeight="1">
      <c r="A9782" s="6" t="s">
        <v>26590</v>
      </c>
      <c r="B9782" s="6" t="s">
        <v>5437</v>
      </c>
      <c r="C9782" s="10">
        <v>46048.0</v>
      </c>
      <c r="D9782" s="6" t="s">
        <v>677</v>
      </c>
      <c r="E9782" s="6" t="s">
        <v>1035</v>
      </c>
      <c r="F9782" s="6" t="s">
        <v>112</v>
      </c>
      <c r="G9782" s="6" t="s">
        <v>326</v>
      </c>
      <c r="H9782" s="10">
        <v>46052.0</v>
      </c>
      <c r="I9782" s="12">
        <v>4.0</v>
      </c>
      <c r="J9782" s="6" t="s">
        <v>161</v>
      </c>
    </row>
    <row r="9783" ht="22.5" customHeight="1">
      <c r="A9783" s="6" t="s">
        <v>26591</v>
      </c>
      <c r="B9783" s="6" t="s">
        <v>5437</v>
      </c>
      <c r="C9783" s="10">
        <v>46044.0</v>
      </c>
      <c r="D9783" s="6" t="s">
        <v>242</v>
      </c>
      <c r="E9783" s="6" t="s">
        <v>1241</v>
      </c>
      <c r="F9783" s="6" t="s">
        <v>283</v>
      </c>
      <c r="G9783" s="6" t="s">
        <v>254</v>
      </c>
      <c r="H9783" s="11" t="s">
        <v>259</v>
      </c>
      <c r="I9783" s="12">
        <v>5.0</v>
      </c>
      <c r="J9783" s="6" t="s">
        <v>161</v>
      </c>
    </row>
    <row r="9784" ht="22.5" customHeight="1">
      <c r="A9784" s="6" t="s">
        <v>26592</v>
      </c>
      <c r="B9784" s="6" t="s">
        <v>5437</v>
      </c>
      <c r="C9784" s="10">
        <v>46030.0</v>
      </c>
      <c r="D9784" s="6" t="s">
        <v>391</v>
      </c>
      <c r="E9784" s="6" t="s">
        <v>695</v>
      </c>
      <c r="F9784" s="6" t="s">
        <v>283</v>
      </c>
      <c r="G9784" s="6" t="s">
        <v>297</v>
      </c>
      <c r="H9784" s="10">
        <v>46031.0</v>
      </c>
      <c r="I9784" s="12">
        <v>9.0</v>
      </c>
      <c r="J9784" s="6" t="s">
        <v>161</v>
      </c>
    </row>
    <row r="9785" ht="22.5" customHeight="1">
      <c r="A9785" s="6" t="s">
        <v>26593</v>
      </c>
      <c r="B9785" s="6" t="s">
        <v>5437</v>
      </c>
      <c r="C9785" s="10">
        <v>46040.0</v>
      </c>
      <c r="D9785" s="6" t="s">
        <v>312</v>
      </c>
      <c r="E9785" s="6" t="s">
        <v>775</v>
      </c>
      <c r="F9785" s="6" t="s">
        <v>249</v>
      </c>
      <c r="G9785" s="6" t="s">
        <v>452</v>
      </c>
      <c r="H9785" s="10">
        <v>46045.0</v>
      </c>
      <c r="I9785" s="12">
        <v>7.0</v>
      </c>
      <c r="J9785" s="6" t="s">
        <v>161</v>
      </c>
    </row>
    <row r="9786" ht="22.5" customHeight="1">
      <c r="A9786" s="6" t="s">
        <v>26594</v>
      </c>
      <c r="B9786" s="6" t="s">
        <v>20584</v>
      </c>
      <c r="C9786" s="10">
        <v>46080.0</v>
      </c>
      <c r="D9786" s="6" t="s">
        <v>242</v>
      </c>
      <c r="E9786" s="6" t="s">
        <v>1102</v>
      </c>
      <c r="F9786" s="6" t="s">
        <v>112</v>
      </c>
      <c r="G9786" s="6" t="s">
        <v>458</v>
      </c>
      <c r="H9786" s="10">
        <v>46082.0</v>
      </c>
      <c r="I9786" s="12">
        <v>5.0</v>
      </c>
      <c r="J9786" s="6" t="s">
        <v>178</v>
      </c>
    </row>
    <row r="9787" ht="22.5" customHeight="1">
      <c r="A9787" s="6" t="s">
        <v>26595</v>
      </c>
      <c r="B9787" s="6" t="s">
        <v>20584</v>
      </c>
      <c r="C9787" s="10">
        <v>46070.0</v>
      </c>
      <c r="D9787" s="6" t="s">
        <v>312</v>
      </c>
      <c r="E9787" s="6" t="s">
        <v>1741</v>
      </c>
      <c r="F9787" s="6" t="s">
        <v>249</v>
      </c>
      <c r="G9787" s="6" t="s">
        <v>477</v>
      </c>
      <c r="H9787" s="10">
        <v>46076.0</v>
      </c>
      <c r="I9787" s="12">
        <v>6.0</v>
      </c>
      <c r="J9787" s="6" t="s">
        <v>161</v>
      </c>
    </row>
    <row r="9788" ht="22.5" customHeight="1">
      <c r="A9788" s="6" t="s">
        <v>26596</v>
      </c>
      <c r="B9788" s="6" t="s">
        <v>20584</v>
      </c>
      <c r="C9788" s="10">
        <v>46080.0</v>
      </c>
      <c r="D9788" s="6" t="s">
        <v>391</v>
      </c>
      <c r="E9788" s="6" t="s">
        <v>291</v>
      </c>
      <c r="F9788" s="6" t="s">
        <v>283</v>
      </c>
      <c r="G9788" s="6" t="s">
        <v>494</v>
      </c>
      <c r="H9788" s="10">
        <v>46086.0</v>
      </c>
      <c r="I9788" s="12">
        <v>8.0</v>
      </c>
      <c r="J9788" s="6" t="s">
        <v>161</v>
      </c>
    </row>
    <row r="9789" ht="22.5" customHeight="1">
      <c r="A9789" s="6" t="s">
        <v>26597</v>
      </c>
      <c r="B9789" s="6" t="s">
        <v>3366</v>
      </c>
      <c r="C9789" s="10">
        <v>46037.0</v>
      </c>
      <c r="D9789" s="6" t="s">
        <v>242</v>
      </c>
      <c r="E9789" s="6" t="s">
        <v>2365</v>
      </c>
      <c r="F9789" s="6" t="s">
        <v>249</v>
      </c>
      <c r="G9789" s="6" t="s">
        <v>297</v>
      </c>
      <c r="H9789" s="10">
        <v>46041.0</v>
      </c>
      <c r="I9789" s="12">
        <v>6.0</v>
      </c>
      <c r="J9789" s="6" t="s">
        <v>178</v>
      </c>
    </row>
    <row r="9790" ht="22.5" customHeight="1">
      <c r="A9790" s="6" t="s">
        <v>26598</v>
      </c>
      <c r="B9790" s="6" t="s">
        <v>3366</v>
      </c>
      <c r="C9790" s="10">
        <v>46039.0</v>
      </c>
      <c r="D9790" s="6" t="s">
        <v>312</v>
      </c>
      <c r="E9790" s="6" t="s">
        <v>1517</v>
      </c>
      <c r="F9790" s="6" t="s">
        <v>283</v>
      </c>
      <c r="G9790" s="6" t="s">
        <v>326</v>
      </c>
      <c r="H9790" s="10">
        <v>46040.0</v>
      </c>
      <c r="I9790" s="12">
        <v>7.0</v>
      </c>
      <c r="J9790" s="6" t="s">
        <v>161</v>
      </c>
    </row>
    <row r="9791" ht="22.5" customHeight="1">
      <c r="A9791" s="6" t="s">
        <v>26599</v>
      </c>
      <c r="B9791" s="6" t="s">
        <v>3366</v>
      </c>
      <c r="C9791" s="10">
        <v>46042.0</v>
      </c>
      <c r="D9791" s="6" t="s">
        <v>312</v>
      </c>
      <c r="E9791" s="6" t="s">
        <v>610</v>
      </c>
      <c r="F9791" s="6" t="s">
        <v>439</v>
      </c>
      <c r="G9791" s="6" t="s">
        <v>254</v>
      </c>
      <c r="H9791" s="10">
        <v>46043.0</v>
      </c>
      <c r="I9791" s="12">
        <v>7.0</v>
      </c>
      <c r="J9791" s="6" t="s">
        <v>161</v>
      </c>
    </row>
    <row r="9792" ht="22.5" customHeight="1">
      <c r="A9792" s="6" t="s">
        <v>26600</v>
      </c>
      <c r="B9792" s="6" t="s">
        <v>3366</v>
      </c>
      <c r="C9792" s="10">
        <v>46042.0</v>
      </c>
      <c r="D9792" s="6" t="s">
        <v>391</v>
      </c>
      <c r="E9792" s="6" t="s">
        <v>610</v>
      </c>
      <c r="F9792" s="6" t="s">
        <v>249</v>
      </c>
      <c r="G9792" s="6" t="s">
        <v>254</v>
      </c>
      <c r="H9792" s="10">
        <v>46043.0</v>
      </c>
      <c r="I9792" s="12">
        <v>10.0</v>
      </c>
      <c r="J9792" s="6" t="s">
        <v>161</v>
      </c>
    </row>
    <row r="9793" ht="22.5" customHeight="1">
      <c r="A9793" s="6" t="s">
        <v>26601</v>
      </c>
      <c r="B9793" s="6" t="s">
        <v>19767</v>
      </c>
      <c r="C9793" s="10">
        <v>46052.0</v>
      </c>
      <c r="D9793" s="6" t="s">
        <v>416</v>
      </c>
      <c r="E9793" s="6" t="s">
        <v>798</v>
      </c>
      <c r="F9793" s="6" t="s">
        <v>439</v>
      </c>
      <c r="G9793" s="6" t="s">
        <v>326</v>
      </c>
      <c r="H9793" s="10">
        <v>46058.0</v>
      </c>
      <c r="I9793" s="12">
        <v>12.0</v>
      </c>
      <c r="J9793" s="6" t="s">
        <v>161</v>
      </c>
    </row>
    <row r="9794" ht="22.5" customHeight="1">
      <c r="A9794" s="6" t="s">
        <v>26602</v>
      </c>
      <c r="B9794" s="6" t="s">
        <v>19767</v>
      </c>
      <c r="C9794" s="10">
        <v>46036.0</v>
      </c>
      <c r="D9794" s="6" t="s">
        <v>242</v>
      </c>
      <c r="E9794" s="6" t="s">
        <v>716</v>
      </c>
      <c r="F9794" s="6" t="s">
        <v>283</v>
      </c>
      <c r="G9794" s="6" t="s">
        <v>326</v>
      </c>
      <c r="H9794" s="10">
        <v>46042.0</v>
      </c>
      <c r="I9794" s="12">
        <v>3.0</v>
      </c>
      <c r="J9794" s="6" t="s">
        <v>178</v>
      </c>
    </row>
    <row r="9795" ht="22.5" customHeight="1">
      <c r="A9795" s="6" t="s">
        <v>26603</v>
      </c>
      <c r="B9795" s="6" t="s">
        <v>19767</v>
      </c>
      <c r="C9795" s="10">
        <v>46042.0</v>
      </c>
      <c r="D9795" s="6" t="s">
        <v>436</v>
      </c>
      <c r="E9795" s="6" t="s">
        <v>1149</v>
      </c>
      <c r="F9795" s="6" t="s">
        <v>249</v>
      </c>
      <c r="G9795" s="6" t="s">
        <v>297</v>
      </c>
      <c r="H9795" s="10">
        <v>46044.0</v>
      </c>
      <c r="I9795" s="12">
        <v>10.0</v>
      </c>
      <c r="J9795" s="6" t="s">
        <v>178</v>
      </c>
    </row>
    <row r="9796" ht="22.5" customHeight="1">
      <c r="A9796" s="6" t="s">
        <v>26604</v>
      </c>
      <c r="B9796" s="6" t="s">
        <v>20013</v>
      </c>
      <c r="C9796" s="10">
        <v>46054.0</v>
      </c>
      <c r="D9796" s="6" t="s">
        <v>436</v>
      </c>
      <c r="E9796" s="6" t="s">
        <v>798</v>
      </c>
      <c r="F9796" s="6" t="s">
        <v>249</v>
      </c>
      <c r="G9796" s="6" t="s">
        <v>326</v>
      </c>
      <c r="H9796" s="10">
        <v>46058.0</v>
      </c>
      <c r="I9796" s="12">
        <v>11.0</v>
      </c>
      <c r="J9796" s="6" t="s">
        <v>178</v>
      </c>
    </row>
    <row r="9797" ht="22.5" customHeight="1">
      <c r="A9797" s="6" t="s">
        <v>26605</v>
      </c>
      <c r="B9797" s="6" t="s">
        <v>20013</v>
      </c>
      <c r="C9797" s="10">
        <v>46058.0</v>
      </c>
      <c r="D9797" s="6" t="s">
        <v>416</v>
      </c>
      <c r="E9797" s="6" t="s">
        <v>704</v>
      </c>
      <c r="F9797" s="6" t="s">
        <v>249</v>
      </c>
      <c r="G9797" s="6" t="s">
        <v>477</v>
      </c>
      <c r="H9797" s="10">
        <v>46063.0</v>
      </c>
      <c r="I9797" s="12">
        <v>13.0</v>
      </c>
      <c r="J9797" s="6" t="s">
        <v>161</v>
      </c>
    </row>
    <row r="9798" ht="22.5" customHeight="1">
      <c r="A9798" s="6" t="s">
        <v>26606</v>
      </c>
      <c r="B9798" s="6" t="s">
        <v>20013</v>
      </c>
      <c r="C9798" s="10">
        <v>46046.0</v>
      </c>
      <c r="D9798" s="6" t="s">
        <v>416</v>
      </c>
      <c r="E9798" s="6" t="s">
        <v>787</v>
      </c>
      <c r="F9798" s="6" t="s">
        <v>439</v>
      </c>
      <c r="G9798" s="6" t="s">
        <v>452</v>
      </c>
      <c r="H9798" s="10">
        <v>46050.0</v>
      </c>
      <c r="I9798" s="12">
        <v>14.0</v>
      </c>
      <c r="J9798" s="6" t="s">
        <v>161</v>
      </c>
    </row>
    <row r="9799" ht="22.5" customHeight="1">
      <c r="A9799" s="6" t="s">
        <v>26607</v>
      </c>
      <c r="B9799" s="6" t="s">
        <v>20013</v>
      </c>
      <c r="C9799" s="10">
        <v>46053.0</v>
      </c>
      <c r="D9799" s="6" t="s">
        <v>242</v>
      </c>
      <c r="E9799" s="6" t="s">
        <v>798</v>
      </c>
      <c r="F9799" s="6" t="s">
        <v>283</v>
      </c>
      <c r="G9799" s="6" t="s">
        <v>369</v>
      </c>
      <c r="H9799" s="10">
        <v>46060.0</v>
      </c>
      <c r="I9799" s="12">
        <v>6.0</v>
      </c>
      <c r="J9799" s="6" t="s">
        <v>178</v>
      </c>
    </row>
    <row r="9800" ht="22.5" customHeight="1">
      <c r="A9800" s="6" t="s">
        <v>26608</v>
      </c>
      <c r="B9800" s="6" t="s">
        <v>8735</v>
      </c>
      <c r="C9800" s="10">
        <v>46066.0</v>
      </c>
      <c r="D9800" s="6" t="s">
        <v>312</v>
      </c>
      <c r="E9800" s="6" t="s">
        <v>658</v>
      </c>
      <c r="F9800" s="6" t="s">
        <v>283</v>
      </c>
      <c r="G9800" s="6" t="s">
        <v>494</v>
      </c>
      <c r="H9800" s="11" t="s">
        <v>259</v>
      </c>
      <c r="I9800" s="12">
        <v>6.0</v>
      </c>
      <c r="J9800" s="6" t="s">
        <v>161</v>
      </c>
    </row>
    <row r="9801" ht="22.5" customHeight="1">
      <c r="A9801" s="6" t="s">
        <v>26609</v>
      </c>
      <c r="B9801" s="6" t="s">
        <v>8735</v>
      </c>
      <c r="C9801" s="10">
        <v>46056.0</v>
      </c>
      <c r="D9801" s="6" t="s">
        <v>436</v>
      </c>
      <c r="E9801" s="6" t="s">
        <v>1310</v>
      </c>
      <c r="F9801" s="6" t="s">
        <v>249</v>
      </c>
      <c r="G9801" s="6" t="s">
        <v>369</v>
      </c>
      <c r="H9801" s="10">
        <v>46063.0</v>
      </c>
      <c r="I9801" s="12">
        <v>12.0</v>
      </c>
      <c r="J9801" s="6" t="s">
        <v>178</v>
      </c>
    </row>
    <row r="9802" ht="22.5" customHeight="1">
      <c r="A9802" s="6" t="s">
        <v>26610</v>
      </c>
      <c r="B9802" s="6" t="s">
        <v>8735</v>
      </c>
      <c r="C9802" s="10">
        <v>46054.0</v>
      </c>
      <c r="D9802" s="6" t="s">
        <v>416</v>
      </c>
      <c r="E9802" s="6" t="s">
        <v>1517</v>
      </c>
      <c r="F9802" s="6" t="s">
        <v>112</v>
      </c>
      <c r="G9802" s="6" t="s">
        <v>326</v>
      </c>
      <c r="H9802" s="10">
        <v>46054.0</v>
      </c>
      <c r="I9802" s="12">
        <v>14.0</v>
      </c>
      <c r="J9802" s="6" t="s">
        <v>161</v>
      </c>
    </row>
    <row r="9803" ht="22.5" customHeight="1">
      <c r="A9803" s="6" t="s">
        <v>26611</v>
      </c>
      <c r="B9803" s="6" t="s">
        <v>8735</v>
      </c>
      <c r="C9803" s="10">
        <v>46053.0</v>
      </c>
      <c r="D9803" s="6" t="s">
        <v>677</v>
      </c>
      <c r="E9803" s="6" t="s">
        <v>417</v>
      </c>
      <c r="F9803" s="6" t="s">
        <v>249</v>
      </c>
      <c r="G9803" s="6" t="s">
        <v>369</v>
      </c>
      <c r="H9803" s="10">
        <v>46054.0</v>
      </c>
      <c r="I9803" s="12">
        <v>3.0</v>
      </c>
      <c r="J9803" s="6" t="s">
        <v>161</v>
      </c>
    </row>
    <row r="9804" ht="22.5" customHeight="1">
      <c r="A9804" s="6" t="s">
        <v>26612</v>
      </c>
      <c r="B9804" s="6" t="s">
        <v>6421</v>
      </c>
      <c r="C9804" s="10">
        <v>46034.0</v>
      </c>
      <c r="D9804" s="6" t="s">
        <v>436</v>
      </c>
      <c r="E9804" s="6" t="s">
        <v>320</v>
      </c>
      <c r="F9804" s="6" t="s">
        <v>439</v>
      </c>
      <c r="G9804" s="6" t="s">
        <v>458</v>
      </c>
      <c r="H9804" s="10">
        <v>46034.0</v>
      </c>
      <c r="I9804" s="12">
        <v>6.0</v>
      </c>
      <c r="J9804" s="6" t="s">
        <v>178</v>
      </c>
    </row>
    <row r="9805" ht="22.5" customHeight="1">
      <c r="A9805" s="6" t="s">
        <v>26613</v>
      </c>
      <c r="B9805" s="6" t="s">
        <v>6421</v>
      </c>
      <c r="C9805" s="10">
        <v>46041.0</v>
      </c>
      <c r="D9805" s="6" t="s">
        <v>391</v>
      </c>
      <c r="E9805" s="6" t="s">
        <v>833</v>
      </c>
      <c r="F9805" s="6" t="s">
        <v>249</v>
      </c>
      <c r="G9805" s="6" t="s">
        <v>369</v>
      </c>
      <c r="H9805" s="10">
        <v>46045.0</v>
      </c>
      <c r="I9805" s="12">
        <v>8.0</v>
      </c>
      <c r="J9805" s="6" t="s">
        <v>161</v>
      </c>
    </row>
    <row r="9806" ht="22.5" customHeight="1">
      <c r="A9806" s="6" t="s">
        <v>26614</v>
      </c>
      <c r="B9806" s="6" t="s">
        <v>6421</v>
      </c>
      <c r="C9806" s="10">
        <v>46039.0</v>
      </c>
      <c r="D9806" s="6" t="s">
        <v>289</v>
      </c>
      <c r="E9806" s="6" t="s">
        <v>1600</v>
      </c>
      <c r="F9806" s="6" t="s">
        <v>283</v>
      </c>
      <c r="G9806" s="6" t="s">
        <v>458</v>
      </c>
      <c r="H9806" s="10">
        <v>46042.0</v>
      </c>
      <c r="I9806" s="12">
        <v>6.0</v>
      </c>
      <c r="J9806" s="6" t="s">
        <v>161</v>
      </c>
    </row>
    <row r="9807" ht="22.5" customHeight="1">
      <c r="A9807" s="6" t="s">
        <v>26615</v>
      </c>
      <c r="B9807" s="6" t="s">
        <v>6421</v>
      </c>
      <c r="C9807" s="10">
        <v>46051.0</v>
      </c>
      <c r="D9807" s="6" t="s">
        <v>312</v>
      </c>
      <c r="E9807" s="6" t="s">
        <v>738</v>
      </c>
      <c r="F9807" s="6" t="s">
        <v>283</v>
      </c>
      <c r="G9807" s="6" t="s">
        <v>254</v>
      </c>
      <c r="H9807" s="10">
        <v>46058.0</v>
      </c>
      <c r="I9807" s="12">
        <v>4.0</v>
      </c>
      <c r="J9807" s="6" t="s">
        <v>161</v>
      </c>
    </row>
    <row r="9808" ht="22.5" customHeight="1">
      <c r="A9808" s="6" t="s">
        <v>26616</v>
      </c>
      <c r="B9808" s="6" t="s">
        <v>12274</v>
      </c>
      <c r="C9808" s="10">
        <v>46035.0</v>
      </c>
      <c r="D9808" s="6" t="s">
        <v>677</v>
      </c>
      <c r="E9808" s="6" t="s">
        <v>1149</v>
      </c>
      <c r="F9808" s="6" t="s">
        <v>439</v>
      </c>
      <c r="G9808" s="6" t="s">
        <v>494</v>
      </c>
      <c r="H9808" s="10">
        <v>46042.0</v>
      </c>
      <c r="I9808" s="12">
        <v>4.0</v>
      </c>
      <c r="J9808" s="6" t="s">
        <v>161</v>
      </c>
    </row>
    <row r="9809" ht="22.5" customHeight="1">
      <c r="A9809" s="6" t="s">
        <v>26617</v>
      </c>
      <c r="B9809" s="6" t="s">
        <v>12274</v>
      </c>
      <c r="C9809" s="10">
        <v>46039.0</v>
      </c>
      <c r="D9809" s="6" t="s">
        <v>416</v>
      </c>
      <c r="E9809" s="6" t="s">
        <v>863</v>
      </c>
      <c r="F9809" s="6" t="s">
        <v>283</v>
      </c>
      <c r="G9809" s="6" t="s">
        <v>452</v>
      </c>
      <c r="H9809" s="10">
        <v>46043.0</v>
      </c>
      <c r="I9809" s="12">
        <v>11.0</v>
      </c>
      <c r="J9809" s="6" t="s">
        <v>161</v>
      </c>
    </row>
    <row r="9810" ht="22.5" customHeight="1">
      <c r="A9810" s="6" t="s">
        <v>26618</v>
      </c>
      <c r="B9810" s="6" t="s">
        <v>12274</v>
      </c>
      <c r="C9810" s="10">
        <v>46048.0</v>
      </c>
      <c r="D9810" s="6" t="s">
        <v>312</v>
      </c>
      <c r="E9810" s="6" t="s">
        <v>583</v>
      </c>
      <c r="F9810" s="6" t="s">
        <v>283</v>
      </c>
      <c r="G9810" s="6" t="s">
        <v>452</v>
      </c>
      <c r="H9810" s="10">
        <v>46054.0</v>
      </c>
      <c r="I9810" s="12">
        <v>4.0</v>
      </c>
      <c r="J9810" s="6" t="s">
        <v>161</v>
      </c>
    </row>
    <row r="9811" ht="22.5" customHeight="1">
      <c r="A9811" s="6" t="s">
        <v>19349</v>
      </c>
      <c r="B9811" s="6" t="s">
        <v>9661</v>
      </c>
      <c r="C9811" s="10">
        <v>46064.0</v>
      </c>
      <c r="D9811" s="6" t="s">
        <v>242</v>
      </c>
      <c r="E9811" s="6" t="s">
        <v>670</v>
      </c>
      <c r="F9811" s="6" t="s">
        <v>112</v>
      </c>
      <c r="G9811" s="6" t="s">
        <v>254</v>
      </c>
      <c r="H9811" s="10">
        <v>46068.0</v>
      </c>
      <c r="I9811" s="12">
        <v>6.0</v>
      </c>
      <c r="J9811" s="6" t="s">
        <v>178</v>
      </c>
    </row>
    <row r="9812" ht="22.5" customHeight="1">
      <c r="A9812" s="6" t="s">
        <v>11804</v>
      </c>
      <c r="B9812" s="6" t="s">
        <v>6040</v>
      </c>
      <c r="C9812" s="10">
        <v>46076.0</v>
      </c>
      <c r="D9812" s="6" t="s">
        <v>416</v>
      </c>
      <c r="E9812" s="6" t="s">
        <v>704</v>
      </c>
      <c r="F9812" s="6" t="s">
        <v>439</v>
      </c>
      <c r="G9812" s="6" t="s">
        <v>254</v>
      </c>
      <c r="H9812" s="10">
        <v>46083.0</v>
      </c>
      <c r="I9812" s="12">
        <v>8.0</v>
      </c>
      <c r="J9812" s="6" t="s">
        <v>161</v>
      </c>
    </row>
    <row r="9813" ht="22.5" customHeight="1">
      <c r="A9813" s="6" t="s">
        <v>12117</v>
      </c>
      <c r="B9813" s="6" t="s">
        <v>6144</v>
      </c>
      <c r="C9813" s="10">
        <v>46058.0</v>
      </c>
      <c r="D9813" s="6" t="s">
        <v>242</v>
      </c>
      <c r="E9813" s="6" t="s">
        <v>1969</v>
      </c>
      <c r="F9813" s="6" t="s">
        <v>439</v>
      </c>
      <c r="G9813" s="6" t="s">
        <v>326</v>
      </c>
      <c r="H9813" s="10">
        <v>46061.0</v>
      </c>
      <c r="I9813" s="12">
        <v>6.0</v>
      </c>
      <c r="J9813" s="6" t="s">
        <v>178</v>
      </c>
    </row>
    <row r="9814" ht="22.5" customHeight="1">
      <c r="A9814" s="6" t="s">
        <v>20749</v>
      </c>
      <c r="B9814" s="6" t="s">
        <v>10398</v>
      </c>
      <c r="C9814" s="10">
        <v>46038.0</v>
      </c>
      <c r="D9814" s="6" t="s">
        <v>242</v>
      </c>
      <c r="E9814" s="6" t="s">
        <v>1296</v>
      </c>
      <c r="F9814" s="6" t="s">
        <v>439</v>
      </c>
      <c r="G9814" s="6" t="s">
        <v>297</v>
      </c>
      <c r="H9814" s="10">
        <v>46044.0</v>
      </c>
      <c r="I9814" s="12">
        <v>6.0</v>
      </c>
      <c r="J9814" s="6" t="s">
        <v>178</v>
      </c>
    </row>
    <row r="9815" ht="22.5" customHeight="1">
      <c r="A9815" s="6" t="s">
        <v>25750</v>
      </c>
      <c r="B9815" s="6" t="s">
        <v>19755</v>
      </c>
      <c r="C9815" s="10">
        <v>46076.0</v>
      </c>
      <c r="D9815" s="6" t="s">
        <v>677</v>
      </c>
      <c r="E9815" s="6" t="s">
        <v>1720</v>
      </c>
      <c r="F9815" s="6" t="s">
        <v>249</v>
      </c>
      <c r="G9815" s="6" t="s">
        <v>369</v>
      </c>
      <c r="H9815" s="10">
        <v>46077.0</v>
      </c>
      <c r="I9815" s="12">
        <v>4.0</v>
      </c>
      <c r="J9815" s="6" t="s">
        <v>161</v>
      </c>
    </row>
    <row r="9816" ht="22.5" customHeight="1">
      <c r="A9816" s="6" t="s">
        <v>24760</v>
      </c>
      <c r="B9816" s="6" t="s">
        <v>17649</v>
      </c>
      <c r="C9816" s="10">
        <v>46058.0</v>
      </c>
      <c r="D9816" s="6" t="s">
        <v>436</v>
      </c>
      <c r="E9816" s="6" t="s">
        <v>687</v>
      </c>
      <c r="F9816" s="6" t="s">
        <v>249</v>
      </c>
      <c r="G9816" s="6" t="s">
        <v>477</v>
      </c>
      <c r="H9816" s="10">
        <v>46065.0</v>
      </c>
      <c r="I9816" s="12">
        <v>11.0</v>
      </c>
      <c r="J9816" s="6" t="s">
        <v>178</v>
      </c>
    </row>
    <row r="9817" ht="22.5" customHeight="1">
      <c r="A9817" s="6" t="s">
        <v>26177</v>
      </c>
      <c r="B9817" s="6" t="s">
        <v>20681</v>
      </c>
      <c r="C9817" s="10">
        <v>46064.0</v>
      </c>
      <c r="D9817" s="6" t="s">
        <v>312</v>
      </c>
      <c r="E9817" s="6" t="s">
        <v>1310</v>
      </c>
      <c r="F9817" s="6" t="s">
        <v>283</v>
      </c>
      <c r="G9817" s="6" t="s">
        <v>369</v>
      </c>
      <c r="H9817" s="10">
        <v>46068.0</v>
      </c>
      <c r="I9817" s="12">
        <v>5.0</v>
      </c>
      <c r="J9817" s="6" t="s">
        <v>161</v>
      </c>
    </row>
    <row r="9818" ht="22.5" customHeight="1">
      <c r="A9818" s="6" t="s">
        <v>19651</v>
      </c>
      <c r="B9818" s="6" t="s">
        <v>9828</v>
      </c>
      <c r="C9818" s="10">
        <v>46048.0</v>
      </c>
      <c r="D9818" s="6" t="s">
        <v>416</v>
      </c>
      <c r="E9818" s="6" t="s">
        <v>1055</v>
      </c>
      <c r="F9818" s="6" t="s">
        <v>249</v>
      </c>
      <c r="G9818" s="6" t="s">
        <v>254</v>
      </c>
      <c r="H9818" s="10">
        <v>46050.0</v>
      </c>
      <c r="I9818" s="12">
        <v>14.0</v>
      </c>
      <c r="J9818" s="6" t="s">
        <v>161</v>
      </c>
    </row>
    <row r="9819" ht="22.5" customHeight="1">
      <c r="A9819" s="6" t="s">
        <v>24935</v>
      </c>
      <c r="B9819" s="6" t="s">
        <v>18023</v>
      </c>
      <c r="C9819" s="10">
        <v>46038.0</v>
      </c>
      <c r="D9819" s="6" t="s">
        <v>391</v>
      </c>
      <c r="E9819" s="6" t="s">
        <v>1035</v>
      </c>
      <c r="F9819" s="6" t="s">
        <v>112</v>
      </c>
      <c r="G9819" s="6" t="s">
        <v>452</v>
      </c>
      <c r="H9819" s="10">
        <v>46044.0</v>
      </c>
      <c r="I9819" s="12">
        <v>8.0</v>
      </c>
      <c r="J9819" s="6" t="s">
        <v>161</v>
      </c>
    </row>
    <row r="9820" ht="22.5" customHeight="1">
      <c r="A9820" s="6" t="s">
        <v>26001</v>
      </c>
      <c r="B9820" s="6" t="s">
        <v>20284</v>
      </c>
      <c r="C9820" s="10">
        <v>46068.0</v>
      </c>
      <c r="D9820" s="6" t="s">
        <v>436</v>
      </c>
      <c r="E9820" s="6" t="s">
        <v>475</v>
      </c>
      <c r="F9820" s="6" t="s">
        <v>439</v>
      </c>
      <c r="G9820" s="6" t="s">
        <v>477</v>
      </c>
      <c r="H9820" s="10">
        <v>46071.0</v>
      </c>
      <c r="I9820" s="12">
        <v>6.0</v>
      </c>
      <c r="J9820" s="6" t="s">
        <v>161</v>
      </c>
    </row>
    <row r="9821" ht="22.5" customHeight="1">
      <c r="A9821" s="6" t="s">
        <v>15084</v>
      </c>
      <c r="B9821" s="6" t="s">
        <v>7497</v>
      </c>
      <c r="C9821" s="10">
        <v>46048.0</v>
      </c>
      <c r="D9821" s="6" t="s">
        <v>677</v>
      </c>
      <c r="E9821" s="6" t="s">
        <v>583</v>
      </c>
      <c r="F9821" s="6" t="s">
        <v>249</v>
      </c>
      <c r="G9821" s="6" t="s">
        <v>458</v>
      </c>
      <c r="H9821" s="10">
        <v>46048.0</v>
      </c>
      <c r="I9821" s="12">
        <v>2.0</v>
      </c>
      <c r="J9821" s="6" t="s">
        <v>161</v>
      </c>
    </row>
    <row r="9822" ht="22.5" customHeight="1">
      <c r="A9822" s="6" t="s">
        <v>24752</v>
      </c>
      <c r="B9822" s="6" t="s">
        <v>17636</v>
      </c>
      <c r="C9822" s="10">
        <v>46049.0</v>
      </c>
      <c r="D9822" s="6" t="s">
        <v>289</v>
      </c>
      <c r="E9822" s="6" t="s">
        <v>1273</v>
      </c>
      <c r="F9822" s="6" t="s">
        <v>112</v>
      </c>
      <c r="G9822" s="6" t="s">
        <v>369</v>
      </c>
      <c r="H9822" s="10">
        <v>46050.0</v>
      </c>
      <c r="I9822" s="12">
        <v>9.0</v>
      </c>
      <c r="J9822" s="6" t="s">
        <v>161</v>
      </c>
    </row>
    <row r="9823" ht="22.5" customHeight="1">
      <c r="A9823" s="6" t="s">
        <v>2976</v>
      </c>
      <c r="B9823" s="6" t="s">
        <v>1860</v>
      </c>
      <c r="C9823" s="10">
        <v>46054.0</v>
      </c>
      <c r="D9823" s="6" t="s">
        <v>416</v>
      </c>
      <c r="E9823" s="6" t="s">
        <v>1700</v>
      </c>
      <c r="F9823" s="6" t="s">
        <v>283</v>
      </c>
      <c r="G9823" s="6" t="s">
        <v>326</v>
      </c>
      <c r="H9823" s="10">
        <v>46060.0</v>
      </c>
      <c r="I9823" s="12">
        <v>14.0</v>
      </c>
      <c r="J9823" s="6" t="s">
        <v>161</v>
      </c>
    </row>
    <row r="9824" ht="22.5" customHeight="1">
      <c r="A9824" s="6" t="s">
        <v>19057</v>
      </c>
      <c r="B9824" s="6" t="s">
        <v>9501</v>
      </c>
      <c r="C9824" s="10">
        <v>46069.0</v>
      </c>
      <c r="D9824" s="6" t="s">
        <v>436</v>
      </c>
      <c r="E9824" s="6" t="s">
        <v>1149</v>
      </c>
      <c r="F9824" s="6" t="s">
        <v>112</v>
      </c>
      <c r="G9824" s="6" t="s">
        <v>254</v>
      </c>
      <c r="H9824" s="10">
        <v>46070.0</v>
      </c>
      <c r="I9824" s="12">
        <v>11.0</v>
      </c>
      <c r="J9824" s="6" t="s">
        <v>178</v>
      </c>
    </row>
    <row r="9825" ht="22.5" customHeight="1">
      <c r="A9825" s="6" t="s">
        <v>25840</v>
      </c>
      <c r="B9825" s="6" t="s">
        <v>19950</v>
      </c>
      <c r="C9825" s="10">
        <v>46065.0</v>
      </c>
      <c r="D9825" s="6" t="s">
        <v>289</v>
      </c>
      <c r="E9825" s="6" t="s">
        <v>610</v>
      </c>
      <c r="F9825" s="6" t="s">
        <v>439</v>
      </c>
      <c r="G9825" s="6" t="s">
        <v>326</v>
      </c>
      <c r="H9825" s="10">
        <v>46068.0</v>
      </c>
      <c r="I9825" s="12">
        <v>8.0</v>
      </c>
      <c r="J9825" s="6" t="s">
        <v>161</v>
      </c>
    </row>
    <row r="9826" ht="22.5" customHeight="1">
      <c r="A9826" s="6" t="s">
        <v>2648</v>
      </c>
      <c r="B9826" s="6" t="s">
        <v>1704</v>
      </c>
      <c r="C9826" s="10">
        <v>46046.0</v>
      </c>
      <c r="D9826" s="6" t="s">
        <v>289</v>
      </c>
      <c r="E9826" s="6" t="s">
        <v>798</v>
      </c>
      <c r="F9826" s="6" t="s">
        <v>112</v>
      </c>
      <c r="G9826" s="6" t="s">
        <v>297</v>
      </c>
      <c r="H9826" s="10">
        <v>46050.0</v>
      </c>
      <c r="I9826" s="12">
        <v>5.0</v>
      </c>
      <c r="J9826" s="6" t="s">
        <v>161</v>
      </c>
    </row>
    <row r="9827" ht="22.5" customHeight="1">
      <c r="A9827" s="6" t="s">
        <v>21646</v>
      </c>
      <c r="B9827" s="6" t="s">
        <v>11186</v>
      </c>
      <c r="C9827" s="10">
        <v>46031.0</v>
      </c>
      <c r="D9827" s="6" t="s">
        <v>436</v>
      </c>
      <c r="E9827" s="6" t="s">
        <v>798</v>
      </c>
      <c r="F9827" s="6" t="s">
        <v>249</v>
      </c>
      <c r="G9827" s="6" t="s">
        <v>452</v>
      </c>
      <c r="H9827" s="10">
        <v>46037.0</v>
      </c>
      <c r="I9827" s="12">
        <v>6.0</v>
      </c>
      <c r="J9827" s="6" t="s">
        <v>178</v>
      </c>
    </row>
    <row r="9828" ht="22.5" customHeight="1">
      <c r="A9828" s="6" t="s">
        <v>9811</v>
      </c>
      <c r="B9828" s="6" t="s">
        <v>5037</v>
      </c>
      <c r="C9828" s="10">
        <v>46052.0</v>
      </c>
      <c r="D9828" s="6" t="s">
        <v>289</v>
      </c>
      <c r="E9828" s="6" t="s">
        <v>466</v>
      </c>
      <c r="F9828" s="6" t="s">
        <v>249</v>
      </c>
      <c r="G9828" s="6" t="s">
        <v>494</v>
      </c>
      <c r="H9828" s="10">
        <v>46056.0</v>
      </c>
      <c r="I9828" s="12">
        <v>9.0</v>
      </c>
      <c r="J9828" s="6" t="s">
        <v>161</v>
      </c>
    </row>
    <row r="9829" ht="22.5" customHeight="1">
      <c r="A9829" s="6" t="s">
        <v>22174</v>
      </c>
      <c r="B9829" s="6" t="s">
        <v>12293</v>
      </c>
      <c r="C9829" s="10">
        <v>46031.0</v>
      </c>
      <c r="D9829" s="6" t="s">
        <v>312</v>
      </c>
      <c r="E9829" s="6" t="s">
        <v>896</v>
      </c>
      <c r="F9829" s="6" t="s">
        <v>283</v>
      </c>
      <c r="G9829" s="6" t="s">
        <v>369</v>
      </c>
      <c r="H9829" s="11" t="s">
        <v>259</v>
      </c>
      <c r="I9829" s="12">
        <v>5.0</v>
      </c>
      <c r="J9829" s="6" t="s">
        <v>161</v>
      </c>
    </row>
    <row r="9830" ht="22.5" customHeight="1">
      <c r="A9830" s="6" t="s">
        <v>10117</v>
      </c>
      <c r="B9830" s="6" t="s">
        <v>5162</v>
      </c>
      <c r="C9830" s="10">
        <v>46068.0</v>
      </c>
      <c r="D9830" s="6" t="s">
        <v>289</v>
      </c>
      <c r="E9830" s="6" t="s">
        <v>417</v>
      </c>
      <c r="F9830" s="6" t="s">
        <v>249</v>
      </c>
      <c r="G9830" s="6" t="s">
        <v>452</v>
      </c>
      <c r="H9830" s="10">
        <v>46068.0</v>
      </c>
      <c r="I9830" s="12">
        <v>6.0</v>
      </c>
      <c r="J9830" s="6" t="s">
        <v>161</v>
      </c>
    </row>
    <row r="9831" ht="22.5" customHeight="1">
      <c r="A9831" s="6" t="s">
        <v>8929</v>
      </c>
      <c r="B9831" s="6" t="s">
        <v>4594</v>
      </c>
      <c r="C9831" s="10">
        <v>46052.0</v>
      </c>
      <c r="D9831" s="6" t="s">
        <v>677</v>
      </c>
      <c r="E9831" s="6" t="s">
        <v>787</v>
      </c>
      <c r="F9831" s="6" t="s">
        <v>112</v>
      </c>
      <c r="G9831" s="6" t="s">
        <v>254</v>
      </c>
      <c r="H9831" s="10">
        <v>46057.0</v>
      </c>
      <c r="I9831" s="12">
        <v>4.0</v>
      </c>
      <c r="J9831" s="6" t="s">
        <v>161</v>
      </c>
    </row>
    <row r="9832" ht="22.5" customHeight="1">
      <c r="A9832" s="6" t="s">
        <v>23577</v>
      </c>
      <c r="B9832" s="6" t="s">
        <v>15181</v>
      </c>
      <c r="C9832" s="10">
        <v>46082.0</v>
      </c>
      <c r="D9832" s="6" t="s">
        <v>289</v>
      </c>
      <c r="E9832" s="6" t="s">
        <v>618</v>
      </c>
      <c r="F9832" s="6" t="s">
        <v>112</v>
      </c>
      <c r="G9832" s="6" t="s">
        <v>254</v>
      </c>
      <c r="H9832" s="10">
        <v>46085.0</v>
      </c>
      <c r="I9832" s="12">
        <v>9.0</v>
      </c>
      <c r="J9832" s="6" t="s">
        <v>161</v>
      </c>
    </row>
    <row r="9833" ht="22.5" customHeight="1">
      <c r="A9833" s="6" t="s">
        <v>25766</v>
      </c>
      <c r="B9833" s="6" t="s">
        <v>19780</v>
      </c>
      <c r="C9833" s="10">
        <v>46073.0</v>
      </c>
      <c r="D9833" s="6" t="s">
        <v>242</v>
      </c>
      <c r="E9833" s="6" t="s">
        <v>1273</v>
      </c>
      <c r="F9833" s="6" t="s">
        <v>249</v>
      </c>
      <c r="G9833" s="6" t="s">
        <v>254</v>
      </c>
      <c r="H9833" s="10">
        <v>46078.0</v>
      </c>
      <c r="I9833" s="12">
        <v>6.0</v>
      </c>
      <c r="J9833" s="6" t="s">
        <v>178</v>
      </c>
    </row>
    <row r="9834" ht="22.5" customHeight="1">
      <c r="A9834" s="6" t="s">
        <v>23930</v>
      </c>
      <c r="B9834" s="6" t="s">
        <v>15985</v>
      </c>
      <c r="C9834" s="10">
        <v>46051.0</v>
      </c>
      <c r="D9834" s="6" t="s">
        <v>312</v>
      </c>
      <c r="E9834" s="6" t="s">
        <v>1969</v>
      </c>
      <c r="F9834" s="6" t="s">
        <v>439</v>
      </c>
      <c r="G9834" s="6" t="s">
        <v>458</v>
      </c>
      <c r="H9834" s="10">
        <v>46057.0</v>
      </c>
      <c r="I9834" s="12">
        <v>7.0</v>
      </c>
      <c r="J9834" s="6" t="s">
        <v>161</v>
      </c>
    </row>
    <row r="9835" ht="22.5" customHeight="1">
      <c r="A9835" s="6" t="s">
        <v>22628</v>
      </c>
      <c r="B9835" s="6" t="s">
        <v>13212</v>
      </c>
      <c r="C9835" s="10">
        <v>46055.0</v>
      </c>
      <c r="D9835" s="6" t="s">
        <v>391</v>
      </c>
      <c r="E9835" s="6" t="s">
        <v>738</v>
      </c>
      <c r="F9835" s="6" t="s">
        <v>249</v>
      </c>
      <c r="G9835" s="6" t="s">
        <v>477</v>
      </c>
      <c r="H9835" s="10">
        <v>46061.0</v>
      </c>
      <c r="I9835" s="12">
        <v>11.0</v>
      </c>
      <c r="J9835" s="6" t="s">
        <v>161</v>
      </c>
    </row>
    <row r="9836" ht="22.5" customHeight="1">
      <c r="A9836" s="6" t="s">
        <v>17221</v>
      </c>
      <c r="B9836" s="6" t="s">
        <v>8608</v>
      </c>
      <c r="C9836" s="10">
        <v>46050.0</v>
      </c>
      <c r="D9836" s="6" t="s">
        <v>289</v>
      </c>
      <c r="E9836" s="6" t="s">
        <v>1102</v>
      </c>
      <c r="F9836" s="6" t="s">
        <v>439</v>
      </c>
      <c r="G9836" s="6" t="s">
        <v>477</v>
      </c>
      <c r="H9836" s="10">
        <v>46050.0</v>
      </c>
      <c r="I9836" s="12">
        <v>9.0</v>
      </c>
      <c r="J9836" s="6" t="s">
        <v>161</v>
      </c>
    </row>
    <row r="9837" ht="22.5" customHeight="1">
      <c r="A9837" s="6" t="s">
        <v>25432</v>
      </c>
      <c r="B9837" s="6" t="s">
        <v>19070</v>
      </c>
      <c r="C9837" s="10">
        <v>46051.0</v>
      </c>
      <c r="D9837" s="6" t="s">
        <v>289</v>
      </c>
      <c r="E9837" s="6" t="s">
        <v>1149</v>
      </c>
      <c r="F9837" s="6" t="s">
        <v>112</v>
      </c>
      <c r="G9837" s="6" t="s">
        <v>297</v>
      </c>
      <c r="H9837" s="10">
        <v>46052.0</v>
      </c>
      <c r="I9837" s="12">
        <v>5.0</v>
      </c>
      <c r="J9837" s="6" t="s">
        <v>161</v>
      </c>
    </row>
    <row r="9838" ht="22.5" customHeight="1">
      <c r="A9838" s="6" t="s">
        <v>24786</v>
      </c>
      <c r="B9838" s="6" t="s">
        <v>17695</v>
      </c>
      <c r="C9838" s="10">
        <v>46055.0</v>
      </c>
      <c r="D9838" s="6" t="s">
        <v>677</v>
      </c>
      <c r="E9838" s="6" t="s">
        <v>687</v>
      </c>
      <c r="F9838" s="6" t="s">
        <v>112</v>
      </c>
      <c r="G9838" s="6" t="s">
        <v>254</v>
      </c>
      <c r="H9838" s="10">
        <v>46056.0</v>
      </c>
      <c r="I9838" s="12">
        <v>4.0</v>
      </c>
      <c r="J9838" s="6" t="s">
        <v>161</v>
      </c>
    </row>
    <row r="9839" ht="22.5" customHeight="1">
      <c r="A9839" s="6" t="s">
        <v>15152</v>
      </c>
      <c r="B9839" s="6" t="s">
        <v>7535</v>
      </c>
      <c r="C9839" s="10">
        <v>46084.0</v>
      </c>
      <c r="D9839" s="6" t="s">
        <v>242</v>
      </c>
      <c r="E9839" s="6" t="s">
        <v>1700</v>
      </c>
      <c r="F9839" s="6" t="s">
        <v>112</v>
      </c>
      <c r="G9839" s="6" t="s">
        <v>326</v>
      </c>
      <c r="H9839" s="10">
        <v>46089.0</v>
      </c>
      <c r="I9839" s="12">
        <v>6.0</v>
      </c>
      <c r="J9839" s="6" t="s">
        <v>178</v>
      </c>
    </row>
    <row r="9840" ht="22.5" customHeight="1">
      <c r="A9840" s="6" t="s">
        <v>21569</v>
      </c>
      <c r="B9840" s="6" t="s">
        <v>11035</v>
      </c>
      <c r="C9840" s="10">
        <v>46053.0</v>
      </c>
      <c r="D9840" s="6" t="s">
        <v>416</v>
      </c>
      <c r="E9840" s="6" t="s">
        <v>787</v>
      </c>
      <c r="F9840" s="6" t="s">
        <v>249</v>
      </c>
      <c r="G9840" s="6" t="s">
        <v>458</v>
      </c>
      <c r="H9840" s="10">
        <v>46054.0</v>
      </c>
      <c r="I9840" s="12">
        <v>13.0</v>
      </c>
      <c r="J9840" s="6" t="s">
        <v>161</v>
      </c>
    </row>
    <row r="9841" ht="22.5" customHeight="1">
      <c r="A9841" s="6" t="s">
        <v>9296</v>
      </c>
      <c r="B9841" s="6" t="s">
        <v>4776</v>
      </c>
      <c r="C9841" s="10">
        <v>46067.0</v>
      </c>
      <c r="D9841" s="6" t="s">
        <v>312</v>
      </c>
      <c r="E9841" s="6" t="s">
        <v>863</v>
      </c>
      <c r="F9841" s="6" t="s">
        <v>112</v>
      </c>
      <c r="G9841" s="6" t="s">
        <v>369</v>
      </c>
      <c r="H9841" s="10">
        <v>46074.0</v>
      </c>
      <c r="I9841" s="12">
        <v>6.0</v>
      </c>
      <c r="J9841" s="6" t="s">
        <v>161</v>
      </c>
    </row>
    <row r="9842" ht="22.5" customHeight="1">
      <c r="A9842" s="6" t="s">
        <v>21697</v>
      </c>
      <c r="B9842" s="6" t="s">
        <v>11297</v>
      </c>
      <c r="C9842" s="10">
        <v>46055.0</v>
      </c>
      <c r="D9842" s="6" t="s">
        <v>416</v>
      </c>
      <c r="E9842" s="6" t="s">
        <v>628</v>
      </c>
      <c r="F9842" s="6" t="s">
        <v>249</v>
      </c>
      <c r="G9842" s="6" t="s">
        <v>297</v>
      </c>
      <c r="H9842" s="10">
        <v>46059.0</v>
      </c>
      <c r="I9842" s="12">
        <v>11.0</v>
      </c>
      <c r="J9842" s="6" t="s">
        <v>161</v>
      </c>
    </row>
    <row r="9843" ht="22.5" customHeight="1">
      <c r="A9843" s="6" t="s">
        <v>21904</v>
      </c>
      <c r="B9843" s="6" t="s">
        <v>11718</v>
      </c>
      <c r="C9843" s="10">
        <v>46051.0</v>
      </c>
      <c r="D9843" s="6" t="s">
        <v>416</v>
      </c>
      <c r="E9843" s="6" t="s">
        <v>1241</v>
      </c>
      <c r="F9843" s="6" t="s">
        <v>112</v>
      </c>
      <c r="G9843" s="6" t="s">
        <v>369</v>
      </c>
      <c r="H9843" s="10">
        <v>46053.0</v>
      </c>
      <c r="I9843" s="12">
        <v>14.0</v>
      </c>
      <c r="J9843" s="6" t="s">
        <v>161</v>
      </c>
    </row>
    <row r="9844" ht="22.5" customHeight="1">
      <c r="A9844" s="6" t="s">
        <v>16074</v>
      </c>
      <c r="B9844" s="6" t="s">
        <v>8095</v>
      </c>
      <c r="C9844" s="10">
        <v>46038.0</v>
      </c>
      <c r="D9844" s="6" t="s">
        <v>436</v>
      </c>
      <c r="E9844" s="6" t="s">
        <v>687</v>
      </c>
      <c r="F9844" s="6" t="s">
        <v>249</v>
      </c>
      <c r="G9844" s="6" t="s">
        <v>326</v>
      </c>
      <c r="H9844" s="11" t="s">
        <v>259</v>
      </c>
      <c r="I9844" s="12">
        <v>8.0</v>
      </c>
      <c r="J9844" s="6" t="s">
        <v>178</v>
      </c>
    </row>
    <row r="9845" ht="22.5" customHeight="1">
      <c r="A9845" s="6" t="s">
        <v>19345</v>
      </c>
      <c r="B9845" s="6" t="s">
        <v>9661</v>
      </c>
      <c r="C9845" s="10">
        <v>46075.0</v>
      </c>
      <c r="D9845" s="6" t="s">
        <v>677</v>
      </c>
      <c r="E9845" s="6" t="s">
        <v>833</v>
      </c>
      <c r="F9845" s="6" t="s">
        <v>439</v>
      </c>
      <c r="G9845" s="6" t="s">
        <v>458</v>
      </c>
      <c r="H9845" s="10">
        <v>46078.0</v>
      </c>
      <c r="I9845" s="12">
        <v>4.0</v>
      </c>
      <c r="J9845" s="6" t="s">
        <v>161</v>
      </c>
    </row>
    <row r="9846" ht="22.5" customHeight="1">
      <c r="A9846" s="6" t="s">
        <v>12879</v>
      </c>
      <c r="B9846" s="6" t="s">
        <v>6477</v>
      </c>
      <c r="C9846" s="10">
        <v>46070.0</v>
      </c>
      <c r="D9846" s="6" t="s">
        <v>391</v>
      </c>
      <c r="E9846" s="6" t="s">
        <v>1626</v>
      </c>
      <c r="F9846" s="6" t="s">
        <v>112</v>
      </c>
      <c r="G9846" s="6" t="s">
        <v>494</v>
      </c>
      <c r="H9846" s="10">
        <v>46071.0</v>
      </c>
      <c r="I9846" s="12">
        <v>11.0</v>
      </c>
      <c r="J9846" s="6" t="s">
        <v>161</v>
      </c>
    </row>
    <row r="9847" ht="22.5" customHeight="1">
      <c r="A9847" s="6" t="s">
        <v>11129</v>
      </c>
      <c r="B9847" s="6" t="s">
        <v>5673</v>
      </c>
      <c r="C9847" s="10">
        <v>46040.0</v>
      </c>
      <c r="D9847" s="6" t="s">
        <v>677</v>
      </c>
      <c r="E9847" s="6" t="s">
        <v>787</v>
      </c>
      <c r="F9847" s="6" t="s">
        <v>112</v>
      </c>
      <c r="G9847" s="6" t="s">
        <v>369</v>
      </c>
      <c r="H9847" s="10">
        <v>46046.0</v>
      </c>
      <c r="I9847" s="12">
        <v>2.0</v>
      </c>
      <c r="J9847" s="6" t="s">
        <v>161</v>
      </c>
    </row>
    <row r="9848" ht="22.5" customHeight="1">
      <c r="A9848" s="6" t="s">
        <v>25419</v>
      </c>
      <c r="B9848" s="6" t="s">
        <v>19045</v>
      </c>
      <c r="C9848" s="10">
        <v>46033.0</v>
      </c>
      <c r="D9848" s="6" t="s">
        <v>677</v>
      </c>
      <c r="E9848" s="6" t="s">
        <v>512</v>
      </c>
      <c r="F9848" s="6" t="s">
        <v>439</v>
      </c>
      <c r="G9848" s="6" t="s">
        <v>477</v>
      </c>
      <c r="H9848" s="10">
        <v>46038.0</v>
      </c>
      <c r="I9848" s="12">
        <v>2.0</v>
      </c>
      <c r="J9848" s="6" t="s">
        <v>161</v>
      </c>
    </row>
    <row r="9849" ht="22.5" customHeight="1">
      <c r="A9849" s="6" t="s">
        <v>22545</v>
      </c>
      <c r="B9849" s="6" t="s">
        <v>13056</v>
      </c>
      <c r="C9849" s="10">
        <v>46064.0</v>
      </c>
      <c r="D9849" s="6" t="s">
        <v>391</v>
      </c>
      <c r="E9849" s="6" t="s">
        <v>1700</v>
      </c>
      <c r="F9849" s="6" t="s">
        <v>249</v>
      </c>
      <c r="G9849" s="6" t="s">
        <v>254</v>
      </c>
      <c r="H9849" s="10">
        <v>46068.0</v>
      </c>
      <c r="I9849" s="12">
        <v>11.0</v>
      </c>
      <c r="J9849" s="6" t="s">
        <v>161</v>
      </c>
    </row>
    <row r="9850" ht="22.5" customHeight="1">
      <c r="A9850" s="6" t="s">
        <v>15267</v>
      </c>
      <c r="B9850" s="6" t="s">
        <v>7580</v>
      </c>
      <c r="C9850" s="10">
        <v>46074.0</v>
      </c>
      <c r="D9850" s="6" t="s">
        <v>677</v>
      </c>
      <c r="E9850" s="6" t="s">
        <v>1517</v>
      </c>
      <c r="F9850" s="6" t="s">
        <v>249</v>
      </c>
      <c r="G9850" s="6" t="s">
        <v>297</v>
      </c>
      <c r="H9850" s="10">
        <v>46076.0</v>
      </c>
      <c r="I9850" s="12">
        <v>4.0</v>
      </c>
      <c r="J9850" s="6" t="s">
        <v>161</v>
      </c>
    </row>
    <row r="9851" ht="22.5" customHeight="1">
      <c r="A9851" s="6" t="s">
        <v>22119</v>
      </c>
      <c r="B9851" s="6" t="s">
        <v>12185</v>
      </c>
      <c r="C9851" s="10">
        <v>46037.0</v>
      </c>
      <c r="D9851" s="6" t="s">
        <v>242</v>
      </c>
      <c r="E9851" s="6" t="s">
        <v>731</v>
      </c>
      <c r="F9851" s="6" t="s">
        <v>283</v>
      </c>
      <c r="G9851" s="6" t="s">
        <v>494</v>
      </c>
      <c r="H9851" s="10">
        <v>46043.0</v>
      </c>
      <c r="I9851" s="12">
        <v>4.0</v>
      </c>
      <c r="J9851" s="6" t="s">
        <v>178</v>
      </c>
    </row>
    <row r="9852" ht="22.5" customHeight="1">
      <c r="A9852" s="6" t="s">
        <v>15432</v>
      </c>
      <c r="B9852" s="6" t="s">
        <v>7688</v>
      </c>
      <c r="C9852" s="10">
        <v>46088.0</v>
      </c>
      <c r="D9852" s="6" t="s">
        <v>436</v>
      </c>
      <c r="E9852" s="6" t="s">
        <v>634</v>
      </c>
      <c r="F9852" s="6" t="s">
        <v>439</v>
      </c>
      <c r="G9852" s="6" t="s">
        <v>297</v>
      </c>
      <c r="H9852" s="10">
        <v>46092.0</v>
      </c>
      <c r="I9852" s="12">
        <v>7.0</v>
      </c>
      <c r="J9852" s="6" t="s">
        <v>161</v>
      </c>
    </row>
    <row r="9853" ht="22.5" customHeight="1">
      <c r="A9853" s="6" t="s">
        <v>23523</v>
      </c>
      <c r="B9853" s="6" t="s">
        <v>15070</v>
      </c>
      <c r="C9853" s="10">
        <v>46055.0</v>
      </c>
      <c r="D9853" s="6" t="s">
        <v>677</v>
      </c>
      <c r="E9853" s="6" t="s">
        <v>466</v>
      </c>
      <c r="F9853" s="6" t="s">
        <v>283</v>
      </c>
      <c r="G9853" s="6" t="s">
        <v>452</v>
      </c>
      <c r="H9853" s="11" t="s">
        <v>259</v>
      </c>
      <c r="I9853" s="12">
        <v>4.0</v>
      </c>
      <c r="J9853" s="6" t="s">
        <v>161</v>
      </c>
    </row>
    <row r="9854" ht="22.5" customHeight="1">
      <c r="A9854" s="6" t="s">
        <v>21390</v>
      </c>
      <c r="B9854" s="6" t="s">
        <v>10811</v>
      </c>
      <c r="C9854" s="10">
        <v>46083.0</v>
      </c>
      <c r="D9854" s="6" t="s">
        <v>391</v>
      </c>
      <c r="E9854" s="6" t="s">
        <v>1570</v>
      </c>
      <c r="F9854" s="6" t="s">
        <v>249</v>
      </c>
      <c r="G9854" s="6" t="s">
        <v>494</v>
      </c>
      <c r="H9854" s="10">
        <v>46090.0</v>
      </c>
      <c r="I9854" s="12">
        <v>10.0</v>
      </c>
      <c r="J9854" s="6" t="s">
        <v>161</v>
      </c>
    </row>
    <row r="9855" ht="22.5" customHeight="1">
      <c r="A9855" s="6" t="s">
        <v>23949</v>
      </c>
      <c r="B9855" s="6" t="s">
        <v>16009</v>
      </c>
      <c r="C9855" s="10">
        <v>46045.0</v>
      </c>
      <c r="D9855" s="6" t="s">
        <v>289</v>
      </c>
      <c r="E9855" s="6" t="s">
        <v>1273</v>
      </c>
      <c r="F9855" s="6" t="s">
        <v>283</v>
      </c>
      <c r="G9855" s="6" t="s">
        <v>254</v>
      </c>
      <c r="H9855" s="10">
        <v>46050.0</v>
      </c>
      <c r="I9855" s="12">
        <v>7.0</v>
      </c>
      <c r="J9855" s="6" t="s">
        <v>161</v>
      </c>
    </row>
    <row r="9856" ht="22.5" customHeight="1">
      <c r="A9856" s="6" t="s">
        <v>11092</v>
      </c>
      <c r="B9856" s="6" t="s">
        <v>5660</v>
      </c>
      <c r="C9856" s="10">
        <v>46063.0</v>
      </c>
      <c r="D9856" s="6" t="s">
        <v>436</v>
      </c>
      <c r="E9856" s="6" t="s">
        <v>1273</v>
      </c>
      <c r="F9856" s="6" t="s">
        <v>112</v>
      </c>
      <c r="G9856" s="6" t="s">
        <v>254</v>
      </c>
      <c r="H9856" s="10">
        <v>46065.0</v>
      </c>
      <c r="I9856" s="12">
        <v>8.0</v>
      </c>
      <c r="J9856" s="6" t="s">
        <v>178</v>
      </c>
    </row>
    <row r="9857" ht="22.5" customHeight="1">
      <c r="A9857" s="6" t="s">
        <v>25995</v>
      </c>
      <c r="B9857" s="6" t="s">
        <v>20265</v>
      </c>
      <c r="C9857" s="10">
        <v>46044.0</v>
      </c>
      <c r="D9857" s="6" t="s">
        <v>289</v>
      </c>
      <c r="E9857" s="6" t="s">
        <v>246</v>
      </c>
      <c r="F9857" s="6" t="s">
        <v>439</v>
      </c>
      <c r="G9857" s="6" t="s">
        <v>458</v>
      </c>
      <c r="H9857" s="10">
        <v>46045.0</v>
      </c>
      <c r="I9857" s="12">
        <v>5.0</v>
      </c>
      <c r="J9857" s="6" t="s">
        <v>161</v>
      </c>
    </row>
    <row r="9858" ht="22.5" customHeight="1">
      <c r="A9858" s="6" t="s">
        <v>10955</v>
      </c>
      <c r="B9858" s="6" t="s">
        <v>5573</v>
      </c>
      <c r="C9858" s="10">
        <v>46041.0</v>
      </c>
      <c r="D9858" s="6" t="s">
        <v>312</v>
      </c>
      <c r="E9858" s="6" t="s">
        <v>1310</v>
      </c>
      <c r="F9858" s="6" t="s">
        <v>283</v>
      </c>
      <c r="G9858" s="6" t="s">
        <v>297</v>
      </c>
      <c r="H9858" s="10">
        <v>46041.0</v>
      </c>
      <c r="I9858" s="12">
        <v>5.0</v>
      </c>
      <c r="J9858" s="6" t="s">
        <v>161</v>
      </c>
    </row>
    <row r="9859" ht="22.5" customHeight="1">
      <c r="A9859" s="6" t="s">
        <v>17059</v>
      </c>
      <c r="B9859" s="6" t="s">
        <v>8544</v>
      </c>
      <c r="C9859" s="10">
        <v>46045.0</v>
      </c>
      <c r="D9859" s="6" t="s">
        <v>391</v>
      </c>
      <c r="E9859" s="6" t="s">
        <v>1122</v>
      </c>
      <c r="F9859" s="6" t="s">
        <v>439</v>
      </c>
      <c r="G9859" s="6" t="s">
        <v>326</v>
      </c>
      <c r="H9859" s="10">
        <v>46046.0</v>
      </c>
      <c r="I9859" s="12">
        <v>6.0</v>
      </c>
      <c r="J9859" s="6" t="s">
        <v>161</v>
      </c>
    </row>
    <row r="9860" ht="22.5" customHeight="1">
      <c r="A9860" s="6" t="s">
        <v>8072</v>
      </c>
      <c r="B9860" s="6" t="s">
        <v>4291</v>
      </c>
      <c r="C9860" s="10">
        <v>46069.0</v>
      </c>
      <c r="D9860" s="6" t="s">
        <v>312</v>
      </c>
      <c r="E9860" s="6" t="s">
        <v>658</v>
      </c>
      <c r="F9860" s="6" t="s">
        <v>439</v>
      </c>
      <c r="G9860" s="6" t="s">
        <v>369</v>
      </c>
      <c r="H9860" s="10">
        <v>46075.0</v>
      </c>
      <c r="I9860" s="12">
        <v>7.0</v>
      </c>
      <c r="J9860" s="6" t="s">
        <v>161</v>
      </c>
    </row>
    <row r="9861" ht="22.5" customHeight="1">
      <c r="A9861" s="6" t="s">
        <v>23203</v>
      </c>
      <c r="B9861" s="6" t="s">
        <v>14419</v>
      </c>
      <c r="C9861" s="10">
        <v>46045.0</v>
      </c>
      <c r="D9861" s="6" t="s">
        <v>677</v>
      </c>
      <c r="E9861" s="6" t="s">
        <v>1035</v>
      </c>
      <c r="F9861" s="6" t="s">
        <v>283</v>
      </c>
      <c r="G9861" s="6" t="s">
        <v>369</v>
      </c>
      <c r="H9861" s="10">
        <v>46048.0</v>
      </c>
      <c r="I9861" s="12">
        <v>2.0</v>
      </c>
      <c r="J9861" s="6" t="s">
        <v>161</v>
      </c>
    </row>
    <row r="9862" ht="22.5" customHeight="1">
      <c r="A9862" s="6" t="s">
        <v>1060</v>
      </c>
      <c r="B9862" s="6" t="s">
        <v>672</v>
      </c>
      <c r="C9862" s="10">
        <v>46069.0</v>
      </c>
      <c r="D9862" s="6" t="s">
        <v>312</v>
      </c>
      <c r="E9862" s="6" t="s">
        <v>896</v>
      </c>
      <c r="F9862" s="6" t="s">
        <v>283</v>
      </c>
      <c r="G9862" s="6" t="s">
        <v>477</v>
      </c>
      <c r="H9862" s="10">
        <v>46076.0</v>
      </c>
      <c r="I9862" s="12">
        <v>4.0</v>
      </c>
      <c r="J9862" s="6" t="s">
        <v>161</v>
      </c>
    </row>
    <row r="9863" ht="22.5" customHeight="1">
      <c r="A9863" s="6" t="s">
        <v>8939</v>
      </c>
      <c r="B9863" s="6" t="s">
        <v>4594</v>
      </c>
      <c r="C9863" s="10">
        <v>46060.0</v>
      </c>
      <c r="D9863" s="6" t="s">
        <v>242</v>
      </c>
      <c r="E9863" s="6" t="s">
        <v>775</v>
      </c>
      <c r="F9863" s="6" t="s">
        <v>249</v>
      </c>
      <c r="G9863" s="6" t="s">
        <v>458</v>
      </c>
      <c r="H9863" s="10">
        <v>46060.0</v>
      </c>
      <c r="I9863" s="12">
        <v>5.0</v>
      </c>
      <c r="J9863" s="6" t="s">
        <v>178</v>
      </c>
    </row>
    <row r="9864" ht="22.5" customHeight="1">
      <c r="A9864" s="6" t="s">
        <v>12500</v>
      </c>
      <c r="B9864" s="6" t="s">
        <v>6294</v>
      </c>
      <c r="C9864" s="10">
        <v>46069.0</v>
      </c>
      <c r="D9864" s="6" t="s">
        <v>391</v>
      </c>
      <c r="E9864" s="6" t="s">
        <v>566</v>
      </c>
      <c r="F9864" s="6" t="s">
        <v>439</v>
      </c>
      <c r="G9864" s="6" t="s">
        <v>326</v>
      </c>
      <c r="H9864" s="10">
        <v>46075.0</v>
      </c>
      <c r="I9864" s="12">
        <v>10.0</v>
      </c>
      <c r="J9864" s="6" t="s">
        <v>161</v>
      </c>
    </row>
    <row r="9865" ht="22.5" customHeight="1">
      <c r="A9865" s="6" t="s">
        <v>24228</v>
      </c>
      <c r="B9865" s="6" t="s">
        <v>16560</v>
      </c>
      <c r="C9865" s="10">
        <v>46060.0</v>
      </c>
      <c r="D9865" s="6" t="s">
        <v>391</v>
      </c>
      <c r="E9865" s="6" t="s">
        <v>1035</v>
      </c>
      <c r="F9865" s="6" t="s">
        <v>249</v>
      </c>
      <c r="G9865" s="6" t="s">
        <v>369</v>
      </c>
      <c r="H9865" s="10">
        <v>46060.0</v>
      </c>
      <c r="I9865" s="12">
        <v>6.0</v>
      </c>
      <c r="J9865" s="6" t="s">
        <v>161</v>
      </c>
    </row>
    <row r="9866" ht="22.5" customHeight="1">
      <c r="A9866" s="6" t="s">
        <v>14500</v>
      </c>
      <c r="B9866" s="6" t="s">
        <v>7217</v>
      </c>
      <c r="C9866" s="10">
        <v>46055.0</v>
      </c>
      <c r="D9866" s="6" t="s">
        <v>436</v>
      </c>
      <c r="E9866" s="6" t="s">
        <v>438</v>
      </c>
      <c r="F9866" s="6" t="s">
        <v>439</v>
      </c>
      <c r="G9866" s="6" t="s">
        <v>297</v>
      </c>
      <c r="H9866" s="10">
        <v>46057.0</v>
      </c>
      <c r="I9866" s="12">
        <v>8.0</v>
      </c>
      <c r="J9866" s="6" t="s">
        <v>178</v>
      </c>
    </row>
    <row r="9867" ht="22.5" customHeight="1">
      <c r="A9867" s="6" t="s">
        <v>22105</v>
      </c>
      <c r="B9867" s="6" t="s">
        <v>12155</v>
      </c>
      <c r="C9867" s="10">
        <v>46065.0</v>
      </c>
      <c r="D9867" s="6" t="s">
        <v>677</v>
      </c>
      <c r="E9867" s="6" t="s">
        <v>787</v>
      </c>
      <c r="F9867" s="6" t="s">
        <v>439</v>
      </c>
      <c r="G9867" s="6" t="s">
        <v>452</v>
      </c>
      <c r="H9867" s="10">
        <v>46066.0</v>
      </c>
      <c r="I9867" s="12">
        <v>2.0</v>
      </c>
      <c r="J9867" s="6" t="s">
        <v>161</v>
      </c>
    </row>
    <row r="9868" ht="22.5" customHeight="1">
      <c r="A9868" s="6" t="s">
        <v>21081</v>
      </c>
      <c r="B9868" s="6" t="s">
        <v>10597</v>
      </c>
      <c r="C9868" s="10">
        <v>46028.0</v>
      </c>
      <c r="D9868" s="6" t="s">
        <v>391</v>
      </c>
      <c r="E9868" s="6" t="s">
        <v>885</v>
      </c>
      <c r="F9868" s="6" t="s">
        <v>249</v>
      </c>
      <c r="G9868" s="6" t="s">
        <v>369</v>
      </c>
      <c r="H9868" s="10">
        <v>46029.0</v>
      </c>
      <c r="I9868" s="12">
        <v>7.0</v>
      </c>
      <c r="J9868" s="6" t="s">
        <v>161</v>
      </c>
    </row>
    <row r="9869" ht="22.5" customHeight="1">
      <c r="A9869" s="6" t="s">
        <v>18026</v>
      </c>
      <c r="B9869" s="6" t="s">
        <v>8990</v>
      </c>
      <c r="C9869" s="10">
        <v>46044.0</v>
      </c>
      <c r="D9869" s="6" t="s">
        <v>242</v>
      </c>
      <c r="E9869" s="6" t="s">
        <v>738</v>
      </c>
      <c r="F9869" s="6" t="s">
        <v>249</v>
      </c>
      <c r="G9869" s="6" t="s">
        <v>458</v>
      </c>
      <c r="H9869" s="10">
        <v>46049.0</v>
      </c>
      <c r="I9869" s="12">
        <v>3.0</v>
      </c>
      <c r="J9869" s="6" t="s">
        <v>178</v>
      </c>
    </row>
    <row r="9870" ht="22.5" customHeight="1">
      <c r="A9870" s="6" t="s">
        <v>24307</v>
      </c>
      <c r="B9870" s="6" t="s">
        <v>16725</v>
      </c>
      <c r="C9870" s="10">
        <v>46061.0</v>
      </c>
      <c r="D9870" s="6" t="s">
        <v>289</v>
      </c>
      <c r="E9870" s="6" t="s">
        <v>320</v>
      </c>
      <c r="F9870" s="6" t="s">
        <v>249</v>
      </c>
      <c r="G9870" s="6" t="s">
        <v>452</v>
      </c>
      <c r="H9870" s="10">
        <v>46067.0</v>
      </c>
      <c r="I9870" s="12">
        <v>6.0</v>
      </c>
      <c r="J9870" s="6" t="s">
        <v>161</v>
      </c>
    </row>
    <row r="9871" ht="22.5" customHeight="1">
      <c r="A9871" s="6" t="s">
        <v>22290</v>
      </c>
      <c r="B9871" s="6" t="s">
        <v>12518</v>
      </c>
      <c r="C9871" s="10">
        <v>46073.0</v>
      </c>
      <c r="D9871" s="6" t="s">
        <v>436</v>
      </c>
      <c r="E9871" s="6" t="s">
        <v>2881</v>
      </c>
      <c r="F9871" s="6" t="s">
        <v>283</v>
      </c>
      <c r="G9871" s="6" t="s">
        <v>494</v>
      </c>
      <c r="H9871" s="10">
        <v>46076.0</v>
      </c>
      <c r="I9871" s="12">
        <v>9.0</v>
      </c>
      <c r="J9871" s="6" t="s">
        <v>178</v>
      </c>
    </row>
    <row r="9872" ht="22.5" customHeight="1">
      <c r="A9872" s="6" t="s">
        <v>4256</v>
      </c>
      <c r="B9872" s="6" t="s">
        <v>2475</v>
      </c>
      <c r="C9872" s="10">
        <v>46060.0</v>
      </c>
      <c r="D9872" s="6" t="s">
        <v>312</v>
      </c>
      <c r="E9872" s="6" t="s">
        <v>2365</v>
      </c>
      <c r="F9872" s="6" t="s">
        <v>439</v>
      </c>
      <c r="G9872" s="6" t="s">
        <v>477</v>
      </c>
      <c r="H9872" s="10">
        <v>46063.0</v>
      </c>
      <c r="I9872" s="12">
        <v>5.0</v>
      </c>
      <c r="J9872" s="6" t="s">
        <v>161</v>
      </c>
    </row>
    <row r="9873" ht="22.5" customHeight="1">
      <c r="A9873" s="6" t="s">
        <v>6462</v>
      </c>
      <c r="B9873" s="6" t="s">
        <v>3572</v>
      </c>
      <c r="C9873" s="10">
        <v>46065.0</v>
      </c>
      <c r="D9873" s="6" t="s">
        <v>312</v>
      </c>
      <c r="E9873" s="6" t="s">
        <v>738</v>
      </c>
      <c r="F9873" s="6" t="s">
        <v>283</v>
      </c>
      <c r="G9873" s="6" t="s">
        <v>452</v>
      </c>
      <c r="H9873" s="10">
        <v>46069.0</v>
      </c>
      <c r="I9873" s="12">
        <v>5.0</v>
      </c>
      <c r="J9873" s="6" t="s">
        <v>161</v>
      </c>
    </row>
    <row r="9874" ht="22.5" customHeight="1">
      <c r="A9874" s="6" t="s">
        <v>22549</v>
      </c>
      <c r="B9874" s="6" t="s">
        <v>13062</v>
      </c>
      <c r="C9874" s="10">
        <v>46061.0</v>
      </c>
      <c r="D9874" s="6" t="s">
        <v>677</v>
      </c>
      <c r="E9874" s="6" t="s">
        <v>1149</v>
      </c>
      <c r="F9874" s="6" t="s">
        <v>249</v>
      </c>
      <c r="G9874" s="6" t="s">
        <v>254</v>
      </c>
      <c r="H9874" s="10">
        <v>46065.0</v>
      </c>
      <c r="I9874" s="12">
        <v>2.0</v>
      </c>
      <c r="J9874" s="6" t="s">
        <v>161</v>
      </c>
    </row>
    <row r="9875" ht="22.5" customHeight="1">
      <c r="A9875" s="6" t="s">
        <v>26518</v>
      </c>
      <c r="B9875" s="6" t="s">
        <v>21515</v>
      </c>
      <c r="C9875" s="10">
        <v>46065.0</v>
      </c>
      <c r="D9875" s="6" t="s">
        <v>242</v>
      </c>
      <c r="E9875" s="6" t="s">
        <v>1122</v>
      </c>
      <c r="F9875" s="6" t="s">
        <v>112</v>
      </c>
      <c r="G9875" s="6" t="s">
        <v>494</v>
      </c>
      <c r="H9875" s="11" t="s">
        <v>259</v>
      </c>
      <c r="I9875" s="12">
        <v>4.0</v>
      </c>
      <c r="J9875" s="6" t="s">
        <v>178</v>
      </c>
    </row>
    <row r="9876" ht="22.5" customHeight="1">
      <c r="A9876" s="6" t="s">
        <v>8365</v>
      </c>
      <c r="B9876" s="6" t="s">
        <v>4414</v>
      </c>
      <c r="C9876" s="10">
        <v>46071.0</v>
      </c>
      <c r="D9876" s="6" t="s">
        <v>677</v>
      </c>
      <c r="E9876" s="6" t="s">
        <v>417</v>
      </c>
      <c r="F9876" s="6" t="s">
        <v>112</v>
      </c>
      <c r="G9876" s="6" t="s">
        <v>452</v>
      </c>
      <c r="H9876" s="11" t="s">
        <v>259</v>
      </c>
      <c r="I9876" s="12">
        <v>4.0</v>
      </c>
      <c r="J9876" s="6" t="s">
        <v>161</v>
      </c>
    </row>
    <row r="9877" ht="22.5" customHeight="1">
      <c r="A9877" s="6" t="s">
        <v>19820</v>
      </c>
      <c r="B9877" s="6" t="s">
        <v>9905</v>
      </c>
      <c r="C9877" s="10">
        <v>46056.0</v>
      </c>
      <c r="D9877" s="6" t="s">
        <v>416</v>
      </c>
      <c r="E9877" s="6" t="s">
        <v>833</v>
      </c>
      <c r="F9877" s="6" t="s">
        <v>283</v>
      </c>
      <c r="G9877" s="6" t="s">
        <v>326</v>
      </c>
      <c r="H9877" s="10">
        <v>46060.0</v>
      </c>
      <c r="I9877" s="12">
        <v>11.0</v>
      </c>
      <c r="J9877" s="6" t="s">
        <v>161</v>
      </c>
    </row>
    <row r="9878" ht="22.5" customHeight="1">
      <c r="A9878" s="6" t="s">
        <v>24127</v>
      </c>
      <c r="B9878" s="6" t="s">
        <v>16354</v>
      </c>
      <c r="C9878" s="10">
        <v>46052.0</v>
      </c>
      <c r="D9878" s="6" t="s">
        <v>436</v>
      </c>
      <c r="E9878" s="6" t="s">
        <v>1035</v>
      </c>
      <c r="F9878" s="6" t="s">
        <v>439</v>
      </c>
      <c r="G9878" s="6" t="s">
        <v>254</v>
      </c>
      <c r="H9878" s="10">
        <v>46056.0</v>
      </c>
      <c r="I9878" s="12">
        <v>8.0</v>
      </c>
      <c r="J9878" s="6" t="s">
        <v>178</v>
      </c>
    </row>
    <row r="9879" ht="22.5" customHeight="1">
      <c r="A9879" s="6" t="s">
        <v>6673</v>
      </c>
      <c r="B9879" s="6" t="s">
        <v>3656</v>
      </c>
      <c r="C9879" s="10">
        <v>46058.0</v>
      </c>
      <c r="D9879" s="6" t="s">
        <v>289</v>
      </c>
      <c r="E9879" s="6" t="s">
        <v>716</v>
      </c>
      <c r="F9879" s="6" t="s">
        <v>249</v>
      </c>
      <c r="G9879" s="6" t="s">
        <v>452</v>
      </c>
      <c r="H9879" s="10">
        <v>46060.0</v>
      </c>
      <c r="I9879" s="12">
        <v>5.0</v>
      </c>
      <c r="J9879" s="6" t="s">
        <v>161</v>
      </c>
    </row>
    <row r="9880" ht="22.5" customHeight="1">
      <c r="A9880" s="6" t="s">
        <v>25232</v>
      </c>
      <c r="B9880" s="6" t="s">
        <v>18647</v>
      </c>
      <c r="C9880" s="10">
        <v>46081.0</v>
      </c>
      <c r="D9880" s="6" t="s">
        <v>677</v>
      </c>
      <c r="E9880" s="6" t="s">
        <v>787</v>
      </c>
      <c r="F9880" s="6" t="s">
        <v>112</v>
      </c>
      <c r="G9880" s="6" t="s">
        <v>452</v>
      </c>
      <c r="H9880" s="11" t="s">
        <v>259</v>
      </c>
      <c r="I9880" s="12">
        <v>3.0</v>
      </c>
      <c r="J9880" s="6" t="s">
        <v>161</v>
      </c>
    </row>
    <row r="9881" ht="22.5" customHeight="1">
      <c r="A9881" s="6" t="s">
        <v>26109</v>
      </c>
      <c r="B9881" s="6" t="s">
        <v>20525</v>
      </c>
      <c r="C9881" s="10">
        <v>46048.0</v>
      </c>
      <c r="D9881" s="6" t="s">
        <v>436</v>
      </c>
      <c r="E9881" s="6" t="s">
        <v>1546</v>
      </c>
      <c r="F9881" s="6" t="s">
        <v>112</v>
      </c>
      <c r="G9881" s="6" t="s">
        <v>477</v>
      </c>
      <c r="H9881" s="10">
        <v>46054.0</v>
      </c>
      <c r="I9881" s="12">
        <v>12.0</v>
      </c>
      <c r="J9881" s="6" t="s">
        <v>178</v>
      </c>
    </row>
    <row r="9882" ht="22.5" customHeight="1">
      <c r="A9882" s="6" t="s">
        <v>18165</v>
      </c>
      <c r="B9882" s="6" t="s">
        <v>9036</v>
      </c>
      <c r="C9882" s="10">
        <v>46050.0</v>
      </c>
      <c r="D9882" s="6" t="s">
        <v>436</v>
      </c>
      <c r="E9882" s="6" t="s">
        <v>450</v>
      </c>
      <c r="F9882" s="6" t="s">
        <v>439</v>
      </c>
      <c r="G9882" s="6" t="s">
        <v>458</v>
      </c>
      <c r="H9882" s="10">
        <v>46054.0</v>
      </c>
      <c r="I9882" s="12">
        <v>10.0</v>
      </c>
      <c r="J9882" s="6" t="s">
        <v>161</v>
      </c>
    </row>
    <row r="9883" ht="22.5" customHeight="1">
      <c r="A9883" s="6" t="s">
        <v>23312</v>
      </c>
      <c r="B9883" s="6" t="s">
        <v>14647</v>
      </c>
      <c r="C9883" s="10">
        <v>46066.0</v>
      </c>
      <c r="D9883" s="6" t="s">
        <v>416</v>
      </c>
      <c r="E9883" s="6" t="s">
        <v>1102</v>
      </c>
      <c r="F9883" s="6" t="s">
        <v>112</v>
      </c>
      <c r="G9883" s="6" t="s">
        <v>326</v>
      </c>
      <c r="H9883" s="11" t="s">
        <v>259</v>
      </c>
      <c r="I9883" s="12">
        <v>13.0</v>
      </c>
      <c r="J9883" s="6" t="s">
        <v>161</v>
      </c>
    </row>
    <row r="9884" ht="22.5" customHeight="1">
      <c r="A9884" s="6" t="s">
        <v>25850</v>
      </c>
      <c r="B9884" s="6" t="s">
        <v>19969</v>
      </c>
      <c r="C9884" s="10">
        <v>46036.0</v>
      </c>
      <c r="D9884" s="6" t="s">
        <v>391</v>
      </c>
      <c r="E9884" s="6" t="s">
        <v>1149</v>
      </c>
      <c r="F9884" s="6" t="s">
        <v>283</v>
      </c>
      <c r="G9884" s="6" t="s">
        <v>369</v>
      </c>
      <c r="H9884" s="10">
        <v>46043.0</v>
      </c>
      <c r="I9884" s="12">
        <v>7.0</v>
      </c>
      <c r="J9884" s="6" t="s">
        <v>161</v>
      </c>
    </row>
    <row r="9885" ht="22.5" customHeight="1">
      <c r="A9885" s="6" t="s">
        <v>2591</v>
      </c>
      <c r="B9885" s="6" t="s">
        <v>1677</v>
      </c>
      <c r="C9885" s="10">
        <v>46040.0</v>
      </c>
      <c r="D9885" s="6" t="s">
        <v>416</v>
      </c>
      <c r="E9885" s="6" t="s">
        <v>438</v>
      </c>
      <c r="F9885" s="6" t="s">
        <v>249</v>
      </c>
      <c r="G9885" s="6" t="s">
        <v>458</v>
      </c>
      <c r="H9885" s="10">
        <v>46044.0</v>
      </c>
      <c r="I9885" s="12">
        <v>8.0</v>
      </c>
      <c r="J9885" s="6" t="s">
        <v>161</v>
      </c>
    </row>
    <row r="9886" ht="22.5" customHeight="1">
      <c r="A9886" s="6" t="s">
        <v>13290</v>
      </c>
      <c r="B9886" s="6" t="s">
        <v>6654</v>
      </c>
      <c r="C9886" s="10">
        <v>46066.0</v>
      </c>
      <c r="D9886" s="6" t="s">
        <v>242</v>
      </c>
      <c r="E9886" s="6" t="s">
        <v>628</v>
      </c>
      <c r="F9886" s="6" t="s">
        <v>112</v>
      </c>
      <c r="G9886" s="6" t="s">
        <v>458</v>
      </c>
      <c r="H9886" s="10">
        <v>46073.0</v>
      </c>
      <c r="I9886" s="12">
        <v>5.0</v>
      </c>
      <c r="J9886" s="6" t="s">
        <v>178</v>
      </c>
    </row>
    <row r="9887" ht="22.5" customHeight="1">
      <c r="A9887" s="6" t="s">
        <v>25910</v>
      </c>
      <c r="B9887" s="6" t="s">
        <v>20083</v>
      </c>
      <c r="C9887" s="10">
        <v>46032.0</v>
      </c>
      <c r="D9887" s="6" t="s">
        <v>391</v>
      </c>
      <c r="E9887" s="6" t="s">
        <v>291</v>
      </c>
      <c r="F9887" s="6" t="s">
        <v>283</v>
      </c>
      <c r="G9887" s="6" t="s">
        <v>254</v>
      </c>
      <c r="H9887" s="10">
        <v>46039.0</v>
      </c>
      <c r="I9887" s="12">
        <v>6.0</v>
      </c>
      <c r="J9887" s="6" t="s">
        <v>161</v>
      </c>
    </row>
    <row r="9888" ht="22.5" customHeight="1">
      <c r="A9888" s="6" t="s">
        <v>23725</v>
      </c>
      <c r="B9888" s="6" t="s">
        <v>15528</v>
      </c>
      <c r="C9888" s="10">
        <v>46069.0</v>
      </c>
      <c r="D9888" s="6" t="s">
        <v>416</v>
      </c>
      <c r="E9888" s="6" t="s">
        <v>670</v>
      </c>
      <c r="F9888" s="6" t="s">
        <v>249</v>
      </c>
      <c r="G9888" s="6" t="s">
        <v>297</v>
      </c>
      <c r="H9888" s="10">
        <v>46072.0</v>
      </c>
      <c r="I9888" s="12">
        <v>8.0</v>
      </c>
      <c r="J9888" s="6" t="s">
        <v>161</v>
      </c>
    </row>
    <row r="9889" ht="22.5" customHeight="1">
      <c r="A9889" s="6" t="s">
        <v>23912</v>
      </c>
      <c r="B9889" s="6" t="s">
        <v>15953</v>
      </c>
      <c r="C9889" s="10">
        <v>46031.0</v>
      </c>
      <c r="D9889" s="6" t="s">
        <v>416</v>
      </c>
      <c r="E9889" s="6" t="s">
        <v>291</v>
      </c>
      <c r="F9889" s="6" t="s">
        <v>112</v>
      </c>
      <c r="G9889" s="6" t="s">
        <v>254</v>
      </c>
      <c r="H9889" s="10">
        <v>46031.0</v>
      </c>
      <c r="I9889" s="12">
        <v>10.0</v>
      </c>
      <c r="J9889" s="6" t="s">
        <v>161</v>
      </c>
    </row>
    <row r="9890" ht="22.5" customHeight="1">
      <c r="A9890" s="6" t="s">
        <v>19015</v>
      </c>
      <c r="B9890" s="6" t="s">
        <v>9490</v>
      </c>
      <c r="C9890" s="10">
        <v>46061.0</v>
      </c>
      <c r="D9890" s="6" t="s">
        <v>416</v>
      </c>
      <c r="E9890" s="6" t="s">
        <v>394</v>
      </c>
      <c r="F9890" s="6" t="s">
        <v>283</v>
      </c>
      <c r="G9890" s="6" t="s">
        <v>297</v>
      </c>
      <c r="H9890" s="10">
        <v>46066.0</v>
      </c>
      <c r="I9890" s="12">
        <v>13.0</v>
      </c>
      <c r="J9890" s="6" t="s">
        <v>161</v>
      </c>
    </row>
    <row r="9891" ht="22.5" customHeight="1">
      <c r="A9891" s="6" t="s">
        <v>13919</v>
      </c>
      <c r="B9891" s="6" t="s">
        <v>6958</v>
      </c>
      <c r="C9891" s="10">
        <v>46041.0</v>
      </c>
      <c r="D9891" s="6" t="s">
        <v>436</v>
      </c>
      <c r="E9891" s="6" t="s">
        <v>1070</v>
      </c>
      <c r="F9891" s="6" t="s">
        <v>283</v>
      </c>
      <c r="G9891" s="6" t="s">
        <v>458</v>
      </c>
      <c r="H9891" s="10">
        <v>46043.0</v>
      </c>
      <c r="I9891" s="12">
        <v>10.0</v>
      </c>
      <c r="J9891" s="6" t="s">
        <v>161</v>
      </c>
    </row>
  </sheetData>
  <dataValidations>
    <dataValidation type="custom" allowBlank="1" showDropDown="1" sqref="C2:C9891 H2:H9891">
      <formula1>OR(NOT(ISERROR(DATEVALUE(C2))), AND(ISNUMBER(C2), LEFT(CELL("format", C2))="D"))</formula1>
    </dataValidation>
    <dataValidation type="custom" allowBlank="1" showDropDown="1" sqref="I2:I9891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47.63"/>
    <col customWidth="1" min="3" max="3" width="27.63"/>
    <col customWidth="1" min="4" max="4" width="42.63"/>
    <col customWidth="1" min="5" max="5" width="17.63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</row>
    <row r="3">
      <c r="A3" s="3" t="s">
        <v>11</v>
      </c>
      <c r="B3" s="3" t="s">
        <v>12</v>
      </c>
      <c r="C3" s="3" t="s">
        <v>8</v>
      </c>
      <c r="D3" s="3" t="s">
        <v>13</v>
      </c>
      <c r="E3" s="4" t="s">
        <v>10</v>
      </c>
    </row>
    <row r="4">
      <c r="A4" s="3" t="s">
        <v>15</v>
      </c>
      <c r="B4" s="3" t="s">
        <v>16</v>
      </c>
      <c r="C4" s="3" t="s">
        <v>8</v>
      </c>
      <c r="D4" s="3" t="s">
        <v>17</v>
      </c>
      <c r="E4" s="4" t="s">
        <v>10</v>
      </c>
    </row>
    <row r="5">
      <c r="A5" s="3" t="s">
        <v>18</v>
      </c>
      <c r="B5" s="3" t="s">
        <v>19</v>
      </c>
      <c r="C5" s="3" t="s">
        <v>8</v>
      </c>
      <c r="D5" s="3" t="s">
        <v>21</v>
      </c>
      <c r="E5" s="4" t="s">
        <v>10</v>
      </c>
    </row>
    <row r="6">
      <c r="A6" s="3" t="s">
        <v>22</v>
      </c>
      <c r="B6" s="3" t="s">
        <v>23</v>
      </c>
      <c r="C6" s="3" t="s">
        <v>8</v>
      </c>
      <c r="D6" s="3" t="s">
        <v>24</v>
      </c>
      <c r="E6" s="4" t="s">
        <v>10</v>
      </c>
    </row>
    <row r="7">
      <c r="A7" s="3" t="s">
        <v>26</v>
      </c>
      <c r="B7" s="3" t="s">
        <v>27</v>
      </c>
      <c r="C7" s="3" t="s">
        <v>8</v>
      </c>
      <c r="D7" s="3" t="s">
        <v>28</v>
      </c>
      <c r="E7" s="4" t="s">
        <v>10</v>
      </c>
    </row>
    <row r="8">
      <c r="A8" s="3" t="s">
        <v>29</v>
      </c>
      <c r="B8" s="3" t="s">
        <v>31</v>
      </c>
      <c r="C8" s="3" t="s">
        <v>8</v>
      </c>
      <c r="D8" s="3" t="s">
        <v>32</v>
      </c>
      <c r="E8" s="4" t="s">
        <v>10</v>
      </c>
    </row>
    <row r="9">
      <c r="A9" s="3" t="s">
        <v>33</v>
      </c>
      <c r="B9" s="3" t="s">
        <v>34</v>
      </c>
      <c r="C9" s="3" t="s">
        <v>8</v>
      </c>
      <c r="D9" s="3" t="s">
        <v>35</v>
      </c>
      <c r="E9" s="4" t="s">
        <v>10</v>
      </c>
    </row>
    <row r="10">
      <c r="A10" s="3" t="s">
        <v>36</v>
      </c>
      <c r="B10" s="3" t="s">
        <v>38</v>
      </c>
      <c r="C10" s="3" t="s">
        <v>8</v>
      </c>
      <c r="D10" s="3" t="s">
        <v>39</v>
      </c>
      <c r="E10" s="4" t="s">
        <v>10</v>
      </c>
    </row>
    <row r="11">
      <c r="A11" s="3" t="s">
        <v>36</v>
      </c>
      <c r="B11" s="3" t="s">
        <v>40</v>
      </c>
      <c r="C11" s="3" t="s">
        <v>8</v>
      </c>
      <c r="D11" s="3" t="s">
        <v>41</v>
      </c>
      <c r="E11" s="4" t="s">
        <v>10</v>
      </c>
    </row>
    <row r="12">
      <c r="A12" s="3" t="s">
        <v>42</v>
      </c>
      <c r="B12" s="3" t="s">
        <v>38</v>
      </c>
      <c r="C12" s="3" t="s">
        <v>8</v>
      </c>
      <c r="D12" s="3" t="s">
        <v>44</v>
      </c>
      <c r="E12" s="4" t="s">
        <v>10</v>
      </c>
    </row>
    <row r="13">
      <c r="A13" s="3" t="s">
        <v>45</v>
      </c>
      <c r="B13" s="3" t="s">
        <v>16</v>
      </c>
      <c r="C13" s="3" t="s">
        <v>8</v>
      </c>
      <c r="D13" s="3" t="s">
        <v>46</v>
      </c>
      <c r="E13" s="4" t="s">
        <v>10</v>
      </c>
    </row>
    <row r="14">
      <c r="A14" s="3" t="s">
        <v>45</v>
      </c>
      <c r="B14" s="3" t="s">
        <v>48</v>
      </c>
      <c r="C14" s="3" t="s">
        <v>8</v>
      </c>
      <c r="D14" s="3" t="s">
        <v>49</v>
      </c>
      <c r="E14" s="4" t="s">
        <v>10</v>
      </c>
    </row>
    <row r="15">
      <c r="A15" s="3" t="s">
        <v>50</v>
      </c>
      <c r="B15" s="3" t="s">
        <v>51</v>
      </c>
      <c r="C15" s="3" t="s">
        <v>52</v>
      </c>
      <c r="D15" s="3" t="s">
        <v>53</v>
      </c>
      <c r="E15" s="4" t="s">
        <v>10</v>
      </c>
    </row>
    <row r="16">
      <c r="A16" s="3" t="s">
        <v>54</v>
      </c>
      <c r="B16" s="3" t="s">
        <v>55</v>
      </c>
      <c r="C16" s="3" t="s">
        <v>52</v>
      </c>
      <c r="D16" s="3" t="s">
        <v>56</v>
      </c>
      <c r="E16" s="4" t="s">
        <v>10</v>
      </c>
    </row>
    <row r="17">
      <c r="A17" s="3" t="s">
        <v>57</v>
      </c>
      <c r="B17" s="3" t="s">
        <v>58</v>
      </c>
      <c r="C17" s="3" t="s">
        <v>52</v>
      </c>
      <c r="D17" s="3" t="s">
        <v>59</v>
      </c>
      <c r="E17" s="4" t="s">
        <v>10</v>
      </c>
    </row>
    <row r="18">
      <c r="A18" s="3" t="s">
        <v>60</v>
      </c>
      <c r="B18" s="3" t="s">
        <v>61</v>
      </c>
      <c r="C18" s="3" t="s">
        <v>52</v>
      </c>
      <c r="D18" s="3" t="s">
        <v>62</v>
      </c>
      <c r="E18" s="4" t="s">
        <v>10</v>
      </c>
    </row>
    <row r="19">
      <c r="A19" s="3" t="s">
        <v>63</v>
      </c>
      <c r="B19" s="3" t="s">
        <v>64</v>
      </c>
      <c r="C19" s="3" t="s">
        <v>52</v>
      </c>
      <c r="D19" s="3" t="s">
        <v>65</v>
      </c>
      <c r="E19" s="4" t="s">
        <v>10</v>
      </c>
    </row>
    <row r="20">
      <c r="A20" s="3" t="s">
        <v>47</v>
      </c>
      <c r="B20" s="3" t="s">
        <v>67</v>
      </c>
      <c r="C20" s="3" t="s">
        <v>52</v>
      </c>
      <c r="D20" s="3" t="s">
        <v>68</v>
      </c>
      <c r="E20" s="4" t="s">
        <v>10</v>
      </c>
    </row>
    <row r="21">
      <c r="A21" s="3" t="s">
        <v>70</v>
      </c>
      <c r="B21" s="3" t="s">
        <v>71</v>
      </c>
      <c r="C21" s="3" t="s">
        <v>52</v>
      </c>
      <c r="D21" s="3" t="s">
        <v>72</v>
      </c>
      <c r="E21" s="4" t="s">
        <v>10</v>
      </c>
    </row>
    <row r="22">
      <c r="A22" s="3" t="s">
        <v>74</v>
      </c>
      <c r="B22" s="3" t="s">
        <v>75</v>
      </c>
      <c r="C22" s="3" t="s">
        <v>52</v>
      </c>
      <c r="D22" s="3" t="s">
        <v>77</v>
      </c>
      <c r="E22" s="4" t="s">
        <v>10</v>
      </c>
    </row>
    <row r="23">
      <c r="A23" s="3" t="s">
        <v>79</v>
      </c>
      <c r="B23" s="3" t="s">
        <v>80</v>
      </c>
      <c r="C23" s="3" t="s">
        <v>52</v>
      </c>
      <c r="D23" s="3" t="s">
        <v>81</v>
      </c>
      <c r="E23" s="4" t="s">
        <v>10</v>
      </c>
    </row>
    <row r="24">
      <c r="A24" s="3" t="s">
        <v>57</v>
      </c>
      <c r="B24" s="3" t="s">
        <v>83</v>
      </c>
      <c r="C24" s="3" t="s">
        <v>52</v>
      </c>
      <c r="D24" s="3" t="s">
        <v>84</v>
      </c>
      <c r="E24" s="4" t="s">
        <v>10</v>
      </c>
    </row>
    <row r="25">
      <c r="A25" s="3" t="s">
        <v>85</v>
      </c>
      <c r="B25" s="3" t="s">
        <v>86</v>
      </c>
      <c r="C25" s="3" t="s">
        <v>52</v>
      </c>
      <c r="D25" s="3" t="s">
        <v>87</v>
      </c>
      <c r="E25" s="4" t="s">
        <v>10</v>
      </c>
    </row>
    <row r="26">
      <c r="A26" s="3" t="s">
        <v>88</v>
      </c>
      <c r="B26" s="3" t="s">
        <v>89</v>
      </c>
      <c r="C26" s="3" t="s">
        <v>52</v>
      </c>
      <c r="D26" s="3" t="s">
        <v>91</v>
      </c>
      <c r="E26" s="4" t="s">
        <v>10</v>
      </c>
    </row>
    <row r="27">
      <c r="A27" s="3" t="s">
        <v>63</v>
      </c>
      <c r="B27" s="3" t="s">
        <v>93</v>
      </c>
      <c r="C27" s="3" t="s">
        <v>52</v>
      </c>
      <c r="D27" s="3" t="s">
        <v>94</v>
      </c>
      <c r="E27" s="4" t="s">
        <v>95</v>
      </c>
    </row>
    <row r="28">
      <c r="A28" s="3" t="s">
        <v>96</v>
      </c>
      <c r="B28" s="3" t="s">
        <v>99</v>
      </c>
      <c r="C28" s="3" t="s">
        <v>52</v>
      </c>
      <c r="D28" s="3" t="s">
        <v>100</v>
      </c>
      <c r="E28" s="4" t="s">
        <v>10</v>
      </c>
    </row>
    <row r="29">
      <c r="A29" s="3" t="s">
        <v>103</v>
      </c>
      <c r="B29" s="3" t="s">
        <v>99</v>
      </c>
      <c r="C29" s="3" t="s">
        <v>52</v>
      </c>
      <c r="D29" s="3" t="s">
        <v>104</v>
      </c>
      <c r="E29" s="4" t="s">
        <v>10</v>
      </c>
    </row>
    <row r="30">
      <c r="A30" s="3" t="s">
        <v>33</v>
      </c>
      <c r="B30" s="3" t="s">
        <v>107</v>
      </c>
      <c r="C30" s="3" t="s">
        <v>52</v>
      </c>
      <c r="D30" s="3" t="s">
        <v>109</v>
      </c>
      <c r="E30" s="4" t="s">
        <v>10</v>
      </c>
    </row>
    <row r="31">
      <c r="A31" s="3" t="s">
        <v>79</v>
      </c>
      <c r="B31" s="3" t="s">
        <v>71</v>
      </c>
      <c r="C31" s="3" t="s">
        <v>52</v>
      </c>
      <c r="D31" s="3" t="s">
        <v>111</v>
      </c>
      <c r="E31" s="4" t="s">
        <v>10</v>
      </c>
    </row>
    <row r="32">
      <c r="A32" s="3" t="s">
        <v>74</v>
      </c>
      <c r="B32" s="3" t="s">
        <v>83</v>
      </c>
      <c r="C32" s="3" t="s">
        <v>52</v>
      </c>
      <c r="D32" s="3" t="s">
        <v>113</v>
      </c>
      <c r="E32" s="4" t="s">
        <v>10</v>
      </c>
    </row>
    <row r="33">
      <c r="A33" s="3" t="s">
        <v>115</v>
      </c>
      <c r="B33" s="3" t="s">
        <v>99</v>
      </c>
      <c r="C33" s="3" t="s">
        <v>52</v>
      </c>
      <c r="D33" s="3" t="s">
        <v>116</v>
      </c>
      <c r="E33" s="4" t="s">
        <v>10</v>
      </c>
    </row>
    <row r="34">
      <c r="A34" s="3" t="s">
        <v>118</v>
      </c>
      <c r="B34" s="3" t="s">
        <v>119</v>
      </c>
      <c r="C34" s="3" t="s">
        <v>120</v>
      </c>
      <c r="D34" s="3" t="s">
        <v>121</v>
      </c>
      <c r="E34" s="4" t="s">
        <v>10</v>
      </c>
    </row>
    <row r="35">
      <c r="A35" s="3" t="s">
        <v>124</v>
      </c>
      <c r="B35" s="3" t="s">
        <v>126</v>
      </c>
      <c r="C35" s="3" t="s">
        <v>120</v>
      </c>
      <c r="D35" s="3" t="s">
        <v>128</v>
      </c>
      <c r="E35" s="4" t="s">
        <v>10</v>
      </c>
    </row>
    <row r="36">
      <c r="A36" s="3" t="s">
        <v>130</v>
      </c>
      <c r="B36" s="3" t="s">
        <v>131</v>
      </c>
      <c r="C36" s="3" t="s">
        <v>120</v>
      </c>
      <c r="D36" s="3" t="s">
        <v>132</v>
      </c>
      <c r="E36" s="4" t="s">
        <v>10</v>
      </c>
    </row>
    <row r="37">
      <c r="A37" s="3" t="s">
        <v>33</v>
      </c>
      <c r="B37" s="3" t="s">
        <v>135</v>
      </c>
      <c r="C37" s="3" t="s">
        <v>120</v>
      </c>
      <c r="D37" s="3" t="s">
        <v>136</v>
      </c>
      <c r="E37" s="4" t="s">
        <v>10</v>
      </c>
    </row>
    <row r="38">
      <c r="A38" s="3" t="s">
        <v>138</v>
      </c>
      <c r="B38" s="3" t="s">
        <v>140</v>
      </c>
      <c r="C38" s="3" t="s">
        <v>120</v>
      </c>
      <c r="D38" s="3" t="s">
        <v>141</v>
      </c>
      <c r="E38" s="4" t="s">
        <v>10</v>
      </c>
    </row>
    <row r="39">
      <c r="A39" s="3" t="s">
        <v>29</v>
      </c>
      <c r="B39" s="3" t="s">
        <v>143</v>
      </c>
      <c r="C39" s="3" t="s">
        <v>120</v>
      </c>
      <c r="D39" s="3" t="s">
        <v>146</v>
      </c>
      <c r="E39" s="4" t="s">
        <v>10</v>
      </c>
    </row>
    <row r="40">
      <c r="A40" s="3" t="s">
        <v>85</v>
      </c>
      <c r="B40" s="3" t="s">
        <v>148</v>
      </c>
      <c r="C40" s="3" t="s">
        <v>120</v>
      </c>
      <c r="D40" s="3" t="s">
        <v>149</v>
      </c>
      <c r="E40" s="4" t="s">
        <v>10</v>
      </c>
    </row>
    <row r="41">
      <c r="A41" s="3" t="s">
        <v>45</v>
      </c>
      <c r="B41" s="3" t="s">
        <v>151</v>
      </c>
      <c r="C41" s="3" t="s">
        <v>120</v>
      </c>
      <c r="D41" s="3" t="s">
        <v>152</v>
      </c>
      <c r="E41" s="4" t="s">
        <v>10</v>
      </c>
    </row>
    <row r="42">
      <c r="A42" s="3" t="s">
        <v>153</v>
      </c>
      <c r="B42" s="3" t="s">
        <v>155</v>
      </c>
      <c r="C42" s="3" t="s">
        <v>120</v>
      </c>
      <c r="D42" s="3" t="s">
        <v>156</v>
      </c>
      <c r="E42" s="4" t="s">
        <v>10</v>
      </c>
    </row>
    <row r="43">
      <c r="A43" s="3" t="s">
        <v>115</v>
      </c>
      <c r="B43" s="3" t="s">
        <v>157</v>
      </c>
      <c r="C43" s="3" t="s">
        <v>120</v>
      </c>
      <c r="D43" s="3" t="s">
        <v>158</v>
      </c>
      <c r="E43" s="4" t="s">
        <v>10</v>
      </c>
    </row>
    <row r="44">
      <c r="A44" s="3" t="s">
        <v>42</v>
      </c>
      <c r="B44" s="3" t="s">
        <v>159</v>
      </c>
      <c r="C44" s="3" t="s">
        <v>120</v>
      </c>
      <c r="D44" s="3" t="s">
        <v>160</v>
      </c>
      <c r="E44" s="4" t="s">
        <v>10</v>
      </c>
    </row>
    <row r="45">
      <c r="A45" s="3" t="s">
        <v>162</v>
      </c>
      <c r="B45" s="3" t="s">
        <v>165</v>
      </c>
      <c r="C45" s="3" t="s">
        <v>120</v>
      </c>
      <c r="D45" s="3" t="s">
        <v>166</v>
      </c>
      <c r="E45" s="4" t="s">
        <v>10</v>
      </c>
    </row>
    <row r="46">
      <c r="A46" s="3" t="s">
        <v>167</v>
      </c>
      <c r="B46" s="3" t="s">
        <v>168</v>
      </c>
      <c r="C46" s="3" t="s">
        <v>169</v>
      </c>
      <c r="D46" s="3" t="s">
        <v>170</v>
      </c>
      <c r="E46" s="4" t="s">
        <v>10</v>
      </c>
    </row>
    <row r="47">
      <c r="A47" s="3" t="s">
        <v>124</v>
      </c>
      <c r="B47" s="3" t="s">
        <v>172</v>
      </c>
      <c r="C47" s="3" t="s">
        <v>169</v>
      </c>
      <c r="D47" s="3" t="s">
        <v>173</v>
      </c>
      <c r="E47" s="4" t="s">
        <v>95</v>
      </c>
    </row>
    <row r="48">
      <c r="A48" s="3" t="s">
        <v>63</v>
      </c>
      <c r="B48" s="3" t="s">
        <v>175</v>
      </c>
      <c r="C48" s="3" t="s">
        <v>169</v>
      </c>
      <c r="D48" s="3" t="s">
        <v>177</v>
      </c>
      <c r="E48" s="4" t="s">
        <v>10</v>
      </c>
    </row>
    <row r="49">
      <c r="A49" s="3" t="s">
        <v>179</v>
      </c>
      <c r="B49" s="3" t="s">
        <v>180</v>
      </c>
      <c r="C49" s="3" t="s">
        <v>169</v>
      </c>
      <c r="D49" s="3" t="s">
        <v>181</v>
      </c>
      <c r="E49" s="4" t="s">
        <v>95</v>
      </c>
    </row>
    <row r="50">
      <c r="A50" s="3" t="s">
        <v>63</v>
      </c>
      <c r="B50" s="3" t="s">
        <v>182</v>
      </c>
      <c r="C50" s="3" t="s">
        <v>169</v>
      </c>
      <c r="D50" s="3" t="s">
        <v>184</v>
      </c>
      <c r="E50" s="4" t="s">
        <v>10</v>
      </c>
    </row>
    <row r="51">
      <c r="A51" s="3" t="s">
        <v>154</v>
      </c>
      <c r="B51" s="3" t="s">
        <v>185</v>
      </c>
      <c r="C51" s="3" t="s">
        <v>169</v>
      </c>
      <c r="D51" s="3" t="s">
        <v>187</v>
      </c>
      <c r="E51" s="4" t="s">
        <v>10</v>
      </c>
    </row>
    <row r="52">
      <c r="A52" s="3" t="s">
        <v>188</v>
      </c>
      <c r="B52" s="3" t="s">
        <v>189</v>
      </c>
      <c r="C52" s="3" t="s">
        <v>169</v>
      </c>
      <c r="D52" s="3" t="s">
        <v>190</v>
      </c>
      <c r="E52" s="4" t="s">
        <v>10</v>
      </c>
    </row>
    <row r="53">
      <c r="A53" s="3" t="s">
        <v>103</v>
      </c>
      <c r="B53" s="3" t="s">
        <v>192</v>
      </c>
      <c r="C53" s="3" t="s">
        <v>169</v>
      </c>
      <c r="D53" s="3" t="s">
        <v>196</v>
      </c>
      <c r="E53" s="4" t="s">
        <v>10</v>
      </c>
    </row>
    <row r="54">
      <c r="A54" s="3" t="s">
        <v>118</v>
      </c>
      <c r="B54" s="3" t="s">
        <v>197</v>
      </c>
      <c r="C54" s="3" t="s">
        <v>169</v>
      </c>
      <c r="D54" s="3" t="s">
        <v>200</v>
      </c>
      <c r="E54" s="4" t="s">
        <v>10</v>
      </c>
    </row>
    <row r="55">
      <c r="A55" s="3" t="s">
        <v>124</v>
      </c>
      <c r="B55" s="3" t="s">
        <v>203</v>
      </c>
      <c r="C55" s="3" t="s">
        <v>169</v>
      </c>
      <c r="D55" s="3" t="s">
        <v>205</v>
      </c>
      <c r="E55" s="4" t="s">
        <v>10</v>
      </c>
    </row>
    <row r="56">
      <c r="A56" s="3" t="s">
        <v>85</v>
      </c>
      <c r="B56" s="3" t="s">
        <v>201</v>
      </c>
      <c r="C56" s="3" t="s">
        <v>208</v>
      </c>
      <c r="D56" s="3" t="s">
        <v>209</v>
      </c>
      <c r="E56" s="4" t="s">
        <v>10</v>
      </c>
    </row>
    <row r="57">
      <c r="A57" s="3" t="s">
        <v>211</v>
      </c>
      <c r="B57" s="3" t="s">
        <v>213</v>
      </c>
      <c r="C57" s="3" t="s">
        <v>208</v>
      </c>
      <c r="D57" s="3" t="s">
        <v>214</v>
      </c>
      <c r="E57" s="4" t="s">
        <v>10</v>
      </c>
    </row>
    <row r="58">
      <c r="A58" s="3" t="s">
        <v>215</v>
      </c>
      <c r="B58" s="3" t="s">
        <v>218</v>
      </c>
      <c r="C58" s="3" t="s">
        <v>208</v>
      </c>
      <c r="D58" s="3" t="s">
        <v>219</v>
      </c>
      <c r="E58" s="4" t="s">
        <v>10</v>
      </c>
    </row>
    <row r="59">
      <c r="A59" s="3" t="s">
        <v>47</v>
      </c>
      <c r="B59" s="3" t="s">
        <v>221</v>
      </c>
      <c r="C59" s="3" t="s">
        <v>208</v>
      </c>
      <c r="D59" s="3" t="s">
        <v>223</v>
      </c>
      <c r="E59" s="4" t="s">
        <v>10</v>
      </c>
    </row>
    <row r="60">
      <c r="A60" s="3" t="s">
        <v>225</v>
      </c>
      <c r="B60" s="3" t="s">
        <v>226</v>
      </c>
      <c r="C60" s="3" t="s">
        <v>208</v>
      </c>
      <c r="D60" s="3" t="s">
        <v>229</v>
      </c>
      <c r="E60" s="4" t="s">
        <v>95</v>
      </c>
    </row>
    <row r="61">
      <c r="A61" s="3" t="s">
        <v>231</v>
      </c>
      <c r="B61" s="3" t="s">
        <v>232</v>
      </c>
      <c r="C61" s="3" t="s">
        <v>208</v>
      </c>
      <c r="D61" s="3" t="s">
        <v>234</v>
      </c>
      <c r="E61" s="4" t="s">
        <v>10</v>
      </c>
    </row>
    <row r="62">
      <c r="A62" s="3" t="s">
        <v>45</v>
      </c>
      <c r="B62" s="3" t="s">
        <v>235</v>
      </c>
      <c r="C62" s="3" t="s">
        <v>208</v>
      </c>
      <c r="D62" s="3" t="s">
        <v>237</v>
      </c>
      <c r="E62" s="4" t="s">
        <v>10</v>
      </c>
    </row>
    <row r="63">
      <c r="A63" s="3" t="s">
        <v>238</v>
      </c>
      <c r="B63" s="3" t="s">
        <v>239</v>
      </c>
      <c r="C63" s="3" t="s">
        <v>208</v>
      </c>
      <c r="D63" s="3" t="s">
        <v>240</v>
      </c>
      <c r="E63" s="4" t="s">
        <v>95</v>
      </c>
    </row>
    <row r="64">
      <c r="A64" s="3" t="s">
        <v>26</v>
      </c>
      <c r="B64" s="3" t="s">
        <v>243</v>
      </c>
      <c r="C64" s="3" t="s">
        <v>208</v>
      </c>
      <c r="D64" s="3" t="s">
        <v>244</v>
      </c>
      <c r="E64" s="4" t="s">
        <v>10</v>
      </c>
    </row>
    <row r="65">
      <c r="A65" s="3" t="s">
        <v>215</v>
      </c>
      <c r="B65" s="3" t="s">
        <v>247</v>
      </c>
      <c r="C65" s="3" t="s">
        <v>208</v>
      </c>
      <c r="D65" s="3" t="s">
        <v>248</v>
      </c>
      <c r="E65" s="4" t="s">
        <v>10</v>
      </c>
    </row>
    <row r="66">
      <c r="A66" s="3" t="s">
        <v>250</v>
      </c>
      <c r="B66" s="3" t="s">
        <v>251</v>
      </c>
      <c r="C66" s="3" t="s">
        <v>208</v>
      </c>
      <c r="D66" s="3" t="s">
        <v>253</v>
      </c>
      <c r="E66" s="4" t="s">
        <v>10</v>
      </c>
    </row>
    <row r="67">
      <c r="A67" s="3" t="s">
        <v>256</v>
      </c>
      <c r="B67" s="3" t="s">
        <v>257</v>
      </c>
      <c r="C67" s="3" t="s">
        <v>208</v>
      </c>
      <c r="D67" s="3" t="s">
        <v>258</v>
      </c>
      <c r="E67" s="4" t="s">
        <v>10</v>
      </c>
    </row>
    <row r="68">
      <c r="A68" s="3" t="s">
        <v>261</v>
      </c>
      <c r="B68" s="3" t="s">
        <v>262</v>
      </c>
      <c r="C68" s="3" t="s">
        <v>208</v>
      </c>
      <c r="D68" s="3" t="s">
        <v>263</v>
      </c>
      <c r="E68" s="4" t="s">
        <v>10</v>
      </c>
    </row>
    <row r="69">
      <c r="A69" s="3" t="s">
        <v>115</v>
      </c>
      <c r="B69" s="3" t="s">
        <v>264</v>
      </c>
      <c r="C69" s="3" t="s">
        <v>208</v>
      </c>
      <c r="D69" s="3" t="s">
        <v>265</v>
      </c>
      <c r="E69" s="4" t="s">
        <v>10</v>
      </c>
    </row>
    <row r="70">
      <c r="A70" s="3" t="s">
        <v>266</v>
      </c>
      <c r="B70" s="3" t="s">
        <v>235</v>
      </c>
      <c r="C70" s="3" t="s">
        <v>208</v>
      </c>
      <c r="D70" s="3" t="s">
        <v>267</v>
      </c>
      <c r="E70" s="4" t="s">
        <v>10</v>
      </c>
    </row>
    <row r="71">
      <c r="A71" s="3" t="s">
        <v>225</v>
      </c>
      <c r="B71" s="3" t="s">
        <v>268</v>
      </c>
      <c r="C71" s="3" t="s">
        <v>208</v>
      </c>
      <c r="D71" s="3" t="s">
        <v>269</v>
      </c>
      <c r="E71" s="4" t="s">
        <v>10</v>
      </c>
    </row>
    <row r="72">
      <c r="A72" s="3" t="s">
        <v>256</v>
      </c>
      <c r="B72" s="3" t="s">
        <v>270</v>
      </c>
      <c r="C72" s="3" t="s">
        <v>208</v>
      </c>
      <c r="D72" s="3" t="s">
        <v>271</v>
      </c>
      <c r="E72" s="4" t="s">
        <v>10</v>
      </c>
    </row>
    <row r="73">
      <c r="A73" s="3" t="s">
        <v>272</v>
      </c>
      <c r="B73" s="3" t="s">
        <v>273</v>
      </c>
      <c r="C73" s="3" t="s">
        <v>208</v>
      </c>
      <c r="D73" s="3" t="s">
        <v>276</v>
      </c>
      <c r="E73" s="4" t="s">
        <v>10</v>
      </c>
    </row>
    <row r="74">
      <c r="A74" s="3" t="s">
        <v>29</v>
      </c>
      <c r="B74" s="3" t="s">
        <v>277</v>
      </c>
      <c r="C74" s="3" t="s">
        <v>208</v>
      </c>
      <c r="D74" s="3" t="s">
        <v>278</v>
      </c>
      <c r="E74" s="4" t="s">
        <v>95</v>
      </c>
    </row>
    <row r="75">
      <c r="A75" s="3" t="s">
        <v>18</v>
      </c>
      <c r="B75" s="3" t="s">
        <v>243</v>
      </c>
      <c r="C75" s="3" t="s">
        <v>208</v>
      </c>
      <c r="D75" s="3" t="s">
        <v>282</v>
      </c>
      <c r="E75" s="4" t="s">
        <v>10</v>
      </c>
    </row>
    <row r="76">
      <c r="A76" s="3" t="s">
        <v>285</v>
      </c>
      <c r="B76" s="3" t="s">
        <v>270</v>
      </c>
      <c r="C76" s="3" t="s">
        <v>208</v>
      </c>
      <c r="D76" s="3" t="s">
        <v>286</v>
      </c>
      <c r="E76" s="4" t="s">
        <v>10</v>
      </c>
    </row>
    <row r="77">
      <c r="A77" s="3" t="s">
        <v>287</v>
      </c>
      <c r="B77" s="3" t="s">
        <v>288</v>
      </c>
      <c r="C77" s="3" t="s">
        <v>208</v>
      </c>
      <c r="D77" s="3" t="s">
        <v>290</v>
      </c>
      <c r="E77" s="4" t="s">
        <v>10</v>
      </c>
    </row>
    <row r="78">
      <c r="A78" s="3" t="s">
        <v>57</v>
      </c>
      <c r="B78" s="3" t="s">
        <v>292</v>
      </c>
      <c r="C78" s="3" t="s">
        <v>208</v>
      </c>
      <c r="D78" s="3" t="s">
        <v>294</v>
      </c>
      <c r="E78" s="4" t="s">
        <v>10</v>
      </c>
    </row>
    <row r="79">
      <c r="A79" s="3" t="s">
        <v>79</v>
      </c>
      <c r="B79" s="3" t="s">
        <v>226</v>
      </c>
      <c r="C79" s="3" t="s">
        <v>208</v>
      </c>
      <c r="D79" s="3" t="s">
        <v>296</v>
      </c>
      <c r="E79" s="4" t="s">
        <v>95</v>
      </c>
    </row>
    <row r="80">
      <c r="A80" s="3" t="s">
        <v>124</v>
      </c>
      <c r="B80" s="3" t="s">
        <v>288</v>
      </c>
      <c r="C80" s="3" t="s">
        <v>208</v>
      </c>
      <c r="D80" s="3" t="s">
        <v>299</v>
      </c>
      <c r="E80" s="4" t="s">
        <v>10</v>
      </c>
    </row>
    <row r="81">
      <c r="A81" s="3" t="s">
        <v>266</v>
      </c>
      <c r="B81" s="3" t="s">
        <v>137</v>
      </c>
      <c r="C81" s="3" t="s">
        <v>144</v>
      </c>
      <c r="D81" s="3" t="s">
        <v>302</v>
      </c>
      <c r="E81" s="4" t="s">
        <v>95</v>
      </c>
    </row>
    <row r="82">
      <c r="A82" s="3" t="s">
        <v>304</v>
      </c>
      <c r="B82" s="3" t="s">
        <v>305</v>
      </c>
      <c r="C82" s="3" t="s">
        <v>144</v>
      </c>
      <c r="D82" s="3" t="s">
        <v>306</v>
      </c>
      <c r="E82" s="4" t="s">
        <v>95</v>
      </c>
    </row>
    <row r="83">
      <c r="A83" s="3" t="s">
        <v>115</v>
      </c>
      <c r="B83" s="3" t="s">
        <v>307</v>
      </c>
      <c r="C83" s="3" t="s">
        <v>144</v>
      </c>
      <c r="D83" s="3" t="s">
        <v>308</v>
      </c>
      <c r="E83" s="4" t="s">
        <v>10</v>
      </c>
    </row>
    <row r="84">
      <c r="A84" s="3" t="s">
        <v>63</v>
      </c>
      <c r="B84" s="3" t="s">
        <v>309</v>
      </c>
      <c r="C84" s="3" t="s">
        <v>144</v>
      </c>
      <c r="D84" s="3" t="s">
        <v>311</v>
      </c>
      <c r="E84" s="4" t="s">
        <v>95</v>
      </c>
    </row>
    <row r="85">
      <c r="A85" s="3" t="s">
        <v>153</v>
      </c>
      <c r="B85" s="3" t="s">
        <v>313</v>
      </c>
      <c r="C85" s="3" t="s">
        <v>144</v>
      </c>
      <c r="D85" s="3" t="s">
        <v>314</v>
      </c>
      <c r="E85" s="4" t="s">
        <v>10</v>
      </c>
    </row>
    <row r="86">
      <c r="A86" s="3" t="s">
        <v>96</v>
      </c>
      <c r="B86" s="3" t="s">
        <v>315</v>
      </c>
      <c r="C86" s="3" t="s">
        <v>144</v>
      </c>
      <c r="D86" s="3" t="s">
        <v>316</v>
      </c>
      <c r="E86" s="4" t="s">
        <v>10</v>
      </c>
    </row>
    <row r="87">
      <c r="A87" s="3" t="s">
        <v>317</v>
      </c>
      <c r="B87" s="3" t="s">
        <v>318</v>
      </c>
      <c r="C87" s="3" t="s">
        <v>144</v>
      </c>
      <c r="D87" s="3" t="s">
        <v>321</v>
      </c>
      <c r="E87" s="4" t="s">
        <v>10</v>
      </c>
    </row>
    <row r="88">
      <c r="A88" s="3" t="s">
        <v>88</v>
      </c>
      <c r="B88" s="3" t="s">
        <v>322</v>
      </c>
      <c r="C88" s="3" t="s">
        <v>144</v>
      </c>
      <c r="D88" s="3" t="s">
        <v>324</v>
      </c>
      <c r="E88" s="4" t="s">
        <v>10</v>
      </c>
    </row>
    <row r="89">
      <c r="A89" s="3" t="s">
        <v>256</v>
      </c>
      <c r="B89" s="3" t="s">
        <v>327</v>
      </c>
      <c r="C89" s="3" t="s">
        <v>144</v>
      </c>
      <c r="D89" s="3" t="s">
        <v>328</v>
      </c>
      <c r="E89" s="4" t="s">
        <v>10</v>
      </c>
    </row>
    <row r="90">
      <c r="A90" s="3" t="s">
        <v>250</v>
      </c>
      <c r="B90" s="3" t="s">
        <v>330</v>
      </c>
      <c r="C90" s="3" t="s">
        <v>144</v>
      </c>
      <c r="D90" s="3" t="s">
        <v>331</v>
      </c>
      <c r="E90" s="4" t="s">
        <v>10</v>
      </c>
    </row>
    <row r="91">
      <c r="A91" s="3" t="s">
        <v>79</v>
      </c>
      <c r="B91" s="3" t="s">
        <v>332</v>
      </c>
      <c r="C91" s="3" t="s">
        <v>144</v>
      </c>
      <c r="D91" s="3" t="s">
        <v>333</v>
      </c>
      <c r="E91" s="4" t="s">
        <v>95</v>
      </c>
    </row>
    <row r="92">
      <c r="A92" s="3" t="s">
        <v>171</v>
      </c>
      <c r="B92" s="3" t="s">
        <v>334</v>
      </c>
      <c r="C92" s="3" t="s">
        <v>144</v>
      </c>
      <c r="D92" s="3" t="s">
        <v>336</v>
      </c>
      <c r="E92" s="4" t="s">
        <v>10</v>
      </c>
    </row>
    <row r="93">
      <c r="A93" s="3" t="s">
        <v>188</v>
      </c>
      <c r="B93" s="3" t="s">
        <v>338</v>
      </c>
      <c r="C93" s="3" t="s">
        <v>144</v>
      </c>
      <c r="D93" s="3" t="s">
        <v>339</v>
      </c>
      <c r="E93" s="4" t="s">
        <v>10</v>
      </c>
    </row>
    <row r="94">
      <c r="A94" s="3" t="s">
        <v>45</v>
      </c>
      <c r="B94" s="3" t="s">
        <v>341</v>
      </c>
      <c r="C94" s="3" t="s">
        <v>144</v>
      </c>
      <c r="D94" s="3" t="s">
        <v>342</v>
      </c>
      <c r="E94" s="4" t="s">
        <v>10</v>
      </c>
    </row>
    <row r="95">
      <c r="A95" s="3" t="s">
        <v>317</v>
      </c>
      <c r="B95" s="3" t="s">
        <v>343</v>
      </c>
      <c r="C95" s="3" t="s">
        <v>144</v>
      </c>
      <c r="D95" s="3" t="s">
        <v>344</v>
      </c>
      <c r="E95" s="4" t="s">
        <v>95</v>
      </c>
    </row>
    <row r="96">
      <c r="A96" s="3" t="s">
        <v>22</v>
      </c>
      <c r="B96" s="3" t="s">
        <v>345</v>
      </c>
      <c r="C96" s="3" t="s">
        <v>144</v>
      </c>
      <c r="D96" s="3" t="s">
        <v>346</v>
      </c>
      <c r="E96" s="4" t="s">
        <v>10</v>
      </c>
    </row>
    <row r="97">
      <c r="A97" s="3" t="s">
        <v>256</v>
      </c>
      <c r="B97" s="3" t="s">
        <v>347</v>
      </c>
      <c r="C97" s="3" t="s">
        <v>144</v>
      </c>
      <c r="D97" s="3" t="s">
        <v>348</v>
      </c>
      <c r="E97" s="4" t="s">
        <v>10</v>
      </c>
    </row>
    <row r="98">
      <c r="A98" s="3" t="s">
        <v>153</v>
      </c>
      <c r="B98" s="3" t="s">
        <v>350</v>
      </c>
      <c r="C98" s="3" t="s">
        <v>144</v>
      </c>
      <c r="D98" s="3" t="s">
        <v>351</v>
      </c>
      <c r="E98" s="4" t="s">
        <v>10</v>
      </c>
    </row>
    <row r="99">
      <c r="A99" s="3" t="s">
        <v>352</v>
      </c>
      <c r="B99" s="3" t="s">
        <v>343</v>
      </c>
      <c r="C99" s="3" t="s">
        <v>144</v>
      </c>
      <c r="D99" s="3" t="s">
        <v>353</v>
      </c>
      <c r="E99" s="4" t="s">
        <v>95</v>
      </c>
    </row>
    <row r="100">
      <c r="A100" s="3" t="s">
        <v>329</v>
      </c>
      <c r="B100" s="3" t="s">
        <v>355</v>
      </c>
      <c r="C100" s="3" t="s">
        <v>144</v>
      </c>
      <c r="D100" s="3" t="s">
        <v>356</v>
      </c>
      <c r="E100" s="4" t="s">
        <v>10</v>
      </c>
    </row>
    <row r="101">
      <c r="A101" s="3" t="s">
        <v>36</v>
      </c>
      <c r="B101" s="3" t="s">
        <v>358</v>
      </c>
      <c r="C101" s="3" t="s">
        <v>144</v>
      </c>
      <c r="D101" s="3" t="s">
        <v>360</v>
      </c>
      <c r="E101" s="4" t="s">
        <v>10</v>
      </c>
    </row>
    <row r="102">
      <c r="A102" s="3" t="s">
        <v>45</v>
      </c>
      <c r="B102" s="3" t="s">
        <v>362</v>
      </c>
      <c r="C102" s="3" t="s">
        <v>144</v>
      </c>
      <c r="D102" s="3" t="s">
        <v>363</v>
      </c>
      <c r="E102" s="4" t="s">
        <v>95</v>
      </c>
    </row>
    <row r="103">
      <c r="A103" s="3" t="s">
        <v>88</v>
      </c>
      <c r="B103" s="3" t="s">
        <v>366</v>
      </c>
      <c r="C103" s="3" t="s">
        <v>144</v>
      </c>
      <c r="D103" s="3" t="s">
        <v>367</v>
      </c>
      <c r="E103" s="4" t="s">
        <v>10</v>
      </c>
    </row>
    <row r="104">
      <c r="A104" s="3" t="s">
        <v>124</v>
      </c>
      <c r="B104" s="3" t="s">
        <v>368</v>
      </c>
      <c r="C104" s="3" t="s">
        <v>144</v>
      </c>
      <c r="D104" s="3" t="s">
        <v>370</v>
      </c>
      <c r="E104" s="4" t="s">
        <v>95</v>
      </c>
    </row>
    <row r="105">
      <c r="A105" s="3" t="s">
        <v>256</v>
      </c>
      <c r="B105" s="3" t="s">
        <v>371</v>
      </c>
      <c r="C105" s="3" t="s">
        <v>144</v>
      </c>
      <c r="D105" s="3" t="s">
        <v>372</v>
      </c>
      <c r="E105" s="4" t="s">
        <v>10</v>
      </c>
    </row>
    <row r="106">
      <c r="A106" s="3" t="s">
        <v>285</v>
      </c>
      <c r="B106" s="3" t="s">
        <v>374</v>
      </c>
      <c r="C106" s="3" t="s">
        <v>144</v>
      </c>
      <c r="D106" s="3" t="s">
        <v>375</v>
      </c>
      <c r="E106" s="4" t="s">
        <v>10</v>
      </c>
    </row>
    <row r="107">
      <c r="A107" s="3" t="s">
        <v>96</v>
      </c>
      <c r="B107" s="3" t="s">
        <v>378</v>
      </c>
      <c r="C107" s="3" t="s">
        <v>144</v>
      </c>
      <c r="D107" s="3" t="s">
        <v>379</v>
      </c>
      <c r="E107" s="4" t="s">
        <v>95</v>
      </c>
    </row>
    <row r="108">
      <c r="A108" s="3" t="s">
        <v>42</v>
      </c>
      <c r="B108" s="3" t="s">
        <v>382</v>
      </c>
      <c r="C108" s="3" t="s">
        <v>144</v>
      </c>
      <c r="D108" s="3" t="s">
        <v>384</v>
      </c>
      <c r="E108" s="4" t="s">
        <v>10</v>
      </c>
    </row>
    <row r="109">
      <c r="A109" s="3" t="s">
        <v>22</v>
      </c>
      <c r="B109" s="3" t="s">
        <v>386</v>
      </c>
      <c r="C109" s="3" t="s">
        <v>144</v>
      </c>
      <c r="D109" s="3" t="s">
        <v>387</v>
      </c>
      <c r="E109" s="4" t="s">
        <v>10</v>
      </c>
    </row>
    <row r="110">
      <c r="A110" s="3" t="s">
        <v>22</v>
      </c>
      <c r="B110" s="3" t="s">
        <v>388</v>
      </c>
      <c r="C110" s="3" t="s">
        <v>144</v>
      </c>
      <c r="D110" s="3" t="s">
        <v>389</v>
      </c>
      <c r="E110" s="4" t="s">
        <v>10</v>
      </c>
    </row>
    <row r="111">
      <c r="A111" s="3" t="s">
        <v>26</v>
      </c>
      <c r="B111" s="3" t="s">
        <v>390</v>
      </c>
      <c r="C111" s="3" t="s">
        <v>144</v>
      </c>
      <c r="D111" s="3" t="s">
        <v>392</v>
      </c>
      <c r="E111" s="4" t="s">
        <v>95</v>
      </c>
    </row>
    <row r="112">
      <c r="A112" s="3" t="s">
        <v>26</v>
      </c>
      <c r="B112" s="3" t="s">
        <v>368</v>
      </c>
      <c r="C112" s="3" t="s">
        <v>144</v>
      </c>
      <c r="D112" s="3" t="s">
        <v>395</v>
      </c>
      <c r="E112" s="4" t="s">
        <v>95</v>
      </c>
    </row>
    <row r="113">
      <c r="A113" s="3" t="s">
        <v>88</v>
      </c>
      <c r="B113" s="3" t="s">
        <v>398</v>
      </c>
      <c r="C113" s="3" t="s">
        <v>144</v>
      </c>
      <c r="D113" s="3" t="s">
        <v>399</v>
      </c>
      <c r="E113" s="4" t="s">
        <v>10</v>
      </c>
    </row>
    <row r="114">
      <c r="A114" s="3" t="s">
        <v>401</v>
      </c>
      <c r="B114" s="3" t="s">
        <v>358</v>
      </c>
      <c r="C114" s="3" t="s">
        <v>144</v>
      </c>
      <c r="D114" s="3" t="s">
        <v>402</v>
      </c>
      <c r="E114" s="4" t="s">
        <v>10</v>
      </c>
    </row>
    <row r="115">
      <c r="A115" s="3" t="s">
        <v>403</v>
      </c>
      <c r="B115" s="3" t="s">
        <v>404</v>
      </c>
      <c r="C115" s="3" t="s">
        <v>144</v>
      </c>
      <c r="D115" s="3" t="s">
        <v>405</v>
      </c>
      <c r="E115" s="4" t="s">
        <v>10</v>
      </c>
    </row>
    <row r="116">
      <c r="A116" s="3" t="s">
        <v>85</v>
      </c>
      <c r="B116" s="3" t="s">
        <v>378</v>
      </c>
      <c r="C116" s="3" t="s">
        <v>144</v>
      </c>
      <c r="D116" s="3" t="s">
        <v>406</v>
      </c>
      <c r="E116" s="4" t="s">
        <v>95</v>
      </c>
    </row>
    <row r="117">
      <c r="A117" s="3" t="s">
        <v>285</v>
      </c>
      <c r="B117" s="3" t="s">
        <v>332</v>
      </c>
      <c r="C117" s="3" t="s">
        <v>144</v>
      </c>
      <c r="D117" s="3" t="s">
        <v>409</v>
      </c>
      <c r="E117" s="4" t="s">
        <v>10</v>
      </c>
    </row>
    <row r="118">
      <c r="A118" s="3" t="s">
        <v>118</v>
      </c>
      <c r="B118" s="3" t="s">
        <v>305</v>
      </c>
      <c r="C118" s="3" t="s">
        <v>144</v>
      </c>
      <c r="D118" s="3" t="s">
        <v>412</v>
      </c>
      <c r="E118" s="4" t="s">
        <v>95</v>
      </c>
    </row>
    <row r="119">
      <c r="A119" s="3" t="s">
        <v>22</v>
      </c>
      <c r="B119" s="3" t="s">
        <v>413</v>
      </c>
      <c r="C119" s="3" t="s">
        <v>144</v>
      </c>
      <c r="D119" s="3" t="s">
        <v>414</v>
      </c>
      <c r="E119" s="4" t="s">
        <v>10</v>
      </c>
    </row>
    <row r="120">
      <c r="A120" s="3" t="s">
        <v>36</v>
      </c>
      <c r="B120" s="3" t="s">
        <v>382</v>
      </c>
      <c r="C120" s="3" t="s">
        <v>144</v>
      </c>
      <c r="D120" s="3" t="s">
        <v>418</v>
      </c>
      <c r="E120" s="4" t="s">
        <v>10</v>
      </c>
    </row>
    <row r="121">
      <c r="A121" s="3" t="s">
        <v>167</v>
      </c>
      <c r="B121" s="3" t="s">
        <v>137</v>
      </c>
      <c r="C121" s="3" t="s">
        <v>144</v>
      </c>
      <c r="D121" s="3" t="s">
        <v>419</v>
      </c>
      <c r="E121" s="4" t="s">
        <v>95</v>
      </c>
    </row>
    <row r="122">
      <c r="A122" s="3" t="s">
        <v>124</v>
      </c>
      <c r="B122" s="3" t="s">
        <v>368</v>
      </c>
      <c r="C122" s="3" t="s">
        <v>144</v>
      </c>
      <c r="D122" s="3" t="s">
        <v>420</v>
      </c>
      <c r="E122" s="4" t="s">
        <v>95</v>
      </c>
    </row>
    <row r="123">
      <c r="A123" s="3" t="s">
        <v>188</v>
      </c>
      <c r="B123" s="3" t="s">
        <v>371</v>
      </c>
      <c r="C123" s="3" t="s">
        <v>144</v>
      </c>
      <c r="D123" s="3" t="s">
        <v>422</v>
      </c>
      <c r="E123" s="4" t="s">
        <v>10</v>
      </c>
    </row>
    <row r="124">
      <c r="A124" s="3" t="s">
        <v>88</v>
      </c>
      <c r="B124" s="3" t="s">
        <v>343</v>
      </c>
      <c r="C124" s="3" t="s">
        <v>144</v>
      </c>
      <c r="D124" s="3" t="s">
        <v>424</v>
      </c>
      <c r="E124" s="4" t="s">
        <v>95</v>
      </c>
    </row>
    <row r="125">
      <c r="A125" s="3" t="s">
        <v>42</v>
      </c>
      <c r="B125" s="3" t="s">
        <v>371</v>
      </c>
      <c r="C125" s="3" t="s">
        <v>144</v>
      </c>
      <c r="D125" s="3" t="s">
        <v>426</v>
      </c>
      <c r="E125" s="4" t="s">
        <v>10</v>
      </c>
    </row>
    <row r="126">
      <c r="A126" s="3" t="s">
        <v>63</v>
      </c>
      <c r="B126" s="3" t="s">
        <v>345</v>
      </c>
      <c r="C126" s="3" t="s">
        <v>144</v>
      </c>
      <c r="D126" s="3" t="s">
        <v>429</v>
      </c>
      <c r="E126" s="4" t="s">
        <v>10</v>
      </c>
    </row>
    <row r="127">
      <c r="A127" s="3" t="s">
        <v>352</v>
      </c>
      <c r="B127" s="3" t="s">
        <v>431</v>
      </c>
      <c r="C127" s="3" t="s">
        <v>144</v>
      </c>
      <c r="D127" s="3" t="s">
        <v>433</v>
      </c>
      <c r="E127" s="4" t="s">
        <v>95</v>
      </c>
    </row>
  </sheetData>
  <dataValidations>
    <dataValidation type="list" allowBlank="1" sqref="E2:E127">
      <formula1>"High,Medium,Low"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8.88"/>
    <col customWidth="1" min="3" max="3" width="40.13"/>
    <col customWidth="1" min="4" max="4" width="36.38"/>
    <col customWidth="1" min="5" max="5" width="37.63"/>
    <col customWidth="1" min="6" max="6" width="25.25"/>
    <col customWidth="1" min="7" max="7" width="37.63"/>
    <col customWidth="1" min="8" max="8" width="17.0"/>
    <col customWidth="1" min="9" max="9" width="15.13"/>
  </cols>
  <sheetData>
    <row r="1" ht="30.0" customHeight="1">
      <c r="A1" s="13" t="s">
        <v>493</v>
      </c>
      <c r="B1" s="14" t="s">
        <v>496</v>
      </c>
      <c r="C1" s="14" t="s">
        <v>499</v>
      </c>
      <c r="D1" s="14" t="s">
        <v>501</v>
      </c>
      <c r="E1" s="14" t="s">
        <v>502</v>
      </c>
      <c r="F1" s="14" t="s">
        <v>504</v>
      </c>
      <c r="G1" s="14" t="s">
        <v>505</v>
      </c>
      <c r="H1" s="14" t="s">
        <v>507</v>
      </c>
      <c r="I1" s="15" t="s">
        <v>508</v>
      </c>
    </row>
    <row r="2">
      <c r="A2" s="16" t="s">
        <v>510</v>
      </c>
      <c r="B2" s="17" t="s">
        <v>513</v>
      </c>
      <c r="C2" s="18" t="s">
        <v>515</v>
      </c>
      <c r="D2" s="18" t="s">
        <v>516</v>
      </c>
      <c r="E2" s="18" t="s">
        <v>518</v>
      </c>
      <c r="F2" s="19" t="s">
        <v>10</v>
      </c>
      <c r="G2" s="19" t="s">
        <v>10</v>
      </c>
      <c r="H2" s="19" t="s">
        <v>10</v>
      </c>
      <c r="I2" s="20" t="s">
        <v>10</v>
      </c>
    </row>
    <row r="3">
      <c r="A3" s="16" t="s">
        <v>523</v>
      </c>
      <c r="B3" s="17" t="s">
        <v>513</v>
      </c>
      <c r="C3" s="18" t="s">
        <v>525</v>
      </c>
      <c r="D3" s="18" t="s">
        <v>526</v>
      </c>
      <c r="E3" s="18" t="s">
        <v>528</v>
      </c>
      <c r="F3" s="19" t="s">
        <v>95</v>
      </c>
      <c r="G3" s="19" t="s">
        <v>10</v>
      </c>
      <c r="H3" s="19" t="s">
        <v>10</v>
      </c>
      <c r="I3" s="20" t="s">
        <v>10</v>
      </c>
    </row>
    <row r="4">
      <c r="A4" s="16" t="s">
        <v>529</v>
      </c>
      <c r="B4" s="17" t="s">
        <v>530</v>
      </c>
      <c r="C4" s="18" t="s">
        <v>531</v>
      </c>
      <c r="D4" s="18" t="s">
        <v>532</v>
      </c>
      <c r="E4" s="18" t="s">
        <v>533</v>
      </c>
      <c r="F4" s="19" t="s">
        <v>95</v>
      </c>
      <c r="G4" s="19" t="s">
        <v>10</v>
      </c>
      <c r="H4" s="19" t="s">
        <v>95</v>
      </c>
      <c r="I4" s="20" t="s">
        <v>95</v>
      </c>
    </row>
    <row r="5">
      <c r="A5" s="16" t="s">
        <v>535</v>
      </c>
      <c r="B5" s="17" t="s">
        <v>536</v>
      </c>
      <c r="C5" s="18" t="s">
        <v>537</v>
      </c>
      <c r="D5" s="18" t="s">
        <v>538</v>
      </c>
      <c r="E5" s="18" t="s">
        <v>539</v>
      </c>
      <c r="F5" s="19" t="s">
        <v>10</v>
      </c>
      <c r="G5" s="19" t="s">
        <v>10</v>
      </c>
      <c r="H5" s="19" t="s">
        <v>10</v>
      </c>
      <c r="I5" s="20" t="s">
        <v>10</v>
      </c>
    </row>
    <row r="6">
      <c r="A6" s="16" t="s">
        <v>541</v>
      </c>
      <c r="B6" s="17" t="s">
        <v>513</v>
      </c>
      <c r="C6" s="18" t="s">
        <v>542</v>
      </c>
      <c r="D6" s="18" t="s">
        <v>544</v>
      </c>
      <c r="E6" s="18" t="s">
        <v>545</v>
      </c>
      <c r="F6" s="19" t="s">
        <v>10</v>
      </c>
      <c r="G6" s="19" t="s">
        <v>10</v>
      </c>
      <c r="H6" s="19" t="s">
        <v>10</v>
      </c>
      <c r="I6" s="20" t="s">
        <v>10</v>
      </c>
    </row>
    <row r="7">
      <c r="A7" s="16" t="s">
        <v>547</v>
      </c>
      <c r="B7" s="17" t="s">
        <v>548</v>
      </c>
      <c r="C7" s="18" t="s">
        <v>549</v>
      </c>
      <c r="D7" s="18" t="s">
        <v>550</v>
      </c>
      <c r="E7" s="18" t="s">
        <v>551</v>
      </c>
      <c r="F7" s="19" t="s">
        <v>552</v>
      </c>
      <c r="G7" s="19" t="s">
        <v>10</v>
      </c>
      <c r="H7" s="19" t="s">
        <v>552</v>
      </c>
      <c r="I7" s="20" t="s">
        <v>95</v>
      </c>
    </row>
    <row r="8">
      <c r="A8" s="16" t="s">
        <v>553</v>
      </c>
      <c r="B8" s="17" t="s">
        <v>536</v>
      </c>
      <c r="C8" s="18" t="s">
        <v>555</v>
      </c>
      <c r="D8" s="18" t="s">
        <v>556</v>
      </c>
      <c r="E8" s="18" t="s">
        <v>557</v>
      </c>
      <c r="F8" s="19" t="s">
        <v>10</v>
      </c>
      <c r="G8" s="19" t="s">
        <v>10</v>
      </c>
      <c r="H8" s="19" t="s">
        <v>95</v>
      </c>
      <c r="I8" s="20" t="s">
        <v>10</v>
      </c>
    </row>
    <row r="9">
      <c r="A9" s="16" t="s">
        <v>559</v>
      </c>
      <c r="B9" s="17" t="s">
        <v>513</v>
      </c>
      <c r="C9" s="18" t="s">
        <v>560</v>
      </c>
      <c r="D9" s="18" t="s">
        <v>562</v>
      </c>
      <c r="E9" s="18" t="s">
        <v>563</v>
      </c>
      <c r="F9" s="19" t="s">
        <v>95</v>
      </c>
      <c r="G9" s="19" t="s">
        <v>10</v>
      </c>
      <c r="H9" s="19" t="s">
        <v>10</v>
      </c>
      <c r="I9" s="20" t="s">
        <v>10</v>
      </c>
    </row>
    <row r="10">
      <c r="A10" s="16" t="s">
        <v>567</v>
      </c>
      <c r="B10" s="17" t="s">
        <v>530</v>
      </c>
      <c r="C10" s="18" t="s">
        <v>569</v>
      </c>
      <c r="D10" s="18" t="s">
        <v>570</v>
      </c>
      <c r="E10" s="18" t="s">
        <v>571</v>
      </c>
      <c r="F10" s="19" t="s">
        <v>10</v>
      </c>
      <c r="G10" s="19" t="s">
        <v>10</v>
      </c>
      <c r="H10" s="19" t="s">
        <v>95</v>
      </c>
      <c r="I10" s="20" t="s">
        <v>95</v>
      </c>
    </row>
    <row r="11">
      <c r="A11" s="21" t="s">
        <v>572</v>
      </c>
      <c r="B11" s="22" t="s">
        <v>573</v>
      </c>
      <c r="C11" s="23" t="s">
        <v>575</v>
      </c>
      <c r="D11" s="23" t="s">
        <v>578</v>
      </c>
      <c r="E11" s="23" t="s">
        <v>580</v>
      </c>
      <c r="F11" s="24" t="s">
        <v>10</v>
      </c>
      <c r="G11" s="24" t="s">
        <v>10</v>
      </c>
      <c r="H11" s="24" t="s">
        <v>10</v>
      </c>
      <c r="I11" s="25" t="s">
        <v>10</v>
      </c>
    </row>
    <row r="20" ht="22.5" customHeight="1">
      <c r="E20" s="26" t="s">
        <v>585</v>
      </c>
      <c r="F20" s="27" t="s">
        <v>589</v>
      </c>
      <c r="G20" s="26" t="s">
        <v>590</v>
      </c>
    </row>
    <row r="21" ht="22.5" customHeight="1">
      <c r="E21" s="28" t="s">
        <v>591</v>
      </c>
      <c r="F21" s="29" t="s">
        <v>593</v>
      </c>
      <c r="G21" s="28" t="s">
        <v>596</v>
      </c>
    </row>
    <row r="22" ht="22.5" customHeight="1">
      <c r="E22" s="28" t="s">
        <v>598</v>
      </c>
      <c r="F22" s="29" t="s">
        <v>600</v>
      </c>
      <c r="G22" s="28" t="s">
        <v>601</v>
      </c>
    </row>
    <row r="23" ht="22.5" customHeight="1">
      <c r="E23" s="28" t="s">
        <v>602</v>
      </c>
      <c r="F23" s="29" t="s">
        <v>603</v>
      </c>
      <c r="G23" s="28" t="s">
        <v>606</v>
      </c>
    </row>
  </sheetData>
  <dataValidations>
    <dataValidation type="list" allowBlank="1" sqref="F2:I11">
      <formula1>"High,Medium,Low"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9.13"/>
    <col customWidth="1" min="3" max="3" width="10.88"/>
    <col customWidth="1" min="4" max="4" width="13.25"/>
    <col customWidth="1" min="5" max="5" width="47.63"/>
  </cols>
  <sheetData>
    <row r="1">
      <c r="A1" s="30" t="s">
        <v>654</v>
      </c>
      <c r="B1" s="31" t="s">
        <v>657</v>
      </c>
      <c r="C1" s="31" t="s">
        <v>659</v>
      </c>
      <c r="D1" s="31" t="s">
        <v>661</v>
      </c>
      <c r="E1" s="32" t="s">
        <v>662</v>
      </c>
    </row>
    <row r="2">
      <c r="A2" s="33" t="s">
        <v>416</v>
      </c>
      <c r="B2" s="34">
        <f>COUNTIF('Recovery activity tracker'!$D$2:$D$9891, A2)</f>
        <v>1397</v>
      </c>
      <c r="C2" s="34">
        <f>SUMIF('Recovery activity tracker'!$D$2:$D$9891, A2, 'Recovery activity tracker'!$I$2:$I$9891)</f>
        <v>15312</v>
      </c>
      <c r="D2" s="35">
        <f t="shared" ref="D2:D9" si="1">IFERROR(C2/B2, 0)</f>
        <v>10.96062992</v>
      </c>
      <c r="E2" s="36" t="s">
        <v>678</v>
      </c>
    </row>
    <row r="3">
      <c r="A3" s="33" t="s">
        <v>312</v>
      </c>
      <c r="B3" s="34">
        <f>COUNTIF('Recovery activity tracker'!$D$2:$D$9891, A3)</f>
        <v>1382</v>
      </c>
      <c r="C3" s="34">
        <f>SUMIF('Recovery activity tracker'!$D$2:$D$9891, A3, 'Recovery activity tracker'!$I$2:$I$9891)</f>
        <v>7580</v>
      </c>
      <c r="D3" s="35">
        <f t="shared" si="1"/>
        <v>5.484804631</v>
      </c>
      <c r="E3" s="36" t="s">
        <v>684</v>
      </c>
    </row>
    <row r="4">
      <c r="A4" s="33" t="s">
        <v>391</v>
      </c>
      <c r="B4" s="34">
        <f>COUNTIF('Recovery activity tracker'!$D$2:$D$9891, A4)</f>
        <v>1423</v>
      </c>
      <c r="C4" s="34">
        <f>SUMIF('Recovery activity tracker'!$D$2:$D$9891, A4, 'Recovery activity tracker'!$I$2:$I$9891)</f>
        <v>12025</v>
      </c>
      <c r="D4" s="35">
        <f t="shared" si="1"/>
        <v>8.450456781</v>
      </c>
      <c r="E4" s="36" t="s">
        <v>690</v>
      </c>
    </row>
    <row r="5">
      <c r="A5" s="33" t="s">
        <v>289</v>
      </c>
      <c r="B5" s="34">
        <f>COUNTIF('Recovery activity tracker'!$D$2:$D$9891, A5)</f>
        <v>1405</v>
      </c>
      <c r="C5" s="34">
        <f>SUMIF('Recovery activity tracker'!$D$2:$D$9891, A5, 'Recovery activity tracker'!$I$2:$I$9891)</f>
        <v>10554</v>
      </c>
      <c r="D5" s="35">
        <f t="shared" si="1"/>
        <v>7.511743772</v>
      </c>
      <c r="E5" s="36" t="s">
        <v>696</v>
      </c>
    </row>
    <row r="6">
      <c r="A6" s="33" t="s">
        <v>677</v>
      </c>
      <c r="B6" s="34">
        <f>COUNTIF('Recovery activity tracker'!$D$2:$D$9891, A6)</f>
        <v>1425</v>
      </c>
      <c r="C6" s="34">
        <f>SUMIF('Recovery activity tracker'!$D$2:$D$9891, A6, 'Recovery activity tracker'!$I$2:$I$9891)</f>
        <v>4285</v>
      </c>
      <c r="D6" s="35">
        <f t="shared" si="1"/>
        <v>3.007017544</v>
      </c>
      <c r="E6" s="36" t="s">
        <v>701</v>
      </c>
    </row>
    <row r="7">
      <c r="A7" s="33" t="s">
        <v>436</v>
      </c>
      <c r="B7" s="34">
        <f>COUNTIF('Recovery activity tracker'!$D$2:$D$9891, A7)</f>
        <v>1458</v>
      </c>
      <c r="C7" s="34">
        <f>SUMIF('Recovery activity tracker'!$D$2:$D$9891, A7, 'Recovery activity tracker'!$I$2:$I$9891)</f>
        <v>13123</v>
      </c>
      <c r="D7" s="35">
        <f t="shared" si="1"/>
        <v>9.000685871</v>
      </c>
      <c r="E7" s="36" t="s">
        <v>707</v>
      </c>
    </row>
    <row r="8">
      <c r="A8" s="33" t="s">
        <v>242</v>
      </c>
      <c r="B8" s="34">
        <f>COUNTIF('Recovery activity tracker'!$D$2:$D$9891, A8)</f>
        <v>1400</v>
      </c>
      <c r="C8" s="34">
        <f>SUMIF('Recovery activity tracker'!$D$2:$D$9891, A8, 'Recovery activity tracker'!$I$2:$I$9891)</f>
        <v>6347</v>
      </c>
      <c r="D8" s="35">
        <f t="shared" si="1"/>
        <v>4.533571429</v>
      </c>
      <c r="E8" s="36" t="s">
        <v>711</v>
      </c>
    </row>
    <row r="9">
      <c r="A9" s="37" t="s">
        <v>712</v>
      </c>
      <c r="B9" s="38">
        <f t="shared" ref="B9:C9" si="2">SUM(B2:B8)</f>
        <v>9890</v>
      </c>
      <c r="C9" s="38">
        <f t="shared" si="2"/>
        <v>69226</v>
      </c>
      <c r="D9" s="39">
        <f t="shared" si="1"/>
        <v>6.999595551</v>
      </c>
      <c r="E9" s="36" t="s">
        <v>718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26.13"/>
    <col customWidth="1" min="3" max="3" width="11.75"/>
    <col customWidth="1" min="4" max="4" width="8.0"/>
    <col customWidth="1" min="5" max="5" width="20.5"/>
    <col customWidth="1" min="6" max="6" width="14.25"/>
    <col customWidth="1" min="7" max="7" width="53.25"/>
    <col customWidth="1" min="8" max="8" width="47.63"/>
  </cols>
  <sheetData>
    <row r="1" ht="22.5" customHeight="1">
      <c r="A1" s="27" t="s">
        <v>750</v>
      </c>
      <c r="B1" s="26" t="s">
        <v>752</v>
      </c>
      <c r="C1" s="27" t="s">
        <v>754</v>
      </c>
      <c r="D1" s="27" t="s">
        <v>755</v>
      </c>
      <c r="E1" s="27" t="s">
        <v>758</v>
      </c>
      <c r="F1" s="27" t="s">
        <v>760</v>
      </c>
      <c r="G1" s="26" t="s">
        <v>762</v>
      </c>
      <c r="H1" s="32" t="s">
        <v>662</v>
      </c>
    </row>
    <row r="2" ht="22.5" customHeight="1">
      <c r="A2" s="29" t="s">
        <v>765</v>
      </c>
      <c r="B2" s="28" t="s">
        <v>767</v>
      </c>
      <c r="C2" s="40">
        <v>22.0</v>
      </c>
      <c r="D2" s="29" t="s">
        <v>772</v>
      </c>
      <c r="E2" s="29" t="s">
        <v>773</v>
      </c>
      <c r="F2" s="41" t="s">
        <v>10</v>
      </c>
      <c r="G2" s="28" t="s">
        <v>779</v>
      </c>
      <c r="H2" s="36" t="s">
        <v>780</v>
      </c>
    </row>
    <row r="3" ht="22.5" customHeight="1">
      <c r="A3" s="29" t="s">
        <v>786</v>
      </c>
      <c r="B3" s="28" t="s">
        <v>788</v>
      </c>
      <c r="C3" s="40">
        <v>21.0</v>
      </c>
      <c r="D3" s="29" t="s">
        <v>791</v>
      </c>
      <c r="E3" s="29" t="s">
        <v>773</v>
      </c>
      <c r="F3" s="41" t="s">
        <v>10</v>
      </c>
      <c r="G3" s="28" t="s">
        <v>796</v>
      </c>
      <c r="H3" s="36" t="s">
        <v>797</v>
      </c>
    </row>
    <row r="4" ht="22.5" customHeight="1">
      <c r="A4" s="29" t="s">
        <v>801</v>
      </c>
      <c r="B4" s="28" t="s">
        <v>803</v>
      </c>
      <c r="C4" s="40">
        <v>0.38</v>
      </c>
      <c r="D4" s="29" t="s">
        <v>804</v>
      </c>
      <c r="E4" s="29" t="s">
        <v>807</v>
      </c>
      <c r="F4" s="41" t="s">
        <v>95</v>
      </c>
      <c r="G4" s="28" t="s">
        <v>811</v>
      </c>
      <c r="H4" s="36" t="s">
        <v>813</v>
      </c>
    </row>
    <row r="5" ht="22.5" customHeight="1">
      <c r="A5" s="29" t="s">
        <v>816</v>
      </c>
      <c r="B5" s="28" t="s">
        <v>817</v>
      </c>
      <c r="C5" s="40">
        <v>18.0</v>
      </c>
      <c r="D5" s="29" t="s">
        <v>821</v>
      </c>
      <c r="E5" s="29" t="s">
        <v>822</v>
      </c>
      <c r="F5" s="41" t="s">
        <v>95</v>
      </c>
      <c r="G5" s="28" t="s">
        <v>824</v>
      </c>
      <c r="H5" s="36" t="s">
        <v>828</v>
      </c>
    </row>
    <row r="6" ht="22.5" customHeight="1">
      <c r="A6" s="29" t="s">
        <v>830</v>
      </c>
      <c r="B6" s="28" t="s">
        <v>831</v>
      </c>
      <c r="C6" s="40">
        <v>10.0</v>
      </c>
      <c r="D6" s="29" t="s">
        <v>821</v>
      </c>
      <c r="E6" s="29" t="s">
        <v>835</v>
      </c>
      <c r="F6" s="41" t="s">
        <v>95</v>
      </c>
      <c r="G6" s="28" t="s">
        <v>839</v>
      </c>
      <c r="H6" s="36" t="s">
        <v>841</v>
      </c>
    </row>
    <row r="7" ht="22.5" customHeight="1">
      <c r="A7" s="29" t="s">
        <v>843</v>
      </c>
      <c r="B7" s="28" t="s">
        <v>845</v>
      </c>
      <c r="C7" s="40">
        <v>0.14</v>
      </c>
      <c r="D7" s="29" t="s">
        <v>804</v>
      </c>
      <c r="E7" s="29" t="s">
        <v>848</v>
      </c>
      <c r="F7" s="41" t="s">
        <v>95</v>
      </c>
      <c r="G7" s="28" t="s">
        <v>850</v>
      </c>
      <c r="H7" s="36" t="s">
        <v>851</v>
      </c>
    </row>
    <row r="8" ht="22.5" customHeight="1">
      <c r="A8" s="29" t="s">
        <v>856</v>
      </c>
      <c r="B8" s="28" t="s">
        <v>857</v>
      </c>
      <c r="C8" s="40">
        <v>0.04</v>
      </c>
      <c r="D8" s="29" t="s">
        <v>804</v>
      </c>
      <c r="E8" s="29" t="s">
        <v>860</v>
      </c>
      <c r="F8" s="41" t="s">
        <v>552</v>
      </c>
      <c r="G8" s="7" t="s">
        <v>861</v>
      </c>
      <c r="H8" s="36" t="s">
        <v>864</v>
      </c>
    </row>
    <row r="9" ht="22.5" customHeight="1">
      <c r="A9" s="29" t="s">
        <v>866</v>
      </c>
      <c r="B9" s="28" t="s">
        <v>867</v>
      </c>
      <c r="C9" s="40">
        <v>0.025</v>
      </c>
      <c r="D9" s="29" t="s">
        <v>804</v>
      </c>
      <c r="E9" s="29" t="s">
        <v>860</v>
      </c>
      <c r="F9" s="41" t="s">
        <v>552</v>
      </c>
      <c r="G9" s="7" t="s">
        <v>873</v>
      </c>
      <c r="H9" s="36" t="s">
        <v>874</v>
      </c>
    </row>
    <row r="10" ht="22.5" customHeight="1">
      <c r="A10" s="29" t="s">
        <v>875</v>
      </c>
      <c r="B10" s="28" t="s">
        <v>876</v>
      </c>
      <c r="C10" s="40">
        <v>8000000.0</v>
      </c>
      <c r="D10" s="29" t="s">
        <v>772</v>
      </c>
      <c r="E10" s="29" t="s">
        <v>773</v>
      </c>
      <c r="F10" s="41" t="s">
        <v>95</v>
      </c>
      <c r="G10" s="28" t="s">
        <v>880</v>
      </c>
      <c r="H10" s="36" t="s">
        <v>881</v>
      </c>
    </row>
    <row r="11" ht="22.5" customHeight="1">
      <c r="A11" s="29" t="s">
        <v>884</v>
      </c>
      <c r="B11" s="28" t="s">
        <v>887</v>
      </c>
      <c r="C11" s="40">
        <v>45000.0</v>
      </c>
      <c r="D11" s="29" t="s">
        <v>772</v>
      </c>
      <c r="E11" s="29" t="s">
        <v>888</v>
      </c>
      <c r="F11" s="41" t="s">
        <v>95</v>
      </c>
      <c r="G11" s="28" t="s">
        <v>889</v>
      </c>
      <c r="H11" s="36" t="s">
        <v>890</v>
      </c>
    </row>
    <row r="12" ht="22.5" customHeight="1">
      <c r="A12" s="29" t="s">
        <v>893</v>
      </c>
      <c r="B12" s="28" t="s">
        <v>895</v>
      </c>
      <c r="C12" s="40">
        <v>85000.0</v>
      </c>
      <c r="D12" s="29" t="s">
        <v>772</v>
      </c>
      <c r="E12" s="29" t="s">
        <v>888</v>
      </c>
      <c r="F12" s="41" t="s">
        <v>95</v>
      </c>
      <c r="G12" s="28" t="s">
        <v>889</v>
      </c>
      <c r="H12" s="36" t="s">
        <v>898</v>
      </c>
    </row>
    <row r="13" ht="22.5" customHeight="1">
      <c r="A13" s="6" t="s">
        <v>901</v>
      </c>
      <c r="B13" s="6" t="s">
        <v>903</v>
      </c>
      <c r="C13" s="42">
        <v>2.655935836E7</v>
      </c>
      <c r="D13" s="6" t="s">
        <v>772</v>
      </c>
      <c r="E13" s="6" t="s">
        <v>904</v>
      </c>
      <c r="F13" s="43" t="s">
        <v>10</v>
      </c>
      <c r="G13" s="6" t="s">
        <v>906</v>
      </c>
      <c r="H13" s="36" t="s">
        <v>907</v>
      </c>
    </row>
    <row r="14" ht="22.5" customHeight="1">
      <c r="A14" s="6" t="s">
        <v>911</v>
      </c>
      <c r="B14" s="6" t="s">
        <v>913</v>
      </c>
      <c r="C14" s="42">
        <v>0.7723</v>
      </c>
      <c r="D14" s="6" t="s">
        <v>804</v>
      </c>
      <c r="E14" s="6" t="s">
        <v>904</v>
      </c>
      <c r="F14" s="43" t="s">
        <v>10</v>
      </c>
      <c r="G14" s="6" t="s">
        <v>914</v>
      </c>
      <c r="H14" s="36" t="s">
        <v>915</v>
      </c>
    </row>
    <row r="15" ht="22.5" customHeight="1">
      <c r="A15" s="6" t="s">
        <v>916</v>
      </c>
      <c r="B15" s="6" t="s">
        <v>918</v>
      </c>
      <c r="C15" s="42">
        <v>0.9972</v>
      </c>
      <c r="D15" s="6" t="s">
        <v>804</v>
      </c>
      <c r="E15" s="6" t="s">
        <v>904</v>
      </c>
      <c r="F15" s="43" t="s">
        <v>10</v>
      </c>
      <c r="G15" s="6" t="s">
        <v>922</v>
      </c>
      <c r="H15" s="36" t="s">
        <v>924</v>
      </c>
    </row>
    <row r="16" ht="22.5" customHeight="1">
      <c r="A16" s="6" t="s">
        <v>927</v>
      </c>
      <c r="B16" s="6" t="s">
        <v>929</v>
      </c>
      <c r="C16" s="42">
        <v>0.2042</v>
      </c>
      <c r="D16" s="6" t="s">
        <v>804</v>
      </c>
      <c r="E16" s="6" t="s">
        <v>931</v>
      </c>
      <c r="F16" s="43" t="s">
        <v>10</v>
      </c>
      <c r="G16" s="6" t="s">
        <v>933</v>
      </c>
      <c r="H16" s="36" t="s">
        <v>934</v>
      </c>
    </row>
    <row r="17" ht="22.5" customHeight="1">
      <c r="A17" s="6" t="s">
        <v>938</v>
      </c>
      <c r="B17" s="6" t="s">
        <v>939</v>
      </c>
      <c r="C17" s="42">
        <v>7.0</v>
      </c>
      <c r="D17" s="6" t="s">
        <v>821</v>
      </c>
      <c r="E17" s="6" t="s">
        <v>931</v>
      </c>
      <c r="F17" s="43" t="s">
        <v>10</v>
      </c>
      <c r="G17" s="6" t="s">
        <v>942</v>
      </c>
      <c r="H17" s="36" t="s">
        <v>944</v>
      </c>
    </row>
    <row r="18" ht="22.5" customHeight="1">
      <c r="A18" s="44" t="s">
        <v>947</v>
      </c>
      <c r="B18" s="45" t="s">
        <v>949</v>
      </c>
      <c r="C18" s="46">
        <v>3052004.2</v>
      </c>
      <c r="D18" s="44" t="s">
        <v>772</v>
      </c>
      <c r="E18" s="44" t="s">
        <v>904</v>
      </c>
      <c r="F18" s="47" t="s">
        <v>10</v>
      </c>
      <c r="G18" s="45" t="s">
        <v>956</v>
      </c>
      <c r="H18" s="36" t="s">
        <v>958</v>
      </c>
    </row>
    <row r="19" ht="22.5" customHeight="1">
      <c r="A19" s="48" t="s">
        <v>962</v>
      </c>
      <c r="B19" s="49" t="s">
        <v>966</v>
      </c>
      <c r="C19" s="50">
        <v>940.24</v>
      </c>
      <c r="D19" s="48" t="s">
        <v>772</v>
      </c>
      <c r="E19" s="48" t="s">
        <v>904</v>
      </c>
      <c r="F19" s="51" t="s">
        <v>10</v>
      </c>
      <c r="G19" s="49" t="s">
        <v>970</v>
      </c>
      <c r="H19" s="36" t="s">
        <v>972</v>
      </c>
    </row>
    <row r="20" ht="22.5" customHeight="1">
      <c r="A20" s="44" t="s">
        <v>976</v>
      </c>
      <c r="B20" s="45" t="s">
        <v>978</v>
      </c>
      <c r="C20" s="46">
        <v>0.05</v>
      </c>
      <c r="D20" s="44" t="s">
        <v>804</v>
      </c>
      <c r="E20" s="44" t="s">
        <v>980</v>
      </c>
      <c r="F20" s="47" t="s">
        <v>95</v>
      </c>
      <c r="G20" s="45" t="s">
        <v>982</v>
      </c>
      <c r="H20" s="36" t="s">
        <v>983</v>
      </c>
    </row>
    <row r="21" ht="22.5" customHeight="1">
      <c r="A21" s="48" t="s">
        <v>987</v>
      </c>
      <c r="B21" s="49" t="s">
        <v>988</v>
      </c>
      <c r="C21" s="50">
        <v>0.2</v>
      </c>
      <c r="D21" s="48" t="s">
        <v>804</v>
      </c>
      <c r="E21" s="48" t="s">
        <v>980</v>
      </c>
      <c r="F21" s="51" t="s">
        <v>10</v>
      </c>
      <c r="G21" s="49" t="s">
        <v>991</v>
      </c>
      <c r="H21" s="36" t="s">
        <v>992</v>
      </c>
    </row>
    <row r="22" ht="22.5" customHeight="1">
      <c r="A22" s="44" t="s">
        <v>994</v>
      </c>
      <c r="B22" s="45" t="s">
        <v>997</v>
      </c>
      <c r="C22" s="52">
        <v>240.0</v>
      </c>
      <c r="D22" s="44" t="s">
        <v>999</v>
      </c>
      <c r="E22" s="44" t="s">
        <v>807</v>
      </c>
      <c r="F22" s="47" t="s">
        <v>10</v>
      </c>
      <c r="G22" s="45" t="s">
        <v>1002</v>
      </c>
      <c r="H22" s="53" t="s">
        <v>1003</v>
      </c>
    </row>
    <row r="23" ht="22.5" customHeight="1">
      <c r="A23" s="48" t="s">
        <v>1005</v>
      </c>
      <c r="B23" s="49" t="s">
        <v>1007</v>
      </c>
      <c r="C23" s="54">
        <v>16.0</v>
      </c>
      <c r="D23" s="48" t="s">
        <v>1009</v>
      </c>
      <c r="E23" s="48" t="s">
        <v>1011</v>
      </c>
      <c r="F23" s="51" t="s">
        <v>95</v>
      </c>
      <c r="G23" s="49" t="s">
        <v>1012</v>
      </c>
      <c r="H23" s="55" t="s">
        <v>1015</v>
      </c>
    </row>
    <row r="24" ht="22.5" customHeight="1">
      <c r="A24" s="6" t="s">
        <v>1019</v>
      </c>
      <c r="B24" s="6" t="s">
        <v>1021</v>
      </c>
      <c r="C24" s="42">
        <v>0.38</v>
      </c>
      <c r="D24" s="6" t="s">
        <v>804</v>
      </c>
      <c r="E24" s="6" t="s">
        <v>807</v>
      </c>
      <c r="F24" s="43" t="s">
        <v>95</v>
      </c>
      <c r="G24" s="6" t="s">
        <v>1025</v>
      </c>
      <c r="H24" s="56" t="s">
        <v>1026</v>
      </c>
    </row>
    <row r="25" ht="22.5" customHeight="1">
      <c r="A25" s="6" t="s">
        <v>1030</v>
      </c>
      <c r="B25" s="6" t="s">
        <v>1031</v>
      </c>
      <c r="C25" s="42">
        <f>IFERROR(__xludf.DUMMYFUNCTION("ROUND('Task Breakdown'!C8/60/COUNTUNIQUE('Recovery activity tracker'!$C$2:$C$9891)*$C$3*12, 0)"),404.0)</f>
        <v>404</v>
      </c>
      <c r="D25" s="6" t="s">
        <v>999</v>
      </c>
      <c r="E25" s="6" t="s">
        <v>1039</v>
      </c>
      <c r="F25" s="57" t="s">
        <v>10</v>
      </c>
      <c r="G25" s="6" t="s">
        <v>1042</v>
      </c>
      <c r="H25" s="56" t="s">
        <v>1044</v>
      </c>
    </row>
  </sheetData>
  <dataValidations>
    <dataValidation type="custom" allowBlank="1" showDropDown="1" sqref="C2:C25">
      <formula1>AND(ISNUMBER(C2),(NOT(OR(NOT(ISERROR(DATEVALUE(C2))), AND(ISNUMBER(C2), LEFT(CELL("format", C2))="D")))))</formula1>
    </dataValidation>
    <dataValidation type="list" allowBlank="1" sqref="F2:F25">
      <formula1>"High,High,Medium,Medium,Medium,Medium,Low,Low,Medium,Medium,Medium"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39.38"/>
    <col customWidth="1" min="3" max="3" width="11.88"/>
    <col customWidth="1" min="4" max="4" width="12.13"/>
    <col customWidth="1" min="5" max="5" width="36.75"/>
    <col customWidth="1" min="6" max="6" width="14.25"/>
    <col customWidth="1" min="7" max="7" width="40.13"/>
    <col customWidth="1" min="8" max="8" width="47.63"/>
  </cols>
  <sheetData>
    <row r="1" ht="22.5" customHeight="1">
      <c r="A1" s="58" t="s">
        <v>1105</v>
      </c>
      <c r="B1" s="59" t="s">
        <v>1109</v>
      </c>
      <c r="C1" s="58" t="s">
        <v>1112</v>
      </c>
      <c r="D1" s="58" t="s">
        <v>755</v>
      </c>
      <c r="E1" s="58" t="s">
        <v>758</v>
      </c>
      <c r="F1" s="58" t="s">
        <v>760</v>
      </c>
      <c r="G1" s="58" t="s">
        <v>762</v>
      </c>
      <c r="H1" s="60" t="s">
        <v>662</v>
      </c>
    </row>
    <row r="2" ht="22.5" customHeight="1">
      <c r="A2" s="61" t="s">
        <v>1119</v>
      </c>
      <c r="B2" s="62" t="s">
        <v>1121</v>
      </c>
      <c r="C2" s="63">
        <f>COUNTA('Delinquent accounts'!A2:A3247)</f>
        <v>3246</v>
      </c>
      <c r="D2" s="61" t="s">
        <v>1127</v>
      </c>
      <c r="E2" s="61" t="s">
        <v>1128</v>
      </c>
      <c r="F2" s="61" t="s">
        <v>10</v>
      </c>
      <c r="G2" s="62" t="s">
        <v>1130</v>
      </c>
      <c r="H2" s="64" t="s">
        <v>1133</v>
      </c>
    </row>
    <row r="3" ht="22.5" customHeight="1">
      <c r="A3" s="61" t="s">
        <v>1134</v>
      </c>
      <c r="B3" s="62" t="s">
        <v>1135</v>
      </c>
      <c r="C3" s="63">
        <f>ROUND(C2*Assumptions!C4, 0)</f>
        <v>1233</v>
      </c>
      <c r="D3" s="61" t="s">
        <v>1139</v>
      </c>
      <c r="E3" s="61" t="s">
        <v>1140</v>
      </c>
      <c r="F3" s="61" t="s">
        <v>95</v>
      </c>
      <c r="G3" s="62" t="s">
        <v>1142</v>
      </c>
      <c r="H3" s="64" t="s">
        <v>1144</v>
      </c>
    </row>
    <row r="4" ht="22.5" customHeight="1">
      <c r="A4" s="61" t="s">
        <v>1145</v>
      </c>
      <c r="B4" s="62" t="s">
        <v>1147</v>
      </c>
      <c r="C4" s="65">
        <f>IFERROR(__xludf.DUMMYFUNCTION("ROUND(SUMIF('Recovery activity tracker'!D:D, ""spreadsheet_reconcile"", 'Recovery activity tracker'!I:I) / 60 / COUNTUNIQUE('Recovery activity tracker'!C2:C9891), 2)"),3.31)</f>
        <v>3.31</v>
      </c>
      <c r="D4" s="61" t="s">
        <v>1151</v>
      </c>
      <c r="E4" s="61" t="s">
        <v>1153</v>
      </c>
      <c r="F4" s="61" t="s">
        <v>95</v>
      </c>
      <c r="G4" s="62" t="s">
        <v>1154</v>
      </c>
      <c r="H4" s="64" t="s">
        <v>1155</v>
      </c>
    </row>
    <row r="5" ht="22.5" customHeight="1">
      <c r="A5" s="61" t="s">
        <v>1156</v>
      </c>
      <c r="B5" s="62" t="s">
        <v>845</v>
      </c>
      <c r="C5" s="66">
        <f>Assumptions!C7</f>
        <v>0.14</v>
      </c>
      <c r="D5" s="61" t="s">
        <v>804</v>
      </c>
      <c r="E5" s="61" t="s">
        <v>1161</v>
      </c>
      <c r="F5" s="61" t="s">
        <v>95</v>
      </c>
      <c r="G5" s="62" t="s">
        <v>1162</v>
      </c>
      <c r="H5" s="64" t="s">
        <v>1163</v>
      </c>
    </row>
    <row r="6" ht="22.5" customHeight="1">
      <c r="A6" s="61" t="s">
        <v>1164</v>
      </c>
      <c r="B6" s="62" t="s">
        <v>1165</v>
      </c>
      <c r="C6" s="63">
        <f>Assumptions!C5</f>
        <v>18</v>
      </c>
      <c r="D6" s="61" t="s">
        <v>1169</v>
      </c>
      <c r="E6" s="61" t="s">
        <v>1170</v>
      </c>
      <c r="F6" s="61" t="s">
        <v>95</v>
      </c>
      <c r="G6" s="62" t="s">
        <v>1171</v>
      </c>
      <c r="H6" s="64" t="s">
        <v>1172</v>
      </c>
    </row>
    <row r="7" ht="22.5" customHeight="1">
      <c r="A7" s="67" t="s">
        <v>1174</v>
      </c>
      <c r="B7" s="67" t="s">
        <v>1176</v>
      </c>
      <c r="C7" s="68">
        <f>ROUND((C3*C6)/60, 1)</f>
        <v>369.9</v>
      </c>
      <c r="D7" s="67" t="s">
        <v>1179</v>
      </c>
      <c r="E7" s="67" t="s">
        <v>1180</v>
      </c>
      <c r="F7" s="67" t="s">
        <v>95</v>
      </c>
      <c r="G7" s="62" t="s">
        <v>1183</v>
      </c>
      <c r="H7" s="64" t="s">
        <v>1185</v>
      </c>
    </row>
    <row r="8" ht="22.5" customHeight="1">
      <c r="A8" s="67" t="s">
        <v>1186</v>
      </c>
      <c r="B8" s="67" t="s">
        <v>1188</v>
      </c>
      <c r="C8" s="68">
        <f>ROUND(C4*Assumptions!C3, 1)</f>
        <v>69.5</v>
      </c>
      <c r="D8" s="67" t="s">
        <v>1179</v>
      </c>
      <c r="E8" s="67" t="s">
        <v>1197</v>
      </c>
      <c r="F8" s="67" t="s">
        <v>95</v>
      </c>
      <c r="G8" s="62" t="s">
        <v>1201</v>
      </c>
      <c r="H8" s="64" t="s">
        <v>1202</v>
      </c>
    </row>
    <row r="9" ht="22.5" customHeight="1">
      <c r="A9" s="67" t="s">
        <v>1203</v>
      </c>
      <c r="B9" s="67" t="s">
        <v>1204</v>
      </c>
      <c r="C9" s="68">
        <f>ROUND(C7+C8, 1)</f>
        <v>439.4</v>
      </c>
      <c r="D9" s="67" t="s">
        <v>1179</v>
      </c>
      <c r="E9" s="67" t="s">
        <v>1209</v>
      </c>
      <c r="F9" s="67" t="s">
        <v>95</v>
      </c>
      <c r="G9" s="62" t="s">
        <v>1212</v>
      </c>
      <c r="H9" s="64" t="s">
        <v>1213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33.75"/>
    <col customWidth="1" min="3" max="3" width="35.5"/>
    <col customWidth="1" min="4" max="4" width="14.25"/>
    <col customWidth="1" min="5" max="5" width="14.38"/>
    <col customWidth="1" min="6" max="6" width="14.13"/>
    <col customWidth="1" min="7" max="7" width="13.5"/>
    <col customWidth="1" min="8" max="8" width="37.13"/>
    <col customWidth="1" min="9" max="9" width="14.25"/>
    <col customWidth="1" min="10" max="10" width="11.13"/>
    <col customWidth="1" min="11" max="11" width="48.13"/>
  </cols>
  <sheetData>
    <row r="1" ht="22.5" customHeight="1">
      <c r="A1" s="26" t="s">
        <v>1182</v>
      </c>
      <c r="B1" s="26" t="s">
        <v>1187</v>
      </c>
      <c r="C1" s="26" t="s">
        <v>1189</v>
      </c>
      <c r="D1" s="26" t="s">
        <v>1190</v>
      </c>
      <c r="E1" s="26" t="s">
        <v>1191</v>
      </c>
      <c r="F1" s="26" t="s">
        <v>1192</v>
      </c>
      <c r="G1" s="26" t="s">
        <v>1194</v>
      </c>
      <c r="H1" s="26" t="s">
        <v>1196</v>
      </c>
      <c r="I1" s="26" t="s">
        <v>760</v>
      </c>
      <c r="J1" s="26" t="s">
        <v>1200</v>
      </c>
      <c r="K1" s="69" t="s">
        <v>662</v>
      </c>
    </row>
    <row r="2" ht="22.5" customHeight="1">
      <c r="A2" s="7" t="s">
        <v>1205</v>
      </c>
      <c r="B2" s="7" t="s">
        <v>1206</v>
      </c>
      <c r="C2" s="7" t="s">
        <v>1208</v>
      </c>
      <c r="D2" s="70">
        <f>Assumptions!$C$11</f>
        <v>45000</v>
      </c>
      <c r="E2" s="71">
        <f>Assumptions!$C$25</f>
        <v>404</v>
      </c>
      <c r="F2" s="70">
        <f>E2*Assumptions!$C$2</f>
        <v>8888</v>
      </c>
      <c r="G2" s="72">
        <v>0.0</v>
      </c>
      <c r="H2" s="7" t="s">
        <v>1219</v>
      </c>
      <c r="I2" s="73" t="s">
        <v>10</v>
      </c>
      <c r="J2" s="74">
        <v>3.0</v>
      </c>
      <c r="K2" s="36" t="s">
        <v>1221</v>
      </c>
    </row>
    <row r="3" ht="22.5" customHeight="1">
      <c r="A3" s="7" t="s">
        <v>1222</v>
      </c>
      <c r="B3" s="7" t="s">
        <v>1224</v>
      </c>
      <c r="C3" s="7" t="s">
        <v>1228</v>
      </c>
      <c r="D3" s="70">
        <f>Assumptions!$C$11</f>
        <v>45000</v>
      </c>
      <c r="E3" s="71">
        <v>240.0</v>
      </c>
      <c r="F3" s="70">
        <f>E3*Assumptions!$C$2</f>
        <v>5280</v>
      </c>
      <c r="G3" s="72">
        <v>0.0</v>
      </c>
      <c r="H3" s="7" t="s">
        <v>1231</v>
      </c>
      <c r="I3" s="73" t="s">
        <v>10</v>
      </c>
      <c r="J3" s="74">
        <v>5.0</v>
      </c>
      <c r="K3" s="36" t="s">
        <v>1234</v>
      </c>
    </row>
    <row r="4" ht="22.5" customHeight="1">
      <c r="A4" s="7" t="s">
        <v>1235</v>
      </c>
      <c r="B4" s="7" t="s">
        <v>1236</v>
      </c>
      <c r="C4" s="7" t="s">
        <v>1239</v>
      </c>
      <c r="D4" s="70">
        <f>Assumptions!$C$11</f>
        <v>45000</v>
      </c>
      <c r="E4" s="71">
        <v>360.0</v>
      </c>
      <c r="F4" s="70">
        <f>E4*Assumptions!$C$2</f>
        <v>7920</v>
      </c>
      <c r="G4" s="70">
        <f>Assumptions!$C$9*Assumptions!$C$10*12*Assumptions!$C$24</f>
        <v>912000</v>
      </c>
      <c r="H4" s="7" t="s">
        <v>1249</v>
      </c>
      <c r="I4" s="73" t="s">
        <v>95</v>
      </c>
      <c r="J4" s="74">
        <v>2.0</v>
      </c>
      <c r="K4" s="36" t="s">
        <v>1253</v>
      </c>
    </row>
    <row r="5" ht="22.5" customHeight="1">
      <c r="A5" s="7" t="s">
        <v>1256</v>
      </c>
      <c r="B5" s="7" t="s">
        <v>1260</v>
      </c>
      <c r="C5" s="7" t="s">
        <v>1265</v>
      </c>
      <c r="D5" s="70">
        <f>Assumptions!$C$12</f>
        <v>85000</v>
      </c>
      <c r="E5" s="71">
        <v>986.0</v>
      </c>
      <c r="F5" s="70">
        <f>E5*Assumptions!$C$2</f>
        <v>21692</v>
      </c>
      <c r="G5" s="70">
        <f>Assumptions!$C$8*Assumptions!$C$10*12*Assumptions!$C$24</f>
        <v>1459200</v>
      </c>
      <c r="H5" s="7" t="s">
        <v>1277</v>
      </c>
      <c r="I5" s="73" t="s">
        <v>95</v>
      </c>
      <c r="J5" s="74">
        <v>1.0</v>
      </c>
      <c r="K5" s="36" t="s">
        <v>1281</v>
      </c>
    </row>
    <row r="6" ht="22.5" customHeight="1">
      <c r="A6" s="7" t="s">
        <v>1283</v>
      </c>
      <c r="B6" s="7" t="s">
        <v>1285</v>
      </c>
      <c r="C6" s="7" t="s">
        <v>1289</v>
      </c>
      <c r="D6" s="70">
        <f>Assumptions!$C$12</f>
        <v>85000</v>
      </c>
      <c r="E6" s="71">
        <v>650.0</v>
      </c>
      <c r="F6" s="70">
        <f>E6*Assumptions!$C$2</f>
        <v>14300</v>
      </c>
      <c r="G6" s="72">
        <v>0.0</v>
      </c>
      <c r="H6" s="7" t="s">
        <v>1295</v>
      </c>
      <c r="I6" s="73" t="s">
        <v>10</v>
      </c>
      <c r="J6" s="74">
        <v>4.0</v>
      </c>
      <c r="K6" s="36" t="s">
        <v>1299</v>
      </c>
    </row>
    <row r="7" ht="22.5" customHeight="1">
      <c r="A7" s="7" t="s">
        <v>1300</v>
      </c>
      <c r="B7" s="7" t="s">
        <v>1301</v>
      </c>
      <c r="C7" s="7" t="s">
        <v>1303</v>
      </c>
      <c r="D7" s="70">
        <f>Assumptions!$C$11</f>
        <v>45000</v>
      </c>
      <c r="E7" s="81">
        <f>'Baseline metrics'!$C$8*12</f>
        <v>834</v>
      </c>
      <c r="F7" s="70">
        <f>E7*Assumptions!$C$2</f>
        <v>18348</v>
      </c>
      <c r="G7" s="72">
        <v>0.0</v>
      </c>
      <c r="H7" s="7" t="s">
        <v>1311</v>
      </c>
      <c r="I7" s="73" t="s">
        <v>10</v>
      </c>
      <c r="J7" s="74">
        <v>7.0</v>
      </c>
      <c r="K7" s="36" t="s">
        <v>1315</v>
      </c>
    </row>
    <row r="8" ht="22.5" customHeight="1">
      <c r="A8" s="7" t="s">
        <v>1316</v>
      </c>
      <c r="B8" s="7" t="s">
        <v>1319</v>
      </c>
      <c r="C8" s="7" t="s">
        <v>1321</v>
      </c>
      <c r="D8" s="70">
        <f>Assumptions!$C$11</f>
        <v>45000</v>
      </c>
      <c r="E8" s="71">
        <v>420.0</v>
      </c>
      <c r="F8" s="70">
        <f>E8*Assumptions!$C$2</f>
        <v>9240</v>
      </c>
      <c r="G8" s="72">
        <v>0.0</v>
      </c>
      <c r="H8" s="7" t="s">
        <v>1329</v>
      </c>
      <c r="I8" s="73" t="s">
        <v>95</v>
      </c>
      <c r="J8" s="74">
        <v>6.0</v>
      </c>
      <c r="K8" s="36" t="s">
        <v>1332</v>
      </c>
    </row>
    <row r="11">
      <c r="C11" s="86"/>
    </row>
    <row r="12">
      <c r="C12" s="87"/>
    </row>
    <row r="13">
      <c r="C13" s="86"/>
    </row>
    <row r="14">
      <c r="C14" s="86"/>
    </row>
    <row r="15">
      <c r="C15" s="86"/>
    </row>
    <row r="16">
      <c r="C16" s="86"/>
    </row>
    <row r="17">
      <c r="C17" s="86"/>
    </row>
    <row r="18">
      <c r="C18" s="86"/>
    </row>
  </sheetData>
  <dataValidations>
    <dataValidation type="list" allowBlank="1" sqref="I2:I8">
      <formula1>"High,Medium,Low"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2.5"/>
    <col customWidth="1" min="3" max="3" width="12.38"/>
    <col customWidth="1" min="4" max="4" width="11.88"/>
    <col customWidth="1" min="5" max="5" width="9.38"/>
    <col customWidth="1" min="6" max="6" width="12.13"/>
    <col customWidth="1" min="7" max="7" width="10.75"/>
    <col customWidth="1" min="8" max="8" width="10.88"/>
    <col customWidth="1" min="9" max="9" width="9.13"/>
    <col customWidth="1" min="10" max="10" width="12.88"/>
  </cols>
  <sheetData>
    <row r="1">
      <c r="A1" s="75" t="s">
        <v>1250</v>
      </c>
      <c r="B1" s="75" t="s">
        <v>1252</v>
      </c>
      <c r="C1" s="75" t="s">
        <v>1255</v>
      </c>
      <c r="D1" s="75" t="s">
        <v>1257</v>
      </c>
      <c r="E1" s="75" t="s">
        <v>1258</v>
      </c>
      <c r="F1" s="75" t="s">
        <v>1259</v>
      </c>
      <c r="G1" s="75" t="s">
        <v>1261</v>
      </c>
      <c r="H1" s="75" t="s">
        <v>1262</v>
      </c>
      <c r="I1" s="75" t="s">
        <v>1263</v>
      </c>
      <c r="J1" s="75" t="s">
        <v>1264</v>
      </c>
    </row>
    <row r="2">
      <c r="A2" s="76" t="str">
        <f>Opportunities!A2</f>
        <v>OP-01</v>
      </c>
      <c r="B2" s="76" t="str">
        <f>Opportunities!B2</f>
        <v>self-serve balance and arrears view</v>
      </c>
      <c r="C2" s="77">
        <f>Opportunities!D2</f>
        <v>45000</v>
      </c>
      <c r="D2" s="77">
        <f>Opportunities!F2</f>
        <v>8888</v>
      </c>
      <c r="E2" s="77">
        <f>Opportunities!G2</f>
        <v>0</v>
      </c>
      <c r="F2" s="77">
        <f t="shared" ref="F2:F8" si="1">D2+E2</f>
        <v>8888</v>
      </c>
      <c r="G2" s="77">
        <f t="shared" ref="G2:G8" si="2">F2-C2</f>
        <v>-36112</v>
      </c>
      <c r="H2" s="78">
        <f t="shared" ref="H2:H9" si="3">IF(C2&gt;0, G2/C2, 0)</f>
        <v>-0.8024888889</v>
      </c>
      <c r="I2" s="79">
        <f t="shared" ref="I2:I9" si="4">IF(F2&gt;0, C2/(F2/12), "N/A")</f>
        <v>60.75607561</v>
      </c>
      <c r="J2" s="80" t="s">
        <v>1284</v>
      </c>
    </row>
    <row r="3">
      <c r="A3" s="76" t="str">
        <f>Opportunities!A3</f>
        <v>OP-02</v>
      </c>
      <c r="B3" s="76" t="str">
        <f>Opportunities!B3</f>
        <v>contact detail confirmation or update request</v>
      </c>
      <c r="C3" s="77">
        <f>Opportunities!D3</f>
        <v>45000</v>
      </c>
      <c r="D3" s="77">
        <f>Opportunities!F3</f>
        <v>5280</v>
      </c>
      <c r="E3" s="77">
        <f>Opportunities!G3</f>
        <v>0</v>
      </c>
      <c r="F3" s="77">
        <f t="shared" si="1"/>
        <v>5280</v>
      </c>
      <c r="G3" s="77">
        <f t="shared" si="2"/>
        <v>-39720</v>
      </c>
      <c r="H3" s="78">
        <f t="shared" si="3"/>
        <v>-0.8826666667</v>
      </c>
      <c r="I3" s="79">
        <f t="shared" si="4"/>
        <v>102.2727273</v>
      </c>
      <c r="J3" s="80" t="s">
        <v>1284</v>
      </c>
    </row>
    <row r="4">
      <c r="A4" s="76" t="str">
        <f>Opportunities!A4</f>
        <v>OP-03</v>
      </c>
      <c r="B4" s="76" t="str">
        <f>Opportunities!B4</f>
        <v>digital promise-to-pay capture</v>
      </c>
      <c r="C4" s="77">
        <f>Opportunities!D4</f>
        <v>45000</v>
      </c>
      <c r="D4" s="77">
        <f>Opportunities!F4</f>
        <v>7920</v>
      </c>
      <c r="E4" s="77">
        <f>Opportunities!G4</f>
        <v>912000</v>
      </c>
      <c r="F4" s="77">
        <f t="shared" si="1"/>
        <v>919920</v>
      </c>
      <c r="G4" s="77">
        <f t="shared" si="2"/>
        <v>874920</v>
      </c>
      <c r="H4" s="78">
        <f t="shared" si="3"/>
        <v>19.44266667</v>
      </c>
      <c r="I4" s="79">
        <f t="shared" si="4"/>
        <v>0.5870075659</v>
      </c>
      <c r="J4" s="80" t="s">
        <v>1284</v>
      </c>
    </row>
    <row r="5">
      <c r="A5" s="76" t="str">
        <f>Opportunities!A5</f>
        <v>OP-04</v>
      </c>
      <c r="B5" s="76" t="str">
        <f>Opportunities!B5</f>
        <v>eligible payment-plan selection</v>
      </c>
      <c r="C5" s="77">
        <f>Opportunities!D5</f>
        <v>85000</v>
      </c>
      <c r="D5" s="77">
        <f>Opportunities!F5</f>
        <v>21692</v>
      </c>
      <c r="E5" s="77">
        <f>Opportunities!G5</f>
        <v>1459200</v>
      </c>
      <c r="F5" s="77">
        <f t="shared" si="1"/>
        <v>1480892</v>
      </c>
      <c r="G5" s="77">
        <f t="shared" si="2"/>
        <v>1395892</v>
      </c>
      <c r="H5" s="78">
        <f t="shared" si="3"/>
        <v>16.42225882</v>
      </c>
      <c r="I5" s="79">
        <f t="shared" si="4"/>
        <v>0.6887740632</v>
      </c>
      <c r="J5" s="80" t="s">
        <v>1284</v>
      </c>
    </row>
    <row r="6">
      <c r="A6" s="76" t="str">
        <f>Opportunities!A6</f>
        <v>OP-05</v>
      </c>
      <c r="B6" s="76" t="str">
        <f>Opportunities!B6</f>
        <v>rules-based routing to representatives</v>
      </c>
      <c r="C6" s="77">
        <f>Opportunities!D6</f>
        <v>85000</v>
      </c>
      <c r="D6" s="77">
        <f>Opportunities!F6</f>
        <v>14300</v>
      </c>
      <c r="E6" s="77">
        <f>Opportunities!G6</f>
        <v>0</v>
      </c>
      <c r="F6" s="77">
        <f t="shared" si="1"/>
        <v>14300</v>
      </c>
      <c r="G6" s="77">
        <f t="shared" si="2"/>
        <v>-70700</v>
      </c>
      <c r="H6" s="78">
        <f t="shared" si="3"/>
        <v>-0.8317647059</v>
      </c>
      <c r="I6" s="79">
        <f t="shared" si="4"/>
        <v>71.32867133</v>
      </c>
      <c r="J6" s="80" t="s">
        <v>1284</v>
      </c>
    </row>
    <row r="7">
      <c r="A7" s="76" t="str">
        <f>Opportunities!A7</f>
        <v>OP-06</v>
      </c>
      <c r="B7" s="76" t="str">
        <f>Opportunities!B7</f>
        <v>portal interaction history for representatives</v>
      </c>
      <c r="C7" s="77">
        <f>Opportunities!D7</f>
        <v>45000</v>
      </c>
      <c r="D7" s="77">
        <f>Opportunities!F7</f>
        <v>18348</v>
      </c>
      <c r="E7" s="77">
        <f>Opportunities!G7</f>
        <v>0</v>
      </c>
      <c r="F7" s="77">
        <f t="shared" si="1"/>
        <v>18348</v>
      </c>
      <c r="G7" s="77">
        <f t="shared" si="2"/>
        <v>-26652</v>
      </c>
      <c r="H7" s="78">
        <f t="shared" si="3"/>
        <v>-0.5922666667</v>
      </c>
      <c r="I7" s="79">
        <f t="shared" si="4"/>
        <v>29.43100065</v>
      </c>
      <c r="J7" s="80" t="s">
        <v>1284</v>
      </c>
    </row>
    <row r="8">
      <c r="A8" s="76" t="str">
        <f>Opportunities!A8</f>
        <v>OP-07</v>
      </c>
      <c r="B8" s="76" t="str">
        <f>Opportunities!B8</f>
        <v>automated follow-up reminders</v>
      </c>
      <c r="C8" s="77">
        <f>Opportunities!D8</f>
        <v>45000</v>
      </c>
      <c r="D8" s="77">
        <f>Opportunities!F8</f>
        <v>9240</v>
      </c>
      <c r="E8" s="77">
        <f>Opportunities!G8</f>
        <v>0</v>
      </c>
      <c r="F8" s="77">
        <f t="shared" si="1"/>
        <v>9240</v>
      </c>
      <c r="G8" s="77">
        <f t="shared" si="2"/>
        <v>-35760</v>
      </c>
      <c r="H8" s="78">
        <f t="shared" si="3"/>
        <v>-0.7946666667</v>
      </c>
      <c r="I8" s="79">
        <f t="shared" si="4"/>
        <v>58.44155844</v>
      </c>
      <c r="J8" s="80" t="s">
        <v>1284</v>
      </c>
    </row>
    <row r="9">
      <c r="A9" s="82" t="s">
        <v>1323</v>
      </c>
      <c r="B9" s="82" t="s">
        <v>1326</v>
      </c>
      <c r="C9" s="83">
        <f t="shared" ref="C9:G9" si="5">SUM(C2:C8)</f>
        <v>395000</v>
      </c>
      <c r="D9" s="83">
        <f t="shared" si="5"/>
        <v>85668</v>
      </c>
      <c r="E9" s="83">
        <f t="shared" si="5"/>
        <v>2371200</v>
      </c>
      <c r="F9" s="83">
        <f t="shared" si="5"/>
        <v>2456868</v>
      </c>
      <c r="G9" s="83">
        <f t="shared" si="5"/>
        <v>2061868</v>
      </c>
      <c r="H9" s="84">
        <f t="shared" si="3"/>
        <v>5.219918987</v>
      </c>
      <c r="I9" s="85">
        <f t="shared" si="4"/>
        <v>1.929285578</v>
      </c>
      <c r="J9" s="82" t="s">
        <v>1331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35.13"/>
    <col customWidth="1" min="3" max="4" width="15.75"/>
    <col customWidth="1" min="5" max="5" width="13.25"/>
    <col customWidth="1" min="6" max="6" width="15.75"/>
    <col customWidth="1" min="7" max="7" width="14.5"/>
    <col customWidth="1" min="8" max="8" width="17.0"/>
    <col customWidth="1" min="9" max="9" width="60.13"/>
  </cols>
  <sheetData>
    <row r="1" ht="22.5" customHeight="1">
      <c r="A1" s="26" t="s">
        <v>1182</v>
      </c>
      <c r="B1" s="26" t="s">
        <v>1187</v>
      </c>
      <c r="C1" s="26" t="s">
        <v>1346</v>
      </c>
      <c r="D1" s="26" t="s">
        <v>1347</v>
      </c>
      <c r="E1" s="26" t="s">
        <v>1348</v>
      </c>
      <c r="F1" s="26" t="s">
        <v>1349</v>
      </c>
      <c r="G1" s="26" t="s">
        <v>1350</v>
      </c>
      <c r="H1" s="26" t="s">
        <v>760</v>
      </c>
      <c r="I1" s="26" t="s">
        <v>1353</v>
      </c>
    </row>
    <row r="2" ht="22.5" customHeight="1">
      <c r="A2" s="7" t="s">
        <v>1205</v>
      </c>
      <c r="B2" s="28" t="str">
        <f>Calculations!B2</f>
        <v>self-serve balance and arrears view</v>
      </c>
      <c r="C2" s="88">
        <f>Calculations!F2</f>
        <v>8888</v>
      </c>
      <c r="D2" s="89">
        <f>Calculations!G2</f>
        <v>-36112</v>
      </c>
      <c r="E2" s="90">
        <f>Calculations!H2</f>
        <v>-0.8024888889</v>
      </c>
      <c r="F2" s="91">
        <f>Calculations!I2</f>
        <v>60.75607561</v>
      </c>
      <c r="G2" s="92" t="s">
        <v>552</v>
      </c>
      <c r="H2" s="93" t="str">
        <f>Opportunities!I2</f>
        <v>High</v>
      </c>
      <c r="I2" s="94" t="s">
        <v>1371</v>
      </c>
    </row>
    <row r="3" ht="22.5" customHeight="1">
      <c r="A3" s="7" t="s">
        <v>1222</v>
      </c>
      <c r="B3" s="28" t="str">
        <f>Calculations!B3</f>
        <v>contact detail confirmation or update request</v>
      </c>
      <c r="C3" s="88">
        <f>Calculations!F3</f>
        <v>5280</v>
      </c>
      <c r="D3" s="89">
        <f>Calculations!G3</f>
        <v>-39720</v>
      </c>
      <c r="E3" s="90">
        <f>Calculations!H3</f>
        <v>-0.8826666667</v>
      </c>
      <c r="F3" s="91">
        <f>Calculations!I3</f>
        <v>102.2727273</v>
      </c>
      <c r="G3" s="92" t="s">
        <v>552</v>
      </c>
      <c r="H3" s="93" t="str">
        <f>Opportunities!I3</f>
        <v>High</v>
      </c>
      <c r="I3" s="94" t="s">
        <v>1383</v>
      </c>
    </row>
    <row r="4" ht="22.5" customHeight="1">
      <c r="A4" s="7" t="s">
        <v>1235</v>
      </c>
      <c r="B4" s="28" t="str">
        <f>Calculations!B4</f>
        <v>digital promise-to-pay capture</v>
      </c>
      <c r="C4" s="88">
        <f>Calculations!F4</f>
        <v>919920</v>
      </c>
      <c r="D4" s="89">
        <f>Calculations!G4</f>
        <v>874920</v>
      </c>
      <c r="E4" s="90">
        <f>Calculations!H4</f>
        <v>19.44266667</v>
      </c>
      <c r="F4" s="91">
        <f>Calculations!I4</f>
        <v>0.5870075659</v>
      </c>
      <c r="G4" s="92" t="s">
        <v>552</v>
      </c>
      <c r="H4" s="93" t="str">
        <f>Opportunities!I4</f>
        <v>Medium</v>
      </c>
      <c r="I4" s="94" t="s">
        <v>1396</v>
      </c>
    </row>
    <row r="5" ht="22.5" customHeight="1">
      <c r="A5" s="7" t="s">
        <v>1256</v>
      </c>
      <c r="B5" s="28" t="str">
        <f>Calculations!B5</f>
        <v>eligible payment-plan selection</v>
      </c>
      <c r="C5" s="88">
        <f>Calculations!F5</f>
        <v>1480892</v>
      </c>
      <c r="D5" s="89">
        <f>Calculations!G5</f>
        <v>1395892</v>
      </c>
      <c r="E5" s="90">
        <f>Calculations!H5</f>
        <v>16.42225882</v>
      </c>
      <c r="F5" s="91">
        <f>Calculations!I5</f>
        <v>0.6887740632</v>
      </c>
      <c r="G5" s="92" t="s">
        <v>95</v>
      </c>
      <c r="H5" s="93" t="str">
        <f>Opportunities!I5</f>
        <v>Medium</v>
      </c>
      <c r="I5" s="94" t="s">
        <v>1403</v>
      </c>
    </row>
    <row r="6" ht="22.5" customHeight="1">
      <c r="A6" s="7" t="s">
        <v>1283</v>
      </c>
      <c r="B6" s="28" t="str">
        <f>Calculations!B6</f>
        <v>rules-based routing to representatives</v>
      </c>
      <c r="C6" s="88">
        <f>Calculations!F6</f>
        <v>14300</v>
      </c>
      <c r="D6" s="89">
        <f>Calculations!G6</f>
        <v>-70700</v>
      </c>
      <c r="E6" s="90">
        <f>Calculations!H6</f>
        <v>-0.8317647059</v>
      </c>
      <c r="F6" s="91">
        <f>Calculations!I6</f>
        <v>71.32867133</v>
      </c>
      <c r="G6" s="92" t="s">
        <v>95</v>
      </c>
      <c r="H6" s="93" t="str">
        <f>Opportunities!I6</f>
        <v>High</v>
      </c>
      <c r="I6" s="94" t="s">
        <v>1409</v>
      </c>
    </row>
    <row r="7">
      <c r="A7" s="33" t="s">
        <v>1300</v>
      </c>
      <c r="B7" s="95" t="str">
        <f>Calculations!B7</f>
        <v>portal interaction history for representatives</v>
      </c>
      <c r="C7" s="96">
        <f>Calculations!F7</f>
        <v>18348</v>
      </c>
      <c r="D7" s="97">
        <f>Calculations!G7</f>
        <v>-26652</v>
      </c>
      <c r="E7" s="98">
        <f>Calculations!H7</f>
        <v>-0.5922666667</v>
      </c>
      <c r="F7" s="99">
        <f>Calculations!I7</f>
        <v>29.43100065</v>
      </c>
      <c r="G7" s="100" t="s">
        <v>552</v>
      </c>
      <c r="H7" s="101" t="str">
        <f>Opportunities!I7</f>
        <v>High</v>
      </c>
      <c r="I7" s="102" t="s">
        <v>1416</v>
      </c>
    </row>
    <row r="8">
      <c r="A8" s="33" t="s">
        <v>1316</v>
      </c>
      <c r="B8" s="95" t="str">
        <f>Calculations!B8</f>
        <v>automated follow-up reminders</v>
      </c>
      <c r="C8" s="96">
        <f>Calculations!F8</f>
        <v>9240</v>
      </c>
      <c r="D8" s="97">
        <f>Calculations!G8</f>
        <v>-35760</v>
      </c>
      <c r="E8" s="98">
        <f>Calculations!H8</f>
        <v>-0.7946666667</v>
      </c>
      <c r="F8" s="99">
        <f>Calculations!I8</f>
        <v>58.44155844</v>
      </c>
      <c r="G8" s="100" t="s">
        <v>552</v>
      </c>
      <c r="H8" s="101" t="str">
        <f>Opportunities!I8</f>
        <v>Medium</v>
      </c>
      <c r="I8" s="102" t="s">
        <v>1422</v>
      </c>
    </row>
    <row r="9">
      <c r="A9" s="103" t="s">
        <v>1323</v>
      </c>
      <c r="B9" s="104" t="str">
        <f>Calculations!B9</f>
        <v>All Opportunities Rollup</v>
      </c>
      <c r="C9" s="105">
        <f>Calculations!F9</f>
        <v>2456868</v>
      </c>
      <c r="D9" s="106">
        <f>Calculations!G9</f>
        <v>2061868</v>
      </c>
      <c r="E9" s="107">
        <f>Calculations!H9</f>
        <v>5.219918987</v>
      </c>
      <c r="F9" s="108">
        <f>Calculations!I9</f>
        <v>1.929285578</v>
      </c>
      <c r="G9" s="109" t="s">
        <v>1430</v>
      </c>
      <c r="H9" s="109" t="s">
        <v>1431</v>
      </c>
      <c r="I9" s="110" t="s">
        <v>1432</v>
      </c>
    </row>
    <row r="11">
      <c r="A11" s="111" t="s">
        <v>1433</v>
      </c>
    </row>
    <row r="12">
      <c r="A12" s="112" t="s">
        <v>1182</v>
      </c>
      <c r="B12" s="112" t="s">
        <v>1187</v>
      </c>
      <c r="C12" s="112" t="s">
        <v>1346</v>
      </c>
      <c r="D12" s="112" t="s">
        <v>1347</v>
      </c>
      <c r="E12" s="112" t="s">
        <v>1348</v>
      </c>
      <c r="F12" s="112" t="s">
        <v>1349</v>
      </c>
      <c r="G12" s="112" t="s">
        <v>1350</v>
      </c>
      <c r="H12" s="112" t="s">
        <v>760</v>
      </c>
      <c r="I12" s="112" t="s">
        <v>1435</v>
      </c>
    </row>
    <row r="13">
      <c r="A13" s="33" t="s">
        <v>1205</v>
      </c>
      <c r="B13" s="95" t="str">
        <f t="shared" ref="B13:B19" si="2">B2</f>
        <v>self-serve balance and arrears view</v>
      </c>
      <c r="C13" s="96">
        <f>Calculations!D2*0.8+Calculations!E2*0.7</f>
        <v>7110.4</v>
      </c>
      <c r="D13" s="97">
        <f>C13-Calculations!C2</f>
        <v>-37889.6</v>
      </c>
      <c r="E13" s="98">
        <f>IF(Calculations!C2&gt;0, D13/Calculations!C2, 0)</f>
        <v>-0.8419911111</v>
      </c>
      <c r="F13" s="99">
        <f>IF(C13&gt;0, Calculations!C2/(C13/12), "N/A")</f>
        <v>75.94509451</v>
      </c>
      <c r="G13" s="101" t="str">
        <f t="shared" ref="G13:H13" si="1">G2</f>
        <v>Low</v>
      </c>
      <c r="H13" s="101" t="str">
        <f t="shared" si="1"/>
        <v>High</v>
      </c>
      <c r="I13" s="102" t="s">
        <v>1447</v>
      </c>
    </row>
    <row r="14">
      <c r="A14" s="33" t="s">
        <v>1222</v>
      </c>
      <c r="B14" s="95" t="str">
        <f t="shared" si="2"/>
        <v>contact detail confirmation or update request</v>
      </c>
      <c r="C14" s="96">
        <f>Calculations!D3*0.8+Calculations!E3*0.7</f>
        <v>4224</v>
      </c>
      <c r="D14" s="97">
        <f>C14-Calculations!C3</f>
        <v>-40776</v>
      </c>
      <c r="E14" s="98">
        <f>IF(Calculations!C3&gt;0, D14/Calculations!C3, 0)</f>
        <v>-0.9061333333</v>
      </c>
      <c r="F14" s="99">
        <f>IF(C14&gt;0, Calculations!C3/(C14/12), "N/A")</f>
        <v>127.8409091</v>
      </c>
      <c r="G14" s="101" t="str">
        <f t="shared" ref="G14:H14" si="3">G3</f>
        <v>Low</v>
      </c>
      <c r="H14" s="101" t="str">
        <f t="shared" si="3"/>
        <v>High</v>
      </c>
      <c r="I14" s="102" t="s">
        <v>1454</v>
      </c>
    </row>
    <row r="15">
      <c r="A15" s="33" t="s">
        <v>1235</v>
      </c>
      <c r="B15" s="95" t="str">
        <f t="shared" si="2"/>
        <v>digital promise-to-pay capture</v>
      </c>
      <c r="C15" s="96">
        <f>Calculations!D4*0.8+Calculations!E4*0.7</f>
        <v>644736</v>
      </c>
      <c r="D15" s="97">
        <f>C15-Calculations!C4</f>
        <v>599736</v>
      </c>
      <c r="E15" s="98">
        <f>IF(Calculations!C4&gt;0, D15/Calculations!C4, 0)</f>
        <v>13.32746667</v>
      </c>
      <c r="F15" s="99">
        <f>IF(C15&gt;0, Calculations!C4/(C15/12), "N/A")</f>
        <v>0.8375521144</v>
      </c>
      <c r="G15" s="101" t="str">
        <f t="shared" ref="G15:H15" si="4">G4</f>
        <v>Low</v>
      </c>
      <c r="H15" s="101" t="str">
        <f t="shared" si="4"/>
        <v>Medium</v>
      </c>
      <c r="I15" s="102" t="s">
        <v>1461</v>
      </c>
    </row>
    <row r="16">
      <c r="A16" s="33" t="s">
        <v>1256</v>
      </c>
      <c r="B16" s="95" t="str">
        <f t="shared" si="2"/>
        <v>eligible payment-plan selection</v>
      </c>
      <c r="C16" s="96">
        <f>Calculations!D5*0.8+Calculations!E5*0.7</f>
        <v>1038793.6</v>
      </c>
      <c r="D16" s="97">
        <f>C16-Calculations!C5</f>
        <v>953793.6</v>
      </c>
      <c r="E16" s="98">
        <f>IF(Calculations!C5&gt;0, D16/Calculations!C5, 0)</f>
        <v>11.22110118</v>
      </c>
      <c r="F16" s="99">
        <f>IF(C16&gt;0, Calculations!C5/(C16/12), "N/A")</f>
        <v>0.9819082443</v>
      </c>
      <c r="G16" s="101" t="str">
        <f t="shared" ref="G16:H16" si="5">G5</f>
        <v>Medium</v>
      </c>
      <c r="H16" s="101" t="str">
        <f t="shared" si="5"/>
        <v>Medium</v>
      </c>
      <c r="I16" s="102" t="s">
        <v>1467</v>
      </c>
    </row>
    <row r="17">
      <c r="A17" s="33" t="s">
        <v>1283</v>
      </c>
      <c r="B17" s="95" t="str">
        <f t="shared" si="2"/>
        <v>rules-based routing to representatives</v>
      </c>
      <c r="C17" s="96">
        <f>Calculations!D6*0.8+Calculations!E6*0.7</f>
        <v>11440</v>
      </c>
      <c r="D17" s="97">
        <f>C17-Calculations!C6</f>
        <v>-73560</v>
      </c>
      <c r="E17" s="98">
        <f>IF(Calculations!C6&gt;0, D17/Calculations!C6, 0)</f>
        <v>-0.8654117647</v>
      </c>
      <c r="F17" s="99">
        <f>IF(C17&gt;0, Calculations!C6/(C17/12), "N/A")</f>
        <v>89.16083916</v>
      </c>
      <c r="G17" s="101" t="str">
        <f t="shared" ref="G17:H17" si="6">G6</f>
        <v>Medium</v>
      </c>
      <c r="H17" s="101" t="str">
        <f t="shared" si="6"/>
        <v>High</v>
      </c>
      <c r="I17" s="102" t="s">
        <v>1472</v>
      </c>
    </row>
    <row r="18">
      <c r="A18" s="33" t="s">
        <v>1300</v>
      </c>
      <c r="B18" s="95" t="str">
        <f t="shared" si="2"/>
        <v>portal interaction history for representatives</v>
      </c>
      <c r="C18" s="96">
        <f>Calculations!D7*0.8+Calculations!E7*0.7</f>
        <v>14678.4</v>
      </c>
      <c r="D18" s="97">
        <f>C18-Calculations!C7</f>
        <v>-30321.6</v>
      </c>
      <c r="E18" s="98">
        <f>IF(Calculations!C7&gt;0, D18/Calculations!C7, 0)</f>
        <v>-0.6738133333</v>
      </c>
      <c r="F18" s="99">
        <f>IF(C18&gt;0, Calculations!C7/(C18/12), "N/A")</f>
        <v>36.78875082</v>
      </c>
      <c r="G18" s="101" t="str">
        <f t="shared" ref="G18:H18" si="7">G7</f>
        <v>Low</v>
      </c>
      <c r="H18" s="101" t="str">
        <f t="shared" si="7"/>
        <v>High</v>
      </c>
      <c r="I18" s="102" t="s">
        <v>1478</v>
      </c>
    </row>
    <row r="19">
      <c r="A19" s="33" t="s">
        <v>1316</v>
      </c>
      <c r="B19" s="95" t="str">
        <f t="shared" si="2"/>
        <v>automated follow-up reminders</v>
      </c>
      <c r="C19" s="96">
        <f>Calculations!D8*0.8+Calculations!E8*0.7</f>
        <v>7392</v>
      </c>
      <c r="D19" s="97">
        <f>C19-Calculations!C8</f>
        <v>-37608</v>
      </c>
      <c r="E19" s="98">
        <f>IF(Calculations!C8&gt;0, D19/Calculations!C8, 0)</f>
        <v>-0.8357333333</v>
      </c>
      <c r="F19" s="99">
        <f>IF(C19&gt;0, Calculations!C8/(C19/12), "N/A")</f>
        <v>73.05194805</v>
      </c>
      <c r="G19" s="101" t="str">
        <f t="shared" ref="G19:H19" si="8">G8</f>
        <v>Low</v>
      </c>
      <c r="H19" s="101" t="str">
        <f t="shared" si="8"/>
        <v>Medium</v>
      </c>
      <c r="I19" s="102" t="s">
        <v>1484</v>
      </c>
    </row>
    <row r="20">
      <c r="A20" s="103" t="s">
        <v>1323</v>
      </c>
      <c r="B20" s="103" t="s">
        <v>1485</v>
      </c>
      <c r="C20" s="105">
        <f t="shared" ref="C20:D20" si="9">SUM(C13:C19)</f>
        <v>1728374.4</v>
      </c>
      <c r="D20" s="106">
        <f t="shared" si="9"/>
        <v>1333374.4</v>
      </c>
      <c r="E20" s="107">
        <f>IF(Calculations!C9&gt;0, D20/Calculations!C9, 0)</f>
        <v>3.375631392</v>
      </c>
      <c r="F20" s="108">
        <f>IF(C20&gt;0, Calculations!C9/(C20/12), "N/A")</f>
        <v>2.742461356</v>
      </c>
      <c r="G20" s="109" t="s">
        <v>1430</v>
      </c>
      <c r="H20" s="109" t="s">
        <v>1493</v>
      </c>
      <c r="I20" s="110" t="s">
        <v>1494</v>
      </c>
    </row>
    <row r="22">
      <c r="A22" s="113" t="s">
        <v>1495</v>
      </c>
    </row>
    <row r="23">
      <c r="A23" s="112" t="s">
        <v>1182</v>
      </c>
      <c r="B23" s="112" t="s">
        <v>1187</v>
      </c>
      <c r="C23" s="112" t="s">
        <v>1346</v>
      </c>
      <c r="D23" s="112" t="s">
        <v>1347</v>
      </c>
      <c r="E23" s="112" t="s">
        <v>1348</v>
      </c>
      <c r="F23" s="112" t="s">
        <v>1349</v>
      </c>
      <c r="G23" s="112" t="s">
        <v>1350</v>
      </c>
      <c r="H23" s="112" t="s">
        <v>760</v>
      </c>
      <c r="I23" s="112" t="s">
        <v>1435</v>
      </c>
    </row>
    <row r="24">
      <c r="A24" s="33" t="s">
        <v>1205</v>
      </c>
      <c r="B24" s="95" t="str">
        <f t="shared" ref="B24:B30" si="11">B2</f>
        <v>self-serve balance and arrears view</v>
      </c>
      <c r="C24" s="96">
        <f>Calculations!D2*1.2+Calculations!E2*1.3</f>
        <v>10665.6</v>
      </c>
      <c r="D24" s="97">
        <f>C24-Calculations!C2</f>
        <v>-34334.4</v>
      </c>
      <c r="E24" s="98">
        <f>IF(Calculations!C2&gt;0, D24/Calculations!C2, 0)</f>
        <v>-0.7629866667</v>
      </c>
      <c r="F24" s="99">
        <f>IF(C24&gt;0, Calculations!C2/(C24/12), "N/A")</f>
        <v>50.63006301</v>
      </c>
      <c r="G24" s="101" t="str">
        <f t="shared" ref="G24:H24" si="10">G2</f>
        <v>Low</v>
      </c>
      <c r="H24" s="101" t="str">
        <f t="shared" si="10"/>
        <v>High</v>
      </c>
      <c r="I24" s="102" t="s">
        <v>1507</v>
      </c>
    </row>
    <row r="25">
      <c r="A25" s="33" t="s">
        <v>1222</v>
      </c>
      <c r="B25" s="95" t="str">
        <f t="shared" si="11"/>
        <v>contact detail confirmation or update request</v>
      </c>
      <c r="C25" s="96">
        <f>Calculations!D3*1.2+Calculations!E3*1.3</f>
        <v>6336</v>
      </c>
      <c r="D25" s="97">
        <f>C25-Calculations!C3</f>
        <v>-38664</v>
      </c>
      <c r="E25" s="98">
        <f>IF(Calculations!C3&gt;0, D25/Calculations!C3, 0)</f>
        <v>-0.8592</v>
      </c>
      <c r="F25" s="99">
        <f>IF(C25&gt;0, Calculations!C3/(C25/12), "N/A")</f>
        <v>85.22727273</v>
      </c>
      <c r="G25" s="101" t="str">
        <f t="shared" ref="G25:H25" si="12">G3</f>
        <v>Low</v>
      </c>
      <c r="H25" s="101" t="str">
        <f t="shared" si="12"/>
        <v>High</v>
      </c>
      <c r="I25" s="102" t="s">
        <v>1514</v>
      </c>
    </row>
    <row r="26">
      <c r="A26" s="33" t="s">
        <v>1235</v>
      </c>
      <c r="B26" s="95" t="str">
        <f t="shared" si="11"/>
        <v>digital promise-to-pay capture</v>
      </c>
      <c r="C26" s="96">
        <f>Calculations!D4*1.2+Calculations!E4*1.3</f>
        <v>1195104</v>
      </c>
      <c r="D26" s="97">
        <f>C26-Calculations!C4</f>
        <v>1150104</v>
      </c>
      <c r="E26" s="98">
        <f>IF(Calculations!C4&gt;0, D26/Calculations!C4, 0)</f>
        <v>25.55786667</v>
      </c>
      <c r="F26" s="99">
        <f>IF(C26&gt;0, Calculations!C4/(C26/12), "N/A")</f>
        <v>0.4518435216</v>
      </c>
      <c r="G26" s="101" t="str">
        <f t="shared" ref="G26:H26" si="13">G4</f>
        <v>Low</v>
      </c>
      <c r="H26" s="101" t="str">
        <f t="shared" si="13"/>
        <v>Medium</v>
      </c>
      <c r="I26" s="102" t="s">
        <v>1523</v>
      </c>
    </row>
    <row r="27">
      <c r="A27" s="33" t="s">
        <v>1256</v>
      </c>
      <c r="B27" s="95" t="str">
        <f t="shared" si="11"/>
        <v>eligible payment-plan selection</v>
      </c>
      <c r="C27" s="96">
        <f>Calculations!D5*1.2+Calculations!E5*1.3</f>
        <v>1922990.4</v>
      </c>
      <c r="D27" s="97">
        <f>C27-Calculations!C5</f>
        <v>1837990.4</v>
      </c>
      <c r="E27" s="98">
        <f>IF(Calculations!C5&gt;0, D27/Calculations!C5, 0)</f>
        <v>21.62341647</v>
      </c>
      <c r="F27" s="99">
        <f>IF(C27&gt;0, Calculations!C5/(C27/12), "N/A")</f>
        <v>0.5304238648</v>
      </c>
      <c r="G27" s="101" t="str">
        <f t="shared" ref="G27:H27" si="14">G5</f>
        <v>Medium</v>
      </c>
      <c r="H27" s="101" t="str">
        <f t="shared" si="14"/>
        <v>Medium</v>
      </c>
      <c r="I27" s="102" t="s">
        <v>1530</v>
      </c>
    </row>
    <row r="28">
      <c r="A28" s="33" t="s">
        <v>1283</v>
      </c>
      <c r="B28" s="95" t="str">
        <f t="shared" si="11"/>
        <v>rules-based routing to representatives</v>
      </c>
      <c r="C28" s="96">
        <f>Calculations!D6*1.2+Calculations!E6*1.3</f>
        <v>17160</v>
      </c>
      <c r="D28" s="97">
        <f>C28-Calculations!C6</f>
        <v>-67840</v>
      </c>
      <c r="E28" s="98">
        <f>IF(Calculations!C6&gt;0, D28/Calculations!C6, 0)</f>
        <v>-0.7981176471</v>
      </c>
      <c r="F28" s="99">
        <f>IF(C28&gt;0, Calculations!C6/(C28/12), "N/A")</f>
        <v>59.44055944</v>
      </c>
      <c r="G28" s="101" t="str">
        <f t="shared" ref="G28:H28" si="15">G6</f>
        <v>Medium</v>
      </c>
      <c r="H28" s="101" t="str">
        <f t="shared" si="15"/>
        <v>High</v>
      </c>
      <c r="I28" s="102" t="s">
        <v>1537</v>
      </c>
    </row>
    <row r="29">
      <c r="A29" s="33" t="s">
        <v>1300</v>
      </c>
      <c r="B29" s="95" t="str">
        <f t="shared" si="11"/>
        <v>portal interaction history for representatives</v>
      </c>
      <c r="C29" s="96">
        <f>Calculations!D7*1.2+Calculations!E7*1.3</f>
        <v>22017.6</v>
      </c>
      <c r="D29" s="97">
        <f>C29-Calculations!C7</f>
        <v>-22982.4</v>
      </c>
      <c r="E29" s="98">
        <f>IF(Calculations!C7&gt;0, D29/Calculations!C7, 0)</f>
        <v>-0.51072</v>
      </c>
      <c r="F29" s="99">
        <f>IF(C29&gt;0, Calculations!C7/(C29/12), "N/A")</f>
        <v>24.52583388</v>
      </c>
      <c r="G29" s="101" t="str">
        <f t="shared" ref="G29:H29" si="16">G7</f>
        <v>Low</v>
      </c>
      <c r="H29" s="101" t="str">
        <f t="shared" si="16"/>
        <v>High</v>
      </c>
      <c r="I29" s="102" t="s">
        <v>1542</v>
      </c>
    </row>
    <row r="30">
      <c r="A30" s="33" t="s">
        <v>1316</v>
      </c>
      <c r="B30" s="95" t="str">
        <f t="shared" si="11"/>
        <v>automated follow-up reminders</v>
      </c>
      <c r="C30" s="96">
        <f>Calculations!D8*1.2+Calculations!E8*1.3</f>
        <v>11088</v>
      </c>
      <c r="D30" s="97">
        <f>C30-Calculations!C8</f>
        <v>-33912</v>
      </c>
      <c r="E30" s="98">
        <f>IF(Calculations!C8&gt;0, D30/Calculations!C8, 0)</f>
        <v>-0.7536</v>
      </c>
      <c r="F30" s="99">
        <f>IF(C30&gt;0, Calculations!C8/(C30/12), "N/A")</f>
        <v>48.7012987</v>
      </c>
      <c r="G30" s="101" t="str">
        <f t="shared" ref="G30:H30" si="17">G8</f>
        <v>Low</v>
      </c>
      <c r="H30" s="101" t="str">
        <f t="shared" si="17"/>
        <v>Medium</v>
      </c>
      <c r="I30" s="102" t="s">
        <v>1550</v>
      </c>
    </row>
    <row r="31">
      <c r="A31" s="103" t="s">
        <v>1323</v>
      </c>
      <c r="B31" s="103" t="s">
        <v>1551</v>
      </c>
      <c r="C31" s="105">
        <f t="shared" ref="C31:D31" si="18">SUM(C24:C30)</f>
        <v>3185361.6</v>
      </c>
      <c r="D31" s="106">
        <f t="shared" si="18"/>
        <v>2790361.6</v>
      </c>
      <c r="E31" s="107">
        <f>IF(Calculations!C9&gt;0, D31/Calculations!C9, 0)</f>
        <v>7.064206582</v>
      </c>
      <c r="F31" s="108">
        <f>IF(C31&gt;0, Calculations!C9/(C31/12), "N/A")</f>
        <v>1.488057117</v>
      </c>
      <c r="G31" s="109" t="s">
        <v>1430</v>
      </c>
      <c r="H31" s="109" t="s">
        <v>1558</v>
      </c>
      <c r="I31" s="110" t="s">
        <v>1559</v>
      </c>
    </row>
  </sheetData>
  <mergeCells count="2">
    <mergeCell ref="A11:I11"/>
    <mergeCell ref="A22:I22"/>
  </mergeCells>
  <drawing r:id="rId1"/>
  <tableParts count="1">
    <tablePart r:id="rId3"/>
  </tableParts>
</worksheet>
</file>